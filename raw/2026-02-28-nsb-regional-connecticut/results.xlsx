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W1" sheetId="1" r:id="rId5"/>
    <sheet state="hidden" name="SW2" sheetId="2" r:id="rId6"/>
    <sheet state="hidden" name="NE Regional CHAMPIONSHIP Bracke" sheetId="3" r:id="rId7"/>
    <sheet state="visible" name="CT Region ROUND ROBIN Scores (P" sheetId="4" r:id="rId8"/>
    <sheet state="visible" name="CT RR Calculations (Private)" sheetId="5" r:id="rId9"/>
    <sheet state="hidden" name="Copy of CT RR Calculations (Pri" sheetId="6" r:id="rId10"/>
    <sheet state="hidden" name="ORIGINAL CT Region ROUND ROBIN " sheetId="7" r:id="rId11"/>
    <sheet state="hidden" name="Feb 26th" sheetId="8" r:id="rId12"/>
    <sheet state="hidden" name="Copy of CT Region (SOUTH) ROUND" sheetId="9" r:id="rId13"/>
    <sheet state="hidden" name="CT Regional (SOUTH) CHAMPIONSHI" sheetId="10" r:id="rId14"/>
    <sheet state="hidden" name="Copy of CT Regional (SOUTH) CHA" sheetId="11" r:id="rId15"/>
    <sheet state="hidden" name="PB Regional CHAMPIONSHIP Bracke" sheetId="12" r:id="rId16"/>
  </sheets>
  <definedNames/>
  <calcPr/>
</workbook>
</file>

<file path=xl/sharedStrings.xml><?xml version="1.0" encoding="utf-8"?>
<sst xmlns="http://schemas.openxmlformats.org/spreadsheetml/2006/main" count="1629" uniqueCount="379">
  <si>
    <t>game 1</t>
  </si>
  <si>
    <t>school</t>
  </si>
  <si>
    <t>Amity Regional - Team 1</t>
  </si>
  <si>
    <t>Bacon Academy - Team 1</t>
  </si>
  <si>
    <t>Bacon Academy - Team 2</t>
  </si>
  <si>
    <t>Cheshire HS - Team 1</t>
  </si>
  <si>
    <t>Cheshire HS - Team 2</t>
  </si>
  <si>
    <t xml:space="preserve">CT IB Acad </t>
  </si>
  <si>
    <t>EO Smith HS - Team 1</t>
  </si>
  <si>
    <t>EO Smith HS - Team 2</t>
  </si>
  <si>
    <t>East Lyme HS - Team 1</t>
  </si>
  <si>
    <t>East Lyme HS - Team 2</t>
  </si>
  <si>
    <t>Fairfield Ludlowe HS</t>
  </si>
  <si>
    <t>Fairfield Warde HS</t>
  </si>
  <si>
    <t>Farmington HS - Team 1</t>
  </si>
  <si>
    <t>Farmington HS - Team 2</t>
  </si>
  <si>
    <t>Open Spot 3</t>
  </si>
  <si>
    <t>Greenwich HS - Team 1</t>
  </si>
  <si>
    <t>Greenwich HS - Team 2</t>
  </si>
  <si>
    <t>Hopkins School - Team 1</t>
  </si>
  <si>
    <t>Hopkins School - Team 2</t>
  </si>
  <si>
    <t>Joel Barlow HS</t>
  </si>
  <si>
    <t>New Canaan HS - Team 1</t>
  </si>
  <si>
    <t>New Canaan HS - Team 2</t>
  </si>
  <si>
    <t>Newtown HS - Team 1</t>
  </si>
  <si>
    <t>Newtown HS - Team 2</t>
  </si>
  <si>
    <t xml:space="preserve">Pomperaug HS </t>
  </si>
  <si>
    <t>Rocky Hill HS - Team 1</t>
  </si>
  <si>
    <t>Rocky Hill HS - Team 2</t>
  </si>
  <si>
    <t>South Windsor HS - Team 1</t>
  </si>
  <si>
    <t>South Windsor HS - Team 2</t>
  </si>
  <si>
    <t>Southington HS - Team 1</t>
  </si>
  <si>
    <t>Southington HS - Team 2</t>
  </si>
  <si>
    <t xml:space="preserve">Ethel Walker School </t>
  </si>
  <si>
    <t>Loomis Chaffee - Team 1</t>
  </si>
  <si>
    <t>Loomis Chaffee - Team 2</t>
  </si>
  <si>
    <t>Open Spot</t>
  </si>
  <si>
    <t>Trumbull HS - Team 1</t>
  </si>
  <si>
    <t>Trumbull HS - Team 2</t>
  </si>
  <si>
    <t>Univ HS Sci &amp; Eng - Team 1</t>
  </si>
  <si>
    <t>Univ HS Sci &amp; Eng - Team 2</t>
  </si>
  <si>
    <t>Waterford HS - Team 1</t>
  </si>
  <si>
    <t>Waterford HS - Team 2</t>
  </si>
  <si>
    <t>T/F</t>
  </si>
  <si>
    <t>Winning Score</t>
  </si>
  <si>
    <t>Team</t>
  </si>
  <si>
    <t>Academy of Aerospace and Engineering</t>
  </si>
  <si>
    <t>Advanced Math and Science Academy Charter School</t>
  </si>
  <si>
    <t>Amity Regional HS</t>
  </si>
  <si>
    <t>Bacon Academy</t>
  </si>
  <si>
    <t>Bedford High</t>
  </si>
  <si>
    <t>Boston Latin</t>
  </si>
  <si>
    <t>Boston University Academy</t>
  </si>
  <si>
    <t>Cheshire HS</t>
  </si>
  <si>
    <t>Choate Rosemary Hall</t>
  </si>
  <si>
    <t>Conard HS</t>
  </si>
  <si>
    <t>Cranston HS East</t>
  </si>
  <si>
    <t>Deerfield Academy</t>
  </si>
  <si>
    <t>E. O. Smith HS</t>
  </si>
  <si>
    <t>E. O. Smith HS Team 2</t>
  </si>
  <si>
    <t>East Lyme HS</t>
  </si>
  <si>
    <t>Farmington HS</t>
  </si>
  <si>
    <t>Glastonbury HS</t>
  </si>
  <si>
    <t>Glastonbury HS Team 2</t>
  </si>
  <si>
    <t>Greenwich HS</t>
  </si>
  <si>
    <t>Greenwich HS Team 2</t>
  </si>
  <si>
    <t>Hopkins School</t>
  </si>
  <si>
    <t>Hopkinton High</t>
  </si>
  <si>
    <t>Lexington High</t>
  </si>
  <si>
    <t>Mansfield High</t>
  </si>
  <si>
    <t>Nashua HS South</t>
  </si>
  <si>
    <t>New Canaan HS</t>
  </si>
  <si>
    <t>Newton North High</t>
  </si>
  <si>
    <t>Newtown HS</t>
  </si>
  <si>
    <t>Phillips Academy</t>
  </si>
  <si>
    <t>Phillips Exeter Academy</t>
  </si>
  <si>
    <t>Pioneer Charter School of Science</t>
  </si>
  <si>
    <t>Pomperaug Regional HS</t>
  </si>
  <si>
    <t>Rocky Hill HS</t>
  </si>
  <si>
    <t>Seekonk High</t>
  </si>
  <si>
    <t>Sharon High</t>
  </si>
  <si>
    <t>Sound School</t>
  </si>
  <si>
    <t>South Windsor HS</t>
  </si>
  <si>
    <t>Southington HS</t>
  </si>
  <si>
    <t>Staples HS</t>
  </si>
  <si>
    <t>The Loomis Chaffee School</t>
  </si>
  <si>
    <t>The Open Spot</t>
  </si>
  <si>
    <t>University HS of Science and Engineering</t>
  </si>
  <si>
    <t>Waterford HS</t>
  </si>
  <si>
    <t>Wayland HS</t>
  </si>
  <si>
    <t>NE Regional (NORTH) CHAMPIONSHIP Bracket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</si>
  <si>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</si>
  <si>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</si>
  <si>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</si>
  <si>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</si>
  <si>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</si>
  <si>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</si>
  <si>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</si>
  <si>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</si>
  <si>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</si>
  <si>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MCHU 305</t>
  </si>
  <si>
    <t xml:space="preserve">MCHU 101  </t>
  </si>
  <si>
    <t>BYE</t>
  </si>
  <si>
    <t>MCHU 306</t>
  </si>
  <si>
    <t xml:space="preserve">MCHU 110  </t>
  </si>
  <si>
    <t>MCHU 205</t>
  </si>
  <si>
    <t xml:space="preserve">MCHU 111  </t>
  </si>
  <si>
    <t>MCHU 206</t>
  </si>
  <si>
    <t>MCHU 111</t>
  </si>
  <si>
    <t>MCHU 109</t>
  </si>
  <si>
    <t>MCHU 110</t>
  </si>
  <si>
    <t xml:space="preserve">MCHU 109  </t>
  </si>
  <si>
    <t>MCHU 101</t>
  </si>
  <si>
    <t>CT Regional ROUND ROBIN Scores</t>
  </si>
  <si>
    <t>Room</t>
  </si>
  <si>
    <t>Round 1</t>
  </si>
  <si>
    <t>Round 2</t>
  </si>
  <si>
    <t>Round 3</t>
  </si>
  <si>
    <t>Round 4</t>
  </si>
  <si>
    <t>Round 5</t>
  </si>
  <si>
    <t>Points are awarded for wins (2 pts) or ties (1 pt). Scores are the sum of correct responses &amp; pentalties earned within matches</t>
  </si>
  <si>
    <t>Division 1 (Temple Grandin)</t>
  </si>
  <si>
    <t>Points and Scores by Team</t>
  </si>
  <si>
    <t>Scores by Division</t>
  </si>
  <si>
    <t>Teams</t>
  </si>
  <si>
    <t>Score</t>
  </si>
  <si>
    <t>CC Verification</t>
  </si>
  <si>
    <t>Points</t>
  </si>
  <si>
    <t>Seed #</t>
  </si>
  <si>
    <t xml:space="preserve">Team </t>
  </si>
  <si>
    <t>Team (Alphabetical)</t>
  </si>
  <si>
    <t>Division</t>
  </si>
  <si>
    <t>Total Points</t>
  </si>
  <si>
    <t>Total Score</t>
  </si>
  <si>
    <t>Rank</t>
  </si>
  <si>
    <t>Points w/ DB</t>
  </si>
  <si>
    <t>Total Scores</t>
  </si>
  <si>
    <t>SHH 101</t>
  </si>
  <si>
    <t>SHH 104</t>
  </si>
  <si>
    <t>Conard HS - Team 1</t>
  </si>
  <si>
    <t>SHH 105</t>
  </si>
  <si>
    <t>Conard HS - Team 2</t>
  </si>
  <si>
    <t>CT IB Acad - Team 1</t>
  </si>
  <si>
    <t>Division 2 (Marian Croak)</t>
  </si>
  <si>
    <t>CT IB Acad - Team 2</t>
  </si>
  <si>
    <t>Open Spot - 1</t>
  </si>
  <si>
    <t>CT IB Acad - Team 3</t>
  </si>
  <si>
    <t>Open Spot - 2</t>
  </si>
  <si>
    <t>SHH 106</t>
  </si>
  <si>
    <t>New Canaan HS - Team 3</t>
  </si>
  <si>
    <t>Enfield HS - Team 1</t>
  </si>
  <si>
    <t>SHH 235</t>
  </si>
  <si>
    <t>Enfield HS - Team 2</t>
  </si>
  <si>
    <t>Enfield HS - Team 3</t>
  </si>
  <si>
    <t>SHH 107</t>
  </si>
  <si>
    <t>Division 3 (Silas Adekunle)</t>
  </si>
  <si>
    <t>Ethel Walker School</t>
  </si>
  <si>
    <t>Fairfield Warde HS - Team 1</t>
  </si>
  <si>
    <t>SHH 108</t>
  </si>
  <si>
    <t>Fairfield Warde HS - Team 2</t>
  </si>
  <si>
    <t>SHH 109</t>
  </si>
  <si>
    <t>SHH 110</t>
  </si>
  <si>
    <t>Open Spot - 3</t>
  </si>
  <si>
    <t>Greenwich HS - Team 3</t>
  </si>
  <si>
    <t>Division 4 (Ellen Ochoa)</t>
  </si>
  <si>
    <t>Open Spot - 4</t>
  </si>
  <si>
    <t>Greenwich HS - Team 4</t>
  </si>
  <si>
    <t>SHH 111</t>
  </si>
  <si>
    <t>Univ HS Sci &amp; Eng</t>
  </si>
  <si>
    <t>SHH 112</t>
  </si>
  <si>
    <t>SHH 117</t>
  </si>
  <si>
    <t>Division 5 (Ursula Burns)</t>
  </si>
  <si>
    <t>SHH 267</t>
  </si>
  <si>
    <t>Open Spot - 5</t>
  </si>
  <si>
    <t>SHH 268</t>
  </si>
  <si>
    <t>SHH 269</t>
  </si>
  <si>
    <t>Division 6 (Guillermo Camarena)</t>
  </si>
  <si>
    <t>MONT 111</t>
  </si>
  <si>
    <t>MONT 112</t>
  </si>
  <si>
    <t>MONT 113</t>
  </si>
  <si>
    <t>Division 7 (Irene Uchida)</t>
  </si>
  <si>
    <t>MONT 225</t>
  </si>
  <si>
    <t>MONT 226</t>
  </si>
  <si>
    <t>MONT 227</t>
  </si>
  <si>
    <t>Division 8 (Bernardo Houssay) - Canceled Division - Sorry!</t>
  </si>
  <si>
    <t>MONT 319</t>
  </si>
  <si>
    <t>MONT 320</t>
  </si>
  <si>
    <t>MONT 321</t>
  </si>
  <si>
    <t>Formula Copied Scores from Main Sheet</t>
  </si>
  <si>
    <t>Sorted By Division</t>
  </si>
  <si>
    <t>Divisional Sort</t>
  </si>
  <si>
    <t>Top 2 Teams in Division (check head to head)</t>
  </si>
  <si>
    <t>Top 16 Teams Seeded by Score</t>
  </si>
  <si>
    <t>Test Mode</t>
  </si>
  <si>
    <t>Blank</t>
  </si>
  <si>
    <t>Div. Seed</t>
  </si>
  <si>
    <t>Seed</t>
  </si>
  <si>
    <t>Round Robin Signal</t>
  </si>
  <si>
    <t>Not Ready</t>
  </si>
  <si>
    <t>Tiebreaker Game Signal</t>
  </si>
  <si>
    <t>Ready</t>
  </si>
  <si>
    <t>Championship Game Signal</t>
  </si>
  <si>
    <t>House Tournament Game Signal</t>
  </si>
  <si>
    <t>Tiebreaker rounds needed if more than two teams below</t>
  </si>
  <si>
    <t>Tiebreaker teams (manually input after checking head to head scores if needed)</t>
  </si>
  <si>
    <t>Remaining teams sorted by division (check head to head changes)</t>
  </si>
  <si>
    <t>[Below] Designate Column V for House Tournament (HTC for competitive or HTF for friendly)</t>
  </si>
  <si>
    <t>House Tournament</t>
  </si>
  <si>
    <t>Remaining teams sorted by points then score (tie breaker questions in separate rooms)</t>
  </si>
  <si>
    <t>Top 2 Teams from Division</t>
  </si>
  <si>
    <t>Top 16 Teams Seeded</t>
  </si>
  <si>
    <t>Signal</t>
  </si>
  <si>
    <t>yes</t>
  </si>
  <si>
    <t>Top scorers from remaining (below)</t>
  </si>
  <si>
    <t>Remaining teams sorted by division</t>
  </si>
  <si>
    <t>Wildcard Seeding (CT Only)</t>
  </si>
  <si>
    <t>Adjust Wildcard Teams in Wildcard Scores and Bracket Spreadsheet, Wildcard Teams Tab.</t>
  </si>
  <si>
    <t>Bacon Academy A</t>
  </si>
  <si>
    <t>Instructions for that sheet</t>
  </si>
  <si>
    <t>**IF a school has multiple teams in the wildcard and it is missing a "Team" after the school name, edit the name before starting the wildcard</t>
  </si>
  <si>
    <t>orange teams: if declining to play, delete row</t>
  </si>
  <si>
    <t>Bacon Academy B</t>
  </si>
  <si>
    <t>gray teams: If declining to play, clear cell (do not delete row)</t>
  </si>
  <si>
    <t>Yes</t>
  </si>
  <si>
    <t>Farmington HS Team B</t>
  </si>
  <si>
    <t>Division 1 (EA)</t>
  </si>
  <si>
    <t>Scores by Team</t>
  </si>
  <si>
    <t>Team (Seeded)</t>
  </si>
  <si>
    <t>Divisional Bonus (DB)</t>
  </si>
  <si>
    <t>E. O. Smith HS Team A</t>
  </si>
  <si>
    <t>Greenwich HS Team A</t>
  </si>
  <si>
    <t>Glastonbury HS Team A</t>
  </si>
  <si>
    <t>Cheshire HS Team A</t>
  </si>
  <si>
    <t>Cheshire HS Team B</t>
  </si>
  <si>
    <t>Division 3 (SWE)</t>
  </si>
  <si>
    <t>Rocky Hill HS Team A</t>
  </si>
  <si>
    <t>E. O. Smith HS Team B</t>
  </si>
  <si>
    <t>Southington HS Team A</t>
  </si>
  <si>
    <t>Univ HS of Sci &amp; Engineering</t>
  </si>
  <si>
    <t>Greenwich HS Team B</t>
  </si>
  <si>
    <t>Glastonbury HS Team B</t>
  </si>
  <si>
    <t>Division 5 (SHPE)</t>
  </si>
  <si>
    <t>Rocky Hill HS Team B</t>
  </si>
  <si>
    <t>Division 7 (SASE)</t>
  </si>
  <si>
    <t>Southington HS Team B</t>
  </si>
  <si>
    <t>Division 9 (LC)</t>
  </si>
  <si>
    <t>CT Regional (SOUTH) ROUND ROBIN Scores</t>
  </si>
  <si>
    <t>A - Mike</t>
  </si>
  <si>
    <t>A - Hannah</t>
  </si>
  <si>
    <t>A - Haley</t>
  </si>
  <si>
    <t>Mike Wong</t>
  </si>
  <si>
    <t>B - Haley</t>
  </si>
  <si>
    <t>B - Mike</t>
  </si>
  <si>
    <t>B - Hannah</t>
  </si>
  <si>
    <t>Haley Donovan</t>
  </si>
  <si>
    <t>Division 2 (TG)</t>
  </si>
  <si>
    <t>Hannah Segien</t>
  </si>
  <si>
    <t>Quinn McAndrew</t>
  </si>
  <si>
    <t>Emily Root</t>
  </si>
  <si>
    <t>A - Quinn</t>
  </si>
  <si>
    <t>A - Shree</t>
  </si>
  <si>
    <t>A - Emily</t>
  </si>
  <si>
    <t>Shreedula Balakrishnan</t>
  </si>
  <si>
    <t>B - Emily</t>
  </si>
  <si>
    <t>B - Quinn</t>
  </si>
  <si>
    <t>B - Shree</t>
  </si>
  <si>
    <t>Gina Guaman</t>
  </si>
  <si>
    <t>Yuna Kuo</t>
  </si>
  <si>
    <t>Sangeeta Kuchibhotla</t>
  </si>
  <si>
    <t>Kaiya Pringle</t>
  </si>
  <si>
    <t>A - Gina</t>
  </si>
  <si>
    <t>A - Sangeeta</t>
  </si>
  <si>
    <t>A - Yuna</t>
  </si>
  <si>
    <t>Iamiah Bartlett</t>
  </si>
  <si>
    <t>B - Yuna</t>
  </si>
  <si>
    <t>B - Gina</t>
  </si>
  <si>
    <t>B - Sangeeta</t>
  </si>
  <si>
    <t>Eman Ibet</t>
  </si>
  <si>
    <t>Division 4 (NSBE)</t>
  </si>
  <si>
    <t>Isabela Urriola</t>
  </si>
  <si>
    <t>Carl Ponce</t>
  </si>
  <si>
    <t>Jason Pulla</t>
  </si>
  <si>
    <t>A - Kaiya</t>
  </si>
  <si>
    <t>A - Eman</t>
  </si>
  <si>
    <t>A - Iamiah</t>
  </si>
  <si>
    <t xml:space="preserve">Abigail Koval </t>
  </si>
  <si>
    <t>B - Iamiah</t>
  </si>
  <si>
    <t>B - Kaiya</t>
  </si>
  <si>
    <t>B - Eman</t>
  </si>
  <si>
    <t>Adrian Gibson</t>
  </si>
  <si>
    <t>Brandon Kwok</t>
  </si>
  <si>
    <t>Sean Dunn</t>
  </si>
  <si>
    <t>Lori Tsuruda</t>
  </si>
  <si>
    <t>A - Isabela</t>
  </si>
  <si>
    <t>A - Jason</t>
  </si>
  <si>
    <t>A - Carl</t>
  </si>
  <si>
    <t>Jordan Buslewicz</t>
  </si>
  <si>
    <t>B - Carl</t>
  </si>
  <si>
    <t>B - Isabela</t>
  </si>
  <si>
    <t>B - Jason</t>
  </si>
  <si>
    <t>Ghazia Battool</t>
  </si>
  <si>
    <t>Eben Yobo</t>
  </si>
  <si>
    <t>Mitch Worthington</t>
  </si>
  <si>
    <t>Riley Bernas</t>
  </si>
  <si>
    <t>A - Abigail</t>
  </si>
  <si>
    <t>A - Brandon</t>
  </si>
  <si>
    <t>A - Adrian</t>
  </si>
  <si>
    <t>Varun Kumar Chamarty</t>
  </si>
  <si>
    <t>B - Adrian</t>
  </si>
  <si>
    <t>B - Abigail</t>
  </si>
  <si>
    <t>B - Brandon</t>
  </si>
  <si>
    <t>Sam Veczko</t>
  </si>
  <si>
    <t>Division 7 (EWB)</t>
  </si>
  <si>
    <t>Justin Bazemore-Travers</t>
  </si>
  <si>
    <t>Sita Nyame</t>
  </si>
  <si>
    <t>Nicholas Garcia</t>
  </si>
  <si>
    <t>A - Sean</t>
  </si>
  <si>
    <t>A - Jordan</t>
  </si>
  <si>
    <t>A - Lori</t>
  </si>
  <si>
    <t>Jaclyn Grace</t>
  </si>
  <si>
    <t>B - Lori</t>
  </si>
  <si>
    <t>B - Sean</t>
  </si>
  <si>
    <t>B - Jordan</t>
  </si>
  <si>
    <t>Paxton MacAuley</t>
  </si>
  <si>
    <t>Division 8 (Bridge)</t>
  </si>
  <si>
    <t>Jon Zilberman</t>
  </si>
  <si>
    <t>A - Ghazia</t>
  </si>
  <si>
    <t>A - Mitch</t>
  </si>
  <si>
    <t>A - Eben</t>
  </si>
  <si>
    <t>B - Eben</t>
  </si>
  <si>
    <t>B - Ghazia</t>
  </si>
  <si>
    <t>B - Mitch</t>
  </si>
  <si>
    <t>A - Riley</t>
  </si>
  <si>
    <t>A - Sam</t>
  </si>
  <si>
    <t>A - Varun</t>
  </si>
  <si>
    <t>B - Varun</t>
  </si>
  <si>
    <t>B - Riley</t>
  </si>
  <si>
    <t>B - Sam</t>
  </si>
  <si>
    <t>Division 10 (Grad)</t>
  </si>
  <si>
    <t>A - Justin</t>
  </si>
  <si>
    <t>A - Nicholas</t>
  </si>
  <si>
    <t>A - Sita</t>
  </si>
  <si>
    <t>B - Sita</t>
  </si>
  <si>
    <t>B - Justin</t>
  </si>
  <si>
    <t>B - Nicholas</t>
  </si>
  <si>
    <t>Division 11 (VII)</t>
  </si>
  <si>
    <t>A - Jaclyn</t>
  </si>
  <si>
    <t>A - Jon</t>
  </si>
  <si>
    <t>A - Paxton</t>
  </si>
  <si>
    <t>B - Paxton</t>
  </si>
  <si>
    <t>B - Jaclyn</t>
  </si>
  <si>
    <t>B - Jon</t>
  </si>
  <si>
    <t>mike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</si>
  <si>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</si>
  <si>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</si>
  <si>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</si>
  <si>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</si>
  <si>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</si>
  <si>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</si>
  <si>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</si>
  <si>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</si>
  <si>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</si>
  <si>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</si>
  <si>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</si>
  <si>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CT Regional (SOUTH) CHAMPIONSHIP Bracket</t>
  </si>
  <si>
    <t>MCHU 301</t>
  </si>
  <si>
    <t xml:space="preserve">MCHU 102  </t>
  </si>
  <si>
    <t>MCHU 302</t>
  </si>
  <si>
    <t xml:space="preserve">MCHU 108  </t>
  </si>
  <si>
    <t>MCHU 201</t>
  </si>
  <si>
    <t xml:space="preserve">MCHU 106  </t>
  </si>
  <si>
    <t>MCHU 202</t>
  </si>
  <si>
    <t>MCHU 106</t>
  </si>
  <si>
    <t>MCHU 107</t>
  </si>
  <si>
    <t>MCHU 108</t>
  </si>
  <si>
    <t xml:space="preserve">MCHU 107  </t>
  </si>
  <si>
    <t>MCHU 102</t>
  </si>
  <si>
    <t>Connecticut Regional CHAMPIONSHIP Bracket</t>
  </si>
  <si>
    <t>PB Regional CHAMPIONSHIP Bracket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</si>
</sst>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0.0"/>
      <color rgb="FF000000"/>
      <name val="Arial"/>
      <scheme val="minor"/>
    </font>
    <font>
      <b/>
      <sz val="10.0"/>
      <color theme="1"/>
      <name val="Arial"/>
    </font>
    <font>
      <u/>
      <sz val="11.0"/>
      <color rgb="FF0563C1"/>
      <name val="Calibri"/>
    </font>
    <font>
      <sz val="11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i/>
      <color theme="1"/>
      <name val="Arial"/>
      <scheme val="minor"/>
    </font>
    <font>
      <u/>
      <sz val="11.0"/>
      <color rgb="FF0563C1"/>
      <name val="Calibri"/>
    </font>
    <font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sz val="10.0"/>
      <color theme="1"/>
      <name val="Aldrich"/>
    </font>
    <font>
      <b/>
      <sz val="18.0"/>
      <color theme="1"/>
      <name val="Aldrich"/>
    </font>
    <font>
      <b/>
      <i/>
      <sz val="12.0"/>
      <color theme="1"/>
      <name val="Aldrich"/>
    </font>
    <font>
      <b/>
      <sz val="11.0"/>
      <color theme="1"/>
      <name val="Aldrich"/>
    </font>
    <font>
      <b/>
      <sz val="10.0"/>
      <color theme="1"/>
      <name val="Aldrich"/>
    </font>
    <font/>
    <font>
      <sz val="10.0"/>
      <color theme="1"/>
      <name val="Cambria"/>
    </font>
    <font>
      <b/>
      <sz val="18.0"/>
      <color rgb="FFFFFFFF"/>
      <name val="Aldrich"/>
    </font>
    <font>
      <i/>
      <sz val="10.0"/>
      <color theme="1"/>
      <name val="Cambria"/>
    </font>
    <font>
      <sz val="11.0"/>
      <color theme="1"/>
      <name val="Aldrich"/>
    </font>
    <font>
      <b/>
      <sz val="16.0"/>
      <color theme="1"/>
      <name val="Aldrich"/>
    </font>
    <font>
      <b/>
      <sz val="11.0"/>
      <color rgb="FFFFFFFF"/>
      <name val="Aldrich"/>
    </font>
    <font>
      <b/>
      <i/>
      <sz val="11.0"/>
      <color theme="1"/>
      <name val="Aldrich"/>
    </font>
    <font>
      <sz val="11.0"/>
      <color theme="1"/>
      <name val="Cambria"/>
    </font>
    <font>
      <b/>
      <sz val="11.0"/>
      <color rgb="FF000000"/>
      <name val="Cambria"/>
    </font>
    <font>
      <sz val="11.0"/>
      <color rgb="FF000000"/>
      <name val="Cambria"/>
    </font>
    <font>
      <b/>
      <sz val="10.0"/>
      <color theme="1"/>
      <name val="Cambria"/>
    </font>
    <font>
      <sz val="11.0"/>
      <color rgb="FFFFFFFF"/>
      <name val="Cambria"/>
    </font>
    <font>
      <b/>
      <sz val="16.0"/>
      <color rgb="FFFFFFFF"/>
      <name val="Aldrich"/>
    </font>
    <font>
      <color theme="1"/>
      <name val="Cambria"/>
    </font>
    <font>
      <color theme="1"/>
      <name val="Arial"/>
    </font>
    <font>
      <b/>
      <sz val="18.0"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sz val="11.0"/>
      <color rgb="FF000000"/>
      <name val="Inconsolata"/>
    </font>
    <font>
      <b/>
      <sz val="12.0"/>
      <color theme="1"/>
      <name val="Aldrich"/>
    </font>
    <font>
      <sz val="12.0"/>
      <color theme="1"/>
      <name val="Aldrich"/>
    </font>
    <font>
      <sz val="12.0"/>
      <color theme="1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073763"/>
        <bgColor rgb="FF073763"/>
      </patternFill>
    </fill>
    <fill>
      <patternFill patternType="solid">
        <fgColor rgb="FF9900FF"/>
        <bgColor rgb="FF9900FF"/>
      </patternFill>
    </fill>
    <fill>
      <patternFill patternType="solid">
        <fgColor rgb="FF20124D"/>
        <bgColor rgb="FF20124D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3FFFF"/>
        <bgColor rgb="FFC3FFFF"/>
      </patternFill>
    </fill>
    <fill>
      <patternFill patternType="solid">
        <fgColor rgb="FFCFE2F3"/>
        <bgColor rgb="FFCFE2F3"/>
      </patternFill>
    </fill>
    <fill>
      <patternFill patternType="solid">
        <fgColor rgb="FFBCBCFF"/>
        <bgColor rgb="FFBCBCFF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D5FF98"/>
        <bgColor rgb="FFD5FF98"/>
      </patternFill>
    </fill>
    <fill>
      <patternFill patternType="solid">
        <fgColor rgb="FF34A853"/>
        <bgColor rgb="FF34A853"/>
      </patternFill>
    </fill>
    <fill>
      <patternFill patternType="solid">
        <fgColor rgb="FF4A86E8"/>
        <bgColor rgb="FF4A86E8"/>
      </patternFill>
    </fill>
    <fill>
      <patternFill patternType="solid">
        <fgColor rgb="FFB8CFF3"/>
        <bgColor rgb="FFB8CFF3"/>
      </patternFill>
    </fill>
    <fill>
      <patternFill patternType="solid">
        <fgColor rgb="FF0000FF"/>
        <bgColor rgb="FF0000FF"/>
      </patternFill>
    </fill>
    <fill>
      <patternFill patternType="solid">
        <fgColor rgb="FF8787FF"/>
        <bgColor rgb="FF8787FF"/>
      </patternFill>
    </fill>
    <fill>
      <patternFill patternType="solid">
        <fgColor rgb="FFFF00FF"/>
        <bgColor rgb="FFFF00FF"/>
      </patternFill>
    </fill>
    <fill>
      <patternFill patternType="solid">
        <fgColor rgb="FFFFAEFF"/>
        <bgColor rgb="FFFFAEFF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</fills>
  <borders count="42">
    <border/>
    <border>
      <top style="thin">
        <color rgb="FFDDDDDD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top style="double">
        <color rgb="FF000000"/>
      </top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right/>
      <top style="thick">
        <color rgb="FF000000"/>
      </top>
      <bottom style="double">
        <color rgb="FF000000"/>
      </bottom>
    </border>
    <border>
      <left/>
      <right/>
      <top style="thick">
        <color rgb="FF000000"/>
      </top>
      <bottom style="double">
        <color rgb="FF000000"/>
      </bottom>
    </border>
    <border>
      <left/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thick">
        <color rgb="FF000000"/>
      </right>
      <top/>
      <bottom style="double">
        <color rgb="FF000000"/>
      </bottom>
    </border>
    <border>
      <left style="thick">
        <color rgb="FF000000"/>
      </left>
      <right/>
      <top/>
    </border>
    <border>
      <left/>
      <right/>
      <top/>
    </border>
    <border>
      <left/>
      <right style="thick">
        <color rgb="FF000000"/>
      </right>
      <top/>
    </border>
    <border>
      <left style="thick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right style="thick">
        <color rgb="FF000000"/>
      </right>
      <top style="double">
        <color rgb="FF000000"/>
      </top>
      <bottom/>
    </border>
    <border>
      <bottom style="thin">
        <color rgb="FF000000"/>
      </bottom>
    </border>
    <border>
      <left/>
      <right/>
      <top style="double">
        <color rgb="FF000000"/>
      </top>
      <bottom/>
    </border>
    <border>
      <left style="thick">
        <color rgb="FF000000"/>
      </left>
      <top/>
    </border>
    <border>
      <top/>
    </border>
    <border>
      <right style="thick">
        <color rgb="FF000000"/>
      </right>
      <top/>
    </border>
    <border>
      <left style="thick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1" fillId="0" fontId="8" numFmtId="0" xfId="0" applyBorder="1" applyFont="1"/>
    <xf borderId="0" fillId="0" fontId="8" numFmtId="0" xfId="0" applyFont="1"/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1" fillId="0" fontId="9" numFmtId="0" xfId="0" applyBorder="1" applyFont="1"/>
    <xf borderId="2" fillId="0" fontId="4" numFmtId="0" xfId="0" applyBorder="1" applyFont="1"/>
    <xf borderId="3" fillId="2" fontId="4" numFmtId="0" xfId="0" applyAlignment="1" applyBorder="1" applyFill="1" applyFont="1">
      <alignment horizontal="center"/>
    </xf>
    <xf borderId="1" fillId="0" fontId="10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1" fillId="0" fontId="11" numFmtId="0" xfId="0" applyAlignment="1" applyBorder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16" numFmtId="18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4" fillId="0" fontId="17" numFmtId="0" xfId="0" applyAlignment="1" applyBorder="1" applyFont="1">
      <alignment horizontal="center"/>
    </xf>
    <xf borderId="5" fillId="0" fontId="13" numFmtId="0" xfId="0" applyAlignment="1" applyBorder="1" applyFont="1">
      <alignment horizontal="center"/>
    </xf>
    <xf borderId="4" fillId="0" fontId="13" numFmtId="0" xfId="0" applyAlignment="1" applyBorder="1" applyFont="1">
      <alignment horizontal="center"/>
    </xf>
    <xf borderId="6" fillId="0" fontId="17" numFmtId="0" xfId="0" applyAlignment="1" applyBorder="1" applyFont="1">
      <alignment horizontal="right" vertical="center"/>
    </xf>
    <xf borderId="0" fillId="0" fontId="17" numFmtId="0" xfId="0" applyAlignment="1" applyFont="1">
      <alignment horizontal="center"/>
    </xf>
    <xf borderId="6" fillId="0" fontId="18" numFmtId="0" xfId="0" applyBorder="1" applyFont="1"/>
    <xf borderId="7" fillId="0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0" fillId="0" fontId="19" numFmtId="0" xfId="0" applyFont="1"/>
    <xf borderId="9" fillId="3" fontId="20" numFmtId="0" xfId="0" applyAlignment="1" applyBorder="1" applyFill="1" applyFont="1">
      <alignment horizontal="center" vertical="center"/>
    </xf>
    <xf borderId="8" fillId="0" fontId="18" numFmtId="0" xfId="0" applyBorder="1" applyFont="1"/>
    <xf borderId="4" fillId="0" fontId="18" numFmtId="0" xfId="0" applyBorder="1" applyFont="1"/>
    <xf borderId="0" fillId="0" fontId="19" numFmtId="0" xfId="0" applyAlignment="1" applyFont="1">
      <alignment horizontal="center"/>
    </xf>
    <xf borderId="10" fillId="0" fontId="18" numFmtId="0" xfId="0" applyBorder="1" applyFont="1"/>
    <xf borderId="11" fillId="0" fontId="18" numFmtId="0" xfId="0" applyBorder="1" applyFont="1"/>
    <xf borderId="5" fillId="0" fontId="18" numFmtId="0" xfId="0" applyBorder="1" applyFont="1"/>
    <xf borderId="0" fillId="0" fontId="19" numFmtId="0" xfId="0" applyAlignment="1" applyFont="1">
      <alignment readingOrder="0"/>
    </xf>
    <xf borderId="9" fillId="0" fontId="15" numFmtId="0" xfId="0" applyAlignment="1" applyBorder="1" applyFont="1">
      <alignment horizontal="center"/>
    </xf>
    <xf borderId="10" fillId="0" fontId="16" numFmtId="18" xfId="0" applyAlignment="1" applyBorder="1" applyFont="1" applyNumberFormat="1">
      <alignment horizontal="center" readingOrder="0" vertical="bottom"/>
    </xf>
    <xf borderId="0" fillId="0" fontId="21" numFmtId="0" xfId="0" applyAlignment="1" applyFont="1">
      <alignment readingOrder="0"/>
    </xf>
    <xf borderId="0" fillId="0" fontId="22" numFmtId="0" xfId="0" applyFont="1"/>
    <xf borderId="9" fillId="4" fontId="23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horizontal="center"/>
    </xf>
    <xf borderId="3" fillId="3" fontId="24" numFmtId="0" xfId="0" applyBorder="1" applyFill="1" applyFont="1"/>
    <xf borderId="12" fillId="3" fontId="24" numFmtId="0" xfId="0" applyAlignment="1" applyBorder="1" applyFill="1" applyFont="1">
      <alignment readingOrder="0"/>
    </xf>
    <xf borderId="13" fillId="0" fontId="18" numFmtId="0" xfId="0" applyBorder="1" applyFont="1"/>
    <xf borderId="14" fillId="0" fontId="18" numFmtId="0" xfId="0" applyBorder="1" applyFont="1"/>
    <xf borderId="0" fillId="3" fontId="24" numFmtId="0" xfId="0" applyFill="1" applyFont="1"/>
    <xf borderId="12" fillId="3" fontId="24" numFmtId="0" xfId="0" applyBorder="1" applyFill="1" applyFont="1"/>
    <xf borderId="15" fillId="4" fontId="16" numFmtId="0" xfId="0" applyBorder="1" applyFill="1" applyFont="1"/>
    <xf borderId="16" fillId="4" fontId="16" numFmtId="0" xfId="0" applyAlignment="1" applyBorder="1" applyFill="1" applyFont="1">
      <alignment horizontal="center"/>
    </xf>
    <xf borderId="17" fillId="4" fontId="16" numFmtId="0" xfId="0" applyAlignment="1" applyBorder="1" applyFill="1" applyFont="1">
      <alignment horizontal="center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25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18" fillId="5" fontId="26" numFmtId="0" xfId="0" applyBorder="1" applyFill="1" applyFont="1"/>
    <xf borderId="3" fillId="6" fontId="26" numFmtId="0" xfId="0" applyAlignment="1" applyBorder="1" applyFill="1" applyFont="1">
      <alignment horizontal="center" readingOrder="0"/>
    </xf>
    <xf borderId="3" fillId="5" fontId="26" numFmtId="0" xfId="0" applyAlignment="1" applyBorder="1" applyFill="1" applyFont="1">
      <alignment horizontal="center" readingOrder="0"/>
    </xf>
    <xf borderId="19" fillId="5" fontId="26" numFmtId="0" xfId="0" applyAlignment="1" applyBorder="1" applyFill="1" applyFont="1">
      <alignment horizontal="center"/>
    </xf>
    <xf borderId="3" fillId="6" fontId="26" numFmtId="0" xfId="0" applyAlignment="1" applyBorder="1" applyFill="1" applyFont="1">
      <alignment horizontal="center" readingOrder="0" vertical="bottom"/>
    </xf>
    <xf borderId="0" fillId="0" fontId="26" numFmtId="0" xfId="0" applyAlignment="1" applyFont="1">
      <alignment horizontal="center"/>
    </xf>
    <xf borderId="0" fillId="0" fontId="11" numFmtId="0" xfId="0" applyAlignment="1" applyFont="1">
      <alignment readingOrder="0" shrinkToFit="0" vertical="bottom" wrapText="0"/>
    </xf>
    <xf borderId="0" fillId="0" fontId="27" numFmtId="0" xfId="0" applyFont="1"/>
    <xf borderId="0" fillId="0" fontId="28" numFmtId="0" xfId="0" applyFont="1"/>
    <xf borderId="0" fillId="0" fontId="21" numFmtId="0" xfId="0" applyFont="1"/>
    <xf borderId="3" fillId="7" fontId="26" numFmtId="0" xfId="0" applyAlignment="1" applyBorder="1" applyFill="1" applyFont="1">
      <alignment horizontal="center"/>
    </xf>
    <xf borderId="3" fillId="7" fontId="29" numFmtId="0" xfId="0" applyAlignment="1" applyBorder="1" applyFill="1" applyFont="1">
      <alignment horizontal="center"/>
    </xf>
    <xf borderId="3" fillId="7" fontId="19" numFmtId="0" xfId="0" applyBorder="1" applyFill="1" applyFont="1"/>
    <xf borderId="3" fillId="4" fontId="26" numFmtId="0" xfId="0" applyBorder="1" applyFill="1" applyFont="1"/>
    <xf borderId="3" fillId="4" fontId="26" numFmtId="0" xfId="0" applyAlignment="1" applyBorder="1" applyFill="1" applyFont="1">
      <alignment horizontal="center"/>
    </xf>
    <xf borderId="0" fillId="4" fontId="26" numFmtId="0" xfId="0" applyAlignment="1" applyFill="1" applyFont="1">
      <alignment horizontal="center"/>
    </xf>
    <xf borderId="20" fillId="5" fontId="26" numFmtId="0" xfId="0" applyBorder="1" applyFill="1" applyFont="1"/>
    <xf borderId="21" fillId="6" fontId="26" numFmtId="0" xfId="0" applyAlignment="1" applyBorder="1" applyFill="1" applyFont="1">
      <alignment horizontal="center" readingOrder="0"/>
    </xf>
    <xf borderId="21" fillId="5" fontId="26" numFmtId="0" xfId="0" applyAlignment="1" applyBorder="1" applyFill="1" applyFont="1">
      <alignment horizontal="center" readingOrder="0"/>
    </xf>
    <xf borderId="22" fillId="5" fontId="26" numFmtId="0" xfId="0" applyAlignment="1" applyBorder="1" applyFill="1" applyFont="1">
      <alignment horizontal="center"/>
    </xf>
    <xf borderId="21" fillId="6" fontId="26" numFmtId="0" xfId="0" applyAlignment="1" applyBorder="1" applyFill="1" applyFont="1">
      <alignment horizontal="center" readingOrder="0" vertical="bottom"/>
    </xf>
    <xf borderId="0" fillId="8" fontId="26" numFmtId="0" xfId="0" applyFill="1" applyFont="1"/>
    <xf borderId="0" fillId="8" fontId="26" numFmtId="0" xfId="0" applyAlignment="1" applyFill="1" applyFont="1">
      <alignment horizontal="center"/>
    </xf>
    <xf borderId="3" fillId="7" fontId="1" numFmtId="0" xfId="0" applyAlignment="1" applyBorder="1" applyFill="1" applyFont="1">
      <alignment horizontal="center"/>
    </xf>
    <xf borderId="3" fillId="7" fontId="4" numFmtId="0" xfId="0" applyBorder="1" applyFill="1" applyFont="1"/>
    <xf borderId="3" fillId="2" fontId="26" numFmtId="0" xfId="0" applyBorder="1" applyFill="1" applyFont="1"/>
    <xf borderId="3" fillId="2" fontId="26" numFmtId="0" xfId="0" applyAlignment="1" applyBorder="1" applyFill="1" applyFont="1">
      <alignment horizontal="center"/>
    </xf>
    <xf borderId="3" fillId="9" fontId="26" numFmtId="0" xfId="0" applyBorder="1" applyFill="1" applyFont="1"/>
    <xf borderId="3" fillId="9" fontId="26" numFmtId="0" xfId="0" applyAlignment="1" applyBorder="1" applyFill="1" applyFont="1">
      <alignment horizontal="center"/>
    </xf>
    <xf borderId="0" fillId="9" fontId="26" numFmtId="0" xfId="0" applyAlignment="1" applyFill="1" applyFont="1">
      <alignment horizontal="center"/>
    </xf>
    <xf borderId="3" fillId="10" fontId="26" numFmtId="0" xfId="0" applyBorder="1" applyFill="1" applyFont="1"/>
    <xf borderId="3" fillId="10" fontId="26" numFmtId="0" xfId="0" applyAlignment="1" applyBorder="1" applyFill="1" applyFont="1">
      <alignment horizontal="center"/>
    </xf>
    <xf borderId="0" fillId="10" fontId="26" numFmtId="0" xfId="0" applyAlignment="1" applyFill="1" applyFont="1">
      <alignment horizontal="center"/>
    </xf>
    <xf borderId="3" fillId="11" fontId="30" numFmtId="0" xfId="0" applyBorder="1" applyFill="1" applyFont="1"/>
    <xf borderId="3" fillId="11" fontId="30" numFmtId="0" xfId="0" applyAlignment="1" applyBorder="1" applyFill="1" applyFont="1">
      <alignment horizontal="center"/>
    </xf>
    <xf borderId="0" fillId="11" fontId="30" numFmtId="0" xfId="0" applyAlignment="1" applyFill="1" applyFont="1">
      <alignment horizontal="center"/>
    </xf>
    <xf borderId="9" fillId="8" fontId="23" numFmtId="0" xfId="0" applyAlignment="1" applyBorder="1" applyFill="1" applyFont="1">
      <alignment horizontal="center" vertical="bottom"/>
    </xf>
    <xf borderId="0" fillId="12" fontId="30" numFmtId="0" xfId="0" applyFill="1" applyFont="1"/>
    <xf borderId="0" fillId="12" fontId="30" numFmtId="0" xfId="0" applyAlignment="1" applyFill="1" applyFont="1">
      <alignment horizontal="center"/>
    </xf>
    <xf borderId="0" fillId="13" fontId="30" numFmtId="0" xfId="0" applyFill="1" applyFont="1"/>
    <xf borderId="0" fillId="13" fontId="30" numFmtId="0" xfId="0" applyAlignment="1" applyFill="1" applyFont="1">
      <alignment horizontal="center"/>
    </xf>
    <xf borderId="15" fillId="8" fontId="16" numFmtId="0" xfId="0" applyAlignment="1" applyBorder="1" applyFill="1" applyFont="1">
      <alignment vertical="bottom"/>
    </xf>
    <xf borderId="16" fillId="8" fontId="16" numFmtId="0" xfId="0" applyAlignment="1" applyBorder="1" applyFill="1" applyFont="1">
      <alignment horizontal="center" vertical="bottom"/>
    </xf>
    <xf borderId="17" fillId="8" fontId="16" numFmtId="0" xfId="0" applyAlignment="1" applyBorder="1" applyFill="1" applyFont="1">
      <alignment horizontal="center" vertical="bottom"/>
    </xf>
    <xf borderId="18" fillId="14" fontId="26" numFmtId="0" xfId="0" applyAlignment="1" applyBorder="1" applyFill="1" applyFont="1">
      <alignment vertical="bottom"/>
    </xf>
    <xf borderId="3" fillId="14" fontId="26" numFmtId="0" xfId="0" applyAlignment="1" applyBorder="1" applyFill="1" applyFont="1">
      <alignment horizontal="center" readingOrder="0" vertical="bottom"/>
    </xf>
    <xf borderId="19" fillId="14" fontId="26" numFmtId="0" xfId="0" applyAlignment="1" applyBorder="1" applyFill="1" applyFont="1">
      <alignment horizontal="center" vertical="bottom"/>
    </xf>
    <xf borderId="20" fillId="14" fontId="26" numFmtId="0" xfId="0" applyAlignment="1" applyBorder="1" applyFill="1" applyFont="1">
      <alignment vertical="bottom"/>
    </xf>
    <xf borderId="21" fillId="14" fontId="26" numFmtId="0" xfId="0" applyAlignment="1" applyBorder="1" applyFill="1" applyFont="1">
      <alignment horizontal="center" readingOrder="0" vertical="bottom"/>
    </xf>
    <xf borderId="22" fillId="14" fontId="26" numFmtId="0" xfId="0" applyAlignment="1" applyBorder="1" applyFill="1" applyFont="1">
      <alignment horizontal="center" vertical="bottom"/>
    </xf>
    <xf borderId="9" fillId="2" fontId="23" numFmtId="0" xfId="0" applyAlignment="1" applyBorder="1" applyFill="1" applyFont="1">
      <alignment horizontal="center" readingOrder="0" vertical="center"/>
    </xf>
    <xf borderId="3" fillId="15" fontId="26" numFmtId="0" xfId="0" applyAlignment="1" applyBorder="1" applyFill="1" applyFont="1">
      <alignment horizontal="center"/>
    </xf>
    <xf borderId="3" fillId="15" fontId="29" numFmtId="0" xfId="0" applyAlignment="1" applyBorder="1" applyFill="1" applyFont="1">
      <alignment horizontal="center"/>
    </xf>
    <xf borderId="3" fillId="15" fontId="19" numFmtId="0" xfId="0" applyBorder="1" applyFill="1" applyFont="1"/>
    <xf borderId="15" fillId="2" fontId="16" numFmtId="0" xfId="0" applyBorder="1" applyFill="1" applyFont="1"/>
    <xf borderId="16" fillId="2" fontId="16" numFmtId="0" xfId="0" applyAlignment="1" applyBorder="1" applyFill="1" applyFont="1">
      <alignment horizontal="center"/>
    </xf>
    <xf borderId="17" fillId="2" fontId="16" numFmtId="0" xfId="0" applyAlignment="1" applyBorder="1" applyFill="1" applyFont="1">
      <alignment horizontal="center"/>
    </xf>
    <xf borderId="18" fillId="16" fontId="26" numFmtId="0" xfId="0" applyBorder="1" applyFill="1" applyFont="1"/>
    <xf borderId="3" fillId="16" fontId="26" numFmtId="0" xfId="0" applyAlignment="1" applyBorder="1" applyFill="1" applyFont="1">
      <alignment horizontal="center" readingOrder="0"/>
    </xf>
    <xf borderId="19" fillId="16" fontId="26" numFmtId="0" xfId="0" applyAlignment="1" applyBorder="1" applyFill="1" applyFont="1">
      <alignment horizontal="center"/>
    </xf>
    <xf borderId="20" fillId="16" fontId="26" numFmtId="0" xfId="0" applyBorder="1" applyFill="1" applyFont="1"/>
    <xf borderId="21" fillId="16" fontId="26" numFmtId="0" xfId="0" applyAlignment="1" applyBorder="1" applyFill="1" applyFont="1">
      <alignment horizontal="center" readingOrder="0"/>
    </xf>
    <xf borderId="22" fillId="16" fontId="26" numFmtId="0" xfId="0" applyAlignment="1" applyBorder="1" applyFill="1" applyFont="1">
      <alignment horizontal="center"/>
    </xf>
    <xf borderId="18" fillId="16" fontId="26" numFmtId="0" xfId="0" applyAlignment="1" applyBorder="1" applyFill="1" applyFont="1">
      <alignment readingOrder="0"/>
    </xf>
    <xf borderId="23" fillId="16" fontId="26" numFmtId="0" xfId="0" applyBorder="1" applyFill="1" applyFont="1"/>
    <xf borderId="24" fillId="16" fontId="26" numFmtId="0" xfId="0" applyAlignment="1" applyBorder="1" applyFill="1" applyFont="1">
      <alignment horizontal="center" readingOrder="0"/>
    </xf>
    <xf borderId="25" fillId="16" fontId="26" numFmtId="0" xfId="0" applyAlignment="1" applyBorder="1" applyFill="1" applyFont="1">
      <alignment horizontal="center"/>
    </xf>
    <xf borderId="26" fillId="9" fontId="23" numFmtId="0" xfId="0" applyAlignment="1" applyBorder="1" applyFill="1" applyFont="1">
      <alignment horizontal="center" readingOrder="0" vertical="center"/>
    </xf>
    <xf borderId="7" fillId="0" fontId="18" numFmtId="0" xfId="0" applyBorder="1" applyFont="1"/>
    <xf borderId="27" fillId="0" fontId="18" numFmtId="0" xfId="0" applyBorder="1" applyFont="1"/>
    <xf borderId="0" fillId="2" fontId="27" numFmtId="0" xfId="0" applyFill="1" applyFont="1"/>
    <xf borderId="15" fillId="9" fontId="16" numFmtId="0" xfId="0" applyBorder="1" applyFill="1" applyFont="1"/>
    <xf borderId="16" fillId="9" fontId="16" numFmtId="0" xfId="0" applyAlignment="1" applyBorder="1" applyFill="1" applyFont="1">
      <alignment horizontal="center"/>
    </xf>
    <xf borderId="17" fillId="9" fontId="16" numFmtId="0" xfId="0" applyAlignment="1" applyBorder="1" applyFill="1" applyFont="1">
      <alignment horizontal="center"/>
    </xf>
    <xf borderId="18" fillId="17" fontId="26" numFmtId="0" xfId="0" applyBorder="1" applyFill="1" applyFont="1"/>
    <xf borderId="3" fillId="17" fontId="26" numFmtId="0" xfId="0" applyAlignment="1" applyBorder="1" applyFill="1" applyFont="1">
      <alignment horizontal="center" readingOrder="0"/>
    </xf>
    <xf borderId="19" fillId="17" fontId="26" numFmtId="0" xfId="0" applyAlignment="1" applyBorder="1" applyFill="1" applyFont="1">
      <alignment horizontal="center"/>
    </xf>
    <xf borderId="20" fillId="17" fontId="26" numFmtId="0" xfId="0" applyBorder="1" applyFill="1" applyFont="1"/>
    <xf borderId="21" fillId="17" fontId="26" numFmtId="0" xfId="0" applyAlignment="1" applyBorder="1" applyFill="1" applyFont="1">
      <alignment horizontal="center" readingOrder="0"/>
    </xf>
    <xf borderId="22" fillId="17" fontId="26" numFmtId="0" xfId="0" applyAlignment="1" applyBorder="1" applyFill="1" applyFont="1">
      <alignment horizontal="center"/>
    </xf>
    <xf borderId="23" fillId="17" fontId="26" numFmtId="0" xfId="0" applyBorder="1" applyFill="1" applyFont="1"/>
    <xf borderId="24" fillId="17" fontId="26" numFmtId="0" xfId="0" applyAlignment="1" applyBorder="1" applyFill="1" applyFont="1">
      <alignment horizontal="center" readingOrder="0"/>
    </xf>
    <xf borderId="25" fillId="17" fontId="26" numFmtId="0" xfId="0" applyAlignment="1" applyBorder="1" applyFill="1" applyFont="1">
      <alignment horizontal="center"/>
    </xf>
    <xf borderId="26" fillId="10" fontId="23" numFmtId="0" xfId="0" applyAlignment="1" applyBorder="1" applyFill="1" applyFont="1">
      <alignment horizontal="center" readingOrder="0" vertical="center"/>
    </xf>
    <xf borderId="15" fillId="10" fontId="16" numFmtId="0" xfId="0" applyBorder="1" applyFill="1" applyFont="1"/>
    <xf borderId="16" fillId="10" fontId="16" numFmtId="0" xfId="0" applyAlignment="1" applyBorder="1" applyFill="1" applyFont="1">
      <alignment horizontal="center"/>
    </xf>
    <xf borderId="17" fillId="10" fontId="16" numFmtId="0" xfId="0" applyAlignment="1" applyBorder="1" applyFill="1" applyFont="1">
      <alignment horizontal="center"/>
    </xf>
    <xf borderId="18" fillId="18" fontId="26" numFmtId="0" xfId="0" applyBorder="1" applyFill="1" applyFont="1"/>
    <xf borderId="3" fillId="18" fontId="26" numFmtId="0" xfId="0" applyAlignment="1" applyBorder="1" applyFill="1" applyFont="1">
      <alignment horizontal="center" readingOrder="0"/>
    </xf>
    <xf borderId="19" fillId="18" fontId="26" numFmtId="0" xfId="0" applyAlignment="1" applyBorder="1" applyFill="1" applyFont="1">
      <alignment horizontal="center"/>
    </xf>
    <xf borderId="20" fillId="18" fontId="26" numFmtId="0" xfId="0" applyBorder="1" applyFill="1" applyFont="1"/>
    <xf borderId="21" fillId="18" fontId="26" numFmtId="0" xfId="0" applyAlignment="1" applyBorder="1" applyFill="1" applyFont="1">
      <alignment horizontal="center" readingOrder="0"/>
    </xf>
    <xf borderId="25" fillId="18" fontId="26" numFmtId="0" xfId="0" applyAlignment="1" applyBorder="1" applyFill="1" applyFont="1">
      <alignment horizontal="center"/>
    </xf>
    <xf borderId="28" fillId="18" fontId="26" numFmtId="0" xfId="0" applyAlignment="1" applyBorder="1" applyFill="1" applyFont="1">
      <alignment horizontal="center"/>
    </xf>
    <xf borderId="22" fillId="18" fontId="26" numFmtId="0" xfId="0" applyAlignment="1" applyBorder="1" applyFill="1" applyFont="1">
      <alignment horizontal="center"/>
    </xf>
    <xf borderId="0" fillId="2" fontId="11" numFmtId="0" xfId="0" applyAlignment="1" applyFill="1" applyFont="1">
      <alignment readingOrder="0" shrinkToFit="0" vertical="bottom" wrapText="0"/>
    </xf>
    <xf borderId="23" fillId="18" fontId="26" numFmtId="0" xfId="0" applyBorder="1" applyFill="1" applyFont="1"/>
    <xf borderId="24" fillId="18" fontId="26" numFmtId="0" xfId="0" applyAlignment="1" applyBorder="1" applyFill="1" applyFont="1">
      <alignment horizontal="center" readingOrder="0"/>
    </xf>
    <xf borderId="26" fillId="11" fontId="31" numFmtId="0" xfId="0" applyAlignment="1" applyBorder="1" applyFill="1" applyFont="1">
      <alignment horizontal="center" readingOrder="0" vertical="center"/>
    </xf>
    <xf borderId="0" fillId="0" fontId="32" numFmtId="0" xfId="0" applyAlignment="1" applyFont="1">
      <alignment horizontal="center"/>
    </xf>
    <xf borderId="15" fillId="11" fontId="24" numFmtId="0" xfId="0" applyBorder="1" applyFill="1" applyFont="1"/>
    <xf borderId="16" fillId="11" fontId="24" numFmtId="0" xfId="0" applyAlignment="1" applyBorder="1" applyFill="1" applyFont="1">
      <alignment horizontal="center"/>
    </xf>
    <xf borderId="17" fillId="11" fontId="24" numFmtId="0" xfId="0" applyAlignment="1" applyBorder="1" applyFill="1" applyFont="1">
      <alignment horizontal="center"/>
    </xf>
    <xf borderId="0" fillId="0" fontId="32" numFmtId="0" xfId="0" applyAlignment="1" applyFont="1">
      <alignment horizontal="center" readingOrder="0"/>
    </xf>
    <xf borderId="18" fillId="19" fontId="26" numFmtId="0" xfId="0" applyBorder="1" applyFill="1" applyFont="1"/>
    <xf borderId="3" fillId="19" fontId="26" numFmtId="0" xfId="0" applyAlignment="1" applyBorder="1" applyFill="1" applyFont="1">
      <alignment horizontal="center" readingOrder="0"/>
    </xf>
    <xf borderId="19" fillId="19" fontId="26" numFmtId="0" xfId="0" applyAlignment="1" applyBorder="1" applyFill="1" applyFont="1">
      <alignment horizontal="center"/>
    </xf>
    <xf borderId="20" fillId="19" fontId="26" numFmtId="0" xfId="0" applyBorder="1" applyFill="1" applyFont="1"/>
    <xf borderId="21" fillId="19" fontId="26" numFmtId="0" xfId="0" applyAlignment="1" applyBorder="1" applyFill="1" applyFont="1">
      <alignment horizontal="center" readingOrder="0"/>
    </xf>
    <xf borderId="22" fillId="19" fontId="26" numFmtId="0" xfId="0" applyAlignment="1" applyBorder="1" applyFill="1" applyFont="1">
      <alignment horizontal="center"/>
    </xf>
    <xf borderId="28" fillId="19" fontId="26" numFmtId="0" xfId="0" applyAlignment="1" applyBorder="1" applyFill="1" applyFont="1">
      <alignment horizontal="center"/>
    </xf>
    <xf borderId="25" fillId="19" fontId="26" numFmtId="0" xfId="0" applyAlignment="1" applyBorder="1" applyFill="1" applyFont="1">
      <alignment horizontal="center"/>
    </xf>
    <xf borderId="26" fillId="12" fontId="31" numFmtId="0" xfId="0" applyAlignment="1" applyBorder="1" applyFill="1" applyFont="1">
      <alignment horizontal="center" readingOrder="0" vertical="center"/>
    </xf>
    <xf borderId="15" fillId="12" fontId="24" numFmtId="0" xfId="0" applyBorder="1" applyFill="1" applyFont="1"/>
    <xf borderId="16" fillId="12" fontId="24" numFmtId="0" xfId="0" applyAlignment="1" applyBorder="1" applyFill="1" applyFont="1">
      <alignment horizontal="center"/>
    </xf>
    <xf borderId="17" fillId="12" fontId="24" numFmtId="0" xfId="0" applyAlignment="1" applyBorder="1" applyFill="1" applyFont="1">
      <alignment horizontal="center"/>
    </xf>
    <xf borderId="0" fillId="0" fontId="32" numFmtId="0" xfId="0" applyAlignment="1" applyFont="1">
      <alignment horizontal="center" readingOrder="0" vertical="bottom"/>
    </xf>
    <xf borderId="18" fillId="20" fontId="26" numFmtId="0" xfId="0" applyBorder="1" applyFill="1" applyFont="1"/>
    <xf borderId="3" fillId="6" fontId="26" numFmtId="0" xfId="0" applyAlignment="1" applyBorder="1" applyFill="1" applyFont="1">
      <alignment horizontal="center" vertical="bottom"/>
    </xf>
    <xf borderId="3" fillId="20" fontId="26" numFmtId="0" xfId="0" applyAlignment="1" applyBorder="1" applyFill="1" applyFont="1">
      <alignment horizontal="center" readingOrder="0"/>
    </xf>
    <xf borderId="19" fillId="20" fontId="26" numFmtId="0" xfId="0" applyAlignment="1" applyBorder="1" applyFill="1" applyFont="1">
      <alignment horizontal="center"/>
    </xf>
    <xf borderId="0" fillId="0" fontId="33" numFmtId="0" xfId="0" applyAlignment="1" applyFont="1">
      <alignment vertical="bottom"/>
    </xf>
    <xf borderId="20" fillId="20" fontId="26" numFmtId="0" xfId="0" applyBorder="1" applyFill="1" applyFont="1"/>
    <xf borderId="21" fillId="6" fontId="26" numFmtId="0" xfId="0" applyAlignment="1" applyBorder="1" applyFill="1" applyFont="1">
      <alignment horizontal="center" vertical="bottom"/>
    </xf>
    <xf borderId="21" fillId="20" fontId="26" numFmtId="0" xfId="0" applyAlignment="1" applyBorder="1" applyFill="1" applyFont="1">
      <alignment horizontal="center" readingOrder="0"/>
    </xf>
    <xf borderId="22" fillId="20" fontId="26" numFmtId="0" xfId="0" applyAlignment="1" applyBorder="1" applyFill="1" applyFont="1">
      <alignment horizontal="center"/>
    </xf>
    <xf borderId="28" fillId="20" fontId="26" numFmtId="0" xfId="0" applyAlignment="1" applyBorder="1" applyFill="1" applyFont="1">
      <alignment horizontal="center"/>
    </xf>
    <xf borderId="25" fillId="20" fontId="26" numFmtId="0" xfId="0" applyAlignment="1" applyBorder="1" applyFill="1" applyFont="1">
      <alignment horizontal="center"/>
    </xf>
    <xf borderId="26" fillId="13" fontId="31" numFmtId="0" xfId="0" applyAlignment="1" applyBorder="1" applyFill="1" applyFont="1">
      <alignment horizontal="center" readingOrder="0" vertical="center"/>
    </xf>
    <xf borderId="15" fillId="13" fontId="24" numFmtId="0" xfId="0" applyBorder="1" applyFill="1" applyFont="1"/>
    <xf borderId="16" fillId="13" fontId="24" numFmtId="0" xfId="0" applyAlignment="1" applyBorder="1" applyFill="1" applyFont="1">
      <alignment horizontal="center"/>
    </xf>
    <xf borderId="17" fillId="13" fontId="24" numFmtId="0" xfId="0" applyAlignment="1" applyBorder="1" applyFill="1" applyFont="1">
      <alignment horizontal="center"/>
    </xf>
    <xf borderId="18" fillId="21" fontId="26" numFmtId="0" xfId="0" applyBorder="1" applyFill="1" applyFont="1"/>
    <xf borderId="3" fillId="21" fontId="26" numFmtId="0" xfId="0" applyAlignment="1" applyBorder="1" applyFill="1" applyFont="1">
      <alignment horizontal="center" readingOrder="0"/>
    </xf>
    <xf borderId="19" fillId="21" fontId="26" numFmtId="0" xfId="0" applyAlignment="1" applyBorder="1" applyFill="1" applyFont="1">
      <alignment horizontal="center"/>
    </xf>
    <xf borderId="20" fillId="21" fontId="26" numFmtId="0" xfId="0" applyBorder="1" applyFill="1" applyFont="1"/>
    <xf borderId="21" fillId="21" fontId="26" numFmtId="0" xfId="0" applyAlignment="1" applyBorder="1" applyFill="1" applyFont="1">
      <alignment horizontal="center" readingOrder="0"/>
    </xf>
    <xf borderId="22" fillId="21" fontId="26" numFmtId="0" xfId="0" applyAlignment="1" applyBorder="1" applyFill="1" applyFont="1">
      <alignment horizontal="center"/>
    </xf>
    <xf borderId="28" fillId="21" fontId="26" numFmtId="0" xfId="0" applyAlignment="1" applyBorder="1" applyFill="1" applyFont="1">
      <alignment horizontal="center"/>
    </xf>
    <xf borderId="3" fillId="3" fontId="34" numFmtId="0" xfId="0" applyBorder="1" applyFill="1" applyFont="1"/>
    <xf borderId="3" fillId="22" fontId="4" numFmtId="0" xfId="0" applyBorder="1" applyFill="1" applyFont="1"/>
    <xf borderId="12" fillId="3" fontId="34" numFmtId="0" xfId="0" applyBorder="1" applyFill="1" applyFont="1"/>
    <xf borderId="3" fillId="3" fontId="34" numFmtId="0" xfId="0" applyAlignment="1" applyBorder="1" applyFill="1" applyFont="1">
      <alignment readingOrder="0"/>
    </xf>
    <xf borderId="12" fillId="3" fontId="34" numFmtId="0" xfId="0" applyAlignment="1" applyBorder="1" applyFill="1" applyFont="1">
      <alignment readingOrder="0"/>
    </xf>
    <xf borderId="3" fillId="23" fontId="4" numFmtId="0" xfId="0" applyBorder="1" applyFill="1" applyFont="1"/>
    <xf borderId="0" fillId="3" fontId="35" numFmtId="0" xfId="0" applyFill="1" applyFont="1"/>
    <xf borderId="0" fillId="24" fontId="35" numFmtId="0" xfId="0" applyAlignment="1" applyFill="1" applyFont="1">
      <alignment readingOrder="0"/>
    </xf>
    <xf borderId="0" fillId="24" fontId="35" numFmtId="0" xfId="0" applyFill="1" applyFont="1"/>
    <xf borderId="0" fillId="0" fontId="1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5" numFmtId="0" xfId="0" applyFont="1"/>
    <xf borderId="0" fillId="0" fontId="36" numFmtId="0" xfId="0" applyFont="1"/>
    <xf borderId="0" fillId="21" fontId="4" numFmtId="0" xfId="0" applyAlignment="1" applyFill="1" applyFont="1">
      <alignment readingOrder="0"/>
    </xf>
    <xf borderId="29" fillId="0" fontId="4" numFmtId="0" xfId="0" applyBorder="1" applyFont="1"/>
    <xf borderId="29" fillId="0" fontId="35" numFmtId="0" xfId="0" applyBorder="1" applyFont="1"/>
    <xf borderId="29" fillId="0" fontId="36" numFmtId="0" xfId="0" applyBorder="1" applyFont="1"/>
    <xf borderId="0" fillId="25" fontId="35" numFmtId="0" xfId="0" applyAlignment="1" applyFill="1" applyFont="1">
      <alignment readingOrder="0"/>
    </xf>
    <xf borderId="0" fillId="25" fontId="4" numFmtId="0" xfId="0" applyAlignment="1" applyFill="1" applyFont="1">
      <alignment readingOrder="0"/>
    </xf>
    <xf borderId="0" fillId="17" fontId="33" numFmtId="0" xfId="0" applyAlignment="1" applyFill="1" applyFont="1">
      <alignment vertical="bottom"/>
    </xf>
    <xf borderId="0" fillId="17" fontId="33" numFmtId="0" xfId="0" applyAlignment="1" applyFill="1" applyFont="1">
      <alignment readingOrder="0" vertical="bottom"/>
    </xf>
    <xf borderId="0" fillId="21" fontId="35" numFmtId="0" xfId="0" applyAlignment="1" applyFill="1" applyFont="1">
      <alignment readingOrder="0"/>
    </xf>
    <xf borderId="0" fillId="21" fontId="33" numFmtId="0" xfId="0" applyAlignment="1" applyFill="1" applyFont="1">
      <alignment readingOrder="0" vertical="bottom"/>
    </xf>
    <xf borderId="12" fillId="22" fontId="4" numFmtId="0" xfId="0" applyBorder="1" applyFill="1" applyFont="1"/>
    <xf borderId="14" fillId="23" fontId="4" numFmtId="0" xfId="0" applyBorder="1" applyFill="1" applyFont="1"/>
    <xf borderId="0" fillId="0" fontId="35" numFmtId="0" xfId="0" applyAlignment="1" applyFont="1">
      <alignment readingOrder="0"/>
    </xf>
    <xf borderId="0" fillId="26" fontId="33" numFmtId="0" xfId="0" applyAlignment="1" applyFill="1" applyFont="1">
      <alignment vertical="bottom"/>
    </xf>
    <xf borderId="0" fillId="0" fontId="37" numFmtId="0" xfId="0" applyFont="1"/>
    <xf borderId="29" fillId="0" fontId="37" numFmtId="0" xfId="0" applyBorder="1" applyFont="1"/>
    <xf borderId="0" fillId="0" fontId="4" numFmtId="0" xfId="0" applyFont="1"/>
    <xf borderId="3" fillId="0" fontId="4" numFmtId="0" xfId="0" applyBorder="1" applyFont="1"/>
    <xf borderId="0" fillId="0" fontId="4" numFmtId="0" xfId="0" applyAlignment="1" applyFont="1">
      <alignment readingOrder="0"/>
    </xf>
    <xf borderId="0" fillId="0" fontId="38" numFmtId="0" xfId="0" applyFont="1"/>
    <xf borderId="29" fillId="0" fontId="38" numFmtId="0" xfId="0" applyBorder="1" applyFont="1"/>
    <xf borderId="3" fillId="2" fontId="4" numFmtId="0" xfId="0" applyBorder="1" applyFill="1" applyFont="1"/>
    <xf borderId="10" fillId="0" fontId="16" numFmtId="18" xfId="0" applyAlignment="1" applyBorder="1" applyFont="1" applyNumberFormat="1">
      <alignment horizontal="center"/>
    </xf>
    <xf borderId="9" fillId="4" fontId="23" numFmtId="0" xfId="0" applyAlignment="1" applyBorder="1" applyFill="1" applyFont="1">
      <alignment horizontal="center" vertical="center"/>
    </xf>
    <xf borderId="16" fillId="4" fontId="16" numFmtId="0" xfId="0" applyBorder="1" applyFill="1" applyFont="1"/>
    <xf borderId="3" fillId="6" fontId="26" numFmtId="0" xfId="0" applyBorder="1" applyFill="1" applyFont="1"/>
    <xf borderId="3" fillId="5" fontId="26" numFmtId="0" xfId="0" applyBorder="1" applyFill="1" applyFont="1"/>
    <xf borderId="3" fillId="6" fontId="26" numFmtId="0" xfId="0" applyAlignment="1" applyBorder="1" applyFill="1" applyFont="1">
      <alignment horizontal="center"/>
    </xf>
    <xf borderId="3" fillId="5" fontId="26" numFmtId="0" xfId="0" applyAlignment="1" applyBorder="1" applyFill="1" applyFont="1">
      <alignment horizontal="center"/>
    </xf>
    <xf borderId="0" fillId="0" fontId="26" numFmtId="0" xfId="0" applyAlignment="1" applyFont="1">
      <alignment readingOrder="0" vertical="top"/>
    </xf>
    <xf borderId="0" fillId="0" fontId="28" numFmtId="0" xfId="0" applyFont="1"/>
    <xf borderId="21" fillId="6" fontId="26" numFmtId="0" xfId="0" applyBorder="1" applyFill="1" applyFont="1"/>
    <xf borderId="21" fillId="5" fontId="26" numFmtId="0" xfId="0" applyBorder="1" applyFill="1" applyFont="1"/>
    <xf borderId="21" fillId="6" fontId="26" numFmtId="0" xfId="0" applyAlignment="1" applyBorder="1" applyFill="1" applyFont="1">
      <alignment horizontal="center"/>
    </xf>
    <xf borderId="21" fillId="5" fontId="26" numFmtId="0" xfId="0" applyAlignment="1" applyBorder="1" applyFill="1" applyFont="1">
      <alignment horizontal="center"/>
    </xf>
    <xf borderId="0" fillId="0" fontId="26" numFmtId="0" xfId="0" applyAlignment="1" applyFont="1">
      <alignment vertical="top"/>
    </xf>
    <xf borderId="3" fillId="12" fontId="30" numFmtId="0" xfId="0" applyBorder="1" applyFill="1" applyFont="1"/>
    <xf borderId="3" fillId="12" fontId="30" numFmtId="0" xfId="0" applyAlignment="1" applyBorder="1" applyFill="1" applyFont="1">
      <alignment horizontal="center"/>
    </xf>
    <xf borderId="9" fillId="2" fontId="23" numFmtId="0" xfId="0" applyAlignment="1" applyBorder="1" applyFill="1" applyFont="1">
      <alignment horizontal="center" vertical="center"/>
    </xf>
    <xf borderId="16" fillId="2" fontId="16" numFmtId="0" xfId="0" applyBorder="1" applyFill="1" applyFont="1"/>
    <xf borderId="3" fillId="16" fontId="26" numFmtId="0" xfId="0" applyBorder="1" applyFill="1" applyFont="1"/>
    <xf borderId="30" fillId="6" fontId="26" numFmtId="0" xfId="0" applyAlignment="1" applyBorder="1" applyFill="1" applyFont="1">
      <alignment horizontal="center"/>
    </xf>
    <xf borderId="21" fillId="16" fontId="26" numFmtId="0" xfId="0" applyBorder="1" applyFill="1" applyFont="1"/>
    <xf borderId="26" fillId="9" fontId="23" numFmtId="0" xfId="0" applyAlignment="1" applyBorder="1" applyFill="1" applyFont="1">
      <alignment horizontal="center" vertical="center"/>
    </xf>
    <xf borderId="16" fillId="9" fontId="16" numFmtId="0" xfId="0" applyBorder="1" applyFill="1" applyFont="1"/>
    <xf borderId="3" fillId="17" fontId="26" numFmtId="0" xfId="0" applyBorder="1" applyFill="1" applyFont="1"/>
    <xf borderId="21" fillId="17" fontId="26" numFmtId="0" xfId="0" applyBorder="1" applyFill="1" applyFont="1"/>
    <xf borderId="16" fillId="10" fontId="16" numFmtId="0" xfId="0" applyBorder="1" applyFill="1" applyFont="1"/>
    <xf borderId="3" fillId="18" fontId="26" numFmtId="0" xfId="0" applyBorder="1" applyFill="1" applyFont="1"/>
    <xf borderId="21" fillId="18" fontId="26" numFmtId="0" xfId="0" applyBorder="1" applyFill="1" applyFont="1"/>
    <xf borderId="26" fillId="12" fontId="31" numFmtId="0" xfId="0" applyAlignment="1" applyBorder="1" applyFill="1" applyFont="1">
      <alignment horizontal="center" vertical="center"/>
    </xf>
    <xf borderId="16" fillId="12" fontId="24" numFmtId="0" xfId="0" applyBorder="1" applyFill="1" applyFont="1"/>
    <xf borderId="3" fillId="20" fontId="26" numFmtId="0" xfId="0" applyBorder="1" applyFill="1" applyFont="1"/>
    <xf borderId="21" fillId="20" fontId="26" numFmtId="0" xfId="0" applyBorder="1" applyFill="1" applyFont="1"/>
    <xf borderId="17" fillId="4" fontId="16" numFmtId="0" xfId="0" applyBorder="1" applyFill="1" applyFont="1"/>
    <xf borderId="0" fillId="0" fontId="26" numFmtId="0" xfId="0" applyAlignment="1" applyFont="1">
      <alignment horizontal="left"/>
    </xf>
    <xf borderId="0" fillId="0" fontId="26" numFmtId="0" xfId="0" applyFont="1"/>
    <xf borderId="9" fillId="8" fontId="23" numFmtId="0" xfId="0" applyAlignment="1" applyBorder="1" applyFill="1" applyFont="1">
      <alignment horizontal="center"/>
    </xf>
    <xf borderId="20" fillId="8" fontId="16" numFmtId="0" xfId="0" applyBorder="1" applyFill="1" applyFont="1"/>
    <xf borderId="21" fillId="8" fontId="16" numFmtId="0" xfId="0" applyBorder="1" applyFill="1" applyFont="1"/>
    <xf borderId="22" fillId="8" fontId="16" numFmtId="0" xfId="0" applyBorder="1" applyFill="1" applyFont="1"/>
    <xf borderId="18" fillId="14" fontId="26" numFmtId="0" xfId="0" applyBorder="1" applyFill="1" applyFont="1"/>
    <xf borderId="19" fillId="14" fontId="26" numFmtId="0" xfId="0" applyAlignment="1" applyBorder="1" applyFill="1" applyFont="1">
      <alignment horizontal="center"/>
    </xf>
    <xf borderId="3" fillId="14" fontId="26" numFmtId="0" xfId="0" applyBorder="1" applyFill="1" applyFont="1"/>
    <xf borderId="20" fillId="14" fontId="26" numFmtId="0" xfId="0" applyBorder="1" applyFill="1" applyFont="1"/>
    <xf borderId="22" fillId="14" fontId="26" numFmtId="0" xfId="0" applyAlignment="1" applyBorder="1" applyFill="1" applyFont="1">
      <alignment horizontal="center"/>
    </xf>
    <xf borderId="21" fillId="14" fontId="26" numFmtId="0" xfId="0" applyBorder="1" applyFill="1" applyFont="1"/>
    <xf borderId="31" fillId="2" fontId="23" numFmtId="0" xfId="0" applyAlignment="1" applyBorder="1" applyFill="1" applyFont="1">
      <alignment horizontal="center"/>
    </xf>
    <xf borderId="32" fillId="0" fontId="18" numFmtId="0" xfId="0" applyBorder="1" applyFont="1"/>
    <xf borderId="33" fillId="0" fontId="18" numFmtId="0" xfId="0" applyBorder="1" applyFont="1"/>
    <xf borderId="20" fillId="2" fontId="16" numFmtId="0" xfId="0" applyBorder="1" applyFill="1" applyFont="1"/>
    <xf borderId="21" fillId="2" fontId="16" numFmtId="0" xfId="0" applyBorder="1" applyFill="1" applyFont="1"/>
    <xf borderId="22" fillId="2" fontId="16" numFmtId="0" xfId="0" applyBorder="1" applyFill="1" applyFont="1"/>
    <xf borderId="31" fillId="26" fontId="23" numFmtId="0" xfId="0" applyAlignment="1" applyBorder="1" applyFill="1" applyFont="1">
      <alignment horizontal="center"/>
    </xf>
    <xf borderId="34" fillId="0" fontId="18" numFmtId="0" xfId="0" applyBorder="1" applyFont="1"/>
    <xf borderId="35" fillId="0" fontId="18" numFmtId="0" xfId="0" applyBorder="1" applyFont="1"/>
    <xf borderId="36" fillId="0" fontId="18" numFmtId="0" xfId="0" applyBorder="1" applyFont="1"/>
    <xf borderId="20" fillId="26" fontId="16" numFmtId="0" xfId="0" applyBorder="1" applyFill="1" applyFont="1"/>
    <xf borderId="21" fillId="26" fontId="16" numFmtId="0" xfId="0" applyBorder="1" applyFill="1" applyFont="1"/>
    <xf borderId="22" fillId="26" fontId="16" numFmtId="0" xfId="0" applyBorder="1" applyFill="1" applyFont="1"/>
    <xf borderId="18" fillId="27" fontId="26" numFmtId="0" xfId="0" applyBorder="1" applyFill="1" applyFont="1"/>
    <xf borderId="19" fillId="27" fontId="26" numFmtId="0" xfId="0" applyAlignment="1" applyBorder="1" applyFill="1" applyFont="1">
      <alignment horizontal="center"/>
    </xf>
    <xf borderId="3" fillId="27" fontId="26" numFmtId="0" xfId="0" applyBorder="1" applyFill="1" applyFont="1"/>
    <xf borderId="20" fillId="27" fontId="26" numFmtId="0" xfId="0" applyBorder="1" applyFill="1" applyFont="1"/>
    <xf borderId="22" fillId="27" fontId="26" numFmtId="0" xfId="0" applyAlignment="1" applyBorder="1" applyFill="1" applyFont="1">
      <alignment horizontal="center"/>
    </xf>
    <xf borderId="21" fillId="27" fontId="26" numFmtId="0" xfId="0" applyBorder="1" applyFill="1" applyFont="1"/>
    <xf borderId="31" fillId="28" fontId="23" numFmtId="0" xfId="0" applyAlignment="1" applyBorder="1" applyFill="1" applyFont="1">
      <alignment horizontal="center"/>
    </xf>
    <xf borderId="20" fillId="28" fontId="16" numFmtId="0" xfId="0" applyBorder="1" applyFill="1" applyFont="1"/>
    <xf borderId="21" fillId="28" fontId="16" numFmtId="0" xfId="0" applyBorder="1" applyFill="1" applyFont="1"/>
    <xf borderId="22" fillId="28" fontId="16" numFmtId="0" xfId="0" applyBorder="1" applyFill="1" applyFont="1"/>
    <xf borderId="31" fillId="10" fontId="23" numFmtId="0" xfId="0" applyAlignment="1" applyBorder="1" applyFill="1" applyFont="1">
      <alignment horizontal="center" readingOrder="0"/>
    </xf>
    <xf borderId="20" fillId="10" fontId="16" numFmtId="0" xfId="0" applyBorder="1" applyFill="1" applyFont="1"/>
    <xf borderId="21" fillId="10" fontId="16" numFmtId="0" xfId="0" applyBorder="1" applyFill="1" applyFont="1"/>
    <xf borderId="22" fillId="10" fontId="16" numFmtId="0" xfId="0" applyBorder="1" applyFill="1" applyFont="1"/>
    <xf borderId="31" fillId="29" fontId="23" numFmtId="0" xfId="0" applyAlignment="1" applyBorder="1" applyFill="1" applyFont="1">
      <alignment horizontal="center"/>
    </xf>
    <xf borderId="20" fillId="29" fontId="16" numFmtId="0" xfId="0" applyBorder="1" applyFill="1" applyFont="1"/>
    <xf borderId="21" fillId="29" fontId="16" numFmtId="0" xfId="0" applyBorder="1" applyFill="1" applyFont="1"/>
    <xf borderId="22" fillId="29" fontId="16" numFmtId="0" xfId="0" applyBorder="1" applyFill="1" applyFont="1"/>
    <xf borderId="18" fillId="30" fontId="26" numFmtId="0" xfId="0" applyBorder="1" applyFill="1" applyFont="1"/>
    <xf borderId="19" fillId="30" fontId="26" numFmtId="0" xfId="0" applyAlignment="1" applyBorder="1" applyFill="1" applyFont="1">
      <alignment horizontal="center"/>
    </xf>
    <xf borderId="3" fillId="30" fontId="26" numFmtId="0" xfId="0" applyBorder="1" applyFill="1" applyFont="1"/>
    <xf borderId="20" fillId="30" fontId="26" numFmtId="0" xfId="0" applyBorder="1" applyFill="1" applyFont="1"/>
    <xf borderId="22" fillId="30" fontId="26" numFmtId="0" xfId="0" applyAlignment="1" applyBorder="1" applyFill="1" applyFont="1">
      <alignment horizontal="center"/>
    </xf>
    <xf borderId="21" fillId="30" fontId="26" numFmtId="0" xfId="0" applyBorder="1" applyFill="1" applyFont="1"/>
    <xf borderId="31" fillId="31" fontId="31" numFmtId="0" xfId="0" applyAlignment="1" applyBorder="1" applyFill="1" applyFont="1">
      <alignment horizontal="center"/>
    </xf>
    <xf borderId="20" fillId="31" fontId="24" numFmtId="0" xfId="0" applyBorder="1" applyFill="1" applyFont="1"/>
    <xf borderId="21" fillId="31" fontId="24" numFmtId="0" xfId="0" applyBorder="1" applyFill="1" applyFont="1"/>
    <xf borderId="22" fillId="31" fontId="24" numFmtId="0" xfId="0" applyBorder="1" applyFill="1" applyFont="1"/>
    <xf borderId="18" fillId="32" fontId="26" numFmtId="0" xfId="0" applyBorder="1" applyFill="1" applyFont="1"/>
    <xf borderId="19" fillId="32" fontId="26" numFmtId="0" xfId="0" applyAlignment="1" applyBorder="1" applyFill="1" applyFont="1">
      <alignment horizontal="center"/>
    </xf>
    <xf borderId="3" fillId="32" fontId="26" numFmtId="0" xfId="0" applyBorder="1" applyFill="1" applyFont="1"/>
    <xf borderId="20" fillId="32" fontId="26" numFmtId="0" xfId="0" applyBorder="1" applyFill="1" applyFont="1"/>
    <xf borderId="22" fillId="32" fontId="26" numFmtId="0" xfId="0" applyAlignment="1" applyBorder="1" applyFill="1" applyFont="1">
      <alignment horizontal="center"/>
    </xf>
    <xf borderId="21" fillId="32" fontId="26" numFmtId="0" xfId="0" applyBorder="1" applyFill="1" applyFont="1"/>
    <xf borderId="31" fillId="12" fontId="31" numFmtId="0" xfId="0" applyAlignment="1" applyBorder="1" applyFill="1" applyFont="1">
      <alignment horizontal="center"/>
    </xf>
    <xf borderId="20" fillId="12" fontId="24" numFmtId="0" xfId="0" applyBorder="1" applyFill="1" applyFont="1"/>
    <xf borderId="21" fillId="12" fontId="24" numFmtId="0" xfId="0" applyBorder="1" applyFill="1" applyFont="1"/>
    <xf borderId="22" fillId="12" fontId="24" numFmtId="0" xfId="0" applyBorder="1" applyFill="1" applyFont="1"/>
    <xf borderId="31" fillId="33" fontId="23" numFmtId="0" xfId="0" applyAlignment="1" applyBorder="1" applyFill="1" applyFont="1">
      <alignment horizontal="center"/>
    </xf>
    <xf borderId="20" fillId="33" fontId="16" numFmtId="0" xfId="0" applyBorder="1" applyFill="1" applyFont="1"/>
    <xf borderId="21" fillId="33" fontId="16" numFmtId="0" xfId="0" applyBorder="1" applyFill="1" applyFont="1"/>
    <xf borderId="22" fillId="33" fontId="16" numFmtId="0" xfId="0" applyBorder="1" applyFill="1" applyFont="1"/>
    <xf borderId="18" fillId="34" fontId="26" numFmtId="0" xfId="0" applyBorder="1" applyFill="1" applyFont="1"/>
    <xf borderId="19" fillId="34" fontId="26" numFmtId="0" xfId="0" applyAlignment="1" applyBorder="1" applyFill="1" applyFont="1">
      <alignment horizontal="center"/>
    </xf>
    <xf borderId="3" fillId="34" fontId="26" numFmtId="0" xfId="0" applyBorder="1" applyFill="1" applyFont="1"/>
    <xf borderId="20" fillId="34" fontId="26" numFmtId="0" xfId="0" applyBorder="1" applyFill="1" applyFont="1"/>
    <xf borderId="22" fillId="34" fontId="26" numFmtId="0" xfId="0" applyAlignment="1" applyBorder="1" applyFill="1" applyFont="1">
      <alignment horizontal="center"/>
    </xf>
    <xf borderId="21" fillId="34" fontId="26" numFmtId="0" xfId="0" applyBorder="1" applyFill="1" applyFont="1"/>
    <xf borderId="31" fillId="35" fontId="31" numFmtId="0" xfId="0" applyAlignment="1" applyBorder="1" applyFill="1" applyFont="1">
      <alignment horizontal="center"/>
    </xf>
    <xf borderId="20" fillId="35" fontId="24" numFmtId="0" xfId="0" applyBorder="1" applyFill="1" applyFont="1"/>
    <xf borderId="21" fillId="35" fontId="24" numFmtId="0" xfId="0" applyBorder="1" applyFill="1" applyFont="1"/>
    <xf borderId="22" fillId="35" fontId="24" numFmtId="0" xfId="0" applyBorder="1" applyFill="1" applyFont="1"/>
    <xf borderId="18" fillId="36" fontId="26" numFmtId="0" xfId="0" applyBorder="1" applyFill="1" applyFont="1"/>
    <xf borderId="19" fillId="36" fontId="26" numFmtId="0" xfId="0" applyAlignment="1" applyBorder="1" applyFill="1" applyFont="1">
      <alignment horizontal="center"/>
    </xf>
    <xf borderId="3" fillId="36" fontId="26" numFmtId="0" xfId="0" applyBorder="1" applyFill="1" applyFont="1"/>
    <xf borderId="20" fillId="36" fontId="26" numFmtId="0" xfId="0" applyBorder="1" applyFill="1" applyFont="1"/>
    <xf borderId="22" fillId="36" fontId="26" numFmtId="0" xfId="0" applyAlignment="1" applyBorder="1" applyFill="1" applyFont="1">
      <alignment horizontal="center"/>
    </xf>
    <xf borderId="21" fillId="36" fontId="26" numFmtId="0" xfId="0" applyBorder="1" applyFill="1" applyFont="1"/>
    <xf borderId="19" fillId="5" fontId="26" numFmtId="0" xfId="0" applyBorder="1" applyFill="1" applyFont="1"/>
    <xf borderId="0" fillId="0" fontId="19" numFmtId="0" xfId="0" applyAlignment="1" applyFont="1">
      <alignment horizontal="left"/>
    </xf>
    <xf borderId="22" fillId="5" fontId="26" numFmtId="0" xfId="0" applyBorder="1" applyFill="1" applyFont="1"/>
    <xf borderId="37" fillId="5" fontId="26" numFmtId="0" xfId="0" applyBorder="1" applyFill="1" applyFont="1"/>
    <xf borderId="38" fillId="5" fontId="26" numFmtId="0" xfId="0" applyBorder="1" applyFill="1" applyFont="1"/>
    <xf borderId="39" fillId="5" fontId="26" numFmtId="0" xfId="0" applyBorder="1" applyFill="1" applyFont="1"/>
    <xf borderId="9" fillId="8" fontId="23" numFmtId="0" xfId="0" applyAlignment="1" applyBorder="1" applyFill="1" applyFont="1">
      <alignment horizontal="center" vertical="center"/>
    </xf>
    <xf borderId="15" fillId="8" fontId="16" numFmtId="0" xfId="0" applyBorder="1" applyFill="1" applyFont="1"/>
    <xf borderId="16" fillId="8" fontId="16" numFmtId="0" xfId="0" applyBorder="1" applyFill="1" applyFont="1"/>
    <xf borderId="17" fillId="8" fontId="16" numFmtId="0" xfId="0" applyBorder="1" applyFill="1" applyFont="1"/>
    <xf borderId="19" fillId="14" fontId="26" numFmtId="0" xfId="0" applyBorder="1" applyFill="1" applyFont="1"/>
    <xf borderId="22" fillId="14" fontId="26" numFmtId="0" xfId="0" applyBorder="1" applyFill="1" applyFont="1"/>
    <xf borderId="37" fillId="14" fontId="26" numFmtId="0" xfId="0" applyBorder="1" applyFill="1" applyFont="1"/>
    <xf borderId="38" fillId="14" fontId="26" numFmtId="0" xfId="0" applyBorder="1" applyFill="1" applyFont="1"/>
    <xf borderId="39" fillId="14" fontId="26" numFmtId="0" xfId="0" applyBorder="1" applyFill="1" applyFont="1"/>
    <xf borderId="17" fillId="2" fontId="16" numFmtId="0" xfId="0" applyBorder="1" applyFill="1" applyFont="1"/>
    <xf borderId="19" fillId="16" fontId="26" numFmtId="0" xfId="0" applyBorder="1" applyFill="1" applyFont="1"/>
    <xf borderId="22" fillId="16" fontId="26" numFmtId="0" xfId="0" applyBorder="1" applyFill="1" applyFont="1"/>
    <xf borderId="37" fillId="16" fontId="26" numFmtId="0" xfId="0" applyBorder="1" applyFill="1" applyFont="1"/>
    <xf borderId="38" fillId="16" fontId="26" numFmtId="0" xfId="0" applyBorder="1" applyFill="1" applyFont="1"/>
    <xf borderId="39" fillId="16" fontId="26" numFmtId="0" xfId="0" applyBorder="1" applyFill="1" applyFont="1"/>
    <xf borderId="9" fillId="26" fontId="23" numFmtId="0" xfId="0" applyAlignment="1" applyBorder="1" applyFill="1" applyFont="1">
      <alignment horizontal="center" vertical="center"/>
    </xf>
    <xf borderId="15" fillId="26" fontId="16" numFmtId="0" xfId="0" applyBorder="1" applyFill="1" applyFont="1"/>
    <xf borderId="16" fillId="26" fontId="16" numFmtId="0" xfId="0" applyBorder="1" applyFill="1" applyFont="1"/>
    <xf borderId="17" fillId="26" fontId="16" numFmtId="0" xfId="0" applyBorder="1" applyFill="1" applyFont="1"/>
    <xf borderId="19" fillId="27" fontId="26" numFmtId="0" xfId="0" applyBorder="1" applyFill="1" applyFont="1"/>
    <xf borderId="22" fillId="27" fontId="26" numFmtId="0" xfId="0" applyBorder="1" applyFill="1" applyFont="1"/>
    <xf borderId="37" fillId="27" fontId="26" numFmtId="0" xfId="0" applyBorder="1" applyFill="1" applyFont="1"/>
    <xf borderId="38" fillId="27" fontId="26" numFmtId="0" xfId="0" applyBorder="1" applyFill="1" applyFont="1"/>
    <xf borderId="39" fillId="27" fontId="26" numFmtId="0" xfId="0" applyBorder="1" applyFill="1" applyFont="1"/>
    <xf borderId="9" fillId="9" fontId="23" numFmtId="0" xfId="0" applyAlignment="1" applyBorder="1" applyFill="1" applyFont="1">
      <alignment horizontal="center" vertical="center"/>
    </xf>
    <xf borderId="17" fillId="9" fontId="16" numFmtId="0" xfId="0" applyBorder="1" applyFill="1" applyFont="1"/>
    <xf borderId="19" fillId="17" fontId="26" numFmtId="0" xfId="0" applyBorder="1" applyFill="1" applyFont="1"/>
    <xf borderId="22" fillId="17" fontId="26" numFmtId="0" xfId="0" applyBorder="1" applyFill="1" applyFont="1"/>
    <xf borderId="37" fillId="17" fontId="26" numFmtId="0" xfId="0" applyBorder="1" applyFill="1" applyFont="1"/>
    <xf borderId="38" fillId="17" fontId="26" numFmtId="0" xfId="0" applyBorder="1" applyFill="1" applyFont="1"/>
    <xf borderId="39" fillId="17" fontId="26" numFmtId="0" xfId="0" applyBorder="1" applyFill="1" applyFont="1"/>
    <xf borderId="9" fillId="10" fontId="23" numFmtId="0" xfId="0" applyAlignment="1" applyBorder="1" applyFill="1" applyFont="1">
      <alignment horizontal="center" readingOrder="0" vertical="center"/>
    </xf>
    <xf borderId="17" fillId="10" fontId="16" numFmtId="0" xfId="0" applyBorder="1" applyFill="1" applyFont="1"/>
    <xf borderId="19" fillId="18" fontId="26" numFmtId="0" xfId="0" applyBorder="1" applyFill="1" applyFont="1"/>
    <xf borderId="22" fillId="18" fontId="26" numFmtId="0" xfId="0" applyBorder="1" applyFill="1" applyFont="1"/>
    <xf borderId="37" fillId="18" fontId="26" numFmtId="0" xfId="0" applyBorder="1" applyFill="1" applyFont="1"/>
    <xf borderId="38" fillId="18" fontId="26" numFmtId="0" xfId="0" applyBorder="1" applyFill="1" applyFont="1"/>
    <xf borderId="39" fillId="18" fontId="26" numFmtId="0" xfId="0" applyBorder="1" applyFill="1" applyFont="1"/>
    <xf borderId="9" fillId="29" fontId="23" numFmtId="0" xfId="0" applyAlignment="1" applyBorder="1" applyFill="1" applyFont="1">
      <alignment horizontal="center" vertical="center"/>
    </xf>
    <xf borderId="15" fillId="29" fontId="16" numFmtId="0" xfId="0" applyBorder="1" applyFill="1" applyFont="1"/>
    <xf borderId="16" fillId="29" fontId="16" numFmtId="0" xfId="0" applyBorder="1" applyFill="1" applyFont="1"/>
    <xf borderId="17" fillId="29" fontId="16" numFmtId="0" xfId="0" applyBorder="1" applyFill="1" applyFont="1"/>
    <xf borderId="19" fillId="30" fontId="26" numFmtId="0" xfId="0" applyBorder="1" applyFill="1" applyFont="1"/>
    <xf borderId="22" fillId="30" fontId="26" numFmtId="0" xfId="0" applyBorder="1" applyFill="1" applyFont="1"/>
    <xf borderId="37" fillId="30" fontId="26" numFmtId="0" xfId="0" applyBorder="1" applyFill="1" applyFont="1"/>
    <xf borderId="38" fillId="30" fontId="26" numFmtId="0" xfId="0" applyBorder="1" applyFill="1" applyFont="1"/>
    <xf borderId="39" fillId="30" fontId="26" numFmtId="0" xfId="0" applyBorder="1" applyFill="1" applyFont="1"/>
    <xf borderId="9" fillId="31" fontId="31" numFmtId="0" xfId="0" applyAlignment="1" applyBorder="1" applyFill="1" applyFont="1">
      <alignment horizontal="center" vertical="center"/>
    </xf>
    <xf borderId="15" fillId="31" fontId="24" numFmtId="0" xfId="0" applyBorder="1" applyFill="1" applyFont="1"/>
    <xf borderId="16" fillId="31" fontId="24" numFmtId="0" xfId="0" applyBorder="1" applyFill="1" applyFont="1"/>
    <xf borderId="17" fillId="31" fontId="24" numFmtId="0" xfId="0" applyBorder="1" applyFill="1" applyFont="1"/>
    <xf borderId="18" fillId="32" fontId="30" numFmtId="0" xfId="0" applyBorder="1" applyFill="1" applyFont="1"/>
    <xf borderId="3" fillId="32" fontId="30" numFmtId="0" xfId="0" applyBorder="1" applyFill="1" applyFont="1"/>
    <xf borderId="19" fillId="32" fontId="30" numFmtId="0" xfId="0" applyBorder="1" applyFill="1" applyFont="1"/>
    <xf borderId="20" fillId="32" fontId="30" numFmtId="0" xfId="0" applyBorder="1" applyFill="1" applyFont="1"/>
    <xf borderId="21" fillId="32" fontId="30" numFmtId="0" xfId="0" applyBorder="1" applyFill="1" applyFont="1"/>
    <xf borderId="22" fillId="32" fontId="30" numFmtId="0" xfId="0" applyBorder="1" applyFill="1" applyFont="1"/>
    <xf borderId="37" fillId="32" fontId="30" numFmtId="0" xfId="0" applyBorder="1" applyFill="1" applyFont="1"/>
    <xf borderId="38" fillId="32" fontId="30" numFmtId="0" xfId="0" applyBorder="1" applyFill="1" applyFont="1"/>
    <xf borderId="39" fillId="32" fontId="30" numFmtId="0" xfId="0" applyBorder="1" applyFill="1" applyFont="1"/>
    <xf borderId="9" fillId="12" fontId="31" numFmtId="0" xfId="0" applyAlignment="1" applyBorder="1" applyFill="1" applyFont="1">
      <alignment horizontal="center" vertical="center"/>
    </xf>
    <xf borderId="17" fillId="12" fontId="24" numFmtId="0" xfId="0" applyBorder="1" applyFill="1" applyFont="1"/>
    <xf borderId="19" fillId="20" fontId="26" numFmtId="0" xfId="0" applyBorder="1" applyFill="1" applyFont="1"/>
    <xf borderId="22" fillId="20" fontId="26" numFmtId="0" xfId="0" applyBorder="1" applyFill="1" applyFont="1"/>
    <xf borderId="37" fillId="20" fontId="26" numFmtId="0" xfId="0" applyBorder="1" applyFill="1" applyFont="1"/>
    <xf borderId="38" fillId="20" fontId="26" numFmtId="0" xfId="0" applyBorder="1" applyFill="1" applyFont="1"/>
    <xf borderId="39" fillId="20" fontId="26" numFmtId="0" xfId="0" applyBorder="1" applyFill="1" applyFont="1"/>
    <xf borderId="9" fillId="33" fontId="23" numFmtId="0" xfId="0" applyAlignment="1" applyBorder="1" applyFill="1" applyFont="1">
      <alignment horizontal="center" vertical="center"/>
    </xf>
    <xf borderId="15" fillId="33" fontId="16" numFmtId="0" xfId="0" applyBorder="1" applyFill="1" applyFont="1"/>
    <xf borderId="16" fillId="33" fontId="16" numFmtId="0" xfId="0" applyBorder="1" applyFill="1" applyFont="1"/>
    <xf borderId="17" fillId="33" fontId="16" numFmtId="0" xfId="0" applyBorder="1" applyFill="1" applyFont="1"/>
    <xf borderId="19" fillId="34" fontId="26" numFmtId="0" xfId="0" applyBorder="1" applyFill="1" applyFont="1"/>
    <xf borderId="22" fillId="34" fontId="26" numFmtId="0" xfId="0" applyBorder="1" applyFill="1" applyFont="1"/>
    <xf borderId="37" fillId="34" fontId="26" numFmtId="0" xfId="0" applyBorder="1" applyFill="1" applyFont="1"/>
    <xf borderId="38" fillId="34" fontId="26" numFmtId="0" xfId="0" applyBorder="1" applyFill="1" applyFont="1"/>
    <xf borderId="39" fillId="34" fontId="26" numFmtId="0" xfId="0" applyBorder="1" applyFill="1" applyFont="1"/>
    <xf borderId="9" fillId="35" fontId="31" numFmtId="0" xfId="0" applyAlignment="1" applyBorder="1" applyFill="1" applyFont="1">
      <alignment horizontal="center" vertical="center"/>
    </xf>
    <xf borderId="15" fillId="35" fontId="24" numFmtId="0" xfId="0" applyBorder="1" applyFill="1" applyFont="1"/>
    <xf borderId="16" fillId="35" fontId="24" numFmtId="0" xfId="0" applyBorder="1" applyFill="1" applyFont="1"/>
    <xf borderId="17" fillId="35" fontId="24" numFmtId="0" xfId="0" applyBorder="1" applyFill="1" applyFont="1"/>
    <xf borderId="19" fillId="36" fontId="26" numFmtId="0" xfId="0" applyBorder="1" applyFill="1" applyFont="1"/>
    <xf borderId="22" fillId="36" fontId="26" numFmtId="0" xfId="0" applyBorder="1" applyFill="1" applyFont="1"/>
    <xf borderId="37" fillId="36" fontId="26" numFmtId="0" xfId="0" applyBorder="1" applyFill="1" applyFont="1"/>
    <xf borderId="38" fillId="36" fontId="26" numFmtId="0" xfId="0" applyBorder="1" applyFill="1" applyFont="1"/>
    <xf borderId="39" fillId="36" fontId="26" numFmtId="0" xfId="0" applyBorder="1" applyFill="1" applyFont="1"/>
    <xf borderId="40" fillId="0" fontId="15" numFmtId="0" xfId="0" applyAlignment="1" applyBorder="1" applyFont="1">
      <alignment horizontal="center"/>
    </xf>
    <xf borderId="41" fillId="0" fontId="16" numFmtId="18" xfId="0" applyAlignment="1" applyBorder="1" applyFont="1" applyNumberFormat="1">
      <alignment horizontal="center"/>
    </xf>
    <xf borderId="0" fillId="0" fontId="39" numFmtId="0" xfId="0" applyFont="1"/>
    <xf borderId="0" fillId="0" fontId="39" numFmtId="0" xfId="0" applyAlignment="1" applyFont="1">
      <alignment horizontal="center"/>
    </xf>
    <xf borderId="0" fillId="0" fontId="40" numFmtId="0" xfId="0" applyFont="1"/>
    <xf borderId="0" fillId="0" fontId="40" numFmtId="0" xfId="0" applyAlignment="1" applyFont="1">
      <alignment horizontal="center"/>
    </xf>
    <xf borderId="4" fillId="0" fontId="40" numFmtId="0" xfId="0" applyAlignment="1" applyBorder="1" applyFont="1">
      <alignment horizontal="center"/>
    </xf>
    <xf borderId="6" fillId="0" fontId="39" numFmtId="0" xfId="0" applyAlignment="1" applyBorder="1" applyFont="1">
      <alignment horizontal="right" vertical="center"/>
    </xf>
    <xf borderId="5" fillId="0" fontId="40" numFmtId="0" xfId="0" applyAlignment="1" applyBorder="1" applyFont="1">
      <alignment horizontal="center"/>
    </xf>
    <xf borderId="6" fillId="0" fontId="40" numFmtId="0" xfId="0" applyAlignment="1" applyBorder="1" applyFont="1">
      <alignment horizontal="center"/>
    </xf>
    <xf borderId="11" fillId="0" fontId="41" numFmtId="0" xfId="0" applyBorder="1" applyFont="1"/>
    <xf borderId="0" fillId="0" fontId="39" numFmtId="0" xfId="0" applyAlignment="1" applyFont="1">
      <alignment horizontal="right" vertical="center"/>
    </xf>
    <xf borderId="0" fillId="0" fontId="4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CT Region ROUND ROBIN Scores (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Y7:AB55" displayName="Table_1" name="Table_1" id="1">
  <tableColumns count="4">
    <tableColumn name="Team (Alphabetical)" id="1"/>
    <tableColumn name="Division" id="2"/>
    <tableColumn name="Total Points" id="3"/>
    <tableColumn name="Total Score" id="4"/>
  </tableColumns>
  <tableStyleInfo name="CT Region ROUND ROBIN Scores (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s.orau.gov/nsb-coordinator/PreRegistration/ManagePreRegistration/1005" TargetMode="External"/><Relationship Id="rId20" Type="http://schemas.openxmlformats.org/officeDocument/2006/relationships/hyperlink" Target="https://apps.orau.gov/nsb-coordinator/PreRegistration/ManagePreRegistration/1005" TargetMode="External"/><Relationship Id="rId42" Type="http://schemas.openxmlformats.org/officeDocument/2006/relationships/hyperlink" Target="https://apps.orau.gov/nsb-coordinator/PreRegistration/ManagePreRegistration/1005" TargetMode="External"/><Relationship Id="rId41" Type="http://schemas.openxmlformats.org/officeDocument/2006/relationships/hyperlink" Target="https://apps.orau.gov/nsb-coordinator/PreRegistration/ManagePreRegistration/1005" TargetMode="External"/><Relationship Id="rId22" Type="http://schemas.openxmlformats.org/officeDocument/2006/relationships/hyperlink" Target="https://apps.orau.gov/nsb-coordinator/PreRegistration/ManagePreRegistration/1005" TargetMode="External"/><Relationship Id="rId44" Type="http://schemas.openxmlformats.org/officeDocument/2006/relationships/hyperlink" Target="https://apps.orau.gov/nsb-coordinator/PreRegistration/ManagePreRegistration/1006" TargetMode="External"/><Relationship Id="rId21" Type="http://schemas.openxmlformats.org/officeDocument/2006/relationships/hyperlink" Target="https://apps.orau.gov/nsb-coordinator/PreRegistration/ManagePreRegistration/1006" TargetMode="External"/><Relationship Id="rId43" Type="http://schemas.openxmlformats.org/officeDocument/2006/relationships/hyperlink" Target="https://apps.orau.gov/nsb-coordinator/PreRegistration/ManagePreRegistration/1005" TargetMode="External"/><Relationship Id="rId24" Type="http://schemas.openxmlformats.org/officeDocument/2006/relationships/hyperlink" Target="https://apps.orau.gov/nsb-coordinator/PreRegistration/ManagePreRegistration/1006" TargetMode="External"/><Relationship Id="rId23" Type="http://schemas.openxmlformats.org/officeDocument/2006/relationships/hyperlink" Target="https://apps.orau.gov/nsb-coordinator/PreRegistration/ManagePreRegistration/1006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apps.orau.gov/nsb-coordinator/PreRegistration/ManagePreRegistration/1005" TargetMode="External"/><Relationship Id="rId2" Type="http://schemas.openxmlformats.org/officeDocument/2006/relationships/hyperlink" Target="https://apps.orau.gov/nsb-coordinator/PreRegistration/ManagePreRegistration/1006" TargetMode="External"/><Relationship Id="rId3" Type="http://schemas.openxmlformats.org/officeDocument/2006/relationships/hyperlink" Target="https://apps.orau.gov/nsb-coordinator/PreRegistration/ManagePreRegistration/1005" TargetMode="External"/><Relationship Id="rId4" Type="http://schemas.openxmlformats.org/officeDocument/2006/relationships/hyperlink" Target="https://apps.orau.gov/nsb-coordinator/PreRegistration/ManagePreRegistration/1005" TargetMode="External"/><Relationship Id="rId9" Type="http://schemas.openxmlformats.org/officeDocument/2006/relationships/hyperlink" Target="https://apps.orau.gov/nsb-coordinator/PreRegistration/ManagePreRegistration/1005" TargetMode="External"/><Relationship Id="rId26" Type="http://schemas.openxmlformats.org/officeDocument/2006/relationships/hyperlink" Target="https://apps.orau.gov/nsb-coordinator/PreRegistration/ManagePreRegistration/1005" TargetMode="External"/><Relationship Id="rId25" Type="http://schemas.openxmlformats.org/officeDocument/2006/relationships/hyperlink" Target="https://apps.orau.gov/nsb-coordinator/PreRegistration/ManagePreRegistration/1006" TargetMode="External"/><Relationship Id="rId28" Type="http://schemas.openxmlformats.org/officeDocument/2006/relationships/hyperlink" Target="https://apps.orau.gov/nsb-coordinator/PreRegistration/ManagePreRegistration/1005" TargetMode="External"/><Relationship Id="rId27" Type="http://schemas.openxmlformats.org/officeDocument/2006/relationships/hyperlink" Target="https://apps.orau.gov/nsb-coordinator/PreRegistration/ManagePreRegistration/1006" TargetMode="External"/><Relationship Id="rId5" Type="http://schemas.openxmlformats.org/officeDocument/2006/relationships/hyperlink" Target="https://apps.orau.gov/nsb-coordinator/PreRegistration/ManagePreRegistration/1006" TargetMode="External"/><Relationship Id="rId6" Type="http://schemas.openxmlformats.org/officeDocument/2006/relationships/hyperlink" Target="https://apps.orau.gov/nsb-coordinator/PreRegistration/ManagePreRegistration/1006" TargetMode="External"/><Relationship Id="rId29" Type="http://schemas.openxmlformats.org/officeDocument/2006/relationships/hyperlink" Target="https://apps.orau.gov/nsb-coordinator/PreRegistration/ManagePreRegistration/1006" TargetMode="External"/><Relationship Id="rId7" Type="http://schemas.openxmlformats.org/officeDocument/2006/relationships/hyperlink" Target="https://apps.orau.gov/nsb-coordinator/PreRegistration/ManagePreRegistration/1006" TargetMode="External"/><Relationship Id="rId8" Type="http://schemas.openxmlformats.org/officeDocument/2006/relationships/hyperlink" Target="https://apps.orau.gov/nsb-coordinator/PreRegistration/ManagePreRegistration/1005" TargetMode="External"/><Relationship Id="rId31" Type="http://schemas.openxmlformats.org/officeDocument/2006/relationships/hyperlink" Target="https://apps.orau.gov/nsb-coordinator/PreRegistration/ManagePreRegistration/1006" TargetMode="External"/><Relationship Id="rId30" Type="http://schemas.openxmlformats.org/officeDocument/2006/relationships/hyperlink" Target="https://apps.orau.gov/nsb-coordinator/PreRegistration/ManagePreRegistration/1006" TargetMode="External"/><Relationship Id="rId11" Type="http://schemas.openxmlformats.org/officeDocument/2006/relationships/hyperlink" Target="https://apps.orau.gov/nsb-coordinator/PreRegistration/ManagePreRegistration/1006" TargetMode="External"/><Relationship Id="rId33" Type="http://schemas.openxmlformats.org/officeDocument/2006/relationships/hyperlink" Target="https://apps.orau.gov/nsb-coordinator/PreRegistration/ManagePreRegistration/1005" TargetMode="External"/><Relationship Id="rId10" Type="http://schemas.openxmlformats.org/officeDocument/2006/relationships/hyperlink" Target="https://apps.orau.gov/nsb-coordinator/PreRegistration/ManagePreRegistration/1005" TargetMode="External"/><Relationship Id="rId32" Type="http://schemas.openxmlformats.org/officeDocument/2006/relationships/hyperlink" Target="https://apps.orau.gov/nsb-coordinator/PreRegistration/ManagePreRegistration/1005" TargetMode="External"/><Relationship Id="rId13" Type="http://schemas.openxmlformats.org/officeDocument/2006/relationships/hyperlink" Target="https://apps.orau.gov/nsb-coordinator/PreRegistration/ManagePreRegistration/1005" TargetMode="External"/><Relationship Id="rId35" Type="http://schemas.openxmlformats.org/officeDocument/2006/relationships/hyperlink" Target="https://apps.orau.gov/nsb-coordinator/PreRegistration/ManagePreRegistration/1006" TargetMode="External"/><Relationship Id="rId12" Type="http://schemas.openxmlformats.org/officeDocument/2006/relationships/hyperlink" Target="https://apps.orau.gov/nsb-coordinator/PreRegistration/ManagePreRegistration/1006" TargetMode="External"/><Relationship Id="rId34" Type="http://schemas.openxmlformats.org/officeDocument/2006/relationships/hyperlink" Target="https://apps.orau.gov/nsb-coordinator/PreRegistration/ManagePreRegistration/1006" TargetMode="External"/><Relationship Id="rId15" Type="http://schemas.openxmlformats.org/officeDocument/2006/relationships/hyperlink" Target="https://apps.orau.gov/nsb-coordinator/PreRegistration/ManagePreRegistration/1005" TargetMode="External"/><Relationship Id="rId37" Type="http://schemas.openxmlformats.org/officeDocument/2006/relationships/hyperlink" Target="https://apps.orau.gov/nsb-coordinator/PreRegistration/ManagePreRegistration/1005" TargetMode="External"/><Relationship Id="rId14" Type="http://schemas.openxmlformats.org/officeDocument/2006/relationships/hyperlink" Target="https://apps.orau.gov/nsb-coordinator/PreRegistration/ManagePreRegistration/1005" TargetMode="External"/><Relationship Id="rId36" Type="http://schemas.openxmlformats.org/officeDocument/2006/relationships/hyperlink" Target="https://apps.orau.gov/nsb-coordinator/PreRegistration/ManagePreRegistration/1007" TargetMode="External"/><Relationship Id="rId17" Type="http://schemas.openxmlformats.org/officeDocument/2006/relationships/hyperlink" Target="https://apps.orau.gov/nsb-coordinator/PreRegistration/ManagePreRegistration/1005" TargetMode="External"/><Relationship Id="rId39" Type="http://schemas.openxmlformats.org/officeDocument/2006/relationships/hyperlink" Target="https://apps.orau.gov/nsb-coordinator/PreRegistration/ManagePreRegistration/1005" TargetMode="External"/><Relationship Id="rId16" Type="http://schemas.openxmlformats.org/officeDocument/2006/relationships/hyperlink" Target="https://apps.orau.gov/nsb-coordinator/PreRegistration/ManagePreRegistration/1005" TargetMode="External"/><Relationship Id="rId38" Type="http://schemas.openxmlformats.org/officeDocument/2006/relationships/hyperlink" Target="https://apps.orau.gov/nsb-coordinator/PreRegistration/ManagePreRegistration/1005" TargetMode="External"/><Relationship Id="rId19" Type="http://schemas.openxmlformats.org/officeDocument/2006/relationships/hyperlink" Target="https://apps.orau.gov/nsb-coordinator/PreRegistration/ManagePreRegistration/1005" TargetMode="External"/><Relationship Id="rId18" Type="http://schemas.openxmlformats.org/officeDocument/2006/relationships/hyperlink" Target="https://apps.orau.gov/nsb-coordinator/PreRegistration/ManagePreRegistration/100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0.75"/>
    <col customWidth="1" min="3" max="26" width="12.75"/>
  </cols>
  <sheetData>
    <row r="1" ht="15.75" customHeight="1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1"/>
      <c r="B2" s="1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5.75" customHeight="1">
      <c r="A3" s="2">
        <v>1.0</v>
      </c>
      <c r="B3" s="3" t="s">
        <v>2</v>
      </c>
      <c r="C3" s="4">
        <v>12.0</v>
      </c>
    </row>
    <row r="4" ht="15.75" customHeight="1">
      <c r="A4" s="2">
        <v>2.0</v>
      </c>
      <c r="B4" s="3" t="s">
        <v>3</v>
      </c>
      <c r="C4" s="4">
        <v>20.0</v>
      </c>
    </row>
    <row r="5" ht="15.75" customHeight="1">
      <c r="A5" s="2">
        <v>3.0</v>
      </c>
      <c r="B5" s="3" t="s">
        <v>4</v>
      </c>
    </row>
    <row r="6" ht="15.75" customHeight="1">
      <c r="A6" s="2">
        <v>4.0</v>
      </c>
      <c r="B6" s="3" t="s">
        <v>5</v>
      </c>
    </row>
    <row r="7" ht="15.75" customHeight="1">
      <c r="A7" s="2">
        <v>5.0</v>
      </c>
      <c r="B7" s="3" t="s">
        <v>6</v>
      </c>
    </row>
    <row r="8" ht="15.75" customHeight="1">
      <c r="A8" s="2">
        <v>6.0</v>
      </c>
      <c r="B8" s="3" t="s">
        <v>7</v>
      </c>
    </row>
    <row r="9" ht="15.75" customHeight="1">
      <c r="A9" s="2">
        <v>7.0</v>
      </c>
      <c r="B9" s="5" t="s">
        <v>8</v>
      </c>
    </row>
    <row r="10" ht="15.75" customHeight="1">
      <c r="A10" s="2">
        <v>8.0</v>
      </c>
      <c r="B10" s="3" t="s">
        <v>9</v>
      </c>
    </row>
    <row r="11" ht="15.75" customHeight="1">
      <c r="A11" s="2">
        <v>9.0</v>
      </c>
      <c r="B11" s="6" t="s">
        <v>10</v>
      </c>
    </row>
    <row r="12" ht="15.75" customHeight="1">
      <c r="A12" s="2">
        <v>10.0</v>
      </c>
      <c r="B12" s="6" t="s">
        <v>11</v>
      </c>
    </row>
    <row r="13" ht="15.75" customHeight="1">
      <c r="A13" s="2">
        <v>11.0</v>
      </c>
      <c r="B13" s="6" t="s">
        <v>12</v>
      </c>
    </row>
    <row r="14" ht="15.75" customHeight="1">
      <c r="A14" s="2">
        <v>12.0</v>
      </c>
      <c r="B14" s="6" t="s">
        <v>13</v>
      </c>
    </row>
    <row r="15" ht="15.75" customHeight="1">
      <c r="A15" s="2">
        <v>13.0</v>
      </c>
      <c r="B15" s="6" t="s">
        <v>14</v>
      </c>
    </row>
    <row r="16" ht="15.75" customHeight="1">
      <c r="A16" s="2">
        <v>14.0</v>
      </c>
      <c r="B16" s="6" t="s">
        <v>15</v>
      </c>
    </row>
    <row r="17" ht="15.75" customHeight="1">
      <c r="A17" s="2">
        <v>15.0</v>
      </c>
      <c r="B17" s="7" t="s">
        <v>16</v>
      </c>
    </row>
    <row r="18" ht="15.75" customHeight="1">
      <c r="A18" s="2">
        <v>16.0</v>
      </c>
      <c r="B18" s="6" t="s">
        <v>16</v>
      </c>
    </row>
    <row r="19" ht="15.75" customHeight="1">
      <c r="A19" s="2">
        <v>17.0</v>
      </c>
      <c r="B19" s="7" t="s">
        <v>17</v>
      </c>
    </row>
    <row r="20" ht="15.75" customHeight="1">
      <c r="A20" s="2">
        <v>18.0</v>
      </c>
      <c r="B20" s="6" t="s">
        <v>18</v>
      </c>
    </row>
    <row r="21" ht="15.75" customHeight="1">
      <c r="A21" s="2">
        <v>19.0</v>
      </c>
      <c r="B21" s="6" t="s">
        <v>19</v>
      </c>
    </row>
    <row r="22" ht="15.75" customHeight="1">
      <c r="A22" s="2">
        <v>20.0</v>
      </c>
      <c r="B22" s="6" t="s">
        <v>20</v>
      </c>
    </row>
    <row r="23" ht="15.75" customHeight="1">
      <c r="A23" s="2">
        <v>21.0</v>
      </c>
      <c r="B23" s="6" t="s">
        <v>21</v>
      </c>
    </row>
    <row r="24" ht="15.75" customHeight="1">
      <c r="A24" s="2">
        <v>22.0</v>
      </c>
      <c r="B24" s="6" t="s">
        <v>22</v>
      </c>
    </row>
    <row r="25" ht="15.75" customHeight="1">
      <c r="A25" s="2">
        <v>23.0</v>
      </c>
      <c r="B25" s="6" t="s">
        <v>23</v>
      </c>
    </row>
    <row r="26" ht="15.75" customHeight="1">
      <c r="A26" s="2">
        <v>24.0</v>
      </c>
      <c r="B26" s="6" t="s">
        <v>24</v>
      </c>
    </row>
    <row r="27" ht="15.75" customHeight="1">
      <c r="A27" s="2">
        <v>25.0</v>
      </c>
      <c r="B27" s="6" t="s">
        <v>25</v>
      </c>
    </row>
    <row r="28" ht="15.75" customHeight="1">
      <c r="A28" s="2">
        <v>26.0</v>
      </c>
      <c r="B28" s="8" t="s">
        <v>26</v>
      </c>
    </row>
    <row r="29" ht="15.75" customHeight="1">
      <c r="A29" s="2">
        <v>27.0</v>
      </c>
      <c r="B29" s="8" t="s">
        <v>27</v>
      </c>
    </row>
    <row r="30" ht="15.75" customHeight="1">
      <c r="A30" s="2">
        <v>28.0</v>
      </c>
      <c r="B30" s="8" t="s">
        <v>28</v>
      </c>
    </row>
    <row r="31" ht="15.75" customHeight="1">
      <c r="A31" s="2">
        <v>29.0</v>
      </c>
      <c r="B31" s="8" t="s">
        <v>29</v>
      </c>
    </row>
    <row r="32" ht="15.75" customHeight="1">
      <c r="A32" s="2">
        <v>30.0</v>
      </c>
      <c r="B32" s="8" t="s">
        <v>30</v>
      </c>
    </row>
    <row r="33" ht="15.75" customHeight="1">
      <c r="A33" s="2">
        <v>31.0</v>
      </c>
      <c r="B33" s="8" t="s">
        <v>31</v>
      </c>
    </row>
    <row r="34" ht="15.75" customHeight="1">
      <c r="A34" s="2">
        <v>32.0</v>
      </c>
      <c r="B34" s="9" t="s">
        <v>32</v>
      </c>
    </row>
    <row r="35" ht="15.75" customHeight="1">
      <c r="A35" s="2">
        <v>33.0</v>
      </c>
      <c r="B35" s="6" t="s">
        <v>33</v>
      </c>
    </row>
    <row r="36" ht="15.75" customHeight="1">
      <c r="A36" s="2">
        <v>34.0</v>
      </c>
      <c r="B36" s="6" t="s">
        <v>34</v>
      </c>
    </row>
    <row r="37" ht="15.75" customHeight="1">
      <c r="A37" s="2">
        <v>35.0</v>
      </c>
      <c r="B37" s="6" t="s">
        <v>35</v>
      </c>
    </row>
    <row r="38" ht="15.75" customHeight="1">
      <c r="A38" s="2">
        <v>36.0</v>
      </c>
      <c r="B38" s="6" t="s">
        <v>36</v>
      </c>
    </row>
    <row r="39" ht="15.75" customHeight="1">
      <c r="A39" s="2">
        <v>37.0</v>
      </c>
      <c r="B39" s="6" t="s">
        <v>37</v>
      </c>
    </row>
    <row r="40" ht="15.75" customHeight="1">
      <c r="A40" s="2">
        <v>38.0</v>
      </c>
      <c r="B40" s="6" t="s">
        <v>38</v>
      </c>
    </row>
    <row r="41" ht="15.75" customHeight="1">
      <c r="A41" s="2">
        <v>39.0</v>
      </c>
      <c r="B41" s="6" t="s">
        <v>39</v>
      </c>
    </row>
    <row r="42" ht="15.75" customHeight="1">
      <c r="A42" s="2">
        <v>40.0</v>
      </c>
      <c r="B42" s="6" t="s">
        <v>40</v>
      </c>
    </row>
    <row r="43" ht="15.75" customHeight="1">
      <c r="A43" s="2">
        <v>41.0</v>
      </c>
      <c r="B43" s="6" t="s">
        <v>41</v>
      </c>
    </row>
    <row r="44" ht="15.75" customHeight="1">
      <c r="A44" s="2">
        <v>42.0</v>
      </c>
      <c r="B44" s="6" t="s">
        <v>42</v>
      </c>
    </row>
    <row r="45" ht="15.75" customHeight="1">
      <c r="A45" s="10"/>
      <c r="B45" s="11"/>
    </row>
    <row r="46" ht="15.75" customHeight="1">
      <c r="A46" s="10"/>
      <c r="B46" s="11"/>
    </row>
    <row r="47" ht="15.75" customHeight="1">
      <c r="A47" s="10"/>
      <c r="B47" s="11"/>
    </row>
    <row r="48" ht="15.75" customHeight="1">
      <c r="A48" s="10"/>
      <c r="B48" s="11"/>
    </row>
    <row r="49" ht="15.75" customHeight="1">
      <c r="A49" s="10"/>
      <c r="B49" s="11"/>
    </row>
    <row r="50" ht="15.75" customHeight="1">
      <c r="A50" s="10"/>
      <c r="B50" s="11"/>
    </row>
    <row r="51" ht="15.75" customHeight="1">
      <c r="A51" s="1"/>
      <c r="B51" s="12"/>
    </row>
    <row r="52" ht="15.75" customHeight="1">
      <c r="A52" s="10"/>
      <c r="B52" s="13"/>
    </row>
    <row r="53" ht="15.75" customHeight="1">
      <c r="A53" s="10"/>
      <c r="B53" s="1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0.75"/>
    <col customWidth="1" min="3" max="26" width="12.75"/>
  </cols>
  <sheetData>
    <row r="1" ht="15.75" customHeight="1">
      <c r="A1" s="1"/>
      <c r="B1" s="1"/>
      <c r="C1" s="1" t="s">
        <v>0</v>
      </c>
      <c r="D1" s="1"/>
      <c r="E1" s="14" t="s">
        <v>43</v>
      </c>
      <c r="F1" s="15" t="s">
        <v>44</v>
      </c>
      <c r="G1" s="15" t="s">
        <v>45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1"/>
      <c r="B2" s="1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5.75" customHeight="1">
      <c r="A3" s="10"/>
      <c r="B3" s="16" t="s">
        <v>46</v>
      </c>
      <c r="C3" s="17">
        <v>12.0</v>
      </c>
      <c r="E3" s="18" t="str">
        <f>IF('SW1'!C3=C3,"TRUE")</f>
        <v>TRUE</v>
      </c>
    </row>
    <row r="4" ht="15.75" customHeight="1">
      <c r="A4" s="10"/>
      <c r="B4" s="16" t="s">
        <v>47</v>
      </c>
      <c r="C4" s="17">
        <v>20.0</v>
      </c>
      <c r="E4" s="18" t="str">
        <f>IF('SW1'!C4=C4,"TRUE")</f>
        <v>TRUE</v>
      </c>
      <c r="F4" s="4">
        <f>MAX(C3:C4)</f>
        <v>20</v>
      </c>
    </row>
    <row r="5" ht="15.75" customHeight="1">
      <c r="A5" s="10"/>
      <c r="B5" s="19" t="s">
        <v>48</v>
      </c>
    </row>
    <row r="6" ht="15.75" customHeight="1">
      <c r="A6" s="10"/>
      <c r="B6" s="16" t="s">
        <v>49</v>
      </c>
      <c r="E6" s="20"/>
    </row>
    <row r="7" ht="15.75" customHeight="1">
      <c r="A7" s="10"/>
      <c r="B7" s="16" t="s">
        <v>50</v>
      </c>
    </row>
    <row r="8" ht="15.75" customHeight="1">
      <c r="A8" s="10"/>
      <c r="B8" s="16" t="s">
        <v>51</v>
      </c>
    </row>
    <row r="9" ht="15.75" customHeight="1">
      <c r="A9" s="10"/>
      <c r="B9" s="16" t="s">
        <v>52</v>
      </c>
    </row>
    <row r="10" ht="15.75" customHeight="1">
      <c r="A10" s="10"/>
      <c r="B10" s="19" t="s">
        <v>53</v>
      </c>
    </row>
    <row r="11" ht="15.75" customHeight="1">
      <c r="A11" s="10"/>
      <c r="B11" s="21" t="s">
        <v>53</v>
      </c>
    </row>
    <row r="12" ht="15.75" customHeight="1">
      <c r="A12" s="10"/>
      <c r="B12" s="16" t="s">
        <v>54</v>
      </c>
    </row>
    <row r="13" ht="15.75" customHeight="1">
      <c r="A13" s="10"/>
      <c r="B13" s="19" t="s">
        <v>55</v>
      </c>
    </row>
    <row r="14" ht="15.75" customHeight="1">
      <c r="A14" s="10"/>
      <c r="B14" s="19" t="s">
        <v>56</v>
      </c>
    </row>
    <row r="15" ht="15.75" customHeight="1">
      <c r="A15" s="10"/>
      <c r="B15" s="16" t="s">
        <v>57</v>
      </c>
    </row>
    <row r="16" ht="15.75" customHeight="1">
      <c r="A16" s="10"/>
      <c r="B16" s="19" t="s">
        <v>58</v>
      </c>
    </row>
    <row r="17" ht="15.75" customHeight="1">
      <c r="A17" s="10"/>
      <c r="B17" s="21" t="s">
        <v>59</v>
      </c>
    </row>
    <row r="18" ht="15.75" customHeight="1">
      <c r="A18" s="10"/>
      <c r="B18" s="19" t="s">
        <v>60</v>
      </c>
    </row>
    <row r="19" ht="15.75" customHeight="1">
      <c r="A19" s="10"/>
      <c r="B19" s="19" t="s">
        <v>12</v>
      </c>
    </row>
    <row r="20" ht="15.75" customHeight="1">
      <c r="A20" s="10"/>
      <c r="B20" s="19" t="s">
        <v>13</v>
      </c>
    </row>
    <row r="21" ht="15.75" customHeight="1">
      <c r="A21" s="10"/>
      <c r="B21" s="19" t="s">
        <v>61</v>
      </c>
    </row>
    <row r="22" ht="15.75" customHeight="1">
      <c r="A22" s="10"/>
      <c r="B22" s="19" t="s">
        <v>62</v>
      </c>
    </row>
    <row r="23" ht="15.75" customHeight="1">
      <c r="A23" s="10"/>
      <c r="B23" s="21" t="s">
        <v>63</v>
      </c>
    </row>
    <row r="24" ht="15.75" customHeight="1">
      <c r="A24" s="10"/>
      <c r="B24" s="19" t="s">
        <v>64</v>
      </c>
    </row>
    <row r="25" ht="15.75" customHeight="1">
      <c r="A25" s="10"/>
      <c r="B25" s="21" t="s">
        <v>65</v>
      </c>
    </row>
    <row r="26" ht="15.75" customHeight="1">
      <c r="A26" s="10"/>
      <c r="B26" s="16" t="s">
        <v>66</v>
      </c>
    </row>
    <row r="27" ht="15.75" customHeight="1">
      <c r="A27" s="10"/>
      <c r="B27" s="16" t="s">
        <v>67</v>
      </c>
    </row>
    <row r="28" ht="15.75" customHeight="1">
      <c r="A28" s="22"/>
      <c r="B28" s="23" t="s">
        <v>21</v>
      </c>
    </row>
    <row r="29" ht="15.75" customHeight="1">
      <c r="A29" s="22"/>
      <c r="B29" s="10" t="s">
        <v>68</v>
      </c>
    </row>
    <row r="30" ht="15.75" customHeight="1">
      <c r="A30" s="22"/>
      <c r="B30" s="10" t="s">
        <v>69</v>
      </c>
    </row>
    <row r="31" ht="15.75" customHeight="1">
      <c r="A31" s="22"/>
      <c r="B31" s="23" t="s">
        <v>70</v>
      </c>
    </row>
    <row r="32" ht="15.75" customHeight="1">
      <c r="A32" s="22"/>
      <c r="B32" s="23" t="s">
        <v>71</v>
      </c>
    </row>
    <row r="33" ht="15.75" customHeight="1">
      <c r="A33" s="1"/>
      <c r="B33" s="10" t="s">
        <v>72</v>
      </c>
    </row>
    <row r="34" ht="15.75" customHeight="1">
      <c r="A34" s="10"/>
      <c r="B34" s="19" t="s">
        <v>73</v>
      </c>
    </row>
    <row r="35" ht="15.75" customHeight="1">
      <c r="A35" s="10"/>
      <c r="B35" s="16" t="s">
        <v>74</v>
      </c>
    </row>
    <row r="36" ht="15.75" customHeight="1">
      <c r="A36" s="10"/>
      <c r="B36" s="16" t="s">
        <v>75</v>
      </c>
    </row>
    <row r="37" ht="15.75" customHeight="1">
      <c r="A37" s="10"/>
      <c r="B37" s="16" t="s">
        <v>76</v>
      </c>
    </row>
    <row r="38" ht="15.75" customHeight="1">
      <c r="A38" s="10"/>
      <c r="B38" s="19" t="s">
        <v>77</v>
      </c>
    </row>
    <row r="39" ht="15.75" customHeight="1">
      <c r="A39" s="10"/>
      <c r="B39" s="19" t="s">
        <v>78</v>
      </c>
    </row>
    <row r="40" ht="15.75" customHeight="1">
      <c r="A40" s="10"/>
      <c r="B40" s="21" t="s">
        <v>78</v>
      </c>
    </row>
    <row r="41" ht="15.75" customHeight="1">
      <c r="A41" s="10"/>
      <c r="B41" s="16" t="s">
        <v>79</v>
      </c>
    </row>
    <row r="42" ht="15.75" customHeight="1">
      <c r="A42" s="10"/>
      <c r="B42" s="16" t="s">
        <v>80</v>
      </c>
    </row>
    <row r="43" ht="15.75" customHeight="1">
      <c r="A43" s="10"/>
      <c r="B43" s="16" t="s">
        <v>81</v>
      </c>
    </row>
    <row r="44" ht="15.75" customHeight="1">
      <c r="A44" s="10"/>
      <c r="B44" s="19" t="s">
        <v>82</v>
      </c>
    </row>
    <row r="45" ht="15.75" customHeight="1">
      <c r="A45" s="10"/>
      <c r="B45" s="19" t="s">
        <v>83</v>
      </c>
    </row>
    <row r="46" ht="15.75" customHeight="1">
      <c r="A46" s="10"/>
      <c r="B46" s="19" t="s">
        <v>84</v>
      </c>
    </row>
    <row r="47" ht="15.75" customHeight="1">
      <c r="A47" s="10"/>
      <c r="B47" s="16" t="s">
        <v>85</v>
      </c>
    </row>
    <row r="48" ht="15.75" customHeight="1">
      <c r="A48" s="10"/>
      <c r="B48" s="19" t="s">
        <v>86</v>
      </c>
    </row>
    <row r="49" ht="15.75" customHeight="1">
      <c r="A49" s="10"/>
      <c r="B49" s="19" t="s">
        <v>87</v>
      </c>
    </row>
    <row r="50" ht="15.75" customHeight="1">
      <c r="A50" s="10"/>
      <c r="B50" s="19" t="s">
        <v>88</v>
      </c>
    </row>
    <row r="51" ht="15.75" customHeight="1">
      <c r="A51" s="1"/>
      <c r="B51" s="23" t="s">
        <v>89</v>
      </c>
    </row>
    <row r="52" ht="15.75" customHeight="1">
      <c r="A52" s="10"/>
      <c r="B52" s="13"/>
    </row>
    <row r="53" ht="15.75" customHeight="1">
      <c r="A53" s="10"/>
      <c r="B53" s="1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2"/>
    <hyperlink r:id="rId10" ref="B13"/>
    <hyperlink r:id="rId11" ref="B14"/>
    <hyperlink r:id="rId12" ref="B15"/>
    <hyperlink r:id="rId13" ref="B16"/>
    <hyperlink r:id="rId14" ref="B18"/>
    <hyperlink r:id="rId15" ref="B19"/>
    <hyperlink r:id="rId16" ref="B20"/>
    <hyperlink r:id="rId17" ref="B21"/>
    <hyperlink r:id="rId18" ref="B22"/>
    <hyperlink r:id="rId19" ref="B24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1"/>
    <hyperlink r:id="rId35" ref="B42"/>
    <hyperlink r:id="rId36" ref="B43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1"/>
  </hyperlinks>
  <printOptions/>
  <pageMargins bottom="0.75" footer="0.0" header="0.0" left="0.7" right="0.7" top="0.75"/>
  <pageSetup orientation="landscape"/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1" width="23.75"/>
    <col customWidth="1" min="12" max="26" width="12.75"/>
  </cols>
  <sheetData>
    <row r="1" ht="15.75" customHeight="1">
      <c r="A1" s="24"/>
      <c r="B1" s="25" t="s">
        <v>90</v>
      </c>
      <c r="K1" s="24"/>
    </row>
    <row r="2" ht="15.75" customHeight="1">
      <c r="A2" s="24"/>
      <c r="K2" s="24"/>
    </row>
    <row r="3" ht="15.75" customHeight="1">
      <c r="A3" s="24"/>
      <c r="B3" s="26" t="s">
        <v>91</v>
      </c>
      <c r="C3" s="26" t="s">
        <v>92</v>
      </c>
      <c r="D3" s="26" t="s">
        <v>93</v>
      </c>
      <c r="E3" s="26" t="s">
        <v>94</v>
      </c>
      <c r="F3" s="26" t="s">
        <v>95</v>
      </c>
      <c r="G3" s="26" t="s">
        <v>96</v>
      </c>
      <c r="H3" s="26" t="s">
        <v>97</v>
      </c>
      <c r="I3" s="26" t="s">
        <v>98</v>
      </c>
      <c r="J3" s="26" t="s">
        <v>99</v>
      </c>
      <c r="K3" s="24"/>
    </row>
    <row r="4" ht="15.75" customHeight="1">
      <c r="A4" s="24"/>
      <c r="B4" s="27">
        <v>0.5833333333333334</v>
      </c>
      <c r="C4" s="27">
        <f t="shared" ref="C4:J4" si="1">B4+"00:30"</f>
        <v>0.6041666667</v>
      </c>
      <c r="D4" s="27">
        <f t="shared" si="1"/>
        <v>0.625</v>
      </c>
      <c r="E4" s="27">
        <f t="shared" si="1"/>
        <v>0.6458333333</v>
      </c>
      <c r="F4" s="27">
        <f t="shared" si="1"/>
        <v>0.6666666667</v>
      </c>
      <c r="G4" s="27">
        <f t="shared" si="1"/>
        <v>0.6875</v>
      </c>
      <c r="H4" s="27">
        <f t="shared" si="1"/>
        <v>0.7083333333</v>
      </c>
      <c r="I4" s="27">
        <f t="shared" si="1"/>
        <v>0.7291666667</v>
      </c>
      <c r="J4" s="27">
        <f t="shared" si="1"/>
        <v>0.75</v>
      </c>
      <c r="K4" s="24"/>
    </row>
    <row r="5" ht="15.75" customHeight="1">
      <c r="A5" s="24"/>
      <c r="B5" s="28"/>
      <c r="C5" s="28"/>
      <c r="D5" s="28"/>
      <c r="E5" s="28"/>
      <c r="F5" s="28"/>
      <c r="G5" s="28"/>
      <c r="H5" s="28"/>
      <c r="I5" s="28"/>
      <c r="J5" s="28"/>
      <c r="K5" s="24"/>
    </row>
    <row r="6" ht="15.75" customHeight="1">
      <c r="A6" s="24"/>
      <c r="B6" s="28"/>
      <c r="C6" s="28"/>
      <c r="D6" s="28"/>
      <c r="E6" s="28"/>
      <c r="F6" s="28"/>
      <c r="G6" s="28"/>
      <c r="H6" s="28"/>
      <c r="I6" s="28"/>
      <c r="J6" s="28"/>
      <c r="K6" s="24"/>
    </row>
    <row r="7" ht="15.75" customHeight="1">
      <c r="A7" s="24"/>
      <c r="B7" s="28"/>
      <c r="C7" s="28"/>
      <c r="D7" s="28"/>
      <c r="E7" s="28"/>
      <c r="F7" s="28"/>
      <c r="G7" s="28"/>
      <c r="H7" s="28"/>
      <c r="I7" s="28"/>
      <c r="J7" s="28"/>
      <c r="K7" s="24"/>
    </row>
    <row r="8" ht="15.75" customHeight="1">
      <c r="A8" s="24"/>
      <c r="B8" s="29" t="s">
        <v>100</v>
      </c>
      <c r="C8" s="28"/>
      <c r="D8" s="28"/>
      <c r="E8" s="28"/>
      <c r="F8" s="28"/>
      <c r="G8" s="28"/>
      <c r="H8" s="28"/>
      <c r="I8" s="28"/>
      <c r="J8" s="28"/>
      <c r="K8" s="24"/>
    </row>
    <row r="9" ht="15.75" customHeight="1">
      <c r="A9" s="24"/>
      <c r="B9" s="30"/>
      <c r="C9" s="31"/>
      <c r="D9" s="28"/>
      <c r="E9" s="28"/>
      <c r="F9" s="28"/>
      <c r="G9" s="28"/>
      <c r="H9" s="28"/>
      <c r="I9" s="28"/>
      <c r="J9" s="28"/>
      <c r="K9" s="24"/>
    </row>
    <row r="10" ht="15.75" customHeight="1">
      <c r="A10" s="24"/>
      <c r="B10" s="28"/>
      <c r="C10" s="32" t="s">
        <v>101</v>
      </c>
      <c r="D10" s="33" t="s">
        <v>102</v>
      </c>
      <c r="E10" s="28"/>
      <c r="F10" s="28"/>
      <c r="G10" s="28"/>
      <c r="H10" s="28"/>
      <c r="I10" s="28"/>
      <c r="J10" s="28"/>
      <c r="K10" s="24"/>
    </row>
    <row r="11" ht="15.75" customHeight="1">
      <c r="A11" s="24"/>
      <c r="B11" s="28"/>
      <c r="C11" s="34"/>
      <c r="D11" s="35"/>
      <c r="E11" s="31"/>
      <c r="F11" s="28"/>
      <c r="G11" s="28"/>
      <c r="H11" s="28"/>
      <c r="I11" s="28"/>
      <c r="J11" s="28"/>
      <c r="K11" s="24"/>
    </row>
    <row r="12" ht="15.75" customHeight="1">
      <c r="A12" s="24"/>
      <c r="B12" s="29" t="s">
        <v>103</v>
      </c>
      <c r="C12" s="30"/>
      <c r="D12" s="28"/>
      <c r="E12" s="36"/>
      <c r="F12" s="28"/>
      <c r="G12" s="28"/>
      <c r="H12" s="28"/>
      <c r="I12" s="28"/>
      <c r="J12" s="28"/>
      <c r="K12" s="24"/>
    </row>
    <row r="13" ht="15.75" customHeight="1">
      <c r="A13" s="24"/>
      <c r="B13" s="30"/>
      <c r="C13" s="28"/>
      <c r="D13" s="28"/>
      <c r="E13" s="36"/>
      <c r="F13" s="28"/>
      <c r="G13" s="28"/>
      <c r="H13" s="28"/>
      <c r="I13" s="28"/>
      <c r="J13" s="28"/>
      <c r="K13" s="24"/>
    </row>
    <row r="14" ht="15.75" customHeight="1">
      <c r="A14" s="24"/>
      <c r="B14" s="28"/>
      <c r="C14" s="28"/>
      <c r="D14" s="28"/>
      <c r="E14" s="32" t="s">
        <v>104</v>
      </c>
      <c r="F14" s="33" t="s">
        <v>102</v>
      </c>
      <c r="G14" s="28"/>
      <c r="H14" s="28"/>
      <c r="I14" s="28"/>
      <c r="J14" s="28"/>
      <c r="K14" s="24"/>
    </row>
    <row r="15" ht="15.75" customHeight="1">
      <c r="A15" s="24"/>
      <c r="B15" s="28"/>
      <c r="C15" s="28"/>
      <c r="D15" s="28"/>
      <c r="E15" s="34"/>
      <c r="F15" s="35"/>
      <c r="G15" s="31"/>
      <c r="H15" s="28"/>
      <c r="I15" s="28"/>
      <c r="J15" s="28"/>
      <c r="K15" s="24"/>
    </row>
    <row r="16" ht="15.75" customHeight="1">
      <c r="A16" s="24"/>
      <c r="B16" s="29" t="s">
        <v>105</v>
      </c>
      <c r="C16" s="28"/>
      <c r="D16" s="28"/>
      <c r="E16" s="36"/>
      <c r="F16" s="28"/>
      <c r="G16" s="36"/>
      <c r="H16" s="28"/>
      <c r="I16" s="28"/>
      <c r="J16" s="28"/>
      <c r="K16" s="24"/>
    </row>
    <row r="17" ht="15.75" customHeight="1">
      <c r="A17" s="24"/>
      <c r="B17" s="30"/>
      <c r="C17" s="31"/>
      <c r="D17" s="28"/>
      <c r="E17" s="36"/>
      <c r="F17" s="28"/>
      <c r="G17" s="36"/>
      <c r="H17" s="28"/>
      <c r="I17" s="28"/>
      <c r="J17" s="28"/>
      <c r="K17" s="24"/>
    </row>
    <row r="18" ht="15.75" customHeight="1">
      <c r="A18" s="24"/>
      <c r="B18" s="28"/>
      <c r="C18" s="32" t="s">
        <v>106</v>
      </c>
      <c r="D18" s="33" t="s">
        <v>102</v>
      </c>
      <c r="E18" s="30"/>
      <c r="F18" s="28"/>
      <c r="G18" s="36"/>
      <c r="H18" s="28"/>
      <c r="I18" s="28"/>
      <c r="J18" s="28"/>
      <c r="K18" s="24"/>
    </row>
    <row r="19" ht="15.75" customHeight="1">
      <c r="A19" s="24"/>
      <c r="B19" s="28"/>
      <c r="C19" s="34"/>
      <c r="D19" s="35"/>
      <c r="E19" s="28"/>
      <c r="F19" s="28"/>
      <c r="G19" s="36"/>
      <c r="H19" s="28"/>
      <c r="I19" s="28"/>
      <c r="J19" s="28"/>
      <c r="K19" s="24"/>
    </row>
    <row r="20" ht="15.75" customHeight="1">
      <c r="A20" s="24"/>
      <c r="B20" s="29" t="s">
        <v>107</v>
      </c>
      <c r="C20" s="30"/>
      <c r="D20" s="28"/>
      <c r="E20" s="28"/>
      <c r="F20" s="28"/>
      <c r="G20" s="36"/>
      <c r="H20" s="28"/>
      <c r="I20" s="28"/>
      <c r="J20" s="28"/>
      <c r="K20" s="24"/>
    </row>
    <row r="21" ht="15.75" customHeight="1">
      <c r="A21" s="24"/>
      <c r="B21" s="30"/>
      <c r="C21" s="28"/>
      <c r="D21" s="28"/>
      <c r="E21" s="28"/>
      <c r="F21" s="28"/>
      <c r="G21" s="36"/>
      <c r="H21" s="28"/>
      <c r="I21" s="28"/>
      <c r="J21" s="28"/>
      <c r="K21" s="24"/>
    </row>
    <row r="22" ht="15.75" customHeight="1">
      <c r="A22" s="24"/>
      <c r="B22" s="28"/>
      <c r="C22" s="28"/>
      <c r="D22" s="28"/>
      <c r="E22" s="28"/>
      <c r="F22" s="28"/>
      <c r="G22" s="32" t="s">
        <v>101</v>
      </c>
      <c r="H22" s="33" t="s">
        <v>102</v>
      </c>
      <c r="I22" s="28"/>
      <c r="J22" s="28"/>
      <c r="K22" s="24"/>
    </row>
    <row r="23" ht="15.75" customHeight="1">
      <c r="A23" s="24"/>
      <c r="B23" s="28"/>
      <c r="C23" s="28"/>
      <c r="D23" s="28"/>
      <c r="E23" s="28"/>
      <c r="F23" s="28"/>
      <c r="G23" s="34"/>
      <c r="H23" s="35"/>
      <c r="I23" s="31"/>
      <c r="J23" s="28"/>
      <c r="K23" s="24"/>
    </row>
    <row r="24" ht="15.75" customHeight="1">
      <c r="A24" s="24"/>
      <c r="B24" s="29" t="s">
        <v>108</v>
      </c>
      <c r="C24" s="28"/>
      <c r="D24" s="28"/>
      <c r="E24" s="28"/>
      <c r="F24" s="28"/>
      <c r="G24" s="36"/>
      <c r="H24" s="28"/>
      <c r="I24" s="36"/>
      <c r="J24" s="28"/>
      <c r="K24" s="24"/>
    </row>
    <row r="25" ht="15.75" customHeight="1">
      <c r="A25" s="24"/>
      <c r="B25" s="30"/>
      <c r="C25" s="31"/>
      <c r="D25" s="28"/>
      <c r="E25" s="28"/>
      <c r="F25" s="28"/>
      <c r="G25" s="36"/>
      <c r="H25" s="28"/>
      <c r="I25" s="36"/>
      <c r="J25" s="28"/>
      <c r="K25" s="24"/>
    </row>
    <row r="26" ht="15.75" customHeight="1">
      <c r="A26" s="24"/>
      <c r="B26" s="28"/>
      <c r="C26" s="32" t="s">
        <v>104</v>
      </c>
      <c r="D26" s="33" t="s">
        <v>102</v>
      </c>
      <c r="E26" s="28"/>
      <c r="F26" s="28"/>
      <c r="G26" s="36"/>
      <c r="H26" s="28"/>
      <c r="I26" s="36"/>
      <c r="J26" s="28"/>
      <c r="K26" s="24"/>
    </row>
    <row r="27" ht="15.75" customHeight="1">
      <c r="A27" s="24"/>
      <c r="B27" s="28"/>
      <c r="C27" s="34"/>
      <c r="D27" s="35"/>
      <c r="E27" s="31"/>
      <c r="F27" s="28"/>
      <c r="G27" s="36"/>
      <c r="H27" s="28"/>
      <c r="I27" s="36"/>
      <c r="J27" s="28"/>
      <c r="K27" s="24"/>
    </row>
    <row r="28" ht="15.75" customHeight="1">
      <c r="A28" s="24"/>
      <c r="B28" s="29" t="s">
        <v>109</v>
      </c>
      <c r="C28" s="30"/>
      <c r="D28" s="28"/>
      <c r="E28" s="36"/>
      <c r="F28" s="28"/>
      <c r="G28" s="36"/>
      <c r="H28" s="28"/>
      <c r="I28" s="36"/>
      <c r="J28" s="28"/>
      <c r="K28" s="24"/>
    </row>
    <row r="29" ht="15.75" customHeight="1">
      <c r="A29" s="24"/>
      <c r="B29" s="30"/>
      <c r="C29" s="28"/>
      <c r="D29" s="28"/>
      <c r="E29" s="36"/>
      <c r="F29" s="28"/>
      <c r="G29" s="36"/>
      <c r="H29" s="28"/>
      <c r="I29" s="36"/>
      <c r="J29" s="28"/>
      <c r="K29" s="24"/>
    </row>
    <row r="30" ht="15.75" customHeight="1">
      <c r="A30" s="24"/>
      <c r="B30" s="28"/>
      <c r="C30" s="28"/>
      <c r="D30" s="28"/>
      <c r="E30" s="32" t="s">
        <v>106</v>
      </c>
      <c r="F30" s="33" t="s">
        <v>102</v>
      </c>
      <c r="G30" s="30"/>
      <c r="H30" s="28"/>
      <c r="I30" s="36"/>
      <c r="J30" s="28"/>
      <c r="K30" s="24"/>
    </row>
    <row r="31" ht="15.75" customHeight="1">
      <c r="A31" s="24"/>
      <c r="B31" s="28"/>
      <c r="C31" s="28"/>
      <c r="D31" s="28"/>
      <c r="E31" s="34"/>
      <c r="F31" s="35"/>
      <c r="G31" s="28"/>
      <c r="H31" s="28"/>
      <c r="I31" s="32" t="s">
        <v>101</v>
      </c>
      <c r="J31" s="28"/>
      <c r="K31" s="24"/>
    </row>
    <row r="32" ht="15.75" customHeight="1">
      <c r="A32" s="24"/>
      <c r="B32" s="29" t="s">
        <v>110</v>
      </c>
      <c r="C32" s="28"/>
      <c r="D32" s="28"/>
      <c r="E32" s="36"/>
      <c r="F32" s="28"/>
      <c r="G32" s="28"/>
      <c r="H32" s="28"/>
      <c r="I32" s="34"/>
      <c r="J32" s="37"/>
      <c r="K32" s="24"/>
    </row>
    <row r="33" ht="15.75" customHeight="1">
      <c r="A33" s="24"/>
      <c r="B33" s="30"/>
      <c r="C33" s="31"/>
      <c r="D33" s="28"/>
      <c r="E33" s="36"/>
      <c r="F33" s="28"/>
      <c r="G33" s="28"/>
      <c r="H33" s="28"/>
      <c r="I33" s="36"/>
      <c r="J33" s="28"/>
      <c r="K33" s="24"/>
    </row>
    <row r="34" ht="15.75" customHeight="1">
      <c r="A34" s="24"/>
      <c r="B34" s="28"/>
      <c r="C34" s="32" t="s">
        <v>111</v>
      </c>
      <c r="D34" s="33" t="s">
        <v>102</v>
      </c>
      <c r="E34" s="30"/>
      <c r="F34" s="28"/>
      <c r="G34" s="28"/>
      <c r="H34" s="28"/>
      <c r="I34" s="36"/>
      <c r="J34" s="28"/>
      <c r="K34" s="24"/>
    </row>
    <row r="35" ht="15.75" customHeight="1">
      <c r="A35" s="24"/>
      <c r="B35" s="28"/>
      <c r="C35" s="34"/>
      <c r="D35" s="35"/>
      <c r="E35" s="28"/>
      <c r="F35" s="28"/>
      <c r="G35" s="28"/>
      <c r="H35" s="28"/>
      <c r="I35" s="36"/>
      <c r="J35" s="28"/>
      <c r="K35" s="24"/>
    </row>
    <row r="36" ht="15.75" customHeight="1">
      <c r="A36" s="24"/>
      <c r="B36" s="29" t="s">
        <v>112</v>
      </c>
      <c r="C36" s="30"/>
      <c r="D36" s="28"/>
      <c r="E36" s="28"/>
      <c r="F36" s="28"/>
      <c r="G36" s="28"/>
      <c r="H36" s="28"/>
      <c r="I36" s="36"/>
      <c r="J36" s="28"/>
      <c r="K36" s="24"/>
    </row>
    <row r="37" ht="15.75" customHeight="1">
      <c r="A37" s="24"/>
      <c r="B37" s="30"/>
      <c r="C37" s="28"/>
      <c r="D37" s="28"/>
      <c r="E37" s="28"/>
      <c r="F37" s="28"/>
      <c r="G37" s="28"/>
      <c r="H37" s="28"/>
      <c r="I37" s="36"/>
      <c r="J37" s="28"/>
      <c r="K37" s="24"/>
    </row>
    <row r="38" ht="15.75" customHeight="1">
      <c r="A38" s="24"/>
      <c r="B38" s="28"/>
      <c r="C38" s="28"/>
      <c r="D38" s="28"/>
      <c r="E38" s="28"/>
      <c r="F38" s="28"/>
      <c r="G38" s="28"/>
      <c r="H38" s="31"/>
      <c r="I38" s="36"/>
      <c r="J38" s="28"/>
      <c r="K38" s="24"/>
    </row>
    <row r="39" ht="15.75" customHeight="1">
      <c r="A39" s="24"/>
      <c r="B39" s="28"/>
      <c r="C39" s="28"/>
      <c r="D39" s="28"/>
      <c r="E39" s="28"/>
      <c r="F39" s="28"/>
      <c r="G39" s="28"/>
      <c r="H39" s="36"/>
      <c r="I39" s="36"/>
      <c r="J39" s="28"/>
      <c r="K39" s="24"/>
    </row>
    <row r="40" ht="15.75" customHeight="1">
      <c r="A40" s="24"/>
      <c r="B40" s="28"/>
      <c r="C40" s="28"/>
      <c r="D40" s="28"/>
      <c r="E40" s="28"/>
      <c r="F40" s="31"/>
      <c r="G40" s="28"/>
      <c r="H40" s="36"/>
      <c r="I40" s="36"/>
      <c r="J40" s="28"/>
      <c r="K40" s="24"/>
    </row>
    <row r="41" ht="15.75" customHeight="1">
      <c r="A41" s="24"/>
      <c r="B41" s="28"/>
      <c r="C41" s="28"/>
      <c r="D41" s="29" t="s">
        <v>110</v>
      </c>
      <c r="E41" s="28"/>
      <c r="F41" s="32" t="s">
        <v>101</v>
      </c>
      <c r="G41" s="28"/>
      <c r="H41" s="32" t="s">
        <v>101</v>
      </c>
      <c r="I41" s="30"/>
      <c r="J41" s="28"/>
      <c r="K41" s="24"/>
    </row>
    <row r="42" ht="15.75" customHeight="1">
      <c r="A42" s="24"/>
      <c r="B42" s="28"/>
      <c r="C42" s="29" t="s">
        <v>100</v>
      </c>
      <c r="D42" s="30"/>
      <c r="E42" s="31"/>
      <c r="F42" s="34"/>
      <c r="G42" s="31"/>
      <c r="H42" s="34"/>
      <c r="I42" s="28"/>
      <c r="J42" s="28"/>
      <c r="K42" s="24"/>
    </row>
    <row r="43" ht="15.75" customHeight="1">
      <c r="A43" s="24"/>
      <c r="B43" s="28"/>
      <c r="C43" s="30"/>
      <c r="D43" s="28"/>
      <c r="E43" s="32" t="s">
        <v>111</v>
      </c>
      <c r="F43" s="30"/>
      <c r="G43" s="36"/>
      <c r="H43" s="36"/>
      <c r="I43" s="28"/>
      <c r="J43" s="28"/>
      <c r="K43" s="24"/>
    </row>
    <row r="44" ht="15.75" customHeight="1">
      <c r="A44" s="24"/>
      <c r="B44" s="28"/>
      <c r="C44" s="28"/>
      <c r="D44" s="28"/>
      <c r="E44" s="34"/>
      <c r="F44" s="28"/>
      <c r="G44" s="36"/>
      <c r="H44" s="36"/>
      <c r="I44" s="28"/>
      <c r="J44" s="28"/>
      <c r="K44" s="24"/>
    </row>
    <row r="45" ht="15.75" customHeight="1">
      <c r="A45" s="24"/>
      <c r="B45" s="28"/>
      <c r="C45" s="28"/>
      <c r="D45" s="29" t="s">
        <v>112</v>
      </c>
      <c r="E45" s="30"/>
      <c r="F45" s="28"/>
      <c r="G45" s="32" t="s">
        <v>106</v>
      </c>
      <c r="H45" s="30"/>
      <c r="I45" s="28"/>
      <c r="J45" s="28"/>
      <c r="K45" s="24"/>
    </row>
    <row r="46" ht="15.75" customHeight="1">
      <c r="A46" s="24"/>
      <c r="B46" s="28"/>
      <c r="C46" s="29" t="s">
        <v>103</v>
      </c>
      <c r="D46" s="30"/>
      <c r="E46" s="28"/>
      <c r="F46" s="28"/>
      <c r="G46" s="34"/>
      <c r="H46" s="28"/>
      <c r="I46" s="28"/>
      <c r="J46" s="28"/>
      <c r="K46" s="24"/>
    </row>
    <row r="47" ht="15.75" customHeight="1">
      <c r="A47" s="24"/>
      <c r="B47" s="28"/>
      <c r="C47" s="30"/>
      <c r="D47" s="28"/>
      <c r="E47" s="28"/>
      <c r="F47" s="28"/>
      <c r="G47" s="36"/>
      <c r="H47" s="28"/>
      <c r="I47" s="28"/>
      <c r="J47" s="28"/>
      <c r="K47" s="24"/>
    </row>
    <row r="48" ht="15.75" customHeight="1">
      <c r="A48" s="24"/>
      <c r="B48" s="28"/>
      <c r="C48" s="28"/>
      <c r="D48" s="28"/>
      <c r="E48" s="28"/>
      <c r="F48" s="31"/>
      <c r="G48" s="36"/>
      <c r="H48" s="28"/>
      <c r="I48" s="28"/>
      <c r="J48" s="28"/>
      <c r="K48" s="24"/>
    </row>
    <row r="49" ht="15.75" customHeight="1">
      <c r="A49" s="24"/>
      <c r="B49" s="28"/>
      <c r="C49" s="28"/>
      <c r="D49" s="29" t="s">
        <v>108</v>
      </c>
      <c r="E49" s="28"/>
      <c r="F49" s="32" t="s">
        <v>106</v>
      </c>
      <c r="G49" s="30"/>
      <c r="H49" s="28"/>
      <c r="I49" s="28"/>
      <c r="J49" s="28"/>
      <c r="K49" s="24"/>
    </row>
    <row r="50" ht="15.75" customHeight="1">
      <c r="A50" s="24"/>
      <c r="B50" s="28"/>
      <c r="C50" s="29" t="s">
        <v>105</v>
      </c>
      <c r="D50" s="30"/>
      <c r="E50" s="31"/>
      <c r="F50" s="34"/>
      <c r="G50" s="28"/>
      <c r="H50" s="28"/>
      <c r="I50" s="28"/>
      <c r="J50" s="28"/>
      <c r="K50" s="24"/>
    </row>
    <row r="51" ht="15.75" customHeight="1">
      <c r="A51" s="24"/>
      <c r="B51" s="28"/>
      <c r="C51" s="30"/>
      <c r="D51" s="28"/>
      <c r="E51" s="32" t="s">
        <v>101</v>
      </c>
      <c r="F51" s="30"/>
      <c r="G51" s="28"/>
      <c r="H51" s="28"/>
      <c r="I51" s="28"/>
      <c r="J51" s="28"/>
      <c r="K51" s="24"/>
    </row>
    <row r="52" ht="15.75" customHeight="1">
      <c r="A52" s="24"/>
      <c r="B52" s="28"/>
      <c r="C52" s="28"/>
      <c r="D52" s="28"/>
      <c r="E52" s="34"/>
      <c r="F52" s="28"/>
      <c r="G52" s="28"/>
      <c r="H52" s="28"/>
      <c r="I52" s="28"/>
      <c r="J52" s="28"/>
      <c r="K52" s="24"/>
    </row>
    <row r="53" ht="15.75" customHeight="1">
      <c r="A53" s="24"/>
      <c r="B53" s="28"/>
      <c r="C53" s="28"/>
      <c r="D53" s="29" t="s">
        <v>109</v>
      </c>
      <c r="E53" s="30"/>
      <c r="F53" s="28"/>
      <c r="G53" s="28"/>
      <c r="H53" s="28"/>
      <c r="I53" s="28"/>
      <c r="J53" s="28"/>
      <c r="K53" s="24"/>
    </row>
    <row r="54" ht="15.75" customHeight="1">
      <c r="A54" s="24"/>
      <c r="B54" s="28"/>
      <c r="C54" s="29" t="s">
        <v>107</v>
      </c>
      <c r="D54" s="30"/>
      <c r="E54" s="28"/>
      <c r="F54" s="28"/>
      <c r="G54" s="28"/>
      <c r="H54" s="28"/>
      <c r="I54" s="28"/>
      <c r="J54" s="28"/>
      <c r="K54" s="24"/>
    </row>
    <row r="55" ht="15.75" customHeight="1">
      <c r="A55" s="24"/>
      <c r="B55" s="28"/>
      <c r="C55" s="30"/>
      <c r="D55" s="28"/>
      <c r="E55" s="28"/>
      <c r="F55" s="28"/>
      <c r="G55" s="28"/>
      <c r="H55" s="28"/>
      <c r="I55" s="28"/>
      <c r="J55" s="28"/>
      <c r="K55" s="24"/>
    </row>
    <row r="56" ht="15.75" customHeight="1">
      <c r="A56" s="24"/>
      <c r="B56" s="28"/>
      <c r="C56" s="28"/>
      <c r="D56" s="28"/>
      <c r="E56" s="28"/>
      <c r="F56" s="28"/>
      <c r="G56" s="28"/>
      <c r="H56" s="28"/>
      <c r="I56" s="28"/>
      <c r="J56" s="28"/>
      <c r="K56" s="24"/>
    </row>
    <row r="57" ht="15.75" customHeight="1">
      <c r="A57" s="24"/>
      <c r="B57" s="28"/>
      <c r="C57" s="28"/>
      <c r="D57" s="28"/>
      <c r="E57" s="28"/>
      <c r="F57" s="28"/>
      <c r="G57" s="28"/>
      <c r="H57" s="28"/>
      <c r="I57" s="28"/>
      <c r="J57" s="28"/>
      <c r="K57" s="24"/>
    </row>
    <row r="58" ht="15.75" customHeight="1">
      <c r="A58" s="24"/>
      <c r="B58" s="28"/>
      <c r="C58" s="28"/>
      <c r="D58" s="28"/>
      <c r="E58" s="28"/>
      <c r="F58" s="28"/>
      <c r="G58" s="28"/>
      <c r="H58" s="28"/>
      <c r="I58" s="28"/>
      <c r="J58" s="28"/>
      <c r="K58" s="2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6:C27"/>
    <mergeCell ref="C34:C35"/>
    <mergeCell ref="F41:F42"/>
    <mergeCell ref="H41:H42"/>
    <mergeCell ref="E43:E44"/>
    <mergeCell ref="G45:G46"/>
    <mergeCell ref="F49:F50"/>
    <mergeCell ref="E51:E52"/>
    <mergeCell ref="B1:J2"/>
    <mergeCell ref="C10:C11"/>
    <mergeCell ref="E14:E15"/>
    <mergeCell ref="C18:C19"/>
    <mergeCell ref="G22:G23"/>
    <mergeCell ref="E30:E31"/>
    <mergeCell ref="I31:I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1.38"/>
    <col customWidth="1" min="3" max="3" width="7.13"/>
    <col customWidth="1" min="4" max="4" width="15.13"/>
    <col customWidth="1" min="5" max="5" width="7.13"/>
    <col customWidth="1" min="6" max="6" width="31.38"/>
    <col customWidth="1" min="7" max="7" width="7.13"/>
    <col customWidth="1" min="8" max="8" width="15.13"/>
    <col customWidth="1" min="9" max="9" width="7.13"/>
    <col customWidth="1" min="10" max="10" width="31.38"/>
    <col customWidth="1" min="11" max="11" width="7.13"/>
    <col customWidth="1" min="12" max="12" width="15.13"/>
    <col customWidth="1" min="13" max="13" width="7.13"/>
    <col customWidth="1" min="14" max="14" width="31.38"/>
    <col customWidth="1" min="15" max="15" width="7.13"/>
    <col customWidth="1" min="16" max="16" width="15.13"/>
    <col customWidth="1" min="17" max="17" width="7.13"/>
    <col customWidth="1" min="18" max="18" width="31.38"/>
    <col customWidth="1" min="19" max="19" width="7.13"/>
    <col customWidth="1" min="20" max="20" width="15.13"/>
    <col customWidth="1" min="21" max="21" width="7.13"/>
    <col customWidth="1" min="22" max="22" width="6.88"/>
    <col customWidth="1" hidden="1" min="23" max="23" width="12.75"/>
    <col customWidth="1" hidden="1" min="24" max="24" width="26.63"/>
    <col customWidth="1" min="25" max="25" width="31.25"/>
    <col customWidth="1" min="26" max="26" width="30.13"/>
    <col customWidth="1" min="27" max="28" width="14.0"/>
    <col customWidth="1" hidden="1" min="29" max="29" width="12.75"/>
    <col customWidth="1" min="30" max="30" width="6.38"/>
    <col customWidth="1" hidden="1" min="31" max="33" width="12.75"/>
    <col customWidth="1" min="34" max="34" width="29.63"/>
    <col customWidth="1" min="35" max="36" width="14.0"/>
  </cols>
  <sheetData>
    <row r="1" ht="15.75" customHeight="1">
      <c r="A1" s="38"/>
      <c r="B1" s="39" t="s">
        <v>113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  <c r="V1" s="38"/>
      <c r="W1" s="38"/>
      <c r="X1" s="38"/>
      <c r="Y1" s="38"/>
      <c r="Z1" s="38"/>
      <c r="AA1" s="38"/>
      <c r="AB1" s="38"/>
      <c r="AC1" s="38"/>
      <c r="AD1" s="38"/>
      <c r="AE1" s="38"/>
      <c r="AF1" s="42"/>
      <c r="AG1" s="38"/>
      <c r="AH1" s="38"/>
      <c r="AI1" s="42"/>
      <c r="AJ1" s="42"/>
    </row>
    <row r="2" ht="15.75" customHeight="1">
      <c r="A2" s="38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5"/>
      <c r="V2" s="38"/>
      <c r="W2" s="38"/>
      <c r="X2" s="38"/>
      <c r="Y2" s="38"/>
      <c r="Z2" s="38"/>
      <c r="AA2" s="38"/>
      <c r="AB2" s="38"/>
      <c r="AC2" s="38"/>
      <c r="AD2" s="38"/>
      <c r="AE2" s="38"/>
      <c r="AF2" s="42"/>
      <c r="AG2" s="38"/>
      <c r="AH2" s="38"/>
      <c r="AI2" s="42"/>
      <c r="AJ2" s="42"/>
    </row>
    <row r="3" ht="15.75" customHeight="1">
      <c r="A3" s="46" t="s">
        <v>114</v>
      </c>
      <c r="B3" s="47" t="s">
        <v>115</v>
      </c>
      <c r="C3" s="40"/>
      <c r="D3" s="40"/>
      <c r="E3" s="41"/>
      <c r="F3" s="47" t="s">
        <v>116</v>
      </c>
      <c r="G3" s="40"/>
      <c r="H3" s="40"/>
      <c r="I3" s="41"/>
      <c r="J3" s="47" t="s">
        <v>117</v>
      </c>
      <c r="K3" s="40"/>
      <c r="L3" s="40"/>
      <c r="M3" s="41"/>
      <c r="N3" s="47" t="s">
        <v>118</v>
      </c>
      <c r="O3" s="40"/>
      <c r="P3" s="40"/>
      <c r="Q3" s="41"/>
      <c r="R3" s="47" t="s">
        <v>119</v>
      </c>
      <c r="S3" s="40"/>
      <c r="T3" s="40"/>
      <c r="U3" s="41"/>
      <c r="V3" s="38"/>
      <c r="W3" s="38"/>
      <c r="X3" s="38"/>
      <c r="Y3" s="38"/>
      <c r="Z3" s="38"/>
      <c r="AA3" s="38"/>
      <c r="AB3" s="38"/>
      <c r="AC3" s="38"/>
      <c r="AD3" s="38"/>
      <c r="AE3" s="38"/>
      <c r="AF3" s="42"/>
      <c r="AG3" s="38"/>
      <c r="AH3" s="38"/>
      <c r="AI3" s="42"/>
      <c r="AJ3" s="42"/>
    </row>
    <row r="4" ht="15.75" customHeight="1">
      <c r="A4" s="38"/>
      <c r="B4" s="48">
        <v>0.4097222222222222</v>
      </c>
      <c r="C4" s="44"/>
      <c r="D4" s="44"/>
      <c r="E4" s="45"/>
      <c r="F4" s="48">
        <v>0.4375</v>
      </c>
      <c r="G4" s="44"/>
      <c r="H4" s="44"/>
      <c r="I4" s="45"/>
      <c r="J4" s="48">
        <v>0.46041666666666664</v>
      </c>
      <c r="K4" s="44"/>
      <c r="L4" s="44"/>
      <c r="M4" s="45"/>
      <c r="N4" s="48">
        <v>0.4895833333333333</v>
      </c>
      <c r="O4" s="44"/>
      <c r="P4" s="44"/>
      <c r="Q4" s="45"/>
      <c r="R4" s="48">
        <v>0.5138888888888888</v>
      </c>
      <c r="S4" s="44"/>
      <c r="T4" s="44"/>
      <c r="U4" s="45"/>
      <c r="V4" s="38"/>
      <c r="W4" s="38"/>
      <c r="X4" s="38"/>
      <c r="Y4" s="49" t="s">
        <v>120</v>
      </c>
      <c r="Z4" s="38"/>
      <c r="AA4" s="38"/>
      <c r="AB4" s="38"/>
      <c r="AC4" s="38"/>
      <c r="AD4" s="38"/>
      <c r="AE4" s="38"/>
      <c r="AF4" s="42"/>
      <c r="AG4" s="38"/>
      <c r="AH4" s="38"/>
      <c r="AI4" s="42"/>
      <c r="AJ4" s="42"/>
    </row>
    <row r="5" ht="15.75" customHeight="1">
      <c r="A5" s="50"/>
      <c r="B5" s="51" t="s">
        <v>121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1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2"/>
      <c r="AG5" s="50"/>
      <c r="AH5" s="50"/>
      <c r="AI5" s="52"/>
      <c r="AJ5" s="52"/>
    </row>
    <row r="6" ht="15.75" customHeight="1">
      <c r="A6" s="50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5"/>
      <c r="V6" s="50"/>
      <c r="W6" s="50"/>
      <c r="X6" s="53"/>
      <c r="Y6" s="54" t="s">
        <v>122</v>
      </c>
      <c r="Z6" s="55"/>
      <c r="AA6" s="56"/>
      <c r="AB6" s="57"/>
      <c r="AC6" s="50"/>
      <c r="AD6" s="50"/>
      <c r="AE6" s="50"/>
      <c r="AF6" s="52"/>
      <c r="AG6" s="50"/>
      <c r="AH6" s="58" t="s">
        <v>123</v>
      </c>
      <c r="AI6" s="56"/>
      <c r="AJ6" s="57"/>
    </row>
    <row r="7" ht="15.75" customHeight="1">
      <c r="A7" s="50"/>
      <c r="B7" s="59" t="s">
        <v>124</v>
      </c>
      <c r="C7" s="60" t="s">
        <v>125</v>
      </c>
      <c r="D7" s="60" t="s">
        <v>126</v>
      </c>
      <c r="E7" s="61" t="s">
        <v>127</v>
      </c>
      <c r="F7" s="59" t="s">
        <v>124</v>
      </c>
      <c r="G7" s="60" t="s">
        <v>125</v>
      </c>
      <c r="H7" s="60" t="s">
        <v>126</v>
      </c>
      <c r="I7" s="61" t="s">
        <v>127</v>
      </c>
      <c r="J7" s="59" t="s">
        <v>124</v>
      </c>
      <c r="K7" s="60" t="s">
        <v>125</v>
      </c>
      <c r="L7" s="60" t="s">
        <v>126</v>
      </c>
      <c r="M7" s="61" t="s">
        <v>127</v>
      </c>
      <c r="N7" s="59" t="s">
        <v>124</v>
      </c>
      <c r="O7" s="60" t="s">
        <v>125</v>
      </c>
      <c r="P7" s="60" t="s">
        <v>126</v>
      </c>
      <c r="Q7" s="61" t="s">
        <v>127</v>
      </c>
      <c r="R7" s="59" t="s">
        <v>124</v>
      </c>
      <c r="S7" s="60" t="s">
        <v>125</v>
      </c>
      <c r="T7" s="60" t="s">
        <v>126</v>
      </c>
      <c r="U7" s="61" t="s">
        <v>127</v>
      </c>
      <c r="V7" s="50"/>
      <c r="W7" s="62" t="s">
        <v>128</v>
      </c>
      <c r="X7" s="63" t="s">
        <v>129</v>
      </c>
      <c r="Y7" s="64" t="s">
        <v>130</v>
      </c>
      <c r="Z7" s="64" t="s">
        <v>131</v>
      </c>
      <c r="AA7" s="64" t="s">
        <v>132</v>
      </c>
      <c r="AB7" s="65" t="s">
        <v>133</v>
      </c>
      <c r="AC7" s="66" t="str">
        <f>X7</f>
        <v>Team </v>
      </c>
      <c r="AD7" s="62"/>
      <c r="AE7" s="62" t="s">
        <v>134</v>
      </c>
      <c r="AF7" s="62" t="s">
        <v>135</v>
      </c>
      <c r="AG7" s="62" t="s">
        <v>45</v>
      </c>
      <c r="AH7" s="62" t="s">
        <v>131</v>
      </c>
      <c r="AI7" s="62" t="s">
        <v>132</v>
      </c>
      <c r="AJ7" s="63" t="s">
        <v>136</v>
      </c>
    </row>
    <row r="8" ht="15.75" customHeight="1">
      <c r="A8" s="67" t="s">
        <v>137</v>
      </c>
      <c r="B8" s="68" t="str">
        <f>X8</f>
        <v>Farmington HS - Team 1</v>
      </c>
      <c r="C8" s="69">
        <v>260.0</v>
      </c>
      <c r="D8" s="70" t="b">
        <v>1</v>
      </c>
      <c r="E8" s="71">
        <f>IF(D8=True, IF(C8&gt;C9,2,IF(C8=C9,1,0)),0)</f>
        <v>2</v>
      </c>
      <c r="F8" s="68" t="str">
        <f>B10</f>
        <v>Southington HS - Team 1</v>
      </c>
      <c r="G8" s="69">
        <v>84.0</v>
      </c>
      <c r="H8" s="70" t="b">
        <v>1</v>
      </c>
      <c r="I8" s="71">
        <f>IF(H8=True, IF(G8&gt;G9,2,IF(G8=G9,1,0)),0)</f>
        <v>2</v>
      </c>
      <c r="J8" s="68" t="str">
        <f>F12</f>
        <v>Farmington HS - Team 1</v>
      </c>
      <c r="K8" s="72">
        <v>218.0</v>
      </c>
      <c r="L8" s="70" t="b">
        <v>1</v>
      </c>
      <c r="M8" s="71">
        <f>IF(L8=True, IF(K8&gt;K9,2,IF(K8=K9,1,0)),0)</f>
        <v>2</v>
      </c>
      <c r="N8" s="68" t="str">
        <f>J13</f>
        <v>Ethel Walker School</v>
      </c>
      <c r="O8" s="72">
        <v>8.0</v>
      </c>
      <c r="P8" s="70" t="b">
        <v>1</v>
      </c>
      <c r="Q8" s="71">
        <f>IF(P8=True, IF(O8&gt;O9,2,IF(O8=O9,1,0)),0)</f>
        <v>0</v>
      </c>
      <c r="R8" s="68" t="str">
        <f>N12</f>
        <v>Loomis Chaffee - Team 2</v>
      </c>
      <c r="S8" s="72">
        <v>114.0</v>
      </c>
      <c r="T8" s="70" t="b">
        <v>1</v>
      </c>
      <c r="U8" s="71">
        <f>IF(T8=True, IF(S8&gt;S9,2,IF(S8=S9,1,0)),0)</f>
        <v>2</v>
      </c>
      <c r="V8" s="38"/>
      <c r="W8" s="73">
        <v>1.0</v>
      </c>
      <c r="X8" s="74" t="s">
        <v>14</v>
      </c>
      <c r="Y8" s="75" t="str">
        <f t="array" ref="Y8:Y55">sort(X8:X55)</f>
        <v>Amity Regional HS</v>
      </c>
      <c r="Z8" s="76" t="str">
        <f t="shared" ref="Z8:Z55" si="1">IF(MATCH(Y8,R:R,0)&lt;14,$B$5,IF(MATCH(Y8,R:R,0)&lt;23,$B$14,IF(MATCH(Y8,R:R,0)&lt;32,$B$23,IF(MATCH(Y8,R:R,0)&lt;41,$B$32,IF(MATCH(Y8,R:R,0)&lt;50,$B$41,IF(MATCH(Y8,R:R,0)&lt;59,$B$50,IF(MATCH(Y8,R:R,0)&lt;68,$B$59,$B$68)))))))</f>
        <v>Division 3 (Silas Adekunle)</v>
      </c>
      <c r="AA8" s="76">
        <f t="shared" ref="AA8:AA55" si="2">SUM(VLOOKUP(Y8,B:E,4,FALSE),VLOOKUP(Y8,F:I,4,FALSE),VLOOKUP(Y8,J:M,4,FALSE),VLOOKUP(Y8,N:Q,4,FALSE),VLOOKUP(Y8,R:U,4,FALSE))</f>
        <v>8</v>
      </c>
      <c r="AB8" s="76">
        <f t="shared" ref="AB8:AB55" si="3">SUM(VLOOKUP(Y8,$B:$E,2,FALSE),VLOOKUP(Y8,$F:$I,2,FALSE),VLOOKUP(Y8,$J:$M,2,FALSE),VLOOKUP(Y8,$N:$Q,2,FALSE),VLOOKUP(Y8,$R:$U,2,FALSE))</f>
        <v>438</v>
      </c>
      <c r="AC8" s="77" t="str">
        <f t="shared" ref="AC8:AC30" si="4">X9</f>
        <v>Waterford HS - Team 1</v>
      </c>
      <c r="AD8" s="38"/>
      <c r="AE8" s="78">
        <v>1.0</v>
      </c>
      <c r="AF8" s="79">
        <v>1489.5698</v>
      </c>
      <c r="AG8" s="80"/>
      <c r="AH8" s="81" t="str">
        <f>B5</f>
        <v>Division 1 (Temple Grandin)</v>
      </c>
      <c r="AI8" s="82">
        <f>SUM(E8:E13,I8:I13,M8:M13,Q8:Q13,U8:U13)</f>
        <v>30</v>
      </c>
      <c r="AJ8" s="83">
        <f>SUM(C$8:C$13,G$8:G$13,K$8:K$13,O$8:O$13,S$8:S$13)</f>
        <v>2466</v>
      </c>
    </row>
    <row r="9" ht="15.75" customHeight="1">
      <c r="A9" s="42"/>
      <c r="B9" s="84" t="str">
        <f t="shared" ref="B9:B10" si="5">X23</f>
        <v>Ethel Walker School</v>
      </c>
      <c r="C9" s="85">
        <v>8.0</v>
      </c>
      <c r="D9" s="86" t="b">
        <v>1</v>
      </c>
      <c r="E9" s="87">
        <f>IF(D9=True, IF(C9&gt;C8,2,IF(C9=C8,1,0)),0)</f>
        <v>0</v>
      </c>
      <c r="F9" s="84" t="str">
        <f>B13</f>
        <v>CT IB Acad - Team 2</v>
      </c>
      <c r="G9" s="85">
        <v>34.0</v>
      </c>
      <c r="H9" s="86" t="b">
        <v>1</v>
      </c>
      <c r="I9" s="87">
        <f>IF(H9=True, IF(G9&gt;G8,2,IF(G9=G8,1,0)),0)</f>
        <v>0</v>
      </c>
      <c r="J9" s="84" t="str">
        <f>F10</f>
        <v>Loomis Chaffee - Team 2</v>
      </c>
      <c r="K9" s="88">
        <v>40.0</v>
      </c>
      <c r="L9" s="86" t="b">
        <v>1</v>
      </c>
      <c r="M9" s="87">
        <f>IF(L9=True, IF(K9&gt;K8,2,IF(K9=K8,1,0)),0)</f>
        <v>0</v>
      </c>
      <c r="N9" s="84" t="str">
        <f>J11</f>
        <v>Fairfield Ludlowe HS</v>
      </c>
      <c r="O9" s="88">
        <v>66.0</v>
      </c>
      <c r="P9" s="86" t="b">
        <v>1</v>
      </c>
      <c r="Q9" s="87">
        <f>IF(P9=True, IF(O9&gt;O8,2,IF(O9=O8,1,0)),0)</f>
        <v>2</v>
      </c>
      <c r="R9" s="84" t="str">
        <f t="shared" ref="R9:R10" si="6">N9</f>
        <v>Fairfield Ludlowe HS</v>
      </c>
      <c r="S9" s="88">
        <v>40.0</v>
      </c>
      <c r="T9" s="86" t="b">
        <v>1</v>
      </c>
      <c r="U9" s="87">
        <f>IF(T9=True, IF(S9&gt;S8,2,IF(S9=S8,1,0)),0)</f>
        <v>0</v>
      </c>
      <c r="V9" s="38"/>
      <c r="W9" s="73">
        <f t="shared" ref="W9:W55" si="7">W8+1</f>
        <v>2</v>
      </c>
      <c r="X9" s="74" t="s">
        <v>41</v>
      </c>
      <c r="Y9" s="75" t="s">
        <v>49</v>
      </c>
      <c r="Z9" s="76" t="str">
        <f t="shared" si="1"/>
        <v>Division 2 (Marian Croak)</v>
      </c>
      <c r="AA9" s="76">
        <f t="shared" si="2"/>
        <v>2</v>
      </c>
      <c r="AB9" s="76">
        <f t="shared" si="3"/>
        <v>152</v>
      </c>
      <c r="AC9" s="77" t="str">
        <f t="shared" si="4"/>
        <v>EO Smith HS - Team 1</v>
      </c>
      <c r="AD9" s="38"/>
      <c r="AE9" s="78">
        <f t="shared" ref="AE9:AE37" si="8">AE8+1</f>
        <v>2</v>
      </c>
      <c r="AF9" s="79">
        <v>1487.3284</v>
      </c>
      <c r="AG9" s="80"/>
      <c r="AH9" s="89" t="str">
        <f>B14</f>
        <v>Division 2 (Marian Croak)</v>
      </c>
      <c r="AI9" s="90">
        <f>SUM(E$17:E$22,I$17:I$22,M$17:M$22,Q$17:Q$22,U$17:U$22)</f>
        <v>30</v>
      </c>
      <c r="AJ9" s="90">
        <f>SUM(C$17:C$22,G$17:G$22,K$17:K$22,O$17:O$22,S$17:S$22)</f>
        <v>1812</v>
      </c>
    </row>
    <row r="10" ht="15.75" customHeight="1">
      <c r="A10" s="67" t="s">
        <v>138</v>
      </c>
      <c r="B10" s="68" t="str">
        <f t="shared" si="5"/>
        <v>Southington HS - Team 1</v>
      </c>
      <c r="C10" s="69">
        <v>166.0</v>
      </c>
      <c r="D10" s="70" t="b">
        <v>1</v>
      </c>
      <c r="E10" s="71">
        <f>IF(D10=True, IF(C10&gt;C11,2,IF(C10=C11,1,0)),0)</f>
        <v>2</v>
      </c>
      <c r="F10" s="68" t="str">
        <f>B12</f>
        <v>Loomis Chaffee - Team 2</v>
      </c>
      <c r="G10" s="69">
        <v>80.0</v>
      </c>
      <c r="H10" s="70" t="b">
        <v>1</v>
      </c>
      <c r="I10" s="71">
        <f>IF(H10=True, IF(G10&gt;G11,2,IF(G10=G11,1,0)),0)</f>
        <v>2</v>
      </c>
      <c r="J10" s="68" t="str">
        <f>F9</f>
        <v>CT IB Acad - Team 2</v>
      </c>
      <c r="K10" s="72">
        <v>74.0</v>
      </c>
      <c r="L10" s="70" t="b">
        <v>1</v>
      </c>
      <c r="M10" s="71">
        <f>IF(L10=True, IF(K10&gt;K11,2,IF(K10=K11,1,0)),0)</f>
        <v>2</v>
      </c>
      <c r="N10" s="68" t="str">
        <f>J8</f>
        <v>Farmington HS - Team 1</v>
      </c>
      <c r="O10" s="72">
        <v>176.0</v>
      </c>
      <c r="P10" s="70" t="b">
        <v>1</v>
      </c>
      <c r="Q10" s="71">
        <f>IF(P10=True, IF(O10&gt;O11,2,IF(O10=O11,1,0)),0)</f>
        <v>2</v>
      </c>
      <c r="R10" s="68" t="str">
        <f t="shared" si="6"/>
        <v>Farmington HS - Team 1</v>
      </c>
      <c r="S10" s="72">
        <v>198.0</v>
      </c>
      <c r="T10" s="70" t="b">
        <v>1</v>
      </c>
      <c r="U10" s="71">
        <f>IF(T10=True, IF(S10&gt;S11,2,IF(S10=S11,1,0)),0)</f>
        <v>2</v>
      </c>
      <c r="V10" s="38"/>
      <c r="W10" s="73">
        <f t="shared" si="7"/>
        <v>3</v>
      </c>
      <c r="X10" s="74" t="s">
        <v>8</v>
      </c>
      <c r="Y10" s="75" t="s">
        <v>54</v>
      </c>
      <c r="Z10" s="76" t="str">
        <f t="shared" si="1"/>
        <v>Division 7 (Irene Uchida)</v>
      </c>
      <c r="AA10" s="76">
        <f t="shared" si="2"/>
        <v>6</v>
      </c>
      <c r="AB10" s="76">
        <f t="shared" si="3"/>
        <v>294</v>
      </c>
      <c r="AC10" s="77" t="str">
        <f t="shared" si="4"/>
        <v>Greenwich HS - Team 1</v>
      </c>
      <c r="AD10" s="38"/>
      <c r="AE10" s="78">
        <f t="shared" si="8"/>
        <v>3</v>
      </c>
      <c r="AF10" s="91">
        <v>1117.2772</v>
      </c>
      <c r="AG10" s="92"/>
      <c r="AH10" s="93" t="str">
        <f>B23</f>
        <v>Division 3 (Silas Adekunle)</v>
      </c>
      <c r="AI10" s="94">
        <f>SUM(E$26:E$31,I$26:I$31,M$26:M$31,Q$26:Q$31,U$26:U$31)</f>
        <v>30</v>
      </c>
      <c r="AJ10" s="94">
        <f>SUM(C$26:C$31,G$26:G$31,K$26:K$31,O$26:O$31,S$26:S$31)</f>
        <v>2024</v>
      </c>
    </row>
    <row r="11" ht="15.75" customHeight="1">
      <c r="A11" s="42"/>
      <c r="B11" s="84" t="str">
        <f t="shared" ref="B11:B12" si="9">X39</f>
        <v>Fairfield Ludlowe HS</v>
      </c>
      <c r="C11" s="85">
        <v>40.0</v>
      </c>
      <c r="D11" s="86" t="b">
        <v>1</v>
      </c>
      <c r="E11" s="87">
        <f>IF(D11=True, IF(C11&gt;C10,2,IF(C11=C10,1,0)),0)</f>
        <v>0</v>
      </c>
      <c r="F11" s="84" t="str">
        <f>B9</f>
        <v>Ethel Walker School</v>
      </c>
      <c r="G11" s="85">
        <v>16.0</v>
      </c>
      <c r="H11" s="86" t="b">
        <v>1</v>
      </c>
      <c r="I11" s="87">
        <f>IF(H11=True, IF(G11&gt;G10,2,IF(G11=G10,1,0)),0)</f>
        <v>0</v>
      </c>
      <c r="J11" s="84" t="str">
        <f>F13</f>
        <v>Fairfield Ludlowe HS</v>
      </c>
      <c r="K11" s="88">
        <v>20.0</v>
      </c>
      <c r="L11" s="86" t="b">
        <v>1</v>
      </c>
      <c r="M11" s="87">
        <f>IF(L11=True, IF(K11&gt;K10,2,IF(K11=K10,1,0)),0)</f>
        <v>0</v>
      </c>
      <c r="N11" s="84" t="str">
        <f>J10</f>
        <v>CT IB Acad - Team 2</v>
      </c>
      <c r="O11" s="88">
        <v>16.0</v>
      </c>
      <c r="P11" s="86" t="b">
        <v>1</v>
      </c>
      <c r="Q11" s="87">
        <f>IF(P11=True, IF(O11&gt;O10,2,IF(O11=O10,1,0)),0)</f>
        <v>0</v>
      </c>
      <c r="R11" s="84" t="str">
        <f>N13</f>
        <v>Southington HS - Team 1</v>
      </c>
      <c r="S11" s="88">
        <v>62.0</v>
      </c>
      <c r="T11" s="86" t="b">
        <v>1</v>
      </c>
      <c r="U11" s="87">
        <f>IF(T11=True, IF(S11&gt;S10,2,IF(S11=S10,1,0)),0)</f>
        <v>0</v>
      </c>
      <c r="V11" s="38"/>
      <c r="W11" s="73">
        <f t="shared" si="7"/>
        <v>4</v>
      </c>
      <c r="X11" s="74" t="s">
        <v>17</v>
      </c>
      <c r="Y11" s="75" t="s">
        <v>139</v>
      </c>
      <c r="Z11" s="76" t="str">
        <f t="shared" si="1"/>
        <v>Division 4 (Ellen Ochoa)</v>
      </c>
      <c r="AA11" s="76">
        <f t="shared" si="2"/>
        <v>6</v>
      </c>
      <c r="AB11" s="76">
        <f t="shared" si="3"/>
        <v>290</v>
      </c>
      <c r="AC11" s="77" t="str">
        <f t="shared" si="4"/>
        <v>East Lyme HS - Team 1</v>
      </c>
      <c r="AD11" s="38"/>
      <c r="AE11" s="78">
        <f t="shared" si="8"/>
        <v>4</v>
      </c>
      <c r="AF11" s="79">
        <v>1097.2772</v>
      </c>
      <c r="AG11" s="92"/>
      <c r="AH11" s="95" t="str">
        <f>B32</f>
        <v>Division 4 (Ellen Ochoa)</v>
      </c>
      <c r="AI11" s="96">
        <f>SUM(E35:E40,I35:I40,M35:M40,Q35:Q40,U35:U40)</f>
        <v>30</v>
      </c>
      <c r="AJ11" s="97">
        <f>SUM(C$35:C$40,G$35:G$40,K$35:K$40,O$35:O$40,S$35:S$40)</f>
        <v>1916</v>
      </c>
    </row>
    <row r="12" ht="15.75" customHeight="1">
      <c r="A12" s="67" t="s">
        <v>140</v>
      </c>
      <c r="B12" s="68" t="str">
        <f t="shared" si="9"/>
        <v>Loomis Chaffee - Team 2</v>
      </c>
      <c r="C12" s="72">
        <v>70.0</v>
      </c>
      <c r="D12" s="70" t="b">
        <v>1</v>
      </c>
      <c r="E12" s="71">
        <f>IF(D12=True, IF(C12&gt;C13,2,IF(C12=C13,1,0)),0)</f>
        <v>2</v>
      </c>
      <c r="F12" s="68" t="str">
        <f>B8</f>
        <v>Farmington HS - Team 1</v>
      </c>
      <c r="G12" s="72">
        <v>178.0</v>
      </c>
      <c r="H12" s="70" t="b">
        <v>1</v>
      </c>
      <c r="I12" s="71">
        <f>IF(H12=True, IF(G12&gt;G13,2,IF(G12=G13,1,0)),0)</f>
        <v>2</v>
      </c>
      <c r="J12" s="68" t="str">
        <f>F8</f>
        <v>Southington HS - Team 1</v>
      </c>
      <c r="K12" s="72">
        <v>158.0</v>
      </c>
      <c r="L12" s="70" t="b">
        <v>1</v>
      </c>
      <c r="M12" s="71">
        <f>IF(L12=True, IF(K12&gt;K13,2,IF(K12=K13,1,0)),0)</f>
        <v>2</v>
      </c>
      <c r="N12" s="68" t="str">
        <f>J9</f>
        <v>Loomis Chaffee - Team 2</v>
      </c>
      <c r="O12" s="72">
        <v>30.0</v>
      </c>
      <c r="P12" s="70" t="b">
        <v>1</v>
      </c>
      <c r="Q12" s="71">
        <f>IF(P12=True, IF(O12&gt;O13,2,IF(O12=O13,1,0)),0)</f>
        <v>0</v>
      </c>
      <c r="R12" s="68" t="str">
        <f>N11</f>
        <v>CT IB Acad - Team 2</v>
      </c>
      <c r="S12" s="72">
        <v>48.0</v>
      </c>
      <c r="T12" s="70" t="b">
        <v>1</v>
      </c>
      <c r="U12" s="71">
        <f>IF(T12=True, IF(S12&gt;S13,2,IF(S12=S13,1,0)),0)</f>
        <v>2</v>
      </c>
      <c r="V12" s="38"/>
      <c r="W12" s="73">
        <f t="shared" si="7"/>
        <v>5</v>
      </c>
      <c r="X12" s="74" t="s">
        <v>10</v>
      </c>
      <c r="Y12" s="75" t="s">
        <v>141</v>
      </c>
      <c r="Z12" s="76" t="str">
        <f t="shared" si="1"/>
        <v>Division 2 (Marian Croak)</v>
      </c>
      <c r="AA12" s="76">
        <f t="shared" si="2"/>
        <v>6</v>
      </c>
      <c r="AB12" s="76">
        <f t="shared" si="3"/>
        <v>220</v>
      </c>
      <c r="AC12" s="77" t="str">
        <f t="shared" si="4"/>
        <v>Rocky Hill HS - Team 1</v>
      </c>
      <c r="AD12" s="38"/>
      <c r="AE12" s="78">
        <f t="shared" si="8"/>
        <v>5</v>
      </c>
      <c r="AF12" s="79">
        <v>1095.3284</v>
      </c>
      <c r="AG12" s="92"/>
      <c r="AH12" s="98" t="str">
        <f>B41</f>
        <v>Division 5 (Ursula Burns)</v>
      </c>
      <c r="AI12" s="99">
        <f>SUM(E44:E49,I44:I49,M44:M49,Q44:Q49,U44:U49)</f>
        <v>30</v>
      </c>
      <c r="AJ12" s="100">
        <f>SUM(C$44:C$49,G$44:G$49,K$44:K$49,O$44:O$49,S$44:S$49)</f>
        <v>1842</v>
      </c>
    </row>
    <row r="13" ht="15.75" customHeight="1">
      <c r="A13" s="42"/>
      <c r="B13" s="84" t="str">
        <f>X55</f>
        <v>CT IB Acad - Team 2</v>
      </c>
      <c r="C13" s="88">
        <v>54.0</v>
      </c>
      <c r="D13" s="86" t="b">
        <v>1</v>
      </c>
      <c r="E13" s="87">
        <f>IF(D13=True, IF(C13&gt;C12,2,IF(C13=C12,1,0)),0)</f>
        <v>0</v>
      </c>
      <c r="F13" s="84" t="str">
        <f>B11</f>
        <v>Fairfield Ludlowe HS</v>
      </c>
      <c r="G13" s="88">
        <v>34.0</v>
      </c>
      <c r="H13" s="86" t="b">
        <v>1</v>
      </c>
      <c r="I13" s="87">
        <f>IF(H13=True, IF(G13&gt;G12,2,IF(G13=G12,1,0)),0)</f>
        <v>0</v>
      </c>
      <c r="J13" s="84" t="str">
        <f>F11</f>
        <v>Ethel Walker School</v>
      </c>
      <c r="K13" s="88">
        <v>12.0</v>
      </c>
      <c r="L13" s="86" t="b">
        <v>1</v>
      </c>
      <c r="M13" s="87">
        <f>IF(L13=True, IF(K13&gt;K12,2,IF(K13=K12,1,0)),0)</f>
        <v>0</v>
      </c>
      <c r="N13" s="84" t="str">
        <f>J12</f>
        <v>Southington HS - Team 1</v>
      </c>
      <c r="O13" s="88">
        <v>136.0</v>
      </c>
      <c r="P13" s="86" t="b">
        <v>1</v>
      </c>
      <c r="Q13" s="87">
        <f>IF(P13=True, IF(O13&gt;O12,2,IF(O13=O12,1,0)),0)</f>
        <v>2</v>
      </c>
      <c r="R13" s="84" t="str">
        <f>N8</f>
        <v>Ethel Walker School</v>
      </c>
      <c r="S13" s="88">
        <v>26.0</v>
      </c>
      <c r="T13" s="86" t="b">
        <v>1</v>
      </c>
      <c r="U13" s="87">
        <f>IF(T13=True, IF(S13&gt;S12,2,IF(S13=S12,1,0)),0)</f>
        <v>0</v>
      </c>
      <c r="V13" s="38"/>
      <c r="W13" s="73">
        <f t="shared" si="7"/>
        <v>6</v>
      </c>
      <c r="X13" s="74" t="s">
        <v>27</v>
      </c>
      <c r="Y13" s="75" t="s">
        <v>142</v>
      </c>
      <c r="Z13" s="76" t="str">
        <f t="shared" si="1"/>
        <v>Division 3 (Silas Adekunle)</v>
      </c>
      <c r="AA13" s="76">
        <f t="shared" si="2"/>
        <v>0</v>
      </c>
      <c r="AB13" s="76">
        <f t="shared" si="3"/>
        <v>72</v>
      </c>
      <c r="AC13" s="77" t="str">
        <f t="shared" si="4"/>
        <v>Choate Rosemary Hall</v>
      </c>
      <c r="AD13" s="38"/>
      <c r="AE13" s="78">
        <f t="shared" si="8"/>
        <v>6</v>
      </c>
      <c r="AF13" s="79">
        <v>1069.1174</v>
      </c>
      <c r="AG13" s="92"/>
      <c r="AH13" s="101" t="str">
        <f>B50</f>
        <v>Division 6 (Guillermo Camarena)</v>
      </c>
      <c r="AI13" s="102">
        <f>SUM(E53:E58,I53:I58,M53:M58,Q53:Q58,U53:U58)</f>
        <v>30</v>
      </c>
      <c r="AJ13" s="103">
        <f>SUM(C$53:C$58,G$53:G$58,K$53:K$58,O$53:O$58,S$53:S$58)</f>
        <v>1982</v>
      </c>
    </row>
    <row r="14" ht="15.75" customHeight="1">
      <c r="A14" s="42"/>
      <c r="B14" s="104" t="s">
        <v>143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1"/>
      <c r="V14" s="38"/>
      <c r="W14" s="73">
        <f t="shared" si="7"/>
        <v>7</v>
      </c>
      <c r="X14" s="74" t="s">
        <v>54</v>
      </c>
      <c r="Y14" s="75" t="s">
        <v>144</v>
      </c>
      <c r="Z14" s="76" t="str">
        <f t="shared" si="1"/>
        <v>Division 1 (Temple Grandin)</v>
      </c>
      <c r="AA14" s="76">
        <f t="shared" si="2"/>
        <v>4</v>
      </c>
      <c r="AB14" s="76">
        <f t="shared" si="3"/>
        <v>226</v>
      </c>
      <c r="AC14" s="77" t="str">
        <f t="shared" si="4"/>
        <v>Open Spot - 1</v>
      </c>
      <c r="AD14" s="38"/>
      <c r="AE14" s="78">
        <f t="shared" si="8"/>
        <v>7</v>
      </c>
      <c r="AF14" s="79">
        <v>1065.1174</v>
      </c>
      <c r="AG14" s="92"/>
      <c r="AH14" s="105" t="str">
        <f>B59</f>
        <v>Division 7 (Irene Uchida)</v>
      </c>
      <c r="AI14" s="106">
        <f>SUM(E62:E67,I62:I67,M62:M67,Q62:Q67,U62:U67)</f>
        <v>30</v>
      </c>
      <c r="AJ14" s="106">
        <f>SUM(C$62:C$67,G$62:G$67,K$62:K$67,O$62:O$67,S$62:S$67)</f>
        <v>1586</v>
      </c>
    </row>
    <row r="15" ht="15.75" customHeight="1">
      <c r="A15" s="42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38"/>
      <c r="W15" s="73">
        <f t="shared" si="7"/>
        <v>8</v>
      </c>
      <c r="X15" s="74" t="s">
        <v>145</v>
      </c>
      <c r="Y15" s="75" t="s">
        <v>146</v>
      </c>
      <c r="Z15" s="76" t="str">
        <f t="shared" si="1"/>
        <v>Division 4 (Ellen Ochoa)</v>
      </c>
      <c r="AA15" s="76">
        <f t="shared" si="2"/>
        <v>0</v>
      </c>
      <c r="AB15" s="76">
        <f t="shared" si="3"/>
        <v>146</v>
      </c>
      <c r="AC15" s="77" t="str">
        <f t="shared" si="4"/>
        <v>Open Spot - 2</v>
      </c>
      <c r="AD15" s="38"/>
      <c r="AE15" s="78">
        <f t="shared" si="8"/>
        <v>8</v>
      </c>
      <c r="AF15" s="79">
        <v>1016.9804</v>
      </c>
      <c r="AG15" s="92"/>
      <c r="AH15" s="107" t="str">
        <f>B68</f>
        <v>Division 8 (Bernardo Houssay) - Canceled Division - Sorry!</v>
      </c>
      <c r="AI15" s="108">
        <f>SUM(E71:E76,I71:I76,M71:M76,Q71:Q76,U71:U76)</f>
        <v>1</v>
      </c>
      <c r="AJ15" s="108">
        <f>SUM(C$71:C$76,G$71:G$76,K$71:K$76,O$71:O$76,S$71:S$76)</f>
        <v>0</v>
      </c>
    </row>
    <row r="16" ht="15.75" customHeight="1">
      <c r="A16" s="42"/>
      <c r="B16" s="109" t="s">
        <v>124</v>
      </c>
      <c r="C16" s="110" t="s">
        <v>125</v>
      </c>
      <c r="D16" s="110" t="s">
        <v>126</v>
      </c>
      <c r="E16" s="111" t="s">
        <v>127</v>
      </c>
      <c r="F16" s="109" t="s">
        <v>124</v>
      </c>
      <c r="G16" s="110" t="s">
        <v>125</v>
      </c>
      <c r="H16" s="110" t="s">
        <v>126</v>
      </c>
      <c r="I16" s="111" t="s">
        <v>127</v>
      </c>
      <c r="J16" s="109" t="s">
        <v>124</v>
      </c>
      <c r="K16" s="110" t="s">
        <v>125</v>
      </c>
      <c r="L16" s="110" t="s">
        <v>126</v>
      </c>
      <c r="M16" s="111" t="s">
        <v>127</v>
      </c>
      <c r="N16" s="109" t="s">
        <v>124</v>
      </c>
      <c r="O16" s="110" t="s">
        <v>125</v>
      </c>
      <c r="P16" s="110" t="s">
        <v>126</v>
      </c>
      <c r="Q16" s="111" t="s">
        <v>127</v>
      </c>
      <c r="R16" s="109" t="s">
        <v>124</v>
      </c>
      <c r="S16" s="110" t="s">
        <v>125</v>
      </c>
      <c r="T16" s="110" t="s">
        <v>126</v>
      </c>
      <c r="U16" s="111" t="s">
        <v>127</v>
      </c>
      <c r="V16" s="38"/>
      <c r="W16" s="73">
        <f t="shared" si="7"/>
        <v>9</v>
      </c>
      <c r="X16" s="74" t="s">
        <v>147</v>
      </c>
      <c r="Y16" s="75" t="s">
        <v>10</v>
      </c>
      <c r="Z16" s="76" t="str">
        <f t="shared" si="1"/>
        <v>Division 5 (Ursula Burns)</v>
      </c>
      <c r="AA16" s="76">
        <f t="shared" si="2"/>
        <v>4</v>
      </c>
      <c r="AB16" s="76">
        <f t="shared" si="3"/>
        <v>422</v>
      </c>
      <c r="AC16" s="77" t="str">
        <f t="shared" si="4"/>
        <v>New Canaan HS - Team 3</v>
      </c>
      <c r="AD16" s="38"/>
      <c r="AE16" s="78">
        <f t="shared" si="8"/>
        <v>9</v>
      </c>
      <c r="AF16" s="79">
        <v>1009.1174</v>
      </c>
      <c r="AG16" s="80"/>
      <c r="AH16" s="38"/>
      <c r="AI16" s="42"/>
      <c r="AJ16" s="42"/>
    </row>
    <row r="17" ht="15.75" customHeight="1">
      <c r="A17" s="67" t="s">
        <v>148</v>
      </c>
      <c r="B17" s="112" t="str">
        <f>X9</f>
        <v>Waterford HS - Team 1</v>
      </c>
      <c r="C17" s="69">
        <v>216.0</v>
      </c>
      <c r="D17" s="113" t="b">
        <v>1</v>
      </c>
      <c r="E17" s="114">
        <f>IF(D17=True, IF(C17&gt;C18,2,IF(C17=C18,1,0)),0)</f>
        <v>2</v>
      </c>
      <c r="F17" s="112" t="str">
        <f>B19</f>
        <v>Bacon Academy</v>
      </c>
      <c r="G17" s="72">
        <v>4.0</v>
      </c>
      <c r="H17" s="113" t="b">
        <v>1</v>
      </c>
      <c r="I17" s="114">
        <f>IF(H17=True, IF(G17&gt;G18,2,IF(G17=G18,1,0)),0)</f>
        <v>0</v>
      </c>
      <c r="J17" s="112" t="str">
        <f>F21</f>
        <v>Waterford HS - Team 1</v>
      </c>
      <c r="K17" s="72">
        <v>130.0</v>
      </c>
      <c r="L17" s="113" t="b">
        <v>1</v>
      </c>
      <c r="M17" s="114">
        <f>IF(L17=True, IF(K17&gt;K18,2,IF(K17=K18,1,0)),0)</f>
        <v>2</v>
      </c>
      <c r="N17" s="112" t="str">
        <f>J22</f>
        <v>Conard HS - Team 2</v>
      </c>
      <c r="O17" s="72">
        <v>60.0</v>
      </c>
      <c r="P17" s="113" t="b">
        <v>1</v>
      </c>
      <c r="Q17" s="114">
        <f>IF(P17=True, IF(O17&gt;O18,2,IF(O17=O18,1,0)),0)</f>
        <v>2</v>
      </c>
      <c r="R17" s="112" t="str">
        <f>N21</f>
        <v>South Windsor HS - Team 2</v>
      </c>
      <c r="S17" s="72">
        <v>86.0</v>
      </c>
      <c r="T17" s="113" t="b">
        <v>1</v>
      </c>
      <c r="U17" s="114">
        <f>IF(T17=True, IF(S17&gt;S18,2,IF(S17=S18,1,0)),0)</f>
        <v>2</v>
      </c>
      <c r="V17" s="38"/>
      <c r="W17" s="73">
        <f t="shared" si="7"/>
        <v>10</v>
      </c>
      <c r="X17" s="74" t="s">
        <v>149</v>
      </c>
      <c r="Y17" s="75" t="s">
        <v>11</v>
      </c>
      <c r="Z17" s="76" t="str">
        <f t="shared" si="1"/>
        <v>Division 3 (Silas Adekunle)</v>
      </c>
      <c r="AA17" s="76">
        <f t="shared" si="2"/>
        <v>4</v>
      </c>
      <c r="AB17" s="76">
        <f t="shared" si="3"/>
        <v>294</v>
      </c>
      <c r="AC17" s="77" t="str">
        <f t="shared" si="4"/>
        <v>New Canaan HS - Team 1</v>
      </c>
      <c r="AD17" s="38"/>
      <c r="AE17" s="78">
        <f t="shared" si="8"/>
        <v>10</v>
      </c>
      <c r="AF17" s="79">
        <v>878.9804</v>
      </c>
      <c r="AG17" s="80"/>
      <c r="AH17" s="38"/>
      <c r="AI17" s="42"/>
      <c r="AJ17" s="42"/>
    </row>
    <row r="18" ht="15.75" customHeight="1">
      <c r="A18" s="42"/>
      <c r="B18" s="115" t="str">
        <f>X22</f>
        <v>Conard HS - Team 2</v>
      </c>
      <c r="C18" s="85">
        <v>12.0</v>
      </c>
      <c r="D18" s="116" t="b">
        <v>1</v>
      </c>
      <c r="E18" s="117">
        <f>IF(D18=True, IF(C18&gt;C17,2,IF(C18=C17,1,0)),0)</f>
        <v>0</v>
      </c>
      <c r="F18" s="115" t="str">
        <f>B22</f>
        <v>Southington HS - Team 2</v>
      </c>
      <c r="G18" s="88">
        <v>56.0</v>
      </c>
      <c r="H18" s="116" t="b">
        <v>1</v>
      </c>
      <c r="I18" s="117">
        <f>IF(H18=True, IF(G18&gt;G17,2,IF(G18=G17,1,0)),0)</f>
        <v>2</v>
      </c>
      <c r="J18" s="115" t="str">
        <f>F19</f>
        <v>South Windsor HS - Team 2</v>
      </c>
      <c r="K18" s="88">
        <v>58.0</v>
      </c>
      <c r="L18" s="116" t="b">
        <v>1</v>
      </c>
      <c r="M18" s="117">
        <f>IF(L18=True, IF(K18&gt;K17,2,IF(K18=K17,1,0)),0)</f>
        <v>0</v>
      </c>
      <c r="N18" s="115" t="str">
        <f>J20</f>
        <v>Greenwich HS - Team 3</v>
      </c>
      <c r="O18" s="88">
        <v>20.0</v>
      </c>
      <c r="P18" s="116" t="b">
        <v>1</v>
      </c>
      <c r="Q18" s="117">
        <f>IF(P18=True, IF(O18&gt;O17,2,IF(O18=O17,1,0)),0)</f>
        <v>0</v>
      </c>
      <c r="R18" s="115" t="str">
        <f t="shared" ref="R18:R19" si="10">N18</f>
        <v>Greenwich HS - Team 3</v>
      </c>
      <c r="S18" s="88">
        <v>64.0</v>
      </c>
      <c r="T18" s="116" t="b">
        <v>1</v>
      </c>
      <c r="U18" s="117">
        <f>IF(T18=True, IF(S18&gt;S17,2,IF(S18=S17,1,0)),0)</f>
        <v>0</v>
      </c>
      <c r="V18" s="38"/>
      <c r="W18" s="73">
        <f t="shared" si="7"/>
        <v>11</v>
      </c>
      <c r="X18" s="74" t="s">
        <v>22</v>
      </c>
      <c r="Y18" s="75" t="s">
        <v>150</v>
      </c>
      <c r="Z18" s="76" t="str">
        <f t="shared" si="1"/>
        <v>Division 3 (Silas Adekunle)</v>
      </c>
      <c r="AA18" s="76">
        <f t="shared" si="2"/>
        <v>2</v>
      </c>
      <c r="AB18" s="76">
        <f t="shared" si="3"/>
        <v>142</v>
      </c>
      <c r="AC18" s="77" t="str">
        <f t="shared" si="4"/>
        <v>Loomis Chaffee - Team 1</v>
      </c>
      <c r="AD18" s="38"/>
      <c r="AE18" s="78">
        <f t="shared" si="8"/>
        <v>11</v>
      </c>
      <c r="AF18" s="79">
        <v>695.3284</v>
      </c>
      <c r="AG18" s="80"/>
      <c r="AH18" s="38"/>
      <c r="AI18" s="42"/>
      <c r="AJ18" s="42"/>
    </row>
    <row r="19" ht="15.75" customHeight="1">
      <c r="A19" s="67" t="s">
        <v>151</v>
      </c>
      <c r="B19" s="112" t="str">
        <f>X25</f>
        <v>Bacon Academy</v>
      </c>
      <c r="C19" s="69">
        <v>48.0</v>
      </c>
      <c r="D19" s="113" t="b">
        <v>1</v>
      </c>
      <c r="E19" s="114">
        <f>IF(D19=True, IF(C19&gt;C20,2,IF(C19=C20,1,0)),0)</f>
        <v>2</v>
      </c>
      <c r="F19" s="112" t="str">
        <f>B21</f>
        <v>South Windsor HS - Team 2</v>
      </c>
      <c r="G19" s="72">
        <v>60.0</v>
      </c>
      <c r="H19" s="113" t="b">
        <v>1</v>
      </c>
      <c r="I19" s="114">
        <f>IF(H19=True, IF(G19&gt;G20,2,IF(G19=G20,1,0)),0)</f>
        <v>2</v>
      </c>
      <c r="J19" s="112" t="str">
        <f>F18</f>
        <v>Southington HS - Team 2</v>
      </c>
      <c r="K19" s="72">
        <v>42.0</v>
      </c>
      <c r="L19" s="113" t="b">
        <v>1</v>
      </c>
      <c r="M19" s="114">
        <f>IF(L19=True, IF(K19&gt;K20,2,IF(K19=K20,1,0)),0)</f>
        <v>2</v>
      </c>
      <c r="N19" s="112" t="str">
        <f>J17</f>
        <v>Waterford HS - Team 1</v>
      </c>
      <c r="O19" s="72">
        <v>142.0</v>
      </c>
      <c r="P19" s="113" t="b">
        <v>1</v>
      </c>
      <c r="Q19" s="114">
        <f>IF(P19=True, IF(O19&gt;O20,2,IF(O19=O20,1,0)),0)</f>
        <v>2</v>
      </c>
      <c r="R19" s="112" t="str">
        <f t="shared" si="10"/>
        <v>Waterford HS - Team 1</v>
      </c>
      <c r="S19" s="72">
        <v>152.0</v>
      </c>
      <c r="T19" s="113" t="b">
        <v>1</v>
      </c>
      <c r="U19" s="114">
        <f>IF(T19=True, IF(S19&gt;S20,2,IF(S19=S20,1,0)),0)</f>
        <v>2</v>
      </c>
      <c r="V19" s="38"/>
      <c r="W19" s="73">
        <f t="shared" si="7"/>
        <v>12</v>
      </c>
      <c r="X19" s="74" t="s">
        <v>34</v>
      </c>
      <c r="Y19" s="75" t="s">
        <v>152</v>
      </c>
      <c r="Z19" s="76" t="str">
        <f t="shared" si="1"/>
        <v>Division 6 (Guillermo Camarena)</v>
      </c>
      <c r="AA19" s="76">
        <f t="shared" si="2"/>
        <v>2</v>
      </c>
      <c r="AB19" s="76">
        <f t="shared" si="3"/>
        <v>158</v>
      </c>
      <c r="AC19" s="77" t="str">
        <f t="shared" si="4"/>
        <v>Conard HS - Team 1</v>
      </c>
      <c r="AD19" s="38"/>
      <c r="AE19" s="78">
        <f t="shared" si="8"/>
        <v>12</v>
      </c>
      <c r="AF19" s="79">
        <v>693.1174</v>
      </c>
      <c r="AG19" s="80"/>
      <c r="AH19" s="38"/>
      <c r="AI19" s="42"/>
      <c r="AJ19" s="42"/>
    </row>
    <row r="20" ht="15.75" customHeight="1">
      <c r="A20" s="67"/>
      <c r="B20" s="115" t="str">
        <f>X38</f>
        <v>Greenwich HS - Team 3</v>
      </c>
      <c r="C20" s="85">
        <v>36.0</v>
      </c>
      <c r="D20" s="116" t="b">
        <v>1</v>
      </c>
      <c r="E20" s="117">
        <f>IF(D20=True, IF(C20&gt;C19,2,IF(C20=C19,1,0)),0)</f>
        <v>0</v>
      </c>
      <c r="F20" s="115" t="str">
        <f>B18</f>
        <v>Conard HS - Team 2</v>
      </c>
      <c r="G20" s="88">
        <v>22.0</v>
      </c>
      <c r="H20" s="116" t="b">
        <v>1</v>
      </c>
      <c r="I20" s="117">
        <f>IF(H20=True, IF(G20&gt;G19,2,IF(G20=G19,1,0)),0)</f>
        <v>0</v>
      </c>
      <c r="J20" s="115" t="str">
        <f>F22</f>
        <v>Greenwich HS - Team 3</v>
      </c>
      <c r="K20" s="88">
        <v>34.0</v>
      </c>
      <c r="L20" s="116" t="b">
        <v>1</v>
      </c>
      <c r="M20" s="117">
        <f>IF(L20=True, IF(K20&gt;K19,2,IF(K20=K19,1,0)),0)</f>
        <v>0</v>
      </c>
      <c r="N20" s="115" t="str">
        <f>J19</f>
        <v>Southington HS - Team 2</v>
      </c>
      <c r="O20" s="88">
        <v>16.0</v>
      </c>
      <c r="P20" s="116" t="b">
        <v>1</v>
      </c>
      <c r="Q20" s="117">
        <f>IF(P20=True, IF(O20&gt;O19,2,IF(O20=O19,1,0)),0)</f>
        <v>0</v>
      </c>
      <c r="R20" s="115" t="str">
        <f>N22</f>
        <v>Bacon Academy</v>
      </c>
      <c r="S20" s="88">
        <v>38.0</v>
      </c>
      <c r="T20" s="116" t="b">
        <v>1</v>
      </c>
      <c r="U20" s="117">
        <f>IF(T20=True, IF(S20&gt;S19,2,IF(S20=S19,1,0)),0)</f>
        <v>0</v>
      </c>
      <c r="V20" s="38"/>
      <c r="W20" s="73">
        <f t="shared" si="7"/>
        <v>13</v>
      </c>
      <c r="X20" s="74" t="s">
        <v>139</v>
      </c>
      <c r="Y20" s="75" t="s">
        <v>153</v>
      </c>
      <c r="Z20" s="76" t="str">
        <f t="shared" si="1"/>
        <v>Division 7 (Irene Uchida)</v>
      </c>
      <c r="AA20" s="76">
        <f t="shared" si="2"/>
        <v>2</v>
      </c>
      <c r="AB20" s="76">
        <f t="shared" si="3"/>
        <v>156</v>
      </c>
      <c r="AC20" s="77" t="str">
        <f t="shared" si="4"/>
        <v>CT IB Acad - Team 1</v>
      </c>
      <c r="AD20" s="38"/>
      <c r="AE20" s="78">
        <f t="shared" si="8"/>
        <v>13</v>
      </c>
      <c r="AF20" s="79">
        <v>665.5698</v>
      </c>
      <c r="AG20" s="80"/>
      <c r="AH20" s="38"/>
      <c r="AI20" s="42"/>
      <c r="AJ20" s="42"/>
    </row>
    <row r="21" ht="15.75" customHeight="1">
      <c r="A21" s="67" t="s">
        <v>154</v>
      </c>
      <c r="B21" s="112" t="str">
        <f>X41</f>
        <v>South Windsor HS - Team 2</v>
      </c>
      <c r="C21" s="72">
        <v>92.0</v>
      </c>
      <c r="D21" s="113" t="b">
        <v>1</v>
      </c>
      <c r="E21" s="114">
        <f>IF(D21=True, IF(C21&gt;C22,2,IF(C21=C22,1,0)),0)</f>
        <v>2</v>
      </c>
      <c r="F21" s="112" t="str">
        <f>B17</f>
        <v>Waterford HS - Team 1</v>
      </c>
      <c r="G21" s="72">
        <v>122.0</v>
      </c>
      <c r="H21" s="113" t="b">
        <v>1</v>
      </c>
      <c r="I21" s="114">
        <f>IF(H21=True, IF(G21&gt;G22,2,IF(G21=G22,1,0)),0)</f>
        <v>2</v>
      </c>
      <c r="J21" s="112" t="str">
        <f>F17</f>
        <v>Bacon Academy</v>
      </c>
      <c r="K21" s="72">
        <v>38.0</v>
      </c>
      <c r="L21" s="113" t="b">
        <v>1</v>
      </c>
      <c r="M21" s="114">
        <f>IF(L21=True, IF(K21&gt;K22,2,IF(K21=K22,1,0)),0)</f>
        <v>0</v>
      </c>
      <c r="N21" s="112" t="str">
        <f>J18</f>
        <v>South Windsor HS - Team 2</v>
      </c>
      <c r="O21" s="72">
        <v>50.0</v>
      </c>
      <c r="P21" s="113" t="b">
        <v>1</v>
      </c>
      <c r="Q21" s="114">
        <f>IF(P21=True, IF(O21&gt;O22,2,IF(O21=O22,1,0)),0)</f>
        <v>2</v>
      </c>
      <c r="R21" s="112" t="str">
        <f>N20</f>
        <v>Southington HS - Team 2</v>
      </c>
      <c r="S21" s="72">
        <v>26.0</v>
      </c>
      <c r="T21" s="113" t="b">
        <v>1</v>
      </c>
      <c r="U21" s="114">
        <f>IF(T21=True, IF(S21&gt;S22,2,IF(S21=S22,1,0)),0)</f>
        <v>0</v>
      </c>
      <c r="V21" s="38"/>
      <c r="W21" s="73">
        <f t="shared" si="7"/>
        <v>14</v>
      </c>
      <c r="X21" s="74" t="s">
        <v>142</v>
      </c>
      <c r="Y21" s="75" t="s">
        <v>8</v>
      </c>
      <c r="Z21" s="76" t="str">
        <f t="shared" si="1"/>
        <v>Division 3 (Silas Adekunle)</v>
      </c>
      <c r="AA21" s="76">
        <f t="shared" si="2"/>
        <v>10</v>
      </c>
      <c r="AB21" s="76">
        <f t="shared" si="3"/>
        <v>750</v>
      </c>
      <c r="AC21" s="77" t="str">
        <f t="shared" si="4"/>
        <v>Conard HS - Team 2</v>
      </c>
      <c r="AD21" s="38"/>
      <c r="AE21" s="78">
        <f t="shared" si="8"/>
        <v>14</v>
      </c>
      <c r="AF21" s="79">
        <v>662.9804</v>
      </c>
      <c r="AG21" s="80"/>
      <c r="AH21" s="38"/>
      <c r="AI21" s="42"/>
      <c r="AJ21" s="42"/>
    </row>
    <row r="22" ht="15.75" customHeight="1">
      <c r="A22" s="42"/>
      <c r="B22" s="115" t="str">
        <f>X54</f>
        <v>Southington HS - Team 2</v>
      </c>
      <c r="C22" s="88">
        <v>22.0</v>
      </c>
      <c r="D22" s="116" t="b">
        <v>1</v>
      </c>
      <c r="E22" s="117">
        <f>IF(D22=True, IF(C22&gt;C21,2,IF(C22=C21,1,0)),0)</f>
        <v>0</v>
      </c>
      <c r="F22" s="115" t="str">
        <f>B20</f>
        <v>Greenwich HS - Team 3</v>
      </c>
      <c r="G22" s="88">
        <v>16.0</v>
      </c>
      <c r="H22" s="116" t="b">
        <v>1</v>
      </c>
      <c r="I22" s="117">
        <f>IF(H22=True, IF(G22&gt;G21,2,IF(G22=G21,1,0)),0)</f>
        <v>0</v>
      </c>
      <c r="J22" s="115" t="str">
        <f>F20</f>
        <v>Conard HS - Team 2</v>
      </c>
      <c r="K22" s="88">
        <v>56.0</v>
      </c>
      <c r="L22" s="116" t="b">
        <v>1</v>
      </c>
      <c r="M22" s="117">
        <f>IF(L22=True, IF(K22&gt;K21,2,IF(K22=K21,1,0)),0)</f>
        <v>2</v>
      </c>
      <c r="N22" s="115" t="str">
        <f>J21</f>
        <v>Bacon Academy</v>
      </c>
      <c r="O22" s="88">
        <v>24.0</v>
      </c>
      <c r="P22" s="116" t="b">
        <v>1</v>
      </c>
      <c r="Q22" s="117">
        <f>IF(P22=True, IF(O22&gt;O21,2,IF(O22=O21,1,0)),0)</f>
        <v>0</v>
      </c>
      <c r="R22" s="115" t="str">
        <f>N17</f>
        <v>Conard HS - Team 2</v>
      </c>
      <c r="S22" s="88">
        <v>70.0</v>
      </c>
      <c r="T22" s="116" t="b">
        <v>1</v>
      </c>
      <c r="U22" s="117">
        <f>IF(T22=True, IF(S22&gt;S21,2,IF(S22=S21,1,0)),0)</f>
        <v>2</v>
      </c>
      <c r="V22" s="38"/>
      <c r="W22" s="73">
        <f t="shared" si="7"/>
        <v>15</v>
      </c>
      <c r="X22" s="74" t="s">
        <v>141</v>
      </c>
      <c r="Y22" s="75" t="s">
        <v>9</v>
      </c>
      <c r="Z22" s="76" t="str">
        <f t="shared" si="1"/>
        <v>Division 5 (Ursula Burns)</v>
      </c>
      <c r="AA22" s="76">
        <f t="shared" si="2"/>
        <v>6</v>
      </c>
      <c r="AB22" s="76">
        <f t="shared" si="3"/>
        <v>298</v>
      </c>
      <c r="AC22" s="77" t="str">
        <f t="shared" si="4"/>
        <v>Ethel Walker School</v>
      </c>
      <c r="AD22" s="38"/>
      <c r="AE22" s="78">
        <f t="shared" si="8"/>
        <v>15</v>
      </c>
      <c r="AF22" s="79">
        <v>617.2772</v>
      </c>
      <c r="AG22" s="80"/>
      <c r="AH22" s="38"/>
      <c r="AI22" s="42"/>
      <c r="AJ22" s="42"/>
    </row>
    <row r="23" ht="15.75" customHeight="1">
      <c r="A23" s="42"/>
      <c r="B23" s="118" t="s">
        <v>155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1"/>
      <c r="V23" s="38"/>
      <c r="W23" s="73">
        <f t="shared" si="7"/>
        <v>16</v>
      </c>
      <c r="X23" s="74" t="s">
        <v>156</v>
      </c>
      <c r="Y23" s="75" t="s">
        <v>156</v>
      </c>
      <c r="Z23" s="76" t="str">
        <f t="shared" si="1"/>
        <v>Division 1 (Temple Grandin)</v>
      </c>
      <c r="AA23" s="76">
        <f t="shared" si="2"/>
        <v>0</v>
      </c>
      <c r="AB23" s="76">
        <f t="shared" si="3"/>
        <v>70</v>
      </c>
      <c r="AC23" s="77" t="str">
        <f t="shared" si="4"/>
        <v>Southington HS - Team 1</v>
      </c>
      <c r="AD23" s="38"/>
      <c r="AE23" s="78">
        <f t="shared" si="8"/>
        <v>16</v>
      </c>
      <c r="AF23" s="79">
        <v>609.5698</v>
      </c>
      <c r="AG23" s="80"/>
      <c r="AH23" s="38"/>
      <c r="AI23" s="42"/>
      <c r="AJ23" s="42"/>
    </row>
    <row r="24" ht="15.75" customHeight="1">
      <c r="A24" s="42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5"/>
      <c r="V24" s="38"/>
      <c r="W24" s="73">
        <f t="shared" si="7"/>
        <v>17</v>
      </c>
      <c r="X24" s="74" t="s">
        <v>31</v>
      </c>
      <c r="Y24" s="75" t="s">
        <v>12</v>
      </c>
      <c r="Z24" s="76" t="str">
        <f t="shared" si="1"/>
        <v>Division 1 (Temple Grandin)</v>
      </c>
      <c r="AA24" s="76">
        <f t="shared" si="2"/>
        <v>2</v>
      </c>
      <c r="AB24" s="76">
        <f t="shared" si="3"/>
        <v>200</v>
      </c>
      <c r="AC24" s="77" t="str">
        <f t="shared" si="4"/>
        <v>Bacon Academy</v>
      </c>
      <c r="AD24" s="38"/>
      <c r="AE24" s="119">
        <f t="shared" si="8"/>
        <v>17</v>
      </c>
      <c r="AF24" s="120">
        <v>575.5698</v>
      </c>
      <c r="AG24" s="121"/>
      <c r="AH24" s="38"/>
      <c r="AI24" s="42"/>
      <c r="AJ24" s="42"/>
    </row>
    <row r="25" ht="15.75" customHeight="1">
      <c r="A25" s="42"/>
      <c r="B25" s="122" t="s">
        <v>124</v>
      </c>
      <c r="C25" s="123" t="s">
        <v>125</v>
      </c>
      <c r="D25" s="123" t="s">
        <v>126</v>
      </c>
      <c r="E25" s="124" t="s">
        <v>127</v>
      </c>
      <c r="F25" s="122" t="s">
        <v>124</v>
      </c>
      <c r="G25" s="123" t="s">
        <v>125</v>
      </c>
      <c r="H25" s="123" t="s">
        <v>126</v>
      </c>
      <c r="I25" s="124" t="s">
        <v>127</v>
      </c>
      <c r="J25" s="122" t="s">
        <v>124</v>
      </c>
      <c r="K25" s="123" t="s">
        <v>125</v>
      </c>
      <c r="L25" s="123" t="s">
        <v>126</v>
      </c>
      <c r="M25" s="124" t="s">
        <v>127</v>
      </c>
      <c r="N25" s="122" t="s">
        <v>124</v>
      </c>
      <c r="O25" s="123" t="s">
        <v>125</v>
      </c>
      <c r="P25" s="123" t="s">
        <v>126</v>
      </c>
      <c r="Q25" s="124" t="s">
        <v>127</v>
      </c>
      <c r="R25" s="122" t="s">
        <v>124</v>
      </c>
      <c r="S25" s="123" t="s">
        <v>125</v>
      </c>
      <c r="T25" s="123" t="s">
        <v>126</v>
      </c>
      <c r="U25" s="124" t="s">
        <v>127</v>
      </c>
      <c r="V25" s="38"/>
      <c r="W25" s="73">
        <f t="shared" si="7"/>
        <v>18</v>
      </c>
      <c r="X25" s="74" t="s">
        <v>49</v>
      </c>
      <c r="Y25" s="75" t="s">
        <v>157</v>
      </c>
      <c r="Z25" s="76" t="str">
        <f t="shared" si="1"/>
        <v>Division 4 (Ellen Ochoa)</v>
      </c>
      <c r="AA25" s="76">
        <f t="shared" si="2"/>
        <v>8</v>
      </c>
      <c r="AB25" s="76">
        <f t="shared" si="3"/>
        <v>370</v>
      </c>
      <c r="AC25" s="77" t="str">
        <f t="shared" si="4"/>
        <v>Amity Regional HS</v>
      </c>
      <c r="AD25" s="38"/>
      <c r="AE25" s="119">
        <f t="shared" si="8"/>
        <v>18</v>
      </c>
      <c r="AF25" s="120">
        <v>551.3284</v>
      </c>
      <c r="AG25" s="121"/>
      <c r="AH25" s="38"/>
      <c r="AI25" s="42"/>
      <c r="AJ25" s="42"/>
    </row>
    <row r="26" ht="15.75" customHeight="1">
      <c r="A26" s="67" t="s">
        <v>158</v>
      </c>
      <c r="B26" s="125" t="str">
        <f>X10</f>
        <v>EO Smith HS - Team 1</v>
      </c>
      <c r="C26" s="72">
        <v>164.0</v>
      </c>
      <c r="D26" s="126" t="b">
        <v>1</v>
      </c>
      <c r="E26" s="127">
        <f>IF(D26=True, IF(C26&gt;C27,2,IF(C26=C27,1,0)),0)</f>
        <v>2</v>
      </c>
      <c r="F26" s="125" t="str">
        <f>B28</f>
        <v>Amity Regional HS</v>
      </c>
      <c r="G26" s="72">
        <v>88.0</v>
      </c>
      <c r="H26" s="126" t="b">
        <v>1</v>
      </c>
      <c r="I26" s="127">
        <f>IF(H26=True, IF(G26&gt;G27,2,IF(G26=G27,1,0)),0)</f>
        <v>2</v>
      </c>
      <c r="J26" s="125" t="str">
        <f>F30</f>
        <v>EO Smith HS - Team 1</v>
      </c>
      <c r="K26" s="72">
        <v>186.0</v>
      </c>
      <c r="L26" s="126" t="b">
        <v>1</v>
      </c>
      <c r="M26" s="127">
        <f>IF(L26=True, IF(K26&gt;K27,2,IF(K26=K27,1,0)),0)</f>
        <v>2</v>
      </c>
      <c r="N26" s="125" t="str">
        <f>J31</f>
        <v>CT IB Acad - Team 1</v>
      </c>
      <c r="O26" s="72">
        <v>20.0</v>
      </c>
      <c r="P26" s="126" t="b">
        <v>1</v>
      </c>
      <c r="Q26" s="127">
        <f>IF(P26=True, IF(O26&gt;O27,2,IF(O26=O27,1,0)),0)</f>
        <v>0</v>
      </c>
      <c r="R26" s="125" t="str">
        <f>N30</f>
        <v>Rocky Hill HS - Team 2</v>
      </c>
      <c r="S26" s="72">
        <v>102.0</v>
      </c>
      <c r="T26" s="126" t="b">
        <v>1</v>
      </c>
      <c r="U26" s="127">
        <f>IF(T26=True, IF(S26&gt;S27,2,IF(S26=S27,1,0)),0)</f>
        <v>2</v>
      </c>
      <c r="V26" s="38"/>
      <c r="W26" s="73">
        <f t="shared" si="7"/>
        <v>19</v>
      </c>
      <c r="X26" s="74" t="s">
        <v>48</v>
      </c>
      <c r="Y26" s="75" t="s">
        <v>159</v>
      </c>
      <c r="Z26" s="76" t="str">
        <f t="shared" si="1"/>
        <v>Division 6 (Guillermo Camarena)</v>
      </c>
      <c r="AA26" s="76">
        <f t="shared" si="2"/>
        <v>0</v>
      </c>
      <c r="AB26" s="76">
        <f t="shared" si="3"/>
        <v>146</v>
      </c>
      <c r="AC26" s="77" t="str">
        <f t="shared" si="4"/>
        <v>New Canaan HS - Team 2</v>
      </c>
      <c r="AD26" s="38"/>
      <c r="AE26" s="119">
        <f t="shared" si="8"/>
        <v>19</v>
      </c>
      <c r="AF26" s="120">
        <v>551.2772</v>
      </c>
      <c r="AG26" s="121"/>
      <c r="AH26" s="38"/>
      <c r="AI26" s="42"/>
      <c r="AJ26" s="42"/>
    </row>
    <row r="27" ht="15.75" customHeight="1">
      <c r="A27" s="42"/>
      <c r="B27" s="128" t="str">
        <f>X21</f>
        <v>CT IB Acad - Team 1</v>
      </c>
      <c r="C27" s="88">
        <v>8.0</v>
      </c>
      <c r="D27" s="129" t="b">
        <v>1</v>
      </c>
      <c r="E27" s="130">
        <f>IF(D27=True, IF(C27&gt;C26,2,IF(C27=C26,1,0)),0)</f>
        <v>0</v>
      </c>
      <c r="F27" s="128" t="str">
        <f>B31</f>
        <v>East Lyme HS - Team 2</v>
      </c>
      <c r="G27" s="88">
        <v>36.0</v>
      </c>
      <c r="H27" s="129" t="b">
        <v>1</v>
      </c>
      <c r="I27" s="130">
        <f>IF(H27=True, IF(G27&gt;G26,2,IF(G27=G26,1,0)),0)</f>
        <v>0</v>
      </c>
      <c r="J27" s="128" t="str">
        <f>F28</f>
        <v>Rocky Hill HS - Team 2</v>
      </c>
      <c r="K27" s="88">
        <v>40.0</v>
      </c>
      <c r="L27" s="129" t="b">
        <v>1</v>
      </c>
      <c r="M27" s="130">
        <f>IF(L27=True, IF(K27&gt;K26,2,IF(K27=K26,1,0)),0)</f>
        <v>0</v>
      </c>
      <c r="N27" s="128" t="str">
        <f>J29</f>
        <v>Enfield HS - Team 1</v>
      </c>
      <c r="O27" s="88">
        <v>42.0</v>
      </c>
      <c r="P27" s="129" t="b">
        <v>1</v>
      </c>
      <c r="Q27" s="130">
        <f>IF(P27=True, IF(O27&gt;O26,2,IF(O27=O26,1,0)),0)</f>
        <v>2</v>
      </c>
      <c r="R27" s="128" t="str">
        <f t="shared" ref="R27:R28" si="11">N27</f>
        <v>Enfield HS - Team 1</v>
      </c>
      <c r="S27" s="88">
        <v>32.0</v>
      </c>
      <c r="T27" s="129" t="b">
        <v>1</v>
      </c>
      <c r="U27" s="130">
        <f>IF(T27=True, IF(S27&gt;S26,2,IF(S27=S26,1,0)),0)</f>
        <v>0</v>
      </c>
      <c r="V27" s="38"/>
      <c r="W27" s="73">
        <f t="shared" si="7"/>
        <v>20</v>
      </c>
      <c r="X27" s="74" t="s">
        <v>23</v>
      </c>
      <c r="Y27" s="75" t="s">
        <v>14</v>
      </c>
      <c r="Z27" s="76" t="str">
        <f t="shared" si="1"/>
        <v>Division 1 (Temple Grandin)</v>
      </c>
      <c r="AA27" s="76">
        <f t="shared" si="2"/>
        <v>10</v>
      </c>
      <c r="AB27" s="76">
        <f t="shared" si="3"/>
        <v>1030</v>
      </c>
      <c r="AC27" s="77" t="str">
        <f t="shared" si="4"/>
        <v>Waterford HS - Team 2</v>
      </c>
      <c r="AD27" s="38"/>
      <c r="AE27" s="119">
        <f t="shared" si="8"/>
        <v>20</v>
      </c>
      <c r="AF27" s="120">
        <v>547.2772</v>
      </c>
      <c r="AG27" s="121"/>
      <c r="AH27" s="38"/>
      <c r="AI27" s="42"/>
      <c r="AJ27" s="42"/>
    </row>
    <row r="28" ht="15.75" customHeight="1">
      <c r="A28" s="67" t="s">
        <v>160</v>
      </c>
      <c r="B28" s="125" t="str">
        <f>X26</f>
        <v>Amity Regional HS</v>
      </c>
      <c r="C28" s="72">
        <v>128.0</v>
      </c>
      <c r="D28" s="126" t="b">
        <v>1</v>
      </c>
      <c r="E28" s="127">
        <f>IF(D28=True, IF(C28&gt;C29,2,IF(C28=C29,1,0)),0)</f>
        <v>2</v>
      </c>
      <c r="F28" s="125" t="str">
        <f>B30</f>
        <v>Rocky Hill HS - Team 2</v>
      </c>
      <c r="G28" s="72">
        <v>72.0</v>
      </c>
      <c r="H28" s="126" t="b">
        <v>1</v>
      </c>
      <c r="I28" s="127">
        <f>IF(H28=True, IF(G28&gt;G29,2,IF(G28=G29,1,0)),0)</f>
        <v>2</v>
      </c>
      <c r="J28" s="125" t="str">
        <f>F27</f>
        <v>East Lyme HS - Team 2</v>
      </c>
      <c r="K28" s="72">
        <v>98.0</v>
      </c>
      <c r="L28" s="126" t="b">
        <v>1</v>
      </c>
      <c r="M28" s="127">
        <f>IF(L28=True, IF(K28&gt;K29,2,IF(K28=K29,1,0)),0)</f>
        <v>2</v>
      </c>
      <c r="N28" s="131" t="str">
        <f>J26</f>
        <v>EO Smith HS - Team 1</v>
      </c>
      <c r="O28" s="72">
        <v>92.0</v>
      </c>
      <c r="P28" s="126" t="b">
        <v>1</v>
      </c>
      <c r="Q28" s="127">
        <f>IF(P28=True, IF(O28&gt;O29,2,IF(O28=O29,1,0)),0)</f>
        <v>2</v>
      </c>
      <c r="R28" s="125" t="str">
        <f t="shared" si="11"/>
        <v>EO Smith HS - Team 1</v>
      </c>
      <c r="S28" s="72">
        <v>156.0</v>
      </c>
      <c r="T28" s="126" t="b">
        <v>1</v>
      </c>
      <c r="U28" s="127">
        <f>IF(T28=True, IF(S28&gt;S29,2,IF(S28=S29,1,0)),0)</f>
        <v>2</v>
      </c>
      <c r="V28" s="38"/>
      <c r="W28" s="73">
        <f t="shared" si="7"/>
        <v>21</v>
      </c>
      <c r="X28" s="74" t="s">
        <v>42</v>
      </c>
      <c r="Y28" s="75" t="s">
        <v>15</v>
      </c>
      <c r="Z28" s="76" t="str">
        <f t="shared" si="1"/>
        <v>Division 6 (Guillermo Camarena)</v>
      </c>
      <c r="AA28" s="76">
        <f t="shared" si="2"/>
        <v>8</v>
      </c>
      <c r="AB28" s="76">
        <f t="shared" si="3"/>
        <v>508</v>
      </c>
      <c r="AC28" s="77" t="str">
        <f t="shared" si="4"/>
        <v>Farmington HS - Team 2</v>
      </c>
      <c r="AD28" s="38"/>
      <c r="AE28" s="119">
        <f t="shared" si="8"/>
        <v>21</v>
      </c>
      <c r="AF28" s="120">
        <v>506.98040000000003</v>
      </c>
      <c r="AG28" s="121"/>
      <c r="AH28" s="38"/>
      <c r="AI28" s="42"/>
      <c r="AJ28" s="42"/>
    </row>
    <row r="29" ht="15.75" customHeight="1">
      <c r="A29" s="42"/>
      <c r="B29" s="128" t="str">
        <f>X37</f>
        <v>Enfield HS - Team 1</v>
      </c>
      <c r="C29" s="88">
        <v>22.0</v>
      </c>
      <c r="D29" s="129" t="b">
        <v>1</v>
      </c>
      <c r="E29" s="130">
        <f>IF(D29=True, IF(C29&gt;C28,2,IF(C29=C28,1,0)),0)</f>
        <v>0</v>
      </c>
      <c r="F29" s="128" t="str">
        <f>B27</f>
        <v>CT IB Acad - Team 1</v>
      </c>
      <c r="G29" s="88">
        <v>4.0</v>
      </c>
      <c r="H29" s="129" t="b">
        <v>1</v>
      </c>
      <c r="I29" s="130">
        <f>IF(H29=True, IF(G29&gt;G28,2,IF(G29=G28,1,0)),0)</f>
        <v>0</v>
      </c>
      <c r="J29" s="128" t="str">
        <f>F31</f>
        <v>Enfield HS - Team 1</v>
      </c>
      <c r="K29" s="88">
        <v>20.0</v>
      </c>
      <c r="L29" s="129" t="b">
        <v>1</v>
      </c>
      <c r="M29" s="130">
        <f>IF(L29=True, IF(K29&gt;K28,2,IF(K29=K28,1,0)),0)</f>
        <v>0</v>
      </c>
      <c r="N29" s="128" t="str">
        <f>J28</f>
        <v>East Lyme HS - Team 2</v>
      </c>
      <c r="O29" s="88">
        <v>42.0</v>
      </c>
      <c r="P29" s="129" t="b">
        <v>1</v>
      </c>
      <c r="Q29" s="130">
        <f>IF(P29=True, IF(O29&gt;O28,2,IF(O29=O28,1,0)),0)</f>
        <v>0</v>
      </c>
      <c r="R29" s="128" t="str">
        <f>N31</f>
        <v>Amity Regional HS</v>
      </c>
      <c r="S29" s="88">
        <v>92.0</v>
      </c>
      <c r="T29" s="129" t="b">
        <v>1</v>
      </c>
      <c r="U29" s="130">
        <f>IF(T29=True, IF(S29&gt;S28,2,IF(S29=S28,1,0)),0)</f>
        <v>0</v>
      </c>
      <c r="V29" s="38"/>
      <c r="W29" s="73">
        <f t="shared" si="7"/>
        <v>22</v>
      </c>
      <c r="X29" s="74" t="s">
        <v>15</v>
      </c>
      <c r="Y29" s="75" t="s">
        <v>17</v>
      </c>
      <c r="Z29" s="76" t="str">
        <f t="shared" si="1"/>
        <v>Division 4 (Ellen Ochoa)</v>
      </c>
      <c r="AA29" s="76">
        <f t="shared" si="2"/>
        <v>10</v>
      </c>
      <c r="AB29" s="76">
        <f t="shared" si="3"/>
        <v>650</v>
      </c>
      <c r="AC29" s="77" t="str">
        <f t="shared" si="4"/>
        <v>Greenwich HS - Team 2</v>
      </c>
      <c r="AD29" s="38"/>
      <c r="AE29" s="119">
        <f t="shared" si="8"/>
        <v>22</v>
      </c>
      <c r="AF29" s="120">
        <v>487.5698</v>
      </c>
      <c r="AG29" s="121"/>
      <c r="AH29" s="38"/>
      <c r="AI29" s="42"/>
      <c r="AJ29" s="42"/>
    </row>
    <row r="30" ht="15.75" customHeight="1">
      <c r="A30" s="67" t="s">
        <v>161</v>
      </c>
      <c r="B30" s="125" t="str">
        <f>X42</f>
        <v>Rocky Hill HS - Team 2</v>
      </c>
      <c r="C30" s="72">
        <v>68.0</v>
      </c>
      <c r="D30" s="126" t="b">
        <v>1</v>
      </c>
      <c r="E30" s="127">
        <f>IF(D30=True, IF(C30&gt;C31,2,IF(C30=C31,1,0)),0)</f>
        <v>2</v>
      </c>
      <c r="F30" s="125" t="str">
        <f>B26</f>
        <v>EO Smith HS - Team 1</v>
      </c>
      <c r="G30" s="72">
        <v>152.0</v>
      </c>
      <c r="H30" s="126" t="b">
        <v>1</v>
      </c>
      <c r="I30" s="127">
        <f>IF(H30=True, IF(G30&gt;G31,2,IF(G30=G31,1,0)),0)</f>
        <v>2</v>
      </c>
      <c r="J30" s="125" t="str">
        <f>F26</f>
        <v>Amity Regional HS</v>
      </c>
      <c r="K30" s="72">
        <v>76.0</v>
      </c>
      <c r="L30" s="126" t="b">
        <v>1</v>
      </c>
      <c r="M30" s="127">
        <f>IF(L30=True, IF(K30&gt;K31,2,IF(K30=K31,1,0)),0)</f>
        <v>2</v>
      </c>
      <c r="N30" s="125" t="str">
        <f>J27</f>
        <v>Rocky Hill HS - Team 2</v>
      </c>
      <c r="O30" s="72">
        <v>46.0</v>
      </c>
      <c r="P30" s="126" t="b">
        <v>1</v>
      </c>
      <c r="Q30" s="127">
        <f>IF(P30=True, IF(O30&gt;O31,2,IF(O30=O31,1,0)),0)</f>
        <v>0</v>
      </c>
      <c r="R30" s="125" t="str">
        <f>N29</f>
        <v>East Lyme HS - Team 2</v>
      </c>
      <c r="S30" s="72">
        <v>74.0</v>
      </c>
      <c r="T30" s="126" t="b">
        <v>1</v>
      </c>
      <c r="U30" s="127">
        <f>IF(T30=True, IF(S30&gt;S31,2,IF(S30=S31,1,0)),0)</f>
        <v>2</v>
      </c>
      <c r="V30" s="38"/>
      <c r="W30" s="73">
        <f t="shared" si="7"/>
        <v>23</v>
      </c>
      <c r="X30" s="74" t="s">
        <v>18</v>
      </c>
      <c r="Y30" s="75" t="s">
        <v>18</v>
      </c>
      <c r="Z30" s="76" t="str">
        <f t="shared" si="1"/>
        <v>Division 7 (Irene Uchida)</v>
      </c>
      <c r="AA30" s="76">
        <f t="shared" si="2"/>
        <v>10</v>
      </c>
      <c r="AB30" s="76">
        <f t="shared" si="3"/>
        <v>420</v>
      </c>
      <c r="AC30" s="77" t="str">
        <f t="shared" si="4"/>
        <v>Open Spot - 3</v>
      </c>
      <c r="AD30" s="38"/>
      <c r="AE30" s="119">
        <f t="shared" si="8"/>
        <v>23</v>
      </c>
      <c r="AF30" s="120">
        <v>469.1174</v>
      </c>
      <c r="AG30" s="121"/>
      <c r="AH30" s="38"/>
      <c r="AI30" s="42"/>
      <c r="AJ30" s="42"/>
    </row>
    <row r="31" ht="15.75" customHeight="1">
      <c r="A31" s="42"/>
      <c r="B31" s="132" t="str">
        <f>X53</f>
        <v>East Lyme HS - Team 2</v>
      </c>
      <c r="C31" s="88">
        <v>44.0</v>
      </c>
      <c r="D31" s="133" t="b">
        <v>1</v>
      </c>
      <c r="E31" s="134">
        <f>IF(D31=True, IF(C31&gt;C30,2,IF(C31=C30,1,0)),0)</f>
        <v>0</v>
      </c>
      <c r="F31" s="132" t="str">
        <f>B29</f>
        <v>Enfield HS - Team 1</v>
      </c>
      <c r="G31" s="88">
        <v>26.0</v>
      </c>
      <c r="H31" s="133" t="b">
        <v>1</v>
      </c>
      <c r="I31" s="134">
        <f>IF(H31=True, IF(G31&gt;G30,2,IF(G31=G30,1,0)),0)</f>
        <v>0</v>
      </c>
      <c r="J31" s="132" t="str">
        <f>F29</f>
        <v>CT IB Acad - Team 1</v>
      </c>
      <c r="K31" s="88">
        <v>28.0</v>
      </c>
      <c r="L31" s="133" t="b">
        <v>1</v>
      </c>
      <c r="M31" s="134">
        <f>IF(L31=True, IF(K31&gt;K30,2,IF(K31=K30,1,0)),0)</f>
        <v>0</v>
      </c>
      <c r="N31" s="132" t="str">
        <f>J30</f>
        <v>Amity Regional HS</v>
      </c>
      <c r="O31" s="88">
        <v>54.0</v>
      </c>
      <c r="P31" s="133" t="b">
        <v>1</v>
      </c>
      <c r="Q31" s="134">
        <f>IF(P31=True, IF(O31&gt;O30,2,IF(O31=O30,1,0)),0)</f>
        <v>2</v>
      </c>
      <c r="R31" s="132" t="str">
        <f>N26</f>
        <v>CT IB Acad - Team 1</v>
      </c>
      <c r="S31" s="88">
        <v>12.0</v>
      </c>
      <c r="T31" s="133" t="b">
        <v>1</v>
      </c>
      <c r="U31" s="134">
        <f>IF(T31=True, IF(S31&gt;S30,2,IF(S31=S30,1,0)),0)</f>
        <v>0</v>
      </c>
      <c r="V31" s="38"/>
      <c r="W31" s="73">
        <f t="shared" si="7"/>
        <v>24</v>
      </c>
      <c r="X31" s="74" t="s">
        <v>162</v>
      </c>
      <c r="Y31" s="75" t="s">
        <v>163</v>
      </c>
      <c r="Z31" s="76" t="str">
        <f t="shared" si="1"/>
        <v>Division 2 (Marian Croak)</v>
      </c>
      <c r="AA31" s="76">
        <f t="shared" si="2"/>
        <v>0</v>
      </c>
      <c r="AB31" s="76">
        <f t="shared" si="3"/>
        <v>170</v>
      </c>
      <c r="AC31" s="77" t="str">
        <f>#REF!</f>
        <v>#REF!</v>
      </c>
      <c r="AD31" s="38"/>
      <c r="AE31" s="119">
        <f t="shared" si="8"/>
        <v>24</v>
      </c>
      <c r="AF31" s="120">
        <v>409.2772</v>
      </c>
      <c r="AG31" s="121"/>
      <c r="AH31" s="38"/>
      <c r="AI31" s="42"/>
      <c r="AJ31" s="42"/>
    </row>
    <row r="32" ht="15.75" customHeight="1">
      <c r="A32" s="42"/>
      <c r="B32" s="135" t="s">
        <v>164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7"/>
      <c r="V32" s="38"/>
      <c r="W32" s="73">
        <f t="shared" si="7"/>
        <v>25</v>
      </c>
      <c r="X32" s="74" t="s">
        <v>165</v>
      </c>
      <c r="Y32" s="138" t="s">
        <v>166</v>
      </c>
      <c r="Z32" s="76" t="str">
        <f t="shared" si="1"/>
        <v>Division 8 (Bernardo Houssay) - Canceled Division - Sorry!</v>
      </c>
      <c r="AA32" s="76">
        <f t="shared" si="2"/>
        <v>0</v>
      </c>
      <c r="AB32" s="76">
        <f t="shared" si="3"/>
        <v>0</v>
      </c>
      <c r="AC32" s="77" t="str">
        <f t="shared" ref="AC32:AC37" si="12">X33</f>
        <v>Enfield HS - Team 3</v>
      </c>
      <c r="AD32" s="38"/>
      <c r="AE32" s="119">
        <f t="shared" si="8"/>
        <v>25</v>
      </c>
      <c r="AF32" s="120">
        <v>384.98040000000003</v>
      </c>
      <c r="AG32" s="121" t="str">
        <f t="shared" ref="AG32:AG37" si="13">VLOOKUP(AF32,$AC$8:$AC$37,2,FALSE)</f>
        <v>#REF!</v>
      </c>
      <c r="AH32" s="38"/>
      <c r="AI32" s="42"/>
      <c r="AJ32" s="42"/>
    </row>
    <row r="33" ht="15.75" customHeight="1">
      <c r="A33" s="4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5"/>
      <c r="V33" s="38"/>
      <c r="W33" s="73">
        <f t="shared" si="7"/>
        <v>26</v>
      </c>
      <c r="X33" s="74" t="s">
        <v>153</v>
      </c>
      <c r="Y33" s="75" t="s">
        <v>21</v>
      </c>
      <c r="Z33" s="76" t="str">
        <f t="shared" si="1"/>
        <v>Division 4 (Ellen Ochoa)</v>
      </c>
      <c r="AA33" s="76">
        <f t="shared" si="2"/>
        <v>4</v>
      </c>
      <c r="AB33" s="76">
        <f t="shared" si="3"/>
        <v>248</v>
      </c>
      <c r="AC33" s="77" t="str">
        <f t="shared" si="12"/>
        <v>Enfield HS - Team 2</v>
      </c>
      <c r="AD33" s="38"/>
      <c r="AE33" s="119">
        <f t="shared" si="8"/>
        <v>26</v>
      </c>
      <c r="AF33" s="120">
        <v>383.3284</v>
      </c>
      <c r="AG33" s="121" t="str">
        <f t="shared" si="13"/>
        <v>#REF!</v>
      </c>
      <c r="AH33" s="38"/>
      <c r="AI33" s="42"/>
      <c r="AJ33" s="42"/>
    </row>
    <row r="34" ht="15.75" customHeight="1">
      <c r="A34" s="42"/>
      <c r="B34" s="139" t="s">
        <v>124</v>
      </c>
      <c r="C34" s="140" t="s">
        <v>125</v>
      </c>
      <c r="D34" s="140" t="s">
        <v>126</v>
      </c>
      <c r="E34" s="141" t="s">
        <v>127</v>
      </c>
      <c r="F34" s="139" t="s">
        <v>124</v>
      </c>
      <c r="G34" s="140" t="s">
        <v>125</v>
      </c>
      <c r="H34" s="140" t="s">
        <v>126</v>
      </c>
      <c r="I34" s="141" t="s">
        <v>127</v>
      </c>
      <c r="J34" s="139" t="s">
        <v>124</v>
      </c>
      <c r="K34" s="140" t="s">
        <v>125</v>
      </c>
      <c r="L34" s="140" t="s">
        <v>126</v>
      </c>
      <c r="M34" s="141" t="s">
        <v>127</v>
      </c>
      <c r="N34" s="139" t="s">
        <v>124</v>
      </c>
      <c r="O34" s="140" t="s">
        <v>125</v>
      </c>
      <c r="P34" s="140" t="s">
        <v>126</v>
      </c>
      <c r="Q34" s="141" t="s">
        <v>127</v>
      </c>
      <c r="R34" s="139" t="s">
        <v>124</v>
      </c>
      <c r="S34" s="140" t="s">
        <v>125</v>
      </c>
      <c r="T34" s="140" t="s">
        <v>126</v>
      </c>
      <c r="U34" s="141" t="s">
        <v>127</v>
      </c>
      <c r="V34" s="38"/>
      <c r="W34" s="73">
        <f t="shared" si="7"/>
        <v>27</v>
      </c>
      <c r="X34" s="74" t="s">
        <v>152</v>
      </c>
      <c r="Y34" s="75" t="s">
        <v>34</v>
      </c>
      <c r="Z34" s="76" t="str">
        <f t="shared" si="1"/>
        <v>Division 5 (Ursula Burns)</v>
      </c>
      <c r="AA34" s="76">
        <f t="shared" si="2"/>
        <v>8</v>
      </c>
      <c r="AB34" s="76">
        <f t="shared" si="3"/>
        <v>468</v>
      </c>
      <c r="AC34" s="77" t="str">
        <f t="shared" si="12"/>
        <v>Univ HS Sci &amp; Eng</v>
      </c>
      <c r="AD34" s="38"/>
      <c r="AE34" s="119">
        <f t="shared" si="8"/>
        <v>27</v>
      </c>
      <c r="AF34" s="120">
        <v>343.3284</v>
      </c>
      <c r="AG34" s="121" t="str">
        <f t="shared" si="13"/>
        <v>#REF!</v>
      </c>
      <c r="AH34" s="38"/>
      <c r="AI34" s="42"/>
      <c r="AJ34" s="42"/>
    </row>
    <row r="35" ht="15.75" customHeight="1">
      <c r="A35" s="67" t="s">
        <v>167</v>
      </c>
      <c r="B35" s="142" t="str">
        <f>X11</f>
        <v>Greenwich HS - Team 1</v>
      </c>
      <c r="C35" s="72">
        <v>86.0</v>
      </c>
      <c r="D35" s="143" t="b">
        <v>1</v>
      </c>
      <c r="E35" s="144">
        <f>IF(D35=True, IF(C35&gt;C36,2,IF(C35=C36,1,0)),0)</f>
        <v>2</v>
      </c>
      <c r="F35" s="142" t="str">
        <f>B37</f>
        <v>New Canaan HS - Team 2</v>
      </c>
      <c r="G35" s="72">
        <v>34.0</v>
      </c>
      <c r="H35" s="143" t="b">
        <v>1</v>
      </c>
      <c r="I35" s="144">
        <f>IF(H35=True, IF(G35&gt;G36,2,IF(G35=G36,1,0)),0)</f>
        <v>0</v>
      </c>
      <c r="J35" s="142" t="str">
        <f>F39</f>
        <v>Greenwich HS - Team 1</v>
      </c>
      <c r="K35" s="72">
        <v>136.0</v>
      </c>
      <c r="L35" s="143" t="b">
        <v>1</v>
      </c>
      <c r="M35" s="144">
        <f>IF(L35=True, IF(K35&gt;K36,2,IF(K35=K36,1,0)),0)</f>
        <v>2</v>
      </c>
      <c r="N35" s="142" t="str">
        <f>J40</f>
        <v>Conard HS - Team 1</v>
      </c>
      <c r="O35" s="72">
        <v>24.0</v>
      </c>
      <c r="P35" s="143" t="b">
        <v>1</v>
      </c>
      <c r="Q35" s="144">
        <f>IF(P35=True, IF(O35&gt;O36,2,IF(O35=O36,1,0)),0)</f>
        <v>0</v>
      </c>
      <c r="R35" s="142" t="str">
        <f>N39</f>
        <v>CT IB Acad - Team 3</v>
      </c>
      <c r="S35" s="72">
        <v>40.0</v>
      </c>
      <c r="T35" s="143" t="b">
        <v>1</v>
      </c>
      <c r="U35" s="144">
        <f>IF(T35=True, IF(S35&gt;S36,2,IF(S35=S36,1,0)),0)</f>
        <v>0</v>
      </c>
      <c r="V35" s="38"/>
      <c r="W35" s="73">
        <f t="shared" si="7"/>
        <v>28</v>
      </c>
      <c r="X35" s="74" t="s">
        <v>168</v>
      </c>
      <c r="Y35" s="75" t="s">
        <v>35</v>
      </c>
      <c r="Z35" s="76" t="str">
        <f t="shared" si="1"/>
        <v>Division 1 (Temple Grandin)</v>
      </c>
      <c r="AA35" s="76">
        <f t="shared" si="2"/>
        <v>6</v>
      </c>
      <c r="AB35" s="76">
        <f t="shared" si="3"/>
        <v>334</v>
      </c>
      <c r="AC35" s="77" t="str">
        <f t="shared" si="12"/>
        <v>Fairfield Warde HS - Team 1</v>
      </c>
      <c r="AD35" s="38"/>
      <c r="AE35" s="119">
        <f t="shared" si="8"/>
        <v>28</v>
      </c>
      <c r="AF35" s="120">
        <v>338.98040000000003</v>
      </c>
      <c r="AG35" s="121" t="str">
        <f t="shared" si="13"/>
        <v>#REF!</v>
      </c>
      <c r="AH35" s="38"/>
      <c r="AI35" s="42"/>
      <c r="AJ35" s="42"/>
    </row>
    <row r="36" ht="15.75" customHeight="1">
      <c r="A36" s="67"/>
      <c r="B36" s="145" t="str">
        <f>X20</f>
        <v>Conard HS - Team 1</v>
      </c>
      <c r="C36" s="88">
        <v>68.0</v>
      </c>
      <c r="D36" s="146" t="b">
        <v>1</v>
      </c>
      <c r="E36" s="147">
        <f>IF(D36=True, IF(C36&gt;C35,2,IF(C36=C35,1,0)),0)</f>
        <v>0</v>
      </c>
      <c r="F36" s="145" t="str">
        <f>B40</f>
        <v>Joel Barlow HS</v>
      </c>
      <c r="G36" s="88">
        <v>62.0</v>
      </c>
      <c r="H36" s="146" t="b">
        <v>1</v>
      </c>
      <c r="I36" s="147">
        <f>IF(H36=True, IF(G36&gt;G35,2,IF(G36=G35,1,0)),0)</f>
        <v>2</v>
      </c>
      <c r="J36" s="145" t="str">
        <f>F37</f>
        <v>CT IB Acad - Team 3</v>
      </c>
      <c r="K36" s="88">
        <v>26.0</v>
      </c>
      <c r="L36" s="146" t="b">
        <v>1</v>
      </c>
      <c r="M36" s="147">
        <f>IF(L36=True, IF(K36&gt;K35,2,IF(K36=K35,1,0)),0)</f>
        <v>0</v>
      </c>
      <c r="N36" s="145" t="str">
        <f>J38</f>
        <v>Fairfield Warde HS - Team 1</v>
      </c>
      <c r="O36" s="88">
        <v>66.0</v>
      </c>
      <c r="P36" s="146" t="b">
        <v>1</v>
      </c>
      <c r="Q36" s="147">
        <f>IF(P36=True, IF(O36&gt;O35,2,IF(O36=O35,1,0)),0)</f>
        <v>2</v>
      </c>
      <c r="R36" s="145" t="str">
        <f t="shared" ref="R36:R37" si="14">N36</f>
        <v>Fairfield Warde HS - Team 1</v>
      </c>
      <c r="S36" s="88">
        <v>100.0</v>
      </c>
      <c r="T36" s="146" t="b">
        <v>1</v>
      </c>
      <c r="U36" s="147">
        <f>IF(T36=True, IF(S36&gt;S35,2,IF(S36=S35,1,0)),0)</f>
        <v>2</v>
      </c>
      <c r="V36" s="38"/>
      <c r="W36" s="73">
        <f t="shared" si="7"/>
        <v>29</v>
      </c>
      <c r="X36" s="74" t="s">
        <v>157</v>
      </c>
      <c r="Y36" s="75" t="s">
        <v>22</v>
      </c>
      <c r="Z36" s="76" t="str">
        <f t="shared" si="1"/>
        <v>Division 6 (Guillermo Camarena)</v>
      </c>
      <c r="AA36" s="76">
        <f t="shared" si="2"/>
        <v>8</v>
      </c>
      <c r="AB36" s="76">
        <f t="shared" si="3"/>
        <v>406</v>
      </c>
      <c r="AC36" s="77" t="str">
        <f t="shared" si="12"/>
        <v>Enfield HS - Team 1</v>
      </c>
      <c r="AD36" s="38"/>
      <c r="AE36" s="119">
        <f t="shared" si="8"/>
        <v>29</v>
      </c>
      <c r="AF36" s="120">
        <v>239.1174</v>
      </c>
      <c r="AG36" s="121" t="str">
        <f t="shared" si="13"/>
        <v>#REF!</v>
      </c>
      <c r="AH36" s="38"/>
      <c r="AI36" s="42"/>
      <c r="AJ36" s="42"/>
    </row>
    <row r="37" ht="15.75" customHeight="1">
      <c r="A37" s="67" t="s">
        <v>169</v>
      </c>
      <c r="B37" s="142" t="str">
        <f>X27</f>
        <v>New Canaan HS - Team 2</v>
      </c>
      <c r="C37" s="72">
        <v>44.0</v>
      </c>
      <c r="D37" s="143" t="b">
        <v>1</v>
      </c>
      <c r="E37" s="144">
        <f>IF(D37=True, IF(C37&gt;C38,2,IF(C37=C38,1,0)),0)</f>
        <v>0</v>
      </c>
      <c r="F37" s="142" t="str">
        <f>B39</f>
        <v>CT IB Acad - Team 3</v>
      </c>
      <c r="G37" s="72">
        <v>12.0</v>
      </c>
      <c r="H37" s="143" t="b">
        <v>1</v>
      </c>
      <c r="I37" s="144">
        <f>IF(H37=True, IF(G37&gt;G38,2,IF(G37=G38,1,0)),0)</f>
        <v>0</v>
      </c>
      <c r="J37" s="142" t="str">
        <f>F36</f>
        <v>Joel Barlow HS</v>
      </c>
      <c r="K37" s="72">
        <v>32.0</v>
      </c>
      <c r="L37" s="143" t="b">
        <v>1</v>
      </c>
      <c r="M37" s="144">
        <f>IF(L37=True, IF(K37&gt;K38,2,IF(K37=K38,1,0)),0)</f>
        <v>0</v>
      </c>
      <c r="N37" s="142" t="str">
        <f>J35</f>
        <v>Greenwich HS - Team 1</v>
      </c>
      <c r="O37" s="72">
        <v>118.0</v>
      </c>
      <c r="P37" s="143" t="b">
        <v>1</v>
      </c>
      <c r="Q37" s="144">
        <f>IF(P37=True, IF(O37&gt;O38,2,IF(O37=O38,1,0)),0)</f>
        <v>2</v>
      </c>
      <c r="R37" s="142" t="str">
        <f t="shared" si="14"/>
        <v>Greenwich HS - Team 1</v>
      </c>
      <c r="S37" s="72">
        <v>178.0</v>
      </c>
      <c r="T37" s="143" t="b">
        <v>1</v>
      </c>
      <c r="U37" s="144">
        <f>IF(T37=True, IF(S37&gt;S38,2,IF(S37=S38,1,0)),0)</f>
        <v>2</v>
      </c>
      <c r="V37" s="38"/>
      <c r="W37" s="73">
        <f t="shared" si="7"/>
        <v>30</v>
      </c>
      <c r="X37" s="74" t="s">
        <v>150</v>
      </c>
      <c r="Y37" s="75" t="s">
        <v>23</v>
      </c>
      <c r="Z37" s="76" t="str">
        <f t="shared" si="1"/>
        <v>Division 4 (Ellen Ochoa)</v>
      </c>
      <c r="AA37" s="76">
        <f t="shared" si="2"/>
        <v>2</v>
      </c>
      <c r="AB37" s="76">
        <f t="shared" si="3"/>
        <v>212</v>
      </c>
      <c r="AC37" s="77" t="str">
        <f t="shared" si="12"/>
        <v>Greenwich HS - Team 3</v>
      </c>
      <c r="AD37" s="38"/>
      <c r="AE37" s="119">
        <f t="shared" si="8"/>
        <v>30</v>
      </c>
      <c r="AF37" s="120">
        <v>221.5698</v>
      </c>
      <c r="AG37" s="121" t="str">
        <f t="shared" si="13"/>
        <v>#REF!</v>
      </c>
      <c r="AH37" s="38"/>
      <c r="AI37" s="42"/>
      <c r="AJ37" s="42"/>
    </row>
    <row r="38" ht="15.75" customHeight="1">
      <c r="A38" s="42"/>
      <c r="B38" s="145" t="str">
        <f>X36</f>
        <v>Fairfield Warde HS - Team 1</v>
      </c>
      <c r="C38" s="88">
        <v>72.0</v>
      </c>
      <c r="D38" s="146" t="b">
        <v>1</v>
      </c>
      <c r="E38" s="147">
        <f>IF(D38=True, IF(C38&gt;C37,2,IF(C38=C37,1,0)),0)</f>
        <v>2</v>
      </c>
      <c r="F38" s="145" t="str">
        <f>B36</f>
        <v>Conard HS - Team 1</v>
      </c>
      <c r="G38" s="88">
        <v>64.0</v>
      </c>
      <c r="H38" s="146" t="b">
        <v>1</v>
      </c>
      <c r="I38" s="147">
        <f>IF(H38=True, IF(G38&gt;G37,2,IF(G38=G37,1,0)),0)</f>
        <v>2</v>
      </c>
      <c r="J38" s="145" t="str">
        <f>F40</f>
        <v>Fairfield Warde HS - Team 1</v>
      </c>
      <c r="K38" s="88">
        <v>86.0</v>
      </c>
      <c r="L38" s="146" t="b">
        <v>1</v>
      </c>
      <c r="M38" s="147">
        <f>IF(L38=True, IF(K38&gt;K37,2,IF(K38=K37,1,0)),0)</f>
        <v>2</v>
      </c>
      <c r="N38" s="145" t="str">
        <f>J37</f>
        <v>Joel Barlow HS</v>
      </c>
      <c r="O38" s="88">
        <v>34.0</v>
      </c>
      <c r="P38" s="146" t="b">
        <v>1</v>
      </c>
      <c r="Q38" s="147">
        <f>IF(P38=True, IF(O38&gt;O37,2,IF(O38=O37,1,0)),0)</f>
        <v>0</v>
      </c>
      <c r="R38" s="145" t="str">
        <f>N40</f>
        <v>New Canaan HS - Team 2</v>
      </c>
      <c r="S38" s="88">
        <v>32.0</v>
      </c>
      <c r="T38" s="146" t="b">
        <v>1</v>
      </c>
      <c r="U38" s="147">
        <f>IF(T38=True, IF(S38&gt;S37,2,IF(S38=S37,1,0)),0)</f>
        <v>0</v>
      </c>
      <c r="V38" s="38"/>
      <c r="W38" s="73">
        <f t="shared" si="7"/>
        <v>31</v>
      </c>
      <c r="X38" s="74" t="s">
        <v>163</v>
      </c>
      <c r="Y38" s="75" t="s">
        <v>149</v>
      </c>
      <c r="Z38" s="76" t="str">
        <f t="shared" si="1"/>
        <v>Division 7 (Irene Uchida)</v>
      </c>
      <c r="AA38" s="76">
        <f t="shared" si="2"/>
        <v>6</v>
      </c>
      <c r="AB38" s="76">
        <f t="shared" si="3"/>
        <v>264</v>
      </c>
      <c r="AC38" s="38"/>
      <c r="AD38" s="38"/>
      <c r="AE38" s="38"/>
      <c r="AF38" s="42"/>
      <c r="AG38" s="38"/>
      <c r="AH38" s="38"/>
      <c r="AI38" s="42"/>
      <c r="AJ38" s="42"/>
    </row>
    <row r="39" ht="15.75" customHeight="1">
      <c r="A39" s="67" t="s">
        <v>170</v>
      </c>
      <c r="B39" s="142" t="str">
        <f>X43</f>
        <v>CT IB Acad - Team 3</v>
      </c>
      <c r="C39" s="72">
        <v>48.0</v>
      </c>
      <c r="D39" s="143" t="b">
        <v>1</v>
      </c>
      <c r="E39" s="144">
        <f>IF(D39=True, IF(C39&gt;C40,2,IF(C39=C40,1,0)),0)</f>
        <v>0</v>
      </c>
      <c r="F39" s="142" t="str">
        <f>B35</f>
        <v>Greenwich HS - Team 1</v>
      </c>
      <c r="G39" s="72">
        <v>132.0</v>
      </c>
      <c r="H39" s="143" t="b">
        <v>1</v>
      </c>
      <c r="I39" s="144">
        <f>IF(H39=True, IF(G39&gt;G40,2,IF(G39=G40,1,0)),0)</f>
        <v>2</v>
      </c>
      <c r="J39" s="142" t="str">
        <f>F35</f>
        <v>New Canaan HS - Team 2</v>
      </c>
      <c r="K39" s="72">
        <v>52.0</v>
      </c>
      <c r="L39" s="143" t="b">
        <v>1</v>
      </c>
      <c r="M39" s="144">
        <f>IF(L39=True, IF(K39&gt;K40,2,IF(K39=K40,1,0)),0)</f>
        <v>0</v>
      </c>
      <c r="N39" s="142" t="str">
        <f>J36</f>
        <v>CT IB Acad - Team 3</v>
      </c>
      <c r="O39" s="72">
        <v>20.0</v>
      </c>
      <c r="P39" s="143" t="b">
        <v>1</v>
      </c>
      <c r="Q39" s="144">
        <f>IF(P39=True, IF(O39&gt;O40,2,IF(O39=O40,1,0)),0)</f>
        <v>0</v>
      </c>
      <c r="R39" s="142" t="str">
        <f>N38</f>
        <v>Joel Barlow HS</v>
      </c>
      <c r="S39" s="72">
        <v>58.0</v>
      </c>
      <c r="T39" s="143" t="b">
        <v>1</v>
      </c>
      <c r="U39" s="144">
        <f>IF(T39=True, IF(S39&gt;S40,2,IF(S39=S40,1,0)),0)</f>
        <v>0</v>
      </c>
      <c r="V39" s="38"/>
      <c r="W39" s="73">
        <f t="shared" si="7"/>
        <v>32</v>
      </c>
      <c r="X39" s="74" t="s">
        <v>12</v>
      </c>
      <c r="Y39" s="75" t="s">
        <v>73</v>
      </c>
      <c r="Z39" s="76" t="str">
        <f t="shared" si="1"/>
        <v>Division 6 (Guillermo Camarena)</v>
      </c>
      <c r="AA39" s="76">
        <f t="shared" si="2"/>
        <v>6</v>
      </c>
      <c r="AB39" s="76">
        <f t="shared" si="3"/>
        <v>306</v>
      </c>
      <c r="AC39" s="38"/>
      <c r="AD39" s="38"/>
      <c r="AE39" s="38"/>
      <c r="AF39" s="42"/>
      <c r="AG39" s="38"/>
      <c r="AH39" s="38"/>
      <c r="AI39" s="42"/>
      <c r="AJ39" s="42"/>
    </row>
    <row r="40" ht="15.75" customHeight="1">
      <c r="A40" s="42"/>
      <c r="B40" s="148" t="str">
        <f>X52</f>
        <v>Joel Barlow HS</v>
      </c>
      <c r="C40" s="88">
        <v>62.0</v>
      </c>
      <c r="D40" s="149" t="b">
        <v>1</v>
      </c>
      <c r="E40" s="150">
        <f>IF(D40=True, IF(C40&gt;C39,2,IF(C40=C39,1,0)),0)</f>
        <v>2</v>
      </c>
      <c r="F40" s="148" t="str">
        <f>B38</f>
        <v>Fairfield Warde HS - Team 1</v>
      </c>
      <c r="G40" s="88">
        <v>46.0</v>
      </c>
      <c r="H40" s="149" t="b">
        <v>1</v>
      </c>
      <c r="I40" s="150">
        <f>IF(H40=True, IF(G40&gt;G39,2,IF(G40=G39,1,0)),0)</f>
        <v>0</v>
      </c>
      <c r="J40" s="148" t="str">
        <f>F38</f>
        <v>Conard HS - Team 1</v>
      </c>
      <c r="K40" s="88">
        <v>72.0</v>
      </c>
      <c r="L40" s="149" t="b">
        <v>1</v>
      </c>
      <c r="M40" s="150">
        <f>IF(L40=True, IF(K40&gt;K39,2,IF(K40=K39,1,0)),0)</f>
        <v>2</v>
      </c>
      <c r="N40" s="148" t="str">
        <f>J39</f>
        <v>New Canaan HS - Team 2</v>
      </c>
      <c r="O40" s="88">
        <v>50.0</v>
      </c>
      <c r="P40" s="149" t="b">
        <v>1</v>
      </c>
      <c r="Q40" s="150">
        <f>IF(P40=True, IF(O40&gt;O39,2,IF(O40=O39,1,0)),0)</f>
        <v>2</v>
      </c>
      <c r="R40" s="148" t="str">
        <f>N35</f>
        <v>Conard HS - Team 1</v>
      </c>
      <c r="S40" s="88">
        <v>62.0</v>
      </c>
      <c r="T40" s="149" t="b">
        <v>1</v>
      </c>
      <c r="U40" s="150">
        <f>IF(T40=True, IF(S40&gt;S39,2,IF(S40=S39,1,0)),0)</f>
        <v>2</v>
      </c>
      <c r="V40" s="38"/>
      <c r="W40" s="73">
        <f t="shared" si="7"/>
        <v>33</v>
      </c>
      <c r="X40" s="74" t="s">
        <v>35</v>
      </c>
      <c r="Y40" s="138" t="s">
        <v>145</v>
      </c>
      <c r="Z40" s="76" t="str">
        <f t="shared" si="1"/>
        <v>Division 8 (Bernardo Houssay) - Canceled Division - Sorry!</v>
      </c>
      <c r="AA40" s="76">
        <f t="shared" si="2"/>
        <v>0</v>
      </c>
      <c r="AB40" s="76">
        <f t="shared" si="3"/>
        <v>0</v>
      </c>
      <c r="AC40" s="38"/>
      <c r="AD40" s="38"/>
      <c r="AE40" s="38"/>
      <c r="AF40" s="42"/>
      <c r="AG40" s="38"/>
      <c r="AH40" s="38"/>
      <c r="AI40" s="42"/>
      <c r="AJ40" s="42"/>
    </row>
    <row r="41" ht="15.75" customHeight="1">
      <c r="A41" s="42"/>
      <c r="B41" s="151" t="s">
        <v>171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7"/>
      <c r="V41" s="38"/>
      <c r="W41" s="73">
        <f t="shared" si="7"/>
        <v>34</v>
      </c>
      <c r="X41" s="74" t="s">
        <v>30</v>
      </c>
      <c r="Y41" s="138" t="s">
        <v>147</v>
      </c>
      <c r="Z41" s="76" t="str">
        <f t="shared" si="1"/>
        <v>Division 8 (Bernardo Houssay) - Canceled Division - Sorry!</v>
      </c>
      <c r="AA41" s="76">
        <f t="shared" si="2"/>
        <v>0</v>
      </c>
      <c r="AB41" s="76">
        <f t="shared" si="3"/>
        <v>0</v>
      </c>
      <c r="AC41" s="38"/>
      <c r="AD41" s="38"/>
      <c r="AE41" s="38"/>
      <c r="AF41" s="42"/>
      <c r="AG41" s="38"/>
      <c r="AH41" s="38"/>
      <c r="AI41" s="42"/>
      <c r="AJ41" s="42"/>
    </row>
    <row r="42" ht="15.75" customHeight="1">
      <c r="A42" s="4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5"/>
      <c r="V42" s="38"/>
      <c r="W42" s="73">
        <f t="shared" si="7"/>
        <v>35</v>
      </c>
      <c r="X42" s="74" t="s">
        <v>28</v>
      </c>
      <c r="Y42" s="138" t="s">
        <v>162</v>
      </c>
      <c r="Z42" s="76" t="str">
        <f t="shared" si="1"/>
        <v>Division 8 (Bernardo Houssay) - Canceled Division - Sorry!</v>
      </c>
      <c r="AA42" s="76">
        <f t="shared" si="2"/>
        <v>0</v>
      </c>
      <c r="AB42" s="76">
        <f t="shared" si="3"/>
        <v>0</v>
      </c>
      <c r="AC42" s="38"/>
      <c r="AD42" s="38"/>
      <c r="AE42" s="38"/>
      <c r="AF42" s="42"/>
      <c r="AG42" s="38"/>
      <c r="AH42" s="38"/>
      <c r="AI42" s="42"/>
      <c r="AJ42" s="42"/>
    </row>
    <row r="43" ht="15.75" customHeight="1">
      <c r="A43" s="42"/>
      <c r="B43" s="152" t="s">
        <v>124</v>
      </c>
      <c r="C43" s="153" t="s">
        <v>125</v>
      </c>
      <c r="D43" s="153" t="s">
        <v>126</v>
      </c>
      <c r="E43" s="154" t="s">
        <v>127</v>
      </c>
      <c r="F43" s="152" t="s">
        <v>124</v>
      </c>
      <c r="G43" s="153" t="s">
        <v>125</v>
      </c>
      <c r="H43" s="153" t="s">
        <v>126</v>
      </c>
      <c r="I43" s="154" t="s">
        <v>127</v>
      </c>
      <c r="J43" s="152" t="s">
        <v>124</v>
      </c>
      <c r="K43" s="153" t="s">
        <v>125</v>
      </c>
      <c r="L43" s="153" t="s">
        <v>126</v>
      </c>
      <c r="M43" s="154" t="s">
        <v>127</v>
      </c>
      <c r="N43" s="152" t="s">
        <v>124</v>
      </c>
      <c r="O43" s="153" t="s">
        <v>125</v>
      </c>
      <c r="P43" s="153" t="s">
        <v>126</v>
      </c>
      <c r="Q43" s="154" t="s">
        <v>127</v>
      </c>
      <c r="R43" s="152" t="s">
        <v>124</v>
      </c>
      <c r="S43" s="153" t="s">
        <v>125</v>
      </c>
      <c r="T43" s="153" t="s">
        <v>126</v>
      </c>
      <c r="U43" s="154" t="s">
        <v>127</v>
      </c>
      <c r="V43" s="38"/>
      <c r="W43" s="73">
        <f t="shared" si="7"/>
        <v>36</v>
      </c>
      <c r="X43" s="74" t="s">
        <v>146</v>
      </c>
      <c r="Y43" s="138" t="s">
        <v>165</v>
      </c>
      <c r="Z43" s="76" t="str">
        <f t="shared" si="1"/>
        <v>Division 8 (Bernardo Houssay) - Canceled Division - Sorry!</v>
      </c>
      <c r="AA43" s="76">
        <f t="shared" si="2"/>
        <v>1</v>
      </c>
      <c r="AB43" s="76">
        <f t="shared" si="3"/>
        <v>0</v>
      </c>
      <c r="AC43" s="38"/>
      <c r="AD43" s="38"/>
      <c r="AE43" s="38"/>
      <c r="AF43" s="42"/>
      <c r="AG43" s="38"/>
      <c r="AH43" s="38"/>
      <c r="AI43" s="42"/>
      <c r="AJ43" s="42"/>
    </row>
    <row r="44" ht="15.75" customHeight="1">
      <c r="A44" s="67" t="s">
        <v>172</v>
      </c>
      <c r="B44" s="155" t="str">
        <f>X12</f>
        <v>East Lyme HS - Team 1</v>
      </c>
      <c r="C44" s="72">
        <v>66.0</v>
      </c>
      <c r="D44" s="156" t="b">
        <v>1</v>
      </c>
      <c r="E44" s="157">
        <f>IF(D44=True, IF(C44&gt;C45,2,IF(C44=C45,1,0)),0)</f>
        <v>0</v>
      </c>
      <c r="F44" s="155" t="str">
        <f>B46</f>
        <v>Waterford HS - Team 2</v>
      </c>
      <c r="G44" s="72">
        <v>30.0</v>
      </c>
      <c r="H44" s="156" t="b">
        <v>1</v>
      </c>
      <c r="I44" s="157">
        <f>IF(H44=True, IF(G44&gt;G45,2,IF(G44=G45,1,0)),0)</f>
        <v>0</v>
      </c>
      <c r="J44" s="155" t="str">
        <f>F48</f>
        <v>East Lyme HS - Team 1</v>
      </c>
      <c r="K44" s="72">
        <v>122.0</v>
      </c>
      <c r="L44" s="156" t="b">
        <v>1</v>
      </c>
      <c r="M44" s="157">
        <f>IF(L44=True, IF(K44&gt;K45,2,IF(K44=K45,1,0)),0)</f>
        <v>2</v>
      </c>
      <c r="N44" s="155" t="str">
        <f>J49</f>
        <v>Loomis Chaffee - Team 1</v>
      </c>
      <c r="O44" s="72">
        <v>72.0</v>
      </c>
      <c r="P44" s="156" t="b">
        <v>1</v>
      </c>
      <c r="Q44" s="157">
        <f>IF(P44=True, IF(O44&gt;O45,2,IF(O44=O45,1,0)),0)</f>
        <v>0</v>
      </c>
      <c r="R44" s="155" t="str">
        <f>N48</f>
        <v>Trumbull HS - Team 1</v>
      </c>
      <c r="S44" s="72">
        <v>12.0</v>
      </c>
      <c r="T44" s="156" t="b">
        <v>1</v>
      </c>
      <c r="U44" s="157">
        <f>IF(T44=True, IF(S44&gt;S45,2,IF(S44=S45,1,0)),0)</f>
        <v>0</v>
      </c>
      <c r="V44" s="38"/>
      <c r="W44" s="73">
        <f t="shared" si="7"/>
        <v>37</v>
      </c>
      <c r="X44" s="74" t="s">
        <v>37</v>
      </c>
      <c r="Y44" s="138" t="s">
        <v>173</v>
      </c>
      <c r="Z44" s="76" t="str">
        <f t="shared" si="1"/>
        <v>Division 8 (Bernardo Houssay) - Canceled Division - Sorry!</v>
      </c>
      <c r="AA44" s="76">
        <f t="shared" si="2"/>
        <v>0</v>
      </c>
      <c r="AB44" s="76">
        <f t="shared" si="3"/>
        <v>0</v>
      </c>
      <c r="AC44" s="38"/>
      <c r="AD44" s="38"/>
      <c r="AE44" s="38"/>
      <c r="AF44" s="42"/>
      <c r="AG44" s="38"/>
      <c r="AH44" s="38"/>
      <c r="AI44" s="42"/>
      <c r="AJ44" s="42"/>
    </row>
    <row r="45" ht="15.75" customHeight="1">
      <c r="A45" s="42"/>
      <c r="B45" s="158" t="str">
        <f>X19</f>
        <v>Loomis Chaffee - Team 1</v>
      </c>
      <c r="C45" s="88">
        <v>100.0</v>
      </c>
      <c r="D45" s="159" t="b">
        <v>1</v>
      </c>
      <c r="E45" s="160">
        <f>IF(D45=True, IF(C45&gt;C44,2,IF(C45=C44,1,0)),0)</f>
        <v>2</v>
      </c>
      <c r="F45" s="158" t="str">
        <f>B49</f>
        <v>EO Smith HS - Team 2</v>
      </c>
      <c r="G45" s="88">
        <v>62.0</v>
      </c>
      <c r="H45" s="159" t="b">
        <v>1</v>
      </c>
      <c r="I45" s="160">
        <f>IF(H45=True, IF(G45&gt;G44,2,IF(G45=G44,1,0)),0)</f>
        <v>2</v>
      </c>
      <c r="J45" s="158" t="str">
        <f>F46</f>
        <v>Trumbull HS - Team 1</v>
      </c>
      <c r="K45" s="88">
        <v>36.0</v>
      </c>
      <c r="L45" s="159" t="b">
        <v>1</v>
      </c>
      <c r="M45" s="160">
        <f>IF(L45=True, IF(K45&gt;K44,2,IF(K45=K44,1,0)),0)</f>
        <v>0</v>
      </c>
      <c r="N45" s="158" t="str">
        <f>J47</f>
        <v>Univ HS Sci &amp; Eng</v>
      </c>
      <c r="O45" s="88">
        <v>74.0</v>
      </c>
      <c r="P45" s="159" t="b">
        <v>1</v>
      </c>
      <c r="Q45" s="160">
        <f>IF(P45=True, IF(O45&gt;O44,2,IF(O45=O44,1,0)),0)</f>
        <v>2</v>
      </c>
      <c r="R45" s="158" t="str">
        <f t="shared" ref="R45:R46" si="15">N45</f>
        <v>Univ HS Sci &amp; Eng</v>
      </c>
      <c r="S45" s="88">
        <v>90.0</v>
      </c>
      <c r="T45" s="159" t="b">
        <v>1</v>
      </c>
      <c r="U45" s="160">
        <f>IF(T45=True, IF(S45&gt;S44,2,IF(S45=S44,1,0)),0)</f>
        <v>2</v>
      </c>
      <c r="V45" s="38"/>
      <c r="W45" s="73">
        <f t="shared" si="7"/>
        <v>38</v>
      </c>
      <c r="X45" s="74" t="s">
        <v>73</v>
      </c>
      <c r="Y45" s="75" t="s">
        <v>27</v>
      </c>
      <c r="Z45" s="76" t="str">
        <f t="shared" si="1"/>
        <v>Division 6 (Guillermo Camarena)</v>
      </c>
      <c r="AA45" s="76">
        <f t="shared" si="2"/>
        <v>6</v>
      </c>
      <c r="AB45" s="76">
        <f t="shared" si="3"/>
        <v>458</v>
      </c>
      <c r="AC45" s="38"/>
      <c r="AD45" s="38"/>
      <c r="AE45" s="38"/>
      <c r="AF45" s="42"/>
      <c r="AG45" s="38"/>
      <c r="AH45" s="38"/>
      <c r="AI45" s="42"/>
      <c r="AJ45" s="42"/>
    </row>
    <row r="46" ht="15.75" customHeight="1">
      <c r="A46" s="67" t="s">
        <v>174</v>
      </c>
      <c r="B46" s="155" t="str">
        <f>X28</f>
        <v>Waterford HS - Team 2</v>
      </c>
      <c r="C46" s="72">
        <v>30.0</v>
      </c>
      <c r="D46" s="156" t="b">
        <v>1</v>
      </c>
      <c r="E46" s="161">
        <f>IF(D46=True, IF(C46&gt;C47,2,IF(C46=C47,1,0)),0)</f>
        <v>0</v>
      </c>
      <c r="F46" s="155" t="str">
        <f>B48</f>
        <v>Trumbull HS - Team 1</v>
      </c>
      <c r="G46" s="72">
        <v>30.0</v>
      </c>
      <c r="H46" s="156" t="b">
        <v>1</v>
      </c>
      <c r="I46" s="161">
        <f>IF(H46=True, IF(G46&gt;G47,2,IF(G46=G47,1,0)),0)</f>
        <v>0</v>
      </c>
      <c r="J46" s="155" t="str">
        <f>F45</f>
        <v>EO Smith HS - Team 2</v>
      </c>
      <c r="K46" s="72">
        <v>34.0</v>
      </c>
      <c r="L46" s="156" t="b">
        <v>1</v>
      </c>
      <c r="M46" s="161">
        <f>IF(L46=True, IF(K46&gt;K47,2,IF(K46=K47,1,0)),0)</f>
        <v>0</v>
      </c>
      <c r="N46" s="155" t="str">
        <f>J44</f>
        <v>East Lyme HS - Team 1</v>
      </c>
      <c r="O46" s="72">
        <v>56.0</v>
      </c>
      <c r="P46" s="156" t="b">
        <v>1</v>
      </c>
      <c r="Q46" s="161">
        <f>IF(P46=True, IF(O46&gt;O47,2,IF(O46=O47,1,0)),0)</f>
        <v>0</v>
      </c>
      <c r="R46" s="155" t="str">
        <f t="shared" si="15"/>
        <v>East Lyme HS - Team 1</v>
      </c>
      <c r="S46" s="72">
        <v>120.0</v>
      </c>
      <c r="T46" s="156" t="b">
        <v>1</v>
      </c>
      <c r="U46" s="161">
        <f>IF(T46=True, IF(S46&gt;S47,2,IF(S46=S47,1,0)),0)</f>
        <v>2</v>
      </c>
      <c r="V46" s="38"/>
      <c r="W46" s="73">
        <f t="shared" si="7"/>
        <v>39</v>
      </c>
      <c r="X46" s="74" t="s">
        <v>38</v>
      </c>
      <c r="Y46" s="75" t="s">
        <v>28</v>
      </c>
      <c r="Z46" s="76" t="str">
        <f t="shared" si="1"/>
        <v>Division 3 (Silas Adekunle)</v>
      </c>
      <c r="AA46" s="76">
        <f t="shared" si="2"/>
        <v>6</v>
      </c>
      <c r="AB46" s="76">
        <f t="shared" si="3"/>
        <v>328</v>
      </c>
      <c r="AC46" s="38"/>
      <c r="AD46" s="38"/>
      <c r="AE46" s="38"/>
      <c r="AF46" s="42"/>
      <c r="AG46" s="38"/>
      <c r="AH46" s="38"/>
      <c r="AI46" s="42"/>
      <c r="AJ46" s="42"/>
    </row>
    <row r="47" ht="15.75" customHeight="1">
      <c r="A47" s="42"/>
      <c r="B47" s="158" t="str">
        <f>X35</f>
        <v>Univ HS Sci &amp; Eng</v>
      </c>
      <c r="C47" s="88">
        <v>94.0</v>
      </c>
      <c r="D47" s="159" t="b">
        <v>1</v>
      </c>
      <c r="E47" s="162">
        <f>IF(D47=True, IF(C47&gt;C46,2,IF(C47=C46,1,0)),0)</f>
        <v>2</v>
      </c>
      <c r="F47" s="158" t="str">
        <f>B45</f>
        <v>Loomis Chaffee - Team 1</v>
      </c>
      <c r="G47" s="88">
        <v>116.0</v>
      </c>
      <c r="H47" s="159" t="b">
        <v>1</v>
      </c>
      <c r="I47" s="162">
        <f>IF(H47=True, IF(G47&gt;G46,2,IF(G47=G46,1,0)),0)</f>
        <v>2</v>
      </c>
      <c r="J47" s="158" t="str">
        <f>F49</f>
        <v>Univ HS Sci &amp; Eng</v>
      </c>
      <c r="K47" s="88">
        <v>46.0</v>
      </c>
      <c r="L47" s="159" t="b">
        <v>1</v>
      </c>
      <c r="M47" s="162">
        <f>IF(L47=True, IF(K47&gt;K46,2,IF(K47=K46,1,0)),0)</f>
        <v>2</v>
      </c>
      <c r="N47" s="158" t="str">
        <f>J46</f>
        <v>EO Smith HS - Team 2</v>
      </c>
      <c r="O47" s="88">
        <v>76.0</v>
      </c>
      <c r="P47" s="159" t="b">
        <v>1</v>
      </c>
      <c r="Q47" s="162">
        <f>IF(P47=True, IF(O47&gt;O46,2,IF(O47=O46,1,0)),0)</f>
        <v>2</v>
      </c>
      <c r="R47" s="158" t="str">
        <f>N49</f>
        <v>Waterford HS - Team 2</v>
      </c>
      <c r="S47" s="88">
        <v>12.0</v>
      </c>
      <c r="T47" s="159" t="b">
        <v>1</v>
      </c>
      <c r="U47" s="162">
        <f>IF(T47=True, IF(S47&gt;S46,2,IF(S47=S46,1,0)),0)</f>
        <v>0</v>
      </c>
      <c r="V47" s="38"/>
      <c r="W47" s="73">
        <f t="shared" si="7"/>
        <v>40</v>
      </c>
      <c r="X47" s="74" t="s">
        <v>173</v>
      </c>
      <c r="Y47" s="75" t="s">
        <v>29</v>
      </c>
      <c r="Z47" s="76" t="str">
        <f t="shared" si="1"/>
        <v>Division 7 (Irene Uchida)</v>
      </c>
      <c r="AA47" s="76">
        <f t="shared" si="2"/>
        <v>2</v>
      </c>
      <c r="AB47" s="76">
        <f t="shared" si="3"/>
        <v>214</v>
      </c>
      <c r="AC47" s="38"/>
      <c r="AD47" s="38"/>
      <c r="AE47" s="38"/>
      <c r="AF47" s="42"/>
      <c r="AG47" s="38"/>
      <c r="AH47" s="38"/>
      <c r="AI47" s="42"/>
      <c r="AJ47" s="42"/>
    </row>
    <row r="48" ht="15.75" customHeight="1">
      <c r="A48" s="67" t="s">
        <v>175</v>
      </c>
      <c r="B48" s="155" t="str">
        <f>X44</f>
        <v>Trumbull HS - Team 1</v>
      </c>
      <c r="C48" s="72">
        <v>16.0</v>
      </c>
      <c r="D48" s="156" t="b">
        <v>1</v>
      </c>
      <c r="E48" s="157">
        <f>IF(D48=True, IF(C48&gt;C49,2,IF(C48=C49,1,0)),0)</f>
        <v>0</v>
      </c>
      <c r="F48" s="155" t="str">
        <f>B44</f>
        <v>East Lyme HS - Team 1</v>
      </c>
      <c r="G48" s="72">
        <v>58.0</v>
      </c>
      <c r="H48" s="156" t="b">
        <v>1</v>
      </c>
      <c r="I48" s="157">
        <f>IF(H48=True, IF(G48&gt;G49,2,IF(G48=G49,1,0)),0)</f>
        <v>0</v>
      </c>
      <c r="J48" s="155" t="str">
        <f>F44</f>
        <v>Waterford HS - Team 2</v>
      </c>
      <c r="K48" s="72">
        <v>46.0</v>
      </c>
      <c r="L48" s="156" t="b">
        <v>1</v>
      </c>
      <c r="M48" s="157">
        <f>IF(L48=True, IF(K48&gt;K49,2,IF(K48=K49,1,0)),0)</f>
        <v>0</v>
      </c>
      <c r="N48" s="155" t="str">
        <f>J45</f>
        <v>Trumbull HS - Team 1</v>
      </c>
      <c r="O48" s="72">
        <v>20.0</v>
      </c>
      <c r="P48" s="156" t="b">
        <v>1</v>
      </c>
      <c r="Q48" s="157">
        <f>IF(P48=True, IF(O48&gt;O49,2,IF(O48=O49,1,0)),0)</f>
        <v>0</v>
      </c>
      <c r="R48" s="155" t="str">
        <f>N47</f>
        <v>EO Smith HS - Team 2</v>
      </c>
      <c r="S48" s="72">
        <v>30.0</v>
      </c>
      <c r="T48" s="156" t="b">
        <v>1</v>
      </c>
      <c r="U48" s="157">
        <f>IF(T48=True, IF(S48&gt;S49,2,IF(S48=S49,1,0)),0)</f>
        <v>0</v>
      </c>
      <c r="V48" s="38"/>
      <c r="W48" s="73">
        <f t="shared" si="7"/>
        <v>41</v>
      </c>
      <c r="X48" s="163" t="s">
        <v>166</v>
      </c>
      <c r="Y48" s="75" t="s">
        <v>30</v>
      </c>
      <c r="Z48" s="76" t="str">
        <f t="shared" si="1"/>
        <v>Division 2 (Marian Croak)</v>
      </c>
      <c r="AA48" s="76">
        <f t="shared" si="2"/>
        <v>8</v>
      </c>
      <c r="AB48" s="76">
        <f t="shared" si="3"/>
        <v>346</v>
      </c>
      <c r="AC48" s="38"/>
      <c r="AD48" s="38"/>
      <c r="AE48" s="38"/>
      <c r="AF48" s="42"/>
      <c r="AG48" s="38"/>
      <c r="AH48" s="38"/>
      <c r="AI48" s="42"/>
      <c r="AJ48" s="42"/>
    </row>
    <row r="49" ht="15.75" customHeight="1">
      <c r="A49" s="42"/>
      <c r="B49" s="164" t="str">
        <f>X51</f>
        <v>EO Smith HS - Team 2</v>
      </c>
      <c r="C49" s="88">
        <v>96.0</v>
      </c>
      <c r="D49" s="165" t="b">
        <v>1</v>
      </c>
      <c r="E49" s="160">
        <f>IF(D49=True, IF(C49&gt;C48,2,IF(C49=C48,1,0)),0)</f>
        <v>2</v>
      </c>
      <c r="F49" s="164" t="str">
        <f>B47</f>
        <v>Univ HS Sci &amp; Eng</v>
      </c>
      <c r="G49" s="88">
        <v>68.0</v>
      </c>
      <c r="H49" s="165" t="b">
        <v>1</v>
      </c>
      <c r="I49" s="160">
        <f>IF(H49=True, IF(G49&gt;G48,2,IF(G49=G48,1,0)),0)</f>
        <v>2</v>
      </c>
      <c r="J49" s="164" t="str">
        <f>F47</f>
        <v>Loomis Chaffee - Team 1</v>
      </c>
      <c r="K49" s="88">
        <v>52.0</v>
      </c>
      <c r="L49" s="165" t="b">
        <v>1</v>
      </c>
      <c r="M49" s="160">
        <f>IF(L49=True, IF(K49&gt;K48,2,IF(K49=K48,1,0)),0)</f>
        <v>2</v>
      </c>
      <c r="N49" s="164" t="str">
        <f>J48</f>
        <v>Waterford HS - Team 2</v>
      </c>
      <c r="O49" s="88">
        <v>50.0</v>
      </c>
      <c r="P49" s="165" t="b">
        <v>1</v>
      </c>
      <c r="Q49" s="160">
        <f>IF(P49=True, IF(O49&gt;O48,2,IF(O49=O48,1,0)),0)</f>
        <v>2</v>
      </c>
      <c r="R49" s="164" t="str">
        <f>N44</f>
        <v>Loomis Chaffee - Team 1</v>
      </c>
      <c r="S49" s="88">
        <v>128.0</v>
      </c>
      <c r="T49" s="165" t="b">
        <v>1</v>
      </c>
      <c r="U49" s="160">
        <f>IF(T49=True, IF(S49&gt;S48,2,IF(S49=S48,1,0)),0)</f>
        <v>2</v>
      </c>
      <c r="V49" s="38"/>
      <c r="W49" s="73">
        <f t="shared" si="7"/>
        <v>42</v>
      </c>
      <c r="X49" s="74" t="s">
        <v>29</v>
      </c>
      <c r="Y49" s="75" t="s">
        <v>31</v>
      </c>
      <c r="Z49" s="76" t="str">
        <f t="shared" si="1"/>
        <v>Division 1 (Temple Grandin)</v>
      </c>
      <c r="AA49" s="76">
        <f t="shared" si="2"/>
        <v>8</v>
      </c>
      <c r="AB49" s="76">
        <f t="shared" si="3"/>
        <v>606</v>
      </c>
      <c r="AC49" s="38"/>
      <c r="AD49" s="38"/>
      <c r="AE49" s="38"/>
      <c r="AF49" s="42"/>
      <c r="AG49" s="38"/>
      <c r="AH49" s="38"/>
      <c r="AI49" s="42"/>
      <c r="AJ49" s="42"/>
    </row>
    <row r="50" ht="15.75" customHeight="1">
      <c r="A50" s="42"/>
      <c r="B50" s="166" t="s">
        <v>176</v>
      </c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7"/>
      <c r="V50" s="38"/>
      <c r="W50" s="73">
        <f t="shared" si="7"/>
        <v>43</v>
      </c>
      <c r="X50" s="74" t="s">
        <v>159</v>
      </c>
      <c r="Y50" s="75" t="s">
        <v>32</v>
      </c>
      <c r="Z50" s="76" t="str">
        <f t="shared" si="1"/>
        <v>Division 2 (Marian Croak)</v>
      </c>
      <c r="AA50" s="76">
        <f t="shared" si="2"/>
        <v>4</v>
      </c>
      <c r="AB50" s="76">
        <f t="shared" si="3"/>
        <v>162</v>
      </c>
      <c r="AC50" s="38"/>
      <c r="AD50" s="38"/>
      <c r="AE50" s="38"/>
      <c r="AF50" s="42"/>
      <c r="AG50" s="38"/>
      <c r="AH50" s="38"/>
      <c r="AI50" s="42"/>
      <c r="AJ50" s="42"/>
    </row>
    <row r="51" ht="15.75" customHeight="1">
      <c r="A51" s="167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5"/>
      <c r="W51" s="73">
        <f t="shared" si="7"/>
        <v>44</v>
      </c>
      <c r="X51" s="74" t="s">
        <v>9</v>
      </c>
      <c r="Y51" s="75" t="s">
        <v>37</v>
      </c>
      <c r="Z51" s="76" t="str">
        <f t="shared" si="1"/>
        <v>Division 5 (Ursula Burns)</v>
      </c>
      <c r="AA51" s="76">
        <f t="shared" si="2"/>
        <v>0</v>
      </c>
      <c r="AB51" s="76">
        <f t="shared" si="3"/>
        <v>114</v>
      </c>
    </row>
    <row r="52" ht="15.75" customHeight="1">
      <c r="A52" s="167"/>
      <c r="B52" s="168" t="s">
        <v>124</v>
      </c>
      <c r="C52" s="169" t="s">
        <v>125</v>
      </c>
      <c r="D52" s="169" t="s">
        <v>126</v>
      </c>
      <c r="E52" s="170" t="s">
        <v>127</v>
      </c>
      <c r="F52" s="168" t="s">
        <v>124</v>
      </c>
      <c r="G52" s="169" t="s">
        <v>125</v>
      </c>
      <c r="H52" s="169" t="s">
        <v>126</v>
      </c>
      <c r="I52" s="170" t="s">
        <v>127</v>
      </c>
      <c r="J52" s="168" t="s">
        <v>124</v>
      </c>
      <c r="K52" s="169" t="s">
        <v>125</v>
      </c>
      <c r="L52" s="169" t="s">
        <v>126</v>
      </c>
      <c r="M52" s="170" t="s">
        <v>127</v>
      </c>
      <c r="N52" s="168" t="s">
        <v>124</v>
      </c>
      <c r="O52" s="169" t="s">
        <v>125</v>
      </c>
      <c r="P52" s="169" t="s">
        <v>126</v>
      </c>
      <c r="Q52" s="170" t="s">
        <v>127</v>
      </c>
      <c r="R52" s="168" t="s">
        <v>124</v>
      </c>
      <c r="S52" s="169" t="s">
        <v>125</v>
      </c>
      <c r="T52" s="169" t="s">
        <v>126</v>
      </c>
      <c r="U52" s="170" t="s">
        <v>127</v>
      </c>
      <c r="W52" s="73">
        <f t="shared" si="7"/>
        <v>45</v>
      </c>
      <c r="X52" s="74" t="s">
        <v>21</v>
      </c>
      <c r="Y52" s="75" t="s">
        <v>38</v>
      </c>
      <c r="Z52" s="76" t="str">
        <f t="shared" si="1"/>
        <v>Division 7 (Irene Uchida)</v>
      </c>
      <c r="AA52" s="76">
        <f t="shared" si="2"/>
        <v>4</v>
      </c>
      <c r="AB52" s="76">
        <f t="shared" si="3"/>
        <v>238</v>
      </c>
    </row>
    <row r="53" ht="15.75" customHeight="1">
      <c r="A53" s="171" t="s">
        <v>177</v>
      </c>
      <c r="B53" s="172" t="str">
        <f>X13</f>
        <v>Rocky Hill HS - Team 1</v>
      </c>
      <c r="C53" s="72">
        <v>66.0</v>
      </c>
      <c r="D53" s="173" t="b">
        <v>1</v>
      </c>
      <c r="E53" s="174">
        <f>IF(D53=True, IF(C53&gt;C54,2,IF(C53=C54,1,0)),0)</f>
        <v>0</v>
      </c>
      <c r="F53" s="172" t="str">
        <f>B55</f>
        <v>Farmington HS - Team 2</v>
      </c>
      <c r="G53" s="72">
        <v>136.0</v>
      </c>
      <c r="H53" s="173" t="b">
        <v>1</v>
      </c>
      <c r="I53" s="174">
        <f>IF(H53=True, IF(G53&gt;G54,2,IF(G53=G54,1,0)),0)</f>
        <v>2</v>
      </c>
      <c r="J53" s="172" t="str">
        <f>F57</f>
        <v>Rocky Hill HS - Team 1</v>
      </c>
      <c r="K53" s="72">
        <v>88.0</v>
      </c>
      <c r="L53" s="173" t="b">
        <v>1</v>
      </c>
      <c r="M53" s="174">
        <f>IF(L53=True, IF(K53&gt;K54,2,IF(K53=K54,1,0)),0)</f>
        <v>2</v>
      </c>
      <c r="N53" s="172" t="str">
        <f>J58</f>
        <v>New Canaan HS - Team 1</v>
      </c>
      <c r="O53" s="72">
        <v>72.0</v>
      </c>
      <c r="P53" s="173" t="b">
        <v>1</v>
      </c>
      <c r="Q53" s="174">
        <f>IF(P53=True, IF(O53&gt;O54,2,IF(O53=O54,1,0)),0)</f>
        <v>2</v>
      </c>
      <c r="R53" s="172" t="str">
        <f>N57</f>
        <v>Newtown HS</v>
      </c>
      <c r="S53" s="72">
        <v>114.0</v>
      </c>
      <c r="T53" s="173" t="b">
        <v>1</v>
      </c>
      <c r="U53" s="174">
        <f>IF(T53=True, IF(S53&gt;S54,2,IF(S53=S54,1,0)),0)</f>
        <v>2</v>
      </c>
      <c r="W53" s="73">
        <f t="shared" si="7"/>
        <v>46</v>
      </c>
      <c r="X53" s="74" t="s">
        <v>11</v>
      </c>
      <c r="Y53" s="75" t="s">
        <v>168</v>
      </c>
      <c r="Z53" s="76" t="str">
        <f t="shared" si="1"/>
        <v>Division 5 (Ursula Burns)</v>
      </c>
      <c r="AA53" s="76">
        <f t="shared" si="2"/>
        <v>10</v>
      </c>
      <c r="AB53" s="76">
        <f t="shared" si="3"/>
        <v>372</v>
      </c>
    </row>
    <row r="54" ht="15.75" customHeight="1">
      <c r="A54" s="167"/>
      <c r="B54" s="175" t="str">
        <f>X18</f>
        <v>New Canaan HS - Team 1</v>
      </c>
      <c r="C54" s="88">
        <v>78.0</v>
      </c>
      <c r="D54" s="176" t="b">
        <v>1</v>
      </c>
      <c r="E54" s="177">
        <f>IF(D54=True, IF(C54&gt;C53,2,IF(C54=C53,1,0)),0)</f>
        <v>2</v>
      </c>
      <c r="F54" s="175" t="str">
        <f>B58</f>
        <v>Fairfield Warde HS - Team 2</v>
      </c>
      <c r="G54" s="88">
        <v>8.0</v>
      </c>
      <c r="H54" s="176" t="b">
        <v>1</v>
      </c>
      <c r="I54" s="177">
        <f>IF(H54=True, IF(G54&gt;G53,2,IF(G54=G53,1,0)),0)</f>
        <v>0</v>
      </c>
      <c r="J54" s="175" t="str">
        <f>F55</f>
        <v>Newtown HS</v>
      </c>
      <c r="K54" s="88">
        <v>44.0</v>
      </c>
      <c r="L54" s="176" t="b">
        <v>1</v>
      </c>
      <c r="M54" s="177">
        <f>IF(L54=True, IF(K54&gt;K53,2,IF(K54=K53,1,0)),0)</f>
        <v>0</v>
      </c>
      <c r="N54" s="175" t="str">
        <f>J56</f>
        <v>Enfield HS - Team 2</v>
      </c>
      <c r="O54" s="88">
        <v>38.0</v>
      </c>
      <c r="P54" s="176" t="b">
        <v>1</v>
      </c>
      <c r="Q54" s="177">
        <f>IF(P54=True, IF(O54&gt;O53,2,IF(O54=O53,1,0)),0)</f>
        <v>0</v>
      </c>
      <c r="R54" s="175" t="str">
        <f t="shared" ref="R54:R55" si="16">N54</f>
        <v>Enfield HS - Team 2</v>
      </c>
      <c r="S54" s="88">
        <v>34.0</v>
      </c>
      <c r="T54" s="176" t="b">
        <v>1</v>
      </c>
      <c r="U54" s="177">
        <f>IF(T54=True, IF(S54&gt;S53,2,IF(S54=S53,1,0)),0)</f>
        <v>0</v>
      </c>
      <c r="W54" s="73">
        <f t="shared" si="7"/>
        <v>47</v>
      </c>
      <c r="X54" s="74" t="s">
        <v>32</v>
      </c>
      <c r="Y54" s="75" t="s">
        <v>41</v>
      </c>
      <c r="Z54" s="76" t="str">
        <f t="shared" si="1"/>
        <v>Division 2 (Marian Croak)</v>
      </c>
      <c r="AA54" s="76">
        <f t="shared" si="2"/>
        <v>10</v>
      </c>
      <c r="AB54" s="76">
        <f t="shared" si="3"/>
        <v>762</v>
      </c>
    </row>
    <row r="55" ht="15.75" customHeight="1">
      <c r="A55" s="171" t="s">
        <v>178</v>
      </c>
      <c r="B55" s="172" t="str">
        <f>X29</f>
        <v>Farmington HS - Team 2</v>
      </c>
      <c r="C55" s="72">
        <v>90.0</v>
      </c>
      <c r="D55" s="173" t="b">
        <v>1</v>
      </c>
      <c r="E55" s="178">
        <f>IF(D55=True, IF(C55&gt;C56,2,IF(C55=C56,1,0)),0)</f>
        <v>2</v>
      </c>
      <c r="F55" s="172" t="str">
        <f>B57</f>
        <v>Newtown HS</v>
      </c>
      <c r="G55" s="72">
        <v>20.0</v>
      </c>
      <c r="H55" s="173" t="b">
        <v>1</v>
      </c>
      <c r="I55" s="178">
        <f>IF(H55=True, IF(G55&gt;G56,2,IF(G55=G56,1,0)),0)</f>
        <v>0</v>
      </c>
      <c r="J55" s="172" t="str">
        <f>F54</f>
        <v>Fairfield Warde HS - Team 2</v>
      </c>
      <c r="K55" s="72">
        <v>44.0</v>
      </c>
      <c r="L55" s="173" t="b">
        <v>1</v>
      </c>
      <c r="M55" s="178">
        <f>IF(L55=True, IF(K55&gt;K56,2,IF(K55=K56,1,0)),0)</f>
        <v>0</v>
      </c>
      <c r="N55" s="172" t="str">
        <f>J53</f>
        <v>Rocky Hill HS - Team 1</v>
      </c>
      <c r="O55" s="72">
        <v>106.0</v>
      </c>
      <c r="P55" s="173" t="b">
        <v>1</v>
      </c>
      <c r="Q55" s="178">
        <f>IF(P55=True, IF(O55&gt;O56,2,IF(O55=O56,1,0)),0)</f>
        <v>2</v>
      </c>
      <c r="R55" s="172" t="str">
        <f t="shared" si="16"/>
        <v>Rocky Hill HS - Team 1</v>
      </c>
      <c r="S55" s="72">
        <v>72.0</v>
      </c>
      <c r="T55" s="173" t="b">
        <v>1</v>
      </c>
      <c r="U55" s="178">
        <f>IF(T55=True, IF(S55&gt;S56,2,IF(S55=S56,1,0)),0)</f>
        <v>0</v>
      </c>
      <c r="W55" s="73">
        <f t="shared" si="7"/>
        <v>48</v>
      </c>
      <c r="X55" s="74" t="s">
        <v>144</v>
      </c>
      <c r="Y55" s="75" t="s">
        <v>42</v>
      </c>
      <c r="Z55" s="76" t="str">
        <f t="shared" si="1"/>
        <v>Division 5 (Ursula Burns)</v>
      </c>
      <c r="AA55" s="76">
        <f t="shared" si="2"/>
        <v>2</v>
      </c>
      <c r="AB55" s="76">
        <f t="shared" si="3"/>
        <v>168</v>
      </c>
    </row>
    <row r="56" ht="15.75" customHeight="1">
      <c r="A56" s="167"/>
      <c r="B56" s="175" t="str">
        <f>X34</f>
        <v>Enfield HS - Team 2</v>
      </c>
      <c r="C56" s="88">
        <v>16.0</v>
      </c>
      <c r="D56" s="176" t="b">
        <v>1</v>
      </c>
      <c r="E56" s="177">
        <f>IF(D56=True, IF(C56&gt;C55,2,IF(C56=C55,1,0)),0)</f>
        <v>0</v>
      </c>
      <c r="F56" s="175" t="str">
        <f>B54</f>
        <v>New Canaan HS - Team 1</v>
      </c>
      <c r="G56" s="88">
        <v>90.0</v>
      </c>
      <c r="H56" s="176" t="b">
        <v>1</v>
      </c>
      <c r="I56" s="177">
        <f>IF(H56=True, IF(G56&gt;G55,2,IF(G56=G55,1,0)),0)</f>
        <v>2</v>
      </c>
      <c r="J56" s="175" t="str">
        <f>F58</f>
        <v>Enfield HS - Team 2</v>
      </c>
      <c r="K56" s="88">
        <v>48.0</v>
      </c>
      <c r="L56" s="176" t="b">
        <v>1</v>
      </c>
      <c r="M56" s="177">
        <f>IF(L56=True, IF(K56&gt;K55,2,IF(K56=K55,1,0)),0)</f>
        <v>2</v>
      </c>
      <c r="N56" s="175" t="str">
        <f>J55</f>
        <v>Fairfield Warde HS - Team 2</v>
      </c>
      <c r="O56" s="88">
        <v>28.0</v>
      </c>
      <c r="P56" s="176" t="b">
        <v>1</v>
      </c>
      <c r="Q56" s="177">
        <f>IF(P56=True, IF(O56&gt;O55,2,IF(O56=O55,1,0)),0)</f>
        <v>0</v>
      </c>
      <c r="R56" s="175" t="str">
        <f>N58</f>
        <v>Farmington HS - Team 2</v>
      </c>
      <c r="S56" s="88">
        <v>132.0</v>
      </c>
      <c r="T56" s="176" t="b">
        <v>1</v>
      </c>
      <c r="U56" s="177">
        <f>IF(T56=True, IF(S56&gt;S55,2,IF(S56=S55,1,0)),0)</f>
        <v>2</v>
      </c>
      <c r="W56" s="73"/>
    </row>
    <row r="57" ht="15.75" customHeight="1">
      <c r="A57" s="171" t="s">
        <v>179</v>
      </c>
      <c r="B57" s="172" t="str">
        <f>X45</f>
        <v>Newtown HS</v>
      </c>
      <c r="C57" s="72">
        <v>62.0</v>
      </c>
      <c r="D57" s="173" t="b">
        <v>1</v>
      </c>
      <c r="E57" s="178">
        <f>IF(D57=True, IF(C57&gt;C58,2,IF(C57=C58,1,0)),0)</f>
        <v>2</v>
      </c>
      <c r="F57" s="172" t="str">
        <f>B53</f>
        <v>Rocky Hill HS - Team 1</v>
      </c>
      <c r="G57" s="72">
        <v>126.0</v>
      </c>
      <c r="H57" s="173" t="b">
        <v>1</v>
      </c>
      <c r="I57" s="178">
        <f>IF(H57=True, IF(G57&gt;G58,2,IF(G57=G58,1,0)),0)</f>
        <v>2</v>
      </c>
      <c r="J57" s="172" t="str">
        <f>F53</f>
        <v>Farmington HS - Team 2</v>
      </c>
      <c r="K57" s="72">
        <v>100.0</v>
      </c>
      <c r="L57" s="173" t="b">
        <v>1</v>
      </c>
      <c r="M57" s="178">
        <f>IF(L57=True, IF(K57&gt;K58,2,IF(K57=K58,1,0)),0)</f>
        <v>2</v>
      </c>
      <c r="N57" s="172" t="str">
        <f>J54</f>
        <v>Newtown HS</v>
      </c>
      <c r="O57" s="72">
        <v>66.0</v>
      </c>
      <c r="P57" s="173" t="b">
        <v>1</v>
      </c>
      <c r="Q57" s="178">
        <f>IF(P57=True, IF(O57&gt;O58,2,IF(O57=O58,1,0)),0)</f>
        <v>2</v>
      </c>
      <c r="R57" s="172" t="str">
        <f>N56</f>
        <v>Fairfield Warde HS - Team 2</v>
      </c>
      <c r="S57" s="72">
        <v>54.0</v>
      </c>
      <c r="T57" s="173" t="b">
        <v>1</v>
      </c>
      <c r="U57" s="178">
        <f>IF(T57=True, IF(S57&gt;S58,2,IF(S57=S58,1,0)),0)</f>
        <v>0</v>
      </c>
      <c r="W57" s="73"/>
    </row>
    <row r="58" ht="15.75" customHeight="1">
      <c r="A58" s="167"/>
      <c r="B58" s="175" t="str">
        <f>X50</f>
        <v>Fairfield Warde HS - Team 2</v>
      </c>
      <c r="C58" s="88">
        <v>12.0</v>
      </c>
      <c r="D58" s="176" t="b">
        <v>1</v>
      </c>
      <c r="E58" s="179">
        <f>IF(D58=True, IF(C58&gt;C57,2,IF(C58=C57,1,0)),0)</f>
        <v>0</v>
      </c>
      <c r="F58" s="175" t="str">
        <f>B56</f>
        <v>Enfield HS - Team 2</v>
      </c>
      <c r="G58" s="88">
        <v>22.0</v>
      </c>
      <c r="H58" s="176" t="b">
        <v>1</v>
      </c>
      <c r="I58" s="179">
        <f>IF(H58=True, IF(G58&gt;G57,2,IF(G58=G57,1,0)),0)</f>
        <v>0</v>
      </c>
      <c r="J58" s="175" t="str">
        <f>F56</f>
        <v>New Canaan HS - Team 1</v>
      </c>
      <c r="K58" s="88">
        <v>76.0</v>
      </c>
      <c r="L58" s="176" t="b">
        <v>1</v>
      </c>
      <c r="M58" s="179">
        <f>IF(L58=True, IF(K58&gt;K57,2,IF(K58=K57,1,0)),0)</f>
        <v>0</v>
      </c>
      <c r="N58" s="175" t="str">
        <f>J57</f>
        <v>Farmington HS - Team 2</v>
      </c>
      <c r="O58" s="88">
        <v>50.0</v>
      </c>
      <c r="P58" s="176" t="b">
        <v>1</v>
      </c>
      <c r="Q58" s="179">
        <f>IF(P58=True, IF(O58&gt;O57,2,IF(O58=O57,1,0)),0)</f>
        <v>0</v>
      </c>
      <c r="R58" s="175" t="str">
        <f>N53</f>
        <v>New Canaan HS - Team 1</v>
      </c>
      <c r="S58" s="88">
        <v>90.0</v>
      </c>
      <c r="T58" s="176" t="b">
        <v>1</v>
      </c>
      <c r="U58" s="179">
        <f>IF(T58=True, IF(S58&gt;S57,2,IF(S58=S57,1,0)),0)</f>
        <v>2</v>
      </c>
    </row>
    <row r="59" ht="15.75" customHeight="1">
      <c r="A59" s="167"/>
      <c r="B59" s="180" t="s">
        <v>180</v>
      </c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7"/>
    </row>
    <row r="60" ht="15.75" customHeight="1">
      <c r="A60" s="167"/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5"/>
    </row>
    <row r="61" ht="15.75" customHeight="1">
      <c r="A61" s="167"/>
      <c r="B61" s="181" t="s">
        <v>124</v>
      </c>
      <c r="C61" s="182" t="s">
        <v>125</v>
      </c>
      <c r="D61" s="182" t="s">
        <v>126</v>
      </c>
      <c r="E61" s="183" t="s">
        <v>127</v>
      </c>
      <c r="F61" s="181" t="s">
        <v>124</v>
      </c>
      <c r="G61" s="182" t="s">
        <v>125</v>
      </c>
      <c r="H61" s="182" t="s">
        <v>126</v>
      </c>
      <c r="I61" s="183" t="s">
        <v>127</v>
      </c>
      <c r="J61" s="181" t="s">
        <v>124</v>
      </c>
      <c r="K61" s="182" t="s">
        <v>125</v>
      </c>
      <c r="L61" s="182" t="s">
        <v>126</v>
      </c>
      <c r="M61" s="183" t="s">
        <v>127</v>
      </c>
      <c r="N61" s="181" t="s">
        <v>124</v>
      </c>
      <c r="O61" s="182" t="s">
        <v>125</v>
      </c>
      <c r="P61" s="182" t="s">
        <v>126</v>
      </c>
      <c r="Q61" s="183" t="s">
        <v>127</v>
      </c>
      <c r="R61" s="181" t="s">
        <v>124</v>
      </c>
      <c r="S61" s="182" t="s">
        <v>125</v>
      </c>
      <c r="T61" s="182" t="s">
        <v>126</v>
      </c>
      <c r="U61" s="183" t="s">
        <v>127</v>
      </c>
    </row>
    <row r="62" ht="15.75" customHeight="1">
      <c r="A62" s="184" t="s">
        <v>181</v>
      </c>
      <c r="B62" s="185" t="str">
        <f>X14</f>
        <v>Choate Rosemary Hall</v>
      </c>
      <c r="C62" s="186">
        <f>if('CT RR Calculations (Private)'!$AC$1="Blank",34,randbetween(1,75))</f>
        <v>34</v>
      </c>
      <c r="D62" s="187" t="b">
        <v>1</v>
      </c>
      <c r="E62" s="188">
        <f>IF(D62=True, IF(C62&gt;C63,2,IF(C62=C63,1,0)),0)</f>
        <v>0</v>
      </c>
      <c r="F62" s="185" t="str">
        <f>B64</f>
        <v>Greenwich HS - Team 2</v>
      </c>
      <c r="G62" s="186">
        <f>if('CT RR Calculations (Private)'!$AC$1="Blank",80,randbetween(1,75))</f>
        <v>80</v>
      </c>
      <c r="H62" s="187" t="b">
        <v>1</v>
      </c>
      <c r="I62" s="188">
        <f>IF(H62=True, IF(G62&gt;G63,2,IF(G62=G63,1,0)),0)</f>
        <v>2</v>
      </c>
      <c r="J62" s="185" t="str">
        <f>F66</f>
        <v>Choate Rosemary Hall</v>
      </c>
      <c r="K62" s="186">
        <f>if('CT RR Calculations (Private)'!$AC$1="Blank",70,randbetween(1,75))</f>
        <v>70</v>
      </c>
      <c r="L62" s="187" t="b">
        <v>1</v>
      </c>
      <c r="M62" s="188">
        <f>IF(L62=True, IF(K62&gt;K63,2,IF(K62=K63,1,0)),0)</f>
        <v>2</v>
      </c>
      <c r="N62" s="185" t="str">
        <f>J67</f>
        <v>New Canaan HS - Team 3</v>
      </c>
      <c r="O62" s="186">
        <f>if('CT RR Calculations (Private)'!$AC$1="Blank",62,randbetween(1,75))</f>
        <v>62</v>
      </c>
      <c r="P62" s="187" t="b">
        <v>1</v>
      </c>
      <c r="Q62" s="188">
        <f>IF(P62=True, IF(O62&gt;O63,2,IF(O62=O63,1,0)),0)</f>
        <v>2</v>
      </c>
      <c r="R62" s="185" t="str">
        <f>N66</f>
        <v>Trumbull HS - Team 2</v>
      </c>
      <c r="S62" s="186">
        <f>if('CT RR Calculations (Private)'!$AC$1="Blank",66,randbetween(1,75))</f>
        <v>66</v>
      </c>
      <c r="T62" s="187" t="b">
        <v>1</v>
      </c>
      <c r="U62" s="188">
        <f>IF(T62=True, IF(S62&gt;S63,2,IF(S62=S63,1,0)),0)</f>
        <v>2</v>
      </c>
    </row>
    <row r="63" ht="15.75" customHeight="1">
      <c r="A63" s="189"/>
      <c r="B63" s="190" t="str">
        <f>X17</f>
        <v>New Canaan HS - Team 3</v>
      </c>
      <c r="C63" s="191">
        <f>if('CT RR Calculations (Private)'!$AC$1="Blank",38,randbetween(1,75))</f>
        <v>38</v>
      </c>
      <c r="D63" s="192" t="b">
        <v>1</v>
      </c>
      <c r="E63" s="193">
        <f>IF(D63=True, IF(C63&gt;C62,2,IF(C63=C62,1,0)),0)</f>
        <v>2</v>
      </c>
      <c r="F63" s="190" t="str">
        <f>B67</f>
        <v>South Windsor HS - Team 1</v>
      </c>
      <c r="G63" s="191">
        <f>if('CT RR Calculations (Private)'!$AC$1="Blank",58,randbetween(1,75))</f>
        <v>58</v>
      </c>
      <c r="H63" s="192" t="b">
        <v>1</v>
      </c>
      <c r="I63" s="193">
        <f>IF(H63=True, IF(G63&gt;G62,2,IF(G63=G62,1,0)),0)</f>
        <v>0</v>
      </c>
      <c r="J63" s="190" t="str">
        <f>F64</f>
        <v>Trumbull HS - Team 2</v>
      </c>
      <c r="K63" s="191">
        <f>if('CT RR Calculations (Private)'!$AC$1="Blank",46,randbetween(1,75))</f>
        <v>46</v>
      </c>
      <c r="L63" s="192" t="b">
        <v>1</v>
      </c>
      <c r="M63" s="193">
        <f>IF(L63=True, IF(K63&gt;K62,2,IF(K63=K62,1,0)),0)</f>
        <v>0</v>
      </c>
      <c r="N63" s="190" t="str">
        <f>J65</f>
        <v>Enfield HS - Team 3</v>
      </c>
      <c r="O63" s="191">
        <f>if('CT RR Calculations (Private)'!$AC$1="Blank",34,randbetween(1,75))</f>
        <v>34</v>
      </c>
      <c r="P63" s="192" t="b">
        <v>1</v>
      </c>
      <c r="Q63" s="193">
        <f>IF(P63=True, IF(O63&gt;O62,2,IF(O63=O62,1,0)),0)</f>
        <v>0</v>
      </c>
      <c r="R63" s="190" t="str">
        <f t="shared" ref="R63:R64" si="17">N63</f>
        <v>Enfield HS - Team 3</v>
      </c>
      <c r="S63" s="191">
        <f>if('CT RR Calculations (Private)'!$AC$1="Blank",26,randbetween(1,75))</f>
        <v>26</v>
      </c>
      <c r="T63" s="192" t="b">
        <v>1</v>
      </c>
      <c r="U63" s="193">
        <f>IF(T63=True, IF(S63&gt;S62,2,IF(S63=S62,1,0)),0)</f>
        <v>0</v>
      </c>
    </row>
    <row r="64" ht="15.75" customHeight="1">
      <c r="A64" s="184" t="s">
        <v>182</v>
      </c>
      <c r="B64" s="185" t="str">
        <f>X30</f>
        <v>Greenwich HS - Team 2</v>
      </c>
      <c r="C64" s="72">
        <v>118.0</v>
      </c>
      <c r="D64" s="187" t="b">
        <v>1</v>
      </c>
      <c r="E64" s="188">
        <f>IF(D64=True, IF(C64&gt;C65,2,IF(C64=C65,1,0)),0)</f>
        <v>2</v>
      </c>
      <c r="F64" s="185" t="str">
        <f>B66</f>
        <v>Trumbull HS - Team 2</v>
      </c>
      <c r="G64" s="72">
        <v>54.0</v>
      </c>
      <c r="H64" s="187" t="b">
        <v>1</v>
      </c>
      <c r="I64" s="188">
        <f>IF(H64=True, IF(G64&gt;G65,2,IF(G64=G65,1,0)),0)</f>
        <v>2</v>
      </c>
      <c r="J64" s="185" t="str">
        <f>F63</f>
        <v>South Windsor HS - Team 1</v>
      </c>
      <c r="K64" s="72">
        <v>32.0</v>
      </c>
      <c r="L64" s="187" t="b">
        <v>1</v>
      </c>
      <c r="M64" s="188">
        <f>IF(L64=True, IF(K64&gt;K65,2,IF(K64=K65,1,0)),0)</f>
        <v>0</v>
      </c>
      <c r="N64" s="185" t="str">
        <f>J62</f>
        <v>Choate Rosemary Hall</v>
      </c>
      <c r="O64" s="72">
        <v>52.0</v>
      </c>
      <c r="P64" s="187" t="b">
        <v>1</v>
      </c>
      <c r="Q64" s="188">
        <f>IF(P64=True, IF(O64&gt;O65,2,IF(O64=O65,1,0)),0)</f>
        <v>2</v>
      </c>
      <c r="R64" s="185" t="str">
        <f t="shared" si="17"/>
        <v>Choate Rosemary Hall</v>
      </c>
      <c r="S64" s="72">
        <v>48.0</v>
      </c>
      <c r="T64" s="187" t="b">
        <v>1</v>
      </c>
      <c r="U64" s="188">
        <f>IF(T64=True, IF(S64&gt;S65,2,IF(S64=S65,1,0)),0)</f>
        <v>0</v>
      </c>
    </row>
    <row r="65" ht="15.75" customHeight="1">
      <c r="A65" s="189"/>
      <c r="B65" s="190" t="str">
        <f>X33</f>
        <v>Enfield HS - Team 3</v>
      </c>
      <c r="C65" s="88">
        <v>20.0</v>
      </c>
      <c r="D65" s="192" t="b">
        <v>1</v>
      </c>
      <c r="E65" s="193">
        <f>IF(D65=True, IF(C65&gt;C64,2,IF(C65=C64,1,0)),0)</f>
        <v>0</v>
      </c>
      <c r="F65" s="190" t="str">
        <f>B63</f>
        <v>New Canaan HS - Team 3</v>
      </c>
      <c r="G65" s="88">
        <v>52.0</v>
      </c>
      <c r="H65" s="192" t="b">
        <v>1</v>
      </c>
      <c r="I65" s="193">
        <f>IF(H65=True, IF(G65&gt;G64,2,IF(G65=G64,1,0)),0)</f>
        <v>0</v>
      </c>
      <c r="J65" s="190" t="str">
        <f>F67</f>
        <v>Enfield HS - Team 3</v>
      </c>
      <c r="K65" s="88">
        <v>58.0</v>
      </c>
      <c r="L65" s="192" t="b">
        <v>1</v>
      </c>
      <c r="M65" s="193">
        <f>IF(L65=True, IF(K65&gt;K64,2,IF(K65=K64,1,0)),0)</f>
        <v>2</v>
      </c>
      <c r="N65" s="190" t="str">
        <f>J64</f>
        <v>South Windsor HS - Team 1</v>
      </c>
      <c r="O65" s="88">
        <v>40.0</v>
      </c>
      <c r="P65" s="192" t="b">
        <v>1</v>
      </c>
      <c r="Q65" s="193">
        <f>IF(P65=True, IF(O65&gt;O64,2,IF(O65=O64,1,0)),0)</f>
        <v>0</v>
      </c>
      <c r="R65" s="190" t="str">
        <f>N67</f>
        <v>Greenwich HS - Team 2</v>
      </c>
      <c r="S65" s="88">
        <v>94.0</v>
      </c>
      <c r="T65" s="192" t="b">
        <v>1</v>
      </c>
      <c r="U65" s="193">
        <f>IF(T65=True, IF(S65&gt;S64,2,IF(S65=S64,1,0)),0)</f>
        <v>2</v>
      </c>
    </row>
    <row r="66" ht="15.75" customHeight="1">
      <c r="A66" s="184" t="s">
        <v>183</v>
      </c>
      <c r="B66" s="185" t="str">
        <f>X46</f>
        <v>Trumbull HS - Team 2</v>
      </c>
      <c r="C66" s="72">
        <v>26.0</v>
      </c>
      <c r="D66" s="187" t="b">
        <v>1</v>
      </c>
      <c r="E66" s="194">
        <f>IF(D66=True, IF(C66&gt;C67,2,IF(C66=C67,1,0)),0)</f>
        <v>0</v>
      </c>
      <c r="F66" s="185" t="str">
        <f>B62</f>
        <v>Choate Rosemary Hall</v>
      </c>
      <c r="G66" s="72">
        <v>90.0</v>
      </c>
      <c r="H66" s="187" t="b">
        <v>1</v>
      </c>
      <c r="I66" s="194">
        <f>IF(H66=True, IF(G66&gt;G67,2,IF(G66=G67,1,0)),0)</f>
        <v>2</v>
      </c>
      <c r="J66" s="185" t="str">
        <f>F62</f>
        <v>Greenwich HS - Team 2</v>
      </c>
      <c r="K66" s="72">
        <v>72.0</v>
      </c>
      <c r="L66" s="187" t="b">
        <v>1</v>
      </c>
      <c r="M66" s="194">
        <f>IF(L66=True, IF(K66&gt;K67,2,IF(K66=K67,1,0)),0)</f>
        <v>2</v>
      </c>
      <c r="N66" s="185" t="str">
        <f>J63</f>
        <v>Trumbull HS - Team 2</v>
      </c>
      <c r="O66" s="72">
        <v>46.0</v>
      </c>
      <c r="P66" s="187" t="b">
        <v>1</v>
      </c>
      <c r="Q66" s="194">
        <f>IF(P66=True, IF(O66&gt;O67,2,IF(O66=O67,1,0)),0)</f>
        <v>0</v>
      </c>
      <c r="R66" s="185" t="str">
        <f>N65</f>
        <v>South Windsor HS - Team 1</v>
      </c>
      <c r="S66" s="72">
        <v>30.0</v>
      </c>
      <c r="T66" s="187" t="b">
        <v>1</v>
      </c>
      <c r="U66" s="194">
        <f>IF(T66=True, IF(S66&gt;S67,2,IF(S66=S67,1,0)),0)</f>
        <v>0</v>
      </c>
    </row>
    <row r="67" ht="15.75" customHeight="1">
      <c r="A67" s="189"/>
      <c r="B67" s="190" t="str">
        <f>X49</f>
        <v>South Windsor HS - Team 1</v>
      </c>
      <c r="C67" s="88">
        <v>54.0</v>
      </c>
      <c r="D67" s="192" t="b">
        <v>1</v>
      </c>
      <c r="E67" s="195">
        <f>IF(D67=True, IF(C67&gt;C66,2,IF(C67=C66,1,0)),0)</f>
        <v>2</v>
      </c>
      <c r="F67" s="190" t="str">
        <f>B65</f>
        <v>Enfield HS - Team 3</v>
      </c>
      <c r="G67" s="88">
        <v>18.0</v>
      </c>
      <c r="H67" s="192" t="b">
        <v>1</v>
      </c>
      <c r="I67" s="195">
        <f>IF(H67=True, IF(G67&gt;G66,2,IF(G67=G66,1,0)),0)</f>
        <v>0</v>
      </c>
      <c r="J67" s="190" t="str">
        <f>F65</f>
        <v>New Canaan HS - Team 3</v>
      </c>
      <c r="K67" s="88">
        <v>28.0</v>
      </c>
      <c r="L67" s="192" t="b">
        <v>1</v>
      </c>
      <c r="M67" s="195">
        <f>IF(L67=True, IF(K67&gt;K66,2,IF(K67=K66,1,0)),0)</f>
        <v>0</v>
      </c>
      <c r="N67" s="190" t="str">
        <f>J66</f>
        <v>Greenwich HS - Team 2</v>
      </c>
      <c r="O67" s="88">
        <v>56.0</v>
      </c>
      <c r="P67" s="192" t="b">
        <v>1</v>
      </c>
      <c r="Q67" s="195">
        <f>IF(P67=True, IF(O67&gt;O66,2,IF(O67=O66,1,0)),0)</f>
        <v>2</v>
      </c>
      <c r="R67" s="190" t="str">
        <f>N62</f>
        <v>New Canaan HS - Team 3</v>
      </c>
      <c r="S67" s="88">
        <v>84.0</v>
      </c>
      <c r="T67" s="192" t="b">
        <v>1</v>
      </c>
      <c r="U67" s="195">
        <f>IF(T67=True, IF(S67&gt;S66,2,IF(S67=S66,1,0)),0)</f>
        <v>2</v>
      </c>
    </row>
    <row r="68" ht="15.75" customHeight="1">
      <c r="A68" s="189"/>
      <c r="B68" s="196" t="s">
        <v>184</v>
      </c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7"/>
    </row>
    <row r="69" ht="15.75" customHeight="1">
      <c r="A69" s="189"/>
      <c r="B69" s="43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5"/>
    </row>
    <row r="70" ht="15.75" customHeight="1">
      <c r="A70" s="189"/>
      <c r="B70" s="197" t="s">
        <v>124</v>
      </c>
      <c r="C70" s="198" t="s">
        <v>125</v>
      </c>
      <c r="D70" s="198" t="s">
        <v>126</v>
      </c>
      <c r="E70" s="199" t="s">
        <v>127</v>
      </c>
      <c r="F70" s="197" t="s">
        <v>124</v>
      </c>
      <c r="G70" s="198" t="s">
        <v>125</v>
      </c>
      <c r="H70" s="198" t="s">
        <v>126</v>
      </c>
      <c r="I70" s="199" t="s">
        <v>127</v>
      </c>
      <c r="J70" s="197" t="s">
        <v>124</v>
      </c>
      <c r="K70" s="198" t="s">
        <v>125</v>
      </c>
      <c r="L70" s="198" t="s">
        <v>126</v>
      </c>
      <c r="M70" s="199" t="s">
        <v>127</v>
      </c>
      <c r="N70" s="197" t="s">
        <v>124</v>
      </c>
      <c r="O70" s="198" t="s">
        <v>125</v>
      </c>
      <c r="P70" s="198" t="s">
        <v>126</v>
      </c>
      <c r="Q70" s="199" t="s">
        <v>127</v>
      </c>
      <c r="R70" s="197" t="s">
        <v>124</v>
      </c>
      <c r="S70" s="198" t="s">
        <v>125</v>
      </c>
      <c r="T70" s="198" t="s">
        <v>126</v>
      </c>
      <c r="U70" s="199" t="s">
        <v>127</v>
      </c>
    </row>
    <row r="71" ht="15.75" customHeight="1">
      <c r="A71" s="184" t="s">
        <v>185</v>
      </c>
      <c r="B71" s="200" t="str">
        <f t="shared" ref="B71:B72" si="18">X15</f>
        <v>Open Spot - 1</v>
      </c>
      <c r="C71" s="186">
        <f>if('CT RR Calculations (Private)'!$AC$1="Blank",0,randbetween(1,75))</f>
        <v>0</v>
      </c>
      <c r="D71" s="201" t="b">
        <v>0</v>
      </c>
      <c r="E71" s="202">
        <f>IF(D71=True, IF(C71&gt;C72,2,IF(C71=C72,1,0)),0)</f>
        <v>0</v>
      </c>
      <c r="F71" s="200" t="str">
        <f>B73</f>
        <v>Open Spot - 3</v>
      </c>
      <c r="G71" s="186">
        <f>if('CT RR Calculations (Private)'!$AC$1="Blank",0,randbetween(1,75))</f>
        <v>0</v>
      </c>
      <c r="H71" s="201" t="b">
        <v>0</v>
      </c>
      <c r="I71" s="202">
        <f>IF(H71=True, IF(G71&gt;G72,2,IF(G71=G72,1,0)),0)</f>
        <v>0</v>
      </c>
      <c r="J71" s="200" t="str">
        <f>F75</f>
        <v>Open Spot - 1</v>
      </c>
      <c r="K71" s="186">
        <f>if('CT RR Calculations (Private)'!$AC$1="Blank",0,randbetween(1,75))</f>
        <v>0</v>
      </c>
      <c r="L71" s="201" t="b">
        <v>0</v>
      </c>
      <c r="M71" s="202">
        <f>IF(L71=True, IF(K71&gt;K72,2,IF(K71=K72,1,0)),0)</f>
        <v>0</v>
      </c>
      <c r="N71" s="200" t="str">
        <f>J76</f>
        <v>Open Spot - 2</v>
      </c>
      <c r="O71" s="186">
        <f>if('CT RR Calculations (Private)'!$AC$1="Blank",0,randbetween(1,75))</f>
        <v>0</v>
      </c>
      <c r="P71" s="201" t="b">
        <v>0</v>
      </c>
      <c r="Q71" s="202">
        <f>IF(P71=True, IF(O71&gt;O72,2,IF(O71=O72,1,0)),0)</f>
        <v>0</v>
      </c>
      <c r="R71" s="200" t="str">
        <f>N75</f>
        <v>Open Spot - 5</v>
      </c>
      <c r="S71" s="186">
        <f>if('CT RR Calculations (Private)'!$AC$1="Blank",0,randbetween(1,75))</f>
        <v>0</v>
      </c>
      <c r="T71" s="201" t="b">
        <v>0</v>
      </c>
      <c r="U71" s="202">
        <f>IF(T71=True, IF(S71&gt;S72,2,IF(S71=S72,1,0)),0)</f>
        <v>0</v>
      </c>
    </row>
    <row r="72" ht="15.75" customHeight="1">
      <c r="A72" s="189"/>
      <c r="B72" s="203" t="str">
        <f t="shared" si="18"/>
        <v>Open Spot - 2</v>
      </c>
      <c r="C72" s="191">
        <f>if('CT RR Calculations (Private)'!$AC$1="Blank",0,randbetween(1,75))</f>
        <v>0</v>
      </c>
      <c r="D72" s="204" t="b">
        <v>0</v>
      </c>
      <c r="E72" s="205">
        <f>IF(D72=True, IF(C72&gt;C71,2,IF(C72=C71,1,0)),0)</f>
        <v>0</v>
      </c>
      <c r="F72" s="203" t="str">
        <f>B76</f>
        <v>Greenwich HS - Team 4</v>
      </c>
      <c r="G72" s="191">
        <f>if('CT RR Calculations (Private)'!$AC$1="Blank",0,randbetween(1,75))</f>
        <v>0</v>
      </c>
      <c r="H72" s="204" t="b">
        <v>0</v>
      </c>
      <c r="I72" s="205">
        <f>IF(H72=True, IF(G72&gt;G71,2,IF(G72=G71,1,0)),0)</f>
        <v>0</v>
      </c>
      <c r="J72" s="203" t="str">
        <f>F73</f>
        <v>Open Spot - 5</v>
      </c>
      <c r="K72" s="191">
        <f>if('CT RR Calculations (Private)'!$AC$1="Blank",0,randbetween(1,75))</f>
        <v>0</v>
      </c>
      <c r="L72" s="204" t="b">
        <v>0</v>
      </c>
      <c r="M72" s="205">
        <f>IF(L72=True, IF(K72&gt;K71,2,IF(K72=K71,1,0)),0)</f>
        <v>0</v>
      </c>
      <c r="N72" s="203" t="str">
        <f>J74</f>
        <v>Open Spot - 4</v>
      </c>
      <c r="O72" s="191">
        <f>if('CT RR Calculations (Private)'!$AC$1="Blank",0,randbetween(1,75))</f>
        <v>0</v>
      </c>
      <c r="P72" s="204" t="b">
        <v>0</v>
      </c>
      <c r="Q72" s="205">
        <f>IF(P72=True, IF(O72&gt;O71,2,IF(O72=O71,1,0)),0)</f>
        <v>0</v>
      </c>
      <c r="R72" s="203" t="str">
        <f t="shared" ref="R72:R73" si="19">N72</f>
        <v>Open Spot - 4</v>
      </c>
      <c r="S72" s="191">
        <f>if('CT RR Calculations (Private)'!$AC$1="Blank",0,randbetween(1,75))</f>
        <v>0</v>
      </c>
      <c r="T72" s="204" t="b">
        <v>0</v>
      </c>
      <c r="U72" s="205">
        <f>IF(T72=True, IF(S72&gt;S71,2,IF(S72=S71,1,0)),0)</f>
        <v>0</v>
      </c>
    </row>
    <row r="73" ht="15.75" customHeight="1">
      <c r="A73" s="184" t="s">
        <v>186</v>
      </c>
      <c r="B73" s="200" t="str">
        <f t="shared" ref="B73:B74" si="20">X31</f>
        <v>Open Spot - 3</v>
      </c>
      <c r="C73" s="186">
        <f>if('CT RR Calculations (Private)'!$AC$1="Blank",0,randbetween(1,75))</f>
        <v>0</v>
      </c>
      <c r="D73" s="201" t="b">
        <v>0</v>
      </c>
      <c r="E73" s="206">
        <f>IF(D73=True, IF(C73&gt;C74,2,IF(C73=C74,1,0)),0)</f>
        <v>0</v>
      </c>
      <c r="F73" s="200" t="str">
        <f>B75</f>
        <v>Open Spot - 5</v>
      </c>
      <c r="G73" s="186">
        <f>if('CT RR Calculations (Private)'!$AC$1="Blank",0,randbetween(1,75))</f>
        <v>0</v>
      </c>
      <c r="H73" s="201" t="b">
        <v>0</v>
      </c>
      <c r="I73" s="206">
        <f>IF(H73=True, IF(G73&gt;G74,2,IF(G73=G74,1,0)),0)</f>
        <v>0</v>
      </c>
      <c r="J73" s="200" t="str">
        <f>F72</f>
        <v>Greenwich HS - Team 4</v>
      </c>
      <c r="K73" s="186">
        <f>if('CT RR Calculations (Private)'!$AC$1="Blank",0,randbetween(1,75))</f>
        <v>0</v>
      </c>
      <c r="L73" s="201" t="b">
        <v>0</v>
      </c>
      <c r="M73" s="206">
        <f>IF(L73=True, IF(K73&gt;K74,2,IF(K73=K74,1,0)),0)</f>
        <v>0</v>
      </c>
      <c r="N73" s="200" t="str">
        <f>J71</f>
        <v>Open Spot - 1</v>
      </c>
      <c r="O73" s="186">
        <f>if('CT RR Calculations (Private)'!$AC$1="Blank",0,randbetween(1,75))</f>
        <v>0</v>
      </c>
      <c r="P73" s="201" t="b">
        <v>0</v>
      </c>
      <c r="Q73" s="206">
        <f>IF(P73=True, IF(O73&gt;O74,2,IF(O73=O74,1,0)),0)</f>
        <v>0</v>
      </c>
      <c r="R73" s="200" t="str">
        <f t="shared" si="19"/>
        <v>Open Spot - 1</v>
      </c>
      <c r="S73" s="186">
        <f>if('CT RR Calculations (Private)'!$AC$1="Blank",0,randbetween(1,75))</f>
        <v>0</v>
      </c>
      <c r="T73" s="201" t="b">
        <v>0</v>
      </c>
      <c r="U73" s="206">
        <f>IF(T73=True, IF(S73&gt;S74,2,IF(S73=S74,1,0)),0)</f>
        <v>0</v>
      </c>
    </row>
    <row r="74" ht="15.75" customHeight="1">
      <c r="A74" s="189"/>
      <c r="B74" s="203" t="str">
        <f t="shared" si="20"/>
        <v>Open Spot - 4</v>
      </c>
      <c r="C74" s="191">
        <f>if('CT RR Calculations (Private)'!$AC$1="Blank",0,randbetween(1,75))</f>
        <v>0</v>
      </c>
      <c r="D74" s="204" t="b">
        <v>1</v>
      </c>
      <c r="E74" s="205">
        <f>IF(D74=True, IF(C74&gt;C73,2,IF(C74=C73,1,0)),0)</f>
        <v>1</v>
      </c>
      <c r="F74" s="203" t="str">
        <f>B72</f>
        <v>Open Spot - 2</v>
      </c>
      <c r="G74" s="191">
        <f>if('CT RR Calculations (Private)'!$AC$1="Blank",0,randbetween(1,75))</f>
        <v>0</v>
      </c>
      <c r="H74" s="204" t="b">
        <v>0</v>
      </c>
      <c r="I74" s="205">
        <f>IF(H74=True, IF(G74&gt;G73,2,IF(G74=G73,1,0)),0)</f>
        <v>0</v>
      </c>
      <c r="J74" s="203" t="str">
        <f>F76</f>
        <v>Open Spot - 4</v>
      </c>
      <c r="K74" s="191">
        <f>if('CT RR Calculations (Private)'!$AC$1="Blank",0,randbetween(1,75))</f>
        <v>0</v>
      </c>
      <c r="L74" s="204" t="b">
        <v>0</v>
      </c>
      <c r="M74" s="205">
        <f>IF(L74=True, IF(K74&gt;K73,2,IF(K74=K73,1,0)),0)</f>
        <v>0</v>
      </c>
      <c r="N74" s="203" t="str">
        <f>J73</f>
        <v>Greenwich HS - Team 4</v>
      </c>
      <c r="O74" s="191">
        <f>if('CT RR Calculations (Private)'!$AC$1="Blank",0,randbetween(1,75))</f>
        <v>0</v>
      </c>
      <c r="P74" s="204" t="b">
        <v>0</v>
      </c>
      <c r="Q74" s="205">
        <f>IF(P74=True, IF(O74&gt;O73,2,IF(O74=O73,1,0)),0)</f>
        <v>0</v>
      </c>
      <c r="R74" s="203" t="str">
        <f>N76</f>
        <v>Open Spot - 3</v>
      </c>
      <c r="S74" s="191">
        <f>if('CT RR Calculations (Private)'!$AC$1="Blank",0,randbetween(1,75))</f>
        <v>0</v>
      </c>
      <c r="T74" s="204" t="b">
        <v>0</v>
      </c>
      <c r="U74" s="205">
        <f>IF(T74=True, IF(S74&gt;S73,2,IF(S74=S73,1,0)),0)</f>
        <v>0</v>
      </c>
    </row>
    <row r="75" ht="15.75" customHeight="1">
      <c r="A75" s="184" t="s">
        <v>187</v>
      </c>
      <c r="B75" s="200" t="str">
        <f t="shared" ref="B75:B76" si="21">X47</f>
        <v>Open Spot - 5</v>
      </c>
      <c r="C75" s="186">
        <f>if('CT RR Calculations (Private)'!$AC$1="Blank",0,randbetween(1,75))</f>
        <v>0</v>
      </c>
      <c r="D75" s="201" t="b">
        <v>0</v>
      </c>
      <c r="E75" s="206">
        <f>IF(D75=True, IF(C75&gt;C76,2,IF(C75=C76,1,0)),0)</f>
        <v>0</v>
      </c>
      <c r="F75" s="200" t="str">
        <f>B71</f>
        <v>Open Spot - 1</v>
      </c>
      <c r="G75" s="186">
        <f>if('CT RR Calculations (Private)'!$AC$1="Blank",0,randbetween(1,75))</f>
        <v>0</v>
      </c>
      <c r="H75" s="201" t="b">
        <v>0</v>
      </c>
      <c r="I75" s="206">
        <f>IF(H75=True, IF(G75&gt;G76,2,IF(G75=G76,1,0)),0)</f>
        <v>0</v>
      </c>
      <c r="J75" s="200" t="str">
        <f>F71</f>
        <v>Open Spot - 3</v>
      </c>
      <c r="K75" s="186">
        <f>if('CT RR Calculations (Private)'!$AC$1="Blank",0,randbetween(1,75))</f>
        <v>0</v>
      </c>
      <c r="L75" s="201" t="b">
        <v>0</v>
      </c>
      <c r="M75" s="206">
        <f>IF(L75=True, IF(K75&gt;K76,2,IF(K75=K76,1,0)),0)</f>
        <v>0</v>
      </c>
      <c r="N75" s="200" t="str">
        <f>J72</f>
        <v>Open Spot - 5</v>
      </c>
      <c r="O75" s="186">
        <f>if('CT RR Calculations (Private)'!$AC$1="Blank",0,randbetween(1,75))</f>
        <v>0</v>
      </c>
      <c r="P75" s="201" t="b">
        <v>0</v>
      </c>
      <c r="Q75" s="206">
        <f>IF(P75=True, IF(O75&gt;O76,2,IF(O75=O76,1,0)),0)</f>
        <v>0</v>
      </c>
      <c r="R75" s="200" t="str">
        <f>N74</f>
        <v>Greenwich HS - Team 4</v>
      </c>
      <c r="S75" s="186">
        <f>if('CT RR Calculations (Private)'!$AC$1="Blank",0,randbetween(1,75))</f>
        <v>0</v>
      </c>
      <c r="T75" s="201" t="b">
        <v>0</v>
      </c>
      <c r="U75" s="206">
        <f>IF(T75=True, IF(S75&gt;S76,2,IF(S75=S76,1,0)),0)</f>
        <v>0</v>
      </c>
    </row>
    <row r="76" ht="15.75" customHeight="1">
      <c r="B76" s="203" t="str">
        <f t="shared" si="21"/>
        <v>Greenwich HS - Team 4</v>
      </c>
      <c r="C76" s="191">
        <f>if('CT RR Calculations (Private)'!$AC$1="Blank",0,randbetween(1,75))</f>
        <v>0</v>
      </c>
      <c r="D76" s="204" t="b">
        <v>0</v>
      </c>
      <c r="E76" s="205">
        <f>IF(D76=True, IF(C76&gt;C75,2,IF(C76=C75,1,0)),0)</f>
        <v>0</v>
      </c>
      <c r="F76" s="203" t="str">
        <f>B74</f>
        <v>Open Spot - 4</v>
      </c>
      <c r="G76" s="191">
        <f>if('CT RR Calculations (Private)'!$AC$1="Blank",0,randbetween(1,75))</f>
        <v>0</v>
      </c>
      <c r="H76" s="204" t="b">
        <v>0</v>
      </c>
      <c r="I76" s="205">
        <f>IF(H76=True, IF(G76&gt;G75,2,IF(G76=G75,1,0)),0)</f>
        <v>0</v>
      </c>
      <c r="J76" s="203" t="str">
        <f>F74</f>
        <v>Open Spot - 2</v>
      </c>
      <c r="K76" s="191">
        <f>if('CT RR Calculations (Private)'!$AC$1="Blank",0,randbetween(1,75))</f>
        <v>0</v>
      </c>
      <c r="L76" s="204" t="b">
        <v>0</v>
      </c>
      <c r="M76" s="205">
        <f>IF(L76=True, IF(K76&gt;K75,2,IF(K76=K75,1,0)),0)</f>
        <v>0</v>
      </c>
      <c r="N76" s="203" t="str">
        <f>J75</f>
        <v>Open Spot - 3</v>
      </c>
      <c r="O76" s="191">
        <f>if('CT RR Calculations (Private)'!$AC$1="Blank",0,randbetween(1,75))</f>
        <v>0</v>
      </c>
      <c r="P76" s="204" t="b">
        <v>0</v>
      </c>
      <c r="Q76" s="205">
        <f>IF(P76=True, IF(O76&gt;O75,2,IF(O76=O75,1,0)),0)</f>
        <v>0</v>
      </c>
      <c r="R76" s="203" t="str">
        <f>N71</f>
        <v>Open Spot - 2</v>
      </c>
      <c r="S76" s="191">
        <f>if('CT RR Calculations (Private)'!$AC$1="Blank",0,randbetween(1,75))</f>
        <v>0</v>
      </c>
      <c r="T76" s="204" t="b">
        <v>0</v>
      </c>
      <c r="U76" s="205">
        <f>IF(T76=True, IF(S76&gt;S75,2,IF(S76=S75,1,0)),0)</f>
        <v>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F4:I4"/>
    <mergeCell ref="J4:M4"/>
    <mergeCell ref="N4:Q4"/>
    <mergeCell ref="R4:U4"/>
    <mergeCell ref="Y6:AA6"/>
    <mergeCell ref="AH6:AI6"/>
    <mergeCell ref="B5:U6"/>
    <mergeCell ref="B14:U15"/>
    <mergeCell ref="B23:U24"/>
    <mergeCell ref="B32:U33"/>
    <mergeCell ref="B41:U42"/>
    <mergeCell ref="B50:U51"/>
    <mergeCell ref="B59:U60"/>
    <mergeCell ref="B68:U69"/>
    <mergeCell ref="B1:U2"/>
    <mergeCell ref="B3:E3"/>
    <mergeCell ref="F3:I3"/>
    <mergeCell ref="J3:M3"/>
    <mergeCell ref="N3:Q3"/>
    <mergeCell ref="R3:U3"/>
    <mergeCell ref="B4:E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14.0"/>
    <col customWidth="1" min="3" max="4" width="12.75"/>
    <col customWidth="1" min="5" max="5" width="3.25"/>
    <col customWidth="1" min="6" max="6" width="27.75"/>
    <col customWidth="1" min="7" max="9" width="12.75"/>
    <col customWidth="1" min="10" max="10" width="3.25"/>
    <col customWidth="1" min="11" max="11" width="27.75"/>
    <col customWidth="1" min="12" max="14" width="12.75"/>
    <col customWidth="1" min="15" max="15" width="3.25"/>
    <col customWidth="1" min="16" max="16" width="8.0"/>
    <col customWidth="1" min="17" max="17" width="22.88"/>
    <col customWidth="1" min="18" max="19" width="12.75"/>
    <col customWidth="1" min="20" max="20" width="17.25"/>
    <col customWidth="1" min="21" max="21" width="4.13"/>
    <col customWidth="1" min="22" max="22" width="8.13"/>
    <col customWidth="1" min="23" max="23" width="27.75"/>
    <col customWidth="1" min="24" max="27" width="12.75"/>
    <col customWidth="1" min="28" max="28" width="19.38"/>
    <col customWidth="1" min="29" max="35" width="12.75"/>
  </cols>
  <sheetData>
    <row r="1" ht="27.0" customHeight="1">
      <c r="A1" s="207" t="s">
        <v>188</v>
      </c>
      <c r="B1" s="207"/>
      <c r="C1" s="207"/>
      <c r="D1" s="207"/>
      <c r="E1" s="208"/>
      <c r="F1" s="209" t="s">
        <v>189</v>
      </c>
      <c r="G1" s="55"/>
      <c r="H1" s="55"/>
      <c r="I1" s="56"/>
      <c r="J1" s="208"/>
      <c r="K1" s="210" t="s">
        <v>190</v>
      </c>
      <c r="L1" s="207"/>
      <c r="M1" s="207"/>
      <c r="N1" s="207"/>
      <c r="O1" s="208"/>
      <c r="P1" s="211" t="s">
        <v>191</v>
      </c>
      <c r="Q1" s="55"/>
      <c r="R1" s="55"/>
      <c r="S1" s="55"/>
      <c r="T1" s="56"/>
      <c r="U1" s="212"/>
      <c r="V1" s="211" t="s">
        <v>192</v>
      </c>
      <c r="W1" s="55"/>
      <c r="X1" s="55"/>
      <c r="Y1" s="56"/>
      <c r="Z1" s="213"/>
      <c r="AB1" s="214" t="s">
        <v>193</v>
      </c>
      <c r="AC1" s="214" t="s">
        <v>194</v>
      </c>
      <c r="AD1" s="215" t="str">
        <f>if('CT RR Calculations (Private)'!$AC$1="Test Scores On",randbetween(1,75),)</f>
        <v/>
      </c>
    </row>
    <row r="2" ht="15.75" customHeight="1">
      <c r="A2" s="1" t="str">
        <f>'CT Region ROUND ROBIN Scores (P'!Y7</f>
        <v>Team (Alphabetical)</v>
      </c>
      <c r="B2" s="1" t="str">
        <f>'CT Region ROUND ROBIN Scores (P'!Z7</f>
        <v>Division</v>
      </c>
      <c r="C2" s="1" t="str">
        <f>'CT Region ROUND ROBIN Scores (P'!AA7</f>
        <v>Total Points</v>
      </c>
      <c r="D2" s="1" t="str">
        <f>'CT Region ROUND ROBIN Scores (P'!AB7</f>
        <v>Total Score</v>
      </c>
      <c r="E2" s="208"/>
      <c r="F2" s="1" t="s">
        <v>45</v>
      </c>
      <c r="G2" s="1" t="s">
        <v>131</v>
      </c>
      <c r="H2" s="1" t="s">
        <v>132</v>
      </c>
      <c r="I2" s="216" t="s">
        <v>133</v>
      </c>
      <c r="J2" s="208"/>
      <c r="K2" s="1" t="s">
        <v>45</v>
      </c>
      <c r="L2" s="1" t="s">
        <v>131</v>
      </c>
      <c r="M2" s="1" t="s">
        <v>132</v>
      </c>
      <c r="N2" s="216" t="s">
        <v>133</v>
      </c>
      <c r="O2" s="208"/>
      <c r="P2" s="1" t="s">
        <v>195</v>
      </c>
      <c r="Q2" s="1" t="s">
        <v>45</v>
      </c>
      <c r="R2" s="216" t="s">
        <v>131</v>
      </c>
      <c r="S2" s="216" t="s">
        <v>132</v>
      </c>
      <c r="T2" s="216" t="s">
        <v>133</v>
      </c>
      <c r="U2" s="212"/>
      <c r="V2" s="1" t="s">
        <v>196</v>
      </c>
      <c r="W2" s="1" t="s">
        <v>45</v>
      </c>
      <c r="X2" s="216" t="s">
        <v>131</v>
      </c>
      <c r="Y2" s="216" t="s">
        <v>132</v>
      </c>
      <c r="Z2" s="217" t="s">
        <v>133</v>
      </c>
      <c r="AA2" s="217"/>
    </row>
    <row r="3" ht="15.75" customHeight="1">
      <c r="A3" s="4" t="str">
        <f>'CT Region ROUND ROBIN Scores (P'!Y8</f>
        <v>Amity Regional HS</v>
      </c>
      <c r="B3" s="4" t="str">
        <f>'CT Region ROUND ROBIN Scores (P'!Z8</f>
        <v>Division 3 (Silas Adekunle)</v>
      </c>
      <c r="C3" s="4">
        <f>'CT Region ROUND ROBIN Scores (P'!AA8</f>
        <v>8</v>
      </c>
      <c r="D3" s="4">
        <f>'CT Region ROUND ROBIN Scores (P'!AB8</f>
        <v>438</v>
      </c>
      <c r="E3" s="208"/>
      <c r="F3" s="4" t="str">
        <f t="array" ref="F3:I50">sort(A3:D50,2,true)</f>
        <v>CT IB Acad - Team 2</v>
      </c>
      <c r="G3" s="4" t="s">
        <v>121</v>
      </c>
      <c r="H3" s="4">
        <v>4.0</v>
      </c>
      <c r="I3" s="4">
        <v>226.0</v>
      </c>
      <c r="J3" s="208"/>
      <c r="K3" s="4" t="str">
        <f t="array" ref="K3:N8">sort(F3:I8,3,False,4,False)</f>
        <v>Farmington HS - Team 1</v>
      </c>
      <c r="L3" s="4" t="s">
        <v>121</v>
      </c>
      <c r="M3" s="4">
        <v>10.0</v>
      </c>
      <c r="N3" s="4">
        <v>1030.0</v>
      </c>
      <c r="O3" s="208"/>
      <c r="P3" s="4">
        <v>1.0</v>
      </c>
      <c r="Q3" s="218" t="s">
        <v>14</v>
      </c>
      <c r="R3" s="218" t="s">
        <v>121</v>
      </c>
      <c r="S3" s="219">
        <v>8.0</v>
      </c>
      <c r="T3" s="218">
        <v>832.0</v>
      </c>
      <c r="U3" s="212"/>
      <c r="V3" s="4">
        <v>1.0</v>
      </c>
      <c r="W3" s="4" t="str">
        <f t="array" ref="W3:Z18">sort(Q3:T18,4,false)</f>
        <v>Farmington HS - Team 1</v>
      </c>
      <c r="X3" s="4" t="s">
        <v>121</v>
      </c>
      <c r="Y3" s="4">
        <v>8.0</v>
      </c>
      <c r="Z3" s="218">
        <v>832.0</v>
      </c>
      <c r="AB3" s="220" t="s">
        <v>197</v>
      </c>
    </row>
    <row r="4" ht="15.75" customHeight="1">
      <c r="A4" s="4" t="str">
        <f>'CT Region ROUND ROBIN Scores (P'!Y9</f>
        <v>Bacon Academy</v>
      </c>
      <c r="B4" s="4" t="str">
        <f>'CT Region ROUND ROBIN Scores (P'!Z9</f>
        <v>Division 2 (Marian Croak)</v>
      </c>
      <c r="C4" s="4">
        <f>'CT Region ROUND ROBIN Scores (P'!AA9</f>
        <v>2</v>
      </c>
      <c r="D4" s="4">
        <f>'CT Region ROUND ROBIN Scores (P'!AB9</f>
        <v>152</v>
      </c>
      <c r="E4" s="208"/>
      <c r="F4" s="4" t="s">
        <v>156</v>
      </c>
      <c r="G4" s="4" t="s">
        <v>121</v>
      </c>
      <c r="H4" s="4">
        <v>0.0</v>
      </c>
      <c r="I4" s="4">
        <v>70.0</v>
      </c>
      <c r="J4" s="208"/>
      <c r="K4" s="4" t="s">
        <v>31</v>
      </c>
      <c r="L4" s="4" t="s">
        <v>121</v>
      </c>
      <c r="M4" s="4">
        <v>8.0</v>
      </c>
      <c r="N4" s="4">
        <v>606.0</v>
      </c>
      <c r="O4" s="208"/>
      <c r="P4" s="221">
        <v>2.0</v>
      </c>
      <c r="Q4" s="222" t="s">
        <v>31</v>
      </c>
      <c r="R4" s="222" t="s">
        <v>121</v>
      </c>
      <c r="S4" s="223">
        <v>8.0</v>
      </c>
      <c r="T4" s="222">
        <v>544.0</v>
      </c>
      <c r="U4" s="212"/>
      <c r="V4" s="4">
        <v>2.0</v>
      </c>
      <c r="W4" s="4" t="s">
        <v>41</v>
      </c>
      <c r="X4" s="4" t="s">
        <v>143</v>
      </c>
      <c r="Y4" s="4">
        <v>10.0</v>
      </c>
      <c r="Z4" s="218">
        <v>762.0</v>
      </c>
      <c r="AB4" s="220" t="s">
        <v>198</v>
      </c>
    </row>
    <row r="5" ht="15.75" customHeight="1">
      <c r="A5" s="4" t="str">
        <f>'CT Region ROUND ROBIN Scores (P'!Y10</f>
        <v>Choate Rosemary Hall</v>
      </c>
      <c r="B5" s="4" t="str">
        <f>'CT Region ROUND ROBIN Scores (P'!Z10</f>
        <v>Division 7 (Irene Uchida)</v>
      </c>
      <c r="C5" s="4">
        <f>'CT Region ROUND ROBIN Scores (P'!AA10</f>
        <v>6</v>
      </c>
      <c r="D5" s="4">
        <f>'CT Region ROUND ROBIN Scores (P'!AB10</f>
        <v>294</v>
      </c>
      <c r="E5" s="208"/>
      <c r="F5" s="4" t="s">
        <v>12</v>
      </c>
      <c r="G5" s="4" t="s">
        <v>121</v>
      </c>
      <c r="H5" s="4">
        <v>2.0</v>
      </c>
      <c r="I5" s="4">
        <v>200.0</v>
      </c>
      <c r="J5" s="208"/>
      <c r="K5" s="4" t="s">
        <v>35</v>
      </c>
      <c r="L5" s="4" t="s">
        <v>121</v>
      </c>
      <c r="M5" s="4">
        <v>6.0</v>
      </c>
      <c r="N5" s="4">
        <v>334.0</v>
      </c>
      <c r="O5" s="208"/>
      <c r="P5" s="4">
        <v>1.0</v>
      </c>
      <c r="Q5" s="218" t="s">
        <v>41</v>
      </c>
      <c r="R5" s="218" t="s">
        <v>143</v>
      </c>
      <c r="S5" s="219">
        <v>10.0</v>
      </c>
      <c r="T5" s="218">
        <v>762.0</v>
      </c>
      <c r="U5" s="212"/>
      <c r="V5" s="4">
        <v>3.0</v>
      </c>
      <c r="W5" s="4" t="s">
        <v>8</v>
      </c>
      <c r="X5" s="4" t="s">
        <v>155</v>
      </c>
      <c r="Y5" s="4">
        <v>10.0</v>
      </c>
      <c r="Z5" s="218">
        <v>750.0</v>
      </c>
    </row>
    <row r="6" ht="15.75" customHeight="1">
      <c r="A6" s="4" t="str">
        <f>'CT Region ROUND ROBIN Scores (P'!Y11</f>
        <v>Conard HS - Team 1</v>
      </c>
      <c r="B6" s="4" t="str">
        <f>'CT Region ROUND ROBIN Scores (P'!Z11</f>
        <v>Division 4 (Ellen Ochoa)</v>
      </c>
      <c r="C6" s="4">
        <f>'CT Region ROUND ROBIN Scores (P'!AA11</f>
        <v>6</v>
      </c>
      <c r="D6" s="4">
        <f>'CT Region ROUND ROBIN Scores (P'!AB11</f>
        <v>290</v>
      </c>
      <c r="E6" s="208"/>
      <c r="F6" s="4" t="s">
        <v>14</v>
      </c>
      <c r="G6" s="4" t="s">
        <v>121</v>
      </c>
      <c r="H6" s="4">
        <v>10.0</v>
      </c>
      <c r="I6" s="4">
        <v>1030.0</v>
      </c>
      <c r="J6" s="208"/>
      <c r="K6" s="4" t="s">
        <v>144</v>
      </c>
      <c r="L6" s="4" t="s">
        <v>121</v>
      </c>
      <c r="M6" s="4">
        <v>4.0</v>
      </c>
      <c r="N6" s="4">
        <v>226.0</v>
      </c>
      <c r="O6" s="208"/>
      <c r="P6" s="221">
        <v>2.0</v>
      </c>
      <c r="Q6" s="222" t="s">
        <v>30</v>
      </c>
      <c r="R6" s="222" t="s">
        <v>143</v>
      </c>
      <c r="S6" s="223">
        <v>8.0</v>
      </c>
      <c r="T6" s="222">
        <v>346.0</v>
      </c>
      <c r="U6" s="212"/>
      <c r="V6" s="4">
        <v>4.0</v>
      </c>
      <c r="W6" s="4" t="s">
        <v>17</v>
      </c>
      <c r="X6" s="4" t="s">
        <v>164</v>
      </c>
      <c r="Y6" s="4">
        <v>10.0</v>
      </c>
      <c r="Z6" s="218">
        <v>650.0</v>
      </c>
      <c r="AB6" s="224" t="s">
        <v>199</v>
      </c>
    </row>
    <row r="7" ht="15.75" customHeight="1">
      <c r="A7" s="4" t="str">
        <f>'CT Region ROUND ROBIN Scores (P'!Y12</f>
        <v>Conard HS - Team 2</v>
      </c>
      <c r="B7" s="4" t="str">
        <f>'CT Region ROUND ROBIN Scores (P'!Z12</f>
        <v>Division 2 (Marian Croak)</v>
      </c>
      <c r="C7" s="4">
        <f>'CT Region ROUND ROBIN Scores (P'!AA12</f>
        <v>6</v>
      </c>
      <c r="D7" s="4">
        <f>'CT Region ROUND ROBIN Scores (P'!AB12</f>
        <v>220</v>
      </c>
      <c r="E7" s="208"/>
      <c r="F7" s="4" t="s">
        <v>35</v>
      </c>
      <c r="G7" s="4" t="s">
        <v>121</v>
      </c>
      <c r="H7" s="4">
        <v>6.0</v>
      </c>
      <c r="I7" s="4">
        <v>334.0</v>
      </c>
      <c r="J7" s="208"/>
      <c r="K7" s="4" t="s">
        <v>12</v>
      </c>
      <c r="L7" s="4" t="s">
        <v>121</v>
      </c>
      <c r="M7" s="4">
        <v>2.0</v>
      </c>
      <c r="N7" s="4">
        <v>200.0</v>
      </c>
      <c r="O7" s="208"/>
      <c r="P7" s="4">
        <v>1.0</v>
      </c>
      <c r="Q7" s="218" t="s">
        <v>8</v>
      </c>
      <c r="R7" s="218" t="s">
        <v>155</v>
      </c>
      <c r="S7" s="218">
        <v>10.0</v>
      </c>
      <c r="T7" s="218">
        <v>750.0</v>
      </c>
      <c r="U7" s="212"/>
      <c r="V7" s="4">
        <v>5.0</v>
      </c>
      <c r="W7" s="4" t="s">
        <v>31</v>
      </c>
      <c r="X7" s="4" t="s">
        <v>121</v>
      </c>
      <c r="Y7" s="4">
        <v>8.0</v>
      </c>
      <c r="Z7" s="4">
        <v>544.0</v>
      </c>
      <c r="AA7" s="4"/>
      <c r="AB7" s="225" t="s">
        <v>200</v>
      </c>
    </row>
    <row r="8" ht="15.75" customHeight="1">
      <c r="A8" s="4" t="str">
        <f>'CT Region ROUND ROBIN Scores (P'!Y13</f>
        <v>CT IB Acad - Team 1</v>
      </c>
      <c r="B8" s="4" t="str">
        <f>'CT Region ROUND ROBIN Scores (P'!Z13</f>
        <v>Division 3 (Silas Adekunle)</v>
      </c>
      <c r="C8" s="4">
        <f>'CT Region ROUND ROBIN Scores (P'!AA13</f>
        <v>0</v>
      </c>
      <c r="D8" s="4">
        <f>'CT Region ROUND ROBIN Scores (P'!AB13</f>
        <v>72</v>
      </c>
      <c r="E8" s="208"/>
      <c r="F8" s="221" t="s">
        <v>31</v>
      </c>
      <c r="G8" s="221" t="s">
        <v>121</v>
      </c>
      <c r="H8" s="221">
        <v>8.0</v>
      </c>
      <c r="I8" s="221">
        <v>606.0</v>
      </c>
      <c r="J8" s="208"/>
      <c r="K8" s="221" t="s">
        <v>156</v>
      </c>
      <c r="L8" s="221" t="s">
        <v>121</v>
      </c>
      <c r="M8" s="221">
        <v>0.0</v>
      </c>
      <c r="N8" s="221">
        <v>70.0</v>
      </c>
      <c r="O8" s="208"/>
      <c r="P8" s="221">
        <v>2.0</v>
      </c>
      <c r="Q8" s="222" t="s">
        <v>48</v>
      </c>
      <c r="R8" s="222" t="s">
        <v>155</v>
      </c>
      <c r="S8" s="222">
        <v>8.0</v>
      </c>
      <c r="T8" s="222">
        <v>438.0</v>
      </c>
      <c r="U8" s="212"/>
      <c r="V8" s="4">
        <v>6.0</v>
      </c>
      <c r="W8" s="4" t="s">
        <v>15</v>
      </c>
      <c r="X8" s="4" t="s">
        <v>176</v>
      </c>
      <c r="Y8" s="4">
        <v>8.0</v>
      </c>
      <c r="Z8" s="218">
        <v>508.0</v>
      </c>
    </row>
    <row r="9" ht="15.75" customHeight="1">
      <c r="A9" s="4" t="str">
        <f>'CT Region ROUND ROBIN Scores (P'!Y14</f>
        <v>CT IB Acad - Team 2</v>
      </c>
      <c r="B9" s="4" t="str">
        <f>'CT Region ROUND ROBIN Scores (P'!Z14</f>
        <v>Division 1 (Temple Grandin)</v>
      </c>
      <c r="C9" s="4">
        <f>'CT Region ROUND ROBIN Scores (P'!AA14</f>
        <v>4</v>
      </c>
      <c r="D9" s="4">
        <f>'CT Region ROUND ROBIN Scores (P'!AB14</f>
        <v>226</v>
      </c>
      <c r="E9" s="208"/>
      <c r="F9" s="4" t="s">
        <v>49</v>
      </c>
      <c r="G9" s="4" t="s">
        <v>143</v>
      </c>
      <c r="H9" s="4">
        <v>2.0</v>
      </c>
      <c r="I9" s="4">
        <v>152.0</v>
      </c>
      <c r="J9" s="208"/>
      <c r="K9" s="4" t="str">
        <f t="array" ref="K9:N14">sort(F9:I14,3,False,4,False)</f>
        <v>Waterford HS - Team 1</v>
      </c>
      <c r="L9" s="4" t="s">
        <v>143</v>
      </c>
      <c r="M9" s="4">
        <v>10.0</v>
      </c>
      <c r="N9" s="4">
        <v>762.0</v>
      </c>
      <c r="O9" s="208"/>
      <c r="P9" s="4">
        <v>1.0</v>
      </c>
      <c r="Q9" s="218" t="s">
        <v>17</v>
      </c>
      <c r="R9" s="218" t="s">
        <v>164</v>
      </c>
      <c r="S9" s="219">
        <v>10.0</v>
      </c>
      <c r="T9" s="218">
        <v>650.0</v>
      </c>
      <c r="U9" s="212"/>
      <c r="V9" s="4">
        <v>7.0</v>
      </c>
      <c r="W9" s="4" t="s">
        <v>34</v>
      </c>
      <c r="X9" s="4" t="s">
        <v>171</v>
      </c>
      <c r="Y9" s="4">
        <v>8.0</v>
      </c>
      <c r="Z9" s="218">
        <v>468.0</v>
      </c>
      <c r="AB9" s="226" t="s">
        <v>201</v>
      </c>
    </row>
    <row r="10" ht="15.75" customHeight="1">
      <c r="A10" s="4" t="str">
        <f>'CT Region ROUND ROBIN Scores (P'!Y15</f>
        <v>CT IB Acad - Team 3</v>
      </c>
      <c r="B10" s="4" t="str">
        <f>'CT Region ROUND ROBIN Scores (P'!Z15</f>
        <v>Division 4 (Ellen Ochoa)</v>
      </c>
      <c r="C10" s="4">
        <f>'CT Region ROUND ROBIN Scores (P'!AA15</f>
        <v>0</v>
      </c>
      <c r="D10" s="4">
        <f>'CT Region ROUND ROBIN Scores (P'!AB15</f>
        <v>146</v>
      </c>
      <c r="E10" s="208"/>
      <c r="F10" s="4" t="s">
        <v>141</v>
      </c>
      <c r="G10" s="4" t="s">
        <v>143</v>
      </c>
      <c r="H10" s="4">
        <v>6.0</v>
      </c>
      <c r="I10" s="4">
        <v>220.0</v>
      </c>
      <c r="J10" s="208"/>
      <c r="K10" s="4" t="s">
        <v>30</v>
      </c>
      <c r="L10" s="4" t="s">
        <v>143</v>
      </c>
      <c r="M10" s="4">
        <v>8.0</v>
      </c>
      <c r="N10" s="4">
        <v>346.0</v>
      </c>
      <c r="O10" s="208"/>
      <c r="P10" s="221">
        <v>2.0</v>
      </c>
      <c r="Q10" s="222" t="s">
        <v>157</v>
      </c>
      <c r="R10" s="222" t="s">
        <v>164</v>
      </c>
      <c r="S10" s="223">
        <v>8.0</v>
      </c>
      <c r="T10" s="222">
        <v>370.0</v>
      </c>
      <c r="U10" s="212"/>
      <c r="V10" s="4">
        <v>8.0</v>
      </c>
      <c r="W10" s="4" t="s">
        <v>27</v>
      </c>
      <c r="X10" s="4" t="s">
        <v>176</v>
      </c>
      <c r="Y10" s="4">
        <v>6.0</v>
      </c>
      <c r="Z10" s="218">
        <v>458.0</v>
      </c>
      <c r="AB10" s="227" t="s">
        <v>200</v>
      </c>
    </row>
    <row r="11" ht="15.75" customHeight="1">
      <c r="A11" s="4" t="str">
        <f>'CT Region ROUND ROBIN Scores (P'!Y16</f>
        <v>East Lyme HS - Team 1</v>
      </c>
      <c r="B11" s="4" t="str">
        <f>'CT Region ROUND ROBIN Scores (P'!Z16</f>
        <v>Division 5 (Ursula Burns)</v>
      </c>
      <c r="C11" s="4">
        <f>'CT Region ROUND ROBIN Scores (P'!AA16</f>
        <v>4</v>
      </c>
      <c r="D11" s="4">
        <f>'CT Region ROUND ROBIN Scores (P'!AB16</f>
        <v>422</v>
      </c>
      <c r="E11" s="208"/>
      <c r="F11" s="4" t="s">
        <v>163</v>
      </c>
      <c r="G11" s="4" t="s">
        <v>143</v>
      </c>
      <c r="H11" s="4">
        <v>0.0</v>
      </c>
      <c r="I11" s="4">
        <v>170.0</v>
      </c>
      <c r="J11" s="208"/>
      <c r="K11" s="4" t="s">
        <v>141</v>
      </c>
      <c r="L11" s="4" t="s">
        <v>143</v>
      </c>
      <c r="M11" s="4">
        <v>6.0</v>
      </c>
      <c r="N11" s="4">
        <v>220.0</v>
      </c>
      <c r="O11" s="208"/>
      <c r="P11" s="4">
        <v>1.0</v>
      </c>
      <c r="Q11" s="218" t="s">
        <v>168</v>
      </c>
      <c r="R11" s="218" t="s">
        <v>171</v>
      </c>
      <c r="S11" s="219">
        <v>10.0</v>
      </c>
      <c r="T11" s="218">
        <v>372.0</v>
      </c>
      <c r="U11" s="212"/>
      <c r="V11" s="4">
        <v>9.0</v>
      </c>
      <c r="W11" s="4" t="s">
        <v>48</v>
      </c>
      <c r="X11" s="4" t="s">
        <v>155</v>
      </c>
      <c r="Y11" s="4">
        <v>8.0</v>
      </c>
      <c r="Z11" s="218">
        <v>438.0</v>
      </c>
    </row>
    <row r="12" ht="15.75" customHeight="1">
      <c r="A12" s="4" t="str">
        <f>'CT Region ROUND ROBIN Scores (P'!Y17</f>
        <v>East Lyme HS - Team 2</v>
      </c>
      <c r="B12" s="4" t="str">
        <f>'CT Region ROUND ROBIN Scores (P'!Z17</f>
        <v>Division 3 (Silas Adekunle)</v>
      </c>
      <c r="C12" s="4">
        <f>'CT Region ROUND ROBIN Scores (P'!AA17</f>
        <v>4</v>
      </c>
      <c r="D12" s="4">
        <f>'CT Region ROUND ROBIN Scores (P'!AB17</f>
        <v>294</v>
      </c>
      <c r="E12" s="208"/>
      <c r="F12" s="4" t="s">
        <v>30</v>
      </c>
      <c r="G12" s="4" t="s">
        <v>143</v>
      </c>
      <c r="H12" s="4">
        <v>8.0</v>
      </c>
      <c r="I12" s="4">
        <v>346.0</v>
      </c>
      <c r="J12" s="208"/>
      <c r="K12" s="4" t="s">
        <v>32</v>
      </c>
      <c r="L12" s="4" t="s">
        <v>143</v>
      </c>
      <c r="M12" s="4">
        <v>4.0</v>
      </c>
      <c r="N12" s="4">
        <v>162.0</v>
      </c>
      <c r="O12" s="208"/>
      <c r="P12" s="221">
        <v>2.0</v>
      </c>
      <c r="Q12" s="222" t="s">
        <v>34</v>
      </c>
      <c r="R12" s="222" t="s">
        <v>171</v>
      </c>
      <c r="S12" s="223">
        <v>8.0</v>
      </c>
      <c r="T12" s="222">
        <v>468.0</v>
      </c>
      <c r="U12" s="212"/>
      <c r="V12" s="4">
        <v>10.0</v>
      </c>
      <c r="W12" s="4" t="s">
        <v>18</v>
      </c>
      <c r="X12" s="4" t="s">
        <v>180</v>
      </c>
      <c r="Y12" s="4">
        <v>10.0</v>
      </c>
      <c r="Z12" s="4">
        <v>420.0</v>
      </c>
      <c r="AA12" s="4"/>
      <c r="AB12" s="228" t="s">
        <v>202</v>
      </c>
    </row>
    <row r="13" ht="15.75" customHeight="1">
      <c r="A13" s="4" t="str">
        <f>'CT Region ROUND ROBIN Scores (P'!Y18</f>
        <v>Enfield HS - Team 1</v>
      </c>
      <c r="B13" s="4" t="str">
        <f>'CT Region ROUND ROBIN Scores (P'!Z18</f>
        <v>Division 3 (Silas Adekunle)</v>
      </c>
      <c r="C13" s="4">
        <f>'CT Region ROUND ROBIN Scores (P'!AA18</f>
        <v>2</v>
      </c>
      <c r="D13" s="4">
        <f>'CT Region ROUND ROBIN Scores (P'!AB18</f>
        <v>142</v>
      </c>
      <c r="E13" s="208"/>
      <c r="F13" s="4" t="s">
        <v>32</v>
      </c>
      <c r="G13" s="4" t="s">
        <v>143</v>
      </c>
      <c r="H13" s="4">
        <v>4.0</v>
      </c>
      <c r="I13" s="4">
        <v>162.0</v>
      </c>
      <c r="J13" s="208"/>
      <c r="K13" s="4" t="s">
        <v>49</v>
      </c>
      <c r="L13" s="4" t="s">
        <v>143</v>
      </c>
      <c r="M13" s="4">
        <v>2.0</v>
      </c>
      <c r="N13" s="4">
        <v>152.0</v>
      </c>
      <c r="O13" s="208"/>
      <c r="P13" s="4">
        <v>1.0</v>
      </c>
      <c r="Q13" s="218" t="s">
        <v>15</v>
      </c>
      <c r="R13" s="218" t="s">
        <v>176</v>
      </c>
      <c r="S13" s="219">
        <v>8.0</v>
      </c>
      <c r="T13" s="218">
        <v>508.0</v>
      </c>
      <c r="U13" s="212"/>
      <c r="V13" s="4">
        <v>11.0</v>
      </c>
      <c r="W13" s="4" t="s">
        <v>22</v>
      </c>
      <c r="X13" s="4" t="s">
        <v>176</v>
      </c>
      <c r="Y13" s="4">
        <v>8.0</v>
      </c>
      <c r="Z13" s="218">
        <v>406.0</v>
      </c>
      <c r="AB13" s="229" t="s">
        <v>198</v>
      </c>
    </row>
    <row r="14" ht="15.75" customHeight="1">
      <c r="A14" s="4" t="str">
        <f>'CT Region ROUND ROBIN Scores (P'!Y19</f>
        <v>Enfield HS - Team 2</v>
      </c>
      <c r="B14" s="4" t="str">
        <f>'CT Region ROUND ROBIN Scores (P'!Z19</f>
        <v>Division 6 (Guillermo Camarena)</v>
      </c>
      <c r="C14" s="4">
        <f>'CT Region ROUND ROBIN Scores (P'!AA19</f>
        <v>2</v>
      </c>
      <c r="D14" s="4">
        <f>'CT Region ROUND ROBIN Scores (P'!AB19</f>
        <v>158</v>
      </c>
      <c r="E14" s="208"/>
      <c r="F14" s="221" t="s">
        <v>41</v>
      </c>
      <c r="G14" s="221" t="s">
        <v>143</v>
      </c>
      <c r="H14" s="221">
        <v>10.0</v>
      </c>
      <c r="I14" s="221">
        <v>762.0</v>
      </c>
      <c r="J14" s="208"/>
      <c r="K14" s="221" t="s">
        <v>163</v>
      </c>
      <c r="L14" s="221" t="s">
        <v>143</v>
      </c>
      <c r="M14" s="221">
        <v>0.0</v>
      </c>
      <c r="N14" s="221">
        <v>170.0</v>
      </c>
      <c r="O14" s="208"/>
      <c r="P14" s="221">
        <v>2.0</v>
      </c>
      <c r="Q14" s="222" t="s">
        <v>22</v>
      </c>
      <c r="R14" s="222" t="s">
        <v>176</v>
      </c>
      <c r="S14" s="223">
        <v>8.0</v>
      </c>
      <c r="T14" s="222">
        <v>406.0</v>
      </c>
      <c r="U14" s="212"/>
      <c r="V14" s="4">
        <v>12.0</v>
      </c>
      <c r="W14" s="4" t="s">
        <v>168</v>
      </c>
      <c r="X14" s="4" t="s">
        <v>171</v>
      </c>
      <c r="Y14" s="4">
        <v>10.0</v>
      </c>
      <c r="Z14" s="218">
        <v>372.0</v>
      </c>
    </row>
    <row r="15" ht="15.75" customHeight="1">
      <c r="A15" s="4" t="str">
        <f>'CT Region ROUND ROBIN Scores (P'!Y20</f>
        <v>Enfield HS - Team 3</v>
      </c>
      <c r="B15" s="4" t="str">
        <f>'CT Region ROUND ROBIN Scores (P'!Z20</f>
        <v>Division 7 (Irene Uchida)</v>
      </c>
      <c r="C15" s="4">
        <f>'CT Region ROUND ROBIN Scores (P'!AA20</f>
        <v>2</v>
      </c>
      <c r="D15" s="4">
        <f>'CT Region ROUND ROBIN Scores (P'!AB20</f>
        <v>156</v>
      </c>
      <c r="E15" s="208"/>
      <c r="F15" s="4" t="s">
        <v>48</v>
      </c>
      <c r="G15" s="4" t="s">
        <v>155</v>
      </c>
      <c r="H15" s="4">
        <v>8.0</v>
      </c>
      <c r="I15" s="4">
        <v>438.0</v>
      </c>
      <c r="J15" s="208"/>
      <c r="K15" s="4" t="str">
        <f t="array" ref="K15:N20">sort(F15:I20,3,False,4,False)</f>
        <v>EO Smith HS - Team 1</v>
      </c>
      <c r="L15" s="4" t="s">
        <v>155</v>
      </c>
      <c r="M15" s="4">
        <v>10.0</v>
      </c>
      <c r="N15" s="4">
        <v>750.0</v>
      </c>
      <c r="O15" s="208"/>
      <c r="P15" s="4">
        <v>1.0</v>
      </c>
      <c r="Q15" s="218" t="s">
        <v>18</v>
      </c>
      <c r="R15" s="218" t="s">
        <v>180</v>
      </c>
      <c r="S15" s="219">
        <v>10.0</v>
      </c>
      <c r="T15" s="218">
        <v>420.0</v>
      </c>
      <c r="U15" s="212"/>
      <c r="V15" s="4">
        <v>13.0</v>
      </c>
      <c r="W15" s="4" t="s">
        <v>157</v>
      </c>
      <c r="X15" s="4" t="s">
        <v>164</v>
      </c>
      <c r="Y15" s="4">
        <v>8.0</v>
      </c>
      <c r="Z15" s="218">
        <v>370.0</v>
      </c>
    </row>
    <row r="16" ht="15.75" customHeight="1">
      <c r="A16" s="4" t="str">
        <f>'CT Region ROUND ROBIN Scores (P'!Y21</f>
        <v>EO Smith HS - Team 1</v>
      </c>
      <c r="B16" s="4" t="str">
        <f>'CT Region ROUND ROBIN Scores (P'!Z21</f>
        <v>Division 3 (Silas Adekunle)</v>
      </c>
      <c r="C16" s="4">
        <f>'CT Region ROUND ROBIN Scores (P'!AA21</f>
        <v>10</v>
      </c>
      <c r="D16" s="4">
        <f>'CT Region ROUND ROBIN Scores (P'!AB21</f>
        <v>750</v>
      </c>
      <c r="E16" s="208"/>
      <c r="F16" s="4" t="s">
        <v>142</v>
      </c>
      <c r="G16" s="4" t="s">
        <v>155</v>
      </c>
      <c r="H16" s="4">
        <v>0.0</v>
      </c>
      <c r="I16" s="4">
        <v>72.0</v>
      </c>
      <c r="J16" s="208"/>
      <c r="K16" s="4" t="s">
        <v>48</v>
      </c>
      <c r="L16" s="4" t="s">
        <v>155</v>
      </c>
      <c r="M16" s="4">
        <v>8.0</v>
      </c>
      <c r="N16" s="4">
        <v>438.0</v>
      </c>
      <c r="O16" s="230"/>
      <c r="P16" s="221">
        <v>2.0</v>
      </c>
      <c r="Q16" s="218" t="s">
        <v>149</v>
      </c>
      <c r="R16" s="218" t="s">
        <v>180</v>
      </c>
      <c r="S16" s="219">
        <v>6.0</v>
      </c>
      <c r="T16" s="218">
        <v>264.0</v>
      </c>
      <c r="U16" s="231"/>
      <c r="V16" s="4">
        <v>14.0</v>
      </c>
      <c r="W16" s="4" t="s">
        <v>30</v>
      </c>
      <c r="X16" s="4" t="s">
        <v>143</v>
      </c>
      <c r="Y16" s="4">
        <v>8.0</v>
      </c>
      <c r="Z16" s="218">
        <v>346.0</v>
      </c>
    </row>
    <row r="17" ht="15.75" customHeight="1">
      <c r="A17" s="4" t="str">
        <f>'CT Region ROUND ROBIN Scores (P'!Y22</f>
        <v>EO Smith HS - Team 2</v>
      </c>
      <c r="B17" s="4" t="str">
        <f>'CT Region ROUND ROBIN Scores (P'!Z22</f>
        <v>Division 5 (Ursula Burns)</v>
      </c>
      <c r="C17" s="4">
        <f>'CT Region ROUND ROBIN Scores (P'!AA22</f>
        <v>6</v>
      </c>
      <c r="D17" s="4">
        <f>'CT Region ROUND ROBIN Scores (P'!AB22</f>
        <v>298</v>
      </c>
      <c r="E17" s="208"/>
      <c r="F17" s="4" t="s">
        <v>11</v>
      </c>
      <c r="G17" s="4" t="s">
        <v>155</v>
      </c>
      <c r="H17" s="4">
        <v>4.0</v>
      </c>
      <c r="I17" s="4">
        <v>294.0</v>
      </c>
      <c r="J17" s="208"/>
      <c r="K17" s="4" t="s">
        <v>28</v>
      </c>
      <c r="L17" s="4" t="s">
        <v>155</v>
      </c>
      <c r="M17" s="4">
        <v>6.0</v>
      </c>
      <c r="N17" s="4">
        <v>328.0</v>
      </c>
      <c r="O17" s="208"/>
      <c r="P17" s="232">
        <v>1.0</v>
      </c>
      <c r="Q17" s="233" t="s">
        <v>27</v>
      </c>
      <c r="R17" s="234" t="s">
        <v>176</v>
      </c>
      <c r="S17" s="234">
        <v>6.0</v>
      </c>
      <c r="T17" s="234">
        <v>458.0</v>
      </c>
      <c r="U17" s="212"/>
      <c r="V17" s="4">
        <v>15.0</v>
      </c>
      <c r="W17" s="218" t="s">
        <v>9</v>
      </c>
      <c r="X17" s="4" t="s">
        <v>171</v>
      </c>
      <c r="Y17" s="4">
        <v>6.0</v>
      </c>
      <c r="Z17" s="218">
        <v>298.0</v>
      </c>
    </row>
    <row r="18" ht="15.75" customHeight="1">
      <c r="A18" s="4" t="str">
        <f>'CT Region ROUND ROBIN Scores (P'!Y23</f>
        <v>Ethel Walker School</v>
      </c>
      <c r="B18" s="4" t="str">
        <f>'CT Region ROUND ROBIN Scores (P'!Z23</f>
        <v>Division 1 (Temple Grandin)</v>
      </c>
      <c r="C18" s="4">
        <f>'CT Region ROUND ROBIN Scores (P'!AA23</f>
        <v>0</v>
      </c>
      <c r="D18" s="4">
        <f>'CT Region ROUND ROBIN Scores (P'!AB23</f>
        <v>70</v>
      </c>
      <c r="E18" s="208"/>
      <c r="F18" s="4" t="s">
        <v>150</v>
      </c>
      <c r="G18" s="4" t="s">
        <v>155</v>
      </c>
      <c r="H18" s="4">
        <v>2.0</v>
      </c>
      <c r="I18" s="4">
        <v>142.0</v>
      </c>
      <c r="J18" s="208"/>
      <c r="K18" s="4" t="s">
        <v>11</v>
      </c>
      <c r="L18" s="4" t="s">
        <v>155</v>
      </c>
      <c r="M18" s="4">
        <v>4.0</v>
      </c>
      <c r="N18" s="4">
        <v>294.0</v>
      </c>
      <c r="O18" s="208"/>
      <c r="P18" s="232">
        <v>2.0</v>
      </c>
      <c r="Q18" s="233" t="s">
        <v>9</v>
      </c>
      <c r="R18" s="4" t="s">
        <v>171</v>
      </c>
      <c r="S18" s="4">
        <v>6.0</v>
      </c>
      <c r="T18" s="4">
        <v>298.0</v>
      </c>
      <c r="U18" s="212"/>
      <c r="V18" s="4">
        <v>16.0</v>
      </c>
      <c r="W18" s="4" t="s">
        <v>149</v>
      </c>
      <c r="X18" s="4" t="s">
        <v>180</v>
      </c>
      <c r="Y18" s="4">
        <v>6.0</v>
      </c>
      <c r="Z18" s="4">
        <v>264.0</v>
      </c>
      <c r="AA18" s="4"/>
    </row>
    <row r="19" ht="15.75" customHeight="1">
      <c r="A19" s="4" t="str">
        <f>'CT Region ROUND ROBIN Scores (P'!Y24</f>
        <v>Fairfield Ludlowe HS</v>
      </c>
      <c r="B19" s="4" t="str">
        <f>'CT Region ROUND ROBIN Scores (P'!Z24</f>
        <v>Division 1 (Temple Grandin)</v>
      </c>
      <c r="C19" s="4">
        <f>'CT Region ROUND ROBIN Scores (P'!AA24</f>
        <v>2</v>
      </c>
      <c r="D19" s="4">
        <f>'CT Region ROUND ROBIN Scores (P'!AB24</f>
        <v>200</v>
      </c>
      <c r="E19" s="208"/>
      <c r="F19" s="4" t="s">
        <v>8</v>
      </c>
      <c r="G19" s="4" t="s">
        <v>155</v>
      </c>
      <c r="H19" s="4">
        <v>10.0</v>
      </c>
      <c r="I19" s="4">
        <v>750.0</v>
      </c>
      <c r="J19" s="208"/>
      <c r="K19" s="4" t="s">
        <v>150</v>
      </c>
      <c r="L19" s="4" t="s">
        <v>155</v>
      </c>
      <c r="M19" s="4">
        <v>2.0</v>
      </c>
      <c r="N19" s="4">
        <v>142.0</v>
      </c>
      <c r="O19" s="208"/>
      <c r="U19" s="212"/>
      <c r="V19" s="217" t="s">
        <v>203</v>
      </c>
      <c r="W19" s="219"/>
      <c r="X19" s="219"/>
    </row>
    <row r="20" ht="15.75" customHeight="1">
      <c r="A20" s="4" t="str">
        <f>'CT Region ROUND ROBIN Scores (P'!Y25</f>
        <v>Fairfield Warde HS - Team 1</v>
      </c>
      <c r="B20" s="4" t="str">
        <f>'CT Region ROUND ROBIN Scores (P'!Z25</f>
        <v>Division 4 (Ellen Ochoa)</v>
      </c>
      <c r="C20" s="4">
        <f>'CT Region ROUND ROBIN Scores (P'!AA25</f>
        <v>8</v>
      </c>
      <c r="D20" s="4">
        <f>'CT Region ROUND ROBIN Scores (P'!AB25</f>
        <v>370</v>
      </c>
      <c r="E20" s="208"/>
      <c r="F20" s="221" t="s">
        <v>28</v>
      </c>
      <c r="G20" s="221" t="s">
        <v>155</v>
      </c>
      <c r="H20" s="221">
        <v>6.0</v>
      </c>
      <c r="I20" s="221">
        <v>328.0</v>
      </c>
      <c r="J20" s="208"/>
      <c r="K20" s="221" t="s">
        <v>142</v>
      </c>
      <c r="L20" s="221" t="s">
        <v>155</v>
      </c>
      <c r="M20" s="221">
        <v>0.0</v>
      </c>
      <c r="N20" s="221">
        <v>72.0</v>
      </c>
      <c r="O20" s="208"/>
      <c r="U20" s="212"/>
      <c r="V20" s="217" t="s">
        <v>204</v>
      </c>
    </row>
    <row r="21" ht="15.75" customHeight="1">
      <c r="A21" s="4" t="str">
        <f>'CT Region ROUND ROBIN Scores (P'!Y26</f>
        <v>Fairfield Warde HS - Team 2</v>
      </c>
      <c r="B21" s="4" t="str">
        <f>'CT Region ROUND ROBIN Scores (P'!Z26</f>
        <v>Division 6 (Guillermo Camarena)</v>
      </c>
      <c r="C21" s="4">
        <f>'CT Region ROUND ROBIN Scores (P'!AA26</f>
        <v>0</v>
      </c>
      <c r="D21" s="4">
        <f>'CT Region ROUND ROBIN Scores (P'!AB26</f>
        <v>146</v>
      </c>
      <c r="E21" s="208"/>
      <c r="F21" s="4" t="s">
        <v>139</v>
      </c>
      <c r="G21" s="4" t="s">
        <v>164</v>
      </c>
      <c r="H21" s="4">
        <v>6.0</v>
      </c>
      <c r="I21" s="4">
        <v>290.0</v>
      </c>
      <c r="J21" s="208"/>
      <c r="K21" s="4" t="str">
        <f t="array" ref="K21:N26">sort(F21:I26,3,False,4,False)</f>
        <v>Greenwich HS - Team 1</v>
      </c>
      <c r="L21" s="4" t="s">
        <v>164</v>
      </c>
      <c r="M21" s="4">
        <v>10.0</v>
      </c>
      <c r="N21" s="4">
        <v>650.0</v>
      </c>
      <c r="O21" s="208"/>
      <c r="P21" s="216" t="s">
        <v>205</v>
      </c>
      <c r="U21" s="212"/>
      <c r="V21" s="1"/>
      <c r="W21" s="218" t="s">
        <v>35</v>
      </c>
      <c r="X21" s="218" t="s">
        <v>121</v>
      </c>
      <c r="Y21" s="218">
        <v>6.0</v>
      </c>
      <c r="Z21" s="218">
        <v>334.0</v>
      </c>
    </row>
    <row r="22" ht="15.75" customHeight="1">
      <c r="A22" s="4" t="str">
        <f>'CT Region ROUND ROBIN Scores (P'!Y27</f>
        <v>Farmington HS - Team 1</v>
      </c>
      <c r="B22" s="4" t="str">
        <f>'CT Region ROUND ROBIN Scores (P'!Z27</f>
        <v>Division 1 (Temple Grandin)</v>
      </c>
      <c r="C22" s="4">
        <f>'CT Region ROUND ROBIN Scores (P'!AA27</f>
        <v>10</v>
      </c>
      <c r="D22" s="4">
        <f>'CT Region ROUND ROBIN Scores (P'!AB27</f>
        <v>1030</v>
      </c>
      <c r="E22" s="208"/>
      <c r="F22" s="4" t="s">
        <v>146</v>
      </c>
      <c r="G22" s="4" t="s">
        <v>164</v>
      </c>
      <c r="H22" s="4">
        <v>0.0</v>
      </c>
      <c r="I22" s="4">
        <v>146.0</v>
      </c>
      <c r="J22" s="208"/>
      <c r="K22" s="4" t="s">
        <v>157</v>
      </c>
      <c r="L22" s="4" t="s">
        <v>164</v>
      </c>
      <c r="M22" s="4">
        <v>8.0</v>
      </c>
      <c r="N22" s="4">
        <v>370.0</v>
      </c>
      <c r="O22" s="208"/>
      <c r="Q22" s="4" t="str">
        <f t="array" ref="Q22:T25">sort(K5:N8,3,false)</f>
        <v>Loomis Chaffee - Team 2</v>
      </c>
      <c r="R22" s="234" t="s">
        <v>121</v>
      </c>
      <c r="S22" s="234">
        <v>6.0</v>
      </c>
      <c r="T22" s="234">
        <v>334.0</v>
      </c>
      <c r="U22" s="212"/>
      <c r="V22" s="4"/>
      <c r="W22" s="4" t="s">
        <v>141</v>
      </c>
      <c r="X22" s="4" t="s">
        <v>143</v>
      </c>
      <c r="Y22" s="4">
        <v>6.0</v>
      </c>
      <c r="Z22" s="4">
        <v>220.0</v>
      </c>
      <c r="AA22" s="4"/>
      <c r="AB22" s="4"/>
    </row>
    <row r="23" ht="15.75" customHeight="1">
      <c r="A23" s="4" t="str">
        <f>'CT Region ROUND ROBIN Scores (P'!Y28</f>
        <v>Farmington HS - Team 2</v>
      </c>
      <c r="B23" s="4" t="str">
        <f>'CT Region ROUND ROBIN Scores (P'!Z28</f>
        <v>Division 6 (Guillermo Camarena)</v>
      </c>
      <c r="C23" s="4">
        <f>'CT Region ROUND ROBIN Scores (P'!AA28</f>
        <v>8</v>
      </c>
      <c r="D23" s="4">
        <f>'CT Region ROUND ROBIN Scores (P'!AB28</f>
        <v>508</v>
      </c>
      <c r="E23" s="208"/>
      <c r="F23" s="4" t="s">
        <v>157</v>
      </c>
      <c r="G23" s="4" t="s">
        <v>164</v>
      </c>
      <c r="H23" s="4">
        <v>8.0</v>
      </c>
      <c r="I23" s="4">
        <v>370.0</v>
      </c>
      <c r="J23" s="208"/>
      <c r="K23" s="4" t="s">
        <v>139</v>
      </c>
      <c r="L23" s="4" t="s">
        <v>164</v>
      </c>
      <c r="M23" s="4">
        <v>6.0</v>
      </c>
      <c r="N23" s="4">
        <v>290.0</v>
      </c>
      <c r="O23" s="208"/>
      <c r="Q23" s="4" t="s">
        <v>144</v>
      </c>
      <c r="R23" s="234" t="s">
        <v>121</v>
      </c>
      <c r="S23" s="234">
        <v>4.0</v>
      </c>
      <c r="T23" s="234">
        <v>226.0</v>
      </c>
      <c r="U23" s="212"/>
      <c r="V23" s="4"/>
      <c r="W23" s="4" t="s">
        <v>139</v>
      </c>
      <c r="X23" s="4" t="s">
        <v>164</v>
      </c>
      <c r="Y23" s="4">
        <v>6.0</v>
      </c>
      <c r="Z23" s="4">
        <v>290.0</v>
      </c>
      <c r="AA23" s="4"/>
      <c r="AB23" s="4"/>
    </row>
    <row r="24" ht="15.75" customHeight="1">
      <c r="A24" s="4" t="str">
        <f>'CT Region ROUND ROBIN Scores (P'!Y29</f>
        <v>Greenwich HS - Team 1</v>
      </c>
      <c r="B24" s="4" t="str">
        <f>'CT Region ROUND ROBIN Scores (P'!Z29</f>
        <v>Division 4 (Ellen Ochoa)</v>
      </c>
      <c r="C24" s="4">
        <f>'CT Region ROUND ROBIN Scores (P'!AA29</f>
        <v>10</v>
      </c>
      <c r="D24" s="4">
        <f>'CT Region ROUND ROBIN Scores (P'!AB29</f>
        <v>650</v>
      </c>
      <c r="E24" s="208"/>
      <c r="F24" s="4" t="s">
        <v>17</v>
      </c>
      <c r="G24" s="4" t="s">
        <v>164</v>
      </c>
      <c r="H24" s="4">
        <v>10.0</v>
      </c>
      <c r="I24" s="4">
        <v>650.0</v>
      </c>
      <c r="J24" s="208"/>
      <c r="K24" s="4" t="s">
        <v>21</v>
      </c>
      <c r="L24" s="4" t="s">
        <v>164</v>
      </c>
      <c r="M24" s="4">
        <v>4.0</v>
      </c>
      <c r="N24" s="4">
        <v>248.0</v>
      </c>
      <c r="O24" s="208"/>
      <c r="Q24" s="4" t="s">
        <v>12</v>
      </c>
      <c r="R24" s="234" t="s">
        <v>121</v>
      </c>
      <c r="S24" s="234">
        <v>2.0</v>
      </c>
      <c r="T24" s="234">
        <v>200.0</v>
      </c>
      <c r="U24" s="212"/>
      <c r="V24" s="4"/>
      <c r="W24" s="4" t="s">
        <v>9</v>
      </c>
      <c r="X24" s="4" t="s">
        <v>171</v>
      </c>
      <c r="Y24" s="4">
        <v>6.0</v>
      </c>
      <c r="Z24" s="4">
        <v>298.0</v>
      </c>
      <c r="AA24" s="4"/>
      <c r="AB24" s="4"/>
    </row>
    <row r="25" ht="15.75" customHeight="1">
      <c r="A25" s="4" t="str">
        <f>'CT Region ROUND ROBIN Scores (P'!Y30</f>
        <v>Greenwich HS - Team 2</v>
      </c>
      <c r="B25" s="4" t="str">
        <f>'CT Region ROUND ROBIN Scores (P'!Z30</f>
        <v>Division 7 (Irene Uchida)</v>
      </c>
      <c r="C25" s="4">
        <f>'CT Region ROUND ROBIN Scores (P'!AA30</f>
        <v>10</v>
      </c>
      <c r="D25" s="4">
        <f>'CT Region ROUND ROBIN Scores (P'!AB30</f>
        <v>420</v>
      </c>
      <c r="E25" s="208"/>
      <c r="F25" s="4" t="s">
        <v>21</v>
      </c>
      <c r="G25" s="4" t="s">
        <v>164</v>
      </c>
      <c r="H25" s="4">
        <v>4.0</v>
      </c>
      <c r="I25" s="4">
        <v>248.0</v>
      </c>
      <c r="J25" s="208"/>
      <c r="K25" s="4" t="s">
        <v>23</v>
      </c>
      <c r="L25" s="4" t="s">
        <v>164</v>
      </c>
      <c r="M25" s="4">
        <v>2.0</v>
      </c>
      <c r="N25" s="4">
        <v>212.0</v>
      </c>
      <c r="O25" s="208"/>
      <c r="P25" s="221"/>
      <c r="Q25" s="221" t="s">
        <v>156</v>
      </c>
      <c r="R25" s="235" t="s">
        <v>121</v>
      </c>
      <c r="S25" s="235">
        <v>0.0</v>
      </c>
      <c r="T25" s="235">
        <v>70.0</v>
      </c>
      <c r="U25" s="212"/>
      <c r="V25" s="4"/>
      <c r="W25" s="4" t="s">
        <v>27</v>
      </c>
      <c r="X25" s="4" t="s">
        <v>176</v>
      </c>
      <c r="Y25" s="4">
        <v>6.0</v>
      </c>
      <c r="Z25" s="4">
        <v>458.0</v>
      </c>
      <c r="AA25" s="4"/>
      <c r="AB25" s="4"/>
    </row>
    <row r="26" ht="15.75" customHeight="1">
      <c r="A26" s="4" t="str">
        <f>'CT Region ROUND ROBIN Scores (P'!Y31</f>
        <v>Greenwich HS - Team 3</v>
      </c>
      <c r="B26" s="4" t="str">
        <f>'CT Region ROUND ROBIN Scores (P'!Z31</f>
        <v>Division 2 (Marian Croak)</v>
      </c>
      <c r="C26" s="4">
        <f>'CT Region ROUND ROBIN Scores (P'!AA31</f>
        <v>0</v>
      </c>
      <c r="D26" s="4">
        <f>'CT Region ROUND ROBIN Scores (P'!AB31</f>
        <v>170</v>
      </c>
      <c r="E26" s="208"/>
      <c r="F26" s="221" t="s">
        <v>23</v>
      </c>
      <c r="G26" s="221" t="s">
        <v>164</v>
      </c>
      <c r="H26" s="221">
        <v>2.0</v>
      </c>
      <c r="I26" s="221">
        <v>212.0</v>
      </c>
      <c r="J26" s="208"/>
      <c r="K26" s="221" t="s">
        <v>146</v>
      </c>
      <c r="L26" s="221" t="s">
        <v>164</v>
      </c>
      <c r="M26" s="221">
        <v>0.0</v>
      </c>
      <c r="N26" s="221">
        <v>146.0</v>
      </c>
      <c r="O26" s="208"/>
      <c r="Q26" s="4" t="str">
        <f t="array" ref="Q26:T29">sort(K11:N14,3,false)</f>
        <v>Conard HS - Team 2</v>
      </c>
      <c r="R26" s="234" t="s">
        <v>143</v>
      </c>
      <c r="S26" s="234">
        <v>6.0</v>
      </c>
      <c r="T26" s="234">
        <v>220.0</v>
      </c>
      <c r="U26" s="212"/>
      <c r="V26" s="4"/>
      <c r="W26" s="4" t="s">
        <v>73</v>
      </c>
      <c r="X26" s="4" t="s">
        <v>176</v>
      </c>
      <c r="Y26" s="4">
        <v>6.0</v>
      </c>
      <c r="Z26" s="4">
        <v>306.0</v>
      </c>
      <c r="AA26" s="4"/>
      <c r="AB26" s="4"/>
    </row>
    <row r="27" ht="15.75" customHeight="1">
      <c r="A27" s="4" t="str">
        <f>'CT Region ROUND ROBIN Scores (P'!Y32</f>
        <v>Greenwich HS - Team 4</v>
      </c>
      <c r="B27" s="4" t="str">
        <f>'CT Region ROUND ROBIN Scores (P'!Z32</f>
        <v>Division 8 (Bernardo Houssay) - Canceled Division - Sorry!</v>
      </c>
      <c r="C27" s="4">
        <f>'CT Region ROUND ROBIN Scores (P'!AA32</f>
        <v>0</v>
      </c>
      <c r="D27" s="4">
        <f>'CT Region ROUND ROBIN Scores (P'!AB32</f>
        <v>0</v>
      </c>
      <c r="E27" s="208"/>
      <c r="F27" s="4" t="s">
        <v>10</v>
      </c>
      <c r="G27" s="4" t="s">
        <v>171</v>
      </c>
      <c r="H27" s="4">
        <v>4.0</v>
      </c>
      <c r="I27" s="4">
        <v>422.0</v>
      </c>
      <c r="J27" s="208"/>
      <c r="K27" s="4" t="str">
        <f t="array" ref="K27:N32">sort(F27:I32,3,False,4,False)</f>
        <v>Univ HS Sci &amp; Eng</v>
      </c>
      <c r="L27" s="4" t="s">
        <v>171</v>
      </c>
      <c r="M27" s="4">
        <v>10.0</v>
      </c>
      <c r="N27" s="4">
        <v>372.0</v>
      </c>
      <c r="O27" s="208"/>
      <c r="Q27" s="4" t="s">
        <v>32</v>
      </c>
      <c r="R27" s="234" t="s">
        <v>143</v>
      </c>
      <c r="S27" s="234">
        <v>4.0</v>
      </c>
      <c r="T27" s="234">
        <v>162.0</v>
      </c>
      <c r="U27" s="212"/>
      <c r="V27" s="4"/>
      <c r="W27" s="236" t="s">
        <v>54</v>
      </c>
      <c r="X27" s="236" t="s">
        <v>180</v>
      </c>
      <c r="Y27" s="236">
        <v>6.0</v>
      </c>
      <c r="Z27" s="236">
        <v>294.0</v>
      </c>
      <c r="AA27" s="4"/>
      <c r="AB27" s="4"/>
    </row>
    <row r="28" ht="15.75" customHeight="1">
      <c r="A28" s="4" t="str">
        <f>'CT Region ROUND ROBIN Scores (P'!Y33</f>
        <v>Joel Barlow HS</v>
      </c>
      <c r="B28" s="4" t="str">
        <f>'CT Region ROUND ROBIN Scores (P'!Z33</f>
        <v>Division 4 (Ellen Ochoa)</v>
      </c>
      <c r="C28" s="4">
        <f>'CT Region ROUND ROBIN Scores (P'!AA33</f>
        <v>4</v>
      </c>
      <c r="D28" s="4">
        <f>'CT Region ROUND ROBIN Scores (P'!AB33</f>
        <v>248</v>
      </c>
      <c r="E28" s="208"/>
      <c r="F28" s="4" t="s">
        <v>9</v>
      </c>
      <c r="G28" s="4" t="s">
        <v>171</v>
      </c>
      <c r="H28" s="4">
        <v>6.0</v>
      </c>
      <c r="I28" s="4">
        <v>298.0</v>
      </c>
      <c r="J28" s="208"/>
      <c r="K28" s="4" t="s">
        <v>34</v>
      </c>
      <c r="L28" s="4" t="s">
        <v>171</v>
      </c>
      <c r="M28" s="4">
        <v>8.0</v>
      </c>
      <c r="N28" s="4">
        <v>468.0</v>
      </c>
      <c r="O28" s="208"/>
      <c r="Q28" s="4" t="s">
        <v>49</v>
      </c>
      <c r="R28" s="234" t="s">
        <v>143</v>
      </c>
      <c r="S28" s="234">
        <v>2.0</v>
      </c>
      <c r="T28" s="234">
        <v>152.0</v>
      </c>
      <c r="U28" s="212"/>
      <c r="V28" s="4"/>
      <c r="W28" s="4" t="s">
        <v>28</v>
      </c>
      <c r="X28" s="4" t="s">
        <v>155</v>
      </c>
      <c r="Y28" s="4">
        <v>6.0</v>
      </c>
      <c r="Z28" s="4">
        <v>328.0</v>
      </c>
      <c r="AA28" s="4"/>
      <c r="AB28" s="4"/>
    </row>
    <row r="29" ht="15.75" customHeight="1">
      <c r="A29" s="4" t="str">
        <f>'CT Region ROUND ROBIN Scores (P'!Y34</f>
        <v>Loomis Chaffee - Team 1</v>
      </c>
      <c r="B29" s="4" t="str">
        <f>'CT Region ROUND ROBIN Scores (P'!Z34</f>
        <v>Division 5 (Ursula Burns)</v>
      </c>
      <c r="C29" s="4">
        <f>'CT Region ROUND ROBIN Scores (P'!AA34</f>
        <v>8</v>
      </c>
      <c r="D29" s="4">
        <f>'CT Region ROUND ROBIN Scores (P'!AB34</f>
        <v>468</v>
      </c>
      <c r="E29" s="208"/>
      <c r="F29" s="4" t="s">
        <v>34</v>
      </c>
      <c r="G29" s="4" t="s">
        <v>171</v>
      </c>
      <c r="H29" s="4">
        <v>8.0</v>
      </c>
      <c r="I29" s="4">
        <v>468.0</v>
      </c>
      <c r="J29" s="208"/>
      <c r="K29" s="4" t="s">
        <v>9</v>
      </c>
      <c r="L29" s="4" t="s">
        <v>171</v>
      </c>
      <c r="M29" s="4">
        <v>6.0</v>
      </c>
      <c r="N29" s="4">
        <v>298.0</v>
      </c>
      <c r="O29" s="208"/>
      <c r="P29" s="221"/>
      <c r="Q29" s="221" t="s">
        <v>163</v>
      </c>
      <c r="R29" s="235" t="s">
        <v>143</v>
      </c>
      <c r="S29" s="235">
        <v>0.0</v>
      </c>
      <c r="T29" s="235">
        <v>170.0</v>
      </c>
      <c r="U29" s="212"/>
      <c r="V29" s="4"/>
      <c r="W29" s="236" t="s">
        <v>149</v>
      </c>
      <c r="X29" s="236" t="s">
        <v>180</v>
      </c>
      <c r="Y29" s="236">
        <v>6.0</v>
      </c>
      <c r="Z29" s="4"/>
      <c r="AA29" s="4"/>
      <c r="AB29" s="4"/>
    </row>
    <row r="30" ht="15.75" customHeight="1">
      <c r="A30" s="4" t="str">
        <f>'CT Region ROUND ROBIN Scores (P'!Y35</f>
        <v>Loomis Chaffee - Team 2</v>
      </c>
      <c r="B30" s="4" t="str">
        <f>'CT Region ROUND ROBIN Scores (P'!Z35</f>
        <v>Division 1 (Temple Grandin)</v>
      </c>
      <c r="C30" s="4">
        <f>'CT Region ROUND ROBIN Scores (P'!AA35</f>
        <v>6</v>
      </c>
      <c r="D30" s="4">
        <f>'CT Region ROUND ROBIN Scores (P'!AB35</f>
        <v>334</v>
      </c>
      <c r="E30" s="208"/>
      <c r="F30" s="4" t="s">
        <v>37</v>
      </c>
      <c r="G30" s="4" t="s">
        <v>171</v>
      </c>
      <c r="H30" s="4">
        <v>0.0</v>
      </c>
      <c r="I30" s="4">
        <v>114.0</v>
      </c>
      <c r="J30" s="208"/>
      <c r="K30" s="4" t="s">
        <v>10</v>
      </c>
      <c r="L30" s="4" t="s">
        <v>171</v>
      </c>
      <c r="M30" s="4">
        <v>4.0</v>
      </c>
      <c r="N30" s="4">
        <v>422.0</v>
      </c>
      <c r="O30" s="208"/>
      <c r="Q30" s="4" t="str">
        <f t="array" ref="Q30:T33">sort(K17:N20,3,false)</f>
        <v>Rocky Hill HS - Team 2</v>
      </c>
      <c r="R30" s="234" t="s">
        <v>155</v>
      </c>
      <c r="S30" s="234">
        <v>6.0</v>
      </c>
      <c r="T30" s="234">
        <v>328.0</v>
      </c>
      <c r="U30" s="212"/>
      <c r="V30" s="4"/>
      <c r="W30" s="4"/>
      <c r="X30" s="4"/>
      <c r="Y30" s="4"/>
      <c r="Z30" s="4"/>
      <c r="AA30" s="4"/>
      <c r="AB30" s="4"/>
    </row>
    <row r="31" ht="15.75" customHeight="1">
      <c r="A31" s="4" t="str">
        <f>'CT Region ROUND ROBIN Scores (P'!Y36</f>
        <v>New Canaan HS - Team 1</v>
      </c>
      <c r="B31" s="4" t="str">
        <f>'CT Region ROUND ROBIN Scores (P'!Z36</f>
        <v>Division 6 (Guillermo Camarena)</v>
      </c>
      <c r="C31" s="4">
        <f>'CT Region ROUND ROBIN Scores (P'!AA36</f>
        <v>8</v>
      </c>
      <c r="D31" s="4">
        <f>'CT Region ROUND ROBIN Scores (P'!AB36</f>
        <v>406</v>
      </c>
      <c r="E31" s="208"/>
      <c r="F31" s="4" t="s">
        <v>168</v>
      </c>
      <c r="G31" s="4" t="s">
        <v>171</v>
      </c>
      <c r="H31" s="4">
        <v>10.0</v>
      </c>
      <c r="I31" s="4">
        <v>372.0</v>
      </c>
      <c r="J31" s="208"/>
      <c r="K31" s="4" t="s">
        <v>42</v>
      </c>
      <c r="L31" s="4" t="s">
        <v>171</v>
      </c>
      <c r="M31" s="4">
        <v>2.0</v>
      </c>
      <c r="N31" s="4">
        <v>168.0</v>
      </c>
      <c r="O31" s="208"/>
      <c r="Q31" s="4" t="s">
        <v>11</v>
      </c>
      <c r="R31" s="234" t="s">
        <v>155</v>
      </c>
      <c r="S31" s="234">
        <v>4.0</v>
      </c>
      <c r="T31" s="234">
        <v>294.0</v>
      </c>
      <c r="U31" s="212"/>
      <c r="V31" s="4"/>
      <c r="W31" s="4"/>
      <c r="X31" s="4"/>
      <c r="Y31" s="4"/>
      <c r="Z31" s="4"/>
      <c r="AA31" s="4"/>
      <c r="AB31" s="4"/>
    </row>
    <row r="32" ht="15.75" customHeight="1">
      <c r="A32" s="4" t="str">
        <f>'CT Region ROUND ROBIN Scores (P'!Y37</f>
        <v>New Canaan HS - Team 2</v>
      </c>
      <c r="B32" s="4" t="str">
        <f>'CT Region ROUND ROBIN Scores (P'!Z37</f>
        <v>Division 4 (Ellen Ochoa)</v>
      </c>
      <c r="C32" s="4">
        <f>'CT Region ROUND ROBIN Scores (P'!AA37</f>
        <v>2</v>
      </c>
      <c r="D32" s="4">
        <f>'CT Region ROUND ROBIN Scores (P'!AB37</f>
        <v>212</v>
      </c>
      <c r="E32" s="208"/>
      <c r="F32" s="221" t="s">
        <v>42</v>
      </c>
      <c r="G32" s="221" t="s">
        <v>171</v>
      </c>
      <c r="H32" s="221">
        <v>2.0</v>
      </c>
      <c r="I32" s="221">
        <v>168.0</v>
      </c>
      <c r="J32" s="208"/>
      <c r="K32" s="221" t="s">
        <v>37</v>
      </c>
      <c r="L32" s="221" t="s">
        <v>171</v>
      </c>
      <c r="M32" s="221">
        <v>0.0</v>
      </c>
      <c r="N32" s="221">
        <v>114.0</v>
      </c>
      <c r="O32" s="208"/>
      <c r="Q32" s="4" t="s">
        <v>150</v>
      </c>
      <c r="R32" s="234" t="s">
        <v>155</v>
      </c>
      <c r="S32" s="234">
        <v>2.0</v>
      </c>
      <c r="T32" s="234">
        <v>142.0</v>
      </c>
      <c r="U32" s="212"/>
      <c r="V32" s="237"/>
      <c r="W32" s="4"/>
      <c r="X32" s="4"/>
      <c r="Y32" s="4"/>
      <c r="Z32" s="4"/>
      <c r="AA32" s="4"/>
      <c r="AB32" s="4"/>
    </row>
    <row r="33" ht="15.75" customHeight="1">
      <c r="A33" s="4" t="str">
        <f>'CT Region ROUND ROBIN Scores (P'!Y38</f>
        <v>New Canaan HS - Team 3</v>
      </c>
      <c r="B33" s="4" t="str">
        <f>'CT Region ROUND ROBIN Scores (P'!Z38</f>
        <v>Division 7 (Irene Uchida)</v>
      </c>
      <c r="C33" s="4">
        <f>'CT Region ROUND ROBIN Scores (P'!AA38</f>
        <v>6</v>
      </c>
      <c r="D33" s="4">
        <f>'CT Region ROUND ROBIN Scores (P'!AB38</f>
        <v>264</v>
      </c>
      <c r="E33" s="208"/>
      <c r="F33" s="218" t="s">
        <v>152</v>
      </c>
      <c r="G33" s="218" t="s">
        <v>176</v>
      </c>
      <c r="H33" s="218">
        <v>2.0</v>
      </c>
      <c r="I33" s="218">
        <v>158.0</v>
      </c>
      <c r="J33" s="208"/>
      <c r="K33" s="218" t="str">
        <f t="array" ref="K33:N38">sort(F33:I38,3,False,4,False)</f>
        <v>Farmington HS - Team 2</v>
      </c>
      <c r="L33" s="218" t="s">
        <v>176</v>
      </c>
      <c r="M33" s="218">
        <v>8.0</v>
      </c>
      <c r="N33" s="218">
        <v>508.0</v>
      </c>
      <c r="O33" s="208"/>
      <c r="P33" s="221"/>
      <c r="Q33" s="221" t="s">
        <v>142</v>
      </c>
      <c r="R33" s="235" t="s">
        <v>155</v>
      </c>
      <c r="S33" s="235">
        <v>0.0</v>
      </c>
      <c r="T33" s="235">
        <v>72.0</v>
      </c>
      <c r="U33" s="212"/>
      <c r="V33" s="4"/>
      <c r="W33" s="238"/>
      <c r="Z33" s="4"/>
      <c r="AA33" s="4"/>
      <c r="AB33" s="4"/>
    </row>
    <row r="34" ht="15.75" customHeight="1">
      <c r="A34" s="4" t="str">
        <f>'CT Region ROUND ROBIN Scores (P'!Y39</f>
        <v>Newtown HS</v>
      </c>
      <c r="B34" s="4" t="str">
        <f>'CT Region ROUND ROBIN Scores (P'!Z39</f>
        <v>Division 6 (Guillermo Camarena)</v>
      </c>
      <c r="C34" s="4">
        <f>'CT Region ROUND ROBIN Scores (P'!AA39</f>
        <v>6</v>
      </c>
      <c r="D34" s="4">
        <f>'CT Region ROUND ROBIN Scores (P'!AB39</f>
        <v>306</v>
      </c>
      <c r="E34" s="208"/>
      <c r="F34" s="218" t="s">
        <v>159</v>
      </c>
      <c r="G34" s="218" t="s">
        <v>176</v>
      </c>
      <c r="H34" s="218">
        <v>0.0</v>
      </c>
      <c r="I34" s="218">
        <v>146.0</v>
      </c>
      <c r="J34" s="208"/>
      <c r="K34" s="218" t="s">
        <v>22</v>
      </c>
      <c r="L34" s="218" t="s">
        <v>176</v>
      </c>
      <c r="M34" s="218">
        <v>8.0</v>
      </c>
      <c r="N34" s="218">
        <v>406.0</v>
      </c>
      <c r="O34" s="208"/>
      <c r="Q34" s="4" t="str">
        <f t="array" ref="Q34:T37">sort(K23:N26,3,false)</f>
        <v>Conard HS - Team 1</v>
      </c>
      <c r="R34" s="234" t="s">
        <v>164</v>
      </c>
      <c r="S34" s="234">
        <v>6.0</v>
      </c>
      <c r="T34" s="234">
        <v>290.0</v>
      </c>
      <c r="U34" s="212"/>
      <c r="V34" s="4"/>
      <c r="W34" s="4"/>
      <c r="X34" s="4"/>
      <c r="Y34" s="4"/>
      <c r="Z34" s="4"/>
      <c r="AA34" s="4"/>
      <c r="AB34" s="4"/>
    </row>
    <row r="35" ht="15.75" customHeight="1">
      <c r="A35" s="4" t="str">
        <f>'CT Region ROUND ROBIN Scores (P'!Y40</f>
        <v>Open Spot - 1</v>
      </c>
      <c r="B35" s="4" t="str">
        <f>'CT Region ROUND ROBIN Scores (P'!Z40</f>
        <v>Division 8 (Bernardo Houssay) - Canceled Division - Sorry!</v>
      </c>
      <c r="C35" s="4">
        <f>'CT Region ROUND ROBIN Scores (P'!AA40</f>
        <v>0</v>
      </c>
      <c r="D35" s="4">
        <f>'CT Region ROUND ROBIN Scores (P'!AB40</f>
        <v>0</v>
      </c>
      <c r="E35" s="208"/>
      <c r="F35" s="218" t="s">
        <v>15</v>
      </c>
      <c r="G35" s="218" t="s">
        <v>176</v>
      </c>
      <c r="H35" s="218">
        <v>8.0</v>
      </c>
      <c r="I35" s="218">
        <v>508.0</v>
      </c>
      <c r="J35" s="208"/>
      <c r="K35" s="218" t="s">
        <v>27</v>
      </c>
      <c r="L35" s="218" t="s">
        <v>176</v>
      </c>
      <c r="M35" s="218">
        <v>6.0</v>
      </c>
      <c r="N35" s="218">
        <v>458.0</v>
      </c>
      <c r="O35" s="208"/>
      <c r="Q35" s="4" t="s">
        <v>21</v>
      </c>
      <c r="R35" s="234" t="s">
        <v>164</v>
      </c>
      <c r="S35" s="234">
        <v>4.0</v>
      </c>
      <c r="T35" s="234">
        <v>248.0</v>
      </c>
      <c r="U35" s="212"/>
      <c r="V35" s="4"/>
      <c r="AB35" s="4"/>
    </row>
    <row r="36" ht="15.75" customHeight="1">
      <c r="A36" s="4" t="str">
        <f>'CT Region ROUND ROBIN Scores (P'!Y41</f>
        <v>Open Spot - 2</v>
      </c>
      <c r="B36" s="4" t="str">
        <f>'CT Region ROUND ROBIN Scores (P'!Z41</f>
        <v>Division 8 (Bernardo Houssay) - Canceled Division - Sorry!</v>
      </c>
      <c r="C36" s="4">
        <f>'CT Region ROUND ROBIN Scores (P'!AA41</f>
        <v>0</v>
      </c>
      <c r="D36" s="4">
        <f>'CT Region ROUND ROBIN Scores (P'!AB41</f>
        <v>0</v>
      </c>
      <c r="E36" s="208"/>
      <c r="F36" s="218" t="s">
        <v>22</v>
      </c>
      <c r="G36" s="218" t="s">
        <v>176</v>
      </c>
      <c r="H36" s="218">
        <v>8.0</v>
      </c>
      <c r="I36" s="218">
        <v>406.0</v>
      </c>
      <c r="J36" s="208"/>
      <c r="K36" s="218" t="s">
        <v>73</v>
      </c>
      <c r="L36" s="218" t="s">
        <v>176</v>
      </c>
      <c r="M36" s="218">
        <v>6.0</v>
      </c>
      <c r="N36" s="218">
        <v>306.0</v>
      </c>
      <c r="O36" s="208"/>
      <c r="Q36" s="4" t="s">
        <v>23</v>
      </c>
      <c r="R36" s="234" t="s">
        <v>164</v>
      </c>
      <c r="S36" s="234">
        <v>2.0</v>
      </c>
      <c r="T36" s="234">
        <v>212.0</v>
      </c>
      <c r="U36" s="212"/>
    </row>
    <row r="37" ht="15.75" customHeight="1">
      <c r="A37" s="4" t="str">
        <f>'CT Region ROUND ROBIN Scores (P'!Y42</f>
        <v>Open Spot - 3</v>
      </c>
      <c r="B37" s="4" t="str">
        <f>'CT Region ROUND ROBIN Scores (P'!Z42</f>
        <v>Division 8 (Bernardo Houssay) - Canceled Division - Sorry!</v>
      </c>
      <c r="C37" s="4">
        <f>'CT Region ROUND ROBIN Scores (P'!AA42</f>
        <v>0</v>
      </c>
      <c r="D37" s="4">
        <f>'CT Region ROUND ROBIN Scores (P'!AB42</f>
        <v>0</v>
      </c>
      <c r="E37" s="208"/>
      <c r="F37" s="218" t="s">
        <v>73</v>
      </c>
      <c r="G37" s="218" t="s">
        <v>176</v>
      </c>
      <c r="H37" s="218">
        <v>6.0</v>
      </c>
      <c r="I37" s="218">
        <v>306.0</v>
      </c>
      <c r="J37" s="208"/>
      <c r="K37" s="218" t="s">
        <v>152</v>
      </c>
      <c r="L37" s="218" t="s">
        <v>176</v>
      </c>
      <c r="M37" s="218">
        <v>2.0</v>
      </c>
      <c r="N37" s="218">
        <v>158.0</v>
      </c>
      <c r="O37" s="208"/>
      <c r="P37" s="221"/>
      <c r="Q37" s="221" t="s">
        <v>146</v>
      </c>
      <c r="R37" s="235" t="s">
        <v>164</v>
      </c>
      <c r="S37" s="235">
        <v>0.0</v>
      </c>
      <c r="T37" s="235">
        <v>146.0</v>
      </c>
      <c r="U37" s="212"/>
    </row>
    <row r="38" ht="15.75" customHeight="1">
      <c r="A38" s="4" t="str">
        <f>'CT Region ROUND ROBIN Scores (P'!Y43</f>
        <v>Open Spot - 4</v>
      </c>
      <c r="B38" s="4" t="str">
        <f>'CT Region ROUND ROBIN Scores (P'!Z43</f>
        <v>Division 8 (Bernardo Houssay) - Canceled Division - Sorry!</v>
      </c>
      <c r="C38" s="4">
        <f>'CT Region ROUND ROBIN Scores (P'!AA43</f>
        <v>1</v>
      </c>
      <c r="D38" s="4">
        <f>'CT Region ROUND ROBIN Scores (P'!AB43</f>
        <v>0</v>
      </c>
      <c r="E38" s="208"/>
      <c r="F38" s="222" t="s">
        <v>27</v>
      </c>
      <c r="G38" s="222" t="s">
        <v>176</v>
      </c>
      <c r="H38" s="222">
        <v>6.0</v>
      </c>
      <c r="I38" s="222">
        <v>458.0</v>
      </c>
      <c r="J38" s="208"/>
      <c r="K38" s="222" t="s">
        <v>159</v>
      </c>
      <c r="L38" s="222" t="s">
        <v>176</v>
      </c>
      <c r="M38" s="222">
        <v>0.0</v>
      </c>
      <c r="N38" s="222">
        <v>146.0</v>
      </c>
      <c r="O38" s="208"/>
      <c r="Q38" s="4" t="str">
        <f t="array" ref="Q38:T41">sort(K29:N32,3,false)</f>
        <v>EO Smith HS - Team 2</v>
      </c>
      <c r="R38" s="234" t="s">
        <v>171</v>
      </c>
      <c r="S38" s="234">
        <v>6.0</v>
      </c>
      <c r="T38" s="234">
        <v>298.0</v>
      </c>
      <c r="U38" s="212"/>
    </row>
    <row r="39" ht="15.75" customHeight="1">
      <c r="A39" s="4" t="str">
        <f>'CT Region ROUND ROBIN Scores (P'!Y44</f>
        <v>Open Spot - 5</v>
      </c>
      <c r="B39" s="4" t="str">
        <f>'CT Region ROUND ROBIN Scores (P'!Z44</f>
        <v>Division 8 (Bernardo Houssay) - Canceled Division - Sorry!</v>
      </c>
      <c r="C39" s="4">
        <f>'CT Region ROUND ROBIN Scores (P'!AA44</f>
        <v>0</v>
      </c>
      <c r="D39" s="4">
        <f>'CT Region ROUND ROBIN Scores (P'!AB44</f>
        <v>0</v>
      </c>
      <c r="E39" s="208"/>
      <c r="F39" s="218" t="s">
        <v>54</v>
      </c>
      <c r="G39" s="218" t="s">
        <v>180</v>
      </c>
      <c r="H39" s="218">
        <v>6.0</v>
      </c>
      <c r="I39" s="218">
        <v>294.0</v>
      </c>
      <c r="J39" s="208"/>
      <c r="K39" s="218" t="str">
        <f t="array" ref="K39:N44">sort(F39:I44,3,False,4,False)</f>
        <v>Greenwich HS - Team 2</v>
      </c>
      <c r="L39" s="218" t="s">
        <v>180</v>
      </c>
      <c r="M39" s="218">
        <v>10.0</v>
      </c>
      <c r="N39" s="218">
        <v>420.0</v>
      </c>
      <c r="O39" s="208"/>
      <c r="Q39" s="4" t="s">
        <v>10</v>
      </c>
      <c r="R39" s="234" t="s">
        <v>171</v>
      </c>
      <c r="S39" s="234">
        <v>4.0</v>
      </c>
      <c r="T39" s="234">
        <v>422.0</v>
      </c>
      <c r="U39" s="212"/>
    </row>
    <row r="40" ht="15.75" customHeight="1">
      <c r="A40" s="4" t="str">
        <f>'CT Region ROUND ROBIN Scores (P'!Y45</f>
        <v>Rocky Hill HS - Team 1</v>
      </c>
      <c r="B40" s="4" t="str">
        <f>'CT Region ROUND ROBIN Scores (P'!Z45</f>
        <v>Division 6 (Guillermo Camarena)</v>
      </c>
      <c r="C40" s="4">
        <f>'CT Region ROUND ROBIN Scores (P'!AA45</f>
        <v>6</v>
      </c>
      <c r="D40" s="4">
        <f>'CT Region ROUND ROBIN Scores (P'!AB45</f>
        <v>458</v>
      </c>
      <c r="E40" s="208"/>
      <c r="F40" s="218" t="s">
        <v>153</v>
      </c>
      <c r="G40" s="218" t="s">
        <v>180</v>
      </c>
      <c r="H40" s="218">
        <v>2.0</v>
      </c>
      <c r="I40" s="218">
        <v>156.0</v>
      </c>
      <c r="J40" s="208"/>
      <c r="K40" s="218" t="s">
        <v>54</v>
      </c>
      <c r="L40" s="218" t="s">
        <v>180</v>
      </c>
      <c r="M40" s="218">
        <v>6.0</v>
      </c>
      <c r="N40" s="218">
        <v>294.0</v>
      </c>
      <c r="O40" s="208"/>
      <c r="Q40" s="4" t="s">
        <v>42</v>
      </c>
      <c r="R40" s="234" t="s">
        <v>171</v>
      </c>
      <c r="S40" s="234">
        <v>2.0</v>
      </c>
      <c r="T40" s="234">
        <v>168.0</v>
      </c>
      <c r="U40" s="212"/>
    </row>
    <row r="41" ht="15.75" customHeight="1">
      <c r="A41" s="4" t="str">
        <f>'CT Region ROUND ROBIN Scores (P'!Y46</f>
        <v>Rocky Hill HS - Team 2</v>
      </c>
      <c r="B41" s="4" t="str">
        <f>'CT Region ROUND ROBIN Scores (P'!Z46</f>
        <v>Division 3 (Silas Adekunle)</v>
      </c>
      <c r="C41" s="4">
        <f>'CT Region ROUND ROBIN Scores (P'!AA46</f>
        <v>6</v>
      </c>
      <c r="D41" s="4">
        <f>'CT Region ROUND ROBIN Scores (P'!AB46</f>
        <v>328</v>
      </c>
      <c r="E41" s="208"/>
      <c r="F41" s="218" t="s">
        <v>18</v>
      </c>
      <c r="G41" s="218" t="s">
        <v>180</v>
      </c>
      <c r="H41" s="218">
        <v>10.0</v>
      </c>
      <c r="I41" s="218">
        <v>420.0</v>
      </c>
      <c r="J41" s="208"/>
      <c r="K41" s="218" t="s">
        <v>149</v>
      </c>
      <c r="L41" s="218" t="s">
        <v>180</v>
      </c>
      <c r="M41" s="218">
        <v>6.0</v>
      </c>
      <c r="N41" s="218">
        <v>264.0</v>
      </c>
      <c r="O41" s="208"/>
      <c r="P41" s="222"/>
      <c r="Q41" s="221" t="s">
        <v>37</v>
      </c>
      <c r="R41" s="235" t="s">
        <v>171</v>
      </c>
      <c r="S41" s="235">
        <v>0.0</v>
      </c>
      <c r="T41" s="235">
        <v>114.0</v>
      </c>
      <c r="U41" s="212"/>
    </row>
    <row r="42" ht="15.75" customHeight="1">
      <c r="A42" s="4" t="str">
        <f>'CT Region ROUND ROBIN Scores (P'!Y47</f>
        <v>South Windsor HS - Team 1</v>
      </c>
      <c r="B42" s="4" t="str">
        <f>'CT Region ROUND ROBIN Scores (P'!Z47</f>
        <v>Division 7 (Irene Uchida)</v>
      </c>
      <c r="C42" s="4">
        <f>'CT Region ROUND ROBIN Scores (P'!AA47</f>
        <v>2</v>
      </c>
      <c r="D42" s="4">
        <f>'CT Region ROUND ROBIN Scores (P'!AB47</f>
        <v>214</v>
      </c>
      <c r="E42" s="208"/>
      <c r="F42" s="218" t="s">
        <v>149</v>
      </c>
      <c r="G42" s="218" t="s">
        <v>180</v>
      </c>
      <c r="H42" s="218">
        <v>6.0</v>
      </c>
      <c r="I42" s="218">
        <v>264.0</v>
      </c>
      <c r="J42" s="208"/>
      <c r="K42" s="218" t="s">
        <v>38</v>
      </c>
      <c r="L42" s="218" t="s">
        <v>180</v>
      </c>
      <c r="M42" s="218">
        <v>4.0</v>
      </c>
      <c r="N42" s="218">
        <v>238.0</v>
      </c>
      <c r="O42" s="208"/>
      <c r="Q42" s="4" t="str">
        <f t="array" ref="Q42:T45">sort(K35:N38,3,false)</f>
        <v>Rocky Hill HS - Team 1</v>
      </c>
      <c r="R42" s="234" t="s">
        <v>176</v>
      </c>
      <c r="S42" s="234">
        <v>6.0</v>
      </c>
      <c r="T42" s="234">
        <v>458.0</v>
      </c>
      <c r="U42" s="212"/>
    </row>
    <row r="43" ht="15.75" customHeight="1">
      <c r="A43" s="4" t="str">
        <f>'CT Region ROUND ROBIN Scores (P'!Y48</f>
        <v>South Windsor HS - Team 2</v>
      </c>
      <c r="B43" s="4" t="str">
        <f>'CT Region ROUND ROBIN Scores (P'!Z48</f>
        <v>Division 2 (Marian Croak)</v>
      </c>
      <c r="C43" s="4">
        <f>'CT Region ROUND ROBIN Scores (P'!AA48</f>
        <v>8</v>
      </c>
      <c r="D43" s="4">
        <f>'CT Region ROUND ROBIN Scores (P'!AB48</f>
        <v>346</v>
      </c>
      <c r="E43" s="208"/>
      <c r="F43" s="218" t="s">
        <v>29</v>
      </c>
      <c r="G43" s="218" t="s">
        <v>180</v>
      </c>
      <c r="H43" s="218">
        <v>2.0</v>
      </c>
      <c r="I43" s="218">
        <v>214.0</v>
      </c>
      <c r="J43" s="208"/>
      <c r="K43" s="218" t="s">
        <v>29</v>
      </c>
      <c r="L43" s="218" t="s">
        <v>180</v>
      </c>
      <c r="M43" s="218">
        <v>2.0</v>
      </c>
      <c r="N43" s="218">
        <v>214.0</v>
      </c>
      <c r="O43" s="208"/>
      <c r="Q43" s="4" t="s">
        <v>73</v>
      </c>
      <c r="R43" s="234" t="s">
        <v>176</v>
      </c>
      <c r="S43" s="234">
        <v>6.0</v>
      </c>
      <c r="T43" s="234">
        <v>306.0</v>
      </c>
      <c r="U43" s="212"/>
    </row>
    <row r="44" ht="15.75" customHeight="1">
      <c r="A44" s="4" t="str">
        <f>'CT Region ROUND ROBIN Scores (P'!Y49</f>
        <v>Southington HS - Team 1</v>
      </c>
      <c r="B44" s="4" t="str">
        <f>'CT Region ROUND ROBIN Scores (P'!Z49</f>
        <v>Division 1 (Temple Grandin)</v>
      </c>
      <c r="C44" s="4">
        <f>'CT Region ROUND ROBIN Scores (P'!AA49</f>
        <v>8</v>
      </c>
      <c r="D44" s="4">
        <f>'CT Region ROUND ROBIN Scores (P'!AB49</f>
        <v>606</v>
      </c>
      <c r="E44" s="208"/>
      <c r="F44" s="222" t="s">
        <v>38</v>
      </c>
      <c r="G44" s="222" t="s">
        <v>180</v>
      </c>
      <c r="H44" s="222">
        <v>4.0</v>
      </c>
      <c r="I44" s="222">
        <v>238.0</v>
      </c>
      <c r="J44" s="208"/>
      <c r="K44" s="222" t="s">
        <v>153</v>
      </c>
      <c r="L44" s="222" t="s">
        <v>180</v>
      </c>
      <c r="M44" s="222">
        <v>2.0</v>
      </c>
      <c r="N44" s="222">
        <v>156.0</v>
      </c>
      <c r="O44" s="208"/>
      <c r="Q44" s="4" t="s">
        <v>152</v>
      </c>
      <c r="R44" s="234" t="s">
        <v>176</v>
      </c>
      <c r="S44" s="234">
        <v>2.0</v>
      </c>
      <c r="T44" s="234">
        <v>158.0</v>
      </c>
      <c r="U44" s="212"/>
    </row>
    <row r="45" ht="15.75" customHeight="1">
      <c r="A45" s="4" t="str">
        <f>'CT Region ROUND ROBIN Scores (P'!Y50</f>
        <v>Southington HS - Team 2</v>
      </c>
      <c r="B45" s="4" t="str">
        <f>'CT Region ROUND ROBIN Scores (P'!Z50</f>
        <v>Division 2 (Marian Croak)</v>
      </c>
      <c r="C45" s="4">
        <f>'CT Region ROUND ROBIN Scores (P'!AA50</f>
        <v>4</v>
      </c>
      <c r="D45" s="4">
        <f>'CT Region ROUND ROBIN Scores (P'!AB50</f>
        <v>162</v>
      </c>
      <c r="E45" s="208"/>
      <c r="F45" s="218" t="s">
        <v>166</v>
      </c>
      <c r="G45" s="218" t="s">
        <v>184</v>
      </c>
      <c r="H45" s="218">
        <v>0.0</v>
      </c>
      <c r="I45" s="218">
        <v>0.0</v>
      </c>
      <c r="J45" s="208"/>
      <c r="O45" s="208"/>
      <c r="P45" s="222"/>
      <c r="Q45" s="221" t="s">
        <v>159</v>
      </c>
      <c r="R45" s="235" t="s">
        <v>176</v>
      </c>
      <c r="S45" s="235">
        <v>0.0</v>
      </c>
      <c r="T45" s="235">
        <v>146.0</v>
      </c>
      <c r="U45" s="212"/>
    </row>
    <row r="46" ht="15.75" customHeight="1">
      <c r="A46" s="4" t="str">
        <f>'CT Region ROUND ROBIN Scores (P'!Y51</f>
        <v>Trumbull HS - Team 1</v>
      </c>
      <c r="B46" s="4" t="str">
        <f>'CT Region ROUND ROBIN Scores (P'!Z51</f>
        <v>Division 5 (Ursula Burns)</v>
      </c>
      <c r="C46" s="4">
        <f>'CT Region ROUND ROBIN Scores (P'!AA51</f>
        <v>0</v>
      </c>
      <c r="D46" s="4">
        <f>'CT Region ROUND ROBIN Scores (P'!AB51</f>
        <v>114</v>
      </c>
      <c r="E46" s="208"/>
      <c r="F46" s="218" t="s">
        <v>145</v>
      </c>
      <c r="G46" s="218" t="s">
        <v>184</v>
      </c>
      <c r="H46" s="218">
        <v>0.0</v>
      </c>
      <c r="I46" s="218">
        <v>0.0</v>
      </c>
      <c r="J46" s="208"/>
      <c r="K46" s="4"/>
      <c r="L46" s="4"/>
      <c r="M46" s="4"/>
      <c r="N46" s="4"/>
      <c r="O46" s="208"/>
      <c r="Q46" s="4" t="str">
        <f t="array" ref="Q46:T49">sort(K41:N44,3,false)</f>
        <v>New Canaan HS - Team 3</v>
      </c>
      <c r="R46" s="234" t="s">
        <v>180</v>
      </c>
      <c r="S46" s="234">
        <v>6.0</v>
      </c>
      <c r="T46" s="234">
        <v>264.0</v>
      </c>
      <c r="U46" s="212"/>
    </row>
    <row r="47" ht="15.75" customHeight="1">
      <c r="A47" s="4" t="str">
        <f>'CT Region ROUND ROBIN Scores (P'!Y52</f>
        <v>Trumbull HS - Team 2</v>
      </c>
      <c r="B47" s="4" t="str">
        <f>'CT Region ROUND ROBIN Scores (P'!Z52</f>
        <v>Division 7 (Irene Uchida)</v>
      </c>
      <c r="C47" s="4">
        <f>'CT Region ROUND ROBIN Scores (P'!AA52</f>
        <v>4</v>
      </c>
      <c r="D47" s="4">
        <f>'CT Region ROUND ROBIN Scores (P'!AB52</f>
        <v>238</v>
      </c>
      <c r="E47" s="208"/>
      <c r="F47" s="218" t="s">
        <v>147</v>
      </c>
      <c r="G47" s="218" t="s">
        <v>184</v>
      </c>
      <c r="H47" s="218">
        <v>0.0</v>
      </c>
      <c r="I47" s="218">
        <v>0.0</v>
      </c>
      <c r="J47" s="208"/>
      <c r="O47" s="208"/>
      <c r="Q47" s="4" t="s">
        <v>38</v>
      </c>
      <c r="R47" s="234" t="s">
        <v>180</v>
      </c>
      <c r="S47" s="234">
        <v>4.0</v>
      </c>
      <c r="T47" s="234">
        <v>238.0</v>
      </c>
      <c r="U47" s="212"/>
    </row>
    <row r="48" ht="15.75" customHeight="1">
      <c r="A48" s="4" t="str">
        <f>'CT Region ROUND ROBIN Scores (P'!Y53</f>
        <v>Univ HS Sci &amp; Eng</v>
      </c>
      <c r="B48" s="4" t="str">
        <f>'CT Region ROUND ROBIN Scores (P'!Z53</f>
        <v>Division 5 (Ursula Burns)</v>
      </c>
      <c r="C48" s="4">
        <f>'CT Region ROUND ROBIN Scores (P'!AA53</f>
        <v>10</v>
      </c>
      <c r="D48" s="4">
        <f>'CT Region ROUND ROBIN Scores (P'!AB53</f>
        <v>372</v>
      </c>
      <c r="E48" s="208"/>
      <c r="F48" s="218" t="s">
        <v>162</v>
      </c>
      <c r="G48" s="218" t="s">
        <v>184</v>
      </c>
      <c r="H48" s="218">
        <v>0.0</v>
      </c>
      <c r="I48" s="218">
        <v>0.0</v>
      </c>
      <c r="J48" s="208"/>
      <c r="O48" s="208"/>
      <c r="Q48" s="4" t="s">
        <v>29</v>
      </c>
      <c r="R48" s="234" t="s">
        <v>180</v>
      </c>
      <c r="S48" s="234">
        <v>2.0</v>
      </c>
      <c r="T48" s="234">
        <v>214.0</v>
      </c>
      <c r="U48" s="212"/>
    </row>
    <row r="49" ht="15.75" customHeight="1">
      <c r="A49" s="4" t="str">
        <f>'CT Region ROUND ROBIN Scores (P'!Y54</f>
        <v>Waterford HS - Team 1</v>
      </c>
      <c r="B49" s="4" t="str">
        <f>'CT Region ROUND ROBIN Scores (P'!Z54</f>
        <v>Division 2 (Marian Croak)</v>
      </c>
      <c r="C49" s="4">
        <f>'CT Region ROUND ROBIN Scores (P'!AA54</f>
        <v>10</v>
      </c>
      <c r="D49" s="4">
        <f>'CT Region ROUND ROBIN Scores (P'!AB54</f>
        <v>762</v>
      </c>
      <c r="E49" s="208"/>
      <c r="F49" s="218" t="s">
        <v>165</v>
      </c>
      <c r="G49" s="218" t="s">
        <v>184</v>
      </c>
      <c r="H49" s="218">
        <v>1.0</v>
      </c>
      <c r="I49" s="218">
        <v>0.0</v>
      </c>
      <c r="J49" s="208"/>
      <c r="O49" s="208"/>
      <c r="P49" s="222"/>
      <c r="Q49" s="221" t="s">
        <v>153</v>
      </c>
      <c r="R49" s="235" t="s">
        <v>180</v>
      </c>
      <c r="S49" s="235">
        <v>2.0</v>
      </c>
      <c r="T49" s="235">
        <v>156.0</v>
      </c>
      <c r="U49" s="212"/>
    </row>
    <row r="50" ht="15.75" customHeight="1">
      <c r="A50" s="4" t="str">
        <f>'CT Region ROUND ROBIN Scores (P'!Y55</f>
        <v>Waterford HS - Team 2</v>
      </c>
      <c r="B50" s="4" t="str">
        <f>'CT Region ROUND ROBIN Scores (P'!Z55</f>
        <v>Division 5 (Ursula Burns)</v>
      </c>
      <c r="C50" s="4">
        <f>'CT Region ROUND ROBIN Scores (P'!AA55</f>
        <v>2</v>
      </c>
      <c r="D50" s="4">
        <f>'CT Region ROUND ROBIN Scores (P'!AB55</f>
        <v>168</v>
      </c>
      <c r="E50" s="208"/>
      <c r="F50" s="218" t="s">
        <v>173</v>
      </c>
      <c r="G50" s="218" t="s">
        <v>184</v>
      </c>
      <c r="H50" s="218">
        <v>0.0</v>
      </c>
      <c r="I50" s="218">
        <v>0.0</v>
      </c>
      <c r="J50" s="208"/>
      <c r="K50" s="4"/>
      <c r="L50" s="4"/>
      <c r="M50" s="4"/>
      <c r="N50" s="4"/>
      <c r="O50" s="208"/>
      <c r="Q50" s="222" t="s">
        <v>54</v>
      </c>
      <c r="R50" s="222" t="s">
        <v>180</v>
      </c>
      <c r="S50" s="222">
        <v>6.0</v>
      </c>
      <c r="T50" s="222">
        <v>294.0</v>
      </c>
      <c r="U50" s="212"/>
    </row>
    <row r="51" ht="15.75" customHeight="1">
      <c r="A51" s="4" t="str">
        <f>'CT Region ROUND ROBIN Scores (P'!Y56</f>
        <v/>
      </c>
      <c r="B51" s="4" t="str">
        <f>'CT Region ROUND ROBIN Scores (P'!Z56</f>
        <v/>
      </c>
      <c r="C51" s="4" t="str">
        <f>'CT Region ROUND ROBIN Scores (P'!AA56</f>
        <v/>
      </c>
      <c r="D51" s="4" t="str">
        <f>'CT Region ROUND ROBIN Scores (P'!AB56</f>
        <v/>
      </c>
      <c r="E51" s="208"/>
      <c r="J51" s="208"/>
      <c r="O51" s="208"/>
      <c r="U51" s="212"/>
    </row>
    <row r="52" ht="15.75" customHeight="1">
      <c r="E52" s="208"/>
      <c r="J52" s="208"/>
      <c r="O52" s="208"/>
      <c r="U52" s="212"/>
    </row>
    <row r="53" ht="15.75" customHeight="1">
      <c r="E53" s="208"/>
      <c r="J53" s="208"/>
      <c r="O53" s="208"/>
      <c r="U53" s="212"/>
    </row>
    <row r="54" ht="15.75" customHeight="1">
      <c r="E54" s="208"/>
      <c r="J54" s="208"/>
      <c r="K54" s="4"/>
      <c r="L54" s="4"/>
      <c r="M54" s="4"/>
      <c r="N54" s="4"/>
      <c r="O54" s="208"/>
      <c r="U54" s="212"/>
    </row>
    <row r="55" ht="15.75" customHeight="1">
      <c r="E55" s="208"/>
      <c r="J55" s="208"/>
      <c r="O55" s="208"/>
      <c r="U55" s="212"/>
    </row>
    <row r="56" ht="15.75" customHeight="1">
      <c r="E56" s="208"/>
      <c r="J56" s="208"/>
      <c r="O56" s="208"/>
      <c r="P56" s="232" t="s">
        <v>206</v>
      </c>
      <c r="U56" s="212"/>
      <c r="V56" s="217" t="s">
        <v>207</v>
      </c>
    </row>
    <row r="57" ht="15.75" customHeight="1">
      <c r="E57" s="208"/>
      <c r="J57" s="208"/>
      <c r="O57" s="208"/>
      <c r="P57" s="217" t="s">
        <v>208</v>
      </c>
      <c r="U57" s="212"/>
    </row>
    <row r="58" ht="15.75" customHeight="1">
      <c r="E58" s="208"/>
      <c r="J58" s="208"/>
      <c r="K58" s="4"/>
      <c r="L58" s="4"/>
      <c r="M58" s="4"/>
      <c r="N58" s="4"/>
      <c r="O58" s="208"/>
      <c r="P58" s="218" t="str">
        <f t="array" ref="P58:T85">sort(P22:T49,4,false,5,false)</f>
        <v/>
      </c>
      <c r="Q58" s="218" t="s">
        <v>27</v>
      </c>
      <c r="R58" s="218" t="s">
        <v>176</v>
      </c>
      <c r="S58" s="218">
        <v>6.0</v>
      </c>
      <c r="T58" s="218">
        <v>458.0</v>
      </c>
      <c r="U58" s="212"/>
      <c r="V58" s="218"/>
    </row>
    <row r="59" ht="15.75" customHeight="1">
      <c r="E59" s="208"/>
      <c r="J59" s="208"/>
      <c r="O59" s="208"/>
      <c r="P59" s="218"/>
      <c r="Q59" s="218" t="s">
        <v>35</v>
      </c>
      <c r="R59" s="218" t="s">
        <v>121</v>
      </c>
      <c r="S59" s="218">
        <v>6.0</v>
      </c>
      <c r="T59" s="218">
        <v>334.0</v>
      </c>
      <c r="U59" s="212"/>
      <c r="V59" s="218"/>
    </row>
    <row r="60" ht="15.75" customHeight="1">
      <c r="E60" s="208"/>
      <c r="J60" s="208"/>
      <c r="O60" s="208"/>
      <c r="P60" s="218"/>
      <c r="Q60" s="218" t="s">
        <v>28</v>
      </c>
      <c r="R60" s="218" t="s">
        <v>155</v>
      </c>
      <c r="S60" s="218">
        <v>6.0</v>
      </c>
      <c r="T60" s="218">
        <v>328.0</v>
      </c>
      <c r="U60" s="212"/>
      <c r="V60" s="218"/>
    </row>
    <row r="61" ht="15.75" customHeight="1">
      <c r="E61" s="208"/>
      <c r="J61" s="208"/>
      <c r="O61" s="208"/>
      <c r="P61" s="218"/>
      <c r="Q61" s="218" t="s">
        <v>73</v>
      </c>
      <c r="R61" s="218" t="s">
        <v>176</v>
      </c>
      <c r="S61" s="218">
        <v>6.0</v>
      </c>
      <c r="T61" s="218">
        <v>306.0</v>
      </c>
      <c r="U61" s="212"/>
      <c r="V61" s="218"/>
    </row>
    <row r="62" ht="15.75" customHeight="1">
      <c r="E62" s="208"/>
      <c r="J62" s="208"/>
      <c r="K62" s="4"/>
      <c r="L62" s="4"/>
      <c r="M62" s="4"/>
      <c r="N62" s="4"/>
      <c r="O62" s="208"/>
      <c r="P62" s="218"/>
      <c r="Q62" s="218" t="s">
        <v>9</v>
      </c>
      <c r="R62" s="218" t="s">
        <v>171</v>
      </c>
      <c r="S62" s="218">
        <v>6.0</v>
      </c>
      <c r="T62" s="218">
        <v>298.0</v>
      </c>
      <c r="U62" s="212"/>
      <c r="V62" s="218"/>
    </row>
    <row r="63" ht="15.75" customHeight="1">
      <c r="E63" s="208"/>
      <c r="J63" s="208"/>
      <c r="O63" s="208"/>
      <c r="P63" s="218"/>
      <c r="Q63" s="218" t="s">
        <v>139</v>
      </c>
      <c r="R63" s="218" t="s">
        <v>164</v>
      </c>
      <c r="S63" s="218">
        <v>6.0</v>
      </c>
      <c r="T63" s="218">
        <v>290.0</v>
      </c>
      <c r="U63" s="212"/>
      <c r="V63" s="218"/>
    </row>
    <row r="64" ht="15.75" customHeight="1">
      <c r="E64" s="208"/>
      <c r="J64" s="208"/>
      <c r="O64" s="208"/>
      <c r="P64" s="218"/>
      <c r="Q64" s="218" t="s">
        <v>149</v>
      </c>
      <c r="R64" s="218" t="s">
        <v>180</v>
      </c>
      <c r="S64" s="218">
        <v>6.0</v>
      </c>
      <c r="T64" s="218">
        <v>264.0</v>
      </c>
      <c r="U64" s="212"/>
      <c r="V64" s="218"/>
    </row>
    <row r="65" ht="15.75" customHeight="1">
      <c r="E65" s="208"/>
      <c r="J65" s="208"/>
      <c r="O65" s="208"/>
      <c r="P65" s="218"/>
      <c r="Q65" s="218" t="s">
        <v>141</v>
      </c>
      <c r="R65" s="218" t="s">
        <v>143</v>
      </c>
      <c r="S65" s="218">
        <v>6.0</v>
      </c>
      <c r="T65" s="218">
        <v>220.0</v>
      </c>
      <c r="U65" s="212"/>
      <c r="V65" s="218"/>
    </row>
    <row r="66" ht="15.75" customHeight="1">
      <c r="E66" s="208"/>
      <c r="J66" s="208"/>
      <c r="O66" s="208"/>
      <c r="P66" s="218"/>
      <c r="Q66" s="218" t="s">
        <v>10</v>
      </c>
      <c r="R66" s="218" t="s">
        <v>171</v>
      </c>
      <c r="S66" s="218">
        <v>4.0</v>
      </c>
      <c r="T66" s="218">
        <v>422.0</v>
      </c>
      <c r="U66" s="212"/>
      <c r="V66" s="218"/>
    </row>
    <row r="67" ht="15.75" customHeight="1">
      <c r="E67" s="208"/>
      <c r="J67" s="208"/>
      <c r="O67" s="208"/>
      <c r="P67" s="218"/>
      <c r="Q67" s="218" t="s">
        <v>11</v>
      </c>
      <c r="R67" s="218" t="s">
        <v>155</v>
      </c>
      <c r="S67" s="218">
        <v>4.0</v>
      </c>
      <c r="T67" s="218">
        <v>294.0</v>
      </c>
      <c r="U67" s="212"/>
      <c r="V67" s="218"/>
    </row>
    <row r="68" ht="15.75" customHeight="1">
      <c r="E68" s="208"/>
      <c r="J68" s="208"/>
      <c r="O68" s="208"/>
      <c r="P68" s="218"/>
      <c r="Q68" s="218" t="s">
        <v>21</v>
      </c>
      <c r="R68" s="218" t="s">
        <v>164</v>
      </c>
      <c r="S68" s="218">
        <v>4.0</v>
      </c>
      <c r="T68" s="218">
        <v>248.0</v>
      </c>
      <c r="U68" s="212"/>
      <c r="V68" s="218"/>
    </row>
    <row r="69" ht="15.75" customHeight="1">
      <c r="E69" s="208"/>
      <c r="J69" s="208"/>
      <c r="O69" s="208"/>
      <c r="P69" s="218"/>
      <c r="Q69" s="218" t="s">
        <v>38</v>
      </c>
      <c r="R69" s="218" t="s">
        <v>180</v>
      </c>
      <c r="S69" s="218">
        <v>4.0</v>
      </c>
      <c r="T69" s="218">
        <v>238.0</v>
      </c>
      <c r="U69" s="212"/>
      <c r="V69" s="218"/>
    </row>
    <row r="70" ht="15.75" customHeight="1">
      <c r="E70" s="208"/>
      <c r="J70" s="208"/>
      <c r="O70" s="208"/>
      <c r="P70" s="218"/>
      <c r="Q70" s="218" t="s">
        <v>144</v>
      </c>
      <c r="R70" s="218" t="s">
        <v>121</v>
      </c>
      <c r="S70" s="218">
        <v>4.0</v>
      </c>
      <c r="T70" s="218">
        <v>226.0</v>
      </c>
      <c r="U70" s="212"/>
      <c r="V70" s="218"/>
    </row>
    <row r="71" ht="15.75" customHeight="1">
      <c r="E71" s="208"/>
      <c r="J71" s="208"/>
      <c r="O71" s="208"/>
      <c r="P71" s="218"/>
      <c r="Q71" s="218" t="s">
        <v>32</v>
      </c>
      <c r="R71" s="218" t="s">
        <v>143</v>
      </c>
      <c r="S71" s="218">
        <v>4.0</v>
      </c>
      <c r="T71" s="218">
        <v>162.0</v>
      </c>
      <c r="U71" s="212"/>
      <c r="V71" s="218"/>
    </row>
    <row r="72" ht="15.75" customHeight="1">
      <c r="E72" s="208"/>
      <c r="J72" s="208"/>
      <c r="O72" s="208"/>
      <c r="P72" s="218"/>
      <c r="Q72" s="218" t="s">
        <v>29</v>
      </c>
      <c r="R72" s="218" t="s">
        <v>180</v>
      </c>
      <c r="S72" s="218">
        <v>2.0</v>
      </c>
      <c r="T72" s="218">
        <v>214.0</v>
      </c>
      <c r="U72" s="212"/>
      <c r="V72" s="218"/>
    </row>
    <row r="73" ht="15.75" customHeight="1">
      <c r="E73" s="208"/>
      <c r="J73" s="208"/>
      <c r="O73" s="208"/>
      <c r="P73" s="218"/>
      <c r="Q73" s="218" t="s">
        <v>23</v>
      </c>
      <c r="R73" s="218" t="s">
        <v>164</v>
      </c>
      <c r="S73" s="218">
        <v>2.0</v>
      </c>
      <c r="T73" s="218">
        <v>212.0</v>
      </c>
      <c r="U73" s="212"/>
      <c r="V73" s="218"/>
    </row>
    <row r="74" ht="15.75" customHeight="1">
      <c r="E74" s="208"/>
      <c r="J74" s="208"/>
      <c r="O74" s="208"/>
      <c r="P74" s="218"/>
      <c r="Q74" s="218" t="s">
        <v>12</v>
      </c>
      <c r="R74" s="218" t="s">
        <v>121</v>
      </c>
      <c r="S74" s="218">
        <v>2.0</v>
      </c>
      <c r="T74" s="218">
        <v>200.0</v>
      </c>
      <c r="U74" s="212"/>
      <c r="V74" s="218"/>
    </row>
    <row r="75" ht="15.75" customHeight="1">
      <c r="E75" s="208"/>
      <c r="J75" s="208"/>
      <c r="O75" s="208"/>
      <c r="P75" s="218"/>
      <c r="Q75" s="218" t="s">
        <v>42</v>
      </c>
      <c r="R75" s="218" t="s">
        <v>171</v>
      </c>
      <c r="S75" s="218">
        <v>2.0</v>
      </c>
      <c r="T75" s="218">
        <v>168.0</v>
      </c>
      <c r="U75" s="212"/>
      <c r="V75" s="218"/>
    </row>
    <row r="76" ht="15.75" customHeight="1">
      <c r="E76" s="208"/>
      <c r="J76" s="208"/>
      <c r="O76" s="208"/>
      <c r="P76" s="218"/>
      <c r="Q76" s="218" t="s">
        <v>152</v>
      </c>
      <c r="R76" s="218" t="s">
        <v>176</v>
      </c>
      <c r="S76" s="218">
        <v>2.0</v>
      </c>
      <c r="T76" s="218">
        <v>158.0</v>
      </c>
      <c r="U76" s="212"/>
      <c r="V76" s="218"/>
    </row>
    <row r="77" ht="15.75" customHeight="1">
      <c r="E77" s="208"/>
      <c r="J77" s="208"/>
      <c r="O77" s="208"/>
      <c r="P77" s="218"/>
      <c r="Q77" s="218" t="s">
        <v>153</v>
      </c>
      <c r="R77" s="218" t="s">
        <v>180</v>
      </c>
      <c r="S77" s="218">
        <v>2.0</v>
      </c>
      <c r="T77" s="218">
        <v>156.0</v>
      </c>
      <c r="U77" s="212"/>
      <c r="V77" s="218"/>
    </row>
    <row r="78" ht="15.75" customHeight="1">
      <c r="E78" s="208"/>
      <c r="J78" s="208"/>
      <c r="O78" s="208"/>
      <c r="P78" s="218"/>
      <c r="Q78" s="218" t="s">
        <v>49</v>
      </c>
      <c r="R78" s="218" t="s">
        <v>143</v>
      </c>
      <c r="S78" s="218">
        <v>2.0</v>
      </c>
      <c r="T78" s="218">
        <v>152.0</v>
      </c>
      <c r="U78" s="212"/>
      <c r="V78" s="218"/>
    </row>
    <row r="79" ht="15.75" customHeight="1">
      <c r="E79" s="208"/>
      <c r="J79" s="208"/>
      <c r="O79" s="208"/>
      <c r="P79" s="218"/>
      <c r="Q79" s="218" t="s">
        <v>150</v>
      </c>
      <c r="R79" s="218" t="s">
        <v>155</v>
      </c>
      <c r="S79" s="218">
        <v>2.0</v>
      </c>
      <c r="T79" s="218">
        <v>142.0</v>
      </c>
      <c r="U79" s="212"/>
      <c r="V79" s="218"/>
    </row>
    <row r="80" ht="15.75" customHeight="1">
      <c r="E80" s="208"/>
      <c r="J80" s="208"/>
      <c r="O80" s="208"/>
      <c r="P80" s="218"/>
      <c r="Q80" s="218" t="s">
        <v>163</v>
      </c>
      <c r="R80" s="218" t="s">
        <v>143</v>
      </c>
      <c r="S80" s="218">
        <v>0.0</v>
      </c>
      <c r="T80" s="218">
        <v>170.0</v>
      </c>
      <c r="U80" s="212"/>
      <c r="V80" s="218"/>
    </row>
    <row r="81" ht="15.75" customHeight="1">
      <c r="E81" s="208"/>
      <c r="J81" s="208"/>
      <c r="O81" s="208"/>
      <c r="P81" s="218"/>
      <c r="Q81" s="218" t="s">
        <v>146</v>
      </c>
      <c r="R81" s="218" t="s">
        <v>164</v>
      </c>
      <c r="S81" s="218">
        <v>0.0</v>
      </c>
      <c r="T81" s="218">
        <v>146.0</v>
      </c>
      <c r="U81" s="212"/>
      <c r="V81" s="218"/>
    </row>
    <row r="82" ht="15.75" customHeight="1">
      <c r="E82" s="208"/>
      <c r="J82" s="208"/>
      <c r="O82" s="208"/>
      <c r="P82" s="218"/>
      <c r="Q82" s="218" t="s">
        <v>159</v>
      </c>
      <c r="R82" s="218" t="s">
        <v>176</v>
      </c>
      <c r="S82" s="218">
        <v>0.0</v>
      </c>
      <c r="T82" s="218">
        <v>146.0</v>
      </c>
      <c r="U82" s="212"/>
      <c r="V82" s="218"/>
    </row>
    <row r="83" ht="15.75" customHeight="1">
      <c r="E83" s="208"/>
      <c r="J83" s="208"/>
      <c r="O83" s="208"/>
      <c r="P83" s="218"/>
      <c r="Q83" s="218" t="s">
        <v>37</v>
      </c>
      <c r="R83" s="218" t="s">
        <v>171</v>
      </c>
      <c r="S83" s="218">
        <v>0.0</v>
      </c>
      <c r="T83" s="218">
        <v>114.0</v>
      </c>
      <c r="U83" s="212"/>
      <c r="V83" s="218"/>
    </row>
    <row r="84" ht="15.75" customHeight="1">
      <c r="E84" s="208"/>
      <c r="J84" s="208"/>
      <c r="O84" s="208"/>
      <c r="P84" s="218"/>
      <c r="Q84" s="218" t="s">
        <v>142</v>
      </c>
      <c r="R84" s="218" t="s">
        <v>155</v>
      </c>
      <c r="S84" s="218">
        <v>0.0</v>
      </c>
      <c r="T84" s="218">
        <v>72.0</v>
      </c>
      <c r="U84" s="212"/>
      <c r="V84" s="218"/>
    </row>
    <row r="85" ht="15.75" customHeight="1">
      <c r="E85" s="208"/>
      <c r="J85" s="208"/>
      <c r="O85" s="208"/>
      <c r="P85" s="218"/>
      <c r="Q85" s="218" t="s">
        <v>156</v>
      </c>
      <c r="R85" s="218" t="s">
        <v>121</v>
      </c>
      <c r="S85" s="218">
        <v>0.0</v>
      </c>
      <c r="T85" s="218">
        <v>70.0</v>
      </c>
      <c r="U85" s="212"/>
      <c r="V85" s="218"/>
    </row>
    <row r="86" ht="15.75" customHeight="1">
      <c r="E86" s="208"/>
      <c r="J86" s="208"/>
      <c r="O86" s="208"/>
      <c r="U86" s="212"/>
    </row>
    <row r="87" ht="15.75" customHeight="1">
      <c r="E87" s="208"/>
      <c r="J87" s="208"/>
      <c r="O87" s="208"/>
      <c r="U87" s="212"/>
    </row>
    <row r="88" ht="15.75" customHeight="1">
      <c r="E88" s="208"/>
      <c r="J88" s="208"/>
      <c r="O88" s="208"/>
      <c r="U88" s="212"/>
    </row>
    <row r="89" ht="15.75" customHeight="1">
      <c r="E89" s="208"/>
      <c r="J89" s="208"/>
      <c r="O89" s="208"/>
      <c r="U89" s="212"/>
    </row>
    <row r="90" ht="15.75" customHeight="1">
      <c r="E90" s="208"/>
      <c r="J90" s="208"/>
      <c r="O90" s="208"/>
      <c r="U90" s="212"/>
    </row>
    <row r="91" ht="15.75" customHeight="1">
      <c r="E91" s="208"/>
      <c r="J91" s="208"/>
      <c r="O91" s="208"/>
      <c r="U91" s="212"/>
    </row>
    <row r="92" ht="15.75" customHeight="1">
      <c r="E92" s="208"/>
      <c r="J92" s="208"/>
      <c r="O92" s="208"/>
      <c r="U92" s="212"/>
    </row>
    <row r="93" ht="15.75" customHeight="1">
      <c r="E93" s="208"/>
      <c r="J93" s="208"/>
      <c r="O93" s="208"/>
      <c r="U93" s="212"/>
    </row>
    <row r="94" ht="15.75" customHeight="1">
      <c r="E94" s="208"/>
      <c r="J94" s="208"/>
      <c r="O94" s="208"/>
      <c r="U94" s="212"/>
    </row>
    <row r="95" ht="15.75" customHeight="1">
      <c r="E95" s="208"/>
      <c r="J95" s="208"/>
      <c r="O95" s="208"/>
      <c r="U95" s="212"/>
    </row>
    <row r="96" ht="15.75" customHeight="1">
      <c r="E96" s="208"/>
      <c r="J96" s="208"/>
      <c r="O96" s="208"/>
      <c r="U96" s="212"/>
    </row>
    <row r="97" ht="15.75" customHeight="1">
      <c r="E97" s="208"/>
      <c r="J97" s="208"/>
      <c r="O97" s="208"/>
      <c r="U97" s="212"/>
    </row>
    <row r="98" ht="15.75" customHeight="1">
      <c r="E98" s="208"/>
      <c r="J98" s="208"/>
      <c r="O98" s="208"/>
      <c r="U98" s="212"/>
    </row>
    <row r="99" ht="15.75" customHeight="1">
      <c r="E99" s="208"/>
      <c r="J99" s="208"/>
      <c r="O99" s="208"/>
      <c r="U99" s="212"/>
    </row>
    <row r="100" ht="15.75" customHeight="1">
      <c r="E100" s="208"/>
      <c r="J100" s="208"/>
      <c r="O100" s="208"/>
      <c r="U100" s="212"/>
    </row>
    <row r="101" ht="15.75" customHeight="1">
      <c r="E101" s="208"/>
      <c r="J101" s="208"/>
      <c r="O101" s="208"/>
      <c r="U101" s="212"/>
    </row>
    <row r="102" ht="15.75" customHeight="1">
      <c r="E102" s="208"/>
      <c r="J102" s="208"/>
      <c r="O102" s="208"/>
      <c r="U102" s="212"/>
    </row>
    <row r="103" ht="15.75" customHeight="1">
      <c r="E103" s="208"/>
      <c r="J103" s="208"/>
      <c r="O103" s="208"/>
      <c r="U103" s="212"/>
    </row>
    <row r="104" ht="15.75" customHeight="1">
      <c r="E104" s="208"/>
      <c r="J104" s="208"/>
      <c r="O104" s="208"/>
      <c r="U104" s="212"/>
    </row>
    <row r="105" ht="15.75" customHeight="1">
      <c r="E105" s="208"/>
      <c r="J105" s="208"/>
      <c r="O105" s="208"/>
      <c r="U105" s="212"/>
    </row>
    <row r="106" ht="15.75" customHeight="1">
      <c r="E106" s="208"/>
      <c r="J106" s="208"/>
      <c r="O106" s="208"/>
      <c r="U106" s="212"/>
    </row>
    <row r="107" ht="15.75" customHeight="1">
      <c r="E107" s="208"/>
      <c r="J107" s="208"/>
      <c r="O107" s="208"/>
      <c r="U107" s="212"/>
    </row>
    <row r="108" ht="15.75" customHeight="1">
      <c r="E108" s="208"/>
      <c r="J108" s="208"/>
      <c r="O108" s="208"/>
      <c r="U108" s="212"/>
    </row>
    <row r="109" ht="15.75" customHeight="1">
      <c r="E109" s="208"/>
      <c r="J109" s="208"/>
      <c r="O109" s="208"/>
      <c r="U109" s="212"/>
    </row>
    <row r="110" ht="15.75" customHeight="1">
      <c r="E110" s="208"/>
      <c r="J110" s="208"/>
      <c r="O110" s="208"/>
      <c r="U110" s="212"/>
    </row>
    <row r="111" ht="15.75" customHeight="1">
      <c r="E111" s="208"/>
      <c r="J111" s="208"/>
      <c r="O111" s="208"/>
      <c r="U111" s="212"/>
    </row>
    <row r="112" ht="15.75" customHeight="1">
      <c r="E112" s="208"/>
      <c r="J112" s="208"/>
      <c r="O112" s="208"/>
      <c r="U112" s="212"/>
    </row>
    <row r="113" ht="15.75" customHeight="1">
      <c r="E113" s="208"/>
      <c r="J113" s="208"/>
      <c r="O113" s="208"/>
      <c r="U113" s="212"/>
    </row>
    <row r="114" ht="15.75" customHeight="1">
      <c r="E114" s="208"/>
      <c r="J114" s="208"/>
      <c r="O114" s="208"/>
      <c r="U114" s="212"/>
    </row>
    <row r="115" ht="15.75" customHeight="1">
      <c r="E115" s="208"/>
      <c r="J115" s="208"/>
      <c r="O115" s="208"/>
      <c r="U115" s="212"/>
    </row>
    <row r="116" ht="15.75" customHeight="1">
      <c r="E116" s="208"/>
      <c r="J116" s="208"/>
      <c r="O116" s="208"/>
      <c r="U116" s="212"/>
    </row>
    <row r="117" ht="15.75" customHeight="1">
      <c r="E117" s="208"/>
      <c r="J117" s="208"/>
      <c r="O117" s="208"/>
      <c r="U117" s="212"/>
    </row>
    <row r="118" ht="15.75" customHeight="1">
      <c r="E118" s="208"/>
      <c r="J118" s="208"/>
      <c r="O118" s="208"/>
      <c r="U118" s="212"/>
    </row>
    <row r="119" ht="15.75" customHeight="1">
      <c r="E119" s="208"/>
      <c r="J119" s="208"/>
      <c r="O119" s="208"/>
      <c r="U119" s="212"/>
    </row>
    <row r="120" ht="15.75" customHeight="1">
      <c r="E120" s="208"/>
      <c r="J120" s="208"/>
      <c r="O120" s="208"/>
      <c r="U120" s="212"/>
    </row>
    <row r="121" ht="15.75" customHeight="1">
      <c r="E121" s="208"/>
      <c r="J121" s="208"/>
      <c r="O121" s="208"/>
      <c r="U121" s="212"/>
    </row>
    <row r="122" ht="15.75" customHeight="1">
      <c r="E122" s="208"/>
      <c r="J122" s="208"/>
      <c r="O122" s="208"/>
      <c r="U122" s="212"/>
    </row>
    <row r="123" ht="15.75" customHeight="1">
      <c r="E123" s="208"/>
      <c r="J123" s="208"/>
      <c r="O123" s="208"/>
      <c r="U123" s="212"/>
    </row>
    <row r="124" ht="15.75" customHeight="1">
      <c r="E124" s="208"/>
      <c r="J124" s="208"/>
      <c r="O124" s="208"/>
      <c r="U124" s="212"/>
    </row>
    <row r="125" ht="15.75" customHeight="1">
      <c r="E125" s="208"/>
      <c r="J125" s="208"/>
      <c r="O125" s="208"/>
      <c r="U125" s="212"/>
    </row>
    <row r="126" ht="15.75" customHeight="1">
      <c r="E126" s="208"/>
      <c r="J126" s="208"/>
      <c r="O126" s="208"/>
      <c r="U126" s="212"/>
    </row>
    <row r="127" ht="15.75" customHeight="1">
      <c r="E127" s="208"/>
      <c r="J127" s="208"/>
      <c r="O127" s="208"/>
      <c r="U127" s="212"/>
    </row>
    <row r="128" ht="15.75" customHeight="1">
      <c r="E128" s="208"/>
      <c r="J128" s="208"/>
      <c r="O128" s="208"/>
      <c r="U128" s="212"/>
    </row>
    <row r="129" ht="15.75" customHeight="1">
      <c r="E129" s="208"/>
      <c r="J129" s="208"/>
      <c r="O129" s="208"/>
      <c r="U129" s="212"/>
    </row>
    <row r="130" ht="15.75" customHeight="1">
      <c r="E130" s="208"/>
      <c r="J130" s="208"/>
      <c r="O130" s="208"/>
      <c r="U130" s="212"/>
    </row>
    <row r="131" ht="15.75" customHeight="1">
      <c r="E131" s="208"/>
      <c r="J131" s="208"/>
      <c r="O131" s="208"/>
      <c r="U131" s="212"/>
    </row>
    <row r="132" ht="15.75" customHeight="1">
      <c r="E132" s="208"/>
      <c r="J132" s="208"/>
      <c r="O132" s="208"/>
      <c r="U132" s="212"/>
    </row>
    <row r="133" ht="15.75" customHeight="1">
      <c r="E133" s="208"/>
      <c r="J133" s="208"/>
      <c r="O133" s="208"/>
      <c r="U133" s="212"/>
    </row>
    <row r="134" ht="15.75" customHeight="1">
      <c r="E134" s="208"/>
      <c r="J134" s="208"/>
      <c r="O134" s="208"/>
      <c r="U134" s="212"/>
    </row>
    <row r="135" ht="15.75" customHeight="1">
      <c r="E135" s="208"/>
      <c r="J135" s="208"/>
      <c r="O135" s="208"/>
      <c r="U135" s="212"/>
    </row>
    <row r="136" ht="15.75" customHeight="1">
      <c r="E136" s="208"/>
      <c r="J136" s="208"/>
      <c r="O136" s="208"/>
      <c r="U136" s="212"/>
    </row>
    <row r="137" ht="15.75" customHeight="1">
      <c r="E137" s="208"/>
      <c r="J137" s="208"/>
      <c r="O137" s="208"/>
      <c r="U137" s="212"/>
    </row>
    <row r="138" ht="15.75" customHeight="1">
      <c r="E138" s="208"/>
      <c r="J138" s="208"/>
      <c r="O138" s="208"/>
      <c r="U138" s="212"/>
    </row>
    <row r="139" ht="15.75" customHeight="1">
      <c r="E139" s="208"/>
      <c r="J139" s="208"/>
      <c r="O139" s="208"/>
      <c r="U139" s="212"/>
    </row>
    <row r="140" ht="15.75" customHeight="1">
      <c r="E140" s="208"/>
      <c r="J140" s="208"/>
      <c r="O140" s="208"/>
      <c r="U140" s="212"/>
    </row>
    <row r="141" ht="15.75" customHeight="1">
      <c r="E141" s="208"/>
      <c r="J141" s="208"/>
      <c r="O141" s="208"/>
      <c r="U141" s="212"/>
    </row>
    <row r="142" ht="15.75" customHeight="1">
      <c r="E142" s="208"/>
      <c r="J142" s="208"/>
      <c r="O142" s="208"/>
      <c r="U142" s="212"/>
    </row>
    <row r="143" ht="15.75" customHeight="1">
      <c r="E143" s="208"/>
      <c r="J143" s="208"/>
      <c r="O143" s="208"/>
      <c r="U143" s="212"/>
    </row>
    <row r="144" ht="15.75" customHeight="1">
      <c r="E144" s="208"/>
      <c r="J144" s="208"/>
      <c r="O144" s="208"/>
      <c r="U144" s="212"/>
    </row>
    <row r="145" ht="15.75" customHeight="1">
      <c r="E145" s="208"/>
      <c r="J145" s="208"/>
      <c r="O145" s="208"/>
      <c r="U145" s="212"/>
    </row>
    <row r="146" ht="15.75" customHeight="1">
      <c r="E146" s="208"/>
      <c r="J146" s="208"/>
      <c r="O146" s="208"/>
      <c r="U146" s="212"/>
    </row>
    <row r="147" ht="15.75" customHeight="1">
      <c r="E147" s="208"/>
      <c r="J147" s="208"/>
      <c r="O147" s="208"/>
      <c r="U147" s="212"/>
    </row>
    <row r="148" ht="15.75" customHeight="1">
      <c r="E148" s="208"/>
      <c r="J148" s="208"/>
      <c r="O148" s="208"/>
      <c r="U148" s="212"/>
    </row>
    <row r="149" ht="15.75" customHeight="1">
      <c r="E149" s="208"/>
      <c r="J149" s="208"/>
      <c r="O149" s="208"/>
      <c r="U149" s="212"/>
    </row>
    <row r="150" ht="15.75" customHeight="1">
      <c r="E150" s="208"/>
      <c r="J150" s="208"/>
      <c r="O150" s="208"/>
      <c r="U150" s="212"/>
    </row>
    <row r="151" ht="15.75" customHeight="1">
      <c r="E151" s="208"/>
      <c r="J151" s="208"/>
      <c r="O151" s="208"/>
      <c r="U151" s="212"/>
    </row>
    <row r="152" ht="15.75" customHeight="1">
      <c r="E152" s="208"/>
      <c r="J152" s="208"/>
      <c r="O152" s="208"/>
      <c r="U152" s="212"/>
    </row>
    <row r="153" ht="15.75" customHeight="1">
      <c r="E153" s="208"/>
      <c r="J153" s="208"/>
      <c r="O153" s="208"/>
      <c r="U153" s="212"/>
    </row>
    <row r="154" ht="15.75" customHeight="1">
      <c r="E154" s="208"/>
      <c r="J154" s="208"/>
      <c r="O154" s="208"/>
      <c r="U154" s="212"/>
    </row>
    <row r="155" ht="15.75" customHeight="1">
      <c r="E155" s="208"/>
      <c r="J155" s="208"/>
      <c r="O155" s="208"/>
      <c r="U155" s="212"/>
    </row>
    <row r="156" ht="15.75" customHeight="1">
      <c r="E156" s="208"/>
      <c r="J156" s="208"/>
      <c r="O156" s="208"/>
      <c r="U156" s="212"/>
    </row>
    <row r="157" ht="15.75" customHeight="1">
      <c r="E157" s="208"/>
      <c r="J157" s="208"/>
      <c r="O157" s="208"/>
      <c r="U157" s="212"/>
    </row>
    <row r="158" ht="15.75" customHeight="1">
      <c r="E158" s="208"/>
      <c r="J158" s="208"/>
      <c r="O158" s="208"/>
      <c r="U158" s="212"/>
    </row>
    <row r="159" ht="15.75" customHeight="1">
      <c r="E159" s="208"/>
      <c r="J159" s="208"/>
      <c r="O159" s="208"/>
      <c r="U159" s="212"/>
    </row>
    <row r="160" ht="15.75" customHeight="1">
      <c r="E160" s="208"/>
      <c r="J160" s="208"/>
      <c r="O160" s="208"/>
      <c r="U160" s="212"/>
    </row>
    <row r="161" ht="15.75" customHeight="1">
      <c r="E161" s="208"/>
      <c r="J161" s="208"/>
      <c r="O161" s="208"/>
      <c r="U161" s="212"/>
    </row>
    <row r="162" ht="15.75" customHeight="1">
      <c r="E162" s="208"/>
      <c r="J162" s="208"/>
      <c r="O162" s="208"/>
      <c r="U162" s="212"/>
    </row>
    <row r="163" ht="15.75" customHeight="1">
      <c r="E163" s="208"/>
      <c r="J163" s="208"/>
      <c r="O163" s="208"/>
      <c r="U163" s="212"/>
    </row>
    <row r="164" ht="15.75" customHeight="1">
      <c r="E164" s="208"/>
      <c r="J164" s="208"/>
      <c r="O164" s="208"/>
      <c r="U164" s="212"/>
    </row>
    <row r="165" ht="15.75" customHeight="1">
      <c r="E165" s="208"/>
      <c r="J165" s="208"/>
      <c r="O165" s="208"/>
      <c r="U165" s="212"/>
    </row>
    <row r="166" ht="15.75" customHeight="1">
      <c r="E166" s="208"/>
      <c r="J166" s="208"/>
      <c r="O166" s="208"/>
      <c r="U166" s="212"/>
    </row>
    <row r="167" ht="15.75" customHeight="1">
      <c r="E167" s="208"/>
      <c r="J167" s="208"/>
      <c r="O167" s="208"/>
      <c r="U167" s="212"/>
    </row>
    <row r="168" ht="15.75" customHeight="1">
      <c r="E168" s="208"/>
      <c r="J168" s="208"/>
      <c r="O168" s="208"/>
      <c r="U168" s="212"/>
    </row>
    <row r="169" ht="15.75" customHeight="1">
      <c r="E169" s="208"/>
      <c r="J169" s="208"/>
      <c r="O169" s="208"/>
      <c r="U169" s="212"/>
    </row>
    <row r="170" ht="15.75" customHeight="1">
      <c r="E170" s="208"/>
      <c r="J170" s="208"/>
      <c r="O170" s="208"/>
      <c r="U170" s="212"/>
    </row>
    <row r="171" ht="15.75" customHeight="1">
      <c r="E171" s="208"/>
      <c r="J171" s="208"/>
      <c r="O171" s="208"/>
      <c r="U171" s="212"/>
    </row>
    <row r="172" ht="15.75" customHeight="1">
      <c r="E172" s="208"/>
      <c r="J172" s="208"/>
      <c r="O172" s="208"/>
      <c r="U172" s="212"/>
    </row>
    <row r="173" ht="15.75" customHeight="1">
      <c r="E173" s="208"/>
      <c r="J173" s="208"/>
      <c r="O173" s="208"/>
      <c r="U173" s="212"/>
    </row>
    <row r="174" ht="15.75" customHeight="1">
      <c r="E174" s="208"/>
      <c r="J174" s="208"/>
      <c r="O174" s="208"/>
      <c r="U174" s="212"/>
    </row>
    <row r="175" ht="15.75" customHeight="1">
      <c r="E175" s="208"/>
      <c r="J175" s="208"/>
      <c r="O175" s="208"/>
      <c r="U175" s="212"/>
    </row>
    <row r="176" ht="15.75" customHeight="1">
      <c r="E176" s="208"/>
      <c r="J176" s="208"/>
      <c r="O176" s="208"/>
      <c r="U176" s="212"/>
    </row>
    <row r="177" ht="15.75" customHeight="1">
      <c r="E177" s="208"/>
      <c r="J177" s="208"/>
      <c r="O177" s="208"/>
      <c r="U177" s="212"/>
    </row>
    <row r="178" ht="15.75" customHeight="1">
      <c r="E178" s="208"/>
      <c r="J178" s="208"/>
      <c r="O178" s="208"/>
      <c r="U178" s="212"/>
    </row>
    <row r="179" ht="15.75" customHeight="1">
      <c r="E179" s="208"/>
      <c r="J179" s="208"/>
      <c r="O179" s="208"/>
      <c r="U179" s="212"/>
    </row>
    <row r="180" ht="15.75" customHeight="1">
      <c r="E180" s="208"/>
      <c r="J180" s="208"/>
      <c r="O180" s="208"/>
      <c r="U180" s="212"/>
    </row>
    <row r="181" ht="15.75" customHeight="1">
      <c r="E181" s="208"/>
      <c r="J181" s="208"/>
      <c r="O181" s="208"/>
      <c r="U181" s="212"/>
    </row>
    <row r="182" ht="15.75" customHeight="1">
      <c r="E182" s="208"/>
      <c r="J182" s="208"/>
      <c r="O182" s="208"/>
      <c r="U182" s="212"/>
    </row>
    <row r="183" ht="15.75" customHeight="1">
      <c r="E183" s="208"/>
      <c r="J183" s="208"/>
      <c r="O183" s="208"/>
      <c r="U183" s="212"/>
    </row>
    <row r="184" ht="15.75" customHeight="1">
      <c r="E184" s="208"/>
      <c r="J184" s="208"/>
      <c r="O184" s="208"/>
      <c r="U184" s="212"/>
    </row>
    <row r="185" ht="15.75" customHeight="1">
      <c r="E185" s="208"/>
      <c r="J185" s="208"/>
      <c r="O185" s="208"/>
      <c r="U185" s="212"/>
    </row>
    <row r="186" ht="15.75" customHeight="1">
      <c r="E186" s="208"/>
      <c r="J186" s="208"/>
      <c r="O186" s="208"/>
      <c r="U186" s="212"/>
    </row>
    <row r="187" ht="15.75" customHeight="1">
      <c r="E187" s="208"/>
      <c r="J187" s="208"/>
      <c r="O187" s="208"/>
      <c r="U187" s="212"/>
    </row>
    <row r="188" ht="15.75" customHeight="1">
      <c r="E188" s="208"/>
      <c r="J188" s="208"/>
      <c r="O188" s="208"/>
      <c r="U188" s="212"/>
    </row>
    <row r="189" ht="15.75" customHeight="1">
      <c r="E189" s="208"/>
      <c r="J189" s="208"/>
      <c r="O189" s="208"/>
      <c r="U189" s="212"/>
    </row>
    <row r="190" ht="15.75" customHeight="1">
      <c r="E190" s="208"/>
      <c r="J190" s="208"/>
      <c r="O190" s="208"/>
      <c r="U190" s="212"/>
    </row>
    <row r="191" ht="15.75" customHeight="1">
      <c r="E191" s="208"/>
      <c r="J191" s="208"/>
      <c r="O191" s="208"/>
      <c r="U191" s="212"/>
    </row>
    <row r="192" ht="15.75" customHeight="1">
      <c r="E192" s="208"/>
      <c r="J192" s="208"/>
      <c r="O192" s="208"/>
      <c r="U192" s="212"/>
    </row>
    <row r="193" ht="15.75" customHeight="1">
      <c r="E193" s="208"/>
      <c r="J193" s="208"/>
      <c r="O193" s="208"/>
      <c r="U193" s="212"/>
    </row>
    <row r="194" ht="15.75" customHeight="1">
      <c r="E194" s="208"/>
      <c r="J194" s="208"/>
      <c r="O194" s="208"/>
      <c r="U194" s="212"/>
    </row>
    <row r="195" ht="15.75" customHeight="1">
      <c r="E195" s="208"/>
      <c r="J195" s="208"/>
      <c r="O195" s="208"/>
      <c r="U195" s="212"/>
    </row>
    <row r="196" ht="15.75" customHeight="1">
      <c r="E196" s="208"/>
      <c r="J196" s="208"/>
      <c r="O196" s="208"/>
      <c r="U196" s="212"/>
    </row>
    <row r="197" ht="15.75" customHeight="1">
      <c r="E197" s="208"/>
      <c r="J197" s="208"/>
      <c r="O197" s="208"/>
      <c r="U197" s="212"/>
    </row>
    <row r="198" ht="15.75" customHeight="1">
      <c r="E198" s="208"/>
      <c r="J198" s="208"/>
      <c r="O198" s="208"/>
      <c r="U198" s="212"/>
    </row>
    <row r="199" ht="15.75" customHeight="1">
      <c r="E199" s="208"/>
      <c r="J199" s="208"/>
      <c r="O199" s="208"/>
      <c r="U199" s="212"/>
    </row>
    <row r="200" ht="15.75" customHeight="1">
      <c r="E200" s="208"/>
      <c r="J200" s="208"/>
      <c r="O200" s="208"/>
      <c r="U200" s="212"/>
    </row>
    <row r="201" ht="15.75" customHeight="1">
      <c r="E201" s="208"/>
      <c r="J201" s="208"/>
      <c r="O201" s="208"/>
      <c r="U201" s="212"/>
    </row>
    <row r="202" ht="15.75" customHeight="1">
      <c r="E202" s="208"/>
      <c r="J202" s="208"/>
      <c r="O202" s="208"/>
      <c r="U202" s="212"/>
    </row>
    <row r="203" ht="15.75" customHeight="1">
      <c r="E203" s="208"/>
      <c r="J203" s="208"/>
      <c r="O203" s="208"/>
      <c r="U203" s="212"/>
    </row>
    <row r="204" ht="15.75" customHeight="1">
      <c r="E204" s="208"/>
      <c r="J204" s="208"/>
      <c r="O204" s="208"/>
      <c r="U204" s="212"/>
    </row>
    <row r="205" ht="15.75" customHeight="1">
      <c r="E205" s="208"/>
      <c r="J205" s="208"/>
      <c r="O205" s="208"/>
      <c r="U205" s="212"/>
    </row>
    <row r="206" ht="15.75" customHeight="1">
      <c r="E206" s="208"/>
      <c r="J206" s="208"/>
      <c r="O206" s="208"/>
      <c r="U206" s="212"/>
    </row>
    <row r="207" ht="15.75" customHeight="1">
      <c r="E207" s="208"/>
      <c r="J207" s="208"/>
      <c r="O207" s="208"/>
      <c r="U207" s="212"/>
    </row>
    <row r="208" ht="15.75" customHeight="1">
      <c r="E208" s="208"/>
      <c r="J208" s="208"/>
      <c r="O208" s="208"/>
      <c r="U208" s="212"/>
    </row>
    <row r="209" ht="15.75" customHeight="1">
      <c r="E209" s="208"/>
      <c r="J209" s="208"/>
      <c r="O209" s="208"/>
      <c r="U209" s="212"/>
    </row>
    <row r="210" ht="15.75" customHeight="1">
      <c r="E210" s="208"/>
      <c r="J210" s="208"/>
      <c r="O210" s="208"/>
      <c r="U210" s="212"/>
    </row>
    <row r="211" ht="15.75" customHeight="1">
      <c r="E211" s="208"/>
      <c r="J211" s="208"/>
      <c r="O211" s="208"/>
      <c r="U211" s="212"/>
    </row>
    <row r="212" ht="15.75" customHeight="1">
      <c r="E212" s="208"/>
      <c r="J212" s="208"/>
      <c r="O212" s="208"/>
      <c r="U212" s="212"/>
    </row>
    <row r="213" ht="15.75" customHeight="1">
      <c r="E213" s="208"/>
      <c r="J213" s="208"/>
      <c r="O213" s="208"/>
      <c r="U213" s="212"/>
    </row>
    <row r="214" ht="15.75" customHeight="1">
      <c r="E214" s="208"/>
      <c r="J214" s="208"/>
      <c r="O214" s="208"/>
      <c r="U214" s="212"/>
    </row>
    <row r="215" ht="15.75" customHeight="1">
      <c r="E215" s="208"/>
      <c r="J215" s="208"/>
      <c r="O215" s="208"/>
      <c r="U215" s="212"/>
    </row>
    <row r="216" ht="15.75" customHeight="1">
      <c r="E216" s="208"/>
      <c r="J216" s="208"/>
      <c r="O216" s="208"/>
      <c r="U216" s="212"/>
    </row>
    <row r="217" ht="15.75" customHeight="1">
      <c r="E217" s="208"/>
      <c r="J217" s="208"/>
      <c r="O217" s="208"/>
      <c r="U217" s="212"/>
    </row>
    <row r="218" ht="15.75" customHeight="1">
      <c r="E218" s="208"/>
      <c r="J218" s="208"/>
      <c r="O218" s="208"/>
      <c r="U218" s="212"/>
    </row>
    <row r="219" ht="15.75" customHeight="1">
      <c r="E219" s="208"/>
      <c r="J219" s="208"/>
      <c r="O219" s="208"/>
      <c r="U219" s="212"/>
    </row>
    <row r="220" ht="15.75" customHeight="1">
      <c r="E220" s="208"/>
      <c r="J220" s="208"/>
      <c r="O220" s="208"/>
      <c r="U220" s="212"/>
    </row>
    <row r="221" ht="15.75" customHeight="1">
      <c r="E221" s="208"/>
      <c r="J221" s="208"/>
      <c r="O221" s="208"/>
      <c r="U221" s="212"/>
    </row>
    <row r="222" ht="15.75" customHeight="1">
      <c r="E222" s="208"/>
      <c r="J222" s="208"/>
      <c r="O222" s="208"/>
      <c r="U222" s="212"/>
    </row>
    <row r="223" ht="15.75" customHeight="1">
      <c r="E223" s="208"/>
      <c r="J223" s="208"/>
      <c r="O223" s="208"/>
      <c r="U223" s="212"/>
    </row>
    <row r="224" ht="15.75" customHeight="1">
      <c r="E224" s="208"/>
      <c r="J224" s="208"/>
      <c r="O224" s="208"/>
      <c r="U224" s="212"/>
    </row>
    <row r="225" ht="15.75" customHeight="1">
      <c r="E225" s="208"/>
      <c r="J225" s="208"/>
      <c r="O225" s="208"/>
      <c r="U225" s="212"/>
    </row>
    <row r="226" ht="15.75" customHeight="1">
      <c r="E226" s="208"/>
      <c r="J226" s="208"/>
      <c r="O226" s="208"/>
      <c r="U226" s="212"/>
    </row>
    <row r="227" ht="15.75" customHeight="1">
      <c r="E227" s="208"/>
      <c r="J227" s="208"/>
      <c r="O227" s="208"/>
      <c r="U227" s="212"/>
    </row>
    <row r="228" ht="15.75" customHeight="1">
      <c r="E228" s="208"/>
      <c r="J228" s="208"/>
      <c r="O228" s="208"/>
      <c r="U228" s="212"/>
    </row>
    <row r="229" ht="15.75" customHeight="1">
      <c r="E229" s="208"/>
      <c r="J229" s="208"/>
      <c r="O229" s="208"/>
      <c r="U229" s="212"/>
    </row>
    <row r="230" ht="15.75" customHeight="1">
      <c r="E230" s="208"/>
      <c r="J230" s="208"/>
      <c r="O230" s="208"/>
      <c r="U230" s="212"/>
    </row>
    <row r="231" ht="15.75" customHeight="1">
      <c r="E231" s="208"/>
      <c r="J231" s="208"/>
      <c r="O231" s="208"/>
      <c r="U231" s="212"/>
    </row>
    <row r="232" ht="15.75" customHeight="1">
      <c r="E232" s="208"/>
      <c r="J232" s="208"/>
      <c r="O232" s="208"/>
      <c r="U232" s="212"/>
    </row>
    <row r="233" ht="15.75" customHeight="1">
      <c r="E233" s="208"/>
      <c r="J233" s="208"/>
      <c r="O233" s="208"/>
      <c r="U233" s="212"/>
    </row>
    <row r="234" ht="15.75" customHeight="1">
      <c r="E234" s="208"/>
      <c r="J234" s="208"/>
      <c r="O234" s="208"/>
      <c r="U234" s="212"/>
    </row>
    <row r="235" ht="15.75" customHeight="1">
      <c r="E235" s="208"/>
      <c r="J235" s="208"/>
      <c r="O235" s="208"/>
      <c r="U235" s="212"/>
    </row>
    <row r="236" ht="15.75" customHeight="1">
      <c r="E236" s="208"/>
      <c r="J236" s="208"/>
      <c r="O236" s="208"/>
      <c r="U236" s="212"/>
    </row>
    <row r="237" ht="15.75" customHeight="1">
      <c r="E237" s="208"/>
      <c r="J237" s="208"/>
      <c r="O237" s="208"/>
      <c r="U237" s="212"/>
    </row>
    <row r="238" ht="15.75" customHeight="1">
      <c r="E238" s="208"/>
      <c r="J238" s="208"/>
      <c r="O238" s="208"/>
      <c r="U238" s="212"/>
    </row>
    <row r="239" ht="15.75" customHeight="1">
      <c r="E239" s="208"/>
      <c r="J239" s="208"/>
      <c r="O239" s="208"/>
      <c r="U239" s="212"/>
    </row>
    <row r="240" ht="15.75" customHeight="1">
      <c r="E240" s="208"/>
      <c r="J240" s="208"/>
      <c r="O240" s="208"/>
      <c r="U240" s="212"/>
    </row>
    <row r="241" ht="15.75" customHeight="1">
      <c r="E241" s="208"/>
      <c r="J241" s="208"/>
      <c r="O241" s="208"/>
      <c r="U241" s="21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1:I1"/>
    <mergeCell ref="P1:T1"/>
    <mergeCell ref="V1:Y1"/>
  </mergeCells>
  <conditionalFormatting sqref="S22:S25">
    <cfRule type="expression" dxfId="4" priority="1">
      <formula>S</formula>
    </cfRule>
  </conditionalFormatting>
  <dataValidations>
    <dataValidation type="list" allowBlank="1" showErrorMessage="1" sqref="AB4 AB7 AB10 AB13">
      <formula1>"Not Ready,Ready"</formula1>
    </dataValidation>
    <dataValidation type="list" allowBlank="1" showErrorMessage="1" sqref="V58:V85">
      <formula1>"Opt Out,Friendly,Competitive,Tiebreaker/DE,Unknown"</formula1>
    </dataValidation>
    <dataValidation type="list" allowBlank="1" showErrorMessage="1" sqref="AC1">
      <formula1>"Blank,Test Scores On"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14.0"/>
    <col customWidth="1" min="3" max="4" width="12.75"/>
    <col customWidth="1" min="5" max="5" width="3.25"/>
    <col customWidth="1" min="6" max="6" width="27.75"/>
    <col customWidth="1" min="7" max="9" width="12.75"/>
    <col customWidth="1" min="10" max="10" width="3.25"/>
    <col customWidth="1" min="11" max="11" width="8.0"/>
    <col customWidth="1" min="12" max="12" width="32.38"/>
    <col customWidth="1" min="13" max="13" width="12.75"/>
    <col customWidth="1" min="14" max="14" width="4.13"/>
    <col customWidth="1" min="15" max="15" width="8.13"/>
    <col customWidth="1" min="16" max="16" width="27.75"/>
    <col customWidth="1" min="17" max="18" width="12.75"/>
    <col customWidth="1" min="19" max="19" width="19.38"/>
    <col customWidth="1" min="20" max="26" width="12.75"/>
  </cols>
  <sheetData>
    <row r="1" ht="27.0" customHeight="1">
      <c r="A1" s="207" t="s">
        <v>188</v>
      </c>
      <c r="B1" s="207"/>
      <c r="C1" s="207"/>
      <c r="D1" s="207"/>
      <c r="E1" s="208"/>
      <c r="F1" s="209" t="s">
        <v>189</v>
      </c>
      <c r="G1" s="55"/>
      <c r="H1" s="55"/>
      <c r="I1" s="56"/>
      <c r="J1" s="208"/>
      <c r="K1" s="209" t="s">
        <v>209</v>
      </c>
      <c r="L1" s="55"/>
      <c r="M1" s="56"/>
      <c r="N1" s="212"/>
      <c r="O1" s="209" t="s">
        <v>210</v>
      </c>
      <c r="P1" s="55"/>
      <c r="Q1" s="56"/>
    </row>
    <row r="2" ht="15.75" customHeight="1">
      <c r="A2" s="1" t="str">
        <f>'CT Region ROUND ROBIN Scores (P'!Y7</f>
        <v>Team (Alphabetical)</v>
      </c>
      <c r="B2" s="1" t="str">
        <f>'CT Region ROUND ROBIN Scores (P'!Z7</f>
        <v>Division</v>
      </c>
      <c r="C2" s="1" t="str">
        <f>'CT Region ROUND ROBIN Scores (P'!AA7</f>
        <v>Total Points</v>
      </c>
      <c r="D2" s="1" t="str">
        <f>'CT Region ROUND ROBIN Scores (P'!AB7</f>
        <v>Total Score</v>
      </c>
      <c r="E2" s="208"/>
      <c r="F2" s="1" t="s">
        <v>45</v>
      </c>
      <c r="G2" s="1" t="s">
        <v>131</v>
      </c>
      <c r="H2" s="1" t="s">
        <v>132</v>
      </c>
      <c r="I2" s="1" t="s">
        <v>135</v>
      </c>
      <c r="J2" s="208"/>
      <c r="K2" s="1" t="s">
        <v>195</v>
      </c>
      <c r="L2" s="1" t="s">
        <v>45</v>
      </c>
      <c r="M2" s="1" t="s">
        <v>135</v>
      </c>
      <c r="N2" s="212"/>
      <c r="O2" s="1" t="s">
        <v>196</v>
      </c>
      <c r="P2" s="1" t="s">
        <v>45</v>
      </c>
      <c r="Q2" s="1" t="s">
        <v>135</v>
      </c>
    </row>
    <row r="3" ht="15.75" customHeight="1">
      <c r="A3" s="4" t="str">
        <f>'CT Region ROUND ROBIN Scores (P'!Y8</f>
        <v>Amity Regional HS</v>
      </c>
      <c r="B3" s="4" t="str">
        <f>'CT Region ROUND ROBIN Scores (P'!Z8</f>
        <v>Division 3 (Silas Adekunle)</v>
      </c>
      <c r="C3" s="1">
        <f>'CT Region ROUND ROBIN Scores (P'!AA8</f>
        <v>8</v>
      </c>
      <c r="D3" s="1">
        <f>'CT Region ROUND ROBIN Scores (P'!AB8</f>
        <v>438</v>
      </c>
      <c r="E3" s="208"/>
      <c r="F3" s="4" t="str">
        <f>'CT Region ROUND ROBIN Scores (P'!Y14</f>
        <v>CT IB Acad - Team 2</v>
      </c>
      <c r="G3" s="4" t="str">
        <f>'CT Region ROUND ROBIN Scores (P'!Z14</f>
        <v>Division 1 (Temple Grandin)</v>
      </c>
      <c r="H3" s="4">
        <f>'CT Region ROUND ROBIN Scores (P'!AA14</f>
        <v>4</v>
      </c>
      <c r="I3" s="4" t="str">
        <f t="shared" ref="I3:I32" si="1">#REF!</f>
        <v>#REF!</v>
      </c>
      <c r="J3" s="208"/>
      <c r="K3" s="4">
        <v>1.0</v>
      </c>
      <c r="L3" s="4" t="str">
        <f t="shared" ref="L3:L12" si="2">INDEX($F$1:$F$1000, MATCH(M3, $I$1:$I$1000, 0))</f>
        <v>#REF!</v>
      </c>
      <c r="M3" s="4" t="str">
        <f>LARGE($I$3:$I$8,1)</f>
        <v>#REF!</v>
      </c>
      <c r="N3" s="212"/>
      <c r="O3" s="4">
        <v>1.0</v>
      </c>
      <c r="P3" s="4" t="str">
        <f t="shared" ref="P3:P18" si="3">INDEX($F$1:$F$1000, MATCH(Q3, $I$1:$I$1000, 0))</f>
        <v>#REF!</v>
      </c>
      <c r="Q3" s="4" t="str">
        <f t="shared" ref="Q3:Q11" si="4">LARGE($M$3:$M$19,O3)</f>
        <v>#REF!</v>
      </c>
      <c r="S3" s="4" t="s">
        <v>211</v>
      </c>
    </row>
    <row r="4" ht="15.75" customHeight="1">
      <c r="A4" s="4" t="str">
        <f>'CT Region ROUND ROBIN Scores (P'!Y9</f>
        <v>Bacon Academy</v>
      </c>
      <c r="B4" s="4" t="str">
        <f>'CT Region ROUND ROBIN Scores (P'!Z9</f>
        <v>Division 2 (Marian Croak)</v>
      </c>
      <c r="C4" s="1">
        <f>'CT Region ROUND ROBIN Scores (P'!AA9</f>
        <v>2</v>
      </c>
      <c r="D4" s="1">
        <f>'CT Region ROUND ROBIN Scores (P'!AB9</f>
        <v>152</v>
      </c>
      <c r="E4" s="208"/>
      <c r="F4" s="4" t="str">
        <f>'CT Region ROUND ROBIN Scores (P'!Y27</f>
        <v>Farmington HS - Team 1</v>
      </c>
      <c r="G4" s="4" t="str">
        <f>'CT Region ROUND ROBIN Scores (P'!Z27</f>
        <v>Division 1 (Temple Grandin)</v>
      </c>
      <c r="H4" s="4">
        <f>'CT Region ROUND ROBIN Scores (P'!AA27</f>
        <v>10</v>
      </c>
      <c r="I4" s="4" t="str">
        <f t="shared" si="1"/>
        <v>#REF!</v>
      </c>
      <c r="J4" s="208"/>
      <c r="K4" s="221">
        <v>2.0</v>
      </c>
      <c r="L4" s="221" t="str">
        <f t="shared" si="2"/>
        <v>#REF!</v>
      </c>
      <c r="M4" s="221" t="str">
        <f>LARGE($I$3:$I$8,2)</f>
        <v>#REF!</v>
      </c>
      <c r="N4" s="212"/>
      <c r="O4" s="4">
        <v>2.0</v>
      </c>
      <c r="P4" s="4" t="str">
        <f t="shared" si="3"/>
        <v>#REF!</v>
      </c>
      <c r="Q4" s="4" t="str">
        <f t="shared" si="4"/>
        <v>#REF!</v>
      </c>
      <c r="S4" s="4" t="s">
        <v>200</v>
      </c>
    </row>
    <row r="5" ht="15.75" customHeight="1">
      <c r="A5" s="4" t="str">
        <f>'CT Region ROUND ROBIN Scores (P'!Y10</f>
        <v>Choate Rosemary Hall</v>
      </c>
      <c r="B5" s="4" t="str">
        <f>'CT Region ROUND ROBIN Scores (P'!Z10</f>
        <v>Division 7 (Irene Uchida)</v>
      </c>
      <c r="C5" s="1">
        <f>'CT Region ROUND ROBIN Scores (P'!AA10</f>
        <v>6</v>
      </c>
      <c r="D5" s="1">
        <f>'CT Region ROUND ROBIN Scores (P'!AB10</f>
        <v>294</v>
      </c>
      <c r="E5" s="208"/>
      <c r="F5" s="4" t="str">
        <f>'CT Region ROUND ROBIN Scores (P'!Y29</f>
        <v>Greenwich HS - Team 1</v>
      </c>
      <c r="G5" s="4" t="str">
        <f>'CT Region ROUND ROBIN Scores (P'!Z29</f>
        <v>Division 4 (Ellen Ochoa)</v>
      </c>
      <c r="H5" s="4">
        <f>'CT Region ROUND ROBIN Scores (P'!AA29</f>
        <v>10</v>
      </c>
      <c r="I5" s="4" t="str">
        <f t="shared" si="1"/>
        <v>#REF!</v>
      </c>
      <c r="J5" s="208"/>
      <c r="K5" s="4">
        <v>1.0</v>
      </c>
      <c r="L5" s="4" t="str">
        <f t="shared" si="2"/>
        <v>#REF!</v>
      </c>
      <c r="M5" s="4" t="str">
        <f>LARGE($I$9:$I$14,1)</f>
        <v>#REF!</v>
      </c>
      <c r="N5" s="212"/>
      <c r="O5" s="4">
        <v>3.0</v>
      </c>
      <c r="P5" s="4" t="str">
        <f t="shared" si="3"/>
        <v>#REF!</v>
      </c>
      <c r="Q5" s="4" t="str">
        <f t="shared" si="4"/>
        <v>#REF!</v>
      </c>
    </row>
    <row r="6" ht="15.75" customHeight="1">
      <c r="A6" s="4" t="str">
        <f>'CT Region ROUND ROBIN Scores (P'!Y11</f>
        <v>Conard HS - Team 1</v>
      </c>
      <c r="B6" s="4" t="str">
        <f>'CT Region ROUND ROBIN Scores (P'!Z11</f>
        <v>Division 4 (Ellen Ochoa)</v>
      </c>
      <c r="C6" s="1">
        <f>'CT Region ROUND ROBIN Scores (P'!AA11</f>
        <v>6</v>
      </c>
      <c r="D6" s="1">
        <f>'CT Region ROUND ROBIN Scores (P'!AB11</f>
        <v>290</v>
      </c>
      <c r="E6" s="208"/>
      <c r="F6" s="4" t="str">
        <f>'CT Region ROUND ROBIN Scores (P'!Y31</f>
        <v>Greenwich HS - Team 3</v>
      </c>
      <c r="G6" s="4" t="str">
        <f>'CT Region ROUND ROBIN Scores (P'!Z31</f>
        <v>Division 2 (Marian Croak)</v>
      </c>
      <c r="H6" s="4">
        <f>'CT Region ROUND ROBIN Scores (P'!AA31</f>
        <v>0</v>
      </c>
      <c r="I6" s="4" t="str">
        <f t="shared" si="1"/>
        <v>#REF!</v>
      </c>
      <c r="J6" s="208"/>
      <c r="K6" s="221">
        <v>2.0</v>
      </c>
      <c r="L6" s="221" t="str">
        <f t="shared" si="2"/>
        <v>#REF!</v>
      </c>
      <c r="M6" s="221" t="str">
        <f>LARGE($I$9:$I$14,2)</f>
        <v>#REF!</v>
      </c>
      <c r="N6" s="212"/>
      <c r="O6" s="4">
        <v>4.0</v>
      </c>
      <c r="P6" s="4" t="str">
        <f t="shared" si="3"/>
        <v>#REF!</v>
      </c>
      <c r="Q6" s="4" t="str">
        <f t="shared" si="4"/>
        <v>#REF!</v>
      </c>
    </row>
    <row r="7" ht="15.75" customHeight="1">
      <c r="A7" s="4" t="str">
        <f>'CT Region ROUND ROBIN Scores (P'!Y12</f>
        <v>Conard HS - Team 2</v>
      </c>
      <c r="B7" s="4" t="str">
        <f>'CT Region ROUND ROBIN Scores (P'!Z12</f>
        <v>Division 2 (Marian Croak)</v>
      </c>
      <c r="C7" s="1">
        <f>'CT Region ROUND ROBIN Scores (P'!AA12</f>
        <v>6</v>
      </c>
      <c r="D7" s="1">
        <f>'CT Region ROUND ROBIN Scores (P'!AB12</f>
        <v>220</v>
      </c>
      <c r="E7" s="208"/>
      <c r="F7" s="4" t="str">
        <f>'CT Region ROUND ROBIN Scores (P'!Y35</f>
        <v>Loomis Chaffee - Team 2</v>
      </c>
      <c r="G7" s="4" t="str">
        <f>'CT Region ROUND ROBIN Scores (P'!Z35</f>
        <v>Division 1 (Temple Grandin)</v>
      </c>
      <c r="H7" s="4">
        <f>'CT Region ROUND ROBIN Scores (P'!AA35</f>
        <v>6</v>
      </c>
      <c r="I7" s="4" t="str">
        <f t="shared" si="1"/>
        <v>#REF!</v>
      </c>
      <c r="J7" s="208"/>
      <c r="K7" s="4">
        <v>1.0</v>
      </c>
      <c r="L7" s="4" t="str">
        <f t="shared" si="2"/>
        <v>#REF!</v>
      </c>
      <c r="M7" s="4" t="str">
        <f>LARGE($I$15:$I$20,1)</f>
        <v>#REF!</v>
      </c>
      <c r="N7" s="212"/>
      <c r="O7" s="4">
        <v>5.0</v>
      </c>
      <c r="P7" s="4" t="str">
        <f t="shared" si="3"/>
        <v>#REF!</v>
      </c>
      <c r="Q7" s="4" t="str">
        <f t="shared" si="4"/>
        <v>#REF!</v>
      </c>
      <c r="R7" s="4" t="s">
        <v>212</v>
      </c>
    </row>
    <row r="8" ht="15.75" customHeight="1">
      <c r="A8" s="4" t="str">
        <f>'CT Region ROUND ROBIN Scores (P'!Y13</f>
        <v>CT IB Acad - Team 1</v>
      </c>
      <c r="B8" s="4" t="str">
        <f>'CT Region ROUND ROBIN Scores (P'!Z13</f>
        <v>Division 3 (Silas Adekunle)</v>
      </c>
      <c r="C8" s="1">
        <f>'CT Region ROUND ROBIN Scores (P'!AA13</f>
        <v>0</v>
      </c>
      <c r="D8" s="1">
        <f>'CT Region ROUND ROBIN Scores (P'!AB13</f>
        <v>72</v>
      </c>
      <c r="E8" s="208"/>
      <c r="F8" s="221" t="str">
        <f>'CT Region ROUND ROBIN Scores (P'!Y36</f>
        <v>New Canaan HS - Team 1</v>
      </c>
      <c r="G8" s="221" t="str">
        <f>'CT Region ROUND ROBIN Scores (P'!Z36</f>
        <v>Division 6 (Guillermo Camarena)</v>
      </c>
      <c r="H8" s="221">
        <f>'CT Region ROUND ROBIN Scores (P'!AA36</f>
        <v>8</v>
      </c>
      <c r="I8" s="221" t="str">
        <f t="shared" si="1"/>
        <v>#REF!</v>
      </c>
      <c r="J8" s="208"/>
      <c r="K8" s="221">
        <v>2.0</v>
      </c>
      <c r="L8" s="221" t="str">
        <f t="shared" si="2"/>
        <v>#REF!</v>
      </c>
      <c r="M8" s="221" t="str">
        <f>LARGE(I15:I20,2)</f>
        <v>#REF!</v>
      </c>
      <c r="N8" s="212"/>
      <c r="O8" s="4">
        <v>6.0</v>
      </c>
      <c r="P8" s="4" t="str">
        <f t="shared" si="3"/>
        <v>#REF!</v>
      </c>
      <c r="Q8" s="4" t="str">
        <f t="shared" si="4"/>
        <v>#REF!</v>
      </c>
    </row>
    <row r="9" ht="15.75" customHeight="1">
      <c r="A9" s="4" t="str">
        <f>'CT Region ROUND ROBIN Scores (P'!Y14</f>
        <v>CT IB Acad - Team 2</v>
      </c>
      <c r="B9" s="4" t="str">
        <f>'CT Region ROUND ROBIN Scores (P'!Z14</f>
        <v>Division 1 (Temple Grandin)</v>
      </c>
      <c r="C9" s="1">
        <f>'CT Region ROUND ROBIN Scores (P'!AA14</f>
        <v>4</v>
      </c>
      <c r="D9" s="1">
        <f>'CT Region ROUND ROBIN Scores (P'!AB14</f>
        <v>226</v>
      </c>
      <c r="E9" s="208"/>
      <c r="F9" s="4" t="str">
        <f>'CT Region ROUND ROBIN Scores (P'!Y8</f>
        <v>Amity Regional HS</v>
      </c>
      <c r="G9" s="4" t="str">
        <f>'CT Region ROUND ROBIN Scores (P'!Z8</f>
        <v>Division 3 (Silas Adekunle)</v>
      </c>
      <c r="H9" s="4">
        <f>'CT Region ROUND ROBIN Scores (P'!AA8</f>
        <v>8</v>
      </c>
      <c r="I9" s="4" t="str">
        <f t="shared" si="1"/>
        <v>#REF!</v>
      </c>
      <c r="J9" s="208"/>
      <c r="K9" s="4">
        <v>1.0</v>
      </c>
      <c r="L9" s="4" t="str">
        <f t="shared" si="2"/>
        <v>#REF!</v>
      </c>
      <c r="M9" s="4" t="str">
        <f>LARGE($I$21:$I$26,1)</f>
        <v>#REF!</v>
      </c>
      <c r="N9" s="212"/>
      <c r="O9" s="4">
        <v>7.0</v>
      </c>
      <c r="P9" s="4" t="str">
        <f t="shared" si="3"/>
        <v>#REF!</v>
      </c>
      <c r="Q9" s="4" t="str">
        <f t="shared" si="4"/>
        <v>#REF!</v>
      </c>
    </row>
    <row r="10" ht="15.75" customHeight="1">
      <c r="A10" s="4" t="str">
        <f>'CT Region ROUND ROBIN Scores (P'!Y15</f>
        <v>CT IB Acad - Team 3</v>
      </c>
      <c r="B10" s="4" t="str">
        <f>'CT Region ROUND ROBIN Scores (P'!Z15</f>
        <v>Division 4 (Ellen Ochoa)</v>
      </c>
      <c r="C10" s="1">
        <f>'CT Region ROUND ROBIN Scores (P'!AA15</f>
        <v>0</v>
      </c>
      <c r="D10" s="1">
        <f>'CT Region ROUND ROBIN Scores (P'!AB15</f>
        <v>146</v>
      </c>
      <c r="E10" s="208"/>
      <c r="F10" s="4" t="str">
        <f>'CT Region ROUND ROBIN Scores (P'!Y22</f>
        <v>EO Smith HS - Team 2</v>
      </c>
      <c r="G10" s="4" t="str">
        <f>'CT Region ROUND ROBIN Scores (P'!Z22</f>
        <v>Division 5 (Ursula Burns)</v>
      </c>
      <c r="H10" s="4">
        <f>'CT Region ROUND ROBIN Scores (P'!AA22</f>
        <v>6</v>
      </c>
      <c r="I10" s="4" t="str">
        <f t="shared" si="1"/>
        <v>#REF!</v>
      </c>
      <c r="J10" s="208"/>
      <c r="K10" s="221">
        <v>2.0</v>
      </c>
      <c r="L10" s="221" t="str">
        <f t="shared" si="2"/>
        <v>#REF!</v>
      </c>
      <c r="M10" s="221" t="str">
        <f>LARGE(I21:I26,2)</f>
        <v>#REF!</v>
      </c>
      <c r="N10" s="212"/>
      <c r="O10" s="4">
        <v>8.0</v>
      </c>
      <c r="P10" s="4" t="str">
        <f t="shared" si="3"/>
        <v>#REF!</v>
      </c>
      <c r="Q10" s="4" t="str">
        <f t="shared" si="4"/>
        <v>#REF!</v>
      </c>
    </row>
    <row r="11" ht="15.75" customHeight="1">
      <c r="A11" s="4" t="str">
        <f>'CT Region ROUND ROBIN Scores (P'!Y16</f>
        <v>East Lyme HS - Team 1</v>
      </c>
      <c r="B11" s="4" t="str">
        <f>'CT Region ROUND ROBIN Scores (P'!Z16</f>
        <v>Division 5 (Ursula Burns)</v>
      </c>
      <c r="C11" s="1">
        <f>'CT Region ROUND ROBIN Scores (P'!AA16</f>
        <v>4</v>
      </c>
      <c r="D11" s="1">
        <f>'CT Region ROUND ROBIN Scores (P'!AB16</f>
        <v>422</v>
      </c>
      <c r="E11" s="208"/>
      <c r="F11" s="4" t="str">
        <f>'CT Region ROUND ROBIN Scores (P'!Y25</f>
        <v>Fairfield Warde HS - Team 1</v>
      </c>
      <c r="G11" s="4" t="str">
        <f>'CT Region ROUND ROBIN Scores (P'!Z25</f>
        <v>Division 4 (Ellen Ochoa)</v>
      </c>
      <c r="H11" s="4">
        <f>'CT Region ROUND ROBIN Scores (P'!AA25</f>
        <v>8</v>
      </c>
      <c r="I11" s="4" t="str">
        <f t="shared" si="1"/>
        <v>#REF!</v>
      </c>
      <c r="J11" s="208"/>
      <c r="K11" s="4">
        <v>1.0</v>
      </c>
      <c r="L11" s="4" t="str">
        <f t="shared" si="2"/>
        <v>#REF!</v>
      </c>
      <c r="M11" s="4" t="str">
        <f>LARGE($I$27:$I$32,1)</f>
        <v>#REF!</v>
      </c>
      <c r="N11" s="212"/>
      <c r="O11" s="4">
        <v>9.0</v>
      </c>
      <c r="P11" s="4" t="str">
        <f t="shared" si="3"/>
        <v>#REF!</v>
      </c>
      <c r="Q11" s="4" t="str">
        <f t="shared" si="4"/>
        <v>#REF!</v>
      </c>
    </row>
    <row r="12" ht="15.75" customHeight="1">
      <c r="A12" s="4" t="str">
        <f>'CT Region ROUND ROBIN Scores (P'!Y17</f>
        <v>East Lyme HS - Team 2</v>
      </c>
      <c r="B12" s="4" t="str">
        <f>'CT Region ROUND ROBIN Scores (P'!Z17</f>
        <v>Division 3 (Silas Adekunle)</v>
      </c>
      <c r="C12" s="1">
        <f>'CT Region ROUND ROBIN Scores (P'!AA17</f>
        <v>4</v>
      </c>
      <c r="D12" s="1">
        <f>'CT Region ROUND ROBIN Scores (P'!AB17</f>
        <v>294</v>
      </c>
      <c r="E12" s="208"/>
      <c r="F12" s="4" t="str">
        <f>'CT Region ROUND ROBIN Scores (P'!Y26</f>
        <v>Fairfield Warde HS - Team 2</v>
      </c>
      <c r="G12" s="4" t="str">
        <f>'CT Region ROUND ROBIN Scores (P'!Z26</f>
        <v>Division 6 (Guillermo Camarena)</v>
      </c>
      <c r="H12" s="4">
        <f>'CT Region ROUND ROBIN Scores (P'!AA26</f>
        <v>0</v>
      </c>
      <c r="I12" s="4" t="str">
        <f t="shared" si="1"/>
        <v>#REF!</v>
      </c>
      <c r="J12" s="208"/>
      <c r="K12" s="221">
        <v>2.0</v>
      </c>
      <c r="L12" s="221" t="str">
        <f t="shared" si="2"/>
        <v>#REF!</v>
      </c>
      <c r="M12" s="221" t="str">
        <f>LARGE(I27:I32,2)</f>
        <v>#REF!</v>
      </c>
      <c r="N12" s="212"/>
      <c r="O12" s="4">
        <v>10.0</v>
      </c>
      <c r="P12" s="4" t="str">
        <f t="shared" si="3"/>
        <v>#REF!</v>
      </c>
      <c r="Q12" s="4" t="str">
        <f t="shared" ref="Q12:Q17" si="5">LARGE($M$3:$M$19,O13)</f>
        <v>#REF!</v>
      </c>
      <c r="R12" s="4" t="s">
        <v>212</v>
      </c>
    </row>
    <row r="13" ht="15.75" customHeight="1">
      <c r="A13" s="4" t="str">
        <f>'CT Region ROUND ROBIN Scores (P'!Y18</f>
        <v>Enfield HS - Team 1</v>
      </c>
      <c r="B13" s="4" t="str">
        <f>'CT Region ROUND ROBIN Scores (P'!Z18</f>
        <v>Division 3 (Silas Adekunle)</v>
      </c>
      <c r="C13" s="1">
        <f>'CT Region ROUND ROBIN Scores (P'!AA18</f>
        <v>2</v>
      </c>
      <c r="D13" s="1">
        <f>'CT Region ROUND ROBIN Scores (P'!AB18</f>
        <v>142</v>
      </c>
      <c r="E13" s="208"/>
      <c r="F13" s="4" t="str">
        <f>'CT Region ROUND ROBIN Scores (P'!Y32</f>
        <v>Greenwich HS - Team 4</v>
      </c>
      <c r="G13" s="4" t="str">
        <f>'CT Region ROUND ROBIN Scores (P'!Z32</f>
        <v>Division 8 (Bernardo Houssay) - Canceled Division - Sorry!</v>
      </c>
      <c r="H13" s="4">
        <f>'CT Region ROUND ROBIN Scores (P'!AA32</f>
        <v>0</v>
      </c>
      <c r="I13" s="4" t="str">
        <f t="shared" si="1"/>
        <v>#REF!</v>
      </c>
      <c r="J13" s="208"/>
      <c r="K13" s="1" t="s">
        <v>213</v>
      </c>
      <c r="N13" s="212"/>
      <c r="O13" s="4">
        <v>11.0</v>
      </c>
      <c r="P13" s="4" t="str">
        <f t="shared" si="3"/>
        <v>#REF!</v>
      </c>
      <c r="Q13" s="4" t="str">
        <f t="shared" si="5"/>
        <v>#REF!</v>
      </c>
    </row>
    <row r="14" ht="15.75" customHeight="1">
      <c r="A14" s="4" t="str">
        <f>'CT Region ROUND ROBIN Scores (P'!Y19</f>
        <v>Enfield HS - Team 2</v>
      </c>
      <c r="B14" s="4" t="str">
        <f>'CT Region ROUND ROBIN Scores (P'!Z19</f>
        <v>Division 6 (Guillermo Camarena)</v>
      </c>
      <c r="C14" s="1">
        <f>'CT Region ROUND ROBIN Scores (P'!AA19</f>
        <v>2</v>
      </c>
      <c r="D14" s="1">
        <f>'CT Region ROUND ROBIN Scores (P'!AB19</f>
        <v>158</v>
      </c>
      <c r="E14" s="208"/>
      <c r="F14" s="221" t="str">
        <f>'CT Region ROUND ROBIN Scores (P'!Y34</f>
        <v>Loomis Chaffee - Team 1</v>
      </c>
      <c r="G14" s="221" t="str">
        <f>'CT Region ROUND ROBIN Scores (P'!Z34</f>
        <v>Division 5 (Ursula Burns)</v>
      </c>
      <c r="H14" s="221">
        <f>'CT Region ROUND ROBIN Scores (P'!AA34</f>
        <v>8</v>
      </c>
      <c r="I14" s="221" t="str">
        <f t="shared" si="1"/>
        <v>#REF!</v>
      </c>
      <c r="J14" s="208"/>
      <c r="K14" s="4">
        <v>1.0</v>
      </c>
      <c r="L14" s="4" t="str">
        <f t="shared" ref="L14:L19" si="6">INDEX($F$1:$F$1000, MATCH(M14, $I$1:$I$1000, 0))</f>
        <v>#REF!</v>
      </c>
      <c r="M14" s="4" t="str">
        <f t="shared" ref="M14:M19" si="7">LARGE($M$22:$M$41,K14)</f>
        <v>#REF!</v>
      </c>
      <c r="N14" s="212"/>
      <c r="O14" s="4">
        <v>12.0</v>
      </c>
      <c r="P14" s="4" t="str">
        <f t="shared" si="3"/>
        <v>#REF!</v>
      </c>
      <c r="Q14" s="4" t="str">
        <f t="shared" si="5"/>
        <v>#REF!</v>
      </c>
    </row>
    <row r="15" ht="15.75" customHeight="1">
      <c r="A15" s="4" t="str">
        <f>'CT Region ROUND ROBIN Scores (P'!Y20</f>
        <v>Enfield HS - Team 3</v>
      </c>
      <c r="B15" s="4" t="str">
        <f>'CT Region ROUND ROBIN Scores (P'!Z20</f>
        <v>Division 7 (Irene Uchida)</v>
      </c>
      <c r="C15" s="1">
        <f>'CT Region ROUND ROBIN Scores (P'!AA20</f>
        <v>2</v>
      </c>
      <c r="D15" s="1">
        <f>'CT Region ROUND ROBIN Scores (P'!AB20</f>
        <v>156</v>
      </c>
      <c r="E15" s="208"/>
      <c r="F15" s="4" t="str">
        <f>'CT Region ROUND ROBIN Scores (P'!Y13</f>
        <v>CT IB Acad - Team 1</v>
      </c>
      <c r="G15" s="4" t="str">
        <f>'CT Region ROUND ROBIN Scores (P'!Z13</f>
        <v>Division 3 (Silas Adekunle)</v>
      </c>
      <c r="H15" s="4">
        <f>'CT Region ROUND ROBIN Scores (P'!AA13</f>
        <v>0</v>
      </c>
      <c r="I15" s="4" t="str">
        <f t="shared" si="1"/>
        <v>#REF!</v>
      </c>
      <c r="J15" s="208"/>
      <c r="K15" s="4">
        <v>2.0</v>
      </c>
      <c r="L15" s="4" t="str">
        <f t="shared" si="6"/>
        <v>#REF!</v>
      </c>
      <c r="M15" s="4" t="str">
        <f t="shared" si="7"/>
        <v>#REF!</v>
      </c>
      <c r="N15" s="212"/>
      <c r="O15" s="4">
        <v>13.0</v>
      </c>
      <c r="P15" s="4" t="str">
        <f t="shared" si="3"/>
        <v>#REF!</v>
      </c>
      <c r="Q15" s="4" t="str">
        <f t="shared" si="5"/>
        <v>#REF!</v>
      </c>
    </row>
    <row r="16" ht="15.75" customHeight="1">
      <c r="A16" s="4" t="str">
        <f>'CT Region ROUND ROBIN Scores (P'!Y21</f>
        <v>EO Smith HS - Team 1</v>
      </c>
      <c r="B16" s="4" t="str">
        <f>'CT Region ROUND ROBIN Scores (P'!Z21</f>
        <v>Division 3 (Silas Adekunle)</v>
      </c>
      <c r="C16" s="1">
        <f>'CT Region ROUND ROBIN Scores (P'!AA21</f>
        <v>10</v>
      </c>
      <c r="D16" s="1">
        <f>'CT Region ROUND ROBIN Scores (P'!AB21</f>
        <v>750</v>
      </c>
      <c r="E16" s="208"/>
      <c r="F16" s="4" t="str">
        <f>'CT Region ROUND ROBIN Scores (P'!Y20</f>
        <v>Enfield HS - Team 3</v>
      </c>
      <c r="G16" s="4" t="str">
        <f>'CT Region ROUND ROBIN Scores (P'!Z20</f>
        <v>Division 7 (Irene Uchida)</v>
      </c>
      <c r="H16" s="4">
        <f>'CT Region ROUND ROBIN Scores (P'!AA20</f>
        <v>2</v>
      </c>
      <c r="I16" s="4" t="str">
        <f t="shared" si="1"/>
        <v>#REF!</v>
      </c>
      <c r="J16" s="208"/>
      <c r="K16" s="4">
        <v>3.0</v>
      </c>
      <c r="L16" s="4" t="str">
        <f t="shared" si="6"/>
        <v>#REF!</v>
      </c>
      <c r="M16" s="4" t="str">
        <f t="shared" si="7"/>
        <v>#REF!</v>
      </c>
      <c r="N16" s="212"/>
      <c r="O16" s="4">
        <v>14.0</v>
      </c>
      <c r="P16" s="4" t="str">
        <f t="shared" si="3"/>
        <v>#REF!</v>
      </c>
      <c r="Q16" s="4" t="str">
        <f t="shared" si="5"/>
        <v>#REF!</v>
      </c>
    </row>
    <row r="17" ht="15.75" customHeight="1">
      <c r="A17" s="4" t="str">
        <f>'CT Region ROUND ROBIN Scores (P'!Y22</f>
        <v>EO Smith HS - Team 2</v>
      </c>
      <c r="B17" s="4" t="str">
        <f>'CT Region ROUND ROBIN Scores (P'!Z22</f>
        <v>Division 5 (Ursula Burns)</v>
      </c>
      <c r="C17" s="1">
        <f>'CT Region ROUND ROBIN Scores (P'!AA22</f>
        <v>6</v>
      </c>
      <c r="D17" s="1">
        <f>'CT Region ROUND ROBIN Scores (P'!AB22</f>
        <v>298</v>
      </c>
      <c r="E17" s="208"/>
      <c r="F17" s="4" t="str">
        <f>'CT Region ROUND ROBIN Scores (P'!Y23</f>
        <v>Ethel Walker School</v>
      </c>
      <c r="G17" s="4" t="str">
        <f>'CT Region ROUND ROBIN Scores (P'!Z23</f>
        <v>Division 1 (Temple Grandin)</v>
      </c>
      <c r="H17" s="4">
        <f>'CT Region ROUND ROBIN Scores (P'!AA23</f>
        <v>0</v>
      </c>
      <c r="I17" s="4" t="str">
        <f t="shared" si="1"/>
        <v>#REF!</v>
      </c>
      <c r="J17" s="208"/>
      <c r="K17" s="4">
        <v>4.0</v>
      </c>
      <c r="L17" s="4" t="str">
        <f t="shared" si="6"/>
        <v>#REF!</v>
      </c>
      <c r="M17" s="4" t="str">
        <f t="shared" si="7"/>
        <v>#REF!</v>
      </c>
      <c r="N17" s="212"/>
      <c r="O17" s="4">
        <v>15.0</v>
      </c>
      <c r="P17" s="4" t="str">
        <f t="shared" si="3"/>
        <v>#REF!</v>
      </c>
      <c r="Q17" s="4" t="str">
        <f t="shared" si="5"/>
        <v>#REF!</v>
      </c>
    </row>
    <row r="18" ht="15.75" customHeight="1">
      <c r="A18" s="4" t="str">
        <f>'CT Region ROUND ROBIN Scores (P'!Y23</f>
        <v>Ethel Walker School</v>
      </c>
      <c r="B18" s="4" t="str">
        <f>'CT Region ROUND ROBIN Scores (P'!Z23</f>
        <v>Division 1 (Temple Grandin)</v>
      </c>
      <c r="C18" s="1">
        <f>'CT Region ROUND ROBIN Scores (P'!AA23</f>
        <v>0</v>
      </c>
      <c r="D18" s="1">
        <f>'CT Region ROUND ROBIN Scores (P'!AB23</f>
        <v>70</v>
      </c>
      <c r="E18" s="208"/>
      <c r="F18" s="4" t="str">
        <f>'CT Region ROUND ROBIN Scores (P'!Y24</f>
        <v>Fairfield Ludlowe HS</v>
      </c>
      <c r="G18" s="4" t="str">
        <f>'CT Region ROUND ROBIN Scores (P'!Z24</f>
        <v>Division 1 (Temple Grandin)</v>
      </c>
      <c r="H18" s="4">
        <f>'CT Region ROUND ROBIN Scores (P'!AA24</f>
        <v>2</v>
      </c>
      <c r="I18" s="4" t="str">
        <f t="shared" si="1"/>
        <v>#REF!</v>
      </c>
      <c r="J18" s="208"/>
      <c r="K18" s="4">
        <v>5.0</v>
      </c>
      <c r="L18" s="4" t="str">
        <f t="shared" si="6"/>
        <v>#REF!</v>
      </c>
      <c r="M18" s="4" t="str">
        <f t="shared" si="7"/>
        <v>#REF!</v>
      </c>
      <c r="N18" s="212"/>
      <c r="O18" s="4">
        <v>16.0</v>
      </c>
      <c r="P18" s="4" t="str">
        <f t="shared" si="3"/>
        <v>#REF!</v>
      </c>
      <c r="Q18" s="4" t="str">
        <f>LARGE($M$22:$M$41,O22-10)</f>
        <v>#REF!</v>
      </c>
      <c r="R18" s="4" t="s">
        <v>212</v>
      </c>
    </row>
    <row r="19" ht="15.75" customHeight="1">
      <c r="A19" s="4" t="str">
        <f>'CT Region ROUND ROBIN Scores (P'!Y24</f>
        <v>Fairfield Ludlowe HS</v>
      </c>
      <c r="B19" s="4" t="str">
        <f>'CT Region ROUND ROBIN Scores (P'!Z24</f>
        <v>Division 1 (Temple Grandin)</v>
      </c>
      <c r="C19" s="1">
        <f>'CT Region ROUND ROBIN Scores (P'!AA24</f>
        <v>2</v>
      </c>
      <c r="D19" s="1">
        <f>'CT Region ROUND ROBIN Scores (P'!AB24</f>
        <v>200</v>
      </c>
      <c r="E19" s="208"/>
      <c r="F19" s="4" t="str">
        <f>'CT Region ROUND ROBIN Scores (P'!Y28</f>
        <v>Farmington HS - Team 2</v>
      </c>
      <c r="G19" s="4" t="str">
        <f>'CT Region ROUND ROBIN Scores (P'!Z28</f>
        <v>Division 6 (Guillermo Camarena)</v>
      </c>
      <c r="H19" s="4">
        <f>'CT Region ROUND ROBIN Scores (P'!AA28</f>
        <v>8</v>
      </c>
      <c r="I19" s="4" t="str">
        <f t="shared" si="1"/>
        <v>#REF!</v>
      </c>
      <c r="J19" s="208"/>
      <c r="K19" s="4">
        <v>6.0</v>
      </c>
      <c r="L19" s="4" t="str">
        <f t="shared" si="6"/>
        <v>#REF!</v>
      </c>
      <c r="M19" s="4" t="str">
        <f t="shared" si="7"/>
        <v>#REF!</v>
      </c>
      <c r="N19" s="212"/>
    </row>
    <row r="20" ht="15.75" customHeight="1">
      <c r="A20" s="4" t="str">
        <f>'CT Region ROUND ROBIN Scores (P'!Y25</f>
        <v>Fairfield Warde HS - Team 1</v>
      </c>
      <c r="B20" s="4" t="str">
        <f>'CT Region ROUND ROBIN Scores (P'!Z25</f>
        <v>Division 4 (Ellen Ochoa)</v>
      </c>
      <c r="C20" s="1">
        <f>'CT Region ROUND ROBIN Scores (P'!AA25</f>
        <v>8</v>
      </c>
      <c r="D20" s="1">
        <f>'CT Region ROUND ROBIN Scores (P'!AB25</f>
        <v>370</v>
      </c>
      <c r="E20" s="208"/>
      <c r="F20" s="221" t="str">
        <f>'CT Region ROUND ROBIN Scores (P'!Y37</f>
        <v>New Canaan HS - Team 2</v>
      </c>
      <c r="G20" s="221" t="str">
        <f>'CT Region ROUND ROBIN Scores (P'!Z37</f>
        <v>Division 4 (Ellen Ochoa)</v>
      </c>
      <c r="H20" s="221">
        <f>'CT Region ROUND ROBIN Scores (P'!AA37</f>
        <v>2</v>
      </c>
      <c r="I20" s="221" t="str">
        <f t="shared" si="1"/>
        <v>#REF!</v>
      </c>
      <c r="J20" s="208"/>
      <c r="N20" s="212"/>
    </row>
    <row r="21" ht="15.75" customHeight="1">
      <c r="A21" s="4" t="str">
        <f>'CT Region ROUND ROBIN Scores (P'!Y26</f>
        <v>Fairfield Warde HS - Team 2</v>
      </c>
      <c r="B21" s="4" t="str">
        <f>'CT Region ROUND ROBIN Scores (P'!Z26</f>
        <v>Division 6 (Guillermo Camarena)</v>
      </c>
      <c r="C21" s="1">
        <f>'CT Region ROUND ROBIN Scores (P'!AA26</f>
        <v>0</v>
      </c>
      <c r="D21" s="1">
        <f>'CT Region ROUND ROBIN Scores (P'!AB26</f>
        <v>146</v>
      </c>
      <c r="E21" s="208"/>
      <c r="F21" s="4" t="str">
        <f>'CT Region ROUND ROBIN Scores (P'!Y11</f>
        <v>Conard HS - Team 1</v>
      </c>
      <c r="G21" s="4" t="str">
        <f>'CT Region ROUND ROBIN Scores (P'!Z11</f>
        <v>Division 4 (Ellen Ochoa)</v>
      </c>
      <c r="H21" s="4">
        <f>'CT Region ROUND ROBIN Scores (P'!AA11</f>
        <v>6</v>
      </c>
      <c r="I21" s="4" t="str">
        <f t="shared" si="1"/>
        <v>#REF!</v>
      </c>
      <c r="J21" s="208"/>
      <c r="K21" s="1" t="s">
        <v>214</v>
      </c>
      <c r="N21" s="212"/>
      <c r="O21" s="1" t="s">
        <v>215</v>
      </c>
    </row>
    <row r="22" ht="15.75" customHeight="1">
      <c r="A22" s="4" t="str">
        <f>'CT Region ROUND ROBIN Scores (P'!Y27</f>
        <v>Farmington HS - Team 1</v>
      </c>
      <c r="B22" s="4" t="str">
        <f>'CT Region ROUND ROBIN Scores (P'!Z27</f>
        <v>Division 1 (Temple Grandin)</v>
      </c>
      <c r="C22" s="1">
        <f>'CT Region ROUND ROBIN Scores (P'!AA27</f>
        <v>10</v>
      </c>
      <c r="D22" s="1">
        <f>'CT Region ROUND ROBIN Scores (P'!AB27</f>
        <v>1030</v>
      </c>
      <c r="E22" s="208"/>
      <c r="F22" s="4" t="str">
        <f>'CT Region ROUND ROBIN Scores (P'!Y12</f>
        <v>Conard HS - Team 2</v>
      </c>
      <c r="G22" s="4" t="str">
        <f>'CT Region ROUND ROBIN Scores (P'!Z12</f>
        <v>Division 2 (Marian Croak)</v>
      </c>
      <c r="H22" s="4">
        <f>'CT Region ROUND ROBIN Scores (P'!AA12</f>
        <v>6</v>
      </c>
      <c r="I22" s="4" t="str">
        <f t="shared" si="1"/>
        <v>#REF!</v>
      </c>
      <c r="J22" s="208"/>
      <c r="L22" s="4" t="str">
        <f t="shared" ref="L22:L41" si="8">INDEX($F$1:$F$1000, MATCH(M22, $I$1:$I$1000, 0))</f>
        <v>#REF!</v>
      </c>
      <c r="M22" s="239" t="str">
        <f>LARGE($I$3:$I$8,3)</f>
        <v>#REF!</v>
      </c>
      <c r="N22" s="212"/>
      <c r="O22" s="4">
        <v>17.0</v>
      </c>
      <c r="P22" s="4" t="str">
        <f t="array" ref="P22">INDEX($F$1:$F$1000, MATCH(Q22, $I$1:$I$1000, 0))</f>
        <v>#REF!</v>
      </c>
      <c r="Q22" s="4" t="str">
        <f>LARGE($M$3:$M$19,O12)</f>
        <v>#REF!</v>
      </c>
      <c r="R22" s="4" t="s">
        <v>212</v>
      </c>
      <c r="S22" s="4" t="s">
        <v>216</v>
      </c>
    </row>
    <row r="23" ht="15.75" customHeight="1">
      <c r="A23" s="4" t="str">
        <f>'CT Region ROUND ROBIN Scores (P'!Y28</f>
        <v>Farmington HS - Team 2</v>
      </c>
      <c r="B23" s="4" t="str">
        <f>'CT Region ROUND ROBIN Scores (P'!Z28</f>
        <v>Division 6 (Guillermo Camarena)</v>
      </c>
      <c r="C23" s="1">
        <f>'CT Region ROUND ROBIN Scores (P'!AA28</f>
        <v>8</v>
      </c>
      <c r="D23" s="1">
        <f>'CT Region ROUND ROBIN Scores (P'!AB28</f>
        <v>508</v>
      </c>
      <c r="E23" s="208"/>
      <c r="F23" s="4" t="str">
        <f>'CT Region ROUND ROBIN Scores (P'!Y18</f>
        <v>Enfield HS - Team 1</v>
      </c>
      <c r="G23" s="4" t="str">
        <f>'CT Region ROUND ROBIN Scores (P'!Z18</f>
        <v>Division 3 (Silas Adekunle)</v>
      </c>
      <c r="H23" s="4">
        <f>'CT Region ROUND ROBIN Scores (P'!AA18</f>
        <v>2</v>
      </c>
      <c r="I23" s="4" t="str">
        <f t="shared" si="1"/>
        <v>#REF!</v>
      </c>
      <c r="J23" s="208"/>
      <c r="L23" s="4" t="str">
        <f t="shared" si="8"/>
        <v>#REF!</v>
      </c>
      <c r="M23" s="239" t="str">
        <f>LARGE($I$3:$I$8,4)</f>
        <v>#REF!</v>
      </c>
      <c r="N23" s="212"/>
      <c r="O23" s="4">
        <v>18.0</v>
      </c>
      <c r="P23" s="4" t="s">
        <v>217</v>
      </c>
      <c r="Q23" s="4" t="str">
        <f t="shared" ref="Q23:Q31" si="9">LARGE($M$22:$M$41,O23-10)</f>
        <v>#REF!</v>
      </c>
      <c r="R23" s="4" t="s">
        <v>212</v>
      </c>
      <c r="S23" s="4" t="s">
        <v>218</v>
      </c>
    </row>
    <row r="24" ht="15.75" customHeight="1">
      <c r="A24" s="4" t="str">
        <f>'CT Region ROUND ROBIN Scores (P'!Y29</f>
        <v>Greenwich HS - Team 1</v>
      </c>
      <c r="B24" s="4" t="str">
        <f>'CT Region ROUND ROBIN Scores (P'!Z29</f>
        <v>Division 4 (Ellen Ochoa)</v>
      </c>
      <c r="C24" s="1">
        <f>'CT Region ROUND ROBIN Scores (P'!AA29</f>
        <v>10</v>
      </c>
      <c r="D24" s="1">
        <f>'CT Region ROUND ROBIN Scores (P'!AB29</f>
        <v>650</v>
      </c>
      <c r="E24" s="208"/>
      <c r="F24" s="4" t="str">
        <f>'CT Region ROUND ROBIN Scores (P'!Y19</f>
        <v>Enfield HS - Team 2</v>
      </c>
      <c r="G24" s="4" t="str">
        <f>'CT Region ROUND ROBIN Scores (P'!Z19</f>
        <v>Division 6 (Guillermo Camarena)</v>
      </c>
      <c r="H24" s="4">
        <f>'CT Region ROUND ROBIN Scores (P'!AA19</f>
        <v>2</v>
      </c>
      <c r="I24" s="4" t="str">
        <f t="shared" si="1"/>
        <v>#REF!</v>
      </c>
      <c r="J24" s="208"/>
      <c r="L24" s="4" t="str">
        <f t="shared" si="8"/>
        <v>#REF!</v>
      </c>
      <c r="M24" s="239" t="str">
        <f>LARGE($I$3:$I$8,5)</f>
        <v>#REF!</v>
      </c>
      <c r="N24" s="212"/>
      <c r="O24" s="4">
        <v>19.0</v>
      </c>
      <c r="P24" s="4" t="str">
        <f t="shared" ref="P24:P25" si="10">INDEX($F$1:$F$1000, MATCH(Q24, $I$1:$I$1000, 0))</f>
        <v>#REF!</v>
      </c>
      <c r="Q24" s="4" t="str">
        <f t="shared" si="9"/>
        <v>#REF!</v>
      </c>
      <c r="R24" s="4" t="s">
        <v>212</v>
      </c>
      <c r="S24" s="4" t="s">
        <v>219</v>
      </c>
    </row>
    <row r="25" ht="15.75" customHeight="1">
      <c r="A25" s="4" t="str">
        <f>'CT Region ROUND ROBIN Scores (P'!Y30</f>
        <v>Greenwich HS - Team 2</v>
      </c>
      <c r="B25" s="4" t="str">
        <f>'CT Region ROUND ROBIN Scores (P'!Z30</f>
        <v>Division 7 (Irene Uchida)</v>
      </c>
      <c r="C25" s="1">
        <f>'CT Region ROUND ROBIN Scores (P'!AA30</f>
        <v>10</v>
      </c>
      <c r="D25" s="1">
        <f>'CT Region ROUND ROBIN Scores (P'!AB30</f>
        <v>420</v>
      </c>
      <c r="E25" s="208"/>
      <c r="F25" s="4" t="str">
        <f>'CT Region ROUND ROBIN Scores (P'!Y21</f>
        <v>EO Smith HS - Team 1</v>
      </c>
      <c r="G25" s="4" t="str">
        <f>'CT Region ROUND ROBIN Scores (P'!Z21</f>
        <v>Division 3 (Silas Adekunle)</v>
      </c>
      <c r="H25" s="4">
        <f>'CT Region ROUND ROBIN Scores (P'!AA21</f>
        <v>10</v>
      </c>
      <c r="I25" s="4" t="str">
        <f t="shared" si="1"/>
        <v>#REF!</v>
      </c>
      <c r="J25" s="208"/>
      <c r="K25" s="221"/>
      <c r="L25" s="221" t="str">
        <f t="shared" si="8"/>
        <v>#REF!</v>
      </c>
      <c r="M25" s="240" t="str">
        <f>LARGE($I$3:$I$8,6)</f>
        <v>#REF!</v>
      </c>
      <c r="N25" s="212"/>
      <c r="O25" s="4">
        <v>20.0</v>
      </c>
      <c r="P25" s="4" t="str">
        <f t="shared" si="10"/>
        <v>#REF!</v>
      </c>
      <c r="Q25" s="4" t="str">
        <f t="shared" si="9"/>
        <v>#REF!</v>
      </c>
      <c r="R25" s="4" t="s">
        <v>212</v>
      </c>
      <c r="S25" s="4" t="s">
        <v>220</v>
      </c>
    </row>
    <row r="26" ht="15.75" customHeight="1">
      <c r="A26" s="4" t="str">
        <f>'CT Region ROUND ROBIN Scores (P'!Y31</f>
        <v>Greenwich HS - Team 3</v>
      </c>
      <c r="B26" s="4" t="str">
        <f>'CT Region ROUND ROBIN Scores (P'!Z31</f>
        <v>Division 2 (Marian Croak)</v>
      </c>
      <c r="C26" s="1">
        <f>'CT Region ROUND ROBIN Scores (P'!AA31</f>
        <v>0</v>
      </c>
      <c r="D26" s="1">
        <f>'CT Region ROUND ROBIN Scores (P'!AB31</f>
        <v>170</v>
      </c>
      <c r="E26" s="208"/>
      <c r="F26" s="221" t="str">
        <f>'CT Region ROUND ROBIN Scores (P'!Y30</f>
        <v>Greenwich HS - Team 2</v>
      </c>
      <c r="G26" s="221" t="str">
        <f>'CT Region ROUND ROBIN Scores (P'!Z30</f>
        <v>Division 7 (Irene Uchida)</v>
      </c>
      <c r="H26" s="221">
        <f>'CT Region ROUND ROBIN Scores (P'!AA30</f>
        <v>10</v>
      </c>
      <c r="I26" s="221" t="str">
        <f t="shared" si="1"/>
        <v>#REF!</v>
      </c>
      <c r="J26" s="208"/>
      <c r="L26" s="4" t="str">
        <f t="shared" si="8"/>
        <v>#REF!</v>
      </c>
      <c r="M26" s="239" t="str">
        <f>LARGE($I$9:$I$14,3)</f>
        <v>#REF!</v>
      </c>
      <c r="N26" s="212"/>
      <c r="O26" s="4">
        <v>21.0</v>
      </c>
      <c r="P26" s="4" t="s">
        <v>221</v>
      </c>
      <c r="Q26" s="4" t="str">
        <f t="shared" si="9"/>
        <v>#REF!</v>
      </c>
      <c r="R26" s="4" t="s">
        <v>212</v>
      </c>
      <c r="S26" s="4" t="s">
        <v>222</v>
      </c>
    </row>
    <row r="27" ht="15.75" customHeight="1">
      <c r="A27" s="4" t="str">
        <f>'CT Region ROUND ROBIN Scores (P'!Y32</f>
        <v>Greenwich HS - Team 4</v>
      </c>
      <c r="B27" s="4" t="str">
        <f>'CT Region ROUND ROBIN Scores (P'!Z32</f>
        <v>Division 8 (Bernardo Houssay) - Canceled Division - Sorry!</v>
      </c>
      <c r="C27" s="1">
        <f>'CT Region ROUND ROBIN Scores (P'!AA32</f>
        <v>0</v>
      </c>
      <c r="D27" s="1">
        <f>'CT Region ROUND ROBIN Scores (P'!AB32</f>
        <v>0</v>
      </c>
      <c r="E27" s="208"/>
      <c r="F27" s="4" t="str">
        <f>'CT Region ROUND ROBIN Scores (P'!Y9</f>
        <v>Bacon Academy</v>
      </c>
      <c r="G27" s="4" t="str">
        <f>'CT Region ROUND ROBIN Scores (P'!Z9</f>
        <v>Division 2 (Marian Croak)</v>
      </c>
      <c r="H27" s="4">
        <f>'CT Region ROUND ROBIN Scores (P'!AA9</f>
        <v>2</v>
      </c>
      <c r="I27" s="4" t="str">
        <f t="shared" si="1"/>
        <v>#REF!</v>
      </c>
      <c r="J27" s="208"/>
      <c r="L27" s="4" t="str">
        <f t="shared" si="8"/>
        <v>#REF!</v>
      </c>
      <c r="M27" s="239" t="str">
        <f>LARGE($I$9:$I$14,4)</f>
        <v>#REF!</v>
      </c>
      <c r="N27" s="212"/>
      <c r="O27" s="4">
        <v>22.0</v>
      </c>
      <c r="P27" s="238" t="s">
        <v>83</v>
      </c>
      <c r="Q27" s="4" t="str">
        <f t="shared" si="9"/>
        <v>#REF!</v>
      </c>
      <c r="R27" s="4" t="s">
        <v>223</v>
      </c>
      <c r="S27" s="4"/>
    </row>
    <row r="28" ht="15.75" customHeight="1">
      <c r="A28" s="4" t="str">
        <f>'CT Region ROUND ROBIN Scores (P'!Y33</f>
        <v>Joel Barlow HS</v>
      </c>
      <c r="B28" s="4" t="str">
        <f>'CT Region ROUND ROBIN Scores (P'!Z33</f>
        <v>Division 4 (Ellen Ochoa)</v>
      </c>
      <c r="C28" s="1">
        <f>'CT Region ROUND ROBIN Scores (P'!AA33</f>
        <v>4</v>
      </c>
      <c r="D28" s="1">
        <f>'CT Region ROUND ROBIN Scores (P'!AB33</f>
        <v>248</v>
      </c>
      <c r="E28" s="208"/>
      <c r="F28" s="4" t="str">
        <f>'CT Region ROUND ROBIN Scores (P'!Y10</f>
        <v>Choate Rosemary Hall</v>
      </c>
      <c r="G28" s="4" t="str">
        <f>'CT Region ROUND ROBIN Scores (P'!Z10</f>
        <v>Division 7 (Irene Uchida)</v>
      </c>
      <c r="H28" s="4">
        <f>'CT Region ROUND ROBIN Scores (P'!AA10</f>
        <v>6</v>
      </c>
      <c r="I28" s="4" t="str">
        <f t="shared" si="1"/>
        <v>#REF!</v>
      </c>
      <c r="J28" s="208"/>
      <c r="L28" s="4" t="str">
        <f t="shared" si="8"/>
        <v>#REF!</v>
      </c>
      <c r="M28" s="239" t="str">
        <f>LARGE($I$9:$I$14,5)</f>
        <v>#REF!</v>
      </c>
      <c r="N28" s="212"/>
      <c r="O28" s="4">
        <v>23.0</v>
      </c>
      <c r="P28" s="4" t="str">
        <f t="shared" ref="P28:P32" si="11">INDEX($F$1:$F$1000, MATCH(Q28, $I$1:$I$1000, 0))</f>
        <v>#REF!</v>
      </c>
      <c r="Q28" s="4" t="str">
        <f t="shared" si="9"/>
        <v>#REF!</v>
      </c>
      <c r="R28" s="4" t="s">
        <v>212</v>
      </c>
      <c r="S28" s="4"/>
    </row>
    <row r="29" ht="15.75" customHeight="1">
      <c r="A29" s="4" t="str">
        <f>'CT Region ROUND ROBIN Scores (P'!Y34</f>
        <v>Loomis Chaffee - Team 1</v>
      </c>
      <c r="B29" s="4" t="str">
        <f>'CT Region ROUND ROBIN Scores (P'!Z34</f>
        <v>Division 5 (Ursula Burns)</v>
      </c>
      <c r="C29" s="1">
        <f>'CT Region ROUND ROBIN Scores (P'!AA34</f>
        <v>8</v>
      </c>
      <c r="D29" s="1">
        <f>'CT Region ROUND ROBIN Scores (P'!AB34</f>
        <v>468</v>
      </c>
      <c r="E29" s="208"/>
      <c r="F29" s="4" t="str">
        <f>'CT Region ROUND ROBIN Scores (P'!Y15</f>
        <v>CT IB Acad - Team 3</v>
      </c>
      <c r="G29" s="4" t="str">
        <f>'CT Region ROUND ROBIN Scores (P'!Z15</f>
        <v>Division 4 (Ellen Ochoa)</v>
      </c>
      <c r="H29" s="4">
        <f>'CT Region ROUND ROBIN Scores (P'!AA15</f>
        <v>0</v>
      </c>
      <c r="I29" s="4" t="str">
        <f t="shared" si="1"/>
        <v>#REF!</v>
      </c>
      <c r="J29" s="208"/>
      <c r="K29" s="221"/>
      <c r="L29" s="221" t="str">
        <f t="shared" si="8"/>
        <v>#REF!</v>
      </c>
      <c r="M29" s="240" t="str">
        <f>LARGE($I$9:$I$14,6)</f>
        <v>#REF!</v>
      </c>
      <c r="N29" s="212"/>
      <c r="O29" s="4">
        <v>24.0</v>
      </c>
      <c r="P29" s="4" t="str">
        <f t="shared" si="11"/>
        <v>#REF!</v>
      </c>
      <c r="Q29" s="4" t="str">
        <f t="shared" si="9"/>
        <v>#REF!</v>
      </c>
      <c r="R29" s="4" t="s">
        <v>212</v>
      </c>
      <c r="S29" s="4"/>
    </row>
    <row r="30" ht="15.75" customHeight="1">
      <c r="A30" s="4" t="str">
        <f>'CT Region ROUND ROBIN Scores (P'!Y35</f>
        <v>Loomis Chaffee - Team 2</v>
      </c>
      <c r="B30" s="4" t="str">
        <f>'CT Region ROUND ROBIN Scores (P'!Z35</f>
        <v>Division 1 (Temple Grandin)</v>
      </c>
      <c r="C30" s="1">
        <f>'CT Region ROUND ROBIN Scores (P'!AA35</f>
        <v>6</v>
      </c>
      <c r="D30" s="1">
        <f>'CT Region ROUND ROBIN Scores (P'!AB35</f>
        <v>334</v>
      </c>
      <c r="E30" s="208"/>
      <c r="F30" s="4" t="str">
        <f>'CT Region ROUND ROBIN Scores (P'!Y16</f>
        <v>East Lyme HS - Team 1</v>
      </c>
      <c r="G30" s="4" t="str">
        <f>'CT Region ROUND ROBIN Scores (P'!Z16</f>
        <v>Division 5 (Ursula Burns)</v>
      </c>
      <c r="H30" s="4">
        <f>'CT Region ROUND ROBIN Scores (P'!AA16</f>
        <v>4</v>
      </c>
      <c r="I30" s="4" t="str">
        <f t="shared" si="1"/>
        <v>#REF!</v>
      </c>
      <c r="J30" s="208"/>
      <c r="L30" s="4" t="str">
        <f t="shared" si="8"/>
        <v>#REF!</v>
      </c>
      <c r="M30" s="239" t="str">
        <f>LARGE($I$15:$I$20,3)</f>
        <v>#REF!</v>
      </c>
      <c r="N30" s="212"/>
      <c r="O30" s="4">
        <v>25.0</v>
      </c>
      <c r="P30" s="4" t="str">
        <f t="shared" si="11"/>
        <v>#REF!</v>
      </c>
      <c r="Q30" s="4" t="str">
        <f t="shared" si="9"/>
        <v>#REF!</v>
      </c>
      <c r="R30" s="4" t="s">
        <v>212</v>
      </c>
      <c r="S30" s="4"/>
    </row>
    <row r="31" ht="15.75" customHeight="1">
      <c r="A31" s="4" t="str">
        <f>'CT Region ROUND ROBIN Scores (P'!Y36</f>
        <v>New Canaan HS - Team 1</v>
      </c>
      <c r="B31" s="4" t="str">
        <f>'CT Region ROUND ROBIN Scores (P'!Z36</f>
        <v>Division 6 (Guillermo Camarena)</v>
      </c>
      <c r="C31" s="1">
        <f>'CT Region ROUND ROBIN Scores (P'!AA36</f>
        <v>8</v>
      </c>
      <c r="D31" s="1">
        <f>'CT Region ROUND ROBIN Scores (P'!AB36</f>
        <v>406</v>
      </c>
      <c r="E31" s="208"/>
      <c r="F31" s="4" t="str">
        <f>'CT Region ROUND ROBIN Scores (P'!Y17</f>
        <v>East Lyme HS - Team 2</v>
      </c>
      <c r="G31" s="4" t="str">
        <f>'CT Region ROUND ROBIN Scores (P'!Z17</f>
        <v>Division 3 (Silas Adekunle)</v>
      </c>
      <c r="H31" s="4">
        <f>'CT Region ROUND ROBIN Scores (P'!AA17</f>
        <v>4</v>
      </c>
      <c r="I31" s="4" t="str">
        <f t="shared" si="1"/>
        <v>#REF!</v>
      </c>
      <c r="J31" s="208"/>
      <c r="L31" s="4" t="str">
        <f t="shared" si="8"/>
        <v>#REF!</v>
      </c>
      <c r="M31" s="239" t="str">
        <f>LARGE($I$15:$I$20,4)</f>
        <v>#REF!</v>
      </c>
      <c r="N31" s="212"/>
      <c r="O31" s="4">
        <v>26.0</v>
      </c>
      <c r="P31" s="4" t="str">
        <f t="shared" si="11"/>
        <v>#REF!</v>
      </c>
      <c r="Q31" s="4" t="str">
        <f t="shared" si="9"/>
        <v>#REF!</v>
      </c>
      <c r="R31" s="4" t="s">
        <v>212</v>
      </c>
      <c r="S31" s="4"/>
    </row>
    <row r="32" ht="15.75" customHeight="1">
      <c r="A32" s="4" t="str">
        <f>'CT Region ROUND ROBIN Scores (P'!Y37</f>
        <v>New Canaan HS - Team 2</v>
      </c>
      <c r="B32" s="4" t="str">
        <f>'CT Region ROUND ROBIN Scores (P'!Z37</f>
        <v>Division 4 (Ellen Ochoa)</v>
      </c>
      <c r="C32" s="1">
        <f>'CT Region ROUND ROBIN Scores (P'!AA37</f>
        <v>2</v>
      </c>
      <c r="D32" s="1">
        <f>'CT Region ROUND ROBIN Scores (P'!AB37</f>
        <v>212</v>
      </c>
      <c r="E32" s="208"/>
      <c r="F32" s="4" t="str">
        <f>'CT Region ROUND ROBIN Scores (P'!Y33</f>
        <v>Joel Barlow HS</v>
      </c>
      <c r="G32" s="4" t="str">
        <f>'CT Region ROUND ROBIN Scores (P'!Z33</f>
        <v>Division 4 (Ellen Ochoa)</v>
      </c>
      <c r="H32" s="4">
        <f>'CT Region ROUND ROBIN Scores (P'!AA33</f>
        <v>4</v>
      </c>
      <c r="I32" s="4" t="str">
        <f t="shared" si="1"/>
        <v>#REF!</v>
      </c>
      <c r="J32" s="208"/>
      <c r="L32" s="4" t="str">
        <f t="shared" si="8"/>
        <v>#REF!</v>
      </c>
      <c r="M32" s="239" t="str">
        <f>LARGE($I$15:$I$20,5)</f>
        <v>#REF!</v>
      </c>
      <c r="N32" s="212"/>
      <c r="O32" s="241">
        <v>27.0</v>
      </c>
      <c r="P32" s="4" t="str">
        <f t="shared" si="11"/>
        <v>#REF!</v>
      </c>
      <c r="Q32" s="4" t="str">
        <f>LARGE($M$22:$M$41,O33-10)</f>
        <v>#REF!</v>
      </c>
      <c r="R32" s="4" t="s">
        <v>212</v>
      </c>
      <c r="S32" s="4"/>
    </row>
    <row r="33" ht="15.75" customHeight="1">
      <c r="A33" s="4" t="str">
        <f>'CT Region ROUND ROBIN Scores (P'!Y38</f>
        <v>New Canaan HS - Team 3</v>
      </c>
      <c r="B33" s="4" t="str">
        <f>'CT Region ROUND ROBIN Scores (P'!Z38</f>
        <v>Division 7 (Irene Uchida)</v>
      </c>
      <c r="C33" s="1">
        <f>'CT Region ROUND ROBIN Scores (P'!AA38</f>
        <v>6</v>
      </c>
      <c r="D33" s="1">
        <f>'CT Region ROUND ROBIN Scores (P'!AB38</f>
        <v>264</v>
      </c>
      <c r="E33" s="208"/>
      <c r="J33" s="208"/>
      <c r="K33" s="221"/>
      <c r="L33" s="221" t="str">
        <f t="shared" si="8"/>
        <v>#REF!</v>
      </c>
      <c r="M33" s="240" t="str">
        <f>LARGE($I$15:$I$20,6)</f>
        <v>#REF!</v>
      </c>
      <c r="N33" s="212"/>
      <c r="O33" s="4">
        <v>28.0</v>
      </c>
      <c r="P33" s="238" t="s">
        <v>224</v>
      </c>
      <c r="R33" s="4" t="s">
        <v>212</v>
      </c>
      <c r="S33" s="4"/>
    </row>
    <row r="34" ht="15.75" customHeight="1">
      <c r="A34" s="4" t="str">
        <f>'CT Region ROUND ROBIN Scores (P'!Y39</f>
        <v>Newtown HS</v>
      </c>
      <c r="B34" s="4" t="str">
        <f>'CT Region ROUND ROBIN Scores (P'!Z39</f>
        <v>Division 6 (Guillermo Camarena)</v>
      </c>
      <c r="C34" s="1">
        <f>'CT Region ROUND ROBIN Scores (P'!AA39</f>
        <v>6</v>
      </c>
      <c r="D34" s="1">
        <f>'CT Region ROUND ROBIN Scores (P'!AB39</f>
        <v>306</v>
      </c>
      <c r="E34" s="208"/>
      <c r="J34" s="208"/>
      <c r="L34" s="4" t="str">
        <f t="shared" si="8"/>
        <v>#REF!</v>
      </c>
      <c r="M34" s="239" t="str">
        <f>LARGE($I$21:$I$26,3)</f>
        <v>#REF!</v>
      </c>
      <c r="N34" s="212"/>
      <c r="O34" s="4">
        <v>29.0</v>
      </c>
      <c r="P34" s="4" t="str">
        <f t="array" ref="P34">INDEX($F$1:$F$1000, MATCH(Q34, $I$1:$I$1000, 0))</f>
        <v>#REF!</v>
      </c>
      <c r="Q34" s="4" t="str">
        <f>LARGE($M$22:$M$41,O35-10)</f>
        <v>#REF!</v>
      </c>
      <c r="R34" s="4" t="s">
        <v>212</v>
      </c>
      <c r="S34" s="4"/>
    </row>
    <row r="35" ht="15.75" customHeight="1">
      <c r="A35" s="4" t="str">
        <f>'CT Region ROUND ROBIN Scores (P'!Y40</f>
        <v>Open Spot - 1</v>
      </c>
      <c r="B35" s="4" t="str">
        <f>'CT Region ROUND ROBIN Scores (P'!Z40</f>
        <v>Division 8 (Bernardo Houssay) - Canceled Division - Sorry!</v>
      </c>
      <c r="C35" s="1">
        <f>'CT Region ROUND ROBIN Scores (P'!AA40</f>
        <v>0</v>
      </c>
      <c r="D35" s="1">
        <f>'CT Region ROUND ROBIN Scores (P'!AB40</f>
        <v>0</v>
      </c>
      <c r="E35" s="208"/>
      <c r="J35" s="208"/>
      <c r="L35" s="4" t="str">
        <f t="shared" si="8"/>
        <v>#REF!</v>
      </c>
      <c r="M35" s="239" t="str">
        <f>LARGE($I$21:$I$26,4)</f>
        <v>#REF!</v>
      </c>
      <c r="N35" s="212"/>
      <c r="O35" s="4">
        <v>30.0</v>
      </c>
      <c r="S35" s="4"/>
    </row>
    <row r="36" ht="15.75" customHeight="1">
      <c r="A36" s="4" t="str">
        <f>'CT Region ROUND ROBIN Scores (P'!Y41</f>
        <v>Open Spot - 2</v>
      </c>
      <c r="B36" s="4" t="str">
        <f>'CT Region ROUND ROBIN Scores (P'!Z41</f>
        <v>Division 8 (Bernardo Houssay) - Canceled Division - Sorry!</v>
      </c>
      <c r="C36" s="1">
        <f>'CT Region ROUND ROBIN Scores (P'!AA41</f>
        <v>0</v>
      </c>
      <c r="D36" s="1">
        <f>'CT Region ROUND ROBIN Scores (P'!AB41</f>
        <v>0</v>
      </c>
      <c r="E36" s="208"/>
      <c r="J36" s="208"/>
      <c r="L36" s="4" t="str">
        <f t="shared" si="8"/>
        <v>#REF!</v>
      </c>
      <c r="M36" s="239" t="str">
        <f>LARGE($I$21:$I$26,5)</f>
        <v>#REF!</v>
      </c>
      <c r="N36" s="212"/>
    </row>
    <row r="37" ht="15.75" customHeight="1">
      <c r="A37" s="4" t="str">
        <f>'CT Region ROUND ROBIN Scores (P'!Y42</f>
        <v>Open Spot - 3</v>
      </c>
      <c r="B37" s="4" t="str">
        <f>'CT Region ROUND ROBIN Scores (P'!Z42</f>
        <v>Division 8 (Bernardo Houssay) - Canceled Division - Sorry!</v>
      </c>
      <c r="C37" s="1">
        <f>'CT Region ROUND ROBIN Scores (P'!AA42</f>
        <v>0</v>
      </c>
      <c r="D37" s="1">
        <f>'CT Region ROUND ROBIN Scores (P'!AB42</f>
        <v>0</v>
      </c>
      <c r="E37" s="208"/>
      <c r="J37" s="208"/>
      <c r="K37" s="221"/>
      <c r="L37" s="221" t="str">
        <f t="shared" si="8"/>
        <v>#REF!</v>
      </c>
      <c r="M37" s="240" t="str">
        <f>LARGE($I$21:$I$26,6)</f>
        <v>#REF!</v>
      </c>
      <c r="N37" s="212"/>
    </row>
    <row r="38" ht="15.75" customHeight="1">
      <c r="A38" s="4" t="str">
        <f>'CT Region ROUND ROBIN Scores (P'!Y43</f>
        <v>Open Spot - 4</v>
      </c>
      <c r="B38" s="4" t="str">
        <f>'CT Region ROUND ROBIN Scores (P'!Z43</f>
        <v>Division 8 (Bernardo Houssay) - Canceled Division - Sorry!</v>
      </c>
      <c r="C38" s="1">
        <f>'CT Region ROUND ROBIN Scores (P'!AA43</f>
        <v>1</v>
      </c>
      <c r="D38" s="1">
        <f>'CT Region ROUND ROBIN Scores (P'!AB43</f>
        <v>0</v>
      </c>
      <c r="E38" s="208"/>
      <c r="J38" s="208"/>
      <c r="L38" s="4" t="str">
        <f t="shared" si="8"/>
        <v>#REF!</v>
      </c>
      <c r="M38" s="239" t="str">
        <f>LARGE($I$27:$I$32,3)</f>
        <v>#REF!</v>
      </c>
      <c r="N38" s="212"/>
    </row>
    <row r="39" ht="15.75" customHeight="1">
      <c r="A39" s="4" t="str">
        <f>'CT Region ROUND ROBIN Scores (P'!Y44</f>
        <v>Open Spot - 5</v>
      </c>
      <c r="B39" s="4" t="str">
        <f>'CT Region ROUND ROBIN Scores (P'!Z44</f>
        <v>Division 8 (Bernardo Houssay) - Canceled Division - Sorry!</v>
      </c>
      <c r="C39" s="1">
        <f>'CT Region ROUND ROBIN Scores (P'!AA44</f>
        <v>0</v>
      </c>
      <c r="D39" s="1">
        <f>'CT Region ROUND ROBIN Scores (P'!AB44</f>
        <v>0</v>
      </c>
      <c r="E39" s="208"/>
      <c r="J39" s="208"/>
      <c r="L39" s="4" t="str">
        <f t="shared" si="8"/>
        <v>#REF!</v>
      </c>
      <c r="M39" s="239" t="str">
        <f>LARGE($I$27:$I$32,4)</f>
        <v>#REF!</v>
      </c>
      <c r="N39" s="212"/>
    </row>
    <row r="40" ht="15.75" customHeight="1">
      <c r="A40" s="4" t="str">
        <f>'CT Region ROUND ROBIN Scores (P'!Y45</f>
        <v>Rocky Hill HS - Team 1</v>
      </c>
      <c r="B40" s="4" t="str">
        <f>'CT Region ROUND ROBIN Scores (P'!Z45</f>
        <v>Division 6 (Guillermo Camarena)</v>
      </c>
      <c r="C40" s="1">
        <f>'CT Region ROUND ROBIN Scores (P'!AA45</f>
        <v>6</v>
      </c>
      <c r="D40" s="1">
        <f>'CT Region ROUND ROBIN Scores (P'!AB45</f>
        <v>458</v>
      </c>
      <c r="E40" s="208"/>
      <c r="J40" s="208"/>
      <c r="L40" s="4" t="str">
        <f t="shared" si="8"/>
        <v>#REF!</v>
      </c>
      <c r="M40" s="239" t="str">
        <f>LARGE($I$27:$I$32,5)</f>
        <v>#REF!</v>
      </c>
      <c r="N40" s="212"/>
    </row>
    <row r="41" ht="15.75" customHeight="1">
      <c r="A41" s="4" t="str">
        <f>'CT Region ROUND ROBIN Scores (P'!Y46</f>
        <v>Rocky Hill HS - Team 2</v>
      </c>
      <c r="B41" s="4" t="str">
        <f>'CT Region ROUND ROBIN Scores (P'!Z46</f>
        <v>Division 3 (Silas Adekunle)</v>
      </c>
      <c r="C41" s="1">
        <f>'CT Region ROUND ROBIN Scores (P'!AA46</f>
        <v>6</v>
      </c>
      <c r="D41" s="1">
        <f>'CT Region ROUND ROBIN Scores (P'!AB46</f>
        <v>328</v>
      </c>
      <c r="E41" s="208"/>
      <c r="J41" s="208"/>
      <c r="L41" s="4" t="str">
        <f t="shared" si="8"/>
        <v>#REF!</v>
      </c>
      <c r="M41" s="239" t="str">
        <f>LARGE($I$27:$I$32,6)</f>
        <v>#REF!</v>
      </c>
      <c r="N41" s="212"/>
    </row>
    <row r="42" ht="15.75" customHeight="1">
      <c r="E42" s="208"/>
      <c r="J42" s="208"/>
      <c r="N42" s="212"/>
    </row>
    <row r="43" ht="15.75" customHeight="1">
      <c r="E43" s="208"/>
      <c r="J43" s="208"/>
      <c r="N43" s="212"/>
    </row>
    <row r="44" ht="15.75" customHeight="1">
      <c r="E44" s="208"/>
      <c r="J44" s="208"/>
      <c r="N44" s="212"/>
    </row>
    <row r="45" ht="15.75" customHeight="1">
      <c r="E45" s="208"/>
      <c r="J45" s="208"/>
      <c r="N45" s="212"/>
    </row>
    <row r="46" ht="15.75" customHeight="1">
      <c r="E46" s="208"/>
      <c r="J46" s="208"/>
      <c r="N46" s="212"/>
    </row>
    <row r="47" ht="15.75" customHeight="1">
      <c r="E47" s="208"/>
      <c r="J47" s="208"/>
      <c r="N47" s="212"/>
    </row>
    <row r="48" ht="15.75" customHeight="1">
      <c r="E48" s="208"/>
      <c r="J48" s="208"/>
      <c r="N48" s="212"/>
    </row>
    <row r="49" ht="15.75" customHeight="1">
      <c r="E49" s="208"/>
      <c r="J49" s="208"/>
      <c r="N49" s="212"/>
    </row>
    <row r="50" ht="15.75" customHeight="1">
      <c r="E50" s="208"/>
      <c r="J50" s="208"/>
      <c r="N50" s="212"/>
    </row>
    <row r="51" ht="15.75" customHeight="1">
      <c r="E51" s="208"/>
      <c r="J51" s="208"/>
      <c r="N51" s="212"/>
    </row>
    <row r="52" ht="15.75" customHeight="1">
      <c r="E52" s="208"/>
      <c r="J52" s="208"/>
      <c r="N52" s="212"/>
    </row>
    <row r="53" ht="15.75" customHeight="1">
      <c r="E53" s="208"/>
      <c r="J53" s="208"/>
      <c r="N53" s="212"/>
    </row>
    <row r="54" ht="15.75" customHeight="1">
      <c r="E54" s="208"/>
      <c r="J54" s="208"/>
      <c r="N54" s="212"/>
    </row>
    <row r="55" ht="15.75" customHeight="1">
      <c r="E55" s="208"/>
      <c r="J55" s="208"/>
      <c r="N55" s="212"/>
    </row>
    <row r="56" ht="15.75" customHeight="1">
      <c r="E56" s="208"/>
      <c r="J56" s="208"/>
      <c r="N56" s="212"/>
    </row>
    <row r="57" ht="15.75" customHeight="1">
      <c r="E57" s="208"/>
      <c r="J57" s="208"/>
      <c r="N57" s="212"/>
    </row>
    <row r="58" ht="15.75" customHeight="1">
      <c r="E58" s="208"/>
      <c r="J58" s="208"/>
      <c r="N58" s="212"/>
    </row>
    <row r="59" ht="15.75" customHeight="1">
      <c r="E59" s="208"/>
      <c r="J59" s="208"/>
      <c r="N59" s="212"/>
    </row>
    <row r="60" ht="15.75" customHeight="1">
      <c r="E60" s="208"/>
      <c r="J60" s="208"/>
      <c r="N60" s="212"/>
    </row>
    <row r="61" ht="15.75" customHeight="1">
      <c r="E61" s="208"/>
      <c r="J61" s="208"/>
      <c r="N61" s="212"/>
    </row>
    <row r="62" ht="15.75" customHeight="1">
      <c r="E62" s="208"/>
      <c r="J62" s="208"/>
      <c r="N62" s="212"/>
    </row>
    <row r="63" ht="15.75" customHeight="1">
      <c r="E63" s="208"/>
      <c r="J63" s="208"/>
      <c r="N63" s="212"/>
    </row>
    <row r="64" ht="15.75" customHeight="1">
      <c r="E64" s="208"/>
      <c r="J64" s="208"/>
      <c r="N64" s="212"/>
    </row>
    <row r="65" ht="15.75" customHeight="1">
      <c r="E65" s="208"/>
      <c r="J65" s="208"/>
      <c r="N65" s="212"/>
    </row>
    <row r="66" ht="15.75" customHeight="1">
      <c r="E66" s="208"/>
      <c r="J66" s="208"/>
      <c r="N66" s="212"/>
    </row>
    <row r="67" ht="15.75" customHeight="1">
      <c r="E67" s="208"/>
      <c r="J67" s="208"/>
      <c r="N67" s="212"/>
    </row>
    <row r="68" ht="15.75" customHeight="1">
      <c r="E68" s="208"/>
      <c r="J68" s="208"/>
      <c r="N68" s="212"/>
    </row>
    <row r="69" ht="15.75" customHeight="1">
      <c r="E69" s="208"/>
      <c r="J69" s="208"/>
      <c r="N69" s="212"/>
    </row>
    <row r="70" ht="15.75" customHeight="1">
      <c r="E70" s="208"/>
      <c r="J70" s="208"/>
      <c r="N70" s="212"/>
    </row>
    <row r="71" ht="15.75" customHeight="1">
      <c r="E71" s="208"/>
      <c r="J71" s="208"/>
      <c r="N71" s="212"/>
    </row>
    <row r="72" ht="15.75" customHeight="1">
      <c r="E72" s="208"/>
      <c r="J72" s="208"/>
      <c r="N72" s="212"/>
    </row>
    <row r="73" ht="15.75" customHeight="1">
      <c r="E73" s="208"/>
      <c r="J73" s="208"/>
      <c r="N73" s="212"/>
    </row>
    <row r="74" ht="15.75" customHeight="1">
      <c r="E74" s="208"/>
      <c r="J74" s="208"/>
      <c r="N74" s="212"/>
    </row>
    <row r="75" ht="15.75" customHeight="1">
      <c r="E75" s="208"/>
      <c r="J75" s="208"/>
      <c r="N75" s="212"/>
    </row>
    <row r="76" ht="15.75" customHeight="1">
      <c r="E76" s="208"/>
      <c r="J76" s="208"/>
      <c r="N76" s="212"/>
    </row>
    <row r="77" ht="15.75" customHeight="1">
      <c r="E77" s="208"/>
      <c r="J77" s="208"/>
      <c r="N77" s="212"/>
    </row>
    <row r="78" ht="15.75" customHeight="1">
      <c r="E78" s="208"/>
      <c r="J78" s="208"/>
      <c r="N78" s="212"/>
    </row>
    <row r="79" ht="15.75" customHeight="1">
      <c r="E79" s="208"/>
      <c r="J79" s="208"/>
      <c r="N79" s="212"/>
    </row>
    <row r="80" ht="15.75" customHeight="1">
      <c r="E80" s="208"/>
      <c r="J80" s="208"/>
      <c r="N80" s="212"/>
    </row>
    <row r="81" ht="15.75" customHeight="1">
      <c r="E81" s="208"/>
      <c r="J81" s="208"/>
      <c r="N81" s="212"/>
    </row>
    <row r="82" ht="15.75" customHeight="1">
      <c r="E82" s="208"/>
      <c r="J82" s="208"/>
      <c r="N82" s="212"/>
    </row>
    <row r="83" ht="15.75" customHeight="1">
      <c r="E83" s="208"/>
      <c r="J83" s="208"/>
      <c r="N83" s="212"/>
    </row>
    <row r="84" ht="15.75" customHeight="1">
      <c r="E84" s="208"/>
      <c r="J84" s="208"/>
      <c r="N84" s="212"/>
    </row>
    <row r="85" ht="15.75" customHeight="1">
      <c r="E85" s="208"/>
      <c r="J85" s="208"/>
      <c r="N85" s="212"/>
    </row>
    <row r="86" ht="15.75" customHeight="1">
      <c r="E86" s="208"/>
      <c r="J86" s="208"/>
      <c r="N86" s="212"/>
    </row>
    <row r="87" ht="15.75" customHeight="1">
      <c r="E87" s="208"/>
      <c r="J87" s="208"/>
      <c r="N87" s="212"/>
    </row>
    <row r="88" ht="15.75" customHeight="1">
      <c r="E88" s="208"/>
      <c r="J88" s="208"/>
      <c r="N88" s="212"/>
    </row>
    <row r="89" ht="15.75" customHeight="1">
      <c r="E89" s="208"/>
      <c r="J89" s="208"/>
      <c r="N89" s="212"/>
    </row>
    <row r="90" ht="15.75" customHeight="1">
      <c r="E90" s="208"/>
      <c r="J90" s="208"/>
      <c r="N90" s="212"/>
    </row>
    <row r="91" ht="15.75" customHeight="1">
      <c r="E91" s="208"/>
      <c r="J91" s="208"/>
      <c r="N91" s="212"/>
    </row>
    <row r="92" ht="15.75" customHeight="1">
      <c r="E92" s="208"/>
      <c r="J92" s="208"/>
      <c r="N92" s="212"/>
    </row>
    <row r="93" ht="15.75" customHeight="1">
      <c r="E93" s="208"/>
      <c r="J93" s="208"/>
      <c r="N93" s="212"/>
    </row>
    <row r="94" ht="15.75" customHeight="1">
      <c r="E94" s="208"/>
      <c r="J94" s="208"/>
      <c r="N94" s="212"/>
    </row>
    <row r="95" ht="15.75" customHeight="1">
      <c r="E95" s="208"/>
      <c r="J95" s="208"/>
      <c r="N95" s="212"/>
    </row>
    <row r="96" ht="15.75" customHeight="1">
      <c r="E96" s="208"/>
      <c r="J96" s="208"/>
      <c r="N96" s="212"/>
    </row>
    <row r="97" ht="15.75" customHeight="1">
      <c r="E97" s="208"/>
      <c r="J97" s="208"/>
      <c r="N97" s="212"/>
    </row>
    <row r="98" ht="15.75" customHeight="1">
      <c r="E98" s="208"/>
      <c r="J98" s="208"/>
      <c r="N98" s="212"/>
    </row>
    <row r="99" ht="15.75" customHeight="1">
      <c r="E99" s="208"/>
      <c r="J99" s="208"/>
      <c r="N99" s="212"/>
    </row>
    <row r="100" ht="15.75" customHeight="1">
      <c r="E100" s="208"/>
      <c r="J100" s="208"/>
      <c r="N100" s="212"/>
    </row>
    <row r="101" ht="15.75" customHeight="1">
      <c r="E101" s="208"/>
      <c r="J101" s="208"/>
      <c r="N101" s="212"/>
    </row>
    <row r="102" ht="15.75" customHeight="1">
      <c r="E102" s="208"/>
      <c r="J102" s="208"/>
      <c r="N102" s="212"/>
    </row>
    <row r="103" ht="15.75" customHeight="1">
      <c r="E103" s="208"/>
      <c r="J103" s="208"/>
      <c r="N103" s="212"/>
    </row>
    <row r="104" ht="15.75" customHeight="1">
      <c r="E104" s="208"/>
      <c r="J104" s="208"/>
      <c r="N104" s="212"/>
    </row>
    <row r="105" ht="15.75" customHeight="1">
      <c r="E105" s="208"/>
      <c r="J105" s="208"/>
      <c r="N105" s="212"/>
    </row>
    <row r="106" ht="15.75" customHeight="1">
      <c r="E106" s="208"/>
      <c r="J106" s="208"/>
      <c r="N106" s="212"/>
    </row>
    <row r="107" ht="15.75" customHeight="1">
      <c r="E107" s="208"/>
      <c r="J107" s="208"/>
      <c r="N107" s="212"/>
    </row>
    <row r="108" ht="15.75" customHeight="1">
      <c r="E108" s="208"/>
      <c r="J108" s="208"/>
      <c r="N108" s="212"/>
    </row>
    <row r="109" ht="15.75" customHeight="1">
      <c r="E109" s="208"/>
      <c r="J109" s="208"/>
      <c r="N109" s="212"/>
    </row>
    <row r="110" ht="15.75" customHeight="1">
      <c r="E110" s="208"/>
      <c r="J110" s="208"/>
      <c r="N110" s="212"/>
    </row>
    <row r="111" ht="15.75" customHeight="1">
      <c r="E111" s="208"/>
      <c r="J111" s="208"/>
      <c r="N111" s="212"/>
    </row>
    <row r="112" ht="15.75" customHeight="1">
      <c r="E112" s="208"/>
      <c r="J112" s="208"/>
      <c r="N112" s="212"/>
    </row>
    <row r="113" ht="15.75" customHeight="1">
      <c r="E113" s="208"/>
      <c r="J113" s="208"/>
      <c r="N113" s="212"/>
    </row>
    <row r="114" ht="15.75" customHeight="1">
      <c r="E114" s="208"/>
      <c r="J114" s="208"/>
      <c r="N114" s="212"/>
    </row>
    <row r="115" ht="15.75" customHeight="1">
      <c r="E115" s="208"/>
      <c r="J115" s="208"/>
      <c r="N115" s="212"/>
    </row>
    <row r="116" ht="15.75" customHeight="1">
      <c r="E116" s="208"/>
      <c r="J116" s="208"/>
      <c r="N116" s="212"/>
    </row>
    <row r="117" ht="15.75" customHeight="1">
      <c r="E117" s="208"/>
      <c r="J117" s="208"/>
      <c r="N117" s="212"/>
    </row>
    <row r="118" ht="15.75" customHeight="1">
      <c r="E118" s="208"/>
      <c r="J118" s="208"/>
      <c r="N118" s="212"/>
    </row>
    <row r="119" ht="15.75" customHeight="1">
      <c r="E119" s="208"/>
      <c r="J119" s="208"/>
      <c r="N119" s="212"/>
    </row>
    <row r="120" ht="15.75" customHeight="1">
      <c r="E120" s="208"/>
      <c r="J120" s="208"/>
      <c r="N120" s="212"/>
    </row>
    <row r="121" ht="15.75" customHeight="1">
      <c r="E121" s="208"/>
      <c r="J121" s="208"/>
      <c r="N121" s="212"/>
    </row>
    <row r="122" ht="15.75" customHeight="1">
      <c r="E122" s="208"/>
      <c r="J122" s="208"/>
      <c r="N122" s="212"/>
    </row>
    <row r="123" ht="15.75" customHeight="1">
      <c r="E123" s="208"/>
      <c r="J123" s="208"/>
      <c r="N123" s="212"/>
    </row>
    <row r="124" ht="15.75" customHeight="1">
      <c r="E124" s="208"/>
      <c r="J124" s="208"/>
      <c r="N124" s="212"/>
    </row>
    <row r="125" ht="15.75" customHeight="1">
      <c r="E125" s="208"/>
      <c r="J125" s="208"/>
      <c r="N125" s="212"/>
    </row>
    <row r="126" ht="15.75" customHeight="1">
      <c r="E126" s="208"/>
      <c r="J126" s="208"/>
      <c r="N126" s="212"/>
    </row>
    <row r="127" ht="15.75" customHeight="1">
      <c r="E127" s="208"/>
      <c r="J127" s="208"/>
      <c r="N127" s="212"/>
    </row>
    <row r="128" ht="15.75" customHeight="1">
      <c r="E128" s="208"/>
      <c r="J128" s="208"/>
      <c r="N128" s="212"/>
    </row>
    <row r="129" ht="15.75" customHeight="1">
      <c r="E129" s="208"/>
      <c r="J129" s="208"/>
      <c r="N129" s="212"/>
    </row>
    <row r="130" ht="15.75" customHeight="1">
      <c r="E130" s="208"/>
      <c r="J130" s="208"/>
      <c r="N130" s="212"/>
    </row>
    <row r="131" ht="15.75" customHeight="1">
      <c r="E131" s="208"/>
      <c r="J131" s="208"/>
      <c r="N131" s="212"/>
    </row>
    <row r="132" ht="15.75" customHeight="1">
      <c r="E132" s="208"/>
      <c r="J132" s="208"/>
      <c r="N132" s="212"/>
    </row>
    <row r="133" ht="15.75" customHeight="1">
      <c r="E133" s="208"/>
      <c r="J133" s="208"/>
      <c r="N133" s="212"/>
    </row>
    <row r="134" ht="15.75" customHeight="1">
      <c r="E134" s="208"/>
      <c r="J134" s="208"/>
      <c r="N134" s="212"/>
    </row>
    <row r="135" ht="15.75" customHeight="1">
      <c r="E135" s="208"/>
      <c r="J135" s="208"/>
      <c r="N135" s="212"/>
    </row>
    <row r="136" ht="15.75" customHeight="1">
      <c r="E136" s="208"/>
      <c r="J136" s="208"/>
      <c r="N136" s="212"/>
    </row>
    <row r="137" ht="15.75" customHeight="1">
      <c r="E137" s="208"/>
      <c r="J137" s="208"/>
      <c r="N137" s="212"/>
    </row>
    <row r="138" ht="15.75" customHeight="1">
      <c r="E138" s="208"/>
      <c r="J138" s="208"/>
      <c r="N138" s="212"/>
    </row>
    <row r="139" ht="15.75" customHeight="1">
      <c r="E139" s="208"/>
      <c r="J139" s="208"/>
      <c r="N139" s="212"/>
    </row>
    <row r="140" ht="15.75" customHeight="1">
      <c r="E140" s="208"/>
      <c r="J140" s="208"/>
      <c r="N140" s="212"/>
    </row>
    <row r="141" ht="15.75" customHeight="1">
      <c r="E141" s="208"/>
      <c r="J141" s="208"/>
      <c r="N141" s="212"/>
    </row>
    <row r="142" ht="15.75" customHeight="1">
      <c r="E142" s="208"/>
      <c r="J142" s="208"/>
      <c r="N142" s="212"/>
    </row>
    <row r="143" ht="15.75" customHeight="1">
      <c r="E143" s="208"/>
      <c r="J143" s="208"/>
      <c r="N143" s="212"/>
    </row>
    <row r="144" ht="15.75" customHeight="1">
      <c r="E144" s="208"/>
      <c r="J144" s="208"/>
      <c r="N144" s="212"/>
    </row>
    <row r="145" ht="15.75" customHeight="1">
      <c r="E145" s="208"/>
      <c r="J145" s="208"/>
      <c r="N145" s="212"/>
    </row>
    <row r="146" ht="15.75" customHeight="1">
      <c r="E146" s="208"/>
      <c r="J146" s="208"/>
      <c r="N146" s="212"/>
    </row>
    <row r="147" ht="15.75" customHeight="1">
      <c r="E147" s="208"/>
      <c r="J147" s="208"/>
      <c r="N147" s="212"/>
    </row>
    <row r="148" ht="15.75" customHeight="1">
      <c r="E148" s="208"/>
      <c r="J148" s="208"/>
      <c r="N148" s="212"/>
    </row>
    <row r="149" ht="15.75" customHeight="1">
      <c r="E149" s="208"/>
      <c r="J149" s="208"/>
      <c r="N149" s="212"/>
    </row>
    <row r="150" ht="15.75" customHeight="1">
      <c r="E150" s="208"/>
      <c r="J150" s="208"/>
      <c r="N150" s="212"/>
    </row>
    <row r="151" ht="15.75" customHeight="1">
      <c r="E151" s="208"/>
      <c r="J151" s="208"/>
      <c r="N151" s="212"/>
    </row>
    <row r="152" ht="15.75" customHeight="1">
      <c r="E152" s="208"/>
      <c r="J152" s="208"/>
      <c r="N152" s="212"/>
    </row>
    <row r="153" ht="15.75" customHeight="1">
      <c r="E153" s="208"/>
      <c r="J153" s="208"/>
      <c r="N153" s="212"/>
    </row>
    <row r="154" ht="15.75" customHeight="1">
      <c r="E154" s="208"/>
      <c r="J154" s="208"/>
      <c r="N154" s="212"/>
    </row>
    <row r="155" ht="15.75" customHeight="1">
      <c r="E155" s="208"/>
      <c r="J155" s="208"/>
      <c r="N155" s="212"/>
    </row>
    <row r="156" ht="15.75" customHeight="1">
      <c r="E156" s="208"/>
      <c r="J156" s="208"/>
      <c r="N156" s="212"/>
    </row>
    <row r="157" ht="15.75" customHeight="1">
      <c r="E157" s="208"/>
      <c r="J157" s="208"/>
      <c r="N157" s="212"/>
    </row>
    <row r="158" ht="15.75" customHeight="1">
      <c r="E158" s="208"/>
      <c r="J158" s="208"/>
      <c r="N158" s="212"/>
    </row>
    <row r="159" ht="15.75" customHeight="1">
      <c r="E159" s="208"/>
      <c r="J159" s="208"/>
      <c r="N159" s="212"/>
    </row>
    <row r="160" ht="15.75" customHeight="1">
      <c r="E160" s="208"/>
      <c r="J160" s="208"/>
      <c r="N160" s="212"/>
    </row>
    <row r="161" ht="15.75" customHeight="1">
      <c r="E161" s="208"/>
      <c r="J161" s="208"/>
      <c r="N161" s="212"/>
    </row>
    <row r="162" ht="15.75" customHeight="1">
      <c r="E162" s="208"/>
      <c r="J162" s="208"/>
      <c r="N162" s="212"/>
    </row>
    <row r="163" ht="15.75" customHeight="1">
      <c r="E163" s="208"/>
      <c r="J163" s="208"/>
      <c r="N163" s="212"/>
    </row>
    <row r="164" ht="15.75" customHeight="1">
      <c r="E164" s="208"/>
      <c r="J164" s="208"/>
      <c r="N164" s="212"/>
    </row>
    <row r="165" ht="15.75" customHeight="1">
      <c r="E165" s="208"/>
      <c r="J165" s="208"/>
      <c r="N165" s="212"/>
    </row>
    <row r="166" ht="15.75" customHeight="1">
      <c r="E166" s="208"/>
      <c r="J166" s="208"/>
      <c r="N166" s="212"/>
    </row>
    <row r="167" ht="15.75" customHeight="1">
      <c r="E167" s="208"/>
      <c r="J167" s="208"/>
      <c r="N167" s="212"/>
    </row>
    <row r="168" ht="15.75" customHeight="1">
      <c r="E168" s="208"/>
      <c r="J168" s="208"/>
      <c r="N168" s="212"/>
    </row>
    <row r="169" ht="15.75" customHeight="1">
      <c r="E169" s="208"/>
      <c r="J169" s="208"/>
      <c r="N169" s="212"/>
    </row>
    <row r="170" ht="15.75" customHeight="1">
      <c r="E170" s="208"/>
      <c r="J170" s="208"/>
      <c r="N170" s="212"/>
    </row>
    <row r="171" ht="15.75" customHeight="1">
      <c r="E171" s="208"/>
      <c r="J171" s="208"/>
      <c r="N171" s="212"/>
    </row>
    <row r="172" ht="15.75" customHeight="1">
      <c r="E172" s="208"/>
      <c r="J172" s="208"/>
      <c r="N172" s="212"/>
    </row>
    <row r="173" ht="15.75" customHeight="1">
      <c r="E173" s="208"/>
      <c r="J173" s="208"/>
      <c r="N173" s="212"/>
    </row>
    <row r="174" ht="15.75" customHeight="1">
      <c r="E174" s="208"/>
      <c r="J174" s="208"/>
      <c r="N174" s="212"/>
    </row>
    <row r="175" ht="15.75" customHeight="1">
      <c r="E175" s="208"/>
      <c r="J175" s="208"/>
      <c r="N175" s="212"/>
    </row>
    <row r="176" ht="15.75" customHeight="1">
      <c r="E176" s="208"/>
      <c r="J176" s="208"/>
      <c r="N176" s="212"/>
    </row>
    <row r="177" ht="15.75" customHeight="1">
      <c r="E177" s="208"/>
      <c r="J177" s="208"/>
      <c r="N177" s="212"/>
    </row>
    <row r="178" ht="15.75" customHeight="1">
      <c r="E178" s="208"/>
      <c r="J178" s="208"/>
      <c r="N178" s="212"/>
    </row>
    <row r="179" ht="15.75" customHeight="1">
      <c r="E179" s="208"/>
      <c r="J179" s="208"/>
      <c r="N179" s="212"/>
    </row>
    <row r="180" ht="15.75" customHeight="1">
      <c r="E180" s="208"/>
      <c r="J180" s="208"/>
      <c r="N180" s="212"/>
    </row>
    <row r="181" ht="15.75" customHeight="1">
      <c r="E181" s="208"/>
      <c r="J181" s="208"/>
      <c r="N181" s="212"/>
    </row>
    <row r="182" ht="15.75" customHeight="1">
      <c r="E182" s="208"/>
      <c r="J182" s="208"/>
      <c r="N182" s="212"/>
    </row>
    <row r="183" ht="15.75" customHeight="1">
      <c r="E183" s="208"/>
      <c r="J183" s="208"/>
      <c r="N183" s="212"/>
    </row>
    <row r="184" ht="15.75" customHeight="1">
      <c r="E184" s="208"/>
      <c r="J184" s="208"/>
      <c r="N184" s="212"/>
    </row>
    <row r="185" ht="15.75" customHeight="1">
      <c r="E185" s="208"/>
      <c r="J185" s="208"/>
      <c r="N185" s="212"/>
    </row>
    <row r="186" ht="15.75" customHeight="1">
      <c r="E186" s="208"/>
      <c r="J186" s="208"/>
      <c r="N186" s="212"/>
    </row>
    <row r="187" ht="15.75" customHeight="1">
      <c r="E187" s="208"/>
      <c r="J187" s="208"/>
      <c r="N187" s="212"/>
    </row>
    <row r="188" ht="15.75" customHeight="1">
      <c r="E188" s="208"/>
      <c r="J188" s="208"/>
      <c r="N188" s="212"/>
    </row>
    <row r="189" ht="15.75" customHeight="1">
      <c r="E189" s="208"/>
      <c r="J189" s="208"/>
      <c r="N189" s="212"/>
    </row>
    <row r="190" ht="15.75" customHeight="1">
      <c r="E190" s="208"/>
      <c r="J190" s="208"/>
      <c r="N190" s="212"/>
    </row>
    <row r="191" ht="15.75" customHeight="1">
      <c r="E191" s="208"/>
      <c r="J191" s="208"/>
      <c r="N191" s="212"/>
    </row>
    <row r="192" ht="15.75" customHeight="1">
      <c r="E192" s="208"/>
      <c r="J192" s="208"/>
      <c r="N192" s="212"/>
    </row>
    <row r="193" ht="15.75" customHeight="1">
      <c r="E193" s="208"/>
      <c r="J193" s="208"/>
      <c r="N193" s="212"/>
    </row>
    <row r="194" ht="15.75" customHeight="1">
      <c r="E194" s="208"/>
      <c r="J194" s="208"/>
      <c r="N194" s="212"/>
    </row>
    <row r="195" ht="15.75" customHeight="1">
      <c r="E195" s="208"/>
      <c r="J195" s="208"/>
      <c r="N195" s="212"/>
    </row>
    <row r="196" ht="15.75" customHeight="1">
      <c r="E196" s="208"/>
      <c r="J196" s="208"/>
      <c r="N196" s="212"/>
    </row>
    <row r="197" ht="15.75" customHeight="1">
      <c r="E197" s="208"/>
      <c r="J197" s="208"/>
      <c r="N197" s="212"/>
    </row>
    <row r="198" ht="15.75" customHeight="1">
      <c r="E198" s="208"/>
      <c r="J198" s="208"/>
      <c r="N198" s="212"/>
    </row>
    <row r="199" ht="15.75" customHeight="1">
      <c r="E199" s="208"/>
      <c r="J199" s="208"/>
      <c r="N199" s="212"/>
    </row>
    <row r="200" ht="15.75" customHeight="1">
      <c r="E200" s="208"/>
      <c r="J200" s="208"/>
      <c r="N200" s="212"/>
    </row>
    <row r="201" ht="15.75" customHeight="1">
      <c r="E201" s="208"/>
      <c r="J201" s="208"/>
      <c r="N201" s="212"/>
    </row>
    <row r="202" ht="15.75" customHeight="1">
      <c r="E202" s="208"/>
      <c r="J202" s="208"/>
      <c r="N202" s="212"/>
    </row>
    <row r="203" ht="15.75" customHeight="1">
      <c r="E203" s="208"/>
      <c r="J203" s="208"/>
      <c r="N203" s="212"/>
    </row>
    <row r="204" ht="15.75" customHeight="1">
      <c r="E204" s="208"/>
      <c r="J204" s="208"/>
      <c r="N204" s="212"/>
    </row>
    <row r="205" ht="15.75" customHeight="1">
      <c r="E205" s="208"/>
      <c r="J205" s="208"/>
      <c r="N205" s="212"/>
    </row>
    <row r="206" ht="15.75" customHeight="1">
      <c r="E206" s="208"/>
      <c r="J206" s="208"/>
      <c r="N206" s="212"/>
    </row>
    <row r="207" ht="15.75" customHeight="1">
      <c r="E207" s="208"/>
      <c r="J207" s="208"/>
      <c r="N207" s="212"/>
    </row>
    <row r="208" ht="15.75" customHeight="1">
      <c r="E208" s="208"/>
      <c r="J208" s="208"/>
      <c r="N208" s="212"/>
    </row>
    <row r="209" ht="15.75" customHeight="1">
      <c r="E209" s="208"/>
      <c r="J209" s="208"/>
      <c r="N209" s="212"/>
    </row>
    <row r="210" ht="15.75" customHeight="1">
      <c r="E210" s="208"/>
      <c r="J210" s="208"/>
      <c r="N210" s="212"/>
    </row>
    <row r="211" ht="15.75" customHeight="1">
      <c r="E211" s="208"/>
      <c r="J211" s="208"/>
      <c r="N211" s="212"/>
    </row>
    <row r="212" ht="15.75" customHeight="1">
      <c r="E212" s="208"/>
      <c r="J212" s="208"/>
      <c r="N212" s="212"/>
    </row>
    <row r="213" ht="15.75" customHeight="1">
      <c r="E213" s="208"/>
      <c r="J213" s="208"/>
      <c r="N213" s="212"/>
    </row>
    <row r="214" ht="15.75" customHeight="1">
      <c r="E214" s="208"/>
      <c r="J214" s="208"/>
      <c r="N214" s="212"/>
    </row>
    <row r="215" ht="15.75" customHeight="1">
      <c r="E215" s="208"/>
      <c r="J215" s="208"/>
      <c r="N215" s="212"/>
    </row>
    <row r="216" ht="15.75" customHeight="1">
      <c r="E216" s="208"/>
      <c r="J216" s="208"/>
      <c r="N216" s="212"/>
    </row>
    <row r="217" ht="15.75" customHeight="1">
      <c r="E217" s="208"/>
      <c r="J217" s="208"/>
      <c r="N217" s="212"/>
    </row>
    <row r="218" ht="15.75" customHeight="1">
      <c r="E218" s="208"/>
      <c r="J218" s="208"/>
      <c r="N218" s="212"/>
    </row>
    <row r="219" ht="15.75" customHeight="1">
      <c r="E219" s="208"/>
      <c r="J219" s="208"/>
      <c r="N219" s="212"/>
    </row>
    <row r="220" ht="15.75" customHeight="1">
      <c r="E220" s="208"/>
      <c r="J220" s="208"/>
      <c r="N220" s="212"/>
    </row>
    <row r="221" ht="15.75" customHeight="1">
      <c r="E221" s="208"/>
      <c r="J221" s="208"/>
      <c r="N221" s="212"/>
    </row>
    <row r="222" ht="15.75" customHeight="1">
      <c r="E222" s="208"/>
      <c r="J222" s="208"/>
      <c r="N222" s="212"/>
    </row>
    <row r="223" ht="15.75" customHeight="1">
      <c r="E223" s="208"/>
      <c r="J223" s="208"/>
      <c r="N223" s="212"/>
    </row>
    <row r="224" ht="15.75" customHeight="1">
      <c r="E224" s="208"/>
      <c r="J224" s="208"/>
      <c r="N224" s="212"/>
    </row>
    <row r="225" ht="15.75" customHeight="1">
      <c r="E225" s="208"/>
      <c r="J225" s="208"/>
      <c r="N225" s="212"/>
    </row>
    <row r="226" ht="15.75" customHeight="1">
      <c r="E226" s="208"/>
      <c r="J226" s="208"/>
      <c r="N226" s="212"/>
    </row>
    <row r="227" ht="15.75" customHeight="1">
      <c r="E227" s="208"/>
      <c r="J227" s="208"/>
      <c r="N227" s="212"/>
    </row>
    <row r="228" ht="15.75" customHeight="1">
      <c r="E228" s="208"/>
      <c r="J228" s="208"/>
      <c r="N228" s="212"/>
    </row>
    <row r="229" ht="15.75" customHeight="1">
      <c r="E229" s="208"/>
      <c r="J229" s="208"/>
      <c r="N229" s="212"/>
    </row>
    <row r="230" ht="15.75" customHeight="1">
      <c r="E230" s="208"/>
      <c r="J230" s="208"/>
      <c r="N230" s="212"/>
    </row>
    <row r="231" ht="15.75" customHeight="1">
      <c r="E231" s="208"/>
      <c r="J231" s="208"/>
      <c r="N231" s="212"/>
    </row>
    <row r="232" ht="15.75" customHeight="1">
      <c r="E232" s="208"/>
      <c r="J232" s="208"/>
      <c r="N232" s="212"/>
    </row>
    <row r="233" ht="15.75" customHeight="1">
      <c r="E233" s="208"/>
      <c r="J233" s="208"/>
      <c r="N233" s="212"/>
    </row>
    <row r="234" ht="15.75" customHeight="1">
      <c r="E234" s="208"/>
      <c r="J234" s="208"/>
      <c r="N234" s="212"/>
    </row>
    <row r="235" ht="15.75" customHeight="1">
      <c r="E235" s="208"/>
      <c r="J235" s="208"/>
      <c r="N235" s="212"/>
    </row>
    <row r="236" ht="15.75" customHeight="1">
      <c r="E236" s="208"/>
      <c r="J236" s="208"/>
      <c r="N236" s="212"/>
    </row>
    <row r="237" ht="15.75" customHeight="1">
      <c r="E237" s="208"/>
      <c r="J237" s="208"/>
      <c r="N237" s="212"/>
    </row>
    <row r="238" ht="15.75" customHeight="1">
      <c r="E238" s="208"/>
      <c r="J238" s="208"/>
      <c r="N238" s="212"/>
    </row>
    <row r="239" ht="15.75" customHeight="1">
      <c r="E239" s="208"/>
      <c r="J239" s="208"/>
      <c r="N239" s="212"/>
    </row>
    <row r="240" ht="15.75" customHeight="1">
      <c r="E240" s="208"/>
      <c r="J240" s="208"/>
      <c r="N240" s="212"/>
    </row>
    <row r="241" ht="15.75" customHeight="1">
      <c r="E241" s="208"/>
      <c r="J241" s="208"/>
      <c r="N241" s="21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1:I1"/>
    <mergeCell ref="K1:M1"/>
    <mergeCell ref="O1:Q1"/>
  </mergeCells>
  <dataValidations>
    <dataValidation type="list" allowBlank="1" showErrorMessage="1" sqref="S4">
      <formula1>"Not Ready,Ready"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13"/>
    <col customWidth="1" min="2" max="2" width="27.13"/>
    <col customWidth="1" min="3" max="3" width="7.13"/>
    <col customWidth="1" min="4" max="4" width="15.13"/>
    <col customWidth="1" min="5" max="5" width="7.13"/>
    <col customWidth="1" min="6" max="6" width="27.25"/>
    <col customWidth="1" min="7" max="7" width="7.13"/>
    <col customWidth="1" min="8" max="8" width="15.13"/>
    <col customWidth="1" min="9" max="9" width="7.13"/>
    <col customWidth="1" min="10" max="10" width="27.38"/>
    <col customWidth="1" min="11" max="11" width="7.13"/>
    <col customWidth="1" min="12" max="12" width="15.13"/>
    <col customWidth="1" min="13" max="13" width="7.13"/>
    <col customWidth="1" min="14" max="14" width="27.38"/>
    <col customWidth="1" min="15" max="15" width="7.13"/>
    <col customWidth="1" min="16" max="16" width="15.13"/>
    <col customWidth="1" min="17" max="17" width="7.13"/>
    <col customWidth="1" min="18" max="18" width="28.13"/>
    <col customWidth="1" min="19" max="19" width="7.13"/>
    <col customWidth="1" min="20" max="20" width="15.13"/>
    <col customWidth="1" min="21" max="21" width="7.13"/>
    <col customWidth="1" min="22" max="22" width="6.88"/>
    <col customWidth="1" hidden="1" min="23" max="23" width="12.75"/>
    <col customWidth="1" hidden="1" min="24" max="24" width="38.13"/>
    <col customWidth="1" min="25" max="25" width="31.25"/>
    <col customWidth="1" min="26" max="26" width="15.13"/>
    <col customWidth="1" min="27" max="27" width="14.0"/>
    <col customWidth="1" min="28" max="28" width="14.88"/>
    <col customWidth="1" hidden="1" min="29" max="29" width="12.75"/>
    <col customWidth="1" min="30" max="30" width="6.38"/>
    <col customWidth="1" hidden="1" min="31" max="33" width="12.75"/>
    <col customWidth="1" min="34" max="34" width="20.75"/>
    <col customWidth="1" min="35" max="35" width="14.0"/>
    <col customWidth="1" min="36" max="36" width="23.75"/>
  </cols>
  <sheetData>
    <row r="1" ht="15.75" customHeight="1">
      <c r="A1" s="38"/>
      <c r="B1" s="39" t="s">
        <v>113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  <c r="V1" s="38"/>
      <c r="W1" s="38"/>
      <c r="X1" s="38"/>
      <c r="Y1" s="38"/>
      <c r="Z1" s="38"/>
      <c r="AA1" s="38"/>
      <c r="AB1" s="38"/>
      <c r="AC1" s="38"/>
      <c r="AD1" s="38"/>
      <c r="AE1" s="38"/>
      <c r="AF1" s="42"/>
      <c r="AG1" s="38"/>
      <c r="AH1" s="38"/>
      <c r="AI1" s="42"/>
      <c r="AJ1" s="42"/>
    </row>
    <row r="2" ht="15.75" customHeight="1">
      <c r="A2" s="38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5"/>
      <c r="V2" s="38"/>
      <c r="W2" s="38"/>
      <c r="X2" s="38"/>
      <c r="Y2" s="38"/>
      <c r="Z2" s="38"/>
      <c r="AA2" s="38"/>
      <c r="AB2" s="38"/>
      <c r="AC2" s="38"/>
      <c r="AD2" s="38"/>
      <c r="AE2" s="38"/>
      <c r="AF2" s="42"/>
      <c r="AG2" s="38"/>
      <c r="AH2" s="38"/>
      <c r="AI2" s="42"/>
      <c r="AJ2" s="42"/>
    </row>
    <row r="3" ht="15.75" customHeight="1">
      <c r="A3" s="38"/>
      <c r="B3" s="47" t="s">
        <v>115</v>
      </c>
      <c r="C3" s="40"/>
      <c r="D3" s="40"/>
      <c r="E3" s="41"/>
      <c r="F3" s="47" t="s">
        <v>116</v>
      </c>
      <c r="G3" s="40"/>
      <c r="H3" s="40"/>
      <c r="I3" s="41"/>
      <c r="J3" s="47" t="s">
        <v>117</v>
      </c>
      <c r="K3" s="40"/>
      <c r="L3" s="40"/>
      <c r="M3" s="41"/>
      <c r="N3" s="47" t="s">
        <v>118</v>
      </c>
      <c r="O3" s="40"/>
      <c r="P3" s="40"/>
      <c r="Q3" s="41"/>
      <c r="R3" s="47" t="s">
        <v>119</v>
      </c>
      <c r="S3" s="40"/>
      <c r="T3" s="40"/>
      <c r="U3" s="41"/>
      <c r="V3" s="38"/>
      <c r="W3" s="38"/>
      <c r="X3" s="38"/>
      <c r="Y3" s="38"/>
      <c r="Z3" s="38"/>
      <c r="AA3" s="38"/>
      <c r="AB3" s="38"/>
      <c r="AC3" s="38"/>
      <c r="AD3" s="38"/>
      <c r="AE3" s="38"/>
      <c r="AF3" s="42"/>
      <c r="AG3" s="38"/>
      <c r="AH3" s="38"/>
      <c r="AI3" s="42"/>
      <c r="AJ3" s="42"/>
    </row>
    <row r="4" ht="15.75" customHeight="1">
      <c r="A4" s="38"/>
      <c r="B4" s="242">
        <v>0.40625</v>
      </c>
      <c r="C4" s="44"/>
      <c r="D4" s="44"/>
      <c r="E4" s="45"/>
      <c r="F4" s="242">
        <v>0.4270833333333333</v>
      </c>
      <c r="G4" s="44"/>
      <c r="H4" s="44"/>
      <c r="I4" s="45"/>
      <c r="J4" s="242">
        <v>0.4479166666666667</v>
      </c>
      <c r="K4" s="44"/>
      <c r="L4" s="44"/>
      <c r="M4" s="45"/>
      <c r="N4" s="242">
        <v>0.46875</v>
      </c>
      <c r="O4" s="44"/>
      <c r="P4" s="44"/>
      <c r="Q4" s="45"/>
      <c r="R4" s="242">
        <v>0.4895833333333333</v>
      </c>
      <c r="S4" s="44"/>
      <c r="T4" s="44"/>
      <c r="U4" s="45"/>
      <c r="V4" s="38"/>
      <c r="W4" s="38"/>
      <c r="X4" s="38"/>
      <c r="Y4" s="38"/>
      <c r="Z4" s="38"/>
      <c r="AA4" s="38"/>
      <c r="AB4" s="38"/>
      <c r="AC4" s="38"/>
      <c r="AD4" s="38"/>
      <c r="AE4" s="38"/>
      <c r="AF4" s="42"/>
      <c r="AG4" s="38"/>
      <c r="AH4" s="38"/>
      <c r="AI4" s="42"/>
      <c r="AJ4" s="42"/>
    </row>
    <row r="5" ht="15.75" customHeight="1">
      <c r="A5" s="50"/>
      <c r="B5" s="243" t="s">
        <v>225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1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2"/>
      <c r="AG5" s="50"/>
      <c r="AH5" s="50"/>
      <c r="AI5" s="52"/>
      <c r="AJ5" s="52"/>
    </row>
    <row r="6" ht="15.75" customHeight="1">
      <c r="A6" s="50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5"/>
      <c r="V6" s="50"/>
      <c r="W6" s="50"/>
      <c r="X6" s="53"/>
      <c r="Y6" s="58" t="s">
        <v>226</v>
      </c>
      <c r="Z6" s="55"/>
      <c r="AA6" s="55"/>
      <c r="AB6" s="56"/>
      <c r="AC6" s="50"/>
      <c r="AD6" s="50"/>
      <c r="AE6" s="50"/>
      <c r="AF6" s="52"/>
      <c r="AG6" s="50"/>
      <c r="AH6" s="58" t="s">
        <v>123</v>
      </c>
      <c r="AI6" s="55"/>
      <c r="AJ6" s="56"/>
    </row>
    <row r="7" ht="15.75" customHeight="1">
      <c r="A7" s="50"/>
      <c r="B7" s="59" t="s">
        <v>124</v>
      </c>
      <c r="C7" s="244" t="s">
        <v>125</v>
      </c>
      <c r="D7" s="244" t="s">
        <v>126</v>
      </c>
      <c r="E7" s="61" t="s">
        <v>127</v>
      </c>
      <c r="F7" s="59" t="s">
        <v>124</v>
      </c>
      <c r="G7" s="244" t="s">
        <v>125</v>
      </c>
      <c r="H7" s="244" t="s">
        <v>126</v>
      </c>
      <c r="I7" s="61" t="s">
        <v>127</v>
      </c>
      <c r="J7" s="59" t="s">
        <v>124</v>
      </c>
      <c r="K7" s="244" t="s">
        <v>125</v>
      </c>
      <c r="L7" s="244" t="s">
        <v>126</v>
      </c>
      <c r="M7" s="61" t="s">
        <v>127</v>
      </c>
      <c r="N7" s="59" t="s">
        <v>124</v>
      </c>
      <c r="O7" s="244" t="s">
        <v>125</v>
      </c>
      <c r="P7" s="244" t="s">
        <v>126</v>
      </c>
      <c r="Q7" s="61" t="s">
        <v>127</v>
      </c>
      <c r="R7" s="59" t="s">
        <v>124</v>
      </c>
      <c r="S7" s="244" t="s">
        <v>125</v>
      </c>
      <c r="T7" s="244" t="s">
        <v>126</v>
      </c>
      <c r="U7" s="61" t="s">
        <v>127</v>
      </c>
      <c r="V7" s="50"/>
      <c r="W7" s="62" t="s">
        <v>128</v>
      </c>
      <c r="X7" s="62" t="s">
        <v>227</v>
      </c>
      <c r="Y7" s="62" t="s">
        <v>130</v>
      </c>
      <c r="Z7" s="62" t="s">
        <v>131</v>
      </c>
      <c r="AA7" s="62" t="s">
        <v>132</v>
      </c>
      <c r="AB7" s="62" t="s">
        <v>135</v>
      </c>
      <c r="AC7" s="66" t="str">
        <f t="shared" ref="AC7:AC37" si="1">X7</f>
        <v>Team (Seeded)</v>
      </c>
      <c r="AD7" s="62"/>
      <c r="AE7" s="62" t="s">
        <v>134</v>
      </c>
      <c r="AF7" s="62" t="s">
        <v>135</v>
      </c>
      <c r="AG7" s="62" t="s">
        <v>45</v>
      </c>
      <c r="AH7" s="62" t="s">
        <v>131</v>
      </c>
      <c r="AI7" s="62" t="s">
        <v>132</v>
      </c>
      <c r="AJ7" s="62" t="s">
        <v>228</v>
      </c>
    </row>
    <row r="8" ht="15.75" customHeight="1">
      <c r="A8" s="38"/>
      <c r="B8" s="68" t="str">
        <f>X8</f>
        <v>E. O. Smith HS Team A</v>
      </c>
      <c r="C8" s="245"/>
      <c r="D8" s="246" t="b">
        <v>0</v>
      </c>
      <c r="E8" s="71" t="str">
        <f>_xludf.IFS(C8="",0,(C8-C9)&gt;0,C8+100,(C8-C9)=0,C8+50,(C8-C9)&lt;0,C8)</f>
        <v>#NAME?</v>
      </c>
      <c r="F8" s="68" t="str">
        <f>B10</f>
        <v>Univ HS of Sci &amp; Engineering</v>
      </c>
      <c r="G8" s="245"/>
      <c r="H8" s="246" t="b">
        <v>0</v>
      </c>
      <c r="I8" s="71" t="str">
        <f>_xludf.IFS(G8="",0,(G8-G9)&gt;0,G8+100,(G8-G9)=0,G8+50,(G8-G9)&lt;0,G8)</f>
        <v>#NAME?</v>
      </c>
      <c r="J8" s="68" t="str">
        <f>F12</f>
        <v>E. O. Smith HS Team A</v>
      </c>
      <c r="K8" s="245"/>
      <c r="L8" s="246" t="b">
        <v>0</v>
      </c>
      <c r="M8" s="71" t="str">
        <f>_xludf.IFS(K8="",0,(K8-K9)&gt;0,K8+100,(K8-K9)=0,K8+50,(K8-K9)&lt;0,K8)</f>
        <v>#NAME?</v>
      </c>
      <c r="N8" s="68" t="str">
        <f>J13</f>
        <v>Southington HS Team A</v>
      </c>
      <c r="O8" s="245"/>
      <c r="P8" s="246" t="b">
        <v>0</v>
      </c>
      <c r="Q8" s="71" t="str">
        <f>_xludf.IFS(O8="",0,(O8-O9)&gt;0,O8+100,(O8-O9)=0,O8+50,(O8-O9)&lt;0,O8)</f>
        <v>#NAME?</v>
      </c>
      <c r="R8" s="68" t="str">
        <f>N12</f>
        <v>The Open Spot</v>
      </c>
      <c r="S8" s="247"/>
      <c r="T8" s="248" t="b">
        <v>0</v>
      </c>
      <c r="U8" s="71" t="str">
        <f>_xludf.IFS(S8="",0,(S8-S9)&gt;0,S8+100,(S8-S9)=0,S8+50,(S8-S9)&lt;0,S8)</f>
        <v>#NAME?</v>
      </c>
      <c r="V8" s="38"/>
      <c r="W8" s="73">
        <v>1.0</v>
      </c>
      <c r="X8" s="249" t="s">
        <v>229</v>
      </c>
      <c r="Y8" s="249" t="s">
        <v>48</v>
      </c>
      <c r="Z8" s="250" t="str">
        <f t="shared" ref="Z8:Z37" si="2">IF(MATCH(Y8,R:R,0)&lt;14,$B$5,IF(MATCH(Y8,R:R,0)&lt;23,$B$14,IF(MATCH(Y8,R:R,0)&lt;32,$B$23,IF(MATCH(Y8,R:R,0)&lt;41,$B$32,IF(MATCH(Y8,R:R,0)&lt;50,$B$41)))))</f>
        <v>Division 3 (SWE)</v>
      </c>
      <c r="AA8" s="250" t="str">
        <f t="shared" ref="AA8:AA37" si="3">SUM(VLOOKUP(Y8,B:E,4,FALSE),VLOOKUP(Y8,F:I,4,FALSE),VLOOKUP(Y8,J:M,4,FALSE),VLOOKUP(Y8,N:Q,4,FALSE),VLOOKUP(Y8,R:U,4,FALSE))</f>
        <v>#NAME?</v>
      </c>
      <c r="AB8" s="38" t="str">
        <f t="shared" ref="AB8:AB37" si="4">AA8+VLOOKUP(Z8,AH:AJ,3)</f>
        <v>#NAME?</v>
      </c>
      <c r="AC8" s="77" t="str">
        <f t="shared" si="1"/>
        <v>E. O. Smith HS Team A</v>
      </c>
      <c r="AD8" s="38"/>
      <c r="AE8" s="78">
        <v>1.0</v>
      </c>
      <c r="AF8" s="79">
        <v>0.0</v>
      </c>
      <c r="AG8" s="80"/>
      <c r="AH8" s="81" t="str">
        <f>B5</f>
        <v>Division 1 (EA)</v>
      </c>
      <c r="AI8" s="82" t="str">
        <f>SUM(E8:E13,I8:I13,Q8:Q13,U8:U13)</f>
        <v>#NAME?</v>
      </c>
      <c r="AJ8" s="82" t="str">
        <f t="shared" ref="AJ8:AJ12" si="5">AI8*0.0211</f>
        <v>#NAME?</v>
      </c>
    </row>
    <row r="9" ht="15.75" customHeight="1">
      <c r="A9" s="38"/>
      <c r="B9" s="84" t="str">
        <f t="shared" ref="B9:B10" si="6">X17</f>
        <v>Southington HS Team A</v>
      </c>
      <c r="C9" s="251"/>
      <c r="D9" s="252" t="b">
        <v>0</v>
      </c>
      <c r="E9" s="87" t="str">
        <f>_xludf.IFS(C9="",0,(C9-C8)&gt;0,C9+100,(C9-C8)=0,C9+50,(C9-C8)&lt;0,C9)</f>
        <v>#NAME?</v>
      </c>
      <c r="F9" s="84" t="str">
        <f>B13</f>
        <v>Rocky Hill HS Team B</v>
      </c>
      <c r="G9" s="251"/>
      <c r="H9" s="252" t="b">
        <v>0</v>
      </c>
      <c r="I9" s="87" t="str">
        <f>_xludf.IFS(G9="",0,(G9-G8)&gt;0,G9+100,(G9-G8)=0,G9+50,(G9-G8)&lt;0,G9)</f>
        <v>#NAME?</v>
      </c>
      <c r="J9" s="84" t="str">
        <f>F10</f>
        <v>The Open Spot</v>
      </c>
      <c r="K9" s="251"/>
      <c r="L9" s="252" t="b">
        <v>0</v>
      </c>
      <c r="M9" s="87" t="str">
        <f>_xludf.IFS(K9="",0,(K9-K8)&gt;0,K9+100,(K9-K8)=0,K9+50,(K9-K8)&lt;0,K9)</f>
        <v>#NAME?</v>
      </c>
      <c r="N9" s="84" t="str">
        <f>J11</f>
        <v>Pomperaug Regional HS</v>
      </c>
      <c r="O9" s="251"/>
      <c r="P9" s="252" t="b">
        <v>0</v>
      </c>
      <c r="Q9" s="87" t="str">
        <f>_xludf.IFS(O9="",0,(O9-O8)&gt;0,O9+100,(O9-O8)=0,O9+50,(O9-O8)&lt;0,O9)</f>
        <v>#NAME?</v>
      </c>
      <c r="R9" s="84" t="str">
        <f t="shared" ref="R9:R10" si="7">N9</f>
        <v>Pomperaug Regional HS</v>
      </c>
      <c r="S9" s="253"/>
      <c r="T9" s="254" t="b">
        <v>0</v>
      </c>
      <c r="U9" s="87" t="str">
        <f>_xludf.IFS(S9="",0,(S9-S8)&gt;0,S9+100,(S9-S8)=0,S9+50,(S9-S8)&lt;0,S9)</f>
        <v>#NAME?</v>
      </c>
      <c r="V9" s="38"/>
      <c r="W9" s="73">
        <f t="shared" ref="W9:W37" si="8">W8+1</f>
        <v>2</v>
      </c>
      <c r="X9" s="249" t="s">
        <v>230</v>
      </c>
      <c r="Y9" s="255" t="s">
        <v>49</v>
      </c>
      <c r="Z9" s="250" t="str">
        <f t="shared" si="2"/>
        <v>Division 9 (LC)</v>
      </c>
      <c r="AA9" s="250" t="str">
        <f t="shared" si="3"/>
        <v>#NAME?</v>
      </c>
      <c r="AB9" s="38" t="str">
        <f t="shared" si="4"/>
        <v>#NAME?</v>
      </c>
      <c r="AC9" s="77" t="str">
        <f t="shared" si="1"/>
        <v>Greenwich HS Team A</v>
      </c>
      <c r="AD9" s="38"/>
      <c r="AE9" s="78">
        <f t="shared" ref="AE9:AE37" si="9">AE8+1</f>
        <v>2</v>
      </c>
      <c r="AF9" s="79">
        <v>0.0</v>
      </c>
      <c r="AG9" s="80"/>
      <c r="AH9" s="93" t="str">
        <f>B14</f>
        <v>Division 3 (SWE)</v>
      </c>
      <c r="AI9" s="94" t="str">
        <f>SUM(E17:E22,I17:I22,M17:M22,Q17:Q22,U17:U22)</f>
        <v>#NAME?</v>
      </c>
      <c r="AJ9" s="94" t="str">
        <f t="shared" si="5"/>
        <v>#NAME?</v>
      </c>
    </row>
    <row r="10" ht="15.75" customHeight="1">
      <c r="A10" s="38"/>
      <c r="B10" s="68" t="str">
        <f t="shared" si="6"/>
        <v>Univ HS of Sci &amp; Engineering</v>
      </c>
      <c r="C10" s="245"/>
      <c r="D10" s="246" t="b">
        <v>0</v>
      </c>
      <c r="E10" s="71" t="str">
        <f>_xludf.IFS(C10="",0,(C10-C11)&gt;0,C10+100,(C10-C11)=0,C10+50,(C10-C11)&lt;0,C10)</f>
        <v>#NAME?</v>
      </c>
      <c r="F10" s="68" t="str">
        <f>B12</f>
        <v>The Open Spot</v>
      </c>
      <c r="G10" s="245"/>
      <c r="H10" s="246" t="b">
        <v>0</v>
      </c>
      <c r="I10" s="71" t="str">
        <f>_xludf.IFS(G10="",0,(G10-G11)&gt;0,G10+100,(G10-G11)=0,G10+50,(G10-G11)&lt;0,G10)</f>
        <v>#NAME?</v>
      </c>
      <c r="J10" s="68" t="str">
        <f>F9</f>
        <v>Rocky Hill HS Team B</v>
      </c>
      <c r="K10" s="245"/>
      <c r="L10" s="246" t="b">
        <v>0</v>
      </c>
      <c r="M10" s="71" t="str">
        <f>_xludf.IFS(K10="",0,(K10-K11)&gt;0,K10+100,(K10-K11)=0,K10+50,(K10-K11)&lt;0,K10)</f>
        <v>#NAME?</v>
      </c>
      <c r="N10" s="68" t="str">
        <f>J8</f>
        <v>E. O. Smith HS Team A</v>
      </c>
      <c r="O10" s="245"/>
      <c r="P10" s="246" t="b">
        <v>0</v>
      </c>
      <c r="Q10" s="71" t="str">
        <f>_xludf.IFS(O10="",0,(O10-O11)&gt;0,O10+100,(O10-O11)=0,O10+50,(O10-O11)&lt;0,O10)</f>
        <v>#NAME?</v>
      </c>
      <c r="R10" s="68" t="str">
        <f t="shared" si="7"/>
        <v>E. O. Smith HS Team A</v>
      </c>
      <c r="S10" s="247"/>
      <c r="T10" s="248" t="b">
        <v>0</v>
      </c>
      <c r="U10" s="71" t="str">
        <f>_xludf.IFS(S10="",0,(S10-S11)&gt;0,S10+100,(S10-S11)=0,S10+50,(S10-S11)&lt;0,S10)</f>
        <v>#NAME?</v>
      </c>
      <c r="V10" s="38"/>
      <c r="W10" s="73">
        <f t="shared" si="8"/>
        <v>3</v>
      </c>
      <c r="X10" s="249" t="s">
        <v>231</v>
      </c>
      <c r="Y10" s="249" t="s">
        <v>232</v>
      </c>
      <c r="Z10" s="250" t="str">
        <f t="shared" si="2"/>
        <v>Division 9 (LC)</v>
      </c>
      <c r="AA10" s="250" t="str">
        <f t="shared" si="3"/>
        <v>#NAME?</v>
      </c>
      <c r="AB10" s="38" t="str">
        <f t="shared" si="4"/>
        <v>#NAME?</v>
      </c>
      <c r="AC10" s="77" t="str">
        <f t="shared" si="1"/>
        <v>Glastonbury HS Team A</v>
      </c>
      <c r="AD10" s="38"/>
      <c r="AE10" s="78">
        <f t="shared" si="9"/>
        <v>3</v>
      </c>
      <c r="AF10" s="91">
        <v>0.0</v>
      </c>
      <c r="AG10" s="92"/>
      <c r="AH10" s="95" t="str">
        <f>B23</f>
        <v>Division 5 (SHPE)</v>
      </c>
      <c r="AI10" s="96" t="str">
        <f>SUM(E26:E31,I26:I31,M26:M31,Q26:Q31,U26:U31)</f>
        <v>#NAME?</v>
      </c>
      <c r="AJ10" s="96" t="str">
        <f t="shared" si="5"/>
        <v>#NAME?</v>
      </c>
    </row>
    <row r="11" ht="15.75" customHeight="1">
      <c r="A11" s="38"/>
      <c r="B11" s="84" t="str">
        <f t="shared" ref="B11:B12" si="10">X27</f>
        <v>Pomperaug Regional HS</v>
      </c>
      <c r="C11" s="251"/>
      <c r="D11" s="252" t="b">
        <v>0</v>
      </c>
      <c r="E11" s="87" t="str">
        <f>_xludf.IFS(C11="",0,(C11-C10)&gt;0,C11+100,(C11-C10)=0,C11+50,(C11-C10)&lt;0,C11)</f>
        <v>#NAME?</v>
      </c>
      <c r="F11" s="84" t="str">
        <f>B9</f>
        <v>Southington HS Team A</v>
      </c>
      <c r="G11" s="251"/>
      <c r="H11" s="252" t="b">
        <v>0</v>
      </c>
      <c r="I11" s="87" t="str">
        <f>_xludf.IFS(G11="",0,(G11-G10)&gt;0,G11+100,(G11-G10)=0,G11+50,(G11-G10)&lt;0,G11)</f>
        <v>#NAME?</v>
      </c>
      <c r="J11" s="84" t="str">
        <f>F13</f>
        <v>Pomperaug Regional HS</v>
      </c>
      <c r="K11" s="251"/>
      <c r="L11" s="252" t="b">
        <v>0</v>
      </c>
      <c r="M11" s="87" t="str">
        <f>_xludf.IFS(K11="",0,(K11-K10)&gt;0,K11+100,(K11-K10)=0,K11+50,(K11-K10)&lt;0,K11)</f>
        <v>#NAME?</v>
      </c>
      <c r="N11" s="84" t="str">
        <f>J10</f>
        <v>Rocky Hill HS Team B</v>
      </c>
      <c r="O11" s="251"/>
      <c r="P11" s="252" t="b">
        <v>0</v>
      </c>
      <c r="Q11" s="87" t="str">
        <f>_xludf.IFS(O11="",0,(O11-O10)&gt;0,O11+100,(O11-O10)=0,O11+50,(O11-O10)&lt;0,O11)</f>
        <v>#NAME?</v>
      </c>
      <c r="R11" s="84" t="str">
        <f>N13</f>
        <v>Univ HS of Sci &amp; Engineering</v>
      </c>
      <c r="S11" s="253"/>
      <c r="T11" s="254" t="b">
        <v>0</v>
      </c>
      <c r="U11" s="87" t="str">
        <f>_xludf.IFS(S11="",0,(S11-S10)&gt;0,S11+100,(S11-S10)=0,S11+50,(S11-S10)&lt;0,S11)</f>
        <v>#NAME?</v>
      </c>
      <c r="V11" s="38"/>
      <c r="W11" s="73">
        <f t="shared" si="8"/>
        <v>4</v>
      </c>
      <c r="X11" s="249" t="s">
        <v>13</v>
      </c>
      <c r="Y11" s="249" t="s">
        <v>233</v>
      </c>
      <c r="Z11" s="250" t="str">
        <f t="shared" si="2"/>
        <v>Division 7 (SASE)</v>
      </c>
      <c r="AA11" s="250" t="str">
        <f t="shared" si="3"/>
        <v>#NAME?</v>
      </c>
      <c r="AB11" s="38" t="str">
        <f t="shared" si="4"/>
        <v>#NAME?</v>
      </c>
      <c r="AC11" s="77" t="str">
        <f t="shared" si="1"/>
        <v>Fairfield Warde HS</v>
      </c>
      <c r="AD11" s="38"/>
      <c r="AE11" s="78">
        <f t="shared" si="9"/>
        <v>4</v>
      </c>
      <c r="AF11" s="79">
        <v>0.0</v>
      </c>
      <c r="AG11" s="92"/>
      <c r="AH11" s="98" t="str">
        <f>B32</f>
        <v>Division 7 (SASE)</v>
      </c>
      <c r="AI11" s="99" t="str">
        <f>SUM(E35:E40,I35:I40,M35:M40,Q35:Q40,U35:U40)</f>
        <v>#NAME?</v>
      </c>
      <c r="AJ11" s="99" t="str">
        <f t="shared" si="5"/>
        <v>#NAME?</v>
      </c>
    </row>
    <row r="12" ht="15.75" customHeight="1">
      <c r="A12" s="38"/>
      <c r="B12" s="68" t="str">
        <f t="shared" si="10"/>
        <v>The Open Spot</v>
      </c>
      <c r="C12" s="245"/>
      <c r="D12" s="246" t="b">
        <v>0</v>
      </c>
      <c r="E12" s="71" t="str">
        <f>_xludf.IFS(C12="",0,(C12-C13)&gt;0,C12+100,(C12-C13)=0,C12+50,(C12-C13)&lt;0,C12)</f>
        <v>#NAME?</v>
      </c>
      <c r="F12" s="68" t="str">
        <f>B8</f>
        <v>E. O. Smith HS Team A</v>
      </c>
      <c r="G12" s="245"/>
      <c r="H12" s="246" t="b">
        <v>0</v>
      </c>
      <c r="I12" s="71" t="str">
        <f>_xludf.IFS(G12="",0,(G12-G13)&gt;0,G12+100,(G12-G13)=0,G12+50,(G12-G13)&lt;0,G12)</f>
        <v>#NAME?</v>
      </c>
      <c r="J12" s="68" t="str">
        <f>F8</f>
        <v>Univ HS of Sci &amp; Engineering</v>
      </c>
      <c r="K12" s="245"/>
      <c r="L12" s="246" t="b">
        <v>0</v>
      </c>
      <c r="M12" s="71" t="str">
        <f>_xludf.IFS(K12="",0,(K12-K13)&gt;0,K12+100,(K12-K13)=0,K12+50,(K12-K13)&lt;0,K12)</f>
        <v>#NAME?</v>
      </c>
      <c r="N12" s="68" t="str">
        <f>J9</f>
        <v>The Open Spot</v>
      </c>
      <c r="O12" s="245"/>
      <c r="P12" s="246" t="b">
        <v>0</v>
      </c>
      <c r="Q12" s="71" t="str">
        <f>_xludf.IFS(O12="",0,(O12-O13)&gt;0,O12+100,(O12-O13)=0,O12+50,(O12-O13)&lt;0,O12)</f>
        <v>#NAME?</v>
      </c>
      <c r="R12" s="68" t="str">
        <f>N11</f>
        <v>Rocky Hill HS Team B</v>
      </c>
      <c r="S12" s="247"/>
      <c r="T12" s="248" t="b">
        <v>0</v>
      </c>
      <c r="U12" s="71" t="str">
        <f>_xludf.IFS(S12="",0,(S12-S13)&gt;0,S12+100,(S12-S13)=0,S12+50,(S12-S13)&lt;0,S12)</f>
        <v>#NAME?</v>
      </c>
      <c r="V12" s="38"/>
      <c r="W12" s="73">
        <f t="shared" si="8"/>
        <v>5</v>
      </c>
      <c r="X12" s="249" t="s">
        <v>232</v>
      </c>
      <c r="Y12" s="255" t="s">
        <v>54</v>
      </c>
      <c r="Z12" s="250" t="str">
        <f t="shared" si="2"/>
        <v>Division 7 (SASE)</v>
      </c>
      <c r="AA12" s="250" t="str">
        <f t="shared" si="3"/>
        <v>#NAME?</v>
      </c>
      <c r="AB12" s="38" t="str">
        <f t="shared" si="4"/>
        <v>#NAME?</v>
      </c>
      <c r="AC12" s="77" t="str">
        <f t="shared" si="1"/>
        <v>Cheshire HS Team A</v>
      </c>
      <c r="AD12" s="38"/>
      <c r="AE12" s="78">
        <f t="shared" si="9"/>
        <v>5</v>
      </c>
      <c r="AF12" s="79">
        <v>0.0</v>
      </c>
      <c r="AG12" s="92"/>
      <c r="AH12" s="256" t="str">
        <f>B41</f>
        <v>Division 9 (LC)</v>
      </c>
      <c r="AI12" s="257" t="str">
        <f>SUM(E44:E49,I44:I49,M44:M49,Q44:Q49,U44:U49)</f>
        <v>#NAME?</v>
      </c>
      <c r="AJ12" s="257" t="str">
        <f t="shared" si="5"/>
        <v>#NAME?</v>
      </c>
    </row>
    <row r="13" ht="15.75" customHeight="1">
      <c r="A13" s="38"/>
      <c r="B13" s="84" t="str">
        <f>X37</f>
        <v>Rocky Hill HS Team B</v>
      </c>
      <c r="C13" s="251"/>
      <c r="D13" s="252" t="b">
        <v>0</v>
      </c>
      <c r="E13" s="87" t="str">
        <f>_xludf.IFS(C13="",0,(C13-C12)&gt;0,C13+100,(C13-C12)=0,C13+50,(C13-C12)&lt;0,C13)</f>
        <v>#NAME?</v>
      </c>
      <c r="F13" s="84" t="str">
        <f>B11</f>
        <v>Pomperaug Regional HS</v>
      </c>
      <c r="G13" s="251"/>
      <c r="H13" s="252" t="b">
        <v>0</v>
      </c>
      <c r="I13" s="87" t="str">
        <f>_xludf.IFS(G13="",0,(G13-G12)&gt;0,G13+100,(G13-G12)=0,G13+50,(G13-G12)&lt;0,G13)</f>
        <v>#NAME?</v>
      </c>
      <c r="J13" s="84" t="str">
        <f>F11</f>
        <v>Southington HS Team A</v>
      </c>
      <c r="K13" s="251"/>
      <c r="L13" s="252" t="b">
        <v>0</v>
      </c>
      <c r="M13" s="87" t="str">
        <f>_xludf.IFS(K13="",0,(K13-K12)&gt;0,K13+100,(K13-K12)=0,K13+50,(K13-K12)&lt;0,K13)</f>
        <v>#NAME?</v>
      </c>
      <c r="N13" s="84" t="str">
        <f>J12</f>
        <v>Univ HS of Sci &amp; Engineering</v>
      </c>
      <c r="O13" s="251"/>
      <c r="P13" s="252" t="b">
        <v>0</v>
      </c>
      <c r="Q13" s="87" t="str">
        <f>_xludf.IFS(O13="",0,(O13-O12)&gt;0,O13+100,(O13-O12)=0,O13+50,(O13-O12)&lt;0,O13)</f>
        <v>#NAME?</v>
      </c>
      <c r="R13" s="84" t="str">
        <f>N8</f>
        <v>Southington HS Team A</v>
      </c>
      <c r="S13" s="253"/>
      <c r="T13" s="254" t="b">
        <v>0</v>
      </c>
      <c r="U13" s="87" t="str">
        <f>_xludf.IFS(S13="",0,(S13-S12)&gt;0,S13+100,(S13-S12)=0,S13+50,(S13-S12)&lt;0,S13)</f>
        <v>#NAME?</v>
      </c>
      <c r="V13" s="38"/>
      <c r="W13" s="73">
        <f t="shared" si="8"/>
        <v>6</v>
      </c>
      <c r="X13" s="249" t="s">
        <v>84</v>
      </c>
      <c r="Y13" s="249" t="s">
        <v>55</v>
      </c>
      <c r="Z13" s="250" t="str">
        <f t="shared" si="2"/>
        <v>Division 5 (SHPE)</v>
      </c>
      <c r="AA13" s="250" t="str">
        <f t="shared" si="3"/>
        <v>#NAME?</v>
      </c>
      <c r="AB13" s="38" t="str">
        <f t="shared" si="4"/>
        <v>#NAME?</v>
      </c>
      <c r="AC13" s="77" t="str">
        <f t="shared" si="1"/>
        <v>Staples HS</v>
      </c>
      <c r="AD13" s="38"/>
      <c r="AE13" s="78">
        <f t="shared" si="9"/>
        <v>6</v>
      </c>
      <c r="AF13" s="79">
        <v>0.0</v>
      </c>
      <c r="AG13" s="92"/>
      <c r="AH13" s="38"/>
      <c r="AI13" s="42"/>
      <c r="AJ13" s="42"/>
    </row>
    <row r="14" ht="15.75" customHeight="1">
      <c r="A14" s="38"/>
      <c r="B14" s="258" t="s">
        <v>234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1"/>
      <c r="V14" s="38"/>
      <c r="W14" s="73">
        <f t="shared" si="8"/>
        <v>7</v>
      </c>
      <c r="X14" s="249" t="s">
        <v>61</v>
      </c>
      <c r="Y14" s="249" t="s">
        <v>229</v>
      </c>
      <c r="Z14" s="250" t="str">
        <f t="shared" si="2"/>
        <v>Division 1 (EA)</v>
      </c>
      <c r="AA14" s="250" t="str">
        <f t="shared" si="3"/>
        <v>#NAME?</v>
      </c>
      <c r="AB14" s="38" t="str">
        <f t="shared" si="4"/>
        <v>#NAME?</v>
      </c>
      <c r="AC14" s="77" t="str">
        <f t="shared" si="1"/>
        <v>Farmington HS</v>
      </c>
      <c r="AD14" s="38"/>
      <c r="AE14" s="78">
        <f t="shared" si="9"/>
        <v>7</v>
      </c>
      <c r="AF14" s="79">
        <v>0.0</v>
      </c>
      <c r="AG14" s="92"/>
      <c r="AH14" s="38"/>
      <c r="AI14" s="42"/>
      <c r="AJ14" s="42"/>
    </row>
    <row r="15" ht="15.75" customHeight="1">
      <c r="A15" s="38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38"/>
      <c r="W15" s="73">
        <f t="shared" si="8"/>
        <v>8</v>
      </c>
      <c r="X15" s="249" t="s">
        <v>235</v>
      </c>
      <c r="Y15" s="249" t="s">
        <v>236</v>
      </c>
      <c r="Z15" s="250" t="str">
        <f t="shared" si="2"/>
        <v>Division 9 (LC)</v>
      </c>
      <c r="AA15" s="250" t="str">
        <f t="shared" si="3"/>
        <v>#NAME?</v>
      </c>
      <c r="AB15" s="38" t="str">
        <f t="shared" si="4"/>
        <v>#NAME?</v>
      </c>
      <c r="AC15" s="77" t="str">
        <f t="shared" si="1"/>
        <v>Rocky Hill HS Team A</v>
      </c>
      <c r="AD15" s="38"/>
      <c r="AE15" s="78">
        <f t="shared" si="9"/>
        <v>8</v>
      </c>
      <c r="AF15" s="79">
        <v>0.0</v>
      </c>
      <c r="AG15" s="92"/>
      <c r="AH15" s="38"/>
      <c r="AI15" s="42"/>
      <c r="AJ15" s="42"/>
    </row>
    <row r="16" ht="15.75" customHeight="1">
      <c r="A16" s="38"/>
      <c r="B16" s="122" t="s">
        <v>124</v>
      </c>
      <c r="C16" s="259" t="s">
        <v>125</v>
      </c>
      <c r="D16" s="259" t="s">
        <v>126</v>
      </c>
      <c r="E16" s="124" t="s">
        <v>127</v>
      </c>
      <c r="F16" s="122" t="s">
        <v>124</v>
      </c>
      <c r="G16" s="259" t="s">
        <v>125</v>
      </c>
      <c r="H16" s="259" t="s">
        <v>126</v>
      </c>
      <c r="I16" s="124" t="s">
        <v>127</v>
      </c>
      <c r="J16" s="122" t="s">
        <v>124</v>
      </c>
      <c r="K16" s="259" t="s">
        <v>125</v>
      </c>
      <c r="L16" s="259" t="s">
        <v>126</v>
      </c>
      <c r="M16" s="124" t="s">
        <v>127</v>
      </c>
      <c r="N16" s="122" t="s">
        <v>124</v>
      </c>
      <c r="O16" s="259" t="s">
        <v>125</v>
      </c>
      <c r="P16" s="259" t="s">
        <v>126</v>
      </c>
      <c r="Q16" s="124" t="s">
        <v>127</v>
      </c>
      <c r="R16" s="122" t="s">
        <v>124</v>
      </c>
      <c r="S16" s="259" t="s">
        <v>125</v>
      </c>
      <c r="T16" s="259" t="s">
        <v>126</v>
      </c>
      <c r="U16" s="124" t="s">
        <v>127</v>
      </c>
      <c r="V16" s="38"/>
      <c r="W16" s="73">
        <f t="shared" si="8"/>
        <v>9</v>
      </c>
      <c r="X16" s="249" t="s">
        <v>71</v>
      </c>
      <c r="Y16" s="249" t="s">
        <v>60</v>
      </c>
      <c r="Z16" s="250" t="str">
        <f t="shared" si="2"/>
        <v>Division 9 (LC)</v>
      </c>
      <c r="AA16" s="250" t="str">
        <f t="shared" si="3"/>
        <v>#NAME?</v>
      </c>
      <c r="AB16" s="38" t="str">
        <f t="shared" si="4"/>
        <v>#NAME?</v>
      </c>
      <c r="AC16" s="77" t="str">
        <f t="shared" si="1"/>
        <v>New Canaan HS</v>
      </c>
      <c r="AD16" s="38"/>
      <c r="AE16" s="78">
        <f t="shared" si="9"/>
        <v>9</v>
      </c>
      <c r="AF16" s="79">
        <v>0.0</v>
      </c>
      <c r="AG16" s="80"/>
      <c r="AH16" s="38"/>
      <c r="AI16" s="42"/>
      <c r="AJ16" s="42"/>
    </row>
    <row r="17" ht="15.75" customHeight="1">
      <c r="A17" s="38"/>
      <c r="B17" s="125" t="str">
        <f>X9</f>
        <v>Greenwich HS Team A</v>
      </c>
      <c r="C17" s="245"/>
      <c r="D17" s="260" t="b">
        <v>0</v>
      </c>
      <c r="E17" s="127" t="str">
        <f>_xludf.IFS(C17="",0,(C17-C18)&gt;0,C17+100,(C17-C18)=0,C17+50,(C17-C18)&lt;0,C17)</f>
        <v>#NAME?</v>
      </c>
      <c r="F17" s="125" t="str">
        <f>B19</f>
        <v>Newtown HS</v>
      </c>
      <c r="G17" s="245"/>
      <c r="H17" s="260" t="b">
        <v>0</v>
      </c>
      <c r="I17" s="127" t="str">
        <f>_xludf.IFS(G17="",0,(G17-G18)&gt;0,G17+100,(G17-G18)=0,G17+50,(G17-G18)&lt;0,G17)</f>
        <v>#NAME?</v>
      </c>
      <c r="J17" s="125" t="str">
        <f>F21</f>
        <v>Greenwich HS Team A</v>
      </c>
      <c r="K17" s="245"/>
      <c r="L17" s="260" t="b">
        <v>0</v>
      </c>
      <c r="M17" s="127" t="str">
        <f>_xludf.IFS(K17="",0,(K17-K18)&gt;0,K17+100,(K17-K18)=0,K17+50,(K17-K18)&lt;0,K17)</f>
        <v>#NAME?</v>
      </c>
      <c r="N17" s="125" t="str">
        <f>J22</f>
        <v>New Canaan HS</v>
      </c>
      <c r="O17" s="245"/>
      <c r="P17" s="260" t="b">
        <v>0</v>
      </c>
      <c r="Q17" s="127" t="str">
        <f>_xludf.IFS(O17="",0,(O17-O18)&gt;0,O17+100,(O17-O18)=0,O17+50,(O17-O18)&lt;0,O17)</f>
        <v>#NAME?</v>
      </c>
      <c r="R17" s="125" t="str">
        <f>N21</f>
        <v>The Loomis Chaffee School</v>
      </c>
      <c r="S17" s="261"/>
      <c r="T17" s="260" t="b">
        <v>0</v>
      </c>
      <c r="U17" s="127" t="str">
        <f>_xludf.IFS(S17="",0,(S17-S18)&gt;0,S17+100,(S17-S18)=0,S17+50,(S17-S18)&lt;0,S17)</f>
        <v>#NAME?</v>
      </c>
      <c r="V17" s="38"/>
      <c r="W17" s="73">
        <f t="shared" si="8"/>
        <v>10</v>
      </c>
      <c r="X17" s="249" t="s">
        <v>237</v>
      </c>
      <c r="Y17" s="249" t="s">
        <v>12</v>
      </c>
      <c r="Z17" s="250" t="str">
        <f t="shared" si="2"/>
        <v>Division 9 (LC)</v>
      </c>
      <c r="AA17" s="250" t="str">
        <f t="shared" si="3"/>
        <v>#NAME?</v>
      </c>
      <c r="AB17" s="38" t="str">
        <f t="shared" si="4"/>
        <v>#NAME?</v>
      </c>
      <c r="AC17" s="77" t="str">
        <f t="shared" si="1"/>
        <v>Southington HS Team A</v>
      </c>
      <c r="AD17" s="38"/>
      <c r="AE17" s="78">
        <f t="shared" si="9"/>
        <v>10</v>
      </c>
      <c r="AF17" s="79">
        <v>0.0</v>
      </c>
      <c r="AG17" s="80"/>
      <c r="AH17" s="38"/>
      <c r="AI17" s="42"/>
      <c r="AJ17" s="42"/>
    </row>
    <row r="18" ht="15.75" customHeight="1">
      <c r="A18" s="38"/>
      <c r="B18" s="128" t="str">
        <f>X16</f>
        <v>New Canaan HS</v>
      </c>
      <c r="C18" s="251"/>
      <c r="D18" s="262" t="b">
        <v>0</v>
      </c>
      <c r="E18" s="130" t="str">
        <f>_xludf.IFS(C18="",0,(C18-C17)&gt;0,C18+100,(C18-C17)=0,C18+50,(C18-C17)&lt;0,C18)</f>
        <v>#NAME?</v>
      </c>
      <c r="F18" s="128" t="str">
        <f>B22</f>
        <v>Southington HS Team B</v>
      </c>
      <c r="G18" s="251"/>
      <c r="H18" s="262" t="b">
        <v>0</v>
      </c>
      <c r="I18" s="130" t="str">
        <f>_xludf.IFS(G18="",0,(G18-G17)&gt;0,G18+100,(G18-G17)=0,G18+50,(G18-G17)&lt;0,G18)</f>
        <v>#NAME?</v>
      </c>
      <c r="J18" s="128" t="str">
        <f>F19</f>
        <v>The Loomis Chaffee School</v>
      </c>
      <c r="K18" s="251"/>
      <c r="L18" s="262" t="b">
        <v>0</v>
      </c>
      <c r="M18" s="130" t="str">
        <f>_xludf.IFS(K18="",0,(K18-K17)&gt;0,K18+100,(K18-K17)=0,K18+50,(K18-K17)&lt;0,K18)</f>
        <v>#NAME?</v>
      </c>
      <c r="N18" s="128" t="str">
        <f>J20</f>
        <v>Amity Regional HS</v>
      </c>
      <c r="O18" s="251"/>
      <c r="P18" s="262" t="b">
        <v>0</v>
      </c>
      <c r="Q18" s="130" t="str">
        <f>_xludf.IFS(O18="",0,(O18-O17)&gt;0,O18+100,(O18-O17)=0,O18+50,(O18-O17)&lt;0,O18)</f>
        <v>#NAME?</v>
      </c>
      <c r="R18" s="128" t="str">
        <f t="shared" ref="R18:R19" si="11">N18</f>
        <v>Amity Regional HS</v>
      </c>
      <c r="S18" s="253"/>
      <c r="T18" s="262" t="b">
        <v>0</v>
      </c>
      <c r="U18" s="130" t="str">
        <f>_xludf.IFS(S18="",0,(S18-S17)&gt;0,S18+100,(S18-S17)=0,S18+50,(S18-S17)&lt;0,S18)</f>
        <v>#NAME?</v>
      </c>
      <c r="V18" s="38"/>
      <c r="W18" s="73">
        <f t="shared" si="8"/>
        <v>11</v>
      </c>
      <c r="X18" s="255" t="s">
        <v>238</v>
      </c>
      <c r="Y18" s="249" t="s">
        <v>13</v>
      </c>
      <c r="Z18" s="250" t="str">
        <f t="shared" si="2"/>
        <v>Division 7 (SASE)</v>
      </c>
      <c r="AA18" s="250" t="str">
        <f t="shared" si="3"/>
        <v>#NAME?</v>
      </c>
      <c r="AB18" s="38" t="str">
        <f t="shared" si="4"/>
        <v>#NAME?</v>
      </c>
      <c r="AC18" s="77" t="str">
        <f t="shared" si="1"/>
        <v>Univ HS of Sci &amp; Engineering</v>
      </c>
      <c r="AD18" s="38"/>
      <c r="AE18" s="78">
        <f t="shared" si="9"/>
        <v>11</v>
      </c>
      <c r="AF18" s="79">
        <v>0.0</v>
      </c>
      <c r="AG18" s="80"/>
      <c r="AH18" s="38"/>
      <c r="AI18" s="42"/>
      <c r="AJ18" s="42"/>
    </row>
    <row r="19" ht="15.75" customHeight="1">
      <c r="A19" s="38"/>
      <c r="B19" s="125" t="str">
        <f>X19</f>
        <v>Newtown HS</v>
      </c>
      <c r="C19" s="245"/>
      <c r="D19" s="260" t="b">
        <v>0</v>
      </c>
      <c r="E19" s="127" t="str">
        <f>_xludf.IFS(C19="",0,(C19-C20)&gt;0,C19+100,(C19-C20)=0,C19+50,(C19-C20)&lt;0,C19)</f>
        <v>#NAME?</v>
      </c>
      <c r="F19" s="125" t="str">
        <f>B21</f>
        <v>The Loomis Chaffee School</v>
      </c>
      <c r="G19" s="245"/>
      <c r="H19" s="260" t="b">
        <v>0</v>
      </c>
      <c r="I19" s="127" t="str">
        <f>_xludf.IFS(G19="",0,(G19-G20)&gt;0,G19+100,(G19-G20)=0,G19+50,(G19-G20)&lt;0,G19)</f>
        <v>#NAME?</v>
      </c>
      <c r="J19" s="125" t="str">
        <f>F18</f>
        <v>Southington HS Team B</v>
      </c>
      <c r="K19" s="245"/>
      <c r="L19" s="260" t="b">
        <v>0</v>
      </c>
      <c r="M19" s="127" t="str">
        <f>_xludf.IFS(K19="",0,(K19-K20)&gt;0,K19+100,(K19-K20)=0,K19+50,(K19-K20)&lt;0,K19)</f>
        <v>#NAME?</v>
      </c>
      <c r="N19" s="125" t="str">
        <f>J17</f>
        <v>Greenwich HS Team A</v>
      </c>
      <c r="O19" s="245"/>
      <c r="P19" s="260" t="b">
        <v>0</v>
      </c>
      <c r="Q19" s="127" t="str">
        <f>_xludf.IFS(O19="",0,(O19-O20)&gt;0,O19+100,(O19-O20)=0,O19+50,(O19-O20)&lt;0,O19)</f>
        <v>#NAME?</v>
      </c>
      <c r="R19" s="125" t="str">
        <f t="shared" si="11"/>
        <v>Greenwich HS Team A</v>
      </c>
      <c r="S19" s="247"/>
      <c r="T19" s="260" t="b">
        <v>0</v>
      </c>
      <c r="U19" s="127" t="str">
        <f>_xludf.IFS(S19="",0,(S19-S20)&gt;0,S19+100,(S19-S20)=0,S19+50,(S19-S20)&lt;0,S19)</f>
        <v>#NAME?</v>
      </c>
      <c r="V19" s="38"/>
      <c r="W19" s="73">
        <f t="shared" si="8"/>
        <v>12</v>
      </c>
      <c r="X19" s="249" t="s">
        <v>73</v>
      </c>
      <c r="Y19" s="249" t="s">
        <v>61</v>
      </c>
      <c r="Z19" s="250" t="str">
        <f t="shared" si="2"/>
        <v>Division 7 (SASE)</v>
      </c>
      <c r="AA19" s="250" t="str">
        <f t="shared" si="3"/>
        <v>#NAME?</v>
      </c>
      <c r="AB19" s="38" t="str">
        <f t="shared" si="4"/>
        <v>#NAME?</v>
      </c>
      <c r="AC19" s="77" t="str">
        <f t="shared" si="1"/>
        <v>Newtown HS</v>
      </c>
      <c r="AD19" s="38"/>
      <c r="AE19" s="78">
        <f t="shared" si="9"/>
        <v>12</v>
      </c>
      <c r="AF19" s="79">
        <v>0.0</v>
      </c>
      <c r="AG19" s="80"/>
      <c r="AH19" s="38"/>
      <c r="AI19" s="42"/>
      <c r="AJ19" s="42"/>
    </row>
    <row r="20" ht="15.75" customHeight="1">
      <c r="A20" s="38"/>
      <c r="B20" s="128" t="str">
        <f>X26</f>
        <v>Amity Regional HS</v>
      </c>
      <c r="C20" s="251"/>
      <c r="D20" s="262" t="b">
        <v>0</v>
      </c>
      <c r="E20" s="130" t="str">
        <f>_xludf.IFS(C20="",0,(C20-C19)&gt;0,C20+100,(C20-C19)=0,C20+50,(C20-C19)&lt;0,C20)</f>
        <v>#NAME?</v>
      </c>
      <c r="F20" s="128" t="str">
        <f>B18</f>
        <v>New Canaan HS</v>
      </c>
      <c r="G20" s="251"/>
      <c r="H20" s="262" t="b">
        <v>0</v>
      </c>
      <c r="I20" s="130" t="str">
        <f>_xludf.IFS(G20="",0,(G20-G19)&gt;0,G20+100,(G20-G19)=0,G20+50,(G20-G19)&lt;0,G20)</f>
        <v>#NAME?</v>
      </c>
      <c r="J20" s="128" t="str">
        <f>F22</f>
        <v>Amity Regional HS</v>
      </c>
      <c r="K20" s="251"/>
      <c r="L20" s="262" t="b">
        <v>0</v>
      </c>
      <c r="M20" s="130" t="str">
        <f>_xludf.IFS(K20="",0,(K20-K19)&gt;0,K20+100,(K20-K19)=0,K20+50,(K20-K19)&lt;0,K20)</f>
        <v>#NAME?</v>
      </c>
      <c r="N20" s="128" t="str">
        <f>J19</f>
        <v>Southington HS Team B</v>
      </c>
      <c r="O20" s="251"/>
      <c r="P20" s="262" t="b">
        <v>0</v>
      </c>
      <c r="Q20" s="130" t="str">
        <f>_xludf.IFS(O20="",0,(O20-O19)&gt;0,O20+100,(O20-O19)=0,O20+50,(O20-O19)&lt;0,O20)</f>
        <v>#NAME?</v>
      </c>
      <c r="R20" s="128" t="str">
        <f>N22</f>
        <v>Newtown HS</v>
      </c>
      <c r="S20" s="253"/>
      <c r="T20" s="262" t="b">
        <v>0</v>
      </c>
      <c r="U20" s="130" t="str">
        <f>_xludf.IFS(S20="",0,(S20-S19)&gt;0,S20+100,(S20-S19)=0,S20+50,(S20-S19)&lt;0,S20)</f>
        <v>#NAME?</v>
      </c>
      <c r="V20" s="38"/>
      <c r="W20" s="73">
        <f t="shared" si="8"/>
        <v>13</v>
      </c>
      <c r="X20" s="249" t="s">
        <v>239</v>
      </c>
      <c r="Y20" s="249" t="s">
        <v>231</v>
      </c>
      <c r="Z20" s="250" t="str">
        <f t="shared" si="2"/>
        <v>Division 5 (SHPE)</v>
      </c>
      <c r="AA20" s="250" t="str">
        <f t="shared" si="3"/>
        <v>#NAME?</v>
      </c>
      <c r="AB20" s="38" t="str">
        <f t="shared" si="4"/>
        <v>#NAME?</v>
      </c>
      <c r="AC20" s="77" t="str">
        <f t="shared" si="1"/>
        <v>Greenwich HS Team B</v>
      </c>
      <c r="AD20" s="38"/>
      <c r="AE20" s="78">
        <f t="shared" si="9"/>
        <v>13</v>
      </c>
      <c r="AF20" s="79">
        <v>0.0</v>
      </c>
      <c r="AG20" s="80"/>
      <c r="AH20" s="38"/>
      <c r="AI20" s="42"/>
      <c r="AJ20" s="42"/>
    </row>
    <row r="21" ht="15.75" customHeight="1">
      <c r="A21" s="38"/>
      <c r="B21" s="125" t="str">
        <f>X29</f>
        <v>The Loomis Chaffee School</v>
      </c>
      <c r="C21" s="245"/>
      <c r="D21" s="260" t="b">
        <v>0</v>
      </c>
      <c r="E21" s="127" t="str">
        <f>_xludf.IFS(C21="",0,(C21-C22)&gt;0,C21+100,(C21-C22)=0,C21+50,(C21-C22)&lt;0,C21)</f>
        <v>#NAME?</v>
      </c>
      <c r="F21" s="125" t="str">
        <f>B17</f>
        <v>Greenwich HS Team A</v>
      </c>
      <c r="G21" s="245"/>
      <c r="H21" s="260" t="b">
        <v>0</v>
      </c>
      <c r="I21" s="127" t="str">
        <f>_xludf.IFS(G21="",0,(G21-G22)&gt;0,G21+100,(G21-G22)=0,G21+50,(G21-G22)&lt;0,G21)</f>
        <v>#NAME?</v>
      </c>
      <c r="J21" s="125" t="str">
        <f>F17</f>
        <v>Newtown HS</v>
      </c>
      <c r="K21" s="245"/>
      <c r="L21" s="260" t="b">
        <v>0</v>
      </c>
      <c r="M21" s="127" t="str">
        <f>_xludf.IFS(K21="",0,(K21-K22)&gt;0,K21+100,(K21-K22)=0,K21+50,(K21-K22)&lt;0,K21)</f>
        <v>#NAME?</v>
      </c>
      <c r="N21" s="125" t="str">
        <f>J18</f>
        <v>The Loomis Chaffee School</v>
      </c>
      <c r="O21" s="245"/>
      <c r="P21" s="260" t="b">
        <v>0</v>
      </c>
      <c r="Q21" s="127" t="str">
        <f>_xludf.IFS(O21="",0,(O21-O22)&gt;0,O21+100,(O21-O22)=0,O21+50,(O21-O22)&lt;0,O21)</f>
        <v>#NAME?</v>
      </c>
      <c r="R21" s="125" t="str">
        <f>N20</f>
        <v>Southington HS Team B</v>
      </c>
      <c r="S21" s="247"/>
      <c r="T21" s="260" t="b">
        <v>0</v>
      </c>
      <c r="U21" s="127" t="str">
        <f>_xludf.IFS(S21="",0,(S21-S22)&gt;0,S21+100,(S21-S22)=0,S21+50,(S21-S22)&lt;0,S21)</f>
        <v>#NAME?</v>
      </c>
      <c r="V21" s="38"/>
      <c r="W21" s="73">
        <f t="shared" si="8"/>
        <v>14</v>
      </c>
      <c r="X21" s="249" t="s">
        <v>240</v>
      </c>
      <c r="Y21" s="249" t="s">
        <v>240</v>
      </c>
      <c r="Z21" s="250" t="str">
        <f t="shared" si="2"/>
        <v>Division 7 (SASE)</v>
      </c>
      <c r="AA21" s="250" t="str">
        <f t="shared" si="3"/>
        <v>#NAME?</v>
      </c>
      <c r="AB21" s="38" t="str">
        <f t="shared" si="4"/>
        <v>#NAME?</v>
      </c>
      <c r="AC21" s="77" t="str">
        <f t="shared" si="1"/>
        <v>Glastonbury HS Team B</v>
      </c>
      <c r="AD21" s="38"/>
      <c r="AE21" s="78">
        <f t="shared" si="9"/>
        <v>14</v>
      </c>
      <c r="AF21" s="79">
        <v>0.0</v>
      </c>
      <c r="AG21" s="80"/>
      <c r="AH21" s="38"/>
      <c r="AI21" s="42"/>
      <c r="AJ21" s="42"/>
    </row>
    <row r="22" ht="15.75" customHeight="1">
      <c r="A22" s="38"/>
      <c r="B22" s="125" t="str">
        <f>X36</f>
        <v>Southington HS Team B</v>
      </c>
      <c r="C22" s="245"/>
      <c r="D22" s="260" t="b">
        <v>0</v>
      </c>
      <c r="E22" s="127" t="str">
        <f>_xludf.IFS(C22="",0,(C22-C21)&gt;0,C22+100,(C22-C21)=0,C22+50,(C22-C21)&lt;0,C22)</f>
        <v>#NAME?</v>
      </c>
      <c r="F22" s="125" t="str">
        <f>B20</f>
        <v>Amity Regional HS</v>
      </c>
      <c r="G22" s="245"/>
      <c r="H22" s="260" t="b">
        <v>0</v>
      </c>
      <c r="I22" s="127" t="str">
        <f>_xludf.IFS(G22="",0,(G22-G21)&gt;0,G22+100,(G22-G21)=0,G22+50,(G22-G21)&lt;0,G22)</f>
        <v>#NAME?</v>
      </c>
      <c r="J22" s="125" t="str">
        <f>F20</f>
        <v>New Canaan HS</v>
      </c>
      <c r="K22" s="245"/>
      <c r="L22" s="260" t="b">
        <v>0</v>
      </c>
      <c r="M22" s="127" t="str">
        <f>_xludf.IFS(K22="",0,(K22-K21)&gt;0,K22+100,(K22-K21)=0,K22+50,(K22-K21)&lt;0,K22)</f>
        <v>#NAME?</v>
      </c>
      <c r="N22" s="125" t="str">
        <f>J21</f>
        <v>Newtown HS</v>
      </c>
      <c r="O22" s="245"/>
      <c r="P22" s="260" t="b">
        <v>0</v>
      </c>
      <c r="Q22" s="127" t="str">
        <f>_xludf.IFS(O22="",0,(O22-O21)&gt;0,O22+100,(O22-O21)=0,O22+50,(O22-O21)&lt;0,O22)</f>
        <v>#NAME?</v>
      </c>
      <c r="R22" s="125" t="str">
        <f>N17</f>
        <v>New Canaan HS</v>
      </c>
      <c r="S22" s="253"/>
      <c r="T22" s="260" t="b">
        <v>0</v>
      </c>
      <c r="U22" s="127" t="str">
        <f>_xludf.IFS(S22="",0,(S22-S21)&gt;0,S22+100,(S22-S21)=0,S22+50,(S22-S21)&lt;0,S22)</f>
        <v>#NAME?</v>
      </c>
      <c r="V22" s="38"/>
      <c r="W22" s="73">
        <f t="shared" si="8"/>
        <v>15</v>
      </c>
      <c r="X22" s="249" t="s">
        <v>236</v>
      </c>
      <c r="Y22" s="249" t="s">
        <v>230</v>
      </c>
      <c r="Z22" s="250" t="str">
        <f t="shared" si="2"/>
        <v>Division 3 (SWE)</v>
      </c>
      <c r="AA22" s="250" t="str">
        <f t="shared" si="3"/>
        <v>#NAME?</v>
      </c>
      <c r="AB22" s="38" t="str">
        <f t="shared" si="4"/>
        <v>#NAME?</v>
      </c>
      <c r="AC22" s="77" t="str">
        <f t="shared" si="1"/>
        <v>E. O. Smith HS Team B</v>
      </c>
      <c r="AD22" s="38"/>
      <c r="AE22" s="78">
        <f t="shared" si="9"/>
        <v>15</v>
      </c>
      <c r="AF22" s="79">
        <v>0.0</v>
      </c>
      <c r="AG22" s="80"/>
      <c r="AH22" s="38"/>
      <c r="AI22" s="42"/>
      <c r="AJ22" s="42"/>
    </row>
    <row r="23" ht="15.75" customHeight="1">
      <c r="A23" s="38"/>
      <c r="B23" s="263" t="s">
        <v>241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7"/>
      <c r="V23" s="38"/>
      <c r="W23" s="73">
        <f t="shared" si="8"/>
        <v>16</v>
      </c>
      <c r="X23" s="249" t="s">
        <v>12</v>
      </c>
      <c r="Y23" s="249" t="s">
        <v>239</v>
      </c>
      <c r="Z23" s="250" t="str">
        <f t="shared" si="2"/>
        <v>Division 5 (SHPE)</v>
      </c>
      <c r="AA23" s="250" t="str">
        <f t="shared" si="3"/>
        <v>#NAME?</v>
      </c>
      <c r="AB23" s="38" t="str">
        <f t="shared" si="4"/>
        <v>#NAME?</v>
      </c>
      <c r="AC23" s="77" t="str">
        <f t="shared" si="1"/>
        <v>Fairfield Ludlowe HS</v>
      </c>
      <c r="AD23" s="38"/>
      <c r="AE23" s="78">
        <f t="shared" si="9"/>
        <v>16</v>
      </c>
      <c r="AF23" s="79">
        <v>0.0</v>
      </c>
      <c r="AG23" s="80"/>
      <c r="AH23" s="38"/>
      <c r="AI23" s="42"/>
      <c r="AJ23" s="42"/>
    </row>
    <row r="24" ht="15.75" customHeight="1">
      <c r="A24" s="38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5"/>
      <c r="V24" s="38"/>
      <c r="W24" s="73">
        <f t="shared" si="8"/>
        <v>17</v>
      </c>
      <c r="X24" s="255" t="s">
        <v>54</v>
      </c>
      <c r="Y24" s="255" t="s">
        <v>66</v>
      </c>
      <c r="Z24" s="250" t="str">
        <f t="shared" si="2"/>
        <v>Division 5 (SHPE)</v>
      </c>
      <c r="AA24" s="250" t="str">
        <f t="shared" si="3"/>
        <v>#NAME?</v>
      </c>
      <c r="AB24" s="38" t="str">
        <f t="shared" si="4"/>
        <v>#NAME?</v>
      </c>
      <c r="AC24" s="77" t="str">
        <f t="shared" si="1"/>
        <v>Choate Rosemary Hall</v>
      </c>
      <c r="AD24" s="38"/>
      <c r="AE24" s="119">
        <f t="shared" si="9"/>
        <v>17</v>
      </c>
      <c r="AF24" s="120">
        <v>0.0</v>
      </c>
      <c r="AG24" s="121"/>
      <c r="AH24" s="38"/>
      <c r="AI24" s="42"/>
      <c r="AJ24" s="42"/>
    </row>
    <row r="25" ht="15.75" customHeight="1">
      <c r="A25" s="38"/>
      <c r="B25" s="139" t="s">
        <v>124</v>
      </c>
      <c r="C25" s="264" t="s">
        <v>125</v>
      </c>
      <c r="D25" s="264" t="s">
        <v>126</v>
      </c>
      <c r="E25" s="141" t="s">
        <v>127</v>
      </c>
      <c r="F25" s="139" t="s">
        <v>124</v>
      </c>
      <c r="G25" s="264" t="s">
        <v>125</v>
      </c>
      <c r="H25" s="264" t="s">
        <v>126</v>
      </c>
      <c r="I25" s="141" t="s">
        <v>127</v>
      </c>
      <c r="J25" s="139" t="s">
        <v>124</v>
      </c>
      <c r="K25" s="264" t="s">
        <v>125</v>
      </c>
      <c r="L25" s="264" t="s">
        <v>126</v>
      </c>
      <c r="M25" s="141" t="s">
        <v>127</v>
      </c>
      <c r="N25" s="139" t="s">
        <v>124</v>
      </c>
      <c r="O25" s="264" t="s">
        <v>125</v>
      </c>
      <c r="P25" s="264" t="s">
        <v>126</v>
      </c>
      <c r="Q25" s="141" t="s">
        <v>127</v>
      </c>
      <c r="R25" s="139" t="s">
        <v>124</v>
      </c>
      <c r="S25" s="264" t="s">
        <v>125</v>
      </c>
      <c r="T25" s="264" t="s">
        <v>126</v>
      </c>
      <c r="U25" s="141" t="s">
        <v>127</v>
      </c>
      <c r="V25" s="38"/>
      <c r="W25" s="73">
        <f t="shared" si="8"/>
        <v>18</v>
      </c>
      <c r="X25" s="249" t="s">
        <v>55</v>
      </c>
      <c r="Y25" s="249" t="s">
        <v>71</v>
      </c>
      <c r="Z25" s="250" t="str">
        <f t="shared" si="2"/>
        <v>Division 3 (SWE)</v>
      </c>
      <c r="AA25" s="250" t="str">
        <f t="shared" si="3"/>
        <v>#NAME?</v>
      </c>
      <c r="AB25" s="38" t="str">
        <f t="shared" si="4"/>
        <v>#NAME?</v>
      </c>
      <c r="AC25" s="77" t="str">
        <f t="shared" si="1"/>
        <v>Conard HS</v>
      </c>
      <c r="AD25" s="38"/>
      <c r="AE25" s="119">
        <f t="shared" si="9"/>
        <v>18</v>
      </c>
      <c r="AF25" s="120">
        <v>0.0</v>
      </c>
      <c r="AG25" s="121"/>
      <c r="AH25" s="38"/>
      <c r="AI25" s="42"/>
      <c r="AJ25" s="42"/>
    </row>
    <row r="26" ht="15.75" customHeight="1">
      <c r="A26" s="38"/>
      <c r="B26" s="142" t="str">
        <f>X10</f>
        <v>Glastonbury HS Team A</v>
      </c>
      <c r="C26" s="245"/>
      <c r="D26" s="265" t="b">
        <v>0</v>
      </c>
      <c r="E26" s="144" t="str">
        <f>_xludf.IFS(C26="",0,(C26-C27)&gt;0,C26+100,(C26-C27)=0,C26+50,(C26-C27)&lt;0,C26)</f>
        <v>#NAME?</v>
      </c>
      <c r="F26" s="142" t="str">
        <f>B28</f>
        <v>Greenwich HS Team B</v>
      </c>
      <c r="G26" s="245"/>
      <c r="H26" s="265" t="b">
        <v>0</v>
      </c>
      <c r="I26" s="144" t="str">
        <f>_xludf.IFS(G26="",0,(G26-G27)&gt;0,G26+100,(G26-G27)=0,G26+50,(G26-G27)&lt;0,G26)</f>
        <v>#NAME?</v>
      </c>
      <c r="J26" s="142" t="str">
        <f>F30</f>
        <v>Glastonbury HS Team A</v>
      </c>
      <c r="K26" s="245"/>
      <c r="L26" s="265" t="b">
        <v>0</v>
      </c>
      <c r="M26" s="144" t="str">
        <f>_xludf.IFS(K26="",0,(K26-K27)&gt;0,K26+100,(K26-K27)=0,K26+50,(K26-K27)&lt;0,K26)</f>
        <v>#NAME?</v>
      </c>
      <c r="N26" s="142" t="str">
        <f>J31</f>
        <v>Rocky Hill HS Team A</v>
      </c>
      <c r="O26" s="245"/>
      <c r="P26" s="265" t="b">
        <v>0</v>
      </c>
      <c r="Q26" s="144" t="str">
        <f>_xludf.IFS(O26="",0,(O26-O27)&gt;0,O26+100,(O26-O27)=0,O26+50,(O26-O27)&lt;0,O26)</f>
        <v>#NAME?</v>
      </c>
      <c r="R26" s="142" t="str">
        <f>N30</f>
        <v>Waterford HS</v>
      </c>
      <c r="S26" s="261"/>
      <c r="T26" s="265" t="b">
        <v>0</v>
      </c>
      <c r="U26" s="144" t="str">
        <f>_xludf.IFS(S26="",0,(S26-S27)&gt;0,S26+100,(S26-S27)=0,S26+50,(S26-S27)&lt;0,S26)</f>
        <v>#NAME?</v>
      </c>
      <c r="V26" s="38"/>
      <c r="W26" s="73">
        <f t="shared" si="8"/>
        <v>19</v>
      </c>
      <c r="X26" s="249" t="s">
        <v>48</v>
      </c>
      <c r="Y26" s="249" t="s">
        <v>73</v>
      </c>
      <c r="Z26" s="250" t="str">
        <f t="shared" si="2"/>
        <v>Division 3 (SWE)</v>
      </c>
      <c r="AA26" s="250" t="str">
        <f t="shared" si="3"/>
        <v>#NAME?</v>
      </c>
      <c r="AB26" s="38" t="str">
        <f t="shared" si="4"/>
        <v>#NAME?</v>
      </c>
      <c r="AC26" s="77" t="str">
        <f t="shared" si="1"/>
        <v>Amity Regional HS</v>
      </c>
      <c r="AD26" s="38"/>
      <c r="AE26" s="119">
        <f t="shared" si="9"/>
        <v>19</v>
      </c>
      <c r="AF26" s="120">
        <v>0.0</v>
      </c>
      <c r="AG26" s="121"/>
      <c r="AH26" s="38"/>
      <c r="AI26" s="42"/>
      <c r="AJ26" s="42"/>
    </row>
    <row r="27" ht="15.75" customHeight="1">
      <c r="A27" s="38"/>
      <c r="B27" s="145" t="str">
        <f>X15</f>
        <v>Rocky Hill HS Team A</v>
      </c>
      <c r="C27" s="251"/>
      <c r="D27" s="266" t="b">
        <v>0</v>
      </c>
      <c r="E27" s="147" t="str">
        <f>_xludf.IFS(C27="",0,(C27-C26)&gt;0,C27+100,(C27-C26)=0,C27+50,(C27-C26)&lt;0,C27)</f>
        <v>#NAME?</v>
      </c>
      <c r="F27" s="145" t="str">
        <f>B31</f>
        <v>Hopkins School</v>
      </c>
      <c r="G27" s="251"/>
      <c r="H27" s="266" t="b">
        <v>0</v>
      </c>
      <c r="I27" s="147" t="str">
        <f>_xludf.IFS(G27="",0,(G27-G26)&gt;0,G27+100,(G27-G26)=0,G27+50,(G27-G26)&lt;0,G27)</f>
        <v>#NAME?</v>
      </c>
      <c r="J27" s="145" t="str">
        <f>F28</f>
        <v>Waterford HS</v>
      </c>
      <c r="K27" s="251"/>
      <c r="L27" s="266" t="b">
        <v>0</v>
      </c>
      <c r="M27" s="147" t="str">
        <f>_xludf.IFS(K27="",0,(K27-K26)&gt;0,K27+100,(K27-K26)=0,K27+50,(K27-K26)&lt;0,K27)</f>
        <v>#NAME?</v>
      </c>
      <c r="N27" s="145" t="str">
        <f>J29</f>
        <v>Conard HS</v>
      </c>
      <c r="O27" s="251"/>
      <c r="P27" s="266" t="b">
        <v>0</v>
      </c>
      <c r="Q27" s="147" t="str">
        <f>_xludf.IFS(O27="",0,(O27-O26)&gt;0,O27+100,(O27-O26)=0,O27+50,(O27-O26)&lt;0,O27)</f>
        <v>#NAME?</v>
      </c>
      <c r="R27" s="145" t="str">
        <f t="shared" ref="R27:R28" si="12">N27</f>
        <v>Conard HS</v>
      </c>
      <c r="S27" s="253"/>
      <c r="T27" s="266" t="b">
        <v>0</v>
      </c>
      <c r="U27" s="147" t="str">
        <f>_xludf.IFS(S27="",0,(S27-S26)&gt;0,S27+100,(S27-S26)=0,S27+50,(S27-S26)&lt;0,S27)</f>
        <v>#NAME?</v>
      </c>
      <c r="V27" s="38"/>
      <c r="W27" s="73">
        <f t="shared" si="8"/>
        <v>20</v>
      </c>
      <c r="X27" s="249" t="s">
        <v>77</v>
      </c>
      <c r="Y27" s="249" t="s">
        <v>77</v>
      </c>
      <c r="Z27" s="250" t="str">
        <f t="shared" si="2"/>
        <v>Division 1 (EA)</v>
      </c>
      <c r="AA27" s="250" t="str">
        <f t="shared" si="3"/>
        <v>#NAME?</v>
      </c>
      <c r="AB27" s="38" t="str">
        <f t="shared" si="4"/>
        <v>#NAME?</v>
      </c>
      <c r="AC27" s="77" t="str">
        <f t="shared" si="1"/>
        <v>Pomperaug Regional HS</v>
      </c>
      <c r="AD27" s="38"/>
      <c r="AE27" s="119">
        <f t="shared" si="9"/>
        <v>20</v>
      </c>
      <c r="AF27" s="120">
        <v>0.0</v>
      </c>
      <c r="AG27" s="121"/>
      <c r="AH27" s="38"/>
      <c r="AI27" s="42"/>
      <c r="AJ27" s="42"/>
    </row>
    <row r="28" ht="15.75" customHeight="1">
      <c r="A28" s="38"/>
      <c r="B28" s="142" t="str">
        <f>X20</f>
        <v>Greenwich HS Team B</v>
      </c>
      <c r="C28" s="245"/>
      <c r="D28" s="265" t="b">
        <v>0</v>
      </c>
      <c r="E28" s="144" t="str">
        <f>_xludf.IFS(C28="",0,(C28-C29)&gt;0,C28+100,(C28-C29)=0,C28+50,(C28-C29)&lt;0,C28)</f>
        <v>#NAME?</v>
      </c>
      <c r="F28" s="142" t="str">
        <f>B30</f>
        <v>Waterford HS</v>
      </c>
      <c r="G28" s="245"/>
      <c r="H28" s="265" t="b">
        <v>0</v>
      </c>
      <c r="I28" s="144" t="str">
        <f>_xludf.IFS(G28="",0,(G28-G29)&gt;0,G28+100,(G28-G29)=0,G28+50,(G28-G29)&lt;0,G28)</f>
        <v>#NAME?</v>
      </c>
      <c r="J28" s="142" t="str">
        <f>F27</f>
        <v>Hopkins School</v>
      </c>
      <c r="K28" s="245"/>
      <c r="L28" s="265" t="b">
        <v>0</v>
      </c>
      <c r="M28" s="144" t="str">
        <f>_xludf.IFS(K28="",0,(K28-K29)&gt;0,K28+100,(K28-K29)=0,K28+50,(K28-K29)&lt;0,K28)</f>
        <v>#NAME?</v>
      </c>
      <c r="N28" s="142" t="str">
        <f>J26</f>
        <v>Glastonbury HS Team A</v>
      </c>
      <c r="O28" s="245"/>
      <c r="P28" s="265" t="b">
        <v>0</v>
      </c>
      <c r="Q28" s="144" t="str">
        <f>_xludf.IFS(O28="",0,(O28-O29)&gt;0,O28+100,(O28-O29)=0,O28+50,(O28-O29)&lt;0,O28)</f>
        <v>#NAME?</v>
      </c>
      <c r="R28" s="142" t="str">
        <f t="shared" si="12"/>
        <v>Glastonbury HS Team A</v>
      </c>
      <c r="S28" s="247"/>
      <c r="T28" s="265" t="b">
        <v>0</v>
      </c>
      <c r="U28" s="144" t="str">
        <f>_xludf.IFS(S28="",0,(S28-S29)&gt;0,S28+100,(S28-S29)=0,S28+50,(S28-S29)&lt;0,S28)</f>
        <v>#NAME?</v>
      </c>
      <c r="V28" s="38"/>
      <c r="W28" s="73">
        <f t="shared" si="8"/>
        <v>21</v>
      </c>
      <c r="X28" s="249" t="s">
        <v>86</v>
      </c>
      <c r="Y28" s="249" t="s">
        <v>235</v>
      </c>
      <c r="Z28" s="250" t="str">
        <f t="shared" si="2"/>
        <v>Division 5 (SHPE)</v>
      </c>
      <c r="AA28" s="250" t="str">
        <f t="shared" si="3"/>
        <v>#NAME?</v>
      </c>
      <c r="AB28" s="38" t="str">
        <f t="shared" si="4"/>
        <v>#NAME?</v>
      </c>
      <c r="AC28" s="77" t="str">
        <f t="shared" si="1"/>
        <v>The Open Spot</v>
      </c>
      <c r="AD28" s="38"/>
      <c r="AE28" s="119">
        <f t="shared" si="9"/>
        <v>21</v>
      </c>
      <c r="AF28" s="120">
        <v>0.0</v>
      </c>
      <c r="AG28" s="121"/>
      <c r="AH28" s="38"/>
      <c r="AI28" s="42"/>
      <c r="AJ28" s="42"/>
    </row>
    <row r="29" ht="15.75" customHeight="1">
      <c r="A29" s="38"/>
      <c r="B29" s="145" t="str">
        <f>X25</f>
        <v>Conard HS</v>
      </c>
      <c r="C29" s="251"/>
      <c r="D29" s="266" t="b">
        <v>0</v>
      </c>
      <c r="E29" s="147" t="str">
        <f>_xludf.IFS(C29="",0,(C29-C28)&gt;0,C29+100,(C29-C28)=0,C29+50,(C29-C28)&lt;0,C29)</f>
        <v>#NAME?</v>
      </c>
      <c r="F29" s="145" t="str">
        <f>B27</f>
        <v>Rocky Hill HS Team A</v>
      </c>
      <c r="G29" s="251"/>
      <c r="H29" s="266" t="b">
        <v>0</v>
      </c>
      <c r="I29" s="147" t="str">
        <f>_xludf.IFS(G29="",0,(G29-G28)&gt;0,G29+100,(G29-G28)=0,G29+50,(G29-G28)&lt;0,G29)</f>
        <v>#NAME?</v>
      </c>
      <c r="J29" s="145" t="str">
        <f>F31</f>
        <v>Conard HS</v>
      </c>
      <c r="K29" s="251"/>
      <c r="L29" s="266" t="b">
        <v>0</v>
      </c>
      <c r="M29" s="147" t="str">
        <f>_xludf.IFS(K29="",0,(K29-K28)&gt;0,K29+100,(K29-K28)=0,K29+50,(K29-K28)&lt;0,K29)</f>
        <v>#NAME?</v>
      </c>
      <c r="N29" s="145" t="str">
        <f>J28</f>
        <v>Hopkins School</v>
      </c>
      <c r="O29" s="251"/>
      <c r="P29" s="266" t="b">
        <v>0</v>
      </c>
      <c r="Q29" s="147" t="str">
        <f>_xludf.IFS(O29="",0,(O29-O28)&gt;0,O29+100,(O29-O28)=0,O29+50,(O29-O28)&lt;0,O29)</f>
        <v>#NAME?</v>
      </c>
      <c r="R29" s="145" t="str">
        <f>N31</f>
        <v>Greenwich HS Team B</v>
      </c>
      <c r="S29" s="253"/>
      <c r="T29" s="266" t="b">
        <v>0</v>
      </c>
      <c r="U29" s="147" t="str">
        <f>_xludf.IFS(S29="",0,(S29-S28)&gt;0,S29+100,(S29-S28)=0,S29+50,(S29-S28)&lt;0,S29)</f>
        <v>#NAME?</v>
      </c>
      <c r="V29" s="38"/>
      <c r="W29" s="73">
        <f t="shared" si="8"/>
        <v>22</v>
      </c>
      <c r="X29" s="255" t="s">
        <v>85</v>
      </c>
      <c r="Y29" s="249" t="s">
        <v>242</v>
      </c>
      <c r="Z29" s="250" t="str">
        <f t="shared" si="2"/>
        <v>Division 1 (EA)</v>
      </c>
      <c r="AA29" s="250" t="str">
        <f t="shared" si="3"/>
        <v>#NAME?</v>
      </c>
      <c r="AB29" s="38" t="str">
        <f t="shared" si="4"/>
        <v>#NAME?</v>
      </c>
      <c r="AC29" s="77" t="str">
        <f t="shared" si="1"/>
        <v>The Loomis Chaffee School</v>
      </c>
      <c r="AD29" s="38"/>
      <c r="AE29" s="119">
        <f t="shared" si="9"/>
        <v>22</v>
      </c>
      <c r="AF29" s="120">
        <v>0.0</v>
      </c>
      <c r="AG29" s="121"/>
      <c r="AH29" s="38"/>
      <c r="AI29" s="42"/>
      <c r="AJ29" s="42"/>
    </row>
    <row r="30" ht="15.75" customHeight="1">
      <c r="A30" s="38"/>
      <c r="B30" s="142" t="str">
        <f>X30</f>
        <v>Waterford HS</v>
      </c>
      <c r="C30" s="245"/>
      <c r="D30" s="265" t="b">
        <v>0</v>
      </c>
      <c r="E30" s="144" t="str">
        <f>_xludf.IFS(C30="",0,(C30-C31)&gt;0,C30+100,(C30-C31)=0,C30+50,(C30-C31)&lt;0,C30)</f>
        <v>#NAME?</v>
      </c>
      <c r="F30" s="142" t="str">
        <f>B26</f>
        <v>Glastonbury HS Team A</v>
      </c>
      <c r="G30" s="245"/>
      <c r="H30" s="265" t="b">
        <v>0</v>
      </c>
      <c r="I30" s="144" t="str">
        <f>_xludf.IFS(G30="",0,(G30-G31)&gt;0,G30+100,(G30-G31)=0,G30+50,(G30-G31)&lt;0,G30)</f>
        <v>#NAME?</v>
      </c>
      <c r="J30" s="142" t="str">
        <f>F26</f>
        <v>Greenwich HS Team B</v>
      </c>
      <c r="K30" s="245"/>
      <c r="L30" s="265" t="b">
        <v>0</v>
      </c>
      <c r="M30" s="144" t="str">
        <f>_xludf.IFS(K30="",0,(K30-K31)&gt;0,K30+100,(K30-K31)=0,K30+50,(K30-K31)&lt;0,K30)</f>
        <v>#NAME?</v>
      </c>
      <c r="N30" s="142" t="str">
        <f>J27</f>
        <v>Waterford HS</v>
      </c>
      <c r="O30" s="245"/>
      <c r="P30" s="265" t="b">
        <v>0</v>
      </c>
      <c r="Q30" s="144" t="str">
        <f>_xludf.IFS(O30="",0,(O30-O31)&gt;0,O30+100,(O30-O31)=0,O30+50,(O30-O31)&lt;0,O30)</f>
        <v>#NAME?</v>
      </c>
      <c r="R30" s="142" t="str">
        <f>N29</f>
        <v>Hopkins School</v>
      </c>
      <c r="S30" s="247"/>
      <c r="T30" s="265" t="b">
        <v>0</v>
      </c>
      <c r="U30" s="144" t="str">
        <f>_xludf.IFS(S30="",0,(S30-S31)&gt;0,S30+100,(S30-S31)=0,S30+50,(S30-S31)&lt;0,S30)</f>
        <v>#NAME?</v>
      </c>
      <c r="V30" s="38"/>
      <c r="W30" s="73">
        <f t="shared" si="8"/>
        <v>23</v>
      </c>
      <c r="X30" s="249" t="s">
        <v>88</v>
      </c>
      <c r="Y30" s="249" t="s">
        <v>82</v>
      </c>
      <c r="Z30" s="250" t="str">
        <f t="shared" si="2"/>
        <v>Division 7 (SASE)</v>
      </c>
      <c r="AA30" s="250" t="str">
        <f t="shared" si="3"/>
        <v>#NAME?</v>
      </c>
      <c r="AB30" s="38" t="str">
        <f t="shared" si="4"/>
        <v>#NAME?</v>
      </c>
      <c r="AC30" s="77" t="str">
        <f t="shared" si="1"/>
        <v>Waterford HS</v>
      </c>
      <c r="AD30" s="38"/>
      <c r="AE30" s="119">
        <f t="shared" si="9"/>
        <v>23</v>
      </c>
      <c r="AF30" s="120">
        <v>0.0</v>
      </c>
      <c r="AG30" s="121"/>
      <c r="AH30" s="38"/>
      <c r="AI30" s="42"/>
      <c r="AJ30" s="42"/>
    </row>
    <row r="31" ht="15.75" customHeight="1">
      <c r="A31" s="38"/>
      <c r="B31" s="142" t="str">
        <f>X35</f>
        <v>Hopkins School</v>
      </c>
      <c r="C31" s="251"/>
      <c r="D31" s="265" t="b">
        <v>0</v>
      </c>
      <c r="E31" s="144" t="str">
        <f>_xludf.IFS(C31="",0,(C31-C30)&gt;0,C31+100,(C31-C30)=0,C31+50,(C31-C30)&lt;0,C31)</f>
        <v>#NAME?</v>
      </c>
      <c r="F31" s="142" t="str">
        <f>B29</f>
        <v>Conard HS</v>
      </c>
      <c r="G31" s="251"/>
      <c r="H31" s="265" t="b">
        <v>0</v>
      </c>
      <c r="I31" s="144" t="str">
        <f>_xludf.IFS(G31="",0,(G31-G30)&gt;0,G31+100,(G31-G30)=0,G31+50,(G31-G30)&lt;0,G31)</f>
        <v>#NAME?</v>
      </c>
      <c r="J31" s="142" t="str">
        <f>F29</f>
        <v>Rocky Hill HS Team A</v>
      </c>
      <c r="K31" s="251"/>
      <c r="L31" s="265" t="b">
        <v>0</v>
      </c>
      <c r="M31" s="144" t="str">
        <f>_xludf.IFS(K31="",0,(K31-K30)&gt;0,K31+100,(K31-K30)=0,K31+50,(K31-K30)&lt;0,K31)</f>
        <v>#NAME?</v>
      </c>
      <c r="N31" s="142" t="str">
        <f>J30</f>
        <v>Greenwich HS Team B</v>
      </c>
      <c r="O31" s="251"/>
      <c r="P31" s="265" t="b">
        <v>0</v>
      </c>
      <c r="Q31" s="144" t="str">
        <f>_xludf.IFS(O31="",0,(O31-O30)&gt;0,O31+100,(O31-O30)=0,O31+50,(O31-O30)&lt;0,O31)</f>
        <v>#NAME?</v>
      </c>
      <c r="R31" s="142" t="str">
        <f>N26</f>
        <v>Rocky Hill HS Team A</v>
      </c>
      <c r="S31" s="253"/>
      <c r="T31" s="265" t="b">
        <v>0</v>
      </c>
      <c r="U31" s="144" t="str">
        <f>_xludf.IFS(S31="",0,(S31-S30)&gt;0,S31+100,(S31-S30)=0,S31+50,(S31-S30)&lt;0,S31)</f>
        <v>#NAME?</v>
      </c>
      <c r="V31" s="38"/>
      <c r="W31" s="73">
        <f t="shared" si="8"/>
        <v>24</v>
      </c>
      <c r="X31" s="249" t="s">
        <v>82</v>
      </c>
      <c r="Y31" s="249" t="s">
        <v>237</v>
      </c>
      <c r="Z31" s="250" t="str">
        <f t="shared" si="2"/>
        <v>Division 1 (EA)</v>
      </c>
      <c r="AA31" s="250" t="str">
        <f t="shared" si="3"/>
        <v>#NAME?</v>
      </c>
      <c r="AB31" s="38" t="str">
        <f t="shared" si="4"/>
        <v>#NAME?</v>
      </c>
      <c r="AC31" s="77" t="str">
        <f t="shared" si="1"/>
        <v>South Windsor HS</v>
      </c>
      <c r="AD31" s="38"/>
      <c r="AE31" s="119">
        <f t="shared" si="9"/>
        <v>24</v>
      </c>
      <c r="AF31" s="120">
        <v>0.0</v>
      </c>
      <c r="AG31" s="121"/>
      <c r="AH31" s="38"/>
      <c r="AI31" s="42"/>
      <c r="AJ31" s="42"/>
    </row>
    <row r="32" ht="15.75" customHeight="1">
      <c r="A32" s="38"/>
      <c r="B32" s="151" t="s">
        <v>243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7"/>
      <c r="V32" s="38"/>
      <c r="W32" s="73">
        <f t="shared" si="8"/>
        <v>25</v>
      </c>
      <c r="X32" s="249" t="s">
        <v>60</v>
      </c>
      <c r="Y32" s="249" t="s">
        <v>244</v>
      </c>
      <c r="Z32" s="250" t="str">
        <f t="shared" si="2"/>
        <v>Division 3 (SWE)</v>
      </c>
      <c r="AA32" s="250" t="str">
        <f t="shared" si="3"/>
        <v>#NAME?</v>
      </c>
      <c r="AB32" s="38" t="str">
        <f t="shared" si="4"/>
        <v>#NAME?</v>
      </c>
      <c r="AC32" s="77" t="str">
        <f t="shared" si="1"/>
        <v>East Lyme HS</v>
      </c>
      <c r="AD32" s="38"/>
      <c r="AE32" s="119">
        <f t="shared" si="9"/>
        <v>25</v>
      </c>
      <c r="AF32" s="120">
        <v>0.0</v>
      </c>
      <c r="AG32" s="121" t="str">
        <f t="shared" ref="AG32:AG37" si="13">VLOOKUP(AF32,$AB$8:$AC$37,2,FALSE)</f>
        <v>#N/A</v>
      </c>
      <c r="AH32" s="38"/>
      <c r="AI32" s="42"/>
      <c r="AJ32" s="42"/>
    </row>
    <row r="33" ht="15.75" customHeight="1">
      <c r="A33" s="38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5"/>
      <c r="V33" s="38"/>
      <c r="W33" s="73">
        <f t="shared" si="8"/>
        <v>26</v>
      </c>
      <c r="X33" s="255" t="s">
        <v>49</v>
      </c>
      <c r="Y33" s="255" t="str">
        <f>R49</f>
        <v>Staples HS</v>
      </c>
      <c r="Z33" s="250" t="str">
        <f t="shared" si="2"/>
        <v>Division 9 (LC)</v>
      </c>
      <c r="AA33" s="250" t="str">
        <f t="shared" si="3"/>
        <v>#NAME?</v>
      </c>
      <c r="AB33" s="38" t="str">
        <f t="shared" si="4"/>
        <v>#NAME?</v>
      </c>
      <c r="AC33" s="77" t="str">
        <f t="shared" si="1"/>
        <v>Bacon Academy</v>
      </c>
      <c r="AD33" s="38"/>
      <c r="AE33" s="119">
        <f t="shared" si="9"/>
        <v>26</v>
      </c>
      <c r="AF33" s="120">
        <v>0.0</v>
      </c>
      <c r="AG33" s="121" t="str">
        <f t="shared" si="13"/>
        <v>#N/A</v>
      </c>
      <c r="AH33" s="38"/>
      <c r="AI33" s="42"/>
      <c r="AJ33" s="42"/>
    </row>
    <row r="34" ht="15.75" customHeight="1">
      <c r="A34" s="38"/>
      <c r="B34" s="152" t="s">
        <v>124</v>
      </c>
      <c r="C34" s="267" t="s">
        <v>125</v>
      </c>
      <c r="D34" s="267" t="s">
        <v>126</v>
      </c>
      <c r="E34" s="154" t="s">
        <v>127</v>
      </c>
      <c r="F34" s="152" t="s">
        <v>124</v>
      </c>
      <c r="G34" s="267" t="s">
        <v>125</v>
      </c>
      <c r="H34" s="267" t="s">
        <v>126</v>
      </c>
      <c r="I34" s="154" t="s">
        <v>127</v>
      </c>
      <c r="J34" s="152" t="s">
        <v>124</v>
      </c>
      <c r="K34" s="267" t="s">
        <v>125</v>
      </c>
      <c r="L34" s="267" t="s">
        <v>126</v>
      </c>
      <c r="M34" s="154" t="s">
        <v>127</v>
      </c>
      <c r="N34" s="152" t="s">
        <v>124</v>
      </c>
      <c r="O34" s="267" t="s">
        <v>125</v>
      </c>
      <c r="P34" s="267" t="s">
        <v>126</v>
      </c>
      <c r="Q34" s="154" t="s">
        <v>127</v>
      </c>
      <c r="R34" s="152" t="s">
        <v>124</v>
      </c>
      <c r="S34" s="267" t="s">
        <v>125</v>
      </c>
      <c r="T34" s="267" t="s">
        <v>126</v>
      </c>
      <c r="U34" s="154" t="s">
        <v>127</v>
      </c>
      <c r="V34" s="38"/>
      <c r="W34" s="73">
        <f t="shared" si="8"/>
        <v>27</v>
      </c>
      <c r="X34" s="249" t="s">
        <v>233</v>
      </c>
      <c r="Y34" s="255" t="s">
        <v>85</v>
      </c>
      <c r="Z34" s="250" t="str">
        <f t="shared" si="2"/>
        <v>Division 3 (SWE)</v>
      </c>
      <c r="AA34" s="250" t="str">
        <f t="shared" si="3"/>
        <v>#NAME?</v>
      </c>
      <c r="AB34" s="38" t="str">
        <f t="shared" si="4"/>
        <v>#NAME?</v>
      </c>
      <c r="AC34" s="77" t="str">
        <f t="shared" si="1"/>
        <v>Cheshire HS Team B</v>
      </c>
      <c r="AD34" s="38"/>
      <c r="AE34" s="119">
        <f t="shared" si="9"/>
        <v>27</v>
      </c>
      <c r="AF34" s="120">
        <v>0.0</v>
      </c>
      <c r="AG34" s="121" t="str">
        <f t="shared" si="13"/>
        <v>#N/A</v>
      </c>
      <c r="AH34" s="38"/>
      <c r="AI34" s="42"/>
      <c r="AJ34" s="42"/>
    </row>
    <row r="35" ht="15.75" customHeight="1">
      <c r="A35" s="38"/>
      <c r="B35" s="155" t="str">
        <f>X11</f>
        <v>Fairfield Warde HS</v>
      </c>
      <c r="C35" s="245"/>
      <c r="D35" s="268" t="b">
        <v>0</v>
      </c>
      <c r="E35" s="157" t="str">
        <f>_xludf.IFS(C35="",0,(C35-C36)&gt;0,C35+100,(C35-C36)=0,C35+50,(C35-C36)&lt;0,C35)</f>
        <v>#NAME?</v>
      </c>
      <c r="F35" s="155" t="str">
        <f>B37</f>
        <v>Glastonbury HS Team B</v>
      </c>
      <c r="G35" s="245"/>
      <c r="H35" s="268" t="b">
        <v>0</v>
      </c>
      <c r="I35" s="157" t="str">
        <f>_xludf.IFS(G35="",0,(G35-G36)&gt;0,G35+100,(G35-G36)=0,G35+50,(G35-G36)&lt;0,G35)</f>
        <v>#NAME?</v>
      </c>
      <c r="J35" s="155" t="str">
        <f>F39</f>
        <v>Fairfield Warde HS</v>
      </c>
      <c r="K35" s="245"/>
      <c r="L35" s="268" t="b">
        <v>0</v>
      </c>
      <c r="M35" s="157" t="str">
        <f>_xludf.IFS(K35="",0,(K35-K36)&gt;0,K35+100,(K35-K36)=0,K35+50,(K35-K36)&lt;0,K35)</f>
        <v>#NAME?</v>
      </c>
      <c r="N35" s="155" t="str">
        <f>J40</f>
        <v>Farmington HS</v>
      </c>
      <c r="O35" s="245"/>
      <c r="P35" s="268" t="b">
        <v>0</v>
      </c>
      <c r="Q35" s="157" t="str">
        <f>_xludf.IFS(O35="",0,(O35-O36)&gt;0,O35+100,(O35-O36)=0,O35+50,(O35-O36)&lt;0,O35)</f>
        <v>#NAME?</v>
      </c>
      <c r="R35" s="155" t="str">
        <f>N39</f>
        <v>South Windsor HS</v>
      </c>
      <c r="S35" s="261"/>
      <c r="T35" s="268" t="b">
        <v>0</v>
      </c>
      <c r="U35" s="157" t="str">
        <f>_xludf.IFS(S35="",0,(S35-S36)&gt;0,S35+100,(S35-S36)=0,S35+50,(S35-S36)&lt;0,S35)</f>
        <v>#NAME?</v>
      </c>
      <c r="V35" s="38"/>
      <c r="W35" s="73">
        <f t="shared" si="8"/>
        <v>28</v>
      </c>
      <c r="X35" s="255" t="s">
        <v>66</v>
      </c>
      <c r="Y35" s="249" t="s">
        <v>86</v>
      </c>
      <c r="Z35" s="250" t="str">
        <f t="shared" si="2"/>
        <v>Division 1 (EA)</v>
      </c>
      <c r="AA35" s="250" t="str">
        <f t="shared" si="3"/>
        <v>#NAME?</v>
      </c>
      <c r="AB35" s="38" t="str">
        <f t="shared" si="4"/>
        <v>#NAME?</v>
      </c>
      <c r="AC35" s="77" t="str">
        <f t="shared" si="1"/>
        <v>Hopkins School</v>
      </c>
      <c r="AD35" s="38"/>
      <c r="AE35" s="119">
        <f t="shared" si="9"/>
        <v>28</v>
      </c>
      <c r="AF35" s="120">
        <v>0.0</v>
      </c>
      <c r="AG35" s="121" t="str">
        <f t="shared" si="13"/>
        <v>#N/A</v>
      </c>
      <c r="AH35" s="38"/>
      <c r="AI35" s="42"/>
      <c r="AJ35" s="42"/>
    </row>
    <row r="36" ht="15.75" customHeight="1">
      <c r="A36" s="38"/>
      <c r="B36" s="158" t="str">
        <f>X14</f>
        <v>Farmington HS</v>
      </c>
      <c r="C36" s="251"/>
      <c r="D36" s="269" t="b">
        <v>0</v>
      </c>
      <c r="E36" s="162" t="str">
        <f>_xludf.IFS(C36="",0,(C36-C35)&gt;0,C36+100,(C36-C35)=0,C36+50,(C36-C35)&lt;0,C36)</f>
        <v>#NAME?</v>
      </c>
      <c r="F36" s="158" t="str">
        <f>B40</f>
        <v>Cheshire HS Team B</v>
      </c>
      <c r="G36" s="251"/>
      <c r="H36" s="269" t="b">
        <v>0</v>
      </c>
      <c r="I36" s="162" t="str">
        <f>_xludf.IFS(G36="",0,(G36-G35)&gt;0,G36+100,(G36-G35)=0,G36+50,(G36-G35)&lt;0,G36)</f>
        <v>#NAME?</v>
      </c>
      <c r="J36" s="158" t="str">
        <f>F37</f>
        <v>South Windsor HS</v>
      </c>
      <c r="K36" s="251"/>
      <c r="L36" s="269" t="b">
        <v>0</v>
      </c>
      <c r="M36" s="162" t="str">
        <f>_xludf.IFS(K36="",0,(K36-K35)&gt;0,K36+100,(K36-K35)=0,K36+50,(K36-K35)&lt;0,K36)</f>
        <v>#NAME?</v>
      </c>
      <c r="N36" s="158" t="str">
        <f>J38</f>
        <v>Choate Rosemary Hall</v>
      </c>
      <c r="O36" s="251"/>
      <c r="P36" s="269" t="b">
        <v>0</v>
      </c>
      <c r="Q36" s="162" t="str">
        <f>_xludf.IFS(O36="",0,(O36-O35)&gt;0,O36+100,(O36-O35)=0,O36+50,(O36-O35)&lt;0,O36)</f>
        <v>#NAME?</v>
      </c>
      <c r="R36" s="158" t="str">
        <f t="shared" ref="R36:R37" si="14">N36</f>
        <v>Choate Rosemary Hall</v>
      </c>
      <c r="S36" s="253"/>
      <c r="T36" s="269" t="b">
        <v>0</v>
      </c>
      <c r="U36" s="162" t="str">
        <f>_xludf.IFS(S36="",0,(S36-S35)&gt;0,S36+100,(S36-S35)=0,S36+50,(S36-S35)&lt;0,S36)</f>
        <v>#NAME?</v>
      </c>
      <c r="V36" s="38"/>
      <c r="W36" s="73">
        <f t="shared" si="8"/>
        <v>29</v>
      </c>
      <c r="X36" s="249" t="s">
        <v>244</v>
      </c>
      <c r="Y36" s="255" t="s">
        <v>238</v>
      </c>
      <c r="Z36" s="250" t="str">
        <f t="shared" si="2"/>
        <v>Division 1 (EA)</v>
      </c>
      <c r="AA36" s="250" t="str">
        <f t="shared" si="3"/>
        <v>#NAME?</v>
      </c>
      <c r="AB36" s="38" t="str">
        <f t="shared" si="4"/>
        <v>#NAME?</v>
      </c>
      <c r="AC36" s="77" t="str">
        <f t="shared" si="1"/>
        <v>Southington HS Team B</v>
      </c>
      <c r="AD36" s="38"/>
      <c r="AE36" s="119">
        <f t="shared" si="9"/>
        <v>29</v>
      </c>
      <c r="AF36" s="120">
        <v>0.0</v>
      </c>
      <c r="AG36" s="121" t="str">
        <f t="shared" si="13"/>
        <v>#N/A</v>
      </c>
      <c r="AH36" s="38"/>
      <c r="AI36" s="42"/>
      <c r="AJ36" s="42"/>
    </row>
    <row r="37" ht="15.75" customHeight="1">
      <c r="A37" s="38"/>
      <c r="B37" s="155" t="str">
        <f>X21</f>
        <v>Glastonbury HS Team B</v>
      </c>
      <c r="C37" s="245"/>
      <c r="D37" s="268" t="b">
        <v>0</v>
      </c>
      <c r="E37" s="157" t="str">
        <f>_xludf.IFS(C37="",0,(C37-C38)&gt;0,C37+100,(C37-C38)=0,C37+50,(C37-C38)&lt;0,C37)</f>
        <v>#NAME?</v>
      </c>
      <c r="F37" s="155" t="str">
        <f>B39</f>
        <v>South Windsor HS</v>
      </c>
      <c r="G37" s="245"/>
      <c r="H37" s="268" t="b">
        <v>0</v>
      </c>
      <c r="I37" s="157" t="str">
        <f>_xludf.IFS(G37="",0,(G37-G38)&gt;0,G37+100,(G37-G38)=0,G37+50,(G37-G38)&lt;0,G37)</f>
        <v>#NAME?</v>
      </c>
      <c r="J37" s="155" t="str">
        <f>F36</f>
        <v>Cheshire HS Team B</v>
      </c>
      <c r="K37" s="245"/>
      <c r="L37" s="268" t="b">
        <v>0</v>
      </c>
      <c r="M37" s="157" t="str">
        <f>_xludf.IFS(K37="",0,(K37-K38)&gt;0,K37+100,(K37-K38)=0,K37+50,(K37-K38)&lt;0,K37)</f>
        <v>#NAME?</v>
      </c>
      <c r="N37" s="155" t="str">
        <f>J35</f>
        <v>Fairfield Warde HS</v>
      </c>
      <c r="O37" s="245"/>
      <c r="P37" s="268" t="b">
        <v>0</v>
      </c>
      <c r="Q37" s="157" t="str">
        <f>_xludf.IFS(O37="",0,(O37-O38)&gt;0,O37+100,(O37-O38)=0,O37+50,(O37-O38)&lt;0,O37)</f>
        <v>#NAME?</v>
      </c>
      <c r="R37" s="155" t="str">
        <f t="shared" si="14"/>
        <v>Fairfield Warde HS</v>
      </c>
      <c r="S37" s="247"/>
      <c r="T37" s="268" t="b">
        <v>0</v>
      </c>
      <c r="U37" s="157" t="str">
        <f>_xludf.IFS(S37="",0,(S37-S38)&gt;0,S37+100,(S37-S38)=0,S37+50,(S37-S38)&lt;0,S37)</f>
        <v>#NAME?</v>
      </c>
      <c r="V37" s="38"/>
      <c r="W37" s="73">
        <f t="shared" si="8"/>
        <v>30</v>
      </c>
      <c r="X37" s="249" t="s">
        <v>242</v>
      </c>
      <c r="Y37" s="249" t="s">
        <v>88</v>
      </c>
      <c r="Z37" s="250" t="str">
        <f t="shared" si="2"/>
        <v>Division 5 (SHPE)</v>
      </c>
      <c r="AA37" s="250" t="str">
        <f t="shared" si="3"/>
        <v>#NAME?</v>
      </c>
      <c r="AB37" s="38" t="str">
        <f t="shared" si="4"/>
        <v>#NAME?</v>
      </c>
      <c r="AC37" s="77" t="str">
        <f t="shared" si="1"/>
        <v>Rocky Hill HS Team B</v>
      </c>
      <c r="AD37" s="38"/>
      <c r="AE37" s="119">
        <f t="shared" si="9"/>
        <v>30</v>
      </c>
      <c r="AF37" s="120">
        <v>0.0</v>
      </c>
      <c r="AG37" s="121" t="str">
        <f t="shared" si="13"/>
        <v>#N/A</v>
      </c>
      <c r="AH37" s="38"/>
      <c r="AI37" s="42"/>
      <c r="AJ37" s="42"/>
    </row>
    <row r="38" ht="15.75" customHeight="1">
      <c r="A38" s="38"/>
      <c r="B38" s="158" t="str">
        <f>X24</f>
        <v>Choate Rosemary Hall</v>
      </c>
      <c r="C38" s="251"/>
      <c r="D38" s="269" t="b">
        <v>0</v>
      </c>
      <c r="E38" s="162" t="str">
        <f>_xludf.IFS(C38="",0,(C38-C37)&gt;0,C38+100,(C38-C37)=0,C38+50,(C38-C37)&lt;0,C38)</f>
        <v>#NAME?</v>
      </c>
      <c r="F38" s="158" t="str">
        <f>B36</f>
        <v>Farmington HS</v>
      </c>
      <c r="G38" s="251"/>
      <c r="H38" s="269" t="b">
        <v>0</v>
      </c>
      <c r="I38" s="162" t="str">
        <f>_xludf.IFS(G38="",0,(G38-G37)&gt;0,G38+100,(G38-G37)=0,G38+50,(G38-G37)&lt;0,G38)</f>
        <v>#NAME?</v>
      </c>
      <c r="J38" s="158" t="str">
        <f>F40</f>
        <v>Choate Rosemary Hall</v>
      </c>
      <c r="K38" s="251"/>
      <c r="L38" s="269" t="b">
        <v>0</v>
      </c>
      <c r="M38" s="162" t="str">
        <f>_xludf.IFS(K38="",0,(K38-K37)&gt;0,K38+100,(K38-K37)=0,K38+50,(K38-K37)&lt;0,K38)</f>
        <v>#NAME?</v>
      </c>
      <c r="N38" s="158" t="str">
        <f>J37</f>
        <v>Cheshire HS Team B</v>
      </c>
      <c r="O38" s="251"/>
      <c r="P38" s="269" t="b">
        <v>0</v>
      </c>
      <c r="Q38" s="162" t="str">
        <f>_xludf.IFS(O38="",0,(O38-O37)&gt;0,O38+100,(O38-O37)=0,O38+50,(O38-O37)&lt;0,O38)</f>
        <v>#NAME?</v>
      </c>
      <c r="R38" s="158" t="str">
        <f>N40</f>
        <v>Glastonbury HS Team B</v>
      </c>
      <c r="S38" s="253"/>
      <c r="T38" s="269" t="b">
        <v>0</v>
      </c>
      <c r="U38" s="162" t="str">
        <f>_xludf.IFS(S38="",0,(S38-S37)&gt;0,S38+100,(S38-S37)=0,S38+50,(S38-S37)&lt;0,S38)</f>
        <v>#NAME?</v>
      </c>
      <c r="V38" s="38"/>
      <c r="W38" s="73"/>
      <c r="X38" s="38"/>
      <c r="Y38" s="38"/>
      <c r="Z38" s="38"/>
      <c r="AA38" s="38"/>
      <c r="AB38" s="38"/>
      <c r="AC38" s="38"/>
      <c r="AD38" s="38"/>
      <c r="AE38" s="38"/>
      <c r="AF38" s="42"/>
      <c r="AG38" s="38"/>
      <c r="AH38" s="38"/>
      <c r="AI38" s="42"/>
      <c r="AJ38" s="42"/>
    </row>
    <row r="39" ht="15.75" customHeight="1">
      <c r="A39" s="38"/>
      <c r="B39" s="155" t="str">
        <f>X31</f>
        <v>South Windsor HS</v>
      </c>
      <c r="C39" s="245"/>
      <c r="D39" s="268" t="b">
        <v>0</v>
      </c>
      <c r="E39" s="157" t="str">
        <f>_xludf.IFS(C39="",0,(C39-C40)&gt;0,C39+100,(C39-C40)=0,C39+50,(C39-C40)&lt;0,C39)</f>
        <v>#NAME?</v>
      </c>
      <c r="F39" s="155" t="str">
        <f>B35</f>
        <v>Fairfield Warde HS</v>
      </c>
      <c r="G39" s="245"/>
      <c r="H39" s="268" t="b">
        <v>0</v>
      </c>
      <c r="I39" s="157" t="str">
        <f>_xludf.IFS(G39="",0,(G39-G40)&gt;0,G39+100,(G39-G40)=0,G39+50,(G39-G40)&lt;0,G39)</f>
        <v>#NAME?</v>
      </c>
      <c r="J39" s="155" t="str">
        <f>F35</f>
        <v>Glastonbury HS Team B</v>
      </c>
      <c r="K39" s="245"/>
      <c r="L39" s="268" t="b">
        <v>0</v>
      </c>
      <c r="M39" s="157" t="str">
        <f>_xludf.IFS(K39="",0,(K39-K40)&gt;0,K39+100,(K39-K40)=0,K39+50,(K39-K40)&lt;0,K39)</f>
        <v>#NAME?</v>
      </c>
      <c r="N39" s="155" t="str">
        <f>J36</f>
        <v>South Windsor HS</v>
      </c>
      <c r="O39" s="245"/>
      <c r="P39" s="268" t="b">
        <v>0</v>
      </c>
      <c r="Q39" s="157" t="str">
        <f>_xludf.IFS(O39="",0,(O39-O40)&gt;0,O39+100,(O39-O40)=0,O39+50,(O39-O40)&lt;0,O39)</f>
        <v>#NAME?</v>
      </c>
      <c r="R39" s="155" t="str">
        <f>N38</f>
        <v>Cheshire HS Team B</v>
      </c>
      <c r="S39" s="247"/>
      <c r="T39" s="268" t="b">
        <v>0</v>
      </c>
      <c r="U39" s="157" t="str">
        <f>_xludf.IFS(S39="",0,(S39-S40)&gt;0,S39+100,(S39-S40)=0,S39+50,(S39-S40)&lt;0,S39)</f>
        <v>#NAME?</v>
      </c>
      <c r="V39" s="38"/>
      <c r="W39" s="73"/>
      <c r="X39" s="38"/>
      <c r="Y39" s="38"/>
      <c r="Z39" s="38"/>
      <c r="AA39" s="38"/>
      <c r="AB39" s="38"/>
      <c r="AC39" s="38"/>
      <c r="AD39" s="38"/>
      <c r="AE39" s="38"/>
      <c r="AF39" s="42"/>
      <c r="AG39" s="38"/>
      <c r="AH39" s="38"/>
      <c r="AI39" s="42"/>
      <c r="AJ39" s="42"/>
    </row>
    <row r="40" ht="15.75" customHeight="1">
      <c r="A40" s="38"/>
      <c r="B40" s="155" t="str">
        <f>X34</f>
        <v>Cheshire HS Team B</v>
      </c>
      <c r="C40" s="251"/>
      <c r="D40" s="268" t="b">
        <v>0</v>
      </c>
      <c r="E40" s="157" t="str">
        <f>_xludf.IFS(C40="",0,(C40-C39)&gt;0,C40+100,(C40-C39)=0,C40+50,(C40-C39)&lt;0,C40)</f>
        <v>#NAME?</v>
      </c>
      <c r="F40" s="155" t="str">
        <f>B38</f>
        <v>Choate Rosemary Hall</v>
      </c>
      <c r="G40" s="251"/>
      <c r="H40" s="268" t="b">
        <v>0</v>
      </c>
      <c r="I40" s="157" t="str">
        <f>_xludf.IFS(G40="",0,(G40-G39)&gt;0,G40+100,(G40-G39)=0,G40+50,(G40-G39)&lt;0,G40)</f>
        <v>#NAME?</v>
      </c>
      <c r="J40" s="155" t="str">
        <f>F38</f>
        <v>Farmington HS</v>
      </c>
      <c r="K40" s="251"/>
      <c r="L40" s="268" t="b">
        <v>0</v>
      </c>
      <c r="M40" s="157" t="str">
        <f>_xludf.IFS(K40="",0,(K40-K39)&gt;0,K40+100,(K40-K39)=0,K40+50,(K40-K39)&lt;0,K40)</f>
        <v>#NAME?</v>
      </c>
      <c r="N40" s="155" t="str">
        <f>J39</f>
        <v>Glastonbury HS Team B</v>
      </c>
      <c r="O40" s="251"/>
      <c r="P40" s="268" t="b">
        <v>0</v>
      </c>
      <c r="Q40" s="157" t="str">
        <f>_xludf.IFS(O40="",0,(O40-O39)&gt;0,O40+100,(O40-O39)=0,O40+50,(O40-O39)&lt;0,O40)</f>
        <v>#NAME?</v>
      </c>
      <c r="R40" s="155" t="str">
        <f>N35</f>
        <v>Farmington HS</v>
      </c>
      <c r="S40" s="253"/>
      <c r="T40" s="268" t="b">
        <v>0</v>
      </c>
      <c r="U40" s="157" t="str">
        <f>_xludf.IFS(S40="",0,(S40-S39)&gt;0,S40+100,(S40-S39)=0,S40+50,(S40-S39)&lt;0,S40)</f>
        <v>#NAME?</v>
      </c>
      <c r="V40" s="38"/>
      <c r="W40" s="73"/>
      <c r="X40" s="38"/>
      <c r="Y40" s="38"/>
      <c r="Z40" s="38"/>
      <c r="AA40" s="38"/>
      <c r="AB40" s="38"/>
      <c r="AC40" s="38"/>
      <c r="AD40" s="38"/>
      <c r="AE40" s="38"/>
      <c r="AF40" s="42"/>
      <c r="AG40" s="38"/>
      <c r="AH40" s="38"/>
      <c r="AI40" s="42"/>
      <c r="AJ40" s="42"/>
    </row>
    <row r="41" ht="15.75" customHeight="1">
      <c r="A41" s="38"/>
      <c r="B41" s="270" t="s">
        <v>245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7"/>
      <c r="V41" s="38"/>
      <c r="W41" s="73"/>
      <c r="X41" s="38"/>
      <c r="Y41" s="38"/>
      <c r="Z41" s="38"/>
      <c r="AA41" s="38"/>
      <c r="AB41" s="38"/>
      <c r="AC41" s="38"/>
      <c r="AD41" s="38"/>
      <c r="AE41" s="38"/>
      <c r="AF41" s="42"/>
      <c r="AG41" s="38"/>
      <c r="AH41" s="38"/>
      <c r="AI41" s="42"/>
      <c r="AJ41" s="42"/>
    </row>
    <row r="42" ht="15.75" customHeight="1">
      <c r="A42" s="38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5"/>
      <c r="V42" s="38"/>
      <c r="W42" s="73"/>
      <c r="X42" s="38"/>
      <c r="Y42" s="38"/>
      <c r="Z42" s="38"/>
      <c r="AA42" s="38"/>
      <c r="AB42" s="38"/>
      <c r="AC42" s="38"/>
      <c r="AD42" s="38"/>
      <c r="AE42" s="38"/>
      <c r="AF42" s="42"/>
      <c r="AG42" s="38"/>
      <c r="AH42" s="38"/>
      <c r="AI42" s="42"/>
      <c r="AJ42" s="42"/>
    </row>
    <row r="43" ht="15.75" customHeight="1">
      <c r="A43" s="38"/>
      <c r="B43" s="181" t="s">
        <v>124</v>
      </c>
      <c r="C43" s="271" t="s">
        <v>125</v>
      </c>
      <c r="D43" s="271" t="s">
        <v>126</v>
      </c>
      <c r="E43" s="183" t="s">
        <v>127</v>
      </c>
      <c r="F43" s="181" t="s">
        <v>124</v>
      </c>
      <c r="G43" s="271" t="s">
        <v>125</v>
      </c>
      <c r="H43" s="271" t="s">
        <v>126</v>
      </c>
      <c r="I43" s="183" t="s">
        <v>127</v>
      </c>
      <c r="J43" s="181" t="s">
        <v>124</v>
      </c>
      <c r="K43" s="271" t="s">
        <v>125</v>
      </c>
      <c r="L43" s="271" t="s">
        <v>126</v>
      </c>
      <c r="M43" s="183" t="s">
        <v>127</v>
      </c>
      <c r="N43" s="181" t="s">
        <v>124</v>
      </c>
      <c r="O43" s="271" t="s">
        <v>125</v>
      </c>
      <c r="P43" s="271" t="s">
        <v>126</v>
      </c>
      <c r="Q43" s="183" t="s">
        <v>127</v>
      </c>
      <c r="R43" s="181" t="s">
        <v>124</v>
      </c>
      <c r="S43" s="271" t="s">
        <v>125</v>
      </c>
      <c r="T43" s="271" t="s">
        <v>126</v>
      </c>
      <c r="U43" s="183" t="s">
        <v>127</v>
      </c>
      <c r="V43" s="38"/>
      <c r="W43" s="73"/>
      <c r="X43" s="38"/>
      <c r="Y43" s="38"/>
      <c r="Z43" s="38"/>
      <c r="AA43" s="38"/>
      <c r="AB43" s="38"/>
      <c r="AC43" s="38"/>
      <c r="AD43" s="38"/>
      <c r="AE43" s="38"/>
      <c r="AF43" s="42"/>
      <c r="AG43" s="38"/>
      <c r="AH43" s="38"/>
      <c r="AI43" s="42"/>
      <c r="AJ43" s="42"/>
    </row>
    <row r="44" ht="15.75" customHeight="1">
      <c r="A44" s="38"/>
      <c r="B44" s="185" t="str">
        <f t="shared" ref="B44:B45" si="15">X12</f>
        <v>Cheshire HS Team A</v>
      </c>
      <c r="C44" s="245"/>
      <c r="D44" s="272" t="b">
        <v>0</v>
      </c>
      <c r="E44" s="188" t="str">
        <f>_xludf.IFS(C44="",0,(C44-C45)&gt;0,C44+100,(C44-C45)=0,C44+50,(C44-C45)&lt;0,C44)</f>
        <v>#NAME?</v>
      </c>
      <c r="F44" s="185" t="str">
        <f>B46</f>
        <v>E. O. Smith HS Team B</v>
      </c>
      <c r="G44" s="245"/>
      <c r="H44" s="272" t="b">
        <v>0</v>
      </c>
      <c r="I44" s="188" t="str">
        <f>_xludf.IFS(G44="",0,(G44-G45)&gt;0,G44+100,(G44-G45)=0,G44+50,(G44-G45)&lt;0,G44)</f>
        <v>#NAME?</v>
      </c>
      <c r="J44" s="185" t="str">
        <f>F48</f>
        <v>Cheshire HS Team A</v>
      </c>
      <c r="K44" s="245"/>
      <c r="L44" s="272" t="b">
        <v>0</v>
      </c>
      <c r="M44" s="188" t="str">
        <f>_xludf.IFS(K44="",0,(K44-K45)&gt;0,K44+100,(K44-K45)=0,K44+50,(K44-K45)&lt;0,K44)</f>
        <v>#NAME?</v>
      </c>
      <c r="N44" s="185" t="str">
        <f>J49</f>
        <v>Staples HS</v>
      </c>
      <c r="O44" s="245"/>
      <c r="P44" s="272" t="b">
        <v>0</v>
      </c>
      <c r="Q44" s="188" t="str">
        <f>_xludf.IFS(O44="",0,(O44-O45)&gt;0,O44+100,(O44-O45)=0,O44+50,(O44-O45)&lt;0,O44)</f>
        <v>#NAME?</v>
      </c>
      <c r="R44" s="185" t="str">
        <f>N48</f>
        <v>East Lyme HS</v>
      </c>
      <c r="S44" s="261"/>
      <c r="T44" s="272" t="b">
        <v>0</v>
      </c>
      <c r="U44" s="188" t="str">
        <f>_xludf.IFS(S44="",0,(S44-S45)&gt;0,S44+100,(S44-S45)=0,S44+50,(S44-S45)&lt;0,S44)</f>
        <v>#NAME?</v>
      </c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42"/>
      <c r="AG44" s="38"/>
      <c r="AH44" s="38"/>
      <c r="AI44" s="42"/>
      <c r="AJ44" s="42"/>
    </row>
    <row r="45" ht="15.75" customHeight="1">
      <c r="A45" s="38"/>
      <c r="B45" s="190" t="str">
        <f t="shared" si="15"/>
        <v>Staples HS</v>
      </c>
      <c r="C45" s="251"/>
      <c r="D45" s="273" t="b">
        <v>0</v>
      </c>
      <c r="E45" s="193" t="str">
        <f>_xludf.IFS(C45="",0,(C45-C44)&gt;0,C45+100,(C45-C44)=0,C45+50,(C45-C44)&lt;0,C45)</f>
        <v>#NAME?</v>
      </c>
      <c r="F45" s="190" t="str">
        <f>B49</f>
        <v>Bacon Academy</v>
      </c>
      <c r="G45" s="251"/>
      <c r="H45" s="273" t="b">
        <v>0</v>
      </c>
      <c r="I45" s="193" t="str">
        <f>_xludf.IFS(G45="",0,(G45-G44)&gt;0,G45+100,(G45-G44)=0,G45+50,(G45-G44)&lt;0,G45)</f>
        <v>#NAME?</v>
      </c>
      <c r="J45" s="190" t="str">
        <f>F46</f>
        <v>East Lyme HS</v>
      </c>
      <c r="K45" s="251"/>
      <c r="L45" s="273" t="b">
        <v>0</v>
      </c>
      <c r="M45" s="193" t="str">
        <f>_xludf.IFS(K45="",0,(K45-K44)&gt;0,K45+100,(K45-K44)=0,K45+50,(K45-K44)&lt;0,K45)</f>
        <v>#NAME?</v>
      </c>
      <c r="N45" s="190" t="str">
        <f>J47</f>
        <v>Fairfield Ludlowe HS</v>
      </c>
      <c r="O45" s="251"/>
      <c r="P45" s="273" t="b">
        <v>0</v>
      </c>
      <c r="Q45" s="193" t="str">
        <f>_xludf.IFS(O45="",0,(O45-O44)&gt;0,O45+100,(O45-O44)=0,O45+50,(O45-O44)&lt;0,O45)</f>
        <v>#NAME?</v>
      </c>
      <c r="R45" s="190" t="str">
        <f t="shared" ref="R45:R46" si="16">N45</f>
        <v>Fairfield Ludlowe HS</v>
      </c>
      <c r="S45" s="253"/>
      <c r="T45" s="273" t="b">
        <v>0</v>
      </c>
      <c r="U45" s="193" t="str">
        <f>_xludf.IFS(S45="",0,(S45-S44)&gt;0,S45+100,(S45-S44)=0,S45+50,(S45-S44)&lt;0,S45)</f>
        <v>#NAME?</v>
      </c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42"/>
      <c r="AG45" s="38"/>
      <c r="AH45" s="38"/>
      <c r="AI45" s="42"/>
      <c r="AJ45" s="42"/>
    </row>
    <row r="46" ht="15.75" customHeight="1">
      <c r="A46" s="38"/>
      <c r="B46" s="185" t="str">
        <f t="shared" ref="B46:B47" si="17">X22</f>
        <v>E. O. Smith HS Team B</v>
      </c>
      <c r="C46" s="245"/>
      <c r="D46" s="272" t="b">
        <v>0</v>
      </c>
      <c r="E46" s="188" t="str">
        <f>_xludf.IFS(C46="",0,(C46-C47)&gt;0,C46+100,(C46-C47)=0,C46+50,(C46-C47)&lt;0,C46)</f>
        <v>#NAME?</v>
      </c>
      <c r="F46" s="185" t="str">
        <f>B48</f>
        <v>East Lyme HS</v>
      </c>
      <c r="G46" s="245"/>
      <c r="H46" s="272" t="b">
        <v>0</v>
      </c>
      <c r="I46" s="188" t="str">
        <f>_xludf.IFS(G46="",0,(G46-G47)&gt;0,G46+100,(G46-G47)=0,G46+50,(G46-G47)&lt;0,G46)</f>
        <v>#NAME?</v>
      </c>
      <c r="J46" s="185" t="str">
        <f>F45</f>
        <v>Bacon Academy</v>
      </c>
      <c r="K46" s="245"/>
      <c r="L46" s="272" t="b">
        <v>0</v>
      </c>
      <c r="M46" s="188" t="str">
        <f>_xludf.IFS(K46="",0,(K46-K47)&gt;0,K46+100,(K46-K47)=0,K46+50,(K46-K47)&lt;0,K46)</f>
        <v>#NAME?</v>
      </c>
      <c r="N46" s="185" t="str">
        <f>J44</f>
        <v>Cheshire HS Team A</v>
      </c>
      <c r="O46" s="245"/>
      <c r="P46" s="272" t="b">
        <v>0</v>
      </c>
      <c r="Q46" s="188" t="str">
        <f>_xludf.IFS(O46="",0,(O46-O47)&gt;0,O46+100,(O46-O47)=0,O46+50,(O46-O47)&lt;0,O46)</f>
        <v>#NAME?</v>
      </c>
      <c r="R46" s="185" t="str">
        <f t="shared" si="16"/>
        <v>Cheshire HS Team A</v>
      </c>
      <c r="S46" s="247"/>
      <c r="T46" s="272" t="b">
        <v>0</v>
      </c>
      <c r="U46" s="188" t="str">
        <f>_xludf.IFS(S46="",0,(S46-S47)&gt;0,S46+100,(S46-S47)=0,S46+50,(S46-S47)&lt;0,S46)</f>
        <v>#NAME?</v>
      </c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42"/>
      <c r="AG46" s="38"/>
      <c r="AH46" s="38"/>
      <c r="AI46" s="42"/>
      <c r="AJ46" s="42"/>
    </row>
    <row r="47" ht="15.75" customHeight="1">
      <c r="A47" s="38"/>
      <c r="B47" s="190" t="str">
        <f t="shared" si="17"/>
        <v>Fairfield Ludlowe HS</v>
      </c>
      <c r="C47" s="251"/>
      <c r="D47" s="273" t="b">
        <v>0</v>
      </c>
      <c r="E47" s="193" t="str">
        <f>_xludf.IFS(C47="",0,(C47-C46)&gt;0,C47+100,(C47-C46)=0,C47+50,(C47-C46)&lt;0,C47)</f>
        <v>#NAME?</v>
      </c>
      <c r="F47" s="190" t="str">
        <f>B45</f>
        <v>Staples HS</v>
      </c>
      <c r="G47" s="251"/>
      <c r="H47" s="273" t="b">
        <v>0</v>
      </c>
      <c r="I47" s="193" t="str">
        <f>_xludf.IFS(G47="",0,(G47-G46)&gt;0,G47+100,(G47-G46)=0,G47+50,(G47-G46)&lt;0,G47)</f>
        <v>#NAME?</v>
      </c>
      <c r="J47" s="190" t="str">
        <f>F49</f>
        <v>Fairfield Ludlowe HS</v>
      </c>
      <c r="K47" s="251"/>
      <c r="L47" s="273" t="b">
        <v>0</v>
      </c>
      <c r="M47" s="193" t="str">
        <f>_xludf.IFS(K47="",0,(K47-K46)&gt;0,K47+100,(K47-K46)=0,K47+50,(K47-K46)&lt;0,K47)</f>
        <v>#NAME?</v>
      </c>
      <c r="N47" s="190" t="str">
        <f>J46</f>
        <v>Bacon Academy</v>
      </c>
      <c r="O47" s="251"/>
      <c r="P47" s="273" t="b">
        <v>0</v>
      </c>
      <c r="Q47" s="193" t="str">
        <f>_xludf.IFS(O47="",0,(O47-O46)&gt;0,O47+100,(O47-O46)=0,O47+50,(O47-O46)&lt;0,O47)</f>
        <v>#NAME?</v>
      </c>
      <c r="R47" s="190" t="str">
        <f>N49</f>
        <v>E. O. Smith HS Team B</v>
      </c>
      <c r="S47" s="253"/>
      <c r="T47" s="273" t="b">
        <v>0</v>
      </c>
      <c r="U47" s="193" t="str">
        <f>_xludf.IFS(S47="",0,(S47-S46)&gt;0,S47+100,(S47-S46)=0,S47+50,(S47-S46)&lt;0,S47)</f>
        <v>#NAME?</v>
      </c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42"/>
      <c r="AG47" s="38"/>
      <c r="AH47" s="38"/>
      <c r="AI47" s="42"/>
      <c r="AJ47" s="42"/>
    </row>
    <row r="48" ht="15.75" customHeight="1">
      <c r="A48" s="38"/>
      <c r="B48" s="185" t="str">
        <f t="shared" ref="B48:B49" si="18">X32</f>
        <v>East Lyme HS</v>
      </c>
      <c r="C48" s="245"/>
      <c r="D48" s="272" t="b">
        <v>0</v>
      </c>
      <c r="E48" s="188" t="str">
        <f>_xludf.IFS(C48="",0,(C48-C49)&gt;0,C48+100,(C48-C49)=0,C48+50,(C48-C49)&lt;0,C48)</f>
        <v>#NAME?</v>
      </c>
      <c r="F48" s="185" t="str">
        <f>B44</f>
        <v>Cheshire HS Team A</v>
      </c>
      <c r="G48" s="245"/>
      <c r="H48" s="272" t="b">
        <v>0</v>
      </c>
      <c r="I48" s="188" t="str">
        <f>_xludf.IFS(G48="",0,(G48-G49)&gt;0,G48+100,(G48-G49)=0,G48+50,(G48-G49)&lt;0,G48)</f>
        <v>#NAME?</v>
      </c>
      <c r="J48" s="185" t="str">
        <f>F44</f>
        <v>E. O. Smith HS Team B</v>
      </c>
      <c r="K48" s="245"/>
      <c r="L48" s="272" t="b">
        <v>0</v>
      </c>
      <c r="M48" s="188" t="str">
        <f>_xludf.IFS(K48="",0,(K48-K49)&gt;0,K48+100,(K48-K49)=0,K48+50,(K48-K49)&lt;0,K48)</f>
        <v>#NAME?</v>
      </c>
      <c r="N48" s="185" t="str">
        <f>J45</f>
        <v>East Lyme HS</v>
      </c>
      <c r="O48" s="245"/>
      <c r="P48" s="272" t="b">
        <v>0</v>
      </c>
      <c r="Q48" s="188" t="str">
        <f>_xludf.IFS(O48="",0,(O48-O49)&gt;0,O48+100,(O48-O49)=0,O48+50,(O48-O49)&lt;0,O48)</f>
        <v>#NAME?</v>
      </c>
      <c r="R48" s="185" t="str">
        <f>N47</f>
        <v>Bacon Academy</v>
      </c>
      <c r="S48" s="247"/>
      <c r="T48" s="272" t="b">
        <v>0</v>
      </c>
      <c r="U48" s="188" t="str">
        <f>_xludf.IFS(S48="",0,(S48-S49)&gt;0,S48+100,(S48-S49)=0,S48+50,(S48-S49)&lt;0,S48)</f>
        <v>#NAME?</v>
      </c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42"/>
      <c r="AG48" s="38"/>
      <c r="AH48" s="38"/>
      <c r="AI48" s="42"/>
      <c r="AJ48" s="42"/>
    </row>
    <row r="49" ht="15.75" customHeight="1">
      <c r="A49" s="38"/>
      <c r="B49" s="190" t="str">
        <f t="shared" si="18"/>
        <v>Bacon Academy</v>
      </c>
      <c r="C49" s="251"/>
      <c r="D49" s="273" t="b">
        <v>0</v>
      </c>
      <c r="E49" s="193" t="str">
        <f>_xludf.IFS(C49="",0,(C49-C48)&gt;0,C49+100,(C49-C48)=0,C49+50,(C49-C48)&lt;0,C49)</f>
        <v>#NAME?</v>
      </c>
      <c r="F49" s="190" t="str">
        <f>B47</f>
        <v>Fairfield Ludlowe HS</v>
      </c>
      <c r="G49" s="251"/>
      <c r="H49" s="273" t="b">
        <v>0</v>
      </c>
      <c r="I49" s="193" t="str">
        <f>_xludf.IFS(G49="",0,(G49-G48)&gt;0,G49+100,(G49-G48)=0,G49+50,(G49-G48)&lt;0,G49)</f>
        <v>#NAME?</v>
      </c>
      <c r="J49" s="190" t="str">
        <f>F47</f>
        <v>Staples HS</v>
      </c>
      <c r="K49" s="251"/>
      <c r="L49" s="273" t="b">
        <v>0</v>
      </c>
      <c r="M49" s="193" t="str">
        <f>_xludf.IFS(K49="",0,(K49-K48)&gt;0,K49+100,(K49-K48)=0,K49+50,(K49-K48)&lt;0,K49)</f>
        <v>#NAME?</v>
      </c>
      <c r="N49" s="190" t="str">
        <f>J48</f>
        <v>E. O. Smith HS Team B</v>
      </c>
      <c r="O49" s="251"/>
      <c r="P49" s="273" t="b">
        <v>0</v>
      </c>
      <c r="Q49" s="193" t="str">
        <f>_xludf.IFS(O49="",0,(O49-O48)&gt;0,O49+100,(O49-O48)=0,O49+50,(O49-O48)&lt;0,O49)</f>
        <v>#NAME?</v>
      </c>
      <c r="R49" s="190" t="str">
        <f>N44</f>
        <v>Staples HS</v>
      </c>
      <c r="S49" s="253"/>
      <c r="T49" s="273" t="b">
        <v>0</v>
      </c>
      <c r="U49" s="193" t="str">
        <f>_xludf.IFS(S49="",0,(S49-S48)&gt;0,S49+100,(S49-S48)=0,S49+50,(S49-S48)&lt;0,S49)</f>
        <v>#NAME?</v>
      </c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42"/>
      <c r="AG49" s="38"/>
      <c r="AH49" s="38"/>
      <c r="AI49" s="42"/>
      <c r="AJ49" s="42"/>
    </row>
    <row r="50" ht="15.75" customHeight="1">
      <c r="A50" s="38"/>
      <c r="E50" s="20"/>
      <c r="I50" s="20"/>
      <c r="M50" s="20"/>
      <c r="Q50" s="20"/>
      <c r="U50" s="20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42"/>
      <c r="AG50" s="38"/>
      <c r="AH50" s="38"/>
      <c r="AI50" s="42"/>
      <c r="AJ50" s="42"/>
    </row>
    <row r="51" ht="15.75" customHeight="1">
      <c r="A51" s="38"/>
      <c r="E51" s="20"/>
      <c r="I51" s="20"/>
      <c r="M51" s="20"/>
      <c r="Q51" s="20"/>
      <c r="U51" s="20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42"/>
      <c r="AG51" s="38"/>
      <c r="AH51" s="38"/>
      <c r="AI51" s="42"/>
      <c r="AJ51" s="42"/>
    </row>
    <row r="52" ht="15.75" customHeight="1">
      <c r="A52" s="38"/>
      <c r="E52" s="20"/>
      <c r="I52" s="20"/>
      <c r="M52" s="20"/>
      <c r="Q52" s="20"/>
      <c r="U52" s="20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42"/>
      <c r="AG52" s="38"/>
      <c r="AH52" s="38"/>
      <c r="AI52" s="42"/>
      <c r="AJ52" s="42"/>
    </row>
    <row r="53" ht="15.75" customHeight="1">
      <c r="A53" s="38"/>
      <c r="E53" s="20"/>
      <c r="I53" s="20"/>
      <c r="M53" s="20"/>
      <c r="Q53" s="20"/>
      <c r="U53" s="20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42"/>
      <c r="AG53" s="38"/>
      <c r="AH53" s="38"/>
      <c r="AI53" s="42"/>
      <c r="AJ53" s="42"/>
    </row>
    <row r="54" ht="15.75" customHeight="1">
      <c r="A54" s="38"/>
      <c r="E54" s="20"/>
      <c r="I54" s="20"/>
      <c r="M54" s="20"/>
      <c r="Q54" s="20"/>
      <c r="U54" s="20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42"/>
      <c r="AG54" s="38"/>
      <c r="AH54" s="38"/>
      <c r="AI54" s="42"/>
      <c r="AJ54" s="42"/>
    </row>
    <row r="55" ht="15.75" customHeight="1">
      <c r="A55" s="38"/>
      <c r="E55" s="20"/>
      <c r="I55" s="20"/>
      <c r="M55" s="20"/>
      <c r="Q55" s="20"/>
      <c r="U55" s="20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42"/>
      <c r="AG55" s="38"/>
      <c r="AH55" s="38"/>
      <c r="AI55" s="42"/>
      <c r="AJ55" s="42"/>
    </row>
    <row r="56" ht="15.75" customHeight="1">
      <c r="A56" s="38"/>
      <c r="E56" s="20"/>
      <c r="I56" s="20"/>
      <c r="M56" s="20"/>
      <c r="Q56" s="20"/>
      <c r="U56" s="20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42"/>
      <c r="AG56" s="38"/>
      <c r="AH56" s="38"/>
      <c r="AI56" s="42"/>
      <c r="AJ56" s="42"/>
    </row>
    <row r="57" ht="15.75" customHeight="1">
      <c r="A57" s="38"/>
      <c r="E57" s="20"/>
      <c r="I57" s="20"/>
      <c r="M57" s="20"/>
      <c r="Q57" s="20"/>
      <c r="U57" s="20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42"/>
      <c r="AG57" s="38"/>
      <c r="AH57" s="38"/>
      <c r="AI57" s="42"/>
      <c r="AJ57" s="42"/>
    </row>
    <row r="58" ht="15.75" customHeight="1">
      <c r="A58" s="38"/>
      <c r="E58" s="20"/>
      <c r="I58" s="20"/>
      <c r="M58" s="20"/>
      <c r="Q58" s="20"/>
      <c r="U58" s="20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42"/>
      <c r="AG58" s="38"/>
      <c r="AH58" s="38"/>
      <c r="AI58" s="42"/>
      <c r="AJ58" s="42"/>
    </row>
    <row r="59" ht="15.75" customHeight="1">
      <c r="A59" s="38"/>
      <c r="E59" s="20"/>
      <c r="I59" s="20"/>
      <c r="M59" s="20"/>
      <c r="Q59" s="20"/>
      <c r="U59" s="20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42"/>
      <c r="AG59" s="38"/>
      <c r="AH59" s="38"/>
      <c r="AI59" s="42"/>
      <c r="AJ59" s="42"/>
    </row>
    <row r="60" ht="15.75" customHeight="1">
      <c r="A60" s="38"/>
      <c r="E60" s="20"/>
      <c r="I60" s="20"/>
      <c r="M60" s="20"/>
      <c r="Q60" s="20"/>
      <c r="U60" s="20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42"/>
      <c r="AG60" s="38"/>
      <c r="AH60" s="38"/>
      <c r="AI60" s="42"/>
      <c r="AJ60" s="42"/>
    </row>
    <row r="61" ht="15.75" customHeight="1">
      <c r="A61" s="38"/>
      <c r="E61" s="20"/>
      <c r="I61" s="20"/>
      <c r="M61" s="20"/>
      <c r="Q61" s="20"/>
      <c r="U61" s="20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42"/>
      <c r="AG61" s="38"/>
      <c r="AH61" s="38"/>
      <c r="AI61" s="42"/>
      <c r="AJ61" s="42"/>
    </row>
    <row r="62" ht="15.75" customHeight="1">
      <c r="A62" s="38"/>
      <c r="B62" s="38"/>
      <c r="C62" s="38"/>
      <c r="D62" s="38"/>
      <c r="E62" s="42"/>
      <c r="F62" s="38"/>
      <c r="G62" s="38"/>
      <c r="H62" s="38"/>
      <c r="I62" s="42"/>
      <c r="J62" s="38"/>
      <c r="K62" s="38"/>
      <c r="L62" s="38"/>
      <c r="M62" s="42"/>
      <c r="N62" s="38"/>
      <c r="O62" s="38"/>
      <c r="P62" s="38"/>
      <c r="Q62" s="42"/>
      <c r="R62" s="38"/>
      <c r="S62" s="38"/>
      <c r="T62" s="38"/>
      <c r="U62" s="42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42"/>
      <c r="AG62" s="38"/>
      <c r="AH62" s="38"/>
      <c r="AI62" s="42"/>
      <c r="AJ62" s="42"/>
    </row>
    <row r="63" ht="15.75" customHeight="1">
      <c r="A63" s="38"/>
      <c r="B63" s="38"/>
      <c r="C63" s="38"/>
      <c r="D63" s="38"/>
      <c r="E63" s="42"/>
      <c r="F63" s="38"/>
      <c r="G63" s="38"/>
      <c r="H63" s="38"/>
      <c r="I63" s="42"/>
      <c r="J63" s="38"/>
      <c r="K63" s="38"/>
      <c r="L63" s="38"/>
      <c r="M63" s="42"/>
      <c r="N63" s="38"/>
      <c r="O63" s="38"/>
      <c r="P63" s="38"/>
      <c r="Q63" s="42"/>
      <c r="R63" s="38"/>
      <c r="S63" s="38"/>
      <c r="T63" s="38"/>
      <c r="U63" s="42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42"/>
      <c r="AG63" s="38"/>
      <c r="AH63" s="38"/>
      <c r="AI63" s="42"/>
      <c r="AJ63" s="42"/>
    </row>
    <row r="64" ht="15.75" customHeight="1">
      <c r="A64" s="38"/>
      <c r="B64" s="38"/>
      <c r="C64" s="38"/>
      <c r="D64" s="38"/>
      <c r="E64" s="42"/>
      <c r="F64" s="38"/>
      <c r="G64" s="38"/>
      <c r="H64" s="38"/>
      <c r="I64" s="42"/>
      <c r="J64" s="38"/>
      <c r="K64" s="38"/>
      <c r="L64" s="38"/>
      <c r="M64" s="42"/>
      <c r="N64" s="38"/>
      <c r="O64" s="38"/>
      <c r="P64" s="38"/>
      <c r="Q64" s="42"/>
      <c r="R64" s="38"/>
      <c r="S64" s="38"/>
      <c r="T64" s="38"/>
      <c r="U64" s="42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42"/>
      <c r="AG64" s="38"/>
      <c r="AH64" s="38"/>
      <c r="AI64" s="42"/>
      <c r="AJ64" s="42"/>
    </row>
    <row r="65" ht="15.75" customHeight="1">
      <c r="A65" s="38"/>
      <c r="B65" s="38"/>
      <c r="C65" s="38"/>
      <c r="D65" s="38"/>
      <c r="E65" s="42"/>
      <c r="F65" s="38"/>
      <c r="G65" s="38"/>
      <c r="H65" s="38"/>
      <c r="I65" s="42"/>
      <c r="J65" s="38"/>
      <c r="K65" s="38"/>
      <c r="L65" s="38"/>
      <c r="M65" s="42"/>
      <c r="N65" s="38"/>
      <c r="O65" s="38"/>
      <c r="P65" s="38"/>
      <c r="Q65" s="42"/>
      <c r="R65" s="38"/>
      <c r="S65" s="38"/>
      <c r="T65" s="38"/>
      <c r="U65" s="42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42"/>
      <c r="AG65" s="38"/>
      <c r="AH65" s="38"/>
      <c r="AI65" s="42"/>
      <c r="AJ65" s="42"/>
    </row>
    <row r="66" ht="15.75" customHeight="1">
      <c r="A66" s="38"/>
      <c r="B66" s="38"/>
      <c r="C66" s="38"/>
      <c r="D66" s="38"/>
      <c r="E66" s="42"/>
      <c r="F66" s="38"/>
      <c r="G66" s="38"/>
      <c r="H66" s="38"/>
      <c r="I66" s="42"/>
      <c r="J66" s="38"/>
      <c r="K66" s="38"/>
      <c r="L66" s="38"/>
      <c r="M66" s="42"/>
      <c r="N66" s="38"/>
      <c r="O66" s="38"/>
      <c r="P66" s="38"/>
      <c r="Q66" s="42"/>
      <c r="R66" s="38"/>
      <c r="S66" s="38"/>
      <c r="T66" s="38"/>
      <c r="U66" s="42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42"/>
      <c r="AG66" s="38"/>
      <c r="AH66" s="38"/>
      <c r="AI66" s="42"/>
      <c r="AJ66" s="42"/>
    </row>
    <row r="67" ht="15.75" customHeight="1">
      <c r="A67" s="38"/>
      <c r="B67" s="38"/>
      <c r="C67" s="38"/>
      <c r="D67" s="38"/>
      <c r="E67" s="42"/>
      <c r="F67" s="38"/>
      <c r="G67" s="38"/>
      <c r="H67" s="38"/>
      <c r="I67" s="42"/>
      <c r="J67" s="38"/>
      <c r="K67" s="38"/>
      <c r="L67" s="38"/>
      <c r="M67" s="42"/>
      <c r="N67" s="38"/>
      <c r="O67" s="38"/>
      <c r="P67" s="38"/>
      <c r="Q67" s="42"/>
      <c r="R67" s="38"/>
      <c r="S67" s="38"/>
      <c r="T67" s="38"/>
      <c r="U67" s="42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42"/>
      <c r="AG67" s="38"/>
      <c r="AH67" s="38"/>
      <c r="AI67" s="42"/>
      <c r="AJ67" s="42"/>
    </row>
    <row r="68" ht="15.75" customHeight="1">
      <c r="A68" s="38"/>
      <c r="B68" s="38"/>
      <c r="C68" s="38"/>
      <c r="D68" s="38"/>
      <c r="E68" s="42"/>
      <c r="F68" s="38"/>
      <c r="G68" s="38"/>
      <c r="H68" s="38"/>
      <c r="I68" s="42"/>
      <c r="J68" s="38"/>
      <c r="K68" s="38"/>
      <c r="L68" s="38"/>
      <c r="M68" s="42"/>
      <c r="N68" s="38"/>
      <c r="O68" s="38"/>
      <c r="P68" s="38"/>
      <c r="Q68" s="42"/>
      <c r="R68" s="38"/>
      <c r="S68" s="38"/>
      <c r="T68" s="38"/>
      <c r="U68" s="42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42"/>
      <c r="AG68" s="38"/>
      <c r="AH68" s="38"/>
      <c r="AI68" s="42"/>
      <c r="AJ68" s="42"/>
    </row>
    <row r="69" ht="15.75" customHeight="1">
      <c r="A69" s="38"/>
      <c r="B69" s="38"/>
      <c r="C69" s="38"/>
      <c r="D69" s="38"/>
      <c r="E69" s="42"/>
      <c r="F69" s="38"/>
      <c r="G69" s="38"/>
      <c r="H69" s="38"/>
      <c r="I69" s="42"/>
      <c r="J69" s="38"/>
      <c r="K69" s="38"/>
      <c r="L69" s="38"/>
      <c r="M69" s="42"/>
      <c r="N69" s="38"/>
      <c r="O69" s="38"/>
      <c r="P69" s="38"/>
      <c r="Q69" s="42"/>
      <c r="R69" s="38"/>
      <c r="S69" s="38"/>
      <c r="T69" s="38"/>
      <c r="U69" s="42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42"/>
      <c r="AG69" s="38"/>
      <c r="AH69" s="38"/>
      <c r="AI69" s="42"/>
      <c r="AJ69" s="42"/>
    </row>
    <row r="70" ht="15.75" customHeight="1">
      <c r="A70" s="38"/>
      <c r="B70" s="38"/>
      <c r="C70" s="38"/>
      <c r="D70" s="38"/>
      <c r="E70" s="42"/>
      <c r="F70" s="38"/>
      <c r="G70" s="38"/>
      <c r="H70" s="38"/>
      <c r="I70" s="42"/>
      <c r="J70" s="38"/>
      <c r="K70" s="38"/>
      <c r="L70" s="38"/>
      <c r="M70" s="42"/>
      <c r="N70" s="38"/>
      <c r="O70" s="38"/>
      <c r="P70" s="38"/>
      <c r="Q70" s="42"/>
      <c r="R70" s="38"/>
      <c r="S70" s="38"/>
      <c r="T70" s="38"/>
      <c r="U70" s="42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42"/>
      <c r="AG70" s="38"/>
      <c r="AH70" s="38"/>
      <c r="AI70" s="42"/>
      <c r="AJ70" s="42"/>
    </row>
    <row r="71" ht="15.75" customHeight="1">
      <c r="A71" s="38"/>
      <c r="B71" s="38"/>
      <c r="C71" s="38"/>
      <c r="D71" s="38"/>
      <c r="E71" s="42"/>
      <c r="F71" s="38"/>
      <c r="G71" s="38"/>
      <c r="H71" s="38"/>
      <c r="I71" s="42"/>
      <c r="J71" s="38"/>
      <c r="K71" s="38"/>
      <c r="L71" s="38"/>
      <c r="M71" s="42"/>
      <c r="N71" s="38"/>
      <c r="O71" s="38"/>
      <c r="P71" s="38"/>
      <c r="Q71" s="42"/>
      <c r="R71" s="38"/>
      <c r="S71" s="38"/>
      <c r="T71" s="38"/>
      <c r="U71" s="42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42"/>
      <c r="AG71" s="38"/>
      <c r="AH71" s="38"/>
      <c r="AI71" s="42"/>
      <c r="AJ71" s="42"/>
    </row>
    <row r="72" ht="15.75" customHeight="1">
      <c r="A72" s="38"/>
      <c r="B72" s="38"/>
      <c r="C72" s="38"/>
      <c r="D72" s="38"/>
      <c r="E72" s="42"/>
      <c r="F72" s="38"/>
      <c r="G72" s="38"/>
      <c r="H72" s="38"/>
      <c r="I72" s="42"/>
      <c r="J72" s="38"/>
      <c r="K72" s="38"/>
      <c r="L72" s="38"/>
      <c r="M72" s="42"/>
      <c r="N72" s="38"/>
      <c r="O72" s="38"/>
      <c r="P72" s="38"/>
      <c r="Q72" s="42"/>
      <c r="R72" s="38"/>
      <c r="S72" s="38"/>
      <c r="T72" s="38"/>
      <c r="U72" s="42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42"/>
      <c r="AG72" s="38"/>
      <c r="AH72" s="38"/>
      <c r="AI72" s="42"/>
      <c r="AJ72" s="42"/>
    </row>
    <row r="73" ht="15.75" customHeight="1">
      <c r="A73" s="38"/>
      <c r="B73" s="38"/>
      <c r="C73" s="38"/>
      <c r="D73" s="38"/>
      <c r="E73" s="42"/>
      <c r="F73" s="38"/>
      <c r="G73" s="38"/>
      <c r="H73" s="38"/>
      <c r="I73" s="42"/>
      <c r="J73" s="38"/>
      <c r="K73" s="38"/>
      <c r="L73" s="38"/>
      <c r="M73" s="42"/>
      <c r="N73" s="38"/>
      <c r="O73" s="38"/>
      <c r="P73" s="38"/>
      <c r="Q73" s="42"/>
      <c r="R73" s="38"/>
      <c r="S73" s="38"/>
      <c r="T73" s="38"/>
      <c r="U73" s="42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42"/>
      <c r="AG73" s="38"/>
      <c r="AH73" s="38"/>
      <c r="AI73" s="42"/>
      <c r="AJ73" s="42"/>
    </row>
    <row r="74" ht="15.75" customHeight="1">
      <c r="A74" s="38"/>
      <c r="B74" s="38"/>
      <c r="C74" s="38"/>
      <c r="D74" s="38"/>
      <c r="E74" s="42"/>
      <c r="F74" s="38"/>
      <c r="G74" s="38"/>
      <c r="H74" s="38"/>
      <c r="I74" s="42"/>
      <c r="J74" s="38"/>
      <c r="K74" s="38"/>
      <c r="L74" s="38"/>
      <c r="M74" s="42"/>
      <c r="N74" s="38"/>
      <c r="O74" s="38"/>
      <c r="P74" s="38"/>
      <c r="Q74" s="42"/>
      <c r="R74" s="38"/>
      <c r="S74" s="38"/>
      <c r="T74" s="38"/>
      <c r="U74" s="42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42"/>
      <c r="AG74" s="38"/>
      <c r="AH74" s="38"/>
      <c r="AI74" s="42"/>
      <c r="AJ74" s="42"/>
    </row>
    <row r="75" ht="15.75" customHeight="1">
      <c r="A75" s="38"/>
      <c r="B75" s="38"/>
      <c r="C75" s="38"/>
      <c r="D75" s="38"/>
      <c r="E75" s="42"/>
      <c r="F75" s="38"/>
      <c r="G75" s="38"/>
      <c r="H75" s="38"/>
      <c r="I75" s="42"/>
      <c r="J75" s="38"/>
      <c r="K75" s="38"/>
      <c r="L75" s="38"/>
      <c r="M75" s="42"/>
      <c r="N75" s="38"/>
      <c r="O75" s="38"/>
      <c r="P75" s="38"/>
      <c r="Q75" s="42"/>
      <c r="R75" s="38"/>
      <c r="S75" s="38"/>
      <c r="T75" s="38"/>
      <c r="U75" s="42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42"/>
      <c r="AG75" s="38"/>
      <c r="AH75" s="38"/>
      <c r="AI75" s="42"/>
      <c r="AJ75" s="42"/>
    </row>
    <row r="76" ht="15.75" customHeight="1">
      <c r="A76" s="38"/>
      <c r="B76" s="38"/>
      <c r="C76" s="38"/>
      <c r="D76" s="38"/>
      <c r="E76" s="42"/>
      <c r="F76" s="38"/>
      <c r="G76" s="38"/>
      <c r="H76" s="38"/>
      <c r="I76" s="42"/>
      <c r="J76" s="38"/>
      <c r="K76" s="38"/>
      <c r="L76" s="38"/>
      <c r="M76" s="42"/>
      <c r="N76" s="38"/>
      <c r="O76" s="38"/>
      <c r="P76" s="38"/>
      <c r="Q76" s="42"/>
      <c r="R76" s="38"/>
      <c r="S76" s="38"/>
      <c r="T76" s="38"/>
      <c r="U76" s="42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42"/>
      <c r="AG76" s="38"/>
      <c r="AH76" s="38"/>
      <c r="AI76" s="42"/>
      <c r="AJ76" s="42"/>
    </row>
    <row r="77" ht="15.75" customHeight="1">
      <c r="A77" s="38"/>
      <c r="B77" s="38"/>
      <c r="C77" s="38"/>
      <c r="D77" s="38"/>
      <c r="E77" s="42"/>
      <c r="F77" s="38"/>
      <c r="G77" s="38"/>
      <c r="H77" s="38"/>
      <c r="I77" s="42"/>
      <c r="J77" s="38"/>
      <c r="K77" s="38"/>
      <c r="L77" s="38"/>
      <c r="M77" s="42"/>
      <c r="N77" s="38"/>
      <c r="O77" s="38"/>
      <c r="P77" s="38"/>
      <c r="Q77" s="42"/>
      <c r="R77" s="38"/>
      <c r="S77" s="38"/>
      <c r="T77" s="38"/>
      <c r="U77" s="42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42"/>
      <c r="AG77" s="38"/>
      <c r="AH77" s="38"/>
      <c r="AI77" s="42"/>
      <c r="AJ77" s="42"/>
    </row>
    <row r="78" ht="15.75" customHeight="1">
      <c r="A78" s="38"/>
      <c r="B78" s="38"/>
      <c r="C78" s="38"/>
      <c r="D78" s="38"/>
      <c r="E78" s="42"/>
      <c r="F78" s="38"/>
      <c r="G78" s="38"/>
      <c r="H78" s="38"/>
      <c r="I78" s="42"/>
      <c r="J78" s="38"/>
      <c r="K78" s="38"/>
      <c r="L78" s="38"/>
      <c r="M78" s="42"/>
      <c r="N78" s="38"/>
      <c r="O78" s="38"/>
      <c r="P78" s="38"/>
      <c r="Q78" s="42"/>
      <c r="R78" s="38"/>
      <c r="S78" s="38"/>
      <c r="T78" s="38"/>
      <c r="U78" s="42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42"/>
      <c r="AG78" s="38"/>
      <c r="AH78" s="38"/>
      <c r="AI78" s="42"/>
      <c r="AJ78" s="42"/>
    </row>
    <row r="79" ht="15.75" customHeight="1">
      <c r="A79" s="38"/>
      <c r="B79" s="38"/>
      <c r="C79" s="38"/>
      <c r="D79" s="38"/>
      <c r="E79" s="42"/>
      <c r="F79" s="38"/>
      <c r="G79" s="38"/>
      <c r="H79" s="38"/>
      <c r="I79" s="42"/>
      <c r="J79" s="38"/>
      <c r="K79" s="38"/>
      <c r="L79" s="38"/>
      <c r="M79" s="42"/>
      <c r="N79" s="38"/>
      <c r="O79" s="38"/>
      <c r="P79" s="38"/>
      <c r="Q79" s="42"/>
      <c r="R79" s="38"/>
      <c r="S79" s="38"/>
      <c r="T79" s="38"/>
      <c r="U79" s="42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42"/>
      <c r="AG79" s="38"/>
      <c r="AH79" s="38"/>
      <c r="AI79" s="42"/>
      <c r="AJ79" s="42"/>
    </row>
    <row r="80" ht="15.75" customHeight="1">
      <c r="A80" s="38"/>
      <c r="B80" s="38"/>
      <c r="C80" s="38"/>
      <c r="D80" s="38"/>
      <c r="E80" s="42"/>
      <c r="F80" s="38"/>
      <c r="G80" s="38"/>
      <c r="H80" s="38"/>
      <c r="I80" s="42"/>
      <c r="J80" s="38"/>
      <c r="K80" s="38"/>
      <c r="L80" s="38"/>
      <c r="M80" s="42"/>
      <c r="N80" s="38"/>
      <c r="O80" s="38"/>
      <c r="P80" s="38"/>
      <c r="Q80" s="42"/>
      <c r="R80" s="38"/>
      <c r="S80" s="38"/>
      <c r="T80" s="38"/>
      <c r="U80" s="42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42"/>
      <c r="AG80" s="38"/>
      <c r="AH80" s="38"/>
      <c r="AI80" s="42"/>
      <c r="AJ80" s="42"/>
    </row>
    <row r="81" ht="15.75" customHeight="1">
      <c r="A81" s="38"/>
      <c r="B81" s="38"/>
      <c r="C81" s="38"/>
      <c r="D81" s="38"/>
      <c r="E81" s="42"/>
      <c r="F81" s="38"/>
      <c r="G81" s="38"/>
      <c r="H81" s="38"/>
      <c r="I81" s="42"/>
      <c r="J81" s="38"/>
      <c r="K81" s="38"/>
      <c r="L81" s="38"/>
      <c r="M81" s="42"/>
      <c r="N81" s="38"/>
      <c r="O81" s="38"/>
      <c r="P81" s="38"/>
      <c r="Q81" s="42"/>
      <c r="R81" s="38"/>
      <c r="S81" s="38"/>
      <c r="T81" s="38"/>
      <c r="U81" s="42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42"/>
      <c r="AG81" s="38"/>
      <c r="AH81" s="38"/>
      <c r="AI81" s="42"/>
      <c r="AJ81" s="42"/>
    </row>
    <row r="82" ht="15.75" customHeight="1">
      <c r="A82" s="38"/>
      <c r="B82" s="38"/>
      <c r="C82" s="38"/>
      <c r="D82" s="38"/>
      <c r="E82" s="42"/>
      <c r="F82" s="38"/>
      <c r="G82" s="38"/>
      <c r="H82" s="38"/>
      <c r="I82" s="42"/>
      <c r="J82" s="38"/>
      <c r="K82" s="38"/>
      <c r="L82" s="38"/>
      <c r="M82" s="42"/>
      <c r="N82" s="38"/>
      <c r="O82" s="38"/>
      <c r="P82" s="38"/>
      <c r="Q82" s="42"/>
      <c r="R82" s="38"/>
      <c r="S82" s="38"/>
      <c r="T82" s="38"/>
      <c r="U82" s="42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42"/>
      <c r="AG82" s="38"/>
      <c r="AH82" s="38"/>
      <c r="AI82" s="42"/>
      <c r="AJ82" s="42"/>
    </row>
    <row r="83" ht="15.75" customHeight="1">
      <c r="A83" s="38"/>
      <c r="B83" s="38"/>
      <c r="C83" s="38"/>
      <c r="D83" s="38"/>
      <c r="E83" s="42"/>
      <c r="F83" s="38"/>
      <c r="G83" s="38"/>
      <c r="H83" s="38"/>
      <c r="I83" s="42"/>
      <c r="J83" s="38"/>
      <c r="K83" s="38"/>
      <c r="L83" s="38"/>
      <c r="M83" s="42"/>
      <c r="N83" s="38"/>
      <c r="O83" s="38"/>
      <c r="P83" s="38"/>
      <c r="Q83" s="42"/>
      <c r="R83" s="38"/>
      <c r="S83" s="38"/>
      <c r="T83" s="38"/>
      <c r="U83" s="42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42"/>
      <c r="AG83" s="38"/>
      <c r="AH83" s="38"/>
      <c r="AI83" s="42"/>
      <c r="AJ83" s="42"/>
    </row>
    <row r="84" ht="15.75" customHeight="1">
      <c r="A84" s="38"/>
      <c r="B84" s="38"/>
      <c r="C84" s="38"/>
      <c r="D84" s="38"/>
      <c r="E84" s="42"/>
      <c r="F84" s="38"/>
      <c r="G84" s="38"/>
      <c r="H84" s="38"/>
      <c r="I84" s="42"/>
      <c r="J84" s="38"/>
      <c r="K84" s="38"/>
      <c r="L84" s="38"/>
      <c r="M84" s="42"/>
      <c r="N84" s="38"/>
      <c r="O84" s="38"/>
      <c r="P84" s="38"/>
      <c r="Q84" s="42"/>
      <c r="R84" s="38"/>
      <c r="S84" s="38"/>
      <c r="T84" s="38"/>
      <c r="U84" s="42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42"/>
      <c r="AG84" s="38"/>
      <c r="AH84" s="38"/>
      <c r="AI84" s="42"/>
      <c r="AJ84" s="42"/>
    </row>
    <row r="85" ht="15.75" customHeight="1">
      <c r="A85" s="38"/>
      <c r="B85" s="38"/>
      <c r="C85" s="38"/>
      <c r="D85" s="38"/>
      <c r="E85" s="42"/>
      <c r="F85" s="38"/>
      <c r="G85" s="38"/>
      <c r="H85" s="38"/>
      <c r="I85" s="42"/>
      <c r="J85" s="38"/>
      <c r="K85" s="38"/>
      <c r="L85" s="38"/>
      <c r="M85" s="42"/>
      <c r="N85" s="38"/>
      <c r="O85" s="38"/>
      <c r="P85" s="38"/>
      <c r="Q85" s="42"/>
      <c r="R85" s="38"/>
      <c r="S85" s="38"/>
      <c r="T85" s="38"/>
      <c r="U85" s="42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42"/>
      <c r="AG85" s="38"/>
      <c r="AH85" s="38"/>
      <c r="AI85" s="42"/>
      <c r="AJ85" s="42"/>
    </row>
    <row r="86" ht="15.75" customHeight="1">
      <c r="A86" s="38"/>
      <c r="B86" s="38"/>
      <c r="C86" s="38"/>
      <c r="D86" s="38"/>
      <c r="E86" s="42"/>
      <c r="F86" s="38"/>
      <c r="G86" s="38"/>
      <c r="H86" s="38"/>
      <c r="I86" s="42"/>
      <c r="J86" s="38"/>
      <c r="K86" s="38"/>
      <c r="L86" s="38"/>
      <c r="M86" s="42"/>
      <c r="N86" s="38"/>
      <c r="O86" s="38"/>
      <c r="P86" s="38"/>
      <c r="Q86" s="42"/>
      <c r="R86" s="38"/>
      <c r="S86" s="38"/>
      <c r="T86" s="38"/>
      <c r="U86" s="42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42"/>
      <c r="AG86" s="38"/>
      <c r="AH86" s="38"/>
      <c r="AI86" s="42"/>
      <c r="AJ86" s="42"/>
    </row>
    <row r="87" ht="15.75" customHeight="1">
      <c r="A87" s="38"/>
      <c r="B87" s="38"/>
      <c r="C87" s="38"/>
      <c r="D87" s="38"/>
      <c r="E87" s="42"/>
      <c r="F87" s="38"/>
      <c r="G87" s="38"/>
      <c r="H87" s="38"/>
      <c r="I87" s="42"/>
      <c r="J87" s="38"/>
      <c r="K87" s="38"/>
      <c r="L87" s="38"/>
      <c r="M87" s="42"/>
      <c r="N87" s="38"/>
      <c r="O87" s="38"/>
      <c r="P87" s="38"/>
      <c r="Q87" s="42"/>
      <c r="R87" s="38"/>
      <c r="S87" s="38"/>
      <c r="T87" s="38"/>
      <c r="U87" s="42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42"/>
      <c r="AG87" s="38"/>
      <c r="AH87" s="38"/>
      <c r="AI87" s="42"/>
      <c r="AJ87" s="42"/>
    </row>
    <row r="88" ht="15.75" customHeight="1">
      <c r="A88" s="38"/>
      <c r="B88" s="38"/>
      <c r="C88" s="38"/>
      <c r="D88" s="38"/>
      <c r="E88" s="42"/>
      <c r="F88" s="38"/>
      <c r="G88" s="38"/>
      <c r="H88" s="38"/>
      <c r="I88" s="42"/>
      <c r="J88" s="38"/>
      <c r="K88" s="38"/>
      <c r="L88" s="38"/>
      <c r="M88" s="42"/>
      <c r="N88" s="38"/>
      <c r="O88" s="38"/>
      <c r="P88" s="38"/>
      <c r="Q88" s="42"/>
      <c r="R88" s="38"/>
      <c r="S88" s="38"/>
      <c r="T88" s="38"/>
      <c r="U88" s="42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42"/>
      <c r="AG88" s="38"/>
      <c r="AH88" s="38"/>
      <c r="AI88" s="42"/>
      <c r="AJ88" s="42"/>
    </row>
    <row r="89" ht="15.75" customHeight="1">
      <c r="A89" s="38"/>
      <c r="B89" s="38"/>
      <c r="C89" s="38"/>
      <c r="D89" s="38"/>
      <c r="E89" s="42"/>
      <c r="F89" s="38"/>
      <c r="G89" s="38"/>
      <c r="H89" s="38"/>
      <c r="I89" s="42"/>
      <c r="J89" s="38"/>
      <c r="K89" s="38"/>
      <c r="L89" s="38"/>
      <c r="M89" s="42"/>
      <c r="N89" s="38"/>
      <c r="O89" s="38"/>
      <c r="P89" s="38"/>
      <c r="Q89" s="42"/>
      <c r="R89" s="38"/>
      <c r="S89" s="38"/>
      <c r="T89" s="38"/>
      <c r="U89" s="42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42"/>
      <c r="AG89" s="38"/>
      <c r="AH89" s="38"/>
      <c r="AI89" s="42"/>
      <c r="AJ89" s="42"/>
    </row>
    <row r="90" ht="15.75" customHeight="1">
      <c r="A90" s="38"/>
      <c r="B90" s="38"/>
      <c r="C90" s="38"/>
      <c r="D90" s="38"/>
      <c r="E90" s="42"/>
      <c r="F90" s="38"/>
      <c r="G90" s="38"/>
      <c r="H90" s="38"/>
      <c r="I90" s="42"/>
      <c r="J90" s="38"/>
      <c r="K90" s="38"/>
      <c r="L90" s="38"/>
      <c r="M90" s="42"/>
      <c r="N90" s="38"/>
      <c r="O90" s="38"/>
      <c r="P90" s="38"/>
      <c r="Q90" s="42"/>
      <c r="R90" s="38"/>
      <c r="S90" s="38"/>
      <c r="T90" s="38"/>
      <c r="U90" s="42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42"/>
      <c r="AG90" s="38"/>
      <c r="AH90" s="38"/>
      <c r="AI90" s="42"/>
      <c r="AJ90" s="42"/>
    </row>
    <row r="91" ht="15.75" customHeight="1">
      <c r="A91" s="38"/>
      <c r="B91" s="38"/>
      <c r="C91" s="38"/>
      <c r="D91" s="38"/>
      <c r="E91" s="42"/>
      <c r="F91" s="38"/>
      <c r="G91" s="38"/>
      <c r="H91" s="38"/>
      <c r="I91" s="42"/>
      <c r="J91" s="38"/>
      <c r="K91" s="38"/>
      <c r="L91" s="38"/>
      <c r="M91" s="42"/>
      <c r="N91" s="38"/>
      <c r="O91" s="38"/>
      <c r="P91" s="38"/>
      <c r="Q91" s="42"/>
      <c r="R91" s="38"/>
      <c r="S91" s="38"/>
      <c r="T91" s="38"/>
      <c r="U91" s="42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42"/>
      <c r="AG91" s="38"/>
      <c r="AH91" s="38"/>
      <c r="AI91" s="42"/>
      <c r="AJ91" s="42"/>
    </row>
    <row r="92" ht="15.75" customHeight="1">
      <c r="A92" s="38"/>
      <c r="B92" s="38"/>
      <c r="C92" s="38"/>
      <c r="D92" s="38"/>
      <c r="E92" s="42"/>
      <c r="F92" s="38"/>
      <c r="G92" s="38"/>
      <c r="H92" s="38"/>
      <c r="I92" s="42"/>
      <c r="J92" s="38"/>
      <c r="K92" s="38"/>
      <c r="L92" s="38"/>
      <c r="M92" s="42"/>
      <c r="N92" s="38"/>
      <c r="O92" s="38"/>
      <c r="P92" s="38"/>
      <c r="Q92" s="42"/>
      <c r="R92" s="38"/>
      <c r="S92" s="38"/>
      <c r="T92" s="38"/>
      <c r="U92" s="42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42"/>
      <c r="AG92" s="38"/>
      <c r="AH92" s="38"/>
      <c r="AI92" s="42"/>
      <c r="AJ92" s="42"/>
    </row>
    <row r="93" ht="15.75" customHeight="1">
      <c r="A93" s="38"/>
      <c r="B93" s="38"/>
      <c r="C93" s="38"/>
      <c r="D93" s="38"/>
      <c r="E93" s="42"/>
      <c r="F93" s="38"/>
      <c r="G93" s="38"/>
      <c r="H93" s="38"/>
      <c r="I93" s="42"/>
      <c r="J93" s="38"/>
      <c r="K93" s="38"/>
      <c r="L93" s="38"/>
      <c r="M93" s="42"/>
      <c r="N93" s="38"/>
      <c r="O93" s="38"/>
      <c r="P93" s="38"/>
      <c r="Q93" s="42"/>
      <c r="R93" s="38"/>
      <c r="S93" s="38"/>
      <c r="T93" s="38"/>
      <c r="U93" s="42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42"/>
      <c r="AG93" s="38"/>
      <c r="AH93" s="38"/>
      <c r="AI93" s="42"/>
      <c r="AJ93" s="42"/>
    </row>
    <row r="94" ht="15.75" customHeight="1">
      <c r="A94" s="38"/>
      <c r="B94" s="38"/>
      <c r="C94" s="38"/>
      <c r="D94" s="38"/>
      <c r="E94" s="42"/>
      <c r="F94" s="38"/>
      <c r="G94" s="38"/>
      <c r="H94" s="38"/>
      <c r="I94" s="42"/>
      <c r="J94" s="38"/>
      <c r="K94" s="38"/>
      <c r="L94" s="38"/>
      <c r="M94" s="42"/>
      <c r="N94" s="38"/>
      <c r="O94" s="38"/>
      <c r="P94" s="38"/>
      <c r="Q94" s="42"/>
      <c r="R94" s="38"/>
      <c r="S94" s="38"/>
      <c r="T94" s="38"/>
      <c r="U94" s="42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42"/>
      <c r="AG94" s="38"/>
      <c r="AH94" s="38"/>
      <c r="AI94" s="42"/>
      <c r="AJ94" s="42"/>
    </row>
    <row r="95" ht="15.75" customHeight="1">
      <c r="A95" s="38"/>
      <c r="B95" s="38"/>
      <c r="C95" s="38"/>
      <c r="D95" s="38"/>
      <c r="E95" s="42"/>
      <c r="F95" s="38"/>
      <c r="G95" s="38"/>
      <c r="H95" s="38"/>
      <c r="I95" s="42"/>
      <c r="J95" s="38"/>
      <c r="K95" s="38"/>
      <c r="L95" s="38"/>
      <c r="M95" s="42"/>
      <c r="N95" s="38"/>
      <c r="O95" s="38"/>
      <c r="P95" s="38"/>
      <c r="Q95" s="42"/>
      <c r="R95" s="38"/>
      <c r="S95" s="38"/>
      <c r="T95" s="38"/>
      <c r="U95" s="42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42"/>
      <c r="AG95" s="38"/>
      <c r="AH95" s="38"/>
      <c r="AI95" s="42"/>
      <c r="AJ95" s="42"/>
    </row>
    <row r="96" ht="15.75" customHeight="1">
      <c r="A96" s="38"/>
      <c r="B96" s="38"/>
      <c r="C96" s="38"/>
      <c r="D96" s="38"/>
      <c r="E96" s="42"/>
      <c r="F96" s="38"/>
      <c r="G96" s="38"/>
      <c r="H96" s="38"/>
      <c r="I96" s="42"/>
      <c r="J96" s="38"/>
      <c r="K96" s="38"/>
      <c r="L96" s="38"/>
      <c r="M96" s="42"/>
      <c r="N96" s="38"/>
      <c r="O96" s="38"/>
      <c r="P96" s="38"/>
      <c r="Q96" s="42"/>
      <c r="R96" s="38"/>
      <c r="S96" s="38"/>
      <c r="T96" s="38"/>
      <c r="U96" s="42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42"/>
      <c r="AG96" s="38"/>
      <c r="AH96" s="38"/>
      <c r="AI96" s="42"/>
      <c r="AJ96" s="42"/>
    </row>
    <row r="97" ht="15.75" customHeight="1">
      <c r="A97" s="38"/>
      <c r="B97" s="38"/>
      <c r="C97" s="38"/>
      <c r="D97" s="38"/>
      <c r="E97" s="42"/>
      <c r="F97" s="38"/>
      <c r="G97" s="38"/>
      <c r="H97" s="38"/>
      <c r="I97" s="42"/>
      <c r="J97" s="38"/>
      <c r="K97" s="38"/>
      <c r="L97" s="38"/>
      <c r="M97" s="42"/>
      <c r="N97" s="38"/>
      <c r="O97" s="38"/>
      <c r="P97" s="38"/>
      <c r="Q97" s="42"/>
      <c r="R97" s="38"/>
      <c r="S97" s="38"/>
      <c r="T97" s="38"/>
      <c r="U97" s="42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42"/>
      <c r="AG97" s="38"/>
      <c r="AH97" s="38"/>
      <c r="AI97" s="42"/>
      <c r="AJ97" s="42"/>
    </row>
    <row r="98" ht="15.75" customHeight="1">
      <c r="A98" s="38"/>
      <c r="B98" s="38"/>
      <c r="C98" s="38"/>
      <c r="D98" s="38"/>
      <c r="E98" s="42"/>
      <c r="F98" s="38"/>
      <c r="G98" s="38"/>
      <c r="H98" s="38"/>
      <c r="I98" s="42"/>
      <c r="J98" s="38"/>
      <c r="K98" s="38"/>
      <c r="L98" s="38"/>
      <c r="M98" s="42"/>
      <c r="N98" s="38"/>
      <c r="O98" s="38"/>
      <c r="P98" s="38"/>
      <c r="Q98" s="42"/>
      <c r="R98" s="38"/>
      <c r="S98" s="38"/>
      <c r="T98" s="38"/>
      <c r="U98" s="42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42"/>
      <c r="AG98" s="38"/>
      <c r="AH98" s="38"/>
      <c r="AI98" s="42"/>
      <c r="AJ98" s="42"/>
    </row>
    <row r="99" ht="15.75" customHeight="1">
      <c r="A99" s="38"/>
      <c r="B99" s="38"/>
      <c r="C99" s="38"/>
      <c r="D99" s="38"/>
      <c r="E99" s="42"/>
      <c r="F99" s="38"/>
      <c r="G99" s="38"/>
      <c r="H99" s="38"/>
      <c r="I99" s="42"/>
      <c r="J99" s="38"/>
      <c r="K99" s="38"/>
      <c r="L99" s="38"/>
      <c r="M99" s="42"/>
      <c r="N99" s="38"/>
      <c r="O99" s="38"/>
      <c r="P99" s="38"/>
      <c r="Q99" s="42"/>
      <c r="R99" s="38"/>
      <c r="S99" s="38"/>
      <c r="T99" s="38"/>
      <c r="U99" s="42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42"/>
      <c r="AG99" s="38"/>
      <c r="AH99" s="38"/>
      <c r="AI99" s="42"/>
      <c r="AJ99" s="42"/>
    </row>
    <row r="100" ht="15.75" customHeight="1">
      <c r="A100" s="38"/>
      <c r="B100" s="38"/>
      <c r="C100" s="38"/>
      <c r="D100" s="38"/>
      <c r="E100" s="42"/>
      <c r="F100" s="38"/>
      <c r="G100" s="38"/>
      <c r="H100" s="38"/>
      <c r="I100" s="42"/>
      <c r="J100" s="38"/>
      <c r="K100" s="38"/>
      <c r="L100" s="38"/>
      <c r="M100" s="42"/>
      <c r="N100" s="38"/>
      <c r="O100" s="38"/>
      <c r="P100" s="38"/>
      <c r="Q100" s="42"/>
      <c r="R100" s="38"/>
      <c r="S100" s="38"/>
      <c r="T100" s="38"/>
      <c r="U100" s="42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42"/>
      <c r="AG100" s="38"/>
      <c r="AH100" s="38"/>
      <c r="AI100" s="42"/>
      <c r="AJ100" s="42"/>
    </row>
    <row r="101" ht="15.75" customHeight="1">
      <c r="A101" s="38"/>
      <c r="B101" s="38"/>
      <c r="C101" s="38"/>
      <c r="D101" s="38"/>
      <c r="E101" s="42"/>
      <c r="F101" s="38"/>
      <c r="G101" s="38"/>
      <c r="H101" s="38"/>
      <c r="I101" s="42"/>
      <c r="J101" s="38"/>
      <c r="K101" s="38"/>
      <c r="L101" s="38"/>
      <c r="M101" s="42"/>
      <c r="N101" s="38"/>
      <c r="O101" s="38"/>
      <c r="P101" s="38"/>
      <c r="Q101" s="42"/>
      <c r="R101" s="38"/>
      <c r="S101" s="38"/>
      <c r="T101" s="38"/>
      <c r="U101" s="42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42"/>
      <c r="AG101" s="38"/>
      <c r="AH101" s="38"/>
      <c r="AI101" s="42"/>
      <c r="AJ101" s="42"/>
    </row>
    <row r="102" ht="15.75" customHeight="1">
      <c r="A102" s="38"/>
      <c r="B102" s="38"/>
      <c r="C102" s="38"/>
      <c r="D102" s="38"/>
      <c r="E102" s="42"/>
      <c r="F102" s="38"/>
      <c r="G102" s="38"/>
      <c r="H102" s="38"/>
      <c r="I102" s="42"/>
      <c r="J102" s="38"/>
      <c r="K102" s="38"/>
      <c r="L102" s="38"/>
      <c r="M102" s="42"/>
      <c r="N102" s="38"/>
      <c r="O102" s="38"/>
      <c r="P102" s="38"/>
      <c r="Q102" s="42"/>
      <c r="R102" s="38"/>
      <c r="S102" s="38"/>
      <c r="T102" s="38"/>
      <c r="U102" s="42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42"/>
      <c r="AG102" s="38"/>
      <c r="AH102" s="38"/>
      <c r="AI102" s="42"/>
      <c r="AJ102" s="42"/>
    </row>
    <row r="103" ht="15.75" customHeight="1">
      <c r="A103" s="38"/>
      <c r="B103" s="38"/>
      <c r="C103" s="38"/>
      <c r="D103" s="38"/>
      <c r="E103" s="42"/>
      <c r="F103" s="38"/>
      <c r="G103" s="38"/>
      <c r="H103" s="38"/>
      <c r="I103" s="42"/>
      <c r="J103" s="38"/>
      <c r="K103" s="38"/>
      <c r="L103" s="38"/>
      <c r="M103" s="42"/>
      <c r="N103" s="38"/>
      <c r="O103" s="38"/>
      <c r="P103" s="38"/>
      <c r="Q103" s="42"/>
      <c r="R103" s="38"/>
      <c r="S103" s="38"/>
      <c r="T103" s="38"/>
      <c r="U103" s="42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42"/>
      <c r="AG103" s="38"/>
      <c r="AH103" s="38"/>
      <c r="AI103" s="42"/>
      <c r="AJ103" s="42"/>
    </row>
    <row r="104" ht="15.75" customHeight="1">
      <c r="A104" s="38"/>
      <c r="B104" s="38"/>
      <c r="C104" s="38"/>
      <c r="D104" s="38"/>
      <c r="E104" s="42"/>
      <c r="F104" s="38"/>
      <c r="G104" s="38"/>
      <c r="H104" s="38"/>
      <c r="I104" s="42"/>
      <c r="J104" s="38"/>
      <c r="K104" s="38"/>
      <c r="L104" s="38"/>
      <c r="M104" s="42"/>
      <c r="N104" s="38"/>
      <c r="O104" s="38"/>
      <c r="P104" s="38"/>
      <c r="Q104" s="42"/>
      <c r="R104" s="38"/>
      <c r="S104" s="38"/>
      <c r="T104" s="38"/>
      <c r="U104" s="42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42"/>
      <c r="AG104" s="38"/>
      <c r="AH104" s="38"/>
      <c r="AI104" s="42"/>
      <c r="AJ104" s="42"/>
    </row>
    <row r="105" ht="15.75" customHeight="1">
      <c r="A105" s="38"/>
      <c r="B105" s="38"/>
      <c r="C105" s="38"/>
      <c r="D105" s="38"/>
      <c r="E105" s="42"/>
      <c r="F105" s="38"/>
      <c r="G105" s="38"/>
      <c r="H105" s="38"/>
      <c r="I105" s="42"/>
      <c r="J105" s="38"/>
      <c r="K105" s="38"/>
      <c r="L105" s="38"/>
      <c r="M105" s="42"/>
      <c r="N105" s="38"/>
      <c r="O105" s="38"/>
      <c r="P105" s="38"/>
      <c r="Q105" s="42"/>
      <c r="R105" s="38"/>
      <c r="S105" s="38"/>
      <c r="T105" s="38"/>
      <c r="U105" s="42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42"/>
      <c r="AG105" s="38"/>
      <c r="AH105" s="38"/>
      <c r="AI105" s="42"/>
      <c r="AJ105" s="42"/>
    </row>
    <row r="106" ht="15.75" customHeight="1">
      <c r="A106" s="38"/>
      <c r="B106" s="38"/>
      <c r="C106" s="38"/>
      <c r="D106" s="38"/>
      <c r="E106" s="42"/>
      <c r="F106" s="38"/>
      <c r="G106" s="38"/>
      <c r="H106" s="38"/>
      <c r="I106" s="42"/>
      <c r="J106" s="38"/>
      <c r="K106" s="38"/>
      <c r="L106" s="38"/>
      <c r="M106" s="42"/>
      <c r="N106" s="38"/>
      <c r="O106" s="38"/>
      <c r="P106" s="38"/>
      <c r="Q106" s="42"/>
      <c r="R106" s="38"/>
      <c r="S106" s="38"/>
      <c r="T106" s="38"/>
      <c r="U106" s="42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42"/>
      <c r="AG106" s="38"/>
      <c r="AH106" s="38"/>
      <c r="AI106" s="42"/>
      <c r="AJ106" s="42"/>
    </row>
    <row r="107" ht="15.75" customHeight="1">
      <c r="A107" s="38"/>
      <c r="B107" s="38"/>
      <c r="C107" s="38"/>
      <c r="D107" s="38"/>
      <c r="E107" s="42"/>
      <c r="F107" s="38"/>
      <c r="G107" s="38"/>
      <c r="H107" s="38"/>
      <c r="I107" s="42"/>
      <c r="J107" s="38"/>
      <c r="K107" s="38"/>
      <c r="L107" s="38"/>
      <c r="M107" s="42"/>
      <c r="N107" s="38"/>
      <c r="O107" s="38"/>
      <c r="P107" s="38"/>
      <c r="Q107" s="42"/>
      <c r="R107" s="38"/>
      <c r="S107" s="38"/>
      <c r="T107" s="38"/>
      <c r="U107" s="42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42"/>
      <c r="AG107" s="38"/>
      <c r="AH107" s="38"/>
      <c r="AI107" s="42"/>
      <c r="AJ107" s="42"/>
    </row>
    <row r="108" ht="15.75" customHeight="1">
      <c r="A108" s="38"/>
      <c r="B108" s="38"/>
      <c r="C108" s="38"/>
      <c r="D108" s="38"/>
      <c r="E108" s="42"/>
      <c r="F108" s="38"/>
      <c r="G108" s="38"/>
      <c r="H108" s="38"/>
      <c r="I108" s="42"/>
      <c r="J108" s="38"/>
      <c r="K108" s="38"/>
      <c r="L108" s="38"/>
      <c r="M108" s="42"/>
      <c r="N108" s="38"/>
      <c r="O108" s="38"/>
      <c r="P108" s="38"/>
      <c r="Q108" s="42"/>
      <c r="R108" s="38"/>
      <c r="S108" s="38"/>
      <c r="T108" s="38"/>
      <c r="U108" s="42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42"/>
      <c r="AG108" s="38"/>
      <c r="AH108" s="38"/>
      <c r="AI108" s="42"/>
      <c r="AJ108" s="42"/>
    </row>
    <row r="109" ht="15.75" customHeight="1">
      <c r="A109" s="38"/>
      <c r="B109" s="38"/>
      <c r="C109" s="38"/>
      <c r="D109" s="38"/>
      <c r="E109" s="42"/>
      <c r="F109" s="38"/>
      <c r="G109" s="38"/>
      <c r="H109" s="38"/>
      <c r="I109" s="42"/>
      <c r="J109" s="38"/>
      <c r="K109" s="38"/>
      <c r="L109" s="38"/>
      <c r="M109" s="42"/>
      <c r="N109" s="38"/>
      <c r="O109" s="38"/>
      <c r="P109" s="38"/>
      <c r="Q109" s="42"/>
      <c r="R109" s="38"/>
      <c r="S109" s="38"/>
      <c r="T109" s="38"/>
      <c r="U109" s="42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42"/>
      <c r="AG109" s="38"/>
      <c r="AH109" s="38"/>
      <c r="AI109" s="42"/>
      <c r="AJ109" s="42"/>
    </row>
    <row r="110" ht="15.75" customHeight="1">
      <c r="A110" s="38"/>
      <c r="B110" s="38"/>
      <c r="C110" s="38"/>
      <c r="D110" s="38"/>
      <c r="E110" s="42"/>
      <c r="F110" s="38"/>
      <c r="G110" s="38"/>
      <c r="H110" s="38"/>
      <c r="I110" s="42"/>
      <c r="J110" s="38"/>
      <c r="K110" s="38"/>
      <c r="L110" s="38"/>
      <c r="M110" s="42"/>
      <c r="N110" s="38"/>
      <c r="O110" s="38"/>
      <c r="P110" s="38"/>
      <c r="Q110" s="42"/>
      <c r="R110" s="38"/>
      <c r="S110" s="38"/>
      <c r="T110" s="38"/>
      <c r="U110" s="42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42"/>
      <c r="AG110" s="38"/>
      <c r="AH110" s="38"/>
      <c r="AI110" s="42"/>
      <c r="AJ110" s="42"/>
    </row>
    <row r="111" ht="15.75" customHeight="1">
      <c r="A111" s="38"/>
      <c r="B111" s="38"/>
      <c r="C111" s="38"/>
      <c r="D111" s="38"/>
      <c r="E111" s="42"/>
      <c r="F111" s="38"/>
      <c r="G111" s="38"/>
      <c r="H111" s="38"/>
      <c r="I111" s="42"/>
      <c r="J111" s="38"/>
      <c r="K111" s="38"/>
      <c r="L111" s="38"/>
      <c r="M111" s="42"/>
      <c r="N111" s="38"/>
      <c r="O111" s="38"/>
      <c r="P111" s="38"/>
      <c r="Q111" s="42"/>
      <c r="R111" s="38"/>
      <c r="S111" s="38"/>
      <c r="T111" s="38"/>
      <c r="U111" s="42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42"/>
      <c r="AG111" s="38"/>
      <c r="AH111" s="38"/>
      <c r="AI111" s="42"/>
      <c r="AJ111" s="42"/>
    </row>
    <row r="112" ht="15.75" customHeight="1">
      <c r="A112" s="38"/>
      <c r="B112" s="38"/>
      <c r="C112" s="38"/>
      <c r="D112" s="38"/>
      <c r="E112" s="42"/>
      <c r="F112" s="38"/>
      <c r="G112" s="38"/>
      <c r="H112" s="38"/>
      <c r="I112" s="42"/>
      <c r="J112" s="38"/>
      <c r="K112" s="38"/>
      <c r="L112" s="38"/>
      <c r="M112" s="42"/>
      <c r="N112" s="38"/>
      <c r="O112" s="38"/>
      <c r="P112" s="38"/>
      <c r="Q112" s="42"/>
      <c r="R112" s="38"/>
      <c r="S112" s="38"/>
      <c r="T112" s="38"/>
      <c r="U112" s="42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42"/>
      <c r="AG112" s="38"/>
      <c r="AH112" s="38"/>
      <c r="AI112" s="42"/>
      <c r="AJ112" s="42"/>
    </row>
    <row r="113" ht="15.75" customHeight="1">
      <c r="A113" s="38"/>
      <c r="B113" s="38"/>
      <c r="C113" s="38"/>
      <c r="D113" s="38"/>
      <c r="E113" s="42"/>
      <c r="F113" s="38"/>
      <c r="G113" s="38"/>
      <c r="H113" s="38"/>
      <c r="I113" s="42"/>
      <c r="J113" s="38"/>
      <c r="K113" s="38"/>
      <c r="L113" s="38"/>
      <c r="M113" s="42"/>
      <c r="N113" s="38"/>
      <c r="O113" s="38"/>
      <c r="P113" s="38"/>
      <c r="Q113" s="42"/>
      <c r="R113" s="38"/>
      <c r="S113" s="38"/>
      <c r="T113" s="38"/>
      <c r="U113" s="42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42"/>
      <c r="AG113" s="38"/>
      <c r="AH113" s="38"/>
      <c r="AI113" s="42"/>
      <c r="AJ113" s="42"/>
    </row>
    <row r="114" ht="15.75" customHeight="1">
      <c r="A114" s="38"/>
      <c r="B114" s="38"/>
      <c r="C114" s="38"/>
      <c r="D114" s="38"/>
      <c r="E114" s="42"/>
      <c r="F114" s="38"/>
      <c r="G114" s="38"/>
      <c r="H114" s="38"/>
      <c r="I114" s="42"/>
      <c r="J114" s="38"/>
      <c r="K114" s="38"/>
      <c r="L114" s="38"/>
      <c r="M114" s="42"/>
      <c r="N114" s="38"/>
      <c r="O114" s="38"/>
      <c r="P114" s="38"/>
      <c r="Q114" s="42"/>
      <c r="R114" s="38"/>
      <c r="S114" s="38"/>
      <c r="T114" s="38"/>
      <c r="U114" s="42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42"/>
      <c r="AG114" s="38"/>
      <c r="AH114" s="38"/>
      <c r="AI114" s="42"/>
      <c r="AJ114" s="42"/>
    </row>
    <row r="115" ht="15.75" customHeight="1">
      <c r="A115" s="38"/>
      <c r="B115" s="38"/>
      <c r="C115" s="38"/>
      <c r="D115" s="38"/>
      <c r="E115" s="42"/>
      <c r="F115" s="38"/>
      <c r="G115" s="38"/>
      <c r="H115" s="38"/>
      <c r="I115" s="42"/>
      <c r="J115" s="38"/>
      <c r="K115" s="38"/>
      <c r="L115" s="38"/>
      <c r="M115" s="42"/>
      <c r="N115" s="38"/>
      <c r="O115" s="38"/>
      <c r="P115" s="38"/>
      <c r="Q115" s="42"/>
      <c r="R115" s="38"/>
      <c r="S115" s="38"/>
      <c r="T115" s="38"/>
      <c r="U115" s="42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42"/>
      <c r="AG115" s="38"/>
      <c r="AH115" s="38"/>
      <c r="AI115" s="42"/>
      <c r="AJ115" s="42"/>
    </row>
    <row r="116" ht="15.75" customHeight="1">
      <c r="A116" s="38"/>
      <c r="B116" s="38"/>
      <c r="C116" s="38"/>
      <c r="D116" s="38"/>
      <c r="E116" s="42"/>
      <c r="F116" s="38"/>
      <c r="G116" s="38"/>
      <c r="H116" s="38"/>
      <c r="I116" s="42"/>
      <c r="J116" s="38"/>
      <c r="K116" s="38"/>
      <c r="L116" s="38"/>
      <c r="M116" s="42"/>
      <c r="N116" s="38"/>
      <c r="O116" s="38"/>
      <c r="P116" s="38"/>
      <c r="Q116" s="42"/>
      <c r="R116" s="38"/>
      <c r="S116" s="38"/>
      <c r="T116" s="38"/>
      <c r="U116" s="42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42"/>
      <c r="AG116" s="38"/>
      <c r="AH116" s="38"/>
      <c r="AI116" s="42"/>
      <c r="AJ116" s="42"/>
    </row>
    <row r="117" ht="15.75" customHeight="1">
      <c r="A117" s="38"/>
      <c r="B117" s="38"/>
      <c r="C117" s="38"/>
      <c r="D117" s="38"/>
      <c r="E117" s="42"/>
      <c r="F117" s="38"/>
      <c r="G117" s="38"/>
      <c r="H117" s="38"/>
      <c r="I117" s="42"/>
      <c r="J117" s="38"/>
      <c r="K117" s="38"/>
      <c r="L117" s="38"/>
      <c r="M117" s="42"/>
      <c r="N117" s="38"/>
      <c r="O117" s="38"/>
      <c r="P117" s="38"/>
      <c r="Q117" s="42"/>
      <c r="R117" s="38"/>
      <c r="S117" s="38"/>
      <c r="T117" s="38"/>
      <c r="U117" s="42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42"/>
      <c r="AG117" s="38"/>
      <c r="AH117" s="38"/>
      <c r="AI117" s="42"/>
      <c r="AJ117" s="42"/>
    </row>
    <row r="118" ht="15.75" customHeight="1">
      <c r="A118" s="38"/>
      <c r="B118" s="38"/>
      <c r="C118" s="38"/>
      <c r="D118" s="38"/>
      <c r="E118" s="42"/>
      <c r="F118" s="38"/>
      <c r="G118" s="38"/>
      <c r="H118" s="38"/>
      <c r="I118" s="42"/>
      <c r="J118" s="38"/>
      <c r="K118" s="38"/>
      <c r="L118" s="38"/>
      <c r="M118" s="42"/>
      <c r="N118" s="38"/>
      <c r="O118" s="38"/>
      <c r="P118" s="38"/>
      <c r="Q118" s="42"/>
      <c r="R118" s="38"/>
      <c r="S118" s="38"/>
      <c r="T118" s="38"/>
      <c r="U118" s="42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42"/>
      <c r="AG118" s="38"/>
      <c r="AH118" s="38"/>
      <c r="AI118" s="42"/>
      <c r="AJ118" s="42"/>
    </row>
    <row r="119" ht="15.75" customHeight="1">
      <c r="A119" s="38"/>
      <c r="B119" s="38"/>
      <c r="C119" s="38"/>
      <c r="D119" s="38"/>
      <c r="E119" s="42"/>
      <c r="F119" s="38"/>
      <c r="G119" s="38"/>
      <c r="H119" s="38"/>
      <c r="I119" s="42"/>
      <c r="J119" s="38"/>
      <c r="K119" s="38"/>
      <c r="L119" s="38"/>
      <c r="M119" s="42"/>
      <c r="N119" s="38"/>
      <c r="O119" s="38"/>
      <c r="P119" s="38"/>
      <c r="Q119" s="42"/>
      <c r="R119" s="38"/>
      <c r="S119" s="38"/>
      <c r="T119" s="38"/>
      <c r="U119" s="42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42"/>
      <c r="AG119" s="38"/>
      <c r="AH119" s="38"/>
      <c r="AI119" s="42"/>
      <c r="AJ119" s="42"/>
    </row>
    <row r="120" ht="15.75" customHeight="1">
      <c r="A120" s="38"/>
      <c r="B120" s="38"/>
      <c r="C120" s="38"/>
      <c r="D120" s="38"/>
      <c r="E120" s="42"/>
      <c r="F120" s="38"/>
      <c r="G120" s="38"/>
      <c r="H120" s="38"/>
      <c r="I120" s="42"/>
      <c r="J120" s="38"/>
      <c r="K120" s="38"/>
      <c r="L120" s="38"/>
      <c r="M120" s="42"/>
      <c r="N120" s="38"/>
      <c r="O120" s="38"/>
      <c r="P120" s="38"/>
      <c r="Q120" s="42"/>
      <c r="R120" s="38"/>
      <c r="S120" s="38"/>
      <c r="T120" s="38"/>
      <c r="U120" s="42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42"/>
      <c r="AG120" s="38"/>
      <c r="AH120" s="38"/>
      <c r="AI120" s="42"/>
      <c r="AJ120" s="42"/>
    </row>
    <row r="121" ht="15.75" customHeight="1">
      <c r="A121" s="38"/>
      <c r="B121" s="38"/>
      <c r="C121" s="38"/>
      <c r="D121" s="38"/>
      <c r="E121" s="42"/>
      <c r="F121" s="38"/>
      <c r="G121" s="38"/>
      <c r="H121" s="38"/>
      <c r="I121" s="42"/>
      <c r="J121" s="38"/>
      <c r="K121" s="38"/>
      <c r="L121" s="38"/>
      <c r="M121" s="42"/>
      <c r="N121" s="38"/>
      <c r="O121" s="38"/>
      <c r="P121" s="38"/>
      <c r="Q121" s="42"/>
      <c r="R121" s="38"/>
      <c r="S121" s="38"/>
      <c r="T121" s="38"/>
      <c r="U121" s="42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42"/>
      <c r="AG121" s="38"/>
      <c r="AH121" s="38"/>
      <c r="AI121" s="42"/>
      <c r="AJ121" s="42"/>
    </row>
    <row r="122" ht="15.75" customHeight="1">
      <c r="A122" s="38"/>
      <c r="B122" s="38"/>
      <c r="C122" s="38"/>
      <c r="D122" s="38"/>
      <c r="E122" s="42"/>
      <c r="F122" s="38"/>
      <c r="G122" s="38"/>
      <c r="H122" s="38"/>
      <c r="I122" s="42"/>
      <c r="J122" s="38"/>
      <c r="K122" s="38"/>
      <c r="L122" s="38"/>
      <c r="M122" s="42"/>
      <c r="N122" s="38"/>
      <c r="O122" s="38"/>
      <c r="P122" s="38"/>
      <c r="Q122" s="42"/>
      <c r="R122" s="38"/>
      <c r="S122" s="38"/>
      <c r="T122" s="38"/>
      <c r="U122" s="42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42"/>
      <c r="AG122" s="38"/>
      <c r="AH122" s="38"/>
      <c r="AI122" s="42"/>
      <c r="AJ122" s="42"/>
    </row>
    <row r="123" ht="15.75" customHeight="1">
      <c r="A123" s="38"/>
      <c r="B123" s="38"/>
      <c r="C123" s="38"/>
      <c r="D123" s="38"/>
      <c r="E123" s="42"/>
      <c r="F123" s="38"/>
      <c r="G123" s="38"/>
      <c r="H123" s="38"/>
      <c r="I123" s="42"/>
      <c r="J123" s="38"/>
      <c r="K123" s="38"/>
      <c r="L123" s="38"/>
      <c r="M123" s="42"/>
      <c r="N123" s="38"/>
      <c r="O123" s="38"/>
      <c r="P123" s="38"/>
      <c r="Q123" s="42"/>
      <c r="R123" s="38"/>
      <c r="S123" s="38"/>
      <c r="T123" s="38"/>
      <c r="U123" s="42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42"/>
      <c r="AG123" s="38"/>
      <c r="AH123" s="38"/>
      <c r="AI123" s="42"/>
      <c r="AJ123" s="42"/>
    </row>
    <row r="124" ht="15.75" customHeight="1">
      <c r="A124" s="38"/>
      <c r="B124" s="38"/>
      <c r="C124" s="38"/>
      <c r="D124" s="38"/>
      <c r="E124" s="42"/>
      <c r="F124" s="38"/>
      <c r="G124" s="38"/>
      <c r="H124" s="38"/>
      <c r="I124" s="42"/>
      <c r="J124" s="38"/>
      <c r="K124" s="38"/>
      <c r="L124" s="38"/>
      <c r="M124" s="42"/>
      <c r="N124" s="38"/>
      <c r="O124" s="38"/>
      <c r="P124" s="38"/>
      <c r="Q124" s="42"/>
      <c r="R124" s="38"/>
      <c r="S124" s="38"/>
      <c r="T124" s="38"/>
      <c r="U124" s="42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42"/>
      <c r="AG124" s="38"/>
      <c r="AH124" s="38"/>
      <c r="AI124" s="42"/>
      <c r="AJ124" s="42"/>
    </row>
    <row r="125" ht="15.75" customHeight="1">
      <c r="A125" s="38"/>
      <c r="B125" s="38"/>
      <c r="C125" s="38"/>
      <c r="D125" s="38"/>
      <c r="E125" s="42"/>
      <c r="F125" s="38"/>
      <c r="G125" s="38"/>
      <c r="H125" s="38"/>
      <c r="I125" s="42"/>
      <c r="J125" s="38"/>
      <c r="K125" s="38"/>
      <c r="L125" s="38"/>
      <c r="M125" s="42"/>
      <c r="N125" s="38"/>
      <c r="O125" s="38"/>
      <c r="P125" s="38"/>
      <c r="Q125" s="42"/>
      <c r="R125" s="38"/>
      <c r="S125" s="38"/>
      <c r="T125" s="38"/>
      <c r="U125" s="42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42"/>
      <c r="AG125" s="38"/>
      <c r="AH125" s="38"/>
      <c r="AI125" s="42"/>
      <c r="AJ125" s="42"/>
    </row>
    <row r="126" ht="15.75" customHeight="1">
      <c r="A126" s="38"/>
      <c r="B126" s="38"/>
      <c r="C126" s="38"/>
      <c r="D126" s="38"/>
      <c r="E126" s="42"/>
      <c r="F126" s="38"/>
      <c r="G126" s="38"/>
      <c r="H126" s="38"/>
      <c r="I126" s="42"/>
      <c r="J126" s="38"/>
      <c r="K126" s="38"/>
      <c r="L126" s="38"/>
      <c r="M126" s="42"/>
      <c r="N126" s="38"/>
      <c r="O126" s="38"/>
      <c r="P126" s="38"/>
      <c r="Q126" s="42"/>
      <c r="R126" s="38"/>
      <c r="S126" s="38"/>
      <c r="T126" s="38"/>
      <c r="U126" s="42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42"/>
      <c r="AG126" s="38"/>
      <c r="AH126" s="38"/>
      <c r="AI126" s="42"/>
      <c r="AJ126" s="42"/>
    </row>
    <row r="127" ht="15.75" customHeight="1">
      <c r="A127" s="38"/>
      <c r="B127" s="38"/>
      <c r="C127" s="38"/>
      <c r="D127" s="38"/>
      <c r="E127" s="42"/>
      <c r="F127" s="38"/>
      <c r="G127" s="38"/>
      <c r="H127" s="38"/>
      <c r="I127" s="42"/>
      <c r="J127" s="38"/>
      <c r="K127" s="38"/>
      <c r="L127" s="38"/>
      <c r="M127" s="42"/>
      <c r="N127" s="38"/>
      <c r="O127" s="38"/>
      <c r="P127" s="38"/>
      <c r="Q127" s="42"/>
      <c r="R127" s="38"/>
      <c r="S127" s="38"/>
      <c r="T127" s="38"/>
      <c r="U127" s="42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42"/>
      <c r="AG127" s="38"/>
      <c r="AH127" s="38"/>
      <c r="AI127" s="42"/>
      <c r="AJ127" s="42"/>
    </row>
    <row r="128" ht="15.75" customHeight="1">
      <c r="A128" s="38"/>
      <c r="B128" s="38"/>
      <c r="C128" s="38"/>
      <c r="D128" s="38"/>
      <c r="E128" s="42"/>
      <c r="F128" s="38"/>
      <c r="G128" s="38"/>
      <c r="H128" s="38"/>
      <c r="I128" s="42"/>
      <c r="J128" s="38"/>
      <c r="K128" s="38"/>
      <c r="L128" s="38"/>
      <c r="M128" s="42"/>
      <c r="N128" s="38"/>
      <c r="O128" s="38"/>
      <c r="P128" s="38"/>
      <c r="Q128" s="42"/>
      <c r="R128" s="38"/>
      <c r="S128" s="38"/>
      <c r="T128" s="38"/>
      <c r="U128" s="42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42"/>
      <c r="AG128" s="38"/>
      <c r="AH128" s="38"/>
      <c r="AI128" s="42"/>
      <c r="AJ128" s="42"/>
    </row>
    <row r="129" ht="15.75" customHeight="1">
      <c r="A129" s="38"/>
      <c r="B129" s="38"/>
      <c r="C129" s="38"/>
      <c r="D129" s="38"/>
      <c r="E129" s="42"/>
      <c r="F129" s="38"/>
      <c r="G129" s="38"/>
      <c r="H129" s="38"/>
      <c r="I129" s="42"/>
      <c r="J129" s="38"/>
      <c r="K129" s="38"/>
      <c r="L129" s="38"/>
      <c r="M129" s="42"/>
      <c r="N129" s="38"/>
      <c r="O129" s="38"/>
      <c r="P129" s="38"/>
      <c r="Q129" s="42"/>
      <c r="R129" s="38"/>
      <c r="S129" s="38"/>
      <c r="T129" s="38"/>
      <c r="U129" s="42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42"/>
      <c r="AG129" s="38"/>
      <c r="AH129" s="38"/>
      <c r="AI129" s="42"/>
      <c r="AJ129" s="42"/>
    </row>
    <row r="130" ht="15.75" customHeight="1">
      <c r="A130" s="38"/>
      <c r="B130" s="38"/>
      <c r="C130" s="38"/>
      <c r="D130" s="38"/>
      <c r="E130" s="42"/>
      <c r="F130" s="38"/>
      <c r="G130" s="38"/>
      <c r="H130" s="38"/>
      <c r="I130" s="42"/>
      <c r="J130" s="38"/>
      <c r="K130" s="38"/>
      <c r="L130" s="38"/>
      <c r="M130" s="42"/>
      <c r="N130" s="38"/>
      <c r="O130" s="38"/>
      <c r="P130" s="38"/>
      <c r="Q130" s="42"/>
      <c r="R130" s="38"/>
      <c r="S130" s="38"/>
      <c r="T130" s="38"/>
      <c r="U130" s="42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42"/>
      <c r="AG130" s="38"/>
      <c r="AH130" s="38"/>
      <c r="AI130" s="42"/>
      <c r="AJ130" s="42"/>
    </row>
    <row r="131" ht="15.75" customHeight="1">
      <c r="A131" s="38"/>
      <c r="B131" s="38"/>
      <c r="C131" s="38"/>
      <c r="D131" s="38"/>
      <c r="E131" s="42"/>
      <c r="F131" s="38"/>
      <c r="G131" s="38"/>
      <c r="H131" s="38"/>
      <c r="I131" s="42"/>
      <c r="J131" s="38"/>
      <c r="K131" s="38"/>
      <c r="L131" s="38"/>
      <c r="M131" s="42"/>
      <c r="N131" s="38"/>
      <c r="O131" s="38"/>
      <c r="P131" s="38"/>
      <c r="Q131" s="42"/>
      <c r="R131" s="38"/>
      <c r="S131" s="38"/>
      <c r="T131" s="38"/>
      <c r="U131" s="42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42"/>
      <c r="AG131" s="38"/>
      <c r="AH131" s="38"/>
      <c r="AI131" s="42"/>
      <c r="AJ131" s="42"/>
    </row>
    <row r="132" ht="15.75" customHeight="1">
      <c r="A132" s="38"/>
      <c r="B132" s="38"/>
      <c r="C132" s="38"/>
      <c r="D132" s="38"/>
      <c r="E132" s="42"/>
      <c r="F132" s="38"/>
      <c r="G132" s="38"/>
      <c r="H132" s="38"/>
      <c r="I132" s="42"/>
      <c r="J132" s="38"/>
      <c r="K132" s="38"/>
      <c r="L132" s="38"/>
      <c r="M132" s="42"/>
      <c r="N132" s="38"/>
      <c r="O132" s="38"/>
      <c r="P132" s="38"/>
      <c r="Q132" s="42"/>
      <c r="R132" s="38"/>
      <c r="S132" s="38"/>
      <c r="T132" s="38"/>
      <c r="U132" s="42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42"/>
      <c r="AG132" s="38"/>
      <c r="AH132" s="38"/>
      <c r="AI132" s="42"/>
      <c r="AJ132" s="42"/>
    </row>
    <row r="133" ht="15.75" customHeight="1">
      <c r="A133" s="38"/>
      <c r="B133" s="38"/>
      <c r="C133" s="38"/>
      <c r="D133" s="38"/>
      <c r="E133" s="42"/>
      <c r="F133" s="38"/>
      <c r="G133" s="38"/>
      <c r="H133" s="38"/>
      <c r="I133" s="42"/>
      <c r="J133" s="38"/>
      <c r="K133" s="38"/>
      <c r="L133" s="38"/>
      <c r="M133" s="42"/>
      <c r="N133" s="38"/>
      <c r="O133" s="38"/>
      <c r="P133" s="38"/>
      <c r="Q133" s="42"/>
      <c r="R133" s="38"/>
      <c r="S133" s="38"/>
      <c r="T133" s="38"/>
      <c r="U133" s="42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42"/>
      <c r="AG133" s="38"/>
      <c r="AH133" s="38"/>
      <c r="AI133" s="42"/>
      <c r="AJ133" s="42"/>
    </row>
    <row r="134" ht="15.75" customHeight="1">
      <c r="A134" s="38"/>
      <c r="B134" s="38"/>
      <c r="C134" s="38"/>
      <c r="D134" s="38"/>
      <c r="E134" s="42"/>
      <c r="F134" s="38"/>
      <c r="G134" s="38"/>
      <c r="H134" s="38"/>
      <c r="I134" s="42"/>
      <c r="J134" s="38"/>
      <c r="K134" s="38"/>
      <c r="L134" s="38"/>
      <c r="M134" s="42"/>
      <c r="N134" s="38"/>
      <c r="O134" s="38"/>
      <c r="P134" s="38"/>
      <c r="Q134" s="42"/>
      <c r="R134" s="38"/>
      <c r="S134" s="38"/>
      <c r="T134" s="38"/>
      <c r="U134" s="42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42"/>
      <c r="AG134" s="38"/>
      <c r="AH134" s="38"/>
      <c r="AI134" s="42"/>
      <c r="AJ134" s="42"/>
    </row>
    <row r="135" ht="15.75" customHeight="1">
      <c r="A135" s="38"/>
      <c r="B135" s="38"/>
      <c r="C135" s="38"/>
      <c r="D135" s="38"/>
      <c r="E135" s="42"/>
      <c r="F135" s="38"/>
      <c r="G135" s="38"/>
      <c r="H135" s="38"/>
      <c r="I135" s="42"/>
      <c r="J135" s="38"/>
      <c r="K135" s="38"/>
      <c r="L135" s="38"/>
      <c r="M135" s="42"/>
      <c r="N135" s="38"/>
      <c r="O135" s="38"/>
      <c r="P135" s="38"/>
      <c r="Q135" s="42"/>
      <c r="R135" s="38"/>
      <c r="S135" s="38"/>
      <c r="T135" s="38"/>
      <c r="U135" s="42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42"/>
      <c r="AG135" s="38"/>
      <c r="AH135" s="38"/>
      <c r="AI135" s="42"/>
      <c r="AJ135" s="42"/>
    </row>
    <row r="136" ht="15.75" customHeight="1">
      <c r="A136" s="38"/>
      <c r="B136" s="38"/>
      <c r="C136" s="38"/>
      <c r="D136" s="38"/>
      <c r="E136" s="42"/>
      <c r="F136" s="38"/>
      <c r="G136" s="38"/>
      <c r="H136" s="38"/>
      <c r="I136" s="42"/>
      <c r="J136" s="38"/>
      <c r="K136" s="38"/>
      <c r="L136" s="38"/>
      <c r="M136" s="42"/>
      <c r="N136" s="38"/>
      <c r="O136" s="38"/>
      <c r="P136" s="38"/>
      <c r="Q136" s="42"/>
      <c r="R136" s="38"/>
      <c r="S136" s="38"/>
      <c r="T136" s="38"/>
      <c r="U136" s="42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42"/>
      <c r="AG136" s="38"/>
      <c r="AH136" s="38"/>
      <c r="AI136" s="42"/>
      <c r="AJ136" s="42"/>
    </row>
    <row r="137" ht="15.75" customHeight="1">
      <c r="A137" s="38"/>
      <c r="B137" s="38"/>
      <c r="C137" s="38"/>
      <c r="D137" s="38"/>
      <c r="E137" s="42"/>
      <c r="F137" s="38"/>
      <c r="G137" s="38"/>
      <c r="H137" s="38"/>
      <c r="I137" s="42"/>
      <c r="J137" s="38"/>
      <c r="K137" s="38"/>
      <c r="L137" s="38"/>
      <c r="M137" s="42"/>
      <c r="N137" s="38"/>
      <c r="O137" s="38"/>
      <c r="P137" s="38"/>
      <c r="Q137" s="42"/>
      <c r="R137" s="38"/>
      <c r="S137" s="38"/>
      <c r="T137" s="38"/>
      <c r="U137" s="42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42"/>
      <c r="AG137" s="38"/>
      <c r="AH137" s="38"/>
      <c r="AI137" s="42"/>
      <c r="AJ137" s="42"/>
    </row>
    <row r="138" ht="15.75" customHeight="1">
      <c r="A138" s="38"/>
      <c r="B138" s="38"/>
      <c r="C138" s="38"/>
      <c r="D138" s="38"/>
      <c r="E138" s="42"/>
      <c r="F138" s="38"/>
      <c r="G138" s="38"/>
      <c r="H138" s="38"/>
      <c r="I138" s="42"/>
      <c r="J138" s="38"/>
      <c r="K138" s="38"/>
      <c r="L138" s="38"/>
      <c r="M138" s="42"/>
      <c r="N138" s="38"/>
      <c r="O138" s="38"/>
      <c r="P138" s="38"/>
      <c r="Q138" s="42"/>
      <c r="R138" s="38"/>
      <c r="S138" s="38"/>
      <c r="T138" s="38"/>
      <c r="U138" s="42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42"/>
      <c r="AG138" s="38"/>
      <c r="AH138" s="38"/>
      <c r="AI138" s="42"/>
      <c r="AJ138" s="42"/>
    </row>
    <row r="139" ht="15.75" customHeight="1">
      <c r="A139" s="38"/>
      <c r="B139" s="38"/>
      <c r="C139" s="38"/>
      <c r="D139" s="38"/>
      <c r="E139" s="42"/>
      <c r="F139" s="38"/>
      <c r="G139" s="38"/>
      <c r="H139" s="38"/>
      <c r="I139" s="42"/>
      <c r="J139" s="38"/>
      <c r="K139" s="38"/>
      <c r="L139" s="38"/>
      <c r="M139" s="42"/>
      <c r="N139" s="38"/>
      <c r="O139" s="38"/>
      <c r="P139" s="38"/>
      <c r="Q139" s="42"/>
      <c r="R139" s="38"/>
      <c r="S139" s="38"/>
      <c r="T139" s="38"/>
      <c r="U139" s="42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42"/>
      <c r="AG139" s="38"/>
      <c r="AH139" s="38"/>
      <c r="AI139" s="42"/>
      <c r="AJ139" s="42"/>
    </row>
    <row r="140" ht="15.75" customHeight="1">
      <c r="A140" s="38"/>
      <c r="B140" s="38"/>
      <c r="C140" s="38"/>
      <c r="D140" s="38"/>
      <c r="E140" s="42"/>
      <c r="F140" s="38"/>
      <c r="G140" s="38"/>
      <c r="H140" s="38"/>
      <c r="I140" s="42"/>
      <c r="J140" s="38"/>
      <c r="K140" s="38"/>
      <c r="L140" s="38"/>
      <c r="M140" s="42"/>
      <c r="N140" s="38"/>
      <c r="O140" s="38"/>
      <c r="P140" s="38"/>
      <c r="Q140" s="42"/>
      <c r="R140" s="38"/>
      <c r="S140" s="38"/>
      <c r="T140" s="38"/>
      <c r="U140" s="42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42"/>
      <c r="AG140" s="38"/>
      <c r="AH140" s="38"/>
      <c r="AI140" s="42"/>
      <c r="AJ140" s="42"/>
    </row>
    <row r="141" ht="15.75" customHeight="1">
      <c r="A141" s="38"/>
      <c r="B141" s="38"/>
      <c r="C141" s="38"/>
      <c r="D141" s="38"/>
      <c r="E141" s="42"/>
      <c r="F141" s="38"/>
      <c r="G141" s="38"/>
      <c r="H141" s="38"/>
      <c r="I141" s="42"/>
      <c r="J141" s="38"/>
      <c r="K141" s="38"/>
      <c r="L141" s="38"/>
      <c r="M141" s="42"/>
      <c r="N141" s="38"/>
      <c r="O141" s="38"/>
      <c r="P141" s="38"/>
      <c r="Q141" s="42"/>
      <c r="R141" s="38"/>
      <c r="S141" s="38"/>
      <c r="T141" s="38"/>
      <c r="U141" s="42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42"/>
      <c r="AG141" s="38"/>
      <c r="AH141" s="38"/>
      <c r="AI141" s="42"/>
      <c r="AJ141" s="42"/>
    </row>
    <row r="142" ht="15.75" customHeight="1">
      <c r="A142" s="38"/>
      <c r="B142" s="38"/>
      <c r="C142" s="38"/>
      <c r="D142" s="38"/>
      <c r="E142" s="42"/>
      <c r="F142" s="38"/>
      <c r="G142" s="38"/>
      <c r="H142" s="38"/>
      <c r="I142" s="42"/>
      <c r="J142" s="38"/>
      <c r="K142" s="38"/>
      <c r="L142" s="38"/>
      <c r="M142" s="42"/>
      <c r="N142" s="38"/>
      <c r="O142" s="38"/>
      <c r="P142" s="38"/>
      <c r="Q142" s="42"/>
      <c r="R142" s="38"/>
      <c r="S142" s="38"/>
      <c r="T142" s="38"/>
      <c r="U142" s="42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42"/>
      <c r="AG142" s="38"/>
      <c r="AH142" s="38"/>
      <c r="AI142" s="42"/>
      <c r="AJ142" s="42"/>
    </row>
    <row r="143" ht="15.75" customHeight="1">
      <c r="A143" s="38"/>
      <c r="B143" s="38"/>
      <c r="C143" s="38"/>
      <c r="D143" s="38"/>
      <c r="E143" s="42"/>
      <c r="F143" s="38"/>
      <c r="G143" s="38"/>
      <c r="H143" s="38"/>
      <c r="I143" s="42"/>
      <c r="J143" s="38"/>
      <c r="K143" s="38"/>
      <c r="L143" s="38"/>
      <c r="M143" s="42"/>
      <c r="N143" s="38"/>
      <c r="O143" s="38"/>
      <c r="P143" s="38"/>
      <c r="Q143" s="42"/>
      <c r="R143" s="38"/>
      <c r="S143" s="38"/>
      <c r="T143" s="38"/>
      <c r="U143" s="42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42"/>
      <c r="AG143" s="38"/>
      <c r="AH143" s="38"/>
      <c r="AI143" s="42"/>
      <c r="AJ143" s="42"/>
    </row>
    <row r="144" ht="15.75" customHeight="1">
      <c r="A144" s="38"/>
      <c r="B144" s="38"/>
      <c r="C144" s="38"/>
      <c r="D144" s="38"/>
      <c r="E144" s="42"/>
      <c r="F144" s="38"/>
      <c r="G144" s="38"/>
      <c r="H144" s="38"/>
      <c r="I144" s="42"/>
      <c r="J144" s="38"/>
      <c r="K144" s="38"/>
      <c r="L144" s="38"/>
      <c r="M144" s="42"/>
      <c r="N144" s="38"/>
      <c r="O144" s="38"/>
      <c r="P144" s="38"/>
      <c r="Q144" s="42"/>
      <c r="R144" s="38"/>
      <c r="S144" s="38"/>
      <c r="T144" s="38"/>
      <c r="U144" s="42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42"/>
      <c r="AG144" s="38"/>
      <c r="AH144" s="38"/>
      <c r="AI144" s="42"/>
      <c r="AJ144" s="42"/>
    </row>
    <row r="145" ht="15.75" customHeight="1">
      <c r="A145" s="38"/>
      <c r="B145" s="38"/>
      <c r="C145" s="38"/>
      <c r="D145" s="38"/>
      <c r="E145" s="42"/>
      <c r="F145" s="38"/>
      <c r="G145" s="38"/>
      <c r="H145" s="38"/>
      <c r="I145" s="42"/>
      <c r="J145" s="38"/>
      <c r="K145" s="38"/>
      <c r="L145" s="38"/>
      <c r="M145" s="42"/>
      <c r="N145" s="38"/>
      <c r="O145" s="38"/>
      <c r="P145" s="38"/>
      <c r="Q145" s="42"/>
      <c r="R145" s="38"/>
      <c r="S145" s="38"/>
      <c r="T145" s="38"/>
      <c r="U145" s="42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42"/>
      <c r="AG145" s="38"/>
      <c r="AH145" s="38"/>
      <c r="AI145" s="42"/>
      <c r="AJ145" s="42"/>
    </row>
    <row r="146" ht="15.75" customHeight="1">
      <c r="A146" s="38"/>
      <c r="B146" s="38"/>
      <c r="C146" s="38"/>
      <c r="D146" s="38"/>
      <c r="E146" s="42"/>
      <c r="F146" s="38"/>
      <c r="G146" s="38"/>
      <c r="H146" s="38"/>
      <c r="I146" s="42"/>
      <c r="J146" s="38"/>
      <c r="K146" s="38"/>
      <c r="L146" s="38"/>
      <c r="M146" s="42"/>
      <c r="N146" s="38"/>
      <c r="O146" s="38"/>
      <c r="P146" s="38"/>
      <c r="Q146" s="42"/>
      <c r="R146" s="38"/>
      <c r="S146" s="38"/>
      <c r="T146" s="38"/>
      <c r="U146" s="42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42"/>
      <c r="AG146" s="38"/>
      <c r="AH146" s="38"/>
      <c r="AI146" s="42"/>
      <c r="AJ146" s="42"/>
    </row>
    <row r="147" ht="15.75" customHeight="1">
      <c r="A147" s="38"/>
      <c r="B147" s="38"/>
      <c r="C147" s="38"/>
      <c r="D147" s="38"/>
      <c r="E147" s="42"/>
      <c r="F147" s="38"/>
      <c r="G147" s="38"/>
      <c r="H147" s="38"/>
      <c r="I147" s="42"/>
      <c r="J147" s="38"/>
      <c r="K147" s="38"/>
      <c r="L147" s="38"/>
      <c r="M147" s="42"/>
      <c r="N147" s="38"/>
      <c r="O147" s="38"/>
      <c r="P147" s="38"/>
      <c r="Q147" s="42"/>
      <c r="R147" s="38"/>
      <c r="S147" s="38"/>
      <c r="T147" s="38"/>
      <c r="U147" s="42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42"/>
      <c r="AG147" s="38"/>
      <c r="AH147" s="38"/>
      <c r="AI147" s="42"/>
      <c r="AJ147" s="42"/>
    </row>
    <row r="148" ht="15.75" customHeight="1">
      <c r="A148" s="38"/>
      <c r="B148" s="38"/>
      <c r="C148" s="38"/>
      <c r="D148" s="38"/>
      <c r="E148" s="42"/>
      <c r="F148" s="38"/>
      <c r="G148" s="38"/>
      <c r="H148" s="38"/>
      <c r="I148" s="42"/>
      <c r="J148" s="38"/>
      <c r="K148" s="38"/>
      <c r="L148" s="38"/>
      <c r="M148" s="42"/>
      <c r="N148" s="38"/>
      <c r="O148" s="38"/>
      <c r="P148" s="38"/>
      <c r="Q148" s="42"/>
      <c r="R148" s="38"/>
      <c r="S148" s="38"/>
      <c r="T148" s="38"/>
      <c r="U148" s="42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42"/>
      <c r="AG148" s="38"/>
      <c r="AH148" s="38"/>
      <c r="AI148" s="42"/>
      <c r="AJ148" s="42"/>
    </row>
    <row r="149" ht="15.75" customHeight="1">
      <c r="A149" s="38"/>
      <c r="B149" s="38"/>
      <c r="C149" s="38"/>
      <c r="D149" s="38"/>
      <c r="E149" s="42"/>
      <c r="F149" s="38"/>
      <c r="G149" s="38"/>
      <c r="H149" s="38"/>
      <c r="I149" s="42"/>
      <c r="J149" s="38"/>
      <c r="K149" s="38"/>
      <c r="L149" s="38"/>
      <c r="M149" s="42"/>
      <c r="N149" s="38"/>
      <c r="O149" s="38"/>
      <c r="P149" s="38"/>
      <c r="Q149" s="42"/>
      <c r="R149" s="38"/>
      <c r="S149" s="38"/>
      <c r="T149" s="38"/>
      <c r="U149" s="42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42"/>
      <c r="AG149" s="38"/>
      <c r="AH149" s="38"/>
      <c r="AI149" s="42"/>
      <c r="AJ149" s="42"/>
    </row>
    <row r="150" ht="15.75" customHeight="1">
      <c r="A150" s="38"/>
      <c r="B150" s="38"/>
      <c r="C150" s="38"/>
      <c r="D150" s="38"/>
      <c r="E150" s="42"/>
      <c r="F150" s="38"/>
      <c r="G150" s="38"/>
      <c r="H150" s="38"/>
      <c r="I150" s="42"/>
      <c r="J150" s="38"/>
      <c r="K150" s="38"/>
      <c r="L150" s="38"/>
      <c r="M150" s="42"/>
      <c r="N150" s="38"/>
      <c r="O150" s="38"/>
      <c r="P150" s="38"/>
      <c r="Q150" s="42"/>
      <c r="R150" s="38"/>
      <c r="S150" s="38"/>
      <c r="T150" s="38"/>
      <c r="U150" s="42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42"/>
      <c r="AG150" s="38"/>
      <c r="AH150" s="38"/>
      <c r="AI150" s="42"/>
      <c r="AJ150" s="42"/>
    </row>
    <row r="151" ht="15.75" customHeight="1">
      <c r="A151" s="38"/>
      <c r="B151" s="38"/>
      <c r="C151" s="38"/>
      <c r="D151" s="38"/>
      <c r="E151" s="42"/>
      <c r="F151" s="38"/>
      <c r="G151" s="38"/>
      <c r="H151" s="38"/>
      <c r="I151" s="42"/>
      <c r="J151" s="38"/>
      <c r="K151" s="38"/>
      <c r="L151" s="38"/>
      <c r="M151" s="42"/>
      <c r="N151" s="38"/>
      <c r="O151" s="38"/>
      <c r="P151" s="38"/>
      <c r="Q151" s="42"/>
      <c r="R151" s="38"/>
      <c r="S151" s="38"/>
      <c r="T151" s="38"/>
      <c r="U151" s="42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42"/>
      <c r="AG151" s="38"/>
      <c r="AH151" s="38"/>
      <c r="AI151" s="42"/>
      <c r="AJ151" s="42"/>
    </row>
    <row r="152" ht="15.75" customHeight="1">
      <c r="A152" s="38"/>
      <c r="B152" s="38"/>
      <c r="C152" s="38"/>
      <c r="D152" s="38"/>
      <c r="E152" s="42"/>
      <c r="F152" s="38"/>
      <c r="G152" s="38"/>
      <c r="H152" s="38"/>
      <c r="I152" s="42"/>
      <c r="J152" s="38"/>
      <c r="K152" s="38"/>
      <c r="L152" s="38"/>
      <c r="M152" s="42"/>
      <c r="N152" s="38"/>
      <c r="O152" s="38"/>
      <c r="P152" s="38"/>
      <c r="Q152" s="42"/>
      <c r="R152" s="38"/>
      <c r="S152" s="38"/>
      <c r="T152" s="38"/>
      <c r="U152" s="42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42"/>
      <c r="AG152" s="38"/>
      <c r="AH152" s="38"/>
      <c r="AI152" s="42"/>
      <c r="AJ152" s="42"/>
    </row>
    <row r="153" ht="15.75" customHeight="1">
      <c r="A153" s="38"/>
      <c r="B153" s="38"/>
      <c r="C153" s="38"/>
      <c r="D153" s="38"/>
      <c r="E153" s="42"/>
      <c r="F153" s="38"/>
      <c r="G153" s="38"/>
      <c r="H153" s="38"/>
      <c r="I153" s="42"/>
      <c r="J153" s="38"/>
      <c r="K153" s="38"/>
      <c r="L153" s="38"/>
      <c r="M153" s="42"/>
      <c r="N153" s="38"/>
      <c r="O153" s="38"/>
      <c r="P153" s="38"/>
      <c r="Q153" s="42"/>
      <c r="R153" s="38"/>
      <c r="S153" s="38"/>
      <c r="T153" s="38"/>
      <c r="U153" s="42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42"/>
      <c r="AG153" s="38"/>
      <c r="AH153" s="38"/>
      <c r="AI153" s="42"/>
      <c r="AJ153" s="42"/>
    </row>
    <row r="154" ht="15.75" customHeight="1">
      <c r="A154" s="38"/>
      <c r="B154" s="38"/>
      <c r="C154" s="38"/>
      <c r="D154" s="38"/>
      <c r="E154" s="42"/>
      <c r="F154" s="38"/>
      <c r="G154" s="38"/>
      <c r="H154" s="38"/>
      <c r="I154" s="42"/>
      <c r="J154" s="38"/>
      <c r="K154" s="38"/>
      <c r="L154" s="38"/>
      <c r="M154" s="42"/>
      <c r="N154" s="38"/>
      <c r="O154" s="38"/>
      <c r="P154" s="38"/>
      <c r="Q154" s="42"/>
      <c r="R154" s="38"/>
      <c r="S154" s="38"/>
      <c r="T154" s="38"/>
      <c r="U154" s="42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42"/>
      <c r="AG154" s="38"/>
      <c r="AH154" s="38"/>
      <c r="AI154" s="42"/>
      <c r="AJ154" s="42"/>
    </row>
    <row r="155" ht="15.75" customHeight="1">
      <c r="A155" s="38"/>
      <c r="B155" s="38"/>
      <c r="C155" s="38"/>
      <c r="D155" s="38"/>
      <c r="E155" s="42"/>
      <c r="F155" s="38"/>
      <c r="G155" s="38"/>
      <c r="H155" s="38"/>
      <c r="I155" s="42"/>
      <c r="J155" s="38"/>
      <c r="K155" s="38"/>
      <c r="L155" s="38"/>
      <c r="M155" s="42"/>
      <c r="N155" s="38"/>
      <c r="O155" s="38"/>
      <c r="P155" s="38"/>
      <c r="Q155" s="42"/>
      <c r="R155" s="38"/>
      <c r="S155" s="38"/>
      <c r="T155" s="38"/>
      <c r="U155" s="42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42"/>
      <c r="AG155" s="38"/>
      <c r="AH155" s="38"/>
      <c r="AI155" s="42"/>
      <c r="AJ155" s="42"/>
    </row>
    <row r="156" ht="15.75" customHeight="1">
      <c r="A156" s="38"/>
      <c r="B156" s="38"/>
      <c r="C156" s="38"/>
      <c r="D156" s="38"/>
      <c r="E156" s="42"/>
      <c r="F156" s="38"/>
      <c r="G156" s="38"/>
      <c r="H156" s="38"/>
      <c r="I156" s="42"/>
      <c r="J156" s="38"/>
      <c r="K156" s="38"/>
      <c r="L156" s="38"/>
      <c r="M156" s="42"/>
      <c r="N156" s="38"/>
      <c r="O156" s="38"/>
      <c r="P156" s="38"/>
      <c r="Q156" s="42"/>
      <c r="R156" s="38"/>
      <c r="S156" s="38"/>
      <c r="T156" s="38"/>
      <c r="U156" s="42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42"/>
      <c r="AG156" s="38"/>
      <c r="AH156" s="38"/>
      <c r="AI156" s="42"/>
      <c r="AJ156" s="42"/>
    </row>
    <row r="157" ht="15.75" customHeight="1">
      <c r="A157" s="38"/>
      <c r="B157" s="38"/>
      <c r="C157" s="38"/>
      <c r="D157" s="38"/>
      <c r="E157" s="42"/>
      <c r="F157" s="38"/>
      <c r="G157" s="38"/>
      <c r="H157" s="38"/>
      <c r="I157" s="42"/>
      <c r="J157" s="38"/>
      <c r="K157" s="38"/>
      <c r="L157" s="38"/>
      <c r="M157" s="42"/>
      <c r="N157" s="38"/>
      <c r="O157" s="38"/>
      <c r="P157" s="38"/>
      <c r="Q157" s="42"/>
      <c r="R157" s="38"/>
      <c r="S157" s="38"/>
      <c r="T157" s="38"/>
      <c r="U157" s="42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42"/>
      <c r="AG157" s="38"/>
      <c r="AH157" s="38"/>
      <c r="AI157" s="42"/>
      <c r="AJ157" s="42"/>
    </row>
    <row r="158" ht="15.75" customHeight="1">
      <c r="A158" s="38"/>
      <c r="B158" s="38"/>
      <c r="C158" s="38"/>
      <c r="D158" s="38"/>
      <c r="E158" s="42"/>
      <c r="F158" s="38"/>
      <c r="G158" s="38"/>
      <c r="H158" s="38"/>
      <c r="I158" s="42"/>
      <c r="J158" s="38"/>
      <c r="K158" s="38"/>
      <c r="L158" s="38"/>
      <c r="M158" s="42"/>
      <c r="N158" s="38"/>
      <c r="O158" s="38"/>
      <c r="P158" s="38"/>
      <c r="Q158" s="42"/>
      <c r="R158" s="38"/>
      <c r="S158" s="38"/>
      <c r="T158" s="38"/>
      <c r="U158" s="42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42"/>
      <c r="AG158" s="38"/>
      <c r="AH158" s="38"/>
      <c r="AI158" s="42"/>
      <c r="AJ158" s="42"/>
    </row>
    <row r="159" ht="15.75" customHeight="1">
      <c r="A159" s="38"/>
      <c r="B159" s="38"/>
      <c r="C159" s="38"/>
      <c r="D159" s="38"/>
      <c r="E159" s="42"/>
      <c r="F159" s="38"/>
      <c r="G159" s="38"/>
      <c r="H159" s="38"/>
      <c r="I159" s="42"/>
      <c r="J159" s="38"/>
      <c r="K159" s="38"/>
      <c r="L159" s="38"/>
      <c r="M159" s="42"/>
      <c r="N159" s="38"/>
      <c r="O159" s="38"/>
      <c r="P159" s="38"/>
      <c r="Q159" s="42"/>
      <c r="R159" s="38"/>
      <c r="S159" s="38"/>
      <c r="T159" s="38"/>
      <c r="U159" s="42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42"/>
      <c r="AG159" s="38"/>
      <c r="AH159" s="38"/>
      <c r="AI159" s="42"/>
      <c r="AJ159" s="42"/>
    </row>
    <row r="160" ht="15.75" customHeight="1">
      <c r="A160" s="38"/>
      <c r="B160" s="38"/>
      <c r="C160" s="38"/>
      <c r="D160" s="38"/>
      <c r="E160" s="42"/>
      <c r="F160" s="38"/>
      <c r="G160" s="38"/>
      <c r="H160" s="38"/>
      <c r="I160" s="42"/>
      <c r="J160" s="38"/>
      <c r="K160" s="38"/>
      <c r="L160" s="38"/>
      <c r="M160" s="42"/>
      <c r="N160" s="38"/>
      <c r="O160" s="38"/>
      <c r="P160" s="38"/>
      <c r="Q160" s="42"/>
      <c r="R160" s="38"/>
      <c r="S160" s="38"/>
      <c r="T160" s="38"/>
      <c r="U160" s="42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42"/>
      <c r="AG160" s="38"/>
      <c r="AH160" s="38"/>
      <c r="AI160" s="42"/>
      <c r="AJ160" s="42"/>
    </row>
    <row r="161" ht="15.75" customHeight="1">
      <c r="A161" s="38"/>
      <c r="B161" s="38"/>
      <c r="C161" s="38"/>
      <c r="D161" s="38"/>
      <c r="E161" s="42"/>
      <c r="F161" s="38"/>
      <c r="G161" s="38"/>
      <c r="H161" s="38"/>
      <c r="I161" s="42"/>
      <c r="J161" s="38"/>
      <c r="K161" s="38"/>
      <c r="L161" s="38"/>
      <c r="M161" s="42"/>
      <c r="N161" s="38"/>
      <c r="O161" s="38"/>
      <c r="P161" s="38"/>
      <c r="Q161" s="42"/>
      <c r="R161" s="38"/>
      <c r="S161" s="38"/>
      <c r="T161" s="38"/>
      <c r="U161" s="42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42"/>
      <c r="AG161" s="38"/>
      <c r="AH161" s="38"/>
      <c r="AI161" s="42"/>
      <c r="AJ161" s="42"/>
    </row>
    <row r="162" ht="15.75" customHeight="1">
      <c r="A162" s="38"/>
      <c r="B162" s="38"/>
      <c r="C162" s="38"/>
      <c r="D162" s="38"/>
      <c r="E162" s="42"/>
      <c r="F162" s="38"/>
      <c r="G162" s="38"/>
      <c r="H162" s="38"/>
      <c r="I162" s="42"/>
      <c r="J162" s="38"/>
      <c r="K162" s="38"/>
      <c r="L162" s="38"/>
      <c r="M162" s="42"/>
      <c r="N162" s="38"/>
      <c r="O162" s="38"/>
      <c r="P162" s="38"/>
      <c r="Q162" s="42"/>
      <c r="R162" s="38"/>
      <c r="S162" s="38"/>
      <c r="T162" s="38"/>
      <c r="U162" s="42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42"/>
      <c r="AG162" s="38"/>
      <c r="AH162" s="38"/>
      <c r="AI162" s="42"/>
      <c r="AJ162" s="42"/>
    </row>
    <row r="163" ht="15.75" customHeight="1">
      <c r="A163" s="38"/>
      <c r="B163" s="38"/>
      <c r="C163" s="38"/>
      <c r="D163" s="38"/>
      <c r="E163" s="42"/>
      <c r="F163" s="38"/>
      <c r="G163" s="38"/>
      <c r="H163" s="38"/>
      <c r="I163" s="42"/>
      <c r="J163" s="38"/>
      <c r="K163" s="38"/>
      <c r="L163" s="38"/>
      <c r="M163" s="42"/>
      <c r="N163" s="38"/>
      <c r="O163" s="38"/>
      <c r="P163" s="38"/>
      <c r="Q163" s="42"/>
      <c r="R163" s="38"/>
      <c r="S163" s="38"/>
      <c r="T163" s="38"/>
      <c r="U163" s="42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42"/>
      <c r="AG163" s="38"/>
      <c r="AH163" s="38"/>
      <c r="AI163" s="42"/>
      <c r="AJ163" s="42"/>
    </row>
    <row r="164" ht="15.75" customHeight="1">
      <c r="A164" s="38"/>
      <c r="B164" s="38"/>
      <c r="C164" s="38"/>
      <c r="D164" s="38"/>
      <c r="E164" s="42"/>
      <c r="F164" s="38"/>
      <c r="G164" s="38"/>
      <c r="H164" s="38"/>
      <c r="I164" s="42"/>
      <c r="J164" s="38"/>
      <c r="K164" s="38"/>
      <c r="L164" s="38"/>
      <c r="M164" s="42"/>
      <c r="N164" s="38"/>
      <c r="O164" s="38"/>
      <c r="P164" s="38"/>
      <c r="Q164" s="42"/>
      <c r="R164" s="38"/>
      <c r="S164" s="38"/>
      <c r="T164" s="38"/>
      <c r="U164" s="42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42"/>
      <c r="AG164" s="38"/>
      <c r="AH164" s="38"/>
      <c r="AI164" s="42"/>
      <c r="AJ164" s="42"/>
    </row>
    <row r="165" ht="15.75" customHeight="1">
      <c r="A165" s="38"/>
      <c r="B165" s="38"/>
      <c r="C165" s="38"/>
      <c r="D165" s="38"/>
      <c r="E165" s="42"/>
      <c r="F165" s="38"/>
      <c r="G165" s="38"/>
      <c r="H165" s="38"/>
      <c r="I165" s="42"/>
      <c r="J165" s="38"/>
      <c r="K165" s="38"/>
      <c r="L165" s="38"/>
      <c r="M165" s="42"/>
      <c r="N165" s="38"/>
      <c r="O165" s="38"/>
      <c r="P165" s="38"/>
      <c r="Q165" s="42"/>
      <c r="R165" s="38"/>
      <c r="S165" s="38"/>
      <c r="T165" s="38"/>
      <c r="U165" s="42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42"/>
      <c r="AG165" s="38"/>
      <c r="AH165" s="38"/>
      <c r="AI165" s="42"/>
      <c r="AJ165" s="42"/>
    </row>
    <row r="166" ht="15.75" customHeight="1">
      <c r="A166" s="38"/>
      <c r="B166" s="38"/>
      <c r="C166" s="38"/>
      <c r="D166" s="38"/>
      <c r="E166" s="42"/>
      <c r="F166" s="38"/>
      <c r="G166" s="38"/>
      <c r="H166" s="38"/>
      <c r="I166" s="42"/>
      <c r="J166" s="38"/>
      <c r="K166" s="38"/>
      <c r="L166" s="38"/>
      <c r="M166" s="42"/>
      <c r="N166" s="38"/>
      <c r="O166" s="38"/>
      <c r="P166" s="38"/>
      <c r="Q166" s="42"/>
      <c r="R166" s="38"/>
      <c r="S166" s="38"/>
      <c r="T166" s="38"/>
      <c r="U166" s="42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42"/>
      <c r="AG166" s="38"/>
      <c r="AH166" s="38"/>
      <c r="AI166" s="42"/>
      <c r="AJ166" s="42"/>
    </row>
    <row r="167" ht="15.75" customHeight="1">
      <c r="A167" s="38"/>
      <c r="B167" s="38"/>
      <c r="C167" s="38"/>
      <c r="D167" s="38"/>
      <c r="E167" s="42"/>
      <c r="F167" s="38"/>
      <c r="G167" s="38"/>
      <c r="H167" s="38"/>
      <c r="I167" s="42"/>
      <c r="J167" s="38"/>
      <c r="K167" s="38"/>
      <c r="L167" s="38"/>
      <c r="M167" s="42"/>
      <c r="N167" s="38"/>
      <c r="O167" s="38"/>
      <c r="P167" s="38"/>
      <c r="Q167" s="42"/>
      <c r="R167" s="38"/>
      <c r="S167" s="38"/>
      <c r="T167" s="38"/>
      <c r="U167" s="42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42"/>
      <c r="AG167" s="38"/>
      <c r="AH167" s="38"/>
      <c r="AI167" s="42"/>
      <c r="AJ167" s="42"/>
    </row>
    <row r="168" ht="15.75" customHeight="1">
      <c r="A168" s="38"/>
      <c r="B168" s="38"/>
      <c r="C168" s="38"/>
      <c r="D168" s="38"/>
      <c r="E168" s="42"/>
      <c r="F168" s="38"/>
      <c r="G168" s="38"/>
      <c r="H168" s="38"/>
      <c r="I168" s="42"/>
      <c r="J168" s="38"/>
      <c r="K168" s="38"/>
      <c r="L168" s="38"/>
      <c r="M168" s="42"/>
      <c r="N168" s="38"/>
      <c r="O168" s="38"/>
      <c r="P168" s="38"/>
      <c r="Q168" s="42"/>
      <c r="R168" s="38"/>
      <c r="S168" s="38"/>
      <c r="T168" s="38"/>
      <c r="U168" s="42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42"/>
      <c r="AG168" s="38"/>
      <c r="AH168" s="38"/>
      <c r="AI168" s="42"/>
      <c r="AJ168" s="42"/>
    </row>
    <row r="169" ht="15.75" customHeight="1">
      <c r="A169" s="38"/>
      <c r="B169" s="38"/>
      <c r="C169" s="38"/>
      <c r="D169" s="38"/>
      <c r="E169" s="42"/>
      <c r="F169" s="38"/>
      <c r="G169" s="38"/>
      <c r="H169" s="38"/>
      <c r="I169" s="42"/>
      <c r="J169" s="38"/>
      <c r="K169" s="38"/>
      <c r="L169" s="38"/>
      <c r="M169" s="42"/>
      <c r="N169" s="38"/>
      <c r="O169" s="38"/>
      <c r="P169" s="38"/>
      <c r="Q169" s="42"/>
      <c r="R169" s="38"/>
      <c r="S169" s="38"/>
      <c r="T169" s="38"/>
      <c r="U169" s="42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42"/>
      <c r="AG169" s="38"/>
      <c r="AH169" s="38"/>
      <c r="AI169" s="42"/>
      <c r="AJ169" s="42"/>
    </row>
    <row r="170" ht="15.75" customHeight="1">
      <c r="A170" s="38"/>
      <c r="B170" s="38"/>
      <c r="C170" s="38"/>
      <c r="D170" s="38"/>
      <c r="E170" s="42"/>
      <c r="F170" s="38"/>
      <c r="G170" s="38"/>
      <c r="H170" s="38"/>
      <c r="I170" s="42"/>
      <c r="J170" s="38"/>
      <c r="K170" s="38"/>
      <c r="L170" s="38"/>
      <c r="M170" s="42"/>
      <c r="N170" s="38"/>
      <c r="O170" s="38"/>
      <c r="P170" s="38"/>
      <c r="Q170" s="42"/>
      <c r="R170" s="38"/>
      <c r="S170" s="38"/>
      <c r="T170" s="38"/>
      <c r="U170" s="42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42"/>
      <c r="AG170" s="38"/>
      <c r="AH170" s="38"/>
      <c r="AI170" s="42"/>
      <c r="AJ170" s="42"/>
    </row>
    <row r="171" ht="15.75" customHeight="1">
      <c r="A171" s="38"/>
      <c r="B171" s="38"/>
      <c r="C171" s="38"/>
      <c r="D171" s="38"/>
      <c r="E171" s="42"/>
      <c r="F171" s="38"/>
      <c r="G171" s="38"/>
      <c r="H171" s="38"/>
      <c r="I171" s="42"/>
      <c r="J171" s="38"/>
      <c r="K171" s="38"/>
      <c r="L171" s="38"/>
      <c r="M171" s="42"/>
      <c r="N171" s="38"/>
      <c r="O171" s="38"/>
      <c r="P171" s="38"/>
      <c r="Q171" s="42"/>
      <c r="R171" s="38"/>
      <c r="S171" s="38"/>
      <c r="T171" s="38"/>
      <c r="U171" s="42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42"/>
      <c r="AG171" s="38"/>
      <c r="AH171" s="38"/>
      <c r="AI171" s="42"/>
      <c r="AJ171" s="42"/>
    </row>
    <row r="172" ht="15.75" customHeight="1">
      <c r="A172" s="38"/>
      <c r="B172" s="38"/>
      <c r="C172" s="38"/>
      <c r="D172" s="38"/>
      <c r="E172" s="42"/>
      <c r="F172" s="38"/>
      <c r="G172" s="38"/>
      <c r="H172" s="38"/>
      <c r="I172" s="42"/>
      <c r="J172" s="38"/>
      <c r="K172" s="38"/>
      <c r="L172" s="38"/>
      <c r="M172" s="42"/>
      <c r="N172" s="38"/>
      <c r="O172" s="38"/>
      <c r="P172" s="38"/>
      <c r="Q172" s="42"/>
      <c r="R172" s="38"/>
      <c r="S172" s="38"/>
      <c r="T172" s="38"/>
      <c r="U172" s="42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42"/>
      <c r="AG172" s="38"/>
      <c r="AH172" s="38"/>
      <c r="AI172" s="42"/>
      <c r="AJ172" s="42"/>
    </row>
    <row r="173" ht="15.75" customHeight="1">
      <c r="A173" s="38"/>
      <c r="B173" s="38"/>
      <c r="C173" s="38"/>
      <c r="D173" s="38"/>
      <c r="E173" s="42"/>
      <c r="F173" s="38"/>
      <c r="G173" s="38"/>
      <c r="H173" s="38"/>
      <c r="I173" s="42"/>
      <c r="J173" s="38"/>
      <c r="K173" s="38"/>
      <c r="L173" s="38"/>
      <c r="M173" s="42"/>
      <c r="N173" s="38"/>
      <c r="O173" s="38"/>
      <c r="P173" s="38"/>
      <c r="Q173" s="42"/>
      <c r="R173" s="38"/>
      <c r="S173" s="38"/>
      <c r="T173" s="38"/>
      <c r="U173" s="42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42"/>
      <c r="AG173" s="38"/>
      <c r="AH173" s="38"/>
      <c r="AI173" s="42"/>
      <c r="AJ173" s="42"/>
    </row>
    <row r="174" ht="15.75" customHeight="1">
      <c r="A174" s="38"/>
      <c r="B174" s="38"/>
      <c r="C174" s="38"/>
      <c r="D174" s="38"/>
      <c r="E174" s="42"/>
      <c r="F174" s="38"/>
      <c r="G174" s="38"/>
      <c r="H174" s="38"/>
      <c r="I174" s="42"/>
      <c r="J174" s="38"/>
      <c r="K174" s="38"/>
      <c r="L174" s="38"/>
      <c r="M174" s="42"/>
      <c r="N174" s="38"/>
      <c r="O174" s="38"/>
      <c r="P174" s="38"/>
      <c r="Q174" s="42"/>
      <c r="R174" s="38"/>
      <c r="S174" s="38"/>
      <c r="T174" s="38"/>
      <c r="U174" s="42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42"/>
      <c r="AG174" s="38"/>
      <c r="AH174" s="38"/>
      <c r="AI174" s="42"/>
      <c r="AJ174" s="42"/>
    </row>
    <row r="175" ht="15.75" customHeight="1">
      <c r="A175" s="38"/>
      <c r="B175" s="38"/>
      <c r="C175" s="38"/>
      <c r="D175" s="38"/>
      <c r="E175" s="42"/>
      <c r="F175" s="38"/>
      <c r="G175" s="38"/>
      <c r="H175" s="38"/>
      <c r="I175" s="42"/>
      <c r="J175" s="38"/>
      <c r="K175" s="38"/>
      <c r="L175" s="38"/>
      <c r="M175" s="42"/>
      <c r="N175" s="38"/>
      <c r="O175" s="38"/>
      <c r="P175" s="38"/>
      <c r="Q175" s="42"/>
      <c r="R175" s="38"/>
      <c r="S175" s="38"/>
      <c r="T175" s="38"/>
      <c r="U175" s="42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42"/>
      <c r="AG175" s="38"/>
      <c r="AH175" s="38"/>
      <c r="AI175" s="42"/>
      <c r="AJ175" s="42"/>
    </row>
    <row r="176" ht="15.75" customHeight="1">
      <c r="A176" s="38"/>
      <c r="B176" s="38"/>
      <c r="C176" s="38"/>
      <c r="D176" s="38"/>
      <c r="E176" s="42"/>
      <c r="F176" s="38"/>
      <c r="G176" s="38"/>
      <c r="H176" s="38"/>
      <c r="I176" s="42"/>
      <c r="J176" s="38"/>
      <c r="K176" s="38"/>
      <c r="L176" s="38"/>
      <c r="M176" s="42"/>
      <c r="N176" s="38"/>
      <c r="O176" s="38"/>
      <c r="P176" s="38"/>
      <c r="Q176" s="42"/>
      <c r="R176" s="38"/>
      <c r="S176" s="38"/>
      <c r="T176" s="38"/>
      <c r="U176" s="42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42"/>
      <c r="AG176" s="38"/>
      <c r="AH176" s="38"/>
      <c r="AI176" s="42"/>
      <c r="AJ176" s="42"/>
    </row>
    <row r="177" ht="15.75" customHeight="1">
      <c r="A177" s="38"/>
      <c r="B177" s="38"/>
      <c r="C177" s="38"/>
      <c r="D177" s="38"/>
      <c r="E177" s="42"/>
      <c r="F177" s="38"/>
      <c r="G177" s="38"/>
      <c r="H177" s="38"/>
      <c r="I177" s="42"/>
      <c r="J177" s="38"/>
      <c r="K177" s="38"/>
      <c r="L177" s="38"/>
      <c r="M177" s="42"/>
      <c r="N177" s="38"/>
      <c r="O177" s="38"/>
      <c r="P177" s="38"/>
      <c r="Q177" s="42"/>
      <c r="R177" s="38"/>
      <c r="S177" s="38"/>
      <c r="T177" s="38"/>
      <c r="U177" s="42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42"/>
      <c r="AG177" s="38"/>
      <c r="AH177" s="38"/>
      <c r="AI177" s="42"/>
      <c r="AJ177" s="42"/>
    </row>
    <row r="178" ht="15.75" customHeight="1">
      <c r="A178" s="38"/>
      <c r="B178" s="38"/>
      <c r="C178" s="38"/>
      <c r="D178" s="38"/>
      <c r="E178" s="42"/>
      <c r="F178" s="38"/>
      <c r="G178" s="38"/>
      <c r="H178" s="38"/>
      <c r="I178" s="42"/>
      <c r="J178" s="38"/>
      <c r="K178" s="38"/>
      <c r="L178" s="38"/>
      <c r="M178" s="42"/>
      <c r="N178" s="38"/>
      <c r="O178" s="38"/>
      <c r="P178" s="38"/>
      <c r="Q178" s="42"/>
      <c r="R178" s="38"/>
      <c r="S178" s="38"/>
      <c r="T178" s="38"/>
      <c r="U178" s="42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42"/>
      <c r="AG178" s="38"/>
      <c r="AH178" s="38"/>
      <c r="AI178" s="42"/>
      <c r="AJ178" s="42"/>
    </row>
    <row r="179" ht="15.75" customHeight="1">
      <c r="A179" s="38"/>
      <c r="B179" s="38"/>
      <c r="C179" s="38"/>
      <c r="D179" s="38"/>
      <c r="E179" s="42"/>
      <c r="F179" s="38"/>
      <c r="G179" s="38"/>
      <c r="H179" s="38"/>
      <c r="I179" s="42"/>
      <c r="J179" s="38"/>
      <c r="K179" s="38"/>
      <c r="L179" s="38"/>
      <c r="M179" s="42"/>
      <c r="N179" s="38"/>
      <c r="O179" s="38"/>
      <c r="P179" s="38"/>
      <c r="Q179" s="42"/>
      <c r="R179" s="38"/>
      <c r="S179" s="38"/>
      <c r="T179" s="38"/>
      <c r="U179" s="42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42"/>
      <c r="AG179" s="38"/>
      <c r="AH179" s="38"/>
      <c r="AI179" s="42"/>
      <c r="AJ179" s="42"/>
    </row>
    <row r="180" ht="15.75" customHeight="1">
      <c r="A180" s="38"/>
      <c r="B180" s="38"/>
      <c r="C180" s="38"/>
      <c r="D180" s="38"/>
      <c r="E180" s="42"/>
      <c r="F180" s="38"/>
      <c r="G180" s="38"/>
      <c r="H180" s="38"/>
      <c r="I180" s="42"/>
      <c r="J180" s="38"/>
      <c r="K180" s="38"/>
      <c r="L180" s="38"/>
      <c r="M180" s="42"/>
      <c r="N180" s="38"/>
      <c r="O180" s="38"/>
      <c r="P180" s="38"/>
      <c r="Q180" s="42"/>
      <c r="R180" s="38"/>
      <c r="S180" s="38"/>
      <c r="T180" s="38"/>
      <c r="U180" s="42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42"/>
      <c r="AG180" s="38"/>
      <c r="AH180" s="38"/>
      <c r="AI180" s="42"/>
      <c r="AJ180" s="42"/>
    </row>
    <row r="181" ht="15.75" customHeight="1">
      <c r="A181" s="38"/>
      <c r="B181" s="38"/>
      <c r="C181" s="38"/>
      <c r="D181" s="38"/>
      <c r="E181" s="42"/>
      <c r="F181" s="38"/>
      <c r="G181" s="38"/>
      <c r="H181" s="38"/>
      <c r="I181" s="42"/>
      <c r="J181" s="38"/>
      <c r="K181" s="38"/>
      <c r="L181" s="38"/>
      <c r="M181" s="42"/>
      <c r="N181" s="38"/>
      <c r="O181" s="38"/>
      <c r="P181" s="38"/>
      <c r="Q181" s="42"/>
      <c r="R181" s="38"/>
      <c r="S181" s="38"/>
      <c r="T181" s="38"/>
      <c r="U181" s="42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42"/>
      <c r="AG181" s="38"/>
      <c r="AH181" s="38"/>
      <c r="AI181" s="42"/>
      <c r="AJ181" s="42"/>
    </row>
    <row r="182" ht="15.75" customHeight="1">
      <c r="A182" s="38"/>
      <c r="B182" s="38"/>
      <c r="C182" s="38"/>
      <c r="D182" s="38"/>
      <c r="E182" s="42"/>
      <c r="F182" s="38"/>
      <c r="G182" s="38"/>
      <c r="H182" s="38"/>
      <c r="I182" s="42"/>
      <c r="J182" s="38"/>
      <c r="K182" s="38"/>
      <c r="L182" s="38"/>
      <c r="M182" s="42"/>
      <c r="N182" s="38"/>
      <c r="O182" s="38"/>
      <c r="P182" s="38"/>
      <c r="Q182" s="42"/>
      <c r="R182" s="38"/>
      <c r="S182" s="38"/>
      <c r="T182" s="38"/>
      <c r="U182" s="42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42"/>
      <c r="AG182" s="38"/>
      <c r="AH182" s="38"/>
      <c r="AI182" s="42"/>
      <c r="AJ182" s="42"/>
    </row>
    <row r="183" ht="15.75" customHeight="1">
      <c r="A183" s="38"/>
      <c r="B183" s="38"/>
      <c r="C183" s="38"/>
      <c r="D183" s="38"/>
      <c r="E183" s="42"/>
      <c r="F183" s="38"/>
      <c r="G183" s="38"/>
      <c r="H183" s="38"/>
      <c r="I183" s="42"/>
      <c r="J183" s="38"/>
      <c r="K183" s="38"/>
      <c r="L183" s="38"/>
      <c r="M183" s="42"/>
      <c r="N183" s="38"/>
      <c r="O183" s="38"/>
      <c r="P183" s="38"/>
      <c r="Q183" s="42"/>
      <c r="R183" s="38"/>
      <c r="S183" s="38"/>
      <c r="T183" s="38"/>
      <c r="U183" s="42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42"/>
      <c r="AG183" s="38"/>
      <c r="AH183" s="38"/>
      <c r="AI183" s="42"/>
      <c r="AJ183" s="42"/>
    </row>
    <row r="184" ht="15.75" customHeight="1">
      <c r="A184" s="38"/>
      <c r="B184" s="38"/>
      <c r="C184" s="38"/>
      <c r="D184" s="38"/>
      <c r="E184" s="42"/>
      <c r="F184" s="38"/>
      <c r="G184" s="38"/>
      <c r="H184" s="38"/>
      <c r="I184" s="42"/>
      <c r="J184" s="38"/>
      <c r="K184" s="38"/>
      <c r="L184" s="38"/>
      <c r="M184" s="42"/>
      <c r="N184" s="38"/>
      <c r="O184" s="38"/>
      <c r="P184" s="38"/>
      <c r="Q184" s="42"/>
      <c r="R184" s="38"/>
      <c r="S184" s="38"/>
      <c r="T184" s="38"/>
      <c r="U184" s="42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42"/>
      <c r="AG184" s="38"/>
      <c r="AH184" s="38"/>
      <c r="AI184" s="42"/>
      <c r="AJ184" s="42"/>
    </row>
    <row r="185" ht="15.75" customHeight="1">
      <c r="A185" s="38"/>
      <c r="B185" s="38"/>
      <c r="C185" s="38"/>
      <c r="D185" s="38"/>
      <c r="E185" s="42"/>
      <c r="F185" s="38"/>
      <c r="G185" s="38"/>
      <c r="H185" s="38"/>
      <c r="I185" s="42"/>
      <c r="J185" s="38"/>
      <c r="K185" s="38"/>
      <c r="L185" s="38"/>
      <c r="M185" s="42"/>
      <c r="N185" s="38"/>
      <c r="O185" s="38"/>
      <c r="P185" s="38"/>
      <c r="Q185" s="42"/>
      <c r="R185" s="38"/>
      <c r="S185" s="38"/>
      <c r="T185" s="38"/>
      <c r="U185" s="42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42"/>
      <c r="AG185" s="38"/>
      <c r="AH185" s="38"/>
      <c r="AI185" s="42"/>
      <c r="AJ185" s="42"/>
    </row>
    <row r="186" ht="15.75" customHeight="1">
      <c r="A186" s="38"/>
      <c r="B186" s="38"/>
      <c r="C186" s="38"/>
      <c r="D186" s="38"/>
      <c r="E186" s="42"/>
      <c r="F186" s="38"/>
      <c r="G186" s="38"/>
      <c r="H186" s="38"/>
      <c r="I186" s="42"/>
      <c r="J186" s="38"/>
      <c r="K186" s="38"/>
      <c r="L186" s="38"/>
      <c r="M186" s="42"/>
      <c r="N186" s="38"/>
      <c r="O186" s="38"/>
      <c r="P186" s="38"/>
      <c r="Q186" s="42"/>
      <c r="R186" s="38"/>
      <c r="S186" s="38"/>
      <c r="T186" s="38"/>
      <c r="U186" s="42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42"/>
      <c r="AG186" s="38"/>
      <c r="AH186" s="38"/>
      <c r="AI186" s="42"/>
      <c r="AJ186" s="42"/>
    </row>
    <row r="187" ht="15.75" customHeight="1">
      <c r="A187" s="38"/>
      <c r="B187" s="38"/>
      <c r="C187" s="38"/>
      <c r="D187" s="38"/>
      <c r="E187" s="42"/>
      <c r="F187" s="38"/>
      <c r="G187" s="38"/>
      <c r="H187" s="38"/>
      <c r="I187" s="42"/>
      <c r="J187" s="38"/>
      <c r="K187" s="38"/>
      <c r="L187" s="38"/>
      <c r="M187" s="42"/>
      <c r="N187" s="38"/>
      <c r="O187" s="38"/>
      <c r="P187" s="38"/>
      <c r="Q187" s="42"/>
      <c r="R187" s="38"/>
      <c r="S187" s="38"/>
      <c r="T187" s="38"/>
      <c r="U187" s="42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42"/>
      <c r="AG187" s="38"/>
      <c r="AH187" s="38"/>
      <c r="AI187" s="42"/>
      <c r="AJ187" s="42"/>
    </row>
    <row r="188" ht="15.75" customHeight="1">
      <c r="A188" s="38"/>
      <c r="B188" s="38"/>
      <c r="C188" s="38"/>
      <c r="D188" s="38"/>
      <c r="E188" s="42"/>
      <c r="F188" s="38"/>
      <c r="G188" s="38"/>
      <c r="H188" s="38"/>
      <c r="I188" s="42"/>
      <c r="J188" s="38"/>
      <c r="K188" s="38"/>
      <c r="L188" s="38"/>
      <c r="M188" s="42"/>
      <c r="N188" s="38"/>
      <c r="O188" s="38"/>
      <c r="P188" s="38"/>
      <c r="Q188" s="42"/>
      <c r="R188" s="38"/>
      <c r="S188" s="38"/>
      <c r="T188" s="38"/>
      <c r="U188" s="42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42"/>
      <c r="AG188" s="38"/>
      <c r="AH188" s="38"/>
      <c r="AI188" s="42"/>
      <c r="AJ188" s="42"/>
    </row>
    <row r="189" ht="15.75" customHeight="1">
      <c r="A189" s="38"/>
      <c r="B189" s="38"/>
      <c r="C189" s="38"/>
      <c r="D189" s="38"/>
      <c r="E189" s="42"/>
      <c r="F189" s="38"/>
      <c r="G189" s="38"/>
      <c r="H189" s="38"/>
      <c r="I189" s="42"/>
      <c r="J189" s="38"/>
      <c r="K189" s="38"/>
      <c r="L189" s="38"/>
      <c r="M189" s="42"/>
      <c r="N189" s="38"/>
      <c r="O189" s="38"/>
      <c r="P189" s="38"/>
      <c r="Q189" s="42"/>
      <c r="R189" s="38"/>
      <c r="S189" s="38"/>
      <c r="T189" s="38"/>
      <c r="U189" s="42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42"/>
      <c r="AG189" s="38"/>
      <c r="AH189" s="38"/>
      <c r="AI189" s="42"/>
      <c r="AJ189" s="42"/>
    </row>
    <row r="190" ht="15.75" customHeight="1">
      <c r="A190" s="38"/>
      <c r="B190" s="38"/>
      <c r="C190" s="38"/>
      <c r="D190" s="38"/>
      <c r="E190" s="42"/>
      <c r="F190" s="38"/>
      <c r="G190" s="38"/>
      <c r="H190" s="38"/>
      <c r="I190" s="42"/>
      <c r="J190" s="38"/>
      <c r="K190" s="38"/>
      <c r="L190" s="38"/>
      <c r="M190" s="42"/>
      <c r="N190" s="38"/>
      <c r="O190" s="38"/>
      <c r="P190" s="38"/>
      <c r="Q190" s="42"/>
      <c r="R190" s="38"/>
      <c r="S190" s="38"/>
      <c r="T190" s="38"/>
      <c r="U190" s="42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42"/>
      <c r="AG190" s="38"/>
      <c r="AH190" s="38"/>
      <c r="AI190" s="42"/>
      <c r="AJ190" s="42"/>
    </row>
    <row r="191" ht="15.75" customHeight="1">
      <c r="A191" s="38"/>
      <c r="B191" s="38"/>
      <c r="C191" s="38"/>
      <c r="D191" s="38"/>
      <c r="E191" s="42"/>
      <c r="F191" s="38"/>
      <c r="G191" s="38"/>
      <c r="H191" s="38"/>
      <c r="I191" s="42"/>
      <c r="J191" s="38"/>
      <c r="K191" s="38"/>
      <c r="L191" s="38"/>
      <c r="M191" s="42"/>
      <c r="N191" s="38"/>
      <c r="O191" s="38"/>
      <c r="P191" s="38"/>
      <c r="Q191" s="42"/>
      <c r="R191" s="38"/>
      <c r="S191" s="38"/>
      <c r="T191" s="38"/>
      <c r="U191" s="42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42"/>
      <c r="AG191" s="38"/>
      <c r="AH191" s="38"/>
      <c r="AI191" s="42"/>
      <c r="AJ191" s="42"/>
    </row>
    <row r="192" ht="15.75" customHeight="1">
      <c r="A192" s="38"/>
      <c r="B192" s="38"/>
      <c r="C192" s="38"/>
      <c r="D192" s="38"/>
      <c r="E192" s="42"/>
      <c r="F192" s="38"/>
      <c r="G192" s="38"/>
      <c r="H192" s="38"/>
      <c r="I192" s="42"/>
      <c r="J192" s="38"/>
      <c r="K192" s="38"/>
      <c r="L192" s="38"/>
      <c r="M192" s="42"/>
      <c r="N192" s="38"/>
      <c r="O192" s="38"/>
      <c r="P192" s="38"/>
      <c r="Q192" s="42"/>
      <c r="R192" s="38"/>
      <c r="S192" s="38"/>
      <c r="T192" s="38"/>
      <c r="U192" s="42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42"/>
      <c r="AG192" s="38"/>
      <c r="AH192" s="38"/>
      <c r="AI192" s="42"/>
      <c r="AJ192" s="42"/>
    </row>
    <row r="193" ht="15.75" customHeight="1">
      <c r="A193" s="38"/>
      <c r="B193" s="38"/>
      <c r="C193" s="38"/>
      <c r="D193" s="38"/>
      <c r="E193" s="42"/>
      <c r="F193" s="38"/>
      <c r="G193" s="38"/>
      <c r="H193" s="38"/>
      <c r="I193" s="42"/>
      <c r="J193" s="38"/>
      <c r="K193" s="38"/>
      <c r="L193" s="38"/>
      <c r="M193" s="42"/>
      <c r="N193" s="38"/>
      <c r="O193" s="38"/>
      <c r="P193" s="38"/>
      <c r="Q193" s="42"/>
      <c r="R193" s="38"/>
      <c r="S193" s="38"/>
      <c r="T193" s="38"/>
      <c r="U193" s="42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42"/>
      <c r="AG193" s="38"/>
      <c r="AH193" s="38"/>
      <c r="AI193" s="42"/>
      <c r="AJ193" s="42"/>
    </row>
    <row r="194" ht="15.75" customHeight="1">
      <c r="A194" s="38"/>
      <c r="B194" s="38"/>
      <c r="C194" s="38"/>
      <c r="D194" s="38"/>
      <c r="E194" s="42"/>
      <c r="F194" s="38"/>
      <c r="G194" s="38"/>
      <c r="H194" s="38"/>
      <c r="I194" s="42"/>
      <c r="J194" s="38"/>
      <c r="K194" s="38"/>
      <c r="L194" s="38"/>
      <c r="M194" s="42"/>
      <c r="N194" s="38"/>
      <c r="O194" s="38"/>
      <c r="P194" s="38"/>
      <c r="Q194" s="42"/>
      <c r="R194" s="38"/>
      <c r="S194" s="38"/>
      <c r="T194" s="38"/>
      <c r="U194" s="42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42"/>
      <c r="AG194" s="38"/>
      <c r="AH194" s="38"/>
      <c r="AI194" s="42"/>
      <c r="AJ194" s="42"/>
    </row>
    <row r="195" ht="15.75" customHeight="1">
      <c r="A195" s="38"/>
      <c r="B195" s="38"/>
      <c r="C195" s="38"/>
      <c r="D195" s="38"/>
      <c r="E195" s="42"/>
      <c r="F195" s="38"/>
      <c r="G195" s="38"/>
      <c r="H195" s="38"/>
      <c r="I195" s="42"/>
      <c r="J195" s="38"/>
      <c r="K195" s="38"/>
      <c r="L195" s="38"/>
      <c r="M195" s="42"/>
      <c r="N195" s="38"/>
      <c r="O195" s="38"/>
      <c r="P195" s="38"/>
      <c r="Q195" s="42"/>
      <c r="R195" s="38"/>
      <c r="S195" s="38"/>
      <c r="T195" s="38"/>
      <c r="U195" s="42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42"/>
      <c r="AG195" s="38"/>
      <c r="AH195" s="38"/>
      <c r="AI195" s="42"/>
      <c r="AJ195" s="42"/>
    </row>
    <row r="196" ht="15.75" customHeight="1">
      <c r="A196" s="38"/>
      <c r="B196" s="38"/>
      <c r="C196" s="38"/>
      <c r="D196" s="38"/>
      <c r="E196" s="42"/>
      <c r="F196" s="38"/>
      <c r="G196" s="38"/>
      <c r="H196" s="38"/>
      <c r="I196" s="42"/>
      <c r="J196" s="38"/>
      <c r="K196" s="38"/>
      <c r="L196" s="38"/>
      <c r="M196" s="42"/>
      <c r="N196" s="38"/>
      <c r="O196" s="38"/>
      <c r="P196" s="38"/>
      <c r="Q196" s="42"/>
      <c r="R196" s="38"/>
      <c r="S196" s="38"/>
      <c r="T196" s="38"/>
      <c r="U196" s="42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42"/>
      <c r="AG196" s="38"/>
      <c r="AH196" s="38"/>
      <c r="AI196" s="42"/>
      <c r="AJ196" s="42"/>
    </row>
    <row r="197" ht="15.75" customHeight="1">
      <c r="A197" s="38"/>
      <c r="B197" s="38"/>
      <c r="C197" s="38"/>
      <c r="D197" s="38"/>
      <c r="E197" s="42"/>
      <c r="F197" s="38"/>
      <c r="G197" s="38"/>
      <c r="H197" s="38"/>
      <c r="I197" s="42"/>
      <c r="J197" s="38"/>
      <c r="K197" s="38"/>
      <c r="L197" s="38"/>
      <c r="M197" s="42"/>
      <c r="N197" s="38"/>
      <c r="O197" s="38"/>
      <c r="P197" s="38"/>
      <c r="Q197" s="42"/>
      <c r="R197" s="38"/>
      <c r="S197" s="38"/>
      <c r="T197" s="38"/>
      <c r="U197" s="42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42"/>
      <c r="AG197" s="38"/>
      <c r="AH197" s="38"/>
      <c r="AI197" s="42"/>
      <c r="AJ197" s="42"/>
    </row>
    <row r="198" ht="15.75" customHeight="1">
      <c r="A198" s="38"/>
      <c r="B198" s="38"/>
      <c r="C198" s="38"/>
      <c r="D198" s="38"/>
      <c r="E198" s="42"/>
      <c r="F198" s="38"/>
      <c r="G198" s="38"/>
      <c r="H198" s="38"/>
      <c r="I198" s="42"/>
      <c r="J198" s="38"/>
      <c r="K198" s="38"/>
      <c r="L198" s="38"/>
      <c r="M198" s="42"/>
      <c r="N198" s="38"/>
      <c r="O198" s="38"/>
      <c r="P198" s="38"/>
      <c r="Q198" s="42"/>
      <c r="R198" s="38"/>
      <c r="S198" s="38"/>
      <c r="T198" s="38"/>
      <c r="U198" s="42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42"/>
      <c r="AG198" s="38"/>
      <c r="AH198" s="38"/>
      <c r="AI198" s="42"/>
      <c r="AJ198" s="42"/>
    </row>
    <row r="199" ht="15.75" customHeight="1">
      <c r="A199" s="38"/>
      <c r="B199" s="38"/>
      <c r="C199" s="38"/>
      <c r="D199" s="38"/>
      <c r="E199" s="42"/>
      <c r="F199" s="38"/>
      <c r="G199" s="38"/>
      <c r="H199" s="38"/>
      <c r="I199" s="42"/>
      <c r="J199" s="38"/>
      <c r="K199" s="38"/>
      <c r="L199" s="38"/>
      <c r="M199" s="42"/>
      <c r="N199" s="38"/>
      <c r="O199" s="38"/>
      <c r="P199" s="38"/>
      <c r="Q199" s="42"/>
      <c r="R199" s="38"/>
      <c r="S199" s="38"/>
      <c r="T199" s="38"/>
      <c r="U199" s="42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42"/>
      <c r="AG199" s="38"/>
      <c r="AH199" s="38"/>
      <c r="AI199" s="42"/>
      <c r="AJ199" s="42"/>
    </row>
    <row r="200" ht="15.75" customHeight="1">
      <c r="A200" s="38"/>
      <c r="B200" s="38"/>
      <c r="C200" s="38"/>
      <c r="D200" s="38"/>
      <c r="E200" s="42"/>
      <c r="F200" s="38"/>
      <c r="G200" s="38"/>
      <c r="H200" s="38"/>
      <c r="I200" s="42"/>
      <c r="J200" s="38"/>
      <c r="K200" s="38"/>
      <c r="L200" s="38"/>
      <c r="M200" s="42"/>
      <c r="N200" s="38"/>
      <c r="O200" s="38"/>
      <c r="P200" s="38"/>
      <c r="Q200" s="42"/>
      <c r="R200" s="38"/>
      <c r="S200" s="38"/>
      <c r="T200" s="38"/>
      <c r="U200" s="42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42"/>
      <c r="AG200" s="38"/>
      <c r="AH200" s="38"/>
      <c r="AI200" s="42"/>
      <c r="AJ200" s="42"/>
    </row>
    <row r="201" ht="15.75" customHeight="1">
      <c r="A201" s="38"/>
      <c r="B201" s="38"/>
      <c r="C201" s="38"/>
      <c r="D201" s="38"/>
      <c r="E201" s="42"/>
      <c r="F201" s="38"/>
      <c r="G201" s="38"/>
      <c r="H201" s="38"/>
      <c r="I201" s="42"/>
      <c r="J201" s="38"/>
      <c r="K201" s="38"/>
      <c r="L201" s="38"/>
      <c r="M201" s="42"/>
      <c r="N201" s="38"/>
      <c r="O201" s="38"/>
      <c r="P201" s="38"/>
      <c r="Q201" s="42"/>
      <c r="R201" s="38"/>
      <c r="S201" s="38"/>
      <c r="T201" s="38"/>
      <c r="U201" s="42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42"/>
      <c r="AG201" s="38"/>
      <c r="AH201" s="38"/>
      <c r="AI201" s="42"/>
      <c r="AJ201" s="42"/>
    </row>
    <row r="202" ht="15.75" customHeight="1">
      <c r="A202" s="38"/>
      <c r="B202" s="38"/>
      <c r="C202" s="38"/>
      <c r="D202" s="38"/>
      <c r="E202" s="42"/>
      <c r="F202" s="38"/>
      <c r="G202" s="38"/>
      <c r="H202" s="38"/>
      <c r="I202" s="42"/>
      <c r="J202" s="38"/>
      <c r="K202" s="38"/>
      <c r="L202" s="38"/>
      <c r="M202" s="42"/>
      <c r="N202" s="38"/>
      <c r="O202" s="38"/>
      <c r="P202" s="38"/>
      <c r="Q202" s="42"/>
      <c r="R202" s="38"/>
      <c r="S202" s="38"/>
      <c r="T202" s="38"/>
      <c r="U202" s="42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42"/>
      <c r="AG202" s="38"/>
      <c r="AH202" s="38"/>
      <c r="AI202" s="42"/>
      <c r="AJ202" s="42"/>
    </row>
    <row r="203" ht="15.75" customHeight="1">
      <c r="A203" s="38"/>
      <c r="B203" s="38"/>
      <c r="C203" s="38"/>
      <c r="D203" s="38"/>
      <c r="E203" s="42"/>
      <c r="F203" s="38"/>
      <c r="G203" s="38"/>
      <c r="H203" s="38"/>
      <c r="I203" s="42"/>
      <c r="J203" s="38"/>
      <c r="K203" s="38"/>
      <c r="L203" s="38"/>
      <c r="M203" s="42"/>
      <c r="N203" s="38"/>
      <c r="O203" s="38"/>
      <c r="P203" s="38"/>
      <c r="Q203" s="42"/>
      <c r="R203" s="38"/>
      <c r="S203" s="38"/>
      <c r="T203" s="38"/>
      <c r="U203" s="42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42"/>
      <c r="AG203" s="38"/>
      <c r="AH203" s="38"/>
      <c r="AI203" s="42"/>
      <c r="AJ203" s="42"/>
    </row>
    <row r="204" ht="15.75" customHeight="1">
      <c r="A204" s="38"/>
      <c r="B204" s="38"/>
      <c r="C204" s="38"/>
      <c r="D204" s="38"/>
      <c r="E204" s="42"/>
      <c r="F204" s="38"/>
      <c r="G204" s="38"/>
      <c r="H204" s="38"/>
      <c r="I204" s="42"/>
      <c r="J204" s="38"/>
      <c r="K204" s="38"/>
      <c r="L204" s="38"/>
      <c r="M204" s="42"/>
      <c r="N204" s="38"/>
      <c r="O204" s="38"/>
      <c r="P204" s="38"/>
      <c r="Q204" s="42"/>
      <c r="R204" s="38"/>
      <c r="S204" s="38"/>
      <c r="T204" s="38"/>
      <c r="U204" s="42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42"/>
      <c r="AG204" s="38"/>
      <c r="AH204" s="38"/>
      <c r="AI204" s="42"/>
      <c r="AJ204" s="42"/>
    </row>
    <row r="205" ht="15.75" customHeight="1">
      <c r="A205" s="38"/>
      <c r="B205" s="38"/>
      <c r="C205" s="38"/>
      <c r="D205" s="38"/>
      <c r="E205" s="42"/>
      <c r="F205" s="38"/>
      <c r="G205" s="38"/>
      <c r="H205" s="38"/>
      <c r="I205" s="42"/>
      <c r="J205" s="38"/>
      <c r="K205" s="38"/>
      <c r="L205" s="38"/>
      <c r="M205" s="42"/>
      <c r="N205" s="38"/>
      <c r="O205" s="38"/>
      <c r="P205" s="38"/>
      <c r="Q205" s="42"/>
      <c r="R205" s="38"/>
      <c r="S205" s="38"/>
      <c r="T205" s="38"/>
      <c r="U205" s="42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42"/>
      <c r="AG205" s="38"/>
      <c r="AH205" s="38"/>
      <c r="AI205" s="42"/>
      <c r="AJ205" s="42"/>
    </row>
    <row r="206" ht="15.75" customHeight="1">
      <c r="A206" s="38"/>
      <c r="B206" s="38"/>
      <c r="C206" s="38"/>
      <c r="D206" s="38"/>
      <c r="E206" s="42"/>
      <c r="F206" s="38"/>
      <c r="G206" s="38"/>
      <c r="H206" s="38"/>
      <c r="I206" s="42"/>
      <c r="J206" s="38"/>
      <c r="K206" s="38"/>
      <c r="L206" s="38"/>
      <c r="M206" s="42"/>
      <c r="N206" s="38"/>
      <c r="O206" s="38"/>
      <c r="P206" s="38"/>
      <c r="Q206" s="42"/>
      <c r="R206" s="38"/>
      <c r="S206" s="38"/>
      <c r="T206" s="38"/>
      <c r="U206" s="42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42"/>
      <c r="AG206" s="38"/>
      <c r="AH206" s="38"/>
      <c r="AI206" s="42"/>
      <c r="AJ206" s="42"/>
    </row>
    <row r="207" ht="15.75" customHeight="1">
      <c r="A207" s="38"/>
      <c r="B207" s="38"/>
      <c r="C207" s="38"/>
      <c r="D207" s="38"/>
      <c r="E207" s="42"/>
      <c r="F207" s="38"/>
      <c r="G207" s="38"/>
      <c r="H207" s="38"/>
      <c r="I207" s="42"/>
      <c r="J207" s="38"/>
      <c r="K207" s="38"/>
      <c r="L207" s="38"/>
      <c r="M207" s="42"/>
      <c r="N207" s="38"/>
      <c r="O207" s="38"/>
      <c r="P207" s="38"/>
      <c r="Q207" s="42"/>
      <c r="R207" s="38"/>
      <c r="S207" s="38"/>
      <c r="T207" s="38"/>
      <c r="U207" s="42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42"/>
      <c r="AG207" s="38"/>
      <c r="AH207" s="38"/>
      <c r="AI207" s="42"/>
      <c r="AJ207" s="42"/>
    </row>
    <row r="208" ht="15.75" customHeight="1">
      <c r="A208" s="38"/>
      <c r="B208" s="38"/>
      <c r="C208" s="38"/>
      <c r="D208" s="38"/>
      <c r="E208" s="42"/>
      <c r="F208" s="38"/>
      <c r="G208" s="38"/>
      <c r="H208" s="38"/>
      <c r="I208" s="42"/>
      <c r="J208" s="38"/>
      <c r="K208" s="38"/>
      <c r="L208" s="38"/>
      <c r="M208" s="42"/>
      <c r="N208" s="38"/>
      <c r="O208" s="38"/>
      <c r="P208" s="38"/>
      <c r="Q208" s="42"/>
      <c r="R208" s="38"/>
      <c r="S208" s="38"/>
      <c r="T208" s="38"/>
      <c r="U208" s="42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42"/>
      <c r="AG208" s="38"/>
      <c r="AH208" s="38"/>
      <c r="AI208" s="42"/>
      <c r="AJ208" s="42"/>
    </row>
    <row r="209" ht="15.75" customHeight="1">
      <c r="A209" s="38"/>
      <c r="B209" s="38"/>
      <c r="C209" s="38"/>
      <c r="D209" s="38"/>
      <c r="E209" s="42"/>
      <c r="F209" s="38"/>
      <c r="G209" s="38"/>
      <c r="H209" s="38"/>
      <c r="I209" s="42"/>
      <c r="J209" s="38"/>
      <c r="K209" s="38"/>
      <c r="L209" s="38"/>
      <c r="M209" s="42"/>
      <c r="N209" s="38"/>
      <c r="O209" s="38"/>
      <c r="P209" s="38"/>
      <c r="Q209" s="42"/>
      <c r="R209" s="38"/>
      <c r="S209" s="38"/>
      <c r="T209" s="38"/>
      <c r="U209" s="42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42"/>
      <c r="AG209" s="38"/>
      <c r="AH209" s="38"/>
      <c r="AI209" s="42"/>
      <c r="AJ209" s="42"/>
    </row>
    <row r="210" ht="15.75" customHeight="1">
      <c r="A210" s="38"/>
      <c r="B210" s="38"/>
      <c r="C210" s="38"/>
      <c r="D210" s="38"/>
      <c r="E210" s="42"/>
      <c r="F210" s="38"/>
      <c r="G210" s="38"/>
      <c r="H210" s="38"/>
      <c r="I210" s="42"/>
      <c r="J210" s="38"/>
      <c r="K210" s="38"/>
      <c r="L210" s="38"/>
      <c r="M210" s="42"/>
      <c r="N210" s="38"/>
      <c r="O210" s="38"/>
      <c r="P210" s="38"/>
      <c r="Q210" s="42"/>
      <c r="R210" s="38"/>
      <c r="S210" s="38"/>
      <c r="T210" s="38"/>
      <c r="U210" s="42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42"/>
      <c r="AG210" s="38"/>
      <c r="AH210" s="38"/>
      <c r="AI210" s="42"/>
      <c r="AJ210" s="42"/>
    </row>
    <row r="211" ht="15.75" customHeight="1">
      <c r="A211" s="38"/>
      <c r="B211" s="38"/>
      <c r="C211" s="38"/>
      <c r="D211" s="38"/>
      <c r="E211" s="42"/>
      <c r="F211" s="38"/>
      <c r="G211" s="38"/>
      <c r="H211" s="38"/>
      <c r="I211" s="42"/>
      <c r="J211" s="38"/>
      <c r="K211" s="38"/>
      <c r="L211" s="38"/>
      <c r="M211" s="42"/>
      <c r="N211" s="38"/>
      <c r="O211" s="38"/>
      <c r="P211" s="38"/>
      <c r="Q211" s="42"/>
      <c r="R211" s="38"/>
      <c r="S211" s="38"/>
      <c r="T211" s="38"/>
      <c r="U211" s="42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42"/>
      <c r="AG211" s="38"/>
      <c r="AH211" s="38"/>
      <c r="AI211" s="42"/>
      <c r="AJ211" s="42"/>
    </row>
    <row r="212" ht="15.75" customHeight="1">
      <c r="A212" s="38"/>
      <c r="B212" s="38"/>
      <c r="C212" s="38"/>
      <c r="D212" s="38"/>
      <c r="E212" s="42"/>
      <c r="F212" s="38"/>
      <c r="G212" s="38"/>
      <c r="H212" s="38"/>
      <c r="I212" s="42"/>
      <c r="J212" s="38"/>
      <c r="K212" s="38"/>
      <c r="L212" s="38"/>
      <c r="M212" s="42"/>
      <c r="N212" s="38"/>
      <c r="O212" s="38"/>
      <c r="P212" s="38"/>
      <c r="Q212" s="42"/>
      <c r="R212" s="38"/>
      <c r="S212" s="38"/>
      <c r="T212" s="38"/>
      <c r="U212" s="42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42"/>
      <c r="AG212" s="38"/>
      <c r="AH212" s="38"/>
      <c r="AI212" s="42"/>
      <c r="AJ212" s="42"/>
    </row>
    <row r="213" ht="15.75" customHeight="1">
      <c r="A213" s="38"/>
      <c r="B213" s="38"/>
      <c r="C213" s="38"/>
      <c r="D213" s="38"/>
      <c r="E213" s="42"/>
      <c r="F213" s="38"/>
      <c r="G213" s="38"/>
      <c r="H213" s="38"/>
      <c r="I213" s="42"/>
      <c r="J213" s="38"/>
      <c r="K213" s="38"/>
      <c r="L213" s="38"/>
      <c r="M213" s="42"/>
      <c r="N213" s="38"/>
      <c r="O213" s="38"/>
      <c r="P213" s="38"/>
      <c r="Q213" s="42"/>
      <c r="R213" s="38"/>
      <c r="S213" s="38"/>
      <c r="T213" s="38"/>
      <c r="U213" s="42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42"/>
      <c r="AG213" s="38"/>
      <c r="AH213" s="38"/>
      <c r="AI213" s="42"/>
      <c r="AJ213" s="42"/>
    </row>
    <row r="214" ht="15.75" customHeight="1">
      <c r="A214" s="38"/>
      <c r="B214" s="38"/>
      <c r="C214" s="38"/>
      <c r="D214" s="38"/>
      <c r="E214" s="42"/>
      <c r="F214" s="38"/>
      <c r="G214" s="38"/>
      <c r="H214" s="38"/>
      <c r="I214" s="42"/>
      <c r="J214" s="38"/>
      <c r="K214" s="38"/>
      <c r="L214" s="38"/>
      <c r="M214" s="42"/>
      <c r="N214" s="38"/>
      <c r="O214" s="38"/>
      <c r="P214" s="38"/>
      <c r="Q214" s="42"/>
      <c r="R214" s="38"/>
      <c r="S214" s="38"/>
      <c r="T214" s="38"/>
      <c r="U214" s="42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42"/>
      <c r="AG214" s="38"/>
      <c r="AH214" s="38"/>
      <c r="AI214" s="42"/>
      <c r="AJ214" s="42"/>
    </row>
    <row r="215" ht="15.75" customHeight="1">
      <c r="A215" s="38"/>
      <c r="B215" s="38"/>
      <c r="C215" s="38"/>
      <c r="D215" s="38"/>
      <c r="E215" s="42"/>
      <c r="F215" s="38"/>
      <c r="G215" s="38"/>
      <c r="H215" s="38"/>
      <c r="I215" s="42"/>
      <c r="J215" s="38"/>
      <c r="K215" s="38"/>
      <c r="L215" s="38"/>
      <c r="M215" s="42"/>
      <c r="N215" s="38"/>
      <c r="O215" s="38"/>
      <c r="P215" s="38"/>
      <c r="Q215" s="42"/>
      <c r="R215" s="38"/>
      <c r="S215" s="38"/>
      <c r="T215" s="38"/>
      <c r="U215" s="42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42"/>
      <c r="AG215" s="38"/>
      <c r="AH215" s="38"/>
      <c r="AI215" s="42"/>
      <c r="AJ215" s="42"/>
    </row>
    <row r="216" ht="15.75" customHeight="1">
      <c r="A216" s="38"/>
      <c r="B216" s="38"/>
      <c r="C216" s="38"/>
      <c r="D216" s="38"/>
      <c r="E216" s="42"/>
      <c r="F216" s="38"/>
      <c r="G216" s="38"/>
      <c r="H216" s="38"/>
      <c r="I216" s="42"/>
      <c r="J216" s="38"/>
      <c r="K216" s="38"/>
      <c r="L216" s="38"/>
      <c r="M216" s="42"/>
      <c r="N216" s="38"/>
      <c r="O216" s="38"/>
      <c r="P216" s="38"/>
      <c r="Q216" s="42"/>
      <c r="R216" s="38"/>
      <c r="S216" s="38"/>
      <c r="T216" s="38"/>
      <c r="U216" s="42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42"/>
      <c r="AG216" s="38"/>
      <c r="AH216" s="38"/>
      <c r="AI216" s="42"/>
      <c r="AJ216" s="42"/>
    </row>
    <row r="217" ht="15.75" customHeight="1">
      <c r="A217" s="38"/>
      <c r="B217" s="38"/>
      <c r="C217" s="38"/>
      <c r="D217" s="38"/>
      <c r="E217" s="42"/>
      <c r="F217" s="38"/>
      <c r="G217" s="38"/>
      <c r="H217" s="38"/>
      <c r="I217" s="42"/>
      <c r="J217" s="38"/>
      <c r="K217" s="38"/>
      <c r="L217" s="38"/>
      <c r="M217" s="42"/>
      <c r="N217" s="38"/>
      <c r="O217" s="38"/>
      <c r="P217" s="38"/>
      <c r="Q217" s="42"/>
      <c r="R217" s="38"/>
      <c r="S217" s="38"/>
      <c r="T217" s="38"/>
      <c r="U217" s="42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42"/>
      <c r="AG217" s="38"/>
      <c r="AH217" s="38"/>
      <c r="AI217" s="42"/>
      <c r="AJ217" s="42"/>
    </row>
    <row r="218" ht="15.75" customHeight="1">
      <c r="A218" s="38"/>
      <c r="B218" s="38"/>
      <c r="C218" s="38"/>
      <c r="D218" s="38"/>
      <c r="E218" s="42"/>
      <c r="F218" s="38"/>
      <c r="G218" s="38"/>
      <c r="H218" s="38"/>
      <c r="I218" s="42"/>
      <c r="J218" s="38"/>
      <c r="K218" s="38"/>
      <c r="L218" s="38"/>
      <c r="M218" s="42"/>
      <c r="N218" s="38"/>
      <c r="O218" s="38"/>
      <c r="P218" s="38"/>
      <c r="Q218" s="42"/>
      <c r="R218" s="38"/>
      <c r="S218" s="38"/>
      <c r="T218" s="38"/>
      <c r="U218" s="42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42"/>
      <c r="AG218" s="38"/>
      <c r="AH218" s="38"/>
      <c r="AI218" s="42"/>
      <c r="AJ218" s="42"/>
    </row>
    <row r="219" ht="15.75" customHeight="1">
      <c r="A219" s="38"/>
      <c r="B219" s="38"/>
      <c r="C219" s="38"/>
      <c r="D219" s="38"/>
      <c r="E219" s="42"/>
      <c r="F219" s="38"/>
      <c r="G219" s="38"/>
      <c r="H219" s="38"/>
      <c r="I219" s="42"/>
      <c r="J219" s="38"/>
      <c r="K219" s="38"/>
      <c r="L219" s="38"/>
      <c r="M219" s="42"/>
      <c r="N219" s="38"/>
      <c r="O219" s="38"/>
      <c r="P219" s="38"/>
      <c r="Q219" s="42"/>
      <c r="R219" s="38"/>
      <c r="S219" s="38"/>
      <c r="T219" s="38"/>
      <c r="U219" s="42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42"/>
      <c r="AG219" s="38"/>
      <c r="AH219" s="38"/>
      <c r="AI219" s="42"/>
      <c r="AJ219" s="42"/>
    </row>
    <row r="220" ht="15.75" customHeight="1">
      <c r="A220" s="38"/>
      <c r="B220" s="38"/>
      <c r="C220" s="38"/>
      <c r="D220" s="38"/>
      <c r="E220" s="42"/>
      <c r="F220" s="38"/>
      <c r="G220" s="38"/>
      <c r="H220" s="38"/>
      <c r="I220" s="42"/>
      <c r="J220" s="38"/>
      <c r="K220" s="38"/>
      <c r="L220" s="38"/>
      <c r="M220" s="42"/>
      <c r="N220" s="38"/>
      <c r="O220" s="38"/>
      <c r="P220" s="38"/>
      <c r="Q220" s="42"/>
      <c r="R220" s="38"/>
      <c r="S220" s="38"/>
      <c r="T220" s="38"/>
      <c r="U220" s="42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42"/>
      <c r="AG220" s="38"/>
      <c r="AH220" s="38"/>
      <c r="AI220" s="42"/>
      <c r="AJ220" s="42"/>
    </row>
    <row r="221" ht="15.75" customHeight="1">
      <c r="A221" s="38"/>
      <c r="B221" s="38"/>
      <c r="C221" s="38"/>
      <c r="D221" s="38"/>
      <c r="E221" s="42"/>
      <c r="F221" s="38"/>
      <c r="G221" s="38"/>
      <c r="H221" s="38"/>
      <c r="I221" s="42"/>
      <c r="J221" s="38"/>
      <c r="K221" s="38"/>
      <c r="L221" s="38"/>
      <c r="M221" s="42"/>
      <c r="N221" s="38"/>
      <c r="O221" s="38"/>
      <c r="P221" s="38"/>
      <c r="Q221" s="42"/>
      <c r="R221" s="38"/>
      <c r="S221" s="38"/>
      <c r="T221" s="38"/>
      <c r="U221" s="42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42"/>
      <c r="AG221" s="38"/>
      <c r="AH221" s="38"/>
      <c r="AI221" s="42"/>
      <c r="AJ221" s="42"/>
    </row>
    <row r="222" ht="15.75" customHeight="1">
      <c r="A222" s="38"/>
      <c r="B222" s="38"/>
      <c r="C222" s="38"/>
      <c r="D222" s="38"/>
      <c r="E222" s="42"/>
      <c r="F222" s="38"/>
      <c r="G222" s="38"/>
      <c r="H222" s="38"/>
      <c r="I222" s="42"/>
      <c r="J222" s="38"/>
      <c r="K222" s="38"/>
      <c r="L222" s="38"/>
      <c r="M222" s="42"/>
      <c r="N222" s="38"/>
      <c r="O222" s="38"/>
      <c r="P222" s="38"/>
      <c r="Q222" s="42"/>
      <c r="R222" s="38"/>
      <c r="S222" s="38"/>
      <c r="T222" s="38"/>
      <c r="U222" s="42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42"/>
      <c r="AG222" s="38"/>
      <c r="AH222" s="38"/>
      <c r="AI222" s="42"/>
      <c r="AJ222" s="42"/>
    </row>
    <row r="223" ht="15.75" customHeight="1">
      <c r="A223" s="38"/>
      <c r="B223" s="38"/>
      <c r="C223" s="38"/>
      <c r="D223" s="38"/>
      <c r="E223" s="42"/>
      <c r="F223" s="38"/>
      <c r="G223" s="38"/>
      <c r="H223" s="38"/>
      <c r="I223" s="42"/>
      <c r="J223" s="38"/>
      <c r="K223" s="38"/>
      <c r="L223" s="38"/>
      <c r="M223" s="42"/>
      <c r="N223" s="38"/>
      <c r="O223" s="38"/>
      <c r="P223" s="38"/>
      <c r="Q223" s="42"/>
      <c r="R223" s="38"/>
      <c r="S223" s="38"/>
      <c r="T223" s="38"/>
      <c r="U223" s="42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42"/>
      <c r="AG223" s="38"/>
      <c r="AH223" s="38"/>
      <c r="AI223" s="42"/>
      <c r="AJ223" s="42"/>
    </row>
    <row r="224" ht="15.75" customHeight="1">
      <c r="A224" s="38"/>
      <c r="B224" s="38"/>
      <c r="C224" s="38"/>
      <c r="D224" s="38"/>
      <c r="E224" s="42"/>
      <c r="F224" s="38"/>
      <c r="G224" s="38"/>
      <c r="H224" s="38"/>
      <c r="I224" s="42"/>
      <c r="J224" s="38"/>
      <c r="K224" s="38"/>
      <c r="L224" s="38"/>
      <c r="M224" s="42"/>
      <c r="N224" s="38"/>
      <c r="O224" s="38"/>
      <c r="P224" s="38"/>
      <c r="Q224" s="42"/>
      <c r="R224" s="38"/>
      <c r="S224" s="38"/>
      <c r="T224" s="38"/>
      <c r="U224" s="42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42"/>
      <c r="AG224" s="38"/>
      <c r="AH224" s="38"/>
      <c r="AI224" s="42"/>
      <c r="AJ224" s="42"/>
    </row>
    <row r="225" ht="15.75" customHeight="1">
      <c r="A225" s="38"/>
      <c r="B225" s="38"/>
      <c r="C225" s="38"/>
      <c r="D225" s="38"/>
      <c r="E225" s="42"/>
      <c r="F225" s="38"/>
      <c r="G225" s="38"/>
      <c r="H225" s="38"/>
      <c r="I225" s="42"/>
      <c r="J225" s="38"/>
      <c r="K225" s="38"/>
      <c r="L225" s="38"/>
      <c r="M225" s="42"/>
      <c r="N225" s="38"/>
      <c r="O225" s="38"/>
      <c r="P225" s="38"/>
      <c r="Q225" s="42"/>
      <c r="R225" s="38"/>
      <c r="S225" s="38"/>
      <c r="T225" s="38"/>
      <c r="U225" s="42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42"/>
      <c r="AG225" s="38"/>
      <c r="AH225" s="38"/>
      <c r="AI225" s="42"/>
      <c r="AJ225" s="42"/>
    </row>
    <row r="226" ht="15.75" customHeight="1">
      <c r="A226" s="38"/>
      <c r="B226" s="38"/>
      <c r="C226" s="38"/>
      <c r="D226" s="38"/>
      <c r="E226" s="42"/>
      <c r="F226" s="38"/>
      <c r="G226" s="38"/>
      <c r="H226" s="38"/>
      <c r="I226" s="42"/>
      <c r="J226" s="38"/>
      <c r="K226" s="38"/>
      <c r="L226" s="38"/>
      <c r="M226" s="42"/>
      <c r="N226" s="38"/>
      <c r="O226" s="38"/>
      <c r="P226" s="38"/>
      <c r="Q226" s="42"/>
      <c r="R226" s="38"/>
      <c r="S226" s="38"/>
      <c r="T226" s="38"/>
      <c r="U226" s="42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42"/>
      <c r="AG226" s="38"/>
      <c r="AH226" s="38"/>
      <c r="AI226" s="42"/>
      <c r="AJ226" s="42"/>
    </row>
    <row r="227" ht="15.75" customHeight="1">
      <c r="A227" s="38"/>
      <c r="B227" s="38"/>
      <c r="C227" s="38"/>
      <c r="D227" s="38"/>
      <c r="E227" s="42"/>
      <c r="F227" s="38"/>
      <c r="G227" s="38"/>
      <c r="H227" s="38"/>
      <c r="I227" s="42"/>
      <c r="J227" s="38"/>
      <c r="K227" s="38"/>
      <c r="L227" s="38"/>
      <c r="M227" s="42"/>
      <c r="N227" s="38"/>
      <c r="O227" s="38"/>
      <c r="P227" s="38"/>
      <c r="Q227" s="42"/>
      <c r="R227" s="38"/>
      <c r="S227" s="38"/>
      <c r="T227" s="38"/>
      <c r="U227" s="42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42"/>
      <c r="AG227" s="38"/>
      <c r="AH227" s="38"/>
      <c r="AI227" s="42"/>
      <c r="AJ227" s="42"/>
    </row>
    <row r="228" ht="15.75" customHeight="1">
      <c r="A228" s="38"/>
      <c r="B228" s="38"/>
      <c r="C228" s="38"/>
      <c r="D228" s="38"/>
      <c r="E228" s="42"/>
      <c r="F228" s="38"/>
      <c r="G228" s="38"/>
      <c r="H228" s="38"/>
      <c r="I228" s="42"/>
      <c r="J228" s="38"/>
      <c r="K228" s="38"/>
      <c r="L228" s="38"/>
      <c r="M228" s="42"/>
      <c r="N228" s="38"/>
      <c r="O228" s="38"/>
      <c r="P228" s="38"/>
      <c r="Q228" s="42"/>
      <c r="R228" s="38"/>
      <c r="S228" s="38"/>
      <c r="T228" s="38"/>
      <c r="U228" s="42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42"/>
      <c r="AG228" s="38"/>
      <c r="AH228" s="38"/>
      <c r="AI228" s="42"/>
      <c r="AJ228" s="42"/>
    </row>
    <row r="229" ht="15.75" customHeight="1">
      <c r="A229" s="38"/>
      <c r="B229" s="38"/>
      <c r="C229" s="38"/>
      <c r="D229" s="38"/>
      <c r="E229" s="42"/>
      <c r="F229" s="38"/>
      <c r="G229" s="38"/>
      <c r="H229" s="38"/>
      <c r="I229" s="42"/>
      <c r="J229" s="38"/>
      <c r="K229" s="38"/>
      <c r="L229" s="38"/>
      <c r="M229" s="42"/>
      <c r="N229" s="38"/>
      <c r="O229" s="38"/>
      <c r="P229" s="38"/>
      <c r="Q229" s="42"/>
      <c r="R229" s="38"/>
      <c r="S229" s="38"/>
      <c r="T229" s="38"/>
      <c r="U229" s="42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42"/>
      <c r="AG229" s="38"/>
      <c r="AH229" s="38"/>
      <c r="AI229" s="42"/>
      <c r="AJ229" s="42"/>
    </row>
    <row r="230" ht="15.75" customHeight="1">
      <c r="A230" s="38"/>
      <c r="B230" s="38"/>
      <c r="C230" s="38"/>
      <c r="D230" s="38"/>
      <c r="E230" s="42"/>
      <c r="F230" s="38"/>
      <c r="G230" s="38"/>
      <c r="H230" s="38"/>
      <c r="I230" s="42"/>
      <c r="J230" s="38"/>
      <c r="K230" s="38"/>
      <c r="L230" s="38"/>
      <c r="M230" s="42"/>
      <c r="N230" s="38"/>
      <c r="O230" s="38"/>
      <c r="P230" s="38"/>
      <c r="Q230" s="42"/>
      <c r="R230" s="38"/>
      <c r="S230" s="38"/>
      <c r="T230" s="38"/>
      <c r="U230" s="42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42"/>
      <c r="AG230" s="38"/>
      <c r="AH230" s="38"/>
      <c r="AI230" s="42"/>
      <c r="AJ230" s="42"/>
    </row>
    <row r="231" ht="15.75" customHeight="1">
      <c r="A231" s="38"/>
      <c r="B231" s="38"/>
      <c r="C231" s="38"/>
      <c r="D231" s="38"/>
      <c r="E231" s="42"/>
      <c r="F231" s="38"/>
      <c r="G231" s="38"/>
      <c r="H231" s="38"/>
      <c r="I231" s="42"/>
      <c r="J231" s="38"/>
      <c r="K231" s="38"/>
      <c r="L231" s="38"/>
      <c r="M231" s="42"/>
      <c r="N231" s="38"/>
      <c r="O231" s="38"/>
      <c r="P231" s="38"/>
      <c r="Q231" s="42"/>
      <c r="R231" s="38"/>
      <c r="S231" s="38"/>
      <c r="T231" s="38"/>
      <c r="U231" s="42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42"/>
      <c r="AG231" s="38"/>
      <c r="AH231" s="38"/>
      <c r="AI231" s="42"/>
      <c r="AJ231" s="42"/>
    </row>
    <row r="232" ht="15.75" customHeight="1">
      <c r="A232" s="38"/>
      <c r="B232" s="38"/>
      <c r="C232" s="38"/>
      <c r="D232" s="38"/>
      <c r="E232" s="42"/>
      <c r="F232" s="38"/>
      <c r="G232" s="38"/>
      <c r="H232" s="38"/>
      <c r="I232" s="42"/>
      <c r="J232" s="38"/>
      <c r="K232" s="38"/>
      <c r="L232" s="38"/>
      <c r="M232" s="42"/>
      <c r="N232" s="38"/>
      <c r="O232" s="38"/>
      <c r="P232" s="38"/>
      <c r="Q232" s="42"/>
      <c r="R232" s="38"/>
      <c r="S232" s="38"/>
      <c r="T232" s="38"/>
      <c r="U232" s="42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42"/>
      <c r="AG232" s="38"/>
      <c r="AH232" s="38"/>
      <c r="AI232" s="42"/>
      <c r="AJ232" s="42"/>
    </row>
    <row r="233" ht="15.75" customHeight="1">
      <c r="A233" s="38"/>
      <c r="B233" s="38"/>
      <c r="C233" s="38"/>
      <c r="D233" s="38"/>
      <c r="E233" s="42"/>
      <c r="F233" s="38"/>
      <c r="G233" s="38"/>
      <c r="H233" s="38"/>
      <c r="I233" s="42"/>
      <c r="J233" s="38"/>
      <c r="K233" s="38"/>
      <c r="L233" s="38"/>
      <c r="M233" s="42"/>
      <c r="N233" s="38"/>
      <c r="O233" s="38"/>
      <c r="P233" s="38"/>
      <c r="Q233" s="42"/>
      <c r="R233" s="38"/>
      <c r="S233" s="38"/>
      <c r="T233" s="38"/>
      <c r="U233" s="42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42"/>
      <c r="AG233" s="38"/>
      <c r="AH233" s="38"/>
      <c r="AI233" s="42"/>
      <c r="AJ233" s="42"/>
    </row>
    <row r="234" ht="15.75" customHeight="1">
      <c r="A234" s="38"/>
      <c r="B234" s="38"/>
      <c r="C234" s="38"/>
      <c r="D234" s="38"/>
      <c r="E234" s="42"/>
      <c r="F234" s="38"/>
      <c r="G234" s="38"/>
      <c r="H234" s="38"/>
      <c r="I234" s="42"/>
      <c r="J234" s="38"/>
      <c r="K234" s="38"/>
      <c r="L234" s="38"/>
      <c r="M234" s="42"/>
      <c r="N234" s="38"/>
      <c r="O234" s="38"/>
      <c r="P234" s="38"/>
      <c r="Q234" s="42"/>
      <c r="R234" s="38"/>
      <c r="S234" s="38"/>
      <c r="T234" s="38"/>
      <c r="U234" s="42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42"/>
      <c r="AG234" s="38"/>
      <c r="AH234" s="38"/>
      <c r="AI234" s="42"/>
      <c r="AJ234" s="42"/>
    </row>
    <row r="235" ht="15.75" customHeight="1">
      <c r="A235" s="38"/>
      <c r="B235" s="38"/>
      <c r="C235" s="38"/>
      <c r="D235" s="38"/>
      <c r="E235" s="42"/>
      <c r="F235" s="38"/>
      <c r="G235" s="38"/>
      <c r="H235" s="38"/>
      <c r="I235" s="42"/>
      <c r="J235" s="38"/>
      <c r="K235" s="38"/>
      <c r="L235" s="38"/>
      <c r="M235" s="42"/>
      <c r="N235" s="38"/>
      <c r="O235" s="38"/>
      <c r="P235" s="38"/>
      <c r="Q235" s="42"/>
      <c r="R235" s="38"/>
      <c r="S235" s="38"/>
      <c r="T235" s="38"/>
      <c r="U235" s="42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42"/>
      <c r="AG235" s="38"/>
      <c r="AH235" s="38"/>
      <c r="AI235" s="42"/>
      <c r="AJ235" s="42"/>
    </row>
    <row r="236" ht="15.75" customHeight="1">
      <c r="A236" s="38"/>
      <c r="B236" s="38"/>
      <c r="C236" s="38"/>
      <c r="D236" s="38"/>
      <c r="E236" s="42"/>
      <c r="F236" s="38"/>
      <c r="G236" s="38"/>
      <c r="H236" s="38"/>
      <c r="I236" s="42"/>
      <c r="J236" s="38"/>
      <c r="K236" s="38"/>
      <c r="L236" s="38"/>
      <c r="M236" s="42"/>
      <c r="N236" s="38"/>
      <c r="O236" s="38"/>
      <c r="P236" s="38"/>
      <c r="Q236" s="42"/>
      <c r="R236" s="38"/>
      <c r="S236" s="38"/>
      <c r="T236" s="38"/>
      <c r="U236" s="42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42"/>
      <c r="AG236" s="38"/>
      <c r="AH236" s="38"/>
      <c r="AI236" s="42"/>
      <c r="AJ236" s="42"/>
    </row>
    <row r="237" ht="15.75" customHeight="1">
      <c r="A237" s="38"/>
      <c r="B237" s="38"/>
      <c r="C237" s="38"/>
      <c r="D237" s="38"/>
      <c r="E237" s="42"/>
      <c r="F237" s="38"/>
      <c r="G237" s="38"/>
      <c r="H237" s="38"/>
      <c r="I237" s="42"/>
      <c r="J237" s="38"/>
      <c r="K237" s="38"/>
      <c r="L237" s="38"/>
      <c r="M237" s="42"/>
      <c r="N237" s="38"/>
      <c r="O237" s="38"/>
      <c r="P237" s="38"/>
      <c r="Q237" s="42"/>
      <c r="R237" s="38"/>
      <c r="S237" s="38"/>
      <c r="T237" s="38"/>
      <c r="U237" s="42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42"/>
      <c r="AG237" s="38"/>
      <c r="AH237" s="38"/>
      <c r="AI237" s="42"/>
      <c r="AJ237" s="42"/>
    </row>
    <row r="238" ht="15.75" customHeight="1">
      <c r="A238" s="38"/>
      <c r="B238" s="38"/>
      <c r="C238" s="38"/>
      <c r="D238" s="38"/>
      <c r="E238" s="42"/>
      <c r="F238" s="38"/>
      <c r="G238" s="38"/>
      <c r="H238" s="38"/>
      <c r="I238" s="42"/>
      <c r="J238" s="38"/>
      <c r="K238" s="38"/>
      <c r="L238" s="38"/>
      <c r="M238" s="42"/>
      <c r="N238" s="38"/>
      <c r="O238" s="38"/>
      <c r="P238" s="38"/>
      <c r="Q238" s="42"/>
      <c r="R238" s="38"/>
      <c r="S238" s="38"/>
      <c r="T238" s="38"/>
      <c r="U238" s="42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42"/>
      <c r="AG238" s="38"/>
      <c r="AH238" s="38"/>
      <c r="AI238" s="42"/>
      <c r="AJ238" s="42"/>
    </row>
    <row r="239" ht="15.75" customHeight="1">
      <c r="A239" s="38"/>
      <c r="B239" s="38"/>
      <c r="C239" s="38"/>
      <c r="D239" s="38"/>
      <c r="E239" s="42"/>
      <c r="F239" s="38"/>
      <c r="G239" s="38"/>
      <c r="H239" s="38"/>
      <c r="I239" s="42"/>
      <c r="J239" s="38"/>
      <c r="K239" s="38"/>
      <c r="L239" s="38"/>
      <c r="M239" s="42"/>
      <c r="N239" s="38"/>
      <c r="O239" s="38"/>
      <c r="P239" s="38"/>
      <c r="Q239" s="42"/>
      <c r="R239" s="38"/>
      <c r="S239" s="38"/>
      <c r="T239" s="38"/>
      <c r="U239" s="42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42"/>
      <c r="AG239" s="38"/>
      <c r="AH239" s="38"/>
      <c r="AI239" s="42"/>
      <c r="AJ239" s="42"/>
    </row>
    <row r="240" ht="15.75" customHeight="1">
      <c r="A240" s="38"/>
      <c r="B240" s="38"/>
      <c r="C240" s="38"/>
      <c r="D240" s="38"/>
      <c r="E240" s="42"/>
      <c r="F240" s="38"/>
      <c r="G240" s="38"/>
      <c r="H240" s="38"/>
      <c r="I240" s="42"/>
      <c r="J240" s="38"/>
      <c r="K240" s="38"/>
      <c r="L240" s="38"/>
      <c r="M240" s="42"/>
      <c r="N240" s="38"/>
      <c r="O240" s="38"/>
      <c r="P240" s="38"/>
      <c r="Q240" s="42"/>
      <c r="R240" s="38"/>
      <c r="S240" s="38"/>
      <c r="T240" s="38"/>
      <c r="U240" s="42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42"/>
      <c r="AG240" s="38"/>
      <c r="AH240" s="38"/>
      <c r="AI240" s="42"/>
      <c r="AJ240" s="42"/>
    </row>
    <row r="241" ht="15.75" customHeight="1">
      <c r="A241" s="38"/>
      <c r="B241" s="38"/>
      <c r="C241" s="38"/>
      <c r="D241" s="38"/>
      <c r="E241" s="42"/>
      <c r="F241" s="38"/>
      <c r="G241" s="38"/>
      <c r="H241" s="38"/>
      <c r="I241" s="42"/>
      <c r="J241" s="38"/>
      <c r="K241" s="38"/>
      <c r="L241" s="38"/>
      <c r="M241" s="42"/>
      <c r="N241" s="38"/>
      <c r="O241" s="38"/>
      <c r="P241" s="38"/>
      <c r="Q241" s="42"/>
      <c r="R241" s="38"/>
      <c r="S241" s="38"/>
      <c r="T241" s="38"/>
      <c r="U241" s="42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42"/>
      <c r="AG241" s="38"/>
      <c r="AH241" s="38"/>
      <c r="AI241" s="42"/>
      <c r="AJ241" s="42"/>
    </row>
    <row r="242" ht="15.75" customHeight="1">
      <c r="A242" s="38"/>
      <c r="B242" s="38"/>
      <c r="C242" s="38"/>
      <c r="D242" s="38"/>
      <c r="E242" s="42"/>
      <c r="F242" s="38"/>
      <c r="G242" s="38"/>
      <c r="H242" s="38"/>
      <c r="I242" s="42"/>
      <c r="J242" s="38"/>
      <c r="K242" s="38"/>
      <c r="L242" s="38"/>
      <c r="M242" s="42"/>
      <c r="N242" s="38"/>
      <c r="O242" s="38"/>
      <c r="P242" s="38"/>
      <c r="Q242" s="42"/>
      <c r="R242" s="38"/>
      <c r="S242" s="38"/>
      <c r="T242" s="38"/>
      <c r="U242" s="42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42"/>
      <c r="AG242" s="38"/>
      <c r="AH242" s="38"/>
      <c r="AI242" s="42"/>
      <c r="AJ242" s="42"/>
    </row>
    <row r="243" ht="15.75" customHeight="1">
      <c r="A243" s="38"/>
      <c r="B243" s="38"/>
      <c r="C243" s="38"/>
      <c r="D243" s="38"/>
      <c r="E243" s="42"/>
      <c r="F243" s="38"/>
      <c r="G243" s="38"/>
      <c r="H243" s="38"/>
      <c r="I243" s="42"/>
      <c r="J243" s="38"/>
      <c r="K243" s="38"/>
      <c r="L243" s="38"/>
      <c r="M243" s="42"/>
      <c r="N243" s="38"/>
      <c r="O243" s="38"/>
      <c r="P243" s="38"/>
      <c r="Q243" s="42"/>
      <c r="R243" s="38"/>
      <c r="S243" s="38"/>
      <c r="T243" s="38"/>
      <c r="U243" s="42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42"/>
      <c r="AG243" s="38"/>
      <c r="AH243" s="38"/>
      <c r="AI243" s="42"/>
      <c r="AJ243" s="42"/>
    </row>
    <row r="244" ht="15.75" customHeight="1">
      <c r="A244" s="38"/>
      <c r="B244" s="38"/>
      <c r="C244" s="38"/>
      <c r="D244" s="38"/>
      <c r="E244" s="42"/>
      <c r="F244" s="38"/>
      <c r="G244" s="38"/>
      <c r="H244" s="38"/>
      <c r="I244" s="42"/>
      <c r="J244" s="38"/>
      <c r="K244" s="38"/>
      <c r="L244" s="38"/>
      <c r="M244" s="42"/>
      <c r="N244" s="38"/>
      <c r="O244" s="38"/>
      <c r="P244" s="38"/>
      <c r="Q244" s="42"/>
      <c r="R244" s="38"/>
      <c r="S244" s="38"/>
      <c r="T244" s="38"/>
      <c r="U244" s="42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42"/>
      <c r="AG244" s="38"/>
      <c r="AH244" s="38"/>
      <c r="AI244" s="42"/>
      <c r="AJ244" s="42"/>
    </row>
    <row r="245" ht="15.75" customHeight="1">
      <c r="A245" s="38"/>
      <c r="B245" s="38"/>
      <c r="C245" s="38"/>
      <c r="D245" s="38"/>
      <c r="E245" s="42"/>
      <c r="F245" s="38"/>
      <c r="G245" s="38"/>
      <c r="H245" s="38"/>
      <c r="I245" s="42"/>
      <c r="J245" s="38"/>
      <c r="K245" s="38"/>
      <c r="L245" s="38"/>
      <c r="M245" s="42"/>
      <c r="N245" s="38"/>
      <c r="O245" s="38"/>
      <c r="P245" s="38"/>
      <c r="Q245" s="42"/>
      <c r="R245" s="38"/>
      <c r="S245" s="38"/>
      <c r="T245" s="38"/>
      <c r="U245" s="42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42"/>
      <c r="AG245" s="38"/>
      <c r="AH245" s="38"/>
      <c r="AI245" s="42"/>
      <c r="AJ245" s="42"/>
    </row>
    <row r="246" ht="15.75" customHeight="1">
      <c r="A246" s="38"/>
      <c r="B246" s="38"/>
      <c r="C246" s="38"/>
      <c r="D246" s="38"/>
      <c r="E246" s="42"/>
      <c r="F246" s="38"/>
      <c r="G246" s="38"/>
      <c r="H246" s="38"/>
      <c r="I246" s="42"/>
      <c r="J246" s="38"/>
      <c r="K246" s="38"/>
      <c r="L246" s="38"/>
      <c r="M246" s="42"/>
      <c r="N246" s="38"/>
      <c r="O246" s="38"/>
      <c r="P246" s="38"/>
      <c r="Q246" s="42"/>
      <c r="R246" s="38"/>
      <c r="S246" s="38"/>
      <c r="T246" s="38"/>
      <c r="U246" s="42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42"/>
      <c r="AG246" s="38"/>
      <c r="AH246" s="38"/>
      <c r="AI246" s="42"/>
      <c r="AJ246" s="42"/>
    </row>
    <row r="247" ht="15.75" customHeight="1">
      <c r="A247" s="38"/>
      <c r="B247" s="38"/>
      <c r="C247" s="38"/>
      <c r="D247" s="38"/>
      <c r="E247" s="42"/>
      <c r="F247" s="38"/>
      <c r="G247" s="38"/>
      <c r="H247" s="38"/>
      <c r="I247" s="42"/>
      <c r="J247" s="38"/>
      <c r="K247" s="38"/>
      <c r="L247" s="38"/>
      <c r="M247" s="42"/>
      <c r="N247" s="38"/>
      <c r="O247" s="38"/>
      <c r="P247" s="38"/>
      <c r="Q247" s="42"/>
      <c r="R247" s="38"/>
      <c r="S247" s="38"/>
      <c r="T247" s="38"/>
      <c r="U247" s="42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42"/>
      <c r="AG247" s="38"/>
      <c r="AH247" s="38"/>
      <c r="AI247" s="42"/>
      <c r="AJ247" s="42"/>
    </row>
    <row r="248" ht="15.75" customHeight="1">
      <c r="A248" s="38"/>
      <c r="B248" s="38"/>
      <c r="C248" s="38"/>
      <c r="D248" s="38"/>
      <c r="E248" s="42"/>
      <c r="F248" s="38"/>
      <c r="G248" s="38"/>
      <c r="H248" s="38"/>
      <c r="I248" s="42"/>
      <c r="J248" s="38"/>
      <c r="K248" s="38"/>
      <c r="L248" s="38"/>
      <c r="M248" s="42"/>
      <c r="N248" s="38"/>
      <c r="O248" s="38"/>
      <c r="P248" s="38"/>
      <c r="Q248" s="42"/>
      <c r="R248" s="38"/>
      <c r="S248" s="38"/>
      <c r="T248" s="38"/>
      <c r="U248" s="42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42"/>
      <c r="AG248" s="38"/>
      <c r="AH248" s="38"/>
      <c r="AI248" s="42"/>
      <c r="AJ248" s="42"/>
    </row>
    <row r="249" ht="15.75" customHeight="1">
      <c r="A249" s="38"/>
      <c r="B249" s="38"/>
      <c r="C249" s="38"/>
      <c r="D249" s="38"/>
      <c r="E249" s="42"/>
      <c r="F249" s="38"/>
      <c r="G249" s="38"/>
      <c r="H249" s="38"/>
      <c r="I249" s="42"/>
      <c r="J249" s="38"/>
      <c r="K249" s="38"/>
      <c r="L249" s="38"/>
      <c r="M249" s="42"/>
      <c r="N249" s="38"/>
      <c r="O249" s="38"/>
      <c r="P249" s="38"/>
      <c r="Q249" s="42"/>
      <c r="R249" s="38"/>
      <c r="S249" s="38"/>
      <c r="T249" s="38"/>
      <c r="U249" s="42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42"/>
      <c r="AG249" s="38"/>
      <c r="AH249" s="38"/>
      <c r="AI249" s="42"/>
      <c r="AJ249" s="42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F4:I4"/>
    <mergeCell ref="J4:M4"/>
    <mergeCell ref="N4:Q4"/>
    <mergeCell ref="R4:U4"/>
    <mergeCell ref="Y6:AB6"/>
    <mergeCell ref="AH6:AJ6"/>
    <mergeCell ref="B5:U6"/>
    <mergeCell ref="B14:U15"/>
    <mergeCell ref="B23:U24"/>
    <mergeCell ref="B32:U33"/>
    <mergeCell ref="B41:U42"/>
    <mergeCell ref="B1:U2"/>
    <mergeCell ref="B3:E3"/>
    <mergeCell ref="F3:I3"/>
    <mergeCell ref="J3:M3"/>
    <mergeCell ref="N3:Q3"/>
    <mergeCell ref="R3:U3"/>
    <mergeCell ref="B4:E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75"/>
    <col customWidth="1" min="2" max="2" width="26.13"/>
    <col customWidth="1" min="3" max="4" width="12.75"/>
    <col customWidth="1" min="5" max="5" width="26.13"/>
    <col customWidth="1" min="6" max="7" width="12.75"/>
    <col customWidth="1" min="8" max="8" width="26.13"/>
    <col customWidth="1" min="9" max="10" width="12.75"/>
    <col customWidth="1" min="11" max="11" width="26.13"/>
    <col customWidth="1" min="12" max="16" width="12.75"/>
    <col customWidth="1" min="17" max="17" width="38.13"/>
    <col customWidth="1" min="18" max="26" width="12.75"/>
  </cols>
  <sheetData>
    <row r="1" ht="15.75" customHeight="1">
      <c r="A1" s="38"/>
      <c r="B1" s="25" t="s">
        <v>246</v>
      </c>
      <c r="N1" s="38"/>
      <c r="O1" s="38"/>
      <c r="P1" s="38"/>
      <c r="Q1" s="38"/>
      <c r="R1" s="38"/>
      <c r="S1" s="38"/>
      <c r="T1" s="38"/>
      <c r="U1" s="38"/>
      <c r="V1" s="38"/>
      <c r="W1" s="38"/>
    </row>
    <row r="2" ht="15.75" customHeight="1">
      <c r="A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ht="15.75" customHeight="1">
      <c r="A3" s="38"/>
      <c r="B3" s="26" t="s">
        <v>115</v>
      </c>
      <c r="E3" s="26" t="s">
        <v>116</v>
      </c>
      <c r="H3" s="26" t="s">
        <v>117</v>
      </c>
      <c r="K3" s="26" t="s">
        <v>118</v>
      </c>
      <c r="N3" s="38"/>
      <c r="O3" s="38"/>
      <c r="P3" s="38"/>
      <c r="Q3" s="38"/>
      <c r="R3" s="38"/>
      <c r="S3" s="38"/>
      <c r="T3" s="38"/>
      <c r="U3" s="38"/>
      <c r="V3" s="38"/>
      <c r="W3" s="38"/>
    </row>
    <row r="4" ht="15.75" customHeight="1">
      <c r="A4" s="38"/>
      <c r="B4" s="27">
        <v>0.4895833333333333</v>
      </c>
      <c r="E4" s="27">
        <v>0.5104166666666666</v>
      </c>
      <c r="H4" s="27">
        <v>0.53125</v>
      </c>
      <c r="K4" s="27">
        <v>0.625</v>
      </c>
      <c r="N4" s="38"/>
      <c r="O4" s="38"/>
      <c r="P4" s="38"/>
      <c r="Q4" s="38"/>
      <c r="R4" s="38"/>
      <c r="S4" s="38"/>
      <c r="T4" s="38"/>
      <c r="U4" s="38"/>
      <c r="V4" s="38"/>
      <c r="W4" s="38"/>
    </row>
    <row r="5" ht="15.75" customHeight="1">
      <c r="A5" s="50"/>
      <c r="B5" s="243" t="s">
        <v>225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  <c r="N5" s="50"/>
      <c r="O5" s="50"/>
      <c r="P5" s="50"/>
      <c r="Q5" s="50"/>
      <c r="R5" s="50"/>
      <c r="S5" s="50"/>
      <c r="T5" s="50"/>
      <c r="U5" s="50"/>
      <c r="V5" s="50"/>
      <c r="W5" s="50"/>
    </row>
    <row r="6" ht="15.75" customHeight="1">
      <c r="A6" s="50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5"/>
      <c r="N6" s="50"/>
      <c r="O6" s="50"/>
      <c r="P6" s="50"/>
      <c r="Q6" s="50"/>
      <c r="R6" s="50"/>
      <c r="S6" s="50"/>
      <c r="T6" s="50"/>
      <c r="U6" s="50"/>
      <c r="V6" s="50"/>
      <c r="W6" s="50"/>
    </row>
    <row r="7" ht="15.75" customHeight="1">
      <c r="A7" s="50"/>
      <c r="B7" s="59" t="s">
        <v>124</v>
      </c>
      <c r="C7" s="244" t="s">
        <v>125</v>
      </c>
      <c r="D7" s="274" t="s">
        <v>127</v>
      </c>
      <c r="E7" s="59" t="s">
        <v>124</v>
      </c>
      <c r="F7" s="244" t="s">
        <v>125</v>
      </c>
      <c r="G7" s="274" t="s">
        <v>127</v>
      </c>
      <c r="H7" s="59" t="s">
        <v>124</v>
      </c>
      <c r="I7" s="244" t="s">
        <v>125</v>
      </c>
      <c r="J7" s="274" t="s">
        <v>127</v>
      </c>
      <c r="K7" s="59" t="s">
        <v>124</v>
      </c>
      <c r="L7" s="244" t="s">
        <v>125</v>
      </c>
      <c r="M7" s="274" t="s">
        <v>127</v>
      </c>
      <c r="N7" s="50"/>
      <c r="O7" s="50"/>
      <c r="P7" s="62" t="s">
        <v>128</v>
      </c>
      <c r="Q7" s="62" t="s">
        <v>45</v>
      </c>
      <c r="R7" s="62" t="s">
        <v>132</v>
      </c>
      <c r="S7" s="50"/>
      <c r="T7" s="50"/>
      <c r="U7" s="50"/>
      <c r="V7" s="50"/>
      <c r="W7" s="50"/>
    </row>
    <row r="8" ht="15.75" customHeight="1">
      <c r="A8" s="38"/>
      <c r="B8" s="68" t="s">
        <v>247</v>
      </c>
      <c r="C8" s="247"/>
      <c r="D8" s="71" t="str">
        <f>_xludf.IFS((C8-C9)&gt;0,C8+100,(C8-C9)=0,C8+50,(C8-C9)&lt;0,C8)</f>
        <v>#NAME?</v>
      </c>
      <c r="E8" s="68" t="s">
        <v>248</v>
      </c>
      <c r="F8" s="247"/>
      <c r="G8" s="71" t="str">
        <f>_xludf.IFS((F8-F9)&gt;0,F8+100,(F8-F9)=0,F8+50,(F8-F9)&lt;0,F8)</f>
        <v>#NAME?</v>
      </c>
      <c r="H8" s="68" t="s">
        <v>249</v>
      </c>
      <c r="I8" s="247"/>
      <c r="J8" s="71" t="str">
        <f>_xludf.IFS((I8-I9)&gt;0,I8+100,(I8-I9)=0,I8+50,(I8-I9)&lt;0,I8)</f>
        <v>#NAME?</v>
      </c>
      <c r="K8" s="68"/>
      <c r="L8" s="247"/>
      <c r="M8" s="71" t="str">
        <f>_xludf.IFS((L8-L9)&gt;0,L8+100,(L8-L9)=0,L8+50,(L8-L9)&lt;0,L8)</f>
        <v>#NAME?</v>
      </c>
      <c r="N8" s="38"/>
      <c r="O8" s="38"/>
      <c r="P8" s="73"/>
      <c r="Q8" s="275" t="s">
        <v>250</v>
      </c>
      <c r="R8" s="276" t="str">
        <f>SUM(D8,G9)</f>
        <v>#NAME?</v>
      </c>
      <c r="S8" s="38"/>
      <c r="T8" s="38"/>
      <c r="U8" s="38"/>
      <c r="V8" s="38"/>
      <c r="W8" s="38"/>
    </row>
    <row r="9" ht="15.75" customHeight="1">
      <c r="A9" s="38"/>
      <c r="B9" s="84" t="s">
        <v>251</v>
      </c>
      <c r="C9" s="253"/>
      <c r="D9" s="87" t="str">
        <f>_xludf.IFS((C9-C8)&gt;0,C9+100,(C9-C8)=0,C9+50,(C9-C8)&lt;0,C9)</f>
        <v>#NAME?</v>
      </c>
      <c r="E9" s="84" t="s">
        <v>252</v>
      </c>
      <c r="F9" s="253"/>
      <c r="G9" s="87" t="str">
        <f>_xludf.IFS((F9-F8)&gt;0,F9+100,(F9-F8)=0,F9+50,(F9-F8)&lt;0,F9)</f>
        <v>#NAME?</v>
      </c>
      <c r="H9" s="84" t="s">
        <v>253</v>
      </c>
      <c r="I9" s="253"/>
      <c r="J9" s="87" t="str">
        <f>_xludf.IFS((I9-I8)&gt;0,I9+100,(I9-I8)=0,I9+50,(I9-I8)&lt;0,I9)</f>
        <v>#NAME?</v>
      </c>
      <c r="K9" s="84"/>
      <c r="L9" s="253"/>
      <c r="M9" s="87" t="str">
        <f>_xludf.IFS((L9-L8)&gt;0,L9+100,(L9-L8)=0,L9+50,(L9-L8)&lt;0,L9)</f>
        <v>#NAME?</v>
      </c>
      <c r="N9" s="38"/>
      <c r="O9" s="38"/>
      <c r="P9" s="73"/>
      <c r="Q9" s="275" t="s">
        <v>254</v>
      </c>
      <c r="R9" s="276" t="str">
        <f>SUM(D9,J8)</f>
        <v>#NAME?</v>
      </c>
      <c r="S9" s="38"/>
      <c r="T9" s="38"/>
      <c r="U9" s="38"/>
      <c r="V9" s="38"/>
      <c r="W9" s="38"/>
    </row>
    <row r="10" ht="15.75" customHeight="1">
      <c r="A10" s="38"/>
      <c r="B10" s="277" t="s">
        <v>255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1"/>
      <c r="N10" s="38"/>
      <c r="O10" s="38"/>
      <c r="P10" s="73"/>
      <c r="Q10" s="276" t="s">
        <v>256</v>
      </c>
      <c r="R10" s="276" t="str">
        <f>SUM(G8,J9)</f>
        <v>#NAME?</v>
      </c>
      <c r="S10" s="38"/>
      <c r="T10" s="38"/>
      <c r="U10" s="38"/>
      <c r="V10" s="38"/>
      <c r="W10" s="38"/>
    </row>
    <row r="11" ht="15.75" customHeight="1">
      <c r="A11" s="38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5"/>
      <c r="N11" s="38"/>
      <c r="O11" s="38"/>
      <c r="P11" s="73"/>
      <c r="Q11" s="276" t="s">
        <v>257</v>
      </c>
      <c r="R11" s="276" t="str">
        <f>SUM(D13,G14)</f>
        <v>#NAME?</v>
      </c>
      <c r="S11" s="38"/>
      <c r="T11" s="38"/>
      <c r="U11" s="38"/>
      <c r="V11" s="38"/>
      <c r="W11" s="38"/>
    </row>
    <row r="12" ht="15.75" customHeight="1">
      <c r="A12" s="38"/>
      <c r="B12" s="278" t="s">
        <v>124</v>
      </c>
      <c r="C12" s="279" t="s">
        <v>125</v>
      </c>
      <c r="D12" s="280" t="s">
        <v>127</v>
      </c>
      <c r="E12" s="279" t="s">
        <v>124</v>
      </c>
      <c r="F12" s="279" t="s">
        <v>125</v>
      </c>
      <c r="G12" s="280" t="s">
        <v>127</v>
      </c>
      <c r="H12" s="279" t="s">
        <v>124</v>
      </c>
      <c r="I12" s="279" t="s">
        <v>125</v>
      </c>
      <c r="J12" s="280" t="s">
        <v>127</v>
      </c>
      <c r="K12" s="279" t="s">
        <v>124</v>
      </c>
      <c r="L12" s="279" t="s">
        <v>125</v>
      </c>
      <c r="M12" s="280" t="s">
        <v>127</v>
      </c>
      <c r="N12" s="38"/>
      <c r="O12" s="38"/>
      <c r="P12" s="73"/>
      <c r="Q12" s="276" t="s">
        <v>258</v>
      </c>
      <c r="R12" s="276" t="str">
        <f>SUM(D14,J13)</f>
        <v>#NAME?</v>
      </c>
      <c r="S12" s="38"/>
      <c r="T12" s="38"/>
      <c r="U12" s="38"/>
      <c r="V12" s="38"/>
      <c r="W12" s="38"/>
    </row>
    <row r="13" ht="15.75" customHeight="1">
      <c r="A13" s="38"/>
      <c r="B13" s="281" t="s">
        <v>259</v>
      </c>
      <c r="C13" s="247"/>
      <c r="D13" s="282" t="str">
        <f>_xludf.IFS((C13-C14)&gt;0,C13+100,(C13-C14)=0,C13+50,(C13-C14)&lt;0,C13)</f>
        <v>#NAME?</v>
      </c>
      <c r="E13" s="283" t="s">
        <v>260</v>
      </c>
      <c r="F13" s="247"/>
      <c r="G13" s="282" t="str">
        <f>_xludf.IFS((F13-F14)&gt;0,F13+100,(F13-F14)=0,F13+50,(F13-F14)&lt;0,F13)</f>
        <v>#NAME?</v>
      </c>
      <c r="H13" s="283" t="s">
        <v>261</v>
      </c>
      <c r="I13" s="247"/>
      <c r="J13" s="282" t="str">
        <f>_xludf.IFS((I13-I14)&gt;0,I13+100,(I13-I14)=0,I13+50,(I13-I14)&lt;0,I13)</f>
        <v>#NAME?</v>
      </c>
      <c r="K13" s="283"/>
      <c r="L13" s="247"/>
      <c r="M13" s="282" t="str">
        <f>_xludf.IFS((L13-L14)&gt;0,L13+100,(L13-L14)=0,L13+50,(L13-L14)&lt;0,L13)</f>
        <v>#NAME?</v>
      </c>
      <c r="N13" s="38"/>
      <c r="O13" s="38"/>
      <c r="P13" s="73"/>
      <c r="Q13" s="276" t="s">
        <v>262</v>
      </c>
      <c r="R13" s="276" t="str">
        <f>SUM(G13,J14)</f>
        <v>#NAME?</v>
      </c>
      <c r="S13" s="38"/>
      <c r="T13" s="38"/>
      <c r="U13" s="38"/>
      <c r="V13" s="38"/>
      <c r="W13" s="38"/>
    </row>
    <row r="14" ht="15.75" customHeight="1">
      <c r="A14" s="38"/>
      <c r="B14" s="284" t="s">
        <v>263</v>
      </c>
      <c r="C14" s="253"/>
      <c r="D14" s="285" t="str">
        <f>_xludf.IFS((C14-C13)&gt;0,C14+100,(C14-C13)=0,C14+50,(C14-C13)&lt;0,C14)</f>
        <v>#NAME?</v>
      </c>
      <c r="E14" s="286" t="s">
        <v>264</v>
      </c>
      <c r="F14" s="253"/>
      <c r="G14" s="285" t="str">
        <f>_xludf.IFS((F14-F13)&gt;0,F14+100,(F14-F13)=0,F14+50,(F14-F13)&lt;0,F14)</f>
        <v>#NAME?</v>
      </c>
      <c r="H14" s="286" t="s">
        <v>265</v>
      </c>
      <c r="I14" s="253"/>
      <c r="J14" s="285" t="str">
        <f>_xludf.IFS((I14-I13)&gt;0,I14+100,(I14-I13)=0,I14+50,(I14-I13)&lt;0,I14)</f>
        <v>#NAME?</v>
      </c>
      <c r="K14" s="286"/>
      <c r="L14" s="253"/>
      <c r="M14" s="285" t="str">
        <f>_xludf.IFS((L14-L13)&gt;0,L14+100,(L14-L13)=0,L14+50,(L14-L13)&lt;0,L14)</f>
        <v>#NAME?</v>
      </c>
      <c r="N14" s="38"/>
      <c r="O14" s="38"/>
      <c r="P14" s="73"/>
      <c r="Q14" s="276" t="s">
        <v>266</v>
      </c>
      <c r="R14" s="276" t="str">
        <f>SUM(D18,G19)</f>
        <v>#NAME?</v>
      </c>
      <c r="S14" s="38"/>
      <c r="T14" s="38"/>
      <c r="U14" s="38"/>
      <c r="V14" s="38"/>
      <c r="W14" s="38"/>
    </row>
    <row r="15" ht="15.75" customHeight="1">
      <c r="A15" s="38"/>
      <c r="B15" s="287" t="s">
        <v>234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9"/>
      <c r="N15" s="38"/>
      <c r="O15" s="38"/>
      <c r="P15" s="73"/>
      <c r="Q15" s="276" t="s">
        <v>267</v>
      </c>
      <c r="R15" s="276" t="str">
        <f>SUM(D19,J18)</f>
        <v>#NAME?</v>
      </c>
      <c r="S15" s="38"/>
      <c r="T15" s="38"/>
      <c r="U15" s="38"/>
      <c r="V15" s="38"/>
      <c r="W15" s="38"/>
    </row>
    <row r="16" ht="15.75" customHeight="1">
      <c r="A16" s="38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5"/>
      <c r="N16" s="38"/>
      <c r="O16" s="38"/>
      <c r="P16" s="73"/>
      <c r="Q16" s="276" t="s">
        <v>268</v>
      </c>
      <c r="R16" s="276" t="str">
        <f>SUM(G18,J19)</f>
        <v>#NAME?</v>
      </c>
      <c r="S16" s="38"/>
      <c r="T16" s="38"/>
      <c r="U16" s="38"/>
      <c r="V16" s="38"/>
      <c r="W16" s="38"/>
    </row>
    <row r="17" ht="15.75" customHeight="1">
      <c r="A17" s="38"/>
      <c r="B17" s="290" t="s">
        <v>124</v>
      </c>
      <c r="C17" s="291" t="s">
        <v>125</v>
      </c>
      <c r="D17" s="292" t="s">
        <v>127</v>
      </c>
      <c r="E17" s="291" t="s">
        <v>124</v>
      </c>
      <c r="F17" s="291" t="s">
        <v>125</v>
      </c>
      <c r="G17" s="292" t="s">
        <v>127</v>
      </c>
      <c r="H17" s="291" t="s">
        <v>124</v>
      </c>
      <c r="I17" s="291" t="s">
        <v>125</v>
      </c>
      <c r="J17" s="292" t="s">
        <v>127</v>
      </c>
      <c r="K17" s="291" t="s">
        <v>124</v>
      </c>
      <c r="L17" s="291" t="s">
        <v>125</v>
      </c>
      <c r="M17" s="292" t="s">
        <v>127</v>
      </c>
      <c r="N17" s="38"/>
      <c r="O17" s="38"/>
      <c r="P17" s="73"/>
      <c r="Q17" s="276" t="s">
        <v>269</v>
      </c>
      <c r="R17" s="276" t="str">
        <f>SUM(D23,G24)</f>
        <v>#NAME?</v>
      </c>
      <c r="S17" s="38"/>
      <c r="T17" s="38"/>
      <c r="U17" s="38"/>
      <c r="V17" s="38"/>
      <c r="W17" s="38"/>
    </row>
    <row r="18" ht="15.75" customHeight="1">
      <c r="A18" s="38"/>
      <c r="B18" s="125" t="s">
        <v>270</v>
      </c>
      <c r="C18" s="247"/>
      <c r="D18" s="127">
        <v>50.0</v>
      </c>
      <c r="E18" s="260" t="s">
        <v>271</v>
      </c>
      <c r="F18" s="247"/>
      <c r="G18" s="127" t="str">
        <f>_xludf.IFS((F18-F19)&gt;0,F18+100,(F18-F19)=0,F18+50,(F18-F19)&lt;0,F18)</f>
        <v>#NAME?</v>
      </c>
      <c r="H18" s="260" t="s">
        <v>272</v>
      </c>
      <c r="I18" s="247"/>
      <c r="J18" s="127" t="str">
        <f>_xludf.IFS((I18-I19)&gt;0,I18+100,(I18-I19)=0,I18+50,(I18-I19)&lt;0,I18)</f>
        <v>#NAME?</v>
      </c>
      <c r="K18" s="260"/>
      <c r="L18" s="247"/>
      <c r="M18" s="127" t="str">
        <f>_xludf.IFS((L18-L19)&gt;0,L18+100,(L18-L19)=0,L18+50,(L18-L19)&lt;0,L18)</f>
        <v>#NAME?</v>
      </c>
      <c r="N18" s="38"/>
      <c r="O18" s="38"/>
      <c r="P18" s="73"/>
      <c r="Q18" s="276" t="s">
        <v>273</v>
      </c>
      <c r="R18" s="276" t="str">
        <f>SUM(D24,J23)</f>
        <v>#NAME?</v>
      </c>
      <c r="S18" s="38"/>
      <c r="T18" s="38"/>
      <c r="U18" s="38"/>
      <c r="V18" s="38"/>
      <c r="W18" s="38"/>
    </row>
    <row r="19" ht="15.75" customHeight="1">
      <c r="A19" s="38"/>
      <c r="B19" s="128" t="s">
        <v>274</v>
      </c>
      <c r="C19" s="253"/>
      <c r="D19" s="130">
        <v>50.0</v>
      </c>
      <c r="E19" s="262" t="s">
        <v>275</v>
      </c>
      <c r="F19" s="253"/>
      <c r="G19" s="130" t="str">
        <f>_xludf.IFS((F19-F18)&gt;0,F19+100,(F19-F18)=0,F19+50,(F19-F18)&lt;0,F19)</f>
        <v>#NAME?</v>
      </c>
      <c r="H19" s="262" t="s">
        <v>276</v>
      </c>
      <c r="I19" s="253"/>
      <c r="J19" s="130" t="str">
        <f>_xludf.IFS((I19-I18)&gt;0,I19+100,(I19-I18)=0,I19+50,(I19-I18)&lt;0,I19)</f>
        <v>#NAME?</v>
      </c>
      <c r="K19" s="262"/>
      <c r="L19" s="253"/>
      <c r="M19" s="130" t="str">
        <f>_xludf.IFS((L19-L18)&gt;0,L19+100,(L19-L18)=0,L19+50,(L19-L18)&lt;0,L19)</f>
        <v>#NAME?</v>
      </c>
      <c r="N19" s="38"/>
      <c r="O19" s="38"/>
      <c r="P19" s="73"/>
      <c r="Q19" s="276" t="s">
        <v>277</v>
      </c>
      <c r="R19" s="276" t="str">
        <f>SUM(G23,J24)</f>
        <v>#NAME?</v>
      </c>
      <c r="S19" s="38"/>
      <c r="T19" s="38"/>
      <c r="U19" s="38"/>
      <c r="V19" s="38"/>
      <c r="W19" s="38"/>
    </row>
    <row r="20" ht="15.75" customHeight="1">
      <c r="A20" s="38"/>
      <c r="B20" s="293" t="s">
        <v>278</v>
      </c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9"/>
      <c r="N20" s="38"/>
      <c r="O20" s="38"/>
      <c r="P20" s="73"/>
      <c r="Q20" s="276" t="s">
        <v>279</v>
      </c>
      <c r="R20" s="276" t="str">
        <f>SUM(D28,G29)</f>
        <v>#NAME?</v>
      </c>
      <c r="S20" s="38"/>
      <c r="T20" s="38"/>
      <c r="U20" s="38"/>
      <c r="V20" s="38"/>
      <c r="W20" s="38"/>
    </row>
    <row r="21" ht="15.75" customHeight="1">
      <c r="A21" s="38"/>
      <c r="B21" s="294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6"/>
      <c r="N21" s="38"/>
      <c r="O21" s="38"/>
      <c r="P21" s="73"/>
      <c r="Q21" s="276" t="s">
        <v>280</v>
      </c>
      <c r="R21" s="276" t="str">
        <f>SUM(D29,J28)</f>
        <v>#NAME?</v>
      </c>
      <c r="S21" s="38"/>
      <c r="T21" s="38"/>
      <c r="U21" s="38"/>
      <c r="V21" s="38"/>
      <c r="W21" s="38"/>
    </row>
    <row r="22" ht="15.75" customHeight="1">
      <c r="A22" s="38"/>
      <c r="B22" s="297" t="s">
        <v>124</v>
      </c>
      <c r="C22" s="298" t="s">
        <v>125</v>
      </c>
      <c r="D22" s="299" t="s">
        <v>127</v>
      </c>
      <c r="E22" s="298" t="s">
        <v>124</v>
      </c>
      <c r="F22" s="298" t="s">
        <v>125</v>
      </c>
      <c r="G22" s="299" t="s">
        <v>127</v>
      </c>
      <c r="H22" s="298" t="s">
        <v>124</v>
      </c>
      <c r="I22" s="298" t="s">
        <v>125</v>
      </c>
      <c r="J22" s="299" t="s">
        <v>127</v>
      </c>
      <c r="K22" s="298" t="s">
        <v>124</v>
      </c>
      <c r="L22" s="298" t="s">
        <v>125</v>
      </c>
      <c r="M22" s="299" t="s">
        <v>127</v>
      </c>
      <c r="N22" s="38"/>
      <c r="O22" s="38"/>
      <c r="P22" s="73"/>
      <c r="Q22" s="276" t="s">
        <v>281</v>
      </c>
      <c r="R22" s="276" t="str">
        <f>SUM(G28,J29)</f>
        <v>#NAME?</v>
      </c>
      <c r="S22" s="38"/>
      <c r="T22" s="38"/>
      <c r="U22" s="38"/>
      <c r="V22" s="38"/>
      <c r="W22" s="38"/>
    </row>
    <row r="23" ht="15.75" customHeight="1">
      <c r="A23" s="38"/>
      <c r="B23" s="300" t="s">
        <v>282</v>
      </c>
      <c r="C23" s="247"/>
      <c r="D23" s="301" t="str">
        <f>_xludf.IFS((C23-C24)&gt;0,C23+100,(C23-C24)=0,C23+50,(C23-C24)&lt;0,C23)</f>
        <v>#NAME?</v>
      </c>
      <c r="E23" s="302" t="s">
        <v>283</v>
      </c>
      <c r="F23" s="247"/>
      <c r="G23" s="301" t="str">
        <f>_xludf.IFS((F23-F24)&gt;0,F23+100,(F23-F24)=0,F23+50,(F23-F24)&lt;0,F23)</f>
        <v>#NAME?</v>
      </c>
      <c r="H23" s="302" t="s">
        <v>284</v>
      </c>
      <c r="I23" s="247"/>
      <c r="J23" s="301" t="str">
        <f>_xludf.IFS((I23-I24)&gt;0,I23+100,(I23-I24)=0,I23+50,(I23-I24)&lt;0,I23)</f>
        <v>#NAME?</v>
      </c>
      <c r="K23" s="302"/>
      <c r="L23" s="247"/>
      <c r="M23" s="301" t="str">
        <f>_xludf.IFS((L23-L24)&gt;0,L23+100,(L23-L24)=0,L23+50,(L23-L24)&lt;0,L23)</f>
        <v>#NAME?</v>
      </c>
      <c r="N23" s="38"/>
      <c r="O23" s="38"/>
      <c r="P23" s="73"/>
      <c r="Q23" s="276" t="s">
        <v>285</v>
      </c>
      <c r="R23" s="276" t="str">
        <f>SUM(D33,G34)</f>
        <v>#NAME?</v>
      </c>
      <c r="S23" s="38"/>
      <c r="T23" s="38"/>
      <c r="U23" s="38"/>
      <c r="V23" s="38"/>
      <c r="W23" s="38"/>
    </row>
    <row r="24" ht="15.75" customHeight="1">
      <c r="A24" s="38"/>
      <c r="B24" s="303" t="s">
        <v>286</v>
      </c>
      <c r="C24" s="253"/>
      <c r="D24" s="304" t="str">
        <f>_xludf.IFS((C24-C23)&gt;0,C24+100,(C24-C23)=0,C24+50,(C24-C23)&lt;0,C24)</f>
        <v>#NAME?</v>
      </c>
      <c r="E24" s="305" t="s">
        <v>287</v>
      </c>
      <c r="F24" s="253"/>
      <c r="G24" s="304" t="str">
        <f>_xludf.IFS((F24-F23)&gt;0,F24+100,(F24-F23)=0,F24+50,(F24-F23)&lt;0,F24)</f>
        <v>#NAME?</v>
      </c>
      <c r="H24" s="305" t="s">
        <v>288</v>
      </c>
      <c r="I24" s="253"/>
      <c r="J24" s="304" t="str">
        <f>_xludf.IFS((I24-I23)&gt;0,I24+100,(I24-I23)=0,I24+50,(I24-I23)&lt;0,I24)</f>
        <v>#NAME?</v>
      </c>
      <c r="K24" s="305"/>
      <c r="L24" s="253"/>
      <c r="M24" s="304" t="str">
        <f>_xludf.IFS((L24-L23)&gt;0,L24+100,(L24-L23)=0,L24+50,(L24-L23)&lt;0,L24)</f>
        <v>#NAME?</v>
      </c>
      <c r="N24" s="38"/>
      <c r="O24" s="38"/>
      <c r="P24" s="73"/>
      <c r="Q24" s="276" t="s">
        <v>289</v>
      </c>
      <c r="R24" s="276" t="str">
        <f>SUM(D34,J33)</f>
        <v>#NAME?</v>
      </c>
      <c r="S24" s="38"/>
      <c r="T24" s="38"/>
      <c r="U24" s="38"/>
      <c r="V24" s="38"/>
      <c r="W24" s="38"/>
    </row>
    <row r="25" ht="15.75" customHeight="1">
      <c r="A25" s="38"/>
      <c r="B25" s="306" t="s">
        <v>241</v>
      </c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9"/>
      <c r="N25" s="38"/>
      <c r="O25" s="38"/>
      <c r="P25" s="276"/>
      <c r="Q25" s="276" t="s">
        <v>290</v>
      </c>
      <c r="R25" s="276" t="str">
        <f>SUM(G33,J34)</f>
        <v>#NAME?</v>
      </c>
      <c r="S25" s="38"/>
      <c r="T25" s="38"/>
      <c r="U25" s="38"/>
      <c r="V25" s="38"/>
      <c r="W25" s="38"/>
    </row>
    <row r="26" ht="15.75" customHeight="1">
      <c r="A26" s="38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5"/>
      <c r="N26" s="38"/>
      <c r="O26" s="38"/>
      <c r="P26" s="276"/>
      <c r="Q26" s="276" t="s">
        <v>291</v>
      </c>
      <c r="R26" s="276" t="str">
        <f>SUM(D38,G39)</f>
        <v>#NAME?</v>
      </c>
      <c r="S26" s="38"/>
      <c r="T26" s="38"/>
      <c r="U26" s="38"/>
      <c r="V26" s="38"/>
      <c r="W26" s="38"/>
    </row>
    <row r="27" ht="15.75" customHeight="1">
      <c r="A27" s="38"/>
      <c r="B27" s="307" t="s">
        <v>124</v>
      </c>
      <c r="C27" s="308" t="s">
        <v>125</v>
      </c>
      <c r="D27" s="309" t="s">
        <v>127</v>
      </c>
      <c r="E27" s="308" t="s">
        <v>124</v>
      </c>
      <c r="F27" s="308" t="s">
        <v>125</v>
      </c>
      <c r="G27" s="309" t="s">
        <v>127</v>
      </c>
      <c r="H27" s="308" t="s">
        <v>124</v>
      </c>
      <c r="I27" s="308" t="s">
        <v>125</v>
      </c>
      <c r="J27" s="309" t="s">
        <v>127</v>
      </c>
      <c r="K27" s="308" t="s">
        <v>124</v>
      </c>
      <c r="L27" s="308" t="s">
        <v>125</v>
      </c>
      <c r="M27" s="309" t="s">
        <v>127</v>
      </c>
      <c r="N27" s="38"/>
      <c r="O27" s="38"/>
      <c r="P27" s="276"/>
      <c r="Q27" s="276" t="s">
        <v>292</v>
      </c>
      <c r="R27" s="276" t="str">
        <f>SUM(D39,J38)</f>
        <v>#NAME?</v>
      </c>
      <c r="S27" s="38"/>
      <c r="T27" s="38"/>
      <c r="U27" s="38"/>
      <c r="V27" s="38"/>
      <c r="W27" s="38"/>
    </row>
    <row r="28" ht="15.75" customHeight="1">
      <c r="A28" s="38"/>
      <c r="B28" s="142" t="s">
        <v>293</v>
      </c>
      <c r="C28" s="247"/>
      <c r="D28" s="144" t="str">
        <f>_xludf.IFS((C28-C29)&gt;0,C28+100,(C28-C29)=0,C28+50,(C28-C29)&lt;0,C28)</f>
        <v>#NAME?</v>
      </c>
      <c r="E28" s="265" t="s">
        <v>294</v>
      </c>
      <c r="F28" s="247"/>
      <c r="G28" s="144" t="str">
        <f>_xludf.IFS((F28-F29)&gt;0,F28+100,(F28-F29)=0,F28+50,(F28-F29)&lt;0,F28)</f>
        <v>#NAME?</v>
      </c>
      <c r="H28" s="265" t="s">
        <v>295</v>
      </c>
      <c r="I28" s="247"/>
      <c r="J28" s="144" t="str">
        <f>_xludf.IFS((I28-I29)&gt;0,I28+100,(I28-I29)=0,I28+50,(I28-I29)&lt;0,I28)</f>
        <v>#NAME?</v>
      </c>
      <c r="K28" s="265"/>
      <c r="L28" s="247"/>
      <c r="M28" s="144" t="str">
        <f>_xludf.IFS((L28-L29)&gt;0,L28+100,(L28-L29)=0,L28+50,(L28-L29)&lt;0,L28)</f>
        <v>#NAME?</v>
      </c>
      <c r="N28" s="38"/>
      <c r="O28" s="38"/>
      <c r="P28" s="276"/>
      <c r="Q28" s="276" t="s">
        <v>296</v>
      </c>
      <c r="R28" s="276" t="str">
        <f>SUM(G38,J39)</f>
        <v>#NAME?</v>
      </c>
      <c r="S28" s="38"/>
      <c r="T28" s="38"/>
      <c r="U28" s="38"/>
      <c r="V28" s="38"/>
      <c r="W28" s="38"/>
    </row>
    <row r="29" ht="15.75" customHeight="1">
      <c r="A29" s="38"/>
      <c r="B29" s="145" t="s">
        <v>297</v>
      </c>
      <c r="C29" s="253"/>
      <c r="D29" s="147" t="str">
        <f>_xludf.IFS((C29-C28)&gt;0,C29+100,(C29-C28)=0,C29+50,(C29-C28)&lt;0,C29)</f>
        <v>#NAME?</v>
      </c>
      <c r="E29" s="266" t="s">
        <v>298</v>
      </c>
      <c r="F29" s="253"/>
      <c r="G29" s="147" t="str">
        <f>_xludf.IFS((F29-F28)&gt;0,F29+100,(F29-F28)=0,F29+50,(F29-F28)&lt;0,F29)</f>
        <v>#NAME?</v>
      </c>
      <c r="H29" s="266" t="s">
        <v>299</v>
      </c>
      <c r="I29" s="253"/>
      <c r="J29" s="147" t="str">
        <f>_xludf.IFS((I29-I28)&gt;0,I29+100,(I29-I28)=0,I29+50,(I29-I28)&lt;0,I29)</f>
        <v>#NAME?</v>
      </c>
      <c r="K29" s="266"/>
      <c r="L29" s="253"/>
      <c r="M29" s="147" t="str">
        <f>_xludf.IFS((L29-L28)&gt;0,L29+100,(L29-L28)=0,L29+50,(L29-L28)&lt;0,L29)</f>
        <v>#NAME?</v>
      </c>
      <c r="N29" s="38"/>
      <c r="O29" s="38"/>
      <c r="P29" s="276"/>
      <c r="Q29" s="276" t="s">
        <v>300</v>
      </c>
      <c r="R29" s="276" t="str">
        <f>SUM(D43,G44)</f>
        <v>#NAME?</v>
      </c>
      <c r="S29" s="38"/>
      <c r="T29" s="38"/>
      <c r="U29" s="38"/>
      <c r="V29" s="38"/>
      <c r="W29" s="38"/>
    </row>
    <row r="30" ht="15.75" customHeight="1">
      <c r="A30" s="38"/>
      <c r="B30" s="310" t="s">
        <v>243</v>
      </c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9"/>
      <c r="N30" s="38"/>
      <c r="O30" s="38"/>
      <c r="P30" s="276"/>
      <c r="Q30" s="276" t="s">
        <v>301</v>
      </c>
      <c r="R30" s="276" t="str">
        <f>SUM(D44,J43)</f>
        <v>#NAME?</v>
      </c>
      <c r="S30" s="38"/>
      <c r="T30" s="38"/>
      <c r="U30" s="38"/>
      <c r="V30" s="38"/>
      <c r="W30" s="38"/>
    </row>
    <row r="31" ht="15.75" customHeight="1">
      <c r="A31" s="38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5"/>
      <c r="N31" s="38"/>
      <c r="O31" s="38"/>
      <c r="P31" s="276"/>
      <c r="Q31" s="276" t="s">
        <v>302</v>
      </c>
      <c r="R31" s="276" t="str">
        <f>SUM(G43,J44)</f>
        <v>#NAME?</v>
      </c>
      <c r="S31" s="38"/>
      <c r="T31" s="38"/>
      <c r="U31" s="38"/>
      <c r="V31" s="38"/>
      <c r="W31" s="38"/>
    </row>
    <row r="32" ht="15.75" customHeight="1">
      <c r="A32" s="38"/>
      <c r="B32" s="311" t="s">
        <v>124</v>
      </c>
      <c r="C32" s="312" t="s">
        <v>125</v>
      </c>
      <c r="D32" s="313" t="s">
        <v>127</v>
      </c>
      <c r="E32" s="312" t="s">
        <v>124</v>
      </c>
      <c r="F32" s="312" t="s">
        <v>125</v>
      </c>
      <c r="G32" s="313" t="s">
        <v>127</v>
      </c>
      <c r="H32" s="312" t="s">
        <v>124</v>
      </c>
      <c r="I32" s="312" t="s">
        <v>125</v>
      </c>
      <c r="J32" s="313" t="s">
        <v>127</v>
      </c>
      <c r="K32" s="312" t="s">
        <v>124</v>
      </c>
      <c r="L32" s="312" t="s">
        <v>125</v>
      </c>
      <c r="M32" s="313" t="s">
        <v>127</v>
      </c>
      <c r="N32" s="38"/>
      <c r="O32" s="38"/>
      <c r="P32" s="276"/>
      <c r="Q32" s="276" t="s">
        <v>303</v>
      </c>
      <c r="R32" s="276" t="str">
        <f>SUM(D48,G49)</f>
        <v>#NAME?</v>
      </c>
      <c r="S32" s="38"/>
      <c r="T32" s="38"/>
      <c r="U32" s="38"/>
      <c r="V32" s="38"/>
      <c r="W32" s="38"/>
    </row>
    <row r="33" ht="15.75" customHeight="1">
      <c r="A33" s="38"/>
      <c r="B33" s="155" t="s">
        <v>304</v>
      </c>
      <c r="C33" s="247"/>
      <c r="D33" s="157" t="str">
        <f>_xludf.IFS((C33-C34)&gt;0,C33+100,(C33-C34)=0,C33+50,(C33-C34)&lt;0,C33)</f>
        <v>#NAME?</v>
      </c>
      <c r="E33" s="268" t="s">
        <v>305</v>
      </c>
      <c r="F33" s="247"/>
      <c r="G33" s="157" t="str">
        <f>_xludf.IFS((F33-F34)&gt;0,F33+100,(F33-F34)=0,F33+50,(F33-F34)&lt;0,F33)</f>
        <v>#NAME?</v>
      </c>
      <c r="H33" s="268" t="s">
        <v>306</v>
      </c>
      <c r="I33" s="247"/>
      <c r="J33" s="157" t="str">
        <f>_xludf.IFS((I33-I34)&gt;0,I33+100,(I33-I34)=0,I33+50,(I33-I34)&lt;0,I33)</f>
        <v>#NAME?</v>
      </c>
      <c r="K33" s="268"/>
      <c r="L33" s="247"/>
      <c r="M33" s="157" t="str">
        <f>_xludf.IFS((L33-L34)&gt;0,L33+100,(L33-L34)=0,L33+50,(L33-L34)&lt;0,L33)</f>
        <v>#NAME?</v>
      </c>
      <c r="N33" s="38"/>
      <c r="O33" s="38"/>
      <c r="P33" s="276"/>
      <c r="Q33" s="276" t="s">
        <v>307</v>
      </c>
      <c r="R33" s="276" t="str">
        <f>SUM(D49,J48)</f>
        <v>#NAME?</v>
      </c>
      <c r="S33" s="38"/>
      <c r="T33" s="38"/>
      <c r="U33" s="38"/>
      <c r="V33" s="38"/>
      <c r="W33" s="38"/>
    </row>
    <row r="34" ht="15.75" customHeight="1">
      <c r="A34" s="38"/>
      <c r="B34" s="158" t="s">
        <v>308</v>
      </c>
      <c r="C34" s="253"/>
      <c r="D34" s="162" t="str">
        <f>_xludf.IFS((C34-C33)&gt;0,C34+100,(C34-C33)=0,C34+50,(C34-C33)&lt;0,C34)</f>
        <v>#NAME?</v>
      </c>
      <c r="E34" s="269" t="s">
        <v>309</v>
      </c>
      <c r="F34" s="253"/>
      <c r="G34" s="162" t="str">
        <f>_xludf.IFS((F34-F33)&gt;0,F34+100,(F34-F33)=0,F34+50,(F34-F33)&lt;0,F34)</f>
        <v>#NAME?</v>
      </c>
      <c r="H34" s="269" t="s">
        <v>310</v>
      </c>
      <c r="I34" s="253"/>
      <c r="J34" s="162" t="str">
        <f>_xludf.IFS((I34-I33)&gt;0,I34+100,(I34-I33)=0,I34+50,(I34-I33)&lt;0,I34)</f>
        <v>#NAME?</v>
      </c>
      <c r="K34" s="269"/>
      <c r="L34" s="253"/>
      <c r="M34" s="162" t="str">
        <f>_xludf.IFS((L34-L33)&gt;0,L34+100,(L34-L33)=0,L34+50,(L34-L33)&lt;0,L34)</f>
        <v>#NAME?</v>
      </c>
      <c r="N34" s="38"/>
      <c r="O34" s="38"/>
      <c r="P34" s="276"/>
      <c r="Q34" s="276" t="s">
        <v>311</v>
      </c>
      <c r="R34" s="276" t="str">
        <f>SUM(G48,J49)</f>
        <v>#NAME?</v>
      </c>
      <c r="S34" s="38"/>
      <c r="T34" s="38"/>
      <c r="U34" s="38"/>
      <c r="V34" s="38"/>
      <c r="W34" s="38"/>
    </row>
    <row r="35" ht="15.75" customHeight="1">
      <c r="A35" s="38"/>
      <c r="B35" s="314" t="s">
        <v>312</v>
      </c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9"/>
      <c r="N35" s="38"/>
      <c r="O35" s="38"/>
      <c r="P35" s="276"/>
      <c r="Q35" s="276" t="s">
        <v>313</v>
      </c>
      <c r="R35" s="276" t="str">
        <f>SUM(D53,G54)</f>
        <v>#NAME?</v>
      </c>
      <c r="S35" s="38"/>
      <c r="T35" s="38"/>
      <c r="U35" s="38"/>
      <c r="V35" s="38"/>
      <c r="W35" s="38"/>
    </row>
    <row r="36" ht="15.75" customHeight="1">
      <c r="A36" s="38"/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5"/>
      <c r="N36" s="38"/>
      <c r="O36" s="38"/>
      <c r="P36" s="276"/>
      <c r="Q36" s="276" t="s">
        <v>314</v>
      </c>
      <c r="R36" s="276" t="str">
        <f>SUM(D54,J53)</f>
        <v>#NAME?</v>
      </c>
      <c r="S36" s="38"/>
      <c r="T36" s="38"/>
      <c r="U36" s="38"/>
      <c r="V36" s="38"/>
      <c r="W36" s="38"/>
    </row>
    <row r="37" ht="15.75" customHeight="1">
      <c r="A37" s="38"/>
      <c r="B37" s="315" t="s">
        <v>124</v>
      </c>
      <c r="C37" s="316" t="s">
        <v>125</v>
      </c>
      <c r="D37" s="317" t="s">
        <v>127</v>
      </c>
      <c r="E37" s="316" t="s">
        <v>124</v>
      </c>
      <c r="F37" s="316" t="s">
        <v>125</v>
      </c>
      <c r="G37" s="317" t="s">
        <v>127</v>
      </c>
      <c r="H37" s="316" t="s">
        <v>124</v>
      </c>
      <c r="I37" s="316" t="s">
        <v>125</v>
      </c>
      <c r="J37" s="317" t="s">
        <v>127</v>
      </c>
      <c r="K37" s="316" t="s">
        <v>124</v>
      </c>
      <c r="L37" s="316" t="s">
        <v>125</v>
      </c>
      <c r="M37" s="317" t="s">
        <v>127</v>
      </c>
      <c r="N37" s="38"/>
      <c r="O37" s="38"/>
      <c r="P37" s="276"/>
      <c r="Q37" s="276" t="s">
        <v>315</v>
      </c>
      <c r="R37" s="276" t="str">
        <f>SUM(G53,J54)</f>
        <v>#NAME?</v>
      </c>
      <c r="S37" s="38"/>
      <c r="T37" s="38"/>
      <c r="U37" s="38"/>
      <c r="V37" s="38"/>
      <c r="W37" s="38"/>
    </row>
    <row r="38" ht="15.75" customHeight="1">
      <c r="A38" s="38"/>
      <c r="B38" s="318" t="s">
        <v>316</v>
      </c>
      <c r="C38" s="247"/>
      <c r="D38" s="319" t="str">
        <f>_xludf.IFS((C38-C39)&gt;0,C38+100,(C38-C39)=0,C38+50,(C38-C39)&lt;0,C38)</f>
        <v>#NAME?</v>
      </c>
      <c r="E38" s="320" t="s">
        <v>317</v>
      </c>
      <c r="F38" s="247"/>
      <c r="G38" s="319" t="str">
        <f>_xludf.IFS((F38-F39)&gt;0,F38+100,(F38-F39)=0,F38+50,(F38-F39)&lt;0,F38)</f>
        <v>#NAME?</v>
      </c>
      <c r="H38" s="320" t="s">
        <v>318</v>
      </c>
      <c r="I38" s="247"/>
      <c r="J38" s="319" t="str">
        <f>_xludf.IFS((I38-I39)&gt;0,I38+100,(I38-I39)=0,I38+50,(I38-I39)&lt;0,I38)</f>
        <v>#NAME?</v>
      </c>
      <c r="K38" s="320"/>
      <c r="L38" s="247"/>
      <c r="M38" s="319" t="str">
        <f>_xludf.IFS((L38-L39)&gt;0,L38+100,(L38-L39)=0,L38+50,(L38-L39)&lt;0,L38)</f>
        <v>#NAME?</v>
      </c>
      <c r="N38" s="38"/>
      <c r="O38" s="38"/>
      <c r="P38" s="276"/>
      <c r="Q38" s="276" t="s">
        <v>319</v>
      </c>
      <c r="R38" s="276" t="str">
        <f>SUM(D58,G59)</f>
        <v>#NAME?</v>
      </c>
      <c r="S38" s="38"/>
      <c r="T38" s="38"/>
      <c r="U38" s="38"/>
      <c r="V38" s="38"/>
      <c r="W38" s="38"/>
    </row>
    <row r="39" ht="15.75" customHeight="1">
      <c r="A39" s="38"/>
      <c r="B39" s="321" t="s">
        <v>320</v>
      </c>
      <c r="C39" s="253"/>
      <c r="D39" s="322" t="str">
        <f>_xludf.IFS((C39-C38)&gt;0,C39+100,(C39-C38)=0,C39+50,(C39-C38)&lt;0,C39)</f>
        <v>#NAME?</v>
      </c>
      <c r="E39" s="323" t="s">
        <v>321</v>
      </c>
      <c r="F39" s="253"/>
      <c r="G39" s="322" t="str">
        <f>_xludf.IFS((F39-F38)&gt;0,F39+100,(F39-F38)=0,F39+50,(F39-F38)&lt;0,F39)</f>
        <v>#NAME?</v>
      </c>
      <c r="H39" s="323" t="s">
        <v>322</v>
      </c>
      <c r="I39" s="253"/>
      <c r="J39" s="322" t="str">
        <f>_xludf.IFS((I39-I38)&gt;0,I39+100,(I39-I38)=0,I39+50,(I39-I38)&lt;0,I39)</f>
        <v>#NAME?</v>
      </c>
      <c r="K39" s="323"/>
      <c r="L39" s="253"/>
      <c r="M39" s="322" t="str">
        <f>_xludf.IFS((L39-L38)&gt;0,L39+100,(L39-L38)=0,L39+50,(L39-L38)&lt;0,L39)</f>
        <v>#NAME?</v>
      </c>
      <c r="N39" s="38"/>
      <c r="O39" s="38"/>
      <c r="P39" s="276"/>
      <c r="Q39" s="276" t="s">
        <v>323</v>
      </c>
      <c r="R39" s="276" t="str">
        <f>SUM(D59,J58)</f>
        <v>#NAME?</v>
      </c>
      <c r="S39" s="38"/>
      <c r="T39" s="38"/>
      <c r="U39" s="38"/>
      <c r="V39" s="38"/>
      <c r="W39" s="38"/>
    </row>
    <row r="40" ht="15.75" customHeight="1">
      <c r="A40" s="38"/>
      <c r="B40" s="324" t="s">
        <v>324</v>
      </c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9"/>
      <c r="N40" s="38"/>
      <c r="O40" s="38"/>
      <c r="P40" s="276"/>
      <c r="Q40" s="276" t="s">
        <v>325</v>
      </c>
      <c r="R40" s="276" t="str">
        <f>SUM(G58,J59)</f>
        <v>#NAME?</v>
      </c>
      <c r="S40" s="38"/>
      <c r="T40" s="38"/>
      <c r="U40" s="38"/>
      <c r="V40" s="38"/>
      <c r="W40" s="38"/>
    </row>
    <row r="41" ht="15.75" customHeight="1">
      <c r="A41" s="38"/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5"/>
      <c r="N41" s="38"/>
      <c r="O41" s="38"/>
      <c r="P41" s="38"/>
      <c r="Q41" s="38"/>
      <c r="R41" s="38"/>
      <c r="S41" s="38"/>
      <c r="T41" s="38"/>
      <c r="U41" s="38"/>
      <c r="V41" s="38"/>
      <c r="W41" s="38"/>
    </row>
    <row r="42" ht="15.75" customHeight="1">
      <c r="A42" s="38"/>
      <c r="B42" s="325" t="s">
        <v>124</v>
      </c>
      <c r="C42" s="326" t="s">
        <v>125</v>
      </c>
      <c r="D42" s="327" t="s">
        <v>127</v>
      </c>
      <c r="E42" s="326" t="s">
        <v>124</v>
      </c>
      <c r="F42" s="326" t="s">
        <v>125</v>
      </c>
      <c r="G42" s="327" t="s">
        <v>127</v>
      </c>
      <c r="H42" s="326" t="s">
        <v>124</v>
      </c>
      <c r="I42" s="326" t="s">
        <v>125</v>
      </c>
      <c r="J42" s="327" t="s">
        <v>127</v>
      </c>
      <c r="K42" s="326" t="s">
        <v>124</v>
      </c>
      <c r="L42" s="326" t="s">
        <v>125</v>
      </c>
      <c r="M42" s="327" t="s">
        <v>127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</row>
    <row r="43" ht="15.75" customHeight="1">
      <c r="A43" s="38"/>
      <c r="B43" s="328" t="s">
        <v>326</v>
      </c>
      <c r="C43" s="247"/>
      <c r="D43" s="329" t="str">
        <f>_xludf.IFS((C43-C44)&gt;0,C43+100,(C43-C44)=0,C43+50,(C43-C44)&lt;0,C43)</f>
        <v>#NAME?</v>
      </c>
      <c r="E43" s="330" t="s">
        <v>327</v>
      </c>
      <c r="F43" s="247"/>
      <c r="G43" s="329" t="str">
        <f>_xludf.IFS((F43-F44)&gt;0,F43+100,(F43-F44)=0,F43+50,(F43-F44)&lt;0,F43)</f>
        <v>#NAME?</v>
      </c>
      <c r="H43" s="330" t="s">
        <v>328</v>
      </c>
      <c r="I43" s="247"/>
      <c r="J43" s="329" t="str">
        <f>_xludf.IFS((I43-I44)&gt;0,I43+100,(I43-I44)=0,I43+50,(I43-I44)&lt;0,I43)</f>
        <v>#NAME?</v>
      </c>
      <c r="K43" s="330"/>
      <c r="L43" s="247"/>
      <c r="M43" s="329" t="str">
        <f>_xludf.IFS((L43-L44)&gt;0,L43+100,(L43-L44)=0,L43+50,(L43-L44)&lt;0,L43)</f>
        <v>#NAME?</v>
      </c>
      <c r="N43" s="38"/>
      <c r="O43" s="38"/>
      <c r="P43" s="38"/>
      <c r="Q43" s="38"/>
      <c r="R43" s="38"/>
      <c r="S43" s="38"/>
      <c r="T43" s="38"/>
      <c r="U43" s="38"/>
      <c r="V43" s="38"/>
      <c r="W43" s="38"/>
    </row>
    <row r="44" ht="15.75" customHeight="1">
      <c r="A44" s="38"/>
      <c r="B44" s="331" t="s">
        <v>329</v>
      </c>
      <c r="C44" s="253"/>
      <c r="D44" s="332" t="str">
        <f>_xludf.IFS((C44-C43)&gt;0,C44+100,(C44-C43)=0,C44+50,(C44-C43)&lt;0,C44)</f>
        <v>#NAME?</v>
      </c>
      <c r="E44" s="333" t="s">
        <v>330</v>
      </c>
      <c r="F44" s="253"/>
      <c r="G44" s="332" t="str">
        <f>_xludf.IFS((F44-F43)&gt;0,F44+100,(F44-F43)=0,F44+50,(F44-F43)&lt;0,F44)</f>
        <v>#NAME?</v>
      </c>
      <c r="H44" s="333" t="s">
        <v>331</v>
      </c>
      <c r="I44" s="253"/>
      <c r="J44" s="332" t="str">
        <f>_xludf.IFS((I44-I43)&gt;0,I44+100,(I44-I43)=0,I44+50,(I44-I43)&lt;0,I44)</f>
        <v>#NAME?</v>
      </c>
      <c r="K44" s="333"/>
      <c r="L44" s="253"/>
      <c r="M44" s="332" t="str">
        <f>_xludf.IFS((L44-L43)&gt;0,L44+100,(L44-L43)=0,L44+50,(L44-L43)&lt;0,L44)</f>
        <v>#NAME?</v>
      </c>
      <c r="N44" s="38"/>
      <c r="O44" s="38"/>
      <c r="P44" s="38"/>
      <c r="Q44" s="38"/>
      <c r="R44" s="38"/>
      <c r="S44" s="38"/>
      <c r="T44" s="38"/>
      <c r="U44" s="38"/>
      <c r="V44" s="38"/>
      <c r="W44" s="38"/>
    </row>
    <row r="45" ht="15.75" customHeight="1">
      <c r="A45" s="38"/>
      <c r="B45" s="334" t="s">
        <v>245</v>
      </c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9"/>
      <c r="N45" s="38"/>
      <c r="O45" s="38"/>
      <c r="P45" s="38"/>
      <c r="Q45" s="38"/>
      <c r="R45" s="38"/>
      <c r="S45" s="38"/>
      <c r="T45" s="38"/>
      <c r="U45" s="38"/>
      <c r="V45" s="38"/>
      <c r="W45" s="38"/>
    </row>
    <row r="46" ht="15.75" customHeight="1">
      <c r="A46" s="38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5"/>
      <c r="N46" s="38"/>
      <c r="O46" s="38"/>
      <c r="P46" s="38"/>
      <c r="Q46" s="38"/>
      <c r="R46" s="38"/>
      <c r="S46" s="38"/>
      <c r="T46" s="38"/>
      <c r="U46" s="38"/>
      <c r="V46" s="38"/>
      <c r="W46" s="38"/>
    </row>
    <row r="47" ht="15.75" customHeight="1">
      <c r="A47" s="38"/>
      <c r="B47" s="335" t="s">
        <v>124</v>
      </c>
      <c r="C47" s="336" t="s">
        <v>125</v>
      </c>
      <c r="D47" s="337" t="s">
        <v>127</v>
      </c>
      <c r="E47" s="336" t="s">
        <v>124</v>
      </c>
      <c r="F47" s="336" t="s">
        <v>125</v>
      </c>
      <c r="G47" s="337" t="s">
        <v>127</v>
      </c>
      <c r="H47" s="336" t="s">
        <v>124</v>
      </c>
      <c r="I47" s="336" t="s">
        <v>125</v>
      </c>
      <c r="J47" s="337" t="s">
        <v>127</v>
      </c>
      <c r="K47" s="336" t="s">
        <v>124</v>
      </c>
      <c r="L47" s="336" t="s">
        <v>125</v>
      </c>
      <c r="M47" s="337" t="s">
        <v>127</v>
      </c>
      <c r="N47" s="38"/>
      <c r="O47" s="38"/>
      <c r="P47" s="38"/>
      <c r="Q47" s="38"/>
      <c r="R47" s="38"/>
      <c r="S47" s="38"/>
      <c r="T47" s="38"/>
      <c r="U47" s="38"/>
      <c r="V47" s="38"/>
      <c r="W47" s="38"/>
    </row>
    <row r="48" ht="15.75" customHeight="1">
      <c r="A48" s="38"/>
      <c r="B48" s="185" t="s">
        <v>332</v>
      </c>
      <c r="C48" s="247"/>
      <c r="D48" s="188" t="str">
        <f>_xludf.IFS((C48-C49)&gt;0,C48+100,(C48-C49)=0,C48+50,(C48-C49)&lt;0,C48)</f>
        <v>#NAME?</v>
      </c>
      <c r="E48" s="272" t="s">
        <v>333</v>
      </c>
      <c r="F48" s="247"/>
      <c r="G48" s="188" t="str">
        <f>_xludf.IFS((F48-F49)&gt;0,F48+100,(F48-F49)=0,F48+50,(F48-F49)&lt;0,F48)</f>
        <v>#NAME?</v>
      </c>
      <c r="H48" s="272" t="s">
        <v>334</v>
      </c>
      <c r="I48" s="247"/>
      <c r="J48" s="188" t="str">
        <f>_xludf.IFS((I48-I49)&gt;0,I48+100,(I48-I49)=0,I48+50,(I48-I49)&lt;0,I48)</f>
        <v>#NAME?</v>
      </c>
      <c r="K48" s="272"/>
      <c r="L48" s="247"/>
      <c r="M48" s="188" t="str">
        <f>_xludf.IFS((L48-L49)&gt;0,L48+100,(L48-L49)=0,L48+50,(L48-L49)&lt;0,L48)</f>
        <v>#NAME?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</row>
    <row r="49" ht="15.75" customHeight="1">
      <c r="A49" s="38"/>
      <c r="B49" s="190" t="s">
        <v>335</v>
      </c>
      <c r="C49" s="253"/>
      <c r="D49" s="193" t="str">
        <f>_xludf.IFS((C49-C48)&gt;0,C49+100,(C49-C48)=0,C49+50,(C49-C48)&lt;0,C49)</f>
        <v>#NAME?</v>
      </c>
      <c r="E49" s="273" t="s">
        <v>336</v>
      </c>
      <c r="F49" s="253"/>
      <c r="G49" s="193" t="str">
        <f>_xludf.IFS((F49-F48)&gt;0,F49+100,(F49-F48)=0,F49+50,(F49-F48)&lt;0,F49)</f>
        <v>#NAME?</v>
      </c>
      <c r="H49" s="273" t="s">
        <v>337</v>
      </c>
      <c r="I49" s="253"/>
      <c r="J49" s="193" t="str">
        <f>_xludf.IFS((I49-I48)&gt;0,I49+100,(I49-I48)=0,I49+50,(I49-I48)&lt;0,I49)</f>
        <v>#NAME?</v>
      </c>
      <c r="K49" s="273"/>
      <c r="L49" s="253"/>
      <c r="M49" s="193" t="str">
        <f>_xludf.IFS((L49-L48)&gt;0,L49+100,(L49-L48)=0,L49+50,(L49-L48)&lt;0,L49)</f>
        <v>#NAME?</v>
      </c>
      <c r="N49" s="38"/>
      <c r="O49" s="38"/>
      <c r="P49" s="38"/>
      <c r="Q49" s="38"/>
      <c r="R49" s="38"/>
      <c r="S49" s="38"/>
      <c r="T49" s="38"/>
      <c r="U49" s="38"/>
      <c r="V49" s="38"/>
      <c r="W49" s="38"/>
    </row>
    <row r="50" ht="15.75" customHeight="1">
      <c r="A50" s="38"/>
      <c r="B50" s="338" t="s">
        <v>338</v>
      </c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9"/>
      <c r="N50" s="38"/>
      <c r="O50" s="38"/>
      <c r="P50" s="38"/>
      <c r="Q50" s="38"/>
      <c r="R50" s="38"/>
      <c r="S50" s="38"/>
      <c r="T50" s="38"/>
      <c r="U50" s="38"/>
      <c r="V50" s="38"/>
      <c r="W50" s="38"/>
    </row>
    <row r="51" ht="15.75" customHeight="1">
      <c r="A51" s="38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5"/>
      <c r="N51" s="38"/>
      <c r="O51" s="38"/>
      <c r="P51" s="38"/>
      <c r="Q51" s="38"/>
      <c r="R51" s="38"/>
      <c r="S51" s="38"/>
      <c r="T51" s="38"/>
      <c r="U51" s="38"/>
      <c r="V51" s="38"/>
      <c r="W51" s="38"/>
    </row>
    <row r="52" ht="15.75" customHeight="1">
      <c r="A52" s="38"/>
      <c r="B52" s="339" t="s">
        <v>124</v>
      </c>
      <c r="C52" s="340" t="s">
        <v>125</v>
      </c>
      <c r="D52" s="341" t="s">
        <v>127</v>
      </c>
      <c r="E52" s="340" t="s">
        <v>124</v>
      </c>
      <c r="F52" s="340" t="s">
        <v>125</v>
      </c>
      <c r="G52" s="341" t="s">
        <v>127</v>
      </c>
      <c r="H52" s="340" t="s">
        <v>124</v>
      </c>
      <c r="I52" s="340" t="s">
        <v>125</v>
      </c>
      <c r="J52" s="341" t="s">
        <v>127</v>
      </c>
      <c r="K52" s="340" t="s">
        <v>124</v>
      </c>
      <c r="L52" s="340" t="s">
        <v>125</v>
      </c>
      <c r="M52" s="341" t="s">
        <v>127</v>
      </c>
      <c r="N52" s="38"/>
      <c r="O52" s="38"/>
      <c r="P52" s="38"/>
      <c r="Q52" s="38"/>
      <c r="R52" s="38"/>
      <c r="S52" s="38"/>
      <c r="T52" s="38"/>
      <c r="U52" s="38"/>
      <c r="V52" s="38"/>
      <c r="W52" s="38"/>
    </row>
    <row r="53" ht="15.75" customHeight="1">
      <c r="A53" s="38"/>
      <c r="B53" s="342" t="s">
        <v>339</v>
      </c>
      <c r="C53" s="247"/>
      <c r="D53" s="343" t="str">
        <f>_xludf.IFS((C53-C54)&gt;0,C53+100,(C53-C54)=0,C53+50,(C53-C54)&lt;0,C53)</f>
        <v>#NAME?</v>
      </c>
      <c r="E53" s="344" t="s">
        <v>340</v>
      </c>
      <c r="F53" s="247"/>
      <c r="G53" s="343" t="str">
        <f>_xludf.IFS((F53-F54)&gt;0,F53+100,(F53-F54)=0,F53+50,(F53-F54)&lt;0,F53)</f>
        <v>#NAME?</v>
      </c>
      <c r="H53" s="344" t="s">
        <v>341</v>
      </c>
      <c r="I53" s="247"/>
      <c r="J53" s="343" t="str">
        <f>_xludf.IFS((I53-I54)&gt;0,I53+100,(I53-I54)=0,I53+50,(I53-I54)&lt;0,I53)</f>
        <v>#NAME?</v>
      </c>
      <c r="K53" s="344"/>
      <c r="L53" s="247"/>
      <c r="M53" s="343" t="str">
        <f>_xludf.IFS((L53-L54)&gt;0,L53+100,(L53-L54)=0,L53+50,(L53-L54)&lt;0,L53)</f>
        <v>#NAME?</v>
      </c>
      <c r="N53" s="38"/>
      <c r="O53" s="38"/>
      <c r="P53" s="38"/>
      <c r="Q53" s="38"/>
      <c r="R53" s="38"/>
      <c r="S53" s="38"/>
      <c r="T53" s="38"/>
      <c r="U53" s="38"/>
      <c r="V53" s="38"/>
      <c r="W53" s="38"/>
    </row>
    <row r="54" ht="15.75" customHeight="1">
      <c r="A54" s="38"/>
      <c r="B54" s="345" t="s">
        <v>342</v>
      </c>
      <c r="C54" s="253"/>
      <c r="D54" s="346" t="str">
        <f>_xludf.IFS((C54-C53)&gt;0,C54+100,(C54-C53)=0,C54+50,(C54-C53)&lt;0,C54)</f>
        <v>#NAME?</v>
      </c>
      <c r="E54" s="347" t="s">
        <v>343</v>
      </c>
      <c r="F54" s="253"/>
      <c r="G54" s="346" t="str">
        <f>_xludf.IFS((F54-F53)&gt;0,F54+100,(F54-F53)=0,F54+50,(F54-F53)&lt;0,F54)</f>
        <v>#NAME?</v>
      </c>
      <c r="H54" s="347" t="s">
        <v>344</v>
      </c>
      <c r="I54" s="253"/>
      <c r="J54" s="346" t="str">
        <f>_xludf.IFS((I54-I53)&gt;0,I54+100,(I54-I53)=0,I54+50,(I54-I53)&lt;0,I54)</f>
        <v>#NAME?</v>
      </c>
      <c r="K54" s="347"/>
      <c r="L54" s="253"/>
      <c r="M54" s="346" t="str">
        <f>_xludf.IFS((L54-L53)&gt;0,L54+100,(L54-L53)=0,L54+50,(L54-L53)&lt;0,L54)</f>
        <v>#NAME?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</row>
    <row r="55" ht="15.75" customHeight="1">
      <c r="A55" s="38"/>
      <c r="B55" s="348" t="s">
        <v>345</v>
      </c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9"/>
      <c r="N55" s="38"/>
      <c r="O55" s="38"/>
      <c r="P55" s="38"/>
      <c r="Q55" s="38"/>
      <c r="R55" s="38"/>
      <c r="S55" s="38"/>
      <c r="T55" s="38"/>
      <c r="U55" s="38"/>
      <c r="V55" s="38"/>
      <c r="W55" s="38"/>
    </row>
    <row r="56" ht="15.75" customHeight="1">
      <c r="A56" s="38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  <c r="N56" s="38"/>
      <c r="O56" s="38"/>
      <c r="P56" s="38"/>
      <c r="Q56" s="38"/>
      <c r="R56" s="38"/>
      <c r="S56" s="38"/>
      <c r="T56" s="38"/>
      <c r="U56" s="38"/>
      <c r="V56" s="38"/>
      <c r="W56" s="38"/>
    </row>
    <row r="57" ht="15.75" customHeight="1">
      <c r="A57" s="38"/>
      <c r="B57" s="349" t="s">
        <v>124</v>
      </c>
      <c r="C57" s="350" t="s">
        <v>125</v>
      </c>
      <c r="D57" s="351" t="s">
        <v>127</v>
      </c>
      <c r="E57" s="350" t="s">
        <v>124</v>
      </c>
      <c r="F57" s="350" t="s">
        <v>125</v>
      </c>
      <c r="G57" s="351" t="s">
        <v>127</v>
      </c>
      <c r="H57" s="350" t="s">
        <v>124</v>
      </c>
      <c r="I57" s="350" t="s">
        <v>125</v>
      </c>
      <c r="J57" s="351" t="s">
        <v>127</v>
      </c>
      <c r="K57" s="350" t="s">
        <v>124</v>
      </c>
      <c r="L57" s="350" t="s">
        <v>125</v>
      </c>
      <c r="M57" s="351" t="s">
        <v>127</v>
      </c>
      <c r="N57" s="38"/>
      <c r="O57" s="38"/>
      <c r="P57" s="38"/>
      <c r="Q57" s="38"/>
      <c r="R57" s="38"/>
      <c r="S57" s="38"/>
      <c r="T57" s="38"/>
      <c r="U57" s="38"/>
      <c r="V57" s="38"/>
      <c r="W57" s="38"/>
    </row>
    <row r="58" ht="15.75" customHeight="1">
      <c r="A58" s="38"/>
      <c r="B58" s="352" t="s">
        <v>346</v>
      </c>
      <c r="C58" s="247"/>
      <c r="D58" s="353" t="str">
        <f>_xludf.IFS((C58-C59)&gt;0,C58+100,(C58-C59)=0,C58+50,(C58-C59)&lt;0,C58)</f>
        <v>#NAME?</v>
      </c>
      <c r="E58" s="354" t="s">
        <v>347</v>
      </c>
      <c r="F58" s="247"/>
      <c r="G58" s="353" t="str">
        <f>_xludf.IFS((F58-F59)&gt;0,F58+100,(F58-F59)=0,F58+50,(F58-F59)&lt;0,F58)</f>
        <v>#NAME?</v>
      </c>
      <c r="H58" s="354" t="s">
        <v>348</v>
      </c>
      <c r="I58" s="247"/>
      <c r="J58" s="353" t="str">
        <f>_xludf.IFS((I58-I59)&gt;0,I58+100,(I58-I59)=0,I58+50,(I58-I59)&lt;0,I58)</f>
        <v>#NAME?</v>
      </c>
      <c r="K58" s="354"/>
      <c r="L58" s="247"/>
      <c r="M58" s="353" t="str">
        <f>_xludf.IFS((L58-L59)&gt;0,L58+100,(L58-L59)=0,L58+50,(L58-L59)&lt;0,L58)</f>
        <v>#NAME?</v>
      </c>
      <c r="N58" s="38"/>
      <c r="O58" s="38"/>
      <c r="P58" s="38"/>
      <c r="Q58" s="38"/>
      <c r="R58" s="38"/>
      <c r="S58" s="38"/>
      <c r="T58" s="38"/>
      <c r="U58" s="38"/>
      <c r="V58" s="38"/>
      <c r="W58" s="38"/>
    </row>
    <row r="59" ht="15.75" customHeight="1">
      <c r="A59" s="38"/>
      <c r="B59" s="355" t="s">
        <v>349</v>
      </c>
      <c r="C59" s="253"/>
      <c r="D59" s="356" t="str">
        <f>_xludf.IFS((C59-C58)&gt;0,C59+100,(C59-C58)=0,C59+50,(C59-C58)&lt;0,C59)</f>
        <v>#NAME?</v>
      </c>
      <c r="E59" s="357" t="s">
        <v>350</v>
      </c>
      <c r="F59" s="253"/>
      <c r="G59" s="356" t="str">
        <f>_xludf.IFS((F59-F58)&gt;0,F59+100,(F59-F58)=0,F59+50,(F59-F58)&lt;0,F59)</f>
        <v>#NAME?</v>
      </c>
      <c r="H59" s="357" t="s">
        <v>351</v>
      </c>
      <c r="I59" s="253"/>
      <c r="J59" s="356" t="str">
        <f>_xludf.IFS((I59-I58)&gt;0,I59+100,(I59-I58)=0,I59+50,(I59-I58)&lt;0,I59)</f>
        <v>#NAME?</v>
      </c>
      <c r="K59" s="357"/>
      <c r="L59" s="253"/>
      <c r="M59" s="356" t="str">
        <f>_xludf.IFS((L59-L58)&gt;0,L59+100,(L59-L58)=0,L59+50,(L59-L58)&lt;0,L59)</f>
        <v>#NAME?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H4:J4"/>
    <mergeCell ref="K4:M4"/>
    <mergeCell ref="B1:M2"/>
    <mergeCell ref="B3:D3"/>
    <mergeCell ref="E3:G3"/>
    <mergeCell ref="H3:J3"/>
    <mergeCell ref="K3:M3"/>
    <mergeCell ref="B4:D4"/>
    <mergeCell ref="E4:G4"/>
    <mergeCell ref="B40:M41"/>
    <mergeCell ref="B45:M46"/>
    <mergeCell ref="B50:M51"/>
    <mergeCell ref="B55:M56"/>
    <mergeCell ref="B5:M6"/>
    <mergeCell ref="B10:M11"/>
    <mergeCell ref="B15:M16"/>
    <mergeCell ref="B20:M21"/>
    <mergeCell ref="B25:M26"/>
    <mergeCell ref="B30:M31"/>
    <mergeCell ref="B35:M3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75"/>
    <col customWidth="1" min="2" max="2" width="26.13"/>
    <col customWidth="1" min="3" max="4" width="12.75"/>
    <col customWidth="1" min="5" max="5" width="26.13"/>
    <col customWidth="1" min="6" max="7" width="12.75"/>
    <col customWidth="1" min="8" max="8" width="26.13"/>
    <col customWidth="1" min="9" max="10" width="12.75"/>
    <col customWidth="1" min="11" max="11" width="26.13"/>
    <col customWidth="1" min="12" max="13" width="12.75"/>
    <col customWidth="1" min="14" max="14" width="26.13"/>
    <col customWidth="1" min="15" max="19" width="12.75"/>
    <col customWidth="1" min="20" max="20" width="38.13"/>
    <col customWidth="1" min="21" max="26" width="12.75"/>
  </cols>
  <sheetData>
    <row r="1" ht="15.75" customHeight="1">
      <c r="A1" s="38"/>
      <c r="B1" s="25" t="s">
        <v>246</v>
      </c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75" customHeight="1">
      <c r="A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38"/>
      <c r="B3" s="26" t="s">
        <v>115</v>
      </c>
      <c r="E3" s="26" t="s">
        <v>116</v>
      </c>
      <c r="H3" s="26" t="s">
        <v>117</v>
      </c>
      <c r="K3" s="26" t="s">
        <v>118</v>
      </c>
      <c r="N3" s="26" t="s">
        <v>119</v>
      </c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38"/>
      <c r="B4" s="27">
        <v>0.40625</v>
      </c>
      <c r="E4" s="27">
        <v>0.4270833333333333</v>
      </c>
      <c r="H4" s="27">
        <v>0.4479166666666667</v>
      </c>
      <c r="K4" s="27">
        <v>0.46875</v>
      </c>
      <c r="N4" s="27">
        <v>0.4895833333333333</v>
      </c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50"/>
      <c r="B5" s="243" t="s">
        <v>225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5.75" customHeight="1">
      <c r="A6" s="50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5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5.75" customHeight="1">
      <c r="A7" s="50"/>
      <c r="B7" s="59" t="s">
        <v>124</v>
      </c>
      <c r="C7" s="244" t="s">
        <v>125</v>
      </c>
      <c r="D7" s="274" t="s">
        <v>127</v>
      </c>
      <c r="E7" s="59" t="s">
        <v>124</v>
      </c>
      <c r="F7" s="244" t="s">
        <v>125</v>
      </c>
      <c r="G7" s="274" t="s">
        <v>127</v>
      </c>
      <c r="H7" s="59" t="s">
        <v>124</v>
      </c>
      <c r="I7" s="244" t="s">
        <v>125</v>
      </c>
      <c r="J7" s="274" t="s">
        <v>127</v>
      </c>
      <c r="K7" s="59" t="s">
        <v>124</v>
      </c>
      <c r="L7" s="244" t="s">
        <v>125</v>
      </c>
      <c r="M7" s="274" t="s">
        <v>127</v>
      </c>
      <c r="N7" s="59" t="s">
        <v>124</v>
      </c>
      <c r="O7" s="244" t="s">
        <v>125</v>
      </c>
      <c r="P7" s="274" t="s">
        <v>127</v>
      </c>
      <c r="Q7" s="50"/>
      <c r="R7" s="50"/>
      <c r="S7" s="62" t="s">
        <v>128</v>
      </c>
      <c r="T7" s="62" t="s">
        <v>45</v>
      </c>
      <c r="U7" s="62" t="s">
        <v>132</v>
      </c>
      <c r="V7" s="50"/>
      <c r="W7" s="50"/>
      <c r="X7" s="50"/>
      <c r="Y7" s="50"/>
      <c r="Z7" s="50"/>
    </row>
    <row r="8" ht="15.75" customHeight="1">
      <c r="A8" s="38"/>
      <c r="B8" s="68" t="str">
        <f>T8</f>
        <v>mike</v>
      </c>
      <c r="C8" s="246">
        <v>75.0</v>
      </c>
      <c r="D8" s="358" t="str">
        <f>_xludf.IFS((C8-C9)&gt;0,C8+100,(C8-C9)=0,C8+50,(C8-C9)&lt;0,C8)</f>
        <v>#NAME?</v>
      </c>
      <c r="E8" s="68"/>
      <c r="F8" s="246"/>
      <c r="G8" s="358"/>
      <c r="H8" s="68"/>
      <c r="I8" s="246"/>
      <c r="J8" s="358"/>
      <c r="K8" s="68"/>
      <c r="L8" s="246"/>
      <c r="M8" s="358"/>
      <c r="N8" s="68"/>
      <c r="O8" s="246"/>
      <c r="P8" s="358"/>
      <c r="Q8" s="38"/>
      <c r="R8" s="38"/>
      <c r="S8" s="73">
        <v>1.0</v>
      </c>
      <c r="T8" s="359" t="s">
        <v>352</v>
      </c>
      <c r="U8" s="38"/>
      <c r="V8" s="38"/>
      <c r="W8" s="38"/>
      <c r="X8" s="38"/>
      <c r="Y8" s="38"/>
      <c r="Z8" s="38"/>
    </row>
    <row r="9" ht="15.75" customHeight="1">
      <c r="A9" s="38"/>
      <c r="B9" s="84"/>
      <c r="C9" s="252">
        <v>10.0</v>
      </c>
      <c r="D9" s="360" t="str">
        <f>_xludf.IFS((C9-C8)&gt;0,C9+100,(C9-C8)=0,C9+50,(C9-C8)&lt;0,C9)</f>
        <v>#NAME?</v>
      </c>
      <c r="E9" s="84"/>
      <c r="F9" s="252"/>
      <c r="G9" s="360"/>
      <c r="H9" s="84"/>
      <c r="I9" s="252"/>
      <c r="J9" s="360"/>
      <c r="K9" s="84"/>
      <c r="L9" s="252"/>
      <c r="M9" s="360"/>
      <c r="N9" s="84"/>
      <c r="O9" s="252"/>
      <c r="P9" s="360"/>
      <c r="Q9" s="38"/>
      <c r="R9" s="38"/>
      <c r="S9" s="73">
        <f t="shared" ref="S9:S37" si="1">S8+1</f>
        <v>2</v>
      </c>
      <c r="T9" s="4" t="s">
        <v>353</v>
      </c>
      <c r="U9" s="38"/>
      <c r="V9" s="38"/>
      <c r="W9" s="38"/>
      <c r="X9" s="38"/>
      <c r="Y9" s="38"/>
      <c r="Z9" s="38"/>
    </row>
    <row r="10" ht="15.75" customHeight="1">
      <c r="A10" s="38"/>
      <c r="B10" s="68" t="str">
        <f>T9</f>
        <v>b</v>
      </c>
      <c r="C10" s="246"/>
      <c r="D10" s="358"/>
      <c r="E10" s="68" t="str">
        <f>B8</f>
        <v>mike</v>
      </c>
      <c r="F10" s="246"/>
      <c r="G10" s="358"/>
      <c r="H10" s="68"/>
      <c r="I10" s="246"/>
      <c r="J10" s="358"/>
      <c r="K10" s="68"/>
      <c r="L10" s="246"/>
      <c r="M10" s="358"/>
      <c r="N10" s="68"/>
      <c r="O10" s="246"/>
      <c r="P10" s="358"/>
      <c r="Q10" s="38"/>
      <c r="R10" s="38"/>
      <c r="S10" s="73">
        <f t="shared" si="1"/>
        <v>3</v>
      </c>
      <c r="T10" s="359" t="s">
        <v>354</v>
      </c>
      <c r="U10" s="38"/>
      <c r="V10" s="38"/>
      <c r="W10" s="38"/>
      <c r="X10" s="38"/>
      <c r="Y10" s="38"/>
      <c r="Z10" s="38"/>
    </row>
    <row r="11" ht="15.75" customHeight="1">
      <c r="A11" s="38"/>
      <c r="B11" s="84"/>
      <c r="C11" s="252"/>
      <c r="D11" s="360"/>
      <c r="E11" s="84"/>
      <c r="F11" s="252"/>
      <c r="G11" s="360"/>
      <c r="H11" s="84"/>
      <c r="I11" s="252"/>
      <c r="J11" s="360"/>
      <c r="K11" s="84"/>
      <c r="L11" s="252"/>
      <c r="M11" s="360"/>
      <c r="N11" s="84"/>
      <c r="O11" s="252"/>
      <c r="P11" s="360"/>
      <c r="Q11" s="38"/>
      <c r="R11" s="38"/>
      <c r="S11" s="73">
        <f t="shared" si="1"/>
        <v>4</v>
      </c>
      <c r="T11" s="38" t="s">
        <v>355</v>
      </c>
      <c r="U11" s="38"/>
      <c r="V11" s="38"/>
      <c r="W11" s="38"/>
      <c r="X11" s="38"/>
      <c r="Y11" s="38"/>
      <c r="Z11" s="38"/>
    </row>
    <row r="12" ht="15.75" customHeight="1">
      <c r="A12" s="38"/>
      <c r="B12" s="68" t="str">
        <f>T10</f>
        <v>c</v>
      </c>
      <c r="C12" s="246"/>
      <c r="D12" s="358"/>
      <c r="E12" s="68"/>
      <c r="F12" s="246"/>
      <c r="G12" s="358"/>
      <c r="H12" s="68"/>
      <c r="I12" s="246"/>
      <c r="J12" s="358"/>
      <c r="K12" s="68"/>
      <c r="L12" s="246"/>
      <c r="M12" s="358"/>
      <c r="N12" s="68"/>
      <c r="O12" s="246"/>
      <c r="P12" s="358"/>
      <c r="Q12" s="38"/>
      <c r="R12" s="38"/>
      <c r="S12" s="73">
        <f t="shared" si="1"/>
        <v>5</v>
      </c>
      <c r="T12" s="38" t="s">
        <v>356</v>
      </c>
      <c r="U12" s="38"/>
      <c r="V12" s="38"/>
      <c r="W12" s="38"/>
      <c r="X12" s="38"/>
      <c r="Y12" s="38"/>
      <c r="Z12" s="38"/>
    </row>
    <row r="13" ht="15.75" customHeight="1">
      <c r="A13" s="38"/>
      <c r="B13" s="84"/>
      <c r="C13" s="252"/>
      <c r="D13" s="360"/>
      <c r="E13" s="84"/>
      <c r="F13" s="252"/>
      <c r="G13" s="360"/>
      <c r="H13" s="84"/>
      <c r="I13" s="252"/>
      <c r="J13" s="360"/>
      <c r="K13" s="84"/>
      <c r="L13" s="252"/>
      <c r="M13" s="360"/>
      <c r="N13" s="84"/>
      <c r="O13" s="252"/>
      <c r="P13" s="360"/>
      <c r="Q13" s="38"/>
      <c r="R13" s="38"/>
      <c r="S13" s="73">
        <f t="shared" si="1"/>
        <v>6</v>
      </c>
      <c r="T13" s="38" t="s">
        <v>357</v>
      </c>
      <c r="U13" s="38"/>
      <c r="V13" s="38"/>
      <c r="W13" s="38"/>
      <c r="X13" s="38"/>
      <c r="Y13" s="38"/>
      <c r="Z13" s="38"/>
    </row>
    <row r="14" ht="15.75" customHeight="1">
      <c r="A14" s="38"/>
      <c r="B14" s="68" t="str">
        <f>T11</f>
        <v>d</v>
      </c>
      <c r="C14" s="246"/>
      <c r="D14" s="358"/>
      <c r="E14" s="68"/>
      <c r="F14" s="246"/>
      <c r="G14" s="358"/>
      <c r="H14" s="68"/>
      <c r="I14" s="246"/>
      <c r="J14" s="358"/>
      <c r="K14" s="68"/>
      <c r="L14" s="246"/>
      <c r="M14" s="358"/>
      <c r="N14" s="68"/>
      <c r="O14" s="246"/>
      <c r="P14" s="358"/>
      <c r="Q14" s="38"/>
      <c r="R14" s="38"/>
      <c r="S14" s="73">
        <f t="shared" si="1"/>
        <v>7</v>
      </c>
      <c r="T14" s="38" t="s">
        <v>358</v>
      </c>
      <c r="U14" s="38"/>
      <c r="V14" s="38"/>
      <c r="W14" s="38"/>
      <c r="X14" s="38"/>
      <c r="Y14" s="38"/>
      <c r="Z14" s="38"/>
    </row>
    <row r="15" ht="15.75" customHeight="1">
      <c r="A15" s="38"/>
      <c r="B15" s="84"/>
      <c r="C15" s="252"/>
      <c r="D15" s="360"/>
      <c r="E15" s="84"/>
      <c r="F15" s="252"/>
      <c r="G15" s="360"/>
      <c r="H15" s="84"/>
      <c r="I15" s="252"/>
      <c r="J15" s="360"/>
      <c r="K15" s="84"/>
      <c r="L15" s="252"/>
      <c r="M15" s="360"/>
      <c r="N15" s="84"/>
      <c r="O15" s="252"/>
      <c r="P15" s="360"/>
      <c r="Q15" s="38"/>
      <c r="R15" s="38"/>
      <c r="S15" s="73">
        <f t="shared" si="1"/>
        <v>8</v>
      </c>
      <c r="T15" s="38" t="s">
        <v>359</v>
      </c>
      <c r="U15" s="38"/>
      <c r="V15" s="38"/>
      <c r="W15" s="38"/>
      <c r="X15" s="38"/>
      <c r="Y15" s="38"/>
      <c r="Z15" s="38"/>
    </row>
    <row r="16" ht="15.75" customHeight="1">
      <c r="A16" s="38"/>
      <c r="B16" s="68" t="str">
        <f>T12</f>
        <v>e</v>
      </c>
      <c r="C16" s="246"/>
      <c r="D16" s="358"/>
      <c r="E16" s="68"/>
      <c r="F16" s="246"/>
      <c r="G16" s="358"/>
      <c r="H16" s="68"/>
      <c r="I16" s="246"/>
      <c r="J16" s="358"/>
      <c r="K16" s="68"/>
      <c r="L16" s="246"/>
      <c r="M16" s="358"/>
      <c r="N16" s="68"/>
      <c r="O16" s="246"/>
      <c r="P16" s="358"/>
      <c r="Q16" s="38"/>
      <c r="R16" s="38"/>
      <c r="S16" s="73">
        <f t="shared" si="1"/>
        <v>9</v>
      </c>
      <c r="T16" s="38" t="s">
        <v>360</v>
      </c>
      <c r="U16" s="38"/>
      <c r="V16" s="38"/>
      <c r="W16" s="38"/>
      <c r="X16" s="38"/>
      <c r="Y16" s="38"/>
      <c r="Z16" s="38"/>
    </row>
    <row r="17" ht="15.75" customHeight="1">
      <c r="A17" s="38"/>
      <c r="B17" s="84"/>
      <c r="C17" s="252"/>
      <c r="D17" s="360"/>
      <c r="E17" s="84"/>
      <c r="F17" s="252"/>
      <c r="G17" s="360"/>
      <c r="H17" s="84"/>
      <c r="I17" s="252"/>
      <c r="J17" s="360"/>
      <c r="K17" s="84"/>
      <c r="L17" s="252"/>
      <c r="M17" s="360"/>
      <c r="N17" s="84"/>
      <c r="O17" s="252"/>
      <c r="P17" s="360"/>
      <c r="Q17" s="38"/>
      <c r="R17" s="38"/>
      <c r="S17" s="73">
        <f t="shared" si="1"/>
        <v>10</v>
      </c>
      <c r="T17" s="38" t="s">
        <v>361</v>
      </c>
      <c r="U17" s="38"/>
      <c r="V17" s="38"/>
      <c r="W17" s="38"/>
      <c r="X17" s="38"/>
      <c r="Y17" s="38"/>
      <c r="Z17" s="38"/>
    </row>
    <row r="18" ht="15.75" customHeight="1">
      <c r="A18" s="38"/>
      <c r="B18" s="68" t="str">
        <f>T13</f>
        <v>f</v>
      </c>
      <c r="C18" s="246"/>
      <c r="D18" s="358"/>
      <c r="E18" s="68"/>
      <c r="F18" s="246"/>
      <c r="G18" s="358"/>
      <c r="H18" s="68"/>
      <c r="I18" s="246"/>
      <c r="J18" s="358"/>
      <c r="K18" s="68"/>
      <c r="L18" s="246"/>
      <c r="M18" s="358"/>
      <c r="N18" s="68"/>
      <c r="O18" s="246"/>
      <c r="P18" s="358"/>
      <c r="Q18" s="38"/>
      <c r="R18" s="38"/>
      <c r="S18" s="73">
        <f t="shared" si="1"/>
        <v>11</v>
      </c>
      <c r="T18" s="38" t="s">
        <v>362</v>
      </c>
      <c r="U18" s="38"/>
      <c r="V18" s="38"/>
      <c r="W18" s="38"/>
      <c r="X18" s="38"/>
      <c r="Y18" s="38"/>
      <c r="Z18" s="38"/>
    </row>
    <row r="19" ht="15.75" customHeight="1">
      <c r="A19" s="38"/>
      <c r="B19" s="361"/>
      <c r="C19" s="362"/>
      <c r="D19" s="363"/>
      <c r="E19" s="361"/>
      <c r="F19" s="362"/>
      <c r="G19" s="363"/>
      <c r="H19" s="361"/>
      <c r="I19" s="362"/>
      <c r="J19" s="363"/>
      <c r="K19" s="361"/>
      <c r="L19" s="362"/>
      <c r="M19" s="363"/>
      <c r="N19" s="361"/>
      <c r="O19" s="362"/>
      <c r="P19" s="363"/>
      <c r="Q19" s="38"/>
      <c r="R19" s="38"/>
      <c r="S19" s="73">
        <f t="shared" si="1"/>
        <v>12</v>
      </c>
      <c r="T19" s="38" t="s">
        <v>363</v>
      </c>
      <c r="U19" s="38"/>
      <c r="V19" s="38"/>
      <c r="W19" s="38"/>
      <c r="X19" s="38"/>
      <c r="Y19" s="38"/>
      <c r="Z19" s="38"/>
    </row>
    <row r="20" ht="15.75" customHeight="1">
      <c r="A20" s="38"/>
      <c r="B20" s="364" t="s">
        <v>255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38"/>
      <c r="R20" s="38"/>
      <c r="S20" s="73">
        <f t="shared" si="1"/>
        <v>13</v>
      </c>
      <c r="T20" s="38"/>
      <c r="U20" s="38"/>
      <c r="V20" s="38"/>
      <c r="W20" s="38"/>
      <c r="X20" s="38"/>
      <c r="Y20" s="38"/>
      <c r="Z20" s="38"/>
    </row>
    <row r="21" ht="15.75" customHeight="1">
      <c r="A21" s="38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5"/>
      <c r="Q21" s="38"/>
      <c r="R21" s="38"/>
      <c r="S21" s="73">
        <f t="shared" si="1"/>
        <v>14</v>
      </c>
      <c r="T21" s="38"/>
      <c r="U21" s="38"/>
      <c r="V21" s="38"/>
      <c r="W21" s="38"/>
      <c r="X21" s="38"/>
      <c r="Y21" s="38"/>
      <c r="Z21" s="38"/>
    </row>
    <row r="22" ht="15.75" customHeight="1">
      <c r="A22" s="38"/>
      <c r="B22" s="365" t="s">
        <v>124</v>
      </c>
      <c r="C22" s="366" t="s">
        <v>125</v>
      </c>
      <c r="D22" s="367" t="s">
        <v>127</v>
      </c>
      <c r="E22" s="365" t="s">
        <v>124</v>
      </c>
      <c r="F22" s="366" t="s">
        <v>125</v>
      </c>
      <c r="G22" s="367" t="s">
        <v>127</v>
      </c>
      <c r="H22" s="365" t="s">
        <v>124</v>
      </c>
      <c r="I22" s="366" t="s">
        <v>125</v>
      </c>
      <c r="J22" s="367" t="s">
        <v>127</v>
      </c>
      <c r="K22" s="365" t="s">
        <v>124</v>
      </c>
      <c r="L22" s="366" t="s">
        <v>125</v>
      </c>
      <c r="M22" s="367" t="s">
        <v>127</v>
      </c>
      <c r="N22" s="365" t="s">
        <v>124</v>
      </c>
      <c r="O22" s="366" t="s">
        <v>125</v>
      </c>
      <c r="P22" s="367" t="s">
        <v>127</v>
      </c>
      <c r="Q22" s="38"/>
      <c r="R22" s="38"/>
      <c r="S22" s="73">
        <f t="shared" si="1"/>
        <v>15</v>
      </c>
      <c r="T22" s="38"/>
      <c r="U22" s="38"/>
      <c r="V22" s="38"/>
      <c r="W22" s="38"/>
      <c r="X22" s="38"/>
      <c r="Y22" s="38"/>
      <c r="Z22" s="38"/>
    </row>
    <row r="23" ht="15.75" customHeight="1">
      <c r="A23" s="38"/>
      <c r="B23" s="281"/>
      <c r="C23" s="283"/>
      <c r="D23" s="368"/>
      <c r="E23" s="281"/>
      <c r="F23" s="283"/>
      <c r="G23" s="368"/>
      <c r="H23" s="281"/>
      <c r="I23" s="283"/>
      <c r="J23" s="368"/>
      <c r="K23" s="281"/>
      <c r="L23" s="283"/>
      <c r="M23" s="368"/>
      <c r="N23" s="281"/>
      <c r="O23" s="283"/>
      <c r="P23" s="368"/>
      <c r="Q23" s="38"/>
      <c r="R23" s="38"/>
      <c r="S23" s="73">
        <f t="shared" si="1"/>
        <v>16</v>
      </c>
      <c r="T23" s="38"/>
      <c r="U23" s="38"/>
      <c r="V23" s="38"/>
      <c r="W23" s="38"/>
      <c r="X23" s="38"/>
      <c r="Y23" s="38"/>
      <c r="Z23" s="38"/>
    </row>
    <row r="24" ht="15.75" customHeight="1">
      <c r="A24" s="38"/>
      <c r="B24" s="284"/>
      <c r="C24" s="286"/>
      <c r="D24" s="369"/>
      <c r="E24" s="284"/>
      <c r="F24" s="286"/>
      <c r="G24" s="369"/>
      <c r="H24" s="284"/>
      <c r="I24" s="286"/>
      <c r="J24" s="369"/>
      <c r="K24" s="284"/>
      <c r="L24" s="286"/>
      <c r="M24" s="369"/>
      <c r="N24" s="284"/>
      <c r="O24" s="286"/>
      <c r="P24" s="369"/>
      <c r="Q24" s="38"/>
      <c r="R24" s="38"/>
      <c r="S24" s="73">
        <f t="shared" si="1"/>
        <v>17</v>
      </c>
      <c r="T24" s="38"/>
      <c r="U24" s="38"/>
      <c r="V24" s="38"/>
      <c r="W24" s="38"/>
      <c r="X24" s="38"/>
      <c r="Y24" s="38"/>
      <c r="Z24" s="38"/>
    </row>
    <row r="25" ht="15.75" customHeight="1">
      <c r="A25" s="38"/>
      <c r="B25" s="281"/>
      <c r="C25" s="283"/>
      <c r="D25" s="368"/>
      <c r="E25" s="281"/>
      <c r="F25" s="283"/>
      <c r="G25" s="368"/>
      <c r="H25" s="281"/>
      <c r="I25" s="283"/>
      <c r="J25" s="368"/>
      <c r="K25" s="281"/>
      <c r="L25" s="283"/>
      <c r="M25" s="368"/>
      <c r="N25" s="281"/>
      <c r="O25" s="283"/>
      <c r="P25" s="368"/>
      <c r="Q25" s="38"/>
      <c r="R25" s="38"/>
      <c r="S25" s="73">
        <f t="shared" si="1"/>
        <v>18</v>
      </c>
      <c r="T25" s="38"/>
      <c r="U25" s="38"/>
      <c r="V25" s="38"/>
      <c r="W25" s="38"/>
      <c r="X25" s="38"/>
      <c r="Y25" s="38"/>
      <c r="Z25" s="38"/>
    </row>
    <row r="26" ht="15.75" customHeight="1">
      <c r="A26" s="38"/>
      <c r="B26" s="284"/>
      <c r="C26" s="286"/>
      <c r="D26" s="369"/>
      <c r="E26" s="284"/>
      <c r="F26" s="286"/>
      <c r="G26" s="369"/>
      <c r="H26" s="284"/>
      <c r="I26" s="286"/>
      <c r="J26" s="369"/>
      <c r="K26" s="284"/>
      <c r="L26" s="286"/>
      <c r="M26" s="369"/>
      <c r="N26" s="284"/>
      <c r="O26" s="286"/>
      <c r="P26" s="369"/>
      <c r="Q26" s="38"/>
      <c r="R26" s="38"/>
      <c r="S26" s="73">
        <f t="shared" si="1"/>
        <v>19</v>
      </c>
      <c r="T26" s="38"/>
      <c r="U26" s="38"/>
      <c r="V26" s="38"/>
      <c r="W26" s="38"/>
      <c r="X26" s="38"/>
      <c r="Y26" s="38"/>
      <c r="Z26" s="38"/>
    </row>
    <row r="27" ht="15.75" customHeight="1">
      <c r="A27" s="38"/>
      <c r="B27" s="281"/>
      <c r="C27" s="283"/>
      <c r="D27" s="368"/>
      <c r="E27" s="281"/>
      <c r="F27" s="283"/>
      <c r="G27" s="368"/>
      <c r="H27" s="281"/>
      <c r="I27" s="283"/>
      <c r="J27" s="368"/>
      <c r="K27" s="281"/>
      <c r="L27" s="283"/>
      <c r="M27" s="368"/>
      <c r="N27" s="281"/>
      <c r="O27" s="283"/>
      <c r="P27" s="368"/>
      <c r="Q27" s="38"/>
      <c r="R27" s="38"/>
      <c r="S27" s="73">
        <f t="shared" si="1"/>
        <v>20</v>
      </c>
      <c r="T27" s="38"/>
      <c r="U27" s="38"/>
      <c r="V27" s="38"/>
      <c r="W27" s="38"/>
      <c r="X27" s="38"/>
      <c r="Y27" s="38"/>
      <c r="Z27" s="38"/>
    </row>
    <row r="28" ht="15.75" customHeight="1">
      <c r="A28" s="38"/>
      <c r="B28" s="284"/>
      <c r="C28" s="286"/>
      <c r="D28" s="369"/>
      <c r="E28" s="284"/>
      <c r="F28" s="286"/>
      <c r="G28" s="369"/>
      <c r="H28" s="284"/>
      <c r="I28" s="286"/>
      <c r="J28" s="369"/>
      <c r="K28" s="284"/>
      <c r="L28" s="286"/>
      <c r="M28" s="369"/>
      <c r="N28" s="284"/>
      <c r="O28" s="286"/>
      <c r="P28" s="369"/>
      <c r="Q28" s="38"/>
      <c r="R28" s="38"/>
      <c r="S28" s="73">
        <f t="shared" si="1"/>
        <v>21</v>
      </c>
      <c r="T28" s="38"/>
      <c r="U28" s="38"/>
      <c r="V28" s="38"/>
      <c r="W28" s="38"/>
      <c r="X28" s="38"/>
      <c r="Y28" s="38"/>
      <c r="Z28" s="38"/>
    </row>
    <row r="29" ht="15.75" customHeight="1">
      <c r="A29" s="38"/>
      <c r="B29" s="281"/>
      <c r="C29" s="283"/>
      <c r="D29" s="368"/>
      <c r="E29" s="281"/>
      <c r="F29" s="283"/>
      <c r="G29" s="368"/>
      <c r="H29" s="281"/>
      <c r="I29" s="283"/>
      <c r="J29" s="368"/>
      <c r="K29" s="281"/>
      <c r="L29" s="283"/>
      <c r="M29" s="368"/>
      <c r="N29" s="281"/>
      <c r="O29" s="283"/>
      <c r="P29" s="368"/>
      <c r="Q29" s="38"/>
      <c r="R29" s="38"/>
      <c r="S29" s="73">
        <f t="shared" si="1"/>
        <v>22</v>
      </c>
      <c r="T29" s="38"/>
      <c r="U29" s="38"/>
      <c r="V29" s="38"/>
      <c r="W29" s="38"/>
      <c r="X29" s="38"/>
      <c r="Y29" s="38"/>
      <c r="Z29" s="38"/>
    </row>
    <row r="30" ht="15.75" customHeight="1">
      <c r="A30" s="38"/>
      <c r="B30" s="284"/>
      <c r="C30" s="286"/>
      <c r="D30" s="369"/>
      <c r="E30" s="284"/>
      <c r="F30" s="286"/>
      <c r="G30" s="369"/>
      <c r="H30" s="284"/>
      <c r="I30" s="286"/>
      <c r="J30" s="369"/>
      <c r="K30" s="284"/>
      <c r="L30" s="286"/>
      <c r="M30" s="369"/>
      <c r="N30" s="284"/>
      <c r="O30" s="286"/>
      <c r="P30" s="369"/>
      <c r="Q30" s="38"/>
      <c r="R30" s="38"/>
      <c r="S30" s="73">
        <f t="shared" si="1"/>
        <v>23</v>
      </c>
      <c r="T30" s="38"/>
      <c r="U30" s="38"/>
      <c r="V30" s="38"/>
      <c r="W30" s="38"/>
      <c r="X30" s="38"/>
      <c r="Y30" s="38"/>
      <c r="Z30" s="38"/>
    </row>
    <row r="31" ht="15.75" customHeight="1">
      <c r="A31" s="38"/>
      <c r="B31" s="281"/>
      <c r="C31" s="283"/>
      <c r="D31" s="368"/>
      <c r="E31" s="281"/>
      <c r="F31" s="283"/>
      <c r="G31" s="368"/>
      <c r="H31" s="281"/>
      <c r="I31" s="283"/>
      <c r="J31" s="368"/>
      <c r="K31" s="281"/>
      <c r="L31" s="283"/>
      <c r="M31" s="368"/>
      <c r="N31" s="281"/>
      <c r="O31" s="283"/>
      <c r="P31" s="368"/>
      <c r="Q31" s="38"/>
      <c r="R31" s="38"/>
      <c r="S31" s="73">
        <f t="shared" si="1"/>
        <v>24</v>
      </c>
      <c r="T31" s="38"/>
      <c r="U31" s="38"/>
      <c r="V31" s="38"/>
      <c r="W31" s="38"/>
      <c r="X31" s="38"/>
      <c r="Y31" s="38"/>
      <c r="Z31" s="38"/>
    </row>
    <row r="32" ht="15.75" customHeight="1">
      <c r="A32" s="38"/>
      <c r="B32" s="284"/>
      <c r="C32" s="286"/>
      <c r="D32" s="369"/>
      <c r="E32" s="284"/>
      <c r="F32" s="286"/>
      <c r="G32" s="369"/>
      <c r="H32" s="284"/>
      <c r="I32" s="286"/>
      <c r="J32" s="369"/>
      <c r="K32" s="284"/>
      <c r="L32" s="286"/>
      <c r="M32" s="369"/>
      <c r="N32" s="284"/>
      <c r="O32" s="286"/>
      <c r="P32" s="369"/>
      <c r="Q32" s="38"/>
      <c r="R32" s="38"/>
      <c r="S32" s="73">
        <f t="shared" si="1"/>
        <v>25</v>
      </c>
      <c r="T32" s="38"/>
      <c r="U32" s="38"/>
      <c r="V32" s="38"/>
      <c r="W32" s="38"/>
      <c r="X32" s="38"/>
      <c r="Y32" s="38"/>
      <c r="Z32" s="38"/>
    </row>
    <row r="33" ht="15.75" customHeight="1">
      <c r="A33" s="38"/>
      <c r="B33" s="281"/>
      <c r="C33" s="283"/>
      <c r="D33" s="368"/>
      <c r="E33" s="281"/>
      <c r="F33" s="283"/>
      <c r="G33" s="368"/>
      <c r="H33" s="281"/>
      <c r="I33" s="283"/>
      <c r="J33" s="368"/>
      <c r="K33" s="281"/>
      <c r="L33" s="283"/>
      <c r="M33" s="368"/>
      <c r="N33" s="281"/>
      <c r="O33" s="283"/>
      <c r="P33" s="368"/>
      <c r="Q33" s="38"/>
      <c r="R33" s="38"/>
      <c r="S33" s="73">
        <f t="shared" si="1"/>
        <v>26</v>
      </c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70"/>
      <c r="C34" s="371"/>
      <c r="D34" s="372"/>
      <c r="E34" s="370"/>
      <c r="F34" s="371"/>
      <c r="G34" s="372"/>
      <c r="H34" s="370"/>
      <c r="I34" s="371"/>
      <c r="J34" s="372"/>
      <c r="K34" s="370"/>
      <c r="L34" s="371"/>
      <c r="M34" s="372"/>
      <c r="N34" s="370"/>
      <c r="O34" s="371"/>
      <c r="P34" s="372"/>
      <c r="Q34" s="38"/>
      <c r="R34" s="38"/>
      <c r="S34" s="73">
        <f t="shared" si="1"/>
        <v>27</v>
      </c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258" t="s">
        <v>234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1"/>
      <c r="Q35" s="38"/>
      <c r="R35" s="38"/>
      <c r="S35" s="73">
        <f t="shared" si="1"/>
        <v>28</v>
      </c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5"/>
      <c r="Q36" s="38"/>
      <c r="R36" s="38"/>
      <c r="S36" s="73">
        <f t="shared" si="1"/>
        <v>29</v>
      </c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122" t="s">
        <v>124</v>
      </c>
      <c r="C37" s="259" t="s">
        <v>125</v>
      </c>
      <c r="D37" s="373" t="s">
        <v>127</v>
      </c>
      <c r="E37" s="122" t="s">
        <v>124</v>
      </c>
      <c r="F37" s="259" t="s">
        <v>125</v>
      </c>
      <c r="G37" s="373" t="s">
        <v>127</v>
      </c>
      <c r="H37" s="122" t="s">
        <v>124</v>
      </c>
      <c r="I37" s="259" t="s">
        <v>125</v>
      </c>
      <c r="J37" s="373" t="s">
        <v>127</v>
      </c>
      <c r="K37" s="122" t="s">
        <v>124</v>
      </c>
      <c r="L37" s="259" t="s">
        <v>125</v>
      </c>
      <c r="M37" s="373" t="s">
        <v>127</v>
      </c>
      <c r="N37" s="122" t="s">
        <v>124</v>
      </c>
      <c r="O37" s="259" t="s">
        <v>125</v>
      </c>
      <c r="P37" s="373" t="s">
        <v>127</v>
      </c>
      <c r="Q37" s="38"/>
      <c r="R37" s="38"/>
      <c r="S37" s="73">
        <f t="shared" si="1"/>
        <v>30</v>
      </c>
      <c r="T37" s="359"/>
      <c r="U37" s="38"/>
      <c r="V37" s="38"/>
      <c r="W37" s="38"/>
      <c r="X37" s="38"/>
      <c r="Y37" s="38"/>
      <c r="Z37" s="38"/>
    </row>
    <row r="38" ht="15.75" customHeight="1">
      <c r="A38" s="38"/>
      <c r="B38" s="125"/>
      <c r="C38" s="260"/>
      <c r="D38" s="374"/>
      <c r="E38" s="125"/>
      <c r="F38" s="260"/>
      <c r="G38" s="374"/>
      <c r="H38" s="125"/>
      <c r="I38" s="260"/>
      <c r="J38" s="374"/>
      <c r="K38" s="125"/>
      <c r="L38" s="260"/>
      <c r="M38" s="374"/>
      <c r="N38" s="125"/>
      <c r="O38" s="260"/>
      <c r="P38" s="374"/>
      <c r="Q38" s="38"/>
      <c r="R38" s="38"/>
      <c r="S38" s="73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128"/>
      <c r="C39" s="262"/>
      <c r="D39" s="375"/>
      <c r="E39" s="128"/>
      <c r="F39" s="262"/>
      <c r="G39" s="375"/>
      <c r="H39" s="128"/>
      <c r="I39" s="262"/>
      <c r="J39" s="375"/>
      <c r="K39" s="128"/>
      <c r="L39" s="262"/>
      <c r="M39" s="375"/>
      <c r="N39" s="128"/>
      <c r="O39" s="262"/>
      <c r="P39" s="375"/>
      <c r="Q39" s="38"/>
      <c r="R39" s="38"/>
      <c r="S39" s="73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125"/>
      <c r="C40" s="260"/>
      <c r="D40" s="374"/>
      <c r="E40" s="125"/>
      <c r="F40" s="260"/>
      <c r="G40" s="374"/>
      <c r="H40" s="125"/>
      <c r="I40" s="260"/>
      <c r="J40" s="374"/>
      <c r="K40" s="125"/>
      <c r="L40" s="260"/>
      <c r="M40" s="374"/>
      <c r="N40" s="125"/>
      <c r="O40" s="260"/>
      <c r="P40" s="374"/>
      <c r="Q40" s="38"/>
      <c r="R40" s="38"/>
      <c r="S40" s="73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128"/>
      <c r="C41" s="262"/>
      <c r="D41" s="375"/>
      <c r="E41" s="128"/>
      <c r="F41" s="262"/>
      <c r="G41" s="375"/>
      <c r="H41" s="128"/>
      <c r="I41" s="262"/>
      <c r="J41" s="375"/>
      <c r="K41" s="128"/>
      <c r="L41" s="262"/>
      <c r="M41" s="375"/>
      <c r="N41" s="128"/>
      <c r="O41" s="262"/>
      <c r="P41" s="375"/>
      <c r="Q41" s="38"/>
      <c r="R41" s="38"/>
      <c r="S41" s="73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125"/>
      <c r="C42" s="260"/>
      <c r="D42" s="374"/>
      <c r="E42" s="125"/>
      <c r="F42" s="260"/>
      <c r="G42" s="374"/>
      <c r="H42" s="125"/>
      <c r="I42" s="260"/>
      <c r="J42" s="374"/>
      <c r="K42" s="125"/>
      <c r="L42" s="260"/>
      <c r="M42" s="374"/>
      <c r="N42" s="125"/>
      <c r="O42" s="260"/>
      <c r="P42" s="374"/>
      <c r="Q42" s="38"/>
      <c r="R42" s="38"/>
      <c r="S42" s="73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128"/>
      <c r="C43" s="262"/>
      <c r="D43" s="375"/>
      <c r="E43" s="128"/>
      <c r="F43" s="262"/>
      <c r="G43" s="375"/>
      <c r="H43" s="128"/>
      <c r="I43" s="262"/>
      <c r="J43" s="375"/>
      <c r="K43" s="128"/>
      <c r="L43" s="262"/>
      <c r="M43" s="375"/>
      <c r="N43" s="128"/>
      <c r="O43" s="262"/>
      <c r="P43" s="375"/>
      <c r="Q43" s="38"/>
      <c r="R43" s="38"/>
      <c r="S43" s="73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125"/>
      <c r="C44" s="260"/>
      <c r="D44" s="374"/>
      <c r="E44" s="125"/>
      <c r="F44" s="260"/>
      <c r="G44" s="374"/>
      <c r="H44" s="125"/>
      <c r="I44" s="260"/>
      <c r="J44" s="374"/>
      <c r="K44" s="125"/>
      <c r="L44" s="260"/>
      <c r="M44" s="374"/>
      <c r="N44" s="125"/>
      <c r="O44" s="260"/>
      <c r="P44" s="374"/>
      <c r="Q44" s="38"/>
      <c r="R44" s="38"/>
      <c r="S44" s="73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128"/>
      <c r="C45" s="262"/>
      <c r="D45" s="375"/>
      <c r="E45" s="128"/>
      <c r="F45" s="262"/>
      <c r="G45" s="375"/>
      <c r="H45" s="128"/>
      <c r="I45" s="262"/>
      <c r="J45" s="375"/>
      <c r="K45" s="128"/>
      <c r="L45" s="262"/>
      <c r="M45" s="375"/>
      <c r="N45" s="128"/>
      <c r="O45" s="262"/>
      <c r="P45" s="375"/>
      <c r="Q45" s="38"/>
      <c r="R45" s="38"/>
      <c r="S45" s="73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125"/>
      <c r="C46" s="260"/>
      <c r="D46" s="374"/>
      <c r="E46" s="125"/>
      <c r="F46" s="260"/>
      <c r="G46" s="374"/>
      <c r="H46" s="125"/>
      <c r="I46" s="260"/>
      <c r="J46" s="374"/>
      <c r="K46" s="125"/>
      <c r="L46" s="260"/>
      <c r="M46" s="374"/>
      <c r="N46" s="125"/>
      <c r="O46" s="260"/>
      <c r="P46" s="374"/>
      <c r="Q46" s="38"/>
      <c r="R46" s="38"/>
      <c r="S46" s="73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128"/>
      <c r="C47" s="262"/>
      <c r="D47" s="375"/>
      <c r="E47" s="128"/>
      <c r="F47" s="262"/>
      <c r="G47" s="375"/>
      <c r="H47" s="128"/>
      <c r="I47" s="262"/>
      <c r="J47" s="375"/>
      <c r="K47" s="128"/>
      <c r="L47" s="262"/>
      <c r="M47" s="375"/>
      <c r="N47" s="128"/>
      <c r="O47" s="262"/>
      <c r="P47" s="375"/>
      <c r="Q47" s="38"/>
      <c r="R47" s="38"/>
      <c r="S47" s="73"/>
      <c r="U47" s="38"/>
      <c r="V47" s="38"/>
      <c r="W47" s="38"/>
      <c r="X47" s="38"/>
      <c r="Y47" s="38"/>
      <c r="Z47" s="38"/>
    </row>
    <row r="48" ht="15.75" customHeight="1">
      <c r="A48" s="38"/>
      <c r="B48" s="125"/>
      <c r="C48" s="260"/>
      <c r="D48" s="374"/>
      <c r="E48" s="125"/>
      <c r="F48" s="260"/>
      <c r="G48" s="374"/>
      <c r="H48" s="125"/>
      <c r="I48" s="260"/>
      <c r="J48" s="374"/>
      <c r="K48" s="125"/>
      <c r="L48" s="260"/>
      <c r="M48" s="374"/>
      <c r="N48" s="125"/>
      <c r="O48" s="260"/>
      <c r="P48" s="374"/>
      <c r="Q48" s="38"/>
      <c r="R48" s="38"/>
      <c r="S48" s="73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76"/>
      <c r="C49" s="377"/>
      <c r="D49" s="378"/>
      <c r="E49" s="376"/>
      <c r="F49" s="377"/>
      <c r="G49" s="378"/>
      <c r="H49" s="376"/>
      <c r="I49" s="377"/>
      <c r="J49" s="378"/>
      <c r="K49" s="376"/>
      <c r="L49" s="377"/>
      <c r="M49" s="378"/>
      <c r="N49" s="376"/>
      <c r="O49" s="377"/>
      <c r="P49" s="37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79" t="s">
        <v>278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1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5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0" t="s">
        <v>124</v>
      </c>
      <c r="C52" s="381" t="s">
        <v>125</v>
      </c>
      <c r="D52" s="382" t="s">
        <v>127</v>
      </c>
      <c r="E52" s="380" t="s">
        <v>124</v>
      </c>
      <c r="F52" s="381" t="s">
        <v>125</v>
      </c>
      <c r="G52" s="382" t="s">
        <v>127</v>
      </c>
      <c r="H52" s="380" t="s">
        <v>124</v>
      </c>
      <c r="I52" s="381" t="s">
        <v>125</v>
      </c>
      <c r="J52" s="382" t="s">
        <v>127</v>
      </c>
      <c r="K52" s="380" t="s">
        <v>124</v>
      </c>
      <c r="L52" s="381" t="s">
        <v>125</v>
      </c>
      <c r="M52" s="382" t="s">
        <v>127</v>
      </c>
      <c r="N52" s="380" t="s">
        <v>124</v>
      </c>
      <c r="O52" s="381" t="s">
        <v>125</v>
      </c>
      <c r="P52" s="382" t="s">
        <v>127</v>
      </c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00"/>
      <c r="C53" s="302"/>
      <c r="D53" s="383"/>
      <c r="E53" s="300"/>
      <c r="F53" s="302"/>
      <c r="G53" s="383"/>
      <c r="H53" s="300"/>
      <c r="I53" s="302"/>
      <c r="J53" s="383"/>
      <c r="K53" s="300"/>
      <c r="L53" s="302"/>
      <c r="M53" s="383"/>
      <c r="N53" s="300"/>
      <c r="O53" s="302"/>
      <c r="P53" s="383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03"/>
      <c r="C54" s="305"/>
      <c r="D54" s="384"/>
      <c r="E54" s="303"/>
      <c r="F54" s="305"/>
      <c r="G54" s="384"/>
      <c r="H54" s="303"/>
      <c r="I54" s="305"/>
      <c r="J54" s="384"/>
      <c r="K54" s="303"/>
      <c r="L54" s="305"/>
      <c r="M54" s="384"/>
      <c r="N54" s="303"/>
      <c r="O54" s="305"/>
      <c r="P54" s="384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00"/>
      <c r="C55" s="302"/>
      <c r="D55" s="383"/>
      <c r="E55" s="300"/>
      <c r="F55" s="302"/>
      <c r="G55" s="383"/>
      <c r="H55" s="300"/>
      <c r="I55" s="302"/>
      <c r="J55" s="383"/>
      <c r="K55" s="300"/>
      <c r="L55" s="302"/>
      <c r="M55" s="383"/>
      <c r="N55" s="300"/>
      <c r="O55" s="302"/>
      <c r="P55" s="383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03"/>
      <c r="C56" s="305"/>
      <c r="D56" s="384"/>
      <c r="E56" s="303"/>
      <c r="F56" s="305"/>
      <c r="G56" s="384"/>
      <c r="H56" s="303"/>
      <c r="I56" s="305"/>
      <c r="J56" s="384"/>
      <c r="K56" s="303"/>
      <c r="L56" s="305"/>
      <c r="M56" s="384"/>
      <c r="N56" s="303"/>
      <c r="O56" s="305"/>
      <c r="P56" s="384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00"/>
      <c r="C57" s="302"/>
      <c r="D57" s="383"/>
      <c r="E57" s="300"/>
      <c r="F57" s="302"/>
      <c r="G57" s="383"/>
      <c r="H57" s="300"/>
      <c r="I57" s="302"/>
      <c r="J57" s="383"/>
      <c r="K57" s="300"/>
      <c r="L57" s="302"/>
      <c r="M57" s="383"/>
      <c r="N57" s="300"/>
      <c r="O57" s="302"/>
      <c r="P57" s="383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03"/>
      <c r="C58" s="305"/>
      <c r="D58" s="384"/>
      <c r="E58" s="303"/>
      <c r="F58" s="305"/>
      <c r="G58" s="384"/>
      <c r="H58" s="303"/>
      <c r="I58" s="305"/>
      <c r="J58" s="384"/>
      <c r="K58" s="303"/>
      <c r="L58" s="305"/>
      <c r="M58" s="384"/>
      <c r="N58" s="303"/>
      <c r="O58" s="305"/>
      <c r="P58" s="384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00"/>
      <c r="C59" s="302"/>
      <c r="D59" s="383"/>
      <c r="E59" s="300"/>
      <c r="F59" s="302"/>
      <c r="G59" s="383"/>
      <c r="H59" s="300"/>
      <c r="I59" s="302"/>
      <c r="J59" s="383"/>
      <c r="K59" s="300"/>
      <c r="L59" s="302"/>
      <c r="M59" s="383"/>
      <c r="N59" s="300"/>
      <c r="O59" s="302"/>
      <c r="P59" s="383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03"/>
      <c r="C60" s="305"/>
      <c r="D60" s="384"/>
      <c r="E60" s="303"/>
      <c r="F60" s="305"/>
      <c r="G60" s="384"/>
      <c r="H60" s="303"/>
      <c r="I60" s="305"/>
      <c r="J60" s="384"/>
      <c r="K60" s="303"/>
      <c r="L60" s="305"/>
      <c r="M60" s="384"/>
      <c r="N60" s="303"/>
      <c r="O60" s="305"/>
      <c r="P60" s="384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00"/>
      <c r="C61" s="302"/>
      <c r="D61" s="383"/>
      <c r="E61" s="300"/>
      <c r="F61" s="302"/>
      <c r="G61" s="383"/>
      <c r="H61" s="300"/>
      <c r="I61" s="302"/>
      <c r="J61" s="383"/>
      <c r="K61" s="300"/>
      <c r="L61" s="302"/>
      <c r="M61" s="383"/>
      <c r="N61" s="300"/>
      <c r="O61" s="302"/>
      <c r="P61" s="383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03"/>
      <c r="C62" s="305"/>
      <c r="D62" s="384"/>
      <c r="E62" s="303"/>
      <c r="F62" s="305"/>
      <c r="G62" s="384"/>
      <c r="H62" s="303"/>
      <c r="I62" s="305"/>
      <c r="J62" s="384"/>
      <c r="K62" s="303"/>
      <c r="L62" s="305"/>
      <c r="M62" s="384"/>
      <c r="N62" s="303"/>
      <c r="O62" s="305"/>
      <c r="P62" s="384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00"/>
      <c r="C63" s="302"/>
      <c r="D63" s="383"/>
      <c r="E63" s="300"/>
      <c r="F63" s="302"/>
      <c r="G63" s="383"/>
      <c r="H63" s="300"/>
      <c r="I63" s="302"/>
      <c r="J63" s="383"/>
      <c r="K63" s="300"/>
      <c r="L63" s="302"/>
      <c r="M63" s="383"/>
      <c r="N63" s="300"/>
      <c r="O63" s="302"/>
      <c r="P63" s="383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5"/>
      <c r="C64" s="386"/>
      <c r="D64" s="387"/>
      <c r="E64" s="385"/>
      <c r="F64" s="386"/>
      <c r="G64" s="387"/>
      <c r="H64" s="385"/>
      <c r="I64" s="386"/>
      <c r="J64" s="387"/>
      <c r="K64" s="385"/>
      <c r="L64" s="386"/>
      <c r="M64" s="387"/>
      <c r="N64" s="385"/>
      <c r="O64" s="386"/>
      <c r="P64" s="387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8" t="s">
        <v>241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1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43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5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139" t="s">
        <v>124</v>
      </c>
      <c r="C67" s="264" t="s">
        <v>125</v>
      </c>
      <c r="D67" s="389" t="s">
        <v>127</v>
      </c>
      <c r="E67" s="139" t="s">
        <v>124</v>
      </c>
      <c r="F67" s="264" t="s">
        <v>125</v>
      </c>
      <c r="G67" s="389" t="s">
        <v>127</v>
      </c>
      <c r="H67" s="139" t="s">
        <v>124</v>
      </c>
      <c r="I67" s="264" t="s">
        <v>125</v>
      </c>
      <c r="J67" s="389" t="s">
        <v>127</v>
      </c>
      <c r="K67" s="139" t="s">
        <v>124</v>
      </c>
      <c r="L67" s="264" t="s">
        <v>125</v>
      </c>
      <c r="M67" s="389" t="s">
        <v>127</v>
      </c>
      <c r="N67" s="139" t="s">
        <v>124</v>
      </c>
      <c r="O67" s="264" t="s">
        <v>125</v>
      </c>
      <c r="P67" s="389" t="s">
        <v>127</v>
      </c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142"/>
      <c r="C68" s="265"/>
      <c r="D68" s="390"/>
      <c r="E68" s="142"/>
      <c r="F68" s="265"/>
      <c r="G68" s="390"/>
      <c r="H68" s="142"/>
      <c r="I68" s="265"/>
      <c r="J68" s="390"/>
      <c r="K68" s="142"/>
      <c r="L68" s="265"/>
      <c r="M68" s="390"/>
      <c r="N68" s="142"/>
      <c r="O68" s="265"/>
      <c r="P68" s="390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145"/>
      <c r="C69" s="266"/>
      <c r="D69" s="391"/>
      <c r="E69" s="145"/>
      <c r="F69" s="266"/>
      <c r="G69" s="391"/>
      <c r="H69" s="145"/>
      <c r="I69" s="266"/>
      <c r="J69" s="391"/>
      <c r="K69" s="145"/>
      <c r="L69" s="266"/>
      <c r="M69" s="391"/>
      <c r="N69" s="145"/>
      <c r="O69" s="266"/>
      <c r="P69" s="391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142"/>
      <c r="C70" s="265"/>
      <c r="D70" s="390"/>
      <c r="E70" s="142"/>
      <c r="F70" s="265"/>
      <c r="G70" s="390"/>
      <c r="H70" s="142"/>
      <c r="I70" s="265"/>
      <c r="J70" s="390"/>
      <c r="K70" s="142"/>
      <c r="L70" s="265"/>
      <c r="M70" s="390"/>
      <c r="N70" s="142"/>
      <c r="O70" s="265"/>
      <c r="P70" s="390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145"/>
      <c r="C71" s="266"/>
      <c r="D71" s="391"/>
      <c r="E71" s="145"/>
      <c r="F71" s="266"/>
      <c r="G71" s="391"/>
      <c r="H71" s="145"/>
      <c r="I71" s="266"/>
      <c r="J71" s="391"/>
      <c r="K71" s="145"/>
      <c r="L71" s="266"/>
      <c r="M71" s="391"/>
      <c r="N71" s="145"/>
      <c r="O71" s="266"/>
      <c r="P71" s="391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142"/>
      <c r="C72" s="265"/>
      <c r="D72" s="390"/>
      <c r="E72" s="142"/>
      <c r="F72" s="265"/>
      <c r="G72" s="390"/>
      <c r="H72" s="142"/>
      <c r="I72" s="265"/>
      <c r="J72" s="390"/>
      <c r="K72" s="142"/>
      <c r="L72" s="265"/>
      <c r="M72" s="390"/>
      <c r="N72" s="142"/>
      <c r="O72" s="265"/>
      <c r="P72" s="390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145"/>
      <c r="C73" s="266"/>
      <c r="D73" s="391"/>
      <c r="E73" s="145"/>
      <c r="F73" s="266"/>
      <c r="G73" s="391"/>
      <c r="H73" s="145"/>
      <c r="I73" s="266"/>
      <c r="J73" s="391"/>
      <c r="K73" s="145"/>
      <c r="L73" s="266"/>
      <c r="M73" s="391"/>
      <c r="N73" s="145"/>
      <c r="O73" s="266"/>
      <c r="P73" s="391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142"/>
      <c r="C74" s="265"/>
      <c r="D74" s="390"/>
      <c r="E74" s="142"/>
      <c r="F74" s="265"/>
      <c r="G74" s="390"/>
      <c r="H74" s="142"/>
      <c r="I74" s="265"/>
      <c r="J74" s="390"/>
      <c r="K74" s="142"/>
      <c r="L74" s="265"/>
      <c r="M74" s="390"/>
      <c r="N74" s="142"/>
      <c r="O74" s="265"/>
      <c r="P74" s="390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145"/>
      <c r="C75" s="266"/>
      <c r="D75" s="391"/>
      <c r="E75" s="145"/>
      <c r="F75" s="266"/>
      <c r="G75" s="391"/>
      <c r="H75" s="145"/>
      <c r="I75" s="266"/>
      <c r="J75" s="391"/>
      <c r="K75" s="145"/>
      <c r="L75" s="266"/>
      <c r="M75" s="391"/>
      <c r="N75" s="145"/>
      <c r="O75" s="266"/>
      <c r="P75" s="391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142"/>
      <c r="C76" s="265"/>
      <c r="D76" s="390"/>
      <c r="E76" s="142"/>
      <c r="F76" s="265"/>
      <c r="G76" s="390"/>
      <c r="H76" s="142"/>
      <c r="I76" s="265"/>
      <c r="J76" s="390"/>
      <c r="K76" s="142"/>
      <c r="L76" s="265"/>
      <c r="M76" s="390"/>
      <c r="N76" s="142"/>
      <c r="O76" s="265"/>
      <c r="P76" s="390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145"/>
      <c r="C77" s="266"/>
      <c r="D77" s="391"/>
      <c r="E77" s="145"/>
      <c r="F77" s="266"/>
      <c r="G77" s="391"/>
      <c r="H77" s="145"/>
      <c r="I77" s="266"/>
      <c r="J77" s="391"/>
      <c r="K77" s="145"/>
      <c r="L77" s="266"/>
      <c r="M77" s="391"/>
      <c r="N77" s="145"/>
      <c r="O77" s="266"/>
      <c r="P77" s="391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142"/>
      <c r="C78" s="265"/>
      <c r="D78" s="390"/>
      <c r="E78" s="142"/>
      <c r="F78" s="265"/>
      <c r="G78" s="390"/>
      <c r="H78" s="142"/>
      <c r="I78" s="265"/>
      <c r="J78" s="390"/>
      <c r="K78" s="142"/>
      <c r="L78" s="265"/>
      <c r="M78" s="390"/>
      <c r="N78" s="142"/>
      <c r="O78" s="265"/>
      <c r="P78" s="390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92"/>
      <c r="C79" s="393"/>
      <c r="D79" s="394"/>
      <c r="E79" s="392"/>
      <c r="F79" s="393"/>
      <c r="G79" s="394"/>
      <c r="H79" s="392"/>
      <c r="I79" s="393"/>
      <c r="J79" s="394"/>
      <c r="K79" s="392"/>
      <c r="L79" s="393"/>
      <c r="M79" s="394"/>
      <c r="N79" s="392"/>
      <c r="O79" s="393"/>
      <c r="P79" s="394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95" t="s">
        <v>243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1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43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5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152" t="s">
        <v>124</v>
      </c>
      <c r="C82" s="267" t="s">
        <v>125</v>
      </c>
      <c r="D82" s="396" t="s">
        <v>127</v>
      </c>
      <c r="E82" s="152" t="s">
        <v>124</v>
      </c>
      <c r="F82" s="267" t="s">
        <v>125</v>
      </c>
      <c r="G82" s="396" t="s">
        <v>127</v>
      </c>
      <c r="H82" s="152" t="s">
        <v>124</v>
      </c>
      <c r="I82" s="267" t="s">
        <v>125</v>
      </c>
      <c r="J82" s="396" t="s">
        <v>127</v>
      </c>
      <c r="K82" s="152" t="s">
        <v>124</v>
      </c>
      <c r="L82" s="267" t="s">
        <v>125</v>
      </c>
      <c r="M82" s="396" t="s">
        <v>127</v>
      </c>
      <c r="N82" s="152" t="s">
        <v>124</v>
      </c>
      <c r="O82" s="267" t="s">
        <v>125</v>
      </c>
      <c r="P82" s="396" t="s">
        <v>127</v>
      </c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276"/>
      <c r="B83" s="155"/>
      <c r="C83" s="268"/>
      <c r="D83" s="397"/>
      <c r="E83" s="155"/>
      <c r="F83" s="268"/>
      <c r="G83" s="397"/>
      <c r="H83" s="155"/>
      <c r="I83" s="268"/>
      <c r="J83" s="397"/>
      <c r="K83" s="155"/>
      <c r="L83" s="268"/>
      <c r="M83" s="397"/>
      <c r="N83" s="155"/>
      <c r="O83" s="268"/>
      <c r="P83" s="397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276"/>
      <c r="B84" s="158"/>
      <c r="C84" s="269"/>
      <c r="D84" s="398"/>
      <c r="E84" s="158"/>
      <c r="F84" s="269"/>
      <c r="G84" s="398"/>
      <c r="H84" s="158"/>
      <c r="I84" s="269"/>
      <c r="J84" s="398"/>
      <c r="K84" s="158"/>
      <c r="L84" s="269"/>
      <c r="M84" s="398"/>
      <c r="N84" s="158"/>
      <c r="O84" s="269"/>
      <c r="P84" s="39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276"/>
      <c r="B85" s="155"/>
      <c r="C85" s="268"/>
      <c r="D85" s="397"/>
      <c r="E85" s="155"/>
      <c r="F85" s="268"/>
      <c r="G85" s="397"/>
      <c r="H85" s="155"/>
      <c r="I85" s="268"/>
      <c r="J85" s="397"/>
      <c r="K85" s="155"/>
      <c r="L85" s="268"/>
      <c r="M85" s="397"/>
      <c r="N85" s="155"/>
      <c r="O85" s="268"/>
      <c r="P85" s="397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276"/>
      <c r="B86" s="158"/>
      <c r="C86" s="269"/>
      <c r="D86" s="398"/>
      <c r="E86" s="158"/>
      <c r="F86" s="269"/>
      <c r="G86" s="398"/>
      <c r="H86" s="158"/>
      <c r="I86" s="269"/>
      <c r="J86" s="398"/>
      <c r="K86" s="158"/>
      <c r="L86" s="269"/>
      <c r="M86" s="398"/>
      <c r="N86" s="158"/>
      <c r="O86" s="269"/>
      <c r="P86" s="39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276"/>
      <c r="B87" s="155"/>
      <c r="C87" s="268"/>
      <c r="D87" s="397"/>
      <c r="E87" s="155"/>
      <c r="F87" s="268"/>
      <c r="G87" s="397"/>
      <c r="H87" s="155"/>
      <c r="I87" s="268"/>
      <c r="J87" s="397"/>
      <c r="K87" s="155"/>
      <c r="L87" s="268"/>
      <c r="M87" s="397"/>
      <c r="N87" s="155"/>
      <c r="O87" s="268"/>
      <c r="P87" s="397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276"/>
      <c r="B88" s="158"/>
      <c r="C88" s="269"/>
      <c r="D88" s="398"/>
      <c r="E88" s="158"/>
      <c r="F88" s="269"/>
      <c r="G88" s="398"/>
      <c r="H88" s="158"/>
      <c r="I88" s="269"/>
      <c r="J88" s="398"/>
      <c r="K88" s="158"/>
      <c r="L88" s="269"/>
      <c r="M88" s="398"/>
      <c r="N88" s="158"/>
      <c r="O88" s="269"/>
      <c r="P88" s="39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276"/>
      <c r="B89" s="155"/>
      <c r="C89" s="268"/>
      <c r="D89" s="397"/>
      <c r="E89" s="155"/>
      <c r="F89" s="268"/>
      <c r="G89" s="397"/>
      <c r="H89" s="155"/>
      <c r="I89" s="268"/>
      <c r="J89" s="397"/>
      <c r="K89" s="155"/>
      <c r="L89" s="268"/>
      <c r="M89" s="397"/>
      <c r="N89" s="155"/>
      <c r="O89" s="268"/>
      <c r="P89" s="397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276"/>
      <c r="B90" s="158"/>
      <c r="C90" s="269"/>
      <c r="D90" s="398"/>
      <c r="E90" s="158"/>
      <c r="F90" s="269"/>
      <c r="G90" s="398"/>
      <c r="H90" s="158"/>
      <c r="I90" s="269"/>
      <c r="J90" s="398"/>
      <c r="K90" s="158"/>
      <c r="L90" s="269"/>
      <c r="M90" s="398"/>
      <c r="N90" s="158"/>
      <c r="O90" s="269"/>
      <c r="P90" s="39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276"/>
      <c r="B91" s="155"/>
      <c r="C91" s="268"/>
      <c r="D91" s="397"/>
      <c r="E91" s="155"/>
      <c r="F91" s="268"/>
      <c r="G91" s="397"/>
      <c r="H91" s="155"/>
      <c r="I91" s="268"/>
      <c r="J91" s="397"/>
      <c r="K91" s="155"/>
      <c r="L91" s="268"/>
      <c r="M91" s="397"/>
      <c r="N91" s="155"/>
      <c r="O91" s="268"/>
      <c r="P91" s="397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276"/>
      <c r="B92" s="158"/>
      <c r="C92" s="269"/>
      <c r="D92" s="398"/>
      <c r="E92" s="158"/>
      <c r="F92" s="269"/>
      <c r="G92" s="398"/>
      <c r="H92" s="158"/>
      <c r="I92" s="269"/>
      <c r="J92" s="398"/>
      <c r="K92" s="158"/>
      <c r="L92" s="269"/>
      <c r="M92" s="398"/>
      <c r="N92" s="158"/>
      <c r="O92" s="269"/>
      <c r="P92" s="39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276"/>
      <c r="B93" s="155"/>
      <c r="C93" s="268"/>
      <c r="D93" s="397"/>
      <c r="E93" s="155"/>
      <c r="F93" s="268"/>
      <c r="G93" s="397"/>
      <c r="H93" s="155"/>
      <c r="I93" s="268"/>
      <c r="J93" s="397"/>
      <c r="K93" s="155"/>
      <c r="L93" s="268"/>
      <c r="M93" s="397"/>
      <c r="N93" s="155"/>
      <c r="O93" s="268"/>
      <c r="P93" s="397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276"/>
      <c r="B94" s="399"/>
      <c r="C94" s="400"/>
      <c r="D94" s="401"/>
      <c r="E94" s="399"/>
      <c r="F94" s="400"/>
      <c r="G94" s="401"/>
      <c r="H94" s="399"/>
      <c r="I94" s="400"/>
      <c r="J94" s="401"/>
      <c r="K94" s="399"/>
      <c r="L94" s="400"/>
      <c r="M94" s="401"/>
      <c r="N94" s="399"/>
      <c r="O94" s="400"/>
      <c r="P94" s="401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402" t="s">
        <v>312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1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5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403" t="s">
        <v>124</v>
      </c>
      <c r="C97" s="404" t="s">
        <v>125</v>
      </c>
      <c r="D97" s="405" t="s">
        <v>127</v>
      </c>
      <c r="E97" s="403" t="s">
        <v>124</v>
      </c>
      <c r="F97" s="404" t="s">
        <v>125</v>
      </c>
      <c r="G97" s="405" t="s">
        <v>127</v>
      </c>
      <c r="H97" s="403" t="s">
        <v>124</v>
      </c>
      <c r="I97" s="404" t="s">
        <v>125</v>
      </c>
      <c r="J97" s="405" t="s">
        <v>127</v>
      </c>
      <c r="K97" s="403" t="s">
        <v>124</v>
      </c>
      <c r="L97" s="404" t="s">
        <v>125</v>
      </c>
      <c r="M97" s="405" t="s">
        <v>127</v>
      </c>
      <c r="N97" s="403" t="s">
        <v>124</v>
      </c>
      <c r="O97" s="404" t="s">
        <v>125</v>
      </c>
      <c r="P97" s="405" t="s">
        <v>127</v>
      </c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276"/>
      <c r="B98" s="318"/>
      <c r="C98" s="320"/>
      <c r="D98" s="406"/>
      <c r="E98" s="318"/>
      <c r="F98" s="320"/>
      <c r="G98" s="406"/>
      <c r="H98" s="318"/>
      <c r="I98" s="320"/>
      <c r="J98" s="406"/>
      <c r="K98" s="318"/>
      <c r="L98" s="320"/>
      <c r="M98" s="406"/>
      <c r="N98" s="318"/>
      <c r="O98" s="320"/>
      <c r="P98" s="406"/>
      <c r="Q98" s="276"/>
      <c r="R98" s="276"/>
      <c r="S98" s="276"/>
      <c r="T98" s="276"/>
      <c r="U98" s="276"/>
      <c r="V98" s="276"/>
      <c r="W98" s="276"/>
      <c r="X98" s="276"/>
      <c r="Y98" s="276"/>
      <c r="Z98" s="276"/>
    </row>
    <row r="99" ht="15.75" customHeight="1">
      <c r="A99" s="276"/>
      <c r="B99" s="321"/>
      <c r="C99" s="323"/>
      <c r="D99" s="407"/>
      <c r="E99" s="321"/>
      <c r="F99" s="323"/>
      <c r="G99" s="407"/>
      <c r="H99" s="321"/>
      <c r="I99" s="323"/>
      <c r="J99" s="407"/>
      <c r="K99" s="321"/>
      <c r="L99" s="323"/>
      <c r="M99" s="407"/>
      <c r="N99" s="321"/>
      <c r="O99" s="323"/>
      <c r="P99" s="407"/>
      <c r="Q99" s="276"/>
      <c r="R99" s="276"/>
      <c r="S99" s="276"/>
      <c r="T99" s="276"/>
      <c r="U99" s="276"/>
      <c r="V99" s="276"/>
      <c r="W99" s="276"/>
      <c r="X99" s="276"/>
      <c r="Y99" s="276"/>
      <c r="Z99" s="276"/>
    </row>
    <row r="100" ht="15.75" customHeight="1">
      <c r="A100" s="276"/>
      <c r="B100" s="318"/>
      <c r="C100" s="320"/>
      <c r="D100" s="406"/>
      <c r="E100" s="318"/>
      <c r="F100" s="320"/>
      <c r="G100" s="406"/>
      <c r="H100" s="318"/>
      <c r="I100" s="320"/>
      <c r="J100" s="406"/>
      <c r="K100" s="318"/>
      <c r="L100" s="320"/>
      <c r="M100" s="406"/>
      <c r="N100" s="318"/>
      <c r="O100" s="320"/>
      <c r="P100" s="40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</row>
    <row r="101" ht="15.75" customHeight="1">
      <c r="A101" s="276"/>
      <c r="B101" s="321"/>
      <c r="C101" s="323"/>
      <c r="D101" s="407"/>
      <c r="E101" s="321"/>
      <c r="F101" s="323"/>
      <c r="G101" s="407"/>
      <c r="H101" s="321"/>
      <c r="I101" s="323"/>
      <c r="J101" s="407"/>
      <c r="K101" s="321"/>
      <c r="L101" s="323"/>
      <c r="M101" s="407"/>
      <c r="N101" s="321"/>
      <c r="O101" s="323"/>
      <c r="P101" s="407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</row>
    <row r="102" ht="15.75" customHeight="1">
      <c r="A102" s="276"/>
      <c r="B102" s="318"/>
      <c r="C102" s="320"/>
      <c r="D102" s="406"/>
      <c r="E102" s="318"/>
      <c r="F102" s="320"/>
      <c r="G102" s="406"/>
      <c r="H102" s="318"/>
      <c r="I102" s="320"/>
      <c r="J102" s="406"/>
      <c r="K102" s="318"/>
      <c r="L102" s="320"/>
      <c r="M102" s="406"/>
      <c r="N102" s="318"/>
      <c r="O102" s="320"/>
      <c r="P102" s="40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</row>
    <row r="103" ht="15.75" customHeight="1">
      <c r="A103" s="276"/>
      <c r="B103" s="321"/>
      <c r="C103" s="323"/>
      <c r="D103" s="407"/>
      <c r="E103" s="321"/>
      <c r="F103" s="323"/>
      <c r="G103" s="407"/>
      <c r="H103" s="321"/>
      <c r="I103" s="323"/>
      <c r="J103" s="407"/>
      <c r="K103" s="321"/>
      <c r="L103" s="323"/>
      <c r="M103" s="407"/>
      <c r="N103" s="321"/>
      <c r="O103" s="323"/>
      <c r="P103" s="407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</row>
    <row r="104" ht="15.75" customHeight="1">
      <c r="A104" s="276"/>
      <c r="B104" s="318"/>
      <c r="C104" s="320"/>
      <c r="D104" s="406"/>
      <c r="E104" s="318"/>
      <c r="F104" s="320"/>
      <c r="G104" s="406"/>
      <c r="H104" s="318"/>
      <c r="I104" s="320"/>
      <c r="J104" s="406"/>
      <c r="K104" s="318"/>
      <c r="L104" s="320"/>
      <c r="M104" s="406"/>
      <c r="N104" s="318"/>
      <c r="O104" s="320"/>
      <c r="P104" s="40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</row>
    <row r="105" ht="15.75" customHeight="1">
      <c r="A105" s="276"/>
      <c r="B105" s="321"/>
      <c r="C105" s="323"/>
      <c r="D105" s="407"/>
      <c r="E105" s="321"/>
      <c r="F105" s="323"/>
      <c r="G105" s="407"/>
      <c r="H105" s="321"/>
      <c r="I105" s="323"/>
      <c r="J105" s="407"/>
      <c r="K105" s="321"/>
      <c r="L105" s="323"/>
      <c r="M105" s="407"/>
      <c r="N105" s="321"/>
      <c r="O105" s="323"/>
      <c r="P105" s="407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</row>
    <row r="106" ht="15.75" customHeight="1">
      <c r="A106" s="276"/>
      <c r="B106" s="318"/>
      <c r="C106" s="320"/>
      <c r="D106" s="406"/>
      <c r="E106" s="318"/>
      <c r="F106" s="320"/>
      <c r="G106" s="406"/>
      <c r="H106" s="318"/>
      <c r="I106" s="320"/>
      <c r="J106" s="406"/>
      <c r="K106" s="318"/>
      <c r="L106" s="320"/>
      <c r="M106" s="406"/>
      <c r="N106" s="318"/>
      <c r="O106" s="320"/>
      <c r="P106" s="40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</row>
    <row r="107" ht="15.75" customHeight="1">
      <c r="A107" s="276"/>
      <c r="B107" s="321"/>
      <c r="C107" s="323"/>
      <c r="D107" s="407"/>
      <c r="E107" s="321"/>
      <c r="F107" s="323"/>
      <c r="G107" s="407"/>
      <c r="H107" s="321"/>
      <c r="I107" s="323"/>
      <c r="J107" s="407"/>
      <c r="K107" s="321"/>
      <c r="L107" s="323"/>
      <c r="M107" s="407"/>
      <c r="N107" s="321"/>
      <c r="O107" s="323"/>
      <c r="P107" s="407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</row>
    <row r="108" ht="15.75" customHeight="1">
      <c r="A108" s="276"/>
      <c r="B108" s="318"/>
      <c r="C108" s="320"/>
      <c r="D108" s="406"/>
      <c r="E108" s="318"/>
      <c r="F108" s="320"/>
      <c r="G108" s="406"/>
      <c r="H108" s="318"/>
      <c r="I108" s="320"/>
      <c r="J108" s="406"/>
      <c r="K108" s="318"/>
      <c r="L108" s="320"/>
      <c r="M108" s="406"/>
      <c r="N108" s="318"/>
      <c r="O108" s="320"/>
      <c r="P108" s="40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</row>
    <row r="109" ht="15.75" customHeight="1">
      <c r="A109" s="276"/>
      <c r="B109" s="408"/>
      <c r="C109" s="409"/>
      <c r="D109" s="410"/>
      <c r="E109" s="408"/>
      <c r="F109" s="409"/>
      <c r="G109" s="410"/>
      <c r="H109" s="408"/>
      <c r="I109" s="409"/>
      <c r="J109" s="410"/>
      <c r="K109" s="408"/>
      <c r="L109" s="409"/>
      <c r="M109" s="410"/>
      <c r="N109" s="408"/>
      <c r="O109" s="409"/>
      <c r="P109" s="410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</row>
    <row r="110" ht="15.75" customHeight="1">
      <c r="A110" s="38"/>
      <c r="B110" s="411" t="s">
        <v>324</v>
      </c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1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43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5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412" t="s">
        <v>124</v>
      </c>
      <c r="C112" s="413" t="s">
        <v>125</v>
      </c>
      <c r="D112" s="414" t="s">
        <v>127</v>
      </c>
      <c r="E112" s="412" t="s">
        <v>124</v>
      </c>
      <c r="F112" s="413" t="s">
        <v>125</v>
      </c>
      <c r="G112" s="414" t="s">
        <v>127</v>
      </c>
      <c r="H112" s="412" t="s">
        <v>124</v>
      </c>
      <c r="I112" s="413" t="s">
        <v>125</v>
      </c>
      <c r="J112" s="414" t="s">
        <v>127</v>
      </c>
      <c r="K112" s="412" t="s">
        <v>124</v>
      </c>
      <c r="L112" s="413" t="s">
        <v>125</v>
      </c>
      <c r="M112" s="414" t="s">
        <v>127</v>
      </c>
      <c r="N112" s="412" t="s">
        <v>124</v>
      </c>
      <c r="O112" s="413" t="s">
        <v>125</v>
      </c>
      <c r="P112" s="414" t="s">
        <v>127</v>
      </c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415"/>
      <c r="C113" s="416"/>
      <c r="D113" s="417"/>
      <c r="E113" s="415"/>
      <c r="F113" s="416"/>
      <c r="G113" s="417"/>
      <c r="H113" s="415"/>
      <c r="I113" s="416"/>
      <c r="J113" s="417"/>
      <c r="K113" s="415"/>
      <c r="L113" s="416"/>
      <c r="M113" s="417"/>
      <c r="N113" s="415"/>
      <c r="O113" s="416"/>
      <c r="P113" s="417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418"/>
      <c r="C114" s="419"/>
      <c r="D114" s="420"/>
      <c r="E114" s="418"/>
      <c r="F114" s="419"/>
      <c r="G114" s="420"/>
      <c r="H114" s="418"/>
      <c r="I114" s="419"/>
      <c r="J114" s="420"/>
      <c r="K114" s="418"/>
      <c r="L114" s="419"/>
      <c r="M114" s="420"/>
      <c r="N114" s="418"/>
      <c r="O114" s="419"/>
      <c r="P114" s="420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415"/>
      <c r="C115" s="416"/>
      <c r="D115" s="417"/>
      <c r="E115" s="415"/>
      <c r="F115" s="416"/>
      <c r="G115" s="417"/>
      <c r="H115" s="415"/>
      <c r="I115" s="416"/>
      <c r="J115" s="417"/>
      <c r="K115" s="415"/>
      <c r="L115" s="416"/>
      <c r="M115" s="417"/>
      <c r="N115" s="415"/>
      <c r="O115" s="416"/>
      <c r="P115" s="417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418"/>
      <c r="C116" s="419"/>
      <c r="D116" s="420"/>
      <c r="E116" s="418"/>
      <c r="F116" s="419"/>
      <c r="G116" s="420"/>
      <c r="H116" s="418"/>
      <c r="I116" s="419"/>
      <c r="J116" s="420"/>
      <c r="K116" s="418"/>
      <c r="L116" s="419"/>
      <c r="M116" s="420"/>
      <c r="N116" s="418"/>
      <c r="O116" s="419"/>
      <c r="P116" s="420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415"/>
      <c r="C117" s="416"/>
      <c r="D117" s="417"/>
      <c r="E117" s="415"/>
      <c r="F117" s="416"/>
      <c r="G117" s="417"/>
      <c r="H117" s="415"/>
      <c r="I117" s="416"/>
      <c r="J117" s="417"/>
      <c r="K117" s="415"/>
      <c r="L117" s="416"/>
      <c r="M117" s="417"/>
      <c r="N117" s="415"/>
      <c r="O117" s="416"/>
      <c r="P117" s="417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418"/>
      <c r="C118" s="419"/>
      <c r="D118" s="420"/>
      <c r="E118" s="418"/>
      <c r="F118" s="419"/>
      <c r="G118" s="420"/>
      <c r="H118" s="418"/>
      <c r="I118" s="419"/>
      <c r="J118" s="420"/>
      <c r="K118" s="418"/>
      <c r="L118" s="419"/>
      <c r="M118" s="420"/>
      <c r="N118" s="418"/>
      <c r="O118" s="419"/>
      <c r="P118" s="420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415"/>
      <c r="C119" s="416"/>
      <c r="D119" s="417"/>
      <c r="E119" s="415"/>
      <c r="F119" s="416"/>
      <c r="G119" s="417"/>
      <c r="H119" s="415"/>
      <c r="I119" s="416"/>
      <c r="J119" s="417"/>
      <c r="K119" s="415"/>
      <c r="L119" s="416"/>
      <c r="M119" s="417"/>
      <c r="N119" s="415"/>
      <c r="O119" s="416"/>
      <c r="P119" s="417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418"/>
      <c r="C120" s="419"/>
      <c r="D120" s="420"/>
      <c r="E120" s="418"/>
      <c r="F120" s="419"/>
      <c r="G120" s="420"/>
      <c r="H120" s="418"/>
      <c r="I120" s="419"/>
      <c r="J120" s="420"/>
      <c r="K120" s="418"/>
      <c r="L120" s="419"/>
      <c r="M120" s="420"/>
      <c r="N120" s="418"/>
      <c r="O120" s="419"/>
      <c r="P120" s="420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415"/>
      <c r="C121" s="416"/>
      <c r="D121" s="417"/>
      <c r="E121" s="415"/>
      <c r="F121" s="416"/>
      <c r="G121" s="417"/>
      <c r="H121" s="415"/>
      <c r="I121" s="416"/>
      <c r="J121" s="417"/>
      <c r="K121" s="415"/>
      <c r="L121" s="416"/>
      <c r="M121" s="417"/>
      <c r="N121" s="415"/>
      <c r="O121" s="416"/>
      <c r="P121" s="417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418"/>
      <c r="C122" s="419"/>
      <c r="D122" s="420"/>
      <c r="E122" s="418"/>
      <c r="F122" s="419"/>
      <c r="G122" s="420"/>
      <c r="H122" s="418"/>
      <c r="I122" s="419"/>
      <c r="J122" s="420"/>
      <c r="K122" s="418"/>
      <c r="L122" s="419"/>
      <c r="M122" s="420"/>
      <c r="N122" s="418"/>
      <c r="O122" s="419"/>
      <c r="P122" s="420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415"/>
      <c r="C123" s="416"/>
      <c r="D123" s="417"/>
      <c r="E123" s="415"/>
      <c r="F123" s="416"/>
      <c r="G123" s="417"/>
      <c r="H123" s="415"/>
      <c r="I123" s="416"/>
      <c r="J123" s="417"/>
      <c r="K123" s="415"/>
      <c r="L123" s="416"/>
      <c r="M123" s="417"/>
      <c r="N123" s="415"/>
      <c r="O123" s="416"/>
      <c r="P123" s="417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421"/>
      <c r="C124" s="422"/>
      <c r="D124" s="423"/>
      <c r="E124" s="421"/>
      <c r="F124" s="422"/>
      <c r="G124" s="423"/>
      <c r="H124" s="421"/>
      <c r="I124" s="422"/>
      <c r="J124" s="423"/>
      <c r="K124" s="421"/>
      <c r="L124" s="422"/>
      <c r="M124" s="423"/>
      <c r="N124" s="421"/>
      <c r="O124" s="422"/>
      <c r="P124" s="423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424" t="s">
        <v>245</v>
      </c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1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43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5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181" t="s">
        <v>124</v>
      </c>
      <c r="C127" s="271" t="s">
        <v>125</v>
      </c>
      <c r="D127" s="425" t="s">
        <v>127</v>
      </c>
      <c r="E127" s="181" t="s">
        <v>124</v>
      </c>
      <c r="F127" s="271" t="s">
        <v>125</v>
      </c>
      <c r="G127" s="425" t="s">
        <v>127</v>
      </c>
      <c r="H127" s="181" t="s">
        <v>124</v>
      </c>
      <c r="I127" s="271" t="s">
        <v>125</v>
      </c>
      <c r="J127" s="425" t="s">
        <v>127</v>
      </c>
      <c r="K127" s="181" t="s">
        <v>124</v>
      </c>
      <c r="L127" s="271" t="s">
        <v>125</v>
      </c>
      <c r="M127" s="425" t="s">
        <v>127</v>
      </c>
      <c r="N127" s="181" t="s">
        <v>124</v>
      </c>
      <c r="O127" s="271" t="s">
        <v>125</v>
      </c>
      <c r="P127" s="425" t="s">
        <v>127</v>
      </c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185"/>
      <c r="C128" s="272"/>
      <c r="D128" s="426"/>
      <c r="E128" s="185"/>
      <c r="F128" s="272"/>
      <c r="G128" s="426"/>
      <c r="H128" s="185"/>
      <c r="I128" s="272"/>
      <c r="J128" s="426"/>
      <c r="K128" s="185"/>
      <c r="L128" s="272"/>
      <c r="M128" s="426"/>
      <c r="N128" s="185"/>
      <c r="O128" s="272"/>
      <c r="P128" s="426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190"/>
      <c r="C129" s="273"/>
      <c r="D129" s="427"/>
      <c r="E129" s="190"/>
      <c r="F129" s="273"/>
      <c r="G129" s="427"/>
      <c r="H129" s="190"/>
      <c r="I129" s="273"/>
      <c r="J129" s="427"/>
      <c r="K129" s="190"/>
      <c r="L129" s="273"/>
      <c r="M129" s="427"/>
      <c r="N129" s="190"/>
      <c r="O129" s="273"/>
      <c r="P129" s="427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185"/>
      <c r="C130" s="272"/>
      <c r="D130" s="426"/>
      <c r="E130" s="185"/>
      <c r="F130" s="272"/>
      <c r="G130" s="426"/>
      <c r="H130" s="185"/>
      <c r="I130" s="272"/>
      <c r="J130" s="426"/>
      <c r="K130" s="185"/>
      <c r="L130" s="272"/>
      <c r="M130" s="426"/>
      <c r="N130" s="185"/>
      <c r="O130" s="272"/>
      <c r="P130" s="426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190"/>
      <c r="C131" s="273"/>
      <c r="D131" s="427"/>
      <c r="E131" s="190"/>
      <c r="F131" s="273"/>
      <c r="G131" s="427"/>
      <c r="H131" s="190"/>
      <c r="I131" s="273"/>
      <c r="J131" s="427"/>
      <c r="K131" s="190"/>
      <c r="L131" s="273"/>
      <c r="M131" s="427"/>
      <c r="N131" s="190"/>
      <c r="O131" s="273"/>
      <c r="P131" s="427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185"/>
      <c r="C132" s="272"/>
      <c r="D132" s="426"/>
      <c r="E132" s="185"/>
      <c r="F132" s="272"/>
      <c r="G132" s="426"/>
      <c r="H132" s="185"/>
      <c r="I132" s="272"/>
      <c r="J132" s="426"/>
      <c r="K132" s="185"/>
      <c r="L132" s="272"/>
      <c r="M132" s="426"/>
      <c r="N132" s="185"/>
      <c r="O132" s="272"/>
      <c r="P132" s="426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190"/>
      <c r="C133" s="273"/>
      <c r="D133" s="427"/>
      <c r="E133" s="190"/>
      <c r="F133" s="273"/>
      <c r="G133" s="427"/>
      <c r="H133" s="190"/>
      <c r="I133" s="273"/>
      <c r="J133" s="427"/>
      <c r="K133" s="190"/>
      <c r="L133" s="273"/>
      <c r="M133" s="427"/>
      <c r="N133" s="190"/>
      <c r="O133" s="273"/>
      <c r="P133" s="427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185"/>
      <c r="C134" s="272"/>
      <c r="D134" s="426"/>
      <c r="E134" s="185"/>
      <c r="F134" s="272"/>
      <c r="G134" s="426"/>
      <c r="H134" s="185"/>
      <c r="I134" s="272"/>
      <c r="J134" s="426"/>
      <c r="K134" s="185"/>
      <c r="L134" s="272"/>
      <c r="M134" s="426"/>
      <c r="N134" s="185"/>
      <c r="O134" s="272"/>
      <c r="P134" s="426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190"/>
      <c r="C135" s="273"/>
      <c r="D135" s="427"/>
      <c r="E135" s="190"/>
      <c r="F135" s="273"/>
      <c r="G135" s="427"/>
      <c r="H135" s="190"/>
      <c r="I135" s="273"/>
      <c r="J135" s="427"/>
      <c r="K135" s="190"/>
      <c r="L135" s="273"/>
      <c r="M135" s="427"/>
      <c r="N135" s="190"/>
      <c r="O135" s="273"/>
      <c r="P135" s="427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185"/>
      <c r="C136" s="272"/>
      <c r="D136" s="426"/>
      <c r="E136" s="185"/>
      <c r="F136" s="272"/>
      <c r="G136" s="426"/>
      <c r="H136" s="185"/>
      <c r="I136" s="272"/>
      <c r="J136" s="426"/>
      <c r="K136" s="185"/>
      <c r="L136" s="272"/>
      <c r="M136" s="426"/>
      <c r="N136" s="185"/>
      <c r="O136" s="272"/>
      <c r="P136" s="426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190"/>
      <c r="C137" s="273"/>
      <c r="D137" s="427"/>
      <c r="E137" s="190"/>
      <c r="F137" s="273"/>
      <c r="G137" s="427"/>
      <c r="H137" s="190"/>
      <c r="I137" s="273"/>
      <c r="J137" s="427"/>
      <c r="K137" s="190"/>
      <c r="L137" s="273"/>
      <c r="M137" s="427"/>
      <c r="N137" s="190"/>
      <c r="O137" s="273"/>
      <c r="P137" s="427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185"/>
      <c r="C138" s="272"/>
      <c r="D138" s="426"/>
      <c r="E138" s="185"/>
      <c r="F138" s="272"/>
      <c r="G138" s="426"/>
      <c r="H138" s="185"/>
      <c r="I138" s="272"/>
      <c r="J138" s="426"/>
      <c r="K138" s="185"/>
      <c r="L138" s="272"/>
      <c r="M138" s="426"/>
      <c r="N138" s="185"/>
      <c r="O138" s="272"/>
      <c r="P138" s="426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428"/>
      <c r="C139" s="429"/>
      <c r="D139" s="430"/>
      <c r="E139" s="428"/>
      <c r="F139" s="429"/>
      <c r="G139" s="430"/>
      <c r="H139" s="428"/>
      <c r="I139" s="429"/>
      <c r="J139" s="430"/>
      <c r="K139" s="428"/>
      <c r="L139" s="429"/>
      <c r="M139" s="430"/>
      <c r="N139" s="428"/>
      <c r="O139" s="429"/>
      <c r="P139" s="430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431" t="s">
        <v>338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1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43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5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432" t="s">
        <v>124</v>
      </c>
      <c r="C142" s="433" t="s">
        <v>125</v>
      </c>
      <c r="D142" s="434" t="s">
        <v>127</v>
      </c>
      <c r="E142" s="432" t="s">
        <v>124</v>
      </c>
      <c r="F142" s="433" t="s">
        <v>125</v>
      </c>
      <c r="G142" s="434" t="s">
        <v>127</v>
      </c>
      <c r="H142" s="432" t="s">
        <v>124</v>
      </c>
      <c r="I142" s="433" t="s">
        <v>125</v>
      </c>
      <c r="J142" s="434" t="s">
        <v>127</v>
      </c>
      <c r="K142" s="432" t="s">
        <v>124</v>
      </c>
      <c r="L142" s="433" t="s">
        <v>125</v>
      </c>
      <c r="M142" s="434" t="s">
        <v>127</v>
      </c>
      <c r="N142" s="432" t="s">
        <v>124</v>
      </c>
      <c r="O142" s="433" t="s">
        <v>125</v>
      </c>
      <c r="P142" s="434" t="s">
        <v>127</v>
      </c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42"/>
      <c r="C143" s="344"/>
      <c r="D143" s="435"/>
      <c r="E143" s="342"/>
      <c r="F143" s="344"/>
      <c r="G143" s="435"/>
      <c r="H143" s="342"/>
      <c r="I143" s="344"/>
      <c r="J143" s="435"/>
      <c r="K143" s="342"/>
      <c r="L143" s="344"/>
      <c r="M143" s="435"/>
      <c r="N143" s="342"/>
      <c r="O143" s="344"/>
      <c r="P143" s="435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45"/>
      <c r="C144" s="347"/>
      <c r="D144" s="436"/>
      <c r="E144" s="345"/>
      <c r="F144" s="347"/>
      <c r="G144" s="436"/>
      <c r="H144" s="345"/>
      <c r="I144" s="347"/>
      <c r="J144" s="436"/>
      <c r="K144" s="345"/>
      <c r="L144" s="347"/>
      <c r="M144" s="436"/>
      <c r="N144" s="345"/>
      <c r="O144" s="347"/>
      <c r="P144" s="436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42"/>
      <c r="C145" s="344"/>
      <c r="D145" s="435"/>
      <c r="E145" s="342"/>
      <c r="F145" s="344"/>
      <c r="G145" s="435"/>
      <c r="H145" s="342"/>
      <c r="I145" s="344"/>
      <c r="J145" s="435"/>
      <c r="K145" s="342"/>
      <c r="L145" s="344"/>
      <c r="M145" s="435"/>
      <c r="N145" s="342"/>
      <c r="O145" s="344"/>
      <c r="P145" s="435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45"/>
      <c r="C146" s="347"/>
      <c r="D146" s="436"/>
      <c r="E146" s="345"/>
      <c r="F146" s="347"/>
      <c r="G146" s="436"/>
      <c r="H146" s="345"/>
      <c r="I146" s="347"/>
      <c r="J146" s="436"/>
      <c r="K146" s="345"/>
      <c r="L146" s="347"/>
      <c r="M146" s="436"/>
      <c r="N146" s="345"/>
      <c r="O146" s="347"/>
      <c r="P146" s="436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42"/>
      <c r="C147" s="344"/>
      <c r="D147" s="435"/>
      <c r="E147" s="342"/>
      <c r="F147" s="344"/>
      <c r="G147" s="435"/>
      <c r="H147" s="342"/>
      <c r="I147" s="344"/>
      <c r="J147" s="435"/>
      <c r="K147" s="342"/>
      <c r="L147" s="344"/>
      <c r="M147" s="435"/>
      <c r="N147" s="342"/>
      <c r="O147" s="344"/>
      <c r="P147" s="435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45"/>
      <c r="C148" s="347"/>
      <c r="D148" s="436"/>
      <c r="E148" s="345"/>
      <c r="F148" s="347"/>
      <c r="G148" s="436"/>
      <c r="H148" s="345"/>
      <c r="I148" s="347"/>
      <c r="J148" s="436"/>
      <c r="K148" s="345"/>
      <c r="L148" s="347"/>
      <c r="M148" s="436"/>
      <c r="N148" s="345"/>
      <c r="O148" s="347"/>
      <c r="P148" s="436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42"/>
      <c r="C149" s="344"/>
      <c r="D149" s="435"/>
      <c r="E149" s="342"/>
      <c r="F149" s="344"/>
      <c r="G149" s="435"/>
      <c r="H149" s="342"/>
      <c r="I149" s="344"/>
      <c r="J149" s="435"/>
      <c r="K149" s="342"/>
      <c r="L149" s="344"/>
      <c r="M149" s="435"/>
      <c r="N149" s="342"/>
      <c r="O149" s="344"/>
      <c r="P149" s="435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45"/>
      <c r="C150" s="347"/>
      <c r="D150" s="436"/>
      <c r="E150" s="345"/>
      <c r="F150" s="347"/>
      <c r="G150" s="436"/>
      <c r="H150" s="345"/>
      <c r="I150" s="347"/>
      <c r="J150" s="436"/>
      <c r="K150" s="345"/>
      <c r="L150" s="347"/>
      <c r="M150" s="436"/>
      <c r="N150" s="345"/>
      <c r="O150" s="347"/>
      <c r="P150" s="436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42"/>
      <c r="C151" s="344"/>
      <c r="D151" s="435"/>
      <c r="E151" s="342"/>
      <c r="F151" s="344"/>
      <c r="G151" s="435"/>
      <c r="H151" s="342"/>
      <c r="I151" s="344"/>
      <c r="J151" s="435"/>
      <c r="K151" s="342"/>
      <c r="L151" s="344"/>
      <c r="M151" s="435"/>
      <c r="N151" s="342"/>
      <c r="O151" s="344"/>
      <c r="P151" s="435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45"/>
      <c r="C152" s="347"/>
      <c r="D152" s="436"/>
      <c r="E152" s="345"/>
      <c r="F152" s="347"/>
      <c r="G152" s="436"/>
      <c r="H152" s="345"/>
      <c r="I152" s="347"/>
      <c r="J152" s="436"/>
      <c r="K152" s="345"/>
      <c r="L152" s="347"/>
      <c r="M152" s="436"/>
      <c r="N152" s="345"/>
      <c r="O152" s="347"/>
      <c r="P152" s="436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42"/>
      <c r="C153" s="344"/>
      <c r="D153" s="435"/>
      <c r="E153" s="342"/>
      <c r="F153" s="344"/>
      <c r="G153" s="435"/>
      <c r="H153" s="342"/>
      <c r="I153" s="344"/>
      <c r="J153" s="435"/>
      <c r="K153" s="342"/>
      <c r="L153" s="344"/>
      <c r="M153" s="435"/>
      <c r="N153" s="342"/>
      <c r="O153" s="344"/>
      <c r="P153" s="435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437"/>
      <c r="C154" s="438"/>
      <c r="D154" s="439"/>
      <c r="E154" s="437"/>
      <c r="F154" s="438"/>
      <c r="G154" s="439"/>
      <c r="H154" s="437"/>
      <c r="I154" s="438"/>
      <c r="J154" s="439"/>
      <c r="K154" s="437"/>
      <c r="L154" s="438"/>
      <c r="M154" s="439"/>
      <c r="N154" s="437"/>
      <c r="O154" s="438"/>
      <c r="P154" s="439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440" t="s">
        <v>345</v>
      </c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1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43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5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441" t="s">
        <v>124</v>
      </c>
      <c r="C157" s="442" t="s">
        <v>125</v>
      </c>
      <c r="D157" s="443" t="s">
        <v>127</v>
      </c>
      <c r="E157" s="441" t="s">
        <v>124</v>
      </c>
      <c r="F157" s="442" t="s">
        <v>125</v>
      </c>
      <c r="G157" s="443" t="s">
        <v>127</v>
      </c>
      <c r="H157" s="441" t="s">
        <v>124</v>
      </c>
      <c r="I157" s="442" t="s">
        <v>125</v>
      </c>
      <c r="J157" s="443" t="s">
        <v>127</v>
      </c>
      <c r="K157" s="441" t="s">
        <v>124</v>
      </c>
      <c r="L157" s="442" t="s">
        <v>125</v>
      </c>
      <c r="M157" s="443" t="s">
        <v>127</v>
      </c>
      <c r="N157" s="441" t="s">
        <v>124</v>
      </c>
      <c r="O157" s="442" t="s">
        <v>125</v>
      </c>
      <c r="P157" s="443" t="s">
        <v>127</v>
      </c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52"/>
      <c r="C158" s="354"/>
      <c r="D158" s="444"/>
      <c r="E158" s="352"/>
      <c r="F158" s="354"/>
      <c r="G158" s="444"/>
      <c r="H158" s="352"/>
      <c r="I158" s="354"/>
      <c r="J158" s="444"/>
      <c r="K158" s="352"/>
      <c r="L158" s="354"/>
      <c r="M158" s="444"/>
      <c r="N158" s="352"/>
      <c r="O158" s="354"/>
      <c r="P158" s="444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55"/>
      <c r="C159" s="357"/>
      <c r="D159" s="445"/>
      <c r="E159" s="355"/>
      <c r="F159" s="357"/>
      <c r="G159" s="445"/>
      <c r="H159" s="355"/>
      <c r="I159" s="357"/>
      <c r="J159" s="445"/>
      <c r="K159" s="355"/>
      <c r="L159" s="357"/>
      <c r="M159" s="445"/>
      <c r="N159" s="355"/>
      <c r="O159" s="357"/>
      <c r="P159" s="445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52"/>
      <c r="C160" s="354"/>
      <c r="D160" s="444"/>
      <c r="E160" s="352"/>
      <c r="F160" s="354"/>
      <c r="G160" s="444"/>
      <c r="H160" s="352"/>
      <c r="I160" s="354"/>
      <c r="J160" s="444"/>
      <c r="K160" s="352"/>
      <c r="L160" s="354"/>
      <c r="M160" s="444"/>
      <c r="N160" s="352"/>
      <c r="O160" s="354"/>
      <c r="P160" s="444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55"/>
      <c r="C161" s="357"/>
      <c r="D161" s="445"/>
      <c r="E161" s="355"/>
      <c r="F161" s="357"/>
      <c r="G161" s="445"/>
      <c r="H161" s="355"/>
      <c r="I161" s="357"/>
      <c r="J161" s="445"/>
      <c r="K161" s="355"/>
      <c r="L161" s="357"/>
      <c r="M161" s="445"/>
      <c r="N161" s="355"/>
      <c r="O161" s="357"/>
      <c r="P161" s="445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52"/>
      <c r="C162" s="354"/>
      <c r="D162" s="444"/>
      <c r="E162" s="352"/>
      <c r="F162" s="354"/>
      <c r="G162" s="444"/>
      <c r="H162" s="352"/>
      <c r="I162" s="354"/>
      <c r="J162" s="444"/>
      <c r="K162" s="352"/>
      <c r="L162" s="354"/>
      <c r="M162" s="444"/>
      <c r="N162" s="352"/>
      <c r="O162" s="354"/>
      <c r="P162" s="444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55"/>
      <c r="C163" s="357"/>
      <c r="D163" s="445"/>
      <c r="E163" s="355"/>
      <c r="F163" s="357"/>
      <c r="G163" s="445"/>
      <c r="H163" s="355"/>
      <c r="I163" s="357"/>
      <c r="J163" s="445"/>
      <c r="K163" s="355"/>
      <c r="L163" s="357"/>
      <c r="M163" s="445"/>
      <c r="N163" s="355"/>
      <c r="O163" s="357"/>
      <c r="P163" s="445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52"/>
      <c r="C164" s="354"/>
      <c r="D164" s="444"/>
      <c r="E164" s="352"/>
      <c r="F164" s="354"/>
      <c r="G164" s="444"/>
      <c r="H164" s="352"/>
      <c r="I164" s="354"/>
      <c r="J164" s="444"/>
      <c r="K164" s="352"/>
      <c r="L164" s="354"/>
      <c r="M164" s="444"/>
      <c r="N164" s="352"/>
      <c r="O164" s="354"/>
      <c r="P164" s="444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55"/>
      <c r="C165" s="357"/>
      <c r="D165" s="445"/>
      <c r="E165" s="355"/>
      <c r="F165" s="357"/>
      <c r="G165" s="445"/>
      <c r="H165" s="355"/>
      <c r="I165" s="357"/>
      <c r="J165" s="445"/>
      <c r="K165" s="355"/>
      <c r="L165" s="357"/>
      <c r="M165" s="445"/>
      <c r="N165" s="355"/>
      <c r="O165" s="357"/>
      <c r="P165" s="445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52"/>
      <c r="C166" s="354"/>
      <c r="D166" s="444"/>
      <c r="E166" s="352"/>
      <c r="F166" s="354"/>
      <c r="G166" s="444"/>
      <c r="H166" s="352"/>
      <c r="I166" s="354"/>
      <c r="J166" s="444"/>
      <c r="K166" s="352"/>
      <c r="L166" s="354"/>
      <c r="M166" s="444"/>
      <c r="N166" s="352"/>
      <c r="O166" s="354"/>
      <c r="P166" s="444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55"/>
      <c r="C167" s="357"/>
      <c r="D167" s="445"/>
      <c r="E167" s="355"/>
      <c r="F167" s="357"/>
      <c r="G167" s="445"/>
      <c r="H167" s="355"/>
      <c r="I167" s="357"/>
      <c r="J167" s="445"/>
      <c r="K167" s="355"/>
      <c r="L167" s="357"/>
      <c r="M167" s="445"/>
      <c r="N167" s="355"/>
      <c r="O167" s="357"/>
      <c r="P167" s="445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52"/>
      <c r="C168" s="354"/>
      <c r="D168" s="444"/>
      <c r="E168" s="352"/>
      <c r="F168" s="354"/>
      <c r="G168" s="444"/>
      <c r="H168" s="352"/>
      <c r="I168" s="354"/>
      <c r="J168" s="444"/>
      <c r="K168" s="352"/>
      <c r="L168" s="354"/>
      <c r="M168" s="444"/>
      <c r="N168" s="352"/>
      <c r="O168" s="354"/>
      <c r="P168" s="444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446"/>
      <c r="C169" s="447"/>
      <c r="D169" s="448"/>
      <c r="E169" s="446"/>
      <c r="F169" s="447"/>
      <c r="G169" s="448"/>
      <c r="H169" s="446"/>
      <c r="I169" s="447"/>
      <c r="J169" s="448"/>
      <c r="K169" s="446"/>
      <c r="L169" s="447"/>
      <c r="M169" s="448"/>
      <c r="N169" s="446"/>
      <c r="O169" s="447"/>
      <c r="P169" s="44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4:G4"/>
    <mergeCell ref="H4:J4"/>
    <mergeCell ref="K4:M4"/>
    <mergeCell ref="N4:P4"/>
    <mergeCell ref="B1:P2"/>
    <mergeCell ref="B3:D3"/>
    <mergeCell ref="E3:G3"/>
    <mergeCell ref="H3:J3"/>
    <mergeCell ref="K3:M3"/>
    <mergeCell ref="N3:P3"/>
    <mergeCell ref="B4:D4"/>
    <mergeCell ref="B110:P111"/>
    <mergeCell ref="B125:P126"/>
    <mergeCell ref="B140:P141"/>
    <mergeCell ref="B155:P156"/>
    <mergeCell ref="B5:P6"/>
    <mergeCell ref="B20:P21"/>
    <mergeCell ref="B35:P36"/>
    <mergeCell ref="B50:P51"/>
    <mergeCell ref="B65:P66"/>
    <mergeCell ref="B80:P81"/>
    <mergeCell ref="B95:P9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13"/>
    <col customWidth="1" min="2" max="11" width="23.75"/>
    <col customWidth="1" min="12" max="26" width="12.75"/>
  </cols>
  <sheetData>
    <row r="1" ht="15.75" customHeight="1">
      <c r="A1" s="24"/>
      <c r="B1" s="39" t="s">
        <v>364</v>
      </c>
      <c r="C1" s="40"/>
      <c r="D1" s="40"/>
      <c r="E1" s="40"/>
      <c r="F1" s="40"/>
      <c r="G1" s="40"/>
      <c r="H1" s="40"/>
      <c r="I1" s="40"/>
      <c r="J1" s="41"/>
      <c r="K1" s="24"/>
    </row>
    <row r="2" ht="15.75" customHeight="1">
      <c r="A2" s="24"/>
      <c r="B2" s="43"/>
      <c r="C2" s="44"/>
      <c r="D2" s="44"/>
      <c r="E2" s="44"/>
      <c r="F2" s="44"/>
      <c r="G2" s="44"/>
      <c r="H2" s="44"/>
      <c r="I2" s="44"/>
      <c r="J2" s="45"/>
      <c r="K2" s="24"/>
    </row>
    <row r="3" ht="15.75" customHeight="1">
      <c r="A3" s="24"/>
      <c r="B3" s="449" t="s">
        <v>91</v>
      </c>
      <c r="C3" s="449" t="s">
        <v>92</v>
      </c>
      <c r="D3" s="449" t="s">
        <v>93</v>
      </c>
      <c r="E3" s="449" t="s">
        <v>94</v>
      </c>
      <c r="F3" s="449" t="s">
        <v>95</v>
      </c>
      <c r="G3" s="449" t="s">
        <v>96</v>
      </c>
      <c r="H3" s="449" t="s">
        <v>97</v>
      </c>
      <c r="I3" s="449" t="s">
        <v>98</v>
      </c>
      <c r="J3" s="449" t="s">
        <v>99</v>
      </c>
      <c r="K3" s="24"/>
    </row>
    <row r="4" ht="15.75" customHeight="1">
      <c r="A4" s="24"/>
      <c r="B4" s="450">
        <v>0.5833333333333334</v>
      </c>
      <c r="C4" s="450">
        <f t="shared" ref="C4:J4" si="1">B4+"00:30"</f>
        <v>0.6041666667</v>
      </c>
      <c r="D4" s="450">
        <f t="shared" si="1"/>
        <v>0.625</v>
      </c>
      <c r="E4" s="450">
        <f t="shared" si="1"/>
        <v>0.6458333333</v>
      </c>
      <c r="F4" s="450">
        <f t="shared" si="1"/>
        <v>0.6666666667</v>
      </c>
      <c r="G4" s="450">
        <f t="shared" si="1"/>
        <v>0.6875</v>
      </c>
      <c r="H4" s="450">
        <f t="shared" si="1"/>
        <v>0.7083333333</v>
      </c>
      <c r="I4" s="450">
        <f t="shared" si="1"/>
        <v>0.7291666667</v>
      </c>
      <c r="J4" s="450">
        <f t="shared" si="1"/>
        <v>0.75</v>
      </c>
      <c r="K4" s="24"/>
    </row>
    <row r="5" ht="15.75" customHeight="1">
      <c r="A5" s="24"/>
      <c r="B5" s="28"/>
      <c r="C5" s="28"/>
      <c r="D5" s="28"/>
      <c r="E5" s="28"/>
      <c r="F5" s="28"/>
      <c r="G5" s="28"/>
      <c r="H5" s="28"/>
      <c r="I5" s="28"/>
      <c r="J5" s="28"/>
      <c r="K5" s="24"/>
    </row>
    <row r="6" ht="15.75" customHeight="1">
      <c r="A6" s="24"/>
      <c r="B6" s="28"/>
      <c r="C6" s="28"/>
      <c r="D6" s="28"/>
      <c r="E6" s="28"/>
      <c r="F6" s="28"/>
      <c r="G6" s="28"/>
      <c r="H6" s="28"/>
      <c r="I6" s="28"/>
      <c r="J6" s="28"/>
      <c r="K6" s="24"/>
    </row>
    <row r="7" ht="15.75" customHeight="1">
      <c r="A7" s="24"/>
      <c r="B7" s="28" t="str">
        <f>'CT RR Calculations (Private)'!W3</f>
        <v>Farmington HS - Team 1</v>
      </c>
      <c r="C7" s="28"/>
      <c r="D7" s="28"/>
      <c r="E7" s="28"/>
      <c r="F7" s="28"/>
      <c r="G7" s="28"/>
      <c r="H7" s="28"/>
      <c r="I7" s="28"/>
      <c r="J7" s="28"/>
      <c r="K7" s="24"/>
    </row>
    <row r="8" ht="15.75" customHeight="1">
      <c r="A8" s="24"/>
      <c r="B8" s="29" t="s">
        <v>365</v>
      </c>
      <c r="C8" s="28"/>
      <c r="D8" s="28"/>
      <c r="E8" s="28"/>
      <c r="F8" s="28"/>
      <c r="G8" s="28"/>
      <c r="H8" s="28"/>
      <c r="I8" s="28"/>
      <c r="J8" s="28"/>
      <c r="K8" s="24"/>
    </row>
    <row r="9" ht="15.75" customHeight="1">
      <c r="A9" s="24"/>
      <c r="B9" s="30" t="str">
        <f>'CT RR Calculations (Private)'!W17</f>
        <v>EO Smith HS - Team 2</v>
      </c>
      <c r="C9" s="31"/>
      <c r="D9" s="28"/>
      <c r="E9" s="28"/>
      <c r="F9" s="28"/>
      <c r="G9" s="28"/>
      <c r="H9" s="28"/>
      <c r="I9" s="28"/>
      <c r="J9" s="28"/>
      <c r="K9" s="24"/>
    </row>
    <row r="10" ht="15.75" customHeight="1">
      <c r="A10" s="24"/>
      <c r="B10" s="28"/>
      <c r="C10" s="32" t="s">
        <v>366</v>
      </c>
      <c r="D10" s="33" t="s">
        <v>102</v>
      </c>
      <c r="E10" s="28"/>
      <c r="F10" s="28"/>
      <c r="G10" s="28"/>
      <c r="H10" s="28"/>
      <c r="I10" s="28"/>
      <c r="J10" s="28"/>
      <c r="K10" s="24"/>
    </row>
    <row r="11" ht="15.75" customHeight="1">
      <c r="A11" s="24"/>
      <c r="B11" s="28" t="str">
        <f>'CT RR Calculations (Private)'!W5</f>
        <v>EO Smith HS - Team 1</v>
      </c>
      <c r="C11" s="34"/>
      <c r="D11" s="35"/>
      <c r="E11" s="31"/>
      <c r="F11" s="28"/>
      <c r="G11" s="28"/>
      <c r="H11" s="28"/>
      <c r="I11" s="28"/>
      <c r="J11" s="28"/>
      <c r="K11" s="24"/>
    </row>
    <row r="12" ht="15.75" customHeight="1">
      <c r="A12" s="24"/>
      <c r="B12" s="29" t="s">
        <v>367</v>
      </c>
      <c r="C12" s="30"/>
      <c r="D12" s="28"/>
      <c r="E12" s="36"/>
      <c r="F12" s="28"/>
      <c r="G12" s="28"/>
      <c r="H12" s="28"/>
      <c r="I12" s="28"/>
      <c r="J12" s="28"/>
      <c r="K12" s="24"/>
    </row>
    <row r="13" ht="15.75" customHeight="1">
      <c r="A13" s="24"/>
      <c r="B13" s="30" t="str">
        <f>'CT RR Calculations (Private)'!W15</f>
        <v>Fairfield Warde HS - Team 1</v>
      </c>
      <c r="C13" s="28"/>
      <c r="D13" s="28"/>
      <c r="E13" s="36"/>
      <c r="F13" s="28"/>
      <c r="G13" s="28"/>
      <c r="H13" s="28"/>
      <c r="I13" s="28"/>
      <c r="J13" s="28"/>
      <c r="K13" s="24"/>
    </row>
    <row r="14" ht="15.75" customHeight="1">
      <c r="A14" s="24"/>
      <c r="B14" s="28"/>
      <c r="C14" s="28"/>
      <c r="D14" s="28"/>
      <c r="E14" s="32" t="s">
        <v>368</v>
      </c>
      <c r="F14" s="33" t="s">
        <v>102</v>
      </c>
      <c r="G14" s="28"/>
      <c r="H14" s="28"/>
      <c r="I14" s="28"/>
      <c r="J14" s="28"/>
      <c r="K14" s="24"/>
    </row>
    <row r="15" ht="15.75" customHeight="1">
      <c r="A15" s="24"/>
      <c r="B15" s="28" t="str">
        <f>'CT RR Calculations (Private)'!W7</f>
        <v>Southington HS - Team 1</v>
      </c>
      <c r="C15" s="28"/>
      <c r="D15" s="28"/>
      <c r="E15" s="34"/>
      <c r="F15" s="35"/>
      <c r="G15" s="31"/>
      <c r="H15" s="28"/>
      <c r="I15" s="28"/>
      <c r="J15" s="28"/>
      <c r="K15" s="24"/>
    </row>
    <row r="16" ht="15.75" customHeight="1">
      <c r="A16" s="24"/>
      <c r="B16" s="29" t="s">
        <v>369</v>
      </c>
      <c r="C16" s="28"/>
      <c r="D16" s="28"/>
      <c r="E16" s="36"/>
      <c r="F16" s="28"/>
      <c r="G16" s="36"/>
      <c r="H16" s="28"/>
      <c r="I16" s="28"/>
      <c r="J16" s="28"/>
      <c r="K16" s="24"/>
    </row>
    <row r="17" ht="15.75" customHeight="1">
      <c r="A17" s="24"/>
      <c r="B17" s="30" t="str">
        <f>'CT RR Calculations (Private)'!W13</f>
        <v>New Canaan HS - Team 1</v>
      </c>
      <c r="C17" s="31"/>
      <c r="D17" s="28"/>
      <c r="E17" s="36"/>
      <c r="F17" s="28"/>
      <c r="G17" s="36"/>
      <c r="H17" s="28"/>
      <c r="I17" s="28"/>
      <c r="J17" s="28"/>
      <c r="K17" s="24"/>
    </row>
    <row r="18" ht="15.75" customHeight="1">
      <c r="A18" s="24"/>
      <c r="B18" s="28"/>
      <c r="C18" s="32" t="s">
        <v>370</v>
      </c>
      <c r="D18" s="33" t="s">
        <v>102</v>
      </c>
      <c r="E18" s="30"/>
      <c r="F18" s="28"/>
      <c r="G18" s="36"/>
      <c r="H18" s="28"/>
      <c r="I18" s="28"/>
      <c r="J18" s="28"/>
      <c r="K18" s="24"/>
    </row>
    <row r="19" ht="15.75" customHeight="1">
      <c r="A19" s="24"/>
      <c r="B19" s="28" t="str">
        <f>'CT RR Calculations (Private)'!W9</f>
        <v>Loomis Chaffee - Team 1</v>
      </c>
      <c r="C19" s="34"/>
      <c r="D19" s="35"/>
      <c r="E19" s="28"/>
      <c r="F19" s="28"/>
      <c r="G19" s="36"/>
      <c r="H19" s="28"/>
      <c r="I19" s="28"/>
      <c r="J19" s="28"/>
      <c r="K19" s="24"/>
    </row>
    <row r="20" ht="15.75" customHeight="1">
      <c r="A20" s="24"/>
      <c r="B20" s="29" t="s">
        <v>371</v>
      </c>
      <c r="C20" s="30"/>
      <c r="D20" s="28"/>
      <c r="E20" s="28"/>
      <c r="F20" s="28"/>
      <c r="G20" s="36"/>
      <c r="H20" s="28"/>
      <c r="I20" s="28"/>
      <c r="J20" s="28"/>
      <c r="K20" s="24"/>
    </row>
    <row r="21" ht="15.75" customHeight="1">
      <c r="A21" s="24"/>
      <c r="B21" s="30" t="str">
        <f>'CT RR Calculations (Private)'!W22</f>
        <v>Conard HS - Team 2</v>
      </c>
      <c r="C21" s="28"/>
      <c r="D21" s="28"/>
      <c r="E21" s="28"/>
      <c r="F21" s="28"/>
      <c r="G21" s="36"/>
      <c r="H21" s="28"/>
      <c r="I21" s="28"/>
      <c r="J21" s="28"/>
      <c r="K21" s="24"/>
    </row>
    <row r="22" ht="15.75" customHeight="1">
      <c r="A22" s="24"/>
      <c r="B22" s="28"/>
      <c r="C22" s="28"/>
      <c r="D22" s="28"/>
      <c r="E22" s="28"/>
      <c r="F22" s="28"/>
      <c r="G22" s="32" t="s">
        <v>366</v>
      </c>
      <c r="H22" s="33" t="s">
        <v>102</v>
      </c>
      <c r="I22" s="28"/>
      <c r="J22" s="28"/>
      <c r="K22" s="24"/>
    </row>
    <row r="23" ht="15.75" customHeight="1">
      <c r="A23" s="24"/>
      <c r="B23" s="28" t="str">
        <f>'CT RR Calculations (Private)'!W10</f>
        <v>Rocky Hill HS - Team 1</v>
      </c>
      <c r="C23" s="28"/>
      <c r="D23" s="28"/>
      <c r="E23" s="28"/>
      <c r="F23" s="28"/>
      <c r="G23" s="34"/>
      <c r="H23" s="35"/>
      <c r="I23" s="31"/>
      <c r="J23" s="28"/>
      <c r="K23" s="24"/>
    </row>
    <row r="24" ht="15.75" customHeight="1">
      <c r="A24" s="24"/>
      <c r="B24" s="29" t="s">
        <v>372</v>
      </c>
      <c r="C24" s="28"/>
      <c r="D24" s="28"/>
      <c r="E24" s="28"/>
      <c r="F24" s="28"/>
      <c r="G24" s="36"/>
      <c r="H24" s="28"/>
      <c r="I24" s="36"/>
      <c r="J24" s="28"/>
      <c r="K24" s="24"/>
    </row>
    <row r="25" ht="15.75" customHeight="1">
      <c r="A25" s="24"/>
      <c r="B25" s="30" t="str">
        <f>'CT RR Calculations (Private)'!W11</f>
        <v>Amity Regional HS</v>
      </c>
      <c r="C25" s="31"/>
      <c r="D25" s="28"/>
      <c r="E25" s="28"/>
      <c r="F25" s="28"/>
      <c r="G25" s="36"/>
      <c r="H25" s="28"/>
      <c r="I25" s="36"/>
      <c r="J25" s="28"/>
      <c r="K25" s="24"/>
    </row>
    <row r="26" ht="15.75" customHeight="1">
      <c r="A26" s="24"/>
      <c r="B26" s="28"/>
      <c r="C26" s="32" t="s">
        <v>368</v>
      </c>
      <c r="D26" s="33" t="s">
        <v>102</v>
      </c>
      <c r="E26" s="28"/>
      <c r="F26" s="28"/>
      <c r="G26" s="36"/>
      <c r="H26" s="28"/>
      <c r="I26" s="36"/>
      <c r="J26" s="28"/>
      <c r="K26" s="24"/>
    </row>
    <row r="27" ht="15.75" customHeight="1">
      <c r="A27" s="24"/>
      <c r="B27" s="28" t="str">
        <f>'CT RR Calculations (Private)'!W8</f>
        <v>Farmington HS - Team 2</v>
      </c>
      <c r="C27" s="34"/>
      <c r="D27" s="35"/>
      <c r="E27" s="31"/>
      <c r="F27" s="28"/>
      <c r="G27" s="36"/>
      <c r="H27" s="28"/>
      <c r="I27" s="36"/>
      <c r="J27" s="28"/>
      <c r="K27" s="24"/>
    </row>
    <row r="28" ht="15.75" customHeight="1">
      <c r="A28" s="24"/>
      <c r="B28" s="29" t="s">
        <v>373</v>
      </c>
      <c r="C28" s="30"/>
      <c r="D28" s="28"/>
      <c r="E28" s="36"/>
      <c r="F28" s="28"/>
      <c r="G28" s="36"/>
      <c r="H28" s="28"/>
      <c r="I28" s="36"/>
      <c r="J28" s="28"/>
      <c r="K28" s="24"/>
    </row>
    <row r="29" ht="15.75" customHeight="1">
      <c r="A29" s="24"/>
      <c r="B29" s="30" t="str">
        <f>'CT RR Calculations (Private)'!W12</f>
        <v>Greenwich HS - Team 2</v>
      </c>
      <c r="C29" s="28"/>
      <c r="D29" s="28"/>
      <c r="E29" s="36"/>
      <c r="F29" s="28"/>
      <c r="G29" s="36"/>
      <c r="H29" s="28"/>
      <c r="I29" s="36"/>
      <c r="J29" s="28"/>
      <c r="K29" s="24"/>
    </row>
    <row r="30" ht="15.75" customHeight="1">
      <c r="A30" s="24"/>
      <c r="B30" s="28"/>
      <c r="C30" s="28"/>
      <c r="D30" s="28"/>
      <c r="E30" s="32" t="s">
        <v>370</v>
      </c>
      <c r="F30" s="33" t="s">
        <v>102</v>
      </c>
      <c r="G30" s="30"/>
      <c r="H30" s="28"/>
      <c r="I30" s="36"/>
      <c r="J30" s="28"/>
      <c r="K30" s="24"/>
    </row>
    <row r="31" ht="15.75" customHeight="1">
      <c r="A31" s="24"/>
      <c r="B31" s="28" t="str">
        <f>'CT RR Calculations (Private)'!W6</f>
        <v>Greenwich HS - Team 1</v>
      </c>
      <c r="C31" s="28"/>
      <c r="D31" s="28"/>
      <c r="E31" s="34"/>
      <c r="F31" s="35"/>
      <c r="G31" s="28"/>
      <c r="H31" s="28"/>
      <c r="I31" s="32" t="s">
        <v>366</v>
      </c>
      <c r="J31" s="28"/>
      <c r="K31" s="24"/>
    </row>
    <row r="32" ht="15.75" customHeight="1">
      <c r="A32" s="24"/>
      <c r="B32" s="29" t="s">
        <v>374</v>
      </c>
      <c r="C32" s="28"/>
      <c r="D32" s="28"/>
      <c r="E32" s="36"/>
      <c r="F32" s="28"/>
      <c r="G32" s="28"/>
      <c r="H32" s="28"/>
      <c r="I32" s="34"/>
      <c r="J32" s="37"/>
      <c r="K32" s="24"/>
    </row>
    <row r="33" ht="15.75" customHeight="1">
      <c r="A33" s="24"/>
      <c r="B33" s="30" t="str">
        <f>'CT RR Calculations (Private)'!W14</f>
        <v>Univ HS Sci &amp; Eng</v>
      </c>
      <c r="C33" s="31"/>
      <c r="D33" s="28"/>
      <c r="E33" s="36"/>
      <c r="F33" s="28"/>
      <c r="G33" s="28"/>
      <c r="H33" s="28"/>
      <c r="I33" s="36"/>
      <c r="J33" s="28"/>
      <c r="K33" s="24"/>
    </row>
    <row r="34" ht="15.75" customHeight="1">
      <c r="A34" s="24"/>
      <c r="B34" s="28"/>
      <c r="C34" s="32" t="s">
        <v>375</v>
      </c>
      <c r="D34" s="33" t="s">
        <v>102</v>
      </c>
      <c r="E34" s="30"/>
      <c r="F34" s="28"/>
      <c r="G34" s="28"/>
      <c r="H34" s="28"/>
      <c r="I34" s="36"/>
      <c r="J34" s="28"/>
      <c r="K34" s="24"/>
    </row>
    <row r="35" ht="15.75" customHeight="1">
      <c r="A35" s="24"/>
      <c r="B35" s="28" t="str">
        <f>'CT RR Calculations (Private)'!W4</f>
        <v>Waterford HS - Team 1</v>
      </c>
      <c r="C35" s="34"/>
      <c r="D35" s="35"/>
      <c r="E35" s="28"/>
      <c r="F35" s="28"/>
      <c r="G35" s="28"/>
      <c r="H35" s="28"/>
      <c r="I35" s="36"/>
      <c r="J35" s="28"/>
      <c r="K35" s="24"/>
    </row>
    <row r="36" ht="15.75" customHeight="1">
      <c r="A36" s="24"/>
      <c r="B36" s="29" t="s">
        <v>376</v>
      </c>
      <c r="C36" s="30"/>
      <c r="D36" s="28"/>
      <c r="E36" s="28"/>
      <c r="F36" s="28"/>
      <c r="G36" s="28"/>
      <c r="H36" s="28"/>
      <c r="I36" s="36"/>
      <c r="J36" s="28"/>
      <c r="K36" s="24"/>
    </row>
    <row r="37" ht="15.75" customHeight="1">
      <c r="A37" s="24"/>
      <c r="B37" s="30" t="str">
        <f>'CT RR Calculations (Private)'!W16</f>
        <v>South Windsor HS - Team 2</v>
      </c>
      <c r="C37" s="28"/>
      <c r="D37" s="28"/>
      <c r="E37" s="28"/>
      <c r="F37" s="28"/>
      <c r="G37" s="28"/>
      <c r="H37" s="28"/>
      <c r="I37" s="36"/>
      <c r="J37" s="28"/>
      <c r="K37" s="24"/>
    </row>
    <row r="38" ht="15.75" customHeight="1">
      <c r="A38" s="24"/>
      <c r="B38" s="28"/>
      <c r="C38" s="28"/>
      <c r="D38" s="28"/>
      <c r="E38" s="28"/>
      <c r="F38" s="28"/>
      <c r="G38" s="28"/>
      <c r="H38" s="31"/>
      <c r="I38" s="36"/>
      <c r="J38" s="28"/>
      <c r="K38" s="24"/>
    </row>
    <row r="39" ht="15.75" customHeight="1">
      <c r="A39" s="24"/>
      <c r="B39" s="28"/>
      <c r="C39" s="28"/>
      <c r="D39" s="28"/>
      <c r="E39" s="28"/>
      <c r="F39" s="28"/>
      <c r="G39" s="28"/>
      <c r="H39" s="36"/>
      <c r="I39" s="36"/>
      <c r="J39" s="28"/>
      <c r="K39" s="24"/>
    </row>
    <row r="40" ht="15.75" customHeight="1">
      <c r="A40" s="24"/>
      <c r="B40" s="28"/>
      <c r="C40" s="28"/>
      <c r="D40" s="28"/>
      <c r="E40" s="28"/>
      <c r="F40" s="31"/>
      <c r="G40" s="28"/>
      <c r="H40" s="36"/>
      <c r="I40" s="36"/>
      <c r="J40" s="28"/>
      <c r="K40" s="24"/>
    </row>
    <row r="41" ht="15.75" customHeight="1">
      <c r="A41" s="24"/>
      <c r="B41" s="28"/>
      <c r="C41" s="28"/>
      <c r="D41" s="29" t="s">
        <v>374</v>
      </c>
      <c r="E41" s="28"/>
      <c r="F41" s="32" t="s">
        <v>366</v>
      </c>
      <c r="G41" s="28"/>
      <c r="H41" s="32" t="s">
        <v>366</v>
      </c>
      <c r="I41" s="30"/>
      <c r="J41" s="28"/>
      <c r="K41" s="24"/>
    </row>
    <row r="42" ht="15.75" customHeight="1">
      <c r="A42" s="24"/>
      <c r="B42" s="28"/>
      <c r="C42" s="29" t="s">
        <v>365</v>
      </c>
      <c r="D42" s="30"/>
      <c r="E42" s="31"/>
      <c r="F42" s="34"/>
      <c r="G42" s="31"/>
      <c r="H42" s="34"/>
      <c r="I42" s="28"/>
      <c r="J42" s="28"/>
      <c r="K42" s="24"/>
    </row>
    <row r="43" ht="15.75" customHeight="1">
      <c r="A43" s="24"/>
      <c r="B43" s="28"/>
      <c r="C43" s="30"/>
      <c r="D43" s="28"/>
      <c r="E43" s="32" t="s">
        <v>375</v>
      </c>
      <c r="F43" s="30"/>
      <c r="G43" s="36"/>
      <c r="H43" s="36"/>
      <c r="I43" s="28"/>
      <c r="J43" s="28"/>
      <c r="K43" s="24"/>
    </row>
    <row r="44" ht="15.75" customHeight="1">
      <c r="A44" s="24"/>
      <c r="B44" s="28"/>
      <c r="C44" s="28"/>
      <c r="D44" s="28"/>
      <c r="E44" s="34"/>
      <c r="F44" s="28"/>
      <c r="G44" s="36"/>
      <c r="H44" s="36"/>
      <c r="I44" s="28"/>
      <c r="J44" s="28"/>
      <c r="K44" s="24"/>
    </row>
    <row r="45" ht="15.75" customHeight="1">
      <c r="A45" s="24"/>
      <c r="B45" s="28"/>
      <c r="C45" s="28"/>
      <c r="D45" s="29" t="s">
        <v>376</v>
      </c>
      <c r="E45" s="30"/>
      <c r="F45" s="28"/>
      <c r="G45" s="32" t="s">
        <v>370</v>
      </c>
      <c r="H45" s="30"/>
      <c r="I45" s="28"/>
      <c r="J45" s="28"/>
      <c r="K45" s="24"/>
    </row>
    <row r="46" ht="15.75" customHeight="1">
      <c r="A46" s="24"/>
      <c r="B46" s="28"/>
      <c r="C46" s="29" t="s">
        <v>367</v>
      </c>
      <c r="D46" s="30"/>
      <c r="E46" s="28"/>
      <c r="F46" s="28"/>
      <c r="G46" s="34"/>
      <c r="H46" s="28"/>
      <c r="I46" s="28"/>
      <c r="J46" s="28"/>
      <c r="K46" s="24"/>
    </row>
    <row r="47" ht="15.75" customHeight="1">
      <c r="A47" s="24"/>
      <c r="B47" s="28"/>
      <c r="C47" s="30"/>
      <c r="D47" s="28"/>
      <c r="E47" s="28"/>
      <c r="F47" s="28"/>
      <c r="G47" s="36"/>
      <c r="H47" s="28"/>
      <c r="I47" s="28"/>
      <c r="J47" s="28"/>
      <c r="K47" s="24"/>
    </row>
    <row r="48" ht="15.75" customHeight="1">
      <c r="A48" s="24"/>
      <c r="B48" s="28"/>
      <c r="C48" s="28"/>
      <c r="D48" s="28"/>
      <c r="E48" s="28"/>
      <c r="F48" s="31"/>
      <c r="G48" s="36"/>
      <c r="H48" s="28"/>
      <c r="I48" s="28"/>
      <c r="J48" s="28"/>
      <c r="K48" s="24"/>
    </row>
    <row r="49" ht="15.75" customHeight="1">
      <c r="A49" s="24"/>
      <c r="B49" s="28"/>
      <c r="C49" s="28"/>
      <c r="D49" s="29" t="s">
        <v>372</v>
      </c>
      <c r="E49" s="28"/>
      <c r="F49" s="32" t="s">
        <v>370</v>
      </c>
      <c r="G49" s="30"/>
      <c r="H49" s="28"/>
      <c r="I49" s="28"/>
      <c r="J49" s="28"/>
      <c r="K49" s="24"/>
    </row>
    <row r="50" ht="15.75" customHeight="1">
      <c r="A50" s="24"/>
      <c r="B50" s="28"/>
      <c r="C50" s="29" t="s">
        <v>369</v>
      </c>
      <c r="D50" s="30"/>
      <c r="E50" s="31"/>
      <c r="F50" s="34"/>
      <c r="G50" s="28"/>
      <c r="H50" s="28"/>
      <c r="I50" s="28"/>
      <c r="J50" s="28"/>
      <c r="K50" s="24"/>
    </row>
    <row r="51" ht="15.75" customHeight="1">
      <c r="A51" s="24"/>
      <c r="B51" s="28"/>
      <c r="C51" s="30"/>
      <c r="D51" s="28"/>
      <c r="E51" s="32" t="s">
        <v>366</v>
      </c>
      <c r="F51" s="30"/>
      <c r="G51" s="28"/>
      <c r="H51" s="28"/>
      <c r="I51" s="28"/>
      <c r="J51" s="28"/>
      <c r="K51" s="24"/>
    </row>
    <row r="52" ht="15.75" customHeight="1">
      <c r="A52" s="24"/>
      <c r="B52" s="28"/>
      <c r="C52" s="28"/>
      <c r="D52" s="28"/>
      <c r="E52" s="34"/>
      <c r="F52" s="28"/>
      <c r="G52" s="28"/>
      <c r="H52" s="28"/>
      <c r="I52" s="28"/>
      <c r="J52" s="28"/>
      <c r="K52" s="24"/>
    </row>
    <row r="53" ht="15.75" customHeight="1">
      <c r="A53" s="24"/>
      <c r="B53" s="28"/>
      <c r="C53" s="28"/>
      <c r="D53" s="29" t="s">
        <v>373</v>
      </c>
      <c r="E53" s="30"/>
      <c r="F53" s="28"/>
      <c r="G53" s="28"/>
      <c r="H53" s="28"/>
      <c r="I53" s="28"/>
      <c r="J53" s="28"/>
      <c r="K53" s="24"/>
    </row>
    <row r="54" ht="15.75" customHeight="1">
      <c r="A54" s="24"/>
      <c r="B54" s="28"/>
      <c r="C54" s="29" t="s">
        <v>371</v>
      </c>
      <c r="D54" s="30"/>
      <c r="E54" s="28"/>
      <c r="F54" s="28"/>
      <c r="G54" s="28"/>
      <c r="H54" s="28"/>
      <c r="I54" s="28"/>
      <c r="J54" s="28"/>
      <c r="K54" s="24"/>
    </row>
    <row r="55" ht="15.75" customHeight="1">
      <c r="A55" s="24"/>
      <c r="B55" s="28"/>
      <c r="C55" s="30"/>
      <c r="D55" s="28"/>
      <c r="E55" s="28"/>
      <c r="F55" s="28"/>
      <c r="G55" s="28"/>
      <c r="H55" s="28"/>
      <c r="I55" s="28"/>
      <c r="J55" s="28"/>
      <c r="K55" s="24"/>
    </row>
    <row r="56" ht="15.75" customHeight="1">
      <c r="A56" s="24"/>
      <c r="B56" s="28"/>
      <c r="C56" s="28"/>
      <c r="D56" s="28"/>
      <c r="E56" s="28"/>
      <c r="F56" s="28"/>
      <c r="G56" s="28"/>
      <c r="H56" s="28"/>
      <c r="I56" s="28"/>
      <c r="J56" s="28"/>
      <c r="K56" s="24"/>
    </row>
    <row r="57" ht="15.75" customHeight="1">
      <c r="A57" s="24"/>
      <c r="B57" s="28"/>
      <c r="C57" s="28"/>
      <c r="D57" s="28"/>
      <c r="E57" s="28"/>
      <c r="F57" s="28"/>
      <c r="G57" s="28"/>
      <c r="H57" s="28"/>
      <c r="I57" s="28"/>
      <c r="J57" s="28"/>
      <c r="K57" s="24"/>
    </row>
    <row r="58" ht="15.75" customHeight="1">
      <c r="A58" s="24"/>
      <c r="B58" s="28"/>
      <c r="C58" s="28"/>
      <c r="D58" s="28"/>
      <c r="E58" s="28"/>
      <c r="F58" s="28"/>
      <c r="G58" s="28"/>
      <c r="H58" s="28"/>
      <c r="I58" s="28"/>
      <c r="J58" s="28"/>
      <c r="K58" s="2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6:C27"/>
    <mergeCell ref="C34:C35"/>
    <mergeCell ref="F41:F42"/>
    <mergeCell ref="H41:H42"/>
    <mergeCell ref="E43:E44"/>
    <mergeCell ref="G45:G46"/>
    <mergeCell ref="F49:F50"/>
    <mergeCell ref="E51:E52"/>
    <mergeCell ref="B1:J2"/>
    <mergeCell ref="C10:C11"/>
    <mergeCell ref="E14:E15"/>
    <mergeCell ref="C18:C19"/>
    <mergeCell ref="G22:G23"/>
    <mergeCell ref="E30:E31"/>
    <mergeCell ref="I31:I3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1" width="23.75"/>
    <col customWidth="1" min="12" max="26" width="12.75"/>
  </cols>
  <sheetData>
    <row r="1" ht="15.75" customHeight="1">
      <c r="A1" s="24"/>
      <c r="B1" s="25" t="s">
        <v>377</v>
      </c>
      <c r="K1" s="24"/>
    </row>
    <row r="2" ht="15.75" customHeight="1">
      <c r="A2" s="24"/>
      <c r="K2" s="24"/>
    </row>
    <row r="3" ht="15.75" customHeight="1">
      <c r="A3" s="24"/>
      <c r="B3" s="26" t="s">
        <v>91</v>
      </c>
      <c r="C3" s="26" t="s">
        <v>92</v>
      </c>
      <c r="D3" s="26" t="s">
        <v>93</v>
      </c>
      <c r="E3" s="26" t="s">
        <v>94</v>
      </c>
      <c r="F3" s="26" t="s">
        <v>95</v>
      </c>
      <c r="G3" s="26" t="s">
        <v>96</v>
      </c>
      <c r="H3" s="26" t="s">
        <v>97</v>
      </c>
      <c r="I3" s="26" t="s">
        <v>98</v>
      </c>
      <c r="J3" s="26" t="s">
        <v>99</v>
      </c>
      <c r="K3" s="24"/>
    </row>
    <row r="4" ht="15.75" customHeight="1">
      <c r="A4" s="24"/>
      <c r="B4" s="27">
        <v>0.5833333333333334</v>
      </c>
      <c r="C4" s="27">
        <f t="shared" ref="C4:J4" si="1">B4+"00:30"</f>
        <v>0.6041666667</v>
      </c>
      <c r="D4" s="27">
        <f t="shared" si="1"/>
        <v>0.625</v>
      </c>
      <c r="E4" s="27">
        <f t="shared" si="1"/>
        <v>0.6458333333</v>
      </c>
      <c r="F4" s="27">
        <f t="shared" si="1"/>
        <v>0.6666666667</v>
      </c>
      <c r="G4" s="27">
        <f t="shared" si="1"/>
        <v>0.6875</v>
      </c>
      <c r="H4" s="27">
        <f t="shared" si="1"/>
        <v>0.7083333333</v>
      </c>
      <c r="I4" s="27">
        <f t="shared" si="1"/>
        <v>0.7291666667</v>
      </c>
      <c r="J4" s="27">
        <f t="shared" si="1"/>
        <v>0.75</v>
      </c>
      <c r="K4" s="24"/>
    </row>
    <row r="5" ht="15.75" customHeight="1">
      <c r="A5" s="24"/>
      <c r="B5" s="28"/>
      <c r="C5" s="28"/>
      <c r="D5" s="28"/>
      <c r="E5" s="28"/>
      <c r="F5" s="28"/>
      <c r="G5" s="28"/>
      <c r="H5" s="28"/>
      <c r="I5" s="28"/>
      <c r="J5" s="28"/>
      <c r="K5" s="24"/>
    </row>
    <row r="6" ht="15.75" customHeight="1">
      <c r="A6" s="24"/>
      <c r="B6" s="28"/>
      <c r="C6" s="28"/>
      <c r="D6" s="28"/>
      <c r="E6" s="28"/>
      <c r="F6" s="28"/>
      <c r="G6" s="28"/>
      <c r="H6" s="28"/>
      <c r="I6" s="28"/>
      <c r="J6" s="28"/>
      <c r="K6" s="24"/>
    </row>
    <row r="7" ht="15.75" customHeight="1">
      <c r="A7" s="24"/>
      <c r="B7" s="28"/>
      <c r="C7" s="28"/>
      <c r="D7" s="28"/>
      <c r="E7" s="28"/>
      <c r="F7" s="28"/>
      <c r="G7" s="28"/>
      <c r="H7" s="28"/>
      <c r="I7" s="28"/>
      <c r="J7" s="28"/>
      <c r="K7" s="24"/>
    </row>
    <row r="8" ht="15.75" customHeight="1">
      <c r="A8" s="24"/>
      <c r="B8" s="29" t="s">
        <v>365</v>
      </c>
      <c r="C8" s="28"/>
      <c r="D8" s="28"/>
      <c r="E8" s="28"/>
      <c r="F8" s="28"/>
      <c r="G8" s="28"/>
      <c r="H8" s="28"/>
      <c r="I8" s="28"/>
      <c r="J8" s="28"/>
      <c r="K8" s="24"/>
    </row>
    <row r="9" ht="15.75" customHeight="1">
      <c r="A9" s="24"/>
      <c r="B9" s="30"/>
      <c r="C9" s="31"/>
      <c r="D9" s="28"/>
      <c r="E9" s="28"/>
      <c r="F9" s="28"/>
      <c r="G9" s="28"/>
      <c r="H9" s="28"/>
      <c r="I9" s="28"/>
      <c r="J9" s="28"/>
      <c r="K9" s="24"/>
    </row>
    <row r="10" ht="15.75" customHeight="1">
      <c r="A10" s="24"/>
      <c r="B10" s="28"/>
      <c r="C10" s="32" t="s">
        <v>366</v>
      </c>
      <c r="D10" s="33" t="s">
        <v>102</v>
      </c>
      <c r="E10" s="28"/>
      <c r="F10" s="28"/>
      <c r="G10" s="28"/>
      <c r="H10" s="28"/>
      <c r="I10" s="28"/>
      <c r="J10" s="28"/>
      <c r="K10" s="24"/>
    </row>
    <row r="11" ht="15.75" customHeight="1">
      <c r="A11" s="24"/>
      <c r="B11" s="28"/>
      <c r="C11" s="34"/>
      <c r="D11" s="35"/>
      <c r="E11" s="31"/>
      <c r="F11" s="28"/>
      <c r="G11" s="28"/>
      <c r="H11" s="28"/>
      <c r="I11" s="28"/>
      <c r="J11" s="28"/>
      <c r="K11" s="24"/>
    </row>
    <row r="12" ht="15.75" customHeight="1">
      <c r="A12" s="24"/>
      <c r="B12" s="29" t="s">
        <v>367</v>
      </c>
      <c r="C12" s="30"/>
      <c r="D12" s="28"/>
      <c r="E12" s="36"/>
      <c r="F12" s="28"/>
      <c r="G12" s="28"/>
      <c r="H12" s="28"/>
      <c r="I12" s="28"/>
      <c r="J12" s="28"/>
      <c r="K12" s="24"/>
    </row>
    <row r="13" ht="15.75" customHeight="1">
      <c r="A13" s="24"/>
      <c r="B13" s="30"/>
      <c r="C13" s="28"/>
      <c r="D13" s="28"/>
      <c r="E13" s="36"/>
      <c r="F13" s="28"/>
      <c r="G13" s="28"/>
      <c r="H13" s="28"/>
      <c r="I13" s="28"/>
      <c r="J13" s="28"/>
      <c r="K13" s="24"/>
    </row>
    <row r="14" ht="15.75" customHeight="1">
      <c r="A14" s="24"/>
      <c r="B14" s="28"/>
      <c r="C14" s="28"/>
      <c r="D14" s="28"/>
      <c r="E14" s="32" t="s">
        <v>368</v>
      </c>
      <c r="F14" s="33" t="s">
        <v>102</v>
      </c>
      <c r="G14" s="28"/>
      <c r="H14" s="28"/>
      <c r="I14" s="28"/>
      <c r="J14" s="28"/>
      <c r="K14" s="24"/>
    </row>
    <row r="15" ht="15.75" customHeight="1">
      <c r="A15" s="24"/>
      <c r="B15" s="28"/>
      <c r="C15" s="28"/>
      <c r="D15" s="28"/>
      <c r="E15" s="34"/>
      <c r="F15" s="35"/>
      <c r="G15" s="31"/>
      <c r="H15" s="28"/>
      <c r="I15" s="28"/>
      <c r="J15" s="28"/>
      <c r="K15" s="24"/>
    </row>
    <row r="16" ht="15.75" customHeight="1">
      <c r="A16" s="24"/>
      <c r="B16" s="29" t="s">
        <v>369</v>
      </c>
      <c r="C16" s="28"/>
      <c r="D16" s="28"/>
      <c r="E16" s="36"/>
      <c r="F16" s="28"/>
      <c r="G16" s="36"/>
      <c r="H16" s="28"/>
      <c r="I16" s="28"/>
      <c r="J16" s="28"/>
      <c r="K16" s="24"/>
    </row>
    <row r="17" ht="15.75" customHeight="1">
      <c r="A17" s="24"/>
      <c r="B17" s="30"/>
      <c r="C17" s="31"/>
      <c r="D17" s="28"/>
      <c r="E17" s="36"/>
      <c r="F17" s="28"/>
      <c r="G17" s="36"/>
      <c r="H17" s="28"/>
      <c r="I17" s="28"/>
      <c r="J17" s="28"/>
      <c r="K17" s="24"/>
    </row>
    <row r="18" ht="15.75" customHeight="1">
      <c r="A18" s="24"/>
      <c r="B18" s="28"/>
      <c r="C18" s="32" t="s">
        <v>370</v>
      </c>
      <c r="D18" s="33" t="s">
        <v>102</v>
      </c>
      <c r="E18" s="30"/>
      <c r="F18" s="28"/>
      <c r="G18" s="36"/>
      <c r="H18" s="28"/>
      <c r="I18" s="28"/>
      <c r="J18" s="28"/>
      <c r="K18" s="24"/>
    </row>
    <row r="19" ht="15.75" customHeight="1">
      <c r="A19" s="24"/>
      <c r="B19" s="28"/>
      <c r="C19" s="34"/>
      <c r="D19" s="35"/>
      <c r="E19" s="28"/>
      <c r="F19" s="28"/>
      <c r="G19" s="36"/>
      <c r="H19" s="28"/>
      <c r="I19" s="28"/>
      <c r="J19" s="28"/>
      <c r="K19" s="24"/>
    </row>
    <row r="20" ht="15.75" customHeight="1">
      <c r="A20" s="24"/>
      <c r="B20" s="29" t="s">
        <v>371</v>
      </c>
      <c r="C20" s="30"/>
      <c r="D20" s="28"/>
      <c r="E20" s="28"/>
      <c r="F20" s="28"/>
      <c r="G20" s="36"/>
      <c r="H20" s="28"/>
      <c r="I20" s="28"/>
      <c r="J20" s="28"/>
      <c r="K20" s="24"/>
    </row>
    <row r="21" ht="15.75" customHeight="1">
      <c r="A21" s="24"/>
      <c r="B21" s="30"/>
      <c r="C21" s="28"/>
      <c r="D21" s="28"/>
      <c r="E21" s="28"/>
      <c r="F21" s="28"/>
      <c r="G21" s="36"/>
      <c r="H21" s="28"/>
      <c r="I21" s="28"/>
      <c r="J21" s="28"/>
      <c r="K21" s="24"/>
    </row>
    <row r="22" ht="15.75" customHeight="1">
      <c r="A22" s="24"/>
      <c r="B22" s="28"/>
      <c r="C22" s="28"/>
      <c r="D22" s="28"/>
      <c r="E22" s="28"/>
      <c r="F22" s="28"/>
      <c r="G22" s="32" t="s">
        <v>366</v>
      </c>
      <c r="H22" s="33" t="s">
        <v>102</v>
      </c>
      <c r="I22" s="28"/>
      <c r="J22" s="28"/>
      <c r="K22" s="24"/>
    </row>
    <row r="23" ht="15.75" customHeight="1">
      <c r="A23" s="24"/>
      <c r="B23" s="28"/>
      <c r="C23" s="28"/>
      <c r="D23" s="28"/>
      <c r="E23" s="28"/>
      <c r="F23" s="28"/>
      <c r="G23" s="34"/>
      <c r="H23" s="35"/>
      <c r="I23" s="31"/>
      <c r="J23" s="28"/>
      <c r="K23" s="24"/>
    </row>
    <row r="24" ht="15.75" customHeight="1">
      <c r="A24" s="24"/>
      <c r="B24" s="29" t="s">
        <v>372</v>
      </c>
      <c r="C24" s="28"/>
      <c r="D24" s="28"/>
      <c r="E24" s="28"/>
      <c r="F24" s="28"/>
      <c r="G24" s="36"/>
      <c r="H24" s="28"/>
      <c r="I24" s="36"/>
      <c r="J24" s="28"/>
      <c r="K24" s="24"/>
    </row>
    <row r="25" ht="15.75" customHeight="1">
      <c r="A25" s="24"/>
      <c r="B25" s="30"/>
      <c r="C25" s="31"/>
      <c r="D25" s="28"/>
      <c r="E25" s="28"/>
      <c r="F25" s="28"/>
      <c r="G25" s="36"/>
      <c r="H25" s="28"/>
      <c r="I25" s="36"/>
      <c r="J25" s="28"/>
      <c r="K25" s="24"/>
    </row>
    <row r="26" ht="15.75" customHeight="1">
      <c r="A26" s="24"/>
      <c r="B26" s="28"/>
      <c r="C26" s="32" t="s">
        <v>368</v>
      </c>
      <c r="D26" s="33" t="s">
        <v>102</v>
      </c>
      <c r="E26" s="28"/>
      <c r="F26" s="28"/>
      <c r="G26" s="36"/>
      <c r="H26" s="28"/>
      <c r="I26" s="36"/>
      <c r="J26" s="28"/>
      <c r="K26" s="24"/>
    </row>
    <row r="27" ht="15.75" customHeight="1">
      <c r="A27" s="24"/>
      <c r="B27" s="28"/>
      <c r="C27" s="34"/>
      <c r="D27" s="35"/>
      <c r="E27" s="31"/>
      <c r="F27" s="28"/>
      <c r="G27" s="36"/>
      <c r="H27" s="28"/>
      <c r="I27" s="36"/>
      <c r="J27" s="28"/>
      <c r="K27" s="24"/>
    </row>
    <row r="28" ht="15.75" customHeight="1">
      <c r="A28" s="24"/>
      <c r="B28" s="29" t="s">
        <v>373</v>
      </c>
      <c r="C28" s="30"/>
      <c r="D28" s="28"/>
      <c r="E28" s="36"/>
      <c r="F28" s="28"/>
      <c r="G28" s="36"/>
      <c r="H28" s="28"/>
      <c r="I28" s="36"/>
      <c r="J28" s="28"/>
      <c r="K28" s="24"/>
    </row>
    <row r="29" ht="15.75" customHeight="1">
      <c r="A29" s="24"/>
      <c r="B29" s="30"/>
      <c r="C29" s="28"/>
      <c r="D29" s="28"/>
      <c r="E29" s="36"/>
      <c r="F29" s="28"/>
      <c r="G29" s="36"/>
      <c r="H29" s="28"/>
      <c r="I29" s="36"/>
      <c r="J29" s="28"/>
      <c r="K29" s="24"/>
    </row>
    <row r="30" ht="15.75" customHeight="1">
      <c r="A30" s="24"/>
      <c r="B30" s="28"/>
      <c r="C30" s="28"/>
      <c r="D30" s="28"/>
      <c r="E30" s="32" t="s">
        <v>370</v>
      </c>
      <c r="F30" s="33" t="s">
        <v>102</v>
      </c>
      <c r="G30" s="30"/>
      <c r="H30" s="28"/>
      <c r="I30" s="36"/>
      <c r="J30" s="28"/>
      <c r="K30" s="24"/>
    </row>
    <row r="31" ht="15.75" customHeight="1">
      <c r="A31" s="24"/>
      <c r="B31" s="28"/>
      <c r="C31" s="28"/>
      <c r="D31" s="28"/>
      <c r="E31" s="34"/>
      <c r="F31" s="35"/>
      <c r="G31" s="28"/>
      <c r="H31" s="28"/>
      <c r="I31" s="32" t="s">
        <v>366</v>
      </c>
      <c r="J31" s="28"/>
      <c r="K31" s="24"/>
    </row>
    <row r="32" ht="15.75" customHeight="1">
      <c r="A32" s="24"/>
      <c r="B32" s="29" t="s">
        <v>374</v>
      </c>
      <c r="C32" s="28"/>
      <c r="D32" s="28"/>
      <c r="E32" s="36"/>
      <c r="F32" s="28"/>
      <c r="G32" s="28"/>
      <c r="H32" s="28"/>
      <c r="I32" s="34"/>
      <c r="J32" s="37"/>
      <c r="K32" s="24"/>
    </row>
    <row r="33" ht="15.75" customHeight="1">
      <c r="A33" s="24"/>
      <c r="B33" s="30"/>
      <c r="C33" s="31"/>
      <c r="D33" s="28"/>
      <c r="E33" s="36"/>
      <c r="F33" s="28"/>
      <c r="G33" s="28"/>
      <c r="H33" s="28"/>
      <c r="I33" s="36"/>
      <c r="J33" s="28"/>
      <c r="K33" s="24"/>
    </row>
    <row r="34" ht="15.75" customHeight="1">
      <c r="A34" s="24"/>
      <c r="B34" s="28"/>
      <c r="C34" s="32" t="s">
        <v>375</v>
      </c>
      <c r="D34" s="33" t="s">
        <v>102</v>
      </c>
      <c r="E34" s="30"/>
      <c r="F34" s="28"/>
      <c r="G34" s="28"/>
      <c r="H34" s="28"/>
      <c r="I34" s="36"/>
      <c r="J34" s="28"/>
      <c r="K34" s="24"/>
    </row>
    <row r="35" ht="15.75" customHeight="1">
      <c r="A35" s="24"/>
      <c r="B35" s="28"/>
      <c r="C35" s="34"/>
      <c r="D35" s="35"/>
      <c r="E35" s="28"/>
      <c r="F35" s="28"/>
      <c r="G35" s="28"/>
      <c r="H35" s="28"/>
      <c r="I35" s="36"/>
      <c r="J35" s="28"/>
      <c r="K35" s="24"/>
    </row>
    <row r="36" ht="15.75" customHeight="1">
      <c r="A36" s="24"/>
      <c r="B36" s="29" t="s">
        <v>376</v>
      </c>
      <c r="C36" s="30"/>
      <c r="D36" s="28"/>
      <c r="E36" s="28"/>
      <c r="F36" s="28"/>
      <c r="G36" s="28"/>
      <c r="H36" s="28"/>
      <c r="I36" s="36"/>
      <c r="J36" s="28"/>
      <c r="K36" s="24"/>
    </row>
    <row r="37" ht="15.75" customHeight="1">
      <c r="A37" s="24"/>
      <c r="B37" s="30"/>
      <c r="C37" s="28"/>
      <c r="D37" s="28"/>
      <c r="E37" s="28"/>
      <c r="F37" s="28"/>
      <c r="G37" s="28"/>
      <c r="H37" s="28"/>
      <c r="I37" s="36"/>
      <c r="J37" s="28"/>
      <c r="K37" s="24"/>
    </row>
    <row r="38" ht="15.75" customHeight="1">
      <c r="A38" s="24"/>
      <c r="B38" s="28"/>
      <c r="C38" s="28"/>
      <c r="D38" s="28"/>
      <c r="E38" s="28"/>
      <c r="F38" s="28"/>
      <c r="G38" s="28"/>
      <c r="H38" s="31"/>
      <c r="I38" s="36"/>
      <c r="J38" s="28"/>
      <c r="K38" s="24"/>
    </row>
    <row r="39" ht="15.75" customHeight="1">
      <c r="A39" s="24"/>
      <c r="B39" s="28"/>
      <c r="C39" s="28"/>
      <c r="D39" s="28"/>
      <c r="E39" s="28"/>
      <c r="F39" s="28"/>
      <c r="G39" s="28"/>
      <c r="H39" s="36"/>
      <c r="I39" s="36"/>
      <c r="J39" s="28"/>
      <c r="K39" s="24"/>
    </row>
    <row r="40" ht="15.75" customHeight="1">
      <c r="A40" s="24"/>
      <c r="B40" s="28"/>
      <c r="C40" s="28"/>
      <c r="D40" s="28"/>
      <c r="E40" s="28"/>
      <c r="F40" s="31"/>
      <c r="G40" s="28"/>
      <c r="H40" s="36"/>
      <c r="I40" s="36"/>
      <c r="J40" s="28"/>
      <c r="K40" s="24"/>
    </row>
    <row r="41" ht="15.75" customHeight="1">
      <c r="A41" s="24"/>
      <c r="B41" s="28"/>
      <c r="C41" s="28"/>
      <c r="D41" s="29" t="s">
        <v>374</v>
      </c>
      <c r="E41" s="28"/>
      <c r="F41" s="32" t="s">
        <v>366</v>
      </c>
      <c r="G41" s="28"/>
      <c r="H41" s="32" t="s">
        <v>366</v>
      </c>
      <c r="I41" s="30"/>
      <c r="J41" s="28"/>
      <c r="K41" s="24"/>
    </row>
    <row r="42" ht="15.75" customHeight="1">
      <c r="A42" s="24"/>
      <c r="B42" s="28"/>
      <c r="C42" s="29" t="s">
        <v>365</v>
      </c>
      <c r="D42" s="30"/>
      <c r="E42" s="31"/>
      <c r="F42" s="34"/>
      <c r="G42" s="31"/>
      <c r="H42" s="34"/>
      <c r="I42" s="28"/>
      <c r="J42" s="28"/>
      <c r="K42" s="24"/>
    </row>
    <row r="43" ht="15.75" customHeight="1">
      <c r="A43" s="24"/>
      <c r="B43" s="28"/>
      <c r="C43" s="30"/>
      <c r="D43" s="28"/>
      <c r="E43" s="32" t="s">
        <v>375</v>
      </c>
      <c r="F43" s="30"/>
      <c r="G43" s="36"/>
      <c r="H43" s="36"/>
      <c r="I43" s="28"/>
      <c r="J43" s="28"/>
      <c r="K43" s="24"/>
    </row>
    <row r="44" ht="15.75" customHeight="1">
      <c r="A44" s="24"/>
      <c r="B44" s="28"/>
      <c r="C44" s="28"/>
      <c r="D44" s="28"/>
      <c r="E44" s="34"/>
      <c r="F44" s="28"/>
      <c r="G44" s="36"/>
      <c r="H44" s="36"/>
      <c r="I44" s="28"/>
      <c r="J44" s="28"/>
      <c r="K44" s="24"/>
    </row>
    <row r="45" ht="15.75" customHeight="1">
      <c r="A45" s="24"/>
      <c r="B45" s="28"/>
      <c r="C45" s="28"/>
      <c r="D45" s="29" t="s">
        <v>376</v>
      </c>
      <c r="E45" s="30"/>
      <c r="F45" s="28"/>
      <c r="G45" s="32" t="s">
        <v>370</v>
      </c>
      <c r="H45" s="30"/>
      <c r="I45" s="28"/>
      <c r="J45" s="28"/>
      <c r="K45" s="24"/>
    </row>
    <row r="46" ht="15.75" customHeight="1">
      <c r="A46" s="24"/>
      <c r="B46" s="28"/>
      <c r="C46" s="29" t="s">
        <v>367</v>
      </c>
      <c r="D46" s="30"/>
      <c r="E46" s="28"/>
      <c r="F46" s="28"/>
      <c r="G46" s="34"/>
      <c r="H46" s="28"/>
      <c r="I46" s="28"/>
      <c r="J46" s="28"/>
      <c r="K46" s="24"/>
    </row>
    <row r="47" ht="15.75" customHeight="1">
      <c r="A47" s="24"/>
      <c r="B47" s="28"/>
      <c r="C47" s="30"/>
      <c r="D47" s="28"/>
      <c r="E47" s="28"/>
      <c r="F47" s="28"/>
      <c r="G47" s="36"/>
      <c r="H47" s="28"/>
      <c r="I47" s="28"/>
      <c r="J47" s="28"/>
      <c r="K47" s="24"/>
    </row>
    <row r="48" ht="15.75" customHeight="1">
      <c r="A48" s="24"/>
      <c r="B48" s="28"/>
      <c r="C48" s="28"/>
      <c r="D48" s="28"/>
      <c r="E48" s="28"/>
      <c r="F48" s="31"/>
      <c r="G48" s="36"/>
      <c r="H48" s="28"/>
      <c r="I48" s="28"/>
      <c r="J48" s="28"/>
      <c r="K48" s="24"/>
    </row>
    <row r="49" ht="15.75" customHeight="1">
      <c r="A49" s="24"/>
      <c r="B49" s="28"/>
      <c r="C49" s="28"/>
      <c r="D49" s="29" t="s">
        <v>372</v>
      </c>
      <c r="E49" s="28"/>
      <c r="F49" s="32" t="s">
        <v>370</v>
      </c>
      <c r="G49" s="30"/>
      <c r="H49" s="28"/>
      <c r="I49" s="28"/>
      <c r="J49" s="28"/>
      <c r="K49" s="24"/>
    </row>
    <row r="50" ht="15.75" customHeight="1">
      <c r="A50" s="24"/>
      <c r="B50" s="28"/>
      <c r="C50" s="29" t="s">
        <v>369</v>
      </c>
      <c r="D50" s="30"/>
      <c r="E50" s="31"/>
      <c r="F50" s="34"/>
      <c r="G50" s="28"/>
      <c r="H50" s="28"/>
      <c r="I50" s="28"/>
      <c r="J50" s="28"/>
      <c r="K50" s="24"/>
    </row>
    <row r="51" ht="15.75" customHeight="1">
      <c r="A51" s="24"/>
      <c r="B51" s="28"/>
      <c r="C51" s="30"/>
      <c r="D51" s="28"/>
      <c r="E51" s="32" t="s">
        <v>366</v>
      </c>
      <c r="F51" s="30"/>
      <c r="G51" s="28"/>
      <c r="H51" s="28"/>
      <c r="I51" s="28"/>
      <c r="J51" s="28"/>
      <c r="K51" s="24"/>
    </row>
    <row r="52" ht="15.75" customHeight="1">
      <c r="A52" s="24"/>
      <c r="B52" s="28"/>
      <c r="C52" s="28"/>
      <c r="D52" s="28"/>
      <c r="E52" s="34"/>
      <c r="F52" s="28"/>
      <c r="G52" s="28"/>
      <c r="H52" s="28"/>
      <c r="I52" s="28"/>
      <c r="J52" s="28"/>
      <c r="K52" s="24"/>
    </row>
    <row r="53" ht="15.75" customHeight="1">
      <c r="A53" s="24"/>
      <c r="B53" s="28"/>
      <c r="C53" s="28"/>
      <c r="D53" s="29" t="s">
        <v>373</v>
      </c>
      <c r="E53" s="30"/>
      <c r="F53" s="28"/>
      <c r="G53" s="28"/>
      <c r="H53" s="28"/>
      <c r="I53" s="28"/>
      <c r="J53" s="28"/>
      <c r="K53" s="24"/>
    </row>
    <row r="54" ht="15.75" customHeight="1">
      <c r="A54" s="24"/>
      <c r="B54" s="28"/>
      <c r="C54" s="29" t="s">
        <v>371</v>
      </c>
      <c r="D54" s="30"/>
      <c r="E54" s="28"/>
      <c r="F54" s="28"/>
      <c r="G54" s="28"/>
      <c r="H54" s="28"/>
      <c r="I54" s="28"/>
      <c r="J54" s="28"/>
      <c r="K54" s="24"/>
    </row>
    <row r="55" ht="15.75" customHeight="1">
      <c r="A55" s="24"/>
      <c r="B55" s="28"/>
      <c r="C55" s="30"/>
      <c r="D55" s="28"/>
      <c r="E55" s="28"/>
      <c r="F55" s="28"/>
      <c r="G55" s="28"/>
      <c r="H55" s="28"/>
      <c r="I55" s="28"/>
      <c r="J55" s="28"/>
      <c r="K55" s="24"/>
    </row>
    <row r="56" ht="15.75" customHeight="1">
      <c r="A56" s="24"/>
      <c r="B56" s="28"/>
      <c r="C56" s="28"/>
      <c r="D56" s="28"/>
      <c r="E56" s="28"/>
      <c r="F56" s="28"/>
      <c r="G56" s="28"/>
      <c r="H56" s="28"/>
      <c r="I56" s="28"/>
      <c r="J56" s="28"/>
      <c r="K56" s="24"/>
    </row>
    <row r="57" ht="15.75" customHeight="1">
      <c r="A57" s="24"/>
      <c r="B57" s="28"/>
      <c r="C57" s="28"/>
      <c r="D57" s="28"/>
      <c r="E57" s="28"/>
      <c r="F57" s="28"/>
      <c r="G57" s="28"/>
      <c r="H57" s="28"/>
      <c r="I57" s="28"/>
      <c r="J57" s="28"/>
      <c r="K57" s="24"/>
    </row>
    <row r="58" ht="15.75" customHeight="1">
      <c r="A58" s="24"/>
      <c r="B58" s="28"/>
      <c r="C58" s="28"/>
      <c r="D58" s="28"/>
      <c r="E58" s="28"/>
      <c r="F58" s="28"/>
      <c r="G58" s="28"/>
      <c r="H58" s="28"/>
      <c r="I58" s="28"/>
      <c r="J58" s="28"/>
      <c r="K58" s="2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26:C27"/>
    <mergeCell ref="C34:C35"/>
    <mergeCell ref="F41:F42"/>
    <mergeCell ref="H41:H42"/>
    <mergeCell ref="E43:E44"/>
    <mergeCell ref="G45:G46"/>
    <mergeCell ref="F49:F50"/>
    <mergeCell ref="E51:E52"/>
    <mergeCell ref="B1:J2"/>
    <mergeCell ref="C10:C11"/>
    <mergeCell ref="E14:E15"/>
    <mergeCell ref="C18:C19"/>
    <mergeCell ref="G22:G23"/>
    <mergeCell ref="E30:E31"/>
    <mergeCell ref="I31:I3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7" width="23.75"/>
    <col customWidth="1" min="8" max="26" width="12.75"/>
  </cols>
  <sheetData>
    <row r="1" ht="15.75" customHeight="1">
      <c r="A1" s="451"/>
      <c r="B1" s="25" t="s">
        <v>378</v>
      </c>
      <c r="G1" s="452"/>
    </row>
    <row r="2" ht="15.75" customHeight="1">
      <c r="A2" s="451"/>
      <c r="G2" s="452"/>
    </row>
    <row r="3" ht="15.75" customHeight="1">
      <c r="A3" s="451"/>
      <c r="B3" s="26" t="s">
        <v>115</v>
      </c>
      <c r="C3" s="26" t="s">
        <v>116</v>
      </c>
      <c r="D3" s="26" t="s">
        <v>117</v>
      </c>
      <c r="E3" s="26" t="s">
        <v>118</v>
      </c>
      <c r="F3" s="26" t="s">
        <v>119</v>
      </c>
      <c r="G3" s="452"/>
    </row>
    <row r="4" ht="15.75" customHeight="1">
      <c r="A4" s="451"/>
      <c r="B4" s="27">
        <v>0.40625</v>
      </c>
      <c r="C4" s="27">
        <v>0.4270833333333333</v>
      </c>
      <c r="D4" s="27">
        <v>0.44791666666666663</v>
      </c>
      <c r="E4" s="27">
        <v>0.46874999999999994</v>
      </c>
      <c r="F4" s="27">
        <v>0.48958333333333326</v>
      </c>
      <c r="G4" s="452"/>
    </row>
    <row r="5" ht="15.75" customHeight="1">
      <c r="A5" s="453"/>
      <c r="B5" s="454"/>
      <c r="C5" s="454"/>
      <c r="D5" s="454"/>
      <c r="E5" s="454"/>
      <c r="F5" s="454"/>
      <c r="G5" s="454"/>
    </row>
    <row r="6" ht="15.75" customHeight="1">
      <c r="A6" s="453"/>
      <c r="B6" s="454"/>
      <c r="C6" s="454"/>
      <c r="D6" s="454"/>
      <c r="E6" s="454"/>
      <c r="F6" s="454"/>
      <c r="G6" s="454"/>
    </row>
    <row r="7" ht="15.75" customHeight="1">
      <c r="A7" s="453"/>
      <c r="B7" s="454"/>
      <c r="C7" s="454"/>
      <c r="D7" s="454"/>
      <c r="E7" s="454"/>
      <c r="F7" s="454"/>
      <c r="G7" s="454"/>
    </row>
    <row r="8" ht="15.75" customHeight="1">
      <c r="A8" s="453"/>
      <c r="B8" s="455"/>
      <c r="C8" s="454"/>
      <c r="D8" s="454"/>
      <c r="E8" s="454"/>
      <c r="F8" s="454"/>
      <c r="G8" s="454"/>
    </row>
    <row r="9" ht="15.75" customHeight="1">
      <c r="A9" s="453"/>
      <c r="B9" s="456"/>
      <c r="C9" s="454"/>
      <c r="D9" s="454"/>
      <c r="E9" s="454"/>
      <c r="F9" s="454"/>
      <c r="G9" s="454"/>
    </row>
    <row r="10" ht="15.75" customHeight="1">
      <c r="A10" s="453"/>
      <c r="B10" s="34"/>
      <c r="C10" s="455"/>
      <c r="D10" s="454"/>
      <c r="E10" s="454"/>
      <c r="F10" s="454"/>
      <c r="G10" s="454"/>
    </row>
    <row r="11" ht="15.75" customHeight="1">
      <c r="A11" s="453"/>
      <c r="B11" s="457"/>
      <c r="C11" s="458"/>
      <c r="D11" s="454"/>
      <c r="E11" s="454"/>
      <c r="F11" s="454"/>
      <c r="G11" s="454"/>
    </row>
    <row r="12" ht="15.75" customHeight="1">
      <c r="A12" s="453"/>
      <c r="B12" s="454"/>
      <c r="C12" s="456"/>
      <c r="D12" s="33" t="s">
        <v>102</v>
      </c>
      <c r="E12" s="454"/>
      <c r="F12" s="454"/>
      <c r="G12" s="454"/>
    </row>
    <row r="13" ht="15.75" customHeight="1">
      <c r="A13" s="453"/>
      <c r="B13" s="454"/>
      <c r="C13" s="34"/>
      <c r="D13" s="35"/>
      <c r="E13" s="455"/>
      <c r="F13" s="454"/>
      <c r="G13" s="454"/>
    </row>
    <row r="14" ht="15.75" customHeight="1">
      <c r="A14" s="453"/>
      <c r="B14" s="455"/>
      <c r="C14" s="458"/>
      <c r="D14" s="454"/>
      <c r="E14" s="458"/>
      <c r="F14" s="454"/>
      <c r="G14" s="454"/>
    </row>
    <row r="15" ht="15.75" customHeight="1">
      <c r="A15" s="453"/>
      <c r="B15" s="456"/>
      <c r="C15" s="457"/>
      <c r="D15" s="454"/>
      <c r="E15" s="458"/>
      <c r="F15" s="454"/>
      <c r="G15" s="454"/>
    </row>
    <row r="16" ht="15.75" customHeight="1">
      <c r="A16" s="453"/>
      <c r="B16" s="34"/>
      <c r="C16" s="454"/>
      <c r="D16" s="454"/>
      <c r="E16" s="456"/>
      <c r="F16" s="459"/>
      <c r="G16" s="454"/>
    </row>
    <row r="17" ht="15.75" customHeight="1">
      <c r="A17" s="453"/>
      <c r="B17" s="457"/>
      <c r="C17" s="454"/>
      <c r="D17" s="460"/>
      <c r="E17" s="34"/>
      <c r="F17" s="454"/>
      <c r="G17" s="454"/>
    </row>
    <row r="18" ht="15.75" customHeight="1">
      <c r="A18" s="453"/>
      <c r="B18" s="454"/>
      <c r="C18" s="461"/>
      <c r="D18" s="454"/>
      <c r="E18" s="456"/>
      <c r="G18" s="454"/>
    </row>
    <row r="19" ht="15.75" customHeight="1">
      <c r="A19" s="453"/>
      <c r="B19" s="454"/>
      <c r="C19" s="461"/>
      <c r="D19" s="455"/>
      <c r="E19" s="458"/>
      <c r="F19" s="454"/>
      <c r="G19" s="454"/>
    </row>
    <row r="20" ht="15.75" customHeight="1">
      <c r="A20" s="453"/>
      <c r="B20" s="454"/>
      <c r="C20" s="454"/>
      <c r="D20" s="456"/>
      <c r="E20" s="457"/>
      <c r="F20" s="454"/>
      <c r="G20" s="454"/>
    </row>
    <row r="21" ht="15.75" customHeight="1">
      <c r="A21" s="453"/>
      <c r="B21" s="454"/>
      <c r="C21" s="455"/>
      <c r="D21" s="34"/>
      <c r="E21" s="454"/>
      <c r="F21" s="454"/>
      <c r="G21" s="454"/>
    </row>
    <row r="22" ht="15.75" customHeight="1">
      <c r="A22" s="453"/>
      <c r="B22" s="454"/>
      <c r="C22" s="456"/>
      <c r="D22" s="457"/>
      <c r="E22" s="454"/>
      <c r="F22" s="454"/>
      <c r="G22" s="454"/>
    </row>
    <row r="23" ht="15.75" customHeight="1">
      <c r="A23" s="453"/>
      <c r="B23" s="454"/>
      <c r="C23" s="34"/>
      <c r="D23" s="454"/>
      <c r="E23" s="454"/>
      <c r="F23" s="454"/>
      <c r="G23" s="454"/>
    </row>
    <row r="24" ht="15.75" customHeight="1">
      <c r="A24" s="453"/>
      <c r="B24" s="454"/>
      <c r="C24" s="457"/>
      <c r="D24" s="454"/>
      <c r="E24" s="454"/>
      <c r="F24" s="454"/>
      <c r="G24" s="454"/>
    </row>
    <row r="25" ht="15.75" customHeight="1">
      <c r="A25" s="453"/>
      <c r="B25" s="454"/>
      <c r="C25" s="454"/>
      <c r="D25" s="454"/>
      <c r="E25" s="454"/>
      <c r="F25" s="454"/>
      <c r="G25" s="454"/>
    </row>
    <row r="26" ht="15.75" customHeight="1">
      <c r="A26" s="453"/>
      <c r="B26" s="454"/>
      <c r="C26" s="454"/>
      <c r="D26" s="454"/>
      <c r="E26" s="454"/>
      <c r="F26" s="454"/>
      <c r="G26" s="454"/>
    </row>
    <row r="27" ht="15.75" customHeight="1">
      <c r="A27" s="453"/>
      <c r="B27" s="454"/>
      <c r="C27" s="454"/>
      <c r="D27" s="454"/>
      <c r="E27" s="454"/>
      <c r="F27" s="454"/>
      <c r="G27" s="45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F2"/>
    <mergeCell ref="B9:B10"/>
    <mergeCell ref="C12:C13"/>
    <mergeCell ref="B15:B16"/>
    <mergeCell ref="E16:E17"/>
    <mergeCell ref="D20:D21"/>
    <mergeCell ref="C22:C23"/>
  </mergeCells>
  <printOptions/>
  <pageMargins bottom="0.75" footer="0.0" header="0.0" left="0.7" right="0.7" top="0.75"/>
  <pageSetup orientation="landscape"/>
  <drawing r:id="rId1"/>
</worksheet>
</file>