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Robin" sheetId="1" r:id="rId5"/>
    <sheet state="visible" name="Round Robin Transpose" sheetId="2" r:id="rId6"/>
    <sheet state="visible" name="Double Elimination" sheetId="3" r:id="rId7"/>
  </sheets>
  <definedNames/>
  <calcPr/>
</workbook>
</file>

<file path=xl/sharedStrings.xml><?xml version="1.0" encoding="utf-8"?>
<sst xmlns="http://schemas.openxmlformats.org/spreadsheetml/2006/main" count="428" uniqueCount="110">
  <si>
    <t>Amino Division</t>
  </si>
  <si>
    <t>1st Amino</t>
  </si>
  <si>
    <t>North Hollywood</t>
  </si>
  <si>
    <t>Bijection Division</t>
  </si>
  <si>
    <t>A1</t>
  </si>
  <si>
    <t>3rd w/ 1st PPG</t>
  </si>
  <si>
    <t>Saratoga</t>
  </si>
  <si>
    <t>2nd Cesium</t>
  </si>
  <si>
    <t>Sodium Hypobromite</t>
  </si>
  <si>
    <t>Dulles B</t>
  </si>
  <si>
    <t>Crestview Middle</t>
  </si>
  <si>
    <t>Buchholz A</t>
  </si>
  <si>
    <t>B1</t>
  </si>
  <si>
    <t>Lexington 2</t>
  </si>
  <si>
    <t>Sodium hypobromite</t>
  </si>
  <si>
    <t>2nd Dielectric</t>
  </si>
  <si>
    <t>Knights</t>
  </si>
  <si>
    <t>Niskayuna A</t>
  </si>
  <si>
    <t>1st Bijection</t>
  </si>
  <si>
    <t>Dulles A</t>
  </si>
  <si>
    <t>PPG</t>
  </si>
  <si>
    <t>Points</t>
  </si>
  <si>
    <t>C1</t>
  </si>
  <si>
    <t>MSJ C</t>
  </si>
  <si>
    <t>3rd w/ 2nd PPG</t>
  </si>
  <si>
    <t>South Hollywood</t>
  </si>
  <si>
    <t>Foothill</t>
  </si>
  <si>
    <t>Westminster</t>
  </si>
  <si>
    <t>Shen</t>
  </si>
  <si>
    <t>CCA 1</t>
  </si>
  <si>
    <t>Schedule</t>
  </si>
  <si>
    <t>University</t>
  </si>
  <si>
    <t>Schedule (EDT)</t>
  </si>
  <si>
    <t>1st Electron</t>
  </si>
  <si>
    <t>RR1</t>
  </si>
  <si>
    <t>D1</t>
  </si>
  <si>
    <t>1 vs 2</t>
  </si>
  <si>
    <t>3 vs 4</t>
  </si>
  <si>
    <t>5 vs 6</t>
  </si>
  <si>
    <t>2nd Fluorite</t>
  </si>
  <si>
    <t>SSM-GH</t>
  </si>
  <si>
    <t>RR2</t>
  </si>
  <si>
    <t>1 vs 3</t>
  </si>
  <si>
    <t>Start - End</t>
  </si>
  <si>
    <t>2 vs 5</t>
  </si>
  <si>
    <t>4 vs 6</t>
  </si>
  <si>
    <t>Room 1</t>
  </si>
  <si>
    <t>RR3</t>
  </si>
  <si>
    <t>1 vs 4</t>
  </si>
  <si>
    <t>Room 2</t>
  </si>
  <si>
    <t>2 vs 6</t>
  </si>
  <si>
    <t>3 vs 5</t>
  </si>
  <si>
    <t>Room 3</t>
  </si>
  <si>
    <t>RR4</t>
  </si>
  <si>
    <t>1 vs 5</t>
  </si>
  <si>
    <t>2 vs 4</t>
  </si>
  <si>
    <t>3 vs 6</t>
  </si>
  <si>
    <t>10:00 - 10:40</t>
  </si>
  <si>
    <t>10:40 - 11:20</t>
  </si>
  <si>
    <t xml:space="preserve">North Hollywood </t>
  </si>
  <si>
    <t>1st Cesium</t>
  </si>
  <si>
    <t>Hwite Bread A</t>
  </si>
  <si>
    <t>11:20 - 12:00</t>
  </si>
  <si>
    <t>E1</t>
  </si>
  <si>
    <t>3rd w/ 3rd PPG</t>
  </si>
  <si>
    <t>2nd Amino</t>
  </si>
  <si>
    <t>F1</t>
  </si>
  <si>
    <t>2nd Bijection</t>
  </si>
  <si>
    <t>1st Dielectric</t>
  </si>
  <si>
    <t>MSJ A</t>
  </si>
  <si>
    <t>RR5</t>
  </si>
  <si>
    <t>1 vs 6</t>
  </si>
  <si>
    <t>2 vs 3</t>
  </si>
  <si>
    <t>4 vs 5</t>
  </si>
  <si>
    <t>A2</t>
  </si>
  <si>
    <t>3rd w/ 4th PPG</t>
  </si>
  <si>
    <t>Amador Valley A</t>
  </si>
  <si>
    <t>Centennial</t>
  </si>
  <si>
    <t>1st Fluorite</t>
  </si>
  <si>
    <t>B2</t>
  </si>
  <si>
    <t>2nd Electron</t>
  </si>
  <si>
    <t>Lexington 1</t>
  </si>
  <si>
    <t>Cesium Division</t>
  </si>
  <si>
    <t>Loser of A1</t>
  </si>
  <si>
    <t>Dielectric Division</t>
  </si>
  <si>
    <t>TB: 4</t>
  </si>
  <si>
    <t>Loser of B1</t>
  </si>
  <si>
    <t>12:00 - 12:40</t>
  </si>
  <si>
    <t>MSJ B</t>
  </si>
  <si>
    <t>Iolani B</t>
  </si>
  <si>
    <t>Buchholz</t>
  </si>
  <si>
    <t>BYE</t>
  </si>
  <si>
    <t>Loser of C1</t>
  </si>
  <si>
    <t>Hwite Bread B</t>
  </si>
  <si>
    <t>Amador Valley 1</t>
  </si>
  <si>
    <t>TB: 8</t>
  </si>
  <si>
    <t>Loser of D1</t>
  </si>
  <si>
    <t>Loser of E1</t>
  </si>
  <si>
    <t>Loser of F1</t>
  </si>
  <si>
    <t>Niskayuna B</t>
  </si>
  <si>
    <t>Loser of A2</t>
  </si>
  <si>
    <t>12:40 - 1:20</t>
  </si>
  <si>
    <t>Loser of B2</t>
  </si>
  <si>
    <t>Electron Division</t>
  </si>
  <si>
    <t>Fluorite Division</t>
  </si>
  <si>
    <t>Pullman A</t>
  </si>
  <si>
    <t>CCA 2</t>
  </si>
  <si>
    <t>Iolani A</t>
  </si>
  <si>
    <t>Lakeside</t>
  </si>
  <si>
    <t>Amador Valley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</si>
</sst>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6.0"/>
      <color theme="1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6AA84F"/>
        <bgColor rgb="FF6AA84F"/>
      </patternFill>
    </fill>
    <fill>
      <patternFill patternType="solid">
        <fgColor rgb="FFD9D9D9"/>
        <bgColor rgb="FFD9D9D9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 vertical="bottom"/>
    </xf>
    <xf borderId="2" fillId="2" fontId="3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vertical="bottom"/>
    </xf>
    <xf borderId="3" fillId="0" fontId="4" numFmtId="0" xfId="0" applyBorder="1" applyFont="1"/>
    <xf borderId="4" fillId="0" fontId="4" numFmtId="0" xfId="0" applyBorder="1" applyFont="1"/>
    <xf borderId="5" fillId="0" fontId="2" numFmtId="0" xfId="0" applyAlignment="1" applyBorder="1" applyFont="1">
      <alignment vertical="bottom"/>
    </xf>
    <xf borderId="6" fillId="0" fontId="4" numFmtId="0" xfId="0" applyBorder="1" applyFont="1"/>
    <xf borderId="1" fillId="0" fontId="4" numFmtId="0" xfId="0" applyBorder="1" applyFont="1"/>
    <xf borderId="5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7" fillId="0" fontId="4" numFmtId="0" xfId="0" applyBorder="1" applyFont="1"/>
    <xf borderId="7" fillId="0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center" readingOrder="0" vertical="center"/>
    </xf>
    <xf borderId="8" fillId="3" fontId="2" numFmtId="0" xfId="0" applyAlignment="1" applyBorder="1" applyFill="1" applyFont="1">
      <alignment vertical="bottom"/>
    </xf>
    <xf borderId="5" fillId="0" fontId="4" numFmtId="0" xfId="0" applyBorder="1" applyFont="1"/>
    <xf borderId="0" fillId="0" fontId="2" numFmtId="0" xfId="0" applyAlignment="1" applyFont="1">
      <alignment horizontal="center" readingOrder="0" textRotation="90" vertical="bottom"/>
    </xf>
    <xf borderId="4" fillId="0" fontId="1" numFmtId="0" xfId="0" applyAlignment="1" applyBorder="1" applyFont="1">
      <alignment horizontal="center" readingOrder="0" textRotation="90"/>
    </xf>
    <xf borderId="2" fillId="0" fontId="1" numFmtId="0" xfId="0" applyAlignment="1" applyBorder="1" applyFont="1">
      <alignment horizontal="center" readingOrder="0" textRotation="90"/>
    </xf>
    <xf borderId="9" fillId="0" fontId="1" numFmtId="0" xfId="0" applyAlignment="1" applyBorder="1" applyFont="1">
      <alignment horizontal="center" readingOrder="0" textRotation="90"/>
    </xf>
    <xf borderId="0" fillId="0" fontId="2" numFmtId="0" xfId="0" applyAlignment="1" applyFont="1">
      <alignment readingOrder="0" vertical="bottom"/>
    </xf>
    <xf borderId="5" fillId="0" fontId="2" numFmtId="0" xfId="0" applyAlignment="1" applyBorder="1" applyFont="1">
      <alignment horizontal="center" readingOrder="0" textRotation="90" vertical="bottom"/>
    </xf>
    <xf borderId="8" fillId="2" fontId="3" numFmtId="0" xfId="0" applyAlignment="1" applyBorder="1" applyFill="1" applyFont="1">
      <alignment horizontal="center" readingOrder="0" vertical="center"/>
    </xf>
    <xf borderId="7" fillId="0" fontId="2" numFmtId="0" xfId="0" applyAlignment="1" applyBorder="1" applyFont="1">
      <alignment vertical="bottom"/>
    </xf>
    <xf borderId="8" fillId="0" fontId="4" numFmtId="0" xfId="0" applyBorder="1" applyFont="1"/>
    <xf borderId="10" fillId="0" fontId="4" numFmtId="0" xfId="0" applyBorder="1" applyFont="1"/>
    <xf borderId="9" fillId="0" fontId="2" numFmtId="0" xfId="0" applyAlignment="1" applyBorder="1" applyFont="1">
      <alignment vertical="bottom"/>
    </xf>
    <xf borderId="3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readingOrder="0" vertical="bottom"/>
    </xf>
    <xf borderId="10" fillId="0" fontId="2" numFmtId="0" xfId="0" applyAlignment="1" applyBorder="1" applyFont="1">
      <alignment vertical="bottom"/>
    </xf>
    <xf borderId="10" fillId="0" fontId="1" numFmtId="0" xfId="0" applyBorder="1" applyFont="1"/>
    <xf borderId="11" fillId="0" fontId="1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13" fillId="0" fontId="1" numFmtId="0" xfId="0" applyAlignment="1" applyBorder="1" applyFont="1">
      <alignment readingOrder="0"/>
    </xf>
    <xf borderId="14" fillId="0" fontId="4" numFmtId="0" xfId="0" applyBorder="1" applyFont="1"/>
    <xf borderId="8" fillId="0" fontId="1" numFmtId="0" xfId="0" applyAlignment="1" applyBorder="1" applyFont="1">
      <alignment readingOrder="0"/>
    </xf>
    <xf borderId="4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9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vertical="bottom"/>
    </xf>
    <xf borderId="10" fillId="0" fontId="2" numFmtId="0" xfId="0" applyAlignment="1" applyBorder="1" applyFont="1">
      <alignment readingOrder="0" vertical="bottom"/>
    </xf>
    <xf borderId="10" fillId="0" fontId="1" numFmtId="0" xfId="0" applyAlignment="1" applyBorder="1" applyFont="1">
      <alignment readingOrder="0"/>
    </xf>
    <xf borderId="0" fillId="4" fontId="2" numFmtId="0" xfId="0" applyAlignment="1" applyFill="1" applyFont="1">
      <alignment vertical="bottom"/>
    </xf>
    <xf borderId="0" fillId="0" fontId="2" numFmtId="0" xfId="0" applyAlignment="1" applyFont="1">
      <alignment horizontal="right" readingOrder="0" vertical="bottom"/>
    </xf>
    <xf borderId="5" fillId="0" fontId="1" numFmtId="0" xfId="0" applyAlignment="1" applyBorder="1" applyFont="1">
      <alignment readingOrder="0"/>
    </xf>
    <xf borderId="0" fillId="0" fontId="2" numFmtId="0" xfId="0" applyAlignment="1" applyFont="1">
      <alignment horizontal="right" vertical="bottom"/>
    </xf>
    <xf borderId="5" fillId="4" fontId="1" numFmtId="0" xfId="0" applyBorder="1" applyFill="1" applyFont="1"/>
    <xf borderId="8" fillId="0" fontId="1" numFmtId="0" xfId="0" applyBorder="1" applyFont="1"/>
    <xf borderId="2" fillId="0" fontId="1" numFmtId="0" xfId="0" applyAlignment="1" applyBorder="1" applyFont="1">
      <alignment readingOrder="0"/>
    </xf>
    <xf borderId="9" fillId="0" fontId="1" numFmtId="0" xfId="0" applyBorder="1" applyFont="1"/>
    <xf borderId="14" fillId="0" fontId="2" numFmtId="0" xfId="0" applyAlignment="1" applyBorder="1" applyFont="1">
      <alignment vertical="bottom"/>
    </xf>
    <xf borderId="1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1" fillId="4" fontId="1" numFmtId="0" xfId="0" applyBorder="1" applyFill="1" applyFont="1"/>
    <xf borderId="7" fillId="4" fontId="1" numFmtId="0" xfId="0" applyBorder="1" applyFill="1" applyFont="1"/>
    <xf borderId="6" fillId="0" fontId="1" numFmtId="0" xfId="0" applyBorder="1" applyFont="1"/>
    <xf borderId="14" fillId="0" fontId="1" numFmtId="0" xfId="0" applyBorder="1" applyFont="1"/>
    <xf borderId="3" fillId="0" fontId="1" numFmtId="0" xfId="0" applyAlignment="1" applyBorder="1" applyFont="1">
      <alignment horizontal="center" readingOrder="0" textRotation="90"/>
    </xf>
    <xf borderId="0" fillId="0" fontId="2" numFmtId="0" xfId="0" applyAlignment="1" applyFont="1">
      <alignment readingOrder="0" vertical="bottom"/>
    </xf>
    <xf borderId="7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4" fillId="0" fontId="2" numFmtId="0" xfId="0" applyAlignment="1" applyBorder="1" applyFont="1">
      <alignment vertical="bottom"/>
    </xf>
    <xf borderId="1" fillId="4" fontId="2" numFmtId="0" xfId="0" applyAlignment="1" applyBorder="1" applyFill="1" applyFont="1">
      <alignment vertical="bottom"/>
    </xf>
    <xf borderId="0" fillId="0" fontId="3" numFmtId="0" xfId="0" applyAlignment="1" applyFont="1">
      <alignment horizontal="center" readingOrder="0" vertical="center"/>
    </xf>
    <xf borderId="8" fillId="0" fontId="2" numFmtId="0" xfId="0" applyAlignment="1" applyBorder="1" applyFont="1">
      <alignment readingOrder="0" textRotation="90" vertical="bottom"/>
    </xf>
    <xf borderId="0" fillId="0" fontId="1" numFmtId="0" xfId="0" applyFont="1"/>
    <xf borderId="14" fillId="4" fontId="1" numFmtId="0" xfId="0" applyBorder="1" applyFill="1" applyFont="1"/>
    <xf borderId="8" fillId="0" fontId="1" numFmtId="0" xfId="0" applyBorder="1" applyFont="1"/>
    <xf borderId="2" fillId="0" fontId="2" numFmtId="0" xfId="0" applyAlignment="1" applyBorder="1" applyFont="1">
      <alignment readingOrder="0" vertical="bottom"/>
    </xf>
    <xf borderId="8" fillId="0" fontId="2" numFmtId="0" xfId="0" applyAlignment="1" applyBorder="1" applyFont="1">
      <alignment readingOrder="0" vertical="bottom"/>
    </xf>
    <xf borderId="8" fillId="0" fontId="1" numFmtId="0" xfId="0" applyAlignment="1" applyBorder="1" applyFont="1">
      <alignment readingOrder="0"/>
    </xf>
    <xf borderId="0" fillId="4" fontId="2" numFmtId="0" xfId="0" applyAlignment="1" applyFill="1" applyFont="1">
      <alignment readingOrder="0" vertical="bottom"/>
    </xf>
    <xf borderId="6" fillId="0" fontId="2" numFmtId="0" xfId="0" applyAlignment="1" applyBorder="1" applyFont="1">
      <alignment vertical="bottom"/>
    </xf>
    <xf borderId="0" fillId="4" fontId="2" numFmtId="0" xfId="0" applyAlignment="1" applyFill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25"/>
    <col customWidth="1" min="3" max="3" width="16.38"/>
    <col customWidth="1" min="4" max="11" width="3.63"/>
    <col customWidth="1" min="13" max="13" width="3.25"/>
    <col customWidth="1" min="14" max="14" width="16.38"/>
    <col customWidth="1" min="15" max="22" width="3.63"/>
    <col customWidth="1" min="24" max="24" width="6.13"/>
    <col customWidth="1" min="25" max="25" width="11.0"/>
    <col customWidth="1" min="26" max="28" width="7.63"/>
  </cols>
  <sheetData>
    <row r="4">
      <c r="B4" s="3" t="s">
        <v>0</v>
      </c>
      <c r="C4" s="5"/>
      <c r="D4" s="5"/>
      <c r="E4" s="5"/>
      <c r="F4" s="5"/>
      <c r="G4" s="5"/>
      <c r="H4" s="5"/>
      <c r="I4" s="5"/>
      <c r="J4" s="5"/>
      <c r="K4" s="6"/>
      <c r="M4" s="3" t="s">
        <v>3</v>
      </c>
      <c r="N4" s="5"/>
      <c r="O4" s="5"/>
      <c r="P4" s="5"/>
      <c r="Q4" s="5"/>
      <c r="R4" s="5"/>
      <c r="S4" s="5"/>
      <c r="T4" s="5"/>
      <c r="U4" s="5"/>
      <c r="V4" s="6"/>
    </row>
    <row r="5">
      <c r="B5" s="8"/>
      <c r="C5" s="9"/>
      <c r="D5" s="9"/>
      <c r="E5" s="9"/>
      <c r="F5" s="9"/>
      <c r="G5" s="9"/>
      <c r="H5" s="9"/>
      <c r="I5" s="9"/>
      <c r="J5" s="9"/>
      <c r="K5" s="12"/>
      <c r="M5" s="8"/>
      <c r="N5" s="9"/>
      <c r="O5" s="9"/>
      <c r="P5" s="9"/>
      <c r="Q5" s="9"/>
      <c r="R5" s="9"/>
      <c r="S5" s="9"/>
      <c r="T5" s="9"/>
      <c r="U5" s="9"/>
      <c r="V5" s="12"/>
      <c r="X5" s="14"/>
      <c r="Y5" s="14"/>
      <c r="Z5" s="14"/>
      <c r="AA5" s="14"/>
      <c r="AB5" s="14"/>
    </row>
    <row r="6" ht="15.75" customHeight="1">
      <c r="B6" s="15"/>
      <c r="C6" s="16"/>
      <c r="D6" s="17" t="s">
        <v>2</v>
      </c>
      <c r="E6" s="17" t="s">
        <v>9</v>
      </c>
      <c r="F6" s="17" t="s">
        <v>10</v>
      </c>
      <c r="G6" s="17" t="s">
        <v>11</v>
      </c>
      <c r="H6" s="17" t="s">
        <v>13</v>
      </c>
      <c r="I6" s="18" t="s">
        <v>17</v>
      </c>
      <c r="J6" s="19" t="s">
        <v>20</v>
      </c>
      <c r="K6" s="20" t="s">
        <v>21</v>
      </c>
      <c r="M6" s="15"/>
      <c r="N6" s="16"/>
      <c r="O6" s="17" t="s">
        <v>23</v>
      </c>
      <c r="P6" s="17" t="s">
        <v>25</v>
      </c>
      <c r="Q6" s="17" t="s">
        <v>27</v>
      </c>
      <c r="R6" s="17" t="s">
        <v>28</v>
      </c>
      <c r="S6" s="17" t="s">
        <v>19</v>
      </c>
      <c r="T6" s="22" t="s">
        <v>29</v>
      </c>
      <c r="U6" s="19" t="s">
        <v>20</v>
      </c>
      <c r="V6" s="20" t="s">
        <v>21</v>
      </c>
      <c r="X6" s="23" t="s">
        <v>32</v>
      </c>
      <c r="AB6" s="16"/>
    </row>
    <row r="7" ht="15.75" customHeight="1">
      <c r="B7" s="25"/>
      <c r="C7" s="16"/>
      <c r="I7" s="16"/>
      <c r="J7" s="25"/>
      <c r="K7" s="26"/>
      <c r="M7" s="25"/>
      <c r="N7" s="16"/>
      <c r="T7" s="16"/>
      <c r="U7" s="25"/>
      <c r="V7" s="26"/>
      <c r="X7" s="8"/>
      <c r="Y7" s="9"/>
      <c r="Z7" s="9"/>
      <c r="AA7" s="9"/>
      <c r="AB7" s="12"/>
    </row>
    <row r="8" ht="15.75" customHeight="1">
      <c r="B8" s="25"/>
      <c r="C8" s="16"/>
      <c r="I8" s="16"/>
      <c r="J8" s="25"/>
      <c r="K8" s="26"/>
      <c r="M8" s="25"/>
      <c r="N8" s="16"/>
      <c r="T8" s="16"/>
      <c r="U8" s="25"/>
      <c r="V8" s="26"/>
      <c r="X8" s="31"/>
      <c r="Y8" s="1" t="s">
        <v>43</v>
      </c>
      <c r="Z8" s="32" t="s">
        <v>46</v>
      </c>
      <c r="AA8" s="33" t="s">
        <v>49</v>
      </c>
      <c r="AB8" s="34" t="s">
        <v>52</v>
      </c>
    </row>
    <row r="9" ht="15.75" customHeight="1">
      <c r="B9" s="25"/>
      <c r="C9" s="16"/>
      <c r="I9" s="16"/>
      <c r="J9" s="25"/>
      <c r="K9" s="26"/>
      <c r="M9" s="25"/>
      <c r="N9" s="16"/>
      <c r="T9" s="16"/>
      <c r="U9" s="25"/>
      <c r="V9" s="26"/>
      <c r="X9" s="27" t="s">
        <v>34</v>
      </c>
      <c r="Y9" s="37" t="s">
        <v>57</v>
      </c>
      <c r="Z9" s="28" t="s">
        <v>36</v>
      </c>
      <c r="AA9" s="39" t="s">
        <v>37</v>
      </c>
      <c r="AB9" s="29" t="s">
        <v>38</v>
      </c>
    </row>
    <row r="10" ht="15.75" customHeight="1">
      <c r="B10" s="25"/>
      <c r="C10" s="16"/>
      <c r="I10" s="16"/>
      <c r="J10" s="25"/>
      <c r="K10" s="26"/>
      <c r="M10" s="25"/>
      <c r="N10" s="16"/>
      <c r="T10" s="16"/>
      <c r="U10" s="25"/>
      <c r="V10" s="26"/>
      <c r="X10" s="30" t="s">
        <v>41</v>
      </c>
      <c r="Y10" s="40" t="s">
        <v>58</v>
      </c>
      <c r="Z10" s="21" t="s">
        <v>42</v>
      </c>
      <c r="AA10" s="41" t="s">
        <v>44</v>
      </c>
      <c r="AB10" s="10" t="s">
        <v>45</v>
      </c>
    </row>
    <row r="11" ht="15.75" customHeight="1">
      <c r="B11" s="8"/>
      <c r="C11" s="12"/>
      <c r="D11" s="9"/>
      <c r="E11" s="9"/>
      <c r="F11" s="9"/>
      <c r="G11" s="9"/>
      <c r="H11" s="9"/>
      <c r="I11" s="12"/>
      <c r="J11" s="8"/>
      <c r="K11" s="35"/>
      <c r="M11" s="8"/>
      <c r="N11" s="12"/>
      <c r="O11" s="9"/>
      <c r="P11" s="9"/>
      <c r="Q11" s="9"/>
      <c r="R11" s="9"/>
      <c r="S11" s="9"/>
      <c r="T11" s="12"/>
      <c r="U11" s="8"/>
      <c r="V11" s="35"/>
      <c r="X11" s="30" t="s">
        <v>47</v>
      </c>
      <c r="Y11" s="40" t="s">
        <v>62</v>
      </c>
      <c r="Z11" s="21" t="s">
        <v>48</v>
      </c>
      <c r="AA11" s="42" t="s">
        <v>51</v>
      </c>
      <c r="AB11" s="10" t="s">
        <v>50</v>
      </c>
    </row>
    <row r="12">
      <c r="B12" s="36">
        <v>1.0</v>
      </c>
      <c r="C12" s="38" t="s">
        <v>2</v>
      </c>
      <c r="D12" s="43"/>
      <c r="E12" s="44">
        <v>178.0</v>
      </c>
      <c r="F12" s="21">
        <v>122.0</v>
      </c>
      <c r="G12" s="44">
        <v>168.0</v>
      </c>
      <c r="H12" s="44">
        <v>106.0</v>
      </c>
      <c r="I12" s="45">
        <v>124.0</v>
      </c>
      <c r="J12" s="50">
        <f t="shared" ref="J12:J17" si="1">SUM(D12:I12)/IF(COUNTA(D12:I12)=0,1,COUNTA(D12:I12))</f>
        <v>139.6</v>
      </c>
      <c r="K12" s="31">
        <f>SUMPRODUCT(IF(D12:I12&gt;'Round Robin Transpose'!D12:I12,2,IF(D12:I12='Round Robin Transpose'!D12:I12,1,0)))-6+COUNTA(D12:I12)</f>
        <v>10</v>
      </c>
      <c r="M12" s="49">
        <v>1.0</v>
      </c>
      <c r="N12" s="29" t="s">
        <v>23</v>
      </c>
      <c r="O12" s="43"/>
      <c r="P12" s="44">
        <v>34.0</v>
      </c>
      <c r="Q12" s="21">
        <v>36.0</v>
      </c>
      <c r="R12" s="44">
        <v>30.0</v>
      </c>
      <c r="S12" s="44">
        <v>32.0</v>
      </c>
      <c r="T12" s="45">
        <v>40.0</v>
      </c>
      <c r="U12" s="50">
        <f t="shared" ref="U12:U17" si="2">SUM(O12:T12)/IF(COUNTA(O12:T12)=0,1,COUNTA(O12:T12))</f>
        <v>34.4</v>
      </c>
      <c r="V12" s="31">
        <f>SUMPRODUCT(IF(O12:T12&gt;'Round Robin Transpose'!O12:T12,2,IF(O12:T12='Round Robin Transpose'!O12:T12,1,0)))-6+COUNTA(O12:T12)</f>
        <v>1</v>
      </c>
      <c r="X12" s="30" t="s">
        <v>53</v>
      </c>
      <c r="Y12" s="40" t="s">
        <v>87</v>
      </c>
      <c r="Z12" s="21" t="s">
        <v>54</v>
      </c>
      <c r="AA12" s="41" t="s">
        <v>55</v>
      </c>
      <c r="AB12" s="10" t="s">
        <v>56</v>
      </c>
    </row>
    <row r="13">
      <c r="B13" s="36">
        <v>2.0</v>
      </c>
      <c r="C13" s="7" t="s">
        <v>9</v>
      </c>
      <c r="D13" s="44">
        <v>12.0</v>
      </c>
      <c r="E13" s="43"/>
      <c r="F13" s="21">
        <v>18.0</v>
      </c>
      <c r="G13" s="44">
        <v>8.0</v>
      </c>
      <c r="H13" s="44">
        <v>42.0</v>
      </c>
      <c r="I13" s="45">
        <v>28.0</v>
      </c>
      <c r="J13" s="31">
        <f t="shared" si="1"/>
        <v>21.6</v>
      </c>
      <c r="K13" s="31">
        <f>SUMPRODUCT(IF(D13:I13&gt;'Round Robin Transpose'!D13:I13,2,IF(D13:I13='Round Robin Transpose'!D13:I13,1,0)))-6+COUNTA(D13:I13)</f>
        <v>2</v>
      </c>
      <c r="M13" s="36">
        <v>2.0</v>
      </c>
      <c r="N13" s="10" t="s">
        <v>25</v>
      </c>
      <c r="O13" s="44">
        <v>44.0</v>
      </c>
      <c r="P13" s="43"/>
      <c r="Q13" s="21">
        <v>52.0</v>
      </c>
      <c r="R13" s="44">
        <v>74.0</v>
      </c>
      <c r="S13" s="44">
        <v>48.0</v>
      </c>
      <c r="T13" s="45">
        <v>122.0</v>
      </c>
      <c r="U13" s="31">
        <f t="shared" si="2"/>
        <v>68</v>
      </c>
      <c r="V13" s="31">
        <f>SUMPRODUCT(IF(O13:T13&gt;'Round Robin Transpose'!O13:T13,2,IF(O13:T13='Round Robin Transpose'!O13:T13,1,0)))-6+COUNTA(O13:T13)</f>
        <v>6</v>
      </c>
      <c r="X13" s="51" t="s">
        <v>70</v>
      </c>
      <c r="Y13" s="60" t="s">
        <v>101</v>
      </c>
      <c r="Z13" s="61" t="s">
        <v>72</v>
      </c>
      <c r="AA13" s="62" t="s">
        <v>73</v>
      </c>
      <c r="AB13" s="13" t="s">
        <v>71</v>
      </c>
    </row>
    <row r="14">
      <c r="B14" s="36">
        <v>3.0</v>
      </c>
      <c r="C14" s="7" t="s">
        <v>10</v>
      </c>
      <c r="D14" s="21">
        <v>8.0</v>
      </c>
      <c r="E14" s="21">
        <v>44.0</v>
      </c>
      <c r="F14" s="43"/>
      <c r="G14" s="21">
        <v>32.0</v>
      </c>
      <c r="H14" s="21">
        <v>44.0</v>
      </c>
      <c r="I14" s="45">
        <v>54.0</v>
      </c>
      <c r="J14" s="31">
        <f t="shared" si="1"/>
        <v>36.4</v>
      </c>
      <c r="K14" s="31">
        <f>SUMPRODUCT(IF(D14:I14&gt;'Round Robin Transpose'!D14:I14,2,IF(D14:I14='Round Robin Transpose'!D14:I14,1,0)))-6+COUNTA(D14:I14)</f>
        <v>4</v>
      </c>
      <c r="M14" s="36">
        <v>3.0</v>
      </c>
      <c r="N14" s="10" t="s">
        <v>27</v>
      </c>
      <c r="O14" s="21">
        <v>110.0</v>
      </c>
      <c r="P14" s="21">
        <v>68.0</v>
      </c>
      <c r="Q14" s="43"/>
      <c r="R14" s="21">
        <v>142.0</v>
      </c>
      <c r="S14" s="21">
        <v>94.0</v>
      </c>
      <c r="T14" s="45">
        <v>106.0</v>
      </c>
      <c r="U14" s="31">
        <f t="shared" si="2"/>
        <v>104</v>
      </c>
      <c r="V14" s="31">
        <f>SUMPRODUCT(IF(O14:T14&gt;'Round Robin Transpose'!O14:T14,2,IF(O14:T14='Round Robin Transpose'!O14:T14,1,0)))-6+COUNTA(O14:T14)</f>
        <v>8</v>
      </c>
    </row>
    <row r="15">
      <c r="B15" s="36">
        <v>4.0</v>
      </c>
      <c r="C15" s="7" t="s">
        <v>11</v>
      </c>
      <c r="D15" s="44">
        <v>88.0</v>
      </c>
      <c r="E15" s="44">
        <v>154.0</v>
      </c>
      <c r="F15" s="21">
        <v>130.0</v>
      </c>
      <c r="G15" s="43"/>
      <c r="H15" s="21">
        <v>106.0</v>
      </c>
      <c r="I15" s="45">
        <v>92.0</v>
      </c>
      <c r="J15" s="31">
        <f t="shared" si="1"/>
        <v>114</v>
      </c>
      <c r="K15" s="31">
        <f>SUMPRODUCT(IF(D15:I15&gt;'Round Robin Transpose'!D15:I15,2,IF(D15:I15='Round Robin Transpose'!D15:I15,1,0)))-6+COUNTA(D15:I15)</f>
        <v>8</v>
      </c>
      <c r="M15" s="36">
        <v>4.0</v>
      </c>
      <c r="N15" s="10" t="s">
        <v>28</v>
      </c>
      <c r="O15" s="44">
        <v>88.0</v>
      </c>
      <c r="P15" s="44">
        <v>54.0</v>
      </c>
      <c r="Q15" s="21">
        <v>22.0</v>
      </c>
      <c r="R15" s="43"/>
      <c r="S15" s="21">
        <v>54.0</v>
      </c>
      <c r="T15" s="45">
        <v>72.0</v>
      </c>
      <c r="U15" s="31">
        <f t="shared" si="2"/>
        <v>58</v>
      </c>
      <c r="V15" s="31">
        <f>SUMPRODUCT(IF(O15:T15&gt;'Round Robin Transpose'!O15:T15,2,IF(O15:T15='Round Robin Transpose'!O15:T15,1,0)))-6+COUNTA(O15:T15)</f>
        <v>2</v>
      </c>
    </row>
    <row r="16">
      <c r="B16" s="36">
        <v>5.0</v>
      </c>
      <c r="C16" s="7" t="s">
        <v>13</v>
      </c>
      <c r="D16" s="44">
        <v>22.0</v>
      </c>
      <c r="E16" s="44">
        <v>22.0</v>
      </c>
      <c r="F16" s="21">
        <v>46.0</v>
      </c>
      <c r="G16" s="21">
        <v>-4.0</v>
      </c>
      <c r="H16" s="43"/>
      <c r="I16" s="45">
        <v>76.0</v>
      </c>
      <c r="J16" s="31">
        <f t="shared" si="1"/>
        <v>32.4</v>
      </c>
      <c r="K16" s="31">
        <f>SUMPRODUCT(IF(D16:I16&gt;'Round Robin Transpose'!D16:I16,2,IF(D16:I16='Round Robin Transpose'!D16:I16,1,0)))-6+COUNTA(D16:I16)</f>
        <v>4</v>
      </c>
      <c r="M16" s="36">
        <v>5.0</v>
      </c>
      <c r="N16" s="10" t="s">
        <v>19</v>
      </c>
      <c r="O16" s="44">
        <v>68.0</v>
      </c>
      <c r="P16" s="44">
        <v>100.0</v>
      </c>
      <c r="Q16" s="21">
        <v>108.0</v>
      </c>
      <c r="R16" s="21">
        <v>88.0</v>
      </c>
      <c r="S16" s="43"/>
      <c r="T16" s="45">
        <v>192.0</v>
      </c>
      <c r="U16" s="31">
        <f t="shared" si="2"/>
        <v>111.2</v>
      </c>
      <c r="V16" s="31">
        <f>SUMPRODUCT(IF(O16:T16&gt;'Round Robin Transpose'!O16:T16,2,IF(O16:T16='Round Robin Transpose'!O16:T16,1,0)))-6+COUNTA(O16:T16)</f>
        <v>10</v>
      </c>
    </row>
    <row r="17">
      <c r="B17" s="53">
        <v>6.0</v>
      </c>
      <c r="C17" s="24" t="s">
        <v>17</v>
      </c>
      <c r="D17" s="52">
        <v>0.0</v>
      </c>
      <c r="E17" s="52">
        <v>72.0</v>
      </c>
      <c r="F17" s="52">
        <v>38.0</v>
      </c>
      <c r="G17" s="52">
        <v>12.0</v>
      </c>
      <c r="H17" s="52">
        <v>24.0</v>
      </c>
      <c r="I17" s="63"/>
      <c r="J17" s="57">
        <f t="shared" si="1"/>
        <v>29.2</v>
      </c>
      <c r="K17" s="57">
        <f>SUMPRODUCT(IF(D17:I17&gt;'Round Robin Transpose'!D17:I17,2,IF(D17:I17='Round Robin Transpose'!D17:I17,1,0)))-6+COUNTA(D17:I17)</f>
        <v>2</v>
      </c>
      <c r="M17" s="53">
        <v>6.0</v>
      </c>
      <c r="N17" s="13" t="s">
        <v>29</v>
      </c>
      <c r="O17" s="52">
        <v>40.0</v>
      </c>
      <c r="P17" s="52">
        <v>46.0</v>
      </c>
      <c r="Q17" s="52">
        <v>26.0</v>
      </c>
      <c r="R17" s="52">
        <v>76.0</v>
      </c>
      <c r="S17" s="52">
        <v>22.0</v>
      </c>
      <c r="T17" s="43"/>
      <c r="U17" s="57">
        <f t="shared" si="2"/>
        <v>42</v>
      </c>
      <c r="V17" s="57">
        <f>SUMPRODUCT(IF(O17:T17&gt;'Round Robin Transpose'!O17:T17,2,IF(O17:T17='Round Robin Transpose'!O17:T17,1,0)))-6+COUNTA(O17:T17)</f>
        <v>3</v>
      </c>
    </row>
    <row r="20">
      <c r="B20" s="3" t="s">
        <v>82</v>
      </c>
      <c r="C20" s="5"/>
      <c r="D20" s="5"/>
      <c r="E20" s="5"/>
      <c r="F20" s="5"/>
      <c r="G20" s="5"/>
      <c r="H20" s="5"/>
      <c r="I20" s="5"/>
      <c r="J20" s="5"/>
      <c r="K20" s="6"/>
      <c r="M20" s="3" t="s">
        <v>84</v>
      </c>
      <c r="N20" s="5"/>
      <c r="O20" s="5"/>
      <c r="P20" s="5"/>
      <c r="Q20" s="5"/>
      <c r="R20" s="5"/>
      <c r="S20" s="5"/>
      <c r="T20" s="5"/>
      <c r="U20" s="5"/>
      <c r="V20" s="6"/>
    </row>
    <row r="21">
      <c r="B21" s="8"/>
      <c r="C21" s="9"/>
      <c r="D21" s="9"/>
      <c r="E21" s="9"/>
      <c r="F21" s="9"/>
      <c r="G21" s="9"/>
      <c r="H21" s="9"/>
      <c r="I21" s="9"/>
      <c r="J21" s="9"/>
      <c r="K21" s="12"/>
      <c r="M21" s="8"/>
      <c r="N21" s="9"/>
      <c r="O21" s="9"/>
      <c r="P21" s="9"/>
      <c r="Q21" s="9"/>
      <c r="R21" s="9"/>
      <c r="S21" s="9"/>
      <c r="T21" s="9"/>
      <c r="U21" s="9"/>
      <c r="V21" s="12"/>
      <c r="X21" s="14"/>
      <c r="Y21" s="14"/>
      <c r="Z21" s="14"/>
      <c r="AA21" s="14"/>
      <c r="AB21" s="64"/>
    </row>
    <row r="22">
      <c r="B22" s="15"/>
      <c r="C22" s="16"/>
      <c r="D22" s="17" t="s">
        <v>61</v>
      </c>
      <c r="E22" s="58" t="s">
        <v>8</v>
      </c>
      <c r="F22" s="17" t="s">
        <v>26</v>
      </c>
      <c r="G22" s="17" t="s">
        <v>88</v>
      </c>
      <c r="H22" s="17" t="s">
        <v>89</v>
      </c>
      <c r="I22" s="18" t="s">
        <v>91</v>
      </c>
      <c r="J22" s="19" t="s">
        <v>20</v>
      </c>
      <c r="K22" s="20" t="s">
        <v>21</v>
      </c>
      <c r="M22" s="15"/>
      <c r="N22" s="16"/>
      <c r="O22" s="65" t="s">
        <v>99</v>
      </c>
      <c r="P22" s="17" t="s">
        <v>16</v>
      </c>
      <c r="Q22" s="17" t="s">
        <v>69</v>
      </c>
      <c r="R22" s="17" t="s">
        <v>93</v>
      </c>
      <c r="S22" s="17" t="s">
        <v>94</v>
      </c>
      <c r="T22" s="18" t="s">
        <v>91</v>
      </c>
      <c r="U22" s="19" t="s">
        <v>20</v>
      </c>
      <c r="V22" s="20" t="s">
        <v>21</v>
      </c>
      <c r="X22" s="3" t="s">
        <v>32</v>
      </c>
      <c r="Y22" s="5"/>
      <c r="Z22" s="5"/>
      <c r="AA22" s="6"/>
      <c r="AB22" s="66"/>
    </row>
    <row r="23">
      <c r="B23" s="25"/>
      <c r="C23" s="16"/>
      <c r="I23" s="16"/>
      <c r="J23" s="25"/>
      <c r="K23" s="26"/>
      <c r="M23" s="25"/>
      <c r="N23" s="16"/>
      <c r="O23" s="25"/>
      <c r="T23" s="16"/>
      <c r="U23" s="25"/>
      <c r="V23" s="26"/>
      <c r="X23" s="8"/>
      <c r="Y23" s="9"/>
      <c r="Z23" s="9"/>
      <c r="AA23" s="12"/>
      <c r="AB23" s="66"/>
    </row>
    <row r="24">
      <c r="B24" s="25"/>
      <c r="C24" s="16"/>
      <c r="I24" s="16"/>
      <c r="J24" s="25"/>
      <c r="K24" s="26"/>
      <c r="M24" s="25"/>
      <c r="N24" s="16"/>
      <c r="O24" s="25"/>
      <c r="T24" s="16"/>
      <c r="U24" s="25"/>
      <c r="V24" s="26"/>
      <c r="X24" s="31"/>
      <c r="Y24" s="1" t="s">
        <v>43</v>
      </c>
      <c r="Z24" s="32" t="s">
        <v>46</v>
      </c>
      <c r="AA24" s="33" t="s">
        <v>49</v>
      </c>
      <c r="AB24" s="66"/>
    </row>
    <row r="25">
      <c r="B25" s="25"/>
      <c r="C25" s="16"/>
      <c r="I25" s="16"/>
      <c r="J25" s="25"/>
      <c r="K25" s="26"/>
      <c r="M25" s="25"/>
      <c r="N25" s="16"/>
      <c r="O25" s="25"/>
      <c r="T25" s="16"/>
      <c r="U25" s="25"/>
      <c r="V25" s="26"/>
      <c r="X25" s="27" t="s">
        <v>34</v>
      </c>
      <c r="Y25" s="37" t="s">
        <v>57</v>
      </c>
      <c r="Z25" s="28" t="s">
        <v>36</v>
      </c>
      <c r="AA25" s="39" t="s">
        <v>37</v>
      </c>
      <c r="AB25" s="66"/>
    </row>
    <row r="26">
      <c r="B26" s="25"/>
      <c r="C26" s="16"/>
      <c r="I26" s="16"/>
      <c r="J26" s="25"/>
      <c r="K26" s="26"/>
      <c r="M26" s="25"/>
      <c r="N26" s="16"/>
      <c r="O26" s="25"/>
      <c r="T26" s="16"/>
      <c r="U26" s="25"/>
      <c r="V26" s="26"/>
      <c r="X26" s="30" t="s">
        <v>41</v>
      </c>
      <c r="Y26" s="40" t="s">
        <v>58</v>
      </c>
      <c r="Z26" s="21" t="s">
        <v>42</v>
      </c>
      <c r="AA26" s="41" t="s">
        <v>44</v>
      </c>
      <c r="AB26" s="66"/>
    </row>
    <row r="27">
      <c r="B27" s="8"/>
      <c r="C27" s="12"/>
      <c r="D27" s="9"/>
      <c r="E27" s="9"/>
      <c r="F27" s="9"/>
      <c r="G27" s="9"/>
      <c r="H27" s="9"/>
      <c r="I27" s="12"/>
      <c r="J27" s="8"/>
      <c r="K27" s="35"/>
      <c r="M27" s="8"/>
      <c r="N27" s="12"/>
      <c r="O27" s="8"/>
      <c r="P27" s="9"/>
      <c r="Q27" s="9"/>
      <c r="R27" s="9"/>
      <c r="S27" s="9"/>
      <c r="T27" s="12"/>
      <c r="U27" s="8"/>
      <c r="V27" s="35"/>
      <c r="X27" s="30" t="s">
        <v>47</v>
      </c>
      <c r="Y27" s="40" t="s">
        <v>62</v>
      </c>
      <c r="Z27" s="21" t="s">
        <v>48</v>
      </c>
      <c r="AA27" s="42" t="s">
        <v>51</v>
      </c>
      <c r="AB27" s="66"/>
    </row>
    <row r="28">
      <c r="B28" s="49">
        <v>1.0</v>
      </c>
      <c r="C28" s="29" t="s">
        <v>61</v>
      </c>
      <c r="D28" s="43"/>
      <c r="E28" s="44">
        <v>136.0</v>
      </c>
      <c r="F28" s="21">
        <v>98.0</v>
      </c>
      <c r="G28" s="44">
        <v>190.0</v>
      </c>
      <c r="H28" s="44">
        <v>110.0</v>
      </c>
      <c r="I28" s="47"/>
      <c r="J28" s="50">
        <f t="shared" ref="J28:J32" si="3">SUM(D28:I28)/IF(COUNTA(D28:I28)=0,1,COUNTA(D28:I28))</f>
        <v>133.5</v>
      </c>
      <c r="K28" s="31">
        <f>SUMPRODUCT(IF(D28:I28&gt;'Round Robin Transpose'!D28:I28,2,0))+SUMPRODUCT(IF(D28:I28='Round Robin Transpose'!D28:I28,1,0))-6+COUNTA(D28:I28)</f>
        <v>8</v>
      </c>
      <c r="M28" s="49">
        <v>1.0</v>
      </c>
      <c r="N28" s="29" t="s">
        <v>99</v>
      </c>
      <c r="O28" s="43"/>
      <c r="P28" s="44">
        <v>32.0</v>
      </c>
      <c r="Q28" s="21">
        <v>30.0</v>
      </c>
      <c r="R28" s="44">
        <v>70.0</v>
      </c>
      <c r="S28" s="44">
        <v>20.0</v>
      </c>
      <c r="T28" s="47"/>
      <c r="U28" s="50">
        <f t="shared" ref="U28:U32" si="4">SUM(O28:T28)/IF(COUNTA(O28:T28)=0,1,COUNTA(O28:T28))</f>
        <v>38</v>
      </c>
      <c r="V28" s="31">
        <f>SUMPRODUCT(IF(O28:T28&gt;'Round Robin Transpose'!O28:T28,2,IF(O28:T28='Round Robin Transpose'!O28:T28,1,0)))-6+COUNTA(O28:T28)</f>
        <v>0</v>
      </c>
      <c r="X28" s="30" t="s">
        <v>53</v>
      </c>
      <c r="Y28" s="40" t="s">
        <v>87</v>
      </c>
      <c r="Z28" s="21" t="s">
        <v>54</v>
      </c>
      <c r="AA28" s="41" t="s">
        <v>55</v>
      </c>
      <c r="AB28" s="66"/>
    </row>
    <row r="29">
      <c r="B29" s="36">
        <v>2.0</v>
      </c>
      <c r="C29" s="10" t="s">
        <v>8</v>
      </c>
      <c r="D29" s="44">
        <v>24.0</v>
      </c>
      <c r="E29" s="43"/>
      <c r="F29" s="21">
        <v>58.0</v>
      </c>
      <c r="G29" s="44">
        <v>80.0</v>
      </c>
      <c r="H29" s="44">
        <v>112.0</v>
      </c>
      <c r="I29" s="47"/>
      <c r="J29" s="31">
        <f t="shared" si="3"/>
        <v>68.5</v>
      </c>
      <c r="K29" s="31">
        <f>SUMPRODUCT(IF(D29:I29&gt;'Round Robin Transpose'!D29:I29,2,IF(D29:I29='Round Robin Transpose'!D29:I29,1,0)))-6+COUNTA(D29:I29)</f>
        <v>6</v>
      </c>
      <c r="M29" s="36">
        <v>2.0</v>
      </c>
      <c r="N29" s="10" t="s">
        <v>16</v>
      </c>
      <c r="O29" s="44">
        <v>72.0</v>
      </c>
      <c r="P29" s="43"/>
      <c r="Q29" s="21">
        <v>74.0</v>
      </c>
      <c r="R29" s="44">
        <v>86.0</v>
      </c>
      <c r="S29" s="44">
        <v>92.0</v>
      </c>
      <c r="T29" s="47"/>
      <c r="U29" s="31">
        <f t="shared" si="4"/>
        <v>81</v>
      </c>
      <c r="V29" s="31">
        <f>SUMPRODUCT(IF(O29:T29&gt;'Round Robin Transpose'!O29:T29,2,IF(O29:T29='Round Robin Transpose'!O29:T29,1,0)))-6+COUNTA(O29:T29)</f>
        <v>6</v>
      </c>
      <c r="X29" s="51" t="s">
        <v>70</v>
      </c>
      <c r="Y29" s="60" t="s">
        <v>101</v>
      </c>
      <c r="Z29" s="61" t="s">
        <v>72</v>
      </c>
      <c r="AA29" s="62" t="s">
        <v>73</v>
      </c>
      <c r="AB29" s="66"/>
    </row>
    <row r="30">
      <c r="B30" s="36">
        <v>3.0</v>
      </c>
      <c r="C30" s="10" t="s">
        <v>26</v>
      </c>
      <c r="D30" s="21">
        <v>74.0</v>
      </c>
      <c r="E30" s="21">
        <v>40.0</v>
      </c>
      <c r="F30" s="43"/>
      <c r="G30" s="21">
        <v>92.0</v>
      </c>
      <c r="H30" s="21">
        <v>118.0</v>
      </c>
      <c r="I30" s="47"/>
      <c r="J30" s="31">
        <f t="shared" si="3"/>
        <v>81</v>
      </c>
      <c r="K30" s="31">
        <f>SUMPRODUCT(IF(D30:I30&gt;'Round Robin Transpose'!D30:I30,2,IF(D30:I30='Round Robin Transpose'!D30:I30,1,0)))-6+COUNTA(D30:I30)</f>
        <v>4</v>
      </c>
      <c r="M30" s="36">
        <v>3.0</v>
      </c>
      <c r="N30" s="10" t="s">
        <v>69</v>
      </c>
      <c r="O30" s="21">
        <v>60.0</v>
      </c>
      <c r="P30" s="21">
        <v>98.0</v>
      </c>
      <c r="Q30" s="43"/>
      <c r="R30" s="21">
        <v>102.0</v>
      </c>
      <c r="S30" s="21">
        <v>124.0</v>
      </c>
      <c r="T30" s="47"/>
      <c r="U30" s="31">
        <f t="shared" si="4"/>
        <v>96</v>
      </c>
      <c r="V30" s="31">
        <f>SUMPRODUCT(IF(O30:T30&gt;'Round Robin Transpose'!O30:T30,2,IF(O30:T30='Round Robin Transpose'!O30:T30,1,0)))-6+COUNTA(O30:T30)</f>
        <v>8</v>
      </c>
    </row>
    <row r="31">
      <c r="B31" s="36">
        <v>4.0</v>
      </c>
      <c r="C31" s="10" t="s">
        <v>88</v>
      </c>
      <c r="D31" s="44">
        <v>0.0</v>
      </c>
      <c r="E31" s="44">
        <v>22.0</v>
      </c>
      <c r="F31" s="21">
        <v>60.0</v>
      </c>
      <c r="G31" s="43"/>
      <c r="H31" s="44">
        <v>74.0</v>
      </c>
      <c r="I31" s="47"/>
      <c r="J31" s="31">
        <f t="shared" si="3"/>
        <v>39</v>
      </c>
      <c r="K31" s="31">
        <f>SUMPRODUCT(IF(D31:I31&gt;'Round Robin Transpose'!D31:I31,2,IF(D31:I31='Round Robin Transpose'!D31:I31,1,0)))-6+COUNTA(D31:I31)</f>
        <v>2</v>
      </c>
      <c r="M31" s="36">
        <v>4.0</v>
      </c>
      <c r="N31" s="10" t="s">
        <v>93</v>
      </c>
      <c r="O31" s="44">
        <v>80.0</v>
      </c>
      <c r="P31" s="44">
        <v>72.0</v>
      </c>
      <c r="Q31" s="21">
        <v>56.0</v>
      </c>
      <c r="R31" s="43"/>
      <c r="S31" s="44">
        <v>28.0</v>
      </c>
      <c r="T31" s="47"/>
      <c r="U31" s="31">
        <f t="shared" si="4"/>
        <v>59</v>
      </c>
      <c r="V31" s="31">
        <f>SUMPRODUCT(IF(O31:T31&gt;'Round Robin Transpose'!O31:T31,2,IF(O31:T31='Round Robin Transpose'!O31:T31,1,0)))-6+COUNTA(O31:T31)</f>
        <v>2</v>
      </c>
    </row>
    <row r="32">
      <c r="B32" s="36">
        <v>5.0</v>
      </c>
      <c r="C32" s="10" t="s">
        <v>89</v>
      </c>
      <c r="D32" s="44">
        <v>4.0</v>
      </c>
      <c r="E32" s="44">
        <v>26.0</v>
      </c>
      <c r="F32" s="21">
        <v>22.0</v>
      </c>
      <c r="G32" s="44">
        <v>4.0</v>
      </c>
      <c r="H32" s="43"/>
      <c r="I32" s="47"/>
      <c r="J32" s="31">
        <f t="shared" si="3"/>
        <v>14</v>
      </c>
      <c r="K32" s="31">
        <f>SUMPRODUCT(IF(D32:I32&gt;'Round Robin Transpose'!D32:I32,2,IF(D32:I32='Round Robin Transpose'!D32:I32,1,0)))-6+COUNTA(D32:I32)</f>
        <v>0</v>
      </c>
      <c r="M32" s="36">
        <v>5.0</v>
      </c>
      <c r="N32" s="10" t="s">
        <v>94</v>
      </c>
      <c r="O32" s="44">
        <v>34.0</v>
      </c>
      <c r="P32" s="44">
        <v>38.0</v>
      </c>
      <c r="Q32" s="21">
        <v>40.0</v>
      </c>
      <c r="R32" s="44">
        <v>60.0</v>
      </c>
      <c r="S32" s="43"/>
      <c r="T32" s="47"/>
      <c r="U32" s="31">
        <f t="shared" si="4"/>
        <v>43</v>
      </c>
      <c r="V32" s="31">
        <f>SUMPRODUCT(IF(O32:T32&gt;'Round Robin Transpose'!O32:T32,2,IF(O32:T32='Round Robin Transpose'!O32:T32,1,0)))-6+COUNTA(O32:T32)</f>
        <v>4</v>
      </c>
    </row>
    <row r="33">
      <c r="B33" s="53">
        <v>6.0</v>
      </c>
      <c r="C33" s="13" t="s">
        <v>91</v>
      </c>
      <c r="D33" s="54"/>
      <c r="E33" s="54"/>
      <c r="F33" s="54"/>
      <c r="G33" s="54"/>
      <c r="H33" s="54"/>
      <c r="I33" s="55"/>
      <c r="J33" s="67"/>
      <c r="K33" s="67"/>
      <c r="M33" s="53">
        <v>6.0</v>
      </c>
      <c r="N33" s="13" t="s">
        <v>91</v>
      </c>
      <c r="O33" s="54"/>
      <c r="P33" s="54"/>
      <c r="Q33" s="54"/>
      <c r="R33" s="54"/>
      <c r="S33" s="54"/>
      <c r="T33" s="55"/>
      <c r="U33" s="67"/>
      <c r="V33" s="67"/>
    </row>
    <row r="36">
      <c r="B36" s="3" t="s">
        <v>103</v>
      </c>
      <c r="C36" s="5"/>
      <c r="D36" s="5"/>
      <c r="E36" s="5"/>
      <c r="F36" s="5"/>
      <c r="G36" s="5"/>
      <c r="H36" s="5"/>
      <c r="I36" s="5"/>
      <c r="J36" s="5"/>
      <c r="K36" s="6"/>
      <c r="M36" s="3" t="s">
        <v>104</v>
      </c>
      <c r="N36" s="5"/>
      <c r="O36" s="5"/>
      <c r="P36" s="5"/>
      <c r="Q36" s="5"/>
      <c r="R36" s="5"/>
      <c r="S36" s="5"/>
      <c r="T36" s="5"/>
      <c r="U36" s="5"/>
      <c r="V36" s="6"/>
    </row>
    <row r="37">
      <c r="B37" s="8"/>
      <c r="C37" s="9"/>
      <c r="D37" s="9"/>
      <c r="E37" s="9"/>
      <c r="F37" s="9"/>
      <c r="G37" s="9"/>
      <c r="H37" s="9"/>
      <c r="I37" s="9"/>
      <c r="J37" s="9"/>
      <c r="K37" s="12"/>
      <c r="M37" s="8"/>
      <c r="N37" s="9"/>
      <c r="O37" s="9"/>
      <c r="P37" s="9"/>
      <c r="Q37" s="9"/>
      <c r="R37" s="9"/>
      <c r="S37" s="9"/>
      <c r="T37" s="9"/>
      <c r="U37" s="9"/>
      <c r="V37" s="12"/>
      <c r="X37" s="14"/>
      <c r="Y37" s="14"/>
      <c r="Z37" s="14"/>
      <c r="AA37" s="14"/>
      <c r="AB37" s="64"/>
    </row>
    <row r="38">
      <c r="B38" s="15"/>
      <c r="C38" s="16"/>
      <c r="D38" s="17" t="s">
        <v>105</v>
      </c>
      <c r="E38" s="17" t="s">
        <v>106</v>
      </c>
      <c r="F38" s="17" t="s">
        <v>81</v>
      </c>
      <c r="G38" s="17" t="s">
        <v>31</v>
      </c>
      <c r="H38" s="17" t="s">
        <v>107</v>
      </c>
      <c r="I38" s="18" t="s">
        <v>91</v>
      </c>
      <c r="J38" s="19" t="s">
        <v>20</v>
      </c>
      <c r="K38" s="20" t="s">
        <v>21</v>
      </c>
      <c r="M38" s="15"/>
      <c r="N38" s="16"/>
      <c r="O38" s="17" t="s">
        <v>108</v>
      </c>
      <c r="P38" s="17" t="s">
        <v>77</v>
      </c>
      <c r="Q38" s="17" t="s">
        <v>40</v>
      </c>
      <c r="R38" s="17" t="s">
        <v>109</v>
      </c>
      <c r="S38" s="17" t="s">
        <v>6</v>
      </c>
      <c r="T38" s="18" t="s">
        <v>91</v>
      </c>
      <c r="U38" s="19" t="s">
        <v>20</v>
      </c>
      <c r="V38" s="20" t="s">
        <v>21</v>
      </c>
      <c r="X38" s="23" t="s">
        <v>32</v>
      </c>
      <c r="AB38" s="68"/>
    </row>
    <row r="39">
      <c r="B39" s="25"/>
      <c r="C39" s="16"/>
      <c r="I39" s="16"/>
      <c r="J39" s="25"/>
      <c r="K39" s="26"/>
      <c r="M39" s="25"/>
      <c r="N39" s="16"/>
      <c r="T39" s="16"/>
      <c r="U39" s="25"/>
      <c r="V39" s="26"/>
      <c r="X39" s="8"/>
      <c r="Y39" s="9"/>
      <c r="Z39" s="9"/>
      <c r="AA39" s="9"/>
      <c r="AB39" s="68"/>
    </row>
    <row r="40">
      <c r="B40" s="25"/>
      <c r="C40" s="16"/>
      <c r="I40" s="16"/>
      <c r="J40" s="25"/>
      <c r="K40" s="26"/>
      <c r="M40" s="25"/>
      <c r="N40" s="16"/>
      <c r="T40" s="16"/>
      <c r="U40" s="25"/>
      <c r="V40" s="26"/>
      <c r="X40" s="31"/>
      <c r="Y40" s="1" t="s">
        <v>43</v>
      </c>
      <c r="Z40" s="32" t="s">
        <v>46</v>
      </c>
      <c r="AA40" s="32" t="s">
        <v>49</v>
      </c>
      <c r="AB40" s="68"/>
    </row>
    <row r="41">
      <c r="B41" s="25"/>
      <c r="C41" s="16"/>
      <c r="I41" s="16"/>
      <c r="J41" s="25"/>
      <c r="K41" s="26"/>
      <c r="M41" s="25"/>
      <c r="N41" s="16"/>
      <c r="T41" s="16"/>
      <c r="U41" s="25"/>
      <c r="V41" s="26"/>
      <c r="X41" s="27" t="s">
        <v>34</v>
      </c>
      <c r="Y41" s="37" t="s">
        <v>57</v>
      </c>
      <c r="Z41" s="28" t="s">
        <v>36</v>
      </c>
      <c r="AA41" s="69" t="s">
        <v>37</v>
      </c>
      <c r="AB41" s="68"/>
    </row>
    <row r="42">
      <c r="B42" s="25"/>
      <c r="C42" s="16"/>
      <c r="I42" s="16"/>
      <c r="J42" s="25"/>
      <c r="K42" s="26"/>
      <c r="M42" s="25"/>
      <c r="N42" s="16"/>
      <c r="T42" s="16"/>
      <c r="U42" s="25"/>
      <c r="V42" s="26"/>
      <c r="X42" s="30" t="s">
        <v>41</v>
      </c>
      <c r="Y42" s="40" t="s">
        <v>58</v>
      </c>
      <c r="Z42" s="21" t="s">
        <v>42</v>
      </c>
      <c r="AA42" s="70" t="s">
        <v>44</v>
      </c>
      <c r="AB42" s="68"/>
    </row>
    <row r="43">
      <c r="B43" s="8"/>
      <c r="C43" s="12"/>
      <c r="D43" s="9"/>
      <c r="E43" s="9"/>
      <c r="F43" s="9"/>
      <c r="G43" s="9"/>
      <c r="H43" s="9"/>
      <c r="I43" s="12"/>
      <c r="J43" s="8"/>
      <c r="K43" s="35"/>
      <c r="M43" s="8"/>
      <c r="N43" s="12"/>
      <c r="O43" s="9"/>
      <c r="P43" s="9"/>
      <c r="Q43" s="9"/>
      <c r="R43" s="9"/>
      <c r="S43" s="9"/>
      <c r="T43" s="12"/>
      <c r="U43" s="8"/>
      <c r="V43" s="35"/>
      <c r="X43" s="30" t="s">
        <v>47</v>
      </c>
      <c r="Y43" s="40" t="s">
        <v>62</v>
      </c>
      <c r="Z43" s="21" t="s">
        <v>48</v>
      </c>
      <c r="AA43" s="71" t="s">
        <v>51</v>
      </c>
      <c r="AB43" s="68"/>
    </row>
    <row r="44">
      <c r="B44" s="49">
        <v>1.0</v>
      </c>
      <c r="C44" s="29" t="s">
        <v>105</v>
      </c>
      <c r="D44" s="43"/>
      <c r="E44" s="44">
        <v>62.0</v>
      </c>
      <c r="F44" s="21">
        <v>12.0</v>
      </c>
      <c r="G44" s="44">
        <v>10.0</v>
      </c>
      <c r="H44" s="44">
        <v>64.0</v>
      </c>
      <c r="I44" s="47"/>
      <c r="J44" s="50">
        <f t="shared" ref="J44:J48" si="5">SUM(D44:I44)/IF(COUNTA(D44:I44)=0,1,COUNTA(D44:I44))</f>
        <v>37</v>
      </c>
      <c r="K44" s="31">
        <f>SUMPRODUCT(IF(D44:I44&gt;'Round Robin Transpose'!D44:I44,2,IF(D44:I44='Round Robin Transpose'!D44:I44,1,0)))-6+COUNTA(D44:I44)</f>
        <v>4</v>
      </c>
      <c r="M44" s="49">
        <v>1.0</v>
      </c>
      <c r="N44" s="29" t="s">
        <v>108</v>
      </c>
      <c r="O44" s="72"/>
      <c r="P44" s="44">
        <v>68.0</v>
      </c>
      <c r="Q44" s="21">
        <v>52.0</v>
      </c>
      <c r="R44" s="44">
        <v>106.0</v>
      </c>
      <c r="S44" s="44">
        <v>50.0</v>
      </c>
      <c r="T44" s="47"/>
      <c r="U44" s="50">
        <f t="shared" ref="U44:U48" si="6">SUM(O44:T44)/IF(COUNTA(O44:T44)=0,1,COUNTA(O44:T44))</f>
        <v>69</v>
      </c>
      <c r="V44" s="31">
        <f>SUMPRODUCT(IF(O44:T44&gt;'Round Robin Transpose'!O44:T44,2,IF(O44:T44='Round Robin Transpose'!O44:T44,1,0)))-6+COUNTA(O44:T44)</f>
        <v>2</v>
      </c>
      <c r="X44" s="30" t="s">
        <v>53</v>
      </c>
      <c r="Y44" s="40" t="s">
        <v>87</v>
      </c>
      <c r="Z44" s="21" t="s">
        <v>54</v>
      </c>
      <c r="AA44" s="70" t="s">
        <v>55</v>
      </c>
      <c r="AB44" s="68"/>
    </row>
    <row r="45">
      <c r="B45" s="36">
        <v>2.0</v>
      </c>
      <c r="C45" s="10" t="s">
        <v>106</v>
      </c>
      <c r="D45" s="44">
        <v>12.0</v>
      </c>
      <c r="E45" s="43"/>
      <c r="F45" s="21">
        <v>34.0</v>
      </c>
      <c r="G45" s="44">
        <v>22.0</v>
      </c>
      <c r="H45" s="44">
        <v>24.0</v>
      </c>
      <c r="I45" s="47"/>
      <c r="J45" s="31">
        <f t="shared" si="5"/>
        <v>23</v>
      </c>
      <c r="K45" s="31">
        <f>SUMPRODUCT(IF(D45:I45&gt;'Round Robin Transpose'!D45:I45,2,IF(D45:I45='Round Robin Transpose'!D45:I45,1,0)))-6+COUNTA(D45:I45)</f>
        <v>0</v>
      </c>
      <c r="M45" s="36">
        <v>2.0</v>
      </c>
      <c r="N45" s="10" t="s">
        <v>77</v>
      </c>
      <c r="O45" s="44">
        <v>162.0</v>
      </c>
      <c r="P45" s="43"/>
      <c r="Q45" s="21">
        <v>106.0</v>
      </c>
      <c r="R45" s="44">
        <v>132.0</v>
      </c>
      <c r="S45" s="44">
        <v>106.0</v>
      </c>
      <c r="T45" s="47"/>
      <c r="U45" s="31">
        <f t="shared" si="6"/>
        <v>126.5</v>
      </c>
      <c r="V45" s="31">
        <f>SUMPRODUCT(IF(O45:T45&gt;'Round Robin Transpose'!O45:T45,2,IF(O45:T45='Round Robin Transpose'!O45:T45,1,0)))-6+COUNTA(O45:T45)</f>
        <v>8</v>
      </c>
      <c r="X45" s="51" t="s">
        <v>70</v>
      </c>
      <c r="Y45" s="60" t="s">
        <v>101</v>
      </c>
      <c r="Z45" s="61" t="s">
        <v>72</v>
      </c>
      <c r="AA45" s="73" t="s">
        <v>73</v>
      </c>
      <c r="AB45" s="68"/>
    </row>
    <row r="46">
      <c r="B46" s="36">
        <v>3.0</v>
      </c>
      <c r="C46" s="10" t="s">
        <v>81</v>
      </c>
      <c r="D46" s="21">
        <v>72.0</v>
      </c>
      <c r="E46" s="21">
        <v>54.0</v>
      </c>
      <c r="F46" s="43"/>
      <c r="G46" s="21">
        <v>14.0</v>
      </c>
      <c r="H46" s="21">
        <v>102.0</v>
      </c>
      <c r="I46" s="47"/>
      <c r="J46" s="31">
        <f t="shared" si="5"/>
        <v>60.5</v>
      </c>
      <c r="K46" s="31">
        <f>SUMPRODUCT(IF(D46:I46&gt;'Round Robin Transpose'!D46:I46,2,IF(D46:I46='Round Robin Transpose'!D46:I46,1,0)))-6+COUNTA(D46:I46)</f>
        <v>6</v>
      </c>
      <c r="M46" s="36">
        <v>3.0</v>
      </c>
      <c r="N46" s="10" t="s">
        <v>40</v>
      </c>
      <c r="O46" s="21">
        <v>62.0</v>
      </c>
      <c r="P46" s="21">
        <v>76.0</v>
      </c>
      <c r="Q46" s="43"/>
      <c r="R46" s="21">
        <v>132.0</v>
      </c>
      <c r="S46" s="21">
        <v>60.0</v>
      </c>
      <c r="T46" s="47"/>
      <c r="U46" s="31">
        <f t="shared" si="6"/>
        <v>82.5</v>
      </c>
      <c r="V46" s="31">
        <f>SUMPRODUCT(IF(O46:T46&gt;'Round Robin Transpose'!O46:T46,2,IF(O46:T46='Round Robin Transpose'!O46:T46,1,0)))-6+COUNTA(O46:T46)</f>
        <v>6</v>
      </c>
    </row>
    <row r="47">
      <c r="B47" s="36">
        <v>4.0</v>
      </c>
      <c r="C47" s="10" t="s">
        <v>31</v>
      </c>
      <c r="D47" s="44">
        <v>208.0</v>
      </c>
      <c r="E47" s="44">
        <v>110.0</v>
      </c>
      <c r="F47" s="21">
        <v>150.0</v>
      </c>
      <c r="G47" s="43"/>
      <c r="H47" s="74">
        <v>156.0</v>
      </c>
      <c r="I47" s="47"/>
      <c r="J47" s="31">
        <f t="shared" si="5"/>
        <v>156</v>
      </c>
      <c r="K47" s="31">
        <f>SUMPRODUCT(IF(D47:I47&gt;'Round Robin Transpose'!D47:I47,2,IF(D47:I47='Round Robin Transpose'!D47:I47,1,0)))-6+COUNTA(D47:I47)</f>
        <v>8</v>
      </c>
      <c r="M47" s="36">
        <v>4.0</v>
      </c>
      <c r="N47" s="10" t="s">
        <v>109</v>
      </c>
      <c r="O47" s="44">
        <v>28.0</v>
      </c>
      <c r="P47" s="44">
        <v>8.0</v>
      </c>
      <c r="Q47" s="21">
        <v>16.0</v>
      </c>
      <c r="R47" s="43"/>
      <c r="S47" s="44">
        <v>26.0</v>
      </c>
      <c r="T47" s="47"/>
      <c r="U47" s="31">
        <f t="shared" si="6"/>
        <v>19.5</v>
      </c>
      <c r="V47" s="31">
        <f>SUMPRODUCT(IF(O47:T47&gt;'Round Robin Transpose'!O47:T47,2,IF(O47:T47='Round Robin Transpose'!O47:T47,1,0)))-6+COUNTA(O47:T47)</f>
        <v>0</v>
      </c>
    </row>
    <row r="48">
      <c r="B48" s="36">
        <v>5.0</v>
      </c>
      <c r="C48" s="10" t="s">
        <v>107</v>
      </c>
      <c r="D48" s="44">
        <v>26.0</v>
      </c>
      <c r="E48" s="44">
        <v>82.0</v>
      </c>
      <c r="F48" s="21">
        <v>44.0</v>
      </c>
      <c r="G48" s="74">
        <v>50.6</v>
      </c>
      <c r="H48" s="43"/>
      <c r="I48" s="47"/>
      <c r="J48" s="31">
        <f t="shared" si="5"/>
        <v>50.65</v>
      </c>
      <c r="K48" s="31">
        <f>SUMPRODUCT(IF(D48:I48&gt;'Round Robin Transpose'!D48:I48,2,IF(D48:I48='Round Robin Transpose'!D48:I48,1,0)))-6+COUNTA(D48:I48)</f>
        <v>2</v>
      </c>
      <c r="M48" s="36">
        <v>5.0</v>
      </c>
      <c r="N48" s="10" t="s">
        <v>6</v>
      </c>
      <c r="O48" s="44">
        <v>104.0</v>
      </c>
      <c r="P48" s="44">
        <v>74.0</v>
      </c>
      <c r="Q48" s="21">
        <v>58.0</v>
      </c>
      <c r="R48" s="44">
        <v>94.0</v>
      </c>
      <c r="S48" s="43"/>
      <c r="T48" s="47"/>
      <c r="U48" s="31">
        <f t="shared" si="6"/>
        <v>82.5</v>
      </c>
      <c r="V48" s="31">
        <f>SUMPRODUCT(IF(O48:T48&gt;'Round Robin Transpose'!O48:T48,2,IF(O48:T48='Round Robin Transpose'!O48:T48,1,0)))-6+COUNTA(O48:T48)</f>
        <v>4</v>
      </c>
      <c r="AB48" s="21"/>
    </row>
    <row r="49">
      <c r="B49" s="53">
        <v>6.0</v>
      </c>
      <c r="C49" s="13" t="s">
        <v>91</v>
      </c>
      <c r="D49" s="54"/>
      <c r="E49" s="54"/>
      <c r="F49" s="54"/>
      <c r="G49" s="54"/>
      <c r="H49" s="54"/>
      <c r="I49" s="55"/>
      <c r="J49" s="67"/>
      <c r="K49" s="67"/>
      <c r="M49" s="53">
        <v>6.0</v>
      </c>
      <c r="N49" s="13" t="s">
        <v>91</v>
      </c>
      <c r="O49" s="54"/>
      <c r="P49" s="54"/>
      <c r="Q49" s="54"/>
      <c r="R49" s="54"/>
      <c r="S49" s="54"/>
      <c r="T49" s="55"/>
      <c r="U49" s="67"/>
      <c r="V49" s="67"/>
    </row>
  </sheetData>
  <mergeCells count="63">
    <mergeCell ref="I22:I27"/>
    <mergeCell ref="J22:J27"/>
    <mergeCell ref="J6:J11"/>
    <mergeCell ref="K6:K11"/>
    <mergeCell ref="B20:K21"/>
    <mergeCell ref="D22:D27"/>
    <mergeCell ref="E22:E27"/>
    <mergeCell ref="F22:F27"/>
    <mergeCell ref="K22:K27"/>
    <mergeCell ref="H38:H43"/>
    <mergeCell ref="I38:I43"/>
    <mergeCell ref="B22:C27"/>
    <mergeCell ref="B36:K37"/>
    <mergeCell ref="B38:C43"/>
    <mergeCell ref="D38:D43"/>
    <mergeCell ref="E38:E43"/>
    <mergeCell ref="F38:F43"/>
    <mergeCell ref="G38:G43"/>
    <mergeCell ref="S38:S43"/>
    <mergeCell ref="T38:T43"/>
    <mergeCell ref="U38:U43"/>
    <mergeCell ref="V38:V43"/>
    <mergeCell ref="J38:J43"/>
    <mergeCell ref="K38:K43"/>
    <mergeCell ref="M38:N43"/>
    <mergeCell ref="O38:O43"/>
    <mergeCell ref="P38:P43"/>
    <mergeCell ref="Q38:Q43"/>
    <mergeCell ref="R38:R43"/>
    <mergeCell ref="H6:H11"/>
    <mergeCell ref="I6:I11"/>
    <mergeCell ref="M6:N11"/>
    <mergeCell ref="O6:O11"/>
    <mergeCell ref="M20:V21"/>
    <mergeCell ref="M36:V37"/>
    <mergeCell ref="P6:P11"/>
    <mergeCell ref="Q6:Q11"/>
    <mergeCell ref="R6:R11"/>
    <mergeCell ref="S6:S11"/>
    <mergeCell ref="T6:T11"/>
    <mergeCell ref="U6:U11"/>
    <mergeCell ref="X6:AB7"/>
    <mergeCell ref="B4:K5"/>
    <mergeCell ref="M4:V5"/>
    <mergeCell ref="B6:C11"/>
    <mergeCell ref="D6:D11"/>
    <mergeCell ref="E6:E11"/>
    <mergeCell ref="F6:F11"/>
    <mergeCell ref="G6:G11"/>
    <mergeCell ref="V6:V11"/>
    <mergeCell ref="S22:S27"/>
    <mergeCell ref="T22:T27"/>
    <mergeCell ref="U22:U27"/>
    <mergeCell ref="V22:V27"/>
    <mergeCell ref="X22:AA23"/>
    <mergeCell ref="X38:AA39"/>
    <mergeCell ref="G22:G27"/>
    <mergeCell ref="H22:H27"/>
    <mergeCell ref="M22:N27"/>
    <mergeCell ref="O22:O27"/>
    <mergeCell ref="P22:P27"/>
    <mergeCell ref="Q22:Q27"/>
    <mergeCell ref="R22:R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25"/>
    <col customWidth="1" min="3" max="3" width="16.38"/>
    <col customWidth="1" min="4" max="10" width="3.63"/>
    <col customWidth="1" min="11" max="11" width="4.75"/>
    <col customWidth="1" min="13" max="13" width="3.25"/>
    <col customWidth="1" min="14" max="14" width="16.38"/>
    <col customWidth="1" min="15" max="20" width="3.63"/>
    <col customWidth="1" min="22" max="25" width="7.63"/>
  </cols>
  <sheetData>
    <row r="4">
      <c r="B4" s="3" t="s">
        <v>0</v>
      </c>
      <c r="C4" s="5"/>
      <c r="D4" s="5"/>
      <c r="E4" s="5"/>
      <c r="F4" s="5"/>
      <c r="G4" s="5"/>
      <c r="H4" s="5"/>
      <c r="I4" s="5"/>
      <c r="J4" s="5"/>
      <c r="K4" s="6"/>
      <c r="M4" s="3" t="s">
        <v>3</v>
      </c>
      <c r="N4" s="5"/>
      <c r="O4" s="5"/>
      <c r="P4" s="5"/>
      <c r="Q4" s="5"/>
      <c r="R4" s="5"/>
      <c r="S4" s="5"/>
      <c r="T4" s="6"/>
    </row>
    <row r="5">
      <c r="B5" s="8"/>
      <c r="C5" s="9"/>
      <c r="D5" s="9"/>
      <c r="E5" s="9"/>
      <c r="F5" s="9"/>
      <c r="G5" s="9"/>
      <c r="H5" s="9"/>
      <c r="I5" s="9"/>
      <c r="J5" s="9"/>
      <c r="K5" s="12"/>
      <c r="M5" s="8"/>
      <c r="N5" s="9"/>
      <c r="O5" s="9"/>
      <c r="P5" s="9"/>
      <c r="Q5" s="9"/>
      <c r="R5" s="9"/>
      <c r="S5" s="9"/>
      <c r="T5" s="12"/>
      <c r="V5" s="14"/>
      <c r="W5" s="14"/>
      <c r="X5" s="14"/>
      <c r="Y5" s="14"/>
    </row>
    <row r="6" ht="15.75" customHeight="1">
      <c r="B6" s="15"/>
      <c r="C6" s="16"/>
      <c r="D6" s="17" t="s">
        <v>2</v>
      </c>
      <c r="E6" s="17" t="s">
        <v>9</v>
      </c>
      <c r="F6" s="17" t="s">
        <v>10</v>
      </c>
      <c r="G6" s="17" t="s">
        <v>11</v>
      </c>
      <c r="H6" s="17" t="s">
        <v>13</v>
      </c>
      <c r="I6" s="18" t="s">
        <v>17</v>
      </c>
      <c r="J6" s="19" t="s">
        <v>20</v>
      </c>
      <c r="K6" s="20" t="s">
        <v>21</v>
      </c>
      <c r="M6" s="15"/>
      <c r="N6" s="16"/>
      <c r="O6" s="17" t="s">
        <v>23</v>
      </c>
      <c r="P6" s="17" t="s">
        <v>25</v>
      </c>
      <c r="Q6" s="17" t="s">
        <v>27</v>
      </c>
      <c r="R6" s="17" t="s">
        <v>28</v>
      </c>
      <c r="S6" s="17" t="s">
        <v>19</v>
      </c>
      <c r="T6" s="22" t="s">
        <v>29</v>
      </c>
      <c r="V6" s="23" t="s">
        <v>30</v>
      </c>
      <c r="Y6" s="16"/>
    </row>
    <row r="7" ht="15.75" customHeight="1">
      <c r="B7" s="25"/>
      <c r="C7" s="16"/>
      <c r="I7" s="16"/>
      <c r="J7" s="25"/>
      <c r="K7" s="26"/>
      <c r="M7" s="25"/>
      <c r="N7" s="16"/>
      <c r="T7" s="16"/>
      <c r="V7" s="8"/>
      <c r="W7" s="9"/>
      <c r="X7" s="9"/>
      <c r="Y7" s="12"/>
    </row>
    <row r="8" ht="15.75" customHeight="1">
      <c r="B8" s="25"/>
      <c r="C8" s="16"/>
      <c r="I8" s="16"/>
      <c r="J8" s="25"/>
      <c r="K8" s="26"/>
      <c r="M8" s="25"/>
      <c r="N8" s="16"/>
      <c r="T8" s="16"/>
      <c r="V8" s="27" t="s">
        <v>34</v>
      </c>
      <c r="W8" s="28" t="s">
        <v>36</v>
      </c>
      <c r="X8" s="28" t="s">
        <v>37</v>
      </c>
      <c r="Y8" s="29" t="s">
        <v>38</v>
      </c>
    </row>
    <row r="9" ht="15.75" customHeight="1">
      <c r="B9" s="25"/>
      <c r="C9" s="16"/>
      <c r="I9" s="16"/>
      <c r="J9" s="25"/>
      <c r="K9" s="26"/>
      <c r="M9" s="25"/>
      <c r="N9" s="16"/>
      <c r="T9" s="16"/>
      <c r="V9" s="30" t="s">
        <v>41</v>
      </c>
      <c r="W9" s="21" t="s">
        <v>42</v>
      </c>
      <c r="X9" s="21" t="s">
        <v>44</v>
      </c>
      <c r="Y9" s="10" t="s">
        <v>45</v>
      </c>
    </row>
    <row r="10" ht="15.75" customHeight="1">
      <c r="B10" s="25"/>
      <c r="C10" s="16"/>
      <c r="I10" s="16"/>
      <c r="J10" s="25"/>
      <c r="K10" s="26"/>
      <c r="M10" s="25"/>
      <c r="N10" s="16"/>
      <c r="T10" s="16"/>
      <c r="V10" s="30" t="s">
        <v>47</v>
      </c>
      <c r="W10" s="21" t="s">
        <v>48</v>
      </c>
      <c r="X10" s="21" t="s">
        <v>50</v>
      </c>
      <c r="Y10" s="10" t="s">
        <v>51</v>
      </c>
    </row>
    <row r="11" ht="15.75" customHeight="1">
      <c r="B11" s="8"/>
      <c r="C11" s="12"/>
      <c r="D11" s="9"/>
      <c r="E11" s="9"/>
      <c r="F11" s="9"/>
      <c r="G11" s="9"/>
      <c r="H11" s="9"/>
      <c r="I11" s="12"/>
      <c r="J11" s="8"/>
      <c r="K11" s="35"/>
      <c r="M11" s="8"/>
      <c r="N11" s="12"/>
      <c r="O11" s="9"/>
      <c r="P11" s="9"/>
      <c r="Q11" s="9"/>
      <c r="R11" s="9"/>
      <c r="S11" s="9"/>
      <c r="T11" s="12"/>
      <c r="V11" s="30" t="s">
        <v>53</v>
      </c>
      <c r="W11" s="21" t="s">
        <v>54</v>
      </c>
      <c r="X11" s="21" t="s">
        <v>55</v>
      </c>
      <c r="Y11" s="10" t="s">
        <v>56</v>
      </c>
    </row>
    <row r="12">
      <c r="B12" s="36">
        <v>1.0</v>
      </c>
      <c r="C12" s="38" t="s">
        <v>2</v>
      </c>
      <c r="D12" s="43" t="str">
        <f t="array" ref="D12:I17">TRANSPOSE('Round Robin'!D12:I17)</f>
        <v/>
      </c>
      <c r="E12" s="44">
        <v>12.0</v>
      </c>
      <c r="F12" s="4">
        <v>8.0</v>
      </c>
      <c r="G12" s="46">
        <v>88.0</v>
      </c>
      <c r="H12" s="46">
        <v>22.0</v>
      </c>
      <c r="I12" s="47">
        <v>0.0</v>
      </c>
      <c r="J12" s="48"/>
      <c r="K12" s="31"/>
      <c r="M12" s="49">
        <v>1.0</v>
      </c>
      <c r="N12" s="29" t="s">
        <v>23</v>
      </c>
      <c r="O12" s="43" t="str">
        <f t="array" ref="O12:T17">TRANSPOSE('Round Robin'!O12:T17)</f>
        <v/>
      </c>
      <c r="P12" s="44">
        <v>44.0</v>
      </c>
      <c r="Q12" s="4">
        <v>110.0</v>
      </c>
      <c r="R12" s="46">
        <v>88.0</v>
      </c>
      <c r="S12" s="46">
        <v>68.0</v>
      </c>
      <c r="T12" s="47">
        <v>40.0</v>
      </c>
      <c r="V12" s="51" t="s">
        <v>70</v>
      </c>
      <c r="W12" s="2" t="s">
        <v>71</v>
      </c>
      <c r="X12" s="2" t="s">
        <v>72</v>
      </c>
      <c r="Y12" s="13" t="s">
        <v>73</v>
      </c>
    </row>
    <row r="13">
      <c r="B13" s="36">
        <v>2.0</v>
      </c>
      <c r="C13" s="7" t="s">
        <v>9</v>
      </c>
      <c r="D13" s="44">
        <v>178.0</v>
      </c>
      <c r="E13" s="43"/>
      <c r="F13" s="4">
        <v>44.0</v>
      </c>
      <c r="G13" s="46">
        <v>154.0</v>
      </c>
      <c r="H13" s="46">
        <v>22.0</v>
      </c>
      <c r="I13" s="47">
        <v>72.0</v>
      </c>
      <c r="J13" s="48"/>
      <c r="K13" s="31"/>
      <c r="M13" s="36">
        <v>2.0</v>
      </c>
      <c r="N13" s="10" t="s">
        <v>25</v>
      </c>
      <c r="O13" s="44">
        <v>34.0</v>
      </c>
      <c r="P13" s="43"/>
      <c r="Q13" s="4">
        <v>68.0</v>
      </c>
      <c r="R13" s="46">
        <v>54.0</v>
      </c>
      <c r="S13" s="46">
        <v>100.0</v>
      </c>
      <c r="T13" s="47">
        <v>46.0</v>
      </c>
    </row>
    <row r="14">
      <c r="B14" s="36">
        <v>3.0</v>
      </c>
      <c r="C14" s="7" t="s">
        <v>10</v>
      </c>
      <c r="D14" s="4">
        <v>122.0</v>
      </c>
      <c r="E14" s="4">
        <v>18.0</v>
      </c>
      <c r="F14" s="43"/>
      <c r="G14" s="4">
        <v>130.0</v>
      </c>
      <c r="H14" s="4">
        <v>46.0</v>
      </c>
      <c r="I14" s="47">
        <v>38.0</v>
      </c>
      <c r="J14" s="48"/>
      <c r="K14" s="31"/>
      <c r="M14" s="36">
        <v>3.0</v>
      </c>
      <c r="N14" s="10" t="s">
        <v>27</v>
      </c>
      <c r="O14" s="4">
        <v>36.0</v>
      </c>
      <c r="P14" s="4">
        <v>52.0</v>
      </c>
      <c r="Q14" s="43"/>
      <c r="R14" s="4">
        <v>22.0</v>
      </c>
      <c r="S14" s="4">
        <v>108.0</v>
      </c>
      <c r="T14" s="47">
        <v>26.0</v>
      </c>
    </row>
    <row r="15">
      <c r="B15" s="36">
        <v>4.0</v>
      </c>
      <c r="C15" s="7" t="s">
        <v>11</v>
      </c>
      <c r="D15" s="46">
        <v>168.0</v>
      </c>
      <c r="E15" s="46">
        <v>8.0</v>
      </c>
      <c r="F15" s="4">
        <v>32.0</v>
      </c>
      <c r="G15" s="43"/>
      <c r="H15" s="46">
        <v>-4.0</v>
      </c>
      <c r="I15" s="47">
        <v>12.0</v>
      </c>
      <c r="J15" s="48"/>
      <c r="K15" s="31"/>
      <c r="M15" s="36">
        <v>4.0</v>
      </c>
      <c r="N15" s="10" t="s">
        <v>28</v>
      </c>
      <c r="O15" s="46">
        <v>30.0</v>
      </c>
      <c r="P15" s="46">
        <v>74.0</v>
      </c>
      <c r="Q15" s="4">
        <v>142.0</v>
      </c>
      <c r="R15" s="43"/>
      <c r="S15" s="46">
        <v>88.0</v>
      </c>
      <c r="T15" s="47">
        <v>76.0</v>
      </c>
    </row>
    <row r="16">
      <c r="B16" s="36">
        <v>5.0</v>
      </c>
      <c r="C16" s="7" t="s">
        <v>13</v>
      </c>
      <c r="D16" s="46">
        <v>106.0</v>
      </c>
      <c r="E16" s="46">
        <v>42.0</v>
      </c>
      <c r="F16" s="4">
        <v>44.0</v>
      </c>
      <c r="G16" s="46">
        <v>106.0</v>
      </c>
      <c r="H16" s="43"/>
      <c r="I16" s="47">
        <v>24.0</v>
      </c>
      <c r="J16" s="48"/>
      <c r="K16" s="31"/>
      <c r="M16" s="36">
        <v>5.0</v>
      </c>
      <c r="N16" s="10" t="s">
        <v>19</v>
      </c>
      <c r="O16" s="46">
        <v>32.0</v>
      </c>
      <c r="P16" s="46">
        <v>48.0</v>
      </c>
      <c r="Q16" s="4">
        <v>94.0</v>
      </c>
      <c r="R16" s="46">
        <v>54.0</v>
      </c>
      <c r="S16" s="43"/>
      <c r="T16" s="47">
        <v>22.0</v>
      </c>
    </row>
    <row r="17">
      <c r="B17" s="53">
        <v>6.0</v>
      </c>
      <c r="C17" s="24" t="s">
        <v>17</v>
      </c>
      <c r="D17" s="54">
        <v>124.0</v>
      </c>
      <c r="E17" s="54">
        <v>28.0</v>
      </c>
      <c r="F17" s="54">
        <v>54.0</v>
      </c>
      <c r="G17" s="54">
        <v>92.0</v>
      </c>
      <c r="H17" s="54">
        <v>76.0</v>
      </c>
      <c r="I17" s="55"/>
      <c r="J17" s="56"/>
      <c r="K17" s="57"/>
      <c r="M17" s="53">
        <v>6.0</v>
      </c>
      <c r="N17" s="13" t="s">
        <v>8</v>
      </c>
      <c r="O17" s="54">
        <v>40.0</v>
      </c>
      <c r="P17" s="54">
        <v>122.0</v>
      </c>
      <c r="Q17" s="54">
        <v>106.0</v>
      </c>
      <c r="R17" s="54">
        <v>72.0</v>
      </c>
      <c r="S17" s="54">
        <v>192.0</v>
      </c>
      <c r="T17" s="55"/>
    </row>
    <row r="20">
      <c r="B20" s="3" t="s">
        <v>82</v>
      </c>
      <c r="C20" s="5"/>
      <c r="D20" s="5"/>
      <c r="E20" s="5"/>
      <c r="F20" s="5"/>
      <c r="G20" s="5"/>
      <c r="H20" s="5"/>
      <c r="I20" s="6"/>
      <c r="M20" s="3" t="s">
        <v>84</v>
      </c>
      <c r="N20" s="5"/>
      <c r="O20" s="5"/>
      <c r="P20" s="5"/>
      <c r="Q20" s="5"/>
      <c r="R20" s="5"/>
      <c r="S20" s="5"/>
      <c r="T20" s="6"/>
    </row>
    <row r="21">
      <c r="B21" s="8"/>
      <c r="C21" s="9"/>
      <c r="D21" s="9"/>
      <c r="E21" s="9"/>
      <c r="F21" s="9"/>
      <c r="G21" s="9"/>
      <c r="H21" s="9"/>
      <c r="I21" s="12"/>
      <c r="M21" s="8"/>
      <c r="N21" s="9"/>
      <c r="O21" s="9"/>
      <c r="P21" s="9"/>
      <c r="Q21" s="9"/>
      <c r="R21" s="9"/>
      <c r="S21" s="9"/>
      <c r="T21" s="12"/>
      <c r="V21" s="14"/>
      <c r="W21" s="14"/>
      <c r="X21" s="14"/>
      <c r="Y21" s="14"/>
    </row>
    <row r="22">
      <c r="B22" s="15"/>
      <c r="C22" s="16"/>
      <c r="D22" s="17" t="s">
        <v>61</v>
      </c>
      <c r="E22" s="58" t="s">
        <v>8</v>
      </c>
      <c r="F22" s="17" t="s">
        <v>26</v>
      </c>
      <c r="G22" s="17" t="s">
        <v>88</v>
      </c>
      <c r="H22" s="17" t="s">
        <v>89</v>
      </c>
      <c r="I22" s="18" t="s">
        <v>91</v>
      </c>
      <c r="M22" s="15"/>
      <c r="N22" s="16"/>
      <c r="O22" s="17" t="s">
        <v>17</v>
      </c>
      <c r="P22" s="17" t="s">
        <v>16</v>
      </c>
      <c r="Q22" s="17" t="s">
        <v>69</v>
      </c>
      <c r="R22" s="17" t="s">
        <v>93</v>
      </c>
      <c r="S22" s="17" t="s">
        <v>94</v>
      </c>
      <c r="T22" s="18" t="s">
        <v>91</v>
      </c>
      <c r="V22" s="23" t="s">
        <v>30</v>
      </c>
      <c r="Y22" s="16"/>
    </row>
    <row r="23">
      <c r="B23" s="25"/>
      <c r="C23" s="16"/>
      <c r="I23" s="16"/>
      <c r="M23" s="25"/>
      <c r="N23" s="16"/>
      <c r="T23" s="16"/>
      <c r="V23" s="8"/>
      <c r="W23" s="9"/>
      <c r="X23" s="9"/>
      <c r="Y23" s="12"/>
    </row>
    <row r="24">
      <c r="B24" s="25"/>
      <c r="C24" s="16"/>
      <c r="I24" s="16"/>
      <c r="M24" s="25"/>
      <c r="N24" s="16"/>
      <c r="T24" s="16"/>
      <c r="V24" s="27" t="s">
        <v>34</v>
      </c>
      <c r="W24" s="28" t="s">
        <v>36</v>
      </c>
      <c r="X24" s="28" t="s">
        <v>37</v>
      </c>
      <c r="Y24" s="29" t="s">
        <v>38</v>
      </c>
    </row>
    <row r="25">
      <c r="B25" s="25"/>
      <c r="C25" s="16"/>
      <c r="I25" s="16"/>
      <c r="M25" s="25"/>
      <c r="N25" s="16"/>
      <c r="T25" s="16"/>
      <c r="V25" s="30" t="s">
        <v>41</v>
      </c>
      <c r="W25" s="21" t="s">
        <v>42</v>
      </c>
      <c r="X25" s="21" t="s">
        <v>44</v>
      </c>
      <c r="Y25" s="10" t="s">
        <v>45</v>
      </c>
    </row>
    <row r="26">
      <c r="B26" s="25"/>
      <c r="C26" s="16"/>
      <c r="I26" s="16"/>
      <c r="M26" s="25"/>
      <c r="N26" s="16"/>
      <c r="T26" s="16"/>
      <c r="V26" s="30" t="s">
        <v>47</v>
      </c>
      <c r="W26" s="21" t="s">
        <v>48</v>
      </c>
      <c r="X26" s="21" t="s">
        <v>50</v>
      </c>
      <c r="Y26" s="10" t="s">
        <v>51</v>
      </c>
    </row>
    <row r="27">
      <c r="B27" s="8"/>
      <c r="C27" s="12"/>
      <c r="D27" s="9"/>
      <c r="E27" s="9"/>
      <c r="F27" s="9"/>
      <c r="G27" s="9"/>
      <c r="H27" s="9"/>
      <c r="I27" s="12"/>
      <c r="M27" s="8"/>
      <c r="N27" s="12"/>
      <c r="O27" s="9"/>
      <c r="P27" s="9"/>
      <c r="Q27" s="9"/>
      <c r="R27" s="9"/>
      <c r="S27" s="9"/>
      <c r="T27" s="12"/>
      <c r="V27" s="30" t="s">
        <v>53</v>
      </c>
      <c r="W27" s="21" t="s">
        <v>54</v>
      </c>
      <c r="X27" s="21" t="s">
        <v>55</v>
      </c>
      <c r="Y27" s="10" t="s">
        <v>56</v>
      </c>
    </row>
    <row r="28">
      <c r="B28" s="49">
        <v>1.0</v>
      </c>
      <c r="C28" s="29" t="s">
        <v>61</v>
      </c>
      <c r="D28" s="43" t="str">
        <f t="array" ref="D28:I33">TRANSPOSE('Round Robin'!D28:I33)</f>
        <v/>
      </c>
      <c r="E28" s="44">
        <v>24.0</v>
      </c>
      <c r="F28" s="4">
        <v>74.0</v>
      </c>
      <c r="G28" s="46">
        <v>0.0</v>
      </c>
      <c r="H28" s="46">
        <v>4.0</v>
      </c>
      <c r="I28" s="47"/>
      <c r="M28" s="49">
        <v>1.0</v>
      </c>
      <c r="N28" s="29" t="s">
        <v>99</v>
      </c>
      <c r="O28" s="43" t="str">
        <f t="array" ref="O28:T33">TRANSPOSE('Round Robin'!O28:T33)</f>
        <v/>
      </c>
      <c r="P28" s="44">
        <v>72.0</v>
      </c>
      <c r="Q28" s="4">
        <v>60.0</v>
      </c>
      <c r="R28" s="46">
        <v>80.0</v>
      </c>
      <c r="S28" s="46">
        <v>34.0</v>
      </c>
      <c r="T28" s="47"/>
      <c r="V28" s="51" t="s">
        <v>70</v>
      </c>
      <c r="W28" s="2" t="s">
        <v>71</v>
      </c>
      <c r="X28" s="2" t="s">
        <v>72</v>
      </c>
      <c r="Y28" s="13" t="s">
        <v>73</v>
      </c>
    </row>
    <row r="29">
      <c r="B29" s="36">
        <v>2.0</v>
      </c>
      <c r="C29" s="10" t="s">
        <v>29</v>
      </c>
      <c r="D29" s="44">
        <v>136.0</v>
      </c>
      <c r="E29" s="43"/>
      <c r="F29" s="4">
        <v>40.0</v>
      </c>
      <c r="G29" s="46">
        <v>22.0</v>
      </c>
      <c r="H29" s="46">
        <v>26.0</v>
      </c>
      <c r="I29" s="47"/>
      <c r="M29" s="36">
        <v>2.0</v>
      </c>
      <c r="N29" s="10" t="s">
        <v>16</v>
      </c>
      <c r="O29" s="44">
        <v>32.0</v>
      </c>
      <c r="P29" s="43"/>
      <c r="Q29" s="4">
        <v>98.0</v>
      </c>
      <c r="R29" s="46">
        <v>72.0</v>
      </c>
      <c r="S29" s="46">
        <v>38.0</v>
      </c>
      <c r="T29" s="47"/>
    </row>
    <row r="30">
      <c r="B30" s="36">
        <v>3.0</v>
      </c>
      <c r="C30" s="10" t="s">
        <v>26</v>
      </c>
      <c r="D30" s="4">
        <v>98.0</v>
      </c>
      <c r="E30" s="4">
        <v>58.0</v>
      </c>
      <c r="F30" s="43"/>
      <c r="G30" s="4">
        <v>60.0</v>
      </c>
      <c r="H30" s="4">
        <v>22.0</v>
      </c>
      <c r="I30" s="47"/>
      <c r="M30" s="36">
        <v>3.0</v>
      </c>
      <c r="N30" s="10" t="s">
        <v>69</v>
      </c>
      <c r="O30" s="4">
        <v>30.0</v>
      </c>
      <c r="P30" s="4">
        <v>74.0</v>
      </c>
      <c r="Q30" s="43"/>
      <c r="R30" s="4">
        <v>56.0</v>
      </c>
      <c r="S30" s="4">
        <v>40.0</v>
      </c>
      <c r="T30" s="47"/>
    </row>
    <row r="31">
      <c r="B31" s="36">
        <v>4.0</v>
      </c>
      <c r="C31" s="10" t="s">
        <v>88</v>
      </c>
      <c r="D31" s="46">
        <v>190.0</v>
      </c>
      <c r="E31" s="46">
        <v>80.0</v>
      </c>
      <c r="F31" s="4">
        <v>92.0</v>
      </c>
      <c r="G31" s="43"/>
      <c r="H31" s="46">
        <v>4.0</v>
      </c>
      <c r="I31" s="47"/>
      <c r="M31" s="36">
        <v>4.0</v>
      </c>
      <c r="N31" s="10" t="s">
        <v>93</v>
      </c>
      <c r="O31" s="46">
        <v>70.0</v>
      </c>
      <c r="P31" s="46">
        <v>86.0</v>
      </c>
      <c r="Q31" s="4">
        <v>102.0</v>
      </c>
      <c r="R31" s="43"/>
      <c r="S31" s="46">
        <v>60.0</v>
      </c>
      <c r="T31" s="47"/>
    </row>
    <row r="32">
      <c r="B32" s="36">
        <v>5.0</v>
      </c>
      <c r="C32" s="10" t="s">
        <v>89</v>
      </c>
      <c r="D32" s="46">
        <v>110.0</v>
      </c>
      <c r="E32" s="46">
        <v>112.0</v>
      </c>
      <c r="F32" s="4">
        <v>118.0</v>
      </c>
      <c r="G32" s="46">
        <v>74.0</v>
      </c>
      <c r="H32" s="43"/>
      <c r="I32" s="47"/>
      <c r="M32" s="36">
        <v>5.0</v>
      </c>
      <c r="N32" s="10" t="s">
        <v>94</v>
      </c>
      <c r="O32" s="46">
        <v>20.0</v>
      </c>
      <c r="P32" s="46">
        <v>92.0</v>
      </c>
      <c r="Q32" s="4">
        <v>124.0</v>
      </c>
      <c r="R32" s="46">
        <v>28.0</v>
      </c>
      <c r="S32" s="43"/>
      <c r="T32" s="47"/>
    </row>
    <row r="33">
      <c r="B33" s="53">
        <v>6.0</v>
      </c>
      <c r="C33" s="13" t="s">
        <v>91</v>
      </c>
      <c r="D33" s="54"/>
      <c r="E33" s="54"/>
      <c r="F33" s="54"/>
      <c r="G33" s="54"/>
      <c r="H33" s="54"/>
      <c r="I33" s="55"/>
      <c r="M33" s="53">
        <v>6.0</v>
      </c>
      <c r="N33" s="13" t="s">
        <v>91</v>
      </c>
      <c r="O33" s="54"/>
      <c r="P33" s="54"/>
      <c r="Q33" s="54"/>
      <c r="R33" s="54"/>
      <c r="S33" s="54"/>
      <c r="T33" s="55"/>
    </row>
    <row r="36">
      <c r="B36" s="3" t="s">
        <v>103</v>
      </c>
      <c r="C36" s="5"/>
      <c r="D36" s="5"/>
      <c r="E36" s="5"/>
      <c r="F36" s="5"/>
      <c r="G36" s="5"/>
      <c r="H36" s="5"/>
      <c r="I36" s="6"/>
      <c r="M36" s="3" t="s">
        <v>104</v>
      </c>
      <c r="N36" s="5"/>
      <c r="O36" s="5"/>
      <c r="P36" s="5"/>
      <c r="Q36" s="5"/>
      <c r="R36" s="5"/>
      <c r="S36" s="5"/>
      <c r="T36" s="6"/>
    </row>
    <row r="37">
      <c r="B37" s="8"/>
      <c r="C37" s="9"/>
      <c r="D37" s="9"/>
      <c r="E37" s="9"/>
      <c r="F37" s="9"/>
      <c r="G37" s="9"/>
      <c r="H37" s="9"/>
      <c r="I37" s="12"/>
      <c r="M37" s="8"/>
      <c r="N37" s="9"/>
      <c r="O37" s="9"/>
      <c r="P37" s="9"/>
      <c r="Q37" s="9"/>
      <c r="R37" s="9"/>
      <c r="S37" s="9"/>
      <c r="T37" s="12"/>
      <c r="V37" s="14"/>
      <c r="W37" s="14"/>
      <c r="X37" s="14"/>
      <c r="Y37" s="14"/>
    </row>
    <row r="38">
      <c r="B38" s="15"/>
      <c r="C38" s="16"/>
      <c r="D38" s="17" t="s">
        <v>105</v>
      </c>
      <c r="E38" s="17" t="s">
        <v>106</v>
      </c>
      <c r="F38" s="17" t="s">
        <v>81</v>
      </c>
      <c r="G38" s="17" t="s">
        <v>31</v>
      </c>
      <c r="H38" s="17" t="s">
        <v>107</v>
      </c>
      <c r="I38" s="18" t="s">
        <v>91</v>
      </c>
      <c r="M38" s="15"/>
      <c r="N38" s="16"/>
      <c r="O38" s="17" t="s">
        <v>108</v>
      </c>
      <c r="P38" s="17" t="s">
        <v>77</v>
      </c>
      <c r="Q38" s="17" t="s">
        <v>40</v>
      </c>
      <c r="R38" s="17" t="s">
        <v>109</v>
      </c>
      <c r="S38" s="17" t="s">
        <v>6</v>
      </c>
      <c r="T38" s="18" t="s">
        <v>91</v>
      </c>
      <c r="V38" s="23" t="s">
        <v>30</v>
      </c>
      <c r="Y38" s="16"/>
    </row>
    <row r="39">
      <c r="B39" s="25"/>
      <c r="C39" s="16"/>
      <c r="I39" s="16"/>
      <c r="M39" s="25"/>
      <c r="N39" s="16"/>
      <c r="T39" s="16"/>
      <c r="V39" s="8"/>
      <c r="W39" s="9"/>
      <c r="X39" s="9"/>
      <c r="Y39" s="12"/>
    </row>
    <row r="40">
      <c r="B40" s="25"/>
      <c r="C40" s="16"/>
      <c r="I40" s="16"/>
      <c r="M40" s="25"/>
      <c r="N40" s="16"/>
      <c r="T40" s="16"/>
      <c r="V40" s="27" t="s">
        <v>34</v>
      </c>
      <c r="W40" s="28" t="s">
        <v>36</v>
      </c>
      <c r="X40" s="28" t="s">
        <v>37</v>
      </c>
      <c r="Y40" s="29" t="s">
        <v>38</v>
      </c>
    </row>
    <row r="41">
      <c r="B41" s="25"/>
      <c r="C41" s="16"/>
      <c r="I41" s="16"/>
      <c r="M41" s="25"/>
      <c r="N41" s="16"/>
      <c r="T41" s="16"/>
      <c r="V41" s="30" t="s">
        <v>41</v>
      </c>
      <c r="W41" s="21" t="s">
        <v>42</v>
      </c>
      <c r="X41" s="21" t="s">
        <v>44</v>
      </c>
      <c r="Y41" s="10" t="s">
        <v>45</v>
      </c>
    </row>
    <row r="42">
      <c r="B42" s="25"/>
      <c r="C42" s="16"/>
      <c r="I42" s="16"/>
      <c r="M42" s="25"/>
      <c r="N42" s="16"/>
      <c r="T42" s="16"/>
      <c r="V42" s="30" t="s">
        <v>47</v>
      </c>
      <c r="W42" s="21" t="s">
        <v>48</v>
      </c>
      <c r="X42" s="21" t="s">
        <v>50</v>
      </c>
      <c r="Y42" s="10" t="s">
        <v>51</v>
      </c>
    </row>
    <row r="43">
      <c r="B43" s="8"/>
      <c r="C43" s="12"/>
      <c r="D43" s="9"/>
      <c r="E43" s="9"/>
      <c r="F43" s="9"/>
      <c r="G43" s="9"/>
      <c r="H43" s="9"/>
      <c r="I43" s="12"/>
      <c r="M43" s="8"/>
      <c r="N43" s="12"/>
      <c r="O43" s="9"/>
      <c r="P43" s="9"/>
      <c r="Q43" s="9"/>
      <c r="R43" s="9"/>
      <c r="S43" s="9"/>
      <c r="T43" s="12"/>
      <c r="V43" s="30" t="s">
        <v>53</v>
      </c>
      <c r="W43" s="21" t="s">
        <v>54</v>
      </c>
      <c r="X43" s="21" t="s">
        <v>55</v>
      </c>
      <c r="Y43" s="10" t="s">
        <v>56</v>
      </c>
    </row>
    <row r="44">
      <c r="B44" s="49">
        <v>1.0</v>
      </c>
      <c r="C44" s="29" t="s">
        <v>105</v>
      </c>
      <c r="D44" s="43" t="str">
        <f t="array" ref="D44:I49">TRANSPOSE('Round Robin'!D44:I49)</f>
        <v/>
      </c>
      <c r="E44" s="44">
        <v>12.0</v>
      </c>
      <c r="F44" s="4">
        <v>72.0</v>
      </c>
      <c r="G44" s="46">
        <v>208.0</v>
      </c>
      <c r="H44" s="46">
        <v>26.0</v>
      </c>
      <c r="I44" s="47"/>
      <c r="M44" s="49">
        <v>1.0</v>
      </c>
      <c r="N44" s="29" t="s">
        <v>108</v>
      </c>
      <c r="O44" s="43" t="str">
        <f t="array" ref="O44:T49">TRANSPOSE('Round Robin'!O44:T49)</f>
        <v/>
      </c>
      <c r="P44" s="44">
        <v>162.0</v>
      </c>
      <c r="Q44" s="4">
        <v>62.0</v>
      </c>
      <c r="R44" s="46">
        <v>28.0</v>
      </c>
      <c r="S44" s="46">
        <v>104.0</v>
      </c>
      <c r="T44" s="47"/>
      <c r="V44" s="51" t="s">
        <v>70</v>
      </c>
      <c r="W44" s="2" t="s">
        <v>71</v>
      </c>
      <c r="X44" s="2" t="s">
        <v>72</v>
      </c>
      <c r="Y44" s="13" t="s">
        <v>73</v>
      </c>
    </row>
    <row r="45">
      <c r="B45" s="36">
        <v>2.0</v>
      </c>
      <c r="C45" s="10" t="s">
        <v>106</v>
      </c>
      <c r="D45" s="44">
        <v>62.0</v>
      </c>
      <c r="E45" s="43"/>
      <c r="F45" s="4">
        <v>54.0</v>
      </c>
      <c r="G45" s="46">
        <v>110.0</v>
      </c>
      <c r="H45" s="46">
        <v>82.0</v>
      </c>
      <c r="I45" s="47"/>
      <c r="M45" s="36">
        <v>2.0</v>
      </c>
      <c r="N45" s="10" t="s">
        <v>77</v>
      </c>
      <c r="O45" s="44">
        <v>68.0</v>
      </c>
      <c r="P45" s="43"/>
      <c r="Q45" s="4">
        <v>76.0</v>
      </c>
      <c r="R45" s="46">
        <v>8.0</v>
      </c>
      <c r="S45" s="46">
        <v>74.0</v>
      </c>
      <c r="T45" s="47"/>
    </row>
    <row r="46">
      <c r="B46" s="36">
        <v>3.0</v>
      </c>
      <c r="C46" s="10" t="s">
        <v>81</v>
      </c>
      <c r="D46" s="4">
        <v>12.0</v>
      </c>
      <c r="E46" s="4">
        <v>34.0</v>
      </c>
      <c r="F46" s="43"/>
      <c r="G46" s="4">
        <v>150.0</v>
      </c>
      <c r="H46" s="4">
        <v>44.0</v>
      </c>
      <c r="I46" s="47"/>
      <c r="M46" s="36">
        <v>3.0</v>
      </c>
      <c r="N46" s="10" t="s">
        <v>40</v>
      </c>
      <c r="O46" s="4">
        <v>52.0</v>
      </c>
      <c r="P46" s="4">
        <v>106.0</v>
      </c>
      <c r="Q46" s="43"/>
      <c r="R46" s="4">
        <v>16.0</v>
      </c>
      <c r="S46" s="4">
        <v>58.0</v>
      </c>
      <c r="T46" s="47"/>
    </row>
    <row r="47">
      <c r="B47" s="36">
        <v>4.0</v>
      </c>
      <c r="C47" s="10" t="s">
        <v>31</v>
      </c>
      <c r="D47" s="46">
        <v>10.0</v>
      </c>
      <c r="E47" s="46">
        <v>22.0</v>
      </c>
      <c r="F47" s="4">
        <v>14.0</v>
      </c>
      <c r="G47" s="43"/>
      <c r="H47" s="46">
        <v>50.6</v>
      </c>
      <c r="I47" s="47"/>
      <c r="M47" s="36">
        <v>4.0</v>
      </c>
      <c r="N47" s="10" t="s">
        <v>109</v>
      </c>
      <c r="O47" s="46">
        <v>106.0</v>
      </c>
      <c r="P47" s="46">
        <v>132.0</v>
      </c>
      <c r="Q47" s="4">
        <v>132.0</v>
      </c>
      <c r="R47" s="43"/>
      <c r="S47" s="46">
        <v>94.0</v>
      </c>
      <c r="T47" s="47"/>
    </row>
    <row r="48">
      <c r="B48" s="36">
        <v>5.0</v>
      </c>
      <c r="C48" s="10" t="s">
        <v>107</v>
      </c>
      <c r="D48" s="46">
        <v>64.0</v>
      </c>
      <c r="E48" s="46">
        <v>24.0</v>
      </c>
      <c r="F48" s="4">
        <v>102.0</v>
      </c>
      <c r="G48" s="46">
        <v>156.0</v>
      </c>
      <c r="H48" s="43"/>
      <c r="I48" s="47"/>
      <c r="M48" s="36">
        <v>5.0</v>
      </c>
      <c r="N48" s="10" t="s">
        <v>6</v>
      </c>
      <c r="O48" s="46">
        <v>50.0</v>
      </c>
      <c r="P48" s="46">
        <v>106.0</v>
      </c>
      <c r="Q48" s="4">
        <v>60.0</v>
      </c>
      <c r="R48" s="46">
        <v>26.0</v>
      </c>
      <c r="S48" s="43"/>
      <c r="T48" s="47"/>
    </row>
    <row r="49">
      <c r="B49" s="53">
        <v>6.0</v>
      </c>
      <c r="C49" s="13" t="s">
        <v>91</v>
      </c>
      <c r="D49" s="54"/>
      <c r="E49" s="54"/>
      <c r="F49" s="54"/>
      <c r="G49" s="54"/>
      <c r="H49" s="54"/>
      <c r="I49" s="55"/>
      <c r="M49" s="53">
        <v>6.0</v>
      </c>
      <c r="N49" s="13" t="s">
        <v>91</v>
      </c>
      <c r="O49" s="54"/>
      <c r="P49" s="54"/>
      <c r="Q49" s="54"/>
      <c r="R49" s="54"/>
      <c r="S49" s="54"/>
      <c r="T49" s="55"/>
    </row>
  </sheetData>
  <mergeCells count="53">
    <mergeCell ref="H6:H11"/>
    <mergeCell ref="I6:I11"/>
    <mergeCell ref="B20:I21"/>
    <mergeCell ref="D22:D27"/>
    <mergeCell ref="E22:E27"/>
    <mergeCell ref="F22:F27"/>
    <mergeCell ref="I22:I27"/>
    <mergeCell ref="H38:H43"/>
    <mergeCell ref="I38:I43"/>
    <mergeCell ref="B22:C27"/>
    <mergeCell ref="B36:I37"/>
    <mergeCell ref="B38:C43"/>
    <mergeCell ref="D38:D43"/>
    <mergeCell ref="E38:E43"/>
    <mergeCell ref="F38:F43"/>
    <mergeCell ref="G38:G43"/>
    <mergeCell ref="S38:S43"/>
    <mergeCell ref="T38:T43"/>
    <mergeCell ref="M6:N11"/>
    <mergeCell ref="O6:O11"/>
    <mergeCell ref="M20:T21"/>
    <mergeCell ref="M36:T37"/>
    <mergeCell ref="M38:N43"/>
    <mergeCell ref="O38:O43"/>
    <mergeCell ref="P38:P43"/>
    <mergeCell ref="J6:J11"/>
    <mergeCell ref="K6:K11"/>
    <mergeCell ref="P6:P11"/>
    <mergeCell ref="Q6:Q11"/>
    <mergeCell ref="R6:R11"/>
    <mergeCell ref="S6:S11"/>
    <mergeCell ref="V6:Y7"/>
    <mergeCell ref="B4:K5"/>
    <mergeCell ref="M4:T5"/>
    <mergeCell ref="B6:C11"/>
    <mergeCell ref="D6:D11"/>
    <mergeCell ref="E6:E11"/>
    <mergeCell ref="F6:F11"/>
    <mergeCell ref="G6:G11"/>
    <mergeCell ref="T6:T11"/>
    <mergeCell ref="S22:S27"/>
    <mergeCell ref="T22:T27"/>
    <mergeCell ref="V22:Y23"/>
    <mergeCell ref="G22:G27"/>
    <mergeCell ref="H22:H27"/>
    <mergeCell ref="M22:N27"/>
    <mergeCell ref="O22:O27"/>
    <mergeCell ref="P22:P27"/>
    <mergeCell ref="Q22:Q27"/>
    <mergeCell ref="R22:R27"/>
    <mergeCell ref="Q38:Q43"/>
    <mergeCell ref="R38:R43"/>
    <mergeCell ref="V38:Y3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1</v>
      </c>
      <c r="C3" s="2" t="s">
        <v>2</v>
      </c>
      <c r="D3" s="2">
        <v>94.0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>
      <c r="C4" s="4"/>
      <c r="D4" s="7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>
      <c r="C5" s="4"/>
      <c r="D5" s="10" t="s">
        <v>4</v>
      </c>
      <c r="E5" s="2" t="s">
        <v>2</v>
      </c>
      <c r="F5" s="11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>
      <c r="B6" s="1" t="s">
        <v>5</v>
      </c>
      <c r="C6" s="2" t="s">
        <v>6</v>
      </c>
      <c r="D6" s="13">
        <v>54.0</v>
      </c>
      <c r="E6" s="4"/>
      <c r="F6" s="7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>
      <c r="C7" s="4"/>
      <c r="D7" s="4"/>
      <c r="E7" s="4"/>
      <c r="F7" s="7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>
      <c r="C8" s="4"/>
      <c r="D8" s="4"/>
      <c r="E8" s="4"/>
      <c r="F8" s="7"/>
      <c r="G8" s="2" t="s">
        <v>2</v>
      </c>
      <c r="H8" s="11"/>
      <c r="I8" s="2">
        <v>124.0</v>
      </c>
      <c r="J8" s="11"/>
      <c r="K8" s="4"/>
      <c r="L8" s="4"/>
      <c r="M8" s="4"/>
      <c r="N8" s="4"/>
      <c r="O8" s="4"/>
      <c r="P8" s="4"/>
      <c r="Q8" s="4"/>
      <c r="R8" s="4"/>
      <c r="S8" s="4"/>
    </row>
    <row r="9">
      <c r="B9" s="1" t="s">
        <v>7</v>
      </c>
      <c r="C9" s="2" t="s">
        <v>8</v>
      </c>
      <c r="D9" s="2">
        <v>88.0</v>
      </c>
      <c r="E9" s="4"/>
      <c r="F9" s="10" t="s">
        <v>4</v>
      </c>
      <c r="G9" s="4"/>
      <c r="H9" s="4"/>
      <c r="I9" s="4"/>
      <c r="J9" s="7"/>
      <c r="K9" s="4"/>
      <c r="L9" s="4"/>
      <c r="M9" s="4"/>
      <c r="N9" s="4"/>
      <c r="O9" s="4"/>
      <c r="P9" s="4"/>
      <c r="Q9" s="4"/>
      <c r="R9" s="4"/>
      <c r="S9" s="4"/>
    </row>
    <row r="10">
      <c r="C10" s="4"/>
      <c r="D10" s="7"/>
      <c r="E10" s="4"/>
      <c r="F10" s="7"/>
      <c r="G10" s="4"/>
      <c r="H10" s="4"/>
      <c r="I10" s="4"/>
      <c r="J10" s="7"/>
      <c r="K10" s="4"/>
      <c r="L10" s="4"/>
      <c r="M10" s="4"/>
      <c r="N10" s="4"/>
      <c r="O10" s="4"/>
      <c r="P10" s="4"/>
      <c r="Q10" s="4"/>
      <c r="R10" s="4"/>
      <c r="S10" s="4"/>
    </row>
    <row r="11">
      <c r="C11" s="4"/>
      <c r="D11" s="10" t="s">
        <v>12</v>
      </c>
      <c r="E11" s="2" t="s">
        <v>14</v>
      </c>
      <c r="F11" s="13"/>
      <c r="G11" s="4"/>
      <c r="H11" s="4"/>
      <c r="I11" s="4"/>
      <c r="J11" s="7"/>
      <c r="K11" s="4"/>
      <c r="L11" s="4"/>
      <c r="M11" s="4"/>
      <c r="N11" s="4"/>
      <c r="O11" s="4"/>
      <c r="P11" s="4"/>
      <c r="Q11" s="4"/>
      <c r="R11" s="4"/>
      <c r="S11" s="4"/>
    </row>
    <row r="12">
      <c r="B12" s="1" t="s">
        <v>15</v>
      </c>
      <c r="C12" s="2" t="s">
        <v>16</v>
      </c>
      <c r="D12" s="13">
        <v>82.0</v>
      </c>
      <c r="E12" s="4"/>
      <c r="F12" s="4"/>
      <c r="G12" s="4"/>
      <c r="H12" s="4"/>
      <c r="I12" s="4"/>
      <c r="J12" s="7"/>
      <c r="K12" s="4"/>
      <c r="L12" s="4"/>
      <c r="M12" s="4"/>
      <c r="N12" s="4"/>
      <c r="O12" s="4"/>
      <c r="P12" s="4"/>
      <c r="Q12" s="4"/>
      <c r="R12" s="4"/>
      <c r="S12" s="4"/>
    </row>
    <row r="13">
      <c r="C13" s="4"/>
      <c r="D13" s="4"/>
      <c r="E13" s="4"/>
      <c r="F13" s="4"/>
      <c r="G13" s="4"/>
      <c r="H13" s="4"/>
      <c r="I13" s="4"/>
      <c r="J13" s="7"/>
      <c r="K13" s="4"/>
      <c r="L13" s="4"/>
      <c r="M13" s="4"/>
      <c r="N13" s="4"/>
      <c r="O13" s="4"/>
      <c r="P13" s="4"/>
      <c r="Q13" s="4"/>
      <c r="R13" s="4"/>
      <c r="S13" s="4"/>
    </row>
    <row r="14">
      <c r="C14" s="4"/>
      <c r="D14" s="4"/>
      <c r="E14" s="4"/>
      <c r="F14" s="4"/>
      <c r="G14" s="4"/>
      <c r="H14" s="4"/>
      <c r="I14" s="4"/>
      <c r="J14" s="10" t="s">
        <v>4</v>
      </c>
      <c r="K14" s="11"/>
      <c r="L14" s="2"/>
      <c r="M14" s="2" t="s">
        <v>2</v>
      </c>
      <c r="N14" s="2">
        <v>26.0</v>
      </c>
      <c r="O14" s="4"/>
      <c r="P14" s="4"/>
      <c r="Q14" s="4"/>
      <c r="R14" s="4"/>
      <c r="S14" s="4"/>
    </row>
    <row r="15">
      <c r="B15" s="1" t="s">
        <v>18</v>
      </c>
      <c r="C15" s="2" t="s">
        <v>19</v>
      </c>
      <c r="D15" s="2">
        <v>76.0</v>
      </c>
      <c r="E15" s="4"/>
      <c r="F15" s="4"/>
      <c r="G15" s="4"/>
      <c r="H15" s="4"/>
      <c r="I15" s="4"/>
      <c r="J15" s="7"/>
      <c r="K15" s="4"/>
      <c r="L15" s="4"/>
      <c r="M15" s="4"/>
      <c r="N15" s="7"/>
      <c r="O15" s="4"/>
      <c r="P15" s="4"/>
      <c r="Q15" s="4"/>
      <c r="R15" s="4"/>
      <c r="S15" s="4"/>
    </row>
    <row r="16">
      <c r="C16" s="4"/>
      <c r="D16" s="7"/>
      <c r="E16" s="4"/>
      <c r="F16" s="4"/>
      <c r="G16" s="4"/>
      <c r="H16" s="4"/>
      <c r="I16" s="4"/>
      <c r="J16" s="7"/>
      <c r="K16" s="4"/>
      <c r="L16" s="4"/>
      <c r="M16" s="4"/>
      <c r="N16" s="7"/>
      <c r="O16" s="4"/>
      <c r="P16" s="4"/>
      <c r="Q16" s="4"/>
      <c r="R16" s="4"/>
      <c r="S16" s="4"/>
    </row>
    <row r="17">
      <c r="C17" s="4"/>
      <c r="D17" s="10" t="s">
        <v>22</v>
      </c>
      <c r="E17" s="2" t="s">
        <v>19</v>
      </c>
      <c r="F17" s="2">
        <v>72.0</v>
      </c>
      <c r="G17" s="4"/>
      <c r="H17" s="4"/>
      <c r="I17" s="4"/>
      <c r="J17" s="7"/>
      <c r="K17" s="4"/>
      <c r="L17" s="4"/>
      <c r="M17" s="4"/>
      <c r="N17" s="7"/>
      <c r="O17" s="4"/>
      <c r="P17" s="4"/>
      <c r="Q17" s="4"/>
      <c r="R17" s="4"/>
      <c r="S17" s="4"/>
    </row>
    <row r="18">
      <c r="B18" s="1" t="s">
        <v>24</v>
      </c>
      <c r="C18" s="2" t="s">
        <v>26</v>
      </c>
      <c r="D18" s="13">
        <v>42.0</v>
      </c>
      <c r="E18" s="4"/>
      <c r="F18" s="7"/>
      <c r="G18" s="4"/>
      <c r="H18" s="4"/>
      <c r="I18" s="4"/>
      <c r="J18" s="7"/>
      <c r="K18" s="4"/>
      <c r="L18" s="4"/>
      <c r="M18" s="4"/>
      <c r="N18" s="7"/>
      <c r="O18" s="4"/>
      <c r="P18" s="4"/>
      <c r="Q18" s="4"/>
      <c r="R18" s="4"/>
      <c r="S18" s="4"/>
    </row>
    <row r="19">
      <c r="C19" s="4"/>
      <c r="D19" s="21"/>
      <c r="E19" s="4"/>
      <c r="F19" s="7"/>
      <c r="G19" s="4"/>
      <c r="H19" s="4"/>
      <c r="I19" s="4"/>
      <c r="J19" s="7"/>
      <c r="K19" s="4"/>
      <c r="L19" s="4"/>
      <c r="M19" s="4"/>
      <c r="N19" s="7"/>
      <c r="O19" s="4"/>
      <c r="P19" s="4"/>
      <c r="Q19" s="4"/>
      <c r="R19" s="4"/>
      <c r="S19" s="4"/>
    </row>
    <row r="20">
      <c r="C20" s="4"/>
      <c r="D20" s="4"/>
      <c r="E20" s="4"/>
      <c r="F20" s="7"/>
      <c r="G20" s="2" t="s">
        <v>31</v>
      </c>
      <c r="H20" s="11"/>
      <c r="I20" s="2">
        <v>24.0</v>
      </c>
      <c r="J20" s="24"/>
      <c r="K20" s="4"/>
      <c r="L20" s="4"/>
      <c r="M20" s="4"/>
      <c r="N20" s="7"/>
      <c r="O20" s="4"/>
      <c r="P20" s="4"/>
      <c r="Q20" s="4"/>
      <c r="R20" s="4"/>
      <c r="S20" s="4"/>
    </row>
    <row r="21">
      <c r="B21" s="1" t="s">
        <v>33</v>
      </c>
      <c r="C21" s="2" t="s">
        <v>31</v>
      </c>
      <c r="D21" s="2">
        <v>112.0</v>
      </c>
      <c r="E21" s="4"/>
      <c r="F21" s="10" t="s">
        <v>12</v>
      </c>
      <c r="G21" s="4"/>
      <c r="H21" s="4"/>
      <c r="I21" s="4"/>
      <c r="J21" s="4"/>
      <c r="K21" s="4"/>
      <c r="L21" s="4"/>
      <c r="M21" s="4"/>
      <c r="N21" s="7"/>
      <c r="O21" s="4"/>
      <c r="P21" s="4"/>
      <c r="Q21" s="4"/>
      <c r="R21" s="4"/>
      <c r="S21" s="4"/>
    </row>
    <row r="22">
      <c r="C22" s="4"/>
      <c r="D22" s="7"/>
      <c r="E22" s="4"/>
      <c r="F22" s="7"/>
      <c r="G22" s="4"/>
      <c r="H22" s="4"/>
      <c r="I22" s="4"/>
      <c r="J22" s="4"/>
      <c r="K22" s="4"/>
      <c r="L22" s="4"/>
      <c r="M22" s="4"/>
      <c r="N22" s="7"/>
      <c r="O22" s="4"/>
      <c r="P22" s="4"/>
      <c r="Q22" s="4"/>
      <c r="R22" s="4"/>
      <c r="S22" s="4"/>
    </row>
    <row r="23">
      <c r="C23" s="4"/>
      <c r="D23" s="10" t="s">
        <v>35</v>
      </c>
      <c r="E23" s="2" t="s">
        <v>31</v>
      </c>
      <c r="F23" s="13">
        <v>96.0</v>
      </c>
      <c r="G23" s="4"/>
      <c r="H23" s="4"/>
      <c r="I23" s="4"/>
      <c r="J23" s="4"/>
      <c r="K23" s="4"/>
      <c r="L23" s="4"/>
      <c r="M23" s="4"/>
      <c r="N23" s="7"/>
      <c r="O23" s="4"/>
      <c r="P23" s="4"/>
      <c r="Q23" s="4"/>
      <c r="R23" s="4"/>
      <c r="S23" s="4"/>
    </row>
    <row r="24">
      <c r="B24" s="1" t="s">
        <v>39</v>
      </c>
      <c r="C24" s="2" t="s">
        <v>40</v>
      </c>
      <c r="D24" s="13">
        <v>18.0</v>
      </c>
      <c r="E24" s="4"/>
      <c r="F24" s="4"/>
      <c r="G24" s="4"/>
      <c r="H24" s="4"/>
      <c r="I24" s="4"/>
      <c r="J24" s="4"/>
      <c r="K24" s="4"/>
      <c r="L24" s="4"/>
      <c r="M24" s="4"/>
      <c r="N24" s="7"/>
      <c r="O24" s="4"/>
      <c r="P24" s="4"/>
      <c r="Q24" s="4"/>
      <c r="R24" s="4"/>
      <c r="S24" s="4"/>
    </row>
    <row r="25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7"/>
      <c r="O25" s="4"/>
      <c r="P25" s="4"/>
      <c r="Q25" s="4"/>
      <c r="R25" s="4"/>
      <c r="S25" s="4"/>
    </row>
    <row r="26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10" t="s">
        <v>4</v>
      </c>
      <c r="O26" s="11"/>
      <c r="P26" s="11"/>
      <c r="Q26" s="2" t="s">
        <v>59</v>
      </c>
      <c r="R26" s="2">
        <v>34.0</v>
      </c>
      <c r="S26" s="4"/>
    </row>
    <row r="27">
      <c r="B27" s="1" t="s">
        <v>60</v>
      </c>
      <c r="C27" s="2" t="s">
        <v>61</v>
      </c>
      <c r="D27" s="2">
        <v>72.0</v>
      </c>
      <c r="E27" s="4"/>
      <c r="F27" s="4"/>
      <c r="G27" s="4"/>
      <c r="H27" s="4"/>
      <c r="I27" s="4"/>
      <c r="J27" s="4"/>
      <c r="K27" s="4"/>
      <c r="L27" s="4"/>
      <c r="M27" s="4"/>
      <c r="N27" s="7"/>
      <c r="O27" s="4"/>
      <c r="P27" s="4"/>
      <c r="Q27" s="4"/>
      <c r="R27" s="7"/>
      <c r="S27" s="4"/>
    </row>
    <row r="28">
      <c r="C28" s="4"/>
      <c r="D28" s="7"/>
      <c r="E28" s="4"/>
      <c r="F28" s="4"/>
      <c r="G28" s="4"/>
      <c r="H28" s="4"/>
      <c r="I28" s="4"/>
      <c r="J28" s="4"/>
      <c r="K28" s="4"/>
      <c r="L28" s="4"/>
      <c r="M28" s="4"/>
      <c r="N28" s="7"/>
      <c r="O28" s="4"/>
      <c r="P28" s="4"/>
      <c r="Q28" s="4"/>
      <c r="R28" s="7"/>
      <c r="S28" s="4"/>
    </row>
    <row r="29">
      <c r="C29" s="4"/>
      <c r="D29" s="10" t="s">
        <v>63</v>
      </c>
      <c r="E29" s="2" t="s">
        <v>61</v>
      </c>
      <c r="F29" s="2">
        <v>74.0</v>
      </c>
      <c r="G29" s="4"/>
      <c r="H29" s="4"/>
      <c r="I29" s="4"/>
      <c r="J29" s="4"/>
      <c r="K29" s="4"/>
      <c r="L29" s="4"/>
      <c r="M29" s="4"/>
      <c r="N29" s="7"/>
      <c r="O29" s="4"/>
      <c r="P29" s="4"/>
      <c r="Q29" s="4"/>
      <c r="R29" s="7"/>
      <c r="S29" s="4"/>
    </row>
    <row r="30">
      <c r="B30" s="1" t="s">
        <v>64</v>
      </c>
      <c r="C30" s="2" t="s">
        <v>25</v>
      </c>
      <c r="D30" s="13">
        <v>60.0</v>
      </c>
      <c r="E30" s="4"/>
      <c r="F30" s="7"/>
      <c r="G30" s="4"/>
      <c r="H30" s="4"/>
      <c r="I30" s="4"/>
      <c r="J30" s="4"/>
      <c r="K30" s="4"/>
      <c r="L30" s="4"/>
      <c r="M30" s="4"/>
      <c r="N30" s="7"/>
      <c r="O30" s="4"/>
      <c r="P30" s="4"/>
      <c r="Q30" s="4"/>
      <c r="R30" s="7"/>
      <c r="S30" s="4"/>
    </row>
    <row r="31">
      <c r="C31" s="4"/>
      <c r="D31" s="4"/>
      <c r="E31" s="4"/>
      <c r="F31" s="7"/>
      <c r="G31" s="4"/>
      <c r="H31" s="4"/>
      <c r="I31" s="4"/>
      <c r="J31" s="4"/>
      <c r="K31" s="4"/>
      <c r="L31" s="4"/>
      <c r="M31" s="4"/>
      <c r="N31" s="7"/>
      <c r="O31" s="4"/>
      <c r="P31" s="4"/>
      <c r="Q31" s="4"/>
      <c r="R31" s="7"/>
      <c r="S31" s="4"/>
    </row>
    <row r="32">
      <c r="C32" s="4"/>
      <c r="D32" s="4"/>
      <c r="E32" s="4"/>
      <c r="F32" s="10" t="s">
        <v>22</v>
      </c>
      <c r="G32" s="2" t="s">
        <v>61</v>
      </c>
      <c r="H32" s="11"/>
      <c r="I32" s="11"/>
      <c r="J32" s="2">
        <v>58.0</v>
      </c>
      <c r="K32" s="4"/>
      <c r="L32" s="4"/>
      <c r="M32" s="4"/>
      <c r="N32" s="7"/>
      <c r="O32" s="4"/>
      <c r="P32" s="4"/>
      <c r="Q32" s="4"/>
      <c r="R32" s="7"/>
      <c r="S32" s="4"/>
    </row>
    <row r="33">
      <c r="B33" s="1" t="s">
        <v>65</v>
      </c>
      <c r="C33" s="2" t="s">
        <v>11</v>
      </c>
      <c r="D33" s="2">
        <v>86.0</v>
      </c>
      <c r="E33" s="4"/>
      <c r="F33" s="7"/>
      <c r="G33" s="4"/>
      <c r="H33" s="4"/>
      <c r="I33" s="4"/>
      <c r="J33" s="7"/>
      <c r="K33" s="4"/>
      <c r="L33" s="4"/>
      <c r="M33" s="4"/>
      <c r="N33" s="7"/>
      <c r="O33" s="4"/>
      <c r="P33" s="4"/>
      <c r="Q33" s="4"/>
      <c r="R33" s="7"/>
      <c r="S33" s="4"/>
    </row>
    <row r="34">
      <c r="C34" s="4"/>
      <c r="D34" s="7"/>
      <c r="E34" s="4"/>
      <c r="F34" s="7"/>
      <c r="G34" s="4"/>
      <c r="H34" s="4"/>
      <c r="I34" s="4"/>
      <c r="J34" s="7"/>
      <c r="K34" s="4"/>
      <c r="L34" s="4"/>
      <c r="M34" s="4"/>
      <c r="N34" s="7"/>
      <c r="O34" s="4"/>
      <c r="P34" s="4"/>
      <c r="Q34" s="4"/>
      <c r="R34" s="7"/>
      <c r="S34" s="4"/>
    </row>
    <row r="35">
      <c r="C35" s="4"/>
      <c r="D35" s="10" t="s">
        <v>66</v>
      </c>
      <c r="E35" s="2" t="s">
        <v>11</v>
      </c>
      <c r="F35" s="13">
        <v>32.0</v>
      </c>
      <c r="G35" s="4"/>
      <c r="H35" s="4"/>
      <c r="I35" s="4"/>
      <c r="J35" s="7"/>
      <c r="K35" s="4"/>
      <c r="L35" s="4"/>
      <c r="M35" s="4"/>
      <c r="N35" s="7"/>
      <c r="O35" s="4"/>
      <c r="P35" s="4"/>
      <c r="Q35" s="4"/>
      <c r="R35" s="7"/>
      <c r="S35" s="4"/>
    </row>
    <row r="36">
      <c r="B36" s="1" t="s">
        <v>67</v>
      </c>
      <c r="C36" s="2" t="s">
        <v>27</v>
      </c>
      <c r="D36" s="13">
        <v>60.0</v>
      </c>
      <c r="E36" s="4"/>
      <c r="F36" s="4"/>
      <c r="G36" s="4"/>
      <c r="H36" s="4"/>
      <c r="I36" s="4"/>
      <c r="J36" s="7"/>
      <c r="K36" s="4"/>
      <c r="L36" s="4"/>
      <c r="M36" s="4"/>
      <c r="N36" s="7"/>
      <c r="O36" s="4"/>
      <c r="P36" s="4"/>
      <c r="Q36" s="4"/>
      <c r="R36" s="7"/>
      <c r="S36" s="4"/>
    </row>
    <row r="37">
      <c r="C37" s="4"/>
      <c r="D37" s="4"/>
      <c r="E37" s="4"/>
      <c r="F37" s="4"/>
      <c r="G37" s="4"/>
      <c r="H37" s="4"/>
      <c r="I37" s="4"/>
      <c r="J37" s="7"/>
      <c r="K37" s="4"/>
      <c r="L37" s="4"/>
      <c r="M37" s="4"/>
      <c r="N37" s="7"/>
      <c r="O37" s="4"/>
      <c r="P37" s="4"/>
      <c r="Q37" s="4"/>
      <c r="R37" s="7"/>
      <c r="S37" s="4"/>
    </row>
    <row r="38">
      <c r="C38" s="4"/>
      <c r="D38" s="4"/>
      <c r="E38" s="4"/>
      <c r="F38" s="4"/>
      <c r="G38" s="4"/>
      <c r="H38" s="4"/>
      <c r="I38" s="4"/>
      <c r="J38" s="10" t="s">
        <v>22</v>
      </c>
      <c r="K38" s="2"/>
      <c r="L38" s="11"/>
      <c r="M38" s="2" t="s">
        <v>61</v>
      </c>
      <c r="N38" s="13">
        <v>18.0</v>
      </c>
      <c r="O38" s="4"/>
      <c r="P38" s="4"/>
      <c r="Q38" s="4"/>
      <c r="R38" s="7"/>
      <c r="S38" s="4"/>
    </row>
    <row r="39">
      <c r="B39" s="1" t="s">
        <v>68</v>
      </c>
      <c r="C39" s="2" t="s">
        <v>69</v>
      </c>
      <c r="D39" s="2">
        <v>82.0</v>
      </c>
      <c r="E39" s="4"/>
      <c r="F39" s="4"/>
      <c r="G39" s="4"/>
      <c r="H39" s="4"/>
      <c r="I39" s="4"/>
      <c r="J39" s="7"/>
      <c r="K39" s="4"/>
      <c r="L39" s="4"/>
      <c r="M39" s="4"/>
      <c r="N39" s="4"/>
      <c r="O39" s="4"/>
      <c r="P39" s="4"/>
      <c r="Q39" s="4"/>
      <c r="R39" s="7"/>
      <c r="S39" s="4"/>
    </row>
    <row r="40">
      <c r="C40" s="4"/>
      <c r="D40" s="7"/>
      <c r="E40" s="4"/>
      <c r="F40" s="4"/>
      <c r="G40" s="4"/>
      <c r="H40" s="4"/>
      <c r="I40" s="4"/>
      <c r="J40" s="7"/>
      <c r="K40" s="4"/>
      <c r="L40" s="4"/>
      <c r="M40" s="4"/>
      <c r="N40" s="4"/>
      <c r="O40" s="4"/>
      <c r="P40" s="4"/>
      <c r="Q40" s="4"/>
      <c r="R40" s="10" t="s">
        <v>4</v>
      </c>
      <c r="S40" s="11"/>
      <c r="T40" s="52" t="s">
        <v>2</v>
      </c>
    </row>
    <row r="41">
      <c r="C41" s="4"/>
      <c r="D41" s="10" t="s">
        <v>74</v>
      </c>
      <c r="E41" s="2" t="s">
        <v>69</v>
      </c>
      <c r="F41" s="2">
        <v>42.0</v>
      </c>
      <c r="G41" s="4"/>
      <c r="H41" s="4"/>
      <c r="I41" s="4"/>
      <c r="J41" s="7"/>
      <c r="K41" s="4"/>
      <c r="L41" s="4"/>
      <c r="M41" s="4"/>
      <c r="N41" s="4"/>
      <c r="O41" s="4"/>
      <c r="P41" s="4"/>
      <c r="Q41" s="4"/>
      <c r="R41" s="7"/>
      <c r="S41" s="4"/>
    </row>
    <row r="42">
      <c r="B42" s="1" t="s">
        <v>75</v>
      </c>
      <c r="C42" s="2" t="s">
        <v>76</v>
      </c>
      <c r="D42" s="13">
        <v>40.0</v>
      </c>
      <c r="E42" s="4"/>
      <c r="F42" s="7"/>
      <c r="G42" s="4"/>
      <c r="H42" s="4"/>
      <c r="I42" s="4"/>
      <c r="J42" s="7"/>
      <c r="K42" s="4"/>
      <c r="L42" s="4"/>
      <c r="M42" s="4"/>
      <c r="N42" s="4"/>
      <c r="O42" s="4"/>
      <c r="P42" s="4"/>
      <c r="Q42" s="4"/>
      <c r="R42" s="7"/>
      <c r="S42" s="4"/>
    </row>
    <row r="43">
      <c r="C43" s="4"/>
      <c r="D43" s="4"/>
      <c r="E43" s="4"/>
      <c r="F43" s="7"/>
      <c r="G43" s="4"/>
      <c r="H43" s="4"/>
      <c r="I43" s="4"/>
      <c r="J43" s="7"/>
      <c r="K43" s="4"/>
      <c r="L43" s="4"/>
      <c r="M43" s="4"/>
      <c r="N43" s="4"/>
      <c r="O43" s="4"/>
      <c r="P43" s="4"/>
      <c r="Q43" s="4"/>
      <c r="R43" s="7"/>
      <c r="S43" s="4"/>
    </row>
    <row r="44">
      <c r="C44" s="4"/>
      <c r="D44" s="4"/>
      <c r="E44" s="4"/>
      <c r="F44" s="10" t="s">
        <v>35</v>
      </c>
      <c r="G44" s="2" t="s">
        <v>77</v>
      </c>
      <c r="H44" s="11"/>
      <c r="I44" s="11"/>
      <c r="J44" s="13">
        <v>30.0</v>
      </c>
      <c r="K44" s="4"/>
      <c r="L44" s="4"/>
      <c r="M44" s="4"/>
      <c r="N44" s="4"/>
      <c r="O44" s="4"/>
      <c r="P44" s="4"/>
      <c r="Q44" s="4"/>
      <c r="R44" s="7"/>
      <c r="S44" s="4"/>
    </row>
    <row r="45">
      <c r="B45" s="1" t="s">
        <v>78</v>
      </c>
      <c r="C45" s="2" t="s">
        <v>77</v>
      </c>
      <c r="D45" s="2">
        <v>104.0</v>
      </c>
      <c r="E45" s="4"/>
      <c r="F45" s="7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7"/>
      <c r="S45" s="4"/>
    </row>
    <row r="46">
      <c r="C46" s="4"/>
      <c r="D46" s="7"/>
      <c r="E46" s="4"/>
      <c r="F46" s="7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7"/>
      <c r="S46" s="4"/>
    </row>
    <row r="47">
      <c r="C47" s="4"/>
      <c r="D47" s="10" t="s">
        <v>79</v>
      </c>
      <c r="E47" s="2" t="s">
        <v>77</v>
      </c>
      <c r="F47" s="13">
        <v>102.0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7"/>
      <c r="S47" s="4"/>
    </row>
    <row r="48">
      <c r="B48" s="1" t="s">
        <v>80</v>
      </c>
      <c r="C48" s="2" t="s">
        <v>81</v>
      </c>
      <c r="D48" s="13">
        <v>42.0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2" t="s">
        <v>61</v>
      </c>
      <c r="P48" s="2">
        <v>78.0</v>
      </c>
      <c r="Q48" s="4"/>
      <c r="R48" s="7"/>
      <c r="S48" s="4"/>
    </row>
    <row r="49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7"/>
      <c r="Q49" s="4"/>
      <c r="R49" s="7"/>
      <c r="S49" s="4"/>
    </row>
    <row r="50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7"/>
      <c r="Q50" s="4"/>
      <c r="R50" s="7"/>
      <c r="S50" s="4"/>
    </row>
    <row r="51">
      <c r="C51" s="4"/>
      <c r="D51" s="4"/>
      <c r="E51" s="4"/>
      <c r="F51" s="4"/>
      <c r="G51" s="4"/>
      <c r="H51" s="4"/>
      <c r="I51" s="4"/>
      <c r="J51" s="4"/>
      <c r="K51" s="2" t="s">
        <v>31</v>
      </c>
      <c r="L51" s="2">
        <v>66.0</v>
      </c>
      <c r="M51" s="4"/>
      <c r="N51" s="4"/>
      <c r="O51" s="4"/>
      <c r="P51" s="7"/>
      <c r="Q51" s="4"/>
      <c r="R51" s="7"/>
      <c r="S51" s="4"/>
    </row>
    <row r="52">
      <c r="C52" s="4"/>
      <c r="D52" s="4"/>
      <c r="E52" s="4"/>
      <c r="F52" s="4"/>
      <c r="G52" s="2" t="s">
        <v>69</v>
      </c>
      <c r="H52" s="2">
        <v>42.0</v>
      </c>
      <c r="I52" s="4"/>
      <c r="J52" s="4"/>
      <c r="K52" s="4"/>
      <c r="L52" s="7"/>
      <c r="M52" s="4"/>
      <c r="N52" s="4"/>
      <c r="O52" s="4"/>
      <c r="P52" s="7"/>
      <c r="Q52" s="4"/>
      <c r="R52" s="7"/>
      <c r="S52" s="4"/>
    </row>
    <row r="53">
      <c r="C53" s="4"/>
      <c r="D53" s="21" t="s">
        <v>83</v>
      </c>
      <c r="E53" s="2" t="s">
        <v>6</v>
      </c>
      <c r="F53" s="2">
        <v>20.0</v>
      </c>
      <c r="G53" s="4"/>
      <c r="H53" s="7"/>
      <c r="I53" s="4"/>
      <c r="J53" s="4"/>
      <c r="K53" s="4"/>
      <c r="L53" s="7"/>
      <c r="M53" s="4"/>
      <c r="N53" s="4"/>
      <c r="O53" s="4"/>
      <c r="P53" s="7"/>
      <c r="Q53" s="4"/>
      <c r="R53" s="7"/>
      <c r="S53" s="4"/>
    </row>
    <row r="54">
      <c r="C54" s="4"/>
      <c r="D54" s="4"/>
      <c r="E54" s="4"/>
      <c r="F54" s="7"/>
      <c r="G54" s="4"/>
      <c r="H54" s="10" t="s">
        <v>63</v>
      </c>
      <c r="I54" s="2" t="s">
        <v>16</v>
      </c>
      <c r="J54" s="2">
        <v>54.0</v>
      </c>
      <c r="K54" s="4"/>
      <c r="L54" s="10" t="s">
        <v>22</v>
      </c>
      <c r="M54" s="2" t="s">
        <v>31</v>
      </c>
      <c r="N54" s="2">
        <v>54.0</v>
      </c>
      <c r="O54" s="4"/>
      <c r="P54" s="10" t="s">
        <v>4</v>
      </c>
      <c r="Q54" s="2" t="s">
        <v>61</v>
      </c>
      <c r="R54" s="13">
        <v>14.0</v>
      </c>
      <c r="S54" s="4"/>
    </row>
    <row r="55">
      <c r="C55" s="4"/>
      <c r="D55" s="4"/>
      <c r="E55" s="4"/>
      <c r="F55" s="10" t="s">
        <v>63</v>
      </c>
      <c r="G55" s="2" t="s">
        <v>16</v>
      </c>
      <c r="H55" s="13">
        <v>76.0</v>
      </c>
      <c r="I55" s="4"/>
      <c r="J55" s="10" t="s">
        <v>85</v>
      </c>
      <c r="K55" s="4"/>
      <c r="L55" s="7"/>
      <c r="M55" s="4"/>
      <c r="N55" s="7"/>
      <c r="O55" s="4"/>
      <c r="P55" s="7"/>
      <c r="Q55" s="4"/>
      <c r="R55" s="4"/>
      <c r="S55" s="4"/>
    </row>
    <row r="56">
      <c r="C56" s="4"/>
      <c r="D56" s="21" t="s">
        <v>86</v>
      </c>
      <c r="E56" s="2" t="s">
        <v>16</v>
      </c>
      <c r="F56" s="13">
        <v>70.0</v>
      </c>
      <c r="G56" s="4"/>
      <c r="H56" s="4"/>
      <c r="I56" s="4"/>
      <c r="J56" s="7"/>
      <c r="K56" s="4"/>
      <c r="L56" s="7"/>
      <c r="M56" s="4"/>
      <c r="N56" s="7"/>
      <c r="O56" s="4"/>
      <c r="P56" s="7"/>
      <c r="Q56" s="4"/>
      <c r="R56" s="4"/>
      <c r="S56" s="4"/>
    </row>
    <row r="57">
      <c r="C57" s="4"/>
      <c r="D57" s="4"/>
      <c r="E57" s="4"/>
      <c r="F57" s="4"/>
      <c r="G57" s="4"/>
      <c r="H57" s="4"/>
      <c r="I57" s="4"/>
      <c r="J57" s="10" t="s">
        <v>66</v>
      </c>
      <c r="K57" s="2" t="s">
        <v>90</v>
      </c>
      <c r="L57" s="13">
        <v>36.0</v>
      </c>
      <c r="M57" s="4"/>
      <c r="N57" s="7"/>
      <c r="O57" s="4"/>
      <c r="P57" s="7"/>
      <c r="Q57" s="4"/>
      <c r="R57" s="4"/>
      <c r="S57" s="4"/>
    </row>
    <row r="58">
      <c r="C58" s="4"/>
      <c r="D58" s="4"/>
      <c r="E58" s="4"/>
      <c r="F58" s="4"/>
      <c r="G58" s="2" t="s">
        <v>11</v>
      </c>
      <c r="H58" s="2">
        <v>118.0</v>
      </c>
      <c r="I58" s="4"/>
      <c r="J58" s="7"/>
      <c r="K58" s="4"/>
      <c r="L58" s="4"/>
      <c r="M58" s="4"/>
      <c r="N58" s="7"/>
      <c r="O58" s="4"/>
      <c r="P58" s="7"/>
      <c r="Q58" s="4"/>
      <c r="R58" s="4"/>
      <c r="S58" s="4"/>
    </row>
    <row r="59">
      <c r="C59" s="4"/>
      <c r="D59" s="21" t="s">
        <v>92</v>
      </c>
      <c r="E59" s="2" t="s">
        <v>26</v>
      </c>
      <c r="F59" s="2">
        <v>72.0</v>
      </c>
      <c r="G59" s="4"/>
      <c r="H59" s="7"/>
      <c r="I59" s="4"/>
      <c r="J59" s="10"/>
      <c r="K59" s="4"/>
      <c r="L59" s="4"/>
      <c r="M59" s="4"/>
      <c r="N59" s="7"/>
      <c r="O59" s="4"/>
      <c r="P59" s="7"/>
      <c r="Q59" s="4"/>
      <c r="R59" s="4"/>
      <c r="S59" s="4"/>
    </row>
    <row r="60">
      <c r="C60" s="4"/>
      <c r="D60" s="4"/>
      <c r="E60" s="4"/>
      <c r="F60" s="7"/>
      <c r="G60" s="4"/>
      <c r="H60" s="10" t="s">
        <v>66</v>
      </c>
      <c r="I60" s="2" t="s">
        <v>11</v>
      </c>
      <c r="J60" s="13">
        <v>54.0</v>
      </c>
      <c r="K60" s="4"/>
      <c r="L60" s="4"/>
      <c r="M60" s="4"/>
      <c r="N60" s="10" t="s">
        <v>66</v>
      </c>
      <c r="O60" s="2" t="s">
        <v>19</v>
      </c>
      <c r="P60" s="13">
        <v>10.0</v>
      </c>
      <c r="Q60" s="4"/>
      <c r="R60" s="4"/>
      <c r="S60" s="4"/>
    </row>
    <row r="61">
      <c r="C61" s="4"/>
      <c r="D61" s="4"/>
      <c r="E61" s="4"/>
      <c r="F61" s="10" t="s">
        <v>66</v>
      </c>
      <c r="G61" s="2" t="s">
        <v>26</v>
      </c>
      <c r="H61" s="13">
        <v>4.0</v>
      </c>
      <c r="I61" s="4"/>
      <c r="J61" s="59" t="s">
        <v>95</v>
      </c>
      <c r="K61" s="4"/>
      <c r="L61" s="4"/>
      <c r="M61" s="4"/>
      <c r="N61" s="7"/>
      <c r="O61" s="4"/>
      <c r="P61" s="4"/>
      <c r="Q61" s="4"/>
      <c r="R61" s="4"/>
      <c r="S61" s="4"/>
    </row>
    <row r="62">
      <c r="C62" s="4"/>
      <c r="D62" s="59" t="s">
        <v>96</v>
      </c>
      <c r="E62" s="2" t="s">
        <v>40</v>
      </c>
      <c r="F62" s="13">
        <v>32.0</v>
      </c>
      <c r="G62" s="4"/>
      <c r="H62" s="4"/>
      <c r="I62" s="4"/>
      <c r="J62" s="4"/>
      <c r="K62" s="4"/>
      <c r="L62" s="4"/>
      <c r="M62" s="4"/>
      <c r="N62" s="7"/>
      <c r="O62" s="4"/>
      <c r="P62" s="4"/>
      <c r="Q62" s="4"/>
      <c r="R62" s="4"/>
      <c r="S62" s="4"/>
    </row>
    <row r="63">
      <c r="C63" s="4"/>
      <c r="D63" s="4"/>
      <c r="E63" s="4"/>
      <c r="F63" s="4"/>
      <c r="G63" s="4"/>
      <c r="H63" s="4"/>
      <c r="I63" s="4"/>
      <c r="J63" s="4"/>
      <c r="K63" s="2" t="s">
        <v>77</v>
      </c>
      <c r="L63" s="2">
        <v>72.0</v>
      </c>
      <c r="M63" s="4"/>
      <c r="N63" s="7"/>
      <c r="O63" s="4"/>
      <c r="P63" s="4"/>
      <c r="Q63" s="4"/>
      <c r="R63" s="4"/>
      <c r="S63" s="4"/>
    </row>
    <row r="64">
      <c r="C64" s="4"/>
      <c r="D64" s="4"/>
      <c r="E64" s="4"/>
      <c r="F64" s="4"/>
      <c r="G64" s="2" t="s">
        <v>19</v>
      </c>
      <c r="H64" s="2">
        <v>144.0</v>
      </c>
      <c r="I64" s="4"/>
      <c r="J64" s="4"/>
      <c r="K64" s="4"/>
      <c r="L64" s="7"/>
      <c r="M64" s="4"/>
      <c r="N64" s="7"/>
      <c r="O64" s="4"/>
      <c r="P64" s="4"/>
      <c r="Q64" s="4"/>
      <c r="R64" s="4"/>
      <c r="S64" s="4"/>
    </row>
    <row r="65">
      <c r="C65" s="4"/>
      <c r="D65" s="21" t="s">
        <v>97</v>
      </c>
      <c r="E65" s="2" t="s">
        <v>25</v>
      </c>
      <c r="F65" s="2">
        <v>60.0</v>
      </c>
      <c r="G65" s="4"/>
      <c r="H65" s="7"/>
      <c r="I65" s="4"/>
      <c r="J65" s="4"/>
      <c r="K65" s="4"/>
      <c r="L65" s="7"/>
      <c r="M65" s="4"/>
      <c r="N65" s="7"/>
      <c r="O65" s="4"/>
      <c r="P65" s="4"/>
      <c r="Q65" s="4"/>
      <c r="R65" s="4"/>
      <c r="S65" s="4"/>
    </row>
    <row r="66">
      <c r="C66" s="4"/>
      <c r="D66" s="4"/>
      <c r="E66" s="4"/>
      <c r="F66" s="7"/>
      <c r="G66" s="4"/>
      <c r="H66" s="10" t="s">
        <v>74</v>
      </c>
      <c r="I66" s="2" t="s">
        <v>19</v>
      </c>
      <c r="J66" s="2">
        <v>70.0</v>
      </c>
      <c r="K66" s="4"/>
      <c r="L66" s="10" t="s">
        <v>35</v>
      </c>
      <c r="M66" s="2" t="s">
        <v>19</v>
      </c>
      <c r="N66" s="13">
        <v>56.0</v>
      </c>
      <c r="O66" s="4"/>
      <c r="P66" s="4"/>
      <c r="Q66" s="4"/>
      <c r="R66" s="4"/>
      <c r="S66" s="4"/>
    </row>
    <row r="67">
      <c r="C67" s="4"/>
      <c r="D67" s="4"/>
      <c r="E67" s="4"/>
      <c r="F67" s="10" t="s">
        <v>74</v>
      </c>
      <c r="G67" s="2" t="s">
        <v>27</v>
      </c>
      <c r="H67" s="13">
        <v>22.0</v>
      </c>
      <c r="I67" s="4"/>
      <c r="J67" s="7"/>
      <c r="K67" s="4"/>
      <c r="L67" s="7"/>
      <c r="M67" s="4"/>
      <c r="N67" s="4"/>
      <c r="O67" s="4"/>
      <c r="P67" s="4"/>
      <c r="Q67" s="4"/>
      <c r="R67" s="4"/>
      <c r="S67" s="4"/>
    </row>
    <row r="68">
      <c r="C68" s="4"/>
      <c r="D68" s="21" t="s">
        <v>98</v>
      </c>
      <c r="E68" s="2" t="s">
        <v>27</v>
      </c>
      <c r="F68" s="13">
        <v>70.0</v>
      </c>
      <c r="G68" s="4"/>
      <c r="H68" s="4"/>
      <c r="I68" s="4"/>
      <c r="J68" s="7"/>
      <c r="K68" s="4"/>
      <c r="L68" s="7"/>
      <c r="M68" s="4"/>
      <c r="N68" s="4"/>
      <c r="O68" s="4"/>
      <c r="P68" s="4"/>
      <c r="Q68" s="4"/>
      <c r="R68" s="4"/>
      <c r="S68" s="4"/>
    </row>
    <row r="69">
      <c r="C69" s="4"/>
      <c r="D69" s="4"/>
      <c r="E69" s="4"/>
      <c r="F69" s="4"/>
      <c r="G69" s="4"/>
      <c r="H69" s="4"/>
      <c r="I69" s="4"/>
      <c r="J69" s="10" t="s">
        <v>74</v>
      </c>
      <c r="K69" s="2" t="s">
        <v>19</v>
      </c>
      <c r="L69" s="13">
        <v>78.0</v>
      </c>
      <c r="M69" s="4"/>
      <c r="N69" s="4"/>
      <c r="O69" s="4"/>
      <c r="P69" s="4"/>
      <c r="Q69" s="4"/>
      <c r="R69" s="4"/>
      <c r="S69" s="4"/>
    </row>
    <row r="70">
      <c r="C70" s="4"/>
      <c r="D70" s="4"/>
      <c r="E70" s="4"/>
      <c r="F70" s="4"/>
      <c r="G70" s="2" t="s">
        <v>8</v>
      </c>
      <c r="H70" s="2">
        <v>26.0</v>
      </c>
      <c r="I70" s="4"/>
      <c r="J70" s="7"/>
      <c r="K70" s="4"/>
      <c r="L70" s="4"/>
      <c r="M70" s="4"/>
      <c r="N70" s="4"/>
      <c r="O70" s="4"/>
      <c r="P70" s="4"/>
      <c r="Q70" s="4"/>
      <c r="R70" s="4"/>
      <c r="S70" s="4"/>
    </row>
    <row r="71">
      <c r="C71" s="4"/>
      <c r="D71" s="59" t="s">
        <v>100</v>
      </c>
      <c r="E71" s="2" t="s">
        <v>76</v>
      </c>
      <c r="F71" s="2">
        <v>44.0</v>
      </c>
      <c r="G71" s="4"/>
      <c r="H71" s="7"/>
      <c r="I71" s="4"/>
      <c r="J71" s="7"/>
      <c r="K71" s="4"/>
      <c r="L71" s="4"/>
      <c r="M71" s="4"/>
      <c r="N71" s="4"/>
      <c r="O71" s="4"/>
      <c r="P71" s="4"/>
      <c r="Q71" s="4"/>
      <c r="R71" s="4"/>
      <c r="S71" s="4"/>
    </row>
    <row r="72">
      <c r="C72" s="4"/>
      <c r="D72" s="4"/>
      <c r="E72" s="4"/>
      <c r="F72" s="7"/>
      <c r="G72" s="4"/>
      <c r="H72" s="10" t="s">
        <v>79</v>
      </c>
      <c r="I72" s="2" t="s">
        <v>76</v>
      </c>
      <c r="J72" s="13">
        <v>28.0</v>
      </c>
      <c r="K72" s="4"/>
      <c r="L72" s="4"/>
      <c r="M72" s="4"/>
      <c r="N72" s="4"/>
      <c r="O72" s="4"/>
      <c r="P72" s="4"/>
      <c r="Q72" s="4"/>
      <c r="R72" s="4"/>
      <c r="S72" s="4"/>
    </row>
    <row r="73">
      <c r="C73" s="4"/>
      <c r="D73" s="4"/>
      <c r="E73" s="4"/>
      <c r="F73" s="10" t="s">
        <v>79</v>
      </c>
      <c r="G73" s="2" t="s">
        <v>76</v>
      </c>
      <c r="H73" s="13">
        <v>34.0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>
      <c r="C74" s="4"/>
      <c r="D74" s="21" t="s">
        <v>102</v>
      </c>
      <c r="E74" s="2" t="s">
        <v>81</v>
      </c>
      <c r="F74" s="13">
        <v>24.0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</sheetData>
  <drawing r:id="rId1"/>
</worksheet>
</file>