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-STATS" sheetId="1" r:id="rId5"/>
    <sheet state="visible" name="TEAM-STATS" sheetId="2" r:id="rId6"/>
  </sheets>
  <definedNames/>
  <calcPr/>
</workbook>
</file>

<file path=xl/sharedStrings.xml><?xml version="1.0" encoding="utf-8"?>
<sst xmlns="http://schemas.openxmlformats.org/spreadsheetml/2006/main" count="244" uniqueCount="221">
  <si>
    <t/>
  </si>
  <si>
    <t>Total Points</t>
  </si>
  <si>
    <t>Biology Pts</t>
  </si>
  <si>
    <t>Chemistry Pts</t>
  </si>
  <si>
    <t>Earth Pts</t>
  </si>
  <si>
    <t>Physics Pts</t>
  </si>
  <si>
    <t>Math Pts</t>
  </si>
  <si>
    <t>Energy Pts</t>
  </si>
  <si>
    <t>Biology Bonus</t>
  </si>
  <si>
    <t>Chemistry Bonus</t>
  </si>
  <si>
    <t>Earth Bonus</t>
  </si>
  <si>
    <t>Physics Bonus</t>
  </si>
  <si>
    <t>Math Bonus</t>
  </si>
  <si>
    <t>Energy Bonus</t>
  </si>
  <si>
    <t>Penalties</t>
  </si>
  <si>
    <t>Incorrect</t>
  </si>
  <si>
    <t>Conversions</t>
  </si>
  <si>
    <t>Total TUH</t>
  </si>
  <si>
    <t>Biology TUH</t>
  </si>
  <si>
    <t>Chemistry TUH</t>
  </si>
  <si>
    <t>Earth TUH</t>
  </si>
  <si>
    <t>Physics TUH</t>
  </si>
  <si>
    <t>Math TUH</t>
  </si>
  <si>
    <t>Energy TUH</t>
  </si>
  <si>
    <t>Conversion %</t>
  </si>
  <si>
    <t>Biology/TUH</t>
  </si>
  <si>
    <t>Chemistry/TUH</t>
  </si>
  <si>
    <t>Earth/TUH</t>
  </si>
  <si>
    <t>Physics/TUH</t>
  </si>
  <si>
    <t>Math/TUH</t>
  </si>
  <si>
    <t>Energy/TUH</t>
  </si>
  <si>
    <t>Points/TUH</t>
  </si>
  <si>
    <t>University</t>
  </si>
  <si>
    <t>Biology</t>
  </si>
  <si>
    <t>Chemistry</t>
  </si>
  <si>
    <t>Earth</t>
  </si>
  <si>
    <t>Physics</t>
  </si>
  <si>
    <t>Math</t>
  </si>
  <si>
    <t>Energy</t>
  </si>
  <si>
    <t>Total Correct</t>
  </si>
  <si>
    <t>Correct/TUH</t>
  </si>
  <si>
    <t>BAPPTUH</t>
  </si>
  <si>
    <t>Yufei Chen [University]</t>
  </si>
  <si>
    <t>North Hollywood</t>
  </si>
  <si>
    <t xml:space="preserve">Notes </t>
  </si>
  <si>
    <t>Centennial</t>
  </si>
  <si>
    <t>The given statistics only represent performace on the preliminary rounds of ESBOT.</t>
  </si>
  <si>
    <t>Hwite Bread A</t>
  </si>
  <si>
    <t>Westminster</t>
  </si>
  <si>
    <t>Anurag [Centennial]</t>
  </si>
  <si>
    <t>The statistics for 5 matches throughout ESBOT were lost due to technical issues and were not included in the statistics. The following games were affected: A3-RR4, B2-RR3, B3-RR1, F1-RR5</t>
  </si>
  <si>
    <t>Buchholz A</t>
  </si>
  <si>
    <t>MSJ A</t>
  </si>
  <si>
    <t>Mason Yu [Westminster]</t>
  </si>
  <si>
    <t>Dulles A</t>
  </si>
  <si>
    <t>SSM-GH</t>
  </si>
  <si>
    <t>The reported scores used for these statistics may not match up perfectly with reported scores during the contest due to some games in which a small subset of the questions were lost due to technical issues</t>
  </si>
  <si>
    <t>Foothill</t>
  </si>
  <si>
    <t>Vishnu [Lakeside]</t>
  </si>
  <si>
    <t>Saratoga</t>
  </si>
  <si>
    <t>Knights</t>
  </si>
  <si>
    <t>Peter [Foothill]</t>
  </si>
  <si>
    <t>South Hollywood</t>
  </si>
  <si>
    <t>Aditya [Hwite Bread A]</t>
  </si>
  <si>
    <t>TUH is the number of tossups heard. In some cases it may be off especially if the student was frequently subbed out in a game</t>
  </si>
  <si>
    <t>Sodium Hypobromite</t>
  </si>
  <si>
    <t>Anthony [Saratoga]</t>
  </si>
  <si>
    <t>Lakeside</t>
  </si>
  <si>
    <t>Shen</t>
  </si>
  <si>
    <t>ANdrey [Buchholz A]</t>
  </si>
  <si>
    <t xml:space="preserve">Conversions are the number of tossups correct in which the team got the bonus paired with that tossup. For team statistics this is simply the number of bonuses correct. Conversion % is the number of conversions per tossup correct. </t>
  </si>
  <si>
    <t>Iolani A</t>
  </si>
  <si>
    <t>Connor Zhao [South Hollywood]</t>
  </si>
  <si>
    <t>Hwite Bread B</t>
  </si>
  <si>
    <t>Richard [North Hollywood]</t>
  </si>
  <si>
    <t>Lexington 1</t>
  </si>
  <si>
    <t>Shreyas Ekanathan [Lexington 1]</t>
  </si>
  <si>
    <t>CCA 1</t>
  </si>
  <si>
    <t>Antman [Dulles A]</t>
  </si>
  <si>
    <t>MSJ B</t>
  </si>
  <si>
    <t>Conversions are the number of tossups correct in which the team got the bonus paired with that tossup. Conversion % is the number of conversions per tossup correct.</t>
  </si>
  <si>
    <t>Edward [Shen]</t>
  </si>
  <si>
    <t>MSJ C</t>
  </si>
  <si>
    <t>Jerry [MSJ A]</t>
  </si>
  <si>
    <t>Pullman A</t>
  </si>
  <si>
    <t>Amador Valley 1</t>
  </si>
  <si>
    <t>Alex [North Hollywood]</t>
  </si>
  <si>
    <t>Crestview Middle</t>
  </si>
  <si>
    <t>Nipun [Hwite Bread A]</t>
  </si>
  <si>
    <t>BAPPTUH is points per tossup heard plus the bonus points for each conversion. It was not used for determining any awards.</t>
  </si>
  <si>
    <t>Samanyu Ganesh [Westminster]</t>
  </si>
  <si>
    <t>Lexington 2</t>
  </si>
  <si>
    <t>Ryan Eto [Iolani A]</t>
  </si>
  <si>
    <t>Niskayuna A</t>
  </si>
  <si>
    <t>Harsh [SSM-GH]</t>
  </si>
  <si>
    <t>Niskayuna B</t>
  </si>
  <si>
    <t>Dulles B</t>
  </si>
  <si>
    <t>Viraj Negandhi [Dulles A]</t>
  </si>
  <si>
    <t>CCA 2</t>
  </si>
  <si>
    <t>Boheng [North Hollywood]</t>
  </si>
  <si>
    <t>Amador Valley 2</t>
  </si>
  <si>
    <t>Iolani B</t>
  </si>
  <si>
    <t>Walter Chang [MSJ C]</t>
  </si>
  <si>
    <t>Aatreyo [Hwite Bread B]</t>
  </si>
  <si>
    <t>Ayush [Crestview Middle]</t>
  </si>
  <si>
    <t>Aldric Benalan [Knights]</t>
  </si>
  <si>
    <t>Jerry Xu [Lexington 1]</t>
  </si>
  <si>
    <t>Rushil Shah [Dulles A]</t>
  </si>
  <si>
    <t>Ishank Kadadi [CCA 2]</t>
  </si>
  <si>
    <t>Vikas [SSM-GH]</t>
  </si>
  <si>
    <t>Madhav [SSM-GH]</t>
  </si>
  <si>
    <t>Nicholas [Buchholz A]</t>
  </si>
  <si>
    <t>Mihir [Niskayuna A]</t>
  </si>
  <si>
    <t>Rohan Garg [Amador Valley 1]</t>
  </si>
  <si>
    <t>Allen [Lexington 2]</t>
  </si>
  <si>
    <t>Krutharth Vaddiyar [Knights]</t>
  </si>
  <si>
    <t>Sophie [South Hollywood]</t>
  </si>
  <si>
    <t>Alex Xu [CCA 1]</t>
  </si>
  <si>
    <t>owen [Sodium Hypobromite]</t>
  </si>
  <si>
    <t>daniel [Sodium Hypobromite]</t>
  </si>
  <si>
    <t>Suzuko Ohshima [South Hollywood]</t>
  </si>
  <si>
    <t>sam [MSJ A]</t>
  </si>
  <si>
    <t>Gaurav [Amador Valley 1]</t>
  </si>
  <si>
    <t>Ari [Iolani B]</t>
  </si>
  <si>
    <t>Tony Liu [Shen]</t>
  </si>
  <si>
    <t>Justin Li [Dulles A]</t>
  </si>
  <si>
    <t>Julian [Sodium Hypobromite]</t>
  </si>
  <si>
    <t>Arjun [Niskayuna A]</t>
  </si>
  <si>
    <t>Mahith [Dulles B]</t>
  </si>
  <si>
    <t>Alex Backues [CCA 1]</t>
  </si>
  <si>
    <t>Tanay [Hwite Bread B]</t>
  </si>
  <si>
    <t>Daniel Yang [Niskayuna B]</t>
  </si>
  <si>
    <t>Aarush Iyengar [Niskayuna B]</t>
  </si>
  <si>
    <t>Harish [Hwite Bread A]</t>
  </si>
  <si>
    <t>grace [Sodium Hypobromite]</t>
  </si>
  <si>
    <t>Sid [Dulles B]</t>
  </si>
  <si>
    <t>Flora Jiang [CCA 1]</t>
  </si>
  <si>
    <t>Aditya Bose-Bandyopadhyay [Pullman A]</t>
  </si>
  <si>
    <t>Larry Wu [CCA 2]</t>
  </si>
  <si>
    <t>Sarthak [Hwite Bread A]</t>
  </si>
  <si>
    <t>Allison Eto [Iolani A]</t>
  </si>
  <si>
    <t>danliu488 [MSJ B]</t>
  </si>
  <si>
    <t>shreyash [Knights]</t>
  </si>
  <si>
    <t>Alex Petrangelo [Niskayuna B]</t>
  </si>
  <si>
    <t>Daniel [North Hollywood]</t>
  </si>
  <si>
    <t>Alex [SSM-GH]</t>
  </si>
  <si>
    <t>Ethan Yan [MSJ C]</t>
  </si>
  <si>
    <t>Wendy Cao [University]</t>
  </si>
  <si>
    <t>Micheal W [Buchholz A]</t>
  </si>
  <si>
    <t>fluffyghost8 [MSJ B]</t>
  </si>
  <si>
    <t>annie [MSJ A]</t>
  </si>
  <si>
    <t>Gokul [MSJ A]</t>
  </si>
  <si>
    <t>Spencer [Amador Valley 2]</t>
  </si>
  <si>
    <t>Emmanuel [Buchholz A]</t>
  </si>
  <si>
    <t>Jacob [Shen]</t>
  </si>
  <si>
    <t>Aravind Muralidharan [MSJ C]</t>
  </si>
  <si>
    <t>Mihir [Crestview Middle]</t>
  </si>
  <si>
    <t>Brian [Lexington 2]</t>
  </si>
  <si>
    <t>Jeffrey Li [MSJ B]</t>
  </si>
  <si>
    <t>Arya [Hwite Bread B]</t>
  </si>
  <si>
    <t>Iris [Niskayuna A]</t>
  </si>
  <si>
    <t>Sahil Ganjyal [Pullman A]</t>
  </si>
  <si>
    <t>Mir Park [Pullman A]</t>
  </si>
  <si>
    <t>Sahas [MSJ A]</t>
  </si>
  <si>
    <t>James Lian [Niskayuna B]</t>
  </si>
  <si>
    <t>Daniel [Lakeside]</t>
  </si>
  <si>
    <t>Agasthya [Lakeside]</t>
  </si>
  <si>
    <t>Abhiram [Amador Valley 2]</t>
  </si>
  <si>
    <t>Aditya Jha [Shen]</t>
  </si>
  <si>
    <t>Anthony Yang [Shen]</t>
  </si>
  <si>
    <t>Rishab [Dulles B]</t>
  </si>
  <si>
    <t>Bella [Lexington 2]</t>
  </si>
  <si>
    <t>Srijon [Amador Valley 2]</t>
  </si>
  <si>
    <t>luczha003 [MSJ B]</t>
  </si>
  <si>
    <t>Adeline [North Hollywood]</t>
  </si>
  <si>
    <t>Arjun [Saratoga]</t>
  </si>
  <si>
    <t>Shlok Parija [Dulles A]</t>
  </si>
  <si>
    <t>Steve [Dulles B]</t>
  </si>
  <si>
    <t>Luke Guan [Westminster]</t>
  </si>
  <si>
    <t>Amol [Crestview Middle]</t>
  </si>
  <si>
    <t>blu [Foothill]</t>
  </si>
  <si>
    <t>arnav [MSJ B]</t>
  </si>
  <si>
    <t>Jasper Premo [Pullman A]</t>
  </si>
  <si>
    <t>Quinn [Saratoga]</t>
  </si>
  <si>
    <t>Kethan [Amador Valley 2]</t>
  </si>
  <si>
    <t>Levana [Saratoga]</t>
  </si>
  <si>
    <t>Emily [Centennial]</t>
  </si>
  <si>
    <t>Edwin [Amador Valley 1]</t>
  </si>
  <si>
    <t>Nathan Ouyang [University]</t>
  </si>
  <si>
    <t>arya [Hwite Bread B]</t>
  </si>
  <si>
    <t>Anthony Wong [MSJ C]</t>
  </si>
  <si>
    <t>Rithik Gumpu [Knights]</t>
  </si>
  <si>
    <t>Arjun Avineni [Knights]</t>
  </si>
  <si>
    <t>preeti [Foothill]</t>
  </si>
  <si>
    <t>Keisuke Kwong [Iolani A]</t>
  </si>
  <si>
    <t>Adam Inamasu [Iolani A]</t>
  </si>
  <si>
    <t>Sangeet [Amador Valley 2]</t>
  </si>
  <si>
    <t>Austin Xu [CCA 1]</t>
  </si>
  <si>
    <t>Ritwik [Amador Valley 1]</t>
  </si>
  <si>
    <t>Rishabh [Sodium Hypobromite]</t>
  </si>
  <si>
    <t>Agastya [Lakeside]</t>
  </si>
  <si>
    <t>kethan [Amador Valley 2]</t>
  </si>
  <si>
    <t>Rohan [Lakeside]</t>
  </si>
  <si>
    <t>Arif [Centennial]</t>
  </si>
  <si>
    <t>Vishal [Centennial]</t>
  </si>
  <si>
    <t>Vasant Arul [CCA 2]</t>
  </si>
  <si>
    <t>Aryan Mudliar [CCA 2]</t>
  </si>
  <si>
    <t>Aarush I [Niskayuna B]</t>
  </si>
  <si>
    <t>Aadi P [Amador Valley 1]</t>
  </si>
  <si>
    <t>Aadi [Amador Valley 1]</t>
  </si>
  <si>
    <t>shohom [Hwite Bread A]</t>
  </si>
  <si>
    <t>Vishnu [Foothill]</t>
  </si>
  <si>
    <t>Supersree [Foothill]</t>
  </si>
  <si>
    <t>Alexandra Yuan [Westminster]</t>
  </si>
  <si>
    <t>Akul Rana [Westminster]</t>
  </si>
  <si>
    <t>Advik [Crestview Middle]</t>
  </si>
  <si>
    <t>William Miller [Pullman A]</t>
  </si>
  <si>
    <t>Samuel [Lexington 2]</t>
  </si>
  <si>
    <t>Cheuk Ming Yeung [Niskayuna B]</t>
  </si>
  <si>
    <t>Faiz W [Niskayuna A]</t>
  </si>
  <si>
    <t>Tarun J [Niskayuna 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</si>
</sst>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textRotation="90"/>
    </xf>
    <xf borderId="0" fillId="0" fontId="1" numFmtId="0" xfId="0" applyAlignment="1" applyFont="1">
      <alignment horizontal="center" readingOrder="0" textRotation="90"/>
    </xf>
    <xf borderId="1" fillId="0" fontId="1" numFmtId="0" xfId="0" applyAlignment="1" applyBorder="1" applyFont="1">
      <alignment horizontal="center" textRotation="90"/>
    </xf>
    <xf borderId="1" fillId="0" fontId="1" numFmtId="0" xfId="0" applyAlignment="1" applyBorder="1" applyFont="1">
      <alignment horizontal="center" readingOrder="0" textRotation="90"/>
    </xf>
    <xf borderId="2" fillId="0" fontId="2" numFmtId="0" xfId="0" applyAlignment="1" applyBorder="1" applyFont="1">
      <alignment horizontal="center" readingOrder="0" textRotation="90" vertical="bottom"/>
    </xf>
    <xf borderId="0" fillId="0" fontId="2" numFmtId="0" xfId="0" applyAlignment="1" applyFont="1">
      <alignment horizontal="center" readingOrder="0" textRotation="90" vertical="bottom"/>
    </xf>
    <xf borderId="0" fillId="0" fontId="2" numFmtId="0" xfId="0" applyAlignment="1" applyFont="1">
      <alignment horizontal="center" textRotation="9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textRotation="90"/>
    </xf>
    <xf borderId="0" fillId="0" fontId="1" numFmtId="0" xfId="0" applyAlignment="1" applyFont="1">
      <alignment horizontal="center" textRotation="90"/>
    </xf>
    <xf borderId="1" fillId="0" fontId="1" numFmtId="9" xfId="0" applyBorder="1" applyFont="1" applyNumberFormat="1"/>
    <xf borderId="2" fillId="0" fontId="1" numFmtId="0" xfId="0" applyAlignment="1" applyBorder="1" applyFont="1">
      <alignment horizontal="center" readingOrder="0" textRotation="90"/>
    </xf>
    <xf borderId="0" fillId="0" fontId="1" numFmtId="0" xfId="0" applyAlignment="1" applyFont="1">
      <alignment horizontal="center" readingOrder="0" textRotation="90"/>
    </xf>
    <xf borderId="2" fillId="0" fontId="1" numFmtId="0" xfId="0" applyAlignment="1" applyBorder="1" applyFont="1">
      <alignment horizontal="center" textRotation="90"/>
    </xf>
    <xf borderId="1" fillId="0" fontId="1" numFmtId="0" xfId="0" applyAlignment="1" applyBorder="1" applyFont="1">
      <alignment horizontal="center" textRotation="90"/>
    </xf>
    <xf borderId="2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readingOrder="0" textRotation="90"/>
    </xf>
    <xf borderId="0" fillId="0" fontId="1" numFmtId="164" xfId="0" applyAlignment="1" applyFont="1" applyNumberFormat="1">
      <alignment horizontal="center" readingOrder="0" textRotation="90"/>
    </xf>
    <xf borderId="0" fillId="0" fontId="1" numFmtId="0" xfId="0" applyAlignment="1" applyFont="1">
      <alignment readingOrder="0" textRotation="90"/>
    </xf>
    <xf borderId="0" fillId="0" fontId="1" numFmtId="0" xfId="0" applyAlignment="1" applyFont="1">
      <alignment textRotation="90"/>
    </xf>
    <xf borderId="0" fillId="0" fontId="1" numFmtId="0" xfId="0" applyAlignment="1" applyFont="1">
      <alignment textRotation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0" fillId="0" fontId="1" numFmtId="0" xfId="0" applyFont="1"/>
    <xf borderId="0" fillId="0" fontId="1" numFmtId="9" xfId="0" applyFont="1" applyNumberFormat="1"/>
    <xf borderId="2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readingOrder="0" shrinkToFit="0" vertical="center" wrapText="1"/>
    </xf>
    <xf borderId="2" fillId="0" fontId="1" numFmtId="2" xfId="0" applyBorder="1" applyFont="1" applyNumberFormat="1"/>
    <xf borderId="0" fillId="0" fontId="1" numFmtId="2" xfId="0" applyFont="1" applyNumberFormat="1"/>
    <xf borderId="1" fillId="0" fontId="1" numFmtId="2" xfId="0" applyBorder="1" applyFont="1" applyNumberFormat="1"/>
    <xf borderId="0" fillId="0" fontId="1" numFmtId="0" xfId="0" applyAlignment="1" applyFont="1">
      <alignment readingOrder="0" shrinkToFit="0" vertical="top" wrapText="1"/>
    </xf>
    <xf borderId="0" fillId="0" fontId="1" numFmtId="164" xfId="0" applyFont="1" applyNumberFormat="1"/>
    <xf borderId="1" fillId="0" fontId="1" numFmtId="0" xfId="0" applyBorder="1" applyFont="1"/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1" fillId="0" fontId="1" numFmtId="9" xfId="0" applyBorder="1" applyFont="1" applyNumberFormat="1"/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textRotation="0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Font="1"/>
    <xf borderId="0" fillId="0" fontId="1" numFmtId="0" xfId="0" applyAlignment="1" applyFont="1">
      <alignment textRotation="0"/>
    </xf>
    <xf borderId="2" fillId="0" fontId="1" numFmtId="0" xfId="0" applyBorder="1" applyFont="1"/>
    <xf borderId="0" fillId="0" fontId="1" numFmtId="164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0B3B3"/>
          <bgColor rgb="FFF0B3B3"/>
        </patternFill>
      </fill>
      <border/>
    </dxf>
    <dxf>
      <font/>
      <fill>
        <patternFill patternType="solid">
          <fgColor rgb="FFF3BEB9"/>
          <bgColor rgb="FFF3BEB9"/>
        </patternFill>
      </fill>
      <border/>
    </dxf>
  </dxfs>
  <tableStyles count="1">
    <tableStyle count="2" pivot="0" name="INDIV-STA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141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INDIV-STA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1" width="3.25"/>
    <col customWidth="1" min="12" max="12" width="4.5"/>
    <col customWidth="1" min="13" max="19" width="3.25"/>
    <col customWidth="1" min="20" max="25" width="4.25"/>
    <col customWidth="1" min="26" max="28" width="5.13"/>
    <col customWidth="1" min="29" max="29" width="3.25"/>
    <col customWidth="1" min="30" max="39" width="3.88"/>
    <col customWidth="1" min="40" max="41" width="3.25"/>
  </cols>
  <sheetData>
    <row r="1">
      <c r="A1" s="11" t="s">
        <v>0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4" t="s">
        <v>39</v>
      </c>
      <c r="I1" s="12" t="s">
        <v>14</v>
      </c>
      <c r="J1" s="12" t="s">
        <v>15</v>
      </c>
      <c r="K1" s="12" t="s">
        <v>16</v>
      </c>
      <c r="L1" s="15" t="s">
        <v>24</v>
      </c>
      <c r="M1" s="16" t="s">
        <v>17</v>
      </c>
      <c r="N1" s="12" t="s">
        <v>18</v>
      </c>
      <c r="O1" s="12" t="s">
        <v>19</v>
      </c>
      <c r="P1" s="12" t="s">
        <v>20</v>
      </c>
      <c r="Q1" s="12" t="s">
        <v>21</v>
      </c>
      <c r="R1" s="12" t="s">
        <v>22</v>
      </c>
      <c r="S1" s="17" t="s">
        <v>23</v>
      </c>
      <c r="T1" s="14" t="s">
        <v>25</v>
      </c>
      <c r="U1" s="15" t="s">
        <v>26</v>
      </c>
      <c r="V1" s="15" t="s">
        <v>27</v>
      </c>
      <c r="W1" s="15" t="s">
        <v>28</v>
      </c>
      <c r="X1" s="15" t="s">
        <v>29</v>
      </c>
      <c r="Y1" s="19" t="s">
        <v>30</v>
      </c>
      <c r="Z1" s="20" t="s">
        <v>40</v>
      </c>
      <c r="AA1" s="20" t="s">
        <v>31</v>
      </c>
      <c r="AB1" s="20" t="s">
        <v>41</v>
      </c>
      <c r="AC1" s="21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</row>
    <row r="2">
      <c r="A2" s="23" t="s">
        <v>42</v>
      </c>
      <c r="B2" s="25">
        <v>6.0</v>
      </c>
      <c r="C2" s="25">
        <v>10.0</v>
      </c>
      <c r="D2" s="26">
        <v>5.0</v>
      </c>
      <c r="E2" s="26">
        <v>7.0</v>
      </c>
      <c r="F2" s="26">
        <v>6.0</v>
      </c>
      <c r="G2" s="26">
        <v>4.0</v>
      </c>
      <c r="H2" s="29">
        <f t="shared" ref="H2:H141" si="2">SUM(B2:G2)</f>
        <v>38</v>
      </c>
      <c r="I2" s="30">
        <v>1.0</v>
      </c>
      <c r="J2" s="30">
        <v>18.0</v>
      </c>
      <c r="K2" s="30">
        <v>26.0</v>
      </c>
      <c r="L2" s="31">
        <f t="shared" ref="L2:L141" si="3">K2/MAX(H2,1)</f>
        <v>0.6842105263</v>
      </c>
      <c r="M2" s="32">
        <v>69.0</v>
      </c>
      <c r="N2" s="26">
        <v>12.0</v>
      </c>
      <c r="O2" s="26">
        <v>12.0</v>
      </c>
      <c r="P2" s="26">
        <v>12.0</v>
      </c>
      <c r="Q2" s="26">
        <v>12.0</v>
      </c>
      <c r="R2" s="26">
        <v>12.0</v>
      </c>
      <c r="S2" s="33">
        <v>9.0</v>
      </c>
      <c r="T2" s="35">
        <f t="shared" ref="T2:Y2" si="1">B2/(IF(N2&gt;0,N2,1))</f>
        <v>0.5</v>
      </c>
      <c r="U2" s="36">
        <f t="shared" si="1"/>
        <v>0.8333333333</v>
      </c>
      <c r="V2" s="36">
        <f t="shared" si="1"/>
        <v>0.4166666667</v>
      </c>
      <c r="W2" s="36">
        <f t="shared" si="1"/>
        <v>0.5833333333</v>
      </c>
      <c r="X2" s="36">
        <f t="shared" si="1"/>
        <v>0.5</v>
      </c>
      <c r="Y2" s="37">
        <f t="shared" si="1"/>
        <v>0.4444444444</v>
      </c>
      <c r="Z2" s="39">
        <f t="shared" ref="Z2:Z4" si="5">H2/IF(M2&gt;0,M2,1)</f>
        <v>0.5507246377</v>
      </c>
      <c r="AA2" s="39">
        <f>(H2-I2)*4/IF(M2&gt;0,M2,1)</f>
        <v>2.144927536</v>
      </c>
      <c r="AB2" s="39">
        <f t="shared" ref="AB2:AB141" si="6">((H2-I2)*4+K2*10)/IF(M2&gt;0,M2,0)</f>
        <v>5.913043478</v>
      </c>
    </row>
    <row r="3">
      <c r="A3" s="23" t="s">
        <v>49</v>
      </c>
      <c r="B3" s="30">
        <v>4.0</v>
      </c>
      <c r="C3" s="30">
        <v>11.0</v>
      </c>
      <c r="D3" s="30">
        <v>5.0</v>
      </c>
      <c r="E3" s="30">
        <v>6.0</v>
      </c>
      <c r="F3" s="30">
        <v>5.0</v>
      </c>
      <c r="G3" s="30">
        <v>5.0</v>
      </c>
      <c r="H3" s="29">
        <f t="shared" si="2"/>
        <v>36</v>
      </c>
      <c r="I3" s="30">
        <v>2.0</v>
      </c>
      <c r="J3" s="30">
        <v>13.0</v>
      </c>
      <c r="K3" s="30">
        <v>26.0</v>
      </c>
      <c r="L3" s="31">
        <f t="shared" si="3"/>
        <v>0.7222222222</v>
      </c>
      <c r="M3" s="29">
        <v>67.0</v>
      </c>
      <c r="N3" s="30">
        <v>12.0</v>
      </c>
      <c r="O3" s="30">
        <v>11.0</v>
      </c>
      <c r="P3" s="30">
        <v>11.0</v>
      </c>
      <c r="Q3" s="30">
        <v>12.0</v>
      </c>
      <c r="R3" s="30">
        <v>12.0</v>
      </c>
      <c r="S3" s="40">
        <v>9.0</v>
      </c>
      <c r="T3" s="35">
        <f t="shared" ref="T3:Y3" si="4">B3/(IF(N3&gt;0,N3,1))</f>
        <v>0.3333333333</v>
      </c>
      <c r="U3" s="36">
        <f t="shared" si="4"/>
        <v>1</v>
      </c>
      <c r="V3" s="36">
        <f t="shared" si="4"/>
        <v>0.4545454545</v>
      </c>
      <c r="W3" s="36">
        <f t="shared" si="4"/>
        <v>0.5</v>
      </c>
      <c r="X3" s="36">
        <f t="shared" si="4"/>
        <v>0.4166666667</v>
      </c>
      <c r="Y3" s="37">
        <f t="shared" si="4"/>
        <v>0.5555555556</v>
      </c>
      <c r="Z3" s="39">
        <f t="shared" si="5"/>
        <v>0.5373134328</v>
      </c>
      <c r="AA3" s="39">
        <f>ROUND((H3-I3)*4/IF(M3&gt;0,M3,1),2)</f>
        <v>2.03</v>
      </c>
      <c r="AB3" s="39">
        <f t="shared" si="6"/>
        <v>5.910447761</v>
      </c>
      <c r="AD3" s="34" t="s">
        <v>44</v>
      </c>
    </row>
    <row r="4">
      <c r="A4" s="8" t="s">
        <v>53</v>
      </c>
      <c r="B4" s="9">
        <v>7.0</v>
      </c>
      <c r="C4" s="9">
        <v>3.0</v>
      </c>
      <c r="D4" s="9">
        <v>9.0</v>
      </c>
      <c r="E4" s="9">
        <v>3.0</v>
      </c>
      <c r="F4" s="9">
        <v>0.0</v>
      </c>
      <c r="G4" s="9">
        <v>5.0</v>
      </c>
      <c r="H4" s="29">
        <f t="shared" si="2"/>
        <v>27</v>
      </c>
      <c r="I4" s="9">
        <v>1.0</v>
      </c>
      <c r="J4" s="9">
        <v>14.0</v>
      </c>
      <c r="K4" s="9">
        <v>16.0</v>
      </c>
      <c r="L4" s="31">
        <f t="shared" si="3"/>
        <v>0.5925925926</v>
      </c>
      <c r="M4" s="18">
        <v>79.0</v>
      </c>
      <c r="N4" s="9">
        <v>13.0</v>
      </c>
      <c r="O4" s="9">
        <v>14.0</v>
      </c>
      <c r="P4" s="9">
        <v>13.0</v>
      </c>
      <c r="Q4" s="9">
        <v>14.0</v>
      </c>
      <c r="R4" s="9">
        <v>14.0</v>
      </c>
      <c r="S4" s="41">
        <v>11.0</v>
      </c>
      <c r="T4" s="35">
        <f t="shared" ref="T4:Y4" si="7">B4/(IF(N4&gt;0,N4,1))</f>
        <v>0.5384615385</v>
      </c>
      <c r="U4" s="36">
        <f t="shared" si="7"/>
        <v>0.2142857143</v>
      </c>
      <c r="V4" s="36">
        <f t="shared" si="7"/>
        <v>0.6923076923</v>
      </c>
      <c r="W4" s="36">
        <f t="shared" si="7"/>
        <v>0.2142857143</v>
      </c>
      <c r="X4" s="36">
        <f t="shared" si="7"/>
        <v>0</v>
      </c>
      <c r="Y4" s="37">
        <f t="shared" si="7"/>
        <v>0.4545454545</v>
      </c>
      <c r="Z4" s="39">
        <f t="shared" si="5"/>
        <v>0.3417721519</v>
      </c>
      <c r="AA4" s="39">
        <f t="shared" ref="AA4:AA141" si="9">(H4-I4)*4/IF(M4&gt;0,M4,1)</f>
        <v>1.316455696</v>
      </c>
      <c r="AB4" s="39">
        <f t="shared" si="6"/>
        <v>3.341772152</v>
      </c>
      <c r="AD4" s="38" t="s">
        <v>46</v>
      </c>
    </row>
    <row r="5">
      <c r="A5" s="43" t="s">
        <v>58</v>
      </c>
      <c r="B5" s="25">
        <v>8.0</v>
      </c>
      <c r="C5" s="25">
        <v>5.0</v>
      </c>
      <c r="D5" s="26">
        <v>6.0</v>
      </c>
      <c r="E5" s="26">
        <v>3.0</v>
      </c>
      <c r="F5" s="26">
        <v>5.0</v>
      </c>
      <c r="G5" s="26">
        <v>4.0</v>
      </c>
      <c r="H5" s="29">
        <f t="shared" si="2"/>
        <v>31</v>
      </c>
      <c r="I5" s="26">
        <v>2.0</v>
      </c>
      <c r="J5" s="26">
        <v>19.0</v>
      </c>
      <c r="K5" s="26">
        <v>12.0</v>
      </c>
      <c r="L5" s="44">
        <f t="shared" si="3"/>
        <v>0.3870967742</v>
      </c>
      <c r="M5" s="32">
        <v>89.0</v>
      </c>
      <c r="N5" s="26">
        <v>16.0</v>
      </c>
      <c r="O5" s="26">
        <v>14.0</v>
      </c>
      <c r="P5" s="26">
        <v>15.0</v>
      </c>
      <c r="Q5" s="26">
        <v>16.0</v>
      </c>
      <c r="R5" s="26">
        <v>16.0</v>
      </c>
      <c r="S5" s="33">
        <v>12.0</v>
      </c>
      <c r="T5" s="35">
        <f t="shared" ref="T5:Y5" si="8">B5/(IF(N5&gt;0,N5,1))</f>
        <v>0.5</v>
      </c>
      <c r="U5" s="36">
        <f t="shared" si="8"/>
        <v>0.3571428571</v>
      </c>
      <c r="V5" s="36">
        <f t="shared" si="8"/>
        <v>0.4</v>
      </c>
      <c r="W5" s="36">
        <f t="shared" si="8"/>
        <v>0.1875</v>
      </c>
      <c r="X5" s="36">
        <f t="shared" si="8"/>
        <v>0.3125</v>
      </c>
      <c r="Y5" s="37">
        <f t="shared" si="8"/>
        <v>0.3333333333</v>
      </c>
      <c r="Z5" s="39">
        <f>I5/IF(O5&gt;0,O5,1)</f>
        <v>0.1428571429</v>
      </c>
      <c r="AA5" s="39">
        <f t="shared" si="9"/>
        <v>1.303370787</v>
      </c>
      <c r="AB5" s="39">
        <f t="shared" si="6"/>
        <v>2.651685393</v>
      </c>
    </row>
    <row r="6">
      <c r="A6" s="23" t="s">
        <v>61</v>
      </c>
      <c r="B6" s="30">
        <v>0.0</v>
      </c>
      <c r="C6" s="30">
        <v>5.0</v>
      </c>
      <c r="D6" s="30">
        <v>10.0</v>
      </c>
      <c r="E6" s="30">
        <v>5.0</v>
      </c>
      <c r="F6" s="30">
        <v>8.0</v>
      </c>
      <c r="G6" s="30">
        <v>3.0</v>
      </c>
      <c r="H6" s="29">
        <f t="shared" si="2"/>
        <v>31</v>
      </c>
      <c r="I6" s="30">
        <v>2.0</v>
      </c>
      <c r="J6" s="30">
        <v>26.0</v>
      </c>
      <c r="K6" s="30">
        <v>19.0</v>
      </c>
      <c r="L6" s="31">
        <f t="shared" si="3"/>
        <v>0.6129032258</v>
      </c>
      <c r="M6" s="29">
        <v>89.0</v>
      </c>
      <c r="N6" s="30">
        <v>15.0</v>
      </c>
      <c r="O6" s="30">
        <v>16.0</v>
      </c>
      <c r="P6" s="30">
        <v>16.0</v>
      </c>
      <c r="Q6" s="30">
        <v>15.0</v>
      </c>
      <c r="R6" s="30">
        <v>16.0</v>
      </c>
      <c r="S6" s="40">
        <v>11.0</v>
      </c>
      <c r="T6" s="35">
        <f t="shared" ref="T6:Y6" si="10">B6/(IF(N6&gt;0,N6,1))</f>
        <v>0</v>
      </c>
      <c r="U6" s="36">
        <f t="shared" si="10"/>
        <v>0.3125</v>
      </c>
      <c r="V6" s="36">
        <f t="shared" si="10"/>
        <v>0.625</v>
      </c>
      <c r="W6" s="36">
        <f t="shared" si="10"/>
        <v>0.3333333333</v>
      </c>
      <c r="X6" s="36">
        <f t="shared" si="10"/>
        <v>0.5</v>
      </c>
      <c r="Y6" s="37">
        <f t="shared" si="10"/>
        <v>0.2727272727</v>
      </c>
      <c r="Z6" s="39">
        <f t="shared" ref="Z6:Z141" si="12">H6/IF(M6&gt;0,M6,1)</f>
        <v>0.3483146067</v>
      </c>
      <c r="AA6" s="39">
        <f t="shared" si="9"/>
        <v>1.303370787</v>
      </c>
      <c r="AB6" s="39">
        <f t="shared" si="6"/>
        <v>3.438202247</v>
      </c>
      <c r="AD6" s="38" t="s">
        <v>50</v>
      </c>
    </row>
    <row r="7">
      <c r="A7" s="23" t="s">
        <v>63</v>
      </c>
      <c r="B7" s="30">
        <v>10.0</v>
      </c>
      <c r="C7" s="30">
        <v>2.0</v>
      </c>
      <c r="D7" s="30">
        <v>6.0</v>
      </c>
      <c r="E7" s="30">
        <v>4.0</v>
      </c>
      <c r="F7" s="30">
        <v>1.0</v>
      </c>
      <c r="G7" s="30">
        <v>8.0</v>
      </c>
      <c r="H7" s="29">
        <f t="shared" si="2"/>
        <v>31</v>
      </c>
      <c r="I7" s="30">
        <v>4.0</v>
      </c>
      <c r="J7" s="30">
        <v>7.0</v>
      </c>
      <c r="K7" s="30">
        <v>22.0</v>
      </c>
      <c r="L7" s="31">
        <f t="shared" si="3"/>
        <v>0.7096774194</v>
      </c>
      <c r="M7" s="29">
        <v>90.0</v>
      </c>
      <c r="N7" s="30">
        <v>15.0</v>
      </c>
      <c r="O7" s="30">
        <v>16.0</v>
      </c>
      <c r="P7" s="30">
        <v>16.0</v>
      </c>
      <c r="Q7" s="30">
        <v>15.0</v>
      </c>
      <c r="R7" s="30">
        <v>16.0</v>
      </c>
      <c r="S7" s="40">
        <v>12.0</v>
      </c>
      <c r="T7" s="35">
        <f t="shared" ref="T7:Y7" si="11">B7/(IF(N7&gt;0,N7,1))</f>
        <v>0.6666666667</v>
      </c>
      <c r="U7" s="36">
        <f t="shared" si="11"/>
        <v>0.125</v>
      </c>
      <c r="V7" s="36">
        <f t="shared" si="11"/>
        <v>0.375</v>
      </c>
      <c r="W7" s="36">
        <f t="shared" si="11"/>
        <v>0.2666666667</v>
      </c>
      <c r="X7" s="36">
        <f t="shared" si="11"/>
        <v>0.0625</v>
      </c>
      <c r="Y7" s="37">
        <f t="shared" si="11"/>
        <v>0.6666666667</v>
      </c>
      <c r="Z7" s="39">
        <f t="shared" si="12"/>
        <v>0.3444444444</v>
      </c>
      <c r="AA7" s="39">
        <f t="shared" si="9"/>
        <v>1.2</v>
      </c>
      <c r="AB7" s="39">
        <f t="shared" si="6"/>
        <v>3.644444444</v>
      </c>
    </row>
    <row r="8">
      <c r="A8" s="23" t="s">
        <v>66</v>
      </c>
      <c r="B8" s="30">
        <v>0.0</v>
      </c>
      <c r="C8" s="30">
        <v>0.0</v>
      </c>
      <c r="D8" s="45">
        <v>6.0</v>
      </c>
      <c r="E8" s="45">
        <v>5.0</v>
      </c>
      <c r="F8" s="45">
        <v>14.0</v>
      </c>
      <c r="G8" s="45">
        <v>1.0</v>
      </c>
      <c r="H8" s="29">
        <f t="shared" si="2"/>
        <v>26</v>
      </c>
      <c r="I8" s="45">
        <v>2.0</v>
      </c>
      <c r="J8" s="45">
        <v>11.0</v>
      </c>
      <c r="K8" s="45">
        <v>19.0</v>
      </c>
      <c r="L8" s="31">
        <f t="shared" si="3"/>
        <v>0.7307692308</v>
      </c>
      <c r="M8" s="46">
        <v>91.0</v>
      </c>
      <c r="N8" s="45">
        <v>16.0</v>
      </c>
      <c r="O8" s="45">
        <v>16.0</v>
      </c>
      <c r="P8" s="45">
        <v>15.0</v>
      </c>
      <c r="Q8" s="45">
        <v>16.0</v>
      </c>
      <c r="R8" s="45">
        <v>16.0</v>
      </c>
      <c r="S8" s="47">
        <v>12.0</v>
      </c>
      <c r="T8" s="35">
        <f t="shared" ref="T8:Y8" si="13">B8/(IF(N8&gt;0,N8,1))</f>
        <v>0</v>
      </c>
      <c r="U8" s="36">
        <f t="shared" si="13"/>
        <v>0</v>
      </c>
      <c r="V8" s="36">
        <f t="shared" si="13"/>
        <v>0.4</v>
      </c>
      <c r="W8" s="36">
        <f t="shared" si="13"/>
        <v>0.3125</v>
      </c>
      <c r="X8" s="36">
        <f t="shared" si="13"/>
        <v>0.875</v>
      </c>
      <c r="Y8" s="37">
        <f t="shared" si="13"/>
        <v>0.08333333333</v>
      </c>
      <c r="Z8" s="39">
        <f t="shared" si="12"/>
        <v>0.2857142857</v>
      </c>
      <c r="AA8" s="39">
        <f t="shared" si="9"/>
        <v>1.054945055</v>
      </c>
      <c r="AB8" s="39">
        <f t="shared" si="6"/>
        <v>3.142857143</v>
      </c>
    </row>
    <row r="9">
      <c r="A9" s="23" t="s">
        <v>69</v>
      </c>
      <c r="B9" s="30">
        <v>10.0</v>
      </c>
      <c r="C9" s="30">
        <v>1.0</v>
      </c>
      <c r="D9" s="30">
        <v>5.0</v>
      </c>
      <c r="E9" s="30">
        <v>1.0</v>
      </c>
      <c r="F9" s="30">
        <v>3.0</v>
      </c>
      <c r="G9" s="30">
        <v>8.0</v>
      </c>
      <c r="H9" s="29">
        <f t="shared" si="2"/>
        <v>28</v>
      </c>
      <c r="I9" s="30">
        <v>2.0</v>
      </c>
      <c r="J9" s="30">
        <v>16.0</v>
      </c>
      <c r="K9" s="30">
        <v>17.0</v>
      </c>
      <c r="L9" s="31">
        <f t="shared" si="3"/>
        <v>0.6071428571</v>
      </c>
      <c r="M9" s="29">
        <v>110.0</v>
      </c>
      <c r="N9" s="30">
        <v>18.0</v>
      </c>
      <c r="O9" s="30">
        <v>19.0</v>
      </c>
      <c r="P9" s="30">
        <v>20.0</v>
      </c>
      <c r="Q9" s="30">
        <v>19.0</v>
      </c>
      <c r="R9" s="30">
        <v>19.0</v>
      </c>
      <c r="S9" s="40">
        <v>15.0</v>
      </c>
      <c r="T9" s="35">
        <f t="shared" ref="T9:Y9" si="14">B9/(IF(N9&gt;0,N9,1))</f>
        <v>0.5555555556</v>
      </c>
      <c r="U9" s="36">
        <f t="shared" si="14"/>
        <v>0.05263157895</v>
      </c>
      <c r="V9" s="36">
        <f t="shared" si="14"/>
        <v>0.25</v>
      </c>
      <c r="W9" s="36">
        <f t="shared" si="14"/>
        <v>0.05263157895</v>
      </c>
      <c r="X9" s="36">
        <f t="shared" si="14"/>
        <v>0.1578947368</v>
      </c>
      <c r="Y9" s="37">
        <f t="shared" si="14"/>
        <v>0.5333333333</v>
      </c>
      <c r="Z9" s="39">
        <f t="shared" si="12"/>
        <v>0.2545454545</v>
      </c>
      <c r="AA9" s="39">
        <f t="shared" si="9"/>
        <v>0.9454545455</v>
      </c>
      <c r="AB9" s="39">
        <f t="shared" si="6"/>
        <v>2.490909091</v>
      </c>
    </row>
    <row r="10">
      <c r="A10" s="8" t="s">
        <v>72</v>
      </c>
      <c r="B10" s="9">
        <v>0.0</v>
      </c>
      <c r="C10" s="9">
        <v>8.0</v>
      </c>
      <c r="D10" s="9">
        <v>4.0</v>
      </c>
      <c r="E10" s="9">
        <v>3.0</v>
      </c>
      <c r="F10" s="9">
        <v>3.0</v>
      </c>
      <c r="G10" s="9">
        <v>5.0</v>
      </c>
      <c r="H10" s="29">
        <f t="shared" si="2"/>
        <v>23</v>
      </c>
      <c r="I10" s="9">
        <v>0.0</v>
      </c>
      <c r="J10" s="9">
        <v>10.0</v>
      </c>
      <c r="K10" s="9">
        <v>7.0</v>
      </c>
      <c r="L10" s="31">
        <f t="shared" si="3"/>
        <v>0.3043478261</v>
      </c>
      <c r="M10" s="18">
        <v>101.0</v>
      </c>
      <c r="N10" s="9">
        <v>17.0</v>
      </c>
      <c r="O10" s="9">
        <v>18.0</v>
      </c>
      <c r="P10" s="9">
        <v>18.0</v>
      </c>
      <c r="Q10" s="9">
        <v>18.0</v>
      </c>
      <c r="R10" s="9">
        <v>16.0</v>
      </c>
      <c r="S10" s="41">
        <v>14.0</v>
      </c>
      <c r="T10" s="35">
        <f t="shared" ref="T10:Y10" si="15">B10/(IF(N10&gt;0,N10,1))</f>
        <v>0</v>
      </c>
      <c r="U10" s="36">
        <f t="shared" si="15"/>
        <v>0.4444444444</v>
      </c>
      <c r="V10" s="36">
        <f t="shared" si="15"/>
        <v>0.2222222222</v>
      </c>
      <c r="W10" s="36">
        <f t="shared" si="15"/>
        <v>0.1666666667</v>
      </c>
      <c r="X10" s="36">
        <f t="shared" si="15"/>
        <v>0.1875</v>
      </c>
      <c r="Y10" s="37">
        <f t="shared" si="15"/>
        <v>0.3571428571</v>
      </c>
      <c r="Z10" s="39">
        <f t="shared" si="12"/>
        <v>0.2277227723</v>
      </c>
      <c r="AA10" s="39">
        <f t="shared" si="9"/>
        <v>0.9108910891</v>
      </c>
      <c r="AB10" s="39">
        <f t="shared" si="6"/>
        <v>1.603960396</v>
      </c>
      <c r="AD10" s="38" t="s">
        <v>64</v>
      </c>
    </row>
    <row r="11">
      <c r="A11" s="23" t="s">
        <v>74</v>
      </c>
      <c r="B11" s="30">
        <v>8.0</v>
      </c>
      <c r="C11" s="30">
        <v>2.0</v>
      </c>
      <c r="D11" s="30">
        <v>1.0</v>
      </c>
      <c r="E11" s="30">
        <v>2.0</v>
      </c>
      <c r="F11" s="30">
        <v>9.0</v>
      </c>
      <c r="G11" s="30">
        <v>2.0</v>
      </c>
      <c r="H11" s="29">
        <f t="shared" si="2"/>
        <v>24</v>
      </c>
      <c r="I11" s="30">
        <v>0.0</v>
      </c>
      <c r="J11" s="30">
        <v>10.0</v>
      </c>
      <c r="K11" s="30">
        <v>15.0</v>
      </c>
      <c r="L11" s="31">
        <f t="shared" si="3"/>
        <v>0.625</v>
      </c>
      <c r="M11" s="29">
        <v>111.0</v>
      </c>
      <c r="N11" s="30">
        <v>18.0</v>
      </c>
      <c r="O11" s="30">
        <v>20.0</v>
      </c>
      <c r="P11" s="30">
        <v>21.0</v>
      </c>
      <c r="Q11" s="30">
        <v>19.0</v>
      </c>
      <c r="R11" s="30">
        <v>19.0</v>
      </c>
      <c r="S11" s="40">
        <v>14.0</v>
      </c>
      <c r="T11" s="35">
        <f t="shared" ref="T11:Y11" si="16">B11/(IF(N11&gt;0,N11,1))</f>
        <v>0.4444444444</v>
      </c>
      <c r="U11" s="36">
        <f t="shared" si="16"/>
        <v>0.1</v>
      </c>
      <c r="V11" s="36">
        <f t="shared" si="16"/>
        <v>0.04761904762</v>
      </c>
      <c r="W11" s="36">
        <f t="shared" si="16"/>
        <v>0.1052631579</v>
      </c>
      <c r="X11" s="36">
        <f t="shared" si="16"/>
        <v>0.4736842105</v>
      </c>
      <c r="Y11" s="37">
        <f t="shared" si="16"/>
        <v>0.1428571429</v>
      </c>
      <c r="Z11" s="39">
        <f t="shared" si="12"/>
        <v>0.2162162162</v>
      </c>
      <c r="AA11" s="39">
        <f t="shared" si="9"/>
        <v>0.8648648649</v>
      </c>
      <c r="AB11" s="39">
        <f t="shared" si="6"/>
        <v>2.216216216</v>
      </c>
    </row>
    <row r="12">
      <c r="A12" s="23" t="s">
        <v>76</v>
      </c>
      <c r="B12" s="25">
        <v>2.0</v>
      </c>
      <c r="C12" s="25">
        <v>1.0</v>
      </c>
      <c r="D12" s="26">
        <v>4.0</v>
      </c>
      <c r="E12" s="26">
        <v>4.0</v>
      </c>
      <c r="F12" s="26">
        <v>6.0</v>
      </c>
      <c r="G12" s="26">
        <v>3.0</v>
      </c>
      <c r="H12" s="29">
        <f t="shared" si="2"/>
        <v>20</v>
      </c>
      <c r="I12" s="30">
        <v>1.0</v>
      </c>
      <c r="J12" s="30">
        <v>21.0</v>
      </c>
      <c r="K12" s="30">
        <v>5.0</v>
      </c>
      <c r="L12" s="31">
        <f t="shared" si="3"/>
        <v>0.25</v>
      </c>
      <c r="M12" s="32">
        <v>90.0</v>
      </c>
      <c r="N12" s="26">
        <v>16.0</v>
      </c>
      <c r="O12" s="26">
        <v>15.0</v>
      </c>
      <c r="P12" s="26">
        <v>16.0</v>
      </c>
      <c r="Q12" s="26">
        <v>16.0</v>
      </c>
      <c r="R12" s="26">
        <v>16.0</v>
      </c>
      <c r="S12" s="33">
        <v>11.0</v>
      </c>
      <c r="T12" s="35">
        <f t="shared" ref="T12:Y12" si="17">B12/(IF(N12&gt;0,N12,1))</f>
        <v>0.125</v>
      </c>
      <c r="U12" s="36">
        <f t="shared" si="17"/>
        <v>0.06666666667</v>
      </c>
      <c r="V12" s="36">
        <f t="shared" si="17"/>
        <v>0.25</v>
      </c>
      <c r="W12" s="36">
        <f t="shared" si="17"/>
        <v>0.25</v>
      </c>
      <c r="X12" s="36">
        <f t="shared" si="17"/>
        <v>0.375</v>
      </c>
      <c r="Y12" s="37">
        <f t="shared" si="17"/>
        <v>0.2727272727</v>
      </c>
      <c r="Z12" s="39">
        <f t="shared" si="12"/>
        <v>0.2222222222</v>
      </c>
      <c r="AA12" s="39">
        <f t="shared" si="9"/>
        <v>0.8444444444</v>
      </c>
      <c r="AB12" s="39">
        <f t="shared" si="6"/>
        <v>1.4</v>
      </c>
    </row>
    <row r="13">
      <c r="A13" s="48" t="s">
        <v>78</v>
      </c>
      <c r="B13" s="26">
        <v>0.0</v>
      </c>
      <c r="C13" s="26">
        <v>2.0</v>
      </c>
      <c r="D13" s="26">
        <v>0.0</v>
      </c>
      <c r="E13" s="26">
        <v>0.0</v>
      </c>
      <c r="F13" s="26">
        <v>2.0</v>
      </c>
      <c r="G13" s="26">
        <v>0.0</v>
      </c>
      <c r="H13" s="29">
        <f t="shared" si="2"/>
        <v>4</v>
      </c>
      <c r="I13" s="26">
        <v>0.0</v>
      </c>
      <c r="J13" s="26">
        <v>1.0</v>
      </c>
      <c r="K13" s="26">
        <v>2.0</v>
      </c>
      <c r="L13" s="31">
        <f t="shared" si="3"/>
        <v>0.5</v>
      </c>
      <c r="M13" s="32">
        <v>20.0</v>
      </c>
      <c r="N13" s="26">
        <v>3.0</v>
      </c>
      <c r="O13" s="26">
        <v>4.0</v>
      </c>
      <c r="P13" s="26">
        <v>4.0</v>
      </c>
      <c r="Q13" s="26">
        <v>3.0</v>
      </c>
      <c r="R13" s="26">
        <v>3.0</v>
      </c>
      <c r="S13" s="49">
        <v>3.0</v>
      </c>
      <c r="T13" s="35">
        <f t="shared" ref="T13:Y13" si="18">B13/(IF(N13&gt;0,N13,1))</f>
        <v>0</v>
      </c>
      <c r="U13" s="36">
        <f t="shared" si="18"/>
        <v>0.5</v>
      </c>
      <c r="V13" s="36">
        <f t="shared" si="18"/>
        <v>0</v>
      </c>
      <c r="W13" s="36">
        <f t="shared" si="18"/>
        <v>0</v>
      </c>
      <c r="X13" s="36">
        <f t="shared" si="18"/>
        <v>0.6666666667</v>
      </c>
      <c r="Y13" s="37">
        <f t="shared" si="18"/>
        <v>0</v>
      </c>
      <c r="Z13" s="39">
        <f t="shared" si="12"/>
        <v>0.2</v>
      </c>
      <c r="AA13" s="39">
        <f t="shared" si="9"/>
        <v>0.8</v>
      </c>
      <c r="AB13" s="39">
        <f t="shared" si="6"/>
        <v>1.8</v>
      </c>
      <c r="AD13" s="38" t="s">
        <v>80</v>
      </c>
    </row>
    <row r="14">
      <c r="A14" s="8" t="s">
        <v>81</v>
      </c>
      <c r="B14" s="9">
        <v>4.0</v>
      </c>
      <c r="C14" s="9">
        <v>2.0</v>
      </c>
      <c r="D14" s="9">
        <v>7.0</v>
      </c>
      <c r="E14" s="9">
        <v>5.0</v>
      </c>
      <c r="F14" s="9">
        <v>0.0</v>
      </c>
      <c r="G14" s="9">
        <v>3.0</v>
      </c>
      <c r="H14" s="29">
        <f t="shared" si="2"/>
        <v>21</v>
      </c>
      <c r="I14" s="9">
        <v>0.0</v>
      </c>
      <c r="J14" s="9">
        <v>11.0</v>
      </c>
      <c r="K14" s="9">
        <v>6.0</v>
      </c>
      <c r="L14" s="31">
        <f t="shared" si="3"/>
        <v>0.2857142857</v>
      </c>
      <c r="M14" s="18">
        <v>109.0</v>
      </c>
      <c r="N14" s="9">
        <v>17.0</v>
      </c>
      <c r="O14" s="9">
        <v>19.0</v>
      </c>
      <c r="P14" s="9">
        <v>18.0</v>
      </c>
      <c r="Q14" s="9">
        <v>20.0</v>
      </c>
      <c r="R14" s="9">
        <v>20.0</v>
      </c>
      <c r="S14" s="50">
        <v>15.0</v>
      </c>
      <c r="T14" s="35">
        <f t="shared" ref="T14:Y14" si="19">B14/(IF(N14&gt;0,N14,1))</f>
        <v>0.2352941176</v>
      </c>
      <c r="U14" s="36">
        <f t="shared" si="19"/>
        <v>0.1052631579</v>
      </c>
      <c r="V14" s="36">
        <f t="shared" si="19"/>
        <v>0.3888888889</v>
      </c>
      <c r="W14" s="36">
        <f t="shared" si="19"/>
        <v>0.25</v>
      </c>
      <c r="X14" s="36">
        <f t="shared" si="19"/>
        <v>0</v>
      </c>
      <c r="Y14" s="37">
        <f t="shared" si="19"/>
        <v>0.2</v>
      </c>
      <c r="Z14" s="39">
        <f t="shared" si="12"/>
        <v>0.1926605505</v>
      </c>
      <c r="AA14" s="39">
        <f t="shared" si="9"/>
        <v>0.7706422018</v>
      </c>
      <c r="AB14" s="39">
        <f t="shared" si="6"/>
        <v>1.321100917</v>
      </c>
    </row>
    <row r="15">
      <c r="A15" s="23" t="s">
        <v>83</v>
      </c>
      <c r="B15" s="30">
        <v>2.0</v>
      </c>
      <c r="C15" s="30">
        <v>0.0</v>
      </c>
      <c r="D15" s="30">
        <v>8.0</v>
      </c>
      <c r="E15" s="30">
        <v>2.0</v>
      </c>
      <c r="F15" s="30">
        <v>4.0</v>
      </c>
      <c r="G15" s="30">
        <v>0.0</v>
      </c>
      <c r="H15" s="29">
        <f t="shared" si="2"/>
        <v>16</v>
      </c>
      <c r="I15" s="30">
        <v>0.0</v>
      </c>
      <c r="J15" s="30">
        <v>3.0</v>
      </c>
      <c r="K15" s="30">
        <v>9.0</v>
      </c>
      <c r="L15" s="31">
        <f t="shared" si="3"/>
        <v>0.5625</v>
      </c>
      <c r="M15" s="29">
        <v>91.0</v>
      </c>
      <c r="N15" s="30">
        <v>16.0</v>
      </c>
      <c r="O15" s="30">
        <v>16.0</v>
      </c>
      <c r="P15" s="30">
        <v>15.0</v>
      </c>
      <c r="Q15" s="30">
        <v>16.0</v>
      </c>
      <c r="R15" s="30">
        <v>16.0</v>
      </c>
      <c r="S15" s="40">
        <v>12.0</v>
      </c>
      <c r="T15" s="35">
        <f t="shared" ref="T15:Y15" si="20">B15/(IF(N15&gt;0,N15,1))</f>
        <v>0.125</v>
      </c>
      <c r="U15" s="36">
        <f t="shared" si="20"/>
        <v>0</v>
      </c>
      <c r="V15" s="36">
        <f t="shared" si="20"/>
        <v>0.5333333333</v>
      </c>
      <c r="W15" s="36">
        <f t="shared" si="20"/>
        <v>0.125</v>
      </c>
      <c r="X15" s="36">
        <f t="shared" si="20"/>
        <v>0.25</v>
      </c>
      <c r="Y15" s="37">
        <f t="shared" si="20"/>
        <v>0</v>
      </c>
      <c r="Z15" s="39">
        <f t="shared" si="12"/>
        <v>0.1758241758</v>
      </c>
      <c r="AA15" s="39">
        <f t="shared" si="9"/>
        <v>0.7032967033</v>
      </c>
      <c r="AB15" s="39">
        <f t="shared" si="6"/>
        <v>1.692307692</v>
      </c>
    </row>
    <row r="16">
      <c r="A16" s="23" t="s">
        <v>86</v>
      </c>
      <c r="B16" s="30">
        <v>3.0</v>
      </c>
      <c r="C16" s="30">
        <v>3.0</v>
      </c>
      <c r="D16" s="30">
        <v>8.0</v>
      </c>
      <c r="E16" s="30">
        <v>1.0</v>
      </c>
      <c r="F16" s="30">
        <v>0.0</v>
      </c>
      <c r="G16" s="30">
        <v>6.0</v>
      </c>
      <c r="H16" s="29">
        <f t="shared" si="2"/>
        <v>21</v>
      </c>
      <c r="I16" s="30">
        <v>2.0</v>
      </c>
      <c r="J16" s="30">
        <v>8.0</v>
      </c>
      <c r="K16" s="30">
        <v>17.0</v>
      </c>
      <c r="L16" s="31">
        <f t="shared" si="3"/>
        <v>0.8095238095</v>
      </c>
      <c r="M16" s="29">
        <v>111.0</v>
      </c>
      <c r="N16" s="30">
        <v>18.0</v>
      </c>
      <c r="O16" s="30">
        <v>20.0</v>
      </c>
      <c r="P16" s="30">
        <v>21.0</v>
      </c>
      <c r="Q16" s="30">
        <v>19.0</v>
      </c>
      <c r="R16" s="30">
        <v>19.0</v>
      </c>
      <c r="S16" s="51">
        <v>14.0</v>
      </c>
      <c r="T16" s="35">
        <f t="shared" ref="T16:Y16" si="21">B16/(IF(N16&gt;0,N16,1))</f>
        <v>0.1666666667</v>
      </c>
      <c r="U16" s="36">
        <f t="shared" si="21"/>
        <v>0.15</v>
      </c>
      <c r="V16" s="36">
        <f t="shared" si="21"/>
        <v>0.380952381</v>
      </c>
      <c r="W16" s="36">
        <f t="shared" si="21"/>
        <v>0.05263157895</v>
      </c>
      <c r="X16" s="36">
        <f t="shared" si="21"/>
        <v>0</v>
      </c>
      <c r="Y16" s="37">
        <f t="shared" si="21"/>
        <v>0.4285714286</v>
      </c>
      <c r="Z16" s="39">
        <f t="shared" si="12"/>
        <v>0.1891891892</v>
      </c>
      <c r="AA16" s="39">
        <f t="shared" si="9"/>
        <v>0.6846846847</v>
      </c>
      <c r="AB16" s="39">
        <f t="shared" si="6"/>
        <v>2.216216216</v>
      </c>
    </row>
    <row r="17">
      <c r="A17" s="23" t="s">
        <v>88</v>
      </c>
      <c r="B17" s="30">
        <v>0.0</v>
      </c>
      <c r="C17" s="30">
        <v>8.0</v>
      </c>
      <c r="D17" s="30">
        <v>1.0</v>
      </c>
      <c r="E17" s="30">
        <v>1.0</v>
      </c>
      <c r="F17" s="30">
        <v>4.0</v>
      </c>
      <c r="G17" s="30">
        <v>2.0</v>
      </c>
      <c r="H17" s="29">
        <f t="shared" si="2"/>
        <v>16</v>
      </c>
      <c r="I17" s="30">
        <v>1.0</v>
      </c>
      <c r="J17" s="30">
        <v>6.0</v>
      </c>
      <c r="K17" s="30">
        <v>7.0</v>
      </c>
      <c r="L17" s="31">
        <f t="shared" si="3"/>
        <v>0.4375</v>
      </c>
      <c r="M17" s="29">
        <v>90.0</v>
      </c>
      <c r="N17" s="30">
        <v>15.0</v>
      </c>
      <c r="O17" s="30">
        <v>16.0</v>
      </c>
      <c r="P17" s="30">
        <v>16.0</v>
      </c>
      <c r="Q17" s="30">
        <v>15.0</v>
      </c>
      <c r="R17" s="30">
        <v>16.0</v>
      </c>
      <c r="S17" s="40">
        <v>12.0</v>
      </c>
      <c r="T17" s="35">
        <f t="shared" ref="T17:Y17" si="22">B17/(IF(N17&gt;0,N17,1))</f>
        <v>0</v>
      </c>
      <c r="U17" s="36">
        <f t="shared" si="22"/>
        <v>0.5</v>
      </c>
      <c r="V17" s="36">
        <f t="shared" si="22"/>
        <v>0.0625</v>
      </c>
      <c r="W17" s="36">
        <f t="shared" si="22"/>
        <v>0.06666666667</v>
      </c>
      <c r="X17" s="36">
        <f t="shared" si="22"/>
        <v>0.25</v>
      </c>
      <c r="Y17" s="37">
        <f t="shared" si="22"/>
        <v>0.1666666667</v>
      </c>
      <c r="Z17" s="39">
        <f t="shared" si="12"/>
        <v>0.1777777778</v>
      </c>
      <c r="AA17" s="39">
        <f t="shared" si="9"/>
        <v>0.6666666667</v>
      </c>
      <c r="AB17" s="39">
        <f t="shared" si="6"/>
        <v>1.444444444</v>
      </c>
      <c r="AD17" s="38" t="s">
        <v>89</v>
      </c>
    </row>
    <row r="18">
      <c r="A18" s="8" t="s">
        <v>90</v>
      </c>
      <c r="B18" s="9">
        <v>0.0</v>
      </c>
      <c r="C18" s="9">
        <v>0.0</v>
      </c>
      <c r="D18" s="9">
        <v>0.0</v>
      </c>
      <c r="E18" s="9">
        <v>2.0</v>
      </c>
      <c r="F18" s="9">
        <v>12.0</v>
      </c>
      <c r="G18" s="9">
        <v>1.0</v>
      </c>
      <c r="H18" s="29">
        <f t="shared" si="2"/>
        <v>15</v>
      </c>
      <c r="I18" s="9">
        <v>2.0</v>
      </c>
      <c r="J18" s="9">
        <v>7.0</v>
      </c>
      <c r="K18" s="9">
        <v>10.0</v>
      </c>
      <c r="L18" s="31">
        <f t="shared" si="3"/>
        <v>0.6666666667</v>
      </c>
      <c r="M18" s="18">
        <v>79.0</v>
      </c>
      <c r="N18" s="9">
        <v>13.0</v>
      </c>
      <c r="O18" s="9">
        <v>14.0</v>
      </c>
      <c r="P18" s="9">
        <v>13.0</v>
      </c>
      <c r="Q18" s="9">
        <v>14.0</v>
      </c>
      <c r="R18" s="9">
        <v>14.0</v>
      </c>
      <c r="S18" s="50">
        <v>11.0</v>
      </c>
      <c r="T18" s="35">
        <f t="shared" ref="T18:Y18" si="23">B18/(IF(N18&gt;0,N18,1))</f>
        <v>0</v>
      </c>
      <c r="U18" s="36">
        <f t="shared" si="23"/>
        <v>0</v>
      </c>
      <c r="V18" s="36">
        <f t="shared" si="23"/>
        <v>0</v>
      </c>
      <c r="W18" s="36">
        <f t="shared" si="23"/>
        <v>0.1428571429</v>
      </c>
      <c r="X18" s="36">
        <f t="shared" si="23"/>
        <v>0.8571428571</v>
      </c>
      <c r="Y18" s="37">
        <f t="shared" si="23"/>
        <v>0.09090909091</v>
      </c>
      <c r="Z18" s="39">
        <f t="shared" si="12"/>
        <v>0.1898734177</v>
      </c>
      <c r="AA18" s="39">
        <f t="shared" si="9"/>
        <v>0.6582278481</v>
      </c>
      <c r="AB18" s="39">
        <f t="shared" si="6"/>
        <v>1.924050633</v>
      </c>
    </row>
    <row r="19">
      <c r="A19" s="23" t="s">
        <v>92</v>
      </c>
      <c r="B19" s="30">
        <v>2.0</v>
      </c>
      <c r="C19" s="30">
        <v>1.0</v>
      </c>
      <c r="D19" s="30">
        <v>3.0</v>
      </c>
      <c r="E19" s="30">
        <v>3.0</v>
      </c>
      <c r="F19" s="30">
        <v>2.0</v>
      </c>
      <c r="G19" s="30">
        <v>0.0</v>
      </c>
      <c r="H19" s="29">
        <f t="shared" si="2"/>
        <v>11</v>
      </c>
      <c r="I19" s="30">
        <v>0.0</v>
      </c>
      <c r="J19" s="30">
        <v>17.0</v>
      </c>
      <c r="K19" s="30">
        <v>6.0</v>
      </c>
      <c r="L19" s="31">
        <f t="shared" si="3"/>
        <v>0.5454545455</v>
      </c>
      <c r="M19" s="29">
        <v>67.0</v>
      </c>
      <c r="N19" s="30">
        <v>12.0</v>
      </c>
      <c r="O19" s="30">
        <v>10.0</v>
      </c>
      <c r="P19" s="30">
        <v>12.0</v>
      </c>
      <c r="Q19" s="30">
        <v>12.0</v>
      </c>
      <c r="R19" s="30">
        <v>12.0</v>
      </c>
      <c r="S19" s="40">
        <v>9.0</v>
      </c>
      <c r="T19" s="35">
        <f t="shared" ref="T19:Y19" si="24">B19/(IF(N19&gt;0,N19,1))</f>
        <v>0.1666666667</v>
      </c>
      <c r="U19" s="36">
        <f t="shared" si="24"/>
        <v>0.1</v>
      </c>
      <c r="V19" s="36">
        <f t="shared" si="24"/>
        <v>0.25</v>
      </c>
      <c r="W19" s="36">
        <f t="shared" si="24"/>
        <v>0.25</v>
      </c>
      <c r="X19" s="36">
        <f t="shared" si="24"/>
        <v>0.1666666667</v>
      </c>
      <c r="Y19" s="37">
        <f t="shared" si="24"/>
        <v>0</v>
      </c>
      <c r="Z19" s="39">
        <f t="shared" si="12"/>
        <v>0.1641791045</v>
      </c>
      <c r="AA19" s="39">
        <f t="shared" si="9"/>
        <v>0.6567164179</v>
      </c>
      <c r="AB19" s="39">
        <f t="shared" si="6"/>
        <v>1.552238806</v>
      </c>
    </row>
    <row r="20">
      <c r="A20" s="23" t="s">
        <v>94</v>
      </c>
      <c r="B20" s="30">
        <v>0.0</v>
      </c>
      <c r="C20" s="30">
        <v>2.0</v>
      </c>
      <c r="D20" s="30">
        <v>5.0</v>
      </c>
      <c r="E20" s="30">
        <v>3.0</v>
      </c>
      <c r="F20" s="30">
        <v>0.0</v>
      </c>
      <c r="G20" s="30">
        <v>1.0</v>
      </c>
      <c r="H20" s="29">
        <f t="shared" si="2"/>
        <v>11</v>
      </c>
      <c r="I20" s="30">
        <v>0.0</v>
      </c>
      <c r="J20" s="30">
        <v>7.0</v>
      </c>
      <c r="K20" s="30">
        <v>2.0</v>
      </c>
      <c r="L20" s="31">
        <f t="shared" si="3"/>
        <v>0.1818181818</v>
      </c>
      <c r="M20" s="29">
        <v>67.0</v>
      </c>
      <c r="N20" s="30">
        <v>12.0</v>
      </c>
      <c r="O20" s="30">
        <v>11.0</v>
      </c>
      <c r="P20" s="30">
        <v>11.0</v>
      </c>
      <c r="Q20" s="30">
        <v>12.0</v>
      </c>
      <c r="R20" s="30">
        <v>12.0</v>
      </c>
      <c r="S20" s="40">
        <v>9.0</v>
      </c>
      <c r="T20" s="35">
        <f t="shared" ref="T20:Y20" si="25">B20/(IF(N20&gt;0,N20,1))</f>
        <v>0</v>
      </c>
      <c r="U20" s="36">
        <f t="shared" si="25"/>
        <v>0.1818181818</v>
      </c>
      <c r="V20" s="36">
        <f t="shared" si="25"/>
        <v>0.4545454545</v>
      </c>
      <c r="W20" s="36">
        <f t="shared" si="25"/>
        <v>0.25</v>
      </c>
      <c r="X20" s="36">
        <f t="shared" si="25"/>
        <v>0</v>
      </c>
      <c r="Y20" s="37">
        <f t="shared" si="25"/>
        <v>0.1111111111</v>
      </c>
      <c r="Z20" s="39">
        <f t="shared" si="12"/>
        <v>0.1641791045</v>
      </c>
      <c r="AA20" s="39">
        <f t="shared" si="9"/>
        <v>0.6567164179</v>
      </c>
      <c r="AB20" s="39">
        <f t="shared" si="6"/>
        <v>0.9552238806</v>
      </c>
      <c r="AK20" s="9"/>
    </row>
    <row r="21">
      <c r="A21" s="8" t="s">
        <v>97</v>
      </c>
      <c r="B21" s="9">
        <v>0.0</v>
      </c>
      <c r="C21" s="9">
        <v>3.0</v>
      </c>
      <c r="D21" s="9">
        <v>1.0</v>
      </c>
      <c r="E21" s="9">
        <v>2.0</v>
      </c>
      <c r="F21" s="9">
        <v>1.0</v>
      </c>
      <c r="G21" s="9">
        <v>3.0</v>
      </c>
      <c r="H21" s="29">
        <f t="shared" si="2"/>
        <v>10</v>
      </c>
      <c r="I21" s="9">
        <v>0.0</v>
      </c>
      <c r="J21" s="9">
        <v>8.0</v>
      </c>
      <c r="K21" s="9">
        <v>9.0</v>
      </c>
      <c r="L21" s="31">
        <f t="shared" si="3"/>
        <v>0.9</v>
      </c>
      <c r="M21" s="18">
        <v>66.0</v>
      </c>
      <c r="N21" s="9">
        <v>11.0</v>
      </c>
      <c r="O21" s="9">
        <v>12.0</v>
      </c>
      <c r="P21" s="9">
        <v>12.0</v>
      </c>
      <c r="Q21" s="9">
        <v>11.0</v>
      </c>
      <c r="R21" s="9">
        <v>11.0</v>
      </c>
      <c r="S21" s="41">
        <v>9.0</v>
      </c>
      <c r="T21" s="35">
        <f t="shared" ref="T21:Y21" si="26">B21/(IF(N21&gt;0,N21,1))</f>
        <v>0</v>
      </c>
      <c r="U21" s="36">
        <f t="shared" si="26"/>
        <v>0.25</v>
      </c>
      <c r="V21" s="36">
        <f t="shared" si="26"/>
        <v>0.08333333333</v>
      </c>
      <c r="W21" s="36">
        <f t="shared" si="26"/>
        <v>0.1818181818</v>
      </c>
      <c r="X21" s="36">
        <f t="shared" si="26"/>
        <v>0.09090909091</v>
      </c>
      <c r="Y21" s="37">
        <f t="shared" si="26"/>
        <v>0.3333333333</v>
      </c>
      <c r="Z21" s="39">
        <f t="shared" si="12"/>
        <v>0.1515151515</v>
      </c>
      <c r="AA21" s="39">
        <f t="shared" si="9"/>
        <v>0.6060606061</v>
      </c>
      <c r="AB21" s="39">
        <f t="shared" si="6"/>
        <v>1.96969697</v>
      </c>
      <c r="AK21" s="9"/>
    </row>
    <row r="22">
      <c r="A22" s="23" t="s">
        <v>99</v>
      </c>
      <c r="B22" s="30">
        <v>1.0</v>
      </c>
      <c r="C22" s="30">
        <v>0.0</v>
      </c>
      <c r="D22" s="30">
        <v>1.0</v>
      </c>
      <c r="E22" s="30">
        <v>4.0</v>
      </c>
      <c r="F22" s="30">
        <v>4.0</v>
      </c>
      <c r="G22" s="30">
        <v>1.0</v>
      </c>
      <c r="H22" s="29">
        <f t="shared" si="2"/>
        <v>11</v>
      </c>
      <c r="I22" s="30">
        <v>1.0</v>
      </c>
      <c r="J22" s="30">
        <v>4.0</v>
      </c>
      <c r="K22" s="30">
        <v>9.0</v>
      </c>
      <c r="L22" s="31">
        <f t="shared" si="3"/>
        <v>0.8181818182</v>
      </c>
      <c r="M22" s="29">
        <v>67.0</v>
      </c>
      <c r="N22" s="30">
        <v>11.0</v>
      </c>
      <c r="O22" s="30">
        <v>12.0</v>
      </c>
      <c r="P22" s="30">
        <v>12.0</v>
      </c>
      <c r="Q22" s="30">
        <v>12.0</v>
      </c>
      <c r="R22" s="30">
        <v>11.0</v>
      </c>
      <c r="S22" s="51">
        <v>9.0</v>
      </c>
      <c r="T22" s="35">
        <f t="shared" ref="T22:Y22" si="27">B22/(IF(N22&gt;0,N22,1))</f>
        <v>0.09090909091</v>
      </c>
      <c r="U22" s="36">
        <f t="shared" si="27"/>
        <v>0</v>
      </c>
      <c r="V22" s="36">
        <f t="shared" si="27"/>
        <v>0.08333333333</v>
      </c>
      <c r="W22" s="36">
        <f t="shared" si="27"/>
        <v>0.3333333333</v>
      </c>
      <c r="X22" s="36">
        <f t="shared" si="27"/>
        <v>0.3636363636</v>
      </c>
      <c r="Y22" s="37">
        <f t="shared" si="27"/>
        <v>0.1111111111</v>
      </c>
      <c r="Z22" s="39">
        <f t="shared" si="12"/>
        <v>0.1641791045</v>
      </c>
      <c r="AA22" s="39">
        <f t="shared" si="9"/>
        <v>0.5970149254</v>
      </c>
      <c r="AB22" s="39">
        <f t="shared" si="6"/>
        <v>1.940298507</v>
      </c>
      <c r="AK22" s="9"/>
    </row>
    <row r="23">
      <c r="A23" s="8" t="s">
        <v>102</v>
      </c>
      <c r="B23" s="9">
        <v>0.0</v>
      </c>
      <c r="C23" s="9">
        <v>2.0</v>
      </c>
      <c r="D23" s="9">
        <v>4.0</v>
      </c>
      <c r="E23" s="9">
        <v>7.0</v>
      </c>
      <c r="F23" s="9">
        <v>1.0</v>
      </c>
      <c r="G23" s="9">
        <v>1.0</v>
      </c>
      <c r="H23" s="29">
        <f t="shared" si="2"/>
        <v>15</v>
      </c>
      <c r="I23" s="9">
        <v>0.0</v>
      </c>
      <c r="J23" s="9">
        <v>4.0</v>
      </c>
      <c r="K23" s="9">
        <v>3.0</v>
      </c>
      <c r="L23" s="31">
        <f t="shared" si="3"/>
        <v>0.2</v>
      </c>
      <c r="M23" s="18">
        <v>102.0</v>
      </c>
      <c r="N23" s="9">
        <v>16.0</v>
      </c>
      <c r="O23" s="9">
        <v>18.0</v>
      </c>
      <c r="P23" s="9">
        <v>16.0</v>
      </c>
      <c r="Q23" s="9">
        <v>19.0</v>
      </c>
      <c r="R23" s="9">
        <v>18.0</v>
      </c>
      <c r="S23" s="41">
        <v>15.0</v>
      </c>
      <c r="T23" s="35">
        <f t="shared" ref="T23:Y23" si="28">B23/(IF(N23&gt;0,N23,1))</f>
        <v>0</v>
      </c>
      <c r="U23" s="36">
        <f t="shared" si="28"/>
        <v>0.1111111111</v>
      </c>
      <c r="V23" s="36">
        <f t="shared" si="28"/>
        <v>0.25</v>
      </c>
      <c r="W23" s="36">
        <f t="shared" si="28"/>
        <v>0.3684210526</v>
      </c>
      <c r="X23" s="36">
        <f t="shared" si="28"/>
        <v>0.05555555556</v>
      </c>
      <c r="Y23" s="37">
        <f t="shared" si="28"/>
        <v>0.06666666667</v>
      </c>
      <c r="Z23" s="39">
        <f t="shared" si="12"/>
        <v>0.1470588235</v>
      </c>
      <c r="AA23" s="39">
        <f t="shared" si="9"/>
        <v>0.5882352941</v>
      </c>
      <c r="AB23" s="39">
        <f t="shared" si="6"/>
        <v>0.8823529412</v>
      </c>
      <c r="AK23" s="9"/>
    </row>
    <row r="24">
      <c r="A24" s="23" t="s">
        <v>103</v>
      </c>
      <c r="B24" s="30">
        <v>3.0</v>
      </c>
      <c r="C24" s="30">
        <v>0.0</v>
      </c>
      <c r="D24" s="30">
        <v>2.0</v>
      </c>
      <c r="E24" s="30">
        <v>2.0</v>
      </c>
      <c r="F24" s="30">
        <v>4.0</v>
      </c>
      <c r="G24" s="30">
        <v>3.0</v>
      </c>
      <c r="H24" s="29">
        <f t="shared" si="2"/>
        <v>14</v>
      </c>
      <c r="I24" s="30">
        <v>4.0</v>
      </c>
      <c r="J24" s="30">
        <v>10.0</v>
      </c>
      <c r="K24" s="30">
        <v>6.0</v>
      </c>
      <c r="L24" s="31">
        <f t="shared" si="3"/>
        <v>0.4285714286</v>
      </c>
      <c r="M24" s="29">
        <v>68.0</v>
      </c>
      <c r="N24" s="30">
        <v>12.0</v>
      </c>
      <c r="O24" s="30">
        <v>12.0</v>
      </c>
      <c r="P24" s="30">
        <v>11.0</v>
      </c>
      <c r="Q24" s="30">
        <v>12.0</v>
      </c>
      <c r="R24" s="30">
        <v>12.0</v>
      </c>
      <c r="S24" s="40">
        <v>9.0</v>
      </c>
      <c r="T24" s="35">
        <f t="shared" ref="T24:Y24" si="29">B24/(IF(N24&gt;0,N24,1))</f>
        <v>0.25</v>
      </c>
      <c r="U24" s="36">
        <f t="shared" si="29"/>
        <v>0</v>
      </c>
      <c r="V24" s="36">
        <f t="shared" si="29"/>
        <v>0.1818181818</v>
      </c>
      <c r="W24" s="36">
        <f t="shared" si="29"/>
        <v>0.1666666667</v>
      </c>
      <c r="X24" s="36">
        <f t="shared" si="29"/>
        <v>0.3333333333</v>
      </c>
      <c r="Y24" s="37">
        <f t="shared" si="29"/>
        <v>0.3333333333</v>
      </c>
      <c r="Z24" s="39">
        <f t="shared" si="12"/>
        <v>0.2058823529</v>
      </c>
      <c r="AA24" s="39">
        <f t="shared" si="9"/>
        <v>0.5882352941</v>
      </c>
      <c r="AB24" s="39">
        <f t="shared" si="6"/>
        <v>1.470588235</v>
      </c>
      <c r="AF24" s="9"/>
      <c r="AH24" s="9"/>
      <c r="AJ24" s="9"/>
      <c r="AK24" s="9"/>
    </row>
    <row r="25">
      <c r="A25" s="23" t="s">
        <v>104</v>
      </c>
      <c r="B25" s="30">
        <v>4.0</v>
      </c>
      <c r="C25" s="30">
        <v>2.0</v>
      </c>
      <c r="D25" s="30">
        <v>2.0</v>
      </c>
      <c r="E25" s="30">
        <v>2.0</v>
      </c>
      <c r="F25" s="30">
        <v>0.0</v>
      </c>
      <c r="G25" s="30">
        <v>2.0</v>
      </c>
      <c r="H25" s="29">
        <f t="shared" si="2"/>
        <v>12</v>
      </c>
      <c r="I25" s="30">
        <v>0.0</v>
      </c>
      <c r="J25" s="30">
        <v>23.0</v>
      </c>
      <c r="K25" s="30">
        <v>4.0</v>
      </c>
      <c r="L25" s="31">
        <f t="shared" si="3"/>
        <v>0.3333333333</v>
      </c>
      <c r="M25" s="29">
        <v>83.0</v>
      </c>
      <c r="N25" s="30">
        <v>15.0</v>
      </c>
      <c r="O25" s="30">
        <v>14.0</v>
      </c>
      <c r="P25" s="30">
        <v>17.0</v>
      </c>
      <c r="Q25" s="30">
        <v>13.0</v>
      </c>
      <c r="R25" s="30">
        <v>14.0</v>
      </c>
      <c r="S25" s="40">
        <v>10.0</v>
      </c>
      <c r="T25" s="35">
        <f t="shared" ref="T25:Y25" si="30">B25/(IF(N25&gt;0,N25,1))</f>
        <v>0.2666666667</v>
      </c>
      <c r="U25" s="36">
        <f t="shared" si="30"/>
        <v>0.1428571429</v>
      </c>
      <c r="V25" s="36">
        <f t="shared" si="30"/>
        <v>0.1176470588</v>
      </c>
      <c r="W25" s="36">
        <f t="shared" si="30"/>
        <v>0.1538461538</v>
      </c>
      <c r="X25" s="36">
        <f t="shared" si="30"/>
        <v>0</v>
      </c>
      <c r="Y25" s="37">
        <f t="shared" si="30"/>
        <v>0.2</v>
      </c>
      <c r="Z25" s="39">
        <f t="shared" si="12"/>
        <v>0.1445783133</v>
      </c>
      <c r="AA25" s="39">
        <f t="shared" si="9"/>
        <v>0.578313253</v>
      </c>
      <c r="AB25" s="39">
        <f t="shared" si="6"/>
        <v>1.060240964</v>
      </c>
      <c r="AF25" s="9"/>
      <c r="AH25" s="9"/>
      <c r="AJ25" s="9"/>
      <c r="AK25" s="9"/>
    </row>
    <row r="26">
      <c r="A26" s="23" t="s">
        <v>105</v>
      </c>
      <c r="B26" s="30">
        <v>0.0</v>
      </c>
      <c r="C26" s="30">
        <v>6.0</v>
      </c>
      <c r="D26" s="30">
        <v>9.0</v>
      </c>
      <c r="E26" s="30">
        <v>3.0</v>
      </c>
      <c r="F26" s="30">
        <v>0.0</v>
      </c>
      <c r="G26" s="30">
        <v>1.0</v>
      </c>
      <c r="H26" s="29">
        <f t="shared" si="2"/>
        <v>19</v>
      </c>
      <c r="I26" s="30">
        <v>3.0</v>
      </c>
      <c r="J26" s="30">
        <v>19.0</v>
      </c>
      <c r="K26" s="30">
        <v>9.0</v>
      </c>
      <c r="L26" s="31">
        <f t="shared" si="3"/>
        <v>0.4736842105</v>
      </c>
      <c r="M26" s="29">
        <v>115.0</v>
      </c>
      <c r="N26" s="30">
        <v>20.0</v>
      </c>
      <c r="O26" s="30">
        <v>20.0</v>
      </c>
      <c r="P26" s="30">
        <v>21.0</v>
      </c>
      <c r="Q26" s="30">
        <v>19.0</v>
      </c>
      <c r="R26" s="30">
        <v>20.0</v>
      </c>
      <c r="S26" s="40">
        <v>15.0</v>
      </c>
      <c r="T26" s="35">
        <f t="shared" ref="T26:Y26" si="31">B26/(IF(N26&gt;0,N26,1))</f>
        <v>0</v>
      </c>
      <c r="U26" s="36">
        <f t="shared" si="31"/>
        <v>0.3</v>
      </c>
      <c r="V26" s="36">
        <f t="shared" si="31"/>
        <v>0.4285714286</v>
      </c>
      <c r="W26" s="36">
        <f t="shared" si="31"/>
        <v>0.1578947368</v>
      </c>
      <c r="X26" s="36">
        <f t="shared" si="31"/>
        <v>0</v>
      </c>
      <c r="Y26" s="37">
        <f t="shared" si="31"/>
        <v>0.06666666667</v>
      </c>
      <c r="Z26" s="39">
        <f t="shared" si="12"/>
        <v>0.1652173913</v>
      </c>
      <c r="AA26" s="39">
        <f t="shared" si="9"/>
        <v>0.5565217391</v>
      </c>
      <c r="AB26" s="39">
        <f t="shared" si="6"/>
        <v>1.339130435</v>
      </c>
    </row>
    <row r="27">
      <c r="A27" s="23" t="s">
        <v>106</v>
      </c>
      <c r="B27" s="25">
        <v>4.0</v>
      </c>
      <c r="C27" s="25">
        <v>2.0</v>
      </c>
      <c r="D27" s="26">
        <v>1.0</v>
      </c>
      <c r="E27" s="26">
        <v>0.0</v>
      </c>
      <c r="F27" s="26">
        <v>5.0</v>
      </c>
      <c r="G27" s="26">
        <v>0.0</v>
      </c>
      <c r="H27" s="29">
        <f t="shared" si="2"/>
        <v>12</v>
      </c>
      <c r="I27" s="30">
        <v>3.0</v>
      </c>
      <c r="J27" s="30">
        <v>10.0</v>
      </c>
      <c r="K27" s="30">
        <v>3.0</v>
      </c>
      <c r="L27" s="31">
        <f t="shared" si="3"/>
        <v>0.25</v>
      </c>
      <c r="M27" s="32">
        <v>68.0</v>
      </c>
      <c r="N27" s="26">
        <v>12.0</v>
      </c>
      <c r="O27" s="26">
        <v>12.0</v>
      </c>
      <c r="P27" s="26">
        <v>12.0</v>
      </c>
      <c r="Q27" s="26">
        <v>12.0</v>
      </c>
      <c r="R27" s="26">
        <v>12.0</v>
      </c>
      <c r="S27" s="33">
        <v>8.0</v>
      </c>
      <c r="T27" s="35">
        <f t="shared" ref="T27:Y27" si="32">B27/(IF(N27&gt;0,N27,1))</f>
        <v>0.3333333333</v>
      </c>
      <c r="U27" s="36">
        <f t="shared" si="32"/>
        <v>0.1666666667</v>
      </c>
      <c r="V27" s="36">
        <f t="shared" si="32"/>
        <v>0.08333333333</v>
      </c>
      <c r="W27" s="36">
        <f t="shared" si="32"/>
        <v>0</v>
      </c>
      <c r="X27" s="36">
        <f t="shared" si="32"/>
        <v>0.4166666667</v>
      </c>
      <c r="Y27" s="37">
        <f t="shared" si="32"/>
        <v>0</v>
      </c>
      <c r="Z27" s="39">
        <f t="shared" si="12"/>
        <v>0.1764705882</v>
      </c>
      <c r="AA27" s="39">
        <f t="shared" si="9"/>
        <v>0.5294117647</v>
      </c>
      <c r="AB27" s="39">
        <f t="shared" si="6"/>
        <v>0.9705882353</v>
      </c>
    </row>
    <row r="28">
      <c r="A28" s="48" t="s">
        <v>107</v>
      </c>
      <c r="B28" s="26">
        <v>0.0</v>
      </c>
      <c r="C28" s="26">
        <v>0.0</v>
      </c>
      <c r="D28" s="26">
        <v>0.0</v>
      </c>
      <c r="E28" s="26">
        <v>1.0</v>
      </c>
      <c r="F28" s="26">
        <v>2.0</v>
      </c>
      <c r="G28" s="26">
        <v>0.0</v>
      </c>
      <c r="H28" s="29">
        <f t="shared" si="2"/>
        <v>3</v>
      </c>
      <c r="I28" s="26">
        <v>0.0</v>
      </c>
      <c r="J28" s="26">
        <v>3.0</v>
      </c>
      <c r="K28" s="26">
        <v>1.0</v>
      </c>
      <c r="L28" s="31">
        <f t="shared" si="3"/>
        <v>0.3333333333</v>
      </c>
      <c r="M28" s="32">
        <v>23.0</v>
      </c>
      <c r="N28" s="26">
        <v>4.0</v>
      </c>
      <c r="O28" s="26">
        <v>4.0</v>
      </c>
      <c r="P28" s="26">
        <v>4.0</v>
      </c>
      <c r="Q28" s="26">
        <v>4.0</v>
      </c>
      <c r="R28" s="26">
        <v>4.0</v>
      </c>
      <c r="S28" s="49">
        <v>3.0</v>
      </c>
      <c r="T28" s="35">
        <f t="shared" ref="T28:Y28" si="33">B28/(IF(N28&gt;0,N28,1))</f>
        <v>0</v>
      </c>
      <c r="U28" s="36">
        <f t="shared" si="33"/>
        <v>0</v>
      </c>
      <c r="V28" s="36">
        <f t="shared" si="33"/>
        <v>0</v>
      </c>
      <c r="W28" s="36">
        <f t="shared" si="33"/>
        <v>0.25</v>
      </c>
      <c r="X28" s="36">
        <f t="shared" si="33"/>
        <v>0.5</v>
      </c>
      <c r="Y28" s="37">
        <f t="shared" si="33"/>
        <v>0</v>
      </c>
      <c r="Z28" s="39">
        <f t="shared" si="12"/>
        <v>0.1304347826</v>
      </c>
      <c r="AA28" s="39">
        <f t="shared" si="9"/>
        <v>0.5217391304</v>
      </c>
      <c r="AB28" s="39">
        <f t="shared" si="6"/>
        <v>0.9565217391</v>
      </c>
    </row>
    <row r="29">
      <c r="A29" s="23" t="s">
        <v>108</v>
      </c>
      <c r="B29" s="30">
        <v>3.0</v>
      </c>
      <c r="C29" s="30">
        <v>2.0</v>
      </c>
      <c r="D29" s="30">
        <v>1.0</v>
      </c>
      <c r="E29" s="30">
        <v>2.0</v>
      </c>
      <c r="F29" s="30">
        <v>0.0</v>
      </c>
      <c r="G29" s="30">
        <v>4.0</v>
      </c>
      <c r="H29" s="29">
        <f t="shared" si="2"/>
        <v>12</v>
      </c>
      <c r="I29" s="30">
        <v>1.0</v>
      </c>
      <c r="J29" s="30">
        <v>25.0</v>
      </c>
      <c r="K29" s="30">
        <v>0.0</v>
      </c>
      <c r="L29" s="31">
        <f t="shared" si="3"/>
        <v>0</v>
      </c>
      <c r="M29" s="29">
        <v>90.0</v>
      </c>
      <c r="N29" s="30">
        <v>16.0</v>
      </c>
      <c r="O29" s="30">
        <v>15.0</v>
      </c>
      <c r="P29" s="30">
        <v>16.0</v>
      </c>
      <c r="Q29" s="30">
        <v>16.0</v>
      </c>
      <c r="R29" s="30">
        <v>16.0</v>
      </c>
      <c r="S29" s="40">
        <v>11.0</v>
      </c>
      <c r="T29" s="35">
        <f t="shared" ref="T29:Y29" si="34">B29/(IF(N29&gt;0,N29,1))</f>
        <v>0.1875</v>
      </c>
      <c r="U29" s="36">
        <f t="shared" si="34"/>
        <v>0.1333333333</v>
      </c>
      <c r="V29" s="36">
        <f t="shared" si="34"/>
        <v>0.0625</v>
      </c>
      <c r="W29" s="36">
        <f t="shared" si="34"/>
        <v>0.125</v>
      </c>
      <c r="X29" s="36">
        <f t="shared" si="34"/>
        <v>0</v>
      </c>
      <c r="Y29" s="37">
        <f t="shared" si="34"/>
        <v>0.3636363636</v>
      </c>
      <c r="Z29" s="39">
        <f t="shared" si="12"/>
        <v>0.1333333333</v>
      </c>
      <c r="AA29" s="39">
        <f t="shared" si="9"/>
        <v>0.4888888889</v>
      </c>
      <c r="AB29" s="39">
        <f t="shared" si="6"/>
        <v>0.4888888889</v>
      </c>
    </row>
    <row r="30">
      <c r="A30" s="23" t="s">
        <v>109</v>
      </c>
      <c r="B30" s="30">
        <v>0.0</v>
      </c>
      <c r="C30" s="30">
        <v>0.0</v>
      </c>
      <c r="D30" s="30">
        <v>0.0</v>
      </c>
      <c r="E30" s="30">
        <v>1.0</v>
      </c>
      <c r="F30" s="30">
        <v>7.0</v>
      </c>
      <c r="G30" s="30">
        <v>0.0</v>
      </c>
      <c r="H30" s="29">
        <f t="shared" si="2"/>
        <v>8</v>
      </c>
      <c r="I30" s="30">
        <v>0.0</v>
      </c>
      <c r="J30" s="30">
        <v>1.0</v>
      </c>
      <c r="K30" s="30">
        <v>6.0</v>
      </c>
      <c r="L30" s="31">
        <f t="shared" si="3"/>
        <v>0.75</v>
      </c>
      <c r="M30" s="29">
        <v>67.0</v>
      </c>
      <c r="N30" s="30">
        <v>12.0</v>
      </c>
      <c r="O30" s="30">
        <v>11.0</v>
      </c>
      <c r="P30" s="30">
        <v>11.0</v>
      </c>
      <c r="Q30" s="30">
        <v>12.0</v>
      </c>
      <c r="R30" s="30">
        <v>12.0</v>
      </c>
      <c r="S30" s="40">
        <v>9.0</v>
      </c>
      <c r="T30" s="35">
        <f t="shared" ref="T30:Y30" si="35">B30/(IF(N30&gt;0,N30,1))</f>
        <v>0</v>
      </c>
      <c r="U30" s="36">
        <f t="shared" si="35"/>
        <v>0</v>
      </c>
      <c r="V30" s="36">
        <f t="shared" si="35"/>
        <v>0</v>
      </c>
      <c r="W30" s="36">
        <f t="shared" si="35"/>
        <v>0.08333333333</v>
      </c>
      <c r="X30" s="36">
        <f t="shared" si="35"/>
        <v>0.5833333333</v>
      </c>
      <c r="Y30" s="37">
        <f t="shared" si="35"/>
        <v>0</v>
      </c>
      <c r="Z30" s="39">
        <f t="shared" si="12"/>
        <v>0.1194029851</v>
      </c>
      <c r="AA30" s="39">
        <f t="shared" si="9"/>
        <v>0.4776119403</v>
      </c>
      <c r="AB30" s="39">
        <f t="shared" si="6"/>
        <v>1.373134328</v>
      </c>
    </row>
    <row r="31">
      <c r="A31" s="23" t="s">
        <v>110</v>
      </c>
      <c r="B31" s="30">
        <v>4.0</v>
      </c>
      <c r="C31" s="30">
        <v>1.0</v>
      </c>
      <c r="D31" s="30">
        <v>1.0</v>
      </c>
      <c r="E31" s="30">
        <v>1.0</v>
      </c>
      <c r="F31" s="30">
        <v>1.0</v>
      </c>
      <c r="G31" s="30">
        <v>0.0</v>
      </c>
      <c r="H31" s="29">
        <f t="shared" si="2"/>
        <v>8</v>
      </c>
      <c r="I31" s="30">
        <v>0.0</v>
      </c>
      <c r="J31" s="30">
        <v>5.0</v>
      </c>
      <c r="K31" s="30">
        <v>4.0</v>
      </c>
      <c r="L31" s="31">
        <f t="shared" si="3"/>
        <v>0.5</v>
      </c>
      <c r="M31" s="29">
        <v>67.0</v>
      </c>
      <c r="N31" s="30">
        <v>12.0</v>
      </c>
      <c r="O31" s="30">
        <v>11.0</v>
      </c>
      <c r="P31" s="30">
        <v>11.0</v>
      </c>
      <c r="Q31" s="30">
        <v>12.0</v>
      </c>
      <c r="R31" s="30">
        <v>12.0</v>
      </c>
      <c r="S31" s="40">
        <v>9.0</v>
      </c>
      <c r="T31" s="35">
        <f t="shared" ref="T31:Y31" si="36">B31/(IF(N31&gt;0,N31,1))</f>
        <v>0.3333333333</v>
      </c>
      <c r="U31" s="36">
        <f t="shared" si="36"/>
        <v>0.09090909091</v>
      </c>
      <c r="V31" s="36">
        <f t="shared" si="36"/>
        <v>0.09090909091</v>
      </c>
      <c r="W31" s="36">
        <f t="shared" si="36"/>
        <v>0.08333333333</v>
      </c>
      <c r="X31" s="36">
        <f t="shared" si="36"/>
        <v>0.08333333333</v>
      </c>
      <c r="Y31" s="37">
        <f t="shared" si="36"/>
        <v>0</v>
      </c>
      <c r="Z31" s="39">
        <f t="shared" si="12"/>
        <v>0.1194029851</v>
      </c>
      <c r="AA31" s="39">
        <f t="shared" si="9"/>
        <v>0.4776119403</v>
      </c>
      <c r="AB31" s="39">
        <f t="shared" si="6"/>
        <v>1.074626866</v>
      </c>
    </row>
    <row r="32">
      <c r="A32" s="23" t="s">
        <v>111</v>
      </c>
      <c r="B32" s="30">
        <v>0.0</v>
      </c>
      <c r="C32" s="30">
        <v>10.0</v>
      </c>
      <c r="D32" s="30">
        <v>0.0</v>
      </c>
      <c r="E32" s="30">
        <v>2.0</v>
      </c>
      <c r="F32" s="30">
        <v>5.0</v>
      </c>
      <c r="G32" s="30">
        <v>1.0</v>
      </c>
      <c r="H32" s="29">
        <f t="shared" si="2"/>
        <v>18</v>
      </c>
      <c r="I32" s="30">
        <v>5.0</v>
      </c>
      <c r="J32" s="30">
        <v>11.0</v>
      </c>
      <c r="K32" s="30">
        <v>11.0</v>
      </c>
      <c r="L32" s="31">
        <f t="shared" si="3"/>
        <v>0.6111111111</v>
      </c>
      <c r="M32" s="29">
        <v>110.0</v>
      </c>
      <c r="N32" s="30">
        <v>18.0</v>
      </c>
      <c r="O32" s="30">
        <v>19.0</v>
      </c>
      <c r="P32" s="30">
        <v>20.0</v>
      </c>
      <c r="Q32" s="30">
        <v>19.0</v>
      </c>
      <c r="R32" s="30">
        <v>19.0</v>
      </c>
      <c r="S32" s="40">
        <v>15.0</v>
      </c>
      <c r="T32" s="35">
        <f t="shared" ref="T32:Y32" si="37">B32/(IF(N32&gt;0,N32,1))</f>
        <v>0</v>
      </c>
      <c r="U32" s="36">
        <f t="shared" si="37"/>
        <v>0.5263157895</v>
      </c>
      <c r="V32" s="36">
        <f t="shared" si="37"/>
        <v>0</v>
      </c>
      <c r="W32" s="36">
        <f t="shared" si="37"/>
        <v>0.1052631579</v>
      </c>
      <c r="X32" s="36">
        <f t="shared" si="37"/>
        <v>0.2631578947</v>
      </c>
      <c r="Y32" s="37">
        <f t="shared" si="37"/>
        <v>0.06666666667</v>
      </c>
      <c r="Z32" s="39">
        <f t="shared" si="12"/>
        <v>0.1636363636</v>
      </c>
      <c r="AA32" s="39">
        <f t="shared" si="9"/>
        <v>0.4727272727</v>
      </c>
      <c r="AB32" s="39">
        <f t="shared" si="6"/>
        <v>1.472727273</v>
      </c>
    </row>
    <row r="33">
      <c r="A33" s="23" t="s">
        <v>112</v>
      </c>
      <c r="B33" s="30">
        <v>2.0</v>
      </c>
      <c r="C33" s="30">
        <v>0.0</v>
      </c>
      <c r="D33" s="30">
        <v>2.0</v>
      </c>
      <c r="E33" s="30">
        <v>1.0</v>
      </c>
      <c r="F33" s="30">
        <v>3.0</v>
      </c>
      <c r="G33" s="30">
        <v>2.0</v>
      </c>
      <c r="H33" s="29">
        <f t="shared" si="2"/>
        <v>10</v>
      </c>
      <c r="I33" s="30">
        <v>0.0</v>
      </c>
      <c r="J33" s="30">
        <v>32.0</v>
      </c>
      <c r="K33" s="30">
        <v>3.0</v>
      </c>
      <c r="L33" s="31">
        <f t="shared" si="3"/>
        <v>0.3</v>
      </c>
      <c r="M33" s="29">
        <v>85.0</v>
      </c>
      <c r="N33" s="30">
        <v>14.0</v>
      </c>
      <c r="O33" s="30">
        <v>14.0</v>
      </c>
      <c r="P33" s="30">
        <v>16.0</v>
      </c>
      <c r="Q33" s="30">
        <v>15.0</v>
      </c>
      <c r="R33" s="30">
        <v>15.0</v>
      </c>
      <c r="S33" s="40">
        <v>11.0</v>
      </c>
      <c r="T33" s="35">
        <f t="shared" ref="T33:Y33" si="38">B33/(IF(N33&gt;0,N33,1))</f>
        <v>0.1428571429</v>
      </c>
      <c r="U33" s="36">
        <f t="shared" si="38"/>
        <v>0</v>
      </c>
      <c r="V33" s="36">
        <f t="shared" si="38"/>
        <v>0.125</v>
      </c>
      <c r="W33" s="36">
        <f t="shared" si="38"/>
        <v>0.06666666667</v>
      </c>
      <c r="X33" s="36">
        <f t="shared" si="38"/>
        <v>0.2</v>
      </c>
      <c r="Y33" s="37">
        <f t="shared" si="38"/>
        <v>0.1818181818</v>
      </c>
      <c r="Z33" s="39">
        <f t="shared" si="12"/>
        <v>0.1176470588</v>
      </c>
      <c r="AA33" s="39">
        <f t="shared" si="9"/>
        <v>0.4705882353</v>
      </c>
      <c r="AB33" s="39">
        <f t="shared" si="6"/>
        <v>0.8235294118</v>
      </c>
    </row>
    <row r="34">
      <c r="A34" s="23" t="s">
        <v>113</v>
      </c>
      <c r="B34" s="30">
        <v>2.0</v>
      </c>
      <c r="C34" s="30">
        <v>1.0</v>
      </c>
      <c r="D34" s="30">
        <v>0.0</v>
      </c>
      <c r="E34" s="30">
        <v>2.0</v>
      </c>
      <c r="F34" s="30">
        <v>11.0</v>
      </c>
      <c r="G34" s="30">
        <v>1.0</v>
      </c>
      <c r="H34" s="29">
        <f t="shared" si="2"/>
        <v>17</v>
      </c>
      <c r="I34" s="30">
        <v>1.0</v>
      </c>
      <c r="J34" s="30">
        <v>11.0</v>
      </c>
      <c r="K34" s="30">
        <v>6.0</v>
      </c>
      <c r="L34" s="31">
        <f t="shared" si="3"/>
        <v>0.3529411765</v>
      </c>
      <c r="M34" s="29">
        <v>138.0</v>
      </c>
      <c r="N34" s="30">
        <v>24.0</v>
      </c>
      <c r="O34" s="30">
        <v>24.0</v>
      </c>
      <c r="P34" s="30">
        <v>24.0</v>
      </c>
      <c r="Q34" s="30">
        <v>24.0</v>
      </c>
      <c r="R34" s="30">
        <v>24.0</v>
      </c>
      <c r="S34" s="40">
        <v>18.0</v>
      </c>
      <c r="T34" s="35">
        <f t="shared" ref="T34:Y34" si="39">B34/(IF(N34&gt;0,N34,1))</f>
        <v>0.08333333333</v>
      </c>
      <c r="U34" s="36">
        <f t="shared" si="39"/>
        <v>0.04166666667</v>
      </c>
      <c r="V34" s="36">
        <f t="shared" si="39"/>
        <v>0</v>
      </c>
      <c r="W34" s="36">
        <f t="shared" si="39"/>
        <v>0.08333333333</v>
      </c>
      <c r="X34" s="36">
        <f t="shared" si="39"/>
        <v>0.4583333333</v>
      </c>
      <c r="Y34" s="37">
        <f t="shared" si="39"/>
        <v>0.05555555556</v>
      </c>
      <c r="Z34" s="39">
        <f t="shared" si="12"/>
        <v>0.1231884058</v>
      </c>
      <c r="AA34" s="39">
        <f t="shared" si="9"/>
        <v>0.4637681159</v>
      </c>
      <c r="AB34" s="39">
        <f t="shared" si="6"/>
        <v>0.8985507246</v>
      </c>
    </row>
    <row r="35">
      <c r="A35" s="23" t="s">
        <v>114</v>
      </c>
      <c r="B35" s="30">
        <v>4.0</v>
      </c>
      <c r="C35" s="30">
        <v>1.0</v>
      </c>
      <c r="D35" s="30">
        <v>4.0</v>
      </c>
      <c r="E35" s="30">
        <v>2.0</v>
      </c>
      <c r="F35" s="30">
        <v>0.0</v>
      </c>
      <c r="G35" s="30">
        <v>4.0</v>
      </c>
      <c r="H35" s="29">
        <f t="shared" si="2"/>
        <v>15</v>
      </c>
      <c r="I35" s="30">
        <v>3.0</v>
      </c>
      <c r="J35" s="30">
        <v>24.0</v>
      </c>
      <c r="K35" s="30">
        <v>9.0</v>
      </c>
      <c r="L35" s="31">
        <f t="shared" si="3"/>
        <v>0.6</v>
      </c>
      <c r="M35" s="29">
        <v>106.0</v>
      </c>
      <c r="N35" s="30">
        <v>19.0</v>
      </c>
      <c r="O35" s="30">
        <v>17.0</v>
      </c>
      <c r="P35" s="30">
        <v>19.0</v>
      </c>
      <c r="Q35" s="30">
        <v>19.0</v>
      </c>
      <c r="R35" s="30">
        <v>18.0</v>
      </c>
      <c r="S35" s="40">
        <v>14.0</v>
      </c>
      <c r="T35" s="35">
        <f t="shared" ref="T35:Y35" si="40">B35/(IF(N35&gt;0,N35,1))</f>
        <v>0.2105263158</v>
      </c>
      <c r="U35" s="36">
        <f t="shared" si="40"/>
        <v>0.05882352941</v>
      </c>
      <c r="V35" s="36">
        <f t="shared" si="40"/>
        <v>0.2105263158</v>
      </c>
      <c r="W35" s="36">
        <f t="shared" si="40"/>
        <v>0.1052631579</v>
      </c>
      <c r="X35" s="36">
        <f t="shared" si="40"/>
        <v>0</v>
      </c>
      <c r="Y35" s="37">
        <f t="shared" si="40"/>
        <v>0.2857142857</v>
      </c>
      <c r="Z35" s="39">
        <f t="shared" si="12"/>
        <v>0.141509434</v>
      </c>
      <c r="AA35" s="39">
        <f t="shared" si="9"/>
        <v>0.4528301887</v>
      </c>
      <c r="AB35" s="39">
        <f t="shared" si="6"/>
        <v>1.301886792</v>
      </c>
    </row>
    <row r="36">
      <c r="A36" s="23" t="s">
        <v>115</v>
      </c>
      <c r="B36" s="30">
        <v>10.0</v>
      </c>
      <c r="C36" s="30">
        <v>1.0</v>
      </c>
      <c r="D36" s="30">
        <v>0.0</v>
      </c>
      <c r="E36" s="30">
        <v>0.0</v>
      </c>
      <c r="F36" s="30">
        <v>0.0</v>
      </c>
      <c r="G36" s="30">
        <v>2.0</v>
      </c>
      <c r="H36" s="29">
        <f t="shared" si="2"/>
        <v>13</v>
      </c>
      <c r="I36" s="30">
        <v>0.0</v>
      </c>
      <c r="J36" s="30">
        <v>5.0</v>
      </c>
      <c r="K36" s="30">
        <v>10.0</v>
      </c>
      <c r="L36" s="31">
        <f t="shared" si="3"/>
        <v>0.7692307692</v>
      </c>
      <c r="M36" s="29">
        <v>115.0</v>
      </c>
      <c r="N36" s="30">
        <v>20.0</v>
      </c>
      <c r="O36" s="30">
        <v>20.0</v>
      </c>
      <c r="P36" s="30">
        <v>21.0</v>
      </c>
      <c r="Q36" s="30">
        <v>19.0</v>
      </c>
      <c r="R36" s="30">
        <v>20.0</v>
      </c>
      <c r="S36" s="40">
        <v>15.0</v>
      </c>
      <c r="T36" s="35">
        <f t="shared" ref="T36:Y36" si="41">B36/(IF(N36&gt;0,N36,1))</f>
        <v>0.5</v>
      </c>
      <c r="U36" s="36">
        <f t="shared" si="41"/>
        <v>0.05</v>
      </c>
      <c r="V36" s="36">
        <f t="shared" si="41"/>
        <v>0</v>
      </c>
      <c r="W36" s="36">
        <f t="shared" si="41"/>
        <v>0</v>
      </c>
      <c r="X36" s="36">
        <f t="shared" si="41"/>
        <v>0</v>
      </c>
      <c r="Y36" s="37">
        <f t="shared" si="41"/>
        <v>0.1333333333</v>
      </c>
      <c r="Z36" s="39">
        <f t="shared" si="12"/>
        <v>0.1130434783</v>
      </c>
      <c r="AA36" s="39">
        <f t="shared" si="9"/>
        <v>0.452173913</v>
      </c>
      <c r="AB36" s="39">
        <f t="shared" si="6"/>
        <v>1.32173913</v>
      </c>
    </row>
    <row r="37">
      <c r="A37" s="8" t="s">
        <v>116</v>
      </c>
      <c r="B37" s="9">
        <v>2.0</v>
      </c>
      <c r="C37" s="9">
        <v>0.0</v>
      </c>
      <c r="D37" s="9">
        <v>1.0</v>
      </c>
      <c r="E37" s="9">
        <v>3.0</v>
      </c>
      <c r="F37" s="9">
        <v>1.0</v>
      </c>
      <c r="G37" s="9">
        <v>1.0</v>
      </c>
      <c r="H37" s="29">
        <f t="shared" si="2"/>
        <v>8</v>
      </c>
      <c r="I37" s="9">
        <v>1.0</v>
      </c>
      <c r="J37" s="9">
        <v>8.0</v>
      </c>
      <c r="K37" s="9">
        <v>3.0</v>
      </c>
      <c r="L37" s="31">
        <f t="shared" si="3"/>
        <v>0.375</v>
      </c>
      <c r="M37" s="18">
        <v>62.0</v>
      </c>
      <c r="N37" s="9">
        <v>11.0</v>
      </c>
      <c r="O37" s="9">
        <v>11.0</v>
      </c>
      <c r="P37" s="9">
        <v>11.0</v>
      </c>
      <c r="Q37" s="9">
        <v>11.0</v>
      </c>
      <c r="R37" s="9">
        <v>10.0</v>
      </c>
      <c r="S37" s="41">
        <v>8.0</v>
      </c>
      <c r="T37" s="35">
        <f t="shared" ref="T37:Y37" si="42">B37/(IF(N37&gt;0,N37,1))</f>
        <v>0.1818181818</v>
      </c>
      <c r="U37" s="36">
        <f t="shared" si="42"/>
        <v>0</v>
      </c>
      <c r="V37" s="36">
        <f t="shared" si="42"/>
        <v>0.09090909091</v>
      </c>
      <c r="W37" s="36">
        <f t="shared" si="42"/>
        <v>0.2727272727</v>
      </c>
      <c r="X37" s="36">
        <f t="shared" si="42"/>
        <v>0.1</v>
      </c>
      <c r="Y37" s="37">
        <f t="shared" si="42"/>
        <v>0.125</v>
      </c>
      <c r="Z37" s="39">
        <f t="shared" si="12"/>
        <v>0.1290322581</v>
      </c>
      <c r="AA37" s="39">
        <f t="shared" si="9"/>
        <v>0.4516129032</v>
      </c>
      <c r="AB37" s="39">
        <f t="shared" si="6"/>
        <v>0.935483871</v>
      </c>
    </row>
    <row r="38">
      <c r="A38" s="8" t="s">
        <v>117</v>
      </c>
      <c r="B38" s="9">
        <v>0.0</v>
      </c>
      <c r="C38" s="9">
        <v>7.0</v>
      </c>
      <c r="D38" s="9">
        <v>0.0</v>
      </c>
      <c r="E38" s="9">
        <v>1.0</v>
      </c>
      <c r="F38" s="9">
        <v>1.0</v>
      </c>
      <c r="G38" s="9">
        <v>2.0</v>
      </c>
      <c r="H38" s="29">
        <f t="shared" si="2"/>
        <v>11</v>
      </c>
      <c r="I38" s="9">
        <v>1.0</v>
      </c>
      <c r="J38" s="9">
        <v>12.0</v>
      </c>
      <c r="K38" s="9">
        <v>4.0</v>
      </c>
      <c r="L38" s="31">
        <f t="shared" si="3"/>
        <v>0.3636363636</v>
      </c>
      <c r="M38" s="18">
        <v>89.0</v>
      </c>
      <c r="N38" s="9">
        <v>16.0</v>
      </c>
      <c r="O38" s="9">
        <v>15.0</v>
      </c>
      <c r="P38" s="9">
        <v>15.0</v>
      </c>
      <c r="Q38" s="9">
        <v>16.0</v>
      </c>
      <c r="R38" s="9">
        <v>15.0</v>
      </c>
      <c r="S38" s="10">
        <v>12.0</v>
      </c>
      <c r="T38" s="35">
        <f t="shared" ref="T38:Y38" si="43">B38/(IF(N38&gt;0,N38,1))</f>
        <v>0</v>
      </c>
      <c r="U38" s="36">
        <f t="shared" si="43"/>
        <v>0.4666666667</v>
      </c>
      <c r="V38" s="36">
        <f t="shared" si="43"/>
        <v>0</v>
      </c>
      <c r="W38" s="36">
        <f t="shared" si="43"/>
        <v>0.0625</v>
      </c>
      <c r="X38" s="36">
        <f t="shared" si="43"/>
        <v>0.06666666667</v>
      </c>
      <c r="Y38" s="37">
        <f t="shared" si="43"/>
        <v>0.1666666667</v>
      </c>
      <c r="Z38" s="39">
        <f t="shared" si="12"/>
        <v>0.1235955056</v>
      </c>
      <c r="AA38" s="39">
        <f t="shared" si="9"/>
        <v>0.4494382022</v>
      </c>
      <c r="AB38" s="39">
        <f t="shared" si="6"/>
        <v>0.8988764045</v>
      </c>
    </row>
    <row r="39">
      <c r="A39" s="23" t="s">
        <v>118</v>
      </c>
      <c r="B39" s="30">
        <v>0.0</v>
      </c>
      <c r="C39" s="30">
        <v>5.0</v>
      </c>
      <c r="D39" s="30">
        <v>1.0</v>
      </c>
      <c r="E39" s="30">
        <v>2.0</v>
      </c>
      <c r="F39" s="30">
        <v>0.0</v>
      </c>
      <c r="G39" s="30">
        <v>1.0</v>
      </c>
      <c r="H39" s="29">
        <f t="shared" si="2"/>
        <v>9</v>
      </c>
      <c r="I39" s="30">
        <v>1.0</v>
      </c>
      <c r="J39" s="30">
        <v>7.0</v>
      </c>
      <c r="K39" s="30">
        <v>5.0</v>
      </c>
      <c r="L39" s="31">
        <f t="shared" si="3"/>
        <v>0.5555555556</v>
      </c>
      <c r="M39" s="29">
        <v>75.0</v>
      </c>
      <c r="N39" s="30">
        <v>13.0</v>
      </c>
      <c r="O39" s="30">
        <v>13.0</v>
      </c>
      <c r="P39" s="30">
        <v>15.0</v>
      </c>
      <c r="Q39" s="30">
        <v>13.0</v>
      </c>
      <c r="R39" s="30">
        <v>12.0</v>
      </c>
      <c r="S39" s="40">
        <v>9.0</v>
      </c>
      <c r="T39" s="35">
        <f t="shared" ref="T39:Y39" si="44">B39/(IF(N39&gt;0,N39,1))</f>
        <v>0</v>
      </c>
      <c r="U39" s="36">
        <f t="shared" si="44"/>
        <v>0.3846153846</v>
      </c>
      <c r="V39" s="36">
        <f t="shared" si="44"/>
        <v>0.06666666667</v>
      </c>
      <c r="W39" s="36">
        <f t="shared" si="44"/>
        <v>0.1538461538</v>
      </c>
      <c r="X39" s="36">
        <f t="shared" si="44"/>
        <v>0</v>
      </c>
      <c r="Y39" s="37">
        <f t="shared" si="44"/>
        <v>0.1111111111</v>
      </c>
      <c r="Z39" s="39">
        <f t="shared" si="12"/>
        <v>0.12</v>
      </c>
      <c r="AA39" s="39">
        <f t="shared" si="9"/>
        <v>0.4266666667</v>
      </c>
      <c r="AB39" s="39">
        <f t="shared" si="6"/>
        <v>1.093333333</v>
      </c>
    </row>
    <row r="40">
      <c r="A40" s="23" t="s">
        <v>119</v>
      </c>
      <c r="B40" s="30">
        <v>0.0</v>
      </c>
      <c r="C40" s="30">
        <v>0.0</v>
      </c>
      <c r="D40" s="30">
        <v>0.0</v>
      </c>
      <c r="E40" s="30">
        <v>4.0</v>
      </c>
      <c r="F40" s="30">
        <v>4.0</v>
      </c>
      <c r="G40" s="30">
        <v>2.0</v>
      </c>
      <c r="H40" s="29">
        <f t="shared" si="2"/>
        <v>10</v>
      </c>
      <c r="I40" s="30">
        <v>1.0</v>
      </c>
      <c r="J40" s="30">
        <v>5.0</v>
      </c>
      <c r="K40" s="30">
        <v>5.0</v>
      </c>
      <c r="L40" s="31">
        <f t="shared" si="3"/>
        <v>0.5</v>
      </c>
      <c r="M40" s="29">
        <v>86.0</v>
      </c>
      <c r="N40" s="30">
        <v>15.0</v>
      </c>
      <c r="O40" s="30">
        <v>15.0</v>
      </c>
      <c r="P40" s="30">
        <v>16.0</v>
      </c>
      <c r="Q40" s="30">
        <v>15.0</v>
      </c>
      <c r="R40" s="30">
        <v>14.0</v>
      </c>
      <c r="S40" s="40">
        <v>11.0</v>
      </c>
      <c r="T40" s="35">
        <f t="shared" ref="T40:Y40" si="45">B40/(IF(N40&gt;0,N40,1))</f>
        <v>0</v>
      </c>
      <c r="U40" s="36">
        <f t="shared" si="45"/>
        <v>0</v>
      </c>
      <c r="V40" s="36">
        <f t="shared" si="45"/>
        <v>0</v>
      </c>
      <c r="W40" s="36">
        <f t="shared" si="45"/>
        <v>0.2666666667</v>
      </c>
      <c r="X40" s="36">
        <f t="shared" si="45"/>
        <v>0.2857142857</v>
      </c>
      <c r="Y40" s="37">
        <f t="shared" si="45"/>
        <v>0.1818181818</v>
      </c>
      <c r="Z40" s="39">
        <f t="shared" si="12"/>
        <v>0.1162790698</v>
      </c>
      <c r="AA40" s="39">
        <f t="shared" si="9"/>
        <v>0.4186046512</v>
      </c>
      <c r="AB40" s="39">
        <f t="shared" si="6"/>
        <v>1</v>
      </c>
    </row>
    <row r="41">
      <c r="A41" s="8" t="s">
        <v>120</v>
      </c>
      <c r="B41" s="9">
        <v>6.0</v>
      </c>
      <c r="C41" s="9">
        <v>1.0</v>
      </c>
      <c r="D41" s="9">
        <v>0.0</v>
      </c>
      <c r="E41" s="9">
        <v>2.0</v>
      </c>
      <c r="F41" s="9">
        <v>1.0</v>
      </c>
      <c r="G41" s="9">
        <v>1.0</v>
      </c>
      <c r="H41" s="29">
        <f t="shared" si="2"/>
        <v>11</v>
      </c>
      <c r="I41" s="9">
        <v>1.0</v>
      </c>
      <c r="J41" s="9">
        <v>11.0</v>
      </c>
      <c r="K41" s="9">
        <v>8.0</v>
      </c>
      <c r="L41" s="31">
        <f t="shared" si="3"/>
        <v>0.7272727273</v>
      </c>
      <c r="M41" s="18">
        <v>101.0</v>
      </c>
      <c r="N41" s="9">
        <v>17.0</v>
      </c>
      <c r="O41" s="9">
        <v>18.0</v>
      </c>
      <c r="P41" s="9">
        <v>18.0</v>
      </c>
      <c r="Q41" s="9">
        <v>18.0</v>
      </c>
      <c r="R41" s="9">
        <v>16.0</v>
      </c>
      <c r="S41" s="41">
        <v>14.0</v>
      </c>
      <c r="T41" s="35">
        <f t="shared" ref="T41:Y41" si="46">B41/(IF(N41&gt;0,N41,1))</f>
        <v>0.3529411765</v>
      </c>
      <c r="U41" s="36">
        <f t="shared" si="46"/>
        <v>0.05555555556</v>
      </c>
      <c r="V41" s="36">
        <f t="shared" si="46"/>
        <v>0</v>
      </c>
      <c r="W41" s="36">
        <f t="shared" si="46"/>
        <v>0.1111111111</v>
      </c>
      <c r="X41" s="36">
        <f t="shared" si="46"/>
        <v>0.0625</v>
      </c>
      <c r="Y41" s="37">
        <f t="shared" si="46"/>
        <v>0.07142857143</v>
      </c>
      <c r="Z41" s="39">
        <f t="shared" si="12"/>
        <v>0.1089108911</v>
      </c>
      <c r="AA41" s="39">
        <f t="shared" si="9"/>
        <v>0.396039604</v>
      </c>
      <c r="AB41" s="39">
        <f t="shared" si="6"/>
        <v>1.188118812</v>
      </c>
    </row>
    <row r="42">
      <c r="A42" s="23" t="s">
        <v>121</v>
      </c>
      <c r="B42" s="30">
        <v>0.0</v>
      </c>
      <c r="C42" s="30">
        <v>0.0</v>
      </c>
      <c r="D42" s="30">
        <v>0.0</v>
      </c>
      <c r="E42" s="30">
        <v>4.0</v>
      </c>
      <c r="F42" s="30">
        <v>4.0</v>
      </c>
      <c r="G42" s="30">
        <v>1.0</v>
      </c>
      <c r="H42" s="29">
        <f t="shared" si="2"/>
        <v>9</v>
      </c>
      <c r="I42" s="30">
        <v>0.0</v>
      </c>
      <c r="J42" s="30">
        <v>11.0</v>
      </c>
      <c r="K42" s="30">
        <v>8.0</v>
      </c>
      <c r="L42" s="31">
        <f t="shared" si="3"/>
        <v>0.8888888889</v>
      </c>
      <c r="M42" s="29">
        <v>91.0</v>
      </c>
      <c r="N42" s="30">
        <v>16.0</v>
      </c>
      <c r="O42" s="30">
        <v>16.0</v>
      </c>
      <c r="P42" s="30">
        <v>15.0</v>
      </c>
      <c r="Q42" s="30">
        <v>16.0</v>
      </c>
      <c r="R42" s="30">
        <v>16.0</v>
      </c>
      <c r="S42" s="40">
        <v>12.0</v>
      </c>
      <c r="T42" s="35">
        <f t="shared" ref="T42:Y42" si="47">B42/(IF(N42&gt;0,N42,1))</f>
        <v>0</v>
      </c>
      <c r="U42" s="36">
        <f t="shared" si="47"/>
        <v>0</v>
      </c>
      <c r="V42" s="36">
        <f t="shared" si="47"/>
        <v>0</v>
      </c>
      <c r="W42" s="36">
        <f t="shared" si="47"/>
        <v>0.25</v>
      </c>
      <c r="X42" s="36">
        <f t="shared" si="47"/>
        <v>0.25</v>
      </c>
      <c r="Y42" s="37">
        <f t="shared" si="47"/>
        <v>0.08333333333</v>
      </c>
      <c r="Z42" s="39">
        <f t="shared" si="12"/>
        <v>0.0989010989</v>
      </c>
      <c r="AA42" s="39">
        <f t="shared" si="9"/>
        <v>0.3956043956</v>
      </c>
      <c r="AB42" s="39">
        <f t="shared" si="6"/>
        <v>1.274725275</v>
      </c>
    </row>
    <row r="43">
      <c r="A43" s="23" t="s">
        <v>122</v>
      </c>
      <c r="B43" s="30">
        <v>0.0</v>
      </c>
      <c r="C43" s="30">
        <v>6.0</v>
      </c>
      <c r="D43" s="30">
        <v>3.0</v>
      </c>
      <c r="E43" s="30">
        <v>5.0</v>
      </c>
      <c r="F43" s="30">
        <v>1.0</v>
      </c>
      <c r="G43" s="30">
        <v>0.0</v>
      </c>
      <c r="H43" s="29">
        <f t="shared" si="2"/>
        <v>15</v>
      </c>
      <c r="I43" s="30">
        <v>2.0</v>
      </c>
      <c r="J43" s="30">
        <v>41.0</v>
      </c>
      <c r="K43" s="30">
        <v>3.0</v>
      </c>
      <c r="L43" s="31">
        <f t="shared" si="3"/>
        <v>0.2</v>
      </c>
      <c r="M43" s="29">
        <v>138.0</v>
      </c>
      <c r="N43" s="30">
        <v>24.0</v>
      </c>
      <c r="O43" s="30">
        <v>24.0</v>
      </c>
      <c r="P43" s="30">
        <v>24.0</v>
      </c>
      <c r="Q43" s="30">
        <v>24.0</v>
      </c>
      <c r="R43" s="30">
        <v>24.0</v>
      </c>
      <c r="S43" s="40">
        <v>18.0</v>
      </c>
      <c r="T43" s="35">
        <f t="shared" ref="T43:Y43" si="48">B43/(IF(N43&gt;0,N43,1))</f>
        <v>0</v>
      </c>
      <c r="U43" s="36">
        <f t="shared" si="48"/>
        <v>0.25</v>
      </c>
      <c r="V43" s="36">
        <f t="shared" si="48"/>
        <v>0.125</v>
      </c>
      <c r="W43" s="36">
        <f t="shared" si="48"/>
        <v>0.2083333333</v>
      </c>
      <c r="X43" s="36">
        <f t="shared" si="48"/>
        <v>0.04166666667</v>
      </c>
      <c r="Y43" s="37">
        <f t="shared" si="48"/>
        <v>0</v>
      </c>
      <c r="Z43" s="39">
        <f t="shared" si="12"/>
        <v>0.1086956522</v>
      </c>
      <c r="AA43" s="39">
        <f t="shared" si="9"/>
        <v>0.3768115942</v>
      </c>
      <c r="AB43" s="39">
        <f t="shared" si="6"/>
        <v>0.5942028986</v>
      </c>
    </row>
    <row r="44">
      <c r="A44" s="23" t="s">
        <v>123</v>
      </c>
      <c r="B44" s="30">
        <v>4.0</v>
      </c>
      <c r="C44" s="30">
        <v>0.0</v>
      </c>
      <c r="D44" s="30">
        <v>1.0</v>
      </c>
      <c r="E44" s="30">
        <v>1.0</v>
      </c>
      <c r="F44" s="30">
        <v>1.0</v>
      </c>
      <c r="G44" s="30">
        <v>1.0</v>
      </c>
      <c r="H44" s="29">
        <f t="shared" si="2"/>
        <v>8</v>
      </c>
      <c r="I44" s="30">
        <v>0.0</v>
      </c>
      <c r="J44" s="30">
        <v>25.0</v>
      </c>
      <c r="K44" s="30">
        <v>2.0</v>
      </c>
      <c r="L44" s="31">
        <f t="shared" si="3"/>
        <v>0.25</v>
      </c>
      <c r="M44" s="29">
        <v>85.0</v>
      </c>
      <c r="N44" s="30">
        <v>15.0</v>
      </c>
      <c r="O44" s="30">
        <v>15.0</v>
      </c>
      <c r="P44" s="30">
        <v>15.0</v>
      </c>
      <c r="Q44" s="30">
        <v>14.0</v>
      </c>
      <c r="R44" s="30">
        <v>15.0</v>
      </c>
      <c r="S44" s="51">
        <v>11.0</v>
      </c>
      <c r="T44" s="35">
        <f t="shared" ref="T44:Y44" si="49">B44/(IF(N44&gt;0,N44,1))</f>
        <v>0.2666666667</v>
      </c>
      <c r="U44" s="36">
        <f t="shared" si="49"/>
        <v>0</v>
      </c>
      <c r="V44" s="36">
        <f t="shared" si="49"/>
        <v>0.06666666667</v>
      </c>
      <c r="W44" s="36">
        <f t="shared" si="49"/>
        <v>0.07142857143</v>
      </c>
      <c r="X44" s="36">
        <f t="shared" si="49"/>
        <v>0.06666666667</v>
      </c>
      <c r="Y44" s="37">
        <f t="shared" si="49"/>
        <v>0.09090909091</v>
      </c>
      <c r="Z44" s="39">
        <f t="shared" si="12"/>
        <v>0.09411764706</v>
      </c>
      <c r="AA44" s="39">
        <f t="shared" si="9"/>
        <v>0.3764705882</v>
      </c>
      <c r="AB44" s="39">
        <f t="shared" si="6"/>
        <v>0.6117647059</v>
      </c>
    </row>
    <row r="45">
      <c r="A45" s="8" t="s">
        <v>124</v>
      </c>
      <c r="B45" s="9">
        <v>3.0</v>
      </c>
      <c r="C45" s="9">
        <v>0.0</v>
      </c>
      <c r="D45" s="9">
        <v>0.0</v>
      </c>
      <c r="E45" s="9">
        <v>0.0</v>
      </c>
      <c r="F45" s="9">
        <v>0.0</v>
      </c>
      <c r="G45" s="9">
        <v>1.0</v>
      </c>
      <c r="H45" s="29">
        <f t="shared" si="2"/>
        <v>4</v>
      </c>
      <c r="I45" s="9">
        <v>0.0</v>
      </c>
      <c r="J45" s="9">
        <v>1.0</v>
      </c>
      <c r="K45" s="9">
        <v>3.0</v>
      </c>
      <c r="L45" s="31">
        <f t="shared" si="3"/>
        <v>0.75</v>
      </c>
      <c r="M45" s="18">
        <v>43.0</v>
      </c>
      <c r="N45" s="9">
        <v>7.0</v>
      </c>
      <c r="O45" s="9">
        <v>7.0</v>
      </c>
      <c r="P45" s="9">
        <v>7.0</v>
      </c>
      <c r="Q45" s="9">
        <v>8.0</v>
      </c>
      <c r="R45" s="9">
        <v>8.0</v>
      </c>
      <c r="S45" s="50">
        <v>6.0</v>
      </c>
      <c r="T45" s="35">
        <f t="shared" ref="T45:Y45" si="50">B45/(IF(N45&gt;0,N45,1))</f>
        <v>0.4285714286</v>
      </c>
      <c r="U45" s="36">
        <f t="shared" si="50"/>
        <v>0</v>
      </c>
      <c r="V45" s="36">
        <f t="shared" si="50"/>
        <v>0</v>
      </c>
      <c r="W45" s="36">
        <f t="shared" si="50"/>
        <v>0</v>
      </c>
      <c r="X45" s="36">
        <f t="shared" si="50"/>
        <v>0</v>
      </c>
      <c r="Y45" s="37">
        <f t="shared" si="50"/>
        <v>0.1666666667</v>
      </c>
      <c r="Z45" s="39">
        <f t="shared" si="12"/>
        <v>0.09302325581</v>
      </c>
      <c r="AA45" s="39">
        <f t="shared" si="9"/>
        <v>0.3720930233</v>
      </c>
      <c r="AB45" s="39">
        <f t="shared" si="6"/>
        <v>1.069767442</v>
      </c>
    </row>
    <row r="46">
      <c r="A46" s="8" t="s">
        <v>125</v>
      </c>
      <c r="B46" s="9">
        <v>4.0</v>
      </c>
      <c r="C46" s="9">
        <v>1.0</v>
      </c>
      <c r="D46" s="9">
        <v>0.0</v>
      </c>
      <c r="E46" s="9">
        <v>0.0</v>
      </c>
      <c r="F46" s="9">
        <v>0.0</v>
      </c>
      <c r="G46" s="9">
        <v>2.0</v>
      </c>
      <c r="H46" s="29">
        <f t="shared" si="2"/>
        <v>7</v>
      </c>
      <c r="I46" s="9">
        <v>1.0</v>
      </c>
      <c r="J46" s="9">
        <v>7.0</v>
      </c>
      <c r="K46" s="9">
        <v>3.0</v>
      </c>
      <c r="L46" s="31">
        <f t="shared" si="3"/>
        <v>0.4285714286</v>
      </c>
      <c r="M46" s="18">
        <v>66.0</v>
      </c>
      <c r="N46" s="9">
        <v>11.0</v>
      </c>
      <c r="O46" s="9">
        <v>12.0</v>
      </c>
      <c r="P46" s="9">
        <v>12.0</v>
      </c>
      <c r="Q46" s="9">
        <v>11.0</v>
      </c>
      <c r="R46" s="9">
        <v>11.0</v>
      </c>
      <c r="S46" s="50">
        <v>9.0</v>
      </c>
      <c r="T46" s="35">
        <f t="shared" ref="T46:Y46" si="51">B46/(IF(N46&gt;0,N46,1))</f>
        <v>0.3636363636</v>
      </c>
      <c r="U46" s="36">
        <f t="shared" si="51"/>
        <v>0.08333333333</v>
      </c>
      <c r="V46" s="36">
        <f t="shared" si="51"/>
        <v>0</v>
      </c>
      <c r="W46" s="36">
        <f t="shared" si="51"/>
        <v>0</v>
      </c>
      <c r="X46" s="36">
        <f t="shared" si="51"/>
        <v>0</v>
      </c>
      <c r="Y46" s="37">
        <f t="shared" si="51"/>
        <v>0.2222222222</v>
      </c>
      <c r="Z46" s="39">
        <f t="shared" si="12"/>
        <v>0.1060606061</v>
      </c>
      <c r="AA46" s="39">
        <f t="shared" si="9"/>
        <v>0.3636363636</v>
      </c>
      <c r="AB46" s="39">
        <f t="shared" si="6"/>
        <v>0.8181818182</v>
      </c>
    </row>
    <row r="47">
      <c r="A47" s="23" t="s">
        <v>126</v>
      </c>
      <c r="B47" s="30">
        <v>0.0</v>
      </c>
      <c r="C47" s="30">
        <v>0.0</v>
      </c>
      <c r="D47" s="30">
        <v>1.0</v>
      </c>
      <c r="E47" s="30">
        <v>0.0</v>
      </c>
      <c r="F47" s="30">
        <v>0.0</v>
      </c>
      <c r="G47" s="30">
        <v>1.0</v>
      </c>
      <c r="H47" s="29">
        <f t="shared" si="2"/>
        <v>2</v>
      </c>
      <c r="I47" s="30">
        <v>0.0</v>
      </c>
      <c r="J47" s="30">
        <v>1.0</v>
      </c>
      <c r="K47" s="30">
        <v>1.0</v>
      </c>
      <c r="L47" s="31">
        <f t="shared" si="3"/>
        <v>0.5</v>
      </c>
      <c r="M47" s="29">
        <v>22.0</v>
      </c>
      <c r="N47" s="30">
        <v>4.0</v>
      </c>
      <c r="O47" s="30">
        <v>4.0</v>
      </c>
      <c r="P47" s="30">
        <v>4.0</v>
      </c>
      <c r="Q47" s="30">
        <v>4.0</v>
      </c>
      <c r="R47" s="30">
        <v>4.0</v>
      </c>
      <c r="S47" s="40">
        <v>2.0</v>
      </c>
      <c r="T47" s="35">
        <f t="shared" ref="T47:Y47" si="52">B47/(IF(N47&gt;0,N47,1))</f>
        <v>0</v>
      </c>
      <c r="U47" s="36">
        <f t="shared" si="52"/>
        <v>0</v>
      </c>
      <c r="V47" s="36">
        <f t="shared" si="52"/>
        <v>0.25</v>
      </c>
      <c r="W47" s="36">
        <f t="shared" si="52"/>
        <v>0</v>
      </c>
      <c r="X47" s="36">
        <f t="shared" si="52"/>
        <v>0</v>
      </c>
      <c r="Y47" s="37">
        <f t="shared" si="52"/>
        <v>0.5</v>
      </c>
      <c r="Z47" s="39">
        <f t="shared" si="12"/>
        <v>0.09090909091</v>
      </c>
      <c r="AA47" s="39">
        <f t="shared" si="9"/>
        <v>0.3636363636</v>
      </c>
      <c r="AB47" s="39">
        <f t="shared" si="6"/>
        <v>0.8181818182</v>
      </c>
    </row>
    <row r="48">
      <c r="A48" s="23" t="s">
        <v>127</v>
      </c>
      <c r="B48" s="30">
        <v>0.0</v>
      </c>
      <c r="C48" s="30">
        <v>2.0</v>
      </c>
      <c r="D48" s="30">
        <v>0.0</v>
      </c>
      <c r="E48" s="30">
        <v>1.0</v>
      </c>
      <c r="F48" s="30">
        <v>3.0</v>
      </c>
      <c r="G48" s="30">
        <v>0.0</v>
      </c>
      <c r="H48" s="29">
        <f t="shared" si="2"/>
        <v>6</v>
      </c>
      <c r="I48" s="30">
        <v>0.0</v>
      </c>
      <c r="J48" s="30">
        <v>2.0</v>
      </c>
      <c r="K48" s="30">
        <v>1.0</v>
      </c>
      <c r="L48" s="31">
        <f t="shared" si="3"/>
        <v>0.1666666667</v>
      </c>
      <c r="M48" s="29">
        <v>67.0</v>
      </c>
      <c r="N48" s="30">
        <v>12.0</v>
      </c>
      <c r="O48" s="30">
        <v>11.0</v>
      </c>
      <c r="P48" s="30">
        <v>12.0</v>
      </c>
      <c r="Q48" s="30">
        <v>12.0</v>
      </c>
      <c r="R48" s="30">
        <v>12.0</v>
      </c>
      <c r="S48" s="40">
        <v>8.0</v>
      </c>
      <c r="T48" s="35">
        <f t="shared" ref="T48:Y48" si="53">B48/(IF(N48&gt;0,N48,1))</f>
        <v>0</v>
      </c>
      <c r="U48" s="36">
        <f t="shared" si="53"/>
        <v>0.1818181818</v>
      </c>
      <c r="V48" s="36">
        <f t="shared" si="53"/>
        <v>0</v>
      </c>
      <c r="W48" s="36">
        <f t="shared" si="53"/>
        <v>0.08333333333</v>
      </c>
      <c r="X48" s="36">
        <f t="shared" si="53"/>
        <v>0.25</v>
      </c>
      <c r="Y48" s="37">
        <f t="shared" si="53"/>
        <v>0</v>
      </c>
      <c r="Z48" s="39">
        <f t="shared" si="12"/>
        <v>0.08955223881</v>
      </c>
      <c r="AA48" s="39">
        <f t="shared" si="9"/>
        <v>0.3582089552</v>
      </c>
      <c r="AB48" s="39">
        <f t="shared" si="6"/>
        <v>0.5074626866</v>
      </c>
    </row>
    <row r="49">
      <c r="A49" s="23" t="s">
        <v>128</v>
      </c>
      <c r="B49" s="30">
        <v>0.0</v>
      </c>
      <c r="C49" s="30">
        <v>0.0</v>
      </c>
      <c r="D49" s="30">
        <v>0.0</v>
      </c>
      <c r="E49" s="30">
        <v>3.0</v>
      </c>
      <c r="F49" s="30">
        <v>2.0</v>
      </c>
      <c r="G49" s="30">
        <v>1.0</v>
      </c>
      <c r="H49" s="29">
        <f t="shared" si="2"/>
        <v>6</v>
      </c>
      <c r="I49" s="30">
        <v>0.0</v>
      </c>
      <c r="J49" s="30">
        <v>8.0</v>
      </c>
      <c r="K49" s="30">
        <v>1.0</v>
      </c>
      <c r="L49" s="31">
        <f t="shared" si="3"/>
        <v>0.1666666667</v>
      </c>
      <c r="M49" s="29">
        <v>67.0</v>
      </c>
      <c r="N49" s="30">
        <v>12.0</v>
      </c>
      <c r="O49" s="30">
        <v>12.0</v>
      </c>
      <c r="P49" s="30">
        <v>11.0</v>
      </c>
      <c r="Q49" s="30">
        <v>12.0</v>
      </c>
      <c r="R49" s="30">
        <v>12.0</v>
      </c>
      <c r="S49" s="40">
        <v>8.0</v>
      </c>
      <c r="T49" s="35">
        <f t="shared" ref="T49:Y49" si="54">B49/(IF(N49&gt;0,N49,1))</f>
        <v>0</v>
      </c>
      <c r="U49" s="36">
        <f t="shared" si="54"/>
        <v>0</v>
      </c>
      <c r="V49" s="36">
        <f t="shared" si="54"/>
        <v>0</v>
      </c>
      <c r="W49" s="36">
        <f t="shared" si="54"/>
        <v>0.25</v>
      </c>
      <c r="X49" s="36">
        <f t="shared" si="54"/>
        <v>0.1666666667</v>
      </c>
      <c r="Y49" s="37">
        <f t="shared" si="54"/>
        <v>0.125</v>
      </c>
      <c r="Z49" s="39">
        <f t="shared" si="12"/>
        <v>0.08955223881</v>
      </c>
      <c r="AA49" s="39">
        <f t="shared" si="9"/>
        <v>0.3582089552</v>
      </c>
      <c r="AB49" s="39">
        <f t="shared" si="6"/>
        <v>0.5074626866</v>
      </c>
    </row>
    <row r="50">
      <c r="A50" s="8" t="s">
        <v>129</v>
      </c>
      <c r="B50" s="9">
        <v>0.0</v>
      </c>
      <c r="C50" s="9">
        <v>0.0</v>
      </c>
      <c r="D50" s="9">
        <v>0.0</v>
      </c>
      <c r="E50" s="9">
        <v>0.0</v>
      </c>
      <c r="F50" s="9">
        <v>4.0</v>
      </c>
      <c r="G50" s="9">
        <v>0.0</v>
      </c>
      <c r="H50" s="29">
        <f t="shared" si="2"/>
        <v>4</v>
      </c>
      <c r="I50" s="9">
        <v>0.0</v>
      </c>
      <c r="J50" s="9">
        <v>4.0</v>
      </c>
      <c r="K50" s="9">
        <v>2.0</v>
      </c>
      <c r="L50" s="31">
        <f t="shared" si="3"/>
        <v>0.5</v>
      </c>
      <c r="M50" s="18">
        <v>45.0</v>
      </c>
      <c r="N50" s="9">
        <v>8.0</v>
      </c>
      <c r="O50" s="9">
        <v>8.0</v>
      </c>
      <c r="P50" s="9">
        <v>7.0</v>
      </c>
      <c r="Q50" s="9">
        <v>8.0</v>
      </c>
      <c r="R50" s="9">
        <v>8.0</v>
      </c>
      <c r="S50" s="10">
        <v>6.0</v>
      </c>
      <c r="T50" s="35">
        <f t="shared" ref="T50:Y50" si="55">B50/(IF(N50&gt;0,N50,1))</f>
        <v>0</v>
      </c>
      <c r="U50" s="36">
        <f t="shared" si="55"/>
        <v>0</v>
      </c>
      <c r="V50" s="36">
        <f t="shared" si="55"/>
        <v>0</v>
      </c>
      <c r="W50" s="36">
        <f t="shared" si="55"/>
        <v>0</v>
      </c>
      <c r="X50" s="36">
        <f t="shared" si="55"/>
        <v>0.5</v>
      </c>
      <c r="Y50" s="37">
        <f t="shared" si="55"/>
        <v>0</v>
      </c>
      <c r="Z50" s="39">
        <f t="shared" si="12"/>
        <v>0.08888888889</v>
      </c>
      <c r="AA50" s="39">
        <f t="shared" si="9"/>
        <v>0.3555555556</v>
      </c>
      <c r="AB50" s="39">
        <f t="shared" si="6"/>
        <v>0.8</v>
      </c>
    </row>
    <row r="51">
      <c r="A51" s="23" t="s">
        <v>130</v>
      </c>
      <c r="B51" s="30">
        <v>0.0</v>
      </c>
      <c r="C51" s="30">
        <v>4.0</v>
      </c>
      <c r="D51" s="30">
        <v>0.0</v>
      </c>
      <c r="E51" s="30">
        <v>2.0</v>
      </c>
      <c r="F51" s="30">
        <v>0.0</v>
      </c>
      <c r="G51" s="30">
        <v>0.0</v>
      </c>
      <c r="H51" s="29">
        <f t="shared" si="2"/>
        <v>6</v>
      </c>
      <c r="I51" s="30">
        <v>0.0</v>
      </c>
      <c r="J51" s="30">
        <v>11.0</v>
      </c>
      <c r="K51" s="30">
        <v>1.0</v>
      </c>
      <c r="L51" s="31">
        <f t="shared" si="3"/>
        <v>0.1666666667</v>
      </c>
      <c r="M51" s="29">
        <v>68.0</v>
      </c>
      <c r="N51" s="30">
        <v>12.0</v>
      </c>
      <c r="O51" s="30">
        <v>12.0</v>
      </c>
      <c r="P51" s="30">
        <v>11.0</v>
      </c>
      <c r="Q51" s="30">
        <v>12.0</v>
      </c>
      <c r="R51" s="30">
        <v>12.0</v>
      </c>
      <c r="S51" s="40">
        <v>9.0</v>
      </c>
      <c r="T51" s="35">
        <f t="shared" ref="T51:Y51" si="56">B51/(IF(N51&gt;0,N51,1))</f>
        <v>0</v>
      </c>
      <c r="U51" s="36">
        <f t="shared" si="56"/>
        <v>0.3333333333</v>
      </c>
      <c r="V51" s="36">
        <f t="shared" si="56"/>
        <v>0</v>
      </c>
      <c r="W51" s="36">
        <f t="shared" si="56"/>
        <v>0.1666666667</v>
      </c>
      <c r="X51" s="36">
        <f t="shared" si="56"/>
        <v>0</v>
      </c>
      <c r="Y51" s="37">
        <f t="shared" si="56"/>
        <v>0</v>
      </c>
      <c r="Z51" s="39">
        <f t="shared" si="12"/>
        <v>0.08823529412</v>
      </c>
      <c r="AA51" s="39">
        <f t="shared" si="9"/>
        <v>0.3529411765</v>
      </c>
      <c r="AB51" s="39">
        <f t="shared" si="6"/>
        <v>0.5</v>
      </c>
    </row>
    <row r="52">
      <c r="A52" s="23" t="s">
        <v>131</v>
      </c>
      <c r="B52" s="30">
        <v>2.0</v>
      </c>
      <c r="C52" s="30">
        <v>1.0</v>
      </c>
      <c r="D52" s="30">
        <v>0.0</v>
      </c>
      <c r="E52" s="30">
        <v>1.0</v>
      </c>
      <c r="F52" s="30">
        <v>0.0</v>
      </c>
      <c r="G52" s="30">
        <v>0.0</v>
      </c>
      <c r="H52" s="29">
        <f t="shared" si="2"/>
        <v>4</v>
      </c>
      <c r="I52" s="30">
        <v>0.0</v>
      </c>
      <c r="J52" s="30">
        <v>6.0</v>
      </c>
      <c r="K52" s="30">
        <v>1.0</v>
      </c>
      <c r="L52" s="31">
        <f t="shared" si="3"/>
        <v>0.25</v>
      </c>
      <c r="M52" s="29">
        <v>46.0</v>
      </c>
      <c r="N52" s="30">
        <v>8.0</v>
      </c>
      <c r="O52" s="30">
        <v>8.0</v>
      </c>
      <c r="P52" s="30">
        <v>9.0</v>
      </c>
      <c r="Q52" s="30">
        <v>7.0</v>
      </c>
      <c r="R52" s="30">
        <v>8.0</v>
      </c>
      <c r="S52" s="40">
        <v>6.0</v>
      </c>
      <c r="T52" s="35">
        <f t="shared" ref="T52:Y52" si="57">B52/(IF(N52&gt;0,N52,1))</f>
        <v>0.25</v>
      </c>
      <c r="U52" s="36">
        <f t="shared" si="57"/>
        <v>0.125</v>
      </c>
      <c r="V52" s="36">
        <f t="shared" si="57"/>
        <v>0</v>
      </c>
      <c r="W52" s="36">
        <f t="shared" si="57"/>
        <v>0.1428571429</v>
      </c>
      <c r="X52" s="36">
        <f t="shared" si="57"/>
        <v>0</v>
      </c>
      <c r="Y52" s="37">
        <f t="shared" si="57"/>
        <v>0</v>
      </c>
      <c r="Z52" s="39">
        <f t="shared" si="12"/>
        <v>0.08695652174</v>
      </c>
      <c r="AA52" s="39">
        <f t="shared" si="9"/>
        <v>0.347826087</v>
      </c>
      <c r="AB52" s="39">
        <f t="shared" si="6"/>
        <v>0.5652173913</v>
      </c>
    </row>
    <row r="53">
      <c r="A53" s="23" t="s">
        <v>132</v>
      </c>
      <c r="B53" s="30">
        <v>1.0</v>
      </c>
      <c r="C53" s="30">
        <v>0.0</v>
      </c>
      <c r="D53" s="30">
        <v>1.0</v>
      </c>
      <c r="E53" s="30">
        <v>0.0</v>
      </c>
      <c r="F53" s="30">
        <v>0.0</v>
      </c>
      <c r="G53" s="30">
        <v>0.0</v>
      </c>
      <c r="H53" s="29">
        <f t="shared" si="2"/>
        <v>2</v>
      </c>
      <c r="I53" s="30">
        <v>0.0</v>
      </c>
      <c r="J53" s="30">
        <v>6.0</v>
      </c>
      <c r="K53" s="30">
        <v>0.0</v>
      </c>
      <c r="L53" s="31">
        <f t="shared" si="3"/>
        <v>0</v>
      </c>
      <c r="M53" s="29">
        <v>23.0</v>
      </c>
      <c r="N53" s="30">
        <v>4.0</v>
      </c>
      <c r="O53" s="30">
        <v>4.0</v>
      </c>
      <c r="P53" s="30">
        <v>4.0</v>
      </c>
      <c r="Q53" s="30">
        <v>4.0</v>
      </c>
      <c r="R53" s="30">
        <v>4.0</v>
      </c>
      <c r="S53" s="40">
        <v>3.0</v>
      </c>
      <c r="T53" s="35">
        <f t="shared" ref="T53:Y53" si="58">B53/(IF(N53&gt;0,N53,1))</f>
        <v>0.25</v>
      </c>
      <c r="U53" s="36">
        <f t="shared" si="58"/>
        <v>0</v>
      </c>
      <c r="V53" s="36">
        <f t="shared" si="58"/>
        <v>0.25</v>
      </c>
      <c r="W53" s="36">
        <f t="shared" si="58"/>
        <v>0</v>
      </c>
      <c r="X53" s="36">
        <f t="shared" si="58"/>
        <v>0</v>
      </c>
      <c r="Y53" s="37">
        <f t="shared" si="58"/>
        <v>0</v>
      </c>
      <c r="Z53" s="39">
        <f t="shared" si="12"/>
        <v>0.08695652174</v>
      </c>
      <c r="AA53" s="39">
        <f t="shared" si="9"/>
        <v>0.347826087</v>
      </c>
      <c r="AB53" s="39">
        <f t="shared" si="6"/>
        <v>0.347826087</v>
      </c>
    </row>
    <row r="54">
      <c r="A54" s="23" t="s">
        <v>133</v>
      </c>
      <c r="B54" s="30">
        <v>0.0</v>
      </c>
      <c r="C54" s="30">
        <v>0.0</v>
      </c>
      <c r="D54" s="30">
        <v>0.0</v>
      </c>
      <c r="E54" s="30">
        <v>0.0</v>
      </c>
      <c r="F54" s="30">
        <v>3.0</v>
      </c>
      <c r="G54" s="30">
        <v>0.0</v>
      </c>
      <c r="H54" s="29">
        <f t="shared" si="2"/>
        <v>3</v>
      </c>
      <c r="I54" s="30">
        <v>0.0</v>
      </c>
      <c r="J54" s="30">
        <v>0.0</v>
      </c>
      <c r="K54" s="30">
        <v>1.0</v>
      </c>
      <c r="L54" s="31">
        <f t="shared" si="3"/>
        <v>0.3333333333</v>
      </c>
      <c r="M54" s="29">
        <v>36.0</v>
      </c>
      <c r="N54" s="30">
        <v>7.0</v>
      </c>
      <c r="O54" s="30">
        <v>6.0</v>
      </c>
      <c r="P54" s="30">
        <v>6.0</v>
      </c>
      <c r="Q54" s="30">
        <v>6.0</v>
      </c>
      <c r="R54" s="30">
        <v>6.0</v>
      </c>
      <c r="S54" s="40">
        <v>5.0</v>
      </c>
      <c r="T54" s="35">
        <f t="shared" ref="T54:Y54" si="59">B54/(IF(N54&gt;0,N54,1))</f>
        <v>0</v>
      </c>
      <c r="U54" s="36">
        <f t="shared" si="59"/>
        <v>0</v>
      </c>
      <c r="V54" s="36">
        <f t="shared" si="59"/>
        <v>0</v>
      </c>
      <c r="W54" s="36">
        <f t="shared" si="59"/>
        <v>0</v>
      </c>
      <c r="X54" s="36">
        <f t="shared" si="59"/>
        <v>0.5</v>
      </c>
      <c r="Y54" s="37">
        <f t="shared" si="59"/>
        <v>0</v>
      </c>
      <c r="Z54" s="39">
        <f t="shared" si="12"/>
        <v>0.08333333333</v>
      </c>
      <c r="AA54" s="39">
        <f t="shared" si="9"/>
        <v>0.3333333333</v>
      </c>
      <c r="AB54" s="39">
        <f t="shared" si="6"/>
        <v>0.6111111111</v>
      </c>
    </row>
    <row r="55">
      <c r="A55" s="23" t="s">
        <v>134</v>
      </c>
      <c r="B55" s="30">
        <v>6.0</v>
      </c>
      <c r="C55" s="30">
        <v>0.0</v>
      </c>
      <c r="D55" s="30">
        <v>0.0</v>
      </c>
      <c r="E55" s="30">
        <v>0.0</v>
      </c>
      <c r="F55" s="30">
        <v>0.0</v>
      </c>
      <c r="G55" s="30">
        <v>2.0</v>
      </c>
      <c r="H55" s="29">
        <f t="shared" si="2"/>
        <v>8</v>
      </c>
      <c r="I55" s="30">
        <v>1.0</v>
      </c>
      <c r="J55" s="30">
        <v>6.0</v>
      </c>
      <c r="K55" s="30">
        <v>5.0</v>
      </c>
      <c r="L55" s="31">
        <f t="shared" si="3"/>
        <v>0.625</v>
      </c>
      <c r="M55" s="29">
        <v>86.0</v>
      </c>
      <c r="N55" s="30">
        <v>15.0</v>
      </c>
      <c r="O55" s="30">
        <v>15.0</v>
      </c>
      <c r="P55" s="30">
        <v>16.0</v>
      </c>
      <c r="Q55" s="30">
        <v>15.0</v>
      </c>
      <c r="R55" s="30">
        <v>14.0</v>
      </c>
      <c r="S55" s="40">
        <v>11.0</v>
      </c>
      <c r="T55" s="35">
        <f t="shared" ref="T55:Y55" si="60">B55/(IF(N55&gt;0,N55,1))</f>
        <v>0.4</v>
      </c>
      <c r="U55" s="36">
        <f t="shared" si="60"/>
        <v>0</v>
      </c>
      <c r="V55" s="36">
        <f t="shared" si="60"/>
        <v>0</v>
      </c>
      <c r="W55" s="36">
        <f t="shared" si="60"/>
        <v>0</v>
      </c>
      <c r="X55" s="36">
        <f t="shared" si="60"/>
        <v>0</v>
      </c>
      <c r="Y55" s="37">
        <f t="shared" si="60"/>
        <v>0.1818181818</v>
      </c>
      <c r="Z55" s="39">
        <f t="shared" si="12"/>
        <v>0.09302325581</v>
      </c>
      <c r="AA55" s="39">
        <f t="shared" si="9"/>
        <v>0.3255813953</v>
      </c>
      <c r="AB55" s="39">
        <f t="shared" si="6"/>
        <v>0.9069767442</v>
      </c>
    </row>
    <row r="56">
      <c r="A56" s="23" t="s">
        <v>135</v>
      </c>
      <c r="B56" s="30">
        <v>1.0</v>
      </c>
      <c r="C56" s="30">
        <v>6.0</v>
      </c>
      <c r="D56" s="30">
        <v>0.0</v>
      </c>
      <c r="E56" s="30">
        <v>1.0</v>
      </c>
      <c r="F56" s="30">
        <v>1.0</v>
      </c>
      <c r="G56" s="30">
        <v>1.0</v>
      </c>
      <c r="H56" s="29">
        <f t="shared" si="2"/>
        <v>10</v>
      </c>
      <c r="I56" s="30">
        <v>1.0</v>
      </c>
      <c r="J56" s="30">
        <v>15.0</v>
      </c>
      <c r="K56" s="30">
        <v>1.0</v>
      </c>
      <c r="L56" s="31">
        <f t="shared" si="3"/>
        <v>0.1</v>
      </c>
      <c r="M56" s="29">
        <v>111.0</v>
      </c>
      <c r="N56" s="30">
        <v>20.0</v>
      </c>
      <c r="O56" s="30">
        <v>20.0</v>
      </c>
      <c r="P56" s="30">
        <v>19.0</v>
      </c>
      <c r="Q56" s="30">
        <v>19.0</v>
      </c>
      <c r="R56" s="30">
        <v>19.0</v>
      </c>
      <c r="S56" s="40">
        <v>14.0</v>
      </c>
      <c r="T56" s="35">
        <f t="shared" ref="T56:Y56" si="61">B56/(IF(N56&gt;0,N56,1))</f>
        <v>0.05</v>
      </c>
      <c r="U56" s="36">
        <f t="shared" si="61"/>
        <v>0.3</v>
      </c>
      <c r="V56" s="36">
        <f t="shared" si="61"/>
        <v>0</v>
      </c>
      <c r="W56" s="36">
        <f t="shared" si="61"/>
        <v>0.05263157895</v>
      </c>
      <c r="X56" s="36">
        <f t="shared" si="61"/>
        <v>0.05263157895</v>
      </c>
      <c r="Y56" s="37">
        <f t="shared" si="61"/>
        <v>0.07142857143</v>
      </c>
      <c r="Z56" s="39">
        <f t="shared" si="12"/>
        <v>0.09009009009</v>
      </c>
      <c r="AA56" s="39">
        <f t="shared" si="9"/>
        <v>0.3243243243</v>
      </c>
      <c r="AB56" s="39">
        <f t="shared" si="6"/>
        <v>0.4144144144</v>
      </c>
    </row>
    <row r="57">
      <c r="A57" s="8" t="s">
        <v>136</v>
      </c>
      <c r="B57" s="9">
        <v>1.0</v>
      </c>
      <c r="C57" s="9">
        <v>0.0</v>
      </c>
      <c r="D57" s="9">
        <v>5.0</v>
      </c>
      <c r="E57" s="9">
        <v>0.0</v>
      </c>
      <c r="F57" s="9">
        <v>0.0</v>
      </c>
      <c r="G57" s="9">
        <v>1.0</v>
      </c>
      <c r="H57" s="29">
        <f t="shared" si="2"/>
        <v>7</v>
      </c>
      <c r="I57" s="9">
        <v>0.0</v>
      </c>
      <c r="J57" s="9">
        <v>8.0</v>
      </c>
      <c r="K57" s="9">
        <v>3.0</v>
      </c>
      <c r="L57" s="31">
        <f t="shared" si="3"/>
        <v>0.4285714286</v>
      </c>
      <c r="M57" s="18">
        <v>89.0</v>
      </c>
      <c r="N57" s="9">
        <v>16.0</v>
      </c>
      <c r="O57" s="9">
        <v>15.0</v>
      </c>
      <c r="P57" s="9">
        <v>15.0</v>
      </c>
      <c r="Q57" s="9">
        <v>16.0</v>
      </c>
      <c r="R57" s="9">
        <v>15.0</v>
      </c>
      <c r="S57" s="10">
        <v>12.0</v>
      </c>
      <c r="T57" s="35">
        <f t="shared" ref="T57:Y57" si="62">B57/(IF(N57&gt;0,N57,1))</f>
        <v>0.0625</v>
      </c>
      <c r="U57" s="36">
        <f t="shared" si="62"/>
        <v>0</v>
      </c>
      <c r="V57" s="36">
        <f t="shared" si="62"/>
        <v>0.3333333333</v>
      </c>
      <c r="W57" s="36">
        <f t="shared" si="62"/>
        <v>0</v>
      </c>
      <c r="X57" s="36">
        <f t="shared" si="62"/>
        <v>0</v>
      </c>
      <c r="Y57" s="37">
        <f t="shared" si="62"/>
        <v>0.08333333333</v>
      </c>
      <c r="Z57" s="39">
        <f t="shared" si="12"/>
        <v>0.07865168539</v>
      </c>
      <c r="AA57" s="39">
        <f t="shared" si="9"/>
        <v>0.3146067416</v>
      </c>
      <c r="AB57" s="39">
        <f t="shared" si="6"/>
        <v>0.6516853933</v>
      </c>
    </row>
    <row r="58">
      <c r="A58" s="23" t="s">
        <v>137</v>
      </c>
      <c r="B58" s="30">
        <v>0.0</v>
      </c>
      <c r="C58" s="30">
        <v>2.0</v>
      </c>
      <c r="D58" s="30">
        <v>1.0</v>
      </c>
      <c r="E58" s="30">
        <v>1.0</v>
      </c>
      <c r="F58" s="30">
        <v>4.0</v>
      </c>
      <c r="G58" s="30">
        <v>0.0</v>
      </c>
      <c r="H58" s="29">
        <f t="shared" si="2"/>
        <v>8</v>
      </c>
      <c r="I58" s="30">
        <v>1.0</v>
      </c>
      <c r="J58" s="30">
        <v>9.0</v>
      </c>
      <c r="K58" s="30">
        <v>2.0</v>
      </c>
      <c r="L58" s="31">
        <f t="shared" si="3"/>
        <v>0.25</v>
      </c>
      <c r="M58" s="29">
        <v>90.0</v>
      </c>
      <c r="N58" s="30">
        <v>16.0</v>
      </c>
      <c r="O58" s="30">
        <v>14.0</v>
      </c>
      <c r="P58" s="30">
        <v>16.0</v>
      </c>
      <c r="Q58" s="30">
        <v>16.0</v>
      </c>
      <c r="R58" s="30">
        <v>16.0</v>
      </c>
      <c r="S58" s="40">
        <v>12.0</v>
      </c>
      <c r="T58" s="35">
        <f t="shared" ref="T58:Y58" si="63">B58/(IF(N58&gt;0,N58,1))</f>
        <v>0</v>
      </c>
      <c r="U58" s="36">
        <f t="shared" si="63"/>
        <v>0.1428571429</v>
      </c>
      <c r="V58" s="36">
        <f t="shared" si="63"/>
        <v>0.0625</v>
      </c>
      <c r="W58" s="36">
        <f t="shared" si="63"/>
        <v>0.0625</v>
      </c>
      <c r="X58" s="36">
        <f t="shared" si="63"/>
        <v>0.25</v>
      </c>
      <c r="Y58" s="37">
        <f t="shared" si="63"/>
        <v>0</v>
      </c>
      <c r="Z58" s="39">
        <f t="shared" si="12"/>
        <v>0.08888888889</v>
      </c>
      <c r="AA58" s="39">
        <f t="shared" si="9"/>
        <v>0.3111111111</v>
      </c>
      <c r="AB58" s="39">
        <f t="shared" si="6"/>
        <v>0.5333333333</v>
      </c>
    </row>
    <row r="59">
      <c r="A59" s="23" t="s">
        <v>138</v>
      </c>
      <c r="B59" s="30">
        <v>0.0</v>
      </c>
      <c r="C59" s="30">
        <v>0.0</v>
      </c>
      <c r="D59" s="30">
        <v>0.0</v>
      </c>
      <c r="E59" s="30">
        <v>3.0</v>
      </c>
      <c r="F59" s="30">
        <v>3.0</v>
      </c>
      <c r="G59" s="30">
        <v>1.0</v>
      </c>
      <c r="H59" s="29">
        <f t="shared" si="2"/>
        <v>7</v>
      </c>
      <c r="I59" s="30">
        <v>0.0</v>
      </c>
      <c r="J59" s="30">
        <v>1.0</v>
      </c>
      <c r="K59" s="30">
        <v>1.0</v>
      </c>
      <c r="L59" s="31">
        <f t="shared" si="3"/>
        <v>0.1428571429</v>
      </c>
      <c r="M59" s="29">
        <v>90.0</v>
      </c>
      <c r="N59" s="30">
        <v>16.0</v>
      </c>
      <c r="O59" s="30">
        <v>15.0</v>
      </c>
      <c r="P59" s="30">
        <v>16.0</v>
      </c>
      <c r="Q59" s="30">
        <v>16.0</v>
      </c>
      <c r="R59" s="30">
        <v>16.0</v>
      </c>
      <c r="S59" s="40">
        <v>11.0</v>
      </c>
      <c r="T59" s="35">
        <f t="shared" ref="T59:Y59" si="64">B59/(IF(N59&gt;0,N59,1))</f>
        <v>0</v>
      </c>
      <c r="U59" s="36">
        <f t="shared" si="64"/>
        <v>0</v>
      </c>
      <c r="V59" s="36">
        <f t="shared" si="64"/>
        <v>0</v>
      </c>
      <c r="W59" s="36">
        <f t="shared" si="64"/>
        <v>0.1875</v>
      </c>
      <c r="X59" s="36">
        <f t="shared" si="64"/>
        <v>0.1875</v>
      </c>
      <c r="Y59" s="37">
        <f t="shared" si="64"/>
        <v>0.09090909091</v>
      </c>
      <c r="Z59" s="39">
        <f t="shared" si="12"/>
        <v>0.07777777778</v>
      </c>
      <c r="AA59" s="39">
        <f t="shared" si="9"/>
        <v>0.3111111111</v>
      </c>
      <c r="AB59" s="39">
        <f t="shared" si="6"/>
        <v>0.4222222222</v>
      </c>
    </row>
    <row r="60">
      <c r="A60" s="23" t="s">
        <v>139</v>
      </c>
      <c r="B60" s="30">
        <v>0.0</v>
      </c>
      <c r="C60" s="30">
        <v>0.0</v>
      </c>
      <c r="D60" s="30">
        <v>1.0</v>
      </c>
      <c r="E60" s="30">
        <v>6.0</v>
      </c>
      <c r="F60" s="30">
        <v>0.0</v>
      </c>
      <c r="G60" s="30">
        <v>1.0</v>
      </c>
      <c r="H60" s="29">
        <f t="shared" si="2"/>
        <v>8</v>
      </c>
      <c r="I60" s="30">
        <v>1.0</v>
      </c>
      <c r="J60" s="30">
        <v>1.0</v>
      </c>
      <c r="K60" s="30">
        <v>1.0</v>
      </c>
      <c r="L60" s="31">
        <f t="shared" si="3"/>
        <v>0.125</v>
      </c>
      <c r="M60" s="29">
        <v>90.0</v>
      </c>
      <c r="N60" s="30">
        <v>15.0</v>
      </c>
      <c r="O60" s="30">
        <v>16.0</v>
      </c>
      <c r="P60" s="30">
        <v>16.0</v>
      </c>
      <c r="Q60" s="30">
        <v>15.0</v>
      </c>
      <c r="R60" s="30">
        <v>16.0</v>
      </c>
      <c r="S60" s="40">
        <v>12.0</v>
      </c>
      <c r="T60" s="35">
        <f t="shared" ref="T60:Y60" si="65">B60/(IF(N60&gt;0,N60,1))</f>
        <v>0</v>
      </c>
      <c r="U60" s="36">
        <f t="shared" si="65"/>
        <v>0</v>
      </c>
      <c r="V60" s="36">
        <f t="shared" si="65"/>
        <v>0.0625</v>
      </c>
      <c r="W60" s="36">
        <f t="shared" si="65"/>
        <v>0.4</v>
      </c>
      <c r="X60" s="36">
        <f t="shared" si="65"/>
        <v>0</v>
      </c>
      <c r="Y60" s="37">
        <f t="shared" si="65"/>
        <v>0.08333333333</v>
      </c>
      <c r="Z60" s="39">
        <f t="shared" si="12"/>
        <v>0.08888888889</v>
      </c>
      <c r="AA60" s="39">
        <f t="shared" si="9"/>
        <v>0.3111111111</v>
      </c>
      <c r="AB60" s="39">
        <f t="shared" si="6"/>
        <v>0.4222222222</v>
      </c>
    </row>
    <row r="61">
      <c r="A61" s="23" t="s">
        <v>140</v>
      </c>
      <c r="B61" s="30">
        <v>0.0</v>
      </c>
      <c r="C61" s="30">
        <v>0.0</v>
      </c>
      <c r="D61" s="30">
        <v>0.0</v>
      </c>
      <c r="E61" s="30">
        <v>3.0</v>
      </c>
      <c r="F61" s="30">
        <v>0.0</v>
      </c>
      <c r="G61" s="30">
        <v>2.0</v>
      </c>
      <c r="H61" s="29">
        <f t="shared" si="2"/>
        <v>5</v>
      </c>
      <c r="I61" s="30">
        <v>0.0</v>
      </c>
      <c r="J61" s="30">
        <v>7.0</v>
      </c>
      <c r="K61" s="30">
        <v>2.0</v>
      </c>
      <c r="L61" s="31">
        <f t="shared" si="3"/>
        <v>0.4</v>
      </c>
      <c r="M61" s="29">
        <v>67.0</v>
      </c>
      <c r="N61" s="30">
        <v>12.0</v>
      </c>
      <c r="O61" s="30">
        <v>10.0</v>
      </c>
      <c r="P61" s="30">
        <v>12.0</v>
      </c>
      <c r="Q61" s="30">
        <v>12.0</v>
      </c>
      <c r="R61" s="30">
        <v>12.0</v>
      </c>
      <c r="S61" s="51">
        <v>9.0</v>
      </c>
      <c r="T61" s="35">
        <f t="shared" ref="T61:Y61" si="66">B61/(IF(N61&gt;0,N61,1))</f>
        <v>0</v>
      </c>
      <c r="U61" s="36">
        <f t="shared" si="66"/>
        <v>0</v>
      </c>
      <c r="V61" s="36">
        <f t="shared" si="66"/>
        <v>0</v>
      </c>
      <c r="W61" s="36">
        <f t="shared" si="66"/>
        <v>0.25</v>
      </c>
      <c r="X61" s="36">
        <f t="shared" si="66"/>
        <v>0</v>
      </c>
      <c r="Y61" s="37">
        <f t="shared" si="66"/>
        <v>0.2222222222</v>
      </c>
      <c r="Z61" s="39">
        <f t="shared" si="12"/>
        <v>0.07462686567</v>
      </c>
      <c r="AA61" s="39">
        <f t="shared" si="9"/>
        <v>0.2985074627</v>
      </c>
      <c r="AB61" s="39">
        <f t="shared" si="6"/>
        <v>0.5970149254</v>
      </c>
    </row>
    <row r="62">
      <c r="A62" s="23" t="s">
        <v>141</v>
      </c>
      <c r="B62" s="30">
        <v>6.0</v>
      </c>
      <c r="C62" s="30">
        <v>0.0</v>
      </c>
      <c r="D62" s="30">
        <v>0.0</v>
      </c>
      <c r="E62" s="30">
        <v>0.0</v>
      </c>
      <c r="F62" s="30">
        <v>0.0</v>
      </c>
      <c r="G62" s="30">
        <v>1.0</v>
      </c>
      <c r="H62" s="29">
        <f t="shared" si="2"/>
        <v>7</v>
      </c>
      <c r="I62" s="30">
        <v>1.0</v>
      </c>
      <c r="J62" s="30">
        <v>8.0</v>
      </c>
      <c r="K62" s="30">
        <v>4.0</v>
      </c>
      <c r="L62" s="31">
        <f t="shared" si="3"/>
        <v>0.5714285714</v>
      </c>
      <c r="M62" s="29">
        <v>88.0</v>
      </c>
      <c r="N62" s="30">
        <v>16.0</v>
      </c>
      <c r="O62" s="30">
        <v>16.0</v>
      </c>
      <c r="P62" s="30">
        <v>15.0</v>
      </c>
      <c r="Q62" s="30">
        <v>15.0</v>
      </c>
      <c r="R62" s="30">
        <v>15.0</v>
      </c>
      <c r="S62" s="40">
        <v>11.0</v>
      </c>
      <c r="T62" s="35">
        <f t="shared" ref="T62:Y62" si="67">B62/(IF(N62&gt;0,N62,1))</f>
        <v>0.375</v>
      </c>
      <c r="U62" s="36">
        <f t="shared" si="67"/>
        <v>0</v>
      </c>
      <c r="V62" s="36">
        <f t="shared" si="67"/>
        <v>0</v>
      </c>
      <c r="W62" s="36">
        <f t="shared" si="67"/>
        <v>0</v>
      </c>
      <c r="X62" s="36">
        <f t="shared" si="67"/>
        <v>0</v>
      </c>
      <c r="Y62" s="37">
        <f t="shared" si="67"/>
        <v>0.09090909091</v>
      </c>
      <c r="Z62" s="39">
        <f t="shared" si="12"/>
        <v>0.07954545455</v>
      </c>
      <c r="AA62" s="39">
        <f t="shared" si="9"/>
        <v>0.2727272727</v>
      </c>
      <c r="AB62" s="39">
        <f t="shared" si="6"/>
        <v>0.7272727273</v>
      </c>
    </row>
    <row r="63">
      <c r="A63" s="23" t="s">
        <v>142</v>
      </c>
      <c r="B63" s="30">
        <v>0.0</v>
      </c>
      <c r="C63" s="30">
        <v>0.0</v>
      </c>
      <c r="D63" s="30">
        <v>0.0</v>
      </c>
      <c r="E63" s="30">
        <v>2.0</v>
      </c>
      <c r="F63" s="30">
        <v>1.0</v>
      </c>
      <c r="G63" s="30">
        <v>0.0</v>
      </c>
      <c r="H63" s="29">
        <f t="shared" si="2"/>
        <v>3</v>
      </c>
      <c r="I63" s="30">
        <v>0.0</v>
      </c>
      <c r="J63" s="30">
        <v>4.0</v>
      </c>
      <c r="K63" s="30">
        <v>0.0</v>
      </c>
      <c r="L63" s="31">
        <f t="shared" si="3"/>
        <v>0</v>
      </c>
      <c r="M63" s="29">
        <v>46.0</v>
      </c>
      <c r="N63" s="30">
        <v>8.0</v>
      </c>
      <c r="O63" s="30">
        <v>8.0</v>
      </c>
      <c r="P63" s="30">
        <v>8.0</v>
      </c>
      <c r="Q63" s="30">
        <v>8.0</v>
      </c>
      <c r="R63" s="30">
        <v>8.0</v>
      </c>
      <c r="S63" s="40">
        <v>6.0</v>
      </c>
      <c r="T63" s="35">
        <f t="shared" ref="T63:Y63" si="68">B63/(IF(N63&gt;0,N63,1))</f>
        <v>0</v>
      </c>
      <c r="U63" s="36">
        <f t="shared" si="68"/>
        <v>0</v>
      </c>
      <c r="V63" s="36">
        <f t="shared" si="68"/>
        <v>0</v>
      </c>
      <c r="W63" s="36">
        <f t="shared" si="68"/>
        <v>0.25</v>
      </c>
      <c r="X63" s="36">
        <f t="shared" si="68"/>
        <v>0.125</v>
      </c>
      <c r="Y63" s="37">
        <f t="shared" si="68"/>
        <v>0</v>
      </c>
      <c r="Z63" s="39">
        <f t="shared" si="12"/>
        <v>0.0652173913</v>
      </c>
      <c r="AA63" s="39">
        <f t="shared" si="9"/>
        <v>0.2608695652</v>
      </c>
      <c r="AB63" s="39">
        <f t="shared" si="6"/>
        <v>0.2608695652</v>
      </c>
    </row>
    <row r="64">
      <c r="A64" s="23" t="s">
        <v>143</v>
      </c>
      <c r="B64" s="30">
        <v>0.0</v>
      </c>
      <c r="C64" s="30">
        <v>0.0</v>
      </c>
      <c r="D64" s="30">
        <v>1.0</v>
      </c>
      <c r="E64" s="30">
        <v>0.0</v>
      </c>
      <c r="F64" s="30">
        <v>0.0</v>
      </c>
      <c r="G64" s="30">
        <v>2.0</v>
      </c>
      <c r="H64" s="29">
        <f t="shared" si="2"/>
        <v>3</v>
      </c>
      <c r="I64" s="30">
        <v>0.0</v>
      </c>
      <c r="J64" s="30">
        <v>5.0</v>
      </c>
      <c r="K64" s="30">
        <v>0.0</v>
      </c>
      <c r="L64" s="31">
        <f t="shared" si="3"/>
        <v>0</v>
      </c>
      <c r="M64" s="29">
        <v>46.0</v>
      </c>
      <c r="N64" s="30">
        <v>8.0</v>
      </c>
      <c r="O64" s="30">
        <v>8.0</v>
      </c>
      <c r="P64" s="30">
        <v>9.0</v>
      </c>
      <c r="Q64" s="30">
        <v>7.0</v>
      </c>
      <c r="R64" s="30">
        <v>8.0</v>
      </c>
      <c r="S64" s="40">
        <v>6.0</v>
      </c>
      <c r="T64" s="35">
        <f t="shared" ref="T64:Y64" si="69">B64/(IF(N64&gt;0,N64,1))</f>
        <v>0</v>
      </c>
      <c r="U64" s="36">
        <f t="shared" si="69"/>
        <v>0</v>
      </c>
      <c r="V64" s="36">
        <f t="shared" si="69"/>
        <v>0.1111111111</v>
      </c>
      <c r="W64" s="36">
        <f t="shared" si="69"/>
        <v>0</v>
      </c>
      <c r="X64" s="36">
        <f t="shared" si="69"/>
        <v>0</v>
      </c>
      <c r="Y64" s="37">
        <f t="shared" si="69"/>
        <v>0.3333333333</v>
      </c>
      <c r="Z64" s="39">
        <f t="shared" si="12"/>
        <v>0.0652173913</v>
      </c>
      <c r="AA64" s="39">
        <f t="shared" si="9"/>
        <v>0.2608695652</v>
      </c>
      <c r="AB64" s="39">
        <f t="shared" si="6"/>
        <v>0.2608695652</v>
      </c>
    </row>
    <row r="65">
      <c r="A65" s="23" t="s">
        <v>144</v>
      </c>
      <c r="B65" s="30">
        <v>0.0</v>
      </c>
      <c r="C65" s="30">
        <v>2.0</v>
      </c>
      <c r="D65" s="30">
        <v>0.0</v>
      </c>
      <c r="E65" s="30">
        <v>1.0</v>
      </c>
      <c r="F65" s="30">
        <v>0.0</v>
      </c>
      <c r="G65" s="30">
        <v>1.0</v>
      </c>
      <c r="H65" s="29">
        <f t="shared" si="2"/>
        <v>4</v>
      </c>
      <c r="I65" s="30">
        <v>0.0</v>
      </c>
      <c r="J65" s="30">
        <v>0.0</v>
      </c>
      <c r="K65" s="30">
        <v>2.0</v>
      </c>
      <c r="L65" s="31">
        <f t="shared" si="3"/>
        <v>0.5</v>
      </c>
      <c r="M65" s="29">
        <v>67.0</v>
      </c>
      <c r="N65" s="30">
        <v>11.0</v>
      </c>
      <c r="O65" s="30">
        <v>12.0</v>
      </c>
      <c r="P65" s="30">
        <v>13.0</v>
      </c>
      <c r="Q65" s="30">
        <v>11.0</v>
      </c>
      <c r="R65" s="30">
        <v>12.0</v>
      </c>
      <c r="S65" s="40">
        <v>8.0</v>
      </c>
      <c r="T65" s="35">
        <f t="shared" ref="T65:Y65" si="70">B65/(IF(N65&gt;0,N65,1))</f>
        <v>0</v>
      </c>
      <c r="U65" s="36">
        <f t="shared" si="70"/>
        <v>0.1666666667</v>
      </c>
      <c r="V65" s="36">
        <f t="shared" si="70"/>
        <v>0</v>
      </c>
      <c r="W65" s="36">
        <f t="shared" si="70"/>
        <v>0.09090909091</v>
      </c>
      <c r="X65" s="36">
        <f t="shared" si="70"/>
        <v>0</v>
      </c>
      <c r="Y65" s="37">
        <f t="shared" si="70"/>
        <v>0.125</v>
      </c>
      <c r="Z65" s="39">
        <f t="shared" si="12"/>
        <v>0.05970149254</v>
      </c>
      <c r="AA65" s="39">
        <f t="shared" si="9"/>
        <v>0.2388059701</v>
      </c>
      <c r="AB65" s="39">
        <f t="shared" si="6"/>
        <v>0.5373134328</v>
      </c>
    </row>
    <row r="66">
      <c r="A66" s="23" t="s">
        <v>145</v>
      </c>
      <c r="B66" s="30">
        <v>0.0</v>
      </c>
      <c r="C66" s="30">
        <v>1.0</v>
      </c>
      <c r="D66" s="30">
        <v>0.0</v>
      </c>
      <c r="E66" s="30">
        <v>0.0</v>
      </c>
      <c r="F66" s="30">
        <v>0.0</v>
      </c>
      <c r="G66" s="30">
        <v>3.0</v>
      </c>
      <c r="H66" s="29">
        <f t="shared" si="2"/>
        <v>4</v>
      </c>
      <c r="I66" s="30">
        <v>0.0</v>
      </c>
      <c r="J66" s="30">
        <v>4.0</v>
      </c>
      <c r="K66" s="30">
        <v>1.0</v>
      </c>
      <c r="L66" s="31">
        <f t="shared" si="3"/>
        <v>0.25</v>
      </c>
      <c r="M66" s="29">
        <v>67.0</v>
      </c>
      <c r="N66" s="30">
        <v>12.0</v>
      </c>
      <c r="O66" s="30">
        <v>11.0</v>
      </c>
      <c r="P66" s="30">
        <v>11.0</v>
      </c>
      <c r="Q66" s="30">
        <v>12.0</v>
      </c>
      <c r="R66" s="30">
        <v>12.0</v>
      </c>
      <c r="S66" s="40">
        <v>9.0</v>
      </c>
      <c r="T66" s="35">
        <f t="shared" ref="T66:Y66" si="71">B66/(IF(N66&gt;0,N66,1))</f>
        <v>0</v>
      </c>
      <c r="U66" s="36">
        <f t="shared" si="71"/>
        <v>0.09090909091</v>
      </c>
      <c r="V66" s="36">
        <f t="shared" si="71"/>
        <v>0</v>
      </c>
      <c r="W66" s="36">
        <f t="shared" si="71"/>
        <v>0</v>
      </c>
      <c r="X66" s="36">
        <f t="shared" si="71"/>
        <v>0</v>
      </c>
      <c r="Y66" s="37">
        <f t="shared" si="71"/>
        <v>0.3333333333</v>
      </c>
      <c r="Z66" s="39">
        <f t="shared" si="12"/>
        <v>0.05970149254</v>
      </c>
      <c r="AA66" s="39">
        <f t="shared" si="9"/>
        <v>0.2388059701</v>
      </c>
      <c r="AB66" s="39">
        <f t="shared" si="6"/>
        <v>0.3880597015</v>
      </c>
    </row>
    <row r="67">
      <c r="A67" s="8" t="s">
        <v>146</v>
      </c>
      <c r="B67" s="9">
        <v>0.0</v>
      </c>
      <c r="C67" s="9">
        <v>0.0</v>
      </c>
      <c r="D67" s="9">
        <v>0.0</v>
      </c>
      <c r="E67" s="9">
        <v>2.0</v>
      </c>
      <c r="F67" s="9">
        <v>5.0</v>
      </c>
      <c r="G67" s="9">
        <v>0.0</v>
      </c>
      <c r="H67" s="29">
        <f t="shared" si="2"/>
        <v>7</v>
      </c>
      <c r="I67" s="9">
        <v>1.0</v>
      </c>
      <c r="J67" s="9">
        <v>4.0</v>
      </c>
      <c r="K67" s="9">
        <v>2.0</v>
      </c>
      <c r="L67" s="31">
        <f t="shared" si="3"/>
        <v>0.2857142857</v>
      </c>
      <c r="M67" s="18">
        <v>102.0</v>
      </c>
      <c r="N67" s="9">
        <v>16.0</v>
      </c>
      <c r="O67" s="9">
        <v>18.0</v>
      </c>
      <c r="P67" s="9">
        <v>16.0</v>
      </c>
      <c r="Q67" s="9">
        <v>19.0</v>
      </c>
      <c r="R67" s="9">
        <v>18.0</v>
      </c>
      <c r="S67" s="50">
        <v>15.0</v>
      </c>
      <c r="T67" s="35">
        <f t="shared" ref="T67:Y67" si="72">B67/(IF(N67&gt;0,N67,1))</f>
        <v>0</v>
      </c>
      <c r="U67" s="36">
        <f t="shared" si="72"/>
        <v>0</v>
      </c>
      <c r="V67" s="36">
        <f t="shared" si="72"/>
        <v>0</v>
      </c>
      <c r="W67" s="36">
        <f t="shared" si="72"/>
        <v>0.1052631579</v>
      </c>
      <c r="X67" s="36">
        <f t="shared" si="72"/>
        <v>0.2777777778</v>
      </c>
      <c r="Y67" s="37">
        <f t="shared" si="72"/>
        <v>0</v>
      </c>
      <c r="Z67" s="39">
        <f t="shared" si="12"/>
        <v>0.06862745098</v>
      </c>
      <c r="AA67" s="39">
        <f t="shared" si="9"/>
        <v>0.2352941176</v>
      </c>
      <c r="AB67" s="39">
        <f t="shared" si="6"/>
        <v>0.431372549</v>
      </c>
    </row>
    <row r="68">
      <c r="A68" s="23" t="s">
        <v>147</v>
      </c>
      <c r="B68" s="25">
        <v>0.0</v>
      </c>
      <c r="C68" s="25">
        <v>0.0</v>
      </c>
      <c r="D68" s="26">
        <v>3.0</v>
      </c>
      <c r="E68" s="26">
        <v>0.0</v>
      </c>
      <c r="F68" s="26">
        <v>0.0</v>
      </c>
      <c r="G68" s="26">
        <v>1.0</v>
      </c>
      <c r="H68" s="29">
        <f t="shared" si="2"/>
        <v>4</v>
      </c>
      <c r="I68" s="30">
        <v>0.0</v>
      </c>
      <c r="J68" s="30">
        <v>3.0</v>
      </c>
      <c r="K68" s="30">
        <v>3.0</v>
      </c>
      <c r="L68" s="31">
        <f t="shared" si="3"/>
        <v>0.75</v>
      </c>
      <c r="M68" s="32">
        <v>69.0</v>
      </c>
      <c r="N68" s="26">
        <v>12.0</v>
      </c>
      <c r="O68" s="26">
        <v>12.0</v>
      </c>
      <c r="P68" s="26">
        <v>12.0</v>
      </c>
      <c r="Q68" s="26">
        <v>12.0</v>
      </c>
      <c r="R68" s="26">
        <v>12.0</v>
      </c>
      <c r="S68" s="33">
        <v>9.0</v>
      </c>
      <c r="T68" s="35">
        <f t="shared" ref="T68:Y68" si="73">B68/(IF(N68&gt;0,N68,1))</f>
        <v>0</v>
      </c>
      <c r="U68" s="36">
        <f t="shared" si="73"/>
        <v>0</v>
      </c>
      <c r="V68" s="36">
        <f t="shared" si="73"/>
        <v>0.25</v>
      </c>
      <c r="W68" s="36">
        <f t="shared" si="73"/>
        <v>0</v>
      </c>
      <c r="X68" s="36">
        <f t="shared" si="73"/>
        <v>0</v>
      </c>
      <c r="Y68" s="37">
        <f t="shared" si="73"/>
        <v>0.1111111111</v>
      </c>
      <c r="Z68" s="39">
        <f t="shared" si="12"/>
        <v>0.05797101449</v>
      </c>
      <c r="AA68" s="39">
        <f t="shared" si="9"/>
        <v>0.231884058</v>
      </c>
      <c r="AB68" s="39">
        <f t="shared" si="6"/>
        <v>0.6666666667</v>
      </c>
    </row>
    <row r="69">
      <c r="A69" s="23" t="s">
        <v>148</v>
      </c>
      <c r="B69" s="30">
        <v>0.0</v>
      </c>
      <c r="C69" s="30">
        <v>1.0</v>
      </c>
      <c r="D69" s="30">
        <v>0.0</v>
      </c>
      <c r="E69" s="30">
        <v>1.0</v>
      </c>
      <c r="F69" s="30">
        <v>4.0</v>
      </c>
      <c r="G69" s="30">
        <v>0.0</v>
      </c>
      <c r="H69" s="29">
        <f t="shared" si="2"/>
        <v>6</v>
      </c>
      <c r="I69" s="30">
        <v>1.0</v>
      </c>
      <c r="J69" s="30">
        <v>3.0</v>
      </c>
      <c r="K69" s="30">
        <v>4.0</v>
      </c>
      <c r="L69" s="31">
        <f t="shared" si="3"/>
        <v>0.6666666667</v>
      </c>
      <c r="M69" s="29">
        <v>87.0</v>
      </c>
      <c r="N69" s="30">
        <v>14.0</v>
      </c>
      <c r="O69" s="30">
        <v>15.0</v>
      </c>
      <c r="P69" s="30">
        <v>16.0</v>
      </c>
      <c r="Q69" s="30">
        <v>15.0</v>
      </c>
      <c r="R69" s="30">
        <v>15.0</v>
      </c>
      <c r="S69" s="40">
        <v>12.0</v>
      </c>
      <c r="T69" s="35">
        <f t="shared" ref="T69:Y69" si="74">B69/(IF(N69&gt;0,N69,1))</f>
        <v>0</v>
      </c>
      <c r="U69" s="36">
        <f t="shared" si="74"/>
        <v>0.06666666667</v>
      </c>
      <c r="V69" s="36">
        <f t="shared" si="74"/>
        <v>0</v>
      </c>
      <c r="W69" s="36">
        <f t="shared" si="74"/>
        <v>0.06666666667</v>
      </c>
      <c r="X69" s="36">
        <f t="shared" si="74"/>
        <v>0.2666666667</v>
      </c>
      <c r="Y69" s="37">
        <f t="shared" si="74"/>
        <v>0</v>
      </c>
      <c r="Z69" s="39">
        <f t="shared" si="12"/>
        <v>0.06896551724</v>
      </c>
      <c r="AA69" s="39">
        <f t="shared" si="9"/>
        <v>0.2298850575</v>
      </c>
      <c r="AB69" s="39">
        <f t="shared" si="6"/>
        <v>0.6896551724</v>
      </c>
    </row>
    <row r="70">
      <c r="A70" s="23" t="s">
        <v>149</v>
      </c>
      <c r="B70" s="30">
        <v>0.0</v>
      </c>
      <c r="C70" s="30">
        <v>0.0</v>
      </c>
      <c r="D70" s="30">
        <v>0.0</v>
      </c>
      <c r="E70" s="30">
        <v>1.0</v>
      </c>
      <c r="F70" s="30">
        <v>3.0</v>
      </c>
      <c r="G70" s="30">
        <v>1.0</v>
      </c>
      <c r="H70" s="29">
        <f t="shared" si="2"/>
        <v>5</v>
      </c>
      <c r="I70" s="30">
        <v>0.0</v>
      </c>
      <c r="J70" s="30">
        <v>4.0</v>
      </c>
      <c r="K70" s="30">
        <v>2.0</v>
      </c>
      <c r="L70" s="31">
        <f t="shared" si="3"/>
        <v>0.4</v>
      </c>
      <c r="M70" s="29">
        <v>88.0</v>
      </c>
      <c r="N70" s="30">
        <v>16.0</v>
      </c>
      <c r="O70" s="30">
        <v>16.0</v>
      </c>
      <c r="P70" s="30">
        <v>15.0</v>
      </c>
      <c r="Q70" s="30">
        <v>15.0</v>
      </c>
      <c r="R70" s="30">
        <v>15.0</v>
      </c>
      <c r="S70" s="40">
        <v>11.0</v>
      </c>
      <c r="T70" s="35">
        <f t="shared" ref="T70:Y70" si="75">B70/(IF(N70&gt;0,N70,1))</f>
        <v>0</v>
      </c>
      <c r="U70" s="36">
        <f t="shared" si="75"/>
        <v>0</v>
      </c>
      <c r="V70" s="36">
        <f t="shared" si="75"/>
        <v>0</v>
      </c>
      <c r="W70" s="36">
        <f t="shared" si="75"/>
        <v>0.06666666667</v>
      </c>
      <c r="X70" s="36">
        <f t="shared" si="75"/>
        <v>0.2</v>
      </c>
      <c r="Y70" s="37">
        <f t="shared" si="75"/>
        <v>0.09090909091</v>
      </c>
      <c r="Z70" s="39">
        <f t="shared" si="12"/>
        <v>0.05681818182</v>
      </c>
      <c r="AA70" s="39">
        <f t="shared" si="9"/>
        <v>0.2272727273</v>
      </c>
      <c r="AB70" s="39">
        <f t="shared" si="6"/>
        <v>0.4545454545</v>
      </c>
    </row>
    <row r="71">
      <c r="A71" s="23" t="s">
        <v>150</v>
      </c>
      <c r="B71" s="30">
        <v>0.0</v>
      </c>
      <c r="C71" s="30">
        <v>5.0</v>
      </c>
      <c r="D71" s="30">
        <v>0.0</v>
      </c>
      <c r="E71" s="30">
        <v>0.0</v>
      </c>
      <c r="F71" s="30">
        <v>0.0</v>
      </c>
      <c r="G71" s="30">
        <v>1.0</v>
      </c>
      <c r="H71" s="29">
        <f t="shared" si="2"/>
        <v>6</v>
      </c>
      <c r="I71" s="30">
        <v>1.0</v>
      </c>
      <c r="J71" s="30">
        <v>2.0</v>
      </c>
      <c r="K71" s="30">
        <v>5.0</v>
      </c>
      <c r="L71" s="31">
        <f t="shared" si="3"/>
        <v>0.8333333333</v>
      </c>
      <c r="M71" s="29">
        <v>91.0</v>
      </c>
      <c r="N71" s="30">
        <v>16.0</v>
      </c>
      <c r="O71" s="30">
        <v>16.0</v>
      </c>
      <c r="P71" s="30">
        <v>15.0</v>
      </c>
      <c r="Q71" s="30">
        <v>16.0</v>
      </c>
      <c r="R71" s="30">
        <v>16.0</v>
      </c>
      <c r="S71" s="40">
        <v>12.0</v>
      </c>
      <c r="T71" s="35">
        <f t="shared" ref="T71:Y71" si="76">B71/(IF(N71&gt;0,N71,1))</f>
        <v>0</v>
      </c>
      <c r="U71" s="36">
        <f t="shared" si="76"/>
        <v>0.3125</v>
      </c>
      <c r="V71" s="36">
        <f t="shared" si="76"/>
        <v>0</v>
      </c>
      <c r="W71" s="36">
        <f t="shared" si="76"/>
        <v>0</v>
      </c>
      <c r="X71" s="36">
        <f t="shared" si="76"/>
        <v>0</v>
      </c>
      <c r="Y71" s="37">
        <f t="shared" si="76"/>
        <v>0.08333333333</v>
      </c>
      <c r="Z71" s="39">
        <f t="shared" si="12"/>
        <v>0.06593406593</v>
      </c>
      <c r="AA71" s="39">
        <f t="shared" si="9"/>
        <v>0.2197802198</v>
      </c>
      <c r="AB71" s="39">
        <f t="shared" si="6"/>
        <v>0.7692307692</v>
      </c>
    </row>
    <row r="72">
      <c r="A72" s="23" t="s">
        <v>151</v>
      </c>
      <c r="B72" s="30">
        <v>4.0</v>
      </c>
      <c r="C72" s="30">
        <v>0.0</v>
      </c>
      <c r="D72" s="30">
        <v>1.0</v>
      </c>
      <c r="E72" s="30">
        <v>0.0</v>
      </c>
      <c r="F72" s="30">
        <v>0.0</v>
      </c>
      <c r="G72" s="30">
        <v>0.0</v>
      </c>
      <c r="H72" s="29">
        <f t="shared" si="2"/>
        <v>5</v>
      </c>
      <c r="I72" s="30">
        <v>0.0</v>
      </c>
      <c r="J72" s="30">
        <v>1.0</v>
      </c>
      <c r="K72" s="30">
        <v>2.0</v>
      </c>
      <c r="L72" s="31">
        <f t="shared" si="3"/>
        <v>0.4</v>
      </c>
      <c r="M72" s="29">
        <v>91.0</v>
      </c>
      <c r="N72" s="30">
        <v>16.0</v>
      </c>
      <c r="O72" s="30">
        <v>16.0</v>
      </c>
      <c r="P72" s="30">
        <v>15.0</v>
      </c>
      <c r="Q72" s="30">
        <v>16.0</v>
      </c>
      <c r="R72" s="30">
        <v>16.0</v>
      </c>
      <c r="S72" s="51">
        <v>12.0</v>
      </c>
      <c r="T72" s="35">
        <f t="shared" ref="T72:Y72" si="77">B72/(IF(N72&gt;0,N72,1))</f>
        <v>0.25</v>
      </c>
      <c r="U72" s="36">
        <f t="shared" si="77"/>
        <v>0</v>
      </c>
      <c r="V72" s="36">
        <f t="shared" si="77"/>
        <v>0.06666666667</v>
      </c>
      <c r="W72" s="36">
        <f t="shared" si="77"/>
        <v>0</v>
      </c>
      <c r="X72" s="36">
        <f t="shared" si="77"/>
        <v>0</v>
      </c>
      <c r="Y72" s="37">
        <f t="shared" si="77"/>
        <v>0</v>
      </c>
      <c r="Z72" s="39">
        <f t="shared" si="12"/>
        <v>0.05494505495</v>
      </c>
      <c r="AA72" s="39">
        <f t="shared" si="9"/>
        <v>0.2197802198</v>
      </c>
      <c r="AB72" s="39">
        <f t="shared" si="6"/>
        <v>0.4395604396</v>
      </c>
    </row>
    <row r="73">
      <c r="A73" s="23" t="s">
        <v>152</v>
      </c>
      <c r="B73" s="30">
        <v>0.0</v>
      </c>
      <c r="C73" s="30">
        <v>1.0</v>
      </c>
      <c r="D73" s="30">
        <v>0.0</v>
      </c>
      <c r="E73" s="30">
        <v>1.0</v>
      </c>
      <c r="F73" s="30">
        <v>0.0</v>
      </c>
      <c r="G73" s="30">
        <v>3.0</v>
      </c>
      <c r="H73" s="29">
        <f t="shared" si="2"/>
        <v>5</v>
      </c>
      <c r="I73" s="30">
        <v>0.0</v>
      </c>
      <c r="J73" s="30">
        <v>14.0</v>
      </c>
      <c r="K73" s="30">
        <v>2.0</v>
      </c>
      <c r="L73" s="31">
        <f t="shared" si="3"/>
        <v>0.4</v>
      </c>
      <c r="M73" s="29">
        <v>92.0</v>
      </c>
      <c r="N73" s="30">
        <v>16.0</v>
      </c>
      <c r="O73" s="30">
        <v>16.0</v>
      </c>
      <c r="P73" s="30">
        <v>16.0</v>
      </c>
      <c r="Q73" s="30">
        <v>16.0</v>
      </c>
      <c r="R73" s="30">
        <v>16.0</v>
      </c>
      <c r="S73" s="51">
        <v>12.0</v>
      </c>
      <c r="T73" s="35">
        <f t="shared" ref="T73:Y73" si="78">B73/(IF(N73&gt;0,N73,1))</f>
        <v>0</v>
      </c>
      <c r="U73" s="36">
        <f t="shared" si="78"/>
        <v>0.0625</v>
      </c>
      <c r="V73" s="36">
        <f t="shared" si="78"/>
        <v>0</v>
      </c>
      <c r="W73" s="36">
        <f t="shared" si="78"/>
        <v>0.0625</v>
      </c>
      <c r="X73" s="36">
        <f t="shared" si="78"/>
        <v>0</v>
      </c>
      <c r="Y73" s="37">
        <f t="shared" si="78"/>
        <v>0.25</v>
      </c>
      <c r="Z73" s="39">
        <f t="shared" si="12"/>
        <v>0.05434782609</v>
      </c>
      <c r="AA73" s="39">
        <f t="shared" si="9"/>
        <v>0.2173913043</v>
      </c>
      <c r="AB73" s="39">
        <f t="shared" si="6"/>
        <v>0.4347826087</v>
      </c>
    </row>
    <row r="74">
      <c r="A74" s="23" t="s">
        <v>153</v>
      </c>
      <c r="B74" s="30">
        <v>0.0</v>
      </c>
      <c r="C74" s="30">
        <v>0.0</v>
      </c>
      <c r="D74" s="30">
        <v>5.0</v>
      </c>
      <c r="E74" s="30">
        <v>0.0</v>
      </c>
      <c r="F74" s="30">
        <v>0.0</v>
      </c>
      <c r="G74" s="30">
        <v>0.0</v>
      </c>
      <c r="H74" s="29">
        <f t="shared" si="2"/>
        <v>5</v>
      </c>
      <c r="I74" s="30">
        <v>0.0</v>
      </c>
      <c r="J74" s="30">
        <v>1.0</v>
      </c>
      <c r="K74" s="30">
        <v>3.0</v>
      </c>
      <c r="L74" s="31">
        <f t="shared" si="3"/>
        <v>0.6</v>
      </c>
      <c r="M74" s="29">
        <v>92.0</v>
      </c>
      <c r="N74" s="30">
        <v>16.0</v>
      </c>
      <c r="O74" s="30">
        <v>16.0</v>
      </c>
      <c r="P74" s="30">
        <v>16.0</v>
      </c>
      <c r="Q74" s="30">
        <v>16.0</v>
      </c>
      <c r="R74" s="30">
        <v>16.0</v>
      </c>
      <c r="S74" s="40">
        <v>12.0</v>
      </c>
      <c r="T74" s="35">
        <f t="shared" ref="T74:Y74" si="79">B74/(IF(N74&gt;0,N74,1))</f>
        <v>0</v>
      </c>
      <c r="U74" s="36">
        <f t="shared" si="79"/>
        <v>0</v>
      </c>
      <c r="V74" s="36">
        <f t="shared" si="79"/>
        <v>0.3125</v>
      </c>
      <c r="W74" s="36">
        <f t="shared" si="79"/>
        <v>0</v>
      </c>
      <c r="X74" s="36">
        <f t="shared" si="79"/>
        <v>0</v>
      </c>
      <c r="Y74" s="37">
        <f t="shared" si="79"/>
        <v>0</v>
      </c>
      <c r="Z74" s="39">
        <f t="shared" si="12"/>
        <v>0.05434782609</v>
      </c>
      <c r="AA74" s="39">
        <f t="shared" si="9"/>
        <v>0.2173913043</v>
      </c>
      <c r="AB74" s="39">
        <f t="shared" si="6"/>
        <v>0.5434782609</v>
      </c>
    </row>
    <row r="75">
      <c r="A75" s="8" t="s">
        <v>154</v>
      </c>
      <c r="B75" s="9">
        <v>0.0</v>
      </c>
      <c r="C75" s="9">
        <v>0.0</v>
      </c>
      <c r="D75" s="9">
        <v>0.0</v>
      </c>
      <c r="E75" s="9">
        <v>5.0</v>
      </c>
      <c r="F75" s="9">
        <v>0.0</v>
      </c>
      <c r="G75" s="9">
        <v>0.0</v>
      </c>
      <c r="H75" s="29">
        <f t="shared" si="2"/>
        <v>5</v>
      </c>
      <c r="I75" s="9">
        <v>0.0</v>
      </c>
      <c r="J75" s="9">
        <v>5.0</v>
      </c>
      <c r="K75" s="9">
        <v>2.0</v>
      </c>
      <c r="L75" s="31">
        <f t="shared" si="3"/>
        <v>0.4</v>
      </c>
      <c r="M75" s="18">
        <v>98.0</v>
      </c>
      <c r="N75" s="9">
        <v>15.0</v>
      </c>
      <c r="O75" s="9">
        <v>17.0</v>
      </c>
      <c r="P75" s="9">
        <v>16.0</v>
      </c>
      <c r="Q75" s="9">
        <v>19.0</v>
      </c>
      <c r="R75" s="9">
        <v>18.0</v>
      </c>
      <c r="S75" s="50">
        <v>13.0</v>
      </c>
      <c r="T75" s="35">
        <f t="shared" ref="T75:Y75" si="80">B75/(IF(N75&gt;0,N75,1))</f>
        <v>0</v>
      </c>
      <c r="U75" s="36">
        <f t="shared" si="80"/>
        <v>0</v>
      </c>
      <c r="V75" s="36">
        <f t="shared" si="80"/>
        <v>0</v>
      </c>
      <c r="W75" s="36">
        <f t="shared" si="80"/>
        <v>0.2631578947</v>
      </c>
      <c r="X75" s="36">
        <f t="shared" si="80"/>
        <v>0</v>
      </c>
      <c r="Y75" s="37">
        <f t="shared" si="80"/>
        <v>0</v>
      </c>
      <c r="Z75" s="39">
        <f t="shared" si="12"/>
        <v>0.05102040816</v>
      </c>
      <c r="AA75" s="39">
        <f t="shared" si="9"/>
        <v>0.2040816327</v>
      </c>
      <c r="AB75" s="39">
        <f t="shared" si="6"/>
        <v>0.4081632653</v>
      </c>
    </row>
    <row r="76">
      <c r="A76" s="8" t="s">
        <v>155</v>
      </c>
      <c r="B76" s="9">
        <v>1.0</v>
      </c>
      <c r="C76" s="9">
        <v>1.0</v>
      </c>
      <c r="D76" s="9">
        <v>1.0</v>
      </c>
      <c r="E76" s="9">
        <v>0.0</v>
      </c>
      <c r="F76" s="9">
        <v>0.0</v>
      </c>
      <c r="G76" s="9">
        <v>3.0</v>
      </c>
      <c r="H76" s="29">
        <f t="shared" si="2"/>
        <v>6</v>
      </c>
      <c r="I76" s="9">
        <v>1.0</v>
      </c>
      <c r="J76" s="9">
        <v>18.0</v>
      </c>
      <c r="K76" s="9">
        <v>1.0</v>
      </c>
      <c r="L76" s="31">
        <f t="shared" si="3"/>
        <v>0.1666666667</v>
      </c>
      <c r="M76" s="18">
        <v>102.0</v>
      </c>
      <c r="N76" s="9">
        <v>16.0</v>
      </c>
      <c r="O76" s="9">
        <v>18.0</v>
      </c>
      <c r="P76" s="9">
        <v>16.0</v>
      </c>
      <c r="Q76" s="9">
        <v>19.0</v>
      </c>
      <c r="R76" s="9">
        <v>18.0</v>
      </c>
      <c r="S76" s="50">
        <v>15.0</v>
      </c>
      <c r="T76" s="35">
        <f t="shared" ref="T76:Y76" si="81">B76/(IF(N76&gt;0,N76,1))</f>
        <v>0.0625</v>
      </c>
      <c r="U76" s="36">
        <f t="shared" si="81"/>
        <v>0.05555555556</v>
      </c>
      <c r="V76" s="36">
        <f t="shared" si="81"/>
        <v>0.0625</v>
      </c>
      <c r="W76" s="36">
        <f t="shared" si="81"/>
        <v>0</v>
      </c>
      <c r="X76" s="36">
        <f t="shared" si="81"/>
        <v>0</v>
      </c>
      <c r="Y76" s="37">
        <f t="shared" si="81"/>
        <v>0.2</v>
      </c>
      <c r="Z76" s="39">
        <f t="shared" si="12"/>
        <v>0.05882352941</v>
      </c>
      <c r="AA76" s="39">
        <f t="shared" si="9"/>
        <v>0.1960784314</v>
      </c>
      <c r="AB76" s="39">
        <f t="shared" si="6"/>
        <v>0.2941176471</v>
      </c>
    </row>
    <row r="77">
      <c r="A77" s="23" t="s">
        <v>156</v>
      </c>
      <c r="B77" s="30">
        <v>0.0</v>
      </c>
      <c r="C77" s="30">
        <v>1.0</v>
      </c>
      <c r="D77" s="30">
        <v>0.0</v>
      </c>
      <c r="E77" s="30">
        <v>0.0</v>
      </c>
      <c r="F77" s="30">
        <v>2.0</v>
      </c>
      <c r="G77" s="30">
        <v>0.0</v>
      </c>
      <c r="H77" s="29">
        <f t="shared" si="2"/>
        <v>3</v>
      </c>
      <c r="I77" s="30">
        <v>0.0</v>
      </c>
      <c r="J77" s="30">
        <v>2.0</v>
      </c>
      <c r="K77" s="30">
        <v>2.0</v>
      </c>
      <c r="L77" s="31">
        <f t="shared" si="3"/>
        <v>0.6666666667</v>
      </c>
      <c r="M77" s="29">
        <v>62.0</v>
      </c>
      <c r="N77" s="30">
        <v>12.0</v>
      </c>
      <c r="O77" s="30">
        <v>10.0</v>
      </c>
      <c r="P77" s="30">
        <v>12.0</v>
      </c>
      <c r="Q77" s="30">
        <v>10.0</v>
      </c>
      <c r="R77" s="30">
        <v>10.0</v>
      </c>
      <c r="S77" s="40">
        <v>8.0</v>
      </c>
      <c r="T77" s="35">
        <f t="shared" ref="T77:Y77" si="82">B77/(IF(N77&gt;0,N77,1))</f>
        <v>0</v>
      </c>
      <c r="U77" s="36">
        <f t="shared" si="82"/>
        <v>0.1</v>
      </c>
      <c r="V77" s="36">
        <f t="shared" si="82"/>
        <v>0</v>
      </c>
      <c r="W77" s="36">
        <f t="shared" si="82"/>
        <v>0</v>
      </c>
      <c r="X77" s="36">
        <f t="shared" si="82"/>
        <v>0.2</v>
      </c>
      <c r="Y77" s="37">
        <f t="shared" si="82"/>
        <v>0</v>
      </c>
      <c r="Z77" s="39">
        <f t="shared" si="12"/>
        <v>0.04838709677</v>
      </c>
      <c r="AA77" s="39">
        <f t="shared" si="9"/>
        <v>0.1935483871</v>
      </c>
      <c r="AB77" s="39">
        <f t="shared" si="6"/>
        <v>0.5161290323</v>
      </c>
    </row>
    <row r="78">
      <c r="A78" s="23" t="s">
        <v>157</v>
      </c>
      <c r="B78" s="30">
        <v>0.0</v>
      </c>
      <c r="C78" s="30">
        <v>2.0</v>
      </c>
      <c r="D78" s="30">
        <v>0.0</v>
      </c>
      <c r="E78" s="30">
        <v>1.0</v>
      </c>
      <c r="F78" s="30">
        <v>1.0</v>
      </c>
      <c r="G78" s="30">
        <v>0.0</v>
      </c>
      <c r="H78" s="29">
        <f t="shared" si="2"/>
        <v>4</v>
      </c>
      <c r="I78" s="30">
        <v>0.0</v>
      </c>
      <c r="J78" s="30">
        <v>6.0</v>
      </c>
      <c r="K78" s="30">
        <v>0.0</v>
      </c>
      <c r="L78" s="31">
        <f t="shared" si="3"/>
        <v>0</v>
      </c>
      <c r="M78" s="29">
        <v>84.0</v>
      </c>
      <c r="N78" s="30">
        <v>15.0</v>
      </c>
      <c r="O78" s="30">
        <v>13.0</v>
      </c>
      <c r="P78" s="30">
        <v>16.0</v>
      </c>
      <c r="Q78" s="30">
        <v>15.0</v>
      </c>
      <c r="R78" s="30">
        <v>14.0</v>
      </c>
      <c r="S78" s="40">
        <v>11.0</v>
      </c>
      <c r="T78" s="35">
        <f t="shared" ref="T78:Y78" si="83">B78/(IF(N78&gt;0,N78,1))</f>
        <v>0</v>
      </c>
      <c r="U78" s="36">
        <f t="shared" si="83"/>
        <v>0.1538461538</v>
      </c>
      <c r="V78" s="36">
        <f t="shared" si="83"/>
        <v>0</v>
      </c>
      <c r="W78" s="36">
        <f t="shared" si="83"/>
        <v>0.06666666667</v>
      </c>
      <c r="X78" s="36">
        <f t="shared" si="83"/>
        <v>0.07142857143</v>
      </c>
      <c r="Y78" s="37">
        <f t="shared" si="83"/>
        <v>0</v>
      </c>
      <c r="Z78" s="39">
        <f t="shared" si="12"/>
        <v>0.04761904762</v>
      </c>
      <c r="AA78" s="39">
        <f t="shared" si="9"/>
        <v>0.1904761905</v>
      </c>
      <c r="AB78" s="39">
        <f t="shared" si="6"/>
        <v>0.1904761905</v>
      </c>
    </row>
    <row r="79">
      <c r="A79" s="23" t="s">
        <v>158</v>
      </c>
      <c r="B79" s="30">
        <v>0.0</v>
      </c>
      <c r="C79" s="30">
        <v>0.0</v>
      </c>
      <c r="D79" s="30">
        <v>0.0</v>
      </c>
      <c r="E79" s="30">
        <v>1.0</v>
      </c>
      <c r="F79" s="30">
        <v>2.0</v>
      </c>
      <c r="G79" s="30">
        <v>0.0</v>
      </c>
      <c r="H79" s="29">
        <f t="shared" si="2"/>
        <v>3</v>
      </c>
      <c r="I79" s="30">
        <v>0.0</v>
      </c>
      <c r="J79" s="30">
        <v>1.0</v>
      </c>
      <c r="K79" s="30">
        <v>2.0</v>
      </c>
      <c r="L79" s="31">
        <f t="shared" si="3"/>
        <v>0.6666666667</v>
      </c>
      <c r="M79" s="29">
        <v>65.0</v>
      </c>
      <c r="N79" s="30">
        <v>12.0</v>
      </c>
      <c r="O79" s="30">
        <v>12.0</v>
      </c>
      <c r="P79" s="30">
        <v>11.0</v>
      </c>
      <c r="Q79" s="30">
        <v>11.0</v>
      </c>
      <c r="R79" s="30">
        <v>11.0</v>
      </c>
      <c r="S79" s="40">
        <v>8.0</v>
      </c>
      <c r="T79" s="35">
        <f t="shared" ref="T79:Y79" si="84">B79/(IF(N79&gt;0,N79,1))</f>
        <v>0</v>
      </c>
      <c r="U79" s="36">
        <f t="shared" si="84"/>
        <v>0</v>
      </c>
      <c r="V79" s="36">
        <f t="shared" si="84"/>
        <v>0</v>
      </c>
      <c r="W79" s="36">
        <f t="shared" si="84"/>
        <v>0.09090909091</v>
      </c>
      <c r="X79" s="36">
        <f t="shared" si="84"/>
        <v>0.1818181818</v>
      </c>
      <c r="Y79" s="37">
        <f t="shared" si="84"/>
        <v>0</v>
      </c>
      <c r="Z79" s="39">
        <f t="shared" si="12"/>
        <v>0.04615384615</v>
      </c>
      <c r="AA79" s="39">
        <f t="shared" si="9"/>
        <v>0.1846153846</v>
      </c>
      <c r="AB79" s="39">
        <f t="shared" si="6"/>
        <v>0.4923076923</v>
      </c>
    </row>
    <row r="80">
      <c r="A80" s="23" t="s">
        <v>159</v>
      </c>
      <c r="B80" s="30">
        <v>0.0</v>
      </c>
      <c r="C80" s="30">
        <v>0.0</v>
      </c>
      <c r="D80" s="30">
        <v>0.0</v>
      </c>
      <c r="E80" s="30">
        <v>0.0</v>
      </c>
      <c r="F80" s="30">
        <v>0.0</v>
      </c>
      <c r="G80" s="30">
        <v>1.0</v>
      </c>
      <c r="H80" s="29">
        <f t="shared" si="2"/>
        <v>1</v>
      </c>
      <c r="I80" s="30">
        <v>0.0</v>
      </c>
      <c r="J80" s="30">
        <v>0.0</v>
      </c>
      <c r="K80" s="30">
        <v>0.0</v>
      </c>
      <c r="L80" s="31">
        <f t="shared" si="3"/>
        <v>0</v>
      </c>
      <c r="M80" s="29">
        <v>22.0</v>
      </c>
      <c r="N80" s="30">
        <v>4.0</v>
      </c>
      <c r="O80" s="30">
        <v>4.0</v>
      </c>
      <c r="P80" s="30">
        <v>3.0</v>
      </c>
      <c r="Q80" s="30">
        <v>4.0</v>
      </c>
      <c r="R80" s="30">
        <v>4.0</v>
      </c>
      <c r="S80" s="40">
        <v>3.0</v>
      </c>
      <c r="T80" s="35">
        <f t="shared" ref="T80:Y80" si="85">B80/(IF(N80&gt;0,N80,1))</f>
        <v>0</v>
      </c>
      <c r="U80" s="36">
        <f t="shared" si="85"/>
        <v>0</v>
      </c>
      <c r="V80" s="36">
        <f t="shared" si="85"/>
        <v>0</v>
      </c>
      <c r="W80" s="36">
        <f t="shared" si="85"/>
        <v>0</v>
      </c>
      <c r="X80" s="36">
        <f t="shared" si="85"/>
        <v>0</v>
      </c>
      <c r="Y80" s="37">
        <f t="shared" si="85"/>
        <v>0.3333333333</v>
      </c>
      <c r="Z80" s="39">
        <f t="shared" si="12"/>
        <v>0.04545454545</v>
      </c>
      <c r="AA80" s="39">
        <f t="shared" si="9"/>
        <v>0.1818181818</v>
      </c>
      <c r="AB80" s="39">
        <f t="shared" si="6"/>
        <v>0.1818181818</v>
      </c>
    </row>
    <row r="81">
      <c r="A81" s="23" t="s">
        <v>160</v>
      </c>
      <c r="B81" s="30">
        <v>1.0</v>
      </c>
      <c r="C81" s="30">
        <v>0.0</v>
      </c>
      <c r="D81" s="30">
        <v>0.0</v>
      </c>
      <c r="E81" s="30">
        <v>0.0</v>
      </c>
      <c r="F81" s="30">
        <v>0.0</v>
      </c>
      <c r="G81" s="30">
        <v>0.0</v>
      </c>
      <c r="H81" s="29">
        <f t="shared" si="2"/>
        <v>1</v>
      </c>
      <c r="I81" s="30">
        <v>0.0</v>
      </c>
      <c r="J81" s="30">
        <v>0.0</v>
      </c>
      <c r="K81" s="30">
        <v>0.0</v>
      </c>
      <c r="L81" s="31">
        <f t="shared" si="3"/>
        <v>0</v>
      </c>
      <c r="M81" s="29">
        <v>22.0</v>
      </c>
      <c r="N81" s="30">
        <v>4.0</v>
      </c>
      <c r="O81" s="30">
        <v>3.0</v>
      </c>
      <c r="P81" s="30">
        <v>4.0</v>
      </c>
      <c r="Q81" s="30">
        <v>4.0</v>
      </c>
      <c r="R81" s="30">
        <v>4.0</v>
      </c>
      <c r="S81" s="40">
        <v>3.0</v>
      </c>
      <c r="T81" s="35">
        <f t="shared" ref="T81:Y81" si="86">B81/(IF(N81&gt;0,N81,1))</f>
        <v>0.25</v>
      </c>
      <c r="U81" s="36">
        <f t="shared" si="86"/>
        <v>0</v>
      </c>
      <c r="V81" s="36">
        <f t="shared" si="86"/>
        <v>0</v>
      </c>
      <c r="W81" s="36">
        <f t="shared" si="86"/>
        <v>0</v>
      </c>
      <c r="X81" s="36">
        <f t="shared" si="86"/>
        <v>0</v>
      </c>
      <c r="Y81" s="37">
        <f t="shared" si="86"/>
        <v>0</v>
      </c>
      <c r="Z81" s="39">
        <f t="shared" si="12"/>
        <v>0.04545454545</v>
      </c>
      <c r="AA81" s="39">
        <f t="shared" si="9"/>
        <v>0.1818181818</v>
      </c>
      <c r="AB81" s="39">
        <f t="shared" si="6"/>
        <v>0.1818181818</v>
      </c>
    </row>
    <row r="82">
      <c r="A82" s="23" t="s">
        <v>161</v>
      </c>
      <c r="B82" s="30">
        <v>1.0</v>
      </c>
      <c r="C82" s="30">
        <v>0.0</v>
      </c>
      <c r="D82" s="30">
        <v>0.0</v>
      </c>
      <c r="E82" s="30">
        <v>0.0</v>
      </c>
      <c r="F82" s="30">
        <v>2.0</v>
      </c>
      <c r="G82" s="30">
        <v>2.0</v>
      </c>
      <c r="H82" s="29">
        <f t="shared" si="2"/>
        <v>5</v>
      </c>
      <c r="I82" s="30">
        <v>1.0</v>
      </c>
      <c r="J82" s="30">
        <v>15.0</v>
      </c>
      <c r="K82" s="30">
        <v>2.0</v>
      </c>
      <c r="L82" s="31">
        <f t="shared" si="3"/>
        <v>0.4</v>
      </c>
      <c r="M82" s="29">
        <v>90.0</v>
      </c>
      <c r="N82" s="30">
        <v>16.0</v>
      </c>
      <c r="O82" s="30">
        <v>14.0</v>
      </c>
      <c r="P82" s="30">
        <v>16.0</v>
      </c>
      <c r="Q82" s="30">
        <v>16.0</v>
      </c>
      <c r="R82" s="30">
        <v>16.0</v>
      </c>
      <c r="S82" s="40">
        <v>12.0</v>
      </c>
      <c r="T82" s="35">
        <f t="shared" ref="T82:Y82" si="87">B82/(IF(N82&gt;0,N82,1))</f>
        <v>0.0625</v>
      </c>
      <c r="U82" s="36">
        <f t="shared" si="87"/>
        <v>0</v>
      </c>
      <c r="V82" s="36">
        <f t="shared" si="87"/>
        <v>0</v>
      </c>
      <c r="W82" s="36">
        <f t="shared" si="87"/>
        <v>0</v>
      </c>
      <c r="X82" s="36">
        <f t="shared" si="87"/>
        <v>0.125</v>
      </c>
      <c r="Y82" s="37">
        <f t="shared" si="87"/>
        <v>0.1666666667</v>
      </c>
      <c r="Z82" s="39">
        <f t="shared" si="12"/>
        <v>0.05555555556</v>
      </c>
      <c r="AA82" s="39">
        <f t="shared" si="9"/>
        <v>0.1777777778</v>
      </c>
      <c r="AB82" s="39">
        <f t="shared" si="6"/>
        <v>0.4</v>
      </c>
    </row>
    <row r="83">
      <c r="A83" s="23" t="s">
        <v>162</v>
      </c>
      <c r="B83" s="30">
        <v>0.0</v>
      </c>
      <c r="C83" s="30">
        <v>0.0</v>
      </c>
      <c r="D83" s="30">
        <v>2.0</v>
      </c>
      <c r="E83" s="30">
        <v>0.0</v>
      </c>
      <c r="F83" s="30">
        <v>2.0</v>
      </c>
      <c r="G83" s="30">
        <v>0.0</v>
      </c>
      <c r="H83" s="29">
        <f t="shared" si="2"/>
        <v>4</v>
      </c>
      <c r="I83" s="30">
        <v>0.0</v>
      </c>
      <c r="J83" s="30">
        <v>3.0</v>
      </c>
      <c r="K83" s="30">
        <v>2.0</v>
      </c>
      <c r="L83" s="31">
        <f t="shared" si="3"/>
        <v>0.5</v>
      </c>
      <c r="M83" s="29">
        <v>90.0</v>
      </c>
      <c r="N83" s="30">
        <v>16.0</v>
      </c>
      <c r="O83" s="30">
        <v>14.0</v>
      </c>
      <c r="P83" s="30">
        <v>16.0</v>
      </c>
      <c r="Q83" s="30">
        <v>16.0</v>
      </c>
      <c r="R83" s="30">
        <v>16.0</v>
      </c>
      <c r="S83" s="40">
        <v>12.0</v>
      </c>
      <c r="T83" s="35">
        <f t="shared" ref="T83:Y83" si="88">B83/(IF(N83&gt;0,N83,1))</f>
        <v>0</v>
      </c>
      <c r="U83" s="36">
        <f t="shared" si="88"/>
        <v>0</v>
      </c>
      <c r="V83" s="36">
        <f t="shared" si="88"/>
        <v>0.125</v>
      </c>
      <c r="W83" s="36">
        <f t="shared" si="88"/>
        <v>0</v>
      </c>
      <c r="X83" s="36">
        <f t="shared" si="88"/>
        <v>0.125</v>
      </c>
      <c r="Y83" s="37">
        <f t="shared" si="88"/>
        <v>0</v>
      </c>
      <c r="Z83" s="39">
        <f t="shared" si="12"/>
        <v>0.04444444444</v>
      </c>
      <c r="AA83" s="39">
        <f t="shared" si="9"/>
        <v>0.1777777778</v>
      </c>
      <c r="AB83" s="39">
        <f t="shared" si="6"/>
        <v>0.4</v>
      </c>
    </row>
    <row r="84">
      <c r="A84" s="23" t="s">
        <v>163</v>
      </c>
      <c r="B84" s="30">
        <v>4.0</v>
      </c>
      <c r="C84" s="30">
        <v>0.0</v>
      </c>
      <c r="D84" s="30">
        <v>0.0</v>
      </c>
      <c r="E84" s="30">
        <v>0.0</v>
      </c>
      <c r="F84" s="30">
        <v>0.0</v>
      </c>
      <c r="G84" s="30">
        <v>2.0</v>
      </c>
      <c r="H84" s="29">
        <f t="shared" si="2"/>
        <v>6</v>
      </c>
      <c r="I84" s="30">
        <v>2.0</v>
      </c>
      <c r="J84" s="30">
        <v>4.0</v>
      </c>
      <c r="K84" s="30">
        <v>4.0</v>
      </c>
      <c r="L84" s="31">
        <f t="shared" si="3"/>
        <v>0.6666666667</v>
      </c>
      <c r="M84" s="29">
        <v>91.0</v>
      </c>
      <c r="N84" s="30">
        <v>16.0</v>
      </c>
      <c r="O84" s="30">
        <v>16.0</v>
      </c>
      <c r="P84" s="30">
        <v>15.0</v>
      </c>
      <c r="Q84" s="30">
        <v>16.0</v>
      </c>
      <c r="R84" s="30">
        <v>16.0</v>
      </c>
      <c r="S84" s="51">
        <v>12.0</v>
      </c>
      <c r="T84" s="35">
        <f t="shared" ref="T84:Y84" si="89">B84/(IF(N84&gt;0,N84,1))</f>
        <v>0.25</v>
      </c>
      <c r="U84" s="36">
        <f t="shared" si="89"/>
        <v>0</v>
      </c>
      <c r="V84" s="36">
        <f t="shared" si="89"/>
        <v>0</v>
      </c>
      <c r="W84" s="36">
        <f t="shared" si="89"/>
        <v>0</v>
      </c>
      <c r="X84" s="36">
        <f t="shared" si="89"/>
        <v>0</v>
      </c>
      <c r="Y84" s="37">
        <f t="shared" si="89"/>
        <v>0.1666666667</v>
      </c>
      <c r="Z84" s="39">
        <f t="shared" si="12"/>
        <v>0.06593406593</v>
      </c>
      <c r="AA84" s="39">
        <f t="shared" si="9"/>
        <v>0.1758241758</v>
      </c>
      <c r="AB84" s="39">
        <f t="shared" si="6"/>
        <v>0.6153846154</v>
      </c>
    </row>
    <row r="85">
      <c r="A85" s="23" t="s">
        <v>164</v>
      </c>
      <c r="B85" s="30">
        <v>0.0</v>
      </c>
      <c r="C85" s="30">
        <v>0.0</v>
      </c>
      <c r="D85" s="30">
        <v>0.0</v>
      </c>
      <c r="E85" s="30">
        <v>0.0</v>
      </c>
      <c r="F85" s="30">
        <v>1.0</v>
      </c>
      <c r="G85" s="30">
        <v>0.0</v>
      </c>
      <c r="H85" s="29">
        <f t="shared" si="2"/>
        <v>1</v>
      </c>
      <c r="I85" s="30">
        <v>0.0</v>
      </c>
      <c r="J85" s="30">
        <v>1.0</v>
      </c>
      <c r="K85" s="30">
        <v>1.0</v>
      </c>
      <c r="L85" s="31">
        <f t="shared" si="3"/>
        <v>1</v>
      </c>
      <c r="M85" s="29">
        <v>23.0</v>
      </c>
      <c r="N85" s="30">
        <v>4.0</v>
      </c>
      <c r="O85" s="30">
        <v>4.0</v>
      </c>
      <c r="P85" s="30">
        <v>5.0</v>
      </c>
      <c r="Q85" s="30">
        <v>3.0</v>
      </c>
      <c r="R85" s="30">
        <v>4.0</v>
      </c>
      <c r="S85" s="51">
        <v>3.0</v>
      </c>
      <c r="T85" s="35">
        <f t="shared" ref="T85:Y85" si="90">B85/(IF(N85&gt;0,N85,1))</f>
        <v>0</v>
      </c>
      <c r="U85" s="36">
        <f t="shared" si="90"/>
        <v>0</v>
      </c>
      <c r="V85" s="36">
        <f t="shared" si="90"/>
        <v>0</v>
      </c>
      <c r="W85" s="36">
        <f t="shared" si="90"/>
        <v>0</v>
      </c>
      <c r="X85" s="36">
        <f t="shared" si="90"/>
        <v>0.25</v>
      </c>
      <c r="Y85" s="37">
        <f t="shared" si="90"/>
        <v>0</v>
      </c>
      <c r="Z85" s="39">
        <f t="shared" si="12"/>
        <v>0.04347826087</v>
      </c>
      <c r="AA85" s="39">
        <f t="shared" si="9"/>
        <v>0.1739130435</v>
      </c>
      <c r="AB85" s="39">
        <f t="shared" si="6"/>
        <v>0.6086956522</v>
      </c>
    </row>
    <row r="86">
      <c r="A86" s="23" t="s">
        <v>165</v>
      </c>
      <c r="B86" s="30">
        <v>0.0</v>
      </c>
      <c r="C86" s="30">
        <v>0.0</v>
      </c>
      <c r="D86" s="30">
        <v>0.0</v>
      </c>
      <c r="E86" s="30">
        <v>1.0</v>
      </c>
      <c r="F86" s="30">
        <v>1.0</v>
      </c>
      <c r="G86" s="30">
        <v>0.0</v>
      </c>
      <c r="H86" s="29">
        <f t="shared" si="2"/>
        <v>2</v>
      </c>
      <c r="I86" s="30">
        <v>0.0</v>
      </c>
      <c r="J86" s="30">
        <v>0.0</v>
      </c>
      <c r="K86" s="30">
        <v>1.0</v>
      </c>
      <c r="L86" s="31">
        <f t="shared" si="3"/>
        <v>0.5</v>
      </c>
      <c r="M86" s="29">
        <v>46.0</v>
      </c>
      <c r="N86" s="30">
        <v>8.0</v>
      </c>
      <c r="O86" s="30">
        <v>8.0</v>
      </c>
      <c r="P86" s="30">
        <v>8.0</v>
      </c>
      <c r="Q86" s="30">
        <v>8.0</v>
      </c>
      <c r="R86" s="30">
        <v>8.0</v>
      </c>
      <c r="S86" s="40">
        <v>6.0</v>
      </c>
      <c r="T86" s="35">
        <f t="shared" ref="T86:Y86" si="91">B86/(IF(N86&gt;0,N86,1))</f>
        <v>0</v>
      </c>
      <c r="U86" s="36">
        <f t="shared" si="91"/>
        <v>0</v>
      </c>
      <c r="V86" s="36">
        <f t="shared" si="91"/>
        <v>0</v>
      </c>
      <c r="W86" s="36">
        <f t="shared" si="91"/>
        <v>0.125</v>
      </c>
      <c r="X86" s="36">
        <f t="shared" si="91"/>
        <v>0.125</v>
      </c>
      <c r="Y86" s="37">
        <f t="shared" si="91"/>
        <v>0</v>
      </c>
      <c r="Z86" s="39">
        <f t="shared" si="12"/>
        <v>0.04347826087</v>
      </c>
      <c r="AA86" s="39">
        <f t="shared" si="9"/>
        <v>0.1739130435</v>
      </c>
      <c r="AB86" s="39">
        <f t="shared" si="6"/>
        <v>0.3913043478</v>
      </c>
    </row>
    <row r="87">
      <c r="A87" s="23" t="s">
        <v>166</v>
      </c>
      <c r="B87" s="30">
        <v>0.0</v>
      </c>
      <c r="C87" s="30">
        <v>0.0</v>
      </c>
      <c r="D87" s="30">
        <v>0.0</v>
      </c>
      <c r="E87" s="30">
        <v>0.0</v>
      </c>
      <c r="F87" s="30">
        <v>0.0</v>
      </c>
      <c r="G87" s="30">
        <v>1.0</v>
      </c>
      <c r="H87" s="29">
        <f t="shared" si="2"/>
        <v>1</v>
      </c>
      <c r="I87" s="30">
        <v>0.0</v>
      </c>
      <c r="J87" s="30">
        <v>1.0</v>
      </c>
      <c r="K87" s="30">
        <v>1.0</v>
      </c>
      <c r="L87" s="31">
        <f t="shared" si="3"/>
        <v>1</v>
      </c>
      <c r="M87" s="29">
        <v>23.0</v>
      </c>
      <c r="N87" s="30">
        <v>4.0</v>
      </c>
      <c r="O87" s="30">
        <v>4.0</v>
      </c>
      <c r="P87" s="30">
        <v>4.0</v>
      </c>
      <c r="Q87" s="30">
        <v>4.0</v>
      </c>
      <c r="R87" s="30">
        <v>4.0</v>
      </c>
      <c r="S87" s="51">
        <v>3.0</v>
      </c>
      <c r="T87" s="35">
        <f t="shared" ref="T87:Y87" si="92">B87/(IF(N87&gt;0,N87,1))</f>
        <v>0</v>
      </c>
      <c r="U87" s="36">
        <f t="shared" si="92"/>
        <v>0</v>
      </c>
      <c r="V87" s="36">
        <f t="shared" si="92"/>
        <v>0</v>
      </c>
      <c r="W87" s="36">
        <f t="shared" si="92"/>
        <v>0</v>
      </c>
      <c r="X87" s="36">
        <f t="shared" si="92"/>
        <v>0</v>
      </c>
      <c r="Y87" s="37">
        <f t="shared" si="92"/>
        <v>0.3333333333</v>
      </c>
      <c r="Z87" s="39">
        <f t="shared" si="12"/>
        <v>0.04347826087</v>
      </c>
      <c r="AA87" s="39">
        <f t="shared" si="9"/>
        <v>0.1739130435</v>
      </c>
      <c r="AB87" s="39">
        <f t="shared" si="6"/>
        <v>0.6086956522</v>
      </c>
    </row>
    <row r="88">
      <c r="A88" s="23" t="s">
        <v>167</v>
      </c>
      <c r="B88" s="30">
        <v>0.0</v>
      </c>
      <c r="C88" s="30">
        <v>2.0</v>
      </c>
      <c r="D88" s="30">
        <v>1.0</v>
      </c>
      <c r="E88" s="30">
        <v>0.0</v>
      </c>
      <c r="F88" s="30">
        <v>0.0</v>
      </c>
      <c r="G88" s="30">
        <v>0.0</v>
      </c>
      <c r="H88" s="29">
        <f t="shared" si="2"/>
        <v>3</v>
      </c>
      <c r="I88" s="30">
        <v>0.0</v>
      </c>
      <c r="J88" s="30">
        <v>10.0</v>
      </c>
      <c r="K88" s="30">
        <v>0.0</v>
      </c>
      <c r="L88" s="31">
        <f t="shared" si="3"/>
        <v>0</v>
      </c>
      <c r="M88" s="29">
        <v>69.0</v>
      </c>
      <c r="N88" s="30">
        <v>12.0</v>
      </c>
      <c r="O88" s="30">
        <v>12.0</v>
      </c>
      <c r="P88" s="30">
        <v>12.0</v>
      </c>
      <c r="Q88" s="30">
        <v>12.0</v>
      </c>
      <c r="R88" s="30">
        <v>12.0</v>
      </c>
      <c r="S88" s="40">
        <v>9.0</v>
      </c>
      <c r="T88" s="35">
        <f t="shared" ref="T88:Y88" si="93">B88/(IF(N88&gt;0,N88,1))</f>
        <v>0</v>
      </c>
      <c r="U88" s="36">
        <f t="shared" si="93"/>
        <v>0.1666666667</v>
      </c>
      <c r="V88" s="36">
        <f t="shared" si="93"/>
        <v>0.08333333333</v>
      </c>
      <c r="W88" s="36">
        <f t="shared" si="93"/>
        <v>0</v>
      </c>
      <c r="X88" s="36">
        <f t="shared" si="93"/>
        <v>0</v>
      </c>
      <c r="Y88" s="37">
        <f t="shared" si="93"/>
        <v>0</v>
      </c>
      <c r="Z88" s="39">
        <f t="shared" si="12"/>
        <v>0.04347826087</v>
      </c>
      <c r="AA88" s="39">
        <f t="shared" si="9"/>
        <v>0.1739130435</v>
      </c>
      <c r="AB88" s="39">
        <f t="shared" si="6"/>
        <v>0.1739130435</v>
      </c>
    </row>
    <row r="89">
      <c r="A89" s="8" t="s">
        <v>168</v>
      </c>
      <c r="B89" s="9">
        <v>0.0</v>
      </c>
      <c r="C89" s="9">
        <v>4.0</v>
      </c>
      <c r="D89" s="9">
        <v>0.0</v>
      </c>
      <c r="E89" s="9">
        <v>0.0</v>
      </c>
      <c r="F89" s="9">
        <v>0.0</v>
      </c>
      <c r="G89" s="9">
        <v>0.0</v>
      </c>
      <c r="H89" s="29">
        <f t="shared" si="2"/>
        <v>4</v>
      </c>
      <c r="I89" s="9">
        <v>0.0</v>
      </c>
      <c r="J89" s="9">
        <v>6.0</v>
      </c>
      <c r="K89" s="9">
        <v>1.0</v>
      </c>
      <c r="L89" s="31">
        <f t="shared" si="3"/>
        <v>0.25</v>
      </c>
      <c r="M89" s="18">
        <v>97.0</v>
      </c>
      <c r="N89" s="9">
        <v>15.0</v>
      </c>
      <c r="O89" s="9">
        <v>17.0</v>
      </c>
      <c r="P89" s="9">
        <v>16.0</v>
      </c>
      <c r="Q89" s="9">
        <v>17.0</v>
      </c>
      <c r="R89" s="9">
        <v>18.0</v>
      </c>
      <c r="S89" s="50">
        <v>14.0</v>
      </c>
      <c r="T89" s="35">
        <f t="shared" ref="T89:Y89" si="94">B89/(IF(N89&gt;0,N89,1))</f>
        <v>0</v>
      </c>
      <c r="U89" s="36">
        <f t="shared" si="94"/>
        <v>0.2352941176</v>
      </c>
      <c r="V89" s="36">
        <f t="shared" si="94"/>
        <v>0</v>
      </c>
      <c r="W89" s="36">
        <f t="shared" si="94"/>
        <v>0</v>
      </c>
      <c r="X89" s="36">
        <f t="shared" si="94"/>
        <v>0</v>
      </c>
      <c r="Y89" s="37">
        <f t="shared" si="94"/>
        <v>0</v>
      </c>
      <c r="Z89" s="39">
        <f t="shared" si="12"/>
        <v>0.0412371134</v>
      </c>
      <c r="AA89" s="39">
        <f t="shared" si="9"/>
        <v>0.1649484536</v>
      </c>
      <c r="AB89" s="39">
        <f t="shared" si="6"/>
        <v>0.2680412371</v>
      </c>
    </row>
    <row r="90">
      <c r="A90" s="8" t="s">
        <v>169</v>
      </c>
      <c r="B90" s="9">
        <v>1.0</v>
      </c>
      <c r="C90" s="9">
        <v>0.0</v>
      </c>
      <c r="D90" s="9">
        <v>0.0</v>
      </c>
      <c r="E90" s="9">
        <v>0.0</v>
      </c>
      <c r="F90" s="9">
        <v>3.0</v>
      </c>
      <c r="G90" s="9">
        <v>0.0</v>
      </c>
      <c r="H90" s="29">
        <f t="shared" si="2"/>
        <v>4</v>
      </c>
      <c r="I90" s="9">
        <v>0.0</v>
      </c>
      <c r="J90" s="9">
        <v>10.0</v>
      </c>
      <c r="K90" s="9">
        <v>2.0</v>
      </c>
      <c r="L90" s="31">
        <f t="shared" si="3"/>
        <v>0.5</v>
      </c>
      <c r="M90" s="18">
        <v>109.0</v>
      </c>
      <c r="N90" s="9">
        <v>17.0</v>
      </c>
      <c r="O90" s="9">
        <v>19.0</v>
      </c>
      <c r="P90" s="9">
        <v>18.0</v>
      </c>
      <c r="Q90" s="9">
        <v>20.0</v>
      </c>
      <c r="R90" s="9">
        <v>20.0</v>
      </c>
      <c r="S90" s="41">
        <v>15.0</v>
      </c>
      <c r="T90" s="35">
        <f t="shared" ref="T90:Y90" si="95">B90/(IF(N90&gt;0,N90,1))</f>
        <v>0.05882352941</v>
      </c>
      <c r="U90" s="36">
        <f t="shared" si="95"/>
        <v>0</v>
      </c>
      <c r="V90" s="36">
        <f t="shared" si="95"/>
        <v>0</v>
      </c>
      <c r="W90" s="36">
        <f t="shared" si="95"/>
        <v>0</v>
      </c>
      <c r="X90" s="36">
        <f t="shared" si="95"/>
        <v>0.15</v>
      </c>
      <c r="Y90" s="37">
        <f t="shared" si="95"/>
        <v>0</v>
      </c>
      <c r="Z90" s="39">
        <f t="shared" si="12"/>
        <v>0.03669724771</v>
      </c>
      <c r="AA90" s="39">
        <f t="shared" si="9"/>
        <v>0.1467889908</v>
      </c>
      <c r="AB90" s="39">
        <f t="shared" si="6"/>
        <v>0.3302752294</v>
      </c>
    </row>
    <row r="91">
      <c r="A91" s="23" t="s">
        <v>170</v>
      </c>
      <c r="B91" s="30">
        <v>0.0</v>
      </c>
      <c r="C91" s="30">
        <v>0.0</v>
      </c>
      <c r="D91" s="30">
        <v>2.0</v>
      </c>
      <c r="E91" s="30">
        <v>2.0</v>
      </c>
      <c r="F91" s="30">
        <v>0.0</v>
      </c>
      <c r="G91" s="30">
        <v>0.0</v>
      </c>
      <c r="H91" s="29">
        <f t="shared" si="2"/>
        <v>4</v>
      </c>
      <c r="I91" s="30">
        <v>0.0</v>
      </c>
      <c r="J91" s="30">
        <v>4.0</v>
      </c>
      <c r="K91" s="30">
        <v>0.0</v>
      </c>
      <c r="L91" s="31">
        <f t="shared" si="3"/>
        <v>0</v>
      </c>
      <c r="M91" s="29">
        <v>111.0</v>
      </c>
      <c r="N91" s="30">
        <v>20.0</v>
      </c>
      <c r="O91" s="30">
        <v>20.0</v>
      </c>
      <c r="P91" s="30">
        <v>19.0</v>
      </c>
      <c r="Q91" s="30">
        <v>19.0</v>
      </c>
      <c r="R91" s="30">
        <v>19.0</v>
      </c>
      <c r="S91" s="40">
        <v>14.0</v>
      </c>
      <c r="T91" s="35">
        <f t="shared" ref="T91:Y91" si="96">B91/(IF(N91&gt;0,N91,1))</f>
        <v>0</v>
      </c>
      <c r="U91" s="36">
        <f t="shared" si="96"/>
        <v>0</v>
      </c>
      <c r="V91" s="36">
        <f t="shared" si="96"/>
        <v>0.1052631579</v>
      </c>
      <c r="W91" s="36">
        <f t="shared" si="96"/>
        <v>0.1052631579</v>
      </c>
      <c r="X91" s="36">
        <f t="shared" si="96"/>
        <v>0</v>
      </c>
      <c r="Y91" s="37">
        <f t="shared" si="96"/>
        <v>0</v>
      </c>
      <c r="Z91" s="39">
        <f t="shared" si="12"/>
        <v>0.03603603604</v>
      </c>
      <c r="AA91" s="39">
        <f t="shared" si="9"/>
        <v>0.1441441441</v>
      </c>
      <c r="AB91" s="39">
        <f t="shared" si="6"/>
        <v>0.1441441441</v>
      </c>
    </row>
    <row r="92">
      <c r="A92" s="23" t="s">
        <v>171</v>
      </c>
      <c r="B92" s="30">
        <v>2.0</v>
      </c>
      <c r="C92" s="30">
        <v>0.0</v>
      </c>
      <c r="D92" s="30">
        <v>0.0</v>
      </c>
      <c r="E92" s="30">
        <v>0.0</v>
      </c>
      <c r="F92" s="30">
        <v>0.0</v>
      </c>
      <c r="G92" s="30">
        <v>1.0</v>
      </c>
      <c r="H92" s="29">
        <f t="shared" si="2"/>
        <v>3</v>
      </c>
      <c r="I92" s="30">
        <v>0.0</v>
      </c>
      <c r="J92" s="30">
        <v>5.0</v>
      </c>
      <c r="K92" s="30">
        <v>0.0</v>
      </c>
      <c r="L92" s="31">
        <f t="shared" si="3"/>
        <v>0</v>
      </c>
      <c r="M92" s="29">
        <v>84.0</v>
      </c>
      <c r="N92" s="30">
        <v>15.0</v>
      </c>
      <c r="O92" s="30">
        <v>13.0</v>
      </c>
      <c r="P92" s="30">
        <v>16.0</v>
      </c>
      <c r="Q92" s="30">
        <v>15.0</v>
      </c>
      <c r="R92" s="30">
        <v>14.0</v>
      </c>
      <c r="S92" s="40">
        <v>11.0</v>
      </c>
      <c r="T92" s="35">
        <f t="shared" ref="T92:Y92" si="97">B92/(IF(N92&gt;0,N92,1))</f>
        <v>0.1333333333</v>
      </c>
      <c r="U92" s="36">
        <f t="shared" si="97"/>
        <v>0</v>
      </c>
      <c r="V92" s="36">
        <f t="shared" si="97"/>
        <v>0</v>
      </c>
      <c r="W92" s="36">
        <f t="shared" si="97"/>
        <v>0</v>
      </c>
      <c r="X92" s="36">
        <f t="shared" si="97"/>
        <v>0</v>
      </c>
      <c r="Y92" s="37">
        <f t="shared" si="97"/>
        <v>0.09090909091</v>
      </c>
      <c r="Z92" s="39">
        <f t="shared" si="12"/>
        <v>0.03571428571</v>
      </c>
      <c r="AA92" s="39">
        <f t="shared" si="9"/>
        <v>0.1428571429</v>
      </c>
      <c r="AB92" s="39">
        <f t="shared" si="6"/>
        <v>0.1428571429</v>
      </c>
    </row>
    <row r="93">
      <c r="A93" s="23" t="s">
        <v>172</v>
      </c>
      <c r="B93" s="30">
        <v>0.0</v>
      </c>
      <c r="C93" s="30">
        <v>0.0</v>
      </c>
      <c r="D93" s="30">
        <v>0.0</v>
      </c>
      <c r="E93" s="30">
        <v>0.0</v>
      </c>
      <c r="F93" s="30">
        <v>1.0</v>
      </c>
      <c r="G93" s="30">
        <v>1.0</v>
      </c>
      <c r="H93" s="29">
        <f t="shared" si="2"/>
        <v>2</v>
      </c>
      <c r="I93" s="30">
        <v>0.0</v>
      </c>
      <c r="J93" s="30">
        <v>3.0</v>
      </c>
      <c r="K93" s="30">
        <v>1.0</v>
      </c>
      <c r="L93" s="31">
        <f t="shared" si="3"/>
        <v>0.5</v>
      </c>
      <c r="M93" s="29">
        <v>57.0</v>
      </c>
      <c r="N93" s="30">
        <v>11.0</v>
      </c>
      <c r="O93" s="30">
        <v>9.0</v>
      </c>
      <c r="P93" s="30">
        <v>9.0</v>
      </c>
      <c r="Q93" s="30">
        <v>9.0</v>
      </c>
      <c r="R93" s="30">
        <v>10.0</v>
      </c>
      <c r="S93" s="40">
        <v>9.0</v>
      </c>
      <c r="T93" s="35">
        <f t="shared" ref="T93:Y93" si="98">B93/(IF(N93&gt;0,N93,1))</f>
        <v>0</v>
      </c>
      <c r="U93" s="36">
        <f t="shared" si="98"/>
        <v>0</v>
      </c>
      <c r="V93" s="36">
        <f t="shared" si="98"/>
        <v>0</v>
      </c>
      <c r="W93" s="36">
        <f t="shared" si="98"/>
        <v>0</v>
      </c>
      <c r="X93" s="36">
        <f t="shared" si="98"/>
        <v>0.1</v>
      </c>
      <c r="Y93" s="37">
        <f t="shared" si="98"/>
        <v>0.1111111111</v>
      </c>
      <c r="Z93" s="39">
        <f t="shared" si="12"/>
        <v>0.0350877193</v>
      </c>
      <c r="AA93" s="39">
        <f t="shared" si="9"/>
        <v>0.1403508772</v>
      </c>
      <c r="AB93" s="39">
        <f t="shared" si="6"/>
        <v>0.3157894737</v>
      </c>
    </row>
    <row r="94">
      <c r="A94" s="23" t="s">
        <v>173</v>
      </c>
      <c r="B94" s="30">
        <v>0.0</v>
      </c>
      <c r="C94" s="30">
        <v>1.0</v>
      </c>
      <c r="D94" s="30">
        <v>1.0</v>
      </c>
      <c r="E94" s="30">
        <v>0.0</v>
      </c>
      <c r="F94" s="30">
        <v>1.0</v>
      </c>
      <c r="G94" s="30">
        <v>0.0</v>
      </c>
      <c r="H94" s="29">
        <f t="shared" si="2"/>
        <v>3</v>
      </c>
      <c r="I94" s="30">
        <v>0.0</v>
      </c>
      <c r="J94" s="30">
        <v>9.0</v>
      </c>
      <c r="K94" s="30">
        <v>0.0</v>
      </c>
      <c r="L94" s="31">
        <f t="shared" si="3"/>
        <v>0</v>
      </c>
      <c r="M94" s="29">
        <v>88.0</v>
      </c>
      <c r="N94" s="30">
        <v>16.0</v>
      </c>
      <c r="O94" s="30">
        <v>16.0</v>
      </c>
      <c r="P94" s="30">
        <v>15.0</v>
      </c>
      <c r="Q94" s="30">
        <v>15.0</v>
      </c>
      <c r="R94" s="30">
        <v>15.0</v>
      </c>
      <c r="S94" s="40">
        <v>11.0</v>
      </c>
      <c r="T94" s="35">
        <f t="shared" ref="T94:Y94" si="99">B94/(IF(N94&gt;0,N94,1))</f>
        <v>0</v>
      </c>
      <c r="U94" s="36">
        <f t="shared" si="99"/>
        <v>0.0625</v>
      </c>
      <c r="V94" s="36">
        <f t="shared" si="99"/>
        <v>0.06666666667</v>
      </c>
      <c r="W94" s="36">
        <f t="shared" si="99"/>
        <v>0</v>
      </c>
      <c r="X94" s="36">
        <f t="shared" si="99"/>
        <v>0.06666666667</v>
      </c>
      <c r="Y94" s="37">
        <f t="shared" si="99"/>
        <v>0</v>
      </c>
      <c r="Z94" s="39">
        <f t="shared" si="12"/>
        <v>0.03409090909</v>
      </c>
      <c r="AA94" s="39">
        <f t="shared" si="9"/>
        <v>0.1363636364</v>
      </c>
      <c r="AB94" s="39">
        <f t="shared" si="6"/>
        <v>0.1363636364</v>
      </c>
    </row>
    <row r="95">
      <c r="A95" s="23" t="s">
        <v>174</v>
      </c>
      <c r="B95" s="30">
        <v>0.0</v>
      </c>
      <c r="C95" s="30">
        <v>3.0</v>
      </c>
      <c r="D95" s="30">
        <v>0.0</v>
      </c>
      <c r="E95" s="30">
        <v>0.0</v>
      </c>
      <c r="F95" s="30">
        <v>0.0</v>
      </c>
      <c r="G95" s="30">
        <v>1.0</v>
      </c>
      <c r="H95" s="29">
        <f t="shared" si="2"/>
        <v>4</v>
      </c>
      <c r="I95" s="30">
        <v>1.0</v>
      </c>
      <c r="J95" s="30">
        <v>3.0</v>
      </c>
      <c r="K95" s="30">
        <v>2.0</v>
      </c>
      <c r="L95" s="31">
        <f t="shared" si="3"/>
        <v>0.5</v>
      </c>
      <c r="M95" s="29">
        <v>88.0</v>
      </c>
      <c r="N95" s="30">
        <v>14.0</v>
      </c>
      <c r="O95" s="30">
        <v>16.0</v>
      </c>
      <c r="P95" s="30">
        <v>17.0</v>
      </c>
      <c r="Q95" s="30">
        <v>15.0</v>
      </c>
      <c r="R95" s="30">
        <v>15.0</v>
      </c>
      <c r="S95" s="40">
        <v>11.0</v>
      </c>
      <c r="T95" s="35">
        <f t="shared" ref="T95:Y95" si="100">B95/(IF(N95&gt;0,N95,1))</f>
        <v>0</v>
      </c>
      <c r="U95" s="36">
        <f t="shared" si="100"/>
        <v>0.1875</v>
      </c>
      <c r="V95" s="36">
        <f t="shared" si="100"/>
        <v>0</v>
      </c>
      <c r="W95" s="36">
        <f t="shared" si="100"/>
        <v>0</v>
      </c>
      <c r="X95" s="36">
        <f t="shared" si="100"/>
        <v>0</v>
      </c>
      <c r="Y95" s="37">
        <f t="shared" si="100"/>
        <v>0.09090909091</v>
      </c>
      <c r="Z95" s="39">
        <f t="shared" si="12"/>
        <v>0.04545454545</v>
      </c>
      <c r="AA95" s="39">
        <f t="shared" si="9"/>
        <v>0.1363636364</v>
      </c>
      <c r="AB95" s="39">
        <f t="shared" si="6"/>
        <v>0.3636363636</v>
      </c>
    </row>
    <row r="96">
      <c r="A96" s="23" t="s">
        <v>175</v>
      </c>
      <c r="B96" s="30">
        <v>2.0</v>
      </c>
      <c r="C96" s="30">
        <v>0.0</v>
      </c>
      <c r="D96" s="30">
        <v>0.0</v>
      </c>
      <c r="E96" s="30">
        <v>0.0</v>
      </c>
      <c r="F96" s="30">
        <v>0.0</v>
      </c>
      <c r="G96" s="30">
        <v>1.0</v>
      </c>
      <c r="H96" s="29">
        <f t="shared" si="2"/>
        <v>3</v>
      </c>
      <c r="I96" s="30">
        <v>0.0</v>
      </c>
      <c r="J96" s="30">
        <v>16.0</v>
      </c>
      <c r="K96" s="30">
        <v>2.0</v>
      </c>
      <c r="L96" s="31">
        <f t="shared" si="3"/>
        <v>0.6666666667</v>
      </c>
      <c r="M96" s="29">
        <v>91.0</v>
      </c>
      <c r="N96" s="30">
        <v>16.0</v>
      </c>
      <c r="O96" s="30">
        <v>16.0</v>
      </c>
      <c r="P96" s="30">
        <v>15.0</v>
      </c>
      <c r="Q96" s="30">
        <v>16.0</v>
      </c>
      <c r="R96" s="30">
        <v>16.0</v>
      </c>
      <c r="S96" s="51">
        <v>12.0</v>
      </c>
      <c r="T96" s="35">
        <f t="shared" ref="T96:Y96" si="101">B96/(IF(N96&gt;0,N96,1))</f>
        <v>0.125</v>
      </c>
      <c r="U96" s="36">
        <f t="shared" si="101"/>
        <v>0</v>
      </c>
      <c r="V96" s="36">
        <f t="shared" si="101"/>
        <v>0</v>
      </c>
      <c r="W96" s="36">
        <f t="shared" si="101"/>
        <v>0</v>
      </c>
      <c r="X96" s="36">
        <f t="shared" si="101"/>
        <v>0</v>
      </c>
      <c r="Y96" s="37">
        <f t="shared" si="101"/>
        <v>0.08333333333</v>
      </c>
      <c r="Z96" s="39">
        <f t="shared" si="12"/>
        <v>0.03296703297</v>
      </c>
      <c r="AA96" s="39">
        <f t="shared" si="9"/>
        <v>0.1318681319</v>
      </c>
      <c r="AB96" s="39">
        <f t="shared" si="6"/>
        <v>0.3516483516</v>
      </c>
    </row>
    <row r="97">
      <c r="A97" s="48" t="s">
        <v>176</v>
      </c>
      <c r="B97" s="26">
        <v>0.0</v>
      </c>
      <c r="C97" s="26">
        <v>0.0</v>
      </c>
      <c r="D97" s="26">
        <v>1.0</v>
      </c>
      <c r="E97" s="26">
        <v>1.0</v>
      </c>
      <c r="F97" s="26">
        <v>0.0</v>
      </c>
      <c r="G97" s="26">
        <v>0.0</v>
      </c>
      <c r="H97" s="29">
        <f t="shared" si="2"/>
        <v>2</v>
      </c>
      <c r="I97" s="26">
        <v>0.0</v>
      </c>
      <c r="J97" s="26">
        <v>4.0</v>
      </c>
      <c r="K97" s="26">
        <v>0.0</v>
      </c>
      <c r="L97" s="31">
        <f t="shared" si="3"/>
        <v>0</v>
      </c>
      <c r="M97" s="32">
        <v>66.0</v>
      </c>
      <c r="N97" s="26">
        <v>11.0</v>
      </c>
      <c r="O97" s="26">
        <v>12.0</v>
      </c>
      <c r="P97" s="26">
        <v>12.0</v>
      </c>
      <c r="Q97" s="26">
        <v>11.0</v>
      </c>
      <c r="R97" s="26">
        <v>11.0</v>
      </c>
      <c r="S97" s="49">
        <v>9.0</v>
      </c>
      <c r="T97" s="35">
        <f t="shared" ref="T97:Y97" si="102">B97/(IF(N97&gt;0,N97,1))</f>
        <v>0</v>
      </c>
      <c r="U97" s="36">
        <f t="shared" si="102"/>
        <v>0</v>
      </c>
      <c r="V97" s="36">
        <f t="shared" si="102"/>
        <v>0.08333333333</v>
      </c>
      <c r="W97" s="36">
        <f t="shared" si="102"/>
        <v>0.09090909091</v>
      </c>
      <c r="X97" s="36">
        <f t="shared" si="102"/>
        <v>0</v>
      </c>
      <c r="Y97" s="37">
        <f t="shared" si="102"/>
        <v>0</v>
      </c>
      <c r="Z97" s="39">
        <f t="shared" si="12"/>
        <v>0.0303030303</v>
      </c>
      <c r="AA97" s="39">
        <f t="shared" si="9"/>
        <v>0.1212121212</v>
      </c>
      <c r="AB97" s="39">
        <f t="shared" si="6"/>
        <v>0.1212121212</v>
      </c>
    </row>
    <row r="98">
      <c r="A98" s="23" t="s">
        <v>177</v>
      </c>
      <c r="B98" s="30">
        <v>1.0</v>
      </c>
      <c r="C98" s="30">
        <v>0.0</v>
      </c>
      <c r="D98" s="30">
        <v>1.0</v>
      </c>
      <c r="E98" s="30">
        <v>1.0</v>
      </c>
      <c r="F98" s="30">
        <v>0.0</v>
      </c>
      <c r="G98" s="30">
        <v>0.0</v>
      </c>
      <c r="H98" s="29">
        <f t="shared" si="2"/>
        <v>3</v>
      </c>
      <c r="I98" s="30">
        <v>0.0</v>
      </c>
      <c r="J98" s="30">
        <v>11.0</v>
      </c>
      <c r="K98" s="30">
        <v>0.0</v>
      </c>
      <c r="L98" s="31">
        <f t="shared" si="3"/>
        <v>0</v>
      </c>
      <c r="M98" s="29">
        <v>111.0</v>
      </c>
      <c r="N98" s="30">
        <v>20.0</v>
      </c>
      <c r="O98" s="30">
        <v>20.0</v>
      </c>
      <c r="P98" s="30">
        <v>19.0</v>
      </c>
      <c r="Q98" s="30">
        <v>19.0</v>
      </c>
      <c r="R98" s="30">
        <v>19.0</v>
      </c>
      <c r="S98" s="40">
        <v>14.0</v>
      </c>
      <c r="T98" s="35">
        <f t="shared" ref="T98:Y98" si="103">B98/(IF(N98&gt;0,N98,1))</f>
        <v>0.05</v>
      </c>
      <c r="U98" s="36">
        <f t="shared" si="103"/>
        <v>0</v>
      </c>
      <c r="V98" s="36">
        <f t="shared" si="103"/>
        <v>0.05263157895</v>
      </c>
      <c r="W98" s="36">
        <f t="shared" si="103"/>
        <v>0.05263157895</v>
      </c>
      <c r="X98" s="36">
        <f t="shared" si="103"/>
        <v>0</v>
      </c>
      <c r="Y98" s="37">
        <f t="shared" si="103"/>
        <v>0</v>
      </c>
      <c r="Z98" s="39">
        <f t="shared" si="12"/>
        <v>0.02702702703</v>
      </c>
      <c r="AA98" s="39">
        <f t="shared" si="9"/>
        <v>0.1081081081</v>
      </c>
      <c r="AB98" s="39">
        <f t="shared" si="6"/>
        <v>0.1081081081</v>
      </c>
    </row>
    <row r="99">
      <c r="A99" s="8" t="s">
        <v>178</v>
      </c>
      <c r="B99" s="9">
        <v>1.0</v>
      </c>
      <c r="C99" s="9">
        <v>0.0</v>
      </c>
      <c r="D99" s="9">
        <v>0.0</v>
      </c>
      <c r="E99" s="9">
        <v>0.0</v>
      </c>
      <c r="F99" s="9">
        <v>0.0</v>
      </c>
      <c r="G99" s="9">
        <v>1.0</v>
      </c>
      <c r="H99" s="29">
        <f t="shared" si="2"/>
        <v>2</v>
      </c>
      <c r="I99" s="9">
        <v>0.0</v>
      </c>
      <c r="J99" s="9">
        <v>1.0</v>
      </c>
      <c r="K99" s="9">
        <v>1.0</v>
      </c>
      <c r="L99" s="31">
        <f t="shared" si="3"/>
        <v>0.5</v>
      </c>
      <c r="M99" s="18">
        <v>79.0</v>
      </c>
      <c r="N99" s="9">
        <v>13.0</v>
      </c>
      <c r="O99" s="9">
        <v>14.0</v>
      </c>
      <c r="P99" s="9">
        <v>13.0</v>
      </c>
      <c r="Q99" s="9">
        <v>14.0</v>
      </c>
      <c r="R99" s="9">
        <v>14.0</v>
      </c>
      <c r="S99" s="50">
        <v>11.0</v>
      </c>
      <c r="T99" s="35">
        <f t="shared" ref="T99:Y99" si="104">B99/(IF(N99&gt;0,N99,1))</f>
        <v>0.07692307692</v>
      </c>
      <c r="U99" s="36">
        <f t="shared" si="104"/>
        <v>0</v>
      </c>
      <c r="V99" s="36">
        <f t="shared" si="104"/>
        <v>0</v>
      </c>
      <c r="W99" s="36">
        <f t="shared" si="104"/>
        <v>0</v>
      </c>
      <c r="X99" s="36">
        <f t="shared" si="104"/>
        <v>0</v>
      </c>
      <c r="Y99" s="37">
        <f t="shared" si="104"/>
        <v>0.09090909091</v>
      </c>
      <c r="Z99" s="39">
        <f t="shared" si="12"/>
        <v>0.0253164557</v>
      </c>
      <c r="AA99" s="39">
        <f t="shared" si="9"/>
        <v>0.1012658228</v>
      </c>
      <c r="AB99" s="39">
        <f t="shared" si="6"/>
        <v>0.2278481013</v>
      </c>
    </row>
    <row r="100">
      <c r="A100" s="23" t="s">
        <v>179</v>
      </c>
      <c r="B100" s="30">
        <v>0.0</v>
      </c>
      <c r="C100" s="30">
        <v>0.0</v>
      </c>
      <c r="D100" s="30">
        <v>2.0</v>
      </c>
      <c r="E100" s="30">
        <v>0.0</v>
      </c>
      <c r="F100" s="30">
        <v>0.0</v>
      </c>
      <c r="G100" s="30">
        <v>0.0</v>
      </c>
      <c r="H100" s="29">
        <f t="shared" si="2"/>
        <v>2</v>
      </c>
      <c r="I100" s="30">
        <v>0.0</v>
      </c>
      <c r="J100" s="30">
        <v>7.0</v>
      </c>
      <c r="K100" s="30">
        <v>0.0</v>
      </c>
      <c r="L100" s="31">
        <f t="shared" si="3"/>
        <v>0</v>
      </c>
      <c r="M100" s="29">
        <v>83.0</v>
      </c>
      <c r="N100" s="30">
        <v>15.0</v>
      </c>
      <c r="O100" s="30">
        <v>14.0</v>
      </c>
      <c r="P100" s="30">
        <v>17.0</v>
      </c>
      <c r="Q100" s="30">
        <v>13.0</v>
      </c>
      <c r="R100" s="30">
        <v>14.0</v>
      </c>
      <c r="S100" s="40">
        <v>10.0</v>
      </c>
      <c r="T100" s="35">
        <f t="shared" ref="T100:Y100" si="105">B100/(IF(N100&gt;0,N100,1))</f>
        <v>0</v>
      </c>
      <c r="U100" s="36">
        <f t="shared" si="105"/>
        <v>0</v>
      </c>
      <c r="V100" s="36">
        <f t="shared" si="105"/>
        <v>0.1176470588</v>
      </c>
      <c r="W100" s="36">
        <f t="shared" si="105"/>
        <v>0</v>
      </c>
      <c r="X100" s="36">
        <f t="shared" si="105"/>
        <v>0</v>
      </c>
      <c r="Y100" s="37">
        <f t="shared" si="105"/>
        <v>0</v>
      </c>
      <c r="Z100" s="39">
        <f t="shared" si="12"/>
        <v>0.02409638554</v>
      </c>
      <c r="AA100" s="39">
        <f t="shared" si="9"/>
        <v>0.09638554217</v>
      </c>
      <c r="AB100" s="39">
        <f t="shared" si="6"/>
        <v>0.09638554217</v>
      </c>
    </row>
    <row r="101">
      <c r="A101" s="23" t="s">
        <v>180</v>
      </c>
      <c r="B101" s="30">
        <v>0.0</v>
      </c>
      <c r="C101" s="30">
        <v>0.0</v>
      </c>
      <c r="D101" s="30">
        <v>0.0</v>
      </c>
      <c r="E101" s="30">
        <v>0.0</v>
      </c>
      <c r="F101" s="30">
        <v>1.0</v>
      </c>
      <c r="G101" s="30">
        <v>0.0</v>
      </c>
      <c r="H101" s="29">
        <f t="shared" si="2"/>
        <v>1</v>
      </c>
      <c r="I101" s="30">
        <v>0.0</v>
      </c>
      <c r="J101" s="30">
        <v>2.0</v>
      </c>
      <c r="K101" s="30">
        <v>1.0</v>
      </c>
      <c r="L101" s="31">
        <f t="shared" si="3"/>
        <v>1</v>
      </c>
      <c r="M101" s="29">
        <v>44.0</v>
      </c>
      <c r="N101" s="30">
        <v>7.0</v>
      </c>
      <c r="O101" s="30">
        <v>8.0</v>
      </c>
      <c r="P101" s="30">
        <v>8.0</v>
      </c>
      <c r="Q101" s="30">
        <v>7.0</v>
      </c>
      <c r="R101" s="30">
        <v>8.0</v>
      </c>
      <c r="S101" s="40">
        <v>6.0</v>
      </c>
      <c r="T101" s="35">
        <f t="shared" ref="T101:Y101" si="106">B101/(IF(N101&gt;0,N101,1))</f>
        <v>0</v>
      </c>
      <c r="U101" s="36">
        <f t="shared" si="106"/>
        <v>0</v>
      </c>
      <c r="V101" s="36">
        <f t="shared" si="106"/>
        <v>0</v>
      </c>
      <c r="W101" s="36">
        <f t="shared" si="106"/>
        <v>0</v>
      </c>
      <c r="X101" s="36">
        <f t="shared" si="106"/>
        <v>0.125</v>
      </c>
      <c r="Y101" s="37">
        <f t="shared" si="106"/>
        <v>0</v>
      </c>
      <c r="Z101" s="39">
        <f t="shared" si="12"/>
        <v>0.02272727273</v>
      </c>
      <c r="AA101" s="39">
        <f t="shared" si="9"/>
        <v>0.09090909091</v>
      </c>
      <c r="AB101" s="39">
        <f t="shared" si="6"/>
        <v>0.3181818182</v>
      </c>
    </row>
    <row r="102">
      <c r="A102" s="23" t="s">
        <v>181</v>
      </c>
      <c r="B102" s="30">
        <v>0.0</v>
      </c>
      <c r="C102" s="30">
        <v>2.0</v>
      </c>
      <c r="D102" s="30">
        <v>0.0</v>
      </c>
      <c r="E102" s="30">
        <v>1.0</v>
      </c>
      <c r="F102" s="30">
        <v>0.0</v>
      </c>
      <c r="G102" s="30">
        <v>0.0</v>
      </c>
      <c r="H102" s="29">
        <f t="shared" si="2"/>
        <v>3</v>
      </c>
      <c r="I102" s="30">
        <v>1.0</v>
      </c>
      <c r="J102" s="30">
        <v>5.0</v>
      </c>
      <c r="K102" s="30">
        <v>0.0</v>
      </c>
      <c r="L102" s="31">
        <f t="shared" si="3"/>
        <v>0</v>
      </c>
      <c r="M102" s="29">
        <v>88.0</v>
      </c>
      <c r="N102" s="30">
        <v>16.0</v>
      </c>
      <c r="O102" s="30">
        <v>16.0</v>
      </c>
      <c r="P102" s="30">
        <v>15.0</v>
      </c>
      <c r="Q102" s="30">
        <v>15.0</v>
      </c>
      <c r="R102" s="30">
        <v>15.0</v>
      </c>
      <c r="S102" s="40">
        <v>11.0</v>
      </c>
      <c r="T102" s="35">
        <f t="shared" ref="T102:Y102" si="107">B102/(IF(N102&gt;0,N102,1))</f>
        <v>0</v>
      </c>
      <c r="U102" s="36">
        <f t="shared" si="107"/>
        <v>0.125</v>
      </c>
      <c r="V102" s="36">
        <f t="shared" si="107"/>
        <v>0</v>
      </c>
      <c r="W102" s="36">
        <f t="shared" si="107"/>
        <v>0.06666666667</v>
      </c>
      <c r="X102" s="36">
        <f t="shared" si="107"/>
        <v>0</v>
      </c>
      <c r="Y102" s="37">
        <f t="shared" si="107"/>
        <v>0</v>
      </c>
      <c r="Z102" s="39">
        <f t="shared" si="12"/>
        <v>0.03409090909</v>
      </c>
      <c r="AA102" s="39">
        <f t="shared" si="9"/>
        <v>0.09090909091</v>
      </c>
      <c r="AB102" s="39">
        <f t="shared" si="6"/>
        <v>0.09090909091</v>
      </c>
    </row>
    <row r="103">
      <c r="A103" s="23" t="s">
        <v>182</v>
      </c>
      <c r="B103" s="30">
        <v>0.0</v>
      </c>
      <c r="C103" s="30">
        <v>0.0</v>
      </c>
      <c r="D103" s="30">
        <v>1.0</v>
      </c>
      <c r="E103" s="30">
        <v>1.0</v>
      </c>
      <c r="F103" s="30">
        <v>0.0</v>
      </c>
      <c r="G103" s="30">
        <v>0.0</v>
      </c>
      <c r="H103" s="29">
        <f t="shared" si="2"/>
        <v>2</v>
      </c>
      <c r="I103" s="30">
        <v>0.0</v>
      </c>
      <c r="J103" s="30">
        <v>6.0</v>
      </c>
      <c r="K103" s="30">
        <v>1.0</v>
      </c>
      <c r="L103" s="31">
        <f t="shared" si="3"/>
        <v>0.5</v>
      </c>
      <c r="M103" s="29">
        <v>90.0</v>
      </c>
      <c r="N103" s="30">
        <v>16.0</v>
      </c>
      <c r="O103" s="30">
        <v>14.0</v>
      </c>
      <c r="P103" s="30">
        <v>16.0</v>
      </c>
      <c r="Q103" s="30">
        <v>16.0</v>
      </c>
      <c r="R103" s="30">
        <v>16.0</v>
      </c>
      <c r="S103" s="40">
        <v>12.0</v>
      </c>
      <c r="T103" s="35">
        <f t="shared" ref="T103:Y103" si="108">B103/(IF(N103&gt;0,N103,1))</f>
        <v>0</v>
      </c>
      <c r="U103" s="36">
        <f t="shared" si="108"/>
        <v>0</v>
      </c>
      <c r="V103" s="36">
        <f t="shared" si="108"/>
        <v>0.0625</v>
      </c>
      <c r="W103" s="36">
        <f t="shared" si="108"/>
        <v>0.0625</v>
      </c>
      <c r="X103" s="36">
        <f t="shared" si="108"/>
        <v>0</v>
      </c>
      <c r="Y103" s="37">
        <f t="shared" si="108"/>
        <v>0</v>
      </c>
      <c r="Z103" s="39">
        <f t="shared" si="12"/>
        <v>0.02222222222</v>
      </c>
      <c r="AA103" s="39">
        <f t="shared" si="9"/>
        <v>0.08888888889</v>
      </c>
      <c r="AB103" s="39">
        <f t="shared" si="6"/>
        <v>0.2</v>
      </c>
    </row>
    <row r="104">
      <c r="A104" s="23" t="s">
        <v>183</v>
      </c>
      <c r="B104" s="30">
        <v>1.0</v>
      </c>
      <c r="C104" s="30">
        <v>0.0</v>
      </c>
      <c r="D104" s="30">
        <v>0.0</v>
      </c>
      <c r="E104" s="30">
        <v>0.0</v>
      </c>
      <c r="F104" s="30">
        <v>0.0</v>
      </c>
      <c r="G104" s="30">
        <v>0.0</v>
      </c>
      <c r="H104" s="29">
        <f t="shared" si="2"/>
        <v>1</v>
      </c>
      <c r="I104" s="30">
        <v>0.0</v>
      </c>
      <c r="J104" s="30">
        <v>0.0</v>
      </c>
      <c r="K104" s="30">
        <v>0.0</v>
      </c>
      <c r="L104" s="31">
        <f t="shared" si="3"/>
        <v>0</v>
      </c>
      <c r="M104" s="29">
        <v>45.0</v>
      </c>
      <c r="N104" s="30">
        <v>8.0</v>
      </c>
      <c r="O104" s="30">
        <v>8.0</v>
      </c>
      <c r="P104" s="30">
        <v>7.0</v>
      </c>
      <c r="Q104" s="30">
        <v>8.0</v>
      </c>
      <c r="R104" s="30">
        <v>8.0</v>
      </c>
      <c r="S104" s="40">
        <v>6.0</v>
      </c>
      <c r="T104" s="35">
        <f t="shared" ref="T104:Y104" si="109">B104/(IF(N104&gt;0,N104,1))</f>
        <v>0.125</v>
      </c>
      <c r="U104" s="36">
        <f t="shared" si="109"/>
        <v>0</v>
      </c>
      <c r="V104" s="36">
        <f t="shared" si="109"/>
        <v>0</v>
      </c>
      <c r="W104" s="36">
        <f t="shared" si="109"/>
        <v>0</v>
      </c>
      <c r="X104" s="36">
        <f t="shared" si="109"/>
        <v>0</v>
      </c>
      <c r="Y104" s="37">
        <f t="shared" si="109"/>
        <v>0</v>
      </c>
      <c r="Z104" s="39">
        <f t="shared" si="12"/>
        <v>0.02222222222</v>
      </c>
      <c r="AA104" s="39">
        <f t="shared" si="9"/>
        <v>0.08888888889</v>
      </c>
      <c r="AB104" s="39">
        <f t="shared" si="6"/>
        <v>0.08888888889</v>
      </c>
    </row>
    <row r="105">
      <c r="A105" s="23" t="s">
        <v>184</v>
      </c>
      <c r="B105" s="30">
        <v>1.0</v>
      </c>
      <c r="C105" s="30">
        <v>0.0</v>
      </c>
      <c r="D105" s="30">
        <v>0.0</v>
      </c>
      <c r="E105" s="30">
        <v>0.0</v>
      </c>
      <c r="F105" s="30">
        <v>0.0</v>
      </c>
      <c r="G105" s="30">
        <v>0.0</v>
      </c>
      <c r="H105" s="29">
        <f t="shared" si="2"/>
        <v>1</v>
      </c>
      <c r="I105" s="30">
        <v>0.0</v>
      </c>
      <c r="J105" s="30">
        <v>0.0</v>
      </c>
      <c r="K105" s="30">
        <v>0.0</v>
      </c>
      <c r="L105" s="31">
        <f t="shared" si="3"/>
        <v>0</v>
      </c>
      <c r="M105" s="29">
        <v>45.0</v>
      </c>
      <c r="N105" s="30">
        <v>6.0</v>
      </c>
      <c r="O105" s="30">
        <v>9.0</v>
      </c>
      <c r="P105" s="30">
        <v>9.0</v>
      </c>
      <c r="Q105" s="30">
        <v>9.0</v>
      </c>
      <c r="R105" s="30">
        <v>7.0</v>
      </c>
      <c r="S105" s="40">
        <v>5.0</v>
      </c>
      <c r="T105" s="35">
        <f t="shared" ref="T105:Y105" si="110">B105/(IF(N105&gt;0,N105,1))</f>
        <v>0.1666666667</v>
      </c>
      <c r="U105" s="36">
        <f t="shared" si="110"/>
        <v>0</v>
      </c>
      <c r="V105" s="36">
        <f t="shared" si="110"/>
        <v>0</v>
      </c>
      <c r="W105" s="36">
        <f t="shared" si="110"/>
        <v>0</v>
      </c>
      <c r="X105" s="36">
        <f t="shared" si="110"/>
        <v>0</v>
      </c>
      <c r="Y105" s="37">
        <f t="shared" si="110"/>
        <v>0</v>
      </c>
      <c r="Z105" s="39">
        <f t="shared" si="12"/>
        <v>0.02222222222</v>
      </c>
      <c r="AA105" s="39">
        <f t="shared" si="9"/>
        <v>0.08888888889</v>
      </c>
      <c r="AB105" s="39">
        <f t="shared" si="6"/>
        <v>0.08888888889</v>
      </c>
    </row>
    <row r="106">
      <c r="A106" s="23" t="s">
        <v>185</v>
      </c>
      <c r="B106" s="30">
        <v>0.0</v>
      </c>
      <c r="C106" s="30">
        <v>2.0</v>
      </c>
      <c r="D106" s="30">
        <v>0.0</v>
      </c>
      <c r="E106" s="30">
        <v>0.0</v>
      </c>
      <c r="F106" s="30">
        <v>0.0</v>
      </c>
      <c r="G106" s="30">
        <v>1.0</v>
      </c>
      <c r="H106" s="29">
        <f t="shared" si="2"/>
        <v>3</v>
      </c>
      <c r="I106" s="30">
        <v>1.0</v>
      </c>
      <c r="J106" s="30">
        <v>5.0</v>
      </c>
      <c r="K106" s="30">
        <v>0.0</v>
      </c>
      <c r="L106" s="31">
        <f t="shared" si="3"/>
        <v>0</v>
      </c>
      <c r="M106" s="29">
        <v>91.0</v>
      </c>
      <c r="N106" s="30">
        <v>16.0</v>
      </c>
      <c r="O106" s="30">
        <v>16.0</v>
      </c>
      <c r="P106" s="30">
        <v>15.0</v>
      </c>
      <c r="Q106" s="30">
        <v>16.0</v>
      </c>
      <c r="R106" s="30">
        <v>16.0</v>
      </c>
      <c r="S106" s="40">
        <v>12.0</v>
      </c>
      <c r="T106" s="35">
        <f t="shared" ref="T106:Y106" si="111">B106/(IF(N106&gt;0,N106,1))</f>
        <v>0</v>
      </c>
      <c r="U106" s="36">
        <f t="shared" si="111"/>
        <v>0.125</v>
      </c>
      <c r="V106" s="36">
        <f t="shared" si="111"/>
        <v>0</v>
      </c>
      <c r="W106" s="36">
        <f t="shared" si="111"/>
        <v>0</v>
      </c>
      <c r="X106" s="36">
        <f t="shared" si="111"/>
        <v>0</v>
      </c>
      <c r="Y106" s="37">
        <f t="shared" si="111"/>
        <v>0.08333333333</v>
      </c>
      <c r="Z106" s="39">
        <f t="shared" si="12"/>
        <v>0.03296703297</v>
      </c>
      <c r="AA106" s="39">
        <f t="shared" si="9"/>
        <v>0.08791208791</v>
      </c>
      <c r="AB106" s="39">
        <f t="shared" si="6"/>
        <v>0.08791208791</v>
      </c>
    </row>
    <row r="107">
      <c r="A107" s="23" t="s">
        <v>186</v>
      </c>
      <c r="B107" s="30">
        <v>0.0</v>
      </c>
      <c r="C107" s="30">
        <v>0.0</v>
      </c>
      <c r="D107" s="30">
        <v>0.0</v>
      </c>
      <c r="E107" s="30">
        <v>0.0</v>
      </c>
      <c r="F107" s="30">
        <v>0.0</v>
      </c>
      <c r="G107" s="30">
        <v>1.0</v>
      </c>
      <c r="H107" s="29">
        <f t="shared" si="2"/>
        <v>1</v>
      </c>
      <c r="I107" s="30">
        <v>0.0</v>
      </c>
      <c r="J107" s="30">
        <v>2.0</v>
      </c>
      <c r="K107" s="30">
        <v>0.0</v>
      </c>
      <c r="L107" s="31">
        <f t="shared" si="3"/>
        <v>0</v>
      </c>
      <c r="M107" s="29">
        <v>46.0</v>
      </c>
      <c r="N107" s="30">
        <v>8.0</v>
      </c>
      <c r="O107" s="30">
        <v>8.0</v>
      </c>
      <c r="P107" s="30">
        <v>8.0</v>
      </c>
      <c r="Q107" s="30">
        <v>8.0</v>
      </c>
      <c r="R107" s="30">
        <v>8.0</v>
      </c>
      <c r="S107" s="40">
        <v>6.0</v>
      </c>
      <c r="T107" s="35">
        <f t="shared" ref="T107:Y107" si="112">B107/(IF(N107&gt;0,N107,1))</f>
        <v>0</v>
      </c>
      <c r="U107" s="36">
        <f t="shared" si="112"/>
        <v>0</v>
      </c>
      <c r="V107" s="36">
        <f t="shared" si="112"/>
        <v>0</v>
      </c>
      <c r="W107" s="36">
        <f t="shared" si="112"/>
        <v>0</v>
      </c>
      <c r="X107" s="36">
        <f t="shared" si="112"/>
        <v>0</v>
      </c>
      <c r="Y107" s="37">
        <f t="shared" si="112"/>
        <v>0.1666666667</v>
      </c>
      <c r="Z107" s="39">
        <f t="shared" si="12"/>
        <v>0.02173913043</v>
      </c>
      <c r="AA107" s="39">
        <f t="shared" si="9"/>
        <v>0.08695652174</v>
      </c>
      <c r="AB107" s="39">
        <f t="shared" si="6"/>
        <v>0.08695652174</v>
      </c>
    </row>
    <row r="108">
      <c r="A108" s="23" t="s">
        <v>187</v>
      </c>
      <c r="B108" s="30">
        <v>3.0</v>
      </c>
      <c r="C108" s="30">
        <v>0.0</v>
      </c>
      <c r="D108" s="30">
        <v>0.0</v>
      </c>
      <c r="E108" s="30">
        <v>0.0</v>
      </c>
      <c r="F108" s="30">
        <v>0.0</v>
      </c>
      <c r="G108" s="30">
        <v>0.0</v>
      </c>
      <c r="H108" s="29">
        <f t="shared" si="2"/>
        <v>3</v>
      </c>
      <c r="I108" s="30">
        <v>0.0</v>
      </c>
      <c r="J108" s="30">
        <v>4.0</v>
      </c>
      <c r="K108" s="30">
        <v>0.0</v>
      </c>
      <c r="L108" s="31">
        <f t="shared" si="3"/>
        <v>0</v>
      </c>
      <c r="M108" s="29">
        <v>138.0</v>
      </c>
      <c r="N108" s="30">
        <v>24.0</v>
      </c>
      <c r="O108" s="30">
        <v>24.0</v>
      </c>
      <c r="P108" s="30">
        <v>24.0</v>
      </c>
      <c r="Q108" s="30">
        <v>24.0</v>
      </c>
      <c r="R108" s="30">
        <v>24.0</v>
      </c>
      <c r="S108" s="40">
        <v>18.0</v>
      </c>
      <c r="T108" s="35">
        <f t="shared" ref="T108:Y108" si="113">B108/(IF(N108&gt;0,N108,1))</f>
        <v>0.125</v>
      </c>
      <c r="U108" s="36">
        <f t="shared" si="113"/>
        <v>0</v>
      </c>
      <c r="V108" s="36">
        <f t="shared" si="113"/>
        <v>0</v>
      </c>
      <c r="W108" s="36">
        <f t="shared" si="113"/>
        <v>0</v>
      </c>
      <c r="X108" s="36">
        <f t="shared" si="113"/>
        <v>0</v>
      </c>
      <c r="Y108" s="37">
        <f t="shared" si="113"/>
        <v>0</v>
      </c>
      <c r="Z108" s="39">
        <f t="shared" si="12"/>
        <v>0.02173913043</v>
      </c>
      <c r="AA108" s="39">
        <f t="shared" si="9"/>
        <v>0.08695652174</v>
      </c>
      <c r="AB108" s="39">
        <f t="shared" si="6"/>
        <v>0.08695652174</v>
      </c>
    </row>
    <row r="109">
      <c r="A109" s="23" t="s">
        <v>188</v>
      </c>
      <c r="B109" s="30">
        <v>0.0</v>
      </c>
      <c r="C109" s="30">
        <v>1.0</v>
      </c>
      <c r="D109" s="30">
        <v>0.0</v>
      </c>
      <c r="E109" s="30">
        <v>0.0</v>
      </c>
      <c r="F109" s="30">
        <v>0.0</v>
      </c>
      <c r="G109" s="30">
        <v>0.0</v>
      </c>
      <c r="H109" s="29">
        <f t="shared" si="2"/>
        <v>1</v>
      </c>
      <c r="I109" s="30">
        <v>0.0</v>
      </c>
      <c r="J109" s="30">
        <v>0.0</v>
      </c>
      <c r="K109" s="30">
        <v>1.0</v>
      </c>
      <c r="L109" s="31">
        <f t="shared" si="3"/>
        <v>1</v>
      </c>
      <c r="M109" s="29">
        <v>46.0</v>
      </c>
      <c r="N109" s="30">
        <v>8.0</v>
      </c>
      <c r="O109" s="30">
        <v>8.0</v>
      </c>
      <c r="P109" s="30">
        <v>8.0</v>
      </c>
      <c r="Q109" s="30">
        <v>8.0</v>
      </c>
      <c r="R109" s="30">
        <v>8.0</v>
      </c>
      <c r="S109" s="40">
        <v>6.0</v>
      </c>
      <c r="T109" s="35">
        <f t="shared" ref="T109:Y109" si="114">B109/(IF(N109&gt;0,N109,1))</f>
        <v>0</v>
      </c>
      <c r="U109" s="36">
        <f t="shared" si="114"/>
        <v>0.125</v>
      </c>
      <c r="V109" s="36">
        <f t="shared" si="114"/>
        <v>0</v>
      </c>
      <c r="W109" s="36">
        <f t="shared" si="114"/>
        <v>0</v>
      </c>
      <c r="X109" s="36">
        <f t="shared" si="114"/>
        <v>0</v>
      </c>
      <c r="Y109" s="37">
        <f t="shared" si="114"/>
        <v>0</v>
      </c>
      <c r="Z109" s="39">
        <f t="shared" si="12"/>
        <v>0.02173913043</v>
      </c>
      <c r="AA109" s="39">
        <f t="shared" si="9"/>
        <v>0.08695652174</v>
      </c>
      <c r="AB109" s="39">
        <f t="shared" si="6"/>
        <v>0.3043478261</v>
      </c>
    </row>
    <row r="110">
      <c r="A110" s="23" t="s">
        <v>189</v>
      </c>
      <c r="B110" s="30">
        <v>0.0</v>
      </c>
      <c r="C110" s="30">
        <v>1.0</v>
      </c>
      <c r="D110" s="30">
        <v>0.0</v>
      </c>
      <c r="E110" s="30">
        <v>0.0</v>
      </c>
      <c r="F110" s="30">
        <v>0.0</v>
      </c>
      <c r="G110" s="30">
        <v>0.0</v>
      </c>
      <c r="H110" s="29">
        <f t="shared" si="2"/>
        <v>1</v>
      </c>
      <c r="I110" s="30">
        <v>0.0</v>
      </c>
      <c r="J110" s="30">
        <v>0.0</v>
      </c>
      <c r="K110" s="30">
        <v>1.0</v>
      </c>
      <c r="L110" s="31">
        <f t="shared" si="3"/>
        <v>1</v>
      </c>
      <c r="M110" s="29">
        <v>46.0</v>
      </c>
      <c r="N110" s="30">
        <v>8.0</v>
      </c>
      <c r="O110" s="30">
        <v>8.0</v>
      </c>
      <c r="P110" s="30">
        <v>8.0</v>
      </c>
      <c r="Q110" s="30">
        <v>8.0</v>
      </c>
      <c r="R110" s="30">
        <v>8.0</v>
      </c>
      <c r="S110" s="40">
        <v>6.0</v>
      </c>
      <c r="T110" s="35">
        <f t="shared" ref="T110:Y110" si="115">B110/(IF(N110&gt;0,N110,1))</f>
        <v>0</v>
      </c>
      <c r="U110" s="36">
        <f t="shared" si="115"/>
        <v>0.125</v>
      </c>
      <c r="V110" s="36">
        <f t="shared" si="115"/>
        <v>0</v>
      </c>
      <c r="W110" s="36">
        <f t="shared" si="115"/>
        <v>0</v>
      </c>
      <c r="X110" s="36">
        <f t="shared" si="115"/>
        <v>0</v>
      </c>
      <c r="Y110" s="37">
        <f t="shared" si="115"/>
        <v>0</v>
      </c>
      <c r="Z110" s="39">
        <f t="shared" si="12"/>
        <v>0.02173913043</v>
      </c>
      <c r="AA110" s="39">
        <f t="shared" si="9"/>
        <v>0.08695652174</v>
      </c>
      <c r="AB110" s="39">
        <f t="shared" si="6"/>
        <v>0.3043478261</v>
      </c>
    </row>
    <row r="111">
      <c r="A111" s="8" t="s">
        <v>190</v>
      </c>
      <c r="B111" s="9">
        <v>0.0</v>
      </c>
      <c r="C111" s="9">
        <v>1.0</v>
      </c>
      <c r="D111" s="9">
        <v>1.0</v>
      </c>
      <c r="E111" s="9">
        <v>0.0</v>
      </c>
      <c r="F111" s="9">
        <v>0.0</v>
      </c>
      <c r="G111" s="9">
        <v>0.0</v>
      </c>
      <c r="H111" s="29">
        <f t="shared" si="2"/>
        <v>2</v>
      </c>
      <c r="I111" s="9">
        <v>0.0</v>
      </c>
      <c r="J111" s="9">
        <v>1.0</v>
      </c>
      <c r="K111" s="9">
        <v>0.0</v>
      </c>
      <c r="L111" s="31">
        <f t="shared" si="3"/>
        <v>0</v>
      </c>
      <c r="M111" s="18">
        <v>102.0</v>
      </c>
      <c r="N111" s="9">
        <v>16.0</v>
      </c>
      <c r="O111" s="9">
        <v>18.0</v>
      </c>
      <c r="P111" s="9">
        <v>16.0</v>
      </c>
      <c r="Q111" s="9">
        <v>19.0</v>
      </c>
      <c r="R111" s="9">
        <v>18.0</v>
      </c>
      <c r="S111" s="50">
        <v>15.0</v>
      </c>
      <c r="T111" s="35">
        <f t="shared" ref="T111:Y111" si="116">B111/(IF(N111&gt;0,N111,1))</f>
        <v>0</v>
      </c>
      <c r="U111" s="36">
        <f t="shared" si="116"/>
        <v>0.05555555556</v>
      </c>
      <c r="V111" s="36">
        <f t="shared" si="116"/>
        <v>0.0625</v>
      </c>
      <c r="W111" s="36">
        <f t="shared" si="116"/>
        <v>0</v>
      </c>
      <c r="X111" s="36">
        <f t="shared" si="116"/>
        <v>0</v>
      </c>
      <c r="Y111" s="37">
        <f t="shared" si="116"/>
        <v>0</v>
      </c>
      <c r="Z111" s="39">
        <f t="shared" si="12"/>
        <v>0.01960784314</v>
      </c>
      <c r="AA111" s="39">
        <f t="shared" si="9"/>
        <v>0.07843137255</v>
      </c>
      <c r="AB111" s="39">
        <f t="shared" si="6"/>
        <v>0.07843137255</v>
      </c>
    </row>
    <row r="112">
      <c r="A112" s="23" t="s">
        <v>191</v>
      </c>
      <c r="B112" s="30">
        <v>0.0</v>
      </c>
      <c r="C112" s="30">
        <v>1.0</v>
      </c>
      <c r="D112" s="30">
        <v>0.0</v>
      </c>
      <c r="E112" s="30">
        <v>0.0</v>
      </c>
      <c r="F112" s="30">
        <v>6.0</v>
      </c>
      <c r="G112" s="30">
        <v>1.0</v>
      </c>
      <c r="H112" s="29">
        <f t="shared" si="2"/>
        <v>8</v>
      </c>
      <c r="I112" s="30">
        <v>6.0</v>
      </c>
      <c r="J112" s="30">
        <v>5.0</v>
      </c>
      <c r="K112" s="30">
        <v>5.0</v>
      </c>
      <c r="L112" s="31">
        <f t="shared" si="3"/>
        <v>0.625</v>
      </c>
      <c r="M112" s="29">
        <v>115.0</v>
      </c>
      <c r="N112" s="30">
        <v>20.0</v>
      </c>
      <c r="O112" s="30">
        <v>20.0</v>
      </c>
      <c r="P112" s="30">
        <v>21.0</v>
      </c>
      <c r="Q112" s="30">
        <v>19.0</v>
      </c>
      <c r="R112" s="30">
        <v>20.0</v>
      </c>
      <c r="S112" s="40">
        <v>15.0</v>
      </c>
      <c r="T112" s="35">
        <f t="shared" ref="T112:Y112" si="117">B112/(IF(N112&gt;0,N112,1))</f>
        <v>0</v>
      </c>
      <c r="U112" s="36">
        <f t="shared" si="117"/>
        <v>0.05</v>
      </c>
      <c r="V112" s="36">
        <f t="shared" si="117"/>
        <v>0</v>
      </c>
      <c r="W112" s="36">
        <f t="shared" si="117"/>
        <v>0</v>
      </c>
      <c r="X112" s="36">
        <f t="shared" si="117"/>
        <v>0.3</v>
      </c>
      <c r="Y112" s="37">
        <f t="shared" si="117"/>
        <v>0.06666666667</v>
      </c>
      <c r="Z112" s="39">
        <f t="shared" si="12"/>
        <v>0.06956521739</v>
      </c>
      <c r="AA112" s="39">
        <f t="shared" si="9"/>
        <v>0.06956521739</v>
      </c>
      <c r="AB112" s="39">
        <f t="shared" si="6"/>
        <v>0.5043478261</v>
      </c>
    </row>
    <row r="113">
      <c r="A113" s="23" t="s">
        <v>192</v>
      </c>
      <c r="B113" s="30">
        <v>0.0</v>
      </c>
      <c r="C113" s="30">
        <v>2.0</v>
      </c>
      <c r="D113" s="30">
        <v>0.0</v>
      </c>
      <c r="E113" s="30">
        <v>0.0</v>
      </c>
      <c r="F113" s="30">
        <v>0.0</v>
      </c>
      <c r="G113" s="30">
        <v>0.0</v>
      </c>
      <c r="H113" s="29">
        <f t="shared" si="2"/>
        <v>2</v>
      </c>
      <c r="I113" s="30">
        <v>0.0</v>
      </c>
      <c r="J113" s="30">
        <v>5.0</v>
      </c>
      <c r="K113" s="30">
        <v>0.0</v>
      </c>
      <c r="L113" s="31">
        <f t="shared" si="3"/>
        <v>0</v>
      </c>
      <c r="M113" s="29">
        <v>115.0</v>
      </c>
      <c r="N113" s="30">
        <v>20.0</v>
      </c>
      <c r="O113" s="30">
        <v>20.0</v>
      </c>
      <c r="P113" s="30">
        <v>21.0</v>
      </c>
      <c r="Q113" s="30">
        <v>19.0</v>
      </c>
      <c r="R113" s="30">
        <v>20.0</v>
      </c>
      <c r="S113" s="40">
        <v>15.0</v>
      </c>
      <c r="T113" s="35">
        <f t="shared" ref="T113:Y113" si="118">B113/(IF(N113&gt;0,N113,1))</f>
        <v>0</v>
      </c>
      <c r="U113" s="36">
        <f t="shared" si="118"/>
        <v>0.1</v>
      </c>
      <c r="V113" s="36">
        <f t="shared" si="118"/>
        <v>0</v>
      </c>
      <c r="W113" s="36">
        <f t="shared" si="118"/>
        <v>0</v>
      </c>
      <c r="X113" s="36">
        <f t="shared" si="118"/>
        <v>0</v>
      </c>
      <c r="Y113" s="37">
        <f t="shared" si="118"/>
        <v>0</v>
      </c>
      <c r="Z113" s="39">
        <f t="shared" si="12"/>
        <v>0.01739130435</v>
      </c>
      <c r="AA113" s="39">
        <f t="shared" si="9"/>
        <v>0.06956521739</v>
      </c>
      <c r="AB113" s="39">
        <f t="shared" si="6"/>
        <v>0.06956521739</v>
      </c>
    </row>
    <row r="114">
      <c r="A114" s="23" t="s">
        <v>193</v>
      </c>
      <c r="B114" s="30">
        <v>1.0</v>
      </c>
      <c r="C114" s="30">
        <v>0.0</v>
      </c>
      <c r="D114" s="30">
        <v>0.0</v>
      </c>
      <c r="E114" s="30">
        <v>0.0</v>
      </c>
      <c r="F114" s="30">
        <v>0.0</v>
      </c>
      <c r="G114" s="30">
        <v>0.0</v>
      </c>
      <c r="H114" s="29">
        <f t="shared" si="2"/>
        <v>1</v>
      </c>
      <c r="I114" s="30">
        <v>0.0</v>
      </c>
      <c r="J114" s="30">
        <v>1.0</v>
      </c>
      <c r="K114" s="30">
        <v>0.0</v>
      </c>
      <c r="L114" s="31">
        <f t="shared" si="3"/>
        <v>0</v>
      </c>
      <c r="M114" s="29">
        <v>66.0</v>
      </c>
      <c r="N114" s="30">
        <v>11.0</v>
      </c>
      <c r="O114" s="30">
        <v>12.0</v>
      </c>
      <c r="P114" s="30">
        <v>12.0</v>
      </c>
      <c r="Q114" s="30">
        <v>11.0</v>
      </c>
      <c r="R114" s="30">
        <v>12.0</v>
      </c>
      <c r="S114" s="40">
        <v>8.0</v>
      </c>
      <c r="T114" s="35">
        <f t="shared" ref="T114:Y114" si="119">B114/(IF(N114&gt;0,N114,1))</f>
        <v>0.09090909091</v>
      </c>
      <c r="U114" s="36">
        <f t="shared" si="119"/>
        <v>0</v>
      </c>
      <c r="V114" s="36">
        <f t="shared" si="119"/>
        <v>0</v>
      </c>
      <c r="W114" s="36">
        <f t="shared" si="119"/>
        <v>0</v>
      </c>
      <c r="X114" s="36">
        <f t="shared" si="119"/>
        <v>0</v>
      </c>
      <c r="Y114" s="37">
        <f t="shared" si="119"/>
        <v>0</v>
      </c>
      <c r="Z114" s="39">
        <f t="shared" si="12"/>
        <v>0.01515151515</v>
      </c>
      <c r="AA114" s="39">
        <f t="shared" si="9"/>
        <v>0.06060606061</v>
      </c>
      <c r="AB114" s="39">
        <f t="shared" si="6"/>
        <v>0.06060606061</v>
      </c>
    </row>
    <row r="115">
      <c r="A115" s="23" t="s">
        <v>194</v>
      </c>
      <c r="B115" s="30">
        <v>0.0</v>
      </c>
      <c r="C115" s="30">
        <v>0.0</v>
      </c>
      <c r="D115" s="30">
        <v>0.0</v>
      </c>
      <c r="E115" s="30">
        <v>0.0</v>
      </c>
      <c r="F115" s="30">
        <v>1.0</v>
      </c>
      <c r="G115" s="30">
        <v>0.0</v>
      </c>
      <c r="H115" s="29">
        <f t="shared" si="2"/>
        <v>1</v>
      </c>
      <c r="I115" s="30">
        <v>0.0</v>
      </c>
      <c r="J115" s="30">
        <v>0.0</v>
      </c>
      <c r="K115" s="30">
        <v>0.0</v>
      </c>
      <c r="L115" s="31">
        <f t="shared" si="3"/>
        <v>0</v>
      </c>
      <c r="M115" s="29">
        <v>67.0</v>
      </c>
      <c r="N115" s="30">
        <v>12.0</v>
      </c>
      <c r="O115" s="30">
        <v>10.0</v>
      </c>
      <c r="P115" s="30">
        <v>12.0</v>
      </c>
      <c r="Q115" s="30">
        <v>12.0</v>
      </c>
      <c r="R115" s="30">
        <v>12.0</v>
      </c>
      <c r="S115" s="40">
        <v>9.0</v>
      </c>
      <c r="T115" s="35">
        <f t="shared" ref="T115:Y115" si="120">B115/(IF(N115&gt;0,N115,1))</f>
        <v>0</v>
      </c>
      <c r="U115" s="36">
        <f t="shared" si="120"/>
        <v>0</v>
      </c>
      <c r="V115" s="36">
        <f t="shared" si="120"/>
        <v>0</v>
      </c>
      <c r="W115" s="36">
        <f t="shared" si="120"/>
        <v>0</v>
      </c>
      <c r="X115" s="36">
        <f t="shared" si="120"/>
        <v>0.08333333333</v>
      </c>
      <c r="Y115" s="37">
        <f t="shared" si="120"/>
        <v>0</v>
      </c>
      <c r="Z115" s="39">
        <f t="shared" si="12"/>
        <v>0.01492537313</v>
      </c>
      <c r="AA115" s="39">
        <f t="shared" si="9"/>
        <v>0.05970149254</v>
      </c>
      <c r="AB115" s="39">
        <f t="shared" si="6"/>
        <v>0.05970149254</v>
      </c>
    </row>
    <row r="116">
      <c r="A116" s="23" t="s">
        <v>195</v>
      </c>
      <c r="B116" s="30">
        <v>0.0</v>
      </c>
      <c r="C116" s="30">
        <v>1.0</v>
      </c>
      <c r="D116" s="30">
        <v>0.0</v>
      </c>
      <c r="E116" s="30">
        <v>0.0</v>
      </c>
      <c r="F116" s="30">
        <v>0.0</v>
      </c>
      <c r="G116" s="30">
        <v>0.0</v>
      </c>
      <c r="H116" s="29">
        <f t="shared" si="2"/>
        <v>1</v>
      </c>
      <c r="I116" s="30">
        <v>0.0</v>
      </c>
      <c r="J116" s="30">
        <v>1.0</v>
      </c>
      <c r="K116" s="30">
        <v>0.0</v>
      </c>
      <c r="L116" s="31">
        <f t="shared" si="3"/>
        <v>0</v>
      </c>
      <c r="M116" s="29">
        <v>67.0</v>
      </c>
      <c r="N116" s="30">
        <v>12.0</v>
      </c>
      <c r="O116" s="30">
        <v>10.0</v>
      </c>
      <c r="P116" s="30">
        <v>12.0</v>
      </c>
      <c r="Q116" s="30">
        <v>12.0</v>
      </c>
      <c r="R116" s="30">
        <v>12.0</v>
      </c>
      <c r="S116" s="40">
        <v>9.0</v>
      </c>
      <c r="T116" s="35">
        <f t="shared" ref="T116:Y116" si="121">B116/(IF(N116&gt;0,N116,1))</f>
        <v>0</v>
      </c>
      <c r="U116" s="36">
        <f t="shared" si="121"/>
        <v>0.1</v>
      </c>
      <c r="V116" s="36">
        <f t="shared" si="121"/>
        <v>0</v>
      </c>
      <c r="W116" s="36">
        <f t="shared" si="121"/>
        <v>0</v>
      </c>
      <c r="X116" s="36">
        <f t="shared" si="121"/>
        <v>0</v>
      </c>
      <c r="Y116" s="37">
        <f t="shared" si="121"/>
        <v>0</v>
      </c>
      <c r="Z116" s="39">
        <f t="shared" si="12"/>
        <v>0.01492537313</v>
      </c>
      <c r="AA116" s="39">
        <f t="shared" si="9"/>
        <v>0.05970149254</v>
      </c>
      <c r="AB116" s="39">
        <f t="shared" si="6"/>
        <v>0.05970149254</v>
      </c>
    </row>
    <row r="117">
      <c r="A117" s="23" t="s">
        <v>196</v>
      </c>
      <c r="B117" s="30">
        <v>0.0</v>
      </c>
      <c r="C117" s="30">
        <v>0.0</v>
      </c>
      <c r="D117" s="30">
        <v>0.0</v>
      </c>
      <c r="E117" s="30">
        <v>1.0</v>
      </c>
      <c r="F117" s="30">
        <v>0.0</v>
      </c>
      <c r="G117" s="30">
        <v>0.0</v>
      </c>
      <c r="H117" s="29">
        <f t="shared" si="2"/>
        <v>1</v>
      </c>
      <c r="I117" s="30">
        <v>0.0</v>
      </c>
      <c r="J117" s="30">
        <v>10.0</v>
      </c>
      <c r="K117" s="30">
        <v>0.0</v>
      </c>
      <c r="L117" s="31">
        <f t="shared" si="3"/>
        <v>0</v>
      </c>
      <c r="M117" s="29">
        <v>82.0</v>
      </c>
      <c r="N117" s="30">
        <v>15.0</v>
      </c>
      <c r="O117" s="30">
        <v>14.0</v>
      </c>
      <c r="P117" s="30">
        <v>14.0</v>
      </c>
      <c r="Q117" s="30">
        <v>14.0</v>
      </c>
      <c r="R117" s="30">
        <v>15.0</v>
      </c>
      <c r="S117" s="40">
        <v>10.0</v>
      </c>
      <c r="T117" s="35">
        <f t="shared" ref="T117:Y117" si="122">B117/(IF(N117&gt;0,N117,1))</f>
        <v>0</v>
      </c>
      <c r="U117" s="36">
        <f t="shared" si="122"/>
        <v>0</v>
      </c>
      <c r="V117" s="36">
        <f t="shared" si="122"/>
        <v>0</v>
      </c>
      <c r="W117" s="36">
        <f t="shared" si="122"/>
        <v>0.07142857143</v>
      </c>
      <c r="X117" s="36">
        <f t="shared" si="122"/>
        <v>0</v>
      </c>
      <c r="Y117" s="37">
        <f t="shared" si="122"/>
        <v>0</v>
      </c>
      <c r="Z117" s="39">
        <f t="shared" si="12"/>
        <v>0.01219512195</v>
      </c>
      <c r="AA117" s="39">
        <f t="shared" si="9"/>
        <v>0.0487804878</v>
      </c>
      <c r="AB117" s="39">
        <f t="shared" si="6"/>
        <v>0.0487804878</v>
      </c>
    </row>
    <row r="118">
      <c r="A118" s="8" t="s">
        <v>197</v>
      </c>
      <c r="B118" s="9">
        <v>0.0</v>
      </c>
      <c r="C118" s="9">
        <v>0.0</v>
      </c>
      <c r="D118" s="9">
        <v>0.0</v>
      </c>
      <c r="E118" s="9">
        <v>0.0</v>
      </c>
      <c r="F118" s="9">
        <v>1.0</v>
      </c>
      <c r="G118" s="9">
        <v>0.0</v>
      </c>
      <c r="H118" s="29">
        <f t="shared" si="2"/>
        <v>1</v>
      </c>
      <c r="I118" s="9">
        <v>0.0</v>
      </c>
      <c r="J118" s="9">
        <v>5.0</v>
      </c>
      <c r="K118" s="9">
        <v>1.0</v>
      </c>
      <c r="L118" s="31">
        <f t="shared" si="3"/>
        <v>1</v>
      </c>
      <c r="M118" s="18">
        <v>89.0</v>
      </c>
      <c r="N118" s="9">
        <v>16.0</v>
      </c>
      <c r="O118" s="9">
        <v>15.0</v>
      </c>
      <c r="P118" s="9">
        <v>15.0</v>
      </c>
      <c r="Q118" s="9">
        <v>16.0</v>
      </c>
      <c r="R118" s="9">
        <v>15.0</v>
      </c>
      <c r="S118" s="10">
        <v>12.0</v>
      </c>
      <c r="T118" s="35">
        <f t="shared" ref="T118:Y118" si="123">B118/(IF(N118&gt;0,N118,1))</f>
        <v>0</v>
      </c>
      <c r="U118" s="36">
        <f t="shared" si="123"/>
        <v>0</v>
      </c>
      <c r="V118" s="36">
        <f t="shared" si="123"/>
        <v>0</v>
      </c>
      <c r="W118" s="36">
        <f t="shared" si="123"/>
        <v>0</v>
      </c>
      <c r="X118" s="36">
        <f t="shared" si="123"/>
        <v>0.06666666667</v>
      </c>
      <c r="Y118" s="37">
        <f t="shared" si="123"/>
        <v>0</v>
      </c>
      <c r="Z118" s="39">
        <f t="shared" si="12"/>
        <v>0.01123595506</v>
      </c>
      <c r="AA118" s="39">
        <f t="shared" si="9"/>
        <v>0.04494382022</v>
      </c>
      <c r="AB118" s="39">
        <f t="shared" si="6"/>
        <v>0.1573033708</v>
      </c>
    </row>
    <row r="119">
      <c r="A119" s="23" t="s">
        <v>198</v>
      </c>
      <c r="B119" s="30">
        <v>0.0</v>
      </c>
      <c r="C119" s="30">
        <v>0.0</v>
      </c>
      <c r="D119" s="30">
        <v>0.0</v>
      </c>
      <c r="E119" s="30">
        <v>0.0</v>
      </c>
      <c r="F119" s="30">
        <v>0.0</v>
      </c>
      <c r="G119" s="30">
        <v>1.0</v>
      </c>
      <c r="H119" s="29">
        <f t="shared" si="2"/>
        <v>1</v>
      </c>
      <c r="I119" s="30">
        <v>0.0</v>
      </c>
      <c r="J119" s="30">
        <v>4.0</v>
      </c>
      <c r="K119" s="30">
        <v>0.0</v>
      </c>
      <c r="L119" s="31">
        <f t="shared" si="3"/>
        <v>0</v>
      </c>
      <c r="M119" s="29">
        <v>92.0</v>
      </c>
      <c r="N119" s="30">
        <v>16.0</v>
      </c>
      <c r="O119" s="30">
        <v>16.0</v>
      </c>
      <c r="P119" s="30">
        <v>16.0</v>
      </c>
      <c r="Q119" s="30">
        <v>16.0</v>
      </c>
      <c r="R119" s="30">
        <v>16.0</v>
      </c>
      <c r="S119" s="40">
        <v>12.0</v>
      </c>
      <c r="T119" s="35">
        <f t="shared" ref="T119:Y119" si="124">B119/(IF(N119&gt;0,N119,1))</f>
        <v>0</v>
      </c>
      <c r="U119" s="36">
        <f t="shared" si="124"/>
        <v>0</v>
      </c>
      <c r="V119" s="36">
        <f t="shared" si="124"/>
        <v>0</v>
      </c>
      <c r="W119" s="36">
        <f t="shared" si="124"/>
        <v>0</v>
      </c>
      <c r="X119" s="36">
        <f t="shared" si="124"/>
        <v>0</v>
      </c>
      <c r="Y119" s="37">
        <f t="shared" si="124"/>
        <v>0.08333333333</v>
      </c>
      <c r="Z119" s="39">
        <f t="shared" si="12"/>
        <v>0.01086956522</v>
      </c>
      <c r="AA119" s="39">
        <f t="shared" si="9"/>
        <v>0.04347826087</v>
      </c>
      <c r="AB119" s="39">
        <f t="shared" si="6"/>
        <v>0.04347826087</v>
      </c>
    </row>
    <row r="120">
      <c r="A120" s="23" t="s">
        <v>199</v>
      </c>
      <c r="B120" s="30">
        <v>0.0</v>
      </c>
      <c r="C120" s="30">
        <v>0.0</v>
      </c>
      <c r="D120" s="30">
        <v>2.0</v>
      </c>
      <c r="E120" s="30">
        <v>0.0</v>
      </c>
      <c r="F120" s="30">
        <v>1.0</v>
      </c>
      <c r="G120" s="30">
        <v>0.0</v>
      </c>
      <c r="H120" s="29">
        <f t="shared" si="2"/>
        <v>3</v>
      </c>
      <c r="I120" s="30">
        <v>3.0</v>
      </c>
      <c r="J120" s="30">
        <v>7.0</v>
      </c>
      <c r="K120" s="30">
        <v>1.0</v>
      </c>
      <c r="L120" s="31">
        <f t="shared" si="3"/>
        <v>0.3333333333</v>
      </c>
      <c r="M120" s="29">
        <v>75.0</v>
      </c>
      <c r="N120" s="30">
        <v>13.0</v>
      </c>
      <c r="O120" s="30">
        <v>13.0</v>
      </c>
      <c r="P120" s="30">
        <v>13.0</v>
      </c>
      <c r="Q120" s="30">
        <v>13.0</v>
      </c>
      <c r="R120" s="30">
        <v>12.0</v>
      </c>
      <c r="S120" s="40">
        <v>11.0</v>
      </c>
      <c r="T120" s="35">
        <f t="shared" ref="T120:Y120" si="125">B120/(IF(N120&gt;0,N120,1))</f>
        <v>0</v>
      </c>
      <c r="U120" s="36">
        <f t="shared" si="125"/>
        <v>0</v>
      </c>
      <c r="V120" s="36">
        <f t="shared" si="125"/>
        <v>0.1538461538</v>
      </c>
      <c r="W120" s="36">
        <f t="shared" si="125"/>
        <v>0</v>
      </c>
      <c r="X120" s="36">
        <f t="shared" si="125"/>
        <v>0.08333333333</v>
      </c>
      <c r="Y120" s="37">
        <f t="shared" si="125"/>
        <v>0</v>
      </c>
      <c r="Z120" s="39">
        <f t="shared" si="12"/>
        <v>0.04</v>
      </c>
      <c r="AA120" s="39">
        <f t="shared" si="9"/>
        <v>0</v>
      </c>
      <c r="AB120" s="39">
        <f t="shared" si="6"/>
        <v>0.1333333333</v>
      </c>
    </row>
    <row r="121">
      <c r="A121" s="23" t="s">
        <v>200</v>
      </c>
      <c r="B121" s="30">
        <v>0.0</v>
      </c>
      <c r="C121" s="30">
        <v>0.0</v>
      </c>
      <c r="D121" s="30">
        <v>0.0</v>
      </c>
      <c r="E121" s="30">
        <v>0.0</v>
      </c>
      <c r="F121" s="30">
        <v>0.0</v>
      </c>
      <c r="G121" s="30">
        <v>0.0</v>
      </c>
      <c r="H121" s="29">
        <f t="shared" si="2"/>
        <v>0</v>
      </c>
      <c r="I121" s="30">
        <v>0.0</v>
      </c>
      <c r="J121" s="30">
        <v>1.0</v>
      </c>
      <c r="K121" s="30">
        <v>0.0</v>
      </c>
      <c r="L121" s="31">
        <f t="shared" si="3"/>
        <v>0</v>
      </c>
      <c r="M121" s="29">
        <v>45.0</v>
      </c>
      <c r="N121" s="30">
        <v>8.0</v>
      </c>
      <c r="O121" s="30">
        <v>7.0</v>
      </c>
      <c r="P121" s="30">
        <v>8.0</v>
      </c>
      <c r="Q121" s="30">
        <v>8.0</v>
      </c>
      <c r="R121" s="30">
        <v>8.0</v>
      </c>
      <c r="S121" s="40">
        <v>6.0</v>
      </c>
      <c r="T121" s="35">
        <f t="shared" ref="T121:Y121" si="126">B121/(IF(N121&gt;0,N121,1))</f>
        <v>0</v>
      </c>
      <c r="U121" s="36">
        <f t="shared" si="126"/>
        <v>0</v>
      </c>
      <c r="V121" s="36">
        <f t="shared" si="126"/>
        <v>0</v>
      </c>
      <c r="W121" s="36">
        <f t="shared" si="126"/>
        <v>0</v>
      </c>
      <c r="X121" s="36">
        <f t="shared" si="126"/>
        <v>0</v>
      </c>
      <c r="Y121" s="37">
        <f t="shared" si="126"/>
        <v>0</v>
      </c>
      <c r="Z121" s="39">
        <f t="shared" si="12"/>
        <v>0</v>
      </c>
      <c r="AA121" s="39">
        <f t="shared" si="9"/>
        <v>0</v>
      </c>
      <c r="AB121" s="39">
        <f t="shared" si="6"/>
        <v>0</v>
      </c>
    </row>
    <row r="122">
      <c r="A122" s="23" t="s">
        <v>201</v>
      </c>
      <c r="B122" s="30">
        <v>0.0</v>
      </c>
      <c r="C122" s="30">
        <v>0.0</v>
      </c>
      <c r="D122" s="30">
        <v>0.0</v>
      </c>
      <c r="E122" s="30">
        <v>0.0</v>
      </c>
      <c r="F122" s="30">
        <v>0.0</v>
      </c>
      <c r="G122" s="30">
        <v>0.0</v>
      </c>
      <c r="H122" s="29">
        <f t="shared" si="2"/>
        <v>0</v>
      </c>
      <c r="I122" s="30">
        <v>0.0</v>
      </c>
      <c r="J122" s="30">
        <v>0.0</v>
      </c>
      <c r="K122" s="30">
        <v>0.0</v>
      </c>
      <c r="L122" s="31">
        <f t="shared" si="3"/>
        <v>0</v>
      </c>
      <c r="M122" s="29">
        <v>23.0</v>
      </c>
      <c r="N122" s="30">
        <v>4.0</v>
      </c>
      <c r="O122" s="30">
        <v>4.0</v>
      </c>
      <c r="P122" s="30">
        <v>4.0</v>
      </c>
      <c r="Q122" s="30">
        <v>4.0</v>
      </c>
      <c r="R122" s="30">
        <v>4.0</v>
      </c>
      <c r="S122" s="40">
        <v>3.0</v>
      </c>
      <c r="T122" s="35">
        <f t="shared" ref="T122:Y122" si="127">B122/(IF(N122&gt;0,N122,1))</f>
        <v>0</v>
      </c>
      <c r="U122" s="36">
        <f t="shared" si="127"/>
        <v>0</v>
      </c>
      <c r="V122" s="36">
        <f t="shared" si="127"/>
        <v>0</v>
      </c>
      <c r="W122" s="36">
        <f t="shared" si="127"/>
        <v>0</v>
      </c>
      <c r="X122" s="36">
        <f t="shared" si="127"/>
        <v>0</v>
      </c>
      <c r="Y122" s="37">
        <f t="shared" si="127"/>
        <v>0</v>
      </c>
      <c r="Z122" s="39">
        <f t="shared" si="12"/>
        <v>0</v>
      </c>
      <c r="AA122" s="39">
        <f t="shared" si="9"/>
        <v>0</v>
      </c>
      <c r="AB122" s="39">
        <f t="shared" si="6"/>
        <v>0</v>
      </c>
    </row>
    <row r="123">
      <c r="A123" s="23" t="s">
        <v>202</v>
      </c>
      <c r="B123" s="30">
        <v>0.0</v>
      </c>
      <c r="C123" s="30">
        <v>0.0</v>
      </c>
      <c r="D123" s="30">
        <v>0.0</v>
      </c>
      <c r="E123" s="30">
        <v>0.0</v>
      </c>
      <c r="F123" s="30">
        <v>0.0</v>
      </c>
      <c r="G123" s="30">
        <v>0.0</v>
      </c>
      <c r="H123" s="29">
        <f t="shared" si="2"/>
        <v>0</v>
      </c>
      <c r="I123" s="30">
        <v>0.0</v>
      </c>
      <c r="J123" s="30">
        <v>1.0</v>
      </c>
      <c r="K123" s="30">
        <v>0.0</v>
      </c>
      <c r="L123" s="31">
        <f t="shared" si="3"/>
        <v>0</v>
      </c>
      <c r="M123" s="29">
        <v>23.0</v>
      </c>
      <c r="N123" s="30">
        <v>4.0</v>
      </c>
      <c r="O123" s="30">
        <v>4.0</v>
      </c>
      <c r="P123" s="30">
        <v>4.0</v>
      </c>
      <c r="Q123" s="30">
        <v>4.0</v>
      </c>
      <c r="R123" s="30">
        <v>4.0</v>
      </c>
      <c r="S123" s="40">
        <v>3.0</v>
      </c>
      <c r="T123" s="35">
        <f t="shared" ref="T123:Y123" si="128">B123/(IF(N123&gt;0,N123,1))</f>
        <v>0</v>
      </c>
      <c r="U123" s="36">
        <f t="shared" si="128"/>
        <v>0</v>
      </c>
      <c r="V123" s="36">
        <f t="shared" si="128"/>
        <v>0</v>
      </c>
      <c r="W123" s="36">
        <f t="shared" si="128"/>
        <v>0</v>
      </c>
      <c r="X123" s="36">
        <f t="shared" si="128"/>
        <v>0</v>
      </c>
      <c r="Y123" s="37">
        <f t="shared" si="128"/>
        <v>0</v>
      </c>
      <c r="Z123" s="39">
        <f t="shared" si="12"/>
        <v>0</v>
      </c>
      <c r="AA123" s="39">
        <f t="shared" si="9"/>
        <v>0</v>
      </c>
      <c r="AB123" s="39">
        <f t="shared" si="6"/>
        <v>0</v>
      </c>
    </row>
    <row r="124">
      <c r="A124" s="23" t="s">
        <v>203</v>
      </c>
      <c r="B124" s="30">
        <v>0.0</v>
      </c>
      <c r="C124" s="30">
        <v>0.0</v>
      </c>
      <c r="D124" s="30">
        <v>0.0</v>
      </c>
      <c r="E124" s="30">
        <v>0.0</v>
      </c>
      <c r="F124" s="30">
        <v>0.0</v>
      </c>
      <c r="G124" s="30">
        <v>0.0</v>
      </c>
      <c r="H124" s="29">
        <f t="shared" si="2"/>
        <v>0</v>
      </c>
      <c r="I124" s="30">
        <v>0.0</v>
      </c>
      <c r="J124" s="30">
        <v>0.0</v>
      </c>
      <c r="K124" s="30">
        <v>0.0</v>
      </c>
      <c r="L124" s="31">
        <f t="shared" si="3"/>
        <v>0</v>
      </c>
      <c r="M124" s="29">
        <v>46.0</v>
      </c>
      <c r="N124" s="30">
        <v>8.0</v>
      </c>
      <c r="O124" s="30">
        <v>8.0</v>
      </c>
      <c r="P124" s="30">
        <v>8.0</v>
      </c>
      <c r="Q124" s="30">
        <v>8.0</v>
      </c>
      <c r="R124" s="30">
        <v>8.0</v>
      </c>
      <c r="S124" s="40">
        <v>6.0</v>
      </c>
      <c r="T124" s="35">
        <f t="shared" ref="T124:Y124" si="129">B124/(IF(N124&gt;0,N124,1))</f>
        <v>0</v>
      </c>
      <c r="U124" s="36">
        <f t="shared" si="129"/>
        <v>0</v>
      </c>
      <c r="V124" s="36">
        <f t="shared" si="129"/>
        <v>0</v>
      </c>
      <c r="W124" s="36">
        <f t="shared" si="129"/>
        <v>0</v>
      </c>
      <c r="X124" s="36">
        <f t="shared" si="129"/>
        <v>0</v>
      </c>
      <c r="Y124" s="37">
        <f t="shared" si="129"/>
        <v>0</v>
      </c>
      <c r="Z124" s="39">
        <f t="shared" si="12"/>
        <v>0</v>
      </c>
      <c r="AA124" s="39">
        <f t="shared" si="9"/>
        <v>0</v>
      </c>
      <c r="AB124" s="39">
        <f t="shared" si="6"/>
        <v>0</v>
      </c>
    </row>
    <row r="125">
      <c r="A125" s="23" t="s">
        <v>204</v>
      </c>
      <c r="B125" s="30">
        <v>0.0</v>
      </c>
      <c r="C125" s="30">
        <v>0.0</v>
      </c>
      <c r="D125" s="30">
        <v>0.0</v>
      </c>
      <c r="E125" s="30">
        <v>0.0</v>
      </c>
      <c r="F125" s="30">
        <v>0.0</v>
      </c>
      <c r="G125" s="30">
        <v>0.0</v>
      </c>
      <c r="H125" s="29">
        <f t="shared" si="2"/>
        <v>0</v>
      </c>
      <c r="I125" s="30">
        <v>0.0</v>
      </c>
      <c r="J125" s="30">
        <v>0.0</v>
      </c>
      <c r="K125" s="30">
        <v>0.0</v>
      </c>
      <c r="L125" s="31">
        <f t="shared" si="3"/>
        <v>0</v>
      </c>
      <c r="M125" s="29">
        <v>46.0</v>
      </c>
      <c r="N125" s="30">
        <v>8.0</v>
      </c>
      <c r="O125" s="30">
        <v>8.0</v>
      </c>
      <c r="P125" s="30">
        <v>8.0</v>
      </c>
      <c r="Q125" s="30">
        <v>8.0</v>
      </c>
      <c r="R125" s="30">
        <v>8.0</v>
      </c>
      <c r="S125" s="40">
        <v>6.0</v>
      </c>
      <c r="T125" s="35">
        <f t="shared" ref="T125:Y125" si="130">B125/(IF(N125&gt;0,N125,1))</f>
        <v>0</v>
      </c>
      <c r="U125" s="36">
        <f t="shared" si="130"/>
        <v>0</v>
      </c>
      <c r="V125" s="36">
        <f t="shared" si="130"/>
        <v>0</v>
      </c>
      <c r="W125" s="36">
        <f t="shared" si="130"/>
        <v>0</v>
      </c>
      <c r="X125" s="36">
        <f t="shared" si="130"/>
        <v>0</v>
      </c>
      <c r="Y125" s="37">
        <f t="shared" si="130"/>
        <v>0</v>
      </c>
      <c r="Z125" s="39">
        <f t="shared" si="12"/>
        <v>0</v>
      </c>
      <c r="AA125" s="39">
        <f t="shared" si="9"/>
        <v>0</v>
      </c>
      <c r="AB125" s="39">
        <f t="shared" si="6"/>
        <v>0</v>
      </c>
    </row>
    <row r="126">
      <c r="A126" s="23" t="s">
        <v>205</v>
      </c>
      <c r="B126" s="30">
        <v>0.0</v>
      </c>
      <c r="C126" s="30">
        <v>0.0</v>
      </c>
      <c r="D126" s="30">
        <v>0.0</v>
      </c>
      <c r="E126" s="30">
        <v>0.0</v>
      </c>
      <c r="F126" s="30">
        <v>0.0</v>
      </c>
      <c r="G126" s="30">
        <v>0.0</v>
      </c>
      <c r="H126" s="29">
        <f t="shared" si="2"/>
        <v>0</v>
      </c>
      <c r="I126" s="30">
        <v>0.0</v>
      </c>
      <c r="J126" s="30">
        <v>3.0</v>
      </c>
      <c r="K126" s="30">
        <v>0.0</v>
      </c>
      <c r="L126" s="31">
        <f t="shared" si="3"/>
        <v>0</v>
      </c>
      <c r="M126" s="29">
        <v>90.0</v>
      </c>
      <c r="N126" s="30">
        <v>16.0</v>
      </c>
      <c r="O126" s="30">
        <v>15.0</v>
      </c>
      <c r="P126" s="30">
        <v>16.0</v>
      </c>
      <c r="Q126" s="30">
        <v>16.0</v>
      </c>
      <c r="R126" s="30">
        <v>16.0</v>
      </c>
      <c r="S126" s="40">
        <v>11.0</v>
      </c>
      <c r="T126" s="35">
        <f t="shared" ref="T126:Y126" si="131">B126/(IF(N126&gt;0,N126,1))</f>
        <v>0</v>
      </c>
      <c r="U126" s="36">
        <f t="shared" si="131"/>
        <v>0</v>
      </c>
      <c r="V126" s="36">
        <f t="shared" si="131"/>
        <v>0</v>
      </c>
      <c r="W126" s="36">
        <f t="shared" si="131"/>
        <v>0</v>
      </c>
      <c r="X126" s="36">
        <f t="shared" si="131"/>
        <v>0</v>
      </c>
      <c r="Y126" s="37">
        <f t="shared" si="131"/>
        <v>0</v>
      </c>
      <c r="Z126" s="39">
        <f t="shared" si="12"/>
        <v>0</v>
      </c>
      <c r="AA126" s="39">
        <f t="shared" si="9"/>
        <v>0</v>
      </c>
      <c r="AB126" s="39">
        <f t="shared" si="6"/>
        <v>0</v>
      </c>
    </row>
    <row r="127">
      <c r="A127" s="23" t="s">
        <v>206</v>
      </c>
      <c r="B127" s="30">
        <v>0.0</v>
      </c>
      <c r="C127" s="30">
        <v>0.0</v>
      </c>
      <c r="D127" s="30">
        <v>0.0</v>
      </c>
      <c r="E127" s="30">
        <v>0.0</v>
      </c>
      <c r="F127" s="30">
        <v>0.0</v>
      </c>
      <c r="G127" s="30">
        <v>0.0</v>
      </c>
      <c r="H127" s="29">
        <f t="shared" si="2"/>
        <v>0</v>
      </c>
      <c r="I127" s="30">
        <v>0.0</v>
      </c>
      <c r="J127" s="30">
        <v>1.0</v>
      </c>
      <c r="K127" s="30">
        <v>0.0</v>
      </c>
      <c r="L127" s="31">
        <f t="shared" si="3"/>
        <v>0</v>
      </c>
      <c r="M127" s="29">
        <v>22.0</v>
      </c>
      <c r="N127" s="30">
        <v>4.0</v>
      </c>
      <c r="O127" s="30">
        <v>4.0</v>
      </c>
      <c r="P127" s="30">
        <v>4.0</v>
      </c>
      <c r="Q127" s="30">
        <v>4.0</v>
      </c>
      <c r="R127" s="30">
        <v>4.0</v>
      </c>
      <c r="S127" s="40">
        <v>2.0</v>
      </c>
      <c r="T127" s="35">
        <f t="shared" ref="T127:Y127" si="132">B127/(IF(N127&gt;0,N127,1))</f>
        <v>0</v>
      </c>
      <c r="U127" s="36">
        <f t="shared" si="132"/>
        <v>0</v>
      </c>
      <c r="V127" s="36">
        <f t="shared" si="132"/>
        <v>0</v>
      </c>
      <c r="W127" s="36">
        <f t="shared" si="132"/>
        <v>0</v>
      </c>
      <c r="X127" s="36">
        <f t="shared" si="132"/>
        <v>0</v>
      </c>
      <c r="Y127" s="37">
        <f t="shared" si="132"/>
        <v>0</v>
      </c>
      <c r="Z127" s="39">
        <f t="shared" si="12"/>
        <v>0</v>
      </c>
      <c r="AA127" s="39">
        <f t="shared" si="9"/>
        <v>0</v>
      </c>
      <c r="AB127" s="39">
        <f t="shared" si="6"/>
        <v>0</v>
      </c>
    </row>
    <row r="128">
      <c r="A128" s="23" t="s">
        <v>207</v>
      </c>
      <c r="B128" s="30">
        <v>0.0</v>
      </c>
      <c r="C128" s="30">
        <v>0.0</v>
      </c>
      <c r="D128" s="30">
        <v>0.0</v>
      </c>
      <c r="E128" s="30">
        <v>0.0</v>
      </c>
      <c r="F128" s="30">
        <v>0.0</v>
      </c>
      <c r="G128" s="30">
        <v>0.0</v>
      </c>
      <c r="H128" s="29">
        <f t="shared" si="2"/>
        <v>0</v>
      </c>
      <c r="I128" s="30">
        <v>0.0</v>
      </c>
      <c r="J128" s="30">
        <v>0.0</v>
      </c>
      <c r="K128" s="30">
        <v>0.0</v>
      </c>
      <c r="L128" s="31">
        <f t="shared" si="3"/>
        <v>0</v>
      </c>
      <c r="M128" s="29">
        <v>23.0</v>
      </c>
      <c r="N128" s="30">
        <v>4.0</v>
      </c>
      <c r="O128" s="30">
        <v>4.0</v>
      </c>
      <c r="P128" s="30">
        <v>5.0</v>
      </c>
      <c r="Q128" s="30">
        <v>3.0</v>
      </c>
      <c r="R128" s="30">
        <v>4.0</v>
      </c>
      <c r="S128" s="40">
        <v>3.0</v>
      </c>
      <c r="T128" s="35">
        <f t="shared" ref="T128:Y128" si="133">B128/(IF(N128&gt;0,N128,1))</f>
        <v>0</v>
      </c>
      <c r="U128" s="36">
        <f t="shared" si="133"/>
        <v>0</v>
      </c>
      <c r="V128" s="36">
        <f t="shared" si="133"/>
        <v>0</v>
      </c>
      <c r="W128" s="36">
        <f t="shared" si="133"/>
        <v>0</v>
      </c>
      <c r="X128" s="36">
        <f t="shared" si="133"/>
        <v>0</v>
      </c>
      <c r="Y128" s="37">
        <f t="shared" si="133"/>
        <v>0</v>
      </c>
      <c r="Z128" s="39">
        <f t="shared" si="12"/>
        <v>0</v>
      </c>
      <c r="AA128" s="39">
        <f t="shared" si="9"/>
        <v>0</v>
      </c>
      <c r="AB128" s="39">
        <f t="shared" si="6"/>
        <v>0</v>
      </c>
    </row>
    <row r="129">
      <c r="A129" s="23" t="s">
        <v>208</v>
      </c>
      <c r="B129" s="30">
        <v>0.0</v>
      </c>
      <c r="C129" s="30">
        <v>0.0</v>
      </c>
      <c r="D129" s="30">
        <v>0.0</v>
      </c>
      <c r="E129" s="30">
        <v>0.0</v>
      </c>
      <c r="F129" s="30">
        <v>0.0</v>
      </c>
      <c r="G129" s="30">
        <v>0.0</v>
      </c>
      <c r="H129" s="29">
        <f t="shared" si="2"/>
        <v>0</v>
      </c>
      <c r="I129" s="30">
        <v>0.0</v>
      </c>
      <c r="J129" s="30">
        <v>0.0</v>
      </c>
      <c r="K129" s="30">
        <v>0.0</v>
      </c>
      <c r="L129" s="31">
        <f t="shared" si="3"/>
        <v>0</v>
      </c>
      <c r="M129" s="29">
        <v>115.0</v>
      </c>
      <c r="N129" s="30">
        <v>20.0</v>
      </c>
      <c r="O129" s="30">
        <v>20.0</v>
      </c>
      <c r="P129" s="30">
        <v>20.0</v>
      </c>
      <c r="Q129" s="30">
        <v>20.0</v>
      </c>
      <c r="R129" s="30">
        <v>20.0</v>
      </c>
      <c r="S129" s="51">
        <v>15.0</v>
      </c>
      <c r="T129" s="35">
        <f t="shared" ref="T129:Y129" si="134">B129/(IF(N129&gt;0,N129,1))</f>
        <v>0</v>
      </c>
      <c r="U129" s="36">
        <f t="shared" si="134"/>
        <v>0</v>
      </c>
      <c r="V129" s="36">
        <f t="shared" si="134"/>
        <v>0</v>
      </c>
      <c r="W129" s="36">
        <f t="shared" si="134"/>
        <v>0</v>
      </c>
      <c r="X129" s="36">
        <f t="shared" si="134"/>
        <v>0</v>
      </c>
      <c r="Y129" s="37">
        <f t="shared" si="134"/>
        <v>0</v>
      </c>
      <c r="Z129" s="39">
        <f t="shared" si="12"/>
        <v>0</v>
      </c>
      <c r="AA129" s="39">
        <f t="shared" si="9"/>
        <v>0</v>
      </c>
      <c r="AB129" s="39">
        <f t="shared" si="6"/>
        <v>0</v>
      </c>
    </row>
    <row r="130">
      <c r="A130" s="23" t="s">
        <v>209</v>
      </c>
      <c r="B130" s="30">
        <v>0.0</v>
      </c>
      <c r="C130" s="30">
        <v>0.0</v>
      </c>
      <c r="D130" s="30">
        <v>0.0</v>
      </c>
      <c r="E130" s="30">
        <v>0.0</v>
      </c>
      <c r="F130" s="30">
        <v>0.0</v>
      </c>
      <c r="G130" s="30">
        <v>0.0</v>
      </c>
      <c r="H130" s="29">
        <f t="shared" si="2"/>
        <v>0</v>
      </c>
      <c r="I130" s="30">
        <v>0.0</v>
      </c>
      <c r="J130" s="30">
        <v>0.0</v>
      </c>
      <c r="K130" s="30">
        <v>0.0</v>
      </c>
      <c r="L130" s="31">
        <f t="shared" si="3"/>
        <v>0</v>
      </c>
      <c r="M130" s="29">
        <v>23.0</v>
      </c>
      <c r="N130" s="30">
        <v>4.0</v>
      </c>
      <c r="O130" s="30">
        <v>4.0</v>
      </c>
      <c r="P130" s="30">
        <v>4.0</v>
      </c>
      <c r="Q130" s="30">
        <v>4.0</v>
      </c>
      <c r="R130" s="30">
        <v>4.0</v>
      </c>
      <c r="S130" s="51">
        <v>3.0</v>
      </c>
      <c r="T130" s="35">
        <f t="shared" ref="T130:Y130" si="135">B130/(IF(N130&gt;0,N130,1))</f>
        <v>0</v>
      </c>
      <c r="U130" s="36">
        <f t="shared" si="135"/>
        <v>0</v>
      </c>
      <c r="V130" s="36">
        <f t="shared" si="135"/>
        <v>0</v>
      </c>
      <c r="W130" s="36">
        <f t="shared" si="135"/>
        <v>0</v>
      </c>
      <c r="X130" s="36">
        <f t="shared" si="135"/>
        <v>0</v>
      </c>
      <c r="Y130" s="37">
        <f t="shared" si="135"/>
        <v>0</v>
      </c>
      <c r="Z130" s="39">
        <f t="shared" si="12"/>
        <v>0</v>
      </c>
      <c r="AA130" s="39">
        <f t="shared" si="9"/>
        <v>0</v>
      </c>
      <c r="AB130" s="39">
        <f t="shared" si="6"/>
        <v>0</v>
      </c>
    </row>
    <row r="131">
      <c r="A131" s="23" t="s">
        <v>210</v>
      </c>
      <c r="B131" s="30">
        <v>0.0</v>
      </c>
      <c r="C131" s="30">
        <v>0.0</v>
      </c>
      <c r="D131" s="30">
        <v>0.0</v>
      </c>
      <c r="E131" s="30">
        <v>0.0</v>
      </c>
      <c r="F131" s="30">
        <v>0.0</v>
      </c>
      <c r="G131" s="30">
        <v>0.0</v>
      </c>
      <c r="H131" s="29">
        <f t="shared" si="2"/>
        <v>0</v>
      </c>
      <c r="I131" s="30">
        <v>0.0</v>
      </c>
      <c r="J131" s="30">
        <v>2.0</v>
      </c>
      <c r="K131" s="30">
        <v>0.0</v>
      </c>
      <c r="L131" s="31">
        <f t="shared" si="3"/>
        <v>0</v>
      </c>
      <c r="M131" s="29">
        <v>54.0</v>
      </c>
      <c r="N131" s="30">
        <v>8.0</v>
      </c>
      <c r="O131" s="30">
        <v>10.0</v>
      </c>
      <c r="P131" s="30">
        <v>10.0</v>
      </c>
      <c r="Q131" s="30">
        <v>9.0</v>
      </c>
      <c r="R131" s="30">
        <v>10.0</v>
      </c>
      <c r="S131" s="51">
        <v>7.0</v>
      </c>
      <c r="T131" s="35">
        <f t="shared" ref="T131:Y131" si="136">B131/(IF(N131&gt;0,N131,1))</f>
        <v>0</v>
      </c>
      <c r="U131" s="36">
        <f t="shared" si="136"/>
        <v>0</v>
      </c>
      <c r="V131" s="36">
        <f t="shared" si="136"/>
        <v>0</v>
      </c>
      <c r="W131" s="36">
        <f t="shared" si="136"/>
        <v>0</v>
      </c>
      <c r="X131" s="36">
        <f t="shared" si="136"/>
        <v>0</v>
      </c>
      <c r="Y131" s="37">
        <f t="shared" si="136"/>
        <v>0</v>
      </c>
      <c r="Z131" s="39">
        <f t="shared" si="12"/>
        <v>0</v>
      </c>
      <c r="AA131" s="39">
        <f t="shared" si="9"/>
        <v>0</v>
      </c>
      <c r="AB131" s="39">
        <f t="shared" si="6"/>
        <v>0</v>
      </c>
    </row>
    <row r="132">
      <c r="A132" s="23" t="s">
        <v>211</v>
      </c>
      <c r="B132" s="30">
        <v>0.0</v>
      </c>
      <c r="C132" s="30">
        <v>0.0</v>
      </c>
      <c r="D132" s="30">
        <v>0.0</v>
      </c>
      <c r="E132" s="30">
        <v>0.0</v>
      </c>
      <c r="F132" s="30">
        <v>0.0</v>
      </c>
      <c r="G132" s="30">
        <v>0.0</v>
      </c>
      <c r="H132" s="29">
        <f t="shared" si="2"/>
        <v>0</v>
      </c>
      <c r="I132" s="30">
        <v>0.0</v>
      </c>
      <c r="J132" s="30">
        <v>0.0</v>
      </c>
      <c r="K132" s="30">
        <v>0.0</v>
      </c>
      <c r="L132" s="31">
        <f t="shared" si="3"/>
        <v>0</v>
      </c>
      <c r="M132" s="29">
        <v>66.0</v>
      </c>
      <c r="N132" s="30">
        <v>11.0</v>
      </c>
      <c r="O132" s="30">
        <v>12.0</v>
      </c>
      <c r="P132" s="30">
        <v>12.0</v>
      </c>
      <c r="Q132" s="30">
        <v>11.0</v>
      </c>
      <c r="R132" s="30">
        <v>12.0</v>
      </c>
      <c r="S132" s="40">
        <v>8.0</v>
      </c>
      <c r="T132" s="35">
        <f t="shared" ref="T132:Y132" si="137">B132/(IF(N132&gt;0,N132,1))</f>
        <v>0</v>
      </c>
      <c r="U132" s="36">
        <f t="shared" si="137"/>
        <v>0</v>
      </c>
      <c r="V132" s="36">
        <f t="shared" si="137"/>
        <v>0</v>
      </c>
      <c r="W132" s="36">
        <f t="shared" si="137"/>
        <v>0</v>
      </c>
      <c r="X132" s="36">
        <f t="shared" si="137"/>
        <v>0</v>
      </c>
      <c r="Y132" s="37">
        <f t="shared" si="137"/>
        <v>0</v>
      </c>
      <c r="Z132" s="39">
        <f t="shared" si="12"/>
        <v>0</v>
      </c>
      <c r="AA132" s="39">
        <f t="shared" si="9"/>
        <v>0</v>
      </c>
      <c r="AB132" s="39">
        <f t="shared" si="6"/>
        <v>0</v>
      </c>
    </row>
    <row r="133">
      <c r="A133" s="23" t="s">
        <v>212</v>
      </c>
      <c r="B133" s="30">
        <v>0.0</v>
      </c>
      <c r="C133" s="30">
        <v>0.0</v>
      </c>
      <c r="D133" s="30">
        <v>0.0</v>
      </c>
      <c r="E133" s="30">
        <v>0.0</v>
      </c>
      <c r="F133" s="30">
        <v>0.0</v>
      </c>
      <c r="G133" s="30">
        <v>0.0</v>
      </c>
      <c r="H133" s="29">
        <f t="shared" si="2"/>
        <v>0</v>
      </c>
      <c r="I133" s="30">
        <v>0.0</v>
      </c>
      <c r="J133" s="30">
        <v>3.0</v>
      </c>
      <c r="K133" s="30">
        <v>0.0</v>
      </c>
      <c r="L133" s="31">
        <f t="shared" si="3"/>
        <v>0</v>
      </c>
      <c r="M133" s="29">
        <v>66.0</v>
      </c>
      <c r="N133" s="30">
        <v>11.0</v>
      </c>
      <c r="O133" s="30">
        <v>12.0</v>
      </c>
      <c r="P133" s="30">
        <v>12.0</v>
      </c>
      <c r="Q133" s="30">
        <v>11.0</v>
      </c>
      <c r="R133" s="30">
        <v>12.0</v>
      </c>
      <c r="S133" s="40">
        <v>8.0</v>
      </c>
      <c r="T133" s="35">
        <f t="shared" ref="T133:Y133" si="138">B133/(IF(N133&gt;0,N133,1))</f>
        <v>0</v>
      </c>
      <c r="U133" s="36">
        <f t="shared" si="138"/>
        <v>0</v>
      </c>
      <c r="V133" s="36">
        <f t="shared" si="138"/>
        <v>0</v>
      </c>
      <c r="W133" s="36">
        <f t="shared" si="138"/>
        <v>0</v>
      </c>
      <c r="X133" s="36">
        <f t="shared" si="138"/>
        <v>0</v>
      </c>
      <c r="Y133" s="37">
        <f t="shared" si="138"/>
        <v>0</v>
      </c>
      <c r="Z133" s="39">
        <f t="shared" si="12"/>
        <v>0</v>
      </c>
      <c r="AA133" s="39">
        <f t="shared" si="9"/>
        <v>0</v>
      </c>
      <c r="AB133" s="39">
        <f t="shared" si="6"/>
        <v>0</v>
      </c>
    </row>
    <row r="134">
      <c r="A134" s="8" t="s">
        <v>213</v>
      </c>
      <c r="B134" s="9">
        <v>0.0</v>
      </c>
      <c r="C134" s="9">
        <v>0.0</v>
      </c>
      <c r="D134" s="9">
        <v>0.0</v>
      </c>
      <c r="E134" s="9">
        <v>0.0</v>
      </c>
      <c r="F134" s="9">
        <v>0.0</v>
      </c>
      <c r="G134" s="9">
        <v>0.0</v>
      </c>
      <c r="H134" s="29">
        <f t="shared" si="2"/>
        <v>0</v>
      </c>
      <c r="I134" s="9">
        <v>0.0</v>
      </c>
      <c r="J134" s="9">
        <v>0.0</v>
      </c>
      <c r="K134" s="9">
        <v>0.0</v>
      </c>
      <c r="L134" s="31">
        <f t="shared" si="3"/>
        <v>0</v>
      </c>
      <c r="M134" s="18">
        <v>38.0</v>
      </c>
      <c r="N134" s="9">
        <v>8.0</v>
      </c>
      <c r="O134" s="9">
        <v>5.0</v>
      </c>
      <c r="P134" s="9">
        <v>5.0</v>
      </c>
      <c r="Q134" s="9">
        <v>5.0</v>
      </c>
      <c r="R134" s="9">
        <v>9.0</v>
      </c>
      <c r="S134" s="50">
        <v>6.0</v>
      </c>
      <c r="T134" s="35">
        <f t="shared" ref="T134:Y134" si="139">B134/(IF(N134&gt;0,N134,1))</f>
        <v>0</v>
      </c>
      <c r="U134" s="36">
        <f t="shared" si="139"/>
        <v>0</v>
      </c>
      <c r="V134" s="36">
        <f t="shared" si="139"/>
        <v>0</v>
      </c>
      <c r="W134" s="36">
        <f t="shared" si="139"/>
        <v>0</v>
      </c>
      <c r="X134" s="36">
        <f t="shared" si="139"/>
        <v>0</v>
      </c>
      <c r="Y134" s="37">
        <f t="shared" si="139"/>
        <v>0</v>
      </c>
      <c r="Z134" s="39">
        <f t="shared" si="12"/>
        <v>0</v>
      </c>
      <c r="AA134" s="39">
        <f t="shared" si="9"/>
        <v>0</v>
      </c>
      <c r="AB134" s="39">
        <f t="shared" si="6"/>
        <v>0</v>
      </c>
    </row>
    <row r="135">
      <c r="A135" s="8" t="s">
        <v>214</v>
      </c>
      <c r="B135" s="9">
        <v>0.0</v>
      </c>
      <c r="C135" s="9">
        <v>0.0</v>
      </c>
      <c r="D135" s="9">
        <v>0.0</v>
      </c>
      <c r="E135" s="9">
        <v>0.0</v>
      </c>
      <c r="F135" s="9">
        <v>0.0</v>
      </c>
      <c r="G135" s="9">
        <v>0.0</v>
      </c>
      <c r="H135" s="29">
        <f t="shared" si="2"/>
        <v>0</v>
      </c>
      <c r="I135" s="9">
        <v>0.0</v>
      </c>
      <c r="J135" s="9">
        <v>0.0</v>
      </c>
      <c r="K135" s="9">
        <v>0.0</v>
      </c>
      <c r="L135" s="31">
        <f t="shared" si="3"/>
        <v>0</v>
      </c>
      <c r="M135" s="18">
        <v>41.0</v>
      </c>
      <c r="N135" s="9">
        <v>5.0</v>
      </c>
      <c r="O135" s="9">
        <v>9.0</v>
      </c>
      <c r="P135" s="9">
        <v>8.0</v>
      </c>
      <c r="Q135" s="9">
        <v>9.0</v>
      </c>
      <c r="R135" s="9">
        <v>5.0</v>
      </c>
      <c r="S135" s="50">
        <v>5.0</v>
      </c>
      <c r="T135" s="35">
        <f t="shared" ref="T135:Y135" si="140">B135/(IF(N135&gt;0,N135,1))</f>
        <v>0</v>
      </c>
      <c r="U135" s="36">
        <f t="shared" si="140"/>
        <v>0</v>
      </c>
      <c r="V135" s="36">
        <f t="shared" si="140"/>
        <v>0</v>
      </c>
      <c r="W135" s="36">
        <f t="shared" si="140"/>
        <v>0</v>
      </c>
      <c r="X135" s="36">
        <f t="shared" si="140"/>
        <v>0</v>
      </c>
      <c r="Y135" s="37">
        <f t="shared" si="140"/>
        <v>0</v>
      </c>
      <c r="Z135" s="39">
        <f t="shared" si="12"/>
        <v>0</v>
      </c>
      <c r="AA135" s="39">
        <f t="shared" si="9"/>
        <v>0</v>
      </c>
      <c r="AB135" s="39">
        <f t="shared" si="6"/>
        <v>0</v>
      </c>
    </row>
    <row r="136">
      <c r="A136" s="23" t="s">
        <v>215</v>
      </c>
      <c r="B136" s="30">
        <v>0.0</v>
      </c>
      <c r="C136" s="30">
        <v>0.0</v>
      </c>
      <c r="D136" s="30">
        <v>0.0</v>
      </c>
      <c r="E136" s="30">
        <v>0.0</v>
      </c>
      <c r="F136" s="30">
        <v>0.0</v>
      </c>
      <c r="G136" s="30">
        <v>0.0</v>
      </c>
      <c r="H136" s="29">
        <f t="shared" si="2"/>
        <v>0</v>
      </c>
      <c r="I136" s="30">
        <v>0.0</v>
      </c>
      <c r="J136" s="30">
        <v>6.0</v>
      </c>
      <c r="K136" s="30">
        <v>0.0</v>
      </c>
      <c r="L136" s="31">
        <f t="shared" si="3"/>
        <v>0</v>
      </c>
      <c r="M136" s="29">
        <v>83.0</v>
      </c>
      <c r="N136" s="30">
        <v>15.0</v>
      </c>
      <c r="O136" s="30">
        <v>14.0</v>
      </c>
      <c r="P136" s="30">
        <v>17.0</v>
      </c>
      <c r="Q136" s="30">
        <v>13.0</v>
      </c>
      <c r="R136" s="30">
        <v>14.0</v>
      </c>
      <c r="S136" s="40">
        <v>10.0</v>
      </c>
      <c r="T136" s="35">
        <f t="shared" ref="T136:Y136" si="141">B136/(IF(N136&gt;0,N136,1))</f>
        <v>0</v>
      </c>
      <c r="U136" s="36">
        <f t="shared" si="141"/>
        <v>0</v>
      </c>
      <c r="V136" s="36">
        <f t="shared" si="141"/>
        <v>0</v>
      </c>
      <c r="W136" s="36">
        <f t="shared" si="141"/>
        <v>0</v>
      </c>
      <c r="X136" s="36">
        <f t="shared" si="141"/>
        <v>0</v>
      </c>
      <c r="Y136" s="37">
        <f t="shared" si="141"/>
        <v>0</v>
      </c>
      <c r="Z136" s="39">
        <f t="shared" si="12"/>
        <v>0</v>
      </c>
      <c r="AA136" s="39">
        <f t="shared" si="9"/>
        <v>0</v>
      </c>
      <c r="AB136" s="39">
        <f t="shared" si="6"/>
        <v>0</v>
      </c>
    </row>
    <row r="137">
      <c r="A137" s="23" t="s">
        <v>216</v>
      </c>
      <c r="B137" s="30">
        <v>0.0</v>
      </c>
      <c r="C137" s="30">
        <v>1.0</v>
      </c>
      <c r="D137" s="30">
        <v>0.0</v>
      </c>
      <c r="E137" s="30">
        <v>0.0</v>
      </c>
      <c r="F137" s="30">
        <v>0.0</v>
      </c>
      <c r="G137" s="30">
        <v>0.0</v>
      </c>
      <c r="H137" s="29">
        <f t="shared" si="2"/>
        <v>1</v>
      </c>
      <c r="I137" s="30">
        <v>1.0</v>
      </c>
      <c r="J137" s="30">
        <v>6.0</v>
      </c>
      <c r="K137" s="30">
        <v>1.0</v>
      </c>
      <c r="L137" s="31">
        <f t="shared" si="3"/>
        <v>1</v>
      </c>
      <c r="M137" s="29">
        <v>90.0</v>
      </c>
      <c r="N137" s="30">
        <v>16.0</v>
      </c>
      <c r="O137" s="30">
        <v>14.0</v>
      </c>
      <c r="P137" s="30">
        <v>16.0</v>
      </c>
      <c r="Q137" s="30">
        <v>16.0</v>
      </c>
      <c r="R137" s="30">
        <v>16.0</v>
      </c>
      <c r="S137" s="40">
        <v>12.0</v>
      </c>
      <c r="T137" s="35">
        <f t="shared" ref="T137:Y137" si="142">B137/(IF(N137&gt;0,N137,1))</f>
        <v>0</v>
      </c>
      <c r="U137" s="36">
        <f t="shared" si="142"/>
        <v>0.07142857143</v>
      </c>
      <c r="V137" s="36">
        <f t="shared" si="142"/>
        <v>0</v>
      </c>
      <c r="W137" s="36">
        <f t="shared" si="142"/>
        <v>0</v>
      </c>
      <c r="X137" s="36">
        <f t="shared" si="142"/>
        <v>0</v>
      </c>
      <c r="Y137" s="37">
        <f t="shared" si="142"/>
        <v>0</v>
      </c>
      <c r="Z137" s="39">
        <f t="shared" si="12"/>
        <v>0.01111111111</v>
      </c>
      <c r="AA137" s="39">
        <f t="shared" si="9"/>
        <v>0</v>
      </c>
      <c r="AB137" s="39">
        <f t="shared" si="6"/>
        <v>0.1111111111</v>
      </c>
    </row>
    <row r="138">
      <c r="A138" s="23" t="s">
        <v>217</v>
      </c>
      <c r="B138" s="30">
        <v>0.0</v>
      </c>
      <c r="C138" s="30">
        <v>0.0</v>
      </c>
      <c r="D138" s="30">
        <v>0.0</v>
      </c>
      <c r="E138" s="30">
        <v>0.0</v>
      </c>
      <c r="F138" s="30">
        <v>0.0</v>
      </c>
      <c r="G138" s="30">
        <v>0.0</v>
      </c>
      <c r="H138" s="29">
        <f t="shared" si="2"/>
        <v>0</v>
      </c>
      <c r="I138" s="30">
        <v>1.0</v>
      </c>
      <c r="J138" s="30">
        <v>6.0</v>
      </c>
      <c r="K138" s="30">
        <v>0.0</v>
      </c>
      <c r="L138" s="31">
        <f t="shared" si="3"/>
        <v>0</v>
      </c>
      <c r="M138" s="29">
        <v>106.0</v>
      </c>
      <c r="N138" s="30">
        <v>19.0</v>
      </c>
      <c r="O138" s="30">
        <v>17.0</v>
      </c>
      <c r="P138" s="30">
        <v>19.0</v>
      </c>
      <c r="Q138" s="30">
        <v>19.0</v>
      </c>
      <c r="R138" s="30">
        <v>18.0</v>
      </c>
      <c r="S138" s="51">
        <v>14.0</v>
      </c>
      <c r="T138" s="35">
        <f t="shared" ref="T138:Y138" si="143">B138/(IF(N138&gt;0,N138,1))</f>
        <v>0</v>
      </c>
      <c r="U138" s="36">
        <f t="shared" si="143"/>
        <v>0</v>
      </c>
      <c r="V138" s="36">
        <f t="shared" si="143"/>
        <v>0</v>
      </c>
      <c r="W138" s="36">
        <f t="shared" si="143"/>
        <v>0</v>
      </c>
      <c r="X138" s="36">
        <f t="shared" si="143"/>
        <v>0</v>
      </c>
      <c r="Y138" s="37">
        <f t="shared" si="143"/>
        <v>0</v>
      </c>
      <c r="Z138" s="39">
        <f t="shared" si="12"/>
        <v>0</v>
      </c>
      <c r="AA138" s="39">
        <f t="shared" si="9"/>
        <v>-0.03773584906</v>
      </c>
      <c r="AB138" s="39">
        <f t="shared" si="6"/>
        <v>-0.03773584906</v>
      </c>
    </row>
    <row r="139">
      <c r="A139" s="23" t="s">
        <v>218</v>
      </c>
      <c r="B139" s="30">
        <v>0.0</v>
      </c>
      <c r="C139" s="30">
        <v>0.0</v>
      </c>
      <c r="D139" s="30">
        <v>0.0</v>
      </c>
      <c r="E139" s="30">
        <v>0.0</v>
      </c>
      <c r="F139" s="30">
        <v>0.0</v>
      </c>
      <c r="G139" s="30">
        <v>0.0</v>
      </c>
      <c r="H139" s="29">
        <f t="shared" si="2"/>
        <v>0</v>
      </c>
      <c r="I139" s="30">
        <v>2.0</v>
      </c>
      <c r="J139" s="30">
        <v>2.0</v>
      </c>
      <c r="K139" s="30">
        <v>0.0</v>
      </c>
      <c r="L139" s="31">
        <f t="shared" si="3"/>
        <v>0</v>
      </c>
      <c r="M139" s="29">
        <v>46.0</v>
      </c>
      <c r="N139" s="30">
        <v>8.0</v>
      </c>
      <c r="O139" s="30">
        <v>8.0</v>
      </c>
      <c r="P139" s="30">
        <v>9.0</v>
      </c>
      <c r="Q139" s="30">
        <v>7.0</v>
      </c>
      <c r="R139" s="30">
        <v>8.0</v>
      </c>
      <c r="S139" s="51">
        <v>6.0</v>
      </c>
      <c r="T139" s="35">
        <f t="shared" ref="T139:Y139" si="144">B139/(IF(N139&gt;0,N139,1))</f>
        <v>0</v>
      </c>
      <c r="U139" s="36">
        <f t="shared" si="144"/>
        <v>0</v>
      </c>
      <c r="V139" s="36">
        <f t="shared" si="144"/>
        <v>0</v>
      </c>
      <c r="W139" s="36">
        <f t="shared" si="144"/>
        <v>0</v>
      </c>
      <c r="X139" s="36">
        <f t="shared" si="144"/>
        <v>0</v>
      </c>
      <c r="Y139" s="37">
        <f t="shared" si="144"/>
        <v>0</v>
      </c>
      <c r="Z139" s="39">
        <f t="shared" si="12"/>
        <v>0</v>
      </c>
      <c r="AA139" s="39">
        <f t="shared" si="9"/>
        <v>-0.1739130435</v>
      </c>
      <c r="AB139" s="39">
        <f t="shared" si="6"/>
        <v>-0.1739130435</v>
      </c>
    </row>
    <row r="140">
      <c r="A140" s="23" t="s">
        <v>219</v>
      </c>
      <c r="B140" s="30">
        <v>0.0</v>
      </c>
      <c r="C140" s="30">
        <v>0.0</v>
      </c>
      <c r="D140" s="30">
        <v>0.0</v>
      </c>
      <c r="E140" s="30">
        <v>0.0</v>
      </c>
      <c r="F140" s="30">
        <v>0.0</v>
      </c>
      <c r="G140" s="30">
        <v>0.0</v>
      </c>
      <c r="H140" s="29">
        <f t="shared" si="2"/>
        <v>0</v>
      </c>
      <c r="I140" s="30">
        <v>1.0</v>
      </c>
      <c r="J140" s="30">
        <v>0.0</v>
      </c>
      <c r="K140" s="30">
        <v>0.0</v>
      </c>
      <c r="L140" s="31">
        <f t="shared" si="3"/>
        <v>0</v>
      </c>
      <c r="M140" s="29">
        <v>23.0</v>
      </c>
      <c r="N140" s="30">
        <v>4.0</v>
      </c>
      <c r="O140" s="30">
        <v>4.0</v>
      </c>
      <c r="P140" s="30">
        <v>4.0</v>
      </c>
      <c r="Q140" s="30">
        <v>4.0</v>
      </c>
      <c r="R140" s="30">
        <v>4.0</v>
      </c>
      <c r="S140" s="51">
        <v>3.0</v>
      </c>
      <c r="T140" s="35">
        <f t="shared" ref="T140:Y140" si="145">B140/(IF(N140&gt;0,N140,1))</f>
        <v>0</v>
      </c>
      <c r="U140" s="36">
        <f t="shared" si="145"/>
        <v>0</v>
      </c>
      <c r="V140" s="36">
        <f t="shared" si="145"/>
        <v>0</v>
      </c>
      <c r="W140" s="36">
        <f t="shared" si="145"/>
        <v>0</v>
      </c>
      <c r="X140" s="36">
        <f t="shared" si="145"/>
        <v>0</v>
      </c>
      <c r="Y140" s="37">
        <f t="shared" si="145"/>
        <v>0</v>
      </c>
      <c r="Z140" s="39">
        <f t="shared" si="12"/>
        <v>0</v>
      </c>
      <c r="AA140" s="39">
        <f t="shared" si="9"/>
        <v>-0.1739130435</v>
      </c>
      <c r="AB140" s="39">
        <f t="shared" si="6"/>
        <v>-0.1739130435</v>
      </c>
    </row>
    <row r="141">
      <c r="A141" s="23" t="s">
        <v>220</v>
      </c>
      <c r="B141" s="30">
        <v>0.0</v>
      </c>
      <c r="C141" s="30">
        <v>0.0</v>
      </c>
      <c r="D141" s="30">
        <v>0.0</v>
      </c>
      <c r="E141" s="30">
        <v>0.0</v>
      </c>
      <c r="F141" s="30">
        <v>0.0</v>
      </c>
      <c r="G141" s="30">
        <v>0.0</v>
      </c>
      <c r="H141" s="29">
        <f t="shared" si="2"/>
        <v>0</v>
      </c>
      <c r="I141" s="30">
        <v>1.0</v>
      </c>
      <c r="J141" s="30">
        <v>3.0</v>
      </c>
      <c r="K141" s="30">
        <v>0.0</v>
      </c>
      <c r="L141" s="31">
        <f t="shared" si="3"/>
        <v>0</v>
      </c>
      <c r="M141" s="29">
        <v>23.0</v>
      </c>
      <c r="N141" s="30">
        <v>4.0</v>
      </c>
      <c r="O141" s="30">
        <v>4.0</v>
      </c>
      <c r="P141" s="30">
        <v>4.0</v>
      </c>
      <c r="Q141" s="30">
        <v>4.0</v>
      </c>
      <c r="R141" s="30">
        <v>4.0</v>
      </c>
      <c r="S141" s="51">
        <v>3.0</v>
      </c>
      <c r="T141" s="35">
        <f t="shared" ref="T141:Y141" si="146">B141/(IF(N141&gt;0,N141,1))</f>
        <v>0</v>
      </c>
      <c r="U141" s="36">
        <f t="shared" si="146"/>
        <v>0</v>
      </c>
      <c r="V141" s="36">
        <f t="shared" si="146"/>
        <v>0</v>
      </c>
      <c r="W141" s="36">
        <f t="shared" si="146"/>
        <v>0</v>
      </c>
      <c r="X141" s="36">
        <f t="shared" si="146"/>
        <v>0</v>
      </c>
      <c r="Y141" s="37">
        <f t="shared" si="146"/>
        <v>0</v>
      </c>
      <c r="Z141" s="39">
        <f t="shared" si="12"/>
        <v>0</v>
      </c>
      <c r="AA141" s="39">
        <f t="shared" si="9"/>
        <v>-0.1739130435</v>
      </c>
      <c r="AB141" s="39">
        <f t="shared" si="6"/>
        <v>-0.1739130435</v>
      </c>
    </row>
    <row r="142">
      <c r="A142" s="52"/>
      <c r="H142" s="53"/>
      <c r="M142" s="53"/>
      <c r="T142" s="53"/>
      <c r="Z142" s="54"/>
      <c r="AA142" s="54"/>
      <c r="AB142" s="54"/>
    </row>
    <row r="143">
      <c r="A143" s="52"/>
      <c r="H143" s="53"/>
      <c r="M143" s="53"/>
      <c r="T143" s="53"/>
      <c r="Z143" s="54"/>
      <c r="AA143" s="54"/>
      <c r="AB143" s="54"/>
    </row>
    <row r="144">
      <c r="A144" s="52"/>
      <c r="H144" s="53"/>
      <c r="M144" s="53"/>
      <c r="T144" s="53"/>
      <c r="Z144" s="54"/>
      <c r="AA144" s="54"/>
      <c r="AB144" s="54"/>
    </row>
    <row r="145">
      <c r="A145" s="52"/>
      <c r="H145" s="53"/>
      <c r="M145" s="53"/>
      <c r="T145" s="53"/>
      <c r="Z145" s="54"/>
      <c r="AA145" s="54"/>
      <c r="AB145" s="54"/>
    </row>
    <row r="146">
      <c r="A146" s="52"/>
      <c r="H146" s="53"/>
      <c r="M146" s="53"/>
      <c r="T146" s="53"/>
      <c r="Z146" s="54"/>
      <c r="AA146" s="54"/>
      <c r="AB146" s="54"/>
    </row>
    <row r="147">
      <c r="A147" s="52"/>
      <c r="H147" s="53"/>
      <c r="M147" s="53"/>
      <c r="T147" s="53"/>
      <c r="Z147" s="54"/>
      <c r="AA147" s="54"/>
      <c r="AB147" s="54"/>
    </row>
    <row r="148">
      <c r="A148" s="52"/>
      <c r="H148" s="53"/>
      <c r="M148" s="53"/>
      <c r="T148" s="53"/>
      <c r="Z148" s="54"/>
      <c r="AA148" s="54"/>
      <c r="AB148" s="54"/>
    </row>
    <row r="149">
      <c r="A149" s="52"/>
      <c r="H149" s="53"/>
      <c r="M149" s="53"/>
      <c r="T149" s="53"/>
      <c r="Z149" s="54"/>
      <c r="AA149" s="54"/>
      <c r="AB149" s="54"/>
    </row>
    <row r="150">
      <c r="A150" s="52"/>
      <c r="H150" s="53"/>
      <c r="M150" s="53"/>
      <c r="T150" s="53"/>
      <c r="Z150" s="54"/>
      <c r="AA150" s="54"/>
      <c r="AB150" s="54"/>
    </row>
    <row r="151">
      <c r="A151" s="52"/>
      <c r="H151" s="53"/>
      <c r="M151" s="53"/>
      <c r="T151" s="53"/>
      <c r="Z151" s="54"/>
      <c r="AA151" s="54"/>
      <c r="AB151" s="54"/>
    </row>
    <row r="152">
      <c r="A152" s="52"/>
      <c r="H152" s="53"/>
      <c r="M152" s="53"/>
      <c r="T152" s="53"/>
      <c r="Z152" s="54"/>
      <c r="AA152" s="54"/>
      <c r="AB152" s="54"/>
    </row>
    <row r="153">
      <c r="A153" s="52"/>
      <c r="H153" s="53"/>
      <c r="M153" s="53"/>
      <c r="T153" s="53"/>
      <c r="Z153" s="54"/>
      <c r="AA153" s="54"/>
      <c r="AB153" s="54"/>
    </row>
    <row r="154">
      <c r="A154" s="52"/>
      <c r="H154" s="53"/>
      <c r="M154" s="53"/>
      <c r="T154" s="53"/>
      <c r="Z154" s="54"/>
      <c r="AA154" s="54"/>
      <c r="AB154" s="54"/>
    </row>
    <row r="155">
      <c r="A155" s="52"/>
      <c r="H155" s="53"/>
      <c r="M155" s="53"/>
      <c r="T155" s="53"/>
      <c r="Z155" s="54"/>
      <c r="AA155" s="54"/>
      <c r="AB155" s="54"/>
    </row>
    <row r="156">
      <c r="A156" s="52"/>
      <c r="H156" s="53"/>
      <c r="M156" s="53"/>
      <c r="T156" s="53"/>
      <c r="Z156" s="54"/>
      <c r="AA156" s="54"/>
      <c r="AB156" s="54"/>
    </row>
    <row r="157">
      <c r="A157" s="52"/>
      <c r="H157" s="53"/>
      <c r="M157" s="53"/>
      <c r="T157" s="53"/>
      <c r="Z157" s="54"/>
      <c r="AA157" s="54"/>
      <c r="AB157" s="54"/>
    </row>
    <row r="158">
      <c r="A158" s="52"/>
      <c r="H158" s="53"/>
      <c r="M158" s="53"/>
      <c r="T158" s="53"/>
      <c r="Z158" s="54"/>
      <c r="AA158" s="54"/>
      <c r="AB158" s="54"/>
    </row>
    <row r="159">
      <c r="A159" s="52"/>
      <c r="H159" s="53"/>
      <c r="M159" s="53"/>
      <c r="T159" s="53"/>
      <c r="Z159" s="54"/>
      <c r="AA159" s="54"/>
      <c r="AB159" s="54"/>
    </row>
    <row r="160">
      <c r="A160" s="52"/>
      <c r="H160" s="53"/>
      <c r="M160" s="53"/>
      <c r="T160" s="53"/>
      <c r="Z160" s="54"/>
      <c r="AA160" s="54"/>
      <c r="AB160" s="54"/>
    </row>
    <row r="161">
      <c r="A161" s="52"/>
      <c r="H161" s="53"/>
      <c r="M161" s="53"/>
      <c r="T161" s="53"/>
      <c r="Z161" s="54"/>
      <c r="AA161" s="54"/>
      <c r="AB161" s="54"/>
    </row>
    <row r="162">
      <c r="A162" s="52"/>
      <c r="H162" s="53"/>
      <c r="M162" s="53"/>
      <c r="T162" s="53"/>
      <c r="Z162" s="54"/>
      <c r="AA162" s="54"/>
      <c r="AB162" s="54"/>
    </row>
    <row r="163">
      <c r="A163" s="52"/>
      <c r="H163" s="53"/>
      <c r="M163" s="53"/>
      <c r="T163" s="53"/>
      <c r="Z163" s="54"/>
      <c r="AA163" s="54"/>
      <c r="AB163" s="54"/>
    </row>
    <row r="164">
      <c r="A164" s="52"/>
      <c r="H164" s="53"/>
      <c r="M164" s="53"/>
      <c r="T164" s="53"/>
      <c r="Z164" s="54"/>
      <c r="AA164" s="54"/>
      <c r="AB164" s="54"/>
    </row>
    <row r="165">
      <c r="A165" s="52"/>
      <c r="H165" s="53"/>
      <c r="M165" s="53"/>
      <c r="T165" s="53"/>
      <c r="Z165" s="54"/>
      <c r="AA165" s="54"/>
      <c r="AB165" s="54"/>
    </row>
    <row r="166">
      <c r="A166" s="52"/>
      <c r="H166" s="53"/>
      <c r="M166" s="53"/>
      <c r="T166" s="53"/>
      <c r="Z166" s="54"/>
      <c r="AA166" s="54"/>
      <c r="AB166" s="54"/>
    </row>
    <row r="167">
      <c r="A167" s="52"/>
      <c r="H167" s="53"/>
      <c r="M167" s="53"/>
      <c r="T167" s="53"/>
      <c r="Z167" s="54"/>
      <c r="AA167" s="54"/>
      <c r="AB167" s="54"/>
    </row>
    <row r="168">
      <c r="A168" s="52"/>
      <c r="H168" s="53"/>
      <c r="M168" s="53"/>
      <c r="T168" s="53"/>
      <c r="Z168" s="54"/>
      <c r="AA168" s="54"/>
      <c r="AB168" s="54"/>
    </row>
    <row r="169">
      <c r="A169" s="52"/>
      <c r="H169" s="53"/>
      <c r="M169" s="53"/>
      <c r="T169" s="53"/>
      <c r="Z169" s="54"/>
      <c r="AA169" s="54"/>
      <c r="AB169" s="54"/>
    </row>
    <row r="170">
      <c r="A170" s="52"/>
      <c r="H170" s="53"/>
      <c r="M170" s="53"/>
      <c r="T170" s="53"/>
      <c r="Z170" s="54"/>
      <c r="AA170" s="54"/>
      <c r="AB170" s="54"/>
    </row>
    <row r="171">
      <c r="A171" s="52"/>
      <c r="H171" s="53"/>
      <c r="M171" s="53"/>
      <c r="T171" s="53"/>
      <c r="Z171" s="54"/>
      <c r="AA171" s="54"/>
      <c r="AB171" s="54"/>
    </row>
    <row r="172">
      <c r="A172" s="52"/>
      <c r="H172" s="53"/>
      <c r="M172" s="53"/>
      <c r="T172" s="53"/>
      <c r="Z172" s="54"/>
      <c r="AA172" s="54"/>
      <c r="AB172" s="54"/>
    </row>
    <row r="173">
      <c r="A173" s="52"/>
      <c r="H173" s="53"/>
      <c r="M173" s="53"/>
      <c r="T173" s="53"/>
      <c r="Z173" s="54"/>
      <c r="AA173" s="54"/>
      <c r="AB173" s="54"/>
    </row>
    <row r="174">
      <c r="A174" s="52"/>
      <c r="H174" s="53"/>
      <c r="M174" s="53"/>
      <c r="T174" s="53"/>
      <c r="Z174" s="54"/>
      <c r="AA174" s="54"/>
      <c r="AB174" s="54"/>
    </row>
    <row r="175">
      <c r="A175" s="52"/>
      <c r="H175" s="53"/>
      <c r="M175" s="53"/>
      <c r="T175" s="53"/>
      <c r="Z175" s="54"/>
      <c r="AA175" s="54"/>
      <c r="AB175" s="54"/>
    </row>
    <row r="176">
      <c r="A176" s="52"/>
      <c r="H176" s="53"/>
      <c r="M176" s="53"/>
      <c r="T176" s="53"/>
      <c r="Z176" s="54"/>
      <c r="AA176" s="54"/>
      <c r="AB176" s="54"/>
    </row>
    <row r="177">
      <c r="A177" s="52"/>
      <c r="H177" s="53"/>
      <c r="M177" s="53"/>
      <c r="T177" s="53"/>
      <c r="Z177" s="54"/>
      <c r="AA177" s="54"/>
      <c r="AB177" s="54"/>
    </row>
    <row r="178">
      <c r="A178" s="52"/>
      <c r="H178" s="53"/>
      <c r="M178" s="53"/>
      <c r="T178" s="53"/>
      <c r="Z178" s="54"/>
      <c r="AA178" s="54"/>
      <c r="AB178" s="54"/>
    </row>
    <row r="179">
      <c r="A179" s="52"/>
      <c r="H179" s="53"/>
      <c r="M179" s="53"/>
      <c r="T179" s="53"/>
      <c r="Z179" s="54"/>
      <c r="AA179" s="54"/>
      <c r="AB179" s="54"/>
    </row>
    <row r="180">
      <c r="A180" s="52"/>
      <c r="H180" s="53"/>
      <c r="M180" s="53"/>
      <c r="T180" s="53"/>
      <c r="Z180" s="54"/>
      <c r="AA180" s="54"/>
      <c r="AB180" s="54"/>
    </row>
    <row r="181">
      <c r="A181" s="52"/>
      <c r="H181" s="53"/>
      <c r="M181" s="53"/>
      <c r="T181" s="53"/>
      <c r="Z181" s="54"/>
      <c r="AA181" s="54"/>
      <c r="AB181" s="54"/>
    </row>
    <row r="182">
      <c r="A182" s="52"/>
      <c r="H182" s="53"/>
      <c r="M182" s="53"/>
      <c r="T182" s="53"/>
      <c r="Z182" s="54"/>
      <c r="AA182" s="54"/>
      <c r="AB182" s="54"/>
    </row>
    <row r="183">
      <c r="A183" s="52"/>
      <c r="H183" s="53"/>
      <c r="M183" s="53"/>
      <c r="T183" s="53"/>
      <c r="Z183" s="54"/>
      <c r="AA183" s="54"/>
      <c r="AB183" s="54"/>
    </row>
    <row r="184">
      <c r="A184" s="52"/>
      <c r="H184" s="53"/>
      <c r="M184" s="53"/>
      <c r="T184" s="53"/>
      <c r="Z184" s="54"/>
      <c r="AA184" s="54"/>
      <c r="AB184" s="54"/>
    </row>
    <row r="185">
      <c r="A185" s="52"/>
      <c r="H185" s="53"/>
      <c r="M185" s="53"/>
      <c r="T185" s="53"/>
      <c r="Z185" s="54"/>
      <c r="AA185" s="54"/>
      <c r="AB185" s="54"/>
    </row>
    <row r="186">
      <c r="A186" s="52"/>
      <c r="H186" s="53"/>
      <c r="M186" s="53"/>
      <c r="T186" s="53"/>
      <c r="Z186" s="54"/>
      <c r="AA186" s="54"/>
      <c r="AB186" s="54"/>
    </row>
    <row r="187">
      <c r="A187" s="52"/>
      <c r="H187" s="53"/>
      <c r="M187" s="53"/>
      <c r="T187" s="53"/>
      <c r="Z187" s="54"/>
      <c r="AA187" s="54"/>
      <c r="AB187" s="54"/>
    </row>
    <row r="188">
      <c r="A188" s="52"/>
      <c r="H188" s="53"/>
      <c r="M188" s="53"/>
      <c r="T188" s="53"/>
      <c r="Z188" s="54"/>
      <c r="AA188" s="54"/>
      <c r="AB188" s="54"/>
    </row>
    <row r="189">
      <c r="A189" s="52"/>
      <c r="H189" s="53"/>
      <c r="M189" s="53"/>
      <c r="T189" s="53"/>
      <c r="Z189" s="54"/>
      <c r="AA189" s="54"/>
      <c r="AB189" s="54"/>
    </row>
    <row r="190">
      <c r="A190" s="52"/>
      <c r="H190" s="53"/>
      <c r="M190" s="53"/>
      <c r="T190" s="53"/>
      <c r="Z190" s="54"/>
      <c r="AA190" s="54"/>
      <c r="AB190" s="54"/>
    </row>
    <row r="191">
      <c r="A191" s="52"/>
      <c r="H191" s="53"/>
      <c r="M191" s="53"/>
      <c r="T191" s="53"/>
      <c r="Z191" s="54"/>
      <c r="AA191" s="54"/>
      <c r="AB191" s="54"/>
    </row>
    <row r="192">
      <c r="A192" s="52"/>
      <c r="H192" s="53"/>
      <c r="M192" s="53"/>
      <c r="T192" s="53"/>
      <c r="Z192" s="54"/>
      <c r="AA192" s="54"/>
      <c r="AB192" s="54"/>
    </row>
    <row r="193">
      <c r="A193" s="52"/>
      <c r="H193" s="53"/>
      <c r="M193" s="53"/>
      <c r="T193" s="53"/>
      <c r="Z193" s="54"/>
      <c r="AA193" s="54"/>
      <c r="AB193" s="54"/>
    </row>
    <row r="194">
      <c r="A194" s="52"/>
      <c r="H194" s="53"/>
      <c r="M194" s="53"/>
      <c r="T194" s="53"/>
      <c r="Z194" s="54"/>
      <c r="AA194" s="54"/>
      <c r="AB194" s="54"/>
    </row>
    <row r="195">
      <c r="A195" s="52"/>
      <c r="H195" s="53"/>
      <c r="M195" s="53"/>
      <c r="T195" s="53"/>
      <c r="Z195" s="54"/>
      <c r="AA195" s="54"/>
      <c r="AB195" s="54"/>
    </row>
    <row r="196">
      <c r="A196" s="52"/>
      <c r="H196" s="53"/>
      <c r="M196" s="53"/>
      <c r="T196" s="53"/>
      <c r="Z196" s="54"/>
      <c r="AA196" s="54"/>
      <c r="AB196" s="54"/>
    </row>
    <row r="197">
      <c r="A197" s="52"/>
      <c r="H197" s="53"/>
      <c r="M197" s="53"/>
      <c r="T197" s="53"/>
      <c r="Z197" s="54"/>
      <c r="AA197" s="54"/>
      <c r="AB197" s="54"/>
    </row>
    <row r="198">
      <c r="A198" s="52"/>
      <c r="H198" s="53"/>
      <c r="M198" s="53"/>
      <c r="T198" s="53"/>
      <c r="Z198" s="54"/>
      <c r="AA198" s="54"/>
      <c r="AB198" s="54"/>
    </row>
    <row r="199">
      <c r="A199" s="52"/>
      <c r="H199" s="53"/>
      <c r="M199" s="53"/>
      <c r="T199" s="53"/>
      <c r="Z199" s="54"/>
      <c r="AA199" s="54"/>
      <c r="AB199" s="54"/>
    </row>
    <row r="200">
      <c r="A200" s="52"/>
      <c r="H200" s="53"/>
      <c r="M200" s="53"/>
      <c r="T200" s="53"/>
      <c r="Z200" s="54"/>
      <c r="AA200" s="54"/>
      <c r="AB200" s="54"/>
    </row>
    <row r="201">
      <c r="A201" s="52"/>
      <c r="H201" s="53"/>
      <c r="M201" s="53"/>
      <c r="T201" s="53"/>
      <c r="Z201" s="54"/>
      <c r="AA201" s="54"/>
      <c r="AB201" s="54"/>
    </row>
    <row r="202">
      <c r="A202" s="52"/>
      <c r="H202" s="53"/>
      <c r="M202" s="53"/>
      <c r="T202" s="53"/>
      <c r="Z202" s="54"/>
      <c r="AA202" s="54"/>
      <c r="AB202" s="54"/>
    </row>
    <row r="203">
      <c r="A203" s="52"/>
      <c r="H203" s="53"/>
      <c r="M203" s="53"/>
      <c r="T203" s="53"/>
      <c r="Z203" s="54"/>
      <c r="AA203" s="54"/>
      <c r="AB203" s="54"/>
    </row>
    <row r="204">
      <c r="A204" s="52"/>
      <c r="H204" s="53"/>
      <c r="M204" s="53"/>
      <c r="T204" s="53"/>
      <c r="Z204" s="54"/>
      <c r="AA204" s="54"/>
      <c r="AB204" s="54"/>
    </row>
    <row r="205">
      <c r="A205" s="52"/>
      <c r="H205" s="53"/>
      <c r="M205" s="53"/>
      <c r="T205" s="53"/>
      <c r="Z205" s="54"/>
      <c r="AA205" s="54"/>
      <c r="AB205" s="54"/>
    </row>
    <row r="206">
      <c r="A206" s="52"/>
      <c r="H206" s="53"/>
      <c r="M206" s="53"/>
      <c r="T206" s="53"/>
      <c r="Z206" s="54"/>
      <c r="AA206" s="54"/>
      <c r="AB206" s="54"/>
    </row>
    <row r="207">
      <c r="A207" s="52"/>
      <c r="H207" s="53"/>
      <c r="M207" s="53"/>
      <c r="T207" s="53"/>
      <c r="Z207" s="54"/>
      <c r="AA207" s="54"/>
      <c r="AB207" s="54"/>
    </row>
    <row r="208">
      <c r="A208" s="52"/>
      <c r="H208" s="53"/>
      <c r="M208" s="53"/>
      <c r="T208" s="53"/>
      <c r="Z208" s="54"/>
      <c r="AA208" s="54"/>
      <c r="AB208" s="54"/>
    </row>
    <row r="209">
      <c r="A209" s="52"/>
      <c r="H209" s="53"/>
      <c r="M209" s="53"/>
      <c r="T209" s="53"/>
      <c r="Z209" s="54"/>
      <c r="AA209" s="54"/>
      <c r="AB209" s="54"/>
    </row>
    <row r="210">
      <c r="A210" s="52"/>
      <c r="H210" s="53"/>
      <c r="M210" s="53"/>
      <c r="T210" s="53"/>
      <c r="Z210" s="54"/>
      <c r="AA210" s="54"/>
      <c r="AB210" s="54"/>
    </row>
    <row r="211">
      <c r="A211" s="52"/>
      <c r="H211" s="53"/>
      <c r="M211" s="53"/>
      <c r="T211" s="53"/>
      <c r="Z211" s="54"/>
      <c r="AA211" s="54"/>
      <c r="AB211" s="54"/>
    </row>
    <row r="212">
      <c r="A212" s="52"/>
      <c r="H212" s="53"/>
      <c r="M212" s="53"/>
      <c r="T212" s="53"/>
      <c r="Z212" s="54"/>
      <c r="AA212" s="54"/>
      <c r="AB212" s="54"/>
    </row>
    <row r="213">
      <c r="A213" s="52"/>
      <c r="H213" s="53"/>
      <c r="M213" s="53"/>
      <c r="T213" s="53"/>
      <c r="Z213" s="54"/>
      <c r="AA213" s="54"/>
      <c r="AB213" s="54"/>
    </row>
    <row r="214">
      <c r="A214" s="52"/>
      <c r="H214" s="53"/>
      <c r="M214" s="53"/>
      <c r="T214" s="53"/>
      <c r="Z214" s="54"/>
      <c r="AA214" s="54"/>
      <c r="AB214" s="54"/>
    </row>
    <row r="215">
      <c r="A215" s="52"/>
      <c r="H215" s="53"/>
      <c r="M215" s="53"/>
      <c r="T215" s="53"/>
      <c r="Z215" s="54"/>
      <c r="AA215" s="54"/>
      <c r="AB215" s="54"/>
    </row>
    <row r="216">
      <c r="A216" s="52"/>
      <c r="H216" s="53"/>
      <c r="M216" s="53"/>
      <c r="T216" s="53"/>
      <c r="Z216" s="54"/>
      <c r="AA216" s="54"/>
      <c r="AB216" s="54"/>
    </row>
    <row r="217">
      <c r="A217" s="52"/>
      <c r="H217" s="53"/>
      <c r="M217" s="53"/>
      <c r="T217" s="53"/>
      <c r="Z217" s="54"/>
      <c r="AA217" s="54"/>
      <c r="AB217" s="54"/>
    </row>
    <row r="218">
      <c r="A218" s="52"/>
      <c r="H218" s="53"/>
      <c r="M218" s="53"/>
      <c r="T218" s="53"/>
      <c r="Z218" s="54"/>
      <c r="AA218" s="54"/>
      <c r="AB218" s="54"/>
    </row>
    <row r="219">
      <c r="A219" s="52"/>
      <c r="H219" s="53"/>
      <c r="M219" s="53"/>
      <c r="T219" s="53"/>
      <c r="Z219" s="54"/>
      <c r="AA219" s="54"/>
      <c r="AB219" s="54"/>
    </row>
    <row r="220">
      <c r="A220" s="52"/>
      <c r="H220" s="53"/>
      <c r="M220" s="53"/>
      <c r="T220" s="53"/>
      <c r="Z220" s="54"/>
      <c r="AA220" s="54"/>
      <c r="AB220" s="54"/>
    </row>
    <row r="221">
      <c r="A221" s="52"/>
      <c r="H221" s="53"/>
      <c r="M221" s="53"/>
      <c r="T221" s="53"/>
      <c r="Z221" s="54"/>
      <c r="AA221" s="54"/>
      <c r="AB221" s="54"/>
    </row>
    <row r="222">
      <c r="A222" s="52"/>
      <c r="H222" s="53"/>
      <c r="M222" s="53"/>
      <c r="T222" s="53"/>
      <c r="Z222" s="54"/>
      <c r="AA222" s="54"/>
      <c r="AB222" s="54"/>
    </row>
    <row r="223">
      <c r="A223" s="52"/>
      <c r="H223" s="53"/>
      <c r="M223" s="53"/>
      <c r="T223" s="53"/>
      <c r="Z223" s="54"/>
      <c r="AA223" s="54"/>
      <c r="AB223" s="54"/>
    </row>
    <row r="224">
      <c r="A224" s="52"/>
      <c r="H224" s="53"/>
      <c r="M224" s="53"/>
      <c r="T224" s="53"/>
      <c r="Z224" s="54"/>
      <c r="AA224" s="54"/>
      <c r="AB224" s="54"/>
    </row>
    <row r="225">
      <c r="A225" s="52"/>
      <c r="H225" s="53"/>
      <c r="M225" s="53"/>
      <c r="T225" s="53"/>
      <c r="Z225" s="54"/>
      <c r="AA225" s="54"/>
      <c r="AB225" s="54"/>
    </row>
    <row r="226">
      <c r="A226" s="52"/>
      <c r="H226" s="53"/>
      <c r="M226" s="53"/>
      <c r="T226" s="53"/>
      <c r="Z226" s="54"/>
      <c r="AA226" s="54"/>
      <c r="AB226" s="54"/>
    </row>
    <row r="227">
      <c r="A227" s="52"/>
      <c r="H227" s="53"/>
      <c r="M227" s="53"/>
      <c r="T227" s="53"/>
      <c r="Z227" s="54"/>
      <c r="AA227" s="54"/>
      <c r="AB227" s="54"/>
    </row>
    <row r="228">
      <c r="A228" s="52"/>
      <c r="H228" s="53"/>
      <c r="M228" s="53"/>
      <c r="T228" s="53"/>
      <c r="Z228" s="54"/>
      <c r="AA228" s="54"/>
      <c r="AB228" s="54"/>
    </row>
    <row r="229">
      <c r="A229" s="52"/>
      <c r="H229" s="53"/>
      <c r="M229" s="53"/>
      <c r="T229" s="53"/>
      <c r="Z229" s="54"/>
      <c r="AA229" s="54"/>
      <c r="AB229" s="54"/>
    </row>
    <row r="230">
      <c r="A230" s="52"/>
      <c r="H230" s="53"/>
      <c r="M230" s="53"/>
      <c r="T230" s="53"/>
      <c r="Z230" s="54"/>
      <c r="AA230" s="54"/>
      <c r="AB230" s="54"/>
    </row>
    <row r="231">
      <c r="A231" s="52"/>
      <c r="H231" s="53"/>
      <c r="M231" s="53"/>
      <c r="T231" s="53"/>
      <c r="Z231" s="54"/>
      <c r="AA231" s="54"/>
      <c r="AB231" s="54"/>
    </row>
    <row r="232">
      <c r="A232" s="52"/>
      <c r="H232" s="53"/>
      <c r="M232" s="53"/>
      <c r="T232" s="53"/>
      <c r="Z232" s="54"/>
      <c r="AA232" s="54"/>
      <c r="AB232" s="54"/>
    </row>
    <row r="233">
      <c r="A233" s="52"/>
      <c r="H233" s="53"/>
      <c r="M233" s="53"/>
      <c r="T233" s="53"/>
      <c r="Z233" s="54"/>
      <c r="AA233" s="54"/>
      <c r="AB233" s="54"/>
    </row>
    <row r="234">
      <c r="A234" s="52"/>
      <c r="H234" s="53"/>
      <c r="M234" s="53"/>
      <c r="T234" s="53"/>
      <c r="Z234" s="54"/>
      <c r="AA234" s="54"/>
      <c r="AB234" s="54"/>
    </row>
    <row r="235">
      <c r="A235" s="52"/>
      <c r="H235" s="53"/>
      <c r="M235" s="53"/>
      <c r="T235" s="53"/>
      <c r="Z235" s="54"/>
      <c r="AA235" s="54"/>
      <c r="AB235" s="54"/>
    </row>
    <row r="236">
      <c r="A236" s="52"/>
      <c r="H236" s="53"/>
      <c r="M236" s="53"/>
      <c r="T236" s="53"/>
      <c r="Z236" s="54"/>
      <c r="AA236" s="54"/>
      <c r="AB236" s="54"/>
    </row>
    <row r="237">
      <c r="A237" s="52"/>
      <c r="H237" s="53"/>
      <c r="M237" s="53"/>
      <c r="T237" s="53"/>
      <c r="Z237" s="54"/>
      <c r="AA237" s="54"/>
      <c r="AB237" s="54"/>
    </row>
    <row r="238">
      <c r="A238" s="52"/>
      <c r="H238" s="53"/>
      <c r="M238" s="53"/>
      <c r="T238" s="53"/>
      <c r="Z238" s="54"/>
      <c r="AA238" s="54"/>
      <c r="AB238" s="54"/>
    </row>
    <row r="239">
      <c r="A239" s="52"/>
      <c r="H239" s="53"/>
      <c r="M239" s="53"/>
      <c r="T239" s="53"/>
      <c r="Z239" s="54"/>
      <c r="AA239" s="54"/>
      <c r="AB239" s="54"/>
    </row>
    <row r="240">
      <c r="A240" s="52"/>
      <c r="H240" s="53"/>
      <c r="M240" s="53"/>
      <c r="T240" s="53"/>
      <c r="Z240" s="54"/>
      <c r="AA240" s="54"/>
      <c r="AB240" s="54"/>
    </row>
    <row r="241">
      <c r="A241" s="52"/>
      <c r="H241" s="53"/>
      <c r="M241" s="53"/>
      <c r="T241" s="53"/>
      <c r="Z241" s="54"/>
      <c r="AA241" s="54"/>
      <c r="AB241" s="54"/>
    </row>
    <row r="242">
      <c r="A242" s="52"/>
      <c r="H242" s="53"/>
      <c r="M242" s="53"/>
      <c r="T242" s="53"/>
      <c r="Z242" s="54"/>
      <c r="AA242" s="54"/>
      <c r="AB242" s="54"/>
    </row>
    <row r="243">
      <c r="A243" s="52"/>
      <c r="H243" s="53"/>
      <c r="M243" s="53"/>
      <c r="T243" s="53"/>
      <c r="Z243" s="54"/>
      <c r="AA243" s="54"/>
      <c r="AB243" s="54"/>
    </row>
    <row r="244">
      <c r="A244" s="52"/>
      <c r="H244" s="53"/>
      <c r="M244" s="53"/>
      <c r="T244" s="53"/>
      <c r="Z244" s="54"/>
      <c r="AA244" s="54"/>
      <c r="AB244" s="54"/>
    </row>
    <row r="245">
      <c r="A245" s="52"/>
      <c r="H245" s="53"/>
      <c r="M245" s="53"/>
      <c r="T245" s="53"/>
      <c r="Z245" s="54"/>
      <c r="AA245" s="54"/>
      <c r="AB245" s="54"/>
    </row>
    <row r="246">
      <c r="A246" s="52"/>
      <c r="H246" s="53"/>
      <c r="M246" s="53"/>
      <c r="T246" s="53"/>
      <c r="Z246" s="54"/>
      <c r="AA246" s="54"/>
      <c r="AB246" s="54"/>
    </row>
    <row r="247">
      <c r="A247" s="52"/>
      <c r="H247" s="53"/>
      <c r="M247" s="53"/>
      <c r="T247" s="53"/>
      <c r="Z247" s="54"/>
      <c r="AA247" s="54"/>
      <c r="AB247" s="54"/>
    </row>
    <row r="248">
      <c r="A248" s="52"/>
      <c r="H248" s="53"/>
      <c r="M248" s="53"/>
      <c r="T248" s="53"/>
      <c r="Z248" s="54"/>
      <c r="AA248" s="54"/>
      <c r="AB248" s="54"/>
    </row>
    <row r="249">
      <c r="A249" s="52"/>
      <c r="H249" s="53"/>
      <c r="M249" s="53"/>
      <c r="T249" s="53"/>
      <c r="Z249" s="54"/>
      <c r="AA249" s="54"/>
      <c r="AB249" s="54"/>
    </row>
    <row r="250">
      <c r="A250" s="52"/>
      <c r="H250" s="53"/>
      <c r="M250" s="53"/>
      <c r="T250" s="53"/>
      <c r="Z250" s="54"/>
      <c r="AA250" s="54"/>
      <c r="AB250" s="54"/>
    </row>
    <row r="251">
      <c r="A251" s="52"/>
      <c r="H251" s="53"/>
      <c r="M251" s="53"/>
      <c r="T251" s="53"/>
      <c r="Z251" s="54"/>
      <c r="AA251" s="54"/>
      <c r="AB251" s="54"/>
    </row>
    <row r="252">
      <c r="A252" s="52"/>
      <c r="H252" s="53"/>
      <c r="M252" s="53"/>
      <c r="T252" s="53"/>
      <c r="Z252" s="54"/>
      <c r="AA252" s="54"/>
      <c r="AB252" s="54"/>
    </row>
    <row r="253">
      <c r="A253" s="52"/>
      <c r="H253" s="53"/>
      <c r="M253" s="53"/>
      <c r="T253" s="53"/>
      <c r="Z253" s="54"/>
      <c r="AA253" s="54"/>
      <c r="AB253" s="54"/>
    </row>
    <row r="254">
      <c r="A254" s="52"/>
      <c r="H254" s="53"/>
      <c r="M254" s="53"/>
      <c r="T254" s="53"/>
      <c r="Z254" s="54"/>
      <c r="AA254" s="54"/>
      <c r="AB254" s="54"/>
    </row>
    <row r="255">
      <c r="A255" s="52"/>
      <c r="H255" s="53"/>
      <c r="M255" s="53"/>
      <c r="T255" s="53"/>
      <c r="Z255" s="54"/>
      <c r="AA255" s="54"/>
      <c r="AB255" s="54"/>
    </row>
    <row r="256">
      <c r="A256" s="52"/>
      <c r="H256" s="53"/>
      <c r="M256" s="53"/>
      <c r="T256" s="53"/>
      <c r="Z256" s="54"/>
      <c r="AA256" s="54"/>
      <c r="AB256" s="54"/>
    </row>
    <row r="257">
      <c r="A257" s="52"/>
      <c r="H257" s="53"/>
      <c r="M257" s="53"/>
      <c r="T257" s="53"/>
      <c r="Z257" s="54"/>
      <c r="AA257" s="54"/>
      <c r="AB257" s="54"/>
    </row>
    <row r="258">
      <c r="A258" s="52"/>
      <c r="H258" s="53"/>
      <c r="M258" s="53"/>
      <c r="T258" s="53"/>
      <c r="Z258" s="54"/>
      <c r="AA258" s="54"/>
      <c r="AB258" s="54"/>
    </row>
    <row r="259">
      <c r="A259" s="52"/>
      <c r="H259" s="53"/>
      <c r="M259" s="53"/>
      <c r="T259" s="53"/>
      <c r="Z259" s="54"/>
      <c r="AA259" s="54"/>
      <c r="AB259" s="54"/>
    </row>
    <row r="260">
      <c r="A260" s="52"/>
      <c r="H260" s="53"/>
      <c r="M260" s="53"/>
      <c r="T260" s="53"/>
      <c r="Z260" s="54"/>
      <c r="AA260" s="54"/>
      <c r="AB260" s="54"/>
    </row>
    <row r="261">
      <c r="A261" s="52"/>
      <c r="H261" s="53"/>
      <c r="M261" s="53"/>
      <c r="T261" s="53"/>
      <c r="Z261" s="54"/>
      <c r="AA261" s="54"/>
      <c r="AB261" s="54"/>
    </row>
    <row r="262">
      <c r="A262" s="52"/>
      <c r="H262" s="53"/>
      <c r="M262" s="53"/>
      <c r="T262" s="53"/>
      <c r="Z262" s="54"/>
      <c r="AA262" s="54"/>
      <c r="AB262" s="54"/>
    </row>
    <row r="263">
      <c r="A263" s="52"/>
      <c r="H263" s="53"/>
      <c r="M263" s="53"/>
      <c r="T263" s="53"/>
      <c r="Z263" s="54"/>
      <c r="AA263" s="54"/>
      <c r="AB263" s="54"/>
    </row>
    <row r="264">
      <c r="A264" s="52"/>
      <c r="H264" s="53"/>
      <c r="M264" s="53"/>
      <c r="T264" s="53"/>
      <c r="Z264" s="54"/>
      <c r="AA264" s="54"/>
      <c r="AB264" s="54"/>
    </row>
    <row r="265">
      <c r="A265" s="52"/>
      <c r="H265" s="53"/>
      <c r="M265" s="53"/>
      <c r="T265" s="53"/>
      <c r="Z265" s="54"/>
      <c r="AA265" s="54"/>
      <c r="AB265" s="54"/>
    </row>
    <row r="266">
      <c r="A266" s="52"/>
      <c r="H266" s="53"/>
      <c r="M266" s="53"/>
      <c r="T266" s="53"/>
      <c r="Z266" s="54"/>
      <c r="AA266" s="54"/>
      <c r="AB266" s="54"/>
    </row>
    <row r="267">
      <c r="A267" s="52"/>
      <c r="H267" s="53"/>
      <c r="M267" s="53"/>
      <c r="T267" s="53"/>
      <c r="Z267" s="54"/>
      <c r="AA267" s="54"/>
      <c r="AB267" s="54"/>
    </row>
    <row r="268">
      <c r="A268" s="52"/>
      <c r="H268" s="53"/>
      <c r="M268" s="53"/>
      <c r="T268" s="53"/>
      <c r="Z268" s="54"/>
      <c r="AA268" s="54"/>
      <c r="AB268" s="54"/>
    </row>
    <row r="269">
      <c r="A269" s="52"/>
      <c r="H269" s="53"/>
      <c r="M269" s="53"/>
      <c r="T269" s="53"/>
      <c r="Z269" s="54"/>
      <c r="AA269" s="54"/>
      <c r="AB269" s="54"/>
    </row>
    <row r="270">
      <c r="A270" s="52"/>
      <c r="H270" s="53"/>
      <c r="M270" s="53"/>
      <c r="T270" s="53"/>
      <c r="Z270" s="54"/>
      <c r="AA270" s="54"/>
      <c r="AB270" s="54"/>
    </row>
    <row r="271">
      <c r="A271" s="52"/>
      <c r="H271" s="53"/>
      <c r="M271" s="53"/>
      <c r="T271" s="53"/>
      <c r="Z271" s="54"/>
      <c r="AA271" s="54"/>
      <c r="AB271" s="54"/>
    </row>
    <row r="272">
      <c r="A272" s="52"/>
      <c r="H272" s="53"/>
      <c r="M272" s="53"/>
      <c r="T272" s="53"/>
      <c r="Z272" s="54"/>
      <c r="AA272" s="54"/>
      <c r="AB272" s="54"/>
    </row>
    <row r="273">
      <c r="A273" s="52"/>
      <c r="H273" s="53"/>
      <c r="M273" s="53"/>
      <c r="T273" s="53"/>
      <c r="Z273" s="54"/>
      <c r="AA273" s="54"/>
      <c r="AB273" s="54"/>
    </row>
    <row r="274">
      <c r="A274" s="52"/>
      <c r="H274" s="53"/>
      <c r="M274" s="53"/>
      <c r="T274" s="53"/>
      <c r="Z274" s="54"/>
      <c r="AA274" s="54"/>
      <c r="AB274" s="54"/>
    </row>
    <row r="275">
      <c r="A275" s="52"/>
      <c r="H275" s="53"/>
      <c r="M275" s="53"/>
      <c r="T275" s="53"/>
      <c r="Z275" s="54"/>
      <c r="AA275" s="54"/>
      <c r="AB275" s="54"/>
    </row>
    <row r="276">
      <c r="A276" s="52"/>
      <c r="H276" s="53"/>
      <c r="M276" s="53"/>
      <c r="T276" s="53"/>
      <c r="Z276" s="54"/>
      <c r="AA276" s="54"/>
      <c r="AB276" s="54"/>
    </row>
    <row r="277">
      <c r="A277" s="52"/>
      <c r="H277" s="53"/>
      <c r="M277" s="53"/>
      <c r="T277" s="53"/>
      <c r="Z277" s="54"/>
      <c r="AA277" s="54"/>
      <c r="AB277" s="54"/>
    </row>
    <row r="278">
      <c r="A278" s="52"/>
      <c r="H278" s="53"/>
      <c r="M278" s="53"/>
      <c r="T278" s="53"/>
      <c r="Z278" s="54"/>
      <c r="AA278" s="54"/>
      <c r="AB278" s="54"/>
    </row>
    <row r="279">
      <c r="A279" s="52"/>
      <c r="H279" s="53"/>
      <c r="M279" s="53"/>
      <c r="T279" s="53"/>
      <c r="Z279" s="54"/>
      <c r="AA279" s="54"/>
      <c r="AB279" s="54"/>
    </row>
    <row r="280">
      <c r="A280" s="52"/>
      <c r="H280" s="53"/>
      <c r="M280" s="53"/>
      <c r="T280" s="53"/>
      <c r="Z280" s="54"/>
      <c r="AA280" s="54"/>
      <c r="AB280" s="54"/>
    </row>
    <row r="281">
      <c r="A281" s="52"/>
      <c r="H281" s="53"/>
      <c r="M281" s="53"/>
      <c r="T281" s="53"/>
      <c r="Z281" s="54"/>
      <c r="AA281" s="54"/>
      <c r="AB281" s="54"/>
    </row>
    <row r="282">
      <c r="A282" s="52"/>
      <c r="H282" s="53"/>
      <c r="M282" s="53"/>
      <c r="T282" s="53"/>
      <c r="Z282" s="54"/>
      <c r="AA282" s="54"/>
      <c r="AB282" s="54"/>
    </row>
    <row r="283">
      <c r="A283" s="52"/>
      <c r="H283" s="53"/>
      <c r="M283" s="53"/>
      <c r="T283" s="53"/>
      <c r="Z283" s="54"/>
      <c r="AA283" s="54"/>
      <c r="AB283" s="54"/>
    </row>
    <row r="284">
      <c r="A284" s="52"/>
      <c r="H284" s="53"/>
      <c r="M284" s="53"/>
      <c r="T284" s="53"/>
      <c r="Z284" s="54"/>
      <c r="AA284" s="54"/>
      <c r="AB284" s="54"/>
    </row>
    <row r="285">
      <c r="A285" s="52"/>
      <c r="H285" s="53"/>
      <c r="M285" s="53"/>
      <c r="T285" s="53"/>
      <c r="Z285" s="54"/>
      <c r="AA285" s="54"/>
      <c r="AB285" s="54"/>
    </row>
    <row r="286">
      <c r="A286" s="52"/>
      <c r="H286" s="53"/>
      <c r="M286" s="53"/>
      <c r="T286" s="53"/>
      <c r="Z286" s="54"/>
      <c r="AA286" s="54"/>
      <c r="AB286" s="54"/>
    </row>
    <row r="287">
      <c r="A287" s="52"/>
      <c r="H287" s="53"/>
      <c r="M287" s="53"/>
      <c r="T287" s="53"/>
      <c r="Z287" s="54"/>
      <c r="AA287" s="54"/>
      <c r="AB287" s="54"/>
    </row>
    <row r="288">
      <c r="A288" s="52"/>
      <c r="H288" s="53"/>
      <c r="M288" s="53"/>
      <c r="T288" s="53"/>
      <c r="Z288" s="54"/>
      <c r="AA288" s="54"/>
      <c r="AB288" s="54"/>
    </row>
    <row r="289">
      <c r="A289" s="52"/>
      <c r="H289" s="53"/>
      <c r="M289" s="53"/>
      <c r="T289" s="53"/>
      <c r="Z289" s="54"/>
      <c r="AA289" s="54"/>
      <c r="AB289" s="54"/>
    </row>
    <row r="290">
      <c r="A290" s="52"/>
      <c r="H290" s="53"/>
      <c r="M290" s="53"/>
      <c r="T290" s="53"/>
      <c r="Z290" s="54"/>
      <c r="AA290" s="54"/>
      <c r="AB290" s="54"/>
    </row>
    <row r="291">
      <c r="A291" s="52"/>
      <c r="H291" s="53"/>
      <c r="M291" s="53"/>
      <c r="T291" s="53"/>
      <c r="Z291" s="54"/>
      <c r="AA291" s="54"/>
      <c r="AB291" s="54"/>
    </row>
    <row r="292">
      <c r="A292" s="52"/>
      <c r="H292" s="53"/>
      <c r="M292" s="53"/>
      <c r="T292" s="53"/>
      <c r="Z292" s="54"/>
      <c r="AA292" s="54"/>
      <c r="AB292" s="54"/>
    </row>
    <row r="293">
      <c r="A293" s="52"/>
      <c r="H293" s="53"/>
      <c r="M293" s="53"/>
      <c r="T293" s="53"/>
      <c r="Z293" s="54"/>
      <c r="AA293" s="54"/>
      <c r="AB293" s="54"/>
    </row>
    <row r="294">
      <c r="A294" s="52"/>
      <c r="H294" s="53"/>
      <c r="M294" s="53"/>
      <c r="T294" s="53"/>
      <c r="Z294" s="54"/>
      <c r="AA294" s="54"/>
      <c r="AB294" s="54"/>
    </row>
    <row r="295">
      <c r="A295" s="52"/>
      <c r="H295" s="53"/>
      <c r="M295" s="53"/>
      <c r="T295" s="53"/>
      <c r="Z295" s="54"/>
      <c r="AA295" s="54"/>
      <c r="AB295" s="54"/>
    </row>
    <row r="296">
      <c r="A296" s="52"/>
      <c r="H296" s="53"/>
      <c r="M296" s="53"/>
      <c r="T296" s="53"/>
      <c r="Z296" s="54"/>
      <c r="AA296" s="54"/>
      <c r="AB296" s="54"/>
    </row>
    <row r="297">
      <c r="A297" s="52"/>
      <c r="H297" s="53"/>
      <c r="M297" s="53"/>
      <c r="T297" s="53"/>
      <c r="Z297" s="54"/>
      <c r="AA297" s="54"/>
      <c r="AB297" s="54"/>
    </row>
    <row r="298">
      <c r="A298" s="52"/>
      <c r="H298" s="53"/>
      <c r="M298" s="53"/>
      <c r="T298" s="53"/>
      <c r="Z298" s="54"/>
      <c r="AA298" s="54"/>
      <c r="AB298" s="54"/>
    </row>
    <row r="299">
      <c r="A299" s="52"/>
      <c r="H299" s="53"/>
      <c r="M299" s="53"/>
      <c r="T299" s="53"/>
      <c r="Z299" s="54"/>
      <c r="AA299" s="54"/>
      <c r="AB299" s="54"/>
    </row>
    <row r="300">
      <c r="A300" s="52"/>
      <c r="H300" s="53"/>
      <c r="M300" s="53"/>
      <c r="T300" s="53"/>
      <c r="Z300" s="54"/>
      <c r="AA300" s="54"/>
      <c r="AB300" s="54"/>
    </row>
    <row r="301">
      <c r="A301" s="52"/>
      <c r="H301" s="53"/>
      <c r="M301" s="53"/>
      <c r="T301" s="53"/>
      <c r="Z301" s="54"/>
      <c r="AA301" s="54"/>
      <c r="AB301" s="54"/>
    </row>
    <row r="302">
      <c r="A302" s="52"/>
      <c r="H302" s="53"/>
      <c r="M302" s="53"/>
      <c r="T302" s="53"/>
      <c r="Z302" s="54"/>
      <c r="AA302" s="54"/>
      <c r="AB302" s="54"/>
    </row>
    <row r="303">
      <c r="A303" s="52"/>
      <c r="H303" s="53"/>
      <c r="M303" s="53"/>
      <c r="T303" s="53"/>
      <c r="Z303" s="54"/>
      <c r="AA303" s="54"/>
      <c r="AB303" s="54"/>
    </row>
    <row r="304">
      <c r="A304" s="52"/>
      <c r="H304" s="53"/>
      <c r="M304" s="53"/>
      <c r="T304" s="53"/>
      <c r="Z304" s="54"/>
      <c r="AA304" s="54"/>
      <c r="AB304" s="54"/>
    </row>
    <row r="305">
      <c r="A305" s="52"/>
      <c r="H305" s="53"/>
      <c r="M305" s="53"/>
      <c r="T305" s="53"/>
      <c r="Z305" s="54"/>
      <c r="AA305" s="54"/>
      <c r="AB305" s="54"/>
    </row>
    <row r="306">
      <c r="A306" s="52"/>
      <c r="H306" s="53"/>
      <c r="M306" s="53"/>
      <c r="T306" s="53"/>
      <c r="Z306" s="54"/>
      <c r="AA306" s="54"/>
      <c r="AB306" s="54"/>
    </row>
    <row r="307">
      <c r="A307" s="52"/>
      <c r="H307" s="53"/>
      <c r="M307" s="53"/>
      <c r="T307" s="53"/>
      <c r="Z307" s="54"/>
      <c r="AA307" s="54"/>
      <c r="AB307" s="54"/>
    </row>
    <row r="308">
      <c r="A308" s="52"/>
      <c r="H308" s="53"/>
      <c r="M308" s="53"/>
      <c r="T308" s="53"/>
      <c r="Z308" s="54"/>
      <c r="AA308" s="54"/>
      <c r="AB308" s="54"/>
    </row>
    <row r="309">
      <c r="A309" s="52"/>
      <c r="H309" s="53"/>
      <c r="M309" s="53"/>
      <c r="T309" s="53"/>
      <c r="Z309" s="54"/>
      <c r="AA309" s="54"/>
      <c r="AB309" s="54"/>
    </row>
    <row r="310">
      <c r="A310" s="52"/>
      <c r="H310" s="53"/>
      <c r="M310" s="53"/>
      <c r="T310" s="53"/>
      <c r="Z310" s="54"/>
      <c r="AA310" s="54"/>
      <c r="AB310" s="54"/>
    </row>
    <row r="311">
      <c r="A311" s="52"/>
      <c r="H311" s="53"/>
      <c r="M311" s="53"/>
      <c r="T311" s="53"/>
      <c r="Z311" s="54"/>
      <c r="AA311" s="54"/>
      <c r="AB311" s="54"/>
    </row>
    <row r="312">
      <c r="A312" s="52"/>
      <c r="H312" s="53"/>
      <c r="M312" s="53"/>
      <c r="T312" s="53"/>
      <c r="Z312" s="54"/>
      <c r="AA312" s="54"/>
      <c r="AB312" s="54"/>
    </row>
    <row r="313">
      <c r="A313" s="52"/>
      <c r="H313" s="53"/>
      <c r="M313" s="53"/>
      <c r="T313" s="53"/>
      <c r="Z313" s="54"/>
      <c r="AA313" s="54"/>
      <c r="AB313" s="54"/>
    </row>
    <row r="314">
      <c r="A314" s="52"/>
      <c r="H314" s="53"/>
      <c r="M314" s="53"/>
      <c r="T314" s="53"/>
      <c r="Z314" s="54"/>
      <c r="AA314" s="54"/>
      <c r="AB314" s="54"/>
    </row>
    <row r="315">
      <c r="A315" s="52"/>
      <c r="H315" s="53"/>
      <c r="M315" s="53"/>
      <c r="T315" s="53"/>
      <c r="Z315" s="54"/>
      <c r="AA315" s="54"/>
      <c r="AB315" s="54"/>
    </row>
    <row r="316">
      <c r="A316" s="52"/>
      <c r="H316" s="53"/>
      <c r="M316" s="53"/>
      <c r="T316" s="53"/>
      <c r="Z316" s="54"/>
      <c r="AA316" s="54"/>
      <c r="AB316" s="54"/>
    </row>
    <row r="317">
      <c r="A317" s="52"/>
      <c r="H317" s="53"/>
      <c r="M317" s="53"/>
      <c r="T317" s="53"/>
      <c r="Z317" s="54"/>
      <c r="AA317" s="54"/>
      <c r="AB317" s="54"/>
    </row>
    <row r="318">
      <c r="A318" s="52"/>
      <c r="H318" s="53"/>
      <c r="M318" s="53"/>
      <c r="T318" s="53"/>
      <c r="Z318" s="54"/>
      <c r="AA318" s="54"/>
      <c r="AB318" s="54"/>
    </row>
    <row r="319">
      <c r="A319" s="52"/>
      <c r="H319" s="53"/>
      <c r="M319" s="53"/>
      <c r="T319" s="53"/>
      <c r="Z319" s="54"/>
      <c r="AA319" s="54"/>
      <c r="AB319" s="54"/>
    </row>
    <row r="320">
      <c r="A320" s="52"/>
      <c r="H320" s="53"/>
      <c r="M320" s="53"/>
      <c r="T320" s="53"/>
      <c r="Z320" s="54"/>
      <c r="AA320" s="54"/>
      <c r="AB320" s="54"/>
    </row>
    <row r="321">
      <c r="A321" s="52"/>
      <c r="H321" s="53"/>
      <c r="M321" s="53"/>
      <c r="T321" s="53"/>
      <c r="Z321" s="54"/>
      <c r="AA321" s="54"/>
      <c r="AB321" s="54"/>
    </row>
    <row r="322">
      <c r="A322" s="52"/>
      <c r="H322" s="53"/>
      <c r="M322" s="53"/>
      <c r="T322" s="53"/>
      <c r="Z322" s="54"/>
      <c r="AA322" s="54"/>
      <c r="AB322" s="54"/>
    </row>
    <row r="323">
      <c r="A323" s="52"/>
      <c r="H323" s="53"/>
      <c r="M323" s="53"/>
      <c r="T323" s="53"/>
      <c r="Z323" s="54"/>
      <c r="AA323" s="54"/>
      <c r="AB323" s="54"/>
    </row>
    <row r="324">
      <c r="A324" s="52"/>
      <c r="H324" s="53"/>
      <c r="M324" s="53"/>
      <c r="T324" s="53"/>
      <c r="Z324" s="54"/>
      <c r="AA324" s="54"/>
      <c r="AB324" s="54"/>
    </row>
    <row r="325">
      <c r="A325" s="52"/>
      <c r="H325" s="53"/>
      <c r="M325" s="53"/>
      <c r="T325" s="53"/>
      <c r="Z325" s="54"/>
      <c r="AA325" s="54"/>
      <c r="AB325" s="54"/>
    </row>
    <row r="326">
      <c r="A326" s="52"/>
      <c r="H326" s="53"/>
      <c r="M326" s="53"/>
      <c r="T326" s="53"/>
      <c r="Z326" s="54"/>
      <c r="AA326" s="54"/>
      <c r="AB326" s="54"/>
    </row>
    <row r="327">
      <c r="A327" s="52"/>
      <c r="H327" s="53"/>
      <c r="M327" s="53"/>
      <c r="T327" s="53"/>
      <c r="Z327" s="54"/>
      <c r="AA327" s="54"/>
      <c r="AB327" s="54"/>
    </row>
    <row r="328">
      <c r="A328" s="52"/>
      <c r="H328" s="53"/>
      <c r="M328" s="53"/>
      <c r="T328" s="53"/>
      <c r="Z328" s="54"/>
      <c r="AA328" s="54"/>
      <c r="AB328" s="54"/>
    </row>
    <row r="329">
      <c r="A329" s="52"/>
      <c r="H329" s="53"/>
      <c r="M329" s="53"/>
      <c r="T329" s="53"/>
      <c r="Z329" s="54"/>
      <c r="AA329" s="54"/>
      <c r="AB329" s="54"/>
    </row>
    <row r="330">
      <c r="A330" s="52"/>
      <c r="H330" s="53"/>
      <c r="M330" s="53"/>
      <c r="T330" s="53"/>
      <c r="Z330" s="54"/>
      <c r="AA330" s="54"/>
      <c r="AB330" s="54"/>
    </row>
    <row r="331">
      <c r="A331" s="52"/>
      <c r="H331" s="53"/>
      <c r="M331" s="53"/>
      <c r="T331" s="53"/>
      <c r="Z331" s="54"/>
      <c r="AA331" s="54"/>
      <c r="AB331" s="54"/>
    </row>
    <row r="332">
      <c r="A332" s="52"/>
      <c r="H332" s="53"/>
      <c r="M332" s="53"/>
      <c r="T332" s="53"/>
      <c r="Z332" s="54"/>
      <c r="AA332" s="54"/>
      <c r="AB332" s="54"/>
    </row>
    <row r="333">
      <c r="A333" s="52"/>
      <c r="H333" s="53"/>
      <c r="M333" s="53"/>
      <c r="T333" s="53"/>
      <c r="Z333" s="54"/>
      <c r="AA333" s="54"/>
      <c r="AB333" s="54"/>
    </row>
    <row r="334">
      <c r="A334" s="52"/>
      <c r="H334" s="53"/>
      <c r="M334" s="53"/>
      <c r="T334" s="53"/>
      <c r="Z334" s="54"/>
      <c r="AA334" s="54"/>
      <c r="AB334" s="54"/>
    </row>
    <row r="335">
      <c r="A335" s="52"/>
      <c r="H335" s="53"/>
      <c r="M335" s="53"/>
      <c r="T335" s="53"/>
      <c r="Z335" s="54"/>
      <c r="AA335" s="54"/>
      <c r="AB335" s="54"/>
    </row>
    <row r="336">
      <c r="A336" s="52"/>
      <c r="H336" s="53"/>
      <c r="M336" s="53"/>
      <c r="T336" s="53"/>
      <c r="Z336" s="54"/>
      <c r="AA336" s="54"/>
      <c r="AB336" s="54"/>
    </row>
    <row r="337">
      <c r="A337" s="52"/>
      <c r="H337" s="53"/>
      <c r="M337" s="53"/>
      <c r="T337" s="53"/>
      <c r="Z337" s="54"/>
      <c r="AA337" s="54"/>
      <c r="AB337" s="54"/>
    </row>
    <row r="338">
      <c r="A338" s="52"/>
      <c r="H338" s="53"/>
      <c r="M338" s="53"/>
      <c r="T338" s="53"/>
      <c r="Z338" s="54"/>
      <c r="AA338" s="54"/>
      <c r="AB338" s="54"/>
    </row>
    <row r="339">
      <c r="A339" s="52"/>
      <c r="H339" s="53"/>
      <c r="M339" s="53"/>
      <c r="T339" s="53"/>
      <c r="Z339" s="54"/>
      <c r="AA339" s="54"/>
      <c r="AB339" s="54"/>
    </row>
    <row r="340">
      <c r="A340" s="52"/>
      <c r="H340" s="53"/>
      <c r="M340" s="53"/>
      <c r="T340" s="53"/>
      <c r="Z340" s="54"/>
      <c r="AA340" s="54"/>
      <c r="AB340" s="54"/>
    </row>
    <row r="341">
      <c r="A341" s="52"/>
      <c r="H341" s="53"/>
      <c r="M341" s="53"/>
      <c r="T341" s="53"/>
      <c r="Z341" s="54"/>
      <c r="AA341" s="54"/>
      <c r="AB341" s="54"/>
    </row>
    <row r="342">
      <c r="A342" s="52"/>
      <c r="H342" s="53"/>
      <c r="M342" s="53"/>
      <c r="T342" s="53"/>
      <c r="Z342" s="54"/>
      <c r="AA342" s="54"/>
      <c r="AB342" s="54"/>
    </row>
    <row r="343">
      <c r="A343" s="52"/>
      <c r="H343" s="53"/>
      <c r="M343" s="53"/>
      <c r="T343" s="53"/>
      <c r="Z343" s="54"/>
      <c r="AA343" s="54"/>
      <c r="AB343" s="54"/>
    </row>
    <row r="344">
      <c r="A344" s="52"/>
      <c r="H344" s="53"/>
      <c r="M344" s="53"/>
      <c r="T344" s="53"/>
      <c r="Z344" s="54"/>
      <c r="AA344" s="54"/>
      <c r="AB344" s="54"/>
    </row>
    <row r="345">
      <c r="A345" s="52"/>
      <c r="H345" s="53"/>
      <c r="M345" s="53"/>
      <c r="T345" s="53"/>
      <c r="Z345" s="54"/>
      <c r="AA345" s="54"/>
      <c r="AB345" s="54"/>
    </row>
    <row r="346">
      <c r="A346" s="52"/>
      <c r="H346" s="53"/>
      <c r="M346" s="53"/>
      <c r="T346" s="53"/>
      <c r="Z346" s="54"/>
      <c r="AA346" s="54"/>
      <c r="AB346" s="54"/>
    </row>
    <row r="347">
      <c r="A347" s="52"/>
      <c r="H347" s="53"/>
      <c r="M347" s="53"/>
      <c r="T347" s="53"/>
      <c r="Z347" s="54"/>
      <c r="AA347" s="54"/>
      <c r="AB347" s="54"/>
    </row>
    <row r="348">
      <c r="A348" s="52"/>
      <c r="H348" s="53"/>
      <c r="M348" s="53"/>
      <c r="T348" s="53"/>
      <c r="Z348" s="54"/>
      <c r="AA348" s="54"/>
      <c r="AB348" s="54"/>
    </row>
    <row r="349">
      <c r="A349" s="52"/>
      <c r="H349" s="53"/>
      <c r="M349" s="53"/>
      <c r="T349" s="53"/>
      <c r="Z349" s="54"/>
      <c r="AA349" s="54"/>
      <c r="AB349" s="54"/>
    </row>
    <row r="350">
      <c r="A350" s="52"/>
      <c r="H350" s="53"/>
      <c r="M350" s="53"/>
      <c r="T350" s="53"/>
      <c r="Z350" s="54"/>
      <c r="AA350" s="54"/>
      <c r="AB350" s="54"/>
    </row>
    <row r="351">
      <c r="A351" s="52"/>
      <c r="H351" s="53"/>
      <c r="M351" s="53"/>
      <c r="T351" s="53"/>
      <c r="Z351" s="54"/>
      <c r="AA351" s="54"/>
      <c r="AB351" s="54"/>
    </row>
    <row r="352">
      <c r="A352" s="52"/>
      <c r="H352" s="53"/>
      <c r="M352" s="53"/>
      <c r="T352" s="53"/>
      <c r="Z352" s="54"/>
      <c r="AA352" s="54"/>
      <c r="AB352" s="54"/>
    </row>
    <row r="353">
      <c r="A353" s="52"/>
      <c r="H353" s="53"/>
      <c r="M353" s="53"/>
      <c r="T353" s="53"/>
      <c r="Z353" s="54"/>
      <c r="AA353" s="54"/>
      <c r="AB353" s="54"/>
    </row>
    <row r="354">
      <c r="A354" s="52"/>
      <c r="H354" s="53"/>
      <c r="M354" s="53"/>
      <c r="T354" s="53"/>
      <c r="Z354" s="54"/>
      <c r="AA354" s="54"/>
      <c r="AB354" s="54"/>
    </row>
    <row r="355">
      <c r="A355" s="52"/>
      <c r="H355" s="53"/>
      <c r="M355" s="53"/>
      <c r="T355" s="53"/>
      <c r="Z355" s="54"/>
      <c r="AA355" s="54"/>
      <c r="AB355" s="54"/>
    </row>
    <row r="356">
      <c r="A356" s="52"/>
      <c r="H356" s="53"/>
      <c r="M356" s="53"/>
      <c r="T356" s="53"/>
      <c r="Z356" s="54"/>
      <c r="AA356" s="54"/>
      <c r="AB356" s="54"/>
    </row>
    <row r="357">
      <c r="A357" s="52"/>
      <c r="H357" s="53"/>
      <c r="M357" s="53"/>
      <c r="T357" s="53"/>
      <c r="Z357" s="54"/>
      <c r="AA357" s="54"/>
      <c r="AB357" s="54"/>
    </row>
    <row r="358">
      <c r="A358" s="52"/>
      <c r="H358" s="53"/>
      <c r="M358" s="53"/>
      <c r="T358" s="53"/>
      <c r="Z358" s="54"/>
      <c r="AA358" s="54"/>
      <c r="AB358" s="54"/>
    </row>
    <row r="359">
      <c r="A359" s="52"/>
      <c r="H359" s="53"/>
      <c r="M359" s="53"/>
      <c r="T359" s="53"/>
      <c r="Z359" s="54"/>
      <c r="AA359" s="54"/>
      <c r="AB359" s="54"/>
    </row>
    <row r="360">
      <c r="A360" s="52"/>
      <c r="H360" s="53"/>
      <c r="M360" s="53"/>
      <c r="T360" s="53"/>
      <c r="Z360" s="54"/>
      <c r="AA360" s="54"/>
      <c r="AB360" s="54"/>
    </row>
    <row r="361">
      <c r="A361" s="52"/>
      <c r="H361" s="53"/>
      <c r="M361" s="53"/>
      <c r="T361" s="53"/>
      <c r="Z361" s="54"/>
      <c r="AA361" s="54"/>
      <c r="AB361" s="54"/>
    </row>
    <row r="362">
      <c r="A362" s="52"/>
      <c r="H362" s="53"/>
      <c r="M362" s="53"/>
      <c r="T362" s="53"/>
      <c r="Z362" s="54"/>
      <c r="AA362" s="54"/>
      <c r="AB362" s="54"/>
    </row>
    <row r="363">
      <c r="A363" s="52"/>
      <c r="H363" s="53"/>
      <c r="M363" s="53"/>
      <c r="T363" s="53"/>
      <c r="Z363" s="54"/>
      <c r="AA363" s="54"/>
      <c r="AB363" s="54"/>
    </row>
    <row r="364">
      <c r="A364" s="52"/>
      <c r="H364" s="53"/>
      <c r="M364" s="53"/>
      <c r="T364" s="53"/>
      <c r="Z364" s="54"/>
      <c r="AA364" s="54"/>
      <c r="AB364" s="54"/>
    </row>
    <row r="365">
      <c r="A365" s="52"/>
      <c r="H365" s="53"/>
      <c r="M365" s="53"/>
      <c r="T365" s="53"/>
      <c r="Z365" s="54"/>
      <c r="AA365" s="54"/>
      <c r="AB365" s="54"/>
    </row>
    <row r="366">
      <c r="A366" s="52"/>
      <c r="H366" s="53"/>
      <c r="M366" s="53"/>
      <c r="T366" s="53"/>
      <c r="Z366" s="54"/>
      <c r="AA366" s="54"/>
      <c r="AB366" s="54"/>
    </row>
    <row r="367">
      <c r="A367" s="52"/>
      <c r="H367" s="53"/>
      <c r="M367" s="53"/>
      <c r="T367" s="53"/>
      <c r="Z367" s="54"/>
      <c r="AA367" s="54"/>
      <c r="AB367" s="54"/>
    </row>
    <row r="368">
      <c r="A368" s="52"/>
      <c r="H368" s="53"/>
      <c r="M368" s="53"/>
      <c r="T368" s="53"/>
      <c r="Z368" s="54"/>
      <c r="AA368" s="54"/>
      <c r="AB368" s="54"/>
    </row>
    <row r="369">
      <c r="A369" s="52"/>
      <c r="H369" s="53"/>
      <c r="M369" s="53"/>
      <c r="T369" s="53"/>
      <c r="Z369" s="54"/>
      <c r="AA369" s="54"/>
      <c r="AB369" s="54"/>
    </row>
    <row r="370">
      <c r="A370" s="52"/>
      <c r="H370" s="53"/>
      <c r="M370" s="53"/>
      <c r="T370" s="53"/>
      <c r="Z370" s="54"/>
      <c r="AA370" s="54"/>
      <c r="AB370" s="54"/>
    </row>
    <row r="371">
      <c r="A371" s="52"/>
      <c r="H371" s="53"/>
      <c r="M371" s="53"/>
      <c r="T371" s="53"/>
      <c r="Z371" s="54"/>
      <c r="AA371" s="54"/>
      <c r="AB371" s="54"/>
    </row>
    <row r="372">
      <c r="A372" s="52"/>
      <c r="H372" s="53"/>
      <c r="M372" s="53"/>
      <c r="T372" s="53"/>
      <c r="Z372" s="54"/>
      <c r="AA372" s="54"/>
      <c r="AB372" s="54"/>
    </row>
    <row r="373">
      <c r="A373" s="52"/>
      <c r="H373" s="53"/>
      <c r="M373" s="53"/>
      <c r="T373" s="53"/>
      <c r="Z373" s="54"/>
      <c r="AA373" s="54"/>
      <c r="AB373" s="54"/>
    </row>
    <row r="374">
      <c r="A374" s="52"/>
      <c r="H374" s="53"/>
      <c r="M374" s="53"/>
      <c r="T374" s="53"/>
      <c r="Z374" s="54"/>
      <c r="AA374" s="54"/>
      <c r="AB374" s="54"/>
    </row>
    <row r="375">
      <c r="A375" s="52"/>
      <c r="H375" s="53"/>
      <c r="M375" s="53"/>
      <c r="T375" s="53"/>
      <c r="Z375" s="54"/>
      <c r="AA375" s="54"/>
      <c r="AB375" s="54"/>
    </row>
    <row r="376">
      <c r="A376" s="52"/>
      <c r="H376" s="53"/>
      <c r="M376" s="53"/>
      <c r="T376" s="53"/>
      <c r="Z376" s="54"/>
      <c r="AA376" s="54"/>
      <c r="AB376" s="54"/>
    </row>
    <row r="377">
      <c r="A377" s="52"/>
      <c r="H377" s="53"/>
      <c r="M377" s="53"/>
      <c r="T377" s="53"/>
      <c r="Z377" s="54"/>
      <c r="AA377" s="54"/>
      <c r="AB377" s="54"/>
    </row>
    <row r="378">
      <c r="A378" s="52"/>
      <c r="H378" s="53"/>
      <c r="M378" s="53"/>
      <c r="T378" s="53"/>
      <c r="Z378" s="54"/>
      <c r="AA378" s="54"/>
      <c r="AB378" s="54"/>
    </row>
    <row r="379">
      <c r="A379" s="52"/>
      <c r="H379" s="53"/>
      <c r="M379" s="53"/>
      <c r="T379" s="53"/>
      <c r="Z379" s="54"/>
      <c r="AA379" s="54"/>
      <c r="AB379" s="54"/>
    </row>
    <row r="380">
      <c r="A380" s="52"/>
      <c r="H380" s="53"/>
      <c r="M380" s="53"/>
      <c r="T380" s="53"/>
      <c r="Z380" s="54"/>
      <c r="AA380" s="54"/>
      <c r="AB380" s="54"/>
    </row>
    <row r="381">
      <c r="A381" s="52"/>
      <c r="H381" s="53"/>
      <c r="M381" s="53"/>
      <c r="T381" s="53"/>
      <c r="Z381" s="54"/>
      <c r="AA381" s="54"/>
      <c r="AB381" s="54"/>
    </row>
    <row r="382">
      <c r="A382" s="52"/>
      <c r="H382" s="53"/>
      <c r="M382" s="53"/>
      <c r="T382" s="53"/>
      <c r="Z382" s="54"/>
      <c r="AA382" s="54"/>
      <c r="AB382" s="54"/>
    </row>
    <row r="383">
      <c r="A383" s="52"/>
      <c r="H383" s="53"/>
      <c r="M383" s="53"/>
      <c r="T383" s="53"/>
      <c r="Z383" s="54"/>
      <c r="AA383" s="54"/>
      <c r="AB383" s="54"/>
    </row>
    <row r="384">
      <c r="A384" s="52"/>
      <c r="H384" s="53"/>
      <c r="M384" s="53"/>
      <c r="T384" s="53"/>
      <c r="Z384" s="54"/>
      <c r="AA384" s="54"/>
      <c r="AB384" s="54"/>
    </row>
    <row r="385">
      <c r="A385" s="52"/>
      <c r="H385" s="53"/>
      <c r="M385" s="53"/>
      <c r="T385" s="53"/>
      <c r="Z385" s="54"/>
      <c r="AA385" s="54"/>
      <c r="AB385" s="54"/>
    </row>
    <row r="386">
      <c r="A386" s="52"/>
      <c r="H386" s="53"/>
      <c r="M386" s="53"/>
      <c r="T386" s="53"/>
      <c r="Z386" s="54"/>
      <c r="AA386" s="54"/>
      <c r="AB386" s="54"/>
    </row>
    <row r="387">
      <c r="A387" s="52"/>
      <c r="H387" s="53"/>
      <c r="M387" s="53"/>
      <c r="T387" s="53"/>
      <c r="Z387" s="54"/>
      <c r="AA387" s="54"/>
      <c r="AB387" s="54"/>
    </row>
    <row r="388">
      <c r="A388" s="52"/>
      <c r="H388" s="53"/>
      <c r="M388" s="53"/>
      <c r="T388" s="53"/>
      <c r="Z388" s="54"/>
      <c r="AA388" s="54"/>
      <c r="AB388" s="54"/>
    </row>
    <row r="389">
      <c r="A389" s="52"/>
      <c r="H389" s="53"/>
      <c r="M389" s="53"/>
      <c r="T389" s="53"/>
      <c r="Z389" s="54"/>
      <c r="AA389" s="54"/>
      <c r="AB389" s="54"/>
    </row>
    <row r="390">
      <c r="A390" s="52"/>
      <c r="H390" s="53"/>
      <c r="M390" s="53"/>
      <c r="T390" s="53"/>
      <c r="Z390" s="54"/>
      <c r="AA390" s="54"/>
      <c r="AB390" s="54"/>
    </row>
    <row r="391">
      <c r="A391" s="52"/>
      <c r="H391" s="53"/>
      <c r="M391" s="53"/>
      <c r="T391" s="53"/>
      <c r="Z391" s="54"/>
      <c r="AA391" s="54"/>
      <c r="AB391" s="54"/>
    </row>
    <row r="392">
      <c r="A392" s="52"/>
      <c r="H392" s="53"/>
      <c r="M392" s="53"/>
      <c r="T392" s="53"/>
      <c r="Z392" s="54"/>
      <c r="AA392" s="54"/>
      <c r="AB392" s="54"/>
    </row>
    <row r="393">
      <c r="A393" s="52"/>
      <c r="H393" s="53"/>
      <c r="M393" s="53"/>
      <c r="T393" s="53"/>
      <c r="Z393" s="54"/>
      <c r="AA393" s="54"/>
      <c r="AB393" s="54"/>
    </row>
    <row r="394">
      <c r="A394" s="52"/>
      <c r="H394" s="53"/>
      <c r="M394" s="53"/>
      <c r="T394" s="53"/>
      <c r="Z394" s="54"/>
      <c r="AA394" s="54"/>
      <c r="AB394" s="54"/>
    </row>
    <row r="395">
      <c r="A395" s="52"/>
      <c r="H395" s="53"/>
      <c r="M395" s="53"/>
      <c r="T395" s="53"/>
      <c r="Z395" s="54"/>
      <c r="AA395" s="54"/>
      <c r="AB395" s="54"/>
    </row>
    <row r="396">
      <c r="A396" s="52"/>
      <c r="H396" s="53"/>
      <c r="M396" s="53"/>
      <c r="T396" s="53"/>
      <c r="Z396" s="54"/>
      <c r="AA396" s="54"/>
      <c r="AB396" s="54"/>
    </row>
    <row r="397">
      <c r="A397" s="52"/>
      <c r="H397" s="53"/>
      <c r="M397" s="53"/>
      <c r="T397" s="53"/>
      <c r="Z397" s="54"/>
      <c r="AA397" s="54"/>
      <c r="AB397" s="54"/>
    </row>
    <row r="398">
      <c r="A398" s="52"/>
      <c r="H398" s="53"/>
      <c r="M398" s="53"/>
      <c r="T398" s="53"/>
      <c r="Z398" s="54"/>
      <c r="AA398" s="54"/>
      <c r="AB398" s="54"/>
    </row>
    <row r="399">
      <c r="A399" s="52"/>
      <c r="H399" s="53"/>
      <c r="M399" s="53"/>
      <c r="T399" s="53"/>
      <c r="Z399" s="54"/>
      <c r="AA399" s="54"/>
      <c r="AB399" s="54"/>
    </row>
    <row r="400">
      <c r="A400" s="52"/>
      <c r="H400" s="53"/>
      <c r="M400" s="53"/>
      <c r="T400" s="53"/>
      <c r="Z400" s="54"/>
      <c r="AA400" s="54"/>
      <c r="AB400" s="54"/>
    </row>
    <row r="401">
      <c r="A401" s="52"/>
      <c r="H401" s="53"/>
      <c r="M401" s="53"/>
      <c r="T401" s="53"/>
      <c r="Z401" s="54"/>
      <c r="AA401" s="54"/>
      <c r="AB401" s="54"/>
    </row>
    <row r="402">
      <c r="A402" s="52"/>
      <c r="H402" s="53"/>
      <c r="M402" s="53"/>
      <c r="T402" s="53"/>
      <c r="Z402" s="54"/>
      <c r="AA402" s="54"/>
      <c r="AB402" s="54"/>
    </row>
    <row r="403">
      <c r="A403" s="52"/>
      <c r="H403" s="53"/>
      <c r="M403" s="53"/>
      <c r="T403" s="53"/>
      <c r="Z403" s="54"/>
      <c r="AA403" s="54"/>
      <c r="AB403" s="54"/>
    </row>
    <row r="404">
      <c r="A404" s="52"/>
      <c r="H404" s="53"/>
      <c r="M404" s="53"/>
      <c r="T404" s="53"/>
      <c r="Z404" s="54"/>
      <c r="AA404" s="54"/>
      <c r="AB404" s="54"/>
    </row>
    <row r="405">
      <c r="A405" s="52"/>
      <c r="H405" s="53"/>
      <c r="M405" s="53"/>
      <c r="T405" s="53"/>
      <c r="Z405" s="54"/>
      <c r="AA405" s="54"/>
      <c r="AB405" s="54"/>
    </row>
    <row r="406">
      <c r="A406" s="52"/>
      <c r="H406" s="53"/>
      <c r="M406" s="53"/>
      <c r="T406" s="53"/>
      <c r="Z406" s="54"/>
      <c r="AA406" s="54"/>
      <c r="AB406" s="54"/>
    </row>
    <row r="407">
      <c r="A407" s="52"/>
      <c r="H407" s="53"/>
      <c r="M407" s="53"/>
      <c r="T407" s="53"/>
      <c r="Z407" s="54"/>
      <c r="AA407" s="54"/>
      <c r="AB407" s="54"/>
    </row>
    <row r="408">
      <c r="A408" s="52"/>
      <c r="H408" s="53"/>
      <c r="M408" s="53"/>
      <c r="T408" s="53"/>
      <c r="Z408" s="54"/>
      <c r="AA408" s="54"/>
      <c r="AB408" s="54"/>
    </row>
    <row r="409">
      <c r="A409" s="52"/>
      <c r="H409" s="53"/>
      <c r="M409" s="53"/>
      <c r="T409" s="53"/>
      <c r="Z409" s="54"/>
      <c r="AA409" s="54"/>
      <c r="AB409" s="54"/>
    </row>
    <row r="410">
      <c r="A410" s="52"/>
      <c r="H410" s="53"/>
      <c r="M410" s="53"/>
      <c r="T410" s="53"/>
      <c r="Z410" s="54"/>
      <c r="AA410" s="54"/>
      <c r="AB410" s="54"/>
    </row>
    <row r="411">
      <c r="A411" s="52"/>
      <c r="H411" s="53"/>
      <c r="M411" s="53"/>
      <c r="T411" s="53"/>
      <c r="Z411" s="54"/>
      <c r="AA411" s="54"/>
      <c r="AB411" s="54"/>
    </row>
    <row r="412">
      <c r="A412" s="52"/>
      <c r="H412" s="53"/>
      <c r="M412" s="53"/>
      <c r="T412" s="53"/>
      <c r="Z412" s="54"/>
      <c r="AA412" s="54"/>
      <c r="AB412" s="54"/>
    </row>
    <row r="413">
      <c r="A413" s="52"/>
      <c r="H413" s="53"/>
      <c r="M413" s="53"/>
      <c r="T413" s="53"/>
      <c r="Z413" s="54"/>
      <c r="AA413" s="54"/>
      <c r="AB413" s="54"/>
    </row>
    <row r="414">
      <c r="A414" s="52"/>
      <c r="H414" s="53"/>
      <c r="M414" s="53"/>
      <c r="T414" s="53"/>
      <c r="Z414" s="54"/>
      <c r="AA414" s="54"/>
      <c r="AB414" s="54"/>
    </row>
    <row r="415">
      <c r="A415" s="52"/>
      <c r="H415" s="53"/>
      <c r="M415" s="53"/>
      <c r="T415" s="53"/>
      <c r="Z415" s="54"/>
      <c r="AA415" s="54"/>
      <c r="AB415" s="54"/>
    </row>
    <row r="416">
      <c r="A416" s="52"/>
      <c r="H416" s="53"/>
      <c r="M416" s="53"/>
      <c r="T416" s="53"/>
      <c r="Z416" s="54"/>
      <c r="AA416" s="54"/>
      <c r="AB416" s="54"/>
    </row>
    <row r="417">
      <c r="A417" s="52"/>
      <c r="H417" s="53"/>
      <c r="M417" s="53"/>
      <c r="T417" s="53"/>
      <c r="Z417" s="54"/>
      <c r="AA417" s="54"/>
      <c r="AB417" s="54"/>
    </row>
    <row r="418">
      <c r="A418" s="52"/>
      <c r="H418" s="53"/>
      <c r="M418" s="53"/>
      <c r="T418" s="53"/>
      <c r="Z418" s="54"/>
      <c r="AA418" s="54"/>
      <c r="AB418" s="54"/>
    </row>
    <row r="419">
      <c r="A419" s="52"/>
      <c r="H419" s="53"/>
      <c r="M419" s="53"/>
      <c r="T419" s="53"/>
      <c r="Z419" s="54"/>
      <c r="AA419" s="54"/>
      <c r="AB419" s="54"/>
    </row>
    <row r="420">
      <c r="A420" s="52"/>
      <c r="H420" s="53"/>
      <c r="M420" s="53"/>
      <c r="T420" s="53"/>
      <c r="Z420" s="54"/>
      <c r="AA420" s="54"/>
      <c r="AB420" s="54"/>
    </row>
    <row r="421">
      <c r="A421" s="52"/>
      <c r="H421" s="53"/>
      <c r="M421" s="53"/>
      <c r="T421" s="53"/>
      <c r="Z421" s="54"/>
      <c r="AA421" s="54"/>
      <c r="AB421" s="54"/>
    </row>
    <row r="422">
      <c r="A422" s="52"/>
      <c r="H422" s="53"/>
      <c r="M422" s="53"/>
      <c r="T422" s="53"/>
      <c r="Z422" s="54"/>
      <c r="AA422" s="54"/>
      <c r="AB422" s="54"/>
    </row>
    <row r="423">
      <c r="A423" s="52"/>
      <c r="H423" s="53"/>
      <c r="M423" s="53"/>
      <c r="T423" s="53"/>
      <c r="Z423" s="54"/>
      <c r="AA423" s="54"/>
      <c r="AB423" s="54"/>
    </row>
    <row r="424">
      <c r="A424" s="52"/>
      <c r="H424" s="53"/>
      <c r="M424" s="53"/>
      <c r="T424" s="53"/>
      <c r="Z424" s="54"/>
      <c r="AA424" s="54"/>
      <c r="AB424" s="54"/>
    </row>
    <row r="425">
      <c r="A425" s="52"/>
      <c r="H425" s="53"/>
      <c r="M425" s="53"/>
      <c r="T425" s="53"/>
      <c r="Z425" s="54"/>
      <c r="AA425" s="54"/>
      <c r="AB425" s="54"/>
    </row>
    <row r="426">
      <c r="A426" s="52"/>
      <c r="H426" s="53"/>
      <c r="M426" s="53"/>
      <c r="T426" s="53"/>
      <c r="Z426" s="54"/>
      <c r="AA426" s="54"/>
      <c r="AB426" s="54"/>
    </row>
    <row r="427">
      <c r="A427" s="52"/>
      <c r="H427" s="53"/>
      <c r="M427" s="53"/>
      <c r="T427" s="53"/>
      <c r="Z427" s="54"/>
      <c r="AA427" s="54"/>
      <c r="AB427" s="54"/>
    </row>
    <row r="428">
      <c r="A428" s="52"/>
      <c r="H428" s="53"/>
      <c r="M428" s="53"/>
      <c r="T428" s="53"/>
      <c r="Z428" s="54"/>
      <c r="AA428" s="54"/>
      <c r="AB428" s="54"/>
    </row>
    <row r="429">
      <c r="A429" s="52"/>
      <c r="H429" s="53"/>
      <c r="M429" s="53"/>
      <c r="T429" s="53"/>
      <c r="Z429" s="54"/>
      <c r="AA429" s="54"/>
      <c r="AB429" s="54"/>
    </row>
    <row r="430">
      <c r="A430" s="52"/>
      <c r="H430" s="53"/>
      <c r="M430" s="53"/>
      <c r="T430" s="53"/>
      <c r="Z430" s="54"/>
      <c r="AA430" s="54"/>
      <c r="AB430" s="54"/>
    </row>
    <row r="431">
      <c r="A431" s="52"/>
      <c r="H431" s="53"/>
      <c r="M431" s="53"/>
      <c r="T431" s="53"/>
      <c r="Z431" s="54"/>
      <c r="AA431" s="54"/>
      <c r="AB431" s="54"/>
    </row>
    <row r="432">
      <c r="A432" s="52"/>
      <c r="H432" s="53"/>
      <c r="M432" s="53"/>
      <c r="T432" s="53"/>
      <c r="Z432" s="54"/>
      <c r="AA432" s="54"/>
      <c r="AB432" s="54"/>
    </row>
    <row r="433">
      <c r="A433" s="52"/>
      <c r="H433" s="53"/>
      <c r="M433" s="53"/>
      <c r="T433" s="53"/>
      <c r="Z433" s="54"/>
      <c r="AA433" s="54"/>
      <c r="AB433" s="54"/>
    </row>
    <row r="434">
      <c r="A434" s="52"/>
      <c r="H434" s="53"/>
      <c r="M434" s="53"/>
      <c r="T434" s="53"/>
      <c r="Z434" s="54"/>
      <c r="AA434" s="54"/>
      <c r="AB434" s="54"/>
    </row>
    <row r="435">
      <c r="A435" s="52"/>
      <c r="H435" s="53"/>
      <c r="M435" s="53"/>
      <c r="T435" s="53"/>
      <c r="Z435" s="54"/>
      <c r="AA435" s="54"/>
      <c r="AB435" s="54"/>
    </row>
    <row r="436">
      <c r="A436" s="52"/>
      <c r="H436" s="53"/>
      <c r="M436" s="53"/>
      <c r="T436" s="53"/>
      <c r="Z436" s="54"/>
      <c r="AA436" s="54"/>
      <c r="AB436" s="54"/>
    </row>
    <row r="437">
      <c r="A437" s="52"/>
      <c r="H437" s="53"/>
      <c r="M437" s="53"/>
      <c r="T437" s="53"/>
      <c r="Z437" s="54"/>
      <c r="AA437" s="54"/>
      <c r="AB437" s="54"/>
    </row>
    <row r="438">
      <c r="A438" s="52"/>
      <c r="H438" s="53"/>
      <c r="M438" s="53"/>
      <c r="T438" s="53"/>
      <c r="Z438" s="54"/>
      <c r="AA438" s="54"/>
      <c r="AB438" s="54"/>
    </row>
    <row r="439">
      <c r="A439" s="52"/>
      <c r="H439" s="53"/>
      <c r="M439" s="53"/>
      <c r="T439" s="53"/>
      <c r="Z439" s="54"/>
      <c r="AA439" s="54"/>
      <c r="AB439" s="54"/>
    </row>
    <row r="440">
      <c r="A440" s="52"/>
      <c r="H440" s="53"/>
      <c r="M440" s="53"/>
      <c r="T440" s="53"/>
      <c r="Z440" s="54"/>
      <c r="AA440" s="54"/>
      <c r="AB440" s="54"/>
    </row>
    <row r="441">
      <c r="A441" s="52"/>
      <c r="H441" s="53"/>
      <c r="M441" s="53"/>
      <c r="T441" s="53"/>
      <c r="Z441" s="54"/>
      <c r="AA441" s="54"/>
      <c r="AB441" s="54"/>
    </row>
    <row r="442">
      <c r="A442" s="52"/>
      <c r="H442" s="53"/>
      <c r="M442" s="53"/>
      <c r="T442" s="53"/>
      <c r="Z442" s="54"/>
      <c r="AA442" s="54"/>
      <c r="AB442" s="54"/>
    </row>
    <row r="443">
      <c r="A443" s="52"/>
      <c r="H443" s="53"/>
      <c r="M443" s="53"/>
      <c r="T443" s="53"/>
      <c r="Z443" s="54"/>
      <c r="AA443" s="54"/>
      <c r="AB443" s="54"/>
    </row>
    <row r="444">
      <c r="A444" s="52"/>
      <c r="H444" s="53"/>
      <c r="M444" s="53"/>
      <c r="T444" s="53"/>
      <c r="Z444" s="54"/>
      <c r="AA444" s="54"/>
      <c r="AB444" s="54"/>
    </row>
    <row r="445">
      <c r="A445" s="52"/>
      <c r="H445" s="53"/>
      <c r="M445" s="53"/>
      <c r="T445" s="53"/>
      <c r="Z445" s="54"/>
      <c r="AA445" s="54"/>
      <c r="AB445" s="54"/>
    </row>
    <row r="446">
      <c r="A446" s="52"/>
      <c r="H446" s="53"/>
      <c r="M446" s="53"/>
      <c r="T446" s="53"/>
      <c r="Z446" s="54"/>
      <c r="AA446" s="54"/>
      <c r="AB446" s="54"/>
    </row>
    <row r="447">
      <c r="A447" s="52"/>
      <c r="H447" s="53"/>
      <c r="M447" s="53"/>
      <c r="T447" s="53"/>
      <c r="Z447" s="54"/>
      <c r="AA447" s="54"/>
      <c r="AB447" s="54"/>
    </row>
    <row r="448">
      <c r="A448" s="52"/>
      <c r="H448" s="53"/>
      <c r="M448" s="53"/>
      <c r="T448" s="53"/>
      <c r="Z448" s="54"/>
      <c r="AA448" s="54"/>
      <c r="AB448" s="54"/>
    </row>
    <row r="449">
      <c r="A449" s="52"/>
      <c r="H449" s="53"/>
      <c r="M449" s="53"/>
      <c r="T449" s="53"/>
      <c r="Z449" s="54"/>
      <c r="AA449" s="54"/>
      <c r="AB449" s="54"/>
    </row>
    <row r="450">
      <c r="A450" s="52"/>
      <c r="H450" s="53"/>
      <c r="M450" s="53"/>
      <c r="T450" s="53"/>
      <c r="Z450" s="54"/>
      <c r="AA450" s="54"/>
      <c r="AB450" s="54"/>
    </row>
    <row r="451">
      <c r="A451" s="52"/>
      <c r="H451" s="53"/>
      <c r="M451" s="53"/>
      <c r="T451" s="53"/>
      <c r="Z451" s="54"/>
      <c r="AA451" s="54"/>
      <c r="AB451" s="54"/>
    </row>
    <row r="452">
      <c r="A452" s="52"/>
      <c r="H452" s="53"/>
      <c r="M452" s="53"/>
      <c r="T452" s="53"/>
      <c r="Z452" s="54"/>
      <c r="AA452" s="54"/>
      <c r="AB452" s="54"/>
    </row>
    <row r="453">
      <c r="A453" s="52"/>
      <c r="H453" s="53"/>
      <c r="M453" s="53"/>
      <c r="T453" s="53"/>
      <c r="Z453" s="54"/>
      <c r="AA453" s="54"/>
      <c r="AB453" s="54"/>
    </row>
    <row r="454">
      <c r="A454" s="52"/>
      <c r="H454" s="53"/>
      <c r="M454" s="53"/>
      <c r="T454" s="53"/>
      <c r="Z454" s="54"/>
      <c r="AA454" s="54"/>
      <c r="AB454" s="54"/>
    </row>
    <row r="455">
      <c r="A455" s="52"/>
      <c r="H455" s="53"/>
      <c r="M455" s="53"/>
      <c r="T455" s="53"/>
      <c r="Z455" s="54"/>
      <c r="AA455" s="54"/>
      <c r="AB455" s="54"/>
    </row>
    <row r="456">
      <c r="A456" s="52"/>
      <c r="H456" s="53"/>
      <c r="M456" s="53"/>
      <c r="T456" s="53"/>
      <c r="Z456" s="54"/>
      <c r="AA456" s="54"/>
      <c r="AB456" s="54"/>
    </row>
    <row r="457">
      <c r="A457" s="52"/>
      <c r="H457" s="53"/>
      <c r="M457" s="53"/>
      <c r="T457" s="53"/>
      <c r="Z457" s="54"/>
      <c r="AA457" s="54"/>
      <c r="AB457" s="54"/>
    </row>
    <row r="458">
      <c r="A458" s="52"/>
      <c r="H458" s="53"/>
      <c r="M458" s="53"/>
      <c r="T458" s="53"/>
      <c r="Z458" s="54"/>
      <c r="AA458" s="54"/>
      <c r="AB458" s="54"/>
    </row>
    <row r="459">
      <c r="A459" s="52"/>
      <c r="H459" s="53"/>
      <c r="M459" s="53"/>
      <c r="T459" s="53"/>
      <c r="Z459" s="54"/>
      <c r="AA459" s="54"/>
      <c r="AB459" s="54"/>
    </row>
    <row r="460">
      <c r="A460" s="52"/>
      <c r="H460" s="53"/>
      <c r="M460" s="53"/>
      <c r="T460" s="53"/>
      <c r="Z460" s="54"/>
      <c r="AA460" s="54"/>
      <c r="AB460" s="54"/>
    </row>
    <row r="461">
      <c r="A461" s="52"/>
      <c r="H461" s="53"/>
      <c r="M461" s="53"/>
      <c r="T461" s="53"/>
      <c r="Z461" s="54"/>
      <c r="AA461" s="54"/>
      <c r="AB461" s="54"/>
    </row>
    <row r="462">
      <c r="A462" s="52"/>
      <c r="H462" s="53"/>
      <c r="M462" s="53"/>
      <c r="T462" s="53"/>
      <c r="Z462" s="54"/>
      <c r="AA462" s="54"/>
      <c r="AB462" s="54"/>
    </row>
    <row r="463">
      <c r="A463" s="52"/>
      <c r="H463" s="53"/>
      <c r="M463" s="53"/>
      <c r="T463" s="53"/>
      <c r="Z463" s="54"/>
      <c r="AA463" s="54"/>
      <c r="AB463" s="54"/>
    </row>
    <row r="464">
      <c r="A464" s="52"/>
      <c r="H464" s="53"/>
      <c r="M464" s="53"/>
      <c r="T464" s="53"/>
      <c r="Z464" s="54"/>
      <c r="AA464" s="54"/>
      <c r="AB464" s="54"/>
    </row>
    <row r="465">
      <c r="A465" s="52"/>
      <c r="H465" s="53"/>
      <c r="M465" s="53"/>
      <c r="T465" s="53"/>
      <c r="Z465" s="54"/>
      <c r="AA465" s="54"/>
      <c r="AB465" s="54"/>
    </row>
    <row r="466">
      <c r="A466" s="52"/>
      <c r="H466" s="53"/>
      <c r="M466" s="53"/>
      <c r="T466" s="53"/>
      <c r="Z466" s="54"/>
      <c r="AA466" s="54"/>
      <c r="AB466" s="54"/>
    </row>
    <row r="467">
      <c r="A467" s="52"/>
      <c r="H467" s="53"/>
      <c r="M467" s="53"/>
      <c r="T467" s="53"/>
      <c r="Z467" s="54"/>
      <c r="AA467" s="54"/>
      <c r="AB467" s="54"/>
    </row>
    <row r="468">
      <c r="A468" s="52"/>
      <c r="H468" s="53"/>
      <c r="M468" s="53"/>
      <c r="T468" s="53"/>
      <c r="Z468" s="54"/>
      <c r="AA468" s="54"/>
      <c r="AB468" s="54"/>
    </row>
    <row r="469">
      <c r="A469" s="52"/>
      <c r="H469" s="53"/>
      <c r="M469" s="53"/>
      <c r="T469" s="53"/>
      <c r="Z469" s="54"/>
      <c r="AA469" s="54"/>
      <c r="AB469" s="54"/>
    </row>
    <row r="470">
      <c r="A470" s="52"/>
      <c r="H470" s="53"/>
      <c r="M470" s="53"/>
      <c r="T470" s="53"/>
      <c r="Z470" s="54"/>
      <c r="AA470" s="54"/>
      <c r="AB470" s="54"/>
    </row>
    <row r="471">
      <c r="A471" s="52"/>
      <c r="H471" s="53"/>
      <c r="M471" s="53"/>
      <c r="T471" s="53"/>
      <c r="Z471" s="54"/>
      <c r="AA471" s="54"/>
      <c r="AB471" s="54"/>
    </row>
    <row r="472">
      <c r="A472" s="52"/>
      <c r="H472" s="53"/>
      <c r="M472" s="53"/>
      <c r="T472" s="53"/>
      <c r="Z472" s="54"/>
      <c r="AA472" s="54"/>
      <c r="AB472" s="54"/>
    </row>
    <row r="473">
      <c r="A473" s="52"/>
      <c r="H473" s="53"/>
      <c r="M473" s="53"/>
      <c r="T473" s="53"/>
      <c r="Z473" s="54"/>
      <c r="AA473" s="54"/>
      <c r="AB473" s="54"/>
    </row>
    <row r="474">
      <c r="A474" s="52"/>
      <c r="H474" s="53"/>
      <c r="M474" s="53"/>
      <c r="T474" s="53"/>
      <c r="Z474" s="54"/>
      <c r="AA474" s="54"/>
      <c r="AB474" s="54"/>
    </row>
    <row r="475">
      <c r="A475" s="52"/>
      <c r="H475" s="53"/>
      <c r="M475" s="53"/>
      <c r="T475" s="53"/>
      <c r="Z475" s="54"/>
      <c r="AA475" s="54"/>
      <c r="AB475" s="54"/>
    </row>
    <row r="476">
      <c r="A476" s="52"/>
      <c r="H476" s="53"/>
      <c r="M476" s="53"/>
      <c r="T476" s="53"/>
      <c r="Z476" s="54"/>
      <c r="AA476" s="54"/>
      <c r="AB476" s="54"/>
    </row>
    <row r="477">
      <c r="A477" s="52"/>
      <c r="H477" s="53"/>
      <c r="M477" s="53"/>
      <c r="T477" s="53"/>
      <c r="Z477" s="54"/>
      <c r="AA477" s="54"/>
      <c r="AB477" s="54"/>
    </row>
    <row r="478">
      <c r="A478" s="52"/>
      <c r="H478" s="53"/>
      <c r="M478" s="53"/>
      <c r="T478" s="53"/>
      <c r="Z478" s="54"/>
      <c r="AA478" s="54"/>
      <c r="AB478" s="54"/>
    </row>
    <row r="479">
      <c r="A479" s="52"/>
      <c r="H479" s="53"/>
      <c r="M479" s="53"/>
      <c r="T479" s="53"/>
      <c r="Z479" s="54"/>
      <c r="AA479" s="54"/>
      <c r="AB479" s="54"/>
    </row>
    <row r="480">
      <c r="A480" s="52"/>
      <c r="H480" s="53"/>
      <c r="M480" s="53"/>
      <c r="T480" s="53"/>
      <c r="Z480" s="54"/>
      <c r="AA480" s="54"/>
      <c r="AB480" s="54"/>
    </row>
    <row r="481">
      <c r="A481" s="52"/>
      <c r="H481" s="53"/>
      <c r="M481" s="53"/>
      <c r="T481" s="53"/>
      <c r="Z481" s="54"/>
      <c r="AA481" s="54"/>
      <c r="AB481" s="54"/>
    </row>
    <row r="482">
      <c r="A482" s="52"/>
      <c r="H482" s="53"/>
      <c r="M482" s="53"/>
      <c r="T482" s="53"/>
      <c r="Z482" s="54"/>
      <c r="AA482" s="54"/>
      <c r="AB482" s="54"/>
    </row>
    <row r="483">
      <c r="A483" s="52"/>
      <c r="H483" s="53"/>
      <c r="M483" s="53"/>
      <c r="T483" s="53"/>
      <c r="Z483" s="54"/>
      <c r="AA483" s="54"/>
      <c r="AB483" s="54"/>
    </row>
    <row r="484">
      <c r="A484" s="52"/>
      <c r="H484" s="53"/>
      <c r="M484" s="53"/>
      <c r="T484" s="53"/>
      <c r="Z484" s="54"/>
      <c r="AA484" s="54"/>
      <c r="AB484" s="54"/>
    </row>
    <row r="485">
      <c r="A485" s="52"/>
      <c r="H485" s="53"/>
      <c r="M485" s="53"/>
      <c r="T485" s="53"/>
      <c r="Z485" s="54"/>
      <c r="AA485" s="54"/>
      <c r="AB485" s="54"/>
    </row>
    <row r="486">
      <c r="A486" s="52"/>
      <c r="H486" s="53"/>
      <c r="M486" s="53"/>
      <c r="T486" s="53"/>
      <c r="Z486" s="54"/>
      <c r="AA486" s="54"/>
      <c r="AB486" s="54"/>
    </row>
    <row r="487">
      <c r="A487" s="52"/>
      <c r="H487" s="53"/>
      <c r="M487" s="53"/>
      <c r="T487" s="53"/>
      <c r="Z487" s="54"/>
      <c r="AA487" s="54"/>
      <c r="AB487" s="54"/>
    </row>
    <row r="488">
      <c r="A488" s="52"/>
      <c r="H488" s="53"/>
      <c r="M488" s="53"/>
      <c r="T488" s="53"/>
      <c r="Z488" s="54"/>
      <c r="AA488" s="54"/>
      <c r="AB488" s="54"/>
    </row>
    <row r="489">
      <c r="A489" s="52"/>
      <c r="H489" s="53"/>
      <c r="M489" s="53"/>
      <c r="T489" s="53"/>
      <c r="Z489" s="54"/>
      <c r="AA489" s="54"/>
      <c r="AB489" s="54"/>
    </row>
    <row r="490">
      <c r="A490" s="52"/>
      <c r="H490" s="53"/>
      <c r="M490" s="53"/>
      <c r="T490" s="53"/>
      <c r="Z490" s="54"/>
      <c r="AA490" s="54"/>
      <c r="AB490" s="54"/>
    </row>
    <row r="491">
      <c r="A491" s="52"/>
      <c r="H491" s="53"/>
      <c r="M491" s="53"/>
      <c r="T491" s="53"/>
      <c r="Z491" s="54"/>
      <c r="AA491" s="54"/>
      <c r="AB491" s="54"/>
    </row>
    <row r="492">
      <c r="A492" s="52"/>
      <c r="H492" s="53"/>
      <c r="M492" s="53"/>
      <c r="T492" s="53"/>
      <c r="Z492" s="54"/>
      <c r="AA492" s="54"/>
      <c r="AB492" s="54"/>
    </row>
    <row r="493">
      <c r="A493" s="52"/>
      <c r="H493" s="53"/>
      <c r="M493" s="53"/>
      <c r="T493" s="53"/>
      <c r="Z493" s="54"/>
      <c r="AA493" s="54"/>
      <c r="AB493" s="54"/>
    </row>
    <row r="494">
      <c r="A494" s="52"/>
      <c r="H494" s="53"/>
      <c r="M494" s="53"/>
      <c r="T494" s="53"/>
      <c r="Z494" s="54"/>
      <c r="AA494" s="54"/>
      <c r="AB494" s="54"/>
    </row>
    <row r="495">
      <c r="A495" s="52"/>
      <c r="H495" s="53"/>
      <c r="M495" s="53"/>
      <c r="T495" s="53"/>
      <c r="Z495" s="54"/>
      <c r="AA495" s="54"/>
      <c r="AB495" s="54"/>
    </row>
    <row r="496">
      <c r="A496" s="52"/>
      <c r="H496" s="53"/>
      <c r="M496" s="53"/>
      <c r="T496" s="53"/>
      <c r="Z496" s="54"/>
      <c r="AA496" s="54"/>
      <c r="AB496" s="54"/>
    </row>
    <row r="497">
      <c r="A497" s="52"/>
      <c r="H497" s="53"/>
      <c r="M497" s="53"/>
      <c r="T497" s="53"/>
      <c r="Z497" s="54"/>
      <c r="AA497" s="54"/>
      <c r="AB497" s="54"/>
    </row>
    <row r="498">
      <c r="A498" s="52"/>
      <c r="H498" s="53"/>
      <c r="M498" s="53"/>
      <c r="T498" s="53"/>
      <c r="Z498" s="54"/>
      <c r="AA498" s="54"/>
      <c r="AB498" s="54"/>
    </row>
    <row r="499">
      <c r="A499" s="52"/>
      <c r="H499" s="53"/>
      <c r="M499" s="53"/>
      <c r="T499" s="53"/>
      <c r="Z499" s="54"/>
      <c r="AA499" s="54"/>
      <c r="AB499" s="54"/>
    </row>
    <row r="500">
      <c r="A500" s="52"/>
      <c r="H500" s="53"/>
      <c r="M500" s="53"/>
      <c r="T500" s="53"/>
      <c r="Z500" s="54"/>
      <c r="AA500" s="54"/>
      <c r="AB500" s="54"/>
    </row>
    <row r="501">
      <c r="A501" s="52"/>
      <c r="H501" s="53"/>
      <c r="M501" s="53"/>
      <c r="T501" s="53"/>
      <c r="Z501" s="54"/>
      <c r="AA501" s="54"/>
      <c r="AB501" s="54"/>
    </row>
    <row r="502">
      <c r="A502" s="52"/>
      <c r="H502" s="53"/>
      <c r="M502" s="53"/>
      <c r="T502" s="53"/>
      <c r="Z502" s="54"/>
      <c r="AA502" s="54"/>
      <c r="AB502" s="54"/>
    </row>
    <row r="503">
      <c r="A503" s="52"/>
      <c r="H503" s="53"/>
      <c r="M503" s="53"/>
      <c r="T503" s="53"/>
      <c r="Z503" s="54"/>
      <c r="AA503" s="54"/>
      <c r="AB503" s="54"/>
    </row>
    <row r="504">
      <c r="A504" s="52"/>
      <c r="H504" s="53"/>
      <c r="M504" s="53"/>
      <c r="T504" s="53"/>
      <c r="Z504" s="54"/>
      <c r="AA504" s="54"/>
      <c r="AB504" s="54"/>
    </row>
    <row r="505">
      <c r="A505" s="52"/>
      <c r="H505" s="53"/>
      <c r="M505" s="53"/>
      <c r="T505" s="53"/>
      <c r="Z505" s="54"/>
      <c r="AA505" s="54"/>
      <c r="AB505" s="54"/>
    </row>
    <row r="506">
      <c r="A506" s="52"/>
      <c r="H506" s="53"/>
      <c r="M506" s="53"/>
      <c r="T506" s="53"/>
      <c r="Z506" s="54"/>
      <c r="AA506" s="54"/>
      <c r="AB506" s="54"/>
    </row>
    <row r="507">
      <c r="A507" s="52"/>
      <c r="H507" s="53"/>
      <c r="M507" s="53"/>
      <c r="T507" s="53"/>
      <c r="Z507" s="54"/>
      <c r="AA507" s="54"/>
      <c r="AB507" s="54"/>
    </row>
    <row r="508">
      <c r="A508" s="52"/>
      <c r="H508" s="53"/>
      <c r="M508" s="53"/>
      <c r="T508" s="53"/>
      <c r="Z508" s="54"/>
      <c r="AA508" s="54"/>
      <c r="AB508" s="54"/>
    </row>
    <row r="509">
      <c r="A509" s="52"/>
      <c r="H509" s="53"/>
      <c r="M509" s="53"/>
      <c r="T509" s="53"/>
      <c r="Z509" s="54"/>
      <c r="AA509" s="54"/>
      <c r="AB509" s="54"/>
    </row>
    <row r="510">
      <c r="A510" s="52"/>
      <c r="H510" s="53"/>
      <c r="M510" s="53"/>
      <c r="T510" s="53"/>
      <c r="Z510" s="54"/>
      <c r="AA510" s="54"/>
      <c r="AB510" s="54"/>
    </row>
    <row r="511">
      <c r="A511" s="52"/>
      <c r="H511" s="53"/>
      <c r="M511" s="53"/>
      <c r="T511" s="53"/>
      <c r="Z511" s="54"/>
      <c r="AA511" s="54"/>
      <c r="AB511" s="54"/>
    </row>
    <row r="512">
      <c r="A512" s="52"/>
      <c r="H512" s="53"/>
      <c r="M512" s="53"/>
      <c r="T512" s="53"/>
      <c r="Z512" s="54"/>
      <c r="AA512" s="54"/>
      <c r="AB512" s="54"/>
    </row>
    <row r="513">
      <c r="A513" s="52"/>
      <c r="H513" s="53"/>
      <c r="M513" s="53"/>
      <c r="T513" s="53"/>
      <c r="Z513" s="54"/>
      <c r="AA513" s="54"/>
      <c r="AB513" s="54"/>
    </row>
    <row r="514">
      <c r="A514" s="52"/>
      <c r="H514" s="53"/>
      <c r="M514" s="53"/>
      <c r="T514" s="53"/>
      <c r="Z514" s="54"/>
      <c r="AA514" s="54"/>
      <c r="AB514" s="54"/>
    </row>
    <row r="515">
      <c r="A515" s="52"/>
      <c r="H515" s="53"/>
      <c r="M515" s="53"/>
      <c r="T515" s="53"/>
      <c r="Z515" s="54"/>
      <c r="AA515" s="54"/>
      <c r="AB515" s="54"/>
    </row>
    <row r="516">
      <c r="A516" s="52"/>
      <c r="H516" s="53"/>
      <c r="M516" s="53"/>
      <c r="T516" s="53"/>
      <c r="Z516" s="54"/>
      <c r="AA516" s="54"/>
      <c r="AB516" s="54"/>
    </row>
    <row r="517">
      <c r="A517" s="52"/>
      <c r="H517" s="53"/>
      <c r="M517" s="53"/>
      <c r="T517" s="53"/>
      <c r="Z517" s="54"/>
      <c r="AA517" s="54"/>
      <c r="AB517" s="54"/>
    </row>
    <row r="518">
      <c r="A518" s="52"/>
      <c r="H518" s="53"/>
      <c r="M518" s="53"/>
      <c r="T518" s="53"/>
      <c r="Z518" s="54"/>
      <c r="AA518" s="54"/>
      <c r="AB518" s="54"/>
    </row>
    <row r="519">
      <c r="A519" s="52"/>
      <c r="H519" s="53"/>
      <c r="M519" s="53"/>
      <c r="T519" s="53"/>
      <c r="Z519" s="54"/>
      <c r="AA519" s="54"/>
      <c r="AB519" s="54"/>
    </row>
    <row r="520">
      <c r="A520" s="52"/>
      <c r="H520" s="53"/>
      <c r="M520" s="53"/>
      <c r="T520" s="53"/>
      <c r="Z520" s="54"/>
      <c r="AA520" s="54"/>
      <c r="AB520" s="54"/>
    </row>
    <row r="521">
      <c r="A521" s="52"/>
      <c r="H521" s="53"/>
      <c r="M521" s="53"/>
      <c r="T521" s="53"/>
      <c r="Z521" s="54"/>
      <c r="AA521" s="54"/>
      <c r="AB521" s="54"/>
    </row>
    <row r="522">
      <c r="A522" s="52"/>
      <c r="H522" s="53"/>
      <c r="M522" s="53"/>
      <c r="T522" s="53"/>
      <c r="Z522" s="54"/>
      <c r="AA522" s="54"/>
      <c r="AB522" s="54"/>
    </row>
    <row r="523">
      <c r="A523" s="52"/>
      <c r="H523" s="53"/>
      <c r="M523" s="53"/>
      <c r="T523" s="53"/>
      <c r="Z523" s="54"/>
      <c r="AA523" s="54"/>
      <c r="AB523" s="54"/>
    </row>
    <row r="524">
      <c r="A524" s="52"/>
      <c r="H524" s="53"/>
      <c r="M524" s="53"/>
      <c r="T524" s="53"/>
      <c r="Z524" s="54"/>
      <c r="AA524" s="54"/>
      <c r="AB524" s="54"/>
    </row>
    <row r="525">
      <c r="A525" s="52"/>
      <c r="H525" s="53"/>
      <c r="M525" s="53"/>
      <c r="T525" s="53"/>
      <c r="Z525" s="54"/>
      <c r="AA525" s="54"/>
      <c r="AB525" s="54"/>
    </row>
    <row r="526">
      <c r="A526" s="52"/>
      <c r="H526" s="53"/>
      <c r="M526" s="53"/>
      <c r="T526" s="53"/>
      <c r="Z526" s="54"/>
      <c r="AA526" s="54"/>
      <c r="AB526" s="54"/>
    </row>
    <row r="527">
      <c r="A527" s="52"/>
      <c r="H527" s="53"/>
      <c r="M527" s="53"/>
      <c r="T527" s="53"/>
      <c r="Z527" s="54"/>
      <c r="AA527" s="54"/>
      <c r="AB527" s="54"/>
    </row>
    <row r="528">
      <c r="A528" s="52"/>
      <c r="H528" s="53"/>
      <c r="M528" s="53"/>
      <c r="T528" s="53"/>
      <c r="Z528" s="54"/>
      <c r="AA528" s="54"/>
      <c r="AB528" s="54"/>
    </row>
    <row r="529">
      <c r="A529" s="52"/>
      <c r="H529" s="53"/>
      <c r="M529" s="53"/>
      <c r="T529" s="53"/>
      <c r="Z529" s="54"/>
      <c r="AA529" s="54"/>
      <c r="AB529" s="54"/>
    </row>
    <row r="530">
      <c r="A530" s="52"/>
      <c r="H530" s="53"/>
      <c r="M530" s="53"/>
      <c r="T530" s="53"/>
      <c r="Z530" s="54"/>
      <c r="AA530" s="54"/>
      <c r="AB530" s="54"/>
    </row>
    <row r="531">
      <c r="A531" s="52"/>
      <c r="H531" s="53"/>
      <c r="M531" s="53"/>
      <c r="T531" s="53"/>
      <c r="Z531" s="54"/>
      <c r="AA531" s="54"/>
      <c r="AB531" s="54"/>
    </row>
    <row r="532">
      <c r="A532" s="52"/>
      <c r="H532" s="53"/>
      <c r="M532" s="53"/>
      <c r="T532" s="53"/>
      <c r="Z532" s="54"/>
      <c r="AA532" s="54"/>
      <c r="AB532" s="54"/>
    </row>
    <row r="533">
      <c r="A533" s="52"/>
      <c r="H533" s="53"/>
      <c r="M533" s="53"/>
      <c r="T533" s="53"/>
      <c r="Z533" s="54"/>
      <c r="AA533" s="54"/>
      <c r="AB533" s="54"/>
    </row>
    <row r="534">
      <c r="A534" s="52"/>
      <c r="H534" s="53"/>
      <c r="M534" s="53"/>
      <c r="T534" s="53"/>
      <c r="Z534" s="54"/>
      <c r="AA534" s="54"/>
      <c r="AB534" s="54"/>
    </row>
    <row r="535">
      <c r="A535" s="52"/>
      <c r="H535" s="53"/>
      <c r="M535" s="53"/>
      <c r="T535" s="53"/>
      <c r="Z535" s="54"/>
      <c r="AA535" s="54"/>
      <c r="AB535" s="54"/>
    </row>
    <row r="536">
      <c r="A536" s="52"/>
      <c r="H536" s="53"/>
      <c r="M536" s="53"/>
      <c r="T536" s="53"/>
      <c r="Z536" s="54"/>
      <c r="AA536" s="54"/>
      <c r="AB536" s="54"/>
    </row>
    <row r="537">
      <c r="A537" s="52"/>
      <c r="H537" s="53"/>
      <c r="M537" s="53"/>
      <c r="T537" s="53"/>
      <c r="Z537" s="54"/>
      <c r="AA537" s="54"/>
      <c r="AB537" s="54"/>
    </row>
    <row r="538">
      <c r="A538" s="52"/>
      <c r="H538" s="53"/>
      <c r="M538" s="53"/>
      <c r="T538" s="53"/>
      <c r="Z538" s="54"/>
      <c r="AA538" s="54"/>
      <c r="AB538" s="54"/>
    </row>
    <row r="539">
      <c r="A539" s="52"/>
      <c r="H539" s="53"/>
      <c r="M539" s="53"/>
      <c r="T539" s="53"/>
      <c r="Z539" s="54"/>
      <c r="AA539" s="54"/>
      <c r="AB539" s="54"/>
    </row>
    <row r="540">
      <c r="A540" s="52"/>
      <c r="H540" s="53"/>
      <c r="M540" s="53"/>
      <c r="T540" s="53"/>
      <c r="Z540" s="54"/>
      <c r="AA540" s="54"/>
      <c r="AB540" s="54"/>
    </row>
    <row r="541">
      <c r="A541" s="52"/>
      <c r="H541" s="53"/>
      <c r="M541" s="53"/>
      <c r="T541" s="53"/>
      <c r="Z541" s="54"/>
      <c r="AA541" s="54"/>
      <c r="AB541" s="54"/>
    </row>
    <row r="542">
      <c r="A542" s="52"/>
      <c r="H542" s="53"/>
      <c r="M542" s="53"/>
      <c r="T542" s="53"/>
      <c r="Z542" s="54"/>
      <c r="AA542" s="54"/>
      <c r="AB542" s="54"/>
    </row>
    <row r="543">
      <c r="A543" s="52"/>
      <c r="H543" s="53"/>
      <c r="M543" s="53"/>
      <c r="T543" s="53"/>
      <c r="Z543" s="54"/>
      <c r="AA543" s="54"/>
      <c r="AB543" s="54"/>
    </row>
    <row r="544">
      <c r="A544" s="52"/>
      <c r="H544" s="53"/>
      <c r="M544" s="53"/>
      <c r="T544" s="53"/>
      <c r="Z544" s="54"/>
      <c r="AA544" s="54"/>
      <c r="AB544" s="54"/>
    </row>
    <row r="545">
      <c r="A545" s="52"/>
      <c r="H545" s="53"/>
      <c r="M545" s="53"/>
      <c r="T545" s="53"/>
      <c r="Z545" s="54"/>
      <c r="AA545" s="54"/>
      <c r="AB545" s="54"/>
    </row>
    <row r="546">
      <c r="A546" s="52"/>
      <c r="H546" s="53"/>
      <c r="M546" s="53"/>
      <c r="T546" s="53"/>
      <c r="Z546" s="54"/>
      <c r="AA546" s="54"/>
      <c r="AB546" s="54"/>
    </row>
    <row r="547">
      <c r="A547" s="52"/>
      <c r="H547" s="53"/>
      <c r="M547" s="53"/>
      <c r="T547" s="53"/>
      <c r="Z547" s="54"/>
      <c r="AA547" s="54"/>
      <c r="AB547" s="54"/>
    </row>
    <row r="548">
      <c r="A548" s="52"/>
      <c r="H548" s="53"/>
      <c r="M548" s="53"/>
      <c r="T548" s="53"/>
      <c r="Z548" s="54"/>
      <c r="AA548" s="54"/>
      <c r="AB548" s="54"/>
    </row>
    <row r="549">
      <c r="A549" s="52"/>
      <c r="H549" s="53"/>
      <c r="M549" s="53"/>
      <c r="T549" s="53"/>
      <c r="Z549" s="54"/>
      <c r="AA549" s="54"/>
      <c r="AB549" s="54"/>
    </row>
    <row r="550">
      <c r="A550" s="52"/>
      <c r="H550" s="53"/>
      <c r="M550" s="53"/>
      <c r="T550" s="53"/>
      <c r="Z550" s="54"/>
      <c r="AA550" s="54"/>
      <c r="AB550" s="54"/>
    </row>
    <row r="551">
      <c r="A551" s="52"/>
      <c r="H551" s="53"/>
      <c r="M551" s="53"/>
      <c r="T551" s="53"/>
      <c r="Z551" s="54"/>
      <c r="AA551" s="54"/>
      <c r="AB551" s="54"/>
    </row>
    <row r="552">
      <c r="A552" s="52"/>
      <c r="H552" s="53"/>
      <c r="M552" s="53"/>
      <c r="T552" s="53"/>
      <c r="Z552" s="54"/>
      <c r="AA552" s="54"/>
      <c r="AB552" s="54"/>
    </row>
    <row r="553">
      <c r="A553" s="52"/>
      <c r="H553" s="53"/>
      <c r="M553" s="53"/>
      <c r="T553" s="53"/>
      <c r="Z553" s="54"/>
      <c r="AA553" s="54"/>
      <c r="AB553" s="54"/>
    </row>
    <row r="554">
      <c r="A554" s="52"/>
      <c r="H554" s="53"/>
      <c r="M554" s="53"/>
      <c r="T554" s="53"/>
      <c r="Z554" s="54"/>
      <c r="AA554" s="54"/>
      <c r="AB554" s="54"/>
    </row>
    <row r="555">
      <c r="A555" s="52"/>
      <c r="H555" s="53"/>
      <c r="M555" s="53"/>
      <c r="T555" s="53"/>
      <c r="Z555" s="54"/>
      <c r="AA555" s="54"/>
      <c r="AB555" s="54"/>
    </row>
    <row r="556">
      <c r="A556" s="52"/>
      <c r="H556" s="53"/>
      <c r="M556" s="53"/>
      <c r="T556" s="53"/>
      <c r="Z556" s="54"/>
      <c r="AA556" s="54"/>
      <c r="AB556" s="54"/>
    </row>
    <row r="557">
      <c r="A557" s="52"/>
      <c r="H557" s="53"/>
      <c r="M557" s="53"/>
      <c r="T557" s="53"/>
      <c r="Z557" s="54"/>
      <c r="AA557" s="54"/>
      <c r="AB557" s="54"/>
    </row>
    <row r="558">
      <c r="A558" s="52"/>
      <c r="H558" s="53"/>
      <c r="M558" s="53"/>
      <c r="T558" s="53"/>
      <c r="Z558" s="54"/>
      <c r="AA558" s="54"/>
      <c r="AB558" s="54"/>
    </row>
    <row r="559">
      <c r="A559" s="52"/>
      <c r="H559" s="53"/>
      <c r="M559" s="53"/>
      <c r="T559" s="53"/>
      <c r="Z559" s="54"/>
      <c r="AA559" s="54"/>
      <c r="AB559" s="54"/>
    </row>
    <row r="560">
      <c r="A560" s="52"/>
      <c r="H560" s="53"/>
      <c r="M560" s="53"/>
      <c r="T560" s="53"/>
      <c r="Z560" s="54"/>
      <c r="AA560" s="54"/>
      <c r="AB560" s="54"/>
    </row>
    <row r="561">
      <c r="A561" s="52"/>
      <c r="H561" s="53"/>
      <c r="M561" s="53"/>
      <c r="T561" s="53"/>
      <c r="Z561" s="54"/>
      <c r="AA561" s="54"/>
      <c r="AB561" s="54"/>
    </row>
    <row r="562">
      <c r="A562" s="52"/>
      <c r="H562" s="53"/>
      <c r="M562" s="53"/>
      <c r="T562" s="53"/>
      <c r="Z562" s="54"/>
      <c r="AA562" s="54"/>
      <c r="AB562" s="54"/>
    </row>
    <row r="563">
      <c r="A563" s="52"/>
      <c r="H563" s="53"/>
      <c r="M563" s="53"/>
      <c r="T563" s="53"/>
      <c r="Z563" s="54"/>
      <c r="AA563" s="54"/>
      <c r="AB563" s="54"/>
    </row>
    <row r="564">
      <c r="A564" s="52"/>
      <c r="H564" s="53"/>
      <c r="M564" s="53"/>
      <c r="T564" s="53"/>
      <c r="Z564" s="54"/>
      <c r="AA564" s="54"/>
      <c r="AB564" s="54"/>
    </row>
    <row r="565">
      <c r="A565" s="52"/>
      <c r="H565" s="53"/>
      <c r="M565" s="53"/>
      <c r="T565" s="53"/>
      <c r="Z565" s="54"/>
      <c r="AA565" s="54"/>
      <c r="AB565" s="54"/>
    </row>
    <row r="566">
      <c r="A566" s="52"/>
      <c r="H566" s="53"/>
      <c r="M566" s="53"/>
      <c r="T566" s="53"/>
      <c r="Z566" s="54"/>
      <c r="AA566" s="54"/>
      <c r="AB566" s="54"/>
    </row>
    <row r="567">
      <c r="A567" s="52"/>
      <c r="H567" s="53"/>
      <c r="M567" s="53"/>
      <c r="T567" s="53"/>
      <c r="Z567" s="54"/>
      <c r="AA567" s="54"/>
      <c r="AB567" s="54"/>
    </row>
    <row r="568">
      <c r="A568" s="52"/>
      <c r="H568" s="53"/>
      <c r="M568" s="53"/>
      <c r="T568" s="53"/>
      <c r="Z568" s="54"/>
      <c r="AA568" s="54"/>
      <c r="AB568" s="54"/>
    </row>
    <row r="569">
      <c r="A569" s="52"/>
      <c r="H569" s="53"/>
      <c r="M569" s="53"/>
      <c r="T569" s="53"/>
      <c r="Z569" s="54"/>
      <c r="AA569" s="54"/>
      <c r="AB569" s="54"/>
    </row>
    <row r="570">
      <c r="A570" s="52"/>
      <c r="H570" s="53"/>
      <c r="M570" s="53"/>
      <c r="T570" s="53"/>
      <c r="Z570" s="54"/>
      <c r="AA570" s="54"/>
      <c r="AB570" s="54"/>
    </row>
    <row r="571">
      <c r="A571" s="52"/>
      <c r="H571" s="53"/>
      <c r="M571" s="53"/>
      <c r="T571" s="53"/>
      <c r="Z571" s="54"/>
      <c r="AA571" s="54"/>
      <c r="AB571" s="54"/>
    </row>
    <row r="572">
      <c r="A572" s="52"/>
      <c r="H572" s="53"/>
      <c r="M572" s="53"/>
      <c r="T572" s="53"/>
      <c r="Z572" s="54"/>
      <c r="AA572" s="54"/>
      <c r="AB572" s="54"/>
    </row>
    <row r="573">
      <c r="A573" s="52"/>
      <c r="H573" s="53"/>
      <c r="M573" s="53"/>
      <c r="T573" s="53"/>
      <c r="Z573" s="54"/>
      <c r="AA573" s="54"/>
      <c r="AB573" s="54"/>
    </row>
    <row r="574">
      <c r="A574" s="52"/>
      <c r="H574" s="53"/>
      <c r="M574" s="53"/>
      <c r="T574" s="53"/>
      <c r="Z574" s="54"/>
      <c r="AA574" s="54"/>
      <c r="AB574" s="54"/>
    </row>
    <row r="575">
      <c r="A575" s="52"/>
      <c r="H575" s="53"/>
      <c r="M575" s="53"/>
      <c r="T575" s="53"/>
      <c r="Z575" s="54"/>
      <c r="AA575" s="54"/>
      <c r="AB575" s="54"/>
    </row>
    <row r="576">
      <c r="A576" s="52"/>
      <c r="H576" s="53"/>
      <c r="M576" s="53"/>
      <c r="T576" s="53"/>
      <c r="Z576" s="54"/>
      <c r="AA576" s="54"/>
      <c r="AB576" s="54"/>
    </row>
    <row r="577">
      <c r="A577" s="52"/>
      <c r="H577" s="53"/>
      <c r="M577" s="53"/>
      <c r="T577" s="53"/>
      <c r="Z577" s="54"/>
      <c r="AA577" s="54"/>
      <c r="AB577" s="54"/>
    </row>
    <row r="578">
      <c r="A578" s="52"/>
      <c r="H578" s="53"/>
      <c r="M578" s="53"/>
      <c r="T578" s="53"/>
      <c r="Z578" s="54"/>
      <c r="AA578" s="54"/>
      <c r="AB578" s="54"/>
    </row>
    <row r="579">
      <c r="A579" s="52"/>
      <c r="H579" s="53"/>
      <c r="M579" s="53"/>
      <c r="T579" s="53"/>
      <c r="Z579" s="54"/>
      <c r="AA579" s="54"/>
      <c r="AB579" s="54"/>
    </row>
    <row r="580">
      <c r="A580" s="52"/>
      <c r="H580" s="53"/>
      <c r="M580" s="53"/>
      <c r="T580" s="53"/>
      <c r="Z580" s="54"/>
      <c r="AA580" s="54"/>
      <c r="AB580" s="54"/>
    </row>
    <row r="581">
      <c r="A581" s="52"/>
      <c r="H581" s="53"/>
      <c r="M581" s="53"/>
      <c r="T581" s="53"/>
      <c r="Z581" s="54"/>
      <c r="AA581" s="54"/>
      <c r="AB581" s="54"/>
    </row>
    <row r="582">
      <c r="A582" s="52"/>
      <c r="H582" s="53"/>
      <c r="M582" s="53"/>
      <c r="T582" s="53"/>
      <c r="Z582" s="54"/>
      <c r="AA582" s="54"/>
      <c r="AB582" s="54"/>
    </row>
    <row r="583">
      <c r="A583" s="52"/>
      <c r="H583" s="53"/>
      <c r="M583" s="53"/>
      <c r="T583" s="53"/>
      <c r="Z583" s="54"/>
      <c r="AA583" s="54"/>
      <c r="AB583" s="54"/>
    </row>
    <row r="584">
      <c r="A584" s="52"/>
      <c r="H584" s="53"/>
      <c r="M584" s="53"/>
      <c r="T584" s="53"/>
      <c r="Z584" s="54"/>
      <c r="AA584" s="54"/>
      <c r="AB584" s="54"/>
    </row>
    <row r="585">
      <c r="A585" s="52"/>
      <c r="H585" s="53"/>
      <c r="M585" s="53"/>
      <c r="T585" s="53"/>
      <c r="Z585" s="54"/>
      <c r="AA585" s="54"/>
      <c r="AB585" s="54"/>
    </row>
    <row r="586">
      <c r="A586" s="52"/>
      <c r="H586" s="53"/>
      <c r="M586" s="53"/>
      <c r="T586" s="53"/>
      <c r="Z586" s="54"/>
      <c r="AA586" s="54"/>
      <c r="AB586" s="54"/>
    </row>
    <row r="587">
      <c r="A587" s="52"/>
      <c r="H587" s="53"/>
      <c r="M587" s="53"/>
      <c r="T587" s="53"/>
      <c r="Z587" s="54"/>
      <c r="AA587" s="54"/>
      <c r="AB587" s="54"/>
    </row>
    <row r="588">
      <c r="A588" s="52"/>
      <c r="H588" s="53"/>
      <c r="M588" s="53"/>
      <c r="T588" s="53"/>
      <c r="Z588" s="54"/>
      <c r="AA588" s="54"/>
      <c r="AB588" s="54"/>
    </row>
    <row r="589">
      <c r="A589" s="52"/>
      <c r="H589" s="53"/>
      <c r="M589" s="53"/>
      <c r="T589" s="53"/>
      <c r="Z589" s="54"/>
      <c r="AA589" s="54"/>
      <c r="AB589" s="54"/>
    </row>
    <row r="590">
      <c r="A590" s="52"/>
      <c r="H590" s="53"/>
      <c r="M590" s="53"/>
      <c r="T590" s="53"/>
      <c r="Z590" s="54"/>
      <c r="AA590" s="54"/>
      <c r="AB590" s="54"/>
    </row>
    <row r="591">
      <c r="A591" s="52"/>
      <c r="H591" s="53"/>
      <c r="M591" s="53"/>
      <c r="T591" s="53"/>
      <c r="Z591" s="54"/>
      <c r="AA591" s="54"/>
      <c r="AB591" s="54"/>
    </row>
    <row r="592">
      <c r="A592" s="52"/>
      <c r="H592" s="53"/>
      <c r="M592" s="53"/>
      <c r="T592" s="53"/>
      <c r="Z592" s="54"/>
      <c r="AA592" s="54"/>
      <c r="AB592" s="54"/>
    </row>
    <row r="593">
      <c r="A593" s="52"/>
      <c r="H593" s="53"/>
      <c r="M593" s="53"/>
      <c r="T593" s="53"/>
      <c r="Z593" s="54"/>
      <c r="AA593" s="54"/>
      <c r="AB593" s="54"/>
    </row>
    <row r="594">
      <c r="A594" s="52"/>
      <c r="H594" s="53"/>
      <c r="M594" s="53"/>
      <c r="T594" s="53"/>
      <c r="Z594" s="54"/>
      <c r="AA594" s="54"/>
      <c r="AB594" s="54"/>
    </row>
    <row r="595">
      <c r="A595" s="52"/>
      <c r="H595" s="53"/>
      <c r="M595" s="53"/>
      <c r="T595" s="53"/>
      <c r="Z595" s="54"/>
      <c r="AA595" s="54"/>
      <c r="AB595" s="54"/>
    </row>
    <row r="596">
      <c r="A596" s="52"/>
      <c r="H596" s="53"/>
      <c r="M596" s="53"/>
      <c r="T596" s="53"/>
      <c r="Z596" s="54"/>
      <c r="AA596" s="54"/>
      <c r="AB596" s="54"/>
    </row>
    <row r="597">
      <c r="A597" s="52"/>
      <c r="H597" s="53"/>
      <c r="M597" s="53"/>
      <c r="T597" s="53"/>
      <c r="Z597" s="54"/>
      <c r="AA597" s="54"/>
      <c r="AB597" s="54"/>
    </row>
    <row r="598">
      <c r="A598" s="52"/>
      <c r="H598" s="53"/>
      <c r="M598" s="53"/>
      <c r="T598" s="53"/>
      <c r="Z598" s="54"/>
      <c r="AA598" s="54"/>
      <c r="AB598" s="54"/>
    </row>
    <row r="599">
      <c r="A599" s="52"/>
      <c r="H599" s="53"/>
      <c r="M599" s="53"/>
      <c r="T599" s="53"/>
      <c r="Z599" s="54"/>
      <c r="AA599" s="54"/>
      <c r="AB599" s="54"/>
    </row>
    <row r="600">
      <c r="A600" s="52"/>
      <c r="H600" s="53"/>
      <c r="M600" s="53"/>
      <c r="T600" s="53"/>
      <c r="Z600" s="54"/>
      <c r="AA600" s="54"/>
      <c r="AB600" s="54"/>
    </row>
    <row r="601">
      <c r="A601" s="52"/>
      <c r="H601" s="53"/>
      <c r="M601" s="53"/>
      <c r="T601" s="53"/>
      <c r="Z601" s="54"/>
      <c r="AA601" s="54"/>
      <c r="AB601" s="54"/>
    </row>
    <row r="602">
      <c r="A602" s="52"/>
      <c r="H602" s="53"/>
      <c r="M602" s="53"/>
      <c r="T602" s="53"/>
      <c r="Z602" s="54"/>
      <c r="AA602" s="54"/>
      <c r="AB602" s="54"/>
    </row>
    <row r="603">
      <c r="A603" s="52"/>
      <c r="H603" s="53"/>
      <c r="M603" s="53"/>
      <c r="T603" s="53"/>
      <c r="Z603" s="54"/>
      <c r="AA603" s="54"/>
      <c r="AB603" s="54"/>
    </row>
    <row r="604">
      <c r="A604" s="52"/>
      <c r="H604" s="53"/>
      <c r="M604" s="53"/>
      <c r="T604" s="53"/>
      <c r="Z604" s="54"/>
      <c r="AA604" s="54"/>
      <c r="AB604" s="54"/>
    </row>
    <row r="605">
      <c r="A605" s="52"/>
      <c r="H605" s="53"/>
      <c r="M605" s="53"/>
      <c r="T605" s="53"/>
      <c r="Z605" s="54"/>
      <c r="AA605" s="54"/>
      <c r="AB605" s="54"/>
    </row>
    <row r="606">
      <c r="A606" s="52"/>
      <c r="H606" s="53"/>
      <c r="M606" s="53"/>
      <c r="T606" s="53"/>
      <c r="Z606" s="54"/>
      <c r="AA606" s="54"/>
      <c r="AB606" s="54"/>
    </row>
    <row r="607">
      <c r="A607" s="52"/>
      <c r="H607" s="53"/>
      <c r="M607" s="53"/>
      <c r="T607" s="53"/>
      <c r="Z607" s="54"/>
      <c r="AA607" s="54"/>
      <c r="AB607" s="54"/>
    </row>
    <row r="608">
      <c r="A608" s="52"/>
      <c r="H608" s="53"/>
      <c r="M608" s="53"/>
      <c r="T608" s="53"/>
      <c r="Z608" s="54"/>
      <c r="AA608" s="54"/>
      <c r="AB608" s="54"/>
    </row>
    <row r="609">
      <c r="A609" s="52"/>
      <c r="H609" s="53"/>
      <c r="M609" s="53"/>
      <c r="T609" s="53"/>
      <c r="Z609" s="54"/>
      <c r="AA609" s="54"/>
      <c r="AB609" s="54"/>
    </row>
    <row r="610">
      <c r="A610" s="52"/>
      <c r="H610" s="53"/>
      <c r="M610" s="53"/>
      <c r="T610" s="53"/>
      <c r="Z610" s="54"/>
      <c r="AA610" s="54"/>
      <c r="AB610" s="54"/>
    </row>
    <row r="611">
      <c r="A611" s="52"/>
      <c r="H611" s="53"/>
      <c r="M611" s="53"/>
      <c r="T611" s="53"/>
      <c r="Z611" s="54"/>
      <c r="AA611" s="54"/>
      <c r="AB611" s="54"/>
    </row>
    <row r="612">
      <c r="A612" s="52"/>
      <c r="H612" s="53"/>
      <c r="M612" s="53"/>
      <c r="T612" s="53"/>
      <c r="Z612" s="54"/>
      <c r="AA612" s="54"/>
      <c r="AB612" s="54"/>
    </row>
    <row r="613">
      <c r="A613" s="52"/>
      <c r="H613" s="53"/>
      <c r="M613" s="53"/>
      <c r="T613" s="53"/>
      <c r="Z613" s="54"/>
      <c r="AA613" s="54"/>
      <c r="AB613" s="54"/>
    </row>
    <row r="614">
      <c r="A614" s="52"/>
      <c r="H614" s="53"/>
      <c r="M614" s="53"/>
      <c r="T614" s="53"/>
      <c r="Z614" s="54"/>
      <c r="AA614" s="54"/>
      <c r="AB614" s="54"/>
    </row>
    <row r="615">
      <c r="A615" s="52"/>
      <c r="H615" s="53"/>
      <c r="M615" s="53"/>
      <c r="T615" s="53"/>
      <c r="Z615" s="54"/>
      <c r="AA615" s="54"/>
      <c r="AB615" s="54"/>
    </row>
    <row r="616">
      <c r="A616" s="52"/>
      <c r="H616" s="53"/>
      <c r="M616" s="53"/>
      <c r="T616" s="53"/>
      <c r="Z616" s="54"/>
      <c r="AA616" s="54"/>
      <c r="AB616" s="54"/>
    </row>
    <row r="617">
      <c r="A617" s="52"/>
      <c r="H617" s="53"/>
      <c r="M617" s="53"/>
      <c r="T617" s="53"/>
      <c r="Z617" s="54"/>
      <c r="AA617" s="54"/>
      <c r="AB617" s="54"/>
    </row>
    <row r="618">
      <c r="A618" s="52"/>
      <c r="H618" s="53"/>
      <c r="M618" s="53"/>
      <c r="T618" s="53"/>
      <c r="Z618" s="54"/>
      <c r="AA618" s="54"/>
      <c r="AB618" s="54"/>
    </row>
    <row r="619">
      <c r="A619" s="52"/>
      <c r="H619" s="53"/>
      <c r="M619" s="53"/>
      <c r="T619" s="53"/>
      <c r="Z619" s="54"/>
      <c r="AA619" s="54"/>
      <c r="AB619" s="54"/>
    </row>
    <row r="620">
      <c r="A620" s="52"/>
      <c r="H620" s="53"/>
      <c r="M620" s="53"/>
      <c r="T620" s="53"/>
      <c r="Z620" s="54"/>
      <c r="AA620" s="54"/>
      <c r="AB620" s="54"/>
    </row>
    <row r="621">
      <c r="A621" s="52"/>
      <c r="H621" s="53"/>
      <c r="M621" s="53"/>
      <c r="T621" s="53"/>
      <c r="Z621" s="54"/>
      <c r="AA621" s="54"/>
      <c r="AB621" s="54"/>
    </row>
    <row r="622">
      <c r="A622" s="52"/>
      <c r="H622" s="53"/>
      <c r="M622" s="53"/>
      <c r="T622" s="53"/>
      <c r="Z622" s="54"/>
      <c r="AA622" s="54"/>
      <c r="AB622" s="54"/>
    </row>
    <row r="623">
      <c r="A623" s="52"/>
      <c r="H623" s="53"/>
      <c r="M623" s="53"/>
      <c r="T623" s="53"/>
      <c r="Z623" s="54"/>
      <c r="AA623" s="54"/>
      <c r="AB623" s="54"/>
    </row>
    <row r="624">
      <c r="A624" s="52"/>
      <c r="H624" s="53"/>
      <c r="M624" s="53"/>
      <c r="T624" s="53"/>
      <c r="Z624" s="54"/>
      <c r="AA624" s="54"/>
      <c r="AB624" s="54"/>
    </row>
    <row r="625">
      <c r="A625" s="52"/>
      <c r="H625" s="53"/>
      <c r="M625" s="53"/>
      <c r="T625" s="53"/>
      <c r="Z625" s="54"/>
      <c r="AA625" s="54"/>
      <c r="AB625" s="54"/>
    </row>
    <row r="626">
      <c r="A626" s="52"/>
      <c r="H626" s="53"/>
      <c r="M626" s="53"/>
      <c r="T626" s="53"/>
      <c r="Z626" s="54"/>
      <c r="AA626" s="54"/>
      <c r="AB626" s="54"/>
    </row>
    <row r="627">
      <c r="A627" s="52"/>
      <c r="H627" s="53"/>
      <c r="M627" s="53"/>
      <c r="T627" s="53"/>
      <c r="Z627" s="54"/>
      <c r="AA627" s="54"/>
      <c r="AB627" s="54"/>
    </row>
    <row r="628">
      <c r="A628" s="52"/>
      <c r="H628" s="53"/>
      <c r="M628" s="53"/>
      <c r="T628" s="53"/>
      <c r="Z628" s="54"/>
      <c r="AA628" s="54"/>
      <c r="AB628" s="54"/>
    </row>
    <row r="629">
      <c r="A629" s="52"/>
      <c r="H629" s="53"/>
      <c r="M629" s="53"/>
      <c r="T629" s="53"/>
      <c r="Z629" s="54"/>
      <c r="AA629" s="54"/>
      <c r="AB629" s="54"/>
    </row>
    <row r="630">
      <c r="A630" s="52"/>
      <c r="H630" s="53"/>
      <c r="M630" s="53"/>
      <c r="T630" s="53"/>
      <c r="Z630" s="54"/>
      <c r="AA630" s="54"/>
      <c r="AB630" s="54"/>
    </row>
    <row r="631">
      <c r="A631" s="52"/>
      <c r="H631" s="53"/>
      <c r="M631" s="53"/>
      <c r="T631" s="53"/>
      <c r="Z631" s="54"/>
      <c r="AA631" s="54"/>
      <c r="AB631" s="54"/>
    </row>
    <row r="632">
      <c r="A632" s="52"/>
      <c r="H632" s="53"/>
      <c r="M632" s="53"/>
      <c r="T632" s="53"/>
      <c r="Z632" s="54"/>
      <c r="AA632" s="54"/>
      <c r="AB632" s="54"/>
    </row>
    <row r="633">
      <c r="A633" s="52"/>
      <c r="H633" s="53"/>
      <c r="M633" s="53"/>
      <c r="T633" s="53"/>
      <c r="Z633" s="54"/>
      <c r="AA633" s="54"/>
      <c r="AB633" s="54"/>
    </row>
    <row r="634">
      <c r="A634" s="52"/>
      <c r="H634" s="53"/>
      <c r="M634" s="53"/>
      <c r="T634" s="53"/>
      <c r="Z634" s="54"/>
      <c r="AA634" s="54"/>
      <c r="AB634" s="54"/>
    </row>
    <row r="635">
      <c r="A635" s="52"/>
      <c r="H635" s="53"/>
      <c r="M635" s="53"/>
      <c r="T635" s="53"/>
      <c r="Z635" s="54"/>
      <c r="AA635" s="54"/>
      <c r="AB635" s="54"/>
    </row>
    <row r="636">
      <c r="A636" s="52"/>
      <c r="H636" s="53"/>
      <c r="M636" s="53"/>
      <c r="T636" s="53"/>
      <c r="Z636" s="54"/>
      <c r="AA636" s="54"/>
      <c r="AB636" s="54"/>
    </row>
    <row r="637">
      <c r="A637" s="52"/>
      <c r="H637" s="53"/>
      <c r="M637" s="53"/>
      <c r="T637" s="53"/>
      <c r="Z637" s="54"/>
      <c r="AA637" s="54"/>
      <c r="AB637" s="54"/>
    </row>
    <row r="638">
      <c r="A638" s="52"/>
      <c r="H638" s="53"/>
      <c r="M638" s="53"/>
      <c r="T638" s="53"/>
      <c r="Z638" s="54"/>
      <c r="AA638" s="54"/>
      <c r="AB638" s="54"/>
    </row>
    <row r="639">
      <c r="A639" s="52"/>
      <c r="H639" s="53"/>
      <c r="M639" s="53"/>
      <c r="T639" s="53"/>
      <c r="Z639" s="54"/>
      <c r="AA639" s="54"/>
      <c r="AB639" s="54"/>
    </row>
    <row r="640">
      <c r="A640" s="52"/>
      <c r="H640" s="53"/>
      <c r="M640" s="53"/>
      <c r="T640" s="53"/>
      <c r="Z640" s="54"/>
      <c r="AA640" s="54"/>
      <c r="AB640" s="54"/>
    </row>
    <row r="641">
      <c r="A641" s="52"/>
      <c r="H641" s="53"/>
      <c r="M641" s="53"/>
      <c r="T641" s="53"/>
      <c r="Z641" s="54"/>
      <c r="AA641" s="54"/>
      <c r="AB641" s="54"/>
    </row>
    <row r="642">
      <c r="A642" s="52"/>
      <c r="H642" s="53"/>
      <c r="M642" s="53"/>
      <c r="T642" s="53"/>
      <c r="Z642" s="54"/>
      <c r="AA642" s="54"/>
      <c r="AB642" s="54"/>
    </row>
    <row r="643">
      <c r="A643" s="52"/>
      <c r="H643" s="53"/>
      <c r="M643" s="53"/>
      <c r="T643" s="53"/>
      <c r="Z643" s="54"/>
      <c r="AA643" s="54"/>
      <c r="AB643" s="54"/>
    </row>
    <row r="644">
      <c r="A644" s="52"/>
      <c r="H644" s="53"/>
      <c r="M644" s="53"/>
      <c r="T644" s="53"/>
      <c r="Z644" s="54"/>
      <c r="AA644" s="54"/>
      <c r="AB644" s="54"/>
    </row>
    <row r="645">
      <c r="A645" s="52"/>
      <c r="H645" s="53"/>
      <c r="M645" s="53"/>
      <c r="T645" s="53"/>
      <c r="Z645" s="54"/>
      <c r="AA645" s="54"/>
      <c r="AB645" s="54"/>
    </row>
    <row r="646">
      <c r="A646" s="52"/>
      <c r="H646" s="53"/>
      <c r="M646" s="53"/>
      <c r="T646" s="53"/>
      <c r="Z646" s="54"/>
      <c r="AA646" s="54"/>
      <c r="AB646" s="54"/>
    </row>
    <row r="647">
      <c r="A647" s="52"/>
      <c r="H647" s="53"/>
      <c r="M647" s="53"/>
      <c r="T647" s="53"/>
      <c r="Z647" s="54"/>
      <c r="AA647" s="54"/>
      <c r="AB647" s="54"/>
    </row>
    <row r="648">
      <c r="A648" s="52"/>
      <c r="H648" s="53"/>
      <c r="M648" s="53"/>
      <c r="T648" s="53"/>
      <c r="Z648" s="54"/>
      <c r="AA648" s="54"/>
      <c r="AB648" s="54"/>
    </row>
    <row r="649">
      <c r="A649" s="52"/>
      <c r="H649" s="53"/>
      <c r="M649" s="53"/>
      <c r="T649" s="53"/>
      <c r="Z649" s="54"/>
      <c r="AA649" s="54"/>
      <c r="AB649" s="54"/>
    </row>
    <row r="650">
      <c r="A650" s="52"/>
      <c r="H650" s="53"/>
      <c r="M650" s="53"/>
      <c r="T650" s="53"/>
      <c r="Z650" s="54"/>
      <c r="AA650" s="54"/>
      <c r="AB650" s="54"/>
    </row>
    <row r="651">
      <c r="A651" s="52"/>
      <c r="H651" s="53"/>
      <c r="M651" s="53"/>
      <c r="T651" s="53"/>
      <c r="Z651" s="54"/>
      <c r="AA651" s="54"/>
      <c r="AB651" s="54"/>
    </row>
    <row r="652">
      <c r="A652" s="52"/>
      <c r="H652" s="53"/>
      <c r="M652" s="53"/>
      <c r="T652" s="53"/>
      <c r="Z652" s="54"/>
      <c r="AA652" s="54"/>
      <c r="AB652" s="54"/>
    </row>
    <row r="653">
      <c r="A653" s="52"/>
      <c r="H653" s="53"/>
      <c r="M653" s="53"/>
      <c r="T653" s="53"/>
      <c r="Z653" s="54"/>
      <c r="AA653" s="54"/>
      <c r="AB653" s="54"/>
    </row>
    <row r="654">
      <c r="A654" s="52"/>
      <c r="H654" s="53"/>
      <c r="M654" s="53"/>
      <c r="T654" s="53"/>
      <c r="Z654" s="54"/>
      <c r="AA654" s="54"/>
      <c r="AB654" s="54"/>
    </row>
    <row r="655">
      <c r="A655" s="52"/>
      <c r="H655" s="53"/>
      <c r="M655" s="53"/>
      <c r="T655" s="53"/>
      <c r="Z655" s="54"/>
      <c r="AA655" s="54"/>
      <c r="AB655" s="54"/>
    </row>
    <row r="656">
      <c r="A656" s="52"/>
      <c r="H656" s="53"/>
      <c r="M656" s="53"/>
      <c r="T656" s="53"/>
      <c r="Z656" s="54"/>
      <c r="AA656" s="54"/>
      <c r="AB656" s="54"/>
    </row>
    <row r="657">
      <c r="A657" s="52"/>
      <c r="H657" s="53"/>
      <c r="M657" s="53"/>
      <c r="T657" s="53"/>
      <c r="Z657" s="54"/>
      <c r="AA657" s="54"/>
      <c r="AB657" s="54"/>
    </row>
    <row r="658">
      <c r="A658" s="52"/>
      <c r="H658" s="53"/>
      <c r="M658" s="53"/>
      <c r="T658" s="53"/>
      <c r="Z658" s="54"/>
      <c r="AA658" s="54"/>
      <c r="AB658" s="54"/>
    </row>
    <row r="659">
      <c r="A659" s="52"/>
      <c r="H659" s="53"/>
      <c r="M659" s="53"/>
      <c r="T659" s="53"/>
      <c r="Z659" s="54"/>
      <c r="AA659" s="54"/>
      <c r="AB659" s="54"/>
    </row>
    <row r="660">
      <c r="A660" s="52"/>
      <c r="H660" s="53"/>
      <c r="M660" s="53"/>
      <c r="T660" s="53"/>
      <c r="Z660" s="54"/>
      <c r="AA660" s="54"/>
      <c r="AB660" s="54"/>
    </row>
    <row r="661">
      <c r="A661" s="52"/>
      <c r="H661" s="53"/>
      <c r="M661" s="53"/>
      <c r="T661" s="53"/>
      <c r="Z661" s="54"/>
      <c r="AA661" s="54"/>
      <c r="AB661" s="54"/>
    </row>
    <row r="662">
      <c r="A662" s="52"/>
      <c r="H662" s="53"/>
      <c r="M662" s="53"/>
      <c r="T662" s="53"/>
      <c r="Z662" s="54"/>
      <c r="AA662" s="54"/>
      <c r="AB662" s="54"/>
    </row>
    <row r="663">
      <c r="A663" s="52"/>
      <c r="H663" s="53"/>
      <c r="M663" s="53"/>
      <c r="T663" s="53"/>
      <c r="Z663" s="54"/>
      <c r="AA663" s="54"/>
      <c r="AB663" s="54"/>
    </row>
    <row r="664">
      <c r="A664" s="52"/>
      <c r="H664" s="53"/>
      <c r="M664" s="53"/>
      <c r="T664" s="53"/>
      <c r="Z664" s="54"/>
      <c r="AA664" s="54"/>
      <c r="AB664" s="54"/>
    </row>
    <row r="665">
      <c r="A665" s="52"/>
      <c r="H665" s="53"/>
      <c r="M665" s="53"/>
      <c r="T665" s="53"/>
      <c r="Z665" s="54"/>
      <c r="AA665" s="54"/>
      <c r="AB665" s="54"/>
    </row>
    <row r="666">
      <c r="A666" s="52"/>
      <c r="H666" s="53"/>
      <c r="M666" s="53"/>
      <c r="T666" s="53"/>
      <c r="Z666" s="54"/>
      <c r="AA666" s="54"/>
      <c r="AB666" s="54"/>
    </row>
    <row r="667">
      <c r="A667" s="52"/>
      <c r="H667" s="53"/>
      <c r="M667" s="53"/>
      <c r="T667" s="53"/>
      <c r="Z667" s="54"/>
      <c r="AA667" s="54"/>
      <c r="AB667" s="54"/>
    </row>
    <row r="668">
      <c r="A668" s="52"/>
      <c r="H668" s="53"/>
      <c r="M668" s="53"/>
      <c r="T668" s="53"/>
      <c r="Z668" s="54"/>
      <c r="AA668" s="54"/>
      <c r="AB668" s="54"/>
    </row>
    <row r="669">
      <c r="A669" s="52"/>
      <c r="H669" s="53"/>
      <c r="M669" s="53"/>
      <c r="T669" s="53"/>
      <c r="Z669" s="54"/>
      <c r="AA669" s="54"/>
      <c r="AB669" s="54"/>
    </row>
    <row r="670">
      <c r="A670" s="52"/>
      <c r="H670" s="53"/>
      <c r="M670" s="53"/>
      <c r="T670" s="53"/>
      <c r="Z670" s="54"/>
      <c r="AA670" s="54"/>
      <c r="AB670" s="54"/>
    </row>
    <row r="671">
      <c r="A671" s="52"/>
      <c r="H671" s="53"/>
      <c r="M671" s="53"/>
      <c r="T671" s="53"/>
      <c r="Z671" s="54"/>
      <c r="AA671" s="54"/>
      <c r="AB671" s="54"/>
    </row>
    <row r="672">
      <c r="A672" s="52"/>
      <c r="H672" s="53"/>
      <c r="M672" s="53"/>
      <c r="T672" s="53"/>
      <c r="Z672" s="54"/>
      <c r="AA672" s="54"/>
      <c r="AB672" s="54"/>
    </row>
    <row r="673">
      <c r="A673" s="52"/>
      <c r="H673" s="53"/>
      <c r="M673" s="53"/>
      <c r="T673" s="53"/>
      <c r="Z673" s="54"/>
      <c r="AA673" s="54"/>
      <c r="AB673" s="54"/>
    </row>
    <row r="674">
      <c r="A674" s="52"/>
      <c r="H674" s="53"/>
      <c r="M674" s="53"/>
      <c r="T674" s="53"/>
      <c r="Z674" s="54"/>
      <c r="AA674" s="54"/>
      <c r="AB674" s="54"/>
    </row>
    <row r="675">
      <c r="A675" s="52"/>
      <c r="H675" s="53"/>
      <c r="M675" s="53"/>
      <c r="T675" s="53"/>
      <c r="Z675" s="54"/>
      <c r="AA675" s="54"/>
      <c r="AB675" s="54"/>
    </row>
    <row r="676">
      <c r="A676" s="52"/>
      <c r="H676" s="53"/>
      <c r="M676" s="53"/>
      <c r="T676" s="53"/>
      <c r="Z676" s="54"/>
      <c r="AA676" s="54"/>
      <c r="AB676" s="54"/>
    </row>
    <row r="677">
      <c r="A677" s="52"/>
      <c r="H677" s="53"/>
      <c r="M677" s="53"/>
      <c r="T677" s="53"/>
      <c r="Z677" s="54"/>
      <c r="AA677" s="54"/>
      <c r="AB677" s="54"/>
    </row>
    <row r="678">
      <c r="A678" s="52"/>
      <c r="H678" s="53"/>
      <c r="M678" s="53"/>
      <c r="T678" s="53"/>
      <c r="Z678" s="54"/>
      <c r="AA678" s="54"/>
      <c r="AB678" s="54"/>
    </row>
    <row r="679">
      <c r="A679" s="52"/>
      <c r="H679" s="53"/>
      <c r="M679" s="53"/>
      <c r="T679" s="53"/>
      <c r="Z679" s="54"/>
      <c r="AA679" s="54"/>
      <c r="AB679" s="54"/>
    </row>
    <row r="680">
      <c r="A680" s="52"/>
      <c r="H680" s="53"/>
      <c r="M680" s="53"/>
      <c r="T680" s="53"/>
      <c r="Z680" s="54"/>
      <c r="AA680" s="54"/>
      <c r="AB680" s="54"/>
    </row>
    <row r="681">
      <c r="A681" s="52"/>
      <c r="H681" s="53"/>
      <c r="M681" s="53"/>
      <c r="T681" s="53"/>
      <c r="Z681" s="54"/>
      <c r="AA681" s="54"/>
      <c r="AB681" s="54"/>
    </row>
    <row r="682">
      <c r="A682" s="52"/>
      <c r="H682" s="53"/>
      <c r="M682" s="53"/>
      <c r="T682" s="53"/>
      <c r="Z682" s="54"/>
      <c r="AA682" s="54"/>
      <c r="AB682" s="54"/>
    </row>
    <row r="683">
      <c r="A683" s="52"/>
      <c r="H683" s="53"/>
      <c r="M683" s="53"/>
      <c r="T683" s="53"/>
      <c r="Z683" s="54"/>
      <c r="AA683" s="54"/>
      <c r="AB683" s="54"/>
    </row>
    <row r="684">
      <c r="A684" s="52"/>
      <c r="H684" s="53"/>
      <c r="M684" s="53"/>
      <c r="T684" s="53"/>
      <c r="Z684" s="54"/>
      <c r="AA684" s="54"/>
      <c r="AB684" s="54"/>
    </row>
    <row r="685">
      <c r="A685" s="52"/>
      <c r="H685" s="53"/>
      <c r="M685" s="53"/>
      <c r="T685" s="53"/>
      <c r="Z685" s="54"/>
      <c r="AA685" s="54"/>
      <c r="AB685" s="54"/>
    </row>
    <row r="686">
      <c r="A686" s="52"/>
      <c r="H686" s="53"/>
      <c r="M686" s="53"/>
      <c r="T686" s="53"/>
      <c r="Z686" s="54"/>
      <c r="AA686" s="54"/>
      <c r="AB686" s="54"/>
    </row>
    <row r="687">
      <c r="A687" s="52"/>
      <c r="H687" s="53"/>
      <c r="M687" s="53"/>
      <c r="T687" s="53"/>
      <c r="Z687" s="54"/>
      <c r="AA687" s="54"/>
      <c r="AB687" s="54"/>
    </row>
    <row r="688">
      <c r="A688" s="52"/>
      <c r="H688" s="53"/>
      <c r="M688" s="53"/>
      <c r="T688" s="53"/>
      <c r="Z688" s="54"/>
      <c r="AA688" s="54"/>
      <c r="AB688" s="54"/>
    </row>
    <row r="689">
      <c r="A689" s="52"/>
      <c r="H689" s="53"/>
      <c r="M689" s="53"/>
      <c r="T689" s="53"/>
      <c r="Z689" s="54"/>
      <c r="AA689" s="54"/>
      <c r="AB689" s="54"/>
    </row>
    <row r="690">
      <c r="A690" s="52"/>
      <c r="H690" s="53"/>
      <c r="M690" s="53"/>
      <c r="T690" s="53"/>
      <c r="Z690" s="54"/>
      <c r="AA690" s="54"/>
      <c r="AB690" s="54"/>
    </row>
    <row r="691">
      <c r="A691" s="52"/>
      <c r="H691" s="53"/>
      <c r="M691" s="53"/>
      <c r="T691" s="53"/>
      <c r="Z691" s="54"/>
      <c r="AA691" s="54"/>
      <c r="AB691" s="54"/>
    </row>
    <row r="692">
      <c r="A692" s="52"/>
      <c r="H692" s="53"/>
      <c r="M692" s="53"/>
      <c r="T692" s="53"/>
      <c r="Z692" s="54"/>
      <c r="AA692" s="54"/>
      <c r="AB692" s="54"/>
    </row>
    <row r="693">
      <c r="A693" s="52"/>
      <c r="H693" s="53"/>
      <c r="M693" s="53"/>
      <c r="T693" s="53"/>
      <c r="Z693" s="54"/>
      <c r="AA693" s="54"/>
      <c r="AB693" s="54"/>
    </row>
    <row r="694">
      <c r="A694" s="52"/>
      <c r="H694" s="53"/>
      <c r="M694" s="53"/>
      <c r="T694" s="53"/>
      <c r="Z694" s="54"/>
      <c r="AA694" s="54"/>
      <c r="AB694" s="54"/>
    </row>
    <row r="695">
      <c r="A695" s="52"/>
      <c r="H695" s="53"/>
      <c r="M695" s="53"/>
      <c r="T695" s="53"/>
      <c r="Z695" s="54"/>
      <c r="AA695" s="54"/>
      <c r="AB695" s="54"/>
    </row>
    <row r="696">
      <c r="A696" s="52"/>
      <c r="H696" s="53"/>
      <c r="M696" s="53"/>
      <c r="T696" s="53"/>
      <c r="Z696" s="54"/>
      <c r="AA696" s="54"/>
      <c r="AB696" s="54"/>
    </row>
    <row r="697">
      <c r="A697" s="52"/>
      <c r="H697" s="53"/>
      <c r="M697" s="53"/>
      <c r="T697" s="53"/>
      <c r="Z697" s="54"/>
      <c r="AA697" s="54"/>
      <c r="AB697" s="54"/>
    </row>
    <row r="698">
      <c r="A698" s="52"/>
      <c r="H698" s="53"/>
      <c r="M698" s="53"/>
      <c r="T698" s="53"/>
      <c r="Z698" s="54"/>
      <c r="AA698" s="54"/>
      <c r="AB698" s="54"/>
    </row>
    <row r="699">
      <c r="A699" s="52"/>
      <c r="H699" s="53"/>
      <c r="M699" s="53"/>
      <c r="T699" s="53"/>
      <c r="Z699" s="54"/>
      <c r="AA699" s="54"/>
      <c r="AB699" s="54"/>
    </row>
    <row r="700">
      <c r="A700" s="52"/>
      <c r="H700" s="53"/>
      <c r="M700" s="53"/>
      <c r="T700" s="53"/>
      <c r="Z700" s="54"/>
      <c r="AA700" s="54"/>
      <c r="AB700" s="54"/>
    </row>
    <row r="701">
      <c r="A701" s="52"/>
      <c r="H701" s="53"/>
      <c r="M701" s="53"/>
      <c r="T701" s="53"/>
      <c r="Z701" s="54"/>
      <c r="AA701" s="54"/>
      <c r="AB701" s="54"/>
    </row>
    <row r="702">
      <c r="A702" s="52"/>
      <c r="H702" s="53"/>
      <c r="M702" s="53"/>
      <c r="T702" s="53"/>
      <c r="Z702" s="54"/>
      <c r="AA702" s="54"/>
      <c r="AB702" s="54"/>
    </row>
    <row r="703">
      <c r="A703" s="52"/>
      <c r="H703" s="53"/>
      <c r="M703" s="53"/>
      <c r="T703" s="53"/>
      <c r="Z703" s="54"/>
      <c r="AA703" s="54"/>
      <c r="AB703" s="54"/>
    </row>
    <row r="704">
      <c r="A704" s="52"/>
      <c r="H704" s="53"/>
      <c r="M704" s="53"/>
      <c r="T704" s="53"/>
      <c r="Z704" s="54"/>
      <c r="AA704" s="54"/>
      <c r="AB704" s="54"/>
    </row>
    <row r="705">
      <c r="A705" s="52"/>
      <c r="H705" s="53"/>
      <c r="M705" s="53"/>
      <c r="T705" s="53"/>
      <c r="Z705" s="54"/>
      <c r="AA705" s="54"/>
      <c r="AB705" s="54"/>
    </row>
    <row r="706">
      <c r="A706" s="52"/>
      <c r="H706" s="53"/>
      <c r="M706" s="53"/>
      <c r="T706" s="53"/>
      <c r="Z706" s="54"/>
      <c r="AA706" s="54"/>
      <c r="AB706" s="54"/>
    </row>
    <row r="707">
      <c r="A707" s="52"/>
      <c r="H707" s="53"/>
      <c r="M707" s="53"/>
      <c r="T707" s="53"/>
      <c r="Z707" s="54"/>
      <c r="AA707" s="54"/>
      <c r="AB707" s="54"/>
    </row>
    <row r="708">
      <c r="A708" s="52"/>
      <c r="H708" s="53"/>
      <c r="M708" s="53"/>
      <c r="T708" s="53"/>
      <c r="Z708" s="54"/>
      <c r="AA708" s="54"/>
      <c r="AB708" s="54"/>
    </row>
    <row r="709">
      <c r="A709" s="52"/>
      <c r="H709" s="53"/>
      <c r="M709" s="53"/>
      <c r="T709" s="53"/>
      <c r="Z709" s="54"/>
      <c r="AA709" s="54"/>
      <c r="AB709" s="54"/>
    </row>
    <row r="710">
      <c r="A710" s="52"/>
      <c r="H710" s="53"/>
      <c r="M710" s="53"/>
      <c r="T710" s="53"/>
      <c r="Z710" s="54"/>
      <c r="AA710" s="54"/>
      <c r="AB710" s="54"/>
    </row>
    <row r="711">
      <c r="A711" s="52"/>
      <c r="H711" s="53"/>
      <c r="M711" s="53"/>
      <c r="T711" s="53"/>
      <c r="Z711" s="54"/>
      <c r="AA711" s="54"/>
      <c r="AB711" s="54"/>
    </row>
    <row r="712">
      <c r="A712" s="52"/>
      <c r="H712" s="53"/>
      <c r="M712" s="53"/>
      <c r="T712" s="53"/>
      <c r="Z712" s="54"/>
      <c r="AA712" s="54"/>
      <c r="AB712" s="54"/>
    </row>
    <row r="713">
      <c r="A713" s="52"/>
      <c r="H713" s="53"/>
      <c r="M713" s="53"/>
      <c r="T713" s="53"/>
      <c r="Z713" s="54"/>
      <c r="AA713" s="54"/>
      <c r="AB713" s="54"/>
    </row>
    <row r="714">
      <c r="A714" s="52"/>
      <c r="H714" s="53"/>
      <c r="M714" s="53"/>
      <c r="T714" s="53"/>
      <c r="Z714" s="54"/>
      <c r="AA714" s="54"/>
      <c r="AB714" s="54"/>
    </row>
    <row r="715">
      <c r="A715" s="52"/>
      <c r="H715" s="53"/>
      <c r="M715" s="53"/>
      <c r="T715" s="53"/>
      <c r="Z715" s="54"/>
      <c r="AA715" s="54"/>
      <c r="AB715" s="54"/>
    </row>
    <row r="716">
      <c r="A716" s="52"/>
      <c r="H716" s="53"/>
      <c r="M716" s="53"/>
      <c r="T716" s="53"/>
      <c r="Z716" s="54"/>
      <c r="AA716" s="54"/>
      <c r="AB716" s="54"/>
    </row>
    <row r="717">
      <c r="A717" s="52"/>
      <c r="H717" s="53"/>
      <c r="M717" s="53"/>
      <c r="T717" s="53"/>
      <c r="Z717" s="54"/>
      <c r="AA717" s="54"/>
      <c r="AB717" s="54"/>
    </row>
    <row r="718">
      <c r="A718" s="52"/>
      <c r="H718" s="53"/>
      <c r="M718" s="53"/>
      <c r="T718" s="53"/>
      <c r="Z718" s="54"/>
      <c r="AA718" s="54"/>
      <c r="AB718" s="54"/>
    </row>
    <row r="719">
      <c r="A719" s="52"/>
      <c r="H719" s="53"/>
      <c r="M719" s="53"/>
      <c r="T719" s="53"/>
      <c r="Z719" s="54"/>
      <c r="AA719" s="54"/>
      <c r="AB719" s="54"/>
    </row>
    <row r="720">
      <c r="A720" s="52"/>
      <c r="H720" s="53"/>
      <c r="M720" s="53"/>
      <c r="T720" s="53"/>
      <c r="Z720" s="54"/>
      <c r="AA720" s="54"/>
      <c r="AB720" s="54"/>
    </row>
    <row r="721">
      <c r="A721" s="52"/>
      <c r="H721" s="53"/>
      <c r="M721" s="53"/>
      <c r="T721" s="53"/>
      <c r="Z721" s="54"/>
      <c r="AA721" s="54"/>
      <c r="AB721" s="54"/>
    </row>
    <row r="722">
      <c r="A722" s="52"/>
      <c r="H722" s="53"/>
      <c r="M722" s="53"/>
      <c r="T722" s="53"/>
      <c r="Z722" s="54"/>
      <c r="AA722" s="54"/>
      <c r="AB722" s="54"/>
    </row>
    <row r="723">
      <c r="A723" s="52"/>
      <c r="H723" s="53"/>
      <c r="M723" s="53"/>
      <c r="T723" s="53"/>
      <c r="Z723" s="54"/>
      <c r="AA723" s="54"/>
      <c r="AB723" s="54"/>
    </row>
    <row r="724">
      <c r="A724" s="52"/>
      <c r="H724" s="53"/>
      <c r="M724" s="53"/>
      <c r="T724" s="53"/>
      <c r="Z724" s="54"/>
      <c r="AA724" s="54"/>
      <c r="AB724" s="54"/>
    </row>
    <row r="725">
      <c r="A725" s="52"/>
      <c r="H725" s="53"/>
      <c r="M725" s="53"/>
      <c r="T725" s="53"/>
      <c r="Z725" s="54"/>
      <c r="AA725" s="54"/>
      <c r="AB725" s="54"/>
    </row>
    <row r="726">
      <c r="A726" s="52"/>
      <c r="H726" s="53"/>
      <c r="M726" s="53"/>
      <c r="T726" s="53"/>
      <c r="Z726" s="54"/>
      <c r="AA726" s="54"/>
      <c r="AB726" s="54"/>
    </row>
    <row r="727">
      <c r="A727" s="52"/>
      <c r="H727" s="53"/>
      <c r="M727" s="53"/>
      <c r="T727" s="53"/>
      <c r="Z727" s="54"/>
      <c r="AA727" s="54"/>
      <c r="AB727" s="54"/>
    </row>
    <row r="728">
      <c r="A728" s="52"/>
      <c r="H728" s="53"/>
      <c r="M728" s="53"/>
      <c r="T728" s="53"/>
      <c r="Z728" s="54"/>
      <c r="AA728" s="54"/>
      <c r="AB728" s="54"/>
    </row>
    <row r="729">
      <c r="A729" s="52"/>
      <c r="H729" s="53"/>
      <c r="M729" s="53"/>
      <c r="T729" s="53"/>
      <c r="Z729" s="54"/>
      <c r="AA729" s="54"/>
      <c r="AB729" s="54"/>
    </row>
    <row r="730">
      <c r="A730" s="52"/>
      <c r="H730" s="53"/>
      <c r="M730" s="53"/>
      <c r="T730" s="53"/>
      <c r="Z730" s="54"/>
      <c r="AA730" s="54"/>
      <c r="AB730" s="54"/>
    </row>
    <row r="731">
      <c r="A731" s="52"/>
      <c r="H731" s="53"/>
      <c r="M731" s="53"/>
      <c r="T731" s="53"/>
      <c r="Z731" s="54"/>
      <c r="AA731" s="54"/>
      <c r="AB731" s="54"/>
    </row>
    <row r="732">
      <c r="A732" s="52"/>
      <c r="H732" s="53"/>
      <c r="M732" s="53"/>
      <c r="T732" s="53"/>
      <c r="Z732" s="54"/>
      <c r="AA732" s="54"/>
      <c r="AB732" s="54"/>
    </row>
    <row r="733">
      <c r="A733" s="52"/>
      <c r="H733" s="53"/>
      <c r="M733" s="53"/>
      <c r="T733" s="53"/>
      <c r="Z733" s="54"/>
      <c r="AA733" s="54"/>
      <c r="AB733" s="54"/>
    </row>
    <row r="734">
      <c r="A734" s="52"/>
      <c r="H734" s="53"/>
      <c r="M734" s="53"/>
      <c r="T734" s="53"/>
      <c r="Z734" s="54"/>
      <c r="AA734" s="54"/>
      <c r="AB734" s="54"/>
    </row>
    <row r="735">
      <c r="A735" s="52"/>
      <c r="H735" s="53"/>
      <c r="M735" s="53"/>
      <c r="T735" s="53"/>
      <c r="Z735" s="54"/>
      <c r="AA735" s="54"/>
      <c r="AB735" s="54"/>
    </row>
    <row r="736">
      <c r="A736" s="52"/>
      <c r="H736" s="53"/>
      <c r="M736" s="53"/>
      <c r="T736" s="53"/>
      <c r="Z736" s="54"/>
      <c r="AA736" s="54"/>
      <c r="AB736" s="54"/>
    </row>
    <row r="737">
      <c r="A737" s="52"/>
      <c r="H737" s="53"/>
      <c r="M737" s="53"/>
      <c r="T737" s="53"/>
      <c r="Z737" s="54"/>
      <c r="AA737" s="54"/>
      <c r="AB737" s="54"/>
    </row>
    <row r="738">
      <c r="A738" s="52"/>
      <c r="H738" s="53"/>
      <c r="M738" s="53"/>
      <c r="T738" s="53"/>
      <c r="Z738" s="54"/>
      <c r="AA738" s="54"/>
      <c r="AB738" s="54"/>
    </row>
    <row r="739">
      <c r="A739" s="52"/>
      <c r="H739" s="53"/>
      <c r="M739" s="53"/>
      <c r="T739" s="53"/>
      <c r="Z739" s="54"/>
      <c r="AA739" s="54"/>
      <c r="AB739" s="54"/>
    </row>
    <row r="740">
      <c r="A740" s="52"/>
      <c r="H740" s="53"/>
      <c r="M740" s="53"/>
      <c r="T740" s="53"/>
      <c r="Z740" s="54"/>
      <c r="AA740" s="54"/>
      <c r="AB740" s="54"/>
    </row>
    <row r="741">
      <c r="A741" s="52"/>
      <c r="H741" s="53"/>
      <c r="M741" s="53"/>
      <c r="T741" s="53"/>
      <c r="Z741" s="54"/>
      <c r="AA741" s="54"/>
      <c r="AB741" s="54"/>
    </row>
    <row r="742">
      <c r="A742" s="52"/>
      <c r="H742" s="53"/>
      <c r="M742" s="53"/>
      <c r="T742" s="53"/>
      <c r="Z742" s="54"/>
      <c r="AA742" s="54"/>
      <c r="AB742" s="54"/>
    </row>
    <row r="743">
      <c r="A743" s="52"/>
      <c r="H743" s="53"/>
      <c r="M743" s="53"/>
      <c r="T743" s="53"/>
      <c r="Z743" s="54"/>
      <c r="AA743" s="54"/>
      <c r="AB743" s="54"/>
    </row>
    <row r="744">
      <c r="A744" s="52"/>
      <c r="H744" s="53"/>
      <c r="M744" s="53"/>
      <c r="T744" s="53"/>
      <c r="Z744" s="54"/>
      <c r="AA744" s="54"/>
      <c r="AB744" s="54"/>
    </row>
    <row r="745">
      <c r="A745" s="52"/>
      <c r="H745" s="53"/>
      <c r="M745" s="53"/>
      <c r="T745" s="53"/>
      <c r="Z745" s="54"/>
      <c r="AA745" s="54"/>
      <c r="AB745" s="54"/>
    </row>
    <row r="746">
      <c r="A746" s="52"/>
      <c r="H746" s="53"/>
      <c r="M746" s="53"/>
      <c r="T746" s="53"/>
      <c r="Z746" s="54"/>
      <c r="AA746" s="54"/>
      <c r="AB746" s="54"/>
    </row>
    <row r="747">
      <c r="A747" s="52"/>
      <c r="H747" s="53"/>
      <c r="M747" s="53"/>
      <c r="T747" s="53"/>
      <c r="Z747" s="54"/>
      <c r="AA747" s="54"/>
      <c r="AB747" s="54"/>
    </row>
    <row r="748">
      <c r="A748" s="52"/>
      <c r="H748" s="53"/>
      <c r="M748" s="53"/>
      <c r="T748" s="53"/>
      <c r="Z748" s="54"/>
      <c r="AA748" s="54"/>
      <c r="AB748" s="54"/>
    </row>
    <row r="749">
      <c r="A749" s="52"/>
      <c r="H749" s="53"/>
      <c r="M749" s="53"/>
      <c r="T749" s="53"/>
      <c r="Z749" s="54"/>
      <c r="AA749" s="54"/>
      <c r="AB749" s="54"/>
    </row>
    <row r="750">
      <c r="A750" s="52"/>
      <c r="H750" s="53"/>
      <c r="M750" s="53"/>
      <c r="T750" s="53"/>
      <c r="Z750" s="54"/>
      <c r="AA750" s="54"/>
      <c r="AB750" s="54"/>
    </row>
    <row r="751">
      <c r="A751" s="52"/>
      <c r="H751" s="53"/>
      <c r="M751" s="53"/>
      <c r="T751" s="53"/>
      <c r="Z751" s="54"/>
      <c r="AA751" s="54"/>
      <c r="AB751" s="54"/>
    </row>
    <row r="752">
      <c r="A752" s="52"/>
      <c r="H752" s="53"/>
      <c r="M752" s="53"/>
      <c r="T752" s="53"/>
      <c r="Z752" s="54"/>
      <c r="AA752" s="54"/>
      <c r="AB752" s="54"/>
    </row>
    <row r="753">
      <c r="A753" s="52"/>
      <c r="H753" s="53"/>
      <c r="M753" s="53"/>
      <c r="T753" s="53"/>
      <c r="Z753" s="54"/>
      <c r="AA753" s="54"/>
      <c r="AB753" s="54"/>
    </row>
    <row r="754">
      <c r="A754" s="52"/>
      <c r="H754" s="53"/>
      <c r="M754" s="53"/>
      <c r="T754" s="53"/>
      <c r="Z754" s="54"/>
      <c r="AA754" s="54"/>
      <c r="AB754" s="54"/>
    </row>
    <row r="755">
      <c r="A755" s="52"/>
      <c r="H755" s="53"/>
      <c r="M755" s="53"/>
      <c r="T755" s="53"/>
      <c r="Z755" s="54"/>
      <c r="AA755" s="54"/>
      <c r="AB755" s="54"/>
    </row>
    <row r="756">
      <c r="A756" s="52"/>
      <c r="H756" s="53"/>
      <c r="M756" s="53"/>
      <c r="T756" s="53"/>
      <c r="Z756" s="54"/>
      <c r="AA756" s="54"/>
      <c r="AB756" s="54"/>
    </row>
    <row r="757">
      <c r="A757" s="52"/>
      <c r="H757" s="53"/>
      <c r="M757" s="53"/>
      <c r="T757" s="53"/>
      <c r="Z757" s="54"/>
      <c r="AA757" s="54"/>
      <c r="AB757" s="54"/>
    </row>
    <row r="758">
      <c r="A758" s="52"/>
      <c r="H758" s="53"/>
      <c r="M758" s="53"/>
      <c r="T758" s="53"/>
      <c r="Z758" s="54"/>
      <c r="AA758" s="54"/>
      <c r="AB758" s="54"/>
    </row>
    <row r="759">
      <c r="A759" s="52"/>
      <c r="H759" s="53"/>
      <c r="M759" s="53"/>
      <c r="T759" s="53"/>
      <c r="Z759" s="54"/>
      <c r="AA759" s="54"/>
      <c r="AB759" s="54"/>
    </row>
    <row r="760">
      <c r="A760" s="52"/>
      <c r="H760" s="53"/>
      <c r="M760" s="53"/>
      <c r="T760" s="53"/>
      <c r="Z760" s="54"/>
      <c r="AA760" s="54"/>
      <c r="AB760" s="54"/>
    </row>
    <row r="761">
      <c r="A761" s="52"/>
      <c r="H761" s="53"/>
      <c r="M761" s="53"/>
      <c r="T761" s="53"/>
      <c r="Z761" s="54"/>
      <c r="AA761" s="54"/>
      <c r="AB761" s="54"/>
    </row>
    <row r="762">
      <c r="A762" s="52"/>
      <c r="H762" s="53"/>
      <c r="M762" s="53"/>
      <c r="T762" s="53"/>
      <c r="Z762" s="54"/>
      <c r="AA762" s="54"/>
      <c r="AB762" s="54"/>
    </row>
    <row r="763">
      <c r="A763" s="52"/>
      <c r="H763" s="53"/>
      <c r="M763" s="53"/>
      <c r="T763" s="53"/>
      <c r="Z763" s="54"/>
      <c r="AA763" s="54"/>
      <c r="AB763" s="54"/>
    </row>
    <row r="764">
      <c r="A764" s="52"/>
      <c r="H764" s="53"/>
      <c r="M764" s="53"/>
      <c r="T764" s="53"/>
      <c r="Z764" s="54"/>
      <c r="AA764" s="54"/>
      <c r="AB764" s="54"/>
    </row>
    <row r="765">
      <c r="A765" s="52"/>
      <c r="H765" s="53"/>
      <c r="M765" s="53"/>
      <c r="T765" s="53"/>
      <c r="Z765" s="54"/>
      <c r="AA765" s="54"/>
      <c r="AB765" s="54"/>
    </row>
    <row r="766">
      <c r="A766" s="52"/>
      <c r="H766" s="53"/>
      <c r="M766" s="53"/>
      <c r="T766" s="53"/>
      <c r="Z766" s="54"/>
      <c r="AA766" s="54"/>
      <c r="AB766" s="54"/>
    </row>
    <row r="767">
      <c r="A767" s="52"/>
      <c r="H767" s="53"/>
      <c r="M767" s="53"/>
      <c r="T767" s="53"/>
      <c r="Z767" s="54"/>
      <c r="AA767" s="54"/>
      <c r="AB767" s="54"/>
    </row>
    <row r="768">
      <c r="A768" s="52"/>
      <c r="H768" s="53"/>
      <c r="M768" s="53"/>
      <c r="T768" s="53"/>
      <c r="Z768" s="54"/>
      <c r="AA768" s="54"/>
      <c r="AB768" s="54"/>
    </row>
    <row r="769">
      <c r="A769" s="52"/>
      <c r="H769" s="53"/>
      <c r="M769" s="53"/>
      <c r="T769" s="53"/>
      <c r="Z769" s="54"/>
      <c r="AA769" s="54"/>
      <c r="AB769" s="54"/>
    </row>
    <row r="770">
      <c r="A770" s="52"/>
      <c r="H770" s="53"/>
      <c r="M770" s="53"/>
      <c r="T770" s="53"/>
      <c r="Z770" s="54"/>
      <c r="AA770" s="54"/>
      <c r="AB770" s="54"/>
    </row>
    <row r="771">
      <c r="A771" s="52"/>
      <c r="H771" s="53"/>
      <c r="M771" s="53"/>
      <c r="T771" s="53"/>
      <c r="Z771" s="54"/>
      <c r="AA771" s="54"/>
      <c r="AB771" s="54"/>
    </row>
    <row r="772">
      <c r="A772" s="52"/>
      <c r="H772" s="53"/>
      <c r="M772" s="53"/>
      <c r="T772" s="53"/>
      <c r="Z772" s="54"/>
      <c r="AA772" s="54"/>
      <c r="AB772" s="54"/>
    </row>
    <row r="773">
      <c r="A773" s="52"/>
      <c r="H773" s="53"/>
      <c r="M773" s="53"/>
      <c r="T773" s="53"/>
      <c r="Z773" s="54"/>
      <c r="AA773" s="54"/>
      <c r="AB773" s="54"/>
    </row>
    <row r="774">
      <c r="A774" s="52"/>
      <c r="H774" s="53"/>
      <c r="M774" s="53"/>
      <c r="T774" s="53"/>
      <c r="Z774" s="54"/>
      <c r="AA774" s="54"/>
      <c r="AB774" s="54"/>
    </row>
    <row r="775">
      <c r="A775" s="52"/>
      <c r="H775" s="53"/>
      <c r="M775" s="53"/>
      <c r="T775" s="53"/>
      <c r="Z775" s="54"/>
      <c r="AA775" s="54"/>
      <c r="AB775" s="54"/>
    </row>
    <row r="776">
      <c r="A776" s="52"/>
      <c r="H776" s="53"/>
      <c r="M776" s="53"/>
      <c r="T776" s="53"/>
      <c r="Z776" s="54"/>
      <c r="AA776" s="54"/>
      <c r="AB776" s="54"/>
    </row>
    <row r="777">
      <c r="A777" s="52"/>
      <c r="H777" s="53"/>
      <c r="M777" s="53"/>
      <c r="T777" s="53"/>
      <c r="Z777" s="54"/>
      <c r="AA777" s="54"/>
      <c r="AB777" s="54"/>
    </row>
    <row r="778">
      <c r="A778" s="52"/>
      <c r="H778" s="53"/>
      <c r="M778" s="53"/>
      <c r="T778" s="53"/>
      <c r="Z778" s="54"/>
      <c r="AA778" s="54"/>
      <c r="AB778" s="54"/>
    </row>
    <row r="779">
      <c r="A779" s="52"/>
      <c r="H779" s="53"/>
      <c r="M779" s="53"/>
      <c r="T779" s="53"/>
      <c r="Z779" s="54"/>
      <c r="AA779" s="54"/>
      <c r="AB779" s="54"/>
    </row>
    <row r="780">
      <c r="A780" s="52"/>
      <c r="H780" s="53"/>
      <c r="M780" s="53"/>
      <c r="T780" s="53"/>
      <c r="Z780" s="54"/>
      <c r="AA780" s="54"/>
      <c r="AB780" s="54"/>
    </row>
    <row r="781">
      <c r="A781" s="52"/>
      <c r="H781" s="53"/>
      <c r="M781" s="53"/>
      <c r="T781" s="53"/>
      <c r="Z781" s="54"/>
      <c r="AA781" s="54"/>
      <c r="AB781" s="54"/>
    </row>
    <row r="782">
      <c r="A782" s="52"/>
      <c r="H782" s="53"/>
      <c r="M782" s="53"/>
      <c r="T782" s="53"/>
      <c r="Z782" s="54"/>
      <c r="AA782" s="54"/>
      <c r="AB782" s="54"/>
    </row>
    <row r="783">
      <c r="A783" s="52"/>
      <c r="H783" s="53"/>
      <c r="M783" s="53"/>
      <c r="T783" s="53"/>
      <c r="Z783" s="54"/>
      <c r="AA783" s="54"/>
      <c r="AB783" s="54"/>
    </row>
    <row r="784">
      <c r="A784" s="52"/>
      <c r="H784" s="53"/>
      <c r="M784" s="53"/>
      <c r="T784" s="53"/>
      <c r="Z784" s="54"/>
      <c r="AA784" s="54"/>
      <c r="AB784" s="54"/>
    </row>
    <row r="785">
      <c r="A785" s="52"/>
      <c r="H785" s="53"/>
      <c r="M785" s="53"/>
      <c r="T785" s="53"/>
      <c r="Z785" s="54"/>
      <c r="AA785" s="54"/>
      <c r="AB785" s="54"/>
    </row>
    <row r="786">
      <c r="A786" s="52"/>
      <c r="H786" s="53"/>
      <c r="M786" s="53"/>
      <c r="T786" s="53"/>
      <c r="Z786" s="54"/>
      <c r="AA786" s="54"/>
      <c r="AB786" s="54"/>
    </row>
    <row r="787">
      <c r="A787" s="52"/>
      <c r="H787" s="53"/>
      <c r="M787" s="53"/>
      <c r="T787" s="53"/>
      <c r="Z787" s="54"/>
      <c r="AA787" s="54"/>
      <c r="AB787" s="54"/>
    </row>
    <row r="788">
      <c r="A788" s="52"/>
      <c r="H788" s="53"/>
      <c r="M788" s="53"/>
      <c r="T788" s="53"/>
      <c r="Z788" s="54"/>
      <c r="AA788" s="54"/>
      <c r="AB788" s="54"/>
    </row>
    <row r="789">
      <c r="A789" s="52"/>
      <c r="H789" s="53"/>
      <c r="M789" s="53"/>
      <c r="T789" s="53"/>
      <c r="Z789" s="54"/>
      <c r="AA789" s="54"/>
      <c r="AB789" s="54"/>
    </row>
    <row r="790">
      <c r="A790" s="52"/>
      <c r="H790" s="53"/>
      <c r="M790" s="53"/>
      <c r="T790" s="53"/>
      <c r="Z790" s="54"/>
      <c r="AA790" s="54"/>
      <c r="AB790" s="54"/>
    </row>
    <row r="791">
      <c r="A791" s="52"/>
      <c r="H791" s="53"/>
      <c r="M791" s="53"/>
      <c r="T791" s="53"/>
      <c r="Z791" s="54"/>
      <c r="AA791" s="54"/>
      <c r="AB791" s="54"/>
    </row>
    <row r="792">
      <c r="A792" s="52"/>
      <c r="H792" s="53"/>
      <c r="M792" s="53"/>
      <c r="T792" s="53"/>
      <c r="Z792" s="54"/>
      <c r="AA792" s="54"/>
      <c r="AB792" s="54"/>
    </row>
    <row r="793">
      <c r="A793" s="52"/>
      <c r="H793" s="53"/>
      <c r="M793" s="53"/>
      <c r="T793" s="53"/>
      <c r="Z793" s="54"/>
      <c r="AA793" s="54"/>
      <c r="AB793" s="54"/>
    </row>
    <row r="794">
      <c r="A794" s="52"/>
      <c r="H794" s="53"/>
      <c r="M794" s="53"/>
      <c r="T794" s="53"/>
      <c r="Z794" s="54"/>
      <c r="AA794" s="54"/>
      <c r="AB794" s="54"/>
    </row>
    <row r="795">
      <c r="A795" s="52"/>
      <c r="H795" s="53"/>
      <c r="M795" s="53"/>
      <c r="T795" s="53"/>
      <c r="Z795" s="54"/>
      <c r="AA795" s="54"/>
      <c r="AB795" s="54"/>
    </row>
    <row r="796">
      <c r="A796" s="52"/>
      <c r="H796" s="53"/>
      <c r="M796" s="53"/>
      <c r="T796" s="53"/>
      <c r="Z796" s="54"/>
      <c r="AA796" s="54"/>
      <c r="AB796" s="54"/>
    </row>
    <row r="797">
      <c r="A797" s="52"/>
      <c r="H797" s="53"/>
      <c r="M797" s="53"/>
      <c r="T797" s="53"/>
      <c r="Z797" s="54"/>
      <c r="AA797" s="54"/>
      <c r="AB797" s="54"/>
    </row>
    <row r="798">
      <c r="A798" s="52"/>
      <c r="H798" s="53"/>
      <c r="M798" s="53"/>
      <c r="T798" s="53"/>
      <c r="Z798" s="54"/>
      <c r="AA798" s="54"/>
      <c r="AB798" s="54"/>
    </row>
    <row r="799">
      <c r="A799" s="52"/>
      <c r="H799" s="53"/>
      <c r="M799" s="53"/>
      <c r="T799" s="53"/>
      <c r="Z799" s="54"/>
      <c r="AA799" s="54"/>
      <c r="AB799" s="54"/>
    </row>
    <row r="800">
      <c r="A800" s="52"/>
      <c r="H800" s="53"/>
      <c r="M800" s="53"/>
      <c r="T800" s="53"/>
      <c r="Z800" s="54"/>
      <c r="AA800" s="54"/>
      <c r="AB800" s="54"/>
    </row>
    <row r="801">
      <c r="A801" s="52"/>
      <c r="H801" s="53"/>
      <c r="M801" s="53"/>
      <c r="T801" s="53"/>
      <c r="Z801" s="54"/>
      <c r="AA801" s="54"/>
      <c r="AB801" s="54"/>
    </row>
    <row r="802">
      <c r="A802" s="52"/>
      <c r="H802" s="53"/>
      <c r="M802" s="53"/>
      <c r="T802" s="53"/>
      <c r="Z802" s="54"/>
      <c r="AA802" s="54"/>
      <c r="AB802" s="54"/>
    </row>
    <row r="803">
      <c r="A803" s="52"/>
      <c r="H803" s="53"/>
      <c r="M803" s="53"/>
      <c r="T803" s="53"/>
      <c r="Z803" s="54"/>
      <c r="AA803" s="54"/>
      <c r="AB803" s="54"/>
    </row>
    <row r="804">
      <c r="A804" s="52"/>
      <c r="H804" s="53"/>
      <c r="M804" s="53"/>
      <c r="T804" s="53"/>
      <c r="Z804" s="54"/>
      <c r="AA804" s="54"/>
      <c r="AB804" s="54"/>
    </row>
    <row r="805">
      <c r="A805" s="52"/>
      <c r="H805" s="53"/>
      <c r="M805" s="53"/>
      <c r="T805" s="53"/>
      <c r="Z805" s="54"/>
      <c r="AA805" s="54"/>
      <c r="AB805" s="54"/>
    </row>
    <row r="806">
      <c r="A806" s="52"/>
      <c r="H806" s="53"/>
      <c r="M806" s="53"/>
      <c r="T806" s="53"/>
      <c r="Z806" s="54"/>
      <c r="AA806" s="54"/>
      <c r="AB806" s="54"/>
    </row>
    <row r="807">
      <c r="A807" s="52"/>
      <c r="H807" s="53"/>
      <c r="M807" s="53"/>
      <c r="T807" s="53"/>
      <c r="Z807" s="54"/>
      <c r="AA807" s="54"/>
      <c r="AB807" s="54"/>
    </row>
    <row r="808">
      <c r="A808" s="52"/>
      <c r="H808" s="53"/>
      <c r="M808" s="53"/>
      <c r="T808" s="53"/>
      <c r="Z808" s="54"/>
      <c r="AA808" s="54"/>
      <c r="AB808" s="54"/>
    </row>
    <row r="809">
      <c r="A809" s="52"/>
      <c r="H809" s="53"/>
      <c r="M809" s="53"/>
      <c r="T809" s="53"/>
      <c r="Z809" s="54"/>
      <c r="AA809" s="54"/>
      <c r="AB809" s="54"/>
    </row>
    <row r="810">
      <c r="A810" s="52"/>
      <c r="H810" s="53"/>
      <c r="M810" s="53"/>
      <c r="T810" s="53"/>
      <c r="Z810" s="54"/>
      <c r="AA810" s="54"/>
      <c r="AB810" s="54"/>
    </row>
    <row r="811">
      <c r="A811" s="52"/>
      <c r="H811" s="53"/>
      <c r="M811" s="53"/>
      <c r="T811" s="53"/>
      <c r="Z811" s="54"/>
      <c r="AA811" s="54"/>
      <c r="AB811" s="54"/>
    </row>
    <row r="812">
      <c r="A812" s="52"/>
      <c r="H812" s="53"/>
      <c r="M812" s="53"/>
      <c r="T812" s="53"/>
      <c r="Z812" s="54"/>
      <c r="AA812" s="54"/>
      <c r="AB812" s="54"/>
    </row>
    <row r="813">
      <c r="A813" s="52"/>
      <c r="H813" s="53"/>
      <c r="M813" s="53"/>
      <c r="T813" s="53"/>
      <c r="Z813" s="54"/>
      <c r="AA813" s="54"/>
      <c r="AB813" s="54"/>
    </row>
    <row r="814">
      <c r="A814" s="52"/>
      <c r="H814" s="53"/>
      <c r="M814" s="53"/>
      <c r="T814" s="53"/>
      <c r="Z814" s="54"/>
      <c r="AA814" s="54"/>
      <c r="AB814" s="54"/>
    </row>
    <row r="815">
      <c r="A815" s="52"/>
      <c r="H815" s="53"/>
      <c r="M815" s="53"/>
      <c r="T815" s="53"/>
      <c r="Z815" s="54"/>
      <c r="AA815" s="54"/>
      <c r="AB815" s="54"/>
    </row>
    <row r="816">
      <c r="A816" s="52"/>
      <c r="H816" s="53"/>
      <c r="M816" s="53"/>
      <c r="T816" s="53"/>
      <c r="Z816" s="54"/>
      <c r="AA816" s="54"/>
      <c r="AB816" s="54"/>
    </row>
    <row r="817">
      <c r="A817" s="52"/>
      <c r="H817" s="53"/>
      <c r="M817" s="53"/>
      <c r="T817" s="53"/>
      <c r="Z817" s="54"/>
      <c r="AA817" s="54"/>
      <c r="AB817" s="54"/>
    </row>
    <row r="818">
      <c r="A818" s="52"/>
      <c r="H818" s="53"/>
      <c r="M818" s="53"/>
      <c r="T818" s="53"/>
      <c r="Z818" s="54"/>
      <c r="AA818" s="54"/>
      <c r="AB818" s="54"/>
    </row>
    <row r="819">
      <c r="A819" s="52"/>
      <c r="H819" s="53"/>
      <c r="M819" s="53"/>
      <c r="T819" s="53"/>
      <c r="Z819" s="54"/>
      <c r="AA819" s="54"/>
      <c r="AB819" s="54"/>
    </row>
    <row r="820">
      <c r="A820" s="52"/>
      <c r="H820" s="53"/>
      <c r="M820" s="53"/>
      <c r="T820" s="53"/>
      <c r="Z820" s="54"/>
      <c r="AA820" s="54"/>
      <c r="AB820" s="54"/>
    </row>
    <row r="821">
      <c r="A821" s="52"/>
      <c r="H821" s="53"/>
      <c r="M821" s="53"/>
      <c r="T821" s="53"/>
      <c r="Z821" s="54"/>
      <c r="AA821" s="54"/>
      <c r="AB821" s="54"/>
    </row>
    <row r="822">
      <c r="A822" s="52"/>
      <c r="H822" s="53"/>
      <c r="M822" s="53"/>
      <c r="T822" s="53"/>
      <c r="Z822" s="54"/>
      <c r="AA822" s="54"/>
      <c r="AB822" s="54"/>
    </row>
    <row r="823">
      <c r="A823" s="52"/>
      <c r="H823" s="53"/>
      <c r="M823" s="53"/>
      <c r="T823" s="53"/>
      <c r="Z823" s="54"/>
      <c r="AA823" s="54"/>
      <c r="AB823" s="54"/>
    </row>
    <row r="824">
      <c r="A824" s="52"/>
      <c r="H824" s="53"/>
      <c r="M824" s="53"/>
      <c r="T824" s="53"/>
      <c r="Z824" s="54"/>
      <c r="AA824" s="54"/>
      <c r="AB824" s="54"/>
    </row>
    <row r="825">
      <c r="A825" s="52"/>
      <c r="H825" s="53"/>
      <c r="M825" s="53"/>
      <c r="T825" s="53"/>
      <c r="Z825" s="54"/>
      <c r="AA825" s="54"/>
      <c r="AB825" s="54"/>
    </row>
    <row r="826">
      <c r="A826" s="52"/>
      <c r="H826" s="53"/>
      <c r="M826" s="53"/>
      <c r="T826" s="53"/>
      <c r="Z826" s="54"/>
      <c r="AA826" s="54"/>
      <c r="AB826" s="54"/>
    </row>
    <row r="827">
      <c r="A827" s="52"/>
      <c r="H827" s="53"/>
      <c r="M827" s="53"/>
      <c r="T827" s="53"/>
      <c r="Z827" s="54"/>
      <c r="AA827" s="54"/>
      <c r="AB827" s="54"/>
    </row>
    <row r="828">
      <c r="A828" s="52"/>
      <c r="H828" s="53"/>
      <c r="M828" s="53"/>
      <c r="T828" s="53"/>
      <c r="Z828" s="54"/>
      <c r="AA828" s="54"/>
      <c r="AB828" s="54"/>
    </row>
    <row r="829">
      <c r="A829" s="52"/>
      <c r="H829" s="53"/>
      <c r="M829" s="53"/>
      <c r="T829" s="53"/>
      <c r="Z829" s="54"/>
      <c r="AA829" s="54"/>
      <c r="AB829" s="54"/>
    </row>
    <row r="830">
      <c r="A830" s="52"/>
      <c r="H830" s="53"/>
      <c r="M830" s="53"/>
      <c r="T830" s="53"/>
      <c r="Z830" s="54"/>
      <c r="AA830" s="54"/>
      <c r="AB830" s="54"/>
    </row>
    <row r="831">
      <c r="A831" s="52"/>
      <c r="H831" s="53"/>
      <c r="M831" s="53"/>
      <c r="T831" s="53"/>
      <c r="Z831" s="54"/>
      <c r="AA831" s="54"/>
      <c r="AB831" s="54"/>
    </row>
    <row r="832">
      <c r="A832" s="52"/>
      <c r="H832" s="53"/>
      <c r="M832" s="53"/>
      <c r="T832" s="53"/>
      <c r="Z832" s="54"/>
      <c r="AA832" s="54"/>
      <c r="AB832" s="54"/>
    </row>
    <row r="833">
      <c r="A833" s="52"/>
      <c r="H833" s="53"/>
      <c r="M833" s="53"/>
      <c r="T833" s="53"/>
      <c r="Z833" s="54"/>
      <c r="AA833" s="54"/>
      <c r="AB833" s="54"/>
    </row>
    <row r="834">
      <c r="A834" s="52"/>
      <c r="H834" s="53"/>
      <c r="M834" s="53"/>
      <c r="T834" s="53"/>
      <c r="Z834" s="54"/>
      <c r="AA834" s="54"/>
      <c r="AB834" s="54"/>
    </row>
    <row r="835">
      <c r="A835" s="52"/>
      <c r="H835" s="53"/>
      <c r="M835" s="53"/>
      <c r="T835" s="53"/>
      <c r="Z835" s="54"/>
      <c r="AA835" s="54"/>
      <c r="AB835" s="54"/>
    </row>
    <row r="836">
      <c r="A836" s="52"/>
      <c r="H836" s="53"/>
      <c r="M836" s="53"/>
      <c r="T836" s="53"/>
      <c r="Z836" s="54"/>
      <c r="AA836" s="54"/>
      <c r="AB836" s="54"/>
    </row>
    <row r="837">
      <c r="A837" s="52"/>
      <c r="H837" s="53"/>
      <c r="M837" s="53"/>
      <c r="T837" s="53"/>
      <c r="Z837" s="54"/>
      <c r="AA837" s="54"/>
      <c r="AB837" s="54"/>
    </row>
    <row r="838">
      <c r="A838" s="52"/>
      <c r="H838" s="53"/>
      <c r="M838" s="53"/>
      <c r="T838" s="53"/>
      <c r="Z838" s="54"/>
      <c r="AA838" s="54"/>
      <c r="AB838" s="54"/>
    </row>
    <row r="839">
      <c r="A839" s="52"/>
      <c r="H839" s="53"/>
      <c r="M839" s="53"/>
      <c r="T839" s="53"/>
      <c r="Z839" s="54"/>
      <c r="AA839" s="54"/>
      <c r="AB839" s="54"/>
    </row>
    <row r="840">
      <c r="A840" s="52"/>
      <c r="H840" s="53"/>
      <c r="M840" s="53"/>
      <c r="T840" s="53"/>
      <c r="Z840" s="54"/>
      <c r="AA840" s="54"/>
      <c r="AB840" s="54"/>
    </row>
    <row r="841">
      <c r="A841" s="52"/>
      <c r="H841" s="53"/>
      <c r="M841" s="53"/>
      <c r="T841" s="53"/>
      <c r="Z841" s="54"/>
      <c r="AA841" s="54"/>
      <c r="AB841" s="54"/>
    </row>
    <row r="842">
      <c r="A842" s="52"/>
      <c r="H842" s="53"/>
      <c r="M842" s="53"/>
      <c r="T842" s="53"/>
      <c r="Z842" s="54"/>
      <c r="AA842" s="54"/>
      <c r="AB842" s="54"/>
    </row>
    <row r="843">
      <c r="A843" s="52"/>
      <c r="H843" s="53"/>
      <c r="M843" s="53"/>
      <c r="T843" s="53"/>
      <c r="Z843" s="54"/>
      <c r="AA843" s="54"/>
      <c r="AB843" s="54"/>
    </row>
    <row r="844">
      <c r="A844" s="52"/>
      <c r="H844" s="53"/>
      <c r="M844" s="53"/>
      <c r="T844" s="53"/>
      <c r="Z844" s="54"/>
      <c r="AA844" s="54"/>
      <c r="AB844" s="54"/>
    </row>
    <row r="845">
      <c r="A845" s="52"/>
      <c r="H845" s="53"/>
      <c r="M845" s="53"/>
      <c r="T845" s="53"/>
      <c r="Z845" s="54"/>
      <c r="AA845" s="54"/>
      <c r="AB845" s="54"/>
    </row>
    <row r="846">
      <c r="A846" s="52"/>
      <c r="H846" s="53"/>
      <c r="M846" s="53"/>
      <c r="T846" s="53"/>
      <c r="Z846" s="54"/>
      <c r="AA846" s="54"/>
      <c r="AB846" s="54"/>
    </row>
    <row r="847">
      <c r="A847" s="52"/>
      <c r="H847" s="53"/>
      <c r="M847" s="53"/>
      <c r="T847" s="53"/>
      <c r="Z847" s="54"/>
      <c r="AA847" s="54"/>
      <c r="AB847" s="54"/>
    </row>
    <row r="848">
      <c r="A848" s="52"/>
      <c r="H848" s="53"/>
      <c r="M848" s="53"/>
      <c r="T848" s="53"/>
      <c r="Z848" s="54"/>
      <c r="AA848" s="54"/>
      <c r="AB848" s="54"/>
    </row>
    <row r="849">
      <c r="A849" s="52"/>
      <c r="H849" s="53"/>
      <c r="M849" s="53"/>
      <c r="T849" s="53"/>
      <c r="Z849" s="54"/>
      <c r="AA849" s="54"/>
      <c r="AB849" s="54"/>
    </row>
    <row r="850">
      <c r="A850" s="52"/>
      <c r="H850" s="53"/>
      <c r="M850" s="53"/>
      <c r="T850" s="53"/>
      <c r="Z850" s="54"/>
      <c r="AA850" s="54"/>
      <c r="AB850" s="54"/>
    </row>
    <row r="851">
      <c r="A851" s="52"/>
      <c r="H851" s="53"/>
      <c r="M851" s="53"/>
      <c r="T851" s="53"/>
      <c r="Z851" s="54"/>
      <c r="AA851" s="54"/>
      <c r="AB851" s="54"/>
    </row>
    <row r="852">
      <c r="A852" s="52"/>
      <c r="H852" s="53"/>
      <c r="M852" s="53"/>
      <c r="T852" s="53"/>
      <c r="Z852" s="54"/>
      <c r="AA852" s="54"/>
      <c r="AB852" s="54"/>
    </row>
    <row r="853">
      <c r="A853" s="52"/>
      <c r="H853" s="53"/>
      <c r="M853" s="53"/>
      <c r="T853" s="53"/>
      <c r="Z853" s="54"/>
      <c r="AA853" s="54"/>
      <c r="AB853" s="54"/>
    </row>
    <row r="854">
      <c r="A854" s="52"/>
      <c r="H854" s="53"/>
      <c r="M854" s="53"/>
      <c r="T854" s="53"/>
      <c r="Z854" s="54"/>
      <c r="AA854" s="54"/>
      <c r="AB854" s="54"/>
    </row>
    <row r="855">
      <c r="A855" s="52"/>
      <c r="H855" s="53"/>
      <c r="M855" s="53"/>
      <c r="T855" s="53"/>
      <c r="Z855" s="54"/>
      <c r="AA855" s="54"/>
      <c r="AB855" s="54"/>
    </row>
    <row r="856">
      <c r="A856" s="52"/>
      <c r="H856" s="53"/>
      <c r="M856" s="53"/>
      <c r="T856" s="53"/>
      <c r="Z856" s="54"/>
      <c r="AA856" s="54"/>
      <c r="AB856" s="54"/>
    </row>
    <row r="857">
      <c r="A857" s="52"/>
      <c r="H857" s="53"/>
      <c r="M857" s="53"/>
      <c r="T857" s="53"/>
      <c r="Z857" s="54"/>
      <c r="AA857" s="54"/>
      <c r="AB857" s="54"/>
    </row>
    <row r="858">
      <c r="A858" s="52"/>
      <c r="H858" s="53"/>
      <c r="M858" s="53"/>
      <c r="T858" s="53"/>
      <c r="Z858" s="54"/>
      <c r="AA858" s="54"/>
      <c r="AB858" s="54"/>
    </row>
    <row r="859">
      <c r="A859" s="52"/>
      <c r="H859" s="53"/>
      <c r="M859" s="53"/>
      <c r="T859" s="53"/>
      <c r="Z859" s="54"/>
      <c r="AA859" s="54"/>
      <c r="AB859" s="54"/>
    </row>
    <row r="860">
      <c r="A860" s="52"/>
      <c r="H860" s="53"/>
      <c r="M860" s="53"/>
      <c r="T860" s="53"/>
      <c r="Z860" s="54"/>
      <c r="AA860" s="54"/>
      <c r="AB860" s="54"/>
    </row>
    <row r="861">
      <c r="A861" s="52"/>
      <c r="H861" s="53"/>
      <c r="M861" s="53"/>
      <c r="T861" s="53"/>
      <c r="Z861" s="54"/>
      <c r="AA861" s="54"/>
      <c r="AB861" s="54"/>
    </row>
    <row r="862">
      <c r="A862" s="52"/>
      <c r="H862" s="53"/>
      <c r="M862" s="53"/>
      <c r="T862" s="53"/>
      <c r="Z862" s="54"/>
      <c r="AA862" s="54"/>
      <c r="AB862" s="54"/>
    </row>
    <row r="863">
      <c r="A863" s="52"/>
      <c r="H863" s="53"/>
      <c r="M863" s="53"/>
      <c r="T863" s="53"/>
      <c r="Z863" s="54"/>
      <c r="AA863" s="54"/>
      <c r="AB863" s="54"/>
    </row>
    <row r="864">
      <c r="A864" s="52"/>
      <c r="H864" s="53"/>
      <c r="M864" s="53"/>
      <c r="T864" s="53"/>
      <c r="Z864" s="54"/>
      <c r="AA864" s="54"/>
      <c r="AB864" s="54"/>
    </row>
    <row r="865">
      <c r="A865" s="52"/>
      <c r="H865" s="53"/>
      <c r="M865" s="53"/>
      <c r="T865" s="53"/>
      <c r="Z865" s="54"/>
      <c r="AA865" s="54"/>
      <c r="AB865" s="54"/>
    </row>
    <row r="866">
      <c r="A866" s="52"/>
      <c r="H866" s="53"/>
      <c r="M866" s="53"/>
      <c r="T866" s="53"/>
      <c r="Z866" s="54"/>
      <c r="AA866" s="54"/>
      <c r="AB866" s="54"/>
    </row>
    <row r="867">
      <c r="A867" s="52"/>
      <c r="H867" s="53"/>
      <c r="M867" s="53"/>
      <c r="T867" s="53"/>
      <c r="Z867" s="54"/>
      <c r="AA867" s="54"/>
      <c r="AB867" s="54"/>
    </row>
    <row r="868">
      <c r="A868" s="52"/>
      <c r="H868" s="53"/>
      <c r="M868" s="53"/>
      <c r="T868" s="53"/>
      <c r="Z868" s="54"/>
      <c r="AA868" s="54"/>
      <c r="AB868" s="54"/>
    </row>
    <row r="869">
      <c r="A869" s="52"/>
      <c r="H869" s="53"/>
      <c r="M869" s="53"/>
      <c r="T869" s="53"/>
      <c r="Z869" s="54"/>
      <c r="AA869" s="54"/>
      <c r="AB869" s="54"/>
    </row>
    <row r="870">
      <c r="A870" s="52"/>
      <c r="H870" s="53"/>
      <c r="M870" s="53"/>
      <c r="T870" s="53"/>
      <c r="Z870" s="54"/>
      <c r="AA870" s="54"/>
      <c r="AB870" s="54"/>
    </row>
    <row r="871">
      <c r="A871" s="52"/>
      <c r="H871" s="53"/>
      <c r="M871" s="53"/>
      <c r="T871" s="53"/>
      <c r="Z871" s="54"/>
      <c r="AA871" s="54"/>
      <c r="AB871" s="54"/>
    </row>
    <row r="872">
      <c r="A872" s="52"/>
      <c r="H872" s="53"/>
      <c r="M872" s="53"/>
      <c r="T872" s="53"/>
      <c r="Z872" s="54"/>
      <c r="AA872" s="54"/>
      <c r="AB872" s="54"/>
    </row>
    <row r="873">
      <c r="A873" s="52"/>
      <c r="H873" s="53"/>
      <c r="M873" s="53"/>
      <c r="T873" s="53"/>
      <c r="Z873" s="54"/>
      <c r="AA873" s="54"/>
      <c r="AB873" s="54"/>
    </row>
    <row r="874">
      <c r="A874" s="52"/>
      <c r="H874" s="53"/>
      <c r="M874" s="53"/>
      <c r="T874" s="53"/>
      <c r="Z874" s="54"/>
      <c r="AA874" s="54"/>
      <c r="AB874" s="54"/>
    </row>
    <row r="875">
      <c r="A875" s="52"/>
      <c r="H875" s="53"/>
      <c r="M875" s="53"/>
      <c r="T875" s="53"/>
      <c r="Z875" s="54"/>
      <c r="AA875" s="54"/>
      <c r="AB875" s="54"/>
    </row>
    <row r="876">
      <c r="A876" s="52"/>
      <c r="H876" s="53"/>
      <c r="M876" s="53"/>
      <c r="T876" s="53"/>
      <c r="Z876" s="54"/>
      <c r="AA876" s="54"/>
      <c r="AB876" s="54"/>
    </row>
    <row r="877">
      <c r="A877" s="52"/>
      <c r="H877" s="53"/>
      <c r="M877" s="53"/>
      <c r="T877" s="53"/>
      <c r="Z877" s="54"/>
      <c r="AA877" s="54"/>
      <c r="AB877" s="54"/>
    </row>
    <row r="878">
      <c r="A878" s="52"/>
      <c r="H878" s="53"/>
      <c r="M878" s="53"/>
      <c r="T878" s="53"/>
      <c r="Z878" s="54"/>
      <c r="AA878" s="54"/>
      <c r="AB878" s="54"/>
    </row>
    <row r="879">
      <c r="A879" s="52"/>
      <c r="H879" s="53"/>
      <c r="M879" s="53"/>
      <c r="T879" s="53"/>
      <c r="Z879" s="54"/>
      <c r="AA879" s="54"/>
      <c r="AB879" s="54"/>
    </row>
    <row r="880">
      <c r="A880" s="52"/>
      <c r="H880" s="53"/>
      <c r="M880" s="53"/>
      <c r="T880" s="53"/>
      <c r="Z880" s="54"/>
      <c r="AA880" s="54"/>
      <c r="AB880" s="54"/>
    </row>
    <row r="881">
      <c r="A881" s="52"/>
      <c r="H881" s="53"/>
      <c r="M881" s="53"/>
      <c r="T881" s="53"/>
      <c r="Z881" s="54"/>
      <c r="AA881" s="54"/>
      <c r="AB881" s="54"/>
    </row>
    <row r="882">
      <c r="A882" s="52"/>
      <c r="H882" s="53"/>
      <c r="M882" s="53"/>
      <c r="T882" s="53"/>
      <c r="Z882" s="54"/>
      <c r="AA882" s="54"/>
      <c r="AB882" s="54"/>
    </row>
    <row r="883">
      <c r="A883" s="52"/>
      <c r="H883" s="53"/>
      <c r="M883" s="53"/>
      <c r="T883" s="53"/>
      <c r="Z883" s="54"/>
      <c r="AA883" s="54"/>
      <c r="AB883" s="54"/>
    </row>
    <row r="884">
      <c r="A884" s="52"/>
      <c r="H884" s="53"/>
      <c r="M884" s="53"/>
      <c r="T884" s="53"/>
      <c r="Z884" s="54"/>
      <c r="AA884" s="54"/>
      <c r="AB884" s="54"/>
    </row>
    <row r="885">
      <c r="A885" s="52"/>
      <c r="H885" s="53"/>
      <c r="M885" s="53"/>
      <c r="T885" s="53"/>
      <c r="Z885" s="54"/>
      <c r="AA885" s="54"/>
      <c r="AB885" s="54"/>
    </row>
    <row r="886">
      <c r="A886" s="52"/>
      <c r="H886" s="53"/>
      <c r="M886" s="53"/>
      <c r="T886" s="53"/>
      <c r="Z886" s="54"/>
      <c r="AA886" s="54"/>
      <c r="AB886" s="54"/>
    </row>
    <row r="887">
      <c r="A887" s="52"/>
      <c r="H887" s="53"/>
      <c r="M887" s="53"/>
      <c r="T887" s="53"/>
      <c r="Z887" s="54"/>
      <c r="AA887" s="54"/>
      <c r="AB887" s="54"/>
    </row>
    <row r="888">
      <c r="A888" s="52"/>
      <c r="H888" s="53"/>
      <c r="M888" s="53"/>
      <c r="T888" s="53"/>
      <c r="Z888" s="54"/>
      <c r="AA888" s="54"/>
      <c r="AB888" s="54"/>
    </row>
    <row r="889">
      <c r="A889" s="52"/>
      <c r="H889" s="53"/>
      <c r="M889" s="53"/>
      <c r="T889" s="53"/>
      <c r="Z889" s="54"/>
      <c r="AA889" s="54"/>
      <c r="AB889" s="54"/>
    </row>
    <row r="890">
      <c r="A890" s="52"/>
      <c r="H890" s="53"/>
      <c r="M890" s="53"/>
      <c r="T890" s="53"/>
      <c r="Z890" s="54"/>
      <c r="AA890" s="54"/>
      <c r="AB890" s="54"/>
    </row>
    <row r="891">
      <c r="A891" s="52"/>
      <c r="H891" s="53"/>
      <c r="M891" s="53"/>
      <c r="T891" s="53"/>
      <c r="Z891" s="54"/>
      <c r="AA891" s="54"/>
      <c r="AB891" s="54"/>
    </row>
    <row r="892">
      <c r="A892" s="52"/>
      <c r="H892" s="53"/>
      <c r="M892" s="53"/>
      <c r="T892" s="53"/>
      <c r="Z892" s="54"/>
      <c r="AA892" s="54"/>
      <c r="AB892" s="54"/>
    </row>
    <row r="893">
      <c r="A893" s="52"/>
      <c r="H893" s="53"/>
      <c r="M893" s="53"/>
      <c r="T893" s="53"/>
      <c r="Z893" s="54"/>
      <c r="AA893" s="54"/>
      <c r="AB893" s="54"/>
    </row>
    <row r="894">
      <c r="A894" s="52"/>
      <c r="H894" s="53"/>
      <c r="M894" s="53"/>
      <c r="T894" s="53"/>
      <c r="Z894" s="54"/>
      <c r="AA894" s="54"/>
      <c r="AB894" s="54"/>
    </row>
    <row r="895">
      <c r="A895" s="52"/>
      <c r="H895" s="53"/>
      <c r="M895" s="53"/>
      <c r="T895" s="53"/>
      <c r="Z895" s="54"/>
      <c r="AA895" s="54"/>
      <c r="AB895" s="54"/>
    </row>
    <row r="896">
      <c r="A896" s="52"/>
      <c r="H896" s="53"/>
      <c r="M896" s="53"/>
      <c r="T896" s="53"/>
      <c r="Z896" s="54"/>
      <c r="AA896" s="54"/>
      <c r="AB896" s="54"/>
    </row>
    <row r="897">
      <c r="A897" s="52"/>
      <c r="H897" s="53"/>
      <c r="M897" s="53"/>
      <c r="T897" s="53"/>
      <c r="Z897" s="54"/>
      <c r="AA897" s="54"/>
      <c r="AB897" s="54"/>
    </row>
    <row r="898">
      <c r="A898" s="52"/>
      <c r="H898" s="53"/>
      <c r="M898" s="53"/>
      <c r="T898" s="53"/>
      <c r="Z898" s="54"/>
      <c r="AA898" s="54"/>
      <c r="AB898" s="54"/>
    </row>
    <row r="899">
      <c r="A899" s="52"/>
      <c r="H899" s="53"/>
      <c r="M899" s="53"/>
      <c r="T899" s="53"/>
      <c r="Z899" s="54"/>
      <c r="AA899" s="54"/>
      <c r="AB899" s="54"/>
    </row>
    <row r="900">
      <c r="A900" s="52"/>
      <c r="H900" s="53"/>
      <c r="M900" s="53"/>
      <c r="T900" s="53"/>
      <c r="Z900" s="54"/>
      <c r="AA900" s="54"/>
      <c r="AB900" s="54"/>
    </row>
    <row r="901">
      <c r="A901" s="52"/>
      <c r="H901" s="53"/>
      <c r="M901" s="53"/>
      <c r="T901" s="53"/>
      <c r="Z901" s="54"/>
      <c r="AA901" s="54"/>
      <c r="AB901" s="54"/>
    </row>
    <row r="902">
      <c r="A902" s="52"/>
      <c r="H902" s="53"/>
      <c r="M902" s="53"/>
      <c r="T902" s="53"/>
      <c r="Z902" s="54"/>
      <c r="AA902" s="54"/>
      <c r="AB902" s="54"/>
    </row>
    <row r="903">
      <c r="A903" s="52"/>
      <c r="H903" s="53"/>
      <c r="M903" s="53"/>
      <c r="T903" s="53"/>
      <c r="Z903" s="54"/>
      <c r="AA903" s="54"/>
      <c r="AB903" s="54"/>
    </row>
    <row r="904">
      <c r="A904" s="52"/>
      <c r="H904" s="53"/>
      <c r="M904" s="53"/>
      <c r="T904" s="53"/>
      <c r="Z904" s="54"/>
      <c r="AA904" s="54"/>
      <c r="AB904" s="54"/>
    </row>
    <row r="905">
      <c r="A905" s="52"/>
      <c r="H905" s="53"/>
      <c r="M905" s="53"/>
      <c r="T905" s="53"/>
      <c r="Z905" s="54"/>
      <c r="AA905" s="54"/>
      <c r="AB905" s="54"/>
    </row>
    <row r="906">
      <c r="A906" s="52"/>
      <c r="H906" s="53"/>
      <c r="M906" s="53"/>
      <c r="T906" s="53"/>
      <c r="Z906" s="54"/>
      <c r="AA906" s="54"/>
      <c r="AB906" s="54"/>
    </row>
    <row r="907">
      <c r="A907" s="52"/>
      <c r="H907" s="53"/>
      <c r="M907" s="53"/>
      <c r="T907" s="53"/>
      <c r="Z907" s="54"/>
      <c r="AA907" s="54"/>
      <c r="AB907" s="54"/>
    </row>
    <row r="908">
      <c r="A908" s="52"/>
      <c r="H908" s="53"/>
      <c r="M908" s="53"/>
      <c r="T908" s="53"/>
      <c r="Z908" s="54"/>
      <c r="AA908" s="54"/>
      <c r="AB908" s="54"/>
    </row>
    <row r="909">
      <c r="A909" s="52"/>
      <c r="H909" s="53"/>
      <c r="M909" s="53"/>
      <c r="T909" s="53"/>
      <c r="Z909" s="54"/>
      <c r="AA909" s="54"/>
      <c r="AB909" s="54"/>
    </row>
    <row r="910">
      <c r="A910" s="52"/>
      <c r="H910" s="53"/>
      <c r="M910" s="53"/>
      <c r="T910" s="53"/>
      <c r="Z910" s="54"/>
      <c r="AA910" s="54"/>
      <c r="AB910" s="54"/>
    </row>
    <row r="911">
      <c r="A911" s="52"/>
      <c r="H911" s="53"/>
      <c r="M911" s="53"/>
      <c r="T911" s="53"/>
      <c r="Z911" s="54"/>
      <c r="AA911" s="54"/>
      <c r="AB911" s="54"/>
    </row>
    <row r="912">
      <c r="A912" s="52"/>
      <c r="H912" s="53"/>
      <c r="M912" s="53"/>
      <c r="T912" s="53"/>
      <c r="Z912" s="54"/>
      <c r="AA912" s="54"/>
      <c r="AB912" s="54"/>
    </row>
    <row r="913">
      <c r="A913" s="52"/>
      <c r="H913" s="53"/>
      <c r="M913" s="53"/>
      <c r="T913" s="53"/>
      <c r="Z913" s="54"/>
      <c r="AA913" s="54"/>
      <c r="AB913" s="54"/>
    </row>
    <row r="914">
      <c r="A914" s="52"/>
      <c r="H914" s="53"/>
      <c r="M914" s="53"/>
      <c r="T914" s="53"/>
      <c r="Z914" s="54"/>
      <c r="AA914" s="54"/>
      <c r="AB914" s="54"/>
    </row>
    <row r="915">
      <c r="A915" s="52"/>
      <c r="H915" s="53"/>
      <c r="M915" s="53"/>
      <c r="T915" s="53"/>
      <c r="Z915" s="54"/>
      <c r="AA915" s="54"/>
      <c r="AB915" s="54"/>
    </row>
    <row r="916">
      <c r="A916" s="52"/>
      <c r="H916" s="53"/>
      <c r="M916" s="53"/>
      <c r="T916" s="53"/>
      <c r="Z916" s="54"/>
      <c r="AA916" s="54"/>
      <c r="AB916" s="54"/>
    </row>
    <row r="917">
      <c r="A917" s="52"/>
      <c r="H917" s="53"/>
      <c r="M917" s="53"/>
      <c r="T917" s="53"/>
      <c r="Z917" s="54"/>
      <c r="AA917" s="54"/>
      <c r="AB917" s="54"/>
    </row>
    <row r="918">
      <c r="A918" s="52"/>
      <c r="H918" s="53"/>
      <c r="M918" s="53"/>
      <c r="T918" s="53"/>
      <c r="Z918" s="54"/>
      <c r="AA918" s="54"/>
      <c r="AB918" s="54"/>
    </row>
    <row r="919">
      <c r="A919" s="52"/>
      <c r="H919" s="53"/>
      <c r="M919" s="53"/>
      <c r="T919" s="53"/>
      <c r="Z919" s="54"/>
      <c r="AA919" s="54"/>
      <c r="AB919" s="54"/>
    </row>
    <row r="920">
      <c r="A920" s="52"/>
      <c r="H920" s="53"/>
      <c r="M920" s="53"/>
      <c r="T920" s="53"/>
      <c r="Z920" s="54"/>
      <c r="AA920" s="54"/>
      <c r="AB920" s="54"/>
    </row>
    <row r="921">
      <c r="A921" s="52"/>
      <c r="H921" s="53"/>
      <c r="M921" s="53"/>
      <c r="T921" s="53"/>
      <c r="Z921" s="54"/>
      <c r="AA921" s="54"/>
      <c r="AB921" s="54"/>
    </row>
    <row r="922">
      <c r="A922" s="52"/>
      <c r="H922" s="53"/>
      <c r="M922" s="53"/>
      <c r="T922" s="53"/>
      <c r="Z922" s="54"/>
      <c r="AA922" s="54"/>
      <c r="AB922" s="54"/>
    </row>
    <row r="923">
      <c r="A923" s="52"/>
      <c r="H923" s="53"/>
      <c r="M923" s="53"/>
      <c r="T923" s="53"/>
      <c r="Z923" s="54"/>
      <c r="AA923" s="54"/>
      <c r="AB923" s="54"/>
    </row>
    <row r="924">
      <c r="A924" s="52"/>
      <c r="H924" s="53"/>
      <c r="M924" s="53"/>
      <c r="T924" s="53"/>
      <c r="Z924" s="54"/>
      <c r="AA924" s="54"/>
      <c r="AB924" s="54"/>
    </row>
    <row r="925">
      <c r="A925" s="52"/>
      <c r="H925" s="53"/>
      <c r="M925" s="53"/>
      <c r="T925" s="53"/>
      <c r="Z925" s="54"/>
      <c r="AA925" s="54"/>
      <c r="AB925" s="54"/>
    </row>
    <row r="926">
      <c r="A926" s="52"/>
      <c r="H926" s="53"/>
      <c r="M926" s="53"/>
      <c r="T926" s="53"/>
      <c r="Z926" s="54"/>
      <c r="AA926" s="54"/>
      <c r="AB926" s="54"/>
    </row>
    <row r="927">
      <c r="A927" s="52"/>
      <c r="H927" s="53"/>
      <c r="M927" s="53"/>
      <c r="T927" s="53"/>
      <c r="Z927" s="54"/>
      <c r="AA927" s="54"/>
      <c r="AB927" s="54"/>
    </row>
    <row r="928">
      <c r="A928" s="52"/>
      <c r="H928" s="53"/>
      <c r="M928" s="53"/>
      <c r="T928" s="53"/>
      <c r="Z928" s="54"/>
      <c r="AA928" s="54"/>
      <c r="AB928" s="54"/>
    </row>
    <row r="929">
      <c r="A929" s="52"/>
      <c r="H929" s="53"/>
      <c r="M929" s="53"/>
      <c r="T929" s="53"/>
      <c r="Z929" s="54"/>
      <c r="AA929" s="54"/>
      <c r="AB929" s="54"/>
    </row>
    <row r="930">
      <c r="A930" s="52"/>
      <c r="H930" s="53"/>
      <c r="M930" s="53"/>
      <c r="T930" s="53"/>
      <c r="Z930" s="54"/>
      <c r="AA930" s="54"/>
      <c r="AB930" s="54"/>
    </row>
    <row r="931">
      <c r="A931" s="52"/>
      <c r="H931" s="53"/>
      <c r="M931" s="53"/>
      <c r="T931" s="53"/>
      <c r="Z931" s="54"/>
      <c r="AA931" s="54"/>
      <c r="AB931" s="54"/>
    </row>
    <row r="932">
      <c r="A932" s="52"/>
      <c r="H932" s="53"/>
      <c r="M932" s="53"/>
      <c r="T932" s="53"/>
      <c r="Z932" s="54"/>
      <c r="AA932" s="54"/>
      <c r="AB932" s="54"/>
    </row>
    <row r="933">
      <c r="A933" s="52"/>
      <c r="H933" s="53"/>
      <c r="M933" s="53"/>
      <c r="T933" s="53"/>
      <c r="Z933" s="54"/>
      <c r="AA933" s="54"/>
      <c r="AB933" s="54"/>
    </row>
    <row r="934">
      <c r="A934" s="52"/>
      <c r="H934" s="53"/>
      <c r="M934" s="53"/>
      <c r="T934" s="53"/>
      <c r="Z934" s="54"/>
      <c r="AA934" s="54"/>
      <c r="AB934" s="54"/>
    </row>
    <row r="935">
      <c r="A935" s="52"/>
      <c r="H935" s="53"/>
      <c r="M935" s="53"/>
      <c r="T935" s="53"/>
      <c r="Z935" s="54"/>
      <c r="AA935" s="54"/>
      <c r="AB935" s="54"/>
    </row>
    <row r="936">
      <c r="A936" s="52"/>
      <c r="H936" s="53"/>
      <c r="M936" s="53"/>
      <c r="T936" s="53"/>
      <c r="Z936" s="54"/>
      <c r="AA936" s="54"/>
      <c r="AB936" s="54"/>
    </row>
    <row r="937">
      <c r="A937" s="52"/>
      <c r="H937" s="53"/>
      <c r="M937" s="53"/>
      <c r="T937" s="53"/>
      <c r="Z937" s="54"/>
      <c r="AA937" s="54"/>
      <c r="AB937" s="54"/>
    </row>
    <row r="938">
      <c r="A938" s="52"/>
      <c r="H938" s="53"/>
      <c r="M938" s="53"/>
      <c r="T938" s="53"/>
      <c r="Z938" s="54"/>
      <c r="AA938" s="54"/>
      <c r="AB938" s="54"/>
    </row>
    <row r="939">
      <c r="A939" s="52"/>
      <c r="H939" s="53"/>
      <c r="M939" s="53"/>
      <c r="T939" s="53"/>
      <c r="Z939" s="54"/>
      <c r="AA939" s="54"/>
      <c r="AB939" s="54"/>
    </row>
    <row r="940">
      <c r="A940" s="52"/>
      <c r="H940" s="53"/>
      <c r="M940" s="53"/>
      <c r="T940" s="53"/>
      <c r="Z940" s="54"/>
      <c r="AA940" s="54"/>
      <c r="AB940" s="54"/>
    </row>
    <row r="941">
      <c r="A941" s="52"/>
      <c r="H941" s="53"/>
      <c r="M941" s="53"/>
      <c r="T941" s="53"/>
      <c r="Z941" s="54"/>
      <c r="AA941" s="54"/>
      <c r="AB941" s="54"/>
    </row>
    <row r="942">
      <c r="A942" s="52"/>
      <c r="H942" s="53"/>
      <c r="M942" s="53"/>
      <c r="T942" s="53"/>
      <c r="Z942" s="54"/>
      <c r="AA942" s="54"/>
      <c r="AB942" s="54"/>
    </row>
    <row r="943">
      <c r="A943" s="52"/>
      <c r="H943" s="53"/>
      <c r="M943" s="53"/>
      <c r="T943" s="53"/>
      <c r="Z943" s="54"/>
      <c r="AA943" s="54"/>
      <c r="AB943" s="54"/>
    </row>
    <row r="944">
      <c r="A944" s="52"/>
      <c r="H944" s="53"/>
      <c r="M944" s="53"/>
      <c r="T944" s="53"/>
      <c r="Z944" s="54"/>
      <c r="AA944" s="54"/>
      <c r="AB944" s="54"/>
    </row>
    <row r="945">
      <c r="A945" s="52"/>
      <c r="H945" s="53"/>
      <c r="M945" s="53"/>
      <c r="T945" s="53"/>
      <c r="Z945" s="54"/>
      <c r="AA945" s="54"/>
      <c r="AB945" s="54"/>
    </row>
    <row r="946">
      <c r="A946" s="52"/>
      <c r="H946" s="53"/>
      <c r="M946" s="53"/>
      <c r="T946" s="53"/>
      <c r="Z946" s="54"/>
      <c r="AA946" s="54"/>
      <c r="AB946" s="54"/>
    </row>
    <row r="947">
      <c r="A947" s="52"/>
      <c r="H947" s="53"/>
      <c r="M947" s="53"/>
      <c r="T947" s="53"/>
      <c r="Z947" s="54"/>
      <c r="AA947" s="54"/>
      <c r="AB947" s="54"/>
    </row>
    <row r="948">
      <c r="A948" s="52"/>
      <c r="H948" s="53"/>
      <c r="M948" s="53"/>
      <c r="T948" s="53"/>
      <c r="Z948" s="54"/>
      <c r="AA948" s="54"/>
      <c r="AB948" s="54"/>
    </row>
    <row r="949">
      <c r="A949" s="52"/>
      <c r="H949" s="53"/>
      <c r="M949" s="53"/>
      <c r="T949" s="53"/>
      <c r="Z949" s="54"/>
      <c r="AA949" s="54"/>
      <c r="AB949" s="54"/>
    </row>
    <row r="950">
      <c r="A950" s="52"/>
      <c r="H950" s="53"/>
      <c r="M950" s="53"/>
      <c r="T950" s="53"/>
      <c r="Z950" s="54"/>
      <c r="AA950" s="54"/>
      <c r="AB950" s="54"/>
    </row>
    <row r="951">
      <c r="A951" s="52"/>
      <c r="H951" s="53"/>
      <c r="M951" s="53"/>
      <c r="T951" s="53"/>
      <c r="Z951" s="54"/>
      <c r="AA951" s="54"/>
      <c r="AB951" s="54"/>
    </row>
    <row r="952">
      <c r="A952" s="52"/>
      <c r="H952" s="53"/>
      <c r="M952" s="53"/>
      <c r="T952" s="53"/>
      <c r="Z952" s="54"/>
      <c r="AA952" s="54"/>
      <c r="AB952" s="54"/>
    </row>
    <row r="953">
      <c r="A953" s="52"/>
      <c r="H953" s="53"/>
      <c r="M953" s="53"/>
      <c r="T953" s="53"/>
      <c r="Z953" s="54"/>
      <c r="AA953" s="54"/>
      <c r="AB953" s="54"/>
    </row>
    <row r="954">
      <c r="A954" s="52"/>
      <c r="H954" s="53"/>
      <c r="M954" s="53"/>
      <c r="T954" s="53"/>
      <c r="Z954" s="54"/>
      <c r="AA954" s="54"/>
      <c r="AB954" s="54"/>
    </row>
    <row r="955">
      <c r="A955" s="52"/>
      <c r="H955" s="53"/>
      <c r="M955" s="53"/>
      <c r="T955" s="53"/>
      <c r="Z955" s="54"/>
      <c r="AA955" s="54"/>
      <c r="AB955" s="54"/>
    </row>
    <row r="956">
      <c r="A956" s="52"/>
      <c r="H956" s="53"/>
      <c r="M956" s="53"/>
      <c r="T956" s="53"/>
      <c r="Z956" s="54"/>
      <c r="AA956" s="54"/>
      <c r="AB956" s="54"/>
    </row>
    <row r="957">
      <c r="A957" s="52"/>
      <c r="H957" s="53"/>
      <c r="M957" s="53"/>
      <c r="T957" s="53"/>
      <c r="Z957" s="54"/>
      <c r="AA957" s="54"/>
      <c r="AB957" s="54"/>
    </row>
    <row r="958">
      <c r="A958" s="52"/>
      <c r="H958" s="53"/>
      <c r="M958" s="53"/>
      <c r="T958" s="53"/>
      <c r="Z958" s="54"/>
      <c r="AA958" s="54"/>
      <c r="AB958" s="54"/>
    </row>
    <row r="959">
      <c r="A959" s="52"/>
      <c r="H959" s="53"/>
      <c r="M959" s="53"/>
      <c r="T959" s="53"/>
      <c r="Z959" s="54"/>
      <c r="AA959" s="54"/>
      <c r="AB959" s="54"/>
    </row>
    <row r="960">
      <c r="A960" s="52"/>
      <c r="H960" s="53"/>
      <c r="M960" s="53"/>
      <c r="T960" s="53"/>
      <c r="Z960" s="54"/>
      <c r="AA960" s="54"/>
      <c r="AB960" s="54"/>
    </row>
    <row r="961">
      <c r="A961" s="52"/>
      <c r="H961" s="53"/>
      <c r="M961" s="53"/>
      <c r="T961" s="53"/>
      <c r="Z961" s="54"/>
      <c r="AA961" s="54"/>
      <c r="AB961" s="54"/>
    </row>
    <row r="962">
      <c r="A962" s="52"/>
      <c r="H962" s="53"/>
      <c r="M962" s="53"/>
      <c r="T962" s="53"/>
      <c r="Z962" s="54"/>
      <c r="AA962" s="54"/>
      <c r="AB962" s="54"/>
    </row>
    <row r="963">
      <c r="A963" s="52"/>
      <c r="H963" s="53"/>
      <c r="M963" s="53"/>
      <c r="T963" s="53"/>
      <c r="Z963" s="54"/>
      <c r="AA963" s="54"/>
      <c r="AB963" s="54"/>
    </row>
    <row r="964">
      <c r="A964" s="52"/>
      <c r="H964" s="53"/>
      <c r="M964" s="53"/>
      <c r="T964" s="53"/>
      <c r="Z964" s="54"/>
      <c r="AA964" s="54"/>
      <c r="AB964" s="54"/>
    </row>
    <row r="965">
      <c r="A965" s="52"/>
      <c r="H965" s="53"/>
      <c r="M965" s="53"/>
      <c r="T965" s="53"/>
      <c r="Z965" s="54"/>
      <c r="AA965" s="54"/>
      <c r="AB965" s="54"/>
    </row>
    <row r="966">
      <c r="A966" s="52"/>
      <c r="H966" s="53"/>
      <c r="M966" s="53"/>
      <c r="T966" s="53"/>
      <c r="Z966" s="54"/>
      <c r="AA966" s="54"/>
      <c r="AB966" s="54"/>
    </row>
    <row r="967">
      <c r="A967" s="52"/>
      <c r="H967" s="53"/>
      <c r="M967" s="53"/>
      <c r="T967" s="53"/>
      <c r="Z967" s="54"/>
      <c r="AA967" s="54"/>
      <c r="AB967" s="54"/>
    </row>
    <row r="968">
      <c r="A968" s="52"/>
      <c r="H968" s="53"/>
      <c r="M968" s="53"/>
      <c r="T968" s="53"/>
      <c r="Z968" s="54"/>
      <c r="AA968" s="54"/>
      <c r="AB968" s="54"/>
    </row>
    <row r="969">
      <c r="A969" s="52"/>
      <c r="H969" s="53"/>
      <c r="M969" s="53"/>
      <c r="T969" s="53"/>
      <c r="Z969" s="54"/>
      <c r="AA969" s="54"/>
      <c r="AB969" s="54"/>
    </row>
    <row r="970">
      <c r="A970" s="52"/>
      <c r="H970" s="53"/>
      <c r="M970" s="53"/>
      <c r="T970" s="53"/>
      <c r="Z970" s="54"/>
      <c r="AA970" s="54"/>
      <c r="AB970" s="54"/>
    </row>
    <row r="971">
      <c r="A971" s="52"/>
      <c r="H971" s="53"/>
      <c r="M971" s="53"/>
      <c r="T971" s="53"/>
      <c r="Z971" s="54"/>
      <c r="AA971" s="54"/>
      <c r="AB971" s="54"/>
    </row>
    <row r="972">
      <c r="A972" s="52"/>
      <c r="H972" s="53"/>
      <c r="M972" s="53"/>
      <c r="T972" s="53"/>
      <c r="Z972" s="54"/>
      <c r="AA972" s="54"/>
      <c r="AB972" s="54"/>
    </row>
    <row r="973">
      <c r="A973" s="52"/>
      <c r="H973" s="53"/>
      <c r="M973" s="53"/>
      <c r="T973" s="53"/>
      <c r="Z973" s="54"/>
      <c r="AA973" s="54"/>
      <c r="AB973" s="54"/>
    </row>
    <row r="974">
      <c r="A974" s="52"/>
      <c r="H974" s="53"/>
      <c r="M974" s="53"/>
      <c r="T974" s="53"/>
      <c r="Z974" s="54"/>
      <c r="AA974" s="54"/>
      <c r="AB974" s="54"/>
    </row>
    <row r="975">
      <c r="A975" s="52"/>
      <c r="H975" s="53"/>
      <c r="M975" s="53"/>
      <c r="T975" s="53"/>
      <c r="Z975" s="54"/>
      <c r="AA975" s="54"/>
      <c r="AB975" s="54"/>
    </row>
    <row r="976">
      <c r="A976" s="52"/>
      <c r="H976" s="53"/>
      <c r="M976" s="53"/>
      <c r="T976" s="53"/>
      <c r="Z976" s="54"/>
      <c r="AA976" s="54"/>
      <c r="AB976" s="54"/>
    </row>
    <row r="977">
      <c r="A977" s="52"/>
      <c r="H977" s="53"/>
      <c r="M977" s="53"/>
      <c r="T977" s="53"/>
      <c r="Z977" s="54"/>
      <c r="AA977" s="54"/>
      <c r="AB977" s="54"/>
    </row>
    <row r="978">
      <c r="A978" s="52"/>
      <c r="H978" s="53"/>
      <c r="M978" s="53"/>
      <c r="T978" s="53"/>
      <c r="Z978" s="54"/>
      <c r="AA978" s="54"/>
      <c r="AB978" s="54"/>
    </row>
    <row r="979">
      <c r="A979" s="52"/>
      <c r="H979" s="53"/>
      <c r="M979" s="53"/>
      <c r="T979" s="53"/>
      <c r="Z979" s="54"/>
      <c r="AA979" s="54"/>
      <c r="AB979" s="54"/>
    </row>
    <row r="980">
      <c r="A980" s="52"/>
      <c r="H980" s="53"/>
      <c r="M980" s="53"/>
      <c r="T980" s="53"/>
      <c r="Z980" s="54"/>
      <c r="AA980" s="54"/>
      <c r="AB980" s="54"/>
    </row>
    <row r="981">
      <c r="A981" s="52"/>
      <c r="H981" s="53"/>
      <c r="M981" s="53"/>
      <c r="T981" s="53"/>
      <c r="Z981" s="54"/>
      <c r="AA981" s="54"/>
      <c r="AB981" s="54"/>
    </row>
    <row r="982">
      <c r="A982" s="52"/>
      <c r="H982" s="53"/>
      <c r="M982" s="53"/>
      <c r="T982" s="53"/>
      <c r="Z982" s="54"/>
      <c r="AA982" s="54"/>
      <c r="AB982" s="54"/>
    </row>
    <row r="983">
      <c r="A983" s="52"/>
      <c r="H983" s="53"/>
      <c r="M983" s="53"/>
      <c r="T983" s="53"/>
      <c r="Z983" s="54"/>
      <c r="AA983" s="54"/>
      <c r="AB983" s="54"/>
    </row>
  </sheetData>
  <mergeCells count="6">
    <mergeCell ref="AD3:AM3"/>
    <mergeCell ref="AD4:AM5"/>
    <mergeCell ref="AD6:AM9"/>
    <mergeCell ref="AD10:AM12"/>
    <mergeCell ref="AD13:AM16"/>
    <mergeCell ref="AD17:AM19"/>
  </mergeCells>
  <conditionalFormatting sqref="AA2:AA141">
    <cfRule type="expression" dxfId="3" priority="1">
      <formula>$AA:$AA=max(AA:AA)</formula>
    </cfRule>
  </conditionalFormatting>
  <conditionalFormatting sqref="AA3">
    <cfRule type="notContainsBlanks" dxfId="4" priority="2">
      <formula>LEN(TRIM(AA3))&gt;0</formula>
    </cfRule>
  </conditionalFormatting>
  <conditionalFormatting sqref="AA4">
    <cfRule type="notContainsBlanks" dxfId="6" priority="3">
      <formula>LEN(TRIM(AA4))&gt;0</formula>
    </cfRule>
  </conditionalFormatting>
  <conditionalFormatting sqref="AA2:AA141">
    <cfRule type="colorScale" priority="4">
      <colorScale>
        <cfvo type="formula" val="0"/>
        <cfvo type="max"/>
        <color rgb="FFFFFFFF"/>
        <color rgb="FF57BB8A"/>
      </colorScale>
    </cfRule>
  </conditionalFormatting>
  <conditionalFormatting sqref="T2:T141">
    <cfRule type="colorScale" priority="5">
      <colorScale>
        <cfvo type="min"/>
        <cfvo type="percentile" val="85"/>
        <cfvo type="max"/>
        <color rgb="FFFFFFFF"/>
        <color rgb="FFD9EAD3"/>
        <color rgb="FF57BB8A"/>
      </colorScale>
    </cfRule>
  </conditionalFormatting>
  <conditionalFormatting sqref="U2:U141">
    <cfRule type="colorScale" priority="6">
      <colorScale>
        <cfvo type="min"/>
        <cfvo type="percentile" val="85"/>
        <cfvo type="max"/>
        <color rgb="FFFFFFFF"/>
        <color rgb="FFF4CCCC"/>
        <color rgb="FFE67C73"/>
      </colorScale>
    </cfRule>
  </conditionalFormatting>
  <conditionalFormatting sqref="V2:V141">
    <cfRule type="colorScale" priority="7">
      <colorScale>
        <cfvo type="min"/>
        <cfvo type="percentile" val="85"/>
        <cfvo type="max"/>
        <color rgb="FFFFFFFF"/>
        <color rgb="FFFFF2CC"/>
        <color rgb="FFFFD966"/>
      </colorScale>
    </cfRule>
  </conditionalFormatting>
  <conditionalFormatting sqref="W2:W141">
    <cfRule type="colorScale" priority="8">
      <colorScale>
        <cfvo type="min"/>
        <cfvo type="percentile" val="85"/>
        <cfvo type="max"/>
        <color rgb="FFFFFFFF"/>
        <color rgb="FFD9D2E9"/>
        <color rgb="FF8E7CC3"/>
      </colorScale>
    </cfRule>
  </conditionalFormatting>
  <conditionalFormatting sqref="X2:X141">
    <cfRule type="colorScale" priority="9">
      <colorScale>
        <cfvo type="min"/>
        <cfvo type="percentile" val="85"/>
        <cfvo type="max"/>
        <color rgb="FFFFFFFF"/>
        <color rgb="FFCFE2F3"/>
        <color rgb="FF6FA8DC"/>
      </colorScale>
    </cfRule>
  </conditionalFormatting>
  <conditionalFormatting sqref="Y2:Y141">
    <cfRule type="colorScale" priority="10">
      <colorScale>
        <cfvo type="min"/>
        <cfvo type="percentile" val="85"/>
        <cfvo type="max"/>
        <color rgb="FFFFFFFF"/>
        <color rgb="FFDBFFFF"/>
        <color rgb="FF7BEFEF"/>
      </colorScale>
    </cfRule>
  </conditionalFormatting>
  <conditionalFormatting sqref="I2:I137">
    <cfRule type="colorScale" priority="11">
      <colorScale>
        <cfvo type="min"/>
        <cfvo type="percentile" val="95"/>
        <cfvo type="max"/>
        <color rgb="FFFFFFFF"/>
        <color rgb="FFF4CCCC"/>
        <color rgb="FFE06666"/>
      </colorScale>
    </cfRule>
  </conditionalFormatting>
  <conditionalFormatting sqref="L2:L141">
    <cfRule type="colorScale" priority="12">
      <colorScale>
        <cfvo type="min"/>
        <cfvo type="percentile" val="85"/>
        <cfvo type="max"/>
        <color rgb="FFFFFFFF"/>
        <color rgb="FFD9EAD3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0"/>
    <col customWidth="1" min="2" max="25" width="3.88"/>
    <col customWidth="1" min="26" max="32" width="5.13"/>
    <col customWidth="1" min="33" max="45" width="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>
      <c r="A2" s="8" t="s">
        <v>32</v>
      </c>
      <c r="B2" s="9">
        <v>468.0</v>
      </c>
      <c r="C2" s="9">
        <v>84.0</v>
      </c>
      <c r="D2" s="9">
        <v>144.0</v>
      </c>
      <c r="E2" s="9">
        <v>62.0</v>
      </c>
      <c r="F2" s="9">
        <v>58.0</v>
      </c>
      <c r="G2" s="9">
        <v>64.0</v>
      </c>
      <c r="H2" s="10">
        <v>60.0</v>
      </c>
      <c r="I2" s="9">
        <v>6.0</v>
      </c>
      <c r="J2" s="9">
        <v>10.0</v>
      </c>
      <c r="K2" s="9">
        <v>3.0</v>
      </c>
      <c r="L2" s="9">
        <v>3.0</v>
      </c>
      <c r="M2" s="9">
        <v>4.0</v>
      </c>
      <c r="N2" s="10">
        <v>4.0</v>
      </c>
      <c r="O2" s="9">
        <v>1.0</v>
      </c>
      <c r="P2" s="9">
        <v>21.0</v>
      </c>
      <c r="Q2" s="9">
        <v>30.0</v>
      </c>
      <c r="R2" s="9">
        <v>69.0</v>
      </c>
      <c r="S2" s="9">
        <v>12.0</v>
      </c>
      <c r="T2" s="9">
        <v>12.0</v>
      </c>
      <c r="U2" s="9">
        <v>12.0</v>
      </c>
      <c r="V2" s="9">
        <v>12.0</v>
      </c>
      <c r="W2" s="9">
        <v>12.0</v>
      </c>
      <c r="X2" s="9">
        <v>9.0</v>
      </c>
      <c r="Y2" s="13">
        <f t="shared" ref="Y2:Y33" si="2">Q2/MAX(R2,1)</f>
        <v>0.4347826087</v>
      </c>
      <c r="Z2" s="18">
        <f t="shared" ref="Z2:AE2" si="1">ROUND(C2/IF(S2&gt;0,S2,1),2)</f>
        <v>7</v>
      </c>
      <c r="AA2" s="9">
        <f t="shared" si="1"/>
        <v>12</v>
      </c>
      <c r="AB2" s="9">
        <f t="shared" si="1"/>
        <v>5.17</v>
      </c>
      <c r="AC2" s="9">
        <f t="shared" si="1"/>
        <v>4.83</v>
      </c>
      <c r="AD2" s="9">
        <f t="shared" si="1"/>
        <v>5.33</v>
      </c>
      <c r="AE2" s="9">
        <f t="shared" si="1"/>
        <v>6.67</v>
      </c>
      <c r="AF2" s="24">
        <f t="shared" ref="AF2:AF33" si="4">ROUND(B2/IF(R2&gt;0,R2,1),2)</f>
        <v>6.78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>
      <c r="A3" s="27" t="s">
        <v>43</v>
      </c>
      <c r="B3" s="27">
        <v>690.0</v>
      </c>
      <c r="C3" s="27">
        <v>158.0</v>
      </c>
      <c r="D3" s="27">
        <v>110.0</v>
      </c>
      <c r="E3" s="27">
        <v>120.0</v>
      </c>
      <c r="F3" s="27">
        <v>60.0</v>
      </c>
      <c r="G3" s="27">
        <v>122.0</v>
      </c>
      <c r="H3" s="28">
        <v>124.0</v>
      </c>
      <c r="I3" s="27">
        <v>11.0</v>
      </c>
      <c r="J3" s="27">
        <v>7.0</v>
      </c>
      <c r="K3" s="27">
        <v>8.0</v>
      </c>
      <c r="L3" s="27">
        <v>4.0</v>
      </c>
      <c r="M3" s="27">
        <v>7.0</v>
      </c>
      <c r="N3" s="28">
        <v>8.0</v>
      </c>
      <c r="O3" s="27">
        <v>4.0</v>
      </c>
      <c r="P3" s="27">
        <v>25.0</v>
      </c>
      <c r="Q3" s="27">
        <v>45.0</v>
      </c>
      <c r="R3" s="27">
        <v>111.0</v>
      </c>
      <c r="S3" s="27">
        <v>18.0</v>
      </c>
      <c r="T3" s="27">
        <v>20.0</v>
      </c>
      <c r="U3" s="27">
        <v>21.0</v>
      </c>
      <c r="V3" s="27">
        <v>19.0</v>
      </c>
      <c r="W3" s="27">
        <v>19.0</v>
      </c>
      <c r="X3" s="27">
        <v>14.0</v>
      </c>
      <c r="Y3" s="13">
        <f t="shared" si="2"/>
        <v>0.4054054054</v>
      </c>
      <c r="Z3" s="18">
        <f t="shared" ref="Z3:AE3" si="3">ROUND(C3/IF(S3&gt;0,S3,1),2)</f>
        <v>8.78</v>
      </c>
      <c r="AA3" s="9">
        <f t="shared" si="3"/>
        <v>5.5</v>
      </c>
      <c r="AB3" s="9">
        <f t="shared" si="3"/>
        <v>5.71</v>
      </c>
      <c r="AC3" s="9">
        <f t="shared" si="3"/>
        <v>3.16</v>
      </c>
      <c r="AD3" s="9">
        <f t="shared" si="3"/>
        <v>6.42</v>
      </c>
      <c r="AE3" s="9">
        <f t="shared" si="3"/>
        <v>8.86</v>
      </c>
      <c r="AF3" s="24">
        <f t="shared" si="4"/>
        <v>6.22</v>
      </c>
      <c r="AG3" s="9"/>
      <c r="AH3" s="34" t="s">
        <v>44</v>
      </c>
      <c r="AR3" s="9"/>
      <c r="AS3" s="9"/>
    </row>
    <row r="4">
      <c r="A4" s="8" t="s">
        <v>45</v>
      </c>
      <c r="B4" s="9">
        <v>400.0</v>
      </c>
      <c r="C4" s="9">
        <v>46.0</v>
      </c>
      <c r="D4" s="9">
        <v>134.0</v>
      </c>
      <c r="E4" s="9">
        <v>50.0</v>
      </c>
      <c r="F4" s="9">
        <v>64.0</v>
      </c>
      <c r="G4" s="9">
        <v>50.0</v>
      </c>
      <c r="H4" s="10">
        <v>64.0</v>
      </c>
      <c r="I4" s="9">
        <v>3.0</v>
      </c>
      <c r="J4" s="9">
        <v>9.0</v>
      </c>
      <c r="K4" s="9">
        <v>3.0</v>
      </c>
      <c r="L4" s="9">
        <v>4.0</v>
      </c>
      <c r="M4" s="9">
        <v>3.0</v>
      </c>
      <c r="N4" s="10">
        <v>4.0</v>
      </c>
      <c r="O4" s="9">
        <v>2.0</v>
      </c>
      <c r="P4" s="9">
        <v>15.0</v>
      </c>
      <c r="Q4" s="9">
        <v>26.0</v>
      </c>
      <c r="R4" s="9">
        <v>67.0</v>
      </c>
      <c r="S4" s="9">
        <v>12.0</v>
      </c>
      <c r="T4" s="9">
        <v>11.0</v>
      </c>
      <c r="U4" s="9">
        <v>11.0</v>
      </c>
      <c r="V4" s="9">
        <v>12.0</v>
      </c>
      <c r="W4" s="9">
        <v>12.0</v>
      </c>
      <c r="X4" s="9">
        <v>9.0</v>
      </c>
      <c r="Y4" s="13">
        <f t="shared" si="2"/>
        <v>0.3880597015</v>
      </c>
      <c r="Z4" s="18">
        <f t="shared" ref="Z4:AE4" si="5">ROUND(C4/IF(S4&gt;0,S4,1),2)</f>
        <v>3.83</v>
      </c>
      <c r="AA4" s="9">
        <f t="shared" si="5"/>
        <v>12.18</v>
      </c>
      <c r="AB4" s="9">
        <f t="shared" si="5"/>
        <v>4.55</v>
      </c>
      <c r="AC4" s="9">
        <f t="shared" si="5"/>
        <v>5.33</v>
      </c>
      <c r="AD4" s="9">
        <f t="shared" si="5"/>
        <v>4.17</v>
      </c>
      <c r="AE4" s="9">
        <f t="shared" si="5"/>
        <v>7.11</v>
      </c>
      <c r="AF4" s="24">
        <f t="shared" si="4"/>
        <v>5.97</v>
      </c>
      <c r="AG4" s="9"/>
      <c r="AH4" s="38" t="s">
        <v>46</v>
      </c>
      <c r="AR4" s="9"/>
      <c r="AS4" s="9"/>
    </row>
    <row r="5">
      <c r="A5" s="27" t="s">
        <v>47</v>
      </c>
      <c r="B5" s="27">
        <v>534.0</v>
      </c>
      <c r="C5" s="27">
        <v>130.0</v>
      </c>
      <c r="D5" s="27">
        <v>90.0</v>
      </c>
      <c r="E5" s="27">
        <v>52.0</v>
      </c>
      <c r="F5" s="27">
        <v>94.0</v>
      </c>
      <c r="G5" s="27">
        <v>72.0</v>
      </c>
      <c r="H5" s="28">
        <v>104.0</v>
      </c>
      <c r="I5" s="27">
        <v>9.0</v>
      </c>
      <c r="J5" s="27">
        <v>5.0</v>
      </c>
      <c r="K5" s="27">
        <v>2.0</v>
      </c>
      <c r="L5" s="27">
        <v>5.0</v>
      </c>
      <c r="M5" s="27">
        <v>4.0</v>
      </c>
      <c r="N5" s="28">
        <v>6.0</v>
      </c>
      <c r="O5" s="27">
        <v>6.0</v>
      </c>
      <c r="P5" s="27">
        <v>16.0</v>
      </c>
      <c r="Q5" s="27">
        <v>31.0</v>
      </c>
      <c r="R5" s="27">
        <v>90.0</v>
      </c>
      <c r="S5" s="27">
        <v>15.0</v>
      </c>
      <c r="T5" s="27">
        <v>16.0</v>
      </c>
      <c r="U5" s="27">
        <v>16.0</v>
      </c>
      <c r="V5" s="27">
        <v>15.0</v>
      </c>
      <c r="W5" s="27">
        <v>16.0</v>
      </c>
      <c r="X5" s="27">
        <v>12.0</v>
      </c>
      <c r="Y5" s="13">
        <f t="shared" si="2"/>
        <v>0.3444444444</v>
      </c>
      <c r="Z5" s="18">
        <f t="shared" ref="Z5:AE5" si="6">ROUND(C5/IF(S5&gt;0,S5,1),2)</f>
        <v>8.67</v>
      </c>
      <c r="AA5" s="9">
        <f t="shared" si="6"/>
        <v>5.63</v>
      </c>
      <c r="AB5" s="9">
        <f t="shared" si="6"/>
        <v>3.25</v>
      </c>
      <c r="AC5" s="9">
        <f t="shared" si="6"/>
        <v>6.27</v>
      </c>
      <c r="AD5" s="9">
        <f t="shared" si="6"/>
        <v>4.5</v>
      </c>
      <c r="AE5" s="9">
        <f t="shared" si="6"/>
        <v>8.67</v>
      </c>
      <c r="AF5" s="24">
        <f t="shared" si="4"/>
        <v>5.93</v>
      </c>
      <c r="AG5" s="9"/>
      <c r="AR5" s="34"/>
      <c r="AS5" s="34"/>
    </row>
    <row r="6">
      <c r="A6" s="8" t="s">
        <v>48</v>
      </c>
      <c r="B6" s="9">
        <v>434.0</v>
      </c>
      <c r="C6" s="9">
        <v>72.0</v>
      </c>
      <c r="D6" s="9">
        <v>32.0</v>
      </c>
      <c r="E6" s="9">
        <v>106.0</v>
      </c>
      <c r="F6" s="9">
        <v>40.0</v>
      </c>
      <c r="G6" s="9">
        <v>128.0</v>
      </c>
      <c r="H6" s="9">
        <v>68.0</v>
      </c>
      <c r="I6" s="9">
        <v>4.0</v>
      </c>
      <c r="J6" s="9">
        <v>2.0</v>
      </c>
      <c r="K6" s="9">
        <v>7.0</v>
      </c>
      <c r="L6" s="9">
        <v>2.0</v>
      </c>
      <c r="M6" s="9">
        <v>8.0</v>
      </c>
      <c r="N6" s="9">
        <v>4.0</v>
      </c>
      <c r="O6" s="9">
        <v>3.0</v>
      </c>
      <c r="P6" s="9">
        <v>22.0</v>
      </c>
      <c r="Q6" s="9">
        <v>27.0</v>
      </c>
      <c r="R6" s="9">
        <v>79.0</v>
      </c>
      <c r="S6" s="9">
        <v>13.0</v>
      </c>
      <c r="T6" s="9">
        <v>14.0</v>
      </c>
      <c r="U6" s="9">
        <v>13.0</v>
      </c>
      <c r="V6" s="9">
        <v>14.0</v>
      </c>
      <c r="W6" s="9">
        <v>14.0</v>
      </c>
      <c r="X6" s="9">
        <v>11.0</v>
      </c>
      <c r="Y6" s="13">
        <f t="shared" si="2"/>
        <v>0.3417721519</v>
      </c>
      <c r="Z6" s="18">
        <f t="shared" ref="Z6:AE6" si="7">ROUND(C6/IF(S6&gt;0,S6,1),2)</f>
        <v>5.54</v>
      </c>
      <c r="AA6" s="9">
        <f t="shared" si="7"/>
        <v>2.29</v>
      </c>
      <c r="AB6" s="9">
        <f t="shared" si="7"/>
        <v>8.15</v>
      </c>
      <c r="AC6" s="9">
        <f t="shared" si="7"/>
        <v>2.86</v>
      </c>
      <c r="AD6" s="9">
        <f t="shared" si="7"/>
        <v>9.14</v>
      </c>
      <c r="AE6" s="9">
        <f t="shared" si="7"/>
        <v>6.18</v>
      </c>
      <c r="AF6" s="24">
        <f t="shared" si="4"/>
        <v>5.49</v>
      </c>
      <c r="AG6" s="9"/>
      <c r="AH6" s="38" t="s">
        <v>50</v>
      </c>
      <c r="AR6" s="38"/>
      <c r="AS6" s="38"/>
    </row>
    <row r="7">
      <c r="A7" s="27" t="s">
        <v>51</v>
      </c>
      <c r="B7" s="27">
        <v>546.0</v>
      </c>
      <c r="C7" s="27">
        <v>106.0</v>
      </c>
      <c r="D7" s="27">
        <v>118.0</v>
      </c>
      <c r="E7" s="27">
        <v>110.0</v>
      </c>
      <c r="F7" s="27">
        <v>36.0</v>
      </c>
      <c r="G7" s="27">
        <v>138.0</v>
      </c>
      <c r="H7" s="28">
        <v>58.0</v>
      </c>
      <c r="I7" s="27">
        <v>7.0</v>
      </c>
      <c r="J7" s="27">
        <v>7.0</v>
      </c>
      <c r="K7" s="27">
        <v>7.0</v>
      </c>
      <c r="L7" s="27">
        <v>2.0</v>
      </c>
      <c r="M7" s="27">
        <v>9.0</v>
      </c>
      <c r="N7" s="28">
        <v>3.0</v>
      </c>
      <c r="O7" s="27">
        <v>8.0</v>
      </c>
      <c r="P7" s="27">
        <v>31.0</v>
      </c>
      <c r="Q7" s="27">
        <v>35.0</v>
      </c>
      <c r="R7" s="27">
        <v>110.0</v>
      </c>
      <c r="S7" s="27">
        <v>18.0</v>
      </c>
      <c r="T7" s="27">
        <v>19.0</v>
      </c>
      <c r="U7" s="27">
        <v>20.0</v>
      </c>
      <c r="V7" s="27">
        <v>19.0</v>
      </c>
      <c r="W7" s="27">
        <v>19.0</v>
      </c>
      <c r="X7" s="27">
        <v>15.0</v>
      </c>
      <c r="Y7" s="13">
        <f t="shared" si="2"/>
        <v>0.3181818182</v>
      </c>
      <c r="Z7" s="18">
        <f t="shared" ref="Z7:AE7" si="8">ROUND(C7/IF(S7&gt;0,S7,1),2)</f>
        <v>5.89</v>
      </c>
      <c r="AA7" s="9">
        <f t="shared" si="8"/>
        <v>6.21</v>
      </c>
      <c r="AB7" s="9">
        <f t="shared" si="8"/>
        <v>5.5</v>
      </c>
      <c r="AC7" s="9">
        <f t="shared" si="8"/>
        <v>1.89</v>
      </c>
      <c r="AD7" s="9">
        <f t="shared" si="8"/>
        <v>7.26</v>
      </c>
      <c r="AE7" s="9">
        <f t="shared" si="8"/>
        <v>3.87</v>
      </c>
      <c r="AF7" s="24">
        <f t="shared" si="4"/>
        <v>4.96</v>
      </c>
      <c r="AG7" s="9"/>
      <c r="AR7" s="38"/>
      <c r="AS7" s="38"/>
    </row>
    <row r="8">
      <c r="A8" s="27" t="s">
        <v>52</v>
      </c>
      <c r="B8" s="27">
        <v>436.0</v>
      </c>
      <c r="C8" s="27">
        <v>110.0</v>
      </c>
      <c r="D8" s="27">
        <v>70.0</v>
      </c>
      <c r="E8" s="27">
        <v>86.0</v>
      </c>
      <c r="F8" s="27">
        <v>64.0</v>
      </c>
      <c r="G8" s="27">
        <v>92.0</v>
      </c>
      <c r="H8" s="28">
        <v>22.0</v>
      </c>
      <c r="I8" s="27">
        <v>7.0</v>
      </c>
      <c r="J8" s="27">
        <v>5.0</v>
      </c>
      <c r="K8" s="27">
        <v>5.0</v>
      </c>
      <c r="L8" s="27">
        <v>4.0</v>
      </c>
      <c r="M8" s="27">
        <v>6.0</v>
      </c>
      <c r="N8" s="28">
        <v>1.0</v>
      </c>
      <c r="O8" s="27">
        <v>3.0</v>
      </c>
      <c r="P8" s="27">
        <v>21.0</v>
      </c>
      <c r="Q8" s="27">
        <v>28.0</v>
      </c>
      <c r="R8" s="27">
        <v>91.0</v>
      </c>
      <c r="S8" s="27">
        <v>16.0</v>
      </c>
      <c r="T8" s="27">
        <v>16.0</v>
      </c>
      <c r="U8" s="27">
        <v>15.0</v>
      </c>
      <c r="V8" s="27">
        <v>16.0</v>
      </c>
      <c r="W8" s="27">
        <v>16.0</v>
      </c>
      <c r="X8" s="27">
        <v>12.0</v>
      </c>
      <c r="Y8" s="13">
        <f t="shared" si="2"/>
        <v>0.3076923077</v>
      </c>
      <c r="Z8" s="18">
        <f t="shared" ref="Z8:AE8" si="9">ROUND(C8/IF(S8&gt;0,S8,1),2)</f>
        <v>6.88</v>
      </c>
      <c r="AA8" s="9">
        <f t="shared" si="9"/>
        <v>4.38</v>
      </c>
      <c r="AB8" s="9">
        <f t="shared" si="9"/>
        <v>5.73</v>
      </c>
      <c r="AC8" s="9">
        <f t="shared" si="9"/>
        <v>4</v>
      </c>
      <c r="AD8" s="9">
        <f t="shared" si="9"/>
        <v>5.75</v>
      </c>
      <c r="AE8" s="9">
        <f t="shared" si="9"/>
        <v>1.83</v>
      </c>
      <c r="AF8" s="24">
        <f t="shared" si="4"/>
        <v>4.79</v>
      </c>
      <c r="AG8" s="9"/>
      <c r="AR8" s="38"/>
      <c r="AS8" s="38"/>
    </row>
    <row r="9">
      <c r="A9" s="27" t="s">
        <v>54</v>
      </c>
      <c r="B9" s="27">
        <v>250.0</v>
      </c>
      <c r="C9" s="27">
        <v>26.0</v>
      </c>
      <c r="D9" s="27">
        <v>74.0</v>
      </c>
      <c r="E9" s="27">
        <v>18.0</v>
      </c>
      <c r="F9" s="27">
        <v>32.0</v>
      </c>
      <c r="G9" s="27">
        <v>36.0</v>
      </c>
      <c r="H9" s="28">
        <v>60.0</v>
      </c>
      <c r="I9" s="27">
        <v>1.0</v>
      </c>
      <c r="J9" s="27">
        <v>5.0</v>
      </c>
      <c r="K9" s="27">
        <v>1.0</v>
      </c>
      <c r="L9" s="27">
        <v>2.0</v>
      </c>
      <c r="M9" s="27">
        <v>2.0</v>
      </c>
      <c r="N9" s="28">
        <v>4.0</v>
      </c>
      <c r="O9" s="27">
        <v>1.0</v>
      </c>
      <c r="P9" s="27">
        <v>23.0</v>
      </c>
      <c r="Q9" s="27">
        <v>15.0</v>
      </c>
      <c r="R9" s="27">
        <v>66.0</v>
      </c>
      <c r="S9" s="27">
        <v>11.0</v>
      </c>
      <c r="T9" s="27">
        <v>12.0</v>
      </c>
      <c r="U9" s="27">
        <v>12.0</v>
      </c>
      <c r="V9" s="27">
        <v>11.0</v>
      </c>
      <c r="W9" s="27">
        <v>11.0</v>
      </c>
      <c r="X9" s="27">
        <v>9.0</v>
      </c>
      <c r="Y9" s="13">
        <f t="shared" si="2"/>
        <v>0.2272727273</v>
      </c>
      <c r="Z9" s="18">
        <f t="shared" ref="Z9:AE9" si="10">ROUND(C9/IF(S9&gt;0,S9,1),2)</f>
        <v>2.36</v>
      </c>
      <c r="AA9" s="9">
        <f t="shared" si="10"/>
        <v>6.17</v>
      </c>
      <c r="AB9" s="9">
        <f t="shared" si="10"/>
        <v>1.5</v>
      </c>
      <c r="AC9" s="9">
        <f t="shared" si="10"/>
        <v>2.91</v>
      </c>
      <c r="AD9" s="9">
        <f t="shared" si="10"/>
        <v>3.27</v>
      </c>
      <c r="AE9" s="9">
        <f t="shared" si="10"/>
        <v>6.67</v>
      </c>
      <c r="AF9" s="24">
        <f t="shared" si="4"/>
        <v>3.79</v>
      </c>
      <c r="AG9" s="9"/>
      <c r="AR9" s="38"/>
      <c r="AS9" s="38"/>
    </row>
    <row r="10">
      <c r="A10" s="8" t="s">
        <v>55</v>
      </c>
      <c r="B10" s="9">
        <v>254.0</v>
      </c>
      <c r="C10" s="9">
        <v>26.0</v>
      </c>
      <c r="D10" s="9">
        <v>22.0</v>
      </c>
      <c r="E10" s="9">
        <v>30.0</v>
      </c>
      <c r="F10" s="9">
        <v>40.0</v>
      </c>
      <c r="G10" s="9">
        <v>92.0</v>
      </c>
      <c r="H10" s="10">
        <v>28.0</v>
      </c>
      <c r="I10" s="9">
        <v>1.0</v>
      </c>
      <c r="J10" s="9">
        <v>1.0</v>
      </c>
      <c r="K10" s="9">
        <v>1.0</v>
      </c>
      <c r="L10" s="9">
        <v>2.0</v>
      </c>
      <c r="M10" s="9">
        <v>6.0</v>
      </c>
      <c r="N10" s="10">
        <v>2.0</v>
      </c>
      <c r="O10" s="9">
        <v>0.0</v>
      </c>
      <c r="P10" s="9">
        <v>17.0</v>
      </c>
      <c r="Q10" s="9">
        <v>13.0</v>
      </c>
      <c r="R10" s="9">
        <v>67.0</v>
      </c>
      <c r="S10" s="9">
        <v>12.0</v>
      </c>
      <c r="T10" s="9">
        <v>11.0</v>
      </c>
      <c r="U10" s="9">
        <v>11.0</v>
      </c>
      <c r="V10" s="9">
        <v>12.0</v>
      </c>
      <c r="W10" s="9">
        <v>12.0</v>
      </c>
      <c r="X10" s="9">
        <v>9.0</v>
      </c>
      <c r="Y10" s="13">
        <f t="shared" si="2"/>
        <v>0.1940298507</v>
      </c>
      <c r="Z10" s="18">
        <f t="shared" ref="Z10:AE10" si="11">ROUND(C10/IF(S10&gt;0,S10,1),2)</f>
        <v>2.17</v>
      </c>
      <c r="AA10" s="9">
        <f t="shared" si="11"/>
        <v>2</v>
      </c>
      <c r="AB10" s="9">
        <f t="shared" si="11"/>
        <v>2.73</v>
      </c>
      <c r="AC10" s="9">
        <f t="shared" si="11"/>
        <v>3.33</v>
      </c>
      <c r="AD10" s="9">
        <f t="shared" si="11"/>
        <v>7.67</v>
      </c>
      <c r="AE10" s="9">
        <f t="shared" si="11"/>
        <v>3.11</v>
      </c>
      <c r="AF10" s="24">
        <f t="shared" si="4"/>
        <v>3.79</v>
      </c>
      <c r="AG10" s="9"/>
      <c r="AH10" s="42" t="s">
        <v>56</v>
      </c>
      <c r="AR10" s="38"/>
      <c r="AS10" s="38"/>
    </row>
    <row r="11">
      <c r="A11" s="27" t="s">
        <v>57</v>
      </c>
      <c r="B11" s="27">
        <v>324.0</v>
      </c>
      <c r="C11" s="27">
        <v>0.0</v>
      </c>
      <c r="D11" s="27">
        <v>18.0</v>
      </c>
      <c r="E11" s="27">
        <v>110.0</v>
      </c>
      <c r="F11" s="27">
        <v>50.0</v>
      </c>
      <c r="G11" s="27">
        <v>126.0</v>
      </c>
      <c r="H11" s="28">
        <v>8.0</v>
      </c>
      <c r="I11" s="27">
        <v>0.0</v>
      </c>
      <c r="J11" s="27">
        <v>1.0</v>
      </c>
      <c r="K11" s="27">
        <v>7.0</v>
      </c>
      <c r="L11" s="27">
        <v>3.0</v>
      </c>
      <c r="M11" s="27">
        <v>9.0</v>
      </c>
      <c r="N11" s="28">
        <v>0.0</v>
      </c>
      <c r="O11" s="27">
        <v>2.0</v>
      </c>
      <c r="P11" s="27">
        <v>32.0</v>
      </c>
      <c r="Q11" s="27">
        <v>20.0</v>
      </c>
      <c r="R11" s="27">
        <v>89.0</v>
      </c>
      <c r="S11" s="27">
        <v>15.0</v>
      </c>
      <c r="T11" s="27">
        <v>16.0</v>
      </c>
      <c r="U11" s="27">
        <v>16.0</v>
      </c>
      <c r="V11" s="27">
        <v>15.0</v>
      </c>
      <c r="W11" s="27">
        <v>16.0</v>
      </c>
      <c r="X11" s="27">
        <v>11.0</v>
      </c>
      <c r="Y11" s="13">
        <f t="shared" si="2"/>
        <v>0.2247191011</v>
      </c>
      <c r="Z11" s="18">
        <f t="shared" ref="Z11:AE11" si="12">ROUND(C11/IF(S11&gt;0,S11,1),2)</f>
        <v>0</v>
      </c>
      <c r="AA11" s="9">
        <f t="shared" si="12"/>
        <v>1.13</v>
      </c>
      <c r="AB11" s="9">
        <f t="shared" si="12"/>
        <v>6.88</v>
      </c>
      <c r="AC11" s="9">
        <f t="shared" si="12"/>
        <v>3.33</v>
      </c>
      <c r="AD11" s="9">
        <f t="shared" si="12"/>
        <v>7.88</v>
      </c>
      <c r="AE11" s="9">
        <f t="shared" si="12"/>
        <v>0.73</v>
      </c>
      <c r="AF11" s="24">
        <f t="shared" si="4"/>
        <v>3.64</v>
      </c>
      <c r="AG11" s="9"/>
      <c r="AR11" s="38"/>
      <c r="AS11" s="38"/>
    </row>
    <row r="12">
      <c r="A12" s="8" t="s">
        <v>59</v>
      </c>
      <c r="B12" s="9">
        <v>330.0</v>
      </c>
      <c r="C12" s="9">
        <v>14.0</v>
      </c>
      <c r="D12" s="9">
        <v>0.0</v>
      </c>
      <c r="E12" s="9">
        <v>28.0</v>
      </c>
      <c r="F12" s="9">
        <v>60.0</v>
      </c>
      <c r="G12" s="9">
        <v>176.0</v>
      </c>
      <c r="H12" s="10">
        <v>32.0</v>
      </c>
      <c r="I12" s="9">
        <v>1.0</v>
      </c>
      <c r="J12" s="9">
        <v>0.0</v>
      </c>
      <c r="K12" s="9">
        <v>2.0</v>
      </c>
      <c r="L12" s="9">
        <v>4.0</v>
      </c>
      <c r="M12" s="9">
        <v>12.0</v>
      </c>
      <c r="N12" s="10">
        <v>2.0</v>
      </c>
      <c r="O12" s="9">
        <v>3.0</v>
      </c>
      <c r="P12" s="9">
        <v>32.0</v>
      </c>
      <c r="Q12" s="9">
        <v>21.0</v>
      </c>
      <c r="R12" s="9">
        <v>91.0</v>
      </c>
      <c r="S12" s="9">
        <v>16.0</v>
      </c>
      <c r="T12" s="9">
        <v>16.0</v>
      </c>
      <c r="U12" s="9">
        <v>15.0</v>
      </c>
      <c r="V12" s="9">
        <v>16.0</v>
      </c>
      <c r="W12" s="9">
        <v>16.0</v>
      </c>
      <c r="X12" s="9">
        <v>12.0</v>
      </c>
      <c r="Y12" s="13">
        <f t="shared" si="2"/>
        <v>0.2307692308</v>
      </c>
      <c r="Z12" s="18">
        <f t="shared" ref="Z12:AE12" si="13">ROUND(C12/IF(S12&gt;0,S12,1),2)</f>
        <v>0.88</v>
      </c>
      <c r="AA12" s="9">
        <f t="shared" si="13"/>
        <v>0</v>
      </c>
      <c r="AB12" s="9">
        <f t="shared" si="13"/>
        <v>1.87</v>
      </c>
      <c r="AC12" s="9">
        <f t="shared" si="13"/>
        <v>3.75</v>
      </c>
      <c r="AD12" s="9">
        <f t="shared" si="13"/>
        <v>11</v>
      </c>
      <c r="AE12" s="9">
        <f t="shared" si="13"/>
        <v>2.67</v>
      </c>
      <c r="AF12" s="24">
        <f t="shared" si="4"/>
        <v>3.63</v>
      </c>
      <c r="AG12" s="9"/>
      <c r="AR12" s="38"/>
      <c r="AS12" s="38"/>
    </row>
    <row r="13">
      <c r="A13" s="27" t="s">
        <v>60</v>
      </c>
      <c r="B13" s="27">
        <v>394.0</v>
      </c>
      <c r="C13" s="27">
        <v>140.0</v>
      </c>
      <c r="D13" s="27">
        <v>62.0</v>
      </c>
      <c r="E13" s="27">
        <v>96.0</v>
      </c>
      <c r="F13" s="27">
        <v>4.0</v>
      </c>
      <c r="G13" s="27">
        <v>60.0</v>
      </c>
      <c r="H13" s="28">
        <v>32.0</v>
      </c>
      <c r="I13" s="27">
        <v>10.0</v>
      </c>
      <c r="J13" s="27">
        <v>3.0</v>
      </c>
      <c r="K13" s="27">
        <v>6.0</v>
      </c>
      <c r="L13" s="27">
        <v>0.0</v>
      </c>
      <c r="M13" s="27">
        <v>4.0</v>
      </c>
      <c r="N13" s="28">
        <v>2.0</v>
      </c>
      <c r="O13" s="27">
        <v>9.0</v>
      </c>
      <c r="P13" s="27">
        <v>38.0</v>
      </c>
      <c r="Q13" s="27">
        <v>24.0</v>
      </c>
      <c r="R13" s="27">
        <v>115.0</v>
      </c>
      <c r="S13" s="27">
        <v>20.0</v>
      </c>
      <c r="T13" s="27">
        <v>20.0</v>
      </c>
      <c r="U13" s="27">
        <v>21.0</v>
      </c>
      <c r="V13" s="27">
        <v>19.0</v>
      </c>
      <c r="W13" s="27">
        <v>20.0</v>
      </c>
      <c r="X13" s="27">
        <v>15.0</v>
      </c>
      <c r="Y13" s="13">
        <f t="shared" si="2"/>
        <v>0.2086956522</v>
      </c>
      <c r="Z13" s="18">
        <f t="shared" ref="Z13:AE13" si="14">ROUND(C13/IF(S13&gt;0,S13,1),2)</f>
        <v>7</v>
      </c>
      <c r="AA13" s="9">
        <f t="shared" si="14"/>
        <v>3.1</v>
      </c>
      <c r="AB13" s="9">
        <f t="shared" si="14"/>
        <v>4.57</v>
      </c>
      <c r="AC13" s="9">
        <f t="shared" si="14"/>
        <v>0.21</v>
      </c>
      <c r="AD13" s="9">
        <f t="shared" si="14"/>
        <v>3</v>
      </c>
      <c r="AE13" s="9">
        <f t="shared" si="14"/>
        <v>2.13</v>
      </c>
      <c r="AF13" s="24">
        <f t="shared" si="4"/>
        <v>3.43</v>
      </c>
      <c r="AG13" s="9"/>
      <c r="AR13" s="38"/>
      <c r="AS13" s="38"/>
    </row>
    <row r="14">
      <c r="A14" s="8" t="s">
        <v>62</v>
      </c>
      <c r="B14" s="9">
        <v>340.0</v>
      </c>
      <c r="C14" s="9">
        <v>92.0</v>
      </c>
      <c r="D14" s="9">
        <v>66.0</v>
      </c>
      <c r="E14" s="9">
        <v>36.0</v>
      </c>
      <c r="F14" s="9">
        <v>72.0</v>
      </c>
      <c r="G14" s="9">
        <v>18.0</v>
      </c>
      <c r="H14" s="10">
        <v>40.0</v>
      </c>
      <c r="I14" s="9">
        <v>6.0</v>
      </c>
      <c r="J14" s="9">
        <v>3.0</v>
      </c>
      <c r="K14" s="9">
        <v>2.0</v>
      </c>
      <c r="L14" s="9">
        <v>4.0</v>
      </c>
      <c r="M14" s="9">
        <v>1.0</v>
      </c>
      <c r="N14" s="10">
        <v>2.0</v>
      </c>
      <c r="O14" s="9">
        <v>2.0</v>
      </c>
      <c r="P14" s="9">
        <v>29.0</v>
      </c>
      <c r="Q14" s="9">
        <v>18.0</v>
      </c>
      <c r="R14" s="9">
        <v>101.0</v>
      </c>
      <c r="S14" s="9">
        <v>17.0</v>
      </c>
      <c r="T14" s="9">
        <v>18.0</v>
      </c>
      <c r="U14" s="9">
        <v>18.0</v>
      </c>
      <c r="V14" s="9">
        <v>18.0</v>
      </c>
      <c r="W14" s="9">
        <v>16.0</v>
      </c>
      <c r="X14" s="9">
        <v>14.0</v>
      </c>
      <c r="Y14" s="13">
        <f t="shared" si="2"/>
        <v>0.1782178218</v>
      </c>
      <c r="Z14" s="18">
        <f t="shared" ref="Z14:AE14" si="15">ROUND(C14/IF(S14&gt;0,S14,1),2)</f>
        <v>5.41</v>
      </c>
      <c r="AA14" s="9">
        <f t="shared" si="15"/>
        <v>3.67</v>
      </c>
      <c r="AB14" s="9">
        <f t="shared" si="15"/>
        <v>2</v>
      </c>
      <c r="AC14" s="9">
        <f t="shared" si="15"/>
        <v>4</v>
      </c>
      <c r="AD14" s="9">
        <f t="shared" si="15"/>
        <v>1.13</v>
      </c>
      <c r="AE14" s="9">
        <f t="shared" si="15"/>
        <v>2.86</v>
      </c>
      <c r="AF14" s="24">
        <f t="shared" si="4"/>
        <v>3.37</v>
      </c>
      <c r="AG14" s="9"/>
      <c r="AH14" s="38" t="s">
        <v>64</v>
      </c>
      <c r="AR14" s="38"/>
      <c r="AS14" s="38"/>
    </row>
    <row r="15">
      <c r="A15" s="27" t="s">
        <v>65</v>
      </c>
      <c r="B15" s="27">
        <v>274.0</v>
      </c>
      <c r="C15" s="27">
        <v>64.0</v>
      </c>
      <c r="D15" s="27">
        <v>50.0</v>
      </c>
      <c r="E15" s="27">
        <v>28.0</v>
      </c>
      <c r="F15" s="27">
        <v>64.0</v>
      </c>
      <c r="G15" s="27">
        <v>18.0</v>
      </c>
      <c r="H15" s="28">
        <v>54.0</v>
      </c>
      <c r="I15" s="27">
        <v>4.0</v>
      </c>
      <c r="J15" s="27">
        <v>3.0</v>
      </c>
      <c r="K15" s="27">
        <v>2.0</v>
      </c>
      <c r="L15" s="27">
        <v>4.0</v>
      </c>
      <c r="M15" s="27">
        <v>1.0</v>
      </c>
      <c r="N15" s="28">
        <v>3.0</v>
      </c>
      <c r="O15" s="27">
        <v>6.0</v>
      </c>
      <c r="P15" s="27">
        <v>26.0</v>
      </c>
      <c r="Q15" s="27">
        <v>17.0</v>
      </c>
      <c r="R15" s="27">
        <v>86.0</v>
      </c>
      <c r="S15" s="27">
        <v>15.0</v>
      </c>
      <c r="T15" s="27">
        <v>15.0</v>
      </c>
      <c r="U15" s="27">
        <v>16.0</v>
      </c>
      <c r="V15" s="27">
        <v>15.0</v>
      </c>
      <c r="W15" s="27">
        <v>14.0</v>
      </c>
      <c r="X15" s="27">
        <v>11.0</v>
      </c>
      <c r="Y15" s="13">
        <f t="shared" si="2"/>
        <v>0.1976744186</v>
      </c>
      <c r="Z15" s="18">
        <f t="shared" ref="Z15:AE15" si="16">ROUND(C15/IF(S15&gt;0,S15,1),2)</f>
        <v>4.27</v>
      </c>
      <c r="AA15" s="9">
        <f t="shared" si="16"/>
        <v>3.33</v>
      </c>
      <c r="AB15" s="9">
        <f t="shared" si="16"/>
        <v>1.75</v>
      </c>
      <c r="AC15" s="9">
        <f t="shared" si="16"/>
        <v>4.27</v>
      </c>
      <c r="AD15" s="9">
        <f t="shared" si="16"/>
        <v>1.29</v>
      </c>
      <c r="AE15" s="9">
        <f t="shared" si="16"/>
        <v>4.91</v>
      </c>
      <c r="AF15" s="24">
        <f t="shared" si="4"/>
        <v>3.19</v>
      </c>
      <c r="AG15" s="9"/>
      <c r="AR15" s="9"/>
      <c r="AS15" s="9"/>
    </row>
    <row r="16">
      <c r="A16" s="8" t="s">
        <v>67</v>
      </c>
      <c r="B16" s="9">
        <v>268.0</v>
      </c>
      <c r="C16" s="9">
        <v>42.0</v>
      </c>
      <c r="D16" s="9">
        <v>18.0</v>
      </c>
      <c r="E16" s="9">
        <v>54.0</v>
      </c>
      <c r="F16" s="9">
        <v>22.0</v>
      </c>
      <c r="G16" s="9">
        <v>64.0</v>
      </c>
      <c r="H16" s="9">
        <v>60.0</v>
      </c>
      <c r="I16" s="9">
        <v>1.0</v>
      </c>
      <c r="J16" s="9">
        <v>1.0</v>
      </c>
      <c r="K16" s="9">
        <v>3.0</v>
      </c>
      <c r="L16" s="9">
        <v>1.0</v>
      </c>
      <c r="M16" s="9">
        <v>4.0</v>
      </c>
      <c r="N16" s="9">
        <v>4.0</v>
      </c>
      <c r="O16" s="9">
        <v>2.0</v>
      </c>
      <c r="P16" s="9">
        <v>22.0</v>
      </c>
      <c r="Q16" s="9">
        <v>14.0</v>
      </c>
      <c r="R16" s="9">
        <v>89.0</v>
      </c>
      <c r="S16" s="9">
        <v>16.0</v>
      </c>
      <c r="T16" s="9">
        <v>14.0</v>
      </c>
      <c r="U16" s="9">
        <v>15.0</v>
      </c>
      <c r="V16" s="9">
        <v>16.0</v>
      </c>
      <c r="W16" s="9">
        <v>16.0</v>
      </c>
      <c r="X16" s="9">
        <v>12.0</v>
      </c>
      <c r="Y16" s="13">
        <f t="shared" si="2"/>
        <v>0.1573033708</v>
      </c>
      <c r="Z16" s="18">
        <f t="shared" ref="Z16:AE16" si="17">ROUND(C16/IF(S16&gt;0,S16,1),2)</f>
        <v>2.63</v>
      </c>
      <c r="AA16" s="9">
        <f t="shared" si="17"/>
        <v>1.29</v>
      </c>
      <c r="AB16" s="9">
        <f t="shared" si="17"/>
        <v>3.6</v>
      </c>
      <c r="AC16" s="9">
        <f t="shared" si="17"/>
        <v>1.38</v>
      </c>
      <c r="AD16" s="9">
        <f t="shared" si="17"/>
        <v>4</v>
      </c>
      <c r="AE16" s="9">
        <f t="shared" si="17"/>
        <v>5</v>
      </c>
      <c r="AF16" s="24">
        <f t="shared" si="4"/>
        <v>3.01</v>
      </c>
      <c r="AG16" s="9"/>
      <c r="AR16" s="9"/>
      <c r="AS16" s="9"/>
    </row>
    <row r="17">
      <c r="A17" s="8" t="s">
        <v>68</v>
      </c>
      <c r="B17" s="9">
        <v>292.0</v>
      </c>
      <c r="C17" s="9">
        <v>82.0</v>
      </c>
      <c r="D17" s="9">
        <v>36.0</v>
      </c>
      <c r="E17" s="9">
        <v>58.0</v>
      </c>
      <c r="F17" s="9">
        <v>48.0</v>
      </c>
      <c r="G17" s="9">
        <v>22.0</v>
      </c>
      <c r="H17" s="9">
        <v>18.0</v>
      </c>
      <c r="I17" s="9">
        <v>5.0</v>
      </c>
      <c r="J17" s="9">
        <v>2.0</v>
      </c>
      <c r="K17" s="9">
        <v>3.0</v>
      </c>
      <c r="L17" s="9">
        <v>2.0</v>
      </c>
      <c r="M17" s="9">
        <v>1.0</v>
      </c>
      <c r="N17" s="9">
        <v>1.0</v>
      </c>
      <c r="O17" s="9">
        <v>0.0</v>
      </c>
      <c r="P17" s="9">
        <v>33.0</v>
      </c>
      <c r="Q17" s="9">
        <v>14.0</v>
      </c>
      <c r="R17" s="9">
        <v>109.0</v>
      </c>
      <c r="S17" s="9">
        <v>17.0</v>
      </c>
      <c r="T17" s="9">
        <v>19.0</v>
      </c>
      <c r="U17" s="9">
        <v>18.0</v>
      </c>
      <c r="V17" s="9">
        <v>20.0</v>
      </c>
      <c r="W17" s="9">
        <v>20.0</v>
      </c>
      <c r="X17" s="9">
        <v>15.0</v>
      </c>
      <c r="Y17" s="13">
        <f t="shared" si="2"/>
        <v>0.128440367</v>
      </c>
      <c r="Z17" s="18">
        <f t="shared" ref="Z17:AE17" si="18">ROUND(C17/IF(S17&gt;0,S17,1),2)</f>
        <v>4.82</v>
      </c>
      <c r="AA17" s="9">
        <f t="shared" si="18"/>
        <v>1.89</v>
      </c>
      <c r="AB17" s="9">
        <f t="shared" si="18"/>
        <v>3.22</v>
      </c>
      <c r="AC17" s="9">
        <f t="shared" si="18"/>
        <v>2.4</v>
      </c>
      <c r="AD17" s="9">
        <f t="shared" si="18"/>
        <v>1.1</v>
      </c>
      <c r="AE17" s="9">
        <f t="shared" si="18"/>
        <v>1.2</v>
      </c>
      <c r="AF17" s="24">
        <f t="shared" si="4"/>
        <v>2.68</v>
      </c>
      <c r="AG17" s="9"/>
      <c r="AH17" s="38" t="s">
        <v>70</v>
      </c>
      <c r="AR17" s="9"/>
      <c r="AS17" s="9"/>
    </row>
    <row r="18">
      <c r="A18" s="8" t="s">
        <v>71</v>
      </c>
      <c r="B18" s="9">
        <v>152.0</v>
      </c>
      <c r="C18" s="9">
        <v>14.0</v>
      </c>
      <c r="D18" s="9">
        <v>4.0</v>
      </c>
      <c r="E18" s="9">
        <v>42.0</v>
      </c>
      <c r="F18" s="9">
        <v>40.0</v>
      </c>
      <c r="G18" s="9">
        <v>14.0</v>
      </c>
      <c r="H18" s="10">
        <v>18.0</v>
      </c>
      <c r="I18" s="9">
        <v>1.0</v>
      </c>
      <c r="J18" s="9">
        <v>0.0</v>
      </c>
      <c r="K18" s="9">
        <v>3.0</v>
      </c>
      <c r="L18" s="9">
        <v>2.0</v>
      </c>
      <c r="M18" s="9">
        <v>1.0</v>
      </c>
      <c r="N18" s="10">
        <v>1.0</v>
      </c>
      <c r="O18" s="9">
        <v>0.0</v>
      </c>
      <c r="P18" s="9">
        <v>25.0</v>
      </c>
      <c r="Q18" s="9">
        <v>8.0</v>
      </c>
      <c r="R18" s="9">
        <v>67.0</v>
      </c>
      <c r="S18" s="9">
        <v>12.0</v>
      </c>
      <c r="T18" s="9">
        <v>10.0</v>
      </c>
      <c r="U18" s="9">
        <v>12.0</v>
      </c>
      <c r="V18" s="9">
        <v>12.0</v>
      </c>
      <c r="W18" s="9">
        <v>12.0</v>
      </c>
      <c r="X18" s="9">
        <v>9.0</v>
      </c>
      <c r="Y18" s="13">
        <f t="shared" si="2"/>
        <v>0.1194029851</v>
      </c>
      <c r="Z18" s="18">
        <f t="shared" ref="Z18:AE18" si="19">ROUND(C18/IF(S18&gt;0,S18,1),2)</f>
        <v>1.17</v>
      </c>
      <c r="AA18" s="9">
        <f t="shared" si="19"/>
        <v>0.4</v>
      </c>
      <c r="AB18" s="9">
        <f t="shared" si="19"/>
        <v>3.5</v>
      </c>
      <c r="AC18" s="9">
        <f t="shared" si="19"/>
        <v>3.33</v>
      </c>
      <c r="AD18" s="9">
        <f t="shared" si="19"/>
        <v>1.17</v>
      </c>
      <c r="AE18" s="9">
        <f t="shared" si="19"/>
        <v>2</v>
      </c>
      <c r="AF18" s="24">
        <f t="shared" si="4"/>
        <v>2.27</v>
      </c>
      <c r="AG18" s="9"/>
      <c r="AR18" s="9"/>
      <c r="AS18" s="9"/>
    </row>
    <row r="19">
      <c r="A19" s="27" t="s">
        <v>73</v>
      </c>
      <c r="B19" s="27">
        <v>152.0</v>
      </c>
      <c r="C19" s="27">
        <v>32.0</v>
      </c>
      <c r="D19" s="27">
        <v>28.0</v>
      </c>
      <c r="E19" s="27">
        <v>4.0</v>
      </c>
      <c r="F19" s="27">
        <v>4.0</v>
      </c>
      <c r="G19" s="27">
        <v>36.0</v>
      </c>
      <c r="H19" s="28">
        <v>28.0</v>
      </c>
      <c r="I19" s="27">
        <v>2.0</v>
      </c>
      <c r="J19" s="27">
        <v>2.0</v>
      </c>
      <c r="K19" s="27">
        <v>0.0</v>
      </c>
      <c r="L19" s="27">
        <v>0.0</v>
      </c>
      <c r="M19" s="27">
        <v>2.0</v>
      </c>
      <c r="N19" s="28">
        <v>2.0</v>
      </c>
      <c r="O19" s="27">
        <v>4.0</v>
      </c>
      <c r="P19" s="27">
        <v>21.0</v>
      </c>
      <c r="Q19" s="27">
        <v>8.0</v>
      </c>
      <c r="R19" s="27">
        <v>68.0</v>
      </c>
      <c r="S19" s="27">
        <v>12.0</v>
      </c>
      <c r="T19" s="27">
        <v>12.0</v>
      </c>
      <c r="U19" s="27">
        <v>11.0</v>
      </c>
      <c r="V19" s="27">
        <v>12.0</v>
      </c>
      <c r="W19" s="27">
        <v>12.0</v>
      </c>
      <c r="X19" s="27">
        <v>9.0</v>
      </c>
      <c r="Y19" s="13">
        <f t="shared" si="2"/>
        <v>0.1176470588</v>
      </c>
      <c r="Z19" s="18">
        <f t="shared" ref="Z19:AE19" si="20">ROUND(C19/IF(S19&gt;0,S19,1),2)</f>
        <v>2.67</v>
      </c>
      <c r="AA19" s="9">
        <f t="shared" si="20"/>
        <v>2.33</v>
      </c>
      <c r="AB19" s="9">
        <f t="shared" si="20"/>
        <v>0.36</v>
      </c>
      <c r="AC19" s="9">
        <f t="shared" si="20"/>
        <v>0.33</v>
      </c>
      <c r="AD19" s="9">
        <f t="shared" si="20"/>
        <v>3</v>
      </c>
      <c r="AE19" s="9">
        <f t="shared" si="20"/>
        <v>3.11</v>
      </c>
      <c r="AF19" s="24">
        <f t="shared" si="4"/>
        <v>2.24</v>
      </c>
      <c r="AG19" s="9"/>
      <c r="AR19" s="9"/>
      <c r="AS19" s="9"/>
    </row>
    <row r="20">
      <c r="A20" s="8" t="s">
        <v>75</v>
      </c>
      <c r="B20" s="9">
        <v>192.0</v>
      </c>
      <c r="C20" s="9">
        <v>44.0</v>
      </c>
      <c r="D20" s="9">
        <v>8.0</v>
      </c>
      <c r="E20" s="9">
        <v>30.0</v>
      </c>
      <c r="F20" s="9">
        <v>18.0</v>
      </c>
      <c r="G20" s="9">
        <v>74.0</v>
      </c>
      <c r="H20" s="10">
        <v>22.0</v>
      </c>
      <c r="I20" s="9">
        <v>2.0</v>
      </c>
      <c r="J20" s="9">
        <v>0.0</v>
      </c>
      <c r="K20" s="9">
        <v>1.0</v>
      </c>
      <c r="L20" s="9">
        <v>1.0</v>
      </c>
      <c r="M20" s="9">
        <v>3.0</v>
      </c>
      <c r="N20" s="10">
        <v>1.0</v>
      </c>
      <c r="O20" s="9">
        <v>4.0</v>
      </c>
      <c r="P20" s="9">
        <v>31.0</v>
      </c>
      <c r="Q20" s="9">
        <v>8.0</v>
      </c>
      <c r="R20" s="9">
        <v>90.0</v>
      </c>
      <c r="S20" s="9">
        <v>16.0</v>
      </c>
      <c r="T20" s="9">
        <v>15.0</v>
      </c>
      <c r="U20" s="9">
        <v>16.0</v>
      </c>
      <c r="V20" s="9">
        <v>16.0</v>
      </c>
      <c r="W20" s="9">
        <v>16.0</v>
      </c>
      <c r="X20" s="9">
        <v>11.0</v>
      </c>
      <c r="Y20" s="13">
        <f t="shared" si="2"/>
        <v>0.08888888889</v>
      </c>
      <c r="Z20" s="18">
        <f t="shared" ref="Z20:AE20" si="21">ROUND(C20/IF(S20&gt;0,S20,1),2)</f>
        <v>2.75</v>
      </c>
      <c r="AA20" s="9">
        <f t="shared" si="21"/>
        <v>0.53</v>
      </c>
      <c r="AB20" s="9">
        <f t="shared" si="21"/>
        <v>1.88</v>
      </c>
      <c r="AC20" s="9">
        <f t="shared" si="21"/>
        <v>1.13</v>
      </c>
      <c r="AD20" s="9">
        <f t="shared" si="21"/>
        <v>4.63</v>
      </c>
      <c r="AE20" s="9">
        <f t="shared" si="21"/>
        <v>2</v>
      </c>
      <c r="AF20" s="24">
        <f t="shared" si="4"/>
        <v>2.13</v>
      </c>
      <c r="AG20" s="9"/>
      <c r="AR20" s="9"/>
      <c r="AS20" s="9"/>
    </row>
    <row r="21">
      <c r="A21" s="8" t="s">
        <v>77</v>
      </c>
      <c r="B21" s="9">
        <v>188.0</v>
      </c>
      <c r="C21" s="9">
        <v>0.0</v>
      </c>
      <c r="D21" s="9">
        <v>40.0</v>
      </c>
      <c r="E21" s="9">
        <v>40.0</v>
      </c>
      <c r="F21" s="9">
        <v>4.0</v>
      </c>
      <c r="G21" s="9">
        <v>54.0</v>
      </c>
      <c r="H21" s="10">
        <v>42.0</v>
      </c>
      <c r="I21" s="9">
        <v>0.0</v>
      </c>
      <c r="J21" s="9">
        <v>2.0</v>
      </c>
      <c r="K21" s="9">
        <v>2.0</v>
      </c>
      <c r="L21" s="9">
        <v>0.0</v>
      </c>
      <c r="M21" s="9">
        <v>3.0</v>
      </c>
      <c r="N21" s="10">
        <v>3.0</v>
      </c>
      <c r="O21" s="9">
        <v>1.0</v>
      </c>
      <c r="P21" s="9">
        <v>29.0</v>
      </c>
      <c r="Q21" s="9">
        <v>10.0</v>
      </c>
      <c r="R21" s="9">
        <v>89.0</v>
      </c>
      <c r="S21" s="9">
        <v>16.0</v>
      </c>
      <c r="T21" s="9">
        <v>15.0</v>
      </c>
      <c r="U21" s="9">
        <v>15.0</v>
      </c>
      <c r="V21" s="9">
        <v>16.0</v>
      </c>
      <c r="W21" s="9">
        <v>15.0</v>
      </c>
      <c r="X21" s="9">
        <v>12.0</v>
      </c>
      <c r="Y21" s="13">
        <f t="shared" si="2"/>
        <v>0.1123595506</v>
      </c>
      <c r="Z21" s="18">
        <f t="shared" ref="Z21:AE21" si="22">ROUND(C21/IF(S21&gt;0,S21,1),2)</f>
        <v>0</v>
      </c>
      <c r="AA21" s="9">
        <f t="shared" si="22"/>
        <v>2.67</v>
      </c>
      <c r="AB21" s="9">
        <f t="shared" si="22"/>
        <v>2.67</v>
      </c>
      <c r="AC21" s="9">
        <f t="shared" si="22"/>
        <v>0.25</v>
      </c>
      <c r="AD21" s="9">
        <f t="shared" si="22"/>
        <v>3.6</v>
      </c>
      <c r="AE21" s="9">
        <f t="shared" si="22"/>
        <v>3.5</v>
      </c>
      <c r="AF21" s="24">
        <f t="shared" si="4"/>
        <v>2.11</v>
      </c>
      <c r="AG21" s="9"/>
      <c r="AR21" s="9"/>
      <c r="AS21" s="9"/>
    </row>
    <row r="22">
      <c r="A22" s="27" t="s">
        <v>79</v>
      </c>
      <c r="B22" s="27">
        <v>156.0</v>
      </c>
      <c r="C22" s="27">
        <v>64.0</v>
      </c>
      <c r="D22" s="27">
        <v>8.0</v>
      </c>
      <c r="E22" s="27">
        <v>4.0</v>
      </c>
      <c r="F22" s="27">
        <v>18.0</v>
      </c>
      <c r="G22" s="27">
        <v>50.0</v>
      </c>
      <c r="H22" s="27">
        <v>0.0</v>
      </c>
      <c r="I22" s="27">
        <v>4.0</v>
      </c>
      <c r="J22" s="27">
        <v>0.0</v>
      </c>
      <c r="K22" s="27">
        <v>0.0</v>
      </c>
      <c r="L22" s="27">
        <v>1.0</v>
      </c>
      <c r="M22" s="27">
        <v>3.0</v>
      </c>
      <c r="N22" s="27">
        <v>0.0</v>
      </c>
      <c r="O22" s="27">
        <v>2.0</v>
      </c>
      <c r="P22" s="27">
        <v>27.0</v>
      </c>
      <c r="Q22" s="27">
        <v>8.0</v>
      </c>
      <c r="R22" s="27">
        <v>88.0</v>
      </c>
      <c r="S22" s="27">
        <v>16.0</v>
      </c>
      <c r="T22" s="27">
        <v>16.0</v>
      </c>
      <c r="U22" s="27">
        <v>15.0</v>
      </c>
      <c r="V22" s="27">
        <v>15.0</v>
      </c>
      <c r="W22" s="27">
        <v>15.0</v>
      </c>
      <c r="X22" s="27">
        <v>11.0</v>
      </c>
      <c r="Y22" s="13">
        <f t="shared" si="2"/>
        <v>0.09090909091</v>
      </c>
      <c r="Z22" s="18">
        <f t="shared" ref="Z22:AE22" si="23">ROUND(C22/IF(S22&gt;0,S22,1),2)</f>
        <v>4</v>
      </c>
      <c r="AA22" s="9">
        <f t="shared" si="23"/>
        <v>0.5</v>
      </c>
      <c r="AB22" s="9">
        <f t="shared" si="23"/>
        <v>0.27</v>
      </c>
      <c r="AC22" s="9">
        <f t="shared" si="23"/>
        <v>1.2</v>
      </c>
      <c r="AD22" s="9">
        <f t="shared" si="23"/>
        <v>3.33</v>
      </c>
      <c r="AE22" s="9">
        <f t="shared" si="23"/>
        <v>0</v>
      </c>
      <c r="AF22" s="24">
        <f t="shared" si="4"/>
        <v>1.77</v>
      </c>
      <c r="AG22" s="9"/>
      <c r="AR22" s="9"/>
      <c r="AS22" s="9"/>
    </row>
    <row r="23">
      <c r="A23" s="8" t="s">
        <v>82</v>
      </c>
      <c r="B23" s="9">
        <v>172.0</v>
      </c>
      <c r="C23" s="9">
        <v>0.0</v>
      </c>
      <c r="D23" s="9">
        <v>8.0</v>
      </c>
      <c r="E23" s="9">
        <v>34.0</v>
      </c>
      <c r="F23" s="9">
        <v>54.0</v>
      </c>
      <c r="G23" s="9">
        <v>30.0</v>
      </c>
      <c r="H23" s="10">
        <v>14.0</v>
      </c>
      <c r="I23" s="9">
        <v>0.0</v>
      </c>
      <c r="J23" s="9">
        <v>0.0</v>
      </c>
      <c r="K23" s="9">
        <v>1.0</v>
      </c>
      <c r="L23" s="9">
        <v>3.0</v>
      </c>
      <c r="M23" s="9">
        <v>1.0</v>
      </c>
      <c r="N23" s="10">
        <v>1.0</v>
      </c>
      <c r="O23" s="9">
        <v>2.0</v>
      </c>
      <c r="P23" s="9">
        <v>27.0</v>
      </c>
      <c r="Q23" s="9">
        <v>6.0</v>
      </c>
      <c r="R23" s="9">
        <v>102.0</v>
      </c>
      <c r="S23" s="9">
        <v>16.0</v>
      </c>
      <c r="T23" s="9">
        <v>18.0</v>
      </c>
      <c r="U23" s="9">
        <v>16.0</v>
      </c>
      <c r="V23" s="9">
        <v>19.0</v>
      </c>
      <c r="W23" s="9">
        <v>18.0</v>
      </c>
      <c r="X23" s="9">
        <v>15.0</v>
      </c>
      <c r="Y23" s="13">
        <f t="shared" si="2"/>
        <v>0.05882352941</v>
      </c>
      <c r="Z23" s="18">
        <f t="shared" ref="Z23:AE23" si="24">ROUND(C23/IF(S23&gt;0,S23,1),2)</f>
        <v>0</v>
      </c>
      <c r="AA23" s="9">
        <f t="shared" si="24"/>
        <v>0.44</v>
      </c>
      <c r="AB23" s="9">
        <f t="shared" si="24"/>
        <v>2.13</v>
      </c>
      <c r="AC23" s="9">
        <f t="shared" si="24"/>
        <v>2.84</v>
      </c>
      <c r="AD23" s="9">
        <f t="shared" si="24"/>
        <v>1.67</v>
      </c>
      <c r="AE23" s="9">
        <f t="shared" si="24"/>
        <v>0.93</v>
      </c>
      <c r="AF23" s="24">
        <f t="shared" si="4"/>
        <v>1.69</v>
      </c>
      <c r="AG23" s="9"/>
      <c r="AR23" s="9"/>
      <c r="AS23" s="9"/>
    </row>
    <row r="24">
      <c r="A24" s="8" t="s">
        <v>84</v>
      </c>
      <c r="B24" s="9">
        <v>148.0</v>
      </c>
      <c r="C24" s="9">
        <v>0.0</v>
      </c>
      <c r="D24" s="9">
        <v>32.0</v>
      </c>
      <c r="E24" s="9">
        <v>18.0</v>
      </c>
      <c r="F24" s="9">
        <v>4.0</v>
      </c>
      <c r="G24" s="9">
        <v>72.0</v>
      </c>
      <c r="H24" s="10">
        <v>18.0</v>
      </c>
      <c r="I24" s="9">
        <v>0.0</v>
      </c>
      <c r="J24" s="9">
        <v>2.0</v>
      </c>
      <c r="K24" s="9">
        <v>1.0</v>
      </c>
      <c r="L24" s="9">
        <v>0.0</v>
      </c>
      <c r="M24" s="9">
        <v>4.0</v>
      </c>
      <c r="N24" s="10">
        <v>1.0</v>
      </c>
      <c r="O24" s="9">
        <v>3.0</v>
      </c>
      <c r="P24" s="9">
        <v>39.0</v>
      </c>
      <c r="Q24" s="9">
        <v>8.0</v>
      </c>
      <c r="R24" s="9">
        <v>90.0</v>
      </c>
      <c r="S24" s="9">
        <v>16.0</v>
      </c>
      <c r="T24" s="9">
        <v>14.0</v>
      </c>
      <c r="U24" s="9">
        <v>16.0</v>
      </c>
      <c r="V24" s="9">
        <v>16.0</v>
      </c>
      <c r="W24" s="9">
        <v>16.0</v>
      </c>
      <c r="X24" s="9">
        <v>12.0</v>
      </c>
      <c r="Y24" s="13">
        <f t="shared" si="2"/>
        <v>0.08888888889</v>
      </c>
      <c r="Z24" s="18">
        <f t="shared" ref="Z24:AE24" si="25">ROUND(C24/IF(S24&gt;0,S24,1),2)</f>
        <v>0</v>
      </c>
      <c r="AA24" s="9">
        <f t="shared" si="25"/>
        <v>2.29</v>
      </c>
      <c r="AB24" s="9">
        <f t="shared" si="25"/>
        <v>1.13</v>
      </c>
      <c r="AC24" s="9">
        <f t="shared" si="25"/>
        <v>0.25</v>
      </c>
      <c r="AD24" s="9">
        <f t="shared" si="25"/>
        <v>4.5</v>
      </c>
      <c r="AE24" s="9">
        <f t="shared" si="25"/>
        <v>1.5</v>
      </c>
      <c r="AF24" s="24">
        <f t="shared" si="4"/>
        <v>1.64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</row>
    <row r="25">
      <c r="A25" s="27" t="s">
        <v>85</v>
      </c>
      <c r="B25" s="27">
        <v>222.0</v>
      </c>
      <c r="C25" s="27">
        <v>4.0</v>
      </c>
      <c r="D25" s="27">
        <v>40.0</v>
      </c>
      <c r="E25" s="27">
        <v>4.0</v>
      </c>
      <c r="F25" s="27">
        <v>4.0</v>
      </c>
      <c r="G25" s="27">
        <v>118.0</v>
      </c>
      <c r="H25" s="28">
        <v>4.0</v>
      </c>
      <c r="I25" s="27">
        <v>0.0</v>
      </c>
      <c r="J25" s="27">
        <v>2.0</v>
      </c>
      <c r="K25" s="27">
        <v>0.0</v>
      </c>
      <c r="L25" s="27">
        <v>0.0</v>
      </c>
      <c r="M25" s="27">
        <v>7.0</v>
      </c>
      <c r="N25" s="28">
        <v>0.0</v>
      </c>
      <c r="O25" s="27">
        <v>3.0</v>
      </c>
      <c r="P25" s="27">
        <v>60.0</v>
      </c>
      <c r="Q25" s="27">
        <v>9.0</v>
      </c>
      <c r="R25" s="27">
        <v>138.0</v>
      </c>
      <c r="S25" s="27">
        <v>24.0</v>
      </c>
      <c r="T25" s="27">
        <v>24.0</v>
      </c>
      <c r="U25" s="27">
        <v>24.0</v>
      </c>
      <c r="V25" s="27">
        <v>24.0</v>
      </c>
      <c r="W25" s="27">
        <v>24.0</v>
      </c>
      <c r="X25" s="27">
        <v>18.0</v>
      </c>
      <c r="Y25" s="13">
        <f t="shared" si="2"/>
        <v>0.0652173913</v>
      </c>
      <c r="Z25" s="18">
        <f t="shared" ref="Z25:AE25" si="26">ROUND(C25/IF(S25&gt;0,S25,1),2)</f>
        <v>0.17</v>
      </c>
      <c r="AA25" s="9">
        <f t="shared" si="26"/>
        <v>1.67</v>
      </c>
      <c r="AB25" s="9">
        <f t="shared" si="26"/>
        <v>0.17</v>
      </c>
      <c r="AC25" s="9">
        <f t="shared" si="26"/>
        <v>0.17</v>
      </c>
      <c r="AD25" s="9">
        <f t="shared" si="26"/>
        <v>4.92</v>
      </c>
      <c r="AE25" s="9">
        <f t="shared" si="26"/>
        <v>0.22</v>
      </c>
      <c r="AF25" s="24">
        <f t="shared" si="4"/>
        <v>1.61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</row>
    <row r="26">
      <c r="A26" s="27" t="s">
        <v>87</v>
      </c>
      <c r="B26" s="27">
        <v>128.0</v>
      </c>
      <c r="C26" s="27">
        <v>36.0</v>
      </c>
      <c r="D26" s="27">
        <v>28.0</v>
      </c>
      <c r="E26" s="27">
        <v>18.0</v>
      </c>
      <c r="F26" s="27">
        <v>0.0</v>
      </c>
      <c r="G26" s="27">
        <v>18.0</v>
      </c>
      <c r="H26" s="28">
        <v>0.0</v>
      </c>
      <c r="I26" s="27">
        <v>2.0</v>
      </c>
      <c r="J26" s="27">
        <v>2.0</v>
      </c>
      <c r="K26" s="27">
        <v>1.0</v>
      </c>
      <c r="L26" s="27">
        <v>0.0</v>
      </c>
      <c r="M26" s="27">
        <v>1.0</v>
      </c>
      <c r="N26" s="28">
        <v>0.0</v>
      </c>
      <c r="O26" s="27">
        <v>0.0</v>
      </c>
      <c r="P26" s="27">
        <v>38.0</v>
      </c>
      <c r="Q26" s="27">
        <v>6.0</v>
      </c>
      <c r="R26" s="27">
        <v>83.0</v>
      </c>
      <c r="S26" s="27">
        <v>15.0</v>
      </c>
      <c r="T26" s="27">
        <v>14.0</v>
      </c>
      <c r="U26" s="27">
        <v>17.0</v>
      </c>
      <c r="V26" s="27">
        <v>13.0</v>
      </c>
      <c r="W26" s="27">
        <v>14.0</v>
      </c>
      <c r="X26" s="27">
        <v>10.0</v>
      </c>
      <c r="Y26" s="13">
        <f t="shared" si="2"/>
        <v>0.07228915663</v>
      </c>
      <c r="Z26" s="18">
        <f t="shared" ref="Z26:AE26" si="27">ROUND(C26/IF(S26&gt;0,S26,1),2)</f>
        <v>2.4</v>
      </c>
      <c r="AA26" s="9">
        <f t="shared" si="27"/>
        <v>2</v>
      </c>
      <c r="AB26" s="9">
        <f t="shared" si="27"/>
        <v>1.06</v>
      </c>
      <c r="AC26" s="9">
        <f t="shared" si="27"/>
        <v>0</v>
      </c>
      <c r="AD26" s="9">
        <f t="shared" si="27"/>
        <v>1.29</v>
      </c>
      <c r="AE26" s="9">
        <f t="shared" si="27"/>
        <v>0</v>
      </c>
      <c r="AF26" s="24">
        <f t="shared" si="4"/>
        <v>1.54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</row>
    <row r="27">
      <c r="A27" s="27" t="s">
        <v>91</v>
      </c>
      <c r="B27" s="27">
        <v>162.0</v>
      </c>
      <c r="C27" s="27">
        <v>64.0</v>
      </c>
      <c r="D27" s="27">
        <v>4.0</v>
      </c>
      <c r="E27" s="27">
        <v>32.0</v>
      </c>
      <c r="F27" s="27">
        <v>22.0</v>
      </c>
      <c r="G27" s="27">
        <v>0.0</v>
      </c>
      <c r="H27" s="28">
        <v>32.0</v>
      </c>
      <c r="I27" s="27">
        <v>4.0</v>
      </c>
      <c r="J27" s="27">
        <v>0.0</v>
      </c>
      <c r="K27" s="27">
        <v>2.0</v>
      </c>
      <c r="L27" s="27">
        <v>1.0</v>
      </c>
      <c r="M27" s="27">
        <v>0.0</v>
      </c>
      <c r="N27" s="28">
        <v>2.0</v>
      </c>
      <c r="O27" s="27">
        <v>4.0</v>
      </c>
      <c r="P27" s="27">
        <v>43.0</v>
      </c>
      <c r="Q27" s="27">
        <v>9.0</v>
      </c>
      <c r="R27" s="27">
        <v>106.0</v>
      </c>
      <c r="S27" s="27">
        <v>19.0</v>
      </c>
      <c r="T27" s="27">
        <v>17.0</v>
      </c>
      <c r="U27" s="27">
        <v>19.0</v>
      </c>
      <c r="V27" s="27">
        <v>19.0</v>
      </c>
      <c r="W27" s="27">
        <v>18.0</v>
      </c>
      <c r="X27" s="27">
        <v>14.0</v>
      </c>
      <c r="Y27" s="13">
        <f t="shared" si="2"/>
        <v>0.08490566038</v>
      </c>
      <c r="Z27" s="18">
        <f t="shared" ref="Z27:AE27" si="28">ROUND(C27/IF(S27&gt;0,S27,1),2)</f>
        <v>3.37</v>
      </c>
      <c r="AA27" s="9">
        <f t="shared" si="28"/>
        <v>0.24</v>
      </c>
      <c r="AB27" s="9">
        <f t="shared" si="28"/>
        <v>1.68</v>
      </c>
      <c r="AC27" s="9">
        <f t="shared" si="28"/>
        <v>1.16</v>
      </c>
      <c r="AD27" s="9">
        <f t="shared" si="28"/>
        <v>0</v>
      </c>
      <c r="AE27" s="9">
        <f t="shared" si="28"/>
        <v>2.29</v>
      </c>
      <c r="AF27" s="24">
        <f t="shared" si="4"/>
        <v>1.53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</row>
    <row r="28">
      <c r="A28" s="27" t="s">
        <v>93</v>
      </c>
      <c r="B28" s="27">
        <v>100.0</v>
      </c>
      <c r="C28" s="27">
        <v>4.0</v>
      </c>
      <c r="D28" s="27">
        <v>14.0</v>
      </c>
      <c r="E28" s="27">
        <v>4.0</v>
      </c>
      <c r="F28" s="27">
        <v>0.0</v>
      </c>
      <c r="G28" s="27">
        <v>32.0</v>
      </c>
      <c r="H28" s="28">
        <v>14.0</v>
      </c>
      <c r="I28" s="27">
        <v>0.0</v>
      </c>
      <c r="J28" s="27">
        <v>1.0</v>
      </c>
      <c r="K28" s="27">
        <v>0.0</v>
      </c>
      <c r="L28" s="27">
        <v>0.0</v>
      </c>
      <c r="M28" s="27">
        <v>2.0</v>
      </c>
      <c r="N28" s="28">
        <v>1.0</v>
      </c>
      <c r="O28" s="27">
        <v>2.0</v>
      </c>
      <c r="P28" s="27">
        <v>37.0</v>
      </c>
      <c r="Q28" s="27">
        <v>4.0</v>
      </c>
      <c r="R28" s="27">
        <v>85.0</v>
      </c>
      <c r="S28" s="27">
        <v>14.0</v>
      </c>
      <c r="T28" s="27">
        <v>14.0</v>
      </c>
      <c r="U28" s="27">
        <v>16.0</v>
      </c>
      <c r="V28" s="27">
        <v>15.0</v>
      </c>
      <c r="W28" s="27">
        <v>15.0</v>
      </c>
      <c r="X28" s="27">
        <v>11.0</v>
      </c>
      <c r="Y28" s="13">
        <f t="shared" si="2"/>
        <v>0.04705882353</v>
      </c>
      <c r="Z28" s="18">
        <f t="shared" ref="Z28:AE28" si="29">ROUND(C28/IF(S28&gt;0,S28,1),2)</f>
        <v>0.29</v>
      </c>
      <c r="AA28" s="9">
        <f t="shared" si="29"/>
        <v>1</v>
      </c>
      <c r="AB28" s="9">
        <f t="shared" si="29"/>
        <v>0.25</v>
      </c>
      <c r="AC28" s="9">
        <f t="shared" si="29"/>
        <v>0</v>
      </c>
      <c r="AD28" s="9">
        <f t="shared" si="29"/>
        <v>2.13</v>
      </c>
      <c r="AE28" s="9">
        <f t="shared" si="29"/>
        <v>1.27</v>
      </c>
      <c r="AF28" s="24">
        <f t="shared" si="4"/>
        <v>1.18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</row>
    <row r="29">
      <c r="A29" s="27" t="s">
        <v>95</v>
      </c>
      <c r="B29" s="27">
        <v>52.0</v>
      </c>
      <c r="C29" s="27">
        <v>22.0</v>
      </c>
      <c r="D29" s="27">
        <v>4.0</v>
      </c>
      <c r="E29" s="27">
        <v>4.0</v>
      </c>
      <c r="F29" s="27">
        <v>4.0</v>
      </c>
      <c r="G29" s="27">
        <v>14.0</v>
      </c>
      <c r="H29" s="28">
        <v>4.0</v>
      </c>
      <c r="I29" s="27">
        <v>1.0</v>
      </c>
      <c r="J29" s="27">
        <v>0.0</v>
      </c>
      <c r="K29" s="27">
        <v>0.0</v>
      </c>
      <c r="L29" s="27">
        <v>0.0</v>
      </c>
      <c r="M29" s="27">
        <v>1.0</v>
      </c>
      <c r="N29" s="28">
        <v>0.0</v>
      </c>
      <c r="O29" s="27">
        <v>2.0</v>
      </c>
      <c r="P29" s="27">
        <v>20.0</v>
      </c>
      <c r="Q29" s="27">
        <v>2.0</v>
      </c>
      <c r="R29" s="27">
        <v>46.0</v>
      </c>
      <c r="S29" s="27">
        <v>8.0</v>
      </c>
      <c r="T29" s="27">
        <v>8.0</v>
      </c>
      <c r="U29" s="27">
        <v>9.0</v>
      </c>
      <c r="V29" s="27">
        <v>7.0</v>
      </c>
      <c r="W29" s="27">
        <v>8.0</v>
      </c>
      <c r="X29" s="27">
        <v>6.0</v>
      </c>
      <c r="Y29" s="13">
        <f t="shared" si="2"/>
        <v>0.04347826087</v>
      </c>
      <c r="Z29" s="18">
        <f t="shared" ref="Z29:AE29" si="30">ROUND(C29/IF(S29&gt;0,S29,1),2)</f>
        <v>2.75</v>
      </c>
      <c r="AA29" s="9">
        <f t="shared" si="30"/>
        <v>0.5</v>
      </c>
      <c r="AB29" s="9">
        <f t="shared" si="30"/>
        <v>0.44</v>
      </c>
      <c r="AC29" s="9">
        <f t="shared" si="30"/>
        <v>0.57</v>
      </c>
      <c r="AD29" s="9">
        <f t="shared" si="30"/>
        <v>1.75</v>
      </c>
      <c r="AE29" s="9">
        <f t="shared" si="30"/>
        <v>0.67</v>
      </c>
      <c r="AF29" s="24">
        <f t="shared" si="4"/>
        <v>1.13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</row>
    <row r="30">
      <c r="A30" s="27" t="s">
        <v>96</v>
      </c>
      <c r="B30" s="27">
        <v>108.0</v>
      </c>
      <c r="C30" s="27">
        <v>4.0</v>
      </c>
      <c r="D30" s="27">
        <v>8.0</v>
      </c>
      <c r="E30" s="27">
        <v>4.0</v>
      </c>
      <c r="F30" s="27">
        <v>44.0</v>
      </c>
      <c r="G30" s="27">
        <v>4.0</v>
      </c>
      <c r="H30" s="28">
        <v>4.0</v>
      </c>
      <c r="I30" s="27">
        <v>0.0</v>
      </c>
      <c r="J30" s="27">
        <v>0.0</v>
      </c>
      <c r="K30" s="27">
        <v>0.0</v>
      </c>
      <c r="L30" s="27">
        <v>2.0</v>
      </c>
      <c r="M30" s="27">
        <v>0.0</v>
      </c>
      <c r="N30" s="28">
        <v>0.0</v>
      </c>
      <c r="O30" s="27">
        <v>1.0</v>
      </c>
      <c r="P30" s="27">
        <v>38.0</v>
      </c>
      <c r="Q30" s="27">
        <v>2.0</v>
      </c>
      <c r="R30" s="27">
        <v>111.0</v>
      </c>
      <c r="S30" s="27">
        <v>20.0</v>
      </c>
      <c r="T30" s="27">
        <v>20.0</v>
      </c>
      <c r="U30" s="27">
        <v>19.0</v>
      </c>
      <c r="V30" s="27">
        <v>19.0</v>
      </c>
      <c r="W30" s="27">
        <v>19.0</v>
      </c>
      <c r="X30" s="27">
        <v>14.0</v>
      </c>
      <c r="Y30" s="13">
        <f t="shared" si="2"/>
        <v>0.01801801802</v>
      </c>
      <c r="Z30" s="18">
        <f t="shared" ref="Z30:AE30" si="31">ROUND(C30/IF(S30&gt;0,S30,1),2)</f>
        <v>0.2</v>
      </c>
      <c r="AA30" s="9">
        <f t="shared" si="31"/>
        <v>0.4</v>
      </c>
      <c r="AB30" s="9">
        <f t="shared" si="31"/>
        <v>0.21</v>
      </c>
      <c r="AC30" s="9">
        <f t="shared" si="31"/>
        <v>2.32</v>
      </c>
      <c r="AD30" s="9">
        <f t="shared" si="31"/>
        <v>0.21</v>
      </c>
      <c r="AE30" s="9">
        <f t="shared" si="31"/>
        <v>0.29</v>
      </c>
      <c r="AF30" s="24">
        <f t="shared" si="4"/>
        <v>0.97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</row>
    <row r="31">
      <c r="A31" s="8" t="s">
        <v>98</v>
      </c>
      <c r="B31" s="9">
        <v>82.0</v>
      </c>
      <c r="C31" s="9">
        <v>0.0</v>
      </c>
      <c r="D31" s="9">
        <v>0.0</v>
      </c>
      <c r="E31" s="9">
        <v>0.0</v>
      </c>
      <c r="F31" s="9">
        <v>4.0</v>
      </c>
      <c r="G31" s="9">
        <v>14.0</v>
      </c>
      <c r="H31" s="10">
        <v>4.0</v>
      </c>
      <c r="I31" s="9">
        <v>0.0</v>
      </c>
      <c r="J31" s="9">
        <v>0.0</v>
      </c>
      <c r="K31" s="9">
        <v>0.0</v>
      </c>
      <c r="L31" s="9">
        <v>0.0</v>
      </c>
      <c r="M31" s="9">
        <v>1.0</v>
      </c>
      <c r="N31" s="10">
        <v>0.0</v>
      </c>
      <c r="O31" s="9">
        <v>1.0</v>
      </c>
      <c r="P31" s="9">
        <v>30.0</v>
      </c>
      <c r="Q31" s="9">
        <v>1.0</v>
      </c>
      <c r="R31" s="9">
        <v>90.0</v>
      </c>
      <c r="S31" s="9">
        <v>16.0</v>
      </c>
      <c r="T31" s="9">
        <v>15.0</v>
      </c>
      <c r="U31" s="9">
        <v>16.0</v>
      </c>
      <c r="V31" s="9">
        <v>16.0</v>
      </c>
      <c r="W31" s="9">
        <v>16.0</v>
      </c>
      <c r="X31" s="9">
        <v>11.0</v>
      </c>
      <c r="Y31" s="13">
        <f t="shared" si="2"/>
        <v>0.01111111111</v>
      </c>
      <c r="Z31" s="18">
        <f t="shared" ref="Z31:AE31" si="32">ROUND(C31/IF(S31&gt;0,S31,1),2)</f>
        <v>0</v>
      </c>
      <c r="AA31" s="9">
        <f t="shared" si="32"/>
        <v>0</v>
      </c>
      <c r="AB31" s="9">
        <f t="shared" si="32"/>
        <v>0</v>
      </c>
      <c r="AC31" s="9">
        <f t="shared" si="32"/>
        <v>0.25</v>
      </c>
      <c r="AD31" s="9">
        <f t="shared" si="32"/>
        <v>0.88</v>
      </c>
      <c r="AE31" s="9">
        <f t="shared" si="32"/>
        <v>0.36</v>
      </c>
      <c r="AF31" s="24">
        <f t="shared" si="4"/>
        <v>0.91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>
      <c r="A32" s="8" t="s">
        <v>100</v>
      </c>
      <c r="B32" s="9">
        <v>78.0</v>
      </c>
      <c r="C32" s="9">
        <v>0.0</v>
      </c>
      <c r="D32" s="9">
        <v>14.0</v>
      </c>
      <c r="E32" s="9">
        <v>4.0</v>
      </c>
      <c r="F32" s="9">
        <v>0.0</v>
      </c>
      <c r="G32" s="9">
        <v>14.0</v>
      </c>
      <c r="H32" s="10">
        <v>26.0</v>
      </c>
      <c r="I32" s="9">
        <v>0.0</v>
      </c>
      <c r="J32" s="9">
        <v>1.0</v>
      </c>
      <c r="K32" s="9">
        <v>0.0</v>
      </c>
      <c r="L32" s="9">
        <v>0.0</v>
      </c>
      <c r="M32" s="9">
        <v>1.0</v>
      </c>
      <c r="N32" s="10">
        <v>1.0</v>
      </c>
      <c r="O32" s="9">
        <v>0.0</v>
      </c>
      <c r="P32" s="9">
        <v>37.0</v>
      </c>
      <c r="Q32" s="9">
        <v>3.0</v>
      </c>
      <c r="R32" s="9">
        <v>92.0</v>
      </c>
      <c r="S32" s="9">
        <v>16.0</v>
      </c>
      <c r="T32" s="9">
        <v>16.0</v>
      </c>
      <c r="U32" s="9">
        <v>16.0</v>
      </c>
      <c r="V32" s="9">
        <v>16.0</v>
      </c>
      <c r="W32" s="9">
        <v>16.0</v>
      </c>
      <c r="X32" s="9">
        <v>12.0</v>
      </c>
      <c r="Y32" s="13">
        <f t="shared" si="2"/>
        <v>0.03260869565</v>
      </c>
      <c r="Z32" s="18">
        <f t="shared" ref="Z32:AE32" si="33">ROUND(C32/IF(S32&gt;0,S32,1),2)</f>
        <v>0</v>
      </c>
      <c r="AA32" s="9">
        <f t="shared" si="33"/>
        <v>0.88</v>
      </c>
      <c r="AB32" s="9">
        <f t="shared" si="33"/>
        <v>0.25</v>
      </c>
      <c r="AC32" s="9">
        <f t="shared" si="33"/>
        <v>0</v>
      </c>
      <c r="AD32" s="9">
        <f t="shared" si="33"/>
        <v>0.88</v>
      </c>
      <c r="AE32" s="9">
        <f t="shared" si="33"/>
        <v>2.17</v>
      </c>
      <c r="AF32" s="24">
        <f t="shared" si="4"/>
        <v>0.85</v>
      </c>
    </row>
    <row r="33">
      <c r="A33" s="27" t="s">
        <v>101</v>
      </c>
      <c r="B33" s="27">
        <v>52.0</v>
      </c>
      <c r="C33" s="27">
        <v>36.0</v>
      </c>
      <c r="D33" s="27">
        <v>0.0</v>
      </c>
      <c r="E33" s="27">
        <v>0.0</v>
      </c>
      <c r="F33" s="27">
        <v>0.0</v>
      </c>
      <c r="G33" s="27">
        <v>0.0</v>
      </c>
      <c r="H33" s="27">
        <v>4.0</v>
      </c>
      <c r="I33" s="27">
        <v>2.0</v>
      </c>
      <c r="J33" s="27">
        <v>0.0</v>
      </c>
      <c r="K33" s="27">
        <v>0.0</v>
      </c>
      <c r="L33" s="27">
        <v>0.0</v>
      </c>
      <c r="M33" s="27">
        <v>0.0</v>
      </c>
      <c r="N33" s="27">
        <v>0.0</v>
      </c>
      <c r="O33" s="27">
        <v>0.0</v>
      </c>
      <c r="P33" s="27">
        <v>25.0</v>
      </c>
      <c r="Q33" s="27">
        <v>2.0</v>
      </c>
      <c r="R33" s="27">
        <v>85.0</v>
      </c>
      <c r="S33" s="27">
        <v>15.0</v>
      </c>
      <c r="T33" s="27">
        <v>15.0</v>
      </c>
      <c r="U33" s="27">
        <v>15.0</v>
      </c>
      <c r="V33" s="27">
        <v>14.0</v>
      </c>
      <c r="W33" s="27">
        <v>15.0</v>
      </c>
      <c r="X33" s="27">
        <v>11.0</v>
      </c>
      <c r="Y33" s="13">
        <f t="shared" si="2"/>
        <v>0.02352941176</v>
      </c>
      <c r="Z33" s="18">
        <f t="shared" ref="Z33:AE33" si="34">ROUND(C33/IF(S33&gt;0,S33,1),2)</f>
        <v>2.4</v>
      </c>
      <c r="AA33" s="9">
        <f t="shared" si="34"/>
        <v>0</v>
      </c>
      <c r="AB33" s="9">
        <f t="shared" si="34"/>
        <v>0</v>
      </c>
      <c r="AC33" s="9">
        <f t="shared" si="34"/>
        <v>0</v>
      </c>
      <c r="AD33" s="9">
        <f t="shared" si="34"/>
        <v>0</v>
      </c>
      <c r="AE33" s="9">
        <f t="shared" si="34"/>
        <v>0.36</v>
      </c>
      <c r="AF33" s="24">
        <f t="shared" si="4"/>
        <v>0.61</v>
      </c>
    </row>
  </sheetData>
  <mergeCells count="6">
    <mergeCell ref="AH3:AQ3"/>
    <mergeCell ref="AH4:AQ5"/>
    <mergeCell ref="AH6:AQ9"/>
    <mergeCell ref="AH10:AQ13"/>
    <mergeCell ref="AH14:AQ16"/>
    <mergeCell ref="AH17:AQ20"/>
  </mergeCells>
  <conditionalFormatting sqref="Z2:Z33">
    <cfRule type="colorScale" priority="1">
      <colorScale>
        <cfvo type="min"/>
        <cfvo type="percentile" val="70"/>
        <cfvo type="max"/>
        <color rgb="FFFFFFFF"/>
        <color rgb="FFD9EAD3"/>
        <color rgb="FF57BB8A"/>
      </colorScale>
    </cfRule>
  </conditionalFormatting>
  <conditionalFormatting sqref="AA2:AA33">
    <cfRule type="colorScale" priority="2">
      <colorScale>
        <cfvo type="min"/>
        <cfvo type="percentile" val="70"/>
        <cfvo type="max"/>
        <color rgb="FFFFFFFF"/>
        <color rgb="FFF4CCCC"/>
        <color rgb="FFE06666"/>
      </colorScale>
    </cfRule>
  </conditionalFormatting>
  <conditionalFormatting sqref="AB2:AB33">
    <cfRule type="colorScale" priority="3">
      <colorScale>
        <cfvo type="min"/>
        <cfvo type="percentile" val="70"/>
        <cfvo type="max"/>
        <color rgb="FFFFFFFF"/>
        <color rgb="FFFFF2CC"/>
        <color rgb="FFFFD666"/>
      </colorScale>
    </cfRule>
  </conditionalFormatting>
  <conditionalFormatting sqref="AC2:AC33">
    <cfRule type="colorScale" priority="4">
      <colorScale>
        <cfvo type="min"/>
        <cfvo type="percentile" val="70"/>
        <cfvo type="max"/>
        <color rgb="FFFFFFFF"/>
        <color rgb="FFD9D2E9"/>
        <color rgb="FFB4A7D6"/>
      </colorScale>
    </cfRule>
  </conditionalFormatting>
  <conditionalFormatting sqref="AD2:AD33">
    <cfRule type="colorScale" priority="5">
      <colorScale>
        <cfvo type="min"/>
        <cfvo type="percentile" val="70"/>
        <cfvo type="max"/>
        <color rgb="FFFFFFFF"/>
        <color rgb="FFCFE2F3"/>
        <color rgb="FF6FA8DC"/>
      </colorScale>
    </cfRule>
  </conditionalFormatting>
  <conditionalFormatting sqref="AE2:AE33">
    <cfRule type="colorScale" priority="6">
      <colorScale>
        <cfvo type="min"/>
        <cfvo type="percentile" val="70"/>
        <cfvo type="max"/>
        <color rgb="FFFFFFFF"/>
        <color rgb="FFDBFFFF"/>
        <color rgb="FF7BEFEF"/>
      </colorScale>
    </cfRule>
  </conditionalFormatting>
  <conditionalFormatting sqref="AF2">
    <cfRule type="notContainsBlanks" dxfId="3" priority="7">
      <formula>LEN(TRIM(AF2))&gt;0</formula>
    </cfRule>
  </conditionalFormatting>
  <conditionalFormatting sqref="AF3">
    <cfRule type="notContainsBlanks" dxfId="4" priority="8">
      <formula>LEN(TRIM(AF3))&gt;0</formula>
    </cfRule>
  </conditionalFormatting>
  <conditionalFormatting sqref="AF4">
    <cfRule type="notContainsBlanks" dxfId="5" priority="9">
      <formula>LEN(TRIM(AF4))&gt;0</formula>
    </cfRule>
  </conditionalFormatting>
  <conditionalFormatting sqref="AF2:AF33">
    <cfRule type="colorScale" priority="10">
      <colorScale>
        <cfvo type="min"/>
        <cfvo type="percentile" val="70"/>
        <cfvo type="max"/>
        <color rgb="FFFFFFFF"/>
        <color rgb="FFD9EAD3"/>
        <color rgb="FF57BB8A"/>
      </colorScale>
    </cfRule>
  </conditionalFormatting>
  <conditionalFormatting sqref="O2:O22 O24 O26:O32">
    <cfRule type="colorScale" priority="11">
      <colorScale>
        <cfvo type="min"/>
        <cfvo type="percentile" val="90"/>
        <cfvo type="max"/>
        <color rgb="FFFFFFFF"/>
        <color rgb="FFF4CCCC"/>
        <color rgb="FFE06666"/>
      </colorScale>
    </cfRule>
  </conditionalFormatting>
  <conditionalFormatting sqref="Y2:Y33">
    <cfRule type="colorScale" priority="12">
      <colorScale>
        <cfvo type="min"/>
        <cfvo type="percentile" val="70"/>
        <cfvo type="max"/>
        <color rgb="FFFFFFFF"/>
        <color rgb="FFD9EAD3"/>
        <color rgb="FF57BB8A"/>
      </colorScale>
    </cfRule>
  </conditionalFormatting>
  <drawing r:id="rId1"/>
</worksheet>
</file>