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5"/>
    <sheet state="hidden" name="Sorted" sheetId="2" r:id="rId6"/>
    <sheet state="hidden" name="Full" sheetId="3" r:id="rId7"/>
    <sheet state="hidden" name="Sorted Team" sheetId="4" r:id="rId8"/>
    <sheet state="visible" name="Stats" sheetId="5" r:id="rId9"/>
    <sheet state="visible" name="Team Stats" sheetId="6" r:id="rId10"/>
    <sheet state="visible" name="X-Risk" sheetId="7" r:id="rId11"/>
    <sheet state="visible" name="Math" sheetId="8" r:id="rId12"/>
    <sheet state="visible" name="Chemistry" sheetId="9" r:id="rId13"/>
    <sheet state="visible" name="EarthSpace" sheetId="10" r:id="rId14"/>
    <sheet state="visible" name="Biology" sheetId="11" r:id="rId15"/>
    <sheet state="visible" name="Physics" sheetId="12" r:id="rId16"/>
  </sheets>
  <definedNames/>
  <calcPr/>
</workbook>
</file>

<file path=xl/sharedStrings.xml><?xml version="1.0" encoding="utf-8"?>
<sst xmlns="http://schemas.openxmlformats.org/spreadsheetml/2006/main" count="3977" uniqueCount="100">
  <si>
    <t>Shen B</t>
  </si>
  <si>
    <t>Bethlehem</t>
  </si>
  <si>
    <t>Niskayuna B</t>
  </si>
  <si>
    <t>Morris Hills</t>
  </si>
  <si>
    <t>BHBL B</t>
  </si>
  <si>
    <t>WWPN</t>
  </si>
  <si>
    <t>Niskayuna A</t>
  </si>
  <si>
    <t>Shen C</t>
  </si>
  <si>
    <t>BHBL A</t>
  </si>
  <si>
    <t>CBA</t>
  </si>
  <si>
    <t>Bonus</t>
  </si>
  <si>
    <t>Score</t>
  </si>
  <si>
    <t>Kevin</t>
  </si>
  <si>
    <t>Ian</t>
  </si>
  <si>
    <t>Nicole</t>
  </si>
  <si>
    <t>Wyatt</t>
  </si>
  <si>
    <t>Liam</t>
  </si>
  <si>
    <t>Lily</t>
  </si>
  <si>
    <t>Matt</t>
  </si>
  <si>
    <t>Mihir</t>
  </si>
  <si>
    <t>Tarun</t>
  </si>
  <si>
    <t>Arjun</t>
  </si>
  <si>
    <t>Faiz</t>
  </si>
  <si>
    <t>Daniel</t>
  </si>
  <si>
    <t>Joseph</t>
  </si>
  <si>
    <t>Jamis</t>
  </si>
  <si>
    <t>Ankur</t>
  </si>
  <si>
    <t>Karl</t>
  </si>
  <si>
    <t>Matthew</t>
  </si>
  <si>
    <t>Myles</t>
  </si>
  <si>
    <t>Chad</t>
  </si>
  <si>
    <t>Jack</t>
  </si>
  <si>
    <t>Madeline</t>
  </si>
  <si>
    <t>Iris</t>
  </si>
  <si>
    <t>Alex</t>
  </si>
  <si>
    <t>Aarush</t>
  </si>
  <si>
    <t>Cheuk</t>
  </si>
  <si>
    <t>James</t>
  </si>
  <si>
    <t>Kagame</t>
  </si>
  <si>
    <t>Asif</t>
  </si>
  <si>
    <t>Colin</t>
  </si>
  <si>
    <t>Hubert</t>
  </si>
  <si>
    <t>Ethan</t>
  </si>
  <si>
    <t>Aivin</t>
  </si>
  <si>
    <t>Jo</t>
  </si>
  <si>
    <t>Jacob</t>
  </si>
  <si>
    <t>Aakaash</t>
  </si>
  <si>
    <t>Aditya</t>
  </si>
  <si>
    <t>Brendan</t>
  </si>
  <si>
    <t>Eashan</t>
  </si>
  <si>
    <t>Shreyash</t>
  </si>
  <si>
    <t>Rithik</t>
  </si>
  <si>
    <t>Aldric</t>
  </si>
  <si>
    <t>X</t>
  </si>
  <si>
    <t>M</t>
  </si>
  <si>
    <t>C</t>
  </si>
  <si>
    <t>E</t>
  </si>
  <si>
    <t>B</t>
  </si>
  <si>
    <t>P</t>
  </si>
  <si>
    <t>Overall</t>
  </si>
  <si>
    <t>Team</t>
  </si>
  <si>
    <t>GP</t>
  </si>
  <si>
    <t>TUH</t>
  </si>
  <si>
    <t>TU</t>
  </si>
  <si>
    <t>Neg</t>
  </si>
  <si>
    <t>TU/Neg</t>
  </si>
  <si>
    <t>Points</t>
  </si>
  <si>
    <t>PPG</t>
  </si>
  <si>
    <t>X TU</t>
  </si>
  <si>
    <t>X Neg</t>
  </si>
  <si>
    <t>X PPG</t>
  </si>
  <si>
    <t>M TU</t>
  </si>
  <si>
    <t>M Neg</t>
  </si>
  <si>
    <t>M PPG</t>
  </si>
  <si>
    <t>C TU</t>
  </si>
  <si>
    <t>C Neg</t>
  </si>
  <si>
    <t>C PPG</t>
  </si>
  <si>
    <t>E TU</t>
  </si>
  <si>
    <t>E Neg</t>
  </si>
  <si>
    <t>E PPG</t>
  </si>
  <si>
    <t>B TU</t>
  </si>
  <si>
    <t>B Neg</t>
  </si>
  <si>
    <t>B PPG</t>
  </si>
  <si>
    <t>P TU</t>
  </si>
  <si>
    <t>P Neg</t>
  </si>
  <si>
    <t>P PPG</t>
  </si>
  <si>
    <t>Infinity</t>
  </si>
  <si>
    <t>Bonus %</t>
  </si>
  <si>
    <t>X Bonus</t>
  </si>
  <si>
    <t>X Bonus %</t>
  </si>
  <si>
    <t>M Bonus</t>
  </si>
  <si>
    <t>M Bonus %</t>
  </si>
  <si>
    <t>C Bonus</t>
  </si>
  <si>
    <t>C Bonus %</t>
  </si>
  <si>
    <t>E Bonus</t>
  </si>
  <si>
    <t>E Bonus %</t>
  </si>
  <si>
    <t>B Bonus</t>
  </si>
  <si>
    <t>B Bonus %</t>
  </si>
  <si>
    <t>P Bonus</t>
  </si>
  <si>
    <t>P Bonus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</si>
</sst>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3" numFmtId="0" xfId="0" applyFont="1"/>
    <xf borderId="0" fillId="0" fontId="1" numFmtId="164" xfId="0" applyAlignment="1" applyFont="1" applyNumberFormat="1">
      <alignment horizontal="right" readingOrder="0"/>
    </xf>
    <xf borderId="0" fillId="0" fontId="1" numFmtId="9" xfId="0" applyAlignment="1" applyFont="1" applyNumberFormat="1">
      <alignment horizontal="right"/>
    </xf>
    <xf borderId="0" fillId="0" fontId="1" numFmtId="1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6.38"/>
  </cols>
  <sheetData>
    <row r="1">
      <c r="A1" s="2" t="s">
        <v>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6</v>
      </c>
      <c r="L1" s="2" t="s">
        <v>6</v>
      </c>
      <c r="M1" s="2" t="s">
        <v>6</v>
      </c>
      <c r="N1" s="2" t="s">
        <v>6</v>
      </c>
      <c r="O1" s="2" t="s">
        <v>6</v>
      </c>
      <c r="P1" s="2" t="s">
        <v>7</v>
      </c>
      <c r="Q1" s="2" t="s">
        <v>7</v>
      </c>
      <c r="R1" s="2" t="s">
        <v>7</v>
      </c>
      <c r="S1" s="2" t="s">
        <v>7</v>
      </c>
      <c r="T1" s="2" t="s">
        <v>7</v>
      </c>
      <c r="U1" s="2" t="s">
        <v>8</v>
      </c>
      <c r="V1" s="2" t="s">
        <v>8</v>
      </c>
      <c r="W1" s="2" t="s">
        <v>8</v>
      </c>
      <c r="X1" s="2" t="s">
        <v>8</v>
      </c>
      <c r="Y1" s="2" t="s">
        <v>8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9</v>
      </c>
      <c r="AF1" s="2" t="s">
        <v>9</v>
      </c>
      <c r="AG1" s="2" t="s">
        <v>9</v>
      </c>
      <c r="AH1" s="2" t="s">
        <v>9</v>
      </c>
      <c r="AI1" s="2" t="s">
        <v>9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</row>
    <row r="2">
      <c r="A2" s="2" t="s">
        <v>12</v>
      </c>
      <c r="B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39</v>
      </c>
      <c r="AG2" s="2" t="s">
        <v>40</v>
      </c>
      <c r="AH2" s="2" t="s">
        <v>41</v>
      </c>
      <c r="AI2" s="2" t="s">
        <v>42</v>
      </c>
      <c r="AJ2" s="2" t="s">
        <v>43</v>
      </c>
      <c r="AK2" s="2" t="s">
        <v>44</v>
      </c>
      <c r="AL2" s="2" t="s">
        <v>45</v>
      </c>
      <c r="AM2" s="2" t="s">
        <v>12</v>
      </c>
      <c r="AN2" s="2" t="s">
        <v>46</v>
      </c>
      <c r="AO2" s="2" t="s">
        <v>47</v>
      </c>
      <c r="AP2" s="2" t="s">
        <v>48</v>
      </c>
      <c r="AQ2" s="2" t="s">
        <v>49</v>
      </c>
      <c r="AT2" s="2" t="s">
        <v>50</v>
      </c>
      <c r="AU2" s="2" t="s">
        <v>51</v>
      </c>
      <c r="AV2" s="2" t="s">
        <v>21</v>
      </c>
      <c r="AW2" s="2" t="s">
        <v>52</v>
      </c>
    </row>
    <row r="3">
      <c r="A3" s="2" t="b">
        <v>1</v>
      </c>
      <c r="B3" s="2" t="b">
        <v>1</v>
      </c>
      <c r="C3" s="2" t="b">
        <v>0</v>
      </c>
      <c r="D3" s="2" t="b">
        <v>0</v>
      </c>
      <c r="E3" s="2" t="b">
        <v>0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0</v>
      </c>
      <c r="M3" s="2" t="b">
        <v>1</v>
      </c>
      <c r="N3" s="2" t="b">
        <v>1</v>
      </c>
      <c r="O3" s="2" t="b">
        <v>1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0</v>
      </c>
      <c r="U3" s="2" t="b">
        <v>1</v>
      </c>
      <c r="V3" s="2" t="b">
        <v>1</v>
      </c>
      <c r="W3" s="2" t="b">
        <v>1</v>
      </c>
      <c r="X3" s="2" t="b">
        <v>1</v>
      </c>
      <c r="Y3" s="2" t="b">
        <v>0</v>
      </c>
      <c r="Z3" s="2" t="b">
        <v>1</v>
      </c>
      <c r="AA3" s="2" t="b">
        <v>1</v>
      </c>
      <c r="AB3" s="2" t="b">
        <v>1</v>
      </c>
      <c r="AC3" s="2" t="b">
        <v>1</v>
      </c>
      <c r="AD3" s="2" t="b">
        <v>0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b">
        <v>1</v>
      </c>
      <c r="AM3" s="2" t="b">
        <v>1</v>
      </c>
      <c r="AN3" s="2" t="b">
        <v>1</v>
      </c>
      <c r="AO3" s="2" t="b">
        <v>0</v>
      </c>
      <c r="AP3" s="2" t="b">
        <v>0</v>
      </c>
      <c r="AQ3" s="2" t="b">
        <v>0</v>
      </c>
      <c r="AR3" s="2" t="b">
        <v>0</v>
      </c>
      <c r="AS3" s="2" t="b">
        <v>0</v>
      </c>
      <c r="AT3" s="2" t="b">
        <v>0</v>
      </c>
      <c r="AU3" s="2" t="b">
        <v>0</v>
      </c>
      <c r="AV3" s="2" t="b">
        <v>0</v>
      </c>
      <c r="AW3" s="2" t="b">
        <v>0</v>
      </c>
      <c r="AX3" s="2" t="b">
        <v>0</v>
      </c>
    </row>
    <row r="4">
      <c r="A4" s="2">
        <v>4.0</v>
      </c>
      <c r="C4" s="2">
        <v>0.0</v>
      </c>
      <c r="D4" s="2">
        <v>0.0</v>
      </c>
      <c r="E4" s="2">
        <v>0.0</v>
      </c>
      <c r="K4" s="2">
        <v>0.0</v>
      </c>
      <c r="L4" s="2">
        <v>0.0</v>
      </c>
      <c r="S4" s="2">
        <v>0.0</v>
      </c>
      <c r="T4" s="2">
        <v>0.0</v>
      </c>
      <c r="W4" s="2">
        <v>4.0</v>
      </c>
      <c r="Y4" s="2">
        <v>0.0</v>
      </c>
      <c r="AA4" s="2">
        <v>-4.0</v>
      </c>
      <c r="AD4" s="2">
        <v>0.0</v>
      </c>
    </row>
    <row r="5">
      <c r="B5" s="2">
        <v>4.0</v>
      </c>
      <c r="C5" s="2">
        <v>0.0</v>
      </c>
      <c r="D5" s="2">
        <v>0.0</v>
      </c>
      <c r="E5" s="2">
        <v>0.0</v>
      </c>
      <c r="L5" s="2">
        <v>0.0</v>
      </c>
      <c r="M5" s="2">
        <v>4.0</v>
      </c>
      <c r="T5" s="2">
        <v>0.0</v>
      </c>
      <c r="Y5" s="2">
        <v>0.0</v>
      </c>
      <c r="AC5" s="2">
        <v>4.0</v>
      </c>
      <c r="AD5" s="2">
        <v>0.0</v>
      </c>
      <c r="AG5" s="2">
        <v>4.0</v>
      </c>
    </row>
    <row r="6">
      <c r="C6" s="2">
        <v>0.0</v>
      </c>
      <c r="D6" s="2">
        <v>0.0</v>
      </c>
      <c r="E6" s="2">
        <v>0.0</v>
      </c>
      <c r="L6" s="2">
        <v>0.0</v>
      </c>
      <c r="N6" s="2">
        <v>4.0</v>
      </c>
      <c r="T6" s="2">
        <v>0.0</v>
      </c>
      <c r="Y6" s="2">
        <v>0.0</v>
      </c>
      <c r="AB6" s="2">
        <v>0.0</v>
      </c>
      <c r="AD6" s="2">
        <v>0.0</v>
      </c>
    </row>
    <row r="7">
      <c r="C7" s="2">
        <v>0.0</v>
      </c>
      <c r="D7" s="2">
        <v>0.0</v>
      </c>
      <c r="E7" s="2">
        <v>0.0</v>
      </c>
      <c r="L7" s="2">
        <v>0.0</v>
      </c>
      <c r="P7" s="2">
        <v>4.0</v>
      </c>
      <c r="T7" s="2">
        <v>0.0</v>
      </c>
      <c r="Y7" s="2">
        <v>0.0</v>
      </c>
      <c r="AA7" s="2">
        <v>4.0</v>
      </c>
      <c r="AD7" s="2">
        <v>0.0</v>
      </c>
      <c r="AF7" s="2">
        <v>0.0</v>
      </c>
      <c r="AK7" s="2">
        <v>4.0</v>
      </c>
    </row>
    <row r="8">
      <c r="A8" s="2">
        <v>4.0</v>
      </c>
      <c r="C8" s="2">
        <v>0.0</v>
      </c>
      <c r="D8" s="2">
        <v>0.0</v>
      </c>
      <c r="E8" s="2">
        <v>0.0</v>
      </c>
      <c r="K8" s="2">
        <v>0.0</v>
      </c>
      <c r="L8" s="2">
        <v>0.0</v>
      </c>
      <c r="R8" s="2">
        <v>0.0</v>
      </c>
      <c r="T8" s="2">
        <v>0.0</v>
      </c>
      <c r="X8" s="2">
        <v>0.0</v>
      </c>
      <c r="Y8" s="2">
        <v>0.0</v>
      </c>
      <c r="AB8" s="2">
        <v>0.0</v>
      </c>
      <c r="AD8" s="2">
        <v>0.0</v>
      </c>
      <c r="AJ8" s="2">
        <v>4.0</v>
      </c>
    </row>
    <row r="9">
      <c r="C9" s="2">
        <v>0.0</v>
      </c>
      <c r="D9" s="2">
        <v>0.0</v>
      </c>
      <c r="E9" s="2">
        <v>0.0</v>
      </c>
      <c r="I9" s="2">
        <v>4.0</v>
      </c>
      <c r="L9" s="2">
        <v>0.0</v>
      </c>
      <c r="P9" s="2">
        <v>4.0</v>
      </c>
      <c r="T9" s="2">
        <v>0.0</v>
      </c>
      <c r="W9" s="2">
        <v>0.0</v>
      </c>
      <c r="Y9" s="2">
        <v>0.0</v>
      </c>
      <c r="AB9" s="2">
        <v>0.0</v>
      </c>
      <c r="AD9" s="2">
        <v>0.0</v>
      </c>
      <c r="AJ9" s="2">
        <v>4.0</v>
      </c>
    </row>
    <row r="10">
      <c r="C10" s="2">
        <v>0.0</v>
      </c>
      <c r="D10" s="2">
        <v>0.0</v>
      </c>
      <c r="E10" s="2">
        <v>0.0</v>
      </c>
      <c r="L10" s="2">
        <v>0.0</v>
      </c>
      <c r="S10" s="2">
        <v>4.0</v>
      </c>
      <c r="T10" s="2">
        <v>0.0</v>
      </c>
      <c r="Y10" s="2">
        <v>0.0</v>
      </c>
      <c r="Z10" s="2">
        <v>4.0</v>
      </c>
      <c r="AD10" s="2">
        <v>0.0</v>
      </c>
      <c r="AM10" s="2">
        <v>4.0</v>
      </c>
    </row>
    <row r="11">
      <c r="C11" s="2">
        <v>0.0</v>
      </c>
      <c r="D11" s="2">
        <v>0.0</v>
      </c>
      <c r="E11" s="2">
        <v>0.0</v>
      </c>
      <c r="G11" s="2">
        <v>4.0</v>
      </c>
      <c r="K11" s="2">
        <v>0.0</v>
      </c>
      <c r="L11" s="2">
        <v>0.0</v>
      </c>
      <c r="R11" s="2">
        <v>0.0</v>
      </c>
      <c r="T11" s="2">
        <v>0.0</v>
      </c>
      <c r="Y11" s="2">
        <v>0.0</v>
      </c>
      <c r="AD11" s="2">
        <v>0.0</v>
      </c>
      <c r="AE11" s="2">
        <v>4.0</v>
      </c>
      <c r="AJ11" s="2">
        <v>0.0</v>
      </c>
    </row>
    <row r="12">
      <c r="A12" s="2">
        <v>4.0</v>
      </c>
      <c r="C12" s="2">
        <v>0.0</v>
      </c>
      <c r="D12" s="2">
        <v>0.0</v>
      </c>
      <c r="E12" s="2">
        <v>0.0</v>
      </c>
      <c r="L12" s="2">
        <v>0.0</v>
      </c>
      <c r="N12" s="2">
        <v>4.0</v>
      </c>
      <c r="T12" s="2">
        <v>0.0</v>
      </c>
      <c r="Y12" s="2">
        <v>0.0</v>
      </c>
      <c r="Z12" s="2">
        <v>4.0</v>
      </c>
      <c r="AD12" s="2">
        <v>0.0</v>
      </c>
      <c r="AI12" s="2">
        <v>4.0</v>
      </c>
      <c r="AJ12" s="2">
        <v>0.0</v>
      </c>
    </row>
    <row r="13">
      <c r="C13" s="2">
        <v>0.0</v>
      </c>
      <c r="D13" s="2">
        <v>0.0</v>
      </c>
      <c r="E13" s="2">
        <v>0.0</v>
      </c>
      <c r="L13" s="2">
        <v>0.0</v>
      </c>
      <c r="P13" s="2">
        <v>4.0</v>
      </c>
      <c r="T13" s="2">
        <v>0.0</v>
      </c>
      <c r="Y13" s="2">
        <v>0.0</v>
      </c>
      <c r="AB13" s="2">
        <v>4.0</v>
      </c>
      <c r="AD13" s="2">
        <v>0.0</v>
      </c>
      <c r="AH13" s="2">
        <v>0.0</v>
      </c>
      <c r="AJ13" s="2">
        <v>0.0</v>
      </c>
    </row>
    <row r="14">
      <c r="C14" s="2">
        <v>0.0</v>
      </c>
      <c r="D14" s="2">
        <v>0.0</v>
      </c>
      <c r="E14" s="2">
        <v>0.0</v>
      </c>
      <c r="H14" s="2">
        <v>4.0</v>
      </c>
      <c r="K14" s="2">
        <v>0.0</v>
      </c>
      <c r="L14" s="2">
        <v>0.0</v>
      </c>
      <c r="R14" s="2">
        <v>0.0</v>
      </c>
      <c r="T14" s="2">
        <v>0.0</v>
      </c>
      <c r="V14" s="2">
        <v>0.0</v>
      </c>
      <c r="Y14" s="2">
        <v>0.0</v>
      </c>
      <c r="Z14" s="2">
        <v>4.0</v>
      </c>
      <c r="AD14" s="2">
        <v>0.0</v>
      </c>
      <c r="AF14" s="2">
        <v>0.0</v>
      </c>
      <c r="AN14" s="2">
        <v>4.0</v>
      </c>
    </row>
    <row r="15">
      <c r="C15" s="2">
        <v>0.0</v>
      </c>
      <c r="D15" s="2">
        <v>0.0</v>
      </c>
      <c r="E15" s="2">
        <v>0.0</v>
      </c>
      <c r="L15" s="2">
        <v>0.0</v>
      </c>
      <c r="Q15" s="2">
        <v>4.0</v>
      </c>
      <c r="T15" s="2">
        <v>0.0</v>
      </c>
      <c r="W15" s="2">
        <v>0.0</v>
      </c>
      <c r="Y15" s="2">
        <v>0.0</v>
      </c>
      <c r="AB15" s="2">
        <v>4.0</v>
      </c>
      <c r="AD15" s="2">
        <v>0.0</v>
      </c>
      <c r="AI15" s="2">
        <v>4.0</v>
      </c>
    </row>
    <row r="16">
      <c r="A16" s="2" t="b">
        <v>1</v>
      </c>
      <c r="B16" s="2" t="b">
        <v>1</v>
      </c>
      <c r="C16" s="2" t="b">
        <v>0</v>
      </c>
      <c r="D16" s="2" t="b">
        <v>0</v>
      </c>
      <c r="E16" s="2" t="b">
        <v>0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  <c r="K16" s="2" t="b">
        <v>1</v>
      </c>
      <c r="L16" s="2" t="b">
        <v>0</v>
      </c>
      <c r="M16" s="2" t="b">
        <v>1</v>
      </c>
      <c r="N16" s="2" t="b">
        <v>1</v>
      </c>
      <c r="O16" s="2" t="b">
        <v>1</v>
      </c>
      <c r="P16" s="2" t="b">
        <v>1</v>
      </c>
      <c r="Q16" s="2" t="b">
        <v>1</v>
      </c>
      <c r="R16" s="2" t="b">
        <v>1</v>
      </c>
      <c r="S16" s="2" t="b">
        <v>1</v>
      </c>
      <c r="T16" s="2" t="b">
        <v>0</v>
      </c>
      <c r="U16" s="2" t="b">
        <v>1</v>
      </c>
      <c r="V16" s="2" t="b">
        <v>1</v>
      </c>
      <c r="W16" s="2" t="b">
        <v>1</v>
      </c>
      <c r="X16" s="2" t="b">
        <v>1</v>
      </c>
      <c r="Y16" s="2" t="b">
        <v>0</v>
      </c>
      <c r="Z16" s="2" t="b">
        <v>1</v>
      </c>
      <c r="AA16" s="2" t="b">
        <v>1</v>
      </c>
      <c r="AB16" s="2" t="b">
        <v>1</v>
      </c>
      <c r="AC16" s="2" t="b">
        <v>1</v>
      </c>
      <c r="AD16" s="2" t="b">
        <v>0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b">
        <v>1</v>
      </c>
      <c r="AM16" s="2" t="b">
        <v>1</v>
      </c>
      <c r="AN16" s="2" t="b">
        <v>1</v>
      </c>
      <c r="AO16" s="2" t="b">
        <v>0</v>
      </c>
      <c r="AP16" s="2" t="b">
        <v>0</v>
      </c>
      <c r="AQ16" s="2" t="b">
        <v>0</v>
      </c>
      <c r="AR16" s="2" t="b">
        <v>0</v>
      </c>
      <c r="AS16" s="2" t="b">
        <v>0</v>
      </c>
      <c r="AT16" s="2" t="b">
        <v>0</v>
      </c>
      <c r="AU16" s="2" t="b">
        <v>0</v>
      </c>
      <c r="AV16" s="2" t="b">
        <v>0</v>
      </c>
      <c r="AW16" s="2" t="b">
        <v>0</v>
      </c>
      <c r="AX16" s="2" t="b">
        <v>0</v>
      </c>
    </row>
    <row r="17">
      <c r="C17" s="2">
        <v>0.0</v>
      </c>
      <c r="D17" s="2">
        <v>0.0</v>
      </c>
      <c r="E17" s="2">
        <v>0.0</v>
      </c>
      <c r="H17" s="2">
        <v>4.0</v>
      </c>
      <c r="L17" s="2">
        <v>0.0</v>
      </c>
      <c r="S17" s="2">
        <v>4.0</v>
      </c>
      <c r="T17" s="2">
        <v>0.0</v>
      </c>
      <c r="Y17" s="2">
        <v>0.0</v>
      </c>
      <c r="AC17" s="2">
        <v>4.0</v>
      </c>
      <c r="AD17" s="2">
        <v>0.0</v>
      </c>
      <c r="AN17" s="2">
        <v>4.0</v>
      </c>
    </row>
    <row r="18">
      <c r="C18" s="2">
        <v>0.0</v>
      </c>
      <c r="D18" s="2">
        <v>0.0</v>
      </c>
      <c r="E18" s="2">
        <v>0.0</v>
      </c>
      <c r="H18" s="2">
        <v>4.0</v>
      </c>
      <c r="L18" s="2">
        <v>0.0</v>
      </c>
      <c r="M18" s="2">
        <v>4.0</v>
      </c>
      <c r="T18" s="2">
        <v>0.0</v>
      </c>
      <c r="V18" s="2">
        <v>4.0</v>
      </c>
      <c r="Y18" s="2">
        <v>0.0</v>
      </c>
      <c r="AD18" s="2">
        <v>0.0</v>
      </c>
      <c r="AE18" s="2">
        <v>0.0</v>
      </c>
      <c r="AK18" s="2">
        <v>0.0</v>
      </c>
    </row>
    <row r="19">
      <c r="B19" s="2">
        <v>4.0</v>
      </c>
      <c r="C19" s="2">
        <v>0.0</v>
      </c>
      <c r="D19" s="2">
        <v>0.0</v>
      </c>
      <c r="E19" s="2">
        <v>0.0</v>
      </c>
      <c r="L19" s="2">
        <v>0.0</v>
      </c>
      <c r="N19" s="2">
        <v>4.0</v>
      </c>
      <c r="T19" s="2">
        <v>0.0</v>
      </c>
      <c r="V19" s="2">
        <v>0.0</v>
      </c>
      <c r="Y19" s="2">
        <v>0.0</v>
      </c>
      <c r="Z19" s="2">
        <v>4.0</v>
      </c>
      <c r="AD19" s="2">
        <v>0.0</v>
      </c>
      <c r="AH19" s="2">
        <v>0.0</v>
      </c>
      <c r="AJ19" s="2">
        <v>0.0</v>
      </c>
    </row>
    <row r="20">
      <c r="C20" s="2">
        <v>0.0</v>
      </c>
      <c r="D20" s="2">
        <v>0.0</v>
      </c>
      <c r="E20" s="2">
        <v>0.0</v>
      </c>
      <c r="K20" s="2">
        <v>0.0</v>
      </c>
      <c r="L20" s="2">
        <v>0.0</v>
      </c>
      <c r="P20" s="2">
        <v>0.0</v>
      </c>
      <c r="T20" s="2">
        <v>0.0</v>
      </c>
      <c r="Y20" s="2">
        <v>0.0</v>
      </c>
      <c r="AA20" s="2">
        <v>4.0</v>
      </c>
      <c r="AD20" s="2">
        <v>0.0</v>
      </c>
      <c r="AK20" s="2">
        <v>0.0</v>
      </c>
    </row>
    <row r="21">
      <c r="B21" s="2">
        <v>4.0</v>
      </c>
      <c r="C21" s="2">
        <v>0.0</v>
      </c>
      <c r="D21" s="2">
        <v>0.0</v>
      </c>
      <c r="E21" s="2">
        <v>0.0</v>
      </c>
      <c r="L21" s="2">
        <v>0.0</v>
      </c>
      <c r="M21" s="2">
        <v>4.0</v>
      </c>
      <c r="T21" s="2">
        <v>0.0</v>
      </c>
      <c r="Y21" s="2">
        <v>0.0</v>
      </c>
      <c r="AB21" s="2">
        <v>4.0</v>
      </c>
      <c r="AD21" s="2">
        <v>0.0</v>
      </c>
      <c r="AM21" s="2">
        <v>4.0</v>
      </c>
    </row>
    <row r="22">
      <c r="C22" s="2">
        <v>0.0</v>
      </c>
      <c r="D22" s="2">
        <v>0.0</v>
      </c>
      <c r="E22" s="2">
        <v>0.0</v>
      </c>
      <c r="H22" s="2">
        <v>4.0</v>
      </c>
      <c r="L22" s="2">
        <v>0.0</v>
      </c>
      <c r="R22" s="2">
        <v>4.0</v>
      </c>
      <c r="T22" s="2">
        <v>0.0</v>
      </c>
      <c r="V22" s="2">
        <v>4.0</v>
      </c>
      <c r="Y22" s="2">
        <v>0.0</v>
      </c>
      <c r="AD22" s="2">
        <v>0.0</v>
      </c>
      <c r="AH22" s="2">
        <v>4.0</v>
      </c>
    </row>
    <row r="23">
      <c r="C23" s="2">
        <v>0.0</v>
      </c>
      <c r="D23" s="2">
        <v>0.0</v>
      </c>
      <c r="E23" s="2">
        <v>0.0</v>
      </c>
      <c r="L23" s="2">
        <v>0.0</v>
      </c>
      <c r="T23" s="2">
        <v>0.0</v>
      </c>
      <c r="V23" s="2">
        <v>0.0</v>
      </c>
      <c r="Y23" s="2">
        <v>0.0</v>
      </c>
      <c r="AB23" s="2">
        <v>0.0</v>
      </c>
      <c r="AD23" s="2">
        <v>0.0</v>
      </c>
      <c r="AG23" s="2">
        <v>0.0</v>
      </c>
      <c r="AJ23" s="2">
        <v>0.0</v>
      </c>
    </row>
    <row r="24">
      <c r="C24" s="2">
        <v>0.0</v>
      </c>
      <c r="D24" s="2">
        <v>0.0</v>
      </c>
      <c r="E24" s="2">
        <v>0.0</v>
      </c>
      <c r="H24" s="2">
        <v>4.0</v>
      </c>
      <c r="L24" s="2">
        <v>0.0</v>
      </c>
      <c r="R24" s="2">
        <v>4.0</v>
      </c>
      <c r="T24" s="2">
        <v>0.0</v>
      </c>
      <c r="Y24" s="2">
        <v>0.0</v>
      </c>
      <c r="AC24" s="2">
        <v>4.0</v>
      </c>
      <c r="AD24" s="2">
        <v>0.0</v>
      </c>
      <c r="AJ24" s="2">
        <v>4.0</v>
      </c>
    </row>
    <row r="25">
      <c r="B25" s="2">
        <v>4.0</v>
      </c>
      <c r="C25" s="2">
        <v>0.0</v>
      </c>
      <c r="D25" s="2">
        <v>0.0</v>
      </c>
      <c r="E25" s="2">
        <v>0.0</v>
      </c>
      <c r="H25" s="2">
        <v>-4.0</v>
      </c>
      <c r="L25" s="2">
        <v>0.0</v>
      </c>
      <c r="N25" s="2">
        <v>4.0</v>
      </c>
      <c r="T25" s="2">
        <v>0.0</v>
      </c>
      <c r="V25" s="2">
        <v>-4.0</v>
      </c>
      <c r="Y25" s="2">
        <v>0.0</v>
      </c>
      <c r="AC25" s="2">
        <v>4.0</v>
      </c>
      <c r="AD25" s="2">
        <v>0.0</v>
      </c>
      <c r="AJ25" s="2">
        <v>4.0</v>
      </c>
    </row>
    <row r="26">
      <c r="C26" s="2">
        <v>0.0</v>
      </c>
      <c r="D26" s="2">
        <v>0.0</v>
      </c>
      <c r="E26" s="2">
        <v>0.0</v>
      </c>
      <c r="L26" s="2">
        <v>0.0</v>
      </c>
      <c r="M26" s="2">
        <v>4.0</v>
      </c>
      <c r="T26" s="2">
        <v>0.0</v>
      </c>
      <c r="Y26" s="2">
        <v>0.0</v>
      </c>
      <c r="AA26" s="2">
        <v>4.0</v>
      </c>
      <c r="AD26" s="2">
        <v>0.0</v>
      </c>
      <c r="AJ26" s="2">
        <v>4.0</v>
      </c>
    </row>
    <row r="27">
      <c r="C27" s="2">
        <v>0.0</v>
      </c>
      <c r="D27" s="2">
        <v>0.0</v>
      </c>
      <c r="E27" s="2">
        <v>0.0</v>
      </c>
      <c r="L27" s="2">
        <v>0.0</v>
      </c>
      <c r="O27" s="2">
        <v>4.0</v>
      </c>
      <c r="T27" s="2">
        <v>0.0</v>
      </c>
      <c r="Y27" s="2">
        <v>0.0</v>
      </c>
      <c r="AB27" s="2">
        <v>0.0</v>
      </c>
      <c r="AD27" s="2">
        <v>0.0</v>
      </c>
      <c r="AK27" s="2">
        <v>4.0</v>
      </c>
    </row>
    <row r="28">
      <c r="B28" s="2">
        <v>4.0</v>
      </c>
      <c r="C28" s="2">
        <v>0.0</v>
      </c>
      <c r="D28" s="2">
        <v>0.0</v>
      </c>
      <c r="E28" s="2">
        <v>0.0</v>
      </c>
      <c r="L28" s="2">
        <v>0.0</v>
      </c>
      <c r="P28" s="2">
        <v>4.0</v>
      </c>
      <c r="T28" s="2">
        <v>0.0</v>
      </c>
      <c r="Y28" s="2">
        <v>0.0</v>
      </c>
      <c r="AC28" s="2">
        <v>4.0</v>
      </c>
      <c r="AD28" s="2">
        <v>0.0</v>
      </c>
      <c r="AL28" s="2">
        <v>4.0</v>
      </c>
    </row>
    <row r="31">
      <c r="A31" s="2" t="s">
        <v>3</v>
      </c>
      <c r="B31" s="2" t="s">
        <v>3</v>
      </c>
      <c r="C31" s="2" t="s">
        <v>3</v>
      </c>
      <c r="D31" s="2" t="s">
        <v>3</v>
      </c>
      <c r="E31" s="2" t="s">
        <v>3</v>
      </c>
      <c r="F31" s="2" t="s">
        <v>6</v>
      </c>
      <c r="G31" s="2" t="s">
        <v>6</v>
      </c>
      <c r="H31" s="2" t="s">
        <v>6</v>
      </c>
      <c r="I31" s="2" t="s">
        <v>6</v>
      </c>
      <c r="J31" s="2" t="s">
        <v>6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  <c r="P31" s="2" t="s">
        <v>7</v>
      </c>
      <c r="Q31" s="2" t="s">
        <v>7</v>
      </c>
      <c r="R31" s="2" t="s">
        <v>7</v>
      </c>
      <c r="S31" s="2" t="s">
        <v>7</v>
      </c>
      <c r="T31" s="2" t="s">
        <v>7</v>
      </c>
      <c r="U31" s="2" t="s">
        <v>5</v>
      </c>
      <c r="V31" s="2" t="s">
        <v>5</v>
      </c>
      <c r="W31" s="2" t="s">
        <v>5</v>
      </c>
      <c r="X31" s="2" t="s">
        <v>5</v>
      </c>
      <c r="Y31" s="2" t="s">
        <v>5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0</v>
      </c>
      <c r="AE31" s="2" t="s">
        <v>9</v>
      </c>
      <c r="AF31" s="2" t="s">
        <v>9</v>
      </c>
      <c r="AG31" s="2" t="s">
        <v>9</v>
      </c>
      <c r="AH31" s="2" t="s">
        <v>9</v>
      </c>
      <c r="AI31" s="2" t="s">
        <v>9</v>
      </c>
      <c r="AJ31" s="2" t="s">
        <v>2</v>
      </c>
      <c r="AK31" s="2" t="s">
        <v>2</v>
      </c>
      <c r="AL31" s="2" t="s">
        <v>2</v>
      </c>
      <c r="AM31" s="2" t="s">
        <v>2</v>
      </c>
      <c r="AN31" s="2" t="s">
        <v>2</v>
      </c>
      <c r="AO31" s="2" t="s">
        <v>1</v>
      </c>
      <c r="AP31" s="2" t="s">
        <v>1</v>
      </c>
      <c r="AQ31" s="2" t="s">
        <v>1</v>
      </c>
      <c r="AR31" s="2" t="s">
        <v>1</v>
      </c>
      <c r="AS31" s="2" t="s">
        <v>1</v>
      </c>
      <c r="AT31" s="2" t="s">
        <v>8</v>
      </c>
      <c r="AU31" s="2" t="s">
        <v>8</v>
      </c>
      <c r="AV31" s="2" t="s">
        <v>8</v>
      </c>
      <c r="AW31" s="2" t="s">
        <v>8</v>
      </c>
      <c r="AX31" s="2" t="s">
        <v>8</v>
      </c>
    </row>
    <row r="32">
      <c r="A32" s="2" t="s">
        <v>47</v>
      </c>
      <c r="B32" s="2" t="s">
        <v>48</v>
      </c>
      <c r="C32" s="2" t="s">
        <v>49</v>
      </c>
      <c r="F32" s="2" t="s">
        <v>19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14</v>
      </c>
      <c r="L32" s="2" t="s">
        <v>15</v>
      </c>
      <c r="M32" s="2" t="s">
        <v>16</v>
      </c>
      <c r="N32" s="2" t="s">
        <v>17</v>
      </c>
      <c r="O32" s="2" t="s">
        <v>18</v>
      </c>
      <c r="P32" s="2" t="s">
        <v>24</v>
      </c>
      <c r="Q32" s="2" t="s">
        <v>25</v>
      </c>
      <c r="R32" s="2" t="s">
        <v>26</v>
      </c>
      <c r="S32" s="2" t="s">
        <v>27</v>
      </c>
      <c r="T32" s="2" t="s">
        <v>28</v>
      </c>
      <c r="U32" s="2" t="s">
        <v>50</v>
      </c>
      <c r="V32" s="2" t="s">
        <v>51</v>
      </c>
      <c r="W32" s="2" t="s">
        <v>21</v>
      </c>
      <c r="X32" s="2" t="s">
        <v>52</v>
      </c>
      <c r="Z32" s="2" t="s">
        <v>43</v>
      </c>
      <c r="AA32" s="2" t="s">
        <v>44</v>
      </c>
      <c r="AB32" s="2" t="s">
        <v>45</v>
      </c>
      <c r="AC32" s="2" t="s">
        <v>12</v>
      </c>
      <c r="AD32" s="2" t="s">
        <v>46</v>
      </c>
      <c r="AE32" s="2" t="s">
        <v>38</v>
      </c>
      <c r="AF32" s="2" t="s">
        <v>39</v>
      </c>
      <c r="AG32" s="2" t="s">
        <v>40</v>
      </c>
      <c r="AH32" s="2" t="s">
        <v>41</v>
      </c>
      <c r="AI32" s="2" t="s">
        <v>42</v>
      </c>
      <c r="AJ32" s="2" t="s">
        <v>33</v>
      </c>
      <c r="AK32" s="2" t="s">
        <v>34</v>
      </c>
      <c r="AL32" s="2" t="s">
        <v>35</v>
      </c>
      <c r="AM32" s="2" t="s">
        <v>36</v>
      </c>
      <c r="AN32" s="2" t="s">
        <v>37</v>
      </c>
      <c r="AO32" s="2" t="s">
        <v>12</v>
      </c>
      <c r="AP32" s="2" t="s">
        <v>13</v>
      </c>
      <c r="AT32" s="2" t="s">
        <v>29</v>
      </c>
      <c r="AU32" s="2" t="s">
        <v>30</v>
      </c>
      <c r="AV32" s="2" t="s">
        <v>31</v>
      </c>
      <c r="AW32" s="2" t="s">
        <v>32</v>
      </c>
    </row>
    <row r="33">
      <c r="A33" s="2" t="b">
        <v>1</v>
      </c>
      <c r="B33" s="2" t="b">
        <v>1</v>
      </c>
      <c r="C33" s="2" t="b">
        <v>1</v>
      </c>
      <c r="D33" s="2" t="b">
        <v>0</v>
      </c>
      <c r="E33" s="2" t="b">
        <v>0</v>
      </c>
      <c r="F33" s="2" t="b">
        <v>1</v>
      </c>
      <c r="G33" s="2" t="b">
        <v>0</v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1</v>
      </c>
      <c r="M33" s="2" t="b">
        <v>1</v>
      </c>
      <c r="N33" s="2" t="b">
        <v>1</v>
      </c>
      <c r="O33" s="2" t="b">
        <v>1</v>
      </c>
      <c r="P33" s="2" t="b">
        <v>1</v>
      </c>
      <c r="Q33" s="2" t="b">
        <v>1</v>
      </c>
      <c r="R33" s="2" t="b">
        <v>1</v>
      </c>
      <c r="S33" s="2" t="b">
        <v>1</v>
      </c>
      <c r="T33" s="2" t="b">
        <v>1</v>
      </c>
      <c r="U33" s="2" t="b">
        <v>1</v>
      </c>
      <c r="V33" s="2" t="b">
        <v>1</v>
      </c>
      <c r="W33" s="2" t="b">
        <v>1</v>
      </c>
      <c r="X33" s="2" t="b">
        <v>1</v>
      </c>
      <c r="Y33" s="2" t="b">
        <v>0</v>
      </c>
      <c r="Z33" s="2" t="b">
        <v>1</v>
      </c>
      <c r="AA33" s="2" t="b">
        <v>1</v>
      </c>
      <c r="AB33" s="2" t="b">
        <v>1</v>
      </c>
      <c r="AC33" s="2" t="b">
        <v>1</v>
      </c>
      <c r="AD33" s="2" t="b">
        <v>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b">
        <v>1</v>
      </c>
      <c r="AM33" s="2" t="b">
        <v>1</v>
      </c>
      <c r="AN33" s="2" t="b">
        <v>0</v>
      </c>
      <c r="AO33" s="2" t="b">
        <v>0</v>
      </c>
      <c r="AP33" s="2" t="b">
        <v>0</v>
      </c>
      <c r="AQ33" s="2" t="b">
        <v>0</v>
      </c>
      <c r="AR33" s="2" t="b">
        <v>0</v>
      </c>
      <c r="AS33" s="2" t="b">
        <v>0</v>
      </c>
      <c r="AT33" s="2" t="b">
        <v>0</v>
      </c>
      <c r="AU33" s="2" t="b">
        <v>0</v>
      </c>
      <c r="AV33" s="2" t="b">
        <v>0</v>
      </c>
      <c r="AW33" s="2" t="b">
        <v>0</v>
      </c>
      <c r="AX33" s="2" t="b">
        <v>0</v>
      </c>
    </row>
    <row r="34">
      <c r="A34" s="2">
        <v>4.0</v>
      </c>
      <c r="D34" s="2">
        <v>0.0</v>
      </c>
      <c r="E34" s="2">
        <v>0.0</v>
      </c>
      <c r="G34" s="2">
        <v>0.0</v>
      </c>
      <c r="Q34" s="2">
        <v>4.0</v>
      </c>
      <c r="X34" s="2">
        <v>4.0</v>
      </c>
      <c r="Y34" s="2">
        <v>0.0</v>
      </c>
      <c r="AE34" s="2">
        <v>0.0</v>
      </c>
      <c r="AK34" s="2">
        <v>4.0</v>
      </c>
      <c r="AN34" s="2">
        <v>0.0</v>
      </c>
    </row>
    <row r="35">
      <c r="D35" s="2">
        <v>0.0</v>
      </c>
      <c r="E35" s="2">
        <v>0.0</v>
      </c>
      <c r="G35" s="2">
        <v>0.0</v>
      </c>
      <c r="H35" s="2">
        <v>4.0</v>
      </c>
      <c r="R35" s="2">
        <v>4.0</v>
      </c>
      <c r="V35" s="2">
        <v>4.0</v>
      </c>
      <c r="Y35" s="2">
        <v>0.0</v>
      </c>
      <c r="AL35" s="2">
        <v>4.0</v>
      </c>
      <c r="AN35" s="2">
        <v>0.0</v>
      </c>
    </row>
    <row r="36">
      <c r="B36" s="2">
        <v>4.0</v>
      </c>
      <c r="D36" s="2">
        <v>0.0</v>
      </c>
      <c r="E36" s="2">
        <v>0.0</v>
      </c>
      <c r="G36" s="2">
        <v>0.0</v>
      </c>
      <c r="M36" s="2">
        <v>4.0</v>
      </c>
      <c r="Y36" s="2">
        <v>0.0</v>
      </c>
      <c r="AG36" s="2">
        <v>4.0</v>
      </c>
      <c r="AN36" s="2">
        <v>0.0</v>
      </c>
    </row>
    <row r="37">
      <c r="D37" s="2">
        <v>0.0</v>
      </c>
      <c r="E37" s="2">
        <v>0.0</v>
      </c>
      <c r="G37" s="2">
        <v>0.0</v>
      </c>
      <c r="J37" s="2">
        <v>4.0</v>
      </c>
      <c r="Q37" s="2">
        <v>4.0</v>
      </c>
      <c r="U37" s="2">
        <v>4.0</v>
      </c>
      <c r="Y37" s="2">
        <v>0.0</v>
      </c>
      <c r="AK37" s="2">
        <v>4.0</v>
      </c>
      <c r="AN37" s="2">
        <v>0.0</v>
      </c>
    </row>
    <row r="38">
      <c r="D38" s="2">
        <v>0.0</v>
      </c>
      <c r="E38" s="2">
        <v>0.0</v>
      </c>
      <c r="G38" s="2">
        <v>0.0</v>
      </c>
      <c r="H38" s="2">
        <v>4.0</v>
      </c>
      <c r="X38" s="2">
        <v>4.0</v>
      </c>
      <c r="Y38" s="2">
        <v>0.0</v>
      </c>
      <c r="AJ38" s="2">
        <v>4.0</v>
      </c>
      <c r="AN38" s="2">
        <v>0.0</v>
      </c>
    </row>
    <row r="39">
      <c r="D39" s="2">
        <v>0.0</v>
      </c>
      <c r="E39" s="2">
        <v>0.0</v>
      </c>
      <c r="G39" s="2">
        <v>0.0</v>
      </c>
      <c r="I39" s="2">
        <v>4.0</v>
      </c>
      <c r="K39" s="2">
        <v>4.0</v>
      </c>
      <c r="X39" s="2">
        <v>4.0</v>
      </c>
      <c r="Y39" s="2">
        <v>0.0</v>
      </c>
      <c r="AI39" s="2">
        <v>0.0</v>
      </c>
      <c r="AM39" s="2">
        <v>4.0</v>
      </c>
      <c r="AN39" s="2">
        <v>0.0</v>
      </c>
    </row>
    <row r="40">
      <c r="D40" s="2">
        <v>0.0</v>
      </c>
      <c r="E40" s="2">
        <v>0.0</v>
      </c>
      <c r="G40" s="2">
        <v>0.0</v>
      </c>
      <c r="J40" s="2">
        <v>4.0</v>
      </c>
      <c r="X40" s="2">
        <v>4.0</v>
      </c>
      <c r="Y40" s="2">
        <v>0.0</v>
      </c>
      <c r="AK40" s="2">
        <v>4.0</v>
      </c>
      <c r="AN40" s="2">
        <v>0.0</v>
      </c>
    </row>
    <row r="41">
      <c r="D41" s="2">
        <v>0.0</v>
      </c>
      <c r="E41" s="2">
        <v>0.0</v>
      </c>
      <c r="G41" s="2">
        <v>0.0</v>
      </c>
      <c r="L41" s="2">
        <v>4.0</v>
      </c>
      <c r="V41" s="2">
        <v>4.0</v>
      </c>
      <c r="Y41" s="2">
        <v>0.0</v>
      </c>
      <c r="AN41" s="2">
        <v>0.0</v>
      </c>
    </row>
    <row r="42">
      <c r="D42" s="2">
        <v>0.0</v>
      </c>
      <c r="E42" s="2">
        <v>0.0</v>
      </c>
      <c r="G42" s="2">
        <v>0.0</v>
      </c>
      <c r="M42" s="2">
        <v>4.0</v>
      </c>
      <c r="Y42" s="2">
        <v>0.0</v>
      </c>
      <c r="Z42" s="2">
        <v>4.0</v>
      </c>
      <c r="AN42" s="2">
        <v>0.0</v>
      </c>
    </row>
    <row r="43">
      <c r="D43" s="2">
        <v>0.0</v>
      </c>
      <c r="E43" s="2">
        <v>0.0</v>
      </c>
      <c r="G43" s="2">
        <v>0.0</v>
      </c>
      <c r="J43" s="2">
        <v>4.0</v>
      </c>
      <c r="Y43" s="2">
        <v>0.0</v>
      </c>
      <c r="Z43" s="2">
        <v>4.0</v>
      </c>
      <c r="AK43" s="2">
        <v>4.0</v>
      </c>
      <c r="AN43" s="2">
        <v>0.0</v>
      </c>
    </row>
    <row r="44">
      <c r="D44" s="2">
        <v>0.0</v>
      </c>
      <c r="E44" s="2">
        <v>0.0</v>
      </c>
      <c r="G44" s="2">
        <v>0.0</v>
      </c>
      <c r="Y44" s="2">
        <v>0.0</v>
      </c>
      <c r="AL44" s="2">
        <v>0.0</v>
      </c>
      <c r="AN44" s="2">
        <v>0.0</v>
      </c>
    </row>
    <row r="45">
      <c r="D45" s="2">
        <v>0.0</v>
      </c>
      <c r="E45" s="2">
        <v>0.0</v>
      </c>
      <c r="G45" s="2">
        <v>0.0</v>
      </c>
      <c r="Y45" s="2">
        <v>0.0</v>
      </c>
      <c r="AB45" s="2">
        <v>4.0</v>
      </c>
      <c r="AF45" s="2">
        <v>0.0</v>
      </c>
      <c r="AL45" s="2">
        <v>0.0</v>
      </c>
      <c r="AN45" s="2">
        <v>0.0</v>
      </c>
    </row>
    <row r="46">
      <c r="A46" s="2" t="b">
        <v>1</v>
      </c>
      <c r="B46" s="2" t="b">
        <v>1</v>
      </c>
      <c r="C46" s="2" t="b">
        <v>1</v>
      </c>
      <c r="D46" s="2" t="b">
        <v>0</v>
      </c>
      <c r="E46" s="2" t="b">
        <v>0</v>
      </c>
      <c r="F46" s="2" t="b">
        <v>1</v>
      </c>
      <c r="G46" s="2" t="b">
        <v>0</v>
      </c>
      <c r="H46" s="2" t="b">
        <v>1</v>
      </c>
      <c r="I46" s="2" t="b">
        <v>1</v>
      </c>
      <c r="J46" s="2" t="b">
        <v>1</v>
      </c>
      <c r="K46" s="2" t="b">
        <v>1</v>
      </c>
      <c r="L46" s="2" t="b">
        <v>1</v>
      </c>
      <c r="M46" s="2" t="b">
        <v>1</v>
      </c>
      <c r="N46" s="2" t="b">
        <v>1</v>
      </c>
      <c r="O46" s="2" t="b">
        <v>1</v>
      </c>
      <c r="P46" s="2" t="b">
        <v>1</v>
      </c>
      <c r="Q46" s="2" t="b">
        <v>1</v>
      </c>
      <c r="R46" s="2" t="b">
        <v>1</v>
      </c>
      <c r="S46" s="2" t="b">
        <v>1</v>
      </c>
      <c r="T46" s="2" t="b">
        <v>1</v>
      </c>
      <c r="U46" s="2" t="b">
        <v>1</v>
      </c>
      <c r="V46" s="2" t="b">
        <v>1</v>
      </c>
      <c r="W46" s="2" t="b">
        <v>1</v>
      </c>
      <c r="X46" s="2" t="b">
        <v>1</v>
      </c>
      <c r="Y46" s="2" t="b">
        <v>0</v>
      </c>
      <c r="Z46" s="2" t="b">
        <v>1</v>
      </c>
      <c r="AA46" s="2" t="b">
        <v>1</v>
      </c>
      <c r="AB46" s="2" t="b">
        <v>1</v>
      </c>
      <c r="AC46" s="2" t="b">
        <v>1</v>
      </c>
      <c r="AD46" s="2" t="b">
        <v>1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b">
        <v>1</v>
      </c>
      <c r="AM46" s="2" t="b">
        <v>1</v>
      </c>
      <c r="AN46" s="2" t="b">
        <v>0</v>
      </c>
      <c r="AO46" s="2" t="b">
        <v>0</v>
      </c>
      <c r="AP46" s="2" t="b">
        <v>0</v>
      </c>
      <c r="AQ46" s="2" t="b">
        <v>0</v>
      </c>
      <c r="AR46" s="2" t="b">
        <v>0</v>
      </c>
      <c r="AS46" s="2" t="b">
        <v>0</v>
      </c>
      <c r="AT46" s="2" t="b">
        <v>0</v>
      </c>
      <c r="AU46" s="2" t="b">
        <v>0</v>
      </c>
      <c r="AV46" s="2" t="b">
        <v>0</v>
      </c>
      <c r="AW46" s="2" t="b">
        <v>0</v>
      </c>
      <c r="AX46" s="2" t="b">
        <v>0</v>
      </c>
    </row>
    <row r="47">
      <c r="B47" s="2">
        <v>4.0</v>
      </c>
      <c r="D47" s="2">
        <v>0.0</v>
      </c>
      <c r="E47" s="2">
        <v>0.0</v>
      </c>
      <c r="G47" s="2">
        <v>0.0</v>
      </c>
      <c r="X47" s="2">
        <v>4.0</v>
      </c>
      <c r="Y47" s="2">
        <v>0.0</v>
      </c>
      <c r="AK47" s="2">
        <v>4.0</v>
      </c>
      <c r="AN47" s="2">
        <v>0.0</v>
      </c>
    </row>
    <row r="48">
      <c r="D48" s="2">
        <v>0.0</v>
      </c>
      <c r="E48" s="2">
        <v>0.0</v>
      </c>
      <c r="F48" s="2">
        <v>4.0</v>
      </c>
      <c r="G48" s="2">
        <v>0.0</v>
      </c>
      <c r="R48" s="2">
        <v>4.0</v>
      </c>
      <c r="V48" s="2">
        <v>4.0</v>
      </c>
      <c r="Y48" s="2">
        <v>0.0</v>
      </c>
      <c r="AE48" s="2">
        <v>0.0</v>
      </c>
      <c r="AM48" s="2">
        <v>0.0</v>
      </c>
      <c r="AN48" s="2">
        <v>0.0</v>
      </c>
    </row>
    <row r="49">
      <c r="D49" s="2">
        <v>0.0</v>
      </c>
      <c r="E49" s="2">
        <v>0.0</v>
      </c>
      <c r="G49" s="2">
        <v>0.0</v>
      </c>
      <c r="I49" s="2">
        <v>4.0</v>
      </c>
      <c r="R49" s="2">
        <v>4.0</v>
      </c>
      <c r="Y49" s="2">
        <v>0.0</v>
      </c>
      <c r="AC49" s="2">
        <v>4.0</v>
      </c>
      <c r="AG49" s="2">
        <v>4.0</v>
      </c>
      <c r="AJ49" s="2">
        <v>0.0</v>
      </c>
      <c r="AN49" s="2">
        <v>0.0</v>
      </c>
    </row>
    <row r="50">
      <c r="D50" s="2">
        <v>0.0</v>
      </c>
      <c r="E50" s="2">
        <v>0.0</v>
      </c>
      <c r="G50" s="2">
        <v>0.0</v>
      </c>
      <c r="Y50" s="2">
        <v>0.0</v>
      </c>
      <c r="AG50" s="2">
        <v>0.0</v>
      </c>
      <c r="AK50" s="2">
        <v>4.0</v>
      </c>
      <c r="AN50" s="2">
        <v>0.0</v>
      </c>
    </row>
    <row r="51">
      <c r="A51" s="2">
        <v>4.0</v>
      </c>
      <c r="D51" s="2">
        <v>0.0</v>
      </c>
      <c r="E51" s="2">
        <v>0.0</v>
      </c>
      <c r="G51" s="2">
        <v>0.0</v>
      </c>
      <c r="Q51" s="2">
        <v>4.0</v>
      </c>
      <c r="X51" s="2">
        <v>-4.0</v>
      </c>
      <c r="Y51" s="2">
        <v>0.0</v>
      </c>
      <c r="AF51" s="2">
        <v>0.0</v>
      </c>
      <c r="AL51" s="2">
        <v>4.0</v>
      </c>
      <c r="AN51" s="2">
        <v>0.0</v>
      </c>
    </row>
    <row r="52">
      <c r="B52" s="2">
        <v>4.0</v>
      </c>
      <c r="D52" s="2">
        <v>0.0</v>
      </c>
      <c r="E52" s="2">
        <v>0.0</v>
      </c>
      <c r="G52" s="2">
        <v>0.0</v>
      </c>
      <c r="Q52" s="2">
        <v>4.0</v>
      </c>
      <c r="X52" s="2">
        <v>4.0</v>
      </c>
      <c r="Y52" s="2">
        <v>0.0</v>
      </c>
      <c r="AF52" s="2">
        <v>0.0</v>
      </c>
      <c r="AL52" s="2">
        <v>0.0</v>
      </c>
      <c r="AN52" s="2">
        <v>0.0</v>
      </c>
    </row>
    <row r="53">
      <c r="D53" s="2">
        <v>0.0</v>
      </c>
      <c r="E53" s="2">
        <v>0.0</v>
      </c>
      <c r="G53" s="2">
        <v>0.0</v>
      </c>
      <c r="Y53" s="2">
        <v>0.0</v>
      </c>
      <c r="Z53" s="2">
        <v>4.0</v>
      </c>
      <c r="AG53" s="2">
        <v>0.0</v>
      </c>
      <c r="AK53" s="2">
        <v>0.0</v>
      </c>
      <c r="AN53" s="2">
        <v>0.0</v>
      </c>
    </row>
    <row r="54">
      <c r="B54" s="2">
        <v>4.0</v>
      </c>
      <c r="D54" s="2">
        <v>0.0</v>
      </c>
      <c r="E54" s="2">
        <v>0.0</v>
      </c>
      <c r="G54" s="2">
        <v>0.0</v>
      </c>
      <c r="V54" s="2">
        <v>-4.0</v>
      </c>
      <c r="Y54" s="2">
        <v>0.0</v>
      </c>
      <c r="Z54" s="2">
        <v>4.0</v>
      </c>
      <c r="AE54" s="2">
        <v>4.0</v>
      </c>
      <c r="AN54" s="2">
        <v>0.0</v>
      </c>
    </row>
    <row r="55">
      <c r="D55" s="2">
        <v>0.0</v>
      </c>
      <c r="E55" s="2">
        <v>0.0</v>
      </c>
      <c r="G55" s="2">
        <v>0.0</v>
      </c>
      <c r="M55" s="2">
        <v>4.0</v>
      </c>
      <c r="V55" s="2">
        <v>4.0</v>
      </c>
      <c r="Y55" s="2">
        <v>0.0</v>
      </c>
      <c r="AG55" s="2">
        <v>0.0</v>
      </c>
      <c r="AL55" s="2">
        <v>0.0</v>
      </c>
      <c r="AN55" s="2">
        <v>0.0</v>
      </c>
    </row>
    <row r="56">
      <c r="D56" s="2">
        <v>0.0</v>
      </c>
      <c r="E56" s="2">
        <v>0.0</v>
      </c>
      <c r="G56" s="2">
        <v>0.0</v>
      </c>
      <c r="Y56" s="2">
        <v>0.0</v>
      </c>
      <c r="AA56" s="2">
        <v>4.0</v>
      </c>
      <c r="AK56" s="2">
        <v>4.0</v>
      </c>
      <c r="AN56" s="2">
        <v>0.0</v>
      </c>
    </row>
    <row r="57">
      <c r="D57" s="2">
        <v>0.0</v>
      </c>
      <c r="E57" s="2">
        <v>0.0</v>
      </c>
      <c r="F57" s="2">
        <v>4.0</v>
      </c>
      <c r="G57" s="2">
        <v>0.0</v>
      </c>
      <c r="Q57" s="2">
        <v>4.0</v>
      </c>
      <c r="X57" s="2">
        <v>-4.0</v>
      </c>
      <c r="Y57" s="2">
        <v>0.0</v>
      </c>
      <c r="AC57" s="2">
        <v>4.0</v>
      </c>
      <c r="AJ57" s="2">
        <v>0.0</v>
      </c>
      <c r="AN57" s="2">
        <v>0.0</v>
      </c>
    </row>
    <row r="58">
      <c r="D58" s="2">
        <v>0.0</v>
      </c>
      <c r="E58" s="2">
        <v>0.0</v>
      </c>
      <c r="G58" s="2">
        <v>0.0</v>
      </c>
      <c r="R58" s="2">
        <v>4.0</v>
      </c>
      <c r="Y58" s="2">
        <v>0.0</v>
      </c>
      <c r="AE58" s="2">
        <v>0.0</v>
      </c>
      <c r="AL58" s="2">
        <v>0.0</v>
      </c>
      <c r="AN58" s="2">
        <v>0.0</v>
      </c>
    </row>
    <row r="61">
      <c r="A61" s="2" t="s">
        <v>3</v>
      </c>
      <c r="B61" s="2" t="s">
        <v>3</v>
      </c>
      <c r="C61" s="2" t="s">
        <v>3</v>
      </c>
      <c r="D61" s="2" t="s">
        <v>3</v>
      </c>
      <c r="E61" s="2" t="s">
        <v>3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2" t="s">
        <v>1</v>
      </c>
      <c r="L61" s="2" t="s">
        <v>1</v>
      </c>
      <c r="M61" s="2" t="s">
        <v>1</v>
      </c>
      <c r="N61" s="2" t="s">
        <v>1</v>
      </c>
      <c r="O61" s="2" t="s">
        <v>1</v>
      </c>
      <c r="P61" s="2" t="s">
        <v>7</v>
      </c>
      <c r="Q61" s="2" t="s">
        <v>7</v>
      </c>
      <c r="R61" s="2" t="s">
        <v>7</v>
      </c>
      <c r="S61" s="2" t="s">
        <v>7</v>
      </c>
      <c r="T61" s="2" t="s">
        <v>7</v>
      </c>
      <c r="U61" s="2" t="s">
        <v>5</v>
      </c>
      <c r="V61" s="2" t="s">
        <v>5</v>
      </c>
      <c r="W61" s="2" t="s">
        <v>5</v>
      </c>
      <c r="X61" s="2" t="s">
        <v>5</v>
      </c>
      <c r="Y61" s="2" t="s">
        <v>5</v>
      </c>
      <c r="Z61" s="2" t="s">
        <v>2</v>
      </c>
      <c r="AA61" s="2" t="s">
        <v>2</v>
      </c>
      <c r="AB61" s="2" t="s">
        <v>2</v>
      </c>
      <c r="AC61" s="2" t="s">
        <v>2</v>
      </c>
      <c r="AD61" s="2" t="s">
        <v>2</v>
      </c>
      <c r="AE61" s="2" t="s">
        <v>9</v>
      </c>
      <c r="AF61" s="2" t="s">
        <v>9</v>
      </c>
      <c r="AG61" s="2" t="s">
        <v>9</v>
      </c>
      <c r="AH61" s="2" t="s">
        <v>9</v>
      </c>
      <c r="AI61" s="2" t="s">
        <v>9</v>
      </c>
      <c r="AJ61" s="2" t="s">
        <v>8</v>
      </c>
      <c r="AK61" s="2" t="s">
        <v>8</v>
      </c>
      <c r="AL61" s="2" t="s">
        <v>8</v>
      </c>
      <c r="AM61" s="2" t="s">
        <v>8</v>
      </c>
      <c r="AN61" s="2" t="s">
        <v>8</v>
      </c>
      <c r="AO61" s="2" t="s">
        <v>0</v>
      </c>
      <c r="AP61" s="2" t="s">
        <v>0</v>
      </c>
      <c r="AQ61" s="2" t="s">
        <v>0</v>
      </c>
      <c r="AR61" s="2" t="s">
        <v>0</v>
      </c>
      <c r="AS61" s="2" t="s">
        <v>0</v>
      </c>
      <c r="AT61" s="2" t="s">
        <v>6</v>
      </c>
      <c r="AU61" s="2" t="s">
        <v>6</v>
      </c>
      <c r="AV61" s="2" t="s">
        <v>6</v>
      </c>
      <c r="AW61" s="2" t="s">
        <v>6</v>
      </c>
      <c r="AX61" s="2" t="s">
        <v>6</v>
      </c>
    </row>
    <row r="62">
      <c r="A62" s="2" t="s">
        <v>47</v>
      </c>
      <c r="B62" s="2" t="s">
        <v>48</v>
      </c>
      <c r="C62" s="2" t="s">
        <v>49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18</v>
      </c>
      <c r="K62" s="2" t="s">
        <v>12</v>
      </c>
      <c r="L62" s="2" t="s">
        <v>13</v>
      </c>
      <c r="P62" s="2" t="s">
        <v>24</v>
      </c>
      <c r="Q62" s="2" t="s">
        <v>25</v>
      </c>
      <c r="R62" s="2" t="s">
        <v>26</v>
      </c>
      <c r="S62" s="2" t="s">
        <v>27</v>
      </c>
      <c r="T62" s="2" t="s">
        <v>28</v>
      </c>
      <c r="U62" s="2" t="s">
        <v>50</v>
      </c>
      <c r="V62" s="2" t="s">
        <v>51</v>
      </c>
      <c r="W62" s="2" t="s">
        <v>21</v>
      </c>
      <c r="X62" s="2" t="s">
        <v>52</v>
      </c>
      <c r="Z62" s="3" t="s">
        <v>33</v>
      </c>
      <c r="AA62" s="3" t="s">
        <v>34</v>
      </c>
      <c r="AB62" s="3" t="s">
        <v>35</v>
      </c>
      <c r="AC62" s="3" t="s">
        <v>36</v>
      </c>
      <c r="AD62" s="3" t="s">
        <v>37</v>
      </c>
      <c r="AE62" s="3" t="s">
        <v>38</v>
      </c>
      <c r="AF62" s="3" t="s">
        <v>39</v>
      </c>
      <c r="AG62" s="3" t="s">
        <v>40</v>
      </c>
      <c r="AH62" s="3" t="s">
        <v>41</v>
      </c>
      <c r="AI62" s="3" t="s">
        <v>42</v>
      </c>
      <c r="AJ62" s="3" t="s">
        <v>29</v>
      </c>
      <c r="AK62" s="3" t="s">
        <v>30</v>
      </c>
      <c r="AL62" s="3" t="s">
        <v>31</v>
      </c>
      <c r="AM62" s="3" t="s">
        <v>32</v>
      </c>
      <c r="AN62" s="5"/>
      <c r="AO62" s="2" t="s">
        <v>43</v>
      </c>
      <c r="AP62" s="2" t="s">
        <v>44</v>
      </c>
      <c r="AQ62" s="2" t="s">
        <v>45</v>
      </c>
      <c r="AR62" s="2" t="s">
        <v>12</v>
      </c>
      <c r="AS62" s="2" t="s">
        <v>46</v>
      </c>
      <c r="AT62" s="3" t="s">
        <v>19</v>
      </c>
      <c r="AU62" s="3" t="s">
        <v>20</v>
      </c>
      <c r="AV62" s="3" t="s">
        <v>21</v>
      </c>
      <c r="AW62" s="3" t="s">
        <v>22</v>
      </c>
      <c r="AX62" s="3" t="s">
        <v>23</v>
      </c>
    </row>
    <row r="63">
      <c r="A63" s="2" t="b">
        <v>1</v>
      </c>
      <c r="B63" s="2" t="b">
        <v>1</v>
      </c>
      <c r="C63" s="2" t="b">
        <v>1</v>
      </c>
      <c r="D63" s="2" t="b">
        <v>0</v>
      </c>
      <c r="E63" s="2" t="b">
        <v>0</v>
      </c>
      <c r="F63" s="2" t="b">
        <v>1</v>
      </c>
      <c r="G63" s="2" t="b">
        <v>1</v>
      </c>
      <c r="H63" s="2" t="b">
        <v>1</v>
      </c>
      <c r="I63" s="2" t="b">
        <v>1</v>
      </c>
      <c r="J63" s="2" t="b">
        <v>1</v>
      </c>
      <c r="K63" s="2" t="b">
        <v>1</v>
      </c>
      <c r="L63" s="2" t="b">
        <v>1</v>
      </c>
      <c r="M63" s="2" t="b">
        <v>0</v>
      </c>
      <c r="N63" s="2" t="b">
        <v>0</v>
      </c>
      <c r="O63" s="2" t="b">
        <v>0</v>
      </c>
      <c r="P63" s="2" t="b">
        <v>1</v>
      </c>
      <c r="Q63" s="2" t="b">
        <v>1</v>
      </c>
      <c r="R63" s="2" t="b">
        <v>1</v>
      </c>
      <c r="S63" s="2" t="b">
        <v>1</v>
      </c>
      <c r="T63" s="2" t="b">
        <v>1</v>
      </c>
      <c r="U63" s="2" t="b">
        <v>1</v>
      </c>
      <c r="V63" s="2" t="b">
        <v>1</v>
      </c>
      <c r="W63" s="2" t="b">
        <v>1</v>
      </c>
      <c r="X63" s="2" t="b">
        <v>1</v>
      </c>
      <c r="Y63" s="2" t="b">
        <v>0</v>
      </c>
      <c r="Z63" s="2" t="b">
        <v>1</v>
      </c>
      <c r="AA63" s="2" t="b">
        <v>1</v>
      </c>
      <c r="AB63" s="2" t="b">
        <v>1</v>
      </c>
      <c r="AC63" s="2" t="b">
        <v>1</v>
      </c>
      <c r="AD63" s="2" t="b">
        <v>0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b">
        <v>1</v>
      </c>
      <c r="AM63" s="2" t="b">
        <v>1</v>
      </c>
      <c r="AN63" s="2" t="b">
        <v>0</v>
      </c>
      <c r="AO63" s="2" t="b">
        <v>0</v>
      </c>
      <c r="AP63" s="2" t="b">
        <v>0</v>
      </c>
      <c r="AQ63" s="2" t="b">
        <v>0</v>
      </c>
      <c r="AR63" s="2" t="b">
        <v>0</v>
      </c>
      <c r="AS63" s="2" t="b">
        <v>0</v>
      </c>
      <c r="AT63" s="2" t="b">
        <v>0</v>
      </c>
      <c r="AU63" s="2" t="b">
        <v>0</v>
      </c>
      <c r="AV63" s="2" t="b">
        <v>0</v>
      </c>
      <c r="AW63" s="2" t="b">
        <v>0</v>
      </c>
      <c r="AX63" s="2" t="b">
        <v>0</v>
      </c>
    </row>
    <row r="64">
      <c r="B64" s="2">
        <v>4.0</v>
      </c>
      <c r="D64" s="2">
        <v>0.0</v>
      </c>
      <c r="E64" s="2">
        <v>0.0</v>
      </c>
      <c r="M64" s="2">
        <v>0.0</v>
      </c>
      <c r="N64" s="2">
        <v>0.0</v>
      </c>
      <c r="O64" s="2">
        <v>0.0</v>
      </c>
      <c r="Q64" s="2">
        <v>4.0</v>
      </c>
      <c r="Y64" s="2">
        <v>0.0</v>
      </c>
      <c r="AD64" s="2">
        <v>0.0</v>
      </c>
      <c r="AK64" s="2">
        <v>4.0</v>
      </c>
      <c r="AN64" s="2">
        <v>0.0</v>
      </c>
    </row>
    <row r="65">
      <c r="D65" s="2">
        <v>0.0</v>
      </c>
      <c r="E65" s="2">
        <v>0.0</v>
      </c>
      <c r="M65" s="2">
        <v>0.0</v>
      </c>
      <c r="N65" s="2">
        <v>0.0</v>
      </c>
      <c r="O65" s="2">
        <v>0.0</v>
      </c>
      <c r="V65" s="2">
        <v>4.0</v>
      </c>
      <c r="Y65" s="2">
        <v>0.0</v>
      </c>
      <c r="AD65" s="2">
        <v>0.0</v>
      </c>
      <c r="AH65" s="2">
        <v>4.0</v>
      </c>
      <c r="AN65" s="2">
        <v>0.0</v>
      </c>
    </row>
    <row r="66">
      <c r="B66" s="2">
        <v>4.0</v>
      </c>
      <c r="D66" s="2">
        <v>0.0</v>
      </c>
      <c r="E66" s="2">
        <v>0.0</v>
      </c>
      <c r="M66" s="2">
        <v>0.0</v>
      </c>
      <c r="N66" s="2">
        <v>0.0</v>
      </c>
      <c r="O66" s="2">
        <v>0.0</v>
      </c>
      <c r="Y66" s="2">
        <v>0.0</v>
      </c>
      <c r="AD66" s="2">
        <v>0.0</v>
      </c>
      <c r="AG66" s="2">
        <v>0.0</v>
      </c>
      <c r="AK66" s="2">
        <v>0.0</v>
      </c>
      <c r="AN66" s="2">
        <v>0.0</v>
      </c>
    </row>
    <row r="67">
      <c r="D67" s="2">
        <v>0.0</v>
      </c>
      <c r="E67" s="2">
        <v>0.0</v>
      </c>
      <c r="H67" s="2">
        <v>4.0</v>
      </c>
      <c r="M67" s="2">
        <v>0.0</v>
      </c>
      <c r="N67" s="2">
        <v>0.0</v>
      </c>
      <c r="O67" s="2">
        <v>0.0</v>
      </c>
      <c r="R67" s="2">
        <v>4.0</v>
      </c>
      <c r="U67" s="2">
        <v>-4.0</v>
      </c>
      <c r="Y67" s="2">
        <v>0.0</v>
      </c>
      <c r="AA67" s="2">
        <v>4.0</v>
      </c>
      <c r="AD67" s="2">
        <v>0.0</v>
      </c>
      <c r="AI67" s="2">
        <v>0.0</v>
      </c>
      <c r="AM67" s="2">
        <v>4.0</v>
      </c>
      <c r="AN67" s="2">
        <v>0.0</v>
      </c>
    </row>
    <row r="68">
      <c r="B68" s="2">
        <v>4.0</v>
      </c>
      <c r="D68" s="2">
        <v>0.0</v>
      </c>
      <c r="E68" s="2">
        <v>0.0</v>
      </c>
      <c r="M68" s="2">
        <v>0.0</v>
      </c>
      <c r="N68" s="2">
        <v>0.0</v>
      </c>
      <c r="O68" s="2">
        <v>0.0</v>
      </c>
      <c r="Y68" s="2">
        <v>0.0</v>
      </c>
      <c r="Z68" s="2">
        <v>-4.0</v>
      </c>
      <c r="AD68" s="2">
        <v>0.0</v>
      </c>
      <c r="AG68" s="2">
        <v>0.0</v>
      </c>
      <c r="AM68" s="2">
        <v>0.0</v>
      </c>
      <c r="AN68" s="2">
        <v>0.0</v>
      </c>
    </row>
    <row r="69">
      <c r="D69" s="2">
        <v>0.0</v>
      </c>
      <c r="E69" s="2">
        <v>0.0</v>
      </c>
      <c r="M69" s="2">
        <v>0.0</v>
      </c>
      <c r="N69" s="2">
        <v>0.0</v>
      </c>
      <c r="O69" s="2">
        <v>0.0</v>
      </c>
      <c r="V69" s="2">
        <v>-4.0</v>
      </c>
      <c r="Y69" s="2">
        <v>0.0</v>
      </c>
      <c r="AD69" s="2">
        <v>0.0</v>
      </c>
      <c r="AI69" s="2">
        <v>4.0</v>
      </c>
      <c r="AJ69" s="2">
        <v>0.0</v>
      </c>
      <c r="AN69" s="2">
        <v>0.0</v>
      </c>
    </row>
    <row r="70">
      <c r="B70" s="2">
        <v>4.0</v>
      </c>
      <c r="D70" s="2">
        <v>0.0</v>
      </c>
      <c r="E70" s="2">
        <v>0.0</v>
      </c>
      <c r="K70" s="2">
        <v>4.0</v>
      </c>
      <c r="M70" s="2">
        <v>0.0</v>
      </c>
      <c r="N70" s="2">
        <v>0.0</v>
      </c>
      <c r="O70" s="2">
        <v>0.0</v>
      </c>
      <c r="U70" s="2">
        <v>-4.0</v>
      </c>
      <c r="Y70" s="2">
        <v>0.0</v>
      </c>
      <c r="AD70" s="2">
        <v>0.0</v>
      </c>
      <c r="AI70" s="2">
        <v>4.0</v>
      </c>
      <c r="AN70" s="2">
        <v>0.0</v>
      </c>
    </row>
    <row r="71">
      <c r="B71" s="2">
        <v>4.0</v>
      </c>
      <c r="D71" s="2">
        <v>0.0</v>
      </c>
      <c r="E71" s="2">
        <v>0.0</v>
      </c>
      <c r="M71" s="2">
        <v>0.0</v>
      </c>
      <c r="N71" s="2">
        <v>0.0</v>
      </c>
      <c r="O71" s="2">
        <v>0.0</v>
      </c>
      <c r="R71" s="2">
        <v>4.0</v>
      </c>
      <c r="V71" s="2">
        <v>4.0</v>
      </c>
      <c r="Y71" s="2">
        <v>0.0</v>
      </c>
      <c r="AD71" s="2">
        <v>0.0</v>
      </c>
      <c r="AE71" s="2">
        <v>0.0</v>
      </c>
      <c r="AK71" s="2">
        <v>0.0</v>
      </c>
      <c r="AN71" s="2">
        <v>0.0</v>
      </c>
    </row>
    <row r="72">
      <c r="C72" s="2">
        <v>4.0</v>
      </c>
      <c r="D72" s="2">
        <v>0.0</v>
      </c>
      <c r="E72" s="2">
        <v>0.0</v>
      </c>
      <c r="K72" s="2">
        <v>4.0</v>
      </c>
      <c r="M72" s="2">
        <v>0.0</v>
      </c>
      <c r="N72" s="2">
        <v>0.0</v>
      </c>
      <c r="O72" s="2">
        <v>0.0</v>
      </c>
      <c r="Y72" s="2">
        <v>0.0</v>
      </c>
      <c r="AD72" s="2">
        <v>0.0</v>
      </c>
      <c r="AK72" s="2">
        <v>4.0</v>
      </c>
      <c r="AN72" s="2">
        <v>0.0</v>
      </c>
    </row>
    <row r="73">
      <c r="C73" s="2">
        <v>4.0</v>
      </c>
      <c r="D73" s="2">
        <v>0.0</v>
      </c>
      <c r="E73" s="2">
        <v>0.0</v>
      </c>
      <c r="K73" s="2">
        <v>4.0</v>
      </c>
      <c r="M73" s="2">
        <v>0.0</v>
      </c>
      <c r="N73" s="2">
        <v>0.0</v>
      </c>
      <c r="O73" s="2">
        <v>0.0</v>
      </c>
      <c r="X73" s="2">
        <v>4.0</v>
      </c>
      <c r="Y73" s="2">
        <v>0.0</v>
      </c>
      <c r="AD73" s="2">
        <v>0.0</v>
      </c>
      <c r="AH73" s="2">
        <v>0.0</v>
      </c>
      <c r="AL73" s="2">
        <v>0.0</v>
      </c>
      <c r="AN73" s="2">
        <v>0.0</v>
      </c>
    </row>
    <row r="74">
      <c r="D74" s="2">
        <v>0.0</v>
      </c>
      <c r="E74" s="2">
        <v>0.0</v>
      </c>
      <c r="K74" s="2">
        <v>4.0</v>
      </c>
      <c r="M74" s="2">
        <v>0.0</v>
      </c>
      <c r="N74" s="2">
        <v>0.0</v>
      </c>
      <c r="O74" s="2">
        <v>0.0</v>
      </c>
      <c r="X74" s="2">
        <v>4.0</v>
      </c>
      <c r="Y74" s="2">
        <v>0.0</v>
      </c>
      <c r="AD74" s="2">
        <v>0.0</v>
      </c>
      <c r="AN74" s="2">
        <v>0.0</v>
      </c>
    </row>
    <row r="75">
      <c r="D75" s="2">
        <v>0.0</v>
      </c>
      <c r="E75" s="2">
        <v>0.0</v>
      </c>
      <c r="M75" s="2">
        <v>0.0</v>
      </c>
      <c r="N75" s="2">
        <v>0.0</v>
      </c>
      <c r="O75" s="2">
        <v>0.0</v>
      </c>
      <c r="W75" s="2">
        <v>4.0</v>
      </c>
      <c r="Y75" s="2">
        <v>0.0</v>
      </c>
      <c r="AD75" s="2">
        <v>0.0</v>
      </c>
      <c r="AE75" s="2">
        <v>4.0</v>
      </c>
      <c r="AN75" s="2">
        <v>0.0</v>
      </c>
    </row>
    <row r="76">
      <c r="A76" s="2" t="b">
        <v>1</v>
      </c>
      <c r="B76" s="2" t="b">
        <v>1</v>
      </c>
      <c r="C76" s="2" t="b">
        <v>1</v>
      </c>
      <c r="D76" s="2" t="b">
        <v>0</v>
      </c>
      <c r="E76" s="2" t="b">
        <v>0</v>
      </c>
      <c r="F76" s="2" t="b">
        <v>1</v>
      </c>
      <c r="G76" s="2" t="b">
        <v>1</v>
      </c>
      <c r="H76" s="2" t="b">
        <v>1</v>
      </c>
      <c r="I76" s="2" t="b">
        <v>1</v>
      </c>
      <c r="J76" s="2" t="b">
        <v>1</v>
      </c>
      <c r="K76" s="2" t="b">
        <v>1</v>
      </c>
      <c r="L76" s="2" t="b">
        <v>1</v>
      </c>
      <c r="M76" s="2" t="b">
        <v>0</v>
      </c>
      <c r="N76" s="2" t="b">
        <v>0</v>
      </c>
      <c r="O76" s="2" t="b">
        <v>0</v>
      </c>
      <c r="P76" s="2" t="b">
        <v>1</v>
      </c>
      <c r="Q76" s="2" t="b">
        <v>1</v>
      </c>
      <c r="R76" s="2" t="b">
        <v>1</v>
      </c>
      <c r="S76" s="2" t="b">
        <v>1</v>
      </c>
      <c r="T76" s="2" t="b">
        <v>1</v>
      </c>
      <c r="U76" s="2" t="b">
        <v>1</v>
      </c>
      <c r="V76" s="2" t="b">
        <v>1</v>
      </c>
      <c r="W76" s="2" t="b">
        <v>1</v>
      </c>
      <c r="X76" s="2" t="b">
        <v>1</v>
      </c>
      <c r="Y76" s="2" t="b">
        <v>0</v>
      </c>
      <c r="Z76" s="2" t="b">
        <v>1</v>
      </c>
      <c r="AA76" s="2" t="b">
        <v>1</v>
      </c>
      <c r="AB76" s="2" t="b">
        <v>1</v>
      </c>
      <c r="AC76" s="2" t="b">
        <v>1</v>
      </c>
      <c r="AD76" s="2" t="b">
        <v>0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1</v>
      </c>
      <c r="AL76" s="2" t="b">
        <v>1</v>
      </c>
      <c r="AM76" s="2" t="b">
        <v>1</v>
      </c>
      <c r="AN76" s="2" t="b">
        <v>0</v>
      </c>
      <c r="AO76" s="2" t="b">
        <v>0</v>
      </c>
      <c r="AP76" s="2" t="b">
        <v>0</v>
      </c>
      <c r="AQ76" s="2" t="b">
        <v>0</v>
      </c>
      <c r="AR76" s="2" t="b">
        <v>0</v>
      </c>
      <c r="AS76" s="2" t="b">
        <v>0</v>
      </c>
      <c r="AT76" s="2" t="b">
        <v>0</v>
      </c>
      <c r="AU76" s="2" t="b">
        <v>0</v>
      </c>
      <c r="AV76" s="2" t="b">
        <v>0</v>
      </c>
      <c r="AW76" s="2" t="b">
        <v>0</v>
      </c>
      <c r="AX76" s="2" t="b">
        <v>0</v>
      </c>
    </row>
    <row r="77">
      <c r="D77" s="2">
        <v>0.0</v>
      </c>
      <c r="E77" s="2">
        <v>0.0</v>
      </c>
      <c r="M77" s="2">
        <v>0.0</v>
      </c>
      <c r="N77" s="2">
        <v>0.0</v>
      </c>
      <c r="O77" s="2">
        <v>0.0</v>
      </c>
      <c r="X77" s="2">
        <v>-4.0</v>
      </c>
      <c r="Y77" s="2">
        <v>0.0</v>
      </c>
      <c r="AD77" s="2">
        <v>0.0</v>
      </c>
      <c r="AG77" s="2">
        <v>0.0</v>
      </c>
      <c r="AM77" s="2">
        <v>0.0</v>
      </c>
      <c r="AN77" s="2">
        <v>0.0</v>
      </c>
    </row>
    <row r="78">
      <c r="B78" s="2">
        <v>4.0</v>
      </c>
      <c r="D78" s="2">
        <v>0.0</v>
      </c>
      <c r="E78" s="2">
        <v>0.0</v>
      </c>
      <c r="M78" s="2">
        <v>0.0</v>
      </c>
      <c r="N78" s="2">
        <v>0.0</v>
      </c>
      <c r="O78" s="2">
        <v>0.0</v>
      </c>
      <c r="Q78" s="2">
        <v>4.0</v>
      </c>
      <c r="U78" s="2">
        <v>4.0</v>
      </c>
      <c r="Y78" s="2">
        <v>0.0</v>
      </c>
      <c r="AD78" s="2">
        <v>0.0</v>
      </c>
      <c r="AI78" s="2">
        <v>4.0</v>
      </c>
      <c r="AK78" s="2">
        <v>0.0</v>
      </c>
      <c r="AN78" s="2">
        <v>0.0</v>
      </c>
    </row>
    <row r="79">
      <c r="D79" s="2">
        <v>0.0</v>
      </c>
      <c r="E79" s="2">
        <v>0.0</v>
      </c>
      <c r="F79" s="2">
        <v>4.0</v>
      </c>
      <c r="M79" s="2">
        <v>0.0</v>
      </c>
      <c r="N79" s="2">
        <v>0.0</v>
      </c>
      <c r="O79" s="2">
        <v>0.0</v>
      </c>
      <c r="X79" s="2">
        <v>4.0</v>
      </c>
      <c r="Y79" s="2">
        <v>0.0</v>
      </c>
      <c r="AD79" s="2">
        <v>0.0</v>
      </c>
      <c r="AI79" s="2">
        <v>0.0</v>
      </c>
      <c r="AK79" s="2">
        <v>0.0</v>
      </c>
      <c r="AN79" s="2">
        <v>0.0</v>
      </c>
    </row>
    <row r="80">
      <c r="D80" s="2">
        <v>0.0</v>
      </c>
      <c r="E80" s="2">
        <v>0.0</v>
      </c>
      <c r="L80" s="2">
        <v>4.0</v>
      </c>
      <c r="M80" s="2">
        <v>0.0</v>
      </c>
      <c r="N80" s="2">
        <v>0.0</v>
      </c>
      <c r="O80" s="2">
        <v>0.0</v>
      </c>
      <c r="Y80" s="2">
        <v>0.0</v>
      </c>
      <c r="AD80" s="2">
        <v>0.0</v>
      </c>
      <c r="AH80" s="2">
        <v>0.0</v>
      </c>
      <c r="AM80" s="2">
        <v>0.0</v>
      </c>
      <c r="AN80" s="2">
        <v>0.0</v>
      </c>
    </row>
    <row r="81">
      <c r="B81" s="2">
        <v>4.0</v>
      </c>
      <c r="D81" s="2">
        <v>0.0</v>
      </c>
      <c r="E81" s="2">
        <v>0.0</v>
      </c>
      <c r="M81" s="2">
        <v>0.0</v>
      </c>
      <c r="N81" s="2">
        <v>0.0</v>
      </c>
      <c r="O81" s="2">
        <v>0.0</v>
      </c>
      <c r="Y81" s="2">
        <v>0.0</v>
      </c>
      <c r="AD81" s="2">
        <v>0.0</v>
      </c>
      <c r="AN81" s="2">
        <v>0.0</v>
      </c>
    </row>
    <row r="82">
      <c r="B82" s="2">
        <v>4.0</v>
      </c>
      <c r="D82" s="2">
        <v>0.0</v>
      </c>
      <c r="E82" s="2">
        <v>0.0</v>
      </c>
      <c r="M82" s="2">
        <v>0.0</v>
      </c>
      <c r="N82" s="2">
        <v>0.0</v>
      </c>
      <c r="O82" s="2">
        <v>0.0</v>
      </c>
      <c r="Q82" s="2">
        <v>4.0</v>
      </c>
      <c r="Y82" s="2">
        <v>0.0</v>
      </c>
      <c r="AB82" s="2">
        <v>4.0</v>
      </c>
      <c r="AD82" s="2">
        <v>0.0</v>
      </c>
      <c r="AE82" s="2">
        <v>0.0</v>
      </c>
      <c r="AK82" s="2">
        <v>0.0</v>
      </c>
      <c r="AN82" s="2">
        <v>0.0</v>
      </c>
    </row>
    <row r="83">
      <c r="D83" s="2">
        <v>0.0</v>
      </c>
      <c r="E83" s="2">
        <v>0.0</v>
      </c>
      <c r="H83" s="2">
        <v>-4.0</v>
      </c>
      <c r="M83" s="2">
        <v>0.0</v>
      </c>
      <c r="N83" s="2">
        <v>0.0</v>
      </c>
      <c r="O83" s="2">
        <v>0.0</v>
      </c>
      <c r="X83" s="2">
        <v>-4.0</v>
      </c>
      <c r="Y83" s="2">
        <v>0.0</v>
      </c>
      <c r="AD83" s="2">
        <v>0.0</v>
      </c>
      <c r="AH83" s="2">
        <v>0.0</v>
      </c>
      <c r="AL83" s="2">
        <v>0.0</v>
      </c>
      <c r="AN83" s="2">
        <v>0.0</v>
      </c>
    </row>
    <row r="84">
      <c r="B84" s="2">
        <v>4.0</v>
      </c>
      <c r="D84" s="2">
        <v>0.0</v>
      </c>
      <c r="E84" s="2">
        <v>0.0</v>
      </c>
      <c r="M84" s="2">
        <v>0.0</v>
      </c>
      <c r="N84" s="2">
        <v>0.0</v>
      </c>
      <c r="O84" s="2">
        <v>0.0</v>
      </c>
      <c r="Q84" s="2">
        <v>4.0</v>
      </c>
      <c r="V84" s="2">
        <v>4.0</v>
      </c>
      <c r="Y84" s="2">
        <v>0.0</v>
      </c>
      <c r="AD84" s="2">
        <v>0.0</v>
      </c>
      <c r="AG84" s="2">
        <v>4.0</v>
      </c>
      <c r="AL84" s="2">
        <v>0.0</v>
      </c>
      <c r="AN84" s="2">
        <v>0.0</v>
      </c>
    </row>
    <row r="85">
      <c r="D85" s="2">
        <v>0.0</v>
      </c>
      <c r="E85" s="2">
        <v>0.0</v>
      </c>
      <c r="M85" s="2">
        <v>0.0</v>
      </c>
      <c r="N85" s="2">
        <v>0.0</v>
      </c>
      <c r="O85" s="2">
        <v>0.0</v>
      </c>
      <c r="R85" s="2">
        <v>4.0</v>
      </c>
      <c r="Y85" s="2">
        <v>0.0</v>
      </c>
      <c r="AD85" s="2">
        <v>0.0</v>
      </c>
      <c r="AI85" s="2">
        <v>0.0</v>
      </c>
      <c r="AK85" s="2">
        <v>0.0</v>
      </c>
      <c r="AN85" s="2">
        <v>0.0</v>
      </c>
    </row>
    <row r="86">
      <c r="D86" s="2">
        <v>0.0</v>
      </c>
      <c r="E86" s="2">
        <v>0.0</v>
      </c>
      <c r="K86" s="2">
        <v>4.0</v>
      </c>
      <c r="M86" s="2">
        <v>0.0</v>
      </c>
      <c r="N86" s="2">
        <v>0.0</v>
      </c>
      <c r="O86" s="2">
        <v>0.0</v>
      </c>
      <c r="X86" s="2">
        <v>4.0</v>
      </c>
      <c r="Y86" s="2">
        <v>0.0</v>
      </c>
      <c r="AD86" s="2">
        <v>0.0</v>
      </c>
      <c r="AG86" s="2">
        <v>0.0</v>
      </c>
      <c r="AN86" s="2">
        <v>0.0</v>
      </c>
    </row>
    <row r="87">
      <c r="A87" s="2">
        <v>4.0</v>
      </c>
      <c r="D87" s="2">
        <v>0.0</v>
      </c>
      <c r="E87" s="2">
        <v>0.0</v>
      </c>
      <c r="K87" s="2">
        <v>4.0</v>
      </c>
      <c r="M87" s="2">
        <v>0.0</v>
      </c>
      <c r="N87" s="2">
        <v>0.0</v>
      </c>
      <c r="O87" s="2">
        <v>0.0</v>
      </c>
      <c r="X87" s="2">
        <v>4.0</v>
      </c>
      <c r="Y87" s="2">
        <v>0.0</v>
      </c>
      <c r="AD87" s="2">
        <v>0.0</v>
      </c>
      <c r="AF87" s="2">
        <v>4.0</v>
      </c>
      <c r="AN87" s="2">
        <v>0.0</v>
      </c>
    </row>
    <row r="88">
      <c r="D88" s="2">
        <v>0.0</v>
      </c>
      <c r="E88" s="2">
        <v>0.0</v>
      </c>
      <c r="M88" s="2">
        <v>0.0</v>
      </c>
      <c r="N88" s="2">
        <v>0.0</v>
      </c>
      <c r="O88" s="2">
        <v>0.0</v>
      </c>
      <c r="Y88" s="2">
        <v>0.0</v>
      </c>
      <c r="AD88" s="2">
        <v>0.0</v>
      </c>
      <c r="AN88" s="2">
        <v>0.0</v>
      </c>
    </row>
    <row r="91">
      <c r="A91" s="2" t="s">
        <v>3</v>
      </c>
      <c r="B91" s="2" t="s">
        <v>3</v>
      </c>
      <c r="C91" s="2" t="s">
        <v>3</v>
      </c>
      <c r="D91" s="2" t="s">
        <v>3</v>
      </c>
      <c r="E91" s="2" t="s">
        <v>3</v>
      </c>
      <c r="F91" s="2" t="s">
        <v>7</v>
      </c>
      <c r="G91" s="2" t="s">
        <v>7</v>
      </c>
      <c r="H91" s="2" t="s">
        <v>7</v>
      </c>
      <c r="I91" s="2" t="s">
        <v>7</v>
      </c>
      <c r="J91" s="2" t="s">
        <v>7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6</v>
      </c>
      <c r="Q91" s="2" t="s">
        <v>6</v>
      </c>
      <c r="R91" s="2" t="s">
        <v>6</v>
      </c>
      <c r="S91" s="2" t="s">
        <v>6</v>
      </c>
      <c r="T91" s="2" t="s">
        <v>6</v>
      </c>
      <c r="U91" s="2" t="s">
        <v>5</v>
      </c>
      <c r="V91" s="2" t="s">
        <v>5</v>
      </c>
      <c r="W91" s="2" t="s">
        <v>5</v>
      </c>
      <c r="X91" s="2" t="s">
        <v>5</v>
      </c>
      <c r="Y91" s="2" t="s">
        <v>5</v>
      </c>
      <c r="Z91" s="2" t="s">
        <v>9</v>
      </c>
      <c r="AA91" s="2" t="s">
        <v>9</v>
      </c>
      <c r="AB91" s="2" t="s">
        <v>9</v>
      </c>
      <c r="AC91" s="2" t="s">
        <v>9</v>
      </c>
      <c r="AD91" s="2" t="s">
        <v>9</v>
      </c>
      <c r="AE91" s="2" t="s">
        <v>0</v>
      </c>
      <c r="AF91" s="2" t="s">
        <v>0</v>
      </c>
      <c r="AG91" s="2" t="s">
        <v>0</v>
      </c>
      <c r="AH91" s="2" t="s">
        <v>0</v>
      </c>
      <c r="AI91" s="2" t="s">
        <v>0</v>
      </c>
      <c r="AJ91" s="2" t="s">
        <v>8</v>
      </c>
      <c r="AK91" s="2" t="s">
        <v>8</v>
      </c>
      <c r="AL91" s="2" t="s">
        <v>8</v>
      </c>
      <c r="AM91" s="2" t="s">
        <v>8</v>
      </c>
      <c r="AN91" s="2" t="s">
        <v>8</v>
      </c>
      <c r="AO91" s="2" t="s">
        <v>4</v>
      </c>
      <c r="AP91" s="2" t="s">
        <v>4</v>
      </c>
      <c r="AQ91" s="2" t="s">
        <v>4</v>
      </c>
      <c r="AR91" s="2" t="s">
        <v>4</v>
      </c>
      <c r="AS91" s="2" t="s">
        <v>4</v>
      </c>
      <c r="AT91" s="2" t="s">
        <v>2</v>
      </c>
      <c r="AU91" s="2" t="s">
        <v>2</v>
      </c>
      <c r="AV91" s="2" t="s">
        <v>2</v>
      </c>
      <c r="AW91" s="2" t="s">
        <v>2</v>
      </c>
      <c r="AX91" s="2" t="s">
        <v>2</v>
      </c>
    </row>
    <row r="92">
      <c r="A92" s="2" t="s">
        <v>47</v>
      </c>
      <c r="B92" s="2" t="s">
        <v>48</v>
      </c>
      <c r="C92" s="2" t="s">
        <v>49</v>
      </c>
      <c r="F92" s="2" t="s">
        <v>24</v>
      </c>
      <c r="G92" s="2" t="s">
        <v>25</v>
      </c>
      <c r="H92" s="2" t="s">
        <v>26</v>
      </c>
      <c r="I92" s="2" t="s">
        <v>27</v>
      </c>
      <c r="J92" s="2" t="s">
        <v>28</v>
      </c>
      <c r="K92" s="2" t="s">
        <v>12</v>
      </c>
      <c r="L92" s="2" t="s">
        <v>13</v>
      </c>
      <c r="P92" s="2" t="s">
        <v>19</v>
      </c>
      <c r="Q92" s="2" t="s">
        <v>20</v>
      </c>
      <c r="R92" s="2" t="s">
        <v>21</v>
      </c>
      <c r="S92" s="2" t="s">
        <v>22</v>
      </c>
      <c r="T92" s="2" t="s">
        <v>23</v>
      </c>
      <c r="U92" s="2" t="s">
        <v>50</v>
      </c>
      <c r="V92" s="2" t="s">
        <v>51</v>
      </c>
      <c r="W92" s="2" t="s">
        <v>21</v>
      </c>
      <c r="X92" s="2" t="s">
        <v>52</v>
      </c>
      <c r="Z92" s="2" t="s">
        <v>38</v>
      </c>
      <c r="AA92" s="2" t="s">
        <v>39</v>
      </c>
      <c r="AB92" s="2" t="s">
        <v>40</v>
      </c>
      <c r="AC92" s="2" t="s">
        <v>41</v>
      </c>
      <c r="AD92" s="2" t="s">
        <v>42</v>
      </c>
      <c r="AE92" s="2" t="s">
        <v>43</v>
      </c>
      <c r="AF92" s="2" t="s">
        <v>44</v>
      </c>
      <c r="AG92" s="2" t="s">
        <v>45</v>
      </c>
      <c r="AH92" s="2" t="s">
        <v>12</v>
      </c>
      <c r="AI92" s="2" t="s">
        <v>46</v>
      </c>
      <c r="AJ92" s="2" t="s">
        <v>29</v>
      </c>
      <c r="AK92" s="2" t="s">
        <v>30</v>
      </c>
      <c r="AL92" s="2" t="s">
        <v>31</v>
      </c>
      <c r="AM92" s="2" t="s">
        <v>32</v>
      </c>
      <c r="AO92" s="2" t="s">
        <v>14</v>
      </c>
      <c r="AP92" s="2" t="s">
        <v>15</v>
      </c>
      <c r="AQ92" s="2" t="s">
        <v>16</v>
      </c>
      <c r="AR92" s="2" t="s">
        <v>17</v>
      </c>
      <c r="AS92" s="2" t="s">
        <v>18</v>
      </c>
      <c r="AT92" s="2" t="s">
        <v>33</v>
      </c>
      <c r="AU92" s="2" t="s">
        <v>34</v>
      </c>
      <c r="AV92" s="2" t="s">
        <v>35</v>
      </c>
      <c r="AW92" s="2" t="s">
        <v>36</v>
      </c>
      <c r="AX92" s="2" t="s">
        <v>37</v>
      </c>
    </row>
    <row r="93">
      <c r="A93" s="2" t="b">
        <v>1</v>
      </c>
      <c r="B93" s="2" t="b">
        <v>1</v>
      </c>
      <c r="C93" s="2" t="b">
        <v>1</v>
      </c>
      <c r="D93" s="2" t="b">
        <v>0</v>
      </c>
      <c r="E93" s="2" t="b">
        <v>0</v>
      </c>
      <c r="F93" s="2" t="b">
        <v>1</v>
      </c>
      <c r="G93" s="2" t="b">
        <v>1</v>
      </c>
      <c r="H93" s="2" t="b">
        <v>1</v>
      </c>
      <c r="I93" s="2" t="b">
        <v>1</v>
      </c>
      <c r="J93" s="2" t="b">
        <v>0</v>
      </c>
      <c r="K93" s="2" t="b">
        <v>1</v>
      </c>
      <c r="L93" s="2" t="b">
        <v>1</v>
      </c>
      <c r="M93" s="2" t="b">
        <v>0</v>
      </c>
      <c r="N93" s="2" t="b">
        <v>0</v>
      </c>
      <c r="O93" s="2" t="b">
        <v>0</v>
      </c>
      <c r="P93" s="2" t="b">
        <v>1</v>
      </c>
      <c r="Q93" s="2" t="b">
        <v>0</v>
      </c>
      <c r="R93" s="2" t="b">
        <v>1</v>
      </c>
      <c r="S93" s="2" t="b">
        <v>1</v>
      </c>
      <c r="T93" s="2" t="b">
        <v>1</v>
      </c>
      <c r="U93" s="2" t="b">
        <v>1</v>
      </c>
      <c r="V93" s="2" t="b">
        <v>1</v>
      </c>
      <c r="W93" s="2" t="b">
        <v>1</v>
      </c>
      <c r="X93" s="2" t="b">
        <v>1</v>
      </c>
      <c r="Y93" s="2" t="b">
        <v>0</v>
      </c>
      <c r="Z93" s="2" t="b">
        <v>1</v>
      </c>
      <c r="AA93" s="2" t="b">
        <v>1</v>
      </c>
      <c r="AB93" s="2" t="b">
        <v>1</v>
      </c>
      <c r="AC93" s="2" t="b">
        <v>1</v>
      </c>
      <c r="AD93" s="2" t="b">
        <v>1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1</v>
      </c>
      <c r="AL93" s="2" t="b">
        <v>1</v>
      </c>
      <c r="AM93" s="2" t="b">
        <v>1</v>
      </c>
      <c r="AN93" s="2" t="b">
        <v>0</v>
      </c>
      <c r="AO93" s="2" t="b">
        <v>0</v>
      </c>
      <c r="AP93" s="2" t="b">
        <v>0</v>
      </c>
      <c r="AQ93" s="2" t="b">
        <v>0</v>
      </c>
      <c r="AR93" s="2" t="b">
        <v>0</v>
      </c>
      <c r="AS93" s="2" t="b">
        <v>0</v>
      </c>
      <c r="AT93" s="2" t="b">
        <v>0</v>
      </c>
      <c r="AU93" s="2" t="b">
        <v>0</v>
      </c>
      <c r="AV93" s="2" t="b">
        <v>0</v>
      </c>
      <c r="AW93" s="2" t="b">
        <v>0</v>
      </c>
      <c r="AX93" s="2" t="b">
        <v>0</v>
      </c>
    </row>
    <row r="94">
      <c r="D94" s="2">
        <v>0.0</v>
      </c>
      <c r="E94" s="2">
        <v>0.0</v>
      </c>
      <c r="H94" s="2">
        <v>4.0</v>
      </c>
      <c r="J94" s="2">
        <v>0.0</v>
      </c>
      <c r="M94" s="2">
        <v>0.0</v>
      </c>
      <c r="N94" s="2">
        <v>0.0</v>
      </c>
      <c r="O94" s="2">
        <v>0.0</v>
      </c>
      <c r="Q94" s="2">
        <v>0.0</v>
      </c>
      <c r="T94" s="2">
        <v>4.0</v>
      </c>
      <c r="X94" s="2">
        <v>4.0</v>
      </c>
      <c r="Y94" s="2">
        <v>0.0</v>
      </c>
      <c r="AF94" s="2">
        <v>4.0</v>
      </c>
      <c r="AN94" s="2">
        <v>0.0</v>
      </c>
    </row>
    <row r="95">
      <c r="D95" s="2">
        <v>0.0</v>
      </c>
      <c r="E95" s="2">
        <v>0.0</v>
      </c>
      <c r="H95" s="2">
        <v>4.0</v>
      </c>
      <c r="J95" s="2">
        <v>0.0</v>
      </c>
      <c r="M95" s="2">
        <v>0.0</v>
      </c>
      <c r="N95" s="2">
        <v>0.0</v>
      </c>
      <c r="O95" s="2">
        <v>0.0</v>
      </c>
      <c r="Q95" s="2">
        <v>0.0</v>
      </c>
      <c r="R95" s="2">
        <v>4.0</v>
      </c>
      <c r="X95" s="2">
        <v>-4.0</v>
      </c>
      <c r="Y95" s="2">
        <v>0.0</v>
      </c>
      <c r="Z95" s="2">
        <v>-4.0</v>
      </c>
      <c r="AE95" s="2">
        <v>0.0</v>
      </c>
      <c r="AK95" s="2">
        <v>4.0</v>
      </c>
      <c r="AN95" s="2">
        <v>0.0</v>
      </c>
    </row>
    <row r="96">
      <c r="C96" s="2">
        <v>4.0</v>
      </c>
      <c r="D96" s="2">
        <v>0.0</v>
      </c>
      <c r="E96" s="2">
        <v>0.0</v>
      </c>
      <c r="J96" s="2">
        <v>0.0</v>
      </c>
      <c r="M96" s="2">
        <v>0.0</v>
      </c>
      <c r="N96" s="2">
        <v>0.0</v>
      </c>
      <c r="O96" s="2">
        <v>0.0</v>
      </c>
      <c r="Q96" s="2">
        <v>0.0</v>
      </c>
      <c r="Y96" s="2">
        <v>0.0</v>
      </c>
      <c r="AE96" s="2">
        <v>0.0</v>
      </c>
      <c r="AK96" s="2">
        <v>0.0</v>
      </c>
      <c r="AN96" s="2">
        <v>0.0</v>
      </c>
    </row>
    <row r="97">
      <c r="D97" s="2">
        <v>0.0</v>
      </c>
      <c r="E97" s="2">
        <v>0.0</v>
      </c>
      <c r="F97" s="2">
        <v>-4.0</v>
      </c>
      <c r="J97" s="2">
        <v>0.0</v>
      </c>
      <c r="M97" s="2">
        <v>0.0</v>
      </c>
      <c r="N97" s="2">
        <v>0.0</v>
      </c>
      <c r="O97" s="2">
        <v>0.0</v>
      </c>
      <c r="Q97" s="2">
        <v>0.0</v>
      </c>
      <c r="R97" s="2">
        <v>4.0</v>
      </c>
      <c r="U97" s="2">
        <v>-4.0</v>
      </c>
      <c r="Y97" s="2">
        <v>0.0</v>
      </c>
      <c r="AF97" s="2">
        <v>4.0</v>
      </c>
      <c r="AN97" s="2">
        <v>0.0</v>
      </c>
    </row>
    <row r="98">
      <c r="D98" s="2">
        <v>0.0</v>
      </c>
      <c r="E98" s="2">
        <v>0.0</v>
      </c>
      <c r="J98" s="2">
        <v>0.0</v>
      </c>
      <c r="M98" s="2">
        <v>0.0</v>
      </c>
      <c r="N98" s="2">
        <v>0.0</v>
      </c>
      <c r="O98" s="2">
        <v>0.0</v>
      </c>
      <c r="Q98" s="2">
        <v>0.0</v>
      </c>
      <c r="Y98" s="2">
        <v>0.0</v>
      </c>
      <c r="AB98" s="2">
        <v>-4.0</v>
      </c>
      <c r="AG98" s="2">
        <v>0.0</v>
      </c>
      <c r="AK98" s="2">
        <v>0.0</v>
      </c>
      <c r="AN98" s="2">
        <v>0.0</v>
      </c>
    </row>
    <row r="99">
      <c r="D99" s="2">
        <v>0.0</v>
      </c>
      <c r="E99" s="2">
        <v>0.0</v>
      </c>
      <c r="H99" s="2">
        <v>4.0</v>
      </c>
      <c r="J99" s="2">
        <v>0.0</v>
      </c>
      <c r="L99" s="2">
        <v>4.0</v>
      </c>
      <c r="M99" s="2">
        <v>0.0</v>
      </c>
      <c r="N99" s="2">
        <v>0.0</v>
      </c>
      <c r="O99" s="2">
        <v>0.0</v>
      </c>
      <c r="Q99" s="2">
        <v>0.0</v>
      </c>
      <c r="X99" s="2">
        <v>-4.0</v>
      </c>
      <c r="Y99" s="2">
        <v>0.0</v>
      </c>
      <c r="AG99" s="2">
        <v>0.0</v>
      </c>
      <c r="AK99" s="2">
        <v>0.0</v>
      </c>
      <c r="AN99" s="2">
        <v>0.0</v>
      </c>
    </row>
    <row r="100">
      <c r="B100" s="2">
        <v>4.0</v>
      </c>
      <c r="D100" s="2">
        <v>0.0</v>
      </c>
      <c r="E100" s="2">
        <v>0.0</v>
      </c>
      <c r="J100" s="2">
        <v>0.0</v>
      </c>
      <c r="M100" s="2">
        <v>0.0</v>
      </c>
      <c r="N100" s="2">
        <v>0.0</v>
      </c>
      <c r="O100" s="2">
        <v>0.0</v>
      </c>
      <c r="Q100" s="2">
        <v>0.0</v>
      </c>
      <c r="T100" s="2">
        <v>4.0</v>
      </c>
      <c r="U100" s="2">
        <v>4.0</v>
      </c>
      <c r="Y100" s="2">
        <v>0.0</v>
      </c>
      <c r="AE100" s="2">
        <v>4.0</v>
      </c>
      <c r="AN100" s="2">
        <v>0.0</v>
      </c>
    </row>
    <row r="101">
      <c r="D101" s="2">
        <v>0.0</v>
      </c>
      <c r="E101" s="2">
        <v>0.0</v>
      </c>
      <c r="J101" s="2">
        <v>0.0</v>
      </c>
      <c r="M101" s="2">
        <v>0.0</v>
      </c>
      <c r="N101" s="2">
        <v>0.0</v>
      </c>
      <c r="O101" s="2">
        <v>0.0</v>
      </c>
      <c r="Q101" s="2">
        <v>0.0</v>
      </c>
      <c r="Y101" s="2">
        <v>0.0</v>
      </c>
      <c r="AJ101" s="2">
        <v>4.0</v>
      </c>
      <c r="AN101" s="2">
        <v>0.0</v>
      </c>
    </row>
    <row r="102">
      <c r="C102" s="2">
        <v>4.0</v>
      </c>
      <c r="D102" s="2">
        <v>0.0</v>
      </c>
      <c r="E102" s="2">
        <v>0.0</v>
      </c>
      <c r="J102" s="2">
        <v>0.0</v>
      </c>
      <c r="M102" s="2">
        <v>0.0</v>
      </c>
      <c r="N102" s="2">
        <v>0.0</v>
      </c>
      <c r="O102" s="2">
        <v>0.0</v>
      </c>
      <c r="Q102" s="2">
        <v>0.0</v>
      </c>
      <c r="Y102" s="2">
        <v>0.0</v>
      </c>
      <c r="AB102" s="2">
        <v>4.0</v>
      </c>
      <c r="AG102" s="2">
        <v>0.0</v>
      </c>
      <c r="AK102" s="2">
        <v>0.0</v>
      </c>
      <c r="AN102" s="2">
        <v>0.0</v>
      </c>
    </row>
    <row r="103">
      <c r="B103" s="2">
        <v>4.0</v>
      </c>
      <c r="D103" s="2">
        <v>0.0</v>
      </c>
      <c r="E103" s="2">
        <v>0.0</v>
      </c>
      <c r="J103" s="2">
        <v>0.0</v>
      </c>
      <c r="M103" s="2">
        <v>0.0</v>
      </c>
      <c r="N103" s="2">
        <v>0.0</v>
      </c>
      <c r="O103" s="2">
        <v>0.0</v>
      </c>
      <c r="Q103" s="2">
        <v>0.0</v>
      </c>
      <c r="T103" s="2">
        <v>4.0</v>
      </c>
      <c r="X103" s="2">
        <v>4.0</v>
      </c>
      <c r="Y103" s="2">
        <v>0.0</v>
      </c>
      <c r="AL103" s="2">
        <v>4.0</v>
      </c>
      <c r="AN103" s="2">
        <v>0.0</v>
      </c>
    </row>
    <row r="104">
      <c r="D104" s="2">
        <v>0.0</v>
      </c>
      <c r="E104" s="2">
        <v>0.0</v>
      </c>
      <c r="H104" s="2">
        <v>4.0</v>
      </c>
      <c r="J104" s="2">
        <v>0.0</v>
      </c>
      <c r="M104" s="2">
        <v>0.0</v>
      </c>
      <c r="N104" s="2">
        <v>0.0</v>
      </c>
      <c r="O104" s="2">
        <v>0.0</v>
      </c>
      <c r="P104" s="2">
        <v>4.0</v>
      </c>
      <c r="Q104" s="2">
        <v>0.0</v>
      </c>
      <c r="W104" s="2">
        <v>4.0</v>
      </c>
      <c r="Y104" s="2">
        <v>0.0</v>
      </c>
      <c r="AH104" s="2">
        <v>0.0</v>
      </c>
      <c r="AK104" s="2">
        <v>4.0</v>
      </c>
      <c r="AN104" s="2">
        <v>0.0</v>
      </c>
    </row>
    <row r="105">
      <c r="C105" s="2">
        <v>4.0</v>
      </c>
      <c r="D105" s="2">
        <v>0.0</v>
      </c>
      <c r="E105" s="2">
        <v>0.0</v>
      </c>
      <c r="J105" s="2">
        <v>0.0</v>
      </c>
      <c r="M105" s="2">
        <v>0.0</v>
      </c>
      <c r="N105" s="2">
        <v>0.0</v>
      </c>
      <c r="O105" s="2">
        <v>0.0</v>
      </c>
      <c r="Q105" s="2">
        <v>0.0</v>
      </c>
      <c r="V105" s="2">
        <v>4.0</v>
      </c>
      <c r="Y105" s="2">
        <v>0.0</v>
      </c>
      <c r="AG105" s="2">
        <v>4.0</v>
      </c>
      <c r="AN105" s="2">
        <v>0.0</v>
      </c>
    </row>
    <row r="106">
      <c r="A106" s="2" t="b">
        <v>1</v>
      </c>
      <c r="B106" s="2" t="b">
        <v>1</v>
      </c>
      <c r="C106" s="2" t="b">
        <v>1</v>
      </c>
      <c r="D106" s="2" t="b">
        <v>0</v>
      </c>
      <c r="E106" s="2" t="b">
        <v>0</v>
      </c>
      <c r="F106" s="2" t="b">
        <v>1</v>
      </c>
      <c r="G106" s="2" t="b">
        <v>1</v>
      </c>
      <c r="H106" s="2" t="b">
        <v>1</v>
      </c>
      <c r="I106" s="2" t="b">
        <v>1</v>
      </c>
      <c r="J106" s="2" t="b">
        <v>0</v>
      </c>
      <c r="K106" s="2" t="b">
        <v>1</v>
      </c>
      <c r="L106" s="2" t="b">
        <v>1</v>
      </c>
      <c r="M106" s="2" t="b">
        <v>0</v>
      </c>
      <c r="N106" s="2" t="b">
        <v>0</v>
      </c>
      <c r="O106" s="2" t="b">
        <v>0</v>
      </c>
      <c r="P106" s="2" t="b">
        <v>1</v>
      </c>
      <c r="Q106" s="2" t="b">
        <v>0</v>
      </c>
      <c r="R106" s="2" t="b">
        <v>1</v>
      </c>
      <c r="S106" s="2" t="b">
        <v>1</v>
      </c>
      <c r="T106" s="2" t="b">
        <v>1</v>
      </c>
      <c r="U106" s="2" t="b">
        <v>1</v>
      </c>
      <c r="V106" s="2" t="b">
        <v>1</v>
      </c>
      <c r="W106" s="2" t="b">
        <v>1</v>
      </c>
      <c r="X106" s="2" t="b">
        <v>1</v>
      </c>
      <c r="Y106" s="2" t="b">
        <v>0</v>
      </c>
      <c r="Z106" s="2" t="b">
        <v>1</v>
      </c>
      <c r="AA106" s="2" t="b">
        <v>1</v>
      </c>
      <c r="AB106" s="2" t="b">
        <v>1</v>
      </c>
      <c r="AC106" s="2" t="b">
        <v>1</v>
      </c>
      <c r="AD106" s="2" t="b">
        <v>1</v>
      </c>
      <c r="AE106" s="2" t="b">
        <v>1</v>
      </c>
      <c r="AF106" s="2" t="b">
        <v>1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1</v>
      </c>
      <c r="AL106" s="2" t="b">
        <v>1</v>
      </c>
      <c r="AM106" s="2" t="b">
        <v>1</v>
      </c>
      <c r="AN106" s="2" t="b">
        <v>1</v>
      </c>
      <c r="AO106" s="2" t="b">
        <v>0</v>
      </c>
      <c r="AP106" s="2" t="b">
        <v>0</v>
      </c>
      <c r="AQ106" s="2" t="b">
        <v>0</v>
      </c>
      <c r="AR106" s="2" t="b">
        <v>0</v>
      </c>
      <c r="AS106" s="2" t="b">
        <v>0</v>
      </c>
      <c r="AT106" s="2" t="b">
        <v>0</v>
      </c>
      <c r="AU106" s="2" t="b">
        <v>0</v>
      </c>
      <c r="AV106" s="2" t="b">
        <v>0</v>
      </c>
      <c r="AW106" s="2" t="b">
        <v>0</v>
      </c>
      <c r="AX106" s="2" t="b">
        <v>0</v>
      </c>
    </row>
    <row r="107">
      <c r="D107" s="2">
        <v>0.0</v>
      </c>
      <c r="E107" s="2">
        <v>0.0</v>
      </c>
      <c r="G107" s="2">
        <v>4.0</v>
      </c>
      <c r="J107" s="2">
        <v>0.0</v>
      </c>
      <c r="K107" s="2">
        <v>4.0</v>
      </c>
      <c r="M107" s="2">
        <v>0.0</v>
      </c>
      <c r="N107" s="2">
        <v>0.0</v>
      </c>
      <c r="O107" s="2">
        <v>0.0</v>
      </c>
      <c r="Q107" s="2">
        <v>0.0</v>
      </c>
      <c r="V107" s="2">
        <v>4.0</v>
      </c>
      <c r="Y107" s="2">
        <v>0.0</v>
      </c>
      <c r="AE107" s="2">
        <v>4.0</v>
      </c>
    </row>
    <row r="108">
      <c r="B108" s="2">
        <v>4.0</v>
      </c>
      <c r="D108" s="2">
        <v>0.0</v>
      </c>
      <c r="E108" s="2">
        <v>0.0</v>
      </c>
      <c r="J108" s="2">
        <v>0.0</v>
      </c>
      <c r="M108" s="2">
        <v>0.0</v>
      </c>
      <c r="N108" s="2">
        <v>0.0</v>
      </c>
      <c r="O108" s="2">
        <v>0.0</v>
      </c>
      <c r="Q108" s="2">
        <v>0.0</v>
      </c>
      <c r="R108" s="2">
        <v>4.0</v>
      </c>
      <c r="U108" s="2">
        <v>4.0</v>
      </c>
      <c r="Y108" s="2">
        <v>0.0</v>
      </c>
      <c r="AI108" s="2">
        <v>0.0</v>
      </c>
      <c r="AJ108" s="2">
        <v>0.0</v>
      </c>
    </row>
    <row r="109">
      <c r="C109" s="2">
        <v>4.0</v>
      </c>
      <c r="D109" s="2">
        <v>0.0</v>
      </c>
      <c r="E109" s="2">
        <v>0.0</v>
      </c>
      <c r="J109" s="2">
        <v>0.0</v>
      </c>
      <c r="M109" s="2">
        <v>0.0</v>
      </c>
      <c r="N109" s="2">
        <v>0.0</v>
      </c>
      <c r="O109" s="2">
        <v>0.0</v>
      </c>
      <c r="Q109" s="2">
        <v>0.0</v>
      </c>
      <c r="S109" s="2">
        <v>4.0</v>
      </c>
      <c r="Y109" s="2">
        <v>0.0</v>
      </c>
      <c r="AK109" s="2">
        <v>4.0</v>
      </c>
    </row>
    <row r="110">
      <c r="B110" s="2">
        <v>4.0</v>
      </c>
      <c r="D110" s="2">
        <v>0.0</v>
      </c>
      <c r="E110" s="2">
        <v>0.0</v>
      </c>
      <c r="J110" s="2">
        <v>0.0</v>
      </c>
      <c r="M110" s="2">
        <v>0.0</v>
      </c>
      <c r="N110" s="2">
        <v>0.0</v>
      </c>
      <c r="O110" s="2">
        <v>0.0</v>
      </c>
      <c r="Q110" s="2">
        <v>0.0</v>
      </c>
      <c r="W110" s="2">
        <v>4.0</v>
      </c>
      <c r="Y110" s="2">
        <v>0.0</v>
      </c>
      <c r="AF110" s="2">
        <v>0.0</v>
      </c>
      <c r="AK110" s="2">
        <v>0.0</v>
      </c>
    </row>
    <row r="111">
      <c r="A111" s="2">
        <v>4.0</v>
      </c>
      <c r="D111" s="2">
        <v>0.0</v>
      </c>
      <c r="E111" s="2">
        <v>0.0</v>
      </c>
      <c r="J111" s="2">
        <v>0.0</v>
      </c>
      <c r="K111" s="2">
        <v>4.0</v>
      </c>
      <c r="M111" s="2">
        <v>0.0</v>
      </c>
      <c r="N111" s="2">
        <v>0.0</v>
      </c>
      <c r="O111" s="2">
        <v>0.0</v>
      </c>
      <c r="Q111" s="2">
        <v>0.0</v>
      </c>
      <c r="X111" s="2">
        <v>4.0</v>
      </c>
      <c r="Y111" s="2">
        <v>0.0</v>
      </c>
      <c r="AH111" s="2">
        <v>0.0</v>
      </c>
      <c r="AM111" s="2">
        <v>0.0</v>
      </c>
    </row>
    <row r="112">
      <c r="B112" s="2">
        <v>4.0</v>
      </c>
      <c r="D112" s="2">
        <v>0.0</v>
      </c>
      <c r="E112" s="2">
        <v>0.0</v>
      </c>
      <c r="J112" s="2">
        <v>0.0</v>
      </c>
      <c r="M112" s="2">
        <v>0.0</v>
      </c>
      <c r="N112" s="2">
        <v>0.0</v>
      </c>
      <c r="O112" s="2">
        <v>0.0</v>
      </c>
      <c r="Q112" s="2">
        <v>0.0</v>
      </c>
      <c r="R112" s="2">
        <v>4.0</v>
      </c>
      <c r="X112" s="2">
        <v>4.0</v>
      </c>
      <c r="Y112" s="2">
        <v>0.0</v>
      </c>
      <c r="AE112" s="2">
        <v>0.0</v>
      </c>
    </row>
    <row r="113">
      <c r="A113" s="2">
        <v>4.0</v>
      </c>
      <c r="D113" s="2">
        <v>0.0</v>
      </c>
      <c r="E113" s="2">
        <v>0.0</v>
      </c>
      <c r="J113" s="2">
        <v>0.0</v>
      </c>
      <c r="L113" s="2">
        <v>4.0</v>
      </c>
      <c r="M113" s="2">
        <v>0.0</v>
      </c>
      <c r="N113" s="2">
        <v>0.0</v>
      </c>
      <c r="O113" s="2">
        <v>0.0</v>
      </c>
      <c r="Q113" s="2">
        <v>0.0</v>
      </c>
      <c r="V113" s="2">
        <v>-4.0</v>
      </c>
      <c r="Y113" s="2">
        <v>0.0</v>
      </c>
      <c r="AH113" s="2">
        <v>4.0</v>
      </c>
      <c r="AJ113" s="2">
        <v>0.0</v>
      </c>
    </row>
    <row r="114">
      <c r="D114" s="2">
        <v>0.0</v>
      </c>
      <c r="E114" s="2">
        <v>0.0</v>
      </c>
      <c r="I114" s="2">
        <v>4.0</v>
      </c>
      <c r="J114" s="2">
        <v>0.0</v>
      </c>
      <c r="M114" s="2">
        <v>0.0</v>
      </c>
      <c r="N114" s="2">
        <v>0.0</v>
      </c>
      <c r="O114" s="2">
        <v>0.0</v>
      </c>
      <c r="Q114" s="2">
        <v>0.0</v>
      </c>
      <c r="S114" s="2">
        <v>4.0</v>
      </c>
      <c r="U114" s="2">
        <v>4.0</v>
      </c>
      <c r="Y114" s="2">
        <v>0.0</v>
      </c>
      <c r="AJ114" s="2">
        <v>4.0</v>
      </c>
    </row>
    <row r="115">
      <c r="D115" s="2">
        <v>0.0</v>
      </c>
      <c r="E115" s="2">
        <v>0.0</v>
      </c>
      <c r="J115" s="2">
        <v>0.0</v>
      </c>
      <c r="M115" s="2">
        <v>0.0</v>
      </c>
      <c r="N115" s="2">
        <v>0.0</v>
      </c>
      <c r="O115" s="2">
        <v>0.0</v>
      </c>
      <c r="Q115" s="2">
        <v>0.0</v>
      </c>
      <c r="Y115" s="2">
        <v>0.0</v>
      </c>
      <c r="AD115" s="2">
        <v>4.0</v>
      </c>
      <c r="AE115" s="2">
        <v>0.0</v>
      </c>
      <c r="AM115" s="2">
        <v>0.0</v>
      </c>
    </row>
    <row r="116">
      <c r="D116" s="2">
        <v>0.0</v>
      </c>
      <c r="E116" s="2">
        <v>0.0</v>
      </c>
      <c r="F116" s="2">
        <v>4.0</v>
      </c>
      <c r="J116" s="2">
        <v>0.0</v>
      </c>
      <c r="M116" s="2">
        <v>0.0</v>
      </c>
      <c r="N116" s="2">
        <v>0.0</v>
      </c>
      <c r="O116" s="2">
        <v>0.0</v>
      </c>
      <c r="P116" s="2">
        <v>4.0</v>
      </c>
      <c r="Q116" s="2">
        <v>0.0</v>
      </c>
      <c r="X116" s="2">
        <v>4.0</v>
      </c>
      <c r="Y116" s="2">
        <v>0.0</v>
      </c>
      <c r="AF116" s="2">
        <v>4.0</v>
      </c>
    </row>
    <row r="117">
      <c r="D117" s="2">
        <v>0.0</v>
      </c>
      <c r="E117" s="2">
        <v>0.0</v>
      </c>
      <c r="H117" s="2">
        <v>4.0</v>
      </c>
      <c r="J117" s="2">
        <v>0.0</v>
      </c>
      <c r="M117" s="2">
        <v>0.0</v>
      </c>
      <c r="N117" s="2">
        <v>0.0</v>
      </c>
      <c r="O117" s="2">
        <v>0.0</v>
      </c>
      <c r="Q117" s="2">
        <v>0.0</v>
      </c>
      <c r="X117" s="2">
        <v>4.0</v>
      </c>
      <c r="Y117" s="2">
        <v>0.0</v>
      </c>
      <c r="AE117" s="2">
        <v>0.0</v>
      </c>
      <c r="AM117" s="2">
        <v>4.0</v>
      </c>
    </row>
    <row r="118">
      <c r="D118" s="2">
        <v>0.0</v>
      </c>
      <c r="E118" s="2">
        <v>0.0</v>
      </c>
      <c r="J118" s="2">
        <v>0.0</v>
      </c>
      <c r="M118" s="2">
        <v>0.0</v>
      </c>
      <c r="N118" s="2">
        <v>0.0</v>
      </c>
      <c r="O118" s="2">
        <v>0.0</v>
      </c>
      <c r="Q118" s="2">
        <v>0.0</v>
      </c>
      <c r="X118" s="2">
        <v>-4.0</v>
      </c>
      <c r="Y118" s="2">
        <v>0.0</v>
      </c>
      <c r="AG118" s="2">
        <v>4.0</v>
      </c>
    </row>
    <row r="121">
      <c r="A121" s="2" t="s">
        <v>4</v>
      </c>
      <c r="B121" s="2" t="s">
        <v>4</v>
      </c>
      <c r="C121" s="2" t="s">
        <v>4</v>
      </c>
      <c r="D121" s="2" t="s">
        <v>4</v>
      </c>
      <c r="E121" s="2" t="s">
        <v>4</v>
      </c>
      <c r="F121" s="2" t="s">
        <v>6</v>
      </c>
      <c r="G121" s="2" t="s">
        <v>6</v>
      </c>
      <c r="H121" s="2" t="s">
        <v>6</v>
      </c>
      <c r="I121" s="2" t="s">
        <v>6</v>
      </c>
      <c r="J121" s="2" t="s">
        <v>6</v>
      </c>
      <c r="K121" s="2" t="s">
        <v>1</v>
      </c>
      <c r="L121" s="2" t="s">
        <v>1</v>
      </c>
      <c r="M121" s="2" t="s">
        <v>1</v>
      </c>
      <c r="N121" s="2" t="s">
        <v>1</v>
      </c>
      <c r="O121" s="2" t="s">
        <v>1</v>
      </c>
      <c r="P121" s="2" t="s">
        <v>3</v>
      </c>
      <c r="Q121" s="2" t="s">
        <v>3</v>
      </c>
      <c r="R121" s="2" t="s">
        <v>3</v>
      </c>
      <c r="S121" s="2" t="s">
        <v>3</v>
      </c>
      <c r="T121" s="2" t="s">
        <v>3</v>
      </c>
      <c r="U121" s="2" t="s">
        <v>0</v>
      </c>
      <c r="V121" s="2" t="s">
        <v>0</v>
      </c>
      <c r="W121" s="2" t="s">
        <v>0</v>
      </c>
      <c r="X121" s="2" t="s">
        <v>0</v>
      </c>
      <c r="Y121" s="2" t="s">
        <v>0</v>
      </c>
      <c r="Z121" s="2" t="s">
        <v>2</v>
      </c>
      <c r="AA121" s="2" t="s">
        <v>2</v>
      </c>
      <c r="AB121" s="2" t="s">
        <v>2</v>
      </c>
      <c r="AC121" s="2" t="s">
        <v>2</v>
      </c>
      <c r="AD121" s="2" t="s">
        <v>2</v>
      </c>
      <c r="AE121" s="2" t="s">
        <v>5</v>
      </c>
      <c r="AF121" s="2" t="s">
        <v>5</v>
      </c>
      <c r="AG121" s="2" t="s">
        <v>5</v>
      </c>
      <c r="AH121" s="2" t="s">
        <v>5</v>
      </c>
      <c r="AI121" s="2" t="s">
        <v>5</v>
      </c>
      <c r="AJ121" s="2" t="s">
        <v>8</v>
      </c>
      <c r="AK121" s="2" t="s">
        <v>8</v>
      </c>
      <c r="AL121" s="2" t="s">
        <v>8</v>
      </c>
      <c r="AM121" s="2" t="s">
        <v>8</v>
      </c>
      <c r="AN121" s="2" t="s">
        <v>8</v>
      </c>
      <c r="AO121" s="2" t="s">
        <v>9</v>
      </c>
      <c r="AP121" s="2" t="s">
        <v>9</v>
      </c>
      <c r="AQ121" s="2" t="s">
        <v>9</v>
      </c>
      <c r="AR121" s="2" t="s">
        <v>9</v>
      </c>
      <c r="AS121" s="2" t="s">
        <v>9</v>
      </c>
      <c r="AT121" s="2" t="s">
        <v>7</v>
      </c>
      <c r="AU121" s="2" t="s">
        <v>7</v>
      </c>
      <c r="AV121" s="2" t="s">
        <v>7</v>
      </c>
      <c r="AW121" s="2" t="s">
        <v>7</v>
      </c>
      <c r="AX121" s="2" t="s">
        <v>7</v>
      </c>
    </row>
    <row r="122">
      <c r="A122" s="2" t="s">
        <v>14</v>
      </c>
      <c r="B122" s="2" t="s">
        <v>15</v>
      </c>
      <c r="C122" s="2" t="s">
        <v>16</v>
      </c>
      <c r="D122" s="2" t="s">
        <v>17</v>
      </c>
      <c r="E122" s="2" t="s">
        <v>18</v>
      </c>
      <c r="F122" s="2" t="s">
        <v>19</v>
      </c>
      <c r="G122" s="2" t="s">
        <v>20</v>
      </c>
      <c r="H122" s="2" t="s">
        <v>21</v>
      </c>
      <c r="I122" s="2" t="s">
        <v>22</v>
      </c>
      <c r="J122" s="2" t="s">
        <v>23</v>
      </c>
      <c r="K122" s="2" t="s">
        <v>12</v>
      </c>
      <c r="L122" s="2" t="s">
        <v>13</v>
      </c>
      <c r="P122" s="2" t="s">
        <v>47</v>
      </c>
      <c r="Q122" s="2" t="s">
        <v>48</v>
      </c>
      <c r="R122" s="2" t="s">
        <v>49</v>
      </c>
      <c r="U122" s="2" t="s">
        <v>43</v>
      </c>
      <c r="V122" s="2" t="s">
        <v>44</v>
      </c>
      <c r="W122" s="2" t="s">
        <v>45</v>
      </c>
      <c r="X122" s="2" t="s">
        <v>12</v>
      </c>
      <c r="Y122" s="2" t="s">
        <v>46</v>
      </c>
      <c r="Z122" s="2" t="s">
        <v>33</v>
      </c>
      <c r="AA122" s="2" t="s">
        <v>34</v>
      </c>
      <c r="AB122" s="2" t="s">
        <v>35</v>
      </c>
      <c r="AC122" s="2" t="s">
        <v>36</v>
      </c>
      <c r="AD122" s="2" t="s">
        <v>37</v>
      </c>
      <c r="AE122" s="2" t="s">
        <v>50</v>
      </c>
      <c r="AF122" s="2" t="s">
        <v>51</v>
      </c>
      <c r="AG122" s="2" t="s">
        <v>21</v>
      </c>
      <c r="AH122" s="2" t="s">
        <v>52</v>
      </c>
      <c r="AJ122" s="2" t="s">
        <v>29</v>
      </c>
      <c r="AK122" s="2" t="s">
        <v>30</v>
      </c>
      <c r="AL122" s="2" t="s">
        <v>31</v>
      </c>
      <c r="AM122" s="2" t="s">
        <v>32</v>
      </c>
      <c r="AO122" s="2" t="s">
        <v>38</v>
      </c>
      <c r="AP122" s="2" t="s">
        <v>39</v>
      </c>
      <c r="AQ122" s="2" t="s">
        <v>40</v>
      </c>
      <c r="AR122" s="2" t="s">
        <v>41</v>
      </c>
      <c r="AS122" s="2" t="s">
        <v>42</v>
      </c>
      <c r="AT122" s="2" t="s">
        <v>24</v>
      </c>
      <c r="AU122" s="2" t="s">
        <v>25</v>
      </c>
      <c r="AV122" s="2" t="s">
        <v>26</v>
      </c>
      <c r="AW122" s="2" t="s">
        <v>27</v>
      </c>
      <c r="AX122" s="2" t="s">
        <v>28</v>
      </c>
    </row>
    <row r="123">
      <c r="A123" s="2" t="b">
        <v>1</v>
      </c>
      <c r="B123" s="2" t="b">
        <v>1</v>
      </c>
      <c r="C123" s="2" t="b">
        <v>1</v>
      </c>
      <c r="D123" s="2" t="b">
        <v>1</v>
      </c>
      <c r="E123" s="2" t="b">
        <v>1</v>
      </c>
      <c r="F123" s="2" t="b">
        <v>1</v>
      </c>
      <c r="G123" s="2" t="b">
        <v>0</v>
      </c>
      <c r="H123" s="2" t="b">
        <v>1</v>
      </c>
      <c r="I123" s="2" t="b">
        <v>1</v>
      </c>
      <c r="J123" s="2" t="b">
        <v>1</v>
      </c>
      <c r="K123" s="2" t="b">
        <v>1</v>
      </c>
      <c r="L123" s="2" t="b">
        <v>1</v>
      </c>
      <c r="M123" s="2" t="b">
        <v>0</v>
      </c>
      <c r="N123" s="2" t="b">
        <v>0</v>
      </c>
      <c r="O123" s="2" t="b">
        <v>0</v>
      </c>
      <c r="P123" s="2" t="b">
        <v>1</v>
      </c>
      <c r="Q123" s="2" t="b">
        <v>1</v>
      </c>
      <c r="R123" s="2" t="b">
        <v>1</v>
      </c>
      <c r="S123" s="2" t="b">
        <v>0</v>
      </c>
      <c r="T123" s="2" t="b">
        <v>0</v>
      </c>
      <c r="U123" s="2" t="b">
        <v>1</v>
      </c>
      <c r="V123" s="2" t="b">
        <v>1</v>
      </c>
      <c r="W123" s="2" t="b">
        <v>1</v>
      </c>
      <c r="X123" s="2" t="b">
        <v>1</v>
      </c>
      <c r="Y123" s="2" t="b">
        <v>1</v>
      </c>
      <c r="Z123" s="2" t="b">
        <v>1</v>
      </c>
      <c r="AA123" s="2" t="b">
        <v>1</v>
      </c>
      <c r="AB123" s="2" t="b">
        <v>1</v>
      </c>
      <c r="AC123" s="2" t="b">
        <v>1</v>
      </c>
      <c r="AD123" s="2" t="b">
        <v>0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1</v>
      </c>
      <c r="AL123" s="2" t="b">
        <v>1</v>
      </c>
      <c r="AM123" s="2" t="b">
        <v>1</v>
      </c>
      <c r="AN123" s="2" t="b">
        <v>0</v>
      </c>
      <c r="AO123" s="2" t="b">
        <v>0</v>
      </c>
      <c r="AP123" s="2" t="b">
        <v>0</v>
      </c>
      <c r="AQ123" s="2" t="b">
        <v>0</v>
      </c>
      <c r="AR123" s="2" t="b">
        <v>0</v>
      </c>
      <c r="AS123" s="2" t="b">
        <v>0</v>
      </c>
      <c r="AT123" s="2" t="b">
        <v>0</v>
      </c>
      <c r="AU123" s="2" t="b">
        <v>0</v>
      </c>
      <c r="AV123" s="2" t="b">
        <v>0</v>
      </c>
      <c r="AW123" s="2" t="b">
        <v>0</v>
      </c>
      <c r="AX123" s="2" t="b">
        <v>0</v>
      </c>
    </row>
    <row r="124">
      <c r="G124" s="2">
        <v>0.0</v>
      </c>
      <c r="M124" s="2">
        <v>0.0</v>
      </c>
      <c r="N124" s="2">
        <v>0.0</v>
      </c>
      <c r="O124" s="2">
        <v>0.0</v>
      </c>
      <c r="S124" s="2">
        <v>0.0</v>
      </c>
      <c r="T124" s="2">
        <v>0.0</v>
      </c>
      <c r="AD124" s="2">
        <v>0.0</v>
      </c>
      <c r="AF124" s="2">
        <v>0.0</v>
      </c>
      <c r="AI124" s="2">
        <v>0.0</v>
      </c>
      <c r="AN124" s="2">
        <v>0.0</v>
      </c>
    </row>
    <row r="125">
      <c r="G125" s="2">
        <v>0.0</v>
      </c>
      <c r="M125" s="2">
        <v>0.0</v>
      </c>
      <c r="N125" s="2">
        <v>0.0</v>
      </c>
      <c r="O125" s="2">
        <v>0.0</v>
      </c>
      <c r="S125" s="2">
        <v>0.0</v>
      </c>
      <c r="T125" s="2">
        <v>0.0</v>
      </c>
      <c r="AC125" s="2">
        <v>4.0</v>
      </c>
      <c r="AD125" s="2">
        <v>0.0</v>
      </c>
      <c r="AE125" s="2">
        <v>0.0</v>
      </c>
      <c r="AI125" s="2">
        <v>0.0</v>
      </c>
      <c r="AK125" s="2">
        <v>0.0</v>
      </c>
      <c r="AN125" s="2">
        <v>0.0</v>
      </c>
    </row>
    <row r="126">
      <c r="C126" s="2">
        <v>4.0</v>
      </c>
      <c r="G126" s="2">
        <v>0.0</v>
      </c>
      <c r="M126" s="2">
        <v>0.0</v>
      </c>
      <c r="N126" s="2">
        <v>0.0</v>
      </c>
      <c r="O126" s="2">
        <v>0.0</v>
      </c>
      <c r="Q126" s="2">
        <v>4.0</v>
      </c>
      <c r="S126" s="2">
        <v>0.0</v>
      </c>
      <c r="T126" s="2">
        <v>0.0</v>
      </c>
      <c r="X126" s="2">
        <v>4.0</v>
      </c>
      <c r="AD126" s="2">
        <v>0.0</v>
      </c>
      <c r="AH126" s="2">
        <v>4.0</v>
      </c>
      <c r="AI126" s="2">
        <v>0.0</v>
      </c>
      <c r="AN126" s="2">
        <v>0.0</v>
      </c>
    </row>
    <row r="127">
      <c r="D127" s="2">
        <v>4.0</v>
      </c>
      <c r="G127" s="2">
        <v>0.0</v>
      </c>
      <c r="M127" s="2">
        <v>0.0</v>
      </c>
      <c r="N127" s="2">
        <v>0.0</v>
      </c>
      <c r="O127" s="2">
        <v>0.0</v>
      </c>
      <c r="Q127" s="2">
        <v>4.0</v>
      </c>
      <c r="S127" s="2">
        <v>0.0</v>
      </c>
      <c r="T127" s="2">
        <v>0.0</v>
      </c>
      <c r="Y127" s="2">
        <v>4.0</v>
      </c>
      <c r="AD127" s="2">
        <v>0.0</v>
      </c>
      <c r="AH127" s="2">
        <v>0.0</v>
      </c>
      <c r="AI127" s="2">
        <v>0.0</v>
      </c>
      <c r="AK127" s="2">
        <v>0.0</v>
      </c>
      <c r="AN127" s="2">
        <v>0.0</v>
      </c>
    </row>
    <row r="128">
      <c r="G128" s="2">
        <v>0.0</v>
      </c>
      <c r="J128" s="2">
        <v>-4.0</v>
      </c>
      <c r="K128" s="2">
        <v>4.0</v>
      </c>
      <c r="M128" s="2">
        <v>0.0</v>
      </c>
      <c r="N128" s="2">
        <v>0.0</v>
      </c>
      <c r="O128" s="2">
        <v>0.0</v>
      </c>
      <c r="S128" s="2">
        <v>0.0</v>
      </c>
      <c r="T128" s="2">
        <v>0.0</v>
      </c>
      <c r="AB128" s="2">
        <v>4.0</v>
      </c>
      <c r="AD128" s="2">
        <v>0.0</v>
      </c>
      <c r="AH128" s="2">
        <v>4.0</v>
      </c>
      <c r="AI128" s="2">
        <v>0.0</v>
      </c>
      <c r="AN128" s="2">
        <v>0.0</v>
      </c>
    </row>
    <row r="129">
      <c r="G129" s="2">
        <v>0.0</v>
      </c>
      <c r="K129" s="2">
        <v>4.0</v>
      </c>
      <c r="M129" s="2">
        <v>0.0</v>
      </c>
      <c r="N129" s="2">
        <v>0.0</v>
      </c>
      <c r="O129" s="2">
        <v>0.0</v>
      </c>
      <c r="S129" s="2">
        <v>0.0</v>
      </c>
      <c r="T129" s="2">
        <v>0.0</v>
      </c>
      <c r="W129" s="2">
        <v>4.0</v>
      </c>
      <c r="AD129" s="2">
        <v>0.0</v>
      </c>
      <c r="AG129" s="2">
        <v>0.0</v>
      </c>
      <c r="AI129" s="2">
        <v>0.0</v>
      </c>
      <c r="AN129" s="2">
        <v>0.0</v>
      </c>
    </row>
    <row r="130">
      <c r="G130" s="2">
        <v>0.0</v>
      </c>
      <c r="L130" s="2">
        <v>4.0</v>
      </c>
      <c r="M130" s="2">
        <v>0.0</v>
      </c>
      <c r="N130" s="2">
        <v>0.0</v>
      </c>
      <c r="O130" s="2">
        <v>0.0</v>
      </c>
      <c r="S130" s="2">
        <v>0.0</v>
      </c>
      <c r="T130" s="2">
        <v>0.0</v>
      </c>
      <c r="AA130" s="2">
        <v>4.0</v>
      </c>
      <c r="AD130" s="2">
        <v>0.0</v>
      </c>
      <c r="AH130" s="2">
        <v>4.0</v>
      </c>
      <c r="AI130" s="2">
        <v>0.0</v>
      </c>
      <c r="AN130" s="2">
        <v>0.0</v>
      </c>
    </row>
    <row r="131">
      <c r="G131" s="2">
        <v>0.0</v>
      </c>
      <c r="H131" s="2">
        <v>4.0</v>
      </c>
      <c r="M131" s="2">
        <v>0.0</v>
      </c>
      <c r="N131" s="2">
        <v>0.0</v>
      </c>
      <c r="O131" s="2">
        <v>0.0</v>
      </c>
      <c r="Q131" s="2">
        <v>4.0</v>
      </c>
      <c r="S131" s="2">
        <v>0.0</v>
      </c>
      <c r="T131" s="2">
        <v>0.0</v>
      </c>
      <c r="U131" s="2">
        <v>4.0</v>
      </c>
      <c r="AD131" s="2">
        <v>0.0</v>
      </c>
      <c r="AF131" s="2">
        <v>4.0</v>
      </c>
      <c r="AI131" s="2">
        <v>0.0</v>
      </c>
      <c r="AN131" s="2">
        <v>0.0</v>
      </c>
    </row>
    <row r="132">
      <c r="C132" s="2">
        <v>4.0</v>
      </c>
      <c r="G132" s="2">
        <v>0.0</v>
      </c>
      <c r="M132" s="2">
        <v>0.0</v>
      </c>
      <c r="N132" s="2">
        <v>0.0</v>
      </c>
      <c r="O132" s="2">
        <v>0.0</v>
      </c>
      <c r="S132" s="2">
        <v>0.0</v>
      </c>
      <c r="T132" s="2">
        <v>0.0</v>
      </c>
      <c r="AD132" s="2">
        <v>0.0</v>
      </c>
      <c r="AH132" s="2">
        <v>4.0</v>
      </c>
      <c r="AI132" s="2">
        <v>0.0</v>
      </c>
      <c r="AN132" s="2">
        <v>0.0</v>
      </c>
    </row>
    <row r="133">
      <c r="G133" s="2">
        <v>0.0</v>
      </c>
      <c r="J133" s="2">
        <v>4.0</v>
      </c>
      <c r="M133" s="2">
        <v>0.0</v>
      </c>
      <c r="N133" s="2">
        <v>0.0</v>
      </c>
      <c r="O133" s="2">
        <v>0.0</v>
      </c>
      <c r="Q133" s="2">
        <v>4.0</v>
      </c>
      <c r="S133" s="2">
        <v>0.0</v>
      </c>
      <c r="T133" s="2">
        <v>0.0</v>
      </c>
      <c r="AA133" s="2">
        <v>4.0</v>
      </c>
      <c r="AD133" s="2">
        <v>0.0</v>
      </c>
      <c r="AH133" s="2">
        <v>4.0</v>
      </c>
      <c r="AI133" s="2">
        <v>0.0</v>
      </c>
      <c r="AN133" s="2">
        <v>0.0</v>
      </c>
    </row>
    <row r="134">
      <c r="G134" s="2">
        <v>0.0</v>
      </c>
      <c r="M134" s="2">
        <v>0.0</v>
      </c>
      <c r="N134" s="2">
        <v>0.0</v>
      </c>
      <c r="O134" s="2">
        <v>0.0</v>
      </c>
      <c r="S134" s="2">
        <v>0.0</v>
      </c>
      <c r="T134" s="2">
        <v>0.0</v>
      </c>
      <c r="AD134" s="2">
        <v>0.0</v>
      </c>
      <c r="AH134" s="2">
        <v>0.0</v>
      </c>
      <c r="AI134" s="2">
        <v>0.0</v>
      </c>
      <c r="AN134" s="2">
        <v>0.0</v>
      </c>
    </row>
    <row r="135">
      <c r="G135" s="2">
        <v>0.0</v>
      </c>
      <c r="M135" s="2">
        <v>0.0</v>
      </c>
      <c r="N135" s="2">
        <v>0.0</v>
      </c>
      <c r="O135" s="2">
        <v>0.0</v>
      </c>
      <c r="Q135" s="2">
        <v>4.0</v>
      </c>
      <c r="S135" s="2">
        <v>0.0</v>
      </c>
      <c r="T135" s="2">
        <v>0.0</v>
      </c>
      <c r="W135" s="2">
        <v>4.0</v>
      </c>
      <c r="AD135" s="2">
        <v>0.0</v>
      </c>
      <c r="AH135" s="2">
        <v>4.0</v>
      </c>
      <c r="AI135" s="2">
        <v>0.0</v>
      </c>
      <c r="AN135" s="2">
        <v>0.0</v>
      </c>
    </row>
    <row r="136">
      <c r="A136" s="2" t="b">
        <v>1</v>
      </c>
      <c r="B136" s="2" t="b">
        <v>1</v>
      </c>
      <c r="C136" s="2" t="b">
        <v>1</v>
      </c>
      <c r="D136" s="2" t="b">
        <v>1</v>
      </c>
      <c r="E136" s="2" t="b">
        <v>1</v>
      </c>
      <c r="F136" s="2" t="b">
        <v>1</v>
      </c>
      <c r="G136" s="2" t="b">
        <v>0</v>
      </c>
      <c r="H136" s="2" t="b">
        <v>1</v>
      </c>
      <c r="I136" s="2" t="b">
        <v>1</v>
      </c>
      <c r="J136" s="2" t="b">
        <v>1</v>
      </c>
      <c r="K136" s="2" t="b">
        <v>1</v>
      </c>
      <c r="L136" s="2" t="b">
        <v>1</v>
      </c>
      <c r="M136" s="2" t="b">
        <v>0</v>
      </c>
      <c r="N136" s="2" t="b">
        <v>0</v>
      </c>
      <c r="O136" s="2" t="b">
        <v>0</v>
      </c>
      <c r="P136" s="2" t="b">
        <v>1</v>
      </c>
      <c r="Q136" s="2" t="b">
        <v>1</v>
      </c>
      <c r="R136" s="2" t="b">
        <v>1</v>
      </c>
      <c r="S136" s="2" t="b">
        <v>0</v>
      </c>
      <c r="T136" s="2" t="b">
        <v>0</v>
      </c>
      <c r="U136" s="2" t="b">
        <v>1</v>
      </c>
      <c r="V136" s="2" t="b">
        <v>1</v>
      </c>
      <c r="W136" s="2" t="b">
        <v>1</v>
      </c>
      <c r="X136" s="2" t="b">
        <v>1</v>
      </c>
      <c r="Y136" s="2" t="b">
        <v>1</v>
      </c>
      <c r="Z136" s="2" t="b">
        <v>1</v>
      </c>
      <c r="AA136" s="2" t="b">
        <v>1</v>
      </c>
      <c r="AB136" s="2" t="b">
        <v>1</v>
      </c>
      <c r="AC136" s="2" t="b">
        <v>1</v>
      </c>
      <c r="AD136" s="2" t="b">
        <v>0</v>
      </c>
      <c r="AE136" s="2" t="b">
        <v>1</v>
      </c>
      <c r="AF136" s="2" t="b">
        <v>1</v>
      </c>
      <c r="AG136" s="2" t="b">
        <v>1</v>
      </c>
      <c r="AH136" s="2" t="b">
        <v>1</v>
      </c>
      <c r="AI136" s="2" t="b">
        <v>0</v>
      </c>
      <c r="AJ136" s="2" t="b">
        <v>1</v>
      </c>
      <c r="AK136" s="2" t="b">
        <v>1</v>
      </c>
      <c r="AL136" s="2" t="b">
        <v>1</v>
      </c>
      <c r="AM136" s="2" t="b">
        <v>1</v>
      </c>
      <c r="AN136" s="2" t="b">
        <v>0</v>
      </c>
      <c r="AO136" s="2" t="b">
        <v>0</v>
      </c>
      <c r="AP136" s="2" t="b">
        <v>0</v>
      </c>
      <c r="AQ136" s="2" t="b">
        <v>0</v>
      </c>
      <c r="AR136" s="2" t="b">
        <v>0</v>
      </c>
      <c r="AS136" s="2" t="b">
        <v>0</v>
      </c>
      <c r="AT136" s="2" t="b">
        <v>0</v>
      </c>
      <c r="AU136" s="2" t="b">
        <v>0</v>
      </c>
      <c r="AV136" s="2" t="b">
        <v>0</v>
      </c>
      <c r="AW136" s="2" t="b">
        <v>0</v>
      </c>
      <c r="AX136" s="2" t="b">
        <v>0</v>
      </c>
    </row>
    <row r="137">
      <c r="G137" s="2">
        <v>0.0</v>
      </c>
      <c r="H137" s="2">
        <v>4.0</v>
      </c>
      <c r="L137" s="2">
        <v>4.0</v>
      </c>
      <c r="M137" s="2">
        <v>0.0</v>
      </c>
      <c r="N137" s="2">
        <v>0.0</v>
      </c>
      <c r="O137" s="2">
        <v>0.0</v>
      </c>
      <c r="S137" s="2">
        <v>0.0</v>
      </c>
      <c r="T137" s="2">
        <v>0.0</v>
      </c>
      <c r="U137" s="2">
        <v>4.0</v>
      </c>
      <c r="AD137" s="2">
        <v>0.0</v>
      </c>
      <c r="AH137" s="2">
        <v>4.0</v>
      </c>
      <c r="AI137" s="2">
        <v>0.0</v>
      </c>
      <c r="AN137" s="2">
        <v>0.0</v>
      </c>
    </row>
    <row r="138">
      <c r="G138" s="2">
        <v>0.0</v>
      </c>
      <c r="M138" s="2">
        <v>0.0</v>
      </c>
      <c r="N138" s="2">
        <v>0.0</v>
      </c>
      <c r="O138" s="2">
        <v>0.0</v>
      </c>
      <c r="R138" s="2">
        <v>4.0</v>
      </c>
      <c r="S138" s="2">
        <v>0.0</v>
      </c>
      <c r="T138" s="2">
        <v>0.0</v>
      </c>
      <c r="AD138" s="2">
        <v>0.0</v>
      </c>
      <c r="AF138" s="2">
        <v>4.0</v>
      </c>
      <c r="AI138" s="2">
        <v>0.0</v>
      </c>
      <c r="AN138" s="2">
        <v>0.0</v>
      </c>
    </row>
    <row r="139">
      <c r="G139" s="2">
        <v>0.0</v>
      </c>
      <c r="M139" s="2">
        <v>0.0</v>
      </c>
      <c r="N139" s="2">
        <v>0.0</v>
      </c>
      <c r="O139" s="2">
        <v>0.0</v>
      </c>
      <c r="R139" s="2">
        <v>4.0</v>
      </c>
      <c r="S139" s="2">
        <v>0.0</v>
      </c>
      <c r="T139" s="2">
        <v>0.0</v>
      </c>
      <c r="AD139" s="2">
        <v>0.0</v>
      </c>
      <c r="AG139" s="2">
        <v>4.0</v>
      </c>
      <c r="AI139" s="2">
        <v>0.0</v>
      </c>
      <c r="AN139" s="2">
        <v>0.0</v>
      </c>
    </row>
    <row r="140">
      <c r="G140" s="2">
        <v>0.0</v>
      </c>
      <c r="M140" s="2">
        <v>0.0</v>
      </c>
      <c r="N140" s="2">
        <v>0.0</v>
      </c>
      <c r="O140" s="2">
        <v>0.0</v>
      </c>
      <c r="S140" s="2">
        <v>0.0</v>
      </c>
      <c r="T140" s="2">
        <v>0.0</v>
      </c>
      <c r="AD140" s="2">
        <v>0.0</v>
      </c>
      <c r="AH140" s="2">
        <v>0.0</v>
      </c>
      <c r="AI140" s="2">
        <v>0.0</v>
      </c>
      <c r="AN140" s="2">
        <v>0.0</v>
      </c>
    </row>
    <row r="141">
      <c r="C141" s="2">
        <v>-4.0</v>
      </c>
      <c r="G141" s="2">
        <v>0.0</v>
      </c>
      <c r="M141" s="2">
        <v>0.0</v>
      </c>
      <c r="N141" s="2">
        <v>0.0</v>
      </c>
      <c r="O141" s="2">
        <v>0.0</v>
      </c>
      <c r="R141" s="2">
        <v>4.0</v>
      </c>
      <c r="S141" s="2">
        <v>0.0</v>
      </c>
      <c r="T141" s="2">
        <v>0.0</v>
      </c>
      <c r="U141" s="2">
        <v>4.0</v>
      </c>
      <c r="AD141" s="2">
        <v>0.0</v>
      </c>
      <c r="AH141" s="2">
        <v>4.0</v>
      </c>
      <c r="AI141" s="2">
        <v>0.0</v>
      </c>
      <c r="AN141" s="2">
        <v>0.0</v>
      </c>
    </row>
    <row r="142">
      <c r="C142" s="2">
        <v>4.0</v>
      </c>
      <c r="G142" s="2">
        <v>0.0</v>
      </c>
      <c r="M142" s="2">
        <v>0.0</v>
      </c>
      <c r="N142" s="2">
        <v>0.0</v>
      </c>
      <c r="O142" s="2">
        <v>0.0</v>
      </c>
      <c r="R142" s="2">
        <v>4.0</v>
      </c>
      <c r="S142" s="2">
        <v>0.0</v>
      </c>
      <c r="T142" s="2">
        <v>0.0</v>
      </c>
      <c r="U142" s="2">
        <v>4.0</v>
      </c>
      <c r="AD142" s="2">
        <v>0.0</v>
      </c>
      <c r="AE142" s="2">
        <v>4.0</v>
      </c>
      <c r="AI142" s="2">
        <v>0.0</v>
      </c>
      <c r="AN142" s="2">
        <v>0.0</v>
      </c>
    </row>
    <row r="143">
      <c r="G143" s="2">
        <v>0.0</v>
      </c>
      <c r="J143" s="2">
        <v>4.0</v>
      </c>
      <c r="K143" s="2">
        <v>4.0</v>
      </c>
      <c r="M143" s="2">
        <v>0.0</v>
      </c>
      <c r="N143" s="2">
        <v>0.0</v>
      </c>
      <c r="O143" s="2">
        <v>0.0</v>
      </c>
      <c r="S143" s="2">
        <v>0.0</v>
      </c>
      <c r="T143" s="2">
        <v>0.0</v>
      </c>
      <c r="X143" s="2">
        <v>4.0</v>
      </c>
      <c r="AD143" s="2">
        <v>0.0</v>
      </c>
      <c r="AH143" s="2">
        <v>4.0</v>
      </c>
      <c r="AI143" s="2">
        <v>0.0</v>
      </c>
      <c r="AN143" s="2">
        <v>0.0</v>
      </c>
    </row>
    <row r="144">
      <c r="C144" s="2">
        <v>4.0</v>
      </c>
      <c r="G144" s="2">
        <v>0.0</v>
      </c>
      <c r="M144" s="2">
        <v>0.0</v>
      </c>
      <c r="N144" s="2">
        <v>0.0</v>
      </c>
      <c r="O144" s="2">
        <v>0.0</v>
      </c>
      <c r="Q144" s="2">
        <v>4.0</v>
      </c>
      <c r="S144" s="2">
        <v>0.0</v>
      </c>
      <c r="T144" s="2">
        <v>0.0</v>
      </c>
      <c r="Z144" s="2">
        <v>4.0</v>
      </c>
      <c r="AD144" s="2">
        <v>0.0</v>
      </c>
      <c r="AE144" s="2">
        <v>0.0</v>
      </c>
      <c r="AI144" s="2">
        <v>0.0</v>
      </c>
      <c r="AJ144" s="2">
        <v>4.0</v>
      </c>
      <c r="AN144" s="2">
        <v>0.0</v>
      </c>
    </row>
    <row r="145">
      <c r="G145" s="2">
        <v>0.0</v>
      </c>
      <c r="K145" s="2">
        <v>4.0</v>
      </c>
      <c r="M145" s="2">
        <v>0.0</v>
      </c>
      <c r="N145" s="2">
        <v>0.0</v>
      </c>
      <c r="O145" s="2">
        <v>0.0</v>
      </c>
      <c r="S145" s="2">
        <v>0.0</v>
      </c>
      <c r="T145" s="2">
        <v>0.0</v>
      </c>
      <c r="Z145" s="2">
        <v>4.0</v>
      </c>
      <c r="AD145" s="2">
        <v>0.0</v>
      </c>
      <c r="AH145" s="2">
        <v>4.0</v>
      </c>
      <c r="AI145" s="2">
        <v>0.0</v>
      </c>
      <c r="AN145" s="2">
        <v>0.0</v>
      </c>
    </row>
    <row r="146">
      <c r="G146" s="2">
        <v>0.0</v>
      </c>
      <c r="M146" s="2">
        <v>0.0</v>
      </c>
      <c r="N146" s="2">
        <v>0.0</v>
      </c>
      <c r="O146" s="2">
        <v>0.0</v>
      </c>
      <c r="R146" s="2">
        <v>4.0</v>
      </c>
      <c r="S146" s="2">
        <v>0.0</v>
      </c>
      <c r="T146" s="2">
        <v>0.0</v>
      </c>
      <c r="V146" s="2">
        <v>4.0</v>
      </c>
      <c r="AD146" s="2">
        <v>0.0</v>
      </c>
      <c r="AG146" s="2">
        <v>0.0</v>
      </c>
      <c r="AI146" s="2">
        <v>0.0</v>
      </c>
      <c r="AM146" s="2">
        <v>4.0</v>
      </c>
      <c r="AN146" s="2">
        <v>0.0</v>
      </c>
    </row>
    <row r="147">
      <c r="C147" s="2">
        <v>4.0</v>
      </c>
      <c r="G147" s="2">
        <v>0.0</v>
      </c>
      <c r="K147" s="2">
        <v>4.0</v>
      </c>
      <c r="M147" s="2">
        <v>0.0</v>
      </c>
      <c r="N147" s="2">
        <v>0.0</v>
      </c>
      <c r="O147" s="2">
        <v>0.0</v>
      </c>
      <c r="S147" s="2">
        <v>0.0</v>
      </c>
      <c r="T147" s="2">
        <v>0.0</v>
      </c>
      <c r="X147" s="2">
        <v>4.0</v>
      </c>
      <c r="AB147" s="2">
        <v>-4.0</v>
      </c>
      <c r="AD147" s="2">
        <v>0.0</v>
      </c>
      <c r="AH147" s="2">
        <v>0.0</v>
      </c>
      <c r="AI147" s="2">
        <v>0.0</v>
      </c>
      <c r="AM147" s="2">
        <v>0.0</v>
      </c>
      <c r="AN147" s="2">
        <v>0.0</v>
      </c>
    </row>
    <row r="148">
      <c r="G148" s="2">
        <v>0.0</v>
      </c>
      <c r="M148" s="2">
        <v>0.0</v>
      </c>
      <c r="N148" s="2">
        <v>0.0</v>
      </c>
      <c r="O148" s="2">
        <v>0.0</v>
      </c>
      <c r="S148" s="2">
        <v>0.0</v>
      </c>
      <c r="T148" s="2">
        <v>0.0</v>
      </c>
      <c r="W148" s="2">
        <v>4.0</v>
      </c>
      <c r="AD148" s="2">
        <v>0.0</v>
      </c>
      <c r="AF148" s="2">
        <v>0.0</v>
      </c>
      <c r="AI148" s="2">
        <v>0.0</v>
      </c>
      <c r="AJ148" s="2">
        <v>0.0</v>
      </c>
      <c r="AN148" s="2">
        <v>0.0</v>
      </c>
    </row>
    <row r="151">
      <c r="A151" s="2" t="s">
        <v>9</v>
      </c>
      <c r="B151" s="2" t="s">
        <v>9</v>
      </c>
      <c r="C151" s="2" t="s">
        <v>9</v>
      </c>
      <c r="D151" s="2" t="s">
        <v>9</v>
      </c>
      <c r="E151" s="2" t="s">
        <v>9</v>
      </c>
      <c r="F151" s="2" t="s">
        <v>6</v>
      </c>
      <c r="G151" s="2" t="s">
        <v>6</v>
      </c>
      <c r="H151" s="2" t="s">
        <v>6</v>
      </c>
      <c r="I151" s="2" t="s">
        <v>6</v>
      </c>
      <c r="J151" s="2" t="s">
        <v>6</v>
      </c>
      <c r="K151" s="2" t="s">
        <v>0</v>
      </c>
      <c r="L151" s="2" t="s">
        <v>0</v>
      </c>
      <c r="M151" s="2" t="s">
        <v>0</v>
      </c>
      <c r="N151" s="2" t="s">
        <v>0</v>
      </c>
      <c r="O151" s="2" t="s">
        <v>0</v>
      </c>
      <c r="P151" s="2" t="s">
        <v>7</v>
      </c>
      <c r="Q151" s="2" t="s">
        <v>7</v>
      </c>
      <c r="R151" s="2" t="s">
        <v>7</v>
      </c>
      <c r="S151" s="2" t="s">
        <v>7</v>
      </c>
      <c r="T151" s="2" t="s">
        <v>7</v>
      </c>
      <c r="U151" s="2" t="s">
        <v>1</v>
      </c>
      <c r="V151" s="2" t="s">
        <v>1</v>
      </c>
      <c r="W151" s="2" t="s">
        <v>1</v>
      </c>
      <c r="X151" s="2" t="s">
        <v>1</v>
      </c>
      <c r="Y151" s="2" t="s">
        <v>1</v>
      </c>
      <c r="Z151" s="2" t="s">
        <v>5</v>
      </c>
      <c r="AA151" s="2" t="s">
        <v>5</v>
      </c>
      <c r="AB151" s="2" t="s">
        <v>5</v>
      </c>
      <c r="AC151" s="2" t="s">
        <v>5</v>
      </c>
      <c r="AD151" s="2" t="s">
        <v>5</v>
      </c>
      <c r="AE151" s="2" t="s">
        <v>3</v>
      </c>
      <c r="AF151" s="2" t="s">
        <v>3</v>
      </c>
      <c r="AG151" s="2" t="s">
        <v>3</v>
      </c>
      <c r="AH151" s="2" t="s">
        <v>3</v>
      </c>
      <c r="AI151" s="2" t="s">
        <v>3</v>
      </c>
      <c r="AJ151" s="2" t="s">
        <v>2</v>
      </c>
      <c r="AK151" s="2" t="s">
        <v>2</v>
      </c>
      <c r="AL151" s="2" t="s">
        <v>2</v>
      </c>
      <c r="AM151" s="2" t="s">
        <v>2</v>
      </c>
      <c r="AN151" s="2" t="s">
        <v>2</v>
      </c>
      <c r="AO151" s="2" t="s">
        <v>8</v>
      </c>
      <c r="AP151" s="2" t="s">
        <v>8</v>
      </c>
      <c r="AQ151" s="2" t="s">
        <v>8</v>
      </c>
      <c r="AR151" s="2" t="s">
        <v>8</v>
      </c>
      <c r="AS151" s="2" t="s">
        <v>8</v>
      </c>
      <c r="AT151" s="2" t="s">
        <v>4</v>
      </c>
      <c r="AU151" s="2" t="s">
        <v>4</v>
      </c>
      <c r="AV151" s="2" t="s">
        <v>4</v>
      </c>
      <c r="AW151" s="2" t="s">
        <v>4</v>
      </c>
      <c r="AX151" s="2" t="s">
        <v>4</v>
      </c>
    </row>
    <row r="152">
      <c r="A152" s="2" t="s">
        <v>38</v>
      </c>
      <c r="B152" s="2" t="s">
        <v>39</v>
      </c>
      <c r="C152" s="2" t="s">
        <v>40</v>
      </c>
      <c r="D152" s="2" t="s">
        <v>41</v>
      </c>
      <c r="E152" s="2" t="s">
        <v>42</v>
      </c>
      <c r="F152" s="2" t="s">
        <v>19</v>
      </c>
      <c r="G152" s="2" t="s">
        <v>20</v>
      </c>
      <c r="H152" s="2" t="s">
        <v>21</v>
      </c>
      <c r="I152" s="2" t="s">
        <v>22</v>
      </c>
      <c r="J152" s="2" t="s">
        <v>23</v>
      </c>
      <c r="K152" s="2" t="s">
        <v>43</v>
      </c>
      <c r="L152" s="2" t="s">
        <v>44</v>
      </c>
      <c r="M152" s="2" t="s">
        <v>45</v>
      </c>
      <c r="N152" s="2" t="s">
        <v>12</v>
      </c>
      <c r="O152" s="2" t="s">
        <v>46</v>
      </c>
      <c r="P152" s="2" t="s">
        <v>24</v>
      </c>
      <c r="Q152" s="2" t="s">
        <v>25</v>
      </c>
      <c r="R152" s="2" t="s">
        <v>26</v>
      </c>
      <c r="S152" s="2" t="s">
        <v>27</v>
      </c>
      <c r="T152" s="2" t="s">
        <v>28</v>
      </c>
      <c r="U152" s="2" t="s">
        <v>12</v>
      </c>
      <c r="V152" s="2" t="s">
        <v>13</v>
      </c>
      <c r="Z152" s="2" t="s">
        <v>50</v>
      </c>
      <c r="AA152" s="2" t="s">
        <v>51</v>
      </c>
      <c r="AB152" s="2" t="s">
        <v>21</v>
      </c>
      <c r="AC152" s="2" t="s">
        <v>52</v>
      </c>
      <c r="AE152" s="2" t="s">
        <v>47</v>
      </c>
      <c r="AF152" s="2" t="s">
        <v>48</v>
      </c>
      <c r="AG152" s="2" t="s">
        <v>49</v>
      </c>
      <c r="AJ152" s="2" t="s">
        <v>33</v>
      </c>
      <c r="AK152" s="2" t="s">
        <v>34</v>
      </c>
      <c r="AL152" s="2" t="s">
        <v>35</v>
      </c>
      <c r="AM152" s="2" t="s">
        <v>36</v>
      </c>
      <c r="AN152" s="2" t="s">
        <v>37</v>
      </c>
      <c r="AO152" s="7" t="s">
        <v>29</v>
      </c>
      <c r="AP152" s="7" t="s">
        <v>30</v>
      </c>
      <c r="AQ152" s="7" t="s">
        <v>31</v>
      </c>
      <c r="AR152" s="7" t="s">
        <v>32</v>
      </c>
      <c r="AT152" s="7" t="s">
        <v>14</v>
      </c>
      <c r="AU152" s="7" t="s">
        <v>15</v>
      </c>
      <c r="AV152" s="7" t="s">
        <v>16</v>
      </c>
      <c r="AW152" s="7" t="s">
        <v>17</v>
      </c>
      <c r="AX152" s="7" t="s">
        <v>18</v>
      </c>
    </row>
    <row r="153">
      <c r="A153" s="2" t="b">
        <v>1</v>
      </c>
      <c r="B153" s="2" t="b">
        <v>1</v>
      </c>
      <c r="C153" s="2" t="b">
        <v>1</v>
      </c>
      <c r="D153" s="2" t="b">
        <v>1</v>
      </c>
      <c r="E153" s="2" t="b">
        <v>1</v>
      </c>
      <c r="F153" s="2" t="b">
        <v>1</v>
      </c>
      <c r="G153" s="2" t="b">
        <v>1</v>
      </c>
      <c r="H153" s="2" t="b">
        <v>1</v>
      </c>
      <c r="I153" s="2" t="b">
        <v>1</v>
      </c>
      <c r="J153" s="2" t="b">
        <v>1</v>
      </c>
      <c r="K153" s="2" t="b">
        <v>1</v>
      </c>
      <c r="L153" s="2" t="b">
        <v>1</v>
      </c>
      <c r="M153" s="2" t="b">
        <v>1</v>
      </c>
      <c r="N153" s="2" t="b">
        <v>1</v>
      </c>
      <c r="O153" s="2" t="b">
        <v>1</v>
      </c>
      <c r="P153" s="2" t="b">
        <v>1</v>
      </c>
      <c r="Q153" s="2" t="b">
        <v>1</v>
      </c>
      <c r="R153" s="2" t="b">
        <v>1</v>
      </c>
      <c r="S153" s="2" t="b">
        <v>1</v>
      </c>
      <c r="T153" s="2" t="b">
        <v>0</v>
      </c>
      <c r="U153" s="2" t="b">
        <v>1</v>
      </c>
      <c r="V153" s="2" t="b">
        <v>1</v>
      </c>
      <c r="W153" s="2" t="b">
        <v>0</v>
      </c>
      <c r="X153" s="2" t="b">
        <v>0</v>
      </c>
      <c r="Y153" s="2" t="b">
        <v>0</v>
      </c>
      <c r="Z153" s="2" t="b">
        <v>1</v>
      </c>
      <c r="AA153" s="2" t="b">
        <v>1</v>
      </c>
      <c r="AB153" s="2" t="b">
        <v>1</v>
      </c>
      <c r="AC153" s="2" t="b">
        <v>1</v>
      </c>
      <c r="AD153" s="2" t="b">
        <v>0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1</v>
      </c>
      <c r="AL153" s="2" t="b">
        <v>1</v>
      </c>
      <c r="AM153" s="2" t="b">
        <v>1</v>
      </c>
      <c r="AN153" s="2" t="b">
        <v>0</v>
      </c>
      <c r="AO153" s="2" t="b">
        <v>0</v>
      </c>
      <c r="AP153" s="2" t="b">
        <v>0</v>
      </c>
      <c r="AQ153" s="2" t="b">
        <v>0</v>
      </c>
      <c r="AR153" s="2" t="b">
        <v>0</v>
      </c>
      <c r="AS153" s="2" t="b">
        <v>0</v>
      </c>
      <c r="AT153" s="2" t="b">
        <v>0</v>
      </c>
      <c r="AU153" s="2" t="b">
        <v>0</v>
      </c>
      <c r="AV153" s="2" t="b">
        <v>0</v>
      </c>
      <c r="AW153" s="2" t="b">
        <v>0</v>
      </c>
      <c r="AX153" s="2" t="b">
        <v>0</v>
      </c>
    </row>
    <row r="154">
      <c r="T154" s="2">
        <v>0.0</v>
      </c>
      <c r="W154" s="2">
        <v>0.0</v>
      </c>
      <c r="X154" s="2">
        <v>0.0</v>
      </c>
      <c r="Y154" s="2">
        <v>0.0</v>
      </c>
      <c r="AA154" s="2">
        <v>0.0</v>
      </c>
      <c r="AD154" s="2">
        <v>0.0</v>
      </c>
      <c r="AH154" s="2">
        <v>0.0</v>
      </c>
      <c r="AI154" s="2">
        <v>0.0</v>
      </c>
      <c r="AN154" s="2">
        <v>0.0</v>
      </c>
    </row>
    <row r="155">
      <c r="T155" s="2">
        <v>0.0</v>
      </c>
      <c r="W155" s="2">
        <v>0.0</v>
      </c>
      <c r="X155" s="2">
        <v>0.0</v>
      </c>
      <c r="Y155" s="2">
        <v>0.0</v>
      </c>
      <c r="AA155" s="2">
        <v>4.0</v>
      </c>
      <c r="AD155" s="2">
        <v>0.0</v>
      </c>
      <c r="AH155" s="2">
        <v>0.0</v>
      </c>
      <c r="AI155" s="2">
        <v>0.0</v>
      </c>
      <c r="AN155" s="2">
        <v>0.0</v>
      </c>
    </row>
    <row r="156">
      <c r="T156" s="2">
        <v>0.0</v>
      </c>
      <c r="W156" s="2">
        <v>0.0</v>
      </c>
      <c r="X156" s="2">
        <v>0.0</v>
      </c>
      <c r="Y156" s="2">
        <v>0.0</v>
      </c>
      <c r="AB156" s="2">
        <v>4.0</v>
      </c>
      <c r="AD156" s="2">
        <v>0.0</v>
      </c>
      <c r="AH156" s="2">
        <v>0.0</v>
      </c>
      <c r="AI156" s="2">
        <v>0.0</v>
      </c>
      <c r="AN156" s="2">
        <v>0.0</v>
      </c>
    </row>
    <row r="157">
      <c r="E157" s="2">
        <v>-4.0</v>
      </c>
      <c r="T157" s="2">
        <v>0.0</v>
      </c>
      <c r="U157" s="2">
        <v>0.0</v>
      </c>
      <c r="W157" s="2">
        <v>0.0</v>
      </c>
      <c r="X157" s="2">
        <v>0.0</v>
      </c>
      <c r="Y157" s="2">
        <v>0.0</v>
      </c>
      <c r="Z157" s="2">
        <v>4.0</v>
      </c>
      <c r="AD157" s="2">
        <v>0.0</v>
      </c>
      <c r="AH157" s="2">
        <v>0.0</v>
      </c>
      <c r="AI157" s="2">
        <v>0.0</v>
      </c>
      <c r="AN157" s="2">
        <v>0.0</v>
      </c>
    </row>
    <row r="158">
      <c r="T158" s="2">
        <v>0.0</v>
      </c>
      <c r="U158" s="2">
        <v>4.0</v>
      </c>
      <c r="W158" s="2">
        <v>0.0</v>
      </c>
      <c r="X158" s="2">
        <v>0.0</v>
      </c>
      <c r="Y158" s="2">
        <v>0.0</v>
      </c>
      <c r="AD158" s="2">
        <v>0.0</v>
      </c>
      <c r="AH158" s="2">
        <v>0.0</v>
      </c>
      <c r="AI158" s="2">
        <v>0.0</v>
      </c>
      <c r="AJ158" s="2">
        <v>4.0</v>
      </c>
      <c r="AN158" s="2">
        <v>0.0</v>
      </c>
    </row>
    <row r="159">
      <c r="G159" s="2">
        <v>4.0</v>
      </c>
      <c r="M159" s="2">
        <v>4.0</v>
      </c>
      <c r="T159" s="2">
        <v>0.0</v>
      </c>
      <c r="W159" s="2">
        <v>0.0</v>
      </c>
      <c r="X159" s="2">
        <v>0.0</v>
      </c>
      <c r="Y159" s="2">
        <v>0.0</v>
      </c>
      <c r="AC159" s="2">
        <v>4.0</v>
      </c>
      <c r="AD159" s="2">
        <v>0.0</v>
      </c>
      <c r="AG159" s="2">
        <v>4.0</v>
      </c>
      <c r="AH159" s="2">
        <v>0.0</v>
      </c>
      <c r="AI159" s="2">
        <v>0.0</v>
      </c>
      <c r="AN159" s="2">
        <v>0.0</v>
      </c>
    </row>
    <row r="160">
      <c r="T160" s="2">
        <v>0.0</v>
      </c>
      <c r="W160" s="2">
        <v>0.0</v>
      </c>
      <c r="X160" s="2">
        <v>0.0</v>
      </c>
      <c r="Y160" s="2">
        <v>0.0</v>
      </c>
      <c r="AA160" s="2">
        <v>0.0</v>
      </c>
      <c r="AD160" s="2">
        <v>0.0</v>
      </c>
      <c r="AF160" s="2">
        <v>4.0</v>
      </c>
      <c r="AH160" s="2">
        <v>0.0</v>
      </c>
      <c r="AI160" s="2">
        <v>0.0</v>
      </c>
      <c r="AN160" s="2">
        <v>0.0</v>
      </c>
    </row>
    <row r="161">
      <c r="H161" s="2">
        <v>4.0</v>
      </c>
      <c r="M161" s="2">
        <v>4.0</v>
      </c>
      <c r="T161" s="2">
        <v>0.0</v>
      </c>
      <c r="V161" s="2">
        <v>0.0</v>
      </c>
      <c r="W161" s="2">
        <v>0.0</v>
      </c>
      <c r="X161" s="2">
        <v>0.0</v>
      </c>
      <c r="Y161" s="2">
        <v>0.0</v>
      </c>
      <c r="AA161" s="2">
        <v>0.0</v>
      </c>
      <c r="AD161" s="2">
        <v>0.0</v>
      </c>
      <c r="AH161" s="2">
        <v>0.0</v>
      </c>
      <c r="AI161" s="2">
        <v>0.0</v>
      </c>
      <c r="AN161" s="2">
        <v>0.0</v>
      </c>
    </row>
    <row r="162">
      <c r="K162" s="2">
        <v>4.0</v>
      </c>
      <c r="T162" s="2">
        <v>0.0</v>
      </c>
      <c r="U162" s="2">
        <v>0.0</v>
      </c>
      <c r="W162" s="2">
        <v>0.0</v>
      </c>
      <c r="X162" s="2">
        <v>0.0</v>
      </c>
      <c r="Y162" s="2">
        <v>0.0</v>
      </c>
      <c r="AB162" s="2">
        <v>0.0</v>
      </c>
      <c r="AD162" s="2">
        <v>0.0</v>
      </c>
      <c r="AH162" s="2">
        <v>0.0</v>
      </c>
      <c r="AI162" s="2">
        <v>0.0</v>
      </c>
      <c r="AN162" s="2">
        <v>0.0</v>
      </c>
    </row>
    <row r="163">
      <c r="T163" s="2">
        <v>0.0</v>
      </c>
      <c r="W163" s="2">
        <v>0.0</v>
      </c>
      <c r="X163" s="2">
        <v>0.0</v>
      </c>
      <c r="Y163" s="2">
        <v>0.0</v>
      </c>
      <c r="AC163" s="2">
        <v>4.0</v>
      </c>
      <c r="AD163" s="2">
        <v>0.0</v>
      </c>
      <c r="AH163" s="2">
        <v>0.0</v>
      </c>
      <c r="AI163" s="2">
        <v>0.0</v>
      </c>
      <c r="AN163" s="2">
        <v>0.0</v>
      </c>
    </row>
    <row r="164">
      <c r="G164" s="2">
        <v>4.0</v>
      </c>
      <c r="Q164" s="2">
        <v>4.0</v>
      </c>
      <c r="T164" s="2">
        <v>0.0</v>
      </c>
      <c r="W164" s="2">
        <v>0.0</v>
      </c>
      <c r="X164" s="2">
        <v>0.0</v>
      </c>
      <c r="Y164" s="2">
        <v>0.0</v>
      </c>
      <c r="AC164" s="2">
        <v>4.0</v>
      </c>
      <c r="AD164" s="2">
        <v>0.0</v>
      </c>
      <c r="AH164" s="2">
        <v>0.0</v>
      </c>
      <c r="AI164" s="2">
        <v>0.0</v>
      </c>
      <c r="AL164" s="2">
        <v>4.0</v>
      </c>
      <c r="AN164" s="2">
        <v>0.0</v>
      </c>
    </row>
    <row r="165">
      <c r="F165" s="2">
        <v>4.0</v>
      </c>
      <c r="T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D165" s="2">
        <v>0.0</v>
      </c>
      <c r="AH165" s="2">
        <v>0.0</v>
      </c>
      <c r="AI165" s="2">
        <v>0.0</v>
      </c>
      <c r="AN165" s="2">
        <v>0.0</v>
      </c>
    </row>
    <row r="166">
      <c r="A166" s="2" t="b">
        <v>1</v>
      </c>
      <c r="B166" s="2" t="b">
        <v>1</v>
      </c>
      <c r="C166" s="2" t="b">
        <v>1</v>
      </c>
      <c r="D166" s="2" t="b">
        <v>1</v>
      </c>
      <c r="E166" s="2" t="b">
        <v>1</v>
      </c>
      <c r="F166" s="2" t="b">
        <v>1</v>
      </c>
      <c r="G166" s="2" t="b">
        <v>1</v>
      </c>
      <c r="H166" s="2" t="b">
        <v>1</v>
      </c>
      <c r="I166" s="2" t="b">
        <v>1</v>
      </c>
      <c r="J166" s="2" t="b">
        <v>1</v>
      </c>
      <c r="K166" s="2" t="b">
        <v>1</v>
      </c>
      <c r="L166" s="2" t="b">
        <v>1</v>
      </c>
      <c r="M166" s="2" t="b">
        <v>1</v>
      </c>
      <c r="N166" s="2" t="b">
        <v>1</v>
      </c>
      <c r="O166" s="2" t="b">
        <v>1</v>
      </c>
      <c r="P166" s="2" t="b">
        <v>1</v>
      </c>
      <c r="Q166" s="2" t="b">
        <v>1</v>
      </c>
      <c r="R166" s="2" t="b">
        <v>1</v>
      </c>
      <c r="S166" s="2" t="b">
        <v>1</v>
      </c>
      <c r="T166" s="2" t="b">
        <v>0</v>
      </c>
      <c r="U166" s="2" t="b">
        <v>1</v>
      </c>
      <c r="V166" s="2" t="b">
        <v>1</v>
      </c>
      <c r="W166" s="2" t="b">
        <v>0</v>
      </c>
      <c r="X166" s="2" t="b">
        <v>0</v>
      </c>
      <c r="Y166" s="2" t="b">
        <v>0</v>
      </c>
      <c r="Z166" s="2" t="b">
        <v>1</v>
      </c>
      <c r="AA166" s="2" t="b">
        <v>1</v>
      </c>
      <c r="AB166" s="2" t="b">
        <v>1</v>
      </c>
      <c r="AC166" s="2" t="b">
        <v>1</v>
      </c>
      <c r="AD166" s="2" t="b">
        <v>0</v>
      </c>
      <c r="AE166" s="2" t="b">
        <v>1</v>
      </c>
      <c r="AF166" s="2" t="b">
        <v>1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1</v>
      </c>
      <c r="AL166" s="2" t="b">
        <v>1</v>
      </c>
      <c r="AM166" s="2" t="b">
        <v>1</v>
      </c>
      <c r="AN166" s="2" t="b">
        <v>0</v>
      </c>
      <c r="AO166" s="2" t="b">
        <v>0</v>
      </c>
      <c r="AP166" s="2" t="b">
        <v>0</v>
      </c>
      <c r="AQ166" s="2" t="b">
        <v>0</v>
      </c>
      <c r="AR166" s="2" t="b">
        <v>0</v>
      </c>
      <c r="AS166" s="2" t="b">
        <v>0</v>
      </c>
      <c r="AT166" s="2" t="b">
        <v>0</v>
      </c>
      <c r="AU166" s="2" t="b">
        <v>0</v>
      </c>
      <c r="AV166" s="2" t="b">
        <v>0</v>
      </c>
      <c r="AW166" s="2" t="b">
        <v>0</v>
      </c>
      <c r="AX166" s="2" t="b">
        <v>0</v>
      </c>
    </row>
    <row r="167">
      <c r="I167" s="2">
        <v>4.0</v>
      </c>
      <c r="T167" s="2">
        <v>0.0</v>
      </c>
      <c r="W167" s="2">
        <v>0.0</v>
      </c>
      <c r="X167" s="2">
        <v>0.0</v>
      </c>
      <c r="Y167" s="2">
        <v>0.0</v>
      </c>
      <c r="AC167" s="2">
        <v>4.0</v>
      </c>
      <c r="AD167" s="2">
        <v>0.0</v>
      </c>
      <c r="AH167" s="2">
        <v>0.0</v>
      </c>
      <c r="AI167" s="2">
        <v>0.0</v>
      </c>
      <c r="AK167" s="2">
        <v>4.0</v>
      </c>
      <c r="AN167" s="2">
        <v>0.0</v>
      </c>
    </row>
    <row r="168">
      <c r="F168" s="2">
        <v>4.0</v>
      </c>
      <c r="K168" s="2">
        <v>4.0</v>
      </c>
      <c r="T168" s="2">
        <v>0.0</v>
      </c>
      <c r="W168" s="2">
        <v>0.0</v>
      </c>
      <c r="X168" s="2">
        <v>0.0</v>
      </c>
      <c r="Y168" s="2">
        <v>0.0</v>
      </c>
      <c r="AA168" s="2">
        <v>4.0</v>
      </c>
      <c r="AD168" s="2">
        <v>0.0</v>
      </c>
      <c r="AH168" s="2">
        <v>0.0</v>
      </c>
      <c r="AI168" s="2">
        <v>0.0</v>
      </c>
      <c r="AN168" s="2">
        <v>0.0</v>
      </c>
    </row>
    <row r="169">
      <c r="C169" s="2">
        <v>4.0</v>
      </c>
      <c r="K169" s="2">
        <v>4.0</v>
      </c>
      <c r="T169" s="2">
        <v>0.0</v>
      </c>
      <c r="W169" s="2">
        <v>0.0</v>
      </c>
      <c r="X169" s="2">
        <v>0.0</v>
      </c>
      <c r="Y169" s="2">
        <v>0.0</v>
      </c>
      <c r="AB169" s="2">
        <v>4.0</v>
      </c>
      <c r="AD169" s="2">
        <v>0.0</v>
      </c>
      <c r="AH169" s="2">
        <v>0.0</v>
      </c>
      <c r="AI169" s="2">
        <v>0.0</v>
      </c>
      <c r="AN169" s="2">
        <v>0.0</v>
      </c>
    </row>
    <row r="170">
      <c r="A170" s="2">
        <v>4.0</v>
      </c>
      <c r="T170" s="2">
        <v>0.0</v>
      </c>
      <c r="W170" s="2">
        <v>0.0</v>
      </c>
      <c r="X170" s="2">
        <v>0.0</v>
      </c>
      <c r="Y170" s="2">
        <v>0.0</v>
      </c>
      <c r="Z170" s="2">
        <v>4.0</v>
      </c>
      <c r="AD170" s="2">
        <v>0.0</v>
      </c>
      <c r="AH170" s="2">
        <v>0.0</v>
      </c>
      <c r="AI170" s="2">
        <v>0.0</v>
      </c>
      <c r="AN170" s="2">
        <v>0.0</v>
      </c>
    </row>
    <row r="171">
      <c r="J171" s="2">
        <v>4.0</v>
      </c>
      <c r="T171" s="2">
        <v>0.0</v>
      </c>
      <c r="W171" s="2">
        <v>0.0</v>
      </c>
      <c r="X171" s="2">
        <v>0.0</v>
      </c>
      <c r="Y171" s="2">
        <v>0.0</v>
      </c>
      <c r="AC171" s="2">
        <v>0.0</v>
      </c>
      <c r="AD171" s="2">
        <v>0.0</v>
      </c>
      <c r="AH171" s="2">
        <v>0.0</v>
      </c>
      <c r="AI171" s="2">
        <v>0.0</v>
      </c>
      <c r="AJ171" s="2">
        <v>4.0</v>
      </c>
      <c r="AN171" s="2">
        <v>0.0</v>
      </c>
    </row>
    <row r="172">
      <c r="T172" s="2">
        <v>0.0</v>
      </c>
      <c r="W172" s="2">
        <v>0.0</v>
      </c>
      <c r="X172" s="2">
        <v>0.0</v>
      </c>
      <c r="Y172" s="2">
        <v>0.0</v>
      </c>
      <c r="AC172" s="2">
        <v>4.0</v>
      </c>
      <c r="AD172" s="2">
        <v>0.0</v>
      </c>
      <c r="AH172" s="2">
        <v>0.0</v>
      </c>
      <c r="AI172" s="2">
        <v>0.0</v>
      </c>
      <c r="AN172" s="2">
        <v>0.0</v>
      </c>
    </row>
    <row r="173">
      <c r="F173" s="2">
        <v>4.0</v>
      </c>
      <c r="K173" s="2">
        <v>4.0</v>
      </c>
      <c r="T173" s="2">
        <v>0.0</v>
      </c>
      <c r="U173" s="2">
        <v>4.0</v>
      </c>
      <c r="W173" s="2">
        <v>0.0</v>
      </c>
      <c r="X173" s="2">
        <v>0.0</v>
      </c>
      <c r="Y173" s="2">
        <v>0.0</v>
      </c>
      <c r="AD173" s="2">
        <v>0.0</v>
      </c>
      <c r="AH173" s="2">
        <v>0.0</v>
      </c>
      <c r="AI173" s="2">
        <v>0.0</v>
      </c>
      <c r="AL173" s="2">
        <v>4.0</v>
      </c>
      <c r="AN173" s="2">
        <v>0.0</v>
      </c>
    </row>
    <row r="174">
      <c r="F174" s="2">
        <v>4.0</v>
      </c>
      <c r="M174" s="2">
        <v>4.0</v>
      </c>
      <c r="T174" s="2">
        <v>0.0</v>
      </c>
      <c r="W174" s="2">
        <v>0.0</v>
      </c>
      <c r="X174" s="2">
        <v>0.0</v>
      </c>
      <c r="Y174" s="2">
        <v>0.0</v>
      </c>
      <c r="AA174" s="2">
        <v>4.0</v>
      </c>
      <c r="AD174" s="2">
        <v>0.0</v>
      </c>
      <c r="AH174" s="2">
        <v>0.0</v>
      </c>
      <c r="AI174" s="2">
        <v>0.0</v>
      </c>
      <c r="AM174" s="2">
        <v>4.0</v>
      </c>
      <c r="AN174" s="2">
        <v>0.0</v>
      </c>
    </row>
    <row r="175">
      <c r="G175" s="2">
        <v>4.0</v>
      </c>
      <c r="T175" s="2">
        <v>0.0</v>
      </c>
      <c r="V175" s="2">
        <v>0.0</v>
      </c>
      <c r="W175" s="2">
        <v>0.0</v>
      </c>
      <c r="X175" s="2">
        <v>0.0</v>
      </c>
      <c r="Y175" s="2">
        <v>0.0</v>
      </c>
      <c r="AC175" s="2">
        <v>0.0</v>
      </c>
      <c r="AD175" s="2">
        <v>0.0</v>
      </c>
      <c r="AH175" s="2">
        <v>0.0</v>
      </c>
      <c r="AI175" s="2">
        <v>0.0</v>
      </c>
      <c r="AN175" s="2">
        <v>0.0</v>
      </c>
    </row>
    <row r="176">
      <c r="T176" s="2">
        <v>0.0</v>
      </c>
      <c r="W176" s="2">
        <v>0.0</v>
      </c>
      <c r="X176" s="2">
        <v>0.0</v>
      </c>
      <c r="Y176" s="2">
        <v>0.0</v>
      </c>
      <c r="AC176" s="2">
        <v>4.0</v>
      </c>
      <c r="AD176" s="2">
        <v>0.0</v>
      </c>
      <c r="AH176" s="2">
        <v>0.0</v>
      </c>
      <c r="AI176" s="2">
        <v>0.0</v>
      </c>
      <c r="AN176" s="2">
        <v>0.0</v>
      </c>
    </row>
    <row r="177">
      <c r="T177" s="2">
        <v>0.0</v>
      </c>
      <c r="W177" s="2">
        <v>0.0</v>
      </c>
      <c r="X177" s="2">
        <v>0.0</v>
      </c>
      <c r="Y177" s="2">
        <v>0.0</v>
      </c>
      <c r="AC177" s="2">
        <v>4.0</v>
      </c>
      <c r="AD177" s="2">
        <v>0.0</v>
      </c>
      <c r="AH177" s="2">
        <v>0.0</v>
      </c>
      <c r="AI177" s="2">
        <v>0.0</v>
      </c>
      <c r="AL177" s="2">
        <v>4.0</v>
      </c>
      <c r="AN177" s="2">
        <v>0.0</v>
      </c>
    </row>
    <row r="178">
      <c r="K178" s="2">
        <v>4.0</v>
      </c>
      <c r="T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D178" s="2">
        <v>0.0</v>
      </c>
      <c r="AH178" s="2">
        <v>0.0</v>
      </c>
      <c r="AI178" s="2">
        <v>0.0</v>
      </c>
      <c r="AN178" s="2">
        <v>0.0</v>
      </c>
    </row>
    <row r="181">
      <c r="A181" s="2" t="s">
        <v>0</v>
      </c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6</v>
      </c>
      <c r="G181" s="2" t="s">
        <v>6</v>
      </c>
      <c r="H181" s="2" t="s">
        <v>6</v>
      </c>
      <c r="I181" s="2" t="s">
        <v>6</v>
      </c>
      <c r="J181" s="2" t="s">
        <v>6</v>
      </c>
      <c r="K181" s="2" t="s">
        <v>5</v>
      </c>
      <c r="L181" s="2" t="s">
        <v>5</v>
      </c>
      <c r="M181" s="2" t="s">
        <v>5</v>
      </c>
      <c r="N181" s="2" t="s">
        <v>5</v>
      </c>
      <c r="O181" s="2" t="s">
        <v>5</v>
      </c>
      <c r="P181" s="2" t="s">
        <v>2</v>
      </c>
      <c r="Q181" s="2" t="s">
        <v>2</v>
      </c>
      <c r="R181" s="2" t="s">
        <v>2</v>
      </c>
      <c r="S181" s="2" t="s">
        <v>2</v>
      </c>
      <c r="T181" s="2" t="s">
        <v>2</v>
      </c>
      <c r="U181" s="2" t="s">
        <v>9</v>
      </c>
      <c r="V181" s="2" t="s">
        <v>9</v>
      </c>
      <c r="W181" s="2" t="s">
        <v>9</v>
      </c>
      <c r="X181" s="2" t="s">
        <v>9</v>
      </c>
      <c r="Y181" s="2" t="s">
        <v>9</v>
      </c>
      <c r="Z181" s="2" t="s">
        <v>7</v>
      </c>
      <c r="AA181" s="2" t="s">
        <v>7</v>
      </c>
      <c r="AB181" s="2" t="s">
        <v>7</v>
      </c>
      <c r="AC181" s="2" t="s">
        <v>7</v>
      </c>
      <c r="AD181" s="2" t="s">
        <v>7</v>
      </c>
      <c r="AE181" s="2" t="s">
        <v>3</v>
      </c>
      <c r="AF181" s="2" t="s">
        <v>3</v>
      </c>
      <c r="AG181" s="2" t="s">
        <v>3</v>
      </c>
      <c r="AH181" s="2" t="s">
        <v>3</v>
      </c>
      <c r="AI181" s="2" t="s">
        <v>3</v>
      </c>
      <c r="AJ181" s="2" t="s">
        <v>1</v>
      </c>
      <c r="AK181" s="2" t="s">
        <v>1</v>
      </c>
      <c r="AL181" s="2" t="s">
        <v>1</v>
      </c>
      <c r="AM181" s="2" t="s">
        <v>1</v>
      </c>
      <c r="AN181" s="2" t="s">
        <v>1</v>
      </c>
      <c r="AO181" s="2" t="s">
        <v>8</v>
      </c>
      <c r="AP181" s="2" t="s">
        <v>8</v>
      </c>
      <c r="AQ181" s="2" t="s">
        <v>8</v>
      </c>
      <c r="AR181" s="2" t="s">
        <v>8</v>
      </c>
      <c r="AS181" s="2" t="s">
        <v>8</v>
      </c>
      <c r="AT181" s="2" t="s">
        <v>4</v>
      </c>
      <c r="AU181" s="2" t="s">
        <v>4</v>
      </c>
      <c r="AV181" s="2" t="s">
        <v>4</v>
      </c>
      <c r="AW181" s="2" t="s">
        <v>4</v>
      </c>
      <c r="AX181" s="2" t="s">
        <v>4</v>
      </c>
    </row>
    <row r="182">
      <c r="A182" s="2" t="s">
        <v>43</v>
      </c>
      <c r="B182" s="2" t="s">
        <v>44</v>
      </c>
      <c r="C182" s="2" t="s">
        <v>45</v>
      </c>
      <c r="D182" s="2" t="s">
        <v>12</v>
      </c>
      <c r="E182" s="2" t="s">
        <v>46</v>
      </c>
      <c r="F182" s="2" t="s">
        <v>19</v>
      </c>
      <c r="G182" s="2" t="s">
        <v>20</v>
      </c>
      <c r="H182" s="2" t="s">
        <v>21</v>
      </c>
      <c r="I182" s="2" t="s">
        <v>22</v>
      </c>
      <c r="J182" s="2" t="s">
        <v>23</v>
      </c>
      <c r="K182" s="2" t="s">
        <v>50</v>
      </c>
      <c r="L182" s="2" t="s">
        <v>51</v>
      </c>
      <c r="M182" s="2" t="s">
        <v>21</v>
      </c>
      <c r="N182" s="2" t="s">
        <v>52</v>
      </c>
      <c r="P182" s="2" t="s">
        <v>33</v>
      </c>
      <c r="Q182" s="2" t="s">
        <v>34</v>
      </c>
      <c r="R182" s="2" t="s">
        <v>35</v>
      </c>
      <c r="S182" s="2" t="s">
        <v>36</v>
      </c>
      <c r="T182" s="2" t="s">
        <v>37</v>
      </c>
      <c r="U182" s="2" t="s">
        <v>38</v>
      </c>
      <c r="V182" s="2" t="s">
        <v>39</v>
      </c>
      <c r="W182" s="2" t="s">
        <v>40</v>
      </c>
      <c r="X182" s="2" t="s">
        <v>41</v>
      </c>
      <c r="Y182" s="2" t="s">
        <v>42</v>
      </c>
      <c r="Z182" s="2" t="s">
        <v>24</v>
      </c>
      <c r="AA182" s="2" t="s">
        <v>25</v>
      </c>
      <c r="AB182" s="2" t="s">
        <v>26</v>
      </c>
      <c r="AC182" s="2" t="s">
        <v>27</v>
      </c>
      <c r="AD182" s="2" t="s">
        <v>28</v>
      </c>
      <c r="AE182" s="2" t="s">
        <v>47</v>
      </c>
      <c r="AF182" s="2" t="s">
        <v>48</v>
      </c>
      <c r="AG182" s="2" t="s">
        <v>49</v>
      </c>
      <c r="AJ182" s="2" t="s">
        <v>12</v>
      </c>
      <c r="AK182" s="2" t="s">
        <v>13</v>
      </c>
      <c r="AO182" s="7" t="s">
        <v>29</v>
      </c>
      <c r="AP182" s="7" t="s">
        <v>30</v>
      </c>
      <c r="AQ182" s="7" t="s">
        <v>31</v>
      </c>
      <c r="AR182" s="7" t="s">
        <v>32</v>
      </c>
      <c r="AT182" s="7" t="s">
        <v>14</v>
      </c>
      <c r="AU182" s="7" t="s">
        <v>15</v>
      </c>
      <c r="AV182" s="7" t="s">
        <v>16</v>
      </c>
      <c r="AW182" s="7" t="s">
        <v>17</v>
      </c>
      <c r="AX182" s="7" t="s">
        <v>18</v>
      </c>
    </row>
    <row r="183">
      <c r="A183" s="2" t="b">
        <v>1</v>
      </c>
      <c r="B183" s="2" t="b">
        <v>1</v>
      </c>
      <c r="C183" s="2" t="b">
        <v>1</v>
      </c>
      <c r="D183" s="2" t="b">
        <v>1</v>
      </c>
      <c r="E183" s="2" t="b">
        <v>1</v>
      </c>
      <c r="F183" s="2" t="b">
        <v>1</v>
      </c>
      <c r="G183" s="2" t="b">
        <v>1</v>
      </c>
      <c r="H183" s="2" t="b">
        <v>1</v>
      </c>
      <c r="I183" s="2" t="b">
        <v>1</v>
      </c>
      <c r="J183" s="2" t="b">
        <v>1</v>
      </c>
      <c r="K183" s="2" t="b">
        <v>1</v>
      </c>
      <c r="L183" s="2" t="b">
        <v>1</v>
      </c>
      <c r="M183" s="2" t="b">
        <v>1</v>
      </c>
      <c r="N183" s="2" t="b">
        <v>1</v>
      </c>
      <c r="O183" s="2" t="b">
        <v>0</v>
      </c>
      <c r="P183" s="2" t="b">
        <v>1</v>
      </c>
      <c r="Q183" s="2" t="b">
        <v>1</v>
      </c>
      <c r="R183" s="2" t="b">
        <v>1</v>
      </c>
      <c r="S183" s="2" t="b">
        <v>1</v>
      </c>
      <c r="T183" s="2" t="b">
        <v>0</v>
      </c>
      <c r="U183" s="2" t="b">
        <v>1</v>
      </c>
      <c r="V183" s="2" t="b">
        <v>1</v>
      </c>
      <c r="W183" s="2" t="b">
        <v>1</v>
      </c>
      <c r="X183" s="2" t="b">
        <v>1</v>
      </c>
      <c r="Y183" s="2" t="b">
        <v>1</v>
      </c>
      <c r="Z183" s="2" t="b">
        <v>1</v>
      </c>
      <c r="AA183" s="2" t="b">
        <v>1</v>
      </c>
      <c r="AB183" s="2" t="b">
        <v>1</v>
      </c>
      <c r="AC183" s="2" t="b">
        <v>1</v>
      </c>
      <c r="AD183" s="2" t="b">
        <v>1</v>
      </c>
      <c r="AE183" s="2" t="b">
        <v>1</v>
      </c>
      <c r="AF183" s="2" t="b">
        <v>1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1</v>
      </c>
      <c r="AL183" s="2" t="b">
        <v>0</v>
      </c>
      <c r="AM183" s="2" t="b">
        <v>0</v>
      </c>
      <c r="AN183" s="2" t="b">
        <v>0</v>
      </c>
      <c r="AO183" s="2" t="b">
        <v>0</v>
      </c>
      <c r="AP183" s="2" t="b">
        <v>0</v>
      </c>
      <c r="AQ183" s="2" t="b">
        <v>0</v>
      </c>
      <c r="AR183" s="2" t="b">
        <v>0</v>
      </c>
      <c r="AS183" s="2" t="b">
        <v>0</v>
      </c>
      <c r="AT183" s="2" t="b">
        <v>0</v>
      </c>
      <c r="AU183" s="2" t="b">
        <v>0</v>
      </c>
      <c r="AV183" s="2" t="b">
        <v>0</v>
      </c>
      <c r="AW183" s="2" t="b">
        <v>0</v>
      </c>
      <c r="AX183" s="2" t="b">
        <v>0</v>
      </c>
    </row>
    <row r="184">
      <c r="H184" s="2">
        <v>4.0</v>
      </c>
      <c r="N184" s="2">
        <v>4.0</v>
      </c>
      <c r="O184" s="2">
        <v>0.0</v>
      </c>
      <c r="T184" s="2">
        <v>0.0</v>
      </c>
      <c r="AF184" s="2">
        <v>4.0</v>
      </c>
      <c r="AH184" s="2">
        <v>0.0</v>
      </c>
      <c r="AI184" s="2">
        <v>0.0</v>
      </c>
      <c r="AL184" s="2">
        <v>0.0</v>
      </c>
      <c r="AM184" s="2">
        <v>0.0</v>
      </c>
      <c r="AN184" s="2">
        <v>0.0</v>
      </c>
    </row>
    <row r="185">
      <c r="F185" s="2">
        <v>4.0</v>
      </c>
      <c r="O185" s="2">
        <v>0.0</v>
      </c>
      <c r="T185" s="2">
        <v>0.0</v>
      </c>
      <c r="AH185" s="2">
        <v>0.0</v>
      </c>
      <c r="AI185" s="2">
        <v>0.0</v>
      </c>
      <c r="AL185" s="2">
        <v>0.0</v>
      </c>
      <c r="AM185" s="2">
        <v>0.0</v>
      </c>
      <c r="AN185" s="2">
        <v>0.0</v>
      </c>
    </row>
    <row r="186">
      <c r="O186" s="2">
        <v>0.0</v>
      </c>
      <c r="T186" s="2">
        <v>0.0</v>
      </c>
      <c r="V186" s="2">
        <v>0.0</v>
      </c>
      <c r="AB186" s="2">
        <v>0.0</v>
      </c>
      <c r="AH186" s="2">
        <v>0.0</v>
      </c>
      <c r="AI186" s="2">
        <v>0.0</v>
      </c>
      <c r="AL186" s="2">
        <v>0.0</v>
      </c>
      <c r="AM186" s="2">
        <v>0.0</v>
      </c>
      <c r="AN186" s="2">
        <v>0.0</v>
      </c>
    </row>
    <row r="187">
      <c r="B187" s="2">
        <v>-4.0</v>
      </c>
      <c r="N187" s="2">
        <v>4.0</v>
      </c>
      <c r="O187" s="2">
        <v>0.0</v>
      </c>
      <c r="T187" s="2">
        <v>0.0</v>
      </c>
      <c r="Y187" s="2">
        <v>0.0</v>
      </c>
      <c r="AB187" s="2">
        <v>0.0</v>
      </c>
      <c r="AH187" s="2">
        <v>0.0</v>
      </c>
      <c r="AI187" s="2">
        <v>0.0</v>
      </c>
      <c r="AL187" s="2">
        <v>0.0</v>
      </c>
      <c r="AM187" s="2">
        <v>0.0</v>
      </c>
      <c r="AN187" s="2">
        <v>0.0</v>
      </c>
    </row>
    <row r="188">
      <c r="O188" s="2">
        <v>0.0</v>
      </c>
      <c r="T188" s="2">
        <v>0.0</v>
      </c>
      <c r="AH188" s="2">
        <v>0.0</v>
      </c>
      <c r="AI188" s="2">
        <v>0.0</v>
      </c>
      <c r="AL188" s="2">
        <v>0.0</v>
      </c>
      <c r="AM188" s="2">
        <v>0.0</v>
      </c>
      <c r="AN188" s="2">
        <v>0.0</v>
      </c>
    </row>
    <row r="189">
      <c r="O189" s="2">
        <v>0.0</v>
      </c>
      <c r="T189" s="2">
        <v>0.0</v>
      </c>
      <c r="AG189" s="2">
        <v>4.0</v>
      </c>
      <c r="AH189" s="2">
        <v>0.0</v>
      </c>
      <c r="AI189" s="2">
        <v>0.0</v>
      </c>
      <c r="AL189" s="2">
        <v>0.0</v>
      </c>
      <c r="AM189" s="2">
        <v>0.0</v>
      </c>
      <c r="AN189" s="2">
        <v>0.0</v>
      </c>
    </row>
    <row r="190">
      <c r="A190" s="2">
        <v>4.0</v>
      </c>
      <c r="M190" s="2">
        <v>4.0</v>
      </c>
      <c r="O190" s="2">
        <v>0.0</v>
      </c>
      <c r="T190" s="2">
        <v>0.0</v>
      </c>
      <c r="W190" s="2">
        <v>0.0</v>
      </c>
      <c r="AB190" s="2">
        <v>0.0</v>
      </c>
      <c r="AH190" s="2">
        <v>0.0</v>
      </c>
      <c r="AI190" s="2">
        <v>0.0</v>
      </c>
      <c r="AL190" s="2">
        <v>0.0</v>
      </c>
      <c r="AM190" s="2">
        <v>0.0</v>
      </c>
      <c r="AN190" s="2">
        <v>0.0</v>
      </c>
    </row>
    <row r="191">
      <c r="F191" s="2">
        <v>4.0</v>
      </c>
      <c r="L191" s="2">
        <v>4.0</v>
      </c>
      <c r="O191" s="2">
        <v>0.0</v>
      </c>
      <c r="T191" s="2">
        <v>0.0</v>
      </c>
      <c r="W191" s="2">
        <v>0.0</v>
      </c>
      <c r="AC191" s="2">
        <v>0.0</v>
      </c>
      <c r="AH191" s="2">
        <v>0.0</v>
      </c>
      <c r="AI191" s="2">
        <v>0.0</v>
      </c>
      <c r="AL191" s="2">
        <v>0.0</v>
      </c>
      <c r="AM191" s="2">
        <v>0.0</v>
      </c>
      <c r="AN191" s="2">
        <v>0.0</v>
      </c>
    </row>
    <row r="192">
      <c r="A192" s="2">
        <v>4.0</v>
      </c>
      <c r="O192" s="2">
        <v>0.0</v>
      </c>
      <c r="T192" s="2">
        <v>0.0</v>
      </c>
      <c r="W192" s="2">
        <v>0.0</v>
      </c>
      <c r="AB192" s="2">
        <v>0.0</v>
      </c>
      <c r="AH192" s="2">
        <v>0.0</v>
      </c>
      <c r="AI192" s="2">
        <v>0.0</v>
      </c>
      <c r="AL192" s="2">
        <v>0.0</v>
      </c>
      <c r="AM192" s="2">
        <v>0.0</v>
      </c>
      <c r="AN192" s="2">
        <v>0.0</v>
      </c>
    </row>
    <row r="193">
      <c r="N193" s="2">
        <v>4.0</v>
      </c>
      <c r="O193" s="2">
        <v>0.0</v>
      </c>
      <c r="T193" s="2">
        <v>0.0</v>
      </c>
      <c r="U193" s="2">
        <v>0.0</v>
      </c>
      <c r="Z193" s="2">
        <v>0.0</v>
      </c>
      <c r="AH193" s="2">
        <v>0.0</v>
      </c>
      <c r="AI193" s="2">
        <v>0.0</v>
      </c>
      <c r="AL193" s="2">
        <v>0.0</v>
      </c>
      <c r="AM193" s="2">
        <v>0.0</v>
      </c>
      <c r="AN193" s="2">
        <v>0.0</v>
      </c>
    </row>
    <row r="194">
      <c r="N194" s="2">
        <v>4.0</v>
      </c>
      <c r="O194" s="2">
        <v>0.0</v>
      </c>
      <c r="T194" s="2">
        <v>0.0</v>
      </c>
      <c r="W194" s="2">
        <v>0.0</v>
      </c>
      <c r="AA194" s="2">
        <v>0.0</v>
      </c>
      <c r="AH194" s="2">
        <v>0.0</v>
      </c>
      <c r="AI194" s="2">
        <v>0.0</v>
      </c>
      <c r="AL194" s="2">
        <v>0.0</v>
      </c>
      <c r="AM194" s="2">
        <v>0.0</v>
      </c>
      <c r="AN194" s="2">
        <v>0.0</v>
      </c>
    </row>
    <row r="195">
      <c r="G195" s="2">
        <v>4.0</v>
      </c>
      <c r="O195" s="2">
        <v>0.0</v>
      </c>
      <c r="T195" s="2">
        <v>0.0</v>
      </c>
      <c r="V195" s="2">
        <v>0.0</v>
      </c>
      <c r="AB195" s="2">
        <v>0.0</v>
      </c>
      <c r="AF195" s="2">
        <v>-4.0</v>
      </c>
      <c r="AH195" s="2">
        <v>0.0</v>
      </c>
      <c r="AI195" s="2">
        <v>0.0</v>
      </c>
      <c r="AL195" s="2">
        <v>0.0</v>
      </c>
      <c r="AM195" s="2">
        <v>0.0</v>
      </c>
      <c r="AN195" s="2">
        <v>0.0</v>
      </c>
    </row>
    <row r="196">
      <c r="A196" s="2" t="b">
        <v>1</v>
      </c>
      <c r="B196" s="2" t="b">
        <v>1</v>
      </c>
      <c r="C196" s="2" t="b">
        <v>1</v>
      </c>
      <c r="D196" s="2" t="b">
        <v>1</v>
      </c>
      <c r="E196" s="2" t="b">
        <v>1</v>
      </c>
      <c r="F196" s="2" t="b">
        <v>1</v>
      </c>
      <c r="G196" s="2" t="b">
        <v>1</v>
      </c>
      <c r="H196" s="2" t="b">
        <v>1</v>
      </c>
      <c r="I196" s="2" t="b">
        <v>1</v>
      </c>
      <c r="J196" s="2" t="b">
        <v>1</v>
      </c>
      <c r="K196" s="2" t="b">
        <v>1</v>
      </c>
      <c r="L196" s="2" t="b">
        <v>1</v>
      </c>
      <c r="M196" s="2" t="b">
        <v>1</v>
      </c>
      <c r="N196" s="2" t="b">
        <v>1</v>
      </c>
      <c r="O196" s="2" t="b">
        <v>0</v>
      </c>
      <c r="P196" s="2" t="b">
        <v>1</v>
      </c>
      <c r="Q196" s="2" t="b">
        <v>1</v>
      </c>
      <c r="R196" s="2" t="b">
        <v>1</v>
      </c>
      <c r="S196" s="2" t="b">
        <v>1</v>
      </c>
      <c r="T196" s="2" t="b">
        <v>0</v>
      </c>
      <c r="U196" s="2" t="b">
        <v>1</v>
      </c>
      <c r="V196" s="2" t="b">
        <v>1</v>
      </c>
      <c r="W196" s="2" t="b">
        <v>1</v>
      </c>
      <c r="X196" s="2" t="b">
        <v>1</v>
      </c>
      <c r="Y196" s="2" t="b">
        <v>1</v>
      </c>
      <c r="Z196" s="2" t="b">
        <v>1</v>
      </c>
      <c r="AA196" s="2" t="b">
        <v>1</v>
      </c>
      <c r="AB196" s="2" t="b">
        <v>1</v>
      </c>
      <c r="AC196" s="2" t="b">
        <v>1</v>
      </c>
      <c r="AD196" s="2" t="b">
        <v>1</v>
      </c>
      <c r="AE196" s="2" t="b">
        <v>1</v>
      </c>
      <c r="AF196" s="2" t="b">
        <v>1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1</v>
      </c>
      <c r="AL196" s="2" t="b">
        <v>0</v>
      </c>
      <c r="AM196" s="2" t="b">
        <v>0</v>
      </c>
      <c r="AN196" s="2" t="b">
        <v>0</v>
      </c>
      <c r="AO196" s="2" t="b">
        <v>0</v>
      </c>
      <c r="AP196" s="2" t="b">
        <v>0</v>
      </c>
      <c r="AQ196" s="2" t="b">
        <v>0</v>
      </c>
      <c r="AR196" s="2" t="b">
        <v>0</v>
      </c>
      <c r="AS196" s="2" t="b">
        <v>0</v>
      </c>
      <c r="AT196" s="2" t="b">
        <v>0</v>
      </c>
      <c r="AU196" s="2" t="b">
        <v>0</v>
      </c>
      <c r="AV196" s="2" t="b">
        <v>0</v>
      </c>
      <c r="AW196" s="2" t="b">
        <v>0</v>
      </c>
      <c r="AX196" s="2" t="b">
        <v>0</v>
      </c>
    </row>
    <row r="197">
      <c r="J197" s="2">
        <v>4.0</v>
      </c>
      <c r="N197" s="2">
        <v>4.0</v>
      </c>
      <c r="O197" s="2">
        <v>0.0</v>
      </c>
      <c r="T197" s="2">
        <v>0.0</v>
      </c>
      <c r="X197" s="2">
        <v>4.0</v>
      </c>
      <c r="AH197" s="2">
        <v>0.0</v>
      </c>
      <c r="AI197" s="2">
        <v>0.0</v>
      </c>
      <c r="AK197" s="2">
        <v>4.0</v>
      </c>
      <c r="AL197" s="2">
        <v>0.0</v>
      </c>
      <c r="AM197" s="2">
        <v>0.0</v>
      </c>
      <c r="AN197" s="2">
        <v>0.0</v>
      </c>
    </row>
    <row r="198">
      <c r="L198" s="2">
        <v>4.0</v>
      </c>
      <c r="O198" s="2">
        <v>0.0</v>
      </c>
      <c r="T198" s="2">
        <v>0.0</v>
      </c>
      <c r="Y198" s="2">
        <v>0.0</v>
      </c>
      <c r="AA198" s="2">
        <v>0.0</v>
      </c>
      <c r="AH198" s="2">
        <v>0.0</v>
      </c>
      <c r="AI198" s="2">
        <v>0.0</v>
      </c>
      <c r="AL198" s="2">
        <v>0.0</v>
      </c>
      <c r="AM198" s="2">
        <v>0.0</v>
      </c>
      <c r="AN198" s="2">
        <v>0.0</v>
      </c>
    </row>
    <row r="199">
      <c r="O199" s="2">
        <v>0.0</v>
      </c>
      <c r="T199" s="2">
        <v>0.0</v>
      </c>
      <c r="W199" s="2">
        <v>4.0</v>
      </c>
      <c r="AG199" s="2">
        <v>4.0</v>
      </c>
      <c r="AH199" s="2">
        <v>0.0</v>
      </c>
      <c r="AI199" s="2">
        <v>0.0</v>
      </c>
      <c r="AL199" s="2">
        <v>0.0</v>
      </c>
      <c r="AM199" s="2">
        <v>0.0</v>
      </c>
      <c r="AN199" s="2">
        <v>0.0</v>
      </c>
    </row>
    <row r="200">
      <c r="B200" s="2">
        <v>4.0</v>
      </c>
      <c r="N200" s="2">
        <v>4.0</v>
      </c>
      <c r="O200" s="2">
        <v>0.0</v>
      </c>
      <c r="T200" s="2">
        <v>0.0</v>
      </c>
      <c r="AA200" s="2">
        <v>4.0</v>
      </c>
      <c r="AH200" s="2">
        <v>0.0</v>
      </c>
      <c r="AI200" s="2">
        <v>0.0</v>
      </c>
      <c r="AL200" s="2">
        <v>0.0</v>
      </c>
      <c r="AM200" s="2">
        <v>0.0</v>
      </c>
      <c r="AN200" s="2">
        <v>0.0</v>
      </c>
    </row>
    <row r="201">
      <c r="O201" s="2">
        <v>0.0</v>
      </c>
      <c r="T201" s="2">
        <v>0.0</v>
      </c>
      <c r="Y201" s="2">
        <v>0.0</v>
      </c>
      <c r="AB201" s="2">
        <v>0.0</v>
      </c>
      <c r="AF201" s="2">
        <v>4.0</v>
      </c>
      <c r="AH201" s="2">
        <v>0.0</v>
      </c>
      <c r="AI201" s="2">
        <v>0.0</v>
      </c>
      <c r="AL201" s="2">
        <v>0.0</v>
      </c>
      <c r="AM201" s="2">
        <v>0.0</v>
      </c>
      <c r="AN201" s="2">
        <v>0.0</v>
      </c>
    </row>
    <row r="202">
      <c r="G202" s="2">
        <v>4.0</v>
      </c>
      <c r="N202" s="2">
        <v>4.0</v>
      </c>
      <c r="O202" s="2">
        <v>0.0</v>
      </c>
      <c r="T202" s="2">
        <v>0.0</v>
      </c>
      <c r="V202" s="2">
        <v>0.0</v>
      </c>
      <c r="AA202" s="2">
        <v>0.0</v>
      </c>
      <c r="AH202" s="2">
        <v>0.0</v>
      </c>
      <c r="AI202" s="2">
        <v>0.0</v>
      </c>
      <c r="AL202" s="2">
        <v>0.0</v>
      </c>
      <c r="AM202" s="2">
        <v>0.0</v>
      </c>
      <c r="AN202" s="2">
        <v>0.0</v>
      </c>
    </row>
    <row r="203">
      <c r="A203" s="2">
        <v>4.0</v>
      </c>
      <c r="O203" s="2">
        <v>0.0</v>
      </c>
      <c r="T203" s="2">
        <v>0.0</v>
      </c>
      <c r="AG203" s="2">
        <v>4.0</v>
      </c>
      <c r="AH203" s="2">
        <v>0.0</v>
      </c>
      <c r="AI203" s="2">
        <v>0.0</v>
      </c>
      <c r="AL203" s="2">
        <v>0.0</v>
      </c>
      <c r="AM203" s="2">
        <v>0.0</v>
      </c>
      <c r="AN203" s="2">
        <v>0.0</v>
      </c>
    </row>
    <row r="204">
      <c r="A204" s="2">
        <v>4.0</v>
      </c>
      <c r="L204" s="2">
        <v>4.0</v>
      </c>
      <c r="O204" s="2">
        <v>0.0</v>
      </c>
      <c r="T204" s="2">
        <v>0.0</v>
      </c>
      <c r="V204" s="2">
        <v>0.0</v>
      </c>
      <c r="AC204" s="2">
        <v>0.0</v>
      </c>
      <c r="AH204" s="2">
        <v>0.0</v>
      </c>
      <c r="AI204" s="2">
        <v>0.0</v>
      </c>
      <c r="AL204" s="2">
        <v>0.0</v>
      </c>
      <c r="AM204" s="2">
        <v>0.0</v>
      </c>
      <c r="AN204" s="2">
        <v>0.0</v>
      </c>
    </row>
    <row r="205">
      <c r="I205" s="2">
        <v>4.0</v>
      </c>
      <c r="M205" s="2">
        <v>4.0</v>
      </c>
      <c r="O205" s="2">
        <v>0.0</v>
      </c>
      <c r="T205" s="2">
        <v>0.0</v>
      </c>
      <c r="AA205" s="2">
        <v>4.0</v>
      </c>
      <c r="AH205" s="2">
        <v>0.0</v>
      </c>
      <c r="AI205" s="2">
        <v>0.0</v>
      </c>
      <c r="AL205" s="2">
        <v>0.0</v>
      </c>
      <c r="AM205" s="2">
        <v>0.0</v>
      </c>
      <c r="AN205" s="2">
        <v>0.0</v>
      </c>
    </row>
    <row r="206">
      <c r="G206" s="2">
        <v>4.0</v>
      </c>
      <c r="O206" s="2">
        <v>0.0</v>
      </c>
      <c r="S206" s="2">
        <v>4.0</v>
      </c>
      <c r="T206" s="2">
        <v>0.0</v>
      </c>
      <c r="X206" s="2">
        <v>4.0</v>
      </c>
      <c r="AF206" s="2">
        <v>4.0</v>
      </c>
      <c r="AH206" s="2">
        <v>0.0</v>
      </c>
      <c r="AI206" s="2">
        <v>0.0</v>
      </c>
      <c r="AL206" s="2">
        <v>0.0</v>
      </c>
      <c r="AM206" s="2">
        <v>0.0</v>
      </c>
      <c r="AN206" s="2">
        <v>0.0</v>
      </c>
    </row>
    <row r="207">
      <c r="N207" s="2">
        <v>4.0</v>
      </c>
      <c r="O207" s="2">
        <v>0.0</v>
      </c>
      <c r="T207" s="2">
        <v>0.0</v>
      </c>
      <c r="U207" s="2">
        <v>0.0</v>
      </c>
      <c r="AC207" s="2">
        <v>0.0</v>
      </c>
      <c r="AE207" s="2">
        <v>4.0</v>
      </c>
      <c r="AH207" s="2">
        <v>0.0</v>
      </c>
      <c r="AI207" s="2">
        <v>0.0</v>
      </c>
      <c r="AL207" s="2">
        <v>0.0</v>
      </c>
      <c r="AM207" s="2">
        <v>0.0</v>
      </c>
      <c r="AN207" s="2">
        <v>0.0</v>
      </c>
    </row>
    <row r="208">
      <c r="O208" s="2">
        <v>0.0</v>
      </c>
      <c r="R208" s="2">
        <v>4.0</v>
      </c>
      <c r="T208" s="2">
        <v>0.0</v>
      </c>
      <c r="Z208" s="2">
        <v>4.0</v>
      </c>
      <c r="AF208" s="2">
        <v>4.0</v>
      </c>
      <c r="AH208" s="2">
        <v>0.0</v>
      </c>
      <c r="AI208" s="2">
        <v>0.0</v>
      </c>
      <c r="AL208" s="2">
        <v>0.0</v>
      </c>
      <c r="AM208" s="2">
        <v>0.0</v>
      </c>
      <c r="AN208" s="2">
        <v>0.0</v>
      </c>
    </row>
    <row r="211">
      <c r="A211" s="2" t="s">
        <v>0</v>
      </c>
      <c r="B211" s="2" t="s">
        <v>0</v>
      </c>
      <c r="C211" s="2" t="s">
        <v>0</v>
      </c>
      <c r="D211" s="2" t="s">
        <v>0</v>
      </c>
      <c r="E211" s="2" t="s">
        <v>0</v>
      </c>
      <c r="F211" s="2" t="s">
        <v>7</v>
      </c>
      <c r="G211" s="2" t="s">
        <v>7</v>
      </c>
      <c r="H211" s="2" t="s">
        <v>7</v>
      </c>
      <c r="I211" s="2" t="s">
        <v>7</v>
      </c>
      <c r="J211" s="2" t="s">
        <v>7</v>
      </c>
      <c r="K211" s="2" t="s">
        <v>3</v>
      </c>
      <c r="L211" s="2" t="s">
        <v>3</v>
      </c>
      <c r="M211" s="2" t="s">
        <v>3</v>
      </c>
      <c r="N211" s="2" t="s">
        <v>3</v>
      </c>
      <c r="O211" s="2" t="s">
        <v>3</v>
      </c>
      <c r="P211" s="2" t="s">
        <v>2</v>
      </c>
      <c r="Q211" s="2" t="s">
        <v>2</v>
      </c>
      <c r="R211" s="2" t="s">
        <v>2</v>
      </c>
      <c r="S211" s="2" t="s">
        <v>2</v>
      </c>
      <c r="T211" s="2" t="s">
        <v>2</v>
      </c>
      <c r="U211" s="2" t="s">
        <v>1</v>
      </c>
      <c r="V211" s="2" t="s">
        <v>1</v>
      </c>
      <c r="W211" s="2" t="s">
        <v>1</v>
      </c>
      <c r="X211" s="2" t="s">
        <v>1</v>
      </c>
      <c r="Y211" s="2" t="s">
        <v>1</v>
      </c>
      <c r="Z211" s="2" t="s">
        <v>6</v>
      </c>
      <c r="AA211" s="2" t="s">
        <v>6</v>
      </c>
      <c r="AB211" s="2" t="s">
        <v>6</v>
      </c>
      <c r="AC211" s="2" t="s">
        <v>6</v>
      </c>
      <c r="AD211" s="2" t="s">
        <v>6</v>
      </c>
      <c r="AE211" s="2" t="s">
        <v>9</v>
      </c>
      <c r="AF211" s="2" t="s">
        <v>9</v>
      </c>
      <c r="AG211" s="2" t="s">
        <v>9</v>
      </c>
      <c r="AH211" s="2" t="s">
        <v>9</v>
      </c>
      <c r="AI211" s="2" t="s">
        <v>9</v>
      </c>
      <c r="AJ211" s="2" t="s">
        <v>5</v>
      </c>
      <c r="AK211" s="2" t="s">
        <v>5</v>
      </c>
      <c r="AL211" s="2" t="s">
        <v>5</v>
      </c>
      <c r="AM211" s="2" t="s">
        <v>5</v>
      </c>
      <c r="AN211" s="2" t="s">
        <v>5</v>
      </c>
      <c r="AO211" s="2" t="s">
        <v>8</v>
      </c>
      <c r="AP211" s="2" t="s">
        <v>8</v>
      </c>
      <c r="AQ211" s="2" t="s">
        <v>8</v>
      </c>
      <c r="AR211" s="2" t="s">
        <v>8</v>
      </c>
      <c r="AS211" s="2" t="s">
        <v>8</v>
      </c>
      <c r="AT211" s="2" t="s">
        <v>4</v>
      </c>
      <c r="AU211" s="2" t="s">
        <v>4</v>
      </c>
      <c r="AV211" s="2" t="s">
        <v>4</v>
      </c>
      <c r="AW211" s="2" t="s">
        <v>4</v>
      </c>
      <c r="AX211" s="2" t="s">
        <v>4</v>
      </c>
    </row>
    <row r="212">
      <c r="A212" s="2" t="s">
        <v>43</v>
      </c>
      <c r="B212" s="2" t="s">
        <v>44</v>
      </c>
      <c r="C212" s="2" t="s">
        <v>45</v>
      </c>
      <c r="D212" s="2" t="s">
        <v>12</v>
      </c>
      <c r="E212" s="2" t="s">
        <v>46</v>
      </c>
      <c r="F212" s="2" t="s">
        <v>24</v>
      </c>
      <c r="G212" s="2" t="s">
        <v>25</v>
      </c>
      <c r="H212" s="2" t="s">
        <v>26</v>
      </c>
      <c r="I212" s="2" t="s">
        <v>27</v>
      </c>
      <c r="J212" s="2" t="s">
        <v>28</v>
      </c>
      <c r="K212" s="2" t="s">
        <v>47</v>
      </c>
      <c r="L212" s="2" t="s">
        <v>48</v>
      </c>
      <c r="M212" s="2" t="s">
        <v>49</v>
      </c>
      <c r="P212" s="2" t="s">
        <v>33</v>
      </c>
      <c r="Q212" s="2" t="s">
        <v>34</v>
      </c>
      <c r="R212" s="2" t="s">
        <v>35</v>
      </c>
      <c r="S212" s="2" t="s">
        <v>36</v>
      </c>
      <c r="T212" s="2" t="s">
        <v>37</v>
      </c>
      <c r="U212" s="2" t="s">
        <v>12</v>
      </c>
      <c r="V212" s="2" t="s">
        <v>13</v>
      </c>
      <c r="Z212" s="2" t="s">
        <v>19</v>
      </c>
      <c r="AA212" s="2" t="s">
        <v>20</v>
      </c>
      <c r="AB212" s="2" t="s">
        <v>21</v>
      </c>
      <c r="AC212" s="2" t="s">
        <v>22</v>
      </c>
      <c r="AD212" s="2" t="s">
        <v>23</v>
      </c>
      <c r="AE212" s="2" t="s">
        <v>38</v>
      </c>
      <c r="AF212" s="2" t="s">
        <v>39</v>
      </c>
      <c r="AG212" s="2" t="s">
        <v>40</v>
      </c>
      <c r="AH212" s="2" t="s">
        <v>41</v>
      </c>
      <c r="AI212" s="2" t="s">
        <v>42</v>
      </c>
      <c r="AJ212" s="2" t="s">
        <v>50</v>
      </c>
      <c r="AK212" s="2" t="s">
        <v>51</v>
      </c>
      <c r="AL212" s="2" t="s">
        <v>21</v>
      </c>
      <c r="AM212" s="2" t="s">
        <v>52</v>
      </c>
      <c r="AO212" s="7" t="s">
        <v>29</v>
      </c>
      <c r="AP212" s="7" t="s">
        <v>30</v>
      </c>
      <c r="AQ212" s="7" t="s">
        <v>31</v>
      </c>
      <c r="AR212" s="7" t="s">
        <v>32</v>
      </c>
      <c r="AT212" s="7" t="s">
        <v>14</v>
      </c>
      <c r="AU212" s="7" t="s">
        <v>15</v>
      </c>
      <c r="AV212" s="7" t="s">
        <v>16</v>
      </c>
      <c r="AW212" s="7" t="s">
        <v>17</v>
      </c>
      <c r="AX212" s="7" t="s">
        <v>18</v>
      </c>
    </row>
    <row r="213">
      <c r="A213" s="2" t="b">
        <v>1</v>
      </c>
      <c r="B213" s="2" t="b">
        <v>1</v>
      </c>
      <c r="C213" s="2" t="b">
        <v>1</v>
      </c>
      <c r="D213" s="2" t="b">
        <v>1</v>
      </c>
      <c r="E213" s="2" t="b">
        <v>0</v>
      </c>
      <c r="F213" s="2" t="b">
        <v>1</v>
      </c>
      <c r="G213" s="2" t="b">
        <v>1</v>
      </c>
      <c r="H213" s="2" t="b">
        <v>1</v>
      </c>
      <c r="I213" s="2" t="b">
        <v>1</v>
      </c>
      <c r="J213" s="2" t="b">
        <v>0</v>
      </c>
      <c r="K213" s="2" t="b">
        <v>1</v>
      </c>
      <c r="L213" s="2" t="b">
        <v>1</v>
      </c>
      <c r="M213" s="2" t="b">
        <v>1</v>
      </c>
      <c r="N213" s="2" t="b">
        <v>0</v>
      </c>
      <c r="O213" s="2" t="b">
        <v>0</v>
      </c>
      <c r="P213" s="2" t="b">
        <v>1</v>
      </c>
      <c r="Q213" s="2" t="b">
        <v>1</v>
      </c>
      <c r="R213" s="2" t="b">
        <v>1</v>
      </c>
      <c r="S213" s="2" t="b">
        <v>1</v>
      </c>
      <c r="T213" s="2" t="b">
        <v>0</v>
      </c>
      <c r="U213" s="2" t="b">
        <v>0</v>
      </c>
      <c r="V213" s="2" t="b">
        <v>0</v>
      </c>
      <c r="W213" s="2" t="b">
        <v>0</v>
      </c>
      <c r="X213" s="2" t="b">
        <v>0</v>
      </c>
      <c r="Y213" s="2" t="b">
        <v>0</v>
      </c>
      <c r="Z213" s="2" t="b">
        <v>0</v>
      </c>
      <c r="AA213" s="2" t="b">
        <v>0</v>
      </c>
      <c r="AB213" s="2" t="b">
        <v>0</v>
      </c>
      <c r="AC213" s="2" t="b">
        <v>0</v>
      </c>
      <c r="AD213" s="2" t="b">
        <v>0</v>
      </c>
      <c r="AE213" s="2" t="b">
        <v>0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  <c r="AL213" s="2" t="b">
        <v>0</v>
      </c>
      <c r="AM213" s="2" t="b">
        <v>0</v>
      </c>
      <c r="AN213" s="2" t="b">
        <v>0</v>
      </c>
      <c r="AO213" s="2" t="b">
        <v>0</v>
      </c>
      <c r="AP213" s="2" t="b">
        <v>0</v>
      </c>
      <c r="AQ213" s="2" t="b">
        <v>0</v>
      </c>
      <c r="AR213" s="2" t="b">
        <v>0</v>
      </c>
      <c r="AS213" s="2" t="b">
        <v>0</v>
      </c>
      <c r="AT213" s="2" t="b">
        <v>0</v>
      </c>
      <c r="AU213" s="2" t="b">
        <v>0</v>
      </c>
      <c r="AV213" s="2" t="b">
        <v>0</v>
      </c>
      <c r="AW213" s="2" t="b">
        <v>0</v>
      </c>
      <c r="AX213" s="2" t="b">
        <v>0</v>
      </c>
    </row>
    <row r="214">
      <c r="E214" s="2">
        <v>0.0</v>
      </c>
      <c r="J214" s="2">
        <v>0.0</v>
      </c>
      <c r="M214" s="2">
        <v>0.0</v>
      </c>
      <c r="N214" s="2">
        <v>0.0</v>
      </c>
      <c r="O214" s="2">
        <v>0.0</v>
      </c>
      <c r="Q214" s="2">
        <v>0.0</v>
      </c>
      <c r="T214" s="2">
        <v>0.0</v>
      </c>
    </row>
    <row r="215">
      <c r="C215" s="2">
        <v>4.0</v>
      </c>
      <c r="E215" s="2">
        <v>0.0</v>
      </c>
      <c r="I215" s="2">
        <v>-4.0</v>
      </c>
      <c r="J215" s="2">
        <v>0.0</v>
      </c>
      <c r="M215" s="2">
        <v>4.0</v>
      </c>
      <c r="N215" s="2">
        <v>0.0</v>
      </c>
      <c r="O215" s="2">
        <v>0.0</v>
      </c>
      <c r="T215" s="2">
        <v>0.0</v>
      </c>
    </row>
    <row r="216">
      <c r="D216" s="2">
        <v>4.0</v>
      </c>
      <c r="E216" s="2">
        <v>0.0</v>
      </c>
      <c r="J216" s="2">
        <v>0.0</v>
      </c>
      <c r="M216" s="2">
        <v>0.0</v>
      </c>
      <c r="N216" s="2">
        <v>0.0</v>
      </c>
      <c r="O216" s="2">
        <v>0.0</v>
      </c>
      <c r="R216" s="2">
        <v>0.0</v>
      </c>
      <c r="T216" s="2">
        <v>0.0</v>
      </c>
    </row>
    <row r="217">
      <c r="E217" s="2">
        <v>0.0</v>
      </c>
      <c r="F217" s="2">
        <v>4.0</v>
      </c>
      <c r="J217" s="2">
        <v>0.0</v>
      </c>
      <c r="L217" s="2">
        <v>0.0</v>
      </c>
      <c r="N217" s="2">
        <v>0.0</v>
      </c>
      <c r="O217" s="2">
        <v>0.0</v>
      </c>
      <c r="Q217" s="2">
        <v>0.0</v>
      </c>
      <c r="T217" s="2">
        <v>0.0</v>
      </c>
    </row>
    <row r="218">
      <c r="E218" s="2">
        <v>0.0</v>
      </c>
      <c r="J218" s="2">
        <v>0.0</v>
      </c>
      <c r="L218" s="2">
        <v>4.0</v>
      </c>
      <c r="N218" s="2">
        <v>0.0</v>
      </c>
      <c r="O218" s="2">
        <v>0.0</v>
      </c>
      <c r="R218" s="2">
        <v>0.0</v>
      </c>
      <c r="T218" s="2">
        <v>0.0</v>
      </c>
    </row>
    <row r="219">
      <c r="E219" s="2">
        <v>0.0</v>
      </c>
      <c r="J219" s="2">
        <v>0.0</v>
      </c>
      <c r="N219" s="2">
        <v>0.0</v>
      </c>
      <c r="O219" s="2">
        <v>0.0</v>
      </c>
      <c r="R219" s="2">
        <v>4.0</v>
      </c>
      <c r="T219" s="2">
        <v>0.0</v>
      </c>
    </row>
    <row r="220">
      <c r="E220" s="2">
        <v>0.0</v>
      </c>
      <c r="J220" s="2">
        <v>0.0</v>
      </c>
      <c r="N220" s="2">
        <v>0.0</v>
      </c>
      <c r="O220" s="2">
        <v>0.0</v>
      </c>
      <c r="R220" s="2">
        <v>4.0</v>
      </c>
      <c r="T220" s="2">
        <v>0.0</v>
      </c>
    </row>
    <row r="221">
      <c r="E221" s="2">
        <v>0.0</v>
      </c>
      <c r="J221" s="2">
        <v>0.0</v>
      </c>
      <c r="N221" s="2">
        <v>0.0</v>
      </c>
      <c r="O221" s="2">
        <v>0.0</v>
      </c>
      <c r="T221" s="2">
        <v>0.0</v>
      </c>
    </row>
    <row r="222">
      <c r="A222" s="2">
        <v>4.0</v>
      </c>
      <c r="E222" s="2">
        <v>0.0</v>
      </c>
      <c r="J222" s="2">
        <v>0.0</v>
      </c>
      <c r="N222" s="2">
        <v>0.0</v>
      </c>
      <c r="O222" s="2">
        <v>0.0</v>
      </c>
      <c r="R222" s="2">
        <v>4.0</v>
      </c>
      <c r="T222" s="2">
        <v>0.0</v>
      </c>
    </row>
    <row r="223">
      <c r="E223" s="2">
        <v>0.0</v>
      </c>
      <c r="J223" s="2">
        <v>0.0</v>
      </c>
      <c r="L223" s="2">
        <v>0.0</v>
      </c>
      <c r="N223" s="2">
        <v>0.0</v>
      </c>
      <c r="O223" s="2">
        <v>0.0</v>
      </c>
      <c r="R223" s="2">
        <v>0.0</v>
      </c>
      <c r="T223" s="2">
        <v>0.0</v>
      </c>
    </row>
    <row r="224">
      <c r="D224" s="2">
        <v>4.0</v>
      </c>
      <c r="E224" s="2">
        <v>0.0</v>
      </c>
      <c r="J224" s="2">
        <v>0.0</v>
      </c>
      <c r="L224" s="2">
        <v>4.0</v>
      </c>
      <c r="N224" s="2">
        <v>0.0</v>
      </c>
      <c r="O224" s="2">
        <v>0.0</v>
      </c>
      <c r="R224" s="2">
        <v>0.0</v>
      </c>
      <c r="T224" s="2">
        <v>0.0</v>
      </c>
    </row>
    <row r="225">
      <c r="D225" s="2">
        <v>4.0</v>
      </c>
      <c r="E225" s="2">
        <v>0.0</v>
      </c>
      <c r="J225" s="2">
        <v>0.0</v>
      </c>
      <c r="L225" s="2">
        <v>4.0</v>
      </c>
      <c r="N225" s="2">
        <v>0.0</v>
      </c>
      <c r="O225" s="2">
        <v>0.0</v>
      </c>
      <c r="T225" s="2">
        <v>0.0</v>
      </c>
    </row>
    <row r="226">
      <c r="A226" s="2" t="b">
        <v>1</v>
      </c>
      <c r="B226" s="2" t="b">
        <v>1</v>
      </c>
      <c r="C226" s="2" t="b">
        <v>1</v>
      </c>
      <c r="D226" s="2" t="b">
        <v>1</v>
      </c>
      <c r="E226" s="2" t="b">
        <v>0</v>
      </c>
      <c r="F226" s="2" t="b">
        <v>1</v>
      </c>
      <c r="G226" s="2" t="b">
        <v>1</v>
      </c>
      <c r="H226" s="2" t="b">
        <v>1</v>
      </c>
      <c r="I226" s="2" t="b">
        <v>1</v>
      </c>
      <c r="J226" s="2" t="b">
        <v>0</v>
      </c>
      <c r="K226" s="2" t="b">
        <v>1</v>
      </c>
      <c r="L226" s="2" t="b">
        <v>1</v>
      </c>
      <c r="M226" s="2" t="b">
        <v>1</v>
      </c>
      <c r="N226" s="2" t="b">
        <v>0</v>
      </c>
      <c r="O226" s="2" t="b">
        <v>0</v>
      </c>
      <c r="P226" s="2" t="b">
        <v>1</v>
      </c>
      <c r="Q226" s="2" t="b">
        <v>1</v>
      </c>
      <c r="R226" s="2" t="b">
        <v>1</v>
      </c>
      <c r="S226" s="2" t="b">
        <v>1</v>
      </c>
      <c r="T226" s="2" t="b">
        <v>0</v>
      </c>
      <c r="U226" s="2" t="b">
        <v>0</v>
      </c>
      <c r="V226" s="2" t="b">
        <v>0</v>
      </c>
      <c r="W226" s="2" t="b">
        <v>0</v>
      </c>
      <c r="X226" s="2" t="b">
        <v>0</v>
      </c>
      <c r="Y226" s="2" t="b">
        <v>0</v>
      </c>
      <c r="Z226" s="2" t="b">
        <v>0</v>
      </c>
      <c r="AA226" s="2" t="b">
        <v>0</v>
      </c>
      <c r="AB226" s="2" t="b">
        <v>0</v>
      </c>
      <c r="AC226" s="2" t="b">
        <v>0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  <c r="AL226" s="2" t="b">
        <v>0</v>
      </c>
      <c r="AM226" s="2" t="b">
        <v>0</v>
      </c>
      <c r="AN226" s="2" t="b">
        <v>0</v>
      </c>
      <c r="AO226" s="2" t="b">
        <v>0</v>
      </c>
      <c r="AP226" s="2" t="b">
        <v>0</v>
      </c>
      <c r="AQ226" s="2" t="b">
        <v>0</v>
      </c>
      <c r="AR226" s="2" t="b">
        <v>0</v>
      </c>
      <c r="AS226" s="2" t="b">
        <v>0</v>
      </c>
      <c r="AT226" s="2" t="b">
        <v>0</v>
      </c>
      <c r="AU226" s="2" t="b">
        <v>0</v>
      </c>
      <c r="AV226" s="2" t="b">
        <v>0</v>
      </c>
      <c r="AW226" s="2" t="b">
        <v>0</v>
      </c>
      <c r="AX226" s="2" t="b">
        <v>0</v>
      </c>
    </row>
    <row r="227">
      <c r="E227" s="2">
        <v>0.0</v>
      </c>
      <c r="F227" s="2">
        <v>4.0</v>
      </c>
      <c r="J227" s="2">
        <v>0.0</v>
      </c>
      <c r="N227" s="2">
        <v>0.0</v>
      </c>
      <c r="O227" s="2">
        <v>0.0</v>
      </c>
      <c r="R227" s="2">
        <v>4.0</v>
      </c>
      <c r="T227" s="2">
        <v>0.0</v>
      </c>
    </row>
    <row r="228">
      <c r="C228" s="2">
        <v>4.0</v>
      </c>
      <c r="E228" s="2">
        <v>0.0</v>
      </c>
      <c r="J228" s="2">
        <v>0.0</v>
      </c>
      <c r="N228" s="2">
        <v>0.0</v>
      </c>
      <c r="O228" s="2">
        <v>0.0</v>
      </c>
      <c r="R228" s="2">
        <v>-4.0</v>
      </c>
      <c r="T228" s="2">
        <v>0.0</v>
      </c>
    </row>
    <row r="229">
      <c r="E229" s="2">
        <v>0.0</v>
      </c>
      <c r="J229" s="2">
        <v>0.0</v>
      </c>
      <c r="L229" s="2">
        <v>0.0</v>
      </c>
      <c r="N229" s="2">
        <v>0.0</v>
      </c>
      <c r="O229" s="2">
        <v>0.0</v>
      </c>
      <c r="R229" s="2">
        <v>0.0</v>
      </c>
      <c r="T229" s="2">
        <v>0.0</v>
      </c>
    </row>
    <row r="230">
      <c r="A230" s="2">
        <v>4.0</v>
      </c>
      <c r="E230" s="2">
        <v>0.0</v>
      </c>
      <c r="J230" s="2">
        <v>0.0</v>
      </c>
      <c r="N230" s="2">
        <v>0.0</v>
      </c>
      <c r="O230" s="2">
        <v>0.0</v>
      </c>
      <c r="Q230" s="2">
        <v>4.0</v>
      </c>
      <c r="T230" s="2">
        <v>0.0</v>
      </c>
    </row>
    <row r="231">
      <c r="A231" s="2">
        <v>4.0</v>
      </c>
      <c r="E231" s="2">
        <v>0.0</v>
      </c>
      <c r="J231" s="2">
        <v>0.0</v>
      </c>
      <c r="L231" s="2">
        <v>0.0</v>
      </c>
      <c r="N231" s="2">
        <v>0.0</v>
      </c>
      <c r="O231" s="2">
        <v>0.0</v>
      </c>
      <c r="P231" s="2">
        <v>0.0</v>
      </c>
      <c r="T231" s="2">
        <v>0.0</v>
      </c>
    </row>
    <row r="232">
      <c r="A232" s="2">
        <v>4.0</v>
      </c>
      <c r="E232" s="2">
        <v>0.0</v>
      </c>
      <c r="J232" s="2">
        <v>0.0</v>
      </c>
      <c r="M232" s="2">
        <v>0.0</v>
      </c>
      <c r="N232" s="2">
        <v>0.0</v>
      </c>
      <c r="O232" s="2">
        <v>0.0</v>
      </c>
      <c r="R232" s="2">
        <v>4.0</v>
      </c>
      <c r="T232" s="2">
        <v>0.0</v>
      </c>
    </row>
    <row r="233">
      <c r="E233" s="2">
        <v>0.0</v>
      </c>
      <c r="G233" s="2">
        <v>4.0</v>
      </c>
      <c r="J233" s="2">
        <v>0.0</v>
      </c>
      <c r="K233" s="2">
        <v>4.0</v>
      </c>
      <c r="N233" s="2">
        <v>0.0</v>
      </c>
      <c r="O233" s="2">
        <v>0.0</v>
      </c>
      <c r="T233" s="2">
        <v>0.0</v>
      </c>
    </row>
    <row r="234">
      <c r="E234" s="2">
        <v>0.0</v>
      </c>
      <c r="J234" s="2">
        <v>0.0</v>
      </c>
      <c r="L234" s="2">
        <v>0.0</v>
      </c>
      <c r="N234" s="2">
        <v>0.0</v>
      </c>
      <c r="O234" s="2">
        <v>0.0</v>
      </c>
      <c r="S234" s="2">
        <v>0.0</v>
      </c>
      <c r="T234" s="2">
        <v>0.0</v>
      </c>
    </row>
    <row r="235">
      <c r="B235" s="2">
        <v>4.0</v>
      </c>
      <c r="E235" s="2">
        <v>0.0</v>
      </c>
      <c r="J235" s="2">
        <v>0.0</v>
      </c>
      <c r="M235" s="2">
        <v>0.0</v>
      </c>
      <c r="N235" s="2">
        <v>0.0</v>
      </c>
      <c r="O235" s="2">
        <v>0.0</v>
      </c>
      <c r="R235" s="2">
        <v>0.0</v>
      </c>
      <c r="T235" s="2">
        <v>0.0</v>
      </c>
    </row>
    <row r="236">
      <c r="B236" s="2">
        <v>4.0</v>
      </c>
      <c r="E236" s="2">
        <v>0.0</v>
      </c>
      <c r="I236" s="2">
        <v>-4.0</v>
      </c>
      <c r="J236" s="2">
        <v>0.0</v>
      </c>
      <c r="L236" s="2">
        <v>4.0</v>
      </c>
      <c r="N236" s="2">
        <v>0.0</v>
      </c>
      <c r="O236" s="2">
        <v>0.0</v>
      </c>
      <c r="R236" s="2">
        <v>0.0</v>
      </c>
      <c r="T236" s="2">
        <v>0.0</v>
      </c>
    </row>
    <row r="237">
      <c r="E237" s="2">
        <v>0.0</v>
      </c>
      <c r="J237" s="2">
        <v>0.0</v>
      </c>
      <c r="N237" s="2">
        <v>0.0</v>
      </c>
      <c r="O237" s="2">
        <v>0.0</v>
      </c>
      <c r="R237" s="2">
        <v>4.0</v>
      </c>
      <c r="T237" s="2">
        <v>0.0</v>
      </c>
    </row>
    <row r="238">
      <c r="E238" s="2">
        <v>0.0</v>
      </c>
      <c r="J238" s="2">
        <v>0.0</v>
      </c>
      <c r="N238" s="2">
        <v>0.0</v>
      </c>
      <c r="O238" s="2">
        <v>0.0</v>
      </c>
      <c r="T238" s="2">
        <v>0.0</v>
      </c>
    </row>
    <row r="241">
      <c r="A241" s="2" t="s">
        <v>5</v>
      </c>
      <c r="B241" s="2" t="s">
        <v>5</v>
      </c>
      <c r="C241" s="2" t="s">
        <v>5</v>
      </c>
      <c r="D241" s="2" t="s">
        <v>5</v>
      </c>
      <c r="E241" s="2" t="s">
        <v>5</v>
      </c>
      <c r="F241" s="2" t="s">
        <v>6</v>
      </c>
      <c r="G241" s="2" t="s">
        <v>6</v>
      </c>
      <c r="H241" s="2" t="s">
        <v>6</v>
      </c>
      <c r="I241" s="2" t="s">
        <v>6</v>
      </c>
      <c r="J241" s="2" t="s">
        <v>6</v>
      </c>
      <c r="K241" s="2" t="s">
        <v>0</v>
      </c>
      <c r="L241" s="2" t="s">
        <v>0</v>
      </c>
      <c r="M241" s="2" t="s">
        <v>0</v>
      </c>
      <c r="N241" s="2" t="s">
        <v>0</v>
      </c>
      <c r="O241" s="2" t="s">
        <v>0</v>
      </c>
      <c r="P241" s="2" t="s">
        <v>2</v>
      </c>
      <c r="Q241" s="2" t="s">
        <v>2</v>
      </c>
      <c r="R241" s="2" t="s">
        <v>2</v>
      </c>
      <c r="S241" s="2" t="s">
        <v>2</v>
      </c>
      <c r="T241" s="2" t="s">
        <v>2</v>
      </c>
      <c r="U241" s="2" t="s">
        <v>1</v>
      </c>
      <c r="V241" s="2" t="s">
        <v>1</v>
      </c>
      <c r="W241" s="2" t="s">
        <v>1</v>
      </c>
      <c r="X241" s="2" t="s">
        <v>1</v>
      </c>
      <c r="Y241" s="2" t="s">
        <v>1</v>
      </c>
      <c r="Z241" s="2" t="s">
        <v>7</v>
      </c>
      <c r="AA241" s="2" t="s">
        <v>7</v>
      </c>
      <c r="AB241" s="2" t="s">
        <v>7</v>
      </c>
      <c r="AC241" s="2" t="s">
        <v>7</v>
      </c>
      <c r="AD241" s="2" t="s">
        <v>7</v>
      </c>
      <c r="AE241" s="2" t="s">
        <v>9</v>
      </c>
      <c r="AF241" s="2" t="s">
        <v>9</v>
      </c>
      <c r="AG241" s="2" t="s">
        <v>9</v>
      </c>
      <c r="AH241" s="2" t="s">
        <v>9</v>
      </c>
      <c r="AI241" s="2" t="s">
        <v>9</v>
      </c>
      <c r="AJ241" s="2" t="s">
        <v>3</v>
      </c>
      <c r="AK241" s="2" t="s">
        <v>3</v>
      </c>
      <c r="AL241" s="2" t="s">
        <v>3</v>
      </c>
      <c r="AM241" s="2" t="s">
        <v>3</v>
      </c>
      <c r="AN241" s="2" t="s">
        <v>3</v>
      </c>
      <c r="AO241" s="2" t="s">
        <v>8</v>
      </c>
      <c r="AP241" s="2" t="s">
        <v>8</v>
      </c>
      <c r="AQ241" s="2" t="s">
        <v>8</v>
      </c>
      <c r="AR241" s="2" t="s">
        <v>8</v>
      </c>
      <c r="AS241" s="2" t="s">
        <v>8</v>
      </c>
      <c r="AT241" s="2" t="s">
        <v>4</v>
      </c>
      <c r="AU241" s="2" t="s">
        <v>4</v>
      </c>
      <c r="AV241" s="2" t="s">
        <v>4</v>
      </c>
      <c r="AW241" s="2" t="s">
        <v>4</v>
      </c>
      <c r="AX241" s="2" t="s">
        <v>4</v>
      </c>
    </row>
    <row r="242">
      <c r="A242" s="2" t="s">
        <v>50</v>
      </c>
      <c r="B242" s="2" t="s">
        <v>51</v>
      </c>
      <c r="C242" s="2" t="s">
        <v>21</v>
      </c>
      <c r="D242" s="2" t="s">
        <v>52</v>
      </c>
      <c r="F242" s="2" t="s">
        <v>19</v>
      </c>
      <c r="G242" s="2" t="s">
        <v>20</v>
      </c>
      <c r="H242" s="2" t="s">
        <v>21</v>
      </c>
      <c r="I242" s="2" t="s">
        <v>22</v>
      </c>
      <c r="J242" s="2" t="s">
        <v>23</v>
      </c>
      <c r="K242" s="2" t="s">
        <v>43</v>
      </c>
      <c r="L242" s="2" t="s">
        <v>44</v>
      </c>
      <c r="M242" s="2" t="s">
        <v>45</v>
      </c>
      <c r="N242" s="2" t="s">
        <v>12</v>
      </c>
      <c r="O242" s="2" t="s">
        <v>46</v>
      </c>
      <c r="P242" s="2" t="s">
        <v>33</v>
      </c>
      <c r="Q242" s="2" t="s">
        <v>34</v>
      </c>
      <c r="R242" s="2" t="s">
        <v>35</v>
      </c>
      <c r="S242" s="2" t="s">
        <v>36</v>
      </c>
      <c r="T242" s="2" t="s">
        <v>37</v>
      </c>
      <c r="U242" s="2" t="s">
        <v>12</v>
      </c>
      <c r="V242" s="2" t="s">
        <v>13</v>
      </c>
      <c r="Z242" s="2" t="s">
        <v>24</v>
      </c>
      <c r="AA242" s="2" t="s">
        <v>25</v>
      </c>
      <c r="AB242" s="2" t="s">
        <v>26</v>
      </c>
      <c r="AC242" s="2" t="s">
        <v>27</v>
      </c>
      <c r="AD242" s="2" t="s">
        <v>28</v>
      </c>
      <c r="AE242" s="2" t="s">
        <v>38</v>
      </c>
      <c r="AF242" s="2" t="s">
        <v>39</v>
      </c>
      <c r="AG242" s="2" t="s">
        <v>40</v>
      </c>
      <c r="AH242" s="2" t="s">
        <v>41</v>
      </c>
      <c r="AI242" s="2" t="s">
        <v>42</v>
      </c>
      <c r="AJ242" s="2" t="s">
        <v>47</v>
      </c>
      <c r="AK242" s="2" t="s">
        <v>48</v>
      </c>
      <c r="AL242" s="2" t="s">
        <v>49</v>
      </c>
      <c r="AO242" s="7" t="s">
        <v>29</v>
      </c>
      <c r="AP242" s="7" t="s">
        <v>30</v>
      </c>
      <c r="AQ242" s="7" t="s">
        <v>31</v>
      </c>
      <c r="AR242" s="7" t="s">
        <v>32</v>
      </c>
      <c r="AT242" s="7" t="s">
        <v>14</v>
      </c>
      <c r="AU242" s="7" t="s">
        <v>15</v>
      </c>
      <c r="AV242" s="7" t="s">
        <v>16</v>
      </c>
      <c r="AW242" s="7" t="s">
        <v>17</v>
      </c>
      <c r="AX242" s="7" t="s">
        <v>18</v>
      </c>
    </row>
    <row r="243">
      <c r="A243" s="2" t="b">
        <v>1</v>
      </c>
      <c r="B243" s="2" t="b">
        <v>1</v>
      </c>
      <c r="C243" s="2" t="b">
        <v>1</v>
      </c>
      <c r="D243" s="2" t="b">
        <v>1</v>
      </c>
      <c r="E243" s="2" t="b">
        <v>1</v>
      </c>
      <c r="F243" s="2" t="b">
        <v>1</v>
      </c>
      <c r="G243" s="2" t="b">
        <v>1</v>
      </c>
      <c r="H243" s="2" t="b">
        <v>1</v>
      </c>
      <c r="I243" s="2" t="b">
        <v>1</v>
      </c>
      <c r="J243" s="2" t="b">
        <v>1</v>
      </c>
      <c r="K243" s="2" t="b">
        <v>1</v>
      </c>
      <c r="L243" s="2" t="b">
        <v>1</v>
      </c>
      <c r="M243" s="2" t="b">
        <v>1</v>
      </c>
      <c r="N243" s="2" t="b">
        <v>1</v>
      </c>
      <c r="O243" s="2" t="b">
        <v>1</v>
      </c>
      <c r="P243" s="2" t="b">
        <v>1</v>
      </c>
      <c r="Q243" s="2" t="b">
        <v>1</v>
      </c>
      <c r="R243" s="2" t="b">
        <v>1</v>
      </c>
      <c r="S243" s="2" t="b">
        <v>1</v>
      </c>
      <c r="T243" s="2" t="b">
        <v>0</v>
      </c>
      <c r="U243" s="2" t="b">
        <v>0</v>
      </c>
      <c r="V243" s="2" t="b">
        <v>0</v>
      </c>
      <c r="W243" s="2" t="b">
        <v>0</v>
      </c>
      <c r="X243" s="2" t="b">
        <v>0</v>
      </c>
      <c r="Y243" s="2" t="b">
        <v>0</v>
      </c>
      <c r="Z243" s="2" t="b">
        <v>0</v>
      </c>
      <c r="AA243" s="2" t="b">
        <v>0</v>
      </c>
      <c r="AB243" s="2" t="b">
        <v>0</v>
      </c>
      <c r="AC243" s="2" t="b">
        <v>0</v>
      </c>
      <c r="AD243" s="2" t="b">
        <v>0</v>
      </c>
      <c r="AE243" s="2" t="b">
        <v>0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  <c r="AL243" s="2" t="b">
        <v>0</v>
      </c>
      <c r="AM243" s="2" t="b">
        <v>0</v>
      </c>
      <c r="AN243" s="2" t="b">
        <v>0</v>
      </c>
      <c r="AO243" s="2" t="b">
        <v>0</v>
      </c>
      <c r="AP243" s="2" t="b">
        <v>0</v>
      </c>
      <c r="AQ243" s="2" t="b">
        <v>0</v>
      </c>
      <c r="AR243" s="2" t="b">
        <v>0</v>
      </c>
      <c r="AS243" s="2" t="b">
        <v>0</v>
      </c>
      <c r="AT243" s="2" t="b">
        <v>0</v>
      </c>
      <c r="AU243" s="2" t="b">
        <v>0</v>
      </c>
      <c r="AV243" s="2" t="b">
        <v>0</v>
      </c>
      <c r="AW243" s="2" t="b">
        <v>0</v>
      </c>
      <c r="AX243" s="2" t="b">
        <v>0</v>
      </c>
    </row>
    <row r="244">
      <c r="I244" s="2">
        <v>4.0</v>
      </c>
      <c r="R244" s="2">
        <v>4.0</v>
      </c>
      <c r="T244" s="2">
        <v>0.0</v>
      </c>
    </row>
    <row r="245">
      <c r="T245" s="2">
        <v>0.0</v>
      </c>
    </row>
    <row r="246">
      <c r="I246" s="2">
        <v>4.0</v>
      </c>
      <c r="T246" s="2">
        <v>0.0</v>
      </c>
    </row>
    <row r="247">
      <c r="A247" s="2">
        <v>4.0</v>
      </c>
      <c r="T247" s="2">
        <v>0.0</v>
      </c>
    </row>
    <row r="248">
      <c r="D248" s="2">
        <v>4.0</v>
      </c>
      <c r="R248" s="2">
        <v>4.0</v>
      </c>
      <c r="T248" s="2">
        <v>0.0</v>
      </c>
    </row>
    <row r="249">
      <c r="D249" s="2">
        <v>4.0</v>
      </c>
      <c r="G249" s="2">
        <v>-4.0</v>
      </c>
      <c r="T249" s="2">
        <v>0.0</v>
      </c>
    </row>
    <row r="250">
      <c r="I250" s="2">
        <v>4.0</v>
      </c>
      <c r="T250" s="2">
        <v>0.0</v>
      </c>
    </row>
    <row r="251">
      <c r="B251" s="2">
        <v>4.0</v>
      </c>
      <c r="R251" s="2">
        <v>4.0</v>
      </c>
      <c r="T251" s="2">
        <v>0.0</v>
      </c>
    </row>
    <row r="252">
      <c r="I252" s="2">
        <v>4.0</v>
      </c>
      <c r="K252" s="2">
        <v>4.0</v>
      </c>
      <c r="T252" s="2">
        <v>0.0</v>
      </c>
    </row>
    <row r="253">
      <c r="E253" s="2">
        <v>-4.0</v>
      </c>
      <c r="G253" s="2">
        <v>-4.0</v>
      </c>
      <c r="T253" s="2">
        <v>0.0</v>
      </c>
    </row>
    <row r="254">
      <c r="D254" s="2">
        <v>-4.0</v>
      </c>
      <c r="F254" s="2">
        <v>4.0</v>
      </c>
      <c r="T254" s="2">
        <v>0.0</v>
      </c>
    </row>
    <row r="255">
      <c r="G255" s="2">
        <v>-4.0</v>
      </c>
      <c r="R255" s="2">
        <v>4.0</v>
      </c>
      <c r="T255" s="2">
        <v>0.0</v>
      </c>
    </row>
    <row r="256">
      <c r="A256" s="2" t="b">
        <v>1</v>
      </c>
      <c r="B256" s="2" t="b">
        <v>1</v>
      </c>
      <c r="C256" s="2" t="b">
        <v>1</v>
      </c>
      <c r="D256" s="2" t="b">
        <v>1</v>
      </c>
      <c r="E256" s="2" t="b">
        <v>0</v>
      </c>
      <c r="F256" s="2" t="b">
        <v>1</v>
      </c>
      <c r="G256" s="2" t="b">
        <v>1</v>
      </c>
      <c r="H256" s="2" t="b">
        <v>1</v>
      </c>
      <c r="I256" s="2" t="b">
        <v>1</v>
      </c>
      <c r="J256" s="2" t="b">
        <v>1</v>
      </c>
      <c r="K256" s="2" t="b">
        <v>1</v>
      </c>
      <c r="L256" s="2" t="b">
        <v>1</v>
      </c>
      <c r="M256" s="2" t="b">
        <v>1</v>
      </c>
      <c r="N256" s="2" t="b">
        <v>1</v>
      </c>
      <c r="O256" s="2" t="b">
        <v>1</v>
      </c>
      <c r="P256" s="2" t="b">
        <v>1</v>
      </c>
      <c r="Q256" s="2" t="b">
        <v>1</v>
      </c>
      <c r="R256" s="2" t="b">
        <v>1</v>
      </c>
      <c r="S256" s="2" t="b">
        <v>1</v>
      </c>
      <c r="T256" s="2" t="b">
        <v>0</v>
      </c>
      <c r="U256" s="2" t="b">
        <v>0</v>
      </c>
      <c r="V256" s="2" t="b">
        <v>0</v>
      </c>
      <c r="W256" s="2" t="b">
        <v>0</v>
      </c>
      <c r="X256" s="2" t="b">
        <v>0</v>
      </c>
      <c r="Y256" s="2" t="b">
        <v>0</v>
      </c>
      <c r="Z256" s="2" t="b">
        <v>0</v>
      </c>
      <c r="AA256" s="2" t="b">
        <v>0</v>
      </c>
      <c r="AB256" s="2" t="b">
        <v>0</v>
      </c>
      <c r="AC256" s="2" t="b">
        <v>0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  <c r="AL256" s="2" t="b">
        <v>0</v>
      </c>
      <c r="AM256" s="2" t="b">
        <v>0</v>
      </c>
      <c r="AN256" s="2" t="b">
        <v>0</v>
      </c>
      <c r="AO256" s="2" t="b">
        <v>0</v>
      </c>
      <c r="AP256" s="2" t="b">
        <v>0</v>
      </c>
      <c r="AQ256" s="2" t="b">
        <v>0</v>
      </c>
      <c r="AR256" s="2" t="b">
        <v>0</v>
      </c>
      <c r="AS256" s="2" t="b">
        <v>0</v>
      </c>
      <c r="AT256" s="2" t="b">
        <v>0</v>
      </c>
      <c r="AU256" s="2" t="b">
        <v>0</v>
      </c>
      <c r="AV256" s="2" t="b">
        <v>0</v>
      </c>
      <c r="AW256" s="2" t="b">
        <v>0</v>
      </c>
      <c r="AX256" s="2" t="b">
        <v>0</v>
      </c>
    </row>
    <row r="257">
      <c r="D257" s="2">
        <v>4.0</v>
      </c>
      <c r="E257" s="2">
        <v>0.0</v>
      </c>
      <c r="T257" s="2">
        <v>0.0</v>
      </c>
    </row>
    <row r="258">
      <c r="A258" s="2">
        <v>4.0</v>
      </c>
      <c r="E258" s="2">
        <v>0.0</v>
      </c>
      <c r="M258" s="2">
        <v>4.0</v>
      </c>
      <c r="T258" s="2">
        <v>0.0</v>
      </c>
    </row>
    <row r="259">
      <c r="C259" s="2">
        <v>4.0</v>
      </c>
      <c r="E259" s="2">
        <v>0.0</v>
      </c>
      <c r="K259" s="2">
        <v>4.0</v>
      </c>
      <c r="T259" s="2">
        <v>0.0</v>
      </c>
    </row>
    <row r="260">
      <c r="D260" s="2">
        <v>4.0</v>
      </c>
      <c r="E260" s="2">
        <v>0.0</v>
      </c>
      <c r="T260" s="2">
        <v>0.0</v>
      </c>
    </row>
    <row r="261">
      <c r="E261" s="2">
        <v>0.0</v>
      </c>
      <c r="J261" s="2">
        <v>-4.0</v>
      </c>
      <c r="P261" s="2">
        <v>4.0</v>
      </c>
      <c r="T261" s="2">
        <v>0.0</v>
      </c>
    </row>
    <row r="262">
      <c r="E262" s="2">
        <v>0.0</v>
      </c>
      <c r="T262" s="2">
        <v>0.0</v>
      </c>
    </row>
    <row r="263">
      <c r="B263" s="2">
        <v>-4.0</v>
      </c>
      <c r="E263" s="2">
        <v>0.0</v>
      </c>
      <c r="T263" s="2">
        <v>0.0</v>
      </c>
    </row>
    <row r="264">
      <c r="E264" s="2">
        <v>0.0</v>
      </c>
      <c r="S264" s="2">
        <v>4.0</v>
      </c>
      <c r="T264" s="2">
        <v>0.0</v>
      </c>
    </row>
    <row r="265">
      <c r="E265" s="2">
        <v>0.0</v>
      </c>
      <c r="R265" s="2">
        <v>4.0</v>
      </c>
      <c r="T265" s="2">
        <v>0.0</v>
      </c>
    </row>
    <row r="266">
      <c r="E266" s="2">
        <v>0.0</v>
      </c>
      <c r="J266" s="2">
        <v>4.0</v>
      </c>
      <c r="L266" s="2">
        <v>4.0</v>
      </c>
      <c r="T266" s="2">
        <v>0.0</v>
      </c>
    </row>
    <row r="267">
      <c r="E267" s="2">
        <v>0.0</v>
      </c>
      <c r="J267" s="2">
        <v>-4.0</v>
      </c>
      <c r="K267" s="2">
        <v>4.0</v>
      </c>
      <c r="T267" s="2">
        <v>0.0</v>
      </c>
    </row>
    <row r="268">
      <c r="D268" s="2">
        <v>4.0</v>
      </c>
      <c r="E268" s="2">
        <v>0.0</v>
      </c>
      <c r="G268" s="2">
        <v>-4.0</v>
      </c>
      <c r="R268" s="2">
        <v>4.0</v>
      </c>
      <c r="T268" s="2">
        <v>0.0</v>
      </c>
    </row>
    <row r="271">
      <c r="A271" s="2" t="s">
        <v>2</v>
      </c>
      <c r="B271" s="2" t="s">
        <v>2</v>
      </c>
      <c r="C271" s="2" t="s">
        <v>2</v>
      </c>
      <c r="D271" s="2" t="s">
        <v>2</v>
      </c>
      <c r="E271" s="2" t="s">
        <v>2</v>
      </c>
      <c r="F271" s="2" t="s">
        <v>6</v>
      </c>
      <c r="G271" s="2" t="s">
        <v>6</v>
      </c>
      <c r="H271" s="2" t="s">
        <v>6</v>
      </c>
      <c r="I271" s="2" t="s">
        <v>6</v>
      </c>
      <c r="J271" s="2" t="s">
        <v>6</v>
      </c>
      <c r="K271" s="2" t="s">
        <v>0</v>
      </c>
      <c r="L271" s="2" t="s">
        <v>0</v>
      </c>
      <c r="M271" s="2" t="s">
        <v>0</v>
      </c>
      <c r="N271" s="2" t="s">
        <v>0</v>
      </c>
      <c r="O271" s="2" t="s">
        <v>0</v>
      </c>
      <c r="P271" s="2" t="s">
        <v>5</v>
      </c>
      <c r="Q271" s="2" t="s">
        <v>5</v>
      </c>
      <c r="R271" s="2" t="s">
        <v>5</v>
      </c>
      <c r="S271" s="2" t="s">
        <v>5</v>
      </c>
      <c r="T271" s="2" t="s">
        <v>5</v>
      </c>
      <c r="U271" s="2" t="s">
        <v>1</v>
      </c>
      <c r="V271" s="2" t="s">
        <v>1</v>
      </c>
      <c r="W271" s="2" t="s">
        <v>1</v>
      </c>
      <c r="X271" s="2" t="s">
        <v>1</v>
      </c>
      <c r="Y271" s="2" t="s">
        <v>1</v>
      </c>
      <c r="Z271" s="2" t="s">
        <v>7</v>
      </c>
      <c r="AA271" s="2" t="s">
        <v>7</v>
      </c>
      <c r="AB271" s="2" t="s">
        <v>7</v>
      </c>
      <c r="AC271" s="2" t="s">
        <v>7</v>
      </c>
      <c r="AD271" s="2" t="s">
        <v>7</v>
      </c>
      <c r="AE271" s="2" t="s">
        <v>9</v>
      </c>
      <c r="AF271" s="2" t="s">
        <v>9</v>
      </c>
      <c r="AG271" s="2" t="s">
        <v>9</v>
      </c>
      <c r="AH271" s="2" t="s">
        <v>9</v>
      </c>
      <c r="AI271" s="2" t="s">
        <v>9</v>
      </c>
      <c r="AJ271" s="2" t="s">
        <v>3</v>
      </c>
      <c r="AK271" s="2" t="s">
        <v>3</v>
      </c>
      <c r="AL271" s="2" t="s">
        <v>3</v>
      </c>
      <c r="AM271" s="2" t="s">
        <v>3</v>
      </c>
      <c r="AN271" s="2" t="s">
        <v>3</v>
      </c>
      <c r="AO271" s="2" t="s">
        <v>8</v>
      </c>
      <c r="AP271" s="2" t="s">
        <v>8</v>
      </c>
      <c r="AQ271" s="2" t="s">
        <v>8</v>
      </c>
      <c r="AR271" s="2" t="s">
        <v>8</v>
      </c>
      <c r="AS271" s="2" t="s">
        <v>8</v>
      </c>
      <c r="AT271" s="2" t="s">
        <v>4</v>
      </c>
      <c r="AU271" s="2" t="s">
        <v>4</v>
      </c>
      <c r="AV271" s="2" t="s">
        <v>4</v>
      </c>
      <c r="AW271" s="2" t="s">
        <v>4</v>
      </c>
      <c r="AX271" s="2" t="s">
        <v>4</v>
      </c>
    </row>
    <row r="272">
      <c r="A272" s="2" t="s">
        <v>33</v>
      </c>
      <c r="B272" s="2" t="s">
        <v>34</v>
      </c>
      <c r="C272" s="2" t="s">
        <v>35</v>
      </c>
      <c r="D272" s="2" t="s">
        <v>36</v>
      </c>
      <c r="E272" s="2" t="s">
        <v>37</v>
      </c>
      <c r="F272" s="2" t="s">
        <v>19</v>
      </c>
      <c r="G272" s="2" t="s">
        <v>20</v>
      </c>
      <c r="H272" s="2" t="s">
        <v>21</v>
      </c>
      <c r="I272" s="2" t="s">
        <v>22</v>
      </c>
      <c r="J272" s="2" t="s">
        <v>23</v>
      </c>
      <c r="K272" s="2" t="s">
        <v>43</v>
      </c>
      <c r="L272" s="2" t="s">
        <v>44</v>
      </c>
      <c r="M272" s="2" t="s">
        <v>45</v>
      </c>
      <c r="N272" s="2" t="s">
        <v>12</v>
      </c>
      <c r="O272" s="2" t="s">
        <v>46</v>
      </c>
      <c r="P272" s="2" t="s">
        <v>50</v>
      </c>
      <c r="Q272" s="2" t="s">
        <v>51</v>
      </c>
      <c r="R272" s="2" t="s">
        <v>21</v>
      </c>
      <c r="S272" s="2" t="s">
        <v>52</v>
      </c>
      <c r="U272" s="2" t="s">
        <v>12</v>
      </c>
      <c r="V272" s="2" t="s">
        <v>13</v>
      </c>
      <c r="Z272" s="2" t="s">
        <v>24</v>
      </c>
      <c r="AA272" s="2" t="s">
        <v>25</v>
      </c>
      <c r="AB272" s="2" t="s">
        <v>26</v>
      </c>
      <c r="AC272" s="2" t="s">
        <v>27</v>
      </c>
      <c r="AD272" s="2" t="s">
        <v>28</v>
      </c>
      <c r="AE272" s="2" t="s">
        <v>38</v>
      </c>
      <c r="AF272" s="2" t="s">
        <v>39</v>
      </c>
      <c r="AG272" s="2" t="s">
        <v>40</v>
      </c>
      <c r="AH272" s="2" t="s">
        <v>41</v>
      </c>
      <c r="AI272" s="2" t="s">
        <v>42</v>
      </c>
      <c r="AJ272" s="2" t="s">
        <v>47</v>
      </c>
      <c r="AK272" s="2" t="s">
        <v>48</v>
      </c>
      <c r="AL272" s="2" t="s">
        <v>49</v>
      </c>
      <c r="AO272" s="7" t="s">
        <v>29</v>
      </c>
      <c r="AP272" s="7" t="s">
        <v>30</v>
      </c>
      <c r="AQ272" s="7" t="s">
        <v>31</v>
      </c>
      <c r="AR272" s="7" t="s">
        <v>32</v>
      </c>
      <c r="AT272" s="7" t="s">
        <v>14</v>
      </c>
      <c r="AU272" s="7" t="s">
        <v>15</v>
      </c>
      <c r="AV272" s="7" t="s">
        <v>16</v>
      </c>
      <c r="AW272" s="7" t="s">
        <v>17</v>
      </c>
      <c r="AX272" s="7" t="s">
        <v>18</v>
      </c>
    </row>
    <row r="273">
      <c r="A273" s="2" t="b">
        <v>1</v>
      </c>
      <c r="B273" s="2" t="b">
        <v>1</v>
      </c>
      <c r="C273" s="2" t="b">
        <v>1</v>
      </c>
      <c r="D273" s="2" t="b">
        <v>1</v>
      </c>
      <c r="E273" s="2" t="b">
        <v>0</v>
      </c>
      <c r="F273" s="2" t="b">
        <v>1</v>
      </c>
      <c r="G273" s="2" t="b">
        <v>1</v>
      </c>
      <c r="H273" s="2" t="b">
        <v>1</v>
      </c>
      <c r="I273" s="2" t="b">
        <v>1</v>
      </c>
      <c r="J273" s="2" t="b">
        <v>1</v>
      </c>
      <c r="K273" s="2" t="b">
        <v>0</v>
      </c>
      <c r="L273" s="2" t="b">
        <v>0</v>
      </c>
      <c r="M273" s="2" t="b">
        <v>0</v>
      </c>
      <c r="N273" s="2" t="b">
        <v>0</v>
      </c>
      <c r="O273" s="2" t="b">
        <v>0</v>
      </c>
      <c r="P273" s="2" t="b">
        <v>0</v>
      </c>
      <c r="Q273" s="2" t="b">
        <v>0</v>
      </c>
      <c r="R273" s="2" t="b">
        <v>0</v>
      </c>
      <c r="S273" s="2" t="b">
        <v>0</v>
      </c>
      <c r="T273" s="2" t="b">
        <v>0</v>
      </c>
      <c r="U273" s="2" t="b">
        <v>0</v>
      </c>
      <c r="V273" s="2" t="b">
        <v>0</v>
      </c>
      <c r="W273" s="2" t="b">
        <v>0</v>
      </c>
      <c r="X273" s="2" t="b">
        <v>0</v>
      </c>
      <c r="Y273" s="2" t="b">
        <v>0</v>
      </c>
      <c r="Z273" s="2" t="b">
        <v>0</v>
      </c>
      <c r="AA273" s="2" t="b">
        <v>0</v>
      </c>
      <c r="AB273" s="2" t="b">
        <v>0</v>
      </c>
      <c r="AC273" s="2" t="b">
        <v>0</v>
      </c>
      <c r="AD273" s="2" t="b">
        <v>0</v>
      </c>
      <c r="AE273" s="2" t="b">
        <v>0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  <c r="AL273" s="2" t="b">
        <v>0</v>
      </c>
      <c r="AM273" s="2" t="b">
        <v>0</v>
      </c>
      <c r="AN273" s="2" t="b">
        <v>0</v>
      </c>
      <c r="AO273" s="2" t="b">
        <v>0</v>
      </c>
      <c r="AP273" s="2" t="b">
        <v>0</v>
      </c>
      <c r="AQ273" s="2" t="b">
        <v>0</v>
      </c>
      <c r="AR273" s="2" t="b">
        <v>0</v>
      </c>
      <c r="AS273" s="2" t="b">
        <v>0</v>
      </c>
      <c r="AT273" s="2" t="b">
        <v>0</v>
      </c>
      <c r="AU273" s="2" t="b">
        <v>0</v>
      </c>
      <c r="AV273" s="2" t="b">
        <v>0</v>
      </c>
      <c r="AW273" s="2" t="b">
        <v>0</v>
      </c>
      <c r="AX273" s="2" t="b">
        <v>0</v>
      </c>
    </row>
    <row r="274">
      <c r="E274" s="2">
        <v>0.0</v>
      </c>
    </row>
    <row r="275">
      <c r="E275" s="2">
        <v>0.0</v>
      </c>
    </row>
    <row r="276">
      <c r="C276" s="2">
        <v>4.0</v>
      </c>
      <c r="E276" s="2">
        <v>0.0</v>
      </c>
    </row>
    <row r="277">
      <c r="B277" s="2">
        <v>4.0</v>
      </c>
      <c r="E277" s="2">
        <v>0.0</v>
      </c>
    </row>
    <row r="278">
      <c r="E278" s="2">
        <v>0.0</v>
      </c>
    </row>
    <row r="279">
      <c r="E279" s="2">
        <v>0.0</v>
      </c>
    </row>
    <row r="280">
      <c r="C280" s="2">
        <v>4.0</v>
      </c>
      <c r="E280" s="2">
        <v>0.0</v>
      </c>
    </row>
    <row r="281">
      <c r="C281" s="2">
        <v>4.0</v>
      </c>
      <c r="E281" s="2">
        <v>0.0</v>
      </c>
    </row>
    <row r="282">
      <c r="E282" s="2">
        <v>0.0</v>
      </c>
      <c r="I282" s="2">
        <v>4.0</v>
      </c>
    </row>
    <row r="283">
      <c r="C283" s="2">
        <v>4.0</v>
      </c>
      <c r="E283" s="2">
        <v>0.0</v>
      </c>
      <c r="G283" s="2">
        <v>-4.0</v>
      </c>
    </row>
    <row r="284">
      <c r="E284" s="2">
        <v>0.0</v>
      </c>
      <c r="F284" s="2">
        <v>4.0</v>
      </c>
    </row>
    <row r="285">
      <c r="E285" s="2">
        <v>0.0</v>
      </c>
    </row>
    <row r="286">
      <c r="A286" s="2" t="b">
        <v>1</v>
      </c>
      <c r="B286" s="2" t="b">
        <v>1</v>
      </c>
      <c r="C286" s="2" t="b">
        <v>1</v>
      </c>
      <c r="D286" s="2" t="b">
        <v>1</v>
      </c>
      <c r="E286" s="2" t="b">
        <v>0</v>
      </c>
      <c r="F286" s="2" t="b">
        <v>1</v>
      </c>
      <c r="G286" s="2" t="b">
        <v>1</v>
      </c>
      <c r="H286" s="2" t="b">
        <v>1</v>
      </c>
      <c r="I286" s="2" t="b">
        <v>1</v>
      </c>
      <c r="J286" s="2" t="b">
        <v>1</v>
      </c>
      <c r="K286" s="2" t="b">
        <v>0</v>
      </c>
      <c r="L286" s="2" t="b">
        <v>0</v>
      </c>
      <c r="M286" s="2" t="b">
        <v>0</v>
      </c>
      <c r="N286" s="2" t="b">
        <v>0</v>
      </c>
      <c r="O286" s="2" t="b">
        <v>0</v>
      </c>
      <c r="P286" s="2" t="b">
        <v>0</v>
      </c>
      <c r="Q286" s="2" t="b">
        <v>0</v>
      </c>
      <c r="R286" s="2" t="b">
        <v>0</v>
      </c>
      <c r="S286" s="2" t="b">
        <v>0</v>
      </c>
      <c r="T286" s="2" t="b">
        <v>0</v>
      </c>
      <c r="U286" s="2" t="b">
        <v>0</v>
      </c>
      <c r="V286" s="2" t="b">
        <v>0</v>
      </c>
      <c r="W286" s="2" t="b">
        <v>0</v>
      </c>
      <c r="X286" s="2" t="b">
        <v>0</v>
      </c>
      <c r="Y286" s="2" t="b">
        <v>0</v>
      </c>
      <c r="Z286" s="2" t="b">
        <v>0</v>
      </c>
      <c r="AA286" s="2" t="b">
        <v>0</v>
      </c>
      <c r="AB286" s="2" t="b">
        <v>0</v>
      </c>
      <c r="AC286" s="2" t="b">
        <v>0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  <c r="AL286" s="2" t="b">
        <v>0</v>
      </c>
      <c r="AM286" s="2" t="b">
        <v>0</v>
      </c>
      <c r="AN286" s="2" t="b">
        <v>0</v>
      </c>
      <c r="AO286" s="2" t="b">
        <v>0</v>
      </c>
      <c r="AP286" s="2" t="b">
        <v>0</v>
      </c>
      <c r="AQ286" s="2" t="b">
        <v>0</v>
      </c>
      <c r="AR286" s="2" t="b">
        <v>0</v>
      </c>
      <c r="AS286" s="2" t="b">
        <v>0</v>
      </c>
      <c r="AT286" s="2" t="b">
        <v>0</v>
      </c>
      <c r="AU286" s="2" t="b">
        <v>0</v>
      </c>
      <c r="AV286" s="2" t="b">
        <v>0</v>
      </c>
      <c r="AW286" s="2" t="b">
        <v>0</v>
      </c>
      <c r="AX286" s="2" t="b">
        <v>0</v>
      </c>
    </row>
    <row r="287">
      <c r="C287" s="2">
        <v>4.0</v>
      </c>
      <c r="E287" s="2">
        <v>0.0</v>
      </c>
    </row>
    <row r="288">
      <c r="E288" s="2">
        <v>0.0</v>
      </c>
      <c r="I288" s="2">
        <v>4.0</v>
      </c>
    </row>
    <row r="289">
      <c r="E289" s="2">
        <v>0.0</v>
      </c>
      <c r="H289" s="2">
        <v>4.0</v>
      </c>
    </row>
    <row r="290">
      <c r="E290" s="2">
        <v>0.0</v>
      </c>
    </row>
    <row r="291">
      <c r="E291" s="2">
        <v>0.0</v>
      </c>
    </row>
    <row r="292">
      <c r="E292" s="2">
        <v>0.0</v>
      </c>
    </row>
    <row r="293">
      <c r="A293" s="2">
        <v>4.0</v>
      </c>
      <c r="E293" s="2">
        <v>0.0</v>
      </c>
    </row>
    <row r="294">
      <c r="E294" s="2">
        <v>0.0</v>
      </c>
      <c r="F294" s="2">
        <v>4.0</v>
      </c>
    </row>
    <row r="295">
      <c r="E295" s="2">
        <v>0.0</v>
      </c>
      <c r="H295" s="2">
        <v>4.0</v>
      </c>
    </row>
    <row r="296">
      <c r="B296" s="2">
        <v>4.0</v>
      </c>
      <c r="E296" s="2">
        <v>0.0</v>
      </c>
    </row>
    <row r="297">
      <c r="C297" s="2">
        <v>4.0</v>
      </c>
      <c r="E297" s="2">
        <v>0.0</v>
      </c>
    </row>
    <row r="298">
      <c r="E298" s="2">
        <v>0.0</v>
      </c>
      <c r="I298" s="2">
        <v>4.0</v>
      </c>
    </row>
    <row r="301">
      <c r="A301" s="2" t="s">
        <v>5</v>
      </c>
      <c r="B301" s="2" t="s">
        <v>5</v>
      </c>
      <c r="C301" s="2" t="s">
        <v>5</v>
      </c>
      <c r="D301" s="2" t="s">
        <v>5</v>
      </c>
      <c r="E301" s="2" t="s">
        <v>5</v>
      </c>
      <c r="F301" s="2" t="s">
        <v>2</v>
      </c>
      <c r="G301" s="2" t="s">
        <v>2</v>
      </c>
      <c r="H301" s="2" t="s">
        <v>2</v>
      </c>
      <c r="I301" s="2" t="s">
        <v>2</v>
      </c>
      <c r="J301" s="2" t="s">
        <v>2</v>
      </c>
      <c r="K301" s="2" t="s">
        <v>6</v>
      </c>
      <c r="L301" s="2" t="s">
        <v>6</v>
      </c>
      <c r="M301" s="2" t="s">
        <v>6</v>
      </c>
      <c r="N301" s="2" t="s">
        <v>6</v>
      </c>
      <c r="O301" s="2" t="s">
        <v>6</v>
      </c>
      <c r="P301" s="2" t="s">
        <v>0</v>
      </c>
      <c r="Q301" s="2" t="s">
        <v>0</v>
      </c>
      <c r="R301" s="2" t="s">
        <v>0</v>
      </c>
      <c r="S301" s="2" t="s">
        <v>0</v>
      </c>
      <c r="T301" s="2" t="s">
        <v>0</v>
      </c>
      <c r="U301" s="2" t="s">
        <v>1</v>
      </c>
      <c r="V301" s="2" t="s">
        <v>1</v>
      </c>
      <c r="W301" s="2" t="s">
        <v>1</v>
      </c>
      <c r="X301" s="2" t="s">
        <v>1</v>
      </c>
      <c r="Y301" s="2" t="s">
        <v>1</v>
      </c>
      <c r="Z301" s="2" t="s">
        <v>7</v>
      </c>
      <c r="AA301" s="2" t="s">
        <v>7</v>
      </c>
      <c r="AB301" s="2" t="s">
        <v>7</v>
      </c>
      <c r="AC301" s="2" t="s">
        <v>7</v>
      </c>
      <c r="AD301" s="2" t="s">
        <v>7</v>
      </c>
      <c r="AE301" s="2" t="s">
        <v>9</v>
      </c>
      <c r="AF301" s="2" t="s">
        <v>9</v>
      </c>
      <c r="AG301" s="2" t="s">
        <v>9</v>
      </c>
      <c r="AH301" s="2" t="s">
        <v>9</v>
      </c>
      <c r="AI301" s="2" t="s">
        <v>9</v>
      </c>
      <c r="AJ301" s="2" t="s">
        <v>3</v>
      </c>
      <c r="AK301" s="2" t="s">
        <v>3</v>
      </c>
      <c r="AL301" s="2" t="s">
        <v>3</v>
      </c>
      <c r="AM301" s="2" t="s">
        <v>3</v>
      </c>
      <c r="AN301" s="2" t="s">
        <v>3</v>
      </c>
      <c r="AO301" s="2" t="s">
        <v>8</v>
      </c>
      <c r="AP301" s="2" t="s">
        <v>8</v>
      </c>
      <c r="AQ301" s="2" t="s">
        <v>8</v>
      </c>
      <c r="AR301" s="2" t="s">
        <v>8</v>
      </c>
      <c r="AS301" s="2" t="s">
        <v>8</v>
      </c>
      <c r="AT301" s="2" t="s">
        <v>4</v>
      </c>
      <c r="AU301" s="2" t="s">
        <v>4</v>
      </c>
      <c r="AV301" s="2" t="s">
        <v>4</v>
      </c>
      <c r="AW301" s="2" t="s">
        <v>4</v>
      </c>
      <c r="AX301" s="2" t="s">
        <v>4</v>
      </c>
    </row>
    <row r="302">
      <c r="A302" s="2" t="s">
        <v>50</v>
      </c>
      <c r="B302" s="2" t="s">
        <v>51</v>
      </c>
      <c r="C302" s="2" t="s">
        <v>21</v>
      </c>
      <c r="D302" s="2" t="s">
        <v>52</v>
      </c>
      <c r="F302" s="2" t="s">
        <v>33</v>
      </c>
      <c r="G302" s="2" t="s">
        <v>34</v>
      </c>
      <c r="H302" s="2" t="s">
        <v>35</v>
      </c>
      <c r="I302" s="2" t="s">
        <v>36</v>
      </c>
      <c r="J302" s="2" t="s">
        <v>37</v>
      </c>
      <c r="K302" s="2" t="s">
        <v>19</v>
      </c>
      <c r="L302" s="2" t="s">
        <v>20</v>
      </c>
      <c r="M302" s="2" t="s">
        <v>21</v>
      </c>
      <c r="N302" s="2" t="s">
        <v>22</v>
      </c>
      <c r="O302" s="2" t="s">
        <v>23</v>
      </c>
      <c r="P302" s="2" t="s">
        <v>43</v>
      </c>
      <c r="Q302" s="2" t="s">
        <v>44</v>
      </c>
      <c r="R302" s="2" t="s">
        <v>45</v>
      </c>
      <c r="S302" s="2" t="s">
        <v>12</v>
      </c>
      <c r="T302" s="2" t="s">
        <v>46</v>
      </c>
      <c r="U302" s="2" t="s">
        <v>12</v>
      </c>
      <c r="V302" s="2" t="s">
        <v>13</v>
      </c>
      <c r="Z302" s="2" t="s">
        <v>24</v>
      </c>
      <c r="AA302" s="2" t="s">
        <v>25</v>
      </c>
      <c r="AB302" s="2" t="s">
        <v>26</v>
      </c>
      <c r="AC302" s="2" t="s">
        <v>27</v>
      </c>
      <c r="AD302" s="2" t="s">
        <v>28</v>
      </c>
      <c r="AE302" s="2" t="s">
        <v>38</v>
      </c>
      <c r="AF302" s="2" t="s">
        <v>39</v>
      </c>
      <c r="AG302" s="2" t="s">
        <v>40</v>
      </c>
      <c r="AH302" s="2" t="s">
        <v>41</v>
      </c>
      <c r="AI302" s="2" t="s">
        <v>42</v>
      </c>
      <c r="AJ302" s="2" t="s">
        <v>47</v>
      </c>
      <c r="AK302" s="2" t="s">
        <v>48</v>
      </c>
      <c r="AL302" s="2" t="s">
        <v>49</v>
      </c>
      <c r="AO302" s="7" t="s">
        <v>29</v>
      </c>
      <c r="AP302" s="7" t="s">
        <v>30</v>
      </c>
      <c r="AQ302" s="7" t="s">
        <v>31</v>
      </c>
      <c r="AR302" s="7" t="s">
        <v>32</v>
      </c>
      <c r="AT302" s="7" t="s">
        <v>14</v>
      </c>
      <c r="AU302" s="7" t="s">
        <v>15</v>
      </c>
      <c r="AV302" s="7" t="s">
        <v>16</v>
      </c>
      <c r="AW302" s="7" t="s">
        <v>17</v>
      </c>
      <c r="AX302" s="7" t="s">
        <v>18</v>
      </c>
    </row>
    <row r="303">
      <c r="A303" s="2" t="b">
        <v>1</v>
      </c>
      <c r="B303" s="2" t="b">
        <v>1</v>
      </c>
      <c r="C303" s="2" t="b">
        <v>1</v>
      </c>
      <c r="D303" s="2" t="b">
        <v>1</v>
      </c>
      <c r="E303" s="2" t="b">
        <v>0</v>
      </c>
      <c r="F303" s="2" t="b">
        <v>1</v>
      </c>
      <c r="G303" s="2" t="b">
        <v>1</v>
      </c>
      <c r="H303" s="2" t="b">
        <v>1</v>
      </c>
      <c r="I303" s="2" t="b">
        <v>1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  <c r="O303" s="2" t="b">
        <v>0</v>
      </c>
      <c r="P303" s="2" t="b">
        <v>0</v>
      </c>
      <c r="Q303" s="2" t="b">
        <v>0</v>
      </c>
      <c r="R303" s="2" t="b">
        <v>0</v>
      </c>
      <c r="S303" s="2" t="b">
        <v>0</v>
      </c>
      <c r="T303" s="2" t="b">
        <v>0</v>
      </c>
      <c r="U303" s="2" t="b">
        <v>0</v>
      </c>
      <c r="V303" s="2" t="b">
        <v>0</v>
      </c>
      <c r="W303" s="2" t="b">
        <v>0</v>
      </c>
      <c r="X303" s="2" t="b">
        <v>0</v>
      </c>
      <c r="Y303" s="2" t="b">
        <v>0</v>
      </c>
      <c r="Z303" s="2" t="b">
        <v>0</v>
      </c>
      <c r="AA303" s="2" t="b">
        <v>0</v>
      </c>
      <c r="AB303" s="2" t="b">
        <v>0</v>
      </c>
      <c r="AC303" s="2" t="b">
        <v>0</v>
      </c>
      <c r="AD303" s="2" t="b">
        <v>0</v>
      </c>
      <c r="AE303" s="2" t="b">
        <v>0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  <c r="AL303" s="2" t="b">
        <v>0</v>
      </c>
      <c r="AM303" s="2" t="b">
        <v>0</v>
      </c>
      <c r="AN303" s="2" t="b">
        <v>0</v>
      </c>
      <c r="AO303" s="2" t="b">
        <v>0</v>
      </c>
      <c r="AP303" s="2" t="b">
        <v>0</v>
      </c>
      <c r="AQ303" s="2" t="b">
        <v>0</v>
      </c>
      <c r="AR303" s="2" t="b">
        <v>0</v>
      </c>
      <c r="AS303" s="2" t="b">
        <v>0</v>
      </c>
      <c r="AT303" s="2" t="b">
        <v>0</v>
      </c>
      <c r="AU303" s="2" t="b">
        <v>0</v>
      </c>
      <c r="AV303" s="2" t="b">
        <v>0</v>
      </c>
      <c r="AW303" s="2" t="b">
        <v>0</v>
      </c>
      <c r="AX303" s="2" t="b">
        <v>0</v>
      </c>
    </row>
    <row r="304">
      <c r="E304" s="2">
        <v>0.0</v>
      </c>
      <c r="J304" s="2">
        <v>0.0</v>
      </c>
    </row>
    <row r="305">
      <c r="E305" s="2">
        <v>0.0</v>
      </c>
      <c r="J305" s="2">
        <v>0.0</v>
      </c>
    </row>
    <row r="306">
      <c r="E306" s="2">
        <v>0.0</v>
      </c>
      <c r="J306" s="2">
        <v>0.0</v>
      </c>
    </row>
    <row r="307">
      <c r="A307" s="2">
        <v>4.0</v>
      </c>
      <c r="E307" s="2">
        <v>0.0</v>
      </c>
      <c r="J307" s="2">
        <v>0.0</v>
      </c>
    </row>
    <row r="308">
      <c r="E308" s="2">
        <v>0.0</v>
      </c>
      <c r="F308" s="2">
        <v>4.0</v>
      </c>
      <c r="J308" s="2">
        <v>0.0</v>
      </c>
    </row>
    <row r="309">
      <c r="D309" s="2">
        <v>4.0</v>
      </c>
      <c r="E309" s="2">
        <v>0.0</v>
      </c>
      <c r="J309" s="2">
        <v>0.0</v>
      </c>
    </row>
    <row r="310">
      <c r="E310" s="2">
        <v>0.0</v>
      </c>
      <c r="I310" s="2">
        <v>4.0</v>
      </c>
      <c r="J310" s="2">
        <v>0.0</v>
      </c>
    </row>
    <row r="311">
      <c r="B311" s="2">
        <v>4.0</v>
      </c>
      <c r="E311" s="2">
        <v>0.0</v>
      </c>
      <c r="J311" s="2">
        <v>0.0</v>
      </c>
    </row>
    <row r="312">
      <c r="D312" s="2">
        <v>4.0</v>
      </c>
      <c r="E312" s="2">
        <v>0.0</v>
      </c>
      <c r="J312" s="2">
        <v>0.0</v>
      </c>
    </row>
    <row r="313">
      <c r="D313" s="2">
        <v>4.0</v>
      </c>
      <c r="E313" s="2">
        <v>0.0</v>
      </c>
      <c r="J313" s="2">
        <v>0.0</v>
      </c>
    </row>
    <row r="314">
      <c r="E314" s="2">
        <v>0.0</v>
      </c>
      <c r="H314" s="2">
        <v>4.0</v>
      </c>
      <c r="J314" s="2">
        <v>0.0</v>
      </c>
    </row>
    <row r="315">
      <c r="E315" s="2">
        <v>0.0</v>
      </c>
      <c r="J315" s="2">
        <v>0.0</v>
      </c>
    </row>
    <row r="316">
      <c r="A316" s="2" t="b">
        <v>1</v>
      </c>
      <c r="B316" s="2" t="b">
        <v>1</v>
      </c>
      <c r="C316" s="2" t="b">
        <v>1</v>
      </c>
      <c r="D316" s="2" t="b">
        <v>1</v>
      </c>
      <c r="E316" s="2" t="b">
        <v>0</v>
      </c>
      <c r="F316" s="2" t="b">
        <v>1</v>
      </c>
      <c r="G316" s="2" t="b">
        <v>1</v>
      </c>
      <c r="H316" s="2" t="b">
        <v>1</v>
      </c>
      <c r="I316" s="2" t="b">
        <v>1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  <c r="O316" s="2" t="b">
        <v>0</v>
      </c>
      <c r="P316" s="2" t="b">
        <v>0</v>
      </c>
      <c r="Q316" s="2" t="b">
        <v>0</v>
      </c>
      <c r="R316" s="2" t="b">
        <v>0</v>
      </c>
      <c r="S316" s="2" t="b">
        <v>0</v>
      </c>
      <c r="T316" s="2" t="b">
        <v>0</v>
      </c>
      <c r="U316" s="2" t="b">
        <v>0</v>
      </c>
      <c r="V316" s="2" t="b">
        <v>0</v>
      </c>
      <c r="W316" s="2" t="b">
        <v>0</v>
      </c>
      <c r="X316" s="2" t="b">
        <v>0</v>
      </c>
      <c r="Y316" s="2" t="b">
        <v>0</v>
      </c>
      <c r="Z316" s="2" t="b">
        <v>0</v>
      </c>
      <c r="AA316" s="2" t="b">
        <v>0</v>
      </c>
      <c r="AB316" s="2" t="b">
        <v>0</v>
      </c>
      <c r="AC316" s="2" t="b">
        <v>0</v>
      </c>
      <c r="AD316" s="2" t="b">
        <v>0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  <c r="AL316" s="2" t="b">
        <v>0</v>
      </c>
      <c r="AM316" s="2" t="b">
        <v>0</v>
      </c>
      <c r="AN316" s="2" t="b">
        <v>0</v>
      </c>
      <c r="AO316" s="2" t="b">
        <v>0</v>
      </c>
      <c r="AP316" s="2" t="b">
        <v>0</v>
      </c>
      <c r="AQ316" s="2" t="b">
        <v>0</v>
      </c>
      <c r="AR316" s="2" t="b">
        <v>0</v>
      </c>
      <c r="AS316" s="2" t="b">
        <v>0</v>
      </c>
      <c r="AT316" s="2" t="b">
        <v>0</v>
      </c>
      <c r="AU316" s="2" t="b">
        <v>0</v>
      </c>
      <c r="AV316" s="2" t="b">
        <v>0</v>
      </c>
      <c r="AW316" s="2" t="b">
        <v>0</v>
      </c>
      <c r="AX316" s="2" t="b">
        <v>0</v>
      </c>
    </row>
    <row r="317">
      <c r="E317" s="2">
        <v>0.0</v>
      </c>
      <c r="J317" s="2">
        <v>0.0</v>
      </c>
    </row>
    <row r="318">
      <c r="D318" s="2">
        <v>4.0</v>
      </c>
      <c r="E318" s="2">
        <v>0.0</v>
      </c>
      <c r="J318" s="2">
        <v>0.0</v>
      </c>
    </row>
    <row r="319">
      <c r="D319" s="2">
        <v>4.0</v>
      </c>
      <c r="E319" s="2">
        <v>0.0</v>
      </c>
      <c r="J319" s="2">
        <v>0.0</v>
      </c>
    </row>
    <row r="320">
      <c r="C320" s="2">
        <v>-4.0</v>
      </c>
      <c r="E320" s="2">
        <v>0.0</v>
      </c>
      <c r="G320" s="2">
        <v>4.0</v>
      </c>
      <c r="J320" s="2">
        <v>0.0</v>
      </c>
    </row>
    <row r="321">
      <c r="E321" s="2">
        <v>0.0</v>
      </c>
      <c r="J321" s="2">
        <v>0.0</v>
      </c>
    </row>
    <row r="322">
      <c r="E322" s="2">
        <v>0.0</v>
      </c>
      <c r="J322" s="2">
        <v>0.0</v>
      </c>
    </row>
    <row r="323">
      <c r="A323" s="2">
        <v>4.0</v>
      </c>
      <c r="E323" s="2">
        <v>0.0</v>
      </c>
      <c r="J323" s="2">
        <v>0.0</v>
      </c>
    </row>
    <row r="324">
      <c r="E324" s="2">
        <v>0.0</v>
      </c>
      <c r="H324" s="2">
        <v>4.0</v>
      </c>
      <c r="J324" s="2">
        <v>0.0</v>
      </c>
    </row>
    <row r="325">
      <c r="D325" s="2">
        <v>4.0</v>
      </c>
      <c r="E325" s="2">
        <v>0.0</v>
      </c>
      <c r="J325" s="2">
        <v>0.0</v>
      </c>
    </row>
    <row r="326">
      <c r="D326" s="2">
        <v>4.0</v>
      </c>
      <c r="E326" s="2">
        <v>0.0</v>
      </c>
      <c r="J326" s="2">
        <v>0.0</v>
      </c>
    </row>
    <row r="327">
      <c r="D327" s="2">
        <v>-4.0</v>
      </c>
      <c r="E327" s="2">
        <v>0.0</v>
      </c>
      <c r="H327" s="2">
        <v>4.0</v>
      </c>
      <c r="J327" s="2">
        <v>0.0</v>
      </c>
    </row>
    <row r="328">
      <c r="E328" s="2">
        <v>0.0</v>
      </c>
      <c r="J328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2</v>
      </c>
      <c r="D1" s="1" t="s">
        <v>3</v>
      </c>
      <c r="E1" s="1" t="s">
        <v>0</v>
      </c>
      <c r="F1" s="1" t="s">
        <v>5</v>
      </c>
      <c r="G1" s="1" t="s">
        <v>2</v>
      </c>
      <c r="H1" s="1" t="s">
        <v>7</v>
      </c>
      <c r="I1" s="1" t="s">
        <v>6</v>
      </c>
      <c r="J1" s="1" t="s">
        <v>5</v>
      </c>
      <c r="K1" s="1" t="s">
        <v>9</v>
      </c>
      <c r="L1" s="1" t="s">
        <v>3</v>
      </c>
      <c r="M1" s="1" t="s">
        <v>8</v>
      </c>
      <c r="N1" s="1" t="s">
        <v>2</v>
      </c>
      <c r="O1" s="1" t="s">
        <v>9</v>
      </c>
      <c r="P1" s="1" t="s">
        <v>6</v>
      </c>
      <c r="Q1" s="1" t="s">
        <v>3</v>
      </c>
      <c r="R1" s="1" t="s">
        <v>9</v>
      </c>
      <c r="S1" s="1" t="s">
        <v>6</v>
      </c>
      <c r="T1" s="1" t="s">
        <v>9</v>
      </c>
      <c r="U1" s="1" t="s">
        <v>1</v>
      </c>
      <c r="V1" s="1" t="s">
        <v>2</v>
      </c>
      <c r="W1" s="1" t="s">
        <v>8</v>
      </c>
      <c r="X1" s="1" t="s">
        <v>0</v>
      </c>
      <c r="Y1" s="1" t="s">
        <v>2</v>
      </c>
      <c r="Z1" s="1" t="s">
        <v>7</v>
      </c>
      <c r="AA1" s="1" t="s">
        <v>0</v>
      </c>
      <c r="AB1" s="1" t="s">
        <v>7</v>
      </c>
      <c r="AC1" s="1" t="s">
        <v>9</v>
      </c>
      <c r="AD1" s="1" t="s">
        <v>7</v>
      </c>
      <c r="AE1" s="1" t="s">
        <v>1</v>
      </c>
      <c r="AF1" s="1" t="s">
        <v>0</v>
      </c>
      <c r="AG1" s="1" t="s">
        <v>4</v>
      </c>
      <c r="AH1" s="1" t="s">
        <v>4</v>
      </c>
      <c r="AI1" s="1" t="s">
        <v>8</v>
      </c>
      <c r="AJ1" s="1" t="s">
        <v>4</v>
      </c>
      <c r="AK1" s="1" t="s">
        <v>7</v>
      </c>
      <c r="AL1" s="1" t="s">
        <v>6</v>
      </c>
      <c r="AM1" s="1" t="s">
        <v>8</v>
      </c>
      <c r="AN1" s="1" t="s">
        <v>4</v>
      </c>
      <c r="AO1" s="1" t="s">
        <v>5</v>
      </c>
      <c r="AP1" s="1" t="s">
        <v>5</v>
      </c>
      <c r="AQ1" s="1" t="s">
        <v>6</v>
      </c>
      <c r="AR1" s="1" t="s">
        <v>4</v>
      </c>
      <c r="AS1" s="1" t="s">
        <v>1</v>
      </c>
      <c r="AT1" s="1" t="s">
        <v>1</v>
      </c>
      <c r="AU1" s="1" t="s">
        <v>1</v>
      </c>
      <c r="AV1" s="1" t="s">
        <v>8</v>
      </c>
      <c r="AW1" s="1" t="s">
        <v>3</v>
      </c>
      <c r="AX1" s="1" t="s">
        <v>3</v>
      </c>
      <c r="AY1" s="1" t="s">
        <v>5</v>
      </c>
    </row>
    <row r="2">
      <c r="B2" s="1" t="s">
        <v>46</v>
      </c>
      <c r="C2" s="1" t="s">
        <v>35</v>
      </c>
      <c r="D2" s="1" t="s">
        <v>47</v>
      </c>
      <c r="E2" s="1" t="s">
        <v>43</v>
      </c>
      <c r="F2" s="1" t="s">
        <v>52</v>
      </c>
      <c r="G2" s="1" t="s">
        <v>34</v>
      </c>
      <c r="H2" s="1" t="s">
        <v>26</v>
      </c>
      <c r="I2" s="1" t="s">
        <v>21</v>
      </c>
      <c r="J2" s="1" t="s">
        <v>21</v>
      </c>
      <c r="K2" s="1" t="s">
        <v>39</v>
      </c>
      <c r="L2" s="1" t="s">
        <v>48</v>
      </c>
      <c r="M2" s="1" t="s">
        <v>30</v>
      </c>
      <c r="N2" s="1" t="s">
        <v>36</v>
      </c>
      <c r="O2" s="1" t="s">
        <v>40</v>
      </c>
      <c r="P2" s="1" t="s">
        <v>23</v>
      </c>
      <c r="Q2" s="1" t="s">
        <v>49</v>
      </c>
      <c r="R2" s="1" t="s">
        <v>42</v>
      </c>
      <c r="S2" s="1" t="s">
        <v>22</v>
      </c>
      <c r="T2" s="1" t="s">
        <v>41</v>
      </c>
      <c r="U2" s="1" t="s">
        <v>13</v>
      </c>
      <c r="V2" s="1" t="s">
        <v>33</v>
      </c>
      <c r="W2" s="1" t="s">
        <v>31</v>
      </c>
      <c r="X2" s="1" t="s">
        <v>45</v>
      </c>
      <c r="Y2" s="1" t="s">
        <v>37</v>
      </c>
      <c r="Z2" s="1" t="s">
        <v>25</v>
      </c>
      <c r="AA2" s="1" t="s">
        <v>44</v>
      </c>
      <c r="AB2" s="1" t="s">
        <v>24</v>
      </c>
      <c r="AC2" s="1" t="s">
        <v>38</v>
      </c>
      <c r="AD2" s="1" t="s">
        <v>27</v>
      </c>
      <c r="AE2" s="1" t="s">
        <v>12</v>
      </c>
      <c r="AF2" s="1" t="s">
        <v>12</v>
      </c>
      <c r="AG2" s="1" t="s">
        <v>16</v>
      </c>
      <c r="AH2" s="1" t="s">
        <v>17</v>
      </c>
      <c r="AI2" s="1" t="s">
        <v>32</v>
      </c>
      <c r="AJ2" s="1" t="s">
        <v>18</v>
      </c>
      <c r="AK2" s="1" t="s">
        <v>28</v>
      </c>
      <c r="AL2" s="1" t="s">
        <v>19</v>
      </c>
      <c r="AM2" s="1" t="s">
        <v>29</v>
      </c>
      <c r="AN2" s="1" t="s">
        <v>14</v>
      </c>
      <c r="AO2" s="1" t="s">
        <v>51</v>
      </c>
      <c r="AP2" s="1" t="s">
        <v>50</v>
      </c>
      <c r="AQ2" s="1" t="s">
        <v>20</v>
      </c>
      <c r="AR2" s="1" t="s">
        <v>15</v>
      </c>
    </row>
    <row r="3">
      <c r="B3" s="1" t="b">
        <v>1</v>
      </c>
      <c r="C3" s="1" t="b">
        <v>1</v>
      </c>
      <c r="D3" s="1" t="b">
        <v>0</v>
      </c>
      <c r="E3" s="1" t="b">
        <v>1</v>
      </c>
      <c r="F3" s="1" t="b">
        <v>0</v>
      </c>
      <c r="G3" s="1" t="b">
        <v>1</v>
      </c>
      <c r="H3" s="1" t="b">
        <v>1</v>
      </c>
      <c r="I3" s="1" t="b">
        <v>1</v>
      </c>
      <c r="J3" s="1" t="b">
        <v>0</v>
      </c>
      <c r="K3" s="1" t="b">
        <v>1</v>
      </c>
      <c r="L3" s="1" t="b">
        <v>0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0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0</v>
      </c>
      <c r="Z3" s="1" t="b">
        <v>1</v>
      </c>
      <c r="AA3" s="1" t="b">
        <v>1</v>
      </c>
      <c r="AB3" s="1" t="b">
        <v>1</v>
      </c>
      <c r="AC3" s="1" t="b">
        <v>1</v>
      </c>
      <c r="AD3" s="1" t="b">
        <v>1</v>
      </c>
      <c r="AE3" s="1" t="b">
        <v>1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b">
        <v>0</v>
      </c>
      <c r="AL3" s="1" t="b">
        <v>1</v>
      </c>
      <c r="AM3" s="1" t="b">
        <v>1</v>
      </c>
      <c r="AN3" s="1" t="b">
        <v>1</v>
      </c>
      <c r="AO3" s="1" t="b">
        <v>0</v>
      </c>
      <c r="AP3" s="1" t="b">
        <v>0</v>
      </c>
      <c r="AQ3" s="1" t="b">
        <v>0</v>
      </c>
      <c r="AR3" s="1" t="b">
        <v>1</v>
      </c>
      <c r="AS3" s="1" t="b">
        <v>0</v>
      </c>
      <c r="AT3" s="1" t="b">
        <v>0</v>
      </c>
      <c r="AU3" s="1" t="b">
        <v>0</v>
      </c>
      <c r="AV3" s="1" t="b">
        <v>0</v>
      </c>
      <c r="AW3" s="1" t="b">
        <v>0</v>
      </c>
      <c r="AX3" s="1" t="b">
        <v>0</v>
      </c>
      <c r="AY3" s="1" t="b">
        <v>0</v>
      </c>
    </row>
    <row r="4">
      <c r="A4" s="2" t="s">
        <v>53</v>
      </c>
      <c r="G4" s="1">
        <v>-4.0</v>
      </c>
      <c r="W4" s="1">
        <v>4.0</v>
      </c>
      <c r="Y4" s="1">
        <v>0.0</v>
      </c>
      <c r="AD4" s="1">
        <v>0.0</v>
      </c>
      <c r="AE4" s="1">
        <v>4.0</v>
      </c>
      <c r="AK4" s="1">
        <v>0.0</v>
      </c>
      <c r="AL4" s="1">
        <v>0.0</v>
      </c>
      <c r="AQ4" s="1">
        <v>0.0</v>
      </c>
      <c r="AS4" s="1">
        <v>0.0</v>
      </c>
      <c r="AT4" s="1">
        <v>0.0</v>
      </c>
      <c r="AU4" s="1">
        <v>0.0</v>
      </c>
      <c r="AV4" s="1">
        <v>0.0</v>
      </c>
    </row>
    <row r="5">
      <c r="A5" s="2" t="s">
        <v>54</v>
      </c>
      <c r="I5" s="1">
        <v>4.0</v>
      </c>
      <c r="N5" s="1">
        <v>4.0</v>
      </c>
      <c r="O5" s="1">
        <v>4.0</v>
      </c>
      <c r="U5" s="1">
        <v>4.0</v>
      </c>
      <c r="Y5" s="1">
        <v>0.0</v>
      </c>
      <c r="AK5" s="1">
        <v>0.0</v>
      </c>
      <c r="AQ5" s="1">
        <v>0.0</v>
      </c>
      <c r="AS5" s="1">
        <v>0.0</v>
      </c>
      <c r="AT5" s="1">
        <v>0.0</v>
      </c>
      <c r="AU5" s="1">
        <v>0.0</v>
      </c>
      <c r="AV5" s="1">
        <v>0.0</v>
      </c>
    </row>
    <row r="6">
      <c r="A6" s="2" t="s">
        <v>55</v>
      </c>
      <c r="C6" s="1">
        <v>0.0</v>
      </c>
      <c r="S6" s="1">
        <v>4.0</v>
      </c>
      <c r="Y6" s="1">
        <v>0.0</v>
      </c>
      <c r="AK6" s="1">
        <v>0.0</v>
      </c>
      <c r="AQ6" s="1">
        <v>0.0</v>
      </c>
      <c r="AS6" s="1">
        <v>0.0</v>
      </c>
      <c r="AT6" s="1">
        <v>0.0</v>
      </c>
      <c r="AU6" s="1">
        <v>0.0</v>
      </c>
      <c r="AV6" s="1">
        <v>0.0</v>
      </c>
    </row>
    <row r="7">
      <c r="A7" s="2" t="s">
        <v>56</v>
      </c>
      <c r="G7" s="1">
        <v>4.0</v>
      </c>
      <c r="K7" s="1">
        <v>0.0</v>
      </c>
      <c r="Y7" s="1">
        <v>0.0</v>
      </c>
      <c r="AA7" s="1">
        <v>4.0</v>
      </c>
      <c r="AB7" s="1">
        <v>4.0</v>
      </c>
      <c r="AK7" s="1">
        <v>0.0</v>
      </c>
      <c r="AQ7" s="1">
        <v>0.0</v>
      </c>
      <c r="AS7" s="1">
        <v>0.0</v>
      </c>
      <c r="AT7" s="1">
        <v>0.0</v>
      </c>
      <c r="AU7" s="1">
        <v>0.0</v>
      </c>
      <c r="AV7" s="1">
        <v>0.0</v>
      </c>
    </row>
    <row r="8">
      <c r="A8" s="2" t="s">
        <v>57</v>
      </c>
      <c r="C8" s="1">
        <v>0.0</v>
      </c>
      <c r="E8" s="1">
        <v>4.0</v>
      </c>
      <c r="H8" s="1">
        <v>0.0</v>
      </c>
      <c r="Y8" s="1">
        <v>0.0</v>
      </c>
      <c r="AE8" s="1">
        <v>4.0</v>
      </c>
      <c r="AI8" s="1">
        <v>0.0</v>
      </c>
      <c r="AK8" s="1">
        <v>0.0</v>
      </c>
      <c r="AL8" s="1">
        <v>0.0</v>
      </c>
      <c r="AQ8" s="1">
        <v>0.0</v>
      </c>
      <c r="AS8" s="1">
        <v>0.0</v>
      </c>
      <c r="AT8" s="1">
        <v>0.0</v>
      </c>
      <c r="AU8" s="1">
        <v>0.0</v>
      </c>
      <c r="AV8" s="1">
        <v>0.0</v>
      </c>
    </row>
    <row r="9">
      <c r="A9" s="2" t="s">
        <v>58</v>
      </c>
      <c r="C9" s="1">
        <v>0.0</v>
      </c>
      <c r="E9" s="1">
        <v>4.0</v>
      </c>
      <c r="W9" s="1">
        <v>0.0</v>
      </c>
      <c r="Y9" s="1">
        <v>0.0</v>
      </c>
      <c r="AB9" s="1">
        <v>4.0</v>
      </c>
      <c r="AH9" s="1">
        <v>4.0</v>
      </c>
      <c r="AK9" s="1">
        <v>0.0</v>
      </c>
      <c r="AQ9" s="1">
        <v>0.0</v>
      </c>
      <c r="AS9" s="1">
        <v>0.0</v>
      </c>
      <c r="AT9" s="1">
        <v>0.0</v>
      </c>
      <c r="AU9" s="1">
        <v>0.0</v>
      </c>
      <c r="AV9" s="1">
        <v>0.0</v>
      </c>
    </row>
    <row r="10">
      <c r="A10" s="2" t="s">
        <v>53</v>
      </c>
      <c r="V10" s="1">
        <v>4.0</v>
      </c>
      <c r="Y10" s="1">
        <v>0.0</v>
      </c>
      <c r="AD10" s="1">
        <v>4.0</v>
      </c>
      <c r="AF10" s="1">
        <v>4.0</v>
      </c>
      <c r="AK10" s="1">
        <v>0.0</v>
      </c>
      <c r="AQ10" s="1">
        <v>0.0</v>
      </c>
      <c r="AS10" s="1">
        <v>0.0</v>
      </c>
      <c r="AT10" s="1">
        <v>0.0</v>
      </c>
      <c r="AU10" s="1">
        <v>0.0</v>
      </c>
      <c r="AV10" s="1">
        <v>0.0</v>
      </c>
    </row>
    <row r="11">
      <c r="A11" s="2" t="s">
        <v>54</v>
      </c>
      <c r="E11" s="1">
        <v>0.0</v>
      </c>
      <c r="H11" s="1">
        <v>0.0</v>
      </c>
      <c r="Y11" s="1">
        <v>0.0</v>
      </c>
      <c r="AC11" s="1">
        <v>4.0</v>
      </c>
      <c r="AK11" s="1">
        <v>0.0</v>
      </c>
      <c r="AL11" s="1">
        <v>0.0</v>
      </c>
      <c r="AQ11" s="1">
        <v>0.0</v>
      </c>
      <c r="AR11" s="1">
        <v>4.0</v>
      </c>
      <c r="AS11" s="1">
        <v>0.0</v>
      </c>
      <c r="AT11" s="1">
        <v>0.0</v>
      </c>
      <c r="AU11" s="1">
        <v>0.0</v>
      </c>
      <c r="AV11" s="1">
        <v>0.0</v>
      </c>
    </row>
    <row r="12">
      <c r="A12" s="2" t="s">
        <v>55</v>
      </c>
      <c r="E12" s="1">
        <v>0.0</v>
      </c>
      <c r="R12" s="1">
        <v>4.0</v>
      </c>
      <c r="S12" s="1">
        <v>4.0</v>
      </c>
      <c r="V12" s="1">
        <v>4.0</v>
      </c>
      <c r="Y12" s="1">
        <v>0.0</v>
      </c>
      <c r="AE12" s="1">
        <v>4.0</v>
      </c>
      <c r="AK12" s="1">
        <v>0.0</v>
      </c>
      <c r="AQ12" s="1">
        <v>0.0</v>
      </c>
      <c r="AS12" s="1">
        <v>0.0</v>
      </c>
      <c r="AT12" s="1">
        <v>0.0</v>
      </c>
      <c r="AU12" s="1">
        <v>0.0</v>
      </c>
      <c r="AV12" s="1">
        <v>0.0</v>
      </c>
    </row>
    <row r="13">
      <c r="A13" s="2" t="s">
        <v>56</v>
      </c>
      <c r="C13" s="1">
        <v>4.0</v>
      </c>
      <c r="E13" s="1">
        <v>0.0</v>
      </c>
      <c r="T13" s="1">
        <v>0.0</v>
      </c>
      <c r="Y13" s="1">
        <v>0.0</v>
      </c>
      <c r="AB13" s="1">
        <v>4.0</v>
      </c>
      <c r="AK13" s="1">
        <v>0.0</v>
      </c>
      <c r="AQ13" s="1">
        <v>0.0</v>
      </c>
      <c r="AS13" s="1">
        <v>0.0</v>
      </c>
      <c r="AT13" s="1">
        <v>0.0</v>
      </c>
      <c r="AU13" s="1">
        <v>0.0</v>
      </c>
      <c r="AV13" s="1">
        <v>0.0</v>
      </c>
    </row>
    <row r="14">
      <c r="A14" s="2" t="s">
        <v>57</v>
      </c>
      <c r="B14" s="1">
        <v>4.0</v>
      </c>
      <c r="H14" s="1">
        <v>0.0</v>
      </c>
      <c r="K14" s="1">
        <v>0.0</v>
      </c>
      <c r="M14" s="1">
        <v>0.0</v>
      </c>
      <c r="V14" s="1">
        <v>4.0</v>
      </c>
      <c r="Y14" s="1">
        <v>0.0</v>
      </c>
      <c r="AG14" s="1">
        <v>4.0</v>
      </c>
      <c r="AK14" s="1">
        <v>0.0</v>
      </c>
      <c r="AL14" s="1">
        <v>0.0</v>
      </c>
      <c r="AQ14" s="1">
        <v>0.0</v>
      </c>
      <c r="AS14" s="1">
        <v>0.0</v>
      </c>
      <c r="AT14" s="1">
        <v>0.0</v>
      </c>
      <c r="AU14" s="1">
        <v>0.0</v>
      </c>
      <c r="AV14" s="1">
        <v>0.0</v>
      </c>
    </row>
    <row r="15">
      <c r="A15" s="2" t="s">
        <v>58</v>
      </c>
      <c r="C15" s="1">
        <v>4.0</v>
      </c>
      <c r="R15" s="1">
        <v>4.0</v>
      </c>
      <c r="W15" s="1">
        <v>0.0</v>
      </c>
      <c r="Y15" s="1">
        <v>0.0</v>
      </c>
      <c r="Z15" s="1">
        <v>4.0</v>
      </c>
      <c r="AK15" s="1">
        <v>0.0</v>
      </c>
      <c r="AQ15" s="1">
        <v>0.0</v>
      </c>
      <c r="AS15" s="1">
        <v>0.0</v>
      </c>
      <c r="AT15" s="1">
        <v>0.0</v>
      </c>
      <c r="AU15" s="1">
        <v>0.0</v>
      </c>
      <c r="AV15" s="1">
        <v>0.0</v>
      </c>
    </row>
    <row r="16">
      <c r="B16" s="1" t="b">
        <v>1</v>
      </c>
      <c r="C16" s="1" t="b">
        <v>1</v>
      </c>
      <c r="D16" s="1" t="b">
        <v>0</v>
      </c>
      <c r="E16" s="1" t="b">
        <v>1</v>
      </c>
      <c r="F16" s="1" t="b">
        <v>0</v>
      </c>
      <c r="G16" s="1" t="b">
        <v>1</v>
      </c>
      <c r="H16" s="1" t="b">
        <v>1</v>
      </c>
      <c r="I16" s="1" t="b">
        <v>1</v>
      </c>
      <c r="J16" s="1" t="b">
        <v>0</v>
      </c>
      <c r="K16" s="1" t="b">
        <v>1</v>
      </c>
      <c r="L16" s="1" t="b">
        <v>0</v>
      </c>
      <c r="M16" s="1" t="b">
        <v>1</v>
      </c>
      <c r="N16" s="1" t="b">
        <v>1</v>
      </c>
      <c r="O16" s="1" t="b">
        <v>1</v>
      </c>
      <c r="P16" s="1" t="b">
        <v>1</v>
      </c>
      <c r="Q16" s="1" t="b">
        <v>0</v>
      </c>
      <c r="R16" s="1" t="b">
        <v>1</v>
      </c>
      <c r="S16" s="1" t="b">
        <v>1</v>
      </c>
      <c r="T16" s="1" t="b">
        <v>1</v>
      </c>
      <c r="U16" s="1" t="b">
        <v>1</v>
      </c>
      <c r="V16" s="1" t="b">
        <v>1</v>
      </c>
      <c r="W16" s="1" t="b">
        <v>1</v>
      </c>
      <c r="X16" s="1" t="b">
        <v>1</v>
      </c>
      <c r="Y16" s="1" t="b">
        <v>0</v>
      </c>
      <c r="Z16" s="1" t="b">
        <v>1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1</v>
      </c>
      <c r="AH16" s="1" t="b">
        <v>1</v>
      </c>
      <c r="AI16" s="1" t="b">
        <v>1</v>
      </c>
      <c r="AJ16" s="1" t="b">
        <v>1</v>
      </c>
      <c r="AK16" s="1" t="b">
        <v>0</v>
      </c>
      <c r="AL16" s="1" t="b">
        <v>1</v>
      </c>
      <c r="AM16" s="1" t="b">
        <v>1</v>
      </c>
      <c r="AN16" s="1" t="b">
        <v>1</v>
      </c>
      <c r="AO16" s="1" t="b">
        <v>0</v>
      </c>
      <c r="AP16" s="1" t="b">
        <v>0</v>
      </c>
      <c r="AQ16" s="1" t="b">
        <v>0</v>
      </c>
      <c r="AR16" s="1" t="b">
        <v>1</v>
      </c>
      <c r="AS16" s="1" t="b">
        <v>0</v>
      </c>
      <c r="AT16" s="1" t="b">
        <v>0</v>
      </c>
      <c r="AU16" s="1" t="b">
        <v>0</v>
      </c>
      <c r="AV16" s="1" t="b">
        <v>0</v>
      </c>
      <c r="AW16" s="1" t="b">
        <v>0</v>
      </c>
      <c r="AX16" s="1" t="b">
        <v>0</v>
      </c>
      <c r="AY16" s="1" t="b">
        <v>0</v>
      </c>
    </row>
    <row r="17">
      <c r="A17" s="2" t="s">
        <v>53</v>
      </c>
      <c r="B17" s="1">
        <v>4.0</v>
      </c>
      <c r="N17" s="1">
        <v>4.0</v>
      </c>
      <c r="Y17" s="1">
        <v>0.0</v>
      </c>
      <c r="AD17" s="1">
        <v>4.0</v>
      </c>
      <c r="AG17" s="1">
        <v>4.0</v>
      </c>
      <c r="AK17" s="1">
        <v>0.0</v>
      </c>
      <c r="AQ17" s="1">
        <v>0.0</v>
      </c>
      <c r="AS17" s="1">
        <v>0.0</v>
      </c>
      <c r="AT17" s="1">
        <v>0.0</v>
      </c>
      <c r="AU17" s="1">
        <v>0.0</v>
      </c>
      <c r="AV17" s="1">
        <v>0.0</v>
      </c>
    </row>
    <row r="18">
      <c r="A18" s="2" t="s">
        <v>54</v>
      </c>
      <c r="I18" s="1">
        <v>4.0</v>
      </c>
      <c r="M18" s="1">
        <v>4.0</v>
      </c>
      <c r="Y18" s="1">
        <v>0.0</v>
      </c>
      <c r="AA18" s="1">
        <v>0.0</v>
      </c>
      <c r="AC18" s="1">
        <v>0.0</v>
      </c>
      <c r="AG18" s="1">
        <v>4.0</v>
      </c>
      <c r="AK18" s="1">
        <v>0.0</v>
      </c>
      <c r="AQ18" s="1">
        <v>0.0</v>
      </c>
      <c r="AS18" s="1">
        <v>0.0</v>
      </c>
      <c r="AT18" s="1">
        <v>0.0</v>
      </c>
      <c r="AU18" s="1">
        <v>0.0</v>
      </c>
      <c r="AV18" s="1">
        <v>0.0</v>
      </c>
    </row>
    <row r="19">
      <c r="A19" s="2" t="s">
        <v>55</v>
      </c>
      <c r="E19" s="1">
        <v>0.0</v>
      </c>
      <c r="M19" s="1">
        <v>0.0</v>
      </c>
      <c r="S19" s="1">
        <v>4.0</v>
      </c>
      <c r="T19" s="1">
        <v>0.0</v>
      </c>
      <c r="U19" s="1">
        <v>4.0</v>
      </c>
      <c r="V19" s="1">
        <v>4.0</v>
      </c>
      <c r="Y19" s="1">
        <v>0.0</v>
      </c>
      <c r="AK19" s="1">
        <v>0.0</v>
      </c>
      <c r="AQ19" s="1">
        <v>0.0</v>
      </c>
      <c r="AS19" s="1">
        <v>0.0</v>
      </c>
      <c r="AT19" s="1">
        <v>0.0</v>
      </c>
      <c r="AU19" s="1">
        <v>0.0</v>
      </c>
      <c r="AV19" s="1">
        <v>0.0</v>
      </c>
    </row>
    <row r="20">
      <c r="A20" s="2" t="s">
        <v>56</v>
      </c>
      <c r="G20" s="1">
        <v>4.0</v>
      </c>
      <c r="Y20" s="1">
        <v>0.0</v>
      </c>
      <c r="AA20" s="1">
        <v>0.0</v>
      </c>
      <c r="AB20" s="1">
        <v>0.0</v>
      </c>
      <c r="AK20" s="1">
        <v>0.0</v>
      </c>
      <c r="AL20" s="1">
        <v>0.0</v>
      </c>
      <c r="AQ20" s="1">
        <v>0.0</v>
      </c>
      <c r="AS20" s="1">
        <v>0.0</v>
      </c>
      <c r="AT20" s="1">
        <v>0.0</v>
      </c>
      <c r="AU20" s="1">
        <v>0.0</v>
      </c>
      <c r="AV20" s="1">
        <v>0.0</v>
      </c>
    </row>
    <row r="21">
      <c r="A21" s="2" t="s">
        <v>57</v>
      </c>
      <c r="C21" s="1">
        <v>4.0</v>
      </c>
      <c r="I21" s="1">
        <v>4.0</v>
      </c>
      <c r="U21" s="1">
        <v>4.0</v>
      </c>
      <c r="Y21" s="1">
        <v>0.0</v>
      </c>
      <c r="AF21" s="1">
        <v>4.0</v>
      </c>
      <c r="AK21" s="1">
        <v>0.0</v>
      </c>
      <c r="AQ21" s="1">
        <v>0.0</v>
      </c>
      <c r="AS21" s="1">
        <v>0.0</v>
      </c>
      <c r="AT21" s="1">
        <v>0.0</v>
      </c>
      <c r="AU21" s="1">
        <v>0.0</v>
      </c>
      <c r="AV21" s="1">
        <v>0.0</v>
      </c>
    </row>
    <row r="22">
      <c r="A22" s="2" t="s">
        <v>58</v>
      </c>
      <c r="H22" s="1">
        <v>4.0</v>
      </c>
      <c r="M22" s="1">
        <v>4.0</v>
      </c>
      <c r="T22" s="1">
        <v>4.0</v>
      </c>
      <c r="Y22" s="1">
        <v>0.0</v>
      </c>
      <c r="AG22" s="1">
        <v>4.0</v>
      </c>
      <c r="AK22" s="1">
        <v>0.0</v>
      </c>
      <c r="AQ22" s="1">
        <v>0.0</v>
      </c>
      <c r="AS22" s="1">
        <v>0.0</v>
      </c>
      <c r="AT22" s="1">
        <v>0.0</v>
      </c>
      <c r="AU22" s="1">
        <v>0.0</v>
      </c>
      <c r="AV22" s="1">
        <v>0.0</v>
      </c>
    </row>
    <row r="23">
      <c r="A23" s="2" t="s">
        <v>53</v>
      </c>
      <c r="C23" s="1">
        <v>0.0</v>
      </c>
      <c r="E23" s="1">
        <v>0.0</v>
      </c>
      <c r="M23" s="1">
        <v>0.0</v>
      </c>
      <c r="O23" s="1">
        <v>0.0</v>
      </c>
      <c r="Y23" s="1">
        <v>0.0</v>
      </c>
      <c r="AK23" s="1">
        <v>0.0</v>
      </c>
      <c r="AQ23" s="1">
        <v>0.0</v>
      </c>
      <c r="AS23" s="1">
        <v>0.0</v>
      </c>
      <c r="AT23" s="1">
        <v>0.0</v>
      </c>
      <c r="AU23" s="1">
        <v>0.0</v>
      </c>
      <c r="AV23" s="1">
        <v>0.0</v>
      </c>
    </row>
    <row r="24">
      <c r="A24" s="2" t="s">
        <v>54</v>
      </c>
      <c r="E24" s="1">
        <v>4.0</v>
      </c>
      <c r="H24" s="1">
        <v>4.0</v>
      </c>
      <c r="N24" s="1">
        <v>4.0</v>
      </c>
      <c r="Y24" s="1">
        <v>0.0</v>
      </c>
      <c r="AG24" s="1">
        <v>4.0</v>
      </c>
      <c r="AK24" s="1">
        <v>0.0</v>
      </c>
      <c r="AQ24" s="1">
        <v>0.0</v>
      </c>
      <c r="AS24" s="1">
        <v>0.0</v>
      </c>
      <c r="AT24" s="1">
        <v>0.0</v>
      </c>
      <c r="AU24" s="1">
        <v>0.0</v>
      </c>
      <c r="AV24" s="1">
        <v>0.0</v>
      </c>
    </row>
    <row r="25">
      <c r="A25" s="2" t="s">
        <v>55</v>
      </c>
      <c r="E25" s="1">
        <v>4.0</v>
      </c>
      <c r="M25" s="1">
        <v>-4.0</v>
      </c>
      <c r="N25" s="1">
        <v>4.0</v>
      </c>
      <c r="S25" s="1">
        <v>4.0</v>
      </c>
      <c r="U25" s="1">
        <v>4.0</v>
      </c>
      <c r="Y25" s="1">
        <v>0.0</v>
      </c>
      <c r="AG25" s="1">
        <v>-4.0</v>
      </c>
      <c r="AK25" s="1">
        <v>0.0</v>
      </c>
      <c r="AQ25" s="1">
        <v>0.0</v>
      </c>
      <c r="AS25" s="1">
        <v>0.0</v>
      </c>
      <c r="AT25" s="1">
        <v>0.0</v>
      </c>
      <c r="AU25" s="1">
        <v>0.0</v>
      </c>
      <c r="AV25" s="1">
        <v>0.0</v>
      </c>
    </row>
    <row r="26">
      <c r="A26" s="2" t="s">
        <v>56</v>
      </c>
      <c r="E26" s="1">
        <v>4.0</v>
      </c>
      <c r="G26" s="1">
        <v>4.0</v>
      </c>
      <c r="I26" s="1">
        <v>4.0</v>
      </c>
      <c r="Y26" s="1">
        <v>0.0</v>
      </c>
      <c r="AK26" s="1">
        <v>0.0</v>
      </c>
      <c r="AQ26" s="1">
        <v>0.0</v>
      </c>
      <c r="AS26" s="1">
        <v>0.0</v>
      </c>
      <c r="AT26" s="1">
        <v>0.0</v>
      </c>
      <c r="AU26" s="1">
        <v>0.0</v>
      </c>
      <c r="AV26" s="1">
        <v>0.0</v>
      </c>
    </row>
    <row r="27">
      <c r="A27" s="2" t="s">
        <v>57</v>
      </c>
      <c r="C27" s="1">
        <v>0.0</v>
      </c>
      <c r="P27" s="1">
        <v>4.0</v>
      </c>
      <c r="Y27" s="1">
        <v>0.0</v>
      </c>
      <c r="AA27" s="1">
        <v>4.0</v>
      </c>
      <c r="AK27" s="1">
        <v>0.0</v>
      </c>
      <c r="AQ27" s="1">
        <v>0.0</v>
      </c>
      <c r="AS27" s="1">
        <v>0.0</v>
      </c>
      <c r="AT27" s="1">
        <v>0.0</v>
      </c>
      <c r="AU27" s="1">
        <v>0.0</v>
      </c>
      <c r="AV27" s="1">
        <v>0.0</v>
      </c>
    </row>
    <row r="28">
      <c r="A28" s="2" t="s">
        <v>58</v>
      </c>
      <c r="N28" s="1">
        <v>4.0</v>
      </c>
      <c r="U28" s="1">
        <v>4.0</v>
      </c>
      <c r="X28" s="1">
        <v>4.0</v>
      </c>
      <c r="Y28" s="1">
        <v>0.0</v>
      </c>
      <c r="AB28" s="1">
        <v>4.0</v>
      </c>
      <c r="AK28" s="1">
        <v>0.0</v>
      </c>
      <c r="AQ28" s="1">
        <v>0.0</v>
      </c>
      <c r="AS28" s="1">
        <v>0.0</v>
      </c>
      <c r="AT28" s="1">
        <v>0.0</v>
      </c>
      <c r="AU28" s="1">
        <v>0.0</v>
      </c>
      <c r="AV28" s="1">
        <v>0.0</v>
      </c>
    </row>
    <row r="31">
      <c r="B31" s="1" t="s">
        <v>0</v>
      </c>
      <c r="C31" s="1" t="s">
        <v>2</v>
      </c>
      <c r="D31" s="1" t="s">
        <v>3</v>
      </c>
      <c r="E31" s="1" t="s">
        <v>0</v>
      </c>
      <c r="F31" s="1" t="s">
        <v>5</v>
      </c>
      <c r="G31" s="1" t="s">
        <v>2</v>
      </c>
      <c r="H31" s="1" t="s">
        <v>7</v>
      </c>
      <c r="I31" s="1" t="s">
        <v>6</v>
      </c>
      <c r="J31" s="1" t="s">
        <v>5</v>
      </c>
      <c r="K31" s="1" t="s">
        <v>9</v>
      </c>
      <c r="L31" s="1" t="s">
        <v>3</v>
      </c>
      <c r="M31" s="1" t="s">
        <v>8</v>
      </c>
      <c r="N31" s="1" t="s">
        <v>2</v>
      </c>
      <c r="O31" s="1" t="s">
        <v>9</v>
      </c>
      <c r="P31" s="1" t="s">
        <v>6</v>
      </c>
      <c r="Q31" s="1" t="s">
        <v>3</v>
      </c>
      <c r="R31" s="1" t="s">
        <v>9</v>
      </c>
      <c r="S31" s="1" t="s">
        <v>6</v>
      </c>
      <c r="T31" s="1" t="s">
        <v>9</v>
      </c>
      <c r="U31" s="1" t="s">
        <v>1</v>
      </c>
      <c r="V31" s="1" t="s">
        <v>2</v>
      </c>
      <c r="W31" s="1" t="s">
        <v>8</v>
      </c>
      <c r="X31" s="1" t="s">
        <v>0</v>
      </c>
      <c r="Y31" s="1" t="s">
        <v>2</v>
      </c>
      <c r="Z31" s="1" t="s">
        <v>7</v>
      </c>
      <c r="AA31" s="1" t="s">
        <v>0</v>
      </c>
      <c r="AB31" s="1" t="s">
        <v>7</v>
      </c>
      <c r="AC31" s="1" t="s">
        <v>9</v>
      </c>
      <c r="AD31" s="1" t="s">
        <v>7</v>
      </c>
      <c r="AE31" s="4" t="s">
        <v>1</v>
      </c>
      <c r="AF31" s="1" t="s">
        <v>0</v>
      </c>
      <c r="AG31" s="1" t="s">
        <v>4</v>
      </c>
      <c r="AH31" s="1" t="s">
        <v>4</v>
      </c>
      <c r="AI31" s="1" t="s">
        <v>8</v>
      </c>
      <c r="AJ31" s="1" t="s">
        <v>4</v>
      </c>
      <c r="AK31" s="1" t="s">
        <v>7</v>
      </c>
      <c r="AL31" s="1" t="s">
        <v>6</v>
      </c>
      <c r="AM31" s="1" t="s">
        <v>8</v>
      </c>
      <c r="AN31" s="1" t="s">
        <v>4</v>
      </c>
      <c r="AO31" s="1" t="s">
        <v>5</v>
      </c>
      <c r="AP31" s="1" t="s">
        <v>5</v>
      </c>
      <c r="AQ31" s="1" t="s">
        <v>6</v>
      </c>
      <c r="AR31" s="1" t="s">
        <v>4</v>
      </c>
      <c r="AS31" s="1" t="s">
        <v>3</v>
      </c>
      <c r="AT31" s="1" t="s">
        <v>3</v>
      </c>
      <c r="AU31" s="1" t="s">
        <v>5</v>
      </c>
      <c r="AV31" s="1" t="s">
        <v>1</v>
      </c>
      <c r="AW31" s="1" t="s">
        <v>1</v>
      </c>
      <c r="AX31" s="1" t="s">
        <v>1</v>
      </c>
      <c r="AY31" s="1" t="s">
        <v>8</v>
      </c>
    </row>
    <row r="32">
      <c r="B32" s="1" t="s">
        <v>46</v>
      </c>
      <c r="C32" s="1" t="s">
        <v>35</v>
      </c>
      <c r="D32" s="1" t="s">
        <v>47</v>
      </c>
      <c r="E32" s="1" t="s">
        <v>43</v>
      </c>
      <c r="F32" s="1" t="s">
        <v>52</v>
      </c>
      <c r="G32" s="1" t="s">
        <v>34</v>
      </c>
      <c r="H32" s="1" t="s">
        <v>26</v>
      </c>
      <c r="I32" s="1" t="s">
        <v>21</v>
      </c>
      <c r="J32" s="1" t="s">
        <v>21</v>
      </c>
      <c r="K32" s="1" t="s">
        <v>39</v>
      </c>
      <c r="L32" s="1" t="s">
        <v>48</v>
      </c>
      <c r="M32" s="1" t="s">
        <v>30</v>
      </c>
      <c r="N32" s="1" t="s">
        <v>36</v>
      </c>
      <c r="O32" s="1" t="s">
        <v>40</v>
      </c>
      <c r="P32" s="1" t="s">
        <v>23</v>
      </c>
      <c r="Q32" s="1" t="s">
        <v>49</v>
      </c>
      <c r="R32" s="1" t="s">
        <v>42</v>
      </c>
      <c r="S32" s="1" t="s">
        <v>22</v>
      </c>
      <c r="T32" s="1" t="s">
        <v>41</v>
      </c>
      <c r="U32" s="1" t="s">
        <v>13</v>
      </c>
      <c r="V32" s="1" t="s">
        <v>33</v>
      </c>
      <c r="W32" s="1" t="s">
        <v>31</v>
      </c>
      <c r="X32" s="1" t="s">
        <v>45</v>
      </c>
      <c r="Y32" s="1" t="s">
        <v>37</v>
      </c>
      <c r="Z32" s="1" t="s">
        <v>25</v>
      </c>
      <c r="AA32" s="1" t="s">
        <v>44</v>
      </c>
      <c r="AB32" s="1" t="s">
        <v>24</v>
      </c>
      <c r="AC32" s="1" t="s">
        <v>38</v>
      </c>
      <c r="AD32" s="1" t="s">
        <v>27</v>
      </c>
      <c r="AE32" s="4" t="s">
        <v>12</v>
      </c>
      <c r="AF32" s="1" t="s">
        <v>12</v>
      </c>
      <c r="AG32" s="1" t="s">
        <v>16</v>
      </c>
      <c r="AH32" s="1" t="s">
        <v>17</v>
      </c>
      <c r="AI32" s="1" t="s">
        <v>32</v>
      </c>
      <c r="AJ32" s="1" t="s">
        <v>18</v>
      </c>
      <c r="AK32" s="1" t="s">
        <v>28</v>
      </c>
      <c r="AL32" s="1" t="s">
        <v>19</v>
      </c>
      <c r="AM32" s="1" t="s">
        <v>29</v>
      </c>
      <c r="AN32" s="1" t="s">
        <v>14</v>
      </c>
      <c r="AO32" s="1" t="s">
        <v>51</v>
      </c>
      <c r="AP32" s="1" t="s">
        <v>50</v>
      </c>
      <c r="AQ32" s="1" t="s">
        <v>20</v>
      </c>
      <c r="AR32" s="1" t="s">
        <v>15</v>
      </c>
    </row>
    <row r="33">
      <c r="B33" s="1" t="b">
        <v>1</v>
      </c>
      <c r="C33" s="1" t="b">
        <v>1</v>
      </c>
      <c r="D33" s="1" t="b">
        <v>1</v>
      </c>
      <c r="E33" s="1" t="b">
        <v>1</v>
      </c>
      <c r="F33" s="1" t="b">
        <v>1</v>
      </c>
      <c r="G33" s="1" t="b">
        <v>1</v>
      </c>
      <c r="H33" s="1" t="b">
        <v>1</v>
      </c>
      <c r="I33" s="1" t="b">
        <v>1</v>
      </c>
      <c r="J33" s="1" t="b">
        <v>1</v>
      </c>
      <c r="K33" s="1" t="b">
        <v>1</v>
      </c>
      <c r="L33" s="1" t="b">
        <v>1</v>
      </c>
      <c r="M33" s="1" t="b">
        <v>0</v>
      </c>
      <c r="N33" s="1" t="b">
        <v>1</v>
      </c>
      <c r="O33" s="1" t="b">
        <v>1</v>
      </c>
      <c r="P33" s="1" t="b">
        <v>1</v>
      </c>
      <c r="Q33" s="1" t="b">
        <v>1</v>
      </c>
      <c r="R33" s="1" t="b">
        <v>1</v>
      </c>
      <c r="S33" s="1" t="b">
        <v>1</v>
      </c>
      <c r="T33" s="1" t="b">
        <v>1</v>
      </c>
      <c r="U33" s="1" t="b">
        <v>0</v>
      </c>
      <c r="V33" s="1" t="b">
        <v>1</v>
      </c>
      <c r="W33" s="1" t="b">
        <v>0</v>
      </c>
      <c r="X33" s="1" t="b">
        <v>1</v>
      </c>
      <c r="Y33" s="1" t="b">
        <v>0</v>
      </c>
      <c r="Z33" s="1" t="b">
        <v>1</v>
      </c>
      <c r="AA33" s="1" t="b">
        <v>1</v>
      </c>
      <c r="AB33" s="1" t="b">
        <v>1</v>
      </c>
      <c r="AC33" s="1" t="b">
        <v>1</v>
      </c>
      <c r="AD33" s="1" t="b">
        <v>1</v>
      </c>
      <c r="AE33" s="6" t="b">
        <v>0</v>
      </c>
      <c r="AF33" s="1" t="b">
        <v>1</v>
      </c>
      <c r="AG33" s="1" t="b">
        <v>1</v>
      </c>
      <c r="AH33" s="1" t="b">
        <v>1</v>
      </c>
      <c r="AI33" s="1" t="b">
        <v>0</v>
      </c>
      <c r="AJ33" s="1" t="b">
        <v>1</v>
      </c>
      <c r="AK33" s="1" t="b">
        <v>1</v>
      </c>
      <c r="AL33" s="1" t="b">
        <v>1</v>
      </c>
      <c r="AM33" s="1" t="b">
        <v>0</v>
      </c>
      <c r="AN33" s="1" t="b">
        <v>1</v>
      </c>
      <c r="AO33" s="1" t="b">
        <v>1</v>
      </c>
      <c r="AP33" s="1" t="b">
        <v>1</v>
      </c>
      <c r="AQ33" s="1" t="b">
        <v>0</v>
      </c>
      <c r="AR33" s="1" t="b">
        <v>1</v>
      </c>
      <c r="AS33" s="1" t="b">
        <v>0</v>
      </c>
      <c r="AT33" s="1" t="b">
        <v>0</v>
      </c>
      <c r="AU33" s="1" t="b">
        <v>0</v>
      </c>
      <c r="AV33" s="1" t="b">
        <v>0</v>
      </c>
      <c r="AW33" s="1" t="b">
        <v>0</v>
      </c>
      <c r="AX33" s="1" t="b">
        <v>0</v>
      </c>
      <c r="AY33" s="1" t="b">
        <v>0</v>
      </c>
    </row>
    <row r="34">
      <c r="A34" s="2" t="s">
        <v>53</v>
      </c>
      <c r="D34" s="1">
        <v>4.0</v>
      </c>
      <c r="F34" s="1">
        <v>4.0</v>
      </c>
      <c r="G34" s="1">
        <v>4.0</v>
      </c>
      <c r="Y34" s="1">
        <v>0.0</v>
      </c>
      <c r="Z34" s="1">
        <v>4.0</v>
      </c>
      <c r="AC34" s="1">
        <v>0.0</v>
      </c>
      <c r="AE34" s="4"/>
      <c r="AQ34" s="1">
        <v>0.0</v>
      </c>
      <c r="AS34" s="1">
        <v>0.0</v>
      </c>
      <c r="AT34" s="1">
        <v>0.0</v>
      </c>
      <c r="AU34" s="1">
        <v>0.0</v>
      </c>
    </row>
    <row r="35">
      <c r="A35" s="2" t="s">
        <v>54</v>
      </c>
      <c r="C35" s="1">
        <v>4.0</v>
      </c>
      <c r="H35" s="1">
        <v>4.0</v>
      </c>
      <c r="I35" s="1">
        <v>4.0</v>
      </c>
      <c r="Y35" s="1">
        <v>0.0</v>
      </c>
      <c r="AE35" s="4"/>
      <c r="AO35" s="1">
        <v>4.0</v>
      </c>
      <c r="AQ35" s="1">
        <v>0.0</v>
      </c>
      <c r="AS35" s="1">
        <v>0.0</v>
      </c>
      <c r="AT35" s="1">
        <v>0.0</v>
      </c>
      <c r="AU35" s="1">
        <v>0.0</v>
      </c>
    </row>
    <row r="36">
      <c r="A36" s="2" t="s">
        <v>55</v>
      </c>
      <c r="L36" s="1">
        <v>4.0</v>
      </c>
      <c r="O36" s="1">
        <v>4.0</v>
      </c>
      <c r="Y36" s="1">
        <v>0.0</v>
      </c>
      <c r="AE36" s="4"/>
      <c r="AG36" s="1">
        <v>4.0</v>
      </c>
      <c r="AQ36" s="1">
        <v>0.0</v>
      </c>
      <c r="AS36" s="1">
        <v>0.0</v>
      </c>
      <c r="AT36" s="1">
        <v>0.0</v>
      </c>
      <c r="AU36" s="1">
        <v>0.0</v>
      </c>
    </row>
    <row r="37">
      <c r="A37" s="2" t="s">
        <v>56</v>
      </c>
      <c r="G37" s="1">
        <v>4.0</v>
      </c>
      <c r="P37" s="1">
        <v>4.0</v>
      </c>
      <c r="Y37" s="1">
        <v>0.0</v>
      </c>
      <c r="Z37" s="1">
        <v>4.0</v>
      </c>
      <c r="AE37" s="4"/>
      <c r="AP37" s="1">
        <v>4.0</v>
      </c>
      <c r="AQ37" s="1">
        <v>0.0</v>
      </c>
      <c r="AS37" s="1">
        <v>0.0</v>
      </c>
      <c r="AT37" s="1">
        <v>0.0</v>
      </c>
      <c r="AU37" s="1">
        <v>0.0</v>
      </c>
    </row>
    <row r="38">
      <c r="A38" s="2" t="s">
        <v>57</v>
      </c>
      <c r="F38" s="1">
        <v>4.0</v>
      </c>
      <c r="I38" s="1">
        <v>4.0</v>
      </c>
      <c r="V38" s="1">
        <v>4.0</v>
      </c>
      <c r="Y38" s="1">
        <v>0.0</v>
      </c>
      <c r="AE38" s="4"/>
      <c r="AQ38" s="1">
        <v>0.0</v>
      </c>
      <c r="AS38" s="1">
        <v>0.0</v>
      </c>
      <c r="AT38" s="1">
        <v>0.0</v>
      </c>
      <c r="AU38" s="1">
        <v>0.0</v>
      </c>
    </row>
    <row r="39">
      <c r="A39" s="2" t="s">
        <v>58</v>
      </c>
      <c r="F39" s="1">
        <v>4.0</v>
      </c>
      <c r="N39" s="1">
        <v>4.0</v>
      </c>
      <c r="R39" s="1">
        <v>0.0</v>
      </c>
      <c r="S39" s="1">
        <v>4.0</v>
      </c>
      <c r="Y39" s="1">
        <v>0.0</v>
      </c>
      <c r="AE39" s="4"/>
      <c r="AN39" s="1">
        <v>4.0</v>
      </c>
      <c r="AQ39" s="1">
        <v>0.0</v>
      </c>
      <c r="AS39" s="1">
        <v>0.0</v>
      </c>
      <c r="AT39" s="1">
        <v>0.0</v>
      </c>
      <c r="AU39" s="1">
        <v>0.0</v>
      </c>
    </row>
    <row r="40">
      <c r="A40" s="2" t="s">
        <v>53</v>
      </c>
      <c r="F40" s="1">
        <v>4.0</v>
      </c>
      <c r="G40" s="1">
        <v>4.0</v>
      </c>
      <c r="P40" s="1">
        <v>4.0</v>
      </c>
      <c r="Y40" s="1">
        <v>0.0</v>
      </c>
      <c r="AE40" s="4"/>
      <c r="AQ40" s="1">
        <v>0.0</v>
      </c>
      <c r="AS40" s="1">
        <v>0.0</v>
      </c>
      <c r="AT40" s="1">
        <v>0.0</v>
      </c>
      <c r="AU40" s="1">
        <v>0.0</v>
      </c>
    </row>
    <row r="41">
      <c r="A41" s="2" t="s">
        <v>54</v>
      </c>
      <c r="Y41" s="1">
        <v>0.0</v>
      </c>
      <c r="AE41" s="4"/>
      <c r="AO41" s="1">
        <v>4.0</v>
      </c>
      <c r="AQ41" s="1">
        <v>0.0</v>
      </c>
      <c r="AR41" s="1">
        <v>4.0</v>
      </c>
      <c r="AS41" s="1">
        <v>0.0</v>
      </c>
      <c r="AT41" s="1">
        <v>0.0</v>
      </c>
      <c r="AU41" s="1">
        <v>0.0</v>
      </c>
    </row>
    <row r="42">
      <c r="A42" s="2" t="s">
        <v>55</v>
      </c>
      <c r="E42" s="1">
        <v>4.0</v>
      </c>
      <c r="Y42" s="1">
        <v>0.0</v>
      </c>
      <c r="AE42" s="4"/>
      <c r="AG42" s="1">
        <v>4.0</v>
      </c>
      <c r="AQ42" s="1">
        <v>0.0</v>
      </c>
      <c r="AS42" s="1">
        <v>0.0</v>
      </c>
      <c r="AT42" s="1">
        <v>0.0</v>
      </c>
      <c r="AU42" s="1">
        <v>0.0</v>
      </c>
    </row>
    <row r="43">
      <c r="A43" s="2" t="s">
        <v>56</v>
      </c>
      <c r="E43" s="1">
        <v>4.0</v>
      </c>
      <c r="G43" s="1">
        <v>4.0</v>
      </c>
      <c r="P43" s="1">
        <v>4.0</v>
      </c>
      <c r="Y43" s="1">
        <v>0.0</v>
      </c>
      <c r="AE43" s="4"/>
      <c r="AQ43" s="1">
        <v>0.0</v>
      </c>
      <c r="AS43" s="1">
        <v>0.0</v>
      </c>
      <c r="AT43" s="1">
        <v>0.0</v>
      </c>
      <c r="AU43" s="1">
        <v>0.0</v>
      </c>
    </row>
    <row r="44">
      <c r="A44" s="2" t="s">
        <v>57</v>
      </c>
      <c r="C44" s="1">
        <v>0.0</v>
      </c>
      <c r="Y44" s="1">
        <v>0.0</v>
      </c>
      <c r="AE44" s="4"/>
      <c r="AQ44" s="1">
        <v>0.0</v>
      </c>
      <c r="AS44" s="1">
        <v>0.0</v>
      </c>
      <c r="AT44" s="1">
        <v>0.0</v>
      </c>
      <c r="AU44" s="1">
        <v>0.0</v>
      </c>
    </row>
    <row r="45">
      <c r="A45" s="2" t="s">
        <v>58</v>
      </c>
      <c r="C45" s="1">
        <v>0.0</v>
      </c>
      <c r="K45" s="1">
        <v>0.0</v>
      </c>
      <c r="X45" s="1">
        <v>4.0</v>
      </c>
      <c r="Y45" s="1">
        <v>0.0</v>
      </c>
      <c r="AE45" s="4"/>
      <c r="AQ45" s="1">
        <v>0.0</v>
      </c>
      <c r="AS45" s="1">
        <v>0.0</v>
      </c>
      <c r="AT45" s="1">
        <v>0.0</v>
      </c>
      <c r="AU45" s="1">
        <v>0.0</v>
      </c>
    </row>
    <row r="46">
      <c r="B46" s="1" t="b">
        <v>1</v>
      </c>
      <c r="C46" s="1" t="b">
        <v>1</v>
      </c>
      <c r="D46" s="1" t="b">
        <v>1</v>
      </c>
      <c r="E46" s="1" t="b">
        <v>1</v>
      </c>
      <c r="F46" s="1" t="b">
        <v>1</v>
      </c>
      <c r="G46" s="1" t="b">
        <v>1</v>
      </c>
      <c r="H46" s="1" t="b">
        <v>1</v>
      </c>
      <c r="I46" s="1" t="b">
        <v>1</v>
      </c>
      <c r="J46" s="1" t="b">
        <v>1</v>
      </c>
      <c r="K46" s="1" t="b">
        <v>1</v>
      </c>
      <c r="L46" s="1" t="b">
        <v>1</v>
      </c>
      <c r="M46" s="1" t="b">
        <v>0</v>
      </c>
      <c r="N46" s="1" t="b">
        <v>1</v>
      </c>
      <c r="O46" s="1" t="b">
        <v>1</v>
      </c>
      <c r="P46" s="1" t="b">
        <v>1</v>
      </c>
      <c r="Q46" s="1" t="b">
        <v>1</v>
      </c>
      <c r="R46" s="1" t="b">
        <v>1</v>
      </c>
      <c r="S46" s="1" t="b">
        <v>1</v>
      </c>
      <c r="T46" s="1" t="b">
        <v>1</v>
      </c>
      <c r="U46" s="1" t="b">
        <v>0</v>
      </c>
      <c r="V46" s="1" t="b">
        <v>1</v>
      </c>
      <c r="W46" s="1" t="b">
        <v>0</v>
      </c>
      <c r="X46" s="1" t="b">
        <v>1</v>
      </c>
      <c r="Y46" s="1" t="b">
        <v>0</v>
      </c>
      <c r="Z46" s="1" t="b">
        <v>1</v>
      </c>
      <c r="AA46" s="1" t="b">
        <v>1</v>
      </c>
      <c r="AB46" s="1" t="b">
        <v>1</v>
      </c>
      <c r="AC46" s="1" t="b">
        <v>1</v>
      </c>
      <c r="AD46" s="1" t="b">
        <v>1</v>
      </c>
      <c r="AE46" s="6" t="b">
        <v>0</v>
      </c>
      <c r="AF46" s="1" t="b">
        <v>1</v>
      </c>
      <c r="AG46" s="1" t="b">
        <v>1</v>
      </c>
      <c r="AH46" s="1" t="b">
        <v>1</v>
      </c>
      <c r="AI46" s="1" t="b">
        <v>0</v>
      </c>
      <c r="AJ46" s="1" t="b">
        <v>1</v>
      </c>
      <c r="AK46" s="1" t="b">
        <v>1</v>
      </c>
      <c r="AL46" s="1" t="b">
        <v>1</v>
      </c>
      <c r="AM46" s="1" t="b">
        <v>0</v>
      </c>
      <c r="AN46" s="1" t="b">
        <v>1</v>
      </c>
      <c r="AO46" s="1" t="b">
        <v>1</v>
      </c>
      <c r="AP46" s="1" t="b">
        <v>1</v>
      </c>
      <c r="AQ46" s="1" t="b">
        <v>0</v>
      </c>
      <c r="AR46" s="1" t="b">
        <v>1</v>
      </c>
      <c r="AS46" s="1" t="b">
        <v>0</v>
      </c>
      <c r="AT46" s="1" t="b">
        <v>0</v>
      </c>
      <c r="AU46" s="1" t="b">
        <v>0</v>
      </c>
      <c r="AV46" s="1" t="b">
        <v>0</v>
      </c>
      <c r="AW46" s="1" t="b">
        <v>0</v>
      </c>
      <c r="AX46" s="1" t="b">
        <v>0</v>
      </c>
      <c r="AY46" s="1" t="b">
        <v>0</v>
      </c>
    </row>
    <row r="47">
      <c r="A47" s="2" t="s">
        <v>53</v>
      </c>
      <c r="F47" s="1">
        <v>4.0</v>
      </c>
      <c r="G47" s="1">
        <v>4.0</v>
      </c>
      <c r="L47" s="1">
        <v>4.0</v>
      </c>
      <c r="Y47" s="1">
        <v>0.0</v>
      </c>
      <c r="AE47" s="4"/>
      <c r="AQ47" s="1">
        <v>0.0</v>
      </c>
      <c r="AS47" s="1">
        <v>0.0</v>
      </c>
      <c r="AT47" s="1">
        <v>0.0</v>
      </c>
      <c r="AU47" s="1">
        <v>0.0</v>
      </c>
    </row>
    <row r="48">
      <c r="A48" s="2" t="s">
        <v>54</v>
      </c>
      <c r="H48" s="1">
        <v>4.0</v>
      </c>
      <c r="N48" s="1">
        <v>0.0</v>
      </c>
      <c r="Y48" s="1">
        <v>0.0</v>
      </c>
      <c r="AC48" s="1">
        <v>0.0</v>
      </c>
      <c r="AE48" s="4"/>
      <c r="AL48" s="1">
        <v>4.0</v>
      </c>
      <c r="AO48" s="1">
        <v>4.0</v>
      </c>
      <c r="AQ48" s="1">
        <v>0.0</v>
      </c>
      <c r="AS48" s="1">
        <v>0.0</v>
      </c>
      <c r="AT48" s="1">
        <v>0.0</v>
      </c>
      <c r="AU48" s="1">
        <v>0.0</v>
      </c>
    </row>
    <row r="49">
      <c r="A49" s="2" t="s">
        <v>55</v>
      </c>
      <c r="H49" s="1">
        <v>4.0</v>
      </c>
      <c r="O49" s="1">
        <v>4.0</v>
      </c>
      <c r="S49" s="1">
        <v>4.0</v>
      </c>
      <c r="V49" s="1">
        <v>0.0</v>
      </c>
      <c r="Y49" s="1">
        <v>0.0</v>
      </c>
      <c r="AE49" s="4"/>
      <c r="AF49" s="1">
        <v>4.0</v>
      </c>
      <c r="AQ49" s="1">
        <v>0.0</v>
      </c>
      <c r="AS49" s="1">
        <v>0.0</v>
      </c>
      <c r="AT49" s="1">
        <v>0.0</v>
      </c>
      <c r="AU49" s="1">
        <v>0.0</v>
      </c>
    </row>
    <row r="50">
      <c r="A50" s="2" t="s">
        <v>56</v>
      </c>
      <c r="G50" s="1">
        <v>4.0</v>
      </c>
      <c r="O50" s="1">
        <v>0.0</v>
      </c>
      <c r="Y50" s="1">
        <v>0.0</v>
      </c>
      <c r="AE50" s="4"/>
      <c r="AQ50" s="1">
        <v>0.0</v>
      </c>
      <c r="AS50" s="1">
        <v>0.0</v>
      </c>
      <c r="AT50" s="1">
        <v>0.0</v>
      </c>
      <c r="AU50" s="1">
        <v>0.0</v>
      </c>
    </row>
    <row r="51">
      <c r="A51" s="2" t="s">
        <v>57</v>
      </c>
      <c r="C51" s="1">
        <v>4.0</v>
      </c>
      <c r="D51" s="1">
        <v>4.0</v>
      </c>
      <c r="F51" s="1">
        <v>-4.0</v>
      </c>
      <c r="K51" s="1">
        <v>0.0</v>
      </c>
      <c r="Y51" s="1">
        <v>0.0</v>
      </c>
      <c r="Z51" s="1">
        <v>4.0</v>
      </c>
      <c r="AE51" s="4"/>
      <c r="AQ51" s="1">
        <v>0.0</v>
      </c>
      <c r="AS51" s="1">
        <v>0.0</v>
      </c>
      <c r="AT51" s="1">
        <v>0.0</v>
      </c>
      <c r="AU51" s="1">
        <v>0.0</v>
      </c>
    </row>
    <row r="52">
      <c r="A52" s="2" t="s">
        <v>58</v>
      </c>
      <c r="C52" s="1">
        <v>0.0</v>
      </c>
      <c r="F52" s="1">
        <v>4.0</v>
      </c>
      <c r="K52" s="1">
        <v>0.0</v>
      </c>
      <c r="L52" s="1">
        <v>4.0</v>
      </c>
      <c r="Y52" s="1">
        <v>0.0</v>
      </c>
      <c r="Z52" s="1">
        <v>4.0</v>
      </c>
      <c r="AE52" s="4"/>
      <c r="AQ52" s="1">
        <v>0.0</v>
      </c>
      <c r="AS52" s="1">
        <v>0.0</v>
      </c>
      <c r="AT52" s="1">
        <v>0.0</v>
      </c>
      <c r="AU52" s="1">
        <v>0.0</v>
      </c>
    </row>
    <row r="53">
      <c r="A53" s="2" t="s">
        <v>53</v>
      </c>
      <c r="E53" s="1">
        <v>4.0</v>
      </c>
      <c r="G53" s="1">
        <v>0.0</v>
      </c>
      <c r="O53" s="1">
        <v>0.0</v>
      </c>
      <c r="Y53" s="1">
        <v>0.0</v>
      </c>
      <c r="AE53" s="4"/>
      <c r="AQ53" s="1">
        <v>0.0</v>
      </c>
      <c r="AS53" s="1">
        <v>0.0</v>
      </c>
      <c r="AT53" s="1">
        <v>0.0</v>
      </c>
      <c r="AU53" s="1">
        <v>0.0</v>
      </c>
    </row>
    <row r="54">
      <c r="A54" s="2" t="s">
        <v>54</v>
      </c>
      <c r="E54" s="1">
        <v>4.0</v>
      </c>
      <c r="L54" s="1">
        <v>4.0</v>
      </c>
      <c r="Y54" s="1">
        <v>0.0</v>
      </c>
      <c r="AC54" s="1">
        <v>4.0</v>
      </c>
      <c r="AE54" s="4"/>
      <c r="AO54" s="1">
        <v>-4.0</v>
      </c>
      <c r="AQ54" s="1">
        <v>0.0</v>
      </c>
      <c r="AS54" s="1">
        <v>0.0</v>
      </c>
      <c r="AT54" s="1">
        <v>0.0</v>
      </c>
      <c r="AU54" s="1">
        <v>0.0</v>
      </c>
    </row>
    <row r="55">
      <c r="A55" s="2" t="s">
        <v>55</v>
      </c>
      <c r="C55" s="1">
        <v>0.0</v>
      </c>
      <c r="O55" s="1">
        <v>0.0</v>
      </c>
      <c r="Y55" s="1">
        <v>0.0</v>
      </c>
      <c r="AG55" s="1">
        <v>4.0</v>
      </c>
      <c r="AO55" s="1">
        <v>4.0</v>
      </c>
      <c r="AQ55" s="1">
        <v>0.0</v>
      </c>
      <c r="AS55" s="1">
        <v>0.0</v>
      </c>
      <c r="AT55" s="1">
        <v>0.0</v>
      </c>
      <c r="AU55" s="1">
        <v>0.0</v>
      </c>
    </row>
    <row r="56">
      <c r="A56" s="2" t="s">
        <v>56</v>
      </c>
      <c r="G56" s="1">
        <v>4.0</v>
      </c>
      <c r="Y56" s="1">
        <v>0.0</v>
      </c>
      <c r="AA56" s="1">
        <v>4.0</v>
      </c>
      <c r="AQ56" s="1">
        <v>0.0</v>
      </c>
      <c r="AS56" s="1">
        <v>0.0</v>
      </c>
      <c r="AT56" s="1">
        <v>0.0</v>
      </c>
      <c r="AU56" s="1">
        <v>0.0</v>
      </c>
    </row>
    <row r="57">
      <c r="A57" s="2" t="s">
        <v>57</v>
      </c>
      <c r="F57" s="1">
        <v>-4.0</v>
      </c>
      <c r="V57" s="1">
        <v>0.0</v>
      </c>
      <c r="Y57" s="1">
        <v>0.0</v>
      </c>
      <c r="Z57" s="1">
        <v>4.0</v>
      </c>
      <c r="AF57" s="1">
        <v>4.0</v>
      </c>
      <c r="AL57" s="1">
        <v>4.0</v>
      </c>
      <c r="AQ57" s="1">
        <v>0.0</v>
      </c>
      <c r="AS57" s="1">
        <v>0.0</v>
      </c>
      <c r="AT57" s="1">
        <v>0.0</v>
      </c>
      <c r="AU57" s="1">
        <v>0.0</v>
      </c>
    </row>
    <row r="58">
      <c r="A58" s="2" t="s">
        <v>58</v>
      </c>
      <c r="C58" s="1">
        <v>0.0</v>
      </c>
      <c r="H58" s="1">
        <v>4.0</v>
      </c>
      <c r="Y58" s="1">
        <v>0.0</v>
      </c>
      <c r="AC58" s="1">
        <v>0.0</v>
      </c>
      <c r="AQ58" s="1">
        <v>0.0</v>
      </c>
      <c r="AS58" s="1">
        <v>0.0</v>
      </c>
      <c r="AT58" s="1">
        <v>0.0</v>
      </c>
      <c r="AU58" s="1">
        <v>0.0</v>
      </c>
    </row>
    <row r="61">
      <c r="B61" s="1" t="s">
        <v>0</v>
      </c>
      <c r="C61" s="1" t="s">
        <v>2</v>
      </c>
      <c r="D61" s="1" t="s">
        <v>3</v>
      </c>
      <c r="E61" s="1" t="s">
        <v>0</v>
      </c>
      <c r="F61" s="1" t="s">
        <v>5</v>
      </c>
      <c r="G61" s="1" t="s">
        <v>2</v>
      </c>
      <c r="H61" s="1" t="s">
        <v>7</v>
      </c>
      <c r="I61" s="1" t="s">
        <v>6</v>
      </c>
      <c r="J61" s="2" t="s">
        <v>5</v>
      </c>
      <c r="K61" s="1" t="s">
        <v>9</v>
      </c>
      <c r="L61" s="1" t="s">
        <v>3</v>
      </c>
      <c r="M61" s="1" t="s">
        <v>8</v>
      </c>
      <c r="N61" s="1" t="s">
        <v>2</v>
      </c>
      <c r="O61" s="1" t="s">
        <v>9</v>
      </c>
      <c r="P61" s="1" t="s">
        <v>6</v>
      </c>
      <c r="Q61" s="1" t="s">
        <v>3</v>
      </c>
      <c r="R61" s="1" t="s">
        <v>9</v>
      </c>
      <c r="S61" s="1" t="s">
        <v>6</v>
      </c>
      <c r="T61" s="1" t="s">
        <v>9</v>
      </c>
      <c r="U61" s="1" t="s">
        <v>1</v>
      </c>
      <c r="V61" s="1" t="s">
        <v>2</v>
      </c>
      <c r="W61" s="1" t="s">
        <v>8</v>
      </c>
      <c r="X61" s="1" t="s">
        <v>0</v>
      </c>
      <c r="Y61" s="1" t="s">
        <v>2</v>
      </c>
      <c r="Z61" s="1" t="s">
        <v>7</v>
      </c>
      <c r="AA61" s="1" t="s">
        <v>0</v>
      </c>
      <c r="AB61" s="1" t="s">
        <v>7</v>
      </c>
      <c r="AC61" s="1" t="s">
        <v>9</v>
      </c>
      <c r="AD61" s="1" t="s">
        <v>7</v>
      </c>
      <c r="AE61" s="1" t="s">
        <v>1</v>
      </c>
      <c r="AF61" s="1" t="s">
        <v>0</v>
      </c>
      <c r="AG61" s="1" t="s">
        <v>4</v>
      </c>
      <c r="AH61" s="1" t="s">
        <v>4</v>
      </c>
      <c r="AI61" s="1" t="s">
        <v>8</v>
      </c>
      <c r="AJ61" s="1" t="s">
        <v>4</v>
      </c>
      <c r="AK61" s="1" t="s">
        <v>7</v>
      </c>
      <c r="AL61" s="1" t="s">
        <v>6</v>
      </c>
      <c r="AM61" s="1" t="s">
        <v>8</v>
      </c>
      <c r="AN61" s="1" t="s">
        <v>4</v>
      </c>
      <c r="AO61" s="1" t="s">
        <v>5</v>
      </c>
      <c r="AP61" s="1" t="s">
        <v>5</v>
      </c>
      <c r="AQ61" s="1" t="s">
        <v>6</v>
      </c>
      <c r="AR61" s="1" t="s">
        <v>4</v>
      </c>
      <c r="AS61" s="1" t="s">
        <v>3</v>
      </c>
      <c r="AT61" s="1" t="s">
        <v>3</v>
      </c>
      <c r="AU61" s="1" t="s">
        <v>1</v>
      </c>
      <c r="AV61" s="1" t="s">
        <v>1</v>
      </c>
      <c r="AW61" s="1" t="s">
        <v>1</v>
      </c>
      <c r="AX61" s="1" t="s">
        <v>5</v>
      </c>
      <c r="AY61" s="1" t="s">
        <v>8</v>
      </c>
    </row>
    <row r="62">
      <c r="B62" s="1" t="s">
        <v>46</v>
      </c>
      <c r="C62" s="1" t="s">
        <v>35</v>
      </c>
      <c r="D62" s="1" t="s">
        <v>47</v>
      </c>
      <c r="E62" s="1" t="s">
        <v>43</v>
      </c>
      <c r="F62" s="1" t="s">
        <v>52</v>
      </c>
      <c r="G62" s="1" t="s">
        <v>34</v>
      </c>
      <c r="H62" s="1" t="s">
        <v>26</v>
      </c>
      <c r="I62" s="1" t="s">
        <v>21</v>
      </c>
      <c r="J62" s="1" t="s">
        <v>21</v>
      </c>
      <c r="K62" s="1" t="s">
        <v>39</v>
      </c>
      <c r="L62" s="1" t="s">
        <v>48</v>
      </c>
      <c r="M62" s="1" t="s">
        <v>30</v>
      </c>
      <c r="N62" s="1" t="s">
        <v>36</v>
      </c>
      <c r="O62" s="1" t="s">
        <v>40</v>
      </c>
      <c r="P62" s="1" t="s">
        <v>23</v>
      </c>
      <c r="Q62" s="1" t="s">
        <v>49</v>
      </c>
      <c r="R62" s="1" t="s">
        <v>42</v>
      </c>
      <c r="S62" s="1" t="s">
        <v>22</v>
      </c>
      <c r="T62" s="1" t="s">
        <v>41</v>
      </c>
      <c r="U62" s="1" t="s">
        <v>13</v>
      </c>
      <c r="V62" s="1" t="s">
        <v>33</v>
      </c>
      <c r="W62" s="1" t="s">
        <v>31</v>
      </c>
      <c r="X62" s="1" t="s">
        <v>45</v>
      </c>
      <c r="Y62" s="1" t="s">
        <v>37</v>
      </c>
      <c r="Z62" s="1" t="s">
        <v>25</v>
      </c>
      <c r="AA62" s="1" t="s">
        <v>44</v>
      </c>
      <c r="AB62" s="1" t="s">
        <v>24</v>
      </c>
      <c r="AC62" s="1" t="s">
        <v>38</v>
      </c>
      <c r="AD62" s="1" t="s">
        <v>27</v>
      </c>
      <c r="AE62" s="1" t="s">
        <v>12</v>
      </c>
      <c r="AF62" s="1" t="s">
        <v>12</v>
      </c>
      <c r="AG62" s="1" t="s">
        <v>16</v>
      </c>
      <c r="AH62" s="1" t="s">
        <v>17</v>
      </c>
      <c r="AI62" s="1" t="s">
        <v>32</v>
      </c>
      <c r="AJ62" s="1" t="s">
        <v>18</v>
      </c>
      <c r="AK62" s="1" t="s">
        <v>28</v>
      </c>
      <c r="AL62" s="1" t="s">
        <v>19</v>
      </c>
      <c r="AM62" s="1" t="s">
        <v>29</v>
      </c>
      <c r="AN62" s="1" t="s">
        <v>14</v>
      </c>
      <c r="AO62" s="1" t="s">
        <v>51</v>
      </c>
      <c r="AP62" s="1" t="s">
        <v>50</v>
      </c>
      <c r="AQ62" s="1" t="s">
        <v>20</v>
      </c>
      <c r="AR62" s="1" t="s">
        <v>15</v>
      </c>
    </row>
    <row r="63">
      <c r="B63" s="1" t="b">
        <v>0</v>
      </c>
      <c r="C63" s="1" t="b">
        <v>1</v>
      </c>
      <c r="D63" s="1" t="b">
        <v>1</v>
      </c>
      <c r="E63" s="1" t="b">
        <v>0</v>
      </c>
      <c r="F63" s="1" t="b">
        <v>1</v>
      </c>
      <c r="G63" s="1" t="b">
        <v>1</v>
      </c>
      <c r="H63" s="1" t="b">
        <v>1</v>
      </c>
      <c r="I63" s="1" t="b">
        <v>1</v>
      </c>
      <c r="J63" s="1" t="b">
        <v>0</v>
      </c>
      <c r="K63" s="1" t="b">
        <v>1</v>
      </c>
      <c r="L63" s="1" t="b">
        <v>1</v>
      </c>
      <c r="M63" s="1" t="b">
        <v>1</v>
      </c>
      <c r="N63" s="1" t="b">
        <v>1</v>
      </c>
      <c r="O63" s="1" t="b">
        <v>1</v>
      </c>
      <c r="P63" s="1" t="b">
        <v>0</v>
      </c>
      <c r="Q63" s="1" t="b">
        <v>1</v>
      </c>
      <c r="R63" s="1" t="b">
        <v>1</v>
      </c>
      <c r="S63" s="1" t="b">
        <v>0</v>
      </c>
      <c r="T63" s="1" t="b">
        <v>1</v>
      </c>
      <c r="U63" s="1" t="b">
        <v>1</v>
      </c>
      <c r="V63" s="1" t="b">
        <v>1</v>
      </c>
      <c r="W63" s="1" t="b">
        <v>1</v>
      </c>
      <c r="X63" s="1" t="b">
        <v>0</v>
      </c>
      <c r="Y63" s="1" t="b">
        <v>0</v>
      </c>
      <c r="Z63" s="1" t="b">
        <v>1</v>
      </c>
      <c r="AA63" s="1" t="b">
        <v>0</v>
      </c>
      <c r="AB63" s="1" t="b">
        <v>1</v>
      </c>
      <c r="AC63" s="1" t="b">
        <v>1</v>
      </c>
      <c r="AD63" s="1" t="b">
        <v>1</v>
      </c>
      <c r="AE63" s="1" t="b">
        <v>1</v>
      </c>
      <c r="AF63" s="1" t="b">
        <v>0</v>
      </c>
      <c r="AG63" s="1" t="b">
        <v>1</v>
      </c>
      <c r="AH63" s="1" t="b">
        <v>1</v>
      </c>
      <c r="AI63" s="1" t="b">
        <v>1</v>
      </c>
      <c r="AJ63" s="1" t="b">
        <v>1</v>
      </c>
      <c r="AK63" s="1" t="b">
        <v>1</v>
      </c>
      <c r="AL63" s="1" t="b">
        <v>0</v>
      </c>
      <c r="AM63" s="1" t="b">
        <v>1</v>
      </c>
      <c r="AN63" s="1" t="b">
        <v>1</v>
      </c>
      <c r="AO63" s="1" t="b">
        <v>1</v>
      </c>
      <c r="AP63" s="1" t="b">
        <v>1</v>
      </c>
      <c r="AQ63" s="1" t="b">
        <v>0</v>
      </c>
      <c r="AR63" s="1" t="b">
        <v>1</v>
      </c>
      <c r="AS63" s="1" t="b">
        <v>0</v>
      </c>
      <c r="AT63" s="1" t="b">
        <v>0</v>
      </c>
      <c r="AU63" s="1" t="b">
        <v>0</v>
      </c>
      <c r="AV63" s="1" t="b">
        <v>0</v>
      </c>
      <c r="AW63" s="1" t="b">
        <v>0</v>
      </c>
      <c r="AX63" s="1" t="b">
        <v>0</v>
      </c>
      <c r="AY63" s="1" t="b">
        <v>0</v>
      </c>
    </row>
    <row r="64">
      <c r="A64" s="2" t="s">
        <v>53</v>
      </c>
      <c r="L64" s="1">
        <v>4.0</v>
      </c>
      <c r="M64" s="1">
        <v>4.0</v>
      </c>
      <c r="Y64" s="1">
        <v>0.0</v>
      </c>
      <c r="Z64" s="1">
        <v>4.0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</row>
    <row r="65">
      <c r="A65" s="2" t="s">
        <v>54</v>
      </c>
      <c r="T65" s="1">
        <v>4.0</v>
      </c>
      <c r="Y65" s="1">
        <v>0.0</v>
      </c>
      <c r="AO65" s="1">
        <v>4.0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</row>
    <row r="66">
      <c r="A66" s="2" t="s">
        <v>55</v>
      </c>
      <c r="L66" s="1">
        <v>4.0</v>
      </c>
      <c r="M66" s="1">
        <v>0.0</v>
      </c>
      <c r="O66" s="1">
        <v>0.0</v>
      </c>
      <c r="Y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</row>
    <row r="67">
      <c r="A67" s="2" t="s">
        <v>56</v>
      </c>
      <c r="G67" s="1">
        <v>4.0</v>
      </c>
      <c r="H67" s="1">
        <v>4.0</v>
      </c>
      <c r="R67" s="1">
        <v>0.0</v>
      </c>
      <c r="Y67" s="1">
        <v>0.0</v>
      </c>
      <c r="AG67" s="1">
        <v>4.0</v>
      </c>
      <c r="AI67" s="1">
        <v>4.0</v>
      </c>
      <c r="AP67" s="1">
        <v>-4.0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</row>
    <row r="68">
      <c r="A68" s="2" t="s">
        <v>57</v>
      </c>
      <c r="L68" s="1">
        <v>4.0</v>
      </c>
      <c r="O68" s="1">
        <v>0.0</v>
      </c>
      <c r="V68" s="1">
        <v>-4.0</v>
      </c>
      <c r="Y68" s="1">
        <v>0.0</v>
      </c>
      <c r="AI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</row>
    <row r="69">
      <c r="A69" s="2" t="s">
        <v>58</v>
      </c>
      <c r="R69" s="1">
        <v>4.0</v>
      </c>
      <c r="Y69" s="1">
        <v>0.0</v>
      </c>
      <c r="AM69" s="1">
        <v>0.0</v>
      </c>
      <c r="AO69" s="1">
        <v>-4.0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</row>
    <row r="70">
      <c r="A70" s="2" t="s">
        <v>53</v>
      </c>
      <c r="L70" s="1">
        <v>4.0</v>
      </c>
      <c r="R70" s="1">
        <v>4.0</v>
      </c>
      <c r="Y70" s="1">
        <v>0.0</v>
      </c>
      <c r="AE70" s="1">
        <v>4.0</v>
      </c>
      <c r="AP70" s="1">
        <v>-4.0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</row>
    <row r="71">
      <c r="A71" s="2" t="s">
        <v>54</v>
      </c>
      <c r="H71" s="1">
        <v>4.0</v>
      </c>
      <c r="L71" s="1">
        <v>4.0</v>
      </c>
      <c r="M71" s="1">
        <v>0.0</v>
      </c>
      <c r="Y71" s="1">
        <v>0.0</v>
      </c>
      <c r="AC71" s="1">
        <v>0.0</v>
      </c>
      <c r="AO71" s="1">
        <v>4.0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</row>
    <row r="72">
      <c r="A72" s="2" t="s">
        <v>55</v>
      </c>
      <c r="M72" s="1">
        <v>4.0</v>
      </c>
      <c r="Q72" s="1">
        <v>4.0</v>
      </c>
      <c r="Y72" s="1">
        <v>0.0</v>
      </c>
      <c r="AE72" s="1">
        <v>4.0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</row>
    <row r="73">
      <c r="A73" s="2" t="s">
        <v>56</v>
      </c>
      <c r="F73" s="1">
        <v>4.0</v>
      </c>
      <c r="Q73" s="1">
        <v>4.0</v>
      </c>
      <c r="T73" s="1">
        <v>0.0</v>
      </c>
      <c r="W73" s="1">
        <v>0.0</v>
      </c>
      <c r="Y73" s="1">
        <v>0.0</v>
      </c>
      <c r="AE73" s="1">
        <v>4.0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</row>
    <row r="74">
      <c r="A74" s="2" t="s">
        <v>57</v>
      </c>
      <c r="F74" s="1">
        <v>4.0</v>
      </c>
      <c r="Y74" s="1">
        <v>0.0</v>
      </c>
      <c r="AE74" s="1">
        <v>4.0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</row>
    <row r="75">
      <c r="A75" s="2" t="s">
        <v>58</v>
      </c>
      <c r="J75" s="1">
        <v>4.0</v>
      </c>
      <c r="Y75" s="1">
        <v>0.0</v>
      </c>
      <c r="AC75" s="1">
        <v>4.0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</row>
    <row r="76">
      <c r="B76" s="1" t="b">
        <v>0</v>
      </c>
      <c r="C76" s="1" t="b">
        <v>1</v>
      </c>
      <c r="D76" s="1" t="b">
        <v>1</v>
      </c>
      <c r="E76" s="1" t="b">
        <v>0</v>
      </c>
      <c r="F76" s="1" t="b">
        <v>1</v>
      </c>
      <c r="G76" s="1" t="b">
        <v>1</v>
      </c>
      <c r="H76" s="1" t="b">
        <v>1</v>
      </c>
      <c r="I76" s="1" t="b">
        <v>1</v>
      </c>
      <c r="J76" s="1" t="b">
        <v>0</v>
      </c>
      <c r="K76" s="1" t="b">
        <v>1</v>
      </c>
      <c r="L76" s="1" t="b">
        <v>1</v>
      </c>
      <c r="M76" s="1" t="b">
        <v>1</v>
      </c>
      <c r="N76" s="1" t="b">
        <v>1</v>
      </c>
      <c r="O76" s="1" t="b">
        <v>1</v>
      </c>
      <c r="P76" s="1" t="b">
        <v>0</v>
      </c>
      <c r="Q76" s="1" t="b">
        <v>1</v>
      </c>
      <c r="R76" s="1" t="b">
        <v>1</v>
      </c>
      <c r="S76" s="1" t="b">
        <v>0</v>
      </c>
      <c r="T76" s="1" t="b">
        <v>1</v>
      </c>
      <c r="U76" s="1" t="b">
        <v>1</v>
      </c>
      <c r="V76" s="1" t="b">
        <v>1</v>
      </c>
      <c r="W76" s="1" t="b">
        <v>1</v>
      </c>
      <c r="X76" s="1" t="b">
        <v>0</v>
      </c>
      <c r="Y76" s="1" t="b">
        <v>0</v>
      </c>
      <c r="Z76" s="1" t="b">
        <v>1</v>
      </c>
      <c r="AA76" s="1" t="b">
        <v>0</v>
      </c>
      <c r="AB76" s="1" t="b">
        <v>1</v>
      </c>
      <c r="AC76" s="1" t="b">
        <v>1</v>
      </c>
      <c r="AD76" s="1" t="b">
        <v>1</v>
      </c>
      <c r="AE76" s="1" t="b">
        <v>1</v>
      </c>
      <c r="AF76" s="1" t="b">
        <v>0</v>
      </c>
      <c r="AG76" s="1" t="b">
        <v>1</v>
      </c>
      <c r="AH76" s="1" t="b">
        <v>1</v>
      </c>
      <c r="AI76" s="1" t="b">
        <v>1</v>
      </c>
      <c r="AJ76" s="1" t="b">
        <v>1</v>
      </c>
      <c r="AK76" s="1" t="b">
        <v>1</v>
      </c>
      <c r="AL76" s="1" t="b">
        <v>0</v>
      </c>
      <c r="AM76" s="1" t="b">
        <v>1</v>
      </c>
      <c r="AN76" s="1" t="b">
        <v>1</v>
      </c>
      <c r="AO76" s="1" t="b">
        <v>1</v>
      </c>
      <c r="AP76" s="1" t="b">
        <v>1</v>
      </c>
      <c r="AQ76" s="1" t="b">
        <v>0</v>
      </c>
      <c r="AR76" s="1" t="b">
        <v>1</v>
      </c>
      <c r="AS76" s="1" t="b">
        <v>0</v>
      </c>
      <c r="AT76" s="1" t="b">
        <v>0</v>
      </c>
      <c r="AU76" s="1" t="b">
        <v>0</v>
      </c>
      <c r="AV76" s="1" t="b">
        <v>0</v>
      </c>
      <c r="AW76" s="1" t="b">
        <v>0</v>
      </c>
      <c r="AX76" s="1" t="b">
        <v>0</v>
      </c>
      <c r="AY76" s="1" t="b">
        <v>0</v>
      </c>
    </row>
    <row r="77">
      <c r="A77" s="2" t="s">
        <v>53</v>
      </c>
      <c r="F77" s="1">
        <v>-4.0</v>
      </c>
      <c r="O77" s="1">
        <v>0.0</v>
      </c>
      <c r="Y77" s="1">
        <v>0.0</v>
      </c>
      <c r="AI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</row>
    <row r="78">
      <c r="A78" s="2" t="s">
        <v>54</v>
      </c>
      <c r="L78" s="1">
        <v>4.0</v>
      </c>
      <c r="M78" s="1">
        <v>0.0</v>
      </c>
      <c r="R78" s="1">
        <v>4.0</v>
      </c>
      <c r="Y78" s="1">
        <v>0.0</v>
      </c>
      <c r="Z78" s="1">
        <v>4.0</v>
      </c>
      <c r="AP78" s="1">
        <v>4.0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</row>
    <row r="79">
      <c r="A79" s="2" t="s">
        <v>55</v>
      </c>
      <c r="F79" s="1">
        <v>4.0</v>
      </c>
      <c r="M79" s="1">
        <v>0.0</v>
      </c>
      <c r="R79" s="1">
        <v>0.0</v>
      </c>
      <c r="Y79" s="1">
        <v>0.0</v>
      </c>
      <c r="AN79" s="1">
        <v>4.0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</row>
    <row r="80">
      <c r="A80" s="2" t="s">
        <v>56</v>
      </c>
      <c r="T80" s="1">
        <v>0.0</v>
      </c>
      <c r="U80" s="1">
        <v>4.0</v>
      </c>
      <c r="Y80" s="1">
        <v>0.0</v>
      </c>
      <c r="AI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</row>
    <row r="81">
      <c r="A81" s="2" t="s">
        <v>57</v>
      </c>
      <c r="L81" s="1">
        <v>4.0</v>
      </c>
      <c r="Y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</row>
    <row r="82">
      <c r="A82" s="2" t="s">
        <v>58</v>
      </c>
      <c r="C82" s="1">
        <v>4.0</v>
      </c>
      <c r="L82" s="1">
        <v>4.0</v>
      </c>
      <c r="M82" s="1">
        <v>0.0</v>
      </c>
      <c r="Y82" s="1">
        <v>0.0</v>
      </c>
      <c r="Z82" s="1">
        <v>4.0</v>
      </c>
      <c r="AC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</row>
    <row r="83">
      <c r="A83" s="2" t="s">
        <v>53</v>
      </c>
      <c r="F83" s="1">
        <v>-4.0</v>
      </c>
      <c r="T83" s="1">
        <v>0.0</v>
      </c>
      <c r="W83" s="1">
        <v>0.0</v>
      </c>
      <c r="Y83" s="1">
        <v>0.0</v>
      </c>
      <c r="AG83" s="1">
        <v>-4.0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</row>
    <row r="84">
      <c r="A84" s="2" t="s">
        <v>54</v>
      </c>
      <c r="L84" s="1">
        <v>4.0</v>
      </c>
      <c r="O84" s="1">
        <v>4.0</v>
      </c>
      <c r="W84" s="1">
        <v>0.0</v>
      </c>
      <c r="Y84" s="1">
        <v>0.0</v>
      </c>
      <c r="Z84" s="1">
        <v>4.0</v>
      </c>
      <c r="AO84" s="1">
        <v>4.0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</row>
    <row r="85">
      <c r="A85" s="2" t="s">
        <v>55</v>
      </c>
      <c r="H85" s="1">
        <v>4.0</v>
      </c>
      <c r="M85" s="1">
        <v>0.0</v>
      </c>
      <c r="R85" s="1">
        <v>0.0</v>
      </c>
      <c r="Y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</row>
    <row r="86">
      <c r="A86" s="2" t="s">
        <v>56</v>
      </c>
      <c r="F86" s="1">
        <v>4.0</v>
      </c>
      <c r="O86" s="1">
        <v>0.0</v>
      </c>
      <c r="Y86" s="1">
        <v>0.0</v>
      </c>
      <c r="AE86" s="1">
        <v>4.0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</row>
    <row r="87">
      <c r="A87" s="2" t="s">
        <v>57</v>
      </c>
      <c r="D87" s="1">
        <v>4.0</v>
      </c>
      <c r="F87" s="1">
        <v>4.0</v>
      </c>
      <c r="K87" s="1">
        <v>4.0</v>
      </c>
      <c r="Y87" s="1">
        <v>0.0</v>
      </c>
      <c r="AE87" s="1">
        <v>4.0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</row>
    <row r="88">
      <c r="A88" s="2" t="s">
        <v>58</v>
      </c>
      <c r="Y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</row>
    <row r="91">
      <c r="B91" s="1" t="s">
        <v>0</v>
      </c>
      <c r="C91" s="1" t="s">
        <v>2</v>
      </c>
      <c r="D91" s="1" t="s">
        <v>3</v>
      </c>
      <c r="E91" s="1" t="s">
        <v>0</v>
      </c>
      <c r="F91" s="1" t="s">
        <v>5</v>
      </c>
      <c r="G91" s="1" t="s">
        <v>2</v>
      </c>
      <c r="H91" s="1" t="s">
        <v>7</v>
      </c>
      <c r="I91" s="1" t="s">
        <v>6</v>
      </c>
      <c r="J91" s="1" t="s">
        <v>5</v>
      </c>
      <c r="K91" s="1" t="s">
        <v>9</v>
      </c>
      <c r="L91" s="1" t="s">
        <v>3</v>
      </c>
      <c r="M91" s="1" t="s">
        <v>8</v>
      </c>
      <c r="N91" s="1" t="s">
        <v>2</v>
      </c>
      <c r="O91" s="1" t="s">
        <v>9</v>
      </c>
      <c r="P91" s="1" t="s">
        <v>6</v>
      </c>
      <c r="Q91" s="1" t="s">
        <v>3</v>
      </c>
      <c r="R91" s="1" t="s">
        <v>9</v>
      </c>
      <c r="S91" s="1" t="s">
        <v>6</v>
      </c>
      <c r="T91" s="1" t="s">
        <v>9</v>
      </c>
      <c r="U91" s="1" t="s">
        <v>1</v>
      </c>
      <c r="V91" s="1" t="s">
        <v>2</v>
      </c>
      <c r="W91" s="1" t="s">
        <v>8</v>
      </c>
      <c r="X91" s="1" t="s">
        <v>0</v>
      </c>
      <c r="Y91" s="1" t="s">
        <v>2</v>
      </c>
      <c r="Z91" s="1" t="s">
        <v>7</v>
      </c>
      <c r="AA91" s="1" t="s">
        <v>0</v>
      </c>
      <c r="AB91" s="1" t="s">
        <v>7</v>
      </c>
      <c r="AC91" s="1" t="s">
        <v>9</v>
      </c>
      <c r="AD91" s="1" t="s">
        <v>7</v>
      </c>
      <c r="AE91" s="1" t="s">
        <v>1</v>
      </c>
      <c r="AF91" s="1" t="s">
        <v>0</v>
      </c>
      <c r="AG91" s="1" t="s">
        <v>4</v>
      </c>
      <c r="AH91" s="1" t="s">
        <v>4</v>
      </c>
      <c r="AI91" s="1" t="s">
        <v>8</v>
      </c>
      <c r="AJ91" s="1" t="s">
        <v>4</v>
      </c>
      <c r="AK91" s="1" t="s">
        <v>7</v>
      </c>
      <c r="AL91" s="1" t="s">
        <v>6</v>
      </c>
      <c r="AM91" s="1" t="s">
        <v>8</v>
      </c>
      <c r="AN91" s="1" t="s">
        <v>4</v>
      </c>
      <c r="AO91" s="1" t="s">
        <v>5</v>
      </c>
      <c r="AP91" s="1" t="s">
        <v>5</v>
      </c>
      <c r="AQ91" s="1" t="s">
        <v>6</v>
      </c>
      <c r="AR91" s="1" t="s">
        <v>4</v>
      </c>
      <c r="AS91" s="1" t="s">
        <v>3</v>
      </c>
      <c r="AT91" s="1" t="s">
        <v>3</v>
      </c>
      <c r="AU91" s="1" t="s">
        <v>1</v>
      </c>
      <c r="AV91" s="1" t="s">
        <v>1</v>
      </c>
      <c r="AW91" s="1" t="s">
        <v>1</v>
      </c>
      <c r="AX91" s="1" t="s">
        <v>5</v>
      </c>
      <c r="AY91" s="1" t="s">
        <v>8</v>
      </c>
    </row>
    <row r="92">
      <c r="B92" s="1" t="s">
        <v>46</v>
      </c>
      <c r="C92" s="1" t="s">
        <v>35</v>
      </c>
      <c r="D92" s="1" t="s">
        <v>47</v>
      </c>
      <c r="E92" s="1" t="s">
        <v>43</v>
      </c>
      <c r="F92" s="1" t="s">
        <v>52</v>
      </c>
      <c r="G92" s="1" t="s">
        <v>34</v>
      </c>
      <c r="H92" s="1" t="s">
        <v>26</v>
      </c>
      <c r="I92" s="1" t="s">
        <v>21</v>
      </c>
      <c r="J92" s="1" t="s">
        <v>21</v>
      </c>
      <c r="K92" s="1" t="s">
        <v>39</v>
      </c>
      <c r="L92" s="1" t="s">
        <v>48</v>
      </c>
      <c r="M92" s="1" t="s">
        <v>30</v>
      </c>
      <c r="N92" s="1" t="s">
        <v>36</v>
      </c>
      <c r="O92" s="1" t="s">
        <v>40</v>
      </c>
      <c r="P92" s="1" t="s">
        <v>23</v>
      </c>
      <c r="Q92" s="1" t="s">
        <v>49</v>
      </c>
      <c r="R92" s="1" t="s">
        <v>42</v>
      </c>
      <c r="S92" s="1" t="s">
        <v>22</v>
      </c>
      <c r="T92" s="1" t="s">
        <v>41</v>
      </c>
      <c r="U92" s="1" t="s">
        <v>13</v>
      </c>
      <c r="V92" s="1" t="s">
        <v>33</v>
      </c>
      <c r="W92" s="1" t="s">
        <v>31</v>
      </c>
      <c r="X92" s="1" t="s">
        <v>45</v>
      </c>
      <c r="Y92" s="1" t="s">
        <v>37</v>
      </c>
      <c r="Z92" s="1" t="s">
        <v>25</v>
      </c>
      <c r="AA92" s="1" t="s">
        <v>44</v>
      </c>
      <c r="AB92" s="1" t="s">
        <v>24</v>
      </c>
      <c r="AC92" s="1" t="s">
        <v>38</v>
      </c>
      <c r="AD92" s="1" t="s">
        <v>27</v>
      </c>
      <c r="AE92" s="1" t="s">
        <v>12</v>
      </c>
      <c r="AF92" s="1" t="s">
        <v>12</v>
      </c>
      <c r="AG92" s="1" t="s">
        <v>16</v>
      </c>
      <c r="AH92" s="1" t="s">
        <v>17</v>
      </c>
      <c r="AI92" s="1" t="s">
        <v>32</v>
      </c>
      <c r="AJ92" s="1" t="s">
        <v>18</v>
      </c>
      <c r="AK92" s="1" t="s">
        <v>28</v>
      </c>
      <c r="AL92" s="1" t="s">
        <v>19</v>
      </c>
      <c r="AM92" s="1" t="s">
        <v>29</v>
      </c>
      <c r="AN92" s="1" t="s">
        <v>14</v>
      </c>
      <c r="AO92" s="1" t="s">
        <v>51</v>
      </c>
      <c r="AP92" s="1" t="s">
        <v>50</v>
      </c>
      <c r="AQ92" s="1" t="s">
        <v>20</v>
      </c>
      <c r="AR92" s="1" t="s">
        <v>15</v>
      </c>
    </row>
    <row r="93">
      <c r="B93" s="1" t="b">
        <v>1</v>
      </c>
      <c r="C93" s="1" t="b">
        <v>0</v>
      </c>
      <c r="D93" s="1" t="b">
        <v>1</v>
      </c>
      <c r="E93" s="1" t="b">
        <v>1</v>
      </c>
      <c r="F93" s="1" t="b">
        <v>1</v>
      </c>
      <c r="G93" s="1" t="b">
        <v>0</v>
      </c>
      <c r="H93" s="1" t="b">
        <v>1</v>
      </c>
      <c r="I93" s="1" t="b">
        <v>1</v>
      </c>
      <c r="J93" s="1" t="b">
        <v>1</v>
      </c>
      <c r="K93" s="1" t="b">
        <v>1</v>
      </c>
      <c r="L93" s="1" t="b">
        <v>1</v>
      </c>
      <c r="M93" s="1" t="b">
        <v>1</v>
      </c>
      <c r="N93" s="1" t="b">
        <v>0</v>
      </c>
      <c r="O93" s="1" t="b">
        <v>1</v>
      </c>
      <c r="P93" s="1" t="b">
        <v>1</v>
      </c>
      <c r="Q93" s="1" t="b">
        <v>1</v>
      </c>
      <c r="R93" s="1" t="b">
        <v>1</v>
      </c>
      <c r="S93" s="1" t="b">
        <v>1</v>
      </c>
      <c r="T93" s="1" t="b">
        <v>1</v>
      </c>
      <c r="U93" s="1" t="b">
        <v>1</v>
      </c>
      <c r="V93" s="1" t="b">
        <v>0</v>
      </c>
      <c r="W93" s="1" t="b">
        <v>1</v>
      </c>
      <c r="X93" s="1" t="b">
        <v>1</v>
      </c>
      <c r="Y93" s="1" t="b">
        <v>0</v>
      </c>
      <c r="Z93" s="1" t="b">
        <v>1</v>
      </c>
      <c r="AA93" s="1" t="b">
        <v>1</v>
      </c>
      <c r="AB93" s="1" t="b">
        <v>1</v>
      </c>
      <c r="AC93" s="1" t="b">
        <v>1</v>
      </c>
      <c r="AD93" s="1" t="b">
        <v>1</v>
      </c>
      <c r="AE93" s="1" t="b">
        <v>1</v>
      </c>
      <c r="AF93" s="1" t="b">
        <v>1</v>
      </c>
      <c r="AG93" s="1" t="b">
        <v>0</v>
      </c>
      <c r="AH93" s="1" t="b">
        <v>0</v>
      </c>
      <c r="AI93" s="1" t="b">
        <v>1</v>
      </c>
      <c r="AJ93" s="1" t="b">
        <v>0</v>
      </c>
      <c r="AK93" s="1" t="b">
        <v>0</v>
      </c>
      <c r="AL93" s="1" t="b">
        <v>1</v>
      </c>
      <c r="AM93" s="1" t="b">
        <v>1</v>
      </c>
      <c r="AN93" s="1" t="b">
        <v>0</v>
      </c>
      <c r="AO93" s="1" t="b">
        <v>1</v>
      </c>
      <c r="AP93" s="1" t="b">
        <v>1</v>
      </c>
      <c r="AQ93" s="1" t="b">
        <v>0</v>
      </c>
      <c r="AR93" s="1" t="b">
        <v>0</v>
      </c>
      <c r="AS93" s="1" t="b">
        <v>0</v>
      </c>
      <c r="AT93" s="1" t="b">
        <v>0</v>
      </c>
      <c r="AU93" s="1" t="b">
        <v>0</v>
      </c>
      <c r="AV93" s="1" t="b">
        <v>0</v>
      </c>
      <c r="AW93" s="1" t="b">
        <v>0</v>
      </c>
      <c r="AX93" s="1" t="b">
        <v>0</v>
      </c>
      <c r="AY93" s="1" t="b">
        <v>0</v>
      </c>
    </row>
    <row r="94">
      <c r="A94" s="2" t="s">
        <v>53</v>
      </c>
      <c r="F94" s="1">
        <v>4.0</v>
      </c>
      <c r="H94" s="1">
        <v>4.0</v>
      </c>
      <c r="P94" s="1">
        <v>4.0</v>
      </c>
      <c r="AA94" s="1">
        <v>4.0</v>
      </c>
      <c r="AK94" s="1">
        <v>0.0</v>
      </c>
      <c r="AQ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</row>
    <row r="95">
      <c r="A95" s="2" t="s">
        <v>54</v>
      </c>
      <c r="E95" s="1">
        <v>0.0</v>
      </c>
      <c r="F95" s="1">
        <v>-4.0</v>
      </c>
      <c r="H95" s="1">
        <v>4.0</v>
      </c>
      <c r="I95" s="1">
        <v>4.0</v>
      </c>
      <c r="M95" s="1">
        <v>4.0</v>
      </c>
      <c r="AC95" s="1">
        <v>-4.0</v>
      </c>
      <c r="AK95" s="1">
        <v>0.0</v>
      </c>
      <c r="AQ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</row>
    <row r="96">
      <c r="A96" s="2" t="s">
        <v>55</v>
      </c>
      <c r="E96" s="1">
        <v>0.0</v>
      </c>
      <c r="M96" s="1">
        <v>0.0</v>
      </c>
      <c r="Q96" s="1">
        <v>4.0</v>
      </c>
      <c r="AK96" s="1">
        <v>0.0</v>
      </c>
      <c r="AQ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</row>
    <row r="97">
      <c r="A97" s="2" t="s">
        <v>56</v>
      </c>
      <c r="I97" s="1">
        <v>4.0</v>
      </c>
      <c r="AA97" s="1">
        <v>4.0</v>
      </c>
      <c r="AB97" s="1">
        <v>-4.0</v>
      </c>
      <c r="AK97" s="1">
        <v>0.0</v>
      </c>
      <c r="AP97" s="1">
        <v>-4.0</v>
      </c>
      <c r="AQ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</row>
    <row r="98">
      <c r="A98" s="2" t="s">
        <v>57</v>
      </c>
      <c r="M98" s="1">
        <v>0.0</v>
      </c>
      <c r="O98" s="1">
        <v>-4.0</v>
      </c>
      <c r="X98" s="1">
        <v>0.0</v>
      </c>
      <c r="AK98" s="1">
        <v>0.0</v>
      </c>
      <c r="AQ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</row>
    <row r="99">
      <c r="A99" s="2" t="s">
        <v>58</v>
      </c>
      <c r="F99" s="1">
        <v>-4.0</v>
      </c>
      <c r="H99" s="1">
        <v>4.0</v>
      </c>
      <c r="M99" s="1">
        <v>0.0</v>
      </c>
      <c r="U99" s="1">
        <v>4.0</v>
      </c>
      <c r="X99" s="1">
        <v>0.0</v>
      </c>
      <c r="AK99" s="1">
        <v>0.0</v>
      </c>
      <c r="AQ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</row>
    <row r="100">
      <c r="A100" s="2" t="s">
        <v>53</v>
      </c>
      <c r="E100" s="1">
        <v>4.0</v>
      </c>
      <c r="L100" s="1">
        <v>4.0</v>
      </c>
      <c r="P100" s="1">
        <v>4.0</v>
      </c>
      <c r="AK100" s="1">
        <v>0.0</v>
      </c>
      <c r="AP100" s="1">
        <v>4.0</v>
      </c>
      <c r="AQ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</row>
    <row r="101">
      <c r="A101" s="2" t="s">
        <v>54</v>
      </c>
      <c r="AK101" s="1">
        <v>0.0</v>
      </c>
      <c r="AM101" s="1">
        <v>4.0</v>
      </c>
      <c r="AQ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</row>
    <row r="102">
      <c r="A102" s="2" t="s">
        <v>55</v>
      </c>
      <c r="M102" s="1">
        <v>0.0</v>
      </c>
      <c r="O102" s="1">
        <v>4.0</v>
      </c>
      <c r="Q102" s="1">
        <v>4.0</v>
      </c>
      <c r="X102" s="1">
        <v>0.0</v>
      </c>
      <c r="AK102" s="1">
        <v>0.0</v>
      </c>
      <c r="AQ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</row>
    <row r="103">
      <c r="A103" s="2" t="s">
        <v>56</v>
      </c>
      <c r="F103" s="1">
        <v>4.0</v>
      </c>
      <c r="L103" s="1">
        <v>4.0</v>
      </c>
      <c r="P103" s="1">
        <v>4.0</v>
      </c>
      <c r="W103" s="1">
        <v>4.0</v>
      </c>
      <c r="AK103" s="1">
        <v>0.0</v>
      </c>
      <c r="AQ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</row>
    <row r="104">
      <c r="A104" s="2" t="s">
        <v>57</v>
      </c>
      <c r="H104" s="1">
        <v>4.0</v>
      </c>
      <c r="J104" s="1">
        <v>4.0</v>
      </c>
      <c r="M104" s="1">
        <v>4.0</v>
      </c>
      <c r="AF104" s="1">
        <v>0.0</v>
      </c>
      <c r="AK104" s="1">
        <v>0.0</v>
      </c>
      <c r="AL104" s="1">
        <v>4.0</v>
      </c>
      <c r="AQ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</row>
    <row r="105">
      <c r="A105" s="2" t="s">
        <v>58</v>
      </c>
      <c r="Q105" s="1">
        <v>4.0</v>
      </c>
      <c r="X105" s="1">
        <v>4.0</v>
      </c>
      <c r="AK105" s="1">
        <v>0.0</v>
      </c>
      <c r="AO105" s="1">
        <v>4.0</v>
      </c>
      <c r="AQ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</row>
    <row r="106">
      <c r="B106" s="1" t="b">
        <v>1</v>
      </c>
      <c r="C106" s="1" t="b">
        <v>0</v>
      </c>
      <c r="D106" s="1" t="b">
        <v>1</v>
      </c>
      <c r="E106" s="1" t="b">
        <v>1</v>
      </c>
      <c r="F106" s="1" t="b">
        <v>1</v>
      </c>
      <c r="G106" s="1" t="b">
        <v>0</v>
      </c>
      <c r="H106" s="1" t="b">
        <v>1</v>
      </c>
      <c r="I106" s="1" t="b">
        <v>1</v>
      </c>
      <c r="J106" s="1" t="b">
        <v>1</v>
      </c>
      <c r="K106" s="1" t="b">
        <v>1</v>
      </c>
      <c r="L106" s="1" t="b">
        <v>1</v>
      </c>
      <c r="M106" s="1" t="b">
        <v>1</v>
      </c>
      <c r="N106" s="1" t="b">
        <v>0</v>
      </c>
      <c r="O106" s="1" t="b">
        <v>1</v>
      </c>
      <c r="P106" s="1" t="b">
        <v>1</v>
      </c>
      <c r="Q106" s="1" t="b">
        <v>1</v>
      </c>
      <c r="R106" s="1" t="b">
        <v>1</v>
      </c>
      <c r="S106" s="1" t="b">
        <v>1</v>
      </c>
      <c r="T106" s="1" t="b">
        <v>1</v>
      </c>
      <c r="U106" s="1" t="b">
        <v>1</v>
      </c>
      <c r="V106" s="1" t="b">
        <v>0</v>
      </c>
      <c r="W106" s="1" t="b">
        <v>1</v>
      </c>
      <c r="X106" s="1" t="b">
        <v>1</v>
      </c>
      <c r="Y106" s="1" t="b">
        <v>0</v>
      </c>
      <c r="Z106" s="1" t="b">
        <v>1</v>
      </c>
      <c r="AA106" s="1" t="b">
        <v>1</v>
      </c>
      <c r="AB106" s="1" t="b">
        <v>1</v>
      </c>
      <c r="AC106" s="1" t="b">
        <v>1</v>
      </c>
      <c r="AD106" s="1" t="b">
        <v>1</v>
      </c>
      <c r="AE106" s="1" t="b">
        <v>1</v>
      </c>
      <c r="AF106" s="1" t="b">
        <v>1</v>
      </c>
      <c r="AG106" s="1" t="b">
        <v>0</v>
      </c>
      <c r="AH106" s="1" t="b">
        <v>0</v>
      </c>
      <c r="AI106" s="1" t="b">
        <v>1</v>
      </c>
      <c r="AJ106" s="1" t="b">
        <v>0</v>
      </c>
      <c r="AK106" s="1" t="b">
        <v>0</v>
      </c>
      <c r="AL106" s="1" t="b">
        <v>1</v>
      </c>
      <c r="AM106" s="1" t="b">
        <v>1</v>
      </c>
      <c r="AN106" s="1" t="b">
        <v>0</v>
      </c>
      <c r="AO106" s="1" t="b">
        <v>1</v>
      </c>
      <c r="AP106" s="1" t="b">
        <v>1</v>
      </c>
      <c r="AQ106" s="1" t="b">
        <v>0</v>
      </c>
      <c r="AR106" s="1" t="b">
        <v>0</v>
      </c>
      <c r="AS106" s="1" t="b">
        <v>0</v>
      </c>
      <c r="AT106" s="1" t="b">
        <v>0</v>
      </c>
      <c r="AU106" s="1" t="b">
        <v>0</v>
      </c>
      <c r="AV106" s="1" t="b">
        <v>0</v>
      </c>
      <c r="AW106" s="1" t="b">
        <v>0</v>
      </c>
      <c r="AX106" s="1" t="b">
        <v>0</v>
      </c>
      <c r="AY106" s="1" t="b">
        <v>1</v>
      </c>
    </row>
    <row r="107">
      <c r="A107" s="2" t="s">
        <v>53</v>
      </c>
      <c r="E107" s="1">
        <v>4.0</v>
      </c>
      <c r="Z107" s="1">
        <v>4.0</v>
      </c>
      <c r="AE107" s="1">
        <v>4.0</v>
      </c>
      <c r="AK107" s="1">
        <v>0.0</v>
      </c>
      <c r="AO107" s="1">
        <v>4.0</v>
      </c>
      <c r="AQ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</row>
    <row r="108">
      <c r="A108" s="2" t="s">
        <v>54</v>
      </c>
      <c r="B108" s="1">
        <v>0.0</v>
      </c>
      <c r="I108" s="1">
        <v>4.0</v>
      </c>
      <c r="L108" s="1">
        <v>4.0</v>
      </c>
      <c r="AK108" s="1">
        <v>0.0</v>
      </c>
      <c r="AM108" s="1">
        <v>0.0</v>
      </c>
      <c r="AP108" s="1">
        <v>4.0</v>
      </c>
      <c r="AQ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</row>
    <row r="109">
      <c r="A109" s="2" t="s">
        <v>55</v>
      </c>
      <c r="M109" s="1">
        <v>4.0</v>
      </c>
      <c r="Q109" s="1">
        <v>4.0</v>
      </c>
      <c r="S109" s="1">
        <v>4.0</v>
      </c>
      <c r="AK109" s="1">
        <v>0.0</v>
      </c>
      <c r="AQ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</row>
    <row r="110">
      <c r="A110" s="2" t="s">
        <v>56</v>
      </c>
      <c r="J110" s="1">
        <v>4.0</v>
      </c>
      <c r="L110" s="1">
        <v>4.0</v>
      </c>
      <c r="M110" s="1">
        <v>0.0</v>
      </c>
      <c r="AA110" s="1">
        <v>0.0</v>
      </c>
      <c r="AK110" s="1">
        <v>0.0</v>
      </c>
      <c r="AQ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</row>
    <row r="111">
      <c r="A111" s="2" t="s">
        <v>57</v>
      </c>
      <c r="D111" s="1">
        <v>4.0</v>
      </c>
      <c r="F111" s="1">
        <v>4.0</v>
      </c>
      <c r="AE111" s="1">
        <v>4.0</v>
      </c>
      <c r="AF111" s="1">
        <v>0.0</v>
      </c>
      <c r="AI111" s="1">
        <v>0.0</v>
      </c>
      <c r="AK111" s="1">
        <v>0.0</v>
      </c>
      <c r="AQ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</row>
    <row r="112">
      <c r="A112" s="2" t="s">
        <v>58</v>
      </c>
      <c r="E112" s="1">
        <v>0.0</v>
      </c>
      <c r="F112" s="1">
        <v>4.0</v>
      </c>
      <c r="I112" s="1">
        <v>4.0</v>
      </c>
      <c r="L112" s="1">
        <v>4.0</v>
      </c>
      <c r="AK112" s="1">
        <v>0.0</v>
      </c>
      <c r="AQ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</row>
    <row r="113">
      <c r="A113" s="2" t="s">
        <v>53</v>
      </c>
      <c r="D113" s="1">
        <v>4.0</v>
      </c>
      <c r="U113" s="1">
        <v>4.0</v>
      </c>
      <c r="AF113" s="1">
        <v>4.0</v>
      </c>
      <c r="AK113" s="1">
        <v>0.0</v>
      </c>
      <c r="AM113" s="1">
        <v>0.0</v>
      </c>
      <c r="AO113" s="1">
        <v>-4.0</v>
      </c>
      <c r="AQ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</row>
    <row r="114">
      <c r="A114" s="2" t="s">
        <v>54</v>
      </c>
      <c r="S114" s="1">
        <v>4.0</v>
      </c>
      <c r="AD114" s="1">
        <v>4.0</v>
      </c>
      <c r="AK114" s="1">
        <v>0.0</v>
      </c>
      <c r="AM114" s="1">
        <v>4.0</v>
      </c>
      <c r="AP114" s="1">
        <v>4.0</v>
      </c>
      <c r="AQ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</row>
    <row r="115">
      <c r="A115" s="2" t="s">
        <v>55</v>
      </c>
      <c r="E115" s="1">
        <v>0.0</v>
      </c>
      <c r="R115" s="1">
        <v>4.0</v>
      </c>
      <c r="AI115" s="1">
        <v>0.0</v>
      </c>
      <c r="AK115" s="1">
        <v>0.0</v>
      </c>
      <c r="AQ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</row>
    <row r="116">
      <c r="A116" s="2" t="s">
        <v>56</v>
      </c>
      <c r="F116" s="1">
        <v>4.0</v>
      </c>
      <c r="AA116" s="1">
        <v>4.0</v>
      </c>
      <c r="AB116" s="1">
        <v>4.0</v>
      </c>
      <c r="AK116" s="1">
        <v>0.0</v>
      </c>
      <c r="AL116" s="1">
        <v>4.0</v>
      </c>
      <c r="AQ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</row>
    <row r="117">
      <c r="A117" s="2" t="s">
        <v>57</v>
      </c>
      <c r="E117" s="1">
        <v>0.0</v>
      </c>
      <c r="F117" s="1">
        <v>4.0</v>
      </c>
      <c r="H117" s="1">
        <v>4.0</v>
      </c>
      <c r="AI117" s="1">
        <v>4.0</v>
      </c>
      <c r="AK117" s="1">
        <v>0.0</v>
      </c>
      <c r="AQ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</row>
    <row r="118">
      <c r="A118" s="2" t="s">
        <v>58</v>
      </c>
      <c r="F118" s="1">
        <v>-4.0</v>
      </c>
      <c r="X118" s="1">
        <v>4.0</v>
      </c>
      <c r="AK118" s="1">
        <v>0.0</v>
      </c>
      <c r="AQ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</row>
    <row r="121">
      <c r="B121" s="1" t="s">
        <v>0</v>
      </c>
      <c r="C121" s="1" t="s">
        <v>2</v>
      </c>
      <c r="D121" s="1" t="s">
        <v>3</v>
      </c>
      <c r="E121" s="1" t="s">
        <v>0</v>
      </c>
      <c r="F121" s="1" t="s">
        <v>5</v>
      </c>
      <c r="G121" s="1" t="s">
        <v>2</v>
      </c>
      <c r="H121" s="1" t="s">
        <v>7</v>
      </c>
      <c r="I121" s="1" t="s">
        <v>6</v>
      </c>
      <c r="J121" s="1" t="s">
        <v>5</v>
      </c>
      <c r="K121" s="1" t="s">
        <v>9</v>
      </c>
      <c r="L121" s="1" t="s">
        <v>3</v>
      </c>
      <c r="M121" s="1" t="s">
        <v>8</v>
      </c>
      <c r="N121" s="1" t="s">
        <v>2</v>
      </c>
      <c r="O121" s="1" t="s">
        <v>9</v>
      </c>
      <c r="P121" s="1" t="s">
        <v>6</v>
      </c>
      <c r="Q121" s="1" t="s">
        <v>3</v>
      </c>
      <c r="R121" s="1" t="s">
        <v>9</v>
      </c>
      <c r="S121" s="1" t="s">
        <v>6</v>
      </c>
      <c r="T121" s="1" t="s">
        <v>9</v>
      </c>
      <c r="U121" s="1" t="s">
        <v>1</v>
      </c>
      <c r="V121" s="1" t="s">
        <v>2</v>
      </c>
      <c r="W121" s="1" t="s">
        <v>8</v>
      </c>
      <c r="X121" s="1" t="s">
        <v>0</v>
      </c>
      <c r="Y121" s="1" t="s">
        <v>2</v>
      </c>
      <c r="Z121" s="1" t="s">
        <v>7</v>
      </c>
      <c r="AA121" s="1" t="s">
        <v>0</v>
      </c>
      <c r="AB121" s="1" t="s">
        <v>7</v>
      </c>
      <c r="AC121" s="1" t="s">
        <v>9</v>
      </c>
      <c r="AD121" s="1" t="s">
        <v>7</v>
      </c>
      <c r="AE121" s="1" t="s">
        <v>1</v>
      </c>
      <c r="AF121" s="1" t="s">
        <v>0</v>
      </c>
      <c r="AG121" s="1" t="s">
        <v>4</v>
      </c>
      <c r="AH121" s="1" t="s">
        <v>4</v>
      </c>
      <c r="AI121" s="1" t="s">
        <v>8</v>
      </c>
      <c r="AJ121" s="1" t="s">
        <v>4</v>
      </c>
      <c r="AK121" s="1" t="s">
        <v>7</v>
      </c>
      <c r="AL121" s="1" t="s">
        <v>6</v>
      </c>
      <c r="AM121" s="1" t="s">
        <v>8</v>
      </c>
      <c r="AN121" s="1" t="s">
        <v>4</v>
      </c>
      <c r="AO121" s="1" t="s">
        <v>5</v>
      </c>
      <c r="AP121" s="1" t="s">
        <v>5</v>
      </c>
      <c r="AQ121" s="1" t="s">
        <v>6</v>
      </c>
      <c r="AR121" s="1" t="s">
        <v>4</v>
      </c>
      <c r="AS121" s="1" t="s">
        <v>1</v>
      </c>
      <c r="AT121" s="1" t="s">
        <v>1</v>
      </c>
      <c r="AU121" s="1" t="s">
        <v>1</v>
      </c>
      <c r="AV121" s="1" t="s">
        <v>3</v>
      </c>
      <c r="AW121" s="1" t="s">
        <v>3</v>
      </c>
      <c r="AX121" s="1" t="s">
        <v>5</v>
      </c>
      <c r="AY121" s="1" t="s">
        <v>8</v>
      </c>
    </row>
    <row r="122">
      <c r="B122" s="1" t="s">
        <v>46</v>
      </c>
      <c r="C122" s="1" t="s">
        <v>35</v>
      </c>
      <c r="D122" s="1" t="s">
        <v>47</v>
      </c>
      <c r="E122" s="1" t="s">
        <v>43</v>
      </c>
      <c r="F122" s="1" t="s">
        <v>52</v>
      </c>
      <c r="G122" s="1" t="s">
        <v>34</v>
      </c>
      <c r="H122" s="1" t="s">
        <v>26</v>
      </c>
      <c r="I122" s="1" t="s">
        <v>21</v>
      </c>
      <c r="J122" s="1" t="s">
        <v>21</v>
      </c>
      <c r="K122" s="1" t="s">
        <v>39</v>
      </c>
      <c r="L122" s="1" t="s">
        <v>48</v>
      </c>
      <c r="M122" s="1" t="s">
        <v>30</v>
      </c>
      <c r="N122" s="1" t="s">
        <v>36</v>
      </c>
      <c r="O122" s="1" t="s">
        <v>40</v>
      </c>
      <c r="P122" s="1" t="s">
        <v>23</v>
      </c>
      <c r="Q122" s="1" t="s">
        <v>49</v>
      </c>
      <c r="R122" s="1" t="s">
        <v>42</v>
      </c>
      <c r="S122" s="1" t="s">
        <v>22</v>
      </c>
      <c r="T122" s="1" t="s">
        <v>41</v>
      </c>
      <c r="U122" s="1" t="s">
        <v>13</v>
      </c>
      <c r="V122" s="1" t="s">
        <v>33</v>
      </c>
      <c r="W122" s="1" t="s">
        <v>31</v>
      </c>
      <c r="X122" s="1" t="s">
        <v>45</v>
      </c>
      <c r="Y122" s="1" t="s">
        <v>37</v>
      </c>
      <c r="Z122" s="1" t="s">
        <v>25</v>
      </c>
      <c r="AA122" s="1" t="s">
        <v>44</v>
      </c>
      <c r="AB122" s="1" t="s">
        <v>24</v>
      </c>
      <c r="AC122" s="1" t="s">
        <v>38</v>
      </c>
      <c r="AD122" s="1" t="s">
        <v>27</v>
      </c>
      <c r="AE122" s="1" t="s">
        <v>12</v>
      </c>
      <c r="AF122" s="1" t="s">
        <v>12</v>
      </c>
      <c r="AG122" s="1" t="s">
        <v>16</v>
      </c>
      <c r="AH122" s="1" t="s">
        <v>17</v>
      </c>
      <c r="AI122" s="1" t="s">
        <v>32</v>
      </c>
      <c r="AJ122" s="1" t="s">
        <v>18</v>
      </c>
      <c r="AK122" s="1" t="s">
        <v>28</v>
      </c>
      <c r="AL122" s="1" t="s">
        <v>19</v>
      </c>
      <c r="AM122" s="1" t="s">
        <v>29</v>
      </c>
      <c r="AN122" s="1" t="s">
        <v>14</v>
      </c>
      <c r="AO122" s="1" t="s">
        <v>51</v>
      </c>
      <c r="AP122" s="1" t="s">
        <v>50</v>
      </c>
      <c r="AQ122" s="1" t="s">
        <v>20</v>
      </c>
      <c r="AR122" s="1" t="s">
        <v>15</v>
      </c>
    </row>
    <row r="123">
      <c r="B123" s="1" t="b">
        <v>1</v>
      </c>
      <c r="C123" s="1" t="b">
        <v>1</v>
      </c>
      <c r="D123" s="1" t="b">
        <v>1</v>
      </c>
      <c r="E123" s="1" t="b">
        <v>1</v>
      </c>
      <c r="F123" s="1" t="b">
        <v>1</v>
      </c>
      <c r="G123" s="1" t="b">
        <v>1</v>
      </c>
      <c r="H123" s="1" t="b">
        <v>0</v>
      </c>
      <c r="I123" s="1" t="b">
        <v>1</v>
      </c>
      <c r="J123" s="1" t="b">
        <v>1</v>
      </c>
      <c r="K123" s="1" t="b">
        <v>0</v>
      </c>
      <c r="L123" s="1" t="b">
        <v>1</v>
      </c>
      <c r="M123" s="1" t="b">
        <v>1</v>
      </c>
      <c r="N123" s="1" t="b">
        <v>1</v>
      </c>
      <c r="O123" s="1" t="b">
        <v>0</v>
      </c>
      <c r="P123" s="1" t="b">
        <v>1</v>
      </c>
      <c r="Q123" s="1" t="b">
        <v>1</v>
      </c>
      <c r="R123" s="1" t="b">
        <v>0</v>
      </c>
      <c r="S123" s="1" t="b">
        <v>1</v>
      </c>
      <c r="T123" s="1" t="b">
        <v>0</v>
      </c>
      <c r="U123" s="1" t="b">
        <v>1</v>
      </c>
      <c r="V123" s="1" t="b">
        <v>1</v>
      </c>
      <c r="W123" s="1" t="b">
        <v>1</v>
      </c>
      <c r="X123" s="1" t="b">
        <v>1</v>
      </c>
      <c r="Y123" s="1" t="b">
        <v>0</v>
      </c>
      <c r="Z123" s="1" t="b">
        <v>0</v>
      </c>
      <c r="AA123" s="1" t="b">
        <v>1</v>
      </c>
      <c r="AB123" s="1" t="b">
        <v>0</v>
      </c>
      <c r="AC123" s="1" t="b">
        <v>0</v>
      </c>
      <c r="AD123" s="1" t="b">
        <v>0</v>
      </c>
      <c r="AE123" s="1" t="b">
        <v>1</v>
      </c>
      <c r="AF123" s="1" t="b">
        <v>1</v>
      </c>
      <c r="AG123" s="1" t="b">
        <v>1</v>
      </c>
      <c r="AH123" s="1" t="b">
        <v>1</v>
      </c>
      <c r="AI123" s="1" t="b">
        <v>1</v>
      </c>
      <c r="AJ123" s="1" t="b">
        <v>1</v>
      </c>
      <c r="AK123" s="1" t="b">
        <v>0</v>
      </c>
      <c r="AL123" s="1" t="b">
        <v>1</v>
      </c>
      <c r="AM123" s="1" t="b">
        <v>1</v>
      </c>
      <c r="AN123" s="1" t="b">
        <v>1</v>
      </c>
      <c r="AO123" s="1" t="b">
        <v>1</v>
      </c>
      <c r="AP123" s="1" t="b">
        <v>1</v>
      </c>
      <c r="AQ123" s="1" t="b">
        <v>0</v>
      </c>
      <c r="AR123" s="1" t="b">
        <v>1</v>
      </c>
      <c r="AS123" s="1" t="b">
        <v>0</v>
      </c>
      <c r="AT123" s="1" t="b">
        <v>0</v>
      </c>
      <c r="AU123" s="1" t="b">
        <v>0</v>
      </c>
      <c r="AV123" s="1" t="b">
        <v>0</v>
      </c>
      <c r="AW123" s="1" t="b">
        <v>0</v>
      </c>
      <c r="AX123" s="1" t="b">
        <v>0</v>
      </c>
      <c r="AY123" s="1" t="b">
        <v>0</v>
      </c>
    </row>
    <row r="124">
      <c r="A124" s="2" t="s">
        <v>53</v>
      </c>
      <c r="Y124" s="1">
        <v>0.0</v>
      </c>
      <c r="AO124" s="1">
        <v>0.0</v>
      </c>
      <c r="AQ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</row>
    <row r="125">
      <c r="A125" s="2" t="s">
        <v>54</v>
      </c>
      <c r="M125" s="1">
        <v>0.0</v>
      </c>
      <c r="N125" s="1">
        <v>4.0</v>
      </c>
      <c r="Y125" s="1">
        <v>0.0</v>
      </c>
      <c r="AP125" s="1">
        <v>0.0</v>
      </c>
      <c r="AQ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</row>
    <row r="126">
      <c r="A126" s="2" t="s">
        <v>55</v>
      </c>
      <c r="F126" s="1">
        <v>4.0</v>
      </c>
      <c r="L126" s="1">
        <v>4.0</v>
      </c>
      <c r="Y126" s="1">
        <v>0.0</v>
      </c>
      <c r="AF126" s="1">
        <v>4.0</v>
      </c>
      <c r="AG126" s="1">
        <v>4.0</v>
      </c>
      <c r="AQ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</row>
    <row r="127">
      <c r="A127" s="2" t="s">
        <v>56</v>
      </c>
      <c r="B127" s="1">
        <v>4.0</v>
      </c>
      <c r="F127" s="1">
        <v>0.0</v>
      </c>
      <c r="L127" s="1">
        <v>4.0</v>
      </c>
      <c r="M127" s="1">
        <v>0.0</v>
      </c>
      <c r="Y127" s="1">
        <v>0.0</v>
      </c>
      <c r="AH127" s="1">
        <v>4.0</v>
      </c>
      <c r="AQ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</row>
    <row r="128">
      <c r="A128" s="2" t="s">
        <v>57</v>
      </c>
      <c r="C128" s="1">
        <v>4.0</v>
      </c>
      <c r="F128" s="1">
        <v>4.0</v>
      </c>
      <c r="P128" s="1">
        <v>-4.0</v>
      </c>
      <c r="Y128" s="1">
        <v>0.0</v>
      </c>
      <c r="AE128" s="1">
        <v>4.0</v>
      </c>
      <c r="AQ128" s="1">
        <v>0.0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</row>
    <row r="129">
      <c r="A129" s="2" t="s">
        <v>58</v>
      </c>
      <c r="J129" s="1">
        <v>0.0</v>
      </c>
      <c r="X129" s="1">
        <v>4.0</v>
      </c>
      <c r="Y129" s="1">
        <v>0.0</v>
      </c>
      <c r="AE129" s="1">
        <v>4.0</v>
      </c>
      <c r="AQ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</row>
    <row r="130">
      <c r="A130" s="2" t="s">
        <v>53</v>
      </c>
      <c r="F130" s="1">
        <v>4.0</v>
      </c>
      <c r="G130" s="1">
        <v>4.0</v>
      </c>
      <c r="U130" s="1">
        <v>4.0</v>
      </c>
      <c r="Y130" s="1">
        <v>0.0</v>
      </c>
      <c r="AQ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</row>
    <row r="131">
      <c r="A131" s="2" t="s">
        <v>54</v>
      </c>
      <c r="E131" s="1">
        <v>4.0</v>
      </c>
      <c r="I131" s="1">
        <v>4.0</v>
      </c>
      <c r="L131" s="1">
        <v>4.0</v>
      </c>
      <c r="Y131" s="1">
        <v>0.0</v>
      </c>
      <c r="AO131" s="1">
        <v>4.0</v>
      </c>
      <c r="AQ131" s="1">
        <v>0.0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</row>
    <row r="132">
      <c r="A132" s="2" t="s">
        <v>55</v>
      </c>
      <c r="F132" s="1">
        <v>4.0</v>
      </c>
      <c r="Y132" s="1">
        <v>0.0</v>
      </c>
      <c r="AG132" s="1">
        <v>4.0</v>
      </c>
      <c r="AQ132" s="1">
        <v>0.0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</row>
    <row r="133">
      <c r="A133" s="2" t="s">
        <v>56</v>
      </c>
      <c r="F133" s="1">
        <v>4.0</v>
      </c>
      <c r="G133" s="1">
        <v>4.0</v>
      </c>
      <c r="L133" s="1">
        <v>4.0</v>
      </c>
      <c r="P133" s="1">
        <v>4.0</v>
      </c>
      <c r="Y133" s="1">
        <v>0.0</v>
      </c>
      <c r="AQ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</row>
    <row r="134">
      <c r="A134" s="2" t="s">
        <v>57</v>
      </c>
      <c r="F134" s="1">
        <v>0.0</v>
      </c>
      <c r="Y134" s="1">
        <v>0.0</v>
      </c>
      <c r="AQ134" s="1">
        <v>0.0</v>
      </c>
      <c r="AS134" s="1">
        <v>0.0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</row>
    <row r="135">
      <c r="A135" s="2" t="s">
        <v>58</v>
      </c>
      <c r="F135" s="1">
        <v>4.0</v>
      </c>
      <c r="L135" s="1">
        <v>4.0</v>
      </c>
      <c r="X135" s="1">
        <v>4.0</v>
      </c>
      <c r="Y135" s="1">
        <v>0.0</v>
      </c>
      <c r="AQ135" s="1">
        <v>0.0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</row>
    <row r="136">
      <c r="B136" s="1" t="b">
        <v>1</v>
      </c>
      <c r="C136" s="1" t="b">
        <v>1</v>
      </c>
      <c r="D136" s="1" t="b">
        <v>1</v>
      </c>
      <c r="E136" s="1" t="b">
        <v>1</v>
      </c>
      <c r="F136" s="1" t="b">
        <v>1</v>
      </c>
      <c r="G136" s="1" t="b">
        <v>1</v>
      </c>
      <c r="H136" s="1" t="b">
        <v>0</v>
      </c>
      <c r="I136" s="1" t="b">
        <v>1</v>
      </c>
      <c r="J136" s="1" t="b">
        <v>1</v>
      </c>
      <c r="K136" s="1" t="b">
        <v>0</v>
      </c>
      <c r="L136" s="1" t="b">
        <v>1</v>
      </c>
      <c r="M136" s="1" t="b">
        <v>1</v>
      </c>
      <c r="N136" s="1" t="b">
        <v>1</v>
      </c>
      <c r="O136" s="1" t="b">
        <v>0</v>
      </c>
      <c r="P136" s="1" t="b">
        <v>1</v>
      </c>
      <c r="Q136" s="1" t="b">
        <v>1</v>
      </c>
      <c r="R136" s="1" t="b">
        <v>0</v>
      </c>
      <c r="S136" s="1" t="b">
        <v>1</v>
      </c>
      <c r="T136" s="1" t="b">
        <v>0</v>
      </c>
      <c r="U136" s="1" t="b">
        <v>1</v>
      </c>
      <c r="V136" s="1" t="b">
        <v>1</v>
      </c>
      <c r="W136" s="1" t="b">
        <v>1</v>
      </c>
      <c r="X136" s="1" t="b">
        <v>1</v>
      </c>
      <c r="Y136" s="1" t="b">
        <v>0</v>
      </c>
      <c r="Z136" s="1" t="b">
        <v>0</v>
      </c>
      <c r="AA136" s="1" t="b">
        <v>1</v>
      </c>
      <c r="AB136" s="1" t="b">
        <v>0</v>
      </c>
      <c r="AC136" s="1" t="b">
        <v>0</v>
      </c>
      <c r="AD136" s="1" t="b">
        <v>0</v>
      </c>
      <c r="AE136" s="1" t="b">
        <v>1</v>
      </c>
      <c r="AF136" s="1" t="b">
        <v>1</v>
      </c>
      <c r="AG136" s="1" t="b">
        <v>1</v>
      </c>
      <c r="AH136" s="1" t="b">
        <v>1</v>
      </c>
      <c r="AI136" s="1" t="b">
        <v>1</v>
      </c>
      <c r="AJ136" s="1" t="b">
        <v>1</v>
      </c>
      <c r="AK136" s="1" t="b">
        <v>0</v>
      </c>
      <c r="AL136" s="1" t="b">
        <v>1</v>
      </c>
      <c r="AM136" s="1" t="b">
        <v>1</v>
      </c>
      <c r="AN136" s="1" t="b">
        <v>1</v>
      </c>
      <c r="AO136" s="1" t="b">
        <v>1</v>
      </c>
      <c r="AP136" s="1" t="b">
        <v>1</v>
      </c>
      <c r="AQ136" s="1" t="b">
        <v>0</v>
      </c>
      <c r="AR136" s="1" t="b">
        <v>1</v>
      </c>
      <c r="AS136" s="1" t="b">
        <v>0</v>
      </c>
      <c r="AT136" s="1" t="b">
        <v>0</v>
      </c>
      <c r="AU136" s="1" t="b">
        <v>0</v>
      </c>
      <c r="AV136" s="1" t="b">
        <v>0</v>
      </c>
      <c r="AW136" s="1" t="b">
        <v>0</v>
      </c>
      <c r="AX136" s="1" t="b">
        <v>0</v>
      </c>
      <c r="AY136" s="1" t="b">
        <v>0</v>
      </c>
    </row>
    <row r="137">
      <c r="A137" s="2" t="s">
        <v>53</v>
      </c>
      <c r="E137" s="1">
        <v>4.0</v>
      </c>
      <c r="F137" s="1">
        <v>4.0</v>
      </c>
      <c r="I137" s="1">
        <v>4.0</v>
      </c>
      <c r="U137" s="1">
        <v>4.0</v>
      </c>
      <c r="Y137" s="1">
        <v>0.0</v>
      </c>
      <c r="AQ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</row>
    <row r="138">
      <c r="A138" s="2" t="s">
        <v>54</v>
      </c>
      <c r="Q138" s="1">
        <v>4.0</v>
      </c>
      <c r="Y138" s="1">
        <v>0.0</v>
      </c>
      <c r="AO138" s="1">
        <v>4.0</v>
      </c>
      <c r="AQ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</row>
    <row r="139">
      <c r="A139" s="2" t="s">
        <v>55</v>
      </c>
      <c r="J139" s="1">
        <v>4.0</v>
      </c>
      <c r="Q139" s="1">
        <v>4.0</v>
      </c>
      <c r="Y139" s="1">
        <v>0.0</v>
      </c>
      <c r="AQ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</row>
    <row r="140">
      <c r="A140" s="2" t="s">
        <v>56</v>
      </c>
      <c r="F140" s="1">
        <v>0.0</v>
      </c>
      <c r="Y140" s="1">
        <v>0.0</v>
      </c>
      <c r="AQ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</row>
    <row r="141">
      <c r="A141" s="2" t="s">
        <v>57</v>
      </c>
      <c r="E141" s="1">
        <v>4.0</v>
      </c>
      <c r="F141" s="1">
        <v>4.0</v>
      </c>
      <c r="Q141" s="1">
        <v>4.0</v>
      </c>
      <c r="Y141" s="1">
        <v>0.0</v>
      </c>
      <c r="AG141" s="1">
        <v>-4.0</v>
      </c>
      <c r="AQ141" s="1">
        <v>0.0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</row>
    <row r="142">
      <c r="A142" s="2" t="s">
        <v>58</v>
      </c>
      <c r="E142" s="1">
        <v>4.0</v>
      </c>
      <c r="Q142" s="1">
        <v>4.0</v>
      </c>
      <c r="Y142" s="1">
        <v>0.0</v>
      </c>
      <c r="AG142" s="1">
        <v>4.0</v>
      </c>
      <c r="AP142" s="1">
        <v>4.0</v>
      </c>
      <c r="AQ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</row>
    <row r="143">
      <c r="A143" s="2" t="s">
        <v>53</v>
      </c>
      <c r="F143" s="1">
        <v>4.0</v>
      </c>
      <c r="P143" s="1">
        <v>4.0</v>
      </c>
      <c r="Y143" s="1">
        <v>0.0</v>
      </c>
      <c r="AE143" s="1">
        <v>4.0</v>
      </c>
      <c r="AF143" s="1">
        <v>4.0</v>
      </c>
      <c r="AQ143" s="1">
        <v>0.0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</row>
    <row r="144">
      <c r="A144" s="2" t="s">
        <v>54</v>
      </c>
      <c r="L144" s="1">
        <v>4.0</v>
      </c>
      <c r="V144" s="1">
        <v>4.0</v>
      </c>
      <c r="Y144" s="1">
        <v>0.0</v>
      </c>
      <c r="AG144" s="1">
        <v>4.0</v>
      </c>
      <c r="AM144" s="1">
        <v>4.0</v>
      </c>
      <c r="AP144" s="1">
        <v>0.0</v>
      </c>
      <c r="AQ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</row>
    <row r="145">
      <c r="A145" s="2" t="s">
        <v>55</v>
      </c>
      <c r="F145" s="1">
        <v>4.0</v>
      </c>
      <c r="V145" s="1">
        <v>4.0</v>
      </c>
      <c r="Y145" s="1">
        <v>0.0</v>
      </c>
      <c r="AE145" s="1">
        <v>4.0</v>
      </c>
      <c r="AQ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</row>
    <row r="146">
      <c r="A146" s="2" t="s">
        <v>56</v>
      </c>
      <c r="J146" s="1">
        <v>0.0</v>
      </c>
      <c r="Q146" s="1">
        <v>4.0</v>
      </c>
      <c r="Y146" s="1">
        <v>0.0</v>
      </c>
      <c r="AA146" s="1">
        <v>4.0</v>
      </c>
      <c r="AI146" s="1">
        <v>4.0</v>
      </c>
      <c r="AQ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</row>
    <row r="147">
      <c r="A147" s="2" t="s">
        <v>57</v>
      </c>
      <c r="C147" s="1">
        <v>-4.0</v>
      </c>
      <c r="F147" s="1">
        <v>0.0</v>
      </c>
      <c r="Y147" s="1">
        <v>0.0</v>
      </c>
      <c r="AE147" s="1">
        <v>4.0</v>
      </c>
      <c r="AF147" s="1">
        <v>4.0</v>
      </c>
      <c r="AG147" s="1">
        <v>4.0</v>
      </c>
      <c r="AI147" s="1">
        <v>0.0</v>
      </c>
      <c r="AQ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</row>
    <row r="148">
      <c r="A148" s="2" t="s">
        <v>58</v>
      </c>
      <c r="X148" s="1">
        <v>4.0</v>
      </c>
      <c r="Y148" s="1">
        <v>0.0</v>
      </c>
      <c r="AM148" s="1">
        <v>0.0</v>
      </c>
      <c r="AO148" s="1">
        <v>0.0</v>
      </c>
      <c r="AQ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</row>
    <row r="151">
      <c r="B151" s="1" t="s">
        <v>0</v>
      </c>
      <c r="C151" s="1" t="s">
        <v>2</v>
      </c>
      <c r="D151" s="1" t="s">
        <v>3</v>
      </c>
      <c r="E151" s="1" t="s">
        <v>0</v>
      </c>
      <c r="F151" s="1" t="s">
        <v>5</v>
      </c>
      <c r="G151" s="1" t="s">
        <v>2</v>
      </c>
      <c r="H151" s="1" t="s">
        <v>7</v>
      </c>
      <c r="I151" s="1" t="s">
        <v>6</v>
      </c>
      <c r="J151" s="1" t="s">
        <v>5</v>
      </c>
      <c r="K151" s="1" t="s">
        <v>9</v>
      </c>
      <c r="L151" s="1" t="s">
        <v>3</v>
      </c>
      <c r="M151" s="1" t="s">
        <v>8</v>
      </c>
      <c r="N151" s="1" t="s">
        <v>2</v>
      </c>
      <c r="O151" s="1" t="s">
        <v>9</v>
      </c>
      <c r="P151" s="1" t="s">
        <v>6</v>
      </c>
      <c r="Q151" s="1" t="s">
        <v>3</v>
      </c>
      <c r="R151" s="1" t="s">
        <v>9</v>
      </c>
      <c r="S151" s="1" t="s">
        <v>6</v>
      </c>
      <c r="T151" s="1" t="s">
        <v>9</v>
      </c>
      <c r="U151" s="1" t="s">
        <v>1</v>
      </c>
      <c r="V151" s="1" t="s">
        <v>2</v>
      </c>
      <c r="W151" s="1" t="s">
        <v>8</v>
      </c>
      <c r="X151" s="1" t="s">
        <v>0</v>
      </c>
      <c r="Y151" s="1" t="s">
        <v>2</v>
      </c>
      <c r="Z151" s="1" t="s">
        <v>7</v>
      </c>
      <c r="AA151" s="1" t="s">
        <v>0</v>
      </c>
      <c r="AB151" s="1" t="s">
        <v>7</v>
      </c>
      <c r="AC151" s="1" t="s">
        <v>9</v>
      </c>
      <c r="AD151" s="1" t="s">
        <v>7</v>
      </c>
      <c r="AE151" s="1" t="s">
        <v>1</v>
      </c>
      <c r="AF151" s="4" t="s">
        <v>0</v>
      </c>
      <c r="AG151" s="1" t="s">
        <v>4</v>
      </c>
      <c r="AH151" s="1" t="s">
        <v>4</v>
      </c>
      <c r="AI151" s="1" t="s">
        <v>8</v>
      </c>
      <c r="AJ151" s="1" t="s">
        <v>4</v>
      </c>
      <c r="AK151" s="1" t="s">
        <v>7</v>
      </c>
      <c r="AL151" s="1" t="s">
        <v>6</v>
      </c>
      <c r="AM151" s="1" t="s">
        <v>8</v>
      </c>
      <c r="AN151" s="1" t="s">
        <v>4</v>
      </c>
      <c r="AO151" s="1" t="s">
        <v>5</v>
      </c>
      <c r="AP151" s="1" t="s">
        <v>5</v>
      </c>
      <c r="AQ151" s="1" t="s">
        <v>6</v>
      </c>
      <c r="AR151" s="1" t="s">
        <v>4</v>
      </c>
      <c r="AS151" s="1" t="s">
        <v>1</v>
      </c>
      <c r="AT151" s="1" t="s">
        <v>1</v>
      </c>
      <c r="AU151" s="1" t="s">
        <v>1</v>
      </c>
      <c r="AV151" s="1" t="s">
        <v>5</v>
      </c>
      <c r="AW151" s="1" t="s">
        <v>3</v>
      </c>
      <c r="AX151" s="1" t="s">
        <v>3</v>
      </c>
      <c r="AY151" s="1" t="s">
        <v>8</v>
      </c>
    </row>
    <row r="152">
      <c r="B152" s="1" t="s">
        <v>46</v>
      </c>
      <c r="C152" s="1" t="s">
        <v>35</v>
      </c>
      <c r="D152" s="1" t="s">
        <v>47</v>
      </c>
      <c r="E152" s="1" t="s">
        <v>43</v>
      </c>
      <c r="F152" s="1" t="s">
        <v>52</v>
      </c>
      <c r="G152" s="1" t="s">
        <v>34</v>
      </c>
      <c r="H152" s="1" t="s">
        <v>26</v>
      </c>
      <c r="I152" s="1" t="s">
        <v>21</v>
      </c>
      <c r="J152" s="1" t="s">
        <v>21</v>
      </c>
      <c r="K152" s="1" t="s">
        <v>39</v>
      </c>
      <c r="L152" s="1" t="s">
        <v>48</v>
      </c>
      <c r="M152" s="1" t="s">
        <v>30</v>
      </c>
      <c r="N152" s="1" t="s">
        <v>36</v>
      </c>
      <c r="O152" s="1" t="s">
        <v>40</v>
      </c>
      <c r="P152" s="1" t="s">
        <v>23</v>
      </c>
      <c r="Q152" s="1" t="s">
        <v>49</v>
      </c>
      <c r="R152" s="1" t="s">
        <v>42</v>
      </c>
      <c r="S152" s="1" t="s">
        <v>22</v>
      </c>
      <c r="T152" s="1" t="s">
        <v>41</v>
      </c>
      <c r="U152" s="1" t="s">
        <v>13</v>
      </c>
      <c r="V152" s="1" t="s">
        <v>33</v>
      </c>
      <c r="W152" s="1" t="s">
        <v>31</v>
      </c>
      <c r="X152" s="1" t="s">
        <v>45</v>
      </c>
      <c r="Y152" s="1" t="s">
        <v>37</v>
      </c>
      <c r="Z152" s="1" t="s">
        <v>25</v>
      </c>
      <c r="AA152" s="1" t="s">
        <v>44</v>
      </c>
      <c r="AB152" s="1" t="s">
        <v>24</v>
      </c>
      <c r="AC152" s="1" t="s">
        <v>38</v>
      </c>
      <c r="AD152" s="1" t="s">
        <v>27</v>
      </c>
      <c r="AE152" s="1" t="s">
        <v>12</v>
      </c>
      <c r="AF152" s="4" t="s">
        <v>12</v>
      </c>
      <c r="AG152" s="1" t="s">
        <v>16</v>
      </c>
      <c r="AH152" s="1" t="s">
        <v>17</v>
      </c>
      <c r="AI152" s="1" t="s">
        <v>32</v>
      </c>
      <c r="AJ152" s="1" t="s">
        <v>18</v>
      </c>
      <c r="AK152" s="1" t="s">
        <v>28</v>
      </c>
      <c r="AL152" s="1" t="s">
        <v>19</v>
      </c>
      <c r="AM152" s="1" t="s">
        <v>29</v>
      </c>
      <c r="AN152" s="1" t="s">
        <v>14</v>
      </c>
      <c r="AO152" s="1" t="s">
        <v>51</v>
      </c>
      <c r="AP152" s="1" t="s">
        <v>50</v>
      </c>
      <c r="AQ152" s="1" t="s">
        <v>20</v>
      </c>
      <c r="AR152" s="1" t="s">
        <v>15</v>
      </c>
    </row>
    <row r="153">
      <c r="B153" s="1" t="b">
        <v>1</v>
      </c>
      <c r="C153" s="1" t="b">
        <v>1</v>
      </c>
      <c r="D153" s="1" t="b">
        <v>1</v>
      </c>
      <c r="E153" s="1" t="b">
        <v>1</v>
      </c>
      <c r="F153" s="1" t="b">
        <v>1</v>
      </c>
      <c r="G153" s="1" t="b">
        <v>1</v>
      </c>
      <c r="H153" s="1" t="b">
        <v>1</v>
      </c>
      <c r="I153" s="1" t="b">
        <v>1</v>
      </c>
      <c r="J153" s="1" t="b">
        <v>1</v>
      </c>
      <c r="K153" s="1" t="b">
        <v>1</v>
      </c>
      <c r="L153" s="1" t="b">
        <v>1</v>
      </c>
      <c r="M153" s="1" t="b">
        <v>0</v>
      </c>
      <c r="N153" s="1" t="b">
        <v>1</v>
      </c>
      <c r="O153" s="1" t="b">
        <v>1</v>
      </c>
      <c r="P153" s="1" t="b">
        <v>1</v>
      </c>
      <c r="Q153" s="1" t="b">
        <v>1</v>
      </c>
      <c r="R153" s="1" t="b">
        <v>1</v>
      </c>
      <c r="S153" s="1" t="b">
        <v>1</v>
      </c>
      <c r="T153" s="1" t="b">
        <v>1</v>
      </c>
      <c r="U153" s="1" t="b">
        <v>1</v>
      </c>
      <c r="V153" s="1" t="b">
        <v>1</v>
      </c>
      <c r="W153" s="1" t="b">
        <v>0</v>
      </c>
      <c r="X153" s="1" t="b">
        <v>1</v>
      </c>
      <c r="Y153" s="1" t="b">
        <v>0</v>
      </c>
      <c r="Z153" s="1" t="b">
        <v>1</v>
      </c>
      <c r="AA153" s="1" t="b">
        <v>1</v>
      </c>
      <c r="AB153" s="1" t="b">
        <v>1</v>
      </c>
      <c r="AC153" s="1" t="b">
        <v>1</v>
      </c>
      <c r="AD153" s="1" t="b">
        <v>1</v>
      </c>
      <c r="AE153" s="1" t="b">
        <v>1</v>
      </c>
      <c r="AF153" s="6" t="b">
        <v>1</v>
      </c>
      <c r="AG153" s="1" t="b">
        <v>0</v>
      </c>
      <c r="AH153" s="1" t="b">
        <v>0</v>
      </c>
      <c r="AI153" s="1" t="b">
        <v>0</v>
      </c>
      <c r="AJ153" s="1" t="b">
        <v>0</v>
      </c>
      <c r="AK153" s="1" t="b">
        <v>0</v>
      </c>
      <c r="AL153" s="1" t="b">
        <v>1</v>
      </c>
      <c r="AM153" s="1" t="b">
        <v>0</v>
      </c>
      <c r="AN153" s="1" t="b">
        <v>0</v>
      </c>
      <c r="AO153" s="1" t="b">
        <v>1</v>
      </c>
      <c r="AP153" s="1" t="b">
        <v>1</v>
      </c>
      <c r="AQ153" s="1" t="b">
        <v>1</v>
      </c>
      <c r="AR153" s="1" t="b">
        <v>0</v>
      </c>
      <c r="AS153" s="1" t="b">
        <v>0</v>
      </c>
      <c r="AT153" s="1" t="b">
        <v>0</v>
      </c>
      <c r="AU153" s="1" t="b">
        <v>0</v>
      </c>
      <c r="AV153" s="1" t="b">
        <v>0</v>
      </c>
      <c r="AW153" s="1" t="b">
        <v>0</v>
      </c>
      <c r="AX153" s="1" t="b">
        <v>0</v>
      </c>
      <c r="AY153" s="1" t="b">
        <v>0</v>
      </c>
    </row>
    <row r="154">
      <c r="A154" s="2" t="s">
        <v>53</v>
      </c>
      <c r="Y154" s="1">
        <v>0.0</v>
      </c>
      <c r="AF154" s="4"/>
      <c r="AK154" s="1">
        <v>0.0</v>
      </c>
      <c r="AO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</row>
    <row r="155">
      <c r="A155" s="2" t="s">
        <v>54</v>
      </c>
      <c r="Y155" s="1">
        <v>0.0</v>
      </c>
      <c r="AF155" s="4"/>
      <c r="AK155" s="1">
        <v>0.0</v>
      </c>
      <c r="AO155" s="1">
        <v>4.0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</row>
    <row r="156">
      <c r="A156" s="2" t="s">
        <v>55</v>
      </c>
      <c r="J156" s="1">
        <v>4.0</v>
      </c>
      <c r="Y156" s="1">
        <v>0.0</v>
      </c>
      <c r="AF156" s="4"/>
      <c r="AK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</row>
    <row r="157">
      <c r="A157" s="2" t="s">
        <v>56</v>
      </c>
      <c r="R157" s="1">
        <v>-4.0</v>
      </c>
      <c r="Y157" s="1">
        <v>0.0</v>
      </c>
      <c r="AE157" s="1">
        <v>0.0</v>
      </c>
      <c r="AF157" s="4"/>
      <c r="AK157" s="1">
        <v>0.0</v>
      </c>
      <c r="AP157" s="1">
        <v>4.0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</row>
    <row r="158">
      <c r="A158" s="2" t="s">
        <v>57</v>
      </c>
      <c r="V158" s="1">
        <v>4.0</v>
      </c>
      <c r="Y158" s="1">
        <v>0.0</v>
      </c>
      <c r="AE158" s="1">
        <v>4.0</v>
      </c>
      <c r="AF158" s="4"/>
      <c r="AK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</row>
    <row r="159">
      <c r="A159" s="2" t="s">
        <v>58</v>
      </c>
      <c r="F159" s="1">
        <v>4.0</v>
      </c>
      <c r="Q159" s="1">
        <v>4.0</v>
      </c>
      <c r="X159" s="1">
        <v>4.0</v>
      </c>
      <c r="Y159" s="1">
        <v>0.0</v>
      </c>
      <c r="AF159" s="4"/>
      <c r="AK159" s="1">
        <v>0.0</v>
      </c>
      <c r="AQ159" s="1">
        <v>4.0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</row>
    <row r="160">
      <c r="A160" s="2" t="s">
        <v>53</v>
      </c>
      <c r="L160" s="1">
        <v>4.0</v>
      </c>
      <c r="Y160" s="1">
        <v>0.0</v>
      </c>
      <c r="AF160" s="4"/>
      <c r="AK160" s="1">
        <v>0.0</v>
      </c>
      <c r="AO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</row>
    <row r="161">
      <c r="A161" s="2" t="s">
        <v>54</v>
      </c>
      <c r="I161" s="1">
        <v>4.0</v>
      </c>
      <c r="U161" s="1">
        <v>0.0</v>
      </c>
      <c r="X161" s="1">
        <v>4.0</v>
      </c>
      <c r="Y161" s="1">
        <v>0.0</v>
      </c>
      <c r="AF161" s="4"/>
      <c r="AK161" s="1">
        <v>0.0</v>
      </c>
      <c r="AO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</row>
    <row r="162">
      <c r="A162" s="2" t="s">
        <v>55</v>
      </c>
      <c r="E162" s="1">
        <v>4.0</v>
      </c>
      <c r="J162" s="1">
        <v>0.0</v>
      </c>
      <c r="Y162" s="1">
        <v>0.0</v>
      </c>
      <c r="AE162" s="1">
        <v>0.0</v>
      </c>
      <c r="AF162" s="4"/>
      <c r="AK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</row>
    <row r="163">
      <c r="A163" s="2" t="s">
        <v>56</v>
      </c>
      <c r="F163" s="1">
        <v>4.0</v>
      </c>
      <c r="Y163" s="1">
        <v>0.0</v>
      </c>
      <c r="AF163" s="4"/>
      <c r="AK163" s="1">
        <v>0.0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</row>
    <row r="164">
      <c r="A164" s="2" t="s">
        <v>57</v>
      </c>
      <c r="C164" s="1">
        <v>4.0</v>
      </c>
      <c r="F164" s="1">
        <v>4.0</v>
      </c>
      <c r="Y164" s="1">
        <v>0.0</v>
      </c>
      <c r="Z164" s="1">
        <v>4.0</v>
      </c>
      <c r="AF164" s="4"/>
      <c r="AK164" s="1">
        <v>0.0</v>
      </c>
      <c r="AQ164" s="1">
        <v>4.0</v>
      </c>
      <c r="AS164" s="1">
        <v>0.0</v>
      </c>
      <c r="AT164" s="1">
        <v>0.0</v>
      </c>
      <c r="AU164" s="1">
        <v>0.0</v>
      </c>
      <c r="AV164" s="1">
        <v>0.0</v>
      </c>
      <c r="AW164" s="1">
        <v>0.0</v>
      </c>
      <c r="AX164" s="1">
        <v>0.0</v>
      </c>
    </row>
    <row r="165">
      <c r="A165" s="2" t="s">
        <v>58</v>
      </c>
      <c r="U165" s="1">
        <v>0.0</v>
      </c>
      <c r="Y165" s="1">
        <v>0.0</v>
      </c>
      <c r="AF165" s="4"/>
      <c r="AK165" s="1">
        <v>0.0</v>
      </c>
      <c r="AL165" s="1">
        <v>4.0</v>
      </c>
      <c r="AP165" s="1">
        <v>0.0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</row>
    <row r="166">
      <c r="B166" s="1" t="b">
        <v>1</v>
      </c>
      <c r="C166" s="1" t="b">
        <v>1</v>
      </c>
      <c r="D166" s="1" t="b">
        <v>1</v>
      </c>
      <c r="E166" s="1" t="b">
        <v>1</v>
      </c>
      <c r="F166" s="1" t="b">
        <v>1</v>
      </c>
      <c r="G166" s="1" t="b">
        <v>1</v>
      </c>
      <c r="H166" s="1" t="b">
        <v>1</v>
      </c>
      <c r="I166" s="1" t="b">
        <v>1</v>
      </c>
      <c r="J166" s="1" t="b">
        <v>1</v>
      </c>
      <c r="K166" s="1" t="b">
        <v>1</v>
      </c>
      <c r="L166" s="1" t="b">
        <v>1</v>
      </c>
      <c r="M166" s="1" t="b">
        <v>0</v>
      </c>
      <c r="N166" s="1" t="b">
        <v>1</v>
      </c>
      <c r="O166" s="1" t="b">
        <v>1</v>
      </c>
      <c r="P166" s="1" t="b">
        <v>1</v>
      </c>
      <c r="Q166" s="1" t="b">
        <v>1</v>
      </c>
      <c r="R166" s="1" t="b">
        <v>1</v>
      </c>
      <c r="S166" s="1" t="b">
        <v>1</v>
      </c>
      <c r="T166" s="1" t="b">
        <v>1</v>
      </c>
      <c r="U166" s="1" t="b">
        <v>1</v>
      </c>
      <c r="V166" s="1" t="b">
        <v>1</v>
      </c>
      <c r="W166" s="1" t="b">
        <v>0</v>
      </c>
      <c r="X166" s="1" t="b">
        <v>1</v>
      </c>
      <c r="Y166" s="1" t="b">
        <v>0</v>
      </c>
      <c r="Z166" s="1" t="b">
        <v>1</v>
      </c>
      <c r="AA166" s="1" t="b">
        <v>1</v>
      </c>
      <c r="AB166" s="1" t="b">
        <v>1</v>
      </c>
      <c r="AC166" s="1" t="b">
        <v>1</v>
      </c>
      <c r="AD166" s="1" t="b">
        <v>1</v>
      </c>
      <c r="AE166" s="1" t="b">
        <v>1</v>
      </c>
      <c r="AF166" s="6" t="b">
        <v>1</v>
      </c>
      <c r="AG166" s="1" t="b">
        <v>0</v>
      </c>
      <c r="AH166" s="1" t="b">
        <v>0</v>
      </c>
      <c r="AI166" s="1" t="b">
        <v>0</v>
      </c>
      <c r="AJ166" s="1" t="b">
        <v>0</v>
      </c>
      <c r="AK166" s="1" t="b">
        <v>0</v>
      </c>
      <c r="AL166" s="1" t="b">
        <v>1</v>
      </c>
      <c r="AM166" s="1" t="b">
        <v>0</v>
      </c>
      <c r="AN166" s="1" t="b">
        <v>0</v>
      </c>
      <c r="AO166" s="1" t="b">
        <v>1</v>
      </c>
      <c r="AP166" s="1" t="b">
        <v>1</v>
      </c>
      <c r="AQ166" s="1" t="b">
        <v>1</v>
      </c>
      <c r="AR166" s="1" t="b">
        <v>0</v>
      </c>
      <c r="AS166" s="1" t="b">
        <v>0</v>
      </c>
      <c r="AT166" s="1" t="b">
        <v>0</v>
      </c>
      <c r="AU166" s="1" t="b">
        <v>0</v>
      </c>
      <c r="AV166" s="1" t="b">
        <v>0</v>
      </c>
      <c r="AW166" s="1" t="b">
        <v>0</v>
      </c>
      <c r="AX166" s="1" t="b">
        <v>0</v>
      </c>
      <c r="AY166" s="1" t="b">
        <v>0</v>
      </c>
    </row>
    <row r="167">
      <c r="A167" s="2" t="s">
        <v>53</v>
      </c>
      <c r="F167" s="1">
        <v>4.0</v>
      </c>
      <c r="G167" s="1">
        <v>4.0</v>
      </c>
      <c r="S167" s="1">
        <v>4.0</v>
      </c>
      <c r="Y167" s="1">
        <v>0.0</v>
      </c>
      <c r="AF167" s="4"/>
      <c r="AK167" s="1">
        <v>0.0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</row>
    <row r="168">
      <c r="A168" s="2" t="s">
        <v>54</v>
      </c>
      <c r="E168" s="1">
        <v>4.0</v>
      </c>
      <c r="Y168" s="1">
        <v>0.0</v>
      </c>
      <c r="AF168" s="4"/>
      <c r="AK168" s="1">
        <v>0.0</v>
      </c>
      <c r="AL168" s="1">
        <v>4.0</v>
      </c>
      <c r="AO168" s="1">
        <v>4.0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</row>
    <row r="169">
      <c r="A169" s="2" t="s">
        <v>55</v>
      </c>
      <c r="E169" s="1">
        <v>4.0</v>
      </c>
      <c r="J169" s="1">
        <v>4.0</v>
      </c>
      <c r="O169" s="1">
        <v>4.0</v>
      </c>
      <c r="Y169" s="1">
        <v>0.0</v>
      </c>
      <c r="AF169" s="4"/>
      <c r="AK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</row>
    <row r="170">
      <c r="A170" s="2" t="s">
        <v>56</v>
      </c>
      <c r="Y170" s="1">
        <v>0.0</v>
      </c>
      <c r="AC170" s="1">
        <v>4.0</v>
      </c>
      <c r="AF170" s="4"/>
      <c r="AK170" s="1">
        <v>0.0</v>
      </c>
      <c r="AP170" s="1">
        <v>4.0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</row>
    <row r="171">
      <c r="A171" s="2" t="s">
        <v>57</v>
      </c>
      <c r="F171" s="1">
        <v>0.0</v>
      </c>
      <c r="P171" s="1">
        <v>4.0</v>
      </c>
      <c r="V171" s="1">
        <v>4.0</v>
      </c>
      <c r="Y171" s="1">
        <v>0.0</v>
      </c>
      <c r="AK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</row>
    <row r="172">
      <c r="A172" s="2" t="s">
        <v>58</v>
      </c>
      <c r="F172" s="1">
        <v>4.0</v>
      </c>
      <c r="Y172" s="1">
        <v>0.0</v>
      </c>
      <c r="AK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</row>
    <row r="173">
      <c r="A173" s="2" t="s">
        <v>53</v>
      </c>
      <c r="C173" s="1">
        <v>4.0</v>
      </c>
      <c r="E173" s="1">
        <v>4.0</v>
      </c>
      <c r="Y173" s="1">
        <v>0.0</v>
      </c>
      <c r="AE173" s="1">
        <v>4.0</v>
      </c>
      <c r="AK173" s="1">
        <v>0.0</v>
      </c>
      <c r="AL173" s="1">
        <v>4.0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</row>
    <row r="174">
      <c r="A174" s="2" t="s">
        <v>54</v>
      </c>
      <c r="N174" s="1">
        <v>4.0</v>
      </c>
      <c r="X174" s="1">
        <v>4.0</v>
      </c>
      <c r="Y174" s="1">
        <v>0.0</v>
      </c>
      <c r="AK174" s="1">
        <v>0.0</v>
      </c>
      <c r="AL174" s="1">
        <v>4.0</v>
      </c>
      <c r="AO174" s="1">
        <v>4.0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</row>
    <row r="175">
      <c r="A175" s="2" t="s">
        <v>55</v>
      </c>
      <c r="F175" s="1">
        <v>0.0</v>
      </c>
      <c r="U175" s="1">
        <v>0.0</v>
      </c>
      <c r="Y175" s="1">
        <v>0.0</v>
      </c>
      <c r="AK175" s="1">
        <v>0.0</v>
      </c>
      <c r="AQ175" s="1">
        <v>4.0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</row>
    <row r="176">
      <c r="A176" s="2" t="s">
        <v>56</v>
      </c>
      <c r="F176" s="1">
        <v>4.0</v>
      </c>
      <c r="Y176" s="1">
        <v>0.0</v>
      </c>
      <c r="AK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</row>
    <row r="177">
      <c r="A177" s="2" t="s">
        <v>57</v>
      </c>
      <c r="C177" s="1">
        <v>4.0</v>
      </c>
      <c r="F177" s="1">
        <v>4.0</v>
      </c>
      <c r="Y177" s="1">
        <v>0.0</v>
      </c>
      <c r="AK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</row>
    <row r="178">
      <c r="A178" s="2" t="s">
        <v>58</v>
      </c>
      <c r="E178" s="1">
        <v>4.0</v>
      </c>
      <c r="U178" s="1">
        <v>0.0</v>
      </c>
      <c r="Y178" s="1">
        <v>0.0</v>
      </c>
      <c r="AK178" s="1">
        <v>0.0</v>
      </c>
      <c r="AP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</row>
    <row r="181">
      <c r="B181" s="1" t="s">
        <v>0</v>
      </c>
      <c r="C181" s="1" t="s">
        <v>2</v>
      </c>
      <c r="D181" s="1" t="s">
        <v>3</v>
      </c>
      <c r="E181" s="1" t="s">
        <v>0</v>
      </c>
      <c r="F181" s="1" t="s">
        <v>5</v>
      </c>
      <c r="G181" s="1" t="s">
        <v>2</v>
      </c>
      <c r="H181" s="1" t="s">
        <v>7</v>
      </c>
      <c r="I181" s="1" t="s">
        <v>6</v>
      </c>
      <c r="J181" s="1" t="s">
        <v>5</v>
      </c>
      <c r="K181" s="1" t="s">
        <v>9</v>
      </c>
      <c r="L181" s="1" t="s">
        <v>3</v>
      </c>
      <c r="M181" s="1" t="s">
        <v>8</v>
      </c>
      <c r="N181" s="1" t="s">
        <v>2</v>
      </c>
      <c r="O181" s="1" t="s">
        <v>9</v>
      </c>
      <c r="P181" s="1" t="s">
        <v>6</v>
      </c>
      <c r="Q181" s="1" t="s">
        <v>3</v>
      </c>
      <c r="R181" s="1" t="s">
        <v>9</v>
      </c>
      <c r="S181" s="1" t="s">
        <v>6</v>
      </c>
      <c r="T181" s="1" t="s">
        <v>9</v>
      </c>
      <c r="U181" s="1" t="s">
        <v>1</v>
      </c>
      <c r="V181" s="1" t="s">
        <v>2</v>
      </c>
      <c r="W181" s="1" t="s">
        <v>8</v>
      </c>
      <c r="X181" s="1" t="s">
        <v>0</v>
      </c>
      <c r="Y181" s="1" t="s">
        <v>2</v>
      </c>
      <c r="Z181" s="1" t="s">
        <v>7</v>
      </c>
      <c r="AA181" s="1" t="s">
        <v>0</v>
      </c>
      <c r="AB181" s="1" t="s">
        <v>7</v>
      </c>
      <c r="AC181" s="1" t="s">
        <v>9</v>
      </c>
      <c r="AD181" s="1" t="s">
        <v>7</v>
      </c>
      <c r="AE181" s="1" t="s">
        <v>1</v>
      </c>
      <c r="AF181" s="2" t="s">
        <v>0</v>
      </c>
      <c r="AG181" s="1" t="s">
        <v>4</v>
      </c>
      <c r="AH181" s="1" t="s">
        <v>4</v>
      </c>
      <c r="AI181" s="1" t="s">
        <v>8</v>
      </c>
      <c r="AJ181" s="1" t="s">
        <v>4</v>
      </c>
      <c r="AK181" s="1" t="s">
        <v>7</v>
      </c>
      <c r="AL181" s="1" t="s">
        <v>6</v>
      </c>
      <c r="AM181" s="1" t="s">
        <v>8</v>
      </c>
      <c r="AN181" s="1" t="s">
        <v>4</v>
      </c>
      <c r="AO181" s="1" t="s">
        <v>5</v>
      </c>
      <c r="AP181" s="1" t="s">
        <v>5</v>
      </c>
      <c r="AQ181" s="1" t="s">
        <v>6</v>
      </c>
      <c r="AR181" s="1" t="s">
        <v>4</v>
      </c>
      <c r="AS181" s="1" t="s">
        <v>5</v>
      </c>
      <c r="AT181" s="1" t="s">
        <v>3</v>
      </c>
      <c r="AU181" s="1" t="s">
        <v>3</v>
      </c>
      <c r="AV181" s="1" t="s">
        <v>1</v>
      </c>
      <c r="AW181" s="1" t="s">
        <v>1</v>
      </c>
      <c r="AX181" s="1" t="s">
        <v>1</v>
      </c>
      <c r="AY181" s="1" t="s">
        <v>8</v>
      </c>
    </row>
    <row r="182">
      <c r="B182" s="1" t="s">
        <v>46</v>
      </c>
      <c r="C182" s="1" t="s">
        <v>35</v>
      </c>
      <c r="D182" s="1" t="s">
        <v>47</v>
      </c>
      <c r="E182" s="1" t="s">
        <v>43</v>
      </c>
      <c r="F182" s="1" t="s">
        <v>52</v>
      </c>
      <c r="G182" s="1" t="s">
        <v>34</v>
      </c>
      <c r="H182" s="1" t="s">
        <v>26</v>
      </c>
      <c r="I182" s="1" t="s">
        <v>21</v>
      </c>
      <c r="J182" s="1" t="s">
        <v>21</v>
      </c>
      <c r="K182" s="1" t="s">
        <v>39</v>
      </c>
      <c r="L182" s="1" t="s">
        <v>48</v>
      </c>
      <c r="M182" s="1" t="s">
        <v>30</v>
      </c>
      <c r="N182" s="1" t="s">
        <v>36</v>
      </c>
      <c r="O182" s="1" t="s">
        <v>40</v>
      </c>
      <c r="P182" s="1" t="s">
        <v>23</v>
      </c>
      <c r="Q182" s="1" t="s">
        <v>49</v>
      </c>
      <c r="R182" s="1" t="s">
        <v>42</v>
      </c>
      <c r="S182" s="1" t="s">
        <v>22</v>
      </c>
      <c r="T182" s="1" t="s">
        <v>41</v>
      </c>
      <c r="U182" s="1" t="s">
        <v>13</v>
      </c>
      <c r="V182" s="1" t="s">
        <v>33</v>
      </c>
      <c r="W182" s="1" t="s">
        <v>31</v>
      </c>
      <c r="X182" s="1" t="s">
        <v>45</v>
      </c>
      <c r="Y182" s="1" t="s">
        <v>37</v>
      </c>
      <c r="Z182" s="1" t="s">
        <v>25</v>
      </c>
      <c r="AA182" s="1" t="s">
        <v>44</v>
      </c>
      <c r="AB182" s="1" t="s">
        <v>24</v>
      </c>
      <c r="AC182" s="1" t="s">
        <v>38</v>
      </c>
      <c r="AD182" s="1" t="s">
        <v>27</v>
      </c>
      <c r="AE182" s="1" t="s">
        <v>12</v>
      </c>
      <c r="AF182" s="1" t="s">
        <v>12</v>
      </c>
      <c r="AG182" s="1" t="s">
        <v>16</v>
      </c>
      <c r="AH182" s="1" t="s">
        <v>17</v>
      </c>
      <c r="AI182" s="1" t="s">
        <v>32</v>
      </c>
      <c r="AJ182" s="1" t="s">
        <v>18</v>
      </c>
      <c r="AK182" s="1" t="s">
        <v>28</v>
      </c>
      <c r="AL182" s="1" t="s">
        <v>19</v>
      </c>
      <c r="AM182" s="1" t="s">
        <v>29</v>
      </c>
      <c r="AN182" s="1" t="s">
        <v>14</v>
      </c>
      <c r="AO182" s="1" t="s">
        <v>51</v>
      </c>
      <c r="AP182" s="1" t="s">
        <v>50</v>
      </c>
      <c r="AQ182" s="1" t="s">
        <v>20</v>
      </c>
      <c r="AR182" s="1" t="s">
        <v>15</v>
      </c>
    </row>
    <row r="183">
      <c r="B183" s="1" t="b">
        <v>1</v>
      </c>
      <c r="C183" s="1" t="b">
        <v>1</v>
      </c>
      <c r="D183" s="1" t="b">
        <v>1</v>
      </c>
      <c r="E183" s="1" t="b">
        <v>1</v>
      </c>
      <c r="F183" s="1" t="b">
        <v>1</v>
      </c>
      <c r="G183" s="1" t="b">
        <v>1</v>
      </c>
      <c r="H183" s="1" t="b">
        <v>1</v>
      </c>
      <c r="I183" s="1" t="b">
        <v>1</v>
      </c>
      <c r="J183" s="1" t="b">
        <v>1</v>
      </c>
      <c r="K183" s="1" t="b">
        <v>1</v>
      </c>
      <c r="L183" s="1" t="b">
        <v>1</v>
      </c>
      <c r="M183" s="1" t="b">
        <v>0</v>
      </c>
      <c r="N183" s="1" t="b">
        <v>1</v>
      </c>
      <c r="O183" s="1" t="b">
        <v>1</v>
      </c>
      <c r="P183" s="1" t="b">
        <v>1</v>
      </c>
      <c r="Q183" s="1" t="b">
        <v>1</v>
      </c>
      <c r="R183" s="1" t="b">
        <v>1</v>
      </c>
      <c r="S183" s="1" t="b">
        <v>1</v>
      </c>
      <c r="T183" s="1" t="b">
        <v>1</v>
      </c>
      <c r="U183" s="1" t="b">
        <v>1</v>
      </c>
      <c r="V183" s="1" t="b">
        <v>1</v>
      </c>
      <c r="W183" s="1" t="b">
        <v>0</v>
      </c>
      <c r="X183" s="1" t="b">
        <v>1</v>
      </c>
      <c r="Y183" s="1" t="b">
        <v>0</v>
      </c>
      <c r="Z183" s="1" t="b">
        <v>1</v>
      </c>
      <c r="AA183" s="1" t="b">
        <v>1</v>
      </c>
      <c r="AB183" s="1" t="b">
        <v>1</v>
      </c>
      <c r="AC183" s="1" t="b">
        <v>1</v>
      </c>
      <c r="AD183" s="1" t="b">
        <v>1</v>
      </c>
      <c r="AE183" s="1" t="b">
        <v>1</v>
      </c>
      <c r="AF183" s="1" t="b">
        <v>1</v>
      </c>
      <c r="AG183" s="1" t="b">
        <v>0</v>
      </c>
      <c r="AH183" s="1" t="b">
        <v>0</v>
      </c>
      <c r="AI183" s="1" t="b">
        <v>0</v>
      </c>
      <c r="AJ183" s="1" t="b">
        <v>0</v>
      </c>
      <c r="AK183" s="1" t="b">
        <v>1</v>
      </c>
      <c r="AL183" s="1" t="b">
        <v>1</v>
      </c>
      <c r="AM183" s="1" t="b">
        <v>0</v>
      </c>
      <c r="AN183" s="1" t="b">
        <v>0</v>
      </c>
      <c r="AO183" s="1" t="b">
        <v>1</v>
      </c>
      <c r="AP183" s="1" t="b">
        <v>1</v>
      </c>
      <c r="AQ183" s="1" t="b">
        <v>1</v>
      </c>
      <c r="AR183" s="1" t="b">
        <v>0</v>
      </c>
      <c r="AS183" s="1" t="b">
        <v>0</v>
      </c>
      <c r="AT183" s="1" t="b">
        <v>0</v>
      </c>
      <c r="AU183" s="1" t="b">
        <v>0</v>
      </c>
      <c r="AV183" s="1" t="b">
        <v>0</v>
      </c>
      <c r="AW183" s="1" t="b">
        <v>0</v>
      </c>
      <c r="AX183" s="1" t="b">
        <v>0</v>
      </c>
      <c r="AY183" s="1" t="b">
        <v>0</v>
      </c>
    </row>
    <row r="184">
      <c r="A184" s="2" t="s">
        <v>53</v>
      </c>
      <c r="F184" s="1">
        <v>4.0</v>
      </c>
      <c r="I184" s="1">
        <v>4.0</v>
      </c>
      <c r="L184" s="1">
        <v>4.0</v>
      </c>
      <c r="Y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</row>
    <row r="185">
      <c r="A185" s="2" t="s">
        <v>54</v>
      </c>
      <c r="Y185" s="1">
        <v>0.0</v>
      </c>
      <c r="AL185" s="1">
        <v>4.0</v>
      </c>
      <c r="AS185" s="1">
        <v>0.0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</row>
    <row r="186">
      <c r="A186" s="2" t="s">
        <v>55</v>
      </c>
      <c r="H186" s="1">
        <v>0.0</v>
      </c>
      <c r="K186" s="1">
        <v>0.0</v>
      </c>
      <c r="Y186" s="1">
        <v>0.0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</row>
    <row r="187">
      <c r="A187" s="2" t="s">
        <v>56</v>
      </c>
      <c r="F187" s="1">
        <v>4.0</v>
      </c>
      <c r="H187" s="1">
        <v>0.0</v>
      </c>
      <c r="R187" s="1">
        <v>0.0</v>
      </c>
      <c r="Y187" s="1">
        <v>0.0</v>
      </c>
      <c r="AA187" s="1">
        <v>-4.0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</row>
    <row r="188">
      <c r="A188" s="2" t="s">
        <v>57</v>
      </c>
      <c r="Y188" s="1">
        <v>0.0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</row>
    <row r="189">
      <c r="A189" s="2" t="s">
        <v>58</v>
      </c>
      <c r="Q189" s="1">
        <v>4.0</v>
      </c>
      <c r="Y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</row>
    <row r="190">
      <c r="A190" s="2" t="s">
        <v>53</v>
      </c>
      <c r="E190" s="1">
        <v>4.0</v>
      </c>
      <c r="H190" s="1">
        <v>0.0</v>
      </c>
      <c r="J190" s="1">
        <v>4.0</v>
      </c>
      <c r="O190" s="1">
        <v>0.0</v>
      </c>
      <c r="Y190" s="1">
        <v>0.0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</row>
    <row r="191">
      <c r="A191" s="2" t="s">
        <v>54</v>
      </c>
      <c r="O191" s="1">
        <v>0.0</v>
      </c>
      <c r="Y191" s="1">
        <v>0.0</v>
      </c>
      <c r="AD191" s="1">
        <v>0.0</v>
      </c>
      <c r="AL191" s="1">
        <v>4.0</v>
      </c>
      <c r="AO191" s="1">
        <v>4.0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</row>
    <row r="192">
      <c r="A192" s="2" t="s">
        <v>55</v>
      </c>
      <c r="E192" s="1">
        <v>4.0</v>
      </c>
      <c r="H192" s="1">
        <v>0.0</v>
      </c>
      <c r="O192" s="1">
        <v>0.0</v>
      </c>
      <c r="Y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</row>
    <row r="193">
      <c r="A193" s="2" t="s">
        <v>56</v>
      </c>
      <c r="F193" s="1">
        <v>4.0</v>
      </c>
      <c r="Y193" s="1">
        <v>0.0</v>
      </c>
      <c r="AB193" s="1">
        <v>0.0</v>
      </c>
      <c r="AC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</row>
    <row r="194">
      <c r="A194" s="2" t="s">
        <v>57</v>
      </c>
      <c r="F194" s="1">
        <v>4.0</v>
      </c>
      <c r="O194" s="1">
        <v>0.0</v>
      </c>
      <c r="Y194" s="1">
        <v>0.0</v>
      </c>
      <c r="Z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</row>
    <row r="195">
      <c r="A195" s="2" t="s">
        <v>58</v>
      </c>
      <c r="H195" s="1">
        <v>0.0</v>
      </c>
      <c r="K195" s="1">
        <v>0.0</v>
      </c>
      <c r="L195" s="1">
        <v>-4.0</v>
      </c>
      <c r="Y195" s="1">
        <v>0.0</v>
      </c>
      <c r="AQ195" s="1">
        <v>4.0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</row>
    <row r="196">
      <c r="B196" s="1" t="b">
        <v>1</v>
      </c>
      <c r="C196" s="1" t="b">
        <v>1</v>
      </c>
      <c r="D196" s="1" t="b">
        <v>1</v>
      </c>
      <c r="E196" s="1" t="b">
        <v>1</v>
      </c>
      <c r="F196" s="1" t="b">
        <v>1</v>
      </c>
      <c r="G196" s="1" t="b">
        <v>1</v>
      </c>
      <c r="H196" s="1" t="b">
        <v>1</v>
      </c>
      <c r="I196" s="1" t="b">
        <v>1</v>
      </c>
      <c r="J196" s="1" t="b">
        <v>1</v>
      </c>
      <c r="K196" s="1" t="b">
        <v>1</v>
      </c>
      <c r="L196" s="1" t="b">
        <v>1</v>
      </c>
      <c r="M196" s="1" t="b">
        <v>0</v>
      </c>
      <c r="N196" s="1" t="b">
        <v>1</v>
      </c>
      <c r="O196" s="1" t="b">
        <v>1</v>
      </c>
      <c r="P196" s="1" t="b">
        <v>1</v>
      </c>
      <c r="Q196" s="1" t="b">
        <v>1</v>
      </c>
      <c r="R196" s="1" t="b">
        <v>1</v>
      </c>
      <c r="S196" s="1" t="b">
        <v>1</v>
      </c>
      <c r="T196" s="1" t="b">
        <v>1</v>
      </c>
      <c r="U196" s="1" t="b">
        <v>1</v>
      </c>
      <c r="V196" s="1" t="b">
        <v>1</v>
      </c>
      <c r="W196" s="1" t="b">
        <v>0</v>
      </c>
      <c r="X196" s="1" t="b">
        <v>1</v>
      </c>
      <c r="Y196" s="1" t="b">
        <v>0</v>
      </c>
      <c r="Z196" s="1" t="b">
        <v>1</v>
      </c>
      <c r="AA196" s="1" t="b">
        <v>1</v>
      </c>
      <c r="AB196" s="1" t="b">
        <v>1</v>
      </c>
      <c r="AC196" s="1" t="b">
        <v>1</v>
      </c>
      <c r="AD196" s="1" t="b">
        <v>1</v>
      </c>
      <c r="AE196" s="1" t="b">
        <v>1</v>
      </c>
      <c r="AF196" s="1" t="b">
        <v>1</v>
      </c>
      <c r="AG196" s="1" t="b">
        <v>0</v>
      </c>
      <c r="AH196" s="1" t="b">
        <v>0</v>
      </c>
      <c r="AI196" s="1" t="b">
        <v>0</v>
      </c>
      <c r="AJ196" s="1" t="b">
        <v>0</v>
      </c>
      <c r="AK196" s="1" t="b">
        <v>1</v>
      </c>
      <c r="AL196" s="1" t="b">
        <v>1</v>
      </c>
      <c r="AM196" s="1" t="b">
        <v>0</v>
      </c>
      <c r="AN196" s="1" t="b">
        <v>0</v>
      </c>
      <c r="AO196" s="1" t="b">
        <v>1</v>
      </c>
      <c r="AP196" s="1" t="b">
        <v>1</v>
      </c>
      <c r="AQ196" s="1" t="b">
        <v>1</v>
      </c>
      <c r="AR196" s="1" t="b">
        <v>0</v>
      </c>
      <c r="AS196" s="1" t="b">
        <v>0</v>
      </c>
      <c r="AT196" s="1" t="b">
        <v>0</v>
      </c>
      <c r="AU196" s="1" t="b">
        <v>0</v>
      </c>
      <c r="AV196" s="1" t="b">
        <v>0</v>
      </c>
      <c r="AW196" s="1" t="b">
        <v>0</v>
      </c>
      <c r="AX196" s="1" t="b">
        <v>0</v>
      </c>
      <c r="AY196" s="1" t="b">
        <v>0</v>
      </c>
    </row>
    <row r="197">
      <c r="A197" s="2" t="s">
        <v>53</v>
      </c>
      <c r="F197" s="1">
        <v>4.0</v>
      </c>
      <c r="P197" s="1">
        <v>4.0</v>
      </c>
      <c r="T197" s="1">
        <v>4.0</v>
      </c>
      <c r="U197" s="1">
        <v>4.0</v>
      </c>
      <c r="Y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</row>
    <row r="198">
      <c r="A198" s="2" t="s">
        <v>54</v>
      </c>
      <c r="R198" s="1">
        <v>0.0</v>
      </c>
      <c r="Y198" s="1">
        <v>0.0</v>
      </c>
      <c r="Z198" s="1">
        <v>0.0</v>
      </c>
      <c r="AO198" s="1">
        <v>4.0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</row>
    <row r="199">
      <c r="A199" s="2" t="s">
        <v>55</v>
      </c>
      <c r="O199" s="1">
        <v>4.0</v>
      </c>
      <c r="Q199" s="1">
        <v>4.0</v>
      </c>
      <c r="Y199" s="1">
        <v>0.0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</row>
    <row r="200">
      <c r="A200" s="2" t="s">
        <v>56</v>
      </c>
      <c r="F200" s="1">
        <v>4.0</v>
      </c>
      <c r="Y200" s="1">
        <v>0.0</v>
      </c>
      <c r="Z200" s="1">
        <v>4.0</v>
      </c>
      <c r="AA200" s="1">
        <v>4.0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</row>
    <row r="201">
      <c r="A201" s="2" t="s">
        <v>57</v>
      </c>
      <c r="H201" s="1">
        <v>0.0</v>
      </c>
      <c r="L201" s="1">
        <v>4.0</v>
      </c>
      <c r="R201" s="1">
        <v>0.0</v>
      </c>
      <c r="Y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</row>
    <row r="202">
      <c r="A202" s="2" t="s">
        <v>58</v>
      </c>
      <c r="F202" s="1">
        <v>4.0</v>
      </c>
      <c r="K202" s="1">
        <v>0.0</v>
      </c>
      <c r="Y202" s="1">
        <v>0.0</v>
      </c>
      <c r="Z202" s="1">
        <v>0.0</v>
      </c>
      <c r="AQ202" s="1">
        <v>4.0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</row>
    <row r="203">
      <c r="A203" s="2" t="s">
        <v>53</v>
      </c>
      <c r="E203" s="1">
        <v>4.0</v>
      </c>
      <c r="Q203" s="1">
        <v>4.0</v>
      </c>
      <c r="Y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</row>
    <row r="204">
      <c r="A204" s="2" t="s">
        <v>54</v>
      </c>
      <c r="E204" s="1">
        <v>4.0</v>
      </c>
      <c r="K204" s="1">
        <v>0.0</v>
      </c>
      <c r="Y204" s="1">
        <v>0.0</v>
      </c>
      <c r="AD204" s="1">
        <v>0.0</v>
      </c>
      <c r="AO204" s="1">
        <v>4.0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</row>
    <row r="205">
      <c r="A205" s="2" t="s">
        <v>55</v>
      </c>
      <c r="J205" s="1">
        <v>4.0</v>
      </c>
      <c r="S205" s="1">
        <v>4.0</v>
      </c>
      <c r="Y205" s="1">
        <v>0.0</v>
      </c>
      <c r="Z205" s="1">
        <v>4.0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</row>
    <row r="206">
      <c r="A206" s="2" t="s">
        <v>56</v>
      </c>
      <c r="L206" s="1">
        <v>4.0</v>
      </c>
      <c r="N206" s="1">
        <v>4.0</v>
      </c>
      <c r="T206" s="1">
        <v>4.0</v>
      </c>
      <c r="Y206" s="1">
        <v>0.0</v>
      </c>
      <c r="AQ206" s="1">
        <v>4.0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</row>
    <row r="207">
      <c r="A207" s="2" t="s">
        <v>57</v>
      </c>
      <c r="D207" s="1">
        <v>4.0</v>
      </c>
      <c r="F207" s="1">
        <v>4.0</v>
      </c>
      <c r="Y207" s="1">
        <v>0.0</v>
      </c>
      <c r="AC207" s="1">
        <v>0.0</v>
      </c>
      <c r="AD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</row>
    <row r="208">
      <c r="A208" s="2" t="s">
        <v>58</v>
      </c>
      <c r="C208" s="1">
        <v>4.0</v>
      </c>
      <c r="L208" s="1">
        <v>4.0</v>
      </c>
      <c r="Y208" s="1">
        <v>0.0</v>
      </c>
      <c r="AB208" s="1">
        <v>4.0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</row>
    <row r="211">
      <c r="B211" s="1" t="s">
        <v>0</v>
      </c>
      <c r="C211" s="1" t="s">
        <v>2</v>
      </c>
      <c r="D211" s="1" t="s">
        <v>3</v>
      </c>
      <c r="E211" s="1" t="s">
        <v>0</v>
      </c>
      <c r="F211" s="1" t="s">
        <v>5</v>
      </c>
      <c r="G211" s="1" t="s">
        <v>2</v>
      </c>
      <c r="H211" s="1" t="s">
        <v>7</v>
      </c>
      <c r="I211" s="1" t="s">
        <v>6</v>
      </c>
      <c r="J211" s="1" t="s">
        <v>5</v>
      </c>
      <c r="K211" s="1" t="s">
        <v>9</v>
      </c>
      <c r="L211" s="1" t="s">
        <v>3</v>
      </c>
      <c r="M211" s="1" t="s">
        <v>8</v>
      </c>
      <c r="N211" s="1" t="s">
        <v>2</v>
      </c>
      <c r="O211" s="1" t="s">
        <v>9</v>
      </c>
      <c r="P211" s="1" t="s">
        <v>6</v>
      </c>
      <c r="Q211" s="1" t="s">
        <v>3</v>
      </c>
      <c r="R211" s="1" t="s">
        <v>9</v>
      </c>
      <c r="S211" s="1" t="s">
        <v>6</v>
      </c>
      <c r="T211" s="1" t="s">
        <v>9</v>
      </c>
      <c r="U211" s="1" t="s">
        <v>1</v>
      </c>
      <c r="V211" s="1" t="s">
        <v>2</v>
      </c>
      <c r="W211" s="1" t="s">
        <v>8</v>
      </c>
      <c r="X211" s="1" t="s">
        <v>0</v>
      </c>
      <c r="Y211" s="1" t="s">
        <v>2</v>
      </c>
      <c r="Z211" s="1" t="s">
        <v>7</v>
      </c>
      <c r="AA211" s="1" t="s">
        <v>0</v>
      </c>
      <c r="AB211" s="1" t="s">
        <v>7</v>
      </c>
      <c r="AC211" s="1" t="s">
        <v>9</v>
      </c>
      <c r="AD211" s="1" t="s">
        <v>7</v>
      </c>
      <c r="AE211" s="2" t="s">
        <v>1</v>
      </c>
      <c r="AF211" s="2" t="s">
        <v>0</v>
      </c>
      <c r="AG211" s="1" t="s">
        <v>4</v>
      </c>
      <c r="AH211" s="1" t="s">
        <v>4</v>
      </c>
      <c r="AI211" s="1" t="s">
        <v>8</v>
      </c>
      <c r="AJ211" s="1" t="s">
        <v>4</v>
      </c>
      <c r="AK211" s="1" t="s">
        <v>7</v>
      </c>
      <c r="AL211" s="1" t="s">
        <v>6</v>
      </c>
      <c r="AM211" s="1" t="s">
        <v>8</v>
      </c>
      <c r="AN211" s="1" t="s">
        <v>4</v>
      </c>
      <c r="AO211" s="1" t="s">
        <v>5</v>
      </c>
      <c r="AP211" s="1" t="s">
        <v>5</v>
      </c>
      <c r="AQ211" s="1" t="s">
        <v>6</v>
      </c>
      <c r="AR211" s="1" t="s">
        <v>4</v>
      </c>
      <c r="AS211" s="1" t="s">
        <v>3</v>
      </c>
      <c r="AT211" s="1" t="s">
        <v>3</v>
      </c>
      <c r="AU211" s="1" t="s">
        <v>1</v>
      </c>
      <c r="AV211" s="1" t="s">
        <v>1</v>
      </c>
      <c r="AW211" s="1" t="s">
        <v>1</v>
      </c>
      <c r="AX211" s="1" t="s">
        <v>5</v>
      </c>
      <c r="AY211" s="1" t="s">
        <v>8</v>
      </c>
    </row>
    <row r="212">
      <c r="B212" s="1" t="s">
        <v>46</v>
      </c>
      <c r="C212" s="1" t="s">
        <v>35</v>
      </c>
      <c r="D212" s="1" t="s">
        <v>47</v>
      </c>
      <c r="E212" s="1" t="s">
        <v>43</v>
      </c>
      <c r="F212" s="1" t="s">
        <v>52</v>
      </c>
      <c r="G212" s="1" t="s">
        <v>34</v>
      </c>
      <c r="H212" s="1" t="s">
        <v>26</v>
      </c>
      <c r="I212" s="1" t="s">
        <v>21</v>
      </c>
      <c r="J212" s="1" t="s">
        <v>21</v>
      </c>
      <c r="K212" s="1" t="s">
        <v>39</v>
      </c>
      <c r="L212" s="1" t="s">
        <v>48</v>
      </c>
      <c r="M212" s="1" t="s">
        <v>30</v>
      </c>
      <c r="N212" s="1" t="s">
        <v>36</v>
      </c>
      <c r="O212" s="1" t="s">
        <v>40</v>
      </c>
      <c r="P212" s="1" t="s">
        <v>23</v>
      </c>
      <c r="Q212" s="1" t="s">
        <v>49</v>
      </c>
      <c r="R212" s="1" t="s">
        <v>42</v>
      </c>
      <c r="S212" s="1" t="s">
        <v>22</v>
      </c>
      <c r="T212" s="1" t="s">
        <v>41</v>
      </c>
      <c r="U212" s="1" t="s">
        <v>13</v>
      </c>
      <c r="V212" s="1" t="s">
        <v>33</v>
      </c>
      <c r="W212" s="1" t="s">
        <v>31</v>
      </c>
      <c r="X212" s="1" t="s">
        <v>45</v>
      </c>
      <c r="Y212" s="1" t="s">
        <v>37</v>
      </c>
      <c r="Z212" s="1" t="s">
        <v>25</v>
      </c>
      <c r="AA212" s="1" t="s">
        <v>44</v>
      </c>
      <c r="AB212" s="1" t="s">
        <v>24</v>
      </c>
      <c r="AC212" s="1" t="s">
        <v>38</v>
      </c>
      <c r="AD212" s="1" t="s">
        <v>27</v>
      </c>
      <c r="AE212" s="1" t="s">
        <v>12</v>
      </c>
      <c r="AF212" s="1" t="s">
        <v>12</v>
      </c>
      <c r="AG212" s="1" t="s">
        <v>16</v>
      </c>
      <c r="AH212" s="1" t="s">
        <v>17</v>
      </c>
      <c r="AI212" s="1" t="s">
        <v>32</v>
      </c>
      <c r="AJ212" s="1" t="s">
        <v>18</v>
      </c>
      <c r="AK212" s="1" t="s">
        <v>28</v>
      </c>
      <c r="AL212" s="1" t="s">
        <v>19</v>
      </c>
      <c r="AM212" s="1" t="s">
        <v>29</v>
      </c>
      <c r="AN212" s="1" t="s">
        <v>14</v>
      </c>
      <c r="AO212" s="1" t="s">
        <v>51</v>
      </c>
      <c r="AP212" s="1" t="s">
        <v>50</v>
      </c>
      <c r="AQ212" s="1" t="s">
        <v>20</v>
      </c>
      <c r="AR212" s="1" t="s">
        <v>15</v>
      </c>
    </row>
    <row r="213">
      <c r="B213" s="1" t="b">
        <v>0</v>
      </c>
      <c r="C213" s="1" t="b">
        <v>1</v>
      </c>
      <c r="D213" s="1" t="b">
        <v>1</v>
      </c>
      <c r="E213" s="1" t="b">
        <v>1</v>
      </c>
      <c r="F213" s="1" t="b">
        <v>0</v>
      </c>
      <c r="G213" s="1" t="b">
        <v>1</v>
      </c>
      <c r="H213" s="1" t="b">
        <v>1</v>
      </c>
      <c r="I213" s="1" t="b">
        <v>0</v>
      </c>
      <c r="J213" s="1" t="b">
        <v>0</v>
      </c>
      <c r="K213" s="1" t="b">
        <v>0</v>
      </c>
      <c r="L213" s="1" t="b">
        <v>1</v>
      </c>
      <c r="M213" s="1" t="b">
        <v>0</v>
      </c>
      <c r="N213" s="1" t="b">
        <v>1</v>
      </c>
      <c r="O213" s="1" t="b">
        <v>0</v>
      </c>
      <c r="P213" s="1" t="b">
        <v>0</v>
      </c>
      <c r="Q213" s="1" t="b">
        <v>1</v>
      </c>
      <c r="R213" s="1" t="b">
        <v>0</v>
      </c>
      <c r="S213" s="1" t="b">
        <v>0</v>
      </c>
      <c r="T213" s="1" t="b">
        <v>0</v>
      </c>
      <c r="U213" s="1" t="b">
        <v>0</v>
      </c>
      <c r="V213" s="1" t="b">
        <v>1</v>
      </c>
      <c r="W213" s="1" t="b">
        <v>0</v>
      </c>
      <c r="X213" s="1" t="b">
        <v>1</v>
      </c>
      <c r="Y213" s="1" t="b">
        <v>0</v>
      </c>
      <c r="Z213" s="1" t="b">
        <v>1</v>
      </c>
      <c r="AA213" s="1" t="b">
        <v>1</v>
      </c>
      <c r="AB213" s="1" t="b">
        <v>1</v>
      </c>
      <c r="AC213" s="1" t="b">
        <v>0</v>
      </c>
      <c r="AD213" s="1" t="b">
        <v>1</v>
      </c>
      <c r="AE213" s="1" t="b">
        <v>1</v>
      </c>
      <c r="AF213" s="1" t="b">
        <v>0</v>
      </c>
      <c r="AG213" s="1" t="b">
        <v>0</v>
      </c>
      <c r="AH213" s="1" t="b">
        <v>0</v>
      </c>
      <c r="AI213" s="1" t="b">
        <v>0</v>
      </c>
      <c r="AJ213" s="1" t="b">
        <v>0</v>
      </c>
      <c r="AK213" s="1" t="b">
        <v>0</v>
      </c>
      <c r="AL213" s="1" t="b">
        <v>0</v>
      </c>
      <c r="AM213" s="1" t="b">
        <v>0</v>
      </c>
      <c r="AN213" s="1" t="b">
        <v>0</v>
      </c>
      <c r="AO213" s="1" t="b">
        <v>0</v>
      </c>
      <c r="AP213" s="1" t="b">
        <v>0</v>
      </c>
      <c r="AQ213" s="1" t="b">
        <v>0</v>
      </c>
      <c r="AR213" s="1" t="b">
        <v>0</v>
      </c>
      <c r="AS213" s="1" t="b">
        <v>0</v>
      </c>
      <c r="AT213" s="1" t="b">
        <v>0</v>
      </c>
      <c r="AU213" s="1" t="b">
        <v>0</v>
      </c>
      <c r="AV213" s="1" t="b">
        <v>0</v>
      </c>
      <c r="AW213" s="1" t="b">
        <v>0</v>
      </c>
      <c r="AX213" s="1" t="b">
        <v>0</v>
      </c>
      <c r="AY213" s="1" t="b">
        <v>0</v>
      </c>
    </row>
    <row r="214">
      <c r="A214" s="2" t="s">
        <v>53</v>
      </c>
      <c r="B214" s="1">
        <v>0.0</v>
      </c>
      <c r="G214" s="1">
        <v>0.0</v>
      </c>
      <c r="Q214" s="1">
        <v>0.0</v>
      </c>
      <c r="Y214" s="1">
        <v>0.0</v>
      </c>
      <c r="AK214" s="1">
        <v>0.0</v>
      </c>
      <c r="AS214" s="1">
        <v>0.0</v>
      </c>
      <c r="AT214" s="1">
        <v>0.0</v>
      </c>
    </row>
    <row r="215">
      <c r="A215" s="2" t="s">
        <v>54</v>
      </c>
      <c r="B215" s="1">
        <v>0.0</v>
      </c>
      <c r="Q215" s="1">
        <v>4.0</v>
      </c>
      <c r="X215" s="1">
        <v>4.0</v>
      </c>
      <c r="Y215" s="1">
        <v>0.0</v>
      </c>
      <c r="AD215" s="1">
        <v>-4.0</v>
      </c>
      <c r="AK215" s="1">
        <v>0.0</v>
      </c>
      <c r="AS215" s="1">
        <v>0.0</v>
      </c>
      <c r="AT215" s="1">
        <v>0.0</v>
      </c>
    </row>
    <row r="216">
      <c r="A216" s="2" t="s">
        <v>55</v>
      </c>
      <c r="B216" s="1">
        <v>0.0</v>
      </c>
      <c r="C216" s="1">
        <v>0.0</v>
      </c>
      <c r="Q216" s="1">
        <v>0.0</v>
      </c>
      <c r="Y216" s="1">
        <v>0.0</v>
      </c>
      <c r="AF216" s="1">
        <v>4.0</v>
      </c>
      <c r="AK216" s="1">
        <v>0.0</v>
      </c>
      <c r="AS216" s="1">
        <v>0.0</v>
      </c>
      <c r="AT216" s="1">
        <v>0.0</v>
      </c>
    </row>
    <row r="217">
      <c r="A217" s="2" t="s">
        <v>56</v>
      </c>
      <c r="B217" s="1">
        <v>0.0</v>
      </c>
      <c r="G217" s="1">
        <v>0.0</v>
      </c>
      <c r="L217" s="1">
        <v>0.0</v>
      </c>
      <c r="Y217" s="1">
        <v>0.0</v>
      </c>
      <c r="AB217" s="1">
        <v>4.0</v>
      </c>
      <c r="AK217" s="1">
        <v>0.0</v>
      </c>
      <c r="AS217" s="1">
        <v>0.0</v>
      </c>
      <c r="AT217" s="1">
        <v>0.0</v>
      </c>
    </row>
    <row r="218">
      <c r="A218" s="2" t="s">
        <v>57</v>
      </c>
      <c r="B218" s="1">
        <v>0.0</v>
      </c>
      <c r="C218" s="1">
        <v>0.0</v>
      </c>
      <c r="L218" s="1">
        <v>4.0</v>
      </c>
      <c r="Y218" s="1">
        <v>0.0</v>
      </c>
      <c r="AK218" s="1">
        <v>0.0</v>
      </c>
      <c r="AS218" s="1">
        <v>0.0</v>
      </c>
      <c r="AT218" s="1">
        <v>0.0</v>
      </c>
    </row>
    <row r="219">
      <c r="A219" s="2" t="s">
        <v>58</v>
      </c>
      <c r="B219" s="1">
        <v>0.0</v>
      </c>
      <c r="C219" s="1">
        <v>4.0</v>
      </c>
      <c r="Y219" s="1">
        <v>0.0</v>
      </c>
      <c r="AK219" s="1">
        <v>0.0</v>
      </c>
      <c r="AS219" s="1">
        <v>0.0</v>
      </c>
      <c r="AT219" s="1">
        <v>0.0</v>
      </c>
    </row>
    <row r="220">
      <c r="A220" s="2" t="s">
        <v>53</v>
      </c>
      <c r="B220" s="1">
        <v>0.0</v>
      </c>
      <c r="C220" s="1">
        <v>4.0</v>
      </c>
      <c r="Y220" s="1">
        <v>0.0</v>
      </c>
      <c r="AK220" s="1">
        <v>0.0</v>
      </c>
      <c r="AS220" s="1">
        <v>0.0</v>
      </c>
      <c r="AT220" s="1">
        <v>0.0</v>
      </c>
    </row>
    <row r="221">
      <c r="A221" s="2" t="s">
        <v>54</v>
      </c>
      <c r="B221" s="1">
        <v>0.0</v>
      </c>
      <c r="Y221" s="1">
        <v>0.0</v>
      </c>
      <c r="AK221" s="1">
        <v>0.0</v>
      </c>
      <c r="AS221" s="1">
        <v>0.0</v>
      </c>
      <c r="AT221" s="1">
        <v>0.0</v>
      </c>
    </row>
    <row r="222">
      <c r="A222" s="2" t="s">
        <v>55</v>
      </c>
      <c r="B222" s="1">
        <v>0.0</v>
      </c>
      <c r="C222" s="1">
        <v>4.0</v>
      </c>
      <c r="E222" s="1">
        <v>4.0</v>
      </c>
      <c r="Y222" s="1">
        <v>0.0</v>
      </c>
      <c r="AK222" s="1">
        <v>0.0</v>
      </c>
      <c r="AS222" s="1">
        <v>0.0</v>
      </c>
      <c r="AT222" s="1">
        <v>0.0</v>
      </c>
    </row>
    <row r="223">
      <c r="A223" s="2" t="s">
        <v>56</v>
      </c>
      <c r="B223" s="1">
        <v>0.0</v>
      </c>
      <c r="C223" s="1">
        <v>0.0</v>
      </c>
      <c r="L223" s="1">
        <v>0.0</v>
      </c>
      <c r="Y223" s="1">
        <v>0.0</v>
      </c>
      <c r="AK223" s="1">
        <v>0.0</v>
      </c>
      <c r="AS223" s="1">
        <v>0.0</v>
      </c>
      <c r="AT223" s="1">
        <v>0.0</v>
      </c>
    </row>
    <row r="224">
      <c r="A224" s="2" t="s">
        <v>57</v>
      </c>
      <c r="B224" s="1">
        <v>0.0</v>
      </c>
      <c r="C224" s="1">
        <v>0.0</v>
      </c>
      <c r="L224" s="1">
        <v>4.0</v>
      </c>
      <c r="Y224" s="1">
        <v>0.0</v>
      </c>
      <c r="AF224" s="1">
        <v>4.0</v>
      </c>
      <c r="AK224" s="1">
        <v>0.0</v>
      </c>
      <c r="AS224" s="1">
        <v>0.0</v>
      </c>
      <c r="AT224" s="1">
        <v>0.0</v>
      </c>
    </row>
    <row r="225">
      <c r="A225" s="2" t="s">
        <v>58</v>
      </c>
      <c r="B225" s="1">
        <v>0.0</v>
      </c>
      <c r="L225" s="1">
        <v>4.0</v>
      </c>
      <c r="Y225" s="1">
        <v>0.0</v>
      </c>
      <c r="AF225" s="1">
        <v>4.0</v>
      </c>
      <c r="AK225" s="1">
        <v>0.0</v>
      </c>
      <c r="AS225" s="1">
        <v>0.0</v>
      </c>
      <c r="AT225" s="1">
        <v>0.0</v>
      </c>
    </row>
    <row r="226">
      <c r="B226" s="1" t="b">
        <v>0</v>
      </c>
      <c r="C226" s="1" t="b">
        <v>1</v>
      </c>
      <c r="D226" s="1" t="b">
        <v>1</v>
      </c>
      <c r="E226" s="1" t="b">
        <v>1</v>
      </c>
      <c r="F226" s="1" t="b">
        <v>0</v>
      </c>
      <c r="G226" s="1" t="b">
        <v>1</v>
      </c>
      <c r="H226" s="1" t="b">
        <v>1</v>
      </c>
      <c r="I226" s="1" t="b">
        <v>0</v>
      </c>
      <c r="J226" s="1" t="b">
        <v>0</v>
      </c>
      <c r="K226" s="1" t="b">
        <v>0</v>
      </c>
      <c r="L226" s="1" t="b">
        <v>1</v>
      </c>
      <c r="M226" s="1" t="b">
        <v>0</v>
      </c>
      <c r="N226" s="1" t="b">
        <v>1</v>
      </c>
      <c r="O226" s="1" t="b">
        <v>0</v>
      </c>
      <c r="P226" s="1" t="b">
        <v>0</v>
      </c>
      <c r="Q226" s="1" t="b">
        <v>1</v>
      </c>
      <c r="R226" s="1" t="b">
        <v>0</v>
      </c>
      <c r="S226" s="1" t="b">
        <v>0</v>
      </c>
      <c r="T226" s="1" t="b">
        <v>0</v>
      </c>
      <c r="U226" s="1" t="b">
        <v>0</v>
      </c>
      <c r="V226" s="1" t="b">
        <v>1</v>
      </c>
      <c r="W226" s="1" t="b">
        <v>0</v>
      </c>
      <c r="X226" s="1" t="b">
        <v>1</v>
      </c>
      <c r="Y226" s="1" t="b">
        <v>0</v>
      </c>
      <c r="Z226" s="1" t="b">
        <v>1</v>
      </c>
      <c r="AA226" s="1" t="b">
        <v>1</v>
      </c>
      <c r="AB226" s="1" t="b">
        <v>1</v>
      </c>
      <c r="AC226" s="1" t="b">
        <v>0</v>
      </c>
      <c r="AD226" s="1" t="b">
        <v>1</v>
      </c>
      <c r="AE226" s="1" t="b">
        <v>1</v>
      </c>
      <c r="AF226" s="1" t="b">
        <v>0</v>
      </c>
      <c r="AG226" s="1" t="b">
        <v>0</v>
      </c>
      <c r="AH226" s="1" t="b">
        <v>0</v>
      </c>
      <c r="AI226" s="1" t="b">
        <v>0</v>
      </c>
      <c r="AJ226" s="1" t="b">
        <v>0</v>
      </c>
      <c r="AK226" s="1" t="b">
        <v>0</v>
      </c>
      <c r="AL226" s="1" t="b">
        <v>0</v>
      </c>
      <c r="AM226" s="1" t="b">
        <v>0</v>
      </c>
      <c r="AN226" s="1" t="b">
        <v>0</v>
      </c>
      <c r="AO226" s="1" t="b">
        <v>0</v>
      </c>
      <c r="AP226" s="1" t="b">
        <v>0</v>
      </c>
      <c r="AQ226" s="1" t="b">
        <v>0</v>
      </c>
      <c r="AR226" s="1" t="b">
        <v>0</v>
      </c>
      <c r="AS226" s="1" t="b">
        <v>0</v>
      </c>
      <c r="AT226" s="1" t="b">
        <v>0</v>
      </c>
      <c r="AU226" s="1" t="b">
        <v>0</v>
      </c>
      <c r="AV226" s="1" t="b">
        <v>0</v>
      </c>
      <c r="AW226" s="1" t="b">
        <v>0</v>
      </c>
      <c r="AX226" s="1" t="b">
        <v>0</v>
      </c>
      <c r="AY226" s="1" t="b">
        <v>0</v>
      </c>
    </row>
    <row r="227">
      <c r="A227" s="2" t="s">
        <v>53</v>
      </c>
      <c r="B227" s="1">
        <v>0.0</v>
      </c>
      <c r="C227" s="1">
        <v>4.0</v>
      </c>
      <c r="Y227" s="1">
        <v>0.0</v>
      </c>
      <c r="AB227" s="1">
        <v>4.0</v>
      </c>
      <c r="AK227" s="1">
        <v>0.0</v>
      </c>
      <c r="AS227" s="1">
        <v>0.0</v>
      </c>
      <c r="AT227" s="1">
        <v>0.0</v>
      </c>
    </row>
    <row r="228">
      <c r="A228" s="2" t="s">
        <v>54</v>
      </c>
      <c r="B228" s="1">
        <v>0.0</v>
      </c>
      <c r="C228" s="1">
        <v>-4.0</v>
      </c>
      <c r="X228" s="1">
        <v>4.0</v>
      </c>
      <c r="Y228" s="1">
        <v>0.0</v>
      </c>
      <c r="AK228" s="1">
        <v>0.0</v>
      </c>
      <c r="AS228" s="1">
        <v>0.0</v>
      </c>
      <c r="AT228" s="1">
        <v>0.0</v>
      </c>
    </row>
    <row r="229">
      <c r="A229" s="2" t="s">
        <v>55</v>
      </c>
      <c r="B229" s="1">
        <v>0.0</v>
      </c>
      <c r="C229" s="1">
        <v>0.0</v>
      </c>
      <c r="L229" s="1">
        <v>0.0</v>
      </c>
      <c r="Y229" s="1">
        <v>0.0</v>
      </c>
      <c r="AK229" s="1">
        <v>0.0</v>
      </c>
      <c r="AS229" s="1">
        <v>0.0</v>
      </c>
      <c r="AT229" s="1">
        <v>0.0</v>
      </c>
    </row>
    <row r="230">
      <c r="A230" s="2" t="s">
        <v>56</v>
      </c>
      <c r="B230" s="1">
        <v>0.0</v>
      </c>
      <c r="E230" s="1">
        <v>4.0</v>
      </c>
      <c r="G230" s="1">
        <v>4.0</v>
      </c>
      <c r="Y230" s="1">
        <v>0.0</v>
      </c>
      <c r="AK230" s="1">
        <v>0.0</v>
      </c>
      <c r="AS230" s="1">
        <v>0.0</v>
      </c>
      <c r="AT230" s="1">
        <v>0.0</v>
      </c>
    </row>
    <row r="231">
      <c r="A231" s="2" t="s">
        <v>57</v>
      </c>
      <c r="B231" s="1">
        <v>0.0</v>
      </c>
      <c r="E231" s="1">
        <v>4.0</v>
      </c>
      <c r="L231" s="1">
        <v>0.0</v>
      </c>
      <c r="V231" s="1">
        <v>0.0</v>
      </c>
      <c r="Y231" s="1">
        <v>0.0</v>
      </c>
      <c r="AK231" s="1">
        <v>0.0</v>
      </c>
      <c r="AS231" s="1">
        <v>0.0</v>
      </c>
      <c r="AT231" s="1">
        <v>0.0</v>
      </c>
    </row>
    <row r="232">
      <c r="A232" s="2" t="s">
        <v>58</v>
      </c>
      <c r="B232" s="1">
        <v>0.0</v>
      </c>
      <c r="C232" s="1">
        <v>4.0</v>
      </c>
      <c r="E232" s="1">
        <v>4.0</v>
      </c>
      <c r="Q232" s="1">
        <v>0.0</v>
      </c>
      <c r="Y232" s="1">
        <v>0.0</v>
      </c>
      <c r="AK232" s="1">
        <v>0.0</v>
      </c>
      <c r="AS232" s="1">
        <v>0.0</v>
      </c>
      <c r="AT232" s="1">
        <v>0.0</v>
      </c>
    </row>
    <row r="233">
      <c r="A233" s="2" t="s">
        <v>53</v>
      </c>
      <c r="B233" s="1">
        <v>0.0</v>
      </c>
      <c r="D233" s="1">
        <v>4.0</v>
      </c>
      <c r="Y233" s="1">
        <v>0.0</v>
      </c>
      <c r="Z233" s="1">
        <v>4.0</v>
      </c>
      <c r="AK233" s="1">
        <v>0.0</v>
      </c>
      <c r="AS233" s="1">
        <v>0.0</v>
      </c>
      <c r="AT233" s="1">
        <v>0.0</v>
      </c>
    </row>
    <row r="234">
      <c r="A234" s="2" t="s">
        <v>54</v>
      </c>
      <c r="B234" s="1">
        <v>0.0</v>
      </c>
      <c r="L234" s="1">
        <v>0.0</v>
      </c>
      <c r="N234" s="1">
        <v>0.0</v>
      </c>
      <c r="Y234" s="1">
        <v>0.0</v>
      </c>
      <c r="AK234" s="1">
        <v>0.0</v>
      </c>
      <c r="AS234" s="1">
        <v>0.0</v>
      </c>
      <c r="AT234" s="1">
        <v>0.0</v>
      </c>
    </row>
    <row r="235">
      <c r="A235" s="2" t="s">
        <v>55</v>
      </c>
      <c r="B235" s="1">
        <v>0.0</v>
      </c>
      <c r="C235" s="1">
        <v>0.0</v>
      </c>
      <c r="Q235" s="1">
        <v>0.0</v>
      </c>
      <c r="Y235" s="1">
        <v>0.0</v>
      </c>
      <c r="AA235" s="1">
        <v>4.0</v>
      </c>
      <c r="AK235" s="1">
        <v>0.0</v>
      </c>
      <c r="AS235" s="1">
        <v>0.0</v>
      </c>
      <c r="AT235" s="1">
        <v>0.0</v>
      </c>
    </row>
    <row r="236">
      <c r="A236" s="2" t="s">
        <v>56</v>
      </c>
      <c r="B236" s="1">
        <v>0.0</v>
      </c>
      <c r="C236" s="1">
        <v>0.0</v>
      </c>
      <c r="L236" s="1">
        <v>4.0</v>
      </c>
      <c r="Y236" s="1">
        <v>0.0</v>
      </c>
      <c r="AA236" s="1">
        <v>4.0</v>
      </c>
      <c r="AD236" s="1">
        <v>-4.0</v>
      </c>
      <c r="AK236" s="1">
        <v>0.0</v>
      </c>
      <c r="AS236" s="1">
        <v>0.0</v>
      </c>
      <c r="AT236" s="1">
        <v>0.0</v>
      </c>
    </row>
    <row r="237">
      <c r="A237" s="2" t="s">
        <v>57</v>
      </c>
      <c r="B237" s="1">
        <v>0.0</v>
      </c>
      <c r="C237" s="1">
        <v>4.0</v>
      </c>
      <c r="Y237" s="1">
        <v>0.0</v>
      </c>
      <c r="AK237" s="1">
        <v>0.0</v>
      </c>
      <c r="AS237" s="1">
        <v>0.0</v>
      </c>
      <c r="AT237" s="1">
        <v>0.0</v>
      </c>
    </row>
    <row r="238">
      <c r="A238" s="2" t="s">
        <v>58</v>
      </c>
      <c r="B238" s="1">
        <v>0.0</v>
      </c>
      <c r="Y238" s="1">
        <v>0.0</v>
      </c>
      <c r="AK238" s="1">
        <v>0.0</v>
      </c>
      <c r="AS238" s="1">
        <v>0.0</v>
      </c>
      <c r="AT238" s="1">
        <v>0.0</v>
      </c>
    </row>
    <row r="241">
      <c r="B241" s="1" t="s">
        <v>0</v>
      </c>
      <c r="C241" s="1" t="s">
        <v>2</v>
      </c>
      <c r="D241" s="1" t="s">
        <v>3</v>
      </c>
      <c r="E241" s="1" t="s">
        <v>0</v>
      </c>
      <c r="F241" s="1" t="s">
        <v>5</v>
      </c>
      <c r="G241" s="1" t="s">
        <v>2</v>
      </c>
      <c r="H241" s="1" t="s">
        <v>7</v>
      </c>
      <c r="I241" s="1" t="s">
        <v>6</v>
      </c>
      <c r="J241" s="2" t="s">
        <v>5</v>
      </c>
      <c r="K241" s="1" t="s">
        <v>9</v>
      </c>
      <c r="L241" s="1" t="s">
        <v>3</v>
      </c>
      <c r="M241" s="1" t="s">
        <v>8</v>
      </c>
      <c r="N241" s="1" t="s">
        <v>2</v>
      </c>
      <c r="O241" s="1" t="s">
        <v>9</v>
      </c>
      <c r="P241" s="1" t="s">
        <v>6</v>
      </c>
      <c r="Q241" s="1" t="s">
        <v>3</v>
      </c>
      <c r="R241" s="1" t="s">
        <v>9</v>
      </c>
      <c r="S241" s="1" t="s">
        <v>6</v>
      </c>
      <c r="T241" s="1" t="s">
        <v>9</v>
      </c>
      <c r="U241" s="1" t="s">
        <v>1</v>
      </c>
      <c r="V241" s="1" t="s">
        <v>2</v>
      </c>
      <c r="W241" s="1" t="s">
        <v>8</v>
      </c>
      <c r="X241" s="1" t="s">
        <v>0</v>
      </c>
      <c r="Y241" s="1" t="s">
        <v>2</v>
      </c>
      <c r="Z241" s="1" t="s">
        <v>7</v>
      </c>
      <c r="AA241" s="1" t="s">
        <v>0</v>
      </c>
      <c r="AB241" s="1" t="s">
        <v>7</v>
      </c>
      <c r="AC241" s="1" t="s">
        <v>9</v>
      </c>
      <c r="AD241" s="1" t="s">
        <v>7</v>
      </c>
      <c r="AE241" s="4" t="s">
        <v>1</v>
      </c>
      <c r="AF241" s="1" t="s">
        <v>0</v>
      </c>
      <c r="AG241" s="1" t="s">
        <v>4</v>
      </c>
      <c r="AH241" s="1" t="s">
        <v>4</v>
      </c>
      <c r="AI241" s="1" t="s">
        <v>8</v>
      </c>
      <c r="AJ241" s="1" t="s">
        <v>4</v>
      </c>
      <c r="AK241" s="1" t="s">
        <v>7</v>
      </c>
      <c r="AL241" s="1" t="s">
        <v>6</v>
      </c>
      <c r="AM241" s="1" t="s">
        <v>8</v>
      </c>
      <c r="AN241" s="1" t="s">
        <v>4</v>
      </c>
      <c r="AO241" s="1" t="s">
        <v>5</v>
      </c>
      <c r="AP241" s="1" t="s">
        <v>5</v>
      </c>
      <c r="AQ241" s="1" t="s">
        <v>6</v>
      </c>
      <c r="AR241" s="1" t="s">
        <v>4</v>
      </c>
      <c r="AS241" s="1" t="s">
        <v>5</v>
      </c>
      <c r="AT241" s="1" t="s">
        <v>1</v>
      </c>
      <c r="AU241" s="1" t="s">
        <v>1</v>
      </c>
      <c r="AV241" s="1" t="s">
        <v>1</v>
      </c>
      <c r="AW241" s="1" t="s">
        <v>3</v>
      </c>
      <c r="AX241" s="1" t="s">
        <v>3</v>
      </c>
      <c r="AY241" s="1" t="s">
        <v>8</v>
      </c>
    </row>
    <row r="242">
      <c r="B242" s="1" t="s">
        <v>46</v>
      </c>
      <c r="C242" s="1" t="s">
        <v>35</v>
      </c>
      <c r="D242" s="1" t="s">
        <v>47</v>
      </c>
      <c r="E242" s="1" t="s">
        <v>43</v>
      </c>
      <c r="F242" s="1" t="s">
        <v>52</v>
      </c>
      <c r="G242" s="1" t="s">
        <v>34</v>
      </c>
      <c r="H242" s="1" t="s">
        <v>26</v>
      </c>
      <c r="I242" s="1" t="s">
        <v>21</v>
      </c>
      <c r="J242" s="1" t="s">
        <v>21</v>
      </c>
      <c r="K242" s="1" t="s">
        <v>39</v>
      </c>
      <c r="L242" s="1" t="s">
        <v>48</v>
      </c>
      <c r="M242" s="1" t="s">
        <v>30</v>
      </c>
      <c r="N242" s="1" t="s">
        <v>36</v>
      </c>
      <c r="O242" s="1" t="s">
        <v>40</v>
      </c>
      <c r="P242" s="1" t="s">
        <v>23</v>
      </c>
      <c r="Q242" s="1" t="s">
        <v>49</v>
      </c>
      <c r="R242" s="1" t="s">
        <v>42</v>
      </c>
      <c r="S242" s="1" t="s">
        <v>22</v>
      </c>
      <c r="T242" s="1" t="s">
        <v>41</v>
      </c>
      <c r="U242" s="1" t="s">
        <v>13</v>
      </c>
      <c r="V242" s="1" t="s">
        <v>33</v>
      </c>
      <c r="W242" s="1" t="s">
        <v>31</v>
      </c>
      <c r="X242" s="1" t="s">
        <v>45</v>
      </c>
      <c r="Y242" s="1" t="s">
        <v>37</v>
      </c>
      <c r="Z242" s="1" t="s">
        <v>25</v>
      </c>
      <c r="AA242" s="1" t="s">
        <v>44</v>
      </c>
      <c r="AB242" s="1" t="s">
        <v>24</v>
      </c>
      <c r="AC242" s="1" t="s">
        <v>38</v>
      </c>
      <c r="AD242" s="1" t="s">
        <v>27</v>
      </c>
      <c r="AE242" s="4" t="s">
        <v>12</v>
      </c>
      <c r="AF242" s="1" t="s">
        <v>12</v>
      </c>
      <c r="AG242" s="1" t="s">
        <v>16</v>
      </c>
      <c r="AH242" s="1" t="s">
        <v>17</v>
      </c>
      <c r="AI242" s="1" t="s">
        <v>32</v>
      </c>
      <c r="AJ242" s="1" t="s">
        <v>18</v>
      </c>
      <c r="AK242" s="1" t="s">
        <v>28</v>
      </c>
      <c r="AL242" s="1" t="s">
        <v>19</v>
      </c>
      <c r="AM242" s="1" t="s">
        <v>29</v>
      </c>
      <c r="AN242" s="1" t="s">
        <v>14</v>
      </c>
      <c r="AO242" s="1" t="s">
        <v>51</v>
      </c>
      <c r="AP242" s="1" t="s">
        <v>50</v>
      </c>
      <c r="AQ242" s="1" t="s">
        <v>20</v>
      </c>
      <c r="AR242" s="1" t="s">
        <v>15</v>
      </c>
    </row>
    <row r="243">
      <c r="B243" s="1" t="b">
        <v>1</v>
      </c>
      <c r="C243" s="1" t="b">
        <v>1</v>
      </c>
      <c r="D243" s="1" t="b">
        <v>0</v>
      </c>
      <c r="E243" s="1" t="b">
        <v>1</v>
      </c>
      <c r="F243" s="1" t="b">
        <v>1</v>
      </c>
      <c r="G243" s="1" t="b">
        <v>1</v>
      </c>
      <c r="H243" s="1" t="b">
        <v>0</v>
      </c>
      <c r="I243" s="1" t="b">
        <v>1</v>
      </c>
      <c r="J243" s="1" t="b">
        <v>1</v>
      </c>
      <c r="K243" s="1" t="b">
        <v>0</v>
      </c>
      <c r="L243" s="1" t="b">
        <v>0</v>
      </c>
      <c r="M243" s="1" t="b">
        <v>0</v>
      </c>
      <c r="N243" s="1" t="b">
        <v>1</v>
      </c>
      <c r="O243" s="1" t="b">
        <v>0</v>
      </c>
      <c r="P243" s="1" t="b">
        <v>1</v>
      </c>
      <c r="Q243" s="1" t="b">
        <v>0</v>
      </c>
      <c r="R243" s="1" t="b">
        <v>0</v>
      </c>
      <c r="S243" s="1" t="b">
        <v>1</v>
      </c>
      <c r="T243" s="1" t="b">
        <v>0</v>
      </c>
      <c r="U243" s="1" t="b">
        <v>0</v>
      </c>
      <c r="V243" s="1" t="b">
        <v>1</v>
      </c>
      <c r="W243" s="1" t="b">
        <v>0</v>
      </c>
      <c r="X243" s="1" t="b">
        <v>1</v>
      </c>
      <c r="Y243" s="1" t="b">
        <v>0</v>
      </c>
      <c r="Z243" s="1" t="b">
        <v>0</v>
      </c>
      <c r="AA243" s="1" t="b">
        <v>1</v>
      </c>
      <c r="AB243" s="1" t="b">
        <v>0</v>
      </c>
      <c r="AC243" s="1" t="b">
        <v>0</v>
      </c>
      <c r="AD243" s="1" t="b">
        <v>0</v>
      </c>
      <c r="AE243" s="6" t="b">
        <v>0</v>
      </c>
      <c r="AF243" s="1" t="b">
        <v>1</v>
      </c>
      <c r="AG243" s="1" t="b">
        <v>0</v>
      </c>
      <c r="AH243" s="1" t="b">
        <v>0</v>
      </c>
      <c r="AI243" s="1" t="b">
        <v>0</v>
      </c>
      <c r="AJ243" s="1" t="b">
        <v>0</v>
      </c>
      <c r="AK243" s="1" t="b">
        <v>0</v>
      </c>
      <c r="AL243" s="1" t="b">
        <v>1</v>
      </c>
      <c r="AM243" s="1" t="b">
        <v>0</v>
      </c>
      <c r="AN243" s="1" t="b">
        <v>0</v>
      </c>
      <c r="AO243" s="1" t="b">
        <v>1</v>
      </c>
      <c r="AP243" s="1" t="b">
        <v>1</v>
      </c>
      <c r="AQ243" s="1" t="b">
        <v>1</v>
      </c>
      <c r="AR243" s="1" t="b">
        <v>0</v>
      </c>
      <c r="AS243" s="1" t="b">
        <v>1</v>
      </c>
      <c r="AT243" s="1" t="b">
        <v>0</v>
      </c>
      <c r="AU243" s="1" t="b">
        <v>0</v>
      </c>
      <c r="AV243" s="1" t="b">
        <v>0</v>
      </c>
      <c r="AW243" s="1" t="b">
        <v>0</v>
      </c>
      <c r="AX243" s="1" t="b">
        <v>0</v>
      </c>
      <c r="AY243" s="1" t="b">
        <v>0</v>
      </c>
    </row>
    <row r="244">
      <c r="A244" s="2" t="s">
        <v>53</v>
      </c>
      <c r="C244" s="1">
        <v>4.0</v>
      </c>
      <c r="S244" s="1">
        <v>4.0</v>
      </c>
      <c r="Y244" s="1">
        <v>0.0</v>
      </c>
      <c r="AE244" s="4"/>
    </row>
    <row r="245">
      <c r="A245" s="2" t="s">
        <v>54</v>
      </c>
      <c r="Y245" s="1">
        <v>0.0</v>
      </c>
      <c r="AE245" s="4"/>
    </row>
    <row r="246">
      <c r="A246" s="2" t="s">
        <v>55</v>
      </c>
      <c r="S246" s="1">
        <v>4.0</v>
      </c>
      <c r="Y246" s="1">
        <v>0.0</v>
      </c>
      <c r="AE246" s="4"/>
    </row>
    <row r="247">
      <c r="A247" s="2" t="s">
        <v>56</v>
      </c>
      <c r="Y247" s="1">
        <v>0.0</v>
      </c>
      <c r="AE247" s="4"/>
      <c r="AP247" s="1">
        <v>4.0</v>
      </c>
    </row>
    <row r="248">
      <c r="A248" s="2" t="s">
        <v>57</v>
      </c>
      <c r="C248" s="1">
        <v>4.0</v>
      </c>
      <c r="F248" s="1">
        <v>4.0</v>
      </c>
      <c r="Y248" s="1">
        <v>0.0</v>
      </c>
      <c r="AE248" s="4"/>
    </row>
    <row r="249">
      <c r="A249" s="2" t="s">
        <v>58</v>
      </c>
      <c r="F249" s="1">
        <v>4.0</v>
      </c>
      <c r="Y249" s="1">
        <v>0.0</v>
      </c>
      <c r="AE249" s="4"/>
      <c r="AQ249" s="1">
        <v>-4.0</v>
      </c>
    </row>
    <row r="250">
      <c r="A250" s="2" t="s">
        <v>53</v>
      </c>
      <c r="S250" s="1">
        <v>4.0</v>
      </c>
      <c r="Y250" s="1">
        <v>0.0</v>
      </c>
      <c r="AE250" s="4"/>
    </row>
    <row r="251">
      <c r="A251" s="2" t="s">
        <v>54</v>
      </c>
      <c r="C251" s="1">
        <v>4.0</v>
      </c>
      <c r="Y251" s="1">
        <v>0.0</v>
      </c>
      <c r="AE251" s="4"/>
      <c r="AO251" s="1">
        <v>4.0</v>
      </c>
    </row>
    <row r="252">
      <c r="A252" s="2" t="s">
        <v>55</v>
      </c>
      <c r="E252" s="1">
        <v>4.0</v>
      </c>
      <c r="S252" s="1">
        <v>4.0</v>
      </c>
      <c r="Y252" s="1">
        <v>0.0</v>
      </c>
      <c r="AE252" s="4"/>
    </row>
    <row r="253">
      <c r="A253" s="2" t="s">
        <v>56</v>
      </c>
      <c r="Y253" s="1">
        <v>0.0</v>
      </c>
      <c r="AE253" s="4"/>
      <c r="AQ253" s="1">
        <v>-4.0</v>
      </c>
      <c r="AS253" s="1">
        <v>-4.0</v>
      </c>
    </row>
    <row r="254">
      <c r="A254" s="2" t="s">
        <v>57</v>
      </c>
      <c r="F254" s="1">
        <v>-4.0</v>
      </c>
      <c r="Y254" s="1">
        <v>0.0</v>
      </c>
      <c r="AE254" s="4"/>
      <c r="AL254" s="1">
        <v>4.0</v>
      </c>
    </row>
    <row r="255">
      <c r="A255" s="2" t="s">
        <v>58</v>
      </c>
      <c r="C255" s="1">
        <v>4.0</v>
      </c>
      <c r="Y255" s="1">
        <v>0.0</v>
      </c>
      <c r="AE255" s="4"/>
      <c r="AQ255" s="1">
        <v>-4.0</v>
      </c>
    </row>
    <row r="256">
      <c r="B256" s="1" t="b">
        <v>1</v>
      </c>
      <c r="C256" s="1" t="b">
        <v>1</v>
      </c>
      <c r="D256" s="1" t="b">
        <v>0</v>
      </c>
      <c r="E256" s="1" t="b">
        <v>1</v>
      </c>
      <c r="F256" s="1" t="b">
        <v>1</v>
      </c>
      <c r="G256" s="1" t="b">
        <v>1</v>
      </c>
      <c r="H256" s="1" t="b">
        <v>0</v>
      </c>
      <c r="I256" s="1" t="b">
        <v>1</v>
      </c>
      <c r="J256" s="1" t="b">
        <v>1</v>
      </c>
      <c r="K256" s="1" t="b">
        <v>0</v>
      </c>
      <c r="L256" s="1" t="b">
        <v>0</v>
      </c>
      <c r="M256" s="1" t="b">
        <v>0</v>
      </c>
      <c r="N256" s="1" t="b">
        <v>1</v>
      </c>
      <c r="O256" s="1" t="b">
        <v>0</v>
      </c>
      <c r="P256" s="1" t="b">
        <v>1</v>
      </c>
      <c r="Q256" s="1" t="b">
        <v>0</v>
      </c>
      <c r="R256" s="1" t="b">
        <v>0</v>
      </c>
      <c r="S256" s="1" t="b">
        <v>1</v>
      </c>
      <c r="T256" s="1" t="b">
        <v>0</v>
      </c>
      <c r="U256" s="1" t="b">
        <v>0</v>
      </c>
      <c r="V256" s="1" t="b">
        <v>1</v>
      </c>
      <c r="W256" s="1" t="b">
        <v>0</v>
      </c>
      <c r="X256" s="1" t="b">
        <v>1</v>
      </c>
      <c r="Y256" s="1" t="b">
        <v>0</v>
      </c>
      <c r="Z256" s="1" t="b">
        <v>0</v>
      </c>
      <c r="AA256" s="1" t="b">
        <v>1</v>
      </c>
      <c r="AB256" s="1" t="b">
        <v>0</v>
      </c>
      <c r="AC256" s="1" t="b">
        <v>0</v>
      </c>
      <c r="AD256" s="1" t="b">
        <v>0</v>
      </c>
      <c r="AE256" s="6" t="b">
        <v>0</v>
      </c>
      <c r="AF256" s="1" t="b">
        <v>1</v>
      </c>
      <c r="AG256" s="1" t="b">
        <v>0</v>
      </c>
      <c r="AH256" s="1" t="b">
        <v>0</v>
      </c>
      <c r="AI256" s="1" t="b">
        <v>0</v>
      </c>
      <c r="AJ256" s="1" t="b">
        <v>0</v>
      </c>
      <c r="AK256" s="1" t="b">
        <v>0</v>
      </c>
      <c r="AL256" s="1" t="b">
        <v>1</v>
      </c>
      <c r="AM256" s="1" t="b">
        <v>0</v>
      </c>
      <c r="AN256" s="1" t="b">
        <v>0</v>
      </c>
      <c r="AO256" s="1" t="b">
        <v>1</v>
      </c>
      <c r="AP256" s="1" t="b">
        <v>1</v>
      </c>
      <c r="AQ256" s="1" t="b">
        <v>1</v>
      </c>
      <c r="AR256" s="1" t="b">
        <v>0</v>
      </c>
      <c r="AS256" s="1" t="b">
        <v>0</v>
      </c>
      <c r="AT256" s="1" t="b">
        <v>0</v>
      </c>
      <c r="AU256" s="1" t="b">
        <v>0</v>
      </c>
      <c r="AV256" s="1" t="b">
        <v>0</v>
      </c>
      <c r="AW256" s="1" t="b">
        <v>0</v>
      </c>
      <c r="AX256" s="1" t="b">
        <v>0</v>
      </c>
      <c r="AY256" s="1" t="b">
        <v>0</v>
      </c>
    </row>
    <row r="257">
      <c r="A257" s="2" t="s">
        <v>53</v>
      </c>
      <c r="F257" s="1">
        <v>4.0</v>
      </c>
      <c r="Y257" s="1">
        <v>0.0</v>
      </c>
      <c r="AS257" s="1">
        <v>0.0</v>
      </c>
    </row>
    <row r="258">
      <c r="A258" s="2" t="s">
        <v>54</v>
      </c>
      <c r="X258" s="1">
        <v>4.0</v>
      </c>
      <c r="Y258" s="1">
        <v>0.0</v>
      </c>
      <c r="AP258" s="1">
        <v>4.0</v>
      </c>
      <c r="AS258" s="1">
        <v>0.0</v>
      </c>
    </row>
    <row r="259">
      <c r="A259" s="2" t="s">
        <v>55</v>
      </c>
      <c r="E259" s="1">
        <v>4.0</v>
      </c>
      <c r="J259" s="1">
        <v>4.0</v>
      </c>
      <c r="Y259" s="1">
        <v>0.0</v>
      </c>
      <c r="AS259" s="1">
        <v>0.0</v>
      </c>
    </row>
    <row r="260">
      <c r="A260" s="2" t="s">
        <v>56</v>
      </c>
      <c r="F260" s="1">
        <v>4.0</v>
      </c>
      <c r="Y260" s="1">
        <v>0.0</v>
      </c>
      <c r="AS260" s="1">
        <v>0.0</v>
      </c>
    </row>
    <row r="261">
      <c r="A261" s="2" t="s">
        <v>57</v>
      </c>
      <c r="P261" s="1">
        <v>-4.0</v>
      </c>
      <c r="V261" s="1">
        <v>4.0</v>
      </c>
      <c r="Y261" s="1">
        <v>0.0</v>
      </c>
      <c r="AS261" s="1">
        <v>0.0</v>
      </c>
    </row>
    <row r="262">
      <c r="A262" s="2" t="s">
        <v>58</v>
      </c>
      <c r="Y262" s="1">
        <v>0.0</v>
      </c>
      <c r="AS262" s="1">
        <v>0.0</v>
      </c>
    </row>
    <row r="263">
      <c r="A263" s="2" t="s">
        <v>53</v>
      </c>
      <c r="Y263" s="1">
        <v>0.0</v>
      </c>
      <c r="AO263" s="1">
        <v>-4.0</v>
      </c>
      <c r="AS263" s="1">
        <v>0.0</v>
      </c>
    </row>
    <row r="264">
      <c r="A264" s="2" t="s">
        <v>54</v>
      </c>
      <c r="N264" s="1">
        <v>4.0</v>
      </c>
      <c r="Y264" s="1">
        <v>0.0</v>
      </c>
      <c r="AS264" s="1">
        <v>0.0</v>
      </c>
    </row>
    <row r="265">
      <c r="A265" s="2" t="s">
        <v>55</v>
      </c>
      <c r="C265" s="1">
        <v>4.0</v>
      </c>
      <c r="Y265" s="1">
        <v>0.0</v>
      </c>
      <c r="AS265" s="1">
        <v>0.0</v>
      </c>
    </row>
    <row r="266">
      <c r="A266" s="2" t="s">
        <v>56</v>
      </c>
      <c r="P266" s="1">
        <v>4.0</v>
      </c>
      <c r="Y266" s="1">
        <v>0.0</v>
      </c>
      <c r="AA266" s="1">
        <v>4.0</v>
      </c>
      <c r="AS266" s="1">
        <v>0.0</v>
      </c>
    </row>
    <row r="267">
      <c r="A267" s="2" t="s">
        <v>57</v>
      </c>
      <c r="E267" s="1">
        <v>4.0</v>
      </c>
      <c r="P267" s="1">
        <v>-4.0</v>
      </c>
      <c r="Y267" s="1">
        <v>0.0</v>
      </c>
      <c r="AS267" s="1">
        <v>0.0</v>
      </c>
    </row>
    <row r="268">
      <c r="A268" s="2" t="s">
        <v>58</v>
      </c>
      <c r="C268" s="1">
        <v>4.0</v>
      </c>
      <c r="F268" s="1">
        <v>4.0</v>
      </c>
      <c r="Y268" s="1">
        <v>0.0</v>
      </c>
      <c r="AQ268" s="1">
        <v>-4.0</v>
      </c>
      <c r="AS268" s="1">
        <v>0.0</v>
      </c>
    </row>
    <row r="271">
      <c r="B271" s="1" t="s">
        <v>0</v>
      </c>
      <c r="C271" s="1" t="s">
        <v>2</v>
      </c>
      <c r="D271" s="1" t="s">
        <v>3</v>
      </c>
      <c r="E271" s="1" t="s">
        <v>0</v>
      </c>
      <c r="F271" s="1" t="s">
        <v>5</v>
      </c>
      <c r="G271" s="1" t="s">
        <v>2</v>
      </c>
      <c r="H271" s="1" t="s">
        <v>7</v>
      </c>
      <c r="I271" s="1" t="s">
        <v>6</v>
      </c>
      <c r="J271" s="1" t="s">
        <v>5</v>
      </c>
      <c r="K271" s="1" t="s">
        <v>9</v>
      </c>
      <c r="L271" s="1" t="s">
        <v>3</v>
      </c>
      <c r="M271" s="1" t="s">
        <v>8</v>
      </c>
      <c r="N271" s="1" t="s">
        <v>2</v>
      </c>
      <c r="O271" s="1" t="s">
        <v>9</v>
      </c>
      <c r="P271" s="1" t="s">
        <v>6</v>
      </c>
      <c r="Q271" s="1" t="s">
        <v>3</v>
      </c>
      <c r="R271" s="1" t="s">
        <v>9</v>
      </c>
      <c r="S271" s="1" t="s">
        <v>6</v>
      </c>
      <c r="T271" s="1" t="s">
        <v>9</v>
      </c>
      <c r="U271" s="1" t="s">
        <v>1</v>
      </c>
      <c r="V271" s="1" t="s">
        <v>2</v>
      </c>
      <c r="W271" s="1" t="s">
        <v>8</v>
      </c>
      <c r="X271" s="1" t="s">
        <v>0</v>
      </c>
      <c r="Y271" s="1" t="s">
        <v>2</v>
      </c>
      <c r="Z271" s="1" t="s">
        <v>7</v>
      </c>
      <c r="AA271" s="1" t="s">
        <v>0</v>
      </c>
      <c r="AB271" s="1" t="s">
        <v>7</v>
      </c>
      <c r="AC271" s="1" t="s">
        <v>9</v>
      </c>
      <c r="AD271" s="1" t="s">
        <v>7</v>
      </c>
      <c r="AE271" s="1" t="s">
        <v>1</v>
      </c>
      <c r="AF271" s="2" t="s">
        <v>0</v>
      </c>
      <c r="AG271" s="1" t="s">
        <v>4</v>
      </c>
      <c r="AH271" s="1" t="s">
        <v>4</v>
      </c>
      <c r="AI271" s="1" t="s">
        <v>8</v>
      </c>
      <c r="AJ271" s="1" t="s">
        <v>4</v>
      </c>
      <c r="AK271" s="1" t="s">
        <v>7</v>
      </c>
      <c r="AL271" s="1" t="s">
        <v>6</v>
      </c>
      <c r="AM271" s="1" t="s">
        <v>8</v>
      </c>
      <c r="AN271" s="1" t="s">
        <v>4</v>
      </c>
      <c r="AO271" s="1" t="s">
        <v>5</v>
      </c>
      <c r="AP271" s="1" t="s">
        <v>5</v>
      </c>
      <c r="AQ271" s="1" t="s">
        <v>6</v>
      </c>
      <c r="AR271" s="1" t="s">
        <v>4</v>
      </c>
      <c r="AS271" s="1" t="s">
        <v>5</v>
      </c>
      <c r="AT271" s="1" t="s">
        <v>1</v>
      </c>
      <c r="AU271" s="1" t="s">
        <v>1</v>
      </c>
      <c r="AV271" s="1" t="s">
        <v>1</v>
      </c>
      <c r="AW271" s="1" t="s">
        <v>3</v>
      </c>
      <c r="AX271" s="1" t="s">
        <v>3</v>
      </c>
      <c r="AY271" s="1" t="s">
        <v>8</v>
      </c>
    </row>
    <row r="272">
      <c r="B272" s="1" t="s">
        <v>46</v>
      </c>
      <c r="C272" s="1" t="s">
        <v>35</v>
      </c>
      <c r="D272" s="1" t="s">
        <v>47</v>
      </c>
      <c r="E272" s="1" t="s">
        <v>43</v>
      </c>
      <c r="F272" s="1" t="s">
        <v>52</v>
      </c>
      <c r="G272" s="1" t="s">
        <v>34</v>
      </c>
      <c r="H272" s="1" t="s">
        <v>26</v>
      </c>
      <c r="I272" s="1" t="s">
        <v>21</v>
      </c>
      <c r="J272" s="1" t="s">
        <v>21</v>
      </c>
      <c r="K272" s="1" t="s">
        <v>39</v>
      </c>
      <c r="L272" s="1" t="s">
        <v>48</v>
      </c>
      <c r="M272" s="1" t="s">
        <v>30</v>
      </c>
      <c r="N272" s="1" t="s">
        <v>36</v>
      </c>
      <c r="O272" s="1" t="s">
        <v>40</v>
      </c>
      <c r="P272" s="1" t="s">
        <v>23</v>
      </c>
      <c r="Q272" s="1" t="s">
        <v>49</v>
      </c>
      <c r="R272" s="1" t="s">
        <v>42</v>
      </c>
      <c r="S272" s="1" t="s">
        <v>22</v>
      </c>
      <c r="T272" s="1" t="s">
        <v>41</v>
      </c>
      <c r="U272" s="1" t="s">
        <v>13</v>
      </c>
      <c r="V272" s="1" t="s">
        <v>33</v>
      </c>
      <c r="W272" s="1" t="s">
        <v>31</v>
      </c>
      <c r="X272" s="1" t="s">
        <v>45</v>
      </c>
      <c r="Y272" s="1" t="s">
        <v>37</v>
      </c>
      <c r="Z272" s="1" t="s">
        <v>25</v>
      </c>
      <c r="AA272" s="1" t="s">
        <v>44</v>
      </c>
      <c r="AB272" s="1" t="s">
        <v>24</v>
      </c>
      <c r="AC272" s="1" t="s">
        <v>38</v>
      </c>
      <c r="AD272" s="1" t="s">
        <v>27</v>
      </c>
      <c r="AE272" s="1" t="s">
        <v>12</v>
      </c>
      <c r="AF272" s="1" t="s">
        <v>12</v>
      </c>
      <c r="AG272" s="1" t="s">
        <v>16</v>
      </c>
      <c r="AH272" s="1" t="s">
        <v>17</v>
      </c>
      <c r="AI272" s="1" t="s">
        <v>32</v>
      </c>
      <c r="AJ272" s="1" t="s">
        <v>18</v>
      </c>
      <c r="AK272" s="1" t="s">
        <v>28</v>
      </c>
      <c r="AL272" s="1" t="s">
        <v>19</v>
      </c>
      <c r="AM272" s="1" t="s">
        <v>29</v>
      </c>
      <c r="AN272" s="1" t="s">
        <v>14</v>
      </c>
      <c r="AO272" s="1" t="s">
        <v>51</v>
      </c>
      <c r="AP272" s="1" t="s">
        <v>50</v>
      </c>
      <c r="AQ272" s="1" t="s">
        <v>20</v>
      </c>
      <c r="AR272" s="1" t="s">
        <v>15</v>
      </c>
    </row>
    <row r="273">
      <c r="B273" s="1" t="b">
        <v>0</v>
      </c>
      <c r="C273" s="1" t="b">
        <v>1</v>
      </c>
      <c r="D273" s="1" t="b">
        <v>0</v>
      </c>
      <c r="E273" s="1" t="b">
        <v>0</v>
      </c>
      <c r="F273" s="1" t="b">
        <v>0</v>
      </c>
      <c r="G273" s="1" t="b">
        <v>1</v>
      </c>
      <c r="H273" s="1" t="b">
        <v>0</v>
      </c>
      <c r="I273" s="1" t="b">
        <v>1</v>
      </c>
      <c r="J273" s="1" t="b">
        <v>0</v>
      </c>
      <c r="K273" s="1" t="b">
        <v>0</v>
      </c>
      <c r="L273" s="1" t="b">
        <v>0</v>
      </c>
      <c r="M273" s="1" t="b">
        <v>0</v>
      </c>
      <c r="N273" s="1" t="b">
        <v>1</v>
      </c>
      <c r="O273" s="1" t="b">
        <v>0</v>
      </c>
      <c r="P273" s="1" t="b">
        <v>1</v>
      </c>
      <c r="Q273" s="1" t="b">
        <v>0</v>
      </c>
      <c r="R273" s="1" t="b">
        <v>0</v>
      </c>
      <c r="S273" s="1" t="b">
        <v>1</v>
      </c>
      <c r="T273" s="1" t="b">
        <v>0</v>
      </c>
      <c r="U273" s="1" t="b">
        <v>0</v>
      </c>
      <c r="V273" s="1" t="b">
        <v>1</v>
      </c>
      <c r="W273" s="1" t="b">
        <v>0</v>
      </c>
      <c r="X273" s="1" t="b">
        <v>0</v>
      </c>
      <c r="Y273" s="1" t="b">
        <v>0</v>
      </c>
      <c r="Z273" s="1" t="b">
        <v>0</v>
      </c>
      <c r="AA273" s="1" t="b">
        <v>0</v>
      </c>
      <c r="AB273" s="1" t="b">
        <v>0</v>
      </c>
      <c r="AC273" s="1" t="b">
        <v>0</v>
      </c>
      <c r="AD273" s="1" t="b">
        <v>0</v>
      </c>
      <c r="AE273" s="1" t="b">
        <v>0</v>
      </c>
      <c r="AF273" s="1" t="b">
        <v>0</v>
      </c>
      <c r="AG273" s="1" t="b">
        <v>0</v>
      </c>
      <c r="AH273" s="1" t="b">
        <v>0</v>
      </c>
      <c r="AI273" s="1" t="b">
        <v>0</v>
      </c>
      <c r="AJ273" s="1" t="b">
        <v>0</v>
      </c>
      <c r="AK273" s="1" t="b">
        <v>0</v>
      </c>
      <c r="AL273" s="1" t="b">
        <v>1</v>
      </c>
      <c r="AM273" s="1" t="b">
        <v>0</v>
      </c>
      <c r="AN273" s="1" t="b">
        <v>0</v>
      </c>
      <c r="AO273" s="1" t="b">
        <v>0</v>
      </c>
      <c r="AP273" s="1" t="b">
        <v>0</v>
      </c>
      <c r="AQ273" s="1" t="b">
        <v>1</v>
      </c>
      <c r="AR273" s="1" t="b">
        <v>0</v>
      </c>
      <c r="AS273" s="1" t="b">
        <v>0</v>
      </c>
      <c r="AT273" s="1" t="b">
        <v>0</v>
      </c>
      <c r="AU273" s="1" t="b">
        <v>0</v>
      </c>
      <c r="AV273" s="1" t="b">
        <v>0</v>
      </c>
      <c r="AW273" s="1" t="b">
        <v>0</v>
      </c>
      <c r="AX273" s="1" t="b">
        <v>0</v>
      </c>
      <c r="AY273" s="1" t="b">
        <v>0</v>
      </c>
    </row>
    <row r="274">
      <c r="A274" s="2" t="s">
        <v>53</v>
      </c>
      <c r="Y274" s="1">
        <v>0.0</v>
      </c>
    </row>
    <row r="275">
      <c r="A275" s="2" t="s">
        <v>54</v>
      </c>
      <c r="Y275" s="1">
        <v>0.0</v>
      </c>
    </row>
    <row r="276">
      <c r="A276" s="2" t="s">
        <v>55</v>
      </c>
      <c r="C276" s="1">
        <v>4.0</v>
      </c>
      <c r="Y276" s="1">
        <v>0.0</v>
      </c>
    </row>
    <row r="277">
      <c r="A277" s="2" t="s">
        <v>56</v>
      </c>
      <c r="G277" s="1">
        <v>4.0</v>
      </c>
      <c r="Y277" s="1">
        <v>0.0</v>
      </c>
    </row>
    <row r="278">
      <c r="A278" s="2" t="s">
        <v>57</v>
      </c>
      <c r="Y278" s="1">
        <v>0.0</v>
      </c>
    </row>
    <row r="279">
      <c r="A279" s="2" t="s">
        <v>58</v>
      </c>
      <c r="Y279" s="1">
        <v>0.0</v>
      </c>
    </row>
    <row r="280">
      <c r="A280" s="2" t="s">
        <v>53</v>
      </c>
      <c r="C280" s="1">
        <v>4.0</v>
      </c>
      <c r="Y280" s="1">
        <v>0.0</v>
      </c>
    </row>
    <row r="281">
      <c r="A281" s="2" t="s">
        <v>54</v>
      </c>
      <c r="C281" s="1">
        <v>4.0</v>
      </c>
      <c r="Y281" s="1">
        <v>0.0</v>
      </c>
    </row>
    <row r="282">
      <c r="A282" s="2" t="s">
        <v>55</v>
      </c>
      <c r="S282" s="1">
        <v>4.0</v>
      </c>
      <c r="Y282" s="1">
        <v>0.0</v>
      </c>
    </row>
    <row r="283">
      <c r="A283" s="2" t="s">
        <v>56</v>
      </c>
      <c r="C283" s="1">
        <v>4.0</v>
      </c>
      <c r="Y283" s="1">
        <v>0.0</v>
      </c>
      <c r="AQ283" s="1">
        <v>-4.0</v>
      </c>
    </row>
    <row r="284">
      <c r="A284" s="2" t="s">
        <v>57</v>
      </c>
      <c r="Y284" s="1">
        <v>0.0</v>
      </c>
      <c r="AL284" s="1">
        <v>4.0</v>
      </c>
    </row>
    <row r="285">
      <c r="A285" s="2" t="s">
        <v>58</v>
      </c>
      <c r="Y285" s="1">
        <v>0.0</v>
      </c>
    </row>
    <row r="286">
      <c r="B286" s="1" t="b">
        <v>0</v>
      </c>
      <c r="C286" s="1" t="b">
        <v>1</v>
      </c>
      <c r="D286" s="1" t="b">
        <v>0</v>
      </c>
      <c r="E286" s="1" t="b">
        <v>0</v>
      </c>
      <c r="F286" s="1" t="b">
        <v>0</v>
      </c>
      <c r="G286" s="1" t="b">
        <v>1</v>
      </c>
      <c r="H286" s="1" t="b">
        <v>0</v>
      </c>
      <c r="I286" s="1" t="b">
        <v>1</v>
      </c>
      <c r="J286" s="1" t="b">
        <v>0</v>
      </c>
      <c r="K286" s="1" t="b">
        <v>0</v>
      </c>
      <c r="L286" s="1" t="b">
        <v>0</v>
      </c>
      <c r="M286" s="1" t="b">
        <v>0</v>
      </c>
      <c r="N286" s="1" t="b">
        <v>1</v>
      </c>
      <c r="O286" s="1" t="b">
        <v>0</v>
      </c>
      <c r="P286" s="1" t="b">
        <v>1</v>
      </c>
      <c r="Q286" s="1" t="b">
        <v>0</v>
      </c>
      <c r="R286" s="1" t="b">
        <v>0</v>
      </c>
      <c r="S286" s="1" t="b">
        <v>1</v>
      </c>
      <c r="T286" s="1" t="b">
        <v>0</v>
      </c>
      <c r="U286" s="1" t="b">
        <v>0</v>
      </c>
      <c r="V286" s="1" t="b">
        <v>1</v>
      </c>
      <c r="W286" s="1" t="b">
        <v>0</v>
      </c>
      <c r="X286" s="1" t="b">
        <v>0</v>
      </c>
      <c r="Y286" s="1" t="b">
        <v>0</v>
      </c>
      <c r="Z286" s="1" t="b">
        <v>0</v>
      </c>
      <c r="AA286" s="1" t="b">
        <v>0</v>
      </c>
      <c r="AB286" s="1" t="b">
        <v>0</v>
      </c>
      <c r="AC286" s="1" t="b">
        <v>0</v>
      </c>
      <c r="AD286" s="1" t="b">
        <v>0</v>
      </c>
      <c r="AE286" s="1" t="b">
        <v>0</v>
      </c>
      <c r="AF286" s="1" t="b">
        <v>0</v>
      </c>
      <c r="AG286" s="1" t="b">
        <v>0</v>
      </c>
      <c r="AH286" s="1" t="b">
        <v>0</v>
      </c>
      <c r="AI286" s="1" t="b">
        <v>0</v>
      </c>
      <c r="AJ286" s="1" t="b">
        <v>0</v>
      </c>
      <c r="AK286" s="1" t="b">
        <v>0</v>
      </c>
      <c r="AL286" s="1" t="b">
        <v>1</v>
      </c>
      <c r="AM286" s="1" t="b">
        <v>0</v>
      </c>
      <c r="AN286" s="1" t="b">
        <v>0</v>
      </c>
      <c r="AO286" s="1" t="b">
        <v>0</v>
      </c>
      <c r="AP286" s="1" t="b">
        <v>0</v>
      </c>
      <c r="AQ286" s="1" t="b">
        <v>1</v>
      </c>
      <c r="AR286" s="1" t="b">
        <v>0</v>
      </c>
      <c r="AS286" s="1" t="b">
        <v>0</v>
      </c>
      <c r="AT286" s="1" t="b">
        <v>0</v>
      </c>
      <c r="AU286" s="1" t="b">
        <v>0</v>
      </c>
      <c r="AV286" s="1" t="b">
        <v>0</v>
      </c>
      <c r="AW286" s="1" t="b">
        <v>0</v>
      </c>
      <c r="AX286" s="1" t="b">
        <v>0</v>
      </c>
      <c r="AY286" s="1" t="b">
        <v>0</v>
      </c>
    </row>
    <row r="287">
      <c r="A287" s="2" t="s">
        <v>53</v>
      </c>
      <c r="C287" s="1">
        <v>4.0</v>
      </c>
      <c r="Y287" s="1">
        <v>0.0</v>
      </c>
    </row>
    <row r="288">
      <c r="A288" s="2" t="s">
        <v>54</v>
      </c>
      <c r="S288" s="1">
        <v>4.0</v>
      </c>
      <c r="Y288" s="1">
        <v>0.0</v>
      </c>
    </row>
    <row r="289">
      <c r="A289" s="2" t="s">
        <v>55</v>
      </c>
      <c r="I289" s="1">
        <v>4.0</v>
      </c>
      <c r="Y289" s="1">
        <v>0.0</v>
      </c>
    </row>
    <row r="290">
      <c r="A290" s="2" t="s">
        <v>56</v>
      </c>
      <c r="Y290" s="1">
        <v>0.0</v>
      </c>
    </row>
    <row r="291">
      <c r="A291" s="2" t="s">
        <v>57</v>
      </c>
      <c r="Y291" s="1">
        <v>0.0</v>
      </c>
    </row>
    <row r="292">
      <c r="A292" s="2" t="s">
        <v>58</v>
      </c>
      <c r="Y292" s="1">
        <v>0.0</v>
      </c>
    </row>
    <row r="293">
      <c r="A293" s="2" t="s">
        <v>53</v>
      </c>
      <c r="V293" s="1">
        <v>4.0</v>
      </c>
      <c r="Y293" s="1">
        <v>0.0</v>
      </c>
    </row>
    <row r="294">
      <c r="A294" s="2" t="s">
        <v>54</v>
      </c>
      <c r="Y294" s="1">
        <v>0.0</v>
      </c>
      <c r="AL294" s="1">
        <v>4.0</v>
      </c>
    </row>
    <row r="295">
      <c r="A295" s="2" t="s">
        <v>55</v>
      </c>
      <c r="I295" s="1">
        <v>4.0</v>
      </c>
      <c r="Y295" s="1">
        <v>0.0</v>
      </c>
    </row>
    <row r="296">
      <c r="A296" s="2" t="s">
        <v>56</v>
      </c>
      <c r="G296" s="1">
        <v>4.0</v>
      </c>
      <c r="Y296" s="1">
        <v>0.0</v>
      </c>
    </row>
    <row r="297">
      <c r="A297" s="2" t="s">
        <v>57</v>
      </c>
      <c r="C297" s="1">
        <v>4.0</v>
      </c>
      <c r="Y297" s="1">
        <v>0.0</v>
      </c>
    </row>
    <row r="298">
      <c r="A298" s="2" t="s">
        <v>58</v>
      </c>
      <c r="S298" s="1">
        <v>4.0</v>
      </c>
      <c r="Y298" s="1">
        <v>0.0</v>
      </c>
    </row>
    <row r="301">
      <c r="B301" s="1" t="s">
        <v>0</v>
      </c>
      <c r="C301" s="1" t="s">
        <v>2</v>
      </c>
      <c r="D301" s="1" t="s">
        <v>3</v>
      </c>
      <c r="E301" s="1" t="s">
        <v>0</v>
      </c>
      <c r="F301" s="1" t="s">
        <v>5</v>
      </c>
      <c r="G301" s="1" t="s">
        <v>2</v>
      </c>
      <c r="H301" s="1" t="s">
        <v>7</v>
      </c>
      <c r="I301" s="4" t="s">
        <v>6</v>
      </c>
      <c r="J301" s="1" t="s">
        <v>5</v>
      </c>
      <c r="K301" s="1" t="s">
        <v>9</v>
      </c>
      <c r="L301" s="1" t="s">
        <v>3</v>
      </c>
      <c r="M301" s="1" t="s">
        <v>8</v>
      </c>
      <c r="N301" s="1" t="s">
        <v>2</v>
      </c>
      <c r="O301" s="1" t="s">
        <v>9</v>
      </c>
      <c r="P301" s="1" t="s">
        <v>6</v>
      </c>
      <c r="Q301" s="1" t="s">
        <v>3</v>
      </c>
      <c r="R301" s="1" t="s">
        <v>9</v>
      </c>
      <c r="S301" s="1" t="s">
        <v>6</v>
      </c>
      <c r="T301" s="1" t="s">
        <v>9</v>
      </c>
      <c r="U301" s="1" t="s">
        <v>1</v>
      </c>
      <c r="V301" s="1" t="s">
        <v>2</v>
      </c>
      <c r="W301" s="1" t="s">
        <v>8</v>
      </c>
      <c r="X301" s="1" t="s">
        <v>0</v>
      </c>
      <c r="Y301" s="1" t="s">
        <v>2</v>
      </c>
      <c r="Z301" s="1" t="s">
        <v>7</v>
      </c>
      <c r="AA301" s="1" t="s">
        <v>0</v>
      </c>
      <c r="AB301" s="1" t="s">
        <v>7</v>
      </c>
      <c r="AC301" s="1" t="s">
        <v>9</v>
      </c>
      <c r="AD301" s="1" t="s">
        <v>7</v>
      </c>
      <c r="AE301" s="1" t="s">
        <v>1</v>
      </c>
      <c r="AF301" s="2" t="s">
        <v>0</v>
      </c>
      <c r="AG301" s="1" t="s">
        <v>4</v>
      </c>
      <c r="AH301" s="1" t="s">
        <v>4</v>
      </c>
      <c r="AI301" s="1" t="s">
        <v>8</v>
      </c>
      <c r="AJ301" s="1" t="s">
        <v>4</v>
      </c>
      <c r="AK301" s="1" t="s">
        <v>7</v>
      </c>
      <c r="AL301" s="1" t="s">
        <v>6</v>
      </c>
      <c r="AM301" s="1" t="s">
        <v>8</v>
      </c>
      <c r="AN301" s="1" t="s">
        <v>4</v>
      </c>
      <c r="AO301" s="1" t="s">
        <v>5</v>
      </c>
      <c r="AP301" s="1" t="s">
        <v>5</v>
      </c>
      <c r="AQ301" s="1" t="s">
        <v>6</v>
      </c>
      <c r="AR301" s="1" t="s">
        <v>4</v>
      </c>
      <c r="AS301" s="1" t="s">
        <v>5</v>
      </c>
      <c r="AT301" s="1" t="s">
        <v>1</v>
      </c>
      <c r="AU301" s="1" t="s">
        <v>1</v>
      </c>
      <c r="AV301" s="1" t="s">
        <v>1</v>
      </c>
      <c r="AW301" s="1" t="s">
        <v>3</v>
      </c>
      <c r="AX301" s="1" t="s">
        <v>3</v>
      </c>
      <c r="AY301" s="1" t="s">
        <v>8</v>
      </c>
    </row>
    <row r="302">
      <c r="B302" s="1" t="s">
        <v>46</v>
      </c>
      <c r="C302" s="1" t="s">
        <v>35</v>
      </c>
      <c r="D302" s="1" t="s">
        <v>47</v>
      </c>
      <c r="E302" s="1" t="s">
        <v>43</v>
      </c>
      <c r="F302" s="1" t="s">
        <v>52</v>
      </c>
      <c r="G302" s="1" t="s">
        <v>34</v>
      </c>
      <c r="H302" s="1" t="s">
        <v>26</v>
      </c>
      <c r="I302" s="4" t="s">
        <v>21</v>
      </c>
      <c r="J302" s="1" t="s">
        <v>21</v>
      </c>
      <c r="K302" s="1" t="s">
        <v>39</v>
      </c>
      <c r="L302" s="1" t="s">
        <v>48</v>
      </c>
      <c r="M302" s="1" t="s">
        <v>30</v>
      </c>
      <c r="N302" s="1" t="s">
        <v>36</v>
      </c>
      <c r="O302" s="1" t="s">
        <v>40</v>
      </c>
      <c r="P302" s="1" t="s">
        <v>23</v>
      </c>
      <c r="Q302" s="1" t="s">
        <v>49</v>
      </c>
      <c r="R302" s="1" t="s">
        <v>42</v>
      </c>
      <c r="S302" s="1" t="s">
        <v>22</v>
      </c>
      <c r="T302" s="1" t="s">
        <v>41</v>
      </c>
      <c r="U302" s="1" t="s">
        <v>13</v>
      </c>
      <c r="V302" s="1" t="s">
        <v>33</v>
      </c>
      <c r="W302" s="1" t="s">
        <v>31</v>
      </c>
      <c r="X302" s="1" t="s">
        <v>45</v>
      </c>
      <c r="Y302" s="1" t="s">
        <v>37</v>
      </c>
      <c r="Z302" s="1" t="s">
        <v>25</v>
      </c>
      <c r="AA302" s="1" t="s">
        <v>44</v>
      </c>
      <c r="AB302" s="1" t="s">
        <v>24</v>
      </c>
      <c r="AC302" s="1" t="s">
        <v>38</v>
      </c>
      <c r="AD302" s="1" t="s">
        <v>27</v>
      </c>
      <c r="AE302" s="1" t="s">
        <v>12</v>
      </c>
      <c r="AF302" s="1" t="s">
        <v>12</v>
      </c>
      <c r="AG302" s="1" t="s">
        <v>16</v>
      </c>
      <c r="AH302" s="1" t="s">
        <v>17</v>
      </c>
      <c r="AI302" s="1" t="s">
        <v>32</v>
      </c>
      <c r="AJ302" s="1" t="s">
        <v>18</v>
      </c>
      <c r="AK302" s="1" t="s">
        <v>28</v>
      </c>
      <c r="AL302" s="1" t="s">
        <v>19</v>
      </c>
      <c r="AM302" s="1" t="s">
        <v>29</v>
      </c>
      <c r="AN302" s="1" t="s">
        <v>14</v>
      </c>
      <c r="AO302" s="1" t="s">
        <v>51</v>
      </c>
      <c r="AP302" s="1" t="s">
        <v>50</v>
      </c>
      <c r="AQ302" s="1" t="s">
        <v>20</v>
      </c>
      <c r="AR302" s="1" t="s">
        <v>15</v>
      </c>
    </row>
    <row r="303">
      <c r="B303" s="1" t="b">
        <v>0</v>
      </c>
      <c r="C303" s="1" t="b">
        <v>1</v>
      </c>
      <c r="D303" s="1" t="b">
        <v>0</v>
      </c>
      <c r="E303" s="1" t="b">
        <v>0</v>
      </c>
      <c r="F303" s="1" t="b">
        <v>1</v>
      </c>
      <c r="G303" s="1" t="b">
        <v>1</v>
      </c>
      <c r="H303" s="1" t="b">
        <v>0</v>
      </c>
      <c r="I303" s="6" t="b">
        <v>0</v>
      </c>
      <c r="J303" s="1" t="b">
        <v>1</v>
      </c>
      <c r="K303" s="1" t="b">
        <v>0</v>
      </c>
      <c r="L303" s="1" t="b">
        <v>0</v>
      </c>
      <c r="M303" s="1" t="b">
        <v>0</v>
      </c>
      <c r="N303" s="1" t="b">
        <v>1</v>
      </c>
      <c r="O303" s="1" t="b">
        <v>0</v>
      </c>
      <c r="P303" s="1" t="b">
        <v>0</v>
      </c>
      <c r="Q303" s="1" t="b">
        <v>0</v>
      </c>
      <c r="R303" s="1" t="b">
        <v>0</v>
      </c>
      <c r="S303" s="1" t="b">
        <v>0</v>
      </c>
      <c r="T303" s="1" t="b">
        <v>0</v>
      </c>
      <c r="U303" s="1" t="b">
        <v>0</v>
      </c>
      <c r="V303" s="1" t="b">
        <v>1</v>
      </c>
      <c r="W303" s="1" t="b">
        <v>0</v>
      </c>
      <c r="X303" s="1" t="b">
        <v>0</v>
      </c>
      <c r="Y303" s="1" t="b">
        <v>0</v>
      </c>
      <c r="Z303" s="1" t="b">
        <v>0</v>
      </c>
      <c r="AA303" s="1" t="b">
        <v>0</v>
      </c>
      <c r="AB303" s="1" t="b">
        <v>0</v>
      </c>
      <c r="AC303" s="1" t="b">
        <v>0</v>
      </c>
      <c r="AD303" s="1" t="b">
        <v>0</v>
      </c>
      <c r="AE303" s="1" t="b">
        <v>0</v>
      </c>
      <c r="AF303" s="1" t="b">
        <v>0</v>
      </c>
      <c r="AG303" s="1" t="b">
        <v>0</v>
      </c>
      <c r="AH303" s="1" t="b">
        <v>0</v>
      </c>
      <c r="AI303" s="1" t="b">
        <v>0</v>
      </c>
      <c r="AJ303" s="1" t="b">
        <v>0</v>
      </c>
      <c r="AK303" s="1" t="b">
        <v>0</v>
      </c>
      <c r="AL303" s="1" t="b">
        <v>0</v>
      </c>
      <c r="AM303" s="1" t="b">
        <v>0</v>
      </c>
      <c r="AN303" s="1" t="b">
        <v>0</v>
      </c>
      <c r="AO303" s="1" t="b">
        <v>1</v>
      </c>
      <c r="AP303" s="1" t="b">
        <v>1</v>
      </c>
      <c r="AQ303" s="1" t="b">
        <v>0</v>
      </c>
      <c r="AR303" s="1" t="b">
        <v>0</v>
      </c>
      <c r="AS303" s="1" t="b">
        <v>0</v>
      </c>
      <c r="AT303" s="1" t="b">
        <v>0</v>
      </c>
      <c r="AU303" s="1" t="b">
        <v>0</v>
      </c>
      <c r="AV303" s="1" t="b">
        <v>0</v>
      </c>
      <c r="AW303" s="1" t="b">
        <v>0</v>
      </c>
      <c r="AX303" s="1" t="b">
        <v>0</v>
      </c>
      <c r="AY303" s="1" t="b">
        <v>0</v>
      </c>
    </row>
    <row r="304">
      <c r="A304" s="2" t="s">
        <v>53</v>
      </c>
      <c r="I304" s="4"/>
      <c r="Y304" s="1">
        <v>0.0</v>
      </c>
      <c r="AS304" s="1">
        <v>0.0</v>
      </c>
    </row>
    <row r="305">
      <c r="A305" s="2" t="s">
        <v>54</v>
      </c>
      <c r="I305" s="4"/>
      <c r="Y305" s="1">
        <v>0.0</v>
      </c>
      <c r="AS305" s="1">
        <v>0.0</v>
      </c>
    </row>
    <row r="306">
      <c r="A306" s="2" t="s">
        <v>55</v>
      </c>
      <c r="I306" s="4"/>
      <c r="Y306" s="1">
        <v>0.0</v>
      </c>
      <c r="AS306" s="1">
        <v>0.0</v>
      </c>
    </row>
    <row r="307">
      <c r="A307" s="2" t="s">
        <v>56</v>
      </c>
      <c r="I307" s="4"/>
      <c r="Y307" s="1">
        <v>0.0</v>
      </c>
      <c r="AP307" s="1">
        <v>4.0</v>
      </c>
      <c r="AS307" s="1">
        <v>0.0</v>
      </c>
    </row>
    <row r="308">
      <c r="A308" s="2" t="s">
        <v>57</v>
      </c>
      <c r="I308" s="4"/>
      <c r="V308" s="1">
        <v>4.0</v>
      </c>
      <c r="Y308" s="1">
        <v>0.0</v>
      </c>
      <c r="AS308" s="1">
        <v>0.0</v>
      </c>
    </row>
    <row r="309">
      <c r="A309" s="2" t="s">
        <v>58</v>
      </c>
      <c r="F309" s="1">
        <v>4.0</v>
      </c>
      <c r="I309" s="4"/>
      <c r="Y309" s="1">
        <v>0.0</v>
      </c>
      <c r="AS309" s="1">
        <v>0.0</v>
      </c>
    </row>
    <row r="310">
      <c r="A310" s="2" t="s">
        <v>53</v>
      </c>
      <c r="I310" s="4"/>
      <c r="N310" s="1">
        <v>4.0</v>
      </c>
      <c r="Y310" s="1">
        <v>0.0</v>
      </c>
      <c r="AS310" s="1">
        <v>0.0</v>
      </c>
    </row>
    <row r="311">
      <c r="A311" s="2" t="s">
        <v>54</v>
      </c>
      <c r="I311" s="4"/>
      <c r="Y311" s="1">
        <v>0.0</v>
      </c>
      <c r="AO311" s="1">
        <v>4.0</v>
      </c>
      <c r="AS311" s="1">
        <v>0.0</v>
      </c>
    </row>
    <row r="312">
      <c r="A312" s="2" t="s">
        <v>55</v>
      </c>
      <c r="F312" s="1">
        <v>4.0</v>
      </c>
      <c r="I312" s="4"/>
      <c r="Y312" s="1">
        <v>0.0</v>
      </c>
      <c r="AS312" s="1">
        <v>0.0</v>
      </c>
    </row>
    <row r="313">
      <c r="A313" s="2" t="s">
        <v>56</v>
      </c>
      <c r="F313" s="1">
        <v>4.0</v>
      </c>
      <c r="I313" s="4"/>
      <c r="Y313" s="1">
        <v>0.0</v>
      </c>
      <c r="AS313" s="1">
        <v>0.0</v>
      </c>
    </row>
    <row r="314">
      <c r="A314" s="2" t="s">
        <v>57</v>
      </c>
      <c r="C314" s="1">
        <v>4.0</v>
      </c>
      <c r="I314" s="4"/>
      <c r="Y314" s="1">
        <v>0.0</v>
      </c>
      <c r="AS314" s="1">
        <v>0.0</v>
      </c>
    </row>
    <row r="315">
      <c r="A315" s="2" t="s">
        <v>58</v>
      </c>
      <c r="I315" s="4"/>
      <c r="Y315" s="1">
        <v>0.0</v>
      </c>
      <c r="AS315" s="1">
        <v>0.0</v>
      </c>
    </row>
    <row r="316">
      <c r="B316" s="1" t="b">
        <v>0</v>
      </c>
      <c r="C316" s="1" t="b">
        <v>1</v>
      </c>
      <c r="D316" s="1" t="b">
        <v>0</v>
      </c>
      <c r="E316" s="1" t="b">
        <v>0</v>
      </c>
      <c r="F316" s="1" t="b">
        <v>1</v>
      </c>
      <c r="G316" s="1" t="b">
        <v>1</v>
      </c>
      <c r="H316" s="1" t="b">
        <v>0</v>
      </c>
      <c r="I316" s="6" t="b">
        <v>0</v>
      </c>
      <c r="J316" s="1" t="b">
        <v>1</v>
      </c>
      <c r="K316" s="1" t="b">
        <v>0</v>
      </c>
      <c r="L316" s="1" t="b">
        <v>0</v>
      </c>
      <c r="M316" s="1" t="b">
        <v>0</v>
      </c>
      <c r="N316" s="1" t="b">
        <v>1</v>
      </c>
      <c r="O316" s="1" t="b">
        <v>0</v>
      </c>
      <c r="P316" s="1" t="b">
        <v>0</v>
      </c>
      <c r="Q316" s="1" t="b">
        <v>0</v>
      </c>
      <c r="R316" s="1" t="b">
        <v>0</v>
      </c>
      <c r="S316" s="1" t="b">
        <v>0</v>
      </c>
      <c r="T316" s="1" t="b">
        <v>0</v>
      </c>
      <c r="U316" s="1" t="b">
        <v>0</v>
      </c>
      <c r="V316" s="1" t="b">
        <v>1</v>
      </c>
      <c r="W316" s="1" t="b">
        <v>0</v>
      </c>
      <c r="X316" s="1" t="b">
        <v>0</v>
      </c>
      <c r="Y316" s="1" t="b">
        <v>0</v>
      </c>
      <c r="Z316" s="1" t="b">
        <v>0</v>
      </c>
      <c r="AA316" s="1" t="b">
        <v>0</v>
      </c>
      <c r="AB316" s="1" t="b">
        <v>0</v>
      </c>
      <c r="AC316" s="1" t="b">
        <v>0</v>
      </c>
      <c r="AD316" s="1" t="b">
        <v>0</v>
      </c>
      <c r="AE316" s="1" t="b">
        <v>0</v>
      </c>
      <c r="AF316" s="1" t="b">
        <v>0</v>
      </c>
      <c r="AG316" s="1" t="b">
        <v>0</v>
      </c>
      <c r="AH316" s="1" t="b">
        <v>0</v>
      </c>
      <c r="AI316" s="1" t="b">
        <v>0</v>
      </c>
      <c r="AJ316" s="1" t="b">
        <v>0</v>
      </c>
      <c r="AK316" s="1" t="b">
        <v>0</v>
      </c>
      <c r="AL316" s="1" t="b">
        <v>0</v>
      </c>
      <c r="AM316" s="1" t="b">
        <v>0</v>
      </c>
      <c r="AN316" s="1" t="b">
        <v>0</v>
      </c>
      <c r="AO316" s="1" t="b">
        <v>1</v>
      </c>
      <c r="AP316" s="1" t="b">
        <v>1</v>
      </c>
      <c r="AQ316" s="1" t="b">
        <v>0</v>
      </c>
      <c r="AR316" s="1" t="b">
        <v>0</v>
      </c>
      <c r="AS316" s="1" t="b">
        <v>0</v>
      </c>
      <c r="AT316" s="1" t="b">
        <v>0</v>
      </c>
      <c r="AU316" s="1" t="b">
        <v>0</v>
      </c>
      <c r="AV316" s="1" t="b">
        <v>0</v>
      </c>
      <c r="AW316" s="1" t="b">
        <v>0</v>
      </c>
      <c r="AX316" s="1" t="b">
        <v>0</v>
      </c>
      <c r="AY316" s="1" t="b">
        <v>0</v>
      </c>
    </row>
    <row r="317">
      <c r="A317" s="2" t="s">
        <v>53</v>
      </c>
      <c r="I317" s="4"/>
      <c r="Y317" s="1">
        <v>0.0</v>
      </c>
      <c r="AS317" s="1">
        <v>0.0</v>
      </c>
    </row>
    <row r="318">
      <c r="A318" s="2" t="s">
        <v>54</v>
      </c>
      <c r="F318" s="1">
        <v>4.0</v>
      </c>
      <c r="I318" s="4"/>
      <c r="Y318" s="1">
        <v>0.0</v>
      </c>
      <c r="AS318" s="1">
        <v>0.0</v>
      </c>
    </row>
    <row r="319">
      <c r="A319" s="2" t="s">
        <v>55</v>
      </c>
      <c r="F319" s="1">
        <v>4.0</v>
      </c>
      <c r="I319" s="4"/>
      <c r="Y319" s="1">
        <v>0.0</v>
      </c>
      <c r="AS319" s="1">
        <v>0.0</v>
      </c>
    </row>
    <row r="320">
      <c r="A320" s="2" t="s">
        <v>56</v>
      </c>
      <c r="G320" s="1">
        <v>4.0</v>
      </c>
      <c r="I320" s="4"/>
      <c r="J320" s="1">
        <v>-4.0</v>
      </c>
      <c r="Y320" s="1">
        <v>0.0</v>
      </c>
      <c r="AS320" s="1">
        <v>0.0</v>
      </c>
    </row>
    <row r="321">
      <c r="A321" s="2" t="s">
        <v>57</v>
      </c>
      <c r="Y321" s="1">
        <v>0.0</v>
      </c>
      <c r="AS321" s="1">
        <v>0.0</v>
      </c>
    </row>
    <row r="322">
      <c r="A322" s="2" t="s">
        <v>58</v>
      </c>
      <c r="Y322" s="1">
        <v>0.0</v>
      </c>
      <c r="AS322" s="1">
        <v>0.0</v>
      </c>
    </row>
    <row r="323">
      <c r="A323" s="2" t="s">
        <v>53</v>
      </c>
      <c r="Y323" s="1">
        <v>0.0</v>
      </c>
      <c r="AP323" s="1">
        <v>4.0</v>
      </c>
      <c r="AS323" s="1">
        <v>0.0</v>
      </c>
    </row>
    <row r="324">
      <c r="A324" s="2" t="s">
        <v>54</v>
      </c>
      <c r="C324" s="1">
        <v>4.0</v>
      </c>
      <c r="Y324" s="1">
        <v>0.0</v>
      </c>
      <c r="AS324" s="1">
        <v>0.0</v>
      </c>
    </row>
    <row r="325">
      <c r="A325" s="2" t="s">
        <v>55</v>
      </c>
      <c r="F325" s="1">
        <v>4.0</v>
      </c>
      <c r="Y325" s="1">
        <v>0.0</v>
      </c>
      <c r="AS325" s="1">
        <v>0.0</v>
      </c>
    </row>
    <row r="326">
      <c r="A326" s="2" t="s">
        <v>56</v>
      </c>
      <c r="F326" s="1">
        <v>4.0</v>
      </c>
      <c r="Y326" s="1">
        <v>0.0</v>
      </c>
      <c r="AS326" s="1">
        <v>0.0</v>
      </c>
    </row>
    <row r="327">
      <c r="A327" s="2" t="s">
        <v>57</v>
      </c>
      <c r="C327" s="1">
        <v>4.0</v>
      </c>
      <c r="F327" s="1">
        <v>-4.0</v>
      </c>
      <c r="Y327" s="1">
        <v>0.0</v>
      </c>
      <c r="AS327" s="1">
        <v>0.0</v>
      </c>
    </row>
    <row r="328">
      <c r="A328" s="2" t="s">
        <v>58</v>
      </c>
      <c r="Y328" s="1">
        <v>0.0</v>
      </c>
      <c r="AS328" s="1">
        <v>0.0</v>
      </c>
    </row>
    <row r="331">
      <c r="A331" s="8" t="s">
        <v>59</v>
      </c>
      <c r="B331" s="14" t="s">
        <v>46</v>
      </c>
      <c r="C331" s="14" t="s">
        <v>35</v>
      </c>
      <c r="D331" s="14" t="s">
        <v>47</v>
      </c>
      <c r="E331" s="14" t="s">
        <v>43</v>
      </c>
      <c r="F331" s="14" t="s">
        <v>52</v>
      </c>
      <c r="G331" s="14" t="s">
        <v>34</v>
      </c>
      <c r="H331" s="14" t="s">
        <v>26</v>
      </c>
      <c r="I331" s="14" t="s">
        <v>21</v>
      </c>
      <c r="J331" s="14" t="s">
        <v>21</v>
      </c>
      <c r="K331" s="14" t="s">
        <v>39</v>
      </c>
      <c r="L331" s="14" t="s">
        <v>48</v>
      </c>
      <c r="M331" s="14" t="s">
        <v>30</v>
      </c>
      <c r="N331" s="14" t="s">
        <v>36</v>
      </c>
      <c r="O331" s="14" t="s">
        <v>40</v>
      </c>
      <c r="P331" s="14" t="s">
        <v>23</v>
      </c>
      <c r="Q331" s="14" t="s">
        <v>49</v>
      </c>
      <c r="R331" s="14" t="s">
        <v>42</v>
      </c>
      <c r="S331" s="14" t="s">
        <v>22</v>
      </c>
      <c r="T331" s="14" t="s">
        <v>41</v>
      </c>
      <c r="U331" s="14" t="s">
        <v>13</v>
      </c>
      <c r="V331" s="14" t="s">
        <v>33</v>
      </c>
      <c r="W331" s="14" t="s">
        <v>31</v>
      </c>
      <c r="X331" s="14" t="s">
        <v>45</v>
      </c>
      <c r="Y331" s="14"/>
      <c r="Z331" s="14" t="s">
        <v>25</v>
      </c>
      <c r="AA331" s="14" t="s">
        <v>44</v>
      </c>
      <c r="AB331" s="14" t="s">
        <v>24</v>
      </c>
      <c r="AC331" s="14" t="s">
        <v>38</v>
      </c>
      <c r="AD331" s="14" t="s">
        <v>27</v>
      </c>
      <c r="AE331" s="14" t="s">
        <v>12</v>
      </c>
      <c r="AF331" s="14" t="s">
        <v>12</v>
      </c>
      <c r="AG331" s="14" t="s">
        <v>16</v>
      </c>
      <c r="AH331" s="14" t="s">
        <v>17</v>
      </c>
      <c r="AI331" s="14" t="s">
        <v>32</v>
      </c>
      <c r="AJ331" s="14" t="s">
        <v>18</v>
      </c>
      <c r="AK331" s="14" t="s">
        <v>28</v>
      </c>
      <c r="AL331" s="14" t="s">
        <v>19</v>
      </c>
      <c r="AM331" s="14" t="s">
        <v>29</v>
      </c>
      <c r="AN331" s="14" t="s">
        <v>14</v>
      </c>
      <c r="AO331" s="14" t="s">
        <v>51</v>
      </c>
      <c r="AP331" s="14" t="s">
        <v>50</v>
      </c>
      <c r="AQ331" s="14" t="s">
        <v>20</v>
      </c>
      <c r="AR331" s="14" t="s">
        <v>15</v>
      </c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</row>
    <row r="332">
      <c r="A332" s="8" t="s">
        <v>60</v>
      </c>
      <c r="B332" s="14" t="str">
        <f t="shared" ref="B332:X332" si="1">B1</f>
        <v>Shen B</v>
      </c>
      <c r="C332" s="14" t="str">
        <f t="shared" si="1"/>
        <v>Niskayuna B</v>
      </c>
      <c r="D332" s="14" t="str">
        <f t="shared" si="1"/>
        <v>Morris Hills</v>
      </c>
      <c r="E332" s="14" t="str">
        <f t="shared" si="1"/>
        <v>Shen B</v>
      </c>
      <c r="F332" s="14" t="str">
        <f t="shared" si="1"/>
        <v>WWPN</v>
      </c>
      <c r="G332" s="14" t="str">
        <f t="shared" si="1"/>
        <v>Niskayuna B</v>
      </c>
      <c r="H332" s="14" t="str">
        <f t="shared" si="1"/>
        <v>Shen C</v>
      </c>
      <c r="I332" s="14" t="str">
        <f t="shared" si="1"/>
        <v>Niskayuna A</v>
      </c>
      <c r="J332" s="14" t="str">
        <f t="shared" si="1"/>
        <v>WWPN</v>
      </c>
      <c r="K332" s="14" t="str">
        <f t="shared" si="1"/>
        <v>CBA</v>
      </c>
      <c r="L332" s="14" t="str">
        <f t="shared" si="1"/>
        <v>Morris Hills</v>
      </c>
      <c r="M332" s="14" t="str">
        <f t="shared" si="1"/>
        <v>BHBL A</v>
      </c>
      <c r="N332" s="14" t="str">
        <f t="shared" si="1"/>
        <v>Niskayuna B</v>
      </c>
      <c r="O332" s="14" t="str">
        <f t="shared" si="1"/>
        <v>CBA</v>
      </c>
      <c r="P332" s="14" t="str">
        <f t="shared" si="1"/>
        <v>Niskayuna A</v>
      </c>
      <c r="Q332" s="14" t="str">
        <f t="shared" si="1"/>
        <v>Morris Hills</v>
      </c>
      <c r="R332" s="14" t="str">
        <f t="shared" si="1"/>
        <v>CBA</v>
      </c>
      <c r="S332" s="14" t="str">
        <f t="shared" si="1"/>
        <v>Niskayuna A</v>
      </c>
      <c r="T332" s="14" t="str">
        <f t="shared" si="1"/>
        <v>CBA</v>
      </c>
      <c r="U332" s="14" t="str">
        <f t="shared" si="1"/>
        <v>Bethlehem</v>
      </c>
      <c r="V332" s="14" t="str">
        <f t="shared" si="1"/>
        <v>Niskayuna B</v>
      </c>
      <c r="W332" s="14" t="str">
        <f t="shared" si="1"/>
        <v>BHBL A</v>
      </c>
      <c r="X332" s="14" t="str">
        <f t="shared" si="1"/>
        <v>Shen B</v>
      </c>
      <c r="Y332" s="14"/>
      <c r="Z332" s="14" t="str">
        <f t="shared" ref="Z332:AR332" si="2">Z1</f>
        <v>Shen C</v>
      </c>
      <c r="AA332" s="14" t="str">
        <f t="shared" si="2"/>
        <v>Shen B</v>
      </c>
      <c r="AB332" s="14" t="str">
        <f t="shared" si="2"/>
        <v>Shen C</v>
      </c>
      <c r="AC332" s="14" t="str">
        <f t="shared" si="2"/>
        <v>CBA</v>
      </c>
      <c r="AD332" s="14" t="str">
        <f t="shared" si="2"/>
        <v>Shen C</v>
      </c>
      <c r="AE332" s="14" t="str">
        <f t="shared" si="2"/>
        <v>Bethlehem</v>
      </c>
      <c r="AF332" s="14" t="str">
        <f t="shared" si="2"/>
        <v>Shen B</v>
      </c>
      <c r="AG332" s="14" t="str">
        <f t="shared" si="2"/>
        <v>BHBL B</v>
      </c>
      <c r="AH332" s="14" t="str">
        <f t="shared" si="2"/>
        <v>BHBL B</v>
      </c>
      <c r="AI332" s="14" t="str">
        <f t="shared" si="2"/>
        <v>BHBL A</v>
      </c>
      <c r="AJ332" s="14" t="str">
        <f t="shared" si="2"/>
        <v>BHBL B</v>
      </c>
      <c r="AK332" s="14" t="str">
        <f t="shared" si="2"/>
        <v>Shen C</v>
      </c>
      <c r="AL332" s="14" t="str">
        <f t="shared" si="2"/>
        <v>Niskayuna A</v>
      </c>
      <c r="AM332" s="14" t="str">
        <f t="shared" si="2"/>
        <v>BHBL A</v>
      </c>
      <c r="AN332" s="14" t="str">
        <f t="shared" si="2"/>
        <v>BHBL B</v>
      </c>
      <c r="AO332" s="14" t="str">
        <f t="shared" si="2"/>
        <v>WWPN</v>
      </c>
      <c r="AP332" s="14" t="str">
        <f t="shared" si="2"/>
        <v>WWPN</v>
      </c>
      <c r="AQ332" s="14" t="str">
        <f t="shared" si="2"/>
        <v>Niskayuna A</v>
      </c>
      <c r="AR332" s="14" t="str">
        <f t="shared" si="2"/>
        <v>BHBL B</v>
      </c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</row>
    <row r="333">
      <c r="A333" s="8" t="s">
        <v>61</v>
      </c>
      <c r="B333" s="14">
        <f t="shared" ref="B333:X333" si="3">countif(B1:B330,"TRUE")/2</f>
        <v>7</v>
      </c>
      <c r="C333" s="14">
        <f t="shared" si="3"/>
        <v>10</v>
      </c>
      <c r="D333" s="14">
        <f t="shared" si="3"/>
        <v>7</v>
      </c>
      <c r="E333" s="14">
        <f t="shared" si="3"/>
        <v>8</v>
      </c>
      <c r="F333" s="14">
        <f t="shared" si="3"/>
        <v>8</v>
      </c>
      <c r="G333" s="14">
        <f t="shared" si="3"/>
        <v>10</v>
      </c>
      <c r="H333" s="14">
        <f t="shared" si="3"/>
        <v>7</v>
      </c>
      <c r="I333" s="14">
        <f t="shared" si="3"/>
        <v>9</v>
      </c>
      <c r="J333" s="14">
        <f t="shared" si="3"/>
        <v>7</v>
      </c>
      <c r="K333" s="14">
        <f t="shared" si="3"/>
        <v>6</v>
      </c>
      <c r="L333" s="14">
        <f t="shared" si="3"/>
        <v>7</v>
      </c>
      <c r="M333" s="14">
        <f t="shared" si="3"/>
        <v>4</v>
      </c>
      <c r="N333" s="14">
        <f t="shared" si="3"/>
        <v>10</v>
      </c>
      <c r="O333" s="14">
        <f t="shared" si="3"/>
        <v>6</v>
      </c>
      <c r="P333" s="14">
        <f t="shared" si="3"/>
        <v>8</v>
      </c>
      <c r="Q333" s="14">
        <f t="shared" si="3"/>
        <v>7</v>
      </c>
      <c r="R333" s="14">
        <f t="shared" si="3"/>
        <v>6</v>
      </c>
      <c r="S333" s="14">
        <f t="shared" si="3"/>
        <v>8</v>
      </c>
      <c r="T333" s="14">
        <f t="shared" si="3"/>
        <v>6</v>
      </c>
      <c r="U333" s="14">
        <f t="shared" si="3"/>
        <v>6</v>
      </c>
      <c r="V333" s="14">
        <f t="shared" si="3"/>
        <v>10</v>
      </c>
      <c r="W333" s="14">
        <f t="shared" si="3"/>
        <v>4</v>
      </c>
      <c r="X333" s="14">
        <f t="shared" si="3"/>
        <v>8</v>
      </c>
      <c r="Y333" s="14"/>
      <c r="Z333" s="14">
        <f t="shared" ref="Z333:AR333" si="4">countif(Z1:Z330,"TRUE")/2</f>
        <v>7</v>
      </c>
      <c r="AA333" s="14">
        <f t="shared" si="4"/>
        <v>8</v>
      </c>
      <c r="AB333" s="14">
        <f t="shared" si="4"/>
        <v>7</v>
      </c>
      <c r="AC333" s="14">
        <f t="shared" si="4"/>
        <v>6</v>
      </c>
      <c r="AD333" s="14">
        <f t="shared" si="4"/>
        <v>7</v>
      </c>
      <c r="AE333" s="14">
        <f t="shared" si="4"/>
        <v>7</v>
      </c>
      <c r="AF333" s="14">
        <f t="shared" si="4"/>
        <v>7</v>
      </c>
      <c r="AG333" s="14">
        <f t="shared" si="4"/>
        <v>4</v>
      </c>
      <c r="AH333" s="14">
        <f t="shared" si="4"/>
        <v>4</v>
      </c>
      <c r="AI333" s="14">
        <f t="shared" si="4"/>
        <v>4</v>
      </c>
      <c r="AJ333" s="14">
        <f t="shared" si="4"/>
        <v>4</v>
      </c>
      <c r="AK333" s="14">
        <f t="shared" si="4"/>
        <v>3</v>
      </c>
      <c r="AL333" s="14">
        <f t="shared" si="4"/>
        <v>8</v>
      </c>
      <c r="AM333" s="14">
        <f t="shared" si="4"/>
        <v>4</v>
      </c>
      <c r="AN333" s="14">
        <f t="shared" si="4"/>
        <v>4</v>
      </c>
      <c r="AO333" s="14">
        <f t="shared" si="4"/>
        <v>8</v>
      </c>
      <c r="AP333" s="14">
        <f t="shared" si="4"/>
        <v>8</v>
      </c>
      <c r="AQ333" s="14">
        <f t="shared" si="4"/>
        <v>4</v>
      </c>
      <c r="AR333" s="14">
        <f t="shared" si="4"/>
        <v>4</v>
      </c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</row>
    <row r="334">
      <c r="A334" s="8" t="s">
        <v>62</v>
      </c>
      <c r="B334" s="14">
        <f t="shared" ref="B334:X334" si="5">B333*24</f>
        <v>168</v>
      </c>
      <c r="C334" s="14">
        <f t="shared" si="5"/>
        <v>240</v>
      </c>
      <c r="D334" s="14">
        <f t="shared" si="5"/>
        <v>168</v>
      </c>
      <c r="E334" s="14">
        <f t="shared" si="5"/>
        <v>192</v>
      </c>
      <c r="F334" s="14">
        <f t="shared" si="5"/>
        <v>192</v>
      </c>
      <c r="G334" s="14">
        <f t="shared" si="5"/>
        <v>240</v>
      </c>
      <c r="H334" s="14">
        <f t="shared" si="5"/>
        <v>168</v>
      </c>
      <c r="I334" s="14">
        <f t="shared" si="5"/>
        <v>216</v>
      </c>
      <c r="J334" s="14">
        <f t="shared" si="5"/>
        <v>168</v>
      </c>
      <c r="K334" s="14">
        <f t="shared" si="5"/>
        <v>144</v>
      </c>
      <c r="L334" s="14">
        <f t="shared" si="5"/>
        <v>168</v>
      </c>
      <c r="M334" s="14">
        <f t="shared" si="5"/>
        <v>96</v>
      </c>
      <c r="N334" s="14">
        <f t="shared" si="5"/>
        <v>240</v>
      </c>
      <c r="O334" s="14">
        <f t="shared" si="5"/>
        <v>144</v>
      </c>
      <c r="P334" s="14">
        <f t="shared" si="5"/>
        <v>192</v>
      </c>
      <c r="Q334" s="14">
        <f t="shared" si="5"/>
        <v>168</v>
      </c>
      <c r="R334" s="14">
        <f t="shared" si="5"/>
        <v>144</v>
      </c>
      <c r="S334" s="14">
        <f t="shared" si="5"/>
        <v>192</v>
      </c>
      <c r="T334" s="14">
        <f t="shared" si="5"/>
        <v>144</v>
      </c>
      <c r="U334" s="14">
        <f t="shared" si="5"/>
        <v>144</v>
      </c>
      <c r="V334" s="14">
        <f t="shared" si="5"/>
        <v>240</v>
      </c>
      <c r="W334" s="14">
        <f t="shared" si="5"/>
        <v>96</v>
      </c>
      <c r="X334" s="14">
        <f t="shared" si="5"/>
        <v>192</v>
      </c>
      <c r="Y334" s="14"/>
      <c r="Z334" s="14">
        <f t="shared" ref="Z334:AR334" si="6">Z333*24</f>
        <v>168</v>
      </c>
      <c r="AA334" s="14">
        <f t="shared" si="6"/>
        <v>192</v>
      </c>
      <c r="AB334" s="14">
        <f t="shared" si="6"/>
        <v>168</v>
      </c>
      <c r="AC334" s="14">
        <f t="shared" si="6"/>
        <v>144</v>
      </c>
      <c r="AD334" s="14">
        <f t="shared" si="6"/>
        <v>168</v>
      </c>
      <c r="AE334" s="14">
        <f t="shared" si="6"/>
        <v>168</v>
      </c>
      <c r="AF334" s="14">
        <f t="shared" si="6"/>
        <v>168</v>
      </c>
      <c r="AG334" s="14">
        <f t="shared" si="6"/>
        <v>96</v>
      </c>
      <c r="AH334" s="14">
        <f t="shared" si="6"/>
        <v>96</v>
      </c>
      <c r="AI334" s="14">
        <f t="shared" si="6"/>
        <v>96</v>
      </c>
      <c r="AJ334" s="14">
        <f t="shared" si="6"/>
        <v>96</v>
      </c>
      <c r="AK334" s="14">
        <f t="shared" si="6"/>
        <v>72</v>
      </c>
      <c r="AL334" s="14">
        <f t="shared" si="6"/>
        <v>192</v>
      </c>
      <c r="AM334" s="14">
        <f t="shared" si="6"/>
        <v>96</v>
      </c>
      <c r="AN334" s="14">
        <f t="shared" si="6"/>
        <v>96</v>
      </c>
      <c r="AO334" s="14">
        <f t="shared" si="6"/>
        <v>192</v>
      </c>
      <c r="AP334" s="14">
        <f t="shared" si="6"/>
        <v>192</v>
      </c>
      <c r="AQ334" s="14">
        <f t="shared" si="6"/>
        <v>96</v>
      </c>
      <c r="AR334" s="14">
        <f t="shared" si="6"/>
        <v>96</v>
      </c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</row>
    <row r="335">
      <c r="A335" s="8" t="s">
        <v>63</v>
      </c>
      <c r="B335" s="14">
        <f t="shared" ref="B335:X335" si="7">countif(B1:B330,"4")</f>
        <v>3</v>
      </c>
      <c r="C335" s="14">
        <f t="shared" si="7"/>
        <v>32</v>
      </c>
      <c r="D335" s="14">
        <f t="shared" si="7"/>
        <v>7</v>
      </c>
      <c r="E335" s="14">
        <f t="shared" si="7"/>
        <v>31</v>
      </c>
      <c r="F335" s="14">
        <f t="shared" si="7"/>
        <v>54</v>
      </c>
      <c r="G335" s="14">
        <f t="shared" si="7"/>
        <v>18</v>
      </c>
      <c r="H335" s="14">
        <f t="shared" si="7"/>
        <v>14</v>
      </c>
      <c r="I335" s="14">
        <f t="shared" si="7"/>
        <v>16</v>
      </c>
      <c r="J335" s="14">
        <f t="shared" si="7"/>
        <v>9</v>
      </c>
      <c r="K335" s="14">
        <f t="shared" si="7"/>
        <v>1</v>
      </c>
      <c r="L335" s="14">
        <f t="shared" si="7"/>
        <v>33</v>
      </c>
      <c r="M335" s="14">
        <f t="shared" si="7"/>
        <v>7</v>
      </c>
      <c r="N335" s="14">
        <f t="shared" si="7"/>
        <v>11</v>
      </c>
      <c r="O335" s="14">
        <f t="shared" si="7"/>
        <v>7</v>
      </c>
      <c r="P335" s="14">
        <f t="shared" si="7"/>
        <v>12</v>
      </c>
      <c r="Q335" s="14">
        <f t="shared" si="7"/>
        <v>16</v>
      </c>
      <c r="R335" s="14">
        <f t="shared" si="7"/>
        <v>6</v>
      </c>
      <c r="S335" s="14">
        <f t="shared" si="7"/>
        <v>17</v>
      </c>
      <c r="T335" s="14">
        <f t="shared" si="7"/>
        <v>4</v>
      </c>
      <c r="U335" s="14">
        <f t="shared" si="7"/>
        <v>11</v>
      </c>
      <c r="V335" s="14">
        <f t="shared" si="7"/>
        <v>12</v>
      </c>
      <c r="W335" s="14">
        <f t="shared" si="7"/>
        <v>2</v>
      </c>
      <c r="X335" s="14">
        <f t="shared" si="7"/>
        <v>13</v>
      </c>
      <c r="Y335" s="14"/>
      <c r="Z335" s="14">
        <f t="shared" ref="Z335:AR335" si="8">countif(Z1:Z330,"4")</f>
        <v>15</v>
      </c>
      <c r="AA335" s="14">
        <f t="shared" si="8"/>
        <v>11</v>
      </c>
      <c r="AB335" s="14">
        <f t="shared" si="8"/>
        <v>8</v>
      </c>
      <c r="AC335" s="14">
        <f t="shared" si="8"/>
        <v>4</v>
      </c>
      <c r="AD335" s="14">
        <f t="shared" si="8"/>
        <v>3</v>
      </c>
      <c r="AE335" s="14">
        <f t="shared" si="8"/>
        <v>18</v>
      </c>
      <c r="AF335" s="14">
        <f t="shared" si="8"/>
        <v>11</v>
      </c>
      <c r="AG335" s="14">
        <f t="shared" si="8"/>
        <v>14</v>
      </c>
      <c r="AH335" s="14">
        <f t="shared" si="8"/>
        <v>2</v>
      </c>
      <c r="AI335" s="14">
        <f t="shared" si="8"/>
        <v>3</v>
      </c>
      <c r="AJ335" s="14">
        <f t="shared" si="8"/>
        <v>0</v>
      </c>
      <c r="AK335" s="14">
        <f t="shared" si="8"/>
        <v>0</v>
      </c>
      <c r="AL335" s="14">
        <f t="shared" si="8"/>
        <v>13</v>
      </c>
      <c r="AM335" s="14">
        <f t="shared" si="8"/>
        <v>3</v>
      </c>
      <c r="AN335" s="14">
        <f t="shared" si="8"/>
        <v>2</v>
      </c>
      <c r="AO335" s="14">
        <f t="shared" si="8"/>
        <v>19</v>
      </c>
      <c r="AP335" s="14">
        <f t="shared" si="8"/>
        <v>12</v>
      </c>
      <c r="AQ335" s="14">
        <f t="shared" si="8"/>
        <v>6</v>
      </c>
      <c r="AR335" s="14">
        <f t="shared" si="8"/>
        <v>2</v>
      </c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</row>
    <row r="336">
      <c r="A336" s="8" t="s">
        <v>64</v>
      </c>
      <c r="B336" s="14">
        <f t="shared" ref="B336:X336" si="9">countif(B2:B331,"-4")</f>
        <v>0</v>
      </c>
      <c r="C336" s="14">
        <f t="shared" si="9"/>
        <v>2</v>
      </c>
      <c r="D336" s="14">
        <f t="shared" si="9"/>
        <v>0</v>
      </c>
      <c r="E336" s="14">
        <f t="shared" si="9"/>
        <v>0</v>
      </c>
      <c r="F336" s="14">
        <f t="shared" si="9"/>
        <v>9</v>
      </c>
      <c r="G336" s="14">
        <f t="shared" si="9"/>
        <v>1</v>
      </c>
      <c r="H336" s="14">
        <f t="shared" si="9"/>
        <v>0</v>
      </c>
      <c r="I336" s="14">
        <f t="shared" si="9"/>
        <v>0</v>
      </c>
      <c r="J336" s="14">
        <f t="shared" si="9"/>
        <v>1</v>
      </c>
      <c r="K336" s="14">
        <f t="shared" si="9"/>
        <v>0</v>
      </c>
      <c r="L336" s="14">
        <f t="shared" si="9"/>
        <v>1</v>
      </c>
      <c r="M336" s="14">
        <f t="shared" si="9"/>
        <v>1</v>
      </c>
      <c r="N336" s="14">
        <f t="shared" si="9"/>
        <v>0</v>
      </c>
      <c r="O336" s="14">
        <f t="shared" si="9"/>
        <v>1</v>
      </c>
      <c r="P336" s="14">
        <f t="shared" si="9"/>
        <v>3</v>
      </c>
      <c r="Q336" s="14">
        <f t="shared" si="9"/>
        <v>0</v>
      </c>
      <c r="R336" s="14">
        <f t="shared" si="9"/>
        <v>1</v>
      </c>
      <c r="S336" s="14">
        <f t="shared" si="9"/>
        <v>0</v>
      </c>
      <c r="T336" s="14">
        <f t="shared" si="9"/>
        <v>0</v>
      </c>
      <c r="U336" s="14">
        <f t="shared" si="9"/>
        <v>0</v>
      </c>
      <c r="V336" s="14">
        <f t="shared" si="9"/>
        <v>1</v>
      </c>
      <c r="W336" s="14">
        <f t="shared" si="9"/>
        <v>0</v>
      </c>
      <c r="X336" s="14">
        <f t="shared" si="9"/>
        <v>0</v>
      </c>
      <c r="Y336" s="14"/>
      <c r="Z336" s="14">
        <f t="shared" ref="Z336:AR336" si="10">countif(Z2:Z331,"-4")</f>
        <v>0</v>
      </c>
      <c r="AA336" s="14">
        <f t="shared" si="10"/>
        <v>1</v>
      </c>
      <c r="AB336" s="14">
        <f t="shared" si="10"/>
        <v>1</v>
      </c>
      <c r="AC336" s="14">
        <f t="shared" si="10"/>
        <v>1</v>
      </c>
      <c r="AD336" s="14">
        <f t="shared" si="10"/>
        <v>2</v>
      </c>
      <c r="AE336" s="14">
        <f t="shared" si="10"/>
        <v>0</v>
      </c>
      <c r="AF336" s="14">
        <f t="shared" si="10"/>
        <v>0</v>
      </c>
      <c r="AG336" s="14">
        <f t="shared" si="10"/>
        <v>3</v>
      </c>
      <c r="AH336" s="14">
        <f t="shared" si="10"/>
        <v>0</v>
      </c>
      <c r="AI336" s="14">
        <f t="shared" si="10"/>
        <v>0</v>
      </c>
      <c r="AJ336" s="14">
        <f t="shared" si="10"/>
        <v>0</v>
      </c>
      <c r="AK336" s="14">
        <f t="shared" si="10"/>
        <v>0</v>
      </c>
      <c r="AL336" s="14">
        <f t="shared" si="10"/>
        <v>0</v>
      </c>
      <c r="AM336" s="14">
        <f t="shared" si="10"/>
        <v>0</v>
      </c>
      <c r="AN336" s="14">
        <f t="shared" si="10"/>
        <v>0</v>
      </c>
      <c r="AO336" s="14">
        <f t="shared" si="10"/>
        <v>4</v>
      </c>
      <c r="AP336" s="14">
        <f t="shared" si="10"/>
        <v>3</v>
      </c>
      <c r="AQ336" s="14">
        <f t="shared" si="10"/>
        <v>5</v>
      </c>
      <c r="AR336" s="14">
        <f t="shared" si="10"/>
        <v>0</v>
      </c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</row>
    <row r="337">
      <c r="A337" s="8" t="s">
        <v>65</v>
      </c>
      <c r="B337" s="8" t="s">
        <v>86</v>
      </c>
      <c r="C337" s="14">
        <f>C335/C336</f>
        <v>16</v>
      </c>
      <c r="D337" s="8" t="s">
        <v>86</v>
      </c>
      <c r="E337" s="8" t="s">
        <v>86</v>
      </c>
      <c r="F337" s="14">
        <f t="shared" ref="F337:G337" si="11">F335/F336</f>
        <v>6</v>
      </c>
      <c r="G337" s="14">
        <f t="shared" si="11"/>
        <v>18</v>
      </c>
      <c r="H337" s="8" t="s">
        <v>86</v>
      </c>
      <c r="I337" s="8" t="s">
        <v>86</v>
      </c>
      <c r="J337" s="14">
        <f>J335/J336</f>
        <v>9</v>
      </c>
      <c r="K337" s="8" t="s">
        <v>86</v>
      </c>
      <c r="L337" s="14">
        <f t="shared" ref="L337:M337" si="12">L335/L336</f>
        <v>33</v>
      </c>
      <c r="M337" s="14">
        <f t="shared" si="12"/>
        <v>7</v>
      </c>
      <c r="N337" s="8" t="s">
        <v>86</v>
      </c>
      <c r="O337" s="14">
        <f t="shared" ref="O337:P337" si="13">O335/O336</f>
        <v>7</v>
      </c>
      <c r="P337" s="14">
        <f t="shared" si="13"/>
        <v>4</v>
      </c>
      <c r="Q337" s="8" t="s">
        <v>86</v>
      </c>
      <c r="R337" s="14">
        <f>R335/R336</f>
        <v>6</v>
      </c>
      <c r="S337" s="8" t="s">
        <v>86</v>
      </c>
      <c r="T337" s="8" t="s">
        <v>86</v>
      </c>
      <c r="U337" s="8" t="s">
        <v>86</v>
      </c>
      <c r="V337" s="14">
        <f>V335/V336</f>
        <v>12</v>
      </c>
      <c r="W337" s="8" t="s">
        <v>86</v>
      </c>
      <c r="X337" s="8" t="s">
        <v>86</v>
      </c>
      <c r="Y337" s="14"/>
      <c r="Z337" s="8" t="s">
        <v>86</v>
      </c>
      <c r="AA337" s="14">
        <f t="shared" ref="AA337:AD337" si="14">AA335/AA336</f>
        <v>11</v>
      </c>
      <c r="AB337" s="14">
        <f t="shared" si="14"/>
        <v>8</v>
      </c>
      <c r="AC337" s="14">
        <f t="shared" si="14"/>
        <v>4</v>
      </c>
      <c r="AD337" s="14">
        <f t="shared" si="14"/>
        <v>1.5</v>
      </c>
      <c r="AE337" s="8" t="s">
        <v>86</v>
      </c>
      <c r="AF337" s="8" t="s">
        <v>86</v>
      </c>
      <c r="AG337" s="14">
        <f>AG335/AG336</f>
        <v>4.666666667</v>
      </c>
      <c r="AH337" s="8" t="s">
        <v>86</v>
      </c>
      <c r="AI337" s="8" t="s">
        <v>86</v>
      </c>
      <c r="AJ337" s="8" t="s">
        <v>86</v>
      </c>
      <c r="AK337" s="8" t="s">
        <v>86</v>
      </c>
      <c r="AL337" s="8" t="s">
        <v>86</v>
      </c>
      <c r="AM337" s="8" t="s">
        <v>86</v>
      </c>
      <c r="AN337" s="8" t="s">
        <v>86</v>
      </c>
      <c r="AO337" s="14">
        <f t="shared" ref="AO337:AQ337" si="15">AO335/AO336</f>
        <v>4.75</v>
      </c>
      <c r="AP337" s="14">
        <f t="shared" si="15"/>
        <v>4</v>
      </c>
      <c r="AQ337" s="14">
        <f t="shared" si="15"/>
        <v>1.2</v>
      </c>
      <c r="AR337" s="8" t="s">
        <v>86</v>
      </c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</row>
    <row r="338">
      <c r="A338" s="8" t="s">
        <v>66</v>
      </c>
      <c r="B338" s="14">
        <f t="shared" ref="B338:X338" si="16">4*B335-4*B336</f>
        <v>12</v>
      </c>
      <c r="C338" s="14">
        <f t="shared" si="16"/>
        <v>120</v>
      </c>
      <c r="D338" s="14">
        <f t="shared" si="16"/>
        <v>28</v>
      </c>
      <c r="E338" s="14">
        <f t="shared" si="16"/>
        <v>124</v>
      </c>
      <c r="F338" s="14">
        <f t="shared" si="16"/>
        <v>180</v>
      </c>
      <c r="G338" s="14">
        <f t="shared" si="16"/>
        <v>68</v>
      </c>
      <c r="H338" s="14">
        <f t="shared" si="16"/>
        <v>56</v>
      </c>
      <c r="I338" s="14">
        <f t="shared" si="16"/>
        <v>64</v>
      </c>
      <c r="J338" s="14">
        <f t="shared" si="16"/>
        <v>32</v>
      </c>
      <c r="K338" s="14">
        <f t="shared" si="16"/>
        <v>4</v>
      </c>
      <c r="L338" s="14">
        <f t="shared" si="16"/>
        <v>128</v>
      </c>
      <c r="M338" s="14">
        <f t="shared" si="16"/>
        <v>24</v>
      </c>
      <c r="N338" s="14">
        <f t="shared" si="16"/>
        <v>44</v>
      </c>
      <c r="O338" s="14">
        <f t="shared" si="16"/>
        <v>24</v>
      </c>
      <c r="P338" s="14">
        <f t="shared" si="16"/>
        <v>36</v>
      </c>
      <c r="Q338" s="14">
        <f t="shared" si="16"/>
        <v>64</v>
      </c>
      <c r="R338" s="14">
        <f t="shared" si="16"/>
        <v>20</v>
      </c>
      <c r="S338" s="14">
        <f t="shared" si="16"/>
        <v>68</v>
      </c>
      <c r="T338" s="14">
        <f t="shared" si="16"/>
        <v>16</v>
      </c>
      <c r="U338" s="14">
        <f t="shared" si="16"/>
        <v>44</v>
      </c>
      <c r="V338" s="14">
        <f t="shared" si="16"/>
        <v>44</v>
      </c>
      <c r="W338" s="14">
        <f t="shared" si="16"/>
        <v>8</v>
      </c>
      <c r="X338" s="14">
        <f t="shared" si="16"/>
        <v>52</v>
      </c>
      <c r="Y338" s="14"/>
      <c r="Z338" s="14">
        <f t="shared" ref="Z338:AR338" si="17">4*Z335-4*Z336</f>
        <v>60</v>
      </c>
      <c r="AA338" s="14">
        <f t="shared" si="17"/>
        <v>40</v>
      </c>
      <c r="AB338" s="14">
        <f t="shared" si="17"/>
        <v>28</v>
      </c>
      <c r="AC338" s="14">
        <f t="shared" si="17"/>
        <v>12</v>
      </c>
      <c r="AD338" s="14">
        <f t="shared" si="17"/>
        <v>4</v>
      </c>
      <c r="AE338" s="14">
        <f t="shared" si="17"/>
        <v>72</v>
      </c>
      <c r="AF338" s="14">
        <f t="shared" si="17"/>
        <v>44</v>
      </c>
      <c r="AG338" s="14">
        <f t="shared" si="17"/>
        <v>44</v>
      </c>
      <c r="AH338" s="14">
        <f t="shared" si="17"/>
        <v>8</v>
      </c>
      <c r="AI338" s="14">
        <f t="shared" si="17"/>
        <v>12</v>
      </c>
      <c r="AJ338" s="14">
        <f t="shared" si="17"/>
        <v>0</v>
      </c>
      <c r="AK338" s="14">
        <f t="shared" si="17"/>
        <v>0</v>
      </c>
      <c r="AL338" s="14">
        <f t="shared" si="17"/>
        <v>52</v>
      </c>
      <c r="AM338" s="14">
        <f t="shared" si="17"/>
        <v>12</v>
      </c>
      <c r="AN338" s="14">
        <f t="shared" si="17"/>
        <v>8</v>
      </c>
      <c r="AO338" s="14">
        <f t="shared" si="17"/>
        <v>60</v>
      </c>
      <c r="AP338" s="14">
        <f t="shared" si="17"/>
        <v>36</v>
      </c>
      <c r="AQ338" s="14">
        <f t="shared" si="17"/>
        <v>4</v>
      </c>
      <c r="AR338" s="14">
        <f t="shared" si="17"/>
        <v>8</v>
      </c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</row>
    <row r="339">
      <c r="A339" s="8" t="s">
        <v>67</v>
      </c>
      <c r="B339" s="14">
        <f t="shared" ref="B339:X339" si="18">B338/B333</f>
        <v>1.714285714</v>
      </c>
      <c r="C339" s="14">
        <f t="shared" si="18"/>
        <v>12</v>
      </c>
      <c r="D339" s="14">
        <f t="shared" si="18"/>
        <v>4</v>
      </c>
      <c r="E339" s="14">
        <f t="shared" si="18"/>
        <v>15.5</v>
      </c>
      <c r="F339" s="14">
        <f t="shared" si="18"/>
        <v>22.5</v>
      </c>
      <c r="G339" s="14">
        <f t="shared" si="18"/>
        <v>6.8</v>
      </c>
      <c r="H339" s="14">
        <f t="shared" si="18"/>
        <v>8</v>
      </c>
      <c r="I339" s="14">
        <f t="shared" si="18"/>
        <v>7.111111111</v>
      </c>
      <c r="J339" s="14">
        <f t="shared" si="18"/>
        <v>4.571428571</v>
      </c>
      <c r="K339" s="14">
        <f t="shared" si="18"/>
        <v>0.6666666667</v>
      </c>
      <c r="L339" s="14">
        <f t="shared" si="18"/>
        <v>18.28571429</v>
      </c>
      <c r="M339" s="14">
        <f t="shared" si="18"/>
        <v>6</v>
      </c>
      <c r="N339" s="14">
        <f t="shared" si="18"/>
        <v>4.4</v>
      </c>
      <c r="O339" s="14">
        <f t="shared" si="18"/>
        <v>4</v>
      </c>
      <c r="P339" s="14">
        <f t="shared" si="18"/>
        <v>4.5</v>
      </c>
      <c r="Q339" s="14">
        <f t="shared" si="18"/>
        <v>9.142857143</v>
      </c>
      <c r="R339" s="14">
        <f t="shared" si="18"/>
        <v>3.333333333</v>
      </c>
      <c r="S339" s="14">
        <f t="shared" si="18"/>
        <v>8.5</v>
      </c>
      <c r="T339" s="14">
        <f t="shared" si="18"/>
        <v>2.666666667</v>
      </c>
      <c r="U339" s="14">
        <f t="shared" si="18"/>
        <v>7.333333333</v>
      </c>
      <c r="V339" s="14">
        <f t="shared" si="18"/>
        <v>4.4</v>
      </c>
      <c r="W339" s="14">
        <f t="shared" si="18"/>
        <v>2</v>
      </c>
      <c r="X339" s="14">
        <f t="shared" si="18"/>
        <v>6.5</v>
      </c>
      <c r="Y339" s="14"/>
      <c r="Z339" s="14">
        <f t="shared" ref="Z339:AR339" si="19">Z338/Z333</f>
        <v>8.571428571</v>
      </c>
      <c r="AA339" s="14">
        <f t="shared" si="19"/>
        <v>5</v>
      </c>
      <c r="AB339" s="14">
        <f t="shared" si="19"/>
        <v>4</v>
      </c>
      <c r="AC339" s="14">
        <f t="shared" si="19"/>
        <v>2</v>
      </c>
      <c r="AD339" s="14">
        <f t="shared" si="19"/>
        <v>0.5714285714</v>
      </c>
      <c r="AE339" s="14">
        <f t="shared" si="19"/>
        <v>10.28571429</v>
      </c>
      <c r="AF339" s="14">
        <f t="shared" si="19"/>
        <v>6.285714286</v>
      </c>
      <c r="AG339" s="14">
        <f t="shared" si="19"/>
        <v>11</v>
      </c>
      <c r="AH339" s="14">
        <f t="shared" si="19"/>
        <v>2</v>
      </c>
      <c r="AI339" s="14">
        <f t="shared" si="19"/>
        <v>3</v>
      </c>
      <c r="AJ339" s="14">
        <f t="shared" si="19"/>
        <v>0</v>
      </c>
      <c r="AK339" s="14">
        <f t="shared" si="19"/>
        <v>0</v>
      </c>
      <c r="AL339" s="14">
        <f t="shared" si="19"/>
        <v>6.5</v>
      </c>
      <c r="AM339" s="14">
        <f t="shared" si="19"/>
        <v>3</v>
      </c>
      <c r="AN339" s="14">
        <f t="shared" si="19"/>
        <v>2</v>
      </c>
      <c r="AO339" s="14">
        <f t="shared" si="19"/>
        <v>7.5</v>
      </c>
      <c r="AP339" s="14">
        <f t="shared" si="19"/>
        <v>4.5</v>
      </c>
      <c r="AQ339" s="14">
        <f t="shared" si="19"/>
        <v>1</v>
      </c>
      <c r="AR339" s="14">
        <f t="shared" si="19"/>
        <v>2</v>
      </c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</row>
    <row r="340">
      <c r="A340" s="8" t="s">
        <v>68</v>
      </c>
      <c r="B340" s="14">
        <f t="shared" ref="B340:X340" si="20">countifs(B$1:B$330,4,$A$1:$A$330,"X")</f>
        <v>1</v>
      </c>
      <c r="C340" s="14">
        <f t="shared" si="20"/>
        <v>6</v>
      </c>
      <c r="D340" s="14">
        <f t="shared" si="20"/>
        <v>3</v>
      </c>
      <c r="E340" s="14">
        <f t="shared" si="20"/>
        <v>7</v>
      </c>
      <c r="F340" s="14">
        <f t="shared" si="20"/>
        <v>11</v>
      </c>
      <c r="G340" s="14">
        <f t="shared" si="20"/>
        <v>5</v>
      </c>
      <c r="H340" s="14">
        <f t="shared" si="20"/>
        <v>1</v>
      </c>
      <c r="I340" s="14">
        <f t="shared" si="20"/>
        <v>2</v>
      </c>
      <c r="J340" s="14">
        <f t="shared" si="20"/>
        <v>1</v>
      </c>
      <c r="K340" s="14">
        <f t="shared" si="20"/>
        <v>0</v>
      </c>
      <c r="L340" s="14">
        <f t="shared" si="20"/>
        <v>6</v>
      </c>
      <c r="M340" s="14">
        <f t="shared" si="20"/>
        <v>1</v>
      </c>
      <c r="N340" s="14">
        <f t="shared" si="20"/>
        <v>2</v>
      </c>
      <c r="O340" s="14">
        <f t="shared" si="20"/>
        <v>0</v>
      </c>
      <c r="P340" s="14">
        <f t="shared" si="20"/>
        <v>5</v>
      </c>
      <c r="Q340" s="14">
        <f t="shared" si="20"/>
        <v>1</v>
      </c>
      <c r="R340" s="14">
        <f t="shared" si="20"/>
        <v>1</v>
      </c>
      <c r="S340" s="14">
        <f t="shared" si="20"/>
        <v>3</v>
      </c>
      <c r="T340" s="14">
        <f t="shared" si="20"/>
        <v>1</v>
      </c>
      <c r="U340" s="14">
        <f t="shared" si="20"/>
        <v>4</v>
      </c>
      <c r="V340" s="14">
        <f t="shared" si="20"/>
        <v>2</v>
      </c>
      <c r="W340" s="14">
        <f t="shared" si="20"/>
        <v>1</v>
      </c>
      <c r="X340" s="14">
        <f t="shared" si="20"/>
        <v>0</v>
      </c>
      <c r="Y340" s="14"/>
      <c r="Z340" s="14">
        <f t="shared" ref="Z340:AR340" si="21">countifs(Z$1:Z$330,4,$A$1:$A$330,"X")</f>
        <v>4</v>
      </c>
      <c r="AA340" s="14">
        <f t="shared" si="21"/>
        <v>1</v>
      </c>
      <c r="AB340" s="14">
        <f t="shared" si="21"/>
        <v>1</v>
      </c>
      <c r="AC340" s="14">
        <f t="shared" si="21"/>
        <v>0</v>
      </c>
      <c r="AD340" s="14">
        <f t="shared" si="21"/>
        <v>2</v>
      </c>
      <c r="AE340" s="14">
        <f t="shared" si="21"/>
        <v>5</v>
      </c>
      <c r="AF340" s="14">
        <f t="shared" si="21"/>
        <v>3</v>
      </c>
      <c r="AG340" s="14">
        <f t="shared" si="21"/>
        <v>1</v>
      </c>
      <c r="AH340" s="14">
        <f t="shared" si="21"/>
        <v>0</v>
      </c>
      <c r="AI340" s="14">
        <f t="shared" si="21"/>
        <v>0</v>
      </c>
      <c r="AJ340" s="14">
        <f t="shared" si="21"/>
        <v>0</v>
      </c>
      <c r="AK340" s="14">
        <f t="shared" si="21"/>
        <v>0</v>
      </c>
      <c r="AL340" s="14">
        <f t="shared" si="21"/>
        <v>1</v>
      </c>
      <c r="AM340" s="14">
        <f t="shared" si="21"/>
        <v>0</v>
      </c>
      <c r="AN340" s="14">
        <f t="shared" si="21"/>
        <v>0</v>
      </c>
      <c r="AO340" s="14">
        <f t="shared" si="21"/>
        <v>1</v>
      </c>
      <c r="AP340" s="14">
        <f t="shared" si="21"/>
        <v>2</v>
      </c>
      <c r="AQ340" s="14">
        <f t="shared" si="21"/>
        <v>0</v>
      </c>
      <c r="AR340" s="14">
        <f t="shared" si="21"/>
        <v>0</v>
      </c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</row>
    <row r="341">
      <c r="A341" s="8" t="s">
        <v>69</v>
      </c>
      <c r="B341" s="14">
        <f t="shared" ref="B341:X341" si="22">countifs(B$1:B$330,-4,$A$1:$A$330,"X")</f>
        <v>0</v>
      </c>
      <c r="C341" s="14">
        <f t="shared" si="22"/>
        <v>0</v>
      </c>
      <c r="D341" s="14">
        <f t="shared" si="22"/>
        <v>0</v>
      </c>
      <c r="E341" s="14">
        <f t="shared" si="22"/>
        <v>0</v>
      </c>
      <c r="F341" s="14">
        <f t="shared" si="22"/>
        <v>2</v>
      </c>
      <c r="G341" s="14">
        <f t="shared" si="22"/>
        <v>1</v>
      </c>
      <c r="H341" s="14">
        <f t="shared" si="22"/>
        <v>0</v>
      </c>
      <c r="I341" s="14">
        <f t="shared" si="22"/>
        <v>0</v>
      </c>
      <c r="J341" s="14">
        <f t="shared" si="22"/>
        <v>0</v>
      </c>
      <c r="K341" s="14">
        <f t="shared" si="22"/>
        <v>0</v>
      </c>
      <c r="L341" s="14">
        <f t="shared" si="22"/>
        <v>0</v>
      </c>
      <c r="M341" s="14">
        <f t="shared" si="22"/>
        <v>0</v>
      </c>
      <c r="N341" s="14">
        <f t="shared" si="22"/>
        <v>0</v>
      </c>
      <c r="O341" s="14">
        <f t="shared" si="22"/>
        <v>0</v>
      </c>
      <c r="P341" s="14">
        <f t="shared" si="22"/>
        <v>0</v>
      </c>
      <c r="Q341" s="14">
        <f t="shared" si="22"/>
        <v>0</v>
      </c>
      <c r="R341" s="14">
        <f t="shared" si="22"/>
        <v>0</v>
      </c>
      <c r="S341" s="14">
        <f t="shared" si="22"/>
        <v>0</v>
      </c>
      <c r="T341" s="14">
        <f t="shared" si="22"/>
        <v>0</v>
      </c>
      <c r="U341" s="14">
        <f t="shared" si="22"/>
        <v>0</v>
      </c>
      <c r="V341" s="14">
        <f t="shared" si="22"/>
        <v>0</v>
      </c>
      <c r="W341" s="14">
        <f t="shared" si="22"/>
        <v>0</v>
      </c>
      <c r="X341" s="14">
        <f t="shared" si="22"/>
        <v>0</v>
      </c>
      <c r="Y341" s="14"/>
      <c r="Z341" s="14">
        <f t="shared" ref="Z341:AR341" si="23">countifs(Z$1:Z$330,-4,$A$1:$A$330,"X")</f>
        <v>0</v>
      </c>
      <c r="AA341" s="14">
        <f t="shared" si="23"/>
        <v>0</v>
      </c>
      <c r="AB341" s="14">
        <f t="shared" si="23"/>
        <v>0</v>
      </c>
      <c r="AC341" s="14">
        <f t="shared" si="23"/>
        <v>0</v>
      </c>
      <c r="AD341" s="14">
        <f t="shared" si="23"/>
        <v>0</v>
      </c>
      <c r="AE341" s="14">
        <f t="shared" si="23"/>
        <v>0</v>
      </c>
      <c r="AF341" s="14">
        <f t="shared" si="23"/>
        <v>0</v>
      </c>
      <c r="AG341" s="14">
        <f t="shared" si="23"/>
        <v>1</v>
      </c>
      <c r="AH341" s="14">
        <f t="shared" si="23"/>
        <v>0</v>
      </c>
      <c r="AI341" s="14">
        <f t="shared" si="23"/>
        <v>0</v>
      </c>
      <c r="AJ341" s="14">
        <f t="shared" si="23"/>
        <v>0</v>
      </c>
      <c r="AK341" s="14">
        <f t="shared" si="23"/>
        <v>0</v>
      </c>
      <c r="AL341" s="14">
        <f t="shared" si="23"/>
        <v>0</v>
      </c>
      <c r="AM341" s="14">
        <f t="shared" si="23"/>
        <v>0</v>
      </c>
      <c r="AN341" s="14">
        <f t="shared" si="23"/>
        <v>0</v>
      </c>
      <c r="AO341" s="14">
        <f t="shared" si="23"/>
        <v>2</v>
      </c>
      <c r="AP341" s="14">
        <f t="shared" si="23"/>
        <v>1</v>
      </c>
      <c r="AQ341" s="14">
        <f t="shared" si="23"/>
        <v>0</v>
      </c>
      <c r="AR341" s="14">
        <f t="shared" si="23"/>
        <v>0</v>
      </c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</row>
    <row r="342">
      <c r="A342" s="8" t="s">
        <v>70</v>
      </c>
      <c r="B342" s="14">
        <f t="shared" ref="B342:X342" si="24">4*(B340-B341)/B$333</f>
        <v>0.5714285714</v>
      </c>
      <c r="C342" s="14">
        <f t="shared" si="24"/>
        <v>2.4</v>
      </c>
      <c r="D342" s="14">
        <f t="shared" si="24"/>
        <v>1.714285714</v>
      </c>
      <c r="E342" s="14">
        <f t="shared" si="24"/>
        <v>3.5</v>
      </c>
      <c r="F342" s="14">
        <f t="shared" si="24"/>
        <v>4.5</v>
      </c>
      <c r="G342" s="14">
        <f t="shared" si="24"/>
        <v>1.6</v>
      </c>
      <c r="H342" s="14">
        <f t="shared" si="24"/>
        <v>0.5714285714</v>
      </c>
      <c r="I342" s="14">
        <f t="shared" si="24"/>
        <v>0.8888888889</v>
      </c>
      <c r="J342" s="14">
        <f t="shared" si="24"/>
        <v>0.5714285714</v>
      </c>
      <c r="K342" s="14">
        <f t="shared" si="24"/>
        <v>0</v>
      </c>
      <c r="L342" s="14">
        <f t="shared" si="24"/>
        <v>3.428571429</v>
      </c>
      <c r="M342" s="14">
        <f t="shared" si="24"/>
        <v>1</v>
      </c>
      <c r="N342" s="14">
        <f t="shared" si="24"/>
        <v>0.8</v>
      </c>
      <c r="O342" s="14">
        <f t="shared" si="24"/>
        <v>0</v>
      </c>
      <c r="P342" s="14">
        <f t="shared" si="24"/>
        <v>2.5</v>
      </c>
      <c r="Q342" s="14">
        <f t="shared" si="24"/>
        <v>0.5714285714</v>
      </c>
      <c r="R342" s="14">
        <f t="shared" si="24"/>
        <v>0.6666666667</v>
      </c>
      <c r="S342" s="14">
        <f t="shared" si="24"/>
        <v>1.5</v>
      </c>
      <c r="T342" s="14">
        <f t="shared" si="24"/>
        <v>0.6666666667</v>
      </c>
      <c r="U342" s="14">
        <f t="shared" si="24"/>
        <v>2.666666667</v>
      </c>
      <c r="V342" s="14">
        <f t="shared" si="24"/>
        <v>0.8</v>
      </c>
      <c r="W342" s="14">
        <f t="shared" si="24"/>
        <v>1</v>
      </c>
      <c r="X342" s="14">
        <f t="shared" si="24"/>
        <v>0</v>
      </c>
      <c r="Y342" s="14"/>
      <c r="Z342" s="14">
        <f t="shared" ref="Z342:AR342" si="25">4*(Z340-Z341)/Z$333</f>
        <v>2.285714286</v>
      </c>
      <c r="AA342" s="14">
        <f t="shared" si="25"/>
        <v>0.5</v>
      </c>
      <c r="AB342" s="14">
        <f t="shared" si="25"/>
        <v>0.5714285714</v>
      </c>
      <c r="AC342" s="14">
        <f t="shared" si="25"/>
        <v>0</v>
      </c>
      <c r="AD342" s="14">
        <f t="shared" si="25"/>
        <v>1.142857143</v>
      </c>
      <c r="AE342" s="14">
        <f t="shared" si="25"/>
        <v>2.857142857</v>
      </c>
      <c r="AF342" s="14">
        <f t="shared" si="25"/>
        <v>1.714285714</v>
      </c>
      <c r="AG342" s="14">
        <f t="shared" si="25"/>
        <v>0</v>
      </c>
      <c r="AH342" s="14">
        <f t="shared" si="25"/>
        <v>0</v>
      </c>
      <c r="AI342" s="14">
        <f t="shared" si="25"/>
        <v>0</v>
      </c>
      <c r="AJ342" s="14">
        <f t="shared" si="25"/>
        <v>0</v>
      </c>
      <c r="AK342" s="14">
        <f t="shared" si="25"/>
        <v>0</v>
      </c>
      <c r="AL342" s="14">
        <f t="shared" si="25"/>
        <v>0.5</v>
      </c>
      <c r="AM342" s="14">
        <f t="shared" si="25"/>
        <v>0</v>
      </c>
      <c r="AN342" s="14">
        <f t="shared" si="25"/>
        <v>0</v>
      </c>
      <c r="AO342" s="14">
        <f t="shared" si="25"/>
        <v>-0.5</v>
      </c>
      <c r="AP342" s="14">
        <f t="shared" si="25"/>
        <v>0.5</v>
      </c>
      <c r="AQ342" s="14">
        <f t="shared" si="25"/>
        <v>0</v>
      </c>
      <c r="AR342" s="14">
        <f t="shared" si="25"/>
        <v>0</v>
      </c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</row>
    <row r="343">
      <c r="A343" s="8" t="s">
        <v>71</v>
      </c>
      <c r="B343" s="14">
        <f t="shared" ref="B343:X343" si="26">countifs(B$1:B$330,4,$A$1:$A$330,"M")</f>
        <v>0</v>
      </c>
      <c r="C343" s="14">
        <f t="shared" si="26"/>
        <v>4</v>
      </c>
      <c r="D343" s="14">
        <f t="shared" si="26"/>
        <v>0</v>
      </c>
      <c r="E343" s="14">
        <f t="shared" si="26"/>
        <v>5</v>
      </c>
      <c r="F343" s="14">
        <f t="shared" si="26"/>
        <v>1</v>
      </c>
      <c r="G343" s="14">
        <f t="shared" si="26"/>
        <v>0</v>
      </c>
      <c r="H343" s="14">
        <f t="shared" si="26"/>
        <v>5</v>
      </c>
      <c r="I343" s="14">
        <f t="shared" si="26"/>
        <v>7</v>
      </c>
      <c r="J343" s="14">
        <f t="shared" si="26"/>
        <v>0</v>
      </c>
      <c r="K343" s="14">
        <f t="shared" si="26"/>
        <v>0</v>
      </c>
      <c r="L343" s="14">
        <f t="shared" si="26"/>
        <v>7</v>
      </c>
      <c r="M343" s="14">
        <f t="shared" si="26"/>
        <v>2</v>
      </c>
      <c r="N343" s="14">
        <f t="shared" si="26"/>
        <v>5</v>
      </c>
      <c r="O343" s="14">
        <f t="shared" si="26"/>
        <v>2</v>
      </c>
      <c r="P343" s="14">
        <f t="shared" si="26"/>
        <v>0</v>
      </c>
      <c r="Q343" s="14">
        <f t="shared" si="26"/>
        <v>2</v>
      </c>
      <c r="R343" s="14">
        <f t="shared" si="26"/>
        <v>1</v>
      </c>
      <c r="S343" s="14">
        <f t="shared" si="26"/>
        <v>2</v>
      </c>
      <c r="T343" s="14">
        <f t="shared" si="26"/>
        <v>1</v>
      </c>
      <c r="U343" s="14">
        <f t="shared" si="26"/>
        <v>1</v>
      </c>
      <c r="V343" s="14">
        <f t="shared" si="26"/>
        <v>1</v>
      </c>
      <c r="W343" s="14">
        <f t="shared" si="26"/>
        <v>0</v>
      </c>
      <c r="X343" s="14">
        <f t="shared" si="26"/>
        <v>5</v>
      </c>
      <c r="Y343" s="14"/>
      <c r="Z343" s="14">
        <f t="shared" ref="Z343:AR343" si="27">countifs(Z$1:Z$330,4,$A$1:$A$330,"M")</f>
        <v>2</v>
      </c>
      <c r="AA343" s="14">
        <f t="shared" si="27"/>
        <v>0</v>
      </c>
      <c r="AB343" s="14">
        <f t="shared" si="27"/>
        <v>0</v>
      </c>
      <c r="AC343" s="14">
        <f t="shared" si="27"/>
        <v>2</v>
      </c>
      <c r="AD343" s="14">
        <f t="shared" si="27"/>
        <v>1</v>
      </c>
      <c r="AE343" s="14">
        <f t="shared" si="27"/>
        <v>0</v>
      </c>
      <c r="AF343" s="14">
        <f t="shared" si="27"/>
        <v>0</v>
      </c>
      <c r="AG343" s="14">
        <f t="shared" si="27"/>
        <v>3</v>
      </c>
      <c r="AH343" s="14">
        <f t="shared" si="27"/>
        <v>0</v>
      </c>
      <c r="AI343" s="14">
        <f t="shared" si="27"/>
        <v>0</v>
      </c>
      <c r="AJ343" s="14">
        <f t="shared" si="27"/>
        <v>0</v>
      </c>
      <c r="AK343" s="14">
        <f t="shared" si="27"/>
        <v>0</v>
      </c>
      <c r="AL343" s="14">
        <f t="shared" si="27"/>
        <v>6</v>
      </c>
      <c r="AM343" s="14">
        <f t="shared" si="27"/>
        <v>3</v>
      </c>
      <c r="AN343" s="14">
        <f t="shared" si="27"/>
        <v>0</v>
      </c>
      <c r="AO343" s="14">
        <f t="shared" si="27"/>
        <v>16</v>
      </c>
      <c r="AP343" s="14">
        <f t="shared" si="27"/>
        <v>4</v>
      </c>
      <c r="AQ343" s="14">
        <f t="shared" si="27"/>
        <v>0</v>
      </c>
      <c r="AR343" s="14">
        <f t="shared" si="27"/>
        <v>2</v>
      </c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</row>
    <row r="344">
      <c r="A344" s="8" t="s">
        <v>72</v>
      </c>
      <c r="B344" s="14">
        <f t="shared" ref="B344:X344" si="28">countifs(B$1:B$330,-4,$A$1:$A$330,"M")</f>
        <v>0</v>
      </c>
      <c r="C344" s="14">
        <f t="shared" si="28"/>
        <v>1</v>
      </c>
      <c r="D344" s="14">
        <f t="shared" si="28"/>
        <v>0</v>
      </c>
      <c r="E344" s="14">
        <f t="shared" si="28"/>
        <v>0</v>
      </c>
      <c r="F344" s="14">
        <f t="shared" si="28"/>
        <v>1</v>
      </c>
      <c r="G344" s="14">
        <f t="shared" si="28"/>
        <v>0</v>
      </c>
      <c r="H344" s="14">
        <f t="shared" si="28"/>
        <v>0</v>
      </c>
      <c r="I344" s="14">
        <f t="shared" si="28"/>
        <v>0</v>
      </c>
      <c r="J344" s="14">
        <f t="shared" si="28"/>
        <v>0</v>
      </c>
      <c r="K344" s="14">
        <f t="shared" si="28"/>
        <v>0</v>
      </c>
      <c r="L344" s="14">
        <f t="shared" si="28"/>
        <v>0</v>
      </c>
      <c r="M344" s="14">
        <f t="shared" si="28"/>
        <v>0</v>
      </c>
      <c r="N344" s="14">
        <f t="shared" si="28"/>
        <v>0</v>
      </c>
      <c r="O344" s="14">
        <f t="shared" si="28"/>
        <v>0</v>
      </c>
      <c r="P344" s="14">
        <f t="shared" si="28"/>
        <v>0</v>
      </c>
      <c r="Q344" s="14">
        <f t="shared" si="28"/>
        <v>0</v>
      </c>
      <c r="R344" s="14">
        <f t="shared" si="28"/>
        <v>0</v>
      </c>
      <c r="S344" s="14">
        <f t="shared" si="28"/>
        <v>0</v>
      </c>
      <c r="T344" s="14">
        <f t="shared" si="28"/>
        <v>0</v>
      </c>
      <c r="U344" s="14">
        <f t="shared" si="28"/>
        <v>0</v>
      </c>
      <c r="V344" s="14">
        <f t="shared" si="28"/>
        <v>0</v>
      </c>
      <c r="W344" s="14">
        <f t="shared" si="28"/>
        <v>0</v>
      </c>
      <c r="X344" s="14">
        <f t="shared" si="28"/>
        <v>0</v>
      </c>
      <c r="Y344" s="14"/>
      <c r="Z344" s="14">
        <f t="shared" ref="Z344:AR344" si="29">countifs(Z$1:Z$330,-4,$A$1:$A$330,"M")</f>
        <v>0</v>
      </c>
      <c r="AA344" s="14">
        <f t="shared" si="29"/>
        <v>0</v>
      </c>
      <c r="AB344" s="14">
        <f t="shared" si="29"/>
        <v>0</v>
      </c>
      <c r="AC344" s="14">
        <f t="shared" si="29"/>
        <v>1</v>
      </c>
      <c r="AD344" s="14">
        <f t="shared" si="29"/>
        <v>1</v>
      </c>
      <c r="AE344" s="14">
        <f t="shared" si="29"/>
        <v>0</v>
      </c>
      <c r="AF344" s="14">
        <f t="shared" si="29"/>
        <v>0</v>
      </c>
      <c r="AG344" s="14">
        <f t="shared" si="29"/>
        <v>0</v>
      </c>
      <c r="AH344" s="14">
        <f t="shared" si="29"/>
        <v>0</v>
      </c>
      <c r="AI344" s="14">
        <f t="shared" si="29"/>
        <v>0</v>
      </c>
      <c r="AJ344" s="14">
        <f t="shared" si="29"/>
        <v>0</v>
      </c>
      <c r="AK344" s="14">
        <f t="shared" si="29"/>
        <v>0</v>
      </c>
      <c r="AL344" s="14">
        <f t="shared" si="29"/>
        <v>0</v>
      </c>
      <c r="AM344" s="14">
        <f t="shared" si="29"/>
        <v>0</v>
      </c>
      <c r="AN344" s="14">
        <f t="shared" si="29"/>
        <v>0</v>
      </c>
      <c r="AO344" s="14">
        <f t="shared" si="29"/>
        <v>1</v>
      </c>
      <c r="AP344" s="14">
        <f t="shared" si="29"/>
        <v>0</v>
      </c>
      <c r="AQ344" s="14">
        <f t="shared" si="29"/>
        <v>0</v>
      </c>
      <c r="AR344" s="14">
        <f t="shared" si="29"/>
        <v>0</v>
      </c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</row>
    <row r="345">
      <c r="A345" s="8" t="s">
        <v>73</v>
      </c>
      <c r="B345" s="14">
        <f t="shared" ref="B345:X345" si="30">4*(B343-B344)/B$333</f>
        <v>0</v>
      </c>
      <c r="C345" s="14">
        <f t="shared" si="30"/>
        <v>1.2</v>
      </c>
      <c r="D345" s="14">
        <f t="shared" si="30"/>
        <v>0</v>
      </c>
      <c r="E345" s="14">
        <f t="shared" si="30"/>
        <v>2.5</v>
      </c>
      <c r="F345" s="14">
        <f t="shared" si="30"/>
        <v>0</v>
      </c>
      <c r="G345" s="14">
        <f t="shared" si="30"/>
        <v>0</v>
      </c>
      <c r="H345" s="14">
        <f t="shared" si="30"/>
        <v>2.857142857</v>
      </c>
      <c r="I345" s="14">
        <f t="shared" si="30"/>
        <v>3.111111111</v>
      </c>
      <c r="J345" s="14">
        <f t="shared" si="30"/>
        <v>0</v>
      </c>
      <c r="K345" s="14">
        <f t="shared" si="30"/>
        <v>0</v>
      </c>
      <c r="L345" s="14">
        <f t="shared" si="30"/>
        <v>4</v>
      </c>
      <c r="M345" s="14">
        <f t="shared" si="30"/>
        <v>2</v>
      </c>
      <c r="N345" s="14">
        <f t="shared" si="30"/>
        <v>2</v>
      </c>
      <c r="O345" s="14">
        <f t="shared" si="30"/>
        <v>1.333333333</v>
      </c>
      <c r="P345" s="14">
        <f t="shared" si="30"/>
        <v>0</v>
      </c>
      <c r="Q345" s="14">
        <f t="shared" si="30"/>
        <v>1.142857143</v>
      </c>
      <c r="R345" s="14">
        <f t="shared" si="30"/>
        <v>0.6666666667</v>
      </c>
      <c r="S345" s="14">
        <f t="shared" si="30"/>
        <v>1</v>
      </c>
      <c r="T345" s="14">
        <f t="shared" si="30"/>
        <v>0.6666666667</v>
      </c>
      <c r="U345" s="14">
        <f t="shared" si="30"/>
        <v>0.6666666667</v>
      </c>
      <c r="V345" s="14">
        <f t="shared" si="30"/>
        <v>0.4</v>
      </c>
      <c r="W345" s="14">
        <f t="shared" si="30"/>
        <v>0</v>
      </c>
      <c r="X345" s="14">
        <f t="shared" si="30"/>
        <v>2.5</v>
      </c>
      <c r="Y345" s="14"/>
      <c r="Z345" s="14">
        <f t="shared" ref="Z345:AR345" si="31">4*(Z343-Z344)/Z$333</f>
        <v>1.142857143</v>
      </c>
      <c r="AA345" s="14">
        <f t="shared" si="31"/>
        <v>0</v>
      </c>
      <c r="AB345" s="14">
        <f t="shared" si="31"/>
        <v>0</v>
      </c>
      <c r="AC345" s="14">
        <f t="shared" si="31"/>
        <v>0.6666666667</v>
      </c>
      <c r="AD345" s="14">
        <f t="shared" si="31"/>
        <v>0</v>
      </c>
      <c r="AE345" s="14">
        <f t="shared" si="31"/>
        <v>0</v>
      </c>
      <c r="AF345" s="14">
        <f t="shared" si="31"/>
        <v>0</v>
      </c>
      <c r="AG345" s="14">
        <f t="shared" si="31"/>
        <v>3</v>
      </c>
      <c r="AH345" s="14">
        <f t="shared" si="31"/>
        <v>0</v>
      </c>
      <c r="AI345" s="14">
        <f t="shared" si="31"/>
        <v>0</v>
      </c>
      <c r="AJ345" s="14">
        <f t="shared" si="31"/>
        <v>0</v>
      </c>
      <c r="AK345" s="14">
        <f t="shared" si="31"/>
        <v>0</v>
      </c>
      <c r="AL345" s="14">
        <f t="shared" si="31"/>
        <v>3</v>
      </c>
      <c r="AM345" s="14">
        <f t="shared" si="31"/>
        <v>3</v>
      </c>
      <c r="AN345" s="14">
        <f t="shared" si="31"/>
        <v>0</v>
      </c>
      <c r="AO345" s="14">
        <f t="shared" si="31"/>
        <v>7.5</v>
      </c>
      <c r="AP345" s="14">
        <f t="shared" si="31"/>
        <v>2</v>
      </c>
      <c r="AQ345" s="14">
        <f t="shared" si="31"/>
        <v>0</v>
      </c>
      <c r="AR345" s="14">
        <f t="shared" si="31"/>
        <v>2</v>
      </c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</row>
    <row r="346">
      <c r="A346" s="8" t="s">
        <v>74</v>
      </c>
      <c r="B346" s="14">
        <f t="shared" ref="B346:X346" si="32">countifs(B$1:B$330,4,$A$1:$A$330,"C")</f>
        <v>0</v>
      </c>
      <c r="C346" s="14">
        <f t="shared" si="32"/>
        <v>3</v>
      </c>
      <c r="D346" s="14">
        <f t="shared" si="32"/>
        <v>0</v>
      </c>
      <c r="E346" s="14">
        <f t="shared" si="32"/>
        <v>8</v>
      </c>
      <c r="F346" s="14">
        <f t="shared" si="32"/>
        <v>7</v>
      </c>
      <c r="G346" s="14">
        <f t="shared" si="32"/>
        <v>0</v>
      </c>
      <c r="H346" s="14">
        <f t="shared" si="32"/>
        <v>2</v>
      </c>
      <c r="I346" s="14">
        <f t="shared" si="32"/>
        <v>2</v>
      </c>
      <c r="J346" s="14">
        <f t="shared" si="32"/>
        <v>5</v>
      </c>
      <c r="K346" s="14">
        <f t="shared" si="32"/>
        <v>0</v>
      </c>
      <c r="L346" s="14">
        <f t="shared" si="32"/>
        <v>3</v>
      </c>
      <c r="M346" s="14">
        <f t="shared" si="32"/>
        <v>2</v>
      </c>
      <c r="N346" s="14">
        <f t="shared" si="32"/>
        <v>1</v>
      </c>
      <c r="O346" s="14">
        <f t="shared" si="32"/>
        <v>5</v>
      </c>
      <c r="P346" s="14">
        <f t="shared" si="32"/>
        <v>0</v>
      </c>
      <c r="Q346" s="14">
        <f t="shared" si="32"/>
        <v>6</v>
      </c>
      <c r="R346" s="14">
        <f t="shared" si="32"/>
        <v>2</v>
      </c>
      <c r="S346" s="14">
        <f t="shared" si="32"/>
        <v>10</v>
      </c>
      <c r="T346" s="14">
        <f t="shared" si="32"/>
        <v>0</v>
      </c>
      <c r="U346" s="14">
        <f t="shared" si="32"/>
        <v>2</v>
      </c>
      <c r="V346" s="14">
        <f t="shared" si="32"/>
        <v>3</v>
      </c>
      <c r="W346" s="14">
        <f t="shared" si="32"/>
        <v>0</v>
      </c>
      <c r="X346" s="14">
        <f t="shared" si="32"/>
        <v>0</v>
      </c>
      <c r="Y346" s="14"/>
      <c r="Z346" s="14">
        <f t="shared" ref="Z346:AR346" si="33">countifs(Z$1:Z$330,4,$A$1:$A$330,"C")</f>
        <v>1</v>
      </c>
      <c r="AA346" s="14">
        <f t="shared" si="33"/>
        <v>1</v>
      </c>
      <c r="AB346" s="14">
        <f t="shared" si="33"/>
        <v>0</v>
      </c>
      <c r="AC346" s="14">
        <f t="shared" si="33"/>
        <v>0</v>
      </c>
      <c r="AD346" s="14">
        <f t="shared" si="33"/>
        <v>0</v>
      </c>
      <c r="AE346" s="14">
        <f t="shared" si="33"/>
        <v>3</v>
      </c>
      <c r="AF346" s="14">
        <f t="shared" si="33"/>
        <v>3</v>
      </c>
      <c r="AG346" s="14">
        <f t="shared" si="33"/>
        <v>5</v>
      </c>
      <c r="AH346" s="14">
        <f t="shared" si="33"/>
        <v>0</v>
      </c>
      <c r="AI346" s="14">
        <f t="shared" si="33"/>
        <v>0</v>
      </c>
      <c r="AJ346" s="14">
        <f t="shared" si="33"/>
        <v>0</v>
      </c>
      <c r="AK346" s="14">
        <f t="shared" si="33"/>
        <v>0</v>
      </c>
      <c r="AL346" s="14">
        <f t="shared" si="33"/>
        <v>0</v>
      </c>
      <c r="AM346" s="14">
        <f t="shared" si="33"/>
        <v>0</v>
      </c>
      <c r="AN346" s="14">
        <f t="shared" si="33"/>
        <v>1</v>
      </c>
      <c r="AO346" s="14">
        <f t="shared" si="33"/>
        <v>1</v>
      </c>
      <c r="AP346" s="14">
        <f t="shared" si="33"/>
        <v>0</v>
      </c>
      <c r="AQ346" s="14">
        <f t="shared" si="33"/>
        <v>1</v>
      </c>
      <c r="AR346" s="14">
        <f t="shared" si="33"/>
        <v>0</v>
      </c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</row>
    <row r="347">
      <c r="A347" s="8" t="s">
        <v>75</v>
      </c>
      <c r="B347" s="14">
        <f t="shared" ref="B347:X347" si="34">countifs(B$1:B$330,-4,$A$1:$A$330,"C")</f>
        <v>0</v>
      </c>
      <c r="C347" s="14">
        <f t="shared" si="34"/>
        <v>0</v>
      </c>
      <c r="D347" s="14">
        <f t="shared" si="34"/>
        <v>0</v>
      </c>
      <c r="E347" s="14">
        <f t="shared" si="34"/>
        <v>0</v>
      </c>
      <c r="F347" s="14">
        <f t="shared" si="34"/>
        <v>0</v>
      </c>
      <c r="G347" s="14">
        <f t="shared" si="34"/>
        <v>0</v>
      </c>
      <c r="H347" s="14">
        <f t="shared" si="34"/>
        <v>0</v>
      </c>
      <c r="I347" s="14">
        <f t="shared" si="34"/>
        <v>0</v>
      </c>
      <c r="J347" s="14">
        <f t="shared" si="34"/>
        <v>0</v>
      </c>
      <c r="K347" s="14">
        <f t="shared" si="34"/>
        <v>0</v>
      </c>
      <c r="L347" s="14">
        <f t="shared" si="34"/>
        <v>0</v>
      </c>
      <c r="M347" s="14">
        <f t="shared" si="34"/>
        <v>1</v>
      </c>
      <c r="N347" s="14">
        <f t="shared" si="34"/>
        <v>0</v>
      </c>
      <c r="O347" s="14">
        <f t="shared" si="34"/>
        <v>0</v>
      </c>
      <c r="P347" s="14">
        <f t="shared" si="34"/>
        <v>0</v>
      </c>
      <c r="Q347" s="14">
        <f t="shared" si="34"/>
        <v>0</v>
      </c>
      <c r="R347" s="14">
        <f t="shared" si="34"/>
        <v>0</v>
      </c>
      <c r="S347" s="14">
        <f t="shared" si="34"/>
        <v>0</v>
      </c>
      <c r="T347" s="14">
        <f t="shared" si="34"/>
        <v>0</v>
      </c>
      <c r="U347" s="14">
        <f t="shared" si="34"/>
        <v>0</v>
      </c>
      <c r="V347" s="14">
        <f t="shared" si="34"/>
        <v>0</v>
      </c>
      <c r="W347" s="14">
        <f t="shared" si="34"/>
        <v>0</v>
      </c>
      <c r="X347" s="14">
        <f t="shared" si="34"/>
        <v>0</v>
      </c>
      <c r="Y347" s="14"/>
      <c r="Z347" s="14">
        <f t="shared" ref="Z347:AR347" si="35">countifs(Z$1:Z$330,-4,$A$1:$A$330,"C")</f>
        <v>0</v>
      </c>
      <c r="AA347" s="14">
        <f t="shared" si="35"/>
        <v>0</v>
      </c>
      <c r="AB347" s="14">
        <f t="shared" si="35"/>
        <v>0</v>
      </c>
      <c r="AC347" s="14">
        <f t="shared" si="35"/>
        <v>0</v>
      </c>
      <c r="AD347" s="14">
        <f t="shared" si="35"/>
        <v>0</v>
      </c>
      <c r="AE347" s="14">
        <f t="shared" si="35"/>
        <v>0</v>
      </c>
      <c r="AF347" s="14">
        <f t="shared" si="35"/>
        <v>0</v>
      </c>
      <c r="AG347" s="14">
        <f t="shared" si="35"/>
        <v>1</v>
      </c>
      <c r="AH347" s="14">
        <f t="shared" si="35"/>
        <v>0</v>
      </c>
      <c r="AI347" s="14">
        <f t="shared" si="35"/>
        <v>0</v>
      </c>
      <c r="AJ347" s="14">
        <f t="shared" si="35"/>
        <v>0</v>
      </c>
      <c r="AK347" s="14">
        <f t="shared" si="35"/>
        <v>0</v>
      </c>
      <c r="AL347" s="14">
        <f t="shared" si="35"/>
        <v>0</v>
      </c>
      <c r="AM347" s="14">
        <f t="shared" si="35"/>
        <v>0</v>
      </c>
      <c r="AN347" s="14">
        <f t="shared" si="35"/>
        <v>0</v>
      </c>
      <c r="AO347" s="14">
        <f t="shared" si="35"/>
        <v>0</v>
      </c>
      <c r="AP347" s="14">
        <f t="shared" si="35"/>
        <v>0</v>
      </c>
      <c r="AQ347" s="14">
        <f t="shared" si="35"/>
        <v>0</v>
      </c>
      <c r="AR347" s="14">
        <f t="shared" si="35"/>
        <v>0</v>
      </c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</row>
    <row r="348">
      <c r="A348" s="8" t="s">
        <v>76</v>
      </c>
      <c r="B348" s="14">
        <f t="shared" ref="B348:X348" si="36">4*(B346-B347)/B$333</f>
        <v>0</v>
      </c>
      <c r="C348" s="14">
        <f t="shared" si="36"/>
        <v>1.2</v>
      </c>
      <c r="D348" s="14">
        <f t="shared" si="36"/>
        <v>0</v>
      </c>
      <c r="E348" s="14">
        <f t="shared" si="36"/>
        <v>4</v>
      </c>
      <c r="F348" s="14">
        <f t="shared" si="36"/>
        <v>3.5</v>
      </c>
      <c r="G348" s="14">
        <f t="shared" si="36"/>
        <v>0</v>
      </c>
      <c r="H348" s="14">
        <f t="shared" si="36"/>
        <v>1.142857143</v>
      </c>
      <c r="I348" s="14">
        <f t="shared" si="36"/>
        <v>0.8888888889</v>
      </c>
      <c r="J348" s="14">
        <f t="shared" si="36"/>
        <v>2.857142857</v>
      </c>
      <c r="K348" s="14">
        <f t="shared" si="36"/>
        <v>0</v>
      </c>
      <c r="L348" s="14">
        <f t="shared" si="36"/>
        <v>1.714285714</v>
      </c>
      <c r="M348" s="14">
        <f t="shared" si="36"/>
        <v>1</v>
      </c>
      <c r="N348" s="14">
        <f t="shared" si="36"/>
        <v>0.4</v>
      </c>
      <c r="O348" s="14">
        <f t="shared" si="36"/>
        <v>3.333333333</v>
      </c>
      <c r="P348" s="14">
        <f t="shared" si="36"/>
        <v>0</v>
      </c>
      <c r="Q348" s="14">
        <f t="shared" si="36"/>
        <v>3.428571429</v>
      </c>
      <c r="R348" s="14">
        <f t="shared" si="36"/>
        <v>1.333333333</v>
      </c>
      <c r="S348" s="14">
        <f t="shared" si="36"/>
        <v>5</v>
      </c>
      <c r="T348" s="14">
        <f t="shared" si="36"/>
        <v>0</v>
      </c>
      <c r="U348" s="14">
        <f t="shared" si="36"/>
        <v>1.333333333</v>
      </c>
      <c r="V348" s="14">
        <f t="shared" si="36"/>
        <v>1.2</v>
      </c>
      <c r="W348" s="14">
        <f t="shared" si="36"/>
        <v>0</v>
      </c>
      <c r="X348" s="14">
        <f t="shared" si="36"/>
        <v>0</v>
      </c>
      <c r="Y348" s="14"/>
      <c r="Z348" s="14">
        <f t="shared" ref="Z348:AR348" si="37">4*(Z346-Z347)/Z$333</f>
        <v>0.5714285714</v>
      </c>
      <c r="AA348" s="14">
        <f t="shared" si="37"/>
        <v>0.5</v>
      </c>
      <c r="AB348" s="14">
        <f t="shared" si="37"/>
        <v>0</v>
      </c>
      <c r="AC348" s="14">
        <f t="shared" si="37"/>
        <v>0</v>
      </c>
      <c r="AD348" s="14">
        <f t="shared" si="37"/>
        <v>0</v>
      </c>
      <c r="AE348" s="14">
        <f t="shared" si="37"/>
        <v>1.714285714</v>
      </c>
      <c r="AF348" s="14">
        <f t="shared" si="37"/>
        <v>1.714285714</v>
      </c>
      <c r="AG348" s="14">
        <f t="shared" si="37"/>
        <v>4</v>
      </c>
      <c r="AH348" s="14">
        <f t="shared" si="37"/>
        <v>0</v>
      </c>
      <c r="AI348" s="14">
        <f t="shared" si="37"/>
        <v>0</v>
      </c>
      <c r="AJ348" s="14">
        <f t="shared" si="37"/>
        <v>0</v>
      </c>
      <c r="AK348" s="14">
        <f t="shared" si="37"/>
        <v>0</v>
      </c>
      <c r="AL348" s="14">
        <f t="shared" si="37"/>
        <v>0</v>
      </c>
      <c r="AM348" s="14">
        <f t="shared" si="37"/>
        <v>0</v>
      </c>
      <c r="AN348" s="14">
        <f t="shared" si="37"/>
        <v>1</v>
      </c>
      <c r="AO348" s="14">
        <f t="shared" si="37"/>
        <v>0.5</v>
      </c>
      <c r="AP348" s="14">
        <f t="shared" si="37"/>
        <v>0</v>
      </c>
      <c r="AQ348" s="14">
        <f t="shared" si="37"/>
        <v>1</v>
      </c>
      <c r="AR348" s="14">
        <f t="shared" si="37"/>
        <v>0</v>
      </c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</row>
    <row r="349">
      <c r="A349" s="8" t="s">
        <v>77</v>
      </c>
      <c r="B349" s="14">
        <f t="shared" ref="B349:X349" si="38">countifs(B$1:B$330,4,$A$1:$A$330,"E")</f>
        <v>1</v>
      </c>
      <c r="C349" s="14">
        <f t="shared" si="38"/>
        <v>2</v>
      </c>
      <c r="D349" s="14">
        <f t="shared" si="38"/>
        <v>0</v>
      </c>
      <c r="E349" s="14">
        <f t="shared" si="38"/>
        <v>3</v>
      </c>
      <c r="F349" s="14">
        <f t="shared" si="38"/>
        <v>13</v>
      </c>
      <c r="G349" s="14">
        <f t="shared" si="38"/>
        <v>13</v>
      </c>
      <c r="H349" s="14">
        <f t="shared" si="38"/>
        <v>1</v>
      </c>
      <c r="I349" s="14">
        <f t="shared" si="38"/>
        <v>2</v>
      </c>
      <c r="J349" s="14">
        <f t="shared" si="38"/>
        <v>1</v>
      </c>
      <c r="K349" s="14">
        <f t="shared" si="38"/>
        <v>0</v>
      </c>
      <c r="L349" s="14">
        <f t="shared" si="38"/>
        <v>6</v>
      </c>
      <c r="M349" s="14">
        <f t="shared" si="38"/>
        <v>0</v>
      </c>
      <c r="N349" s="14">
        <f t="shared" si="38"/>
        <v>1</v>
      </c>
      <c r="O349" s="14">
        <f t="shared" si="38"/>
        <v>0</v>
      </c>
      <c r="P349" s="14">
        <f t="shared" si="38"/>
        <v>5</v>
      </c>
      <c r="Q349" s="14">
        <f t="shared" si="38"/>
        <v>2</v>
      </c>
      <c r="R349" s="14">
        <f t="shared" si="38"/>
        <v>0</v>
      </c>
      <c r="S349" s="14">
        <f t="shared" si="38"/>
        <v>0</v>
      </c>
      <c r="T349" s="14">
        <f t="shared" si="38"/>
        <v>1</v>
      </c>
      <c r="U349" s="14">
        <f t="shared" si="38"/>
        <v>1</v>
      </c>
      <c r="V349" s="14">
        <f t="shared" si="38"/>
        <v>0</v>
      </c>
      <c r="W349" s="14">
        <f t="shared" si="38"/>
        <v>1</v>
      </c>
      <c r="X349" s="14">
        <f t="shared" si="38"/>
        <v>0</v>
      </c>
      <c r="Y349" s="14"/>
      <c r="Z349" s="14">
        <f t="shared" ref="Z349:AR349" si="39">countifs(Z$1:Z$330,4,$A$1:$A$330,"E")</f>
        <v>2</v>
      </c>
      <c r="AA349" s="14">
        <f t="shared" si="39"/>
        <v>8</v>
      </c>
      <c r="AB349" s="14">
        <f t="shared" si="39"/>
        <v>4</v>
      </c>
      <c r="AC349" s="14">
        <f t="shared" si="39"/>
        <v>1</v>
      </c>
      <c r="AD349" s="14">
        <f t="shared" si="39"/>
        <v>0</v>
      </c>
      <c r="AE349" s="14">
        <f t="shared" si="39"/>
        <v>2</v>
      </c>
      <c r="AF349" s="14">
        <f t="shared" si="39"/>
        <v>0</v>
      </c>
      <c r="AG349" s="14">
        <f t="shared" si="39"/>
        <v>1</v>
      </c>
      <c r="AH349" s="14">
        <f t="shared" si="39"/>
        <v>1</v>
      </c>
      <c r="AI349" s="14">
        <f t="shared" si="39"/>
        <v>2</v>
      </c>
      <c r="AJ349" s="14">
        <f t="shared" si="39"/>
        <v>0</v>
      </c>
      <c r="AK349" s="14">
        <f t="shared" si="39"/>
        <v>0</v>
      </c>
      <c r="AL349" s="14">
        <f t="shared" si="39"/>
        <v>1</v>
      </c>
      <c r="AM349" s="14">
        <f t="shared" si="39"/>
        <v>0</v>
      </c>
      <c r="AN349" s="14">
        <f t="shared" si="39"/>
        <v>0</v>
      </c>
      <c r="AO349" s="14">
        <f t="shared" si="39"/>
        <v>0</v>
      </c>
      <c r="AP349" s="14">
        <f t="shared" si="39"/>
        <v>5</v>
      </c>
      <c r="AQ349" s="14">
        <f t="shared" si="39"/>
        <v>1</v>
      </c>
      <c r="AR349" s="14">
        <f t="shared" si="39"/>
        <v>0</v>
      </c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</row>
    <row r="350">
      <c r="A350" s="8" t="s">
        <v>78</v>
      </c>
      <c r="B350" s="14">
        <f t="shared" ref="B350:X350" si="40">countifs(B$1:B$330,-4,$A$1:$A$330,"E")</f>
        <v>0</v>
      </c>
      <c r="C350" s="14">
        <f t="shared" si="40"/>
        <v>0</v>
      </c>
      <c r="D350" s="14">
        <f t="shared" si="40"/>
        <v>0</v>
      </c>
      <c r="E350" s="14">
        <f t="shared" si="40"/>
        <v>0</v>
      </c>
      <c r="F350" s="14">
        <f t="shared" si="40"/>
        <v>0</v>
      </c>
      <c r="G350" s="14">
        <f t="shared" si="40"/>
        <v>0</v>
      </c>
      <c r="H350" s="14">
        <f t="shared" si="40"/>
        <v>0</v>
      </c>
      <c r="I350" s="14">
        <f t="shared" si="40"/>
        <v>0</v>
      </c>
      <c r="J350" s="14">
        <f t="shared" si="40"/>
        <v>1</v>
      </c>
      <c r="K350" s="14">
        <f t="shared" si="40"/>
        <v>0</v>
      </c>
      <c r="L350" s="14">
        <f t="shared" si="40"/>
        <v>0</v>
      </c>
      <c r="M350" s="14">
        <f t="shared" si="40"/>
        <v>0</v>
      </c>
      <c r="N350" s="14">
        <f t="shared" si="40"/>
        <v>0</v>
      </c>
      <c r="O350" s="14">
        <f t="shared" si="40"/>
        <v>0</v>
      </c>
      <c r="P350" s="14">
        <f t="shared" si="40"/>
        <v>0</v>
      </c>
      <c r="Q350" s="14">
        <f t="shared" si="40"/>
        <v>0</v>
      </c>
      <c r="R350" s="14">
        <f t="shared" si="40"/>
        <v>1</v>
      </c>
      <c r="S350" s="14">
        <f t="shared" si="40"/>
        <v>0</v>
      </c>
      <c r="T350" s="14">
        <f t="shared" si="40"/>
        <v>0</v>
      </c>
      <c r="U350" s="14">
        <f t="shared" si="40"/>
        <v>0</v>
      </c>
      <c r="V350" s="14">
        <f t="shared" si="40"/>
        <v>0</v>
      </c>
      <c r="W350" s="14">
        <f t="shared" si="40"/>
        <v>0</v>
      </c>
      <c r="X350" s="14">
        <f t="shared" si="40"/>
        <v>0</v>
      </c>
      <c r="Y350" s="14"/>
      <c r="Z350" s="14">
        <f t="shared" ref="Z350:AR350" si="41">countifs(Z$1:Z$330,-4,$A$1:$A$330,"E")</f>
        <v>0</v>
      </c>
      <c r="AA350" s="14">
        <f t="shared" si="41"/>
        <v>1</v>
      </c>
      <c r="AB350" s="14">
        <f t="shared" si="41"/>
        <v>1</v>
      </c>
      <c r="AC350" s="14">
        <f t="shared" si="41"/>
        <v>0</v>
      </c>
      <c r="AD350" s="14">
        <f t="shared" si="41"/>
        <v>1</v>
      </c>
      <c r="AE350" s="14">
        <f t="shared" si="41"/>
        <v>0</v>
      </c>
      <c r="AF350" s="14">
        <f t="shared" si="41"/>
        <v>0</v>
      </c>
      <c r="AG350" s="14">
        <f t="shared" si="41"/>
        <v>0</v>
      </c>
      <c r="AH350" s="14">
        <f t="shared" si="41"/>
        <v>0</v>
      </c>
      <c r="AI350" s="14">
        <f t="shared" si="41"/>
        <v>0</v>
      </c>
      <c r="AJ350" s="14">
        <f t="shared" si="41"/>
        <v>0</v>
      </c>
      <c r="AK350" s="14">
        <f t="shared" si="41"/>
        <v>0</v>
      </c>
      <c r="AL350" s="14">
        <f t="shared" si="41"/>
        <v>0</v>
      </c>
      <c r="AM350" s="14">
        <f t="shared" si="41"/>
        <v>0</v>
      </c>
      <c r="AN350" s="14">
        <f t="shared" si="41"/>
        <v>0</v>
      </c>
      <c r="AO350" s="14">
        <f t="shared" si="41"/>
        <v>0</v>
      </c>
      <c r="AP350" s="14">
        <f t="shared" si="41"/>
        <v>2</v>
      </c>
      <c r="AQ350" s="14">
        <f t="shared" si="41"/>
        <v>2</v>
      </c>
      <c r="AR350" s="14">
        <f t="shared" si="41"/>
        <v>0</v>
      </c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</row>
    <row r="351">
      <c r="A351" s="8" t="s">
        <v>79</v>
      </c>
      <c r="B351" s="14">
        <f t="shared" ref="B351:X351" si="42">4*(B349-B350)/B$333</f>
        <v>0.5714285714</v>
      </c>
      <c r="C351" s="14">
        <f t="shared" si="42"/>
        <v>0.8</v>
      </c>
      <c r="D351" s="14">
        <f t="shared" si="42"/>
        <v>0</v>
      </c>
      <c r="E351" s="14">
        <f t="shared" si="42"/>
        <v>1.5</v>
      </c>
      <c r="F351" s="14">
        <f t="shared" si="42"/>
        <v>6.5</v>
      </c>
      <c r="G351" s="14">
        <f t="shared" si="42"/>
        <v>5.2</v>
      </c>
      <c r="H351" s="14">
        <f t="shared" si="42"/>
        <v>0.5714285714</v>
      </c>
      <c r="I351" s="14">
        <f t="shared" si="42"/>
        <v>0.8888888889</v>
      </c>
      <c r="J351" s="14">
        <f t="shared" si="42"/>
        <v>0</v>
      </c>
      <c r="K351" s="14">
        <f t="shared" si="42"/>
        <v>0</v>
      </c>
      <c r="L351" s="14">
        <f t="shared" si="42"/>
        <v>3.428571429</v>
      </c>
      <c r="M351" s="14">
        <f t="shared" si="42"/>
        <v>0</v>
      </c>
      <c r="N351" s="14">
        <f t="shared" si="42"/>
        <v>0.4</v>
      </c>
      <c r="O351" s="14">
        <f t="shared" si="42"/>
        <v>0</v>
      </c>
      <c r="P351" s="14">
        <f t="shared" si="42"/>
        <v>2.5</v>
      </c>
      <c r="Q351" s="14">
        <f t="shared" si="42"/>
        <v>1.142857143</v>
      </c>
      <c r="R351" s="14">
        <f t="shared" si="42"/>
        <v>-0.6666666667</v>
      </c>
      <c r="S351" s="14">
        <f t="shared" si="42"/>
        <v>0</v>
      </c>
      <c r="T351" s="14">
        <f t="shared" si="42"/>
        <v>0.6666666667</v>
      </c>
      <c r="U351" s="14">
        <f t="shared" si="42"/>
        <v>0.6666666667</v>
      </c>
      <c r="V351" s="14">
        <f t="shared" si="42"/>
        <v>0</v>
      </c>
      <c r="W351" s="14">
        <f t="shared" si="42"/>
        <v>1</v>
      </c>
      <c r="X351" s="14">
        <f t="shared" si="42"/>
        <v>0</v>
      </c>
      <c r="Y351" s="14"/>
      <c r="Z351" s="14">
        <f t="shared" ref="Z351:AR351" si="43">4*(Z349-Z350)/Z$333</f>
        <v>1.142857143</v>
      </c>
      <c r="AA351" s="14">
        <f t="shared" si="43"/>
        <v>3.5</v>
      </c>
      <c r="AB351" s="14">
        <f t="shared" si="43"/>
        <v>1.714285714</v>
      </c>
      <c r="AC351" s="14">
        <f t="shared" si="43"/>
        <v>0.6666666667</v>
      </c>
      <c r="AD351" s="14">
        <f t="shared" si="43"/>
        <v>-0.5714285714</v>
      </c>
      <c r="AE351" s="14">
        <f t="shared" si="43"/>
        <v>1.142857143</v>
      </c>
      <c r="AF351" s="14">
        <f t="shared" si="43"/>
        <v>0</v>
      </c>
      <c r="AG351" s="14">
        <f t="shared" si="43"/>
        <v>1</v>
      </c>
      <c r="AH351" s="14">
        <f t="shared" si="43"/>
        <v>1</v>
      </c>
      <c r="AI351" s="14">
        <f t="shared" si="43"/>
        <v>2</v>
      </c>
      <c r="AJ351" s="14">
        <f t="shared" si="43"/>
        <v>0</v>
      </c>
      <c r="AK351" s="14">
        <f t="shared" si="43"/>
        <v>0</v>
      </c>
      <c r="AL351" s="14">
        <f t="shared" si="43"/>
        <v>0.5</v>
      </c>
      <c r="AM351" s="14">
        <f t="shared" si="43"/>
        <v>0</v>
      </c>
      <c r="AN351" s="14">
        <f t="shared" si="43"/>
        <v>0</v>
      </c>
      <c r="AO351" s="14">
        <f t="shared" si="43"/>
        <v>0</v>
      </c>
      <c r="AP351" s="14">
        <f t="shared" si="43"/>
        <v>1.5</v>
      </c>
      <c r="AQ351" s="14">
        <f t="shared" si="43"/>
        <v>-1</v>
      </c>
      <c r="AR351" s="14">
        <f t="shared" si="43"/>
        <v>0</v>
      </c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</row>
    <row r="352">
      <c r="A352" s="8" t="s">
        <v>80</v>
      </c>
      <c r="B352" s="14">
        <f t="shared" ref="B352:X352" si="44">countifs(B$1:B$330,4,$A$1:$A$330,"B")</f>
        <v>1</v>
      </c>
      <c r="C352" s="14">
        <f t="shared" si="44"/>
        <v>10</v>
      </c>
      <c r="D352" s="14">
        <f t="shared" si="44"/>
        <v>4</v>
      </c>
      <c r="E352" s="14">
        <f t="shared" si="44"/>
        <v>4</v>
      </c>
      <c r="F352" s="14">
        <f t="shared" si="44"/>
        <v>12</v>
      </c>
      <c r="G352" s="14">
        <f t="shared" si="44"/>
        <v>0</v>
      </c>
      <c r="H352" s="14">
        <f t="shared" si="44"/>
        <v>2</v>
      </c>
      <c r="I352" s="14">
        <f t="shared" si="44"/>
        <v>2</v>
      </c>
      <c r="J352" s="14">
        <f t="shared" si="44"/>
        <v>1</v>
      </c>
      <c r="K352" s="14">
        <f t="shared" si="44"/>
        <v>1</v>
      </c>
      <c r="L352" s="14">
        <f t="shared" si="44"/>
        <v>5</v>
      </c>
      <c r="M352" s="14">
        <f t="shared" si="44"/>
        <v>1</v>
      </c>
      <c r="N352" s="14">
        <f t="shared" si="44"/>
        <v>0</v>
      </c>
      <c r="O352" s="14">
        <f t="shared" si="44"/>
        <v>0</v>
      </c>
      <c r="P352" s="14">
        <f t="shared" si="44"/>
        <v>2</v>
      </c>
      <c r="Q352" s="14">
        <f t="shared" si="44"/>
        <v>1</v>
      </c>
      <c r="R352" s="14">
        <f t="shared" si="44"/>
        <v>0</v>
      </c>
      <c r="S352" s="14">
        <f t="shared" si="44"/>
        <v>0</v>
      </c>
      <c r="T352" s="14">
        <f t="shared" si="44"/>
        <v>0</v>
      </c>
      <c r="U352" s="14">
        <f t="shared" si="44"/>
        <v>1</v>
      </c>
      <c r="V352" s="14">
        <f t="shared" si="44"/>
        <v>6</v>
      </c>
      <c r="W352" s="14">
        <f t="shared" si="44"/>
        <v>0</v>
      </c>
      <c r="X352" s="14">
        <f t="shared" si="44"/>
        <v>0</v>
      </c>
      <c r="Y352" s="14"/>
      <c r="Z352" s="14">
        <f t="shared" ref="Z352:AR352" si="45">countifs(Z$1:Z$330,4,$A$1:$A$330,"B")</f>
        <v>3</v>
      </c>
      <c r="AA352" s="14">
        <f t="shared" si="45"/>
        <v>1</v>
      </c>
      <c r="AB352" s="14">
        <f t="shared" si="45"/>
        <v>0</v>
      </c>
      <c r="AC352" s="14">
        <f t="shared" si="45"/>
        <v>0</v>
      </c>
      <c r="AD352" s="14">
        <f t="shared" si="45"/>
        <v>0</v>
      </c>
      <c r="AE352" s="14">
        <f t="shared" si="45"/>
        <v>7</v>
      </c>
      <c r="AF352" s="14">
        <f t="shared" si="45"/>
        <v>4</v>
      </c>
      <c r="AG352" s="14">
        <f t="shared" si="45"/>
        <v>2</v>
      </c>
      <c r="AH352" s="14">
        <f t="shared" si="45"/>
        <v>0</v>
      </c>
      <c r="AI352" s="14">
        <f t="shared" si="45"/>
        <v>1</v>
      </c>
      <c r="AJ352" s="14">
        <f t="shared" si="45"/>
        <v>0</v>
      </c>
      <c r="AK352" s="14">
        <f t="shared" si="45"/>
        <v>0</v>
      </c>
      <c r="AL352" s="14">
        <f t="shared" si="45"/>
        <v>4</v>
      </c>
      <c r="AM352" s="14">
        <f t="shared" si="45"/>
        <v>0</v>
      </c>
      <c r="AN352" s="14">
        <f t="shared" si="45"/>
        <v>0</v>
      </c>
      <c r="AO352" s="14">
        <f t="shared" si="45"/>
        <v>0</v>
      </c>
      <c r="AP352" s="14">
        <f t="shared" si="45"/>
        <v>0</v>
      </c>
      <c r="AQ352" s="14">
        <f t="shared" si="45"/>
        <v>1</v>
      </c>
      <c r="AR352" s="14">
        <f t="shared" si="45"/>
        <v>0</v>
      </c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</row>
    <row r="353">
      <c r="A353" s="8" t="s">
        <v>81</v>
      </c>
      <c r="B353" s="14">
        <f t="shared" ref="B353:X353" si="46">countifs(B$1:B$330,-4,$A$1:$A$330,"B")</f>
        <v>0</v>
      </c>
      <c r="C353" s="14">
        <f t="shared" si="46"/>
        <v>1</v>
      </c>
      <c r="D353" s="14">
        <f t="shared" si="46"/>
        <v>0</v>
      </c>
      <c r="E353" s="14">
        <f t="shared" si="46"/>
        <v>0</v>
      </c>
      <c r="F353" s="14">
        <f t="shared" si="46"/>
        <v>4</v>
      </c>
      <c r="G353" s="14">
        <f t="shared" si="46"/>
        <v>0</v>
      </c>
      <c r="H353" s="14">
        <f t="shared" si="46"/>
        <v>0</v>
      </c>
      <c r="I353" s="14">
        <f t="shared" si="46"/>
        <v>0</v>
      </c>
      <c r="J353" s="14">
        <f t="shared" si="46"/>
        <v>0</v>
      </c>
      <c r="K353" s="14">
        <f t="shared" si="46"/>
        <v>0</v>
      </c>
      <c r="L353" s="14">
        <f t="shared" si="46"/>
        <v>0</v>
      </c>
      <c r="M353" s="14">
        <f t="shared" si="46"/>
        <v>0</v>
      </c>
      <c r="N353" s="14">
        <f t="shared" si="46"/>
        <v>0</v>
      </c>
      <c r="O353" s="14">
        <f t="shared" si="46"/>
        <v>1</v>
      </c>
      <c r="P353" s="14">
        <f t="shared" si="46"/>
        <v>3</v>
      </c>
      <c r="Q353" s="14">
        <f t="shared" si="46"/>
        <v>0</v>
      </c>
      <c r="R353" s="14">
        <f t="shared" si="46"/>
        <v>0</v>
      </c>
      <c r="S353" s="14">
        <f t="shared" si="46"/>
        <v>0</v>
      </c>
      <c r="T353" s="14">
        <f t="shared" si="46"/>
        <v>0</v>
      </c>
      <c r="U353" s="14">
        <f t="shared" si="46"/>
        <v>0</v>
      </c>
      <c r="V353" s="14">
        <f t="shared" si="46"/>
        <v>1</v>
      </c>
      <c r="W353" s="14">
        <f t="shared" si="46"/>
        <v>0</v>
      </c>
      <c r="X353" s="14">
        <f t="shared" si="46"/>
        <v>0</v>
      </c>
      <c r="Y353" s="14"/>
      <c r="Z353" s="14">
        <f t="shared" ref="Z353:AR353" si="47">countifs(Z$1:Z$330,-4,$A$1:$A$330,"B")</f>
        <v>0</v>
      </c>
      <c r="AA353" s="14">
        <f t="shared" si="47"/>
        <v>0</v>
      </c>
      <c r="AB353" s="14">
        <f t="shared" si="47"/>
        <v>0</v>
      </c>
      <c r="AC353" s="14">
        <f t="shared" si="47"/>
        <v>0</v>
      </c>
      <c r="AD353" s="14">
        <f t="shared" si="47"/>
        <v>0</v>
      </c>
      <c r="AE353" s="14">
        <f t="shared" si="47"/>
        <v>0</v>
      </c>
      <c r="AF353" s="14">
        <f t="shared" si="47"/>
        <v>0</v>
      </c>
      <c r="AG353" s="14">
        <f t="shared" si="47"/>
        <v>1</v>
      </c>
      <c r="AH353" s="14">
        <f t="shared" si="47"/>
        <v>0</v>
      </c>
      <c r="AI353" s="14">
        <f t="shared" si="47"/>
        <v>0</v>
      </c>
      <c r="AJ353" s="14">
        <f t="shared" si="47"/>
        <v>0</v>
      </c>
      <c r="AK353" s="14">
        <f t="shared" si="47"/>
        <v>0</v>
      </c>
      <c r="AL353" s="14">
        <f t="shared" si="47"/>
        <v>0</v>
      </c>
      <c r="AM353" s="14">
        <f t="shared" si="47"/>
        <v>0</v>
      </c>
      <c r="AN353" s="14">
        <f t="shared" si="47"/>
        <v>0</v>
      </c>
      <c r="AO353" s="14">
        <f t="shared" si="47"/>
        <v>0</v>
      </c>
      <c r="AP353" s="14">
        <f t="shared" si="47"/>
        <v>0</v>
      </c>
      <c r="AQ353" s="14">
        <f t="shared" si="47"/>
        <v>0</v>
      </c>
      <c r="AR353" s="14">
        <f t="shared" si="47"/>
        <v>0</v>
      </c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</row>
    <row r="354">
      <c r="A354" s="8" t="s">
        <v>82</v>
      </c>
      <c r="B354" s="14">
        <f t="shared" ref="B354:X354" si="48">4*(B352-B353)/B$333</f>
        <v>0.5714285714</v>
      </c>
      <c r="C354" s="14">
        <f t="shared" si="48"/>
        <v>3.6</v>
      </c>
      <c r="D354" s="14">
        <f t="shared" si="48"/>
        <v>2.285714286</v>
      </c>
      <c r="E354" s="14">
        <f t="shared" si="48"/>
        <v>2</v>
      </c>
      <c r="F354" s="14">
        <f t="shared" si="48"/>
        <v>4</v>
      </c>
      <c r="G354" s="14">
        <f t="shared" si="48"/>
        <v>0</v>
      </c>
      <c r="H354" s="14">
        <f t="shared" si="48"/>
        <v>1.142857143</v>
      </c>
      <c r="I354" s="14">
        <f t="shared" si="48"/>
        <v>0.8888888889</v>
      </c>
      <c r="J354" s="14">
        <f t="shared" si="48"/>
        <v>0.5714285714</v>
      </c>
      <c r="K354" s="14">
        <f t="shared" si="48"/>
        <v>0.6666666667</v>
      </c>
      <c r="L354" s="14">
        <f t="shared" si="48"/>
        <v>2.857142857</v>
      </c>
      <c r="M354" s="14">
        <f t="shared" si="48"/>
        <v>1</v>
      </c>
      <c r="N354" s="14">
        <f t="shared" si="48"/>
        <v>0</v>
      </c>
      <c r="O354" s="14">
        <f t="shared" si="48"/>
        <v>-0.6666666667</v>
      </c>
      <c r="P354" s="14">
        <f t="shared" si="48"/>
        <v>-0.5</v>
      </c>
      <c r="Q354" s="14">
        <f t="shared" si="48"/>
        <v>0.5714285714</v>
      </c>
      <c r="R354" s="14">
        <f t="shared" si="48"/>
        <v>0</v>
      </c>
      <c r="S354" s="14">
        <f t="shared" si="48"/>
        <v>0</v>
      </c>
      <c r="T354" s="14">
        <f t="shared" si="48"/>
        <v>0</v>
      </c>
      <c r="U354" s="14">
        <f t="shared" si="48"/>
        <v>0.6666666667</v>
      </c>
      <c r="V354" s="14">
        <f t="shared" si="48"/>
        <v>2</v>
      </c>
      <c r="W354" s="14">
        <f t="shared" si="48"/>
        <v>0</v>
      </c>
      <c r="X354" s="14">
        <f t="shared" si="48"/>
        <v>0</v>
      </c>
      <c r="Y354" s="14"/>
      <c r="Z354" s="14">
        <f t="shared" ref="Z354:AR354" si="49">4*(Z352-Z353)/Z$333</f>
        <v>1.714285714</v>
      </c>
      <c r="AA354" s="14">
        <f t="shared" si="49"/>
        <v>0.5</v>
      </c>
      <c r="AB354" s="14">
        <f t="shared" si="49"/>
        <v>0</v>
      </c>
      <c r="AC354" s="14">
        <f t="shared" si="49"/>
        <v>0</v>
      </c>
      <c r="AD354" s="14">
        <f t="shared" si="49"/>
        <v>0</v>
      </c>
      <c r="AE354" s="14">
        <f t="shared" si="49"/>
        <v>4</v>
      </c>
      <c r="AF354" s="14">
        <f t="shared" si="49"/>
        <v>2.285714286</v>
      </c>
      <c r="AG354" s="14">
        <f t="shared" si="49"/>
        <v>1</v>
      </c>
      <c r="AH354" s="14">
        <f t="shared" si="49"/>
        <v>0</v>
      </c>
      <c r="AI354" s="14">
        <f t="shared" si="49"/>
        <v>1</v>
      </c>
      <c r="AJ354" s="14">
        <f t="shared" si="49"/>
        <v>0</v>
      </c>
      <c r="AK354" s="14">
        <f t="shared" si="49"/>
        <v>0</v>
      </c>
      <c r="AL354" s="14">
        <f t="shared" si="49"/>
        <v>2</v>
      </c>
      <c r="AM354" s="14">
        <f t="shared" si="49"/>
        <v>0</v>
      </c>
      <c r="AN354" s="14">
        <f t="shared" si="49"/>
        <v>0</v>
      </c>
      <c r="AO354" s="14">
        <f t="shared" si="49"/>
        <v>0</v>
      </c>
      <c r="AP354" s="14">
        <f t="shared" si="49"/>
        <v>0</v>
      </c>
      <c r="AQ354" s="14">
        <f t="shared" si="49"/>
        <v>1</v>
      </c>
      <c r="AR354" s="14">
        <f t="shared" si="49"/>
        <v>0</v>
      </c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</row>
    <row r="355">
      <c r="A355" s="8" t="s">
        <v>83</v>
      </c>
      <c r="B355" s="14">
        <f t="shared" ref="B355:X355" si="50">countifs(B$1:B$330,4,$A$1:$A$330,"P")</f>
        <v>0</v>
      </c>
      <c r="C355" s="14">
        <f t="shared" si="50"/>
        <v>7</v>
      </c>
      <c r="D355" s="14">
        <f t="shared" si="50"/>
        <v>0</v>
      </c>
      <c r="E355" s="14">
        <f t="shared" si="50"/>
        <v>4</v>
      </c>
      <c r="F355" s="14">
        <f t="shared" si="50"/>
        <v>10</v>
      </c>
      <c r="G355" s="14">
        <f t="shared" si="50"/>
        <v>0</v>
      </c>
      <c r="H355" s="14">
        <f t="shared" si="50"/>
        <v>3</v>
      </c>
      <c r="I355" s="14">
        <f t="shared" si="50"/>
        <v>1</v>
      </c>
      <c r="J355" s="14">
        <f t="shared" si="50"/>
        <v>1</v>
      </c>
      <c r="K355" s="14">
        <f t="shared" si="50"/>
        <v>0</v>
      </c>
      <c r="L355" s="14">
        <f t="shared" si="50"/>
        <v>6</v>
      </c>
      <c r="M355" s="14">
        <f t="shared" si="50"/>
        <v>1</v>
      </c>
      <c r="N355" s="14">
        <f t="shared" si="50"/>
        <v>2</v>
      </c>
      <c r="O355" s="14">
        <f t="shared" si="50"/>
        <v>0</v>
      </c>
      <c r="P355" s="14">
        <f t="shared" si="50"/>
        <v>0</v>
      </c>
      <c r="Q355" s="14">
        <f t="shared" si="50"/>
        <v>4</v>
      </c>
      <c r="R355" s="14">
        <f t="shared" si="50"/>
        <v>2</v>
      </c>
      <c r="S355" s="14">
        <f t="shared" si="50"/>
        <v>2</v>
      </c>
      <c r="T355" s="14">
        <f t="shared" si="50"/>
        <v>1</v>
      </c>
      <c r="U355" s="14">
        <f t="shared" si="50"/>
        <v>2</v>
      </c>
      <c r="V355" s="14">
        <f t="shared" si="50"/>
        <v>0</v>
      </c>
      <c r="W355" s="14">
        <f t="shared" si="50"/>
        <v>0</v>
      </c>
      <c r="X355" s="14">
        <f t="shared" si="50"/>
        <v>8</v>
      </c>
      <c r="Y355" s="14"/>
      <c r="Z355" s="14">
        <f t="shared" ref="Z355:AR355" si="51">countifs(Z$1:Z$330,4,$A$1:$A$330,"P")</f>
        <v>3</v>
      </c>
      <c r="AA355" s="14">
        <f t="shared" si="51"/>
        <v>0</v>
      </c>
      <c r="AB355" s="14">
        <f t="shared" si="51"/>
        <v>3</v>
      </c>
      <c r="AC355" s="14">
        <f t="shared" si="51"/>
        <v>1</v>
      </c>
      <c r="AD355" s="14">
        <f t="shared" si="51"/>
        <v>0</v>
      </c>
      <c r="AE355" s="14">
        <f t="shared" si="51"/>
        <v>1</v>
      </c>
      <c r="AF355" s="14">
        <f t="shared" si="51"/>
        <v>1</v>
      </c>
      <c r="AG355" s="14">
        <f t="shared" si="51"/>
        <v>2</v>
      </c>
      <c r="AH355" s="14">
        <f t="shared" si="51"/>
        <v>1</v>
      </c>
      <c r="AI355" s="14">
        <f t="shared" si="51"/>
        <v>0</v>
      </c>
      <c r="AJ355" s="14">
        <f t="shared" si="51"/>
        <v>0</v>
      </c>
      <c r="AK355" s="14">
        <f t="shared" si="51"/>
        <v>0</v>
      </c>
      <c r="AL355" s="14">
        <f t="shared" si="51"/>
        <v>1</v>
      </c>
      <c r="AM355" s="14">
        <f t="shared" si="51"/>
        <v>0</v>
      </c>
      <c r="AN355" s="14">
        <f t="shared" si="51"/>
        <v>1</v>
      </c>
      <c r="AO355" s="14">
        <f t="shared" si="51"/>
        <v>1</v>
      </c>
      <c r="AP355" s="14">
        <f t="shared" si="51"/>
        <v>1</v>
      </c>
      <c r="AQ355" s="14">
        <f t="shared" si="51"/>
        <v>3</v>
      </c>
      <c r="AR355" s="14">
        <f t="shared" si="51"/>
        <v>0</v>
      </c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</row>
    <row r="356">
      <c r="A356" s="8" t="s">
        <v>84</v>
      </c>
      <c r="B356" s="14">
        <f t="shared" ref="B356:X356" si="52">countifs(B$1:B$330,-4,$A$1:$A$330,"P")</f>
        <v>0</v>
      </c>
      <c r="C356" s="14">
        <f t="shared" si="52"/>
        <v>0</v>
      </c>
      <c r="D356" s="14">
        <f t="shared" si="52"/>
        <v>0</v>
      </c>
      <c r="E356" s="14">
        <f t="shared" si="52"/>
        <v>0</v>
      </c>
      <c r="F356" s="14">
        <f t="shared" si="52"/>
        <v>2</v>
      </c>
      <c r="G356" s="14">
        <f t="shared" si="52"/>
        <v>0</v>
      </c>
      <c r="H356" s="14">
        <f t="shared" si="52"/>
        <v>0</v>
      </c>
      <c r="I356" s="14">
        <f t="shared" si="52"/>
        <v>0</v>
      </c>
      <c r="J356" s="14">
        <f t="shared" si="52"/>
        <v>0</v>
      </c>
      <c r="K356" s="14">
        <f t="shared" si="52"/>
        <v>0</v>
      </c>
      <c r="L356" s="14">
        <f t="shared" si="52"/>
        <v>1</v>
      </c>
      <c r="M356" s="14">
        <f t="shared" si="52"/>
        <v>0</v>
      </c>
      <c r="N356" s="14">
        <f t="shared" si="52"/>
        <v>0</v>
      </c>
      <c r="O356" s="14">
        <f t="shared" si="52"/>
        <v>0</v>
      </c>
      <c r="P356" s="14">
        <f t="shared" si="52"/>
        <v>0</v>
      </c>
      <c r="Q356" s="14">
        <f t="shared" si="52"/>
        <v>0</v>
      </c>
      <c r="R356" s="14">
        <f t="shared" si="52"/>
        <v>0</v>
      </c>
      <c r="S356" s="14">
        <f t="shared" si="52"/>
        <v>0</v>
      </c>
      <c r="T356" s="14">
        <f t="shared" si="52"/>
        <v>0</v>
      </c>
      <c r="U356" s="14">
        <f t="shared" si="52"/>
        <v>0</v>
      </c>
      <c r="V356" s="14">
        <f t="shared" si="52"/>
        <v>0</v>
      </c>
      <c r="W356" s="14">
        <f t="shared" si="52"/>
        <v>0</v>
      </c>
      <c r="X356" s="14">
        <f t="shared" si="52"/>
        <v>0</v>
      </c>
      <c r="Y356" s="14"/>
      <c r="Z356" s="14">
        <f t="shared" ref="Z356:AR356" si="53">countifs(Z$1:Z$330,-4,$A$1:$A$330,"P")</f>
        <v>0</v>
      </c>
      <c r="AA356" s="14">
        <f t="shared" si="53"/>
        <v>0</v>
      </c>
      <c r="AB356" s="14">
        <f t="shared" si="53"/>
        <v>0</v>
      </c>
      <c r="AC356" s="14">
        <f t="shared" si="53"/>
        <v>0</v>
      </c>
      <c r="AD356" s="14">
        <f t="shared" si="53"/>
        <v>0</v>
      </c>
      <c r="AE356" s="14">
        <f t="shared" si="53"/>
        <v>0</v>
      </c>
      <c r="AF356" s="14">
        <f t="shared" si="53"/>
        <v>0</v>
      </c>
      <c r="AG356" s="14">
        <f t="shared" si="53"/>
        <v>0</v>
      </c>
      <c r="AH356" s="14">
        <f t="shared" si="53"/>
        <v>0</v>
      </c>
      <c r="AI356" s="14">
        <f t="shared" si="53"/>
        <v>0</v>
      </c>
      <c r="AJ356" s="14">
        <f t="shared" si="53"/>
        <v>0</v>
      </c>
      <c r="AK356" s="14">
        <f t="shared" si="53"/>
        <v>0</v>
      </c>
      <c r="AL356" s="14">
        <f t="shared" si="53"/>
        <v>0</v>
      </c>
      <c r="AM356" s="14">
        <f t="shared" si="53"/>
        <v>0</v>
      </c>
      <c r="AN356" s="14">
        <f t="shared" si="53"/>
        <v>0</v>
      </c>
      <c r="AO356" s="14">
        <f t="shared" si="53"/>
        <v>1</v>
      </c>
      <c r="AP356" s="14">
        <f t="shared" si="53"/>
        <v>0</v>
      </c>
      <c r="AQ356" s="14">
        <f t="shared" si="53"/>
        <v>3</v>
      </c>
      <c r="AR356" s="14">
        <f t="shared" si="53"/>
        <v>0</v>
      </c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</row>
    <row r="357">
      <c r="A357" s="8" t="s">
        <v>85</v>
      </c>
      <c r="B357" s="14">
        <f t="shared" ref="B357:X357" si="54">4*(B355-B356)/B$333</f>
        <v>0</v>
      </c>
      <c r="C357" s="14">
        <f t="shared" si="54"/>
        <v>2.8</v>
      </c>
      <c r="D357" s="14">
        <f t="shared" si="54"/>
        <v>0</v>
      </c>
      <c r="E357" s="14">
        <f t="shared" si="54"/>
        <v>2</v>
      </c>
      <c r="F357" s="14">
        <f t="shared" si="54"/>
        <v>4</v>
      </c>
      <c r="G357" s="14">
        <f t="shared" si="54"/>
        <v>0</v>
      </c>
      <c r="H357" s="14">
        <f t="shared" si="54"/>
        <v>1.714285714</v>
      </c>
      <c r="I357" s="14">
        <f t="shared" si="54"/>
        <v>0.4444444444</v>
      </c>
      <c r="J357" s="14">
        <f t="shared" si="54"/>
        <v>0.5714285714</v>
      </c>
      <c r="K357" s="14">
        <f t="shared" si="54"/>
        <v>0</v>
      </c>
      <c r="L357" s="14">
        <f t="shared" si="54"/>
        <v>2.857142857</v>
      </c>
      <c r="M357" s="14">
        <f t="shared" si="54"/>
        <v>1</v>
      </c>
      <c r="N357" s="14">
        <f t="shared" si="54"/>
        <v>0.8</v>
      </c>
      <c r="O357" s="14">
        <f t="shared" si="54"/>
        <v>0</v>
      </c>
      <c r="P357" s="14">
        <f t="shared" si="54"/>
        <v>0</v>
      </c>
      <c r="Q357" s="14">
        <f t="shared" si="54"/>
        <v>2.285714286</v>
      </c>
      <c r="R357" s="14">
        <f t="shared" si="54"/>
        <v>1.333333333</v>
      </c>
      <c r="S357" s="14">
        <f t="shared" si="54"/>
        <v>1</v>
      </c>
      <c r="T357" s="14">
        <f t="shared" si="54"/>
        <v>0.6666666667</v>
      </c>
      <c r="U357" s="14">
        <f t="shared" si="54"/>
        <v>1.333333333</v>
      </c>
      <c r="V357" s="14">
        <f t="shared" si="54"/>
        <v>0</v>
      </c>
      <c r="W357" s="14">
        <f t="shared" si="54"/>
        <v>0</v>
      </c>
      <c r="X357" s="14">
        <f t="shared" si="54"/>
        <v>4</v>
      </c>
      <c r="Y357" s="14"/>
      <c r="Z357" s="14">
        <f t="shared" ref="Z357:AR357" si="55">4*(Z355-Z356)/Z$333</f>
        <v>1.714285714</v>
      </c>
      <c r="AA357" s="14">
        <f t="shared" si="55"/>
        <v>0</v>
      </c>
      <c r="AB357" s="14">
        <f t="shared" si="55"/>
        <v>1.714285714</v>
      </c>
      <c r="AC357" s="14">
        <f t="shared" si="55"/>
        <v>0.6666666667</v>
      </c>
      <c r="AD357" s="14">
        <f t="shared" si="55"/>
        <v>0</v>
      </c>
      <c r="AE357" s="14">
        <f t="shared" si="55"/>
        <v>0.5714285714</v>
      </c>
      <c r="AF357" s="14">
        <f t="shared" si="55"/>
        <v>0.5714285714</v>
      </c>
      <c r="AG357" s="14">
        <f t="shared" si="55"/>
        <v>2</v>
      </c>
      <c r="AH357" s="14">
        <f t="shared" si="55"/>
        <v>1</v>
      </c>
      <c r="AI357" s="14">
        <f t="shared" si="55"/>
        <v>0</v>
      </c>
      <c r="AJ357" s="14">
        <f t="shared" si="55"/>
        <v>0</v>
      </c>
      <c r="AK357" s="14">
        <f t="shared" si="55"/>
        <v>0</v>
      </c>
      <c r="AL357" s="14">
        <f t="shared" si="55"/>
        <v>0.5</v>
      </c>
      <c r="AM357" s="14">
        <f t="shared" si="55"/>
        <v>0</v>
      </c>
      <c r="AN357" s="14">
        <f t="shared" si="55"/>
        <v>1</v>
      </c>
      <c r="AO357" s="14">
        <f t="shared" si="55"/>
        <v>0</v>
      </c>
      <c r="AP357" s="14">
        <f t="shared" si="55"/>
        <v>0.5</v>
      </c>
      <c r="AQ357" s="14">
        <f t="shared" si="55"/>
        <v>0</v>
      </c>
      <c r="AR357" s="14">
        <f t="shared" si="55"/>
        <v>0</v>
      </c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0" width="2.63"/>
  </cols>
  <sheetData>
    <row r="1">
      <c r="A1" s="2" t="s">
        <v>1</v>
      </c>
      <c r="B1" s="2" t="s">
        <v>1</v>
      </c>
      <c r="C1" s="2" t="s">
        <v>4</v>
      </c>
      <c r="D1" s="2" t="s">
        <v>4</v>
      </c>
      <c r="E1" s="2" t="s">
        <v>6</v>
      </c>
      <c r="F1" s="2" t="s">
        <v>6</v>
      </c>
      <c r="G1" s="2" t="s">
        <v>7</v>
      </c>
      <c r="H1" s="2" t="s">
        <v>7</v>
      </c>
      <c r="I1" s="2" t="s">
        <v>8</v>
      </c>
      <c r="J1" s="2" t="s">
        <v>8</v>
      </c>
      <c r="K1" s="2" t="s">
        <v>2</v>
      </c>
      <c r="L1" s="2" t="s">
        <v>2</v>
      </c>
      <c r="M1" s="2" t="s">
        <v>9</v>
      </c>
      <c r="N1" s="2" t="s">
        <v>9</v>
      </c>
      <c r="O1" s="2" t="s">
        <v>0</v>
      </c>
      <c r="P1" s="2" t="s">
        <v>0</v>
      </c>
      <c r="Q1" s="2" t="s">
        <v>3</v>
      </c>
      <c r="R1" s="2" t="s">
        <v>3</v>
      </c>
      <c r="S1" s="2" t="s">
        <v>5</v>
      </c>
      <c r="T1" s="2" t="s">
        <v>5</v>
      </c>
    </row>
    <row r="2">
      <c r="A2" s="2" t="s">
        <v>10</v>
      </c>
      <c r="B2" s="2" t="s">
        <v>11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  <c r="Q2" s="2" t="s">
        <v>10</v>
      </c>
      <c r="R2" s="2" t="s">
        <v>11</v>
      </c>
      <c r="S2" s="2" t="s">
        <v>10</v>
      </c>
      <c r="T2" s="2" t="s">
        <v>11</v>
      </c>
    </row>
    <row r="4">
      <c r="A4" s="2">
        <v>0.0</v>
      </c>
      <c r="B4" s="2">
        <v>4.0</v>
      </c>
      <c r="D4" s="2">
        <v>0.0</v>
      </c>
      <c r="F4" s="2">
        <v>0.0</v>
      </c>
      <c r="H4" s="2">
        <v>0.0</v>
      </c>
      <c r="I4" s="2">
        <v>0.0</v>
      </c>
      <c r="J4" s="2">
        <v>8.0</v>
      </c>
      <c r="L4" s="2">
        <v>0.0</v>
      </c>
      <c r="N4" s="2">
        <v>0.0</v>
      </c>
      <c r="P4" s="2">
        <v>0.0</v>
      </c>
    </row>
    <row r="5">
      <c r="A5" s="2">
        <v>0.0</v>
      </c>
      <c r="B5" s="2">
        <v>8.0</v>
      </c>
      <c r="D5" s="2">
        <v>0.0</v>
      </c>
      <c r="E5" s="2">
        <v>10.0</v>
      </c>
      <c r="F5" s="2">
        <v>14.0</v>
      </c>
      <c r="H5" s="2">
        <v>0.0</v>
      </c>
      <c r="J5" s="2">
        <v>8.0</v>
      </c>
      <c r="K5" s="2">
        <v>10.0</v>
      </c>
      <c r="L5" s="2">
        <v>14.0</v>
      </c>
      <c r="M5" s="2">
        <v>0.0</v>
      </c>
      <c r="N5" s="2">
        <v>4.0</v>
      </c>
      <c r="P5" s="2">
        <v>0.0</v>
      </c>
    </row>
    <row r="6">
      <c r="B6" s="2">
        <v>8.0</v>
      </c>
      <c r="D6" s="2">
        <v>0.0</v>
      </c>
      <c r="E6" s="2">
        <v>10.0</v>
      </c>
      <c r="F6" s="2">
        <v>28.0</v>
      </c>
      <c r="H6" s="2">
        <v>0.0</v>
      </c>
      <c r="J6" s="2">
        <v>8.0</v>
      </c>
      <c r="L6" s="2">
        <v>14.0</v>
      </c>
      <c r="N6" s="2">
        <v>4.0</v>
      </c>
      <c r="P6" s="2">
        <v>0.0</v>
      </c>
    </row>
    <row r="7">
      <c r="B7" s="2">
        <v>8.0</v>
      </c>
      <c r="D7" s="2">
        <v>0.0</v>
      </c>
      <c r="F7" s="2">
        <v>28.0</v>
      </c>
      <c r="G7" s="2">
        <v>10.0</v>
      </c>
      <c r="H7" s="2">
        <v>14.0</v>
      </c>
      <c r="J7" s="2">
        <v>8.0</v>
      </c>
      <c r="K7" s="2">
        <v>10.0</v>
      </c>
      <c r="L7" s="2">
        <v>28.0</v>
      </c>
      <c r="N7" s="2">
        <v>4.0</v>
      </c>
      <c r="O7" s="2">
        <v>10.0</v>
      </c>
      <c r="P7" s="2">
        <v>14.0</v>
      </c>
    </row>
    <row r="8">
      <c r="A8" s="2">
        <v>10.0</v>
      </c>
      <c r="B8" s="2">
        <v>22.0</v>
      </c>
      <c r="D8" s="2">
        <v>0.0</v>
      </c>
      <c r="F8" s="2">
        <v>28.0</v>
      </c>
      <c r="H8" s="2">
        <v>14.0</v>
      </c>
      <c r="J8" s="2">
        <v>8.0</v>
      </c>
      <c r="L8" s="2">
        <v>28.0</v>
      </c>
      <c r="N8" s="2">
        <v>4.0</v>
      </c>
      <c r="O8" s="2">
        <v>10.0</v>
      </c>
      <c r="P8" s="2">
        <v>28.0</v>
      </c>
    </row>
    <row r="9">
      <c r="B9" s="2">
        <v>22.0</v>
      </c>
      <c r="C9" s="2">
        <v>10.0</v>
      </c>
      <c r="D9" s="2">
        <v>14.0</v>
      </c>
      <c r="F9" s="2">
        <v>28.0</v>
      </c>
      <c r="G9" s="2">
        <v>0.0</v>
      </c>
      <c r="H9" s="2">
        <v>18.0</v>
      </c>
      <c r="J9" s="2">
        <v>8.0</v>
      </c>
      <c r="L9" s="2">
        <v>28.0</v>
      </c>
      <c r="N9" s="2">
        <v>4.0</v>
      </c>
      <c r="O9" s="2">
        <v>0.0</v>
      </c>
      <c r="P9" s="2">
        <v>32.0</v>
      </c>
    </row>
    <row r="10">
      <c r="B10" s="2">
        <v>22.0</v>
      </c>
      <c r="D10" s="2">
        <v>14.0</v>
      </c>
      <c r="F10" s="2">
        <v>28.0</v>
      </c>
      <c r="G10" s="2">
        <v>10.0</v>
      </c>
      <c r="H10" s="2">
        <v>32.0</v>
      </c>
      <c r="J10" s="2">
        <v>8.0</v>
      </c>
      <c r="K10" s="2">
        <v>10.0</v>
      </c>
      <c r="L10" s="2">
        <v>42.0</v>
      </c>
      <c r="N10" s="2">
        <v>4.0</v>
      </c>
      <c r="O10" s="2">
        <v>10.0</v>
      </c>
      <c r="P10" s="2">
        <v>46.0</v>
      </c>
    </row>
    <row r="11">
      <c r="B11" s="2">
        <v>22.0</v>
      </c>
      <c r="C11" s="2">
        <v>0.0</v>
      </c>
      <c r="D11" s="2">
        <v>18.0</v>
      </c>
      <c r="F11" s="2">
        <v>28.0</v>
      </c>
      <c r="H11" s="2">
        <v>32.0</v>
      </c>
      <c r="J11" s="2">
        <v>8.0</v>
      </c>
      <c r="L11" s="2">
        <v>42.0</v>
      </c>
      <c r="M11" s="2">
        <v>0.0</v>
      </c>
      <c r="N11" s="2">
        <v>8.0</v>
      </c>
      <c r="P11" s="2">
        <v>46.0</v>
      </c>
    </row>
    <row r="12">
      <c r="A12" s="2">
        <v>10.0</v>
      </c>
      <c r="B12" s="2">
        <v>36.0</v>
      </c>
      <c r="D12" s="2">
        <v>18.0</v>
      </c>
      <c r="E12" s="2">
        <v>10.0</v>
      </c>
      <c r="F12" s="2">
        <v>42.0</v>
      </c>
      <c r="H12" s="2">
        <v>32.0</v>
      </c>
      <c r="J12" s="2">
        <v>8.0</v>
      </c>
      <c r="K12" s="2">
        <v>10.0</v>
      </c>
      <c r="L12" s="2">
        <v>56.0</v>
      </c>
      <c r="M12" s="2">
        <v>0.0</v>
      </c>
      <c r="N12" s="2">
        <v>12.0</v>
      </c>
      <c r="P12" s="2">
        <v>46.0</v>
      </c>
    </row>
    <row r="13">
      <c r="B13" s="2">
        <v>36.0</v>
      </c>
      <c r="D13" s="2">
        <v>18.0</v>
      </c>
      <c r="F13" s="2">
        <v>42.0</v>
      </c>
      <c r="G13" s="2">
        <v>0.0</v>
      </c>
      <c r="H13" s="2">
        <v>36.0</v>
      </c>
      <c r="J13" s="2">
        <v>8.0</v>
      </c>
      <c r="K13" s="2">
        <v>0.0</v>
      </c>
      <c r="L13" s="2">
        <v>60.0</v>
      </c>
      <c r="N13" s="2">
        <v>12.0</v>
      </c>
      <c r="P13" s="2">
        <v>46.0</v>
      </c>
    </row>
    <row r="14">
      <c r="B14" s="2">
        <v>36.0</v>
      </c>
      <c r="C14" s="2">
        <v>10.0</v>
      </c>
      <c r="D14" s="2">
        <v>32.0</v>
      </c>
      <c r="F14" s="2">
        <v>42.0</v>
      </c>
      <c r="H14" s="2">
        <v>36.0</v>
      </c>
      <c r="J14" s="2">
        <v>8.0</v>
      </c>
      <c r="K14" s="2">
        <v>10.0</v>
      </c>
      <c r="L14" s="2">
        <v>74.0</v>
      </c>
      <c r="N14" s="2">
        <v>12.0</v>
      </c>
      <c r="O14" s="2">
        <v>0.0</v>
      </c>
      <c r="P14" s="2">
        <v>50.0</v>
      </c>
    </row>
    <row r="15">
      <c r="B15" s="2">
        <v>36.0</v>
      </c>
      <c r="D15" s="2">
        <v>32.0</v>
      </c>
      <c r="F15" s="2">
        <v>42.0</v>
      </c>
      <c r="G15" s="2">
        <v>0.0</v>
      </c>
      <c r="H15" s="2">
        <v>40.0</v>
      </c>
      <c r="J15" s="2">
        <v>8.0</v>
      </c>
      <c r="K15" s="2">
        <v>10.0</v>
      </c>
      <c r="L15" s="2">
        <v>88.0</v>
      </c>
      <c r="M15" s="2">
        <v>10.0</v>
      </c>
      <c r="N15" s="2">
        <v>26.0</v>
      </c>
      <c r="P15" s="2">
        <v>50.0</v>
      </c>
    </row>
    <row r="17">
      <c r="B17" s="2">
        <v>36.0</v>
      </c>
      <c r="C17" s="2">
        <v>10.0</v>
      </c>
      <c r="D17" s="2">
        <v>46.0</v>
      </c>
      <c r="F17" s="2">
        <v>42.0</v>
      </c>
      <c r="G17" s="2">
        <v>10.0</v>
      </c>
      <c r="H17" s="2">
        <v>54.0</v>
      </c>
      <c r="J17" s="2">
        <v>8.0</v>
      </c>
      <c r="K17" s="2">
        <v>0.0</v>
      </c>
      <c r="L17" s="2">
        <v>92.0</v>
      </c>
      <c r="N17" s="2">
        <v>26.0</v>
      </c>
      <c r="O17" s="2">
        <v>0.0</v>
      </c>
      <c r="P17" s="2">
        <v>54.0</v>
      </c>
    </row>
    <row r="18">
      <c r="B18" s="2">
        <v>36.0</v>
      </c>
      <c r="C18" s="2">
        <v>10.0</v>
      </c>
      <c r="D18" s="2">
        <v>60.0</v>
      </c>
      <c r="E18" s="2">
        <v>10.0</v>
      </c>
      <c r="F18" s="2">
        <v>56.0</v>
      </c>
      <c r="H18" s="2">
        <v>54.0</v>
      </c>
      <c r="I18" s="2">
        <v>0.0</v>
      </c>
      <c r="J18" s="2">
        <v>12.0</v>
      </c>
      <c r="L18" s="2">
        <v>92.0</v>
      </c>
      <c r="N18" s="2">
        <v>26.0</v>
      </c>
      <c r="P18" s="2">
        <v>54.0</v>
      </c>
    </row>
    <row r="19">
      <c r="A19" s="2">
        <v>0.0</v>
      </c>
      <c r="B19" s="2">
        <v>40.0</v>
      </c>
      <c r="D19" s="2">
        <v>60.0</v>
      </c>
      <c r="E19" s="2">
        <v>0.0</v>
      </c>
      <c r="F19" s="2">
        <v>60.0</v>
      </c>
      <c r="H19" s="2">
        <v>54.0</v>
      </c>
      <c r="J19" s="2">
        <v>12.0</v>
      </c>
      <c r="K19" s="2">
        <v>0.0</v>
      </c>
      <c r="L19" s="2">
        <v>96.0</v>
      </c>
      <c r="N19" s="2">
        <v>26.0</v>
      </c>
      <c r="P19" s="2">
        <v>54.0</v>
      </c>
    </row>
    <row r="20">
      <c r="B20" s="2">
        <v>40.0</v>
      </c>
      <c r="D20" s="2">
        <v>60.0</v>
      </c>
      <c r="F20" s="2">
        <v>60.0</v>
      </c>
      <c r="H20" s="2">
        <v>54.0</v>
      </c>
      <c r="J20" s="2">
        <v>12.0</v>
      </c>
      <c r="K20" s="2">
        <v>0.0</v>
      </c>
      <c r="L20" s="2">
        <v>100.0</v>
      </c>
      <c r="N20" s="2">
        <v>26.0</v>
      </c>
      <c r="P20" s="2">
        <v>54.0</v>
      </c>
    </row>
    <row r="21">
      <c r="A21" s="2">
        <v>10.0</v>
      </c>
      <c r="B21" s="2">
        <v>54.0</v>
      </c>
      <c r="D21" s="2">
        <v>60.0</v>
      </c>
      <c r="E21" s="2">
        <v>10.0</v>
      </c>
      <c r="F21" s="2">
        <v>74.0</v>
      </c>
      <c r="H21" s="2">
        <v>54.0</v>
      </c>
      <c r="J21" s="2">
        <v>12.0</v>
      </c>
      <c r="K21" s="2">
        <v>0.0</v>
      </c>
      <c r="L21" s="2">
        <v>104.0</v>
      </c>
      <c r="N21" s="2">
        <v>26.0</v>
      </c>
      <c r="O21" s="2">
        <v>10.0</v>
      </c>
      <c r="P21" s="2">
        <v>68.0</v>
      </c>
    </row>
    <row r="22">
      <c r="B22" s="2">
        <v>54.0</v>
      </c>
      <c r="C22" s="2">
        <v>0.0</v>
      </c>
      <c r="D22" s="2">
        <v>64.0</v>
      </c>
      <c r="F22" s="2">
        <v>74.0</v>
      </c>
      <c r="G22" s="2">
        <v>0.0</v>
      </c>
      <c r="H22" s="2">
        <v>58.0</v>
      </c>
      <c r="I22" s="2">
        <v>0.0</v>
      </c>
      <c r="J22" s="2">
        <v>16.0</v>
      </c>
      <c r="L22" s="2">
        <v>104.0</v>
      </c>
      <c r="M22" s="2">
        <v>0.0</v>
      </c>
      <c r="N22" s="2">
        <v>30.0</v>
      </c>
      <c r="P22" s="2">
        <v>68.0</v>
      </c>
    </row>
    <row r="23">
      <c r="B23" s="2">
        <v>54.0</v>
      </c>
      <c r="D23" s="2">
        <v>64.0</v>
      </c>
      <c r="F23" s="2">
        <v>74.0</v>
      </c>
      <c r="H23" s="2">
        <v>58.0</v>
      </c>
      <c r="J23" s="2">
        <v>16.0</v>
      </c>
      <c r="L23" s="2">
        <v>104.0</v>
      </c>
      <c r="N23" s="2">
        <v>30.0</v>
      </c>
      <c r="P23" s="2">
        <v>68.0</v>
      </c>
    </row>
    <row r="24">
      <c r="B24" s="2">
        <v>54.0</v>
      </c>
      <c r="C24" s="2">
        <v>10.0</v>
      </c>
      <c r="D24" s="2">
        <v>78.0</v>
      </c>
      <c r="F24" s="2">
        <v>74.0</v>
      </c>
      <c r="G24" s="2">
        <v>10.0</v>
      </c>
      <c r="H24" s="2">
        <v>72.0</v>
      </c>
      <c r="J24" s="2">
        <v>16.0</v>
      </c>
      <c r="K24" s="2">
        <v>10.0</v>
      </c>
      <c r="L24" s="2">
        <v>118.0</v>
      </c>
      <c r="N24" s="2">
        <v>30.0</v>
      </c>
      <c r="O24" s="2">
        <v>0.0</v>
      </c>
      <c r="P24" s="2">
        <v>72.0</v>
      </c>
    </row>
    <row r="25">
      <c r="A25" s="2">
        <v>10.0</v>
      </c>
      <c r="B25" s="2">
        <v>72.0</v>
      </c>
      <c r="D25" s="2">
        <v>78.0</v>
      </c>
      <c r="E25" s="2">
        <v>10.0</v>
      </c>
      <c r="F25" s="2">
        <v>88.0</v>
      </c>
      <c r="H25" s="2">
        <v>72.0</v>
      </c>
      <c r="J25" s="2">
        <v>16.0</v>
      </c>
      <c r="K25" s="2">
        <v>10.0</v>
      </c>
      <c r="L25" s="2">
        <v>136.0</v>
      </c>
      <c r="N25" s="2">
        <v>30.0</v>
      </c>
      <c r="O25" s="2">
        <v>10.0</v>
      </c>
      <c r="P25" s="2">
        <v>86.0</v>
      </c>
    </row>
    <row r="26">
      <c r="B26" s="2">
        <v>72.0</v>
      </c>
      <c r="D26" s="2">
        <v>78.0</v>
      </c>
      <c r="E26" s="2">
        <v>0.0</v>
      </c>
      <c r="F26" s="2">
        <v>92.0</v>
      </c>
      <c r="H26" s="2">
        <v>72.0</v>
      </c>
      <c r="J26" s="2">
        <v>16.0</v>
      </c>
      <c r="K26" s="2">
        <v>0.0</v>
      </c>
      <c r="L26" s="2">
        <v>140.0</v>
      </c>
      <c r="N26" s="2">
        <v>30.0</v>
      </c>
      <c r="O26" s="2">
        <v>0.0</v>
      </c>
      <c r="P26" s="2">
        <v>90.0</v>
      </c>
    </row>
    <row r="27">
      <c r="B27" s="2">
        <v>72.0</v>
      </c>
      <c r="D27" s="2">
        <v>78.0</v>
      </c>
      <c r="E27" s="2">
        <v>0.0</v>
      </c>
      <c r="F27" s="2">
        <v>96.0</v>
      </c>
      <c r="H27" s="2">
        <v>72.0</v>
      </c>
      <c r="J27" s="2">
        <v>16.0</v>
      </c>
      <c r="L27" s="2">
        <v>140.0</v>
      </c>
      <c r="N27" s="2">
        <v>30.0</v>
      </c>
      <c r="O27" s="2">
        <v>0.0</v>
      </c>
      <c r="P27" s="2">
        <v>94.0</v>
      </c>
    </row>
    <row r="28">
      <c r="A28" s="2">
        <v>0.0</v>
      </c>
      <c r="B28" s="2">
        <v>76.0</v>
      </c>
      <c r="D28" s="2">
        <v>78.0</v>
      </c>
      <c r="F28" s="2">
        <v>96.0</v>
      </c>
      <c r="G28" s="2">
        <v>0.0</v>
      </c>
      <c r="H28" s="2">
        <v>76.0</v>
      </c>
      <c r="J28" s="2">
        <v>16.0</v>
      </c>
      <c r="K28" s="2">
        <v>0.0</v>
      </c>
      <c r="L28" s="2">
        <v>144.0</v>
      </c>
      <c r="N28" s="2">
        <v>30.0</v>
      </c>
      <c r="O28" s="2">
        <v>0.0</v>
      </c>
      <c r="P28" s="2">
        <v>98.0</v>
      </c>
    </row>
    <row r="31">
      <c r="A31" s="2" t="s">
        <v>3</v>
      </c>
      <c r="B31" s="2" t="s">
        <v>3</v>
      </c>
      <c r="C31" s="2" t="s">
        <v>6</v>
      </c>
      <c r="D31" s="2" t="s">
        <v>6</v>
      </c>
      <c r="E31" s="2" t="s">
        <v>4</v>
      </c>
      <c r="F31" s="2" t="s">
        <v>4</v>
      </c>
      <c r="G31" s="2" t="s">
        <v>7</v>
      </c>
      <c r="H31" s="2" t="s">
        <v>7</v>
      </c>
      <c r="I31" s="2" t="s">
        <v>5</v>
      </c>
      <c r="J31" s="2" t="s">
        <v>5</v>
      </c>
      <c r="K31" s="2" t="s">
        <v>0</v>
      </c>
      <c r="L31" s="2" t="s">
        <v>0</v>
      </c>
      <c r="M31" s="2" t="s">
        <v>9</v>
      </c>
      <c r="N31" s="2" t="s">
        <v>9</v>
      </c>
      <c r="O31" s="2" t="s">
        <v>2</v>
      </c>
      <c r="P31" s="2" t="s">
        <v>2</v>
      </c>
      <c r="Q31" s="2" t="s">
        <v>1</v>
      </c>
      <c r="R31" s="2" t="s">
        <v>1</v>
      </c>
      <c r="S31" s="2" t="s">
        <v>8</v>
      </c>
      <c r="T31" s="2" t="s">
        <v>8</v>
      </c>
    </row>
    <row r="32">
      <c r="A32" s="2" t="s">
        <v>10</v>
      </c>
      <c r="B32" s="2" t="s">
        <v>11</v>
      </c>
      <c r="C32" s="2" t="s">
        <v>10</v>
      </c>
      <c r="D32" s="2" t="s">
        <v>11</v>
      </c>
      <c r="E32" s="2" t="s">
        <v>10</v>
      </c>
      <c r="F32" s="2" t="s">
        <v>11</v>
      </c>
      <c r="G32" s="2" t="s">
        <v>10</v>
      </c>
      <c r="H32" s="2" t="s">
        <v>11</v>
      </c>
      <c r="I32" s="2" t="s">
        <v>10</v>
      </c>
      <c r="J32" s="2" t="s">
        <v>11</v>
      </c>
      <c r="K32" s="2" t="s">
        <v>10</v>
      </c>
      <c r="L32" s="2" t="s">
        <v>11</v>
      </c>
      <c r="M32" s="2" t="s">
        <v>10</v>
      </c>
      <c r="N32" s="2" t="s">
        <v>11</v>
      </c>
      <c r="O32" s="2" t="s">
        <v>10</v>
      </c>
      <c r="P32" s="2" t="s">
        <v>11</v>
      </c>
      <c r="Q32" s="2" t="s">
        <v>10</v>
      </c>
      <c r="R32" s="2" t="s">
        <v>11</v>
      </c>
      <c r="S32" s="2" t="s">
        <v>10</v>
      </c>
      <c r="T32" s="2" t="s">
        <v>11</v>
      </c>
    </row>
    <row r="34">
      <c r="A34" s="2">
        <v>10.0</v>
      </c>
      <c r="B34" s="2">
        <v>14.0</v>
      </c>
      <c r="D34" s="2">
        <v>0.0</v>
      </c>
      <c r="F34" s="2">
        <v>0.0</v>
      </c>
      <c r="G34" s="2">
        <v>10.0</v>
      </c>
      <c r="H34" s="2">
        <v>14.0</v>
      </c>
      <c r="I34" s="2">
        <v>10.0</v>
      </c>
      <c r="J34" s="2">
        <v>14.0</v>
      </c>
      <c r="L34" s="2">
        <v>0.0</v>
      </c>
      <c r="N34" s="2">
        <v>0.0</v>
      </c>
      <c r="O34" s="2">
        <v>10.0</v>
      </c>
      <c r="P34" s="2">
        <v>14.0</v>
      </c>
    </row>
    <row r="35">
      <c r="B35" s="2">
        <v>14.0</v>
      </c>
      <c r="C35" s="2">
        <v>10.0</v>
      </c>
      <c r="D35" s="2">
        <v>14.0</v>
      </c>
      <c r="F35" s="2">
        <v>0.0</v>
      </c>
      <c r="G35" s="2">
        <v>0.0</v>
      </c>
      <c r="H35" s="2">
        <v>18.0</v>
      </c>
      <c r="I35" s="2">
        <v>10.0</v>
      </c>
      <c r="J35" s="2">
        <v>28.0</v>
      </c>
      <c r="L35" s="2">
        <v>0.0</v>
      </c>
      <c r="N35" s="2">
        <v>0.0</v>
      </c>
      <c r="O35" s="2">
        <v>0.0</v>
      </c>
      <c r="P35" s="2">
        <v>18.0</v>
      </c>
    </row>
    <row r="36">
      <c r="A36" s="2">
        <v>10.0</v>
      </c>
      <c r="B36" s="2">
        <v>28.0</v>
      </c>
      <c r="D36" s="2">
        <v>14.0</v>
      </c>
      <c r="E36" s="2">
        <v>0.0</v>
      </c>
      <c r="F36" s="2">
        <v>4.0</v>
      </c>
      <c r="H36" s="2">
        <v>18.0</v>
      </c>
      <c r="J36" s="2">
        <v>28.0</v>
      </c>
      <c r="L36" s="2">
        <v>0.0</v>
      </c>
      <c r="M36" s="2">
        <v>10.0</v>
      </c>
      <c r="N36" s="2">
        <v>14.0</v>
      </c>
      <c r="P36" s="2">
        <v>18.0</v>
      </c>
    </row>
    <row r="37">
      <c r="B37" s="2">
        <v>28.0</v>
      </c>
      <c r="C37" s="2">
        <v>10.0</v>
      </c>
      <c r="D37" s="2">
        <v>28.0</v>
      </c>
      <c r="F37" s="2">
        <v>4.0</v>
      </c>
      <c r="G37" s="2">
        <v>10.0</v>
      </c>
      <c r="H37" s="2">
        <v>32.0</v>
      </c>
      <c r="I37" s="2">
        <v>10.0</v>
      </c>
      <c r="J37" s="2">
        <v>42.0</v>
      </c>
      <c r="L37" s="2">
        <v>0.0</v>
      </c>
      <c r="N37" s="2">
        <v>14.0</v>
      </c>
      <c r="O37" s="2">
        <v>10.0</v>
      </c>
      <c r="P37" s="2">
        <v>32.0</v>
      </c>
    </row>
    <row r="38">
      <c r="B38" s="2">
        <v>28.0</v>
      </c>
      <c r="C38" s="2">
        <v>10.0</v>
      </c>
      <c r="D38" s="2">
        <v>42.0</v>
      </c>
      <c r="F38" s="2">
        <v>4.0</v>
      </c>
      <c r="H38" s="2">
        <v>32.0</v>
      </c>
      <c r="I38" s="2">
        <v>10.0</v>
      </c>
      <c r="J38" s="2">
        <v>56.0</v>
      </c>
      <c r="L38" s="2">
        <v>0.0</v>
      </c>
      <c r="N38" s="2">
        <v>14.0</v>
      </c>
      <c r="O38" s="2">
        <v>10.0</v>
      </c>
      <c r="P38" s="2">
        <v>46.0</v>
      </c>
    </row>
    <row r="39">
      <c r="B39" s="2">
        <v>28.0</v>
      </c>
      <c r="C39" s="2">
        <v>0.0</v>
      </c>
      <c r="D39" s="2">
        <v>46.0</v>
      </c>
      <c r="E39" s="2">
        <v>0.0</v>
      </c>
      <c r="F39" s="2">
        <v>8.0</v>
      </c>
      <c r="H39" s="2">
        <v>32.0</v>
      </c>
      <c r="I39" s="2">
        <v>0.0</v>
      </c>
      <c r="J39" s="2">
        <v>60.0</v>
      </c>
      <c r="L39" s="2">
        <v>0.0</v>
      </c>
      <c r="N39" s="2">
        <v>14.0</v>
      </c>
      <c r="O39" s="2">
        <v>0.0</v>
      </c>
      <c r="P39" s="2">
        <v>50.0</v>
      </c>
    </row>
    <row r="40">
      <c r="B40" s="2">
        <v>28.0</v>
      </c>
      <c r="C40" s="2">
        <v>10.0</v>
      </c>
      <c r="D40" s="2">
        <v>60.0</v>
      </c>
      <c r="F40" s="2">
        <v>8.0</v>
      </c>
      <c r="H40" s="2">
        <v>32.0</v>
      </c>
      <c r="I40" s="2">
        <v>10.0</v>
      </c>
      <c r="J40" s="2">
        <v>74.0</v>
      </c>
      <c r="L40" s="2">
        <v>0.0</v>
      </c>
      <c r="N40" s="2">
        <v>14.0</v>
      </c>
      <c r="O40" s="2">
        <v>10.0</v>
      </c>
      <c r="P40" s="2">
        <v>64.0</v>
      </c>
    </row>
    <row r="41">
      <c r="B41" s="2">
        <v>28.0</v>
      </c>
      <c r="D41" s="2">
        <v>60.0</v>
      </c>
      <c r="E41" s="2">
        <v>0.0</v>
      </c>
      <c r="F41" s="2">
        <v>12.0</v>
      </c>
      <c r="H41" s="2">
        <v>32.0</v>
      </c>
      <c r="I41" s="2">
        <v>10.0</v>
      </c>
      <c r="J41" s="2">
        <v>88.0</v>
      </c>
      <c r="L41" s="2">
        <v>0.0</v>
      </c>
      <c r="N41" s="2">
        <v>14.0</v>
      </c>
      <c r="P41" s="2">
        <v>64.0</v>
      </c>
    </row>
    <row r="42">
      <c r="B42" s="2">
        <v>28.0</v>
      </c>
      <c r="D42" s="2">
        <v>60.0</v>
      </c>
      <c r="E42" s="2">
        <v>0.0</v>
      </c>
      <c r="F42" s="2">
        <v>16.0</v>
      </c>
      <c r="H42" s="2">
        <v>32.0</v>
      </c>
      <c r="J42" s="2">
        <v>88.0</v>
      </c>
      <c r="K42" s="2">
        <v>0.0</v>
      </c>
      <c r="L42" s="2">
        <v>4.0</v>
      </c>
      <c r="N42" s="2">
        <v>14.0</v>
      </c>
      <c r="P42" s="2">
        <v>64.0</v>
      </c>
    </row>
    <row r="43">
      <c r="B43" s="2">
        <v>28.0</v>
      </c>
      <c r="C43" s="2">
        <v>0.0</v>
      </c>
      <c r="D43" s="2">
        <v>64.0</v>
      </c>
      <c r="F43" s="2">
        <v>16.0</v>
      </c>
      <c r="H43" s="2">
        <v>32.0</v>
      </c>
      <c r="J43" s="2">
        <v>88.0</v>
      </c>
      <c r="K43" s="2">
        <v>0.0</v>
      </c>
      <c r="L43" s="2">
        <v>8.0</v>
      </c>
      <c r="N43" s="2">
        <v>14.0</v>
      </c>
      <c r="O43" s="2">
        <v>10.0</v>
      </c>
      <c r="P43" s="2">
        <v>78.0</v>
      </c>
    </row>
    <row r="44">
      <c r="B44" s="2">
        <v>28.0</v>
      </c>
      <c r="D44" s="2">
        <v>64.0</v>
      </c>
      <c r="F44" s="2">
        <v>16.0</v>
      </c>
      <c r="H44" s="2">
        <v>32.0</v>
      </c>
      <c r="J44" s="2">
        <v>88.0</v>
      </c>
      <c r="L44" s="2">
        <v>8.0</v>
      </c>
      <c r="N44" s="2">
        <v>14.0</v>
      </c>
      <c r="P44" s="2">
        <v>78.0</v>
      </c>
    </row>
    <row r="45">
      <c r="B45" s="2">
        <v>28.0</v>
      </c>
      <c r="D45" s="2">
        <v>64.0</v>
      </c>
      <c r="F45" s="2">
        <v>16.0</v>
      </c>
      <c r="H45" s="2">
        <v>32.0</v>
      </c>
      <c r="J45" s="2">
        <v>88.0</v>
      </c>
      <c r="K45" s="2">
        <v>0.0</v>
      </c>
      <c r="L45" s="2">
        <v>12.0</v>
      </c>
      <c r="N45" s="2">
        <v>14.0</v>
      </c>
      <c r="P45" s="2">
        <v>78.0</v>
      </c>
    </row>
    <row r="47">
      <c r="A47" s="2">
        <v>10.0</v>
      </c>
      <c r="B47" s="2">
        <v>42.0</v>
      </c>
      <c r="D47" s="2">
        <v>64.0</v>
      </c>
      <c r="F47" s="2">
        <v>16.0</v>
      </c>
      <c r="H47" s="2">
        <v>32.0</v>
      </c>
      <c r="I47" s="2">
        <v>0.0</v>
      </c>
      <c r="J47" s="2">
        <v>92.0</v>
      </c>
      <c r="L47" s="2">
        <v>12.0</v>
      </c>
      <c r="N47" s="2">
        <v>14.0</v>
      </c>
      <c r="O47" s="2">
        <v>10.0</v>
      </c>
      <c r="P47" s="2">
        <v>92.0</v>
      </c>
    </row>
    <row r="48">
      <c r="B48" s="2">
        <v>42.0</v>
      </c>
      <c r="C48" s="2">
        <v>10.0</v>
      </c>
      <c r="D48" s="2">
        <v>78.0</v>
      </c>
      <c r="F48" s="2">
        <v>16.0</v>
      </c>
      <c r="G48" s="2">
        <v>10.0</v>
      </c>
      <c r="H48" s="2">
        <v>46.0</v>
      </c>
      <c r="I48" s="2">
        <v>10.0</v>
      </c>
      <c r="J48" s="2">
        <v>106.0</v>
      </c>
      <c r="L48" s="2">
        <v>12.0</v>
      </c>
      <c r="N48" s="2">
        <v>14.0</v>
      </c>
      <c r="P48" s="2">
        <v>92.0</v>
      </c>
    </row>
    <row r="49">
      <c r="B49" s="2">
        <v>42.0</v>
      </c>
      <c r="C49" s="2">
        <v>10.0</v>
      </c>
      <c r="D49" s="2">
        <v>92.0</v>
      </c>
      <c r="F49" s="2">
        <v>16.0</v>
      </c>
      <c r="G49" s="2">
        <v>10.0</v>
      </c>
      <c r="H49" s="2">
        <v>60.0</v>
      </c>
      <c r="J49" s="2">
        <v>106.0</v>
      </c>
      <c r="K49" s="2">
        <v>0.0</v>
      </c>
      <c r="L49" s="2">
        <v>16.0</v>
      </c>
      <c r="M49" s="2">
        <v>0.0</v>
      </c>
      <c r="N49" s="2">
        <v>18.0</v>
      </c>
      <c r="P49" s="2">
        <v>92.0</v>
      </c>
    </row>
    <row r="50">
      <c r="B50" s="2">
        <v>42.0</v>
      </c>
      <c r="D50" s="2">
        <v>92.0</v>
      </c>
      <c r="F50" s="2">
        <v>16.0</v>
      </c>
      <c r="H50" s="2">
        <v>60.0</v>
      </c>
      <c r="J50" s="2">
        <v>106.0</v>
      </c>
      <c r="L50" s="2">
        <v>16.0</v>
      </c>
      <c r="N50" s="2">
        <v>18.0</v>
      </c>
      <c r="O50" s="2">
        <v>0.0</v>
      </c>
      <c r="P50" s="2">
        <v>96.0</v>
      </c>
    </row>
    <row r="51">
      <c r="A51" s="2">
        <v>10.0</v>
      </c>
      <c r="B51" s="2">
        <v>56.0</v>
      </c>
      <c r="D51" s="2">
        <v>92.0</v>
      </c>
      <c r="F51" s="2">
        <v>16.0</v>
      </c>
      <c r="G51" s="2">
        <v>0.0</v>
      </c>
      <c r="H51" s="2">
        <v>64.0</v>
      </c>
      <c r="J51" s="2">
        <v>106.0</v>
      </c>
      <c r="L51" s="2">
        <v>20.0</v>
      </c>
      <c r="N51" s="2">
        <v>18.0</v>
      </c>
      <c r="O51" s="2">
        <v>10.0</v>
      </c>
      <c r="P51" s="2">
        <v>110.0</v>
      </c>
    </row>
    <row r="52">
      <c r="A52" s="2">
        <v>10.0</v>
      </c>
      <c r="B52" s="2">
        <v>70.0</v>
      </c>
      <c r="D52" s="2">
        <v>92.0</v>
      </c>
      <c r="F52" s="2">
        <v>16.0</v>
      </c>
      <c r="G52" s="2">
        <v>0.0</v>
      </c>
      <c r="H52" s="2">
        <v>68.0</v>
      </c>
      <c r="I52" s="2">
        <v>0.0</v>
      </c>
      <c r="J52" s="2">
        <v>110.0</v>
      </c>
      <c r="L52" s="2">
        <v>20.0</v>
      </c>
      <c r="N52" s="2">
        <v>18.0</v>
      </c>
      <c r="P52" s="2">
        <v>110.0</v>
      </c>
    </row>
    <row r="53">
      <c r="B53" s="2">
        <v>70.0</v>
      </c>
      <c r="D53" s="2">
        <v>92.0</v>
      </c>
      <c r="F53" s="2">
        <v>16.0</v>
      </c>
      <c r="H53" s="2">
        <v>68.0</v>
      </c>
      <c r="J53" s="2">
        <v>110.0</v>
      </c>
      <c r="K53" s="2">
        <v>10.0</v>
      </c>
      <c r="L53" s="2">
        <v>34.0</v>
      </c>
      <c r="N53" s="2">
        <v>18.0</v>
      </c>
      <c r="P53" s="2">
        <v>110.0</v>
      </c>
    </row>
    <row r="54">
      <c r="A54" s="2">
        <v>0.0</v>
      </c>
      <c r="B54" s="2">
        <v>74.0</v>
      </c>
      <c r="D54" s="2">
        <v>92.0</v>
      </c>
      <c r="F54" s="2">
        <v>16.0</v>
      </c>
      <c r="H54" s="2">
        <v>68.0</v>
      </c>
      <c r="J54" s="2">
        <v>110.0</v>
      </c>
      <c r="K54" s="2">
        <v>10.0</v>
      </c>
      <c r="L54" s="2">
        <v>52.0</v>
      </c>
      <c r="M54" s="2">
        <v>0.0</v>
      </c>
      <c r="N54" s="2">
        <v>22.0</v>
      </c>
      <c r="P54" s="2">
        <v>110.0</v>
      </c>
    </row>
    <row r="55">
      <c r="B55" s="2">
        <v>74.0</v>
      </c>
      <c r="D55" s="2">
        <v>92.0</v>
      </c>
      <c r="E55" s="2">
        <v>0.0</v>
      </c>
      <c r="F55" s="2">
        <v>20.0</v>
      </c>
      <c r="H55" s="2">
        <v>68.0</v>
      </c>
      <c r="I55" s="2">
        <v>0.0</v>
      </c>
      <c r="J55" s="2">
        <v>114.0</v>
      </c>
      <c r="L55" s="2">
        <v>52.0</v>
      </c>
      <c r="N55" s="2">
        <v>22.0</v>
      </c>
      <c r="P55" s="2">
        <v>110.0</v>
      </c>
    </row>
    <row r="56">
      <c r="B56" s="2">
        <v>74.0</v>
      </c>
      <c r="D56" s="2">
        <v>92.0</v>
      </c>
      <c r="F56" s="2">
        <v>20.0</v>
      </c>
      <c r="H56" s="2">
        <v>68.0</v>
      </c>
      <c r="J56" s="2">
        <v>114.0</v>
      </c>
      <c r="K56" s="2">
        <v>10.0</v>
      </c>
      <c r="L56" s="2">
        <v>66.0</v>
      </c>
      <c r="N56" s="2">
        <v>22.0</v>
      </c>
      <c r="O56" s="2">
        <v>10.0</v>
      </c>
      <c r="P56" s="2">
        <v>124.0</v>
      </c>
    </row>
    <row r="57">
      <c r="B57" s="2">
        <v>74.0</v>
      </c>
      <c r="C57" s="2">
        <v>0.0</v>
      </c>
      <c r="D57" s="2">
        <v>96.0</v>
      </c>
      <c r="F57" s="2">
        <v>20.0</v>
      </c>
      <c r="G57" s="2">
        <v>10.0</v>
      </c>
      <c r="H57" s="2">
        <v>82.0</v>
      </c>
      <c r="J57" s="2">
        <v>114.0</v>
      </c>
      <c r="K57" s="2">
        <v>10.0</v>
      </c>
      <c r="L57" s="2">
        <v>84.0</v>
      </c>
      <c r="N57" s="2">
        <v>22.0</v>
      </c>
      <c r="P57" s="2">
        <v>124.0</v>
      </c>
    </row>
    <row r="58">
      <c r="B58" s="2">
        <v>74.0</v>
      </c>
      <c r="D58" s="2">
        <v>96.0</v>
      </c>
      <c r="F58" s="2">
        <v>20.0</v>
      </c>
      <c r="G58" s="2">
        <v>0.0</v>
      </c>
      <c r="H58" s="2">
        <v>86.0</v>
      </c>
      <c r="J58" s="2">
        <v>114.0</v>
      </c>
      <c r="L58" s="2">
        <v>84.0</v>
      </c>
      <c r="N58" s="2">
        <v>22.0</v>
      </c>
      <c r="P58" s="2">
        <v>124.0</v>
      </c>
    </row>
    <row r="61">
      <c r="A61" s="2" t="s">
        <v>3</v>
      </c>
      <c r="B61" s="2" t="s">
        <v>3</v>
      </c>
      <c r="C61" s="2" t="s">
        <v>4</v>
      </c>
      <c r="D61" s="2" t="s">
        <v>4</v>
      </c>
      <c r="E61" s="2" t="s">
        <v>1</v>
      </c>
      <c r="F61" s="2" t="s">
        <v>1</v>
      </c>
      <c r="G61" s="2" t="s">
        <v>7</v>
      </c>
      <c r="H61" s="2" t="s">
        <v>7</v>
      </c>
      <c r="I61" s="2" t="s">
        <v>5</v>
      </c>
      <c r="J61" s="2" t="s">
        <v>5</v>
      </c>
      <c r="K61" s="2" t="s">
        <v>2</v>
      </c>
      <c r="L61" s="2" t="s">
        <v>2</v>
      </c>
      <c r="M61" s="2" t="s">
        <v>9</v>
      </c>
      <c r="N61" s="2" t="s">
        <v>9</v>
      </c>
      <c r="O61" s="2" t="s">
        <v>8</v>
      </c>
      <c r="P61" s="2" t="s">
        <v>8</v>
      </c>
      <c r="Q61" s="2" t="s">
        <v>0</v>
      </c>
      <c r="R61" s="2" t="s">
        <v>0</v>
      </c>
      <c r="S61" s="2" t="s">
        <v>6</v>
      </c>
      <c r="T61" s="2" t="s">
        <v>6</v>
      </c>
    </row>
    <row r="62">
      <c r="A62" s="2" t="s">
        <v>10</v>
      </c>
      <c r="B62" s="2" t="s">
        <v>11</v>
      </c>
      <c r="C62" s="2" t="s">
        <v>10</v>
      </c>
      <c r="D62" s="2" t="s">
        <v>11</v>
      </c>
      <c r="E62" s="2" t="s">
        <v>10</v>
      </c>
      <c r="F62" s="2" t="s">
        <v>11</v>
      </c>
      <c r="G62" s="2" t="s">
        <v>10</v>
      </c>
      <c r="H62" s="2" t="s">
        <v>11</v>
      </c>
      <c r="I62" s="2" t="s">
        <v>10</v>
      </c>
      <c r="J62" s="2" t="s">
        <v>11</v>
      </c>
      <c r="K62" s="3" t="s">
        <v>10</v>
      </c>
      <c r="L62" s="3" t="s">
        <v>11</v>
      </c>
      <c r="M62" s="3" t="s">
        <v>10</v>
      </c>
      <c r="N62" s="3" t="s">
        <v>11</v>
      </c>
      <c r="O62" s="3" t="s">
        <v>10</v>
      </c>
      <c r="P62" s="3" t="s">
        <v>11</v>
      </c>
      <c r="Q62" s="2" t="s">
        <v>10</v>
      </c>
      <c r="R62" s="2" t="s">
        <v>11</v>
      </c>
      <c r="S62" s="3" t="s">
        <v>10</v>
      </c>
      <c r="T62" s="3" t="s">
        <v>11</v>
      </c>
    </row>
    <row r="64">
      <c r="A64" s="2">
        <v>10.0</v>
      </c>
      <c r="B64" s="2">
        <v>14.0</v>
      </c>
      <c r="D64" s="2">
        <v>0.0</v>
      </c>
      <c r="F64" s="2">
        <v>0.0</v>
      </c>
      <c r="G64" s="2">
        <v>10.0</v>
      </c>
      <c r="H64" s="2">
        <v>14.0</v>
      </c>
      <c r="J64" s="2">
        <v>0.0</v>
      </c>
      <c r="L64" s="2">
        <v>0.0</v>
      </c>
      <c r="N64" s="2">
        <v>0.0</v>
      </c>
      <c r="O64" s="2">
        <v>0.0</v>
      </c>
      <c r="P64" s="2">
        <v>4.0</v>
      </c>
    </row>
    <row r="65">
      <c r="B65" s="2">
        <v>14.0</v>
      </c>
      <c r="D65" s="2">
        <v>0.0</v>
      </c>
      <c r="F65" s="2">
        <v>0.0</v>
      </c>
      <c r="H65" s="2">
        <v>14.0</v>
      </c>
      <c r="I65" s="2">
        <v>0.0</v>
      </c>
      <c r="J65" s="2">
        <v>4.0</v>
      </c>
      <c r="L65" s="2">
        <v>0.0</v>
      </c>
      <c r="M65" s="2">
        <v>0.0</v>
      </c>
      <c r="N65" s="2">
        <v>4.0</v>
      </c>
      <c r="P65" s="2">
        <v>4.0</v>
      </c>
    </row>
    <row r="66">
      <c r="A66" s="2">
        <v>0.0</v>
      </c>
      <c r="B66" s="2">
        <v>18.0</v>
      </c>
      <c r="D66" s="2">
        <v>0.0</v>
      </c>
      <c r="F66" s="2">
        <v>0.0</v>
      </c>
      <c r="H66" s="2">
        <v>14.0</v>
      </c>
      <c r="J66" s="2">
        <v>4.0</v>
      </c>
      <c r="L66" s="2">
        <v>0.0</v>
      </c>
      <c r="N66" s="2">
        <v>4.0</v>
      </c>
      <c r="P66" s="2">
        <v>4.0</v>
      </c>
    </row>
    <row r="67">
      <c r="B67" s="2">
        <v>18.0</v>
      </c>
      <c r="C67" s="2">
        <v>0.0</v>
      </c>
      <c r="D67" s="2">
        <v>4.0</v>
      </c>
      <c r="F67" s="2">
        <v>0.0</v>
      </c>
      <c r="G67" s="2">
        <v>0.0</v>
      </c>
      <c r="H67" s="2">
        <v>18.0</v>
      </c>
      <c r="J67" s="2">
        <v>4.0</v>
      </c>
      <c r="K67" s="2">
        <v>10.0</v>
      </c>
      <c r="L67" s="2">
        <v>18.0</v>
      </c>
      <c r="N67" s="2">
        <v>4.0</v>
      </c>
      <c r="O67" s="2">
        <v>0.0</v>
      </c>
      <c r="P67" s="2">
        <v>8.0</v>
      </c>
    </row>
    <row r="68">
      <c r="A68" s="2">
        <v>10.0</v>
      </c>
      <c r="B68" s="2">
        <v>32.0</v>
      </c>
      <c r="D68" s="2">
        <v>4.0</v>
      </c>
      <c r="F68" s="2">
        <v>0.0</v>
      </c>
      <c r="H68" s="2">
        <v>18.0</v>
      </c>
      <c r="J68" s="2">
        <v>8.0</v>
      </c>
      <c r="L68" s="2">
        <v>18.0</v>
      </c>
      <c r="N68" s="2">
        <v>4.0</v>
      </c>
      <c r="P68" s="2">
        <v>8.0</v>
      </c>
    </row>
    <row r="69">
      <c r="B69" s="2">
        <v>32.0</v>
      </c>
      <c r="D69" s="2">
        <v>4.0</v>
      </c>
      <c r="F69" s="2">
        <v>0.0</v>
      </c>
      <c r="H69" s="2">
        <v>18.0</v>
      </c>
      <c r="J69" s="2">
        <v>8.0</v>
      </c>
      <c r="L69" s="2">
        <v>22.0</v>
      </c>
      <c r="M69" s="2">
        <v>0.0</v>
      </c>
      <c r="N69" s="2">
        <v>8.0</v>
      </c>
      <c r="P69" s="2">
        <v>8.0</v>
      </c>
    </row>
    <row r="70">
      <c r="A70" s="2">
        <v>0.0</v>
      </c>
      <c r="B70" s="2">
        <v>36.0</v>
      </c>
      <c r="D70" s="2">
        <v>4.0</v>
      </c>
      <c r="E70" s="2">
        <v>10.0</v>
      </c>
      <c r="F70" s="2">
        <v>14.0</v>
      </c>
      <c r="H70" s="2">
        <v>18.0</v>
      </c>
      <c r="J70" s="2">
        <v>8.0</v>
      </c>
      <c r="L70" s="2">
        <v>26.0</v>
      </c>
      <c r="M70" s="2">
        <v>0.0</v>
      </c>
      <c r="N70" s="2">
        <v>12.0</v>
      </c>
      <c r="P70" s="2">
        <v>8.0</v>
      </c>
    </row>
    <row r="71">
      <c r="A71" s="2">
        <v>10.0</v>
      </c>
      <c r="B71" s="2">
        <v>50.0</v>
      </c>
      <c r="D71" s="2">
        <v>4.0</v>
      </c>
      <c r="F71" s="2">
        <v>14.0</v>
      </c>
      <c r="G71" s="2">
        <v>10.0</v>
      </c>
      <c r="H71" s="2">
        <v>32.0</v>
      </c>
      <c r="I71" s="2">
        <v>10.0</v>
      </c>
      <c r="J71" s="2">
        <v>22.0</v>
      </c>
      <c r="L71" s="2">
        <v>26.0</v>
      </c>
      <c r="N71" s="2">
        <v>12.0</v>
      </c>
      <c r="P71" s="2">
        <v>8.0</v>
      </c>
    </row>
    <row r="72">
      <c r="A72" s="2">
        <v>0.0</v>
      </c>
      <c r="B72" s="2">
        <v>54.0</v>
      </c>
      <c r="D72" s="2">
        <v>4.0</v>
      </c>
      <c r="E72" s="2">
        <v>0.0</v>
      </c>
      <c r="F72" s="2">
        <v>18.0</v>
      </c>
      <c r="H72" s="2">
        <v>32.0</v>
      </c>
      <c r="J72" s="2">
        <v>22.0</v>
      </c>
      <c r="L72" s="2">
        <v>26.0</v>
      </c>
      <c r="N72" s="2">
        <v>12.0</v>
      </c>
      <c r="O72" s="2">
        <v>0.0</v>
      </c>
      <c r="P72" s="2">
        <v>12.0</v>
      </c>
    </row>
    <row r="73">
      <c r="A73" s="2">
        <v>10.0</v>
      </c>
      <c r="B73" s="2">
        <v>68.0</v>
      </c>
      <c r="D73" s="2">
        <v>4.0</v>
      </c>
      <c r="E73" s="2">
        <v>0.0</v>
      </c>
      <c r="F73" s="2">
        <v>22.0</v>
      </c>
      <c r="H73" s="2">
        <v>32.0</v>
      </c>
      <c r="I73" s="2">
        <v>10.0</v>
      </c>
      <c r="J73" s="2">
        <v>36.0</v>
      </c>
      <c r="L73" s="2">
        <v>26.0</v>
      </c>
      <c r="N73" s="2">
        <v>12.0</v>
      </c>
      <c r="P73" s="2">
        <v>12.0</v>
      </c>
    </row>
    <row r="74">
      <c r="B74" s="2">
        <v>68.0</v>
      </c>
      <c r="D74" s="2">
        <v>4.0</v>
      </c>
      <c r="E74" s="2">
        <v>0.0</v>
      </c>
      <c r="F74" s="2">
        <v>26.0</v>
      </c>
      <c r="H74" s="2">
        <v>32.0</v>
      </c>
      <c r="I74" s="2">
        <v>10.0</v>
      </c>
      <c r="J74" s="2">
        <v>50.0</v>
      </c>
      <c r="L74" s="2">
        <v>26.0</v>
      </c>
      <c r="N74" s="2">
        <v>12.0</v>
      </c>
      <c r="P74" s="2">
        <v>12.0</v>
      </c>
    </row>
    <row r="75">
      <c r="B75" s="2">
        <v>68.0</v>
      </c>
      <c r="D75" s="2">
        <v>4.0</v>
      </c>
      <c r="F75" s="2">
        <v>26.0</v>
      </c>
      <c r="H75" s="2">
        <v>32.0</v>
      </c>
      <c r="I75" s="2">
        <v>0.0</v>
      </c>
      <c r="J75" s="2">
        <v>54.0</v>
      </c>
      <c r="L75" s="2">
        <v>26.0</v>
      </c>
      <c r="M75" s="2">
        <v>0.0</v>
      </c>
      <c r="N75" s="2">
        <v>16.0</v>
      </c>
      <c r="P75" s="2">
        <v>12.0</v>
      </c>
    </row>
    <row r="77">
      <c r="B77" s="2">
        <v>68.0</v>
      </c>
      <c r="D77" s="2">
        <v>4.0</v>
      </c>
      <c r="F77" s="2">
        <v>26.0</v>
      </c>
      <c r="H77" s="2">
        <v>32.0</v>
      </c>
      <c r="J77" s="2">
        <v>54.0</v>
      </c>
      <c r="L77" s="2">
        <v>30.0</v>
      </c>
      <c r="N77" s="2">
        <v>16.0</v>
      </c>
      <c r="P77" s="2">
        <v>12.0</v>
      </c>
    </row>
    <row r="78">
      <c r="A78" s="2">
        <v>0.0</v>
      </c>
      <c r="B78" s="2">
        <v>72.0</v>
      </c>
      <c r="D78" s="2">
        <v>4.0</v>
      </c>
      <c r="F78" s="2">
        <v>26.0</v>
      </c>
      <c r="G78" s="2">
        <v>0.0</v>
      </c>
      <c r="H78" s="2">
        <v>36.0</v>
      </c>
      <c r="I78" s="2">
        <v>10.0</v>
      </c>
      <c r="J78" s="2">
        <v>68.0</v>
      </c>
      <c r="L78" s="2">
        <v>30.0</v>
      </c>
      <c r="M78" s="2">
        <v>0.0</v>
      </c>
      <c r="N78" s="2">
        <v>20.0</v>
      </c>
      <c r="P78" s="2">
        <v>12.0</v>
      </c>
    </row>
    <row r="79">
      <c r="B79" s="2">
        <v>72.0</v>
      </c>
      <c r="C79" s="2">
        <v>10.0</v>
      </c>
      <c r="D79" s="2">
        <v>18.0</v>
      </c>
      <c r="F79" s="2">
        <v>26.0</v>
      </c>
      <c r="H79" s="2">
        <v>36.0</v>
      </c>
      <c r="I79" s="2">
        <v>10.0</v>
      </c>
      <c r="J79" s="2">
        <v>82.0</v>
      </c>
      <c r="L79" s="2">
        <v>30.0</v>
      </c>
      <c r="N79" s="2">
        <v>20.0</v>
      </c>
      <c r="P79" s="2">
        <v>12.0</v>
      </c>
    </row>
    <row r="80">
      <c r="B80" s="2">
        <v>72.0</v>
      </c>
      <c r="D80" s="2">
        <v>18.0</v>
      </c>
      <c r="E80" s="2">
        <v>0.0</v>
      </c>
      <c r="F80" s="2">
        <v>30.0</v>
      </c>
      <c r="H80" s="2">
        <v>36.0</v>
      </c>
      <c r="J80" s="2">
        <v>82.0</v>
      </c>
      <c r="L80" s="2">
        <v>30.0</v>
      </c>
      <c r="N80" s="2">
        <v>20.0</v>
      </c>
      <c r="P80" s="2">
        <v>12.0</v>
      </c>
    </row>
    <row r="81">
      <c r="A81" s="2">
        <v>0.0</v>
      </c>
      <c r="B81" s="2">
        <v>76.0</v>
      </c>
      <c r="D81" s="2">
        <v>18.0</v>
      </c>
      <c r="F81" s="2">
        <v>30.0</v>
      </c>
      <c r="H81" s="2">
        <v>36.0</v>
      </c>
      <c r="J81" s="2">
        <v>82.0</v>
      </c>
      <c r="L81" s="2">
        <v>30.0</v>
      </c>
      <c r="N81" s="2">
        <v>20.0</v>
      </c>
      <c r="P81" s="2">
        <v>12.0</v>
      </c>
    </row>
    <row r="82">
      <c r="A82" s="2">
        <v>10.0</v>
      </c>
      <c r="B82" s="2">
        <v>90.0</v>
      </c>
      <c r="D82" s="2">
        <v>18.0</v>
      </c>
      <c r="F82" s="2">
        <v>30.0</v>
      </c>
      <c r="G82" s="2">
        <v>10.0</v>
      </c>
      <c r="H82" s="2">
        <v>50.0</v>
      </c>
      <c r="J82" s="2">
        <v>82.0</v>
      </c>
      <c r="K82" s="2">
        <v>10.0</v>
      </c>
      <c r="L82" s="2">
        <v>44.0</v>
      </c>
      <c r="N82" s="2">
        <v>20.0</v>
      </c>
      <c r="P82" s="2">
        <v>12.0</v>
      </c>
    </row>
    <row r="83">
      <c r="B83" s="2">
        <v>94.0</v>
      </c>
      <c r="D83" s="2">
        <v>18.0</v>
      </c>
      <c r="F83" s="2">
        <v>30.0</v>
      </c>
      <c r="H83" s="2">
        <v>50.0</v>
      </c>
      <c r="J83" s="2">
        <v>82.0</v>
      </c>
      <c r="L83" s="2">
        <v>48.0</v>
      </c>
      <c r="N83" s="2">
        <v>20.0</v>
      </c>
      <c r="P83" s="2">
        <v>12.0</v>
      </c>
    </row>
    <row r="84">
      <c r="A84" s="2">
        <v>0.0</v>
      </c>
      <c r="B84" s="2">
        <v>98.0</v>
      </c>
      <c r="D84" s="2">
        <v>18.0</v>
      </c>
      <c r="F84" s="2">
        <v>30.0</v>
      </c>
      <c r="G84" s="2">
        <v>0.0</v>
      </c>
      <c r="H84" s="2">
        <v>54.0</v>
      </c>
      <c r="I84" s="2">
        <v>10.0</v>
      </c>
      <c r="J84" s="2">
        <v>96.0</v>
      </c>
      <c r="L84" s="2">
        <v>48.0</v>
      </c>
      <c r="M84" s="2">
        <v>10.0</v>
      </c>
      <c r="N84" s="2">
        <v>34.0</v>
      </c>
      <c r="P84" s="2">
        <v>12.0</v>
      </c>
    </row>
    <row r="85">
      <c r="B85" s="2">
        <v>98.0</v>
      </c>
      <c r="D85" s="2">
        <v>18.0</v>
      </c>
      <c r="F85" s="2">
        <v>30.0</v>
      </c>
      <c r="G85" s="2">
        <v>10.0</v>
      </c>
      <c r="H85" s="2">
        <v>68.0</v>
      </c>
      <c r="J85" s="2">
        <v>96.0</v>
      </c>
      <c r="L85" s="2">
        <v>48.0</v>
      </c>
      <c r="N85" s="2">
        <v>34.0</v>
      </c>
      <c r="P85" s="2">
        <v>12.0</v>
      </c>
    </row>
    <row r="86">
      <c r="B86" s="2">
        <v>98.0</v>
      </c>
      <c r="D86" s="2">
        <v>18.0</v>
      </c>
      <c r="E86" s="2">
        <v>0.0</v>
      </c>
      <c r="F86" s="2">
        <v>34.0</v>
      </c>
      <c r="H86" s="2">
        <v>68.0</v>
      </c>
      <c r="I86" s="2">
        <v>10.0</v>
      </c>
      <c r="J86" s="2">
        <v>110.0</v>
      </c>
      <c r="L86" s="2">
        <v>48.0</v>
      </c>
      <c r="N86" s="2">
        <v>34.0</v>
      </c>
      <c r="P86" s="2">
        <v>12.0</v>
      </c>
    </row>
    <row r="87">
      <c r="A87" s="2">
        <v>10.0</v>
      </c>
      <c r="B87" s="2">
        <v>112.0</v>
      </c>
      <c r="D87" s="2">
        <v>18.0</v>
      </c>
      <c r="E87" s="2">
        <v>0.0</v>
      </c>
      <c r="F87" s="2">
        <v>38.0</v>
      </c>
      <c r="H87" s="2">
        <v>68.0</v>
      </c>
      <c r="I87" s="2">
        <v>10.0</v>
      </c>
      <c r="J87" s="2">
        <v>124.0</v>
      </c>
      <c r="L87" s="2">
        <v>48.0</v>
      </c>
      <c r="M87" s="2">
        <v>0.0</v>
      </c>
      <c r="N87" s="2">
        <v>38.0</v>
      </c>
      <c r="P87" s="2">
        <v>12.0</v>
      </c>
    </row>
    <row r="88">
      <c r="B88" s="2">
        <v>112.0</v>
      </c>
      <c r="D88" s="2">
        <v>18.0</v>
      </c>
      <c r="F88" s="2">
        <v>38.0</v>
      </c>
      <c r="H88" s="2">
        <v>68.0</v>
      </c>
      <c r="J88" s="2">
        <v>124.0</v>
      </c>
      <c r="L88" s="2">
        <v>48.0</v>
      </c>
      <c r="N88" s="2">
        <v>38.0</v>
      </c>
      <c r="P88" s="2">
        <v>12.0</v>
      </c>
    </row>
    <row r="91">
      <c r="A91" s="2" t="s">
        <v>3</v>
      </c>
      <c r="B91" s="2" t="s">
        <v>3</v>
      </c>
      <c r="C91" s="2" t="s">
        <v>7</v>
      </c>
      <c r="D91" s="2" t="s">
        <v>7</v>
      </c>
      <c r="E91" s="2" t="s">
        <v>1</v>
      </c>
      <c r="F91" s="2" t="s">
        <v>1</v>
      </c>
      <c r="G91" s="2" t="s">
        <v>6</v>
      </c>
      <c r="H91" s="2" t="s">
        <v>6</v>
      </c>
      <c r="I91" s="2" t="s">
        <v>5</v>
      </c>
      <c r="J91" s="2" t="s">
        <v>5</v>
      </c>
      <c r="K91" s="2" t="s">
        <v>9</v>
      </c>
      <c r="L91" s="2" t="s">
        <v>9</v>
      </c>
      <c r="M91" s="2" t="s">
        <v>0</v>
      </c>
      <c r="N91" s="2" t="s">
        <v>0</v>
      </c>
      <c r="O91" s="2" t="s">
        <v>8</v>
      </c>
      <c r="P91" s="2" t="s">
        <v>8</v>
      </c>
      <c r="Q91" s="2" t="s">
        <v>4</v>
      </c>
      <c r="R91" s="2" t="s">
        <v>4</v>
      </c>
      <c r="S91" s="2" t="s">
        <v>2</v>
      </c>
      <c r="T91" s="2" t="s">
        <v>2</v>
      </c>
    </row>
    <row r="92">
      <c r="A92" s="2" t="s">
        <v>10</v>
      </c>
      <c r="B92" s="2" t="s">
        <v>11</v>
      </c>
      <c r="C92" s="2" t="s">
        <v>10</v>
      </c>
      <c r="D92" s="2" t="s">
        <v>11</v>
      </c>
      <c r="E92" s="2" t="s">
        <v>10</v>
      </c>
      <c r="F92" s="2" t="s">
        <v>11</v>
      </c>
      <c r="G92" s="2" t="s">
        <v>10</v>
      </c>
      <c r="H92" s="2" t="s">
        <v>11</v>
      </c>
      <c r="I92" s="2" t="s">
        <v>10</v>
      </c>
      <c r="J92" s="2" t="s">
        <v>11</v>
      </c>
      <c r="K92" s="2" t="s">
        <v>10</v>
      </c>
      <c r="L92" s="2" t="s">
        <v>11</v>
      </c>
      <c r="M92" s="2" t="s">
        <v>10</v>
      </c>
      <c r="N92" s="2" t="s">
        <v>11</v>
      </c>
      <c r="O92" s="2" t="s">
        <v>10</v>
      </c>
      <c r="P92" s="2" t="s">
        <v>11</v>
      </c>
      <c r="Q92" s="2" t="s">
        <v>10</v>
      </c>
      <c r="R92" s="2" t="s">
        <v>11</v>
      </c>
      <c r="S92" s="2" t="s">
        <v>10</v>
      </c>
      <c r="T92" s="2" t="s">
        <v>11</v>
      </c>
    </row>
    <row r="94">
      <c r="B94" s="2">
        <v>0.0</v>
      </c>
      <c r="C94" s="2">
        <v>10.0</v>
      </c>
      <c r="D94" s="2">
        <v>14.0</v>
      </c>
      <c r="F94" s="2">
        <v>0.0</v>
      </c>
      <c r="G94" s="2">
        <v>10.0</v>
      </c>
      <c r="H94" s="2">
        <v>14.0</v>
      </c>
      <c r="I94" s="2">
        <v>10.0</v>
      </c>
      <c r="J94" s="2">
        <v>14.0</v>
      </c>
      <c r="L94" s="2">
        <v>0.0</v>
      </c>
      <c r="M94" s="2">
        <v>10.0</v>
      </c>
      <c r="N94" s="2">
        <v>14.0</v>
      </c>
      <c r="P94" s="2">
        <v>0.0</v>
      </c>
    </row>
    <row r="95">
      <c r="B95" s="2">
        <v>0.0</v>
      </c>
      <c r="C95" s="2">
        <v>0.0</v>
      </c>
      <c r="D95" s="2">
        <v>18.0</v>
      </c>
      <c r="F95" s="2">
        <v>0.0</v>
      </c>
      <c r="G95" s="2">
        <v>0.0</v>
      </c>
      <c r="H95" s="2">
        <v>18.0</v>
      </c>
      <c r="J95" s="2">
        <v>18.0</v>
      </c>
      <c r="L95" s="2">
        <v>4.0</v>
      </c>
      <c r="N95" s="2">
        <v>14.0</v>
      </c>
      <c r="O95" s="2">
        <v>0.0</v>
      </c>
      <c r="P95" s="2">
        <v>4.0</v>
      </c>
    </row>
    <row r="96">
      <c r="A96" s="2">
        <v>0.0</v>
      </c>
      <c r="B96" s="2">
        <v>4.0</v>
      </c>
      <c r="D96" s="2">
        <v>18.0</v>
      </c>
      <c r="F96" s="2">
        <v>0.0</v>
      </c>
      <c r="H96" s="2">
        <v>18.0</v>
      </c>
      <c r="J96" s="2">
        <v>18.0</v>
      </c>
      <c r="L96" s="2">
        <v>4.0</v>
      </c>
      <c r="N96" s="2">
        <v>14.0</v>
      </c>
      <c r="P96" s="2">
        <v>4.0</v>
      </c>
    </row>
    <row r="97">
      <c r="B97" s="2">
        <v>8.0</v>
      </c>
      <c r="D97" s="2">
        <v>18.0</v>
      </c>
      <c r="F97" s="2">
        <v>0.0</v>
      </c>
      <c r="G97" s="2">
        <v>0.0</v>
      </c>
      <c r="H97" s="2">
        <v>22.0</v>
      </c>
      <c r="J97" s="2">
        <v>18.0</v>
      </c>
      <c r="L97" s="2">
        <v>8.0</v>
      </c>
      <c r="M97" s="2">
        <v>0.0</v>
      </c>
      <c r="N97" s="2">
        <v>18.0</v>
      </c>
      <c r="P97" s="2">
        <v>4.0</v>
      </c>
    </row>
    <row r="98">
      <c r="B98" s="2">
        <v>8.0</v>
      </c>
      <c r="D98" s="2">
        <v>18.0</v>
      </c>
      <c r="F98" s="2">
        <v>0.0</v>
      </c>
      <c r="H98" s="2">
        <v>22.0</v>
      </c>
      <c r="J98" s="2">
        <v>22.0</v>
      </c>
      <c r="L98" s="2">
        <v>8.0</v>
      </c>
      <c r="N98" s="2">
        <v>18.0</v>
      </c>
      <c r="P98" s="2">
        <v>4.0</v>
      </c>
    </row>
    <row r="99">
      <c r="B99" s="2">
        <v>8.0</v>
      </c>
      <c r="C99" s="2">
        <v>10.0</v>
      </c>
      <c r="D99" s="2">
        <v>32.0</v>
      </c>
      <c r="E99" s="2">
        <v>0.0</v>
      </c>
      <c r="F99" s="2">
        <v>4.0</v>
      </c>
      <c r="H99" s="2">
        <v>22.0</v>
      </c>
      <c r="J99" s="2">
        <v>22.0</v>
      </c>
      <c r="L99" s="2">
        <v>12.0</v>
      </c>
      <c r="N99" s="2">
        <v>18.0</v>
      </c>
      <c r="P99" s="2">
        <v>4.0</v>
      </c>
    </row>
    <row r="100">
      <c r="A100" s="2">
        <v>10.0</v>
      </c>
      <c r="B100" s="2">
        <v>22.0</v>
      </c>
      <c r="D100" s="2">
        <v>32.0</v>
      </c>
      <c r="F100" s="2">
        <v>4.0</v>
      </c>
      <c r="G100" s="2">
        <v>0.0</v>
      </c>
      <c r="H100" s="2">
        <v>26.0</v>
      </c>
      <c r="I100" s="2">
        <v>10.0</v>
      </c>
      <c r="J100" s="2">
        <v>36.0</v>
      </c>
      <c r="L100" s="2">
        <v>12.0</v>
      </c>
      <c r="M100" s="2">
        <v>0.0</v>
      </c>
      <c r="N100" s="2">
        <v>22.0</v>
      </c>
      <c r="P100" s="2">
        <v>4.0</v>
      </c>
    </row>
    <row r="101">
      <c r="B101" s="2">
        <v>22.0</v>
      </c>
      <c r="D101" s="2">
        <v>32.0</v>
      </c>
      <c r="F101" s="2">
        <v>4.0</v>
      </c>
      <c r="H101" s="2">
        <v>26.0</v>
      </c>
      <c r="J101" s="2">
        <v>36.0</v>
      </c>
      <c r="L101" s="2">
        <v>12.0</v>
      </c>
      <c r="N101" s="2">
        <v>22.0</v>
      </c>
      <c r="O101" s="2">
        <v>0.0</v>
      </c>
      <c r="P101" s="2">
        <v>8.0</v>
      </c>
    </row>
    <row r="102">
      <c r="A102" s="2">
        <v>0.0</v>
      </c>
      <c r="B102" s="2">
        <v>26.0</v>
      </c>
      <c r="D102" s="2">
        <v>32.0</v>
      </c>
      <c r="F102" s="2">
        <v>4.0</v>
      </c>
      <c r="H102" s="2">
        <v>26.0</v>
      </c>
      <c r="J102" s="2">
        <v>36.0</v>
      </c>
      <c r="K102" s="2">
        <v>10.0</v>
      </c>
      <c r="L102" s="2">
        <v>26.0</v>
      </c>
      <c r="N102" s="2">
        <v>22.0</v>
      </c>
      <c r="P102" s="2">
        <v>8.0</v>
      </c>
    </row>
    <row r="103">
      <c r="A103" s="2">
        <v>10.0</v>
      </c>
      <c r="B103" s="2">
        <v>40.0</v>
      </c>
      <c r="D103" s="2">
        <v>32.0</v>
      </c>
      <c r="F103" s="2">
        <v>4.0</v>
      </c>
      <c r="G103" s="2">
        <v>10.0</v>
      </c>
      <c r="H103" s="2">
        <v>40.0</v>
      </c>
      <c r="I103" s="2">
        <v>10.0</v>
      </c>
      <c r="J103" s="2">
        <v>50.0</v>
      </c>
      <c r="L103" s="2">
        <v>26.0</v>
      </c>
      <c r="N103" s="2">
        <v>22.0</v>
      </c>
      <c r="O103" s="2">
        <v>10.0</v>
      </c>
      <c r="P103" s="2">
        <v>22.0</v>
      </c>
    </row>
    <row r="104">
      <c r="B104" s="2">
        <v>40.0</v>
      </c>
      <c r="C104" s="2">
        <v>0.0</v>
      </c>
      <c r="D104" s="2">
        <v>36.0</v>
      </c>
      <c r="F104" s="2">
        <v>4.0</v>
      </c>
      <c r="G104" s="2">
        <v>0.0</v>
      </c>
      <c r="H104" s="2">
        <v>44.0</v>
      </c>
      <c r="I104" s="2">
        <v>10.0</v>
      </c>
      <c r="J104" s="2">
        <v>64.0</v>
      </c>
      <c r="L104" s="2">
        <v>26.0</v>
      </c>
      <c r="N104" s="2">
        <v>22.0</v>
      </c>
      <c r="O104" s="2">
        <v>10.0</v>
      </c>
      <c r="P104" s="2">
        <v>36.0</v>
      </c>
    </row>
    <row r="105">
      <c r="A105" s="2">
        <v>0.0</v>
      </c>
      <c r="B105" s="2">
        <v>44.0</v>
      </c>
      <c r="D105" s="2">
        <v>36.0</v>
      </c>
      <c r="F105" s="2">
        <v>4.0</v>
      </c>
      <c r="H105" s="2">
        <v>44.0</v>
      </c>
      <c r="I105" s="2">
        <v>0.0</v>
      </c>
      <c r="J105" s="2">
        <v>68.0</v>
      </c>
      <c r="L105" s="2">
        <v>26.0</v>
      </c>
      <c r="M105" s="2">
        <v>0.0</v>
      </c>
      <c r="N105" s="2">
        <v>26.0</v>
      </c>
      <c r="P105" s="2">
        <v>36.0</v>
      </c>
    </row>
    <row r="107">
      <c r="B107" s="2">
        <v>44.0</v>
      </c>
      <c r="C107" s="2">
        <v>10.0</v>
      </c>
      <c r="D107" s="2">
        <v>50.0</v>
      </c>
      <c r="E107" s="2">
        <v>0.0</v>
      </c>
      <c r="F107" s="2">
        <v>8.0</v>
      </c>
      <c r="H107" s="2">
        <v>44.0</v>
      </c>
      <c r="I107" s="2">
        <v>10.0</v>
      </c>
      <c r="J107" s="2">
        <v>82.0</v>
      </c>
      <c r="L107" s="2">
        <v>26.0</v>
      </c>
      <c r="M107" s="2">
        <v>0.0</v>
      </c>
      <c r="N107" s="2">
        <v>30.0</v>
      </c>
      <c r="P107" s="2">
        <v>36.0</v>
      </c>
    </row>
    <row r="108">
      <c r="A108" s="2">
        <v>0.0</v>
      </c>
      <c r="B108" s="2">
        <v>48.0</v>
      </c>
      <c r="D108" s="2">
        <v>50.0</v>
      </c>
      <c r="F108" s="2">
        <v>8.0</v>
      </c>
      <c r="G108" s="2">
        <v>0.0</v>
      </c>
      <c r="H108" s="2">
        <v>48.0</v>
      </c>
      <c r="I108" s="2">
        <v>0.0</v>
      </c>
      <c r="J108" s="2">
        <v>86.0</v>
      </c>
      <c r="L108" s="2">
        <v>26.0</v>
      </c>
      <c r="N108" s="2">
        <v>30.0</v>
      </c>
      <c r="P108" s="2">
        <v>36.0</v>
      </c>
    </row>
    <row r="109">
      <c r="A109" s="2">
        <v>10.0</v>
      </c>
      <c r="B109" s="2">
        <v>62.0</v>
      </c>
      <c r="D109" s="2">
        <v>50.0</v>
      </c>
      <c r="F109" s="2">
        <v>8.0</v>
      </c>
      <c r="G109" s="2">
        <v>0.0</v>
      </c>
      <c r="H109" s="2">
        <v>52.0</v>
      </c>
      <c r="J109" s="2">
        <v>86.0</v>
      </c>
      <c r="L109" s="2">
        <v>26.0</v>
      </c>
      <c r="N109" s="2">
        <v>30.0</v>
      </c>
      <c r="O109" s="2">
        <v>0.0</v>
      </c>
      <c r="P109" s="2">
        <v>40.0</v>
      </c>
    </row>
    <row r="110">
      <c r="A110" s="2">
        <v>10.0</v>
      </c>
      <c r="B110" s="2">
        <v>76.0</v>
      </c>
      <c r="D110" s="2">
        <v>50.0</v>
      </c>
      <c r="F110" s="2">
        <v>8.0</v>
      </c>
      <c r="H110" s="2">
        <v>52.0</v>
      </c>
      <c r="I110" s="2">
        <v>10.0</v>
      </c>
      <c r="J110" s="2">
        <v>100.0</v>
      </c>
      <c r="L110" s="2">
        <v>26.0</v>
      </c>
      <c r="N110" s="2">
        <v>30.0</v>
      </c>
      <c r="P110" s="2">
        <v>40.0</v>
      </c>
    </row>
    <row r="111">
      <c r="A111" s="2">
        <v>0.0</v>
      </c>
      <c r="B111" s="2">
        <v>80.0</v>
      </c>
      <c r="D111" s="2">
        <v>50.0</v>
      </c>
      <c r="E111" s="2">
        <v>0.0</v>
      </c>
      <c r="F111" s="2">
        <v>12.0</v>
      </c>
      <c r="H111" s="2">
        <v>52.0</v>
      </c>
      <c r="I111" s="2">
        <v>0.0</v>
      </c>
      <c r="J111" s="2">
        <v>104.0</v>
      </c>
      <c r="L111" s="2">
        <v>26.0</v>
      </c>
      <c r="N111" s="2">
        <v>30.0</v>
      </c>
      <c r="P111" s="2">
        <v>40.0</v>
      </c>
    </row>
    <row r="112">
      <c r="A112" s="2">
        <v>0.0</v>
      </c>
      <c r="B112" s="2">
        <v>84.0</v>
      </c>
      <c r="D112" s="2">
        <v>50.0</v>
      </c>
      <c r="F112" s="2">
        <v>12.0</v>
      </c>
      <c r="G112" s="2">
        <v>10.0</v>
      </c>
      <c r="H112" s="2">
        <v>66.0</v>
      </c>
      <c r="I112" s="2">
        <v>0.0</v>
      </c>
      <c r="J112" s="2">
        <v>108.0</v>
      </c>
      <c r="L112" s="2">
        <v>26.0</v>
      </c>
      <c r="N112" s="2">
        <v>30.0</v>
      </c>
      <c r="P112" s="2">
        <v>40.0</v>
      </c>
    </row>
    <row r="113">
      <c r="A113" s="2">
        <v>10.0</v>
      </c>
      <c r="B113" s="2">
        <v>98.0</v>
      </c>
      <c r="D113" s="2">
        <v>50.0</v>
      </c>
      <c r="E113" s="2">
        <v>10.0</v>
      </c>
      <c r="F113" s="2">
        <v>26.0</v>
      </c>
      <c r="H113" s="2">
        <v>66.0</v>
      </c>
      <c r="J113" s="2">
        <v>108.0</v>
      </c>
      <c r="L113" s="2">
        <v>30.0</v>
      </c>
      <c r="M113" s="2">
        <v>10.0</v>
      </c>
      <c r="N113" s="2">
        <v>44.0</v>
      </c>
      <c r="P113" s="2">
        <v>40.0</v>
      </c>
    </row>
    <row r="114">
      <c r="B114" s="2">
        <v>98.0</v>
      </c>
      <c r="C114" s="2">
        <v>0.0</v>
      </c>
      <c r="D114" s="2">
        <v>54.0</v>
      </c>
      <c r="F114" s="2">
        <v>26.0</v>
      </c>
      <c r="G114" s="2">
        <v>0.0</v>
      </c>
      <c r="H114" s="2">
        <v>70.0</v>
      </c>
      <c r="I114" s="2">
        <v>0.0</v>
      </c>
      <c r="J114" s="2">
        <v>112.0</v>
      </c>
      <c r="L114" s="2">
        <v>30.0</v>
      </c>
      <c r="N114" s="2">
        <v>44.0</v>
      </c>
      <c r="O114" s="2">
        <v>0.0</v>
      </c>
      <c r="P114" s="2">
        <v>44.0</v>
      </c>
    </row>
    <row r="115">
      <c r="B115" s="2">
        <v>98.0</v>
      </c>
      <c r="D115" s="2">
        <v>54.0</v>
      </c>
      <c r="F115" s="2">
        <v>26.0</v>
      </c>
      <c r="H115" s="2">
        <v>70.0</v>
      </c>
      <c r="J115" s="2">
        <v>112.0</v>
      </c>
      <c r="K115" s="2">
        <v>10.0</v>
      </c>
      <c r="L115" s="2">
        <v>44.0</v>
      </c>
      <c r="N115" s="2">
        <v>44.0</v>
      </c>
      <c r="P115" s="2">
        <v>44.0</v>
      </c>
    </row>
    <row r="116">
      <c r="B116" s="2">
        <v>98.0</v>
      </c>
      <c r="C116" s="2">
        <v>0.0</v>
      </c>
      <c r="D116" s="2">
        <v>58.0</v>
      </c>
      <c r="F116" s="2">
        <v>26.0</v>
      </c>
      <c r="G116" s="2">
        <v>10.0</v>
      </c>
      <c r="H116" s="2">
        <v>84.0</v>
      </c>
      <c r="I116" s="2">
        <v>10.0</v>
      </c>
      <c r="J116" s="2">
        <v>126.0</v>
      </c>
      <c r="L116" s="2">
        <v>44.0</v>
      </c>
      <c r="M116" s="2">
        <v>10.0</v>
      </c>
      <c r="N116" s="2">
        <v>58.0</v>
      </c>
      <c r="P116" s="2">
        <v>44.0</v>
      </c>
    </row>
    <row r="117">
      <c r="B117" s="2">
        <v>98.0</v>
      </c>
      <c r="C117" s="2">
        <v>0.0</v>
      </c>
      <c r="D117" s="2">
        <v>62.0</v>
      </c>
      <c r="F117" s="2">
        <v>26.0</v>
      </c>
      <c r="H117" s="2">
        <v>84.0</v>
      </c>
      <c r="I117" s="2">
        <v>0.0</v>
      </c>
      <c r="J117" s="2">
        <v>130.0</v>
      </c>
      <c r="L117" s="2">
        <v>44.0</v>
      </c>
      <c r="N117" s="2">
        <v>58.0</v>
      </c>
      <c r="O117" s="2">
        <v>0.0</v>
      </c>
      <c r="P117" s="2">
        <v>48.0</v>
      </c>
    </row>
    <row r="118">
      <c r="B118" s="2">
        <v>98.0</v>
      </c>
      <c r="D118" s="2">
        <v>62.0</v>
      </c>
      <c r="F118" s="2">
        <v>26.0</v>
      </c>
      <c r="H118" s="2">
        <v>84.0</v>
      </c>
      <c r="J118" s="2">
        <v>130.0</v>
      </c>
      <c r="L118" s="2">
        <v>48.0</v>
      </c>
      <c r="M118" s="2">
        <v>0.0</v>
      </c>
      <c r="N118" s="2">
        <v>62.0</v>
      </c>
      <c r="P118" s="2">
        <v>48.0</v>
      </c>
    </row>
    <row r="121">
      <c r="A121" s="2" t="s">
        <v>4</v>
      </c>
      <c r="B121" s="2" t="s">
        <v>4</v>
      </c>
      <c r="C121" s="2" t="s">
        <v>6</v>
      </c>
      <c r="D121" s="2" t="s">
        <v>6</v>
      </c>
      <c r="E121" s="2" t="s">
        <v>1</v>
      </c>
      <c r="F121" s="2" t="s">
        <v>1</v>
      </c>
      <c r="G121" s="2" t="s">
        <v>3</v>
      </c>
      <c r="H121" s="2" t="s">
        <v>3</v>
      </c>
      <c r="I121" s="2" t="s">
        <v>0</v>
      </c>
      <c r="J121" s="2" t="s">
        <v>0</v>
      </c>
      <c r="K121" s="2" t="s">
        <v>2</v>
      </c>
      <c r="L121" s="2" t="s">
        <v>2</v>
      </c>
      <c r="M121" s="2" t="s">
        <v>5</v>
      </c>
      <c r="N121" s="2" t="s">
        <v>5</v>
      </c>
      <c r="O121" s="2" t="s">
        <v>8</v>
      </c>
      <c r="P121" s="2" t="s">
        <v>8</v>
      </c>
      <c r="Q121" s="2" t="s">
        <v>9</v>
      </c>
      <c r="R121" s="2" t="s">
        <v>9</v>
      </c>
      <c r="S121" s="2" t="s">
        <v>7</v>
      </c>
      <c r="T121" s="2" t="s">
        <v>7</v>
      </c>
    </row>
    <row r="122">
      <c r="A122" s="2" t="s">
        <v>10</v>
      </c>
      <c r="B122" s="2" t="s">
        <v>11</v>
      </c>
      <c r="C122" s="2" t="s">
        <v>10</v>
      </c>
      <c r="D122" s="2" t="s">
        <v>11</v>
      </c>
      <c r="E122" s="2" t="s">
        <v>10</v>
      </c>
      <c r="F122" s="2" t="s">
        <v>11</v>
      </c>
      <c r="G122" s="2" t="s">
        <v>10</v>
      </c>
      <c r="H122" s="2" t="s">
        <v>11</v>
      </c>
      <c r="I122" s="2" t="s">
        <v>10</v>
      </c>
      <c r="J122" s="2" t="s">
        <v>11</v>
      </c>
      <c r="K122" s="2" t="s">
        <v>10</v>
      </c>
      <c r="L122" s="2" t="s">
        <v>11</v>
      </c>
      <c r="M122" s="2" t="s">
        <v>10</v>
      </c>
      <c r="N122" s="2" t="s">
        <v>11</v>
      </c>
      <c r="O122" s="2" t="s">
        <v>10</v>
      </c>
      <c r="P122" s="2" t="s">
        <v>11</v>
      </c>
      <c r="Q122" s="2" t="s">
        <v>10</v>
      </c>
      <c r="R122" s="2" t="s">
        <v>11</v>
      </c>
      <c r="S122" s="2" t="s">
        <v>10</v>
      </c>
      <c r="T122" s="2" t="s">
        <v>11</v>
      </c>
    </row>
    <row r="124">
      <c r="B124" s="2">
        <v>0.0</v>
      </c>
      <c r="D124" s="2">
        <v>0.0</v>
      </c>
      <c r="F124" s="2">
        <v>0.0</v>
      </c>
      <c r="H124" s="2">
        <v>0.0</v>
      </c>
      <c r="J124" s="2">
        <v>0.0</v>
      </c>
      <c r="L124" s="2">
        <v>0.0</v>
      </c>
      <c r="N124" s="2">
        <v>0.0</v>
      </c>
      <c r="P124" s="2">
        <v>0.0</v>
      </c>
    </row>
    <row r="125">
      <c r="B125" s="2">
        <v>0.0</v>
      </c>
      <c r="D125" s="2">
        <v>0.0</v>
      </c>
      <c r="F125" s="2">
        <v>0.0</v>
      </c>
      <c r="H125" s="2">
        <v>0.0</v>
      </c>
      <c r="J125" s="2">
        <v>0.0</v>
      </c>
      <c r="K125" s="2">
        <v>0.0</v>
      </c>
      <c r="L125" s="2">
        <v>4.0</v>
      </c>
      <c r="N125" s="2">
        <v>0.0</v>
      </c>
      <c r="P125" s="2">
        <v>0.0</v>
      </c>
    </row>
    <row r="126">
      <c r="A126" s="2">
        <v>0.0</v>
      </c>
      <c r="B126" s="2">
        <v>4.0</v>
      </c>
      <c r="D126" s="2">
        <v>0.0</v>
      </c>
      <c r="F126" s="2">
        <v>0.0</v>
      </c>
      <c r="G126" s="2">
        <v>10.0</v>
      </c>
      <c r="H126" s="2">
        <v>14.0</v>
      </c>
      <c r="I126" s="2">
        <v>0.0</v>
      </c>
      <c r="J126" s="2">
        <v>4.0</v>
      </c>
      <c r="L126" s="2">
        <v>4.0</v>
      </c>
      <c r="M126" s="2">
        <v>10.0</v>
      </c>
      <c r="N126" s="2">
        <v>14.0</v>
      </c>
      <c r="P126" s="2">
        <v>0.0</v>
      </c>
    </row>
    <row r="127">
      <c r="A127" s="2">
        <v>0.0</v>
      </c>
      <c r="B127" s="2">
        <v>8.0</v>
      </c>
      <c r="D127" s="2">
        <v>0.0</v>
      </c>
      <c r="F127" s="2">
        <v>0.0</v>
      </c>
      <c r="G127" s="2">
        <v>0.0</v>
      </c>
      <c r="H127" s="2">
        <v>18.0</v>
      </c>
      <c r="I127" s="2">
        <v>0.0</v>
      </c>
      <c r="J127" s="2">
        <v>8.0</v>
      </c>
      <c r="L127" s="2">
        <v>4.0</v>
      </c>
      <c r="N127" s="2">
        <v>14.0</v>
      </c>
      <c r="P127" s="2">
        <v>0.0</v>
      </c>
    </row>
    <row r="128">
      <c r="B128" s="2">
        <v>12.0</v>
      </c>
      <c r="D128" s="2">
        <v>0.0</v>
      </c>
      <c r="E128" s="2">
        <v>10.0</v>
      </c>
      <c r="F128" s="2">
        <v>14.0</v>
      </c>
      <c r="H128" s="2">
        <v>18.0</v>
      </c>
      <c r="J128" s="2">
        <v>8.0</v>
      </c>
      <c r="K128" s="2">
        <v>0.0</v>
      </c>
      <c r="L128" s="2">
        <v>8.0</v>
      </c>
      <c r="M128" s="2">
        <v>0.0</v>
      </c>
      <c r="N128" s="2">
        <v>18.0</v>
      </c>
      <c r="P128" s="2">
        <v>0.0</v>
      </c>
    </row>
    <row r="129">
      <c r="B129" s="2">
        <v>12.0</v>
      </c>
      <c r="D129" s="2">
        <v>0.0</v>
      </c>
      <c r="E129" s="2">
        <v>0.0</v>
      </c>
      <c r="F129" s="2">
        <v>18.0</v>
      </c>
      <c r="H129" s="2">
        <v>18.0</v>
      </c>
      <c r="I129" s="2">
        <v>10.0</v>
      </c>
      <c r="J129" s="2">
        <v>22.0</v>
      </c>
      <c r="L129" s="2">
        <v>8.0</v>
      </c>
      <c r="N129" s="2">
        <v>18.0</v>
      </c>
      <c r="P129" s="2">
        <v>0.0</v>
      </c>
    </row>
    <row r="130">
      <c r="B130" s="2">
        <v>12.0</v>
      </c>
      <c r="D130" s="2">
        <v>0.0</v>
      </c>
      <c r="E130" s="2">
        <v>10.0</v>
      </c>
      <c r="F130" s="2">
        <v>32.0</v>
      </c>
      <c r="H130" s="2">
        <v>18.0</v>
      </c>
      <c r="J130" s="2">
        <v>22.0</v>
      </c>
      <c r="K130" s="2">
        <v>10.0</v>
      </c>
      <c r="L130" s="2">
        <v>22.0</v>
      </c>
      <c r="M130" s="2">
        <v>10.0</v>
      </c>
      <c r="N130" s="2">
        <v>32.0</v>
      </c>
      <c r="P130" s="2">
        <v>0.0</v>
      </c>
    </row>
    <row r="131">
      <c r="B131" s="2">
        <v>12.0</v>
      </c>
      <c r="C131" s="2">
        <v>10.0</v>
      </c>
      <c r="D131" s="2">
        <v>14.0</v>
      </c>
      <c r="F131" s="2">
        <v>32.0</v>
      </c>
      <c r="G131" s="2">
        <v>10.0</v>
      </c>
      <c r="H131" s="2">
        <v>32.0</v>
      </c>
      <c r="I131" s="2">
        <v>10.0</v>
      </c>
      <c r="J131" s="2">
        <v>36.0</v>
      </c>
      <c r="L131" s="2">
        <v>22.0</v>
      </c>
      <c r="M131" s="2">
        <v>10.0</v>
      </c>
      <c r="N131" s="2">
        <v>46.0</v>
      </c>
      <c r="P131" s="2">
        <v>0.0</v>
      </c>
    </row>
    <row r="132">
      <c r="A132" s="2">
        <v>0.0</v>
      </c>
      <c r="B132" s="2">
        <v>16.0</v>
      </c>
      <c r="D132" s="2">
        <v>14.0</v>
      </c>
      <c r="F132" s="2">
        <v>32.0</v>
      </c>
      <c r="H132" s="2">
        <v>32.0</v>
      </c>
      <c r="J132" s="2">
        <v>36.0</v>
      </c>
      <c r="L132" s="2">
        <v>22.0</v>
      </c>
      <c r="M132" s="2">
        <v>10.0</v>
      </c>
      <c r="N132" s="2">
        <v>60.0</v>
      </c>
      <c r="P132" s="2">
        <v>0.0</v>
      </c>
    </row>
    <row r="133">
      <c r="B133" s="2">
        <v>16.0</v>
      </c>
      <c r="C133" s="2">
        <v>10.0</v>
      </c>
      <c r="D133" s="2">
        <v>28.0</v>
      </c>
      <c r="F133" s="2">
        <v>32.0</v>
      </c>
      <c r="G133" s="2">
        <v>10.0</v>
      </c>
      <c r="H133" s="2">
        <v>46.0</v>
      </c>
      <c r="J133" s="2">
        <v>36.0</v>
      </c>
      <c r="K133" s="2">
        <v>10.0</v>
      </c>
      <c r="L133" s="2">
        <v>36.0</v>
      </c>
      <c r="M133" s="2">
        <v>0.0</v>
      </c>
      <c r="N133" s="2">
        <v>64.0</v>
      </c>
      <c r="P133" s="2">
        <v>0.0</v>
      </c>
    </row>
    <row r="134">
      <c r="B134" s="2">
        <v>16.0</v>
      </c>
      <c r="D134" s="2">
        <v>28.0</v>
      </c>
      <c r="F134" s="2">
        <v>32.0</v>
      </c>
      <c r="H134" s="2">
        <v>46.0</v>
      </c>
      <c r="J134" s="2">
        <v>36.0</v>
      </c>
      <c r="L134" s="2">
        <v>36.0</v>
      </c>
      <c r="N134" s="2">
        <v>64.0</v>
      </c>
      <c r="P134" s="2">
        <v>0.0</v>
      </c>
    </row>
    <row r="135">
      <c r="B135" s="2">
        <v>16.0</v>
      </c>
      <c r="D135" s="2">
        <v>28.0</v>
      </c>
      <c r="F135" s="2">
        <v>32.0</v>
      </c>
      <c r="G135" s="2">
        <v>0.0</v>
      </c>
      <c r="H135" s="2">
        <v>50.0</v>
      </c>
      <c r="I135" s="2">
        <v>0.0</v>
      </c>
      <c r="J135" s="2">
        <v>40.0</v>
      </c>
      <c r="L135" s="2">
        <v>36.0</v>
      </c>
      <c r="M135" s="2">
        <v>10.0</v>
      </c>
      <c r="N135" s="2">
        <v>78.0</v>
      </c>
      <c r="P135" s="2">
        <v>0.0</v>
      </c>
    </row>
    <row r="137">
      <c r="B137" s="2">
        <v>16.0</v>
      </c>
      <c r="C137" s="2">
        <v>0.0</v>
      </c>
      <c r="D137" s="2">
        <v>32.0</v>
      </c>
      <c r="E137" s="2">
        <v>0.0</v>
      </c>
      <c r="F137" s="2">
        <v>36.0</v>
      </c>
      <c r="H137" s="2">
        <v>50.0</v>
      </c>
      <c r="I137" s="2">
        <v>10.0</v>
      </c>
      <c r="J137" s="2">
        <v>54.0</v>
      </c>
      <c r="L137" s="2">
        <v>36.0</v>
      </c>
      <c r="M137" s="2">
        <v>10.0</v>
      </c>
      <c r="N137" s="2">
        <v>92.0</v>
      </c>
      <c r="P137" s="2">
        <v>0.0</v>
      </c>
    </row>
    <row r="138">
      <c r="B138" s="2">
        <v>16.0</v>
      </c>
      <c r="D138" s="2">
        <v>32.0</v>
      </c>
      <c r="F138" s="2">
        <v>36.0</v>
      </c>
      <c r="G138" s="2">
        <v>0.0</v>
      </c>
      <c r="H138" s="2">
        <v>54.0</v>
      </c>
      <c r="J138" s="2">
        <v>54.0</v>
      </c>
      <c r="L138" s="2">
        <v>36.0</v>
      </c>
      <c r="M138" s="2">
        <v>10.0</v>
      </c>
      <c r="N138" s="2">
        <v>106.0</v>
      </c>
      <c r="P138" s="2">
        <v>0.0</v>
      </c>
    </row>
    <row r="139">
      <c r="B139" s="2">
        <v>16.0</v>
      </c>
      <c r="D139" s="2">
        <v>32.0</v>
      </c>
      <c r="F139" s="2">
        <v>36.0</v>
      </c>
      <c r="G139" s="2">
        <v>0.0</v>
      </c>
      <c r="H139" s="2">
        <v>58.0</v>
      </c>
      <c r="J139" s="2">
        <v>54.0</v>
      </c>
      <c r="L139" s="2">
        <v>36.0</v>
      </c>
      <c r="M139" s="2">
        <v>0.0</v>
      </c>
      <c r="N139" s="2">
        <v>110.0</v>
      </c>
      <c r="P139" s="2">
        <v>0.0</v>
      </c>
    </row>
    <row r="140">
      <c r="B140" s="2">
        <v>16.0</v>
      </c>
      <c r="D140" s="2">
        <v>32.0</v>
      </c>
      <c r="F140" s="2">
        <v>36.0</v>
      </c>
      <c r="H140" s="2">
        <v>58.0</v>
      </c>
      <c r="J140" s="2">
        <v>54.0</v>
      </c>
      <c r="L140" s="2">
        <v>36.0</v>
      </c>
      <c r="N140" s="2">
        <v>110.0</v>
      </c>
      <c r="P140" s="2">
        <v>0.0</v>
      </c>
    </row>
    <row r="141">
      <c r="B141" s="2">
        <v>16.0</v>
      </c>
      <c r="D141" s="2">
        <v>36.0</v>
      </c>
      <c r="F141" s="2">
        <v>36.0</v>
      </c>
      <c r="G141" s="2">
        <v>0.0</v>
      </c>
      <c r="H141" s="2">
        <v>62.0</v>
      </c>
      <c r="I141" s="2">
        <v>10.0</v>
      </c>
      <c r="J141" s="2">
        <v>68.0</v>
      </c>
      <c r="L141" s="2">
        <v>36.0</v>
      </c>
      <c r="M141" s="2">
        <v>0.0</v>
      </c>
      <c r="N141" s="2">
        <v>114.0</v>
      </c>
      <c r="P141" s="2">
        <v>0.0</v>
      </c>
    </row>
    <row r="142">
      <c r="A142" s="2">
        <v>10.0</v>
      </c>
      <c r="B142" s="2">
        <v>30.0</v>
      </c>
      <c r="D142" s="2">
        <v>36.0</v>
      </c>
      <c r="F142" s="2">
        <v>36.0</v>
      </c>
      <c r="G142" s="2">
        <v>0.0</v>
      </c>
      <c r="H142" s="2">
        <v>66.0</v>
      </c>
      <c r="I142" s="2">
        <v>0.0</v>
      </c>
      <c r="J142" s="2">
        <v>72.0</v>
      </c>
      <c r="L142" s="2">
        <v>36.0</v>
      </c>
      <c r="M142" s="2">
        <v>10.0</v>
      </c>
      <c r="N142" s="2">
        <v>128.0</v>
      </c>
      <c r="P142" s="2">
        <v>0.0</v>
      </c>
    </row>
    <row r="143">
      <c r="B143" s="2">
        <v>30.0</v>
      </c>
      <c r="C143" s="2">
        <v>10.0</v>
      </c>
      <c r="D143" s="2">
        <v>50.0</v>
      </c>
      <c r="E143" s="2">
        <v>0.0</v>
      </c>
      <c r="F143" s="2">
        <v>40.0</v>
      </c>
      <c r="H143" s="2">
        <v>66.0</v>
      </c>
      <c r="I143" s="2">
        <v>0.0</v>
      </c>
      <c r="J143" s="2">
        <v>76.0</v>
      </c>
      <c r="L143" s="2">
        <v>36.0</v>
      </c>
      <c r="M143" s="2">
        <v>0.0</v>
      </c>
      <c r="N143" s="2">
        <v>132.0</v>
      </c>
      <c r="P143" s="2">
        <v>0.0</v>
      </c>
    </row>
    <row r="144">
      <c r="A144" s="2">
        <v>0.0</v>
      </c>
      <c r="B144" s="2">
        <v>34.0</v>
      </c>
      <c r="D144" s="2">
        <v>50.0</v>
      </c>
      <c r="F144" s="2">
        <v>40.0</v>
      </c>
      <c r="G144" s="2">
        <v>0.0</v>
      </c>
      <c r="H144" s="2">
        <v>70.0</v>
      </c>
      <c r="J144" s="2">
        <v>76.0</v>
      </c>
      <c r="K144" s="2">
        <v>0.0</v>
      </c>
      <c r="L144" s="2">
        <v>40.0</v>
      </c>
      <c r="N144" s="2">
        <v>132.0</v>
      </c>
      <c r="O144" s="2">
        <v>0.0</v>
      </c>
      <c r="P144" s="2">
        <v>4.0</v>
      </c>
    </row>
    <row r="145">
      <c r="B145" s="2">
        <v>34.0</v>
      </c>
      <c r="D145" s="2">
        <v>50.0</v>
      </c>
      <c r="E145" s="2">
        <v>10.0</v>
      </c>
      <c r="F145" s="2">
        <v>54.0</v>
      </c>
      <c r="H145" s="2">
        <v>70.0</v>
      </c>
      <c r="J145" s="2">
        <v>76.0</v>
      </c>
      <c r="K145" s="2">
        <v>0.0</v>
      </c>
      <c r="L145" s="2">
        <v>44.0</v>
      </c>
      <c r="M145" s="2">
        <v>10.0</v>
      </c>
      <c r="N145" s="2">
        <v>146.0</v>
      </c>
      <c r="P145" s="2">
        <v>4.0</v>
      </c>
    </row>
    <row r="146">
      <c r="B146" s="2">
        <v>34.0</v>
      </c>
      <c r="D146" s="2">
        <v>50.0</v>
      </c>
      <c r="F146" s="2">
        <v>54.0</v>
      </c>
      <c r="G146" s="2">
        <v>0.0</v>
      </c>
      <c r="H146" s="2">
        <v>74.0</v>
      </c>
      <c r="I146" s="2">
        <v>0.0</v>
      </c>
      <c r="J146" s="2">
        <v>80.0</v>
      </c>
      <c r="L146" s="2">
        <v>44.0</v>
      </c>
      <c r="N146" s="2">
        <v>146.0</v>
      </c>
      <c r="O146" s="2">
        <v>0.0</v>
      </c>
      <c r="P146" s="2">
        <v>8.0</v>
      </c>
    </row>
    <row r="147">
      <c r="A147" s="2">
        <v>0.0</v>
      </c>
      <c r="B147" s="2">
        <v>38.0</v>
      </c>
      <c r="D147" s="2">
        <v>50.0</v>
      </c>
      <c r="E147" s="2">
        <v>0.0</v>
      </c>
      <c r="F147" s="2">
        <v>58.0</v>
      </c>
      <c r="H147" s="2">
        <v>74.0</v>
      </c>
      <c r="I147" s="2">
        <v>0.0</v>
      </c>
      <c r="J147" s="2">
        <v>88.0</v>
      </c>
      <c r="L147" s="2">
        <v>44.0</v>
      </c>
      <c r="N147" s="2">
        <v>146.0</v>
      </c>
      <c r="P147" s="2">
        <v>8.0</v>
      </c>
    </row>
    <row r="148">
      <c r="B148" s="2">
        <v>38.0</v>
      </c>
      <c r="D148" s="2">
        <v>50.0</v>
      </c>
      <c r="F148" s="2">
        <v>58.0</v>
      </c>
      <c r="H148" s="2">
        <v>74.0</v>
      </c>
      <c r="I148" s="2">
        <v>0.0</v>
      </c>
      <c r="J148" s="2">
        <v>92.0</v>
      </c>
      <c r="L148" s="2">
        <v>44.0</v>
      </c>
      <c r="N148" s="2">
        <v>146.0</v>
      </c>
      <c r="P148" s="2">
        <v>8.0</v>
      </c>
    </row>
    <row r="151">
      <c r="A151" s="2" t="s">
        <v>9</v>
      </c>
      <c r="B151" s="2" t="s">
        <v>9</v>
      </c>
      <c r="C151" s="2" t="s">
        <v>6</v>
      </c>
      <c r="D151" s="2" t="s">
        <v>6</v>
      </c>
      <c r="E151" s="2" t="s">
        <v>0</v>
      </c>
      <c r="F151" s="2" t="s">
        <v>0</v>
      </c>
      <c r="G151" s="2" t="s">
        <v>7</v>
      </c>
      <c r="H151" s="2" t="s">
        <v>7</v>
      </c>
      <c r="I151" s="2" t="s">
        <v>1</v>
      </c>
      <c r="J151" s="2" t="s">
        <v>1</v>
      </c>
      <c r="K151" s="2" t="s">
        <v>5</v>
      </c>
      <c r="L151" s="2" t="s">
        <v>5</v>
      </c>
      <c r="M151" s="2" t="s">
        <v>3</v>
      </c>
      <c r="N151" s="2" t="s">
        <v>3</v>
      </c>
      <c r="O151" s="2" t="s">
        <v>2</v>
      </c>
      <c r="P151" s="2" t="s">
        <v>2</v>
      </c>
      <c r="Q151" s="2" t="s">
        <v>8</v>
      </c>
      <c r="R151" s="2" t="s">
        <v>8</v>
      </c>
      <c r="S151" s="2" t="s">
        <v>4</v>
      </c>
      <c r="T151" s="2" t="s">
        <v>4</v>
      </c>
    </row>
    <row r="152">
      <c r="A152" s="2" t="s">
        <v>10</v>
      </c>
      <c r="B152" s="2" t="s">
        <v>11</v>
      </c>
      <c r="C152" s="2" t="s">
        <v>10</v>
      </c>
      <c r="D152" s="2" t="s">
        <v>11</v>
      </c>
      <c r="E152" s="2" t="s">
        <v>10</v>
      </c>
      <c r="F152" s="2" t="s">
        <v>11</v>
      </c>
      <c r="G152" s="2" t="s">
        <v>10</v>
      </c>
      <c r="H152" s="2" t="s">
        <v>11</v>
      </c>
      <c r="I152" s="2" t="s">
        <v>10</v>
      </c>
      <c r="J152" s="2" t="s">
        <v>11</v>
      </c>
      <c r="K152" s="2" t="s">
        <v>10</v>
      </c>
      <c r="L152" s="2" t="s">
        <v>11</v>
      </c>
      <c r="M152" s="2" t="s">
        <v>10</v>
      </c>
      <c r="N152" s="2" t="s">
        <v>11</v>
      </c>
      <c r="O152" s="2" t="s">
        <v>10</v>
      </c>
      <c r="P152" s="2" t="s">
        <v>11</v>
      </c>
      <c r="Q152" s="2" t="s">
        <v>10</v>
      </c>
      <c r="R152" s="2" t="s">
        <v>11</v>
      </c>
      <c r="S152" s="2" t="s">
        <v>10</v>
      </c>
      <c r="T152" s="2" t="s">
        <v>11</v>
      </c>
    </row>
    <row r="154">
      <c r="B154" s="2">
        <v>0.0</v>
      </c>
      <c r="D154" s="2">
        <v>0.0</v>
      </c>
      <c r="F154" s="2">
        <v>0.0</v>
      </c>
      <c r="H154" s="2">
        <v>0.0</v>
      </c>
      <c r="J154" s="2">
        <v>0.0</v>
      </c>
      <c r="L154" s="2">
        <v>0.0</v>
      </c>
      <c r="N154" s="2">
        <v>0.0</v>
      </c>
      <c r="P154" s="2">
        <v>0.0</v>
      </c>
    </row>
    <row r="155">
      <c r="B155" s="2">
        <v>0.0</v>
      </c>
      <c r="D155" s="2">
        <v>0.0</v>
      </c>
      <c r="F155" s="2">
        <v>0.0</v>
      </c>
      <c r="H155" s="2">
        <v>0.0</v>
      </c>
      <c r="J155" s="2">
        <v>0.0</v>
      </c>
      <c r="K155" s="2">
        <v>10.0</v>
      </c>
      <c r="L155" s="2">
        <v>14.0</v>
      </c>
      <c r="N155" s="2">
        <v>0.0</v>
      </c>
      <c r="P155" s="2">
        <v>0.0</v>
      </c>
    </row>
    <row r="156">
      <c r="B156" s="2">
        <v>0.0</v>
      </c>
      <c r="D156" s="2">
        <v>0.0</v>
      </c>
      <c r="F156" s="2">
        <v>0.0</v>
      </c>
      <c r="H156" s="2">
        <v>0.0</v>
      </c>
      <c r="J156" s="2">
        <v>0.0</v>
      </c>
      <c r="K156" s="2">
        <v>10.0</v>
      </c>
      <c r="L156" s="2">
        <v>28.0</v>
      </c>
      <c r="N156" s="2">
        <v>0.0</v>
      </c>
      <c r="P156" s="2">
        <v>0.0</v>
      </c>
    </row>
    <row r="157">
      <c r="B157" s="2">
        <v>0.0</v>
      </c>
      <c r="D157" s="2">
        <v>4.0</v>
      </c>
      <c r="F157" s="2">
        <v>0.0</v>
      </c>
      <c r="H157" s="2">
        <v>0.0</v>
      </c>
      <c r="J157" s="2">
        <v>0.0</v>
      </c>
      <c r="K157" s="2">
        <v>10.0</v>
      </c>
      <c r="L157" s="2">
        <v>42.0</v>
      </c>
      <c r="N157" s="2">
        <v>0.0</v>
      </c>
      <c r="P157" s="2">
        <v>0.0</v>
      </c>
    </row>
    <row r="158">
      <c r="B158" s="2">
        <v>0.0</v>
      </c>
      <c r="D158" s="2">
        <v>4.0</v>
      </c>
      <c r="F158" s="2">
        <v>0.0</v>
      </c>
      <c r="H158" s="2">
        <v>0.0</v>
      </c>
      <c r="I158" s="2">
        <v>0.0</v>
      </c>
      <c r="J158" s="2">
        <v>4.0</v>
      </c>
      <c r="L158" s="2">
        <v>42.0</v>
      </c>
      <c r="N158" s="2">
        <v>0.0</v>
      </c>
      <c r="O158" s="2">
        <v>0.0</v>
      </c>
      <c r="P158" s="2">
        <v>4.0</v>
      </c>
    </row>
    <row r="159">
      <c r="B159" s="2">
        <v>0.0</v>
      </c>
      <c r="C159" s="2">
        <v>10.0</v>
      </c>
      <c r="D159" s="2">
        <v>18.0</v>
      </c>
      <c r="E159" s="2">
        <v>10.0</v>
      </c>
      <c r="F159" s="2">
        <v>14.0</v>
      </c>
      <c r="H159" s="2">
        <v>0.0</v>
      </c>
      <c r="J159" s="2">
        <v>4.0</v>
      </c>
      <c r="K159" s="2">
        <v>10.0</v>
      </c>
      <c r="L159" s="2">
        <v>56.0</v>
      </c>
      <c r="M159" s="2">
        <v>10.0</v>
      </c>
      <c r="N159" s="2">
        <v>14.0</v>
      </c>
      <c r="P159" s="2">
        <v>4.0</v>
      </c>
    </row>
    <row r="160">
      <c r="B160" s="2">
        <v>0.0</v>
      </c>
      <c r="D160" s="2">
        <v>18.0</v>
      </c>
      <c r="F160" s="2">
        <v>14.0</v>
      </c>
      <c r="H160" s="2">
        <v>0.0</v>
      </c>
      <c r="J160" s="2">
        <v>4.0</v>
      </c>
      <c r="L160" s="2">
        <v>56.0</v>
      </c>
      <c r="M160" s="2">
        <v>10.0</v>
      </c>
      <c r="N160" s="2">
        <v>28.0</v>
      </c>
      <c r="P160" s="2">
        <v>4.0</v>
      </c>
    </row>
    <row r="161">
      <c r="B161" s="2">
        <v>0.0</v>
      </c>
      <c r="C161" s="2">
        <v>10.0</v>
      </c>
      <c r="D161" s="2">
        <v>32.0</v>
      </c>
      <c r="E161" s="2">
        <v>0.0</v>
      </c>
      <c r="F161" s="2">
        <v>18.0</v>
      </c>
      <c r="H161" s="2">
        <v>0.0</v>
      </c>
      <c r="J161" s="2">
        <v>4.0</v>
      </c>
      <c r="L161" s="2">
        <v>56.0</v>
      </c>
      <c r="N161" s="2">
        <v>28.0</v>
      </c>
      <c r="P161" s="2">
        <v>4.0</v>
      </c>
    </row>
    <row r="162">
      <c r="B162" s="2">
        <v>0.0</v>
      </c>
      <c r="D162" s="2">
        <v>32.0</v>
      </c>
      <c r="E162" s="2">
        <v>0.0</v>
      </c>
      <c r="F162" s="2">
        <v>22.0</v>
      </c>
      <c r="H162" s="2">
        <v>0.0</v>
      </c>
      <c r="J162" s="2">
        <v>4.0</v>
      </c>
      <c r="L162" s="2">
        <v>56.0</v>
      </c>
      <c r="N162" s="2">
        <v>28.0</v>
      </c>
      <c r="P162" s="2">
        <v>4.0</v>
      </c>
    </row>
    <row r="163">
      <c r="B163" s="2">
        <v>0.0</v>
      </c>
      <c r="D163" s="2">
        <v>32.0</v>
      </c>
      <c r="F163" s="2">
        <v>22.0</v>
      </c>
      <c r="H163" s="2">
        <v>0.0</v>
      </c>
      <c r="J163" s="2">
        <v>4.0</v>
      </c>
      <c r="K163" s="2">
        <v>10.0</v>
      </c>
      <c r="L163" s="2">
        <v>70.0</v>
      </c>
      <c r="N163" s="2">
        <v>28.0</v>
      </c>
      <c r="P163" s="2">
        <v>4.0</v>
      </c>
    </row>
    <row r="164">
      <c r="B164" s="2">
        <v>0.0</v>
      </c>
      <c r="C164" s="2">
        <v>0.0</v>
      </c>
      <c r="D164" s="2">
        <v>36.0</v>
      </c>
      <c r="F164" s="2">
        <v>22.0</v>
      </c>
      <c r="G164" s="2">
        <v>0.0</v>
      </c>
      <c r="H164" s="2">
        <v>4.0</v>
      </c>
      <c r="J164" s="2">
        <v>4.0</v>
      </c>
      <c r="K164" s="2">
        <v>0.0</v>
      </c>
      <c r="L164" s="2">
        <v>74.0</v>
      </c>
      <c r="N164" s="2">
        <v>28.0</v>
      </c>
      <c r="O164" s="2">
        <v>0.0</v>
      </c>
      <c r="P164" s="2">
        <v>8.0</v>
      </c>
    </row>
    <row r="165">
      <c r="B165" s="2">
        <v>0.0</v>
      </c>
      <c r="C165" s="2">
        <v>0.0</v>
      </c>
      <c r="D165" s="2">
        <v>40.0</v>
      </c>
      <c r="F165" s="2">
        <v>22.0</v>
      </c>
      <c r="H165" s="2">
        <v>4.0</v>
      </c>
      <c r="J165" s="2">
        <v>4.0</v>
      </c>
      <c r="L165" s="2">
        <v>74.0</v>
      </c>
      <c r="N165" s="2">
        <v>28.0</v>
      </c>
      <c r="P165" s="2">
        <v>8.0</v>
      </c>
    </row>
    <row r="167">
      <c r="B167" s="2">
        <v>0.0</v>
      </c>
      <c r="C167" s="2">
        <v>0.0</v>
      </c>
      <c r="D167" s="2">
        <v>44.0</v>
      </c>
      <c r="F167" s="2">
        <v>22.0</v>
      </c>
      <c r="H167" s="2">
        <v>4.0</v>
      </c>
      <c r="J167" s="2">
        <v>4.0</v>
      </c>
      <c r="K167" s="2">
        <v>0.0</v>
      </c>
      <c r="L167" s="2">
        <v>78.0</v>
      </c>
      <c r="N167" s="2">
        <v>28.0</v>
      </c>
      <c r="O167" s="2">
        <v>10.0</v>
      </c>
      <c r="P167" s="2">
        <v>22.0</v>
      </c>
    </row>
    <row r="168">
      <c r="B168" s="2">
        <v>0.0</v>
      </c>
      <c r="C168" s="2">
        <v>10.0</v>
      </c>
      <c r="D168" s="2">
        <v>58.0</v>
      </c>
      <c r="E168" s="2">
        <v>10.0</v>
      </c>
      <c r="F168" s="2">
        <v>36.0</v>
      </c>
      <c r="H168" s="2">
        <v>4.0</v>
      </c>
      <c r="J168" s="2">
        <v>4.0</v>
      </c>
      <c r="K168" s="2">
        <v>10.0</v>
      </c>
      <c r="L168" s="2">
        <v>92.0</v>
      </c>
      <c r="N168" s="2">
        <v>28.0</v>
      </c>
      <c r="P168" s="2">
        <v>22.0</v>
      </c>
    </row>
    <row r="169">
      <c r="A169" s="2">
        <v>10.0</v>
      </c>
      <c r="B169" s="2">
        <v>14.0</v>
      </c>
      <c r="D169" s="2">
        <v>58.0</v>
      </c>
      <c r="E169" s="2">
        <v>0.0</v>
      </c>
      <c r="F169" s="2">
        <v>40.0</v>
      </c>
      <c r="H169" s="2">
        <v>4.0</v>
      </c>
      <c r="J169" s="2">
        <v>4.0</v>
      </c>
      <c r="K169" s="2">
        <v>10.0</v>
      </c>
      <c r="L169" s="2">
        <v>106.0</v>
      </c>
      <c r="N169" s="2">
        <v>28.0</v>
      </c>
      <c r="P169" s="2">
        <v>22.0</v>
      </c>
    </row>
    <row r="170">
      <c r="A170" s="2">
        <v>0.0</v>
      </c>
      <c r="B170" s="2">
        <v>18.0</v>
      </c>
      <c r="D170" s="2">
        <v>58.0</v>
      </c>
      <c r="F170" s="2">
        <v>40.0</v>
      </c>
      <c r="H170" s="2">
        <v>4.0</v>
      </c>
      <c r="J170" s="2">
        <v>4.0</v>
      </c>
      <c r="K170" s="2">
        <v>0.0</v>
      </c>
      <c r="L170" s="2">
        <v>110.0</v>
      </c>
      <c r="N170" s="2">
        <v>28.0</v>
      </c>
      <c r="P170" s="2">
        <v>22.0</v>
      </c>
    </row>
    <row r="171">
      <c r="B171" s="2">
        <v>18.0</v>
      </c>
      <c r="C171" s="2">
        <v>0.0</v>
      </c>
      <c r="D171" s="2">
        <v>62.0</v>
      </c>
      <c r="F171" s="2">
        <v>40.0</v>
      </c>
      <c r="H171" s="2">
        <v>4.0</v>
      </c>
      <c r="J171" s="2">
        <v>4.0</v>
      </c>
      <c r="L171" s="2">
        <v>110.0</v>
      </c>
      <c r="N171" s="2">
        <v>28.0</v>
      </c>
      <c r="O171" s="2">
        <v>10.0</v>
      </c>
      <c r="P171" s="2">
        <v>36.0</v>
      </c>
    </row>
    <row r="172">
      <c r="B172" s="2">
        <v>18.0</v>
      </c>
      <c r="D172" s="2">
        <v>62.0</v>
      </c>
      <c r="F172" s="2">
        <v>40.0</v>
      </c>
      <c r="H172" s="2">
        <v>4.0</v>
      </c>
      <c r="J172" s="2">
        <v>4.0</v>
      </c>
      <c r="K172" s="2">
        <v>10.0</v>
      </c>
      <c r="L172" s="2">
        <v>124.0</v>
      </c>
      <c r="N172" s="2">
        <v>28.0</v>
      </c>
      <c r="P172" s="2">
        <v>36.0</v>
      </c>
    </row>
    <row r="173">
      <c r="B173" s="2">
        <v>18.0</v>
      </c>
      <c r="C173" s="2">
        <v>0.0</v>
      </c>
      <c r="D173" s="2">
        <v>66.0</v>
      </c>
      <c r="E173" s="2">
        <v>10.0</v>
      </c>
      <c r="F173" s="2">
        <v>54.0</v>
      </c>
      <c r="H173" s="2">
        <v>4.0</v>
      </c>
      <c r="I173" s="2">
        <v>0.0</v>
      </c>
      <c r="J173" s="2">
        <v>8.0</v>
      </c>
      <c r="L173" s="2">
        <v>124.0</v>
      </c>
      <c r="N173" s="2">
        <v>28.0</v>
      </c>
      <c r="O173" s="2">
        <v>0.0</v>
      </c>
      <c r="P173" s="2">
        <v>40.0</v>
      </c>
    </row>
    <row r="174">
      <c r="B174" s="2">
        <v>18.0</v>
      </c>
      <c r="C174" s="2">
        <v>0.0</v>
      </c>
      <c r="D174" s="2">
        <v>70.0</v>
      </c>
      <c r="E174" s="2">
        <v>10.0</v>
      </c>
      <c r="F174" s="2">
        <v>68.0</v>
      </c>
      <c r="H174" s="2">
        <v>4.0</v>
      </c>
      <c r="J174" s="2">
        <v>8.0</v>
      </c>
      <c r="K174" s="2">
        <v>10.0</v>
      </c>
      <c r="L174" s="2">
        <v>138.0</v>
      </c>
      <c r="N174" s="2">
        <v>28.0</v>
      </c>
      <c r="O174" s="2">
        <v>0.0</v>
      </c>
      <c r="P174" s="2">
        <v>44.0</v>
      </c>
    </row>
    <row r="175">
      <c r="B175" s="2">
        <v>18.0</v>
      </c>
      <c r="C175" s="2">
        <v>0.0</v>
      </c>
      <c r="D175" s="2">
        <v>74.0</v>
      </c>
      <c r="F175" s="2">
        <v>68.0</v>
      </c>
      <c r="H175" s="2">
        <v>4.0</v>
      </c>
      <c r="J175" s="2">
        <v>8.0</v>
      </c>
      <c r="L175" s="2">
        <v>138.0</v>
      </c>
      <c r="N175" s="2">
        <v>28.0</v>
      </c>
      <c r="P175" s="2">
        <v>44.0</v>
      </c>
    </row>
    <row r="176">
      <c r="B176" s="2">
        <v>18.0</v>
      </c>
      <c r="D176" s="2">
        <v>74.0</v>
      </c>
      <c r="F176" s="2">
        <v>68.0</v>
      </c>
      <c r="H176" s="2">
        <v>4.0</v>
      </c>
      <c r="J176" s="2">
        <v>8.0</v>
      </c>
      <c r="K176" s="2">
        <v>10.0</v>
      </c>
      <c r="L176" s="2">
        <v>152.0</v>
      </c>
      <c r="N176" s="2">
        <v>28.0</v>
      </c>
      <c r="P176" s="2">
        <v>44.0</v>
      </c>
    </row>
    <row r="177">
      <c r="B177" s="2">
        <v>18.0</v>
      </c>
      <c r="D177" s="2">
        <v>74.0</v>
      </c>
      <c r="F177" s="2">
        <v>68.0</v>
      </c>
      <c r="H177" s="2">
        <v>4.0</v>
      </c>
      <c r="J177" s="2">
        <v>8.0</v>
      </c>
      <c r="K177" s="2">
        <v>10.0</v>
      </c>
      <c r="L177" s="2">
        <v>166.0</v>
      </c>
      <c r="N177" s="2">
        <v>28.0</v>
      </c>
      <c r="O177" s="2">
        <v>0.0</v>
      </c>
      <c r="P177" s="2">
        <v>48.0</v>
      </c>
    </row>
    <row r="178">
      <c r="B178" s="2">
        <v>18.0</v>
      </c>
      <c r="D178" s="2">
        <v>74.0</v>
      </c>
      <c r="E178" s="2">
        <v>0.0</v>
      </c>
      <c r="F178" s="2">
        <v>72.0</v>
      </c>
      <c r="H178" s="2">
        <v>4.0</v>
      </c>
      <c r="J178" s="2">
        <v>8.0</v>
      </c>
      <c r="L178" s="2">
        <v>166.0</v>
      </c>
      <c r="N178" s="2">
        <v>28.0</v>
      </c>
      <c r="P178" s="2">
        <v>48.0</v>
      </c>
    </row>
    <row r="181">
      <c r="A181" s="2" t="s">
        <v>0</v>
      </c>
      <c r="B181" s="2" t="s">
        <v>0</v>
      </c>
      <c r="C181" s="2" t="s">
        <v>6</v>
      </c>
      <c r="D181" s="2" t="s">
        <v>6</v>
      </c>
      <c r="E181" s="2" t="s">
        <v>5</v>
      </c>
      <c r="F181" s="2" t="s">
        <v>5</v>
      </c>
      <c r="G181" s="2" t="s">
        <v>2</v>
      </c>
      <c r="H181" s="2" t="s">
        <v>2</v>
      </c>
      <c r="I181" s="2" t="s">
        <v>9</v>
      </c>
      <c r="J181" s="2" t="s">
        <v>9</v>
      </c>
      <c r="K181" s="2" t="s">
        <v>7</v>
      </c>
      <c r="L181" s="2" t="s">
        <v>7</v>
      </c>
      <c r="M181" s="2" t="s">
        <v>3</v>
      </c>
      <c r="N181" s="2" t="s">
        <v>3</v>
      </c>
      <c r="O181" s="2" t="s">
        <v>1</v>
      </c>
      <c r="P181" s="2" t="s">
        <v>1</v>
      </c>
      <c r="Q181" s="2" t="s">
        <v>8</v>
      </c>
      <c r="R181" s="2" t="s">
        <v>8</v>
      </c>
      <c r="S181" s="2" t="s">
        <v>4</v>
      </c>
      <c r="T181" s="2" t="s">
        <v>4</v>
      </c>
    </row>
    <row r="182">
      <c r="A182" s="2" t="s">
        <v>10</v>
      </c>
      <c r="B182" s="2" t="s">
        <v>11</v>
      </c>
      <c r="C182" s="2" t="s">
        <v>10</v>
      </c>
      <c r="D182" s="2" t="s">
        <v>11</v>
      </c>
      <c r="E182" s="2" t="s">
        <v>10</v>
      </c>
      <c r="F182" s="2" t="s">
        <v>11</v>
      </c>
      <c r="G182" s="2" t="s">
        <v>10</v>
      </c>
      <c r="H182" s="2" t="s">
        <v>11</v>
      </c>
      <c r="I182" s="2" t="s">
        <v>10</v>
      </c>
      <c r="J182" s="2" t="s">
        <v>11</v>
      </c>
      <c r="K182" s="2" t="s">
        <v>10</v>
      </c>
      <c r="L182" s="2" t="s">
        <v>11</v>
      </c>
      <c r="M182" s="2" t="s">
        <v>10</v>
      </c>
      <c r="N182" s="2" t="s">
        <v>11</v>
      </c>
      <c r="O182" s="2" t="s">
        <v>10</v>
      </c>
      <c r="P182" s="2" t="s">
        <v>11</v>
      </c>
      <c r="Q182" s="2" t="s">
        <v>10</v>
      </c>
      <c r="R182" s="2" t="s">
        <v>11</v>
      </c>
      <c r="S182" s="2" t="s">
        <v>10</v>
      </c>
      <c r="T182" s="2" t="s">
        <v>11</v>
      </c>
    </row>
    <row r="184">
      <c r="B184" s="2">
        <v>0.0</v>
      </c>
      <c r="C184" s="2">
        <v>10.0</v>
      </c>
      <c r="D184" s="2">
        <v>14.0</v>
      </c>
      <c r="E184" s="2">
        <v>0.0</v>
      </c>
      <c r="F184" s="2">
        <v>4.0</v>
      </c>
      <c r="H184" s="2">
        <v>0.0</v>
      </c>
      <c r="J184" s="2">
        <v>0.0</v>
      </c>
      <c r="L184" s="2">
        <v>0.0</v>
      </c>
      <c r="M184" s="2">
        <v>10.0</v>
      </c>
      <c r="N184" s="2">
        <v>14.0</v>
      </c>
      <c r="P184" s="2">
        <v>0.0</v>
      </c>
    </row>
    <row r="185">
      <c r="B185" s="2">
        <v>0.0</v>
      </c>
      <c r="C185" s="2">
        <v>10.0</v>
      </c>
      <c r="D185" s="2">
        <v>28.0</v>
      </c>
      <c r="F185" s="2">
        <v>4.0</v>
      </c>
      <c r="H185" s="2">
        <v>0.0</v>
      </c>
      <c r="J185" s="2">
        <v>0.0</v>
      </c>
      <c r="L185" s="2">
        <v>0.0</v>
      </c>
      <c r="N185" s="2">
        <v>14.0</v>
      </c>
      <c r="P185" s="2">
        <v>0.0</v>
      </c>
    </row>
    <row r="186">
      <c r="B186" s="2">
        <v>0.0</v>
      </c>
      <c r="D186" s="2">
        <v>28.0</v>
      </c>
      <c r="F186" s="2">
        <v>4.0</v>
      </c>
      <c r="H186" s="2">
        <v>0.0</v>
      </c>
      <c r="J186" s="2">
        <v>0.0</v>
      </c>
      <c r="L186" s="2">
        <v>0.0</v>
      </c>
      <c r="N186" s="2">
        <v>14.0</v>
      </c>
      <c r="P186" s="2">
        <v>0.0</v>
      </c>
    </row>
    <row r="187">
      <c r="B187" s="2">
        <v>0.0</v>
      </c>
      <c r="D187" s="2">
        <v>32.0</v>
      </c>
      <c r="E187" s="2">
        <v>0.0</v>
      </c>
      <c r="F187" s="2">
        <v>8.0</v>
      </c>
      <c r="H187" s="2">
        <v>0.0</v>
      </c>
      <c r="J187" s="2">
        <v>0.0</v>
      </c>
      <c r="L187" s="2">
        <v>0.0</v>
      </c>
      <c r="N187" s="2">
        <v>14.0</v>
      </c>
      <c r="P187" s="2">
        <v>0.0</v>
      </c>
    </row>
    <row r="188">
      <c r="B188" s="2">
        <v>0.0</v>
      </c>
      <c r="D188" s="2">
        <v>32.0</v>
      </c>
      <c r="F188" s="2">
        <v>8.0</v>
      </c>
      <c r="H188" s="2">
        <v>0.0</v>
      </c>
      <c r="J188" s="2">
        <v>0.0</v>
      </c>
      <c r="L188" s="2">
        <v>0.0</v>
      </c>
      <c r="N188" s="2">
        <v>14.0</v>
      </c>
      <c r="P188" s="2">
        <v>0.0</v>
      </c>
    </row>
    <row r="189">
      <c r="B189" s="2">
        <v>0.0</v>
      </c>
      <c r="D189" s="2">
        <v>32.0</v>
      </c>
      <c r="F189" s="2">
        <v>8.0</v>
      </c>
      <c r="H189" s="2">
        <v>0.0</v>
      </c>
      <c r="J189" s="2">
        <v>0.0</v>
      </c>
      <c r="L189" s="2">
        <v>0.0</v>
      </c>
      <c r="M189" s="2">
        <v>10.0</v>
      </c>
      <c r="N189" s="2">
        <v>28.0</v>
      </c>
      <c r="P189" s="2">
        <v>0.0</v>
      </c>
    </row>
    <row r="190">
      <c r="A190" s="2">
        <v>10.0</v>
      </c>
      <c r="B190" s="2">
        <v>14.0</v>
      </c>
      <c r="D190" s="2">
        <v>32.0</v>
      </c>
      <c r="E190" s="2">
        <v>0.0</v>
      </c>
      <c r="F190" s="2">
        <v>12.0</v>
      </c>
      <c r="H190" s="2">
        <v>0.0</v>
      </c>
      <c r="J190" s="2">
        <v>0.0</v>
      </c>
      <c r="L190" s="2">
        <v>0.0</v>
      </c>
      <c r="N190" s="2">
        <v>28.0</v>
      </c>
      <c r="P190" s="2">
        <v>0.0</v>
      </c>
    </row>
    <row r="191">
      <c r="B191" s="2">
        <v>14.0</v>
      </c>
      <c r="C191" s="2">
        <v>10.0</v>
      </c>
      <c r="D191" s="2">
        <v>46.0</v>
      </c>
      <c r="E191" s="2">
        <v>10.0</v>
      </c>
      <c r="F191" s="2">
        <v>26.0</v>
      </c>
      <c r="H191" s="2">
        <v>0.0</v>
      </c>
      <c r="J191" s="2">
        <v>0.0</v>
      </c>
      <c r="L191" s="2">
        <v>0.0</v>
      </c>
      <c r="N191" s="2">
        <v>28.0</v>
      </c>
      <c r="P191" s="2">
        <v>0.0</v>
      </c>
    </row>
    <row r="192">
      <c r="A192" s="2">
        <v>0.0</v>
      </c>
      <c r="B192" s="2">
        <v>18.0</v>
      </c>
      <c r="D192" s="2">
        <v>46.0</v>
      </c>
      <c r="F192" s="2">
        <v>26.0</v>
      </c>
      <c r="H192" s="2">
        <v>0.0</v>
      </c>
      <c r="J192" s="2">
        <v>0.0</v>
      </c>
      <c r="L192" s="2">
        <v>0.0</v>
      </c>
      <c r="N192" s="2">
        <v>28.0</v>
      </c>
      <c r="P192" s="2">
        <v>0.0</v>
      </c>
    </row>
    <row r="193">
      <c r="B193" s="2">
        <v>18.0</v>
      </c>
      <c r="D193" s="2">
        <v>46.0</v>
      </c>
      <c r="E193" s="2">
        <v>10.0</v>
      </c>
      <c r="F193" s="2">
        <v>40.0</v>
      </c>
      <c r="H193" s="2">
        <v>0.0</v>
      </c>
      <c r="J193" s="2">
        <v>0.0</v>
      </c>
      <c r="L193" s="2">
        <v>0.0</v>
      </c>
      <c r="N193" s="2">
        <v>28.0</v>
      </c>
      <c r="P193" s="2">
        <v>0.0</v>
      </c>
    </row>
    <row r="194">
      <c r="B194" s="2">
        <v>18.0</v>
      </c>
      <c r="D194" s="2">
        <v>46.0</v>
      </c>
      <c r="E194" s="2">
        <v>0.0</v>
      </c>
      <c r="F194" s="2">
        <v>44.0</v>
      </c>
      <c r="H194" s="2">
        <v>0.0</v>
      </c>
      <c r="J194" s="2">
        <v>0.0</v>
      </c>
      <c r="L194" s="2">
        <v>0.0</v>
      </c>
      <c r="N194" s="2">
        <v>28.0</v>
      </c>
      <c r="P194" s="2">
        <v>0.0</v>
      </c>
    </row>
    <row r="195">
      <c r="B195" s="2">
        <v>18.0</v>
      </c>
      <c r="C195" s="2">
        <v>10.0</v>
      </c>
      <c r="D195" s="2">
        <v>60.0</v>
      </c>
      <c r="F195" s="2">
        <v>44.0</v>
      </c>
      <c r="H195" s="2">
        <v>0.0</v>
      </c>
      <c r="J195" s="2">
        <v>0.0</v>
      </c>
      <c r="L195" s="2">
        <v>0.0</v>
      </c>
      <c r="N195" s="2">
        <v>28.0</v>
      </c>
      <c r="P195" s="2">
        <v>4.0</v>
      </c>
    </row>
    <row r="197">
      <c r="B197" s="2">
        <v>18.0</v>
      </c>
      <c r="C197" s="2">
        <v>0.0</v>
      </c>
      <c r="D197" s="2">
        <v>64.0</v>
      </c>
      <c r="E197" s="2">
        <v>0.0</v>
      </c>
      <c r="F197" s="2">
        <v>48.0</v>
      </c>
      <c r="H197" s="2">
        <v>0.0</v>
      </c>
      <c r="I197" s="2">
        <v>0.0</v>
      </c>
      <c r="J197" s="2">
        <v>4.0</v>
      </c>
      <c r="L197" s="2">
        <v>0.0</v>
      </c>
      <c r="N197" s="2">
        <v>28.0</v>
      </c>
      <c r="O197" s="2">
        <v>0.0</v>
      </c>
      <c r="P197" s="2">
        <v>8.0</v>
      </c>
    </row>
    <row r="198">
      <c r="B198" s="2">
        <v>18.0</v>
      </c>
      <c r="D198" s="2">
        <v>64.0</v>
      </c>
      <c r="E198" s="2">
        <v>10.0</v>
      </c>
      <c r="F198" s="2">
        <v>62.0</v>
      </c>
      <c r="H198" s="2">
        <v>0.0</v>
      </c>
      <c r="J198" s="2">
        <v>4.0</v>
      </c>
      <c r="L198" s="2">
        <v>0.0</v>
      </c>
      <c r="N198" s="2">
        <v>28.0</v>
      </c>
      <c r="P198" s="2">
        <v>8.0</v>
      </c>
    </row>
    <row r="199">
      <c r="B199" s="2">
        <v>18.0</v>
      </c>
      <c r="D199" s="2">
        <v>64.0</v>
      </c>
      <c r="F199" s="2">
        <v>62.0</v>
      </c>
      <c r="H199" s="2">
        <v>0.0</v>
      </c>
      <c r="I199" s="2">
        <v>0.0</v>
      </c>
      <c r="J199" s="2">
        <v>8.0</v>
      </c>
      <c r="L199" s="2">
        <v>0.0</v>
      </c>
      <c r="M199" s="2">
        <v>0.0</v>
      </c>
      <c r="N199" s="2">
        <v>32.0</v>
      </c>
      <c r="P199" s="2">
        <v>8.0</v>
      </c>
    </row>
    <row r="200">
      <c r="A200" s="2">
        <v>0.0</v>
      </c>
      <c r="B200" s="2">
        <v>22.0</v>
      </c>
      <c r="D200" s="2">
        <v>64.0</v>
      </c>
      <c r="E200" s="2">
        <v>10.0</v>
      </c>
      <c r="F200" s="2">
        <v>76.0</v>
      </c>
      <c r="H200" s="2">
        <v>0.0</v>
      </c>
      <c r="J200" s="2">
        <v>8.0</v>
      </c>
      <c r="K200" s="2">
        <v>10.0</v>
      </c>
      <c r="L200" s="2">
        <v>14.0</v>
      </c>
      <c r="N200" s="2">
        <v>32.0</v>
      </c>
      <c r="P200" s="2">
        <v>8.0</v>
      </c>
    </row>
    <row r="201">
      <c r="B201" s="2">
        <v>22.0</v>
      </c>
      <c r="D201" s="2">
        <v>64.0</v>
      </c>
      <c r="F201" s="2">
        <v>76.0</v>
      </c>
      <c r="H201" s="2">
        <v>0.0</v>
      </c>
      <c r="J201" s="2">
        <v>8.0</v>
      </c>
      <c r="L201" s="2">
        <v>14.0</v>
      </c>
      <c r="M201" s="2">
        <v>0.0</v>
      </c>
      <c r="N201" s="2">
        <v>36.0</v>
      </c>
      <c r="P201" s="2">
        <v>8.0</v>
      </c>
    </row>
    <row r="202">
      <c r="B202" s="2">
        <v>22.0</v>
      </c>
      <c r="C202" s="2">
        <v>0.0</v>
      </c>
      <c r="D202" s="2">
        <v>68.0</v>
      </c>
      <c r="E202" s="2">
        <v>0.0</v>
      </c>
      <c r="F202" s="2">
        <v>80.0</v>
      </c>
      <c r="H202" s="2">
        <v>0.0</v>
      </c>
      <c r="J202" s="2">
        <v>8.0</v>
      </c>
      <c r="L202" s="2">
        <v>14.0</v>
      </c>
      <c r="N202" s="2">
        <v>36.0</v>
      </c>
      <c r="P202" s="2">
        <v>8.0</v>
      </c>
    </row>
    <row r="203">
      <c r="A203" s="2">
        <v>10.0</v>
      </c>
      <c r="B203" s="2">
        <v>36.0</v>
      </c>
      <c r="D203" s="2">
        <v>68.0</v>
      </c>
      <c r="F203" s="2">
        <v>80.0</v>
      </c>
      <c r="H203" s="2">
        <v>0.0</v>
      </c>
      <c r="J203" s="2">
        <v>8.0</v>
      </c>
      <c r="L203" s="2">
        <v>14.0</v>
      </c>
      <c r="M203" s="2">
        <v>0.0</v>
      </c>
      <c r="N203" s="2">
        <v>40.0</v>
      </c>
      <c r="P203" s="2">
        <v>8.0</v>
      </c>
    </row>
    <row r="204">
      <c r="A204" s="2">
        <v>0.0</v>
      </c>
      <c r="B204" s="2">
        <v>40.0</v>
      </c>
      <c r="D204" s="2">
        <v>68.0</v>
      </c>
      <c r="E204" s="2">
        <v>0.0</v>
      </c>
      <c r="F204" s="2">
        <v>84.0</v>
      </c>
      <c r="H204" s="2">
        <v>0.0</v>
      </c>
      <c r="J204" s="2">
        <v>8.0</v>
      </c>
      <c r="L204" s="2">
        <v>14.0</v>
      </c>
      <c r="N204" s="2">
        <v>40.0</v>
      </c>
      <c r="P204" s="2">
        <v>8.0</v>
      </c>
    </row>
    <row r="205">
      <c r="B205" s="2">
        <v>40.0</v>
      </c>
      <c r="C205" s="2">
        <v>10.0</v>
      </c>
      <c r="D205" s="2">
        <v>82.0</v>
      </c>
      <c r="E205" s="2">
        <v>0.0</v>
      </c>
      <c r="F205" s="2">
        <v>88.0</v>
      </c>
      <c r="H205" s="2">
        <v>0.0</v>
      </c>
      <c r="J205" s="2">
        <v>8.0</v>
      </c>
      <c r="K205" s="2">
        <v>0.0</v>
      </c>
      <c r="L205" s="2">
        <v>18.0</v>
      </c>
      <c r="N205" s="2">
        <v>40.0</v>
      </c>
      <c r="P205" s="2">
        <v>8.0</v>
      </c>
    </row>
    <row r="206">
      <c r="B206" s="2">
        <v>40.0</v>
      </c>
      <c r="C206" s="2">
        <v>0.0</v>
      </c>
      <c r="D206" s="2">
        <v>86.0</v>
      </c>
      <c r="F206" s="2">
        <v>88.0</v>
      </c>
      <c r="G206" s="2">
        <v>0.0</v>
      </c>
      <c r="H206" s="2">
        <v>4.0</v>
      </c>
      <c r="I206" s="2">
        <v>0.0</v>
      </c>
      <c r="J206" s="2">
        <v>12.0</v>
      </c>
      <c r="L206" s="2">
        <v>18.0</v>
      </c>
      <c r="M206" s="2">
        <v>0.0</v>
      </c>
      <c r="N206" s="2">
        <v>44.0</v>
      </c>
      <c r="P206" s="2">
        <v>8.0</v>
      </c>
    </row>
    <row r="207">
      <c r="B207" s="2">
        <v>40.0</v>
      </c>
      <c r="D207" s="2">
        <v>86.0</v>
      </c>
      <c r="E207" s="2">
        <v>10.0</v>
      </c>
      <c r="F207" s="2">
        <v>102.0</v>
      </c>
      <c r="H207" s="2">
        <v>4.0</v>
      </c>
      <c r="J207" s="2">
        <v>12.0</v>
      </c>
      <c r="L207" s="2">
        <v>18.0</v>
      </c>
      <c r="M207" s="2">
        <v>0.0</v>
      </c>
      <c r="N207" s="2">
        <v>48.0</v>
      </c>
      <c r="P207" s="2">
        <v>8.0</v>
      </c>
    </row>
    <row r="208">
      <c r="B208" s="2">
        <v>40.0</v>
      </c>
      <c r="D208" s="2">
        <v>86.0</v>
      </c>
      <c r="F208" s="2">
        <v>102.0</v>
      </c>
      <c r="G208" s="2">
        <v>0.0</v>
      </c>
      <c r="H208" s="2">
        <v>8.0</v>
      </c>
      <c r="J208" s="2">
        <v>12.0</v>
      </c>
      <c r="K208" s="2">
        <v>0.0</v>
      </c>
      <c r="L208" s="2">
        <v>22.0</v>
      </c>
      <c r="M208" s="2">
        <v>0.0</v>
      </c>
      <c r="N208" s="2">
        <v>52.0</v>
      </c>
      <c r="P208" s="2">
        <v>8.0</v>
      </c>
    </row>
    <row r="211">
      <c r="A211" s="2" t="s">
        <v>0</v>
      </c>
      <c r="B211" s="2" t="s">
        <v>0</v>
      </c>
      <c r="C211" s="2" t="s">
        <v>7</v>
      </c>
      <c r="D211" s="2" t="s">
        <v>7</v>
      </c>
      <c r="E211" s="2" t="s">
        <v>3</v>
      </c>
      <c r="F211" s="2" t="s">
        <v>3</v>
      </c>
      <c r="G211" s="2" t="s">
        <v>2</v>
      </c>
      <c r="H211" s="2" t="s">
        <v>2</v>
      </c>
      <c r="I211" s="2" t="s">
        <v>1</v>
      </c>
      <c r="J211" s="2" t="s">
        <v>1</v>
      </c>
      <c r="K211" s="2" t="s">
        <v>6</v>
      </c>
      <c r="L211" s="2" t="s">
        <v>6</v>
      </c>
      <c r="M211" s="2" t="s">
        <v>9</v>
      </c>
      <c r="N211" s="2" t="s">
        <v>9</v>
      </c>
      <c r="O211" s="2" t="s">
        <v>5</v>
      </c>
      <c r="P211" s="2" t="s">
        <v>5</v>
      </c>
      <c r="Q211" s="2" t="s">
        <v>8</v>
      </c>
      <c r="R211" s="2" t="s">
        <v>8</v>
      </c>
      <c r="S211" s="2" t="s">
        <v>4</v>
      </c>
      <c r="T211" s="2" t="s">
        <v>4</v>
      </c>
    </row>
    <row r="212">
      <c r="A212" s="2" t="s">
        <v>10</v>
      </c>
      <c r="B212" s="2" t="s">
        <v>11</v>
      </c>
      <c r="C212" s="2" t="s">
        <v>10</v>
      </c>
      <c r="D212" s="2" t="s">
        <v>11</v>
      </c>
      <c r="E212" s="2" t="s">
        <v>10</v>
      </c>
      <c r="F212" s="2" t="s">
        <v>11</v>
      </c>
      <c r="G212" s="2" t="s">
        <v>10</v>
      </c>
      <c r="H212" s="2" t="s">
        <v>11</v>
      </c>
      <c r="I212" s="2" t="s">
        <v>10</v>
      </c>
      <c r="J212" s="2" t="s">
        <v>11</v>
      </c>
      <c r="K212" s="2" t="s">
        <v>10</v>
      </c>
      <c r="L212" s="2" t="s">
        <v>11</v>
      </c>
      <c r="M212" s="2" t="s">
        <v>10</v>
      </c>
      <c r="N212" s="2" t="s">
        <v>11</v>
      </c>
      <c r="O212" s="2" t="s">
        <v>10</v>
      </c>
      <c r="P212" s="2" t="s">
        <v>11</v>
      </c>
      <c r="Q212" s="2" t="s">
        <v>10</v>
      </c>
      <c r="R212" s="2" t="s">
        <v>11</v>
      </c>
      <c r="S212" s="2" t="s">
        <v>10</v>
      </c>
      <c r="T212" s="2" t="s">
        <v>11</v>
      </c>
    </row>
    <row r="214">
      <c r="B214" s="2">
        <v>0.0</v>
      </c>
      <c r="D214" s="2">
        <v>0.0</v>
      </c>
      <c r="F214" s="2">
        <v>0.0</v>
      </c>
      <c r="H214" s="2">
        <v>0.0</v>
      </c>
    </row>
    <row r="215">
      <c r="A215" s="2">
        <v>0.0</v>
      </c>
      <c r="B215" s="2">
        <v>8.0</v>
      </c>
      <c r="D215" s="2">
        <v>0.0</v>
      </c>
      <c r="E215" s="2">
        <v>10.0</v>
      </c>
      <c r="F215" s="2">
        <v>14.0</v>
      </c>
      <c r="H215" s="2">
        <v>0.0</v>
      </c>
    </row>
    <row r="216">
      <c r="A216" s="2">
        <v>10.0</v>
      </c>
      <c r="B216" s="2">
        <v>22.0</v>
      </c>
      <c r="D216" s="2">
        <v>0.0</v>
      </c>
      <c r="F216" s="2">
        <v>14.0</v>
      </c>
      <c r="H216" s="2">
        <v>0.0</v>
      </c>
    </row>
    <row r="217">
      <c r="B217" s="2">
        <v>22.0</v>
      </c>
      <c r="C217" s="2">
        <v>0.0</v>
      </c>
      <c r="D217" s="2">
        <v>4.0</v>
      </c>
      <c r="F217" s="2">
        <v>14.0</v>
      </c>
      <c r="H217" s="2">
        <v>0.0</v>
      </c>
    </row>
    <row r="218">
      <c r="B218" s="2">
        <v>22.0</v>
      </c>
      <c r="D218" s="2">
        <v>4.0</v>
      </c>
      <c r="E218" s="2">
        <v>0.0</v>
      </c>
      <c r="F218" s="2">
        <v>18.0</v>
      </c>
      <c r="H218" s="2">
        <v>0.0</v>
      </c>
    </row>
    <row r="219">
      <c r="B219" s="2">
        <v>22.0</v>
      </c>
      <c r="D219" s="2">
        <v>4.0</v>
      </c>
      <c r="F219" s="2">
        <v>18.0</v>
      </c>
      <c r="H219" s="2">
        <v>4.0</v>
      </c>
    </row>
    <row r="220">
      <c r="B220" s="2">
        <v>22.0</v>
      </c>
      <c r="D220" s="2">
        <v>4.0</v>
      </c>
      <c r="F220" s="2">
        <v>18.0</v>
      </c>
      <c r="G220" s="2">
        <v>10.0</v>
      </c>
      <c r="H220" s="2">
        <v>18.0</v>
      </c>
    </row>
    <row r="221">
      <c r="B221" s="2">
        <v>22.0</v>
      </c>
      <c r="D221" s="2">
        <v>4.0</v>
      </c>
      <c r="F221" s="2">
        <v>18.0</v>
      </c>
      <c r="H221" s="2">
        <v>18.0</v>
      </c>
    </row>
    <row r="222">
      <c r="A222" s="2">
        <v>0.0</v>
      </c>
      <c r="B222" s="2">
        <v>26.0</v>
      </c>
      <c r="D222" s="2">
        <v>4.0</v>
      </c>
      <c r="F222" s="2">
        <v>18.0</v>
      </c>
      <c r="G222" s="2">
        <v>10.0</v>
      </c>
      <c r="H222" s="2">
        <v>32.0</v>
      </c>
    </row>
    <row r="223">
      <c r="B223" s="2">
        <v>26.0</v>
      </c>
      <c r="D223" s="2">
        <v>4.0</v>
      </c>
      <c r="F223" s="2">
        <v>18.0</v>
      </c>
      <c r="H223" s="2">
        <v>32.0</v>
      </c>
    </row>
    <row r="224">
      <c r="A224" s="2">
        <v>0.0</v>
      </c>
      <c r="B224" s="2">
        <v>30.0</v>
      </c>
      <c r="D224" s="2">
        <v>4.0</v>
      </c>
      <c r="E224" s="2">
        <v>0.0</v>
      </c>
      <c r="F224" s="2">
        <v>22.0</v>
      </c>
      <c r="H224" s="2">
        <v>32.0</v>
      </c>
    </row>
    <row r="225">
      <c r="A225" s="2">
        <v>0.0</v>
      </c>
      <c r="B225" s="2">
        <v>34.0</v>
      </c>
      <c r="D225" s="2">
        <v>4.0</v>
      </c>
      <c r="E225" s="2">
        <v>0.0</v>
      </c>
      <c r="F225" s="2">
        <v>26.0</v>
      </c>
      <c r="H225" s="2">
        <v>32.0</v>
      </c>
    </row>
    <row r="227">
      <c r="B227" s="2">
        <v>34.0</v>
      </c>
      <c r="C227" s="2">
        <v>0.0</v>
      </c>
      <c r="D227" s="2">
        <v>8.0</v>
      </c>
      <c r="F227" s="2">
        <v>26.0</v>
      </c>
      <c r="G227" s="2">
        <v>10.0</v>
      </c>
      <c r="H227" s="2">
        <v>46.0</v>
      </c>
    </row>
    <row r="228">
      <c r="A228" s="2">
        <v>0.0</v>
      </c>
      <c r="B228" s="2">
        <v>38.0</v>
      </c>
      <c r="D228" s="2">
        <v>8.0</v>
      </c>
      <c r="F228" s="2">
        <v>30.0</v>
      </c>
      <c r="H228" s="2">
        <v>46.0</v>
      </c>
    </row>
    <row r="229">
      <c r="B229" s="2">
        <v>38.0</v>
      </c>
      <c r="D229" s="2">
        <v>8.0</v>
      </c>
      <c r="F229" s="2">
        <v>30.0</v>
      </c>
      <c r="H229" s="2">
        <v>46.0</v>
      </c>
    </row>
    <row r="230">
      <c r="A230" s="2">
        <v>10.0</v>
      </c>
      <c r="B230" s="2">
        <v>52.0</v>
      </c>
      <c r="D230" s="2">
        <v>8.0</v>
      </c>
      <c r="F230" s="2">
        <v>30.0</v>
      </c>
      <c r="G230" s="2">
        <v>0.0</v>
      </c>
      <c r="H230" s="2">
        <v>50.0</v>
      </c>
    </row>
    <row r="231">
      <c r="A231" s="2">
        <v>0.0</v>
      </c>
      <c r="B231" s="2">
        <v>56.0</v>
      </c>
      <c r="D231" s="2">
        <v>8.0</v>
      </c>
      <c r="F231" s="2">
        <v>30.0</v>
      </c>
      <c r="H231" s="2">
        <v>50.0</v>
      </c>
    </row>
    <row r="232">
      <c r="A232" s="2">
        <v>0.0</v>
      </c>
      <c r="B232" s="2">
        <v>60.0</v>
      </c>
      <c r="D232" s="2">
        <v>8.0</v>
      </c>
      <c r="F232" s="2">
        <v>30.0</v>
      </c>
      <c r="G232" s="2">
        <v>10.0</v>
      </c>
      <c r="H232" s="2">
        <v>64.0</v>
      </c>
    </row>
    <row r="233">
      <c r="B233" s="2">
        <v>60.0</v>
      </c>
      <c r="C233" s="2">
        <v>0.0</v>
      </c>
      <c r="D233" s="2">
        <v>12.0</v>
      </c>
      <c r="E233" s="2">
        <v>0.0</v>
      </c>
      <c r="F233" s="2">
        <v>34.0</v>
      </c>
      <c r="H233" s="2">
        <v>64.0</v>
      </c>
    </row>
    <row r="234">
      <c r="B234" s="2">
        <v>60.0</v>
      </c>
      <c r="D234" s="2">
        <v>12.0</v>
      </c>
      <c r="F234" s="2">
        <v>34.0</v>
      </c>
      <c r="H234" s="2">
        <v>64.0</v>
      </c>
    </row>
    <row r="235">
      <c r="A235" s="2">
        <v>10.0</v>
      </c>
      <c r="B235" s="2">
        <v>74.0</v>
      </c>
      <c r="D235" s="2">
        <v>12.0</v>
      </c>
      <c r="F235" s="2">
        <v>34.0</v>
      </c>
      <c r="H235" s="2">
        <v>64.0</v>
      </c>
    </row>
    <row r="236">
      <c r="A236" s="2">
        <v>0.0</v>
      </c>
      <c r="B236" s="2">
        <v>82.0</v>
      </c>
      <c r="D236" s="2">
        <v>12.0</v>
      </c>
      <c r="E236" s="2">
        <v>0.0</v>
      </c>
      <c r="F236" s="2">
        <v>38.0</v>
      </c>
      <c r="H236" s="2">
        <v>64.0</v>
      </c>
    </row>
    <row r="237">
      <c r="B237" s="2">
        <v>82.0</v>
      </c>
      <c r="D237" s="2">
        <v>12.0</v>
      </c>
      <c r="F237" s="2">
        <v>38.0</v>
      </c>
      <c r="G237" s="2">
        <v>0.0</v>
      </c>
      <c r="H237" s="2">
        <v>68.0</v>
      </c>
    </row>
    <row r="238">
      <c r="B238" s="2">
        <v>82.0</v>
      </c>
      <c r="D238" s="2">
        <v>12.0</v>
      </c>
      <c r="F238" s="2">
        <v>38.0</v>
      </c>
      <c r="H238" s="2">
        <v>68.0</v>
      </c>
    </row>
    <row r="241">
      <c r="A241" s="2" t="s">
        <v>5</v>
      </c>
      <c r="B241" s="2" t="s">
        <v>5</v>
      </c>
      <c r="C241" s="2" t="s">
        <v>6</v>
      </c>
      <c r="D241" s="2" t="s">
        <v>6</v>
      </c>
      <c r="E241" s="2" t="s">
        <v>0</v>
      </c>
      <c r="F241" s="2" t="s">
        <v>0</v>
      </c>
      <c r="G241" s="2" t="s">
        <v>2</v>
      </c>
      <c r="H241" s="2" t="s">
        <v>2</v>
      </c>
      <c r="I241" s="2" t="s">
        <v>1</v>
      </c>
      <c r="J241" s="2" t="s">
        <v>1</v>
      </c>
      <c r="K241" s="2" t="s">
        <v>7</v>
      </c>
      <c r="L241" s="2" t="s">
        <v>7</v>
      </c>
      <c r="M241" s="2" t="s">
        <v>9</v>
      </c>
      <c r="N241" s="2" t="s">
        <v>9</v>
      </c>
      <c r="O241" s="2" t="s">
        <v>3</v>
      </c>
      <c r="P241" s="2" t="s">
        <v>3</v>
      </c>
      <c r="Q241" s="2" t="s">
        <v>8</v>
      </c>
      <c r="R241" s="2" t="s">
        <v>8</v>
      </c>
      <c r="S241" s="2" t="s">
        <v>4</v>
      </c>
      <c r="T241" s="2" t="s">
        <v>4</v>
      </c>
    </row>
    <row r="242">
      <c r="A242" s="2" t="s">
        <v>10</v>
      </c>
      <c r="B242" s="2" t="s">
        <v>11</v>
      </c>
      <c r="C242" s="2" t="s">
        <v>10</v>
      </c>
      <c r="D242" s="2" t="s">
        <v>11</v>
      </c>
      <c r="E242" s="2" t="s">
        <v>10</v>
      </c>
      <c r="F242" s="2" t="s">
        <v>11</v>
      </c>
      <c r="G242" s="2" t="s">
        <v>10</v>
      </c>
      <c r="H242" s="2" t="s">
        <v>11</v>
      </c>
      <c r="I242" s="2" t="s">
        <v>10</v>
      </c>
      <c r="J242" s="2" t="s">
        <v>11</v>
      </c>
      <c r="K242" s="2" t="s">
        <v>10</v>
      </c>
      <c r="L242" s="2" t="s">
        <v>11</v>
      </c>
      <c r="M242" s="2" t="s">
        <v>10</v>
      </c>
      <c r="N242" s="2" t="s">
        <v>11</v>
      </c>
      <c r="O242" s="2" t="s">
        <v>10</v>
      </c>
      <c r="P242" s="2" t="s">
        <v>11</v>
      </c>
      <c r="Q242" s="2" t="s">
        <v>10</v>
      </c>
      <c r="R242" s="2" t="s">
        <v>11</v>
      </c>
      <c r="S242" s="2" t="s">
        <v>10</v>
      </c>
      <c r="T242" s="2" t="s">
        <v>11</v>
      </c>
    </row>
    <row r="244">
      <c r="B244" s="2">
        <v>0.0</v>
      </c>
      <c r="C244" s="2">
        <v>0.0</v>
      </c>
      <c r="D244" s="2">
        <v>4.0</v>
      </c>
      <c r="F244" s="2">
        <v>0.0</v>
      </c>
      <c r="G244" s="2">
        <v>10.0</v>
      </c>
      <c r="H244" s="2">
        <v>14.0</v>
      </c>
    </row>
    <row r="245">
      <c r="B245" s="2">
        <v>0.0</v>
      </c>
      <c r="D245" s="2">
        <v>4.0</v>
      </c>
      <c r="F245" s="2">
        <v>0.0</v>
      </c>
      <c r="H245" s="2">
        <v>14.0</v>
      </c>
    </row>
    <row r="246">
      <c r="B246" s="2">
        <v>0.0</v>
      </c>
      <c r="C246" s="2">
        <v>0.0</v>
      </c>
      <c r="D246" s="2">
        <v>8.0</v>
      </c>
      <c r="F246" s="2">
        <v>0.0</v>
      </c>
      <c r="H246" s="2">
        <v>14.0</v>
      </c>
    </row>
    <row r="247">
      <c r="A247" s="2">
        <v>0.0</v>
      </c>
      <c r="B247" s="2">
        <v>4.0</v>
      </c>
      <c r="D247" s="2">
        <v>8.0</v>
      </c>
      <c r="F247" s="2">
        <v>0.0</v>
      </c>
      <c r="H247" s="2">
        <v>14.0</v>
      </c>
    </row>
    <row r="248">
      <c r="A248" s="2">
        <v>0.0</v>
      </c>
      <c r="B248" s="2">
        <v>8.0</v>
      </c>
      <c r="D248" s="2">
        <v>8.0</v>
      </c>
      <c r="F248" s="2">
        <v>0.0</v>
      </c>
      <c r="G248" s="2">
        <v>0.0</v>
      </c>
      <c r="H248" s="2">
        <v>18.0</v>
      </c>
    </row>
    <row r="249">
      <c r="A249" s="2">
        <v>10.0</v>
      </c>
      <c r="B249" s="2">
        <v>26.0</v>
      </c>
      <c r="D249" s="2">
        <v>8.0</v>
      </c>
      <c r="F249" s="2">
        <v>0.0</v>
      </c>
      <c r="H249" s="2">
        <v>18.0</v>
      </c>
    </row>
    <row r="250">
      <c r="B250" s="2">
        <v>26.0</v>
      </c>
      <c r="C250" s="2">
        <v>10.0</v>
      </c>
      <c r="D250" s="2">
        <v>22.0</v>
      </c>
      <c r="F250" s="2">
        <v>0.0</v>
      </c>
      <c r="H250" s="2">
        <v>18.0</v>
      </c>
    </row>
    <row r="251">
      <c r="A251" s="2">
        <v>0.0</v>
      </c>
      <c r="B251" s="2">
        <v>30.0</v>
      </c>
      <c r="D251" s="2">
        <v>22.0</v>
      </c>
      <c r="F251" s="2">
        <v>0.0</v>
      </c>
      <c r="G251" s="2">
        <v>10.0</v>
      </c>
      <c r="H251" s="2">
        <v>32.0</v>
      </c>
    </row>
    <row r="252">
      <c r="B252" s="2">
        <v>30.0</v>
      </c>
      <c r="C252" s="2">
        <v>0.0</v>
      </c>
      <c r="D252" s="2">
        <v>26.0</v>
      </c>
      <c r="E252" s="2">
        <v>0.0</v>
      </c>
      <c r="F252" s="2">
        <v>4.0</v>
      </c>
      <c r="H252" s="2">
        <v>32.0</v>
      </c>
    </row>
    <row r="253">
      <c r="B253" s="2">
        <v>34.0</v>
      </c>
      <c r="D253" s="2">
        <v>30.0</v>
      </c>
      <c r="F253" s="2">
        <v>4.0</v>
      </c>
      <c r="H253" s="2">
        <v>32.0</v>
      </c>
    </row>
    <row r="254">
      <c r="B254" s="2">
        <v>34.0</v>
      </c>
      <c r="C254" s="2">
        <v>0.0</v>
      </c>
      <c r="D254" s="2">
        <v>38.0</v>
      </c>
      <c r="F254" s="2">
        <v>4.0</v>
      </c>
      <c r="H254" s="2">
        <v>32.0</v>
      </c>
    </row>
    <row r="255">
      <c r="B255" s="2">
        <v>38.0</v>
      </c>
      <c r="D255" s="2">
        <v>38.0</v>
      </c>
      <c r="F255" s="2">
        <v>4.0</v>
      </c>
      <c r="G255" s="2">
        <v>0.0</v>
      </c>
      <c r="H255" s="2">
        <v>36.0</v>
      </c>
    </row>
    <row r="257">
      <c r="A257" s="2">
        <v>0.0</v>
      </c>
      <c r="B257" s="2">
        <v>42.0</v>
      </c>
      <c r="D257" s="2">
        <v>38.0</v>
      </c>
      <c r="F257" s="2">
        <v>4.0</v>
      </c>
      <c r="H257" s="2">
        <v>36.0</v>
      </c>
    </row>
    <row r="258">
      <c r="A258" s="2">
        <v>0.0</v>
      </c>
      <c r="B258" s="2">
        <v>46.0</v>
      </c>
      <c r="D258" s="2">
        <v>38.0</v>
      </c>
      <c r="E258" s="2">
        <v>0.0</v>
      </c>
      <c r="F258" s="2">
        <v>8.0</v>
      </c>
      <c r="H258" s="2">
        <v>36.0</v>
      </c>
    </row>
    <row r="259">
      <c r="A259" s="2">
        <v>10.0</v>
      </c>
      <c r="B259" s="2">
        <v>60.0</v>
      </c>
      <c r="D259" s="2">
        <v>38.0</v>
      </c>
      <c r="E259" s="2">
        <v>10.0</v>
      </c>
      <c r="F259" s="2">
        <v>22.0</v>
      </c>
      <c r="H259" s="2">
        <v>36.0</v>
      </c>
    </row>
    <row r="260">
      <c r="A260" s="2">
        <v>10.0</v>
      </c>
      <c r="B260" s="2">
        <v>74.0</v>
      </c>
      <c r="D260" s="2">
        <v>38.0</v>
      </c>
      <c r="F260" s="2">
        <v>22.0</v>
      </c>
      <c r="H260" s="2">
        <v>36.0</v>
      </c>
    </row>
    <row r="261">
      <c r="B261" s="2">
        <v>78.0</v>
      </c>
      <c r="D261" s="2">
        <v>38.0</v>
      </c>
      <c r="F261" s="2">
        <v>22.0</v>
      </c>
      <c r="G261" s="2">
        <v>0.0</v>
      </c>
      <c r="H261" s="2">
        <v>40.0</v>
      </c>
    </row>
    <row r="262">
      <c r="B262" s="2">
        <v>78.0</v>
      </c>
      <c r="D262" s="2">
        <v>38.0</v>
      </c>
      <c r="F262" s="2">
        <v>22.0</v>
      </c>
      <c r="H262" s="2">
        <v>40.0</v>
      </c>
    </row>
    <row r="263">
      <c r="B263" s="2">
        <v>78.0</v>
      </c>
      <c r="D263" s="2">
        <v>42.0</v>
      </c>
      <c r="F263" s="2">
        <v>22.0</v>
      </c>
      <c r="H263" s="2">
        <v>40.0</v>
      </c>
    </row>
    <row r="264">
      <c r="B264" s="2">
        <v>78.0</v>
      </c>
      <c r="D264" s="2">
        <v>42.0</v>
      </c>
      <c r="F264" s="2">
        <v>22.0</v>
      </c>
      <c r="G264" s="2">
        <v>0.0</v>
      </c>
      <c r="H264" s="2">
        <v>44.0</v>
      </c>
    </row>
    <row r="265">
      <c r="B265" s="2">
        <v>78.0</v>
      </c>
      <c r="D265" s="2">
        <v>42.0</v>
      </c>
      <c r="F265" s="2">
        <v>22.0</v>
      </c>
      <c r="G265" s="2">
        <v>0.0</v>
      </c>
      <c r="H265" s="2">
        <v>48.0</v>
      </c>
    </row>
    <row r="266">
      <c r="B266" s="2">
        <v>78.0</v>
      </c>
      <c r="C266" s="2">
        <v>0.0</v>
      </c>
      <c r="D266" s="2">
        <v>46.0</v>
      </c>
      <c r="E266" s="2">
        <v>10.0</v>
      </c>
      <c r="F266" s="2">
        <v>36.0</v>
      </c>
      <c r="H266" s="2">
        <v>48.0</v>
      </c>
    </row>
    <row r="267">
      <c r="B267" s="2">
        <v>82.0</v>
      </c>
      <c r="D267" s="2">
        <v>46.0</v>
      </c>
      <c r="E267" s="2">
        <v>0.0</v>
      </c>
      <c r="F267" s="2">
        <v>40.0</v>
      </c>
      <c r="H267" s="2">
        <v>48.0</v>
      </c>
    </row>
    <row r="268">
      <c r="A268" s="2">
        <v>0.0</v>
      </c>
      <c r="B268" s="2">
        <v>90.0</v>
      </c>
      <c r="D268" s="2">
        <v>46.0</v>
      </c>
      <c r="F268" s="2">
        <v>40.0</v>
      </c>
      <c r="G268" s="2">
        <v>0.0</v>
      </c>
      <c r="H268" s="2">
        <v>52.0</v>
      </c>
    </row>
    <row r="271">
      <c r="A271" s="2" t="s">
        <v>2</v>
      </c>
      <c r="B271" s="2" t="s">
        <v>2</v>
      </c>
      <c r="C271" s="2" t="s">
        <v>6</v>
      </c>
      <c r="D271" s="2" t="s">
        <v>6</v>
      </c>
      <c r="E271" s="2" t="s">
        <v>0</v>
      </c>
      <c r="F271" s="2" t="s">
        <v>0</v>
      </c>
      <c r="G271" s="2" t="s">
        <v>5</v>
      </c>
      <c r="H271" s="2" t="s">
        <v>5</v>
      </c>
      <c r="I271" s="2" t="s">
        <v>1</v>
      </c>
      <c r="J271" s="2" t="s">
        <v>1</v>
      </c>
      <c r="K271" s="2" t="s">
        <v>7</v>
      </c>
      <c r="L271" s="2" t="s">
        <v>7</v>
      </c>
      <c r="M271" s="2" t="s">
        <v>9</v>
      </c>
      <c r="N271" s="2" t="s">
        <v>9</v>
      </c>
      <c r="O271" s="2" t="s">
        <v>3</v>
      </c>
      <c r="P271" s="2" t="s">
        <v>3</v>
      </c>
      <c r="Q271" s="2" t="s">
        <v>8</v>
      </c>
      <c r="R271" s="2" t="s">
        <v>8</v>
      </c>
      <c r="S271" s="2" t="s">
        <v>4</v>
      </c>
      <c r="T271" s="2" t="s">
        <v>4</v>
      </c>
    </row>
    <row r="272">
      <c r="A272" s="2" t="s">
        <v>10</v>
      </c>
      <c r="B272" s="2" t="s">
        <v>11</v>
      </c>
      <c r="C272" s="2" t="s">
        <v>10</v>
      </c>
      <c r="D272" s="2" t="s">
        <v>11</v>
      </c>
      <c r="E272" s="2" t="s">
        <v>10</v>
      </c>
      <c r="F272" s="2" t="s">
        <v>11</v>
      </c>
      <c r="G272" s="2" t="s">
        <v>10</v>
      </c>
      <c r="H272" s="2" t="s">
        <v>11</v>
      </c>
      <c r="I272" s="2" t="s">
        <v>10</v>
      </c>
      <c r="J272" s="2" t="s">
        <v>11</v>
      </c>
      <c r="K272" s="2" t="s">
        <v>10</v>
      </c>
      <c r="L272" s="2" t="s">
        <v>11</v>
      </c>
      <c r="M272" s="2" t="s">
        <v>10</v>
      </c>
      <c r="N272" s="2" t="s">
        <v>11</v>
      </c>
      <c r="O272" s="2" t="s">
        <v>10</v>
      </c>
      <c r="P272" s="2" t="s">
        <v>11</v>
      </c>
      <c r="Q272" s="2" t="s">
        <v>10</v>
      </c>
      <c r="R272" s="2" t="s">
        <v>11</v>
      </c>
      <c r="S272" s="2" t="s">
        <v>10</v>
      </c>
      <c r="T272" s="2" t="s">
        <v>11</v>
      </c>
    </row>
    <row r="274">
      <c r="B274" s="2">
        <v>0.0</v>
      </c>
      <c r="D274" s="2">
        <v>0.0</v>
      </c>
    </row>
    <row r="275">
      <c r="B275" s="2">
        <v>0.0</v>
      </c>
      <c r="D275" s="2">
        <v>0.0</v>
      </c>
    </row>
    <row r="276">
      <c r="A276" s="2">
        <v>10.0</v>
      </c>
      <c r="B276" s="2">
        <v>14.0</v>
      </c>
      <c r="D276" s="2">
        <v>0.0</v>
      </c>
    </row>
    <row r="277">
      <c r="A277" s="2">
        <v>0.0</v>
      </c>
      <c r="B277" s="2">
        <v>18.0</v>
      </c>
      <c r="D277" s="2">
        <v>0.0</v>
      </c>
    </row>
    <row r="278">
      <c r="B278" s="2">
        <v>18.0</v>
      </c>
      <c r="D278" s="2">
        <v>0.0</v>
      </c>
    </row>
    <row r="279">
      <c r="B279" s="2">
        <v>18.0</v>
      </c>
      <c r="D279" s="2">
        <v>0.0</v>
      </c>
    </row>
    <row r="280">
      <c r="A280" s="2">
        <v>0.0</v>
      </c>
      <c r="B280" s="2">
        <v>22.0</v>
      </c>
      <c r="D280" s="2">
        <v>0.0</v>
      </c>
    </row>
    <row r="281">
      <c r="A281" s="2">
        <v>0.0</v>
      </c>
      <c r="B281" s="2">
        <v>26.0</v>
      </c>
      <c r="D281" s="2">
        <v>0.0</v>
      </c>
    </row>
    <row r="282">
      <c r="B282" s="2">
        <v>26.0</v>
      </c>
      <c r="C282" s="2">
        <v>0.0</v>
      </c>
      <c r="D282" s="2">
        <v>4.0</v>
      </c>
    </row>
    <row r="283">
      <c r="A283" s="2">
        <v>0.0</v>
      </c>
      <c r="B283" s="2">
        <v>34.0</v>
      </c>
      <c r="D283" s="2">
        <v>4.0</v>
      </c>
    </row>
    <row r="284">
      <c r="B284" s="2">
        <v>34.0</v>
      </c>
      <c r="C284" s="2">
        <v>0.0</v>
      </c>
      <c r="D284" s="2">
        <v>8.0</v>
      </c>
    </row>
    <row r="285">
      <c r="B285" s="2">
        <v>34.0</v>
      </c>
      <c r="D285" s="2">
        <v>8.0</v>
      </c>
    </row>
    <row r="287">
      <c r="A287" s="2">
        <v>0.0</v>
      </c>
      <c r="B287" s="2">
        <v>38.0</v>
      </c>
      <c r="D287" s="2">
        <v>8.0</v>
      </c>
    </row>
    <row r="288">
      <c r="B288" s="2">
        <v>38.0</v>
      </c>
      <c r="C288" s="2">
        <v>0.0</v>
      </c>
      <c r="D288" s="2">
        <v>12.0</v>
      </c>
    </row>
    <row r="289">
      <c r="B289" s="2">
        <v>38.0</v>
      </c>
      <c r="C289" s="2">
        <v>10.0</v>
      </c>
      <c r="D289" s="2">
        <v>26.0</v>
      </c>
    </row>
    <row r="290">
      <c r="B290" s="2">
        <v>38.0</v>
      </c>
      <c r="D290" s="2">
        <v>26.0</v>
      </c>
    </row>
    <row r="291">
      <c r="B291" s="2">
        <v>38.0</v>
      </c>
      <c r="D291" s="2">
        <v>26.0</v>
      </c>
    </row>
    <row r="292">
      <c r="B292" s="2">
        <v>38.0</v>
      </c>
      <c r="D292" s="2">
        <v>26.0</v>
      </c>
    </row>
    <row r="293">
      <c r="A293" s="2">
        <v>10.0</v>
      </c>
      <c r="B293" s="2">
        <v>52.0</v>
      </c>
      <c r="D293" s="2">
        <v>26.0</v>
      </c>
    </row>
    <row r="294">
      <c r="B294" s="2">
        <v>52.0</v>
      </c>
      <c r="C294" s="2">
        <v>0.0</v>
      </c>
      <c r="D294" s="2">
        <v>30.0</v>
      </c>
    </row>
    <row r="295">
      <c r="B295" s="2">
        <v>52.0</v>
      </c>
      <c r="C295" s="2">
        <v>0.0</v>
      </c>
      <c r="D295" s="2">
        <v>34.0</v>
      </c>
    </row>
    <row r="296">
      <c r="A296" s="2">
        <v>0.0</v>
      </c>
      <c r="B296" s="2">
        <v>56.0</v>
      </c>
      <c r="D296" s="2">
        <v>34.0</v>
      </c>
    </row>
    <row r="297">
      <c r="A297" s="2">
        <v>0.0</v>
      </c>
      <c r="B297" s="2">
        <v>60.0</v>
      </c>
      <c r="D297" s="2">
        <v>34.0</v>
      </c>
    </row>
    <row r="298">
      <c r="B298" s="2">
        <v>60.0</v>
      </c>
      <c r="C298" s="2">
        <v>0.0</v>
      </c>
      <c r="D298" s="2">
        <v>38.0</v>
      </c>
    </row>
    <row r="301">
      <c r="A301" s="2" t="s">
        <v>5</v>
      </c>
      <c r="B301" s="2" t="s">
        <v>5</v>
      </c>
      <c r="C301" s="2" t="s">
        <v>2</v>
      </c>
      <c r="D301" s="2" t="s">
        <v>2</v>
      </c>
      <c r="E301" s="2" t="s">
        <v>6</v>
      </c>
      <c r="F301" s="2" t="s">
        <v>6</v>
      </c>
      <c r="G301" s="2" t="s">
        <v>0</v>
      </c>
      <c r="H301" s="2" t="s">
        <v>0</v>
      </c>
      <c r="I301" s="2" t="s">
        <v>1</v>
      </c>
      <c r="J301" s="2" t="s">
        <v>1</v>
      </c>
      <c r="K301" s="2" t="s">
        <v>7</v>
      </c>
      <c r="L301" s="2" t="s">
        <v>7</v>
      </c>
      <c r="M301" s="2" t="s">
        <v>9</v>
      </c>
      <c r="N301" s="2" t="s">
        <v>9</v>
      </c>
      <c r="O301" s="2" t="s">
        <v>3</v>
      </c>
      <c r="P301" s="2" t="s">
        <v>3</v>
      </c>
      <c r="Q301" s="2" t="s">
        <v>8</v>
      </c>
      <c r="R301" s="2" t="s">
        <v>8</v>
      </c>
      <c r="S301" s="2" t="s">
        <v>4</v>
      </c>
      <c r="T301" s="2" t="s">
        <v>4</v>
      </c>
    </row>
    <row r="302">
      <c r="A302" s="2" t="s">
        <v>10</v>
      </c>
      <c r="B302" s="2" t="s">
        <v>11</v>
      </c>
      <c r="C302" s="2" t="s">
        <v>10</v>
      </c>
      <c r="D302" s="2" t="s">
        <v>11</v>
      </c>
      <c r="E302" s="2" t="s">
        <v>10</v>
      </c>
      <c r="F302" s="2" t="s">
        <v>11</v>
      </c>
      <c r="G302" s="2" t="s">
        <v>10</v>
      </c>
      <c r="H302" s="2" t="s">
        <v>11</v>
      </c>
      <c r="I302" s="2" t="s">
        <v>10</v>
      </c>
      <c r="J302" s="2" t="s">
        <v>11</v>
      </c>
      <c r="K302" s="2" t="s">
        <v>10</v>
      </c>
      <c r="L302" s="2" t="s">
        <v>11</v>
      </c>
      <c r="M302" s="2" t="s">
        <v>10</v>
      </c>
      <c r="N302" s="2" t="s">
        <v>11</v>
      </c>
      <c r="O302" s="2" t="s">
        <v>10</v>
      </c>
      <c r="P302" s="2" t="s">
        <v>11</v>
      </c>
      <c r="Q302" s="2" t="s">
        <v>10</v>
      </c>
      <c r="R302" s="2" t="s">
        <v>11</v>
      </c>
      <c r="S302" s="2" t="s">
        <v>10</v>
      </c>
      <c r="T302" s="2" t="s">
        <v>11</v>
      </c>
    </row>
    <row r="304">
      <c r="B304" s="2">
        <v>0.0</v>
      </c>
      <c r="D304" s="2">
        <v>0.0</v>
      </c>
    </row>
    <row r="305">
      <c r="B305" s="2">
        <v>0.0</v>
      </c>
      <c r="D305" s="2">
        <v>0.0</v>
      </c>
    </row>
    <row r="306">
      <c r="B306" s="2">
        <v>0.0</v>
      </c>
      <c r="D306" s="2">
        <v>0.0</v>
      </c>
    </row>
    <row r="307">
      <c r="A307" s="2">
        <v>0.0</v>
      </c>
      <c r="B307" s="2">
        <v>4.0</v>
      </c>
      <c r="D307" s="2">
        <v>0.0</v>
      </c>
    </row>
    <row r="308">
      <c r="B308" s="2">
        <v>4.0</v>
      </c>
      <c r="C308" s="2">
        <v>0.0</v>
      </c>
      <c r="D308" s="2">
        <v>4.0</v>
      </c>
    </row>
    <row r="309">
      <c r="A309" s="2">
        <v>0.0</v>
      </c>
      <c r="B309" s="2">
        <v>8.0</v>
      </c>
      <c r="D309" s="2">
        <v>4.0</v>
      </c>
    </row>
    <row r="310">
      <c r="B310" s="2">
        <v>8.0</v>
      </c>
      <c r="C310" s="2">
        <v>0.0</v>
      </c>
      <c r="D310" s="2">
        <v>8.0</v>
      </c>
    </row>
    <row r="311">
      <c r="A311" s="2">
        <v>10.0</v>
      </c>
      <c r="B311" s="2">
        <v>22.0</v>
      </c>
      <c r="D311" s="2">
        <v>8.0</v>
      </c>
    </row>
    <row r="312">
      <c r="A312" s="2">
        <v>0.0</v>
      </c>
      <c r="B312" s="2">
        <v>26.0</v>
      </c>
      <c r="D312" s="2">
        <v>8.0</v>
      </c>
    </row>
    <row r="313">
      <c r="A313" s="2">
        <v>10.0</v>
      </c>
      <c r="B313" s="2">
        <v>40.0</v>
      </c>
      <c r="D313" s="2">
        <v>8.0</v>
      </c>
    </row>
    <row r="314">
      <c r="B314" s="2">
        <v>40.0</v>
      </c>
      <c r="C314" s="2">
        <v>0.0</v>
      </c>
      <c r="D314" s="2">
        <v>12.0</v>
      </c>
    </row>
    <row r="315">
      <c r="B315" s="2">
        <v>40.0</v>
      </c>
      <c r="D315" s="2">
        <v>12.0</v>
      </c>
    </row>
    <row r="317">
      <c r="B317" s="2">
        <v>40.0</v>
      </c>
      <c r="D317" s="2">
        <v>12.0</v>
      </c>
    </row>
    <row r="318">
      <c r="A318" s="2">
        <v>10.0</v>
      </c>
      <c r="B318" s="2">
        <v>54.0</v>
      </c>
      <c r="D318" s="2">
        <v>12.0</v>
      </c>
    </row>
    <row r="319">
      <c r="A319" s="2">
        <v>0.0</v>
      </c>
      <c r="B319" s="2">
        <v>58.0</v>
      </c>
      <c r="D319" s="2">
        <v>12.0</v>
      </c>
    </row>
    <row r="320">
      <c r="B320" s="2">
        <v>58.0</v>
      </c>
      <c r="C320" s="2">
        <v>10.0</v>
      </c>
      <c r="D320" s="2">
        <v>30.0</v>
      </c>
    </row>
    <row r="321">
      <c r="B321" s="2">
        <v>58.0</v>
      </c>
      <c r="D321" s="2">
        <v>30.0</v>
      </c>
    </row>
    <row r="322">
      <c r="B322" s="2">
        <v>58.0</v>
      </c>
      <c r="D322" s="2">
        <v>30.0</v>
      </c>
    </row>
    <row r="323">
      <c r="A323" s="2">
        <v>0.0</v>
      </c>
      <c r="B323" s="2">
        <v>62.0</v>
      </c>
      <c r="D323" s="2">
        <v>30.0</v>
      </c>
    </row>
    <row r="324">
      <c r="B324" s="2">
        <v>62.0</v>
      </c>
      <c r="C324" s="2">
        <v>0.0</v>
      </c>
      <c r="D324" s="2">
        <v>34.0</v>
      </c>
    </row>
    <row r="325">
      <c r="A325" s="2">
        <v>0.0</v>
      </c>
      <c r="B325" s="2">
        <v>66.0</v>
      </c>
      <c r="D325" s="2">
        <v>34.0</v>
      </c>
    </row>
    <row r="326">
      <c r="A326" s="2">
        <v>0.0</v>
      </c>
      <c r="B326" s="2">
        <v>70.0</v>
      </c>
      <c r="D326" s="2">
        <v>34.0</v>
      </c>
    </row>
    <row r="327">
      <c r="B327" s="2">
        <v>70.0</v>
      </c>
      <c r="C327" s="2">
        <v>0.0</v>
      </c>
      <c r="D327" s="2">
        <v>42.0</v>
      </c>
    </row>
    <row r="328">
      <c r="B328" s="2">
        <v>70.0</v>
      </c>
      <c r="D328" s="2">
        <v>42.0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tr">
        <f t="array" ref="B1:U30">transpose(sort(transpose(Full!A1:T30),1,true))</f>
        <v>Bethlehem</v>
      </c>
      <c r="C1" s="1" t="s">
        <v>1</v>
      </c>
      <c r="D1" s="1" t="s">
        <v>8</v>
      </c>
      <c r="E1" s="1" t="s">
        <v>8</v>
      </c>
      <c r="F1" s="1" t="s">
        <v>4</v>
      </c>
      <c r="G1" s="1" t="s">
        <v>4</v>
      </c>
      <c r="H1" s="1" t="s">
        <v>9</v>
      </c>
      <c r="I1" s="1" t="s">
        <v>9</v>
      </c>
      <c r="J1" s="1" t="s">
        <v>3</v>
      </c>
      <c r="K1" s="1" t="s">
        <v>3</v>
      </c>
      <c r="L1" s="1" t="s">
        <v>6</v>
      </c>
      <c r="M1" s="1" t="s">
        <v>6</v>
      </c>
      <c r="N1" s="1" t="s">
        <v>2</v>
      </c>
      <c r="O1" s="1" t="s">
        <v>2</v>
      </c>
      <c r="P1" s="1" t="s">
        <v>0</v>
      </c>
      <c r="Q1" s="1" t="s">
        <v>0</v>
      </c>
      <c r="R1" s="1" t="s">
        <v>7</v>
      </c>
      <c r="S1" s="1" t="s">
        <v>7</v>
      </c>
      <c r="T1" s="1" t="s">
        <v>5</v>
      </c>
      <c r="U1" s="1" t="s">
        <v>5</v>
      </c>
    </row>
    <row r="2">
      <c r="B2" s="1" t="s">
        <v>10</v>
      </c>
      <c r="C2" s="1" t="s">
        <v>11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10</v>
      </c>
      <c r="I2" s="1" t="s">
        <v>11</v>
      </c>
      <c r="J2" s="1" t="s">
        <v>10</v>
      </c>
      <c r="K2" s="1" t="s">
        <v>11</v>
      </c>
      <c r="L2" s="1" t="s">
        <v>10</v>
      </c>
      <c r="M2" s="1" t="s">
        <v>11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10</v>
      </c>
      <c r="S2" s="1" t="s">
        <v>11</v>
      </c>
      <c r="T2" s="1" t="s">
        <v>10</v>
      </c>
      <c r="U2" s="1" t="s">
        <v>11</v>
      </c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 t="s">
        <v>53</v>
      </c>
      <c r="B4" s="1">
        <v>0.0</v>
      </c>
      <c r="C4" s="1">
        <v>4.0</v>
      </c>
      <c r="D4" s="1">
        <v>0.0</v>
      </c>
      <c r="E4" s="1">
        <v>8.0</v>
      </c>
      <c r="F4" s="1"/>
      <c r="G4" s="1">
        <v>0.0</v>
      </c>
      <c r="H4" s="1"/>
      <c r="I4" s="1">
        <v>0.0</v>
      </c>
      <c r="J4" s="1"/>
      <c r="K4" s="1"/>
      <c r="L4" s="1"/>
      <c r="M4" s="1">
        <v>0.0</v>
      </c>
      <c r="N4" s="1"/>
      <c r="O4" s="1">
        <v>0.0</v>
      </c>
      <c r="P4" s="1"/>
      <c r="Q4" s="1">
        <v>0.0</v>
      </c>
      <c r="R4" s="1"/>
      <c r="S4" s="1">
        <v>0.0</v>
      </c>
      <c r="T4" s="1"/>
      <c r="U4" s="1"/>
    </row>
    <row r="5">
      <c r="A5" s="1" t="s">
        <v>54</v>
      </c>
      <c r="B5" s="1">
        <v>0.0</v>
      </c>
      <c r="C5" s="1">
        <v>8.0</v>
      </c>
      <c r="D5" s="1"/>
      <c r="E5" s="1">
        <v>8.0</v>
      </c>
      <c r="F5" s="1"/>
      <c r="G5" s="1">
        <v>0.0</v>
      </c>
      <c r="H5" s="1">
        <v>0.0</v>
      </c>
      <c r="I5" s="1">
        <v>4.0</v>
      </c>
      <c r="J5" s="1"/>
      <c r="K5" s="1"/>
      <c r="L5" s="1">
        <v>10.0</v>
      </c>
      <c r="M5" s="1">
        <v>14.0</v>
      </c>
      <c r="N5" s="1">
        <v>10.0</v>
      </c>
      <c r="O5" s="1">
        <v>14.0</v>
      </c>
      <c r="P5" s="1"/>
      <c r="Q5" s="1">
        <v>0.0</v>
      </c>
      <c r="R5" s="1"/>
      <c r="S5" s="1">
        <v>0.0</v>
      </c>
      <c r="T5" s="1"/>
      <c r="U5" s="1"/>
    </row>
    <row r="6">
      <c r="A6" s="1" t="s">
        <v>55</v>
      </c>
      <c r="B6" s="1"/>
      <c r="C6" s="1">
        <v>8.0</v>
      </c>
      <c r="D6" s="1"/>
      <c r="E6" s="1">
        <v>8.0</v>
      </c>
      <c r="F6" s="1"/>
      <c r="G6" s="1">
        <v>0.0</v>
      </c>
      <c r="H6" s="1"/>
      <c r="I6" s="1">
        <v>4.0</v>
      </c>
      <c r="J6" s="1"/>
      <c r="K6" s="1"/>
      <c r="L6" s="1">
        <v>10.0</v>
      </c>
      <c r="M6" s="1">
        <v>28.0</v>
      </c>
      <c r="N6" s="1"/>
      <c r="O6" s="1">
        <v>14.0</v>
      </c>
      <c r="P6" s="1"/>
      <c r="Q6" s="1">
        <v>0.0</v>
      </c>
      <c r="R6" s="1"/>
      <c r="S6" s="1">
        <v>0.0</v>
      </c>
      <c r="T6" s="1"/>
      <c r="U6" s="1"/>
    </row>
    <row r="7">
      <c r="A7" s="1" t="s">
        <v>56</v>
      </c>
      <c r="B7" s="1"/>
      <c r="C7" s="1">
        <v>8.0</v>
      </c>
      <c r="D7" s="1"/>
      <c r="E7" s="1">
        <v>8.0</v>
      </c>
      <c r="F7" s="1"/>
      <c r="G7" s="1">
        <v>0.0</v>
      </c>
      <c r="H7" s="1"/>
      <c r="I7" s="1">
        <v>4.0</v>
      </c>
      <c r="J7" s="1"/>
      <c r="K7" s="1"/>
      <c r="L7" s="1"/>
      <c r="M7" s="1">
        <v>28.0</v>
      </c>
      <c r="N7" s="1">
        <v>10.0</v>
      </c>
      <c r="O7" s="1">
        <v>28.0</v>
      </c>
      <c r="P7" s="1">
        <v>10.0</v>
      </c>
      <c r="Q7" s="1">
        <v>14.0</v>
      </c>
      <c r="R7" s="1">
        <v>10.0</v>
      </c>
      <c r="S7" s="1">
        <v>14.0</v>
      </c>
      <c r="T7" s="1"/>
      <c r="U7" s="1"/>
    </row>
    <row r="8">
      <c r="A8" s="1" t="s">
        <v>57</v>
      </c>
      <c r="B8" s="1">
        <v>10.0</v>
      </c>
      <c r="C8" s="1">
        <v>22.0</v>
      </c>
      <c r="D8" s="1"/>
      <c r="E8" s="1">
        <v>8.0</v>
      </c>
      <c r="F8" s="1"/>
      <c r="G8" s="1">
        <v>0.0</v>
      </c>
      <c r="H8" s="1"/>
      <c r="I8" s="1">
        <v>4.0</v>
      </c>
      <c r="J8" s="1"/>
      <c r="K8" s="1"/>
      <c r="L8" s="1"/>
      <c r="M8" s="1">
        <v>28.0</v>
      </c>
      <c r="N8" s="1"/>
      <c r="O8" s="1">
        <v>28.0</v>
      </c>
      <c r="P8" s="1">
        <v>10.0</v>
      </c>
      <c r="Q8" s="1">
        <v>28.0</v>
      </c>
      <c r="R8" s="1"/>
      <c r="S8" s="1">
        <v>14.0</v>
      </c>
      <c r="T8" s="1"/>
      <c r="U8" s="1"/>
    </row>
    <row r="9">
      <c r="A9" s="1" t="s">
        <v>58</v>
      </c>
      <c r="B9" s="1"/>
      <c r="C9" s="1">
        <v>22.0</v>
      </c>
      <c r="D9" s="1"/>
      <c r="E9" s="1">
        <v>8.0</v>
      </c>
      <c r="F9" s="1">
        <v>10.0</v>
      </c>
      <c r="G9" s="1">
        <v>14.0</v>
      </c>
      <c r="H9" s="1"/>
      <c r="I9" s="1">
        <v>4.0</v>
      </c>
      <c r="J9" s="1"/>
      <c r="K9" s="1"/>
      <c r="L9" s="1"/>
      <c r="M9" s="1">
        <v>28.0</v>
      </c>
      <c r="N9" s="1"/>
      <c r="O9" s="1">
        <v>28.0</v>
      </c>
      <c r="P9" s="1">
        <v>0.0</v>
      </c>
      <c r="Q9" s="1">
        <v>32.0</v>
      </c>
      <c r="R9" s="1">
        <v>0.0</v>
      </c>
      <c r="S9" s="1">
        <v>18.0</v>
      </c>
      <c r="T9" s="1"/>
      <c r="U9" s="1"/>
    </row>
    <row r="10">
      <c r="A10" s="1" t="s">
        <v>53</v>
      </c>
      <c r="B10" s="1"/>
      <c r="C10" s="1">
        <v>22.0</v>
      </c>
      <c r="D10" s="1"/>
      <c r="E10" s="1">
        <v>8.0</v>
      </c>
      <c r="F10" s="1"/>
      <c r="G10" s="1">
        <v>14.0</v>
      </c>
      <c r="H10" s="1"/>
      <c r="I10" s="1">
        <v>4.0</v>
      </c>
      <c r="J10" s="1"/>
      <c r="K10" s="1"/>
      <c r="L10" s="1"/>
      <c r="M10" s="1">
        <v>28.0</v>
      </c>
      <c r="N10" s="1">
        <v>10.0</v>
      </c>
      <c r="O10" s="1">
        <v>42.0</v>
      </c>
      <c r="P10" s="1">
        <v>10.0</v>
      </c>
      <c r="Q10" s="1">
        <v>46.0</v>
      </c>
      <c r="R10" s="1">
        <v>10.0</v>
      </c>
      <c r="S10" s="1">
        <v>32.0</v>
      </c>
      <c r="T10" s="1"/>
      <c r="U10" s="1"/>
    </row>
    <row r="11">
      <c r="A11" s="1" t="s">
        <v>54</v>
      </c>
      <c r="B11" s="1"/>
      <c r="C11" s="1">
        <v>22.0</v>
      </c>
      <c r="D11" s="1"/>
      <c r="E11" s="1">
        <v>8.0</v>
      </c>
      <c r="F11" s="1">
        <v>0.0</v>
      </c>
      <c r="G11" s="1">
        <v>18.0</v>
      </c>
      <c r="H11" s="1">
        <v>0.0</v>
      </c>
      <c r="I11" s="1">
        <v>8.0</v>
      </c>
      <c r="J11" s="1"/>
      <c r="K11" s="1"/>
      <c r="L11" s="1"/>
      <c r="M11" s="1">
        <v>28.0</v>
      </c>
      <c r="N11" s="1"/>
      <c r="O11" s="1">
        <v>42.0</v>
      </c>
      <c r="P11" s="1"/>
      <c r="Q11" s="1">
        <v>46.0</v>
      </c>
      <c r="R11" s="1"/>
      <c r="S11" s="1">
        <v>32.0</v>
      </c>
      <c r="T11" s="1"/>
      <c r="U11" s="1"/>
    </row>
    <row r="12">
      <c r="A12" s="1" t="s">
        <v>55</v>
      </c>
      <c r="B12" s="1">
        <v>10.0</v>
      </c>
      <c r="C12" s="1">
        <v>36.0</v>
      </c>
      <c r="D12" s="1"/>
      <c r="E12" s="1">
        <v>8.0</v>
      </c>
      <c r="F12" s="1"/>
      <c r="G12" s="1">
        <v>18.0</v>
      </c>
      <c r="H12" s="1">
        <v>0.0</v>
      </c>
      <c r="I12" s="1">
        <v>12.0</v>
      </c>
      <c r="J12" s="1"/>
      <c r="K12" s="1"/>
      <c r="L12" s="1">
        <v>10.0</v>
      </c>
      <c r="M12" s="1">
        <v>42.0</v>
      </c>
      <c r="N12" s="1">
        <v>10.0</v>
      </c>
      <c r="O12" s="1">
        <v>56.0</v>
      </c>
      <c r="P12" s="1"/>
      <c r="Q12" s="1">
        <v>46.0</v>
      </c>
      <c r="R12" s="1"/>
      <c r="S12" s="1">
        <v>32.0</v>
      </c>
      <c r="T12" s="1"/>
      <c r="U12" s="1"/>
    </row>
    <row r="13">
      <c r="A13" s="1" t="s">
        <v>56</v>
      </c>
      <c r="B13" s="1"/>
      <c r="C13" s="1">
        <v>36.0</v>
      </c>
      <c r="D13" s="1"/>
      <c r="E13" s="1">
        <v>8.0</v>
      </c>
      <c r="F13" s="1"/>
      <c r="G13" s="1">
        <v>18.0</v>
      </c>
      <c r="H13" s="1"/>
      <c r="I13" s="1">
        <v>12.0</v>
      </c>
      <c r="J13" s="1"/>
      <c r="K13" s="1"/>
      <c r="L13" s="1"/>
      <c r="M13" s="1">
        <v>42.0</v>
      </c>
      <c r="N13" s="1">
        <v>0.0</v>
      </c>
      <c r="O13" s="1">
        <v>60.0</v>
      </c>
      <c r="P13" s="1"/>
      <c r="Q13" s="1">
        <v>46.0</v>
      </c>
      <c r="R13" s="1">
        <v>0.0</v>
      </c>
      <c r="S13" s="1">
        <v>36.0</v>
      </c>
      <c r="T13" s="1"/>
      <c r="U13" s="1"/>
    </row>
    <row r="14">
      <c r="A14" s="1" t="s">
        <v>57</v>
      </c>
      <c r="B14" s="1"/>
      <c r="C14" s="1">
        <v>36.0</v>
      </c>
      <c r="D14" s="1"/>
      <c r="E14" s="1">
        <v>8.0</v>
      </c>
      <c r="F14" s="1">
        <v>10.0</v>
      </c>
      <c r="G14" s="1">
        <v>32.0</v>
      </c>
      <c r="H14" s="1"/>
      <c r="I14" s="1">
        <v>12.0</v>
      </c>
      <c r="J14" s="1"/>
      <c r="K14" s="1"/>
      <c r="L14" s="1"/>
      <c r="M14" s="1">
        <v>42.0</v>
      </c>
      <c r="N14" s="1">
        <v>10.0</v>
      </c>
      <c r="O14" s="1">
        <v>74.0</v>
      </c>
      <c r="P14" s="1">
        <v>0.0</v>
      </c>
      <c r="Q14" s="1">
        <v>50.0</v>
      </c>
      <c r="R14" s="1"/>
      <c r="S14" s="1">
        <v>36.0</v>
      </c>
      <c r="T14" s="1"/>
      <c r="U14" s="1"/>
    </row>
    <row r="15">
      <c r="A15" s="1" t="s">
        <v>58</v>
      </c>
      <c r="B15" s="1"/>
      <c r="C15" s="1">
        <v>36.0</v>
      </c>
      <c r="D15" s="1"/>
      <c r="E15" s="1">
        <v>8.0</v>
      </c>
      <c r="F15" s="1"/>
      <c r="G15" s="1">
        <v>32.0</v>
      </c>
      <c r="H15" s="1">
        <v>10.0</v>
      </c>
      <c r="I15" s="1">
        <v>26.0</v>
      </c>
      <c r="J15" s="1"/>
      <c r="K15" s="1"/>
      <c r="L15" s="1"/>
      <c r="M15" s="1">
        <v>42.0</v>
      </c>
      <c r="N15" s="1">
        <v>10.0</v>
      </c>
      <c r="O15" s="1">
        <v>88.0</v>
      </c>
      <c r="P15" s="1"/>
      <c r="Q15" s="1">
        <v>50.0</v>
      </c>
      <c r="R15" s="1">
        <v>0.0</v>
      </c>
      <c r="S15" s="1">
        <v>40.0</v>
      </c>
      <c r="T15" s="1"/>
      <c r="U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 t="s">
        <v>53</v>
      </c>
      <c r="B17" s="1"/>
      <c r="C17" s="1">
        <v>36.0</v>
      </c>
      <c r="D17" s="1"/>
      <c r="E17" s="1">
        <v>8.0</v>
      </c>
      <c r="F17" s="1">
        <v>10.0</v>
      </c>
      <c r="G17" s="1">
        <v>46.0</v>
      </c>
      <c r="H17" s="1"/>
      <c r="I17" s="1">
        <v>26.0</v>
      </c>
      <c r="J17" s="1"/>
      <c r="K17" s="1"/>
      <c r="L17" s="1"/>
      <c r="M17" s="1">
        <v>42.0</v>
      </c>
      <c r="N17" s="1">
        <v>0.0</v>
      </c>
      <c r="O17" s="1">
        <v>92.0</v>
      </c>
      <c r="P17" s="1">
        <v>0.0</v>
      </c>
      <c r="Q17" s="1">
        <v>54.0</v>
      </c>
      <c r="R17" s="1">
        <v>10.0</v>
      </c>
      <c r="S17" s="1">
        <v>54.0</v>
      </c>
      <c r="T17" s="1"/>
      <c r="U17" s="1"/>
    </row>
    <row r="18">
      <c r="A18" s="1" t="s">
        <v>54</v>
      </c>
      <c r="B18" s="1"/>
      <c r="C18" s="1">
        <v>36.0</v>
      </c>
      <c r="D18" s="1">
        <v>0.0</v>
      </c>
      <c r="E18" s="1">
        <v>12.0</v>
      </c>
      <c r="F18" s="1">
        <v>10.0</v>
      </c>
      <c r="G18" s="1">
        <v>60.0</v>
      </c>
      <c r="H18" s="1"/>
      <c r="I18" s="1">
        <v>26.0</v>
      </c>
      <c r="J18" s="1"/>
      <c r="K18" s="1"/>
      <c r="L18" s="1">
        <v>10.0</v>
      </c>
      <c r="M18" s="1">
        <v>56.0</v>
      </c>
      <c r="N18" s="1"/>
      <c r="O18" s="1">
        <v>92.0</v>
      </c>
      <c r="P18" s="1"/>
      <c r="Q18" s="1">
        <v>54.0</v>
      </c>
      <c r="R18" s="1"/>
      <c r="S18" s="1">
        <v>54.0</v>
      </c>
      <c r="T18" s="1"/>
      <c r="U18" s="1"/>
    </row>
    <row r="19">
      <c r="A19" s="1" t="s">
        <v>55</v>
      </c>
      <c r="B19" s="1">
        <v>0.0</v>
      </c>
      <c r="C19" s="1">
        <v>40.0</v>
      </c>
      <c r="D19" s="1"/>
      <c r="E19" s="1">
        <v>12.0</v>
      </c>
      <c r="F19" s="1"/>
      <c r="G19" s="1">
        <v>60.0</v>
      </c>
      <c r="H19" s="1"/>
      <c r="I19" s="1">
        <v>26.0</v>
      </c>
      <c r="J19" s="1"/>
      <c r="K19" s="1"/>
      <c r="L19" s="1">
        <v>0.0</v>
      </c>
      <c r="M19" s="1">
        <v>60.0</v>
      </c>
      <c r="N19" s="1">
        <v>0.0</v>
      </c>
      <c r="O19" s="1">
        <v>96.0</v>
      </c>
      <c r="P19" s="1"/>
      <c r="Q19" s="1">
        <v>54.0</v>
      </c>
      <c r="R19" s="1"/>
      <c r="S19" s="1">
        <v>54.0</v>
      </c>
      <c r="T19" s="1"/>
      <c r="U19" s="1"/>
    </row>
    <row r="20">
      <c r="A20" s="1" t="s">
        <v>56</v>
      </c>
      <c r="B20" s="1"/>
      <c r="C20" s="1">
        <v>40.0</v>
      </c>
      <c r="D20" s="1"/>
      <c r="E20" s="1">
        <v>12.0</v>
      </c>
      <c r="F20" s="1"/>
      <c r="G20" s="1">
        <v>60.0</v>
      </c>
      <c r="H20" s="1"/>
      <c r="I20" s="1">
        <v>26.0</v>
      </c>
      <c r="J20" s="1"/>
      <c r="K20" s="1"/>
      <c r="L20" s="1"/>
      <c r="M20" s="1">
        <v>60.0</v>
      </c>
      <c r="N20" s="1">
        <v>0.0</v>
      </c>
      <c r="O20" s="1">
        <v>100.0</v>
      </c>
      <c r="P20" s="1"/>
      <c r="Q20" s="1">
        <v>54.0</v>
      </c>
      <c r="R20" s="1"/>
      <c r="S20" s="1">
        <v>54.0</v>
      </c>
      <c r="T20" s="1"/>
      <c r="U20" s="1"/>
    </row>
    <row r="21">
      <c r="A21" s="1" t="s">
        <v>57</v>
      </c>
      <c r="B21" s="1">
        <v>10.0</v>
      </c>
      <c r="C21" s="1">
        <v>54.0</v>
      </c>
      <c r="D21" s="1"/>
      <c r="E21" s="1">
        <v>12.0</v>
      </c>
      <c r="F21" s="1"/>
      <c r="G21" s="1">
        <v>60.0</v>
      </c>
      <c r="H21" s="1"/>
      <c r="I21" s="1">
        <v>26.0</v>
      </c>
      <c r="J21" s="1"/>
      <c r="K21" s="1"/>
      <c r="L21" s="1">
        <v>10.0</v>
      </c>
      <c r="M21" s="1">
        <v>74.0</v>
      </c>
      <c r="N21" s="1">
        <v>0.0</v>
      </c>
      <c r="O21" s="1">
        <v>104.0</v>
      </c>
      <c r="P21" s="1">
        <v>10.0</v>
      </c>
      <c r="Q21" s="1">
        <v>68.0</v>
      </c>
      <c r="R21" s="1"/>
      <c r="S21" s="1">
        <v>54.0</v>
      </c>
      <c r="T21" s="1"/>
      <c r="U21" s="1"/>
    </row>
    <row r="22">
      <c r="A22" s="1" t="s">
        <v>58</v>
      </c>
      <c r="B22" s="1"/>
      <c r="C22" s="1">
        <v>54.0</v>
      </c>
      <c r="D22" s="1">
        <v>0.0</v>
      </c>
      <c r="E22" s="1">
        <v>16.0</v>
      </c>
      <c r="F22" s="1">
        <v>0.0</v>
      </c>
      <c r="G22" s="1">
        <v>64.0</v>
      </c>
      <c r="H22" s="1">
        <v>0.0</v>
      </c>
      <c r="I22" s="1">
        <v>30.0</v>
      </c>
      <c r="J22" s="1"/>
      <c r="K22" s="1"/>
      <c r="L22" s="1"/>
      <c r="M22" s="1">
        <v>74.0</v>
      </c>
      <c r="N22" s="1"/>
      <c r="O22" s="1">
        <v>104.0</v>
      </c>
      <c r="P22" s="1"/>
      <c r="Q22" s="1">
        <v>68.0</v>
      </c>
      <c r="R22" s="1">
        <v>0.0</v>
      </c>
      <c r="S22" s="1">
        <v>58.0</v>
      </c>
      <c r="T22" s="1"/>
      <c r="U22" s="1"/>
    </row>
    <row r="23">
      <c r="A23" s="1" t="s">
        <v>53</v>
      </c>
      <c r="B23" s="1"/>
      <c r="C23" s="1">
        <v>54.0</v>
      </c>
      <c r="D23" s="1"/>
      <c r="E23" s="1">
        <v>16.0</v>
      </c>
      <c r="F23" s="1"/>
      <c r="G23" s="1">
        <v>64.0</v>
      </c>
      <c r="H23" s="1"/>
      <c r="I23" s="1">
        <v>30.0</v>
      </c>
      <c r="J23" s="1"/>
      <c r="K23" s="1"/>
      <c r="L23" s="1"/>
      <c r="M23" s="1">
        <v>74.0</v>
      </c>
      <c r="N23" s="1"/>
      <c r="O23" s="1">
        <v>104.0</v>
      </c>
      <c r="P23" s="1"/>
      <c r="Q23" s="1">
        <v>68.0</v>
      </c>
      <c r="R23" s="1"/>
      <c r="S23" s="1">
        <v>58.0</v>
      </c>
      <c r="T23" s="1"/>
      <c r="U23" s="1"/>
    </row>
    <row r="24">
      <c r="A24" s="1" t="s">
        <v>54</v>
      </c>
      <c r="B24" s="1"/>
      <c r="C24" s="1">
        <v>54.0</v>
      </c>
      <c r="D24" s="1"/>
      <c r="E24" s="1">
        <v>16.0</v>
      </c>
      <c r="F24" s="1">
        <v>10.0</v>
      </c>
      <c r="G24" s="1">
        <v>78.0</v>
      </c>
      <c r="H24" s="1"/>
      <c r="I24" s="1">
        <v>30.0</v>
      </c>
      <c r="J24" s="1"/>
      <c r="K24" s="1"/>
      <c r="L24" s="1"/>
      <c r="M24" s="1">
        <v>74.0</v>
      </c>
      <c r="N24" s="1">
        <v>10.0</v>
      </c>
      <c r="O24" s="1">
        <v>118.0</v>
      </c>
      <c r="P24" s="1">
        <v>0.0</v>
      </c>
      <c r="Q24" s="1">
        <v>72.0</v>
      </c>
      <c r="R24" s="1">
        <v>10.0</v>
      </c>
      <c r="S24" s="1">
        <v>72.0</v>
      </c>
      <c r="T24" s="1"/>
      <c r="U24" s="1"/>
    </row>
    <row r="25">
      <c r="A25" s="1" t="s">
        <v>55</v>
      </c>
      <c r="B25" s="1">
        <v>10.0</v>
      </c>
      <c r="C25" s="1">
        <v>72.0</v>
      </c>
      <c r="D25" s="1"/>
      <c r="E25" s="1">
        <v>16.0</v>
      </c>
      <c r="F25" s="1"/>
      <c r="G25" s="1">
        <v>78.0</v>
      </c>
      <c r="H25" s="1"/>
      <c r="I25" s="1">
        <v>30.0</v>
      </c>
      <c r="J25" s="1"/>
      <c r="K25" s="1"/>
      <c r="L25" s="1">
        <v>10.0</v>
      </c>
      <c r="M25" s="1">
        <v>88.0</v>
      </c>
      <c r="N25" s="1">
        <v>10.0</v>
      </c>
      <c r="O25" s="1">
        <v>136.0</v>
      </c>
      <c r="P25" s="1">
        <v>10.0</v>
      </c>
      <c r="Q25" s="1">
        <v>86.0</v>
      </c>
      <c r="R25" s="1"/>
      <c r="S25" s="1">
        <v>72.0</v>
      </c>
      <c r="T25" s="1"/>
      <c r="U25" s="1"/>
    </row>
    <row r="26">
      <c r="A26" s="1" t="s">
        <v>56</v>
      </c>
      <c r="B26" s="1"/>
      <c r="C26" s="1">
        <v>72.0</v>
      </c>
      <c r="D26" s="1"/>
      <c r="E26" s="1">
        <v>16.0</v>
      </c>
      <c r="F26" s="1"/>
      <c r="G26" s="1">
        <v>78.0</v>
      </c>
      <c r="H26" s="1"/>
      <c r="I26" s="1">
        <v>30.0</v>
      </c>
      <c r="J26" s="1"/>
      <c r="K26" s="1"/>
      <c r="L26" s="1">
        <v>0.0</v>
      </c>
      <c r="M26" s="1">
        <v>92.0</v>
      </c>
      <c r="N26" s="1">
        <v>0.0</v>
      </c>
      <c r="O26" s="1">
        <v>140.0</v>
      </c>
      <c r="P26" s="1">
        <v>0.0</v>
      </c>
      <c r="Q26" s="1">
        <v>90.0</v>
      </c>
      <c r="R26" s="1"/>
      <c r="S26" s="1">
        <v>72.0</v>
      </c>
      <c r="T26" s="1"/>
      <c r="U26" s="1"/>
    </row>
    <row r="27">
      <c r="A27" s="1" t="s">
        <v>57</v>
      </c>
      <c r="B27" s="1"/>
      <c r="C27" s="1">
        <v>72.0</v>
      </c>
      <c r="D27" s="1"/>
      <c r="E27" s="1">
        <v>16.0</v>
      </c>
      <c r="F27" s="1"/>
      <c r="G27" s="1">
        <v>78.0</v>
      </c>
      <c r="H27" s="1"/>
      <c r="I27" s="1">
        <v>30.0</v>
      </c>
      <c r="J27" s="1"/>
      <c r="K27" s="1"/>
      <c r="L27" s="1">
        <v>0.0</v>
      </c>
      <c r="M27" s="1">
        <v>96.0</v>
      </c>
      <c r="N27" s="1"/>
      <c r="O27" s="1">
        <v>140.0</v>
      </c>
      <c r="P27" s="1">
        <v>0.0</v>
      </c>
      <c r="Q27" s="1">
        <v>94.0</v>
      </c>
      <c r="R27" s="1"/>
      <c r="S27" s="1">
        <v>72.0</v>
      </c>
      <c r="T27" s="1"/>
      <c r="U27" s="1"/>
    </row>
    <row r="28">
      <c r="A28" s="1" t="s">
        <v>58</v>
      </c>
      <c r="B28" s="1">
        <v>0.0</v>
      </c>
      <c r="C28" s="1">
        <v>76.0</v>
      </c>
      <c r="D28" s="1"/>
      <c r="E28" s="1">
        <v>16.0</v>
      </c>
      <c r="F28" s="1"/>
      <c r="G28" s="1">
        <v>78.0</v>
      </c>
      <c r="H28" s="1"/>
      <c r="I28" s="1">
        <v>30.0</v>
      </c>
      <c r="J28" s="1"/>
      <c r="K28" s="1"/>
      <c r="L28" s="1"/>
      <c r="M28" s="1">
        <v>96.0</v>
      </c>
      <c r="N28" s="1">
        <v>0.0</v>
      </c>
      <c r="O28" s="1">
        <v>144.0</v>
      </c>
      <c r="P28" s="1">
        <v>0.0</v>
      </c>
      <c r="Q28" s="1">
        <v>98.0</v>
      </c>
      <c r="R28" s="1">
        <v>0.0</v>
      </c>
      <c r="S28" s="1">
        <v>76.0</v>
      </c>
      <c r="T28" s="1"/>
      <c r="U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B31" s="1" t="str">
        <f t="array" ref="B31:U60">transpose(sort(transpose(Full!A31:T60),1,true))</f>
        <v>Bethlehem</v>
      </c>
      <c r="C31" s="1" t="s">
        <v>1</v>
      </c>
      <c r="D31" s="1" t="s">
        <v>8</v>
      </c>
      <c r="E31" s="1" t="s">
        <v>8</v>
      </c>
      <c r="F31" s="1" t="s">
        <v>4</v>
      </c>
      <c r="G31" s="1" t="s">
        <v>4</v>
      </c>
      <c r="H31" s="1" t="s">
        <v>9</v>
      </c>
      <c r="I31" s="1" t="s">
        <v>9</v>
      </c>
      <c r="J31" s="1" t="s">
        <v>3</v>
      </c>
      <c r="K31" s="1" t="s">
        <v>3</v>
      </c>
      <c r="L31" s="1" t="s">
        <v>6</v>
      </c>
      <c r="M31" s="1" t="s">
        <v>6</v>
      </c>
      <c r="N31" s="1" t="s">
        <v>2</v>
      </c>
      <c r="O31" s="1" t="s">
        <v>2</v>
      </c>
      <c r="P31" s="1" t="s">
        <v>0</v>
      </c>
      <c r="Q31" s="1" t="s">
        <v>0</v>
      </c>
      <c r="R31" s="1" t="s">
        <v>7</v>
      </c>
      <c r="S31" s="1" t="s">
        <v>7</v>
      </c>
      <c r="T31" s="1" t="s">
        <v>5</v>
      </c>
      <c r="U31" s="1" t="s">
        <v>5</v>
      </c>
    </row>
    <row r="32">
      <c r="B32" s="1" t="s">
        <v>10</v>
      </c>
      <c r="C32" s="1" t="s">
        <v>11</v>
      </c>
      <c r="D32" s="1" t="s">
        <v>10</v>
      </c>
      <c r="E32" s="1" t="s">
        <v>11</v>
      </c>
      <c r="F32" s="1" t="s">
        <v>10</v>
      </c>
      <c r="G32" s="1" t="s">
        <v>11</v>
      </c>
      <c r="H32" s="1" t="s">
        <v>10</v>
      </c>
      <c r="I32" s="1" t="s">
        <v>11</v>
      </c>
      <c r="J32" s="1" t="s">
        <v>10</v>
      </c>
      <c r="K32" s="1" t="s">
        <v>11</v>
      </c>
      <c r="L32" s="1" t="s">
        <v>10</v>
      </c>
      <c r="M32" s="1" t="s">
        <v>11</v>
      </c>
      <c r="N32" s="1" t="s">
        <v>10</v>
      </c>
      <c r="O32" s="1" t="s">
        <v>11</v>
      </c>
      <c r="P32" s="1" t="s">
        <v>10</v>
      </c>
      <c r="Q32" s="1" t="s">
        <v>11</v>
      </c>
      <c r="R32" s="1" t="s">
        <v>10</v>
      </c>
      <c r="S32" s="1" t="s">
        <v>11</v>
      </c>
      <c r="T32" s="1" t="s">
        <v>10</v>
      </c>
      <c r="U32" s="1" t="s">
        <v>11</v>
      </c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 t="s">
        <v>53</v>
      </c>
      <c r="B34" s="1"/>
      <c r="C34" s="1"/>
      <c r="D34" s="1"/>
      <c r="E34" s="1"/>
      <c r="F34" s="1"/>
      <c r="G34" s="1">
        <v>0.0</v>
      </c>
      <c r="H34" s="1"/>
      <c r="I34" s="1">
        <v>0.0</v>
      </c>
      <c r="J34" s="1">
        <v>10.0</v>
      </c>
      <c r="K34" s="1">
        <v>14.0</v>
      </c>
      <c r="L34" s="1"/>
      <c r="M34" s="1">
        <v>0.0</v>
      </c>
      <c r="N34" s="1">
        <v>10.0</v>
      </c>
      <c r="O34" s="1">
        <v>14.0</v>
      </c>
      <c r="P34" s="1"/>
      <c r="Q34" s="1">
        <v>0.0</v>
      </c>
      <c r="R34" s="1">
        <v>10.0</v>
      </c>
      <c r="S34" s="1">
        <v>14.0</v>
      </c>
      <c r="T34" s="1">
        <v>10.0</v>
      </c>
      <c r="U34" s="1">
        <v>14.0</v>
      </c>
    </row>
    <row r="35">
      <c r="A35" s="1" t="s">
        <v>54</v>
      </c>
      <c r="B35" s="1"/>
      <c r="C35" s="1"/>
      <c r="D35" s="1"/>
      <c r="E35" s="1"/>
      <c r="F35" s="1"/>
      <c r="G35" s="1">
        <v>0.0</v>
      </c>
      <c r="H35" s="1"/>
      <c r="I35" s="1">
        <v>0.0</v>
      </c>
      <c r="J35" s="1"/>
      <c r="K35" s="1">
        <v>14.0</v>
      </c>
      <c r="L35" s="1">
        <v>10.0</v>
      </c>
      <c r="M35" s="1">
        <v>14.0</v>
      </c>
      <c r="N35" s="1">
        <v>0.0</v>
      </c>
      <c r="O35" s="1">
        <v>18.0</v>
      </c>
      <c r="P35" s="1"/>
      <c r="Q35" s="1">
        <v>0.0</v>
      </c>
      <c r="R35" s="1">
        <v>0.0</v>
      </c>
      <c r="S35" s="1">
        <v>18.0</v>
      </c>
      <c r="T35" s="1">
        <v>10.0</v>
      </c>
      <c r="U35" s="1">
        <v>28.0</v>
      </c>
    </row>
    <row r="36">
      <c r="A36" s="1" t="s">
        <v>55</v>
      </c>
      <c r="B36" s="1"/>
      <c r="C36" s="1"/>
      <c r="D36" s="1"/>
      <c r="E36" s="1"/>
      <c r="F36" s="1">
        <v>0.0</v>
      </c>
      <c r="G36" s="1">
        <v>4.0</v>
      </c>
      <c r="H36" s="1">
        <v>10.0</v>
      </c>
      <c r="I36" s="1">
        <v>14.0</v>
      </c>
      <c r="J36" s="1">
        <v>10.0</v>
      </c>
      <c r="K36" s="1">
        <v>28.0</v>
      </c>
      <c r="L36" s="1"/>
      <c r="M36" s="1">
        <v>14.0</v>
      </c>
      <c r="N36" s="1"/>
      <c r="O36" s="1">
        <v>18.0</v>
      </c>
      <c r="P36" s="1"/>
      <c r="Q36" s="1">
        <v>0.0</v>
      </c>
      <c r="R36" s="1"/>
      <c r="S36" s="1">
        <v>18.0</v>
      </c>
      <c r="T36" s="1"/>
      <c r="U36" s="1">
        <v>28.0</v>
      </c>
    </row>
    <row r="37">
      <c r="A37" s="1" t="s">
        <v>56</v>
      </c>
      <c r="B37" s="1"/>
      <c r="C37" s="1"/>
      <c r="D37" s="1"/>
      <c r="E37" s="1"/>
      <c r="F37" s="1"/>
      <c r="G37" s="1">
        <v>4.0</v>
      </c>
      <c r="H37" s="1"/>
      <c r="I37" s="1">
        <v>14.0</v>
      </c>
      <c r="J37" s="1"/>
      <c r="K37" s="1">
        <v>28.0</v>
      </c>
      <c r="L37" s="1">
        <v>10.0</v>
      </c>
      <c r="M37" s="1">
        <v>28.0</v>
      </c>
      <c r="N37" s="1">
        <v>10.0</v>
      </c>
      <c r="O37" s="1">
        <v>32.0</v>
      </c>
      <c r="P37" s="1"/>
      <c r="Q37" s="1">
        <v>0.0</v>
      </c>
      <c r="R37" s="1">
        <v>10.0</v>
      </c>
      <c r="S37" s="1">
        <v>32.0</v>
      </c>
      <c r="T37" s="1">
        <v>10.0</v>
      </c>
      <c r="U37" s="1">
        <v>42.0</v>
      </c>
    </row>
    <row r="38">
      <c r="A38" s="1" t="s">
        <v>57</v>
      </c>
      <c r="B38" s="1"/>
      <c r="C38" s="1"/>
      <c r="D38" s="1"/>
      <c r="E38" s="1"/>
      <c r="F38" s="1"/>
      <c r="G38" s="1">
        <v>4.0</v>
      </c>
      <c r="H38" s="1"/>
      <c r="I38" s="1">
        <v>14.0</v>
      </c>
      <c r="J38" s="1"/>
      <c r="K38" s="1">
        <v>28.0</v>
      </c>
      <c r="L38" s="1">
        <v>10.0</v>
      </c>
      <c r="M38" s="1">
        <v>42.0</v>
      </c>
      <c r="N38" s="1">
        <v>10.0</v>
      </c>
      <c r="O38" s="1">
        <v>46.0</v>
      </c>
      <c r="P38" s="1"/>
      <c r="Q38" s="1">
        <v>0.0</v>
      </c>
      <c r="R38" s="1"/>
      <c r="S38" s="1">
        <v>32.0</v>
      </c>
      <c r="T38" s="1">
        <v>10.0</v>
      </c>
      <c r="U38" s="1">
        <v>56.0</v>
      </c>
    </row>
    <row r="39">
      <c r="A39" s="1" t="s">
        <v>58</v>
      </c>
      <c r="B39" s="1"/>
      <c r="C39" s="1"/>
      <c r="D39" s="1"/>
      <c r="E39" s="1"/>
      <c r="F39" s="1">
        <v>0.0</v>
      </c>
      <c r="G39" s="1">
        <v>8.0</v>
      </c>
      <c r="H39" s="1"/>
      <c r="I39" s="1">
        <v>14.0</v>
      </c>
      <c r="J39" s="1"/>
      <c r="K39" s="1">
        <v>28.0</v>
      </c>
      <c r="L39" s="1">
        <v>0.0</v>
      </c>
      <c r="M39" s="1">
        <v>46.0</v>
      </c>
      <c r="N39" s="1">
        <v>0.0</v>
      </c>
      <c r="O39" s="1">
        <v>50.0</v>
      </c>
      <c r="P39" s="1"/>
      <c r="Q39" s="1">
        <v>0.0</v>
      </c>
      <c r="R39" s="1"/>
      <c r="S39" s="1">
        <v>32.0</v>
      </c>
      <c r="T39" s="1">
        <v>0.0</v>
      </c>
      <c r="U39" s="1">
        <v>60.0</v>
      </c>
    </row>
    <row r="40">
      <c r="A40" s="1" t="s">
        <v>53</v>
      </c>
      <c r="B40" s="1"/>
      <c r="C40" s="1"/>
      <c r="D40" s="1"/>
      <c r="E40" s="1"/>
      <c r="F40" s="1"/>
      <c r="G40" s="1">
        <v>8.0</v>
      </c>
      <c r="H40" s="1"/>
      <c r="I40" s="1">
        <v>14.0</v>
      </c>
      <c r="J40" s="1"/>
      <c r="K40" s="1">
        <v>28.0</v>
      </c>
      <c r="L40" s="1">
        <v>10.0</v>
      </c>
      <c r="M40" s="1">
        <v>60.0</v>
      </c>
      <c r="N40" s="1">
        <v>10.0</v>
      </c>
      <c r="O40" s="1">
        <v>64.0</v>
      </c>
      <c r="P40" s="1"/>
      <c r="Q40" s="1">
        <v>0.0</v>
      </c>
      <c r="R40" s="1"/>
      <c r="S40" s="1">
        <v>32.0</v>
      </c>
      <c r="T40" s="1">
        <v>10.0</v>
      </c>
      <c r="U40" s="1">
        <v>74.0</v>
      </c>
    </row>
    <row r="41">
      <c r="A41" s="1" t="s">
        <v>54</v>
      </c>
      <c r="B41" s="1"/>
      <c r="C41" s="1"/>
      <c r="D41" s="1"/>
      <c r="E41" s="1"/>
      <c r="F41" s="1">
        <v>0.0</v>
      </c>
      <c r="G41" s="1">
        <v>12.0</v>
      </c>
      <c r="H41" s="1"/>
      <c r="I41" s="1">
        <v>14.0</v>
      </c>
      <c r="J41" s="1"/>
      <c r="K41" s="1">
        <v>28.0</v>
      </c>
      <c r="L41" s="1"/>
      <c r="M41" s="1">
        <v>60.0</v>
      </c>
      <c r="N41" s="1"/>
      <c r="O41" s="1">
        <v>64.0</v>
      </c>
      <c r="P41" s="1"/>
      <c r="Q41" s="1">
        <v>0.0</v>
      </c>
      <c r="R41" s="1"/>
      <c r="S41" s="1">
        <v>32.0</v>
      </c>
      <c r="T41" s="1">
        <v>10.0</v>
      </c>
      <c r="U41" s="1">
        <v>88.0</v>
      </c>
    </row>
    <row r="42">
      <c r="A42" s="1" t="s">
        <v>55</v>
      </c>
      <c r="B42" s="1"/>
      <c r="C42" s="1"/>
      <c r="D42" s="1"/>
      <c r="E42" s="1"/>
      <c r="F42" s="1">
        <v>0.0</v>
      </c>
      <c r="G42" s="1">
        <v>16.0</v>
      </c>
      <c r="H42" s="1"/>
      <c r="I42" s="1">
        <v>14.0</v>
      </c>
      <c r="J42" s="1"/>
      <c r="K42" s="1">
        <v>28.0</v>
      </c>
      <c r="L42" s="1"/>
      <c r="M42" s="1">
        <v>60.0</v>
      </c>
      <c r="N42" s="1"/>
      <c r="O42" s="1">
        <v>64.0</v>
      </c>
      <c r="P42" s="1">
        <v>0.0</v>
      </c>
      <c r="Q42" s="1">
        <v>4.0</v>
      </c>
      <c r="R42" s="1"/>
      <c r="S42" s="1">
        <v>32.0</v>
      </c>
      <c r="T42" s="1"/>
      <c r="U42" s="1">
        <v>88.0</v>
      </c>
    </row>
    <row r="43">
      <c r="A43" s="1" t="s">
        <v>56</v>
      </c>
      <c r="B43" s="1"/>
      <c r="C43" s="1"/>
      <c r="D43" s="1"/>
      <c r="E43" s="1"/>
      <c r="F43" s="1"/>
      <c r="G43" s="1">
        <v>16.0</v>
      </c>
      <c r="H43" s="1"/>
      <c r="I43" s="1">
        <v>14.0</v>
      </c>
      <c r="J43" s="1"/>
      <c r="K43" s="1">
        <v>28.0</v>
      </c>
      <c r="L43" s="1">
        <v>0.0</v>
      </c>
      <c r="M43" s="1">
        <v>64.0</v>
      </c>
      <c r="N43" s="1">
        <v>10.0</v>
      </c>
      <c r="O43" s="1">
        <v>78.0</v>
      </c>
      <c r="P43" s="1">
        <v>0.0</v>
      </c>
      <c r="Q43" s="1">
        <v>8.0</v>
      </c>
      <c r="R43" s="1"/>
      <c r="S43" s="1">
        <v>32.0</v>
      </c>
      <c r="T43" s="1"/>
      <c r="U43" s="1">
        <v>88.0</v>
      </c>
    </row>
    <row r="44">
      <c r="A44" s="1" t="s">
        <v>57</v>
      </c>
      <c r="B44" s="1"/>
      <c r="C44" s="1"/>
      <c r="D44" s="1"/>
      <c r="E44" s="1"/>
      <c r="F44" s="1"/>
      <c r="G44" s="1">
        <v>16.0</v>
      </c>
      <c r="H44" s="1"/>
      <c r="I44" s="1">
        <v>14.0</v>
      </c>
      <c r="J44" s="1"/>
      <c r="K44" s="1">
        <v>28.0</v>
      </c>
      <c r="L44" s="1"/>
      <c r="M44" s="1">
        <v>64.0</v>
      </c>
      <c r="N44" s="1"/>
      <c r="O44" s="1">
        <v>78.0</v>
      </c>
      <c r="P44" s="1"/>
      <c r="Q44" s="1">
        <v>8.0</v>
      </c>
      <c r="R44" s="1"/>
      <c r="S44" s="1">
        <v>32.0</v>
      </c>
      <c r="T44" s="1"/>
      <c r="U44" s="1">
        <v>88.0</v>
      </c>
    </row>
    <row r="45">
      <c r="A45" s="1" t="s">
        <v>58</v>
      </c>
      <c r="B45" s="1"/>
      <c r="C45" s="1"/>
      <c r="D45" s="1"/>
      <c r="E45" s="1"/>
      <c r="F45" s="1"/>
      <c r="G45" s="1">
        <v>16.0</v>
      </c>
      <c r="H45" s="1"/>
      <c r="I45" s="1">
        <v>14.0</v>
      </c>
      <c r="J45" s="1"/>
      <c r="K45" s="1">
        <v>28.0</v>
      </c>
      <c r="L45" s="1"/>
      <c r="M45" s="1">
        <v>64.0</v>
      </c>
      <c r="N45" s="1"/>
      <c r="O45" s="1">
        <v>78.0</v>
      </c>
      <c r="P45" s="1">
        <v>0.0</v>
      </c>
      <c r="Q45" s="1">
        <v>12.0</v>
      </c>
      <c r="R45" s="1"/>
      <c r="S45" s="1">
        <v>32.0</v>
      </c>
      <c r="T45" s="1"/>
      <c r="U45" s="1">
        <v>88.0</v>
      </c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 t="s">
        <v>53</v>
      </c>
      <c r="B47" s="1"/>
      <c r="C47" s="1"/>
      <c r="D47" s="1"/>
      <c r="E47" s="1"/>
      <c r="F47" s="1"/>
      <c r="G47" s="1">
        <v>16.0</v>
      </c>
      <c r="H47" s="1"/>
      <c r="I47" s="1">
        <v>14.0</v>
      </c>
      <c r="J47" s="1">
        <v>10.0</v>
      </c>
      <c r="K47" s="1">
        <v>42.0</v>
      </c>
      <c r="L47" s="1"/>
      <c r="M47" s="1">
        <v>64.0</v>
      </c>
      <c r="N47" s="1">
        <v>10.0</v>
      </c>
      <c r="O47" s="1">
        <v>92.0</v>
      </c>
      <c r="P47" s="1"/>
      <c r="Q47" s="1">
        <v>12.0</v>
      </c>
      <c r="R47" s="1"/>
      <c r="S47" s="1">
        <v>32.0</v>
      </c>
      <c r="T47" s="1">
        <v>0.0</v>
      </c>
      <c r="U47" s="1">
        <v>92.0</v>
      </c>
    </row>
    <row r="48">
      <c r="A48" s="1" t="s">
        <v>54</v>
      </c>
      <c r="B48" s="1"/>
      <c r="C48" s="1"/>
      <c r="D48" s="1"/>
      <c r="E48" s="1"/>
      <c r="F48" s="1"/>
      <c r="G48" s="1">
        <v>16.0</v>
      </c>
      <c r="H48" s="1"/>
      <c r="I48" s="1">
        <v>14.0</v>
      </c>
      <c r="J48" s="1"/>
      <c r="K48" s="1">
        <v>42.0</v>
      </c>
      <c r="L48" s="1">
        <v>10.0</v>
      </c>
      <c r="M48" s="1">
        <v>78.0</v>
      </c>
      <c r="N48" s="1"/>
      <c r="O48" s="1">
        <v>92.0</v>
      </c>
      <c r="P48" s="1"/>
      <c r="Q48" s="1">
        <v>12.0</v>
      </c>
      <c r="R48" s="1">
        <v>10.0</v>
      </c>
      <c r="S48" s="1">
        <v>46.0</v>
      </c>
      <c r="T48" s="1">
        <v>10.0</v>
      </c>
      <c r="U48" s="1">
        <v>106.0</v>
      </c>
    </row>
    <row r="49">
      <c r="A49" s="1" t="s">
        <v>55</v>
      </c>
      <c r="B49" s="1"/>
      <c r="C49" s="1"/>
      <c r="D49" s="1"/>
      <c r="E49" s="1"/>
      <c r="F49" s="1"/>
      <c r="G49" s="1">
        <v>16.0</v>
      </c>
      <c r="H49" s="1">
        <v>0.0</v>
      </c>
      <c r="I49" s="1">
        <v>18.0</v>
      </c>
      <c r="J49" s="1"/>
      <c r="K49" s="1">
        <v>42.0</v>
      </c>
      <c r="L49" s="1">
        <v>10.0</v>
      </c>
      <c r="M49" s="1">
        <v>92.0</v>
      </c>
      <c r="N49" s="1"/>
      <c r="O49" s="1">
        <v>92.0</v>
      </c>
      <c r="P49" s="1">
        <v>0.0</v>
      </c>
      <c r="Q49" s="1">
        <v>16.0</v>
      </c>
      <c r="R49" s="1">
        <v>10.0</v>
      </c>
      <c r="S49" s="1">
        <v>60.0</v>
      </c>
      <c r="T49" s="1"/>
      <c r="U49" s="1">
        <v>106.0</v>
      </c>
    </row>
    <row r="50">
      <c r="A50" s="1" t="s">
        <v>56</v>
      </c>
      <c r="B50" s="1"/>
      <c r="C50" s="1"/>
      <c r="D50" s="1"/>
      <c r="E50" s="1"/>
      <c r="F50" s="1"/>
      <c r="G50" s="1">
        <v>16.0</v>
      </c>
      <c r="H50" s="1"/>
      <c r="I50" s="1">
        <v>18.0</v>
      </c>
      <c r="J50" s="1"/>
      <c r="K50" s="1">
        <v>42.0</v>
      </c>
      <c r="L50" s="1"/>
      <c r="M50" s="1">
        <v>92.0</v>
      </c>
      <c r="N50" s="1">
        <v>0.0</v>
      </c>
      <c r="O50" s="1">
        <v>96.0</v>
      </c>
      <c r="P50" s="1"/>
      <c r="Q50" s="1">
        <v>16.0</v>
      </c>
      <c r="R50" s="1"/>
      <c r="S50" s="1">
        <v>60.0</v>
      </c>
      <c r="T50" s="1"/>
      <c r="U50" s="1">
        <v>106.0</v>
      </c>
    </row>
    <row r="51">
      <c r="A51" s="1" t="s">
        <v>57</v>
      </c>
      <c r="B51" s="1"/>
      <c r="C51" s="1"/>
      <c r="D51" s="1"/>
      <c r="E51" s="1"/>
      <c r="F51" s="1"/>
      <c r="G51" s="1">
        <v>16.0</v>
      </c>
      <c r="H51" s="1"/>
      <c r="I51" s="1">
        <v>18.0</v>
      </c>
      <c r="J51" s="1">
        <v>10.0</v>
      </c>
      <c r="K51" s="1">
        <v>56.0</v>
      </c>
      <c r="L51" s="1"/>
      <c r="M51" s="1">
        <v>92.0</v>
      </c>
      <c r="N51" s="1">
        <v>10.0</v>
      </c>
      <c r="O51" s="1">
        <v>110.0</v>
      </c>
      <c r="P51" s="1"/>
      <c r="Q51" s="1">
        <v>20.0</v>
      </c>
      <c r="R51" s="1">
        <v>0.0</v>
      </c>
      <c r="S51" s="1">
        <v>64.0</v>
      </c>
      <c r="T51" s="1"/>
      <c r="U51" s="1">
        <v>106.0</v>
      </c>
    </row>
    <row r="52">
      <c r="A52" s="1" t="s">
        <v>58</v>
      </c>
      <c r="B52" s="1"/>
      <c r="C52" s="1"/>
      <c r="D52" s="1"/>
      <c r="E52" s="1"/>
      <c r="F52" s="1"/>
      <c r="G52" s="1">
        <v>16.0</v>
      </c>
      <c r="H52" s="1"/>
      <c r="I52" s="1">
        <v>18.0</v>
      </c>
      <c r="J52" s="1">
        <v>10.0</v>
      </c>
      <c r="K52" s="1">
        <v>70.0</v>
      </c>
      <c r="L52" s="1"/>
      <c r="M52" s="1">
        <v>92.0</v>
      </c>
      <c r="N52" s="1"/>
      <c r="O52" s="1">
        <v>110.0</v>
      </c>
      <c r="P52" s="1"/>
      <c r="Q52" s="1">
        <v>20.0</v>
      </c>
      <c r="R52" s="1">
        <v>0.0</v>
      </c>
      <c r="S52" s="1">
        <v>68.0</v>
      </c>
      <c r="T52" s="1">
        <v>0.0</v>
      </c>
      <c r="U52" s="1">
        <v>110.0</v>
      </c>
    </row>
    <row r="53">
      <c r="A53" s="1" t="s">
        <v>53</v>
      </c>
      <c r="B53" s="1"/>
      <c r="C53" s="1"/>
      <c r="D53" s="1"/>
      <c r="E53" s="1"/>
      <c r="F53" s="1"/>
      <c r="G53" s="1">
        <v>16.0</v>
      </c>
      <c r="H53" s="1"/>
      <c r="I53" s="1">
        <v>18.0</v>
      </c>
      <c r="J53" s="1"/>
      <c r="K53" s="1">
        <v>70.0</v>
      </c>
      <c r="L53" s="1"/>
      <c r="M53" s="1">
        <v>92.0</v>
      </c>
      <c r="N53" s="1"/>
      <c r="O53" s="1">
        <v>110.0</v>
      </c>
      <c r="P53" s="1">
        <v>10.0</v>
      </c>
      <c r="Q53" s="1">
        <v>34.0</v>
      </c>
      <c r="R53" s="1"/>
      <c r="S53" s="1">
        <v>68.0</v>
      </c>
      <c r="T53" s="1"/>
      <c r="U53" s="1">
        <v>110.0</v>
      </c>
    </row>
    <row r="54">
      <c r="A54" s="1" t="s">
        <v>54</v>
      </c>
      <c r="B54" s="1"/>
      <c r="C54" s="1"/>
      <c r="D54" s="1"/>
      <c r="E54" s="1"/>
      <c r="F54" s="1"/>
      <c r="G54" s="1">
        <v>16.0</v>
      </c>
      <c r="H54" s="1">
        <v>0.0</v>
      </c>
      <c r="I54" s="1">
        <v>22.0</v>
      </c>
      <c r="J54" s="1">
        <v>0.0</v>
      </c>
      <c r="K54" s="1">
        <v>74.0</v>
      </c>
      <c r="L54" s="1"/>
      <c r="M54" s="1">
        <v>92.0</v>
      </c>
      <c r="N54" s="1"/>
      <c r="O54" s="1">
        <v>110.0</v>
      </c>
      <c r="P54" s="1">
        <v>10.0</v>
      </c>
      <c r="Q54" s="1">
        <v>52.0</v>
      </c>
      <c r="R54" s="1"/>
      <c r="S54" s="1">
        <v>68.0</v>
      </c>
      <c r="T54" s="1"/>
      <c r="U54" s="1">
        <v>110.0</v>
      </c>
    </row>
    <row r="55">
      <c r="A55" s="1" t="s">
        <v>55</v>
      </c>
      <c r="B55" s="1"/>
      <c r="C55" s="1"/>
      <c r="D55" s="1"/>
      <c r="E55" s="1"/>
      <c r="F55" s="1">
        <v>0.0</v>
      </c>
      <c r="G55" s="1">
        <v>20.0</v>
      </c>
      <c r="H55" s="1"/>
      <c r="I55" s="1">
        <v>22.0</v>
      </c>
      <c r="J55" s="1"/>
      <c r="K55" s="1">
        <v>74.0</v>
      </c>
      <c r="L55" s="1"/>
      <c r="M55" s="1">
        <v>92.0</v>
      </c>
      <c r="N55" s="1"/>
      <c r="O55" s="1">
        <v>110.0</v>
      </c>
      <c r="P55" s="1"/>
      <c r="Q55" s="1">
        <v>52.0</v>
      </c>
      <c r="R55" s="1"/>
      <c r="S55" s="1">
        <v>68.0</v>
      </c>
      <c r="T55" s="1">
        <v>0.0</v>
      </c>
      <c r="U55" s="1">
        <v>114.0</v>
      </c>
    </row>
    <row r="56">
      <c r="A56" s="1" t="s">
        <v>56</v>
      </c>
      <c r="B56" s="1"/>
      <c r="C56" s="1"/>
      <c r="D56" s="1"/>
      <c r="E56" s="1"/>
      <c r="F56" s="1"/>
      <c r="G56" s="1">
        <v>20.0</v>
      </c>
      <c r="H56" s="1"/>
      <c r="I56" s="1">
        <v>22.0</v>
      </c>
      <c r="J56" s="1"/>
      <c r="K56" s="1">
        <v>74.0</v>
      </c>
      <c r="L56" s="1"/>
      <c r="M56" s="1">
        <v>92.0</v>
      </c>
      <c r="N56" s="1">
        <v>10.0</v>
      </c>
      <c r="O56" s="1">
        <v>124.0</v>
      </c>
      <c r="P56" s="1">
        <v>10.0</v>
      </c>
      <c r="Q56" s="1">
        <v>66.0</v>
      </c>
      <c r="R56" s="1"/>
      <c r="S56" s="1">
        <v>68.0</v>
      </c>
      <c r="T56" s="1"/>
      <c r="U56" s="1">
        <v>114.0</v>
      </c>
    </row>
    <row r="57">
      <c r="A57" s="1" t="s">
        <v>57</v>
      </c>
      <c r="B57" s="1"/>
      <c r="C57" s="1"/>
      <c r="D57" s="1"/>
      <c r="E57" s="1"/>
      <c r="F57" s="1"/>
      <c r="G57" s="1">
        <v>20.0</v>
      </c>
      <c r="H57" s="1"/>
      <c r="I57" s="1">
        <v>22.0</v>
      </c>
      <c r="J57" s="1"/>
      <c r="K57" s="1">
        <v>74.0</v>
      </c>
      <c r="L57" s="1">
        <v>0.0</v>
      </c>
      <c r="M57" s="1">
        <v>96.0</v>
      </c>
      <c r="N57" s="1"/>
      <c r="O57" s="1">
        <v>124.0</v>
      </c>
      <c r="P57" s="1">
        <v>10.0</v>
      </c>
      <c r="Q57" s="1">
        <v>84.0</v>
      </c>
      <c r="R57" s="1">
        <v>10.0</v>
      </c>
      <c r="S57" s="1">
        <v>82.0</v>
      </c>
      <c r="T57" s="1"/>
      <c r="U57" s="1">
        <v>114.0</v>
      </c>
    </row>
    <row r="58">
      <c r="A58" s="1" t="s">
        <v>58</v>
      </c>
      <c r="B58" s="1"/>
      <c r="C58" s="1"/>
      <c r="D58" s="1"/>
      <c r="E58" s="1"/>
      <c r="F58" s="1"/>
      <c r="G58" s="1">
        <v>20.0</v>
      </c>
      <c r="H58" s="1"/>
      <c r="I58" s="1">
        <v>22.0</v>
      </c>
      <c r="J58" s="1"/>
      <c r="K58" s="1">
        <v>74.0</v>
      </c>
      <c r="L58" s="1"/>
      <c r="M58" s="1">
        <v>96.0</v>
      </c>
      <c r="N58" s="1"/>
      <c r="O58" s="1">
        <v>124.0</v>
      </c>
      <c r="P58" s="1"/>
      <c r="Q58" s="1">
        <v>84.0</v>
      </c>
      <c r="R58" s="1">
        <v>0.0</v>
      </c>
      <c r="S58" s="1">
        <v>86.0</v>
      </c>
      <c r="T58" s="1"/>
      <c r="U58" s="1">
        <v>114.0</v>
      </c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B61" s="1" t="str">
        <f t="array" ref="B61:U90">transpose(sort(transpose(Full!A61:T90),1,true))</f>
        <v>Bethlehem</v>
      </c>
      <c r="C61" s="1" t="s">
        <v>1</v>
      </c>
      <c r="D61" s="1" t="s">
        <v>8</v>
      </c>
      <c r="E61" s="1" t="s">
        <v>8</v>
      </c>
      <c r="F61" s="1" t="s">
        <v>4</v>
      </c>
      <c r="G61" s="1" t="s">
        <v>4</v>
      </c>
      <c r="H61" s="1" t="s">
        <v>9</v>
      </c>
      <c r="I61" s="1" t="s">
        <v>9</v>
      </c>
      <c r="J61" s="1" t="s">
        <v>3</v>
      </c>
      <c r="K61" s="1" t="s">
        <v>3</v>
      </c>
      <c r="L61" s="1" t="s">
        <v>6</v>
      </c>
      <c r="M61" s="1" t="s">
        <v>6</v>
      </c>
      <c r="N61" s="1" t="s">
        <v>2</v>
      </c>
      <c r="O61" s="1" t="s">
        <v>2</v>
      </c>
      <c r="P61" s="1" t="s">
        <v>0</v>
      </c>
      <c r="Q61" s="1" t="s">
        <v>0</v>
      </c>
      <c r="R61" s="1" t="s">
        <v>7</v>
      </c>
      <c r="S61" s="1" t="s">
        <v>7</v>
      </c>
      <c r="T61" s="1" t="s">
        <v>5</v>
      </c>
      <c r="U61" s="1" t="s">
        <v>5</v>
      </c>
    </row>
    <row r="62">
      <c r="B62" s="1" t="s">
        <v>10</v>
      </c>
      <c r="C62" s="1" t="s">
        <v>11</v>
      </c>
      <c r="D62" s="1" t="s">
        <v>10</v>
      </c>
      <c r="E62" s="1" t="s">
        <v>11</v>
      </c>
      <c r="F62" s="1" t="s">
        <v>10</v>
      </c>
      <c r="G62" s="1" t="s">
        <v>11</v>
      </c>
      <c r="H62" s="1" t="s">
        <v>10</v>
      </c>
      <c r="I62" s="1" t="s">
        <v>11</v>
      </c>
      <c r="J62" s="1" t="s">
        <v>10</v>
      </c>
      <c r="K62" s="1" t="s">
        <v>11</v>
      </c>
      <c r="L62" s="1" t="s">
        <v>10</v>
      </c>
      <c r="M62" s="1" t="s">
        <v>11</v>
      </c>
      <c r="N62" s="1" t="s">
        <v>10</v>
      </c>
      <c r="O62" s="1" t="s">
        <v>11</v>
      </c>
      <c r="P62" s="1" t="s">
        <v>10</v>
      </c>
      <c r="Q62" s="1" t="s">
        <v>11</v>
      </c>
      <c r="R62" s="1" t="s">
        <v>10</v>
      </c>
      <c r="S62" s="1" t="s">
        <v>11</v>
      </c>
      <c r="T62" s="1" t="s">
        <v>10</v>
      </c>
      <c r="U62" s="1" t="s">
        <v>11</v>
      </c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 t="s">
        <v>53</v>
      </c>
      <c r="B64" s="1"/>
      <c r="C64" s="1">
        <v>0.0</v>
      </c>
      <c r="D64" s="1">
        <v>0.0</v>
      </c>
      <c r="E64" s="1">
        <v>4.0</v>
      </c>
      <c r="F64" s="1"/>
      <c r="G64" s="1">
        <v>0.0</v>
      </c>
      <c r="H64" s="1"/>
      <c r="I64" s="1">
        <v>0.0</v>
      </c>
      <c r="J64" s="1">
        <v>10.0</v>
      </c>
      <c r="K64" s="1">
        <v>14.0</v>
      </c>
      <c r="L64" s="1"/>
      <c r="M64" s="1"/>
      <c r="N64" s="1"/>
      <c r="O64" s="1">
        <v>0.0</v>
      </c>
      <c r="P64" s="1"/>
      <c r="Q64" s="1"/>
      <c r="R64" s="1">
        <v>10.0</v>
      </c>
      <c r="S64" s="1">
        <v>14.0</v>
      </c>
      <c r="T64" s="1"/>
      <c r="U64" s="1">
        <v>0.0</v>
      </c>
    </row>
    <row r="65">
      <c r="A65" s="1" t="s">
        <v>54</v>
      </c>
      <c r="B65" s="1"/>
      <c r="C65" s="1">
        <v>0.0</v>
      </c>
      <c r="D65" s="1"/>
      <c r="E65" s="1">
        <v>4.0</v>
      </c>
      <c r="F65" s="1"/>
      <c r="G65" s="1">
        <v>0.0</v>
      </c>
      <c r="H65" s="1">
        <v>0.0</v>
      </c>
      <c r="I65" s="1">
        <v>4.0</v>
      </c>
      <c r="J65" s="1"/>
      <c r="K65" s="1">
        <v>14.0</v>
      </c>
      <c r="L65" s="1"/>
      <c r="M65" s="1"/>
      <c r="N65" s="1"/>
      <c r="O65" s="1">
        <v>0.0</v>
      </c>
      <c r="P65" s="1"/>
      <c r="Q65" s="1"/>
      <c r="R65" s="1"/>
      <c r="S65" s="1">
        <v>14.0</v>
      </c>
      <c r="T65" s="1">
        <v>0.0</v>
      </c>
      <c r="U65" s="1">
        <v>4.0</v>
      </c>
    </row>
    <row r="66">
      <c r="A66" s="1" t="s">
        <v>55</v>
      </c>
      <c r="B66" s="1"/>
      <c r="C66" s="1">
        <v>0.0</v>
      </c>
      <c r="D66" s="1"/>
      <c r="E66" s="1">
        <v>4.0</v>
      </c>
      <c r="F66" s="1"/>
      <c r="G66" s="1">
        <v>0.0</v>
      </c>
      <c r="H66" s="1"/>
      <c r="I66" s="1">
        <v>4.0</v>
      </c>
      <c r="J66" s="1">
        <v>0.0</v>
      </c>
      <c r="K66" s="1">
        <v>18.0</v>
      </c>
      <c r="L66" s="1"/>
      <c r="M66" s="1"/>
      <c r="N66" s="1"/>
      <c r="O66" s="1">
        <v>0.0</v>
      </c>
      <c r="P66" s="1"/>
      <c r="Q66" s="1"/>
      <c r="R66" s="1"/>
      <c r="S66" s="1">
        <v>14.0</v>
      </c>
      <c r="T66" s="1"/>
      <c r="U66" s="1">
        <v>4.0</v>
      </c>
    </row>
    <row r="67">
      <c r="A67" s="1" t="s">
        <v>56</v>
      </c>
      <c r="B67" s="1"/>
      <c r="C67" s="1">
        <v>0.0</v>
      </c>
      <c r="D67" s="1">
        <v>0.0</v>
      </c>
      <c r="E67" s="1">
        <v>8.0</v>
      </c>
      <c r="F67" s="1">
        <v>0.0</v>
      </c>
      <c r="G67" s="1">
        <v>4.0</v>
      </c>
      <c r="H67" s="1"/>
      <c r="I67" s="1">
        <v>4.0</v>
      </c>
      <c r="J67" s="1"/>
      <c r="K67" s="1">
        <v>18.0</v>
      </c>
      <c r="L67" s="1"/>
      <c r="M67" s="1"/>
      <c r="N67" s="1">
        <v>10.0</v>
      </c>
      <c r="O67" s="1">
        <v>18.0</v>
      </c>
      <c r="P67" s="1"/>
      <c r="Q67" s="1"/>
      <c r="R67" s="1">
        <v>0.0</v>
      </c>
      <c r="S67" s="1">
        <v>18.0</v>
      </c>
      <c r="T67" s="1"/>
      <c r="U67" s="1">
        <v>4.0</v>
      </c>
    </row>
    <row r="68">
      <c r="A68" s="1" t="s">
        <v>57</v>
      </c>
      <c r="B68" s="1"/>
      <c r="C68" s="1">
        <v>0.0</v>
      </c>
      <c r="D68" s="1"/>
      <c r="E68" s="1">
        <v>8.0</v>
      </c>
      <c r="F68" s="1"/>
      <c r="G68" s="1">
        <v>4.0</v>
      </c>
      <c r="H68" s="1"/>
      <c r="I68" s="1">
        <v>4.0</v>
      </c>
      <c r="J68" s="1">
        <v>10.0</v>
      </c>
      <c r="K68" s="1">
        <v>32.0</v>
      </c>
      <c r="L68" s="1"/>
      <c r="M68" s="1"/>
      <c r="N68" s="1"/>
      <c r="O68" s="1">
        <v>18.0</v>
      </c>
      <c r="P68" s="1"/>
      <c r="Q68" s="1"/>
      <c r="R68" s="1"/>
      <c r="S68" s="1">
        <v>18.0</v>
      </c>
      <c r="T68" s="1"/>
      <c r="U68" s="1">
        <v>8.0</v>
      </c>
    </row>
    <row r="69">
      <c r="A69" s="1" t="s">
        <v>58</v>
      </c>
      <c r="B69" s="1"/>
      <c r="C69" s="1">
        <v>0.0</v>
      </c>
      <c r="D69" s="1"/>
      <c r="E69" s="1">
        <v>8.0</v>
      </c>
      <c r="F69" s="1"/>
      <c r="G69" s="1">
        <v>4.0</v>
      </c>
      <c r="H69" s="1">
        <v>0.0</v>
      </c>
      <c r="I69" s="1">
        <v>8.0</v>
      </c>
      <c r="J69" s="1"/>
      <c r="K69" s="1">
        <v>32.0</v>
      </c>
      <c r="L69" s="1"/>
      <c r="M69" s="1"/>
      <c r="N69" s="1"/>
      <c r="O69" s="1">
        <v>22.0</v>
      </c>
      <c r="P69" s="1"/>
      <c r="Q69" s="1"/>
      <c r="R69" s="1"/>
      <c r="S69" s="1">
        <v>18.0</v>
      </c>
      <c r="T69" s="1"/>
      <c r="U69" s="1">
        <v>8.0</v>
      </c>
    </row>
    <row r="70">
      <c r="A70" s="1" t="s">
        <v>53</v>
      </c>
      <c r="B70" s="1">
        <v>10.0</v>
      </c>
      <c r="C70" s="1">
        <v>14.0</v>
      </c>
      <c r="D70" s="1"/>
      <c r="E70" s="1">
        <v>8.0</v>
      </c>
      <c r="F70" s="1"/>
      <c r="G70" s="1">
        <v>4.0</v>
      </c>
      <c r="H70" s="1">
        <v>0.0</v>
      </c>
      <c r="I70" s="1">
        <v>12.0</v>
      </c>
      <c r="J70" s="1">
        <v>0.0</v>
      </c>
      <c r="K70" s="1">
        <v>36.0</v>
      </c>
      <c r="L70" s="1"/>
      <c r="M70" s="1"/>
      <c r="N70" s="1"/>
      <c r="O70" s="1">
        <v>26.0</v>
      </c>
      <c r="P70" s="1"/>
      <c r="Q70" s="1"/>
      <c r="R70" s="1"/>
      <c r="S70" s="1">
        <v>18.0</v>
      </c>
      <c r="T70" s="1"/>
      <c r="U70" s="1">
        <v>8.0</v>
      </c>
    </row>
    <row r="71">
      <c r="A71" s="1" t="s">
        <v>54</v>
      </c>
      <c r="B71" s="1"/>
      <c r="C71" s="1">
        <v>14.0</v>
      </c>
      <c r="D71" s="1"/>
      <c r="E71" s="1">
        <v>8.0</v>
      </c>
      <c r="F71" s="1"/>
      <c r="G71" s="1">
        <v>4.0</v>
      </c>
      <c r="H71" s="1"/>
      <c r="I71" s="1">
        <v>12.0</v>
      </c>
      <c r="J71" s="1">
        <v>10.0</v>
      </c>
      <c r="K71" s="1">
        <v>50.0</v>
      </c>
      <c r="L71" s="1"/>
      <c r="M71" s="1"/>
      <c r="N71" s="1"/>
      <c r="O71" s="1">
        <v>26.0</v>
      </c>
      <c r="P71" s="1"/>
      <c r="Q71" s="1"/>
      <c r="R71" s="1">
        <v>10.0</v>
      </c>
      <c r="S71" s="1">
        <v>32.0</v>
      </c>
      <c r="T71" s="1">
        <v>10.0</v>
      </c>
      <c r="U71" s="1">
        <v>22.0</v>
      </c>
    </row>
    <row r="72">
      <c r="A72" s="1" t="s">
        <v>55</v>
      </c>
      <c r="B72" s="1">
        <v>0.0</v>
      </c>
      <c r="C72" s="1">
        <v>18.0</v>
      </c>
      <c r="D72" s="1">
        <v>0.0</v>
      </c>
      <c r="E72" s="1">
        <v>12.0</v>
      </c>
      <c r="F72" s="1"/>
      <c r="G72" s="1">
        <v>4.0</v>
      </c>
      <c r="H72" s="1"/>
      <c r="I72" s="1">
        <v>12.0</v>
      </c>
      <c r="J72" s="1">
        <v>0.0</v>
      </c>
      <c r="K72" s="1">
        <v>54.0</v>
      </c>
      <c r="L72" s="1"/>
      <c r="M72" s="1"/>
      <c r="N72" s="1"/>
      <c r="O72" s="1">
        <v>26.0</v>
      </c>
      <c r="P72" s="1"/>
      <c r="Q72" s="1"/>
      <c r="R72" s="1"/>
      <c r="S72" s="1">
        <v>32.0</v>
      </c>
      <c r="T72" s="1"/>
      <c r="U72" s="1">
        <v>22.0</v>
      </c>
    </row>
    <row r="73">
      <c r="A73" s="1" t="s">
        <v>56</v>
      </c>
      <c r="B73" s="1">
        <v>0.0</v>
      </c>
      <c r="C73" s="1">
        <v>22.0</v>
      </c>
      <c r="D73" s="1"/>
      <c r="E73" s="1">
        <v>12.0</v>
      </c>
      <c r="F73" s="1"/>
      <c r="G73" s="1">
        <v>4.0</v>
      </c>
      <c r="H73" s="1"/>
      <c r="I73" s="1">
        <v>12.0</v>
      </c>
      <c r="J73" s="1">
        <v>10.0</v>
      </c>
      <c r="K73" s="1">
        <v>68.0</v>
      </c>
      <c r="L73" s="1"/>
      <c r="M73" s="1"/>
      <c r="N73" s="1"/>
      <c r="O73" s="1">
        <v>26.0</v>
      </c>
      <c r="P73" s="1"/>
      <c r="Q73" s="1"/>
      <c r="R73" s="1"/>
      <c r="S73" s="1">
        <v>32.0</v>
      </c>
      <c r="T73" s="1">
        <v>10.0</v>
      </c>
      <c r="U73" s="1">
        <v>36.0</v>
      </c>
    </row>
    <row r="74">
      <c r="A74" s="1" t="s">
        <v>57</v>
      </c>
      <c r="B74" s="1">
        <v>0.0</v>
      </c>
      <c r="C74" s="1">
        <v>26.0</v>
      </c>
      <c r="D74" s="1"/>
      <c r="E74" s="1">
        <v>12.0</v>
      </c>
      <c r="F74" s="1"/>
      <c r="G74" s="1">
        <v>4.0</v>
      </c>
      <c r="H74" s="1"/>
      <c r="I74" s="1">
        <v>12.0</v>
      </c>
      <c r="J74" s="1"/>
      <c r="K74" s="1">
        <v>68.0</v>
      </c>
      <c r="L74" s="1"/>
      <c r="M74" s="1"/>
      <c r="N74" s="1"/>
      <c r="O74" s="1">
        <v>26.0</v>
      </c>
      <c r="P74" s="1"/>
      <c r="Q74" s="1"/>
      <c r="R74" s="1"/>
      <c r="S74" s="1">
        <v>32.0</v>
      </c>
      <c r="T74" s="1">
        <v>10.0</v>
      </c>
      <c r="U74" s="1">
        <v>50.0</v>
      </c>
    </row>
    <row r="75">
      <c r="A75" s="1" t="s">
        <v>58</v>
      </c>
      <c r="B75" s="1"/>
      <c r="C75" s="1">
        <v>26.0</v>
      </c>
      <c r="D75" s="1"/>
      <c r="E75" s="1">
        <v>12.0</v>
      </c>
      <c r="F75" s="1"/>
      <c r="G75" s="1">
        <v>4.0</v>
      </c>
      <c r="H75" s="1">
        <v>0.0</v>
      </c>
      <c r="I75" s="1">
        <v>16.0</v>
      </c>
      <c r="J75" s="1"/>
      <c r="K75" s="1">
        <v>68.0</v>
      </c>
      <c r="L75" s="1"/>
      <c r="M75" s="1"/>
      <c r="N75" s="1"/>
      <c r="O75" s="1">
        <v>26.0</v>
      </c>
      <c r="P75" s="1"/>
      <c r="Q75" s="1"/>
      <c r="R75" s="1"/>
      <c r="S75" s="1">
        <v>32.0</v>
      </c>
      <c r="T75" s="1">
        <v>0.0</v>
      </c>
      <c r="U75" s="1">
        <v>54.0</v>
      </c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 t="s">
        <v>53</v>
      </c>
      <c r="B77" s="1"/>
      <c r="C77" s="1">
        <v>26.0</v>
      </c>
      <c r="D77" s="1"/>
      <c r="E77" s="1">
        <v>12.0</v>
      </c>
      <c r="F77" s="1"/>
      <c r="G77" s="1">
        <v>4.0</v>
      </c>
      <c r="H77" s="1"/>
      <c r="I77" s="1">
        <v>16.0</v>
      </c>
      <c r="J77" s="1"/>
      <c r="K77" s="1">
        <v>68.0</v>
      </c>
      <c r="L77" s="1"/>
      <c r="M77" s="1"/>
      <c r="N77" s="1"/>
      <c r="O77" s="1">
        <v>30.0</v>
      </c>
      <c r="P77" s="1"/>
      <c r="Q77" s="1"/>
      <c r="R77" s="1"/>
      <c r="S77" s="1">
        <v>32.0</v>
      </c>
      <c r="T77" s="1"/>
      <c r="U77" s="1">
        <v>54.0</v>
      </c>
    </row>
    <row r="78">
      <c r="A78" s="1" t="s">
        <v>54</v>
      </c>
      <c r="B78" s="1"/>
      <c r="C78" s="1">
        <v>26.0</v>
      </c>
      <c r="D78" s="1"/>
      <c r="E78" s="1">
        <v>12.0</v>
      </c>
      <c r="F78" s="1"/>
      <c r="G78" s="1">
        <v>4.0</v>
      </c>
      <c r="H78" s="1">
        <v>0.0</v>
      </c>
      <c r="I78" s="1">
        <v>20.0</v>
      </c>
      <c r="J78" s="1">
        <v>0.0</v>
      </c>
      <c r="K78" s="1">
        <v>72.0</v>
      </c>
      <c r="L78" s="1"/>
      <c r="M78" s="1"/>
      <c r="N78" s="1"/>
      <c r="O78" s="1">
        <v>30.0</v>
      </c>
      <c r="P78" s="1"/>
      <c r="Q78" s="1"/>
      <c r="R78" s="1">
        <v>0.0</v>
      </c>
      <c r="S78" s="1">
        <v>36.0</v>
      </c>
      <c r="T78" s="1">
        <v>10.0</v>
      </c>
      <c r="U78" s="1">
        <v>68.0</v>
      </c>
    </row>
    <row r="79">
      <c r="A79" s="1" t="s">
        <v>55</v>
      </c>
      <c r="B79" s="1"/>
      <c r="C79" s="1">
        <v>26.0</v>
      </c>
      <c r="D79" s="1"/>
      <c r="E79" s="1">
        <v>12.0</v>
      </c>
      <c r="F79" s="1">
        <v>10.0</v>
      </c>
      <c r="G79" s="1">
        <v>18.0</v>
      </c>
      <c r="H79" s="1"/>
      <c r="I79" s="1">
        <v>20.0</v>
      </c>
      <c r="J79" s="1"/>
      <c r="K79" s="1">
        <v>72.0</v>
      </c>
      <c r="L79" s="1"/>
      <c r="M79" s="1"/>
      <c r="N79" s="1"/>
      <c r="O79" s="1">
        <v>30.0</v>
      </c>
      <c r="P79" s="1"/>
      <c r="Q79" s="1"/>
      <c r="R79" s="1"/>
      <c r="S79" s="1">
        <v>36.0</v>
      </c>
      <c r="T79" s="1">
        <v>10.0</v>
      </c>
      <c r="U79" s="1">
        <v>82.0</v>
      </c>
    </row>
    <row r="80">
      <c r="A80" s="1" t="s">
        <v>56</v>
      </c>
      <c r="B80" s="1">
        <v>0.0</v>
      </c>
      <c r="C80" s="1">
        <v>30.0</v>
      </c>
      <c r="D80" s="1"/>
      <c r="E80" s="1">
        <v>12.0</v>
      </c>
      <c r="F80" s="1"/>
      <c r="G80" s="1">
        <v>18.0</v>
      </c>
      <c r="H80" s="1"/>
      <c r="I80" s="1">
        <v>20.0</v>
      </c>
      <c r="J80" s="1"/>
      <c r="K80" s="1">
        <v>72.0</v>
      </c>
      <c r="L80" s="1"/>
      <c r="M80" s="1"/>
      <c r="N80" s="1"/>
      <c r="O80" s="1">
        <v>30.0</v>
      </c>
      <c r="P80" s="1"/>
      <c r="Q80" s="1"/>
      <c r="R80" s="1"/>
      <c r="S80" s="1">
        <v>36.0</v>
      </c>
      <c r="T80" s="1"/>
      <c r="U80" s="1">
        <v>82.0</v>
      </c>
    </row>
    <row r="81">
      <c r="A81" s="1" t="s">
        <v>57</v>
      </c>
      <c r="B81" s="1"/>
      <c r="C81" s="1">
        <v>30.0</v>
      </c>
      <c r="D81" s="1"/>
      <c r="E81" s="1">
        <v>12.0</v>
      </c>
      <c r="F81" s="1"/>
      <c r="G81" s="1">
        <v>18.0</v>
      </c>
      <c r="H81" s="1"/>
      <c r="I81" s="1">
        <v>20.0</v>
      </c>
      <c r="J81" s="1">
        <v>0.0</v>
      </c>
      <c r="K81" s="1">
        <v>76.0</v>
      </c>
      <c r="L81" s="1"/>
      <c r="M81" s="1"/>
      <c r="N81" s="1"/>
      <c r="O81" s="1">
        <v>30.0</v>
      </c>
      <c r="P81" s="1"/>
      <c r="Q81" s="1"/>
      <c r="R81" s="1"/>
      <c r="S81" s="1">
        <v>36.0</v>
      </c>
      <c r="T81" s="1"/>
      <c r="U81" s="1">
        <v>82.0</v>
      </c>
    </row>
    <row r="82">
      <c r="A82" s="1" t="s">
        <v>58</v>
      </c>
      <c r="B82" s="1"/>
      <c r="C82" s="1">
        <v>30.0</v>
      </c>
      <c r="D82" s="1"/>
      <c r="E82" s="1">
        <v>12.0</v>
      </c>
      <c r="F82" s="1"/>
      <c r="G82" s="1">
        <v>18.0</v>
      </c>
      <c r="H82" s="1"/>
      <c r="I82" s="1">
        <v>20.0</v>
      </c>
      <c r="J82" s="1">
        <v>10.0</v>
      </c>
      <c r="K82" s="1">
        <v>90.0</v>
      </c>
      <c r="L82" s="1"/>
      <c r="M82" s="1"/>
      <c r="N82" s="1">
        <v>10.0</v>
      </c>
      <c r="O82" s="1">
        <v>44.0</v>
      </c>
      <c r="P82" s="1"/>
      <c r="Q82" s="1"/>
      <c r="R82" s="1">
        <v>10.0</v>
      </c>
      <c r="S82" s="1">
        <v>50.0</v>
      </c>
      <c r="T82" s="1"/>
      <c r="U82" s="1">
        <v>82.0</v>
      </c>
    </row>
    <row r="83">
      <c r="A83" s="1" t="s">
        <v>53</v>
      </c>
      <c r="B83" s="1"/>
      <c r="C83" s="1">
        <v>30.0</v>
      </c>
      <c r="D83" s="1"/>
      <c r="E83" s="1">
        <v>12.0</v>
      </c>
      <c r="F83" s="1"/>
      <c r="G83" s="1">
        <v>18.0</v>
      </c>
      <c r="H83" s="1"/>
      <c r="I83" s="1">
        <v>20.0</v>
      </c>
      <c r="J83" s="1"/>
      <c r="K83" s="1">
        <v>94.0</v>
      </c>
      <c r="L83" s="1"/>
      <c r="M83" s="1"/>
      <c r="N83" s="1"/>
      <c r="O83" s="1">
        <v>48.0</v>
      </c>
      <c r="P83" s="1"/>
      <c r="Q83" s="1"/>
      <c r="R83" s="1"/>
      <c r="S83" s="1">
        <v>50.0</v>
      </c>
      <c r="T83" s="1"/>
      <c r="U83" s="1">
        <v>82.0</v>
      </c>
    </row>
    <row r="84">
      <c r="A84" s="1" t="s">
        <v>54</v>
      </c>
      <c r="B84" s="1"/>
      <c r="C84" s="1">
        <v>30.0</v>
      </c>
      <c r="D84" s="1"/>
      <c r="E84" s="1">
        <v>12.0</v>
      </c>
      <c r="F84" s="1"/>
      <c r="G84" s="1">
        <v>18.0</v>
      </c>
      <c r="H84" s="1">
        <v>10.0</v>
      </c>
      <c r="I84" s="1">
        <v>34.0</v>
      </c>
      <c r="J84" s="1">
        <v>0.0</v>
      </c>
      <c r="K84" s="1">
        <v>98.0</v>
      </c>
      <c r="L84" s="1"/>
      <c r="M84" s="1"/>
      <c r="N84" s="1"/>
      <c r="O84" s="1">
        <v>48.0</v>
      </c>
      <c r="P84" s="1"/>
      <c r="Q84" s="1"/>
      <c r="R84" s="1">
        <v>0.0</v>
      </c>
      <c r="S84" s="1">
        <v>54.0</v>
      </c>
      <c r="T84" s="1">
        <v>10.0</v>
      </c>
      <c r="U84" s="1">
        <v>96.0</v>
      </c>
    </row>
    <row r="85">
      <c r="A85" s="1" t="s">
        <v>55</v>
      </c>
      <c r="B85" s="1"/>
      <c r="C85" s="1">
        <v>30.0</v>
      </c>
      <c r="D85" s="1"/>
      <c r="E85" s="1">
        <v>12.0</v>
      </c>
      <c r="F85" s="1"/>
      <c r="G85" s="1">
        <v>18.0</v>
      </c>
      <c r="H85" s="1"/>
      <c r="I85" s="1">
        <v>34.0</v>
      </c>
      <c r="J85" s="1"/>
      <c r="K85" s="1">
        <v>98.0</v>
      </c>
      <c r="L85" s="1"/>
      <c r="M85" s="1"/>
      <c r="N85" s="1"/>
      <c r="O85" s="1">
        <v>48.0</v>
      </c>
      <c r="P85" s="1"/>
      <c r="Q85" s="1"/>
      <c r="R85" s="1">
        <v>10.0</v>
      </c>
      <c r="S85" s="1">
        <v>68.0</v>
      </c>
      <c r="T85" s="1"/>
      <c r="U85" s="1">
        <v>96.0</v>
      </c>
    </row>
    <row r="86">
      <c r="A86" s="1" t="s">
        <v>56</v>
      </c>
      <c r="B86" s="1">
        <v>0.0</v>
      </c>
      <c r="C86" s="1">
        <v>34.0</v>
      </c>
      <c r="D86" s="1"/>
      <c r="E86" s="1">
        <v>12.0</v>
      </c>
      <c r="F86" s="1"/>
      <c r="G86" s="1">
        <v>18.0</v>
      </c>
      <c r="H86" s="1"/>
      <c r="I86" s="1">
        <v>34.0</v>
      </c>
      <c r="J86" s="1"/>
      <c r="K86" s="1">
        <v>98.0</v>
      </c>
      <c r="L86" s="1"/>
      <c r="M86" s="1"/>
      <c r="N86" s="1"/>
      <c r="O86" s="1">
        <v>48.0</v>
      </c>
      <c r="P86" s="1"/>
      <c r="Q86" s="1"/>
      <c r="R86" s="1"/>
      <c r="S86" s="1">
        <v>68.0</v>
      </c>
      <c r="T86" s="1">
        <v>10.0</v>
      </c>
      <c r="U86" s="1">
        <v>110.0</v>
      </c>
    </row>
    <row r="87">
      <c r="A87" s="1" t="s">
        <v>57</v>
      </c>
      <c r="B87" s="1">
        <v>0.0</v>
      </c>
      <c r="C87" s="1">
        <v>38.0</v>
      </c>
      <c r="D87" s="1"/>
      <c r="E87" s="1">
        <v>12.0</v>
      </c>
      <c r="F87" s="1"/>
      <c r="G87" s="1">
        <v>18.0</v>
      </c>
      <c r="H87" s="1">
        <v>0.0</v>
      </c>
      <c r="I87" s="1">
        <v>38.0</v>
      </c>
      <c r="J87" s="1">
        <v>10.0</v>
      </c>
      <c r="K87" s="1">
        <v>112.0</v>
      </c>
      <c r="L87" s="1"/>
      <c r="M87" s="1"/>
      <c r="N87" s="1"/>
      <c r="O87" s="1">
        <v>48.0</v>
      </c>
      <c r="P87" s="1"/>
      <c r="Q87" s="1"/>
      <c r="R87" s="1"/>
      <c r="S87" s="1">
        <v>68.0</v>
      </c>
      <c r="T87" s="1">
        <v>10.0</v>
      </c>
      <c r="U87" s="1">
        <v>124.0</v>
      </c>
    </row>
    <row r="88">
      <c r="A88" s="1" t="s">
        <v>58</v>
      </c>
      <c r="B88" s="1"/>
      <c r="C88" s="1">
        <v>38.0</v>
      </c>
      <c r="D88" s="1"/>
      <c r="E88" s="1">
        <v>12.0</v>
      </c>
      <c r="F88" s="1"/>
      <c r="G88" s="1">
        <v>18.0</v>
      </c>
      <c r="H88" s="1"/>
      <c r="I88" s="1">
        <v>38.0</v>
      </c>
      <c r="J88" s="1"/>
      <c r="K88" s="1">
        <v>112.0</v>
      </c>
      <c r="L88" s="1"/>
      <c r="M88" s="1"/>
      <c r="N88" s="1"/>
      <c r="O88" s="1">
        <v>48.0</v>
      </c>
      <c r="P88" s="1"/>
      <c r="Q88" s="1"/>
      <c r="R88" s="1"/>
      <c r="S88" s="1">
        <v>68.0</v>
      </c>
      <c r="T88" s="1"/>
      <c r="U88" s="1">
        <v>124.0</v>
      </c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B91" s="1" t="str">
        <f t="array" ref="B91:U120">transpose(sort(transpose(Full!A91:T120),1,true))</f>
        <v>Bethlehem</v>
      </c>
      <c r="C91" s="1" t="s">
        <v>1</v>
      </c>
      <c r="D91" s="1" t="s">
        <v>8</v>
      </c>
      <c r="E91" s="1" t="s">
        <v>8</v>
      </c>
      <c r="F91" s="1" t="s">
        <v>4</v>
      </c>
      <c r="G91" s="1" t="s">
        <v>4</v>
      </c>
      <c r="H91" s="1" t="s">
        <v>9</v>
      </c>
      <c r="I91" s="1" t="s">
        <v>9</v>
      </c>
      <c r="J91" s="1" t="s">
        <v>3</v>
      </c>
      <c r="K91" s="1" t="s">
        <v>3</v>
      </c>
      <c r="L91" s="1" t="s">
        <v>6</v>
      </c>
      <c r="M91" s="1" t="s">
        <v>6</v>
      </c>
      <c r="N91" s="1" t="s">
        <v>2</v>
      </c>
      <c r="O91" s="1" t="s">
        <v>2</v>
      </c>
      <c r="P91" s="1" t="s">
        <v>0</v>
      </c>
      <c r="Q91" s="1" t="s">
        <v>0</v>
      </c>
      <c r="R91" s="1" t="s">
        <v>7</v>
      </c>
      <c r="S91" s="1" t="s">
        <v>7</v>
      </c>
      <c r="T91" s="1" t="s">
        <v>5</v>
      </c>
      <c r="U91" s="1" t="s">
        <v>5</v>
      </c>
    </row>
    <row r="92">
      <c r="B92" s="1" t="s">
        <v>10</v>
      </c>
      <c r="C92" s="1" t="s">
        <v>11</v>
      </c>
      <c r="D92" s="1" t="s">
        <v>10</v>
      </c>
      <c r="E92" s="1" t="s">
        <v>11</v>
      </c>
      <c r="F92" s="1" t="s">
        <v>10</v>
      </c>
      <c r="G92" s="1" t="s">
        <v>11</v>
      </c>
      <c r="H92" s="1" t="s">
        <v>10</v>
      </c>
      <c r="I92" s="1" t="s">
        <v>11</v>
      </c>
      <c r="J92" s="1" t="s">
        <v>10</v>
      </c>
      <c r="K92" s="1" t="s">
        <v>11</v>
      </c>
      <c r="L92" s="1" t="s">
        <v>10</v>
      </c>
      <c r="M92" s="1" t="s">
        <v>11</v>
      </c>
      <c r="N92" s="1" t="s">
        <v>10</v>
      </c>
      <c r="O92" s="1" t="s">
        <v>11</v>
      </c>
      <c r="P92" s="1" t="s">
        <v>10</v>
      </c>
      <c r="Q92" s="1" t="s">
        <v>11</v>
      </c>
      <c r="R92" s="1" t="s">
        <v>10</v>
      </c>
      <c r="S92" s="1" t="s">
        <v>11</v>
      </c>
      <c r="T92" s="1" t="s">
        <v>10</v>
      </c>
      <c r="U92" s="1" t="s">
        <v>11</v>
      </c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 t="s">
        <v>53</v>
      </c>
      <c r="B94" s="1"/>
      <c r="C94" s="1">
        <v>0.0</v>
      </c>
      <c r="D94" s="1"/>
      <c r="E94" s="1">
        <v>0.0</v>
      </c>
      <c r="F94" s="1"/>
      <c r="G94" s="1"/>
      <c r="H94" s="1"/>
      <c r="I94" s="1">
        <v>0.0</v>
      </c>
      <c r="J94" s="1"/>
      <c r="K94" s="1">
        <v>0.0</v>
      </c>
      <c r="L94" s="1">
        <v>10.0</v>
      </c>
      <c r="M94" s="1">
        <v>14.0</v>
      </c>
      <c r="N94" s="1"/>
      <c r="O94" s="1"/>
      <c r="P94" s="1">
        <v>10.0</v>
      </c>
      <c r="Q94" s="1">
        <v>14.0</v>
      </c>
      <c r="R94" s="1">
        <v>10.0</v>
      </c>
      <c r="S94" s="1">
        <v>14.0</v>
      </c>
      <c r="T94" s="1">
        <v>10.0</v>
      </c>
      <c r="U94" s="1">
        <v>14.0</v>
      </c>
    </row>
    <row r="95">
      <c r="A95" s="1" t="s">
        <v>54</v>
      </c>
      <c r="B95" s="1"/>
      <c r="C95" s="1">
        <v>0.0</v>
      </c>
      <c r="D95" s="1">
        <v>0.0</v>
      </c>
      <c r="E95" s="1">
        <v>4.0</v>
      </c>
      <c r="F95" s="1"/>
      <c r="G95" s="1"/>
      <c r="H95" s="1"/>
      <c r="I95" s="1">
        <v>4.0</v>
      </c>
      <c r="J95" s="1"/>
      <c r="K95" s="1">
        <v>0.0</v>
      </c>
      <c r="L95" s="1">
        <v>0.0</v>
      </c>
      <c r="M95" s="1">
        <v>18.0</v>
      </c>
      <c r="N95" s="1"/>
      <c r="O95" s="1"/>
      <c r="P95" s="1"/>
      <c r="Q95" s="1">
        <v>14.0</v>
      </c>
      <c r="R95" s="1">
        <v>0.0</v>
      </c>
      <c r="S95" s="1">
        <v>18.0</v>
      </c>
      <c r="T95" s="1"/>
      <c r="U95" s="1">
        <v>18.0</v>
      </c>
    </row>
    <row r="96">
      <c r="A96" s="1" t="s">
        <v>55</v>
      </c>
      <c r="B96" s="1"/>
      <c r="C96" s="1">
        <v>0.0</v>
      </c>
      <c r="D96" s="1"/>
      <c r="E96" s="1">
        <v>4.0</v>
      </c>
      <c r="F96" s="1"/>
      <c r="G96" s="1"/>
      <c r="H96" s="1"/>
      <c r="I96" s="1">
        <v>4.0</v>
      </c>
      <c r="J96" s="1">
        <v>0.0</v>
      </c>
      <c r="K96" s="1">
        <v>4.0</v>
      </c>
      <c r="L96" s="1"/>
      <c r="M96" s="1">
        <v>18.0</v>
      </c>
      <c r="N96" s="1"/>
      <c r="O96" s="1"/>
      <c r="P96" s="1"/>
      <c r="Q96" s="1">
        <v>14.0</v>
      </c>
      <c r="R96" s="1"/>
      <c r="S96" s="1">
        <v>18.0</v>
      </c>
      <c r="T96" s="1"/>
      <c r="U96" s="1">
        <v>18.0</v>
      </c>
    </row>
    <row r="97">
      <c r="A97" s="1" t="s">
        <v>56</v>
      </c>
      <c r="B97" s="1"/>
      <c r="C97" s="1">
        <v>0.0</v>
      </c>
      <c r="D97" s="1"/>
      <c r="E97" s="1">
        <v>4.0</v>
      </c>
      <c r="F97" s="1"/>
      <c r="G97" s="1"/>
      <c r="H97" s="1"/>
      <c r="I97" s="1">
        <v>8.0</v>
      </c>
      <c r="J97" s="1"/>
      <c r="K97" s="1">
        <v>8.0</v>
      </c>
      <c r="L97" s="1">
        <v>0.0</v>
      </c>
      <c r="M97" s="1">
        <v>22.0</v>
      </c>
      <c r="N97" s="1"/>
      <c r="O97" s="1"/>
      <c r="P97" s="1">
        <v>0.0</v>
      </c>
      <c r="Q97" s="1">
        <v>18.0</v>
      </c>
      <c r="R97" s="1"/>
      <c r="S97" s="1">
        <v>18.0</v>
      </c>
      <c r="T97" s="1"/>
      <c r="U97" s="1">
        <v>18.0</v>
      </c>
    </row>
    <row r="98">
      <c r="A98" s="1" t="s">
        <v>57</v>
      </c>
      <c r="B98" s="1"/>
      <c r="C98" s="1">
        <v>0.0</v>
      </c>
      <c r="D98" s="1"/>
      <c r="E98" s="1">
        <v>4.0</v>
      </c>
      <c r="F98" s="1"/>
      <c r="G98" s="1"/>
      <c r="H98" s="1"/>
      <c r="I98" s="1">
        <v>8.0</v>
      </c>
      <c r="J98" s="1"/>
      <c r="K98" s="1">
        <v>8.0</v>
      </c>
      <c r="L98" s="1"/>
      <c r="M98" s="1">
        <v>22.0</v>
      </c>
      <c r="N98" s="1"/>
      <c r="O98" s="1"/>
      <c r="P98" s="1"/>
      <c r="Q98" s="1">
        <v>18.0</v>
      </c>
      <c r="R98" s="1"/>
      <c r="S98" s="1">
        <v>18.0</v>
      </c>
      <c r="T98" s="1"/>
      <c r="U98" s="1">
        <v>22.0</v>
      </c>
    </row>
    <row r="99">
      <c r="A99" s="1" t="s">
        <v>58</v>
      </c>
      <c r="B99" s="1">
        <v>0.0</v>
      </c>
      <c r="C99" s="1">
        <v>4.0</v>
      </c>
      <c r="D99" s="1"/>
      <c r="E99" s="1">
        <v>4.0</v>
      </c>
      <c r="F99" s="1"/>
      <c r="G99" s="1"/>
      <c r="H99" s="1"/>
      <c r="I99" s="1">
        <v>12.0</v>
      </c>
      <c r="J99" s="1"/>
      <c r="K99" s="1">
        <v>8.0</v>
      </c>
      <c r="L99" s="1"/>
      <c r="M99" s="1">
        <v>22.0</v>
      </c>
      <c r="N99" s="1"/>
      <c r="O99" s="1"/>
      <c r="P99" s="1"/>
      <c r="Q99" s="1">
        <v>18.0</v>
      </c>
      <c r="R99" s="1">
        <v>10.0</v>
      </c>
      <c r="S99" s="1">
        <v>32.0</v>
      </c>
      <c r="T99" s="1"/>
      <c r="U99" s="1">
        <v>22.0</v>
      </c>
    </row>
    <row r="100">
      <c r="A100" s="1" t="s">
        <v>53</v>
      </c>
      <c r="B100" s="1"/>
      <c r="C100" s="1">
        <v>4.0</v>
      </c>
      <c r="D100" s="1"/>
      <c r="E100" s="1">
        <v>4.0</v>
      </c>
      <c r="F100" s="1"/>
      <c r="G100" s="1"/>
      <c r="H100" s="1"/>
      <c r="I100" s="1">
        <v>12.0</v>
      </c>
      <c r="J100" s="1">
        <v>10.0</v>
      </c>
      <c r="K100" s="1">
        <v>22.0</v>
      </c>
      <c r="L100" s="1">
        <v>0.0</v>
      </c>
      <c r="M100" s="1">
        <v>26.0</v>
      </c>
      <c r="N100" s="1"/>
      <c r="O100" s="1"/>
      <c r="P100" s="1">
        <v>0.0</v>
      </c>
      <c r="Q100" s="1">
        <v>22.0</v>
      </c>
      <c r="R100" s="1"/>
      <c r="S100" s="1">
        <v>32.0</v>
      </c>
      <c r="T100" s="1">
        <v>10.0</v>
      </c>
      <c r="U100" s="1">
        <v>36.0</v>
      </c>
    </row>
    <row r="101">
      <c r="A101" s="1" t="s">
        <v>54</v>
      </c>
      <c r="B101" s="1"/>
      <c r="C101" s="1">
        <v>4.0</v>
      </c>
      <c r="D101" s="1">
        <v>0.0</v>
      </c>
      <c r="E101" s="1">
        <v>8.0</v>
      </c>
      <c r="F101" s="1"/>
      <c r="G101" s="1"/>
      <c r="H101" s="1"/>
      <c r="I101" s="1">
        <v>12.0</v>
      </c>
      <c r="J101" s="1"/>
      <c r="K101" s="1">
        <v>22.0</v>
      </c>
      <c r="L101" s="1"/>
      <c r="M101" s="1">
        <v>26.0</v>
      </c>
      <c r="N101" s="1"/>
      <c r="O101" s="1"/>
      <c r="P101" s="1"/>
      <c r="Q101" s="1">
        <v>22.0</v>
      </c>
      <c r="R101" s="1"/>
      <c r="S101" s="1">
        <v>32.0</v>
      </c>
      <c r="T101" s="1"/>
      <c r="U101" s="1">
        <v>36.0</v>
      </c>
    </row>
    <row r="102">
      <c r="A102" s="1" t="s">
        <v>55</v>
      </c>
      <c r="B102" s="1"/>
      <c r="C102" s="1">
        <v>4.0</v>
      </c>
      <c r="D102" s="1"/>
      <c r="E102" s="1">
        <v>8.0</v>
      </c>
      <c r="F102" s="1"/>
      <c r="G102" s="1"/>
      <c r="H102" s="1">
        <v>10.0</v>
      </c>
      <c r="I102" s="1">
        <v>26.0</v>
      </c>
      <c r="J102" s="1">
        <v>0.0</v>
      </c>
      <c r="K102" s="1">
        <v>26.0</v>
      </c>
      <c r="L102" s="1"/>
      <c r="M102" s="1">
        <v>26.0</v>
      </c>
      <c r="N102" s="1"/>
      <c r="O102" s="1"/>
      <c r="P102" s="1"/>
      <c r="Q102" s="1">
        <v>22.0</v>
      </c>
      <c r="R102" s="1"/>
      <c r="S102" s="1">
        <v>32.0</v>
      </c>
      <c r="T102" s="1"/>
      <c r="U102" s="1">
        <v>36.0</v>
      </c>
    </row>
    <row r="103">
      <c r="A103" s="1" t="s">
        <v>56</v>
      </c>
      <c r="B103" s="1"/>
      <c r="C103" s="1">
        <v>4.0</v>
      </c>
      <c r="D103" s="1">
        <v>10.0</v>
      </c>
      <c r="E103" s="1">
        <v>22.0</v>
      </c>
      <c r="F103" s="1"/>
      <c r="G103" s="1"/>
      <c r="H103" s="1"/>
      <c r="I103" s="1">
        <v>26.0</v>
      </c>
      <c r="J103" s="1">
        <v>10.0</v>
      </c>
      <c r="K103" s="1">
        <v>40.0</v>
      </c>
      <c r="L103" s="1">
        <v>10.0</v>
      </c>
      <c r="M103" s="1">
        <v>40.0</v>
      </c>
      <c r="N103" s="1"/>
      <c r="O103" s="1"/>
      <c r="P103" s="1"/>
      <c r="Q103" s="1">
        <v>22.0</v>
      </c>
      <c r="R103" s="1"/>
      <c r="S103" s="1">
        <v>32.0</v>
      </c>
      <c r="T103" s="1">
        <v>10.0</v>
      </c>
      <c r="U103" s="1">
        <v>50.0</v>
      </c>
    </row>
    <row r="104">
      <c r="A104" s="1" t="s">
        <v>57</v>
      </c>
      <c r="B104" s="1"/>
      <c r="C104" s="1">
        <v>4.0</v>
      </c>
      <c r="D104" s="1">
        <v>10.0</v>
      </c>
      <c r="E104" s="1">
        <v>36.0</v>
      </c>
      <c r="F104" s="1"/>
      <c r="G104" s="1"/>
      <c r="H104" s="1"/>
      <c r="I104" s="1">
        <v>26.0</v>
      </c>
      <c r="J104" s="1"/>
      <c r="K104" s="1">
        <v>40.0</v>
      </c>
      <c r="L104" s="1">
        <v>0.0</v>
      </c>
      <c r="M104" s="1">
        <v>44.0</v>
      </c>
      <c r="N104" s="1"/>
      <c r="O104" s="1"/>
      <c r="P104" s="1"/>
      <c r="Q104" s="1">
        <v>22.0</v>
      </c>
      <c r="R104" s="1">
        <v>0.0</v>
      </c>
      <c r="S104" s="1">
        <v>36.0</v>
      </c>
      <c r="T104" s="1">
        <v>10.0</v>
      </c>
      <c r="U104" s="1">
        <v>64.0</v>
      </c>
    </row>
    <row r="105">
      <c r="A105" s="1" t="s">
        <v>58</v>
      </c>
      <c r="B105" s="1"/>
      <c r="C105" s="1">
        <v>4.0</v>
      </c>
      <c r="D105" s="1"/>
      <c r="E105" s="1">
        <v>36.0</v>
      </c>
      <c r="F105" s="1"/>
      <c r="G105" s="1"/>
      <c r="H105" s="1"/>
      <c r="I105" s="1">
        <v>26.0</v>
      </c>
      <c r="J105" s="1">
        <v>0.0</v>
      </c>
      <c r="K105" s="1">
        <v>44.0</v>
      </c>
      <c r="L105" s="1"/>
      <c r="M105" s="1">
        <v>44.0</v>
      </c>
      <c r="N105" s="1"/>
      <c r="O105" s="1"/>
      <c r="P105" s="1">
        <v>0.0</v>
      </c>
      <c r="Q105" s="1">
        <v>26.0</v>
      </c>
      <c r="R105" s="1"/>
      <c r="S105" s="1">
        <v>36.0</v>
      </c>
      <c r="T105" s="1">
        <v>0.0</v>
      </c>
      <c r="U105" s="1">
        <v>68.0</v>
      </c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 t="s">
        <v>53</v>
      </c>
      <c r="B107" s="1">
        <v>0.0</v>
      </c>
      <c r="C107" s="1">
        <v>8.0</v>
      </c>
      <c r="D107" s="1"/>
      <c r="E107" s="1">
        <v>36.0</v>
      </c>
      <c r="F107" s="1"/>
      <c r="G107" s="1"/>
      <c r="H107" s="1"/>
      <c r="I107" s="1">
        <v>26.0</v>
      </c>
      <c r="J107" s="1"/>
      <c r="K107" s="1">
        <v>44.0</v>
      </c>
      <c r="L107" s="1"/>
      <c r="M107" s="1">
        <v>44.0</v>
      </c>
      <c r="N107" s="1"/>
      <c r="O107" s="1"/>
      <c r="P107" s="1">
        <v>0.0</v>
      </c>
      <c r="Q107" s="1">
        <v>30.0</v>
      </c>
      <c r="R107" s="1">
        <v>10.0</v>
      </c>
      <c r="S107" s="1">
        <v>50.0</v>
      </c>
      <c r="T107" s="1">
        <v>10.0</v>
      </c>
      <c r="U107" s="1">
        <v>82.0</v>
      </c>
    </row>
    <row r="108">
      <c r="A108" s="1" t="s">
        <v>54</v>
      </c>
      <c r="B108" s="1"/>
      <c r="C108" s="1">
        <v>8.0</v>
      </c>
      <c r="D108" s="1"/>
      <c r="E108" s="1">
        <v>36.0</v>
      </c>
      <c r="F108" s="1"/>
      <c r="G108" s="1"/>
      <c r="H108" s="1"/>
      <c r="I108" s="1">
        <v>26.0</v>
      </c>
      <c r="J108" s="1">
        <v>0.0</v>
      </c>
      <c r="K108" s="1">
        <v>48.0</v>
      </c>
      <c r="L108" s="1">
        <v>0.0</v>
      </c>
      <c r="M108" s="1">
        <v>48.0</v>
      </c>
      <c r="N108" s="1"/>
      <c r="O108" s="1"/>
      <c r="P108" s="1"/>
      <c r="Q108" s="1">
        <v>30.0</v>
      </c>
      <c r="R108" s="1"/>
      <c r="S108" s="1">
        <v>50.0</v>
      </c>
      <c r="T108" s="1">
        <v>0.0</v>
      </c>
      <c r="U108" s="1">
        <v>86.0</v>
      </c>
    </row>
    <row r="109">
      <c r="A109" s="1" t="s">
        <v>55</v>
      </c>
      <c r="B109" s="1"/>
      <c r="C109" s="1">
        <v>8.0</v>
      </c>
      <c r="D109" s="1">
        <v>0.0</v>
      </c>
      <c r="E109" s="1">
        <v>40.0</v>
      </c>
      <c r="F109" s="1"/>
      <c r="G109" s="1"/>
      <c r="H109" s="1"/>
      <c r="I109" s="1">
        <v>26.0</v>
      </c>
      <c r="J109" s="1">
        <v>10.0</v>
      </c>
      <c r="K109" s="1">
        <v>62.0</v>
      </c>
      <c r="L109" s="1">
        <v>0.0</v>
      </c>
      <c r="M109" s="1">
        <v>52.0</v>
      </c>
      <c r="N109" s="1"/>
      <c r="O109" s="1"/>
      <c r="P109" s="1"/>
      <c r="Q109" s="1">
        <v>30.0</v>
      </c>
      <c r="R109" s="1"/>
      <c r="S109" s="1">
        <v>50.0</v>
      </c>
      <c r="T109" s="1"/>
      <c r="U109" s="1">
        <v>86.0</v>
      </c>
    </row>
    <row r="110">
      <c r="A110" s="1" t="s">
        <v>56</v>
      </c>
      <c r="B110" s="1"/>
      <c r="C110" s="1">
        <v>8.0</v>
      </c>
      <c r="D110" s="1"/>
      <c r="E110" s="1">
        <v>40.0</v>
      </c>
      <c r="F110" s="1"/>
      <c r="G110" s="1"/>
      <c r="H110" s="1"/>
      <c r="I110" s="1">
        <v>26.0</v>
      </c>
      <c r="J110" s="1">
        <v>10.0</v>
      </c>
      <c r="K110" s="1">
        <v>76.0</v>
      </c>
      <c r="L110" s="1"/>
      <c r="M110" s="1">
        <v>52.0</v>
      </c>
      <c r="N110" s="1"/>
      <c r="O110" s="1"/>
      <c r="P110" s="1"/>
      <c r="Q110" s="1">
        <v>30.0</v>
      </c>
      <c r="R110" s="1"/>
      <c r="S110" s="1">
        <v>50.0</v>
      </c>
      <c r="T110" s="1">
        <v>10.0</v>
      </c>
      <c r="U110" s="1">
        <v>100.0</v>
      </c>
    </row>
    <row r="111">
      <c r="A111" s="1" t="s">
        <v>57</v>
      </c>
      <c r="B111" s="1">
        <v>0.0</v>
      </c>
      <c r="C111" s="1">
        <v>12.0</v>
      </c>
      <c r="D111" s="1"/>
      <c r="E111" s="1">
        <v>40.0</v>
      </c>
      <c r="F111" s="1"/>
      <c r="G111" s="1"/>
      <c r="H111" s="1"/>
      <c r="I111" s="1">
        <v>26.0</v>
      </c>
      <c r="J111" s="1">
        <v>0.0</v>
      </c>
      <c r="K111" s="1">
        <v>80.0</v>
      </c>
      <c r="L111" s="1"/>
      <c r="M111" s="1">
        <v>52.0</v>
      </c>
      <c r="N111" s="1"/>
      <c r="O111" s="1"/>
      <c r="P111" s="1"/>
      <c r="Q111" s="1">
        <v>30.0</v>
      </c>
      <c r="R111" s="1"/>
      <c r="S111" s="1">
        <v>50.0</v>
      </c>
      <c r="T111" s="1">
        <v>0.0</v>
      </c>
      <c r="U111" s="1">
        <v>104.0</v>
      </c>
    </row>
    <row r="112">
      <c r="A112" s="1" t="s">
        <v>58</v>
      </c>
      <c r="B112" s="1"/>
      <c r="C112" s="1">
        <v>12.0</v>
      </c>
      <c r="D112" s="1"/>
      <c r="E112" s="1">
        <v>40.0</v>
      </c>
      <c r="F112" s="1"/>
      <c r="G112" s="1"/>
      <c r="H112" s="1"/>
      <c r="I112" s="1">
        <v>26.0</v>
      </c>
      <c r="J112" s="1">
        <v>0.0</v>
      </c>
      <c r="K112" s="1">
        <v>84.0</v>
      </c>
      <c r="L112" s="1">
        <v>10.0</v>
      </c>
      <c r="M112" s="1">
        <v>66.0</v>
      </c>
      <c r="N112" s="1"/>
      <c r="O112" s="1"/>
      <c r="P112" s="1"/>
      <c r="Q112" s="1">
        <v>30.0</v>
      </c>
      <c r="R112" s="1"/>
      <c r="S112" s="1">
        <v>50.0</v>
      </c>
      <c r="T112" s="1">
        <v>0.0</v>
      </c>
      <c r="U112" s="1">
        <v>108.0</v>
      </c>
    </row>
    <row r="113">
      <c r="A113" s="1" t="s">
        <v>53</v>
      </c>
      <c r="B113" s="1">
        <v>10.0</v>
      </c>
      <c r="C113" s="1">
        <v>26.0</v>
      </c>
      <c r="D113" s="1"/>
      <c r="E113" s="1">
        <v>40.0</v>
      </c>
      <c r="F113" s="1"/>
      <c r="G113" s="1"/>
      <c r="H113" s="1"/>
      <c r="I113" s="1">
        <v>30.0</v>
      </c>
      <c r="J113" s="1">
        <v>10.0</v>
      </c>
      <c r="K113" s="1">
        <v>98.0</v>
      </c>
      <c r="L113" s="1"/>
      <c r="M113" s="1">
        <v>66.0</v>
      </c>
      <c r="N113" s="1"/>
      <c r="O113" s="1"/>
      <c r="P113" s="1">
        <v>10.0</v>
      </c>
      <c r="Q113" s="1">
        <v>44.0</v>
      </c>
      <c r="R113" s="1"/>
      <c r="S113" s="1">
        <v>50.0</v>
      </c>
      <c r="T113" s="1"/>
      <c r="U113" s="1">
        <v>108.0</v>
      </c>
    </row>
    <row r="114">
      <c r="A114" s="1" t="s">
        <v>54</v>
      </c>
      <c r="B114" s="1"/>
      <c r="C114" s="1">
        <v>26.0</v>
      </c>
      <c r="D114" s="1">
        <v>0.0</v>
      </c>
      <c r="E114" s="1">
        <v>44.0</v>
      </c>
      <c r="F114" s="1"/>
      <c r="G114" s="1"/>
      <c r="H114" s="1"/>
      <c r="I114" s="1">
        <v>30.0</v>
      </c>
      <c r="J114" s="1"/>
      <c r="K114" s="1">
        <v>98.0</v>
      </c>
      <c r="L114" s="1">
        <v>0.0</v>
      </c>
      <c r="M114" s="1">
        <v>70.0</v>
      </c>
      <c r="N114" s="1"/>
      <c r="O114" s="1"/>
      <c r="P114" s="1"/>
      <c r="Q114" s="1">
        <v>44.0</v>
      </c>
      <c r="R114" s="1">
        <v>0.0</v>
      </c>
      <c r="S114" s="1">
        <v>54.0</v>
      </c>
      <c r="T114" s="1">
        <v>0.0</v>
      </c>
      <c r="U114" s="1">
        <v>112.0</v>
      </c>
    </row>
    <row r="115">
      <c r="A115" s="1" t="s">
        <v>55</v>
      </c>
      <c r="B115" s="1"/>
      <c r="C115" s="1">
        <v>26.0</v>
      </c>
      <c r="D115" s="1"/>
      <c r="E115" s="1">
        <v>44.0</v>
      </c>
      <c r="F115" s="1"/>
      <c r="G115" s="1"/>
      <c r="H115" s="1">
        <v>10.0</v>
      </c>
      <c r="I115" s="1">
        <v>44.0</v>
      </c>
      <c r="J115" s="1"/>
      <c r="K115" s="1">
        <v>98.0</v>
      </c>
      <c r="L115" s="1"/>
      <c r="M115" s="1">
        <v>70.0</v>
      </c>
      <c r="N115" s="1"/>
      <c r="O115" s="1"/>
      <c r="P115" s="1"/>
      <c r="Q115" s="1">
        <v>44.0</v>
      </c>
      <c r="R115" s="1"/>
      <c r="S115" s="1">
        <v>54.0</v>
      </c>
      <c r="T115" s="1"/>
      <c r="U115" s="1">
        <v>112.0</v>
      </c>
    </row>
    <row r="116">
      <c r="A116" s="1" t="s">
        <v>56</v>
      </c>
      <c r="B116" s="1"/>
      <c r="C116" s="1">
        <v>26.0</v>
      </c>
      <c r="D116" s="1"/>
      <c r="E116" s="1">
        <v>44.0</v>
      </c>
      <c r="F116" s="1"/>
      <c r="G116" s="1"/>
      <c r="H116" s="1"/>
      <c r="I116" s="1">
        <v>44.0</v>
      </c>
      <c r="J116" s="1"/>
      <c r="K116" s="1">
        <v>98.0</v>
      </c>
      <c r="L116" s="1">
        <v>10.0</v>
      </c>
      <c r="M116" s="1">
        <v>84.0</v>
      </c>
      <c r="N116" s="1"/>
      <c r="O116" s="1"/>
      <c r="P116" s="1">
        <v>10.0</v>
      </c>
      <c r="Q116" s="1">
        <v>58.0</v>
      </c>
      <c r="R116" s="1">
        <v>0.0</v>
      </c>
      <c r="S116" s="1">
        <v>58.0</v>
      </c>
      <c r="T116" s="1">
        <v>10.0</v>
      </c>
      <c r="U116" s="1">
        <v>126.0</v>
      </c>
    </row>
    <row r="117">
      <c r="A117" s="1" t="s">
        <v>57</v>
      </c>
      <c r="B117" s="1"/>
      <c r="C117" s="1">
        <v>26.0</v>
      </c>
      <c r="D117" s="1">
        <v>0.0</v>
      </c>
      <c r="E117" s="1">
        <v>48.0</v>
      </c>
      <c r="F117" s="1"/>
      <c r="G117" s="1"/>
      <c r="H117" s="1"/>
      <c r="I117" s="1">
        <v>44.0</v>
      </c>
      <c r="J117" s="1"/>
      <c r="K117" s="1">
        <v>98.0</v>
      </c>
      <c r="L117" s="1"/>
      <c r="M117" s="1">
        <v>84.0</v>
      </c>
      <c r="N117" s="1"/>
      <c r="O117" s="1"/>
      <c r="P117" s="1"/>
      <c r="Q117" s="1">
        <v>58.0</v>
      </c>
      <c r="R117" s="1">
        <v>0.0</v>
      </c>
      <c r="S117" s="1">
        <v>62.0</v>
      </c>
      <c r="T117" s="1">
        <v>0.0</v>
      </c>
      <c r="U117" s="1">
        <v>130.0</v>
      </c>
    </row>
    <row r="118">
      <c r="A118" s="1" t="s">
        <v>58</v>
      </c>
      <c r="B118" s="1"/>
      <c r="C118" s="1">
        <v>26.0</v>
      </c>
      <c r="D118" s="1"/>
      <c r="E118" s="1">
        <v>48.0</v>
      </c>
      <c r="F118" s="1"/>
      <c r="G118" s="1"/>
      <c r="H118" s="1"/>
      <c r="I118" s="1">
        <v>48.0</v>
      </c>
      <c r="J118" s="1"/>
      <c r="K118" s="1">
        <v>98.0</v>
      </c>
      <c r="L118" s="1"/>
      <c r="M118" s="1">
        <v>84.0</v>
      </c>
      <c r="N118" s="1"/>
      <c r="O118" s="1"/>
      <c r="P118" s="1">
        <v>0.0</v>
      </c>
      <c r="Q118" s="1">
        <v>62.0</v>
      </c>
      <c r="R118" s="1"/>
      <c r="S118" s="1">
        <v>62.0</v>
      </c>
      <c r="T118" s="1"/>
      <c r="U118" s="1">
        <v>130.0</v>
      </c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B121" s="1" t="str">
        <f t="array" ref="B121:U150">transpose(sort(transpose(Full!A121:T150),1,true))</f>
        <v>Bethlehem</v>
      </c>
      <c r="C121" s="1" t="s">
        <v>1</v>
      </c>
      <c r="D121" s="1" t="s">
        <v>8</v>
      </c>
      <c r="E121" s="1" t="s">
        <v>8</v>
      </c>
      <c r="F121" s="1" t="s">
        <v>4</v>
      </c>
      <c r="G121" s="1" t="s">
        <v>4</v>
      </c>
      <c r="H121" s="1" t="s">
        <v>9</v>
      </c>
      <c r="I121" s="1" t="s">
        <v>9</v>
      </c>
      <c r="J121" s="1" t="s">
        <v>3</v>
      </c>
      <c r="K121" s="1" t="s">
        <v>3</v>
      </c>
      <c r="L121" s="1" t="s">
        <v>6</v>
      </c>
      <c r="M121" s="1" t="s">
        <v>6</v>
      </c>
      <c r="N121" s="1" t="s">
        <v>2</v>
      </c>
      <c r="O121" s="1" t="s">
        <v>2</v>
      </c>
      <c r="P121" s="1" t="s">
        <v>0</v>
      </c>
      <c r="Q121" s="1" t="s">
        <v>0</v>
      </c>
      <c r="R121" s="1" t="s">
        <v>7</v>
      </c>
      <c r="S121" s="1" t="s">
        <v>7</v>
      </c>
      <c r="T121" s="1" t="s">
        <v>5</v>
      </c>
      <c r="U121" s="1" t="s">
        <v>5</v>
      </c>
    </row>
    <row r="122">
      <c r="B122" s="1" t="s">
        <v>10</v>
      </c>
      <c r="C122" s="1" t="s">
        <v>11</v>
      </c>
      <c r="D122" s="1" t="s">
        <v>10</v>
      </c>
      <c r="E122" s="1" t="s">
        <v>11</v>
      </c>
      <c r="F122" s="1" t="s">
        <v>10</v>
      </c>
      <c r="G122" s="1" t="s">
        <v>11</v>
      </c>
      <c r="H122" s="1" t="s">
        <v>10</v>
      </c>
      <c r="I122" s="1" t="s">
        <v>11</v>
      </c>
      <c r="J122" s="1" t="s">
        <v>10</v>
      </c>
      <c r="K122" s="1" t="s">
        <v>11</v>
      </c>
      <c r="L122" s="1" t="s">
        <v>10</v>
      </c>
      <c r="M122" s="1" t="s">
        <v>11</v>
      </c>
      <c r="N122" s="1" t="s">
        <v>10</v>
      </c>
      <c r="O122" s="1" t="s">
        <v>11</v>
      </c>
      <c r="P122" s="1" t="s">
        <v>10</v>
      </c>
      <c r="Q122" s="1" t="s">
        <v>11</v>
      </c>
      <c r="R122" s="1" t="s">
        <v>10</v>
      </c>
      <c r="S122" s="1" t="s">
        <v>11</v>
      </c>
      <c r="T122" s="1" t="s">
        <v>10</v>
      </c>
      <c r="U122" s="1" t="s">
        <v>11</v>
      </c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 t="s">
        <v>53</v>
      </c>
      <c r="B124" s="1"/>
      <c r="C124" s="1">
        <v>0.0</v>
      </c>
      <c r="D124" s="1"/>
      <c r="E124" s="1">
        <v>0.0</v>
      </c>
      <c r="F124" s="1"/>
      <c r="G124" s="1">
        <v>0.0</v>
      </c>
      <c r="H124" s="1"/>
      <c r="I124" s="1"/>
      <c r="J124" s="1"/>
      <c r="K124" s="1">
        <v>0.0</v>
      </c>
      <c r="L124" s="1"/>
      <c r="M124" s="1">
        <v>0.0</v>
      </c>
      <c r="N124" s="1"/>
      <c r="O124" s="1">
        <v>0.0</v>
      </c>
      <c r="P124" s="1"/>
      <c r="Q124" s="1">
        <v>0.0</v>
      </c>
      <c r="R124" s="1"/>
      <c r="S124" s="1"/>
      <c r="T124" s="1"/>
      <c r="U124" s="1">
        <v>0.0</v>
      </c>
    </row>
    <row r="125">
      <c r="A125" s="1" t="s">
        <v>54</v>
      </c>
      <c r="B125" s="1"/>
      <c r="C125" s="1">
        <v>0.0</v>
      </c>
      <c r="D125" s="1"/>
      <c r="E125" s="1">
        <v>0.0</v>
      </c>
      <c r="F125" s="1"/>
      <c r="G125" s="1">
        <v>0.0</v>
      </c>
      <c r="H125" s="1"/>
      <c r="I125" s="1"/>
      <c r="J125" s="1"/>
      <c r="K125" s="1">
        <v>0.0</v>
      </c>
      <c r="L125" s="1"/>
      <c r="M125" s="1">
        <v>0.0</v>
      </c>
      <c r="N125" s="1">
        <v>0.0</v>
      </c>
      <c r="O125" s="1">
        <v>4.0</v>
      </c>
      <c r="P125" s="1"/>
      <c r="Q125" s="1">
        <v>0.0</v>
      </c>
      <c r="R125" s="1"/>
      <c r="S125" s="1"/>
      <c r="T125" s="1"/>
      <c r="U125" s="1">
        <v>0.0</v>
      </c>
    </row>
    <row r="126">
      <c r="A126" s="1" t="s">
        <v>55</v>
      </c>
      <c r="B126" s="1"/>
      <c r="C126" s="1">
        <v>0.0</v>
      </c>
      <c r="D126" s="1"/>
      <c r="E126" s="1">
        <v>0.0</v>
      </c>
      <c r="F126" s="1">
        <v>0.0</v>
      </c>
      <c r="G126" s="1">
        <v>4.0</v>
      </c>
      <c r="H126" s="1"/>
      <c r="I126" s="1"/>
      <c r="J126" s="1">
        <v>10.0</v>
      </c>
      <c r="K126" s="1">
        <v>14.0</v>
      </c>
      <c r="L126" s="1"/>
      <c r="M126" s="1">
        <v>0.0</v>
      </c>
      <c r="N126" s="1"/>
      <c r="O126" s="1">
        <v>4.0</v>
      </c>
      <c r="P126" s="1">
        <v>0.0</v>
      </c>
      <c r="Q126" s="1">
        <v>4.0</v>
      </c>
      <c r="R126" s="1"/>
      <c r="S126" s="1"/>
      <c r="T126" s="1">
        <v>10.0</v>
      </c>
      <c r="U126" s="1">
        <v>14.0</v>
      </c>
    </row>
    <row r="127">
      <c r="A127" s="1" t="s">
        <v>56</v>
      </c>
      <c r="B127" s="1"/>
      <c r="C127" s="1">
        <v>0.0</v>
      </c>
      <c r="D127" s="1"/>
      <c r="E127" s="1">
        <v>0.0</v>
      </c>
      <c r="F127" s="1">
        <v>0.0</v>
      </c>
      <c r="G127" s="1">
        <v>8.0</v>
      </c>
      <c r="H127" s="1"/>
      <c r="I127" s="1"/>
      <c r="J127" s="1">
        <v>0.0</v>
      </c>
      <c r="K127" s="1">
        <v>18.0</v>
      </c>
      <c r="L127" s="1"/>
      <c r="M127" s="1">
        <v>0.0</v>
      </c>
      <c r="N127" s="1"/>
      <c r="O127" s="1">
        <v>4.0</v>
      </c>
      <c r="P127" s="1">
        <v>0.0</v>
      </c>
      <c r="Q127" s="1">
        <v>8.0</v>
      </c>
      <c r="R127" s="1"/>
      <c r="S127" s="1"/>
      <c r="T127" s="1"/>
      <c r="U127" s="1">
        <v>14.0</v>
      </c>
    </row>
    <row r="128">
      <c r="A128" s="1" t="s">
        <v>57</v>
      </c>
      <c r="B128" s="1">
        <v>10.0</v>
      </c>
      <c r="C128" s="1">
        <v>14.0</v>
      </c>
      <c r="D128" s="1"/>
      <c r="E128" s="1">
        <v>0.0</v>
      </c>
      <c r="F128" s="1"/>
      <c r="G128" s="1">
        <v>12.0</v>
      </c>
      <c r="H128" s="1"/>
      <c r="I128" s="1"/>
      <c r="J128" s="1"/>
      <c r="K128" s="1">
        <v>18.0</v>
      </c>
      <c r="L128" s="1"/>
      <c r="M128" s="1">
        <v>0.0</v>
      </c>
      <c r="N128" s="1">
        <v>0.0</v>
      </c>
      <c r="O128" s="1">
        <v>8.0</v>
      </c>
      <c r="P128" s="1"/>
      <c r="Q128" s="1">
        <v>8.0</v>
      </c>
      <c r="R128" s="1"/>
      <c r="S128" s="1"/>
      <c r="T128" s="1">
        <v>0.0</v>
      </c>
      <c r="U128" s="1">
        <v>18.0</v>
      </c>
    </row>
    <row r="129">
      <c r="A129" s="1" t="s">
        <v>58</v>
      </c>
      <c r="B129" s="1">
        <v>0.0</v>
      </c>
      <c r="C129" s="1">
        <v>18.0</v>
      </c>
      <c r="D129" s="1"/>
      <c r="E129" s="1">
        <v>0.0</v>
      </c>
      <c r="F129" s="1"/>
      <c r="G129" s="1">
        <v>12.0</v>
      </c>
      <c r="H129" s="1"/>
      <c r="I129" s="1"/>
      <c r="J129" s="1"/>
      <c r="K129" s="1">
        <v>18.0</v>
      </c>
      <c r="L129" s="1"/>
      <c r="M129" s="1">
        <v>0.0</v>
      </c>
      <c r="N129" s="1"/>
      <c r="O129" s="1">
        <v>8.0</v>
      </c>
      <c r="P129" s="1">
        <v>10.0</v>
      </c>
      <c r="Q129" s="1">
        <v>22.0</v>
      </c>
      <c r="R129" s="1"/>
      <c r="S129" s="1"/>
      <c r="T129" s="1"/>
      <c r="U129" s="1">
        <v>18.0</v>
      </c>
    </row>
    <row r="130">
      <c r="A130" s="1" t="s">
        <v>53</v>
      </c>
      <c r="B130" s="1">
        <v>10.0</v>
      </c>
      <c r="C130" s="1">
        <v>32.0</v>
      </c>
      <c r="D130" s="1"/>
      <c r="E130" s="1">
        <v>0.0</v>
      </c>
      <c r="F130" s="1"/>
      <c r="G130" s="1">
        <v>12.0</v>
      </c>
      <c r="H130" s="1"/>
      <c r="I130" s="1"/>
      <c r="J130" s="1"/>
      <c r="K130" s="1">
        <v>18.0</v>
      </c>
      <c r="L130" s="1"/>
      <c r="M130" s="1">
        <v>0.0</v>
      </c>
      <c r="N130" s="1">
        <v>10.0</v>
      </c>
      <c r="O130" s="1">
        <v>22.0</v>
      </c>
      <c r="P130" s="1"/>
      <c r="Q130" s="1">
        <v>22.0</v>
      </c>
      <c r="R130" s="1"/>
      <c r="S130" s="1"/>
      <c r="T130" s="1">
        <v>10.0</v>
      </c>
      <c r="U130" s="1">
        <v>32.0</v>
      </c>
    </row>
    <row r="131">
      <c r="A131" s="1" t="s">
        <v>54</v>
      </c>
      <c r="B131" s="1"/>
      <c r="C131" s="1">
        <v>32.0</v>
      </c>
      <c r="D131" s="1"/>
      <c r="E131" s="1">
        <v>0.0</v>
      </c>
      <c r="F131" s="1"/>
      <c r="G131" s="1">
        <v>12.0</v>
      </c>
      <c r="H131" s="1"/>
      <c r="I131" s="1"/>
      <c r="J131" s="1">
        <v>10.0</v>
      </c>
      <c r="K131" s="1">
        <v>32.0</v>
      </c>
      <c r="L131" s="1">
        <v>10.0</v>
      </c>
      <c r="M131" s="1">
        <v>14.0</v>
      </c>
      <c r="N131" s="1"/>
      <c r="O131" s="1">
        <v>22.0</v>
      </c>
      <c r="P131" s="1">
        <v>10.0</v>
      </c>
      <c r="Q131" s="1">
        <v>36.0</v>
      </c>
      <c r="R131" s="1"/>
      <c r="S131" s="1"/>
      <c r="T131" s="1">
        <v>10.0</v>
      </c>
      <c r="U131" s="1">
        <v>46.0</v>
      </c>
    </row>
    <row r="132">
      <c r="A132" s="1" t="s">
        <v>55</v>
      </c>
      <c r="B132" s="1"/>
      <c r="C132" s="1">
        <v>32.0</v>
      </c>
      <c r="D132" s="1"/>
      <c r="E132" s="1">
        <v>0.0</v>
      </c>
      <c r="F132" s="1">
        <v>0.0</v>
      </c>
      <c r="G132" s="1">
        <v>16.0</v>
      </c>
      <c r="H132" s="1"/>
      <c r="I132" s="1"/>
      <c r="J132" s="1"/>
      <c r="K132" s="1">
        <v>32.0</v>
      </c>
      <c r="L132" s="1"/>
      <c r="M132" s="1">
        <v>14.0</v>
      </c>
      <c r="N132" s="1"/>
      <c r="O132" s="1">
        <v>22.0</v>
      </c>
      <c r="P132" s="1"/>
      <c r="Q132" s="1">
        <v>36.0</v>
      </c>
      <c r="R132" s="1"/>
      <c r="S132" s="1"/>
      <c r="T132" s="1">
        <v>10.0</v>
      </c>
      <c r="U132" s="1">
        <v>60.0</v>
      </c>
    </row>
    <row r="133">
      <c r="A133" s="1" t="s">
        <v>56</v>
      </c>
      <c r="B133" s="1"/>
      <c r="C133" s="1">
        <v>32.0</v>
      </c>
      <c r="D133" s="1"/>
      <c r="E133" s="1">
        <v>0.0</v>
      </c>
      <c r="F133" s="1"/>
      <c r="G133" s="1">
        <v>16.0</v>
      </c>
      <c r="H133" s="1"/>
      <c r="I133" s="1"/>
      <c r="J133" s="1">
        <v>10.0</v>
      </c>
      <c r="K133" s="1">
        <v>46.0</v>
      </c>
      <c r="L133" s="1">
        <v>10.0</v>
      </c>
      <c r="M133" s="1">
        <v>28.0</v>
      </c>
      <c r="N133" s="1">
        <v>10.0</v>
      </c>
      <c r="O133" s="1">
        <v>36.0</v>
      </c>
      <c r="P133" s="1"/>
      <c r="Q133" s="1">
        <v>36.0</v>
      </c>
      <c r="R133" s="1"/>
      <c r="S133" s="1"/>
      <c r="T133" s="1">
        <v>0.0</v>
      </c>
      <c r="U133" s="1">
        <v>64.0</v>
      </c>
    </row>
    <row r="134">
      <c r="A134" s="1" t="s">
        <v>57</v>
      </c>
      <c r="B134" s="1"/>
      <c r="C134" s="1">
        <v>32.0</v>
      </c>
      <c r="D134" s="1"/>
      <c r="E134" s="1">
        <v>0.0</v>
      </c>
      <c r="F134" s="1"/>
      <c r="G134" s="1">
        <v>16.0</v>
      </c>
      <c r="H134" s="1"/>
      <c r="I134" s="1"/>
      <c r="J134" s="1"/>
      <c r="K134" s="1">
        <v>46.0</v>
      </c>
      <c r="L134" s="1"/>
      <c r="M134" s="1">
        <v>28.0</v>
      </c>
      <c r="N134" s="1"/>
      <c r="O134" s="1">
        <v>36.0</v>
      </c>
      <c r="P134" s="1"/>
      <c r="Q134" s="1">
        <v>36.0</v>
      </c>
      <c r="R134" s="1"/>
      <c r="S134" s="1"/>
      <c r="T134" s="1"/>
      <c r="U134" s="1">
        <v>64.0</v>
      </c>
    </row>
    <row r="135">
      <c r="A135" s="1" t="s">
        <v>58</v>
      </c>
      <c r="B135" s="1"/>
      <c r="C135" s="1">
        <v>32.0</v>
      </c>
      <c r="D135" s="1"/>
      <c r="E135" s="1">
        <v>0.0</v>
      </c>
      <c r="F135" s="1"/>
      <c r="G135" s="1">
        <v>16.0</v>
      </c>
      <c r="H135" s="1"/>
      <c r="I135" s="1"/>
      <c r="J135" s="1">
        <v>0.0</v>
      </c>
      <c r="K135" s="1">
        <v>50.0</v>
      </c>
      <c r="L135" s="1"/>
      <c r="M135" s="1">
        <v>28.0</v>
      </c>
      <c r="N135" s="1"/>
      <c r="O135" s="1">
        <v>36.0</v>
      </c>
      <c r="P135" s="1">
        <v>0.0</v>
      </c>
      <c r="Q135" s="1">
        <v>40.0</v>
      </c>
      <c r="R135" s="1"/>
      <c r="S135" s="1"/>
      <c r="T135" s="1">
        <v>10.0</v>
      </c>
      <c r="U135" s="1">
        <v>78.0</v>
      </c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 t="s">
        <v>53</v>
      </c>
      <c r="B137" s="1">
        <v>0.0</v>
      </c>
      <c r="C137" s="1">
        <v>36.0</v>
      </c>
      <c r="D137" s="1"/>
      <c r="E137" s="1">
        <v>0.0</v>
      </c>
      <c r="F137" s="1"/>
      <c r="G137" s="1">
        <v>16.0</v>
      </c>
      <c r="H137" s="1"/>
      <c r="I137" s="1"/>
      <c r="J137" s="1"/>
      <c r="K137" s="1">
        <v>50.0</v>
      </c>
      <c r="L137" s="1">
        <v>0.0</v>
      </c>
      <c r="M137" s="1">
        <v>32.0</v>
      </c>
      <c r="N137" s="1"/>
      <c r="O137" s="1">
        <v>36.0</v>
      </c>
      <c r="P137" s="1">
        <v>10.0</v>
      </c>
      <c r="Q137" s="1">
        <v>54.0</v>
      </c>
      <c r="R137" s="1"/>
      <c r="S137" s="1"/>
      <c r="T137" s="1">
        <v>10.0</v>
      </c>
      <c r="U137" s="1">
        <v>92.0</v>
      </c>
    </row>
    <row r="138">
      <c r="A138" s="1" t="s">
        <v>54</v>
      </c>
      <c r="B138" s="1"/>
      <c r="C138" s="1">
        <v>36.0</v>
      </c>
      <c r="D138" s="1"/>
      <c r="E138" s="1">
        <v>0.0</v>
      </c>
      <c r="F138" s="1"/>
      <c r="G138" s="1">
        <v>16.0</v>
      </c>
      <c r="H138" s="1"/>
      <c r="I138" s="1"/>
      <c r="J138" s="1">
        <v>0.0</v>
      </c>
      <c r="K138" s="1">
        <v>54.0</v>
      </c>
      <c r="L138" s="1"/>
      <c r="M138" s="1">
        <v>32.0</v>
      </c>
      <c r="N138" s="1"/>
      <c r="O138" s="1">
        <v>36.0</v>
      </c>
      <c r="P138" s="1"/>
      <c r="Q138" s="1">
        <v>54.0</v>
      </c>
      <c r="R138" s="1"/>
      <c r="S138" s="1"/>
      <c r="T138" s="1">
        <v>10.0</v>
      </c>
      <c r="U138" s="1">
        <v>106.0</v>
      </c>
    </row>
    <row r="139">
      <c r="A139" s="1" t="s">
        <v>55</v>
      </c>
      <c r="B139" s="1"/>
      <c r="C139" s="1">
        <v>36.0</v>
      </c>
      <c r="D139" s="1"/>
      <c r="E139" s="1">
        <v>0.0</v>
      </c>
      <c r="F139" s="1"/>
      <c r="G139" s="1">
        <v>16.0</v>
      </c>
      <c r="H139" s="1"/>
      <c r="I139" s="1"/>
      <c r="J139" s="1">
        <v>0.0</v>
      </c>
      <c r="K139" s="1">
        <v>58.0</v>
      </c>
      <c r="L139" s="1"/>
      <c r="M139" s="1">
        <v>32.0</v>
      </c>
      <c r="N139" s="1"/>
      <c r="O139" s="1">
        <v>36.0</v>
      </c>
      <c r="P139" s="1"/>
      <c r="Q139" s="1">
        <v>54.0</v>
      </c>
      <c r="R139" s="1"/>
      <c r="S139" s="1"/>
      <c r="T139" s="1">
        <v>0.0</v>
      </c>
      <c r="U139" s="1">
        <v>110.0</v>
      </c>
    </row>
    <row r="140">
      <c r="A140" s="1" t="s">
        <v>56</v>
      </c>
      <c r="B140" s="1"/>
      <c r="C140" s="1">
        <v>36.0</v>
      </c>
      <c r="D140" s="1"/>
      <c r="E140" s="1">
        <v>0.0</v>
      </c>
      <c r="F140" s="1"/>
      <c r="G140" s="1">
        <v>16.0</v>
      </c>
      <c r="H140" s="1"/>
      <c r="I140" s="1"/>
      <c r="J140" s="1"/>
      <c r="K140" s="1">
        <v>58.0</v>
      </c>
      <c r="L140" s="1"/>
      <c r="M140" s="1">
        <v>32.0</v>
      </c>
      <c r="N140" s="1"/>
      <c r="O140" s="1">
        <v>36.0</v>
      </c>
      <c r="P140" s="1"/>
      <c r="Q140" s="1">
        <v>54.0</v>
      </c>
      <c r="R140" s="1"/>
      <c r="S140" s="1"/>
      <c r="T140" s="1"/>
      <c r="U140" s="1">
        <v>110.0</v>
      </c>
    </row>
    <row r="141">
      <c r="A141" s="1" t="s">
        <v>57</v>
      </c>
      <c r="B141" s="1"/>
      <c r="C141" s="1">
        <v>36.0</v>
      </c>
      <c r="D141" s="1"/>
      <c r="E141" s="1">
        <v>0.0</v>
      </c>
      <c r="F141" s="1"/>
      <c r="G141" s="1">
        <v>16.0</v>
      </c>
      <c r="H141" s="1"/>
      <c r="I141" s="1"/>
      <c r="J141" s="1">
        <v>0.0</v>
      </c>
      <c r="K141" s="1">
        <v>62.0</v>
      </c>
      <c r="L141" s="1"/>
      <c r="M141" s="1">
        <v>36.0</v>
      </c>
      <c r="N141" s="1"/>
      <c r="O141" s="1">
        <v>36.0</v>
      </c>
      <c r="P141" s="1">
        <v>10.0</v>
      </c>
      <c r="Q141" s="1">
        <v>68.0</v>
      </c>
      <c r="R141" s="1"/>
      <c r="S141" s="1"/>
      <c r="T141" s="1">
        <v>0.0</v>
      </c>
      <c r="U141" s="1">
        <v>114.0</v>
      </c>
    </row>
    <row r="142">
      <c r="A142" s="1" t="s">
        <v>58</v>
      </c>
      <c r="B142" s="1"/>
      <c r="C142" s="1">
        <v>36.0</v>
      </c>
      <c r="D142" s="1"/>
      <c r="E142" s="1">
        <v>0.0</v>
      </c>
      <c r="F142" s="1">
        <v>10.0</v>
      </c>
      <c r="G142" s="1">
        <v>30.0</v>
      </c>
      <c r="H142" s="1"/>
      <c r="I142" s="1"/>
      <c r="J142" s="1">
        <v>0.0</v>
      </c>
      <c r="K142" s="1">
        <v>66.0</v>
      </c>
      <c r="L142" s="1"/>
      <c r="M142" s="1">
        <v>36.0</v>
      </c>
      <c r="N142" s="1"/>
      <c r="O142" s="1">
        <v>36.0</v>
      </c>
      <c r="P142" s="1">
        <v>0.0</v>
      </c>
      <c r="Q142" s="1">
        <v>72.0</v>
      </c>
      <c r="R142" s="1"/>
      <c r="S142" s="1"/>
      <c r="T142" s="1">
        <v>10.0</v>
      </c>
      <c r="U142" s="1">
        <v>128.0</v>
      </c>
    </row>
    <row r="143">
      <c r="A143" s="1" t="s">
        <v>53</v>
      </c>
      <c r="B143" s="1">
        <v>0.0</v>
      </c>
      <c r="C143" s="1">
        <v>40.0</v>
      </c>
      <c r="D143" s="1"/>
      <c r="E143" s="1">
        <v>0.0</v>
      </c>
      <c r="F143" s="1"/>
      <c r="G143" s="1">
        <v>30.0</v>
      </c>
      <c r="H143" s="1"/>
      <c r="I143" s="1"/>
      <c r="J143" s="1"/>
      <c r="K143" s="1">
        <v>66.0</v>
      </c>
      <c r="L143" s="1">
        <v>10.0</v>
      </c>
      <c r="M143" s="1">
        <v>50.0</v>
      </c>
      <c r="N143" s="1"/>
      <c r="O143" s="1">
        <v>36.0</v>
      </c>
      <c r="P143" s="1">
        <v>0.0</v>
      </c>
      <c r="Q143" s="1">
        <v>76.0</v>
      </c>
      <c r="R143" s="1"/>
      <c r="S143" s="1"/>
      <c r="T143" s="1">
        <v>0.0</v>
      </c>
      <c r="U143" s="1">
        <v>132.0</v>
      </c>
    </row>
    <row r="144">
      <c r="A144" s="1" t="s">
        <v>54</v>
      </c>
      <c r="B144" s="1"/>
      <c r="C144" s="1">
        <v>40.0</v>
      </c>
      <c r="D144" s="1">
        <v>0.0</v>
      </c>
      <c r="E144" s="1">
        <v>4.0</v>
      </c>
      <c r="F144" s="1">
        <v>0.0</v>
      </c>
      <c r="G144" s="1">
        <v>34.0</v>
      </c>
      <c r="H144" s="1"/>
      <c r="I144" s="1"/>
      <c r="J144" s="1">
        <v>0.0</v>
      </c>
      <c r="K144" s="1">
        <v>70.0</v>
      </c>
      <c r="L144" s="1"/>
      <c r="M144" s="1">
        <v>50.0</v>
      </c>
      <c r="N144" s="1">
        <v>0.0</v>
      </c>
      <c r="O144" s="1">
        <v>40.0</v>
      </c>
      <c r="P144" s="1"/>
      <c r="Q144" s="1">
        <v>76.0</v>
      </c>
      <c r="R144" s="1"/>
      <c r="S144" s="1"/>
      <c r="T144" s="1"/>
      <c r="U144" s="1">
        <v>132.0</v>
      </c>
    </row>
    <row r="145">
      <c r="A145" s="1" t="s">
        <v>55</v>
      </c>
      <c r="B145" s="1">
        <v>10.0</v>
      </c>
      <c r="C145" s="1">
        <v>54.0</v>
      </c>
      <c r="D145" s="1"/>
      <c r="E145" s="1">
        <v>4.0</v>
      </c>
      <c r="F145" s="1"/>
      <c r="G145" s="1">
        <v>34.0</v>
      </c>
      <c r="H145" s="1"/>
      <c r="I145" s="1"/>
      <c r="J145" s="1"/>
      <c r="K145" s="1">
        <v>70.0</v>
      </c>
      <c r="L145" s="1"/>
      <c r="M145" s="1">
        <v>50.0</v>
      </c>
      <c r="N145" s="1">
        <v>0.0</v>
      </c>
      <c r="O145" s="1">
        <v>44.0</v>
      </c>
      <c r="P145" s="1"/>
      <c r="Q145" s="1">
        <v>76.0</v>
      </c>
      <c r="R145" s="1"/>
      <c r="S145" s="1"/>
      <c r="T145" s="1">
        <v>10.0</v>
      </c>
      <c r="U145" s="1">
        <v>146.0</v>
      </c>
    </row>
    <row r="146">
      <c r="A146" s="1" t="s">
        <v>56</v>
      </c>
      <c r="B146" s="1"/>
      <c r="C146" s="1">
        <v>54.0</v>
      </c>
      <c r="D146" s="1">
        <v>0.0</v>
      </c>
      <c r="E146" s="1">
        <v>8.0</v>
      </c>
      <c r="F146" s="1"/>
      <c r="G146" s="1">
        <v>34.0</v>
      </c>
      <c r="H146" s="1"/>
      <c r="I146" s="1"/>
      <c r="J146" s="1">
        <v>0.0</v>
      </c>
      <c r="K146" s="1">
        <v>74.0</v>
      </c>
      <c r="L146" s="1"/>
      <c r="M146" s="1">
        <v>50.0</v>
      </c>
      <c r="N146" s="1"/>
      <c r="O146" s="1">
        <v>44.0</v>
      </c>
      <c r="P146" s="1">
        <v>0.0</v>
      </c>
      <c r="Q146" s="1">
        <v>80.0</v>
      </c>
      <c r="R146" s="1"/>
      <c r="S146" s="1"/>
      <c r="T146" s="1"/>
      <c r="U146" s="1">
        <v>146.0</v>
      </c>
    </row>
    <row r="147">
      <c r="A147" s="1" t="s">
        <v>57</v>
      </c>
      <c r="B147" s="1">
        <v>0.0</v>
      </c>
      <c r="C147" s="1">
        <v>58.0</v>
      </c>
      <c r="D147" s="1"/>
      <c r="E147" s="1">
        <v>8.0</v>
      </c>
      <c r="F147" s="1">
        <v>0.0</v>
      </c>
      <c r="G147" s="1">
        <v>38.0</v>
      </c>
      <c r="H147" s="1"/>
      <c r="I147" s="1"/>
      <c r="J147" s="1"/>
      <c r="K147" s="1">
        <v>74.0</v>
      </c>
      <c r="L147" s="1"/>
      <c r="M147" s="1">
        <v>50.0</v>
      </c>
      <c r="N147" s="1"/>
      <c r="O147" s="1">
        <v>44.0</v>
      </c>
      <c r="P147" s="1">
        <v>0.0</v>
      </c>
      <c r="Q147" s="1">
        <v>88.0</v>
      </c>
      <c r="R147" s="1"/>
      <c r="S147" s="1"/>
      <c r="T147" s="1"/>
      <c r="U147" s="1">
        <v>146.0</v>
      </c>
    </row>
    <row r="148">
      <c r="A148" s="1" t="s">
        <v>58</v>
      </c>
      <c r="B148" s="1"/>
      <c r="C148" s="1">
        <v>58.0</v>
      </c>
      <c r="D148" s="1"/>
      <c r="E148" s="1">
        <v>8.0</v>
      </c>
      <c r="F148" s="1"/>
      <c r="G148" s="1">
        <v>38.0</v>
      </c>
      <c r="H148" s="1"/>
      <c r="I148" s="1"/>
      <c r="J148" s="1"/>
      <c r="K148" s="1">
        <v>74.0</v>
      </c>
      <c r="L148" s="1"/>
      <c r="M148" s="1">
        <v>50.0</v>
      </c>
      <c r="N148" s="1"/>
      <c r="O148" s="1">
        <v>44.0</v>
      </c>
      <c r="P148" s="1">
        <v>0.0</v>
      </c>
      <c r="Q148" s="1">
        <v>92.0</v>
      </c>
      <c r="R148" s="1"/>
      <c r="S148" s="1"/>
      <c r="T148" s="1"/>
      <c r="U148" s="1">
        <v>146.0</v>
      </c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B151" s="1" t="str">
        <f t="array" ref="B151:U180">transpose(sort(transpose(Full!A151:T180),1,true))</f>
        <v>Bethlehem</v>
      </c>
      <c r="C151" s="1" t="s">
        <v>1</v>
      </c>
      <c r="D151" s="1" t="s">
        <v>8</v>
      </c>
      <c r="E151" s="1" t="s">
        <v>8</v>
      </c>
      <c r="F151" s="1" t="s">
        <v>4</v>
      </c>
      <c r="G151" s="1" t="s">
        <v>4</v>
      </c>
      <c r="H151" s="1" t="s">
        <v>9</v>
      </c>
      <c r="I151" s="1" t="s">
        <v>9</v>
      </c>
      <c r="J151" s="1" t="s">
        <v>3</v>
      </c>
      <c r="K151" s="1" t="s">
        <v>3</v>
      </c>
      <c r="L151" s="1" t="s">
        <v>6</v>
      </c>
      <c r="M151" s="1" t="s">
        <v>6</v>
      </c>
      <c r="N151" s="1" t="s">
        <v>2</v>
      </c>
      <c r="O151" s="1" t="s">
        <v>2</v>
      </c>
      <c r="P151" s="1" t="s">
        <v>0</v>
      </c>
      <c r="Q151" s="1" t="s">
        <v>0</v>
      </c>
      <c r="R151" s="1" t="s">
        <v>7</v>
      </c>
      <c r="S151" s="1" t="s">
        <v>7</v>
      </c>
      <c r="T151" s="1" t="s">
        <v>5</v>
      </c>
      <c r="U151" s="1" t="s">
        <v>5</v>
      </c>
    </row>
    <row r="152">
      <c r="B152" s="1" t="s">
        <v>10</v>
      </c>
      <c r="C152" s="1" t="s">
        <v>11</v>
      </c>
      <c r="D152" s="1" t="s">
        <v>10</v>
      </c>
      <c r="E152" s="1" t="s">
        <v>11</v>
      </c>
      <c r="F152" s="1" t="s">
        <v>10</v>
      </c>
      <c r="G152" s="1" t="s">
        <v>11</v>
      </c>
      <c r="H152" s="1" t="s">
        <v>10</v>
      </c>
      <c r="I152" s="1" t="s">
        <v>11</v>
      </c>
      <c r="J152" s="1" t="s">
        <v>10</v>
      </c>
      <c r="K152" s="1" t="s">
        <v>11</v>
      </c>
      <c r="L152" s="1" t="s">
        <v>10</v>
      </c>
      <c r="M152" s="1" t="s">
        <v>11</v>
      </c>
      <c r="N152" s="1" t="s">
        <v>10</v>
      </c>
      <c r="O152" s="1" t="s">
        <v>11</v>
      </c>
      <c r="P152" s="1" t="s">
        <v>10</v>
      </c>
      <c r="Q152" s="1" t="s">
        <v>11</v>
      </c>
      <c r="R152" s="1" t="s">
        <v>10</v>
      </c>
      <c r="S152" s="1" t="s">
        <v>11</v>
      </c>
      <c r="T152" s="1" t="s">
        <v>10</v>
      </c>
      <c r="U152" s="1" t="s">
        <v>11</v>
      </c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 t="s">
        <v>53</v>
      </c>
      <c r="B154" s="1"/>
      <c r="C154" s="1">
        <v>0.0</v>
      </c>
      <c r="D154" s="1"/>
      <c r="E154" s="1"/>
      <c r="F154" s="1"/>
      <c r="G154" s="1"/>
      <c r="H154" s="1"/>
      <c r="I154" s="1">
        <v>0.0</v>
      </c>
      <c r="J154" s="1"/>
      <c r="K154" s="1">
        <v>0.0</v>
      </c>
      <c r="L154" s="1"/>
      <c r="M154" s="1">
        <v>0.0</v>
      </c>
      <c r="N154" s="1"/>
      <c r="O154" s="1">
        <v>0.0</v>
      </c>
      <c r="P154" s="1"/>
      <c r="Q154" s="1">
        <v>0.0</v>
      </c>
      <c r="R154" s="1"/>
      <c r="S154" s="1">
        <v>0.0</v>
      </c>
      <c r="T154" s="1"/>
      <c r="U154" s="1">
        <v>0.0</v>
      </c>
    </row>
    <row r="155">
      <c r="A155" s="1" t="s">
        <v>54</v>
      </c>
      <c r="B155" s="1"/>
      <c r="C155" s="1">
        <v>0.0</v>
      </c>
      <c r="D155" s="1"/>
      <c r="E155" s="1"/>
      <c r="F155" s="1"/>
      <c r="G155" s="1"/>
      <c r="H155" s="1"/>
      <c r="I155" s="1">
        <v>0.0</v>
      </c>
      <c r="J155" s="1"/>
      <c r="K155" s="1">
        <v>0.0</v>
      </c>
      <c r="L155" s="1"/>
      <c r="M155" s="1">
        <v>0.0</v>
      </c>
      <c r="N155" s="1"/>
      <c r="O155" s="1">
        <v>0.0</v>
      </c>
      <c r="P155" s="1"/>
      <c r="Q155" s="1">
        <v>0.0</v>
      </c>
      <c r="R155" s="1"/>
      <c r="S155" s="1">
        <v>0.0</v>
      </c>
      <c r="T155" s="1">
        <v>10.0</v>
      </c>
      <c r="U155" s="1">
        <v>14.0</v>
      </c>
    </row>
    <row r="156">
      <c r="A156" s="1" t="s">
        <v>55</v>
      </c>
      <c r="B156" s="1"/>
      <c r="C156" s="1">
        <v>0.0</v>
      </c>
      <c r="D156" s="1"/>
      <c r="E156" s="1"/>
      <c r="F156" s="1"/>
      <c r="G156" s="1"/>
      <c r="H156" s="1"/>
      <c r="I156" s="1">
        <v>0.0</v>
      </c>
      <c r="J156" s="1"/>
      <c r="K156" s="1">
        <v>0.0</v>
      </c>
      <c r="L156" s="1"/>
      <c r="M156" s="1">
        <v>0.0</v>
      </c>
      <c r="N156" s="1"/>
      <c r="O156" s="1">
        <v>0.0</v>
      </c>
      <c r="P156" s="1"/>
      <c r="Q156" s="1">
        <v>0.0</v>
      </c>
      <c r="R156" s="1"/>
      <c r="S156" s="1">
        <v>0.0</v>
      </c>
      <c r="T156" s="1">
        <v>10.0</v>
      </c>
      <c r="U156" s="1">
        <v>28.0</v>
      </c>
    </row>
    <row r="157">
      <c r="A157" s="1" t="s">
        <v>56</v>
      </c>
      <c r="B157" s="1"/>
      <c r="C157" s="1">
        <v>0.0</v>
      </c>
      <c r="D157" s="1"/>
      <c r="E157" s="1"/>
      <c r="F157" s="1"/>
      <c r="G157" s="1"/>
      <c r="H157" s="1"/>
      <c r="I157" s="1">
        <v>0.0</v>
      </c>
      <c r="J157" s="1"/>
      <c r="K157" s="1">
        <v>0.0</v>
      </c>
      <c r="L157" s="1"/>
      <c r="M157" s="1">
        <v>4.0</v>
      </c>
      <c r="N157" s="1"/>
      <c r="O157" s="1">
        <v>0.0</v>
      </c>
      <c r="P157" s="1"/>
      <c r="Q157" s="1">
        <v>0.0</v>
      </c>
      <c r="R157" s="1"/>
      <c r="S157" s="1">
        <v>0.0</v>
      </c>
      <c r="T157" s="1">
        <v>10.0</v>
      </c>
      <c r="U157" s="1">
        <v>42.0</v>
      </c>
    </row>
    <row r="158">
      <c r="A158" s="1" t="s">
        <v>57</v>
      </c>
      <c r="B158" s="1">
        <v>0.0</v>
      </c>
      <c r="C158" s="1">
        <v>4.0</v>
      </c>
      <c r="D158" s="1"/>
      <c r="E158" s="1"/>
      <c r="F158" s="1"/>
      <c r="G158" s="1"/>
      <c r="H158" s="1"/>
      <c r="I158" s="1">
        <v>0.0</v>
      </c>
      <c r="J158" s="1"/>
      <c r="K158" s="1">
        <v>0.0</v>
      </c>
      <c r="L158" s="1"/>
      <c r="M158" s="1">
        <v>4.0</v>
      </c>
      <c r="N158" s="1">
        <v>0.0</v>
      </c>
      <c r="O158" s="1">
        <v>4.0</v>
      </c>
      <c r="P158" s="1"/>
      <c r="Q158" s="1">
        <v>0.0</v>
      </c>
      <c r="R158" s="1"/>
      <c r="S158" s="1">
        <v>0.0</v>
      </c>
      <c r="T158" s="1"/>
      <c r="U158" s="1">
        <v>42.0</v>
      </c>
    </row>
    <row r="159">
      <c r="A159" s="1" t="s">
        <v>58</v>
      </c>
      <c r="B159" s="1"/>
      <c r="C159" s="1">
        <v>4.0</v>
      </c>
      <c r="D159" s="1"/>
      <c r="E159" s="1"/>
      <c r="F159" s="1"/>
      <c r="G159" s="1"/>
      <c r="H159" s="1"/>
      <c r="I159" s="1">
        <v>0.0</v>
      </c>
      <c r="J159" s="1">
        <v>10.0</v>
      </c>
      <c r="K159" s="1">
        <v>14.0</v>
      </c>
      <c r="L159" s="1">
        <v>10.0</v>
      </c>
      <c r="M159" s="1">
        <v>18.0</v>
      </c>
      <c r="N159" s="1"/>
      <c r="O159" s="1">
        <v>4.0</v>
      </c>
      <c r="P159" s="1">
        <v>10.0</v>
      </c>
      <c r="Q159" s="1">
        <v>14.0</v>
      </c>
      <c r="R159" s="1"/>
      <c r="S159" s="1">
        <v>0.0</v>
      </c>
      <c r="T159" s="1">
        <v>10.0</v>
      </c>
      <c r="U159" s="1">
        <v>56.0</v>
      </c>
    </row>
    <row r="160">
      <c r="A160" s="1" t="s">
        <v>53</v>
      </c>
      <c r="B160" s="1"/>
      <c r="C160" s="1">
        <v>4.0</v>
      </c>
      <c r="D160" s="1"/>
      <c r="E160" s="1"/>
      <c r="F160" s="1"/>
      <c r="G160" s="1"/>
      <c r="H160" s="1"/>
      <c r="I160" s="1">
        <v>0.0</v>
      </c>
      <c r="J160" s="1">
        <v>10.0</v>
      </c>
      <c r="K160" s="1">
        <v>28.0</v>
      </c>
      <c r="L160" s="1"/>
      <c r="M160" s="1">
        <v>18.0</v>
      </c>
      <c r="N160" s="1"/>
      <c r="O160" s="1">
        <v>4.0</v>
      </c>
      <c r="P160" s="1"/>
      <c r="Q160" s="1">
        <v>14.0</v>
      </c>
      <c r="R160" s="1"/>
      <c r="S160" s="1">
        <v>0.0</v>
      </c>
      <c r="T160" s="1"/>
      <c r="U160" s="1">
        <v>56.0</v>
      </c>
    </row>
    <row r="161">
      <c r="A161" s="1" t="s">
        <v>54</v>
      </c>
      <c r="B161" s="1"/>
      <c r="C161" s="1">
        <v>4.0</v>
      </c>
      <c r="D161" s="1"/>
      <c r="E161" s="1"/>
      <c r="F161" s="1"/>
      <c r="G161" s="1"/>
      <c r="H161" s="1"/>
      <c r="I161" s="1">
        <v>0.0</v>
      </c>
      <c r="J161" s="1"/>
      <c r="K161" s="1">
        <v>28.0</v>
      </c>
      <c r="L161" s="1">
        <v>10.0</v>
      </c>
      <c r="M161" s="1">
        <v>32.0</v>
      </c>
      <c r="N161" s="1"/>
      <c r="O161" s="1">
        <v>4.0</v>
      </c>
      <c r="P161" s="1">
        <v>0.0</v>
      </c>
      <c r="Q161" s="1">
        <v>18.0</v>
      </c>
      <c r="R161" s="1"/>
      <c r="S161" s="1">
        <v>0.0</v>
      </c>
      <c r="T161" s="1"/>
      <c r="U161" s="1">
        <v>56.0</v>
      </c>
    </row>
    <row r="162">
      <c r="A162" s="1" t="s">
        <v>55</v>
      </c>
      <c r="B162" s="1"/>
      <c r="C162" s="1">
        <v>4.0</v>
      </c>
      <c r="D162" s="1"/>
      <c r="E162" s="1"/>
      <c r="F162" s="1"/>
      <c r="G162" s="1"/>
      <c r="H162" s="1"/>
      <c r="I162" s="1">
        <v>0.0</v>
      </c>
      <c r="J162" s="1"/>
      <c r="K162" s="1">
        <v>28.0</v>
      </c>
      <c r="L162" s="1"/>
      <c r="M162" s="1">
        <v>32.0</v>
      </c>
      <c r="N162" s="1"/>
      <c r="O162" s="1">
        <v>4.0</v>
      </c>
      <c r="P162" s="1">
        <v>0.0</v>
      </c>
      <c r="Q162" s="1">
        <v>22.0</v>
      </c>
      <c r="R162" s="1"/>
      <c r="S162" s="1">
        <v>0.0</v>
      </c>
      <c r="T162" s="1"/>
      <c r="U162" s="1">
        <v>56.0</v>
      </c>
    </row>
    <row r="163">
      <c r="A163" s="1" t="s">
        <v>56</v>
      </c>
      <c r="B163" s="1"/>
      <c r="C163" s="1">
        <v>4.0</v>
      </c>
      <c r="D163" s="1"/>
      <c r="E163" s="1"/>
      <c r="F163" s="1"/>
      <c r="G163" s="1"/>
      <c r="H163" s="1"/>
      <c r="I163" s="1">
        <v>0.0</v>
      </c>
      <c r="J163" s="1"/>
      <c r="K163" s="1">
        <v>28.0</v>
      </c>
      <c r="L163" s="1"/>
      <c r="M163" s="1">
        <v>32.0</v>
      </c>
      <c r="N163" s="1"/>
      <c r="O163" s="1">
        <v>4.0</v>
      </c>
      <c r="P163" s="1"/>
      <c r="Q163" s="1">
        <v>22.0</v>
      </c>
      <c r="R163" s="1"/>
      <c r="S163" s="1">
        <v>0.0</v>
      </c>
      <c r="T163" s="1">
        <v>10.0</v>
      </c>
      <c r="U163" s="1">
        <v>70.0</v>
      </c>
    </row>
    <row r="164">
      <c r="A164" s="1" t="s">
        <v>57</v>
      </c>
      <c r="B164" s="1"/>
      <c r="C164" s="1">
        <v>4.0</v>
      </c>
      <c r="D164" s="1"/>
      <c r="E164" s="1"/>
      <c r="F164" s="1"/>
      <c r="G164" s="1"/>
      <c r="H164" s="1"/>
      <c r="I164" s="1">
        <v>0.0</v>
      </c>
      <c r="J164" s="1"/>
      <c r="K164" s="1">
        <v>28.0</v>
      </c>
      <c r="L164" s="1">
        <v>0.0</v>
      </c>
      <c r="M164" s="1">
        <v>36.0</v>
      </c>
      <c r="N164" s="1">
        <v>0.0</v>
      </c>
      <c r="O164" s="1">
        <v>8.0</v>
      </c>
      <c r="P164" s="1"/>
      <c r="Q164" s="1">
        <v>22.0</v>
      </c>
      <c r="R164" s="1">
        <v>0.0</v>
      </c>
      <c r="S164" s="1">
        <v>4.0</v>
      </c>
      <c r="T164" s="1">
        <v>0.0</v>
      </c>
      <c r="U164" s="1">
        <v>74.0</v>
      </c>
    </row>
    <row r="165">
      <c r="A165" s="1" t="s">
        <v>58</v>
      </c>
      <c r="B165" s="1"/>
      <c r="C165" s="1">
        <v>4.0</v>
      </c>
      <c r="D165" s="1"/>
      <c r="E165" s="1"/>
      <c r="F165" s="1"/>
      <c r="G165" s="1"/>
      <c r="H165" s="1"/>
      <c r="I165" s="1">
        <v>0.0</v>
      </c>
      <c r="J165" s="1"/>
      <c r="K165" s="1">
        <v>28.0</v>
      </c>
      <c r="L165" s="1">
        <v>0.0</v>
      </c>
      <c r="M165" s="1">
        <v>40.0</v>
      </c>
      <c r="N165" s="1"/>
      <c r="O165" s="1">
        <v>8.0</v>
      </c>
      <c r="P165" s="1"/>
      <c r="Q165" s="1">
        <v>22.0</v>
      </c>
      <c r="R165" s="1"/>
      <c r="S165" s="1">
        <v>4.0</v>
      </c>
      <c r="T165" s="1"/>
      <c r="U165" s="1">
        <v>74.0</v>
      </c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 t="s">
        <v>53</v>
      </c>
      <c r="B167" s="1"/>
      <c r="C167" s="1">
        <v>4.0</v>
      </c>
      <c r="D167" s="1"/>
      <c r="E167" s="1"/>
      <c r="F167" s="1"/>
      <c r="G167" s="1"/>
      <c r="H167" s="1"/>
      <c r="I167" s="1">
        <v>0.0</v>
      </c>
      <c r="J167" s="1"/>
      <c r="K167" s="1">
        <v>28.0</v>
      </c>
      <c r="L167" s="1">
        <v>0.0</v>
      </c>
      <c r="M167" s="1">
        <v>44.0</v>
      </c>
      <c r="N167" s="1">
        <v>10.0</v>
      </c>
      <c r="O167" s="1">
        <v>22.0</v>
      </c>
      <c r="P167" s="1"/>
      <c r="Q167" s="1">
        <v>22.0</v>
      </c>
      <c r="R167" s="1"/>
      <c r="S167" s="1">
        <v>4.0</v>
      </c>
      <c r="T167" s="1">
        <v>0.0</v>
      </c>
      <c r="U167" s="1">
        <v>78.0</v>
      </c>
    </row>
    <row r="168">
      <c r="A168" s="1" t="s">
        <v>54</v>
      </c>
      <c r="B168" s="1"/>
      <c r="C168" s="1">
        <v>4.0</v>
      </c>
      <c r="D168" s="1"/>
      <c r="E168" s="1"/>
      <c r="F168" s="1"/>
      <c r="G168" s="1"/>
      <c r="H168" s="1"/>
      <c r="I168" s="1">
        <v>0.0</v>
      </c>
      <c r="J168" s="1"/>
      <c r="K168" s="1">
        <v>28.0</v>
      </c>
      <c r="L168" s="1">
        <v>10.0</v>
      </c>
      <c r="M168" s="1">
        <v>58.0</v>
      </c>
      <c r="N168" s="1"/>
      <c r="O168" s="1">
        <v>22.0</v>
      </c>
      <c r="P168" s="1">
        <v>10.0</v>
      </c>
      <c r="Q168" s="1">
        <v>36.0</v>
      </c>
      <c r="R168" s="1"/>
      <c r="S168" s="1">
        <v>4.0</v>
      </c>
      <c r="T168" s="1">
        <v>10.0</v>
      </c>
      <c r="U168" s="1">
        <v>92.0</v>
      </c>
    </row>
    <row r="169">
      <c r="A169" s="1" t="s">
        <v>55</v>
      </c>
      <c r="B169" s="1"/>
      <c r="C169" s="1">
        <v>4.0</v>
      </c>
      <c r="D169" s="1"/>
      <c r="E169" s="1"/>
      <c r="F169" s="1"/>
      <c r="G169" s="1"/>
      <c r="H169" s="1">
        <v>10.0</v>
      </c>
      <c r="I169" s="1">
        <v>14.0</v>
      </c>
      <c r="J169" s="1"/>
      <c r="K169" s="1">
        <v>28.0</v>
      </c>
      <c r="L169" s="1"/>
      <c r="M169" s="1">
        <v>58.0</v>
      </c>
      <c r="N169" s="1"/>
      <c r="O169" s="1">
        <v>22.0</v>
      </c>
      <c r="P169" s="1">
        <v>0.0</v>
      </c>
      <c r="Q169" s="1">
        <v>40.0</v>
      </c>
      <c r="R169" s="1"/>
      <c r="S169" s="1">
        <v>4.0</v>
      </c>
      <c r="T169" s="1">
        <v>10.0</v>
      </c>
      <c r="U169" s="1">
        <v>106.0</v>
      </c>
    </row>
    <row r="170">
      <c r="A170" s="1" t="s">
        <v>56</v>
      </c>
      <c r="B170" s="1"/>
      <c r="C170" s="1">
        <v>4.0</v>
      </c>
      <c r="D170" s="1"/>
      <c r="E170" s="1"/>
      <c r="F170" s="1"/>
      <c r="G170" s="1"/>
      <c r="H170" s="1">
        <v>0.0</v>
      </c>
      <c r="I170" s="1">
        <v>18.0</v>
      </c>
      <c r="J170" s="1"/>
      <c r="K170" s="1">
        <v>28.0</v>
      </c>
      <c r="L170" s="1"/>
      <c r="M170" s="1">
        <v>58.0</v>
      </c>
      <c r="N170" s="1"/>
      <c r="O170" s="1">
        <v>22.0</v>
      </c>
      <c r="P170" s="1"/>
      <c r="Q170" s="1">
        <v>40.0</v>
      </c>
      <c r="R170" s="1"/>
      <c r="S170" s="1">
        <v>4.0</v>
      </c>
      <c r="T170" s="1">
        <v>0.0</v>
      </c>
      <c r="U170" s="1">
        <v>110.0</v>
      </c>
    </row>
    <row r="171">
      <c r="A171" s="1" t="s">
        <v>57</v>
      </c>
      <c r="B171" s="1"/>
      <c r="C171" s="1">
        <v>4.0</v>
      </c>
      <c r="D171" s="1"/>
      <c r="E171" s="1"/>
      <c r="F171" s="1"/>
      <c r="G171" s="1"/>
      <c r="H171" s="1"/>
      <c r="I171" s="1">
        <v>18.0</v>
      </c>
      <c r="J171" s="1"/>
      <c r="K171" s="1">
        <v>28.0</v>
      </c>
      <c r="L171" s="1">
        <v>0.0</v>
      </c>
      <c r="M171" s="1">
        <v>62.0</v>
      </c>
      <c r="N171" s="1">
        <v>10.0</v>
      </c>
      <c r="O171" s="1">
        <v>36.0</v>
      </c>
      <c r="P171" s="1"/>
      <c r="Q171" s="1">
        <v>40.0</v>
      </c>
      <c r="R171" s="1"/>
      <c r="S171" s="1">
        <v>4.0</v>
      </c>
      <c r="T171" s="1"/>
      <c r="U171" s="1">
        <v>110.0</v>
      </c>
    </row>
    <row r="172">
      <c r="A172" s="1" t="s">
        <v>58</v>
      </c>
      <c r="B172" s="1"/>
      <c r="C172" s="1">
        <v>4.0</v>
      </c>
      <c r="D172" s="1"/>
      <c r="E172" s="1"/>
      <c r="F172" s="1"/>
      <c r="G172" s="1"/>
      <c r="H172" s="1"/>
      <c r="I172" s="1">
        <v>18.0</v>
      </c>
      <c r="J172" s="1"/>
      <c r="K172" s="1">
        <v>28.0</v>
      </c>
      <c r="L172" s="1"/>
      <c r="M172" s="1">
        <v>62.0</v>
      </c>
      <c r="N172" s="1"/>
      <c r="O172" s="1">
        <v>36.0</v>
      </c>
      <c r="P172" s="1"/>
      <c r="Q172" s="1">
        <v>40.0</v>
      </c>
      <c r="R172" s="1"/>
      <c r="S172" s="1">
        <v>4.0</v>
      </c>
      <c r="T172" s="1">
        <v>10.0</v>
      </c>
      <c r="U172" s="1">
        <v>124.0</v>
      </c>
    </row>
    <row r="173">
      <c r="A173" s="1" t="s">
        <v>53</v>
      </c>
      <c r="B173" s="1">
        <v>0.0</v>
      </c>
      <c r="C173" s="1">
        <v>8.0</v>
      </c>
      <c r="D173" s="1"/>
      <c r="E173" s="1"/>
      <c r="F173" s="1"/>
      <c r="G173" s="1"/>
      <c r="H173" s="1"/>
      <c r="I173" s="1">
        <v>18.0</v>
      </c>
      <c r="J173" s="1"/>
      <c r="K173" s="1">
        <v>28.0</v>
      </c>
      <c r="L173" s="1">
        <v>0.0</v>
      </c>
      <c r="M173" s="1">
        <v>66.0</v>
      </c>
      <c r="N173" s="1">
        <v>0.0</v>
      </c>
      <c r="O173" s="1">
        <v>40.0</v>
      </c>
      <c r="P173" s="1">
        <v>10.0</v>
      </c>
      <c r="Q173" s="1">
        <v>54.0</v>
      </c>
      <c r="R173" s="1"/>
      <c r="S173" s="1">
        <v>4.0</v>
      </c>
      <c r="T173" s="1"/>
      <c r="U173" s="1">
        <v>124.0</v>
      </c>
    </row>
    <row r="174">
      <c r="A174" s="1" t="s">
        <v>54</v>
      </c>
      <c r="B174" s="1"/>
      <c r="C174" s="1">
        <v>8.0</v>
      </c>
      <c r="D174" s="1"/>
      <c r="E174" s="1"/>
      <c r="F174" s="1"/>
      <c r="G174" s="1"/>
      <c r="H174" s="1"/>
      <c r="I174" s="1">
        <v>18.0</v>
      </c>
      <c r="J174" s="1"/>
      <c r="K174" s="1">
        <v>28.0</v>
      </c>
      <c r="L174" s="1">
        <v>0.0</v>
      </c>
      <c r="M174" s="1">
        <v>70.0</v>
      </c>
      <c r="N174" s="1">
        <v>0.0</v>
      </c>
      <c r="O174" s="1">
        <v>44.0</v>
      </c>
      <c r="P174" s="1">
        <v>10.0</v>
      </c>
      <c r="Q174" s="1">
        <v>68.0</v>
      </c>
      <c r="R174" s="1"/>
      <c r="S174" s="1">
        <v>4.0</v>
      </c>
      <c r="T174" s="1">
        <v>10.0</v>
      </c>
      <c r="U174" s="1">
        <v>138.0</v>
      </c>
    </row>
    <row r="175">
      <c r="A175" s="1" t="s">
        <v>55</v>
      </c>
      <c r="B175" s="1"/>
      <c r="C175" s="1">
        <v>8.0</v>
      </c>
      <c r="D175" s="1"/>
      <c r="E175" s="1"/>
      <c r="F175" s="1"/>
      <c r="G175" s="1"/>
      <c r="H175" s="1"/>
      <c r="I175" s="1">
        <v>18.0</v>
      </c>
      <c r="J175" s="1"/>
      <c r="K175" s="1">
        <v>28.0</v>
      </c>
      <c r="L175" s="1">
        <v>0.0</v>
      </c>
      <c r="M175" s="1">
        <v>74.0</v>
      </c>
      <c r="N175" s="1"/>
      <c r="O175" s="1">
        <v>44.0</v>
      </c>
      <c r="P175" s="1"/>
      <c r="Q175" s="1">
        <v>68.0</v>
      </c>
      <c r="R175" s="1"/>
      <c r="S175" s="1">
        <v>4.0</v>
      </c>
      <c r="T175" s="1"/>
      <c r="U175" s="1">
        <v>138.0</v>
      </c>
    </row>
    <row r="176">
      <c r="A176" s="1" t="s">
        <v>56</v>
      </c>
      <c r="B176" s="1"/>
      <c r="C176" s="1">
        <v>8.0</v>
      </c>
      <c r="D176" s="1"/>
      <c r="E176" s="1"/>
      <c r="F176" s="1"/>
      <c r="G176" s="1"/>
      <c r="H176" s="1"/>
      <c r="I176" s="1">
        <v>18.0</v>
      </c>
      <c r="J176" s="1"/>
      <c r="K176" s="1">
        <v>28.0</v>
      </c>
      <c r="L176" s="1"/>
      <c r="M176" s="1">
        <v>74.0</v>
      </c>
      <c r="N176" s="1"/>
      <c r="O176" s="1">
        <v>44.0</v>
      </c>
      <c r="P176" s="1"/>
      <c r="Q176" s="1">
        <v>68.0</v>
      </c>
      <c r="R176" s="1"/>
      <c r="S176" s="1">
        <v>4.0</v>
      </c>
      <c r="T176" s="1">
        <v>10.0</v>
      </c>
      <c r="U176" s="1">
        <v>152.0</v>
      </c>
    </row>
    <row r="177">
      <c r="A177" s="1" t="s">
        <v>57</v>
      </c>
      <c r="B177" s="1"/>
      <c r="C177" s="1">
        <v>8.0</v>
      </c>
      <c r="D177" s="1"/>
      <c r="E177" s="1"/>
      <c r="F177" s="1"/>
      <c r="G177" s="1"/>
      <c r="H177" s="1"/>
      <c r="I177" s="1">
        <v>18.0</v>
      </c>
      <c r="J177" s="1"/>
      <c r="K177" s="1">
        <v>28.0</v>
      </c>
      <c r="L177" s="1"/>
      <c r="M177" s="1">
        <v>74.0</v>
      </c>
      <c r="N177" s="1">
        <v>0.0</v>
      </c>
      <c r="O177" s="1">
        <v>48.0</v>
      </c>
      <c r="P177" s="1"/>
      <c r="Q177" s="1">
        <v>68.0</v>
      </c>
      <c r="R177" s="1"/>
      <c r="S177" s="1">
        <v>4.0</v>
      </c>
      <c r="T177" s="1">
        <v>10.0</v>
      </c>
      <c r="U177" s="1">
        <v>166.0</v>
      </c>
    </row>
    <row r="178">
      <c r="A178" s="1" t="s">
        <v>58</v>
      </c>
      <c r="B178" s="1"/>
      <c r="C178" s="1">
        <v>8.0</v>
      </c>
      <c r="D178" s="1"/>
      <c r="E178" s="1"/>
      <c r="F178" s="1"/>
      <c r="G178" s="1"/>
      <c r="H178" s="1"/>
      <c r="I178" s="1">
        <v>18.0</v>
      </c>
      <c r="J178" s="1"/>
      <c r="K178" s="1">
        <v>28.0</v>
      </c>
      <c r="L178" s="1"/>
      <c r="M178" s="1">
        <v>74.0</v>
      </c>
      <c r="N178" s="1"/>
      <c r="O178" s="1">
        <v>48.0</v>
      </c>
      <c r="P178" s="1">
        <v>0.0</v>
      </c>
      <c r="Q178" s="1">
        <v>72.0</v>
      </c>
      <c r="R178" s="1"/>
      <c r="S178" s="1">
        <v>4.0</v>
      </c>
      <c r="T178" s="1"/>
      <c r="U178" s="1">
        <v>166.0</v>
      </c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B181" s="1" t="str">
        <f t="array" ref="B181:U210">transpose(sort(transpose(Full!A181:T210),1,true))</f>
        <v>Bethlehem</v>
      </c>
      <c r="C181" s="1" t="s">
        <v>1</v>
      </c>
      <c r="D181" s="1" t="s">
        <v>8</v>
      </c>
      <c r="E181" s="1" t="s">
        <v>8</v>
      </c>
      <c r="F181" s="1" t="s">
        <v>4</v>
      </c>
      <c r="G181" s="1" t="s">
        <v>4</v>
      </c>
      <c r="H181" s="1" t="s">
        <v>9</v>
      </c>
      <c r="I181" s="1" t="s">
        <v>9</v>
      </c>
      <c r="J181" s="1" t="s">
        <v>3</v>
      </c>
      <c r="K181" s="1" t="s">
        <v>3</v>
      </c>
      <c r="L181" s="1" t="s">
        <v>6</v>
      </c>
      <c r="M181" s="1" t="s">
        <v>6</v>
      </c>
      <c r="N181" s="1" t="s">
        <v>2</v>
      </c>
      <c r="O181" s="1" t="s">
        <v>2</v>
      </c>
      <c r="P181" s="1" t="s">
        <v>0</v>
      </c>
      <c r="Q181" s="1" t="s">
        <v>0</v>
      </c>
      <c r="R181" s="1" t="s">
        <v>7</v>
      </c>
      <c r="S181" s="1" t="s">
        <v>7</v>
      </c>
      <c r="T181" s="1" t="s">
        <v>5</v>
      </c>
      <c r="U181" s="1" t="s">
        <v>5</v>
      </c>
    </row>
    <row r="182">
      <c r="B182" s="1" t="s">
        <v>10</v>
      </c>
      <c r="C182" s="1" t="s">
        <v>11</v>
      </c>
      <c r="D182" s="1" t="s">
        <v>10</v>
      </c>
      <c r="E182" s="1" t="s">
        <v>11</v>
      </c>
      <c r="F182" s="1" t="s">
        <v>10</v>
      </c>
      <c r="G182" s="1" t="s">
        <v>11</v>
      </c>
      <c r="H182" s="1" t="s">
        <v>10</v>
      </c>
      <c r="I182" s="1" t="s">
        <v>11</v>
      </c>
      <c r="J182" s="1" t="s">
        <v>10</v>
      </c>
      <c r="K182" s="1" t="s">
        <v>11</v>
      </c>
      <c r="L182" s="1" t="s">
        <v>10</v>
      </c>
      <c r="M182" s="1" t="s">
        <v>11</v>
      </c>
      <c r="N182" s="1" t="s">
        <v>10</v>
      </c>
      <c r="O182" s="1" t="s">
        <v>11</v>
      </c>
      <c r="P182" s="1" t="s">
        <v>10</v>
      </c>
      <c r="Q182" s="1" t="s">
        <v>11</v>
      </c>
      <c r="R182" s="1" t="s">
        <v>10</v>
      </c>
      <c r="S182" s="1" t="s">
        <v>11</v>
      </c>
      <c r="T182" s="1" t="s">
        <v>10</v>
      </c>
      <c r="U182" s="1" t="s">
        <v>11</v>
      </c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 t="s">
        <v>53</v>
      </c>
      <c r="B184" s="1"/>
      <c r="C184" s="1">
        <v>0.0</v>
      </c>
      <c r="D184" s="1"/>
      <c r="E184" s="1"/>
      <c r="F184" s="1"/>
      <c r="G184" s="1"/>
      <c r="H184" s="1"/>
      <c r="I184" s="1">
        <v>0.0</v>
      </c>
      <c r="J184" s="1">
        <v>10.0</v>
      </c>
      <c r="K184" s="1">
        <v>14.0</v>
      </c>
      <c r="L184" s="1">
        <v>10.0</v>
      </c>
      <c r="M184" s="1">
        <v>14.0</v>
      </c>
      <c r="N184" s="1"/>
      <c r="O184" s="1">
        <v>0.0</v>
      </c>
      <c r="P184" s="1"/>
      <c r="Q184" s="1">
        <v>0.0</v>
      </c>
      <c r="R184" s="1"/>
      <c r="S184" s="1">
        <v>0.0</v>
      </c>
      <c r="T184" s="1">
        <v>0.0</v>
      </c>
      <c r="U184" s="1">
        <v>4.0</v>
      </c>
    </row>
    <row r="185">
      <c r="A185" s="1" t="s">
        <v>54</v>
      </c>
      <c r="B185" s="1"/>
      <c r="C185" s="1">
        <v>0.0</v>
      </c>
      <c r="D185" s="1"/>
      <c r="E185" s="1"/>
      <c r="F185" s="1"/>
      <c r="G185" s="1"/>
      <c r="H185" s="1"/>
      <c r="I185" s="1">
        <v>0.0</v>
      </c>
      <c r="J185" s="1"/>
      <c r="K185" s="1">
        <v>14.0</v>
      </c>
      <c r="L185" s="1">
        <v>10.0</v>
      </c>
      <c r="M185" s="1">
        <v>28.0</v>
      </c>
      <c r="N185" s="1"/>
      <c r="O185" s="1">
        <v>0.0</v>
      </c>
      <c r="P185" s="1"/>
      <c r="Q185" s="1">
        <v>0.0</v>
      </c>
      <c r="R185" s="1"/>
      <c r="S185" s="1">
        <v>0.0</v>
      </c>
      <c r="T185" s="1"/>
      <c r="U185" s="1">
        <v>4.0</v>
      </c>
    </row>
    <row r="186">
      <c r="A186" s="1" t="s">
        <v>55</v>
      </c>
      <c r="B186" s="1"/>
      <c r="C186" s="1">
        <v>0.0</v>
      </c>
      <c r="D186" s="1"/>
      <c r="E186" s="1"/>
      <c r="F186" s="1"/>
      <c r="G186" s="1"/>
      <c r="H186" s="1"/>
      <c r="I186" s="1">
        <v>0.0</v>
      </c>
      <c r="J186" s="1"/>
      <c r="K186" s="1">
        <v>14.0</v>
      </c>
      <c r="L186" s="1"/>
      <c r="M186" s="1">
        <v>28.0</v>
      </c>
      <c r="N186" s="1"/>
      <c r="O186" s="1">
        <v>0.0</v>
      </c>
      <c r="P186" s="1"/>
      <c r="Q186" s="1">
        <v>0.0</v>
      </c>
      <c r="R186" s="1"/>
      <c r="S186" s="1">
        <v>0.0</v>
      </c>
      <c r="T186" s="1"/>
      <c r="U186" s="1">
        <v>4.0</v>
      </c>
    </row>
    <row r="187">
      <c r="A187" s="1" t="s">
        <v>56</v>
      </c>
      <c r="B187" s="1"/>
      <c r="C187" s="1">
        <v>0.0</v>
      </c>
      <c r="D187" s="1"/>
      <c r="E187" s="1"/>
      <c r="F187" s="1"/>
      <c r="G187" s="1"/>
      <c r="H187" s="1"/>
      <c r="I187" s="1">
        <v>0.0</v>
      </c>
      <c r="J187" s="1"/>
      <c r="K187" s="1">
        <v>14.0</v>
      </c>
      <c r="L187" s="1"/>
      <c r="M187" s="1">
        <v>32.0</v>
      </c>
      <c r="N187" s="1"/>
      <c r="O187" s="1">
        <v>0.0</v>
      </c>
      <c r="P187" s="1"/>
      <c r="Q187" s="1">
        <v>0.0</v>
      </c>
      <c r="R187" s="1"/>
      <c r="S187" s="1">
        <v>0.0</v>
      </c>
      <c r="T187" s="1">
        <v>0.0</v>
      </c>
      <c r="U187" s="1">
        <v>8.0</v>
      </c>
    </row>
    <row r="188">
      <c r="A188" s="1" t="s">
        <v>57</v>
      </c>
      <c r="B188" s="1"/>
      <c r="C188" s="1">
        <v>0.0</v>
      </c>
      <c r="D188" s="1"/>
      <c r="E188" s="1"/>
      <c r="F188" s="1"/>
      <c r="G188" s="1"/>
      <c r="H188" s="1"/>
      <c r="I188" s="1">
        <v>0.0</v>
      </c>
      <c r="J188" s="1"/>
      <c r="K188" s="1">
        <v>14.0</v>
      </c>
      <c r="L188" s="1"/>
      <c r="M188" s="1">
        <v>32.0</v>
      </c>
      <c r="N188" s="1"/>
      <c r="O188" s="1">
        <v>0.0</v>
      </c>
      <c r="P188" s="1"/>
      <c r="Q188" s="1">
        <v>0.0</v>
      </c>
      <c r="R188" s="1"/>
      <c r="S188" s="1">
        <v>0.0</v>
      </c>
      <c r="T188" s="1"/>
      <c r="U188" s="1">
        <v>8.0</v>
      </c>
    </row>
    <row r="189">
      <c r="A189" s="1" t="s">
        <v>58</v>
      </c>
      <c r="B189" s="1"/>
      <c r="C189" s="1">
        <v>0.0</v>
      </c>
      <c r="D189" s="1"/>
      <c r="E189" s="1"/>
      <c r="F189" s="1"/>
      <c r="G189" s="1"/>
      <c r="H189" s="1"/>
      <c r="I189" s="1">
        <v>0.0</v>
      </c>
      <c r="J189" s="1">
        <v>10.0</v>
      </c>
      <c r="K189" s="1">
        <v>28.0</v>
      </c>
      <c r="L189" s="1"/>
      <c r="M189" s="1">
        <v>32.0</v>
      </c>
      <c r="N189" s="1"/>
      <c r="O189" s="1">
        <v>0.0</v>
      </c>
      <c r="P189" s="1"/>
      <c r="Q189" s="1">
        <v>0.0</v>
      </c>
      <c r="R189" s="1"/>
      <c r="S189" s="1">
        <v>0.0</v>
      </c>
      <c r="T189" s="1"/>
      <c r="U189" s="1">
        <v>8.0</v>
      </c>
    </row>
    <row r="190">
      <c r="A190" s="1" t="s">
        <v>53</v>
      </c>
      <c r="B190" s="1"/>
      <c r="C190" s="1">
        <v>0.0</v>
      </c>
      <c r="D190" s="1"/>
      <c r="E190" s="1"/>
      <c r="F190" s="1"/>
      <c r="G190" s="1"/>
      <c r="H190" s="1"/>
      <c r="I190" s="1">
        <v>0.0</v>
      </c>
      <c r="J190" s="1"/>
      <c r="K190" s="1">
        <v>28.0</v>
      </c>
      <c r="L190" s="1"/>
      <c r="M190" s="1">
        <v>32.0</v>
      </c>
      <c r="N190" s="1"/>
      <c r="O190" s="1">
        <v>0.0</v>
      </c>
      <c r="P190" s="1">
        <v>10.0</v>
      </c>
      <c r="Q190" s="1">
        <v>14.0</v>
      </c>
      <c r="R190" s="1"/>
      <c r="S190" s="1">
        <v>0.0</v>
      </c>
      <c r="T190" s="1">
        <v>0.0</v>
      </c>
      <c r="U190" s="1">
        <v>12.0</v>
      </c>
    </row>
    <row r="191">
      <c r="A191" s="1" t="s">
        <v>54</v>
      </c>
      <c r="B191" s="1"/>
      <c r="C191" s="1">
        <v>0.0</v>
      </c>
      <c r="D191" s="1"/>
      <c r="E191" s="1"/>
      <c r="F191" s="1"/>
      <c r="G191" s="1"/>
      <c r="H191" s="1"/>
      <c r="I191" s="1">
        <v>0.0</v>
      </c>
      <c r="J191" s="1"/>
      <c r="K191" s="1">
        <v>28.0</v>
      </c>
      <c r="L191" s="1">
        <v>10.0</v>
      </c>
      <c r="M191" s="1">
        <v>46.0</v>
      </c>
      <c r="N191" s="1"/>
      <c r="O191" s="1">
        <v>0.0</v>
      </c>
      <c r="P191" s="1"/>
      <c r="Q191" s="1">
        <v>14.0</v>
      </c>
      <c r="R191" s="1"/>
      <c r="S191" s="1">
        <v>0.0</v>
      </c>
      <c r="T191" s="1">
        <v>10.0</v>
      </c>
      <c r="U191" s="1">
        <v>26.0</v>
      </c>
    </row>
    <row r="192">
      <c r="A192" s="1" t="s">
        <v>55</v>
      </c>
      <c r="B192" s="1"/>
      <c r="C192" s="1">
        <v>0.0</v>
      </c>
      <c r="D192" s="1"/>
      <c r="E192" s="1"/>
      <c r="F192" s="1"/>
      <c r="G192" s="1"/>
      <c r="H192" s="1"/>
      <c r="I192" s="1">
        <v>0.0</v>
      </c>
      <c r="J192" s="1"/>
      <c r="K192" s="1">
        <v>28.0</v>
      </c>
      <c r="L192" s="1"/>
      <c r="M192" s="1">
        <v>46.0</v>
      </c>
      <c r="N192" s="1"/>
      <c r="O192" s="1">
        <v>0.0</v>
      </c>
      <c r="P192" s="1">
        <v>0.0</v>
      </c>
      <c r="Q192" s="1">
        <v>18.0</v>
      </c>
      <c r="R192" s="1"/>
      <c r="S192" s="1">
        <v>0.0</v>
      </c>
      <c r="T192" s="1"/>
      <c r="U192" s="1">
        <v>26.0</v>
      </c>
    </row>
    <row r="193">
      <c r="A193" s="1" t="s">
        <v>56</v>
      </c>
      <c r="B193" s="1"/>
      <c r="C193" s="1">
        <v>0.0</v>
      </c>
      <c r="D193" s="1"/>
      <c r="E193" s="1"/>
      <c r="F193" s="1"/>
      <c r="G193" s="1"/>
      <c r="H193" s="1"/>
      <c r="I193" s="1">
        <v>0.0</v>
      </c>
      <c r="J193" s="1"/>
      <c r="K193" s="1">
        <v>28.0</v>
      </c>
      <c r="L193" s="1"/>
      <c r="M193" s="1">
        <v>46.0</v>
      </c>
      <c r="N193" s="1"/>
      <c r="O193" s="1">
        <v>0.0</v>
      </c>
      <c r="P193" s="1"/>
      <c r="Q193" s="1">
        <v>18.0</v>
      </c>
      <c r="R193" s="1"/>
      <c r="S193" s="1">
        <v>0.0</v>
      </c>
      <c r="T193" s="1">
        <v>10.0</v>
      </c>
      <c r="U193" s="1">
        <v>40.0</v>
      </c>
    </row>
    <row r="194">
      <c r="A194" s="1" t="s">
        <v>57</v>
      </c>
      <c r="B194" s="1"/>
      <c r="C194" s="1">
        <v>0.0</v>
      </c>
      <c r="D194" s="1"/>
      <c r="E194" s="1"/>
      <c r="F194" s="1"/>
      <c r="G194" s="1"/>
      <c r="H194" s="1"/>
      <c r="I194" s="1">
        <v>0.0</v>
      </c>
      <c r="J194" s="1"/>
      <c r="K194" s="1">
        <v>28.0</v>
      </c>
      <c r="L194" s="1"/>
      <c r="M194" s="1">
        <v>46.0</v>
      </c>
      <c r="N194" s="1"/>
      <c r="O194" s="1">
        <v>0.0</v>
      </c>
      <c r="P194" s="1"/>
      <c r="Q194" s="1">
        <v>18.0</v>
      </c>
      <c r="R194" s="1"/>
      <c r="S194" s="1">
        <v>0.0</v>
      </c>
      <c r="T194" s="1">
        <v>0.0</v>
      </c>
      <c r="U194" s="1">
        <v>44.0</v>
      </c>
    </row>
    <row r="195">
      <c r="A195" s="1" t="s">
        <v>58</v>
      </c>
      <c r="B195" s="1"/>
      <c r="C195" s="1">
        <v>4.0</v>
      </c>
      <c r="D195" s="1"/>
      <c r="E195" s="1"/>
      <c r="F195" s="1"/>
      <c r="G195" s="1"/>
      <c r="H195" s="1"/>
      <c r="I195" s="1">
        <v>0.0</v>
      </c>
      <c r="J195" s="1"/>
      <c r="K195" s="1">
        <v>28.0</v>
      </c>
      <c r="L195" s="1">
        <v>10.0</v>
      </c>
      <c r="M195" s="1">
        <v>60.0</v>
      </c>
      <c r="N195" s="1"/>
      <c r="O195" s="1">
        <v>0.0</v>
      </c>
      <c r="P195" s="1"/>
      <c r="Q195" s="1">
        <v>18.0</v>
      </c>
      <c r="R195" s="1"/>
      <c r="S195" s="1">
        <v>0.0</v>
      </c>
      <c r="T195" s="1"/>
      <c r="U195" s="1">
        <v>44.0</v>
      </c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 t="s">
        <v>53</v>
      </c>
      <c r="B197" s="1">
        <v>0.0</v>
      </c>
      <c r="C197" s="1">
        <v>8.0</v>
      </c>
      <c r="D197" s="1"/>
      <c r="E197" s="1"/>
      <c r="F197" s="1"/>
      <c r="G197" s="1"/>
      <c r="H197" s="1">
        <v>0.0</v>
      </c>
      <c r="I197" s="1">
        <v>4.0</v>
      </c>
      <c r="J197" s="1"/>
      <c r="K197" s="1">
        <v>28.0</v>
      </c>
      <c r="L197" s="1">
        <v>0.0</v>
      </c>
      <c r="M197" s="1">
        <v>64.0</v>
      </c>
      <c r="N197" s="1"/>
      <c r="O197" s="1">
        <v>0.0</v>
      </c>
      <c r="P197" s="1"/>
      <c r="Q197" s="1">
        <v>18.0</v>
      </c>
      <c r="R197" s="1"/>
      <c r="S197" s="1">
        <v>0.0</v>
      </c>
      <c r="T197" s="1">
        <v>0.0</v>
      </c>
      <c r="U197" s="1">
        <v>48.0</v>
      </c>
    </row>
    <row r="198">
      <c r="A198" s="1" t="s">
        <v>54</v>
      </c>
      <c r="B198" s="1"/>
      <c r="C198" s="1">
        <v>8.0</v>
      </c>
      <c r="D198" s="1"/>
      <c r="E198" s="1"/>
      <c r="F198" s="1"/>
      <c r="G198" s="1"/>
      <c r="H198" s="1"/>
      <c r="I198" s="1">
        <v>4.0</v>
      </c>
      <c r="J198" s="1"/>
      <c r="K198" s="1">
        <v>28.0</v>
      </c>
      <c r="L198" s="1"/>
      <c r="M198" s="1">
        <v>64.0</v>
      </c>
      <c r="N198" s="1"/>
      <c r="O198" s="1">
        <v>0.0</v>
      </c>
      <c r="P198" s="1"/>
      <c r="Q198" s="1">
        <v>18.0</v>
      </c>
      <c r="R198" s="1"/>
      <c r="S198" s="1">
        <v>0.0</v>
      </c>
      <c r="T198" s="1">
        <v>10.0</v>
      </c>
      <c r="U198" s="1">
        <v>62.0</v>
      </c>
    </row>
    <row r="199">
      <c r="A199" s="1" t="s">
        <v>55</v>
      </c>
      <c r="B199" s="1"/>
      <c r="C199" s="1">
        <v>8.0</v>
      </c>
      <c r="D199" s="1"/>
      <c r="E199" s="1"/>
      <c r="F199" s="1"/>
      <c r="G199" s="1"/>
      <c r="H199" s="1">
        <v>0.0</v>
      </c>
      <c r="I199" s="1">
        <v>8.0</v>
      </c>
      <c r="J199" s="1">
        <v>0.0</v>
      </c>
      <c r="K199" s="1">
        <v>32.0</v>
      </c>
      <c r="L199" s="1"/>
      <c r="M199" s="1">
        <v>64.0</v>
      </c>
      <c r="N199" s="1"/>
      <c r="O199" s="1">
        <v>0.0</v>
      </c>
      <c r="P199" s="1"/>
      <c r="Q199" s="1">
        <v>18.0</v>
      </c>
      <c r="R199" s="1"/>
      <c r="S199" s="1">
        <v>0.0</v>
      </c>
      <c r="T199" s="1"/>
      <c r="U199" s="1">
        <v>62.0</v>
      </c>
    </row>
    <row r="200">
      <c r="A200" s="1" t="s">
        <v>56</v>
      </c>
      <c r="B200" s="1"/>
      <c r="C200" s="1">
        <v>8.0</v>
      </c>
      <c r="D200" s="1"/>
      <c r="E200" s="1"/>
      <c r="F200" s="1"/>
      <c r="G200" s="1"/>
      <c r="H200" s="1"/>
      <c r="I200" s="1">
        <v>8.0</v>
      </c>
      <c r="J200" s="1"/>
      <c r="K200" s="1">
        <v>32.0</v>
      </c>
      <c r="L200" s="1"/>
      <c r="M200" s="1">
        <v>64.0</v>
      </c>
      <c r="N200" s="1"/>
      <c r="O200" s="1">
        <v>0.0</v>
      </c>
      <c r="P200" s="1">
        <v>0.0</v>
      </c>
      <c r="Q200" s="1">
        <v>22.0</v>
      </c>
      <c r="R200" s="1">
        <v>10.0</v>
      </c>
      <c r="S200" s="1">
        <v>14.0</v>
      </c>
      <c r="T200" s="1">
        <v>10.0</v>
      </c>
      <c r="U200" s="1">
        <v>76.0</v>
      </c>
    </row>
    <row r="201">
      <c r="A201" s="1" t="s">
        <v>57</v>
      </c>
      <c r="B201" s="1"/>
      <c r="C201" s="1">
        <v>8.0</v>
      </c>
      <c r="D201" s="1"/>
      <c r="E201" s="1"/>
      <c r="F201" s="1"/>
      <c r="G201" s="1"/>
      <c r="H201" s="1"/>
      <c r="I201" s="1">
        <v>8.0</v>
      </c>
      <c r="J201" s="1">
        <v>0.0</v>
      </c>
      <c r="K201" s="1">
        <v>36.0</v>
      </c>
      <c r="L201" s="1"/>
      <c r="M201" s="1">
        <v>64.0</v>
      </c>
      <c r="N201" s="1"/>
      <c r="O201" s="1">
        <v>0.0</v>
      </c>
      <c r="P201" s="1"/>
      <c r="Q201" s="1">
        <v>22.0</v>
      </c>
      <c r="R201" s="1"/>
      <c r="S201" s="1">
        <v>14.0</v>
      </c>
      <c r="T201" s="1"/>
      <c r="U201" s="1">
        <v>76.0</v>
      </c>
    </row>
    <row r="202">
      <c r="A202" s="1" t="s">
        <v>58</v>
      </c>
      <c r="B202" s="1"/>
      <c r="C202" s="1">
        <v>8.0</v>
      </c>
      <c r="D202" s="1"/>
      <c r="E202" s="1"/>
      <c r="F202" s="1"/>
      <c r="G202" s="1"/>
      <c r="H202" s="1"/>
      <c r="I202" s="1">
        <v>8.0</v>
      </c>
      <c r="J202" s="1"/>
      <c r="K202" s="1">
        <v>36.0</v>
      </c>
      <c r="L202" s="1">
        <v>0.0</v>
      </c>
      <c r="M202" s="1">
        <v>68.0</v>
      </c>
      <c r="N202" s="1"/>
      <c r="O202" s="1">
        <v>0.0</v>
      </c>
      <c r="P202" s="1"/>
      <c r="Q202" s="1">
        <v>22.0</v>
      </c>
      <c r="R202" s="1"/>
      <c r="S202" s="1">
        <v>14.0</v>
      </c>
      <c r="T202" s="1">
        <v>0.0</v>
      </c>
      <c r="U202" s="1">
        <v>80.0</v>
      </c>
    </row>
    <row r="203">
      <c r="A203" s="1" t="s">
        <v>53</v>
      </c>
      <c r="B203" s="1"/>
      <c r="C203" s="1">
        <v>8.0</v>
      </c>
      <c r="D203" s="1"/>
      <c r="E203" s="1"/>
      <c r="F203" s="1"/>
      <c r="G203" s="1"/>
      <c r="H203" s="1"/>
      <c r="I203" s="1">
        <v>8.0</v>
      </c>
      <c r="J203" s="1">
        <v>0.0</v>
      </c>
      <c r="K203" s="1">
        <v>40.0</v>
      </c>
      <c r="L203" s="1"/>
      <c r="M203" s="1">
        <v>68.0</v>
      </c>
      <c r="N203" s="1"/>
      <c r="O203" s="1">
        <v>0.0</v>
      </c>
      <c r="P203" s="1">
        <v>10.0</v>
      </c>
      <c r="Q203" s="1">
        <v>36.0</v>
      </c>
      <c r="R203" s="1"/>
      <c r="S203" s="1">
        <v>14.0</v>
      </c>
      <c r="T203" s="1"/>
      <c r="U203" s="1">
        <v>80.0</v>
      </c>
    </row>
    <row r="204">
      <c r="A204" s="1" t="s">
        <v>54</v>
      </c>
      <c r="B204" s="1"/>
      <c r="C204" s="1">
        <v>8.0</v>
      </c>
      <c r="D204" s="1"/>
      <c r="E204" s="1"/>
      <c r="F204" s="1"/>
      <c r="G204" s="1"/>
      <c r="H204" s="1"/>
      <c r="I204" s="1">
        <v>8.0</v>
      </c>
      <c r="J204" s="1"/>
      <c r="K204" s="1">
        <v>40.0</v>
      </c>
      <c r="L204" s="1"/>
      <c r="M204" s="1">
        <v>68.0</v>
      </c>
      <c r="N204" s="1"/>
      <c r="O204" s="1">
        <v>0.0</v>
      </c>
      <c r="P204" s="1">
        <v>0.0</v>
      </c>
      <c r="Q204" s="1">
        <v>40.0</v>
      </c>
      <c r="R204" s="1"/>
      <c r="S204" s="1">
        <v>14.0</v>
      </c>
      <c r="T204" s="1">
        <v>0.0</v>
      </c>
      <c r="U204" s="1">
        <v>84.0</v>
      </c>
    </row>
    <row r="205">
      <c r="A205" s="1" t="s">
        <v>55</v>
      </c>
      <c r="B205" s="1"/>
      <c r="C205" s="1">
        <v>8.0</v>
      </c>
      <c r="D205" s="1"/>
      <c r="E205" s="1"/>
      <c r="F205" s="1"/>
      <c r="G205" s="1"/>
      <c r="H205" s="1"/>
      <c r="I205" s="1">
        <v>8.0</v>
      </c>
      <c r="J205" s="1"/>
      <c r="K205" s="1">
        <v>40.0</v>
      </c>
      <c r="L205" s="1">
        <v>10.0</v>
      </c>
      <c r="M205" s="1">
        <v>82.0</v>
      </c>
      <c r="N205" s="1"/>
      <c r="O205" s="1">
        <v>0.0</v>
      </c>
      <c r="P205" s="1"/>
      <c r="Q205" s="1">
        <v>40.0</v>
      </c>
      <c r="R205" s="1">
        <v>0.0</v>
      </c>
      <c r="S205" s="1">
        <v>18.0</v>
      </c>
      <c r="T205" s="1">
        <v>0.0</v>
      </c>
      <c r="U205" s="1">
        <v>88.0</v>
      </c>
    </row>
    <row r="206">
      <c r="A206" s="1" t="s">
        <v>56</v>
      </c>
      <c r="B206" s="1"/>
      <c r="C206" s="1">
        <v>8.0</v>
      </c>
      <c r="D206" s="1"/>
      <c r="E206" s="1"/>
      <c r="F206" s="1"/>
      <c r="G206" s="1"/>
      <c r="H206" s="1">
        <v>0.0</v>
      </c>
      <c r="I206" s="1">
        <v>12.0</v>
      </c>
      <c r="J206" s="1">
        <v>0.0</v>
      </c>
      <c r="K206" s="1">
        <v>44.0</v>
      </c>
      <c r="L206" s="1">
        <v>0.0</v>
      </c>
      <c r="M206" s="1">
        <v>86.0</v>
      </c>
      <c r="N206" s="1">
        <v>0.0</v>
      </c>
      <c r="O206" s="1">
        <v>4.0</v>
      </c>
      <c r="P206" s="1"/>
      <c r="Q206" s="1">
        <v>40.0</v>
      </c>
      <c r="R206" s="1"/>
      <c r="S206" s="1">
        <v>18.0</v>
      </c>
      <c r="T206" s="1"/>
      <c r="U206" s="1">
        <v>88.0</v>
      </c>
    </row>
    <row r="207">
      <c r="A207" s="1" t="s">
        <v>57</v>
      </c>
      <c r="B207" s="1"/>
      <c r="C207" s="1">
        <v>8.0</v>
      </c>
      <c r="D207" s="1"/>
      <c r="E207" s="1"/>
      <c r="F207" s="1"/>
      <c r="G207" s="1"/>
      <c r="H207" s="1"/>
      <c r="I207" s="1">
        <v>12.0</v>
      </c>
      <c r="J207" s="1">
        <v>0.0</v>
      </c>
      <c r="K207" s="1">
        <v>48.0</v>
      </c>
      <c r="L207" s="1"/>
      <c r="M207" s="1">
        <v>86.0</v>
      </c>
      <c r="N207" s="1"/>
      <c r="O207" s="1">
        <v>4.0</v>
      </c>
      <c r="P207" s="1"/>
      <c r="Q207" s="1">
        <v>40.0</v>
      </c>
      <c r="R207" s="1"/>
      <c r="S207" s="1">
        <v>18.0</v>
      </c>
      <c r="T207" s="1">
        <v>10.0</v>
      </c>
      <c r="U207" s="1">
        <v>102.0</v>
      </c>
    </row>
    <row r="208">
      <c r="A208" s="1" t="s">
        <v>58</v>
      </c>
      <c r="B208" s="1"/>
      <c r="C208" s="1">
        <v>8.0</v>
      </c>
      <c r="D208" s="1"/>
      <c r="E208" s="1"/>
      <c r="F208" s="1"/>
      <c r="G208" s="1"/>
      <c r="H208" s="1"/>
      <c r="I208" s="1">
        <v>12.0</v>
      </c>
      <c r="J208" s="1">
        <v>0.0</v>
      </c>
      <c r="K208" s="1">
        <v>52.0</v>
      </c>
      <c r="L208" s="1"/>
      <c r="M208" s="1">
        <v>86.0</v>
      </c>
      <c r="N208" s="1">
        <v>0.0</v>
      </c>
      <c r="O208" s="1">
        <v>8.0</v>
      </c>
      <c r="P208" s="1"/>
      <c r="Q208" s="1">
        <v>40.0</v>
      </c>
      <c r="R208" s="1">
        <v>0.0</v>
      </c>
      <c r="S208" s="1">
        <v>22.0</v>
      </c>
      <c r="T208" s="1"/>
      <c r="U208" s="1">
        <v>102.0</v>
      </c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B211" s="1" t="str">
        <f t="array" ref="B211:U240">transpose(sort(transpose(Full!A211:T240),1,true))</f>
        <v>Bethlehem</v>
      </c>
      <c r="C211" s="1" t="s">
        <v>1</v>
      </c>
      <c r="D211" s="1" t="s">
        <v>8</v>
      </c>
      <c r="E211" s="1" t="s">
        <v>8</v>
      </c>
      <c r="F211" s="1" t="s">
        <v>4</v>
      </c>
      <c r="G211" s="1" t="s">
        <v>4</v>
      </c>
      <c r="H211" s="1" t="s">
        <v>9</v>
      </c>
      <c r="I211" s="1" t="s">
        <v>9</v>
      </c>
      <c r="J211" s="1" t="s">
        <v>3</v>
      </c>
      <c r="K211" s="1" t="s">
        <v>3</v>
      </c>
      <c r="L211" s="1" t="s">
        <v>6</v>
      </c>
      <c r="M211" s="1" t="s">
        <v>6</v>
      </c>
      <c r="N211" s="1" t="s">
        <v>2</v>
      </c>
      <c r="O211" s="1" t="s">
        <v>2</v>
      </c>
      <c r="P211" s="1" t="s">
        <v>0</v>
      </c>
      <c r="Q211" s="1" t="s">
        <v>0</v>
      </c>
      <c r="R211" s="1" t="s">
        <v>7</v>
      </c>
      <c r="S211" s="1" t="s">
        <v>7</v>
      </c>
      <c r="T211" s="1" t="s">
        <v>5</v>
      </c>
      <c r="U211" s="1" t="s">
        <v>5</v>
      </c>
    </row>
    <row r="212">
      <c r="B212" s="1" t="s">
        <v>10</v>
      </c>
      <c r="C212" s="1" t="s">
        <v>11</v>
      </c>
      <c r="D212" s="1" t="s">
        <v>10</v>
      </c>
      <c r="E212" s="1" t="s">
        <v>11</v>
      </c>
      <c r="F212" s="1" t="s">
        <v>10</v>
      </c>
      <c r="G212" s="1" t="s">
        <v>11</v>
      </c>
      <c r="H212" s="1" t="s">
        <v>10</v>
      </c>
      <c r="I212" s="1" t="s">
        <v>11</v>
      </c>
      <c r="J212" s="1" t="s">
        <v>10</v>
      </c>
      <c r="K212" s="1" t="s">
        <v>11</v>
      </c>
      <c r="L212" s="1" t="s">
        <v>10</v>
      </c>
      <c r="M212" s="1" t="s">
        <v>11</v>
      </c>
      <c r="N212" s="1" t="s">
        <v>10</v>
      </c>
      <c r="O212" s="1" t="s">
        <v>11</v>
      </c>
      <c r="P212" s="1" t="s">
        <v>10</v>
      </c>
      <c r="Q212" s="1" t="s">
        <v>11</v>
      </c>
      <c r="R212" s="1" t="s">
        <v>10</v>
      </c>
      <c r="S212" s="1" t="s">
        <v>11</v>
      </c>
      <c r="T212" s="1" t="s">
        <v>10</v>
      </c>
      <c r="U212" s="1" t="s">
        <v>11</v>
      </c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 t="s">
        <v>53</v>
      </c>
      <c r="B214" s="1"/>
      <c r="C214" s="1"/>
      <c r="D214" s="1"/>
      <c r="E214" s="1"/>
      <c r="F214" s="1"/>
      <c r="G214" s="1"/>
      <c r="H214" s="1"/>
      <c r="I214" s="1"/>
      <c r="J214" s="1"/>
      <c r="K214" s="1">
        <v>0.0</v>
      </c>
      <c r="L214" s="1"/>
      <c r="M214" s="1"/>
      <c r="N214" s="1"/>
      <c r="O214" s="1">
        <v>0.0</v>
      </c>
      <c r="P214" s="1"/>
      <c r="Q214" s="1">
        <v>0.0</v>
      </c>
      <c r="R214" s="1"/>
      <c r="S214" s="1">
        <v>0.0</v>
      </c>
      <c r="T214" s="1"/>
      <c r="U214" s="1"/>
    </row>
    <row r="215">
      <c r="A215" s="1" t="s">
        <v>54</v>
      </c>
      <c r="B215" s="1"/>
      <c r="C215" s="1"/>
      <c r="D215" s="1"/>
      <c r="E215" s="1"/>
      <c r="F215" s="1"/>
      <c r="G215" s="1"/>
      <c r="H215" s="1"/>
      <c r="I215" s="1"/>
      <c r="J215" s="1">
        <v>10.0</v>
      </c>
      <c r="K215" s="1">
        <v>14.0</v>
      </c>
      <c r="L215" s="1"/>
      <c r="M215" s="1"/>
      <c r="N215" s="1"/>
      <c r="O215" s="1">
        <v>0.0</v>
      </c>
      <c r="P215" s="1">
        <v>0.0</v>
      </c>
      <c r="Q215" s="1">
        <v>8.0</v>
      </c>
      <c r="R215" s="1"/>
      <c r="S215" s="1">
        <v>0.0</v>
      </c>
      <c r="T215" s="1"/>
      <c r="U215" s="1"/>
    </row>
    <row r="216">
      <c r="A216" s="1" t="s">
        <v>55</v>
      </c>
      <c r="B216" s="1"/>
      <c r="C216" s="1"/>
      <c r="D216" s="1"/>
      <c r="E216" s="1"/>
      <c r="F216" s="1"/>
      <c r="G216" s="1"/>
      <c r="H216" s="1"/>
      <c r="I216" s="1"/>
      <c r="J216" s="1"/>
      <c r="K216" s="1">
        <v>14.0</v>
      </c>
      <c r="L216" s="1"/>
      <c r="M216" s="1"/>
      <c r="N216" s="1"/>
      <c r="O216" s="1">
        <v>0.0</v>
      </c>
      <c r="P216" s="1">
        <v>10.0</v>
      </c>
      <c r="Q216" s="1">
        <v>22.0</v>
      </c>
      <c r="R216" s="1"/>
      <c r="S216" s="1">
        <v>0.0</v>
      </c>
      <c r="T216" s="1"/>
      <c r="U216" s="1"/>
    </row>
    <row r="217">
      <c r="A217" s="1" t="s">
        <v>56</v>
      </c>
      <c r="B217" s="1"/>
      <c r="C217" s="1"/>
      <c r="D217" s="1"/>
      <c r="E217" s="1"/>
      <c r="F217" s="1"/>
      <c r="G217" s="1"/>
      <c r="H217" s="1"/>
      <c r="I217" s="1"/>
      <c r="J217" s="1"/>
      <c r="K217" s="1">
        <v>14.0</v>
      </c>
      <c r="L217" s="1"/>
      <c r="M217" s="1"/>
      <c r="N217" s="1"/>
      <c r="O217" s="1">
        <v>0.0</v>
      </c>
      <c r="P217" s="1"/>
      <c r="Q217" s="1">
        <v>22.0</v>
      </c>
      <c r="R217" s="1">
        <v>0.0</v>
      </c>
      <c r="S217" s="1">
        <v>4.0</v>
      </c>
      <c r="T217" s="1"/>
      <c r="U217" s="1"/>
    </row>
    <row r="218">
      <c r="A218" s="1" t="s">
        <v>57</v>
      </c>
      <c r="B218" s="1"/>
      <c r="C218" s="1"/>
      <c r="D218" s="1"/>
      <c r="E218" s="1"/>
      <c r="F218" s="1"/>
      <c r="G218" s="1"/>
      <c r="H218" s="1"/>
      <c r="I218" s="1"/>
      <c r="J218" s="1">
        <v>0.0</v>
      </c>
      <c r="K218" s="1">
        <v>18.0</v>
      </c>
      <c r="L218" s="1"/>
      <c r="M218" s="1"/>
      <c r="N218" s="1"/>
      <c r="O218" s="1">
        <v>0.0</v>
      </c>
      <c r="P218" s="1"/>
      <c r="Q218" s="1">
        <v>22.0</v>
      </c>
      <c r="R218" s="1"/>
      <c r="S218" s="1">
        <v>4.0</v>
      </c>
      <c r="T218" s="1"/>
      <c r="U218" s="1"/>
    </row>
    <row r="219">
      <c r="A219" s="1" t="s">
        <v>58</v>
      </c>
      <c r="B219" s="1"/>
      <c r="C219" s="1"/>
      <c r="D219" s="1"/>
      <c r="E219" s="1"/>
      <c r="F219" s="1"/>
      <c r="G219" s="1"/>
      <c r="H219" s="1"/>
      <c r="I219" s="1"/>
      <c r="J219" s="1"/>
      <c r="K219" s="1">
        <v>18.0</v>
      </c>
      <c r="L219" s="1"/>
      <c r="M219" s="1"/>
      <c r="N219" s="1"/>
      <c r="O219" s="1">
        <v>4.0</v>
      </c>
      <c r="P219" s="1"/>
      <c r="Q219" s="1">
        <v>22.0</v>
      </c>
      <c r="R219" s="1"/>
      <c r="S219" s="1">
        <v>4.0</v>
      </c>
      <c r="T219" s="1"/>
      <c r="U219" s="1"/>
    </row>
    <row r="220">
      <c r="A220" s="1" t="s">
        <v>53</v>
      </c>
      <c r="B220" s="1"/>
      <c r="C220" s="1"/>
      <c r="D220" s="1"/>
      <c r="E220" s="1"/>
      <c r="F220" s="1"/>
      <c r="G220" s="1"/>
      <c r="H220" s="1"/>
      <c r="I220" s="1"/>
      <c r="J220" s="1"/>
      <c r="K220" s="1">
        <v>18.0</v>
      </c>
      <c r="L220" s="1"/>
      <c r="M220" s="1"/>
      <c r="N220" s="1">
        <v>10.0</v>
      </c>
      <c r="O220" s="1">
        <v>18.0</v>
      </c>
      <c r="P220" s="1"/>
      <c r="Q220" s="1">
        <v>22.0</v>
      </c>
      <c r="R220" s="1"/>
      <c r="S220" s="1">
        <v>4.0</v>
      </c>
      <c r="T220" s="1"/>
      <c r="U220" s="1"/>
    </row>
    <row r="221">
      <c r="A221" s="1" t="s">
        <v>54</v>
      </c>
      <c r="B221" s="1"/>
      <c r="C221" s="1"/>
      <c r="D221" s="1"/>
      <c r="E221" s="1"/>
      <c r="F221" s="1"/>
      <c r="G221" s="1"/>
      <c r="H221" s="1"/>
      <c r="I221" s="1"/>
      <c r="J221" s="1"/>
      <c r="K221" s="1">
        <v>18.0</v>
      </c>
      <c r="L221" s="1"/>
      <c r="M221" s="1"/>
      <c r="N221" s="1"/>
      <c r="O221" s="1">
        <v>18.0</v>
      </c>
      <c r="P221" s="1"/>
      <c r="Q221" s="1">
        <v>22.0</v>
      </c>
      <c r="R221" s="1"/>
      <c r="S221" s="1">
        <v>4.0</v>
      </c>
      <c r="T221" s="1"/>
      <c r="U221" s="1"/>
    </row>
    <row r="222">
      <c r="A222" s="1" t="s">
        <v>55</v>
      </c>
      <c r="B222" s="1"/>
      <c r="C222" s="1"/>
      <c r="D222" s="1"/>
      <c r="E222" s="1"/>
      <c r="F222" s="1"/>
      <c r="G222" s="1"/>
      <c r="H222" s="1"/>
      <c r="I222" s="1"/>
      <c r="J222" s="1"/>
      <c r="K222" s="1">
        <v>18.0</v>
      </c>
      <c r="L222" s="1"/>
      <c r="M222" s="1"/>
      <c r="N222" s="1">
        <v>10.0</v>
      </c>
      <c r="O222" s="1">
        <v>32.0</v>
      </c>
      <c r="P222" s="1">
        <v>0.0</v>
      </c>
      <c r="Q222" s="1">
        <v>26.0</v>
      </c>
      <c r="R222" s="1"/>
      <c r="S222" s="1">
        <v>4.0</v>
      </c>
      <c r="T222" s="1"/>
      <c r="U222" s="1"/>
    </row>
    <row r="223">
      <c r="A223" s="1" t="s">
        <v>56</v>
      </c>
      <c r="B223" s="1"/>
      <c r="C223" s="1"/>
      <c r="D223" s="1"/>
      <c r="E223" s="1"/>
      <c r="F223" s="1"/>
      <c r="G223" s="1"/>
      <c r="H223" s="1"/>
      <c r="I223" s="1"/>
      <c r="J223" s="1"/>
      <c r="K223" s="1">
        <v>18.0</v>
      </c>
      <c r="L223" s="1"/>
      <c r="M223" s="1"/>
      <c r="N223" s="1"/>
      <c r="O223" s="1">
        <v>32.0</v>
      </c>
      <c r="P223" s="1"/>
      <c r="Q223" s="1">
        <v>26.0</v>
      </c>
      <c r="R223" s="1"/>
      <c r="S223" s="1">
        <v>4.0</v>
      </c>
      <c r="T223" s="1"/>
      <c r="U223" s="1"/>
    </row>
    <row r="224">
      <c r="A224" s="1" t="s">
        <v>57</v>
      </c>
      <c r="B224" s="1"/>
      <c r="C224" s="1"/>
      <c r="D224" s="1"/>
      <c r="E224" s="1"/>
      <c r="F224" s="1"/>
      <c r="G224" s="1"/>
      <c r="H224" s="1"/>
      <c r="I224" s="1"/>
      <c r="J224" s="1">
        <v>0.0</v>
      </c>
      <c r="K224" s="1">
        <v>22.0</v>
      </c>
      <c r="L224" s="1"/>
      <c r="M224" s="1"/>
      <c r="N224" s="1"/>
      <c r="O224" s="1">
        <v>32.0</v>
      </c>
      <c r="P224" s="1">
        <v>0.0</v>
      </c>
      <c r="Q224" s="1">
        <v>30.0</v>
      </c>
      <c r="R224" s="1"/>
      <c r="S224" s="1">
        <v>4.0</v>
      </c>
      <c r="T224" s="1"/>
      <c r="U224" s="1"/>
    </row>
    <row r="225">
      <c r="A225" s="1" t="s">
        <v>58</v>
      </c>
      <c r="B225" s="1"/>
      <c r="C225" s="1"/>
      <c r="D225" s="1"/>
      <c r="E225" s="1"/>
      <c r="F225" s="1"/>
      <c r="G225" s="1"/>
      <c r="H225" s="1"/>
      <c r="I225" s="1"/>
      <c r="J225" s="1">
        <v>0.0</v>
      </c>
      <c r="K225" s="1">
        <v>26.0</v>
      </c>
      <c r="L225" s="1"/>
      <c r="M225" s="1"/>
      <c r="N225" s="1"/>
      <c r="O225" s="1">
        <v>32.0</v>
      </c>
      <c r="P225" s="1">
        <v>0.0</v>
      </c>
      <c r="Q225" s="1">
        <v>34.0</v>
      </c>
      <c r="R225" s="1"/>
      <c r="S225" s="1">
        <v>4.0</v>
      </c>
      <c r="T225" s="1"/>
      <c r="U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 t="s">
        <v>53</v>
      </c>
      <c r="B227" s="1"/>
      <c r="C227" s="1"/>
      <c r="D227" s="1"/>
      <c r="E227" s="1"/>
      <c r="F227" s="1"/>
      <c r="G227" s="1"/>
      <c r="H227" s="1"/>
      <c r="I227" s="1"/>
      <c r="J227" s="1"/>
      <c r="K227" s="1">
        <v>26.0</v>
      </c>
      <c r="L227" s="1"/>
      <c r="M227" s="1"/>
      <c r="N227" s="1">
        <v>10.0</v>
      </c>
      <c r="O227" s="1">
        <v>46.0</v>
      </c>
      <c r="P227" s="1"/>
      <c r="Q227" s="1">
        <v>34.0</v>
      </c>
      <c r="R227" s="1">
        <v>0.0</v>
      </c>
      <c r="S227" s="1">
        <v>8.0</v>
      </c>
      <c r="T227" s="1"/>
      <c r="U227" s="1"/>
    </row>
    <row r="228">
      <c r="A228" s="1" t="s">
        <v>54</v>
      </c>
      <c r="B228" s="1"/>
      <c r="C228" s="1"/>
      <c r="D228" s="1"/>
      <c r="E228" s="1"/>
      <c r="F228" s="1"/>
      <c r="G228" s="1"/>
      <c r="H228" s="1"/>
      <c r="I228" s="1"/>
      <c r="J228" s="1"/>
      <c r="K228" s="1">
        <v>30.0</v>
      </c>
      <c r="L228" s="1"/>
      <c r="M228" s="1"/>
      <c r="N228" s="1"/>
      <c r="O228" s="1">
        <v>46.0</v>
      </c>
      <c r="P228" s="1">
        <v>0.0</v>
      </c>
      <c r="Q228" s="1">
        <v>38.0</v>
      </c>
      <c r="R228" s="1"/>
      <c r="S228" s="1">
        <v>8.0</v>
      </c>
      <c r="T228" s="1"/>
      <c r="U228" s="1"/>
    </row>
    <row r="229">
      <c r="A229" s="1" t="s">
        <v>55</v>
      </c>
      <c r="B229" s="1"/>
      <c r="C229" s="1"/>
      <c r="D229" s="1"/>
      <c r="E229" s="1"/>
      <c r="F229" s="1"/>
      <c r="G229" s="1"/>
      <c r="H229" s="1"/>
      <c r="I229" s="1"/>
      <c r="J229" s="1"/>
      <c r="K229" s="1">
        <v>30.0</v>
      </c>
      <c r="L229" s="1"/>
      <c r="M229" s="1"/>
      <c r="N229" s="1"/>
      <c r="O229" s="1">
        <v>46.0</v>
      </c>
      <c r="P229" s="1"/>
      <c r="Q229" s="1">
        <v>38.0</v>
      </c>
      <c r="R229" s="1"/>
      <c r="S229" s="1">
        <v>8.0</v>
      </c>
      <c r="T229" s="1"/>
      <c r="U229" s="1"/>
    </row>
    <row r="230">
      <c r="A230" s="1" t="s">
        <v>56</v>
      </c>
      <c r="B230" s="1"/>
      <c r="C230" s="1"/>
      <c r="D230" s="1"/>
      <c r="E230" s="1"/>
      <c r="F230" s="1"/>
      <c r="G230" s="1"/>
      <c r="H230" s="1"/>
      <c r="I230" s="1"/>
      <c r="J230" s="1"/>
      <c r="K230" s="1">
        <v>30.0</v>
      </c>
      <c r="L230" s="1"/>
      <c r="M230" s="1"/>
      <c r="N230" s="1">
        <v>0.0</v>
      </c>
      <c r="O230" s="1">
        <v>50.0</v>
      </c>
      <c r="P230" s="1">
        <v>10.0</v>
      </c>
      <c r="Q230" s="1">
        <v>52.0</v>
      </c>
      <c r="R230" s="1"/>
      <c r="S230" s="1">
        <v>8.0</v>
      </c>
      <c r="T230" s="1"/>
      <c r="U230" s="1"/>
    </row>
    <row r="231">
      <c r="A231" s="1" t="s">
        <v>57</v>
      </c>
      <c r="B231" s="1"/>
      <c r="C231" s="1"/>
      <c r="D231" s="1"/>
      <c r="E231" s="1"/>
      <c r="F231" s="1"/>
      <c r="G231" s="1"/>
      <c r="H231" s="1"/>
      <c r="I231" s="1"/>
      <c r="J231" s="1"/>
      <c r="K231" s="1">
        <v>30.0</v>
      </c>
      <c r="L231" s="1"/>
      <c r="M231" s="1"/>
      <c r="N231" s="1"/>
      <c r="O231" s="1">
        <v>50.0</v>
      </c>
      <c r="P231" s="1">
        <v>0.0</v>
      </c>
      <c r="Q231" s="1">
        <v>56.0</v>
      </c>
      <c r="R231" s="1"/>
      <c r="S231" s="1">
        <v>8.0</v>
      </c>
      <c r="T231" s="1"/>
      <c r="U231" s="1"/>
    </row>
    <row r="232">
      <c r="A232" s="1" t="s">
        <v>58</v>
      </c>
      <c r="B232" s="1"/>
      <c r="C232" s="1"/>
      <c r="D232" s="1"/>
      <c r="E232" s="1"/>
      <c r="F232" s="1"/>
      <c r="G232" s="1"/>
      <c r="H232" s="1"/>
      <c r="I232" s="1"/>
      <c r="J232" s="1"/>
      <c r="K232" s="1">
        <v>30.0</v>
      </c>
      <c r="L232" s="1"/>
      <c r="M232" s="1"/>
      <c r="N232" s="1">
        <v>10.0</v>
      </c>
      <c r="O232" s="1">
        <v>64.0</v>
      </c>
      <c r="P232" s="1">
        <v>0.0</v>
      </c>
      <c r="Q232" s="1">
        <v>60.0</v>
      </c>
      <c r="R232" s="1"/>
      <c r="S232" s="1">
        <v>8.0</v>
      </c>
      <c r="T232" s="1"/>
      <c r="U232" s="1"/>
    </row>
    <row r="233">
      <c r="A233" s="1" t="s">
        <v>53</v>
      </c>
      <c r="B233" s="1"/>
      <c r="C233" s="1"/>
      <c r="D233" s="1"/>
      <c r="E233" s="1"/>
      <c r="F233" s="1"/>
      <c r="G233" s="1"/>
      <c r="H233" s="1"/>
      <c r="I233" s="1"/>
      <c r="J233" s="1">
        <v>0.0</v>
      </c>
      <c r="K233" s="1">
        <v>34.0</v>
      </c>
      <c r="L233" s="1"/>
      <c r="M233" s="1"/>
      <c r="N233" s="1"/>
      <c r="O233" s="1">
        <v>64.0</v>
      </c>
      <c r="P233" s="1"/>
      <c r="Q233" s="1">
        <v>60.0</v>
      </c>
      <c r="R233" s="1">
        <v>0.0</v>
      </c>
      <c r="S233" s="1">
        <v>12.0</v>
      </c>
      <c r="T233" s="1"/>
      <c r="U233" s="1"/>
    </row>
    <row r="234">
      <c r="A234" s="1" t="s">
        <v>54</v>
      </c>
      <c r="B234" s="1"/>
      <c r="C234" s="1"/>
      <c r="D234" s="1"/>
      <c r="E234" s="1"/>
      <c r="F234" s="1"/>
      <c r="G234" s="1"/>
      <c r="H234" s="1"/>
      <c r="I234" s="1"/>
      <c r="J234" s="1"/>
      <c r="K234" s="1">
        <v>34.0</v>
      </c>
      <c r="L234" s="1"/>
      <c r="M234" s="1"/>
      <c r="N234" s="1"/>
      <c r="O234" s="1">
        <v>64.0</v>
      </c>
      <c r="P234" s="1"/>
      <c r="Q234" s="1">
        <v>60.0</v>
      </c>
      <c r="R234" s="1"/>
      <c r="S234" s="1">
        <v>12.0</v>
      </c>
      <c r="T234" s="1"/>
      <c r="U234" s="1"/>
    </row>
    <row r="235">
      <c r="A235" s="1" t="s">
        <v>55</v>
      </c>
      <c r="B235" s="1"/>
      <c r="C235" s="1"/>
      <c r="D235" s="1"/>
      <c r="E235" s="1"/>
      <c r="F235" s="1"/>
      <c r="G235" s="1"/>
      <c r="H235" s="1"/>
      <c r="I235" s="1"/>
      <c r="J235" s="1"/>
      <c r="K235" s="1">
        <v>34.0</v>
      </c>
      <c r="L235" s="1"/>
      <c r="M235" s="1"/>
      <c r="N235" s="1"/>
      <c r="O235" s="1">
        <v>64.0</v>
      </c>
      <c r="P235" s="1">
        <v>10.0</v>
      </c>
      <c r="Q235" s="1">
        <v>74.0</v>
      </c>
      <c r="R235" s="1"/>
      <c r="S235" s="1">
        <v>12.0</v>
      </c>
      <c r="T235" s="1"/>
      <c r="U235" s="1"/>
    </row>
    <row r="236">
      <c r="A236" s="1" t="s">
        <v>56</v>
      </c>
      <c r="B236" s="1"/>
      <c r="C236" s="1"/>
      <c r="D236" s="1"/>
      <c r="E236" s="1"/>
      <c r="F236" s="1"/>
      <c r="G236" s="1"/>
      <c r="H236" s="1"/>
      <c r="I236" s="1"/>
      <c r="J236" s="1">
        <v>0.0</v>
      </c>
      <c r="K236" s="1">
        <v>38.0</v>
      </c>
      <c r="L236" s="1"/>
      <c r="M236" s="1"/>
      <c r="N236" s="1"/>
      <c r="O236" s="1">
        <v>64.0</v>
      </c>
      <c r="P236" s="1">
        <v>0.0</v>
      </c>
      <c r="Q236" s="1">
        <v>82.0</v>
      </c>
      <c r="R236" s="1"/>
      <c r="S236" s="1">
        <v>12.0</v>
      </c>
      <c r="T236" s="1"/>
      <c r="U236" s="1"/>
    </row>
    <row r="237">
      <c r="A237" s="1" t="s">
        <v>57</v>
      </c>
      <c r="B237" s="1"/>
      <c r="C237" s="1"/>
      <c r="D237" s="1"/>
      <c r="E237" s="1"/>
      <c r="F237" s="1"/>
      <c r="G237" s="1"/>
      <c r="H237" s="1"/>
      <c r="I237" s="1"/>
      <c r="J237" s="1"/>
      <c r="K237" s="1">
        <v>38.0</v>
      </c>
      <c r="L237" s="1"/>
      <c r="M237" s="1"/>
      <c r="N237" s="1">
        <v>0.0</v>
      </c>
      <c r="O237" s="1">
        <v>68.0</v>
      </c>
      <c r="P237" s="1"/>
      <c r="Q237" s="1">
        <v>82.0</v>
      </c>
      <c r="R237" s="1"/>
      <c r="S237" s="1">
        <v>12.0</v>
      </c>
      <c r="T237" s="1"/>
      <c r="U237" s="1"/>
    </row>
    <row r="238">
      <c r="A238" s="1" t="s">
        <v>58</v>
      </c>
      <c r="B238" s="1"/>
      <c r="C238" s="1"/>
      <c r="D238" s="1"/>
      <c r="E238" s="1"/>
      <c r="F238" s="1"/>
      <c r="G238" s="1"/>
      <c r="H238" s="1"/>
      <c r="I238" s="1"/>
      <c r="J238" s="1"/>
      <c r="K238" s="1">
        <v>38.0</v>
      </c>
      <c r="L238" s="1"/>
      <c r="M238" s="1"/>
      <c r="N238" s="1"/>
      <c r="O238" s="1">
        <v>68.0</v>
      </c>
      <c r="P238" s="1"/>
      <c r="Q238" s="1">
        <v>82.0</v>
      </c>
      <c r="R238" s="1"/>
      <c r="S238" s="1">
        <v>12.0</v>
      </c>
      <c r="T238" s="1"/>
      <c r="U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B241" s="1" t="str">
        <f t="array" ref="B241:U270">transpose(sort(transpose(Full!A241:T270),1,true))</f>
        <v>Bethlehem</v>
      </c>
      <c r="C241" s="1" t="s">
        <v>1</v>
      </c>
      <c r="D241" s="1" t="s">
        <v>8</v>
      </c>
      <c r="E241" s="1" t="s">
        <v>8</v>
      </c>
      <c r="F241" s="1" t="s">
        <v>4</v>
      </c>
      <c r="G241" s="1" t="s">
        <v>4</v>
      </c>
      <c r="H241" s="1" t="s">
        <v>9</v>
      </c>
      <c r="I241" s="1" t="s">
        <v>9</v>
      </c>
      <c r="J241" s="1" t="s">
        <v>3</v>
      </c>
      <c r="K241" s="1" t="s">
        <v>3</v>
      </c>
      <c r="L241" s="1" t="s">
        <v>6</v>
      </c>
      <c r="M241" s="1" t="s">
        <v>6</v>
      </c>
      <c r="N241" s="1" t="s">
        <v>2</v>
      </c>
      <c r="O241" s="1" t="s">
        <v>2</v>
      </c>
      <c r="P241" s="1" t="s">
        <v>0</v>
      </c>
      <c r="Q241" s="1" t="s">
        <v>0</v>
      </c>
      <c r="R241" s="1" t="s">
        <v>7</v>
      </c>
      <c r="S241" s="1" t="s">
        <v>7</v>
      </c>
      <c r="T241" s="1" t="s">
        <v>5</v>
      </c>
      <c r="U241" s="1" t="s">
        <v>5</v>
      </c>
    </row>
    <row r="242">
      <c r="B242" s="1" t="s">
        <v>10</v>
      </c>
      <c r="C242" s="1" t="s">
        <v>11</v>
      </c>
      <c r="D242" s="1" t="s">
        <v>10</v>
      </c>
      <c r="E242" s="1" t="s">
        <v>11</v>
      </c>
      <c r="F242" s="1" t="s">
        <v>10</v>
      </c>
      <c r="G242" s="1" t="s">
        <v>11</v>
      </c>
      <c r="H242" s="1" t="s">
        <v>10</v>
      </c>
      <c r="I242" s="1" t="s">
        <v>11</v>
      </c>
      <c r="J242" s="1" t="s">
        <v>10</v>
      </c>
      <c r="K242" s="1" t="s">
        <v>11</v>
      </c>
      <c r="L242" s="1" t="s">
        <v>10</v>
      </c>
      <c r="M242" s="1" t="s">
        <v>11</v>
      </c>
      <c r="N242" s="1" t="s">
        <v>10</v>
      </c>
      <c r="O242" s="1" t="s">
        <v>11</v>
      </c>
      <c r="P242" s="1" t="s">
        <v>10</v>
      </c>
      <c r="Q242" s="1" t="s">
        <v>11</v>
      </c>
      <c r="R242" s="1" t="s">
        <v>10</v>
      </c>
      <c r="S242" s="1" t="s">
        <v>11</v>
      </c>
      <c r="T242" s="1" t="s">
        <v>10</v>
      </c>
      <c r="U242" s="1" t="s">
        <v>11</v>
      </c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 t="s">
        <v>53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>
        <v>0.0</v>
      </c>
      <c r="M244" s="1">
        <v>4.0</v>
      </c>
      <c r="N244" s="1">
        <v>10.0</v>
      </c>
      <c r="O244" s="1">
        <v>14.0</v>
      </c>
      <c r="P244" s="1"/>
      <c r="Q244" s="1">
        <v>0.0</v>
      </c>
      <c r="R244" s="1"/>
      <c r="S244" s="1"/>
      <c r="T244" s="1"/>
      <c r="U244" s="1">
        <v>0.0</v>
      </c>
    </row>
    <row r="245">
      <c r="A245" s="1" t="s">
        <v>54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>
        <v>4.0</v>
      </c>
      <c r="N245" s="1"/>
      <c r="O245" s="1">
        <v>14.0</v>
      </c>
      <c r="P245" s="1"/>
      <c r="Q245" s="1">
        <v>0.0</v>
      </c>
      <c r="R245" s="1"/>
      <c r="S245" s="1"/>
      <c r="T245" s="1"/>
      <c r="U245" s="1">
        <v>0.0</v>
      </c>
    </row>
    <row r="246">
      <c r="A246" s="1" t="s">
        <v>55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>
        <v>0.0</v>
      </c>
      <c r="M246" s="1">
        <v>8.0</v>
      </c>
      <c r="N246" s="1"/>
      <c r="O246" s="1">
        <v>14.0</v>
      </c>
      <c r="P246" s="1"/>
      <c r="Q246" s="1">
        <v>0.0</v>
      </c>
      <c r="R246" s="1"/>
      <c r="S246" s="1"/>
      <c r="T246" s="1"/>
      <c r="U246" s="1">
        <v>0.0</v>
      </c>
    </row>
    <row r="247">
      <c r="A247" s="1" t="s">
        <v>56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>
        <v>8.0</v>
      </c>
      <c r="N247" s="1"/>
      <c r="O247" s="1">
        <v>14.0</v>
      </c>
      <c r="P247" s="1"/>
      <c r="Q247" s="1">
        <v>0.0</v>
      </c>
      <c r="R247" s="1"/>
      <c r="S247" s="1"/>
      <c r="T247" s="1">
        <v>0.0</v>
      </c>
      <c r="U247" s="1">
        <v>4.0</v>
      </c>
    </row>
    <row r="248">
      <c r="A248" s="1" t="s">
        <v>57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>
        <v>8.0</v>
      </c>
      <c r="N248" s="1">
        <v>0.0</v>
      </c>
      <c r="O248" s="1">
        <v>18.0</v>
      </c>
      <c r="P248" s="1"/>
      <c r="Q248" s="1">
        <v>0.0</v>
      </c>
      <c r="R248" s="1"/>
      <c r="S248" s="1"/>
      <c r="T248" s="1">
        <v>0.0</v>
      </c>
      <c r="U248" s="1">
        <v>8.0</v>
      </c>
    </row>
    <row r="249">
      <c r="A249" s="1" t="s">
        <v>58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>
        <v>8.0</v>
      </c>
      <c r="N249" s="1"/>
      <c r="O249" s="1">
        <v>18.0</v>
      </c>
      <c r="P249" s="1"/>
      <c r="Q249" s="1">
        <v>0.0</v>
      </c>
      <c r="R249" s="1"/>
      <c r="S249" s="1"/>
      <c r="T249" s="1">
        <v>10.0</v>
      </c>
      <c r="U249" s="1">
        <v>26.0</v>
      </c>
    </row>
    <row r="250">
      <c r="A250" s="1" t="s">
        <v>53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>
        <v>10.0</v>
      </c>
      <c r="M250" s="1">
        <v>22.0</v>
      </c>
      <c r="N250" s="1"/>
      <c r="O250" s="1">
        <v>18.0</v>
      </c>
      <c r="P250" s="1"/>
      <c r="Q250" s="1">
        <v>0.0</v>
      </c>
      <c r="R250" s="1"/>
      <c r="S250" s="1"/>
      <c r="T250" s="1"/>
      <c r="U250" s="1">
        <v>26.0</v>
      </c>
    </row>
    <row r="251">
      <c r="A251" s="1" t="s">
        <v>54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>
        <v>22.0</v>
      </c>
      <c r="N251" s="1">
        <v>10.0</v>
      </c>
      <c r="O251" s="1">
        <v>32.0</v>
      </c>
      <c r="P251" s="1"/>
      <c r="Q251" s="1">
        <v>0.0</v>
      </c>
      <c r="R251" s="1"/>
      <c r="S251" s="1"/>
      <c r="T251" s="1">
        <v>0.0</v>
      </c>
      <c r="U251" s="1">
        <v>30.0</v>
      </c>
    </row>
    <row r="252">
      <c r="A252" s="1" t="s">
        <v>55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>
        <v>0.0</v>
      </c>
      <c r="M252" s="1">
        <v>26.0</v>
      </c>
      <c r="N252" s="1"/>
      <c r="O252" s="1">
        <v>32.0</v>
      </c>
      <c r="P252" s="1">
        <v>0.0</v>
      </c>
      <c r="Q252" s="1">
        <v>4.0</v>
      </c>
      <c r="R252" s="1"/>
      <c r="S252" s="1"/>
      <c r="T252" s="1"/>
      <c r="U252" s="1">
        <v>30.0</v>
      </c>
    </row>
    <row r="253">
      <c r="A253" s="1" t="s">
        <v>56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>
        <v>30.0</v>
      </c>
      <c r="N253" s="1"/>
      <c r="O253" s="1">
        <v>32.0</v>
      </c>
      <c r="P253" s="1"/>
      <c r="Q253" s="1">
        <v>4.0</v>
      </c>
      <c r="R253" s="1"/>
      <c r="S253" s="1"/>
      <c r="T253" s="1"/>
      <c r="U253" s="1">
        <v>34.0</v>
      </c>
    </row>
    <row r="254">
      <c r="A254" s="1" t="s">
        <v>57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>
        <v>0.0</v>
      </c>
      <c r="M254" s="1">
        <v>38.0</v>
      </c>
      <c r="N254" s="1"/>
      <c r="O254" s="1">
        <v>32.0</v>
      </c>
      <c r="P254" s="1"/>
      <c r="Q254" s="1">
        <v>4.0</v>
      </c>
      <c r="R254" s="1"/>
      <c r="S254" s="1"/>
      <c r="T254" s="1"/>
      <c r="U254" s="1">
        <v>34.0</v>
      </c>
    </row>
    <row r="255">
      <c r="A255" s="1" t="s">
        <v>58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>
        <v>38.0</v>
      </c>
      <c r="N255" s="1">
        <v>0.0</v>
      </c>
      <c r="O255" s="1">
        <v>36.0</v>
      </c>
      <c r="P255" s="1"/>
      <c r="Q255" s="1">
        <v>4.0</v>
      </c>
      <c r="R255" s="1"/>
      <c r="S255" s="1"/>
      <c r="T255" s="1"/>
      <c r="U255" s="1">
        <v>38.0</v>
      </c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 t="s">
        <v>53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>
        <v>38.0</v>
      </c>
      <c r="N257" s="1"/>
      <c r="O257" s="1">
        <v>36.0</v>
      </c>
      <c r="P257" s="1"/>
      <c r="Q257" s="1">
        <v>4.0</v>
      </c>
      <c r="R257" s="1"/>
      <c r="S257" s="1"/>
      <c r="T257" s="1">
        <v>0.0</v>
      </c>
      <c r="U257" s="1">
        <v>42.0</v>
      </c>
    </row>
    <row r="258">
      <c r="A258" s="1" t="s">
        <v>54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>
        <v>38.0</v>
      </c>
      <c r="N258" s="1"/>
      <c r="O258" s="1">
        <v>36.0</v>
      </c>
      <c r="P258" s="1">
        <v>0.0</v>
      </c>
      <c r="Q258" s="1">
        <v>8.0</v>
      </c>
      <c r="R258" s="1"/>
      <c r="S258" s="1"/>
      <c r="T258" s="1">
        <v>0.0</v>
      </c>
      <c r="U258" s="1">
        <v>46.0</v>
      </c>
    </row>
    <row r="259">
      <c r="A259" s="1" t="s">
        <v>55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>
        <v>38.0</v>
      </c>
      <c r="N259" s="1"/>
      <c r="O259" s="1">
        <v>36.0</v>
      </c>
      <c r="P259" s="1">
        <v>10.0</v>
      </c>
      <c r="Q259" s="1">
        <v>22.0</v>
      </c>
      <c r="R259" s="1"/>
      <c r="S259" s="1"/>
      <c r="T259" s="1">
        <v>10.0</v>
      </c>
      <c r="U259" s="1">
        <v>60.0</v>
      </c>
    </row>
    <row r="260">
      <c r="A260" s="1" t="s">
        <v>56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>
        <v>38.0</v>
      </c>
      <c r="N260" s="1"/>
      <c r="O260" s="1">
        <v>36.0</v>
      </c>
      <c r="P260" s="1"/>
      <c r="Q260" s="1">
        <v>22.0</v>
      </c>
      <c r="R260" s="1"/>
      <c r="S260" s="1"/>
      <c r="T260" s="1">
        <v>10.0</v>
      </c>
      <c r="U260" s="1">
        <v>74.0</v>
      </c>
    </row>
    <row r="261">
      <c r="A261" s="1" t="s">
        <v>57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>
        <v>38.0</v>
      </c>
      <c r="N261" s="1">
        <v>0.0</v>
      </c>
      <c r="O261" s="1">
        <v>40.0</v>
      </c>
      <c r="P261" s="1"/>
      <c r="Q261" s="1">
        <v>22.0</v>
      </c>
      <c r="R261" s="1"/>
      <c r="S261" s="1"/>
      <c r="T261" s="1"/>
      <c r="U261" s="1">
        <v>78.0</v>
      </c>
    </row>
    <row r="262">
      <c r="A262" s="1" t="s">
        <v>58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>
        <v>38.0</v>
      </c>
      <c r="N262" s="1"/>
      <c r="O262" s="1">
        <v>40.0</v>
      </c>
      <c r="P262" s="1"/>
      <c r="Q262" s="1">
        <v>22.0</v>
      </c>
      <c r="R262" s="1"/>
      <c r="S262" s="1"/>
      <c r="T262" s="1"/>
      <c r="U262" s="1">
        <v>78.0</v>
      </c>
    </row>
    <row r="263">
      <c r="A263" s="1" t="s">
        <v>53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>
        <v>42.0</v>
      </c>
      <c r="N263" s="1"/>
      <c r="O263" s="1">
        <v>40.0</v>
      </c>
      <c r="P263" s="1"/>
      <c r="Q263" s="1">
        <v>22.0</v>
      </c>
      <c r="R263" s="1"/>
      <c r="S263" s="1"/>
      <c r="T263" s="1"/>
      <c r="U263" s="1">
        <v>78.0</v>
      </c>
    </row>
    <row r="264">
      <c r="A264" s="1" t="s">
        <v>54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>
        <v>42.0</v>
      </c>
      <c r="N264" s="1">
        <v>0.0</v>
      </c>
      <c r="O264" s="1">
        <v>44.0</v>
      </c>
      <c r="P264" s="1"/>
      <c r="Q264" s="1">
        <v>22.0</v>
      </c>
      <c r="R264" s="1"/>
      <c r="S264" s="1"/>
      <c r="T264" s="1"/>
      <c r="U264" s="1">
        <v>78.0</v>
      </c>
    </row>
    <row r="265">
      <c r="A265" s="1" t="s">
        <v>55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>
        <v>42.0</v>
      </c>
      <c r="N265" s="1">
        <v>0.0</v>
      </c>
      <c r="O265" s="1">
        <v>48.0</v>
      </c>
      <c r="P265" s="1"/>
      <c r="Q265" s="1">
        <v>22.0</v>
      </c>
      <c r="R265" s="1"/>
      <c r="S265" s="1"/>
      <c r="T265" s="1"/>
      <c r="U265" s="1">
        <v>78.0</v>
      </c>
    </row>
    <row r="266">
      <c r="A266" s="1" t="s">
        <v>56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>
        <v>0.0</v>
      </c>
      <c r="M266" s="1">
        <v>46.0</v>
      </c>
      <c r="N266" s="1"/>
      <c r="O266" s="1">
        <v>48.0</v>
      </c>
      <c r="P266" s="1">
        <v>10.0</v>
      </c>
      <c r="Q266" s="1">
        <v>36.0</v>
      </c>
      <c r="R266" s="1"/>
      <c r="S266" s="1"/>
      <c r="T266" s="1"/>
      <c r="U266" s="1">
        <v>78.0</v>
      </c>
    </row>
    <row r="267">
      <c r="A267" s="1" t="s">
        <v>57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>
        <v>46.0</v>
      </c>
      <c r="N267" s="1"/>
      <c r="O267" s="1">
        <v>48.0</v>
      </c>
      <c r="P267" s="1">
        <v>0.0</v>
      </c>
      <c r="Q267" s="1">
        <v>40.0</v>
      </c>
      <c r="R267" s="1"/>
      <c r="S267" s="1"/>
      <c r="T267" s="1"/>
      <c r="U267" s="1">
        <v>82.0</v>
      </c>
    </row>
    <row r="268">
      <c r="A268" s="1" t="s">
        <v>58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>
        <v>46.0</v>
      </c>
      <c r="N268" s="1">
        <v>0.0</v>
      </c>
      <c r="O268" s="1">
        <v>52.0</v>
      </c>
      <c r="P268" s="1"/>
      <c r="Q268" s="1">
        <v>40.0</v>
      </c>
      <c r="R268" s="1"/>
      <c r="S268" s="1"/>
      <c r="T268" s="1">
        <v>0.0</v>
      </c>
      <c r="U268" s="1">
        <v>90.0</v>
      </c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B271" s="1" t="str">
        <f t="array" ref="B271:U300">transpose(sort(transpose(Full!A271:T300),1,true))</f>
        <v>Bethlehem</v>
      </c>
      <c r="C271" s="1" t="s">
        <v>1</v>
      </c>
      <c r="D271" s="1" t="s">
        <v>8</v>
      </c>
      <c r="E271" s="1" t="s">
        <v>8</v>
      </c>
      <c r="F271" s="1" t="s">
        <v>4</v>
      </c>
      <c r="G271" s="1" t="s">
        <v>4</v>
      </c>
      <c r="H271" s="1" t="s">
        <v>9</v>
      </c>
      <c r="I271" s="1" t="s">
        <v>9</v>
      </c>
      <c r="J271" s="1" t="s">
        <v>3</v>
      </c>
      <c r="K271" s="1" t="s">
        <v>3</v>
      </c>
      <c r="L271" s="1" t="s">
        <v>6</v>
      </c>
      <c r="M271" s="1" t="s">
        <v>6</v>
      </c>
      <c r="N271" s="1" t="s">
        <v>2</v>
      </c>
      <c r="O271" s="1" t="s">
        <v>2</v>
      </c>
      <c r="P271" s="1" t="s">
        <v>0</v>
      </c>
      <c r="Q271" s="1" t="s">
        <v>0</v>
      </c>
      <c r="R271" s="1" t="s">
        <v>7</v>
      </c>
      <c r="S271" s="1" t="s">
        <v>7</v>
      </c>
      <c r="T271" s="1" t="s">
        <v>5</v>
      </c>
      <c r="U271" s="1" t="s">
        <v>5</v>
      </c>
    </row>
    <row r="272">
      <c r="B272" s="1" t="s">
        <v>10</v>
      </c>
      <c r="C272" s="1" t="s">
        <v>11</v>
      </c>
      <c r="D272" s="1" t="s">
        <v>10</v>
      </c>
      <c r="E272" s="1" t="s">
        <v>11</v>
      </c>
      <c r="F272" s="1" t="s">
        <v>10</v>
      </c>
      <c r="G272" s="1" t="s">
        <v>11</v>
      </c>
      <c r="H272" s="1" t="s">
        <v>10</v>
      </c>
      <c r="I272" s="1" t="s">
        <v>11</v>
      </c>
      <c r="J272" s="1" t="s">
        <v>10</v>
      </c>
      <c r="K272" s="1" t="s">
        <v>11</v>
      </c>
      <c r="L272" s="1" t="s">
        <v>10</v>
      </c>
      <c r="M272" s="1" t="s">
        <v>11</v>
      </c>
      <c r="N272" s="1" t="s">
        <v>10</v>
      </c>
      <c r="O272" s="1" t="s">
        <v>11</v>
      </c>
      <c r="P272" s="1" t="s">
        <v>10</v>
      </c>
      <c r="Q272" s="1" t="s">
        <v>11</v>
      </c>
      <c r="R272" s="1" t="s">
        <v>10</v>
      </c>
      <c r="S272" s="1" t="s">
        <v>11</v>
      </c>
      <c r="T272" s="1" t="s">
        <v>10</v>
      </c>
      <c r="U272" s="1" t="s">
        <v>11</v>
      </c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 t="s">
        <v>53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>
        <v>0.0</v>
      </c>
      <c r="N274" s="1"/>
      <c r="O274" s="1">
        <v>0.0</v>
      </c>
      <c r="P274" s="1"/>
      <c r="Q274" s="1"/>
      <c r="R274" s="1"/>
      <c r="S274" s="1"/>
      <c r="T274" s="1"/>
      <c r="U274" s="1"/>
    </row>
    <row r="275">
      <c r="A275" s="1" t="s">
        <v>54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>
        <v>0.0</v>
      </c>
      <c r="N275" s="1"/>
      <c r="O275" s="1">
        <v>0.0</v>
      </c>
      <c r="P275" s="1"/>
      <c r="Q275" s="1"/>
      <c r="R275" s="1"/>
      <c r="S275" s="1"/>
      <c r="T275" s="1"/>
      <c r="U275" s="1"/>
    </row>
    <row r="276">
      <c r="A276" s="1" t="s">
        <v>55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>
        <v>0.0</v>
      </c>
      <c r="N276" s="1">
        <v>10.0</v>
      </c>
      <c r="O276" s="1">
        <v>14.0</v>
      </c>
      <c r="P276" s="1"/>
      <c r="Q276" s="1"/>
      <c r="R276" s="1"/>
      <c r="S276" s="1"/>
      <c r="T276" s="1"/>
      <c r="U276" s="1"/>
    </row>
    <row r="277">
      <c r="A277" s="1" t="s">
        <v>56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>
        <v>0.0</v>
      </c>
      <c r="N277" s="1">
        <v>0.0</v>
      </c>
      <c r="O277" s="1">
        <v>18.0</v>
      </c>
      <c r="P277" s="1"/>
      <c r="Q277" s="1"/>
      <c r="R277" s="1"/>
      <c r="S277" s="1"/>
      <c r="T277" s="1"/>
      <c r="U277" s="1"/>
    </row>
    <row r="278">
      <c r="A278" s="1" t="s">
        <v>57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>
        <v>0.0</v>
      </c>
      <c r="N278" s="1"/>
      <c r="O278" s="1">
        <v>18.0</v>
      </c>
      <c r="P278" s="1"/>
      <c r="Q278" s="1"/>
      <c r="R278" s="1"/>
      <c r="S278" s="1"/>
      <c r="T278" s="1"/>
      <c r="U278" s="1"/>
    </row>
    <row r="279">
      <c r="A279" s="1" t="s">
        <v>58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>
        <v>0.0</v>
      </c>
      <c r="N279" s="1"/>
      <c r="O279" s="1">
        <v>18.0</v>
      </c>
      <c r="P279" s="1"/>
      <c r="Q279" s="1"/>
      <c r="R279" s="1"/>
      <c r="S279" s="1"/>
      <c r="T279" s="1"/>
      <c r="U279" s="1"/>
    </row>
    <row r="280">
      <c r="A280" s="1" t="s">
        <v>53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>
        <v>0.0</v>
      </c>
      <c r="N280" s="1">
        <v>0.0</v>
      </c>
      <c r="O280" s="1">
        <v>22.0</v>
      </c>
      <c r="P280" s="1"/>
      <c r="Q280" s="1"/>
      <c r="R280" s="1"/>
      <c r="S280" s="1"/>
      <c r="T280" s="1"/>
      <c r="U280" s="1"/>
    </row>
    <row r="281">
      <c r="A281" s="1" t="s">
        <v>54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>
        <v>0.0</v>
      </c>
      <c r="N281" s="1">
        <v>0.0</v>
      </c>
      <c r="O281" s="1">
        <v>26.0</v>
      </c>
      <c r="P281" s="1"/>
      <c r="Q281" s="1"/>
      <c r="R281" s="1"/>
      <c r="S281" s="1"/>
      <c r="T281" s="1"/>
      <c r="U281" s="1"/>
    </row>
    <row r="282">
      <c r="A282" s="1" t="s">
        <v>55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>
        <v>0.0</v>
      </c>
      <c r="M282" s="1">
        <v>4.0</v>
      </c>
      <c r="N282" s="1"/>
      <c r="O282" s="1">
        <v>26.0</v>
      </c>
      <c r="P282" s="1"/>
      <c r="Q282" s="1"/>
      <c r="R282" s="1"/>
      <c r="S282" s="1"/>
      <c r="T282" s="1"/>
      <c r="U282" s="1"/>
    </row>
    <row r="283">
      <c r="A283" s="1" t="s">
        <v>56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>
        <v>4.0</v>
      </c>
      <c r="N283" s="1">
        <v>0.0</v>
      </c>
      <c r="O283" s="1">
        <v>34.0</v>
      </c>
      <c r="P283" s="1"/>
      <c r="Q283" s="1"/>
      <c r="R283" s="1"/>
      <c r="S283" s="1"/>
      <c r="T283" s="1"/>
      <c r="U283" s="1"/>
    </row>
    <row r="284">
      <c r="A284" s="1" t="s">
        <v>57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>
        <v>0.0</v>
      </c>
      <c r="M284" s="1">
        <v>8.0</v>
      </c>
      <c r="N284" s="1"/>
      <c r="O284" s="1">
        <v>34.0</v>
      </c>
      <c r="P284" s="1"/>
      <c r="Q284" s="1"/>
      <c r="R284" s="1"/>
      <c r="S284" s="1"/>
      <c r="T284" s="1"/>
      <c r="U284" s="1"/>
    </row>
    <row r="285">
      <c r="A285" s="1" t="s">
        <v>58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>
        <v>8.0</v>
      </c>
      <c r="N285" s="1"/>
      <c r="O285" s="1">
        <v>34.0</v>
      </c>
      <c r="P285" s="1"/>
      <c r="Q285" s="1"/>
      <c r="R285" s="1"/>
      <c r="S285" s="1"/>
      <c r="T285" s="1"/>
      <c r="U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 t="s">
        <v>53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>
        <v>8.0</v>
      </c>
      <c r="N287" s="1">
        <v>0.0</v>
      </c>
      <c r="O287" s="1">
        <v>38.0</v>
      </c>
      <c r="P287" s="1"/>
      <c r="Q287" s="1"/>
      <c r="R287" s="1"/>
      <c r="S287" s="1"/>
      <c r="T287" s="1"/>
      <c r="U287" s="1"/>
    </row>
    <row r="288">
      <c r="A288" s="1" t="s">
        <v>54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>
        <v>0.0</v>
      </c>
      <c r="M288" s="1">
        <v>12.0</v>
      </c>
      <c r="N288" s="1"/>
      <c r="O288" s="1">
        <v>38.0</v>
      </c>
      <c r="P288" s="1"/>
      <c r="Q288" s="1"/>
      <c r="R288" s="1"/>
      <c r="S288" s="1"/>
      <c r="T288" s="1"/>
      <c r="U288" s="1"/>
    </row>
    <row r="289">
      <c r="A289" s="1" t="s">
        <v>55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>
        <v>10.0</v>
      </c>
      <c r="M289" s="1">
        <v>26.0</v>
      </c>
      <c r="N289" s="1"/>
      <c r="O289" s="1">
        <v>38.0</v>
      </c>
      <c r="P289" s="1"/>
      <c r="Q289" s="1"/>
      <c r="R289" s="1"/>
      <c r="S289" s="1"/>
      <c r="T289" s="1"/>
      <c r="U289" s="1"/>
    </row>
    <row r="290">
      <c r="A290" s="1" t="s">
        <v>56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>
        <v>26.0</v>
      </c>
      <c r="N290" s="1"/>
      <c r="O290" s="1">
        <v>38.0</v>
      </c>
      <c r="P290" s="1"/>
      <c r="Q290" s="1"/>
      <c r="R290" s="1"/>
      <c r="S290" s="1"/>
      <c r="T290" s="1"/>
      <c r="U290" s="1"/>
    </row>
    <row r="291">
      <c r="A291" s="1" t="s">
        <v>57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>
        <v>26.0</v>
      </c>
      <c r="N291" s="1"/>
      <c r="O291" s="1">
        <v>38.0</v>
      </c>
      <c r="P291" s="1"/>
      <c r="Q291" s="1"/>
      <c r="R291" s="1"/>
      <c r="S291" s="1"/>
      <c r="T291" s="1"/>
      <c r="U291" s="1"/>
    </row>
    <row r="292">
      <c r="A292" s="1" t="s">
        <v>58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>
        <v>26.0</v>
      </c>
      <c r="N292" s="1"/>
      <c r="O292" s="1">
        <v>38.0</v>
      </c>
      <c r="P292" s="1"/>
      <c r="Q292" s="1"/>
      <c r="R292" s="1"/>
      <c r="S292" s="1"/>
      <c r="T292" s="1"/>
      <c r="U292" s="1"/>
    </row>
    <row r="293">
      <c r="A293" s="1" t="s">
        <v>53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>
        <v>26.0</v>
      </c>
      <c r="N293" s="1">
        <v>10.0</v>
      </c>
      <c r="O293" s="1">
        <v>52.0</v>
      </c>
      <c r="P293" s="1"/>
      <c r="Q293" s="1"/>
      <c r="R293" s="1"/>
      <c r="S293" s="1"/>
      <c r="T293" s="1"/>
      <c r="U293" s="1"/>
    </row>
    <row r="294">
      <c r="A294" s="1" t="s">
        <v>54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>
        <v>0.0</v>
      </c>
      <c r="M294" s="1">
        <v>30.0</v>
      </c>
      <c r="N294" s="1"/>
      <c r="O294" s="1">
        <v>52.0</v>
      </c>
      <c r="P294" s="1"/>
      <c r="Q294" s="1"/>
      <c r="R294" s="1"/>
      <c r="S294" s="1"/>
      <c r="T294" s="1"/>
      <c r="U294" s="1"/>
    </row>
    <row r="295">
      <c r="A295" s="1" t="s">
        <v>55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>
        <v>0.0</v>
      </c>
      <c r="M295" s="1">
        <v>34.0</v>
      </c>
      <c r="N295" s="1"/>
      <c r="O295" s="1">
        <v>52.0</v>
      </c>
      <c r="P295" s="1"/>
      <c r="Q295" s="1"/>
      <c r="R295" s="1"/>
      <c r="S295" s="1"/>
      <c r="T295" s="1"/>
      <c r="U295" s="1"/>
    </row>
    <row r="296">
      <c r="A296" s="1" t="s">
        <v>56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>
        <v>34.0</v>
      </c>
      <c r="N296" s="1">
        <v>0.0</v>
      </c>
      <c r="O296" s="1">
        <v>56.0</v>
      </c>
      <c r="P296" s="1"/>
      <c r="Q296" s="1"/>
      <c r="R296" s="1"/>
      <c r="S296" s="1"/>
      <c r="T296" s="1"/>
      <c r="U296" s="1"/>
    </row>
    <row r="297">
      <c r="A297" s="1" t="s">
        <v>57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>
        <v>34.0</v>
      </c>
      <c r="N297" s="1">
        <v>0.0</v>
      </c>
      <c r="O297" s="1">
        <v>60.0</v>
      </c>
      <c r="P297" s="1"/>
      <c r="Q297" s="1"/>
      <c r="R297" s="1"/>
      <c r="S297" s="1"/>
      <c r="T297" s="1"/>
      <c r="U297" s="1"/>
    </row>
    <row r="298">
      <c r="A298" s="1" t="s">
        <v>58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>
        <v>0.0</v>
      </c>
      <c r="M298" s="1">
        <v>38.0</v>
      </c>
      <c r="N298" s="1"/>
      <c r="O298" s="1">
        <v>60.0</v>
      </c>
      <c r="P298" s="1"/>
      <c r="Q298" s="1"/>
      <c r="R298" s="1"/>
      <c r="S298" s="1"/>
      <c r="T298" s="1"/>
      <c r="U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B301" s="1" t="str">
        <f t="array" ref="B301:U330">transpose(sort(transpose(Full!A301:T330),1,true))</f>
        <v>Bethlehem</v>
      </c>
      <c r="C301" s="1" t="s">
        <v>1</v>
      </c>
      <c r="D301" s="1" t="s">
        <v>8</v>
      </c>
      <c r="E301" s="1" t="s">
        <v>8</v>
      </c>
      <c r="F301" s="1" t="s">
        <v>4</v>
      </c>
      <c r="G301" s="1" t="s">
        <v>4</v>
      </c>
      <c r="H301" s="1" t="s">
        <v>9</v>
      </c>
      <c r="I301" s="1" t="s">
        <v>9</v>
      </c>
      <c r="J301" s="1" t="s">
        <v>3</v>
      </c>
      <c r="K301" s="1" t="s">
        <v>3</v>
      </c>
      <c r="L301" s="1" t="s">
        <v>6</v>
      </c>
      <c r="M301" s="1" t="s">
        <v>6</v>
      </c>
      <c r="N301" s="1" t="s">
        <v>2</v>
      </c>
      <c r="O301" s="1" t="s">
        <v>2</v>
      </c>
      <c r="P301" s="1" t="s">
        <v>0</v>
      </c>
      <c r="Q301" s="1" t="s">
        <v>0</v>
      </c>
      <c r="R301" s="1" t="s">
        <v>7</v>
      </c>
      <c r="S301" s="1" t="s">
        <v>7</v>
      </c>
      <c r="T301" s="1" t="s">
        <v>5</v>
      </c>
      <c r="U301" s="1" t="s">
        <v>5</v>
      </c>
    </row>
    <row r="302">
      <c r="B302" s="1" t="s">
        <v>10</v>
      </c>
      <c r="C302" s="1" t="s">
        <v>11</v>
      </c>
      <c r="D302" s="1" t="s">
        <v>10</v>
      </c>
      <c r="E302" s="1" t="s">
        <v>11</v>
      </c>
      <c r="F302" s="1" t="s">
        <v>10</v>
      </c>
      <c r="G302" s="1" t="s">
        <v>11</v>
      </c>
      <c r="H302" s="1" t="s">
        <v>10</v>
      </c>
      <c r="I302" s="1" t="s">
        <v>11</v>
      </c>
      <c r="J302" s="1" t="s">
        <v>10</v>
      </c>
      <c r="K302" s="1" t="s">
        <v>11</v>
      </c>
      <c r="L302" s="1" t="s">
        <v>10</v>
      </c>
      <c r="M302" s="1" t="s">
        <v>11</v>
      </c>
      <c r="N302" s="1" t="s">
        <v>10</v>
      </c>
      <c r="O302" s="1" t="s">
        <v>11</v>
      </c>
      <c r="P302" s="1" t="s">
        <v>10</v>
      </c>
      <c r="Q302" s="1" t="s">
        <v>11</v>
      </c>
      <c r="R302" s="1" t="s">
        <v>10</v>
      </c>
      <c r="S302" s="1" t="s">
        <v>11</v>
      </c>
      <c r="T302" s="1" t="s">
        <v>10</v>
      </c>
      <c r="U302" s="1" t="s">
        <v>11</v>
      </c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 t="s">
        <v>53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0.0</v>
      </c>
      <c r="P304" s="1"/>
      <c r="Q304" s="1"/>
      <c r="R304" s="1"/>
      <c r="S304" s="1"/>
      <c r="T304" s="1"/>
      <c r="U304" s="1">
        <v>0.0</v>
      </c>
    </row>
    <row r="305">
      <c r="A305" s="1" t="s">
        <v>54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0.0</v>
      </c>
      <c r="P305" s="1"/>
      <c r="Q305" s="1"/>
      <c r="R305" s="1"/>
      <c r="S305" s="1"/>
      <c r="T305" s="1"/>
      <c r="U305" s="1">
        <v>0.0</v>
      </c>
    </row>
    <row r="306">
      <c r="A306" s="1" t="s">
        <v>55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0.0</v>
      </c>
      <c r="P306" s="1"/>
      <c r="Q306" s="1"/>
      <c r="R306" s="1"/>
      <c r="S306" s="1"/>
      <c r="T306" s="1"/>
      <c r="U306" s="1">
        <v>0.0</v>
      </c>
    </row>
    <row r="307">
      <c r="A307" s="1" t="s">
        <v>56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0.0</v>
      </c>
      <c r="P307" s="1"/>
      <c r="Q307" s="1"/>
      <c r="R307" s="1"/>
      <c r="S307" s="1"/>
      <c r="T307" s="1">
        <v>0.0</v>
      </c>
      <c r="U307" s="1">
        <v>4.0</v>
      </c>
    </row>
    <row r="308">
      <c r="A308" s="1" t="s">
        <v>57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>
        <v>0.0</v>
      </c>
      <c r="O308" s="1">
        <v>4.0</v>
      </c>
      <c r="P308" s="1"/>
      <c r="Q308" s="1"/>
      <c r="R308" s="1"/>
      <c r="S308" s="1"/>
      <c r="T308" s="1"/>
      <c r="U308" s="1">
        <v>4.0</v>
      </c>
    </row>
    <row r="309">
      <c r="A309" s="1" t="s">
        <v>58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4.0</v>
      </c>
      <c r="P309" s="1"/>
      <c r="Q309" s="1"/>
      <c r="R309" s="1"/>
      <c r="S309" s="1"/>
      <c r="T309" s="1">
        <v>0.0</v>
      </c>
      <c r="U309" s="1">
        <v>8.0</v>
      </c>
    </row>
    <row r="310">
      <c r="A310" s="1" t="s">
        <v>53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>
        <v>0.0</v>
      </c>
      <c r="O310" s="1">
        <v>8.0</v>
      </c>
      <c r="P310" s="1"/>
      <c r="Q310" s="1"/>
      <c r="R310" s="1"/>
      <c r="S310" s="1"/>
      <c r="T310" s="1"/>
      <c r="U310" s="1">
        <v>8.0</v>
      </c>
    </row>
    <row r="311">
      <c r="A311" s="1" t="s">
        <v>54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8.0</v>
      </c>
      <c r="P311" s="1"/>
      <c r="Q311" s="1"/>
      <c r="R311" s="1"/>
      <c r="S311" s="1"/>
      <c r="T311" s="1">
        <v>10.0</v>
      </c>
      <c r="U311" s="1">
        <v>22.0</v>
      </c>
    </row>
    <row r="312">
      <c r="A312" s="1" t="s">
        <v>55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8.0</v>
      </c>
      <c r="P312" s="1"/>
      <c r="Q312" s="1"/>
      <c r="R312" s="1"/>
      <c r="S312" s="1"/>
      <c r="T312" s="1">
        <v>0.0</v>
      </c>
      <c r="U312" s="1">
        <v>26.0</v>
      </c>
    </row>
    <row r="313">
      <c r="A313" s="1" t="s">
        <v>56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8.0</v>
      </c>
      <c r="P313" s="1"/>
      <c r="Q313" s="1"/>
      <c r="R313" s="1"/>
      <c r="S313" s="1"/>
      <c r="T313" s="1">
        <v>10.0</v>
      </c>
      <c r="U313" s="1">
        <v>40.0</v>
      </c>
    </row>
    <row r="314">
      <c r="A314" s="1" t="s">
        <v>57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>
        <v>0.0</v>
      </c>
      <c r="O314" s="1">
        <v>12.0</v>
      </c>
      <c r="P314" s="1"/>
      <c r="Q314" s="1"/>
      <c r="R314" s="1"/>
      <c r="S314" s="1"/>
      <c r="T314" s="1"/>
      <c r="U314" s="1">
        <v>40.0</v>
      </c>
    </row>
    <row r="315">
      <c r="A315" s="1" t="s">
        <v>58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12.0</v>
      </c>
      <c r="P315" s="1"/>
      <c r="Q315" s="1"/>
      <c r="R315" s="1"/>
      <c r="S315" s="1"/>
      <c r="T315" s="1"/>
      <c r="U315" s="1">
        <v>40.0</v>
      </c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 t="s">
        <v>53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12.0</v>
      </c>
      <c r="P317" s="1"/>
      <c r="Q317" s="1"/>
      <c r="R317" s="1"/>
      <c r="S317" s="1"/>
      <c r="T317" s="1"/>
      <c r="U317" s="1">
        <v>40.0</v>
      </c>
    </row>
    <row r="318">
      <c r="A318" s="1" t="s">
        <v>54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12.0</v>
      </c>
      <c r="P318" s="1"/>
      <c r="Q318" s="1"/>
      <c r="R318" s="1"/>
      <c r="S318" s="1"/>
      <c r="T318" s="1">
        <v>10.0</v>
      </c>
      <c r="U318" s="1">
        <v>54.0</v>
      </c>
    </row>
    <row r="319">
      <c r="A319" s="1" t="s">
        <v>55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12.0</v>
      </c>
      <c r="P319" s="1"/>
      <c r="Q319" s="1"/>
      <c r="R319" s="1"/>
      <c r="S319" s="1"/>
      <c r="T319" s="1">
        <v>0.0</v>
      </c>
      <c r="U319" s="1">
        <v>58.0</v>
      </c>
    </row>
    <row r="320">
      <c r="A320" s="1" t="s">
        <v>56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>
        <v>10.0</v>
      </c>
      <c r="O320" s="1">
        <v>30.0</v>
      </c>
      <c r="P320" s="1"/>
      <c r="Q320" s="1"/>
      <c r="R320" s="1"/>
      <c r="S320" s="1"/>
      <c r="T320" s="1"/>
      <c r="U320" s="1">
        <v>58.0</v>
      </c>
    </row>
    <row r="321">
      <c r="A321" s="1" t="s">
        <v>57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30.0</v>
      </c>
      <c r="P321" s="1"/>
      <c r="Q321" s="1"/>
      <c r="R321" s="1"/>
      <c r="S321" s="1"/>
      <c r="T321" s="1"/>
      <c r="U321" s="1">
        <v>58.0</v>
      </c>
    </row>
    <row r="322">
      <c r="A322" s="1" t="s">
        <v>58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30.0</v>
      </c>
      <c r="P322" s="1"/>
      <c r="Q322" s="1"/>
      <c r="R322" s="1"/>
      <c r="S322" s="1"/>
      <c r="T322" s="1"/>
      <c r="U322" s="1">
        <v>58.0</v>
      </c>
    </row>
    <row r="323">
      <c r="A323" s="1" t="s">
        <v>53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30.0</v>
      </c>
      <c r="P323" s="1"/>
      <c r="Q323" s="1"/>
      <c r="R323" s="1"/>
      <c r="S323" s="1"/>
      <c r="T323" s="1">
        <v>0.0</v>
      </c>
      <c r="U323" s="1">
        <v>62.0</v>
      </c>
    </row>
    <row r="324">
      <c r="A324" s="1" t="s">
        <v>54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>
        <v>0.0</v>
      </c>
      <c r="O324" s="1">
        <v>34.0</v>
      </c>
      <c r="P324" s="1"/>
      <c r="Q324" s="1"/>
      <c r="R324" s="1"/>
      <c r="S324" s="1"/>
      <c r="T324" s="1"/>
      <c r="U324" s="1">
        <v>62.0</v>
      </c>
    </row>
    <row r="325">
      <c r="A325" s="1" t="s">
        <v>55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34.0</v>
      </c>
      <c r="P325" s="1"/>
      <c r="Q325" s="1"/>
      <c r="R325" s="1"/>
      <c r="S325" s="1"/>
      <c r="T325" s="1">
        <v>0.0</v>
      </c>
      <c r="U325" s="1">
        <v>66.0</v>
      </c>
    </row>
    <row r="326">
      <c r="A326" s="1" t="s">
        <v>56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34.0</v>
      </c>
      <c r="P326" s="1"/>
      <c r="Q326" s="1"/>
      <c r="R326" s="1"/>
      <c r="S326" s="1"/>
      <c r="T326" s="1">
        <v>0.0</v>
      </c>
      <c r="U326" s="1">
        <v>70.0</v>
      </c>
    </row>
    <row r="327">
      <c r="A327" s="1" t="s">
        <v>57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>
        <v>0.0</v>
      </c>
      <c r="O327" s="1">
        <v>42.0</v>
      </c>
      <c r="P327" s="1"/>
      <c r="Q327" s="1"/>
      <c r="R327" s="1"/>
      <c r="S327" s="1"/>
      <c r="T327" s="1"/>
      <c r="U327" s="1">
        <v>70.0</v>
      </c>
    </row>
    <row r="328">
      <c r="A328" s="1" t="s">
        <v>58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42.0</v>
      </c>
      <c r="P328" s="1"/>
      <c r="Q328" s="1"/>
      <c r="R328" s="1"/>
      <c r="S328" s="1"/>
      <c r="T328" s="1"/>
      <c r="U328" s="1">
        <v>70.0</v>
      </c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2"/>
      <c r="B331" s="1" t="str">
        <f>B1</f>
        <v>Bethlehem</v>
      </c>
      <c r="D331" s="1" t="str">
        <f>D1</f>
        <v>BHBL A</v>
      </c>
      <c r="F331" s="1" t="str">
        <f>F1</f>
        <v>BHBL B</v>
      </c>
      <c r="H331" s="1" t="str">
        <f>H1</f>
        <v>CBA</v>
      </c>
      <c r="J331" s="1" t="str">
        <f>J1</f>
        <v>Morris Hills</v>
      </c>
      <c r="L331" s="1" t="str">
        <f>L1</f>
        <v>Niskayuna A</v>
      </c>
      <c r="N331" s="1" t="str">
        <f>N1</f>
        <v>Niskayuna B</v>
      </c>
      <c r="P331" s="1" t="str">
        <f>P1</f>
        <v>Shen B</v>
      </c>
      <c r="R331" s="1" t="str">
        <f>R1</f>
        <v>Shen C</v>
      </c>
      <c r="T331" s="1" t="str">
        <f>T1</f>
        <v>WWPN</v>
      </c>
    </row>
    <row r="332">
      <c r="A332" s="2" t="s">
        <v>67</v>
      </c>
      <c r="B332" s="1">
        <f>average(C28,C58,C88,C118,C148,C178,C208,C238,C268,C298,C328)</f>
        <v>35.66666667</v>
      </c>
      <c r="D332" s="1">
        <f>average(E28,E58,E88,E118,E148,E178,E208,E238,E268,E298,E328)</f>
        <v>21</v>
      </c>
      <c r="F332" s="1">
        <f>average(G28,G58,G88,G118,G148,G178,G208,G238,G268,G298,G328)</f>
        <v>38.5</v>
      </c>
      <c r="H332" s="1">
        <f>average(I28,I58,I88,I118,I148,I178,I208,I238,I268,I298,I328)</f>
        <v>28</v>
      </c>
      <c r="J332" s="1">
        <f>average(K28,K58,K88,K118,K148,K178,K208,K238,K268,K298,K328)</f>
        <v>68</v>
      </c>
      <c r="L332" s="1">
        <f>average(M28,M58,M88,M118,M148,M178,M208,M238,M268,M298,M328)</f>
        <v>71.25</v>
      </c>
      <c r="N332" s="1">
        <f>average(O28,O58,O88,O118,O148,O178,O208,O238,O268,O298,O328)</f>
        <v>63.8</v>
      </c>
      <c r="P332" s="1">
        <f>average(Q28,Q58,Q88,Q118,Q148,Q178,Q208,Q238,Q268,Q298,Q328)</f>
        <v>71.25</v>
      </c>
      <c r="R332" s="1">
        <f>average(S28,S58,S88,S118,S148,S178,S208,S238,S268,S298,S328)</f>
        <v>47.14285714</v>
      </c>
      <c r="T332" s="1">
        <f>average(U28,U58,U88,U118,U148,U178,U208,U238,U268,U298,U328)</f>
        <v>117.75</v>
      </c>
    </row>
    <row r="333">
      <c r="A333" s="2" t="s">
        <v>61</v>
      </c>
      <c r="B333" s="1">
        <f>COUNT(C28,C58,C88,C118,C148,C178,C208,C238,C268,C298,C328)</f>
        <v>6</v>
      </c>
      <c r="D333" s="1">
        <f>COUNT(E28,E58,E88,E118,E148,E178,E208,E238,E268,E298,E328)</f>
        <v>4</v>
      </c>
      <c r="F333" s="1">
        <f>COUNT(G28,G58,G88,G118,G148,G178,G208,G238,G268,G298,G328)</f>
        <v>4</v>
      </c>
      <c r="H333" s="1">
        <f>COUNT(I28,I58,I88,I118,I148,I178,I208,I238,I268,I298,I328)</f>
        <v>6</v>
      </c>
      <c r="J333" s="1">
        <f>COUNT(K28,K58,K88,K118,K148,K178,K208,K238,K268,K298,K328)</f>
        <v>7</v>
      </c>
      <c r="L333" s="1">
        <f>COUNT(M28,M58,M88,M118,M148,M178,M208,M238,M268,M298,M328)</f>
        <v>8</v>
      </c>
      <c r="N333" s="1">
        <f>COUNT(O28,O58,O88,O118,O148,O178,O208,O238,O268,O298,O328)</f>
        <v>10</v>
      </c>
      <c r="P333" s="1">
        <f>COUNT(Q28,Q58,Q88,Q118,Q148,Q178,Q208,Q238,Q268,Q298,Q328)</f>
        <v>8</v>
      </c>
      <c r="R333" s="1">
        <f>COUNT(S28,S58,S88,S118,S148,S178,S208,S238,S268,S298,S328)</f>
        <v>7</v>
      </c>
      <c r="T333" s="1">
        <f>COUNT(U28,U58,U88,U118,U148,U178,U208,U238,U268,U298,U328)</f>
        <v>8</v>
      </c>
    </row>
    <row r="334">
      <c r="A334" s="2" t="s">
        <v>10</v>
      </c>
      <c r="B334" s="1">
        <f>countif(B1:B330,"10")</f>
        <v>9</v>
      </c>
      <c r="D334" s="1">
        <f>countif(D1:D330,"10")</f>
        <v>2</v>
      </c>
      <c r="F334" s="1">
        <f>countif(F1:F330,"10")</f>
        <v>7</v>
      </c>
      <c r="H334" s="1">
        <f>countif(H1:H330,"10")</f>
        <v>6</v>
      </c>
      <c r="J334" s="1">
        <f>countif(J1:J330,"10")</f>
        <v>24</v>
      </c>
      <c r="L334" s="1">
        <f>countif(L1:L330,"10")</f>
        <v>29</v>
      </c>
      <c r="N334" s="1">
        <f>countif(N1:N330,"10")</f>
        <v>31</v>
      </c>
      <c r="P334" s="1">
        <f>countif(P1:P330,"10")</f>
        <v>27</v>
      </c>
      <c r="R334" s="1">
        <f>countif(R1:R330,"10")</f>
        <v>17</v>
      </c>
      <c r="T334" s="1">
        <f>countif(T1:T330,"10")</f>
        <v>53</v>
      </c>
    </row>
    <row r="335">
      <c r="A335" s="2" t="s">
        <v>87</v>
      </c>
      <c r="B335" s="1">
        <f>countif(B1:B330,"10")/(countif(B1:B330,"10")+countif(B1:B330,"0"))</f>
        <v>0.3103448276</v>
      </c>
      <c r="D335" s="1">
        <f>countif(D1:D330,"10")/(countif(D1:D330,"10")+countif(D1:D330,"0"))</f>
        <v>0.1333333333</v>
      </c>
      <c r="F335" s="1">
        <f>countif(F1:F330,"10")/(countif(F1:F330,"10")+countif(F1:F330,"0"))</f>
        <v>0.35</v>
      </c>
      <c r="H335" s="1">
        <f>countif(H1:H330,"10")/(countif(H1:H330,"10")+countif(H1:H330,"0"))</f>
        <v>0.2727272727</v>
      </c>
      <c r="J335" s="1">
        <f>countif(J1:J330,"10")/(countif(J1:J330,"10")+countif(J1:J330,"0"))</f>
        <v>0.4285714286</v>
      </c>
      <c r="L335" s="1">
        <f>countif(L1:L330,"10")/(countif(L1:L330,"10")+countif(L1:L330,"0"))</f>
        <v>0.453125</v>
      </c>
      <c r="N335" s="1">
        <f>countif(N1:N330,"10")/(countif(N1:N330,"10")+countif(N1:N330,"0"))</f>
        <v>0.4305555556</v>
      </c>
      <c r="P335" s="1">
        <f>countif(P1:P330,"10")/(countif(P1:P330,"10")+countif(P1:P330,"0"))</f>
        <v>0.3913043478</v>
      </c>
      <c r="R335" s="1">
        <f>countif(R1:R330,"10")/(countif(R1:R330,"10")+countif(R1:R330,"0"))</f>
        <v>0.425</v>
      </c>
      <c r="T335" s="1">
        <f>countif(T1:T330,"10")/(countif(T1:T330,"10")+countif(T1:T330,"0"))</f>
        <v>0.5638297872</v>
      </c>
    </row>
    <row r="336">
      <c r="A336" s="2" t="s">
        <v>88</v>
      </c>
      <c r="B336" s="1">
        <f>countifs(B$2:B$330,"10",$A$2:$A$330,"X")</f>
        <v>3</v>
      </c>
      <c r="D336" s="1">
        <f>countifs(D$2:D$330,"10",$A$2:$A$330,"X")</f>
        <v>0</v>
      </c>
      <c r="F336" s="1">
        <f>countifs(F$2:F$330,"10",$A$2:$A$330,"X")</f>
        <v>1</v>
      </c>
      <c r="H336" s="1">
        <f>countifs(H$2:H$330,"10",$A$2:$A$330,"X")</f>
        <v>0</v>
      </c>
      <c r="J336" s="1">
        <f>countifs(J$2:J$330,"10",$A$2:$A$330,"X")</f>
        <v>7</v>
      </c>
      <c r="L336" s="1">
        <f>countifs(L$2:L$330,"10",$A$2:$A$330,"X")</f>
        <v>5</v>
      </c>
      <c r="N336" s="1">
        <f>countifs(N$2:N$330,"10",$A$2:$A$330,"X")</f>
        <v>10</v>
      </c>
      <c r="P336" s="1">
        <f>countifs(P$2:P$330,"10",$A$2:$A$330,"X")</f>
        <v>8</v>
      </c>
      <c r="R336" s="1">
        <f>countifs(R$2:R$330,"10",$A$2:$A$330,"X")</f>
        <v>6</v>
      </c>
      <c r="T336" s="1">
        <f>countifs(T$2:T$330,"10",$A$2:$A$330,"X")</f>
        <v>7</v>
      </c>
    </row>
    <row r="337">
      <c r="A337" s="2" t="s">
        <v>89</v>
      </c>
      <c r="B337" s="1">
        <f>countifs(B$1:B$330,"10",$A$1:$A$330,"X")/(countifs(B$1:B$330,"10",$A$1:$A$330,"X")+COUNTIFS(B$1:B$330,"0",$A$1:$A$330,"X"))</f>
        <v>0.3333333333</v>
      </c>
      <c r="D337" s="1">
        <f>countifs(D$1:D$330,"10",$A$1:$A$330,"X")/(countifs(D$1:D$330,"10",$A$1:$A$330,"X")+COUNTIFS(D$1:D$330,"0",$A$1:$A$330,"X"))</f>
        <v>0</v>
      </c>
      <c r="F337" s="1">
        <f>countifs(F$1:F$330,"10",$A$1:$A$330,"X")/(countifs(F$1:F$330,"10",$A$1:$A$330,"X")+COUNTIFS(F$1:F$330,"0",$A$1:$A$330,"X"))</f>
        <v>1</v>
      </c>
      <c r="H337" s="1">
        <f>countifs(H$1:H$330,"10",$A$1:$A$330,"X")/(countifs(H$1:H$330,"10",$A$1:$A$330,"X")+COUNTIFS(H$1:H$330,"0",$A$1:$A$330,"X"))</f>
        <v>0</v>
      </c>
      <c r="J337" s="1">
        <f>countifs(J$1:J$330,"10",$A$1:$A$330,"X")/(countifs(J$1:J$330,"10",$A$1:$A$330,"X")+COUNTIFS(J$1:J$330,"0",$A$1:$A$330,"X"))</f>
        <v>0.7</v>
      </c>
      <c r="L337" s="1">
        <f>countifs(L$1:L$330,"10",$A$1:$A$330,"X")/(countifs(L$1:L$330,"10",$A$1:$A$330,"X")+COUNTIFS(L$1:L$330,"0",$A$1:$A$330,"X"))</f>
        <v>0.4545454545</v>
      </c>
      <c r="N337" s="1">
        <f>countifs(N$1:N$330,"10",$A$1:$A$330,"X")/(countifs(N$1:N$330,"10",$A$1:$A$330,"X")+COUNTIFS(N$1:N$330,"0",$A$1:$A$330,"X"))</f>
        <v>0.6666666667</v>
      </c>
      <c r="P337" s="1">
        <f>countifs(P$1:P$330,"10",$A$1:$A$330,"X")/(countifs(P$1:P$330,"10",$A$1:$A$330,"X")+COUNTIFS(P$1:P$330,"0",$A$1:$A$330,"X"))</f>
        <v>0.6666666667</v>
      </c>
      <c r="R337" s="1">
        <f>countifs(R$1:R$330,"10",$A$1:$A$330,"X")/(countifs(R$1:R$330,"10",$A$1:$A$330,"X")+COUNTIFS(R$1:R$330,"0",$A$1:$A$330,"X"))</f>
        <v>0.75</v>
      </c>
      <c r="T337" s="1">
        <f>countifs(T$1:T$330,"10",$A$1:$A$330,"X")/(countifs(T$1:T$330,"10",$A$1:$A$330,"X")+COUNTIFS(T$1:T$330,"0",$A$1:$A$330,"X"))</f>
        <v>0.4666666667</v>
      </c>
    </row>
    <row r="338">
      <c r="A338" s="2" t="s">
        <v>90</v>
      </c>
      <c r="B338" s="1">
        <f>countifs(B$2:B$330,"10",$A$2:$A$330,"M")</f>
        <v>0</v>
      </c>
      <c r="D338" s="1">
        <f>countifs(D$2:D$330,"10",$A$2:$A$330,"M")</f>
        <v>0</v>
      </c>
      <c r="F338" s="1">
        <f>countifs(F$2:F$330,"10",$A$2:$A$330,"M")</f>
        <v>2</v>
      </c>
      <c r="H338" s="1">
        <f>countifs(H$2:H$330,"10",$A$2:$A$330,"M")</f>
        <v>1</v>
      </c>
      <c r="J338" s="1">
        <f>countifs(J$2:J$330,"10",$A$2:$A$330,"M")</f>
        <v>3</v>
      </c>
      <c r="L338" s="1">
        <f>countifs(L$2:L$330,"10",$A$2:$A$330,"M")</f>
        <v>9</v>
      </c>
      <c r="N338" s="1">
        <f>countifs(N$2:N$330,"10",$A$2:$A$330,"M")</f>
        <v>3</v>
      </c>
      <c r="P338" s="1">
        <f>countifs(P$2:P$330,"10",$A$2:$A$330,"M")</f>
        <v>4</v>
      </c>
      <c r="R338" s="1">
        <f>countifs(R$2:R$330,"10",$A$2:$A$330,"M")</f>
        <v>3</v>
      </c>
      <c r="T338" s="1">
        <f>countifs(T$2:T$330,"10",$A$2:$A$330,"M")</f>
        <v>15</v>
      </c>
    </row>
    <row r="339">
      <c r="A339" s="2" t="s">
        <v>91</v>
      </c>
      <c r="B339" s="1">
        <f>countifs(B$1:B$330,"10",$A$1:$A$330,"M")/(countifs(B$1:B$330,"10",$A$1:$A$330,"M")+COUNTIFS(B$1:B$330,"0",$A$1:$A$330,"M"))</f>
        <v>0</v>
      </c>
      <c r="D339" s="1">
        <f>countifs(D$1:D$330,"10",$A$1:$A$330,"M")/(countifs(D$1:D$330,"10",$A$1:$A$330,"M")+COUNTIFS(D$1:D$330,"0",$A$1:$A$330,"M"))</f>
        <v>0</v>
      </c>
      <c r="F339" s="1">
        <f>countifs(F$1:F$330,"10",$A$1:$A$330,"M")/(countifs(F$1:F$330,"10",$A$1:$A$330,"M")+COUNTIFS(F$1:F$330,"0",$A$1:$A$330,"M"))</f>
        <v>0.4</v>
      </c>
      <c r="H339" s="1">
        <f>countifs(H$1:H$330,"10",$A$1:$A$330,"M")/(countifs(H$1:H$330,"10",$A$1:$A$330,"M")+COUNTIFS(H$1:H$330,"0",$A$1:$A$330,"M"))</f>
        <v>0.1666666667</v>
      </c>
      <c r="J339" s="1">
        <f>countifs(J$1:J$330,"10",$A$1:$A$330,"M")/(countifs(J$1:J$330,"10",$A$1:$A$330,"M")+COUNTIFS(J$1:J$330,"0",$A$1:$A$330,"M"))</f>
        <v>0.3333333333</v>
      </c>
      <c r="L339" s="1">
        <f>countifs(L$1:L$330,"10",$A$1:$A$330,"M")/(countifs(L$1:L$330,"10",$A$1:$A$330,"M")+COUNTIFS(L$1:L$330,"0",$A$1:$A$330,"M"))</f>
        <v>0.6</v>
      </c>
      <c r="N339" s="1">
        <f>countifs(N$1:N$330,"10",$A$1:$A$330,"M")/(countifs(N$1:N$330,"10",$A$1:$A$330,"M")+COUNTIFS(N$1:N$330,"0",$A$1:$A$330,"M"))</f>
        <v>0.3</v>
      </c>
      <c r="P339" s="1">
        <f>countifs(P$1:P$330,"10",$A$1:$A$330,"M")/(countifs(P$1:P$330,"10",$A$1:$A$330,"M")+COUNTIFS(P$1:P$330,"0",$A$1:$A$330,"M"))</f>
        <v>0.4</v>
      </c>
      <c r="R339" s="1">
        <f>countifs(R$1:R$330,"10",$A$1:$A$330,"M")/(countifs(R$1:R$330,"10",$A$1:$A$330,"M")+COUNTIFS(R$1:R$330,"0",$A$1:$A$330,"M"))</f>
        <v>0.375</v>
      </c>
      <c r="T339" s="1">
        <f>countifs(T$1:T$330,"10",$A$1:$A$330,"M")/(countifs(T$1:T$330,"10",$A$1:$A$330,"M")+COUNTIFS(T$1:T$330,"0",$A$1:$A$330,"M"))</f>
        <v>0.7142857143</v>
      </c>
    </row>
    <row r="340">
      <c r="A340" s="2" t="s">
        <v>92</v>
      </c>
      <c r="B340" s="1">
        <f>countifs(B$2:B$330,"10",$A$2:$A$330,"C")</f>
        <v>3</v>
      </c>
      <c r="D340" s="1">
        <f>countifs(D$2:D$330,"10",$A$2:$A$330,"C")</f>
        <v>0</v>
      </c>
      <c r="F340" s="1">
        <f>countifs(F$2:F$330,"10",$A$2:$A$330,"C")</f>
        <v>1</v>
      </c>
      <c r="H340" s="1">
        <f>countifs(H$2:H$330,"10",$A$2:$A$330,"C")</f>
        <v>4</v>
      </c>
      <c r="J340" s="1">
        <f>countifs(J$2:J$330,"10",$A$2:$A$330,"C")</f>
        <v>3</v>
      </c>
      <c r="L340" s="1">
        <f>countifs(L$2:L$330,"10",$A$2:$A$330,"C")</f>
        <v>6</v>
      </c>
      <c r="N340" s="1">
        <f>countifs(N$2:N$330,"10",$A$2:$A$330,"C")</f>
        <v>4</v>
      </c>
      <c r="P340" s="1">
        <f>countifs(P$2:P$330,"10",$A$2:$A$330,"C")</f>
        <v>4</v>
      </c>
      <c r="R340" s="1">
        <f>countifs(R$2:R$330,"10",$A$2:$A$330,"C")</f>
        <v>2</v>
      </c>
      <c r="T340" s="1">
        <f>countifs(T$2:T$330,"10",$A$2:$A$330,"C")</f>
        <v>7</v>
      </c>
    </row>
    <row r="341">
      <c r="A341" s="2" t="s">
        <v>93</v>
      </c>
      <c r="B341" s="1">
        <f>countifs(B$1:B$330,"10",$A$1:$A$330,"C")/(countifs(B$1:B$330,"10",$A$1:$A$330,"C")+COUNTIFS(B$1:B$330,"0",$A$1:$A$330,"C"))</f>
        <v>0.6</v>
      </c>
      <c r="D341" s="1">
        <f>countifs(D$1:D$330,"10",$A$1:$A$330,"C")/(countifs(D$1:D$330,"10",$A$1:$A$330,"C")+COUNTIFS(D$1:D$330,"0",$A$1:$A$330,"C"))</f>
        <v>0</v>
      </c>
      <c r="F341" s="1">
        <f>countifs(F$1:F$330,"10",$A$1:$A$330,"C")/(countifs(F$1:F$330,"10",$A$1:$A$330,"C")+COUNTIFS(F$1:F$330,"0",$A$1:$A$330,"C"))</f>
        <v>0.1666666667</v>
      </c>
      <c r="H341" s="1">
        <f>countifs(H$1:H$330,"10",$A$1:$A$330,"C")/(countifs(H$1:H$330,"10",$A$1:$A$330,"C")+COUNTIFS(H$1:H$330,"0",$A$1:$A$330,"C"))</f>
        <v>0.5714285714</v>
      </c>
      <c r="J341" s="1">
        <f>countifs(J$1:J$330,"10",$A$1:$A$330,"C")/(countifs(J$1:J$330,"10",$A$1:$A$330,"C")+COUNTIFS(J$1:J$330,"0",$A$1:$A$330,"C"))</f>
        <v>0.3333333333</v>
      </c>
      <c r="L341" s="1">
        <f>countifs(L$1:L$330,"10",$A$1:$A$330,"C")/(countifs(L$1:L$330,"10",$A$1:$A$330,"C")+COUNTIFS(L$1:L$330,"0",$A$1:$A$330,"C"))</f>
        <v>0.4615384615</v>
      </c>
      <c r="N341" s="1">
        <f>countifs(N$1:N$330,"10",$A$1:$A$330,"C")/(countifs(N$1:N$330,"10",$A$1:$A$330,"C")+COUNTIFS(N$1:N$330,"0",$A$1:$A$330,"C"))</f>
        <v>0.5714285714</v>
      </c>
      <c r="P341" s="1">
        <f>countifs(P$1:P$330,"10",$A$1:$A$330,"C")/(countifs(P$1:P$330,"10",$A$1:$A$330,"C")+COUNTIFS(P$1:P$330,"0",$A$1:$A$330,"C"))</f>
        <v>0.3333333333</v>
      </c>
      <c r="R341" s="1">
        <f>countifs(R$1:R$330,"10",$A$1:$A$330,"C")/(countifs(R$1:R$330,"10",$A$1:$A$330,"C")+COUNTIFS(R$1:R$330,"0",$A$1:$A$330,"C"))</f>
        <v>0.6666666667</v>
      </c>
      <c r="T341" s="1">
        <f>countifs(T$1:T$330,"10",$A$1:$A$330,"C")/(countifs(T$1:T$330,"10",$A$1:$A$330,"C")+COUNTIFS(T$1:T$330,"0",$A$1:$A$330,"C"))</f>
        <v>0.5384615385</v>
      </c>
    </row>
    <row r="342">
      <c r="A342" s="2" t="s">
        <v>94</v>
      </c>
      <c r="B342" s="1">
        <f>countifs(B$2:B$330,"10",$A$2:$A$330,"E")</f>
        <v>0</v>
      </c>
      <c r="D342" s="1">
        <f>countifs(D$2:D$330,"10",$A$2:$A$330,"E")</f>
        <v>1</v>
      </c>
      <c r="F342" s="1">
        <f>countifs(F$2:F$330,"10",$A$2:$A$330,"E")</f>
        <v>0</v>
      </c>
      <c r="H342" s="1">
        <f>countifs(H$2:H$330,"10",$A$2:$A$330,"E")</f>
        <v>0</v>
      </c>
      <c r="J342" s="1">
        <f>countifs(J$2:J$330,"10",$A$2:$A$330,"E")</f>
        <v>4</v>
      </c>
      <c r="L342" s="1">
        <f>countifs(L$2:L$330,"10",$A$2:$A$330,"E")</f>
        <v>4</v>
      </c>
      <c r="N342" s="1">
        <f>countifs(N$2:N$330,"10",$A$2:$A$330,"E")</f>
        <v>7</v>
      </c>
      <c r="P342" s="1">
        <f>countifs(P$2:P$330,"10",$A$2:$A$330,"E")</f>
        <v>5</v>
      </c>
      <c r="R342" s="1">
        <f>countifs(R$2:R$330,"10",$A$2:$A$330,"E")</f>
        <v>3</v>
      </c>
      <c r="T342" s="1">
        <f>countifs(T$2:T$330,"10",$A$2:$A$330,"E")</f>
        <v>13</v>
      </c>
    </row>
    <row r="343">
      <c r="A343" s="2" t="s">
        <v>95</v>
      </c>
      <c r="B343" s="1">
        <f>countifs(B$1:B$330,"10",$A$1:$A$330,"E")/(countifs(B$1:B$330,"10",$A$1:$A$330,"E")+COUNTIFS(B$1:B$330,"0",$A$1:$A$330,"E"))</f>
        <v>0</v>
      </c>
      <c r="D343" s="1">
        <f>countifs(D$1:D$330,"10",$A$1:$A$330,"E")/(countifs(D$1:D$330,"10",$A$1:$A$330,"E")+COUNTIFS(D$1:D$330,"0",$A$1:$A$330,"E"))</f>
        <v>0.3333333333</v>
      </c>
      <c r="F343" s="1">
        <f>countifs(F$1:F$330,"10",$A$1:$A$330,"E")/(countifs(F$1:F$330,"10",$A$1:$A$330,"E")+COUNTIFS(F$1:F$330,"0",$A$1:$A$330,"E"))</f>
        <v>0</v>
      </c>
      <c r="H343" s="1">
        <f>countifs(H$1:H$330,"10",$A$1:$A$330,"E")/(countifs(H$1:H$330,"10",$A$1:$A$330,"E")+COUNTIFS(H$1:H$330,"0",$A$1:$A$330,"E"))</f>
        <v>0</v>
      </c>
      <c r="J343" s="1">
        <f>countifs(J$1:J$330,"10",$A$1:$A$330,"E")/(countifs(J$1:J$330,"10",$A$1:$A$330,"E")+COUNTIFS(J$1:J$330,"0",$A$1:$A$330,"E"))</f>
        <v>0.5</v>
      </c>
      <c r="L343" s="1">
        <f>countifs(L$1:L$330,"10",$A$1:$A$330,"E")/(countifs(L$1:L$330,"10",$A$1:$A$330,"E")+COUNTIFS(L$1:L$330,"0",$A$1:$A$330,"E"))</f>
        <v>0.4444444444</v>
      </c>
      <c r="N343" s="1">
        <f>countifs(N$1:N$330,"10",$A$1:$A$330,"E")/(countifs(N$1:N$330,"10",$A$1:$A$330,"E")+COUNTIFS(N$1:N$330,"0",$A$1:$A$330,"E"))</f>
        <v>0.4375</v>
      </c>
      <c r="P343" s="1">
        <f>countifs(P$1:P$330,"10",$A$1:$A$330,"E")/(countifs(P$1:P$330,"10",$A$1:$A$330,"E")+COUNTIFS(P$1:P$330,"0",$A$1:$A$330,"E"))</f>
        <v>0.4166666667</v>
      </c>
      <c r="R343" s="1">
        <f>countifs(R$1:R$330,"10",$A$1:$A$330,"E")/(countifs(R$1:R$330,"10",$A$1:$A$330,"E")+COUNTIFS(R$1:R$330,"0",$A$1:$A$330,"E"))</f>
        <v>0.4285714286</v>
      </c>
      <c r="T343" s="1">
        <f>countifs(T$1:T$330,"10",$A$1:$A$330,"E")/(countifs(T$1:T$330,"10",$A$1:$A$330,"E")+COUNTIFS(T$1:T$330,"0",$A$1:$A$330,"E"))</f>
        <v>0.6842105263</v>
      </c>
    </row>
    <row r="344">
      <c r="A344" s="2" t="s">
        <v>96</v>
      </c>
      <c r="B344" s="1">
        <f>countifs(B$2:B$330,"10",$A$2:$A$330,"B")</f>
        <v>3</v>
      </c>
      <c r="D344" s="1">
        <f>countifs(D$2:D$330,"10",$A$2:$A$330,"B")</f>
        <v>1</v>
      </c>
      <c r="F344" s="1">
        <f>countifs(F$2:F$330,"10",$A$2:$A$330,"B")</f>
        <v>1</v>
      </c>
      <c r="H344" s="1">
        <f>countifs(H$2:H$330,"10",$A$2:$A$330,"B")</f>
        <v>0</v>
      </c>
      <c r="J344" s="1">
        <f>countifs(J$2:J$330,"10",$A$2:$A$330,"B")</f>
        <v>3</v>
      </c>
      <c r="L344" s="1">
        <f>countifs(L$2:L$330,"10",$A$2:$A$330,"B")</f>
        <v>2</v>
      </c>
      <c r="N344" s="1">
        <f>countifs(N$2:N$330,"10",$A$2:$A$330,"B")</f>
        <v>4</v>
      </c>
      <c r="P344" s="1">
        <f>countifs(P$2:P$330,"10",$A$2:$A$330,"B")</f>
        <v>4</v>
      </c>
      <c r="R344" s="1">
        <f>countifs(R$2:R$330,"10",$A$2:$A$330,"B")</f>
        <v>1</v>
      </c>
      <c r="T344" s="1">
        <f>countifs(T$2:T$330,"10",$A$2:$A$330,"B")</f>
        <v>6</v>
      </c>
    </row>
    <row r="345">
      <c r="A345" s="2" t="s">
        <v>97</v>
      </c>
      <c r="B345" s="1">
        <f>countifs(B$1:B$330,"10",$A$1:$A$330,"B")/(countifs(B$1:B$330,"10",$A$1:$A$330,"B")+COUNTIFS(B$1:B$330,"0",$A$1:$A$330,"B"))</f>
        <v>0.375</v>
      </c>
      <c r="D345" s="1">
        <f>countifs(D$1:D$330,"10",$A$1:$A$330,"B")/(countifs(D$1:D$330,"10",$A$1:$A$330,"B")+COUNTIFS(D$1:D$330,"0",$A$1:$A$330,"B"))</f>
        <v>0.5</v>
      </c>
      <c r="F345" s="1">
        <f>countifs(F$1:F$330,"10",$A$1:$A$330,"B")/(countifs(F$1:F$330,"10",$A$1:$A$330,"B")+COUNTIFS(F$1:F$330,"0",$A$1:$A$330,"B"))</f>
        <v>0.5</v>
      </c>
      <c r="H345" s="1">
        <f>countifs(H$1:H$330,"10",$A$1:$A$330,"B")/(countifs(H$1:H$330,"10",$A$1:$A$330,"B")+COUNTIFS(H$1:H$330,"0",$A$1:$A$330,"B"))</f>
        <v>0</v>
      </c>
      <c r="J345" s="1">
        <f>countifs(J$1:J$330,"10",$A$1:$A$330,"B")/(countifs(J$1:J$330,"10",$A$1:$A$330,"B")+COUNTIFS(J$1:J$330,"0",$A$1:$A$330,"B"))</f>
        <v>0.3</v>
      </c>
      <c r="L345" s="1">
        <f>countifs(L$1:L$330,"10",$A$1:$A$330,"B")/(countifs(L$1:L$330,"10",$A$1:$A$330,"B")+COUNTIFS(L$1:L$330,"0",$A$1:$A$330,"B"))</f>
        <v>0.2222222222</v>
      </c>
      <c r="N345" s="1">
        <f>countifs(N$1:N$330,"10",$A$1:$A$330,"B")/(countifs(N$1:N$330,"10",$A$1:$A$330,"B")+COUNTIFS(N$1:N$330,"0",$A$1:$A$330,"B"))</f>
        <v>0.25</v>
      </c>
      <c r="P345" s="1">
        <f>countifs(P$1:P$330,"10",$A$1:$A$330,"B")/(countifs(P$1:P$330,"10",$A$1:$A$330,"B")+COUNTIFS(P$1:P$330,"0",$A$1:$A$330,"B"))</f>
        <v>0.4</v>
      </c>
      <c r="R345" s="1">
        <f>countifs(R$1:R$330,"10",$A$1:$A$330,"B")/(countifs(R$1:R$330,"10",$A$1:$A$330,"B")+COUNTIFS(R$1:R$330,"0",$A$1:$A$330,"B"))</f>
        <v>0.2</v>
      </c>
      <c r="T345" s="1">
        <f>countifs(T$1:T$330,"10",$A$1:$A$330,"B")/(countifs(T$1:T$330,"10",$A$1:$A$330,"B")+COUNTIFS(T$1:T$330,"0",$A$1:$A$330,"B"))</f>
        <v>0.4615384615</v>
      </c>
    </row>
    <row r="346">
      <c r="A346" s="2" t="s">
        <v>98</v>
      </c>
      <c r="B346" s="1">
        <f>countifs(B$2:B$330,"10",$A$2:$A$330,"P")</f>
        <v>0</v>
      </c>
      <c r="D346" s="1">
        <f>countifs(D$2:D$330,"10",$A$2:$A$330,"P")</f>
        <v>0</v>
      </c>
      <c r="F346" s="1">
        <f>countifs(F$2:F$330,"10",$A$2:$A$330,"P")</f>
        <v>2</v>
      </c>
      <c r="H346" s="1">
        <f>countifs(H$2:H$330,"10",$A$2:$A$330,"P")</f>
        <v>1</v>
      </c>
      <c r="J346" s="1">
        <f>countifs(J$2:J$330,"10",$A$2:$A$330,"P")</f>
        <v>4</v>
      </c>
      <c r="L346" s="1">
        <f>countifs(L$2:L$330,"10",$A$2:$A$330,"P")</f>
        <v>3</v>
      </c>
      <c r="N346" s="1">
        <f>countifs(N$2:N$330,"10",$A$2:$A$330,"P")</f>
        <v>3</v>
      </c>
      <c r="P346" s="1">
        <f>countifs(P$2:P$330,"10",$A$2:$A$330,"P")</f>
        <v>2</v>
      </c>
      <c r="R346" s="1">
        <f>countifs(R$2:R$330,"10",$A$2:$A$330,"P")</f>
        <v>2</v>
      </c>
      <c r="T346" s="1">
        <f>countifs(T$2:T$330,"10",$A$2:$A$330,"P")</f>
        <v>5</v>
      </c>
    </row>
    <row r="347">
      <c r="A347" s="2" t="s">
        <v>99</v>
      </c>
      <c r="B347" s="1">
        <f>countifs(B$1:B$330,"10",$A$1:$A$330,"P")/(countifs(B$1:B$330,"10",$A$1:$A$330,"P")+COUNTIFS(B$1:B$330,"0",$A$1:$A$330,"P"))</f>
        <v>0</v>
      </c>
      <c r="D347" s="1">
        <f>countifs(D$1:D$330,"10",$A$1:$A$330,"P")/(countifs(D$1:D$330,"10",$A$1:$A$330,"P")+COUNTIFS(D$1:D$330,"0",$A$1:$A$330,"P"))</f>
        <v>0</v>
      </c>
      <c r="F347" s="1">
        <f>countifs(F$1:F$330,"10",$A$1:$A$330,"P")/(countifs(F$1:F$330,"10",$A$1:$A$330,"P")+COUNTIFS(F$1:F$330,"0",$A$1:$A$330,"P"))</f>
        <v>0.5</v>
      </c>
      <c r="H347" s="1">
        <f>countifs(H$1:H$330,"10",$A$1:$A$330,"P")/(countifs(H$1:H$330,"10",$A$1:$A$330,"P")+COUNTIFS(H$1:H$330,"0",$A$1:$A$330,"P"))</f>
        <v>0.25</v>
      </c>
      <c r="J347" s="1">
        <f>countifs(J$1:J$330,"10",$A$1:$A$330,"P")/(countifs(J$1:J$330,"10",$A$1:$A$330,"P")+COUNTIFS(J$1:J$330,"0",$A$1:$A$330,"P"))</f>
        <v>0.4</v>
      </c>
      <c r="L347" s="1">
        <f>countifs(L$1:L$330,"10",$A$1:$A$330,"P")/(countifs(L$1:L$330,"10",$A$1:$A$330,"P")+COUNTIFS(L$1:L$330,"0",$A$1:$A$330,"P"))</f>
        <v>0.4285714286</v>
      </c>
      <c r="N347" s="1">
        <f>countifs(N$1:N$330,"10",$A$1:$A$330,"P")/(countifs(N$1:N$330,"10",$A$1:$A$330,"P")+COUNTIFS(N$1:N$330,"0",$A$1:$A$330,"P"))</f>
        <v>0.375</v>
      </c>
      <c r="P347" s="1">
        <f>countifs(P$1:P$330,"10",$A$1:$A$330,"P")/(countifs(P$1:P$330,"10",$A$1:$A$330,"P")+COUNTIFS(P$1:P$330,"0",$A$1:$A$330,"P"))</f>
        <v>0.1538461538</v>
      </c>
      <c r="R347" s="1">
        <f>countifs(R$1:R$330,"10",$A$1:$A$330,"P")/(countifs(R$1:R$330,"10",$A$1:$A$330,"P")+COUNTIFS(R$1:R$330,"0",$A$1:$A$330,"P"))</f>
        <v>0.2222222222</v>
      </c>
      <c r="T347" s="1">
        <f>countifs(T$1:T$330,"10",$A$1:$A$330,"P")/(countifs(T$1:T$330,"10",$A$1:$A$330,"P")+COUNTIFS(T$1:T$330,"0",$A$1:$A$330,"P"))</f>
        <v>0.3846153846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9" width="7.63"/>
    <col customWidth="1" hidden="1" min="10" max="11" width="7.63"/>
    <col customWidth="1" min="12" max="12" width="7.63"/>
    <col customWidth="1" hidden="1" min="13" max="14" width="7.63"/>
    <col customWidth="1" min="15" max="15" width="7.63"/>
    <col customWidth="1" hidden="1" min="16" max="17" width="7.63"/>
    <col customWidth="1" min="18" max="18" width="7.63"/>
    <col customWidth="1" hidden="1" min="19" max="20" width="7.63"/>
    <col customWidth="1" min="21" max="21" width="7.63"/>
    <col customWidth="1" hidden="1" min="22" max="23" width="7.63"/>
    <col customWidth="1" min="24" max="24" width="7.63"/>
    <col customWidth="1" hidden="1" min="25" max="26" width="7.63"/>
    <col customWidth="1" min="27" max="27" width="7.63"/>
  </cols>
  <sheetData>
    <row r="1">
      <c r="A1" s="8" t="s">
        <v>59</v>
      </c>
      <c r="B1" s="8" t="s">
        <v>60</v>
      </c>
      <c r="C1" s="8" t="s">
        <v>61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  <c r="I1" s="10" t="s">
        <v>67</v>
      </c>
      <c r="J1" s="9" t="s">
        <v>68</v>
      </c>
      <c r="K1" s="9" t="s">
        <v>69</v>
      </c>
      <c r="L1" s="8" t="s">
        <v>70</v>
      </c>
      <c r="M1" s="9" t="s">
        <v>71</v>
      </c>
      <c r="N1" s="9" t="s">
        <v>72</v>
      </c>
      <c r="O1" s="8" t="s">
        <v>73</v>
      </c>
      <c r="P1" s="9" t="s">
        <v>74</v>
      </c>
      <c r="Q1" s="9" t="s">
        <v>75</v>
      </c>
      <c r="R1" s="8" t="s">
        <v>76</v>
      </c>
      <c r="S1" s="9" t="s">
        <v>77</v>
      </c>
      <c r="T1" s="9" t="s">
        <v>78</v>
      </c>
      <c r="U1" s="8" t="s">
        <v>79</v>
      </c>
      <c r="V1" s="9" t="s">
        <v>80</v>
      </c>
      <c r="W1" s="9" t="s">
        <v>81</v>
      </c>
      <c r="X1" s="8" t="s">
        <v>82</v>
      </c>
      <c r="Y1" s="9" t="s">
        <v>83</v>
      </c>
      <c r="Z1" s="9" t="s">
        <v>84</v>
      </c>
      <c r="AA1" s="8" t="s">
        <v>85</v>
      </c>
    </row>
    <row r="2">
      <c r="A2" s="9" t="s">
        <v>52</v>
      </c>
      <c r="B2" s="8" t="s">
        <v>5</v>
      </c>
      <c r="C2" s="11">
        <v>8.0</v>
      </c>
      <c r="D2" s="9">
        <v>192.0</v>
      </c>
      <c r="E2" s="9">
        <v>54.0</v>
      </c>
      <c r="F2" s="9">
        <v>9.0</v>
      </c>
      <c r="G2" s="9">
        <v>6.0</v>
      </c>
      <c r="H2" s="9">
        <v>180.0</v>
      </c>
      <c r="I2" s="10">
        <v>22.5</v>
      </c>
      <c r="J2" s="9">
        <v>11.0</v>
      </c>
      <c r="K2" s="9">
        <v>2.0</v>
      </c>
      <c r="L2" s="9">
        <v>4.5</v>
      </c>
      <c r="M2" s="9">
        <v>1.0</v>
      </c>
      <c r="N2" s="9">
        <v>1.0</v>
      </c>
      <c r="O2" s="9">
        <v>0.0</v>
      </c>
      <c r="P2" s="9">
        <v>7.0</v>
      </c>
      <c r="Q2" s="9">
        <v>0.0</v>
      </c>
      <c r="R2" s="9">
        <v>3.5</v>
      </c>
      <c r="S2" s="9">
        <v>13.0</v>
      </c>
      <c r="T2" s="9">
        <v>0.0</v>
      </c>
      <c r="U2" s="9">
        <v>6.5</v>
      </c>
      <c r="V2" s="9">
        <v>12.0</v>
      </c>
      <c r="W2" s="9">
        <v>4.0</v>
      </c>
      <c r="X2" s="9">
        <v>4.0</v>
      </c>
      <c r="Y2" s="9">
        <v>10.0</v>
      </c>
      <c r="Z2" s="9">
        <v>2.0</v>
      </c>
      <c r="AA2" s="9">
        <v>4.0</v>
      </c>
    </row>
    <row r="3">
      <c r="A3" s="9" t="s">
        <v>48</v>
      </c>
      <c r="B3" s="9" t="s">
        <v>3</v>
      </c>
      <c r="C3" s="11">
        <v>7.0</v>
      </c>
      <c r="D3" s="9">
        <v>168.0</v>
      </c>
      <c r="E3" s="9">
        <v>33.0</v>
      </c>
      <c r="F3" s="9">
        <v>1.0</v>
      </c>
      <c r="G3" s="9">
        <v>33.0</v>
      </c>
      <c r="H3" s="9">
        <v>128.0</v>
      </c>
      <c r="I3" s="12">
        <v>18.285714285714285</v>
      </c>
      <c r="J3" s="13">
        <v>6.0</v>
      </c>
      <c r="K3" s="13">
        <v>0.0</v>
      </c>
      <c r="L3" s="13">
        <v>3.4285714285714284</v>
      </c>
      <c r="M3" s="9">
        <v>7.0</v>
      </c>
      <c r="N3" s="9">
        <v>0.0</v>
      </c>
      <c r="O3" s="9">
        <v>4.0</v>
      </c>
      <c r="P3" s="9">
        <v>3.0</v>
      </c>
      <c r="Q3" s="9">
        <v>0.0</v>
      </c>
      <c r="R3" s="13">
        <v>1.7142857142857142</v>
      </c>
      <c r="S3" s="13">
        <v>6.0</v>
      </c>
      <c r="T3" s="13">
        <v>0.0</v>
      </c>
      <c r="U3" s="13">
        <v>3.4285714285714284</v>
      </c>
      <c r="V3" s="13">
        <v>5.0</v>
      </c>
      <c r="W3" s="13">
        <v>0.0</v>
      </c>
      <c r="X3" s="13">
        <v>2.857142857142857</v>
      </c>
      <c r="Y3" s="13">
        <v>6.0</v>
      </c>
      <c r="Z3" s="13">
        <v>1.0</v>
      </c>
      <c r="AA3" s="13">
        <v>2.857142857142857</v>
      </c>
    </row>
    <row r="4">
      <c r="A4" s="9" t="s">
        <v>43</v>
      </c>
      <c r="B4" s="9" t="s">
        <v>0</v>
      </c>
      <c r="C4" s="11">
        <v>8.0</v>
      </c>
      <c r="D4" s="9">
        <v>192.0</v>
      </c>
      <c r="E4" s="9">
        <v>31.0</v>
      </c>
      <c r="F4" s="9">
        <v>0.0</v>
      </c>
      <c r="G4" s="9" t="s">
        <v>86</v>
      </c>
      <c r="H4" s="9">
        <v>124.0</v>
      </c>
      <c r="I4" s="10">
        <v>15.5</v>
      </c>
      <c r="J4" s="9">
        <v>7.0</v>
      </c>
      <c r="K4" s="9">
        <v>0.0</v>
      </c>
      <c r="L4" s="9">
        <v>3.5</v>
      </c>
      <c r="M4" s="9">
        <v>5.0</v>
      </c>
      <c r="N4" s="9">
        <v>0.0</v>
      </c>
      <c r="O4" s="9">
        <v>2.5</v>
      </c>
      <c r="P4" s="9">
        <v>8.0</v>
      </c>
      <c r="Q4" s="9">
        <v>0.0</v>
      </c>
      <c r="R4" s="9">
        <v>4.0</v>
      </c>
      <c r="S4" s="9">
        <v>3.0</v>
      </c>
      <c r="T4" s="9">
        <v>0.0</v>
      </c>
      <c r="U4" s="9">
        <v>1.5</v>
      </c>
      <c r="V4" s="9">
        <v>4.0</v>
      </c>
      <c r="W4" s="9">
        <v>0.0</v>
      </c>
      <c r="X4" s="9">
        <v>2.0</v>
      </c>
      <c r="Y4" s="9">
        <v>4.0</v>
      </c>
      <c r="Z4" s="9">
        <v>0.0</v>
      </c>
      <c r="AA4" s="9">
        <v>2.0</v>
      </c>
    </row>
    <row r="5">
      <c r="A5" s="9" t="s">
        <v>35</v>
      </c>
      <c r="B5" s="9" t="s">
        <v>2</v>
      </c>
      <c r="C5" s="11">
        <v>10.0</v>
      </c>
      <c r="D5" s="9">
        <v>240.0</v>
      </c>
      <c r="E5" s="9">
        <v>32.0</v>
      </c>
      <c r="F5" s="9">
        <v>2.0</v>
      </c>
      <c r="G5" s="9">
        <v>16.0</v>
      </c>
      <c r="H5" s="9">
        <v>120.0</v>
      </c>
      <c r="I5" s="10">
        <v>12.0</v>
      </c>
      <c r="J5" s="9">
        <v>6.0</v>
      </c>
      <c r="K5" s="9">
        <v>0.0</v>
      </c>
      <c r="L5" s="9">
        <v>2.4</v>
      </c>
      <c r="M5" s="9">
        <v>4.0</v>
      </c>
      <c r="N5" s="9">
        <v>1.0</v>
      </c>
      <c r="O5" s="9">
        <v>1.2</v>
      </c>
      <c r="P5" s="9">
        <v>3.0</v>
      </c>
      <c r="Q5" s="9">
        <v>0.0</v>
      </c>
      <c r="R5" s="9">
        <v>1.2</v>
      </c>
      <c r="S5" s="9">
        <v>2.0</v>
      </c>
      <c r="T5" s="9">
        <v>0.0</v>
      </c>
      <c r="U5" s="9">
        <v>0.8</v>
      </c>
      <c r="V5" s="9">
        <v>10.0</v>
      </c>
      <c r="W5" s="9">
        <v>1.0</v>
      </c>
      <c r="X5" s="9">
        <v>3.6</v>
      </c>
      <c r="Y5" s="9">
        <v>7.0</v>
      </c>
      <c r="Z5" s="9">
        <v>0.0</v>
      </c>
      <c r="AA5" s="9">
        <v>2.8</v>
      </c>
    </row>
    <row r="6">
      <c r="A6" s="9" t="s">
        <v>16</v>
      </c>
      <c r="B6" s="9" t="s">
        <v>4</v>
      </c>
      <c r="C6" s="11">
        <v>4.0</v>
      </c>
      <c r="D6" s="9">
        <v>96.0</v>
      </c>
      <c r="E6" s="9">
        <v>14.0</v>
      </c>
      <c r="F6" s="9">
        <v>3.0</v>
      </c>
      <c r="G6" s="13">
        <v>4.666666666666667</v>
      </c>
      <c r="H6" s="9">
        <v>44.0</v>
      </c>
      <c r="I6" s="10">
        <v>11.0</v>
      </c>
      <c r="J6" s="9">
        <v>1.0</v>
      </c>
      <c r="K6" s="9">
        <v>1.0</v>
      </c>
      <c r="L6" s="9">
        <v>0.0</v>
      </c>
      <c r="M6" s="9">
        <v>3.0</v>
      </c>
      <c r="N6" s="9">
        <v>0.0</v>
      </c>
      <c r="O6" s="9">
        <v>3.0</v>
      </c>
      <c r="P6" s="9">
        <v>5.0</v>
      </c>
      <c r="Q6" s="9">
        <v>1.0</v>
      </c>
      <c r="R6" s="9">
        <v>4.0</v>
      </c>
      <c r="S6" s="9">
        <v>1.0</v>
      </c>
      <c r="T6" s="9">
        <v>0.0</v>
      </c>
      <c r="U6" s="9">
        <v>1.0</v>
      </c>
      <c r="V6" s="9">
        <v>2.0</v>
      </c>
      <c r="W6" s="9">
        <v>1.0</v>
      </c>
      <c r="X6" s="9">
        <v>1.0</v>
      </c>
      <c r="Y6" s="9">
        <v>2.0</v>
      </c>
      <c r="Z6" s="9">
        <v>0.0</v>
      </c>
      <c r="AA6" s="9">
        <v>2.0</v>
      </c>
    </row>
    <row r="7">
      <c r="A7" s="9" t="s">
        <v>12</v>
      </c>
      <c r="B7" s="9" t="s">
        <v>1</v>
      </c>
      <c r="C7" s="11">
        <v>7.0</v>
      </c>
      <c r="D7" s="9">
        <v>168.0</v>
      </c>
      <c r="E7" s="9">
        <v>18.0</v>
      </c>
      <c r="F7" s="9">
        <v>0.0</v>
      </c>
      <c r="G7" s="9" t="s">
        <v>86</v>
      </c>
      <c r="H7" s="9">
        <v>72.0</v>
      </c>
      <c r="I7" s="12">
        <v>10.285714285714286</v>
      </c>
      <c r="J7" s="13">
        <v>5.0</v>
      </c>
      <c r="K7" s="13">
        <v>0.0</v>
      </c>
      <c r="L7" s="13">
        <v>2.857142857142857</v>
      </c>
      <c r="M7" s="9">
        <v>0.0</v>
      </c>
      <c r="N7" s="9">
        <v>0.0</v>
      </c>
      <c r="O7" s="9">
        <v>0.0</v>
      </c>
      <c r="P7" s="9">
        <v>3.0</v>
      </c>
      <c r="Q7" s="9">
        <v>0.0</v>
      </c>
      <c r="R7" s="13">
        <v>1.7142857142857142</v>
      </c>
      <c r="S7" s="13">
        <v>2.0</v>
      </c>
      <c r="T7" s="13">
        <v>0.0</v>
      </c>
      <c r="U7" s="13">
        <v>1.1428571428571428</v>
      </c>
      <c r="V7" s="9">
        <v>7.0</v>
      </c>
      <c r="W7" s="9">
        <v>0.0</v>
      </c>
      <c r="X7" s="9">
        <v>4.0</v>
      </c>
      <c r="Y7" s="9">
        <v>1.0</v>
      </c>
      <c r="Z7" s="9">
        <v>0.0</v>
      </c>
      <c r="AA7" s="13">
        <v>0.5714285714285714</v>
      </c>
    </row>
    <row r="8">
      <c r="A8" s="9" t="s">
        <v>49</v>
      </c>
      <c r="B8" s="9" t="s">
        <v>3</v>
      </c>
      <c r="C8" s="11">
        <v>7.0</v>
      </c>
      <c r="D8" s="9">
        <v>168.0</v>
      </c>
      <c r="E8" s="9">
        <v>16.0</v>
      </c>
      <c r="F8" s="9">
        <v>0.0</v>
      </c>
      <c r="G8" s="9" t="s">
        <v>86</v>
      </c>
      <c r="H8" s="9">
        <v>64.0</v>
      </c>
      <c r="I8" s="12">
        <v>9.142857142857142</v>
      </c>
      <c r="J8" s="13">
        <v>1.0</v>
      </c>
      <c r="K8" s="13">
        <v>0.0</v>
      </c>
      <c r="L8" s="13">
        <v>0.5714285714285714</v>
      </c>
      <c r="M8" s="13">
        <v>2.0</v>
      </c>
      <c r="N8" s="13">
        <v>0.0</v>
      </c>
      <c r="O8" s="13">
        <v>1.1428571428571428</v>
      </c>
      <c r="P8" s="13">
        <v>6.0</v>
      </c>
      <c r="Q8" s="13">
        <v>0.0</v>
      </c>
      <c r="R8" s="13">
        <v>3.4285714285714284</v>
      </c>
      <c r="S8" s="13">
        <v>2.0</v>
      </c>
      <c r="T8" s="13">
        <v>0.0</v>
      </c>
      <c r="U8" s="13">
        <v>1.1428571428571428</v>
      </c>
      <c r="V8" s="13">
        <v>1.0</v>
      </c>
      <c r="W8" s="13">
        <v>0.0</v>
      </c>
      <c r="X8" s="13">
        <v>0.5714285714285714</v>
      </c>
      <c r="Y8" s="9">
        <v>4.0</v>
      </c>
      <c r="Z8" s="9">
        <v>0.0</v>
      </c>
      <c r="AA8" s="13">
        <v>2.2857142857142856</v>
      </c>
    </row>
    <row r="9">
      <c r="A9" s="9" t="s">
        <v>25</v>
      </c>
      <c r="B9" s="9" t="s">
        <v>7</v>
      </c>
      <c r="C9" s="11">
        <v>7.0</v>
      </c>
      <c r="D9" s="9">
        <v>168.0</v>
      </c>
      <c r="E9" s="9">
        <v>15.0</v>
      </c>
      <c r="F9" s="9">
        <v>0.0</v>
      </c>
      <c r="G9" s="9" t="s">
        <v>86</v>
      </c>
      <c r="H9" s="9">
        <v>60.0</v>
      </c>
      <c r="I9" s="12">
        <v>8.571428571428571</v>
      </c>
      <c r="J9" s="13">
        <v>4.0</v>
      </c>
      <c r="K9" s="13">
        <v>0.0</v>
      </c>
      <c r="L9" s="13">
        <v>2.2857142857142856</v>
      </c>
      <c r="M9" s="13">
        <v>2.0</v>
      </c>
      <c r="N9" s="13">
        <v>0.0</v>
      </c>
      <c r="O9" s="13">
        <v>1.1428571428571428</v>
      </c>
      <c r="P9" s="13">
        <v>1.0</v>
      </c>
      <c r="Q9" s="13">
        <v>0.0</v>
      </c>
      <c r="R9" s="13">
        <v>0.5714285714285714</v>
      </c>
      <c r="S9" s="13">
        <v>2.0</v>
      </c>
      <c r="T9" s="13">
        <v>0.0</v>
      </c>
      <c r="U9" s="13">
        <v>1.1428571428571428</v>
      </c>
      <c r="V9" s="13">
        <v>3.0</v>
      </c>
      <c r="W9" s="13">
        <v>0.0</v>
      </c>
      <c r="X9" s="13">
        <v>1.7142857142857142</v>
      </c>
      <c r="Y9" s="9">
        <v>3.0</v>
      </c>
      <c r="Z9" s="9">
        <v>0.0</v>
      </c>
      <c r="AA9" s="13">
        <v>1.7142857142857142</v>
      </c>
    </row>
    <row r="10">
      <c r="A10" s="9" t="s">
        <v>22</v>
      </c>
      <c r="B10" s="9" t="s">
        <v>6</v>
      </c>
      <c r="C10" s="11">
        <v>8.0</v>
      </c>
      <c r="D10" s="9">
        <v>192.0</v>
      </c>
      <c r="E10" s="9">
        <v>17.0</v>
      </c>
      <c r="F10" s="9">
        <v>0.0</v>
      </c>
      <c r="G10" s="9" t="s">
        <v>86</v>
      </c>
      <c r="H10" s="9">
        <v>68.0</v>
      </c>
      <c r="I10" s="10">
        <v>8.5</v>
      </c>
      <c r="J10" s="9">
        <v>3.0</v>
      </c>
      <c r="K10" s="9">
        <v>0.0</v>
      </c>
      <c r="L10" s="9">
        <v>1.5</v>
      </c>
      <c r="M10" s="9">
        <v>2.0</v>
      </c>
      <c r="N10" s="9">
        <v>0.0</v>
      </c>
      <c r="O10" s="9">
        <v>1.0</v>
      </c>
      <c r="P10" s="9">
        <v>10.0</v>
      </c>
      <c r="Q10" s="9">
        <v>0.0</v>
      </c>
      <c r="R10" s="9">
        <v>5.0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2.0</v>
      </c>
      <c r="Z10" s="9">
        <v>0.0</v>
      </c>
      <c r="AA10" s="9">
        <v>1.0</v>
      </c>
    </row>
    <row r="11">
      <c r="A11" s="9" t="s">
        <v>26</v>
      </c>
      <c r="B11" s="9" t="s">
        <v>7</v>
      </c>
      <c r="C11" s="11">
        <v>7.0</v>
      </c>
      <c r="D11" s="9">
        <v>168.0</v>
      </c>
      <c r="E11" s="9">
        <v>14.0</v>
      </c>
      <c r="F11" s="9">
        <v>0.0</v>
      </c>
      <c r="G11" s="9" t="s">
        <v>86</v>
      </c>
      <c r="H11" s="9">
        <v>56.0</v>
      </c>
      <c r="I11" s="10">
        <v>8.0</v>
      </c>
      <c r="J11" s="9">
        <v>1.0</v>
      </c>
      <c r="K11" s="9">
        <v>0.0</v>
      </c>
      <c r="L11" s="13">
        <v>0.5714285714285714</v>
      </c>
      <c r="M11" s="13">
        <v>5.0</v>
      </c>
      <c r="N11" s="13">
        <v>0.0</v>
      </c>
      <c r="O11" s="13">
        <v>2.857142857142857</v>
      </c>
      <c r="P11" s="13">
        <v>2.0</v>
      </c>
      <c r="Q11" s="13">
        <v>0.0</v>
      </c>
      <c r="R11" s="13">
        <v>1.1428571428571428</v>
      </c>
      <c r="S11" s="13">
        <v>1.0</v>
      </c>
      <c r="T11" s="13">
        <v>0.0</v>
      </c>
      <c r="U11" s="13">
        <v>0.5714285714285714</v>
      </c>
      <c r="V11" s="13">
        <v>2.0</v>
      </c>
      <c r="W11" s="13">
        <v>0.0</v>
      </c>
      <c r="X11" s="13">
        <v>1.1428571428571428</v>
      </c>
      <c r="Y11" s="13">
        <v>3.0</v>
      </c>
      <c r="Z11" s="13">
        <v>0.0</v>
      </c>
      <c r="AA11" s="13">
        <v>1.7142857142857142</v>
      </c>
    </row>
    <row r="12">
      <c r="A12" s="9" t="s">
        <v>51</v>
      </c>
      <c r="B12" s="9" t="s">
        <v>5</v>
      </c>
      <c r="C12" s="11">
        <v>8.0</v>
      </c>
      <c r="D12" s="9">
        <v>192.0</v>
      </c>
      <c r="E12" s="9">
        <v>19.0</v>
      </c>
      <c r="F12" s="9">
        <v>4.0</v>
      </c>
      <c r="G12" s="13">
        <v>4.75</v>
      </c>
      <c r="H12" s="9">
        <v>60.0</v>
      </c>
      <c r="I12" s="10">
        <v>7.5</v>
      </c>
      <c r="J12" s="9">
        <v>1.0</v>
      </c>
      <c r="K12" s="9">
        <v>2.0</v>
      </c>
      <c r="L12" s="9">
        <v>-0.5</v>
      </c>
      <c r="M12" s="9">
        <v>16.0</v>
      </c>
      <c r="N12" s="9">
        <v>1.0</v>
      </c>
      <c r="O12" s="9">
        <v>7.5</v>
      </c>
      <c r="P12" s="9">
        <v>1.0</v>
      </c>
      <c r="Q12" s="9">
        <v>0.0</v>
      </c>
      <c r="R12" s="9">
        <v>0.5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1.0</v>
      </c>
      <c r="Z12" s="9">
        <v>1.0</v>
      </c>
      <c r="AA12" s="9">
        <v>0.0</v>
      </c>
    </row>
    <row r="13">
      <c r="A13" s="9" t="s">
        <v>13</v>
      </c>
      <c r="B13" s="9" t="s">
        <v>1</v>
      </c>
      <c r="C13" s="11">
        <v>6.0</v>
      </c>
      <c r="D13" s="9">
        <v>144.0</v>
      </c>
      <c r="E13" s="9">
        <v>11.0</v>
      </c>
      <c r="F13" s="9">
        <v>0.0</v>
      </c>
      <c r="G13" s="9" t="s">
        <v>86</v>
      </c>
      <c r="H13" s="9">
        <v>44.0</v>
      </c>
      <c r="I13" s="12">
        <v>7.333333333333333</v>
      </c>
      <c r="J13" s="13">
        <v>4.0</v>
      </c>
      <c r="K13" s="13">
        <v>0.0</v>
      </c>
      <c r="L13" s="13">
        <v>2.6666666666666665</v>
      </c>
      <c r="M13" s="13">
        <v>1.0</v>
      </c>
      <c r="N13" s="13">
        <v>0.0</v>
      </c>
      <c r="O13" s="13">
        <v>0.6666666666666666</v>
      </c>
      <c r="P13" s="13">
        <v>2.0</v>
      </c>
      <c r="Q13" s="13">
        <v>0.0</v>
      </c>
      <c r="R13" s="13">
        <v>1.3333333333333333</v>
      </c>
      <c r="S13" s="13">
        <v>1.0</v>
      </c>
      <c r="T13" s="13">
        <v>0.0</v>
      </c>
      <c r="U13" s="13">
        <v>0.6666666666666666</v>
      </c>
      <c r="V13" s="13">
        <v>1.0</v>
      </c>
      <c r="W13" s="13">
        <v>0.0</v>
      </c>
      <c r="X13" s="13">
        <v>0.6666666666666666</v>
      </c>
      <c r="Y13" s="13">
        <v>2.0</v>
      </c>
      <c r="Z13" s="13">
        <v>0.0</v>
      </c>
      <c r="AA13" s="13">
        <v>1.3333333333333333</v>
      </c>
    </row>
    <row r="14">
      <c r="A14" s="9" t="s">
        <v>21</v>
      </c>
      <c r="B14" s="9" t="s">
        <v>6</v>
      </c>
      <c r="C14" s="11">
        <v>9.0</v>
      </c>
      <c r="D14" s="9">
        <v>216.0</v>
      </c>
      <c r="E14" s="9">
        <v>16.0</v>
      </c>
      <c r="F14" s="9">
        <v>0.0</v>
      </c>
      <c r="G14" s="9" t="s">
        <v>86</v>
      </c>
      <c r="H14" s="9">
        <v>64.0</v>
      </c>
      <c r="I14" s="12">
        <v>7.111111111111111</v>
      </c>
      <c r="J14" s="13">
        <v>2.0</v>
      </c>
      <c r="K14" s="13">
        <v>0.0</v>
      </c>
      <c r="L14" s="13">
        <v>0.8888888888888888</v>
      </c>
      <c r="M14" s="13">
        <v>7.0</v>
      </c>
      <c r="N14" s="13">
        <v>0.0</v>
      </c>
      <c r="O14" s="13">
        <v>3.111111111111111</v>
      </c>
      <c r="P14" s="13">
        <v>2.0</v>
      </c>
      <c r="Q14" s="13">
        <v>0.0</v>
      </c>
      <c r="R14" s="13">
        <v>0.8888888888888888</v>
      </c>
      <c r="S14" s="13">
        <v>2.0</v>
      </c>
      <c r="T14" s="13">
        <v>0.0</v>
      </c>
      <c r="U14" s="13">
        <v>0.8888888888888888</v>
      </c>
      <c r="V14" s="13">
        <v>2.0</v>
      </c>
      <c r="W14" s="13">
        <v>0.0</v>
      </c>
      <c r="X14" s="13">
        <v>0.8888888888888888</v>
      </c>
      <c r="Y14" s="13">
        <v>1.0</v>
      </c>
      <c r="Z14" s="13">
        <v>0.0</v>
      </c>
      <c r="AA14" s="13">
        <v>0.4444444444444444</v>
      </c>
    </row>
    <row r="15">
      <c r="A15" s="9" t="s">
        <v>34</v>
      </c>
      <c r="B15" s="9" t="s">
        <v>2</v>
      </c>
      <c r="C15" s="11">
        <v>10.0</v>
      </c>
      <c r="D15" s="9">
        <v>240.0</v>
      </c>
      <c r="E15" s="9">
        <v>18.0</v>
      </c>
      <c r="F15" s="9">
        <v>1.0</v>
      </c>
      <c r="G15" s="9">
        <v>18.0</v>
      </c>
      <c r="H15" s="9">
        <v>68.0</v>
      </c>
      <c r="I15" s="10">
        <v>6.8</v>
      </c>
      <c r="J15" s="9">
        <v>5.0</v>
      </c>
      <c r="K15" s="9">
        <v>1.0</v>
      </c>
      <c r="L15" s="9">
        <v>1.6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13.0</v>
      </c>
      <c r="T15" s="9">
        <v>0.0</v>
      </c>
      <c r="U15" s="9">
        <v>5.2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</row>
    <row r="16">
      <c r="A16" s="9" t="s">
        <v>45</v>
      </c>
      <c r="B16" s="9" t="s">
        <v>0</v>
      </c>
      <c r="C16" s="11">
        <v>8.0</v>
      </c>
      <c r="D16" s="9">
        <v>192.0</v>
      </c>
      <c r="E16" s="9">
        <v>13.0</v>
      </c>
      <c r="F16" s="9">
        <v>0.0</v>
      </c>
      <c r="G16" s="9" t="s">
        <v>86</v>
      </c>
      <c r="H16" s="9">
        <v>52.0</v>
      </c>
      <c r="I16" s="10">
        <v>6.5</v>
      </c>
      <c r="J16" s="9">
        <v>0.0</v>
      </c>
      <c r="K16" s="9">
        <v>0.0</v>
      </c>
      <c r="L16" s="9">
        <v>0.0</v>
      </c>
      <c r="M16" s="9">
        <v>5.0</v>
      </c>
      <c r="N16" s="9">
        <v>0.0</v>
      </c>
      <c r="O16" s="9">
        <v>2.5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8.0</v>
      </c>
      <c r="Z16" s="9">
        <v>0.0</v>
      </c>
      <c r="AA16" s="9">
        <v>4.0</v>
      </c>
    </row>
    <row r="17">
      <c r="A17" s="9" t="s">
        <v>19</v>
      </c>
      <c r="B17" s="9" t="s">
        <v>6</v>
      </c>
      <c r="C17" s="11">
        <v>8.0</v>
      </c>
      <c r="D17" s="9">
        <v>192.0</v>
      </c>
      <c r="E17" s="9">
        <v>13.0</v>
      </c>
      <c r="F17" s="9">
        <v>0.0</v>
      </c>
      <c r="G17" s="9" t="s">
        <v>86</v>
      </c>
      <c r="H17" s="9">
        <v>52.0</v>
      </c>
      <c r="I17" s="10">
        <v>6.5</v>
      </c>
      <c r="J17" s="9">
        <v>1.0</v>
      </c>
      <c r="K17" s="9">
        <v>0.0</v>
      </c>
      <c r="L17" s="9">
        <v>0.5</v>
      </c>
      <c r="M17" s="9">
        <v>6.0</v>
      </c>
      <c r="N17" s="9">
        <v>0.0</v>
      </c>
      <c r="O17" s="9">
        <v>3.0</v>
      </c>
      <c r="P17" s="9">
        <v>0.0</v>
      </c>
      <c r="Q17" s="9">
        <v>0.0</v>
      </c>
      <c r="R17" s="9">
        <v>0.0</v>
      </c>
      <c r="S17" s="9">
        <v>1.0</v>
      </c>
      <c r="T17" s="9">
        <v>0.0</v>
      </c>
      <c r="U17" s="9">
        <v>0.5</v>
      </c>
      <c r="V17" s="9">
        <v>4.0</v>
      </c>
      <c r="W17" s="9">
        <v>0.0</v>
      </c>
      <c r="X17" s="9">
        <v>2.0</v>
      </c>
      <c r="Y17" s="9">
        <v>1.0</v>
      </c>
      <c r="Z17" s="9">
        <v>0.0</v>
      </c>
      <c r="AA17" s="9">
        <v>0.5</v>
      </c>
    </row>
    <row r="18">
      <c r="A18" s="9" t="s">
        <v>12</v>
      </c>
      <c r="B18" s="9" t="s">
        <v>0</v>
      </c>
      <c r="C18" s="11">
        <v>7.0</v>
      </c>
      <c r="D18" s="9">
        <v>168.0</v>
      </c>
      <c r="E18" s="9">
        <v>11.0</v>
      </c>
      <c r="F18" s="9">
        <v>0.0</v>
      </c>
      <c r="G18" s="9" t="s">
        <v>86</v>
      </c>
      <c r="H18" s="9">
        <v>44.0</v>
      </c>
      <c r="I18" s="12">
        <v>6.285714285714286</v>
      </c>
      <c r="J18" s="13">
        <v>3.0</v>
      </c>
      <c r="K18" s="13">
        <v>0.0</v>
      </c>
      <c r="L18" s="13">
        <v>1.7142857142857142</v>
      </c>
      <c r="M18" s="9">
        <v>0.0</v>
      </c>
      <c r="N18" s="9">
        <v>0.0</v>
      </c>
      <c r="O18" s="9">
        <v>0.0</v>
      </c>
      <c r="P18" s="9">
        <v>3.0</v>
      </c>
      <c r="Q18" s="9">
        <v>0.0</v>
      </c>
      <c r="R18" s="13">
        <v>1.7142857142857142</v>
      </c>
      <c r="S18" s="9">
        <v>0.0</v>
      </c>
      <c r="T18" s="9">
        <v>0.0</v>
      </c>
      <c r="U18" s="9">
        <v>0.0</v>
      </c>
      <c r="V18" s="9">
        <v>4.0</v>
      </c>
      <c r="W18" s="9">
        <v>0.0</v>
      </c>
      <c r="X18" s="13">
        <v>2.2857142857142856</v>
      </c>
      <c r="Y18" s="13">
        <v>1.0</v>
      </c>
      <c r="Z18" s="13">
        <v>0.0</v>
      </c>
      <c r="AA18" s="13">
        <v>0.5714285714285714</v>
      </c>
    </row>
    <row r="19">
      <c r="A19" s="9" t="s">
        <v>30</v>
      </c>
      <c r="B19" s="9" t="s">
        <v>8</v>
      </c>
      <c r="C19" s="11">
        <v>4.0</v>
      </c>
      <c r="D19" s="9">
        <v>96.0</v>
      </c>
      <c r="E19" s="9">
        <v>7.0</v>
      </c>
      <c r="F19" s="9">
        <v>1.0</v>
      </c>
      <c r="G19" s="9">
        <v>7.0</v>
      </c>
      <c r="H19" s="9">
        <v>24.0</v>
      </c>
      <c r="I19" s="10">
        <v>6.0</v>
      </c>
      <c r="J19" s="9">
        <v>1.0</v>
      </c>
      <c r="K19" s="9">
        <v>0.0</v>
      </c>
      <c r="L19" s="9">
        <v>1.0</v>
      </c>
      <c r="M19" s="9">
        <v>2.0</v>
      </c>
      <c r="N19" s="9">
        <v>0.0</v>
      </c>
      <c r="O19" s="9">
        <v>2.0</v>
      </c>
      <c r="P19" s="9">
        <v>2.0</v>
      </c>
      <c r="Q19" s="9">
        <v>1.0</v>
      </c>
      <c r="R19" s="9">
        <v>1.0</v>
      </c>
      <c r="S19" s="9">
        <v>0.0</v>
      </c>
      <c r="T19" s="9">
        <v>0.0</v>
      </c>
      <c r="U19" s="9">
        <v>0.0</v>
      </c>
      <c r="V19" s="9">
        <v>1.0</v>
      </c>
      <c r="W19" s="9">
        <v>0.0</v>
      </c>
      <c r="X19" s="9">
        <v>1.0</v>
      </c>
      <c r="Y19" s="9">
        <v>1.0</v>
      </c>
      <c r="Z19" s="9">
        <v>0.0</v>
      </c>
      <c r="AA19" s="9">
        <v>1.0</v>
      </c>
    </row>
    <row r="20">
      <c r="A20" s="9" t="s">
        <v>44</v>
      </c>
      <c r="B20" s="9" t="s">
        <v>0</v>
      </c>
      <c r="C20" s="11">
        <v>8.0</v>
      </c>
      <c r="D20" s="9">
        <v>192.0</v>
      </c>
      <c r="E20" s="9">
        <v>11.0</v>
      </c>
      <c r="F20" s="9">
        <v>1.0</v>
      </c>
      <c r="G20" s="9">
        <v>11.0</v>
      </c>
      <c r="H20" s="9">
        <v>40.0</v>
      </c>
      <c r="I20" s="10">
        <v>5.0</v>
      </c>
      <c r="J20" s="9">
        <v>1.0</v>
      </c>
      <c r="K20" s="9">
        <v>0.0</v>
      </c>
      <c r="L20" s="9">
        <v>0.5</v>
      </c>
      <c r="M20" s="9">
        <v>0.0</v>
      </c>
      <c r="N20" s="9">
        <v>0.0</v>
      </c>
      <c r="O20" s="9">
        <v>0.0</v>
      </c>
      <c r="P20" s="9">
        <v>1.0</v>
      </c>
      <c r="Q20" s="9">
        <v>0.0</v>
      </c>
      <c r="R20" s="9">
        <v>0.5</v>
      </c>
      <c r="S20" s="9">
        <v>8.0</v>
      </c>
      <c r="T20" s="9">
        <v>1.0</v>
      </c>
      <c r="U20" s="9">
        <v>3.5</v>
      </c>
      <c r="V20" s="9">
        <v>1.0</v>
      </c>
      <c r="W20" s="9">
        <v>0.0</v>
      </c>
      <c r="X20" s="9">
        <v>0.5</v>
      </c>
      <c r="Y20" s="9">
        <v>0.0</v>
      </c>
      <c r="Z20" s="9">
        <v>0.0</v>
      </c>
      <c r="AA20" s="9">
        <v>0.0</v>
      </c>
    </row>
    <row r="21">
      <c r="A21" s="9" t="s">
        <v>21</v>
      </c>
      <c r="B21" s="9" t="s">
        <v>5</v>
      </c>
      <c r="C21" s="11">
        <v>7.0</v>
      </c>
      <c r="D21" s="9">
        <v>168.0</v>
      </c>
      <c r="E21" s="9">
        <v>9.0</v>
      </c>
      <c r="F21" s="9">
        <v>1.0</v>
      </c>
      <c r="G21" s="9">
        <v>9.0</v>
      </c>
      <c r="H21" s="9">
        <v>32.0</v>
      </c>
      <c r="I21" s="12">
        <v>4.571428571428571</v>
      </c>
      <c r="J21" s="13">
        <v>1.0</v>
      </c>
      <c r="K21" s="13">
        <v>0.0</v>
      </c>
      <c r="L21" s="13">
        <v>0.5714285714285714</v>
      </c>
      <c r="M21" s="9">
        <v>0.0</v>
      </c>
      <c r="N21" s="9">
        <v>0.0</v>
      </c>
      <c r="O21" s="9">
        <v>0.0</v>
      </c>
      <c r="P21" s="9">
        <v>5.0</v>
      </c>
      <c r="Q21" s="9">
        <v>0.0</v>
      </c>
      <c r="R21" s="13">
        <v>2.857142857142857</v>
      </c>
      <c r="S21" s="9">
        <v>1.0</v>
      </c>
      <c r="T21" s="9">
        <v>1.0</v>
      </c>
      <c r="U21" s="9">
        <v>0.0</v>
      </c>
      <c r="V21" s="9">
        <v>1.0</v>
      </c>
      <c r="W21" s="9">
        <v>0.0</v>
      </c>
      <c r="X21" s="13">
        <v>0.5714285714285714</v>
      </c>
      <c r="Y21" s="13">
        <v>1.0</v>
      </c>
      <c r="Z21" s="13">
        <v>0.0</v>
      </c>
      <c r="AA21" s="13">
        <v>0.5714285714285714</v>
      </c>
    </row>
    <row r="22">
      <c r="A22" s="8" t="s">
        <v>23</v>
      </c>
      <c r="B22" s="8" t="s">
        <v>6</v>
      </c>
      <c r="C22" s="11">
        <v>8.0</v>
      </c>
      <c r="D22" s="9">
        <v>192.0</v>
      </c>
      <c r="E22" s="9">
        <v>12.0</v>
      </c>
      <c r="F22" s="9">
        <v>3.0</v>
      </c>
      <c r="G22" s="9">
        <v>4.0</v>
      </c>
      <c r="H22" s="9">
        <v>36.0</v>
      </c>
      <c r="I22" s="10">
        <v>4.5</v>
      </c>
      <c r="J22" s="9">
        <v>5.0</v>
      </c>
      <c r="K22" s="9">
        <v>0.0</v>
      </c>
      <c r="L22" s="9">
        <v>2.5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5.0</v>
      </c>
      <c r="T22" s="9">
        <v>0.0</v>
      </c>
      <c r="U22" s="9">
        <v>2.5</v>
      </c>
      <c r="V22" s="9">
        <v>2.0</v>
      </c>
      <c r="W22" s="9">
        <v>3.0</v>
      </c>
      <c r="X22" s="9">
        <v>-0.5</v>
      </c>
      <c r="Y22" s="9">
        <v>0.0</v>
      </c>
      <c r="Z22" s="9">
        <v>0.0</v>
      </c>
      <c r="AA22" s="9">
        <v>0.0</v>
      </c>
    </row>
    <row r="23">
      <c r="A23" s="9" t="s">
        <v>50</v>
      </c>
      <c r="B23" s="9" t="s">
        <v>5</v>
      </c>
      <c r="C23" s="11">
        <v>8.0</v>
      </c>
      <c r="D23" s="9">
        <v>192.0</v>
      </c>
      <c r="E23" s="9">
        <v>12.0</v>
      </c>
      <c r="F23" s="9">
        <v>3.0</v>
      </c>
      <c r="G23" s="9">
        <v>4.0</v>
      </c>
      <c r="H23" s="9">
        <v>36.0</v>
      </c>
      <c r="I23" s="10">
        <v>4.5</v>
      </c>
      <c r="J23" s="9">
        <v>2.0</v>
      </c>
      <c r="K23" s="9">
        <v>1.0</v>
      </c>
      <c r="L23" s="9">
        <v>0.5</v>
      </c>
      <c r="M23" s="9">
        <v>4.0</v>
      </c>
      <c r="N23" s="9">
        <v>0.0</v>
      </c>
      <c r="O23" s="9">
        <v>2.0</v>
      </c>
      <c r="P23" s="9">
        <v>0.0</v>
      </c>
      <c r="Q23" s="9">
        <v>0.0</v>
      </c>
      <c r="R23" s="9">
        <v>0.0</v>
      </c>
      <c r="S23" s="9">
        <v>5.0</v>
      </c>
      <c r="T23" s="9">
        <v>2.0</v>
      </c>
      <c r="U23" s="9">
        <v>1.5</v>
      </c>
      <c r="V23" s="9">
        <v>0.0</v>
      </c>
      <c r="W23" s="9">
        <v>0.0</v>
      </c>
      <c r="X23" s="9">
        <v>0.0</v>
      </c>
      <c r="Y23" s="9">
        <v>1.0</v>
      </c>
      <c r="Z23" s="9">
        <v>0.0</v>
      </c>
      <c r="AA23" s="9">
        <v>0.5</v>
      </c>
    </row>
    <row r="24">
      <c r="A24" s="9" t="s">
        <v>36</v>
      </c>
      <c r="B24" s="9" t="s">
        <v>2</v>
      </c>
      <c r="C24" s="11">
        <v>10.0</v>
      </c>
      <c r="D24" s="9">
        <v>240.0</v>
      </c>
      <c r="E24" s="9">
        <v>11.0</v>
      </c>
      <c r="F24" s="9">
        <v>0.0</v>
      </c>
      <c r="G24" s="9" t="s">
        <v>86</v>
      </c>
      <c r="H24" s="9">
        <v>44.0</v>
      </c>
      <c r="I24" s="10">
        <v>4.4</v>
      </c>
      <c r="J24" s="9">
        <v>2.0</v>
      </c>
      <c r="K24" s="9">
        <v>0.0</v>
      </c>
      <c r="L24" s="9">
        <v>0.8</v>
      </c>
      <c r="M24" s="9">
        <v>5.0</v>
      </c>
      <c r="N24" s="9">
        <v>0.0</v>
      </c>
      <c r="O24" s="9">
        <v>2.0</v>
      </c>
      <c r="P24" s="9">
        <v>1.0</v>
      </c>
      <c r="Q24" s="9">
        <v>0.0</v>
      </c>
      <c r="R24" s="9">
        <v>0.4</v>
      </c>
      <c r="S24" s="9">
        <v>1.0</v>
      </c>
      <c r="T24" s="9">
        <v>0.0</v>
      </c>
      <c r="U24" s="9">
        <v>0.4</v>
      </c>
      <c r="V24" s="9">
        <v>0.0</v>
      </c>
      <c r="W24" s="9">
        <v>0.0</v>
      </c>
      <c r="X24" s="9">
        <v>0.0</v>
      </c>
      <c r="Y24" s="9">
        <v>2.0</v>
      </c>
      <c r="Z24" s="9">
        <v>0.0</v>
      </c>
      <c r="AA24" s="9">
        <v>0.8</v>
      </c>
    </row>
    <row r="25">
      <c r="A25" s="9" t="s">
        <v>33</v>
      </c>
      <c r="B25" s="9" t="s">
        <v>2</v>
      </c>
      <c r="C25" s="11">
        <v>10.0</v>
      </c>
      <c r="D25" s="9">
        <v>240.0</v>
      </c>
      <c r="E25" s="9">
        <v>12.0</v>
      </c>
      <c r="F25" s="9">
        <v>1.0</v>
      </c>
      <c r="G25" s="9">
        <v>12.0</v>
      </c>
      <c r="H25" s="9">
        <v>44.0</v>
      </c>
      <c r="I25" s="10">
        <v>4.4</v>
      </c>
      <c r="J25" s="9">
        <v>2.0</v>
      </c>
      <c r="K25" s="9">
        <v>0.0</v>
      </c>
      <c r="L25" s="9">
        <v>0.8</v>
      </c>
      <c r="M25" s="9">
        <v>1.0</v>
      </c>
      <c r="N25" s="9">
        <v>0.0</v>
      </c>
      <c r="O25" s="9">
        <v>0.4</v>
      </c>
      <c r="P25" s="9">
        <v>3.0</v>
      </c>
      <c r="Q25" s="9">
        <v>0.0</v>
      </c>
      <c r="R25" s="9">
        <v>1.2</v>
      </c>
      <c r="S25" s="9">
        <v>0.0</v>
      </c>
      <c r="T25" s="9">
        <v>0.0</v>
      </c>
      <c r="U25" s="9">
        <v>0.0</v>
      </c>
      <c r="V25" s="9">
        <v>6.0</v>
      </c>
      <c r="W25" s="9">
        <v>1.0</v>
      </c>
      <c r="X25" s="9">
        <v>2.0</v>
      </c>
      <c r="Y25" s="9">
        <v>0.0</v>
      </c>
      <c r="Z25" s="9">
        <v>0.0</v>
      </c>
      <c r="AA25" s="9">
        <v>0.0</v>
      </c>
    </row>
    <row r="26">
      <c r="A26" s="9" t="s">
        <v>47</v>
      </c>
      <c r="B26" s="9" t="s">
        <v>3</v>
      </c>
      <c r="C26" s="11">
        <v>7.0</v>
      </c>
      <c r="D26" s="9">
        <v>168.0</v>
      </c>
      <c r="E26" s="9">
        <v>7.0</v>
      </c>
      <c r="F26" s="9">
        <v>0.0</v>
      </c>
      <c r="G26" s="9" t="s">
        <v>86</v>
      </c>
      <c r="H26" s="9">
        <v>28.0</v>
      </c>
      <c r="I26" s="10">
        <v>4.0</v>
      </c>
      <c r="J26" s="9">
        <v>3.0</v>
      </c>
      <c r="K26" s="9">
        <v>0.0</v>
      </c>
      <c r="L26" s="13">
        <v>1.7142857142857142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4.0</v>
      </c>
      <c r="W26" s="9">
        <v>0.0</v>
      </c>
      <c r="X26" s="13">
        <v>2.2857142857142856</v>
      </c>
      <c r="Y26" s="9">
        <v>0.0</v>
      </c>
      <c r="Z26" s="9">
        <v>0.0</v>
      </c>
      <c r="AA26" s="9">
        <v>0.0</v>
      </c>
    </row>
    <row r="27">
      <c r="A27" s="9" t="s">
        <v>40</v>
      </c>
      <c r="B27" s="9" t="s">
        <v>9</v>
      </c>
      <c r="C27" s="11">
        <v>6.0</v>
      </c>
      <c r="D27" s="9">
        <v>144.0</v>
      </c>
      <c r="E27" s="9">
        <v>7.0</v>
      </c>
      <c r="F27" s="9">
        <v>1.0</v>
      </c>
      <c r="G27" s="9">
        <v>7.0</v>
      </c>
      <c r="H27" s="9">
        <v>24.0</v>
      </c>
      <c r="I27" s="10">
        <v>4.0</v>
      </c>
      <c r="J27" s="9">
        <v>0.0</v>
      </c>
      <c r="K27" s="9">
        <v>0.0</v>
      </c>
      <c r="L27" s="9">
        <v>0.0</v>
      </c>
      <c r="M27" s="9">
        <v>2.0</v>
      </c>
      <c r="N27" s="9">
        <v>0.0</v>
      </c>
      <c r="O27" s="13">
        <v>1.3333333333333333</v>
      </c>
      <c r="P27" s="13">
        <v>5.0</v>
      </c>
      <c r="Q27" s="13">
        <v>0.0</v>
      </c>
      <c r="R27" s="13">
        <v>3.3333333333333335</v>
      </c>
      <c r="S27" s="9">
        <v>0.0</v>
      </c>
      <c r="T27" s="9">
        <v>0.0</v>
      </c>
      <c r="U27" s="9">
        <v>0.0</v>
      </c>
      <c r="V27" s="9">
        <v>0.0</v>
      </c>
      <c r="W27" s="9">
        <v>1.0</v>
      </c>
      <c r="X27" s="13">
        <v>-0.6666666666666666</v>
      </c>
      <c r="Y27" s="9">
        <v>0.0</v>
      </c>
      <c r="Z27" s="9">
        <v>0.0</v>
      </c>
      <c r="AA27" s="9">
        <v>0.0</v>
      </c>
    </row>
    <row r="28">
      <c r="A28" s="9" t="s">
        <v>24</v>
      </c>
      <c r="B28" s="9" t="s">
        <v>7</v>
      </c>
      <c r="C28" s="11">
        <v>7.0</v>
      </c>
      <c r="D28" s="9">
        <v>168.0</v>
      </c>
      <c r="E28" s="9">
        <v>8.0</v>
      </c>
      <c r="F28" s="9">
        <v>1.0</v>
      </c>
      <c r="G28" s="9">
        <v>8.0</v>
      </c>
      <c r="H28" s="9">
        <v>28.0</v>
      </c>
      <c r="I28" s="10">
        <v>4.0</v>
      </c>
      <c r="J28" s="9">
        <v>1.0</v>
      </c>
      <c r="K28" s="9">
        <v>0.0</v>
      </c>
      <c r="L28" s="13">
        <v>0.5714285714285714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4.0</v>
      </c>
      <c r="T28" s="9">
        <v>1.0</v>
      </c>
      <c r="U28" s="13">
        <v>1.7142857142857142</v>
      </c>
      <c r="V28" s="9">
        <v>0.0</v>
      </c>
      <c r="W28" s="9">
        <v>0.0</v>
      </c>
      <c r="X28" s="9">
        <v>0.0</v>
      </c>
      <c r="Y28" s="9">
        <v>3.0</v>
      </c>
      <c r="Z28" s="9">
        <v>0.0</v>
      </c>
      <c r="AA28" s="13">
        <v>1.7142857142857142</v>
      </c>
    </row>
    <row r="29">
      <c r="A29" s="9" t="s">
        <v>42</v>
      </c>
      <c r="B29" s="9" t="s">
        <v>9</v>
      </c>
      <c r="C29" s="11">
        <v>6.0</v>
      </c>
      <c r="D29" s="9">
        <v>144.0</v>
      </c>
      <c r="E29" s="9">
        <v>6.0</v>
      </c>
      <c r="F29" s="9">
        <v>1.0</v>
      </c>
      <c r="G29" s="9">
        <v>6.0</v>
      </c>
      <c r="H29" s="9">
        <v>20.0</v>
      </c>
      <c r="I29" s="12">
        <v>3.3333333333333335</v>
      </c>
      <c r="J29" s="13">
        <v>1.0</v>
      </c>
      <c r="K29" s="13">
        <v>0.0</v>
      </c>
      <c r="L29" s="13">
        <v>0.6666666666666666</v>
      </c>
      <c r="M29" s="13">
        <v>1.0</v>
      </c>
      <c r="N29" s="13">
        <v>0.0</v>
      </c>
      <c r="O29" s="13">
        <v>0.6666666666666666</v>
      </c>
      <c r="P29" s="13">
        <v>2.0</v>
      </c>
      <c r="Q29" s="13">
        <v>0.0</v>
      </c>
      <c r="R29" s="13">
        <v>1.3333333333333333</v>
      </c>
      <c r="S29" s="13">
        <v>0.0</v>
      </c>
      <c r="T29" s="13">
        <v>1.0</v>
      </c>
      <c r="U29" s="13">
        <v>-0.6666666666666666</v>
      </c>
      <c r="V29" s="9">
        <v>0.0</v>
      </c>
      <c r="W29" s="9">
        <v>0.0</v>
      </c>
      <c r="X29" s="9">
        <v>0.0</v>
      </c>
      <c r="Y29" s="9">
        <v>2.0</v>
      </c>
      <c r="Z29" s="9">
        <v>0.0</v>
      </c>
      <c r="AA29" s="13">
        <v>1.3333333333333333</v>
      </c>
    </row>
    <row r="30">
      <c r="A30" s="9" t="s">
        <v>32</v>
      </c>
      <c r="B30" s="9" t="s">
        <v>8</v>
      </c>
      <c r="C30" s="11">
        <v>4.0</v>
      </c>
      <c r="D30" s="9">
        <v>96.0</v>
      </c>
      <c r="E30" s="9">
        <v>3.0</v>
      </c>
      <c r="F30" s="9">
        <v>0.0</v>
      </c>
      <c r="G30" s="9" t="s">
        <v>86</v>
      </c>
      <c r="H30" s="9">
        <v>12.0</v>
      </c>
      <c r="I30" s="10">
        <v>3.0</v>
      </c>
      <c r="J30" s="9">
        <v>0.0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2.0</v>
      </c>
      <c r="T30" s="9">
        <v>0.0</v>
      </c>
      <c r="U30" s="9">
        <v>2.0</v>
      </c>
      <c r="V30" s="9">
        <v>1.0</v>
      </c>
      <c r="W30" s="9">
        <v>0.0</v>
      </c>
      <c r="X30" s="9">
        <v>1.0</v>
      </c>
      <c r="Y30" s="9">
        <v>0.0</v>
      </c>
      <c r="Z30" s="9">
        <v>0.0</v>
      </c>
      <c r="AA30" s="9">
        <v>0.0</v>
      </c>
    </row>
    <row r="31">
      <c r="A31" s="9" t="s">
        <v>29</v>
      </c>
      <c r="B31" s="9" t="s">
        <v>8</v>
      </c>
      <c r="C31" s="11">
        <v>4.0</v>
      </c>
      <c r="D31" s="9">
        <v>96.0</v>
      </c>
      <c r="E31" s="9">
        <v>3.0</v>
      </c>
      <c r="F31" s="9">
        <v>0.0</v>
      </c>
      <c r="G31" s="9" t="s">
        <v>86</v>
      </c>
      <c r="H31" s="9">
        <v>12.0</v>
      </c>
      <c r="I31" s="10">
        <v>3.0</v>
      </c>
      <c r="J31" s="9">
        <v>0.0</v>
      </c>
      <c r="K31" s="9">
        <v>0.0</v>
      </c>
      <c r="L31" s="9">
        <v>0.0</v>
      </c>
      <c r="M31" s="9">
        <v>3.0</v>
      </c>
      <c r="N31" s="9">
        <v>0.0</v>
      </c>
      <c r="O31" s="9">
        <v>3.0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</row>
    <row r="32">
      <c r="A32" s="9" t="s">
        <v>41</v>
      </c>
      <c r="B32" s="9" t="s">
        <v>9</v>
      </c>
      <c r="C32" s="11">
        <v>6.0</v>
      </c>
      <c r="D32" s="9">
        <v>144.0</v>
      </c>
      <c r="E32" s="9">
        <v>4.0</v>
      </c>
      <c r="F32" s="9">
        <v>0.0</v>
      </c>
      <c r="G32" s="9" t="s">
        <v>86</v>
      </c>
      <c r="H32" s="9">
        <v>16.0</v>
      </c>
      <c r="I32" s="12">
        <v>2.6666666666666665</v>
      </c>
      <c r="J32" s="13">
        <v>1.0</v>
      </c>
      <c r="K32" s="13">
        <v>0.0</v>
      </c>
      <c r="L32" s="13">
        <v>0.6666666666666666</v>
      </c>
      <c r="M32" s="13">
        <v>1.0</v>
      </c>
      <c r="N32" s="13">
        <v>0.0</v>
      </c>
      <c r="O32" s="13">
        <v>0.6666666666666666</v>
      </c>
      <c r="P32" s="9">
        <v>0.0</v>
      </c>
      <c r="Q32" s="9">
        <v>0.0</v>
      </c>
      <c r="R32" s="9">
        <v>0.0</v>
      </c>
      <c r="S32" s="9">
        <v>1.0</v>
      </c>
      <c r="T32" s="9">
        <v>0.0</v>
      </c>
      <c r="U32" s="13">
        <v>0.6666666666666666</v>
      </c>
      <c r="V32" s="9">
        <v>0.0</v>
      </c>
      <c r="W32" s="9">
        <v>0.0</v>
      </c>
      <c r="X32" s="9">
        <v>0.0</v>
      </c>
      <c r="Y32" s="9">
        <v>1.0</v>
      </c>
      <c r="Z32" s="9">
        <v>0.0</v>
      </c>
      <c r="AA32" s="13">
        <v>0.6666666666666666</v>
      </c>
    </row>
    <row r="33">
      <c r="A33" s="9" t="s">
        <v>31</v>
      </c>
      <c r="B33" s="9" t="s">
        <v>8</v>
      </c>
      <c r="C33" s="11">
        <v>4.0</v>
      </c>
      <c r="D33" s="9">
        <v>96.0</v>
      </c>
      <c r="E33" s="9">
        <v>2.0</v>
      </c>
      <c r="F33" s="9">
        <v>0.0</v>
      </c>
      <c r="G33" s="9" t="s">
        <v>86</v>
      </c>
      <c r="H33" s="9">
        <v>8.0</v>
      </c>
      <c r="I33" s="10">
        <v>2.0</v>
      </c>
      <c r="J33" s="9">
        <v>1.0</v>
      </c>
      <c r="K33" s="9">
        <v>0.0</v>
      </c>
      <c r="L33" s="9">
        <v>1.0</v>
      </c>
      <c r="M33" s="9">
        <v>0.0</v>
      </c>
      <c r="N33" s="9">
        <v>0.0</v>
      </c>
      <c r="O33" s="9">
        <v>0.0</v>
      </c>
      <c r="P33" s="9">
        <v>0.0</v>
      </c>
      <c r="Q33" s="9">
        <v>0.0</v>
      </c>
      <c r="R33" s="9">
        <v>0.0</v>
      </c>
      <c r="S33" s="9">
        <v>1.0</v>
      </c>
      <c r="T33" s="9">
        <v>0.0</v>
      </c>
      <c r="U33" s="9">
        <v>1.0</v>
      </c>
      <c r="V33" s="9">
        <v>0.0</v>
      </c>
      <c r="W33" s="9">
        <v>0.0</v>
      </c>
      <c r="X33" s="9">
        <v>0.0</v>
      </c>
      <c r="Y33" s="9">
        <v>0.0</v>
      </c>
      <c r="Z33" s="9">
        <v>0.0</v>
      </c>
      <c r="AA33" s="9">
        <v>0.0</v>
      </c>
    </row>
    <row r="34">
      <c r="A34" s="9" t="s">
        <v>38</v>
      </c>
      <c r="B34" s="9" t="s">
        <v>9</v>
      </c>
      <c r="C34" s="11">
        <v>6.0</v>
      </c>
      <c r="D34" s="9">
        <v>144.0</v>
      </c>
      <c r="E34" s="9">
        <v>4.0</v>
      </c>
      <c r="F34" s="9">
        <v>1.0</v>
      </c>
      <c r="G34" s="9">
        <v>4.0</v>
      </c>
      <c r="H34" s="9">
        <v>12.0</v>
      </c>
      <c r="I34" s="10">
        <v>2.0</v>
      </c>
      <c r="J34" s="9">
        <v>0.0</v>
      </c>
      <c r="K34" s="9">
        <v>0.0</v>
      </c>
      <c r="L34" s="9">
        <v>0.0</v>
      </c>
      <c r="M34" s="9">
        <v>2.0</v>
      </c>
      <c r="N34" s="9">
        <v>1.0</v>
      </c>
      <c r="O34" s="13">
        <v>0.6666666666666666</v>
      </c>
      <c r="P34" s="9">
        <v>0.0</v>
      </c>
      <c r="Q34" s="9">
        <v>0.0</v>
      </c>
      <c r="R34" s="9">
        <v>0.0</v>
      </c>
      <c r="S34" s="9">
        <v>1.0</v>
      </c>
      <c r="T34" s="9">
        <v>0.0</v>
      </c>
      <c r="U34" s="13">
        <v>0.6666666666666666</v>
      </c>
      <c r="V34" s="9">
        <v>0.0</v>
      </c>
      <c r="W34" s="9">
        <v>0.0</v>
      </c>
      <c r="X34" s="9">
        <v>0.0</v>
      </c>
      <c r="Y34" s="9">
        <v>1.0</v>
      </c>
      <c r="Z34" s="9">
        <v>0.0</v>
      </c>
      <c r="AA34" s="13">
        <v>0.6666666666666666</v>
      </c>
    </row>
    <row r="35">
      <c r="A35" s="9" t="s">
        <v>17</v>
      </c>
      <c r="B35" s="9" t="s">
        <v>4</v>
      </c>
      <c r="C35" s="11">
        <v>4.0</v>
      </c>
      <c r="D35" s="9">
        <v>96.0</v>
      </c>
      <c r="E35" s="9">
        <v>2.0</v>
      </c>
      <c r="F35" s="9">
        <v>0.0</v>
      </c>
      <c r="G35" s="9" t="s">
        <v>86</v>
      </c>
      <c r="H35" s="9">
        <v>8.0</v>
      </c>
      <c r="I35" s="10">
        <v>2.0</v>
      </c>
      <c r="J35" s="9">
        <v>0.0</v>
      </c>
      <c r="K35" s="9">
        <v>0.0</v>
      </c>
      <c r="L35" s="9">
        <v>0.0</v>
      </c>
      <c r="M35" s="9">
        <v>0.0</v>
      </c>
      <c r="N35" s="9">
        <v>0.0</v>
      </c>
      <c r="O35" s="9">
        <v>0.0</v>
      </c>
      <c r="P35" s="9">
        <v>0.0</v>
      </c>
      <c r="Q35" s="9">
        <v>0.0</v>
      </c>
      <c r="R35" s="9">
        <v>0.0</v>
      </c>
      <c r="S35" s="9">
        <v>1.0</v>
      </c>
      <c r="T35" s="9">
        <v>0.0</v>
      </c>
      <c r="U35" s="9">
        <v>1.0</v>
      </c>
      <c r="V35" s="9">
        <v>0.0</v>
      </c>
      <c r="W35" s="9">
        <v>0.0</v>
      </c>
      <c r="X35" s="9">
        <v>0.0</v>
      </c>
      <c r="Y35" s="9">
        <v>1.0</v>
      </c>
      <c r="Z35" s="9">
        <v>0.0</v>
      </c>
      <c r="AA35" s="9">
        <v>1.0</v>
      </c>
    </row>
    <row r="36">
      <c r="A36" s="9" t="s">
        <v>14</v>
      </c>
      <c r="B36" s="9" t="s">
        <v>4</v>
      </c>
      <c r="C36" s="11">
        <v>4.0</v>
      </c>
      <c r="D36" s="9">
        <v>96.0</v>
      </c>
      <c r="E36" s="9">
        <v>2.0</v>
      </c>
      <c r="F36" s="9">
        <v>0.0</v>
      </c>
      <c r="G36" s="9" t="s">
        <v>86</v>
      </c>
      <c r="H36" s="9">
        <v>8.0</v>
      </c>
      <c r="I36" s="10">
        <v>2.0</v>
      </c>
      <c r="J36" s="9">
        <v>0.0</v>
      </c>
      <c r="K36" s="9">
        <v>0.0</v>
      </c>
      <c r="L36" s="9">
        <v>0.0</v>
      </c>
      <c r="M36" s="9">
        <v>0.0</v>
      </c>
      <c r="N36" s="9">
        <v>0.0</v>
      </c>
      <c r="O36" s="9">
        <v>0.0</v>
      </c>
      <c r="P36" s="9">
        <v>1.0</v>
      </c>
      <c r="Q36" s="9">
        <v>0.0</v>
      </c>
      <c r="R36" s="9">
        <v>1.0</v>
      </c>
      <c r="S36" s="9">
        <v>0.0</v>
      </c>
      <c r="T36" s="9">
        <v>0.0</v>
      </c>
      <c r="U36" s="9">
        <v>0.0</v>
      </c>
      <c r="V36" s="9">
        <v>0.0</v>
      </c>
      <c r="W36" s="9">
        <v>0.0</v>
      </c>
      <c r="X36" s="9">
        <v>0.0</v>
      </c>
      <c r="Y36" s="9">
        <v>1.0</v>
      </c>
      <c r="Z36" s="9">
        <v>0.0</v>
      </c>
      <c r="AA36" s="9">
        <v>1.0</v>
      </c>
    </row>
    <row r="37">
      <c r="A37" s="9" t="s">
        <v>15</v>
      </c>
      <c r="B37" s="9" t="s">
        <v>4</v>
      </c>
      <c r="C37" s="9">
        <v>4.0</v>
      </c>
      <c r="D37" s="9">
        <v>96.0</v>
      </c>
      <c r="E37" s="9">
        <v>2.0</v>
      </c>
      <c r="F37" s="9">
        <v>0.0</v>
      </c>
      <c r="G37" s="9" t="s">
        <v>86</v>
      </c>
      <c r="H37" s="9">
        <v>8.0</v>
      </c>
      <c r="I37" s="10">
        <v>2.0</v>
      </c>
      <c r="J37" s="9">
        <v>0.0</v>
      </c>
      <c r="K37" s="9">
        <v>0.0</v>
      </c>
      <c r="L37" s="9">
        <v>0.0</v>
      </c>
      <c r="M37" s="9">
        <v>2.0</v>
      </c>
      <c r="N37" s="9">
        <v>0.0</v>
      </c>
      <c r="O37" s="9">
        <v>2.0</v>
      </c>
      <c r="P37" s="9">
        <v>0.0</v>
      </c>
      <c r="Q37" s="9">
        <v>0.0</v>
      </c>
      <c r="R37" s="9">
        <v>0.0</v>
      </c>
      <c r="S37" s="9">
        <v>0.0</v>
      </c>
      <c r="T37" s="9">
        <v>0.0</v>
      </c>
      <c r="U37" s="9">
        <v>0.0</v>
      </c>
      <c r="V37" s="9">
        <v>0.0</v>
      </c>
      <c r="W37" s="9">
        <v>0.0</v>
      </c>
      <c r="X37" s="9">
        <v>0.0</v>
      </c>
      <c r="Y37" s="9">
        <v>0.0</v>
      </c>
      <c r="Z37" s="9">
        <v>0.0</v>
      </c>
      <c r="AA37" s="9">
        <v>0.0</v>
      </c>
    </row>
    <row r="38">
      <c r="A38" s="9" t="s">
        <v>46</v>
      </c>
      <c r="B38" s="9" t="s">
        <v>0</v>
      </c>
      <c r="C38" s="9">
        <v>7.0</v>
      </c>
      <c r="D38" s="9">
        <v>168.0</v>
      </c>
      <c r="E38" s="9">
        <v>3.0</v>
      </c>
      <c r="F38" s="9">
        <v>0.0</v>
      </c>
      <c r="G38" s="9" t="s">
        <v>86</v>
      </c>
      <c r="H38" s="9">
        <v>12.0</v>
      </c>
      <c r="I38" s="12">
        <v>1.7142857142857142</v>
      </c>
      <c r="J38" s="13">
        <v>1.0</v>
      </c>
      <c r="K38" s="13">
        <v>0.0</v>
      </c>
      <c r="L38" s="13">
        <v>0.5714285714285714</v>
      </c>
      <c r="M38" s="9">
        <v>0.0</v>
      </c>
      <c r="N38" s="9">
        <v>0.0</v>
      </c>
      <c r="O38" s="9">
        <v>0.0</v>
      </c>
      <c r="P38" s="9">
        <v>0.0</v>
      </c>
      <c r="Q38" s="9">
        <v>0.0</v>
      </c>
      <c r="R38" s="9">
        <v>0.0</v>
      </c>
      <c r="S38" s="9">
        <v>1.0</v>
      </c>
      <c r="T38" s="9">
        <v>0.0</v>
      </c>
      <c r="U38" s="13">
        <v>0.5714285714285714</v>
      </c>
      <c r="V38" s="9">
        <v>1.0</v>
      </c>
      <c r="W38" s="9">
        <v>0.0</v>
      </c>
      <c r="X38" s="13">
        <v>0.5714285714285714</v>
      </c>
      <c r="Y38" s="9">
        <v>0.0</v>
      </c>
      <c r="Z38" s="9">
        <v>0.0</v>
      </c>
      <c r="AA38" s="9">
        <v>0.0</v>
      </c>
    </row>
    <row r="39">
      <c r="A39" s="9" t="s">
        <v>20</v>
      </c>
      <c r="B39" s="9" t="s">
        <v>6</v>
      </c>
      <c r="C39" s="9">
        <v>4.0</v>
      </c>
      <c r="D39" s="9">
        <v>96.0</v>
      </c>
      <c r="E39" s="9">
        <v>6.0</v>
      </c>
      <c r="F39" s="9">
        <v>5.0</v>
      </c>
      <c r="G39" s="9">
        <v>1.2</v>
      </c>
      <c r="H39" s="9">
        <v>4.0</v>
      </c>
      <c r="I39" s="10">
        <v>1.0</v>
      </c>
      <c r="J39" s="9">
        <v>0.0</v>
      </c>
      <c r="K39" s="9">
        <v>0.0</v>
      </c>
      <c r="L39" s="9">
        <v>0.0</v>
      </c>
      <c r="M39" s="9">
        <v>0.0</v>
      </c>
      <c r="N39" s="9">
        <v>0.0</v>
      </c>
      <c r="O39" s="9">
        <v>0.0</v>
      </c>
      <c r="P39" s="9">
        <v>1.0</v>
      </c>
      <c r="Q39" s="9">
        <v>0.0</v>
      </c>
      <c r="R39" s="9">
        <v>1.0</v>
      </c>
      <c r="S39" s="9">
        <v>1.0</v>
      </c>
      <c r="T39" s="9">
        <v>2.0</v>
      </c>
      <c r="U39" s="9">
        <v>-1.0</v>
      </c>
      <c r="V39" s="9">
        <v>1.0</v>
      </c>
      <c r="W39" s="9">
        <v>0.0</v>
      </c>
      <c r="X39" s="9">
        <v>1.0</v>
      </c>
      <c r="Y39" s="9">
        <v>3.0</v>
      </c>
      <c r="Z39" s="9">
        <v>3.0</v>
      </c>
      <c r="AA39" s="9">
        <v>0.0</v>
      </c>
    </row>
    <row r="40">
      <c r="A40" s="9" t="s">
        <v>39</v>
      </c>
      <c r="B40" s="9" t="s">
        <v>9</v>
      </c>
      <c r="C40" s="9">
        <v>6.0</v>
      </c>
      <c r="D40" s="9">
        <v>144.0</v>
      </c>
      <c r="E40" s="9">
        <v>1.0</v>
      </c>
      <c r="F40" s="9">
        <v>0.0</v>
      </c>
      <c r="G40" s="9" t="s">
        <v>86</v>
      </c>
      <c r="H40" s="9">
        <v>4.0</v>
      </c>
      <c r="I40" s="12">
        <v>0.6666666666666666</v>
      </c>
      <c r="J40" s="9">
        <v>0.0</v>
      </c>
      <c r="K40" s="9">
        <v>0.0</v>
      </c>
      <c r="L40" s="9">
        <v>0.0</v>
      </c>
      <c r="M40" s="9">
        <v>0.0</v>
      </c>
      <c r="N40" s="9">
        <v>0.0</v>
      </c>
      <c r="O40" s="9">
        <v>0.0</v>
      </c>
      <c r="P40" s="9">
        <v>0.0</v>
      </c>
      <c r="Q40" s="9">
        <v>0.0</v>
      </c>
      <c r="R40" s="9">
        <v>0.0</v>
      </c>
      <c r="S40" s="9">
        <v>0.0</v>
      </c>
      <c r="T40" s="9">
        <v>0.0</v>
      </c>
      <c r="U40" s="9">
        <v>0.0</v>
      </c>
      <c r="V40" s="9">
        <v>1.0</v>
      </c>
      <c r="W40" s="9">
        <v>0.0</v>
      </c>
      <c r="X40" s="13">
        <v>0.6666666666666666</v>
      </c>
      <c r="Y40" s="9">
        <v>0.0</v>
      </c>
      <c r="Z40" s="9">
        <v>0.0</v>
      </c>
      <c r="AA40" s="9">
        <v>0.0</v>
      </c>
    </row>
    <row r="41">
      <c r="A41" s="9" t="s">
        <v>27</v>
      </c>
      <c r="B41" s="9" t="s">
        <v>7</v>
      </c>
      <c r="C41" s="9">
        <v>7.0</v>
      </c>
      <c r="D41" s="9">
        <v>168.0</v>
      </c>
      <c r="E41" s="9">
        <v>3.0</v>
      </c>
      <c r="F41" s="9">
        <v>2.0</v>
      </c>
      <c r="G41" s="9">
        <v>1.5</v>
      </c>
      <c r="H41" s="9">
        <v>4.0</v>
      </c>
      <c r="I41" s="12">
        <v>0.5714285714285714</v>
      </c>
      <c r="J41" s="13">
        <v>2.0</v>
      </c>
      <c r="K41" s="13">
        <v>0.0</v>
      </c>
      <c r="L41" s="13">
        <v>1.1428571428571428</v>
      </c>
      <c r="M41" s="9">
        <v>1.0</v>
      </c>
      <c r="N41" s="9">
        <v>1.0</v>
      </c>
      <c r="O41" s="9">
        <v>0.0</v>
      </c>
      <c r="P41" s="9">
        <v>0.0</v>
      </c>
      <c r="Q41" s="9">
        <v>0.0</v>
      </c>
      <c r="R41" s="9">
        <v>0.0</v>
      </c>
      <c r="S41" s="9">
        <v>0.0</v>
      </c>
      <c r="T41" s="9">
        <v>1.0</v>
      </c>
      <c r="U41" s="13">
        <v>-0.5714285714285714</v>
      </c>
      <c r="V41" s="9">
        <v>0.0</v>
      </c>
      <c r="W41" s="9">
        <v>0.0</v>
      </c>
      <c r="X41" s="9">
        <v>0.0</v>
      </c>
      <c r="Y41" s="9">
        <v>0.0</v>
      </c>
      <c r="Z41" s="9">
        <v>0.0</v>
      </c>
      <c r="AA41" s="9">
        <v>0.0</v>
      </c>
    </row>
    <row r="42">
      <c r="A42" s="9" t="s">
        <v>18</v>
      </c>
      <c r="B42" s="9" t="s">
        <v>4</v>
      </c>
      <c r="C42" s="9">
        <v>4.0</v>
      </c>
      <c r="D42" s="9">
        <v>96.0</v>
      </c>
      <c r="E42" s="9">
        <v>0.0</v>
      </c>
      <c r="F42" s="9">
        <v>0.0</v>
      </c>
      <c r="G42" s="9" t="s">
        <v>86</v>
      </c>
      <c r="H42" s="9">
        <v>0.0</v>
      </c>
      <c r="I42" s="10">
        <v>0.0</v>
      </c>
      <c r="J42" s="9">
        <v>0.0</v>
      </c>
      <c r="K42" s="9">
        <v>0.0</v>
      </c>
      <c r="L42" s="9">
        <v>0.0</v>
      </c>
      <c r="M42" s="9">
        <v>0.0</v>
      </c>
      <c r="N42" s="9">
        <v>0.0</v>
      </c>
      <c r="O42" s="9">
        <v>0.0</v>
      </c>
      <c r="P42" s="9">
        <v>0.0</v>
      </c>
      <c r="Q42" s="9">
        <v>0.0</v>
      </c>
      <c r="R42" s="9">
        <v>0.0</v>
      </c>
      <c r="S42" s="9">
        <v>0.0</v>
      </c>
      <c r="T42" s="9">
        <v>0.0</v>
      </c>
      <c r="U42" s="9">
        <v>0.0</v>
      </c>
      <c r="V42" s="9">
        <v>0.0</v>
      </c>
      <c r="W42" s="9">
        <v>0.0</v>
      </c>
      <c r="X42" s="9">
        <v>0.0</v>
      </c>
      <c r="Y42" s="9">
        <v>0.0</v>
      </c>
      <c r="Z42" s="9">
        <v>0.0</v>
      </c>
      <c r="AA42" s="9">
        <v>0.0</v>
      </c>
    </row>
    <row r="43">
      <c r="A43" s="9" t="s">
        <v>28</v>
      </c>
      <c r="B43" s="9" t="s">
        <v>7</v>
      </c>
      <c r="C43" s="9">
        <v>3.0</v>
      </c>
      <c r="D43" s="9">
        <v>72.0</v>
      </c>
      <c r="E43" s="9">
        <v>0.0</v>
      </c>
      <c r="F43" s="9">
        <v>0.0</v>
      </c>
      <c r="G43" s="9" t="s">
        <v>86</v>
      </c>
      <c r="H43" s="9">
        <v>0.0</v>
      </c>
      <c r="I43" s="10">
        <v>0.0</v>
      </c>
      <c r="J43" s="9">
        <v>0.0</v>
      </c>
      <c r="K43" s="9">
        <v>0.0</v>
      </c>
      <c r="L43" s="9">
        <v>0.0</v>
      </c>
      <c r="M43" s="9">
        <v>0.0</v>
      </c>
      <c r="N43" s="9">
        <v>0.0</v>
      </c>
      <c r="O43" s="9">
        <v>0.0</v>
      </c>
      <c r="P43" s="9">
        <v>0.0</v>
      </c>
      <c r="Q43" s="9">
        <v>0.0</v>
      </c>
      <c r="R43" s="9">
        <v>0.0</v>
      </c>
      <c r="S43" s="9">
        <v>0.0</v>
      </c>
      <c r="T43" s="9">
        <v>0.0</v>
      </c>
      <c r="U43" s="9">
        <v>0.0</v>
      </c>
      <c r="V43" s="9">
        <v>0.0</v>
      </c>
      <c r="W43" s="9">
        <v>0.0</v>
      </c>
      <c r="X43" s="9">
        <v>0.0</v>
      </c>
      <c r="Y43" s="9">
        <v>0.0</v>
      </c>
      <c r="Z43" s="9">
        <v>0.0</v>
      </c>
      <c r="AA43" s="9">
        <v>0.0</v>
      </c>
    </row>
    <row r="44">
      <c r="C44" s="14"/>
      <c r="I44" s="15"/>
    </row>
    <row r="45">
      <c r="C45" s="14"/>
      <c r="I45" s="15"/>
    </row>
    <row r="46">
      <c r="C46" s="14"/>
      <c r="I46" s="15"/>
    </row>
    <row r="47">
      <c r="C47" s="14"/>
      <c r="I47" s="15"/>
    </row>
    <row r="48">
      <c r="C48" s="14"/>
      <c r="I48" s="15"/>
    </row>
    <row r="49">
      <c r="C49" s="14"/>
      <c r="I49" s="15"/>
    </row>
    <row r="50">
      <c r="C50" s="14"/>
      <c r="I50" s="15"/>
    </row>
    <row r="51">
      <c r="C51" s="14"/>
      <c r="I51" s="15"/>
    </row>
    <row r="52">
      <c r="C52" s="14"/>
      <c r="I52" s="15"/>
    </row>
    <row r="53">
      <c r="C53" s="14"/>
      <c r="I53" s="15"/>
    </row>
    <row r="54">
      <c r="C54" s="14"/>
      <c r="I54" s="15"/>
    </row>
    <row r="55">
      <c r="C55" s="14"/>
      <c r="I55" s="15"/>
    </row>
    <row r="56">
      <c r="C56" s="14"/>
      <c r="I56" s="15"/>
    </row>
    <row r="57">
      <c r="C57" s="14"/>
      <c r="I57" s="15"/>
    </row>
    <row r="58">
      <c r="C58" s="14"/>
      <c r="I58" s="15"/>
    </row>
    <row r="59">
      <c r="C59" s="14"/>
      <c r="I59" s="15"/>
    </row>
    <row r="60">
      <c r="C60" s="14"/>
      <c r="I60" s="15"/>
    </row>
    <row r="61">
      <c r="C61" s="14"/>
      <c r="I61" s="15"/>
    </row>
    <row r="62">
      <c r="C62" s="14"/>
      <c r="I62" s="15"/>
    </row>
    <row r="63">
      <c r="C63" s="14"/>
      <c r="I63" s="15"/>
    </row>
    <row r="64">
      <c r="C64" s="14"/>
      <c r="I64" s="15"/>
    </row>
    <row r="65">
      <c r="C65" s="14"/>
      <c r="I65" s="15"/>
    </row>
    <row r="66">
      <c r="C66" s="14"/>
      <c r="I66" s="15"/>
    </row>
    <row r="67">
      <c r="C67" s="14"/>
      <c r="I67" s="15"/>
    </row>
    <row r="68">
      <c r="C68" s="14"/>
      <c r="I68" s="15"/>
    </row>
    <row r="69">
      <c r="C69" s="14"/>
      <c r="I69" s="15"/>
    </row>
    <row r="70">
      <c r="C70" s="14"/>
      <c r="I70" s="15"/>
    </row>
    <row r="71">
      <c r="C71" s="14"/>
      <c r="I71" s="15"/>
    </row>
    <row r="72">
      <c r="C72" s="14"/>
      <c r="I72" s="15"/>
    </row>
    <row r="73">
      <c r="C73" s="14"/>
      <c r="I73" s="15"/>
    </row>
    <row r="74">
      <c r="C74" s="14"/>
      <c r="I74" s="15"/>
    </row>
    <row r="75">
      <c r="C75" s="14"/>
      <c r="I75" s="15"/>
    </row>
    <row r="76">
      <c r="C76" s="14"/>
      <c r="I76" s="15"/>
    </row>
    <row r="77">
      <c r="C77" s="14"/>
      <c r="I77" s="15"/>
    </row>
    <row r="78">
      <c r="C78" s="14"/>
      <c r="I78" s="15"/>
    </row>
    <row r="79">
      <c r="C79" s="14"/>
      <c r="I79" s="15"/>
    </row>
    <row r="80">
      <c r="C80" s="14"/>
      <c r="I80" s="15"/>
    </row>
    <row r="81">
      <c r="C81" s="14"/>
      <c r="I81" s="15"/>
    </row>
    <row r="82">
      <c r="C82" s="14"/>
      <c r="I82" s="15"/>
    </row>
    <row r="83">
      <c r="C83" s="14"/>
      <c r="I83" s="15"/>
    </row>
    <row r="84">
      <c r="C84" s="14"/>
      <c r="I84" s="15"/>
    </row>
    <row r="85">
      <c r="C85" s="14"/>
      <c r="I85" s="15"/>
    </row>
    <row r="86">
      <c r="C86" s="14"/>
      <c r="I86" s="15"/>
    </row>
    <row r="87">
      <c r="C87" s="14"/>
      <c r="I87" s="15"/>
    </row>
    <row r="88">
      <c r="C88" s="14"/>
      <c r="I88" s="15"/>
    </row>
    <row r="89">
      <c r="C89" s="14"/>
      <c r="I89" s="15"/>
    </row>
    <row r="90">
      <c r="C90" s="14"/>
      <c r="I90" s="15"/>
    </row>
    <row r="91">
      <c r="C91" s="14"/>
      <c r="I91" s="15"/>
    </row>
    <row r="92">
      <c r="C92" s="14"/>
      <c r="I92" s="15"/>
    </row>
    <row r="93">
      <c r="C93" s="14"/>
      <c r="I93" s="15"/>
    </row>
    <row r="94">
      <c r="C94" s="14"/>
      <c r="I94" s="15"/>
    </row>
    <row r="95">
      <c r="C95" s="14"/>
      <c r="I95" s="15"/>
    </row>
    <row r="96">
      <c r="C96" s="14"/>
      <c r="I96" s="15"/>
    </row>
    <row r="97">
      <c r="C97" s="14"/>
      <c r="I97" s="15"/>
    </row>
    <row r="98">
      <c r="C98" s="14"/>
      <c r="I98" s="15"/>
    </row>
    <row r="99">
      <c r="C99" s="14"/>
      <c r="I99" s="15"/>
    </row>
    <row r="100">
      <c r="C100" s="14"/>
      <c r="I100" s="15"/>
    </row>
    <row r="101">
      <c r="C101" s="14"/>
      <c r="I101" s="15"/>
    </row>
    <row r="102">
      <c r="C102" s="14"/>
      <c r="I102" s="15"/>
    </row>
    <row r="103">
      <c r="C103" s="14"/>
      <c r="I103" s="15"/>
    </row>
    <row r="104">
      <c r="C104" s="14"/>
      <c r="I104" s="15"/>
    </row>
    <row r="105">
      <c r="C105" s="14"/>
      <c r="I105" s="15"/>
    </row>
    <row r="106">
      <c r="C106" s="14"/>
      <c r="I106" s="15"/>
    </row>
    <row r="107">
      <c r="C107" s="14"/>
      <c r="I107" s="15"/>
    </row>
    <row r="108">
      <c r="C108" s="14"/>
      <c r="I108" s="15"/>
    </row>
    <row r="109">
      <c r="C109" s="14"/>
      <c r="I109" s="15"/>
    </row>
    <row r="110">
      <c r="C110" s="14"/>
      <c r="I110" s="15"/>
    </row>
    <row r="111">
      <c r="C111" s="14"/>
      <c r="I111" s="15"/>
    </row>
    <row r="112">
      <c r="C112" s="14"/>
      <c r="I112" s="15"/>
    </row>
    <row r="113">
      <c r="C113" s="14"/>
      <c r="I113" s="15"/>
    </row>
    <row r="114">
      <c r="C114" s="14"/>
      <c r="I114" s="15"/>
    </row>
    <row r="115">
      <c r="C115" s="14"/>
      <c r="I115" s="15"/>
    </row>
    <row r="116">
      <c r="C116" s="14"/>
      <c r="I116" s="15"/>
    </row>
    <row r="117">
      <c r="C117" s="14"/>
      <c r="I117" s="15"/>
    </row>
    <row r="118">
      <c r="C118" s="14"/>
      <c r="I118" s="15"/>
    </row>
    <row r="119">
      <c r="C119" s="14"/>
      <c r="I119" s="15"/>
    </row>
    <row r="120">
      <c r="C120" s="14"/>
      <c r="I120" s="15"/>
    </row>
    <row r="121">
      <c r="C121" s="14"/>
      <c r="I121" s="15"/>
    </row>
    <row r="122">
      <c r="C122" s="14"/>
      <c r="I122" s="15"/>
    </row>
    <row r="123">
      <c r="C123" s="14"/>
      <c r="I123" s="15"/>
    </row>
    <row r="124">
      <c r="C124" s="14"/>
      <c r="I124" s="15"/>
    </row>
    <row r="125">
      <c r="C125" s="14"/>
      <c r="I125" s="15"/>
    </row>
    <row r="126">
      <c r="C126" s="14"/>
      <c r="I126" s="15"/>
    </row>
    <row r="127">
      <c r="C127" s="14"/>
      <c r="I127" s="15"/>
    </row>
    <row r="128">
      <c r="C128" s="14"/>
      <c r="I128" s="15"/>
    </row>
    <row r="129">
      <c r="C129" s="14"/>
      <c r="I129" s="15"/>
    </row>
    <row r="130">
      <c r="C130" s="14"/>
      <c r="I130" s="15"/>
    </row>
    <row r="131">
      <c r="C131" s="14"/>
      <c r="I131" s="15"/>
    </row>
    <row r="132">
      <c r="C132" s="14"/>
      <c r="I132" s="15"/>
    </row>
    <row r="133">
      <c r="C133" s="14"/>
      <c r="I133" s="15"/>
    </row>
    <row r="134">
      <c r="C134" s="14"/>
      <c r="I134" s="15"/>
    </row>
    <row r="135">
      <c r="C135" s="14"/>
      <c r="I135" s="15"/>
    </row>
    <row r="136">
      <c r="C136" s="14"/>
      <c r="I136" s="15"/>
    </row>
    <row r="137">
      <c r="C137" s="14"/>
      <c r="I137" s="15"/>
    </row>
    <row r="138">
      <c r="C138" s="14"/>
      <c r="I138" s="15"/>
    </row>
    <row r="139">
      <c r="C139" s="14"/>
      <c r="I139" s="15"/>
    </row>
    <row r="140">
      <c r="C140" s="14"/>
      <c r="I140" s="15"/>
    </row>
    <row r="141">
      <c r="C141" s="14"/>
      <c r="I141" s="15"/>
    </row>
    <row r="142">
      <c r="C142" s="14"/>
      <c r="I142" s="15"/>
    </row>
    <row r="143">
      <c r="C143" s="14"/>
      <c r="I143" s="15"/>
    </row>
    <row r="144">
      <c r="C144" s="14"/>
      <c r="I144" s="15"/>
    </row>
    <row r="145">
      <c r="C145" s="14"/>
      <c r="I145" s="15"/>
    </row>
    <row r="146">
      <c r="C146" s="14"/>
      <c r="I146" s="15"/>
    </row>
    <row r="147">
      <c r="C147" s="14"/>
      <c r="I147" s="15"/>
    </row>
    <row r="148">
      <c r="C148" s="14"/>
      <c r="I148" s="15"/>
    </row>
    <row r="149">
      <c r="C149" s="14"/>
      <c r="I149" s="15"/>
    </row>
    <row r="150">
      <c r="C150" s="14"/>
      <c r="I150" s="15"/>
    </row>
    <row r="151">
      <c r="C151" s="14"/>
      <c r="I151" s="15"/>
    </row>
    <row r="152">
      <c r="C152" s="14"/>
      <c r="I152" s="15"/>
    </row>
    <row r="153">
      <c r="C153" s="14"/>
      <c r="I153" s="15"/>
    </row>
    <row r="154">
      <c r="C154" s="14"/>
      <c r="I154" s="15"/>
    </row>
    <row r="155">
      <c r="C155" s="14"/>
      <c r="I155" s="15"/>
    </row>
    <row r="156">
      <c r="C156" s="14"/>
      <c r="I156" s="15"/>
    </row>
    <row r="157">
      <c r="C157" s="14"/>
      <c r="I157" s="15"/>
    </row>
    <row r="158">
      <c r="C158" s="14"/>
      <c r="I158" s="15"/>
    </row>
    <row r="159">
      <c r="C159" s="14"/>
      <c r="I159" s="15"/>
    </row>
    <row r="160">
      <c r="C160" s="14"/>
      <c r="I160" s="15"/>
    </row>
    <row r="161">
      <c r="C161" s="14"/>
      <c r="I161" s="15"/>
    </row>
    <row r="162">
      <c r="C162" s="14"/>
      <c r="I162" s="15"/>
    </row>
    <row r="163">
      <c r="C163" s="14"/>
      <c r="I163" s="15"/>
    </row>
    <row r="164">
      <c r="C164" s="14"/>
      <c r="I164" s="15"/>
    </row>
    <row r="165">
      <c r="C165" s="14"/>
      <c r="I165" s="15"/>
    </row>
    <row r="166">
      <c r="C166" s="14"/>
      <c r="I166" s="15"/>
    </row>
    <row r="167">
      <c r="C167" s="14"/>
      <c r="I167" s="15"/>
    </row>
    <row r="168">
      <c r="C168" s="14"/>
      <c r="I168" s="15"/>
    </row>
    <row r="169">
      <c r="C169" s="14"/>
      <c r="I169" s="15"/>
    </row>
    <row r="170">
      <c r="C170" s="14"/>
      <c r="I170" s="15"/>
    </row>
    <row r="171">
      <c r="C171" s="14"/>
      <c r="I171" s="15"/>
    </row>
    <row r="172">
      <c r="C172" s="14"/>
      <c r="I172" s="15"/>
    </row>
    <row r="173">
      <c r="C173" s="14"/>
      <c r="I173" s="15"/>
    </row>
    <row r="174">
      <c r="C174" s="14"/>
      <c r="I174" s="15"/>
    </row>
    <row r="175">
      <c r="C175" s="14"/>
      <c r="I175" s="15"/>
    </row>
    <row r="176">
      <c r="C176" s="14"/>
      <c r="I176" s="15"/>
    </row>
    <row r="177">
      <c r="C177" s="14"/>
      <c r="I177" s="15"/>
    </row>
    <row r="178">
      <c r="C178" s="14"/>
      <c r="I178" s="15"/>
    </row>
    <row r="179">
      <c r="C179" s="14"/>
      <c r="I179" s="15"/>
    </row>
    <row r="180">
      <c r="C180" s="14"/>
      <c r="I180" s="15"/>
    </row>
    <row r="181">
      <c r="C181" s="14"/>
      <c r="I181" s="15"/>
    </row>
    <row r="182">
      <c r="C182" s="14"/>
      <c r="I182" s="15"/>
    </row>
    <row r="183">
      <c r="C183" s="14"/>
      <c r="I183" s="15"/>
    </row>
    <row r="184">
      <c r="C184" s="14"/>
      <c r="I184" s="15"/>
    </row>
    <row r="185">
      <c r="C185" s="14"/>
      <c r="I185" s="15"/>
    </row>
    <row r="186">
      <c r="C186" s="14"/>
      <c r="I186" s="15"/>
    </row>
    <row r="187">
      <c r="C187" s="14"/>
      <c r="I187" s="15"/>
    </row>
    <row r="188">
      <c r="C188" s="14"/>
      <c r="I188" s="15"/>
    </row>
    <row r="189">
      <c r="C189" s="14"/>
      <c r="I189" s="15"/>
    </row>
    <row r="190">
      <c r="C190" s="14"/>
      <c r="I190" s="15"/>
    </row>
    <row r="191">
      <c r="C191" s="14"/>
      <c r="I191" s="15"/>
    </row>
    <row r="192">
      <c r="C192" s="14"/>
      <c r="I192" s="15"/>
    </row>
    <row r="193">
      <c r="C193" s="14"/>
      <c r="I193" s="15"/>
    </row>
    <row r="194">
      <c r="C194" s="14"/>
      <c r="I194" s="15"/>
    </row>
    <row r="195">
      <c r="C195" s="14"/>
      <c r="I195" s="15"/>
    </row>
    <row r="196">
      <c r="C196" s="14"/>
      <c r="I196" s="15"/>
    </row>
    <row r="197">
      <c r="C197" s="14"/>
      <c r="I197" s="15"/>
    </row>
    <row r="198">
      <c r="C198" s="14"/>
      <c r="I198" s="15"/>
    </row>
    <row r="199">
      <c r="C199" s="14"/>
      <c r="I199" s="15"/>
    </row>
    <row r="200">
      <c r="C200" s="14"/>
      <c r="I200" s="15"/>
    </row>
    <row r="201">
      <c r="C201" s="14"/>
      <c r="I201" s="15"/>
    </row>
    <row r="202">
      <c r="C202" s="14"/>
      <c r="I202" s="15"/>
    </row>
    <row r="203">
      <c r="C203" s="14"/>
      <c r="I203" s="15"/>
    </row>
    <row r="204">
      <c r="C204" s="14"/>
      <c r="I204" s="15"/>
    </row>
    <row r="205">
      <c r="C205" s="14"/>
      <c r="I205" s="15"/>
    </row>
    <row r="206">
      <c r="C206" s="14"/>
      <c r="I206" s="15"/>
    </row>
    <row r="207">
      <c r="C207" s="14"/>
      <c r="I207" s="15"/>
    </row>
    <row r="208">
      <c r="C208" s="14"/>
      <c r="I208" s="15"/>
    </row>
    <row r="209">
      <c r="C209" s="14"/>
      <c r="I209" s="15"/>
    </row>
    <row r="210">
      <c r="C210" s="14"/>
      <c r="I210" s="15"/>
    </row>
    <row r="211">
      <c r="C211" s="14"/>
      <c r="I211" s="15"/>
    </row>
    <row r="212">
      <c r="C212" s="14"/>
      <c r="I212" s="15"/>
    </row>
    <row r="213">
      <c r="C213" s="14"/>
      <c r="I213" s="15"/>
    </row>
    <row r="214">
      <c r="C214" s="14"/>
      <c r="I214" s="15"/>
    </row>
    <row r="215">
      <c r="C215" s="14"/>
      <c r="I215" s="15"/>
    </row>
    <row r="216">
      <c r="C216" s="14"/>
      <c r="I216" s="15"/>
    </row>
    <row r="217">
      <c r="C217" s="14"/>
      <c r="I217" s="15"/>
    </row>
    <row r="218">
      <c r="C218" s="14"/>
      <c r="I218" s="15"/>
    </row>
    <row r="219">
      <c r="C219" s="14"/>
      <c r="I219" s="15"/>
    </row>
    <row r="220">
      <c r="C220" s="14"/>
      <c r="I220" s="15"/>
    </row>
    <row r="221">
      <c r="C221" s="14"/>
      <c r="I221" s="15"/>
    </row>
    <row r="222">
      <c r="C222" s="14"/>
      <c r="I222" s="15"/>
    </row>
    <row r="223">
      <c r="C223" s="14"/>
      <c r="I223" s="15"/>
    </row>
    <row r="224">
      <c r="C224" s="14"/>
      <c r="I224" s="15"/>
    </row>
    <row r="225">
      <c r="C225" s="14"/>
      <c r="I225" s="15"/>
    </row>
    <row r="226">
      <c r="C226" s="14"/>
      <c r="I226" s="15"/>
    </row>
    <row r="227">
      <c r="C227" s="14"/>
      <c r="I227" s="15"/>
    </row>
    <row r="228">
      <c r="C228" s="14"/>
      <c r="I228" s="15"/>
    </row>
    <row r="229">
      <c r="C229" s="14"/>
      <c r="I229" s="15"/>
    </row>
    <row r="230">
      <c r="C230" s="14"/>
      <c r="I230" s="15"/>
    </row>
    <row r="231">
      <c r="C231" s="14"/>
      <c r="I231" s="15"/>
    </row>
    <row r="232">
      <c r="C232" s="14"/>
      <c r="I232" s="15"/>
    </row>
    <row r="233">
      <c r="C233" s="14"/>
      <c r="I233" s="15"/>
    </row>
    <row r="234">
      <c r="C234" s="14"/>
      <c r="I234" s="15"/>
    </row>
    <row r="235">
      <c r="C235" s="14"/>
      <c r="I235" s="15"/>
    </row>
    <row r="236">
      <c r="C236" s="14"/>
      <c r="I236" s="15"/>
    </row>
    <row r="237">
      <c r="C237" s="14"/>
      <c r="I237" s="15"/>
    </row>
    <row r="238">
      <c r="C238" s="14"/>
      <c r="I238" s="15"/>
    </row>
    <row r="239">
      <c r="C239" s="14"/>
      <c r="I239" s="15"/>
    </row>
    <row r="240">
      <c r="C240" s="14"/>
      <c r="I240" s="15"/>
    </row>
    <row r="241">
      <c r="C241" s="14"/>
      <c r="I241" s="15"/>
    </row>
    <row r="242">
      <c r="C242" s="14"/>
      <c r="I242" s="15"/>
    </row>
    <row r="243">
      <c r="C243" s="14"/>
      <c r="I243" s="15"/>
    </row>
    <row r="244">
      <c r="C244" s="14"/>
      <c r="I244" s="15"/>
    </row>
    <row r="245">
      <c r="C245" s="14"/>
      <c r="I245" s="15"/>
    </row>
    <row r="246">
      <c r="C246" s="14"/>
      <c r="I246" s="15"/>
    </row>
    <row r="247">
      <c r="C247" s="14"/>
      <c r="I247" s="15"/>
    </row>
    <row r="248">
      <c r="C248" s="14"/>
      <c r="I248" s="15"/>
    </row>
    <row r="249">
      <c r="C249" s="14"/>
      <c r="I249" s="15"/>
    </row>
    <row r="250">
      <c r="C250" s="14"/>
      <c r="I250" s="15"/>
    </row>
    <row r="251">
      <c r="C251" s="14"/>
      <c r="I251" s="15"/>
    </row>
    <row r="252">
      <c r="C252" s="14"/>
      <c r="I252" s="15"/>
    </row>
    <row r="253">
      <c r="C253" s="14"/>
      <c r="I253" s="15"/>
    </row>
    <row r="254">
      <c r="C254" s="14"/>
      <c r="I254" s="15"/>
    </row>
    <row r="255">
      <c r="C255" s="14"/>
      <c r="I255" s="15"/>
    </row>
    <row r="256">
      <c r="C256" s="14"/>
      <c r="I256" s="15"/>
    </row>
    <row r="257">
      <c r="C257" s="14"/>
      <c r="I257" s="15"/>
    </row>
    <row r="258">
      <c r="C258" s="14"/>
      <c r="I258" s="15"/>
    </row>
    <row r="259">
      <c r="C259" s="14"/>
      <c r="I259" s="15"/>
    </row>
    <row r="260">
      <c r="C260" s="14"/>
      <c r="I260" s="15"/>
    </row>
    <row r="261">
      <c r="C261" s="14"/>
      <c r="I261" s="15"/>
    </row>
    <row r="262">
      <c r="C262" s="14"/>
      <c r="I262" s="15"/>
    </row>
    <row r="263">
      <c r="C263" s="14"/>
      <c r="I263" s="15"/>
    </row>
    <row r="264">
      <c r="C264" s="14"/>
      <c r="I264" s="15"/>
    </row>
    <row r="265">
      <c r="C265" s="14"/>
      <c r="I265" s="15"/>
    </row>
    <row r="266">
      <c r="C266" s="14"/>
      <c r="I266" s="15"/>
    </row>
    <row r="267">
      <c r="C267" s="14"/>
      <c r="I267" s="15"/>
    </row>
    <row r="268">
      <c r="C268" s="14"/>
      <c r="I268" s="15"/>
    </row>
    <row r="269">
      <c r="C269" s="14"/>
      <c r="I269" s="15"/>
    </row>
    <row r="270">
      <c r="C270" s="14"/>
      <c r="I270" s="15"/>
    </row>
    <row r="271">
      <c r="C271" s="14"/>
      <c r="I271" s="15"/>
    </row>
    <row r="272">
      <c r="C272" s="14"/>
      <c r="I272" s="15"/>
    </row>
    <row r="273">
      <c r="C273" s="14"/>
      <c r="I273" s="15"/>
    </row>
    <row r="274">
      <c r="C274" s="14"/>
      <c r="I274" s="15"/>
    </row>
    <row r="275">
      <c r="C275" s="14"/>
      <c r="I275" s="15"/>
    </row>
    <row r="276">
      <c r="C276" s="14"/>
      <c r="I276" s="15"/>
    </row>
    <row r="277">
      <c r="C277" s="14"/>
      <c r="I277" s="15"/>
    </row>
    <row r="278">
      <c r="C278" s="14"/>
      <c r="I278" s="15"/>
    </row>
    <row r="279">
      <c r="C279" s="14"/>
      <c r="I279" s="15"/>
    </row>
    <row r="280">
      <c r="C280" s="14"/>
      <c r="I280" s="15"/>
    </row>
    <row r="281">
      <c r="C281" s="14"/>
      <c r="I281" s="15"/>
    </row>
    <row r="282">
      <c r="C282" s="14"/>
      <c r="I282" s="15"/>
    </row>
    <row r="283">
      <c r="C283" s="14"/>
      <c r="I283" s="15"/>
    </row>
    <row r="284">
      <c r="C284" s="14"/>
      <c r="I284" s="15"/>
    </row>
    <row r="285">
      <c r="C285" s="14"/>
      <c r="I285" s="15"/>
    </row>
    <row r="286">
      <c r="C286" s="14"/>
      <c r="I286" s="15"/>
    </row>
    <row r="287">
      <c r="C287" s="14"/>
      <c r="I287" s="15"/>
    </row>
    <row r="288">
      <c r="C288" s="14"/>
      <c r="I288" s="15"/>
    </row>
    <row r="289">
      <c r="C289" s="14"/>
      <c r="I289" s="15"/>
    </row>
    <row r="290">
      <c r="C290" s="14"/>
      <c r="I290" s="15"/>
    </row>
    <row r="291">
      <c r="C291" s="14"/>
      <c r="I291" s="15"/>
    </row>
    <row r="292">
      <c r="C292" s="14"/>
      <c r="I292" s="15"/>
    </row>
    <row r="293">
      <c r="C293" s="14"/>
      <c r="I293" s="15"/>
    </row>
    <row r="294">
      <c r="C294" s="14"/>
      <c r="I294" s="15"/>
    </row>
    <row r="295">
      <c r="C295" s="14"/>
      <c r="I295" s="15"/>
    </row>
    <row r="296">
      <c r="C296" s="14"/>
      <c r="I296" s="15"/>
    </row>
    <row r="297">
      <c r="C297" s="14"/>
      <c r="I297" s="15"/>
    </row>
    <row r="298">
      <c r="C298" s="14"/>
      <c r="I298" s="15"/>
    </row>
    <row r="299">
      <c r="C299" s="14"/>
      <c r="I299" s="15"/>
    </row>
    <row r="300">
      <c r="C300" s="14"/>
      <c r="I300" s="15"/>
    </row>
    <row r="301">
      <c r="C301" s="14"/>
      <c r="I301" s="15"/>
    </row>
    <row r="302">
      <c r="C302" s="14"/>
      <c r="I302" s="15"/>
    </row>
    <row r="303">
      <c r="C303" s="14"/>
      <c r="I303" s="15"/>
    </row>
    <row r="304">
      <c r="C304" s="14"/>
      <c r="I304" s="15"/>
    </row>
    <row r="305">
      <c r="C305" s="14"/>
      <c r="I305" s="15"/>
    </row>
    <row r="306">
      <c r="C306" s="14"/>
      <c r="I306" s="15"/>
    </row>
    <row r="307">
      <c r="C307" s="14"/>
      <c r="I307" s="15"/>
    </row>
    <row r="308">
      <c r="C308" s="14"/>
      <c r="I308" s="15"/>
    </row>
    <row r="309">
      <c r="C309" s="14"/>
      <c r="I309" s="15"/>
    </row>
    <row r="310">
      <c r="C310" s="14"/>
      <c r="I310" s="15"/>
    </row>
    <row r="311">
      <c r="C311" s="14"/>
      <c r="I311" s="15"/>
    </row>
    <row r="312">
      <c r="C312" s="14"/>
      <c r="I312" s="15"/>
    </row>
    <row r="313">
      <c r="C313" s="14"/>
      <c r="I313" s="15"/>
    </row>
    <row r="314">
      <c r="C314" s="14"/>
      <c r="I314" s="15"/>
    </row>
    <row r="315">
      <c r="C315" s="14"/>
      <c r="I315" s="15"/>
    </row>
    <row r="316">
      <c r="C316" s="14"/>
      <c r="I316" s="15"/>
    </row>
    <row r="317">
      <c r="C317" s="14"/>
      <c r="I317" s="15"/>
    </row>
    <row r="318">
      <c r="C318" s="14"/>
      <c r="I318" s="15"/>
    </row>
    <row r="319">
      <c r="C319" s="14"/>
      <c r="I319" s="15"/>
    </row>
    <row r="320">
      <c r="C320" s="14"/>
      <c r="I320" s="15"/>
    </row>
    <row r="321">
      <c r="C321" s="14"/>
      <c r="I321" s="15"/>
    </row>
    <row r="322">
      <c r="C322" s="14"/>
      <c r="I322" s="15"/>
    </row>
    <row r="323">
      <c r="C323" s="14"/>
      <c r="I323" s="15"/>
    </row>
    <row r="324">
      <c r="C324" s="14"/>
      <c r="I324" s="15"/>
    </row>
    <row r="325">
      <c r="C325" s="14"/>
      <c r="I325" s="15"/>
    </row>
    <row r="326">
      <c r="C326" s="14"/>
      <c r="I326" s="15"/>
    </row>
    <row r="327">
      <c r="C327" s="14"/>
      <c r="I327" s="15"/>
    </row>
    <row r="328">
      <c r="C328" s="14"/>
      <c r="I328" s="15"/>
    </row>
    <row r="329">
      <c r="C329" s="14"/>
      <c r="I329" s="15"/>
    </row>
    <row r="330">
      <c r="C330" s="14"/>
      <c r="I330" s="15"/>
    </row>
    <row r="331">
      <c r="C331" s="14"/>
      <c r="I331" s="15"/>
    </row>
    <row r="332">
      <c r="C332" s="14"/>
      <c r="I332" s="15"/>
    </row>
    <row r="333">
      <c r="C333" s="14"/>
      <c r="I333" s="15"/>
    </row>
    <row r="334">
      <c r="C334" s="14"/>
      <c r="I334" s="15"/>
    </row>
    <row r="335">
      <c r="C335" s="14"/>
      <c r="I335" s="15"/>
    </row>
    <row r="336">
      <c r="C336" s="14"/>
      <c r="I336" s="15"/>
    </row>
    <row r="337">
      <c r="C337" s="14"/>
      <c r="I337" s="15"/>
    </row>
    <row r="338">
      <c r="C338" s="14"/>
      <c r="I338" s="15"/>
    </row>
    <row r="339">
      <c r="C339" s="14"/>
      <c r="I339" s="15"/>
    </row>
    <row r="340">
      <c r="C340" s="14"/>
      <c r="I340" s="15"/>
    </row>
    <row r="341">
      <c r="C341" s="14"/>
      <c r="I341" s="15"/>
    </row>
    <row r="342">
      <c r="C342" s="14"/>
      <c r="I342" s="15"/>
    </row>
    <row r="343">
      <c r="C343" s="14"/>
      <c r="I343" s="15"/>
    </row>
    <row r="344">
      <c r="C344" s="14"/>
      <c r="I344" s="15"/>
    </row>
    <row r="345">
      <c r="C345" s="14"/>
      <c r="I345" s="15"/>
    </row>
    <row r="346">
      <c r="C346" s="14"/>
      <c r="I346" s="15"/>
    </row>
    <row r="347">
      <c r="C347" s="14"/>
      <c r="I347" s="15"/>
    </row>
    <row r="348">
      <c r="C348" s="14"/>
      <c r="I348" s="15"/>
    </row>
    <row r="349">
      <c r="C349" s="14"/>
      <c r="I349" s="15"/>
    </row>
    <row r="350">
      <c r="C350" s="14"/>
      <c r="I350" s="15"/>
    </row>
    <row r="351">
      <c r="C351" s="14"/>
      <c r="I351" s="15"/>
    </row>
    <row r="352">
      <c r="C352" s="14"/>
      <c r="I352" s="15"/>
    </row>
    <row r="353">
      <c r="C353" s="14"/>
      <c r="I353" s="15"/>
    </row>
    <row r="354">
      <c r="C354" s="14"/>
      <c r="I354" s="15"/>
    </row>
    <row r="355">
      <c r="C355" s="14"/>
      <c r="I355" s="15"/>
    </row>
    <row r="356">
      <c r="C356" s="14"/>
      <c r="I356" s="15"/>
    </row>
    <row r="357">
      <c r="C357" s="14"/>
      <c r="I357" s="15"/>
    </row>
    <row r="358">
      <c r="C358" s="14"/>
      <c r="I358" s="15"/>
    </row>
    <row r="359">
      <c r="C359" s="14"/>
      <c r="I359" s="15"/>
    </row>
    <row r="360">
      <c r="C360" s="14"/>
      <c r="I360" s="15"/>
    </row>
    <row r="361">
      <c r="C361" s="14"/>
      <c r="I361" s="15"/>
    </row>
    <row r="362">
      <c r="C362" s="14"/>
      <c r="I362" s="15"/>
    </row>
    <row r="363">
      <c r="C363" s="14"/>
      <c r="I363" s="15"/>
    </row>
    <row r="364">
      <c r="C364" s="14"/>
      <c r="I364" s="15"/>
    </row>
    <row r="365">
      <c r="C365" s="14"/>
      <c r="I365" s="15"/>
    </row>
    <row r="366">
      <c r="C366" s="14"/>
      <c r="I366" s="15"/>
    </row>
    <row r="367">
      <c r="C367" s="14"/>
      <c r="I367" s="15"/>
    </row>
    <row r="368">
      <c r="C368" s="14"/>
      <c r="I368" s="15"/>
    </row>
    <row r="369">
      <c r="C369" s="14"/>
      <c r="I369" s="15"/>
    </row>
    <row r="370">
      <c r="C370" s="14"/>
      <c r="I370" s="15"/>
    </row>
    <row r="371">
      <c r="C371" s="14"/>
      <c r="I371" s="15"/>
    </row>
    <row r="372">
      <c r="C372" s="14"/>
      <c r="I372" s="15"/>
    </row>
    <row r="373">
      <c r="C373" s="14"/>
      <c r="I373" s="15"/>
    </row>
    <row r="374">
      <c r="C374" s="14"/>
      <c r="I374" s="15"/>
    </row>
    <row r="375">
      <c r="C375" s="14"/>
      <c r="I375" s="15"/>
    </row>
    <row r="376">
      <c r="C376" s="14"/>
      <c r="I376" s="15"/>
    </row>
    <row r="377">
      <c r="C377" s="14"/>
      <c r="I377" s="15"/>
    </row>
    <row r="378">
      <c r="C378" s="14"/>
      <c r="I378" s="15"/>
    </row>
    <row r="379">
      <c r="C379" s="14"/>
      <c r="I379" s="15"/>
    </row>
    <row r="380">
      <c r="C380" s="14"/>
      <c r="I380" s="15"/>
    </row>
    <row r="381">
      <c r="C381" s="14"/>
      <c r="I381" s="15"/>
    </row>
    <row r="382">
      <c r="C382" s="14"/>
      <c r="I382" s="15"/>
    </row>
    <row r="383">
      <c r="C383" s="14"/>
      <c r="I383" s="15"/>
    </row>
    <row r="384">
      <c r="C384" s="14"/>
      <c r="I384" s="15"/>
    </row>
    <row r="385">
      <c r="C385" s="14"/>
      <c r="I385" s="15"/>
    </row>
    <row r="386">
      <c r="C386" s="14"/>
      <c r="I386" s="15"/>
    </row>
    <row r="387">
      <c r="C387" s="14"/>
      <c r="I387" s="15"/>
    </row>
    <row r="388">
      <c r="C388" s="14"/>
      <c r="I388" s="15"/>
    </row>
    <row r="389">
      <c r="C389" s="14"/>
      <c r="I389" s="15"/>
    </row>
    <row r="390">
      <c r="C390" s="14"/>
      <c r="I390" s="15"/>
    </row>
    <row r="391">
      <c r="C391" s="14"/>
      <c r="I391" s="15"/>
    </row>
    <row r="392">
      <c r="C392" s="14"/>
      <c r="I392" s="15"/>
    </row>
    <row r="393">
      <c r="C393" s="14"/>
      <c r="I393" s="15"/>
    </row>
    <row r="394">
      <c r="C394" s="14"/>
      <c r="I394" s="15"/>
    </row>
    <row r="395">
      <c r="C395" s="14"/>
      <c r="I395" s="15"/>
    </row>
    <row r="396">
      <c r="C396" s="14"/>
      <c r="I396" s="15"/>
    </row>
    <row r="397">
      <c r="C397" s="14"/>
      <c r="I397" s="15"/>
    </row>
    <row r="398">
      <c r="C398" s="14"/>
      <c r="I398" s="15"/>
    </row>
    <row r="399">
      <c r="C399" s="14"/>
      <c r="I399" s="15"/>
    </row>
    <row r="400">
      <c r="C400" s="14"/>
      <c r="I400" s="15"/>
    </row>
    <row r="401">
      <c r="C401" s="14"/>
      <c r="I401" s="15"/>
    </row>
    <row r="402">
      <c r="C402" s="14"/>
      <c r="I402" s="15"/>
    </row>
    <row r="403">
      <c r="C403" s="14"/>
      <c r="I403" s="15"/>
    </row>
    <row r="404">
      <c r="C404" s="14"/>
      <c r="I404" s="15"/>
    </row>
    <row r="405">
      <c r="C405" s="14"/>
      <c r="I405" s="15"/>
    </row>
    <row r="406">
      <c r="C406" s="14"/>
      <c r="I406" s="15"/>
    </row>
    <row r="407">
      <c r="C407" s="14"/>
      <c r="I407" s="15"/>
    </row>
    <row r="408">
      <c r="C408" s="14"/>
      <c r="I408" s="15"/>
    </row>
    <row r="409">
      <c r="C409" s="14"/>
      <c r="I409" s="15"/>
    </row>
    <row r="410">
      <c r="C410" s="14"/>
      <c r="I410" s="15"/>
    </row>
    <row r="411">
      <c r="C411" s="14"/>
      <c r="I411" s="15"/>
    </row>
    <row r="412">
      <c r="C412" s="14"/>
      <c r="I412" s="15"/>
    </row>
    <row r="413">
      <c r="C413" s="14"/>
      <c r="I413" s="15"/>
    </row>
    <row r="414">
      <c r="C414" s="14"/>
      <c r="I414" s="15"/>
    </row>
    <row r="415">
      <c r="C415" s="14"/>
      <c r="I415" s="15"/>
    </row>
    <row r="416">
      <c r="C416" s="14"/>
      <c r="I416" s="15"/>
    </row>
    <row r="417">
      <c r="C417" s="14"/>
      <c r="I417" s="15"/>
    </row>
    <row r="418">
      <c r="C418" s="14"/>
      <c r="I418" s="15"/>
    </row>
    <row r="419">
      <c r="C419" s="14"/>
      <c r="I419" s="15"/>
    </row>
    <row r="420">
      <c r="C420" s="14"/>
      <c r="I420" s="15"/>
    </row>
    <row r="421">
      <c r="C421" s="14"/>
      <c r="I421" s="15"/>
    </row>
    <row r="422">
      <c r="C422" s="14"/>
      <c r="I422" s="15"/>
    </row>
    <row r="423">
      <c r="C423" s="14"/>
      <c r="I423" s="15"/>
    </row>
    <row r="424">
      <c r="C424" s="14"/>
      <c r="I424" s="15"/>
    </row>
    <row r="425">
      <c r="C425" s="14"/>
      <c r="I425" s="15"/>
    </row>
    <row r="426">
      <c r="C426" s="14"/>
      <c r="I426" s="15"/>
    </row>
    <row r="427">
      <c r="C427" s="14"/>
      <c r="I427" s="15"/>
    </row>
    <row r="428">
      <c r="C428" s="14"/>
      <c r="I428" s="15"/>
    </row>
    <row r="429">
      <c r="C429" s="14"/>
      <c r="I429" s="15"/>
    </row>
    <row r="430">
      <c r="C430" s="14"/>
      <c r="I430" s="15"/>
    </row>
    <row r="431">
      <c r="C431" s="14"/>
      <c r="I431" s="15"/>
    </row>
    <row r="432">
      <c r="C432" s="14"/>
      <c r="I432" s="15"/>
    </row>
    <row r="433">
      <c r="C433" s="14"/>
      <c r="I433" s="15"/>
    </row>
    <row r="434">
      <c r="C434" s="14"/>
      <c r="I434" s="15"/>
    </row>
    <row r="435">
      <c r="C435" s="14"/>
      <c r="I435" s="15"/>
    </row>
    <row r="436">
      <c r="C436" s="14"/>
      <c r="I436" s="15"/>
    </row>
    <row r="437">
      <c r="C437" s="14"/>
      <c r="I437" s="15"/>
    </row>
    <row r="438">
      <c r="C438" s="14"/>
      <c r="I438" s="15"/>
    </row>
    <row r="439">
      <c r="C439" s="14"/>
      <c r="I439" s="15"/>
    </row>
    <row r="440">
      <c r="C440" s="14"/>
      <c r="I440" s="15"/>
    </row>
    <row r="441">
      <c r="C441" s="14"/>
      <c r="I441" s="15"/>
    </row>
    <row r="442">
      <c r="C442" s="14"/>
      <c r="I442" s="15"/>
    </row>
    <row r="443">
      <c r="C443" s="14"/>
      <c r="I443" s="15"/>
    </row>
    <row r="444">
      <c r="C444" s="14"/>
      <c r="I444" s="15"/>
    </row>
    <row r="445">
      <c r="C445" s="14"/>
      <c r="I445" s="15"/>
    </row>
    <row r="446">
      <c r="C446" s="14"/>
      <c r="I446" s="15"/>
    </row>
    <row r="447">
      <c r="C447" s="14"/>
      <c r="I447" s="15"/>
    </row>
    <row r="448">
      <c r="C448" s="14"/>
      <c r="I448" s="15"/>
    </row>
    <row r="449">
      <c r="C449" s="14"/>
      <c r="I449" s="15"/>
    </row>
    <row r="450">
      <c r="C450" s="14"/>
      <c r="I450" s="15"/>
    </row>
    <row r="451">
      <c r="C451" s="14"/>
      <c r="I451" s="15"/>
    </row>
    <row r="452">
      <c r="C452" s="14"/>
      <c r="I452" s="15"/>
    </row>
    <row r="453">
      <c r="C453" s="14"/>
      <c r="I453" s="15"/>
    </row>
    <row r="454">
      <c r="C454" s="14"/>
      <c r="I454" s="15"/>
    </row>
    <row r="455">
      <c r="C455" s="14"/>
      <c r="I455" s="15"/>
    </row>
    <row r="456">
      <c r="C456" s="14"/>
      <c r="I456" s="15"/>
    </row>
    <row r="457">
      <c r="C457" s="14"/>
      <c r="I457" s="15"/>
    </row>
    <row r="458">
      <c r="C458" s="14"/>
      <c r="I458" s="15"/>
    </row>
    <row r="459">
      <c r="C459" s="14"/>
      <c r="I459" s="15"/>
    </row>
    <row r="460">
      <c r="C460" s="14"/>
      <c r="I460" s="15"/>
    </row>
    <row r="461">
      <c r="C461" s="14"/>
      <c r="I461" s="15"/>
    </row>
    <row r="462">
      <c r="C462" s="14"/>
      <c r="I462" s="15"/>
    </row>
    <row r="463">
      <c r="C463" s="14"/>
      <c r="I463" s="15"/>
    </row>
    <row r="464">
      <c r="C464" s="14"/>
      <c r="I464" s="15"/>
    </row>
    <row r="465">
      <c r="C465" s="14"/>
      <c r="I465" s="15"/>
    </row>
    <row r="466">
      <c r="C466" s="14"/>
      <c r="I466" s="15"/>
    </row>
    <row r="467">
      <c r="C467" s="14"/>
      <c r="I467" s="15"/>
    </row>
    <row r="468">
      <c r="C468" s="14"/>
      <c r="I468" s="15"/>
    </row>
    <row r="469">
      <c r="C469" s="14"/>
      <c r="I469" s="15"/>
    </row>
    <row r="470">
      <c r="C470" s="14"/>
      <c r="I470" s="15"/>
    </row>
    <row r="471">
      <c r="C471" s="14"/>
      <c r="I471" s="15"/>
    </row>
    <row r="472">
      <c r="C472" s="14"/>
      <c r="I472" s="15"/>
    </row>
    <row r="473">
      <c r="C473" s="14"/>
      <c r="I473" s="15"/>
    </row>
    <row r="474">
      <c r="C474" s="14"/>
      <c r="I474" s="15"/>
    </row>
    <row r="475">
      <c r="C475" s="14"/>
      <c r="I475" s="15"/>
    </row>
    <row r="476">
      <c r="C476" s="14"/>
      <c r="I476" s="15"/>
    </row>
    <row r="477">
      <c r="C477" s="14"/>
      <c r="I477" s="15"/>
    </row>
    <row r="478">
      <c r="C478" s="14"/>
      <c r="I478" s="15"/>
    </row>
    <row r="479">
      <c r="C479" s="14"/>
      <c r="I479" s="15"/>
    </row>
    <row r="480">
      <c r="C480" s="14"/>
      <c r="I480" s="15"/>
    </row>
    <row r="481">
      <c r="C481" s="14"/>
      <c r="I481" s="15"/>
    </row>
    <row r="482">
      <c r="C482" s="14"/>
      <c r="I482" s="15"/>
    </row>
    <row r="483">
      <c r="C483" s="14"/>
      <c r="I483" s="15"/>
    </row>
    <row r="484">
      <c r="C484" s="14"/>
      <c r="I484" s="15"/>
    </row>
    <row r="485">
      <c r="C485" s="14"/>
      <c r="I485" s="15"/>
    </row>
    <row r="486">
      <c r="C486" s="14"/>
      <c r="I486" s="15"/>
    </row>
    <row r="487">
      <c r="C487" s="14"/>
      <c r="I487" s="15"/>
    </row>
    <row r="488">
      <c r="C488" s="14"/>
      <c r="I488" s="15"/>
    </row>
    <row r="489">
      <c r="C489" s="14"/>
      <c r="I489" s="15"/>
    </row>
    <row r="490">
      <c r="C490" s="14"/>
      <c r="I490" s="15"/>
    </row>
    <row r="491">
      <c r="C491" s="14"/>
      <c r="I491" s="15"/>
    </row>
    <row r="492">
      <c r="C492" s="14"/>
      <c r="I492" s="15"/>
    </row>
    <row r="493">
      <c r="C493" s="14"/>
      <c r="I493" s="15"/>
    </row>
    <row r="494">
      <c r="C494" s="14"/>
      <c r="I494" s="15"/>
    </row>
    <row r="495">
      <c r="C495" s="14"/>
      <c r="I495" s="15"/>
    </row>
    <row r="496">
      <c r="C496" s="14"/>
      <c r="I496" s="15"/>
    </row>
    <row r="497">
      <c r="C497" s="14"/>
      <c r="I497" s="15"/>
    </row>
    <row r="498">
      <c r="C498" s="14"/>
      <c r="I498" s="15"/>
    </row>
    <row r="499">
      <c r="C499" s="14"/>
      <c r="I499" s="15"/>
    </row>
    <row r="500">
      <c r="C500" s="14"/>
      <c r="I500" s="15"/>
    </row>
    <row r="501">
      <c r="C501" s="14"/>
      <c r="I501" s="15"/>
    </row>
    <row r="502">
      <c r="C502" s="14"/>
      <c r="I502" s="15"/>
    </row>
    <row r="503">
      <c r="C503" s="14"/>
      <c r="I503" s="15"/>
    </row>
    <row r="504">
      <c r="C504" s="14"/>
      <c r="I504" s="15"/>
    </row>
    <row r="505">
      <c r="C505" s="14"/>
      <c r="I505" s="15"/>
    </row>
    <row r="506">
      <c r="C506" s="14"/>
      <c r="I506" s="15"/>
    </row>
    <row r="507">
      <c r="C507" s="14"/>
      <c r="I507" s="15"/>
    </row>
    <row r="508">
      <c r="C508" s="14"/>
      <c r="I508" s="15"/>
    </row>
    <row r="509">
      <c r="C509" s="14"/>
      <c r="I509" s="15"/>
    </row>
    <row r="510">
      <c r="C510" s="14"/>
      <c r="I510" s="15"/>
    </row>
    <row r="511">
      <c r="C511" s="14"/>
      <c r="I511" s="15"/>
    </row>
    <row r="512">
      <c r="C512" s="14"/>
      <c r="I512" s="15"/>
    </row>
    <row r="513">
      <c r="C513" s="14"/>
      <c r="I513" s="15"/>
    </row>
    <row r="514">
      <c r="C514" s="14"/>
      <c r="I514" s="15"/>
    </row>
    <row r="515">
      <c r="C515" s="14"/>
      <c r="I515" s="15"/>
    </row>
    <row r="516">
      <c r="C516" s="14"/>
      <c r="I516" s="15"/>
    </row>
    <row r="517">
      <c r="C517" s="14"/>
      <c r="I517" s="15"/>
    </row>
    <row r="518">
      <c r="C518" s="14"/>
      <c r="I518" s="15"/>
    </row>
    <row r="519">
      <c r="C519" s="14"/>
      <c r="I519" s="15"/>
    </row>
    <row r="520">
      <c r="C520" s="14"/>
      <c r="I520" s="15"/>
    </row>
    <row r="521">
      <c r="C521" s="14"/>
      <c r="I521" s="15"/>
    </row>
    <row r="522">
      <c r="C522" s="14"/>
      <c r="I522" s="15"/>
    </row>
    <row r="523">
      <c r="C523" s="14"/>
      <c r="I523" s="15"/>
    </row>
    <row r="524">
      <c r="C524" s="14"/>
      <c r="I524" s="15"/>
    </row>
    <row r="525">
      <c r="C525" s="14"/>
      <c r="I525" s="15"/>
    </row>
    <row r="526">
      <c r="C526" s="14"/>
      <c r="I526" s="15"/>
    </row>
    <row r="527">
      <c r="C527" s="14"/>
      <c r="I527" s="15"/>
    </row>
    <row r="528">
      <c r="C528" s="14"/>
      <c r="I528" s="15"/>
    </row>
    <row r="529">
      <c r="C529" s="14"/>
      <c r="I529" s="15"/>
    </row>
    <row r="530">
      <c r="C530" s="14"/>
      <c r="I530" s="15"/>
    </row>
    <row r="531">
      <c r="C531" s="14"/>
      <c r="I531" s="15"/>
    </row>
    <row r="532">
      <c r="C532" s="14"/>
      <c r="I532" s="15"/>
    </row>
    <row r="533">
      <c r="C533" s="14"/>
      <c r="I533" s="15"/>
    </row>
    <row r="534">
      <c r="C534" s="14"/>
      <c r="I534" s="15"/>
    </row>
    <row r="535">
      <c r="C535" s="14"/>
      <c r="I535" s="15"/>
    </row>
    <row r="536">
      <c r="C536" s="14"/>
      <c r="I536" s="15"/>
    </row>
    <row r="537">
      <c r="C537" s="14"/>
      <c r="I537" s="15"/>
    </row>
    <row r="538">
      <c r="C538" s="14"/>
      <c r="I538" s="15"/>
    </row>
    <row r="539">
      <c r="C539" s="14"/>
      <c r="I539" s="15"/>
    </row>
    <row r="540">
      <c r="C540" s="14"/>
      <c r="I540" s="15"/>
    </row>
    <row r="541">
      <c r="C541" s="14"/>
      <c r="I541" s="15"/>
    </row>
    <row r="542">
      <c r="C542" s="14"/>
      <c r="I542" s="15"/>
    </row>
    <row r="543">
      <c r="C543" s="14"/>
      <c r="I543" s="15"/>
    </row>
    <row r="544">
      <c r="C544" s="14"/>
      <c r="I544" s="15"/>
    </row>
    <row r="545">
      <c r="C545" s="14"/>
      <c r="I545" s="15"/>
    </row>
    <row r="546">
      <c r="C546" s="14"/>
      <c r="I546" s="15"/>
    </row>
    <row r="547">
      <c r="C547" s="14"/>
      <c r="I547" s="15"/>
    </row>
    <row r="548">
      <c r="C548" s="14"/>
      <c r="I548" s="15"/>
    </row>
    <row r="549">
      <c r="C549" s="14"/>
      <c r="I549" s="15"/>
    </row>
    <row r="550">
      <c r="C550" s="14"/>
      <c r="I550" s="15"/>
    </row>
    <row r="551">
      <c r="C551" s="14"/>
      <c r="I551" s="15"/>
    </row>
    <row r="552">
      <c r="C552" s="14"/>
      <c r="I552" s="15"/>
    </row>
    <row r="553">
      <c r="C553" s="14"/>
      <c r="I553" s="15"/>
    </row>
    <row r="554">
      <c r="C554" s="14"/>
      <c r="I554" s="15"/>
    </row>
    <row r="555">
      <c r="C555" s="14"/>
      <c r="I555" s="15"/>
    </row>
    <row r="556">
      <c r="C556" s="14"/>
      <c r="I556" s="15"/>
    </row>
    <row r="557">
      <c r="C557" s="14"/>
      <c r="I557" s="15"/>
    </row>
    <row r="558">
      <c r="C558" s="14"/>
      <c r="I558" s="15"/>
    </row>
    <row r="559">
      <c r="C559" s="14"/>
      <c r="I559" s="15"/>
    </row>
    <row r="560">
      <c r="C560" s="14"/>
      <c r="I560" s="15"/>
    </row>
    <row r="561">
      <c r="C561" s="14"/>
      <c r="I561" s="15"/>
    </row>
    <row r="562">
      <c r="C562" s="14"/>
      <c r="I562" s="15"/>
    </row>
    <row r="563">
      <c r="C563" s="14"/>
      <c r="I563" s="15"/>
    </row>
    <row r="564">
      <c r="C564" s="14"/>
      <c r="I564" s="15"/>
    </row>
    <row r="565">
      <c r="C565" s="14"/>
      <c r="I565" s="15"/>
    </row>
    <row r="566">
      <c r="C566" s="14"/>
      <c r="I566" s="15"/>
    </row>
    <row r="567">
      <c r="C567" s="14"/>
      <c r="I567" s="15"/>
    </row>
    <row r="568">
      <c r="C568" s="14"/>
      <c r="I568" s="15"/>
    </row>
    <row r="569">
      <c r="C569" s="14"/>
      <c r="I569" s="15"/>
    </row>
    <row r="570">
      <c r="C570" s="14"/>
      <c r="I570" s="15"/>
    </row>
    <row r="571">
      <c r="C571" s="14"/>
      <c r="I571" s="15"/>
    </row>
    <row r="572">
      <c r="C572" s="14"/>
      <c r="I572" s="15"/>
    </row>
    <row r="573">
      <c r="C573" s="14"/>
      <c r="I573" s="15"/>
    </row>
    <row r="574">
      <c r="C574" s="14"/>
      <c r="I574" s="15"/>
    </row>
    <row r="575">
      <c r="C575" s="14"/>
      <c r="I575" s="15"/>
    </row>
    <row r="576">
      <c r="C576" s="14"/>
      <c r="I576" s="15"/>
    </row>
    <row r="577">
      <c r="C577" s="14"/>
      <c r="I577" s="15"/>
    </row>
    <row r="578">
      <c r="C578" s="14"/>
      <c r="I578" s="15"/>
    </row>
    <row r="579">
      <c r="C579" s="14"/>
      <c r="I579" s="15"/>
    </row>
    <row r="580">
      <c r="C580" s="14"/>
      <c r="I580" s="15"/>
    </row>
    <row r="581">
      <c r="C581" s="14"/>
      <c r="I581" s="15"/>
    </row>
    <row r="582">
      <c r="C582" s="14"/>
      <c r="I582" s="15"/>
    </row>
    <row r="583">
      <c r="C583" s="14"/>
      <c r="I583" s="15"/>
    </row>
    <row r="584">
      <c r="C584" s="14"/>
      <c r="I584" s="15"/>
    </row>
    <row r="585">
      <c r="C585" s="14"/>
      <c r="I585" s="15"/>
    </row>
    <row r="586">
      <c r="C586" s="14"/>
      <c r="I586" s="15"/>
    </row>
    <row r="587">
      <c r="C587" s="14"/>
      <c r="I587" s="15"/>
    </row>
    <row r="588">
      <c r="C588" s="14"/>
      <c r="I588" s="15"/>
    </row>
    <row r="589">
      <c r="C589" s="14"/>
      <c r="I589" s="15"/>
    </row>
    <row r="590">
      <c r="C590" s="14"/>
      <c r="I590" s="15"/>
    </row>
    <row r="591">
      <c r="C591" s="14"/>
      <c r="I591" s="15"/>
    </row>
    <row r="592">
      <c r="C592" s="14"/>
      <c r="I592" s="15"/>
    </row>
    <row r="593">
      <c r="C593" s="14"/>
      <c r="I593" s="15"/>
    </row>
    <row r="594">
      <c r="C594" s="14"/>
      <c r="I594" s="15"/>
    </row>
    <row r="595">
      <c r="C595" s="14"/>
      <c r="I595" s="15"/>
    </row>
    <row r="596">
      <c r="C596" s="14"/>
      <c r="I596" s="15"/>
    </row>
    <row r="597">
      <c r="C597" s="14"/>
      <c r="I597" s="15"/>
    </row>
    <row r="598">
      <c r="C598" s="14"/>
      <c r="I598" s="15"/>
    </row>
    <row r="599">
      <c r="C599" s="14"/>
      <c r="I599" s="15"/>
    </row>
    <row r="600">
      <c r="C600" s="14"/>
      <c r="I600" s="15"/>
    </row>
    <row r="601">
      <c r="C601" s="14"/>
      <c r="I601" s="15"/>
    </row>
    <row r="602">
      <c r="C602" s="14"/>
      <c r="I602" s="15"/>
    </row>
    <row r="603">
      <c r="C603" s="14"/>
      <c r="I603" s="15"/>
    </row>
    <row r="604">
      <c r="C604" s="14"/>
      <c r="I604" s="15"/>
    </row>
    <row r="605">
      <c r="C605" s="14"/>
      <c r="I605" s="15"/>
    </row>
    <row r="606">
      <c r="C606" s="14"/>
      <c r="I606" s="15"/>
    </row>
    <row r="607">
      <c r="C607" s="14"/>
      <c r="I607" s="15"/>
    </row>
    <row r="608">
      <c r="C608" s="14"/>
      <c r="I608" s="15"/>
    </row>
    <row r="609">
      <c r="C609" s="14"/>
      <c r="I609" s="15"/>
    </row>
    <row r="610">
      <c r="C610" s="14"/>
      <c r="I610" s="15"/>
    </row>
    <row r="611">
      <c r="C611" s="14"/>
      <c r="I611" s="15"/>
    </row>
    <row r="612">
      <c r="C612" s="14"/>
      <c r="I612" s="15"/>
    </row>
    <row r="613">
      <c r="C613" s="14"/>
      <c r="I613" s="15"/>
    </row>
    <row r="614">
      <c r="C614" s="14"/>
      <c r="I614" s="15"/>
    </row>
    <row r="615">
      <c r="C615" s="14"/>
      <c r="I615" s="15"/>
    </row>
    <row r="616">
      <c r="C616" s="14"/>
      <c r="I616" s="15"/>
    </row>
    <row r="617">
      <c r="C617" s="14"/>
      <c r="I617" s="15"/>
    </row>
    <row r="618">
      <c r="C618" s="14"/>
      <c r="I618" s="15"/>
    </row>
    <row r="619">
      <c r="C619" s="14"/>
      <c r="I619" s="15"/>
    </row>
    <row r="620">
      <c r="C620" s="14"/>
      <c r="I620" s="15"/>
    </row>
    <row r="621">
      <c r="C621" s="14"/>
      <c r="I621" s="15"/>
    </row>
    <row r="622">
      <c r="C622" s="14"/>
      <c r="I622" s="15"/>
    </row>
    <row r="623">
      <c r="C623" s="14"/>
      <c r="I623" s="15"/>
    </row>
    <row r="624">
      <c r="C624" s="14"/>
      <c r="I624" s="15"/>
    </row>
    <row r="625">
      <c r="C625" s="14"/>
      <c r="I625" s="15"/>
    </row>
    <row r="626">
      <c r="C626" s="14"/>
      <c r="I626" s="15"/>
    </row>
    <row r="627">
      <c r="C627" s="14"/>
      <c r="I627" s="15"/>
    </row>
    <row r="628">
      <c r="C628" s="14"/>
      <c r="I628" s="15"/>
    </row>
    <row r="629">
      <c r="C629" s="14"/>
      <c r="I629" s="15"/>
    </row>
    <row r="630">
      <c r="C630" s="14"/>
      <c r="I630" s="15"/>
    </row>
    <row r="631">
      <c r="C631" s="14"/>
      <c r="I631" s="15"/>
    </row>
    <row r="632">
      <c r="C632" s="14"/>
      <c r="I632" s="15"/>
    </row>
    <row r="633">
      <c r="C633" s="14"/>
      <c r="I633" s="15"/>
    </row>
    <row r="634">
      <c r="C634" s="14"/>
      <c r="I634" s="15"/>
    </row>
    <row r="635">
      <c r="C635" s="14"/>
      <c r="I635" s="15"/>
    </row>
    <row r="636">
      <c r="C636" s="14"/>
      <c r="I636" s="15"/>
    </row>
    <row r="637">
      <c r="C637" s="14"/>
      <c r="I637" s="15"/>
    </row>
    <row r="638">
      <c r="C638" s="14"/>
      <c r="I638" s="15"/>
    </row>
    <row r="639">
      <c r="C639" s="14"/>
      <c r="I639" s="15"/>
    </row>
    <row r="640">
      <c r="C640" s="14"/>
      <c r="I640" s="15"/>
    </row>
    <row r="641">
      <c r="C641" s="14"/>
      <c r="I641" s="15"/>
    </row>
    <row r="642">
      <c r="C642" s="14"/>
      <c r="I642" s="15"/>
    </row>
    <row r="643">
      <c r="C643" s="14"/>
      <c r="I643" s="15"/>
    </row>
    <row r="644">
      <c r="C644" s="14"/>
      <c r="I644" s="15"/>
    </row>
    <row r="645">
      <c r="C645" s="14"/>
      <c r="I645" s="15"/>
    </row>
    <row r="646">
      <c r="C646" s="14"/>
      <c r="I646" s="15"/>
    </row>
    <row r="647">
      <c r="C647" s="14"/>
      <c r="I647" s="15"/>
    </row>
    <row r="648">
      <c r="C648" s="14"/>
      <c r="I648" s="15"/>
    </row>
    <row r="649">
      <c r="C649" s="14"/>
      <c r="I649" s="15"/>
    </row>
    <row r="650">
      <c r="C650" s="14"/>
      <c r="I650" s="15"/>
    </row>
    <row r="651">
      <c r="C651" s="14"/>
      <c r="I651" s="15"/>
    </row>
    <row r="652">
      <c r="C652" s="14"/>
      <c r="I652" s="15"/>
    </row>
    <row r="653">
      <c r="C653" s="14"/>
      <c r="I653" s="15"/>
    </row>
    <row r="654">
      <c r="C654" s="14"/>
      <c r="I654" s="15"/>
    </row>
    <row r="655">
      <c r="C655" s="14"/>
      <c r="I655" s="15"/>
    </row>
    <row r="656">
      <c r="C656" s="14"/>
      <c r="I656" s="15"/>
    </row>
    <row r="657">
      <c r="C657" s="14"/>
      <c r="I657" s="15"/>
    </row>
    <row r="658">
      <c r="C658" s="14"/>
      <c r="I658" s="15"/>
    </row>
    <row r="659">
      <c r="C659" s="14"/>
      <c r="I659" s="15"/>
    </row>
    <row r="660">
      <c r="C660" s="14"/>
      <c r="I660" s="15"/>
    </row>
    <row r="661">
      <c r="C661" s="14"/>
      <c r="I661" s="15"/>
    </row>
    <row r="662">
      <c r="C662" s="14"/>
      <c r="I662" s="15"/>
    </row>
    <row r="663">
      <c r="C663" s="14"/>
      <c r="I663" s="15"/>
    </row>
    <row r="664">
      <c r="C664" s="14"/>
      <c r="I664" s="15"/>
    </row>
    <row r="665">
      <c r="C665" s="14"/>
      <c r="I665" s="15"/>
    </row>
    <row r="666">
      <c r="C666" s="14"/>
      <c r="I666" s="15"/>
    </row>
    <row r="667">
      <c r="C667" s="14"/>
      <c r="I667" s="15"/>
    </row>
    <row r="668">
      <c r="C668" s="14"/>
      <c r="I668" s="15"/>
    </row>
    <row r="669">
      <c r="C669" s="14"/>
      <c r="I669" s="15"/>
    </row>
    <row r="670">
      <c r="C670" s="14"/>
      <c r="I670" s="15"/>
    </row>
    <row r="671">
      <c r="C671" s="14"/>
      <c r="I671" s="15"/>
    </row>
    <row r="672">
      <c r="C672" s="14"/>
      <c r="I672" s="15"/>
    </row>
    <row r="673">
      <c r="C673" s="14"/>
      <c r="I673" s="15"/>
    </row>
    <row r="674">
      <c r="C674" s="14"/>
      <c r="I674" s="15"/>
    </row>
    <row r="675">
      <c r="C675" s="14"/>
      <c r="I675" s="15"/>
    </row>
    <row r="676">
      <c r="C676" s="14"/>
      <c r="I676" s="15"/>
    </row>
    <row r="677">
      <c r="C677" s="14"/>
      <c r="I677" s="15"/>
    </row>
    <row r="678">
      <c r="C678" s="14"/>
      <c r="I678" s="15"/>
    </row>
    <row r="679">
      <c r="C679" s="14"/>
      <c r="I679" s="15"/>
    </row>
    <row r="680">
      <c r="C680" s="14"/>
      <c r="I680" s="15"/>
    </row>
    <row r="681">
      <c r="C681" s="14"/>
      <c r="I681" s="15"/>
    </row>
    <row r="682">
      <c r="C682" s="14"/>
      <c r="I682" s="15"/>
    </row>
    <row r="683">
      <c r="C683" s="14"/>
      <c r="I683" s="15"/>
    </row>
    <row r="684">
      <c r="C684" s="14"/>
      <c r="I684" s="15"/>
    </row>
    <row r="685">
      <c r="C685" s="14"/>
      <c r="I685" s="15"/>
    </row>
    <row r="686">
      <c r="C686" s="14"/>
      <c r="I686" s="15"/>
    </row>
    <row r="687">
      <c r="C687" s="14"/>
      <c r="I687" s="15"/>
    </row>
    <row r="688">
      <c r="C688" s="14"/>
      <c r="I688" s="15"/>
    </row>
    <row r="689">
      <c r="C689" s="14"/>
      <c r="I689" s="15"/>
    </row>
    <row r="690">
      <c r="C690" s="14"/>
      <c r="I690" s="15"/>
    </row>
    <row r="691">
      <c r="C691" s="14"/>
      <c r="I691" s="15"/>
    </row>
    <row r="692">
      <c r="C692" s="14"/>
      <c r="I692" s="15"/>
    </row>
    <row r="693">
      <c r="C693" s="14"/>
      <c r="I693" s="15"/>
    </row>
    <row r="694">
      <c r="C694" s="14"/>
      <c r="I694" s="15"/>
    </row>
    <row r="695">
      <c r="C695" s="14"/>
      <c r="I695" s="15"/>
    </row>
    <row r="696">
      <c r="C696" s="14"/>
      <c r="I696" s="15"/>
    </row>
    <row r="697">
      <c r="C697" s="14"/>
      <c r="I697" s="15"/>
    </row>
    <row r="698">
      <c r="C698" s="14"/>
      <c r="I698" s="15"/>
    </row>
    <row r="699">
      <c r="C699" s="14"/>
      <c r="I699" s="15"/>
    </row>
    <row r="700">
      <c r="C700" s="14"/>
      <c r="I700" s="15"/>
    </row>
    <row r="701">
      <c r="C701" s="14"/>
      <c r="I701" s="15"/>
    </row>
    <row r="702">
      <c r="C702" s="14"/>
      <c r="I702" s="15"/>
    </row>
    <row r="703">
      <c r="C703" s="14"/>
      <c r="I703" s="15"/>
    </row>
    <row r="704">
      <c r="C704" s="14"/>
      <c r="I704" s="15"/>
    </row>
    <row r="705">
      <c r="C705" s="14"/>
      <c r="I705" s="15"/>
    </row>
    <row r="706">
      <c r="C706" s="14"/>
      <c r="I706" s="15"/>
    </row>
    <row r="707">
      <c r="C707" s="14"/>
      <c r="I707" s="15"/>
    </row>
    <row r="708">
      <c r="C708" s="14"/>
      <c r="I708" s="15"/>
    </row>
    <row r="709">
      <c r="C709" s="14"/>
      <c r="I709" s="15"/>
    </row>
    <row r="710">
      <c r="C710" s="14"/>
      <c r="I710" s="15"/>
    </row>
    <row r="711">
      <c r="C711" s="14"/>
      <c r="I711" s="15"/>
    </row>
    <row r="712">
      <c r="C712" s="14"/>
      <c r="I712" s="15"/>
    </row>
    <row r="713">
      <c r="C713" s="14"/>
      <c r="I713" s="15"/>
    </row>
    <row r="714">
      <c r="C714" s="14"/>
      <c r="I714" s="15"/>
    </row>
    <row r="715">
      <c r="C715" s="14"/>
      <c r="I715" s="15"/>
    </row>
    <row r="716">
      <c r="C716" s="14"/>
      <c r="I716" s="15"/>
    </row>
    <row r="717">
      <c r="C717" s="14"/>
      <c r="I717" s="15"/>
    </row>
    <row r="718">
      <c r="C718" s="14"/>
      <c r="I718" s="15"/>
    </row>
    <row r="719">
      <c r="C719" s="14"/>
      <c r="I719" s="15"/>
    </row>
    <row r="720">
      <c r="C720" s="14"/>
      <c r="I720" s="15"/>
    </row>
    <row r="721">
      <c r="C721" s="14"/>
      <c r="I721" s="15"/>
    </row>
    <row r="722">
      <c r="C722" s="14"/>
      <c r="I722" s="15"/>
    </row>
    <row r="723">
      <c r="C723" s="14"/>
      <c r="I723" s="15"/>
    </row>
    <row r="724">
      <c r="C724" s="14"/>
      <c r="I724" s="15"/>
    </row>
    <row r="725">
      <c r="C725" s="14"/>
      <c r="I725" s="15"/>
    </row>
    <row r="726">
      <c r="C726" s="14"/>
      <c r="I726" s="15"/>
    </row>
    <row r="727">
      <c r="C727" s="14"/>
      <c r="I727" s="15"/>
    </row>
    <row r="728">
      <c r="C728" s="14"/>
      <c r="I728" s="15"/>
    </row>
    <row r="729">
      <c r="C729" s="14"/>
      <c r="I729" s="15"/>
    </row>
    <row r="730">
      <c r="C730" s="14"/>
      <c r="I730" s="15"/>
    </row>
    <row r="731">
      <c r="C731" s="14"/>
      <c r="I731" s="15"/>
    </row>
    <row r="732">
      <c r="C732" s="14"/>
      <c r="I732" s="15"/>
    </row>
    <row r="733">
      <c r="C733" s="14"/>
      <c r="I733" s="15"/>
    </row>
    <row r="734">
      <c r="C734" s="14"/>
      <c r="I734" s="15"/>
    </row>
    <row r="735">
      <c r="C735" s="14"/>
      <c r="I735" s="15"/>
    </row>
    <row r="736">
      <c r="C736" s="14"/>
      <c r="I736" s="15"/>
    </row>
    <row r="737">
      <c r="C737" s="14"/>
      <c r="I737" s="15"/>
    </row>
    <row r="738">
      <c r="C738" s="14"/>
      <c r="I738" s="15"/>
    </row>
    <row r="739">
      <c r="C739" s="14"/>
      <c r="I739" s="15"/>
    </row>
    <row r="740">
      <c r="C740" s="14"/>
      <c r="I740" s="15"/>
    </row>
    <row r="741">
      <c r="C741" s="14"/>
      <c r="I741" s="15"/>
    </row>
    <row r="742">
      <c r="C742" s="14"/>
      <c r="I742" s="15"/>
    </row>
    <row r="743">
      <c r="C743" s="14"/>
      <c r="I743" s="15"/>
    </row>
    <row r="744">
      <c r="C744" s="14"/>
      <c r="I744" s="15"/>
    </row>
    <row r="745">
      <c r="C745" s="14"/>
      <c r="I745" s="15"/>
    </row>
    <row r="746">
      <c r="C746" s="14"/>
      <c r="I746" s="15"/>
    </row>
    <row r="747">
      <c r="C747" s="14"/>
      <c r="I747" s="15"/>
    </row>
    <row r="748">
      <c r="C748" s="14"/>
      <c r="I748" s="15"/>
    </row>
    <row r="749">
      <c r="C749" s="14"/>
      <c r="I749" s="15"/>
    </row>
    <row r="750">
      <c r="C750" s="14"/>
      <c r="I750" s="15"/>
    </row>
    <row r="751">
      <c r="C751" s="14"/>
      <c r="I751" s="15"/>
    </row>
    <row r="752">
      <c r="C752" s="14"/>
      <c r="I752" s="15"/>
    </row>
    <row r="753">
      <c r="C753" s="14"/>
      <c r="I753" s="15"/>
    </row>
    <row r="754">
      <c r="C754" s="14"/>
      <c r="I754" s="15"/>
    </row>
    <row r="755">
      <c r="C755" s="14"/>
      <c r="I755" s="15"/>
    </row>
    <row r="756">
      <c r="C756" s="14"/>
      <c r="I756" s="15"/>
    </row>
    <row r="757">
      <c r="C757" s="14"/>
      <c r="I757" s="15"/>
    </row>
    <row r="758">
      <c r="C758" s="14"/>
      <c r="I758" s="15"/>
    </row>
    <row r="759">
      <c r="C759" s="14"/>
      <c r="I759" s="15"/>
    </row>
    <row r="760">
      <c r="C760" s="14"/>
      <c r="I760" s="15"/>
    </row>
    <row r="761">
      <c r="C761" s="14"/>
      <c r="I761" s="15"/>
    </row>
    <row r="762">
      <c r="C762" s="14"/>
      <c r="I762" s="15"/>
    </row>
    <row r="763">
      <c r="C763" s="14"/>
      <c r="I763" s="15"/>
    </row>
    <row r="764">
      <c r="C764" s="14"/>
      <c r="I764" s="15"/>
    </row>
    <row r="765">
      <c r="C765" s="14"/>
      <c r="I765" s="15"/>
    </row>
    <row r="766">
      <c r="C766" s="14"/>
      <c r="I766" s="15"/>
    </row>
    <row r="767">
      <c r="C767" s="14"/>
      <c r="I767" s="15"/>
    </row>
    <row r="768">
      <c r="C768" s="14"/>
      <c r="I768" s="15"/>
    </row>
    <row r="769">
      <c r="C769" s="14"/>
      <c r="I769" s="15"/>
    </row>
    <row r="770">
      <c r="C770" s="14"/>
      <c r="I770" s="15"/>
    </row>
    <row r="771">
      <c r="C771" s="14"/>
      <c r="I771" s="15"/>
    </row>
    <row r="772">
      <c r="C772" s="14"/>
      <c r="I772" s="15"/>
    </row>
    <row r="773">
      <c r="C773" s="14"/>
      <c r="I773" s="15"/>
    </row>
    <row r="774">
      <c r="C774" s="14"/>
      <c r="I774" s="15"/>
    </row>
    <row r="775">
      <c r="C775" s="14"/>
      <c r="I775" s="15"/>
    </row>
    <row r="776">
      <c r="C776" s="14"/>
      <c r="I776" s="15"/>
    </row>
    <row r="777">
      <c r="C777" s="14"/>
      <c r="I777" s="15"/>
    </row>
    <row r="778">
      <c r="C778" s="14"/>
      <c r="I778" s="15"/>
    </row>
    <row r="779">
      <c r="C779" s="14"/>
      <c r="I779" s="15"/>
    </row>
    <row r="780">
      <c r="C780" s="14"/>
      <c r="I780" s="15"/>
    </row>
    <row r="781">
      <c r="C781" s="14"/>
      <c r="I781" s="15"/>
    </row>
    <row r="782">
      <c r="C782" s="14"/>
      <c r="I782" s="15"/>
    </row>
    <row r="783">
      <c r="C783" s="14"/>
      <c r="I783" s="15"/>
    </row>
    <row r="784">
      <c r="C784" s="14"/>
      <c r="I784" s="15"/>
    </row>
    <row r="785">
      <c r="C785" s="14"/>
      <c r="I785" s="15"/>
    </row>
    <row r="786">
      <c r="C786" s="14"/>
      <c r="I786" s="15"/>
    </row>
    <row r="787">
      <c r="C787" s="14"/>
      <c r="I787" s="15"/>
    </row>
    <row r="788">
      <c r="C788" s="14"/>
      <c r="I788" s="15"/>
    </row>
    <row r="789">
      <c r="C789" s="14"/>
      <c r="I789" s="15"/>
    </row>
    <row r="790">
      <c r="C790" s="14"/>
      <c r="I790" s="15"/>
    </row>
    <row r="791">
      <c r="C791" s="14"/>
      <c r="I791" s="15"/>
    </row>
    <row r="792">
      <c r="C792" s="14"/>
      <c r="I792" s="15"/>
    </row>
    <row r="793">
      <c r="C793" s="14"/>
      <c r="I793" s="15"/>
    </row>
    <row r="794">
      <c r="C794" s="14"/>
      <c r="I794" s="15"/>
    </row>
    <row r="795">
      <c r="C795" s="14"/>
      <c r="I795" s="15"/>
    </row>
    <row r="796">
      <c r="C796" s="14"/>
      <c r="I796" s="15"/>
    </row>
    <row r="797">
      <c r="C797" s="14"/>
      <c r="I797" s="15"/>
    </row>
    <row r="798">
      <c r="C798" s="14"/>
      <c r="I798" s="15"/>
    </row>
    <row r="799">
      <c r="C799" s="14"/>
      <c r="I799" s="15"/>
    </row>
    <row r="800">
      <c r="C800" s="14"/>
      <c r="I800" s="15"/>
    </row>
    <row r="801">
      <c r="C801" s="14"/>
      <c r="I801" s="15"/>
    </row>
    <row r="802">
      <c r="C802" s="14"/>
      <c r="I802" s="15"/>
    </row>
    <row r="803">
      <c r="C803" s="14"/>
      <c r="I803" s="15"/>
    </row>
    <row r="804">
      <c r="C804" s="14"/>
      <c r="I804" s="15"/>
    </row>
    <row r="805">
      <c r="C805" s="14"/>
      <c r="I805" s="15"/>
    </row>
    <row r="806">
      <c r="C806" s="14"/>
      <c r="I806" s="15"/>
    </row>
    <row r="807">
      <c r="C807" s="14"/>
      <c r="I807" s="15"/>
    </row>
    <row r="808">
      <c r="C808" s="14"/>
      <c r="I808" s="15"/>
    </row>
    <row r="809">
      <c r="C809" s="14"/>
      <c r="I809" s="15"/>
    </row>
    <row r="810">
      <c r="C810" s="14"/>
      <c r="I810" s="15"/>
    </row>
    <row r="811">
      <c r="C811" s="14"/>
      <c r="I811" s="15"/>
    </row>
    <row r="812">
      <c r="C812" s="14"/>
      <c r="I812" s="15"/>
    </row>
    <row r="813">
      <c r="C813" s="14"/>
      <c r="I813" s="15"/>
    </row>
    <row r="814">
      <c r="C814" s="14"/>
      <c r="I814" s="15"/>
    </row>
    <row r="815">
      <c r="C815" s="14"/>
      <c r="I815" s="15"/>
    </row>
    <row r="816">
      <c r="C816" s="14"/>
      <c r="I816" s="15"/>
    </row>
    <row r="817">
      <c r="C817" s="14"/>
      <c r="I817" s="15"/>
    </row>
    <row r="818">
      <c r="C818" s="14"/>
      <c r="I818" s="15"/>
    </row>
    <row r="819">
      <c r="C819" s="14"/>
      <c r="I819" s="15"/>
    </row>
    <row r="820">
      <c r="C820" s="14"/>
      <c r="I820" s="15"/>
    </row>
    <row r="821">
      <c r="C821" s="14"/>
      <c r="I821" s="15"/>
    </row>
    <row r="822">
      <c r="C822" s="14"/>
      <c r="I822" s="15"/>
    </row>
    <row r="823">
      <c r="C823" s="14"/>
      <c r="I823" s="15"/>
    </row>
    <row r="824">
      <c r="C824" s="14"/>
      <c r="I824" s="15"/>
    </row>
    <row r="825">
      <c r="C825" s="14"/>
      <c r="I825" s="15"/>
    </row>
    <row r="826">
      <c r="C826" s="14"/>
      <c r="I826" s="15"/>
    </row>
    <row r="827">
      <c r="C827" s="14"/>
      <c r="I827" s="15"/>
    </row>
    <row r="828">
      <c r="C828" s="14"/>
      <c r="I828" s="15"/>
    </row>
    <row r="829">
      <c r="C829" s="14"/>
      <c r="I829" s="15"/>
    </row>
    <row r="830">
      <c r="C830" s="14"/>
      <c r="I830" s="15"/>
    </row>
    <row r="831">
      <c r="C831" s="14"/>
      <c r="I831" s="15"/>
    </row>
    <row r="832">
      <c r="C832" s="14"/>
      <c r="I832" s="15"/>
    </row>
    <row r="833">
      <c r="C833" s="14"/>
      <c r="I833" s="15"/>
    </row>
    <row r="834">
      <c r="C834" s="14"/>
      <c r="I834" s="15"/>
    </row>
    <row r="835">
      <c r="C835" s="14"/>
      <c r="I835" s="15"/>
    </row>
    <row r="836">
      <c r="C836" s="14"/>
      <c r="I836" s="15"/>
    </row>
    <row r="837">
      <c r="C837" s="14"/>
      <c r="I837" s="15"/>
    </row>
    <row r="838">
      <c r="C838" s="14"/>
      <c r="I838" s="15"/>
    </row>
    <row r="839">
      <c r="C839" s="14"/>
      <c r="I839" s="15"/>
    </row>
    <row r="840">
      <c r="C840" s="14"/>
      <c r="I840" s="15"/>
    </row>
    <row r="841">
      <c r="C841" s="14"/>
      <c r="I841" s="15"/>
    </row>
    <row r="842">
      <c r="C842" s="14"/>
      <c r="I842" s="15"/>
    </row>
    <row r="843">
      <c r="C843" s="14"/>
      <c r="I843" s="15"/>
    </row>
    <row r="844">
      <c r="C844" s="14"/>
      <c r="I844" s="15"/>
    </row>
    <row r="845">
      <c r="C845" s="14"/>
      <c r="I845" s="15"/>
    </row>
    <row r="846">
      <c r="C846" s="14"/>
      <c r="I846" s="15"/>
    </row>
    <row r="847">
      <c r="C847" s="14"/>
      <c r="I847" s="15"/>
    </row>
    <row r="848">
      <c r="C848" s="14"/>
      <c r="I848" s="15"/>
    </row>
    <row r="849">
      <c r="C849" s="14"/>
      <c r="I849" s="15"/>
    </row>
    <row r="850">
      <c r="C850" s="14"/>
      <c r="I850" s="15"/>
    </row>
    <row r="851">
      <c r="C851" s="14"/>
      <c r="I851" s="15"/>
    </row>
    <row r="852">
      <c r="C852" s="14"/>
      <c r="I852" s="15"/>
    </row>
    <row r="853">
      <c r="C853" s="14"/>
      <c r="I853" s="15"/>
    </row>
    <row r="854">
      <c r="C854" s="14"/>
      <c r="I854" s="15"/>
    </row>
    <row r="855">
      <c r="C855" s="14"/>
      <c r="I855" s="15"/>
    </row>
    <row r="856">
      <c r="C856" s="14"/>
      <c r="I856" s="15"/>
    </row>
    <row r="857">
      <c r="C857" s="14"/>
      <c r="I857" s="15"/>
    </row>
    <row r="858">
      <c r="C858" s="14"/>
      <c r="I858" s="15"/>
    </row>
    <row r="859">
      <c r="C859" s="14"/>
      <c r="I859" s="15"/>
    </row>
    <row r="860">
      <c r="C860" s="14"/>
      <c r="I860" s="15"/>
    </row>
    <row r="861">
      <c r="C861" s="14"/>
      <c r="I861" s="15"/>
    </row>
    <row r="862">
      <c r="C862" s="14"/>
      <c r="I862" s="15"/>
    </row>
    <row r="863">
      <c r="C863" s="14"/>
      <c r="I863" s="15"/>
    </row>
    <row r="864">
      <c r="C864" s="14"/>
      <c r="I864" s="15"/>
    </row>
    <row r="865">
      <c r="C865" s="14"/>
      <c r="I865" s="15"/>
    </row>
    <row r="866">
      <c r="C866" s="14"/>
      <c r="I866" s="15"/>
    </row>
    <row r="867">
      <c r="C867" s="14"/>
      <c r="I867" s="15"/>
    </row>
    <row r="868">
      <c r="C868" s="14"/>
      <c r="I868" s="15"/>
    </row>
    <row r="869">
      <c r="C869" s="14"/>
      <c r="I869" s="15"/>
    </row>
    <row r="870">
      <c r="C870" s="14"/>
      <c r="I870" s="15"/>
    </row>
    <row r="871">
      <c r="C871" s="14"/>
      <c r="I871" s="15"/>
    </row>
    <row r="872">
      <c r="C872" s="14"/>
      <c r="I872" s="15"/>
    </row>
    <row r="873">
      <c r="C873" s="14"/>
      <c r="I873" s="15"/>
    </row>
    <row r="874">
      <c r="C874" s="14"/>
      <c r="I874" s="15"/>
    </row>
    <row r="875">
      <c r="C875" s="14"/>
      <c r="I875" s="15"/>
    </row>
    <row r="876">
      <c r="C876" s="14"/>
      <c r="I876" s="15"/>
    </row>
    <row r="877">
      <c r="C877" s="14"/>
      <c r="I877" s="15"/>
    </row>
    <row r="878">
      <c r="C878" s="14"/>
      <c r="I878" s="15"/>
    </row>
    <row r="879">
      <c r="C879" s="14"/>
      <c r="I879" s="15"/>
    </row>
    <row r="880">
      <c r="C880" s="14"/>
      <c r="I880" s="15"/>
    </row>
    <row r="881">
      <c r="C881" s="14"/>
      <c r="I881" s="15"/>
    </row>
    <row r="882">
      <c r="C882" s="14"/>
      <c r="I882" s="15"/>
    </row>
    <row r="883">
      <c r="C883" s="14"/>
      <c r="I883" s="15"/>
    </row>
    <row r="884">
      <c r="C884" s="14"/>
      <c r="I884" s="15"/>
    </row>
    <row r="885">
      <c r="C885" s="14"/>
      <c r="I885" s="15"/>
    </row>
    <row r="886">
      <c r="C886" s="14"/>
      <c r="I886" s="15"/>
    </row>
    <row r="887">
      <c r="C887" s="14"/>
      <c r="I887" s="15"/>
    </row>
    <row r="888">
      <c r="C888" s="14"/>
      <c r="I888" s="15"/>
    </row>
    <row r="889">
      <c r="C889" s="14"/>
      <c r="I889" s="15"/>
    </row>
    <row r="890">
      <c r="C890" s="14"/>
      <c r="I890" s="15"/>
    </row>
    <row r="891">
      <c r="C891" s="14"/>
      <c r="I891" s="15"/>
    </row>
    <row r="892">
      <c r="C892" s="14"/>
      <c r="I892" s="15"/>
    </row>
    <row r="893">
      <c r="C893" s="14"/>
      <c r="I893" s="15"/>
    </row>
    <row r="894">
      <c r="C894" s="14"/>
      <c r="I894" s="15"/>
    </row>
    <row r="895">
      <c r="C895" s="14"/>
      <c r="I895" s="15"/>
    </row>
    <row r="896">
      <c r="C896" s="14"/>
      <c r="I896" s="15"/>
    </row>
    <row r="897">
      <c r="C897" s="14"/>
      <c r="I897" s="15"/>
    </row>
    <row r="898">
      <c r="C898" s="14"/>
      <c r="I898" s="15"/>
    </row>
    <row r="899">
      <c r="C899" s="14"/>
      <c r="I899" s="15"/>
    </row>
    <row r="900">
      <c r="C900" s="14"/>
      <c r="I900" s="15"/>
    </row>
    <row r="901">
      <c r="C901" s="14"/>
      <c r="I901" s="15"/>
    </row>
    <row r="902">
      <c r="C902" s="14"/>
      <c r="I902" s="15"/>
    </row>
    <row r="903">
      <c r="C903" s="14"/>
      <c r="I903" s="15"/>
    </row>
    <row r="904">
      <c r="C904" s="14"/>
      <c r="I904" s="15"/>
    </row>
    <row r="905">
      <c r="C905" s="14"/>
      <c r="I905" s="15"/>
    </row>
    <row r="906">
      <c r="C906" s="14"/>
      <c r="I906" s="15"/>
    </row>
    <row r="907">
      <c r="C907" s="14"/>
      <c r="I907" s="15"/>
    </row>
    <row r="908">
      <c r="C908" s="14"/>
      <c r="I908" s="15"/>
    </row>
    <row r="909">
      <c r="C909" s="14"/>
      <c r="I909" s="15"/>
    </row>
    <row r="910">
      <c r="C910" s="14"/>
      <c r="I910" s="15"/>
    </row>
    <row r="911">
      <c r="C911" s="14"/>
      <c r="I911" s="15"/>
    </row>
    <row r="912">
      <c r="C912" s="14"/>
      <c r="I912" s="15"/>
    </row>
    <row r="913">
      <c r="C913" s="14"/>
      <c r="I913" s="15"/>
    </row>
    <row r="914">
      <c r="C914" s="14"/>
      <c r="I914" s="15"/>
    </row>
    <row r="915">
      <c r="C915" s="14"/>
      <c r="I915" s="15"/>
    </row>
    <row r="916">
      <c r="C916" s="14"/>
      <c r="I916" s="15"/>
    </row>
    <row r="917">
      <c r="C917" s="14"/>
      <c r="I917" s="15"/>
    </row>
    <row r="918">
      <c r="C918" s="14"/>
      <c r="I918" s="15"/>
    </row>
    <row r="919">
      <c r="C919" s="14"/>
      <c r="I919" s="15"/>
    </row>
    <row r="920">
      <c r="C920" s="14"/>
      <c r="I920" s="15"/>
    </row>
    <row r="921">
      <c r="C921" s="14"/>
      <c r="I921" s="15"/>
    </row>
    <row r="922">
      <c r="C922" s="14"/>
      <c r="I922" s="15"/>
    </row>
    <row r="923">
      <c r="C923" s="14"/>
      <c r="I923" s="15"/>
    </row>
    <row r="924">
      <c r="C924" s="14"/>
      <c r="I924" s="15"/>
    </row>
    <row r="925">
      <c r="C925" s="14"/>
      <c r="I925" s="15"/>
    </row>
    <row r="926">
      <c r="C926" s="14"/>
      <c r="I926" s="15"/>
    </row>
    <row r="927">
      <c r="C927" s="14"/>
      <c r="I927" s="15"/>
    </row>
    <row r="928">
      <c r="C928" s="14"/>
      <c r="I928" s="15"/>
    </row>
    <row r="929">
      <c r="C929" s="14"/>
      <c r="I929" s="15"/>
    </row>
    <row r="930">
      <c r="C930" s="14"/>
      <c r="I930" s="15"/>
    </row>
    <row r="931">
      <c r="C931" s="14"/>
      <c r="I931" s="15"/>
    </row>
    <row r="932">
      <c r="C932" s="14"/>
      <c r="I932" s="15"/>
    </row>
    <row r="933">
      <c r="C933" s="14"/>
      <c r="I933" s="15"/>
    </row>
    <row r="934">
      <c r="C934" s="14"/>
      <c r="I934" s="15"/>
    </row>
    <row r="935">
      <c r="C935" s="14"/>
      <c r="I935" s="15"/>
    </row>
    <row r="936">
      <c r="C936" s="14"/>
      <c r="I936" s="15"/>
    </row>
    <row r="937">
      <c r="C937" s="14"/>
      <c r="I937" s="15"/>
    </row>
    <row r="938">
      <c r="C938" s="14"/>
      <c r="I938" s="15"/>
    </row>
    <row r="939">
      <c r="C939" s="14"/>
      <c r="I939" s="15"/>
    </row>
    <row r="940">
      <c r="C940" s="14"/>
      <c r="I940" s="15"/>
    </row>
    <row r="941">
      <c r="C941" s="14"/>
      <c r="I941" s="15"/>
    </row>
    <row r="942">
      <c r="C942" s="14"/>
      <c r="I942" s="15"/>
    </row>
    <row r="943">
      <c r="C943" s="14"/>
      <c r="I943" s="15"/>
    </row>
    <row r="944">
      <c r="C944" s="14"/>
      <c r="I944" s="15"/>
    </row>
    <row r="945">
      <c r="C945" s="14"/>
      <c r="I945" s="15"/>
    </row>
    <row r="946">
      <c r="C946" s="14"/>
      <c r="I946" s="15"/>
    </row>
    <row r="947">
      <c r="C947" s="14"/>
      <c r="I947" s="15"/>
    </row>
    <row r="948">
      <c r="C948" s="14"/>
      <c r="I948" s="15"/>
    </row>
    <row r="949">
      <c r="C949" s="14"/>
      <c r="I949" s="15"/>
    </row>
    <row r="950">
      <c r="C950" s="14"/>
      <c r="I950" s="15"/>
    </row>
    <row r="951">
      <c r="C951" s="14"/>
      <c r="I951" s="15"/>
    </row>
    <row r="952">
      <c r="C952" s="14"/>
      <c r="I952" s="15"/>
    </row>
    <row r="953">
      <c r="C953" s="14"/>
      <c r="I953" s="15"/>
    </row>
    <row r="954">
      <c r="C954" s="14"/>
      <c r="I954" s="15"/>
    </row>
    <row r="955">
      <c r="C955" s="14"/>
      <c r="I955" s="15"/>
    </row>
    <row r="956">
      <c r="C956" s="14"/>
      <c r="I956" s="15"/>
    </row>
    <row r="957">
      <c r="C957" s="14"/>
      <c r="I957" s="15"/>
    </row>
    <row r="958">
      <c r="C958" s="14"/>
      <c r="I958" s="15"/>
    </row>
    <row r="959">
      <c r="C959" s="14"/>
      <c r="I959" s="15"/>
    </row>
    <row r="960">
      <c r="C960" s="14"/>
      <c r="I960" s="15"/>
    </row>
    <row r="961">
      <c r="C961" s="14"/>
      <c r="I961" s="15"/>
    </row>
    <row r="962">
      <c r="C962" s="14"/>
      <c r="I962" s="15"/>
    </row>
    <row r="963">
      <c r="C963" s="14"/>
      <c r="I963" s="15"/>
    </row>
    <row r="964">
      <c r="C964" s="14"/>
      <c r="I964" s="15"/>
    </row>
    <row r="965">
      <c r="C965" s="14"/>
      <c r="I965" s="15"/>
    </row>
    <row r="966">
      <c r="C966" s="14"/>
      <c r="I966" s="15"/>
    </row>
    <row r="967">
      <c r="C967" s="14"/>
      <c r="I967" s="15"/>
    </row>
    <row r="968">
      <c r="C968" s="14"/>
      <c r="I968" s="15"/>
    </row>
    <row r="969">
      <c r="C969" s="14"/>
      <c r="I969" s="15"/>
    </row>
    <row r="970">
      <c r="C970" s="14"/>
      <c r="I970" s="15"/>
    </row>
    <row r="971">
      <c r="C971" s="14"/>
      <c r="I971" s="15"/>
    </row>
    <row r="972">
      <c r="C972" s="14"/>
      <c r="I972" s="15"/>
    </row>
    <row r="973">
      <c r="C973" s="14"/>
      <c r="I973" s="15"/>
    </row>
    <row r="974">
      <c r="C974" s="14"/>
      <c r="I974" s="15"/>
    </row>
    <row r="975">
      <c r="C975" s="14"/>
      <c r="I975" s="15"/>
    </row>
    <row r="976">
      <c r="C976" s="14"/>
      <c r="I976" s="15"/>
    </row>
    <row r="977">
      <c r="C977" s="14"/>
      <c r="I977" s="15"/>
    </row>
    <row r="978">
      <c r="C978" s="14"/>
      <c r="I978" s="15"/>
    </row>
    <row r="979">
      <c r="C979" s="14"/>
      <c r="I979" s="15"/>
    </row>
    <row r="980">
      <c r="C980" s="14"/>
      <c r="I980" s="15"/>
    </row>
    <row r="981">
      <c r="C981" s="14"/>
      <c r="I981" s="15"/>
    </row>
    <row r="982">
      <c r="C982" s="14"/>
      <c r="I982" s="15"/>
    </row>
    <row r="983">
      <c r="C983" s="14"/>
      <c r="I983" s="15"/>
    </row>
    <row r="984">
      <c r="C984" s="14"/>
      <c r="I984" s="15"/>
    </row>
    <row r="985">
      <c r="C985" s="14"/>
      <c r="I985" s="15"/>
    </row>
    <row r="986">
      <c r="C986" s="14"/>
      <c r="I986" s="15"/>
    </row>
    <row r="987">
      <c r="C987" s="14"/>
      <c r="I987" s="15"/>
    </row>
    <row r="988">
      <c r="C988" s="14"/>
      <c r="I988" s="15"/>
    </row>
    <row r="989">
      <c r="C989" s="14"/>
      <c r="I989" s="15"/>
    </row>
    <row r="990">
      <c r="C990" s="14"/>
      <c r="I990" s="15"/>
    </row>
    <row r="991">
      <c r="C991" s="14"/>
      <c r="I991" s="15"/>
    </row>
    <row r="992">
      <c r="C992" s="14"/>
      <c r="I992" s="15"/>
    </row>
    <row r="993">
      <c r="C993" s="14"/>
      <c r="I993" s="15"/>
    </row>
    <row r="994">
      <c r="C994" s="14"/>
      <c r="I994" s="15"/>
    </row>
    <row r="995">
      <c r="C995" s="14"/>
      <c r="I995" s="15"/>
    </row>
    <row r="996">
      <c r="C996" s="14"/>
      <c r="I996" s="15"/>
    </row>
    <row r="997">
      <c r="C997" s="14"/>
      <c r="I997" s="15"/>
    </row>
    <row r="998">
      <c r="C998" s="14"/>
      <c r="I998" s="15"/>
    </row>
    <row r="999">
      <c r="C999" s="14"/>
      <c r="I999" s="15"/>
    </row>
    <row r="1000">
      <c r="C1000" s="14"/>
      <c r="I1000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5" width="7.63"/>
    <col customWidth="1" min="6" max="18" width="10.13"/>
    <col customWidth="1" min="19" max="25" width="7.63"/>
  </cols>
  <sheetData>
    <row r="1">
      <c r="A1" s="8" t="str">
        <f t="array" ref="A1:Q20">sort(transpose('Sorted Team'!A331:T347),2,false)</f>
        <v/>
      </c>
      <c r="B1" s="9" t="s">
        <v>67</v>
      </c>
      <c r="C1" s="9" t="s">
        <v>61</v>
      </c>
      <c r="D1" s="9" t="s">
        <v>10</v>
      </c>
      <c r="E1" s="9" t="s">
        <v>87</v>
      </c>
      <c r="F1" s="9" t="s">
        <v>88</v>
      </c>
      <c r="G1" s="9" t="s">
        <v>89</v>
      </c>
      <c r="H1" s="9" t="s">
        <v>90</v>
      </c>
      <c r="I1" s="9" t="s">
        <v>91</v>
      </c>
      <c r="J1" s="9" t="s">
        <v>92</v>
      </c>
      <c r="K1" s="9" t="s">
        <v>93</v>
      </c>
      <c r="L1" s="9" t="s">
        <v>94</v>
      </c>
      <c r="M1" s="9" t="s">
        <v>95</v>
      </c>
      <c r="N1" s="9" t="s">
        <v>96</v>
      </c>
      <c r="O1" s="9" t="s">
        <v>97</v>
      </c>
      <c r="P1" s="9" t="s">
        <v>98</v>
      </c>
      <c r="Q1" s="9" t="s">
        <v>99</v>
      </c>
      <c r="R1" s="14"/>
      <c r="S1" s="14"/>
      <c r="T1" s="14"/>
      <c r="U1" s="14"/>
      <c r="V1" s="14"/>
      <c r="W1" s="14"/>
      <c r="X1" s="14"/>
      <c r="Y1" s="14"/>
    </row>
    <row r="2">
      <c r="A2" s="8" t="s">
        <v>5</v>
      </c>
      <c r="B2" s="16">
        <v>117.75</v>
      </c>
      <c r="C2" s="9">
        <v>8.0</v>
      </c>
      <c r="D2" s="9">
        <v>53.0</v>
      </c>
      <c r="E2" s="17">
        <v>0.5638297872340425</v>
      </c>
      <c r="F2" s="9">
        <v>7.0</v>
      </c>
      <c r="G2" s="17">
        <v>0.4666666666666667</v>
      </c>
      <c r="H2" s="9">
        <v>15.0</v>
      </c>
      <c r="I2" s="17">
        <v>0.7142857142857143</v>
      </c>
      <c r="J2" s="9">
        <v>7.0</v>
      </c>
      <c r="K2" s="17">
        <v>0.5384615384615384</v>
      </c>
      <c r="L2" s="9">
        <v>13.0</v>
      </c>
      <c r="M2" s="17">
        <v>0.6842105263157895</v>
      </c>
      <c r="N2" s="9">
        <v>6.0</v>
      </c>
      <c r="O2" s="17">
        <v>0.46153846153846156</v>
      </c>
      <c r="P2" s="9">
        <v>5.0</v>
      </c>
      <c r="Q2" s="17">
        <v>0.38461538461538464</v>
      </c>
      <c r="R2" s="17"/>
      <c r="S2" s="14"/>
      <c r="T2" s="14"/>
      <c r="U2" s="14"/>
      <c r="V2" s="14"/>
      <c r="W2" s="14"/>
      <c r="X2" s="14"/>
      <c r="Y2" s="14"/>
    </row>
    <row r="3">
      <c r="A3" s="9" t="s">
        <v>6</v>
      </c>
      <c r="B3" s="13">
        <v>71.25</v>
      </c>
      <c r="C3" s="9">
        <v>8.0</v>
      </c>
      <c r="D3" s="9">
        <v>29.0</v>
      </c>
      <c r="E3" s="17">
        <v>0.453125</v>
      </c>
      <c r="F3" s="9">
        <v>5.0</v>
      </c>
      <c r="G3" s="17">
        <v>0.45454545454545453</v>
      </c>
      <c r="H3" s="9">
        <v>9.0</v>
      </c>
      <c r="I3" s="17">
        <v>0.6</v>
      </c>
      <c r="J3" s="9">
        <v>6.0</v>
      </c>
      <c r="K3" s="17">
        <v>0.46153846153846156</v>
      </c>
      <c r="L3" s="9">
        <v>4.0</v>
      </c>
      <c r="M3" s="17">
        <v>0.4444444444444444</v>
      </c>
      <c r="N3" s="9">
        <v>2.0</v>
      </c>
      <c r="O3" s="17">
        <v>0.2222222222222222</v>
      </c>
      <c r="P3" s="9">
        <v>3.0</v>
      </c>
      <c r="Q3" s="17">
        <v>0.42857142857142855</v>
      </c>
      <c r="R3" s="17"/>
      <c r="S3" s="14"/>
      <c r="T3" s="14"/>
      <c r="U3" s="14"/>
      <c r="V3" s="14"/>
      <c r="W3" s="14"/>
      <c r="X3" s="14"/>
      <c r="Y3" s="14"/>
    </row>
    <row r="4">
      <c r="A4" s="9" t="s">
        <v>0</v>
      </c>
      <c r="B4" s="9">
        <v>71.25</v>
      </c>
      <c r="C4" s="9">
        <v>8.0</v>
      </c>
      <c r="D4" s="9">
        <v>27.0</v>
      </c>
      <c r="E4" s="17">
        <v>0.391304347826087</v>
      </c>
      <c r="F4" s="9">
        <v>8.0</v>
      </c>
      <c r="G4" s="17">
        <v>0.6666666666666666</v>
      </c>
      <c r="H4" s="9">
        <v>4.0</v>
      </c>
      <c r="I4" s="17">
        <v>0.4</v>
      </c>
      <c r="J4" s="9">
        <v>4.0</v>
      </c>
      <c r="K4" s="17">
        <v>0.3333333333333333</v>
      </c>
      <c r="L4" s="9">
        <v>5.0</v>
      </c>
      <c r="M4" s="17">
        <v>0.4166666666666667</v>
      </c>
      <c r="N4" s="9">
        <v>4.0</v>
      </c>
      <c r="O4" s="17">
        <v>0.4</v>
      </c>
      <c r="P4" s="9">
        <v>2.0</v>
      </c>
      <c r="Q4" s="17">
        <v>0.15384615384615385</v>
      </c>
      <c r="R4" s="17"/>
      <c r="S4" s="14"/>
      <c r="T4" s="14"/>
      <c r="U4" s="14"/>
      <c r="V4" s="14"/>
      <c r="W4" s="14"/>
      <c r="X4" s="14"/>
      <c r="Y4" s="14"/>
    </row>
    <row r="5">
      <c r="A5" s="9" t="s">
        <v>3</v>
      </c>
      <c r="B5" s="9">
        <v>68.0</v>
      </c>
      <c r="C5" s="9">
        <v>7.0</v>
      </c>
      <c r="D5" s="9">
        <v>24.0</v>
      </c>
      <c r="E5" s="17">
        <v>0.42857142857142855</v>
      </c>
      <c r="F5" s="9">
        <v>7.0</v>
      </c>
      <c r="G5" s="17">
        <v>0.7</v>
      </c>
      <c r="H5" s="9">
        <v>3.0</v>
      </c>
      <c r="I5" s="17">
        <v>0.3333333333333333</v>
      </c>
      <c r="J5" s="9">
        <v>3.0</v>
      </c>
      <c r="K5" s="17">
        <v>0.3333333333333333</v>
      </c>
      <c r="L5" s="9">
        <v>4.0</v>
      </c>
      <c r="M5" s="17">
        <v>0.5</v>
      </c>
      <c r="N5" s="9">
        <v>3.0</v>
      </c>
      <c r="O5" s="17">
        <v>0.3</v>
      </c>
      <c r="P5" s="9">
        <v>4.0</v>
      </c>
      <c r="Q5" s="17">
        <v>0.4</v>
      </c>
      <c r="R5" s="17"/>
      <c r="S5" s="14"/>
      <c r="T5" s="14"/>
      <c r="U5" s="14"/>
      <c r="V5" s="14"/>
      <c r="W5" s="14"/>
      <c r="X5" s="14"/>
      <c r="Y5" s="14"/>
    </row>
    <row r="6">
      <c r="A6" s="9" t="s">
        <v>2</v>
      </c>
      <c r="B6" s="9">
        <v>63.8</v>
      </c>
      <c r="C6" s="9">
        <v>10.0</v>
      </c>
      <c r="D6" s="9">
        <v>31.0</v>
      </c>
      <c r="E6" s="17">
        <v>0.4305555555555556</v>
      </c>
      <c r="F6" s="9">
        <v>10.0</v>
      </c>
      <c r="G6" s="17">
        <v>0.6666666666666666</v>
      </c>
      <c r="H6" s="9">
        <v>3.0</v>
      </c>
      <c r="I6" s="17">
        <v>0.3</v>
      </c>
      <c r="J6" s="9">
        <v>4.0</v>
      </c>
      <c r="K6" s="17">
        <v>0.5714285714285714</v>
      </c>
      <c r="L6" s="9">
        <v>7.0</v>
      </c>
      <c r="M6" s="17">
        <v>0.4375</v>
      </c>
      <c r="N6" s="9">
        <v>4.0</v>
      </c>
      <c r="O6" s="17">
        <v>0.25</v>
      </c>
      <c r="P6" s="9">
        <v>3.0</v>
      </c>
      <c r="Q6" s="17">
        <v>0.375</v>
      </c>
      <c r="R6" s="17"/>
      <c r="S6" s="14"/>
      <c r="T6" s="14"/>
      <c r="U6" s="14"/>
      <c r="V6" s="14"/>
      <c r="W6" s="14"/>
      <c r="X6" s="14"/>
      <c r="Y6" s="14"/>
    </row>
    <row r="7">
      <c r="A7" s="9" t="s">
        <v>7</v>
      </c>
      <c r="B7" s="13">
        <v>47.142857142857146</v>
      </c>
      <c r="C7" s="9">
        <v>7.0</v>
      </c>
      <c r="D7" s="9">
        <v>17.0</v>
      </c>
      <c r="E7" s="17">
        <v>0.425</v>
      </c>
      <c r="F7" s="9">
        <v>6.0</v>
      </c>
      <c r="G7" s="17">
        <v>0.75</v>
      </c>
      <c r="H7" s="9">
        <v>3.0</v>
      </c>
      <c r="I7" s="17">
        <v>0.375</v>
      </c>
      <c r="J7" s="9">
        <v>2.0</v>
      </c>
      <c r="K7" s="17">
        <v>0.6666666666666666</v>
      </c>
      <c r="L7" s="9">
        <v>3.0</v>
      </c>
      <c r="M7" s="17">
        <v>0.42857142857142855</v>
      </c>
      <c r="N7" s="9">
        <v>1.0</v>
      </c>
      <c r="O7" s="17">
        <v>0.2</v>
      </c>
      <c r="P7" s="9">
        <v>2.0</v>
      </c>
      <c r="Q7" s="17">
        <v>0.2222222222222222</v>
      </c>
      <c r="R7" s="17"/>
      <c r="S7" s="14"/>
      <c r="T7" s="14"/>
      <c r="U7" s="14"/>
      <c r="V7" s="14"/>
      <c r="W7" s="14"/>
      <c r="X7" s="14"/>
      <c r="Y7" s="14"/>
    </row>
    <row r="8">
      <c r="A8" s="9" t="s">
        <v>4</v>
      </c>
      <c r="B8" s="9">
        <v>38.5</v>
      </c>
      <c r="C8" s="9">
        <v>4.0</v>
      </c>
      <c r="D8" s="9">
        <v>7.0</v>
      </c>
      <c r="E8" s="17">
        <v>0.35</v>
      </c>
      <c r="F8" s="9">
        <v>1.0</v>
      </c>
      <c r="G8" s="17">
        <v>1.0</v>
      </c>
      <c r="H8" s="9">
        <v>2.0</v>
      </c>
      <c r="I8" s="17">
        <v>0.4</v>
      </c>
      <c r="J8" s="9">
        <v>1.0</v>
      </c>
      <c r="K8" s="17">
        <v>0.16666666666666666</v>
      </c>
      <c r="L8" s="9">
        <v>0.0</v>
      </c>
      <c r="M8" s="17">
        <v>0.0</v>
      </c>
      <c r="N8" s="9">
        <v>1.0</v>
      </c>
      <c r="O8" s="17">
        <v>0.5</v>
      </c>
      <c r="P8" s="9">
        <v>2.0</v>
      </c>
      <c r="Q8" s="17">
        <v>0.5</v>
      </c>
      <c r="R8" s="17"/>
      <c r="S8" s="14"/>
      <c r="T8" s="14"/>
      <c r="U8" s="14"/>
      <c r="V8" s="14"/>
      <c r="W8" s="14"/>
      <c r="X8" s="14"/>
      <c r="Y8" s="14"/>
    </row>
    <row r="9">
      <c r="A9" s="9" t="s">
        <v>1</v>
      </c>
      <c r="B9" s="13">
        <v>35.666666666666664</v>
      </c>
      <c r="C9" s="9">
        <v>6.0</v>
      </c>
      <c r="D9" s="9">
        <v>9.0</v>
      </c>
      <c r="E9" s="17">
        <v>0.3103448275862069</v>
      </c>
      <c r="F9" s="9">
        <v>3.0</v>
      </c>
      <c r="G9" s="17">
        <v>0.3333333333333333</v>
      </c>
      <c r="H9" s="9">
        <v>0.0</v>
      </c>
      <c r="I9" s="17">
        <v>0.0</v>
      </c>
      <c r="J9" s="9">
        <v>3.0</v>
      </c>
      <c r="K9" s="17">
        <v>0.6</v>
      </c>
      <c r="L9" s="9">
        <v>0.0</v>
      </c>
      <c r="M9" s="17">
        <v>0.0</v>
      </c>
      <c r="N9" s="9">
        <v>3.0</v>
      </c>
      <c r="O9" s="17">
        <v>0.375</v>
      </c>
      <c r="P9" s="9">
        <v>0.0</v>
      </c>
      <c r="Q9" s="17">
        <v>0.0</v>
      </c>
      <c r="R9" s="17"/>
      <c r="S9" s="14"/>
      <c r="T9" s="14"/>
      <c r="U9" s="14"/>
      <c r="V9" s="14"/>
      <c r="W9" s="14"/>
      <c r="X9" s="14"/>
      <c r="Y9" s="14"/>
    </row>
    <row r="10">
      <c r="A10" s="9" t="s">
        <v>9</v>
      </c>
      <c r="B10" s="9">
        <v>28.0</v>
      </c>
      <c r="C10" s="9">
        <v>6.0</v>
      </c>
      <c r="D10" s="9">
        <v>6.0</v>
      </c>
      <c r="E10" s="17">
        <v>0.2727272727272727</v>
      </c>
      <c r="F10" s="9">
        <v>0.0</v>
      </c>
      <c r="G10" s="17">
        <v>0.0</v>
      </c>
      <c r="H10" s="9">
        <v>1.0</v>
      </c>
      <c r="I10" s="17">
        <v>0.16666666666666666</v>
      </c>
      <c r="J10" s="9">
        <v>4.0</v>
      </c>
      <c r="K10" s="17">
        <v>0.5714285714285714</v>
      </c>
      <c r="L10" s="9">
        <v>0.0</v>
      </c>
      <c r="M10" s="17">
        <v>0.0</v>
      </c>
      <c r="N10" s="9">
        <v>0.0</v>
      </c>
      <c r="O10" s="17">
        <v>0.0</v>
      </c>
      <c r="P10" s="9">
        <v>1.0</v>
      </c>
      <c r="Q10" s="17">
        <v>0.25</v>
      </c>
      <c r="R10" s="17"/>
      <c r="S10" s="14"/>
      <c r="T10" s="14"/>
      <c r="U10" s="14"/>
      <c r="V10" s="14"/>
      <c r="W10" s="14"/>
      <c r="X10" s="14"/>
      <c r="Y10" s="14"/>
    </row>
    <row r="11">
      <c r="A11" s="14" t="s">
        <v>8</v>
      </c>
      <c r="B11" s="14">
        <v>21.0</v>
      </c>
      <c r="C11" s="14">
        <v>4.0</v>
      </c>
      <c r="D11" s="14">
        <v>2.0</v>
      </c>
      <c r="E11" s="17">
        <v>0.13333333333333333</v>
      </c>
      <c r="F11" s="14">
        <v>0.0</v>
      </c>
      <c r="G11" s="17">
        <v>0.0</v>
      </c>
      <c r="H11" s="14">
        <v>0.0</v>
      </c>
      <c r="I11" s="17">
        <v>0.0</v>
      </c>
      <c r="J11" s="14">
        <v>0.0</v>
      </c>
      <c r="K11" s="17">
        <v>0.0</v>
      </c>
      <c r="L11" s="14">
        <v>1.0</v>
      </c>
      <c r="M11" s="17">
        <v>0.3333333333333333</v>
      </c>
      <c r="N11" s="14">
        <v>1.0</v>
      </c>
      <c r="O11" s="14">
        <v>0.5</v>
      </c>
      <c r="P11" s="14">
        <v>0.0</v>
      </c>
      <c r="Q11" s="17">
        <v>0.0</v>
      </c>
      <c r="R11" s="14"/>
      <c r="S11" s="14"/>
      <c r="T11" s="14"/>
      <c r="U11" s="14"/>
      <c r="V11" s="14"/>
      <c r="W11" s="14"/>
      <c r="X11" s="14"/>
      <c r="Y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tr">
        <f t="array" ref="A1:A1000">sort(Stats!A1:A1000,Stats!L1:L1000,false)</f>
        <v>Overall</v>
      </c>
      <c r="B1" s="18" t="str">
        <f t="array" ref="B1:B1000">sort(Stats!D1:D1000,Stats!L1:L1000,false)</f>
        <v>TUH</v>
      </c>
      <c r="C1" s="1" t="str">
        <f t="array" ref="C1:E1000">sort(Stats!J1:L1000,Stats!L1:L1000,false)</f>
        <v>X TU</v>
      </c>
      <c r="D1" s="1" t="s">
        <v>69</v>
      </c>
      <c r="E1" s="1" t="s">
        <v>70</v>
      </c>
    </row>
    <row r="2">
      <c r="A2" s="1" t="s">
        <v>52</v>
      </c>
      <c r="B2" s="1">
        <v>192.0</v>
      </c>
      <c r="C2" s="1">
        <v>11.0</v>
      </c>
      <c r="D2" s="1">
        <v>2.0</v>
      </c>
      <c r="E2" s="1">
        <v>4.5</v>
      </c>
    </row>
    <row r="3">
      <c r="A3" s="1" t="s">
        <v>43</v>
      </c>
      <c r="B3" s="1">
        <v>192.0</v>
      </c>
      <c r="C3" s="1">
        <v>7.0</v>
      </c>
      <c r="D3" s="1">
        <v>0.0</v>
      </c>
      <c r="E3" s="1">
        <v>3.5</v>
      </c>
    </row>
    <row r="4">
      <c r="A4" s="1" t="s">
        <v>48</v>
      </c>
      <c r="B4" s="1">
        <v>168.0</v>
      </c>
      <c r="C4" s="19">
        <v>6.0</v>
      </c>
      <c r="D4" s="19">
        <v>0.0</v>
      </c>
      <c r="E4" s="19">
        <v>3.4285714285714284</v>
      </c>
    </row>
    <row r="5">
      <c r="A5" s="1" t="s">
        <v>12</v>
      </c>
      <c r="B5" s="1">
        <v>168.0</v>
      </c>
      <c r="C5" s="19">
        <v>5.0</v>
      </c>
      <c r="D5" s="19">
        <v>0.0</v>
      </c>
      <c r="E5" s="19">
        <v>2.857142857142857</v>
      </c>
    </row>
    <row r="6">
      <c r="A6" s="1" t="s">
        <v>13</v>
      </c>
      <c r="B6" s="1">
        <v>144.0</v>
      </c>
      <c r="C6" s="19">
        <v>4.0</v>
      </c>
      <c r="D6" s="19">
        <v>0.0</v>
      </c>
      <c r="E6" s="19">
        <v>2.6666666666666665</v>
      </c>
    </row>
    <row r="7">
      <c r="A7" s="1" t="s">
        <v>23</v>
      </c>
      <c r="B7" s="1">
        <v>192.0</v>
      </c>
      <c r="C7" s="1">
        <v>5.0</v>
      </c>
      <c r="D7" s="1">
        <v>0.0</v>
      </c>
      <c r="E7" s="1">
        <v>2.5</v>
      </c>
    </row>
    <row r="8">
      <c r="A8" s="1" t="s">
        <v>35</v>
      </c>
      <c r="B8" s="1">
        <v>240.0</v>
      </c>
      <c r="C8" s="1">
        <v>6.0</v>
      </c>
      <c r="D8" s="1">
        <v>0.0</v>
      </c>
      <c r="E8" s="1">
        <v>2.4</v>
      </c>
    </row>
    <row r="9">
      <c r="A9" s="1" t="s">
        <v>25</v>
      </c>
      <c r="B9" s="1">
        <v>168.0</v>
      </c>
      <c r="C9" s="19">
        <v>4.0</v>
      </c>
      <c r="D9" s="19">
        <v>0.0</v>
      </c>
      <c r="E9" s="19">
        <v>2.2857142857142856</v>
      </c>
    </row>
    <row r="10">
      <c r="A10" s="1" t="s">
        <v>12</v>
      </c>
      <c r="B10" s="1">
        <v>168.0</v>
      </c>
      <c r="C10" s="19">
        <v>3.0</v>
      </c>
      <c r="D10" s="19">
        <v>0.0</v>
      </c>
      <c r="E10" s="19">
        <v>1.7142857142857142</v>
      </c>
    </row>
    <row r="11">
      <c r="A11" s="1" t="s">
        <v>47</v>
      </c>
      <c r="B11" s="1">
        <v>168.0</v>
      </c>
      <c r="C11" s="1">
        <v>3.0</v>
      </c>
      <c r="D11" s="1">
        <v>0.0</v>
      </c>
      <c r="E11" s="19">
        <v>1.7142857142857142</v>
      </c>
    </row>
    <row r="12">
      <c r="A12" s="1" t="s">
        <v>34</v>
      </c>
      <c r="B12" s="1">
        <v>240.0</v>
      </c>
      <c r="C12" s="1">
        <v>5.0</v>
      </c>
      <c r="D12" s="1">
        <v>1.0</v>
      </c>
      <c r="E12" s="1">
        <v>1.6</v>
      </c>
    </row>
    <row r="13">
      <c r="A13" s="1" t="s">
        <v>22</v>
      </c>
      <c r="B13" s="1">
        <v>192.0</v>
      </c>
      <c r="C13" s="1">
        <v>3.0</v>
      </c>
      <c r="D13" s="1">
        <v>0.0</v>
      </c>
      <c r="E13" s="1">
        <v>1.5</v>
      </c>
    </row>
    <row r="14">
      <c r="A14" s="1" t="s">
        <v>27</v>
      </c>
      <c r="B14" s="1">
        <v>168.0</v>
      </c>
      <c r="C14" s="19">
        <v>2.0</v>
      </c>
      <c r="D14" s="19">
        <v>0.0</v>
      </c>
      <c r="E14" s="19">
        <v>1.1428571428571428</v>
      </c>
    </row>
    <row r="15">
      <c r="A15" s="1" t="s">
        <v>30</v>
      </c>
      <c r="B15" s="1">
        <v>96.0</v>
      </c>
      <c r="C15" s="1">
        <v>1.0</v>
      </c>
      <c r="D15" s="1">
        <v>0.0</v>
      </c>
      <c r="E15" s="1">
        <v>1.0</v>
      </c>
    </row>
    <row r="16">
      <c r="A16" s="1" t="s">
        <v>31</v>
      </c>
      <c r="B16" s="1">
        <v>96.0</v>
      </c>
      <c r="C16" s="1">
        <v>1.0</v>
      </c>
      <c r="D16" s="1">
        <v>0.0</v>
      </c>
      <c r="E16" s="1">
        <v>1.0</v>
      </c>
    </row>
    <row r="17">
      <c r="A17" s="1" t="s">
        <v>21</v>
      </c>
      <c r="B17" s="1">
        <v>216.0</v>
      </c>
      <c r="C17" s="19">
        <v>2.0</v>
      </c>
      <c r="D17" s="19">
        <v>0.0</v>
      </c>
      <c r="E17" s="19">
        <v>0.8888888888888888</v>
      </c>
    </row>
    <row r="18">
      <c r="A18" s="1" t="s">
        <v>36</v>
      </c>
      <c r="B18" s="1">
        <v>240.0</v>
      </c>
      <c r="C18" s="1">
        <v>2.0</v>
      </c>
      <c r="D18" s="1">
        <v>0.0</v>
      </c>
      <c r="E18" s="1">
        <v>0.8</v>
      </c>
    </row>
    <row r="19">
      <c r="A19" s="1" t="s">
        <v>33</v>
      </c>
      <c r="B19" s="1">
        <v>240.0</v>
      </c>
      <c r="C19" s="1">
        <v>2.0</v>
      </c>
      <c r="D19" s="1">
        <v>0.0</v>
      </c>
      <c r="E19" s="1">
        <v>0.8</v>
      </c>
    </row>
    <row r="20">
      <c r="A20" s="1" t="s">
        <v>42</v>
      </c>
      <c r="B20" s="1">
        <v>144.0</v>
      </c>
      <c r="C20" s="19">
        <v>1.0</v>
      </c>
      <c r="D20" s="19">
        <v>0.0</v>
      </c>
      <c r="E20" s="19">
        <v>0.6666666666666666</v>
      </c>
    </row>
    <row r="21">
      <c r="A21" s="1" t="s">
        <v>41</v>
      </c>
      <c r="B21" s="1">
        <v>144.0</v>
      </c>
      <c r="C21" s="19">
        <v>1.0</v>
      </c>
      <c r="D21" s="19">
        <v>0.0</v>
      </c>
      <c r="E21" s="19">
        <v>0.6666666666666666</v>
      </c>
    </row>
    <row r="22">
      <c r="A22" s="1" t="s">
        <v>49</v>
      </c>
      <c r="B22" s="1">
        <v>168.0</v>
      </c>
      <c r="C22" s="19">
        <v>1.0</v>
      </c>
      <c r="D22" s="19">
        <v>0.0</v>
      </c>
      <c r="E22" s="19">
        <v>0.5714285714285714</v>
      </c>
    </row>
    <row r="23">
      <c r="A23" s="1" t="s">
        <v>26</v>
      </c>
      <c r="B23" s="1">
        <v>168.0</v>
      </c>
      <c r="C23" s="1">
        <v>1.0</v>
      </c>
      <c r="D23" s="1">
        <v>0.0</v>
      </c>
      <c r="E23" s="19">
        <v>0.5714285714285714</v>
      </c>
    </row>
    <row r="24">
      <c r="A24" s="1" t="s">
        <v>21</v>
      </c>
      <c r="B24" s="1">
        <v>168.0</v>
      </c>
      <c r="C24" s="19">
        <v>1.0</v>
      </c>
      <c r="D24" s="19">
        <v>0.0</v>
      </c>
      <c r="E24" s="19">
        <v>0.5714285714285714</v>
      </c>
    </row>
    <row r="25">
      <c r="A25" s="1" t="s">
        <v>24</v>
      </c>
      <c r="B25" s="1">
        <v>168.0</v>
      </c>
      <c r="C25" s="1">
        <v>1.0</v>
      </c>
      <c r="D25" s="1">
        <v>0.0</v>
      </c>
      <c r="E25" s="19">
        <v>0.5714285714285714</v>
      </c>
    </row>
    <row r="26">
      <c r="A26" s="1" t="s">
        <v>46</v>
      </c>
      <c r="B26" s="1">
        <v>168.0</v>
      </c>
      <c r="C26" s="19">
        <v>1.0</v>
      </c>
      <c r="D26" s="19">
        <v>0.0</v>
      </c>
      <c r="E26" s="19">
        <v>0.5714285714285714</v>
      </c>
    </row>
    <row r="27">
      <c r="A27" s="1" t="s">
        <v>19</v>
      </c>
      <c r="B27" s="1">
        <v>192.0</v>
      </c>
      <c r="C27" s="1">
        <v>1.0</v>
      </c>
      <c r="D27" s="1">
        <v>0.0</v>
      </c>
      <c r="E27" s="1">
        <v>0.5</v>
      </c>
    </row>
    <row r="28">
      <c r="A28" s="1" t="s">
        <v>44</v>
      </c>
      <c r="B28" s="1">
        <v>192.0</v>
      </c>
      <c r="C28" s="1">
        <v>1.0</v>
      </c>
      <c r="D28" s="1">
        <v>0.0</v>
      </c>
      <c r="E28" s="1">
        <v>0.5</v>
      </c>
    </row>
    <row r="29">
      <c r="A29" s="1" t="s">
        <v>50</v>
      </c>
      <c r="B29" s="1">
        <v>192.0</v>
      </c>
      <c r="C29" s="1">
        <v>2.0</v>
      </c>
      <c r="D29" s="1">
        <v>1.0</v>
      </c>
      <c r="E29" s="1">
        <v>0.5</v>
      </c>
    </row>
    <row r="30">
      <c r="A30" s="1" t="s">
        <v>16</v>
      </c>
      <c r="B30" s="1">
        <v>96.0</v>
      </c>
      <c r="C30" s="1">
        <v>1.0</v>
      </c>
      <c r="D30" s="1">
        <v>1.0</v>
      </c>
      <c r="E30" s="1">
        <v>0.0</v>
      </c>
    </row>
    <row r="31">
      <c r="A31" s="1" t="s">
        <v>45</v>
      </c>
      <c r="B31" s="1">
        <v>192.0</v>
      </c>
      <c r="C31" s="1">
        <v>0.0</v>
      </c>
      <c r="D31" s="1">
        <v>0.0</v>
      </c>
      <c r="E31" s="1">
        <v>0.0</v>
      </c>
    </row>
    <row r="32">
      <c r="A32" s="1" t="s">
        <v>40</v>
      </c>
      <c r="B32" s="1">
        <v>144.0</v>
      </c>
      <c r="C32" s="1">
        <v>0.0</v>
      </c>
      <c r="D32" s="1">
        <v>0.0</v>
      </c>
      <c r="E32" s="1">
        <v>0.0</v>
      </c>
    </row>
    <row r="33">
      <c r="A33" s="1" t="s">
        <v>32</v>
      </c>
      <c r="B33" s="1">
        <v>96.0</v>
      </c>
      <c r="C33" s="1">
        <v>0.0</v>
      </c>
      <c r="D33" s="1">
        <v>0.0</v>
      </c>
      <c r="E33" s="1">
        <v>0.0</v>
      </c>
    </row>
    <row r="34">
      <c r="A34" s="1" t="s">
        <v>29</v>
      </c>
      <c r="B34" s="1">
        <v>96.0</v>
      </c>
      <c r="C34" s="1">
        <v>0.0</v>
      </c>
      <c r="D34" s="1">
        <v>0.0</v>
      </c>
      <c r="E34" s="1">
        <v>0.0</v>
      </c>
    </row>
    <row r="35">
      <c r="A35" s="1" t="s">
        <v>38</v>
      </c>
      <c r="B35" s="1">
        <v>144.0</v>
      </c>
      <c r="C35" s="1">
        <v>0.0</v>
      </c>
      <c r="D35" s="1">
        <v>0.0</v>
      </c>
      <c r="E35" s="1">
        <v>0.0</v>
      </c>
    </row>
    <row r="36">
      <c r="A36" s="1" t="s">
        <v>17</v>
      </c>
      <c r="B36" s="1">
        <v>96.0</v>
      </c>
      <c r="C36" s="1">
        <v>0.0</v>
      </c>
      <c r="D36" s="1">
        <v>0.0</v>
      </c>
      <c r="E36" s="1">
        <v>0.0</v>
      </c>
    </row>
    <row r="37">
      <c r="A37" s="1" t="s">
        <v>14</v>
      </c>
      <c r="B37" s="1">
        <v>96.0</v>
      </c>
      <c r="C37" s="1">
        <v>0.0</v>
      </c>
      <c r="D37" s="1">
        <v>0.0</v>
      </c>
      <c r="E37" s="1">
        <v>0.0</v>
      </c>
    </row>
    <row r="38">
      <c r="A38" s="1" t="s">
        <v>15</v>
      </c>
      <c r="B38" s="1">
        <v>96.0</v>
      </c>
      <c r="C38" s="1">
        <v>0.0</v>
      </c>
      <c r="D38" s="1">
        <v>0.0</v>
      </c>
      <c r="E38" s="1">
        <v>0.0</v>
      </c>
    </row>
    <row r="39">
      <c r="A39" s="1" t="s">
        <v>20</v>
      </c>
      <c r="B39" s="1">
        <v>96.0</v>
      </c>
      <c r="C39" s="1">
        <v>0.0</v>
      </c>
      <c r="D39" s="1">
        <v>0.0</v>
      </c>
      <c r="E39" s="1">
        <v>0.0</v>
      </c>
    </row>
    <row r="40">
      <c r="A40" s="1" t="s">
        <v>39</v>
      </c>
      <c r="B40" s="1">
        <v>144.0</v>
      </c>
      <c r="C40" s="1">
        <v>0.0</v>
      </c>
      <c r="D40" s="1">
        <v>0.0</v>
      </c>
      <c r="E40" s="1">
        <v>0.0</v>
      </c>
    </row>
    <row r="41">
      <c r="A41" s="1" t="s">
        <v>18</v>
      </c>
      <c r="B41" s="1">
        <v>96.0</v>
      </c>
      <c r="C41" s="1">
        <v>0.0</v>
      </c>
      <c r="D41" s="1">
        <v>0.0</v>
      </c>
      <c r="E41" s="1">
        <v>0.0</v>
      </c>
    </row>
    <row r="42">
      <c r="A42" s="1" t="s">
        <v>28</v>
      </c>
      <c r="B42" s="1">
        <v>72.0</v>
      </c>
      <c r="C42" s="1">
        <v>0.0</v>
      </c>
      <c r="D42" s="1">
        <v>0.0</v>
      </c>
      <c r="E42" s="1">
        <v>0.0</v>
      </c>
    </row>
    <row r="43">
      <c r="A43" s="1" t="s">
        <v>51</v>
      </c>
      <c r="B43" s="1">
        <v>192.0</v>
      </c>
      <c r="C43" s="1">
        <v>1.0</v>
      </c>
      <c r="D43" s="1">
        <v>2.0</v>
      </c>
      <c r="E43" s="1">
        <v>-0.5</v>
      </c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tr">
        <f t="array" ref="A1:A1000">sort(Stats!A1:A1000,Stats!O1:O1000,false)</f>
        <v>Overall</v>
      </c>
      <c r="B1" s="18" t="str">
        <f t="array" ref="B1:B1000">sort(Stats!D1:D1000,Stats!O1:O1000,false)</f>
        <v>TUH</v>
      </c>
      <c r="C1" s="1" t="str">
        <f t="array" ref="C1:E1000">sort(Stats!M1:O1000,Stats!O1:O1000,false)</f>
        <v>M TU</v>
      </c>
      <c r="D1" s="1" t="s">
        <v>72</v>
      </c>
      <c r="E1" s="1" t="s">
        <v>73</v>
      </c>
    </row>
    <row r="2">
      <c r="A2" s="1" t="s">
        <v>51</v>
      </c>
      <c r="B2" s="1">
        <v>192.0</v>
      </c>
      <c r="C2" s="1">
        <v>16.0</v>
      </c>
      <c r="D2" s="1">
        <v>1.0</v>
      </c>
      <c r="E2" s="1">
        <v>7.5</v>
      </c>
    </row>
    <row r="3">
      <c r="A3" s="1" t="s">
        <v>48</v>
      </c>
      <c r="B3" s="1">
        <v>168.0</v>
      </c>
      <c r="C3" s="1">
        <v>7.0</v>
      </c>
      <c r="D3" s="1">
        <v>0.0</v>
      </c>
      <c r="E3" s="1">
        <v>4.0</v>
      </c>
    </row>
    <row r="4">
      <c r="A4" s="1" t="s">
        <v>21</v>
      </c>
      <c r="B4" s="1">
        <v>216.0</v>
      </c>
      <c r="C4" s="19">
        <v>7.0</v>
      </c>
      <c r="D4" s="19">
        <v>0.0</v>
      </c>
      <c r="E4" s="19">
        <v>3.111111111111111</v>
      </c>
    </row>
    <row r="5">
      <c r="A5" s="1" t="s">
        <v>16</v>
      </c>
      <c r="B5" s="1">
        <v>96.0</v>
      </c>
      <c r="C5" s="1">
        <v>3.0</v>
      </c>
      <c r="D5" s="1">
        <v>0.0</v>
      </c>
      <c r="E5" s="1">
        <v>3.0</v>
      </c>
    </row>
    <row r="6">
      <c r="A6" s="1" t="s">
        <v>19</v>
      </c>
      <c r="B6" s="1">
        <v>192.0</v>
      </c>
      <c r="C6" s="1">
        <v>6.0</v>
      </c>
      <c r="D6" s="1">
        <v>0.0</v>
      </c>
      <c r="E6" s="1">
        <v>3.0</v>
      </c>
    </row>
    <row r="7">
      <c r="A7" s="1" t="s">
        <v>29</v>
      </c>
      <c r="B7" s="1">
        <v>96.0</v>
      </c>
      <c r="C7" s="1">
        <v>3.0</v>
      </c>
      <c r="D7" s="1">
        <v>0.0</v>
      </c>
      <c r="E7" s="1">
        <v>3.0</v>
      </c>
    </row>
    <row r="8">
      <c r="A8" s="1" t="s">
        <v>26</v>
      </c>
      <c r="B8" s="1">
        <v>168.0</v>
      </c>
      <c r="C8" s="19">
        <v>5.0</v>
      </c>
      <c r="D8" s="19">
        <v>0.0</v>
      </c>
      <c r="E8" s="19">
        <v>2.857142857142857</v>
      </c>
    </row>
    <row r="9">
      <c r="A9" s="1" t="s">
        <v>43</v>
      </c>
      <c r="B9" s="1">
        <v>192.0</v>
      </c>
      <c r="C9" s="1">
        <v>5.0</v>
      </c>
      <c r="D9" s="1">
        <v>0.0</v>
      </c>
      <c r="E9" s="1">
        <v>2.5</v>
      </c>
    </row>
    <row r="10">
      <c r="A10" s="1" t="s">
        <v>45</v>
      </c>
      <c r="B10" s="1">
        <v>192.0</v>
      </c>
      <c r="C10" s="1">
        <v>5.0</v>
      </c>
      <c r="D10" s="1">
        <v>0.0</v>
      </c>
      <c r="E10" s="1">
        <v>2.5</v>
      </c>
    </row>
    <row r="11">
      <c r="A11" s="1" t="s">
        <v>30</v>
      </c>
      <c r="B11" s="1">
        <v>96.0</v>
      </c>
      <c r="C11" s="1">
        <v>2.0</v>
      </c>
      <c r="D11" s="1">
        <v>0.0</v>
      </c>
      <c r="E11" s="1">
        <v>2.0</v>
      </c>
    </row>
    <row r="12">
      <c r="A12" s="1" t="s">
        <v>50</v>
      </c>
      <c r="B12" s="1">
        <v>192.0</v>
      </c>
      <c r="C12" s="1">
        <v>4.0</v>
      </c>
      <c r="D12" s="1">
        <v>0.0</v>
      </c>
      <c r="E12" s="1">
        <v>2.0</v>
      </c>
    </row>
    <row r="13">
      <c r="A13" s="1" t="s">
        <v>36</v>
      </c>
      <c r="B13" s="1">
        <v>240.0</v>
      </c>
      <c r="C13" s="1">
        <v>5.0</v>
      </c>
      <c r="D13" s="1">
        <v>0.0</v>
      </c>
      <c r="E13" s="1">
        <v>2.0</v>
      </c>
    </row>
    <row r="14">
      <c r="A14" s="1" t="s">
        <v>15</v>
      </c>
      <c r="B14" s="1">
        <v>96.0</v>
      </c>
      <c r="C14" s="1">
        <v>2.0</v>
      </c>
      <c r="D14" s="1">
        <v>0.0</v>
      </c>
      <c r="E14" s="1">
        <v>2.0</v>
      </c>
    </row>
    <row r="15">
      <c r="A15" s="1" t="s">
        <v>40</v>
      </c>
      <c r="B15" s="1">
        <v>144.0</v>
      </c>
      <c r="C15" s="1">
        <v>2.0</v>
      </c>
      <c r="D15" s="1">
        <v>0.0</v>
      </c>
      <c r="E15" s="19">
        <v>1.3333333333333333</v>
      </c>
    </row>
    <row r="16">
      <c r="A16" s="1" t="s">
        <v>35</v>
      </c>
      <c r="B16" s="1">
        <v>240.0</v>
      </c>
      <c r="C16" s="1">
        <v>4.0</v>
      </c>
      <c r="D16" s="1">
        <v>1.0</v>
      </c>
      <c r="E16" s="1">
        <v>1.2</v>
      </c>
    </row>
    <row r="17">
      <c r="A17" s="1" t="s">
        <v>49</v>
      </c>
      <c r="B17" s="1">
        <v>168.0</v>
      </c>
      <c r="C17" s="19">
        <v>2.0</v>
      </c>
      <c r="D17" s="19">
        <v>0.0</v>
      </c>
      <c r="E17" s="19">
        <v>1.1428571428571428</v>
      </c>
    </row>
    <row r="18">
      <c r="A18" s="1" t="s">
        <v>25</v>
      </c>
      <c r="B18" s="1">
        <v>168.0</v>
      </c>
      <c r="C18" s="19">
        <v>2.0</v>
      </c>
      <c r="D18" s="19">
        <v>0.0</v>
      </c>
      <c r="E18" s="19">
        <v>1.1428571428571428</v>
      </c>
    </row>
    <row r="19">
      <c r="A19" s="1" t="s">
        <v>22</v>
      </c>
      <c r="B19" s="1">
        <v>192.0</v>
      </c>
      <c r="C19" s="1">
        <v>2.0</v>
      </c>
      <c r="D19" s="1">
        <v>0.0</v>
      </c>
      <c r="E19" s="1">
        <v>1.0</v>
      </c>
    </row>
    <row r="20">
      <c r="A20" s="1" t="s">
        <v>13</v>
      </c>
      <c r="B20" s="1">
        <v>144.0</v>
      </c>
      <c r="C20" s="19">
        <v>1.0</v>
      </c>
      <c r="D20" s="19">
        <v>0.0</v>
      </c>
      <c r="E20" s="19">
        <v>0.6666666666666666</v>
      </c>
    </row>
    <row r="21">
      <c r="A21" s="1" t="s">
        <v>42</v>
      </c>
      <c r="B21" s="1">
        <v>144.0</v>
      </c>
      <c r="C21" s="19">
        <v>1.0</v>
      </c>
      <c r="D21" s="19">
        <v>0.0</v>
      </c>
      <c r="E21" s="19">
        <v>0.6666666666666666</v>
      </c>
    </row>
    <row r="22">
      <c r="A22" s="1" t="s">
        <v>41</v>
      </c>
      <c r="B22" s="1">
        <v>144.0</v>
      </c>
      <c r="C22" s="19">
        <v>1.0</v>
      </c>
      <c r="D22" s="19">
        <v>0.0</v>
      </c>
      <c r="E22" s="19">
        <v>0.6666666666666666</v>
      </c>
    </row>
    <row r="23">
      <c r="A23" s="1" t="s">
        <v>38</v>
      </c>
      <c r="B23" s="1">
        <v>144.0</v>
      </c>
      <c r="C23" s="1">
        <v>2.0</v>
      </c>
      <c r="D23" s="1">
        <v>1.0</v>
      </c>
      <c r="E23" s="19">
        <v>0.6666666666666666</v>
      </c>
    </row>
    <row r="24">
      <c r="A24" s="1" t="s">
        <v>33</v>
      </c>
      <c r="B24" s="1">
        <v>240.0</v>
      </c>
      <c r="C24" s="1">
        <v>1.0</v>
      </c>
      <c r="D24" s="1">
        <v>0.0</v>
      </c>
      <c r="E24" s="1">
        <v>0.4</v>
      </c>
    </row>
    <row r="25">
      <c r="A25" s="1" t="s">
        <v>52</v>
      </c>
      <c r="B25" s="1">
        <v>192.0</v>
      </c>
      <c r="C25" s="1">
        <v>1.0</v>
      </c>
      <c r="D25" s="1">
        <v>1.0</v>
      </c>
      <c r="E25" s="1">
        <v>0.0</v>
      </c>
    </row>
    <row r="26">
      <c r="A26" s="1" t="s">
        <v>12</v>
      </c>
      <c r="B26" s="1">
        <v>168.0</v>
      </c>
      <c r="C26" s="1">
        <v>0.0</v>
      </c>
      <c r="D26" s="1">
        <v>0.0</v>
      </c>
      <c r="E26" s="1">
        <v>0.0</v>
      </c>
    </row>
    <row r="27">
      <c r="A27" s="1" t="s">
        <v>34</v>
      </c>
      <c r="B27" s="1">
        <v>240.0</v>
      </c>
      <c r="C27" s="1">
        <v>0.0</v>
      </c>
      <c r="D27" s="1">
        <v>0.0</v>
      </c>
      <c r="E27" s="1">
        <v>0.0</v>
      </c>
    </row>
    <row r="28">
      <c r="A28" s="1" t="s">
        <v>12</v>
      </c>
      <c r="B28" s="1">
        <v>168.0</v>
      </c>
      <c r="C28" s="1">
        <v>0.0</v>
      </c>
      <c r="D28" s="1">
        <v>0.0</v>
      </c>
      <c r="E28" s="1">
        <v>0.0</v>
      </c>
    </row>
    <row r="29">
      <c r="A29" s="1" t="s">
        <v>44</v>
      </c>
      <c r="B29" s="1">
        <v>192.0</v>
      </c>
      <c r="C29" s="1">
        <v>0.0</v>
      </c>
      <c r="D29" s="1">
        <v>0.0</v>
      </c>
      <c r="E29" s="1">
        <v>0.0</v>
      </c>
    </row>
    <row r="30">
      <c r="A30" s="1" t="s">
        <v>21</v>
      </c>
      <c r="B30" s="1">
        <v>168.0</v>
      </c>
      <c r="C30" s="1">
        <v>0.0</v>
      </c>
      <c r="D30" s="1">
        <v>0.0</v>
      </c>
      <c r="E30" s="1">
        <v>0.0</v>
      </c>
    </row>
    <row r="31">
      <c r="A31" s="1" t="s">
        <v>23</v>
      </c>
      <c r="B31" s="1">
        <v>192.0</v>
      </c>
      <c r="C31" s="1">
        <v>0.0</v>
      </c>
      <c r="D31" s="1">
        <v>0.0</v>
      </c>
      <c r="E31" s="1">
        <v>0.0</v>
      </c>
    </row>
    <row r="32">
      <c r="A32" s="1" t="s">
        <v>47</v>
      </c>
      <c r="B32" s="1">
        <v>168.0</v>
      </c>
      <c r="C32" s="1">
        <v>0.0</v>
      </c>
      <c r="D32" s="1">
        <v>0.0</v>
      </c>
      <c r="E32" s="1">
        <v>0.0</v>
      </c>
    </row>
    <row r="33">
      <c r="A33" s="1" t="s">
        <v>24</v>
      </c>
      <c r="B33" s="1">
        <v>168.0</v>
      </c>
      <c r="C33" s="1">
        <v>0.0</v>
      </c>
      <c r="D33" s="1">
        <v>0.0</v>
      </c>
      <c r="E33" s="1">
        <v>0.0</v>
      </c>
    </row>
    <row r="34">
      <c r="A34" s="1" t="s">
        <v>32</v>
      </c>
      <c r="B34" s="1">
        <v>96.0</v>
      </c>
      <c r="C34" s="1">
        <v>0.0</v>
      </c>
      <c r="D34" s="1">
        <v>0.0</v>
      </c>
      <c r="E34" s="1">
        <v>0.0</v>
      </c>
    </row>
    <row r="35">
      <c r="A35" s="1" t="s">
        <v>31</v>
      </c>
      <c r="B35" s="1">
        <v>96.0</v>
      </c>
      <c r="C35" s="1">
        <v>0.0</v>
      </c>
      <c r="D35" s="1">
        <v>0.0</v>
      </c>
      <c r="E35" s="1">
        <v>0.0</v>
      </c>
    </row>
    <row r="36">
      <c r="A36" s="1" t="s">
        <v>17</v>
      </c>
      <c r="B36" s="1">
        <v>96.0</v>
      </c>
      <c r="C36" s="1">
        <v>0.0</v>
      </c>
      <c r="D36" s="1">
        <v>0.0</v>
      </c>
      <c r="E36" s="1">
        <v>0.0</v>
      </c>
    </row>
    <row r="37">
      <c r="A37" s="1" t="s">
        <v>14</v>
      </c>
      <c r="B37" s="1">
        <v>96.0</v>
      </c>
      <c r="C37" s="1">
        <v>0.0</v>
      </c>
      <c r="D37" s="1">
        <v>0.0</v>
      </c>
      <c r="E37" s="1">
        <v>0.0</v>
      </c>
    </row>
    <row r="38">
      <c r="A38" s="1" t="s">
        <v>46</v>
      </c>
      <c r="B38" s="1">
        <v>168.0</v>
      </c>
      <c r="C38" s="1">
        <v>0.0</v>
      </c>
      <c r="D38" s="1">
        <v>0.0</v>
      </c>
      <c r="E38" s="1">
        <v>0.0</v>
      </c>
    </row>
    <row r="39">
      <c r="A39" s="1" t="s">
        <v>20</v>
      </c>
      <c r="B39" s="1">
        <v>96.0</v>
      </c>
      <c r="C39" s="1">
        <v>0.0</v>
      </c>
      <c r="D39" s="1">
        <v>0.0</v>
      </c>
      <c r="E39" s="1">
        <v>0.0</v>
      </c>
    </row>
    <row r="40">
      <c r="A40" s="1" t="s">
        <v>39</v>
      </c>
      <c r="B40" s="1">
        <v>144.0</v>
      </c>
      <c r="C40" s="1">
        <v>0.0</v>
      </c>
      <c r="D40" s="1">
        <v>0.0</v>
      </c>
      <c r="E40" s="1">
        <v>0.0</v>
      </c>
    </row>
    <row r="41">
      <c r="A41" s="1" t="s">
        <v>27</v>
      </c>
      <c r="B41" s="1">
        <v>168.0</v>
      </c>
      <c r="C41" s="1">
        <v>1.0</v>
      </c>
      <c r="D41" s="1">
        <v>1.0</v>
      </c>
      <c r="E41" s="1">
        <v>0.0</v>
      </c>
    </row>
    <row r="42">
      <c r="A42" s="1" t="s">
        <v>18</v>
      </c>
      <c r="B42" s="1">
        <v>96.0</v>
      </c>
      <c r="C42" s="1">
        <v>0.0</v>
      </c>
      <c r="D42" s="1">
        <v>0.0</v>
      </c>
      <c r="E42" s="1">
        <v>0.0</v>
      </c>
    </row>
    <row r="43">
      <c r="A43" s="1" t="s">
        <v>28</v>
      </c>
      <c r="B43" s="1">
        <v>72.0</v>
      </c>
      <c r="C43" s="1">
        <v>0.0</v>
      </c>
      <c r="D43" s="1">
        <v>0.0</v>
      </c>
      <c r="E43" s="1">
        <v>0.0</v>
      </c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tr">
        <f t="array" ref="A1:A1000">sort(Stats!A1:A1000,Stats!R1:R1000,false)</f>
        <v>Overall</v>
      </c>
      <c r="B1" s="18" t="str">
        <f t="array" ref="B1:B1000">sort(Stats!D1:D1000,Stats!R1:R1000,false)</f>
        <v>TUH</v>
      </c>
      <c r="C1" s="1" t="str">
        <f t="array" ref="C1:E1000">sort(Stats!P1:R1000,Stats!R1:R1000,false)</f>
        <v>C TU</v>
      </c>
      <c r="D1" s="1" t="s">
        <v>75</v>
      </c>
      <c r="E1" s="1" t="s">
        <v>76</v>
      </c>
    </row>
    <row r="2">
      <c r="A2" s="1" t="s">
        <v>22</v>
      </c>
      <c r="B2" s="1">
        <v>192.0</v>
      </c>
      <c r="C2" s="1">
        <v>10.0</v>
      </c>
      <c r="D2" s="1">
        <v>0.0</v>
      </c>
      <c r="E2" s="1">
        <v>5.0</v>
      </c>
    </row>
    <row r="3">
      <c r="A3" s="1" t="s">
        <v>43</v>
      </c>
      <c r="B3" s="1">
        <v>192.0</v>
      </c>
      <c r="C3" s="1">
        <v>8.0</v>
      </c>
      <c r="D3" s="1">
        <v>0.0</v>
      </c>
      <c r="E3" s="1">
        <v>4.0</v>
      </c>
    </row>
    <row r="4">
      <c r="A4" s="1" t="s">
        <v>16</v>
      </c>
      <c r="B4" s="1">
        <v>96.0</v>
      </c>
      <c r="C4" s="1">
        <v>5.0</v>
      </c>
      <c r="D4" s="1">
        <v>1.0</v>
      </c>
      <c r="E4" s="1">
        <v>4.0</v>
      </c>
    </row>
    <row r="5">
      <c r="A5" s="1" t="s">
        <v>52</v>
      </c>
      <c r="B5" s="1">
        <v>192.0</v>
      </c>
      <c r="C5" s="1">
        <v>7.0</v>
      </c>
      <c r="D5" s="1">
        <v>0.0</v>
      </c>
      <c r="E5" s="1">
        <v>3.5</v>
      </c>
    </row>
    <row r="6">
      <c r="A6" s="1" t="s">
        <v>49</v>
      </c>
      <c r="B6" s="1">
        <v>168.0</v>
      </c>
      <c r="C6" s="19">
        <v>6.0</v>
      </c>
      <c r="D6" s="19">
        <v>0.0</v>
      </c>
      <c r="E6" s="19">
        <v>3.4285714285714284</v>
      </c>
    </row>
    <row r="7">
      <c r="A7" s="1" t="s">
        <v>40</v>
      </c>
      <c r="B7" s="1">
        <v>144.0</v>
      </c>
      <c r="C7" s="19">
        <v>5.0</v>
      </c>
      <c r="D7" s="19">
        <v>0.0</v>
      </c>
      <c r="E7" s="19">
        <v>3.3333333333333335</v>
      </c>
    </row>
    <row r="8">
      <c r="A8" s="1" t="s">
        <v>21</v>
      </c>
      <c r="B8" s="1">
        <v>168.0</v>
      </c>
      <c r="C8" s="1">
        <v>5.0</v>
      </c>
      <c r="D8" s="1">
        <v>0.0</v>
      </c>
      <c r="E8" s="19">
        <v>2.857142857142857</v>
      </c>
    </row>
    <row r="9">
      <c r="A9" s="1" t="s">
        <v>48</v>
      </c>
      <c r="B9" s="1">
        <v>168.0</v>
      </c>
      <c r="C9" s="1">
        <v>3.0</v>
      </c>
      <c r="D9" s="1">
        <v>0.0</v>
      </c>
      <c r="E9" s="19">
        <v>1.7142857142857142</v>
      </c>
    </row>
    <row r="10">
      <c r="A10" s="1" t="s">
        <v>12</v>
      </c>
      <c r="B10" s="1">
        <v>168.0</v>
      </c>
      <c r="C10" s="1">
        <v>3.0</v>
      </c>
      <c r="D10" s="1">
        <v>0.0</v>
      </c>
      <c r="E10" s="19">
        <v>1.7142857142857142</v>
      </c>
    </row>
    <row r="11">
      <c r="A11" s="1" t="s">
        <v>12</v>
      </c>
      <c r="B11" s="1">
        <v>168.0</v>
      </c>
      <c r="C11" s="1">
        <v>3.0</v>
      </c>
      <c r="D11" s="1">
        <v>0.0</v>
      </c>
      <c r="E11" s="19">
        <v>1.7142857142857142</v>
      </c>
    </row>
    <row r="12">
      <c r="A12" s="1" t="s">
        <v>13</v>
      </c>
      <c r="B12" s="1">
        <v>144.0</v>
      </c>
      <c r="C12" s="19">
        <v>2.0</v>
      </c>
      <c r="D12" s="19">
        <v>0.0</v>
      </c>
      <c r="E12" s="19">
        <v>1.3333333333333333</v>
      </c>
    </row>
    <row r="13">
      <c r="A13" s="1" t="s">
        <v>42</v>
      </c>
      <c r="B13" s="1">
        <v>144.0</v>
      </c>
      <c r="C13" s="19">
        <v>2.0</v>
      </c>
      <c r="D13" s="19">
        <v>0.0</v>
      </c>
      <c r="E13" s="19">
        <v>1.3333333333333333</v>
      </c>
    </row>
    <row r="14">
      <c r="A14" s="1" t="s">
        <v>35</v>
      </c>
      <c r="B14" s="1">
        <v>240.0</v>
      </c>
      <c r="C14" s="1">
        <v>3.0</v>
      </c>
      <c r="D14" s="1">
        <v>0.0</v>
      </c>
      <c r="E14" s="1">
        <v>1.2</v>
      </c>
    </row>
    <row r="15">
      <c r="A15" s="1" t="s">
        <v>33</v>
      </c>
      <c r="B15" s="1">
        <v>240.0</v>
      </c>
      <c r="C15" s="1">
        <v>3.0</v>
      </c>
      <c r="D15" s="1">
        <v>0.0</v>
      </c>
      <c r="E15" s="1">
        <v>1.2</v>
      </c>
    </row>
    <row r="16">
      <c r="A16" s="1" t="s">
        <v>26</v>
      </c>
      <c r="B16" s="1">
        <v>168.0</v>
      </c>
      <c r="C16" s="19">
        <v>2.0</v>
      </c>
      <c r="D16" s="19">
        <v>0.0</v>
      </c>
      <c r="E16" s="19">
        <v>1.1428571428571428</v>
      </c>
    </row>
    <row r="17">
      <c r="A17" s="1" t="s">
        <v>30</v>
      </c>
      <c r="B17" s="1">
        <v>96.0</v>
      </c>
      <c r="C17" s="1">
        <v>2.0</v>
      </c>
      <c r="D17" s="1">
        <v>1.0</v>
      </c>
      <c r="E17" s="1">
        <v>1.0</v>
      </c>
    </row>
    <row r="18">
      <c r="A18" s="1" t="s">
        <v>14</v>
      </c>
      <c r="B18" s="1">
        <v>96.0</v>
      </c>
      <c r="C18" s="1">
        <v>1.0</v>
      </c>
      <c r="D18" s="1">
        <v>0.0</v>
      </c>
      <c r="E18" s="1">
        <v>1.0</v>
      </c>
    </row>
    <row r="19">
      <c r="A19" s="1" t="s">
        <v>20</v>
      </c>
      <c r="B19" s="1">
        <v>96.0</v>
      </c>
      <c r="C19" s="1">
        <v>1.0</v>
      </c>
      <c r="D19" s="1">
        <v>0.0</v>
      </c>
      <c r="E19" s="1">
        <v>1.0</v>
      </c>
    </row>
    <row r="20">
      <c r="A20" s="1" t="s">
        <v>21</v>
      </c>
      <c r="B20" s="1">
        <v>216.0</v>
      </c>
      <c r="C20" s="19">
        <v>2.0</v>
      </c>
      <c r="D20" s="19">
        <v>0.0</v>
      </c>
      <c r="E20" s="19">
        <v>0.8888888888888888</v>
      </c>
    </row>
    <row r="21">
      <c r="A21" s="1" t="s">
        <v>25</v>
      </c>
      <c r="B21" s="1">
        <v>168.0</v>
      </c>
      <c r="C21" s="19">
        <v>1.0</v>
      </c>
      <c r="D21" s="19">
        <v>0.0</v>
      </c>
      <c r="E21" s="19">
        <v>0.5714285714285714</v>
      </c>
    </row>
    <row r="22">
      <c r="A22" s="1" t="s">
        <v>51</v>
      </c>
      <c r="B22" s="1">
        <v>192.0</v>
      </c>
      <c r="C22" s="1">
        <v>1.0</v>
      </c>
      <c r="D22" s="1">
        <v>0.0</v>
      </c>
      <c r="E22" s="1">
        <v>0.5</v>
      </c>
    </row>
    <row r="23">
      <c r="A23" s="1" t="s">
        <v>44</v>
      </c>
      <c r="B23" s="1">
        <v>192.0</v>
      </c>
      <c r="C23" s="1">
        <v>1.0</v>
      </c>
      <c r="D23" s="1">
        <v>0.0</v>
      </c>
      <c r="E23" s="1">
        <v>0.5</v>
      </c>
    </row>
    <row r="24">
      <c r="A24" s="1" t="s">
        <v>36</v>
      </c>
      <c r="B24" s="1">
        <v>240.0</v>
      </c>
      <c r="C24" s="1">
        <v>1.0</v>
      </c>
      <c r="D24" s="1">
        <v>0.0</v>
      </c>
      <c r="E24" s="1">
        <v>0.4</v>
      </c>
    </row>
    <row r="25">
      <c r="A25" s="1" t="s">
        <v>34</v>
      </c>
      <c r="B25" s="1">
        <v>240.0</v>
      </c>
      <c r="C25" s="1">
        <v>0.0</v>
      </c>
      <c r="D25" s="1">
        <v>0.0</v>
      </c>
      <c r="E25" s="1">
        <v>0.0</v>
      </c>
    </row>
    <row r="26">
      <c r="A26" s="1" t="s">
        <v>45</v>
      </c>
      <c r="B26" s="1">
        <v>192.0</v>
      </c>
      <c r="C26" s="1">
        <v>0.0</v>
      </c>
      <c r="D26" s="1">
        <v>0.0</v>
      </c>
      <c r="E26" s="1">
        <v>0.0</v>
      </c>
    </row>
    <row r="27">
      <c r="A27" s="1" t="s">
        <v>19</v>
      </c>
      <c r="B27" s="1">
        <v>192.0</v>
      </c>
      <c r="C27" s="1">
        <v>0.0</v>
      </c>
      <c r="D27" s="1">
        <v>0.0</v>
      </c>
      <c r="E27" s="1">
        <v>0.0</v>
      </c>
    </row>
    <row r="28">
      <c r="A28" s="1" t="s">
        <v>23</v>
      </c>
      <c r="B28" s="1">
        <v>192.0</v>
      </c>
      <c r="C28" s="1">
        <v>0.0</v>
      </c>
      <c r="D28" s="1">
        <v>0.0</v>
      </c>
      <c r="E28" s="1">
        <v>0.0</v>
      </c>
    </row>
    <row r="29">
      <c r="A29" s="1" t="s">
        <v>50</v>
      </c>
      <c r="B29" s="1">
        <v>192.0</v>
      </c>
      <c r="C29" s="1">
        <v>0.0</v>
      </c>
      <c r="D29" s="1">
        <v>0.0</v>
      </c>
      <c r="E29" s="1">
        <v>0.0</v>
      </c>
    </row>
    <row r="30">
      <c r="A30" s="1" t="s">
        <v>47</v>
      </c>
      <c r="B30" s="1">
        <v>168.0</v>
      </c>
      <c r="C30" s="1">
        <v>0.0</v>
      </c>
      <c r="D30" s="1">
        <v>0.0</v>
      </c>
      <c r="E30" s="1">
        <v>0.0</v>
      </c>
    </row>
    <row r="31">
      <c r="A31" s="1" t="s">
        <v>24</v>
      </c>
      <c r="B31" s="1">
        <v>168.0</v>
      </c>
      <c r="C31" s="1">
        <v>0.0</v>
      </c>
      <c r="D31" s="1">
        <v>0.0</v>
      </c>
      <c r="E31" s="1">
        <v>0.0</v>
      </c>
    </row>
    <row r="32">
      <c r="A32" s="1" t="s">
        <v>32</v>
      </c>
      <c r="B32" s="1">
        <v>96.0</v>
      </c>
      <c r="C32" s="1">
        <v>0.0</v>
      </c>
      <c r="D32" s="1">
        <v>0.0</v>
      </c>
      <c r="E32" s="1">
        <v>0.0</v>
      </c>
    </row>
    <row r="33">
      <c r="A33" s="1" t="s">
        <v>29</v>
      </c>
      <c r="B33" s="1">
        <v>96.0</v>
      </c>
      <c r="C33" s="1">
        <v>0.0</v>
      </c>
      <c r="D33" s="1">
        <v>0.0</v>
      </c>
      <c r="E33" s="1">
        <v>0.0</v>
      </c>
    </row>
    <row r="34">
      <c r="A34" s="1" t="s">
        <v>41</v>
      </c>
      <c r="B34" s="1">
        <v>144.0</v>
      </c>
      <c r="C34" s="1">
        <v>0.0</v>
      </c>
      <c r="D34" s="1">
        <v>0.0</v>
      </c>
      <c r="E34" s="1">
        <v>0.0</v>
      </c>
    </row>
    <row r="35">
      <c r="A35" s="1" t="s">
        <v>31</v>
      </c>
      <c r="B35" s="1">
        <v>96.0</v>
      </c>
      <c r="C35" s="1">
        <v>0.0</v>
      </c>
      <c r="D35" s="1">
        <v>0.0</v>
      </c>
      <c r="E35" s="1">
        <v>0.0</v>
      </c>
    </row>
    <row r="36">
      <c r="A36" s="1" t="s">
        <v>38</v>
      </c>
      <c r="B36" s="1">
        <v>144.0</v>
      </c>
      <c r="C36" s="1">
        <v>0.0</v>
      </c>
      <c r="D36" s="1">
        <v>0.0</v>
      </c>
      <c r="E36" s="1">
        <v>0.0</v>
      </c>
    </row>
    <row r="37">
      <c r="A37" s="1" t="s">
        <v>17</v>
      </c>
      <c r="B37" s="1">
        <v>96.0</v>
      </c>
      <c r="C37" s="1">
        <v>0.0</v>
      </c>
      <c r="D37" s="1">
        <v>0.0</v>
      </c>
      <c r="E37" s="1">
        <v>0.0</v>
      </c>
    </row>
    <row r="38">
      <c r="A38" s="1" t="s">
        <v>15</v>
      </c>
      <c r="B38" s="1">
        <v>96.0</v>
      </c>
      <c r="C38" s="1">
        <v>0.0</v>
      </c>
      <c r="D38" s="1">
        <v>0.0</v>
      </c>
      <c r="E38" s="1">
        <v>0.0</v>
      </c>
    </row>
    <row r="39">
      <c r="A39" s="1" t="s">
        <v>46</v>
      </c>
      <c r="B39" s="1">
        <v>168.0</v>
      </c>
      <c r="C39" s="1">
        <v>0.0</v>
      </c>
      <c r="D39" s="1">
        <v>0.0</v>
      </c>
      <c r="E39" s="1">
        <v>0.0</v>
      </c>
    </row>
    <row r="40">
      <c r="A40" s="1" t="s">
        <v>39</v>
      </c>
      <c r="B40" s="1">
        <v>144.0</v>
      </c>
      <c r="C40" s="1">
        <v>0.0</v>
      </c>
      <c r="D40" s="1">
        <v>0.0</v>
      </c>
      <c r="E40" s="1">
        <v>0.0</v>
      </c>
    </row>
    <row r="41">
      <c r="A41" s="1" t="s">
        <v>27</v>
      </c>
      <c r="B41" s="1">
        <v>168.0</v>
      </c>
      <c r="C41" s="1">
        <v>0.0</v>
      </c>
      <c r="D41" s="1">
        <v>0.0</v>
      </c>
      <c r="E41" s="1">
        <v>0.0</v>
      </c>
    </row>
    <row r="42">
      <c r="A42" s="1" t="s">
        <v>18</v>
      </c>
      <c r="B42" s="1">
        <v>96.0</v>
      </c>
      <c r="C42" s="1">
        <v>0.0</v>
      </c>
      <c r="D42" s="1">
        <v>0.0</v>
      </c>
      <c r="E42" s="1">
        <v>0.0</v>
      </c>
    </row>
    <row r="43">
      <c r="A43" s="1" t="s">
        <v>28</v>
      </c>
      <c r="B43" s="1">
        <v>72.0</v>
      </c>
      <c r="C43" s="1">
        <v>0.0</v>
      </c>
      <c r="D43" s="1">
        <v>0.0</v>
      </c>
      <c r="E43" s="1">
        <v>0.0</v>
      </c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tr">
        <f t="array" ref="A1:A1000">sort(Stats!A1:A1000,Stats!U1:U1000,false)</f>
        <v>Overall</v>
      </c>
      <c r="B1" s="18" t="str">
        <f t="array" ref="B1:B1000">sort(Stats!D1:D1000,Stats!U1:U1000,false)</f>
        <v>TUH</v>
      </c>
      <c r="C1" s="1" t="str">
        <f t="array" ref="C1:E1000">sort(Stats!S1:U1000,Stats!U1:U1000,false)</f>
        <v>E TU</v>
      </c>
      <c r="D1" s="1" t="s">
        <v>78</v>
      </c>
      <c r="E1" s="1" t="s">
        <v>79</v>
      </c>
    </row>
    <row r="2">
      <c r="A2" s="1" t="s">
        <v>52</v>
      </c>
      <c r="B2" s="1">
        <v>192.0</v>
      </c>
      <c r="C2" s="1">
        <v>13.0</v>
      </c>
      <c r="D2" s="1">
        <v>0.0</v>
      </c>
      <c r="E2" s="1">
        <v>6.5</v>
      </c>
    </row>
    <row r="3">
      <c r="A3" s="1" t="s">
        <v>34</v>
      </c>
      <c r="B3" s="1">
        <v>240.0</v>
      </c>
      <c r="C3" s="1">
        <v>13.0</v>
      </c>
      <c r="D3" s="1">
        <v>0.0</v>
      </c>
      <c r="E3" s="1">
        <v>5.2</v>
      </c>
    </row>
    <row r="4">
      <c r="A4" s="1" t="s">
        <v>44</v>
      </c>
      <c r="B4" s="1">
        <v>192.0</v>
      </c>
      <c r="C4" s="1">
        <v>8.0</v>
      </c>
      <c r="D4" s="1">
        <v>1.0</v>
      </c>
      <c r="E4" s="1">
        <v>3.5</v>
      </c>
    </row>
    <row r="5">
      <c r="A5" s="1" t="s">
        <v>48</v>
      </c>
      <c r="B5" s="1">
        <v>168.0</v>
      </c>
      <c r="C5" s="19">
        <v>6.0</v>
      </c>
      <c r="D5" s="19">
        <v>0.0</v>
      </c>
      <c r="E5" s="19">
        <v>3.4285714285714284</v>
      </c>
    </row>
    <row r="6">
      <c r="A6" s="1" t="s">
        <v>23</v>
      </c>
      <c r="B6" s="1">
        <v>192.0</v>
      </c>
      <c r="C6" s="1">
        <v>5.0</v>
      </c>
      <c r="D6" s="1">
        <v>0.0</v>
      </c>
      <c r="E6" s="1">
        <v>2.5</v>
      </c>
    </row>
    <row r="7">
      <c r="A7" s="1" t="s">
        <v>32</v>
      </c>
      <c r="B7" s="1">
        <v>96.0</v>
      </c>
      <c r="C7" s="1">
        <v>2.0</v>
      </c>
      <c r="D7" s="1">
        <v>0.0</v>
      </c>
      <c r="E7" s="1">
        <v>2.0</v>
      </c>
    </row>
    <row r="8">
      <c r="A8" s="1" t="s">
        <v>24</v>
      </c>
      <c r="B8" s="1">
        <v>168.0</v>
      </c>
      <c r="C8" s="1">
        <v>4.0</v>
      </c>
      <c r="D8" s="1">
        <v>1.0</v>
      </c>
      <c r="E8" s="19">
        <v>1.7142857142857142</v>
      </c>
    </row>
    <row r="9">
      <c r="A9" s="1" t="s">
        <v>43</v>
      </c>
      <c r="B9" s="1">
        <v>192.0</v>
      </c>
      <c r="C9" s="1">
        <v>3.0</v>
      </c>
      <c r="D9" s="1">
        <v>0.0</v>
      </c>
      <c r="E9" s="1">
        <v>1.5</v>
      </c>
    </row>
    <row r="10">
      <c r="A10" s="1" t="s">
        <v>50</v>
      </c>
      <c r="B10" s="1">
        <v>192.0</v>
      </c>
      <c r="C10" s="1">
        <v>5.0</v>
      </c>
      <c r="D10" s="1">
        <v>2.0</v>
      </c>
      <c r="E10" s="1">
        <v>1.5</v>
      </c>
    </row>
    <row r="11">
      <c r="A11" s="1" t="s">
        <v>12</v>
      </c>
      <c r="B11" s="1">
        <v>168.0</v>
      </c>
      <c r="C11" s="19">
        <v>2.0</v>
      </c>
      <c r="D11" s="19">
        <v>0.0</v>
      </c>
      <c r="E11" s="19">
        <v>1.1428571428571428</v>
      </c>
    </row>
    <row r="12">
      <c r="A12" s="1" t="s">
        <v>49</v>
      </c>
      <c r="B12" s="1">
        <v>168.0</v>
      </c>
      <c r="C12" s="19">
        <v>2.0</v>
      </c>
      <c r="D12" s="19">
        <v>0.0</v>
      </c>
      <c r="E12" s="19">
        <v>1.1428571428571428</v>
      </c>
    </row>
    <row r="13">
      <c r="A13" s="1" t="s">
        <v>25</v>
      </c>
      <c r="B13" s="1">
        <v>168.0</v>
      </c>
      <c r="C13" s="19">
        <v>2.0</v>
      </c>
      <c r="D13" s="19">
        <v>0.0</v>
      </c>
      <c r="E13" s="19">
        <v>1.1428571428571428</v>
      </c>
    </row>
    <row r="14">
      <c r="A14" s="1" t="s">
        <v>16</v>
      </c>
      <c r="B14" s="1">
        <v>96.0</v>
      </c>
      <c r="C14" s="1">
        <v>1.0</v>
      </c>
      <c r="D14" s="1">
        <v>0.0</v>
      </c>
      <c r="E14" s="1">
        <v>1.0</v>
      </c>
    </row>
    <row r="15">
      <c r="A15" s="1" t="s">
        <v>31</v>
      </c>
      <c r="B15" s="1">
        <v>96.0</v>
      </c>
      <c r="C15" s="1">
        <v>1.0</v>
      </c>
      <c r="D15" s="1">
        <v>0.0</v>
      </c>
      <c r="E15" s="1">
        <v>1.0</v>
      </c>
    </row>
    <row r="16">
      <c r="A16" s="1" t="s">
        <v>17</v>
      </c>
      <c r="B16" s="1">
        <v>96.0</v>
      </c>
      <c r="C16" s="1">
        <v>1.0</v>
      </c>
      <c r="D16" s="1">
        <v>0.0</v>
      </c>
      <c r="E16" s="1">
        <v>1.0</v>
      </c>
    </row>
    <row r="17">
      <c r="A17" s="1" t="s">
        <v>21</v>
      </c>
      <c r="B17" s="1">
        <v>216.0</v>
      </c>
      <c r="C17" s="19">
        <v>2.0</v>
      </c>
      <c r="D17" s="19">
        <v>0.0</v>
      </c>
      <c r="E17" s="19">
        <v>0.8888888888888888</v>
      </c>
    </row>
    <row r="18">
      <c r="A18" s="1" t="s">
        <v>35</v>
      </c>
      <c r="B18" s="1">
        <v>240.0</v>
      </c>
      <c r="C18" s="1">
        <v>2.0</v>
      </c>
      <c r="D18" s="1">
        <v>0.0</v>
      </c>
      <c r="E18" s="1">
        <v>0.8</v>
      </c>
    </row>
    <row r="19">
      <c r="A19" s="1" t="s">
        <v>13</v>
      </c>
      <c r="B19" s="1">
        <v>144.0</v>
      </c>
      <c r="C19" s="19">
        <v>1.0</v>
      </c>
      <c r="D19" s="19">
        <v>0.0</v>
      </c>
      <c r="E19" s="19">
        <v>0.6666666666666666</v>
      </c>
    </row>
    <row r="20">
      <c r="A20" s="1" t="s">
        <v>41</v>
      </c>
      <c r="B20" s="1">
        <v>144.0</v>
      </c>
      <c r="C20" s="1">
        <v>1.0</v>
      </c>
      <c r="D20" s="1">
        <v>0.0</v>
      </c>
      <c r="E20" s="19">
        <v>0.6666666666666666</v>
      </c>
    </row>
    <row r="21">
      <c r="A21" s="1" t="s">
        <v>38</v>
      </c>
      <c r="B21" s="1">
        <v>144.0</v>
      </c>
      <c r="C21" s="1">
        <v>1.0</v>
      </c>
      <c r="D21" s="1">
        <v>0.0</v>
      </c>
      <c r="E21" s="19">
        <v>0.6666666666666666</v>
      </c>
    </row>
    <row r="22">
      <c r="A22" s="1" t="s">
        <v>26</v>
      </c>
      <c r="B22" s="1">
        <v>168.0</v>
      </c>
      <c r="C22" s="19">
        <v>1.0</v>
      </c>
      <c r="D22" s="19">
        <v>0.0</v>
      </c>
      <c r="E22" s="19">
        <v>0.5714285714285714</v>
      </c>
    </row>
    <row r="23">
      <c r="A23" s="1" t="s">
        <v>46</v>
      </c>
      <c r="B23" s="1">
        <v>168.0</v>
      </c>
      <c r="C23" s="1">
        <v>1.0</v>
      </c>
      <c r="D23" s="1">
        <v>0.0</v>
      </c>
      <c r="E23" s="19">
        <v>0.5714285714285714</v>
      </c>
    </row>
    <row r="24">
      <c r="A24" s="1" t="s">
        <v>19</v>
      </c>
      <c r="B24" s="1">
        <v>192.0</v>
      </c>
      <c r="C24" s="1">
        <v>1.0</v>
      </c>
      <c r="D24" s="1">
        <v>0.0</v>
      </c>
      <c r="E24" s="1">
        <v>0.5</v>
      </c>
    </row>
    <row r="25">
      <c r="A25" s="1" t="s">
        <v>36</v>
      </c>
      <c r="B25" s="1">
        <v>240.0</v>
      </c>
      <c r="C25" s="1">
        <v>1.0</v>
      </c>
      <c r="D25" s="1">
        <v>0.0</v>
      </c>
      <c r="E25" s="1">
        <v>0.4</v>
      </c>
    </row>
    <row r="26">
      <c r="A26" s="1" t="s">
        <v>22</v>
      </c>
      <c r="B26" s="1">
        <v>192.0</v>
      </c>
      <c r="C26" s="1">
        <v>0.0</v>
      </c>
      <c r="D26" s="1">
        <v>0.0</v>
      </c>
      <c r="E26" s="1">
        <v>0.0</v>
      </c>
    </row>
    <row r="27">
      <c r="A27" s="1" t="s">
        <v>51</v>
      </c>
      <c r="B27" s="1">
        <v>192.0</v>
      </c>
      <c r="C27" s="1">
        <v>0.0</v>
      </c>
      <c r="D27" s="1">
        <v>0.0</v>
      </c>
      <c r="E27" s="1">
        <v>0.0</v>
      </c>
    </row>
    <row r="28">
      <c r="A28" s="1" t="s">
        <v>45</v>
      </c>
      <c r="B28" s="1">
        <v>192.0</v>
      </c>
      <c r="C28" s="1">
        <v>0.0</v>
      </c>
      <c r="D28" s="1">
        <v>0.0</v>
      </c>
      <c r="E28" s="1">
        <v>0.0</v>
      </c>
    </row>
    <row r="29">
      <c r="A29" s="1" t="s">
        <v>12</v>
      </c>
      <c r="B29" s="1">
        <v>168.0</v>
      </c>
      <c r="C29" s="1">
        <v>0.0</v>
      </c>
      <c r="D29" s="1">
        <v>0.0</v>
      </c>
      <c r="E29" s="1">
        <v>0.0</v>
      </c>
    </row>
    <row r="30">
      <c r="A30" s="1" t="s">
        <v>30</v>
      </c>
      <c r="B30" s="1">
        <v>96.0</v>
      </c>
      <c r="C30" s="1">
        <v>0.0</v>
      </c>
      <c r="D30" s="1">
        <v>0.0</v>
      </c>
      <c r="E30" s="1">
        <v>0.0</v>
      </c>
    </row>
    <row r="31">
      <c r="A31" s="1" t="s">
        <v>21</v>
      </c>
      <c r="B31" s="1">
        <v>168.0</v>
      </c>
      <c r="C31" s="1">
        <v>1.0</v>
      </c>
      <c r="D31" s="1">
        <v>1.0</v>
      </c>
      <c r="E31" s="1">
        <v>0.0</v>
      </c>
    </row>
    <row r="32">
      <c r="A32" s="1" t="s">
        <v>33</v>
      </c>
      <c r="B32" s="1">
        <v>240.0</v>
      </c>
      <c r="C32" s="1">
        <v>0.0</v>
      </c>
      <c r="D32" s="1">
        <v>0.0</v>
      </c>
      <c r="E32" s="1">
        <v>0.0</v>
      </c>
    </row>
    <row r="33">
      <c r="A33" s="1" t="s">
        <v>47</v>
      </c>
      <c r="B33" s="1">
        <v>168.0</v>
      </c>
      <c r="C33" s="1">
        <v>0.0</v>
      </c>
      <c r="D33" s="1">
        <v>0.0</v>
      </c>
      <c r="E33" s="1">
        <v>0.0</v>
      </c>
    </row>
    <row r="34">
      <c r="A34" s="1" t="s">
        <v>40</v>
      </c>
      <c r="B34" s="1">
        <v>144.0</v>
      </c>
      <c r="C34" s="1">
        <v>0.0</v>
      </c>
      <c r="D34" s="1">
        <v>0.0</v>
      </c>
      <c r="E34" s="1">
        <v>0.0</v>
      </c>
    </row>
    <row r="35">
      <c r="A35" s="1" t="s">
        <v>29</v>
      </c>
      <c r="B35" s="1">
        <v>96.0</v>
      </c>
      <c r="C35" s="1">
        <v>0.0</v>
      </c>
      <c r="D35" s="1">
        <v>0.0</v>
      </c>
      <c r="E35" s="1">
        <v>0.0</v>
      </c>
    </row>
    <row r="36">
      <c r="A36" s="1" t="s">
        <v>14</v>
      </c>
      <c r="B36" s="1">
        <v>96.0</v>
      </c>
      <c r="C36" s="1">
        <v>0.0</v>
      </c>
      <c r="D36" s="1">
        <v>0.0</v>
      </c>
      <c r="E36" s="1">
        <v>0.0</v>
      </c>
    </row>
    <row r="37">
      <c r="A37" s="1" t="s">
        <v>15</v>
      </c>
      <c r="B37" s="1">
        <v>96.0</v>
      </c>
      <c r="C37" s="1">
        <v>0.0</v>
      </c>
      <c r="D37" s="1">
        <v>0.0</v>
      </c>
      <c r="E37" s="1">
        <v>0.0</v>
      </c>
    </row>
    <row r="38">
      <c r="A38" s="1" t="s">
        <v>39</v>
      </c>
      <c r="B38" s="1">
        <v>144.0</v>
      </c>
      <c r="C38" s="1">
        <v>0.0</v>
      </c>
      <c r="D38" s="1">
        <v>0.0</v>
      </c>
      <c r="E38" s="1">
        <v>0.0</v>
      </c>
    </row>
    <row r="39">
      <c r="A39" s="1" t="s">
        <v>18</v>
      </c>
      <c r="B39" s="1">
        <v>96.0</v>
      </c>
      <c r="C39" s="1">
        <v>0.0</v>
      </c>
      <c r="D39" s="1">
        <v>0.0</v>
      </c>
      <c r="E39" s="1">
        <v>0.0</v>
      </c>
    </row>
    <row r="40">
      <c r="A40" s="1" t="s">
        <v>28</v>
      </c>
      <c r="B40" s="1">
        <v>72.0</v>
      </c>
      <c r="C40" s="1">
        <v>0.0</v>
      </c>
      <c r="D40" s="1">
        <v>0.0</v>
      </c>
      <c r="E40" s="1">
        <v>0.0</v>
      </c>
    </row>
    <row r="41">
      <c r="A41" s="1" t="s">
        <v>27</v>
      </c>
      <c r="B41" s="1">
        <v>168.0</v>
      </c>
      <c r="C41" s="1">
        <v>0.0</v>
      </c>
      <c r="D41" s="1">
        <v>1.0</v>
      </c>
      <c r="E41" s="19">
        <v>-0.5714285714285714</v>
      </c>
    </row>
    <row r="42">
      <c r="A42" s="1" t="s">
        <v>42</v>
      </c>
      <c r="B42" s="1">
        <v>144.0</v>
      </c>
      <c r="C42" s="19">
        <v>0.0</v>
      </c>
      <c r="D42" s="19">
        <v>1.0</v>
      </c>
      <c r="E42" s="19">
        <v>-0.6666666666666666</v>
      </c>
    </row>
    <row r="43">
      <c r="A43" s="1" t="s">
        <v>20</v>
      </c>
      <c r="B43" s="1">
        <v>96.0</v>
      </c>
      <c r="C43" s="1">
        <v>1.0</v>
      </c>
      <c r="D43" s="1">
        <v>2.0</v>
      </c>
      <c r="E43" s="1">
        <v>-1.0</v>
      </c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tr">
        <f t="array" ref="A1:A1000">sort(Stats!A1:A1000,Stats!X1:X1000,false)</f>
        <v>Overall</v>
      </c>
      <c r="B1" s="18" t="str">
        <f t="array" ref="B1:B1000">sort(Stats!D1:D1000,Stats!X1:X1000,false)</f>
        <v>TUH</v>
      </c>
      <c r="C1" s="1" t="str">
        <f t="array" ref="C1:E1000">sort(Stats!V1:X1000,Stats!X1:X1000,false)</f>
        <v>B TU</v>
      </c>
      <c r="D1" s="1" t="s">
        <v>81</v>
      </c>
      <c r="E1" s="1" t="s">
        <v>82</v>
      </c>
    </row>
    <row r="2">
      <c r="A2" s="1" t="s">
        <v>52</v>
      </c>
      <c r="B2" s="1">
        <v>192.0</v>
      </c>
      <c r="C2" s="1">
        <v>12.0</v>
      </c>
      <c r="D2" s="1">
        <v>4.0</v>
      </c>
      <c r="E2" s="1">
        <v>4.0</v>
      </c>
    </row>
    <row r="3">
      <c r="A3" s="1" t="s">
        <v>12</v>
      </c>
      <c r="B3" s="1">
        <v>168.0</v>
      </c>
      <c r="C3" s="1">
        <v>7.0</v>
      </c>
      <c r="D3" s="1">
        <v>0.0</v>
      </c>
      <c r="E3" s="1">
        <v>4.0</v>
      </c>
    </row>
    <row r="4">
      <c r="A4" s="1" t="s">
        <v>35</v>
      </c>
      <c r="B4" s="1">
        <v>240.0</v>
      </c>
      <c r="C4" s="1">
        <v>10.0</v>
      </c>
      <c r="D4" s="1">
        <v>1.0</v>
      </c>
      <c r="E4" s="1">
        <v>3.6</v>
      </c>
    </row>
    <row r="5">
      <c r="A5" s="1" t="s">
        <v>48</v>
      </c>
      <c r="B5" s="1">
        <v>168.0</v>
      </c>
      <c r="C5" s="19">
        <v>5.0</v>
      </c>
      <c r="D5" s="19">
        <v>0.0</v>
      </c>
      <c r="E5" s="19">
        <v>2.857142857142857</v>
      </c>
    </row>
    <row r="6">
      <c r="A6" s="1" t="s">
        <v>12</v>
      </c>
      <c r="B6" s="1">
        <v>168.0</v>
      </c>
      <c r="C6" s="1">
        <v>4.0</v>
      </c>
      <c r="D6" s="1">
        <v>0.0</v>
      </c>
      <c r="E6" s="19">
        <v>2.2857142857142856</v>
      </c>
    </row>
    <row r="7">
      <c r="A7" s="1" t="s">
        <v>47</v>
      </c>
      <c r="B7" s="1">
        <v>168.0</v>
      </c>
      <c r="C7" s="1">
        <v>4.0</v>
      </c>
      <c r="D7" s="1">
        <v>0.0</v>
      </c>
      <c r="E7" s="19">
        <v>2.2857142857142856</v>
      </c>
    </row>
    <row r="8">
      <c r="A8" s="1" t="s">
        <v>43</v>
      </c>
      <c r="B8" s="1">
        <v>192.0</v>
      </c>
      <c r="C8" s="1">
        <v>4.0</v>
      </c>
      <c r="D8" s="1">
        <v>0.0</v>
      </c>
      <c r="E8" s="1">
        <v>2.0</v>
      </c>
    </row>
    <row r="9">
      <c r="A9" s="1" t="s">
        <v>19</v>
      </c>
      <c r="B9" s="1">
        <v>192.0</v>
      </c>
      <c r="C9" s="1">
        <v>4.0</v>
      </c>
      <c r="D9" s="1">
        <v>0.0</v>
      </c>
      <c r="E9" s="1">
        <v>2.0</v>
      </c>
    </row>
    <row r="10">
      <c r="A10" s="1" t="s">
        <v>33</v>
      </c>
      <c r="B10" s="1">
        <v>240.0</v>
      </c>
      <c r="C10" s="1">
        <v>6.0</v>
      </c>
      <c r="D10" s="1">
        <v>1.0</v>
      </c>
      <c r="E10" s="1">
        <v>2.0</v>
      </c>
    </row>
    <row r="11">
      <c r="A11" s="1" t="s">
        <v>25</v>
      </c>
      <c r="B11" s="1">
        <v>168.0</v>
      </c>
      <c r="C11" s="19">
        <v>3.0</v>
      </c>
      <c r="D11" s="19">
        <v>0.0</v>
      </c>
      <c r="E11" s="19">
        <v>1.7142857142857142</v>
      </c>
    </row>
    <row r="12">
      <c r="A12" s="1" t="s">
        <v>26</v>
      </c>
      <c r="B12" s="1">
        <v>168.0</v>
      </c>
      <c r="C12" s="19">
        <v>2.0</v>
      </c>
      <c r="D12" s="19">
        <v>0.0</v>
      </c>
      <c r="E12" s="19">
        <v>1.1428571428571428</v>
      </c>
    </row>
    <row r="13">
      <c r="A13" s="1" t="s">
        <v>16</v>
      </c>
      <c r="B13" s="1">
        <v>96.0</v>
      </c>
      <c r="C13" s="1">
        <v>2.0</v>
      </c>
      <c r="D13" s="1">
        <v>1.0</v>
      </c>
      <c r="E13" s="1">
        <v>1.0</v>
      </c>
    </row>
    <row r="14">
      <c r="A14" s="1" t="s">
        <v>30</v>
      </c>
      <c r="B14" s="1">
        <v>96.0</v>
      </c>
      <c r="C14" s="1">
        <v>1.0</v>
      </c>
      <c r="D14" s="1">
        <v>0.0</v>
      </c>
      <c r="E14" s="1">
        <v>1.0</v>
      </c>
    </row>
    <row r="15">
      <c r="A15" s="1" t="s">
        <v>32</v>
      </c>
      <c r="B15" s="1">
        <v>96.0</v>
      </c>
      <c r="C15" s="1">
        <v>1.0</v>
      </c>
      <c r="D15" s="1">
        <v>0.0</v>
      </c>
      <c r="E15" s="1">
        <v>1.0</v>
      </c>
    </row>
    <row r="16">
      <c r="A16" s="1" t="s">
        <v>20</v>
      </c>
      <c r="B16" s="1">
        <v>96.0</v>
      </c>
      <c r="C16" s="1">
        <v>1.0</v>
      </c>
      <c r="D16" s="1">
        <v>0.0</v>
      </c>
      <c r="E16" s="1">
        <v>1.0</v>
      </c>
    </row>
    <row r="17">
      <c r="A17" s="1" t="s">
        <v>21</v>
      </c>
      <c r="B17" s="1">
        <v>216.0</v>
      </c>
      <c r="C17" s="19">
        <v>2.0</v>
      </c>
      <c r="D17" s="19">
        <v>0.0</v>
      </c>
      <c r="E17" s="19">
        <v>0.8888888888888888</v>
      </c>
    </row>
    <row r="18">
      <c r="A18" s="1" t="s">
        <v>13</v>
      </c>
      <c r="B18" s="1">
        <v>144.0</v>
      </c>
      <c r="C18" s="19">
        <v>1.0</v>
      </c>
      <c r="D18" s="19">
        <v>0.0</v>
      </c>
      <c r="E18" s="19">
        <v>0.6666666666666666</v>
      </c>
    </row>
    <row r="19">
      <c r="A19" s="1" t="s">
        <v>39</v>
      </c>
      <c r="B19" s="1">
        <v>144.0</v>
      </c>
      <c r="C19" s="1">
        <v>1.0</v>
      </c>
      <c r="D19" s="1">
        <v>0.0</v>
      </c>
      <c r="E19" s="19">
        <v>0.6666666666666666</v>
      </c>
    </row>
    <row r="20">
      <c r="A20" s="1" t="s">
        <v>49</v>
      </c>
      <c r="B20" s="1">
        <v>168.0</v>
      </c>
      <c r="C20" s="19">
        <v>1.0</v>
      </c>
      <c r="D20" s="19">
        <v>0.0</v>
      </c>
      <c r="E20" s="19">
        <v>0.5714285714285714</v>
      </c>
    </row>
    <row r="21">
      <c r="A21" s="1" t="s">
        <v>21</v>
      </c>
      <c r="B21" s="1">
        <v>168.0</v>
      </c>
      <c r="C21" s="1">
        <v>1.0</v>
      </c>
      <c r="D21" s="1">
        <v>0.0</v>
      </c>
      <c r="E21" s="19">
        <v>0.5714285714285714</v>
      </c>
    </row>
    <row r="22">
      <c r="A22" s="1" t="s">
        <v>46</v>
      </c>
      <c r="B22" s="1">
        <v>168.0</v>
      </c>
      <c r="C22" s="1">
        <v>1.0</v>
      </c>
      <c r="D22" s="1">
        <v>0.0</v>
      </c>
      <c r="E22" s="19">
        <v>0.5714285714285714</v>
      </c>
    </row>
    <row r="23">
      <c r="A23" s="1" t="s">
        <v>44</v>
      </c>
      <c r="B23" s="1">
        <v>192.0</v>
      </c>
      <c r="C23" s="1">
        <v>1.0</v>
      </c>
      <c r="D23" s="1">
        <v>0.0</v>
      </c>
      <c r="E23" s="1">
        <v>0.5</v>
      </c>
    </row>
    <row r="24">
      <c r="A24" s="1" t="s">
        <v>22</v>
      </c>
      <c r="B24" s="1">
        <v>192.0</v>
      </c>
      <c r="C24" s="1">
        <v>0.0</v>
      </c>
      <c r="D24" s="1">
        <v>0.0</v>
      </c>
      <c r="E24" s="1">
        <v>0.0</v>
      </c>
    </row>
    <row r="25">
      <c r="A25" s="1" t="s">
        <v>51</v>
      </c>
      <c r="B25" s="1">
        <v>192.0</v>
      </c>
      <c r="C25" s="1">
        <v>0.0</v>
      </c>
      <c r="D25" s="1">
        <v>0.0</v>
      </c>
      <c r="E25" s="1">
        <v>0.0</v>
      </c>
    </row>
    <row r="26">
      <c r="A26" s="1" t="s">
        <v>34</v>
      </c>
      <c r="B26" s="1">
        <v>240.0</v>
      </c>
      <c r="C26" s="1">
        <v>0.0</v>
      </c>
      <c r="D26" s="1">
        <v>0.0</v>
      </c>
      <c r="E26" s="1">
        <v>0.0</v>
      </c>
    </row>
    <row r="27">
      <c r="A27" s="1" t="s">
        <v>45</v>
      </c>
      <c r="B27" s="1">
        <v>192.0</v>
      </c>
      <c r="C27" s="1">
        <v>0.0</v>
      </c>
      <c r="D27" s="1">
        <v>0.0</v>
      </c>
      <c r="E27" s="1">
        <v>0.0</v>
      </c>
    </row>
    <row r="28">
      <c r="A28" s="1" t="s">
        <v>50</v>
      </c>
      <c r="B28" s="1">
        <v>192.0</v>
      </c>
      <c r="C28" s="1">
        <v>0.0</v>
      </c>
      <c r="D28" s="1">
        <v>0.0</v>
      </c>
      <c r="E28" s="1">
        <v>0.0</v>
      </c>
    </row>
    <row r="29">
      <c r="A29" s="1" t="s">
        <v>36</v>
      </c>
      <c r="B29" s="1">
        <v>240.0</v>
      </c>
      <c r="C29" s="1">
        <v>0.0</v>
      </c>
      <c r="D29" s="1">
        <v>0.0</v>
      </c>
      <c r="E29" s="1">
        <v>0.0</v>
      </c>
    </row>
    <row r="30">
      <c r="A30" s="1" t="s">
        <v>24</v>
      </c>
      <c r="B30" s="1">
        <v>168.0</v>
      </c>
      <c r="C30" s="1">
        <v>0.0</v>
      </c>
      <c r="D30" s="1">
        <v>0.0</v>
      </c>
      <c r="E30" s="1">
        <v>0.0</v>
      </c>
    </row>
    <row r="31">
      <c r="A31" s="1" t="s">
        <v>42</v>
      </c>
      <c r="B31" s="1">
        <v>144.0</v>
      </c>
      <c r="C31" s="1">
        <v>0.0</v>
      </c>
      <c r="D31" s="1">
        <v>0.0</v>
      </c>
      <c r="E31" s="1">
        <v>0.0</v>
      </c>
    </row>
    <row r="32">
      <c r="A32" s="1" t="s">
        <v>29</v>
      </c>
      <c r="B32" s="1">
        <v>96.0</v>
      </c>
      <c r="C32" s="1">
        <v>0.0</v>
      </c>
      <c r="D32" s="1">
        <v>0.0</v>
      </c>
      <c r="E32" s="1">
        <v>0.0</v>
      </c>
    </row>
    <row r="33">
      <c r="A33" s="1" t="s">
        <v>41</v>
      </c>
      <c r="B33" s="1">
        <v>144.0</v>
      </c>
      <c r="C33" s="1">
        <v>0.0</v>
      </c>
      <c r="D33" s="1">
        <v>0.0</v>
      </c>
      <c r="E33" s="1">
        <v>0.0</v>
      </c>
    </row>
    <row r="34">
      <c r="A34" s="1" t="s">
        <v>31</v>
      </c>
      <c r="B34" s="1">
        <v>96.0</v>
      </c>
      <c r="C34" s="1">
        <v>0.0</v>
      </c>
      <c r="D34" s="1">
        <v>0.0</v>
      </c>
      <c r="E34" s="1">
        <v>0.0</v>
      </c>
    </row>
    <row r="35">
      <c r="A35" s="1" t="s">
        <v>38</v>
      </c>
      <c r="B35" s="1">
        <v>144.0</v>
      </c>
      <c r="C35" s="1">
        <v>0.0</v>
      </c>
      <c r="D35" s="1">
        <v>0.0</v>
      </c>
      <c r="E35" s="1">
        <v>0.0</v>
      </c>
    </row>
    <row r="36">
      <c r="A36" s="1" t="s">
        <v>17</v>
      </c>
      <c r="B36" s="1">
        <v>96.0</v>
      </c>
      <c r="C36" s="1">
        <v>0.0</v>
      </c>
      <c r="D36" s="1">
        <v>0.0</v>
      </c>
      <c r="E36" s="1">
        <v>0.0</v>
      </c>
    </row>
    <row r="37">
      <c r="A37" s="1" t="s">
        <v>14</v>
      </c>
      <c r="B37" s="1">
        <v>96.0</v>
      </c>
      <c r="C37" s="1">
        <v>0.0</v>
      </c>
      <c r="D37" s="1">
        <v>0.0</v>
      </c>
      <c r="E37" s="1">
        <v>0.0</v>
      </c>
    </row>
    <row r="38">
      <c r="A38" s="1" t="s">
        <v>15</v>
      </c>
      <c r="B38" s="1">
        <v>96.0</v>
      </c>
      <c r="C38" s="1">
        <v>0.0</v>
      </c>
      <c r="D38" s="1">
        <v>0.0</v>
      </c>
      <c r="E38" s="1">
        <v>0.0</v>
      </c>
    </row>
    <row r="39">
      <c r="A39" s="1" t="s">
        <v>27</v>
      </c>
      <c r="B39" s="1">
        <v>168.0</v>
      </c>
      <c r="C39" s="1">
        <v>0.0</v>
      </c>
      <c r="D39" s="1">
        <v>0.0</v>
      </c>
      <c r="E39" s="1">
        <v>0.0</v>
      </c>
    </row>
    <row r="40">
      <c r="A40" s="1" t="s">
        <v>18</v>
      </c>
      <c r="B40" s="1">
        <v>96.0</v>
      </c>
      <c r="C40" s="1">
        <v>0.0</v>
      </c>
      <c r="D40" s="1">
        <v>0.0</v>
      </c>
      <c r="E40" s="1">
        <v>0.0</v>
      </c>
    </row>
    <row r="41">
      <c r="A41" s="1" t="s">
        <v>28</v>
      </c>
      <c r="B41" s="1">
        <v>72.0</v>
      </c>
      <c r="C41" s="1">
        <v>0.0</v>
      </c>
      <c r="D41" s="1">
        <v>0.0</v>
      </c>
      <c r="E41" s="1">
        <v>0.0</v>
      </c>
    </row>
    <row r="42">
      <c r="A42" s="1" t="s">
        <v>23</v>
      </c>
      <c r="B42" s="1">
        <v>192.0</v>
      </c>
      <c r="C42" s="1">
        <v>2.0</v>
      </c>
      <c r="D42" s="1">
        <v>3.0</v>
      </c>
      <c r="E42" s="1">
        <v>-0.5</v>
      </c>
    </row>
    <row r="43">
      <c r="A43" s="1" t="s">
        <v>40</v>
      </c>
      <c r="B43" s="1">
        <v>144.0</v>
      </c>
      <c r="C43" s="1">
        <v>0.0</v>
      </c>
      <c r="D43" s="1">
        <v>1.0</v>
      </c>
      <c r="E43" s="19">
        <v>-0.6666666666666666</v>
      </c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tr">
        <f t="array" ref="A1:A1000">sort(Stats!A1:A1000,Stats!AA1:AA1000,false)</f>
        <v>Overall</v>
      </c>
      <c r="B1" s="18" t="str">
        <f t="array" ref="B1:B1000">sort(Stats!D1:D1000,Stats!AA1:AA1000,false)</f>
        <v>TUH</v>
      </c>
      <c r="C1" s="1" t="str">
        <f t="array" ref="C1:E1000">sort(Stats!Y1:AA1000,Stats!AA1:AA1000,false)</f>
        <v>P TU</v>
      </c>
      <c r="D1" s="1" t="s">
        <v>84</v>
      </c>
      <c r="E1" s="1" t="s">
        <v>85</v>
      </c>
    </row>
    <row r="2">
      <c r="A2" s="1" t="s">
        <v>52</v>
      </c>
      <c r="B2" s="1">
        <v>192.0</v>
      </c>
      <c r="C2" s="1">
        <v>10.0</v>
      </c>
      <c r="D2" s="1">
        <v>2.0</v>
      </c>
      <c r="E2" s="1">
        <v>4.0</v>
      </c>
    </row>
    <row r="3">
      <c r="A3" s="1" t="s">
        <v>45</v>
      </c>
      <c r="B3" s="1">
        <v>192.0</v>
      </c>
      <c r="C3" s="1">
        <v>8.0</v>
      </c>
      <c r="D3" s="1">
        <v>0.0</v>
      </c>
      <c r="E3" s="1">
        <v>4.0</v>
      </c>
    </row>
    <row r="4">
      <c r="A4" s="1" t="s">
        <v>48</v>
      </c>
      <c r="B4" s="1">
        <v>168.0</v>
      </c>
      <c r="C4" s="19">
        <v>6.0</v>
      </c>
      <c r="D4" s="19">
        <v>1.0</v>
      </c>
      <c r="E4" s="19">
        <v>2.857142857142857</v>
      </c>
    </row>
    <row r="5">
      <c r="A5" s="1" t="s">
        <v>35</v>
      </c>
      <c r="B5" s="1">
        <v>240.0</v>
      </c>
      <c r="C5" s="1">
        <v>7.0</v>
      </c>
      <c r="D5" s="1">
        <v>0.0</v>
      </c>
      <c r="E5" s="1">
        <v>2.8</v>
      </c>
    </row>
    <row r="6">
      <c r="A6" s="1" t="s">
        <v>49</v>
      </c>
      <c r="B6" s="1">
        <v>168.0</v>
      </c>
      <c r="C6" s="1">
        <v>4.0</v>
      </c>
      <c r="D6" s="1">
        <v>0.0</v>
      </c>
      <c r="E6" s="19">
        <v>2.2857142857142856</v>
      </c>
    </row>
    <row r="7">
      <c r="A7" s="1" t="s">
        <v>43</v>
      </c>
      <c r="B7" s="1">
        <v>192.0</v>
      </c>
      <c r="C7" s="1">
        <v>4.0</v>
      </c>
      <c r="D7" s="1">
        <v>0.0</v>
      </c>
      <c r="E7" s="1">
        <v>2.0</v>
      </c>
    </row>
    <row r="8">
      <c r="A8" s="1" t="s">
        <v>16</v>
      </c>
      <c r="B8" s="1">
        <v>96.0</v>
      </c>
      <c r="C8" s="1">
        <v>2.0</v>
      </c>
      <c r="D8" s="1">
        <v>0.0</v>
      </c>
      <c r="E8" s="1">
        <v>2.0</v>
      </c>
    </row>
    <row r="9">
      <c r="A9" s="1" t="s">
        <v>25</v>
      </c>
      <c r="B9" s="1">
        <v>168.0</v>
      </c>
      <c r="C9" s="1">
        <v>3.0</v>
      </c>
      <c r="D9" s="1">
        <v>0.0</v>
      </c>
      <c r="E9" s="19">
        <v>1.7142857142857142</v>
      </c>
    </row>
    <row r="10">
      <c r="A10" s="1" t="s">
        <v>26</v>
      </c>
      <c r="B10" s="1">
        <v>168.0</v>
      </c>
      <c r="C10" s="19">
        <v>3.0</v>
      </c>
      <c r="D10" s="19">
        <v>0.0</v>
      </c>
      <c r="E10" s="19">
        <v>1.7142857142857142</v>
      </c>
    </row>
    <row r="11">
      <c r="A11" s="1" t="s">
        <v>24</v>
      </c>
      <c r="B11" s="1">
        <v>168.0</v>
      </c>
      <c r="C11" s="1">
        <v>3.0</v>
      </c>
      <c r="D11" s="1">
        <v>0.0</v>
      </c>
      <c r="E11" s="19">
        <v>1.7142857142857142</v>
      </c>
    </row>
    <row r="12">
      <c r="A12" s="1" t="s">
        <v>13</v>
      </c>
      <c r="B12" s="1">
        <v>144.0</v>
      </c>
      <c r="C12" s="19">
        <v>2.0</v>
      </c>
      <c r="D12" s="19">
        <v>0.0</v>
      </c>
      <c r="E12" s="19">
        <v>1.3333333333333333</v>
      </c>
    </row>
    <row r="13">
      <c r="A13" s="1" t="s">
        <v>42</v>
      </c>
      <c r="B13" s="1">
        <v>144.0</v>
      </c>
      <c r="C13" s="1">
        <v>2.0</v>
      </c>
      <c r="D13" s="1">
        <v>0.0</v>
      </c>
      <c r="E13" s="19">
        <v>1.3333333333333333</v>
      </c>
    </row>
    <row r="14">
      <c r="A14" s="1" t="s">
        <v>22</v>
      </c>
      <c r="B14" s="1">
        <v>192.0</v>
      </c>
      <c r="C14" s="1">
        <v>2.0</v>
      </c>
      <c r="D14" s="1">
        <v>0.0</v>
      </c>
      <c r="E14" s="1">
        <v>1.0</v>
      </c>
    </row>
    <row r="15">
      <c r="A15" s="1" t="s">
        <v>30</v>
      </c>
      <c r="B15" s="1">
        <v>96.0</v>
      </c>
      <c r="C15" s="1">
        <v>1.0</v>
      </c>
      <c r="D15" s="1">
        <v>0.0</v>
      </c>
      <c r="E15" s="1">
        <v>1.0</v>
      </c>
    </row>
    <row r="16">
      <c r="A16" s="1" t="s">
        <v>17</v>
      </c>
      <c r="B16" s="1">
        <v>96.0</v>
      </c>
      <c r="C16" s="1">
        <v>1.0</v>
      </c>
      <c r="D16" s="1">
        <v>0.0</v>
      </c>
      <c r="E16" s="1">
        <v>1.0</v>
      </c>
    </row>
    <row r="17">
      <c r="A17" s="1" t="s">
        <v>14</v>
      </c>
      <c r="B17" s="1">
        <v>96.0</v>
      </c>
      <c r="C17" s="1">
        <v>1.0</v>
      </c>
      <c r="D17" s="1">
        <v>0.0</v>
      </c>
      <c r="E17" s="1">
        <v>1.0</v>
      </c>
    </row>
    <row r="18">
      <c r="A18" s="1" t="s">
        <v>36</v>
      </c>
      <c r="B18" s="1">
        <v>240.0</v>
      </c>
      <c r="C18" s="1">
        <v>2.0</v>
      </c>
      <c r="D18" s="1">
        <v>0.0</v>
      </c>
      <c r="E18" s="1">
        <v>0.8</v>
      </c>
    </row>
    <row r="19">
      <c r="A19" s="1" t="s">
        <v>41</v>
      </c>
      <c r="B19" s="1">
        <v>144.0</v>
      </c>
      <c r="C19" s="1">
        <v>1.0</v>
      </c>
      <c r="D19" s="1">
        <v>0.0</v>
      </c>
      <c r="E19" s="19">
        <v>0.6666666666666666</v>
      </c>
    </row>
    <row r="20">
      <c r="A20" s="1" t="s">
        <v>38</v>
      </c>
      <c r="B20" s="1">
        <v>144.0</v>
      </c>
      <c r="C20" s="1">
        <v>1.0</v>
      </c>
      <c r="D20" s="1">
        <v>0.0</v>
      </c>
      <c r="E20" s="19">
        <v>0.6666666666666666</v>
      </c>
    </row>
    <row r="21">
      <c r="A21" s="1" t="s">
        <v>12</v>
      </c>
      <c r="B21" s="1">
        <v>168.0</v>
      </c>
      <c r="C21" s="1">
        <v>1.0</v>
      </c>
      <c r="D21" s="1">
        <v>0.0</v>
      </c>
      <c r="E21" s="19">
        <v>0.5714285714285714</v>
      </c>
    </row>
    <row r="22">
      <c r="A22" s="1" t="s">
        <v>12</v>
      </c>
      <c r="B22" s="1">
        <v>168.0</v>
      </c>
      <c r="C22" s="19">
        <v>1.0</v>
      </c>
      <c r="D22" s="19">
        <v>0.0</v>
      </c>
      <c r="E22" s="19">
        <v>0.5714285714285714</v>
      </c>
    </row>
    <row r="23">
      <c r="A23" s="1" t="s">
        <v>21</v>
      </c>
      <c r="B23" s="1">
        <v>168.0</v>
      </c>
      <c r="C23" s="19">
        <v>1.0</v>
      </c>
      <c r="D23" s="19">
        <v>0.0</v>
      </c>
      <c r="E23" s="19">
        <v>0.5714285714285714</v>
      </c>
    </row>
    <row r="24">
      <c r="A24" s="1" t="s">
        <v>19</v>
      </c>
      <c r="B24" s="1">
        <v>192.0</v>
      </c>
      <c r="C24" s="1">
        <v>1.0</v>
      </c>
      <c r="D24" s="1">
        <v>0.0</v>
      </c>
      <c r="E24" s="1">
        <v>0.5</v>
      </c>
    </row>
    <row r="25">
      <c r="A25" s="1" t="s">
        <v>50</v>
      </c>
      <c r="B25" s="1">
        <v>192.0</v>
      </c>
      <c r="C25" s="1">
        <v>1.0</v>
      </c>
      <c r="D25" s="1">
        <v>0.0</v>
      </c>
      <c r="E25" s="1">
        <v>0.5</v>
      </c>
    </row>
    <row r="26">
      <c r="A26" s="1" t="s">
        <v>21</v>
      </c>
      <c r="B26" s="1">
        <v>216.0</v>
      </c>
      <c r="C26" s="19">
        <v>1.0</v>
      </c>
      <c r="D26" s="19">
        <v>0.0</v>
      </c>
      <c r="E26" s="19">
        <v>0.4444444444444444</v>
      </c>
    </row>
    <row r="27">
      <c r="A27" s="1" t="s">
        <v>51</v>
      </c>
      <c r="B27" s="1">
        <v>192.0</v>
      </c>
      <c r="C27" s="1">
        <v>1.0</v>
      </c>
      <c r="D27" s="1">
        <v>1.0</v>
      </c>
      <c r="E27" s="1">
        <v>0.0</v>
      </c>
    </row>
    <row r="28">
      <c r="A28" s="1" t="s">
        <v>34</v>
      </c>
      <c r="B28" s="1">
        <v>240.0</v>
      </c>
      <c r="C28" s="1">
        <v>0.0</v>
      </c>
      <c r="D28" s="1">
        <v>0.0</v>
      </c>
      <c r="E28" s="1">
        <v>0.0</v>
      </c>
    </row>
    <row r="29">
      <c r="A29" s="1" t="s">
        <v>44</v>
      </c>
      <c r="B29" s="1">
        <v>192.0</v>
      </c>
      <c r="C29" s="1">
        <v>0.0</v>
      </c>
      <c r="D29" s="1">
        <v>0.0</v>
      </c>
      <c r="E29" s="1">
        <v>0.0</v>
      </c>
    </row>
    <row r="30">
      <c r="A30" s="1" t="s">
        <v>23</v>
      </c>
      <c r="B30" s="1">
        <v>192.0</v>
      </c>
      <c r="C30" s="1">
        <v>0.0</v>
      </c>
      <c r="D30" s="1">
        <v>0.0</v>
      </c>
      <c r="E30" s="1">
        <v>0.0</v>
      </c>
    </row>
    <row r="31">
      <c r="A31" s="1" t="s">
        <v>33</v>
      </c>
      <c r="B31" s="1">
        <v>240.0</v>
      </c>
      <c r="C31" s="1">
        <v>0.0</v>
      </c>
      <c r="D31" s="1">
        <v>0.0</v>
      </c>
      <c r="E31" s="1">
        <v>0.0</v>
      </c>
    </row>
    <row r="32">
      <c r="A32" s="1" t="s">
        <v>47</v>
      </c>
      <c r="B32" s="1">
        <v>168.0</v>
      </c>
      <c r="C32" s="1">
        <v>0.0</v>
      </c>
      <c r="D32" s="1">
        <v>0.0</v>
      </c>
      <c r="E32" s="1">
        <v>0.0</v>
      </c>
    </row>
    <row r="33">
      <c r="A33" s="1" t="s">
        <v>40</v>
      </c>
      <c r="B33" s="1">
        <v>144.0</v>
      </c>
      <c r="C33" s="1">
        <v>0.0</v>
      </c>
      <c r="D33" s="1">
        <v>0.0</v>
      </c>
      <c r="E33" s="1">
        <v>0.0</v>
      </c>
    </row>
    <row r="34">
      <c r="A34" s="1" t="s">
        <v>32</v>
      </c>
      <c r="B34" s="1">
        <v>96.0</v>
      </c>
      <c r="C34" s="1">
        <v>0.0</v>
      </c>
      <c r="D34" s="1">
        <v>0.0</v>
      </c>
      <c r="E34" s="1">
        <v>0.0</v>
      </c>
    </row>
    <row r="35">
      <c r="A35" s="1" t="s">
        <v>29</v>
      </c>
      <c r="B35" s="1">
        <v>96.0</v>
      </c>
      <c r="C35" s="1">
        <v>0.0</v>
      </c>
      <c r="D35" s="1">
        <v>0.0</v>
      </c>
      <c r="E35" s="1">
        <v>0.0</v>
      </c>
    </row>
    <row r="36">
      <c r="A36" s="1" t="s">
        <v>31</v>
      </c>
      <c r="B36" s="1">
        <v>96.0</v>
      </c>
      <c r="C36" s="1">
        <v>0.0</v>
      </c>
      <c r="D36" s="1">
        <v>0.0</v>
      </c>
      <c r="E36" s="1">
        <v>0.0</v>
      </c>
    </row>
    <row r="37">
      <c r="A37" s="1" t="s">
        <v>15</v>
      </c>
      <c r="B37" s="1">
        <v>96.0</v>
      </c>
      <c r="C37" s="1">
        <v>0.0</v>
      </c>
      <c r="D37" s="1">
        <v>0.0</v>
      </c>
      <c r="E37" s="1">
        <v>0.0</v>
      </c>
    </row>
    <row r="38">
      <c r="A38" s="1" t="s">
        <v>46</v>
      </c>
      <c r="B38" s="1">
        <v>168.0</v>
      </c>
      <c r="C38" s="1">
        <v>0.0</v>
      </c>
      <c r="D38" s="1">
        <v>0.0</v>
      </c>
      <c r="E38" s="1">
        <v>0.0</v>
      </c>
    </row>
    <row r="39">
      <c r="A39" s="1" t="s">
        <v>20</v>
      </c>
      <c r="B39" s="1">
        <v>96.0</v>
      </c>
      <c r="C39" s="1">
        <v>3.0</v>
      </c>
      <c r="D39" s="1">
        <v>3.0</v>
      </c>
      <c r="E39" s="1">
        <v>0.0</v>
      </c>
    </row>
    <row r="40">
      <c r="A40" s="1" t="s">
        <v>39</v>
      </c>
      <c r="B40" s="1">
        <v>144.0</v>
      </c>
      <c r="C40" s="1">
        <v>0.0</v>
      </c>
      <c r="D40" s="1">
        <v>0.0</v>
      </c>
      <c r="E40" s="1">
        <v>0.0</v>
      </c>
    </row>
    <row r="41">
      <c r="A41" s="1" t="s">
        <v>27</v>
      </c>
      <c r="B41" s="1">
        <v>168.0</v>
      </c>
      <c r="C41" s="1">
        <v>0.0</v>
      </c>
      <c r="D41" s="1">
        <v>0.0</v>
      </c>
      <c r="E41" s="1">
        <v>0.0</v>
      </c>
    </row>
    <row r="42">
      <c r="A42" s="1" t="s">
        <v>18</v>
      </c>
      <c r="B42" s="1">
        <v>96.0</v>
      </c>
      <c r="C42" s="1">
        <v>0.0</v>
      </c>
      <c r="D42" s="1">
        <v>0.0</v>
      </c>
      <c r="E42" s="1">
        <v>0.0</v>
      </c>
    </row>
    <row r="43">
      <c r="A43" s="1" t="s">
        <v>28</v>
      </c>
      <c r="B43" s="1">
        <v>72.0</v>
      </c>
      <c r="C43" s="1">
        <v>0.0</v>
      </c>
      <c r="D43" s="1">
        <v>0.0</v>
      </c>
      <c r="E43" s="1">
        <v>0.0</v>
      </c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drawing r:id="rId1"/>
</worksheet>
</file>