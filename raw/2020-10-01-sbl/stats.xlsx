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HStand" sheetId="1" r:id="rId5"/>
    <sheet state="visible" name="TUHComp" sheetId="2" r:id="rId6"/>
    <sheet state="visible" name="PointStand" sheetId="3" r:id="rId7"/>
    <sheet state="visible" name="PointComp" sheetId="4" r:id="rId8"/>
    <sheet state="visible" name="PublicStand" sheetId="5" r:id="rId9"/>
    <sheet state="visible" name="PublicComp" sheetId="6" r:id="rId10"/>
    <sheet state="visible" name="TeamStand" sheetId="7" r:id="rId11"/>
    <sheet state="visible" name="TeamComp" sheetId="8" r:id="rId12"/>
    <sheet state="visible" name="PTS" sheetId="9" r:id="rId13"/>
    <sheet state="visible" name="PTC" sheetId="10" r:id="rId14"/>
  </sheets>
  <definedNames>
    <definedName hidden="1" localSheetId="8" name="Z_6969A205_23C7_43C3_A484_34C1E8400D07_.wvu.FilterData">PTS!$A$1:$R$27</definedName>
  </definedNames>
  <calcPr/>
  <customWorkbookViews>
    <customWorkbookView activeSheetId="0" maximized="1" windowHeight="0" windowWidth="0" guid="{6969A205-23C7-43C3-A484-34C1E8400D07}" name="Filter 1"/>
  </customWorkbookViews>
</workbook>
</file>

<file path=xl/sharedStrings.xml><?xml version="1.0" encoding="utf-8"?>
<sst xmlns="http://schemas.openxmlformats.org/spreadsheetml/2006/main" count="1868" uniqueCount="336">
  <si>
    <t>Username</t>
  </si>
  <si>
    <t>Team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</si>
  <si>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</si>
  <si>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</si>
  <si>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</si>
  <si>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</si>
  <si>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</si>
  <si>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</si>
  <si>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</si>
  <si>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</si>
  <si>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</si>
  <si>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</si>
  <si>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</si>
  <si>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</si>
  <si>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</si>
  <si>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</si>
  <si>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</si>
  <si>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TUH</t>
  </si>
  <si>
    <t>Daniel Z</t>
  </si>
  <si>
    <t>ASFA B</t>
  </si>
  <si>
    <t>Total Points</t>
  </si>
  <si>
    <t>PP23TUH</t>
  </si>
  <si>
    <t>Rank</t>
  </si>
  <si>
    <t>Ashmit</t>
  </si>
  <si>
    <t>:flushed:</t>
  </si>
  <si>
    <t>Henna</t>
  </si>
  <si>
    <t>Matthew :flushed:</t>
  </si>
  <si>
    <t>Sofia</t>
  </si>
  <si>
    <t>Trisha</t>
  </si>
  <si>
    <t>Rick</t>
  </si>
  <si>
    <t>William</t>
  </si>
  <si>
    <t>Samarth</t>
  </si>
  <si>
    <t>Albert H</t>
  </si>
  <si>
    <t>Beltway Blazers B</t>
  </si>
  <si>
    <t>Jacob</t>
  </si>
  <si>
    <t>Ames</t>
  </si>
  <si>
    <t>Ashley</t>
  </si>
  <si>
    <t>Daniel Y</t>
  </si>
  <si>
    <t>Jerry</t>
  </si>
  <si>
    <t>Leela</t>
  </si>
  <si>
    <t>Jixiang</t>
  </si>
  <si>
    <t>Stephen</t>
  </si>
  <si>
    <t>Ne</t>
  </si>
  <si>
    <t>Aaron</t>
  </si>
  <si>
    <t>BOW B</t>
  </si>
  <si>
    <t>Rishabh</t>
  </si>
  <si>
    <t>Jonathan F</t>
  </si>
  <si>
    <t>Akshat</t>
  </si>
  <si>
    <t>ASFA A</t>
  </si>
  <si>
    <t>Margaret L</t>
  </si>
  <si>
    <t>Piyush</t>
  </si>
  <si>
    <t>Alex S</t>
  </si>
  <si>
    <t>Wardell</t>
  </si>
  <si>
    <t>Carol</t>
  </si>
  <si>
    <t>Adarsh</t>
  </si>
  <si>
    <t>CCA B</t>
  </si>
  <si>
    <t>James S</t>
  </si>
  <si>
    <t>Andrew S</t>
  </si>
  <si>
    <t>Remy</t>
  </si>
  <si>
    <t>Arnav V</t>
  </si>
  <si>
    <t>Aakarsh</t>
  </si>
  <si>
    <t>BASIS Peoria</t>
  </si>
  <si>
    <t>Chris J</t>
  </si>
  <si>
    <t>Anurag</t>
  </si>
  <si>
    <t>Centennial</t>
  </si>
  <si>
    <t>Adhitya</t>
  </si>
  <si>
    <t>Akhil</t>
  </si>
  <si>
    <t>Brandon</t>
  </si>
  <si>
    <t>Emily</t>
  </si>
  <si>
    <t>Yash L</t>
  </si>
  <si>
    <t>Isaac</t>
  </si>
  <si>
    <t>Caleb</t>
  </si>
  <si>
    <t>Beltway Blazers A</t>
  </si>
  <si>
    <t>Larry</t>
  </si>
  <si>
    <t>Mario BM</t>
  </si>
  <si>
    <t>Chris T</t>
  </si>
  <si>
    <t>Tomas</t>
  </si>
  <si>
    <t>Eric C</t>
  </si>
  <si>
    <t>Gabriel</t>
  </si>
  <si>
    <t>Fantastic Four</t>
  </si>
  <si>
    <t>Justin C</t>
  </si>
  <si>
    <t>Tim</t>
  </si>
  <si>
    <t>Ivan G</t>
  </si>
  <si>
    <t>Andy K</t>
  </si>
  <si>
    <t>BOW A</t>
  </si>
  <si>
    <t>Matthew C</t>
  </si>
  <si>
    <t>Arnav P</t>
  </si>
  <si>
    <t>Neal</t>
  </si>
  <si>
    <t>Eugene</t>
  </si>
  <si>
    <t>Prisha</t>
  </si>
  <si>
    <t>Arin</t>
  </si>
  <si>
    <t>Hopkins A</t>
  </si>
  <si>
    <t>Peter</t>
  </si>
  <si>
    <t>Hannah</t>
  </si>
  <si>
    <t>Wendy</t>
  </si>
  <si>
    <t>Joy</t>
  </si>
  <si>
    <t>Jay I</t>
  </si>
  <si>
    <t>BRMHS A</t>
  </si>
  <si>
    <t>Kyle</t>
  </si>
  <si>
    <t>Jonathan D</t>
  </si>
  <si>
    <t>Brendan</t>
  </si>
  <si>
    <t>Hopkins B</t>
  </si>
  <si>
    <t>Ju-Woo</t>
  </si>
  <si>
    <t>Kalina</t>
  </si>
  <si>
    <t>Jay M</t>
  </si>
  <si>
    <t>Mihir</t>
  </si>
  <si>
    <t>Jeremy</t>
  </si>
  <si>
    <t>Alex W</t>
  </si>
  <si>
    <t>BRMHS B</t>
  </si>
  <si>
    <t>Melody C</t>
  </si>
  <si>
    <t>Keanna</t>
  </si>
  <si>
    <t>Sarvin</t>
  </si>
  <si>
    <t>Orna</t>
  </si>
  <si>
    <t>Allison</t>
  </si>
  <si>
    <t>Interlake B</t>
  </si>
  <si>
    <t>Sarah</t>
  </si>
  <si>
    <t>Bryan</t>
  </si>
  <si>
    <t>Sunny</t>
  </si>
  <si>
    <t>David Lee</t>
  </si>
  <si>
    <t>Amogh</t>
  </si>
  <si>
    <t>CCA A</t>
  </si>
  <si>
    <t>Tia</t>
  </si>
  <si>
    <t>Ayush</t>
  </si>
  <si>
    <t>Yash M</t>
  </si>
  <si>
    <t>Anna</t>
  </si>
  <si>
    <t>Interlake C</t>
  </si>
  <si>
    <t>Kevin L</t>
  </si>
  <si>
    <t>Allen W</t>
  </si>
  <si>
    <t>Nicholas S</t>
  </si>
  <si>
    <t>Richard S</t>
  </si>
  <si>
    <t>Amogha</t>
  </si>
  <si>
    <t>Dulles</t>
  </si>
  <si>
    <t>Tristan</t>
  </si>
  <si>
    <t>Anant</t>
  </si>
  <si>
    <t>Vishnu</t>
  </si>
  <si>
    <t>Berkan</t>
  </si>
  <si>
    <t>La Cueva</t>
  </si>
  <si>
    <t>Justin L</t>
  </si>
  <si>
    <t>Charlie</t>
  </si>
  <si>
    <t>Naveen</t>
  </si>
  <si>
    <t>Janie</t>
  </si>
  <si>
    <t>Jeffrey</t>
  </si>
  <si>
    <t>Rushil S</t>
  </si>
  <si>
    <t>Jenny</t>
  </si>
  <si>
    <t>Sid</t>
  </si>
  <si>
    <t>Mario S</t>
  </si>
  <si>
    <t>Viraj</t>
  </si>
  <si>
    <t>Melody Y</t>
  </si>
  <si>
    <t>Cinyoung</t>
  </si>
  <si>
    <t>Los Alamos B</t>
  </si>
  <si>
    <t>Akash</t>
  </si>
  <si>
    <t>Eastside</t>
  </si>
  <si>
    <t>Kon</t>
  </si>
  <si>
    <t>Andrew D</t>
  </si>
  <si>
    <t>Linnhtet</t>
  </si>
  <si>
    <t>Atharva</t>
  </si>
  <si>
    <t>Ming</t>
  </si>
  <si>
    <t>Minty</t>
  </si>
  <si>
    <t>Bill</t>
  </si>
  <si>
    <t>Quinton</t>
  </si>
  <si>
    <t>David L</t>
  </si>
  <si>
    <t>Adi</t>
  </si>
  <si>
    <t>Martin Luther King Jr</t>
  </si>
  <si>
    <t>Sarthak R</t>
  </si>
  <si>
    <t>Curtis</t>
  </si>
  <si>
    <t>Edward</t>
  </si>
  <si>
    <t>Geo</t>
  </si>
  <si>
    <t>Eric B</t>
  </si>
  <si>
    <t>Geoffrey</t>
  </si>
  <si>
    <t>Gary</t>
  </si>
  <si>
    <t>Mason Y</t>
  </si>
  <si>
    <t>Rami</t>
  </si>
  <si>
    <t>Nicolas</t>
  </si>
  <si>
    <t>Aarush</t>
  </si>
  <si>
    <t>Middletong B</t>
  </si>
  <si>
    <t>Clarence</t>
  </si>
  <si>
    <t>Interlake A</t>
  </si>
  <si>
    <t>Aishani</t>
  </si>
  <si>
    <t>Daniel S</t>
  </si>
  <si>
    <t>Hansen</t>
  </si>
  <si>
    <t>Ishan</t>
  </si>
  <si>
    <t>Jack</t>
  </si>
  <si>
    <t>Lucas</t>
  </si>
  <si>
    <t>Rohan K</t>
  </si>
  <si>
    <t>Mahathi</t>
  </si>
  <si>
    <t>Danielle</t>
  </si>
  <si>
    <t>RMSST A</t>
  </si>
  <si>
    <t>Aditya</t>
  </si>
  <si>
    <t>Ladue Blue</t>
  </si>
  <si>
    <t>Jackson M</t>
  </si>
  <si>
    <t>Allen</t>
  </si>
  <si>
    <t>Margaret H</t>
  </si>
  <si>
    <t>Eric from LADOOOOO</t>
  </si>
  <si>
    <t>Maxwell</t>
  </si>
  <si>
    <t>Stephen J</t>
  </si>
  <si>
    <t>Sydney</t>
  </si>
  <si>
    <t>Yuvan</t>
  </si>
  <si>
    <t>Ava B</t>
  </si>
  <si>
    <t>RMSST B</t>
  </si>
  <si>
    <t>Abheek</t>
  </si>
  <si>
    <t>Ladue White</t>
  </si>
  <si>
    <t>Duc</t>
  </si>
  <si>
    <t>Jason</t>
  </si>
  <si>
    <t>Elizabeth</t>
  </si>
  <si>
    <t>Kevin Tang</t>
  </si>
  <si>
    <t>Max Y</t>
  </si>
  <si>
    <t>Hector</t>
  </si>
  <si>
    <t>Rohan from LADOOOOO</t>
  </si>
  <si>
    <t>Ryan</t>
  </si>
  <si>
    <t>Aidan</t>
  </si>
  <si>
    <t>Langley + 4435</t>
  </si>
  <si>
    <t>Tyler</t>
  </si>
  <si>
    <t>Daniel S-F</t>
  </si>
  <si>
    <t>Roxbury Latin A</t>
  </si>
  <si>
    <t>Ava T</t>
  </si>
  <si>
    <t>David S</t>
  </si>
  <si>
    <t>Ben</t>
  </si>
  <si>
    <t>James M</t>
  </si>
  <si>
    <t>Joshua</t>
  </si>
  <si>
    <t>Rohil</t>
  </si>
  <si>
    <t>Kwanwoo</t>
  </si>
  <si>
    <t>Teddy</t>
  </si>
  <si>
    <t>Daniel Zhou</t>
  </si>
  <si>
    <t>Lexington</t>
  </si>
  <si>
    <t>Akhilsai</t>
  </si>
  <si>
    <t>Roxbury Latin B</t>
  </si>
  <si>
    <t>Danny</t>
  </si>
  <si>
    <t>Alex Y</t>
  </si>
  <si>
    <t>Gideon</t>
  </si>
  <si>
    <t>Dennis</t>
  </si>
  <si>
    <t>Kevin Z</t>
  </si>
  <si>
    <t>Eddy</t>
  </si>
  <si>
    <t>Tanmay</t>
  </si>
  <si>
    <t>Ethan</t>
  </si>
  <si>
    <t>Andy C</t>
  </si>
  <si>
    <t>Los Alamos A</t>
  </si>
  <si>
    <t>Michael</t>
  </si>
  <si>
    <t>Anthony</t>
  </si>
  <si>
    <t>Nahum</t>
  </si>
  <si>
    <t>Jackson K</t>
  </si>
  <si>
    <t>Seekonk</t>
  </si>
  <si>
    <t>Jennie</t>
  </si>
  <si>
    <t>Matt</t>
  </si>
  <si>
    <t>Max C</t>
  </si>
  <si>
    <t>Nicholas Y</t>
  </si>
  <si>
    <t>Phil</t>
  </si>
  <si>
    <t>Nick</t>
  </si>
  <si>
    <t>David J</t>
  </si>
  <si>
    <t>Middletong A</t>
  </si>
  <si>
    <t>Thomas</t>
  </si>
  <si>
    <t>Anay</t>
  </si>
  <si>
    <t>TAMS</t>
  </si>
  <si>
    <t>Kappa</t>
  </si>
  <si>
    <t>Nihar</t>
  </si>
  <si>
    <t>Justin Case</t>
  </si>
  <si>
    <t>Raghav</t>
  </si>
  <si>
    <t>Sanjay</t>
  </si>
  <si>
    <t>Shreyas</t>
  </si>
  <si>
    <t>Trevor</t>
  </si>
  <si>
    <t>Tanvi</t>
  </si>
  <si>
    <t>Achyuta</t>
  </si>
  <si>
    <t>Mira Loma</t>
  </si>
  <si>
    <t>James L</t>
  </si>
  <si>
    <t>Timberline 1</t>
  </si>
  <si>
    <t>Nipun</t>
  </si>
  <si>
    <t>Jieming</t>
  </si>
  <si>
    <t>Luke B</t>
  </si>
  <si>
    <t>Rohan S</t>
  </si>
  <si>
    <t>Luke M</t>
  </si>
  <si>
    <t>Vishwa</t>
  </si>
  <si>
    <t>Pri</t>
  </si>
  <si>
    <t>Albert Z</t>
  </si>
  <si>
    <t>North Hollywood A</t>
  </si>
  <si>
    <t>Vishali</t>
  </si>
  <si>
    <t>Will</t>
  </si>
  <si>
    <t>Eric Y</t>
  </si>
  <si>
    <t>Ayushi</t>
  </si>
  <si>
    <t>Timberline 2</t>
  </si>
  <si>
    <t>Richard Z</t>
  </si>
  <si>
    <t>Ishita</t>
  </si>
  <si>
    <t>Shion</t>
  </si>
  <si>
    <t>Jinho</t>
  </si>
  <si>
    <t>Theodore</t>
  </si>
  <si>
    <t>Nathan M</t>
  </si>
  <si>
    <t>Boheng</t>
  </si>
  <si>
    <t>North Hollywood B</t>
  </si>
  <si>
    <t>Olivia</t>
  </si>
  <si>
    <t>Rushil M</t>
  </si>
  <si>
    <t>Camilla</t>
  </si>
  <si>
    <t>Sanjeev</t>
  </si>
  <si>
    <t>Jonathan T</t>
  </si>
  <si>
    <t>Aric</t>
  </si>
  <si>
    <t>Walton</t>
  </si>
  <si>
    <t>Lydia</t>
  </si>
  <si>
    <t>Asad</t>
  </si>
  <si>
    <t>Nathan K</t>
  </si>
  <si>
    <t>Chinmay</t>
  </si>
  <si>
    <t>Josh</t>
  </si>
  <si>
    <t>Andrew VD</t>
  </si>
  <si>
    <t>Pirates</t>
  </si>
  <si>
    <t>Sai</t>
  </si>
  <si>
    <t>Mason W</t>
  </si>
  <si>
    <t>Andrew G</t>
  </si>
  <si>
    <t>Westview A</t>
  </si>
  <si>
    <t>Pratyoy</t>
  </si>
  <si>
    <t>Daniel G</t>
  </si>
  <si>
    <t>Rut</t>
  </si>
  <si>
    <t>Ivan P</t>
  </si>
  <si>
    <t>Alor</t>
  </si>
  <si>
    <t>Stockdale</t>
  </si>
  <si>
    <t>John</t>
  </si>
  <si>
    <t>Anahat</t>
  </si>
  <si>
    <t>Matthew W</t>
  </si>
  <si>
    <t>Rishab M</t>
  </si>
  <si>
    <t>Harjaisal</t>
  </si>
  <si>
    <t>Z</t>
  </si>
  <si>
    <t>Kabir</t>
  </si>
  <si>
    <t>Anika</t>
  </si>
  <si>
    <t>Westview B</t>
  </si>
  <si>
    <t>Phillip</t>
  </si>
  <si>
    <t>Jonah</t>
  </si>
  <si>
    <t>Rhea</t>
  </si>
  <si>
    <t>Philip</t>
  </si>
  <si>
    <t>Pranav</t>
  </si>
  <si>
    <t>Rishab J</t>
  </si>
  <si>
    <t>Vignesh</t>
  </si>
  <si>
    <t>Zachary</t>
  </si>
  <si>
    <t>Brian</t>
  </si>
  <si>
    <t>Whitney</t>
  </si>
  <si>
    <t>Hiradh</t>
  </si>
  <si>
    <t>Kenneth</t>
  </si>
  <si>
    <t>Nathan V</t>
  </si>
  <si>
    <t>Navneeth</t>
  </si>
  <si>
    <t>Team Name</t>
  </si>
  <si>
    <t>Total</t>
  </si>
  <si>
    <t>Average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</si>
</sst>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Inconsolata"/>
    </font>
    <font>
      <b/>
      <color theme="1"/>
      <name val="Arial"/>
      <scheme val="minor"/>
    </font>
    <font>
      <b/>
      <sz val="10.0"/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ill="1" applyFont="1">
      <alignment vertical="bottom"/>
    </xf>
    <xf borderId="0" fillId="3" fontId="3" numFmtId="0" xfId="0" applyFill="1" applyFont="1"/>
    <xf borderId="0" fillId="3" fontId="1" numFmtId="0" xfId="0" applyFill="1" applyFont="1"/>
    <xf borderId="0" fillId="2" fontId="3" numFmtId="0" xfId="0" applyFill="1" applyFont="1"/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1" numFmtId="0" xfId="0" applyFill="1" applyFont="1"/>
    <xf borderId="0" fillId="0" fontId="3" numFmtId="0" xfId="0" applyFont="1"/>
    <xf borderId="0" fillId="0" fontId="1" numFmtId="0" xfId="0" applyFont="1"/>
    <xf borderId="0" fillId="2" fontId="2" numFmtId="0" xfId="0" applyAlignment="1" applyFill="1" applyFont="1">
      <alignment vertical="bottom"/>
    </xf>
    <xf borderId="0" fillId="2" fontId="2" numFmtId="0" xfId="0" applyAlignment="1" applyFill="1" applyFont="1">
      <alignment horizontal="right" vertical="bottom"/>
    </xf>
    <xf borderId="0" fillId="3" fontId="2" numFmtId="0" xfId="0" applyAlignment="1" applyFill="1" applyFont="1">
      <alignment vertical="bottom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0" fontId="2" numFmtId="0" xfId="0" applyAlignment="1" applyFont="1">
      <alignment vertical="bottom"/>
    </xf>
    <xf borderId="0" fillId="0" fontId="1" numFmtId="0" xfId="0" applyFont="1"/>
    <xf borderId="0" fillId="2" fontId="1" numFmtId="0" xfId="0" applyFill="1" applyFont="1"/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readingOrder="0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3" fontId="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0" fontId="4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/>
    </xf>
    <xf borderId="0" fillId="4" fontId="5" numFmtId="0" xfId="0" applyAlignment="1" applyFill="1" applyFont="1">
      <alignment horizontal="center"/>
    </xf>
    <xf borderId="0" fillId="3" fontId="4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5"/>
    <col customWidth="1" min="3" max="18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18</v>
      </c>
      <c r="B2" s="3" t="s">
        <v>19</v>
      </c>
      <c r="C2" s="3">
        <v>23.0</v>
      </c>
      <c r="D2" s="3">
        <v>23.0</v>
      </c>
      <c r="E2" s="3">
        <v>23.0</v>
      </c>
      <c r="F2" s="3">
        <v>23.0</v>
      </c>
      <c r="G2" s="3">
        <v>23.0</v>
      </c>
      <c r="H2" s="5">
        <f>IFERROR(__xludf.DUMMYFUNCTION("HLOOKUP($A2,IMPORTRANGE(""https://docs.google.com/spreadsheets/d/16J5ie7OD1E99qGO9lMDm8w5Yls-v190B7DTolJ5TmFc/edit#gid=0"",""'Game 3'!$B$2:$Q$31""),30,False)"),23.0)</f>
        <v>23</v>
      </c>
      <c r="I2" s="3">
        <v>23.0</v>
      </c>
      <c r="J2" s="5">
        <f>IFERROR(__xludf.DUMMYFUNCTION("IFERROR(HLOOKUP($A2,IMPORTRANGE(""https://docs.google.com/spreadsheets/d/1CTYfdyRk_RFGM3I2iN9bKeD9zUPzEm1ajzml6VgwfIU/edit#gid=0"",""'Game 1'!$B$2:$Q$31""),30,False),0)"),23.0)</f>
        <v>23</v>
      </c>
      <c r="K2" s="5">
        <f>IFERROR(__xludf.DUMMYFUNCTION("IFERROR(HLOOKUP($A2,IMPORTRANGE(""https://docs.google.com/spreadsheets/d/11NFkzOdQyW-OtxSDuGslNCgNjx7HUb2FU7KnlNnPMgY/edit#gid=0"",""'Game 12'!$B$2:$Q$31""),30,False),0)"),23.0)</f>
        <v>23</v>
      </c>
      <c r="L2" s="5">
        <f>IFERROR(__xludf.DUMMYFUNCTION("IFERROR(HLOOKUP($A2,IMPORTRANGE(""https://docs.google.com/spreadsheets/d/1CLg5-jaE4ta0-u4oE1qbBplQ5Mf3Oj9ONFgL0zJ7Ol4/edit#gid=0"",""'Game 13'!$B$2:$Q$31""),30,False),1)"),23.0)</f>
        <v>23</v>
      </c>
      <c r="M2" s="5">
        <f>IFERROR(__xludf.DUMMYFUNCTION("IFERROR(HLOOKUP($A2,IMPORTRANGE(""https://docs.google.com/spreadsheets/d/1CeexgK4KxWj3k_7nql_k8-RPxXMwTJyB4Q3vAASeDlA/edit#gid=0"",""'Game 13'!$B$2:$Q$31""),30,False),1)"),23.0)</f>
        <v>23</v>
      </c>
      <c r="N2" s="5">
        <f>IFERROR(__xludf.DUMMYFUNCTION("IFERROR(HLOOKUP($A2,IMPORTRANGE(""https://docs.google.com/spreadsheets/d/1MNwUNMjcwK6bEgCXwB73jpbK5gJAXS8ZMpbEMLJEP3E/edit#gid=0"",""'Game 8'!$B$2:$Q$31""),30,False),1)"),23.0)</f>
        <v>23</v>
      </c>
      <c r="O2" s="5">
        <f>IFERROR(__xludf.DUMMYFUNCTION("IFERROR(HLOOKUP($A2,IMPORTRANGE(""https://docs.google.com/spreadsheets/d/1UrzyxmT40kDZwVrLMf1yyXfP-pyczRAw9Y8Rw-uXG3c/edit#gid=0"",""'Game 13'!$B$2:$Q$31""),30,False),1)"),23.0)</f>
        <v>23</v>
      </c>
      <c r="P2" s="5">
        <f>IFERROR(__xludf.DUMMYFUNCTION("IFERROR(HLOOKUP($A2,IMPORTRANGE(""https://docs.google.com/spreadsheets/d/1iyMhSYWifw-KGFtyeBpNxVZr4BhcV9hVZuShgJ9Ia0E/edit#gid=0"",""'Game 6'!$B$2:$Q$31""),30,False),1)"),23.0)</f>
        <v>23</v>
      </c>
      <c r="Q2" s="5">
        <f>IFERROR(__xludf.DUMMYFUNCTION("IFERROR(HLOOKUP($A2,IMPORTRANGE(""https://docs.google.com/spreadsheets/d/1sSbIK-vvHsSY0LghLJ9gcnW8Hec_ITI2tFmpeqI999A/edit#gid=0"",""'Game 9'!$B$2:$Q$31""),30,False),1)"),23.0)</f>
        <v>23</v>
      </c>
      <c r="R2" s="6">
        <f t="shared" ref="R2:R47" si="1">SUM(C2:Q2)</f>
        <v>345</v>
      </c>
    </row>
    <row r="3">
      <c r="A3" s="1" t="s">
        <v>25</v>
      </c>
      <c r="B3" s="1" t="s">
        <v>19</v>
      </c>
      <c r="C3" s="1">
        <v>23.0</v>
      </c>
      <c r="D3" s="1">
        <v>23.0</v>
      </c>
      <c r="E3" s="1">
        <v>12.0</v>
      </c>
      <c r="F3" s="1">
        <v>23.0</v>
      </c>
      <c r="G3" s="1">
        <v>12.0</v>
      </c>
      <c r="H3" s="7">
        <f>IFERROR(__xludf.DUMMYFUNCTION("HLOOKUP($A3,IMPORTRANGE(""https://docs.google.com/spreadsheets/d/16J5ie7OD1E99qGO9lMDm8w5Yls-v190B7DTolJ5TmFc/edit#gid=0"",""'Game 3'!$B$2:$Q$31""),30,False)"),23.0)</f>
        <v>23</v>
      </c>
      <c r="I3" s="1">
        <v>23.0</v>
      </c>
      <c r="J3" s="7">
        <f>IFERROR(__xludf.DUMMYFUNCTION("IFERROR(HLOOKUP($A3,IMPORTRANGE(""https://docs.google.com/spreadsheets/d/1CTYfdyRk_RFGM3I2iN9bKeD9zUPzEm1ajzml6VgwfIU/edit#gid=0"",""'Game 1'!$B$2:$Q$31""),30,False),0)"),23.0)</f>
        <v>23</v>
      </c>
      <c r="K3" s="7">
        <f>IFERROR(__xludf.DUMMYFUNCTION("IFERROR(HLOOKUP($A3,IMPORTRANGE(""https://docs.google.com/spreadsheets/d/11NFkzOdQyW-OtxSDuGslNCgNjx7HUb2FU7KnlNnPMgY/edit#gid=0"",""'Game 12'!$B$2:$Q$31""),30,False),0)"),23.0)</f>
        <v>23</v>
      </c>
      <c r="L3" s="7">
        <f>IFERROR(__xludf.DUMMYFUNCTION("IFERROR(HLOOKUP($A3,IMPORTRANGE(""https://docs.google.com/spreadsheets/d/1CLg5-jaE4ta0-u4oE1qbBplQ5Mf3Oj9ONFgL0zJ7Ol4/edit#gid=0"",""'Game 13'!$B$2:$Q$31""),30,False),1)"),12.0)</f>
        <v>12</v>
      </c>
      <c r="M3" s="7">
        <f>IFERROR(__xludf.DUMMYFUNCTION("IFERROR(HLOOKUP($A3,IMPORTRANGE(""https://docs.google.com/spreadsheets/d/1CeexgK4KxWj3k_7nql_k8-RPxXMwTJyB4Q3vAASeDlA/edit#gid=0"",""'Game 13'!$B$2:$Q$31""),30,False),1)"),23.0)</f>
        <v>23</v>
      </c>
      <c r="N3" s="7">
        <f>IFERROR(__xludf.DUMMYFUNCTION("IFERROR(HLOOKUP($A3,IMPORTRANGE(""https://docs.google.com/spreadsheets/d/1MNwUNMjcwK6bEgCXwB73jpbK5gJAXS8ZMpbEMLJEP3E/edit#gid=0"",""'Game 8'!$B$2:$Q$31""),30,False),1)"),0.0)</f>
        <v>0</v>
      </c>
      <c r="O3" s="7">
        <f>IFERROR(__xludf.DUMMYFUNCTION("IFERROR(HLOOKUP($A3,IMPORTRANGE(""https://docs.google.com/spreadsheets/d/1UrzyxmT40kDZwVrLMf1yyXfP-pyczRAw9Y8Rw-uXG3c/edit#gid=0"",""'Game 13'!$B$2:$Q$31""),30,False),1)"),23.0)</f>
        <v>23</v>
      </c>
      <c r="P3" s="7">
        <f>IFERROR(__xludf.DUMMYFUNCTION("IFERROR(HLOOKUP($A3,IMPORTRANGE(""https://docs.google.com/spreadsheets/d/1iyMhSYWifw-KGFtyeBpNxVZr4BhcV9hVZuShgJ9Ia0E/edit#gid=0"",""'Game 6'!$B$2:$Q$31""),30,False),1)"),23.0)</f>
        <v>23</v>
      </c>
      <c r="Q3" s="7">
        <f>IFERROR(__xludf.DUMMYFUNCTION("IFERROR(HLOOKUP($A3,IMPORTRANGE(""https://docs.google.com/spreadsheets/d/1sSbIK-vvHsSY0LghLJ9gcnW8Hec_ITI2tFmpeqI999A/edit#gid=0"",""'Game 9'!$B$2:$Q$31""),30,False),1)"),11.0)</f>
        <v>11</v>
      </c>
      <c r="R3" s="11">
        <f t="shared" si="1"/>
        <v>277</v>
      </c>
    </row>
    <row r="4">
      <c r="A4" s="3" t="s">
        <v>27</v>
      </c>
      <c r="B4" s="3" t="s">
        <v>19</v>
      </c>
      <c r="C4" s="3">
        <v>23.0</v>
      </c>
      <c r="D4" s="3">
        <v>23.0</v>
      </c>
      <c r="E4" s="3">
        <v>23.0</v>
      </c>
      <c r="F4" s="3">
        <v>23.0</v>
      </c>
      <c r="G4" s="3">
        <v>23.0</v>
      </c>
      <c r="H4" s="5">
        <f>IFERROR(__xludf.DUMMYFUNCTION("HLOOKUP($A4,IMPORTRANGE(""https://docs.google.com/spreadsheets/d/16J5ie7OD1E99qGO9lMDm8w5Yls-v190B7DTolJ5TmFc/edit#gid=0"",""'Game 3'!$B$2:$Q$31""),30,False)"),23.0)</f>
        <v>23</v>
      </c>
      <c r="I4" s="3">
        <v>0.0</v>
      </c>
      <c r="J4" s="5">
        <f>IFERROR(__xludf.DUMMYFUNCTION("IFERROR(HLOOKUP($A4,IMPORTRANGE(""https://docs.google.com/spreadsheets/d/1CTYfdyRk_RFGM3I2iN9bKeD9zUPzEm1ajzml6VgwfIU/edit#gid=0"",""'Game 1'!$B$2:$Q$31""),30,False),0)"),23.0)</f>
        <v>23</v>
      </c>
      <c r="K4" s="5">
        <f>IFERROR(__xludf.DUMMYFUNCTION("IFERROR(HLOOKUP($A4,IMPORTRANGE(""https://docs.google.com/spreadsheets/d/11NFkzOdQyW-OtxSDuGslNCgNjx7HUb2FU7KnlNnPMgY/edit#gid=0"",""'Game 12'!$B$2:$Q$31""),30,False),0)"),23.0)</f>
        <v>23</v>
      </c>
      <c r="L4" s="5">
        <f>IFERROR(__xludf.DUMMYFUNCTION("IFERROR(HLOOKUP($A4,IMPORTRANGE(""https://docs.google.com/spreadsheets/d/1CLg5-jaE4ta0-u4oE1qbBplQ5Mf3Oj9ONFgL0zJ7Ol4/edit#gid=0"",""'Game 13'!$B$2:$Q$31""),30,False),1)"),23.0)</f>
        <v>23</v>
      </c>
      <c r="M4" s="5">
        <f>IFERROR(__xludf.DUMMYFUNCTION("IFERROR(HLOOKUP($A4,IMPORTRANGE(""https://docs.google.com/spreadsheets/d/1CeexgK4KxWj3k_7nql_k8-RPxXMwTJyB4Q3vAASeDlA/edit#gid=0"",""'Game 13'!$B$2:$Q$31""),30,False),1)"),23.0)</f>
        <v>23</v>
      </c>
      <c r="N4" s="5">
        <f>IFERROR(__xludf.DUMMYFUNCTION("IFERROR(HLOOKUP($A4,IMPORTRANGE(""https://docs.google.com/spreadsheets/d/1MNwUNMjcwK6bEgCXwB73jpbK5gJAXS8ZMpbEMLJEP3E/edit#gid=0"",""'Game 8'!$B$2:$Q$31""),30,False),1)"),0.0)</f>
        <v>0</v>
      </c>
      <c r="O4" s="5">
        <f>IFERROR(__xludf.DUMMYFUNCTION("IFERROR(HLOOKUP($A4,IMPORTRANGE(""https://docs.google.com/spreadsheets/d/1UrzyxmT40kDZwVrLMf1yyXfP-pyczRAw9Y8Rw-uXG3c/edit#gid=0"",""'Game 13'!$B$2:$Q$31""),30,False),1)"),23.0)</f>
        <v>23</v>
      </c>
      <c r="P4" s="5">
        <f>IFERROR(__xludf.DUMMYFUNCTION("IFERROR(HLOOKUP($A4,IMPORTRANGE(""https://docs.google.com/spreadsheets/d/1iyMhSYWifw-KGFtyeBpNxVZr4BhcV9hVZuShgJ9Ia0E/edit#gid=0"",""'Game 6'!$B$2:$Q$31""),30,False),1)"),0.0)</f>
        <v>0</v>
      </c>
      <c r="Q4" s="5">
        <f>IFERROR(__xludf.DUMMYFUNCTION("IFERROR(HLOOKUP($A4,IMPORTRANGE(""https://docs.google.com/spreadsheets/d/1sSbIK-vvHsSY0LghLJ9gcnW8Hec_ITI2tFmpeqI999A/edit#gid=0"",""'Game 9'!$B$2:$Q$31""),30,False),1)"),23.0)</f>
        <v>23</v>
      </c>
      <c r="R4" s="6">
        <f t="shared" si="1"/>
        <v>276</v>
      </c>
    </row>
    <row r="5">
      <c r="A5" s="14" t="s">
        <v>28</v>
      </c>
      <c r="B5" s="14" t="s">
        <v>19</v>
      </c>
      <c r="C5" s="15">
        <v>0.0</v>
      </c>
      <c r="D5" s="15">
        <v>0.0</v>
      </c>
      <c r="E5" s="15">
        <v>23.0</v>
      </c>
      <c r="F5" s="15">
        <v>23.0</v>
      </c>
      <c r="G5" s="1">
        <v>23.0</v>
      </c>
      <c r="H5" s="7">
        <f>IFERROR(__xludf.DUMMYFUNCTION("HLOOKUP($A5,IMPORTRANGE(""https://docs.google.com/spreadsheets/d/16J5ie7OD1E99qGO9lMDm8w5Yls-v190B7DTolJ5TmFc/edit#gid=0"",""'Game 3'!$B$2:$Q$31""),30,False)"),12.0)</f>
        <v>12</v>
      </c>
      <c r="I5" s="1">
        <v>23.0</v>
      </c>
      <c r="J5" s="7">
        <f>IFERROR(__xludf.DUMMYFUNCTION("IFERROR(HLOOKUP($A5,IMPORTRANGE(""https://docs.google.com/spreadsheets/d/1CTYfdyRk_RFGM3I2iN9bKeD9zUPzEm1ajzml6VgwfIU/edit#gid=0"",""'Game 1'!$B$2:$Q$31""),30,False),0)"),23.0)</f>
        <v>23</v>
      </c>
      <c r="K5" s="7">
        <f>IFERROR(__xludf.DUMMYFUNCTION("IFERROR(HLOOKUP($A5,IMPORTRANGE(""https://docs.google.com/spreadsheets/d/11NFkzOdQyW-OtxSDuGslNCgNjx7HUb2FU7KnlNnPMgY/edit#gid=0"",""'Game 12'!$B$2:$Q$31""),30,False),0)"),0.0)</f>
        <v>0</v>
      </c>
      <c r="L5" s="7">
        <f>IFERROR(__xludf.DUMMYFUNCTION("IFERROR(HLOOKUP($A5,IMPORTRANGE(""https://docs.google.com/spreadsheets/d/1CLg5-jaE4ta0-u4oE1qbBplQ5Mf3Oj9ONFgL0zJ7Ol4/edit#gid=0"",""'Game 13'!$B$2:$Q$31""),30,False),1)"),11.0)</f>
        <v>11</v>
      </c>
      <c r="M5" s="7">
        <f>IFERROR(__xludf.DUMMYFUNCTION("IFERROR(HLOOKUP($A5,IMPORTRANGE(""https://docs.google.com/spreadsheets/d/1CeexgK4KxWj3k_7nql_k8-RPxXMwTJyB4Q3vAASeDlA/edit#gid=0"",""'Game 13'!$B$2:$Q$31""),30,False),1)"),12.0)</f>
        <v>12</v>
      </c>
      <c r="N5" s="7">
        <f>IFERROR(__xludf.DUMMYFUNCTION("IFERROR(HLOOKUP($A5,IMPORTRANGE(""https://docs.google.com/spreadsheets/d/1MNwUNMjcwK6bEgCXwB73jpbK5gJAXS8ZMpbEMLJEP3E/edit#gid=0"",""'Game 8'!$B$2:$Q$31""),30,False),1)"),23.0)</f>
        <v>23</v>
      </c>
      <c r="O5" s="7">
        <f>IFERROR(__xludf.DUMMYFUNCTION("IFERROR(HLOOKUP($A5,IMPORTRANGE(""https://docs.google.com/spreadsheets/d/1UrzyxmT40kDZwVrLMf1yyXfP-pyczRAw9Y8Rw-uXG3c/edit#gid=0"",""'Game 13'!$B$2:$Q$31""),30,False),1)"),12.0)</f>
        <v>12</v>
      </c>
      <c r="P5" s="7">
        <f>IFERROR(__xludf.DUMMYFUNCTION("IFERROR(HLOOKUP($A5,IMPORTRANGE(""https://docs.google.com/spreadsheets/d/1iyMhSYWifw-KGFtyeBpNxVZr4BhcV9hVZuShgJ9Ia0E/edit#gid=0"",""'Game 6'!$B$2:$Q$31""),30,False),1)"),23.0)</f>
        <v>23</v>
      </c>
      <c r="Q5" s="7">
        <f>IFERROR(__xludf.DUMMYFUNCTION("IFERROR(HLOOKUP($A5,IMPORTRANGE(""https://docs.google.com/spreadsheets/d/1sSbIK-vvHsSY0LghLJ9gcnW8Hec_ITI2tFmpeqI999A/edit#gid=0"",""'Game 9'!$B$2:$Q$31""),30,False),1)"),12.0)</f>
        <v>12</v>
      </c>
      <c r="R5" s="11">
        <f t="shared" si="1"/>
        <v>220</v>
      </c>
    </row>
    <row r="6">
      <c r="A6" s="18" t="s">
        <v>30</v>
      </c>
      <c r="B6" s="18" t="s">
        <v>19</v>
      </c>
      <c r="C6" s="18">
        <v>23.0</v>
      </c>
      <c r="D6" s="18">
        <v>23.0</v>
      </c>
      <c r="E6" s="18">
        <v>11.0</v>
      </c>
      <c r="F6" s="18">
        <v>0.0</v>
      </c>
      <c r="G6" s="3">
        <v>11.0</v>
      </c>
      <c r="H6" s="5">
        <f>IFERROR(__xludf.DUMMYFUNCTION("HLOOKUP($A6,IMPORTRANGE(""https://docs.google.com/spreadsheets/d/16J5ie7OD1E99qGO9lMDm8w5Yls-v190B7DTolJ5TmFc/edit#gid=0"",""'Game 3'!$B$2:$Q$31""),30,False)"),11.0)</f>
        <v>11</v>
      </c>
      <c r="I6" s="3">
        <v>23.0</v>
      </c>
      <c r="J6" s="5">
        <f>IFERROR(__xludf.DUMMYFUNCTION("IFERROR(HLOOKUP($A6,IMPORTRANGE(""https://docs.google.com/spreadsheets/d/1CTYfdyRk_RFGM3I2iN9bKeD9zUPzEm1ajzml6VgwfIU/edit#gid=0"",""'Game 1'!$B$2:$Q$31""),30,False),0)"),0.0)</f>
        <v>0</v>
      </c>
      <c r="K6" s="5">
        <f>IFERROR(__xludf.DUMMYFUNCTION("IFERROR(HLOOKUP($A6,IMPORTRANGE(""https://docs.google.com/spreadsheets/d/11NFkzOdQyW-OtxSDuGslNCgNjx7HUb2FU7KnlNnPMgY/edit#gid=0"",""'Game 12'!$B$2:$Q$31""),30,False),0)"),23.0)</f>
        <v>23</v>
      </c>
      <c r="L6" s="5">
        <f>IFERROR(__xludf.DUMMYFUNCTION("IFERROR(HLOOKUP($A6,IMPORTRANGE(""https://docs.google.com/spreadsheets/d/1CLg5-jaE4ta0-u4oE1qbBplQ5Mf3Oj9ONFgL0zJ7Ol4/edit#gid=0"",""'Game 13'!$B$2:$Q$31""),30,False),1)"),23.0)</f>
        <v>23</v>
      </c>
      <c r="M6" s="5">
        <f>IFERROR(__xludf.DUMMYFUNCTION("IFERROR(HLOOKUP($A6,IMPORTRANGE(""https://docs.google.com/spreadsheets/d/1CeexgK4KxWj3k_7nql_k8-RPxXMwTJyB4Q3vAASeDlA/edit#gid=0"",""'Game 13'!$B$2:$Q$31""),30,False),1)"),11.0)</f>
        <v>11</v>
      </c>
      <c r="N6" s="5">
        <f>IFERROR(__xludf.DUMMYFUNCTION("IFERROR(HLOOKUP($A6,IMPORTRANGE(""https://docs.google.com/spreadsheets/d/1MNwUNMjcwK6bEgCXwB73jpbK5gJAXS8ZMpbEMLJEP3E/edit#gid=0"",""'Game 8'!$B$2:$Q$31""),30,False),1)"),23.0)</f>
        <v>23</v>
      </c>
      <c r="O6" s="5">
        <f>IFERROR(__xludf.DUMMYFUNCTION("IFERROR(HLOOKUP($A6,IMPORTRANGE(""https://docs.google.com/spreadsheets/d/1UrzyxmT40kDZwVrLMf1yyXfP-pyczRAw9Y8Rw-uXG3c/edit#gid=0"",""'Game 13'!$B$2:$Q$31""),30,False),1)"),11.0)</f>
        <v>11</v>
      </c>
      <c r="P6" s="5">
        <f>IFERROR(__xludf.DUMMYFUNCTION("IFERROR(HLOOKUP($A6,IMPORTRANGE(""https://docs.google.com/spreadsheets/d/1iyMhSYWifw-KGFtyeBpNxVZr4BhcV9hVZuShgJ9Ia0E/edit#gid=0"",""'Game 6'!$B$2:$Q$31""),30,False),1)"),23.0)</f>
        <v>23</v>
      </c>
      <c r="Q6" s="5">
        <f>IFERROR(__xludf.DUMMYFUNCTION("IFERROR(HLOOKUP($A6,IMPORTRANGE(""https://docs.google.com/spreadsheets/d/1sSbIK-vvHsSY0LghLJ9gcnW8Hec_ITI2tFmpeqI999A/edit#gid=0"",""'Game 9'!$B$2:$Q$31""),30,False),1)"),23.0)</f>
        <v>23</v>
      </c>
      <c r="R6" s="6">
        <f t="shared" si="1"/>
        <v>239</v>
      </c>
    </row>
    <row r="7">
      <c r="A7" s="1" t="s">
        <v>32</v>
      </c>
      <c r="B7" s="11" t="s">
        <v>33</v>
      </c>
      <c r="C7" s="21">
        <v>23.0</v>
      </c>
      <c r="D7" s="21">
        <v>12.0</v>
      </c>
      <c r="E7" s="21">
        <v>23.0</v>
      </c>
      <c r="F7" s="21">
        <v>23.0</v>
      </c>
      <c r="G7" s="1">
        <v>23.0</v>
      </c>
      <c r="H7" s="7">
        <f>IFERROR(__xludf.DUMMYFUNCTION("HLOOKUP($A7,IMPORTRANGE(""https://docs.google.com/spreadsheets/d/16J5ie7OD1E99qGO9lMDm8w5Yls-v190B7DTolJ5TmFc/edit#gid=0"",""'Game 5'!$B$2:$Q$31""),30,False)"),23.0)</f>
        <v>23</v>
      </c>
      <c r="I7" s="1">
        <v>23.0</v>
      </c>
      <c r="J7" s="7">
        <f>IFERROR(__xludf.DUMMYFUNCTION("IFERROR(HLOOKUP($A7,IMPORTRANGE(""https://docs.google.com/spreadsheets/d/1CTYfdyRk_RFGM3I2iN9bKeD9zUPzEm1ajzml6VgwfIU/edit#gid=0"",""'Game 12'!$B$2:$Q$31""),30,False),0)"),23.0)</f>
        <v>23</v>
      </c>
      <c r="K7" s="7">
        <f>IFERROR(__xludf.DUMMYFUNCTION("IFERROR(HLOOKUP($A7,IMPORTRANGE(""https://docs.google.com/spreadsheets/d/11NFkzOdQyW-OtxSDuGslNCgNjx7HUb2FU7KnlNnPMgY/edit#gid=0"",""'Game 3'!$B$2:$Q$31""),30,False),0)"),12.0)</f>
        <v>12</v>
      </c>
      <c r="L7" s="7">
        <f>IFERROR(__xludf.DUMMYFUNCTION("IFERROR(HLOOKUP($A7,IMPORTRANGE(""https://docs.google.com/spreadsheets/d/1CLg5-jaE4ta0-u4oE1qbBplQ5Mf3Oj9ONFgL0zJ7Ol4/edit#gid=0"",""'Game 11'!$B$2:$Q$31""),30,False),1)"),23.0)</f>
        <v>23</v>
      </c>
      <c r="M7" s="7">
        <f>IFERROR(__xludf.DUMMYFUNCTION("IFERROR(HLOOKUP($A7,IMPORTRANGE(""https://docs.google.com/spreadsheets/d/1CeexgK4KxWj3k_7nql_k8-RPxXMwTJyB4Q3vAASeDlA/edit#gid=0"",""'Game 10'!$B$2:$Q$31""),30,False),1)"),11.0)</f>
        <v>11</v>
      </c>
      <c r="N7" s="7">
        <f>IFERROR(__xludf.DUMMYFUNCTION("IFERROR(HLOOKUP($A7,IMPORTRANGE(""https://docs.google.com/spreadsheets/d/1MNwUNMjcwK6bEgCXwB73jpbK5gJAXS8ZMpbEMLJEP3E/edit#gid=0"",""'Game 10'!$B$2:$Q$31""),30,False),1)"),23.0)</f>
        <v>23</v>
      </c>
      <c r="O7" s="7">
        <f>IFERROR(__xludf.DUMMYFUNCTION("IFERROR(HLOOKUP($A7,IMPORTRANGE(""https://docs.google.com/spreadsheets/d/1UrzyxmT40kDZwVrLMf1yyXfP-pyczRAw9Y8Rw-uXG3c/edit#gid=0"",""'Game 4'!$B$2:$Q$31""),30,False),1)"),23.0)</f>
        <v>23</v>
      </c>
      <c r="P7" s="7">
        <f>IFERROR(__xludf.DUMMYFUNCTION("IFERROR(HLOOKUP($A7,IMPORTRANGE(""https://docs.google.com/spreadsheets/d/1iyMhSYWifw-KGFtyeBpNxVZr4BhcV9hVZuShgJ9Ia0E/edit#gid=0"",""'Game 11'!$B$2:$Q$31""),30,False),1)"),23.0)</f>
        <v>23</v>
      </c>
      <c r="Q7" s="7">
        <f>IFERROR(__xludf.DUMMYFUNCTION("IFERROR(HLOOKUP($A7,IMPORTRANGE(""https://docs.google.com/spreadsheets/d/1sSbIK-vvHsSY0LghLJ9gcnW8Hec_ITI2tFmpeqI999A/edit#gid=0"",""'Game 9'!$B$2:$Q$31""),30,False),1)"),23.0)</f>
        <v>23</v>
      </c>
      <c r="R7" s="11">
        <f t="shared" si="1"/>
        <v>311</v>
      </c>
    </row>
    <row r="8">
      <c r="A8" s="18" t="s">
        <v>36</v>
      </c>
      <c r="B8" s="6" t="s">
        <v>33</v>
      </c>
      <c r="C8" s="18">
        <v>12.0</v>
      </c>
      <c r="D8" s="18">
        <v>23.0</v>
      </c>
      <c r="E8" s="18">
        <v>0.0</v>
      </c>
      <c r="F8" s="18">
        <v>23.0</v>
      </c>
      <c r="G8" s="3">
        <v>23.0</v>
      </c>
      <c r="H8" s="5">
        <f>IFERROR(__xludf.DUMMYFUNCTION("HLOOKUP($A8,IMPORTRANGE(""https://docs.google.com/spreadsheets/d/16J5ie7OD1E99qGO9lMDm8w5Yls-v190B7DTolJ5TmFc/edit#gid=0"",""'Game 5'!$B$2:$Q$31""),30,False)"),0.0)</f>
        <v>0</v>
      </c>
      <c r="I8" s="3">
        <v>23.0</v>
      </c>
      <c r="J8" s="5">
        <f>IFERROR(__xludf.DUMMYFUNCTION("IFERROR(HLOOKUP($A8,IMPORTRANGE(""https://docs.google.com/spreadsheets/d/1CTYfdyRk_RFGM3I2iN9bKeD9zUPzEm1ajzml6VgwfIU/edit#gid=0"",""'Game 12'!$B$2:$Q$31""),30,False),0)"),23.0)</f>
        <v>23</v>
      </c>
      <c r="K8" s="5">
        <f>IFERROR(__xludf.DUMMYFUNCTION("IFERROR(HLOOKUP($A8,IMPORTRANGE(""https://docs.google.com/spreadsheets/d/11NFkzOdQyW-OtxSDuGslNCgNjx7HUb2FU7KnlNnPMgY/edit#gid=0"",""'Game 3'!$B$2:$Q$31""),30,False),0)"),23.0)</f>
        <v>23</v>
      </c>
      <c r="L8" s="5">
        <f>IFERROR(__xludf.DUMMYFUNCTION("IFERROR(HLOOKUP($A8,IMPORTRANGE(""https://docs.google.com/spreadsheets/d/1CLg5-jaE4ta0-u4oE1qbBplQ5Mf3Oj9ONFgL0zJ7Ol4/edit#gid=0"",""'Game 11'!$B$2:$Q$31""),30,False),1)"),23.0)</f>
        <v>23</v>
      </c>
      <c r="M8" s="5">
        <f>IFERROR(__xludf.DUMMYFUNCTION("IFERROR(HLOOKUP($A8,IMPORTRANGE(""https://docs.google.com/spreadsheets/d/1CeexgK4KxWj3k_7nql_k8-RPxXMwTJyB4Q3vAASeDlA/edit#gid=0"",""'Game 10'!$B$2:$Q$31""),30,False),1)"),23.0)</f>
        <v>23</v>
      </c>
      <c r="N8" s="5">
        <f>IFERROR(__xludf.DUMMYFUNCTION("IFERROR(HLOOKUP($A8,IMPORTRANGE(""https://docs.google.com/spreadsheets/d/1MNwUNMjcwK6bEgCXwB73jpbK5gJAXS8ZMpbEMLJEP3E/edit#gid=0"",""'Game 10'!$B$2:$Q$31""),30,False),1)"),23.0)</f>
        <v>23</v>
      </c>
      <c r="O8" s="5">
        <f>IFERROR(__xludf.DUMMYFUNCTION("IFERROR(HLOOKUP($A8,IMPORTRANGE(""https://docs.google.com/spreadsheets/d/1UrzyxmT40kDZwVrLMf1yyXfP-pyczRAw9Y8Rw-uXG3c/edit#gid=0"",""'Game 4'!$B$2:$Q$31""),30,False),1)"),23.0)</f>
        <v>23</v>
      </c>
      <c r="P8" s="5">
        <f>IFERROR(__xludf.DUMMYFUNCTION("IFERROR(HLOOKUP($A8,IMPORTRANGE(""https://docs.google.com/spreadsheets/d/1iyMhSYWifw-KGFtyeBpNxVZr4BhcV9hVZuShgJ9Ia0E/edit#gid=0"",""'Game 11'!$B$2:$Q$31""),30,False),1)"),23.0)</f>
        <v>23</v>
      </c>
      <c r="Q8" s="5">
        <f>IFERROR(__xludf.DUMMYFUNCTION("IFERROR(HLOOKUP($A8,IMPORTRANGE(""https://docs.google.com/spreadsheets/d/1sSbIK-vvHsSY0LghLJ9gcnW8Hec_ITI2tFmpeqI999A/edit#gid=0"",""'Game 9'!$B$2:$Q$31""),30,False),1)"),23.0)</f>
        <v>23</v>
      </c>
      <c r="R8" s="6">
        <f t="shared" si="1"/>
        <v>288</v>
      </c>
    </row>
    <row r="9">
      <c r="A9" s="21" t="s">
        <v>37</v>
      </c>
      <c r="B9" s="11" t="s">
        <v>33</v>
      </c>
      <c r="C9" s="21">
        <v>23.0</v>
      </c>
      <c r="D9" s="21">
        <v>23.0</v>
      </c>
      <c r="E9" s="21">
        <v>23.0</v>
      </c>
      <c r="F9" s="21">
        <v>11.0</v>
      </c>
      <c r="G9" s="1">
        <v>0.0</v>
      </c>
      <c r="H9" s="7">
        <f>IFERROR(__xludf.DUMMYFUNCTION("HLOOKUP($A9,IMPORTRANGE(""https://docs.google.com/spreadsheets/d/16J5ie7OD1E99qGO9lMDm8w5Yls-v190B7DTolJ5TmFc/edit#gid=0"",""'Game 5'!$B$2:$Q$31""),30,False)"),23.0)</f>
        <v>23</v>
      </c>
      <c r="I9" s="1">
        <v>0.0</v>
      </c>
      <c r="J9" s="7">
        <f>IFERROR(__xludf.DUMMYFUNCTION("IFERROR(HLOOKUP($A9,IMPORTRANGE(""https://docs.google.com/spreadsheets/d/1CTYfdyRk_RFGM3I2iN9bKeD9zUPzEm1ajzml6VgwfIU/edit#gid=0"",""'Game 12'!$B$2:$Q$31""),30,False),0)"),0.0)</f>
        <v>0</v>
      </c>
      <c r="K9" s="7">
        <f>IFERROR(__xludf.DUMMYFUNCTION("IFERROR(HLOOKUP($A9,IMPORTRANGE(""https://docs.google.com/spreadsheets/d/11NFkzOdQyW-OtxSDuGslNCgNjx7HUb2FU7KnlNnPMgY/edit#gid=0"",""'Game 3'!$B$2:$Q$31""),30,False),0)"),23.0)</f>
        <v>23</v>
      </c>
      <c r="L9" s="7">
        <f>IFERROR(__xludf.DUMMYFUNCTION("IFERROR(HLOOKUP($A9,IMPORTRANGE(""https://docs.google.com/spreadsheets/d/1CLg5-jaE4ta0-u4oE1qbBplQ5Mf3Oj9ONFgL0zJ7Ol4/edit#gid=0"",""'Game 11'!$B$2:$Q$31""),30,False),1)"),0.0)</f>
        <v>0</v>
      </c>
      <c r="M9" s="7">
        <f>IFERROR(__xludf.DUMMYFUNCTION("IFERROR(HLOOKUP($A9,IMPORTRANGE(""https://docs.google.com/spreadsheets/d/1CeexgK4KxWj3k_7nql_k8-RPxXMwTJyB4Q3vAASeDlA/edit#gid=0"",""'Game 10'!$B$2:$Q$31""),30,False),1)"),23.0)</f>
        <v>23</v>
      </c>
      <c r="N9" s="7">
        <f>IFERROR(__xludf.DUMMYFUNCTION("IFERROR(HLOOKUP($A9,IMPORTRANGE(""https://docs.google.com/spreadsheets/d/1MNwUNMjcwK6bEgCXwB73jpbK5gJAXS8ZMpbEMLJEP3E/edit#gid=0"",""'Game 10'!$B$2:$Q$31""),30,False),1)"),0.0)</f>
        <v>0</v>
      </c>
      <c r="O9" s="7">
        <f>IFERROR(__xludf.DUMMYFUNCTION("IFERROR(HLOOKUP($A9,IMPORTRANGE(""https://docs.google.com/spreadsheets/d/1UrzyxmT40kDZwVrLMf1yyXfP-pyczRAw9Y8Rw-uXG3c/edit#gid=0"",""'Game 4'!$B$2:$Q$31""),30,False),1)"),0.0)</f>
        <v>0</v>
      </c>
      <c r="P9" s="7">
        <f>IFERROR(__xludf.DUMMYFUNCTION("IFERROR(HLOOKUP($A9,IMPORTRANGE(""https://docs.google.com/spreadsheets/d/1iyMhSYWifw-KGFtyeBpNxVZr4BhcV9hVZuShgJ9Ia0E/edit#gid=0"",""'Game 11'!$B$2:$Q$31""),30,False),1)"),0.0)</f>
        <v>0</v>
      </c>
      <c r="Q9" s="7">
        <f>IFERROR(__xludf.DUMMYFUNCTION("IFERROR(HLOOKUP($A9,IMPORTRANGE(""https://docs.google.com/spreadsheets/d/1sSbIK-vvHsSY0LghLJ9gcnW8Hec_ITI2tFmpeqI999A/edit#gid=0"",""'Game 9'!$B$2:$Q$31""),30,False),1)"),0.0)</f>
        <v>0</v>
      </c>
      <c r="R9" s="11">
        <f t="shared" si="1"/>
        <v>149</v>
      </c>
    </row>
    <row r="10">
      <c r="A10" s="18" t="s">
        <v>39</v>
      </c>
      <c r="B10" s="6" t="s">
        <v>33</v>
      </c>
      <c r="C10" s="18">
        <v>23.0</v>
      </c>
      <c r="D10" s="18">
        <v>11.0</v>
      </c>
      <c r="E10" s="18">
        <v>23.0</v>
      </c>
      <c r="F10" s="18">
        <v>12.0</v>
      </c>
      <c r="G10" s="3">
        <v>23.0</v>
      </c>
      <c r="H10" s="5">
        <f>IFERROR(__xludf.DUMMYFUNCTION("HLOOKUP($A10,IMPORTRANGE(""https://docs.google.com/spreadsheets/d/16J5ie7OD1E99qGO9lMDm8w5Yls-v190B7DTolJ5TmFc/edit#gid=0"",""'Game 5'!$B$2:$Q$31""),30,False)"),23.0)</f>
        <v>23</v>
      </c>
      <c r="I10" s="3">
        <v>0.0</v>
      </c>
      <c r="J10" s="5">
        <f>IFERROR(__xludf.DUMMYFUNCTION("IFERROR(HLOOKUP($A10,IMPORTRANGE(""https://docs.google.com/spreadsheets/d/1CTYfdyRk_RFGM3I2iN9bKeD9zUPzEm1ajzml6VgwfIU/edit#gid=0"",""'Game 12'!$B$2:$Q$31""),30,False),0)"),23.0)</f>
        <v>23</v>
      </c>
      <c r="K10" s="5">
        <f>IFERROR(__xludf.DUMMYFUNCTION("IFERROR(HLOOKUP($A10,IMPORTRANGE(""https://docs.google.com/spreadsheets/d/11NFkzOdQyW-OtxSDuGslNCgNjx7HUb2FU7KnlNnPMgY/edit#gid=0"",""'Game 3'!$B$2:$Q$31""),30,False),0)"),23.0)</f>
        <v>23</v>
      </c>
      <c r="L10" s="5">
        <f>IFERROR(__xludf.DUMMYFUNCTION("IFERROR(HLOOKUP($A10,IMPORTRANGE(""https://docs.google.com/spreadsheets/d/1CLg5-jaE4ta0-u4oE1qbBplQ5Mf3Oj9ONFgL0zJ7Ol4/edit#gid=0"",""'Game 11'!$B$2:$Q$31""),30,False),1)"),23.0)</f>
        <v>23</v>
      </c>
      <c r="M10" s="5">
        <f>IFERROR(__xludf.DUMMYFUNCTION("IFERROR(HLOOKUP($A10,IMPORTRANGE(""https://docs.google.com/spreadsheets/d/1CeexgK4KxWj3k_7nql_k8-RPxXMwTJyB4Q3vAASeDlA/edit#gid=0"",""'Game 10'!$B$2:$Q$31""),30,False),1)"),12.0)</f>
        <v>12</v>
      </c>
      <c r="N10" s="5">
        <f>IFERROR(__xludf.DUMMYFUNCTION("IFERROR(HLOOKUP($A10,IMPORTRANGE(""https://docs.google.com/spreadsheets/d/1MNwUNMjcwK6bEgCXwB73jpbK5gJAXS8ZMpbEMLJEP3E/edit#gid=0"",""'Game 10'!$B$2:$Q$31""),30,False),1)"),23.0)</f>
        <v>23</v>
      </c>
      <c r="O10" s="5">
        <f>IFERROR(__xludf.DUMMYFUNCTION("IFERROR(HLOOKUP($A10,IMPORTRANGE(""https://docs.google.com/spreadsheets/d/1UrzyxmT40kDZwVrLMf1yyXfP-pyczRAw9Y8Rw-uXG3c/edit#gid=0"",""'Game 4'!$B$2:$Q$31""),30,False),1)"),0.0)</f>
        <v>0</v>
      </c>
      <c r="P10" s="5">
        <f>IFERROR(__xludf.DUMMYFUNCTION("IFERROR(HLOOKUP($A10,IMPORTRANGE(""https://docs.google.com/spreadsheets/d/1iyMhSYWifw-KGFtyeBpNxVZr4BhcV9hVZuShgJ9Ia0E/edit#gid=0"",""'Game 11'!$B$2:$Q$31""),30,False),1)"),0.0)</f>
        <v>0</v>
      </c>
      <c r="Q10" s="5">
        <f>IFERROR(__xludf.DUMMYFUNCTION("IFERROR(HLOOKUP($A10,IMPORTRANGE(""https://docs.google.com/spreadsheets/d/1sSbIK-vvHsSY0LghLJ9gcnW8Hec_ITI2tFmpeqI999A/edit#gid=0"",""'Game 9'!$B$2:$Q$31""),30,False),1)"),23.0)</f>
        <v>23</v>
      </c>
      <c r="R10" s="6">
        <f t="shared" si="1"/>
        <v>242</v>
      </c>
    </row>
    <row r="11">
      <c r="A11" s="21" t="s">
        <v>41</v>
      </c>
      <c r="B11" s="21" t="s">
        <v>33</v>
      </c>
      <c r="C11" s="21">
        <v>11.0</v>
      </c>
      <c r="D11" s="21">
        <v>23.0</v>
      </c>
      <c r="E11" s="21">
        <v>23.0</v>
      </c>
      <c r="F11" s="21">
        <v>23.0</v>
      </c>
      <c r="G11" s="1">
        <v>23.0</v>
      </c>
      <c r="H11" s="7">
        <f>IFERROR(__xludf.DUMMYFUNCTION("HLOOKUP($A11,IMPORTRANGE(""https://docs.google.com/spreadsheets/d/16J5ie7OD1E99qGO9lMDm8w5Yls-v190B7DTolJ5TmFc/edit#gid=0"",""'Game 5'!$B$2:$Q$31""),30,False)"),23.0)</f>
        <v>23</v>
      </c>
      <c r="I11" s="1">
        <v>23.0</v>
      </c>
      <c r="J11" s="7">
        <f>IFERROR(__xludf.DUMMYFUNCTION("IFERROR(HLOOKUP($A11,IMPORTRANGE(""https://docs.google.com/spreadsheets/d/1CTYfdyRk_RFGM3I2iN9bKeD9zUPzEm1ajzml6VgwfIU/edit#gid=0"",""'Game 12'!$B$2:$Q$31""),30,False),0)"),23.0)</f>
        <v>23</v>
      </c>
      <c r="K11" s="7">
        <f>IFERROR(__xludf.DUMMYFUNCTION("IFERROR(HLOOKUP($A11,IMPORTRANGE(""https://docs.google.com/spreadsheets/d/11NFkzOdQyW-OtxSDuGslNCgNjx7HUb2FU7KnlNnPMgY/edit#gid=0"",""'Game 3'!$B$2:$Q$31""),30,False),0)"),11.0)</f>
        <v>11</v>
      </c>
      <c r="L11" s="7">
        <f>IFERROR(__xludf.DUMMYFUNCTION("IFERROR(HLOOKUP($A11,IMPORTRANGE(""https://docs.google.com/spreadsheets/d/1CLg5-jaE4ta0-u4oE1qbBplQ5Mf3Oj9ONFgL0zJ7Ol4/edit#gid=0"",""'Game 11'!$B$2:$Q$31""),30,False),1)"),23.0)</f>
        <v>23</v>
      </c>
      <c r="M11" s="7">
        <f>IFERROR(__xludf.DUMMYFUNCTION("IFERROR(HLOOKUP($A11,IMPORTRANGE(""https://docs.google.com/spreadsheets/d/1CeexgK4KxWj3k_7nql_k8-RPxXMwTJyB4Q3vAASeDlA/edit#gid=0"",""'Game 10'!$B$2:$Q$31""),30,False),1)"),23.0)</f>
        <v>23</v>
      </c>
      <c r="N11" s="7">
        <f>IFERROR(__xludf.DUMMYFUNCTION("IFERROR(HLOOKUP($A11,IMPORTRANGE(""https://docs.google.com/spreadsheets/d/1MNwUNMjcwK6bEgCXwB73jpbK5gJAXS8ZMpbEMLJEP3E/edit#gid=0"",""'Game 10'!$B$2:$Q$31""),30,False),1)"),23.0)</f>
        <v>23</v>
      </c>
      <c r="O11" s="7">
        <f>IFERROR(__xludf.DUMMYFUNCTION("IFERROR(HLOOKUP($A11,IMPORTRANGE(""https://docs.google.com/spreadsheets/d/1UrzyxmT40kDZwVrLMf1yyXfP-pyczRAw9Y8Rw-uXG3c/edit#gid=0"",""'Game 4'!$B$2:$Q$31""),30,False),1)"),23.0)</f>
        <v>23</v>
      </c>
      <c r="P11" s="7">
        <f>IFERROR(__xludf.DUMMYFUNCTION("IFERROR(HLOOKUP($A11,IMPORTRANGE(""https://docs.google.com/spreadsheets/d/1iyMhSYWifw-KGFtyeBpNxVZr4BhcV9hVZuShgJ9Ia0E/edit#gid=0"",""'Game 11'!$B$2:$Q$31""),30,False),1)"),23.0)</f>
        <v>23</v>
      </c>
      <c r="Q11" s="7">
        <f>IFERROR(__xludf.DUMMYFUNCTION("IFERROR(HLOOKUP($A11,IMPORTRANGE(""https://docs.google.com/spreadsheets/d/1sSbIK-vvHsSY0LghLJ9gcnW8Hec_ITI2tFmpeqI999A/edit#gid=0"",""'Game 9'!$B$2:$Q$31""),30,False),1)"),23.0)</f>
        <v>23</v>
      </c>
      <c r="R11" s="11">
        <f t="shared" si="1"/>
        <v>321</v>
      </c>
    </row>
    <row r="12">
      <c r="A12" s="18" t="s">
        <v>43</v>
      </c>
      <c r="B12" s="6" t="s">
        <v>44</v>
      </c>
      <c r="C12" s="18">
        <v>23.0</v>
      </c>
      <c r="D12" s="18">
        <v>23.0</v>
      </c>
      <c r="E12" s="18">
        <v>23.0</v>
      </c>
      <c r="F12" s="18">
        <v>23.0</v>
      </c>
      <c r="G12" s="3">
        <v>23.0</v>
      </c>
      <c r="H12" s="5">
        <f>IFERROR(__xludf.DUMMYFUNCTION("HLOOKUP($A12,IMPORTRANGE(""https://docs.google.com/spreadsheets/d/16J5ie7OD1E99qGO9lMDm8w5Yls-v190B7DTolJ5TmFc/edit#gid=0"",""'Game 11'!$B$2:$Q$31""),30,False)"),23.0)</f>
        <v>23</v>
      </c>
      <c r="I12" s="3">
        <v>23.0</v>
      </c>
      <c r="J12" s="5">
        <f>IFERROR(__xludf.DUMMYFUNCTION("IFERROR(HLOOKUP($A12,IMPORTRANGE(""https://docs.google.com/spreadsheets/d/1CTYfdyRk_RFGM3I2iN9bKeD9zUPzEm1ajzml6VgwfIU/edit#gid=0"",""'Game 4'!$B$2:$Q$31""),30,False),0)"),23.0)</f>
        <v>23</v>
      </c>
      <c r="K12" s="5">
        <f>IFERROR(__xludf.DUMMYFUNCTION("IFERROR(HLOOKUP($A12,IMPORTRANGE(""https://docs.google.com/spreadsheets/d/11NFkzOdQyW-OtxSDuGslNCgNjx7HUb2FU7KnlNnPMgY/edit#gid=0"",""'Game 4'!$B$2:$Q$31""),30,False),0)"),23.0)</f>
        <v>23</v>
      </c>
      <c r="L12" s="5">
        <f>IFERROR(__xludf.DUMMYFUNCTION("IFERROR(HLOOKUP($A12,IMPORTRANGE(""https://docs.google.com/spreadsheets/d/1CLg5-jaE4ta0-u4oE1qbBplQ5Mf3Oj9ONFgL0zJ7Ol4/edit#gid=0"",""'Game 4'!$B$2:$Q$31""),30,False),1)"),23.0)</f>
        <v>23</v>
      </c>
      <c r="M12" s="5">
        <f>IFERROR(__xludf.DUMMYFUNCTION("IFERROR(HLOOKUP($A12,IMPORTRANGE(""https://docs.google.com/spreadsheets/d/1CeexgK4KxWj3k_7nql_k8-RPxXMwTJyB4Q3vAASeDlA/edit#gid=0"",""'Game 4'!$B$2:$Q$31""),30,False),1)"),23.0)</f>
        <v>23</v>
      </c>
      <c r="N12" s="5">
        <f>IFERROR(__xludf.DUMMYFUNCTION("IFERROR(HLOOKUP($A12,IMPORTRANGE(""https://docs.google.com/spreadsheets/d/1MNwUNMjcwK6bEgCXwB73jpbK5gJAXS8ZMpbEMLJEP3E/edit#gid=0"",""'Game 4'!$B$2:$Q$31""),30,False),1)"),23.0)</f>
        <v>23</v>
      </c>
      <c r="O12" s="5">
        <f>IFERROR(__xludf.DUMMYFUNCTION("IFERROR(HLOOKUP($A12,IMPORTRANGE(""https://docs.google.com/spreadsheets/d/1UrzyxmT40kDZwVrLMf1yyXfP-pyczRAw9Y8Rw-uXG3c/edit#gid=0"",""'Game 4'!$B$2:$Q$31""),30,False),1)"),23.0)</f>
        <v>23</v>
      </c>
      <c r="P12" s="5">
        <f>IFERROR(__xludf.DUMMYFUNCTION("IFERROR(HLOOKUP($A12,IMPORTRANGE(""https://docs.google.com/spreadsheets/d/1iyMhSYWifw-KGFtyeBpNxVZr4BhcV9hVZuShgJ9Ia0E/edit#gid=0"",""'Game 4'!$B$2:$Q$31""),30,False),1)"),23.0)</f>
        <v>23</v>
      </c>
      <c r="Q12" s="5">
        <f>IFERROR(__xludf.DUMMYFUNCTION("IFERROR(HLOOKUP($A12,IMPORTRANGE(""https://docs.google.com/spreadsheets/d/1sSbIK-vvHsSY0LghLJ9gcnW8Hec_ITI2tFmpeqI999A/edit#gid=0"",""'Game 3'!$B$2:$Q$31""),30,False),1)"),23.0)</f>
        <v>23</v>
      </c>
      <c r="R12" s="6">
        <f t="shared" si="1"/>
        <v>345</v>
      </c>
    </row>
    <row r="13">
      <c r="A13" s="1" t="s">
        <v>46</v>
      </c>
      <c r="B13" s="11" t="s">
        <v>44</v>
      </c>
      <c r="C13" s="21">
        <v>0.0</v>
      </c>
      <c r="D13" s="21">
        <v>23.0</v>
      </c>
      <c r="E13" s="21">
        <v>0.0</v>
      </c>
      <c r="F13" s="21">
        <v>0.0</v>
      </c>
      <c r="G13" s="1">
        <v>23.0</v>
      </c>
      <c r="H13" s="7">
        <f>IFERROR(__xludf.DUMMYFUNCTION("HLOOKUP($A13,IMPORTRANGE(""https://docs.google.com/spreadsheets/d/16J5ie7OD1E99qGO9lMDm8w5Yls-v190B7DTolJ5TmFc/edit#gid=0"",""'Game 11'!$B$2:$Q$31""),30,False)"),0.0)</f>
        <v>0</v>
      </c>
      <c r="I13" s="1">
        <v>23.0</v>
      </c>
      <c r="J13" s="7">
        <f>IFERROR(__xludf.DUMMYFUNCTION("IFERROR(HLOOKUP($A13,IMPORTRANGE(""https://docs.google.com/spreadsheets/d/1CTYfdyRk_RFGM3I2iN9bKeD9zUPzEm1ajzml6VgwfIU/edit#gid=0"",""'Game 4'!$B$2:$Q$31""),30,False),0)"),0.0)</f>
        <v>0</v>
      </c>
      <c r="K13" s="7">
        <f>IFERROR(__xludf.DUMMYFUNCTION("IFERROR(HLOOKUP($A13,IMPORTRANGE(""https://docs.google.com/spreadsheets/d/11NFkzOdQyW-OtxSDuGslNCgNjx7HUb2FU7KnlNnPMgY/edit#gid=0"",""'Game 4'!$B$2:$Q$31""),30,False),0)"),0.0)</f>
        <v>0</v>
      </c>
      <c r="L13" s="7">
        <f>IFERROR(__xludf.DUMMYFUNCTION("IFERROR(HLOOKUP($A13,IMPORTRANGE(""https://docs.google.com/spreadsheets/d/1CLg5-jaE4ta0-u4oE1qbBplQ5Mf3Oj9ONFgL0zJ7Ol4/edit#gid=0"",""'Game 4'!$B$2:$Q$31""),30,False),1)"),0.0)</f>
        <v>0</v>
      </c>
      <c r="M13" s="7">
        <f>IFERROR(__xludf.DUMMYFUNCTION("IFERROR(HLOOKUP($A13,IMPORTRANGE(""https://docs.google.com/spreadsheets/d/1CeexgK4KxWj3k_7nql_k8-RPxXMwTJyB4Q3vAASeDlA/edit#gid=0"",""'Game 4'!$B$2:$Q$31""),30,False),1)"),0.0)</f>
        <v>0</v>
      </c>
      <c r="N13" s="7">
        <f>IFERROR(__xludf.DUMMYFUNCTION("IFERROR(HLOOKUP($A13,IMPORTRANGE(""https://docs.google.com/spreadsheets/d/1MNwUNMjcwK6bEgCXwB73jpbK5gJAXS8ZMpbEMLJEP3E/edit#gid=0"",""'Game 4'!$B$2:$Q$31""),30,False),1)"),0.0)</f>
        <v>0</v>
      </c>
      <c r="O13" s="7">
        <f>IFERROR(__xludf.DUMMYFUNCTION("IFERROR(HLOOKUP($A13,IMPORTRANGE(""https://docs.google.com/spreadsheets/d/1UrzyxmT40kDZwVrLMf1yyXfP-pyczRAw9Y8Rw-uXG3c/edit#gid=0"",""'Game 4'!$B$2:$Q$31""),30,False),1)"),0.0)</f>
        <v>0</v>
      </c>
      <c r="P13" s="7">
        <f>IFERROR(__xludf.DUMMYFUNCTION("IFERROR(HLOOKUP($A13,IMPORTRANGE(""https://docs.google.com/spreadsheets/d/1iyMhSYWifw-KGFtyeBpNxVZr4BhcV9hVZuShgJ9Ia0E/edit#gid=0"",""'Game 4'!$B$2:$Q$31""),30,False),1)"),0.0)</f>
        <v>0</v>
      </c>
      <c r="Q13" s="7">
        <f>IFERROR(__xludf.DUMMYFUNCTION("IFERROR(HLOOKUP($A13,IMPORTRANGE(""https://docs.google.com/spreadsheets/d/1sSbIK-vvHsSY0LghLJ9gcnW8Hec_ITI2tFmpeqI999A/edit#gid=0"",""'Game 3'!$B$2:$Q$31""),30,False),1)"),0.0)</f>
        <v>0</v>
      </c>
      <c r="R13" s="11">
        <f t="shared" si="1"/>
        <v>69</v>
      </c>
    </row>
    <row r="14">
      <c r="A14" s="18" t="s">
        <v>49</v>
      </c>
      <c r="B14" s="6" t="s">
        <v>44</v>
      </c>
      <c r="C14" s="18">
        <v>23.0</v>
      </c>
      <c r="D14" s="18">
        <v>23.0</v>
      </c>
      <c r="E14" s="18">
        <v>0.0</v>
      </c>
      <c r="F14" s="18">
        <v>23.0</v>
      </c>
      <c r="G14" s="3">
        <v>0.0</v>
      </c>
      <c r="H14" s="5">
        <f>IFERROR(__xludf.DUMMYFUNCTION("HLOOKUP($A14,IMPORTRANGE(""https://docs.google.com/spreadsheets/d/16J5ie7OD1E99qGO9lMDm8w5Yls-v190B7DTolJ5TmFc/edit#gid=0"",""'Game 11'!$B$2:$Q$31""),30,False)"),23.0)</f>
        <v>23</v>
      </c>
      <c r="I14" s="3">
        <v>0.0</v>
      </c>
      <c r="J14" s="5">
        <f>IFERROR(__xludf.DUMMYFUNCTION("IFERROR(HLOOKUP($A14,IMPORTRANGE(""https://docs.google.com/spreadsheets/d/1CTYfdyRk_RFGM3I2iN9bKeD9zUPzEm1ajzml6VgwfIU/edit#gid=0"",""'Game 4'!$B$2:$Q$31""),30,False),0)"),0.0)</f>
        <v>0</v>
      </c>
      <c r="K14" s="5">
        <f>IFERROR(__xludf.DUMMYFUNCTION("IFERROR(HLOOKUP($A14,IMPORTRANGE(""https://docs.google.com/spreadsheets/d/11NFkzOdQyW-OtxSDuGslNCgNjx7HUb2FU7KnlNnPMgY/edit#gid=0"",""'Game 4'!$B$2:$Q$31""),30,False),0)"),23.0)</f>
        <v>23</v>
      </c>
      <c r="L14" s="5">
        <f>IFERROR(__xludf.DUMMYFUNCTION("IFERROR(HLOOKUP($A14,IMPORTRANGE(""https://docs.google.com/spreadsheets/d/1CLg5-jaE4ta0-u4oE1qbBplQ5Mf3Oj9ONFgL0zJ7Ol4/edit#gid=0"",""'Game 4'!$B$2:$Q$31""),30,False),1)"),0.0)</f>
        <v>0</v>
      </c>
      <c r="M14" s="5">
        <f>IFERROR(__xludf.DUMMYFUNCTION("IFERROR(HLOOKUP($A14,IMPORTRANGE(""https://docs.google.com/spreadsheets/d/1CeexgK4KxWj3k_7nql_k8-RPxXMwTJyB4Q3vAASeDlA/edit#gid=0"",""'Game 4'!$B$2:$Q$31""),30,False),1)"),0.0)</f>
        <v>0</v>
      </c>
      <c r="N14" s="5">
        <f>IFERROR(__xludf.DUMMYFUNCTION("IFERROR(HLOOKUP($A14,IMPORTRANGE(""https://docs.google.com/spreadsheets/d/1MNwUNMjcwK6bEgCXwB73jpbK5gJAXS8ZMpbEMLJEP3E/edit#gid=0"",""'Game 4'!$B$2:$Q$31""),30,False),1)"),0.0)</f>
        <v>0</v>
      </c>
      <c r="O14" s="5">
        <f>IFERROR(__xludf.DUMMYFUNCTION("IFERROR(HLOOKUP($A14,IMPORTRANGE(""https://docs.google.com/spreadsheets/d/1UrzyxmT40kDZwVrLMf1yyXfP-pyczRAw9Y8Rw-uXG3c/edit#gid=0"",""'Game 4'!$B$2:$Q$31""),30,False),1)"),23.0)</f>
        <v>23</v>
      </c>
      <c r="P14" s="5">
        <f>IFERROR(__xludf.DUMMYFUNCTION("IFERROR(HLOOKUP($A14,IMPORTRANGE(""https://docs.google.com/spreadsheets/d/1iyMhSYWifw-KGFtyeBpNxVZr4BhcV9hVZuShgJ9Ia0E/edit#gid=0"",""'Game 4'!$B$2:$Q$31""),30,False),1)"),0.0)</f>
        <v>0</v>
      </c>
      <c r="Q14" s="5">
        <f>IFERROR(__xludf.DUMMYFUNCTION("IFERROR(HLOOKUP($A14,IMPORTRANGE(""https://docs.google.com/spreadsheets/d/1sSbIK-vvHsSY0LghLJ9gcnW8Hec_ITI2tFmpeqI999A/edit#gid=0"",""'Game 3'!$B$2:$Q$31""),30,False),1)"),0.0)</f>
        <v>0</v>
      </c>
      <c r="R14" s="6">
        <f t="shared" si="1"/>
        <v>138</v>
      </c>
    </row>
    <row r="15">
      <c r="A15" s="21" t="s">
        <v>50</v>
      </c>
      <c r="B15" s="11" t="s">
        <v>44</v>
      </c>
      <c r="C15" s="21">
        <v>23.0</v>
      </c>
      <c r="D15" s="21">
        <v>23.0</v>
      </c>
      <c r="E15" s="21">
        <v>23.0</v>
      </c>
      <c r="F15" s="21">
        <v>0.0</v>
      </c>
      <c r="G15" s="1">
        <v>23.0</v>
      </c>
      <c r="H15" s="7">
        <f>IFERROR(__xludf.DUMMYFUNCTION("HLOOKUP($A15,IMPORTRANGE(""https://docs.google.com/spreadsheets/d/16J5ie7OD1E99qGO9lMDm8w5Yls-v190B7DTolJ5TmFc/edit#gid=0"",""'Game 11'!$B$2:$Q$31""),30,False)"),0.0)</f>
        <v>0</v>
      </c>
      <c r="I15" s="1">
        <v>23.0</v>
      </c>
      <c r="J15" s="7">
        <f>IFERROR(__xludf.DUMMYFUNCTION("IFERROR(HLOOKUP($A15,IMPORTRANGE(""https://docs.google.com/spreadsheets/d/1CTYfdyRk_RFGM3I2iN9bKeD9zUPzEm1ajzml6VgwfIU/edit#gid=0"",""'Game 4'!$B$2:$Q$31""),30,False),0)"),23.0)</f>
        <v>23</v>
      </c>
      <c r="K15" s="7">
        <f>IFERROR(__xludf.DUMMYFUNCTION("IFERROR(HLOOKUP($A15,IMPORTRANGE(""https://docs.google.com/spreadsheets/d/11NFkzOdQyW-OtxSDuGslNCgNjx7HUb2FU7KnlNnPMgY/edit#gid=0"",""'Game 4'!$B$2:$Q$31""),30,False),0)"),0.0)</f>
        <v>0</v>
      </c>
      <c r="L15" s="7">
        <f>IFERROR(__xludf.DUMMYFUNCTION("IFERROR(HLOOKUP($A15,IMPORTRANGE(""https://docs.google.com/spreadsheets/d/1CLg5-jaE4ta0-u4oE1qbBplQ5Mf3Oj9ONFgL0zJ7Ol4/edit#gid=0"",""'Game 4'!$B$2:$Q$31""),30,False),1)"),0.0)</f>
        <v>0</v>
      </c>
      <c r="M15" s="7">
        <f>IFERROR(__xludf.DUMMYFUNCTION("IFERROR(HLOOKUP($A15,IMPORTRANGE(""https://docs.google.com/spreadsheets/d/1CeexgK4KxWj3k_7nql_k8-RPxXMwTJyB4Q3vAASeDlA/edit#gid=0"",""'Game 4'!$B$2:$Q$31""),30,False),1)"),0.0)</f>
        <v>0</v>
      </c>
      <c r="N15" s="7">
        <f>IFERROR(__xludf.DUMMYFUNCTION("IFERROR(HLOOKUP($A15,IMPORTRANGE(""https://docs.google.com/spreadsheets/d/1MNwUNMjcwK6bEgCXwB73jpbK5gJAXS8ZMpbEMLJEP3E/edit#gid=0"",""'Game 4'!$B$2:$Q$31""),30,False),1)"),23.0)</f>
        <v>23</v>
      </c>
      <c r="O15" s="7">
        <f>IFERROR(__xludf.DUMMYFUNCTION("IFERROR(HLOOKUP($A15,IMPORTRANGE(""https://docs.google.com/spreadsheets/d/1UrzyxmT40kDZwVrLMf1yyXfP-pyczRAw9Y8Rw-uXG3c/edit#gid=0"",""'Game 4'!$B$2:$Q$31""),30,False),1)"),0.0)</f>
        <v>0</v>
      </c>
      <c r="P15" s="7">
        <f>IFERROR(__xludf.DUMMYFUNCTION("IFERROR(HLOOKUP($A15,IMPORTRANGE(""https://docs.google.com/spreadsheets/d/1iyMhSYWifw-KGFtyeBpNxVZr4BhcV9hVZuShgJ9Ia0E/edit#gid=0"",""'Game 4'!$B$2:$Q$31""),30,False),1)"),0.0)</f>
        <v>0</v>
      </c>
      <c r="Q15" s="7">
        <f>IFERROR(__xludf.DUMMYFUNCTION("IFERROR(HLOOKUP($A15,IMPORTRANGE(""https://docs.google.com/spreadsheets/d/1sSbIK-vvHsSY0LghLJ9gcnW8Hec_ITI2tFmpeqI999A/edit#gid=0"",""'Game 3'!$B$2:$Q$31""),30,False),1)"),23.0)</f>
        <v>23</v>
      </c>
      <c r="R15" s="11">
        <f t="shared" si="1"/>
        <v>184</v>
      </c>
    </row>
    <row r="16">
      <c r="A16" s="18" t="s">
        <v>52</v>
      </c>
      <c r="B16" s="18" t="s">
        <v>44</v>
      </c>
      <c r="C16" s="18">
        <v>23.0</v>
      </c>
      <c r="D16" s="18">
        <v>0.0</v>
      </c>
      <c r="E16" s="18">
        <v>0.0</v>
      </c>
      <c r="F16" s="18">
        <v>0.0</v>
      </c>
      <c r="G16" s="3">
        <v>23.0</v>
      </c>
      <c r="H16" s="5">
        <f>IFERROR(__xludf.DUMMYFUNCTION("HLOOKUP($A16,IMPORTRANGE(""https://docs.google.com/spreadsheets/d/16J5ie7OD1E99qGO9lMDm8w5Yls-v190B7DTolJ5TmFc/edit#gid=0"",""'Game 11'!$B$2:$Q$31""),30,False)"),0.0)</f>
        <v>0</v>
      </c>
      <c r="I16" s="3">
        <v>0.0</v>
      </c>
      <c r="J16" s="5">
        <f>IFERROR(__xludf.DUMMYFUNCTION("IFERROR(HLOOKUP($A16,IMPORTRANGE(""https://docs.google.com/spreadsheets/d/1CTYfdyRk_RFGM3I2iN9bKeD9zUPzEm1ajzml6VgwfIU/edit#gid=0"",""'Game 4'!$B$2:$Q$31""),30,False),0)"),0.0)</f>
        <v>0</v>
      </c>
      <c r="K16" s="5">
        <f>IFERROR(__xludf.DUMMYFUNCTION("IFERROR(HLOOKUP($A16,IMPORTRANGE(""https://docs.google.com/spreadsheets/d/11NFkzOdQyW-OtxSDuGslNCgNjx7HUb2FU7KnlNnPMgY/edit#gid=0"",""'Game 4'!$B$2:$Q$31""),30,False),0)"),23.0)</f>
        <v>23</v>
      </c>
      <c r="L16" s="5">
        <f>IFERROR(__xludf.DUMMYFUNCTION("IFERROR(HLOOKUP($A16,IMPORTRANGE(""https://docs.google.com/spreadsheets/d/1CLg5-jaE4ta0-u4oE1qbBplQ5Mf3Oj9ONFgL0zJ7Ol4/edit#gid=0"",""'Game 4'!$B$2:$Q$31""),30,False),1)"),0.0)</f>
        <v>0</v>
      </c>
      <c r="M16" s="5">
        <f>IFERROR(__xludf.DUMMYFUNCTION("IFERROR(HLOOKUP($A16,IMPORTRANGE(""https://docs.google.com/spreadsheets/d/1CeexgK4KxWj3k_7nql_k8-RPxXMwTJyB4Q3vAASeDlA/edit#gid=0"",""'Game 4'!$B$2:$Q$31""),30,False),1)"),23.0)</f>
        <v>23</v>
      </c>
      <c r="N16" s="5">
        <f>IFERROR(__xludf.DUMMYFUNCTION("IFERROR(HLOOKUP($A16,IMPORTRANGE(""https://docs.google.com/spreadsheets/d/1MNwUNMjcwK6bEgCXwB73jpbK5gJAXS8ZMpbEMLJEP3E/edit#gid=0"",""'Game 4'!$B$2:$Q$31""),30,False),1)"),0.0)</f>
        <v>0</v>
      </c>
      <c r="O16" s="5">
        <f>IFERROR(__xludf.DUMMYFUNCTION("IFERROR(HLOOKUP($A16,IMPORTRANGE(""https://docs.google.com/spreadsheets/d/1UrzyxmT40kDZwVrLMf1yyXfP-pyczRAw9Y8Rw-uXG3c/edit#gid=0"",""'Game 4'!$B$2:$Q$31""),30,False),1)"),0.0)</f>
        <v>0</v>
      </c>
      <c r="P16" s="5">
        <f>IFERROR(__xludf.DUMMYFUNCTION("IFERROR(HLOOKUP($A16,IMPORTRANGE(""https://docs.google.com/spreadsheets/d/1iyMhSYWifw-KGFtyeBpNxVZr4BhcV9hVZuShgJ9Ia0E/edit#gid=0"",""'Game 4'!$B$2:$Q$31""),30,False),1)"),23.0)</f>
        <v>23</v>
      </c>
      <c r="Q16" s="5">
        <f>IFERROR(__xludf.DUMMYFUNCTION("IFERROR(HLOOKUP($A16,IMPORTRANGE(""https://docs.google.com/spreadsheets/d/1sSbIK-vvHsSY0LghLJ9gcnW8Hec_ITI2tFmpeqI999A/edit#gid=0"",""'Game 3'!$B$2:$Q$31""),30,False),1)"),0.0)</f>
        <v>0</v>
      </c>
      <c r="R16" s="6">
        <f t="shared" si="1"/>
        <v>115</v>
      </c>
    </row>
    <row r="17">
      <c r="A17" s="21" t="s">
        <v>54</v>
      </c>
      <c r="B17" s="11" t="s">
        <v>55</v>
      </c>
      <c r="C17" s="21">
        <v>23.0</v>
      </c>
      <c r="D17" s="21">
        <v>23.0</v>
      </c>
      <c r="E17" s="21">
        <v>23.0</v>
      </c>
      <c r="F17" s="21">
        <v>23.0</v>
      </c>
      <c r="G17" s="1">
        <v>23.0</v>
      </c>
      <c r="H17" s="7">
        <f>IFERROR(__xludf.DUMMYFUNCTION("HLOOKUP($A17,IMPORTRANGE(""https://docs.google.com/spreadsheets/d/16J5ie7OD1E99qGO9lMDm8w5Yls-v190B7DTolJ5TmFc/edit#gid=0"",""'Game 5'!$B$2:$Q$31""),30,False)"),23.0)</f>
        <v>23</v>
      </c>
      <c r="I17" s="1">
        <v>23.0</v>
      </c>
      <c r="J17" s="7">
        <f>IFERROR(__xludf.DUMMYFUNCTION("IFERROR(HLOOKUP($A17,IMPORTRANGE(""https://docs.google.com/spreadsheets/d/1CTYfdyRk_RFGM3I2iN9bKeD9zUPzEm1ajzml6VgwfIU/edit#gid=0"",""'Game 7'!$B$2:$Q$31""),30,False),0)"),23.0)</f>
        <v>23</v>
      </c>
      <c r="K17" s="7">
        <f>IFERROR(__xludf.DUMMYFUNCTION("IFERROR(HLOOKUP($A17,IMPORTRANGE(""https://docs.google.com/spreadsheets/d/11NFkzOdQyW-OtxSDuGslNCgNjx7HUb2FU7KnlNnPMgY/edit#gid=0"",""'Game 11'!$B$2:$Q$31""),30,False),0)"),23.0)</f>
        <v>23</v>
      </c>
      <c r="L17" s="7">
        <f>IFERROR(__xludf.DUMMYFUNCTION("IFERROR(HLOOKUP($A17,IMPORTRANGE(""https://docs.google.com/spreadsheets/d/1CLg5-jaE4ta0-u4oE1qbBplQ5Mf3Oj9ONFgL0zJ7Ol4/edit#gid=0"",""'Game 1'!$B$2:$Q$31""),30,False),1)"),23.0)</f>
        <v>23</v>
      </c>
      <c r="M17" s="7">
        <f>IFERROR(__xludf.DUMMYFUNCTION("IFERROR(HLOOKUP($A17,IMPORTRANGE(""https://docs.google.com/spreadsheets/d/1CeexgK4KxWj3k_7nql_k8-RPxXMwTJyB4Q3vAASeDlA/edit#gid=0"",""'Game 12'!$B$2:$Q$31""),30,False),1)"),23.0)</f>
        <v>23</v>
      </c>
      <c r="N17" s="7">
        <f>IFERROR(__xludf.DUMMYFUNCTION("IFERROR(HLOOKUP($A17,IMPORTRANGE(""https://docs.google.com/spreadsheets/d/1MNwUNMjcwK6bEgCXwB73jpbK5gJAXS8ZMpbEMLJEP3E/edit#gid=0"",""'Game 11'!$B$2:$Q$31""),30,False),1)"),23.0)</f>
        <v>23</v>
      </c>
      <c r="O17" s="7">
        <f>IFERROR(__xludf.DUMMYFUNCTION("IFERROR(HLOOKUP($A17,IMPORTRANGE(""https://docs.google.com/spreadsheets/d/1UrzyxmT40kDZwVrLMf1yyXfP-pyczRAw9Y8Rw-uXG3c/edit#gid=0"",""'Game 8'!$B$2:$Q$31""),30,False),1)"),23.0)</f>
        <v>23</v>
      </c>
      <c r="P17" s="7">
        <f>IFERROR(__xludf.DUMMYFUNCTION("IFERROR(HLOOKUP($A17,IMPORTRANGE(""https://docs.google.com/spreadsheets/d/1iyMhSYWifw-KGFtyeBpNxVZr4BhcV9hVZuShgJ9Ia0E/edit#gid=0"",""'Game 5'!$B$2:$Q$31""),30,False),1)"),23.0)</f>
        <v>23</v>
      </c>
      <c r="Q17" s="7">
        <f>IFERROR(__xludf.DUMMYFUNCTION("IFERROR(HLOOKUP($A17,IMPORTRANGE(""https://docs.google.com/spreadsheets/d/1sSbIK-vvHsSY0LghLJ9gcnW8Hec_ITI2tFmpeqI999A/edit#gid=0"",""'Game 11'!$B$2:$Q$31""),30,False),1)"),23.0)</f>
        <v>23</v>
      </c>
      <c r="R17" s="11">
        <f t="shared" si="1"/>
        <v>345</v>
      </c>
    </row>
    <row r="18">
      <c r="A18" s="18" t="s">
        <v>57</v>
      </c>
      <c r="B18" s="6" t="s">
        <v>55</v>
      </c>
      <c r="C18" s="18">
        <v>23.0</v>
      </c>
      <c r="D18" s="18">
        <v>23.0</v>
      </c>
      <c r="E18" s="18">
        <v>23.0</v>
      </c>
      <c r="F18" s="18">
        <v>23.0</v>
      </c>
      <c r="G18" s="3">
        <v>23.0</v>
      </c>
      <c r="H18" s="5">
        <f>IFERROR(__xludf.DUMMYFUNCTION("HLOOKUP($A18,IMPORTRANGE(""https://docs.google.com/spreadsheets/d/16J5ie7OD1E99qGO9lMDm8w5Yls-v190B7DTolJ5TmFc/edit#gid=0"",""'Game 5'!$B$2:$Q$31""),30,False)"),23.0)</f>
        <v>23</v>
      </c>
      <c r="I18" s="3">
        <v>23.0</v>
      </c>
      <c r="J18" s="5">
        <f>IFERROR(__xludf.DUMMYFUNCTION("IFERROR(HLOOKUP($A18,IMPORTRANGE(""https://docs.google.com/spreadsheets/d/1CTYfdyRk_RFGM3I2iN9bKeD9zUPzEm1ajzml6VgwfIU/edit#gid=0"",""'Game 7'!$B$2:$Q$31""),30,False),0)"),23.0)</f>
        <v>23</v>
      </c>
      <c r="K18" s="5">
        <f>IFERROR(__xludf.DUMMYFUNCTION("IFERROR(HLOOKUP($A18,IMPORTRANGE(""https://docs.google.com/spreadsheets/d/11NFkzOdQyW-OtxSDuGslNCgNjx7HUb2FU7KnlNnPMgY/edit#gid=0"",""'Game 11'!$B$2:$Q$31""),30,False),0)"),23.0)</f>
        <v>23</v>
      </c>
      <c r="L18" s="5">
        <f>IFERROR(__xludf.DUMMYFUNCTION("IFERROR(HLOOKUP($A18,IMPORTRANGE(""https://docs.google.com/spreadsheets/d/1CLg5-jaE4ta0-u4oE1qbBplQ5Mf3Oj9ONFgL0zJ7Ol4/edit#gid=0"",""'Game 1'!$B$2:$Q$31""),30,False),1)"),23.0)</f>
        <v>23</v>
      </c>
      <c r="M18" s="5">
        <f>IFERROR(__xludf.DUMMYFUNCTION("IFERROR(HLOOKUP($A18,IMPORTRANGE(""https://docs.google.com/spreadsheets/d/1CeexgK4KxWj3k_7nql_k8-RPxXMwTJyB4Q3vAASeDlA/edit#gid=0"",""'Game 12'!$B$2:$Q$31""),30,False),1)"),23.0)</f>
        <v>23</v>
      </c>
      <c r="N18" s="5">
        <f>IFERROR(__xludf.DUMMYFUNCTION("IFERROR(HLOOKUP($A18,IMPORTRANGE(""https://docs.google.com/spreadsheets/d/1MNwUNMjcwK6bEgCXwB73jpbK5gJAXS8ZMpbEMLJEP3E/edit#gid=0"",""'Game 11'!$B$2:$Q$31""),30,False),1)"),23.0)</f>
        <v>23</v>
      </c>
      <c r="O18" s="5">
        <f>IFERROR(__xludf.DUMMYFUNCTION("IFERROR(HLOOKUP($A18,IMPORTRANGE(""https://docs.google.com/spreadsheets/d/1UrzyxmT40kDZwVrLMf1yyXfP-pyczRAw9Y8Rw-uXG3c/edit#gid=0"",""'Game 8'!$B$2:$Q$31""),30,False),1)"),23.0)</f>
        <v>23</v>
      </c>
      <c r="P18" s="5">
        <f>IFERROR(__xludf.DUMMYFUNCTION("IFERROR(HLOOKUP($A18,IMPORTRANGE(""https://docs.google.com/spreadsheets/d/1iyMhSYWifw-KGFtyeBpNxVZr4BhcV9hVZuShgJ9Ia0E/edit#gid=0"",""'Game 5'!$B$2:$Q$31""),30,False),1)"),23.0)</f>
        <v>23</v>
      </c>
      <c r="Q18" s="5">
        <f>IFERROR(__xludf.DUMMYFUNCTION("IFERROR(HLOOKUP($A18,IMPORTRANGE(""https://docs.google.com/spreadsheets/d/1sSbIK-vvHsSY0LghLJ9gcnW8Hec_ITI2tFmpeqI999A/edit#gid=0"",""'Game 11'!$B$2:$Q$31""),30,False),1)"),23.0)</f>
        <v>23</v>
      </c>
      <c r="R18" s="6">
        <f t="shared" si="1"/>
        <v>345</v>
      </c>
    </row>
    <row r="19">
      <c r="A19" s="1" t="s">
        <v>59</v>
      </c>
      <c r="B19" s="11" t="s">
        <v>55</v>
      </c>
      <c r="C19" s="21">
        <v>23.0</v>
      </c>
      <c r="D19" s="21">
        <v>23.0</v>
      </c>
      <c r="E19" s="21">
        <v>23.0</v>
      </c>
      <c r="F19" s="21">
        <v>23.0</v>
      </c>
      <c r="G19" s="1">
        <v>23.0</v>
      </c>
      <c r="H19" s="7">
        <f>IFERROR(__xludf.DUMMYFUNCTION("HLOOKUP($A19,IMPORTRANGE(""https://docs.google.com/spreadsheets/d/16J5ie7OD1E99qGO9lMDm8w5Yls-v190B7DTolJ5TmFc/edit#gid=0"",""'Game 5'!$B$2:$Q$31""),30,False)"),23.0)</f>
        <v>23</v>
      </c>
      <c r="I19" s="1">
        <v>23.0</v>
      </c>
      <c r="J19" s="7">
        <f>IFERROR(__xludf.DUMMYFUNCTION("IFERROR(HLOOKUP($A19,IMPORTRANGE(""https://docs.google.com/spreadsheets/d/1CTYfdyRk_RFGM3I2iN9bKeD9zUPzEm1ajzml6VgwfIU/edit#gid=0"",""'Game 7'!$B$2:$Q$31""),30,False),0)"),23.0)</f>
        <v>23</v>
      </c>
      <c r="K19" s="7">
        <f>IFERROR(__xludf.DUMMYFUNCTION("IFERROR(HLOOKUP($A19,IMPORTRANGE(""https://docs.google.com/spreadsheets/d/11NFkzOdQyW-OtxSDuGslNCgNjx7HUb2FU7KnlNnPMgY/edit#gid=0"",""'Game 11'!$B$2:$Q$31""),30,False),0)"),23.0)</f>
        <v>23</v>
      </c>
      <c r="L19" s="7">
        <f>IFERROR(__xludf.DUMMYFUNCTION("IFERROR(HLOOKUP($A19,IMPORTRANGE(""https://docs.google.com/spreadsheets/d/1CLg5-jaE4ta0-u4oE1qbBplQ5Mf3Oj9ONFgL0zJ7Ol4/edit#gid=0"",""'Game 1'!$B$2:$Q$31""),30,False),1)"),23.0)</f>
        <v>23</v>
      </c>
      <c r="M19" s="7">
        <f>IFERROR(__xludf.DUMMYFUNCTION("IFERROR(HLOOKUP($A19,IMPORTRANGE(""https://docs.google.com/spreadsheets/d/1CeexgK4KxWj3k_7nql_k8-RPxXMwTJyB4Q3vAASeDlA/edit#gid=0"",""'Game 12'!$B$2:$Q$31""),30,False),1)"),23.0)</f>
        <v>23</v>
      </c>
      <c r="N19" s="7">
        <f>IFERROR(__xludf.DUMMYFUNCTION("IFERROR(HLOOKUP($A19,IMPORTRANGE(""https://docs.google.com/spreadsheets/d/1MNwUNMjcwK6bEgCXwB73jpbK5gJAXS8ZMpbEMLJEP3E/edit#gid=0"",""'Game 11'!$B$2:$Q$31""),30,False),1)"),23.0)</f>
        <v>23</v>
      </c>
      <c r="O19" s="7">
        <f>IFERROR(__xludf.DUMMYFUNCTION("IFERROR(HLOOKUP($A19,IMPORTRANGE(""https://docs.google.com/spreadsheets/d/1UrzyxmT40kDZwVrLMf1yyXfP-pyczRAw9Y8Rw-uXG3c/edit#gid=0"",""'Game 8'!$B$2:$Q$31""),30,False),1)"),23.0)</f>
        <v>23</v>
      </c>
      <c r="P19" s="7">
        <f>IFERROR(__xludf.DUMMYFUNCTION("IFERROR(HLOOKUP($A19,IMPORTRANGE(""https://docs.google.com/spreadsheets/d/1iyMhSYWifw-KGFtyeBpNxVZr4BhcV9hVZuShgJ9Ia0E/edit#gid=0"",""'Game 5'!$B$2:$Q$31""),30,False),1)"),23.0)</f>
        <v>23</v>
      </c>
      <c r="Q19" s="7">
        <f>IFERROR(__xludf.DUMMYFUNCTION("IFERROR(HLOOKUP($A19,IMPORTRANGE(""https://docs.google.com/spreadsheets/d/1sSbIK-vvHsSY0LghLJ9gcnW8Hec_ITI2tFmpeqI999A/edit#gid=0"",""'Game 11'!$B$2:$Q$31""),30,False),1)"),23.0)</f>
        <v>23</v>
      </c>
      <c r="R19" s="11">
        <f t="shared" si="1"/>
        <v>345</v>
      </c>
    </row>
    <row r="20">
      <c r="A20" s="3" t="s">
        <v>62</v>
      </c>
      <c r="B20" s="18" t="s">
        <v>55</v>
      </c>
      <c r="C20" s="18">
        <v>23.0</v>
      </c>
      <c r="D20" s="18">
        <v>23.0</v>
      </c>
      <c r="E20" s="18">
        <v>23.0</v>
      </c>
      <c r="F20" s="18">
        <v>23.0</v>
      </c>
      <c r="G20" s="3">
        <v>23.0</v>
      </c>
      <c r="H20" s="5">
        <f>IFERROR(__xludf.DUMMYFUNCTION("HLOOKUP($A20,IMPORTRANGE(""https://docs.google.com/spreadsheets/d/16J5ie7OD1E99qGO9lMDm8w5Yls-v190B7DTolJ5TmFc/edit#gid=0"",""'Game 5'!$B$2:$Q$31""),30,False)"),23.0)</f>
        <v>23</v>
      </c>
      <c r="I20" s="3">
        <v>23.0</v>
      </c>
      <c r="J20" s="5">
        <f>IFERROR(__xludf.DUMMYFUNCTION("IFERROR(HLOOKUP($A20,IMPORTRANGE(""https://docs.google.com/spreadsheets/d/1CTYfdyRk_RFGM3I2iN9bKeD9zUPzEm1ajzml6VgwfIU/edit#gid=0"",""'Game 7'!$B$2:$Q$31""),30,False),0)"),23.0)</f>
        <v>23</v>
      </c>
      <c r="K20" s="5">
        <f>IFERROR(__xludf.DUMMYFUNCTION("IFERROR(HLOOKUP($A20,IMPORTRANGE(""https://docs.google.com/spreadsheets/d/11NFkzOdQyW-OtxSDuGslNCgNjx7HUb2FU7KnlNnPMgY/edit#gid=0"",""'Game 11'!$B$2:$Q$31""),30,False),0)"),23.0)</f>
        <v>23</v>
      </c>
      <c r="L20" s="5">
        <f>IFERROR(__xludf.DUMMYFUNCTION("IFERROR(HLOOKUP($A20,IMPORTRANGE(""https://docs.google.com/spreadsheets/d/1CLg5-jaE4ta0-u4oE1qbBplQ5Mf3Oj9ONFgL0zJ7Ol4/edit#gid=0"",""'Game 1'!$B$2:$Q$31""),30,False),1)"),23.0)</f>
        <v>23</v>
      </c>
      <c r="M20" s="5">
        <f>IFERROR(__xludf.DUMMYFUNCTION("IFERROR(HLOOKUP($A20,IMPORTRANGE(""https://docs.google.com/spreadsheets/d/1CeexgK4KxWj3k_7nql_k8-RPxXMwTJyB4Q3vAASeDlA/edit#gid=0"",""'Game 12'!$B$2:$Q$31""),30,False),1)"),23.0)</f>
        <v>23</v>
      </c>
      <c r="N20" s="5">
        <f>IFERROR(__xludf.DUMMYFUNCTION("IFERROR(HLOOKUP($A20,IMPORTRANGE(""https://docs.google.com/spreadsheets/d/1MNwUNMjcwK6bEgCXwB73jpbK5gJAXS8ZMpbEMLJEP3E/edit#gid=0"",""'Game 11'!$B$2:$Q$31""),30,False),1)"),23.0)</f>
        <v>23</v>
      </c>
      <c r="O20" s="5">
        <f>IFERROR(__xludf.DUMMYFUNCTION("IFERROR(HLOOKUP($A20,IMPORTRANGE(""https://docs.google.com/spreadsheets/d/1UrzyxmT40kDZwVrLMf1yyXfP-pyczRAw9Y8Rw-uXG3c/edit#gid=0"",""'Game 8'!$B$2:$Q$31""),30,False),1)"),0.0)</f>
        <v>0</v>
      </c>
      <c r="P20" s="5">
        <f>IFERROR(__xludf.DUMMYFUNCTION("IFERROR(HLOOKUP($A20,IMPORTRANGE(""https://docs.google.com/spreadsheets/d/1iyMhSYWifw-KGFtyeBpNxVZr4BhcV9hVZuShgJ9Ia0E/edit#gid=0"",""'Game 5'!$B$2:$Q$31""),30,False),1)"),23.0)</f>
        <v>23</v>
      </c>
      <c r="Q20" s="5">
        <f>IFERROR(__xludf.DUMMYFUNCTION("IFERROR(HLOOKUP($A20,IMPORTRANGE(""https://docs.google.com/spreadsheets/d/1sSbIK-vvHsSY0LghLJ9gcnW8Hec_ITI2tFmpeqI999A/edit#gid=0"",""'Game 11'!$B$2:$Q$31""),30,False),1)"),23.0)</f>
        <v>23</v>
      </c>
      <c r="R20" s="6">
        <f t="shared" si="1"/>
        <v>322</v>
      </c>
    </row>
    <row r="21">
      <c r="A21" s="21" t="s">
        <v>63</v>
      </c>
      <c r="B21" s="11" t="s">
        <v>64</v>
      </c>
      <c r="C21" s="21">
        <v>23.0</v>
      </c>
      <c r="D21" s="21">
        <v>23.0</v>
      </c>
      <c r="E21" s="21">
        <v>23.0</v>
      </c>
      <c r="F21" s="21">
        <v>23.0</v>
      </c>
      <c r="G21" s="1">
        <v>23.0</v>
      </c>
      <c r="H21" s="7">
        <f>IFERROR(__xludf.DUMMYFUNCTION("HLOOKUP($A21,IMPORTRANGE(""https://docs.google.com/spreadsheets/d/16J5ie7OD1E99qGO9lMDm8w5Yls-v190B7DTolJ5TmFc/edit#gid=0"",""'Game 7'!$B$2:$Q$31""),30,False)"),23.0)</f>
        <v>23</v>
      </c>
      <c r="I21" s="1">
        <v>23.0</v>
      </c>
      <c r="J21" s="7">
        <f>IFERROR(__xludf.DUMMYFUNCTION("IFERROR(HLOOKUP($A21,IMPORTRANGE(""https://docs.google.com/spreadsheets/d/1CTYfdyRk_RFGM3I2iN9bKeD9zUPzEm1ajzml6VgwfIU/edit#gid=0"",""'Game 9'!$B$2:$Q$31""),30,False),0)"),23.0)</f>
        <v>23</v>
      </c>
      <c r="K21" s="7">
        <f>IFERROR(__xludf.DUMMYFUNCTION("IFERROR(HLOOKUP($A21,IMPORTRANGE(""https://docs.google.com/spreadsheets/d/11NFkzOdQyW-OtxSDuGslNCgNjx7HUb2FU7KnlNnPMgY/edit#gid=0"",""'Game 9'!$B$2:$Q$31""),30,False),0)"),23.0)</f>
        <v>23</v>
      </c>
      <c r="L21" s="7">
        <f>IFERROR(__xludf.DUMMYFUNCTION("IFERROR(HLOOKUP($A21,IMPORTRANGE(""https://docs.google.com/spreadsheets/d/1CLg5-jaE4ta0-u4oE1qbBplQ5Mf3Oj9ONFgL0zJ7Ol4/edit#gid=0"",""'Game 6'!$B$2:$Q$31""),30,False),1)"),23.0)</f>
        <v>23</v>
      </c>
      <c r="M21" s="7">
        <f>IFERROR(__xludf.DUMMYFUNCTION("IFERROR(HLOOKUP($A21,IMPORTRANGE(""https://docs.google.com/spreadsheets/d/1CeexgK4KxWj3k_7nql_k8-RPxXMwTJyB4Q3vAASeDlA/edit#gid=0"",""'Game 4'!$B$2:$Q$31""),30,False),1)"),23.0)</f>
        <v>23</v>
      </c>
      <c r="N21" s="7">
        <f>IFERROR(__xludf.DUMMYFUNCTION("IFERROR(HLOOKUP($A21,IMPORTRANGE(""https://docs.google.com/spreadsheets/d/1MNwUNMjcwK6bEgCXwB73jpbK5gJAXS8ZMpbEMLJEP3E/edit#gid=0"",""'Game 3'!$B$2:$Q$31""),30,False),1)"),23.0)</f>
        <v>23</v>
      </c>
      <c r="O21" s="7">
        <f>IFERROR(__xludf.DUMMYFUNCTION("IFERROR(HLOOKUP($A21,IMPORTRANGE(""https://docs.google.com/spreadsheets/d/1UrzyxmT40kDZwVrLMf1yyXfP-pyczRAw9Y8Rw-uXG3c/edit#gid=0"",""'Game 9'!$B$2:$Q$31""),30,False),1)"),23.0)</f>
        <v>23</v>
      </c>
      <c r="P21" s="7">
        <f>IFERROR(__xludf.DUMMYFUNCTION("IFERROR(HLOOKUP($A21,IMPORTRANGE(""https://docs.google.com/spreadsheets/d/1iyMhSYWifw-KGFtyeBpNxVZr4BhcV9hVZuShgJ9Ia0E/edit#gid=0"",""'Game 9'!$B$2:$Q$31""),30,False),1)"),23.0)</f>
        <v>23</v>
      </c>
      <c r="Q21" s="7">
        <f>IFERROR(__xludf.DUMMYFUNCTION("IFERROR(HLOOKUP($A21,IMPORTRANGE(""https://docs.google.com/spreadsheets/d/1sSbIK-vvHsSY0LghLJ9gcnW8Hec_ITI2tFmpeqI999A/edit#gid=0"",""'Game 4'!$B$2:$Q$31""),30,False),1)"),23.0)</f>
        <v>23</v>
      </c>
      <c r="R21" s="11">
        <f t="shared" si="1"/>
        <v>345</v>
      </c>
    </row>
    <row r="22">
      <c r="A22" s="18" t="s">
        <v>67</v>
      </c>
      <c r="B22" s="6" t="s">
        <v>64</v>
      </c>
      <c r="C22" s="18">
        <v>0.0</v>
      </c>
      <c r="D22" s="18">
        <v>23.0</v>
      </c>
      <c r="E22" s="18">
        <v>0.0</v>
      </c>
      <c r="F22" s="18">
        <v>23.0</v>
      </c>
      <c r="G22" s="3">
        <v>0.0</v>
      </c>
      <c r="H22" s="5">
        <f>IFERROR(__xludf.DUMMYFUNCTION("HLOOKUP($A22,IMPORTRANGE(""https://docs.google.com/spreadsheets/d/16J5ie7OD1E99qGO9lMDm8w5Yls-v190B7DTolJ5TmFc/edit#gid=0"",""'Game 7'!$B$2:$Q$31""),30,False)"),23.0)</f>
        <v>23</v>
      </c>
      <c r="I22" s="3">
        <v>23.0</v>
      </c>
      <c r="J22" s="5">
        <f>IFERROR(__xludf.DUMMYFUNCTION("IFERROR(HLOOKUP($A22,IMPORTRANGE(""https://docs.google.com/spreadsheets/d/1CTYfdyRk_RFGM3I2iN9bKeD9zUPzEm1ajzml6VgwfIU/edit#gid=0"",""'Game 9'!$B$2:$Q$31""),30,False),0)"),0.0)</f>
        <v>0</v>
      </c>
      <c r="K22" s="5">
        <f>IFERROR(__xludf.DUMMYFUNCTION("IFERROR(HLOOKUP($A22,IMPORTRANGE(""https://docs.google.com/spreadsheets/d/11NFkzOdQyW-OtxSDuGslNCgNjx7HUb2FU7KnlNnPMgY/edit#gid=0"",""'Game 9'!$B$2:$Q$31""),30,False),0)"),0.0)</f>
        <v>0</v>
      </c>
      <c r="L22" s="5">
        <f>IFERROR(__xludf.DUMMYFUNCTION("IFERROR(HLOOKUP($A22,IMPORTRANGE(""https://docs.google.com/spreadsheets/d/1CLg5-jaE4ta0-u4oE1qbBplQ5Mf3Oj9ONFgL0zJ7Ol4/edit#gid=0"",""'Game 6'!$B$2:$Q$31""),30,False),1)"),23.0)</f>
        <v>23</v>
      </c>
      <c r="M22" s="5">
        <f>IFERROR(__xludf.DUMMYFUNCTION("IFERROR(HLOOKUP($A22,IMPORTRANGE(""https://docs.google.com/spreadsheets/d/1CeexgK4KxWj3k_7nql_k8-RPxXMwTJyB4Q3vAASeDlA/edit#gid=0"",""'Game 4'!$B$2:$Q$31""),30,False),1)"),23.0)</f>
        <v>23</v>
      </c>
      <c r="N22" s="5">
        <f>IFERROR(__xludf.DUMMYFUNCTION("IFERROR(HLOOKUP($A22,IMPORTRANGE(""https://docs.google.com/spreadsheets/d/1MNwUNMjcwK6bEgCXwB73jpbK5gJAXS8ZMpbEMLJEP3E/edit#gid=0"",""'Game 3'!$B$2:$Q$31""),30,False),1)"),11.0)</f>
        <v>11</v>
      </c>
      <c r="O22" s="5">
        <f>IFERROR(__xludf.DUMMYFUNCTION("IFERROR(HLOOKUP($A22,IMPORTRANGE(""https://docs.google.com/spreadsheets/d/1UrzyxmT40kDZwVrLMf1yyXfP-pyczRAw9Y8Rw-uXG3c/edit#gid=0"",""'Game 9'!$B$2:$Q$31""),30,False),1)"),23.0)</f>
        <v>23</v>
      </c>
      <c r="P22" s="5">
        <f>IFERROR(__xludf.DUMMYFUNCTION("IFERROR(HLOOKUP($A22,IMPORTRANGE(""https://docs.google.com/spreadsheets/d/1iyMhSYWifw-KGFtyeBpNxVZr4BhcV9hVZuShgJ9Ia0E/edit#gid=0"",""'Game 9'!$B$2:$Q$31""),30,False),1)"),0.0)</f>
        <v>0</v>
      </c>
      <c r="Q22" s="5">
        <f>IFERROR(__xludf.DUMMYFUNCTION("IFERROR(HLOOKUP($A22,IMPORTRANGE(""https://docs.google.com/spreadsheets/d/1sSbIK-vvHsSY0LghLJ9gcnW8Hec_ITI2tFmpeqI999A/edit#gid=0"",""'Game 4'!$B$2:$Q$31""),30,False),1)"),23.0)</f>
        <v>23</v>
      </c>
      <c r="R22" s="6">
        <f t="shared" si="1"/>
        <v>195</v>
      </c>
    </row>
    <row r="23">
      <c r="A23" s="21" t="s">
        <v>68</v>
      </c>
      <c r="B23" s="21" t="s">
        <v>64</v>
      </c>
      <c r="C23" s="21">
        <v>23.0</v>
      </c>
      <c r="D23" s="21">
        <v>0.0</v>
      </c>
      <c r="E23" s="21">
        <v>12.0</v>
      </c>
      <c r="F23" s="21">
        <v>0.0</v>
      </c>
      <c r="G23" s="1">
        <v>0.0</v>
      </c>
      <c r="H23" s="7">
        <f>IFERROR(__xludf.DUMMYFUNCTION("HLOOKUP($A23,IMPORTRANGE(""https://docs.google.com/spreadsheets/d/16J5ie7OD1E99qGO9lMDm8w5Yls-v190B7DTolJ5TmFc/edit#gid=0"",""'Game 7'!$B$2:$Q$31""),30,False)"),0.0)</f>
        <v>0</v>
      </c>
      <c r="I23" s="1">
        <v>23.0</v>
      </c>
      <c r="J23" s="7">
        <f>IFERROR(__xludf.DUMMYFUNCTION("IFERROR(HLOOKUP($A23,IMPORTRANGE(""https://docs.google.com/spreadsheets/d/1CTYfdyRk_RFGM3I2iN9bKeD9zUPzEm1ajzml6VgwfIU/edit#gid=0"",""'Game 9'!$B$2:$Q$31""),30,False),0)"),0.0)</f>
        <v>0</v>
      </c>
      <c r="K23" s="7">
        <f>IFERROR(__xludf.DUMMYFUNCTION("IFERROR(HLOOKUP($A23,IMPORTRANGE(""https://docs.google.com/spreadsheets/d/11NFkzOdQyW-OtxSDuGslNCgNjx7HUb2FU7KnlNnPMgY/edit#gid=0"",""'Game 9'!$B$2:$Q$31""),30,False),0)"),23.0)</f>
        <v>23</v>
      </c>
      <c r="L23" s="7">
        <f>IFERROR(__xludf.DUMMYFUNCTION("IFERROR(HLOOKUP($A23,IMPORTRANGE(""https://docs.google.com/spreadsheets/d/1CLg5-jaE4ta0-u4oE1qbBplQ5Mf3Oj9ONFgL0zJ7Ol4/edit#gid=0"",""'Game 6'!$B$2:$Q$31""),30,False),1)"),0.0)</f>
        <v>0</v>
      </c>
      <c r="M23" s="7">
        <f>IFERROR(__xludf.DUMMYFUNCTION("IFERROR(HLOOKUP($A23,IMPORTRANGE(""https://docs.google.com/spreadsheets/d/1CeexgK4KxWj3k_7nql_k8-RPxXMwTJyB4Q3vAASeDlA/edit#gid=0"",""'Game 4'!$B$2:$Q$31""),30,False),1)"),12.0)</f>
        <v>12</v>
      </c>
      <c r="N23" s="7">
        <f>IFERROR(__xludf.DUMMYFUNCTION("IFERROR(HLOOKUP($A23,IMPORTRANGE(""https://docs.google.com/spreadsheets/d/1MNwUNMjcwK6bEgCXwB73jpbK5gJAXS8ZMpbEMLJEP3E/edit#gid=0"",""'Game 3'!$B$2:$Q$31""),30,False),1)"),11.0)</f>
        <v>11</v>
      </c>
      <c r="O23" s="7">
        <f>IFERROR(__xludf.DUMMYFUNCTION("IFERROR(HLOOKUP($A23,IMPORTRANGE(""https://docs.google.com/spreadsheets/d/1UrzyxmT40kDZwVrLMf1yyXfP-pyczRAw9Y8Rw-uXG3c/edit#gid=0"",""'Game 9'!$B$2:$Q$31""),30,False),1)"),0.0)</f>
        <v>0</v>
      </c>
      <c r="P23" s="7">
        <f>IFERROR(__xludf.DUMMYFUNCTION("IFERROR(HLOOKUP($A23,IMPORTRANGE(""https://docs.google.com/spreadsheets/d/1iyMhSYWifw-KGFtyeBpNxVZr4BhcV9hVZuShgJ9Ia0E/edit#gid=0"",""'Game 9'!$B$2:$Q$31""),30,False),1)"),0.0)</f>
        <v>0</v>
      </c>
      <c r="Q23" s="7">
        <f>IFERROR(__xludf.DUMMYFUNCTION("IFERROR(HLOOKUP($A23,IMPORTRANGE(""https://docs.google.com/spreadsheets/d/1sSbIK-vvHsSY0LghLJ9gcnW8Hec_ITI2tFmpeqI999A/edit#gid=0"",""'Game 4'!$B$2:$Q$31""),30,False),1)"),12.0)</f>
        <v>12</v>
      </c>
      <c r="R23" s="11">
        <f t="shared" si="1"/>
        <v>116</v>
      </c>
    </row>
    <row r="24">
      <c r="A24" s="18" t="s">
        <v>70</v>
      </c>
      <c r="B24" s="6" t="s">
        <v>64</v>
      </c>
      <c r="C24" s="18">
        <v>0.0</v>
      </c>
      <c r="D24" s="18">
        <v>23.0</v>
      </c>
      <c r="E24" s="18">
        <v>11.0</v>
      </c>
      <c r="F24" s="18">
        <v>23.0</v>
      </c>
      <c r="G24" s="3">
        <v>23.0</v>
      </c>
      <c r="H24" s="5">
        <f>IFERROR(__xludf.DUMMYFUNCTION("HLOOKUP($A24,IMPORTRANGE(""https://docs.google.com/spreadsheets/d/16J5ie7OD1E99qGO9lMDm8w5Yls-v190B7DTolJ5TmFc/edit#gid=0"",""'Game 7'!$B$2:$Q$31""),30,False)"),0.0)</f>
        <v>0</v>
      </c>
      <c r="I24" s="3">
        <v>0.0</v>
      </c>
      <c r="J24" s="5">
        <f>IFERROR(__xludf.DUMMYFUNCTION("IFERROR(HLOOKUP($A24,IMPORTRANGE(""https://docs.google.com/spreadsheets/d/1CTYfdyRk_RFGM3I2iN9bKeD9zUPzEm1ajzml6VgwfIU/edit#gid=0"",""'Game 9'!$B$2:$Q$31""),30,False),0)"),23.0)</f>
        <v>23</v>
      </c>
      <c r="K24" s="5">
        <f>IFERROR(__xludf.DUMMYFUNCTION("IFERROR(HLOOKUP($A24,IMPORTRANGE(""https://docs.google.com/spreadsheets/d/11NFkzOdQyW-OtxSDuGslNCgNjx7HUb2FU7KnlNnPMgY/edit#gid=0"",""'Game 9'!$B$2:$Q$31""),30,False),0)"),12.0)</f>
        <v>12</v>
      </c>
      <c r="L24" s="5">
        <f>IFERROR(__xludf.DUMMYFUNCTION("IFERROR(HLOOKUP($A24,IMPORTRANGE(""https://docs.google.com/spreadsheets/d/1CLg5-jaE4ta0-u4oE1qbBplQ5Mf3Oj9ONFgL0zJ7Ol4/edit#gid=0"",""'Game 6'!$B$2:$Q$31""),30,False),1)"),23.0)</f>
        <v>23</v>
      </c>
      <c r="M24" s="5">
        <f>IFERROR(__xludf.DUMMYFUNCTION("IFERROR(HLOOKUP($A24,IMPORTRANGE(""https://docs.google.com/spreadsheets/d/1CeexgK4KxWj3k_7nql_k8-RPxXMwTJyB4Q3vAASeDlA/edit#gid=0"",""'Game 4'!$B$2:$Q$31""),30,False),1)"),0.0)</f>
        <v>0</v>
      </c>
      <c r="N24" s="5">
        <f>IFERROR(__xludf.DUMMYFUNCTION("IFERROR(HLOOKUP($A24,IMPORTRANGE(""https://docs.google.com/spreadsheets/d/1MNwUNMjcwK6bEgCXwB73jpbK5gJAXS8ZMpbEMLJEP3E/edit#gid=0"",""'Game 3'!$B$2:$Q$31""),30,False),1)"),12.0)</f>
        <v>12</v>
      </c>
      <c r="O24" s="5">
        <f>IFERROR(__xludf.DUMMYFUNCTION("IFERROR(HLOOKUP($A24,IMPORTRANGE(""https://docs.google.com/spreadsheets/d/1UrzyxmT40kDZwVrLMf1yyXfP-pyczRAw9Y8Rw-uXG3c/edit#gid=0"",""'Game 9'!$B$2:$Q$31""),30,False),1)"),0.0)</f>
        <v>0</v>
      </c>
      <c r="P24" s="5">
        <f>IFERROR(__xludf.DUMMYFUNCTION("IFERROR(HLOOKUP($A24,IMPORTRANGE(""https://docs.google.com/spreadsheets/d/1iyMhSYWifw-KGFtyeBpNxVZr4BhcV9hVZuShgJ9Ia0E/edit#gid=0"",""'Game 9'!$B$2:$Q$31""),30,False),1)"),23.0)</f>
        <v>23</v>
      </c>
      <c r="Q24" s="5">
        <f>IFERROR(__xludf.DUMMYFUNCTION("IFERROR(HLOOKUP($A24,IMPORTRANGE(""https://docs.google.com/spreadsheets/d/1sSbIK-vvHsSY0LghLJ9gcnW8Hec_ITI2tFmpeqI999A/edit#gid=0"",""'Game 4'!$B$2:$Q$31""),30,False),1)"),11.0)</f>
        <v>11</v>
      </c>
      <c r="R24" s="6">
        <f t="shared" si="1"/>
        <v>184</v>
      </c>
    </row>
    <row r="25">
      <c r="A25" s="21" t="s">
        <v>73</v>
      </c>
      <c r="B25" s="11" t="s">
        <v>64</v>
      </c>
      <c r="C25" s="21">
        <v>23.0</v>
      </c>
      <c r="D25" s="21">
        <v>0.0</v>
      </c>
      <c r="E25" s="21">
        <v>0.0</v>
      </c>
      <c r="F25" s="21">
        <v>0.0</v>
      </c>
      <c r="G25" s="1">
        <v>23.0</v>
      </c>
      <c r="H25" s="7">
        <f>IFERROR(__xludf.DUMMYFUNCTION("HLOOKUP($A25,IMPORTRANGE(""https://docs.google.com/spreadsheets/d/16J5ie7OD1E99qGO9lMDm8w5Yls-v190B7DTolJ5TmFc/edit#gid=0"",""'Game 7'!$B$2:$Q$31""),30,False)"),23.0)</f>
        <v>23</v>
      </c>
      <c r="I25" s="1">
        <v>0.0</v>
      </c>
      <c r="J25" s="7">
        <f>IFERROR(__xludf.DUMMYFUNCTION("IFERROR(HLOOKUP($A25,IMPORTRANGE(""https://docs.google.com/spreadsheets/d/1CTYfdyRk_RFGM3I2iN9bKeD9zUPzEm1ajzml6VgwfIU/edit#gid=0"",""'Game 9'!$B$2:$Q$31""),30,False),0)"),23.0)</f>
        <v>23</v>
      </c>
      <c r="K25" s="7">
        <f>IFERROR(__xludf.DUMMYFUNCTION("IFERROR(HLOOKUP($A25,IMPORTRANGE(""https://docs.google.com/spreadsheets/d/11NFkzOdQyW-OtxSDuGslNCgNjx7HUb2FU7KnlNnPMgY/edit#gid=0"",""'Game 9'!$B$2:$Q$31""),30,False),0)"),0.0)</f>
        <v>0</v>
      </c>
      <c r="L25" s="7">
        <f>IFERROR(__xludf.DUMMYFUNCTION("IFERROR(HLOOKUP($A25,IMPORTRANGE(""https://docs.google.com/spreadsheets/d/1CLg5-jaE4ta0-u4oE1qbBplQ5Mf3Oj9ONFgL0zJ7Ol4/edit#gid=0"",""'Game 6'!$B$2:$Q$31""),30,False),1)"),23.0)</f>
        <v>23</v>
      </c>
      <c r="M25" s="7">
        <f>IFERROR(__xludf.DUMMYFUNCTION("IFERROR(HLOOKUP($A25,IMPORTRANGE(""https://docs.google.com/spreadsheets/d/1CeexgK4KxWj3k_7nql_k8-RPxXMwTJyB4Q3vAASeDlA/edit#gid=0"",""'Game 4'!$B$2:$Q$31""),30,False),1)"),11.0)</f>
        <v>11</v>
      </c>
      <c r="N25" s="7">
        <f>IFERROR(__xludf.DUMMYFUNCTION("IFERROR(HLOOKUP($A25,IMPORTRANGE(""https://docs.google.com/spreadsheets/d/1MNwUNMjcwK6bEgCXwB73jpbK5gJAXS8ZMpbEMLJEP3E/edit#gid=0"",""'Game 3'!$B$2:$Q$31""),30,False),1)"),12.0)</f>
        <v>12</v>
      </c>
      <c r="O25" s="7">
        <f>IFERROR(__xludf.DUMMYFUNCTION("IFERROR(HLOOKUP($A25,IMPORTRANGE(""https://docs.google.com/spreadsheets/d/1UrzyxmT40kDZwVrLMf1yyXfP-pyczRAw9Y8Rw-uXG3c/edit#gid=0"",""'Game 9'!$B$2:$Q$31""),30,False),1)"),23.0)</f>
        <v>23</v>
      </c>
      <c r="P25" s="7">
        <f>IFERROR(__xludf.DUMMYFUNCTION("IFERROR(HLOOKUP($A25,IMPORTRANGE(""https://docs.google.com/spreadsheets/d/1iyMhSYWifw-KGFtyeBpNxVZr4BhcV9hVZuShgJ9Ia0E/edit#gid=0"",""'Game 9'!$B$2:$Q$31""),30,False),1)"),23.0)</f>
        <v>23</v>
      </c>
      <c r="Q25" s="7">
        <f>IFERROR(__xludf.DUMMYFUNCTION("IFERROR(HLOOKUP($A25,IMPORTRANGE(""https://docs.google.com/spreadsheets/d/1sSbIK-vvHsSY0LghLJ9gcnW8Hec_ITI2tFmpeqI999A/edit#gid=0"",""'Game 4'!$B$2:$Q$31""),30,False),1)"),0.0)</f>
        <v>0</v>
      </c>
      <c r="R25" s="11">
        <f t="shared" si="1"/>
        <v>184</v>
      </c>
    </row>
    <row r="26">
      <c r="A26" s="18" t="s">
        <v>74</v>
      </c>
      <c r="B26" s="6" t="s">
        <v>64</v>
      </c>
      <c r="C26" s="18">
        <v>0.0</v>
      </c>
      <c r="D26" s="18">
        <v>0.0</v>
      </c>
      <c r="E26" s="18">
        <v>23.0</v>
      </c>
      <c r="F26" s="18">
        <v>0.0</v>
      </c>
      <c r="G26" s="3">
        <v>0.0</v>
      </c>
      <c r="H26" s="5">
        <f>IFERROR(__xludf.DUMMYFUNCTION("HLOOKUP($A26,IMPORTRANGE(""https://docs.google.com/spreadsheets/d/16J5ie7OD1E99qGO9lMDm8w5Yls-v190B7DTolJ5TmFc/edit#gid=0"",""'Game 7'!$B$2:$Q$31""),30,False)"),23.0)</f>
        <v>23</v>
      </c>
      <c r="I26" s="3">
        <v>0.0</v>
      </c>
      <c r="J26" s="5">
        <f>IFERROR(__xludf.DUMMYFUNCTION("IFERROR(HLOOKUP($A26,IMPORTRANGE(""https://docs.google.com/spreadsheets/d/1CTYfdyRk_RFGM3I2iN9bKeD9zUPzEm1ajzml6VgwfIU/edit#gid=0"",""'Game 9'!$B$2:$Q$31""),30,False),0)"),23.0)</f>
        <v>23</v>
      </c>
      <c r="K26" s="5">
        <f>IFERROR(__xludf.DUMMYFUNCTION("IFERROR(HLOOKUP($A26,IMPORTRANGE(""https://docs.google.com/spreadsheets/d/11NFkzOdQyW-OtxSDuGslNCgNjx7HUb2FU7KnlNnPMgY/edit#gid=0"",""'Game 9'!$B$2:$Q$31""),30,False),0)"),23.0)</f>
        <v>23</v>
      </c>
      <c r="L26" s="5">
        <f>IFERROR(__xludf.DUMMYFUNCTION("IFERROR(HLOOKUP($A26,IMPORTRANGE(""https://docs.google.com/spreadsheets/d/1CLg5-jaE4ta0-u4oE1qbBplQ5Mf3Oj9ONFgL0zJ7Ol4/edit#gid=0"",""'Game 6'!$B$2:$Q$31""),30,False),1)"),0.0)</f>
        <v>0</v>
      </c>
      <c r="M26" s="5">
        <f>IFERROR(__xludf.DUMMYFUNCTION("IFERROR(HLOOKUP($A26,IMPORTRANGE(""https://docs.google.com/spreadsheets/d/1CeexgK4KxWj3k_7nql_k8-RPxXMwTJyB4Q3vAASeDlA/edit#gid=0"",""'Game 4'!$B$2:$Q$31""),30,False),1)"),12.0)</f>
        <v>12</v>
      </c>
      <c r="N26" s="5">
        <f>IFERROR(__xludf.DUMMYFUNCTION("IFERROR(HLOOKUP($A26,IMPORTRANGE(""https://docs.google.com/spreadsheets/d/1MNwUNMjcwK6bEgCXwB73jpbK5gJAXS8ZMpbEMLJEP3E/edit#gid=0"",""'Game 3'!$B$2:$Q$31""),30,False),1)"),0.0)</f>
        <v>0</v>
      </c>
      <c r="O26" s="5">
        <f>IFERROR(__xludf.DUMMYFUNCTION("IFERROR(HLOOKUP($A26,IMPORTRANGE(""https://docs.google.com/spreadsheets/d/1UrzyxmT40kDZwVrLMf1yyXfP-pyczRAw9Y8Rw-uXG3c/edit#gid=0"",""'Game 9'!$B$2:$Q$31""),30,False),1)"),23.0)</f>
        <v>23</v>
      </c>
      <c r="P26" s="5">
        <f>IFERROR(__xludf.DUMMYFUNCTION("IFERROR(HLOOKUP($A26,IMPORTRANGE(""https://docs.google.com/spreadsheets/d/1iyMhSYWifw-KGFtyeBpNxVZr4BhcV9hVZuShgJ9Ia0E/edit#gid=0"",""'Game 9'!$B$2:$Q$31""),30,False),1)"),0.0)</f>
        <v>0</v>
      </c>
      <c r="Q26" s="5">
        <f>IFERROR(__xludf.DUMMYFUNCTION("IFERROR(HLOOKUP($A26,IMPORTRANGE(""https://docs.google.com/spreadsheets/d/1sSbIK-vvHsSY0LghLJ9gcnW8Hec_ITI2tFmpeqI999A/edit#gid=0"",""'Game 4'!$B$2:$Q$31""),30,False),1)"),12.0)</f>
        <v>12</v>
      </c>
      <c r="R26" s="6">
        <f t="shared" si="1"/>
        <v>139</v>
      </c>
    </row>
    <row r="27">
      <c r="A27" s="21" t="s">
        <v>76</v>
      </c>
      <c r="B27" s="21" t="s">
        <v>64</v>
      </c>
      <c r="C27" s="21">
        <v>23.0</v>
      </c>
      <c r="D27" s="21">
        <v>23.0</v>
      </c>
      <c r="E27" s="21">
        <v>23.0</v>
      </c>
      <c r="F27" s="21">
        <v>23.0</v>
      </c>
      <c r="G27" s="1">
        <v>23.0</v>
      </c>
      <c r="H27" s="7">
        <f>IFERROR(__xludf.DUMMYFUNCTION("HLOOKUP($A27,IMPORTRANGE(""https://docs.google.com/spreadsheets/d/16J5ie7OD1E99qGO9lMDm8w5Yls-v190B7DTolJ5TmFc/edit#gid=0"",""'Game 7'!$B$2:$Q$31""),30,False)"),0.0)</f>
        <v>0</v>
      </c>
      <c r="I27" s="1">
        <v>23.0</v>
      </c>
      <c r="J27" s="7">
        <f>IFERROR(__xludf.DUMMYFUNCTION("IFERROR(HLOOKUP($A27,IMPORTRANGE(""https://docs.google.com/spreadsheets/d/1CTYfdyRk_RFGM3I2iN9bKeD9zUPzEm1ajzml6VgwfIU/edit#gid=0"",""'Game 9'!$B$2:$Q$31""),30,False),0)"),0.0)</f>
        <v>0</v>
      </c>
      <c r="K27" s="7">
        <f>IFERROR(__xludf.DUMMYFUNCTION("IFERROR(HLOOKUP($A27,IMPORTRANGE(""https://docs.google.com/spreadsheets/d/11NFkzOdQyW-OtxSDuGslNCgNjx7HUb2FU7KnlNnPMgY/edit#gid=0"",""'Game 9'!$B$2:$Q$31""),30,False),0)"),11.0)</f>
        <v>11</v>
      </c>
      <c r="L27" s="7">
        <f>IFERROR(__xludf.DUMMYFUNCTION("IFERROR(HLOOKUP($A27,IMPORTRANGE(""https://docs.google.com/spreadsheets/d/1CLg5-jaE4ta0-u4oE1qbBplQ5Mf3Oj9ONFgL0zJ7Ol4/edit#gid=0"",""'Game 6'!$B$2:$Q$31""),30,False),1)"),0.0)</f>
        <v>0</v>
      </c>
      <c r="M27" s="7">
        <f>IFERROR(__xludf.DUMMYFUNCTION("IFERROR(HLOOKUP($A27,IMPORTRANGE(""https://docs.google.com/spreadsheets/d/1CeexgK4KxWj3k_7nql_k8-RPxXMwTJyB4Q3vAASeDlA/edit#gid=0"",""'Game 4'!$B$2:$Q$31""),30,False),1)"),11.0)</f>
        <v>11</v>
      </c>
      <c r="N27" s="7">
        <f>IFERROR(__xludf.DUMMYFUNCTION("IFERROR(HLOOKUP($A27,IMPORTRANGE(""https://docs.google.com/spreadsheets/d/1MNwUNMjcwK6bEgCXwB73jpbK5gJAXS8ZMpbEMLJEP3E/edit#gid=0"",""'Game 3'!$B$2:$Q$31""),30,False),1)"),23.0)</f>
        <v>23</v>
      </c>
      <c r="O27" s="7">
        <f>IFERROR(__xludf.DUMMYFUNCTION("IFERROR(HLOOKUP($A27,IMPORTRANGE(""https://docs.google.com/spreadsheets/d/1UrzyxmT40kDZwVrLMf1yyXfP-pyczRAw9Y8Rw-uXG3c/edit#gid=0"",""'Game 9'!$B$2:$Q$31""),30,False),1)"),0.0)</f>
        <v>0</v>
      </c>
      <c r="P27" s="7">
        <f>IFERROR(__xludf.DUMMYFUNCTION("IFERROR(HLOOKUP($A27,IMPORTRANGE(""https://docs.google.com/spreadsheets/d/1iyMhSYWifw-KGFtyeBpNxVZr4BhcV9hVZuShgJ9Ia0E/edit#gid=0"",""'Game 9'!$B$2:$Q$31""),30,False),1)"),23.0)</f>
        <v>23</v>
      </c>
      <c r="Q27" s="7">
        <f>IFERROR(__xludf.DUMMYFUNCTION("IFERROR(HLOOKUP($A27,IMPORTRANGE(""https://docs.google.com/spreadsheets/d/1sSbIK-vvHsSY0LghLJ9gcnW8Hec_ITI2tFmpeqI999A/edit#gid=0"",""'Game 4'!$B$2:$Q$31""),30,False),1)"),11.0)</f>
        <v>11</v>
      </c>
      <c r="R27" s="11">
        <f t="shared" si="1"/>
        <v>217</v>
      </c>
    </row>
    <row r="28">
      <c r="A28" s="18" t="s">
        <v>78</v>
      </c>
      <c r="B28" s="6" t="s">
        <v>79</v>
      </c>
      <c r="C28" s="18">
        <v>23.0</v>
      </c>
      <c r="D28" s="18">
        <v>23.0</v>
      </c>
      <c r="E28" s="18">
        <v>23.0</v>
      </c>
      <c r="F28" s="18">
        <v>0.0</v>
      </c>
      <c r="G28" s="3">
        <v>23.0</v>
      </c>
      <c r="H28" s="5">
        <f>IFERROR(__xludf.DUMMYFUNCTION("HLOOKUP($A28,IMPORTRANGE(""https://docs.google.com/spreadsheets/d/16J5ie7OD1E99qGO9lMDm8w5Yls-v190B7DTolJ5TmFc/edit#gid=0"",""'Game 7'!$B$2:$Q$31""),30,False)"),23.0)</f>
        <v>23</v>
      </c>
      <c r="I28" s="3">
        <v>12.0</v>
      </c>
      <c r="J28" s="5">
        <f>IFERROR(__xludf.DUMMYFUNCTION("IFERROR(HLOOKUP($A28,IMPORTRANGE(""https://docs.google.com/spreadsheets/d/1CTYfdyRk_RFGM3I2iN9bKeD9zUPzEm1ajzml6VgwfIU/edit#gid=0"",""'Game 2'!$B$2:$Q$31""),30,False),0)"),23.0)</f>
        <v>23</v>
      </c>
      <c r="K28" s="5">
        <f>IFERROR(__xludf.DUMMYFUNCTION("IFERROR(HLOOKUP($A28,IMPORTRANGE(""https://docs.google.com/spreadsheets/d/11NFkzOdQyW-OtxSDuGslNCgNjx7HUb2FU7KnlNnPMgY/edit#gid=0"",""'Game 10'!$B$2:$Q$31""),30,False),0)"),12.0)</f>
        <v>12</v>
      </c>
      <c r="L28" s="5">
        <f>IFERROR(__xludf.DUMMYFUNCTION("IFERROR(HLOOKUP($A28,IMPORTRANGE(""https://docs.google.com/spreadsheets/d/1CLg5-jaE4ta0-u4oE1qbBplQ5Mf3Oj9ONFgL0zJ7Ol4/edit#gid=0"",""'Game 8'!$B$2:$Q$31""),30,False),1)"),23.0)</f>
        <v>23</v>
      </c>
      <c r="M28" s="5">
        <f>IFERROR(__xludf.DUMMYFUNCTION("IFERROR(HLOOKUP($A28,IMPORTRANGE(""https://docs.google.com/spreadsheets/d/1CeexgK4KxWj3k_7nql_k8-RPxXMwTJyB4Q3vAASeDlA/edit#gid=0"",""'Game 8'!$B$2:$Q$31""),30,False),1)"),23.0)</f>
        <v>23</v>
      </c>
      <c r="N28" s="5">
        <f>IFERROR(__xludf.DUMMYFUNCTION("IFERROR(HLOOKUP($A28,IMPORTRANGE(""https://docs.google.com/spreadsheets/d/1MNwUNMjcwK6bEgCXwB73jpbK5gJAXS8ZMpbEMLJEP3E/edit#gid=0"",""'Game 9'!$B$2:$Q$31""),30,False),1)"),23.0)</f>
        <v>23</v>
      </c>
      <c r="O28" s="5">
        <f>IFERROR(__xludf.DUMMYFUNCTION("IFERROR(HLOOKUP($A28,IMPORTRANGE(""https://docs.google.com/spreadsheets/d/1UrzyxmT40kDZwVrLMf1yyXfP-pyczRAw9Y8Rw-uXG3c/edit#gid=0"",""'Game 10'!$B$2:$Q$31""),30,False),1)"),23.0)</f>
        <v>23</v>
      </c>
      <c r="P28" s="5">
        <f>IFERROR(__xludf.DUMMYFUNCTION("IFERROR(HLOOKUP($A28,IMPORTRANGE(""https://docs.google.com/spreadsheets/d/1iyMhSYWifw-KGFtyeBpNxVZr4BhcV9hVZuShgJ9Ia0E/edit#gid=0"",""'Game 3'!$B$2:$Q$31""),30,False),1)"),23.0)</f>
        <v>23</v>
      </c>
      <c r="Q28" s="5">
        <f>IFERROR(__xludf.DUMMYFUNCTION("IFERROR(HLOOKUP($A28,IMPORTRANGE(""https://docs.google.com/spreadsheets/d/1sSbIK-vvHsSY0LghLJ9gcnW8Hec_ITI2tFmpeqI999A/edit#gid=0"",""'Game 5'!$B$2:$Q$31""),30,False),1)"),0.0)</f>
        <v>0</v>
      </c>
      <c r="R28" s="6">
        <f t="shared" si="1"/>
        <v>277</v>
      </c>
    </row>
    <row r="29">
      <c r="A29" s="21" t="s">
        <v>82</v>
      </c>
      <c r="B29" s="11" t="s">
        <v>79</v>
      </c>
      <c r="C29" s="21">
        <v>23.0</v>
      </c>
      <c r="D29" s="21">
        <v>23.0</v>
      </c>
      <c r="E29" s="21">
        <v>0.0</v>
      </c>
      <c r="F29" s="21">
        <v>23.0</v>
      </c>
      <c r="G29" s="1">
        <v>23.0</v>
      </c>
      <c r="H29" s="7">
        <f>IFERROR(__xludf.DUMMYFUNCTION("HLOOKUP($A29,IMPORTRANGE(""https://docs.google.com/spreadsheets/d/16J5ie7OD1E99qGO9lMDm8w5Yls-v190B7DTolJ5TmFc/edit#gid=0"",""'Game 7'!$B$2:$Q$31""),30,False)"),23.0)</f>
        <v>23</v>
      </c>
      <c r="I29" s="1">
        <v>23.0</v>
      </c>
      <c r="J29" s="7">
        <f>IFERROR(__xludf.DUMMYFUNCTION("IFERROR(HLOOKUP($A29,IMPORTRANGE(""https://docs.google.com/spreadsheets/d/1CTYfdyRk_RFGM3I2iN9bKeD9zUPzEm1ajzml6VgwfIU/edit#gid=0"",""'Game 2'!$B$2:$Q$31""),30,False),0)"),23.0)</f>
        <v>23</v>
      </c>
      <c r="K29" s="7">
        <f>IFERROR(__xludf.DUMMYFUNCTION("IFERROR(HLOOKUP($A29,IMPORTRANGE(""https://docs.google.com/spreadsheets/d/11NFkzOdQyW-OtxSDuGslNCgNjx7HUb2FU7KnlNnPMgY/edit#gid=0"",""'Game 10'!$B$2:$Q$31""),30,False),0)"),23.0)</f>
        <v>23</v>
      </c>
      <c r="L29" s="7">
        <f>IFERROR(__xludf.DUMMYFUNCTION("IFERROR(HLOOKUP($A29,IMPORTRANGE(""https://docs.google.com/spreadsheets/d/1CLg5-jaE4ta0-u4oE1qbBplQ5Mf3Oj9ONFgL0zJ7Ol4/edit#gid=0"",""'Game 8'!$B$2:$Q$31""),30,False),1)"),23.0)</f>
        <v>23</v>
      </c>
      <c r="M29" s="7">
        <f>IFERROR(__xludf.DUMMYFUNCTION("IFERROR(HLOOKUP($A29,IMPORTRANGE(""https://docs.google.com/spreadsheets/d/1CeexgK4KxWj3k_7nql_k8-RPxXMwTJyB4Q3vAASeDlA/edit#gid=0"",""'Game 8'!$B$2:$Q$31""),30,False),1)"),23.0)</f>
        <v>23</v>
      </c>
      <c r="N29" s="7">
        <f>IFERROR(__xludf.DUMMYFUNCTION("IFERROR(HLOOKUP($A29,IMPORTRANGE(""https://docs.google.com/spreadsheets/d/1MNwUNMjcwK6bEgCXwB73jpbK5gJAXS8ZMpbEMLJEP3E/edit#gid=0"",""'Game 9'!$B$2:$Q$31""),30,False),1)"),23.0)</f>
        <v>23</v>
      </c>
      <c r="O29" s="7">
        <f>IFERROR(__xludf.DUMMYFUNCTION("IFERROR(HLOOKUP($A29,IMPORTRANGE(""https://docs.google.com/spreadsheets/d/1UrzyxmT40kDZwVrLMf1yyXfP-pyczRAw9Y8Rw-uXG3c/edit#gid=0"",""'Game 10'!$B$2:$Q$31""),30,False),1)"),23.0)</f>
        <v>23</v>
      </c>
      <c r="P29" s="7">
        <f>IFERROR(__xludf.DUMMYFUNCTION("IFERROR(HLOOKUP($A29,IMPORTRANGE(""https://docs.google.com/spreadsheets/d/1iyMhSYWifw-KGFtyeBpNxVZr4BhcV9hVZuShgJ9Ia0E/edit#gid=0"",""'Game 3'!$B$2:$Q$31""),30,False),1)"),0.0)</f>
        <v>0</v>
      </c>
      <c r="Q29" s="7">
        <f>IFERROR(__xludf.DUMMYFUNCTION("IFERROR(HLOOKUP($A29,IMPORTRANGE(""https://docs.google.com/spreadsheets/d/1sSbIK-vvHsSY0LghLJ9gcnW8Hec_ITI2tFmpeqI999A/edit#gid=0"",""'Game 5'!$B$2:$Q$31""),30,False),1)"),23.0)</f>
        <v>23</v>
      </c>
      <c r="R29" s="11">
        <f t="shared" si="1"/>
        <v>299</v>
      </c>
    </row>
    <row r="30">
      <c r="A30" s="18" t="s">
        <v>85</v>
      </c>
      <c r="B30" s="6" t="s">
        <v>79</v>
      </c>
      <c r="C30" s="18">
        <v>23.0</v>
      </c>
      <c r="D30" s="18">
        <v>23.0</v>
      </c>
      <c r="E30" s="18">
        <v>23.0</v>
      </c>
      <c r="F30" s="18">
        <v>23.0</v>
      </c>
      <c r="G30" s="3">
        <v>23.0</v>
      </c>
      <c r="H30" s="5">
        <f>IFERROR(__xludf.DUMMYFUNCTION("HLOOKUP($A30,IMPORTRANGE(""https://docs.google.com/spreadsheets/d/16J5ie7OD1E99qGO9lMDm8w5Yls-v190B7DTolJ5TmFc/edit#gid=0"",""'Game 7'!$B$2:$Q$31""),30,False)"),23.0)</f>
        <v>23</v>
      </c>
      <c r="I30" s="3">
        <v>23.0</v>
      </c>
      <c r="J30" s="5">
        <f>IFERROR(__xludf.DUMMYFUNCTION("IFERROR(HLOOKUP($A30,IMPORTRANGE(""https://docs.google.com/spreadsheets/d/1CTYfdyRk_RFGM3I2iN9bKeD9zUPzEm1ajzml6VgwfIU/edit#gid=0"",""'Game 2'!$B$2:$Q$31""),30,False),0)"),23.0)</f>
        <v>23</v>
      </c>
      <c r="K30" s="5">
        <f>IFERROR(__xludf.DUMMYFUNCTION("IFERROR(HLOOKUP($A30,IMPORTRANGE(""https://docs.google.com/spreadsheets/d/11NFkzOdQyW-OtxSDuGslNCgNjx7HUb2FU7KnlNnPMgY/edit#gid=0"",""'Game 10'!$B$2:$Q$31""),30,False),0)"),23.0)</f>
        <v>23</v>
      </c>
      <c r="L30" s="5">
        <f>IFERROR(__xludf.DUMMYFUNCTION("IFERROR(HLOOKUP($A30,IMPORTRANGE(""https://docs.google.com/spreadsheets/d/1CLg5-jaE4ta0-u4oE1qbBplQ5Mf3Oj9ONFgL0zJ7Ol4/edit#gid=0"",""'Game 8'!$B$2:$Q$31""),30,False),1)"),23.0)</f>
        <v>23</v>
      </c>
      <c r="M30" s="5">
        <f>IFERROR(__xludf.DUMMYFUNCTION("IFERROR(HLOOKUP($A30,IMPORTRANGE(""https://docs.google.com/spreadsheets/d/1CeexgK4KxWj3k_7nql_k8-RPxXMwTJyB4Q3vAASeDlA/edit#gid=0"",""'Game 8'!$B$2:$Q$31""),30,False),1)"),23.0)</f>
        <v>23</v>
      </c>
      <c r="N30" s="5">
        <f>IFERROR(__xludf.DUMMYFUNCTION("IFERROR(HLOOKUP($A30,IMPORTRANGE(""https://docs.google.com/spreadsheets/d/1MNwUNMjcwK6bEgCXwB73jpbK5gJAXS8ZMpbEMLJEP3E/edit#gid=0"",""'Game 9'!$B$2:$Q$31""),30,False),1)"),23.0)</f>
        <v>23</v>
      </c>
      <c r="O30" s="5">
        <f>IFERROR(__xludf.DUMMYFUNCTION("IFERROR(HLOOKUP($A30,IMPORTRANGE(""https://docs.google.com/spreadsheets/d/1UrzyxmT40kDZwVrLMf1yyXfP-pyczRAw9Y8Rw-uXG3c/edit#gid=0"",""'Game 10'!$B$2:$Q$31""),30,False),1)"),23.0)</f>
        <v>23</v>
      </c>
      <c r="P30" s="5">
        <f>IFERROR(__xludf.DUMMYFUNCTION("IFERROR(HLOOKUP($A30,IMPORTRANGE(""https://docs.google.com/spreadsheets/d/1iyMhSYWifw-KGFtyeBpNxVZr4BhcV9hVZuShgJ9Ia0E/edit#gid=0"",""'Game 3'!$B$2:$Q$31""),30,False),1)"),23.0)</f>
        <v>23</v>
      </c>
      <c r="Q30" s="5">
        <f>IFERROR(__xludf.DUMMYFUNCTION("IFERROR(HLOOKUP($A30,IMPORTRANGE(""https://docs.google.com/spreadsheets/d/1sSbIK-vvHsSY0LghLJ9gcnW8Hec_ITI2tFmpeqI999A/edit#gid=0"",""'Game 5'!$B$2:$Q$31""),30,False),1)"),23.0)</f>
        <v>23</v>
      </c>
      <c r="R30" s="6">
        <f t="shared" si="1"/>
        <v>345</v>
      </c>
    </row>
    <row r="31">
      <c r="A31" s="21" t="s">
        <v>87</v>
      </c>
      <c r="B31" s="21" t="s">
        <v>79</v>
      </c>
      <c r="C31" s="21">
        <v>23.0</v>
      </c>
      <c r="D31" s="21">
        <v>12.0</v>
      </c>
      <c r="E31" s="21">
        <v>23.0</v>
      </c>
      <c r="F31" s="21">
        <v>23.0</v>
      </c>
      <c r="G31" s="1">
        <v>23.0</v>
      </c>
      <c r="H31" s="7">
        <f>IFERROR(__xludf.DUMMYFUNCTION("HLOOKUP($A31,IMPORTRANGE(""https://docs.google.com/spreadsheets/d/16J5ie7OD1E99qGO9lMDm8w5Yls-v190B7DTolJ5TmFc/edit#gid=0"",""'Game 7'!$B$2:$Q$31""),30,False)"),23.0)</f>
        <v>23</v>
      </c>
      <c r="I31" s="1">
        <v>23.0</v>
      </c>
      <c r="J31" s="7">
        <f>IFERROR(__xludf.DUMMYFUNCTION("IFERROR(HLOOKUP($A31,IMPORTRANGE(""https://docs.google.com/spreadsheets/d/1CTYfdyRk_RFGM3I2iN9bKeD9zUPzEm1ajzml6VgwfIU/edit#gid=0"",""'Game 2'!$B$2:$Q$31""),30,False),0)"),12.0)</f>
        <v>12</v>
      </c>
      <c r="K31" s="7">
        <f>IFERROR(__xludf.DUMMYFUNCTION("IFERROR(HLOOKUP($A31,IMPORTRANGE(""https://docs.google.com/spreadsheets/d/11NFkzOdQyW-OtxSDuGslNCgNjx7HUb2FU7KnlNnPMgY/edit#gid=0"",""'Game 10'!$B$2:$Q$31""),30,False),0)"),23.0)</f>
        <v>23</v>
      </c>
      <c r="L31" s="7">
        <f>IFERROR(__xludf.DUMMYFUNCTION("IFERROR(HLOOKUP($A31,IMPORTRANGE(""https://docs.google.com/spreadsheets/d/1CLg5-jaE4ta0-u4oE1qbBplQ5Mf3Oj9ONFgL0zJ7Ol4/edit#gid=0"",""'Game 8'!$B$2:$Q$31""),30,False),1)"),23.0)</f>
        <v>23</v>
      </c>
      <c r="M31" s="7">
        <f>IFERROR(__xludf.DUMMYFUNCTION("IFERROR(HLOOKUP($A31,IMPORTRANGE(""https://docs.google.com/spreadsheets/d/1CeexgK4KxWj3k_7nql_k8-RPxXMwTJyB4Q3vAASeDlA/edit#gid=0"",""'Game 8'!$B$2:$Q$31""),30,False),1)"),23.0)</f>
        <v>23</v>
      </c>
      <c r="N31" s="7">
        <f>IFERROR(__xludf.DUMMYFUNCTION("IFERROR(HLOOKUP($A31,IMPORTRANGE(""https://docs.google.com/spreadsheets/d/1MNwUNMjcwK6bEgCXwB73jpbK5gJAXS8ZMpbEMLJEP3E/edit#gid=0"",""'Game 9'!$B$2:$Q$31""),30,False),1)"),23.0)</f>
        <v>23</v>
      </c>
      <c r="O31" s="7">
        <f>IFERROR(__xludf.DUMMYFUNCTION("IFERROR(HLOOKUP($A31,IMPORTRANGE(""https://docs.google.com/spreadsheets/d/1UrzyxmT40kDZwVrLMf1yyXfP-pyczRAw9Y8Rw-uXG3c/edit#gid=0"",""'Game 10'!$B$2:$Q$31""),30,False),1)"),23.0)</f>
        <v>23</v>
      </c>
      <c r="P31" s="7">
        <f>IFERROR(__xludf.DUMMYFUNCTION("IFERROR(HLOOKUP($A31,IMPORTRANGE(""https://docs.google.com/spreadsheets/d/1iyMhSYWifw-KGFtyeBpNxVZr4BhcV9hVZuShgJ9Ia0E/edit#gid=0"",""'Game 3'!$B$2:$Q$31""),30,False),1)"),23.0)</f>
        <v>23</v>
      </c>
      <c r="Q31" s="7">
        <f>IFERROR(__xludf.DUMMYFUNCTION("IFERROR(HLOOKUP($A31,IMPORTRANGE(""https://docs.google.com/spreadsheets/d/1sSbIK-vvHsSY0LghLJ9gcnW8Hec_ITI2tFmpeqI999A/edit#gid=0"",""'Game 5'!$B$2:$Q$31""),30,False),1)"),23.0)</f>
        <v>23</v>
      </c>
      <c r="R31" s="11">
        <f t="shared" si="1"/>
        <v>323</v>
      </c>
    </row>
    <row r="32">
      <c r="A32" s="18" t="s">
        <v>89</v>
      </c>
      <c r="B32" s="18" t="s">
        <v>79</v>
      </c>
      <c r="C32" s="18">
        <v>0.0</v>
      </c>
      <c r="D32" s="18">
        <v>11.0</v>
      </c>
      <c r="E32" s="18">
        <v>23.0</v>
      </c>
      <c r="F32" s="18">
        <v>23.0</v>
      </c>
      <c r="G32" s="3">
        <v>0.0</v>
      </c>
      <c r="H32" s="5">
        <f>IFERROR(__xludf.DUMMYFUNCTION("HLOOKUP($A32,IMPORTRANGE(""https://docs.google.com/spreadsheets/d/16J5ie7OD1E99qGO9lMDm8w5Yls-v190B7DTolJ5TmFc/edit#gid=0"",""'Game 7'!$B$2:$Q$31""),30,False)"),0.0)</f>
        <v>0</v>
      </c>
      <c r="I32" s="3">
        <v>11.0</v>
      </c>
      <c r="J32" s="5">
        <f>IFERROR(__xludf.DUMMYFUNCTION("IFERROR(HLOOKUP($A32,IMPORTRANGE(""https://docs.google.com/spreadsheets/d/1CTYfdyRk_RFGM3I2iN9bKeD9zUPzEm1ajzml6VgwfIU/edit#gid=0"",""'Game 2'!$B$2:$Q$31""),30,False),0)"),11.0)</f>
        <v>11</v>
      </c>
      <c r="K32" s="5">
        <f>IFERROR(__xludf.DUMMYFUNCTION("IFERROR(HLOOKUP($A32,IMPORTRANGE(""https://docs.google.com/spreadsheets/d/11NFkzOdQyW-OtxSDuGslNCgNjx7HUb2FU7KnlNnPMgY/edit#gid=0"",""'Game 10'!$B$2:$Q$31""),30,False),0)"),11.0)</f>
        <v>11</v>
      </c>
      <c r="L32" s="5">
        <f>IFERROR(__xludf.DUMMYFUNCTION("IFERROR(HLOOKUP($A32,IMPORTRANGE(""https://docs.google.com/spreadsheets/d/1CLg5-jaE4ta0-u4oE1qbBplQ5Mf3Oj9ONFgL0zJ7Ol4/edit#gid=0"",""'Game 8'!$B$2:$Q$31""),30,False),1)"),0.0)</f>
        <v>0</v>
      </c>
      <c r="M32" s="5">
        <f>IFERROR(__xludf.DUMMYFUNCTION("IFERROR(HLOOKUP($A32,IMPORTRANGE(""https://docs.google.com/spreadsheets/d/1CeexgK4KxWj3k_7nql_k8-RPxXMwTJyB4Q3vAASeDlA/edit#gid=0"",""'Game 8'!$B$2:$Q$31""),30,False),1)"),0.0)</f>
        <v>0</v>
      </c>
      <c r="N32" s="5">
        <f>IFERROR(__xludf.DUMMYFUNCTION("IFERROR(HLOOKUP($A32,IMPORTRANGE(""https://docs.google.com/spreadsheets/d/1MNwUNMjcwK6bEgCXwB73jpbK5gJAXS8ZMpbEMLJEP3E/edit#gid=0"",""'Game 9'!$B$2:$Q$31""),30,False),1)"),0.0)</f>
        <v>0</v>
      </c>
      <c r="O32" s="5">
        <f>IFERROR(__xludf.DUMMYFUNCTION("IFERROR(HLOOKUP($A32,IMPORTRANGE(""https://docs.google.com/spreadsheets/d/1UrzyxmT40kDZwVrLMf1yyXfP-pyczRAw9Y8Rw-uXG3c/edit#gid=0"",""'Game 10'!$B$2:$Q$31""),30,False),1)"),0.0)</f>
        <v>0</v>
      </c>
      <c r="P32" s="5">
        <f>IFERROR(__xludf.DUMMYFUNCTION("IFERROR(HLOOKUP($A32,IMPORTRANGE(""https://docs.google.com/spreadsheets/d/1iyMhSYWifw-KGFtyeBpNxVZr4BhcV9hVZuShgJ9Ia0E/edit#gid=0"",""'Game 3'!$B$2:$Q$31""),30,False),1)"),18.0)</f>
        <v>18</v>
      </c>
      <c r="Q32" s="5">
        <f>IFERROR(__xludf.DUMMYFUNCTION("IFERROR(HLOOKUP($A32,IMPORTRANGE(""https://docs.google.com/spreadsheets/d/1sSbIK-vvHsSY0LghLJ9gcnW8Hec_ITI2tFmpeqI999A/edit#gid=0"",""'Game 5'!$B$2:$Q$31""),30,False),1)"),23.0)</f>
        <v>23</v>
      </c>
      <c r="R32" s="6">
        <f t="shared" si="1"/>
        <v>131</v>
      </c>
    </row>
    <row r="33">
      <c r="A33" s="21" t="s">
        <v>90</v>
      </c>
      <c r="B33" s="21" t="s">
        <v>91</v>
      </c>
      <c r="C33" s="21">
        <v>23.0</v>
      </c>
      <c r="D33" s="21">
        <v>23.0</v>
      </c>
      <c r="E33" s="21">
        <v>23.0</v>
      </c>
      <c r="F33" s="21">
        <v>23.0</v>
      </c>
      <c r="G33" s="1">
        <v>23.0</v>
      </c>
      <c r="H33" s="7">
        <f>IFERROR(__xludf.DUMMYFUNCTION("HLOOKUP($A33,IMPORTRANGE(""https://docs.google.com/spreadsheets/d/16J5ie7OD1E99qGO9lMDm8w5Yls-v190B7DTolJ5TmFc/edit#gid=0"",""'Game 12'!$B$2:$Q$31""),30,False)"),23.0)</f>
        <v>23</v>
      </c>
      <c r="I33" s="1">
        <v>23.0</v>
      </c>
      <c r="J33" s="7">
        <f>IFERROR(__xludf.DUMMYFUNCTION("IFERROR(HLOOKUP($A33,IMPORTRANGE(""https://docs.google.com/spreadsheets/d/1CTYfdyRk_RFGM3I2iN9bKeD9zUPzEm1ajzml6VgwfIU/edit#gid=0"",""'Game 2'!$B$2:$Q$31""),30,False),0)"),23.0)</f>
        <v>23</v>
      </c>
      <c r="K33" s="7">
        <f>IFERROR(__xludf.DUMMYFUNCTION("IFERROR(HLOOKUP($A33,IMPORTRANGE(""https://docs.google.com/spreadsheets/d/11NFkzOdQyW-OtxSDuGslNCgNjx7HUb2FU7KnlNnPMgY/edit#gid=0"",""'Game 2'!$B$2:$Q$31""),30,False),0)"),23.0)</f>
        <v>23</v>
      </c>
      <c r="L33" s="7">
        <f>IFERROR(__xludf.DUMMYFUNCTION("IFERROR(HLOOKUP($A33,IMPORTRANGE(""https://docs.google.com/spreadsheets/d/1CLg5-jaE4ta0-u4oE1qbBplQ5Mf3Oj9ONFgL0zJ7Ol4/edit#gid=0"",""'Game 2'!$B$2:$Q$31""),30,False),1)"),23.0)</f>
        <v>23</v>
      </c>
      <c r="M33" s="7">
        <f>IFERROR(__xludf.DUMMYFUNCTION("IFERROR(HLOOKUP($A33,IMPORTRANGE(""https://docs.google.com/spreadsheets/d/1CeexgK4KxWj3k_7nql_k8-RPxXMwTJyB4Q3vAASeDlA/edit#gid=0"",""'Game 2'!$B$2:$Q$31""),30,False),1)"),23.0)</f>
        <v>23</v>
      </c>
      <c r="N33" s="7">
        <f>IFERROR(__xludf.DUMMYFUNCTION("IFERROR(HLOOKUP($A33,IMPORTRANGE(""https://docs.google.com/spreadsheets/d/1MNwUNMjcwK6bEgCXwB73jpbK5gJAXS8ZMpbEMLJEP3E/edit#gid=0"",""'Game 2'!$B$2:$Q$31""),30,False),1)"),23.0)</f>
        <v>23</v>
      </c>
      <c r="O33" s="7">
        <f>IFERROR(__xludf.DUMMYFUNCTION("IFERROR(HLOOKUP($A33,IMPORTRANGE(""https://docs.google.com/spreadsheets/d/1UrzyxmT40kDZwVrLMf1yyXfP-pyczRAw9Y8Rw-uXG3c/edit#gid=0"",""'Game 2'!$B$2:$Q$31""),30,False),1)"),23.0)</f>
        <v>23</v>
      </c>
      <c r="P33" s="7">
        <f>IFERROR(__xludf.DUMMYFUNCTION("IFERROR(HLOOKUP($A33,IMPORTRANGE(""https://docs.google.com/spreadsheets/d/1iyMhSYWifw-KGFtyeBpNxVZr4BhcV9hVZuShgJ9Ia0E/edit#gid=0"",""'Game 2'!$B$2:$Q$31""),30,False),1)"),23.0)</f>
        <v>23</v>
      </c>
      <c r="Q33" s="7">
        <f>IFERROR(__xludf.DUMMYFUNCTION("IFERROR(HLOOKUP($A33,IMPORTRANGE(""https://docs.google.com/spreadsheets/d/1sSbIK-vvHsSY0LghLJ9gcnW8Hec_ITI2tFmpeqI999A/edit#gid=0"",""'Game 2'!$B$2:$Q$31""),30,False),1)"),23.0)</f>
        <v>23</v>
      </c>
      <c r="R33" s="11">
        <f t="shared" si="1"/>
        <v>345</v>
      </c>
    </row>
    <row r="34">
      <c r="A34" s="18" t="s">
        <v>93</v>
      </c>
      <c r="B34" s="6" t="s">
        <v>91</v>
      </c>
      <c r="C34" s="18">
        <v>23.0</v>
      </c>
      <c r="D34" s="18">
        <v>23.0</v>
      </c>
      <c r="E34" s="18">
        <v>23.0</v>
      </c>
      <c r="F34" s="18">
        <v>23.0</v>
      </c>
      <c r="G34" s="3">
        <v>23.0</v>
      </c>
      <c r="H34" s="5">
        <f>IFERROR(__xludf.DUMMYFUNCTION("HLOOKUP($A34,IMPORTRANGE(""https://docs.google.com/spreadsheets/d/16J5ie7OD1E99qGO9lMDm8w5Yls-v190B7DTolJ5TmFc/edit#gid=0"",""'Game 12'!$B$2:$Q$31""),30,False)"),23.0)</f>
        <v>23</v>
      </c>
      <c r="I34" s="3">
        <v>0.0</v>
      </c>
      <c r="J34" s="5">
        <f>IFERROR(__xludf.DUMMYFUNCTION("IFERROR(HLOOKUP($A34,IMPORTRANGE(""https://docs.google.com/spreadsheets/d/1CTYfdyRk_RFGM3I2iN9bKeD9zUPzEm1ajzml6VgwfIU/edit#gid=0"",""'Game 2'!$B$2:$Q$31""),30,False),0)"),23.0)</f>
        <v>23</v>
      </c>
      <c r="K34" s="5">
        <f>IFERROR(__xludf.DUMMYFUNCTION("IFERROR(HLOOKUP($A34,IMPORTRANGE(""https://docs.google.com/spreadsheets/d/11NFkzOdQyW-OtxSDuGslNCgNjx7HUb2FU7KnlNnPMgY/edit#gid=0"",""'Game 2'!$B$2:$Q$31""),30,False),0)"),0.0)</f>
        <v>0</v>
      </c>
      <c r="L34" s="5">
        <f>IFERROR(__xludf.DUMMYFUNCTION("IFERROR(HLOOKUP($A34,IMPORTRANGE(""https://docs.google.com/spreadsheets/d/1CLg5-jaE4ta0-u4oE1qbBplQ5Mf3Oj9ONFgL0zJ7Ol4/edit#gid=0"",""'Game 2'!$B$2:$Q$31""),30,False),1)"),23.0)</f>
        <v>23</v>
      </c>
      <c r="M34" s="5">
        <f>IFERROR(__xludf.DUMMYFUNCTION("IFERROR(HLOOKUP($A34,IMPORTRANGE(""https://docs.google.com/spreadsheets/d/1CeexgK4KxWj3k_7nql_k8-RPxXMwTJyB4Q3vAASeDlA/edit#gid=0"",""'Game 2'!$B$2:$Q$31""),30,False),1)"),23.0)</f>
        <v>23</v>
      </c>
      <c r="N34" s="5">
        <f>IFERROR(__xludf.DUMMYFUNCTION("IFERROR(HLOOKUP($A34,IMPORTRANGE(""https://docs.google.com/spreadsheets/d/1MNwUNMjcwK6bEgCXwB73jpbK5gJAXS8ZMpbEMLJEP3E/edit#gid=0"",""'Game 2'!$B$2:$Q$31""),30,False),1)"),23.0)</f>
        <v>23</v>
      </c>
      <c r="O34" s="5">
        <f>IFERROR(__xludf.DUMMYFUNCTION("IFERROR(HLOOKUP($A34,IMPORTRANGE(""https://docs.google.com/spreadsheets/d/1UrzyxmT40kDZwVrLMf1yyXfP-pyczRAw9Y8Rw-uXG3c/edit#gid=0"",""'Game 2'!$B$2:$Q$31""),30,False),1)"),23.0)</f>
        <v>23</v>
      </c>
      <c r="P34" s="5">
        <f>IFERROR(__xludf.DUMMYFUNCTION("IFERROR(HLOOKUP($A34,IMPORTRANGE(""https://docs.google.com/spreadsheets/d/1iyMhSYWifw-KGFtyeBpNxVZr4BhcV9hVZuShgJ9Ia0E/edit#gid=0"",""'Game 2'!$B$2:$Q$31""),30,False),1)"),23.0)</f>
        <v>23</v>
      </c>
      <c r="Q34" s="5">
        <f>IFERROR(__xludf.DUMMYFUNCTION("IFERROR(HLOOKUP($A34,IMPORTRANGE(""https://docs.google.com/spreadsheets/d/1sSbIK-vvHsSY0LghLJ9gcnW8Hec_ITI2tFmpeqI999A/edit#gid=0"",""'Game 2'!$B$2:$Q$31""),30,False),1)"),23.0)</f>
        <v>23</v>
      </c>
      <c r="R34" s="6">
        <f t="shared" si="1"/>
        <v>299</v>
      </c>
    </row>
    <row r="35">
      <c r="A35" s="21" t="s">
        <v>95</v>
      </c>
      <c r="B35" s="11" t="s">
        <v>91</v>
      </c>
      <c r="C35" s="21">
        <v>23.0</v>
      </c>
      <c r="D35" s="21">
        <v>23.0</v>
      </c>
      <c r="E35" s="21">
        <v>23.0</v>
      </c>
      <c r="F35" s="21">
        <v>23.0</v>
      </c>
      <c r="G35" s="1">
        <v>23.0</v>
      </c>
      <c r="H35" s="7">
        <f>IFERROR(__xludf.DUMMYFUNCTION("HLOOKUP($A35,IMPORTRANGE(""https://docs.google.com/spreadsheets/d/16J5ie7OD1E99qGO9lMDm8w5Yls-v190B7DTolJ5TmFc/edit#gid=0"",""'Game 12'!$B$2:$Q$31""),30,False)"),23.0)</f>
        <v>23</v>
      </c>
      <c r="I35" s="1">
        <v>23.0</v>
      </c>
      <c r="J35" s="7">
        <f>IFERROR(__xludf.DUMMYFUNCTION("IFERROR(HLOOKUP($A35,IMPORTRANGE(""https://docs.google.com/spreadsheets/d/1CTYfdyRk_RFGM3I2iN9bKeD9zUPzEm1ajzml6VgwfIU/edit#gid=0"",""'Game 2'!$B$2:$Q$31""),30,False),0)"),23.0)</f>
        <v>23</v>
      </c>
      <c r="K35" s="7">
        <f>IFERROR(__xludf.DUMMYFUNCTION("IFERROR(HLOOKUP($A35,IMPORTRANGE(""https://docs.google.com/spreadsheets/d/11NFkzOdQyW-OtxSDuGslNCgNjx7HUb2FU7KnlNnPMgY/edit#gid=0"",""'Game 2'!$B$2:$Q$31""),30,False),0)"),23.0)</f>
        <v>23</v>
      </c>
      <c r="L35" s="7">
        <f>IFERROR(__xludf.DUMMYFUNCTION("IFERROR(HLOOKUP($A35,IMPORTRANGE(""https://docs.google.com/spreadsheets/d/1CLg5-jaE4ta0-u4oE1qbBplQ5Mf3Oj9ONFgL0zJ7Ol4/edit#gid=0"",""'Game 2'!$B$2:$Q$31""),30,False),1)"),23.0)</f>
        <v>23</v>
      </c>
      <c r="M35" s="7">
        <f>IFERROR(__xludf.DUMMYFUNCTION("IFERROR(HLOOKUP($A35,IMPORTRANGE(""https://docs.google.com/spreadsheets/d/1CeexgK4KxWj3k_7nql_k8-RPxXMwTJyB4Q3vAASeDlA/edit#gid=0"",""'Game 2'!$B$2:$Q$31""),30,False),1)"),23.0)</f>
        <v>23</v>
      </c>
      <c r="N35" s="7">
        <f>IFERROR(__xludf.DUMMYFUNCTION("IFERROR(HLOOKUP($A35,IMPORTRANGE(""https://docs.google.com/spreadsheets/d/1MNwUNMjcwK6bEgCXwB73jpbK5gJAXS8ZMpbEMLJEP3E/edit#gid=0"",""'Game 2'!$B$2:$Q$31""),30,False),1)"),23.0)</f>
        <v>23</v>
      </c>
      <c r="O35" s="7">
        <f>IFERROR(__xludf.DUMMYFUNCTION("IFERROR(HLOOKUP($A35,IMPORTRANGE(""https://docs.google.com/spreadsheets/d/1UrzyxmT40kDZwVrLMf1yyXfP-pyczRAw9Y8Rw-uXG3c/edit#gid=0"",""'Game 2'!$B$2:$Q$31""),30,False),1)"),23.0)</f>
        <v>23</v>
      </c>
      <c r="P35" s="7">
        <f>IFERROR(__xludf.DUMMYFUNCTION("IFERROR(HLOOKUP($A35,IMPORTRANGE(""https://docs.google.com/spreadsheets/d/1iyMhSYWifw-KGFtyeBpNxVZr4BhcV9hVZuShgJ9Ia0E/edit#gid=0"",""'Game 2'!$B$2:$Q$31""),30,False),1)"),23.0)</f>
        <v>23</v>
      </c>
      <c r="Q35" s="7">
        <f>IFERROR(__xludf.DUMMYFUNCTION("IFERROR(HLOOKUP($A35,IMPORTRANGE(""https://docs.google.com/spreadsheets/d/1sSbIK-vvHsSY0LghLJ9gcnW8Hec_ITI2tFmpeqI999A/edit#gid=0"",""'Game 2'!$B$2:$Q$31""),30,False),1)"),23.0)</f>
        <v>23</v>
      </c>
      <c r="R35" s="11">
        <f t="shared" si="1"/>
        <v>345</v>
      </c>
    </row>
    <row r="36">
      <c r="A36" s="18" t="s">
        <v>98</v>
      </c>
      <c r="B36" s="18" t="s">
        <v>91</v>
      </c>
      <c r="C36" s="18">
        <v>23.0</v>
      </c>
      <c r="D36" s="18">
        <v>23.0</v>
      </c>
      <c r="E36" s="18">
        <v>23.0</v>
      </c>
      <c r="F36" s="18">
        <v>23.0</v>
      </c>
      <c r="G36" s="3">
        <v>23.0</v>
      </c>
      <c r="H36" s="5">
        <f>IFERROR(__xludf.DUMMYFUNCTION("HLOOKUP($A36,IMPORTRANGE(""https://docs.google.com/spreadsheets/d/16J5ie7OD1E99qGO9lMDm8w5Yls-v190B7DTolJ5TmFc/edit#gid=0"",""'Game 12'!$B$2:$Q$31""),30,False)"),23.0)</f>
        <v>23</v>
      </c>
      <c r="I36" s="3">
        <v>23.0</v>
      </c>
      <c r="J36" s="5">
        <f>IFERROR(__xludf.DUMMYFUNCTION("IFERROR(HLOOKUP($A36,IMPORTRANGE(""https://docs.google.com/spreadsheets/d/1CTYfdyRk_RFGM3I2iN9bKeD9zUPzEm1ajzml6VgwfIU/edit#gid=0"",""'Game 2'!$B$2:$Q$31""),30,False),0)"),0.0)</f>
        <v>0</v>
      </c>
      <c r="K36" s="5">
        <f>IFERROR(__xludf.DUMMYFUNCTION("IFERROR(HLOOKUP($A36,IMPORTRANGE(""https://docs.google.com/spreadsheets/d/11NFkzOdQyW-OtxSDuGslNCgNjx7HUb2FU7KnlNnPMgY/edit#gid=0"",""'Game 2'!$B$2:$Q$31""),30,False),0)"),0.0)</f>
        <v>0</v>
      </c>
      <c r="L36" s="5">
        <f>IFERROR(__xludf.DUMMYFUNCTION("IFERROR(HLOOKUP($A36,IMPORTRANGE(""https://docs.google.com/spreadsheets/d/1CLg5-jaE4ta0-u4oE1qbBplQ5Mf3Oj9ONFgL0zJ7Ol4/edit#gid=0"",""'Game 2'!$B$2:$Q$31""),30,False),1)"),23.0)</f>
        <v>23</v>
      </c>
      <c r="M36" s="5">
        <f>IFERROR(__xludf.DUMMYFUNCTION("IFERROR(HLOOKUP($A36,IMPORTRANGE(""https://docs.google.com/spreadsheets/d/1CeexgK4KxWj3k_7nql_k8-RPxXMwTJyB4Q3vAASeDlA/edit#gid=0"",""'Game 2'!$B$2:$Q$31""),30,False),1)"),23.0)</f>
        <v>23</v>
      </c>
      <c r="N36" s="5">
        <f>IFERROR(__xludf.DUMMYFUNCTION("IFERROR(HLOOKUP($A36,IMPORTRANGE(""https://docs.google.com/spreadsheets/d/1MNwUNMjcwK6bEgCXwB73jpbK5gJAXS8ZMpbEMLJEP3E/edit#gid=0"",""'Game 2'!$B$2:$Q$31""),30,False),1)"),23.0)</f>
        <v>23</v>
      </c>
      <c r="O36" s="5">
        <f>IFERROR(__xludf.DUMMYFUNCTION("IFERROR(HLOOKUP($A36,IMPORTRANGE(""https://docs.google.com/spreadsheets/d/1UrzyxmT40kDZwVrLMf1yyXfP-pyczRAw9Y8Rw-uXG3c/edit#gid=0"",""'Game 2'!$B$2:$Q$31""),30,False),1)"),23.0)</f>
        <v>23</v>
      </c>
      <c r="P36" s="5">
        <f>IFERROR(__xludf.DUMMYFUNCTION("IFERROR(HLOOKUP($A36,IMPORTRANGE(""https://docs.google.com/spreadsheets/d/1iyMhSYWifw-KGFtyeBpNxVZr4BhcV9hVZuShgJ9Ia0E/edit#gid=0"",""'Game 2'!$B$2:$Q$31""),30,False),1)"),23.0)</f>
        <v>23</v>
      </c>
      <c r="Q36" s="5">
        <f>IFERROR(__xludf.DUMMYFUNCTION("IFERROR(HLOOKUP($A36,IMPORTRANGE(""https://docs.google.com/spreadsheets/d/1sSbIK-vvHsSY0LghLJ9gcnW8Hec_ITI2tFmpeqI999A/edit#gid=0"",""'Game 2'!$B$2:$Q$31""),30,False),1)"),23.0)</f>
        <v>23</v>
      </c>
      <c r="R36" s="6">
        <f t="shared" si="1"/>
        <v>299</v>
      </c>
    </row>
    <row r="37">
      <c r="A37" s="21" t="s">
        <v>100</v>
      </c>
      <c r="B37" s="11" t="s">
        <v>101</v>
      </c>
      <c r="C37" s="21">
        <v>23.0</v>
      </c>
      <c r="D37" s="21">
        <v>0.0</v>
      </c>
      <c r="E37" s="21">
        <v>23.0</v>
      </c>
      <c r="F37" s="21">
        <v>8.0</v>
      </c>
      <c r="G37" s="1">
        <v>12.0</v>
      </c>
      <c r="H37" s="7">
        <f>IFERROR(__xludf.DUMMYFUNCTION("HLOOKUP($A37,IMPORTRANGE(""https://docs.google.com/spreadsheets/d/16J5ie7OD1E99qGO9lMDm8w5Yls-v190B7DTolJ5TmFc/edit#gid=0"",""'Game 13'!$B$2:$Q$31""),30,False)"),23.0)</f>
        <v>23</v>
      </c>
      <c r="I37" s="1">
        <v>0.0</v>
      </c>
      <c r="J37" s="7">
        <f>IFERROR(__xludf.DUMMYFUNCTION("IFERROR(HLOOKUP($A37,IMPORTRANGE(""https://docs.google.com/spreadsheets/d/1CTYfdyRk_RFGM3I2iN9bKeD9zUPzEm1ajzml6VgwfIU/edit#gid=0"",""'Game 9'!$B$2:$Q$31""),30,False),0)"),23.0)</f>
        <v>23</v>
      </c>
      <c r="K37" s="7">
        <f>IFERROR(__xludf.DUMMYFUNCTION("IFERROR(HLOOKUP($A37,IMPORTRANGE(""https://docs.google.com/spreadsheets/d/11NFkzOdQyW-OtxSDuGslNCgNjx7HUb2FU7KnlNnPMgY/edit#gid=0"",""'Game 12'!$B$2:$Q$31""),30,False),0)"),23.0)</f>
        <v>23</v>
      </c>
      <c r="L37" s="7">
        <f>IFERROR(__xludf.DUMMYFUNCTION("IFERROR(HLOOKUP($A37,IMPORTRANGE(""https://docs.google.com/spreadsheets/d/1CLg5-jaE4ta0-u4oE1qbBplQ5Mf3Oj9ONFgL0zJ7Ol4/edit#gid=0"",""'Game 4'!$B$2:$Q$31""),30,False),1)"),11.0)</f>
        <v>11</v>
      </c>
      <c r="M37" s="7">
        <f>IFERROR(__xludf.DUMMYFUNCTION("IFERROR(HLOOKUP($A37,IMPORTRANGE(""https://docs.google.com/spreadsheets/d/1CeexgK4KxWj3k_7nql_k8-RPxXMwTJyB4Q3vAASeDlA/edit#gid=0"",""'Game 10'!$B$2:$Q$31""),30,False),1)"),23.0)</f>
        <v>23</v>
      </c>
      <c r="N37" s="7">
        <f>IFERROR(__xludf.DUMMYFUNCTION("IFERROR(HLOOKUP($A37,IMPORTRANGE(""https://docs.google.com/spreadsheets/d/1MNwUNMjcwK6bEgCXwB73jpbK5gJAXS8ZMpbEMLJEP3E/edit#gid=0"",""'Game 7'!$B$2:$Q$31""),30,False),1)"),23.0)</f>
        <v>23</v>
      </c>
      <c r="O37" s="7">
        <f>IFERROR(__xludf.DUMMYFUNCTION("IFERROR(HLOOKUP($A37,IMPORTRANGE(""https://docs.google.com/spreadsheets/d/1UrzyxmT40kDZwVrLMf1yyXfP-pyczRAw9Y8Rw-uXG3c/edit#gid=0"",""'Game 11'!$B$2:$Q$31""),30,False),1)"),23.0)</f>
        <v>23</v>
      </c>
      <c r="P37" s="7">
        <f>IFERROR(__xludf.DUMMYFUNCTION("IFERROR(HLOOKUP($A37,IMPORTRANGE(""https://docs.google.com/spreadsheets/d/1iyMhSYWifw-KGFtyeBpNxVZr4BhcV9hVZuShgJ9Ia0E/edit#gid=0"",""'Game 10'!$B$2:$Q$31""),30,False),1)"),0.0)</f>
        <v>0</v>
      </c>
      <c r="Q37" s="7">
        <f>IFERROR(__xludf.DUMMYFUNCTION("IFERROR(HLOOKUP($A37,IMPORTRANGE(""https://docs.google.com/spreadsheets/d/1sSbIK-vvHsSY0LghLJ9gcnW8Hec_ITI2tFmpeqI999A/edit#gid=0"",""'Game 6'!$B$2:$Q$31""),30,False),1)"),23.0)</f>
        <v>23</v>
      </c>
      <c r="R37" s="11">
        <f t="shared" si="1"/>
        <v>238</v>
      </c>
    </row>
    <row r="38">
      <c r="A38" s="3" t="s">
        <v>104</v>
      </c>
      <c r="B38" s="6" t="s">
        <v>101</v>
      </c>
      <c r="C38" s="18">
        <v>11.0</v>
      </c>
      <c r="D38" s="18">
        <v>23.0</v>
      </c>
      <c r="E38" s="18">
        <v>23.0</v>
      </c>
      <c r="F38" s="18">
        <v>0.0</v>
      </c>
      <c r="G38" s="3">
        <v>23.0</v>
      </c>
      <c r="H38" s="5">
        <f>IFERROR(__xludf.DUMMYFUNCTION("HLOOKUP($A38,IMPORTRANGE(""https://docs.google.com/spreadsheets/d/16J5ie7OD1E99qGO9lMDm8w5Yls-v190B7DTolJ5TmFc/edit#gid=0"",""'Game 13'!$B$2:$Q$31""),30,False)"),0.0)</f>
        <v>0</v>
      </c>
      <c r="I38" s="3">
        <v>0.0</v>
      </c>
      <c r="J38" s="5">
        <f>IFERROR(__xludf.DUMMYFUNCTION("IFERROR(HLOOKUP($A38,IMPORTRANGE(""https://docs.google.com/spreadsheets/d/1CTYfdyRk_RFGM3I2iN9bKeD9zUPzEm1ajzml6VgwfIU/edit#gid=0"",""'Game 9'!$B$2:$Q$31""),30,False),0)"),12.0)</f>
        <v>12</v>
      </c>
      <c r="K38" s="5">
        <f>IFERROR(__xludf.DUMMYFUNCTION("IFERROR(HLOOKUP($A38,IMPORTRANGE(""https://docs.google.com/spreadsheets/d/11NFkzOdQyW-OtxSDuGslNCgNjx7HUb2FU7KnlNnPMgY/edit#gid=0"",""'Game 12'!$B$2:$Q$31""),30,False),0)"),11.0)</f>
        <v>11</v>
      </c>
      <c r="L38" s="5">
        <f>IFERROR(__xludf.DUMMYFUNCTION("IFERROR(HLOOKUP($A38,IMPORTRANGE(""https://docs.google.com/spreadsheets/d/1CLg5-jaE4ta0-u4oE1qbBplQ5Mf3Oj9ONFgL0zJ7Ol4/edit#gid=0"",""'Game 4'!$B$2:$Q$31""),30,False),1)"),12.0)</f>
        <v>12</v>
      </c>
      <c r="M38" s="5">
        <f>IFERROR(__xludf.DUMMYFUNCTION("IFERROR(HLOOKUP($A38,IMPORTRANGE(""https://docs.google.com/spreadsheets/d/1CeexgK4KxWj3k_7nql_k8-RPxXMwTJyB4Q3vAASeDlA/edit#gid=0"",""'Game 10'!$B$2:$Q$31""),30,False),1)"),23.0)</f>
        <v>23</v>
      </c>
      <c r="N38" s="5">
        <f>IFERROR(__xludf.DUMMYFUNCTION("IFERROR(HLOOKUP($A38,IMPORTRANGE(""https://docs.google.com/spreadsheets/d/1MNwUNMjcwK6bEgCXwB73jpbK5gJAXS8ZMpbEMLJEP3E/edit#gid=0"",""'Game 7'!$B$2:$Q$31""),30,False),1)"),11.0)</f>
        <v>11</v>
      </c>
      <c r="O38" s="5">
        <f>IFERROR(__xludf.DUMMYFUNCTION("IFERROR(HLOOKUP($A38,IMPORTRANGE(""https://docs.google.com/spreadsheets/d/1UrzyxmT40kDZwVrLMf1yyXfP-pyczRAw9Y8Rw-uXG3c/edit#gid=0"",""'Game 11'!$B$2:$Q$31""),30,False),1)"),11.0)</f>
        <v>11</v>
      </c>
      <c r="P38" s="5">
        <f>IFERROR(__xludf.DUMMYFUNCTION("IFERROR(HLOOKUP($A38,IMPORTRANGE(""https://docs.google.com/spreadsheets/d/1iyMhSYWifw-KGFtyeBpNxVZr4BhcV9hVZuShgJ9Ia0E/edit#gid=0"",""'Game 10'!$B$2:$Q$31""),30,False),1)"),23.0)</f>
        <v>23</v>
      </c>
      <c r="Q38" s="5">
        <f>IFERROR(__xludf.DUMMYFUNCTION("IFERROR(HLOOKUP($A38,IMPORTRANGE(""https://docs.google.com/spreadsheets/d/1sSbIK-vvHsSY0LghLJ9gcnW8Hec_ITI2tFmpeqI999A/edit#gid=0"",""'Game 6'!$B$2:$Q$31""),30,False),1)"),23.0)</f>
        <v>23</v>
      </c>
      <c r="R38" s="6">
        <f t="shared" si="1"/>
        <v>206</v>
      </c>
    </row>
    <row r="39">
      <c r="A39" s="21" t="s">
        <v>106</v>
      </c>
      <c r="B39" s="11" t="s">
        <v>101</v>
      </c>
      <c r="C39" s="21">
        <v>23.0</v>
      </c>
      <c r="D39" s="21">
        <v>23.0</v>
      </c>
      <c r="E39" s="21">
        <v>23.0</v>
      </c>
      <c r="F39" s="21">
        <v>23.0</v>
      </c>
      <c r="G39" s="1">
        <v>11.0</v>
      </c>
      <c r="H39" s="7">
        <f>IFERROR(__xludf.DUMMYFUNCTION("HLOOKUP($A39,IMPORTRANGE(""https://docs.google.com/spreadsheets/d/16J5ie7OD1E99qGO9lMDm8w5Yls-v190B7DTolJ5TmFc/edit#gid=0"",""'Game 13'!$B$2:$Q$31""),30,False)"),23.0)</f>
        <v>23</v>
      </c>
      <c r="I39" s="1">
        <v>23.0</v>
      </c>
      <c r="J39" s="7">
        <f>IFERROR(__xludf.DUMMYFUNCTION("IFERROR(HLOOKUP($A39,IMPORTRANGE(""https://docs.google.com/spreadsheets/d/1CTYfdyRk_RFGM3I2iN9bKeD9zUPzEm1ajzml6VgwfIU/edit#gid=0"",""'Game 9'!$B$2:$Q$31""),30,False),0)"),23.0)</f>
        <v>23</v>
      </c>
      <c r="K39" s="7">
        <f>IFERROR(__xludf.DUMMYFUNCTION("IFERROR(HLOOKUP($A39,IMPORTRANGE(""https://docs.google.com/spreadsheets/d/11NFkzOdQyW-OtxSDuGslNCgNjx7HUb2FU7KnlNnPMgY/edit#gid=0"",""'Game 12'!$B$2:$Q$31""),30,False),0)"),23.0)</f>
        <v>23</v>
      </c>
      <c r="L39" s="7">
        <f>IFERROR(__xludf.DUMMYFUNCTION("IFERROR(HLOOKUP($A39,IMPORTRANGE(""https://docs.google.com/spreadsheets/d/1CLg5-jaE4ta0-u4oE1qbBplQ5Mf3Oj9ONFgL0zJ7Ol4/edit#gid=0"",""'Game 4'!$B$2:$Q$31""),30,False),1)"),23.0)</f>
        <v>23</v>
      </c>
      <c r="M39" s="7">
        <f>IFERROR(__xludf.DUMMYFUNCTION("IFERROR(HLOOKUP($A39,IMPORTRANGE(""https://docs.google.com/spreadsheets/d/1CeexgK4KxWj3k_7nql_k8-RPxXMwTJyB4Q3vAASeDlA/edit#gid=0"",""'Game 10'!$B$2:$Q$31""),30,False),1)"),23.0)</f>
        <v>23</v>
      </c>
      <c r="N39" s="7">
        <f>IFERROR(__xludf.DUMMYFUNCTION("IFERROR(HLOOKUP($A39,IMPORTRANGE(""https://docs.google.com/spreadsheets/d/1MNwUNMjcwK6bEgCXwB73jpbK5gJAXS8ZMpbEMLJEP3E/edit#gid=0"",""'Game 7'!$B$2:$Q$31""),30,False),1)"),23.0)</f>
        <v>23</v>
      </c>
      <c r="O39" s="7">
        <f>IFERROR(__xludf.DUMMYFUNCTION("IFERROR(HLOOKUP($A39,IMPORTRANGE(""https://docs.google.com/spreadsheets/d/1UrzyxmT40kDZwVrLMf1yyXfP-pyczRAw9Y8Rw-uXG3c/edit#gid=0"",""'Game 11'!$B$2:$Q$31""),30,False),1)"),23.0)</f>
        <v>23</v>
      </c>
      <c r="P39" s="7">
        <f>IFERROR(__xludf.DUMMYFUNCTION("IFERROR(HLOOKUP($A39,IMPORTRANGE(""https://docs.google.com/spreadsheets/d/1iyMhSYWifw-KGFtyeBpNxVZr4BhcV9hVZuShgJ9Ia0E/edit#gid=0"",""'Game 10'!$B$2:$Q$31""),30,False),1)"),23.0)</f>
        <v>23</v>
      </c>
      <c r="Q39" s="7">
        <f>IFERROR(__xludf.DUMMYFUNCTION("IFERROR(HLOOKUP($A39,IMPORTRANGE(""https://docs.google.com/spreadsheets/d/1sSbIK-vvHsSY0LghLJ9gcnW8Hec_ITI2tFmpeqI999A/edit#gid=0"",""'Game 6'!$B$2:$Q$31""),30,False),1)"),0.0)</f>
        <v>0</v>
      </c>
      <c r="R39" s="11">
        <f t="shared" si="1"/>
        <v>310</v>
      </c>
    </row>
    <row r="40">
      <c r="A40" s="18" t="s">
        <v>109</v>
      </c>
      <c r="B40" s="6" t="s">
        <v>101</v>
      </c>
      <c r="C40" s="18">
        <v>23.0</v>
      </c>
      <c r="D40" s="18">
        <v>23.0</v>
      </c>
      <c r="E40" s="18">
        <v>12.0</v>
      </c>
      <c r="F40" s="18">
        <v>23.0</v>
      </c>
      <c r="G40" s="3">
        <v>23.0</v>
      </c>
      <c r="H40" s="5">
        <f>IFERROR(__xludf.DUMMYFUNCTION("HLOOKUP($A40,IMPORTRANGE(""https://docs.google.com/spreadsheets/d/16J5ie7OD1E99qGO9lMDm8w5Yls-v190B7DTolJ5TmFc/edit#gid=0"",""'Game 13'!$B$2:$Q$31""),30,False)"),23.0)</f>
        <v>23</v>
      </c>
      <c r="I40" s="3">
        <v>23.0</v>
      </c>
      <c r="J40" s="5">
        <f>IFERROR(__xludf.DUMMYFUNCTION("IFERROR(HLOOKUP($A40,IMPORTRANGE(""https://docs.google.com/spreadsheets/d/1CTYfdyRk_RFGM3I2iN9bKeD9zUPzEm1ajzml6VgwfIU/edit#gid=0"",""'Game 9'!$B$2:$Q$31""),30,False),0)"),11.0)</f>
        <v>11</v>
      </c>
      <c r="K40" s="5">
        <f>IFERROR(__xludf.DUMMYFUNCTION("IFERROR(HLOOKUP($A40,IMPORTRANGE(""https://docs.google.com/spreadsheets/d/11NFkzOdQyW-OtxSDuGslNCgNjx7HUb2FU7KnlNnPMgY/edit#gid=0"",""'Game 12'!$B$2:$Q$31""),30,False),0)"),12.0)</f>
        <v>12</v>
      </c>
      <c r="L40" s="5">
        <f>IFERROR(__xludf.DUMMYFUNCTION("IFERROR(HLOOKUP($A40,IMPORTRANGE(""https://docs.google.com/spreadsheets/d/1CLg5-jaE4ta0-u4oE1qbBplQ5Mf3Oj9ONFgL0zJ7Ol4/edit#gid=0"",""'Game 4'!$B$2:$Q$31""),30,False),1)"),23.0)</f>
        <v>23</v>
      </c>
      <c r="M40" s="5">
        <f>IFERROR(__xludf.DUMMYFUNCTION("IFERROR(HLOOKUP($A40,IMPORTRANGE(""https://docs.google.com/spreadsheets/d/1CeexgK4KxWj3k_7nql_k8-RPxXMwTJyB4Q3vAASeDlA/edit#gid=0"",""'Game 10'!$B$2:$Q$31""),30,False),1)"),12.0)</f>
        <v>12</v>
      </c>
      <c r="N40" s="5">
        <f>IFERROR(__xludf.DUMMYFUNCTION("IFERROR(HLOOKUP($A40,IMPORTRANGE(""https://docs.google.com/spreadsheets/d/1MNwUNMjcwK6bEgCXwB73jpbK5gJAXS8ZMpbEMLJEP3E/edit#gid=0"",""'Game 7'!$B$2:$Q$31""),30,False),1)"),23.0)</f>
        <v>23</v>
      </c>
      <c r="O40" s="5">
        <f>IFERROR(__xludf.DUMMYFUNCTION("IFERROR(HLOOKUP($A40,IMPORTRANGE(""https://docs.google.com/spreadsheets/d/1UrzyxmT40kDZwVrLMf1yyXfP-pyczRAw9Y8Rw-uXG3c/edit#gid=0"",""'Game 11'!$B$2:$Q$31""),30,False),1)"),0.0)</f>
        <v>0</v>
      </c>
      <c r="P40" s="5">
        <f>IFERROR(__xludf.DUMMYFUNCTION("IFERROR(HLOOKUP($A40,IMPORTRANGE(""https://docs.google.com/spreadsheets/d/1iyMhSYWifw-KGFtyeBpNxVZr4BhcV9hVZuShgJ9Ia0E/edit#gid=0"",""'Game 10'!$B$2:$Q$31""),30,False),1)"),23.0)</f>
        <v>23</v>
      </c>
      <c r="Q40" s="5">
        <f>IFERROR(__xludf.DUMMYFUNCTION("IFERROR(HLOOKUP($A40,IMPORTRANGE(""https://docs.google.com/spreadsheets/d/1sSbIK-vvHsSY0LghLJ9gcnW8Hec_ITI2tFmpeqI999A/edit#gid=0"",""'Game 6'!$B$2:$Q$31""),30,False),1)"),23.0)</f>
        <v>23</v>
      </c>
      <c r="R40" s="6">
        <f t="shared" si="1"/>
        <v>277</v>
      </c>
    </row>
    <row r="41">
      <c r="A41" s="21" t="s">
        <v>111</v>
      </c>
      <c r="B41" s="21" t="s">
        <v>101</v>
      </c>
      <c r="C41" s="21">
        <v>12.0</v>
      </c>
      <c r="D41" s="21">
        <v>0.0</v>
      </c>
      <c r="E41" s="21">
        <v>11.0</v>
      </c>
      <c r="F41" s="21">
        <v>0.0</v>
      </c>
      <c r="G41" s="1">
        <v>23.0</v>
      </c>
      <c r="H41" s="7">
        <f>IFERROR(__xludf.DUMMYFUNCTION("HLOOKUP($A41,IMPORTRANGE(""https://docs.google.com/spreadsheets/d/16J5ie7OD1E99qGO9lMDm8w5Yls-v190B7DTolJ5TmFc/edit#gid=0"",""'Game 13'!$B$2:$Q$31""),30,False)"),23.0)</f>
        <v>23</v>
      </c>
      <c r="I41" s="1">
        <v>23.0</v>
      </c>
      <c r="J41" s="7">
        <f>IFERROR(__xludf.DUMMYFUNCTION("IFERROR(HLOOKUP($A41,IMPORTRANGE(""https://docs.google.com/spreadsheets/d/1CTYfdyRk_RFGM3I2iN9bKeD9zUPzEm1ajzml6VgwfIU/edit#gid=0"",""'Game 9'!$B$2:$Q$31""),30,False),0)"),23.0)</f>
        <v>23</v>
      </c>
      <c r="K41" s="7">
        <f>IFERROR(__xludf.DUMMYFUNCTION("IFERROR(HLOOKUP($A41,IMPORTRANGE(""https://docs.google.com/spreadsheets/d/11NFkzOdQyW-OtxSDuGslNCgNjx7HUb2FU7KnlNnPMgY/edit#gid=0"",""'Game 12'!$B$2:$Q$31""),30,False),0)"),23.0)</f>
        <v>23</v>
      </c>
      <c r="L41" s="7">
        <f>IFERROR(__xludf.DUMMYFUNCTION("IFERROR(HLOOKUP($A41,IMPORTRANGE(""https://docs.google.com/spreadsheets/d/1CLg5-jaE4ta0-u4oE1qbBplQ5Mf3Oj9ONFgL0zJ7Ol4/edit#gid=0"",""'Game 4'!$B$2:$Q$31""),30,False),1)"),23.0)</f>
        <v>23</v>
      </c>
      <c r="M41" s="7">
        <f>IFERROR(__xludf.DUMMYFUNCTION("IFERROR(HLOOKUP($A41,IMPORTRANGE(""https://docs.google.com/spreadsheets/d/1CeexgK4KxWj3k_7nql_k8-RPxXMwTJyB4Q3vAASeDlA/edit#gid=0"",""'Game 10'!$B$2:$Q$31""),30,False),1)"),11.0)</f>
        <v>11</v>
      </c>
      <c r="N41" s="7">
        <f>IFERROR(__xludf.DUMMYFUNCTION("IFERROR(HLOOKUP($A41,IMPORTRANGE(""https://docs.google.com/spreadsheets/d/1MNwUNMjcwK6bEgCXwB73jpbK5gJAXS8ZMpbEMLJEP3E/edit#gid=0"",""'Game 7'!$B$2:$Q$31""),30,False),1)"),12.0)</f>
        <v>12</v>
      </c>
      <c r="O41" s="7">
        <f>IFERROR(__xludf.DUMMYFUNCTION("IFERROR(HLOOKUP($A41,IMPORTRANGE(""https://docs.google.com/spreadsheets/d/1UrzyxmT40kDZwVrLMf1yyXfP-pyczRAw9Y8Rw-uXG3c/edit#gid=0"",""'Game 11'!$B$2:$Q$31""),30,False),1)"),0.0)</f>
        <v>0</v>
      </c>
      <c r="P41" s="7">
        <f>IFERROR(__xludf.DUMMYFUNCTION("IFERROR(HLOOKUP($A41,IMPORTRANGE(""https://docs.google.com/spreadsheets/d/1iyMhSYWifw-KGFtyeBpNxVZr4BhcV9hVZuShgJ9Ia0E/edit#gid=0"",""'Game 10'!$B$2:$Q$31""),30,False),1)"),22.0)</f>
        <v>22</v>
      </c>
      <c r="Q41" s="7">
        <f>IFERROR(__xludf.DUMMYFUNCTION("IFERROR(HLOOKUP($A41,IMPORTRANGE(""https://docs.google.com/spreadsheets/d/1sSbIK-vvHsSY0LghLJ9gcnW8Hec_ITI2tFmpeqI999A/edit#gid=0"",""'Game 6'!$B$2:$Q$31""),30,False),1)"),23.0)</f>
        <v>23</v>
      </c>
      <c r="R41" s="11">
        <f t="shared" si="1"/>
        <v>229</v>
      </c>
    </row>
    <row r="42">
      <c r="A42" s="18" t="s">
        <v>113</v>
      </c>
      <c r="B42" s="6" t="s">
        <v>114</v>
      </c>
      <c r="C42" s="18">
        <v>23.0</v>
      </c>
      <c r="D42" s="18">
        <v>23.0</v>
      </c>
      <c r="E42" s="18">
        <v>23.0</v>
      </c>
      <c r="F42" s="18">
        <v>23.0</v>
      </c>
      <c r="G42" s="3">
        <v>23.0</v>
      </c>
      <c r="H42" s="5">
        <f>IFERROR(__xludf.DUMMYFUNCTION("HLOOKUP($A42,IMPORTRANGE(""https://docs.google.com/spreadsheets/d/16J5ie7OD1E99qGO9lMDm8w5Yls-v190B7DTolJ5TmFc/edit#gid=0"",""'Game 1'!$B$2:$Q$31""),30,False)"),23.0)</f>
        <v>23</v>
      </c>
      <c r="I42" s="3">
        <v>23.0</v>
      </c>
      <c r="J42" s="5">
        <f>IFERROR(__xludf.DUMMYFUNCTION("IFERROR(HLOOKUP($A42,IMPORTRANGE(""https://docs.google.com/spreadsheets/d/1CTYfdyRk_RFGM3I2iN9bKeD9zUPzEm1ajzml6VgwfIU/edit#gid=0"",""'Game 1'!$B$2:$Q$31""),30,False),0)"),23.0)</f>
        <v>23</v>
      </c>
      <c r="K42" s="5">
        <f>IFERROR(__xludf.DUMMYFUNCTION("IFERROR(HLOOKUP($A42,IMPORTRANGE(""https://docs.google.com/spreadsheets/d/11NFkzOdQyW-OtxSDuGslNCgNjx7HUb2FU7KnlNnPMgY/edit#gid=0"",""'Game 1'!$B$2:$Q$31""),30,False),0)"),23.0)</f>
        <v>23</v>
      </c>
      <c r="L42" s="5">
        <f>IFERROR(__xludf.DUMMYFUNCTION("IFERROR(HLOOKUP($A42,IMPORTRANGE(""https://docs.google.com/spreadsheets/d/1CLg5-jaE4ta0-u4oE1qbBplQ5Mf3Oj9ONFgL0zJ7Ol4/edit#gid=0"",""'Game 1'!$B$2:$Q$31""),30,False),1)"),23.0)</f>
        <v>23</v>
      </c>
      <c r="M42" s="5">
        <f>IFERROR(__xludf.DUMMYFUNCTION("IFERROR(HLOOKUP($A42,IMPORTRANGE(""https://docs.google.com/spreadsheets/d/1CeexgK4KxWj3k_7nql_k8-RPxXMwTJyB4Q3vAASeDlA/edit#gid=0"",""'Game 1'!$B$2:$Q$31""),30,False),1)"),23.0)</f>
        <v>23</v>
      </c>
      <c r="N42" s="5">
        <f>IFERROR(__xludf.DUMMYFUNCTION("IFERROR(HLOOKUP($A42,IMPORTRANGE(""https://docs.google.com/spreadsheets/d/1MNwUNMjcwK6bEgCXwB73jpbK5gJAXS8ZMpbEMLJEP3E/edit#gid=0"",""'Game 1'!$B$2:$Q$31""),30,False),1)"),23.0)</f>
        <v>23</v>
      </c>
      <c r="O42" s="5">
        <f>IFERROR(__xludf.DUMMYFUNCTION("IFERROR(HLOOKUP($A42,IMPORTRANGE(""https://docs.google.com/spreadsheets/d/1UrzyxmT40kDZwVrLMf1yyXfP-pyczRAw9Y8Rw-uXG3c/edit#gid=0"",""'Game 1'!$B$2:$Q$31""),30,False),1)"),23.0)</f>
        <v>23</v>
      </c>
      <c r="P42" s="5">
        <f>IFERROR(__xludf.DUMMYFUNCTION("IFERROR(HLOOKUP($A42,IMPORTRANGE(""https://docs.google.com/spreadsheets/d/1iyMhSYWifw-KGFtyeBpNxVZr4BhcV9hVZuShgJ9Ia0E/edit#gid=0"",""'Game 1'!$B$2:$Q$31""),30,False),1)"),23.0)</f>
        <v>23</v>
      </c>
      <c r="Q42" s="5">
        <f>IFERROR(__xludf.DUMMYFUNCTION("IFERROR(HLOOKUP($A42,IMPORTRANGE(""https://docs.google.com/spreadsheets/d/1sSbIK-vvHsSY0LghLJ9gcnW8Hec_ITI2tFmpeqI999A/edit#gid=0"",""'Game 1'!$B$2:$Q$31""),30,False),1)"),12.0)</f>
        <v>12</v>
      </c>
      <c r="R42" s="6">
        <f t="shared" si="1"/>
        <v>334</v>
      </c>
    </row>
    <row r="43">
      <c r="A43" s="21" t="s">
        <v>116</v>
      </c>
      <c r="B43" s="11" t="s">
        <v>114</v>
      </c>
      <c r="C43" s="21">
        <v>23.0</v>
      </c>
      <c r="D43" s="21">
        <v>23.0</v>
      </c>
      <c r="E43" s="21">
        <v>23.0</v>
      </c>
      <c r="F43" s="21">
        <v>12.0</v>
      </c>
      <c r="G43" s="1">
        <v>23.0</v>
      </c>
      <c r="H43" s="7">
        <f>IFERROR(__xludf.DUMMYFUNCTION("HLOOKUP($A43,IMPORTRANGE(""https://docs.google.com/spreadsheets/d/16J5ie7OD1E99qGO9lMDm8w5Yls-v190B7DTolJ5TmFc/edit#gid=0"",""'Game 1'!$B$2:$Q$31""),30,False)"),23.0)</f>
        <v>23</v>
      </c>
      <c r="I43" s="1">
        <v>23.0</v>
      </c>
      <c r="J43" s="7">
        <f>IFERROR(__xludf.DUMMYFUNCTION("IFERROR(HLOOKUP($A43,IMPORTRANGE(""https://docs.google.com/spreadsheets/d/1CTYfdyRk_RFGM3I2iN9bKeD9zUPzEm1ajzml6VgwfIU/edit#gid=0"",""'Game 1'!$B$2:$Q$31""),30,False),0)"),23.0)</f>
        <v>23</v>
      </c>
      <c r="K43" s="7">
        <f>IFERROR(__xludf.DUMMYFUNCTION("IFERROR(HLOOKUP($A43,IMPORTRANGE(""https://docs.google.com/spreadsheets/d/11NFkzOdQyW-OtxSDuGslNCgNjx7HUb2FU7KnlNnPMgY/edit#gid=0"",""'Game 1'!$B$2:$Q$31""),30,False),0)"),23.0)</f>
        <v>23</v>
      </c>
      <c r="L43" s="7">
        <f>IFERROR(__xludf.DUMMYFUNCTION("IFERROR(HLOOKUP($A43,IMPORTRANGE(""https://docs.google.com/spreadsheets/d/1CLg5-jaE4ta0-u4oE1qbBplQ5Mf3Oj9ONFgL0zJ7Ol4/edit#gid=0"",""'Game 1'!$B$2:$Q$31""),30,False),1)"),23.0)</f>
        <v>23</v>
      </c>
      <c r="M43" s="7">
        <f>IFERROR(__xludf.DUMMYFUNCTION("IFERROR(HLOOKUP($A43,IMPORTRANGE(""https://docs.google.com/spreadsheets/d/1CeexgK4KxWj3k_7nql_k8-RPxXMwTJyB4Q3vAASeDlA/edit#gid=0"",""'Game 1'!$B$2:$Q$31""),30,False),1)"),12.0)</f>
        <v>12</v>
      </c>
      <c r="N43" s="7">
        <f>IFERROR(__xludf.DUMMYFUNCTION("IFERROR(HLOOKUP($A43,IMPORTRANGE(""https://docs.google.com/spreadsheets/d/1MNwUNMjcwK6bEgCXwB73jpbK5gJAXS8ZMpbEMLJEP3E/edit#gid=0"",""'Game 1'!$B$2:$Q$31""),30,False),1)"),23.0)</f>
        <v>23</v>
      </c>
      <c r="O43" s="7">
        <f>IFERROR(__xludf.DUMMYFUNCTION("IFERROR(HLOOKUP($A43,IMPORTRANGE(""https://docs.google.com/spreadsheets/d/1UrzyxmT40kDZwVrLMf1yyXfP-pyczRAw9Y8Rw-uXG3c/edit#gid=0"",""'Game 1'!$B$2:$Q$31""),30,False),1)"),11.0)</f>
        <v>11</v>
      </c>
      <c r="P43" s="7">
        <f>IFERROR(__xludf.DUMMYFUNCTION("IFERROR(HLOOKUP($A43,IMPORTRANGE(""https://docs.google.com/spreadsheets/d/1iyMhSYWifw-KGFtyeBpNxVZr4BhcV9hVZuShgJ9Ia0E/edit#gid=0"",""'Game 1'!$B$2:$Q$31""),30,False),1)"),11.0)</f>
        <v>11</v>
      </c>
      <c r="Q43" s="7">
        <f>IFERROR(__xludf.DUMMYFUNCTION("IFERROR(HLOOKUP($A43,IMPORTRANGE(""https://docs.google.com/spreadsheets/d/1sSbIK-vvHsSY0LghLJ9gcnW8Hec_ITI2tFmpeqI999A/edit#gid=0"",""'Game 1'!$B$2:$Q$31""),30,False),1)"),23.0)</f>
        <v>23</v>
      </c>
      <c r="R43" s="11">
        <f t="shared" si="1"/>
        <v>299</v>
      </c>
    </row>
    <row r="44">
      <c r="A44" s="3" t="s">
        <v>118</v>
      </c>
      <c r="B44" s="6" t="s">
        <v>114</v>
      </c>
      <c r="C44" s="18">
        <v>23.0</v>
      </c>
      <c r="D44" s="18">
        <v>23.0</v>
      </c>
      <c r="E44" s="18">
        <v>23.0</v>
      </c>
      <c r="F44" s="18">
        <v>23.0</v>
      </c>
      <c r="G44" s="3">
        <v>0.0</v>
      </c>
      <c r="H44" s="5">
        <f>IFERROR(__xludf.DUMMYFUNCTION("HLOOKUP($A44,IMPORTRANGE(""https://docs.google.com/spreadsheets/d/16J5ie7OD1E99qGO9lMDm8w5Yls-v190B7DTolJ5TmFc/edit#gid=0"",""'Game 1'!$B$2:$Q$31""),30,False)"),0.0)</f>
        <v>0</v>
      </c>
      <c r="I44" s="3">
        <v>0.0</v>
      </c>
      <c r="J44" s="5">
        <f>IFERROR(__xludf.DUMMYFUNCTION("IFERROR(HLOOKUP($A44,IMPORTRANGE(""https://docs.google.com/spreadsheets/d/1CTYfdyRk_RFGM3I2iN9bKeD9zUPzEm1ajzml6VgwfIU/edit#gid=0"",""'Game 1'!$B$2:$Q$31""),30,False),0)"),23.0)</f>
        <v>23</v>
      </c>
      <c r="K44" s="5">
        <f>IFERROR(__xludf.DUMMYFUNCTION("IFERROR(HLOOKUP($A44,IMPORTRANGE(""https://docs.google.com/spreadsheets/d/11NFkzOdQyW-OtxSDuGslNCgNjx7HUb2FU7KnlNnPMgY/edit#gid=0"",""'Game 1'!$B$2:$Q$31""),30,False),0)"),0.0)</f>
        <v>0</v>
      </c>
      <c r="L44" s="5">
        <f>IFERROR(__xludf.DUMMYFUNCTION("IFERROR(HLOOKUP($A44,IMPORTRANGE(""https://docs.google.com/spreadsheets/d/1CLg5-jaE4ta0-u4oE1qbBplQ5Mf3Oj9ONFgL0zJ7Ol4/edit#gid=0"",""'Game 1'!$B$2:$Q$31""),30,False),1)"),0.0)</f>
        <v>0</v>
      </c>
      <c r="M44" s="5">
        <f>IFERROR(__xludf.DUMMYFUNCTION("IFERROR(HLOOKUP($A44,IMPORTRANGE(""https://docs.google.com/spreadsheets/d/1CeexgK4KxWj3k_7nql_k8-RPxXMwTJyB4Q3vAASeDlA/edit#gid=0"",""'Game 1'!$B$2:$Q$31""),30,False),1)"),23.0)</f>
        <v>23</v>
      </c>
      <c r="N44" s="5">
        <f>IFERROR(__xludf.DUMMYFUNCTION("IFERROR(HLOOKUP($A44,IMPORTRANGE(""https://docs.google.com/spreadsheets/d/1MNwUNMjcwK6bEgCXwB73jpbK5gJAXS8ZMpbEMLJEP3E/edit#gid=0"",""'Game 1'!$B$2:$Q$31""),30,False),1)"),11.0)</f>
        <v>11</v>
      </c>
      <c r="O44" s="5">
        <f>IFERROR(__xludf.DUMMYFUNCTION("IFERROR(HLOOKUP($A44,IMPORTRANGE(""https://docs.google.com/spreadsheets/d/1UrzyxmT40kDZwVrLMf1yyXfP-pyczRAw9Y8Rw-uXG3c/edit#gid=0"",""'Game 1'!$B$2:$Q$31""),30,False),1)"),23.0)</f>
        <v>23</v>
      </c>
      <c r="P44" s="5">
        <f>IFERROR(__xludf.DUMMYFUNCTION("IFERROR(HLOOKUP($A44,IMPORTRANGE(""https://docs.google.com/spreadsheets/d/1iyMhSYWifw-KGFtyeBpNxVZr4BhcV9hVZuShgJ9Ia0E/edit#gid=0"",""'Game 1'!$B$2:$Q$31""),30,False),1)"),23.0)</f>
        <v>23</v>
      </c>
      <c r="Q44" s="5">
        <f>IFERROR(__xludf.DUMMYFUNCTION("IFERROR(HLOOKUP($A44,IMPORTRANGE(""https://docs.google.com/spreadsheets/d/1sSbIK-vvHsSY0LghLJ9gcnW8Hec_ITI2tFmpeqI999A/edit#gid=0"",""'Game 1'!$B$2:$Q$31""),30,False),1)"),11.0)</f>
        <v>11</v>
      </c>
      <c r="R44" s="6">
        <f t="shared" si="1"/>
        <v>206</v>
      </c>
    </row>
    <row r="45">
      <c r="A45" s="21" t="s">
        <v>121</v>
      </c>
      <c r="B45" s="11" t="s">
        <v>114</v>
      </c>
      <c r="C45" s="21">
        <v>23.0</v>
      </c>
      <c r="D45" s="21">
        <v>23.0</v>
      </c>
      <c r="E45" s="21">
        <v>23.0</v>
      </c>
      <c r="F45" s="21">
        <v>11.0</v>
      </c>
      <c r="G45" s="1">
        <v>23.0</v>
      </c>
      <c r="H45" s="7">
        <f>IFERROR(__xludf.DUMMYFUNCTION("HLOOKUP($A45,IMPORTRANGE(""https://docs.google.com/spreadsheets/d/16J5ie7OD1E99qGO9lMDm8w5Yls-v190B7DTolJ5TmFc/edit#gid=0"",""'Game 1'!$B$2:$Q$31""),30,False)"),23.0)</f>
        <v>23</v>
      </c>
      <c r="I45" s="1">
        <v>23.0</v>
      </c>
      <c r="J45" s="7">
        <f>IFERROR(__xludf.DUMMYFUNCTION("IFERROR(HLOOKUP($A45,IMPORTRANGE(""https://docs.google.com/spreadsheets/d/1CTYfdyRk_RFGM3I2iN9bKeD9zUPzEm1ajzml6VgwfIU/edit#gid=0"",""'Game 1'!$B$2:$Q$31""),30,False),0)"),12.0)</f>
        <v>12</v>
      </c>
      <c r="K45" s="7">
        <f>IFERROR(__xludf.DUMMYFUNCTION("IFERROR(HLOOKUP($A45,IMPORTRANGE(""https://docs.google.com/spreadsheets/d/11NFkzOdQyW-OtxSDuGslNCgNjx7HUb2FU7KnlNnPMgY/edit#gid=0"",""'Game 1'!$B$2:$Q$31""),30,False),0)"),23.0)</f>
        <v>23</v>
      </c>
      <c r="L45" s="7">
        <f>IFERROR(__xludf.DUMMYFUNCTION("IFERROR(HLOOKUP($A45,IMPORTRANGE(""https://docs.google.com/spreadsheets/d/1CLg5-jaE4ta0-u4oE1qbBplQ5Mf3Oj9ONFgL0zJ7Ol4/edit#gid=0"",""'Game 1'!$B$2:$Q$31""),30,False),1)"),23.0)</f>
        <v>23</v>
      </c>
      <c r="M45" s="7">
        <f>IFERROR(__xludf.DUMMYFUNCTION("IFERROR(HLOOKUP($A45,IMPORTRANGE(""https://docs.google.com/spreadsheets/d/1CeexgK4KxWj3k_7nql_k8-RPxXMwTJyB4Q3vAASeDlA/edit#gid=0"",""'Game 1'!$B$2:$Q$31""),30,False),1)"),23.0)</f>
        <v>23</v>
      </c>
      <c r="N45" s="7">
        <f>IFERROR(__xludf.DUMMYFUNCTION("IFERROR(HLOOKUP($A45,IMPORTRANGE(""https://docs.google.com/spreadsheets/d/1MNwUNMjcwK6bEgCXwB73jpbK5gJAXS8ZMpbEMLJEP3E/edit#gid=0"",""'Game 1'!$B$2:$Q$31""),30,False),1)"),23.0)</f>
        <v>23</v>
      </c>
      <c r="O45" s="7">
        <f>IFERROR(__xludf.DUMMYFUNCTION("IFERROR(HLOOKUP($A45,IMPORTRANGE(""https://docs.google.com/spreadsheets/d/1UrzyxmT40kDZwVrLMf1yyXfP-pyczRAw9Y8Rw-uXG3c/edit#gid=0"",""'Game 1'!$B$2:$Q$31""),30,False),1)"),12.0)</f>
        <v>12</v>
      </c>
      <c r="P45" s="7">
        <f>IFERROR(__xludf.DUMMYFUNCTION("IFERROR(HLOOKUP($A45,IMPORTRANGE(""https://docs.google.com/spreadsheets/d/1iyMhSYWifw-KGFtyeBpNxVZr4BhcV9hVZuShgJ9Ia0E/edit#gid=0"",""'Game 1'!$B$2:$Q$31""),30,False),1)"),23.0)</f>
        <v>23</v>
      </c>
      <c r="Q45" s="7">
        <f>IFERROR(__xludf.DUMMYFUNCTION("IFERROR(HLOOKUP($A45,IMPORTRANGE(""https://docs.google.com/spreadsheets/d/1sSbIK-vvHsSY0LghLJ9gcnW8Hec_ITI2tFmpeqI999A/edit#gid=0"",""'Game 1'!$B$2:$Q$31""),30,False),1)"),23.0)</f>
        <v>23</v>
      </c>
      <c r="R45" s="11">
        <f t="shared" si="1"/>
        <v>311</v>
      </c>
    </row>
    <row r="46">
      <c r="A46" s="3" t="s">
        <v>123</v>
      </c>
      <c r="B46" s="18" t="s">
        <v>114</v>
      </c>
      <c r="C46" s="18">
        <v>0.0</v>
      </c>
      <c r="D46" s="18">
        <v>0.0</v>
      </c>
      <c r="E46" s="18">
        <v>0.0</v>
      </c>
      <c r="F46" s="18">
        <v>23.0</v>
      </c>
      <c r="G46" s="3">
        <v>23.0</v>
      </c>
      <c r="H46" s="5">
        <f>IFERROR(__xludf.DUMMYFUNCTION("HLOOKUP($A46,IMPORTRANGE(""https://docs.google.com/spreadsheets/d/16J5ie7OD1E99qGO9lMDm8w5Yls-v190B7DTolJ5TmFc/edit#gid=0"",""'Game 1'!$B$2:$Q$31""),30,False)"),23.0)</f>
        <v>23</v>
      </c>
      <c r="I46" s="3">
        <v>23.0</v>
      </c>
      <c r="J46" s="5">
        <f>IFERROR(__xludf.DUMMYFUNCTION("IFERROR(HLOOKUP($A46,IMPORTRANGE(""https://docs.google.com/spreadsheets/d/1CTYfdyRk_RFGM3I2iN9bKeD9zUPzEm1ajzml6VgwfIU/edit#gid=0"",""'Game 1'!$B$2:$Q$31""),30,False),0)"),11.0)</f>
        <v>11</v>
      </c>
      <c r="K46" s="5">
        <f>IFERROR(__xludf.DUMMYFUNCTION("IFERROR(HLOOKUP($A46,IMPORTRANGE(""https://docs.google.com/spreadsheets/d/11NFkzOdQyW-OtxSDuGslNCgNjx7HUb2FU7KnlNnPMgY/edit#gid=0"",""'Game 1'!$B$2:$Q$31""),30,False),0)"),23.0)</f>
        <v>23</v>
      </c>
      <c r="L46" s="5">
        <f>IFERROR(__xludf.DUMMYFUNCTION("IFERROR(HLOOKUP($A46,IMPORTRANGE(""https://docs.google.com/spreadsheets/d/1CLg5-jaE4ta0-u4oE1qbBplQ5Mf3Oj9ONFgL0zJ7Ol4/edit#gid=0"",""'Game 1'!$B$2:$Q$31""),30,False),1)"),23.0)</f>
        <v>23</v>
      </c>
      <c r="M46" s="5">
        <f>IFERROR(__xludf.DUMMYFUNCTION("IFERROR(HLOOKUP($A46,IMPORTRANGE(""https://docs.google.com/spreadsheets/d/1CeexgK4KxWj3k_7nql_k8-RPxXMwTJyB4Q3vAASeDlA/edit#gid=0"",""'Game 1'!$B$2:$Q$31""),30,False),1)"),11.0)</f>
        <v>11</v>
      </c>
      <c r="N46" s="5">
        <f>IFERROR(__xludf.DUMMYFUNCTION("IFERROR(HLOOKUP($A46,IMPORTRANGE(""https://docs.google.com/spreadsheets/d/1MNwUNMjcwK6bEgCXwB73jpbK5gJAXS8ZMpbEMLJEP3E/edit#gid=0"",""'Game 1'!$B$2:$Q$31""),30,False),1)"),12.0)</f>
        <v>12</v>
      </c>
      <c r="O46" s="5">
        <f>IFERROR(__xludf.DUMMYFUNCTION("IFERROR(HLOOKUP($A46,IMPORTRANGE(""https://docs.google.com/spreadsheets/d/1UrzyxmT40kDZwVrLMf1yyXfP-pyczRAw9Y8Rw-uXG3c/edit#gid=0"",""'Game 1'!$B$2:$Q$31""),30,False),1)"),23.0)</f>
        <v>23</v>
      </c>
      <c r="P46" s="5">
        <f>IFERROR(__xludf.DUMMYFUNCTION("IFERROR(HLOOKUP($A46,IMPORTRANGE(""https://docs.google.com/spreadsheets/d/1iyMhSYWifw-KGFtyeBpNxVZr4BhcV9hVZuShgJ9Ia0E/edit#gid=0"",""'Game 1'!$B$2:$Q$31""),30,False),1)"),12.0)</f>
        <v>12</v>
      </c>
      <c r="Q46" s="5">
        <f>IFERROR(__xludf.DUMMYFUNCTION("IFERROR(HLOOKUP($A46,IMPORTRANGE(""https://docs.google.com/spreadsheets/d/1sSbIK-vvHsSY0LghLJ9gcnW8Hec_ITI2tFmpeqI999A/edit#gid=0"",""'Game 1'!$B$2:$Q$31""),30,False),1)"),23.0)</f>
        <v>23</v>
      </c>
      <c r="R46" s="6">
        <f t="shared" si="1"/>
        <v>230</v>
      </c>
    </row>
    <row r="47">
      <c r="A47" s="21" t="s">
        <v>124</v>
      </c>
      <c r="B47" s="11" t="s">
        <v>125</v>
      </c>
      <c r="C47" s="21">
        <v>23.0</v>
      </c>
      <c r="D47" s="21">
        <v>23.0</v>
      </c>
      <c r="E47" s="21">
        <v>23.0</v>
      </c>
      <c r="F47" s="21">
        <v>23.0</v>
      </c>
      <c r="G47" s="1">
        <v>23.0</v>
      </c>
      <c r="H47" s="7">
        <f>IFERROR(__xludf.DUMMYFUNCTION("HLOOKUP($A47,IMPORTRANGE(""https://docs.google.com/spreadsheets/d/16J5ie7OD1E99qGO9lMDm8w5Yls-v190B7DTolJ5TmFc/edit#gid=0"",""'Game 6'!$B$2:$Q$31""),30,False)"),23.0)</f>
        <v>23</v>
      </c>
      <c r="I47" s="1">
        <v>23.0</v>
      </c>
      <c r="J47" s="7">
        <f>IFERROR(__xludf.DUMMYFUNCTION("IFERROR(HLOOKUP($A47,IMPORTRANGE(""https://docs.google.com/spreadsheets/d/1CTYfdyRk_RFGM3I2iN9bKeD9zUPzEm1ajzml6VgwfIU/edit#gid=0"",""'Game 4'!$B$2:$Q$31""),30,False),0)"),23.0)</f>
        <v>23</v>
      </c>
      <c r="K47" s="7">
        <f>IFERROR(__xludf.DUMMYFUNCTION("IFERROR(HLOOKUP($A47,IMPORTRANGE(""https://docs.google.com/spreadsheets/d/11NFkzOdQyW-OtxSDuGslNCgNjx7HUb2FU7KnlNnPMgY/edit#gid=0"",""'Game 7'!$B$2:$Q$31""),30,False),0)"),23.0)</f>
        <v>23</v>
      </c>
      <c r="L47" s="7">
        <f>IFERROR(__xludf.DUMMYFUNCTION("IFERROR(HLOOKUP($A47,IMPORTRANGE(""https://docs.google.com/spreadsheets/d/1CLg5-jaE4ta0-u4oE1qbBplQ5Mf3Oj9ONFgL0zJ7Ol4/edit#gid=0"",""'Game 5'!$B$2:$Q$31""),30,False),1)"),23.0)</f>
        <v>23</v>
      </c>
      <c r="M47" s="7">
        <f>IFERROR(__xludf.DUMMYFUNCTION("IFERROR(HLOOKUP($A47,IMPORTRANGE(""https://docs.google.com/spreadsheets/d/1CeexgK4KxWj3k_7nql_k8-RPxXMwTJyB4Q3vAASeDlA/edit#gid=0"",""'Game 13'!$B$2:$Q$31""),30,False),1)"),23.0)</f>
        <v>23</v>
      </c>
      <c r="N47" s="7">
        <f>IFERROR(__xludf.DUMMYFUNCTION("IFERROR(HLOOKUP($A47,IMPORTRANGE(""https://docs.google.com/spreadsheets/d/1MNwUNMjcwK6bEgCXwB73jpbK5gJAXS8ZMpbEMLJEP3E/edit#gid=0"",""'Game 12'!$B$2:$Q$31""),30,False),1)"),23.0)</f>
        <v>23</v>
      </c>
      <c r="O47" s="7">
        <f>IFERROR(__xludf.DUMMYFUNCTION("IFERROR(HLOOKUP($A47,IMPORTRANGE(""https://docs.google.com/spreadsheets/d/1UrzyxmT40kDZwVrLMf1yyXfP-pyczRAw9Y8Rw-uXG3c/edit#gid=0"",""'Game 1'!$B$2:$Q$31""),30,False),1)"),23.0)</f>
        <v>23</v>
      </c>
      <c r="P47" s="7">
        <f>IFERROR(__xludf.DUMMYFUNCTION("IFERROR(HLOOKUP($A47,IMPORTRANGE(""https://docs.google.com/spreadsheets/d/1iyMhSYWifw-KGFtyeBpNxVZr4BhcV9hVZuShgJ9Ia0E/edit#gid=0"",""'Game 2'!$B$2:$Q$31""),30,False),1)"),23.0)</f>
        <v>23</v>
      </c>
      <c r="Q47" s="7">
        <f>IFERROR(__xludf.DUMMYFUNCTION("IFERROR(HLOOKUP($A47,IMPORTRANGE(""https://docs.google.com/spreadsheets/d/1sSbIK-vvHsSY0LghLJ9gcnW8Hec_ITI2tFmpeqI999A/edit#gid=0"",""'Game 12'!$B$2:$Q$31""),30,False),1)"),23.0)</f>
        <v>23</v>
      </c>
      <c r="R47" s="11">
        <f t="shared" si="1"/>
        <v>345</v>
      </c>
    </row>
    <row r="48">
      <c r="A48" s="3" t="s">
        <v>127</v>
      </c>
      <c r="B48" s="3" t="s">
        <v>125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27">
        <v>0.0</v>
      </c>
      <c r="I48" s="3">
        <v>0.0</v>
      </c>
      <c r="J48" s="27">
        <v>0.0</v>
      </c>
      <c r="K48" s="27">
        <v>0.0</v>
      </c>
      <c r="L48" s="27">
        <v>0.0</v>
      </c>
      <c r="M48" s="27">
        <v>0.0</v>
      </c>
      <c r="N48" s="27">
        <v>0.0</v>
      </c>
      <c r="O48" s="27">
        <v>0.0</v>
      </c>
      <c r="P48" s="27">
        <v>0.0</v>
      </c>
      <c r="Q48" s="27">
        <v>11.0</v>
      </c>
      <c r="R48" s="3">
        <v>11.0</v>
      </c>
    </row>
    <row r="49">
      <c r="A49" s="1" t="s">
        <v>129</v>
      </c>
      <c r="B49" s="11" t="s">
        <v>125</v>
      </c>
      <c r="C49" s="21">
        <v>23.0</v>
      </c>
      <c r="D49" s="21">
        <v>23.0</v>
      </c>
      <c r="E49" s="21">
        <v>23.0</v>
      </c>
      <c r="F49" s="21">
        <v>23.0</v>
      </c>
      <c r="G49" s="1">
        <v>23.0</v>
      </c>
      <c r="H49" s="7">
        <f>IFERROR(__xludf.DUMMYFUNCTION("HLOOKUP($A49,IMPORTRANGE(""https://docs.google.com/spreadsheets/d/16J5ie7OD1E99qGO9lMDm8w5Yls-v190B7DTolJ5TmFc/edit#gid=0"",""'Game 6'!$B$2:$Q$31""),30,False)"),23.0)</f>
        <v>23</v>
      </c>
      <c r="I49" s="1">
        <v>23.0</v>
      </c>
      <c r="J49" s="7">
        <f>IFERROR(__xludf.DUMMYFUNCTION("IFERROR(HLOOKUP($A49,IMPORTRANGE(""https://docs.google.com/spreadsheets/d/1CTYfdyRk_RFGM3I2iN9bKeD9zUPzEm1ajzml6VgwfIU/edit#gid=0"",""'Game 4'!$B$2:$Q$31""),30,False),0)"),0.0)</f>
        <v>0</v>
      </c>
      <c r="K49" s="7">
        <f>IFERROR(__xludf.DUMMYFUNCTION("IFERROR(HLOOKUP($A49,IMPORTRANGE(""https://docs.google.com/spreadsheets/d/11NFkzOdQyW-OtxSDuGslNCgNjx7HUb2FU7KnlNnPMgY/edit#gid=0"",""'Game 7'!$B$2:$Q$31""),30,False),0)"),23.0)</f>
        <v>23</v>
      </c>
      <c r="L49" s="7">
        <f>IFERROR(__xludf.DUMMYFUNCTION("IFERROR(HLOOKUP($A49,IMPORTRANGE(""https://docs.google.com/spreadsheets/d/1CLg5-jaE4ta0-u4oE1qbBplQ5Mf3Oj9ONFgL0zJ7Ol4/edit#gid=0"",""'Game 5'!$B$2:$Q$31""),30,False),1)"),11.0)</f>
        <v>11</v>
      </c>
      <c r="M49" s="7">
        <f>IFERROR(__xludf.DUMMYFUNCTION("IFERROR(HLOOKUP($A49,IMPORTRANGE(""https://docs.google.com/spreadsheets/d/1CeexgK4KxWj3k_7nql_k8-RPxXMwTJyB4Q3vAASeDlA/edit#gid=0"",""'Game 13'!$B$2:$Q$31""),30,False),1)"),23.0)</f>
        <v>23</v>
      </c>
      <c r="N49" s="7">
        <f>IFERROR(__xludf.DUMMYFUNCTION("IFERROR(HLOOKUP($A49,IMPORTRANGE(""https://docs.google.com/spreadsheets/d/1MNwUNMjcwK6bEgCXwB73jpbK5gJAXS8ZMpbEMLJEP3E/edit#gid=0"",""'Game 12'!$B$2:$Q$31""),30,False),1)"),23.0)</f>
        <v>23</v>
      </c>
      <c r="O49" s="7">
        <f>IFERROR(__xludf.DUMMYFUNCTION("IFERROR(HLOOKUP($A49,IMPORTRANGE(""https://docs.google.com/spreadsheets/d/1UrzyxmT40kDZwVrLMf1yyXfP-pyczRAw9Y8Rw-uXG3c/edit#gid=0"",""'Game 1'!$B$2:$Q$31""),30,False),1)"),23.0)</f>
        <v>23</v>
      </c>
      <c r="P49" s="7">
        <f>IFERROR(__xludf.DUMMYFUNCTION("IFERROR(HLOOKUP($A49,IMPORTRANGE(""https://docs.google.com/spreadsheets/d/1iyMhSYWifw-KGFtyeBpNxVZr4BhcV9hVZuShgJ9Ia0E/edit#gid=0"",""'Game 2'!$B$2:$Q$31""),30,False),1)"),23.0)</f>
        <v>23</v>
      </c>
      <c r="Q49" s="7">
        <f>IFERROR(__xludf.DUMMYFUNCTION("IFERROR(HLOOKUP($A49,IMPORTRANGE(""https://docs.google.com/spreadsheets/d/1sSbIK-vvHsSY0LghLJ9gcnW8Hec_ITI2tFmpeqI999A/edit#gid=0"",""'Game 12'!$B$2:$Q$31""),30,False),1)"),23.0)</f>
        <v>23</v>
      </c>
      <c r="R49" s="11">
        <f t="shared" ref="R49:R146" si="2">SUM(C49:Q49)</f>
        <v>310</v>
      </c>
    </row>
    <row r="50">
      <c r="A50" s="18" t="s">
        <v>132</v>
      </c>
      <c r="B50" s="6" t="s">
        <v>125</v>
      </c>
      <c r="C50" s="18">
        <v>23.0</v>
      </c>
      <c r="D50" s="18">
        <v>23.0</v>
      </c>
      <c r="E50" s="18">
        <v>23.0</v>
      </c>
      <c r="F50" s="18">
        <v>23.0</v>
      </c>
      <c r="G50" s="3">
        <v>0.0</v>
      </c>
      <c r="H50" s="5">
        <f>IFERROR(__xludf.DUMMYFUNCTION("HLOOKUP($A50,IMPORTRANGE(""https://docs.google.com/spreadsheets/d/16J5ie7OD1E99qGO9lMDm8w5Yls-v190B7DTolJ5TmFc/edit#gid=0"",""'Game 6'!$B$2:$Q$31""),30,False)"),23.0)</f>
        <v>23</v>
      </c>
      <c r="I50" s="3">
        <v>23.0</v>
      </c>
      <c r="J50" s="5">
        <f>IFERROR(__xludf.DUMMYFUNCTION("IFERROR(HLOOKUP($A50,IMPORTRANGE(""https://docs.google.com/spreadsheets/d/1CTYfdyRk_RFGM3I2iN9bKeD9zUPzEm1ajzml6VgwfIU/edit#gid=0"",""'Game 4'!$B$2:$Q$31""),30,False),0)"),23.0)</f>
        <v>23</v>
      </c>
      <c r="K50" s="5">
        <f>IFERROR(__xludf.DUMMYFUNCTION("IFERROR(HLOOKUP($A50,IMPORTRANGE(""https://docs.google.com/spreadsheets/d/11NFkzOdQyW-OtxSDuGslNCgNjx7HUb2FU7KnlNnPMgY/edit#gid=0"",""'Game 7'!$B$2:$Q$31""),30,False),0)"),23.0)</f>
        <v>23</v>
      </c>
      <c r="L50" s="5">
        <f>IFERROR(__xludf.DUMMYFUNCTION("IFERROR(HLOOKUP($A50,IMPORTRANGE(""https://docs.google.com/spreadsheets/d/1CLg5-jaE4ta0-u4oE1qbBplQ5Mf3Oj9ONFgL0zJ7Ol4/edit#gid=0"",""'Game 5'!$B$2:$Q$31""),30,False),1)"),23.0)</f>
        <v>23</v>
      </c>
      <c r="M50" s="5">
        <f>IFERROR(__xludf.DUMMYFUNCTION("IFERROR(HLOOKUP($A50,IMPORTRANGE(""https://docs.google.com/spreadsheets/d/1CeexgK4KxWj3k_7nql_k8-RPxXMwTJyB4Q3vAASeDlA/edit#gid=0"",""'Game 13'!$B$2:$Q$31""),30,False),1)"),23.0)</f>
        <v>23</v>
      </c>
      <c r="N50" s="5">
        <f>IFERROR(__xludf.DUMMYFUNCTION("IFERROR(HLOOKUP($A50,IMPORTRANGE(""https://docs.google.com/spreadsheets/d/1MNwUNMjcwK6bEgCXwB73jpbK5gJAXS8ZMpbEMLJEP3E/edit#gid=0"",""'Game 12'!$B$2:$Q$31""),30,False),1)"),23.0)</f>
        <v>23</v>
      </c>
      <c r="O50" s="5">
        <f>IFERROR(__xludf.DUMMYFUNCTION("IFERROR(HLOOKUP($A50,IMPORTRANGE(""https://docs.google.com/spreadsheets/d/1UrzyxmT40kDZwVrLMf1yyXfP-pyczRAw9Y8Rw-uXG3c/edit#gid=0"",""'Game 1'!$B$2:$Q$31""),30,False),1)"),23.0)</f>
        <v>23</v>
      </c>
      <c r="P50" s="5">
        <f>IFERROR(__xludf.DUMMYFUNCTION("IFERROR(HLOOKUP($A50,IMPORTRANGE(""https://docs.google.com/spreadsheets/d/1iyMhSYWifw-KGFtyeBpNxVZr4BhcV9hVZuShgJ9Ia0E/edit#gid=0"",""'Game 2'!$B$2:$Q$31""),30,False),1)"),23.0)</f>
        <v>23</v>
      </c>
      <c r="Q50" s="5">
        <f>IFERROR(__xludf.DUMMYFUNCTION("IFERROR(HLOOKUP($A50,IMPORTRANGE(""https://docs.google.com/spreadsheets/d/1sSbIK-vvHsSY0LghLJ9gcnW8Hec_ITI2tFmpeqI999A/edit#gid=0"",""'Game 12'!$B$2:$Q$31""),30,False),1)"),23.0)</f>
        <v>23</v>
      </c>
      <c r="R50" s="6">
        <f t="shared" si="2"/>
        <v>322</v>
      </c>
    </row>
    <row r="51">
      <c r="A51" s="1" t="s">
        <v>134</v>
      </c>
      <c r="B51" s="1" t="s">
        <v>125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28">
        <v>0.0</v>
      </c>
      <c r="I51" s="1">
        <v>0.0</v>
      </c>
      <c r="J51" s="28">
        <v>0.0</v>
      </c>
      <c r="K51" s="28">
        <v>0.0</v>
      </c>
      <c r="L51" s="28">
        <v>0.0</v>
      </c>
      <c r="M51" s="28">
        <v>0.0</v>
      </c>
      <c r="N51" s="28">
        <v>0.0</v>
      </c>
      <c r="O51" s="28">
        <v>23.0</v>
      </c>
      <c r="P51" s="7">
        <f>IFERROR(__xludf.DUMMYFUNCTION("IFERROR(HLOOKUP($A51,IMPORTRANGE(""https://docs.google.com/spreadsheets/d/1iyMhSYWifw-KGFtyeBpNxVZr4BhcV9hVZuShgJ9Ia0E/edit#gid=0"",""'Game 2'!$B$2:$Q$31""),30,False),1)"),23.0)</f>
        <v>23</v>
      </c>
      <c r="Q51" s="7">
        <f>IFERROR(__xludf.DUMMYFUNCTION("IFERROR(HLOOKUP($A51,IMPORTRANGE(""https://docs.google.com/spreadsheets/d/1sSbIK-vvHsSY0LghLJ9gcnW8Hec_ITI2tFmpeqI999A/edit#gid=0"",""'Game 12'!$B$2:$Q$31""),30,False),1)"),0.0)</f>
        <v>0</v>
      </c>
      <c r="R51" s="11">
        <f t="shared" si="2"/>
        <v>46</v>
      </c>
    </row>
    <row r="52">
      <c r="A52" s="18" t="s">
        <v>135</v>
      </c>
      <c r="B52" s="18" t="s">
        <v>136</v>
      </c>
      <c r="C52" s="18">
        <v>23.0</v>
      </c>
      <c r="D52" s="18">
        <v>0.0</v>
      </c>
      <c r="E52" s="18">
        <v>23.0</v>
      </c>
      <c r="F52" s="18">
        <v>23.0</v>
      </c>
      <c r="G52" s="3">
        <v>11.0</v>
      </c>
      <c r="H52" s="5">
        <f>IFERROR(__xludf.DUMMYFUNCTION("HLOOKUP($A52,IMPORTRANGE(""https://docs.google.com/spreadsheets/d/16J5ie7OD1E99qGO9lMDm8w5Yls-v190B7DTolJ5TmFc/edit#gid=0"",""'Game 8'!$B$2:$Q$31""),30,False)"),23.0)</f>
        <v>23</v>
      </c>
      <c r="I52" s="3">
        <v>0.0</v>
      </c>
      <c r="J52" s="5">
        <f>IFERROR(__xludf.DUMMYFUNCTION("IFERROR(HLOOKUP($A52,IMPORTRANGE(""https://docs.google.com/spreadsheets/d/1CTYfdyRk_RFGM3I2iN9bKeD9zUPzEm1ajzml6VgwfIU/edit#gid=0"",""'Game 8'!$B$2:$Q$31""),30,False),0)"),23.0)</f>
        <v>23</v>
      </c>
      <c r="K52" s="5">
        <f>IFERROR(__xludf.DUMMYFUNCTION("IFERROR(HLOOKUP($A52,IMPORTRANGE(""https://docs.google.com/spreadsheets/d/11NFkzOdQyW-OtxSDuGslNCgNjx7HUb2FU7KnlNnPMgY/edit#gid=0"",""'Game 13'!$B$2:$Q$31""),30,False),0)"),23.0)</f>
        <v>23</v>
      </c>
      <c r="L52" s="5">
        <f>IFERROR(__xludf.DUMMYFUNCTION("IFERROR(HLOOKUP($A52,IMPORTRANGE(""https://docs.google.com/spreadsheets/d/1CLg5-jaE4ta0-u4oE1qbBplQ5Mf3Oj9ONFgL0zJ7Ol4/edit#gid=0"",""'Game 7'!$B$2:$Q$31""),30,False),1)"),0.0)</f>
        <v>0</v>
      </c>
      <c r="M52" s="5">
        <f>IFERROR(__xludf.DUMMYFUNCTION("IFERROR(HLOOKUP($A52,IMPORTRANGE(""https://docs.google.com/spreadsheets/d/1CeexgK4KxWj3k_7nql_k8-RPxXMwTJyB4Q3vAASeDlA/edit#gid=0"",""'Game 5'!$B$2:$Q$31""),30,False),1)"),23.0)</f>
        <v>23</v>
      </c>
      <c r="N52" s="5">
        <f>IFERROR(__xludf.DUMMYFUNCTION("IFERROR(HLOOKUP($A52,IMPORTRANGE(""https://docs.google.com/spreadsheets/d/1MNwUNMjcwK6bEgCXwB73jpbK5gJAXS8ZMpbEMLJEP3E/edit#gid=0"",""'Game 1'!$B$2:$Q$31""),30,False),1)"),0.0)</f>
        <v>0</v>
      </c>
      <c r="O52" s="5">
        <f>IFERROR(__xludf.DUMMYFUNCTION("IFERROR(HLOOKUP($A52,IMPORTRANGE(""https://docs.google.com/spreadsheets/d/1UrzyxmT40kDZwVrLMf1yyXfP-pyczRAw9Y8Rw-uXG3c/edit#gid=0"",""'Game 13'!$B$2:$Q$31""),30,False),1)"),0.0)</f>
        <v>0</v>
      </c>
      <c r="P52" s="5">
        <f>IFERROR(__xludf.DUMMYFUNCTION("IFERROR(HLOOKUP($A52,IMPORTRANGE(""https://docs.google.com/spreadsheets/d/1iyMhSYWifw-KGFtyeBpNxVZr4BhcV9hVZuShgJ9Ia0E/edit#gid=0"",""'Game 4'!$B$2:$Q$31""),30,False),1)"),23.0)</f>
        <v>23</v>
      </c>
      <c r="Q52" s="5">
        <f>IFERROR(__xludf.DUMMYFUNCTION("IFERROR(HLOOKUP($A52,IMPORTRANGE(""https://docs.google.com/spreadsheets/d/1sSbIK-vvHsSY0LghLJ9gcnW8Hec_ITI2tFmpeqI999A/edit#gid=0"",""'Game 2'!$B$2:$Q$31""),30,False),1)"),23.0)</f>
        <v>23</v>
      </c>
      <c r="R52" s="6">
        <f t="shared" si="2"/>
        <v>218</v>
      </c>
    </row>
    <row r="53">
      <c r="A53" s="21" t="s">
        <v>138</v>
      </c>
      <c r="B53" s="21" t="s">
        <v>136</v>
      </c>
      <c r="C53" s="21">
        <v>0.0</v>
      </c>
      <c r="D53" s="21">
        <v>23.0</v>
      </c>
      <c r="E53" s="21">
        <v>12.0</v>
      </c>
      <c r="F53" s="21">
        <v>0.0</v>
      </c>
      <c r="G53" s="1">
        <v>23.0</v>
      </c>
      <c r="H53" s="7">
        <f>IFERROR(__xludf.DUMMYFUNCTION("HLOOKUP($A53,IMPORTRANGE(""https://docs.google.com/spreadsheets/d/16J5ie7OD1E99qGO9lMDm8w5Yls-v190B7DTolJ5TmFc/edit#gid=0"",""'Game 8'!$B$2:$Q$31""),30,False)"),23.0)</f>
        <v>23</v>
      </c>
      <c r="I53" s="1">
        <v>23.0</v>
      </c>
      <c r="J53" s="7">
        <f>IFERROR(__xludf.DUMMYFUNCTION("IFERROR(HLOOKUP($A53,IMPORTRANGE(""https://docs.google.com/spreadsheets/d/1CTYfdyRk_RFGM3I2iN9bKeD9zUPzEm1ajzml6VgwfIU/edit#gid=0"",""'Game 8'!$B$2:$Q$31""),30,False),0)"),23.0)</f>
        <v>23</v>
      </c>
      <c r="K53" s="7">
        <f>IFERROR(__xludf.DUMMYFUNCTION("IFERROR(HLOOKUP($A53,IMPORTRANGE(""https://docs.google.com/spreadsheets/d/11NFkzOdQyW-OtxSDuGslNCgNjx7HUb2FU7KnlNnPMgY/edit#gid=0"",""'Game 13'!$B$2:$Q$31""),30,False),0)"),0.0)</f>
        <v>0</v>
      </c>
      <c r="L53" s="7">
        <f>IFERROR(__xludf.DUMMYFUNCTION("IFERROR(HLOOKUP($A53,IMPORTRANGE(""https://docs.google.com/spreadsheets/d/1CLg5-jaE4ta0-u4oE1qbBplQ5Mf3Oj9ONFgL0zJ7Ol4/edit#gid=0"",""'Game 7'!$B$2:$Q$31""),30,False),1)"),23.0)</f>
        <v>23</v>
      </c>
      <c r="M53" s="7">
        <f>IFERROR(__xludf.DUMMYFUNCTION("IFERROR(HLOOKUP($A53,IMPORTRANGE(""https://docs.google.com/spreadsheets/d/1CeexgK4KxWj3k_7nql_k8-RPxXMwTJyB4Q3vAASeDlA/edit#gid=0"",""'Game 5'!$B$2:$Q$31""),30,False),1)"),23.0)</f>
        <v>23</v>
      </c>
      <c r="N53" s="7">
        <f>IFERROR(__xludf.DUMMYFUNCTION("IFERROR(HLOOKUP($A53,IMPORTRANGE(""https://docs.google.com/spreadsheets/d/1MNwUNMjcwK6bEgCXwB73jpbK5gJAXS8ZMpbEMLJEP3E/edit#gid=0"",""'Game 1'!$B$2:$Q$31""),30,False),1)"),23.0)</f>
        <v>23</v>
      </c>
      <c r="O53" s="7">
        <f>IFERROR(__xludf.DUMMYFUNCTION("IFERROR(HLOOKUP($A53,IMPORTRANGE(""https://docs.google.com/spreadsheets/d/1UrzyxmT40kDZwVrLMf1yyXfP-pyczRAw9Y8Rw-uXG3c/edit#gid=0"",""'Game 13'!$B$2:$Q$31""),30,False),1)"),23.0)</f>
        <v>23</v>
      </c>
      <c r="P53" s="7">
        <f>IFERROR(__xludf.DUMMYFUNCTION("IFERROR(HLOOKUP($A53,IMPORTRANGE(""https://docs.google.com/spreadsheets/d/1iyMhSYWifw-KGFtyeBpNxVZr4BhcV9hVZuShgJ9Ia0E/edit#gid=0"",""'Game 4'!$B$2:$Q$31""),30,False),1)"),23.0)</f>
        <v>23</v>
      </c>
      <c r="Q53" s="7">
        <f>IFERROR(__xludf.DUMMYFUNCTION("IFERROR(HLOOKUP($A53,IMPORTRANGE(""https://docs.google.com/spreadsheets/d/1sSbIK-vvHsSY0LghLJ9gcnW8Hec_ITI2tFmpeqI999A/edit#gid=0"",""'Game 2'!$B$2:$Q$31""),30,False),1)"),23.0)</f>
        <v>23</v>
      </c>
      <c r="R53" s="11">
        <f t="shared" si="2"/>
        <v>265</v>
      </c>
    </row>
    <row r="54">
      <c r="A54" s="18" t="s">
        <v>140</v>
      </c>
      <c r="B54" s="18" t="s">
        <v>136</v>
      </c>
      <c r="C54" s="18">
        <v>23.0</v>
      </c>
      <c r="D54" s="18">
        <v>23.0</v>
      </c>
      <c r="E54" s="18">
        <v>0.0</v>
      </c>
      <c r="F54" s="18">
        <v>23.0</v>
      </c>
      <c r="G54" s="3">
        <v>12.0</v>
      </c>
      <c r="H54" s="5">
        <f>IFERROR(__xludf.DUMMYFUNCTION("HLOOKUP($A54,IMPORTRANGE(""https://docs.google.com/spreadsheets/d/16J5ie7OD1E99qGO9lMDm8w5Yls-v190B7DTolJ5TmFc/edit#gid=0"",""'Game 8'!$B$2:$Q$31""),30,False)"),0.0)</f>
        <v>0</v>
      </c>
      <c r="I54" s="3">
        <v>0.0</v>
      </c>
      <c r="J54" s="5">
        <f>IFERROR(__xludf.DUMMYFUNCTION("IFERROR(HLOOKUP($A54,IMPORTRANGE(""https://docs.google.com/spreadsheets/d/1CTYfdyRk_RFGM3I2iN9bKeD9zUPzEm1ajzml6VgwfIU/edit#gid=0"",""'Game 8'!$B$2:$Q$31""),30,False),0)"),23.0)</f>
        <v>23</v>
      </c>
      <c r="K54" s="5">
        <f>IFERROR(__xludf.DUMMYFUNCTION("IFERROR(HLOOKUP($A54,IMPORTRANGE(""https://docs.google.com/spreadsheets/d/11NFkzOdQyW-OtxSDuGslNCgNjx7HUb2FU7KnlNnPMgY/edit#gid=0"",""'Game 13'!$B$2:$Q$31""),30,False),0)"),0.0)</f>
        <v>0</v>
      </c>
      <c r="L54" s="5">
        <f>IFERROR(__xludf.DUMMYFUNCTION("IFERROR(HLOOKUP($A54,IMPORTRANGE(""https://docs.google.com/spreadsheets/d/1CLg5-jaE4ta0-u4oE1qbBplQ5Mf3Oj9ONFgL0zJ7Ol4/edit#gid=0"",""'Game 7'!$B$2:$Q$31""),30,False),1)"),23.0)</f>
        <v>23</v>
      </c>
      <c r="M54" s="5">
        <f>IFERROR(__xludf.DUMMYFUNCTION("IFERROR(HLOOKUP($A54,IMPORTRANGE(""https://docs.google.com/spreadsheets/d/1CeexgK4KxWj3k_7nql_k8-RPxXMwTJyB4Q3vAASeDlA/edit#gid=0"",""'Game 5'!$B$2:$Q$31""),30,False),1)"),0.0)</f>
        <v>0</v>
      </c>
      <c r="N54" s="5">
        <f>IFERROR(__xludf.DUMMYFUNCTION("IFERROR(HLOOKUP($A54,IMPORTRANGE(""https://docs.google.com/spreadsheets/d/1MNwUNMjcwK6bEgCXwB73jpbK5gJAXS8ZMpbEMLJEP3E/edit#gid=0"",""'Game 1'!$B$2:$Q$31""),30,False),1)"),0.0)</f>
        <v>0</v>
      </c>
      <c r="O54" s="5">
        <f>IFERROR(__xludf.DUMMYFUNCTION("IFERROR(HLOOKUP($A54,IMPORTRANGE(""https://docs.google.com/spreadsheets/d/1UrzyxmT40kDZwVrLMf1yyXfP-pyczRAw9Y8Rw-uXG3c/edit#gid=0"",""'Game 13'!$B$2:$Q$31""),30,False),1)"),0.0)</f>
        <v>0</v>
      </c>
      <c r="P54" s="5">
        <f>IFERROR(__xludf.DUMMYFUNCTION("IFERROR(HLOOKUP($A54,IMPORTRANGE(""https://docs.google.com/spreadsheets/d/1iyMhSYWifw-KGFtyeBpNxVZr4BhcV9hVZuShgJ9Ia0E/edit#gid=0"",""'Game 4'!$B$2:$Q$31""),30,False),1)"),0.0)</f>
        <v>0</v>
      </c>
      <c r="Q54" s="5">
        <f>IFERROR(__xludf.DUMMYFUNCTION("IFERROR(HLOOKUP($A54,IMPORTRANGE(""https://docs.google.com/spreadsheets/d/1sSbIK-vvHsSY0LghLJ9gcnW8Hec_ITI2tFmpeqI999A/edit#gid=0"",""'Game 2'!$B$2:$Q$31""),30,False),1)"),0.0)</f>
        <v>0</v>
      </c>
      <c r="R54" s="6">
        <f t="shared" si="2"/>
        <v>127</v>
      </c>
    </row>
    <row r="55">
      <c r="A55" s="21" t="s">
        <v>141</v>
      </c>
      <c r="B55" s="21" t="s">
        <v>136</v>
      </c>
      <c r="C55" s="21">
        <v>0.0</v>
      </c>
      <c r="D55" s="21">
        <v>23.0</v>
      </c>
      <c r="E55" s="21">
        <v>11.0</v>
      </c>
      <c r="F55" s="21">
        <v>23.0</v>
      </c>
      <c r="G55" s="1">
        <v>11.0</v>
      </c>
      <c r="H55" s="7">
        <f>IFERROR(__xludf.DUMMYFUNCTION("HLOOKUP($A55,IMPORTRANGE(""https://docs.google.com/spreadsheets/d/16J5ie7OD1E99qGO9lMDm8w5Yls-v190B7DTolJ5TmFc/edit#gid=0"",""'Game 8'!$B$2:$Q$31""),30,False)"),23.0)</f>
        <v>23</v>
      </c>
      <c r="I55" s="1">
        <v>23.0</v>
      </c>
      <c r="J55" s="7">
        <f>IFERROR(__xludf.DUMMYFUNCTION("IFERROR(HLOOKUP($A55,IMPORTRANGE(""https://docs.google.com/spreadsheets/d/1CTYfdyRk_RFGM3I2iN9bKeD9zUPzEm1ajzml6VgwfIU/edit#gid=0"",""'Game 8'!$B$2:$Q$31""),30,False),0)"),23.0)</f>
        <v>23</v>
      </c>
      <c r="K55" s="7">
        <f>IFERROR(__xludf.DUMMYFUNCTION("IFERROR(HLOOKUP($A55,IMPORTRANGE(""https://docs.google.com/spreadsheets/d/11NFkzOdQyW-OtxSDuGslNCgNjx7HUb2FU7KnlNnPMgY/edit#gid=0"",""'Game 13'!$B$2:$Q$31""),30,False),0)"),0.0)</f>
        <v>0</v>
      </c>
      <c r="L55" s="7">
        <f>IFERROR(__xludf.DUMMYFUNCTION("IFERROR(HLOOKUP($A55,IMPORTRANGE(""https://docs.google.com/spreadsheets/d/1CLg5-jaE4ta0-u4oE1qbBplQ5Mf3Oj9ONFgL0zJ7Ol4/edit#gid=0"",""'Game 7'!$B$2:$Q$31""),30,False),1)"),0.0)</f>
        <v>0</v>
      </c>
      <c r="M55" s="7">
        <f>IFERROR(__xludf.DUMMYFUNCTION("IFERROR(HLOOKUP($A55,IMPORTRANGE(""https://docs.google.com/spreadsheets/d/1CeexgK4KxWj3k_7nql_k8-RPxXMwTJyB4Q3vAASeDlA/edit#gid=0"",""'Game 5'!$B$2:$Q$31""),30,False),1)"),23.0)</f>
        <v>23</v>
      </c>
      <c r="N55" s="7">
        <f>IFERROR(__xludf.DUMMYFUNCTION("IFERROR(HLOOKUP($A55,IMPORTRANGE(""https://docs.google.com/spreadsheets/d/1MNwUNMjcwK6bEgCXwB73jpbK5gJAXS8ZMpbEMLJEP3E/edit#gid=0"",""'Game 1'!$B$2:$Q$31""),30,False),1)"),23.0)</f>
        <v>23</v>
      </c>
      <c r="O55" s="7">
        <f>IFERROR(__xludf.DUMMYFUNCTION("IFERROR(HLOOKUP($A55,IMPORTRANGE(""https://docs.google.com/spreadsheets/d/1UrzyxmT40kDZwVrLMf1yyXfP-pyczRAw9Y8Rw-uXG3c/edit#gid=0"",""'Game 13'!$B$2:$Q$31""),30,False),1)"),23.0)</f>
        <v>23</v>
      </c>
      <c r="P55" s="7">
        <f>IFERROR(__xludf.DUMMYFUNCTION("IFERROR(HLOOKUP($A55,IMPORTRANGE(""https://docs.google.com/spreadsheets/d/1iyMhSYWifw-KGFtyeBpNxVZr4BhcV9hVZuShgJ9Ia0E/edit#gid=0"",""'Game 4'!$B$2:$Q$31""),30,False),1)"),23.0)</f>
        <v>23</v>
      </c>
      <c r="Q55" s="7">
        <f>IFERROR(__xludf.DUMMYFUNCTION("IFERROR(HLOOKUP($A55,IMPORTRANGE(""https://docs.google.com/spreadsheets/d/1sSbIK-vvHsSY0LghLJ9gcnW8Hec_ITI2tFmpeqI999A/edit#gid=0"",""'Game 2'!$B$2:$Q$31""),30,False),1)"),23.0)</f>
        <v>23</v>
      </c>
      <c r="R55" s="11">
        <f t="shared" si="2"/>
        <v>252</v>
      </c>
    </row>
    <row r="56">
      <c r="A56" s="18" t="s">
        <v>143</v>
      </c>
      <c r="B56" s="18" t="s">
        <v>136</v>
      </c>
      <c r="C56" s="18">
        <v>0.0</v>
      </c>
      <c r="D56" s="18">
        <v>23.0</v>
      </c>
      <c r="E56" s="18">
        <v>23.0</v>
      </c>
      <c r="F56" s="18">
        <v>0.0</v>
      </c>
      <c r="G56" s="3">
        <v>12.0</v>
      </c>
      <c r="H56" s="5">
        <f>IFERROR(__xludf.DUMMYFUNCTION("HLOOKUP($A56,IMPORTRANGE(""https://docs.google.com/spreadsheets/d/16J5ie7OD1E99qGO9lMDm8w5Yls-v190B7DTolJ5TmFc/edit#gid=0"",""'Game 8'!$B$2:$Q$31""),30,False)"),23.0)</f>
        <v>23</v>
      </c>
      <c r="I56" s="3">
        <v>0.0</v>
      </c>
      <c r="J56" s="5">
        <f>IFERROR(__xludf.DUMMYFUNCTION("IFERROR(HLOOKUP($A56,IMPORTRANGE(""https://docs.google.com/spreadsheets/d/1CTYfdyRk_RFGM3I2iN9bKeD9zUPzEm1ajzml6VgwfIU/edit#gid=0"",""'Game 8'!$B$2:$Q$31""),30,False),0)"),0.0)</f>
        <v>0</v>
      </c>
      <c r="K56" s="5">
        <f>IFERROR(__xludf.DUMMYFUNCTION("IFERROR(HLOOKUP($A56,IMPORTRANGE(""https://docs.google.com/spreadsheets/d/11NFkzOdQyW-OtxSDuGslNCgNjx7HUb2FU7KnlNnPMgY/edit#gid=0"",""'Game 13'!$B$2:$Q$31""),30,False),0)"),23.0)</f>
        <v>23</v>
      </c>
      <c r="L56" s="5">
        <f>IFERROR(__xludf.DUMMYFUNCTION("IFERROR(HLOOKUP($A56,IMPORTRANGE(""https://docs.google.com/spreadsheets/d/1CLg5-jaE4ta0-u4oE1qbBplQ5Mf3Oj9ONFgL0zJ7Ol4/edit#gid=0"",""'Game 7'!$B$2:$Q$31""),30,False),1)"),23.0)</f>
        <v>23</v>
      </c>
      <c r="M56" s="5">
        <f>IFERROR(__xludf.DUMMYFUNCTION("IFERROR(HLOOKUP($A56,IMPORTRANGE(""https://docs.google.com/spreadsheets/d/1CeexgK4KxWj3k_7nql_k8-RPxXMwTJyB4Q3vAASeDlA/edit#gid=0"",""'Game 5'!$B$2:$Q$31""),30,False),1)"),0.0)</f>
        <v>0</v>
      </c>
      <c r="N56" s="5">
        <f>IFERROR(__xludf.DUMMYFUNCTION("IFERROR(HLOOKUP($A56,IMPORTRANGE(""https://docs.google.com/spreadsheets/d/1MNwUNMjcwK6bEgCXwB73jpbK5gJAXS8ZMpbEMLJEP3E/edit#gid=0"",""'Game 1'!$B$2:$Q$31""),30,False),1)"),0.0)</f>
        <v>0</v>
      </c>
      <c r="O56" s="5">
        <f>IFERROR(__xludf.DUMMYFUNCTION("IFERROR(HLOOKUP($A56,IMPORTRANGE(""https://docs.google.com/spreadsheets/d/1UrzyxmT40kDZwVrLMf1yyXfP-pyczRAw9Y8Rw-uXG3c/edit#gid=0"",""'Game 13'!$B$2:$Q$31""),30,False),1)"),0.0)</f>
        <v>0</v>
      </c>
      <c r="P56" s="5">
        <f>IFERROR(__xludf.DUMMYFUNCTION("IFERROR(HLOOKUP($A56,IMPORTRANGE(""https://docs.google.com/spreadsheets/d/1iyMhSYWifw-KGFtyeBpNxVZr4BhcV9hVZuShgJ9Ia0E/edit#gid=0"",""'Game 4'!$B$2:$Q$31""),30,False),1)"),0.0)</f>
        <v>0</v>
      </c>
      <c r="Q56" s="5">
        <f>IFERROR(__xludf.DUMMYFUNCTION("IFERROR(HLOOKUP($A56,IMPORTRANGE(""https://docs.google.com/spreadsheets/d/1sSbIK-vvHsSY0LghLJ9gcnW8Hec_ITI2tFmpeqI999A/edit#gid=0"",""'Game 2'!$B$2:$Q$31""),30,False),1)"),0.0)</f>
        <v>0</v>
      </c>
      <c r="R56" s="6">
        <f t="shared" si="2"/>
        <v>127</v>
      </c>
    </row>
    <row r="57">
      <c r="A57" s="21" t="s">
        <v>145</v>
      </c>
      <c r="B57" s="21" t="s">
        <v>136</v>
      </c>
      <c r="C57" s="21">
        <v>23.0</v>
      </c>
      <c r="D57" s="21">
        <v>0.0</v>
      </c>
      <c r="E57" s="21">
        <v>0.0</v>
      </c>
      <c r="F57" s="21">
        <v>0.0</v>
      </c>
      <c r="G57" s="1">
        <v>23.0</v>
      </c>
      <c r="H57" s="7">
        <f>IFERROR(__xludf.DUMMYFUNCTION("HLOOKUP($A57,IMPORTRANGE(""https://docs.google.com/spreadsheets/d/16J5ie7OD1E99qGO9lMDm8w5Yls-v190B7DTolJ5TmFc/edit#gid=0"",""'Game 8'!$B$2:$Q$31""),30,False)"),0.0)</f>
        <v>0</v>
      </c>
      <c r="I57" s="1">
        <v>23.0</v>
      </c>
      <c r="J57" s="7">
        <f>IFERROR(__xludf.DUMMYFUNCTION("IFERROR(HLOOKUP($A57,IMPORTRANGE(""https://docs.google.com/spreadsheets/d/1CTYfdyRk_RFGM3I2iN9bKeD9zUPzEm1ajzml6VgwfIU/edit#gid=0"",""'Game 8'!$B$2:$Q$31""),30,False),0)"),0.0)</f>
        <v>0</v>
      </c>
      <c r="K57" s="7">
        <f>IFERROR(__xludf.DUMMYFUNCTION("IFERROR(HLOOKUP($A57,IMPORTRANGE(""https://docs.google.com/spreadsheets/d/11NFkzOdQyW-OtxSDuGslNCgNjx7HUb2FU7KnlNnPMgY/edit#gid=0"",""'Game 13'!$B$2:$Q$31""),30,False),0)"),23.0)</f>
        <v>23</v>
      </c>
      <c r="L57" s="7">
        <f>IFERROR(__xludf.DUMMYFUNCTION("IFERROR(HLOOKUP($A57,IMPORTRANGE(""https://docs.google.com/spreadsheets/d/1CLg5-jaE4ta0-u4oE1qbBplQ5Mf3Oj9ONFgL0zJ7Ol4/edit#gid=0"",""'Game 7'!$B$2:$Q$31""),30,False),1)"),23.0)</f>
        <v>23</v>
      </c>
      <c r="M57" s="7">
        <f>IFERROR(__xludf.DUMMYFUNCTION("IFERROR(HLOOKUP($A57,IMPORTRANGE(""https://docs.google.com/spreadsheets/d/1CeexgK4KxWj3k_7nql_k8-RPxXMwTJyB4Q3vAASeDlA/edit#gid=0"",""'Game 5'!$B$2:$Q$31""),30,False),1)"),0.0)</f>
        <v>0</v>
      </c>
      <c r="N57" s="7">
        <f>IFERROR(__xludf.DUMMYFUNCTION("IFERROR(HLOOKUP($A57,IMPORTRANGE(""https://docs.google.com/spreadsheets/d/1MNwUNMjcwK6bEgCXwB73jpbK5gJAXS8ZMpbEMLJEP3E/edit#gid=0"",""'Game 1'!$B$2:$Q$31""),30,False),1)"),23.0)</f>
        <v>23</v>
      </c>
      <c r="O57" s="7">
        <f>IFERROR(__xludf.DUMMYFUNCTION("IFERROR(HLOOKUP($A57,IMPORTRANGE(""https://docs.google.com/spreadsheets/d/1UrzyxmT40kDZwVrLMf1yyXfP-pyczRAw9Y8Rw-uXG3c/edit#gid=0"",""'Game 13'!$B$2:$Q$31""),30,False),1)"),23.0)</f>
        <v>23</v>
      </c>
      <c r="P57" s="7">
        <f>IFERROR(__xludf.DUMMYFUNCTION("IFERROR(HLOOKUP($A57,IMPORTRANGE(""https://docs.google.com/spreadsheets/d/1iyMhSYWifw-KGFtyeBpNxVZr4BhcV9hVZuShgJ9Ia0E/edit#gid=0"",""'Game 4'!$B$2:$Q$31""),30,False),1)"),0.0)</f>
        <v>0</v>
      </c>
      <c r="Q57" s="7">
        <f>IFERROR(__xludf.DUMMYFUNCTION("IFERROR(HLOOKUP($A57,IMPORTRANGE(""https://docs.google.com/spreadsheets/d/1sSbIK-vvHsSY0LghLJ9gcnW8Hec_ITI2tFmpeqI999A/edit#gid=0"",""'Game 2'!$B$2:$Q$31""),30,False),1)"),23.0)</f>
        <v>23</v>
      </c>
      <c r="R57" s="11">
        <f t="shared" si="2"/>
        <v>184</v>
      </c>
    </row>
    <row r="58">
      <c r="A58" s="18" t="s">
        <v>147</v>
      </c>
      <c r="B58" s="18" t="s">
        <v>136</v>
      </c>
      <c r="C58" s="18">
        <v>23.0</v>
      </c>
      <c r="D58" s="18">
        <v>0.0</v>
      </c>
      <c r="E58" s="18">
        <v>23.0</v>
      </c>
      <c r="F58" s="18">
        <v>23.0</v>
      </c>
      <c r="G58" s="3">
        <v>0.0</v>
      </c>
      <c r="H58" s="5">
        <f>IFERROR(__xludf.DUMMYFUNCTION("HLOOKUP($A58,IMPORTRANGE(""https://docs.google.com/spreadsheets/d/16J5ie7OD1E99qGO9lMDm8w5Yls-v190B7DTolJ5TmFc/edit#gid=0"",""'Game 8'!$B$2:$Q$31""),30,False)"),0.0)</f>
        <v>0</v>
      </c>
      <c r="I58" s="3">
        <v>23.0</v>
      </c>
      <c r="J58" s="5">
        <f>IFERROR(__xludf.DUMMYFUNCTION("IFERROR(HLOOKUP($A58,IMPORTRANGE(""https://docs.google.com/spreadsheets/d/1CTYfdyRk_RFGM3I2iN9bKeD9zUPzEm1ajzml6VgwfIU/edit#gid=0"",""'Game 8'!$B$2:$Q$31""),30,False),0)"),0.0)</f>
        <v>0</v>
      </c>
      <c r="K58" s="5">
        <f>IFERROR(__xludf.DUMMYFUNCTION("IFERROR(HLOOKUP($A58,IMPORTRANGE(""https://docs.google.com/spreadsheets/d/11NFkzOdQyW-OtxSDuGslNCgNjx7HUb2FU7KnlNnPMgY/edit#gid=0"",""'Game 13'!$B$2:$Q$31""),30,False),0)"),23.0)</f>
        <v>23</v>
      </c>
      <c r="L58" s="5">
        <f>IFERROR(__xludf.DUMMYFUNCTION("IFERROR(HLOOKUP($A58,IMPORTRANGE(""https://docs.google.com/spreadsheets/d/1CLg5-jaE4ta0-u4oE1qbBplQ5Mf3Oj9ONFgL0zJ7Ol4/edit#gid=0"",""'Game 7'!$B$2:$Q$31""),30,False),1)"),0.0)</f>
        <v>0</v>
      </c>
      <c r="M58" s="5">
        <f>IFERROR(__xludf.DUMMYFUNCTION("IFERROR(HLOOKUP($A58,IMPORTRANGE(""https://docs.google.com/spreadsheets/d/1CeexgK4KxWj3k_7nql_k8-RPxXMwTJyB4Q3vAASeDlA/edit#gid=0"",""'Game 5'!$B$2:$Q$31""),30,False),1)"),23.0)</f>
        <v>23</v>
      </c>
      <c r="N58" s="5">
        <f>IFERROR(__xludf.DUMMYFUNCTION("IFERROR(HLOOKUP($A58,IMPORTRANGE(""https://docs.google.com/spreadsheets/d/1MNwUNMjcwK6bEgCXwB73jpbK5gJAXS8ZMpbEMLJEP3E/edit#gid=0"",""'Game 1'!$B$2:$Q$31""),30,False),1)"),0.0)</f>
        <v>0</v>
      </c>
      <c r="O58" s="5">
        <f>IFERROR(__xludf.DUMMYFUNCTION("IFERROR(HLOOKUP($A58,IMPORTRANGE(""https://docs.google.com/spreadsheets/d/1UrzyxmT40kDZwVrLMf1yyXfP-pyczRAw9Y8Rw-uXG3c/edit#gid=0"",""'Game 13'!$B$2:$Q$31""),30,False),1)"),23.0)</f>
        <v>23</v>
      </c>
      <c r="P58" s="5">
        <f>IFERROR(__xludf.DUMMYFUNCTION("IFERROR(HLOOKUP($A58,IMPORTRANGE(""https://docs.google.com/spreadsheets/d/1iyMhSYWifw-KGFtyeBpNxVZr4BhcV9hVZuShgJ9Ia0E/edit#gid=0"",""'Game 4'!$B$2:$Q$31""),30,False),1)"),11.0)</f>
        <v>11</v>
      </c>
      <c r="Q58" s="5">
        <f>IFERROR(__xludf.DUMMYFUNCTION("IFERROR(HLOOKUP($A58,IMPORTRANGE(""https://docs.google.com/spreadsheets/d/1sSbIK-vvHsSY0LghLJ9gcnW8Hec_ITI2tFmpeqI999A/edit#gid=0"",""'Game 2'!$B$2:$Q$31""),30,False),1)"),0.0)</f>
        <v>0</v>
      </c>
      <c r="R58" s="6">
        <f t="shared" si="2"/>
        <v>172</v>
      </c>
    </row>
    <row r="59">
      <c r="A59" s="21" t="s">
        <v>148</v>
      </c>
      <c r="B59" s="11" t="s">
        <v>149</v>
      </c>
      <c r="C59" s="21">
        <v>23.0</v>
      </c>
      <c r="D59" s="21">
        <v>0.0</v>
      </c>
      <c r="E59" s="21">
        <v>0.0</v>
      </c>
      <c r="F59" s="21">
        <v>0.0</v>
      </c>
      <c r="G59" s="1">
        <v>0.0</v>
      </c>
      <c r="H59" s="7">
        <f>IFERROR(__xludf.DUMMYFUNCTION("HLOOKUP($A59,IMPORTRANGE(""https://docs.google.com/spreadsheets/d/16J5ie7OD1E99qGO9lMDm8w5Yls-v190B7DTolJ5TmFc/edit#gid=0"",""'Game 9'!$B$2:$Q$31""),30,False)"),0.0)</f>
        <v>0</v>
      </c>
      <c r="I59" s="1">
        <v>0.0</v>
      </c>
      <c r="J59" s="7">
        <f>IFERROR(__xludf.DUMMYFUNCTION("IFERROR(HLOOKUP($A59,IMPORTRANGE(""https://docs.google.com/spreadsheets/d/1CTYfdyRk_RFGM3I2iN9bKeD9zUPzEm1ajzml6VgwfIU/edit#gid=0"",""'Game 12'!$B$2:$Q$31""),30,False),0)"),0.0)</f>
        <v>0</v>
      </c>
      <c r="K59" s="7">
        <f>IFERROR(__xludf.DUMMYFUNCTION("IFERROR(HLOOKUP($A59,IMPORTRANGE(""https://docs.google.com/spreadsheets/d/11NFkzOdQyW-OtxSDuGslNCgNjx7HUb2FU7KnlNnPMgY/edit#gid=0"",""'Game 9'!$B$2:$Q$31""),30,False),0)"),0.0)</f>
        <v>0</v>
      </c>
      <c r="L59" s="7">
        <f>IFERROR(__xludf.DUMMYFUNCTION("IFERROR(HLOOKUP($A59,IMPORTRANGE(""https://docs.google.com/spreadsheets/d/1CLg5-jaE4ta0-u4oE1qbBplQ5Mf3Oj9ONFgL0zJ7Ol4/edit#gid=0"",""'Game 12'!$B$2:$Q$31""),30,False),1)"),0.0)</f>
        <v>0</v>
      </c>
      <c r="M59" s="7">
        <f>IFERROR(__xludf.DUMMYFUNCTION("IFERROR(HLOOKUP($A59,IMPORTRANGE(""https://docs.google.com/spreadsheets/d/1CeexgK4KxWj3k_7nql_k8-RPxXMwTJyB4Q3vAASeDlA/edit#gid=0"",""'Game 12'!$B$2:$Q$31""),30,False),1)"),0.0)</f>
        <v>0</v>
      </c>
      <c r="N59" s="7">
        <f>IFERROR(__xludf.DUMMYFUNCTION("IFERROR(HLOOKUP($A59,IMPORTRANGE(""https://docs.google.com/spreadsheets/d/1MNwUNMjcwK6bEgCXwB73jpbK5gJAXS8ZMpbEMLJEP3E/edit#gid=0"",""'Game 13'!$B$2:$Q$31""),30,False),1)"),0.0)</f>
        <v>0</v>
      </c>
      <c r="O59" s="7">
        <f>IFERROR(__xludf.DUMMYFUNCTION("IFERROR(HLOOKUP($A59,IMPORTRANGE(""https://docs.google.com/spreadsheets/d/1UrzyxmT40kDZwVrLMf1yyXfP-pyczRAw9Y8Rw-uXG3c/edit#gid=0"",""'Game 5'!$B$2:$Q$31""),30,False),1)"),0.0)</f>
        <v>0</v>
      </c>
      <c r="P59" s="7">
        <f>IFERROR(__xludf.DUMMYFUNCTION("IFERROR(HLOOKUP($A59,IMPORTRANGE(""https://docs.google.com/spreadsheets/d/1iyMhSYWifw-KGFtyeBpNxVZr4BhcV9hVZuShgJ9Ia0E/edit#gid=0"",""'Game 7'!$B$2:$Q$31""),30,False),1)"),0.0)</f>
        <v>0</v>
      </c>
      <c r="Q59" s="7">
        <f>IFERROR(__xludf.DUMMYFUNCTION("IFERROR(HLOOKUP($A59,IMPORTRANGE(""https://docs.google.com/spreadsheets/d/1sSbIK-vvHsSY0LghLJ9gcnW8Hec_ITI2tFmpeqI999A/edit#gid=0"",""'Game 12'!$B$2:$Q$31""),30,False),1)"),0.0)</f>
        <v>0</v>
      </c>
      <c r="R59" s="11">
        <f t="shared" si="2"/>
        <v>23</v>
      </c>
    </row>
    <row r="60">
      <c r="A60" s="18" t="s">
        <v>152</v>
      </c>
      <c r="B60" s="18" t="s">
        <v>149</v>
      </c>
      <c r="C60" s="18">
        <v>23.0</v>
      </c>
      <c r="D60" s="18">
        <v>0.0</v>
      </c>
      <c r="E60" s="18">
        <v>23.0</v>
      </c>
      <c r="F60" s="18">
        <v>0.0</v>
      </c>
      <c r="G60" s="3">
        <v>0.0</v>
      </c>
      <c r="H60" s="5">
        <f>IFERROR(__xludf.DUMMYFUNCTION("HLOOKUP($A60,IMPORTRANGE(""https://docs.google.com/spreadsheets/d/16J5ie7OD1E99qGO9lMDm8w5Yls-v190B7DTolJ5TmFc/edit#gid=0"",""'Game 9'!$B$2:$Q$31""),30,False)"),0.0)</f>
        <v>0</v>
      </c>
      <c r="I60" s="3">
        <v>0.0</v>
      </c>
      <c r="J60" s="5">
        <f>IFERROR(__xludf.DUMMYFUNCTION("IFERROR(HLOOKUP($A60,IMPORTRANGE(""https://docs.google.com/spreadsheets/d/1CTYfdyRk_RFGM3I2iN9bKeD9zUPzEm1ajzml6VgwfIU/edit#gid=0"",""'Game 12'!$B$2:$Q$31""),30,False),0)"),0.0)</f>
        <v>0</v>
      </c>
      <c r="K60" s="5">
        <f>IFERROR(__xludf.DUMMYFUNCTION("IFERROR(HLOOKUP($A60,IMPORTRANGE(""https://docs.google.com/spreadsheets/d/11NFkzOdQyW-OtxSDuGslNCgNjx7HUb2FU7KnlNnPMgY/edit#gid=0"",""'Game 9'!$B$2:$Q$31""),30,False),0)"),0.0)</f>
        <v>0</v>
      </c>
      <c r="L60" s="5">
        <f>IFERROR(__xludf.DUMMYFUNCTION("IFERROR(HLOOKUP($A60,IMPORTRANGE(""https://docs.google.com/spreadsheets/d/1CLg5-jaE4ta0-u4oE1qbBplQ5Mf3Oj9ONFgL0zJ7Ol4/edit#gid=0"",""'Game 12'!$B$2:$Q$31""),30,False),1)"),23.0)</f>
        <v>23</v>
      </c>
      <c r="M60" s="5">
        <f>IFERROR(__xludf.DUMMYFUNCTION("IFERROR(HLOOKUP($A60,IMPORTRANGE(""https://docs.google.com/spreadsheets/d/1CeexgK4KxWj3k_7nql_k8-RPxXMwTJyB4Q3vAASeDlA/edit#gid=0"",""'Game 12'!$B$2:$Q$31""),30,False),1)"),23.0)</f>
        <v>23</v>
      </c>
      <c r="N60" s="5">
        <f>IFERROR(__xludf.DUMMYFUNCTION("IFERROR(HLOOKUP($A60,IMPORTRANGE(""https://docs.google.com/spreadsheets/d/1MNwUNMjcwK6bEgCXwB73jpbK5gJAXS8ZMpbEMLJEP3E/edit#gid=0"",""'Game 13'!$B$2:$Q$31""),30,False),1)"),23.0)</f>
        <v>23</v>
      </c>
      <c r="O60" s="5">
        <f>IFERROR(__xludf.DUMMYFUNCTION("IFERROR(HLOOKUP($A60,IMPORTRANGE(""https://docs.google.com/spreadsheets/d/1UrzyxmT40kDZwVrLMf1yyXfP-pyczRAw9Y8Rw-uXG3c/edit#gid=0"",""'Game 5'!$B$2:$Q$31""),30,False),1)"),0.0)</f>
        <v>0</v>
      </c>
      <c r="P60" s="5">
        <f>IFERROR(__xludf.DUMMYFUNCTION("IFERROR(HLOOKUP($A60,IMPORTRANGE(""https://docs.google.com/spreadsheets/d/1iyMhSYWifw-KGFtyeBpNxVZr4BhcV9hVZuShgJ9Ia0E/edit#gid=0"",""'Game 7'!$B$2:$Q$31""),30,False),1)"),23.0)</f>
        <v>23</v>
      </c>
      <c r="Q60" s="5">
        <f>IFERROR(__xludf.DUMMYFUNCTION("IFERROR(HLOOKUP($A60,IMPORTRANGE(""https://docs.google.com/spreadsheets/d/1sSbIK-vvHsSY0LghLJ9gcnW8Hec_ITI2tFmpeqI999A/edit#gid=0"",""'Game 12'!$B$2:$Q$31""),30,False),1)"),0.0)</f>
        <v>0</v>
      </c>
      <c r="R60" s="6">
        <f t="shared" si="2"/>
        <v>138</v>
      </c>
    </row>
    <row r="61">
      <c r="A61" s="21" t="s">
        <v>154</v>
      </c>
      <c r="B61" s="11" t="s">
        <v>149</v>
      </c>
      <c r="C61" s="21">
        <v>0.0</v>
      </c>
      <c r="D61" s="21">
        <v>23.0</v>
      </c>
      <c r="E61" s="21">
        <v>23.0</v>
      </c>
      <c r="F61" s="21">
        <v>23.0</v>
      </c>
      <c r="G61" s="1">
        <v>23.0</v>
      </c>
      <c r="H61" s="7">
        <f>IFERROR(__xludf.DUMMYFUNCTION("HLOOKUP($A61,IMPORTRANGE(""https://docs.google.com/spreadsheets/d/16J5ie7OD1E99qGO9lMDm8w5Yls-v190B7DTolJ5TmFc/edit#gid=0"",""'Game 9'!$B$2:$Q$31""),30,False)"),23.0)</f>
        <v>23</v>
      </c>
      <c r="I61" s="1">
        <v>23.0</v>
      </c>
      <c r="J61" s="7">
        <f>IFERROR(__xludf.DUMMYFUNCTION("IFERROR(HLOOKUP($A61,IMPORTRANGE(""https://docs.google.com/spreadsheets/d/1CTYfdyRk_RFGM3I2iN9bKeD9zUPzEm1ajzml6VgwfIU/edit#gid=0"",""'Game 12'!$B$2:$Q$31""),30,False),0)"),23.0)</f>
        <v>23</v>
      </c>
      <c r="K61" s="7">
        <f>IFERROR(__xludf.DUMMYFUNCTION("IFERROR(HLOOKUP($A61,IMPORTRANGE(""https://docs.google.com/spreadsheets/d/11NFkzOdQyW-OtxSDuGslNCgNjx7HUb2FU7KnlNnPMgY/edit#gid=0"",""'Game 9'!$B$2:$Q$31""),30,False),0)"),23.0)</f>
        <v>23</v>
      </c>
      <c r="L61" s="7">
        <f>IFERROR(__xludf.DUMMYFUNCTION("IFERROR(HLOOKUP($A61,IMPORTRANGE(""https://docs.google.com/spreadsheets/d/1CLg5-jaE4ta0-u4oE1qbBplQ5Mf3Oj9ONFgL0zJ7Ol4/edit#gid=0"",""'Game 12'!$B$2:$Q$31""),30,False),1)"),23.0)</f>
        <v>23</v>
      </c>
      <c r="M61" s="7">
        <f>IFERROR(__xludf.DUMMYFUNCTION("IFERROR(HLOOKUP($A61,IMPORTRANGE(""https://docs.google.com/spreadsheets/d/1CeexgK4KxWj3k_7nql_k8-RPxXMwTJyB4Q3vAASeDlA/edit#gid=0"",""'Game 12'!$B$2:$Q$31""),30,False),1)"),23.0)</f>
        <v>23</v>
      </c>
      <c r="N61" s="7">
        <f>IFERROR(__xludf.DUMMYFUNCTION("IFERROR(HLOOKUP($A61,IMPORTRANGE(""https://docs.google.com/spreadsheets/d/1MNwUNMjcwK6bEgCXwB73jpbK5gJAXS8ZMpbEMLJEP3E/edit#gid=0"",""'Game 13'!$B$2:$Q$31""),30,False),1)"),23.0)</f>
        <v>23</v>
      </c>
      <c r="O61" s="7">
        <f>IFERROR(__xludf.DUMMYFUNCTION("IFERROR(HLOOKUP($A61,IMPORTRANGE(""https://docs.google.com/spreadsheets/d/1UrzyxmT40kDZwVrLMf1yyXfP-pyczRAw9Y8Rw-uXG3c/edit#gid=0"",""'Game 5'!$B$2:$Q$31""),30,False),1)"),23.0)</f>
        <v>23</v>
      </c>
      <c r="P61" s="7">
        <f>IFERROR(__xludf.DUMMYFUNCTION("IFERROR(HLOOKUP($A61,IMPORTRANGE(""https://docs.google.com/spreadsheets/d/1iyMhSYWifw-KGFtyeBpNxVZr4BhcV9hVZuShgJ9Ia0E/edit#gid=0"",""'Game 7'!$B$2:$Q$31""),30,False),1)"),23.0)</f>
        <v>23</v>
      </c>
      <c r="Q61" s="7">
        <f>IFERROR(__xludf.DUMMYFUNCTION("IFERROR(HLOOKUP($A61,IMPORTRANGE(""https://docs.google.com/spreadsheets/d/1sSbIK-vvHsSY0LghLJ9gcnW8Hec_ITI2tFmpeqI999A/edit#gid=0"",""'Game 12'!$B$2:$Q$31""),30,False),1)"),23.0)</f>
        <v>23</v>
      </c>
      <c r="R61" s="11">
        <f t="shared" si="2"/>
        <v>322</v>
      </c>
    </row>
    <row r="62">
      <c r="A62" s="18" t="s">
        <v>156</v>
      </c>
      <c r="B62" s="6" t="s">
        <v>149</v>
      </c>
      <c r="C62" s="18">
        <v>0.0</v>
      </c>
      <c r="D62" s="18">
        <v>23.0</v>
      </c>
      <c r="E62" s="18">
        <v>0.0</v>
      </c>
      <c r="F62" s="18">
        <v>23.0</v>
      </c>
      <c r="G62" s="3">
        <v>11.0</v>
      </c>
      <c r="H62" s="5">
        <f>IFERROR(__xludf.DUMMYFUNCTION("HLOOKUP($A62,IMPORTRANGE(""https://docs.google.com/spreadsheets/d/16J5ie7OD1E99qGO9lMDm8w5Yls-v190B7DTolJ5TmFc/edit#gid=0"",""'Game 9'!$B$2:$Q$31""),30,False)"),23.0)</f>
        <v>23</v>
      </c>
      <c r="I62" s="3">
        <v>23.0</v>
      </c>
      <c r="J62" s="5">
        <f>IFERROR(__xludf.DUMMYFUNCTION("IFERROR(HLOOKUP($A62,IMPORTRANGE(""https://docs.google.com/spreadsheets/d/1CTYfdyRk_RFGM3I2iN9bKeD9zUPzEm1ajzml6VgwfIU/edit#gid=0"",""'Game 12'!$B$2:$Q$31""),30,False),0)"),0.0)</f>
        <v>0</v>
      </c>
      <c r="K62" s="5">
        <f>IFERROR(__xludf.DUMMYFUNCTION("IFERROR(HLOOKUP($A62,IMPORTRANGE(""https://docs.google.com/spreadsheets/d/11NFkzOdQyW-OtxSDuGslNCgNjx7HUb2FU7KnlNnPMgY/edit#gid=0"",""'Game 9'!$B$2:$Q$31""),30,False),0)"),23.0)</f>
        <v>23</v>
      </c>
      <c r="L62" s="5">
        <f>IFERROR(__xludf.DUMMYFUNCTION("IFERROR(HLOOKUP($A62,IMPORTRANGE(""https://docs.google.com/spreadsheets/d/1CLg5-jaE4ta0-u4oE1qbBplQ5Mf3Oj9ONFgL0zJ7Ol4/edit#gid=0"",""'Game 12'!$B$2:$Q$31""),30,False),1)"),0.0)</f>
        <v>0</v>
      </c>
      <c r="M62" s="5">
        <f>IFERROR(__xludf.DUMMYFUNCTION("IFERROR(HLOOKUP($A62,IMPORTRANGE(""https://docs.google.com/spreadsheets/d/1CeexgK4KxWj3k_7nql_k8-RPxXMwTJyB4Q3vAASeDlA/edit#gid=0"",""'Game 12'!$B$2:$Q$31""),30,False),1)"),0.0)</f>
        <v>0</v>
      </c>
      <c r="N62" s="5">
        <f>IFERROR(__xludf.DUMMYFUNCTION("IFERROR(HLOOKUP($A62,IMPORTRANGE(""https://docs.google.com/spreadsheets/d/1MNwUNMjcwK6bEgCXwB73jpbK5gJAXS8ZMpbEMLJEP3E/edit#gid=0"",""'Game 13'!$B$2:$Q$31""),30,False),1)"),0.0)</f>
        <v>0</v>
      </c>
      <c r="O62" s="5">
        <f>IFERROR(__xludf.DUMMYFUNCTION("IFERROR(HLOOKUP($A62,IMPORTRANGE(""https://docs.google.com/spreadsheets/d/1UrzyxmT40kDZwVrLMf1yyXfP-pyczRAw9Y8Rw-uXG3c/edit#gid=0"",""'Game 5'!$B$2:$Q$31""),30,False),1)"),23.0)</f>
        <v>23</v>
      </c>
      <c r="P62" s="5">
        <f>IFERROR(__xludf.DUMMYFUNCTION("IFERROR(HLOOKUP($A62,IMPORTRANGE(""https://docs.google.com/spreadsheets/d/1iyMhSYWifw-KGFtyeBpNxVZr4BhcV9hVZuShgJ9Ia0E/edit#gid=0"",""'Game 7'!$B$2:$Q$31""),30,False),1)"),0.0)</f>
        <v>0</v>
      </c>
      <c r="Q62" s="5">
        <f>IFERROR(__xludf.DUMMYFUNCTION("IFERROR(HLOOKUP($A62,IMPORTRANGE(""https://docs.google.com/spreadsheets/d/1sSbIK-vvHsSY0LghLJ9gcnW8Hec_ITI2tFmpeqI999A/edit#gid=0"",""'Game 12'!$B$2:$Q$31""),30,False),1)"),23.0)</f>
        <v>23</v>
      </c>
      <c r="R62" s="6">
        <f t="shared" si="2"/>
        <v>172</v>
      </c>
    </row>
    <row r="63">
      <c r="A63" s="21" t="s">
        <v>157</v>
      </c>
      <c r="B63" s="11" t="s">
        <v>149</v>
      </c>
      <c r="C63" s="21">
        <v>23.0</v>
      </c>
      <c r="D63" s="21">
        <v>23.0</v>
      </c>
      <c r="E63" s="21">
        <v>23.0</v>
      </c>
      <c r="F63" s="21">
        <v>23.0</v>
      </c>
      <c r="G63" s="1">
        <v>23.0</v>
      </c>
      <c r="H63" s="7">
        <f>IFERROR(__xludf.DUMMYFUNCTION("HLOOKUP($A63,IMPORTRANGE(""https://docs.google.com/spreadsheets/d/16J5ie7OD1E99qGO9lMDm8w5Yls-v190B7DTolJ5TmFc/edit#gid=0"",""'Game 9'!$B$2:$Q$31""),30,False)"),23.0)</f>
        <v>23</v>
      </c>
      <c r="I63" s="1">
        <v>23.0</v>
      </c>
      <c r="J63" s="7">
        <f>IFERROR(__xludf.DUMMYFUNCTION("IFERROR(HLOOKUP($A63,IMPORTRANGE(""https://docs.google.com/spreadsheets/d/1CTYfdyRk_RFGM3I2iN9bKeD9zUPzEm1ajzml6VgwfIU/edit#gid=0"",""'Game 12'!$B$2:$Q$31""),30,False),0)"),23.0)</f>
        <v>23</v>
      </c>
      <c r="K63" s="7">
        <f>IFERROR(__xludf.DUMMYFUNCTION("IFERROR(HLOOKUP($A63,IMPORTRANGE(""https://docs.google.com/spreadsheets/d/11NFkzOdQyW-OtxSDuGslNCgNjx7HUb2FU7KnlNnPMgY/edit#gid=0"",""'Game 9'!$B$2:$Q$31""),30,False),0)"),23.0)</f>
        <v>23</v>
      </c>
      <c r="L63" s="7">
        <f>IFERROR(__xludf.DUMMYFUNCTION("IFERROR(HLOOKUP($A63,IMPORTRANGE(""https://docs.google.com/spreadsheets/d/1CLg5-jaE4ta0-u4oE1qbBplQ5Mf3Oj9ONFgL0zJ7Ol4/edit#gid=0"",""'Game 12'!$B$2:$Q$31""),30,False),1)"),23.0)</f>
        <v>23</v>
      </c>
      <c r="M63" s="7">
        <f>IFERROR(__xludf.DUMMYFUNCTION("IFERROR(HLOOKUP($A63,IMPORTRANGE(""https://docs.google.com/spreadsheets/d/1CeexgK4KxWj3k_7nql_k8-RPxXMwTJyB4Q3vAASeDlA/edit#gid=0"",""'Game 12'!$B$2:$Q$31""),30,False),1)"),23.0)</f>
        <v>23</v>
      </c>
      <c r="N63" s="7">
        <f>IFERROR(__xludf.DUMMYFUNCTION("IFERROR(HLOOKUP($A63,IMPORTRANGE(""https://docs.google.com/spreadsheets/d/1MNwUNMjcwK6bEgCXwB73jpbK5gJAXS8ZMpbEMLJEP3E/edit#gid=0"",""'Game 13'!$B$2:$Q$31""),30,False),1)"),23.0)</f>
        <v>23</v>
      </c>
      <c r="O63" s="7">
        <f>IFERROR(__xludf.DUMMYFUNCTION("IFERROR(HLOOKUP($A63,IMPORTRANGE(""https://docs.google.com/spreadsheets/d/1UrzyxmT40kDZwVrLMf1yyXfP-pyczRAw9Y8Rw-uXG3c/edit#gid=0"",""'Game 5'!$B$2:$Q$31""),30,False),1)"),23.0)</f>
        <v>23</v>
      </c>
      <c r="P63" s="7">
        <f>IFERROR(__xludf.DUMMYFUNCTION("IFERROR(HLOOKUP($A63,IMPORTRANGE(""https://docs.google.com/spreadsheets/d/1iyMhSYWifw-KGFtyeBpNxVZr4BhcV9hVZuShgJ9Ia0E/edit#gid=0"",""'Game 7'!$B$2:$Q$31""),30,False),1)"),23.0)</f>
        <v>23</v>
      </c>
      <c r="Q63" s="7">
        <f>IFERROR(__xludf.DUMMYFUNCTION("IFERROR(HLOOKUP($A63,IMPORTRANGE(""https://docs.google.com/spreadsheets/d/1sSbIK-vvHsSY0LghLJ9gcnW8Hec_ITI2tFmpeqI999A/edit#gid=0"",""'Game 12'!$B$2:$Q$31""),30,False),1)"),23.0)</f>
        <v>23</v>
      </c>
      <c r="R63" s="11">
        <f t="shared" si="2"/>
        <v>345</v>
      </c>
    </row>
    <row r="64">
      <c r="A64" s="18" t="s">
        <v>159</v>
      </c>
      <c r="B64" s="6" t="s">
        <v>149</v>
      </c>
      <c r="C64" s="18">
        <v>23.0</v>
      </c>
      <c r="D64" s="18">
        <v>23.0</v>
      </c>
      <c r="E64" s="18">
        <v>23.0</v>
      </c>
      <c r="F64" s="18">
        <v>23.0</v>
      </c>
      <c r="G64" s="3">
        <v>23.0</v>
      </c>
      <c r="H64" s="5">
        <f>IFERROR(__xludf.DUMMYFUNCTION("HLOOKUP($A64,IMPORTRANGE(""https://docs.google.com/spreadsheets/d/16J5ie7OD1E99qGO9lMDm8w5Yls-v190B7DTolJ5TmFc/edit#gid=0"",""'Game 9'!$B$2:$Q$31""),30,False)"),23.0)</f>
        <v>23</v>
      </c>
      <c r="I64" s="3">
        <v>23.0</v>
      </c>
      <c r="J64" s="5">
        <f>IFERROR(__xludf.DUMMYFUNCTION("IFERROR(HLOOKUP($A64,IMPORTRANGE(""https://docs.google.com/spreadsheets/d/1CTYfdyRk_RFGM3I2iN9bKeD9zUPzEm1ajzml6VgwfIU/edit#gid=0"",""'Game 12'!$B$2:$Q$31""),30,False),0)"),23.0)</f>
        <v>23</v>
      </c>
      <c r="K64" s="5">
        <f>IFERROR(__xludf.DUMMYFUNCTION("IFERROR(HLOOKUP($A64,IMPORTRANGE(""https://docs.google.com/spreadsheets/d/11NFkzOdQyW-OtxSDuGslNCgNjx7HUb2FU7KnlNnPMgY/edit#gid=0"",""'Game 9'!$B$2:$Q$31""),30,False),0)"),23.0)</f>
        <v>23</v>
      </c>
      <c r="L64" s="5">
        <f>IFERROR(__xludf.DUMMYFUNCTION("IFERROR(HLOOKUP($A64,IMPORTRANGE(""https://docs.google.com/spreadsheets/d/1CLg5-jaE4ta0-u4oE1qbBplQ5Mf3Oj9ONFgL0zJ7Ol4/edit#gid=0"",""'Game 12'!$B$2:$Q$31""),30,False),1)"),23.0)</f>
        <v>23</v>
      </c>
      <c r="M64" s="5">
        <f>IFERROR(__xludf.DUMMYFUNCTION("IFERROR(HLOOKUP($A64,IMPORTRANGE(""https://docs.google.com/spreadsheets/d/1CeexgK4KxWj3k_7nql_k8-RPxXMwTJyB4Q3vAASeDlA/edit#gid=0"",""'Game 12'!$B$2:$Q$31""),30,False),1)"),23.0)</f>
        <v>23</v>
      </c>
      <c r="N64" s="5">
        <f>IFERROR(__xludf.DUMMYFUNCTION("IFERROR(HLOOKUP($A64,IMPORTRANGE(""https://docs.google.com/spreadsheets/d/1MNwUNMjcwK6bEgCXwB73jpbK5gJAXS8ZMpbEMLJEP3E/edit#gid=0"",""'Game 13'!$B$2:$Q$31""),30,False),1)"),23.0)</f>
        <v>23</v>
      </c>
      <c r="O64" s="5">
        <f>IFERROR(__xludf.DUMMYFUNCTION("IFERROR(HLOOKUP($A64,IMPORTRANGE(""https://docs.google.com/spreadsheets/d/1UrzyxmT40kDZwVrLMf1yyXfP-pyczRAw9Y8Rw-uXG3c/edit#gid=0"",""'Game 5'!$B$2:$Q$31""),30,False),1)"),23.0)</f>
        <v>23</v>
      </c>
      <c r="P64" s="5">
        <f>IFERROR(__xludf.DUMMYFUNCTION("IFERROR(HLOOKUP($A64,IMPORTRANGE(""https://docs.google.com/spreadsheets/d/1iyMhSYWifw-KGFtyeBpNxVZr4BhcV9hVZuShgJ9Ia0E/edit#gid=0"",""'Game 7'!$B$2:$Q$31""),30,False),1)"),23.0)</f>
        <v>23</v>
      </c>
      <c r="Q64" s="5">
        <f>IFERROR(__xludf.DUMMYFUNCTION("IFERROR(HLOOKUP($A64,IMPORTRANGE(""https://docs.google.com/spreadsheets/d/1sSbIK-vvHsSY0LghLJ9gcnW8Hec_ITI2tFmpeqI999A/edit#gid=0"",""'Game 12'!$B$2:$Q$31""),30,False),1)"),0.0)</f>
        <v>0</v>
      </c>
      <c r="R64" s="6">
        <f t="shared" si="2"/>
        <v>322</v>
      </c>
    </row>
    <row r="65">
      <c r="A65" s="21" t="s">
        <v>161</v>
      </c>
      <c r="B65" s="11" t="s">
        <v>162</v>
      </c>
      <c r="C65" s="21">
        <v>23.0</v>
      </c>
      <c r="D65" s="21">
        <v>23.0</v>
      </c>
      <c r="E65" s="21">
        <v>0.0</v>
      </c>
      <c r="F65" s="21">
        <v>23.0</v>
      </c>
      <c r="G65" s="1">
        <v>23.0</v>
      </c>
      <c r="H65" s="7">
        <f>IFERROR(__xludf.DUMMYFUNCTION("HLOOKUP($A65,IMPORTRANGE(""https://docs.google.com/spreadsheets/d/16J5ie7OD1E99qGO9lMDm8w5Yls-v190B7DTolJ5TmFc/edit#gid=0"",""'Game 9'!$B$2:$Q$31""),30,False)"),23.0)</f>
        <v>23</v>
      </c>
      <c r="I65" s="1">
        <v>23.0</v>
      </c>
      <c r="J65" s="7">
        <f>IFERROR(__xludf.DUMMYFUNCTION("IFERROR(HLOOKUP($A65,IMPORTRANGE(""https://docs.google.com/spreadsheets/d/1CTYfdyRk_RFGM3I2iN9bKeD9zUPzEm1ajzml6VgwfIU/edit#gid=0"",""'Game 6'!$B$2:$Q$31""),30,False),0)"),23.0)</f>
        <v>23</v>
      </c>
      <c r="K65" s="7">
        <f>IFERROR(__xludf.DUMMYFUNCTION("IFERROR(HLOOKUP($A65,IMPORTRANGE(""https://docs.google.com/spreadsheets/d/11NFkzOdQyW-OtxSDuGslNCgNjx7HUb2FU7KnlNnPMgY/edit#gid=0"",""'Game 1'!$B$2:$Q$31""),30,False),0)"),23.0)</f>
        <v>23</v>
      </c>
      <c r="L65" s="7">
        <f>IFERROR(__xludf.DUMMYFUNCTION("IFERROR(HLOOKUP($A65,IMPORTRANGE(""https://docs.google.com/spreadsheets/d/1CLg5-jaE4ta0-u4oE1qbBplQ5Mf3Oj9ONFgL0zJ7Ol4/edit#gid=0"",""'Game 8'!$B$2:$Q$31""),30,False),1)"),23.0)</f>
        <v>23</v>
      </c>
      <c r="M65" s="7">
        <f>IFERROR(__xludf.DUMMYFUNCTION("IFERROR(HLOOKUP($A65,IMPORTRANGE(""https://docs.google.com/spreadsheets/d/1CeexgK4KxWj3k_7nql_k8-RPxXMwTJyB4Q3vAASeDlA/edit#gid=0"",""'Game 3'!$B$2:$Q$31""),30,False),1)"),23.0)</f>
        <v>23</v>
      </c>
      <c r="N65" s="7">
        <f>IFERROR(__xludf.DUMMYFUNCTION("IFERROR(HLOOKUP($A65,IMPORTRANGE(""https://docs.google.com/spreadsheets/d/1MNwUNMjcwK6bEgCXwB73jpbK5gJAXS8ZMpbEMLJEP3E/edit#gid=0"",""'Game 2'!$B$2:$Q$31""),30,False),1)"),23.0)</f>
        <v>23</v>
      </c>
      <c r="O65" s="7">
        <f>IFERROR(__xludf.DUMMYFUNCTION("IFERROR(HLOOKUP($A65,IMPORTRANGE(""https://docs.google.com/spreadsheets/d/1UrzyxmT40kDZwVrLMf1yyXfP-pyczRAw9Y8Rw-uXG3c/edit#gid=0"",""'Game 7'!$B$2:$Q$31""),30,False),1)"),23.0)</f>
        <v>23</v>
      </c>
      <c r="P65" s="7">
        <f>IFERROR(__xludf.DUMMYFUNCTION("IFERROR(HLOOKUP($A65,IMPORTRANGE(""https://docs.google.com/spreadsheets/d/1iyMhSYWifw-KGFtyeBpNxVZr4BhcV9hVZuShgJ9Ia0E/edit#gid=0"",""'Game 8'!$B$2:$Q$31""),30,False),1)"),23.0)</f>
        <v>23</v>
      </c>
      <c r="Q65" s="7">
        <f>IFERROR(__xludf.DUMMYFUNCTION("IFERROR(HLOOKUP($A65,IMPORTRANGE(""https://docs.google.com/spreadsheets/d/1sSbIK-vvHsSY0LghLJ9gcnW8Hec_ITI2tFmpeqI999A/edit#gid=0"",""'Game 6'!$B$2:$Q$31""),30,False),1)"),23.0)</f>
        <v>23</v>
      </c>
      <c r="R65" s="11">
        <f t="shared" si="2"/>
        <v>322</v>
      </c>
    </row>
    <row r="66">
      <c r="A66" s="18" t="s">
        <v>164</v>
      </c>
      <c r="B66" s="6" t="s">
        <v>162</v>
      </c>
      <c r="C66" s="18">
        <v>23.0</v>
      </c>
      <c r="D66" s="18">
        <v>0.0</v>
      </c>
      <c r="E66" s="18">
        <v>23.0</v>
      </c>
      <c r="F66" s="18">
        <v>23.0</v>
      </c>
      <c r="G66" s="3">
        <v>23.0</v>
      </c>
      <c r="H66" s="5">
        <f>IFERROR(__xludf.DUMMYFUNCTION("HLOOKUP($A66,IMPORTRANGE(""https://docs.google.com/spreadsheets/d/16J5ie7OD1E99qGO9lMDm8w5Yls-v190B7DTolJ5TmFc/edit#gid=0"",""'Game 9'!$B$2:$Q$31""),30,False)"),0.0)</f>
        <v>0</v>
      </c>
      <c r="I66" s="3">
        <v>23.0</v>
      </c>
      <c r="J66" s="5">
        <f>IFERROR(__xludf.DUMMYFUNCTION("IFERROR(HLOOKUP($A66,IMPORTRANGE(""https://docs.google.com/spreadsheets/d/1CTYfdyRk_RFGM3I2iN9bKeD9zUPzEm1ajzml6VgwfIU/edit#gid=0"",""'Game 6'!$B$2:$Q$31""),30,False),0)"),23.0)</f>
        <v>23</v>
      </c>
      <c r="K66" s="5">
        <f>IFERROR(__xludf.DUMMYFUNCTION("IFERROR(HLOOKUP($A66,IMPORTRANGE(""https://docs.google.com/spreadsheets/d/11NFkzOdQyW-OtxSDuGslNCgNjx7HUb2FU7KnlNnPMgY/edit#gid=0"",""'Game 1'!$B$2:$Q$31""),30,False),0)"),0.0)</f>
        <v>0</v>
      </c>
      <c r="L66" s="5">
        <f>IFERROR(__xludf.DUMMYFUNCTION("IFERROR(HLOOKUP($A66,IMPORTRANGE(""https://docs.google.com/spreadsheets/d/1CLg5-jaE4ta0-u4oE1qbBplQ5Mf3Oj9ONFgL0zJ7Ol4/edit#gid=0"",""'Game 8'!$B$2:$Q$31""),30,False),1)"),23.0)</f>
        <v>23</v>
      </c>
      <c r="M66" s="5">
        <f>IFERROR(__xludf.DUMMYFUNCTION("IFERROR(HLOOKUP($A66,IMPORTRANGE(""https://docs.google.com/spreadsheets/d/1CeexgK4KxWj3k_7nql_k8-RPxXMwTJyB4Q3vAASeDlA/edit#gid=0"",""'Game 3'!$B$2:$Q$31""),30,False),1)"),0.0)</f>
        <v>0</v>
      </c>
      <c r="N66" s="5">
        <f>IFERROR(__xludf.DUMMYFUNCTION("IFERROR(HLOOKUP($A66,IMPORTRANGE(""https://docs.google.com/spreadsheets/d/1MNwUNMjcwK6bEgCXwB73jpbK5gJAXS8ZMpbEMLJEP3E/edit#gid=0"",""'Game 2'!$B$2:$Q$31""),30,False),1)"),23.0)</f>
        <v>23</v>
      </c>
      <c r="O66" s="5">
        <f>IFERROR(__xludf.DUMMYFUNCTION("IFERROR(HLOOKUP($A66,IMPORTRANGE(""https://docs.google.com/spreadsheets/d/1UrzyxmT40kDZwVrLMf1yyXfP-pyczRAw9Y8Rw-uXG3c/edit#gid=0"",""'Game 7'!$B$2:$Q$31""),30,False),1)"),0.0)</f>
        <v>0</v>
      </c>
      <c r="P66" s="5">
        <f>IFERROR(__xludf.DUMMYFUNCTION("IFERROR(HLOOKUP($A66,IMPORTRANGE(""https://docs.google.com/spreadsheets/d/1iyMhSYWifw-KGFtyeBpNxVZr4BhcV9hVZuShgJ9Ia0E/edit#gid=0"",""'Game 8'!$B$2:$Q$31""),30,False),1)"),12.0)</f>
        <v>12</v>
      </c>
      <c r="Q66" s="5">
        <f>IFERROR(__xludf.DUMMYFUNCTION("IFERROR(HLOOKUP($A66,IMPORTRANGE(""https://docs.google.com/spreadsheets/d/1sSbIK-vvHsSY0LghLJ9gcnW8Hec_ITI2tFmpeqI999A/edit#gid=0"",""'Game 6'!$B$2:$Q$31""),30,False),1)"),0.0)</f>
        <v>0</v>
      </c>
      <c r="R66" s="6">
        <f t="shared" si="2"/>
        <v>196</v>
      </c>
    </row>
    <row r="67">
      <c r="A67" s="1" t="s">
        <v>167</v>
      </c>
      <c r="B67" s="11" t="s">
        <v>162</v>
      </c>
      <c r="C67" s="21">
        <v>23.0</v>
      </c>
      <c r="D67" s="21">
        <v>23.0</v>
      </c>
      <c r="E67" s="21">
        <v>23.0</v>
      </c>
      <c r="F67" s="21">
        <v>0.0</v>
      </c>
      <c r="G67" s="1">
        <v>23.0</v>
      </c>
      <c r="H67" s="7">
        <f>IFERROR(__xludf.DUMMYFUNCTION("HLOOKUP($A67,IMPORTRANGE(""https://docs.google.com/spreadsheets/d/16J5ie7OD1E99qGO9lMDm8w5Yls-v190B7DTolJ5TmFc/edit#gid=0"",""'Game 9'!$B$2:$Q$31""),30,False)"),23.0)</f>
        <v>23</v>
      </c>
      <c r="I67" s="1">
        <v>23.0</v>
      </c>
      <c r="J67" s="7">
        <f>IFERROR(__xludf.DUMMYFUNCTION("IFERROR(HLOOKUP($A67,IMPORTRANGE(""https://docs.google.com/spreadsheets/d/1CTYfdyRk_RFGM3I2iN9bKeD9zUPzEm1ajzml6VgwfIU/edit#gid=0"",""'Game 6'!$B$2:$Q$31""),30,False),0)"),0.0)</f>
        <v>0</v>
      </c>
      <c r="K67" s="7">
        <f>IFERROR(__xludf.DUMMYFUNCTION("IFERROR(HLOOKUP($A67,IMPORTRANGE(""https://docs.google.com/spreadsheets/d/11NFkzOdQyW-OtxSDuGslNCgNjx7HUb2FU7KnlNnPMgY/edit#gid=0"",""'Game 1'!$B$2:$Q$31""),30,False),0)"),23.0)</f>
        <v>23</v>
      </c>
      <c r="L67" s="7">
        <f>IFERROR(__xludf.DUMMYFUNCTION("IFERROR(HLOOKUP($A67,IMPORTRANGE(""https://docs.google.com/spreadsheets/d/1CLg5-jaE4ta0-u4oE1qbBplQ5Mf3Oj9ONFgL0zJ7Ol4/edit#gid=0"",""'Game 8'!$B$2:$Q$31""),30,False),1)"),23.0)</f>
        <v>23</v>
      </c>
      <c r="M67" s="7">
        <f>IFERROR(__xludf.DUMMYFUNCTION("IFERROR(HLOOKUP($A67,IMPORTRANGE(""https://docs.google.com/spreadsheets/d/1CeexgK4KxWj3k_7nql_k8-RPxXMwTJyB4Q3vAASeDlA/edit#gid=0"",""'Game 3'!$B$2:$Q$31""),30,False),1)"),23.0)</f>
        <v>23</v>
      </c>
      <c r="N67" s="7">
        <f>IFERROR(__xludf.DUMMYFUNCTION("IFERROR(HLOOKUP($A67,IMPORTRANGE(""https://docs.google.com/spreadsheets/d/1MNwUNMjcwK6bEgCXwB73jpbK5gJAXS8ZMpbEMLJEP3E/edit#gid=0"",""'Game 2'!$B$2:$Q$31""),30,False),1)"),23.0)</f>
        <v>23</v>
      </c>
      <c r="O67" s="7">
        <f>IFERROR(__xludf.DUMMYFUNCTION("IFERROR(HLOOKUP($A67,IMPORTRANGE(""https://docs.google.com/spreadsheets/d/1UrzyxmT40kDZwVrLMf1yyXfP-pyczRAw9Y8Rw-uXG3c/edit#gid=0"",""'Game 7'!$B$2:$Q$31""),30,False),1)"),23.0)</f>
        <v>23</v>
      </c>
      <c r="P67" s="7">
        <f>IFERROR(__xludf.DUMMYFUNCTION("IFERROR(HLOOKUP($A67,IMPORTRANGE(""https://docs.google.com/spreadsheets/d/1iyMhSYWifw-KGFtyeBpNxVZr4BhcV9hVZuShgJ9Ia0E/edit#gid=0"",""'Game 8'!$B$2:$Q$31""),30,False),1)"),23.0)</f>
        <v>23</v>
      </c>
      <c r="Q67" s="7">
        <f>IFERROR(__xludf.DUMMYFUNCTION("IFERROR(HLOOKUP($A67,IMPORTRANGE(""https://docs.google.com/spreadsheets/d/1sSbIK-vvHsSY0LghLJ9gcnW8Hec_ITI2tFmpeqI999A/edit#gid=0"",""'Game 6'!$B$2:$Q$31""),30,False),1)"),23.0)</f>
        <v>23</v>
      </c>
      <c r="R67" s="11">
        <f t="shared" si="2"/>
        <v>299</v>
      </c>
    </row>
    <row r="68">
      <c r="A68" s="18" t="s">
        <v>169</v>
      </c>
      <c r="B68" s="18" t="s">
        <v>162</v>
      </c>
      <c r="C68" s="3">
        <v>11.0</v>
      </c>
      <c r="D68" s="18">
        <v>23.0</v>
      </c>
      <c r="E68" s="18">
        <v>23.0</v>
      </c>
      <c r="F68" s="18">
        <v>23.0</v>
      </c>
      <c r="G68" s="3">
        <v>23.0</v>
      </c>
      <c r="H68" s="5">
        <f>IFERROR(__xludf.DUMMYFUNCTION("HLOOKUP($A68,IMPORTRANGE(""https://docs.google.com/spreadsheets/d/16J5ie7OD1E99qGO9lMDm8w5Yls-v190B7DTolJ5TmFc/edit#gid=0"",""'Game 9'!$B$2:$Q$31""),30,False)"),23.0)</f>
        <v>23</v>
      </c>
      <c r="I68" s="3">
        <v>0.0</v>
      </c>
      <c r="J68" s="5">
        <f>IFERROR(__xludf.DUMMYFUNCTION("IFERROR(HLOOKUP($A68,IMPORTRANGE(""https://docs.google.com/spreadsheets/d/1CTYfdyRk_RFGM3I2iN9bKeD9zUPzEm1ajzml6VgwfIU/edit#gid=0"",""'Game 6'!$B$2:$Q$31""),30,False),0)"),23.0)</f>
        <v>23</v>
      </c>
      <c r="K68" s="5">
        <f>IFERROR(__xludf.DUMMYFUNCTION("IFERROR(HLOOKUP($A68,IMPORTRANGE(""https://docs.google.com/spreadsheets/d/11NFkzOdQyW-OtxSDuGslNCgNjx7HUb2FU7KnlNnPMgY/edit#gid=0"",""'Game 1'!$B$2:$Q$31""),30,False),0)"),23.0)</f>
        <v>23</v>
      </c>
      <c r="L68" s="5">
        <f>IFERROR(__xludf.DUMMYFUNCTION("IFERROR(HLOOKUP($A68,IMPORTRANGE(""https://docs.google.com/spreadsheets/d/1CLg5-jaE4ta0-u4oE1qbBplQ5Mf3Oj9ONFgL0zJ7Ol4/edit#gid=0"",""'Game 8'!$B$2:$Q$31""),30,False),1)"),23.0)</f>
        <v>23</v>
      </c>
      <c r="M68" s="5">
        <f>IFERROR(__xludf.DUMMYFUNCTION("IFERROR(HLOOKUP($A68,IMPORTRANGE(""https://docs.google.com/spreadsheets/d/1CeexgK4KxWj3k_7nql_k8-RPxXMwTJyB4Q3vAASeDlA/edit#gid=0"",""'Game 3'!$B$2:$Q$31""),30,False),1)"),23.0)</f>
        <v>23</v>
      </c>
      <c r="N68" s="5">
        <f>IFERROR(__xludf.DUMMYFUNCTION("IFERROR(HLOOKUP($A68,IMPORTRANGE(""https://docs.google.com/spreadsheets/d/1MNwUNMjcwK6bEgCXwB73jpbK5gJAXS8ZMpbEMLJEP3E/edit#gid=0"",""'Game 2'!$B$2:$Q$31""),30,False),1)"),23.0)</f>
        <v>23</v>
      </c>
      <c r="O68" s="5">
        <f>IFERROR(__xludf.DUMMYFUNCTION("IFERROR(HLOOKUP($A68,IMPORTRANGE(""https://docs.google.com/spreadsheets/d/1UrzyxmT40kDZwVrLMf1yyXfP-pyczRAw9Y8Rw-uXG3c/edit#gid=0"",""'Game 7'!$B$2:$Q$31""),30,False),1)"),23.0)</f>
        <v>23</v>
      </c>
      <c r="P68" s="5">
        <f>IFERROR(__xludf.DUMMYFUNCTION("IFERROR(HLOOKUP($A68,IMPORTRANGE(""https://docs.google.com/spreadsheets/d/1iyMhSYWifw-KGFtyeBpNxVZr4BhcV9hVZuShgJ9Ia0E/edit#gid=0"",""'Game 8'!$B$2:$Q$31""),30,False),1)"),23.0)</f>
        <v>23</v>
      </c>
      <c r="Q68" s="5">
        <f>IFERROR(__xludf.DUMMYFUNCTION("IFERROR(HLOOKUP($A68,IMPORTRANGE(""https://docs.google.com/spreadsheets/d/1sSbIK-vvHsSY0LghLJ9gcnW8Hec_ITI2tFmpeqI999A/edit#gid=0"",""'Game 6'!$B$2:$Q$31""),30,False),1)"),23.0)</f>
        <v>23</v>
      </c>
      <c r="R68" s="6">
        <f t="shared" si="2"/>
        <v>310</v>
      </c>
    </row>
    <row r="69">
      <c r="A69" s="21" t="s">
        <v>171</v>
      </c>
      <c r="B69" s="21" t="s">
        <v>162</v>
      </c>
      <c r="C69" s="1">
        <v>12.0</v>
      </c>
      <c r="D69" s="21">
        <v>23.0</v>
      </c>
      <c r="E69" s="21">
        <v>23.0</v>
      </c>
      <c r="F69" s="21">
        <v>23.0</v>
      </c>
      <c r="G69" s="1">
        <v>0.0</v>
      </c>
      <c r="H69" s="7">
        <f>IFERROR(__xludf.DUMMYFUNCTION("HLOOKUP($A69,IMPORTRANGE(""https://docs.google.com/spreadsheets/d/16J5ie7OD1E99qGO9lMDm8w5Yls-v190B7DTolJ5TmFc/edit#gid=0"",""'Game 9'!$B$2:$Q$31""),30,False)"),23.0)</f>
        <v>23</v>
      </c>
      <c r="I69" s="1">
        <v>23.0</v>
      </c>
      <c r="J69" s="7">
        <f>IFERROR(__xludf.DUMMYFUNCTION("IFERROR(HLOOKUP($A69,IMPORTRANGE(""https://docs.google.com/spreadsheets/d/1CTYfdyRk_RFGM3I2iN9bKeD9zUPzEm1ajzml6VgwfIU/edit#gid=0"",""'Game 6'!$B$2:$Q$31""),30,False),0)"),23.0)</f>
        <v>23</v>
      </c>
      <c r="K69" s="7">
        <f>IFERROR(__xludf.DUMMYFUNCTION("IFERROR(HLOOKUP($A69,IMPORTRANGE(""https://docs.google.com/spreadsheets/d/11NFkzOdQyW-OtxSDuGslNCgNjx7HUb2FU7KnlNnPMgY/edit#gid=0"",""'Game 1'!$B$2:$Q$31""),30,False),0)"),23.0)</f>
        <v>23</v>
      </c>
      <c r="L69" s="7">
        <f>IFERROR(__xludf.DUMMYFUNCTION("IFERROR(HLOOKUP($A69,IMPORTRANGE(""https://docs.google.com/spreadsheets/d/1CLg5-jaE4ta0-u4oE1qbBplQ5Mf3Oj9ONFgL0zJ7Ol4/edit#gid=0"",""'Game 8'!$B$2:$Q$31""),30,False),1)"),0.0)</f>
        <v>0</v>
      </c>
      <c r="M69" s="7">
        <f>IFERROR(__xludf.DUMMYFUNCTION("IFERROR(HLOOKUP($A69,IMPORTRANGE(""https://docs.google.com/spreadsheets/d/1CeexgK4KxWj3k_7nql_k8-RPxXMwTJyB4Q3vAASeDlA/edit#gid=0"",""'Game 3'!$B$2:$Q$31""),30,False),1)"),23.0)</f>
        <v>23</v>
      </c>
      <c r="N69" s="7">
        <f>IFERROR(__xludf.DUMMYFUNCTION("IFERROR(HLOOKUP($A69,IMPORTRANGE(""https://docs.google.com/spreadsheets/d/1MNwUNMjcwK6bEgCXwB73jpbK5gJAXS8ZMpbEMLJEP3E/edit#gid=0"",""'Game 2'!$B$2:$Q$31""),30,False),1)"),0.0)</f>
        <v>0</v>
      </c>
      <c r="O69" s="7">
        <f>IFERROR(__xludf.DUMMYFUNCTION("IFERROR(HLOOKUP($A69,IMPORTRANGE(""https://docs.google.com/spreadsheets/d/1UrzyxmT40kDZwVrLMf1yyXfP-pyczRAw9Y8Rw-uXG3c/edit#gid=0"",""'Game 7'!$B$2:$Q$31""),30,False),1)"),23.0)</f>
        <v>23</v>
      </c>
      <c r="P69" s="7">
        <f>IFERROR(__xludf.DUMMYFUNCTION("IFERROR(HLOOKUP($A69,IMPORTRANGE(""https://docs.google.com/spreadsheets/d/1iyMhSYWifw-KGFtyeBpNxVZr4BhcV9hVZuShgJ9Ia0E/edit#gid=0"",""'Game 8'!$B$2:$Q$31""),30,False),1)"),11.0)</f>
        <v>11</v>
      </c>
      <c r="Q69" s="7">
        <f>IFERROR(__xludf.DUMMYFUNCTION("IFERROR(HLOOKUP($A69,IMPORTRANGE(""https://docs.google.com/spreadsheets/d/1sSbIK-vvHsSY0LghLJ9gcnW8Hec_ITI2tFmpeqI999A/edit#gid=0"",""'Game 6'!$B$2:$Q$31""),30,False),1)"),23.0)</f>
        <v>23</v>
      </c>
      <c r="R69" s="11">
        <f t="shared" si="2"/>
        <v>253</v>
      </c>
    </row>
    <row r="70">
      <c r="A70" s="18" t="s">
        <v>173</v>
      </c>
      <c r="B70" s="6" t="s">
        <v>174</v>
      </c>
      <c r="C70" s="18">
        <v>23.0</v>
      </c>
      <c r="D70" s="18">
        <v>23.0</v>
      </c>
      <c r="E70" s="18">
        <v>23.0</v>
      </c>
      <c r="F70" s="18">
        <v>23.0</v>
      </c>
      <c r="G70" s="3">
        <v>23.0</v>
      </c>
      <c r="H70" s="5">
        <f>IFERROR(__xludf.DUMMYFUNCTION("HLOOKUP($A70,IMPORTRANGE(""https://docs.google.com/spreadsheets/d/16J5ie7OD1E99qGO9lMDm8w5Yls-v190B7DTolJ5TmFc/edit#gid=0"",""'Game 10'!$B$2:$Q$31""),30,False)"),23.0)</f>
        <v>23</v>
      </c>
      <c r="I70" s="3">
        <v>0.0</v>
      </c>
      <c r="J70" s="5">
        <f>IFERROR(__xludf.DUMMYFUNCTION("IFERROR(HLOOKUP($A70,IMPORTRANGE(""https://docs.google.com/spreadsheets/d/1CTYfdyRk_RFGM3I2iN9bKeD9zUPzEm1ajzml6VgwfIU/edit#gid=0"",""'Game 10'!$B$2:$Q$31""),30,False),0)"),23.0)</f>
        <v>23</v>
      </c>
      <c r="K70" s="5">
        <f>IFERROR(__xludf.DUMMYFUNCTION("IFERROR(HLOOKUP($A70,IMPORTRANGE(""https://docs.google.com/spreadsheets/d/11NFkzOdQyW-OtxSDuGslNCgNjx7HUb2FU7KnlNnPMgY/edit#gid=0"",""'Game 8'!$B$2:$Q$31""),30,False),0)"),0.0)</f>
        <v>0</v>
      </c>
      <c r="L70" s="5">
        <f>IFERROR(__xludf.DUMMYFUNCTION("IFERROR(HLOOKUP($A70,IMPORTRANGE(""https://docs.google.com/spreadsheets/d/1CLg5-jaE4ta0-u4oE1qbBplQ5Mf3Oj9ONFgL0zJ7Ol4/edit#gid=0"",""'Game 12'!$B$2:$Q$31""),30,False),1)"),23.0)</f>
        <v>23</v>
      </c>
      <c r="M70" s="5">
        <f>IFERROR(__xludf.DUMMYFUNCTION("IFERROR(HLOOKUP($A70,IMPORTRANGE(""https://docs.google.com/spreadsheets/d/1CeexgK4KxWj3k_7nql_k8-RPxXMwTJyB4Q3vAASeDlA/edit#gid=0"",""'Game 11'!$B$2:$Q$31""),30,False),1)"),0.0)</f>
        <v>0</v>
      </c>
      <c r="N70" s="5">
        <f>IFERROR(__xludf.DUMMYFUNCTION("IFERROR(HLOOKUP($A70,IMPORTRANGE(""https://docs.google.com/spreadsheets/d/1MNwUNMjcwK6bEgCXwB73jpbK5gJAXS8ZMpbEMLJEP3E/edit#gid=0"",""'Game 6'!$B$2:$Q$31""),30,False),1)"),23.0)</f>
        <v>23</v>
      </c>
      <c r="O70" s="5">
        <f>IFERROR(__xludf.DUMMYFUNCTION("IFERROR(HLOOKUP($A70,IMPORTRANGE(""https://docs.google.com/spreadsheets/d/1UrzyxmT40kDZwVrLMf1yyXfP-pyczRAw9Y8Rw-uXG3c/edit#gid=0"",""'Game 11'!$B$2:$Q$31""),30,False),1)"),23.0)</f>
        <v>23</v>
      </c>
      <c r="P70" s="5">
        <f>IFERROR(__xludf.DUMMYFUNCTION("IFERROR(HLOOKUP($A70,IMPORTRANGE(""https://docs.google.com/spreadsheets/d/1iyMhSYWifw-KGFtyeBpNxVZr4BhcV9hVZuShgJ9Ia0E/edit#gid=0"",""'Game 12'!$B$2:$Q$31""),30,False),1)"),0.0)</f>
        <v>0</v>
      </c>
      <c r="Q70" s="5">
        <f>IFERROR(__xludf.DUMMYFUNCTION("IFERROR(HLOOKUP($A70,IMPORTRANGE(""https://docs.google.com/spreadsheets/d/1sSbIK-vvHsSY0LghLJ9gcnW8Hec_ITI2tFmpeqI999A/edit#gid=0"",""'Game 10'!$B$2:$Q$31""),30,False),1)"),23.0)</f>
        <v>23</v>
      </c>
      <c r="R70" s="6">
        <f t="shared" si="2"/>
        <v>253</v>
      </c>
    </row>
    <row r="71">
      <c r="A71" s="21" t="s">
        <v>177</v>
      </c>
      <c r="B71" s="11" t="s">
        <v>174</v>
      </c>
      <c r="C71" s="21">
        <v>23.0</v>
      </c>
      <c r="D71" s="21">
        <v>23.0</v>
      </c>
      <c r="E71" s="21">
        <v>23.0</v>
      </c>
      <c r="F71" s="21">
        <v>0.0</v>
      </c>
      <c r="G71" s="1">
        <v>23.0</v>
      </c>
      <c r="H71" s="7">
        <f>IFERROR(__xludf.DUMMYFUNCTION("HLOOKUP($A71,IMPORTRANGE(""https://docs.google.com/spreadsheets/d/16J5ie7OD1E99qGO9lMDm8w5Yls-v190B7DTolJ5TmFc/edit#gid=0"",""'Game 10'!$B$2:$Q$31""),30,False)"),23.0)</f>
        <v>23</v>
      </c>
      <c r="I71" s="1">
        <v>23.0</v>
      </c>
      <c r="J71" s="7">
        <f>IFERROR(__xludf.DUMMYFUNCTION("IFERROR(HLOOKUP($A71,IMPORTRANGE(""https://docs.google.com/spreadsheets/d/1CTYfdyRk_RFGM3I2iN9bKeD9zUPzEm1ajzml6VgwfIU/edit#gid=0"",""'Game 10'!$B$2:$Q$31""),30,False),0)"),23.0)</f>
        <v>23</v>
      </c>
      <c r="K71" s="7">
        <f>IFERROR(__xludf.DUMMYFUNCTION("IFERROR(HLOOKUP($A71,IMPORTRANGE(""https://docs.google.com/spreadsheets/d/11NFkzOdQyW-OtxSDuGslNCgNjx7HUb2FU7KnlNnPMgY/edit#gid=0"",""'Game 8'!$B$2:$Q$31""),30,False),0)"),23.0)</f>
        <v>23</v>
      </c>
      <c r="L71" s="7">
        <f>IFERROR(__xludf.DUMMYFUNCTION("IFERROR(HLOOKUP($A71,IMPORTRANGE(""https://docs.google.com/spreadsheets/d/1CLg5-jaE4ta0-u4oE1qbBplQ5Mf3Oj9ONFgL0zJ7Ol4/edit#gid=0"",""'Game 12'!$B$2:$Q$31""),30,False),1)"),23.0)</f>
        <v>23</v>
      </c>
      <c r="M71" s="7">
        <f>IFERROR(__xludf.DUMMYFUNCTION("IFERROR(HLOOKUP($A71,IMPORTRANGE(""https://docs.google.com/spreadsheets/d/1CeexgK4KxWj3k_7nql_k8-RPxXMwTJyB4Q3vAASeDlA/edit#gid=0"",""'Game 11'!$B$2:$Q$31""),30,False),1)"),23.0)</f>
        <v>23</v>
      </c>
      <c r="N71" s="7">
        <f>IFERROR(__xludf.DUMMYFUNCTION("IFERROR(HLOOKUP($A71,IMPORTRANGE(""https://docs.google.com/spreadsheets/d/1MNwUNMjcwK6bEgCXwB73jpbK5gJAXS8ZMpbEMLJEP3E/edit#gid=0"",""'Game 6'!$B$2:$Q$31""),30,False),1)"),23.0)</f>
        <v>23</v>
      </c>
      <c r="O71" s="7">
        <f>IFERROR(__xludf.DUMMYFUNCTION("IFERROR(HLOOKUP($A71,IMPORTRANGE(""https://docs.google.com/spreadsheets/d/1UrzyxmT40kDZwVrLMf1yyXfP-pyczRAw9Y8Rw-uXG3c/edit#gid=0"",""'Game 11'!$B$2:$Q$31""),30,False),1)"),23.0)</f>
        <v>23</v>
      </c>
      <c r="P71" s="7">
        <f>IFERROR(__xludf.DUMMYFUNCTION("IFERROR(HLOOKUP($A71,IMPORTRANGE(""https://docs.google.com/spreadsheets/d/1iyMhSYWifw-KGFtyeBpNxVZr4BhcV9hVZuShgJ9Ia0E/edit#gid=0"",""'Game 12'!$B$2:$Q$31""),30,False),1)"),23.0)</f>
        <v>23</v>
      </c>
      <c r="Q71" s="7">
        <f>IFERROR(__xludf.DUMMYFUNCTION("IFERROR(HLOOKUP($A71,IMPORTRANGE(""https://docs.google.com/spreadsheets/d/1sSbIK-vvHsSY0LghLJ9gcnW8Hec_ITI2tFmpeqI999A/edit#gid=0"",""'Game 10'!$B$2:$Q$31""),30,False),1)"),23.0)</f>
        <v>23</v>
      </c>
      <c r="R71" s="11">
        <f t="shared" si="2"/>
        <v>322</v>
      </c>
    </row>
    <row r="72">
      <c r="A72" s="18" t="s">
        <v>179</v>
      </c>
      <c r="B72" s="6" t="s">
        <v>174</v>
      </c>
      <c r="C72" s="18">
        <v>23.0</v>
      </c>
      <c r="D72" s="18">
        <v>23.0</v>
      </c>
      <c r="E72" s="18">
        <v>23.0</v>
      </c>
      <c r="F72" s="18">
        <v>23.0</v>
      </c>
      <c r="G72" s="3">
        <v>23.0</v>
      </c>
      <c r="H72" s="5">
        <f>IFERROR(__xludf.DUMMYFUNCTION("HLOOKUP($A72,IMPORTRANGE(""https://docs.google.com/spreadsheets/d/16J5ie7OD1E99qGO9lMDm8w5Yls-v190B7DTolJ5TmFc/edit#gid=0"",""'Game 10'!$B$2:$Q$31""),30,False)"),23.0)</f>
        <v>23</v>
      </c>
      <c r="I72" s="3">
        <v>23.0</v>
      </c>
      <c r="J72" s="5">
        <f>IFERROR(__xludf.DUMMYFUNCTION("IFERROR(HLOOKUP($A72,IMPORTRANGE(""https://docs.google.com/spreadsheets/d/1CTYfdyRk_RFGM3I2iN9bKeD9zUPzEm1ajzml6VgwfIU/edit#gid=0"",""'Game 10'!$B$2:$Q$31""),30,False),0)"),23.0)</f>
        <v>23</v>
      </c>
      <c r="K72" s="5">
        <f>IFERROR(__xludf.DUMMYFUNCTION("IFERROR(HLOOKUP($A72,IMPORTRANGE(""https://docs.google.com/spreadsheets/d/11NFkzOdQyW-OtxSDuGslNCgNjx7HUb2FU7KnlNnPMgY/edit#gid=0"",""'Game 8'!$B$2:$Q$31""),30,False),0)"),23.0)</f>
        <v>23</v>
      </c>
      <c r="L72" s="5">
        <f>IFERROR(__xludf.DUMMYFUNCTION("IFERROR(HLOOKUP($A72,IMPORTRANGE(""https://docs.google.com/spreadsheets/d/1CLg5-jaE4ta0-u4oE1qbBplQ5Mf3Oj9ONFgL0zJ7Ol4/edit#gid=0"",""'Game 12'!$B$2:$Q$31""),30,False),1)"),23.0)</f>
        <v>23</v>
      </c>
      <c r="M72" s="5">
        <f>IFERROR(__xludf.DUMMYFUNCTION("IFERROR(HLOOKUP($A72,IMPORTRANGE(""https://docs.google.com/spreadsheets/d/1CeexgK4KxWj3k_7nql_k8-RPxXMwTJyB4Q3vAASeDlA/edit#gid=0"",""'Game 11'!$B$2:$Q$31""),30,False),1)"),23.0)</f>
        <v>23</v>
      </c>
      <c r="N72" s="5">
        <f>IFERROR(__xludf.DUMMYFUNCTION("IFERROR(HLOOKUP($A72,IMPORTRANGE(""https://docs.google.com/spreadsheets/d/1MNwUNMjcwK6bEgCXwB73jpbK5gJAXS8ZMpbEMLJEP3E/edit#gid=0"",""'Game 6'!$B$2:$Q$31""),30,False),1)"),23.0)</f>
        <v>23</v>
      </c>
      <c r="O72" s="5">
        <f>IFERROR(__xludf.DUMMYFUNCTION("IFERROR(HLOOKUP($A72,IMPORTRANGE(""https://docs.google.com/spreadsheets/d/1UrzyxmT40kDZwVrLMf1yyXfP-pyczRAw9Y8Rw-uXG3c/edit#gid=0"",""'Game 11'!$B$2:$Q$31""),30,False),1)"),23.0)</f>
        <v>23</v>
      </c>
      <c r="P72" s="5">
        <f>IFERROR(__xludf.DUMMYFUNCTION("IFERROR(HLOOKUP($A72,IMPORTRANGE(""https://docs.google.com/spreadsheets/d/1iyMhSYWifw-KGFtyeBpNxVZr4BhcV9hVZuShgJ9Ia0E/edit#gid=0"",""'Game 12'!$B$2:$Q$31""),30,False),1)"),23.0)</f>
        <v>23</v>
      </c>
      <c r="Q72" s="5">
        <f>IFERROR(__xludf.DUMMYFUNCTION("IFERROR(HLOOKUP($A72,IMPORTRANGE(""https://docs.google.com/spreadsheets/d/1sSbIK-vvHsSY0LghLJ9gcnW8Hec_ITI2tFmpeqI999A/edit#gid=0"",""'Game 10'!$B$2:$Q$31""),30,False),1)"),23.0)</f>
        <v>23</v>
      </c>
      <c r="R72" s="6">
        <f t="shared" si="2"/>
        <v>345</v>
      </c>
    </row>
    <row r="73">
      <c r="A73" s="21" t="s">
        <v>181</v>
      </c>
      <c r="B73" s="11" t="s">
        <v>174</v>
      </c>
      <c r="C73" s="21">
        <v>0.0</v>
      </c>
      <c r="D73" s="21">
        <v>0.0</v>
      </c>
      <c r="E73" s="21">
        <v>0.0</v>
      </c>
      <c r="F73" s="21">
        <v>0.0</v>
      </c>
      <c r="G73" s="1">
        <v>0.0</v>
      </c>
      <c r="H73" s="7">
        <f>IFERROR(__xludf.DUMMYFUNCTION("HLOOKUP($A73,IMPORTRANGE(""https://docs.google.com/spreadsheets/d/16J5ie7OD1E99qGO9lMDm8w5Yls-v190B7DTolJ5TmFc/edit#gid=0"",""'Game 10'!$B$2:$Q$31""),30,False)"),0.0)</f>
        <v>0</v>
      </c>
      <c r="I73" s="1">
        <v>23.0</v>
      </c>
      <c r="J73" s="7">
        <f>IFERROR(__xludf.DUMMYFUNCTION("IFERROR(HLOOKUP($A73,IMPORTRANGE(""https://docs.google.com/spreadsheets/d/1CTYfdyRk_RFGM3I2iN9bKeD9zUPzEm1ajzml6VgwfIU/edit#gid=0"",""'Game 10'!$B$2:$Q$31""),30,False),0)"),0.0)</f>
        <v>0</v>
      </c>
      <c r="K73" s="7">
        <f>IFERROR(__xludf.DUMMYFUNCTION("IFERROR(HLOOKUP($A73,IMPORTRANGE(""https://docs.google.com/spreadsheets/d/11NFkzOdQyW-OtxSDuGslNCgNjx7HUb2FU7KnlNnPMgY/edit#gid=0"",""'Game 8'!$B$2:$Q$31""),30,False),0)"),23.0)</f>
        <v>23</v>
      </c>
      <c r="L73" s="7">
        <f>IFERROR(__xludf.DUMMYFUNCTION("IFERROR(HLOOKUP($A73,IMPORTRANGE(""https://docs.google.com/spreadsheets/d/1CLg5-jaE4ta0-u4oE1qbBplQ5Mf3Oj9ONFgL0zJ7Ol4/edit#gid=0"",""'Game 12'!$B$2:$Q$31""),30,False),1)"),0.0)</f>
        <v>0</v>
      </c>
      <c r="M73" s="7">
        <f>IFERROR(__xludf.DUMMYFUNCTION("IFERROR(HLOOKUP($A73,IMPORTRANGE(""https://docs.google.com/spreadsheets/d/1CeexgK4KxWj3k_7nql_k8-RPxXMwTJyB4Q3vAASeDlA/edit#gid=0"",""'Game 11'!$B$2:$Q$31""),30,False),1)"),23.0)</f>
        <v>23</v>
      </c>
      <c r="N73" s="7">
        <f>IFERROR(__xludf.DUMMYFUNCTION("IFERROR(HLOOKUP($A73,IMPORTRANGE(""https://docs.google.com/spreadsheets/d/1MNwUNMjcwK6bEgCXwB73jpbK5gJAXS8ZMpbEMLJEP3E/edit#gid=0"",""'Game 6'!$B$2:$Q$31""),30,False),1)"),0.0)</f>
        <v>0</v>
      </c>
      <c r="O73" s="7">
        <f>IFERROR(__xludf.DUMMYFUNCTION("IFERROR(HLOOKUP($A73,IMPORTRANGE(""https://docs.google.com/spreadsheets/d/1UrzyxmT40kDZwVrLMf1yyXfP-pyczRAw9Y8Rw-uXG3c/edit#gid=0"",""'Game 11'!$B$2:$Q$31""),30,False),1)"),0.0)</f>
        <v>0</v>
      </c>
      <c r="P73" s="7">
        <f>IFERROR(__xludf.DUMMYFUNCTION("IFERROR(HLOOKUP($A73,IMPORTRANGE(""https://docs.google.com/spreadsheets/d/1iyMhSYWifw-KGFtyeBpNxVZr4BhcV9hVZuShgJ9Ia0E/edit#gid=0"",""'Game 12'!$B$2:$Q$31""),30,False),1)"),0.0)</f>
        <v>0</v>
      </c>
      <c r="Q73" s="7">
        <f>IFERROR(__xludf.DUMMYFUNCTION("IFERROR(HLOOKUP($A73,IMPORTRANGE(""https://docs.google.com/spreadsheets/d/1sSbIK-vvHsSY0LghLJ9gcnW8Hec_ITI2tFmpeqI999A/edit#gid=0"",""'Game 10'!$B$2:$Q$31""),30,False),1)"),0.0)</f>
        <v>0</v>
      </c>
      <c r="R73" s="11">
        <f t="shared" si="2"/>
        <v>69</v>
      </c>
    </row>
    <row r="74">
      <c r="A74" s="3" t="s">
        <v>183</v>
      </c>
      <c r="B74" s="18" t="s">
        <v>174</v>
      </c>
      <c r="C74" s="18">
        <v>23.0</v>
      </c>
      <c r="D74" s="18">
        <v>23.0</v>
      </c>
      <c r="E74" s="18">
        <v>0.0</v>
      </c>
      <c r="F74" s="18">
        <v>23.0</v>
      </c>
      <c r="G74" s="3">
        <v>23.0</v>
      </c>
      <c r="H74" s="5">
        <f>IFERROR(__xludf.DUMMYFUNCTION("HLOOKUP($A74,IMPORTRANGE(""https://docs.google.com/spreadsheets/d/16J5ie7OD1E99qGO9lMDm8w5Yls-v190B7DTolJ5TmFc/edit#gid=0"",""'Game 10'!$B$2:$Q$31""),30,False)"),23.0)</f>
        <v>23</v>
      </c>
      <c r="I74" s="3">
        <v>23.0</v>
      </c>
      <c r="J74" s="5">
        <f>IFERROR(__xludf.DUMMYFUNCTION("IFERROR(HLOOKUP($A74,IMPORTRANGE(""https://docs.google.com/spreadsheets/d/1CTYfdyRk_RFGM3I2iN9bKeD9zUPzEm1ajzml6VgwfIU/edit#gid=0"",""'Game 10'!$B$2:$Q$31""),30,False),0)"),23.0)</f>
        <v>23</v>
      </c>
      <c r="K74" s="5">
        <f>IFERROR(__xludf.DUMMYFUNCTION("IFERROR(HLOOKUP($A74,IMPORTRANGE(""https://docs.google.com/spreadsheets/d/11NFkzOdQyW-OtxSDuGslNCgNjx7HUb2FU7KnlNnPMgY/edit#gid=0"",""'Game 8'!$B$2:$Q$31""),30,False),0)"),16.0)</f>
        <v>16</v>
      </c>
      <c r="L74" s="5">
        <f>IFERROR(__xludf.DUMMYFUNCTION("IFERROR(HLOOKUP($A74,IMPORTRANGE(""https://docs.google.com/spreadsheets/d/1CLg5-jaE4ta0-u4oE1qbBplQ5Mf3Oj9ONFgL0zJ7Ol4/edit#gid=0"",""'Game 12'!$B$2:$Q$31""),30,False),1)"),11.0)</f>
        <v>11</v>
      </c>
      <c r="M74" s="5">
        <f>IFERROR(__xludf.DUMMYFUNCTION("IFERROR(HLOOKUP($A74,IMPORTRANGE(""https://docs.google.com/spreadsheets/d/1CeexgK4KxWj3k_7nql_k8-RPxXMwTJyB4Q3vAASeDlA/edit#gid=0"",""'Game 11'!$B$2:$Q$31""),30,False),1)"),23.0)</f>
        <v>23</v>
      </c>
      <c r="N74" s="5">
        <f>IFERROR(__xludf.DUMMYFUNCTION("IFERROR(HLOOKUP($A74,IMPORTRANGE(""https://docs.google.com/spreadsheets/d/1MNwUNMjcwK6bEgCXwB73jpbK5gJAXS8ZMpbEMLJEP3E/edit#gid=0"",""'Game 6'!$B$2:$Q$31""),30,False),1)"),23.0)</f>
        <v>23</v>
      </c>
      <c r="O74" s="5">
        <f>IFERROR(__xludf.DUMMYFUNCTION("IFERROR(HLOOKUP($A74,IMPORTRANGE(""https://docs.google.com/spreadsheets/d/1UrzyxmT40kDZwVrLMf1yyXfP-pyczRAw9Y8Rw-uXG3c/edit#gid=0"",""'Game 11'!$B$2:$Q$31""),30,False),1)"),23.0)</f>
        <v>23</v>
      </c>
      <c r="P74" s="5">
        <f>IFERROR(__xludf.DUMMYFUNCTION("IFERROR(HLOOKUP($A74,IMPORTRANGE(""https://docs.google.com/spreadsheets/d/1iyMhSYWifw-KGFtyeBpNxVZr4BhcV9hVZuShgJ9Ia0E/edit#gid=0"",""'Game 12'!$B$2:$Q$31""),30,False),1)"),0.0)</f>
        <v>0</v>
      </c>
      <c r="Q74" s="5">
        <f>IFERROR(__xludf.DUMMYFUNCTION("IFERROR(HLOOKUP($A74,IMPORTRANGE(""https://docs.google.com/spreadsheets/d/1sSbIK-vvHsSY0LghLJ9gcnW8Hec_ITI2tFmpeqI999A/edit#gid=0"",""'Game 10'!$B$2:$Q$31""),30,False),1)"),23.0)</f>
        <v>23</v>
      </c>
      <c r="R74" s="6">
        <f t="shared" si="2"/>
        <v>280</v>
      </c>
    </row>
    <row r="75">
      <c r="A75" s="21" t="s">
        <v>185</v>
      </c>
      <c r="B75" s="11" t="s">
        <v>186</v>
      </c>
      <c r="C75" s="21">
        <v>23.0</v>
      </c>
      <c r="D75" s="21">
        <v>12.0</v>
      </c>
      <c r="E75" s="21">
        <v>11.0</v>
      </c>
      <c r="F75" s="21">
        <v>0.0</v>
      </c>
      <c r="G75" s="1">
        <v>0.0</v>
      </c>
      <c r="H75" s="7">
        <f>IFERROR(__xludf.DUMMYFUNCTION("HLOOKUP($A75,IMPORTRANGE(""https://docs.google.com/spreadsheets/d/16J5ie7OD1E99qGO9lMDm8w5Yls-v190B7DTolJ5TmFc/edit#gid=0"",""'Game 12'!$B$2:$Q$31""),30,False)"),0.0)</f>
        <v>0</v>
      </c>
      <c r="I75" s="1">
        <v>11.0</v>
      </c>
      <c r="J75" s="7">
        <f>IFERROR(__xludf.DUMMYFUNCTION("IFERROR(HLOOKUP($A75,IMPORTRANGE(""https://docs.google.com/spreadsheets/d/1CTYfdyRk_RFGM3I2iN9bKeD9zUPzEm1ajzml6VgwfIU/edit#gid=0"",""'Game 13'!$B$2:$Q$31""),30,False),0)"),11.0)</f>
        <v>11</v>
      </c>
      <c r="K75" s="7">
        <f>IFERROR(__xludf.DUMMYFUNCTION("IFERROR(HLOOKUP($A75,IMPORTRANGE(""https://docs.google.com/spreadsheets/d/11NFkzOdQyW-OtxSDuGslNCgNjx7HUb2FU7KnlNnPMgY/edit#gid=0"",""'Game 10'!$B$2:$Q$31""),30,False),0)"),0.0)</f>
        <v>0</v>
      </c>
      <c r="L75" s="7">
        <f>IFERROR(__xludf.DUMMYFUNCTION("IFERROR(HLOOKUP($A75,IMPORTRANGE(""https://docs.google.com/spreadsheets/d/1CLg5-jaE4ta0-u4oE1qbBplQ5Mf3Oj9ONFgL0zJ7Ol4/edit#gid=0"",""'Game 10'!$B$2:$Q$31""),30,False),1)"),0.0)</f>
        <v>0</v>
      </c>
      <c r="M75" s="7">
        <f>IFERROR(__xludf.DUMMYFUNCTION("IFERROR(HLOOKUP($A75,IMPORTRANGE(""https://docs.google.com/spreadsheets/d/1CeexgK4KxWj3k_7nql_k8-RPxXMwTJyB4Q3vAASeDlA/edit#gid=0"",""'Game 9'!$B$2:$Q$31""),30,False),1)"),0.0)</f>
        <v>0</v>
      </c>
      <c r="N75" s="7">
        <f>IFERROR(__xludf.DUMMYFUNCTION("IFERROR(HLOOKUP($A75,IMPORTRANGE(""https://docs.google.com/spreadsheets/d/1MNwUNMjcwK6bEgCXwB73jpbK5gJAXS8ZMpbEMLJEP3E/edit#gid=0"",""'Game 5'!$B$2:$Q$31""),30,False),1)"),0.0)</f>
        <v>0</v>
      </c>
      <c r="O75" s="7">
        <f>IFERROR(__xludf.DUMMYFUNCTION("IFERROR(HLOOKUP($A75,IMPORTRANGE(""https://docs.google.com/spreadsheets/d/1UrzyxmT40kDZwVrLMf1yyXfP-pyczRAw9Y8Rw-uXG3c/edit#gid=0"",""'Game 3'!$B$2:$Q$31""),30,False),1)"),0.0)</f>
        <v>0</v>
      </c>
      <c r="P75" s="7">
        <f>IFERROR(__xludf.DUMMYFUNCTION("IFERROR(HLOOKUP($A75,IMPORTRANGE(""https://docs.google.com/spreadsheets/d/1iyMhSYWifw-KGFtyeBpNxVZr4BhcV9hVZuShgJ9Ia0E/edit#gid=0"",""'Game 13'!$B$2:$Q$31""),30,False),1)"),0.0)</f>
        <v>0</v>
      </c>
      <c r="Q75" s="7">
        <f>IFERROR(__xludf.DUMMYFUNCTION("IFERROR(HLOOKUP($A75,IMPORTRANGE(""https://docs.google.com/spreadsheets/d/1sSbIK-vvHsSY0LghLJ9gcnW8Hec_ITI2tFmpeqI999A/edit#gid=0"",""'Game 10'!$B$2:$Q$31""),30,False),1)"),23.0)</f>
        <v>23</v>
      </c>
      <c r="R75" s="11">
        <f t="shared" si="2"/>
        <v>91</v>
      </c>
    </row>
    <row r="76">
      <c r="A76" s="18" t="s">
        <v>189</v>
      </c>
      <c r="B76" s="6" t="s">
        <v>186</v>
      </c>
      <c r="C76" s="18">
        <v>23.0</v>
      </c>
      <c r="D76" s="18">
        <v>23.0</v>
      </c>
      <c r="E76" s="18">
        <v>23.0</v>
      </c>
      <c r="F76" s="18">
        <v>23.0</v>
      </c>
      <c r="G76" s="3">
        <v>23.0</v>
      </c>
      <c r="H76" s="5">
        <f>IFERROR(__xludf.DUMMYFUNCTION("HLOOKUP($A76,IMPORTRANGE(""https://docs.google.com/spreadsheets/d/16J5ie7OD1E99qGO9lMDm8w5Yls-v190B7DTolJ5TmFc/edit#gid=0"",""'Game 12'!$B$2:$Q$31""),30,False)"),23.0)</f>
        <v>23</v>
      </c>
      <c r="I76" s="3">
        <v>23.0</v>
      </c>
      <c r="J76" s="5">
        <f>IFERROR(__xludf.DUMMYFUNCTION("IFERROR(HLOOKUP($A76,IMPORTRANGE(""https://docs.google.com/spreadsheets/d/1CTYfdyRk_RFGM3I2iN9bKeD9zUPzEm1ajzml6VgwfIU/edit#gid=0"",""'Game 13'!$B$2:$Q$31""),30,False),0)"),23.0)</f>
        <v>23</v>
      </c>
      <c r="K76" s="5">
        <f>IFERROR(__xludf.DUMMYFUNCTION("IFERROR(HLOOKUP($A76,IMPORTRANGE(""https://docs.google.com/spreadsheets/d/11NFkzOdQyW-OtxSDuGslNCgNjx7HUb2FU7KnlNnPMgY/edit#gid=0"",""'Game 10'!$B$2:$Q$31""),30,False),0)"),23.0)</f>
        <v>23</v>
      </c>
      <c r="L76" s="5">
        <f>IFERROR(__xludf.DUMMYFUNCTION("IFERROR(HLOOKUP($A76,IMPORTRANGE(""https://docs.google.com/spreadsheets/d/1CLg5-jaE4ta0-u4oE1qbBplQ5Mf3Oj9ONFgL0zJ7Ol4/edit#gid=0"",""'Game 10'!$B$2:$Q$31""),30,False),1)"),23.0)</f>
        <v>23</v>
      </c>
      <c r="M76" s="5">
        <f>IFERROR(__xludf.DUMMYFUNCTION("IFERROR(HLOOKUP($A76,IMPORTRANGE(""https://docs.google.com/spreadsheets/d/1CeexgK4KxWj3k_7nql_k8-RPxXMwTJyB4Q3vAASeDlA/edit#gid=0"",""'Game 9'!$B$2:$Q$31""),30,False),1)"),23.0)</f>
        <v>23</v>
      </c>
      <c r="N76" s="5">
        <f>IFERROR(__xludf.DUMMYFUNCTION("IFERROR(HLOOKUP($A76,IMPORTRANGE(""https://docs.google.com/spreadsheets/d/1MNwUNMjcwK6bEgCXwB73jpbK5gJAXS8ZMpbEMLJEP3E/edit#gid=0"",""'Game 5'!$B$2:$Q$31""),30,False),1)"),23.0)</f>
        <v>23</v>
      </c>
      <c r="O76" s="5">
        <f>IFERROR(__xludf.DUMMYFUNCTION("IFERROR(HLOOKUP($A76,IMPORTRANGE(""https://docs.google.com/spreadsheets/d/1UrzyxmT40kDZwVrLMf1yyXfP-pyczRAw9Y8Rw-uXG3c/edit#gid=0"",""'Game 3'!$B$2:$Q$31""),30,False),1)"),23.0)</f>
        <v>23</v>
      </c>
      <c r="P76" s="5">
        <f>IFERROR(__xludf.DUMMYFUNCTION("IFERROR(HLOOKUP($A76,IMPORTRANGE(""https://docs.google.com/spreadsheets/d/1iyMhSYWifw-KGFtyeBpNxVZr4BhcV9hVZuShgJ9Ia0E/edit#gid=0"",""'Game 13'!$B$2:$Q$31""),30,False),1)"),23.0)</f>
        <v>23</v>
      </c>
      <c r="Q76" s="5">
        <f>IFERROR(__xludf.DUMMYFUNCTION("IFERROR(HLOOKUP($A76,IMPORTRANGE(""https://docs.google.com/spreadsheets/d/1sSbIK-vvHsSY0LghLJ9gcnW8Hec_ITI2tFmpeqI999A/edit#gid=0"",""'Game 10'!$B$2:$Q$31""),30,False),1)"),23.0)</f>
        <v>23</v>
      </c>
      <c r="R76" s="6">
        <f t="shared" si="2"/>
        <v>345</v>
      </c>
    </row>
    <row r="77">
      <c r="A77" s="21" t="s">
        <v>191</v>
      </c>
      <c r="B77" s="11" t="s">
        <v>186</v>
      </c>
      <c r="C77" s="21">
        <v>23.0</v>
      </c>
      <c r="D77" s="21">
        <v>23.0</v>
      </c>
      <c r="E77" s="21">
        <v>23.0</v>
      </c>
      <c r="F77" s="21">
        <v>23.0</v>
      </c>
      <c r="G77" s="1">
        <v>23.0</v>
      </c>
      <c r="H77" s="7">
        <f>IFERROR(__xludf.DUMMYFUNCTION("HLOOKUP($A77,IMPORTRANGE(""https://docs.google.com/spreadsheets/d/16J5ie7OD1E99qGO9lMDm8w5Yls-v190B7DTolJ5TmFc/edit#gid=0"",""'Game 12'!$B$2:$Q$31""),30,False)"),23.0)</f>
        <v>23</v>
      </c>
      <c r="I77" s="1">
        <v>23.0</v>
      </c>
      <c r="J77" s="7">
        <f>IFERROR(__xludf.DUMMYFUNCTION("IFERROR(HLOOKUP($A77,IMPORTRANGE(""https://docs.google.com/spreadsheets/d/1CTYfdyRk_RFGM3I2iN9bKeD9zUPzEm1ajzml6VgwfIU/edit#gid=0"",""'Game 13'!$B$2:$Q$31""),30,False),0)"),23.0)</f>
        <v>23</v>
      </c>
      <c r="K77" s="7">
        <f>IFERROR(__xludf.DUMMYFUNCTION("IFERROR(HLOOKUP($A77,IMPORTRANGE(""https://docs.google.com/spreadsheets/d/11NFkzOdQyW-OtxSDuGslNCgNjx7HUb2FU7KnlNnPMgY/edit#gid=0"",""'Game 10'!$B$2:$Q$31""),30,False),0)"),23.0)</f>
        <v>23</v>
      </c>
      <c r="L77" s="7">
        <f>IFERROR(__xludf.DUMMYFUNCTION("IFERROR(HLOOKUP($A77,IMPORTRANGE(""https://docs.google.com/spreadsheets/d/1CLg5-jaE4ta0-u4oE1qbBplQ5Mf3Oj9ONFgL0zJ7Ol4/edit#gid=0"",""'Game 10'!$B$2:$Q$31""),30,False),1)"),23.0)</f>
        <v>23</v>
      </c>
      <c r="M77" s="7">
        <f>IFERROR(__xludf.DUMMYFUNCTION("IFERROR(HLOOKUP($A77,IMPORTRANGE(""https://docs.google.com/spreadsheets/d/1CeexgK4KxWj3k_7nql_k8-RPxXMwTJyB4Q3vAASeDlA/edit#gid=0"",""'Game 9'!$B$2:$Q$31""),30,False),1)"),23.0)</f>
        <v>23</v>
      </c>
      <c r="N77" s="7">
        <f>IFERROR(__xludf.DUMMYFUNCTION("IFERROR(HLOOKUP($A77,IMPORTRANGE(""https://docs.google.com/spreadsheets/d/1MNwUNMjcwK6bEgCXwB73jpbK5gJAXS8ZMpbEMLJEP3E/edit#gid=0"",""'Game 5'!$B$2:$Q$31""),30,False),1)"),23.0)</f>
        <v>23</v>
      </c>
      <c r="O77" s="7">
        <f>IFERROR(__xludf.DUMMYFUNCTION("IFERROR(HLOOKUP($A77,IMPORTRANGE(""https://docs.google.com/spreadsheets/d/1UrzyxmT40kDZwVrLMf1yyXfP-pyczRAw9Y8Rw-uXG3c/edit#gid=0"",""'Game 3'!$B$2:$Q$31""),30,False),1)"),23.0)</f>
        <v>23</v>
      </c>
      <c r="P77" s="7">
        <f>IFERROR(__xludf.DUMMYFUNCTION("IFERROR(HLOOKUP($A77,IMPORTRANGE(""https://docs.google.com/spreadsheets/d/1iyMhSYWifw-KGFtyeBpNxVZr4BhcV9hVZuShgJ9Ia0E/edit#gid=0"",""'Game 13'!$B$2:$Q$31""),30,False),1)"),23.0)</f>
        <v>23</v>
      </c>
      <c r="Q77" s="7">
        <f>IFERROR(__xludf.DUMMYFUNCTION("IFERROR(HLOOKUP($A77,IMPORTRANGE(""https://docs.google.com/spreadsheets/d/1sSbIK-vvHsSY0LghLJ9gcnW8Hec_ITI2tFmpeqI999A/edit#gid=0"",""'Game 10'!$B$2:$Q$31""),30,False),1)"),23.0)</f>
        <v>23</v>
      </c>
      <c r="R77" s="11">
        <f t="shared" si="2"/>
        <v>345</v>
      </c>
    </row>
    <row r="78">
      <c r="A78" s="18" t="s">
        <v>193</v>
      </c>
      <c r="B78" s="6" t="s">
        <v>186</v>
      </c>
      <c r="C78" s="18">
        <v>23.0</v>
      </c>
      <c r="D78" s="18">
        <v>23.0</v>
      </c>
      <c r="E78" s="18">
        <v>23.0</v>
      </c>
      <c r="F78" s="18">
        <v>23.0</v>
      </c>
      <c r="G78" s="3">
        <v>23.0</v>
      </c>
      <c r="H78" s="5">
        <f>IFERROR(__xludf.DUMMYFUNCTION("HLOOKUP($A78,IMPORTRANGE(""https://docs.google.com/spreadsheets/d/16J5ie7OD1E99qGO9lMDm8w5Yls-v190B7DTolJ5TmFc/edit#gid=0"",""'Game 12'!$B$2:$Q$31""),30,False)"),23.0)</f>
        <v>23</v>
      </c>
      <c r="I78" s="3">
        <v>23.0</v>
      </c>
      <c r="J78" s="5">
        <f>IFERROR(__xludf.DUMMYFUNCTION("IFERROR(HLOOKUP($A78,IMPORTRANGE(""https://docs.google.com/spreadsheets/d/1CTYfdyRk_RFGM3I2iN9bKeD9zUPzEm1ajzml6VgwfIU/edit#gid=0"",""'Game 13'!$B$2:$Q$31""),30,False),0)"),23.0)</f>
        <v>23</v>
      </c>
      <c r="K78" s="5">
        <f>IFERROR(__xludf.DUMMYFUNCTION("IFERROR(HLOOKUP($A78,IMPORTRANGE(""https://docs.google.com/spreadsheets/d/11NFkzOdQyW-OtxSDuGslNCgNjx7HUb2FU7KnlNnPMgY/edit#gid=0"",""'Game 10'!$B$2:$Q$31""),30,False),0)"),23.0)</f>
        <v>23</v>
      </c>
      <c r="L78" s="5">
        <f>IFERROR(__xludf.DUMMYFUNCTION("IFERROR(HLOOKUP($A78,IMPORTRANGE(""https://docs.google.com/spreadsheets/d/1CLg5-jaE4ta0-u4oE1qbBplQ5Mf3Oj9ONFgL0zJ7Ol4/edit#gid=0"",""'Game 10'!$B$2:$Q$31""),30,False),1)"),23.0)</f>
        <v>23</v>
      </c>
      <c r="M78" s="5">
        <f>IFERROR(__xludf.DUMMYFUNCTION("IFERROR(HLOOKUP($A78,IMPORTRANGE(""https://docs.google.com/spreadsheets/d/1CeexgK4KxWj3k_7nql_k8-RPxXMwTJyB4Q3vAASeDlA/edit#gid=0"",""'Game 9'!$B$2:$Q$31""),30,False),1)"),23.0)</f>
        <v>23</v>
      </c>
      <c r="N78" s="5">
        <f>IFERROR(__xludf.DUMMYFUNCTION("IFERROR(HLOOKUP($A78,IMPORTRANGE(""https://docs.google.com/spreadsheets/d/1MNwUNMjcwK6bEgCXwB73jpbK5gJAXS8ZMpbEMLJEP3E/edit#gid=0"",""'Game 5'!$B$2:$Q$31""),30,False),1)"),23.0)</f>
        <v>23</v>
      </c>
      <c r="O78" s="5">
        <f>IFERROR(__xludf.DUMMYFUNCTION("IFERROR(HLOOKUP($A78,IMPORTRANGE(""https://docs.google.com/spreadsheets/d/1UrzyxmT40kDZwVrLMf1yyXfP-pyczRAw9Y8Rw-uXG3c/edit#gid=0"",""'Game 3'!$B$2:$Q$31""),30,False),1)"),23.0)</f>
        <v>23</v>
      </c>
      <c r="P78" s="5">
        <f>IFERROR(__xludf.DUMMYFUNCTION("IFERROR(HLOOKUP($A78,IMPORTRANGE(""https://docs.google.com/spreadsheets/d/1iyMhSYWifw-KGFtyeBpNxVZr4BhcV9hVZuShgJ9Ia0E/edit#gid=0"",""'Game 13'!$B$2:$Q$31""),30,False),1)"),23.0)</f>
        <v>23</v>
      </c>
      <c r="Q78" s="5">
        <f>IFERROR(__xludf.DUMMYFUNCTION("IFERROR(HLOOKUP($A78,IMPORTRANGE(""https://docs.google.com/spreadsheets/d/1sSbIK-vvHsSY0LghLJ9gcnW8Hec_ITI2tFmpeqI999A/edit#gid=0"",""'Game 10'!$B$2:$Q$31""),30,False),1)"),23.0)</f>
        <v>23</v>
      </c>
      <c r="R78" s="6">
        <f t="shared" si="2"/>
        <v>345</v>
      </c>
    </row>
    <row r="79">
      <c r="A79" s="21" t="s">
        <v>195</v>
      </c>
      <c r="B79" s="21" t="s">
        <v>186</v>
      </c>
      <c r="C79" s="21">
        <v>0.0</v>
      </c>
      <c r="D79" s="21">
        <v>11.0</v>
      </c>
      <c r="E79" s="21">
        <v>12.0</v>
      </c>
      <c r="F79" s="21">
        <v>23.0</v>
      </c>
      <c r="G79" s="1">
        <v>23.0</v>
      </c>
      <c r="H79" s="7">
        <f>IFERROR(__xludf.DUMMYFUNCTION("HLOOKUP($A79,IMPORTRANGE(""https://docs.google.com/spreadsheets/d/16J5ie7OD1E99qGO9lMDm8w5Yls-v190B7DTolJ5TmFc/edit#gid=0"",""'Game 12'!$B$2:$Q$31""),30,False)"),23.0)</f>
        <v>23</v>
      </c>
      <c r="I79" s="1">
        <v>12.0</v>
      </c>
      <c r="J79" s="7">
        <f>IFERROR(__xludf.DUMMYFUNCTION("IFERROR(HLOOKUP($A79,IMPORTRANGE(""https://docs.google.com/spreadsheets/d/1CTYfdyRk_RFGM3I2iN9bKeD9zUPzEm1ajzml6VgwfIU/edit#gid=0"",""'Game 13'!$B$2:$Q$31""),30,False),0)"),12.0)</f>
        <v>12</v>
      </c>
      <c r="K79" s="7">
        <f>IFERROR(__xludf.DUMMYFUNCTION("IFERROR(HLOOKUP($A79,IMPORTRANGE(""https://docs.google.com/spreadsheets/d/11NFkzOdQyW-OtxSDuGslNCgNjx7HUb2FU7KnlNnPMgY/edit#gid=0"",""'Game 10'!$B$2:$Q$31""),30,False),0)"),23.0)</f>
        <v>23</v>
      </c>
      <c r="L79" s="7">
        <f>IFERROR(__xludf.DUMMYFUNCTION("IFERROR(HLOOKUP($A79,IMPORTRANGE(""https://docs.google.com/spreadsheets/d/1CLg5-jaE4ta0-u4oE1qbBplQ5Mf3Oj9ONFgL0zJ7Ol4/edit#gid=0"",""'Game 10'!$B$2:$Q$31""),30,False),1)"),23.0)</f>
        <v>23</v>
      </c>
      <c r="M79" s="7">
        <f>IFERROR(__xludf.DUMMYFUNCTION("IFERROR(HLOOKUP($A79,IMPORTRANGE(""https://docs.google.com/spreadsheets/d/1CeexgK4KxWj3k_7nql_k8-RPxXMwTJyB4Q3vAASeDlA/edit#gid=0"",""'Game 9'!$B$2:$Q$31""),30,False),1)"),23.0)</f>
        <v>23</v>
      </c>
      <c r="N79" s="7">
        <f>IFERROR(__xludf.DUMMYFUNCTION("IFERROR(HLOOKUP($A79,IMPORTRANGE(""https://docs.google.com/spreadsheets/d/1MNwUNMjcwK6bEgCXwB73jpbK5gJAXS8ZMpbEMLJEP3E/edit#gid=0"",""'Game 5'!$B$2:$Q$31""),30,False),1)"),23.0)</f>
        <v>23</v>
      </c>
      <c r="O79" s="7">
        <f>IFERROR(__xludf.DUMMYFUNCTION("IFERROR(HLOOKUP($A79,IMPORTRANGE(""https://docs.google.com/spreadsheets/d/1UrzyxmT40kDZwVrLMf1yyXfP-pyczRAw9Y8Rw-uXG3c/edit#gid=0"",""'Game 3'!$B$2:$Q$31""),30,False),1)"),23.0)</f>
        <v>23</v>
      </c>
      <c r="P79" s="7">
        <f>IFERROR(__xludf.DUMMYFUNCTION("IFERROR(HLOOKUP($A79,IMPORTRANGE(""https://docs.google.com/spreadsheets/d/1iyMhSYWifw-KGFtyeBpNxVZr4BhcV9hVZuShgJ9Ia0E/edit#gid=0"",""'Game 13'!$B$2:$Q$31""),30,False),1)"),23.0)</f>
        <v>23</v>
      </c>
      <c r="Q79" s="7">
        <f>IFERROR(__xludf.DUMMYFUNCTION("IFERROR(HLOOKUP($A79,IMPORTRANGE(""https://docs.google.com/spreadsheets/d/1sSbIK-vvHsSY0LghLJ9gcnW8Hec_ITI2tFmpeqI999A/edit#gid=0"",""'Game 10'!$B$2:$Q$31""),30,False),1)"),0.0)</f>
        <v>0</v>
      </c>
      <c r="R79" s="11">
        <f t="shared" si="2"/>
        <v>254</v>
      </c>
    </row>
    <row r="80">
      <c r="A80" s="3" t="s">
        <v>197</v>
      </c>
      <c r="B80" s="6" t="s">
        <v>198</v>
      </c>
      <c r="C80" s="18">
        <v>23.0</v>
      </c>
      <c r="D80" s="18">
        <v>23.0</v>
      </c>
      <c r="E80" s="18">
        <v>23.0</v>
      </c>
      <c r="F80" s="18">
        <v>23.0</v>
      </c>
      <c r="G80" s="3">
        <v>0.0</v>
      </c>
      <c r="H80" s="5">
        <f>IFERROR(__xludf.DUMMYFUNCTION("HLOOKUP($A80,IMPORTRANGE(""https://docs.google.com/spreadsheets/d/16J5ie7OD1E99qGO9lMDm8w5Yls-v190B7DTolJ5TmFc/edit#gid=0"",""'Game 3'!$B$2:$Q$31""),30,False)"),23.0)</f>
        <v>23</v>
      </c>
      <c r="I80" s="3">
        <v>0.0</v>
      </c>
      <c r="J80" s="5">
        <f>IFERROR(__xludf.DUMMYFUNCTION("IFERROR(HLOOKUP($A80,IMPORTRANGE(""https://docs.google.com/spreadsheets/d/1CTYfdyRk_RFGM3I2iN9bKeD9zUPzEm1ajzml6VgwfIU/edit#gid=0"",""'Game 5'!$B$2:$Q$31""),30,False),0)"),23.0)</f>
        <v>23</v>
      </c>
      <c r="K80" s="5">
        <f>IFERROR(__xludf.DUMMYFUNCTION("IFERROR(HLOOKUP($A80,IMPORTRANGE(""https://docs.google.com/spreadsheets/d/11NFkzOdQyW-OtxSDuGslNCgNjx7HUb2FU7KnlNnPMgY/edit#gid=0"",""'Game 2'!$B$2:$Q$31""),30,False),0)"),23.0)</f>
        <v>23</v>
      </c>
      <c r="L80" s="5">
        <f>IFERROR(__xludf.DUMMYFUNCTION("IFERROR(HLOOKUP($A80,IMPORTRANGE(""https://docs.google.com/spreadsheets/d/1CLg5-jaE4ta0-u4oE1qbBplQ5Mf3Oj9ONFgL0zJ7Ol4/edit#gid=0"",""'Game 3'!$B$2:$Q$31""),30,False),1)"),23.0)</f>
        <v>23</v>
      </c>
      <c r="M80" s="5">
        <f>IFERROR(__xludf.DUMMYFUNCTION("IFERROR(HLOOKUP($A80,IMPORTRANGE(""https://docs.google.com/spreadsheets/d/1CeexgK4KxWj3k_7nql_k8-RPxXMwTJyB4Q3vAASeDlA/edit#gid=0"",""'Game 7'!$B$2:$Q$31""),30,False),1)"),0.0)</f>
        <v>0</v>
      </c>
      <c r="N80" s="5">
        <f>IFERROR(__xludf.DUMMYFUNCTION("IFERROR(HLOOKUP($A80,IMPORTRANGE(""https://docs.google.com/spreadsheets/d/1MNwUNMjcwK6bEgCXwB73jpbK5gJAXS8ZMpbEMLJEP3E/edit#gid=0"",""'Game 4'!$B$2:$Q$31""),30,False),1)"),23.0)</f>
        <v>23</v>
      </c>
      <c r="O80" s="5">
        <f>IFERROR(__xludf.DUMMYFUNCTION("IFERROR(HLOOKUP($A80,IMPORTRANGE(""https://docs.google.com/spreadsheets/d/1UrzyxmT40kDZwVrLMf1yyXfP-pyczRAw9Y8Rw-uXG3c/edit#gid=0"",""'Game 12'!$B$2:$Q$31""),30,False),1)"),23.0)</f>
        <v>23</v>
      </c>
      <c r="P80" s="5">
        <f>IFERROR(__xludf.DUMMYFUNCTION("IFERROR(HLOOKUP($A80,IMPORTRANGE(""https://docs.google.com/spreadsheets/d/1iyMhSYWifw-KGFtyeBpNxVZr4BhcV9hVZuShgJ9Ia0E/edit#gid=0"",""'Game 13'!$B$2:$Q$31""),30,False),1)"),23.0)</f>
        <v>23</v>
      </c>
      <c r="Q80" s="5">
        <f>IFERROR(__xludf.DUMMYFUNCTION("IFERROR(HLOOKUP($A80,IMPORTRANGE(""https://docs.google.com/spreadsheets/d/1sSbIK-vvHsSY0LghLJ9gcnW8Hec_ITI2tFmpeqI999A/edit#gid=0"",""'Game 7'!$B$2:$Q$31""),30,False),1)"),23.0)</f>
        <v>23</v>
      </c>
      <c r="R80" s="6">
        <f t="shared" si="2"/>
        <v>276</v>
      </c>
    </row>
    <row r="81">
      <c r="A81" s="21" t="s">
        <v>201</v>
      </c>
      <c r="B81" s="11" t="s">
        <v>198</v>
      </c>
      <c r="C81" s="21">
        <v>11.0</v>
      </c>
      <c r="D81" s="21">
        <v>11.0</v>
      </c>
      <c r="E81" s="21">
        <v>11.0</v>
      </c>
      <c r="F81" s="21">
        <v>11.0</v>
      </c>
      <c r="G81" s="1">
        <v>23.0</v>
      </c>
      <c r="H81" s="7">
        <f>IFERROR(__xludf.DUMMYFUNCTION("HLOOKUP($A81,IMPORTRANGE(""https://docs.google.com/spreadsheets/d/16J5ie7OD1E99qGO9lMDm8w5Yls-v190B7DTolJ5TmFc/edit#gid=0"",""'Game 3'!$B$2:$Q$31""),30,False)"),11.0)</f>
        <v>11</v>
      </c>
      <c r="I81" s="1">
        <v>23.0</v>
      </c>
      <c r="J81" s="7">
        <f>IFERROR(__xludf.DUMMYFUNCTION("IFERROR(HLOOKUP($A81,IMPORTRANGE(""https://docs.google.com/spreadsheets/d/1CTYfdyRk_RFGM3I2iN9bKeD9zUPzEm1ajzml6VgwfIU/edit#gid=0"",""'Game 5'!$B$2:$Q$31""),30,False),0)"),12.0)</f>
        <v>12</v>
      </c>
      <c r="K81" s="7">
        <f>IFERROR(__xludf.DUMMYFUNCTION("IFERROR(HLOOKUP($A81,IMPORTRANGE(""https://docs.google.com/spreadsheets/d/11NFkzOdQyW-OtxSDuGslNCgNjx7HUb2FU7KnlNnPMgY/edit#gid=0"",""'Game 2'!$B$2:$Q$31""),30,False),0)"),11.0)</f>
        <v>11</v>
      </c>
      <c r="L81" s="7">
        <f>IFERROR(__xludf.DUMMYFUNCTION("IFERROR(HLOOKUP($A81,IMPORTRANGE(""https://docs.google.com/spreadsheets/d/1CLg5-jaE4ta0-u4oE1qbBplQ5Mf3Oj9ONFgL0zJ7Ol4/edit#gid=0"",""'Game 3'!$B$2:$Q$31""),30,False),1)"),11.0)</f>
        <v>11</v>
      </c>
      <c r="M81" s="7">
        <f>IFERROR(__xludf.DUMMYFUNCTION("IFERROR(HLOOKUP($A81,IMPORTRANGE(""https://docs.google.com/spreadsheets/d/1CeexgK4KxWj3k_7nql_k8-RPxXMwTJyB4Q3vAASeDlA/edit#gid=0"",""'Game 7'!$B$2:$Q$31""),30,False),1)"),23.0)</f>
        <v>23</v>
      </c>
      <c r="N81" s="7">
        <f>IFERROR(__xludf.DUMMYFUNCTION("IFERROR(HLOOKUP($A81,IMPORTRANGE(""https://docs.google.com/spreadsheets/d/1MNwUNMjcwK6bEgCXwB73jpbK5gJAXS8ZMpbEMLJEP3E/edit#gid=0"",""'Game 4'!$B$2:$Q$31""),30,False),1)"),23.0)</f>
        <v>23</v>
      </c>
      <c r="O81" s="7">
        <f>IFERROR(__xludf.DUMMYFUNCTION("IFERROR(HLOOKUP($A81,IMPORTRANGE(""https://docs.google.com/spreadsheets/d/1UrzyxmT40kDZwVrLMf1yyXfP-pyczRAw9Y8Rw-uXG3c/edit#gid=0"",""'Game 12'!$B$2:$Q$31""),30,False),1)"),12.0)</f>
        <v>12</v>
      </c>
      <c r="P81" s="7">
        <f>IFERROR(__xludf.DUMMYFUNCTION("IFERROR(HLOOKUP($A81,IMPORTRANGE(""https://docs.google.com/spreadsheets/d/1iyMhSYWifw-KGFtyeBpNxVZr4BhcV9hVZuShgJ9Ia0E/edit#gid=0"",""'Game 13'!$B$2:$Q$31""),30,False),1)"),12.0)</f>
        <v>12</v>
      </c>
      <c r="Q81" s="7">
        <f>IFERROR(__xludf.DUMMYFUNCTION("IFERROR(HLOOKUP($A81,IMPORTRANGE(""https://docs.google.com/spreadsheets/d/1sSbIK-vvHsSY0LghLJ9gcnW8Hec_ITI2tFmpeqI999A/edit#gid=0"",""'Game 7'!$B$2:$Q$31""),30,False),1)"),23.0)</f>
        <v>23</v>
      </c>
      <c r="R81" s="11">
        <f t="shared" si="2"/>
        <v>228</v>
      </c>
    </row>
    <row r="82">
      <c r="A82" s="18" t="s">
        <v>203</v>
      </c>
      <c r="B82" s="6" t="s">
        <v>198</v>
      </c>
      <c r="C82" s="18">
        <v>23.0</v>
      </c>
      <c r="D82" s="18">
        <v>23.0</v>
      </c>
      <c r="E82" s="18">
        <v>23.0</v>
      </c>
      <c r="F82" s="18">
        <v>23.0</v>
      </c>
      <c r="G82" s="3">
        <v>23.0</v>
      </c>
      <c r="H82" s="5">
        <f>IFERROR(__xludf.DUMMYFUNCTION("HLOOKUP($A82,IMPORTRANGE(""https://docs.google.com/spreadsheets/d/16J5ie7OD1E99qGO9lMDm8w5Yls-v190B7DTolJ5TmFc/edit#gid=0"",""'Game 3'!$B$2:$Q$31""),30,False)"),23.0)</f>
        <v>23</v>
      </c>
      <c r="I82" s="3">
        <v>23.0</v>
      </c>
      <c r="J82" s="5">
        <f>IFERROR(__xludf.DUMMYFUNCTION("IFERROR(HLOOKUP($A82,IMPORTRANGE(""https://docs.google.com/spreadsheets/d/1CTYfdyRk_RFGM3I2iN9bKeD9zUPzEm1ajzml6VgwfIU/edit#gid=0"",""'Game 5'!$B$2:$Q$31""),30,False),0)"),23.0)</f>
        <v>23</v>
      </c>
      <c r="K82" s="5">
        <f>IFERROR(__xludf.DUMMYFUNCTION("IFERROR(HLOOKUP($A82,IMPORTRANGE(""https://docs.google.com/spreadsheets/d/11NFkzOdQyW-OtxSDuGslNCgNjx7HUb2FU7KnlNnPMgY/edit#gid=0"",""'Game 2'!$B$2:$Q$31""),30,False),0)"),23.0)</f>
        <v>23</v>
      </c>
      <c r="L82" s="5">
        <f>IFERROR(__xludf.DUMMYFUNCTION("IFERROR(HLOOKUP($A82,IMPORTRANGE(""https://docs.google.com/spreadsheets/d/1CLg5-jaE4ta0-u4oE1qbBplQ5Mf3Oj9ONFgL0zJ7Ol4/edit#gid=0"",""'Game 3'!$B$2:$Q$31""),30,False),1)"),23.0)</f>
        <v>23</v>
      </c>
      <c r="M82" s="5">
        <f>IFERROR(__xludf.DUMMYFUNCTION("IFERROR(HLOOKUP($A82,IMPORTRANGE(""https://docs.google.com/spreadsheets/d/1CeexgK4KxWj3k_7nql_k8-RPxXMwTJyB4Q3vAASeDlA/edit#gid=0"",""'Game 7'!$B$2:$Q$31""),30,False),1)"),23.0)</f>
        <v>23</v>
      </c>
      <c r="N82" s="5">
        <f>IFERROR(__xludf.DUMMYFUNCTION("IFERROR(HLOOKUP($A82,IMPORTRANGE(""https://docs.google.com/spreadsheets/d/1MNwUNMjcwK6bEgCXwB73jpbK5gJAXS8ZMpbEMLJEP3E/edit#gid=0"",""'Game 4'!$B$2:$Q$31""),30,False),1)"),23.0)</f>
        <v>23</v>
      </c>
      <c r="O82" s="5">
        <f>IFERROR(__xludf.DUMMYFUNCTION("IFERROR(HLOOKUP($A82,IMPORTRANGE(""https://docs.google.com/spreadsheets/d/1UrzyxmT40kDZwVrLMf1yyXfP-pyczRAw9Y8Rw-uXG3c/edit#gid=0"",""'Game 12'!$B$2:$Q$31""),30,False),1)"),23.0)</f>
        <v>23</v>
      </c>
      <c r="P82" s="5">
        <f>IFERROR(__xludf.DUMMYFUNCTION("IFERROR(HLOOKUP($A82,IMPORTRANGE(""https://docs.google.com/spreadsheets/d/1iyMhSYWifw-KGFtyeBpNxVZr4BhcV9hVZuShgJ9Ia0E/edit#gid=0"",""'Game 13'!$B$2:$Q$31""),30,False),1)"),23.0)</f>
        <v>23</v>
      </c>
      <c r="Q82" s="5">
        <f>IFERROR(__xludf.DUMMYFUNCTION("IFERROR(HLOOKUP($A82,IMPORTRANGE(""https://docs.google.com/spreadsheets/d/1sSbIK-vvHsSY0LghLJ9gcnW8Hec_ITI2tFmpeqI999A/edit#gid=0"",""'Game 7'!$B$2:$Q$31""),30,False),1)"),23.0)</f>
        <v>23</v>
      </c>
      <c r="R82" s="6">
        <f t="shared" si="2"/>
        <v>345</v>
      </c>
    </row>
    <row r="83">
      <c r="A83" s="1" t="s">
        <v>206</v>
      </c>
      <c r="B83" s="1" t="s">
        <v>198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28">
        <v>0.0</v>
      </c>
      <c r="I83" s="1">
        <v>23.0</v>
      </c>
      <c r="J83" s="7">
        <f>IFERROR(__xludf.DUMMYFUNCTION("IFERROR(HLOOKUP($A83,IMPORTRANGE(""https://docs.google.com/spreadsheets/d/1CTYfdyRk_RFGM3I2iN9bKeD9zUPzEm1ajzml6VgwfIU/edit#gid=0"",""'Game 5'!$B$2:$Q$31""),30,False),0)"),0.0)</f>
        <v>0</v>
      </c>
      <c r="K83" s="7">
        <f>IFERROR(__xludf.DUMMYFUNCTION("IFERROR(HLOOKUP($A83,IMPORTRANGE(""https://docs.google.com/spreadsheets/d/11NFkzOdQyW-OtxSDuGslNCgNjx7HUb2FU7KnlNnPMgY/edit#gid=0"",""'Game 2'!$B$2:$Q$31""),30,False),0)"),0.0)</f>
        <v>0</v>
      </c>
      <c r="L83" s="7">
        <f>IFERROR(__xludf.DUMMYFUNCTION("IFERROR(HLOOKUP($A83,IMPORTRANGE(""https://docs.google.com/spreadsheets/d/1CLg5-jaE4ta0-u4oE1qbBplQ5Mf3Oj9ONFgL0zJ7Ol4/edit#gid=0"",""'Game 3'!$B$2:$Q$31""),30,False),1)"),0.0)</f>
        <v>0</v>
      </c>
      <c r="M83" s="7">
        <f>IFERROR(__xludf.DUMMYFUNCTION("IFERROR(HLOOKUP($A83,IMPORTRANGE(""https://docs.google.com/spreadsheets/d/1CeexgK4KxWj3k_7nql_k8-RPxXMwTJyB4Q3vAASeDlA/edit#gid=0"",""'Game 7'!$B$2:$Q$31""),30,False),1)"),0.0)</f>
        <v>0</v>
      </c>
      <c r="N83" s="7">
        <f>IFERROR(__xludf.DUMMYFUNCTION("IFERROR(HLOOKUP($A83,IMPORTRANGE(""https://docs.google.com/spreadsheets/d/1MNwUNMjcwK6bEgCXwB73jpbK5gJAXS8ZMpbEMLJEP3E/edit#gid=0"",""'Game 4'!$B$2:$Q$31""),30,False),1)"),0.0)</f>
        <v>0</v>
      </c>
      <c r="O83" s="7">
        <f>IFERROR(__xludf.DUMMYFUNCTION("IFERROR(HLOOKUP($A83,IMPORTRANGE(""https://docs.google.com/spreadsheets/d/1UrzyxmT40kDZwVrLMf1yyXfP-pyczRAw9Y8Rw-uXG3c/edit#gid=0"",""'Game 12'!$B$2:$Q$31""),30,False),1)"),0.0)</f>
        <v>0</v>
      </c>
      <c r="P83" s="7">
        <f>IFERROR(__xludf.DUMMYFUNCTION("IFERROR(HLOOKUP($A83,IMPORTRANGE(""https://docs.google.com/spreadsheets/d/1iyMhSYWifw-KGFtyeBpNxVZr4BhcV9hVZuShgJ9Ia0E/edit#gid=0"",""'Game 13'!$B$2:$Q$31""),30,False),1)"),0.0)</f>
        <v>0</v>
      </c>
      <c r="Q83" s="7">
        <f>IFERROR(__xludf.DUMMYFUNCTION("IFERROR(HLOOKUP($A83,IMPORTRANGE(""https://docs.google.com/spreadsheets/d/1sSbIK-vvHsSY0LghLJ9gcnW8Hec_ITI2tFmpeqI999A/edit#gid=0"",""'Game 7'!$B$2:$Q$31""),30,False),1)"),0.0)</f>
        <v>0</v>
      </c>
      <c r="R83" s="11">
        <f t="shared" si="2"/>
        <v>23</v>
      </c>
    </row>
    <row r="84">
      <c r="A84" s="18" t="s">
        <v>208</v>
      </c>
      <c r="B84" s="6" t="s">
        <v>198</v>
      </c>
      <c r="C84" s="18">
        <v>12.0</v>
      </c>
      <c r="D84" s="18">
        <v>12.0</v>
      </c>
      <c r="E84" s="18">
        <v>12.0</v>
      </c>
      <c r="F84" s="18">
        <v>12.0</v>
      </c>
      <c r="G84" s="3">
        <v>23.0</v>
      </c>
      <c r="H84" s="5">
        <f>IFERROR(__xludf.DUMMYFUNCTION("HLOOKUP($A84,IMPORTRANGE(""https://docs.google.com/spreadsheets/d/16J5ie7OD1E99qGO9lMDm8w5Yls-v190B7DTolJ5TmFc/edit#gid=0"",""'Game 3'!$B$2:$Q$31""),30,False)"),12.0)</f>
        <v>12</v>
      </c>
      <c r="I84" s="3">
        <v>23.0</v>
      </c>
      <c r="J84" s="5">
        <f>IFERROR(__xludf.DUMMYFUNCTION("IFERROR(HLOOKUP($A84,IMPORTRANGE(""https://docs.google.com/spreadsheets/d/1CTYfdyRk_RFGM3I2iN9bKeD9zUPzEm1ajzml6VgwfIU/edit#gid=0"",""'Game 5'!$B$2:$Q$31""),30,False),0)"),11.0)</f>
        <v>11</v>
      </c>
      <c r="K84" s="5">
        <f>IFERROR(__xludf.DUMMYFUNCTION("IFERROR(HLOOKUP($A84,IMPORTRANGE(""https://docs.google.com/spreadsheets/d/11NFkzOdQyW-OtxSDuGslNCgNjx7HUb2FU7KnlNnPMgY/edit#gid=0"",""'Game 2'!$B$2:$Q$31""),30,False),0)"),12.0)</f>
        <v>12</v>
      </c>
      <c r="L84" s="5">
        <f>IFERROR(__xludf.DUMMYFUNCTION("IFERROR(HLOOKUP($A84,IMPORTRANGE(""https://docs.google.com/spreadsheets/d/1CLg5-jaE4ta0-u4oE1qbBplQ5Mf3Oj9ONFgL0zJ7Ol4/edit#gid=0"",""'Game 3'!$B$2:$Q$31""),30,False),1)"),12.0)</f>
        <v>12</v>
      </c>
      <c r="M84" s="5">
        <f>IFERROR(__xludf.DUMMYFUNCTION("IFERROR(HLOOKUP($A84,IMPORTRANGE(""https://docs.google.com/spreadsheets/d/1CeexgK4KxWj3k_7nql_k8-RPxXMwTJyB4Q3vAASeDlA/edit#gid=0"",""'Game 7'!$B$2:$Q$31""),30,False),1)"),23.0)</f>
        <v>23</v>
      </c>
      <c r="N84" s="5">
        <f>IFERROR(__xludf.DUMMYFUNCTION("IFERROR(HLOOKUP($A84,IMPORTRANGE(""https://docs.google.com/spreadsheets/d/1MNwUNMjcwK6bEgCXwB73jpbK5gJAXS8ZMpbEMLJEP3E/edit#gid=0"",""'Game 4'!$B$2:$Q$31""),30,False),1)"),0.0)</f>
        <v>0</v>
      </c>
      <c r="O84" s="5">
        <f>IFERROR(__xludf.DUMMYFUNCTION("IFERROR(HLOOKUP($A84,IMPORTRANGE(""https://docs.google.com/spreadsheets/d/1UrzyxmT40kDZwVrLMf1yyXfP-pyczRAw9Y8Rw-uXG3c/edit#gid=0"",""'Game 12'!$B$2:$Q$31""),30,False),1)"),11.0)</f>
        <v>11</v>
      </c>
      <c r="P84" s="5">
        <f>IFERROR(__xludf.DUMMYFUNCTION("IFERROR(HLOOKUP($A84,IMPORTRANGE(""https://docs.google.com/spreadsheets/d/1iyMhSYWifw-KGFtyeBpNxVZr4BhcV9hVZuShgJ9Ia0E/edit#gid=0"",""'Game 13'!$B$2:$Q$31""),30,False),1)"),11.0)</f>
        <v>11</v>
      </c>
      <c r="Q84" s="5">
        <f>IFERROR(__xludf.DUMMYFUNCTION("IFERROR(HLOOKUP($A84,IMPORTRANGE(""https://docs.google.com/spreadsheets/d/1sSbIK-vvHsSY0LghLJ9gcnW8Hec_ITI2tFmpeqI999A/edit#gid=0"",""'Game 7'!$B$2:$Q$31""),30,False),1)"),23.0)</f>
        <v>23</v>
      </c>
      <c r="R84" s="6">
        <f t="shared" si="2"/>
        <v>209</v>
      </c>
    </row>
    <row r="85">
      <c r="A85" s="21" t="s">
        <v>211</v>
      </c>
      <c r="B85" s="21" t="s">
        <v>198</v>
      </c>
      <c r="C85" s="21">
        <v>23.0</v>
      </c>
      <c r="D85" s="21">
        <v>23.0</v>
      </c>
      <c r="E85" s="21">
        <v>23.0</v>
      </c>
      <c r="F85" s="21">
        <v>23.0</v>
      </c>
      <c r="G85" s="1">
        <v>23.0</v>
      </c>
      <c r="H85" s="7">
        <f>IFERROR(__xludf.DUMMYFUNCTION("HLOOKUP($A85,IMPORTRANGE(""https://docs.google.com/spreadsheets/d/16J5ie7OD1E99qGO9lMDm8w5Yls-v190B7DTolJ5TmFc/edit#gid=0"",""'Game 3'!$B$2:$Q$31""),30,False)"),23.0)</f>
        <v>23</v>
      </c>
      <c r="I85" s="1">
        <v>0.0</v>
      </c>
      <c r="J85" s="7">
        <f>IFERROR(__xludf.DUMMYFUNCTION("IFERROR(HLOOKUP($A85,IMPORTRANGE(""https://docs.google.com/spreadsheets/d/1CTYfdyRk_RFGM3I2iN9bKeD9zUPzEm1ajzml6VgwfIU/edit#gid=0"",""'Game 5'!$B$2:$Q$31""),30,False),0)"),23.0)</f>
        <v>23</v>
      </c>
      <c r="K85" s="7">
        <f>IFERROR(__xludf.DUMMYFUNCTION("IFERROR(HLOOKUP($A85,IMPORTRANGE(""https://docs.google.com/spreadsheets/d/11NFkzOdQyW-OtxSDuGslNCgNjx7HUb2FU7KnlNnPMgY/edit#gid=0"",""'Game 2'!$B$2:$Q$31""),30,False),0)"),23.0)</f>
        <v>23</v>
      </c>
      <c r="L85" s="7">
        <f>IFERROR(__xludf.DUMMYFUNCTION("IFERROR(HLOOKUP($A85,IMPORTRANGE(""https://docs.google.com/spreadsheets/d/1CLg5-jaE4ta0-u4oE1qbBplQ5Mf3Oj9ONFgL0zJ7Ol4/edit#gid=0"",""'Game 3'!$B$2:$Q$31""),30,False),1)"),23.0)</f>
        <v>23</v>
      </c>
      <c r="M85" s="7">
        <f>IFERROR(__xludf.DUMMYFUNCTION("IFERROR(HLOOKUP($A85,IMPORTRANGE(""https://docs.google.com/spreadsheets/d/1CeexgK4KxWj3k_7nql_k8-RPxXMwTJyB4Q3vAASeDlA/edit#gid=0"",""'Game 7'!$B$2:$Q$31""),30,False),1)"),23.0)</f>
        <v>23</v>
      </c>
      <c r="N85" s="7">
        <f>IFERROR(__xludf.DUMMYFUNCTION("IFERROR(HLOOKUP($A85,IMPORTRANGE(""https://docs.google.com/spreadsheets/d/1MNwUNMjcwK6bEgCXwB73jpbK5gJAXS8ZMpbEMLJEP3E/edit#gid=0"",""'Game 4'!$B$2:$Q$31""),30,False),1)"),23.0)</f>
        <v>23</v>
      </c>
      <c r="O85" s="7">
        <f>IFERROR(__xludf.DUMMYFUNCTION("IFERROR(HLOOKUP($A85,IMPORTRANGE(""https://docs.google.com/spreadsheets/d/1UrzyxmT40kDZwVrLMf1yyXfP-pyczRAw9Y8Rw-uXG3c/edit#gid=0"",""'Game 12'!$B$2:$Q$31""),30,False),1)"),23.0)</f>
        <v>23</v>
      </c>
      <c r="P85" s="7">
        <f>IFERROR(__xludf.DUMMYFUNCTION("IFERROR(HLOOKUP($A85,IMPORTRANGE(""https://docs.google.com/spreadsheets/d/1iyMhSYWifw-KGFtyeBpNxVZr4BhcV9hVZuShgJ9Ia0E/edit#gid=0"",""'Game 13'!$B$2:$Q$31""),30,False),1)"),23.0)</f>
        <v>23</v>
      </c>
      <c r="Q85" s="7">
        <f>IFERROR(__xludf.DUMMYFUNCTION("IFERROR(HLOOKUP($A85,IMPORTRANGE(""https://docs.google.com/spreadsheets/d/1sSbIK-vvHsSY0LghLJ9gcnW8Hec_ITI2tFmpeqI999A/edit#gid=0"",""'Game 7'!$B$2:$Q$31""),30,False),1)"),0.0)</f>
        <v>0</v>
      </c>
      <c r="R85" s="11">
        <f t="shared" si="2"/>
        <v>299</v>
      </c>
    </row>
    <row r="86">
      <c r="A86" s="18" t="s">
        <v>212</v>
      </c>
      <c r="B86" s="18" t="s">
        <v>213</v>
      </c>
      <c r="C86" s="18">
        <v>12.0</v>
      </c>
      <c r="D86" s="18">
        <v>11.0</v>
      </c>
      <c r="E86" s="18">
        <v>0.0</v>
      </c>
      <c r="F86" s="18">
        <v>0.0</v>
      </c>
      <c r="G86" s="3">
        <v>0.0</v>
      </c>
      <c r="H86" s="5">
        <f>IFERROR(__xludf.DUMMYFUNCTION("HLOOKUP($A86,IMPORTRANGE(""https://docs.google.com/spreadsheets/d/16J5ie7OD1E99qGO9lMDm8w5Yls-v190B7DTolJ5TmFc/edit#gid=0"",""'Game 4'!$B$2:$Q$31""),30,False)"),0.0)</f>
        <v>0</v>
      </c>
      <c r="I86" s="3">
        <v>0.0</v>
      </c>
      <c r="J86" s="5">
        <f>IFERROR(__xludf.DUMMYFUNCTION("IFERROR(HLOOKUP($A86,IMPORTRANGE(""https://docs.google.com/spreadsheets/d/1CTYfdyRk_RFGM3I2iN9bKeD9zUPzEm1ajzml6VgwfIU/edit#gid=0"",""'Game 8'!$B$2:$Q$31""),30,False),0)"),0.0)</f>
        <v>0</v>
      </c>
      <c r="K86" s="5">
        <f>IFERROR(__xludf.DUMMYFUNCTION("IFERROR(HLOOKUP($A86,IMPORTRANGE(""https://docs.google.com/spreadsheets/d/11NFkzOdQyW-OtxSDuGslNCgNjx7HUb2FU7KnlNnPMgY/edit#gid=0"",""'Game 8'!$B$2:$Q$31""),30,False),0)"),0.0)</f>
        <v>0</v>
      </c>
      <c r="L86" s="5">
        <f>IFERROR(__xludf.DUMMYFUNCTION("IFERROR(HLOOKUP($A86,IMPORTRANGE(""https://docs.google.com/spreadsheets/d/1CLg5-jaE4ta0-u4oE1qbBplQ5Mf3Oj9ONFgL0zJ7Ol4/edit#gid=0"",""'Game 9'!$B$2:$Q$31""),30,False),1)"),0.0)</f>
        <v>0</v>
      </c>
      <c r="M86" s="5">
        <f>IFERROR(__xludf.DUMMYFUNCTION("IFERROR(HLOOKUP($A86,IMPORTRANGE(""https://docs.google.com/spreadsheets/d/1CeexgK4KxWj3k_7nql_k8-RPxXMwTJyB4Q3vAASeDlA/edit#gid=0"",""'Game 2'!$B$2:$Q$31""),30,False),1)"),0.0)</f>
        <v>0</v>
      </c>
      <c r="N86" s="5">
        <f>IFERROR(__xludf.DUMMYFUNCTION("IFERROR(HLOOKUP($A86,IMPORTRANGE(""https://docs.google.com/spreadsheets/d/1MNwUNMjcwK6bEgCXwB73jpbK5gJAXS8ZMpbEMLJEP3E/edit#gid=0"",""'Game 8'!$B$2:$Q$31""),30,False),1)"),0.0)</f>
        <v>0</v>
      </c>
      <c r="O86" s="5">
        <f>IFERROR(__xludf.DUMMYFUNCTION("IFERROR(HLOOKUP($A86,IMPORTRANGE(""https://docs.google.com/spreadsheets/d/1UrzyxmT40kDZwVrLMf1yyXfP-pyczRAw9Y8Rw-uXG3c/edit#gid=0"",""'Game 8'!$B$2:$Q$31""),30,False),1)"),0.0)</f>
        <v>0</v>
      </c>
      <c r="P86" s="5">
        <f>IFERROR(__xludf.DUMMYFUNCTION("IFERROR(HLOOKUP($A86,IMPORTRANGE(""https://docs.google.com/spreadsheets/d/1iyMhSYWifw-KGFtyeBpNxVZr4BhcV9hVZuShgJ9Ia0E/edit#gid=0"",""'Game 8'!$B$2:$Q$31""),30,False),1)"),0.0)</f>
        <v>0</v>
      </c>
      <c r="Q86" s="5">
        <f>IFERROR(__xludf.DUMMYFUNCTION("IFERROR(HLOOKUP($A86,IMPORTRANGE(""https://docs.google.com/spreadsheets/d/1sSbIK-vvHsSY0LghLJ9gcnW8Hec_ITI2tFmpeqI999A/edit#gid=0"",""'Game 7'!$B$2:$Q$31""),30,False),1)"),23.0)</f>
        <v>23</v>
      </c>
      <c r="R86" s="6">
        <f t="shared" si="2"/>
        <v>46</v>
      </c>
    </row>
    <row r="87">
      <c r="A87" s="21" t="s">
        <v>215</v>
      </c>
      <c r="B87" s="11" t="s">
        <v>213</v>
      </c>
      <c r="C87" s="21">
        <v>23.0</v>
      </c>
      <c r="D87" s="21">
        <v>23.0</v>
      </c>
      <c r="E87" s="21">
        <v>23.0</v>
      </c>
      <c r="F87" s="21">
        <v>23.0</v>
      </c>
      <c r="G87" s="1">
        <v>23.0</v>
      </c>
      <c r="H87" s="7">
        <f>IFERROR(__xludf.DUMMYFUNCTION("HLOOKUP($A87,IMPORTRANGE(""https://docs.google.com/spreadsheets/d/16J5ie7OD1E99qGO9lMDm8w5Yls-v190B7DTolJ5TmFc/edit#gid=0"",""'Game 4'!$B$2:$Q$31""),30,False)"),23.0)</f>
        <v>23</v>
      </c>
      <c r="I87" s="1">
        <v>23.0</v>
      </c>
      <c r="J87" s="7">
        <f>IFERROR(__xludf.DUMMYFUNCTION("IFERROR(HLOOKUP($A87,IMPORTRANGE(""https://docs.google.com/spreadsheets/d/1CTYfdyRk_RFGM3I2iN9bKeD9zUPzEm1ajzml6VgwfIU/edit#gid=0"",""'Game 8'!$B$2:$Q$31""),30,False),0)"),23.0)</f>
        <v>23</v>
      </c>
      <c r="K87" s="7">
        <f>IFERROR(__xludf.DUMMYFUNCTION("IFERROR(HLOOKUP($A87,IMPORTRANGE(""https://docs.google.com/spreadsheets/d/11NFkzOdQyW-OtxSDuGslNCgNjx7HUb2FU7KnlNnPMgY/edit#gid=0"",""'Game 8'!$B$2:$Q$31""),30,False),0)"),22.0)</f>
        <v>22</v>
      </c>
      <c r="L87" s="7">
        <f>IFERROR(__xludf.DUMMYFUNCTION("IFERROR(HLOOKUP($A87,IMPORTRANGE(""https://docs.google.com/spreadsheets/d/1CLg5-jaE4ta0-u4oE1qbBplQ5Mf3Oj9ONFgL0zJ7Ol4/edit#gid=0"",""'Game 9'!$B$2:$Q$31""),30,False),1)"),23.0)</f>
        <v>23</v>
      </c>
      <c r="M87" s="7">
        <f>IFERROR(__xludf.DUMMYFUNCTION("IFERROR(HLOOKUP($A87,IMPORTRANGE(""https://docs.google.com/spreadsheets/d/1CeexgK4KxWj3k_7nql_k8-RPxXMwTJyB4Q3vAASeDlA/edit#gid=0"",""'Game 2'!$B$2:$Q$31""),30,False),1)"),23.0)</f>
        <v>23</v>
      </c>
      <c r="N87" s="7">
        <f>IFERROR(__xludf.DUMMYFUNCTION("IFERROR(HLOOKUP($A87,IMPORTRANGE(""https://docs.google.com/spreadsheets/d/1MNwUNMjcwK6bEgCXwB73jpbK5gJAXS8ZMpbEMLJEP3E/edit#gid=0"",""'Game 8'!$B$2:$Q$31""),30,False),1)"),23.0)</f>
        <v>23</v>
      </c>
      <c r="O87" s="7">
        <f>IFERROR(__xludf.DUMMYFUNCTION("IFERROR(HLOOKUP($A87,IMPORTRANGE(""https://docs.google.com/spreadsheets/d/1UrzyxmT40kDZwVrLMf1yyXfP-pyczRAw9Y8Rw-uXG3c/edit#gid=0"",""'Game 8'!$B$2:$Q$31""),30,False),1)"),23.0)</f>
        <v>23</v>
      </c>
      <c r="P87" s="7">
        <f>IFERROR(__xludf.DUMMYFUNCTION("IFERROR(HLOOKUP($A87,IMPORTRANGE(""https://docs.google.com/spreadsheets/d/1iyMhSYWifw-KGFtyeBpNxVZr4BhcV9hVZuShgJ9Ia0E/edit#gid=0"",""'Game 8'!$B$2:$Q$31""),30,False),1)"),23.0)</f>
        <v>23</v>
      </c>
      <c r="Q87" s="7">
        <f>IFERROR(__xludf.DUMMYFUNCTION("IFERROR(HLOOKUP($A87,IMPORTRANGE(""https://docs.google.com/spreadsheets/d/1sSbIK-vvHsSY0LghLJ9gcnW8Hec_ITI2tFmpeqI999A/edit#gid=0"",""'Game 7'!$B$2:$Q$31""),30,False),1)"),23.0)</f>
        <v>23</v>
      </c>
      <c r="R87" s="11">
        <f t="shared" si="2"/>
        <v>344</v>
      </c>
    </row>
    <row r="88">
      <c r="A88" s="18" t="s">
        <v>217</v>
      </c>
      <c r="B88" s="6" t="s">
        <v>213</v>
      </c>
      <c r="C88" s="18">
        <v>11.0</v>
      </c>
      <c r="D88" s="18">
        <v>0.0</v>
      </c>
      <c r="E88" s="18">
        <v>0.0</v>
      </c>
      <c r="F88" s="18">
        <v>0.0</v>
      </c>
      <c r="G88" s="3">
        <v>0.0</v>
      </c>
      <c r="H88" s="5">
        <f>IFERROR(__xludf.DUMMYFUNCTION("HLOOKUP($A88,IMPORTRANGE(""https://docs.google.com/spreadsheets/d/16J5ie7OD1E99qGO9lMDm8w5Yls-v190B7DTolJ5TmFc/edit#gid=0"",""'Game 4'!$B$2:$Q$31""),30,False)"),0.0)</f>
        <v>0</v>
      </c>
      <c r="I88" s="3">
        <v>0.0</v>
      </c>
      <c r="J88" s="5">
        <f>IFERROR(__xludf.DUMMYFUNCTION("IFERROR(HLOOKUP($A88,IMPORTRANGE(""https://docs.google.com/spreadsheets/d/1CTYfdyRk_RFGM3I2iN9bKeD9zUPzEm1ajzml6VgwfIU/edit#gid=0"",""'Game 8'!$B$2:$Q$31""),30,False),0)"),0.0)</f>
        <v>0</v>
      </c>
      <c r="K88" s="5">
        <f>IFERROR(__xludf.DUMMYFUNCTION("IFERROR(HLOOKUP($A88,IMPORTRANGE(""https://docs.google.com/spreadsheets/d/11NFkzOdQyW-OtxSDuGslNCgNjx7HUb2FU7KnlNnPMgY/edit#gid=0"",""'Game 8'!$B$2:$Q$31""),30,False),0)"),0.0)</f>
        <v>0</v>
      </c>
      <c r="L88" s="5">
        <f>IFERROR(__xludf.DUMMYFUNCTION("IFERROR(HLOOKUP($A88,IMPORTRANGE(""https://docs.google.com/spreadsheets/d/1CLg5-jaE4ta0-u4oE1qbBplQ5Mf3Oj9ONFgL0zJ7Ol4/edit#gid=0"",""'Game 9'!$B$2:$Q$31""),30,False),1)"),0.0)</f>
        <v>0</v>
      </c>
      <c r="M88" s="5">
        <f>IFERROR(__xludf.DUMMYFUNCTION("IFERROR(HLOOKUP($A88,IMPORTRANGE(""https://docs.google.com/spreadsheets/d/1CeexgK4KxWj3k_7nql_k8-RPxXMwTJyB4Q3vAASeDlA/edit#gid=0"",""'Game 2'!$B$2:$Q$31""),30,False),1)"),0.0)</f>
        <v>0</v>
      </c>
      <c r="N88" s="5">
        <f>IFERROR(__xludf.DUMMYFUNCTION("IFERROR(HLOOKUP($A88,IMPORTRANGE(""https://docs.google.com/spreadsheets/d/1MNwUNMjcwK6bEgCXwB73jpbK5gJAXS8ZMpbEMLJEP3E/edit#gid=0"",""'Game 8'!$B$2:$Q$31""),30,False),1)"),0.0)</f>
        <v>0</v>
      </c>
      <c r="O88" s="5">
        <f>IFERROR(__xludf.DUMMYFUNCTION("IFERROR(HLOOKUP($A88,IMPORTRANGE(""https://docs.google.com/spreadsheets/d/1UrzyxmT40kDZwVrLMf1yyXfP-pyczRAw9Y8Rw-uXG3c/edit#gid=0"",""'Game 8'!$B$2:$Q$31""),30,False),1)"),0.0)</f>
        <v>0</v>
      </c>
      <c r="P88" s="5">
        <f>IFERROR(__xludf.DUMMYFUNCTION("IFERROR(HLOOKUP($A88,IMPORTRANGE(""https://docs.google.com/spreadsheets/d/1iyMhSYWifw-KGFtyeBpNxVZr4BhcV9hVZuShgJ9Ia0E/edit#gid=0"",""'Game 8'!$B$2:$Q$31""),30,False),1)"),0.0)</f>
        <v>0</v>
      </c>
      <c r="Q88" s="5">
        <f>IFERROR(__xludf.DUMMYFUNCTION("IFERROR(HLOOKUP($A88,IMPORTRANGE(""https://docs.google.com/spreadsheets/d/1sSbIK-vvHsSY0LghLJ9gcnW8Hec_ITI2tFmpeqI999A/edit#gid=0"",""'Game 7'!$B$2:$Q$31""),30,False),1)"),0.0)</f>
        <v>0</v>
      </c>
      <c r="R88" s="6">
        <f t="shared" si="2"/>
        <v>11</v>
      </c>
    </row>
    <row r="89">
      <c r="A89" s="21" t="s">
        <v>219</v>
      </c>
      <c r="B89" s="11" t="s">
        <v>213</v>
      </c>
      <c r="C89" s="21">
        <v>23.0</v>
      </c>
      <c r="D89" s="21">
        <v>23.0</v>
      </c>
      <c r="E89" s="21">
        <v>23.0</v>
      </c>
      <c r="F89" s="21">
        <v>23.0</v>
      </c>
      <c r="G89" s="1">
        <v>23.0</v>
      </c>
      <c r="H89" s="7">
        <f>IFERROR(__xludf.DUMMYFUNCTION("HLOOKUP($A89,IMPORTRANGE(""https://docs.google.com/spreadsheets/d/16J5ie7OD1E99qGO9lMDm8w5Yls-v190B7DTolJ5TmFc/edit#gid=0"",""'Game 4'!$B$2:$Q$31""),30,False)"),23.0)</f>
        <v>23</v>
      </c>
      <c r="I89" s="1">
        <v>23.0</v>
      </c>
      <c r="J89" s="7">
        <f>IFERROR(__xludf.DUMMYFUNCTION("IFERROR(HLOOKUP($A89,IMPORTRANGE(""https://docs.google.com/spreadsheets/d/1CTYfdyRk_RFGM3I2iN9bKeD9zUPzEm1ajzml6VgwfIU/edit#gid=0"",""'Game 8'!$B$2:$Q$31""),30,False),0)"),23.0)</f>
        <v>23</v>
      </c>
      <c r="K89" s="7">
        <f>IFERROR(__xludf.DUMMYFUNCTION("IFERROR(HLOOKUP($A89,IMPORTRANGE(""https://docs.google.com/spreadsheets/d/11NFkzOdQyW-OtxSDuGslNCgNjx7HUb2FU7KnlNnPMgY/edit#gid=0"",""'Game 8'!$B$2:$Q$31""),30,False),0)"),23.0)</f>
        <v>23</v>
      </c>
      <c r="L89" s="7">
        <f>IFERROR(__xludf.DUMMYFUNCTION("IFERROR(HLOOKUP($A89,IMPORTRANGE(""https://docs.google.com/spreadsheets/d/1CLg5-jaE4ta0-u4oE1qbBplQ5Mf3Oj9ONFgL0zJ7Ol4/edit#gid=0"",""'Game 9'!$B$2:$Q$31""),30,False),1)"),0.0)</f>
        <v>0</v>
      </c>
      <c r="M89" s="7">
        <f>IFERROR(__xludf.DUMMYFUNCTION("IFERROR(HLOOKUP($A89,IMPORTRANGE(""https://docs.google.com/spreadsheets/d/1CeexgK4KxWj3k_7nql_k8-RPxXMwTJyB4Q3vAASeDlA/edit#gid=0"",""'Game 2'!$B$2:$Q$31""),30,False),1)"),23.0)</f>
        <v>23</v>
      </c>
      <c r="N89" s="7">
        <f>IFERROR(__xludf.DUMMYFUNCTION("IFERROR(HLOOKUP($A89,IMPORTRANGE(""https://docs.google.com/spreadsheets/d/1MNwUNMjcwK6bEgCXwB73jpbK5gJAXS8ZMpbEMLJEP3E/edit#gid=0"",""'Game 8'!$B$2:$Q$31""),30,False),1)"),23.0)</f>
        <v>23</v>
      </c>
      <c r="O89" s="7">
        <f>IFERROR(__xludf.DUMMYFUNCTION("IFERROR(HLOOKUP($A89,IMPORTRANGE(""https://docs.google.com/spreadsheets/d/1UrzyxmT40kDZwVrLMf1yyXfP-pyczRAw9Y8Rw-uXG3c/edit#gid=0"",""'Game 8'!$B$2:$Q$31""),30,False),1)"),23.0)</f>
        <v>23</v>
      </c>
      <c r="P89" s="7">
        <f>IFERROR(__xludf.DUMMYFUNCTION("IFERROR(HLOOKUP($A89,IMPORTRANGE(""https://docs.google.com/spreadsheets/d/1iyMhSYWifw-KGFtyeBpNxVZr4BhcV9hVZuShgJ9Ia0E/edit#gid=0"",""'Game 8'!$B$2:$Q$31""),30,False),1)"),23.0)</f>
        <v>23</v>
      </c>
      <c r="Q89" s="7">
        <f>IFERROR(__xludf.DUMMYFUNCTION("IFERROR(HLOOKUP($A89,IMPORTRANGE(""https://docs.google.com/spreadsheets/d/1sSbIK-vvHsSY0LghLJ9gcnW8Hec_ITI2tFmpeqI999A/edit#gid=0"",""'Game 7'!$B$2:$Q$31""),30,False),1)"),23.0)</f>
        <v>23</v>
      </c>
      <c r="R89" s="11">
        <f t="shared" si="2"/>
        <v>322</v>
      </c>
    </row>
    <row r="90">
      <c r="A90" s="18" t="s">
        <v>221</v>
      </c>
      <c r="B90" s="6" t="s">
        <v>213</v>
      </c>
      <c r="C90" s="18">
        <v>0.0</v>
      </c>
      <c r="D90" s="18">
        <v>12.0</v>
      </c>
      <c r="E90" s="18">
        <v>23.0</v>
      </c>
      <c r="F90" s="18">
        <v>23.0</v>
      </c>
      <c r="G90" s="3">
        <v>22.0</v>
      </c>
      <c r="H90" s="5">
        <f>IFERROR(__xludf.DUMMYFUNCTION("HLOOKUP($A90,IMPORTRANGE(""https://docs.google.com/spreadsheets/d/16J5ie7OD1E99qGO9lMDm8w5Yls-v190B7DTolJ5TmFc/edit#gid=0"",""'Game 4'!$B$2:$Q$31""),30,False)"),23.0)</f>
        <v>23</v>
      </c>
      <c r="I90" s="3">
        <v>23.0</v>
      </c>
      <c r="J90" s="5">
        <f>IFERROR(__xludf.DUMMYFUNCTION("IFERROR(HLOOKUP($A90,IMPORTRANGE(""https://docs.google.com/spreadsheets/d/1CTYfdyRk_RFGM3I2iN9bKeD9zUPzEm1ajzml6VgwfIU/edit#gid=0"",""'Game 8'!$B$2:$Q$31""),30,False),0)"),23.0)</f>
        <v>23</v>
      </c>
      <c r="K90" s="5">
        <f>IFERROR(__xludf.DUMMYFUNCTION("IFERROR(HLOOKUP($A90,IMPORTRANGE(""https://docs.google.com/spreadsheets/d/11NFkzOdQyW-OtxSDuGslNCgNjx7HUb2FU7KnlNnPMgY/edit#gid=0"",""'Game 8'!$B$2:$Q$31""),30,False),0)"),0.0)</f>
        <v>0</v>
      </c>
      <c r="L90" s="5">
        <f>IFERROR(__xludf.DUMMYFUNCTION("IFERROR(HLOOKUP($A90,IMPORTRANGE(""https://docs.google.com/spreadsheets/d/1CLg5-jaE4ta0-u4oE1qbBplQ5Mf3Oj9ONFgL0zJ7Ol4/edit#gid=0"",""'Game 9'!$B$2:$Q$31""),30,False),1)"),23.0)</f>
        <v>23</v>
      </c>
      <c r="M90" s="5">
        <f>IFERROR(__xludf.DUMMYFUNCTION("IFERROR(HLOOKUP($A90,IMPORTRANGE(""https://docs.google.com/spreadsheets/d/1CeexgK4KxWj3k_7nql_k8-RPxXMwTJyB4Q3vAASeDlA/edit#gid=0"",""'Game 2'!$B$2:$Q$31""),30,False),1)"),23.0)</f>
        <v>23</v>
      </c>
      <c r="N90" s="5">
        <f>IFERROR(__xludf.DUMMYFUNCTION("IFERROR(HLOOKUP($A90,IMPORTRANGE(""https://docs.google.com/spreadsheets/d/1MNwUNMjcwK6bEgCXwB73jpbK5gJAXS8ZMpbEMLJEP3E/edit#gid=0"",""'Game 8'!$B$2:$Q$31""),30,False),1)"),0.0)</f>
        <v>0</v>
      </c>
      <c r="O90" s="5">
        <f>IFERROR(__xludf.DUMMYFUNCTION("IFERROR(HLOOKUP($A90,IMPORTRANGE(""https://docs.google.com/spreadsheets/d/1UrzyxmT40kDZwVrLMf1yyXfP-pyczRAw9Y8Rw-uXG3c/edit#gid=0"",""'Game 8'!$B$2:$Q$31""),30,False),1)"),23.0)</f>
        <v>23</v>
      </c>
      <c r="P90" s="5">
        <f>IFERROR(__xludf.DUMMYFUNCTION("IFERROR(HLOOKUP($A90,IMPORTRANGE(""https://docs.google.com/spreadsheets/d/1iyMhSYWifw-KGFtyeBpNxVZr4BhcV9hVZuShgJ9Ia0E/edit#gid=0"",""'Game 8'!$B$2:$Q$31""),30,False),1)"),23.0)</f>
        <v>23</v>
      </c>
      <c r="Q90" s="5">
        <f>IFERROR(__xludf.DUMMYFUNCTION("IFERROR(HLOOKUP($A90,IMPORTRANGE(""https://docs.google.com/spreadsheets/d/1sSbIK-vvHsSY0LghLJ9gcnW8Hec_ITI2tFmpeqI999A/edit#gid=0"",""'Game 7'!$B$2:$Q$31""),30,False),1)"),0.0)</f>
        <v>0</v>
      </c>
      <c r="R90" s="6">
        <f t="shared" si="2"/>
        <v>241</v>
      </c>
    </row>
    <row r="91">
      <c r="A91" s="21" t="s">
        <v>134</v>
      </c>
      <c r="B91" s="21" t="s">
        <v>213</v>
      </c>
      <c r="C91" s="21">
        <v>23.0</v>
      </c>
      <c r="D91" s="21">
        <v>23.0</v>
      </c>
      <c r="E91" s="21">
        <v>23.0</v>
      </c>
      <c r="F91" s="21">
        <v>23.0</v>
      </c>
      <c r="G91" s="1">
        <v>23.0</v>
      </c>
      <c r="H91" s="7">
        <f>IFERROR(__xludf.DUMMYFUNCTION("HLOOKUP($A91,IMPORTRANGE(""https://docs.google.com/spreadsheets/d/16J5ie7OD1E99qGO9lMDm8w5Yls-v190B7DTolJ5TmFc/edit#gid=0"",""'Game 4'!$B$2:$Q$31""),30,False)"),23.0)</f>
        <v>23</v>
      </c>
      <c r="I91" s="1">
        <v>23.0</v>
      </c>
      <c r="J91" s="7">
        <f>IFERROR(__xludf.DUMMYFUNCTION("IFERROR(HLOOKUP($A91,IMPORTRANGE(""https://docs.google.com/spreadsheets/d/1CTYfdyRk_RFGM3I2iN9bKeD9zUPzEm1ajzml6VgwfIU/edit#gid=0"",""'Game 8'!$B$2:$Q$31""),30,False),0)"),23.0)</f>
        <v>23</v>
      </c>
      <c r="K91" s="7">
        <f>IFERROR(__xludf.DUMMYFUNCTION("IFERROR(HLOOKUP($A91,IMPORTRANGE(""https://docs.google.com/spreadsheets/d/11NFkzOdQyW-OtxSDuGslNCgNjx7HUb2FU7KnlNnPMgY/edit#gid=0"",""'Game 8'!$B$2:$Q$31""),30,False),0)"),23.0)</f>
        <v>23</v>
      </c>
      <c r="L91" s="7">
        <f>IFERROR(__xludf.DUMMYFUNCTION("IFERROR(HLOOKUP($A91,IMPORTRANGE(""https://docs.google.com/spreadsheets/d/1CLg5-jaE4ta0-u4oE1qbBplQ5Mf3Oj9ONFgL0zJ7Ol4/edit#gid=0"",""'Game 9'!$B$2:$Q$31""),30,False),1)"),23.0)</f>
        <v>23</v>
      </c>
      <c r="M91" s="7">
        <f>IFERROR(__xludf.DUMMYFUNCTION("IFERROR(HLOOKUP($A91,IMPORTRANGE(""https://docs.google.com/spreadsheets/d/1CeexgK4KxWj3k_7nql_k8-RPxXMwTJyB4Q3vAASeDlA/edit#gid=0"",""'Game 2'!$B$2:$Q$31""),30,False),1)"),23.0)</f>
        <v>23</v>
      </c>
      <c r="N91" s="7">
        <f>IFERROR(__xludf.DUMMYFUNCTION("IFERROR(HLOOKUP($A91,IMPORTRANGE(""https://docs.google.com/spreadsheets/d/1MNwUNMjcwK6bEgCXwB73jpbK5gJAXS8ZMpbEMLJEP3E/edit#gid=0"",""'Game 8'!$B$2:$Q$31""),30,False),1)"),23.0)</f>
        <v>23</v>
      </c>
      <c r="O91" s="7">
        <f>IFERROR(__xludf.DUMMYFUNCTION("IFERROR(HLOOKUP($A91,IMPORTRANGE(""https://docs.google.com/spreadsheets/d/1UrzyxmT40kDZwVrLMf1yyXfP-pyczRAw9Y8Rw-uXG3c/edit#gid=0"",""'Game 8'!$B$2:$Q$31""),30,False),1)"),23.0)</f>
        <v>23</v>
      </c>
      <c r="P91" s="7">
        <f>IFERROR(__xludf.DUMMYFUNCTION("IFERROR(HLOOKUP($A91,IMPORTRANGE(""https://docs.google.com/spreadsheets/d/1iyMhSYWifw-KGFtyeBpNxVZr4BhcV9hVZuShgJ9Ia0E/edit#gid=0"",""'Game 8'!$B$2:$Q$31""),30,False),1)"),23.0)</f>
        <v>23</v>
      </c>
      <c r="Q91" s="7">
        <f>IFERROR(__xludf.DUMMYFUNCTION("IFERROR(HLOOKUP($A91,IMPORTRANGE(""https://docs.google.com/spreadsheets/d/1sSbIK-vvHsSY0LghLJ9gcnW8Hec_ITI2tFmpeqI999A/edit#gid=0"",""'Game 7'!$B$2:$Q$31""),30,False),1)"),23.0)</f>
        <v>23</v>
      </c>
      <c r="R91" s="11">
        <f t="shared" si="2"/>
        <v>345</v>
      </c>
    </row>
    <row r="92">
      <c r="A92" s="18" t="s">
        <v>224</v>
      </c>
      <c r="B92" s="6" t="s">
        <v>225</v>
      </c>
      <c r="C92" s="18">
        <v>23.0</v>
      </c>
      <c r="D92" s="18">
        <v>23.0</v>
      </c>
      <c r="E92" s="18">
        <v>23.0</v>
      </c>
      <c r="F92" s="18">
        <v>23.0</v>
      </c>
      <c r="G92" s="3">
        <v>23.0</v>
      </c>
      <c r="H92" s="5">
        <f>IFERROR(__xludf.DUMMYFUNCTION("HLOOKUP($A92,IMPORTRANGE(""https://docs.google.com/spreadsheets/d/16J5ie7OD1E99qGO9lMDm8w5Yls-v190B7DTolJ5TmFc/edit#gid=0"",""'Game 8'!$B$2:$Q$31""),30,False)"),23.0)</f>
        <v>23</v>
      </c>
      <c r="I92" s="3">
        <v>23.0</v>
      </c>
      <c r="J92" s="5">
        <f>IFERROR(__xludf.DUMMYFUNCTION("IFERROR(HLOOKUP($A92,IMPORTRANGE(""https://docs.google.com/spreadsheets/d/1CTYfdyRk_RFGM3I2iN9bKeD9zUPzEm1ajzml6VgwfIU/edit#gid=0"",""'Game 13'!$B$2:$Q$31""),30,False),0)"),23.0)</f>
        <v>23</v>
      </c>
      <c r="K92" s="5">
        <f>IFERROR(__xludf.DUMMYFUNCTION("IFERROR(HLOOKUP($A92,IMPORTRANGE(""https://docs.google.com/spreadsheets/d/11NFkzOdQyW-OtxSDuGslNCgNjx7HUb2FU7KnlNnPMgY/edit#gid=0"",""'Game 11'!$B$2:$Q$31""),30,False),0)"),23.0)</f>
        <v>23</v>
      </c>
      <c r="L92" s="5">
        <f>IFERROR(__xludf.DUMMYFUNCTION("IFERROR(HLOOKUP($A92,IMPORTRANGE(""https://docs.google.com/spreadsheets/d/1CLg5-jaE4ta0-u4oE1qbBplQ5Mf3Oj9ONFgL0zJ7Ol4/edit#gid=0"",""'Game 11'!$B$2:$Q$31""),30,False),1)"),23.0)</f>
        <v>23</v>
      </c>
      <c r="M92" s="5">
        <f>IFERROR(__xludf.DUMMYFUNCTION("IFERROR(HLOOKUP($A92,IMPORTRANGE(""https://docs.google.com/spreadsheets/d/1CeexgK4KxWj3k_7nql_k8-RPxXMwTJyB4Q3vAASeDlA/edit#gid=0"",""'Game 11'!$B$2:$Q$31""),30,False),1)"),23.0)</f>
        <v>23</v>
      </c>
      <c r="N92" s="5">
        <f>IFERROR(__xludf.DUMMYFUNCTION("IFERROR(HLOOKUP($A92,IMPORTRANGE(""https://docs.google.com/spreadsheets/d/1MNwUNMjcwK6bEgCXwB73jpbK5gJAXS8ZMpbEMLJEP3E/edit#gid=0"",""'Game 12'!$B$2:$Q$31""),30,False),1)"),0.0)</f>
        <v>0</v>
      </c>
      <c r="O92" s="5">
        <f>IFERROR(__xludf.DUMMYFUNCTION("IFERROR(HLOOKUP($A92,IMPORTRANGE(""https://docs.google.com/spreadsheets/d/1UrzyxmT40kDZwVrLMf1yyXfP-pyczRAw9Y8Rw-uXG3c/edit#gid=0"",""'Game 6'!$B$2:$Q$31""),30,False),1)"),23.0)</f>
        <v>23</v>
      </c>
      <c r="P92" s="5">
        <f>IFERROR(__xludf.DUMMYFUNCTION("IFERROR(HLOOKUP($A92,IMPORTRANGE(""https://docs.google.com/spreadsheets/d/1iyMhSYWifw-KGFtyeBpNxVZr4BhcV9hVZuShgJ9Ia0E/edit#gid=0"",""'Game 1'!$B$2:$Q$31""),30,False),1)"),23.0)</f>
        <v>23</v>
      </c>
      <c r="Q92" s="5">
        <f>IFERROR(__xludf.DUMMYFUNCTION("IFERROR(HLOOKUP($A92,IMPORTRANGE(""https://docs.google.com/spreadsheets/d/1sSbIK-vvHsSY0LghLJ9gcnW8Hec_ITI2tFmpeqI999A/edit#gid=0"",""'Game 13'!$B$2:$Q$31""),30,False),1)"),23.0)</f>
        <v>23</v>
      </c>
      <c r="R92" s="6">
        <f t="shared" si="2"/>
        <v>322</v>
      </c>
    </row>
    <row r="93">
      <c r="A93" s="1" t="s">
        <v>227</v>
      </c>
      <c r="B93" s="11" t="s">
        <v>225</v>
      </c>
      <c r="C93" s="21">
        <v>23.0</v>
      </c>
      <c r="D93" s="21">
        <v>0.0</v>
      </c>
      <c r="E93" s="21">
        <v>23.0</v>
      </c>
      <c r="F93" s="21">
        <v>23.0</v>
      </c>
      <c r="G93" s="1">
        <v>0.0</v>
      </c>
      <c r="H93" s="7">
        <f>IFERROR(__xludf.DUMMYFUNCTION("HLOOKUP($A93,IMPORTRANGE(""https://docs.google.com/spreadsheets/d/16J5ie7OD1E99qGO9lMDm8w5Yls-v190B7DTolJ5TmFc/edit#gid=0"",""'Game 8'!$B$2:$Q$31""),30,False)"),23.0)</f>
        <v>23</v>
      </c>
      <c r="I93" s="1">
        <v>12.0</v>
      </c>
      <c r="J93" s="7">
        <f>IFERROR(__xludf.DUMMYFUNCTION("IFERROR(HLOOKUP($A93,IMPORTRANGE(""https://docs.google.com/spreadsheets/d/1CTYfdyRk_RFGM3I2iN9bKeD9zUPzEm1ajzml6VgwfIU/edit#gid=0"",""'Game 13'!$B$2:$Q$31""),30,False),0)"),0.0)</f>
        <v>0</v>
      </c>
      <c r="K93" s="7">
        <f>IFERROR(__xludf.DUMMYFUNCTION("IFERROR(HLOOKUP($A93,IMPORTRANGE(""https://docs.google.com/spreadsheets/d/11NFkzOdQyW-OtxSDuGslNCgNjx7HUb2FU7KnlNnPMgY/edit#gid=0"",""'Game 11'!$B$2:$Q$31""),30,False),0)"),0.0)</f>
        <v>0</v>
      </c>
      <c r="L93" s="7">
        <f>IFERROR(__xludf.DUMMYFUNCTION("IFERROR(HLOOKUP($A93,IMPORTRANGE(""https://docs.google.com/spreadsheets/d/1CLg5-jaE4ta0-u4oE1qbBplQ5Mf3Oj9ONFgL0zJ7Ol4/edit#gid=0"",""'Game 11'!$B$2:$Q$31""),30,False),1)"),23.0)</f>
        <v>23</v>
      </c>
      <c r="M93" s="7">
        <f>IFERROR(__xludf.DUMMYFUNCTION("IFERROR(HLOOKUP($A93,IMPORTRANGE(""https://docs.google.com/spreadsheets/d/1CeexgK4KxWj3k_7nql_k8-RPxXMwTJyB4Q3vAASeDlA/edit#gid=0"",""'Game 11'!$B$2:$Q$31""),30,False),1)"),0.0)</f>
        <v>0</v>
      </c>
      <c r="N93" s="7">
        <f>IFERROR(__xludf.DUMMYFUNCTION("IFERROR(HLOOKUP($A93,IMPORTRANGE(""https://docs.google.com/spreadsheets/d/1MNwUNMjcwK6bEgCXwB73jpbK5gJAXS8ZMpbEMLJEP3E/edit#gid=0"",""'Game 12'!$B$2:$Q$31""),30,False),1)"),23.0)</f>
        <v>23</v>
      </c>
      <c r="O93" s="7">
        <f>IFERROR(__xludf.DUMMYFUNCTION("IFERROR(HLOOKUP($A93,IMPORTRANGE(""https://docs.google.com/spreadsheets/d/1UrzyxmT40kDZwVrLMf1yyXfP-pyczRAw9Y8Rw-uXG3c/edit#gid=0"",""'Game 6'!$B$2:$Q$31""),30,False),1)"),0.0)</f>
        <v>0</v>
      </c>
      <c r="P93" s="7">
        <f>IFERROR(__xludf.DUMMYFUNCTION("IFERROR(HLOOKUP($A93,IMPORTRANGE(""https://docs.google.com/spreadsheets/d/1iyMhSYWifw-KGFtyeBpNxVZr4BhcV9hVZuShgJ9Ia0E/edit#gid=0"",""'Game 1'!$B$2:$Q$31""),30,False),1)"),0.0)</f>
        <v>0</v>
      </c>
      <c r="Q93" s="7">
        <f>IFERROR(__xludf.DUMMYFUNCTION("IFERROR(HLOOKUP($A93,IMPORTRANGE(""https://docs.google.com/spreadsheets/d/1sSbIK-vvHsSY0LghLJ9gcnW8Hec_ITI2tFmpeqI999A/edit#gid=0"",""'Game 13'!$B$2:$Q$31""),30,False),1)"),23.0)</f>
        <v>23</v>
      </c>
      <c r="R93" s="11">
        <f t="shared" si="2"/>
        <v>173</v>
      </c>
    </row>
    <row r="94">
      <c r="A94" s="18" t="s">
        <v>229</v>
      </c>
      <c r="B94" s="6" t="s">
        <v>225</v>
      </c>
      <c r="C94" s="18">
        <v>12.0</v>
      </c>
      <c r="D94" s="18">
        <v>12.0</v>
      </c>
      <c r="E94" s="18">
        <v>12.0</v>
      </c>
      <c r="F94" s="18">
        <v>12.0</v>
      </c>
      <c r="G94" s="3">
        <v>23.0</v>
      </c>
      <c r="H94" s="5">
        <f>IFERROR(__xludf.DUMMYFUNCTION("HLOOKUP($A94,IMPORTRANGE(""https://docs.google.com/spreadsheets/d/16J5ie7OD1E99qGO9lMDm8w5Yls-v190B7DTolJ5TmFc/edit#gid=0"",""'Game 8'!$B$2:$Q$31""),30,False)"),12.0)</f>
        <v>12</v>
      </c>
      <c r="I94" s="3">
        <v>23.0</v>
      </c>
      <c r="J94" s="5">
        <f>IFERROR(__xludf.DUMMYFUNCTION("IFERROR(HLOOKUP($A94,IMPORTRANGE(""https://docs.google.com/spreadsheets/d/1CTYfdyRk_RFGM3I2iN9bKeD9zUPzEm1ajzml6VgwfIU/edit#gid=0"",""'Game 13'!$B$2:$Q$31""),30,False),0)"),23.0)</f>
        <v>23</v>
      </c>
      <c r="K94" s="5">
        <f>IFERROR(__xludf.DUMMYFUNCTION("IFERROR(HLOOKUP($A94,IMPORTRANGE(""https://docs.google.com/spreadsheets/d/11NFkzOdQyW-OtxSDuGslNCgNjx7HUb2FU7KnlNnPMgY/edit#gid=0"",""'Game 11'!$B$2:$Q$31""),30,False),0)"),23.0)</f>
        <v>23</v>
      </c>
      <c r="L94" s="5">
        <f>IFERROR(__xludf.DUMMYFUNCTION("IFERROR(HLOOKUP($A94,IMPORTRANGE(""https://docs.google.com/spreadsheets/d/1CLg5-jaE4ta0-u4oE1qbBplQ5Mf3Oj9ONFgL0zJ7Ol4/edit#gid=0"",""'Game 11'!$B$2:$Q$31""),30,False),1)"),12.0)</f>
        <v>12</v>
      </c>
      <c r="M94" s="5">
        <f>IFERROR(__xludf.DUMMYFUNCTION("IFERROR(HLOOKUP($A94,IMPORTRANGE(""https://docs.google.com/spreadsheets/d/1CeexgK4KxWj3k_7nql_k8-RPxXMwTJyB4Q3vAASeDlA/edit#gid=0"",""'Game 11'!$B$2:$Q$31""),30,False),1)"),12.0)</f>
        <v>12</v>
      </c>
      <c r="N94" s="5">
        <f>IFERROR(__xludf.DUMMYFUNCTION("IFERROR(HLOOKUP($A94,IMPORTRANGE(""https://docs.google.com/spreadsheets/d/1MNwUNMjcwK6bEgCXwB73jpbK5gJAXS8ZMpbEMLJEP3E/edit#gid=0"",""'Game 12'!$B$2:$Q$31""),30,False),1)"),23.0)</f>
        <v>23</v>
      </c>
      <c r="O94" s="5">
        <f>IFERROR(__xludf.DUMMYFUNCTION("IFERROR(HLOOKUP($A94,IMPORTRANGE(""https://docs.google.com/spreadsheets/d/1UrzyxmT40kDZwVrLMf1yyXfP-pyczRAw9Y8Rw-uXG3c/edit#gid=0"",""'Game 6'!$B$2:$Q$31""),30,False),1)"),23.0)</f>
        <v>23</v>
      </c>
      <c r="P94" s="5">
        <f>IFERROR(__xludf.DUMMYFUNCTION("IFERROR(HLOOKUP($A94,IMPORTRANGE(""https://docs.google.com/spreadsheets/d/1iyMhSYWifw-KGFtyeBpNxVZr4BhcV9hVZuShgJ9Ia0E/edit#gid=0"",""'Game 1'!$B$2:$Q$31""),30,False),1)"),23.0)</f>
        <v>23</v>
      </c>
      <c r="Q94" s="5">
        <f>IFERROR(__xludf.DUMMYFUNCTION("IFERROR(HLOOKUP($A94,IMPORTRANGE(""https://docs.google.com/spreadsheets/d/1sSbIK-vvHsSY0LghLJ9gcnW8Hec_ITI2tFmpeqI999A/edit#gid=0"",""'Game 13'!$B$2:$Q$31""),30,False),1)"),23.0)</f>
        <v>23</v>
      </c>
      <c r="R94" s="6">
        <f t="shared" si="2"/>
        <v>268</v>
      </c>
    </row>
    <row r="95">
      <c r="A95" s="21" t="s">
        <v>231</v>
      </c>
      <c r="B95" s="11" t="s">
        <v>225</v>
      </c>
      <c r="C95" s="21">
        <v>11.0</v>
      </c>
      <c r="D95" s="21">
        <v>23.0</v>
      </c>
      <c r="E95" s="21">
        <v>11.0</v>
      </c>
      <c r="F95" s="21">
        <v>0.0</v>
      </c>
      <c r="G95" s="1">
        <v>12.0</v>
      </c>
      <c r="H95" s="7">
        <f>IFERROR(__xludf.DUMMYFUNCTION("HLOOKUP($A95,IMPORTRANGE(""https://docs.google.com/spreadsheets/d/16J5ie7OD1E99qGO9lMDm8w5Yls-v190B7DTolJ5TmFc/edit#gid=0"",""'Game 8'!$B$2:$Q$31""),30,False)"),12.0)</f>
        <v>12</v>
      </c>
      <c r="I95" s="1">
        <v>11.0</v>
      </c>
      <c r="J95" s="7">
        <f>IFERROR(__xludf.DUMMYFUNCTION("IFERROR(HLOOKUP($A95,IMPORTRANGE(""https://docs.google.com/spreadsheets/d/1CTYfdyRk_RFGM3I2iN9bKeD9zUPzEm1ajzml6VgwfIU/edit#gid=0"",""'Game 13'!$B$2:$Q$31""),30,False),0)"),11.0)</f>
        <v>11</v>
      </c>
      <c r="K95" s="7">
        <f>IFERROR(__xludf.DUMMYFUNCTION("IFERROR(HLOOKUP($A95,IMPORTRANGE(""https://docs.google.com/spreadsheets/d/11NFkzOdQyW-OtxSDuGslNCgNjx7HUb2FU7KnlNnPMgY/edit#gid=0"",""'Game 11'!$B$2:$Q$31""),30,False),0)"),23.0)</f>
        <v>23</v>
      </c>
      <c r="L95" s="7">
        <f>IFERROR(__xludf.DUMMYFUNCTION("IFERROR(HLOOKUP($A95,IMPORTRANGE(""https://docs.google.com/spreadsheets/d/1CLg5-jaE4ta0-u4oE1qbBplQ5Mf3Oj9ONFgL0zJ7Ol4/edit#gid=0"",""'Game 11'!$B$2:$Q$31""),30,False),1)"),11.0)</f>
        <v>11</v>
      </c>
      <c r="M95" s="7">
        <f>IFERROR(__xludf.DUMMYFUNCTION("IFERROR(HLOOKUP($A95,IMPORTRANGE(""https://docs.google.com/spreadsheets/d/1CeexgK4KxWj3k_7nql_k8-RPxXMwTJyB4Q3vAASeDlA/edit#gid=0"",""'Game 11'!$B$2:$Q$31""),30,False),1)"),23.0)</f>
        <v>23</v>
      </c>
      <c r="N95" s="7">
        <f>IFERROR(__xludf.DUMMYFUNCTION("IFERROR(HLOOKUP($A95,IMPORTRANGE(""https://docs.google.com/spreadsheets/d/1MNwUNMjcwK6bEgCXwB73jpbK5gJAXS8ZMpbEMLJEP3E/edit#gid=0"",""'Game 12'!$B$2:$Q$31""),30,False),1)"),0.0)</f>
        <v>0</v>
      </c>
      <c r="O95" s="7">
        <f>IFERROR(__xludf.DUMMYFUNCTION("IFERROR(HLOOKUP($A95,IMPORTRANGE(""https://docs.google.com/spreadsheets/d/1UrzyxmT40kDZwVrLMf1yyXfP-pyczRAw9Y8Rw-uXG3c/edit#gid=0"",""'Game 6'!$B$2:$Q$31""),30,False),1)"),23.0)</f>
        <v>23</v>
      </c>
      <c r="P95" s="7">
        <f>IFERROR(__xludf.DUMMYFUNCTION("IFERROR(HLOOKUP($A95,IMPORTRANGE(""https://docs.google.com/spreadsheets/d/1iyMhSYWifw-KGFtyeBpNxVZr4BhcV9hVZuShgJ9Ia0E/edit#gid=0"",""'Game 1'!$B$2:$Q$31""),30,False),1)"),0.0)</f>
        <v>0</v>
      </c>
      <c r="Q95" s="7">
        <f>IFERROR(__xludf.DUMMYFUNCTION("IFERROR(HLOOKUP($A95,IMPORTRANGE(""https://docs.google.com/spreadsheets/d/1sSbIK-vvHsSY0LghLJ9gcnW8Hec_ITI2tFmpeqI999A/edit#gid=0"",""'Game 13'!$B$2:$Q$31""),30,False),1)"),11.0)</f>
        <v>11</v>
      </c>
      <c r="R95" s="11">
        <f t="shared" si="2"/>
        <v>182</v>
      </c>
    </row>
    <row r="96">
      <c r="A96" s="18" t="s">
        <v>233</v>
      </c>
      <c r="B96" s="18" t="s">
        <v>225</v>
      </c>
      <c r="C96" s="18">
        <v>12.0</v>
      </c>
      <c r="D96" s="18">
        <v>12.0</v>
      </c>
      <c r="E96" s="18">
        <v>0.0</v>
      </c>
      <c r="F96" s="18">
        <v>12.0</v>
      </c>
      <c r="G96" s="3">
        <v>23.0</v>
      </c>
      <c r="H96" s="5">
        <f>IFERROR(__xludf.DUMMYFUNCTION("HLOOKUP($A96,IMPORTRANGE(""https://docs.google.com/spreadsheets/d/16J5ie7OD1E99qGO9lMDm8w5Yls-v190B7DTolJ5TmFc/edit#gid=0"",""'Game 8'!$B$2:$Q$31""),30,False)"),11.0)</f>
        <v>11</v>
      </c>
      <c r="I96" s="3">
        <v>12.0</v>
      </c>
      <c r="J96" s="5">
        <f>IFERROR(__xludf.DUMMYFUNCTION("IFERROR(HLOOKUP($A96,IMPORTRANGE(""https://docs.google.com/spreadsheets/d/1CTYfdyRk_RFGM3I2iN9bKeD9zUPzEm1ajzml6VgwfIU/edit#gid=0"",""'Game 13'!$B$2:$Q$31""),30,False),0)"),12.0)</f>
        <v>12</v>
      </c>
      <c r="K96" s="5">
        <f>IFERROR(__xludf.DUMMYFUNCTION("IFERROR(HLOOKUP($A96,IMPORTRANGE(""https://docs.google.com/spreadsheets/d/11NFkzOdQyW-OtxSDuGslNCgNjx7HUb2FU7KnlNnPMgY/edit#gid=0"",""'Game 11'!$B$2:$Q$31""),30,False),0)"),0.0)</f>
        <v>0</v>
      </c>
      <c r="L96" s="5">
        <f>IFERROR(__xludf.DUMMYFUNCTION("IFERROR(HLOOKUP($A96,IMPORTRANGE(""https://docs.google.com/spreadsheets/d/1CLg5-jaE4ta0-u4oE1qbBplQ5Mf3Oj9ONFgL0zJ7Ol4/edit#gid=0"",""'Game 11'!$B$2:$Q$31""),30,False),1)"),12.0)</f>
        <v>12</v>
      </c>
      <c r="M96" s="5">
        <f>IFERROR(__xludf.DUMMYFUNCTION("IFERROR(HLOOKUP($A96,IMPORTRANGE(""https://docs.google.com/spreadsheets/d/1CeexgK4KxWj3k_7nql_k8-RPxXMwTJyB4Q3vAASeDlA/edit#gid=0"",""'Game 11'!$B$2:$Q$31""),30,False),1)"),23.0)</f>
        <v>23</v>
      </c>
      <c r="N96" s="5">
        <f>IFERROR(__xludf.DUMMYFUNCTION("IFERROR(HLOOKUP($A96,IMPORTRANGE(""https://docs.google.com/spreadsheets/d/1MNwUNMjcwK6bEgCXwB73jpbK5gJAXS8ZMpbEMLJEP3E/edit#gid=0"",""'Game 12'!$B$2:$Q$31""),30,False),1)"),0.0)</f>
        <v>0</v>
      </c>
      <c r="O96" s="5">
        <f>IFERROR(__xludf.DUMMYFUNCTION("IFERROR(HLOOKUP($A96,IMPORTRANGE(""https://docs.google.com/spreadsheets/d/1UrzyxmT40kDZwVrLMf1yyXfP-pyczRAw9Y8Rw-uXG3c/edit#gid=0"",""'Game 6'!$B$2:$Q$31""),30,False),1)"),0.0)</f>
        <v>0</v>
      </c>
      <c r="P96" s="5">
        <f>IFERROR(__xludf.DUMMYFUNCTION("IFERROR(HLOOKUP($A96,IMPORTRANGE(""https://docs.google.com/spreadsheets/d/1iyMhSYWifw-KGFtyeBpNxVZr4BhcV9hVZuShgJ9Ia0E/edit#gid=0"",""'Game 1'!$B$2:$Q$31""),30,False),1)"),23.0)</f>
        <v>23</v>
      </c>
      <c r="Q96" s="5">
        <f>IFERROR(__xludf.DUMMYFUNCTION("IFERROR(HLOOKUP($A96,IMPORTRANGE(""https://docs.google.com/spreadsheets/d/1sSbIK-vvHsSY0LghLJ9gcnW8Hec_ITI2tFmpeqI999A/edit#gid=0"",""'Game 13'!$B$2:$Q$31""),30,False),1)"),0.0)</f>
        <v>0</v>
      </c>
      <c r="R96" s="6">
        <f t="shared" si="2"/>
        <v>152</v>
      </c>
    </row>
    <row r="97">
      <c r="A97" s="21" t="s">
        <v>236</v>
      </c>
      <c r="B97" s="11" t="s">
        <v>225</v>
      </c>
      <c r="C97" s="21">
        <v>0.0</v>
      </c>
      <c r="D97" s="21">
        <v>11.0</v>
      </c>
      <c r="E97" s="21">
        <v>11.0</v>
      </c>
      <c r="F97" s="21">
        <v>11.0</v>
      </c>
      <c r="G97" s="1">
        <v>11.0</v>
      </c>
      <c r="H97" s="7">
        <f>IFERROR(__xludf.DUMMYFUNCTION("HLOOKUP($A97,IMPORTRANGE(""https://docs.google.com/spreadsheets/d/16J5ie7OD1E99qGO9lMDm8w5Yls-v190B7DTolJ5TmFc/edit#gid=0"",""'Game 8'!$B$2:$Q$31""),30,False)"),11.0)</f>
        <v>11</v>
      </c>
      <c r="I97" s="1">
        <v>11.0</v>
      </c>
      <c r="J97" s="7">
        <f>IFERROR(__xludf.DUMMYFUNCTION("IFERROR(HLOOKUP($A97,IMPORTRANGE(""https://docs.google.com/spreadsheets/d/1CTYfdyRk_RFGM3I2iN9bKeD9zUPzEm1ajzml6VgwfIU/edit#gid=0"",""'Game 13'!$B$2:$Q$31""),30,False),0)"),11.0)</f>
        <v>11</v>
      </c>
      <c r="K97" s="7">
        <f>IFERROR(__xludf.DUMMYFUNCTION("IFERROR(HLOOKUP($A97,IMPORTRANGE(""https://docs.google.com/spreadsheets/d/11NFkzOdQyW-OtxSDuGslNCgNjx7HUb2FU7KnlNnPMgY/edit#gid=0"",""'Game 11'!$B$2:$Q$31""),30,False),0)"),23.0)</f>
        <v>23</v>
      </c>
      <c r="L97" s="7">
        <f>IFERROR(__xludf.DUMMYFUNCTION("IFERROR(HLOOKUP($A97,IMPORTRANGE(""https://docs.google.com/spreadsheets/d/1CLg5-jaE4ta0-u4oE1qbBplQ5Mf3Oj9ONFgL0zJ7Ol4/edit#gid=0"",""'Game 11'!$B$2:$Q$31""),30,False),1)"),0.0)</f>
        <v>0</v>
      </c>
      <c r="M97" s="7">
        <f>IFERROR(__xludf.DUMMYFUNCTION("IFERROR(HLOOKUP($A97,IMPORTRANGE(""https://docs.google.com/spreadsheets/d/1CeexgK4KxWj3k_7nql_k8-RPxXMwTJyB4Q3vAASeDlA/edit#gid=0"",""'Game 11'!$B$2:$Q$31""),30,False),1)"),11.0)</f>
        <v>11</v>
      </c>
      <c r="N97" s="7">
        <f>IFERROR(__xludf.DUMMYFUNCTION("IFERROR(HLOOKUP($A97,IMPORTRANGE(""https://docs.google.com/spreadsheets/d/1MNwUNMjcwK6bEgCXwB73jpbK5gJAXS8ZMpbEMLJEP3E/edit#gid=0"",""'Game 12'!$B$2:$Q$31""),30,False),1)"),23.0)</f>
        <v>23</v>
      </c>
      <c r="O97" s="7">
        <f>IFERROR(__xludf.DUMMYFUNCTION("IFERROR(HLOOKUP($A97,IMPORTRANGE(""https://docs.google.com/spreadsheets/d/1UrzyxmT40kDZwVrLMf1yyXfP-pyczRAw9Y8Rw-uXG3c/edit#gid=0"",""'Game 6'!$B$2:$Q$31""),30,False),1)"),21.0)</f>
        <v>21</v>
      </c>
      <c r="P97" s="7">
        <f>IFERROR(__xludf.DUMMYFUNCTION("IFERROR(HLOOKUP($A97,IMPORTRANGE(""https://docs.google.com/spreadsheets/d/1iyMhSYWifw-KGFtyeBpNxVZr4BhcV9hVZuShgJ9Ia0E/edit#gid=0"",""'Game 1'!$B$2:$Q$31""),30,False),1)"),18.0)</f>
        <v>18</v>
      </c>
      <c r="Q97" s="7">
        <f>IFERROR(__xludf.DUMMYFUNCTION("IFERROR(HLOOKUP($A97,IMPORTRANGE(""https://docs.google.com/spreadsheets/d/1sSbIK-vvHsSY0LghLJ9gcnW8Hec_ITI2tFmpeqI999A/edit#gid=0"",""'Game 13'!$B$2:$Q$31""),30,False),1)"),12.0)</f>
        <v>12</v>
      </c>
      <c r="R97" s="11">
        <f t="shared" si="2"/>
        <v>185</v>
      </c>
    </row>
    <row r="98">
      <c r="A98" s="18" t="s">
        <v>238</v>
      </c>
      <c r="B98" s="18" t="s">
        <v>225</v>
      </c>
      <c r="C98" s="18">
        <v>11.0</v>
      </c>
      <c r="D98" s="18">
        <v>11.0</v>
      </c>
      <c r="E98" s="18">
        <v>12.0</v>
      </c>
      <c r="F98" s="18">
        <v>11.0</v>
      </c>
      <c r="G98" s="3">
        <v>0.0</v>
      </c>
      <c r="H98" s="5">
        <f>IFERROR(__xludf.DUMMYFUNCTION("HLOOKUP($A98,IMPORTRANGE(""https://docs.google.com/spreadsheets/d/16J5ie7OD1E99qGO9lMDm8w5Yls-v190B7DTolJ5TmFc/edit#gid=0"",""'Game 8'!$B$2:$Q$31""),30,False)"),0.0)</f>
        <v>0</v>
      </c>
      <c r="I98" s="3">
        <v>0.0</v>
      </c>
      <c r="J98" s="5">
        <f>IFERROR(__xludf.DUMMYFUNCTION("IFERROR(HLOOKUP($A98,IMPORTRANGE(""https://docs.google.com/spreadsheets/d/1CTYfdyRk_RFGM3I2iN9bKeD9zUPzEm1ajzml6VgwfIU/edit#gid=0"",""'Game 13'!$B$2:$Q$31""),30,False),0)"),12.0)</f>
        <v>12</v>
      </c>
      <c r="K98" s="5">
        <f>IFERROR(__xludf.DUMMYFUNCTION("IFERROR(HLOOKUP($A98,IMPORTRANGE(""https://docs.google.com/spreadsheets/d/11NFkzOdQyW-OtxSDuGslNCgNjx7HUb2FU7KnlNnPMgY/edit#gid=0"",""'Game 11'!$B$2:$Q$31""),30,False),0)"),0.0)</f>
        <v>0</v>
      </c>
      <c r="L98" s="5">
        <f>IFERROR(__xludf.DUMMYFUNCTION("IFERROR(HLOOKUP($A98,IMPORTRANGE(""https://docs.google.com/spreadsheets/d/1CLg5-jaE4ta0-u4oE1qbBplQ5Mf3Oj9ONFgL0zJ7Ol4/edit#gid=0"",""'Game 11'!$B$2:$Q$31""),30,False),1)"),11.0)</f>
        <v>11</v>
      </c>
      <c r="M98" s="5">
        <f>IFERROR(__xludf.DUMMYFUNCTION("IFERROR(HLOOKUP($A98,IMPORTRANGE(""https://docs.google.com/spreadsheets/d/1CeexgK4KxWj3k_7nql_k8-RPxXMwTJyB4Q3vAASeDlA/edit#gid=0"",""'Game 11'!$B$2:$Q$31""),30,False),1)"),0.0)</f>
        <v>0</v>
      </c>
      <c r="N98" s="5">
        <f>IFERROR(__xludf.DUMMYFUNCTION("IFERROR(HLOOKUP($A98,IMPORTRANGE(""https://docs.google.com/spreadsheets/d/1MNwUNMjcwK6bEgCXwB73jpbK5gJAXS8ZMpbEMLJEP3E/edit#gid=0"",""'Game 12'!$B$2:$Q$31""),30,False),1)"),0.0)</f>
        <v>0</v>
      </c>
      <c r="O98" s="5">
        <f>IFERROR(__xludf.DUMMYFUNCTION("IFERROR(HLOOKUP($A98,IMPORTRANGE(""https://docs.google.com/spreadsheets/d/1UrzyxmT40kDZwVrLMf1yyXfP-pyczRAw9Y8Rw-uXG3c/edit#gid=0"",""'Game 6'!$B$2:$Q$31""),30,False),1)"),0.0)</f>
        <v>0</v>
      </c>
      <c r="P98" s="5">
        <f>IFERROR(__xludf.DUMMYFUNCTION("IFERROR(HLOOKUP($A98,IMPORTRANGE(""https://docs.google.com/spreadsheets/d/1iyMhSYWifw-KGFtyeBpNxVZr4BhcV9hVZuShgJ9Ia0E/edit#gid=0"",""'Game 1'!$B$2:$Q$31""),30,False),1)"),0.0)</f>
        <v>0</v>
      </c>
      <c r="Q98" s="5">
        <f>IFERROR(__xludf.DUMMYFUNCTION("IFERROR(HLOOKUP($A98,IMPORTRANGE(""https://docs.google.com/spreadsheets/d/1sSbIK-vvHsSY0LghLJ9gcnW8Hec_ITI2tFmpeqI999A/edit#gid=0"",""'Game 13'!$B$2:$Q$31""),30,False),1)"),0.0)</f>
        <v>0</v>
      </c>
      <c r="R98" s="6">
        <f t="shared" si="2"/>
        <v>68</v>
      </c>
    </row>
    <row r="99">
      <c r="A99" s="21" t="s">
        <v>239</v>
      </c>
      <c r="B99" s="11" t="s">
        <v>240</v>
      </c>
      <c r="C99" s="21">
        <v>0.0</v>
      </c>
      <c r="D99" s="21">
        <v>0.0</v>
      </c>
      <c r="E99" s="21">
        <v>23.0</v>
      </c>
      <c r="F99" s="21">
        <v>12.0</v>
      </c>
      <c r="G99" s="1">
        <v>23.0</v>
      </c>
      <c r="H99" s="7">
        <f>IFERROR(__xludf.DUMMYFUNCTION("HLOOKUP($A99,IMPORTRANGE(""https://docs.google.com/spreadsheets/d/16J5ie7OD1E99qGO9lMDm8w5Yls-v190B7DTolJ5TmFc/edit#gid=0"",""'Game 4'!$B$2:$Q$31""),30,False)"),23.0)</f>
        <v>23</v>
      </c>
      <c r="I99" s="1">
        <v>23.0</v>
      </c>
      <c r="J99" s="7">
        <f>IFERROR(__xludf.DUMMYFUNCTION("IFERROR(HLOOKUP($A99,IMPORTRANGE(""https://docs.google.com/spreadsheets/d/1CTYfdyRk_RFGM3I2iN9bKeD9zUPzEm1ajzml6VgwfIU/edit#gid=0"",""'Game 7'!$B$2:$Q$31""),30,False),0)"),23.0)</f>
        <v>23</v>
      </c>
      <c r="K99" s="7">
        <f>IFERROR(__xludf.DUMMYFUNCTION("IFERROR(HLOOKUP($A99,IMPORTRANGE(""https://docs.google.com/spreadsheets/d/11NFkzOdQyW-OtxSDuGslNCgNjx7HUb2FU7KnlNnPMgY/edit#gid=0"",""'Game 7'!$B$2:$Q$31""),30,False),0)"),11.0)</f>
        <v>11</v>
      </c>
      <c r="L99" s="7">
        <f>IFERROR(__xludf.DUMMYFUNCTION("IFERROR(HLOOKUP($A99,IMPORTRANGE(""https://docs.google.com/spreadsheets/d/1CLg5-jaE4ta0-u4oE1qbBplQ5Mf3Oj9ONFgL0zJ7Ol4/edit#gid=0"",""'Game 7'!$B$2:$Q$31""),30,False),1)"),11.0)</f>
        <v>11</v>
      </c>
      <c r="M99" s="7">
        <f>IFERROR(__xludf.DUMMYFUNCTION("IFERROR(HLOOKUP($A99,IMPORTRANGE(""https://docs.google.com/spreadsheets/d/1CeexgK4KxWj3k_7nql_k8-RPxXMwTJyB4Q3vAASeDlA/edit#gid=0"",""'Game 7'!$B$2:$Q$31""),30,False),1)"),23.0)</f>
        <v>23</v>
      </c>
      <c r="N99" s="7">
        <f>IFERROR(__xludf.DUMMYFUNCTION("IFERROR(HLOOKUP($A99,IMPORTRANGE(""https://docs.google.com/spreadsheets/d/1MNwUNMjcwK6bEgCXwB73jpbK5gJAXS8ZMpbEMLJEP3E/edit#gid=0"",""'Game 7'!$B$2:$Q$31""),30,False),1)"),11.0)</f>
        <v>11</v>
      </c>
      <c r="O99" s="7">
        <f>IFERROR(__xludf.DUMMYFUNCTION("IFERROR(HLOOKUP($A99,IMPORTRANGE(""https://docs.google.com/spreadsheets/d/1UrzyxmT40kDZwVrLMf1yyXfP-pyczRAw9Y8Rw-uXG3c/edit#gid=0"",""'Game 2'!$B$2:$Q$31""),30,False),1)"),12.0)</f>
        <v>12</v>
      </c>
      <c r="P99" s="7">
        <f>IFERROR(__xludf.DUMMYFUNCTION("IFERROR(HLOOKUP($A99,IMPORTRANGE(""https://docs.google.com/spreadsheets/d/1iyMhSYWifw-KGFtyeBpNxVZr4BhcV9hVZuShgJ9Ia0E/edit#gid=0"",""'Game 7'!$B$2:$Q$31""),30,False),1)"),23.0)</f>
        <v>23</v>
      </c>
      <c r="Q99" s="7">
        <f>IFERROR(__xludf.DUMMYFUNCTION("IFERROR(HLOOKUP($A99,IMPORTRANGE(""https://docs.google.com/spreadsheets/d/1sSbIK-vvHsSY0LghLJ9gcnW8Hec_ITI2tFmpeqI999A/edit#gid=0"",""'Game 5'!$B$2:$Q$31""),30,False),1)"),23.0)</f>
        <v>23</v>
      </c>
      <c r="R99" s="11">
        <f t="shared" si="2"/>
        <v>241</v>
      </c>
    </row>
    <row r="100">
      <c r="A100" s="18" t="s">
        <v>242</v>
      </c>
      <c r="B100" s="6" t="s">
        <v>240</v>
      </c>
      <c r="C100" s="18">
        <v>23.0</v>
      </c>
      <c r="D100" s="18">
        <v>23.0</v>
      </c>
      <c r="E100" s="18">
        <v>11.0</v>
      </c>
      <c r="F100" s="18">
        <v>23.0</v>
      </c>
      <c r="G100" s="3">
        <v>12.0</v>
      </c>
      <c r="H100" s="5">
        <f>IFERROR(__xludf.DUMMYFUNCTION("HLOOKUP($A100,IMPORTRANGE(""https://docs.google.com/spreadsheets/d/16J5ie7OD1E99qGO9lMDm8w5Yls-v190B7DTolJ5TmFc/edit#gid=0"",""'Game 4'!$B$2:$Q$31""),30,False)"),23.0)</f>
        <v>23</v>
      </c>
      <c r="I100" s="3">
        <v>0.0</v>
      </c>
      <c r="J100" s="5">
        <f>IFERROR(__xludf.DUMMYFUNCTION("IFERROR(HLOOKUP($A100,IMPORTRANGE(""https://docs.google.com/spreadsheets/d/1CTYfdyRk_RFGM3I2iN9bKeD9zUPzEm1ajzml6VgwfIU/edit#gid=0"",""'Game 7'!$B$2:$Q$31""),30,False),0)"),11.0)</f>
        <v>11</v>
      </c>
      <c r="K100" s="5">
        <f>IFERROR(__xludf.DUMMYFUNCTION("IFERROR(HLOOKUP($A100,IMPORTRANGE(""https://docs.google.com/spreadsheets/d/11NFkzOdQyW-OtxSDuGslNCgNjx7HUb2FU7KnlNnPMgY/edit#gid=0"",""'Game 7'!$B$2:$Q$31""),30,False),0)"),23.0)</f>
        <v>23</v>
      </c>
      <c r="L100" s="5">
        <f>IFERROR(__xludf.DUMMYFUNCTION("IFERROR(HLOOKUP($A100,IMPORTRANGE(""https://docs.google.com/spreadsheets/d/1CLg5-jaE4ta0-u4oE1qbBplQ5Mf3Oj9ONFgL0zJ7Ol4/edit#gid=0"",""'Game 7'!$B$2:$Q$31""),30,False),1)"),12.0)</f>
        <v>12</v>
      </c>
      <c r="M100" s="5">
        <f>IFERROR(__xludf.DUMMYFUNCTION("IFERROR(HLOOKUP($A100,IMPORTRANGE(""https://docs.google.com/spreadsheets/d/1CeexgK4KxWj3k_7nql_k8-RPxXMwTJyB4Q3vAASeDlA/edit#gid=0"",""'Game 7'!$B$2:$Q$31""),30,False),1)"),12.0)</f>
        <v>12</v>
      </c>
      <c r="N100" s="5">
        <f>IFERROR(__xludf.DUMMYFUNCTION("IFERROR(HLOOKUP($A100,IMPORTRANGE(""https://docs.google.com/spreadsheets/d/1MNwUNMjcwK6bEgCXwB73jpbK5gJAXS8ZMpbEMLJEP3E/edit#gid=0"",""'Game 7'!$B$2:$Q$31""),30,False),1)"),23.0)</f>
        <v>23</v>
      </c>
      <c r="O100" s="5">
        <f>IFERROR(__xludf.DUMMYFUNCTION("IFERROR(HLOOKUP($A100,IMPORTRANGE(""https://docs.google.com/spreadsheets/d/1UrzyxmT40kDZwVrLMf1yyXfP-pyczRAw9Y8Rw-uXG3c/edit#gid=0"",""'Game 2'!$B$2:$Q$31""),30,False),1)"),11.0)</f>
        <v>11</v>
      </c>
      <c r="P100" s="5">
        <f>IFERROR(__xludf.DUMMYFUNCTION("IFERROR(HLOOKUP($A100,IMPORTRANGE(""https://docs.google.com/spreadsheets/d/1iyMhSYWifw-KGFtyeBpNxVZr4BhcV9hVZuShgJ9Ia0E/edit#gid=0"",""'Game 7'!$B$2:$Q$31""),30,False),1)"),23.0)</f>
        <v>23</v>
      </c>
      <c r="Q100" s="5">
        <f>IFERROR(__xludf.DUMMYFUNCTION("IFERROR(HLOOKUP($A100,IMPORTRANGE(""https://docs.google.com/spreadsheets/d/1sSbIK-vvHsSY0LghLJ9gcnW8Hec_ITI2tFmpeqI999A/edit#gid=0"",""'Game 5'!$B$2:$Q$31""),30,False),1)"),23.0)</f>
        <v>23</v>
      </c>
      <c r="R100" s="6">
        <f t="shared" si="2"/>
        <v>253</v>
      </c>
    </row>
    <row r="101">
      <c r="A101" s="1" t="s">
        <v>244</v>
      </c>
      <c r="B101" s="11" t="s">
        <v>240</v>
      </c>
      <c r="C101" s="21">
        <v>23.0</v>
      </c>
      <c r="D101" s="21">
        <v>23.0</v>
      </c>
      <c r="E101" s="21">
        <v>12.0</v>
      </c>
      <c r="F101" s="21">
        <v>23.0</v>
      </c>
      <c r="G101" s="1">
        <v>11.0</v>
      </c>
      <c r="H101" s="7">
        <f>IFERROR(__xludf.DUMMYFUNCTION("HLOOKUP($A101,IMPORTRANGE(""https://docs.google.com/spreadsheets/d/16J5ie7OD1E99qGO9lMDm8w5Yls-v190B7DTolJ5TmFc/edit#gid=0"",""'Game 4'!$B$2:$Q$31""),30,False)"),23.0)</f>
        <v>23</v>
      </c>
      <c r="I101" s="1">
        <v>23.0</v>
      </c>
      <c r="J101" s="7">
        <f>IFERROR(__xludf.DUMMYFUNCTION("IFERROR(HLOOKUP($A101,IMPORTRANGE(""https://docs.google.com/spreadsheets/d/1CTYfdyRk_RFGM3I2iN9bKeD9zUPzEm1ajzml6VgwfIU/edit#gid=0"",""'Game 7'!$B$2:$Q$31""),30,False),0)"),12.0)</f>
        <v>12</v>
      </c>
      <c r="K101" s="7">
        <f>IFERROR(__xludf.DUMMYFUNCTION("IFERROR(HLOOKUP($A101,IMPORTRANGE(""https://docs.google.com/spreadsheets/d/11NFkzOdQyW-OtxSDuGslNCgNjx7HUb2FU7KnlNnPMgY/edit#gid=0"",""'Game 7'!$B$2:$Q$31""),30,False),0)"),12.0)</f>
        <v>12</v>
      </c>
      <c r="L101" s="7">
        <f>IFERROR(__xludf.DUMMYFUNCTION("IFERROR(HLOOKUP($A101,IMPORTRANGE(""https://docs.google.com/spreadsheets/d/1CLg5-jaE4ta0-u4oE1qbBplQ5Mf3Oj9ONFgL0zJ7Ol4/edit#gid=0"",""'Game 7'!$B$2:$Q$31""),30,False),1)"),23.0)</f>
        <v>23</v>
      </c>
      <c r="M101" s="7">
        <f>IFERROR(__xludf.DUMMYFUNCTION("IFERROR(HLOOKUP($A101,IMPORTRANGE(""https://docs.google.com/spreadsheets/d/1CeexgK4KxWj3k_7nql_k8-RPxXMwTJyB4Q3vAASeDlA/edit#gid=0"",""'Game 7'!$B$2:$Q$31""),30,False),1)"),11.0)</f>
        <v>11</v>
      </c>
      <c r="N101" s="7">
        <f>IFERROR(__xludf.DUMMYFUNCTION("IFERROR(HLOOKUP($A101,IMPORTRANGE(""https://docs.google.com/spreadsheets/d/1MNwUNMjcwK6bEgCXwB73jpbK5gJAXS8ZMpbEMLJEP3E/edit#gid=0"",""'Game 7'!$B$2:$Q$31""),30,False),1)"),12.0)</f>
        <v>12</v>
      </c>
      <c r="O101" s="7">
        <f>IFERROR(__xludf.DUMMYFUNCTION("IFERROR(HLOOKUP($A101,IMPORTRANGE(""https://docs.google.com/spreadsheets/d/1UrzyxmT40kDZwVrLMf1yyXfP-pyczRAw9Y8Rw-uXG3c/edit#gid=0"",""'Game 2'!$B$2:$Q$31""),30,False),1)"),23.0)</f>
        <v>23</v>
      </c>
      <c r="P101" s="7">
        <f>IFERROR(__xludf.DUMMYFUNCTION("IFERROR(HLOOKUP($A101,IMPORTRANGE(""https://docs.google.com/spreadsheets/d/1iyMhSYWifw-KGFtyeBpNxVZr4BhcV9hVZuShgJ9Ia0E/edit#gid=0"",""'Game 7'!$B$2:$Q$31""),30,False),1)"),23.0)</f>
        <v>23</v>
      </c>
      <c r="Q101" s="7">
        <f>IFERROR(__xludf.DUMMYFUNCTION("IFERROR(HLOOKUP($A101,IMPORTRANGE(""https://docs.google.com/spreadsheets/d/1sSbIK-vvHsSY0LghLJ9gcnW8Hec_ITI2tFmpeqI999A/edit#gid=0"",""'Game 5'!$B$2:$Q$31""),30,False),1)"),23.0)</f>
        <v>23</v>
      </c>
      <c r="R101" s="11">
        <f t="shared" si="2"/>
        <v>277</v>
      </c>
    </row>
    <row r="102">
      <c r="A102" s="18" t="s">
        <v>246</v>
      </c>
      <c r="B102" s="6" t="s">
        <v>240</v>
      </c>
      <c r="C102" s="18">
        <v>23.0</v>
      </c>
      <c r="D102" s="18">
        <v>23.0</v>
      </c>
      <c r="E102" s="18">
        <v>23.0</v>
      </c>
      <c r="F102" s="18">
        <v>23.0</v>
      </c>
      <c r="G102" s="3">
        <v>23.0</v>
      </c>
      <c r="H102" s="5">
        <f>IFERROR(__xludf.DUMMYFUNCTION("HLOOKUP($A102,IMPORTRANGE(""https://docs.google.com/spreadsheets/d/16J5ie7OD1E99qGO9lMDm8w5Yls-v190B7DTolJ5TmFc/edit#gid=0"",""'Game 4'!$B$2:$Q$31""),30,False)"),23.0)</f>
        <v>23</v>
      </c>
      <c r="I102" s="3">
        <v>23.0</v>
      </c>
      <c r="J102" s="5">
        <f>IFERROR(__xludf.DUMMYFUNCTION("IFERROR(HLOOKUP($A102,IMPORTRANGE(""https://docs.google.com/spreadsheets/d/1CTYfdyRk_RFGM3I2iN9bKeD9zUPzEm1ajzml6VgwfIU/edit#gid=0"",""'Game 7'!$B$2:$Q$31""),30,False),0)"),23.0)</f>
        <v>23</v>
      </c>
      <c r="K102" s="5">
        <f>IFERROR(__xludf.DUMMYFUNCTION("IFERROR(HLOOKUP($A102,IMPORTRANGE(""https://docs.google.com/spreadsheets/d/11NFkzOdQyW-OtxSDuGslNCgNjx7HUb2FU7KnlNnPMgY/edit#gid=0"",""'Game 7'!$B$2:$Q$31""),30,False),0)"),23.0)</f>
        <v>23</v>
      </c>
      <c r="L102" s="5">
        <f>IFERROR(__xludf.DUMMYFUNCTION("IFERROR(HLOOKUP($A102,IMPORTRANGE(""https://docs.google.com/spreadsheets/d/1CLg5-jaE4ta0-u4oE1qbBplQ5Mf3Oj9ONFgL0zJ7Ol4/edit#gid=0"",""'Game 7'!$B$2:$Q$31""),30,False),1)"),23.0)</f>
        <v>23</v>
      </c>
      <c r="M102" s="5">
        <f>IFERROR(__xludf.DUMMYFUNCTION("IFERROR(HLOOKUP($A102,IMPORTRANGE(""https://docs.google.com/spreadsheets/d/1CeexgK4KxWj3k_7nql_k8-RPxXMwTJyB4Q3vAASeDlA/edit#gid=0"",""'Game 7'!$B$2:$Q$31""),30,False),1)"),23.0)</f>
        <v>23</v>
      </c>
      <c r="N102" s="5">
        <f>IFERROR(__xludf.DUMMYFUNCTION("IFERROR(HLOOKUP($A102,IMPORTRANGE(""https://docs.google.com/spreadsheets/d/1MNwUNMjcwK6bEgCXwB73jpbK5gJAXS8ZMpbEMLJEP3E/edit#gid=0"",""'Game 7'!$B$2:$Q$31""),30,False),1)"),23.0)</f>
        <v>23</v>
      </c>
      <c r="O102" s="5">
        <f>IFERROR(__xludf.DUMMYFUNCTION("IFERROR(HLOOKUP($A102,IMPORTRANGE(""https://docs.google.com/spreadsheets/d/1UrzyxmT40kDZwVrLMf1yyXfP-pyczRAw9Y8Rw-uXG3c/edit#gid=0"",""'Game 2'!$B$2:$Q$31""),30,False),1)"),23.0)</f>
        <v>23</v>
      </c>
      <c r="P102" s="5">
        <f>IFERROR(__xludf.DUMMYFUNCTION("IFERROR(HLOOKUP($A102,IMPORTRANGE(""https://docs.google.com/spreadsheets/d/1iyMhSYWifw-KGFtyeBpNxVZr4BhcV9hVZuShgJ9Ia0E/edit#gid=0"",""'Game 7'!$B$2:$Q$31""),30,False),1)"),23.0)</f>
        <v>23</v>
      </c>
      <c r="Q102" s="5">
        <f>IFERROR(__xludf.DUMMYFUNCTION("IFERROR(HLOOKUP($A102,IMPORTRANGE(""https://docs.google.com/spreadsheets/d/1sSbIK-vvHsSY0LghLJ9gcnW8Hec_ITI2tFmpeqI999A/edit#gid=0"",""'Game 5'!$B$2:$Q$31""),30,False),1)"),23.0)</f>
        <v>23</v>
      </c>
      <c r="R102" s="6">
        <f t="shared" si="2"/>
        <v>345</v>
      </c>
    </row>
    <row r="103">
      <c r="A103" s="21" t="s">
        <v>249</v>
      </c>
      <c r="B103" s="21" t="s">
        <v>240</v>
      </c>
      <c r="C103" s="21">
        <v>23.0</v>
      </c>
      <c r="D103" s="21">
        <v>23.0</v>
      </c>
      <c r="E103" s="21">
        <v>23.0</v>
      </c>
      <c r="F103" s="21">
        <v>11.0</v>
      </c>
      <c r="G103" s="1">
        <v>23.0</v>
      </c>
      <c r="H103" s="7">
        <f>IFERROR(__xludf.DUMMYFUNCTION("HLOOKUP($A103,IMPORTRANGE(""https://docs.google.com/spreadsheets/d/16J5ie7OD1E99qGO9lMDm8w5Yls-v190B7DTolJ5TmFc/edit#gid=0"",""'Game 4'!$B$2:$Q$31""),30,False)"),0.0)</f>
        <v>0</v>
      </c>
      <c r="I103" s="1">
        <v>23.0</v>
      </c>
      <c r="J103" s="7">
        <f>IFERROR(__xludf.DUMMYFUNCTION("IFERROR(HLOOKUP($A103,IMPORTRANGE(""https://docs.google.com/spreadsheets/d/1CTYfdyRk_RFGM3I2iN9bKeD9zUPzEm1ajzml6VgwfIU/edit#gid=0"",""'Game 7'!$B$2:$Q$31""),30,False),0)"),23.0)</f>
        <v>23</v>
      </c>
      <c r="K103" s="7">
        <f>IFERROR(__xludf.DUMMYFUNCTION("IFERROR(HLOOKUP($A103,IMPORTRANGE(""https://docs.google.com/spreadsheets/d/11NFkzOdQyW-OtxSDuGslNCgNjx7HUb2FU7KnlNnPMgY/edit#gid=0"",""'Game 7'!$B$2:$Q$31""),30,False),0)"),23.0)</f>
        <v>23</v>
      </c>
      <c r="L103" s="7">
        <f>IFERROR(__xludf.DUMMYFUNCTION("IFERROR(HLOOKUP($A103,IMPORTRANGE(""https://docs.google.com/spreadsheets/d/1CLg5-jaE4ta0-u4oE1qbBplQ5Mf3Oj9ONFgL0zJ7Ol4/edit#gid=0"",""'Game 7'!$B$2:$Q$31""),30,False),1)"),23.0)</f>
        <v>23</v>
      </c>
      <c r="M103" s="7">
        <f>IFERROR(__xludf.DUMMYFUNCTION("IFERROR(HLOOKUP($A103,IMPORTRANGE(""https://docs.google.com/spreadsheets/d/1CeexgK4KxWj3k_7nql_k8-RPxXMwTJyB4Q3vAASeDlA/edit#gid=0"",""'Game 7'!$B$2:$Q$31""),30,False),1)"),23.0)</f>
        <v>23</v>
      </c>
      <c r="N103" s="7">
        <f>IFERROR(__xludf.DUMMYFUNCTION("IFERROR(HLOOKUP($A103,IMPORTRANGE(""https://docs.google.com/spreadsheets/d/1MNwUNMjcwK6bEgCXwB73jpbK5gJAXS8ZMpbEMLJEP3E/edit#gid=0"",""'Game 7'!$B$2:$Q$31""),30,False),1)"),23.0)</f>
        <v>23</v>
      </c>
      <c r="O103" s="7">
        <f>IFERROR(__xludf.DUMMYFUNCTION("IFERROR(HLOOKUP($A103,IMPORTRANGE(""https://docs.google.com/spreadsheets/d/1UrzyxmT40kDZwVrLMf1yyXfP-pyczRAw9Y8Rw-uXG3c/edit#gid=0"",""'Game 2'!$B$2:$Q$31""),30,False),1)"),23.0)</f>
        <v>23</v>
      </c>
      <c r="P103" s="7">
        <f>IFERROR(__xludf.DUMMYFUNCTION("IFERROR(HLOOKUP($A103,IMPORTRANGE(""https://docs.google.com/spreadsheets/d/1iyMhSYWifw-KGFtyeBpNxVZr4BhcV9hVZuShgJ9Ia0E/edit#gid=0"",""'Game 7'!$B$2:$Q$31""),30,False),1)"),0.0)</f>
        <v>0</v>
      </c>
      <c r="Q103" s="7">
        <f>IFERROR(__xludf.DUMMYFUNCTION("IFERROR(HLOOKUP($A103,IMPORTRANGE(""https://docs.google.com/spreadsheets/d/1sSbIK-vvHsSY0LghLJ9gcnW8Hec_ITI2tFmpeqI999A/edit#gid=0"",""'Game 5'!$B$2:$Q$31""),30,False),1)"),0.0)</f>
        <v>0</v>
      </c>
      <c r="R103" s="11">
        <f t="shared" si="2"/>
        <v>264</v>
      </c>
    </row>
    <row r="104">
      <c r="A104" s="18" t="s">
        <v>250</v>
      </c>
      <c r="B104" s="18" t="s">
        <v>251</v>
      </c>
      <c r="C104" s="18">
        <v>23.0</v>
      </c>
      <c r="D104" s="18">
        <v>23.0</v>
      </c>
      <c r="E104" s="18">
        <v>0.0</v>
      </c>
      <c r="F104" s="18">
        <v>0.0</v>
      </c>
      <c r="G104" s="3">
        <v>0.0</v>
      </c>
      <c r="H104" s="5">
        <f>IFERROR(__xludf.DUMMYFUNCTION("HLOOKUP($A104,IMPORTRANGE(""https://docs.google.com/spreadsheets/d/16J5ie7OD1E99qGO9lMDm8w5Yls-v190B7DTolJ5TmFc/edit#gid=0"",""'Game 6'!$B$2:$Q$31""),30,False)"),0.0)</f>
        <v>0</v>
      </c>
      <c r="I104" s="3">
        <v>0.0</v>
      </c>
      <c r="J104" s="5">
        <f>IFERROR(__xludf.DUMMYFUNCTION("IFERROR(HLOOKUP($A104,IMPORTRANGE(""https://docs.google.com/spreadsheets/d/1CTYfdyRk_RFGM3I2iN9bKeD9zUPzEm1ajzml6VgwfIU/edit#gid=0"",""'Game 11'!$B$2:$Q$31""),30,False),0)"),0.0)</f>
        <v>0</v>
      </c>
      <c r="K104" s="5">
        <f>IFERROR(__xludf.DUMMYFUNCTION("IFERROR(HLOOKUP($A104,IMPORTRANGE(""https://docs.google.com/spreadsheets/d/11NFkzOdQyW-OtxSDuGslNCgNjx7HUb2FU7KnlNnPMgY/edit#gid=0"",""'Game 5'!$B$2:$Q$31""),30,False),0)"),0.0)</f>
        <v>0</v>
      </c>
      <c r="L104" s="5">
        <f>IFERROR(__xludf.DUMMYFUNCTION("IFERROR(HLOOKUP($A104,IMPORTRANGE(""https://docs.google.com/spreadsheets/d/1CLg5-jaE4ta0-u4oE1qbBplQ5Mf3Oj9ONFgL0zJ7Ol4/edit#gid=0"",""'Game 13'!$B$2:$Q$31""),30,False),1)"),0.0)</f>
        <v>0</v>
      </c>
      <c r="M104" s="5">
        <f>IFERROR(__xludf.DUMMYFUNCTION("IFERROR(HLOOKUP($A104,IMPORTRANGE(""https://docs.google.com/spreadsheets/d/1CeexgK4KxWj3k_7nql_k8-RPxXMwTJyB4Q3vAASeDlA/edit#gid=0"",""'Game 6'!$B$2:$Q$31""),30,False),1)"),0.0)</f>
        <v>0</v>
      </c>
      <c r="N104" s="27">
        <v>0.0</v>
      </c>
      <c r="O104" s="27">
        <v>0.0</v>
      </c>
      <c r="P104" s="27">
        <v>0.0</v>
      </c>
      <c r="Q104" s="27">
        <v>0.0</v>
      </c>
      <c r="R104" s="6">
        <f t="shared" si="2"/>
        <v>46</v>
      </c>
    </row>
    <row r="105">
      <c r="A105" s="1" t="s">
        <v>254</v>
      </c>
      <c r="B105" s="1" t="s">
        <v>251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28">
        <v>0.0</v>
      </c>
      <c r="I105" s="1">
        <v>0.0</v>
      </c>
      <c r="J105" s="28">
        <v>0.0</v>
      </c>
      <c r="K105" s="28">
        <v>0.0</v>
      </c>
      <c r="L105" s="28">
        <v>0.0</v>
      </c>
      <c r="M105" s="28">
        <v>0.0</v>
      </c>
      <c r="N105" s="7">
        <f>IFERROR(__xludf.DUMMYFUNCTION("IFERROR(HLOOKUP($A105,IMPORTRANGE(""https://docs.google.com/spreadsheets/d/1MNwUNMjcwK6bEgCXwB73jpbK5gJAXS8ZMpbEMLJEP3E/edit#gid=0"",""'Game 9'!$B$2:$Q$31""),30,False),1)"),23.0)</f>
        <v>23</v>
      </c>
      <c r="O105" s="7">
        <f>IFERROR(__xludf.DUMMYFUNCTION("IFERROR(HLOOKUP($A105,IMPORTRANGE(""https://docs.google.com/spreadsheets/d/1UrzyxmT40kDZwVrLMf1yyXfP-pyczRAw9Y8Rw-uXG3c/edit#gid=0"",""'Game 12'!$B$2:$Q$31""),30,False),1)"),23.0)</f>
        <v>23</v>
      </c>
      <c r="P105" s="7">
        <f>IFERROR(__xludf.DUMMYFUNCTION("IFERROR(HLOOKUP($A105,IMPORTRANGE(""https://docs.google.com/spreadsheets/d/1iyMhSYWifw-KGFtyeBpNxVZr4BhcV9hVZuShgJ9Ia0E/edit#gid=0"",""'Game 11'!$B$2:$Q$31""),30,False),1)"),23.0)</f>
        <v>23</v>
      </c>
      <c r="Q105" s="7">
        <f>IFERROR(__xludf.DUMMYFUNCTION("IFERROR(HLOOKUP($A105,IMPORTRANGE(""https://docs.google.com/spreadsheets/d/1sSbIK-vvHsSY0LghLJ9gcnW8Hec_ITI2tFmpeqI999A/edit#gid=0"",""'Game 11'!$B$2:$Q$31""),30,False),1)"),23.0)</f>
        <v>23</v>
      </c>
      <c r="R105" s="11">
        <f t="shared" si="2"/>
        <v>92</v>
      </c>
    </row>
    <row r="106">
      <c r="A106" s="18" t="s">
        <v>255</v>
      </c>
      <c r="B106" s="18" t="s">
        <v>251</v>
      </c>
      <c r="C106" s="18">
        <v>23.0</v>
      </c>
      <c r="D106" s="18">
        <v>23.0</v>
      </c>
      <c r="E106" s="18">
        <v>23.0</v>
      </c>
      <c r="F106" s="18">
        <v>23.0</v>
      </c>
      <c r="G106" s="3">
        <v>23.0</v>
      </c>
      <c r="H106" s="5">
        <f>IFERROR(__xludf.DUMMYFUNCTION("HLOOKUP($A106,IMPORTRANGE(""https://docs.google.com/spreadsheets/d/16J5ie7OD1E99qGO9lMDm8w5Yls-v190B7DTolJ5TmFc/edit#gid=0"",""'Game 6'!$B$2:$Q$31""),30,False)"),23.0)</f>
        <v>23</v>
      </c>
      <c r="I106" s="3">
        <v>23.0</v>
      </c>
      <c r="J106" s="5">
        <f>IFERROR(__xludf.DUMMYFUNCTION("IFERROR(HLOOKUP($A106,IMPORTRANGE(""https://docs.google.com/spreadsheets/d/1CTYfdyRk_RFGM3I2iN9bKeD9zUPzEm1ajzml6VgwfIU/edit#gid=0"",""'Game 11'!$B$2:$Q$31""),30,False),0)"),11.0)</f>
        <v>11</v>
      </c>
      <c r="K106" s="5">
        <f>IFERROR(__xludf.DUMMYFUNCTION("IFERROR(HLOOKUP($A106,IMPORTRANGE(""https://docs.google.com/spreadsheets/d/11NFkzOdQyW-OtxSDuGslNCgNjx7HUb2FU7KnlNnPMgY/edit#gid=0"",""'Game 5'!$B$2:$Q$31""),30,False),0)"),0.0)</f>
        <v>0</v>
      </c>
      <c r="L106" s="5">
        <f>IFERROR(__xludf.DUMMYFUNCTION("IFERROR(HLOOKUP($A106,IMPORTRANGE(""https://docs.google.com/spreadsheets/d/1CLg5-jaE4ta0-u4oE1qbBplQ5Mf3Oj9ONFgL0zJ7Ol4/edit#gid=0"",""'Game 13'!$B$2:$Q$31""),30,False),1)"),23.0)</f>
        <v>23</v>
      </c>
      <c r="M106" s="5">
        <f>IFERROR(__xludf.DUMMYFUNCTION("IFERROR(HLOOKUP($A106,IMPORTRANGE(""https://docs.google.com/spreadsheets/d/1CeexgK4KxWj3k_7nql_k8-RPxXMwTJyB4Q3vAASeDlA/edit#gid=0"",""'Game 6'!$B$2:$Q$31""),30,False),1)"),23.0)</f>
        <v>23</v>
      </c>
      <c r="N106" s="5">
        <f>IFERROR(__xludf.DUMMYFUNCTION("IFERROR(HLOOKUP($A106,IMPORTRANGE(""https://docs.google.com/spreadsheets/d/1MNwUNMjcwK6bEgCXwB73jpbK5gJAXS8ZMpbEMLJEP3E/edit#gid=0"",""'Game 9'!$B$2:$Q$31""),30,False),1)"),23.0)</f>
        <v>23</v>
      </c>
      <c r="O106" s="5">
        <f>IFERROR(__xludf.DUMMYFUNCTION("IFERROR(HLOOKUP($A106,IMPORTRANGE(""https://docs.google.com/spreadsheets/d/1UrzyxmT40kDZwVrLMf1yyXfP-pyczRAw9Y8Rw-uXG3c/edit#gid=0"",""'Game 12'!$B$2:$Q$31""),30,False),1)"),11.0)</f>
        <v>11</v>
      </c>
      <c r="P106" s="5">
        <f>IFERROR(__xludf.DUMMYFUNCTION("IFERROR(HLOOKUP($A106,IMPORTRANGE(""https://docs.google.com/spreadsheets/d/1iyMhSYWifw-KGFtyeBpNxVZr4BhcV9hVZuShgJ9Ia0E/edit#gid=0"",""'Game 11'!$B$2:$Q$31""),30,False),1)"),23.0)</f>
        <v>23</v>
      </c>
      <c r="Q106" s="5">
        <f>IFERROR(__xludf.DUMMYFUNCTION("IFERROR(HLOOKUP($A106,IMPORTRANGE(""https://docs.google.com/spreadsheets/d/1sSbIK-vvHsSY0LghLJ9gcnW8Hec_ITI2tFmpeqI999A/edit#gid=0"",""'Game 11'!$B$2:$Q$31""),30,False),1)"),23.0)</f>
        <v>23</v>
      </c>
      <c r="R106" s="6">
        <f t="shared" si="2"/>
        <v>298</v>
      </c>
    </row>
    <row r="107">
      <c r="A107" s="21" t="s">
        <v>257</v>
      </c>
      <c r="B107" s="21" t="s">
        <v>251</v>
      </c>
      <c r="C107" s="21">
        <v>23.0</v>
      </c>
      <c r="D107" s="21">
        <v>23.0</v>
      </c>
      <c r="E107" s="21">
        <v>23.0</v>
      </c>
      <c r="F107" s="21">
        <v>23.0</v>
      </c>
      <c r="G107" s="1">
        <v>23.0</v>
      </c>
      <c r="H107" s="7">
        <f>IFERROR(__xludf.DUMMYFUNCTION("HLOOKUP($A107,IMPORTRANGE(""https://docs.google.com/spreadsheets/d/16J5ie7OD1E99qGO9lMDm8w5Yls-v190B7DTolJ5TmFc/edit#gid=0"",""'Game 6'!$B$2:$Q$31""),30,False)"),23.0)</f>
        <v>23</v>
      </c>
      <c r="I107" s="1">
        <v>23.0</v>
      </c>
      <c r="J107" s="7">
        <f>IFERROR(__xludf.DUMMYFUNCTION("IFERROR(HLOOKUP($A107,IMPORTRANGE(""https://docs.google.com/spreadsheets/d/1CTYfdyRk_RFGM3I2iN9bKeD9zUPzEm1ajzml6VgwfIU/edit#gid=0"",""'Game 11'!$B$2:$Q$31""),30,False),0)"),23.0)</f>
        <v>23</v>
      </c>
      <c r="K107" s="7">
        <f>IFERROR(__xludf.DUMMYFUNCTION("IFERROR(HLOOKUP($A107,IMPORTRANGE(""https://docs.google.com/spreadsheets/d/11NFkzOdQyW-OtxSDuGslNCgNjx7HUb2FU7KnlNnPMgY/edit#gid=0"",""'Game 5'!$B$2:$Q$31""),30,False),0)"),23.0)</f>
        <v>23</v>
      </c>
      <c r="L107" s="7">
        <f>IFERROR(__xludf.DUMMYFUNCTION("IFERROR(HLOOKUP($A107,IMPORTRANGE(""https://docs.google.com/spreadsheets/d/1CLg5-jaE4ta0-u4oE1qbBplQ5Mf3Oj9ONFgL0zJ7Ol4/edit#gid=0"",""'Game 13'!$B$2:$Q$31""),30,False),1)"),23.0)</f>
        <v>23</v>
      </c>
      <c r="M107" s="7">
        <f>IFERROR(__xludf.DUMMYFUNCTION("IFERROR(HLOOKUP($A107,IMPORTRANGE(""https://docs.google.com/spreadsheets/d/1CeexgK4KxWj3k_7nql_k8-RPxXMwTJyB4Q3vAASeDlA/edit#gid=0"",""'Game 6'!$B$2:$Q$31""),30,False),1)"),23.0)</f>
        <v>23</v>
      </c>
      <c r="N107" s="7">
        <f>IFERROR(__xludf.DUMMYFUNCTION("IFERROR(HLOOKUP($A107,IMPORTRANGE(""https://docs.google.com/spreadsheets/d/1MNwUNMjcwK6bEgCXwB73jpbK5gJAXS8ZMpbEMLJEP3E/edit#gid=0"",""'Game 9'!$B$2:$Q$31""),30,False),1)"),23.0)</f>
        <v>23</v>
      </c>
      <c r="O107" s="7">
        <f>IFERROR(__xludf.DUMMYFUNCTION("IFERROR(HLOOKUP($A107,IMPORTRANGE(""https://docs.google.com/spreadsheets/d/1UrzyxmT40kDZwVrLMf1yyXfP-pyczRAw9Y8Rw-uXG3c/edit#gid=0"",""'Game 12'!$B$2:$Q$31""),30,False),1)"),23.0)</f>
        <v>23</v>
      </c>
      <c r="P107" s="7">
        <f>IFERROR(__xludf.DUMMYFUNCTION("IFERROR(HLOOKUP($A107,IMPORTRANGE(""https://docs.google.com/spreadsheets/d/1iyMhSYWifw-KGFtyeBpNxVZr4BhcV9hVZuShgJ9Ia0E/edit#gid=0"",""'Game 11'!$B$2:$Q$31""),30,False),1)"),23.0)</f>
        <v>23</v>
      </c>
      <c r="Q107" s="7">
        <f>IFERROR(__xludf.DUMMYFUNCTION("IFERROR(HLOOKUP($A107,IMPORTRANGE(""https://docs.google.com/spreadsheets/d/1sSbIK-vvHsSY0LghLJ9gcnW8Hec_ITI2tFmpeqI999A/edit#gid=0"",""'Game 11'!$B$2:$Q$31""),30,False),1)"),23.0)</f>
        <v>23</v>
      </c>
      <c r="R107" s="11">
        <f t="shared" si="2"/>
        <v>345</v>
      </c>
    </row>
    <row r="108">
      <c r="A108" s="18" t="s">
        <v>259</v>
      </c>
      <c r="B108" s="18" t="s">
        <v>251</v>
      </c>
      <c r="C108" s="18">
        <v>23.0</v>
      </c>
      <c r="D108" s="18">
        <v>23.0</v>
      </c>
      <c r="E108" s="18">
        <v>23.0</v>
      </c>
      <c r="F108" s="18">
        <v>23.0</v>
      </c>
      <c r="G108" s="3">
        <v>23.0</v>
      </c>
      <c r="H108" s="5">
        <f>IFERROR(__xludf.DUMMYFUNCTION("HLOOKUP($A108,IMPORTRANGE(""https://docs.google.com/spreadsheets/d/16J5ie7OD1E99qGO9lMDm8w5Yls-v190B7DTolJ5TmFc/edit#gid=0"",""'Game 6'!$B$2:$Q$31""),30,False)"),0.0)</f>
        <v>0</v>
      </c>
      <c r="I108" s="3">
        <v>23.0</v>
      </c>
      <c r="J108" s="5">
        <f>IFERROR(__xludf.DUMMYFUNCTION("IFERROR(HLOOKUP($A108,IMPORTRANGE(""https://docs.google.com/spreadsheets/d/1CTYfdyRk_RFGM3I2iN9bKeD9zUPzEm1ajzml6VgwfIU/edit#gid=0"",""'Game 11'!$B$2:$Q$31""),30,False),0)"),23.0)</f>
        <v>23</v>
      </c>
      <c r="K108" s="5">
        <f>IFERROR(__xludf.DUMMYFUNCTION("IFERROR(HLOOKUP($A108,IMPORTRANGE(""https://docs.google.com/spreadsheets/d/11NFkzOdQyW-OtxSDuGslNCgNjx7HUb2FU7KnlNnPMgY/edit#gid=0"",""'Game 5'!$B$2:$Q$31""),30,False),0)"),23.0)</f>
        <v>23</v>
      </c>
      <c r="L108" s="5">
        <f>IFERROR(__xludf.DUMMYFUNCTION("IFERROR(HLOOKUP($A108,IMPORTRANGE(""https://docs.google.com/spreadsheets/d/1CLg5-jaE4ta0-u4oE1qbBplQ5Mf3Oj9ONFgL0zJ7Ol4/edit#gid=0"",""'Game 13'!$B$2:$Q$31""),30,False),1)"),23.0)</f>
        <v>23</v>
      </c>
      <c r="M108" s="5">
        <f>IFERROR(__xludf.DUMMYFUNCTION("IFERROR(HLOOKUP($A108,IMPORTRANGE(""https://docs.google.com/spreadsheets/d/1CeexgK4KxWj3k_7nql_k8-RPxXMwTJyB4Q3vAASeDlA/edit#gid=0"",""'Game 6'!$B$2:$Q$31""),30,False),1)"),23.0)</f>
        <v>23</v>
      </c>
      <c r="N108" s="5">
        <f>IFERROR(__xludf.DUMMYFUNCTION("IFERROR(HLOOKUP($A108,IMPORTRANGE(""https://docs.google.com/spreadsheets/d/1MNwUNMjcwK6bEgCXwB73jpbK5gJAXS8ZMpbEMLJEP3E/edit#gid=0"",""'Game 9'!$B$2:$Q$31""),30,False),1)"),23.0)</f>
        <v>23</v>
      </c>
      <c r="O108" s="5">
        <f>IFERROR(__xludf.DUMMYFUNCTION("IFERROR(HLOOKUP($A108,IMPORTRANGE(""https://docs.google.com/spreadsheets/d/1UrzyxmT40kDZwVrLMf1yyXfP-pyczRAw9Y8Rw-uXG3c/edit#gid=0"",""'Game 12'!$B$2:$Q$31""),30,False),1)"),23.0)</f>
        <v>23</v>
      </c>
      <c r="P108" s="5">
        <f>IFERROR(__xludf.DUMMYFUNCTION("IFERROR(HLOOKUP($A108,IMPORTRANGE(""https://docs.google.com/spreadsheets/d/1iyMhSYWifw-KGFtyeBpNxVZr4BhcV9hVZuShgJ9Ia0E/edit#gid=0"",""'Game 11'!$B$2:$Q$31""),30,False),1)"),23.0)</f>
        <v>23</v>
      </c>
      <c r="Q108" s="5">
        <f>IFERROR(__xludf.DUMMYFUNCTION("IFERROR(HLOOKUP($A108,IMPORTRANGE(""https://docs.google.com/spreadsheets/d/1sSbIK-vvHsSY0LghLJ9gcnW8Hec_ITI2tFmpeqI999A/edit#gid=0"",""'Game 11'!$B$2:$Q$31""),30,False),1)"),23.0)</f>
        <v>23</v>
      </c>
      <c r="R108" s="6">
        <f t="shared" si="2"/>
        <v>322</v>
      </c>
    </row>
    <row r="109">
      <c r="A109" s="21" t="s">
        <v>262</v>
      </c>
      <c r="B109" s="11" t="s">
        <v>263</v>
      </c>
      <c r="C109" s="21">
        <v>23.0</v>
      </c>
      <c r="D109" s="21">
        <v>23.0</v>
      </c>
      <c r="E109" s="21">
        <v>23.0</v>
      </c>
      <c r="F109" s="21">
        <v>23.0</v>
      </c>
      <c r="G109" s="1">
        <v>12.0</v>
      </c>
      <c r="H109" s="7">
        <f>IFERROR(__xludf.DUMMYFUNCTION("HLOOKUP($A109,IMPORTRANGE(""https://docs.google.com/spreadsheets/d/16J5ie7OD1E99qGO9lMDm8w5Yls-v190B7DTolJ5TmFc/edit#gid=0"",""'Game 1'!$B$2:$Q$31""),30,False)"),23.0)</f>
        <v>23</v>
      </c>
      <c r="I109" s="1">
        <v>23.0</v>
      </c>
      <c r="J109" s="7">
        <f>IFERROR(__xludf.DUMMYFUNCTION("IFERROR(HLOOKUP($A109,IMPORTRANGE(""https://docs.google.com/spreadsheets/d/1CTYfdyRk_RFGM3I2iN9bKeD9zUPzEm1ajzml6VgwfIU/edit#gid=0"",""'Game 5'!$B$2:$Q$31""),30,False),0)"),23.0)</f>
        <v>23</v>
      </c>
      <c r="K109" s="7">
        <f>IFERROR(__xludf.DUMMYFUNCTION("IFERROR(HLOOKUP($A109,IMPORTRANGE(""https://docs.google.com/spreadsheets/d/11NFkzOdQyW-OtxSDuGslNCgNjx7HUb2FU7KnlNnPMgY/edit#gid=0"",""'Game 5'!$B$2:$Q$31""),30,False),0)"),23.0)</f>
        <v>23</v>
      </c>
      <c r="L109" s="7">
        <f>IFERROR(__xludf.DUMMYFUNCTION("IFERROR(HLOOKUP($A109,IMPORTRANGE(""https://docs.google.com/spreadsheets/d/1CLg5-jaE4ta0-u4oE1qbBplQ5Mf3Oj9ONFgL0zJ7Ol4/edit#gid=0"",""'Game 5'!$B$2:$Q$31""),30,False),1)"),23.0)</f>
        <v>23</v>
      </c>
      <c r="M109" s="7">
        <f>IFERROR(__xludf.DUMMYFUNCTION("IFERROR(HLOOKUP($A109,IMPORTRANGE(""https://docs.google.com/spreadsheets/d/1CeexgK4KxWj3k_7nql_k8-RPxXMwTJyB4Q3vAASeDlA/edit#gid=0"",""'Game 5'!$B$2:$Q$31""),30,False),1)"),23.0)</f>
        <v>23</v>
      </c>
      <c r="N109" s="7">
        <f>IFERROR(__xludf.DUMMYFUNCTION("IFERROR(HLOOKUP($A109,IMPORTRANGE(""https://docs.google.com/spreadsheets/d/1MNwUNMjcwK6bEgCXwB73jpbK5gJAXS8ZMpbEMLJEP3E/edit#gid=0"",""'Game 5'!$B$2:$Q$31""),30,False),1)"),23.0)</f>
        <v>23</v>
      </c>
      <c r="O109" s="7">
        <f>IFERROR(__xludf.DUMMYFUNCTION("IFERROR(HLOOKUP($A109,IMPORTRANGE(""https://docs.google.com/spreadsheets/d/1UrzyxmT40kDZwVrLMf1yyXfP-pyczRAw9Y8Rw-uXG3c/edit#gid=0"",""'Game 5'!$B$2:$Q$31""),30,False),1)"),23.0)</f>
        <v>23</v>
      </c>
      <c r="P109" s="7">
        <f>IFERROR(__xludf.DUMMYFUNCTION("IFERROR(HLOOKUP($A109,IMPORTRANGE(""https://docs.google.com/spreadsheets/d/1iyMhSYWifw-KGFtyeBpNxVZr4BhcV9hVZuShgJ9Ia0E/edit#gid=0"",""'Game 5'!$B$2:$Q$31""),30,False),1)"),23.0)</f>
        <v>23</v>
      </c>
      <c r="Q109" s="7">
        <f>IFERROR(__xludf.DUMMYFUNCTION("IFERROR(HLOOKUP($A109,IMPORTRANGE(""https://docs.google.com/spreadsheets/d/1sSbIK-vvHsSY0LghLJ9gcnW8Hec_ITI2tFmpeqI999A/edit#gid=0"",""'Game 4'!$B$2:$Q$31""),30,False),1)"),23.0)</f>
        <v>23</v>
      </c>
      <c r="R109" s="11">
        <f t="shared" si="2"/>
        <v>334</v>
      </c>
    </row>
    <row r="110">
      <c r="A110" s="18" t="s">
        <v>265</v>
      </c>
      <c r="B110" s="6" t="s">
        <v>263</v>
      </c>
      <c r="C110" s="18">
        <v>11.0</v>
      </c>
      <c r="D110" s="18">
        <v>11.0</v>
      </c>
      <c r="E110" s="18">
        <v>0.0</v>
      </c>
      <c r="F110" s="18">
        <v>0.0</v>
      </c>
      <c r="G110" s="3">
        <v>11.0</v>
      </c>
      <c r="H110" s="5">
        <f>IFERROR(__xludf.DUMMYFUNCTION("HLOOKUP($A110,IMPORTRANGE(""https://docs.google.com/spreadsheets/d/16J5ie7OD1E99qGO9lMDm8w5Yls-v190B7DTolJ5TmFc/edit#gid=0"",""'Game 1'!$B$2:$Q$31""),30,False)"),12.0)</f>
        <v>12</v>
      </c>
      <c r="I110" s="3">
        <v>23.0</v>
      </c>
      <c r="J110" s="5">
        <f>IFERROR(__xludf.DUMMYFUNCTION("IFERROR(HLOOKUP($A110,IMPORTRANGE(""https://docs.google.com/spreadsheets/d/1CTYfdyRk_RFGM3I2iN9bKeD9zUPzEm1ajzml6VgwfIU/edit#gid=0"",""'Game 5'!$B$2:$Q$31""),30,False),0)"),11.0)</f>
        <v>11</v>
      </c>
      <c r="K110" s="5">
        <f>IFERROR(__xludf.DUMMYFUNCTION("IFERROR(HLOOKUP($A110,IMPORTRANGE(""https://docs.google.com/spreadsheets/d/11NFkzOdQyW-OtxSDuGslNCgNjx7HUb2FU7KnlNnPMgY/edit#gid=0"",""'Game 5'!$B$2:$Q$31""),30,False),0)"),0.0)</f>
        <v>0</v>
      </c>
      <c r="L110" s="5">
        <f>IFERROR(__xludf.DUMMYFUNCTION("IFERROR(HLOOKUP($A110,IMPORTRANGE(""https://docs.google.com/spreadsheets/d/1CLg5-jaE4ta0-u4oE1qbBplQ5Mf3Oj9ONFgL0zJ7Ol4/edit#gid=0"",""'Game 5'!$B$2:$Q$31""),30,False),1)"),12.0)</f>
        <v>12</v>
      </c>
      <c r="M110" s="5">
        <f>IFERROR(__xludf.DUMMYFUNCTION("IFERROR(HLOOKUP($A110,IMPORTRANGE(""https://docs.google.com/spreadsheets/d/1CeexgK4KxWj3k_7nql_k8-RPxXMwTJyB4Q3vAASeDlA/edit#gid=0"",""'Game 5'!$B$2:$Q$31""),30,False),1)"),0.0)</f>
        <v>0</v>
      </c>
      <c r="N110" s="5">
        <f>IFERROR(__xludf.DUMMYFUNCTION("IFERROR(HLOOKUP($A110,IMPORTRANGE(""https://docs.google.com/spreadsheets/d/1MNwUNMjcwK6bEgCXwB73jpbK5gJAXS8ZMpbEMLJEP3E/edit#gid=0"",""'Game 5'!$B$2:$Q$31""),30,False),1)"),23.0)</f>
        <v>23</v>
      </c>
      <c r="O110" s="5">
        <f>IFERROR(__xludf.DUMMYFUNCTION("IFERROR(HLOOKUP($A110,IMPORTRANGE(""https://docs.google.com/spreadsheets/d/1UrzyxmT40kDZwVrLMf1yyXfP-pyczRAw9Y8Rw-uXG3c/edit#gid=0"",""'Game 5'!$B$2:$Q$31""),30,False),1)"),11.0)</f>
        <v>11</v>
      </c>
      <c r="P110" s="5">
        <f>IFERROR(__xludf.DUMMYFUNCTION("IFERROR(HLOOKUP($A110,IMPORTRANGE(""https://docs.google.com/spreadsheets/d/1iyMhSYWifw-KGFtyeBpNxVZr4BhcV9hVZuShgJ9Ia0E/edit#gid=0"",""'Game 5'!$B$2:$Q$31""),30,False),1)"),12.0)</f>
        <v>12</v>
      </c>
      <c r="Q110" s="5">
        <f>IFERROR(__xludf.DUMMYFUNCTION("IFERROR(HLOOKUP($A110,IMPORTRANGE(""https://docs.google.com/spreadsheets/d/1sSbIK-vvHsSY0LghLJ9gcnW8Hec_ITI2tFmpeqI999A/edit#gid=0"",""'Game 4'!$B$2:$Q$31""),30,False),1)"),12.0)</f>
        <v>12</v>
      </c>
      <c r="R110" s="6">
        <f t="shared" si="2"/>
        <v>149</v>
      </c>
    </row>
    <row r="111">
      <c r="A111" s="21" t="s">
        <v>266</v>
      </c>
      <c r="B111" s="11" t="s">
        <v>263</v>
      </c>
      <c r="C111" s="21">
        <v>23.0</v>
      </c>
      <c r="D111" s="21">
        <v>23.0</v>
      </c>
      <c r="E111" s="21">
        <v>23.0</v>
      </c>
      <c r="F111" s="21">
        <v>23.0</v>
      </c>
      <c r="G111" s="1">
        <v>23.0</v>
      </c>
      <c r="H111" s="7">
        <f>IFERROR(__xludf.DUMMYFUNCTION("HLOOKUP($A111,IMPORTRANGE(""https://docs.google.com/spreadsheets/d/16J5ie7OD1E99qGO9lMDm8w5Yls-v190B7DTolJ5TmFc/edit#gid=0"",""'Game 1'!$B$2:$Q$31""),30,False)"),23.0)</f>
        <v>23</v>
      </c>
      <c r="I111" s="1">
        <v>23.0</v>
      </c>
      <c r="J111" s="7">
        <f>IFERROR(__xludf.DUMMYFUNCTION("IFERROR(HLOOKUP($A111,IMPORTRANGE(""https://docs.google.com/spreadsheets/d/1CTYfdyRk_RFGM3I2iN9bKeD9zUPzEm1ajzml6VgwfIU/edit#gid=0"",""'Game 5'!$B$2:$Q$31""),30,False),0)"),23.0)</f>
        <v>23</v>
      </c>
      <c r="K111" s="7">
        <f>IFERROR(__xludf.DUMMYFUNCTION("IFERROR(HLOOKUP($A111,IMPORTRANGE(""https://docs.google.com/spreadsheets/d/11NFkzOdQyW-OtxSDuGslNCgNjx7HUb2FU7KnlNnPMgY/edit#gid=0"",""'Game 5'!$B$2:$Q$31""),30,False),0)"),23.0)</f>
        <v>23</v>
      </c>
      <c r="L111" s="7">
        <f>IFERROR(__xludf.DUMMYFUNCTION("IFERROR(HLOOKUP($A111,IMPORTRANGE(""https://docs.google.com/spreadsheets/d/1CLg5-jaE4ta0-u4oE1qbBplQ5Mf3Oj9ONFgL0zJ7Ol4/edit#gid=0"",""'Game 5'!$B$2:$Q$31""),30,False),1)"),23.0)</f>
        <v>23</v>
      </c>
      <c r="M111" s="7">
        <f>IFERROR(__xludf.DUMMYFUNCTION("IFERROR(HLOOKUP($A111,IMPORTRANGE(""https://docs.google.com/spreadsheets/d/1CeexgK4KxWj3k_7nql_k8-RPxXMwTJyB4Q3vAASeDlA/edit#gid=0"",""'Game 5'!$B$2:$Q$31""),30,False),1)"),23.0)</f>
        <v>23</v>
      </c>
      <c r="N111" s="7">
        <f>IFERROR(__xludf.DUMMYFUNCTION("IFERROR(HLOOKUP($A111,IMPORTRANGE(""https://docs.google.com/spreadsheets/d/1MNwUNMjcwK6bEgCXwB73jpbK5gJAXS8ZMpbEMLJEP3E/edit#gid=0"",""'Game 5'!$B$2:$Q$31""),30,False),1)"),23.0)</f>
        <v>23</v>
      </c>
      <c r="O111" s="7">
        <f>IFERROR(__xludf.DUMMYFUNCTION("IFERROR(HLOOKUP($A111,IMPORTRANGE(""https://docs.google.com/spreadsheets/d/1UrzyxmT40kDZwVrLMf1yyXfP-pyczRAw9Y8Rw-uXG3c/edit#gid=0"",""'Game 5'!$B$2:$Q$31""),30,False),1)"),23.0)</f>
        <v>23</v>
      </c>
      <c r="P111" s="7">
        <f>IFERROR(__xludf.DUMMYFUNCTION("IFERROR(HLOOKUP($A111,IMPORTRANGE(""https://docs.google.com/spreadsheets/d/1iyMhSYWifw-KGFtyeBpNxVZr4BhcV9hVZuShgJ9Ia0E/edit#gid=0"",""'Game 5'!$B$2:$Q$31""),30,False),1)"),23.0)</f>
        <v>23</v>
      </c>
      <c r="Q111" s="7">
        <f>IFERROR(__xludf.DUMMYFUNCTION("IFERROR(HLOOKUP($A111,IMPORTRANGE(""https://docs.google.com/spreadsheets/d/1sSbIK-vvHsSY0LghLJ9gcnW8Hec_ITI2tFmpeqI999A/edit#gid=0"",""'Game 4'!$B$2:$Q$31""),30,False),1)"),23.0)</f>
        <v>23</v>
      </c>
      <c r="R111" s="11">
        <f t="shared" si="2"/>
        <v>345</v>
      </c>
    </row>
    <row r="112">
      <c r="A112" s="18" t="s">
        <v>268</v>
      </c>
      <c r="B112" s="6" t="s">
        <v>263</v>
      </c>
      <c r="C112" s="18">
        <v>0.0</v>
      </c>
      <c r="D112" s="18">
        <v>12.0</v>
      </c>
      <c r="E112" s="18">
        <v>12.0</v>
      </c>
      <c r="F112" s="18">
        <v>0.0</v>
      </c>
      <c r="G112" s="3">
        <v>11.0</v>
      </c>
      <c r="H112" s="5">
        <f>IFERROR(__xludf.DUMMYFUNCTION("HLOOKUP($A112,IMPORTRANGE(""https://docs.google.com/spreadsheets/d/16J5ie7OD1E99qGO9lMDm8w5Yls-v190B7DTolJ5TmFc/edit#gid=0"",""'Game 1'!$B$2:$Q$31""),30,False)"),23.0)</f>
        <v>23</v>
      </c>
      <c r="I112" s="3">
        <v>0.0</v>
      </c>
      <c r="J112" s="5">
        <f>IFERROR(__xludf.DUMMYFUNCTION("IFERROR(HLOOKUP($A112,IMPORTRANGE(""https://docs.google.com/spreadsheets/d/1CTYfdyRk_RFGM3I2iN9bKeD9zUPzEm1ajzml6VgwfIU/edit#gid=0"",""'Game 5'!$B$2:$Q$31""),30,False),0)"),0.0)</f>
        <v>0</v>
      </c>
      <c r="K112" s="5">
        <f>IFERROR(__xludf.DUMMYFUNCTION("IFERROR(HLOOKUP($A112,IMPORTRANGE(""https://docs.google.com/spreadsheets/d/11NFkzOdQyW-OtxSDuGslNCgNjx7HUb2FU7KnlNnPMgY/edit#gid=0"",""'Game 5'!$B$2:$Q$31""),30,False),0)"),12.0)</f>
        <v>12</v>
      </c>
      <c r="L112" s="5">
        <f>IFERROR(__xludf.DUMMYFUNCTION("IFERROR(HLOOKUP($A112,IMPORTRANGE(""https://docs.google.com/spreadsheets/d/1CLg5-jaE4ta0-u4oE1qbBplQ5Mf3Oj9ONFgL0zJ7Ol4/edit#gid=0"",""'Game 5'!$B$2:$Q$31""),30,False),1)"),11.0)</f>
        <v>11</v>
      </c>
      <c r="M112" s="5">
        <f>IFERROR(__xludf.DUMMYFUNCTION("IFERROR(HLOOKUP($A112,IMPORTRANGE(""https://docs.google.com/spreadsheets/d/1CeexgK4KxWj3k_7nql_k8-RPxXMwTJyB4Q3vAASeDlA/edit#gid=0"",""'Game 5'!$B$2:$Q$31""),30,False),1)"),23.0)</f>
        <v>23</v>
      </c>
      <c r="N112" s="5">
        <f>IFERROR(__xludf.DUMMYFUNCTION("IFERROR(HLOOKUP($A112,IMPORTRANGE(""https://docs.google.com/spreadsheets/d/1MNwUNMjcwK6bEgCXwB73jpbK5gJAXS8ZMpbEMLJEP3E/edit#gid=0"",""'Game 5'!$B$2:$Q$31""),30,False),1)"),11.0)</f>
        <v>11</v>
      </c>
      <c r="O112" s="5">
        <f>IFERROR(__xludf.DUMMYFUNCTION("IFERROR(HLOOKUP($A112,IMPORTRANGE(""https://docs.google.com/spreadsheets/d/1UrzyxmT40kDZwVrLMf1yyXfP-pyczRAw9Y8Rw-uXG3c/edit#gid=0"",""'Game 5'!$B$2:$Q$31""),30,False),1)"),11.0)</f>
        <v>11</v>
      </c>
      <c r="P112" s="5">
        <f>IFERROR(__xludf.DUMMYFUNCTION("IFERROR(HLOOKUP($A112,IMPORTRANGE(""https://docs.google.com/spreadsheets/d/1iyMhSYWifw-KGFtyeBpNxVZr4BhcV9hVZuShgJ9Ia0E/edit#gid=0"",""'Game 5'!$B$2:$Q$31""),30,False),1)"),11.0)</f>
        <v>11</v>
      </c>
      <c r="Q112" s="5">
        <f>IFERROR(__xludf.DUMMYFUNCTION("IFERROR(HLOOKUP($A112,IMPORTRANGE(""https://docs.google.com/spreadsheets/d/1sSbIK-vvHsSY0LghLJ9gcnW8Hec_ITI2tFmpeqI999A/edit#gid=0"",""'Game 4'!$B$2:$Q$31""),30,False),1)"),11.0)</f>
        <v>11</v>
      </c>
      <c r="R112" s="6">
        <f t="shared" si="2"/>
        <v>148</v>
      </c>
    </row>
    <row r="113">
      <c r="A113" s="21" t="s">
        <v>270</v>
      </c>
      <c r="B113" s="11" t="s">
        <v>263</v>
      </c>
      <c r="C113" s="21">
        <v>12.0</v>
      </c>
      <c r="D113" s="21">
        <v>0.0</v>
      </c>
      <c r="E113" s="21">
        <v>23.0</v>
      </c>
      <c r="F113" s="21">
        <v>12.0</v>
      </c>
      <c r="G113" s="1">
        <v>23.0</v>
      </c>
      <c r="H113" s="7">
        <f>IFERROR(__xludf.DUMMYFUNCTION("HLOOKUP($A113,IMPORTRANGE(""https://docs.google.com/spreadsheets/d/16J5ie7OD1E99qGO9lMDm8w5Yls-v190B7DTolJ5TmFc/edit#gid=0"",""'Game 1'!$B$2:$Q$31""),30,False)"),11.0)</f>
        <v>11</v>
      </c>
      <c r="I113" s="1">
        <v>23.0</v>
      </c>
      <c r="J113" s="7">
        <f>IFERROR(__xludf.DUMMYFUNCTION("IFERROR(HLOOKUP($A113,IMPORTRANGE(""https://docs.google.com/spreadsheets/d/1CTYfdyRk_RFGM3I2iN9bKeD9zUPzEm1ajzml6VgwfIU/edit#gid=0"",""'Game 5'!$B$2:$Q$31""),30,False),0)"),12.0)</f>
        <v>12</v>
      </c>
      <c r="K113" s="7">
        <f>IFERROR(__xludf.DUMMYFUNCTION("IFERROR(HLOOKUP($A113,IMPORTRANGE(""https://docs.google.com/spreadsheets/d/11NFkzOdQyW-OtxSDuGslNCgNjx7HUb2FU7KnlNnPMgY/edit#gid=0"",""'Game 5'!$B$2:$Q$31""),30,False),0)"),0.0)</f>
        <v>0</v>
      </c>
      <c r="L113" s="7">
        <f>IFERROR(__xludf.DUMMYFUNCTION("IFERROR(HLOOKUP($A113,IMPORTRANGE(""https://docs.google.com/spreadsheets/d/1CLg5-jaE4ta0-u4oE1qbBplQ5Mf3Oj9ONFgL0zJ7Ol4/edit#gid=0"",""'Game 5'!$B$2:$Q$31""),30,False),1)"),12.0)</f>
        <v>12</v>
      </c>
      <c r="M113" s="7">
        <f>IFERROR(__xludf.DUMMYFUNCTION("IFERROR(HLOOKUP($A113,IMPORTRANGE(""https://docs.google.com/spreadsheets/d/1CeexgK4KxWj3k_7nql_k8-RPxXMwTJyB4Q3vAASeDlA/edit#gid=0"",""'Game 5'!$B$2:$Q$31""),30,False),1)"),0.0)</f>
        <v>0</v>
      </c>
      <c r="N113" s="7">
        <f>IFERROR(__xludf.DUMMYFUNCTION("IFERROR(HLOOKUP($A113,IMPORTRANGE(""https://docs.google.com/spreadsheets/d/1MNwUNMjcwK6bEgCXwB73jpbK5gJAXS8ZMpbEMLJEP3E/edit#gid=0"",""'Game 5'!$B$2:$Q$31""),30,False),1)"),12.0)</f>
        <v>12</v>
      </c>
      <c r="O113" s="7">
        <f>IFERROR(__xludf.DUMMYFUNCTION("IFERROR(HLOOKUP($A113,IMPORTRANGE(""https://docs.google.com/spreadsheets/d/1UrzyxmT40kDZwVrLMf1yyXfP-pyczRAw9Y8Rw-uXG3c/edit#gid=0"",""'Game 5'!$B$2:$Q$31""),30,False),1)"),12.0)</f>
        <v>12</v>
      </c>
      <c r="P113" s="7">
        <f>IFERROR(__xludf.DUMMYFUNCTION("IFERROR(HLOOKUP($A113,IMPORTRANGE(""https://docs.google.com/spreadsheets/d/1iyMhSYWifw-KGFtyeBpNxVZr4BhcV9hVZuShgJ9Ia0E/edit#gid=0"",""'Game 5'!$B$2:$Q$31""),30,False),1)"),0.0)</f>
        <v>0</v>
      </c>
      <c r="Q113" s="7">
        <f>IFERROR(__xludf.DUMMYFUNCTION("IFERROR(HLOOKUP($A113,IMPORTRANGE(""https://docs.google.com/spreadsheets/d/1sSbIK-vvHsSY0LghLJ9gcnW8Hec_ITI2tFmpeqI999A/edit#gid=0"",""'Game 4'!$B$2:$Q$31""),30,False),1)"),23.0)</f>
        <v>23</v>
      </c>
      <c r="R113" s="11">
        <f t="shared" si="2"/>
        <v>175</v>
      </c>
    </row>
    <row r="114">
      <c r="A114" s="18" t="s">
        <v>273</v>
      </c>
      <c r="B114" s="6" t="s">
        <v>263</v>
      </c>
      <c r="C114" s="18">
        <v>23.0</v>
      </c>
      <c r="D114" s="18">
        <v>12.0</v>
      </c>
      <c r="E114" s="18">
        <v>0.0</v>
      </c>
      <c r="F114" s="18">
        <v>11.0</v>
      </c>
      <c r="G114" s="3">
        <v>0.0</v>
      </c>
      <c r="H114" s="5">
        <f>IFERROR(__xludf.DUMMYFUNCTION("HLOOKUP($A114,IMPORTRANGE(""https://docs.google.com/spreadsheets/d/16J5ie7OD1E99qGO9lMDm8w5Yls-v190B7DTolJ5TmFc/edit#gid=0"",""'Game 1'!$B$2:$Q$31""),30,False)"),0.0)</f>
        <v>0</v>
      </c>
      <c r="I114" s="3">
        <v>0.0</v>
      </c>
      <c r="J114" s="5">
        <f>IFERROR(__xludf.DUMMYFUNCTION("IFERROR(HLOOKUP($A114,IMPORTRANGE(""https://docs.google.com/spreadsheets/d/1CTYfdyRk_RFGM3I2iN9bKeD9zUPzEm1ajzml6VgwfIU/edit#gid=0"",""'Game 5'!$B$2:$Q$31""),30,False),0)"),23.0)</f>
        <v>23</v>
      </c>
      <c r="K114" s="5">
        <f>IFERROR(__xludf.DUMMYFUNCTION("IFERROR(HLOOKUP($A114,IMPORTRANGE(""https://docs.google.com/spreadsheets/d/11NFkzOdQyW-OtxSDuGslNCgNjx7HUb2FU7KnlNnPMgY/edit#gid=0"",""'Game 5'!$B$2:$Q$31""),30,False),0)"),11.0)</f>
        <v>11</v>
      </c>
      <c r="L114" s="5">
        <f>IFERROR(__xludf.DUMMYFUNCTION("IFERROR(HLOOKUP($A114,IMPORTRANGE(""https://docs.google.com/spreadsheets/d/1CLg5-jaE4ta0-u4oE1qbBplQ5Mf3Oj9ONFgL0zJ7Ol4/edit#gid=0"",""'Game 5'!$B$2:$Q$31""),30,False),1)"),0.0)</f>
        <v>0</v>
      </c>
      <c r="M114" s="5">
        <f>IFERROR(__xludf.DUMMYFUNCTION("IFERROR(HLOOKUP($A114,IMPORTRANGE(""https://docs.google.com/spreadsheets/d/1CeexgK4KxWj3k_7nql_k8-RPxXMwTJyB4Q3vAASeDlA/edit#gid=0"",""'Game 5'!$B$2:$Q$31""),30,False),1)"),0.0)</f>
        <v>0</v>
      </c>
      <c r="N114" s="5">
        <f>IFERROR(__xludf.DUMMYFUNCTION("IFERROR(HLOOKUP($A114,IMPORTRANGE(""https://docs.google.com/spreadsheets/d/1MNwUNMjcwK6bEgCXwB73jpbK5gJAXS8ZMpbEMLJEP3E/edit#gid=0"",""'Game 5'!$B$2:$Q$31""),30,False),1)"),0.0)</f>
        <v>0</v>
      </c>
      <c r="O114" s="5">
        <f>IFERROR(__xludf.DUMMYFUNCTION("IFERROR(HLOOKUP($A114,IMPORTRANGE(""https://docs.google.com/spreadsheets/d/1UrzyxmT40kDZwVrLMf1yyXfP-pyczRAw9Y8Rw-uXG3c/edit#gid=0"",""'Game 5'!$B$2:$Q$31""),30,False),1)"),0.0)</f>
        <v>0</v>
      </c>
      <c r="P114" s="5">
        <f>IFERROR(__xludf.DUMMYFUNCTION("IFERROR(HLOOKUP($A114,IMPORTRANGE(""https://docs.google.com/spreadsheets/d/1iyMhSYWifw-KGFtyeBpNxVZr4BhcV9hVZuShgJ9Ia0E/edit#gid=0"",""'Game 5'!$B$2:$Q$31""),30,False),1)"),0.0)</f>
        <v>0</v>
      </c>
      <c r="Q114" s="5">
        <f>IFERROR(__xludf.DUMMYFUNCTION("IFERROR(HLOOKUP($A114,IMPORTRANGE(""https://docs.google.com/spreadsheets/d/1sSbIK-vvHsSY0LghLJ9gcnW8Hec_ITI2tFmpeqI999A/edit#gid=0"",""'Game 4'!$B$2:$Q$31""),30,False),1)"),0.0)</f>
        <v>0</v>
      </c>
      <c r="R114" s="6">
        <f t="shared" si="2"/>
        <v>80</v>
      </c>
    </row>
    <row r="115">
      <c r="A115" s="21" t="s">
        <v>274</v>
      </c>
      <c r="B115" s="21" t="s">
        <v>263</v>
      </c>
      <c r="C115" s="21">
        <v>0.0</v>
      </c>
      <c r="D115" s="21">
        <v>11.0</v>
      </c>
      <c r="E115" s="21">
        <v>11.0</v>
      </c>
      <c r="F115" s="21">
        <v>23.0</v>
      </c>
      <c r="G115" s="1">
        <v>12.0</v>
      </c>
      <c r="H115" s="7">
        <f>IFERROR(__xludf.DUMMYFUNCTION("HLOOKUP($A115,IMPORTRANGE(""https://docs.google.com/spreadsheets/d/16J5ie7OD1E99qGO9lMDm8w5Yls-v190B7DTolJ5TmFc/edit#gid=0"",""'Game 1'!$B$2:$Q$31""),30,False)"),0.0)</f>
        <v>0</v>
      </c>
      <c r="I115" s="1">
        <v>0.0</v>
      </c>
      <c r="J115" s="7">
        <f>IFERROR(__xludf.DUMMYFUNCTION("IFERROR(HLOOKUP($A115,IMPORTRANGE(""https://docs.google.com/spreadsheets/d/1CTYfdyRk_RFGM3I2iN9bKeD9zUPzEm1ajzml6VgwfIU/edit#gid=0"",""'Game 5'!$B$2:$Q$31""),30,False),0)"),0.0)</f>
        <v>0</v>
      </c>
      <c r="K115" s="7">
        <f>IFERROR(__xludf.DUMMYFUNCTION("IFERROR(HLOOKUP($A115,IMPORTRANGE(""https://docs.google.com/spreadsheets/d/11NFkzOdQyW-OtxSDuGslNCgNjx7HUb2FU7KnlNnPMgY/edit#gid=0"",""'Game 5'!$B$2:$Q$31""),30,False),0)"),23.0)</f>
        <v>23</v>
      </c>
      <c r="L115" s="7">
        <f>IFERROR(__xludf.DUMMYFUNCTION("IFERROR(HLOOKUP($A115,IMPORTRANGE(""https://docs.google.com/spreadsheets/d/1CLg5-jaE4ta0-u4oE1qbBplQ5Mf3Oj9ONFgL0zJ7Ol4/edit#gid=0"",""'Game 5'!$B$2:$Q$31""),30,False),1)"),11.0)</f>
        <v>11</v>
      </c>
      <c r="M115" s="7">
        <f>IFERROR(__xludf.DUMMYFUNCTION("IFERROR(HLOOKUP($A115,IMPORTRANGE(""https://docs.google.com/spreadsheets/d/1CeexgK4KxWj3k_7nql_k8-RPxXMwTJyB4Q3vAASeDlA/edit#gid=0"",""'Game 5'!$B$2:$Q$31""),30,False),1)"),23.0)</f>
        <v>23</v>
      </c>
      <c r="N115" s="7">
        <f>IFERROR(__xludf.DUMMYFUNCTION("IFERROR(HLOOKUP($A115,IMPORTRANGE(""https://docs.google.com/spreadsheets/d/1MNwUNMjcwK6bEgCXwB73jpbK5gJAXS8ZMpbEMLJEP3E/edit#gid=0"",""'Game 5'!$B$2:$Q$31""),30,False),1)"),0.0)</f>
        <v>0</v>
      </c>
      <c r="O115" s="7">
        <f>IFERROR(__xludf.DUMMYFUNCTION("IFERROR(HLOOKUP($A115,IMPORTRANGE(""https://docs.google.com/spreadsheets/d/1UrzyxmT40kDZwVrLMf1yyXfP-pyczRAw9Y8Rw-uXG3c/edit#gid=0"",""'Game 5'!$B$2:$Q$31""),30,False),1)"),12.0)</f>
        <v>12</v>
      </c>
      <c r="P115" s="7">
        <f>IFERROR(__xludf.DUMMYFUNCTION("IFERROR(HLOOKUP($A115,IMPORTRANGE(""https://docs.google.com/spreadsheets/d/1iyMhSYWifw-KGFtyeBpNxVZr4BhcV9hVZuShgJ9Ia0E/edit#gid=0"",""'Game 5'!$B$2:$Q$31""),30,False),1)"),23.0)</f>
        <v>23</v>
      </c>
      <c r="Q115" s="7">
        <f>IFERROR(__xludf.DUMMYFUNCTION("IFERROR(HLOOKUP($A115,IMPORTRANGE(""https://docs.google.com/spreadsheets/d/1sSbIK-vvHsSY0LghLJ9gcnW8Hec_ITI2tFmpeqI999A/edit#gid=0"",""'Game 4'!$B$2:$Q$31""),30,False),1)"),0.0)</f>
        <v>0</v>
      </c>
      <c r="R115" s="11">
        <f t="shared" si="2"/>
        <v>149</v>
      </c>
    </row>
    <row r="116">
      <c r="A116" s="18" t="s">
        <v>276</v>
      </c>
      <c r="B116" s="6" t="s">
        <v>277</v>
      </c>
      <c r="C116" s="18">
        <v>11.0</v>
      </c>
      <c r="D116" s="18">
        <v>11.0</v>
      </c>
      <c r="E116" s="18">
        <v>23.0</v>
      </c>
      <c r="F116" s="18">
        <v>12.0</v>
      </c>
      <c r="G116" s="3">
        <v>0.0</v>
      </c>
      <c r="H116" s="5">
        <f>IFERROR(__xludf.DUMMYFUNCTION("HLOOKUP($A116,IMPORTRANGE(""https://docs.google.com/spreadsheets/d/16J5ie7OD1E99qGO9lMDm8w5Yls-v190B7DTolJ5TmFc/edit#gid=0"",""'Game 10'!$B$2:$Q$31""),30,False)"),0.0)</f>
        <v>0</v>
      </c>
      <c r="I116" s="3">
        <v>12.0</v>
      </c>
      <c r="J116" s="5">
        <f>IFERROR(__xludf.DUMMYFUNCTION("IFERROR(HLOOKUP($A116,IMPORTRANGE(""https://docs.google.com/spreadsheets/d/1CTYfdyRk_RFGM3I2iN9bKeD9zUPzEm1ajzml6VgwfIU/edit#gid=0"",""'Game 11'!$B$2:$Q$31""),30,False),0)"),0.0)</f>
        <v>0</v>
      </c>
      <c r="K116" s="5">
        <f>IFERROR(__xludf.DUMMYFUNCTION("IFERROR(HLOOKUP($A116,IMPORTRANGE(""https://docs.google.com/spreadsheets/d/11NFkzOdQyW-OtxSDuGslNCgNjx7HUb2FU7KnlNnPMgY/edit#gid=0"",""'Game 6'!$B$2:$Q$31""),30,False),0)"),23.0)</f>
        <v>23</v>
      </c>
      <c r="L116" s="5">
        <f>IFERROR(__xludf.DUMMYFUNCTION("IFERROR(HLOOKUP($A116,IMPORTRANGE(""https://docs.google.com/spreadsheets/d/1CLg5-jaE4ta0-u4oE1qbBplQ5Mf3Oj9ONFgL0zJ7Ol4/edit#gid=0"",""'Game 2'!$B$2:$Q$31""),30,False),1)"),0.0)</f>
        <v>0</v>
      </c>
      <c r="M116" s="5">
        <f>IFERROR(__xludf.DUMMYFUNCTION("IFERROR(HLOOKUP($A116,IMPORTRANGE(""https://docs.google.com/spreadsheets/d/1CeexgK4KxWj3k_7nql_k8-RPxXMwTJyB4Q3vAASeDlA/edit#gid=0"",""'Game 9'!$B$2:$Q$31""),30,False),1)"),11.0)</f>
        <v>11</v>
      </c>
      <c r="N116" s="5">
        <f>IFERROR(__xludf.DUMMYFUNCTION("IFERROR(HLOOKUP($A116,IMPORTRANGE(""https://docs.google.com/spreadsheets/d/1MNwUNMjcwK6bEgCXwB73jpbK5gJAXS8ZMpbEMLJEP3E/edit#gid=0"",""'Game 11'!$B$2:$Q$31""),30,False),1)"),12.0)</f>
        <v>12</v>
      </c>
      <c r="O116" s="5">
        <f>IFERROR(__xludf.DUMMYFUNCTION("IFERROR(HLOOKUP($A116,IMPORTRANGE(""https://docs.google.com/spreadsheets/d/1UrzyxmT40kDZwVrLMf1yyXfP-pyczRAw9Y8Rw-uXG3c/edit#gid=0"",""'Game 10'!$B$2:$Q$31""),30,False),1)"),23.0)</f>
        <v>23</v>
      </c>
      <c r="P116" s="5">
        <f>IFERROR(__xludf.DUMMYFUNCTION("IFERROR(HLOOKUP($A116,IMPORTRANGE(""https://docs.google.com/spreadsheets/d/1iyMhSYWifw-KGFtyeBpNxVZr4BhcV9hVZuShgJ9Ia0E/edit#gid=0"",""'Game 10'!$B$2:$Q$31""),30,False),1)"),11.0)</f>
        <v>11</v>
      </c>
      <c r="Q116" s="5">
        <f>IFERROR(__xludf.DUMMYFUNCTION("IFERROR(HLOOKUP($A116,IMPORTRANGE(""https://docs.google.com/spreadsheets/d/1sSbIK-vvHsSY0LghLJ9gcnW8Hec_ITI2tFmpeqI999A/edit#gid=0"",""'Game 8'!$B$2:$Q$31""),30,False),1)"),0.0)</f>
        <v>0</v>
      </c>
      <c r="R116" s="6">
        <f t="shared" si="2"/>
        <v>149</v>
      </c>
    </row>
    <row r="117">
      <c r="A117" s="21" t="s">
        <v>279</v>
      </c>
      <c r="B117" s="11" t="s">
        <v>277</v>
      </c>
      <c r="C117" s="21">
        <v>12.0</v>
      </c>
      <c r="D117" s="21">
        <v>23.0</v>
      </c>
      <c r="E117" s="21">
        <v>12.0</v>
      </c>
      <c r="F117" s="21">
        <v>11.0</v>
      </c>
      <c r="G117" s="1">
        <v>23.0</v>
      </c>
      <c r="H117" s="7">
        <f>IFERROR(__xludf.DUMMYFUNCTION("HLOOKUP($A117,IMPORTRANGE(""https://docs.google.com/spreadsheets/d/16J5ie7OD1E99qGO9lMDm8w5Yls-v190B7DTolJ5TmFc/edit#gid=0"",""'Game 10'!$B$2:$Q$31""),30,False)"),23.0)</f>
        <v>23</v>
      </c>
      <c r="I117" s="1">
        <v>11.0</v>
      </c>
      <c r="J117" s="7">
        <f>IFERROR(__xludf.DUMMYFUNCTION("IFERROR(HLOOKUP($A117,IMPORTRANGE(""https://docs.google.com/spreadsheets/d/1CTYfdyRk_RFGM3I2iN9bKeD9zUPzEm1ajzml6VgwfIU/edit#gid=0"",""'Game 11'!$B$2:$Q$31""),30,False),0)"),23.0)</f>
        <v>23</v>
      </c>
      <c r="K117" s="7">
        <f>IFERROR(__xludf.DUMMYFUNCTION("IFERROR(HLOOKUP($A117,IMPORTRANGE(""https://docs.google.com/spreadsheets/d/11NFkzOdQyW-OtxSDuGslNCgNjx7HUb2FU7KnlNnPMgY/edit#gid=0"",""'Game 6'!$B$2:$Q$31""),30,False),0)"),23.0)</f>
        <v>23</v>
      </c>
      <c r="L117" s="7">
        <f>IFERROR(__xludf.DUMMYFUNCTION("IFERROR(HLOOKUP($A117,IMPORTRANGE(""https://docs.google.com/spreadsheets/d/1CLg5-jaE4ta0-u4oE1qbBplQ5Mf3Oj9ONFgL0zJ7Ol4/edit#gid=0"",""'Game 2'!$B$2:$Q$31""),30,False),1)"),0.0)</f>
        <v>0</v>
      </c>
      <c r="M117" s="7">
        <f>IFERROR(__xludf.DUMMYFUNCTION("IFERROR(HLOOKUP($A117,IMPORTRANGE(""https://docs.google.com/spreadsheets/d/1CeexgK4KxWj3k_7nql_k8-RPxXMwTJyB4Q3vAASeDlA/edit#gid=0"",""'Game 9'!$B$2:$Q$31""),30,False),1)"),12.0)</f>
        <v>12</v>
      </c>
      <c r="N117" s="7">
        <f>IFERROR(__xludf.DUMMYFUNCTION("IFERROR(HLOOKUP($A117,IMPORTRANGE(""https://docs.google.com/spreadsheets/d/1MNwUNMjcwK6bEgCXwB73jpbK5gJAXS8ZMpbEMLJEP3E/edit#gid=0"",""'Game 11'!$B$2:$Q$31""),30,False),1)"),12.0)</f>
        <v>12</v>
      </c>
      <c r="O117" s="7">
        <f>IFERROR(__xludf.DUMMYFUNCTION("IFERROR(HLOOKUP($A117,IMPORTRANGE(""https://docs.google.com/spreadsheets/d/1UrzyxmT40kDZwVrLMf1yyXfP-pyczRAw9Y8Rw-uXG3c/edit#gid=0"",""'Game 10'!$B$2:$Q$31""),30,False),1)"),11.0)</f>
        <v>11</v>
      </c>
      <c r="P117" s="7">
        <f>IFERROR(__xludf.DUMMYFUNCTION("IFERROR(HLOOKUP($A117,IMPORTRANGE(""https://docs.google.com/spreadsheets/d/1iyMhSYWifw-KGFtyeBpNxVZr4BhcV9hVZuShgJ9Ia0E/edit#gid=0"",""'Game 10'!$B$2:$Q$31""),30,False),1)"),11.0)</f>
        <v>11</v>
      </c>
      <c r="Q117" s="7">
        <f>IFERROR(__xludf.DUMMYFUNCTION("IFERROR(HLOOKUP($A117,IMPORTRANGE(""https://docs.google.com/spreadsheets/d/1sSbIK-vvHsSY0LghLJ9gcnW8Hec_ITI2tFmpeqI999A/edit#gid=0"",""'Game 8'!$B$2:$Q$31""),30,False),1)"),0.0)</f>
        <v>0</v>
      </c>
      <c r="R117" s="11">
        <f t="shared" si="2"/>
        <v>207</v>
      </c>
    </row>
    <row r="118">
      <c r="A118" s="18" t="s">
        <v>281</v>
      </c>
      <c r="B118" s="6" t="s">
        <v>277</v>
      </c>
      <c r="C118" s="18">
        <v>11.0</v>
      </c>
      <c r="D118" s="18">
        <v>0.0</v>
      </c>
      <c r="E118" s="18">
        <v>0.0</v>
      </c>
      <c r="F118" s="18">
        <v>0.0</v>
      </c>
      <c r="G118" s="3">
        <v>0.0</v>
      </c>
      <c r="H118" s="5">
        <f>IFERROR(__xludf.DUMMYFUNCTION("HLOOKUP($A118,IMPORTRANGE(""https://docs.google.com/spreadsheets/d/16J5ie7OD1E99qGO9lMDm8w5Yls-v190B7DTolJ5TmFc/edit#gid=0"",""'Game 10'!$B$2:$Q$31""),30,False)"),0.0)</f>
        <v>0</v>
      </c>
      <c r="I118" s="3">
        <v>0.0</v>
      </c>
      <c r="J118" s="5">
        <f>IFERROR(__xludf.DUMMYFUNCTION("IFERROR(HLOOKUP($A118,IMPORTRANGE(""https://docs.google.com/spreadsheets/d/1CTYfdyRk_RFGM3I2iN9bKeD9zUPzEm1ajzml6VgwfIU/edit#gid=0"",""'Game 11'!$B$2:$Q$31""),30,False),0)"),23.0)</f>
        <v>23</v>
      </c>
      <c r="K118" s="5">
        <f>IFERROR(__xludf.DUMMYFUNCTION("IFERROR(HLOOKUP($A118,IMPORTRANGE(""https://docs.google.com/spreadsheets/d/11NFkzOdQyW-OtxSDuGslNCgNjx7HUb2FU7KnlNnPMgY/edit#gid=0"",""'Game 6'!$B$2:$Q$31""),30,False),0)"),12.0)</f>
        <v>12</v>
      </c>
      <c r="L118" s="5">
        <f>IFERROR(__xludf.DUMMYFUNCTION("IFERROR(HLOOKUP($A118,IMPORTRANGE(""https://docs.google.com/spreadsheets/d/1CLg5-jaE4ta0-u4oE1qbBplQ5Mf3Oj9ONFgL0zJ7Ol4/edit#gid=0"",""'Game 2'!$B$2:$Q$31""),30,False),1)"),23.0)</f>
        <v>23</v>
      </c>
      <c r="M118" s="5">
        <f>IFERROR(__xludf.DUMMYFUNCTION("IFERROR(HLOOKUP($A118,IMPORTRANGE(""https://docs.google.com/spreadsheets/d/1CeexgK4KxWj3k_7nql_k8-RPxXMwTJyB4Q3vAASeDlA/edit#gid=0"",""'Game 9'!$B$2:$Q$31""),30,False),1)"),12.0)</f>
        <v>12</v>
      </c>
      <c r="N118" s="5">
        <f>IFERROR(__xludf.DUMMYFUNCTION("IFERROR(HLOOKUP($A118,IMPORTRANGE(""https://docs.google.com/spreadsheets/d/1MNwUNMjcwK6bEgCXwB73jpbK5gJAXS8ZMpbEMLJEP3E/edit#gid=0"",""'Game 11'!$B$2:$Q$31""),30,False),1)"),0.0)</f>
        <v>0</v>
      </c>
      <c r="O118" s="5">
        <f>IFERROR(__xludf.DUMMYFUNCTION("IFERROR(HLOOKUP($A118,IMPORTRANGE(""https://docs.google.com/spreadsheets/d/1UrzyxmT40kDZwVrLMf1yyXfP-pyczRAw9Y8Rw-uXG3c/edit#gid=0"",""'Game 10'!$B$2:$Q$31""),30,False),1)"),0.0)</f>
        <v>0</v>
      </c>
      <c r="P118" s="5">
        <f>IFERROR(__xludf.DUMMYFUNCTION("IFERROR(HLOOKUP($A118,IMPORTRANGE(""https://docs.google.com/spreadsheets/d/1iyMhSYWifw-KGFtyeBpNxVZr4BhcV9hVZuShgJ9Ia0E/edit#gid=0"",""'Game 10'!$B$2:$Q$31""),30,False),1)"),12.0)</f>
        <v>12</v>
      </c>
      <c r="Q118" s="5">
        <f>IFERROR(__xludf.DUMMYFUNCTION("IFERROR(HLOOKUP($A118,IMPORTRANGE(""https://docs.google.com/spreadsheets/d/1sSbIK-vvHsSY0LghLJ9gcnW8Hec_ITI2tFmpeqI999A/edit#gid=0"",""'Game 8'!$B$2:$Q$31""),30,False),1)"),0.0)</f>
        <v>0</v>
      </c>
      <c r="R118" s="6">
        <f t="shared" si="2"/>
        <v>93</v>
      </c>
    </row>
    <row r="119">
      <c r="A119" s="21" t="s">
        <v>283</v>
      </c>
      <c r="B119" s="11" t="s">
        <v>277</v>
      </c>
      <c r="C119" s="21">
        <v>12.0</v>
      </c>
      <c r="D119" s="21">
        <v>12.0</v>
      </c>
      <c r="E119" s="21">
        <v>0.0</v>
      </c>
      <c r="F119" s="21">
        <v>23.0</v>
      </c>
      <c r="G119" s="1">
        <v>0.0</v>
      </c>
      <c r="H119" s="7">
        <f>IFERROR(__xludf.DUMMYFUNCTION("HLOOKUP($A119,IMPORTRANGE(""https://docs.google.com/spreadsheets/d/16J5ie7OD1E99qGO9lMDm8w5Yls-v190B7DTolJ5TmFc/edit#gid=0"",""'Game 10'!$B$2:$Q$31""),30,False)"),0.0)</f>
        <v>0</v>
      </c>
      <c r="I119" s="1">
        <v>23.0</v>
      </c>
      <c r="J119" s="7">
        <f>IFERROR(__xludf.DUMMYFUNCTION("IFERROR(HLOOKUP($A119,IMPORTRANGE(""https://docs.google.com/spreadsheets/d/1CTYfdyRk_RFGM3I2iN9bKeD9zUPzEm1ajzml6VgwfIU/edit#gid=0"",""'Game 11'!$B$2:$Q$31""),30,False),0)"),12.0)</f>
        <v>12</v>
      </c>
      <c r="K119" s="7">
        <f>IFERROR(__xludf.DUMMYFUNCTION("IFERROR(HLOOKUP($A119,IMPORTRANGE(""https://docs.google.com/spreadsheets/d/11NFkzOdQyW-OtxSDuGslNCgNjx7HUb2FU7KnlNnPMgY/edit#gid=0"",""'Game 6'!$B$2:$Q$31""),30,False),0)"),0.0)</f>
        <v>0</v>
      </c>
      <c r="L119" s="7">
        <f>IFERROR(__xludf.DUMMYFUNCTION("IFERROR(HLOOKUP($A119,IMPORTRANGE(""https://docs.google.com/spreadsheets/d/1CLg5-jaE4ta0-u4oE1qbBplQ5Mf3Oj9ONFgL0zJ7Ol4/edit#gid=0"",""'Game 2'!$B$2:$Q$31""),30,False),1)"),23.0)</f>
        <v>23</v>
      </c>
      <c r="M119" s="7">
        <f>IFERROR(__xludf.DUMMYFUNCTION("IFERROR(HLOOKUP($A119,IMPORTRANGE(""https://docs.google.com/spreadsheets/d/1CeexgK4KxWj3k_7nql_k8-RPxXMwTJyB4Q3vAASeDlA/edit#gid=0"",""'Game 9'!$B$2:$Q$31""),30,False),1)"),12.0)</f>
        <v>12</v>
      </c>
      <c r="N119" s="7">
        <f>IFERROR(__xludf.DUMMYFUNCTION("IFERROR(HLOOKUP($A119,IMPORTRANGE(""https://docs.google.com/spreadsheets/d/1MNwUNMjcwK6bEgCXwB73jpbK5gJAXS8ZMpbEMLJEP3E/edit#gid=0"",""'Game 11'!$B$2:$Q$31""),30,False),1)"),23.0)</f>
        <v>23</v>
      </c>
      <c r="O119" s="7">
        <f>IFERROR(__xludf.DUMMYFUNCTION("IFERROR(HLOOKUP($A119,IMPORTRANGE(""https://docs.google.com/spreadsheets/d/1UrzyxmT40kDZwVrLMf1yyXfP-pyczRAw9Y8Rw-uXG3c/edit#gid=0"",""'Game 10'!$B$2:$Q$31""),30,False),1)"),23.0)</f>
        <v>23</v>
      </c>
      <c r="P119" s="7">
        <f>IFERROR(__xludf.DUMMYFUNCTION("IFERROR(HLOOKUP($A119,IMPORTRANGE(""https://docs.google.com/spreadsheets/d/1iyMhSYWifw-KGFtyeBpNxVZr4BhcV9hVZuShgJ9Ia0E/edit#gid=0"",""'Game 10'!$B$2:$Q$31""),30,False),1)"),23.0)</f>
        <v>23</v>
      </c>
      <c r="Q119" s="7">
        <f>IFERROR(__xludf.DUMMYFUNCTION("IFERROR(HLOOKUP($A119,IMPORTRANGE(""https://docs.google.com/spreadsheets/d/1sSbIK-vvHsSY0LghLJ9gcnW8Hec_ITI2tFmpeqI999A/edit#gid=0"",""'Game 8'!$B$2:$Q$31""),30,False),1)"),23.0)</f>
        <v>23</v>
      </c>
      <c r="R119" s="11">
        <f t="shared" si="2"/>
        <v>209</v>
      </c>
    </row>
    <row r="120">
      <c r="A120" s="18" t="s">
        <v>286</v>
      </c>
      <c r="B120" s="6" t="s">
        <v>277</v>
      </c>
      <c r="C120" s="18">
        <v>12.0</v>
      </c>
      <c r="D120" s="18">
        <v>23.0</v>
      </c>
      <c r="E120" s="18">
        <v>23.0</v>
      </c>
      <c r="F120" s="18">
        <v>12.0</v>
      </c>
      <c r="G120" s="3">
        <v>23.0</v>
      </c>
      <c r="H120" s="5">
        <f>IFERROR(__xludf.DUMMYFUNCTION("HLOOKUP($A120,IMPORTRANGE(""https://docs.google.com/spreadsheets/d/16J5ie7OD1E99qGO9lMDm8w5Yls-v190B7DTolJ5TmFc/edit#gid=0"",""'Game 10'!$B$2:$Q$31""),30,False)"),23.0)</f>
        <v>23</v>
      </c>
      <c r="I120" s="3">
        <v>12.0</v>
      </c>
      <c r="J120" s="5">
        <f>IFERROR(__xludf.DUMMYFUNCTION("IFERROR(HLOOKUP($A120,IMPORTRANGE(""https://docs.google.com/spreadsheets/d/1CTYfdyRk_RFGM3I2iN9bKeD9zUPzEm1ajzml6VgwfIU/edit#gid=0"",""'Game 11'!$B$2:$Q$31""),30,False),0)"),23.0)</f>
        <v>23</v>
      </c>
      <c r="K120" s="5">
        <f>IFERROR(__xludf.DUMMYFUNCTION("IFERROR(HLOOKUP($A120,IMPORTRANGE(""https://docs.google.com/spreadsheets/d/11NFkzOdQyW-OtxSDuGslNCgNjx7HUb2FU7KnlNnPMgY/edit#gid=0"",""'Game 6'!$B$2:$Q$31""),30,False),0)"),23.0)</f>
        <v>23</v>
      </c>
      <c r="L120" s="5">
        <f>IFERROR(__xludf.DUMMYFUNCTION("IFERROR(HLOOKUP($A120,IMPORTRANGE(""https://docs.google.com/spreadsheets/d/1CLg5-jaE4ta0-u4oE1qbBplQ5Mf3Oj9ONFgL0zJ7Ol4/edit#gid=0"",""'Game 2'!$B$2:$Q$31""),30,False),1)"),23.0)</f>
        <v>23</v>
      </c>
      <c r="M120" s="5">
        <f>IFERROR(__xludf.DUMMYFUNCTION("IFERROR(HLOOKUP($A120,IMPORTRANGE(""https://docs.google.com/spreadsheets/d/1CeexgK4KxWj3k_7nql_k8-RPxXMwTJyB4Q3vAASeDlA/edit#gid=0"",""'Game 9'!$B$2:$Q$31""),30,False),1)"),11.0)</f>
        <v>11</v>
      </c>
      <c r="N120" s="5">
        <f>IFERROR(__xludf.DUMMYFUNCTION("IFERROR(HLOOKUP($A120,IMPORTRANGE(""https://docs.google.com/spreadsheets/d/1MNwUNMjcwK6bEgCXwB73jpbK5gJAXS8ZMpbEMLJEP3E/edit#gid=0"",""'Game 11'!$B$2:$Q$31""),30,False),1)"),11.0)</f>
        <v>11</v>
      </c>
      <c r="O120" s="5">
        <f>IFERROR(__xludf.DUMMYFUNCTION("IFERROR(HLOOKUP($A120,IMPORTRANGE(""https://docs.google.com/spreadsheets/d/1UrzyxmT40kDZwVrLMf1yyXfP-pyczRAw9Y8Rw-uXG3c/edit#gid=0"",""'Game 10'!$B$2:$Q$31""),30,False),1)"),12.0)</f>
        <v>12</v>
      </c>
      <c r="P120" s="5">
        <f>IFERROR(__xludf.DUMMYFUNCTION("IFERROR(HLOOKUP($A120,IMPORTRANGE(""https://docs.google.com/spreadsheets/d/1iyMhSYWifw-KGFtyeBpNxVZr4BhcV9hVZuShgJ9Ia0E/edit#gid=0"",""'Game 10'!$B$2:$Q$31""),30,False),1)"),12.0)</f>
        <v>12</v>
      </c>
      <c r="Q120" s="5">
        <f>IFERROR(__xludf.DUMMYFUNCTION("IFERROR(HLOOKUP($A120,IMPORTRANGE(""https://docs.google.com/spreadsheets/d/1sSbIK-vvHsSY0LghLJ9gcnW8Hec_ITI2tFmpeqI999A/edit#gid=0"",""'Game 8'!$B$2:$Q$31""),30,False),1)"),23.0)</f>
        <v>23</v>
      </c>
      <c r="R120" s="6">
        <f t="shared" si="2"/>
        <v>266</v>
      </c>
    </row>
    <row r="121">
      <c r="A121" s="1" t="s">
        <v>287</v>
      </c>
      <c r="B121" s="11" t="s">
        <v>277</v>
      </c>
      <c r="C121" s="21">
        <v>23.0</v>
      </c>
      <c r="D121" s="21">
        <v>23.0</v>
      </c>
      <c r="E121" s="21">
        <v>23.0</v>
      </c>
      <c r="F121" s="21">
        <v>23.0</v>
      </c>
      <c r="G121" s="1">
        <v>0.0</v>
      </c>
      <c r="H121" s="7">
        <f>IFERROR(__xludf.DUMMYFUNCTION("HLOOKUP($A121,IMPORTRANGE(""https://docs.google.com/spreadsheets/d/16J5ie7OD1E99qGO9lMDm8w5Yls-v190B7DTolJ5TmFc/edit#gid=0"",""'Game 10'!$B$2:$Q$31""),30,False)"),23.0)</f>
        <v>23</v>
      </c>
      <c r="I121" s="1">
        <v>23.0</v>
      </c>
      <c r="J121" s="7">
        <f>IFERROR(__xludf.DUMMYFUNCTION("IFERROR(HLOOKUP($A121,IMPORTRANGE(""https://docs.google.com/spreadsheets/d/1CTYfdyRk_RFGM3I2iN9bKeD9zUPzEm1ajzml6VgwfIU/edit#gid=0"",""'Game 11'!$B$2:$Q$31""),30,False),0)"),0.0)</f>
        <v>0</v>
      </c>
      <c r="K121" s="7">
        <f>IFERROR(__xludf.DUMMYFUNCTION("IFERROR(HLOOKUP($A121,IMPORTRANGE(""https://docs.google.com/spreadsheets/d/11NFkzOdQyW-OtxSDuGslNCgNjx7HUb2FU7KnlNnPMgY/edit#gid=0"",""'Game 6'!$B$2:$Q$31""),30,False),0)"),0.0)</f>
        <v>0</v>
      </c>
      <c r="L121" s="7">
        <f>IFERROR(__xludf.DUMMYFUNCTION("IFERROR(HLOOKUP($A121,IMPORTRANGE(""https://docs.google.com/spreadsheets/d/1CLg5-jaE4ta0-u4oE1qbBplQ5Mf3Oj9ONFgL0zJ7Ol4/edit#gid=0"",""'Game 2'!$B$2:$Q$31""),30,False),1)"),23.0)</f>
        <v>23</v>
      </c>
      <c r="M121" s="7">
        <f>IFERROR(__xludf.DUMMYFUNCTION("IFERROR(HLOOKUP($A121,IMPORTRANGE(""https://docs.google.com/spreadsheets/d/1CeexgK4KxWj3k_7nql_k8-RPxXMwTJyB4Q3vAASeDlA/edit#gid=0"",""'Game 9'!$B$2:$Q$31""),30,False),1)"),23.0)</f>
        <v>23</v>
      </c>
      <c r="N121" s="7">
        <f>IFERROR(__xludf.DUMMYFUNCTION("IFERROR(HLOOKUP($A121,IMPORTRANGE(""https://docs.google.com/spreadsheets/d/1MNwUNMjcwK6bEgCXwB73jpbK5gJAXS8ZMpbEMLJEP3E/edit#gid=0"",""'Game 11'!$B$2:$Q$31""),30,False),1)"),23.0)</f>
        <v>23</v>
      </c>
      <c r="O121" s="7">
        <f>IFERROR(__xludf.DUMMYFUNCTION("IFERROR(HLOOKUP($A121,IMPORTRANGE(""https://docs.google.com/spreadsheets/d/1UrzyxmT40kDZwVrLMf1yyXfP-pyczRAw9Y8Rw-uXG3c/edit#gid=0"",""'Game 10'!$B$2:$Q$31""),30,False),1)"),23.0)</f>
        <v>23</v>
      </c>
      <c r="P121" s="7">
        <f>IFERROR(__xludf.DUMMYFUNCTION("IFERROR(HLOOKUP($A121,IMPORTRANGE(""https://docs.google.com/spreadsheets/d/1iyMhSYWifw-KGFtyeBpNxVZr4BhcV9hVZuShgJ9Ia0E/edit#gid=0"",""'Game 10'!$B$2:$Q$31""),30,False),1)"),23.0)</f>
        <v>23</v>
      </c>
      <c r="Q121" s="7">
        <f>IFERROR(__xludf.DUMMYFUNCTION("IFERROR(HLOOKUP($A121,IMPORTRANGE(""https://docs.google.com/spreadsheets/d/1sSbIK-vvHsSY0LghLJ9gcnW8Hec_ITI2tFmpeqI999A/edit#gid=0"",""'Game 8'!$B$2:$Q$31""),30,False),1)"),23.0)</f>
        <v>23</v>
      </c>
      <c r="R121" s="11">
        <f t="shared" si="2"/>
        <v>276</v>
      </c>
    </row>
    <row r="122">
      <c r="A122" s="18" t="s">
        <v>289</v>
      </c>
      <c r="B122" s="18" t="s">
        <v>277</v>
      </c>
      <c r="C122" s="18">
        <v>11.0</v>
      </c>
      <c r="D122" s="18">
        <v>0.0</v>
      </c>
      <c r="E122" s="18">
        <v>12.0</v>
      </c>
      <c r="F122" s="18">
        <v>11.0</v>
      </c>
      <c r="G122" s="3">
        <v>23.0</v>
      </c>
      <c r="H122" s="5">
        <f>IFERROR(__xludf.DUMMYFUNCTION("HLOOKUP($A122,IMPORTRANGE(""https://docs.google.com/spreadsheets/d/16J5ie7OD1E99qGO9lMDm8w5Yls-v190B7DTolJ5TmFc/edit#gid=0"",""'Game 10'!$B$2:$Q$31""),30,False)"),23.0)</f>
        <v>23</v>
      </c>
      <c r="I122" s="3">
        <v>11.0</v>
      </c>
      <c r="J122" s="5">
        <f>IFERROR(__xludf.DUMMYFUNCTION("IFERROR(HLOOKUP($A122,IMPORTRANGE(""https://docs.google.com/spreadsheets/d/1CTYfdyRk_RFGM3I2iN9bKeD9zUPzEm1ajzml6VgwfIU/edit#gid=0"",""'Game 11'!$B$2:$Q$31""),30,False),0)"),0.0)</f>
        <v>0</v>
      </c>
      <c r="K122" s="5">
        <f>IFERROR(__xludf.DUMMYFUNCTION("IFERROR(HLOOKUP($A122,IMPORTRANGE(""https://docs.google.com/spreadsheets/d/11NFkzOdQyW-OtxSDuGslNCgNjx7HUb2FU7KnlNnPMgY/edit#gid=0"",""'Game 6'!$B$2:$Q$31""),30,False),0)"),11.0)</f>
        <v>11</v>
      </c>
      <c r="L122" s="5">
        <f>IFERROR(__xludf.DUMMYFUNCTION("IFERROR(HLOOKUP($A122,IMPORTRANGE(""https://docs.google.com/spreadsheets/d/1CLg5-jaE4ta0-u4oE1qbBplQ5Mf3Oj9ONFgL0zJ7Ol4/edit#gid=0"",""'Game 2'!$B$2:$Q$31""),30,False),1)"),0.0)</f>
        <v>0</v>
      </c>
      <c r="M122" s="5">
        <f>IFERROR(__xludf.DUMMYFUNCTION("IFERROR(HLOOKUP($A122,IMPORTRANGE(""https://docs.google.com/spreadsheets/d/1CeexgK4KxWj3k_7nql_k8-RPxXMwTJyB4Q3vAASeDlA/edit#gid=0"",""'Game 9'!$B$2:$Q$31""),30,False),1)"),11.0)</f>
        <v>11</v>
      </c>
      <c r="N122" s="5">
        <f>IFERROR(__xludf.DUMMYFUNCTION("IFERROR(HLOOKUP($A122,IMPORTRANGE(""https://docs.google.com/spreadsheets/d/1MNwUNMjcwK6bEgCXwB73jpbK5gJAXS8ZMpbEMLJEP3E/edit#gid=0"",""'Game 11'!$B$2:$Q$31""),30,False),1)"),11.0)</f>
        <v>11</v>
      </c>
      <c r="O122" s="5">
        <f>IFERROR(__xludf.DUMMYFUNCTION("IFERROR(HLOOKUP($A122,IMPORTRANGE(""https://docs.google.com/spreadsheets/d/1UrzyxmT40kDZwVrLMf1yyXfP-pyczRAw9Y8Rw-uXG3c/edit#gid=0"",""'Game 10'!$B$2:$Q$31""),30,False),1)"),0.0)</f>
        <v>0</v>
      </c>
      <c r="P122" s="5">
        <f>IFERROR(__xludf.DUMMYFUNCTION("IFERROR(HLOOKUP($A122,IMPORTRANGE(""https://docs.google.com/spreadsheets/d/1iyMhSYWifw-KGFtyeBpNxVZr4BhcV9hVZuShgJ9Ia0E/edit#gid=0"",""'Game 10'!$B$2:$Q$31""),30,False),1)"),0.0)</f>
        <v>0</v>
      </c>
      <c r="Q122" s="5">
        <f>IFERROR(__xludf.DUMMYFUNCTION("IFERROR(HLOOKUP($A122,IMPORTRANGE(""https://docs.google.com/spreadsheets/d/1sSbIK-vvHsSY0LghLJ9gcnW8Hec_ITI2tFmpeqI999A/edit#gid=0"",""'Game 8'!$B$2:$Q$31""),30,False),1)"),23.0)</f>
        <v>23</v>
      </c>
      <c r="R122" s="6">
        <f t="shared" si="2"/>
        <v>147</v>
      </c>
    </row>
    <row r="123">
      <c r="A123" s="21" t="s">
        <v>291</v>
      </c>
      <c r="B123" s="11" t="s">
        <v>292</v>
      </c>
      <c r="C123" s="21">
        <v>11.0</v>
      </c>
      <c r="D123" s="21">
        <v>11.0</v>
      </c>
      <c r="E123" s="21">
        <v>11.0</v>
      </c>
      <c r="F123" s="21">
        <v>11.0</v>
      </c>
      <c r="G123" s="1">
        <v>11.0</v>
      </c>
      <c r="H123" s="7">
        <f>IFERROR(__xludf.DUMMYFUNCTION("HLOOKUP($A123,IMPORTRANGE(""https://docs.google.com/spreadsheets/d/16J5ie7OD1E99qGO9lMDm8w5Yls-v190B7DTolJ5TmFc/edit#gid=0"",""'Game 13'!$B$2:$Q$31""),30,False)"),23.0)</f>
        <v>23</v>
      </c>
      <c r="I123" s="1">
        <v>23.0</v>
      </c>
      <c r="J123" s="7">
        <f>IFERROR(__xludf.DUMMYFUNCTION("IFERROR(HLOOKUP($A123,IMPORTRANGE(""https://docs.google.com/spreadsheets/d/1CTYfdyRk_RFGM3I2iN9bKeD9zUPzEm1ajzml6VgwfIU/edit#gid=0"",""'Game 10'!$B$2:$Q$31""),30,False),0)"),11.0)</f>
        <v>11</v>
      </c>
      <c r="K123" s="7">
        <f>IFERROR(__xludf.DUMMYFUNCTION("IFERROR(HLOOKUP($A123,IMPORTRANGE(""https://docs.google.com/spreadsheets/d/11NFkzOdQyW-OtxSDuGslNCgNjx7HUb2FU7KnlNnPMgY/edit#gid=0"",""'Game 4'!$B$2:$Q$31""),30,False),0)"),23.0)</f>
        <v>23</v>
      </c>
      <c r="L123" s="7">
        <f>IFERROR(__xludf.DUMMYFUNCTION("IFERROR(HLOOKUP($A123,IMPORTRANGE(""https://docs.google.com/spreadsheets/d/1CLg5-jaE4ta0-u4oE1qbBplQ5Mf3Oj9ONFgL0zJ7Ol4/edit#gid=0"",""'Game 10'!$B$2:$Q$31""),30,False),1)"),12.0)</f>
        <v>12</v>
      </c>
      <c r="M123" s="7">
        <f>IFERROR(__xludf.DUMMYFUNCTION("IFERROR(HLOOKUP($A123,IMPORTRANGE(""https://docs.google.com/spreadsheets/d/1CeexgK4KxWj3k_7nql_k8-RPxXMwTJyB4Q3vAASeDlA/edit#gid=0"",""'Game 1'!$B$2:$Q$31""),30,False),1)"),11.0)</f>
        <v>11</v>
      </c>
      <c r="N123" s="7">
        <f>IFERROR(__xludf.DUMMYFUNCTION("IFERROR(HLOOKUP($A123,IMPORTRANGE(""https://docs.google.com/spreadsheets/d/1MNwUNMjcwK6bEgCXwB73jpbK5gJAXS8ZMpbEMLJEP3E/edit#gid=0"",""'Game 10'!$B$2:$Q$31""),30,False),1)"),12.0)</f>
        <v>12</v>
      </c>
      <c r="O123" s="7">
        <f>IFERROR(__xludf.DUMMYFUNCTION("IFERROR(HLOOKUP($A123,IMPORTRANGE(""https://docs.google.com/spreadsheets/d/1UrzyxmT40kDZwVrLMf1yyXfP-pyczRAw9Y8Rw-uXG3c/edit#gid=0"",""'Game 7'!$B$2:$Q$31""),30,False),1)"),23.0)</f>
        <v>23</v>
      </c>
      <c r="P123" s="7">
        <f>IFERROR(__xludf.DUMMYFUNCTION("IFERROR(HLOOKUP($A123,IMPORTRANGE(""https://docs.google.com/spreadsheets/d/1iyMhSYWifw-KGFtyeBpNxVZr4BhcV9hVZuShgJ9Ia0E/edit#gid=0"",""'Game 9'!$B$2:$Q$31""),30,False),1)"),23.0)</f>
        <v>23</v>
      </c>
      <c r="Q123" s="7">
        <f>IFERROR(__xludf.DUMMYFUNCTION("IFERROR(HLOOKUP($A123,IMPORTRANGE(""https://docs.google.com/spreadsheets/d/1sSbIK-vvHsSY0LghLJ9gcnW8Hec_ITI2tFmpeqI999A/edit#gid=0"",""'Game 8'!$B$2:$Q$31""),30,False),1)"),12.0)</f>
        <v>12</v>
      </c>
      <c r="R123" s="11">
        <f t="shared" si="2"/>
        <v>228</v>
      </c>
    </row>
    <row r="124">
      <c r="A124" s="18" t="s">
        <v>294</v>
      </c>
      <c r="B124" s="6" t="s">
        <v>292</v>
      </c>
      <c r="C124" s="18">
        <v>12.0</v>
      </c>
      <c r="D124" s="18">
        <v>12.0</v>
      </c>
      <c r="E124" s="18">
        <v>12.0</v>
      </c>
      <c r="F124" s="18">
        <v>12.0</v>
      </c>
      <c r="G124" s="3">
        <v>12.0</v>
      </c>
      <c r="H124" s="5">
        <f>IFERROR(__xludf.DUMMYFUNCTION("HLOOKUP($A124,IMPORTRANGE(""https://docs.google.com/spreadsheets/d/16J5ie7OD1E99qGO9lMDm8w5Yls-v190B7DTolJ5TmFc/edit#gid=0"",""'Game 13'!$B$2:$Q$31""),30,False)"),23.0)</f>
        <v>23</v>
      </c>
      <c r="I124" s="3">
        <v>23.0</v>
      </c>
      <c r="J124" s="5">
        <f>IFERROR(__xludf.DUMMYFUNCTION("IFERROR(HLOOKUP($A124,IMPORTRANGE(""https://docs.google.com/spreadsheets/d/1CTYfdyRk_RFGM3I2iN9bKeD9zUPzEm1ajzml6VgwfIU/edit#gid=0"",""'Game 10'!$B$2:$Q$31""),30,False),0)"),12.0)</f>
        <v>12</v>
      </c>
      <c r="K124" s="5">
        <f>IFERROR(__xludf.DUMMYFUNCTION("IFERROR(HLOOKUP($A124,IMPORTRANGE(""https://docs.google.com/spreadsheets/d/11NFkzOdQyW-OtxSDuGslNCgNjx7HUb2FU7KnlNnPMgY/edit#gid=0"",""'Game 4'!$B$2:$Q$31""),30,False),0)"),12.0)</f>
        <v>12</v>
      </c>
      <c r="L124" s="5">
        <f>IFERROR(__xludf.DUMMYFUNCTION("IFERROR(HLOOKUP($A124,IMPORTRANGE(""https://docs.google.com/spreadsheets/d/1CLg5-jaE4ta0-u4oE1qbBplQ5Mf3Oj9ONFgL0zJ7Ol4/edit#gid=0"",""'Game 10'!$B$2:$Q$31""),30,False),1)"),11.0)</f>
        <v>11</v>
      </c>
      <c r="M124" s="5">
        <f>IFERROR(__xludf.DUMMYFUNCTION("IFERROR(HLOOKUP($A124,IMPORTRANGE(""https://docs.google.com/spreadsheets/d/1CeexgK4KxWj3k_7nql_k8-RPxXMwTJyB4Q3vAASeDlA/edit#gid=0"",""'Game 1'!$B$2:$Q$31""),30,False),1)"),12.0)</f>
        <v>12</v>
      </c>
      <c r="N124" s="5">
        <f>IFERROR(__xludf.DUMMYFUNCTION("IFERROR(HLOOKUP($A124,IMPORTRANGE(""https://docs.google.com/spreadsheets/d/1MNwUNMjcwK6bEgCXwB73jpbK5gJAXS8ZMpbEMLJEP3E/edit#gid=0"",""'Game 10'!$B$2:$Q$31""),30,False),1)"),11.0)</f>
        <v>11</v>
      </c>
      <c r="O124" s="5">
        <f>IFERROR(__xludf.DUMMYFUNCTION("IFERROR(HLOOKUP($A124,IMPORTRANGE(""https://docs.google.com/spreadsheets/d/1UrzyxmT40kDZwVrLMf1yyXfP-pyczRAw9Y8Rw-uXG3c/edit#gid=0"",""'Game 7'!$B$2:$Q$31""),30,False),1)"),0.0)</f>
        <v>0</v>
      </c>
      <c r="P124" s="5">
        <f>IFERROR(__xludf.DUMMYFUNCTION("IFERROR(HLOOKUP($A124,IMPORTRANGE(""https://docs.google.com/spreadsheets/d/1iyMhSYWifw-KGFtyeBpNxVZr4BhcV9hVZuShgJ9Ia0E/edit#gid=0"",""'Game 9'!$B$2:$Q$31""),30,False),1)"),0.0)</f>
        <v>0</v>
      </c>
      <c r="Q124" s="5">
        <f>IFERROR(__xludf.DUMMYFUNCTION("IFERROR(HLOOKUP($A124,IMPORTRANGE(""https://docs.google.com/spreadsheets/d/1sSbIK-vvHsSY0LghLJ9gcnW8Hec_ITI2tFmpeqI999A/edit#gid=0"",""'Game 8'!$B$2:$Q$31""),30,False),1)"),11.0)</f>
        <v>11</v>
      </c>
      <c r="R124" s="6">
        <f t="shared" si="2"/>
        <v>175</v>
      </c>
    </row>
    <row r="125">
      <c r="A125" s="21" t="s">
        <v>296</v>
      </c>
      <c r="B125" s="11" t="s">
        <v>292</v>
      </c>
      <c r="C125" s="21">
        <v>23.0</v>
      </c>
      <c r="D125" s="21">
        <v>23.0</v>
      </c>
      <c r="E125" s="21">
        <v>23.0</v>
      </c>
      <c r="F125" s="21">
        <v>23.0</v>
      </c>
      <c r="G125" s="1">
        <v>23.0</v>
      </c>
      <c r="H125" s="7">
        <f>IFERROR(__xludf.DUMMYFUNCTION("HLOOKUP($A125,IMPORTRANGE(""https://docs.google.com/spreadsheets/d/16J5ie7OD1E99qGO9lMDm8w5Yls-v190B7DTolJ5TmFc/edit#gid=0"",""'Game 13'!$B$2:$Q$31""),30,False)"),23.0)</f>
        <v>23</v>
      </c>
      <c r="I125" s="1">
        <v>23.0</v>
      </c>
      <c r="J125" s="7">
        <f>IFERROR(__xludf.DUMMYFUNCTION("IFERROR(HLOOKUP($A125,IMPORTRANGE(""https://docs.google.com/spreadsheets/d/1CTYfdyRk_RFGM3I2iN9bKeD9zUPzEm1ajzml6VgwfIU/edit#gid=0"",""'Game 10'!$B$2:$Q$31""),30,False),0)"),23.0)</f>
        <v>23</v>
      </c>
      <c r="K125" s="7">
        <f>IFERROR(__xludf.DUMMYFUNCTION("IFERROR(HLOOKUP($A125,IMPORTRANGE(""https://docs.google.com/spreadsheets/d/11NFkzOdQyW-OtxSDuGslNCgNjx7HUb2FU7KnlNnPMgY/edit#gid=0"",""'Game 4'!$B$2:$Q$31""),30,False),0)"),23.0)</f>
        <v>23</v>
      </c>
      <c r="L125" s="7">
        <f>IFERROR(__xludf.DUMMYFUNCTION("IFERROR(HLOOKUP($A125,IMPORTRANGE(""https://docs.google.com/spreadsheets/d/1CLg5-jaE4ta0-u4oE1qbBplQ5Mf3Oj9ONFgL0zJ7Ol4/edit#gid=0"",""'Game 10'!$B$2:$Q$31""),30,False),1)"),23.0)</f>
        <v>23</v>
      </c>
      <c r="M125" s="7">
        <f>IFERROR(__xludf.DUMMYFUNCTION("IFERROR(HLOOKUP($A125,IMPORTRANGE(""https://docs.google.com/spreadsheets/d/1CeexgK4KxWj3k_7nql_k8-RPxXMwTJyB4Q3vAASeDlA/edit#gid=0"",""'Game 1'!$B$2:$Q$31""),30,False),1)"),23.0)</f>
        <v>23</v>
      </c>
      <c r="N125" s="7">
        <f>IFERROR(__xludf.DUMMYFUNCTION("IFERROR(HLOOKUP($A125,IMPORTRANGE(""https://docs.google.com/spreadsheets/d/1MNwUNMjcwK6bEgCXwB73jpbK5gJAXS8ZMpbEMLJEP3E/edit#gid=0"",""'Game 10'!$B$2:$Q$31""),30,False),1)"),23.0)</f>
        <v>23</v>
      </c>
      <c r="O125" s="7">
        <f>IFERROR(__xludf.DUMMYFUNCTION("IFERROR(HLOOKUP($A125,IMPORTRANGE(""https://docs.google.com/spreadsheets/d/1UrzyxmT40kDZwVrLMf1yyXfP-pyczRAw9Y8Rw-uXG3c/edit#gid=0"",""'Game 7'!$B$2:$Q$31""),30,False),1)"),23.0)</f>
        <v>23</v>
      </c>
      <c r="P125" s="7">
        <f>IFERROR(__xludf.DUMMYFUNCTION("IFERROR(HLOOKUP($A125,IMPORTRANGE(""https://docs.google.com/spreadsheets/d/1iyMhSYWifw-KGFtyeBpNxVZr4BhcV9hVZuShgJ9Ia0E/edit#gid=0"",""'Game 9'!$B$2:$Q$31""),30,False),1)"),23.0)</f>
        <v>23</v>
      </c>
      <c r="Q125" s="7">
        <f>IFERROR(__xludf.DUMMYFUNCTION("IFERROR(HLOOKUP($A125,IMPORTRANGE(""https://docs.google.com/spreadsheets/d/1sSbIK-vvHsSY0LghLJ9gcnW8Hec_ITI2tFmpeqI999A/edit#gid=0"",""'Game 8'!$B$2:$Q$31""),30,False),1)"),23.0)</f>
        <v>23</v>
      </c>
      <c r="R125" s="11">
        <f t="shared" si="2"/>
        <v>345</v>
      </c>
    </row>
    <row r="126">
      <c r="A126" s="18" t="s">
        <v>297</v>
      </c>
      <c r="B126" s="6" t="s">
        <v>292</v>
      </c>
      <c r="C126" s="18">
        <v>23.0</v>
      </c>
      <c r="D126" s="18">
        <v>23.0</v>
      </c>
      <c r="E126" s="18">
        <v>23.0</v>
      </c>
      <c r="F126" s="18">
        <v>23.0</v>
      </c>
      <c r="G126" s="3">
        <v>23.0</v>
      </c>
      <c r="H126" s="5">
        <f>IFERROR(__xludf.DUMMYFUNCTION("HLOOKUP($A126,IMPORTRANGE(""https://docs.google.com/spreadsheets/d/16J5ie7OD1E99qGO9lMDm8w5Yls-v190B7DTolJ5TmFc/edit#gid=0"",""'Game 13'!$B$2:$Q$31""),30,False)"),0.0)</f>
        <v>0</v>
      </c>
      <c r="I126" s="3">
        <v>23.0</v>
      </c>
      <c r="J126" s="5">
        <f>IFERROR(__xludf.DUMMYFUNCTION("IFERROR(HLOOKUP($A126,IMPORTRANGE(""https://docs.google.com/spreadsheets/d/1CTYfdyRk_RFGM3I2iN9bKeD9zUPzEm1ajzml6VgwfIU/edit#gid=0"",""'Game 10'!$B$2:$Q$31""),30,False),0)"),23.0)</f>
        <v>23</v>
      </c>
      <c r="K126" s="5">
        <f>IFERROR(__xludf.DUMMYFUNCTION("IFERROR(HLOOKUP($A126,IMPORTRANGE(""https://docs.google.com/spreadsheets/d/11NFkzOdQyW-OtxSDuGslNCgNjx7HUb2FU7KnlNnPMgY/edit#gid=0"",""'Game 4'!$B$2:$Q$31""),30,False),0)"),23.0)</f>
        <v>23</v>
      </c>
      <c r="L126" s="5">
        <f>IFERROR(__xludf.DUMMYFUNCTION("IFERROR(HLOOKUP($A126,IMPORTRANGE(""https://docs.google.com/spreadsheets/d/1CLg5-jaE4ta0-u4oE1qbBplQ5Mf3Oj9ONFgL0zJ7Ol4/edit#gid=0"",""'Game 10'!$B$2:$Q$31""),30,False),1)"),23.0)</f>
        <v>23</v>
      </c>
      <c r="M126" s="5">
        <f>IFERROR(__xludf.DUMMYFUNCTION("IFERROR(HLOOKUP($A126,IMPORTRANGE(""https://docs.google.com/spreadsheets/d/1CeexgK4KxWj3k_7nql_k8-RPxXMwTJyB4Q3vAASeDlA/edit#gid=0"",""'Game 1'!$B$2:$Q$31""),30,False),1)"),23.0)</f>
        <v>23</v>
      </c>
      <c r="N126" s="5">
        <f>IFERROR(__xludf.DUMMYFUNCTION("IFERROR(HLOOKUP($A126,IMPORTRANGE(""https://docs.google.com/spreadsheets/d/1MNwUNMjcwK6bEgCXwB73jpbK5gJAXS8ZMpbEMLJEP3E/edit#gid=0"",""'Game 10'!$B$2:$Q$31""),30,False),1)"),23.0)</f>
        <v>23</v>
      </c>
      <c r="O126" s="5">
        <f>IFERROR(__xludf.DUMMYFUNCTION("IFERROR(HLOOKUP($A126,IMPORTRANGE(""https://docs.google.com/spreadsheets/d/1UrzyxmT40kDZwVrLMf1yyXfP-pyczRAw9Y8Rw-uXG3c/edit#gid=0"",""'Game 7'!$B$2:$Q$31""),30,False),1)"),23.0)</f>
        <v>23</v>
      </c>
      <c r="P126" s="5">
        <f>IFERROR(__xludf.DUMMYFUNCTION("IFERROR(HLOOKUP($A126,IMPORTRANGE(""https://docs.google.com/spreadsheets/d/1iyMhSYWifw-KGFtyeBpNxVZr4BhcV9hVZuShgJ9Ia0E/edit#gid=0"",""'Game 9'!$B$2:$Q$31""),30,False),1)"),23.0)</f>
        <v>23</v>
      </c>
      <c r="Q126" s="5">
        <f>IFERROR(__xludf.DUMMYFUNCTION("IFERROR(HLOOKUP($A126,IMPORTRANGE(""https://docs.google.com/spreadsheets/d/1sSbIK-vvHsSY0LghLJ9gcnW8Hec_ITI2tFmpeqI999A/edit#gid=0"",""'Game 8'!$B$2:$Q$31""),30,False),1)"),23.0)</f>
        <v>23</v>
      </c>
      <c r="R126" s="6">
        <f t="shared" si="2"/>
        <v>322</v>
      </c>
    </row>
    <row r="127">
      <c r="A127" s="21" t="s">
        <v>300</v>
      </c>
      <c r="B127" s="21" t="s">
        <v>292</v>
      </c>
      <c r="C127" s="21">
        <v>23.0</v>
      </c>
      <c r="D127" s="21">
        <v>23.0</v>
      </c>
      <c r="E127" s="21">
        <v>23.0</v>
      </c>
      <c r="F127" s="21">
        <v>23.0</v>
      </c>
      <c r="G127" s="1">
        <v>23.0</v>
      </c>
      <c r="H127" s="7">
        <f>IFERROR(__xludf.DUMMYFUNCTION("HLOOKUP($A127,IMPORTRANGE(""https://docs.google.com/spreadsheets/d/16J5ie7OD1E99qGO9lMDm8w5Yls-v190B7DTolJ5TmFc/edit#gid=0"",""'Game 13'!$B$2:$Q$31""),30,False)"),23.0)</f>
        <v>23</v>
      </c>
      <c r="I127" s="1">
        <v>0.0</v>
      </c>
      <c r="J127" s="7">
        <f>IFERROR(__xludf.DUMMYFUNCTION("IFERROR(HLOOKUP($A127,IMPORTRANGE(""https://docs.google.com/spreadsheets/d/1CTYfdyRk_RFGM3I2iN9bKeD9zUPzEm1ajzml6VgwfIU/edit#gid=0"",""'Game 10'!$B$2:$Q$31""),30,False),0)"),23.0)</f>
        <v>23</v>
      </c>
      <c r="K127" s="7">
        <f>IFERROR(__xludf.DUMMYFUNCTION("IFERROR(HLOOKUP($A127,IMPORTRANGE(""https://docs.google.com/spreadsheets/d/11NFkzOdQyW-OtxSDuGslNCgNjx7HUb2FU7KnlNnPMgY/edit#gid=0"",""'Game 4'!$B$2:$Q$31""),30,False),0)"),11.0)</f>
        <v>11</v>
      </c>
      <c r="L127" s="7">
        <f>IFERROR(__xludf.DUMMYFUNCTION("IFERROR(HLOOKUP($A127,IMPORTRANGE(""https://docs.google.com/spreadsheets/d/1CLg5-jaE4ta0-u4oE1qbBplQ5Mf3Oj9ONFgL0zJ7Ol4/edit#gid=0"",""'Game 10'!$B$2:$Q$31""),30,False),1)"),23.0)</f>
        <v>23</v>
      </c>
      <c r="M127" s="7">
        <f>IFERROR(__xludf.DUMMYFUNCTION("IFERROR(HLOOKUP($A127,IMPORTRANGE(""https://docs.google.com/spreadsheets/d/1CeexgK4KxWj3k_7nql_k8-RPxXMwTJyB4Q3vAASeDlA/edit#gid=0"",""'Game 1'!$B$2:$Q$31""),30,False),1)"),23.0)</f>
        <v>23</v>
      </c>
      <c r="N127" s="7">
        <f>IFERROR(__xludf.DUMMYFUNCTION("IFERROR(HLOOKUP($A127,IMPORTRANGE(""https://docs.google.com/spreadsheets/d/1MNwUNMjcwK6bEgCXwB73jpbK5gJAXS8ZMpbEMLJEP3E/edit#gid=0"",""'Game 10'!$B$2:$Q$31""),30,False),1)"),23.0)</f>
        <v>23</v>
      </c>
      <c r="O127" s="7">
        <f>IFERROR(__xludf.DUMMYFUNCTION("IFERROR(HLOOKUP($A127,IMPORTRANGE(""https://docs.google.com/spreadsheets/d/1UrzyxmT40kDZwVrLMf1yyXfP-pyczRAw9Y8Rw-uXG3c/edit#gid=0"",""'Game 7'!$B$2:$Q$31""),30,False),1)"),23.0)</f>
        <v>23</v>
      </c>
      <c r="P127" s="7">
        <f>IFERROR(__xludf.DUMMYFUNCTION("IFERROR(HLOOKUP($A127,IMPORTRANGE(""https://docs.google.com/spreadsheets/d/1iyMhSYWifw-KGFtyeBpNxVZr4BhcV9hVZuShgJ9Ia0E/edit#gid=0"",""'Game 9'!$B$2:$Q$31""),30,False),1)"),23.0)</f>
        <v>23</v>
      </c>
      <c r="Q127" s="7">
        <f>IFERROR(__xludf.DUMMYFUNCTION("IFERROR(HLOOKUP($A127,IMPORTRANGE(""https://docs.google.com/spreadsheets/d/1sSbIK-vvHsSY0LghLJ9gcnW8Hec_ITI2tFmpeqI999A/edit#gid=0"",""'Game 8'!$B$2:$Q$31""),30,False),1)"),23.0)</f>
        <v>23</v>
      </c>
      <c r="R127" s="11">
        <f t="shared" si="2"/>
        <v>310</v>
      </c>
    </row>
    <row r="128">
      <c r="A128" s="18" t="s">
        <v>302</v>
      </c>
      <c r="B128" s="18" t="s">
        <v>303</v>
      </c>
      <c r="C128" s="18">
        <v>0.0</v>
      </c>
      <c r="D128" s="18">
        <v>12.0</v>
      </c>
      <c r="E128" s="18">
        <v>11.0</v>
      </c>
      <c r="F128" s="18">
        <v>11.0</v>
      </c>
      <c r="G128" s="3">
        <v>23.0</v>
      </c>
      <c r="H128" s="5">
        <f>IFERROR(__xludf.DUMMYFUNCTION("HLOOKUP($A128,IMPORTRANGE(""https://docs.google.com/spreadsheets/d/16J5ie7OD1E99qGO9lMDm8w5Yls-v190B7DTolJ5TmFc/edit#gid=0"",""'Game 2'!$B$2:$Q$31""),30,False)"),12.0)</f>
        <v>12</v>
      </c>
      <c r="I128" s="3">
        <v>0.0</v>
      </c>
      <c r="J128" s="5">
        <f>IFERROR(__xludf.DUMMYFUNCTION("IFERROR(HLOOKUP($A128,IMPORTRANGE(""https://docs.google.com/spreadsheets/d/1CTYfdyRk_RFGM3I2iN9bKeD9zUPzEm1ajzml6VgwfIU/edit#gid=0"",""'Game 6'!$B$2:$Q$31""),30,False),0)"),0.0)</f>
        <v>0</v>
      </c>
      <c r="K128" s="5">
        <f>IFERROR(__xludf.DUMMYFUNCTION("IFERROR(HLOOKUP($A128,IMPORTRANGE(""https://docs.google.com/spreadsheets/d/11NFkzOdQyW-OtxSDuGslNCgNjx7HUb2FU7KnlNnPMgY/edit#gid=0"",""'Game 6'!$B$2:$Q$31""),30,False),0)"),0.0)</f>
        <v>0</v>
      </c>
      <c r="L128" s="5">
        <f>IFERROR(__xludf.DUMMYFUNCTION("IFERROR(HLOOKUP($A128,IMPORTRANGE(""https://docs.google.com/spreadsheets/d/1CLg5-jaE4ta0-u4oE1qbBplQ5Mf3Oj9ONFgL0zJ7Ol4/edit#gid=0"",""'Game 6'!$B$2:$Q$31""),30,False),1)"),12.0)</f>
        <v>12</v>
      </c>
      <c r="M128" s="5">
        <f>IFERROR(__xludf.DUMMYFUNCTION("IFERROR(HLOOKUP($A128,IMPORTRANGE(""https://docs.google.com/spreadsheets/d/1CeexgK4KxWj3k_7nql_k8-RPxXMwTJyB4Q3vAASeDlA/edit#gid=0"",""'Game 6'!$B$2:$Q$31""),30,False),1)"),0.0)</f>
        <v>0</v>
      </c>
      <c r="N128" s="5">
        <f>IFERROR(__xludf.DUMMYFUNCTION("IFERROR(HLOOKUP($A128,IMPORTRANGE(""https://docs.google.com/spreadsheets/d/1MNwUNMjcwK6bEgCXwB73jpbK5gJAXS8ZMpbEMLJEP3E/edit#gid=0"",""'Game 6'!$B$2:$Q$31""),30,False),1)"),0.0)</f>
        <v>0</v>
      </c>
      <c r="O128" s="5">
        <f>IFERROR(__xludf.DUMMYFUNCTION("IFERROR(HLOOKUP($A128,IMPORTRANGE(""https://docs.google.com/spreadsheets/d/1UrzyxmT40kDZwVrLMf1yyXfP-pyczRAw9Y8Rw-uXG3c/edit#gid=0"",""'Game 6'!$B$2:$Q$31""),30,False),1)"),0.0)</f>
        <v>0</v>
      </c>
      <c r="P128" s="5">
        <f>IFERROR(__xludf.DUMMYFUNCTION("IFERROR(HLOOKUP($A128,IMPORTRANGE(""https://docs.google.com/spreadsheets/d/1iyMhSYWifw-KGFtyeBpNxVZr4BhcV9hVZuShgJ9Ia0E/edit#gid=0"",""'Game 6'!$B$2:$Q$31""),30,False),1)"),0.0)</f>
        <v>0</v>
      </c>
      <c r="Q128" s="5">
        <f>IFERROR(__xludf.DUMMYFUNCTION("IFERROR(HLOOKUP($A128,IMPORTRANGE(""https://docs.google.com/spreadsheets/d/1sSbIK-vvHsSY0LghLJ9gcnW8Hec_ITI2tFmpeqI999A/edit#gid=0"",""'Game 3'!$B$2:$Q$31""),30,False),1)"),23.0)</f>
        <v>23</v>
      </c>
      <c r="R128" s="6">
        <f t="shared" si="2"/>
        <v>104</v>
      </c>
    </row>
    <row r="129">
      <c r="A129" s="21" t="s">
        <v>305</v>
      </c>
      <c r="B129" s="11" t="s">
        <v>303</v>
      </c>
      <c r="C129" s="21">
        <v>11.0</v>
      </c>
      <c r="D129" s="21">
        <v>11.0</v>
      </c>
      <c r="E129" s="21">
        <v>11.0</v>
      </c>
      <c r="F129" s="21">
        <v>12.0</v>
      </c>
      <c r="G129" s="1">
        <v>0.0</v>
      </c>
      <c r="H129" s="7">
        <f>IFERROR(__xludf.DUMMYFUNCTION("HLOOKUP($A129,IMPORTRANGE(""https://docs.google.com/spreadsheets/d/16J5ie7OD1E99qGO9lMDm8w5Yls-v190B7DTolJ5TmFc/edit#gid=0"",""'Game 2'!$B$2:$Q$31""),30,False)"),0.0)</f>
        <v>0</v>
      </c>
      <c r="I129" s="1">
        <v>0.0</v>
      </c>
      <c r="J129" s="7">
        <f>IFERROR(__xludf.DUMMYFUNCTION("IFERROR(HLOOKUP($A129,IMPORTRANGE(""https://docs.google.com/spreadsheets/d/1CTYfdyRk_RFGM3I2iN9bKeD9zUPzEm1ajzml6VgwfIU/edit#gid=0"",""'Game 6'!$B$2:$Q$31""),30,False),0)"),23.0)</f>
        <v>23</v>
      </c>
      <c r="K129" s="7">
        <f>IFERROR(__xludf.DUMMYFUNCTION("IFERROR(HLOOKUP($A129,IMPORTRANGE(""https://docs.google.com/spreadsheets/d/11NFkzOdQyW-OtxSDuGslNCgNjx7HUb2FU7KnlNnPMgY/edit#gid=0"",""'Game 6'!$B$2:$Q$31""),30,False),0)"),23.0)</f>
        <v>23</v>
      </c>
      <c r="L129" s="7">
        <f>IFERROR(__xludf.DUMMYFUNCTION("IFERROR(HLOOKUP($A129,IMPORTRANGE(""https://docs.google.com/spreadsheets/d/1CLg5-jaE4ta0-u4oE1qbBplQ5Mf3Oj9ONFgL0zJ7Ol4/edit#gid=0"",""'Game 6'!$B$2:$Q$31""),30,False),1)"),0.0)</f>
        <v>0</v>
      </c>
      <c r="M129" s="7">
        <f>IFERROR(__xludf.DUMMYFUNCTION("IFERROR(HLOOKUP($A129,IMPORTRANGE(""https://docs.google.com/spreadsheets/d/1CeexgK4KxWj3k_7nql_k8-RPxXMwTJyB4Q3vAASeDlA/edit#gid=0"",""'Game 6'!$B$2:$Q$31""),30,False),1)"),23.0)</f>
        <v>23</v>
      </c>
      <c r="N129" s="7">
        <f>IFERROR(__xludf.DUMMYFUNCTION("IFERROR(HLOOKUP($A129,IMPORTRANGE(""https://docs.google.com/spreadsheets/d/1MNwUNMjcwK6bEgCXwB73jpbK5gJAXS8ZMpbEMLJEP3E/edit#gid=0"",""'Game 6'!$B$2:$Q$31""),30,False),1)"),0.0)</f>
        <v>0</v>
      </c>
      <c r="O129" s="7">
        <f>IFERROR(__xludf.DUMMYFUNCTION("IFERROR(HLOOKUP($A129,IMPORTRANGE(""https://docs.google.com/spreadsheets/d/1UrzyxmT40kDZwVrLMf1yyXfP-pyczRAw9Y8Rw-uXG3c/edit#gid=0"",""'Game 6'!$B$2:$Q$31""),30,False),1)"),12.0)</f>
        <v>12</v>
      </c>
      <c r="P129" s="7">
        <f>IFERROR(__xludf.DUMMYFUNCTION("IFERROR(HLOOKUP($A129,IMPORTRANGE(""https://docs.google.com/spreadsheets/d/1iyMhSYWifw-KGFtyeBpNxVZr4BhcV9hVZuShgJ9Ia0E/edit#gid=0"",""'Game 6'!$B$2:$Q$31""),30,False),1)"),0.0)</f>
        <v>0</v>
      </c>
      <c r="Q129" s="7">
        <f>IFERROR(__xludf.DUMMYFUNCTION("IFERROR(HLOOKUP($A129,IMPORTRANGE(""https://docs.google.com/spreadsheets/d/1sSbIK-vvHsSY0LghLJ9gcnW8Hec_ITI2tFmpeqI999A/edit#gid=0"",""'Game 3'!$B$2:$Q$31""),30,False),1)"),0.0)</f>
        <v>0</v>
      </c>
      <c r="R129" s="11">
        <f t="shared" si="2"/>
        <v>126</v>
      </c>
    </row>
    <row r="130">
      <c r="A130" s="18" t="s">
        <v>307</v>
      </c>
      <c r="B130" s="6" t="s">
        <v>303</v>
      </c>
      <c r="C130" s="18">
        <v>23.0</v>
      </c>
      <c r="D130" s="18">
        <v>23.0</v>
      </c>
      <c r="E130" s="18">
        <v>0.0</v>
      </c>
      <c r="F130" s="18">
        <v>23.0</v>
      </c>
      <c r="G130" s="3">
        <v>23.0</v>
      </c>
      <c r="H130" s="5">
        <f>IFERROR(__xludf.DUMMYFUNCTION("HLOOKUP($A130,IMPORTRANGE(""https://docs.google.com/spreadsheets/d/16J5ie7OD1E99qGO9lMDm8w5Yls-v190B7DTolJ5TmFc/edit#gid=0"",""'Game 2'!$B$2:$Q$31""),30,False)"),12.0)</f>
        <v>12</v>
      </c>
      <c r="I130" s="3">
        <v>23.0</v>
      </c>
      <c r="J130" s="5">
        <f>IFERROR(__xludf.DUMMYFUNCTION("IFERROR(HLOOKUP($A130,IMPORTRANGE(""https://docs.google.com/spreadsheets/d/1CTYfdyRk_RFGM3I2iN9bKeD9zUPzEm1ajzml6VgwfIU/edit#gid=0"",""'Game 6'!$B$2:$Q$31""),30,False),0)"),23.0)</f>
        <v>23</v>
      </c>
      <c r="K130" s="5">
        <f>IFERROR(__xludf.DUMMYFUNCTION("IFERROR(HLOOKUP($A130,IMPORTRANGE(""https://docs.google.com/spreadsheets/d/11NFkzOdQyW-OtxSDuGslNCgNjx7HUb2FU7KnlNnPMgY/edit#gid=0"",""'Game 6'!$B$2:$Q$31""),30,False),0)"),23.0)</f>
        <v>23</v>
      </c>
      <c r="L130" s="5">
        <f>IFERROR(__xludf.DUMMYFUNCTION("IFERROR(HLOOKUP($A130,IMPORTRANGE(""https://docs.google.com/spreadsheets/d/1CLg5-jaE4ta0-u4oE1qbBplQ5Mf3Oj9ONFgL0zJ7Ol4/edit#gid=0"",""'Game 6'!$B$2:$Q$31""),30,False),1)"),23.0)</f>
        <v>23</v>
      </c>
      <c r="M130" s="5">
        <f>IFERROR(__xludf.DUMMYFUNCTION("IFERROR(HLOOKUP($A130,IMPORTRANGE(""https://docs.google.com/spreadsheets/d/1CeexgK4KxWj3k_7nql_k8-RPxXMwTJyB4Q3vAASeDlA/edit#gid=0"",""'Game 6'!$B$2:$Q$31""),30,False),1)"),23.0)</f>
        <v>23</v>
      </c>
      <c r="N130" s="5">
        <f>IFERROR(__xludf.DUMMYFUNCTION("IFERROR(HLOOKUP($A130,IMPORTRANGE(""https://docs.google.com/spreadsheets/d/1MNwUNMjcwK6bEgCXwB73jpbK5gJAXS8ZMpbEMLJEP3E/edit#gid=0"",""'Game 6'!$B$2:$Q$31""),30,False),1)"),23.0)</f>
        <v>23</v>
      </c>
      <c r="O130" s="5">
        <f>IFERROR(__xludf.DUMMYFUNCTION("IFERROR(HLOOKUP($A130,IMPORTRANGE(""https://docs.google.com/spreadsheets/d/1UrzyxmT40kDZwVrLMf1yyXfP-pyczRAw9Y8Rw-uXG3c/edit#gid=0"",""'Game 6'!$B$2:$Q$31""),30,False),1)"),23.0)</f>
        <v>23</v>
      </c>
      <c r="P130" s="5">
        <f>IFERROR(__xludf.DUMMYFUNCTION("IFERROR(HLOOKUP($A130,IMPORTRANGE(""https://docs.google.com/spreadsheets/d/1iyMhSYWifw-KGFtyeBpNxVZr4BhcV9hVZuShgJ9Ia0E/edit#gid=0"",""'Game 6'!$B$2:$Q$31""),30,False),1)"),23.0)</f>
        <v>23</v>
      </c>
      <c r="Q130" s="5">
        <f>IFERROR(__xludf.DUMMYFUNCTION("IFERROR(HLOOKUP($A130,IMPORTRANGE(""https://docs.google.com/spreadsheets/d/1sSbIK-vvHsSY0LghLJ9gcnW8Hec_ITI2tFmpeqI999A/edit#gid=0"",""'Game 3'!$B$2:$Q$31""),30,False),1)"),23.0)</f>
        <v>23</v>
      </c>
      <c r="R130" s="6">
        <f t="shared" si="2"/>
        <v>311</v>
      </c>
    </row>
    <row r="131">
      <c r="A131" s="21" t="s">
        <v>310</v>
      </c>
      <c r="B131" s="11" t="s">
        <v>303</v>
      </c>
      <c r="C131" s="21">
        <v>23.0</v>
      </c>
      <c r="D131" s="21">
        <v>23.0</v>
      </c>
      <c r="E131" s="21">
        <v>23.0</v>
      </c>
      <c r="F131" s="21">
        <v>11.0</v>
      </c>
      <c r="G131" s="1">
        <v>23.0</v>
      </c>
      <c r="H131" s="7">
        <f>IFERROR(__xludf.DUMMYFUNCTION("HLOOKUP($A131,IMPORTRANGE(""https://docs.google.com/spreadsheets/d/16J5ie7OD1E99qGO9lMDm8w5Yls-v190B7DTolJ5TmFc/edit#gid=0"",""'Game 2'!$B$2:$Q$31""),30,False)"),23.0)</f>
        <v>23</v>
      </c>
      <c r="I131" s="1">
        <v>23.0</v>
      </c>
      <c r="J131" s="7">
        <f>IFERROR(__xludf.DUMMYFUNCTION("IFERROR(HLOOKUP($A131,IMPORTRANGE(""https://docs.google.com/spreadsheets/d/1CTYfdyRk_RFGM3I2iN9bKeD9zUPzEm1ajzml6VgwfIU/edit#gid=0"",""'Game 6'!$B$2:$Q$31""),30,False),0)"),12.0)</f>
        <v>12</v>
      </c>
      <c r="K131" s="7">
        <f>IFERROR(__xludf.DUMMYFUNCTION("IFERROR(HLOOKUP($A131,IMPORTRANGE(""https://docs.google.com/spreadsheets/d/11NFkzOdQyW-OtxSDuGslNCgNjx7HUb2FU7KnlNnPMgY/edit#gid=0"",""'Game 6'!$B$2:$Q$31""),30,False),0)"),23.0)</f>
        <v>23</v>
      </c>
      <c r="L131" s="7">
        <f>IFERROR(__xludf.DUMMYFUNCTION("IFERROR(HLOOKUP($A131,IMPORTRANGE(""https://docs.google.com/spreadsheets/d/1CLg5-jaE4ta0-u4oE1qbBplQ5Mf3Oj9ONFgL0zJ7Ol4/edit#gid=0"",""'Game 6'!$B$2:$Q$31""),30,False),1)"),23.0)</f>
        <v>23</v>
      </c>
      <c r="M131" s="7">
        <f>IFERROR(__xludf.DUMMYFUNCTION("IFERROR(HLOOKUP($A131,IMPORTRANGE(""https://docs.google.com/spreadsheets/d/1CeexgK4KxWj3k_7nql_k8-RPxXMwTJyB4Q3vAASeDlA/edit#gid=0"",""'Game 6'!$B$2:$Q$31""),30,False),1)"),23.0)</f>
        <v>23</v>
      </c>
      <c r="N131" s="7">
        <f>IFERROR(__xludf.DUMMYFUNCTION("IFERROR(HLOOKUP($A131,IMPORTRANGE(""https://docs.google.com/spreadsheets/d/1MNwUNMjcwK6bEgCXwB73jpbK5gJAXS8ZMpbEMLJEP3E/edit#gid=0"",""'Game 6'!$B$2:$Q$31""),30,False),1)"),23.0)</f>
        <v>23</v>
      </c>
      <c r="O131" s="7">
        <f>IFERROR(__xludf.DUMMYFUNCTION("IFERROR(HLOOKUP($A131,IMPORTRANGE(""https://docs.google.com/spreadsheets/d/1UrzyxmT40kDZwVrLMf1yyXfP-pyczRAw9Y8Rw-uXG3c/edit#gid=0"",""'Game 6'!$B$2:$Q$31""),30,False),1)"),23.0)</f>
        <v>23</v>
      </c>
      <c r="P131" s="7">
        <f>IFERROR(__xludf.DUMMYFUNCTION("IFERROR(HLOOKUP($A131,IMPORTRANGE(""https://docs.google.com/spreadsheets/d/1iyMhSYWifw-KGFtyeBpNxVZr4BhcV9hVZuShgJ9Ia0E/edit#gid=0"",""'Game 6'!$B$2:$Q$31""),30,False),1)"),23.0)</f>
        <v>23</v>
      </c>
      <c r="Q131" s="7">
        <f>IFERROR(__xludf.DUMMYFUNCTION("IFERROR(HLOOKUP($A131,IMPORTRANGE(""https://docs.google.com/spreadsheets/d/1sSbIK-vvHsSY0LghLJ9gcnW8Hec_ITI2tFmpeqI999A/edit#gid=0"",""'Game 3'!$B$2:$Q$31""),30,False),1)"),0.0)</f>
        <v>0</v>
      </c>
      <c r="R131" s="11">
        <f t="shared" si="2"/>
        <v>299</v>
      </c>
    </row>
    <row r="132">
      <c r="A132" s="18" t="s">
        <v>312</v>
      </c>
      <c r="B132" s="6" t="s">
        <v>303</v>
      </c>
      <c r="C132" s="18">
        <v>19.0</v>
      </c>
      <c r="D132" s="18">
        <v>23.0</v>
      </c>
      <c r="E132" s="18">
        <v>23.0</v>
      </c>
      <c r="F132" s="18">
        <v>23.0</v>
      </c>
      <c r="G132" s="3">
        <v>0.0</v>
      </c>
      <c r="H132" s="5">
        <f>IFERROR(__xludf.DUMMYFUNCTION("HLOOKUP($A132,IMPORTRANGE(""https://docs.google.com/spreadsheets/d/16J5ie7OD1E99qGO9lMDm8w5Yls-v190B7DTolJ5TmFc/edit#gid=0"",""'Game 2'!$B$2:$Q$31""),30,False)"),23.0)</f>
        <v>23</v>
      </c>
      <c r="I132" s="3">
        <v>23.0</v>
      </c>
      <c r="J132" s="5">
        <f>IFERROR(__xludf.DUMMYFUNCTION("IFERROR(HLOOKUP($A132,IMPORTRANGE(""https://docs.google.com/spreadsheets/d/1CTYfdyRk_RFGM3I2iN9bKeD9zUPzEm1ajzml6VgwfIU/edit#gid=0"",""'Game 6'!$B$2:$Q$31""),30,False),0)"),23.0)</f>
        <v>23</v>
      </c>
      <c r="K132" s="5">
        <f>IFERROR(__xludf.DUMMYFUNCTION("IFERROR(HLOOKUP($A132,IMPORTRANGE(""https://docs.google.com/spreadsheets/d/11NFkzOdQyW-OtxSDuGslNCgNjx7HUb2FU7KnlNnPMgY/edit#gid=0"",""'Game 6'!$B$2:$Q$31""),30,False),0)"),23.0)</f>
        <v>23</v>
      </c>
      <c r="L132" s="5">
        <f>IFERROR(__xludf.DUMMYFUNCTION("IFERROR(HLOOKUP($A132,IMPORTRANGE(""https://docs.google.com/spreadsheets/d/1CLg5-jaE4ta0-u4oE1qbBplQ5Mf3Oj9ONFgL0zJ7Ol4/edit#gid=0"",""'Game 6'!$B$2:$Q$31""),30,False),1)"),23.0)</f>
        <v>23</v>
      </c>
      <c r="M132" s="5">
        <f>IFERROR(__xludf.DUMMYFUNCTION("IFERROR(HLOOKUP($A132,IMPORTRANGE(""https://docs.google.com/spreadsheets/d/1CeexgK4KxWj3k_7nql_k8-RPxXMwTJyB4Q3vAASeDlA/edit#gid=0"",""'Game 6'!$B$2:$Q$31""),30,False),1)"),23.0)</f>
        <v>23</v>
      </c>
      <c r="N132" s="5">
        <f>IFERROR(__xludf.DUMMYFUNCTION("IFERROR(HLOOKUP($A132,IMPORTRANGE(""https://docs.google.com/spreadsheets/d/1MNwUNMjcwK6bEgCXwB73jpbK5gJAXS8ZMpbEMLJEP3E/edit#gid=0"",""'Game 6'!$B$2:$Q$31""),30,False),1)"),23.0)</f>
        <v>23</v>
      </c>
      <c r="O132" s="5">
        <f>IFERROR(__xludf.DUMMYFUNCTION("IFERROR(HLOOKUP($A132,IMPORTRANGE(""https://docs.google.com/spreadsheets/d/1UrzyxmT40kDZwVrLMf1yyXfP-pyczRAw9Y8Rw-uXG3c/edit#gid=0"",""'Game 6'!$B$2:$Q$31""),30,False),1)"),23.0)</f>
        <v>23</v>
      </c>
      <c r="P132" s="5">
        <f>IFERROR(__xludf.DUMMYFUNCTION("IFERROR(HLOOKUP($A132,IMPORTRANGE(""https://docs.google.com/spreadsheets/d/1iyMhSYWifw-KGFtyeBpNxVZr4BhcV9hVZuShgJ9Ia0E/edit#gid=0"",""'Game 6'!$B$2:$Q$31""),30,False),1)"),23.0)</f>
        <v>23</v>
      </c>
      <c r="Q132" s="5">
        <f>IFERROR(__xludf.DUMMYFUNCTION("IFERROR(HLOOKUP($A132,IMPORTRANGE(""https://docs.google.com/spreadsheets/d/1sSbIK-vvHsSY0LghLJ9gcnW8Hec_ITI2tFmpeqI999A/edit#gid=0"",""'Game 3'!$B$2:$Q$31""),30,False),1)"),0.0)</f>
        <v>0</v>
      </c>
      <c r="R132" s="6">
        <f t="shared" si="2"/>
        <v>295</v>
      </c>
    </row>
    <row r="133">
      <c r="A133" s="21" t="s">
        <v>313</v>
      </c>
      <c r="B133" s="11" t="s">
        <v>303</v>
      </c>
      <c r="C133" s="21">
        <v>12.0</v>
      </c>
      <c r="D133" s="21">
        <v>0.0</v>
      </c>
      <c r="E133" s="21">
        <v>12.0</v>
      </c>
      <c r="F133" s="21">
        <v>12.0</v>
      </c>
      <c r="G133" s="1">
        <v>0.0</v>
      </c>
      <c r="H133" s="7">
        <f>IFERROR(__xludf.DUMMYFUNCTION("HLOOKUP($A133,IMPORTRANGE(""https://docs.google.com/spreadsheets/d/16J5ie7OD1E99qGO9lMDm8w5Yls-v190B7DTolJ5TmFc/edit#gid=0"",""'Game 2'!$B$2:$Q$31""),30,False)"),11.0)</f>
        <v>11</v>
      </c>
      <c r="I133" s="1">
        <v>0.0</v>
      </c>
      <c r="J133" s="7">
        <f>IFERROR(__xludf.DUMMYFUNCTION("IFERROR(HLOOKUP($A133,IMPORTRANGE(""https://docs.google.com/spreadsheets/d/1CTYfdyRk_RFGM3I2iN9bKeD9zUPzEm1ajzml6VgwfIU/edit#gid=0"",""'Game 6'!$B$2:$Q$31""),30,False),0)"),11.0)</f>
        <v>11</v>
      </c>
      <c r="K133" s="7">
        <f>IFERROR(__xludf.DUMMYFUNCTION("IFERROR(HLOOKUP($A133,IMPORTRANGE(""https://docs.google.com/spreadsheets/d/11NFkzOdQyW-OtxSDuGslNCgNjx7HUb2FU7KnlNnPMgY/edit#gid=0"",""'Game 6'!$B$2:$Q$31""),30,False),0)"),0.0)</f>
        <v>0</v>
      </c>
      <c r="L133" s="7">
        <f>IFERROR(__xludf.DUMMYFUNCTION("IFERROR(HLOOKUP($A133,IMPORTRANGE(""https://docs.google.com/spreadsheets/d/1CLg5-jaE4ta0-u4oE1qbBplQ5Mf3Oj9ONFgL0zJ7Ol4/edit#gid=0"",""'Game 6'!$B$2:$Q$31""),30,False),1)"),11.0)</f>
        <v>11</v>
      </c>
      <c r="M133" s="7">
        <f>IFERROR(__xludf.DUMMYFUNCTION("IFERROR(HLOOKUP($A133,IMPORTRANGE(""https://docs.google.com/spreadsheets/d/1CeexgK4KxWj3k_7nql_k8-RPxXMwTJyB4Q3vAASeDlA/edit#gid=0"",""'Game 6'!$B$2:$Q$31""),30,False),1)"),0.0)</f>
        <v>0</v>
      </c>
      <c r="N133" s="7">
        <f>IFERROR(__xludf.DUMMYFUNCTION("IFERROR(HLOOKUP($A133,IMPORTRANGE(""https://docs.google.com/spreadsheets/d/1MNwUNMjcwK6bEgCXwB73jpbK5gJAXS8ZMpbEMLJEP3E/edit#gid=0"",""'Game 6'!$B$2:$Q$31""),30,False),1)"),0.0)</f>
        <v>0</v>
      </c>
      <c r="O133" s="7">
        <f>IFERROR(__xludf.DUMMYFUNCTION("IFERROR(HLOOKUP($A133,IMPORTRANGE(""https://docs.google.com/spreadsheets/d/1UrzyxmT40kDZwVrLMf1yyXfP-pyczRAw9Y8Rw-uXG3c/edit#gid=0"",""'Game 6'!$B$2:$Q$31""),30,False),1)"),11.0)</f>
        <v>11</v>
      </c>
      <c r="P133" s="7">
        <f>IFERROR(__xludf.DUMMYFUNCTION("IFERROR(HLOOKUP($A133,IMPORTRANGE(""https://docs.google.com/spreadsheets/d/1iyMhSYWifw-KGFtyeBpNxVZr4BhcV9hVZuShgJ9Ia0E/edit#gid=0"",""'Game 6'!$B$2:$Q$31""),30,False),1)"),11.0)</f>
        <v>11</v>
      </c>
      <c r="Q133" s="7">
        <f>IFERROR(__xludf.DUMMYFUNCTION("IFERROR(HLOOKUP($A133,IMPORTRANGE(""https://docs.google.com/spreadsheets/d/1sSbIK-vvHsSY0LghLJ9gcnW8Hec_ITI2tFmpeqI999A/edit#gid=0"",""'Game 3'!$B$2:$Q$31""),30,False),1)"),23.0)</f>
        <v>23</v>
      </c>
      <c r="R133" s="11">
        <f t="shared" si="2"/>
        <v>114</v>
      </c>
    </row>
    <row r="134">
      <c r="A134" s="18" t="s">
        <v>315</v>
      </c>
      <c r="B134" s="18" t="s">
        <v>303</v>
      </c>
      <c r="C134" s="18">
        <v>4.0</v>
      </c>
      <c r="D134" s="18">
        <v>0.0</v>
      </c>
      <c r="E134" s="18">
        <v>12.0</v>
      </c>
      <c r="F134" s="18">
        <v>0.0</v>
      </c>
      <c r="G134" s="3">
        <v>23.0</v>
      </c>
      <c r="H134" s="5">
        <f>IFERROR(__xludf.DUMMYFUNCTION("HLOOKUP($A134,IMPORTRANGE(""https://docs.google.com/spreadsheets/d/16J5ie7OD1E99qGO9lMDm8w5Yls-v190B7DTolJ5TmFc/edit#gid=0"",""'Game 2'!$B$2:$Q$31""),30,False)"),11.0)</f>
        <v>11</v>
      </c>
      <c r="I134" s="3">
        <v>23.0</v>
      </c>
      <c r="J134" s="5">
        <f>IFERROR(__xludf.DUMMYFUNCTION("IFERROR(HLOOKUP($A134,IMPORTRANGE(""https://docs.google.com/spreadsheets/d/1CTYfdyRk_RFGM3I2iN9bKeD9zUPzEm1ajzml6VgwfIU/edit#gid=0"",""'Game 6'!$B$2:$Q$31""),30,False),0)"),0.0)</f>
        <v>0</v>
      </c>
      <c r="K134" s="5">
        <f>IFERROR(__xludf.DUMMYFUNCTION("IFERROR(HLOOKUP($A134,IMPORTRANGE(""https://docs.google.com/spreadsheets/d/11NFkzOdQyW-OtxSDuGslNCgNjx7HUb2FU7KnlNnPMgY/edit#gid=0"",""'Game 6'!$B$2:$Q$31""),30,False),0)"),0.0)</f>
        <v>0</v>
      </c>
      <c r="L134" s="5">
        <f>IFERROR(__xludf.DUMMYFUNCTION("IFERROR(HLOOKUP($A134,IMPORTRANGE(""https://docs.google.com/spreadsheets/d/1CLg5-jaE4ta0-u4oE1qbBplQ5Mf3Oj9ONFgL0zJ7Ol4/edit#gid=0"",""'Game 6'!$B$2:$Q$31""),30,False),1)"),0.0)</f>
        <v>0</v>
      </c>
      <c r="M134" s="5">
        <f>IFERROR(__xludf.DUMMYFUNCTION("IFERROR(HLOOKUP($A134,IMPORTRANGE(""https://docs.google.com/spreadsheets/d/1CeexgK4KxWj3k_7nql_k8-RPxXMwTJyB4Q3vAASeDlA/edit#gid=0"",""'Game 6'!$B$2:$Q$31""),30,False),1)"),0.0)</f>
        <v>0</v>
      </c>
      <c r="N134" s="5">
        <f>IFERROR(__xludf.DUMMYFUNCTION("IFERROR(HLOOKUP($A134,IMPORTRANGE(""https://docs.google.com/spreadsheets/d/1MNwUNMjcwK6bEgCXwB73jpbK5gJAXS8ZMpbEMLJEP3E/edit#gid=0"",""'Game 6'!$B$2:$Q$31""),30,False),1)"),0.0)</f>
        <v>0</v>
      </c>
      <c r="O134" s="5">
        <f>IFERROR(__xludf.DUMMYFUNCTION("IFERROR(HLOOKUP($A134,IMPORTRANGE(""https://docs.google.com/spreadsheets/d/1UrzyxmT40kDZwVrLMf1yyXfP-pyczRAw9Y8Rw-uXG3c/edit#gid=0"",""'Game 6'!$B$2:$Q$31""),30,False),1)"),0.0)</f>
        <v>0</v>
      </c>
      <c r="P134" s="5">
        <f>IFERROR(__xludf.DUMMYFUNCTION("IFERROR(HLOOKUP($A134,IMPORTRANGE(""https://docs.google.com/spreadsheets/d/1iyMhSYWifw-KGFtyeBpNxVZr4BhcV9hVZuShgJ9Ia0E/edit#gid=0"",""'Game 6'!$B$2:$Q$31""),30,False),1)"),12.0)</f>
        <v>12</v>
      </c>
      <c r="Q134" s="5">
        <f>IFERROR(__xludf.DUMMYFUNCTION("IFERROR(HLOOKUP($A134,IMPORTRANGE(""https://docs.google.com/spreadsheets/d/1sSbIK-vvHsSY0LghLJ9gcnW8Hec_ITI2tFmpeqI999A/edit#gid=0"",""'Game 3'!$B$2:$Q$31""),30,False),1)"),23.0)</f>
        <v>23</v>
      </c>
      <c r="R134" s="6">
        <f t="shared" si="2"/>
        <v>108</v>
      </c>
    </row>
    <row r="135">
      <c r="A135" s="21" t="s">
        <v>317</v>
      </c>
      <c r="B135" s="11" t="s">
        <v>318</v>
      </c>
      <c r="C135" s="21">
        <v>0.0</v>
      </c>
      <c r="D135" s="21">
        <v>0.0</v>
      </c>
      <c r="E135" s="21">
        <v>12.0</v>
      </c>
      <c r="F135" s="21">
        <v>12.0</v>
      </c>
      <c r="G135" s="1">
        <v>0.0</v>
      </c>
      <c r="H135" s="7">
        <f>IFERROR(__xludf.DUMMYFUNCTION("HLOOKUP($A135,IMPORTRANGE(""https://docs.google.com/spreadsheets/d/16J5ie7OD1E99qGO9lMDm8w5Yls-v190B7DTolJ5TmFc/edit#gid=0"",""'Game 11'!$B$2:$Q$31""),30,False)"),0.0)</f>
        <v>0</v>
      </c>
      <c r="I135" s="1">
        <v>0.0</v>
      </c>
      <c r="J135" s="7">
        <f>IFERROR(__xludf.DUMMYFUNCTION("IFERROR(HLOOKUP($A135,IMPORTRANGE(""https://docs.google.com/spreadsheets/d/1CTYfdyRk_RFGM3I2iN9bKeD9zUPzEm1ajzml6VgwfIU/edit#gid=0"",""'Game 3'!$B$2:$Q$31""),30,False),0)"),0.0)</f>
        <v>0</v>
      </c>
      <c r="K135" s="7">
        <f>IFERROR(__xludf.DUMMYFUNCTION("IFERROR(HLOOKUP($A135,IMPORTRANGE(""https://docs.google.com/spreadsheets/d/11NFkzOdQyW-OtxSDuGslNCgNjx7HUb2FU7KnlNnPMgY/edit#gid=0"",""'Game 13'!$B$2:$Q$31""),30,False),0)"),0.0)</f>
        <v>0</v>
      </c>
      <c r="L135" s="7">
        <f>IFERROR(__xludf.DUMMYFUNCTION("IFERROR(HLOOKUP($A135,IMPORTRANGE(""https://docs.google.com/spreadsheets/d/1CLg5-jaE4ta0-u4oE1qbBplQ5Mf3Oj9ONFgL0zJ7Ol4/edit#gid=0"",""'Game 9'!$B$2:$Q$31""),30,False),1)"),0.0)</f>
        <v>0</v>
      </c>
      <c r="M135" s="7">
        <f>IFERROR(__xludf.DUMMYFUNCTION("IFERROR(HLOOKUP($A135,IMPORTRANGE(""https://docs.google.com/spreadsheets/d/1CeexgK4KxWj3k_7nql_k8-RPxXMwTJyB4Q3vAASeDlA/edit#gid=0"",""'Game 8'!$B$2:$Q$31""),30,False),1)"),0.0)</f>
        <v>0</v>
      </c>
      <c r="N135" s="7">
        <f>IFERROR(__xludf.DUMMYFUNCTION("IFERROR(HLOOKUP($A135,IMPORTRANGE(""https://docs.google.com/spreadsheets/d/1MNwUNMjcwK6bEgCXwB73jpbK5gJAXS8ZMpbEMLJEP3E/edit#gid=0"",""'Game 13'!$B$2:$Q$31""),30,False),1)"),0.0)</f>
        <v>0</v>
      </c>
      <c r="O135" s="7">
        <f>IFERROR(__xludf.DUMMYFUNCTION("IFERROR(HLOOKUP($A135,IMPORTRANGE(""https://docs.google.com/spreadsheets/d/1UrzyxmT40kDZwVrLMf1yyXfP-pyczRAw9Y8Rw-uXG3c/edit#gid=0"",""'Game 9'!$B$2:$Q$31""),30,False),1)"),0.0)</f>
        <v>0</v>
      </c>
      <c r="P135" s="7">
        <f>IFERROR(__xludf.DUMMYFUNCTION("IFERROR(HLOOKUP($A135,IMPORTRANGE(""https://docs.google.com/spreadsheets/d/1iyMhSYWifw-KGFtyeBpNxVZr4BhcV9hVZuShgJ9Ia0E/edit#gid=0"",""'Game 12'!$B$2:$Q$31""),30,False),1)"),0.0)</f>
        <v>0</v>
      </c>
      <c r="Q135" s="7">
        <f>IFERROR(__xludf.DUMMYFUNCTION("IFERROR(HLOOKUP($A135,IMPORTRANGE(""https://docs.google.com/spreadsheets/d/1sSbIK-vvHsSY0LghLJ9gcnW8Hec_ITI2tFmpeqI999A/edit#gid=0"",""'Game 13'!$B$2:$Q$31""),30,False),1)"),0.0)</f>
        <v>0</v>
      </c>
      <c r="R135" s="11">
        <f t="shared" si="2"/>
        <v>24</v>
      </c>
    </row>
    <row r="136">
      <c r="A136" s="18" t="s">
        <v>320</v>
      </c>
      <c r="B136" s="6" t="s">
        <v>318</v>
      </c>
      <c r="C136" s="18">
        <v>11.0</v>
      </c>
      <c r="D136" s="18">
        <v>23.0</v>
      </c>
      <c r="E136" s="18">
        <v>11.0</v>
      </c>
      <c r="F136" s="18">
        <v>12.0</v>
      </c>
      <c r="G136" s="3">
        <v>12.0</v>
      </c>
      <c r="H136" s="5">
        <f>IFERROR(__xludf.DUMMYFUNCTION("HLOOKUP($A136,IMPORTRANGE(""https://docs.google.com/spreadsheets/d/16J5ie7OD1E99qGO9lMDm8w5Yls-v190B7DTolJ5TmFc/edit#gid=0"",""'Game 11'!$B$2:$Q$31""),30,False)"),11.0)</f>
        <v>11</v>
      </c>
      <c r="I136" s="3">
        <v>11.0</v>
      </c>
      <c r="J136" s="5">
        <f>IFERROR(__xludf.DUMMYFUNCTION("IFERROR(HLOOKUP($A136,IMPORTRANGE(""https://docs.google.com/spreadsheets/d/1CTYfdyRk_RFGM3I2iN9bKeD9zUPzEm1ajzml6VgwfIU/edit#gid=0"",""'Game 3'!$B$2:$Q$31""),30,False),0)"),23.0)</f>
        <v>23</v>
      </c>
      <c r="K136" s="5">
        <f>IFERROR(__xludf.DUMMYFUNCTION("IFERROR(HLOOKUP($A136,IMPORTRANGE(""https://docs.google.com/spreadsheets/d/11NFkzOdQyW-OtxSDuGslNCgNjx7HUb2FU7KnlNnPMgY/edit#gid=0"",""'Game 13'!$B$2:$Q$31""),30,False),0)"),12.0)</f>
        <v>12</v>
      </c>
      <c r="L136" s="5">
        <f>IFERROR(__xludf.DUMMYFUNCTION("IFERROR(HLOOKUP($A136,IMPORTRANGE(""https://docs.google.com/spreadsheets/d/1CLg5-jaE4ta0-u4oE1qbBplQ5Mf3Oj9ONFgL0zJ7Ol4/edit#gid=0"",""'Game 9'!$B$2:$Q$31""),30,False),1)"),23.0)</f>
        <v>23</v>
      </c>
      <c r="M136" s="5">
        <f>IFERROR(__xludf.DUMMYFUNCTION("IFERROR(HLOOKUP($A136,IMPORTRANGE(""https://docs.google.com/spreadsheets/d/1CeexgK4KxWj3k_7nql_k8-RPxXMwTJyB4Q3vAASeDlA/edit#gid=0"",""'Game 8'!$B$2:$Q$31""),30,False),1)"),12.0)</f>
        <v>12</v>
      </c>
      <c r="N136" s="5">
        <f>IFERROR(__xludf.DUMMYFUNCTION("IFERROR(HLOOKUP($A136,IMPORTRANGE(""https://docs.google.com/spreadsheets/d/1MNwUNMjcwK6bEgCXwB73jpbK5gJAXS8ZMpbEMLJEP3E/edit#gid=0"",""'Game 13'!$B$2:$Q$31""),30,False),1)"),0.0)</f>
        <v>0</v>
      </c>
      <c r="O136" s="5">
        <f>IFERROR(__xludf.DUMMYFUNCTION("IFERROR(HLOOKUP($A136,IMPORTRANGE(""https://docs.google.com/spreadsheets/d/1UrzyxmT40kDZwVrLMf1yyXfP-pyczRAw9Y8Rw-uXG3c/edit#gid=0"",""'Game 9'!$B$2:$Q$31""),30,False),1)"),23.0)</f>
        <v>23</v>
      </c>
      <c r="P136" s="5">
        <f>IFERROR(__xludf.DUMMYFUNCTION("IFERROR(HLOOKUP($A136,IMPORTRANGE(""https://docs.google.com/spreadsheets/d/1iyMhSYWifw-KGFtyeBpNxVZr4BhcV9hVZuShgJ9Ia0E/edit#gid=0"",""'Game 12'!$B$2:$Q$31""),30,False),1)"),23.0)</f>
        <v>23</v>
      </c>
      <c r="Q136" s="5">
        <f>IFERROR(__xludf.DUMMYFUNCTION("IFERROR(HLOOKUP($A136,IMPORTRANGE(""https://docs.google.com/spreadsheets/d/1sSbIK-vvHsSY0LghLJ9gcnW8Hec_ITI2tFmpeqI999A/edit#gid=0"",""'Game 13'!$B$2:$Q$31""),30,False),1)"),12.0)</f>
        <v>12</v>
      </c>
      <c r="R136" s="6">
        <f t="shared" si="2"/>
        <v>219</v>
      </c>
    </row>
    <row r="137">
      <c r="A137" s="21" t="s">
        <v>322</v>
      </c>
      <c r="B137" s="11" t="s">
        <v>318</v>
      </c>
      <c r="C137" s="21">
        <v>23.0</v>
      </c>
      <c r="D137" s="21">
        <v>12.0</v>
      </c>
      <c r="E137" s="21">
        <v>12.0</v>
      </c>
      <c r="F137" s="21">
        <v>11.0</v>
      </c>
      <c r="G137" s="1">
        <v>23.0</v>
      </c>
      <c r="H137" s="7">
        <f>IFERROR(__xludf.DUMMYFUNCTION("HLOOKUP($A137,IMPORTRANGE(""https://docs.google.com/spreadsheets/d/16J5ie7OD1E99qGO9lMDm8w5Yls-v190B7DTolJ5TmFc/edit#gid=0"",""'Game 11'!$B$2:$Q$31""),30,False)"),23.0)</f>
        <v>23</v>
      </c>
      <c r="I137" s="1">
        <v>23.0</v>
      </c>
      <c r="J137" s="7">
        <f>IFERROR(__xludf.DUMMYFUNCTION("IFERROR(HLOOKUP($A137,IMPORTRANGE(""https://docs.google.com/spreadsheets/d/1CTYfdyRk_RFGM3I2iN9bKeD9zUPzEm1ajzml6VgwfIU/edit#gid=0"",""'Game 3'!$B$2:$Q$31""),30,False),0)"),11.0)</f>
        <v>11</v>
      </c>
      <c r="K137" s="7">
        <f>IFERROR(__xludf.DUMMYFUNCTION("IFERROR(HLOOKUP($A137,IMPORTRANGE(""https://docs.google.com/spreadsheets/d/11NFkzOdQyW-OtxSDuGslNCgNjx7HUb2FU7KnlNnPMgY/edit#gid=0"",""'Game 13'!$B$2:$Q$31""),30,False),0)"),0.0)</f>
        <v>0</v>
      </c>
      <c r="L137" s="7">
        <f>IFERROR(__xludf.DUMMYFUNCTION("IFERROR(HLOOKUP($A137,IMPORTRANGE(""https://docs.google.com/spreadsheets/d/1CLg5-jaE4ta0-u4oE1qbBplQ5Mf3Oj9ONFgL0zJ7Ol4/edit#gid=0"",""'Game 9'!$B$2:$Q$31""),30,False),1)"),23.0)</f>
        <v>23</v>
      </c>
      <c r="M137" s="7">
        <f>IFERROR(__xludf.DUMMYFUNCTION("IFERROR(HLOOKUP($A137,IMPORTRANGE(""https://docs.google.com/spreadsheets/d/1CeexgK4KxWj3k_7nql_k8-RPxXMwTJyB4Q3vAASeDlA/edit#gid=0"",""'Game 8'!$B$2:$Q$31""),30,False),1)"),11.0)</f>
        <v>11</v>
      </c>
      <c r="N137" s="7">
        <f>IFERROR(__xludf.DUMMYFUNCTION("IFERROR(HLOOKUP($A137,IMPORTRANGE(""https://docs.google.com/spreadsheets/d/1MNwUNMjcwK6bEgCXwB73jpbK5gJAXS8ZMpbEMLJEP3E/edit#gid=0"",""'Game 13'!$B$2:$Q$31""),30,False),1)"),12.0)</f>
        <v>12</v>
      </c>
      <c r="O137" s="7">
        <f>IFERROR(__xludf.DUMMYFUNCTION("IFERROR(HLOOKUP($A137,IMPORTRANGE(""https://docs.google.com/spreadsheets/d/1UrzyxmT40kDZwVrLMf1yyXfP-pyczRAw9Y8Rw-uXG3c/edit#gid=0"",""'Game 9'!$B$2:$Q$31""),30,False),1)"),0.0)</f>
        <v>0</v>
      </c>
      <c r="P137" s="7">
        <f>IFERROR(__xludf.DUMMYFUNCTION("IFERROR(HLOOKUP($A137,IMPORTRANGE(""https://docs.google.com/spreadsheets/d/1iyMhSYWifw-KGFtyeBpNxVZr4BhcV9hVZuShgJ9Ia0E/edit#gid=0"",""'Game 12'!$B$2:$Q$31""),30,False),1)"),0.0)</f>
        <v>0</v>
      </c>
      <c r="Q137" s="7">
        <f>IFERROR(__xludf.DUMMYFUNCTION("IFERROR(HLOOKUP($A137,IMPORTRANGE(""https://docs.google.com/spreadsheets/d/1sSbIK-vvHsSY0LghLJ9gcnW8Hec_ITI2tFmpeqI999A/edit#gid=0"",""'Game 13'!$B$2:$Q$31""),30,False),1)"),23.0)</f>
        <v>23</v>
      </c>
      <c r="R137" s="11">
        <f t="shared" si="2"/>
        <v>207</v>
      </c>
    </row>
    <row r="138">
      <c r="A138" s="18" t="s">
        <v>323</v>
      </c>
      <c r="B138" s="6" t="s">
        <v>318</v>
      </c>
      <c r="C138" s="18">
        <v>23.0</v>
      </c>
      <c r="D138" s="18">
        <v>23.0</v>
      </c>
      <c r="E138" s="18">
        <v>11.0</v>
      </c>
      <c r="F138" s="18">
        <v>23.0</v>
      </c>
      <c r="G138" s="3">
        <v>23.0</v>
      </c>
      <c r="H138" s="5">
        <f>IFERROR(__xludf.DUMMYFUNCTION("HLOOKUP($A138,IMPORTRANGE(""https://docs.google.com/spreadsheets/d/16J5ie7OD1E99qGO9lMDm8w5Yls-v190B7DTolJ5TmFc/edit#gid=0"",""'Game 11'!$B$2:$Q$31""),30,False)"),23.0)</f>
        <v>23</v>
      </c>
      <c r="I138" s="3">
        <v>23.0</v>
      </c>
      <c r="J138" s="5">
        <f>IFERROR(__xludf.DUMMYFUNCTION("IFERROR(HLOOKUP($A138,IMPORTRANGE(""https://docs.google.com/spreadsheets/d/1CTYfdyRk_RFGM3I2iN9bKeD9zUPzEm1ajzml6VgwfIU/edit#gid=0"",""'Game 3'!$B$2:$Q$31""),30,False),0)"),23.0)</f>
        <v>23</v>
      </c>
      <c r="K138" s="5">
        <f>IFERROR(__xludf.DUMMYFUNCTION("IFERROR(HLOOKUP($A138,IMPORTRANGE(""https://docs.google.com/spreadsheets/d/11NFkzOdQyW-OtxSDuGslNCgNjx7HUb2FU7KnlNnPMgY/edit#gid=0"",""'Game 13'!$B$2:$Q$31""),30,False),0)"),23.0)</f>
        <v>23</v>
      </c>
      <c r="L138" s="5">
        <f>IFERROR(__xludf.DUMMYFUNCTION("IFERROR(HLOOKUP($A138,IMPORTRANGE(""https://docs.google.com/spreadsheets/d/1CLg5-jaE4ta0-u4oE1qbBplQ5Mf3Oj9ONFgL0zJ7Ol4/edit#gid=0"",""'Game 9'!$B$2:$Q$31""),30,False),1)"),11.0)</f>
        <v>11</v>
      </c>
      <c r="M138" s="5">
        <f>IFERROR(__xludf.DUMMYFUNCTION("IFERROR(HLOOKUP($A138,IMPORTRANGE(""https://docs.google.com/spreadsheets/d/1CeexgK4KxWj3k_7nql_k8-RPxXMwTJyB4Q3vAASeDlA/edit#gid=0"",""'Game 8'!$B$2:$Q$31""),30,False),1)"),11.0)</f>
        <v>11</v>
      </c>
      <c r="N138" s="5">
        <f>IFERROR(__xludf.DUMMYFUNCTION("IFERROR(HLOOKUP($A138,IMPORTRANGE(""https://docs.google.com/spreadsheets/d/1MNwUNMjcwK6bEgCXwB73jpbK5gJAXS8ZMpbEMLJEP3E/edit#gid=0"",""'Game 13'!$B$2:$Q$31""),30,False),1)"),23.0)</f>
        <v>23</v>
      </c>
      <c r="O138" s="5">
        <f>IFERROR(__xludf.DUMMYFUNCTION("IFERROR(HLOOKUP($A138,IMPORTRANGE(""https://docs.google.com/spreadsheets/d/1UrzyxmT40kDZwVrLMf1yyXfP-pyczRAw9Y8Rw-uXG3c/edit#gid=0"",""'Game 9'!$B$2:$Q$31""),30,False),1)"),11.0)</f>
        <v>11</v>
      </c>
      <c r="P138" s="5">
        <f>IFERROR(__xludf.DUMMYFUNCTION("IFERROR(HLOOKUP($A138,IMPORTRANGE(""https://docs.google.com/spreadsheets/d/1iyMhSYWifw-KGFtyeBpNxVZr4BhcV9hVZuShgJ9Ia0E/edit#gid=0"",""'Game 12'!$B$2:$Q$31""),30,False),1)"),23.0)</f>
        <v>23</v>
      </c>
      <c r="Q138" s="5">
        <f>IFERROR(__xludf.DUMMYFUNCTION("IFERROR(HLOOKUP($A138,IMPORTRANGE(""https://docs.google.com/spreadsheets/d/1sSbIK-vvHsSY0LghLJ9gcnW8Hec_ITI2tFmpeqI999A/edit#gid=0"",""'Game 13'!$B$2:$Q$31""),30,False),1)"),12.0)</f>
        <v>12</v>
      </c>
      <c r="R138" s="6">
        <f t="shared" si="2"/>
        <v>286</v>
      </c>
    </row>
    <row r="139">
      <c r="A139" s="21" t="s">
        <v>324</v>
      </c>
      <c r="B139" s="11" t="s">
        <v>318</v>
      </c>
      <c r="C139" s="21">
        <v>0.0</v>
      </c>
      <c r="D139" s="21">
        <v>12.0</v>
      </c>
      <c r="E139" s="21">
        <v>11.0</v>
      </c>
      <c r="F139" s="21">
        <v>11.0</v>
      </c>
      <c r="G139" s="1">
        <v>11.0</v>
      </c>
      <c r="H139" s="7">
        <f>IFERROR(__xludf.DUMMYFUNCTION("HLOOKUP($A139,IMPORTRANGE(""https://docs.google.com/spreadsheets/d/16J5ie7OD1E99qGO9lMDm8w5Yls-v190B7DTolJ5TmFc/edit#gid=0"",""'Game 11'!$B$2:$Q$31""),30,False)"),12.0)</f>
        <v>12</v>
      </c>
      <c r="I139" s="1">
        <v>12.0</v>
      </c>
      <c r="J139" s="7">
        <f>IFERROR(__xludf.DUMMYFUNCTION("IFERROR(HLOOKUP($A139,IMPORTRANGE(""https://docs.google.com/spreadsheets/d/1CTYfdyRk_RFGM3I2iN9bKeD9zUPzEm1ajzml6VgwfIU/edit#gid=0"",""'Game 3'!$B$2:$Q$31""),30,False),0)"),12.0)</f>
        <v>12</v>
      </c>
      <c r="K139" s="7">
        <f>IFERROR(__xludf.DUMMYFUNCTION("IFERROR(HLOOKUP($A139,IMPORTRANGE(""https://docs.google.com/spreadsheets/d/11NFkzOdQyW-OtxSDuGslNCgNjx7HUb2FU7KnlNnPMgY/edit#gid=0"",""'Game 13'!$B$2:$Q$31""),30,False),0)"),11.0)</f>
        <v>11</v>
      </c>
      <c r="L139" s="7">
        <f>IFERROR(__xludf.DUMMYFUNCTION("IFERROR(HLOOKUP($A139,IMPORTRANGE(""https://docs.google.com/spreadsheets/d/1CLg5-jaE4ta0-u4oE1qbBplQ5Mf3Oj9ONFgL0zJ7Ol4/edit#gid=0"",""'Game 9'!$B$2:$Q$31""),30,False),1)"),0.0)</f>
        <v>0</v>
      </c>
      <c r="M139" s="7">
        <f>IFERROR(__xludf.DUMMYFUNCTION("IFERROR(HLOOKUP($A139,IMPORTRANGE(""https://docs.google.com/spreadsheets/d/1CeexgK4KxWj3k_7nql_k8-RPxXMwTJyB4Q3vAASeDlA/edit#gid=0"",""'Game 8'!$B$2:$Q$31""),30,False),1)"),23.0)</f>
        <v>23</v>
      </c>
      <c r="N139" s="7">
        <f>IFERROR(__xludf.DUMMYFUNCTION("IFERROR(HLOOKUP($A139,IMPORTRANGE(""https://docs.google.com/spreadsheets/d/1MNwUNMjcwK6bEgCXwB73jpbK5gJAXS8ZMpbEMLJEP3E/edit#gid=0"",""'Game 13'!$B$2:$Q$31""),30,False),1)"),11.0)</f>
        <v>11</v>
      </c>
      <c r="O139" s="7">
        <f>IFERROR(__xludf.DUMMYFUNCTION("IFERROR(HLOOKUP($A139,IMPORTRANGE(""https://docs.google.com/spreadsheets/d/1UrzyxmT40kDZwVrLMf1yyXfP-pyczRAw9Y8Rw-uXG3c/edit#gid=0"",""'Game 9'!$B$2:$Q$31""),30,False),1)"),12.0)</f>
        <v>12</v>
      </c>
      <c r="P139" s="7">
        <f>IFERROR(__xludf.DUMMYFUNCTION("IFERROR(HLOOKUP($A139,IMPORTRANGE(""https://docs.google.com/spreadsheets/d/1iyMhSYWifw-KGFtyeBpNxVZr4BhcV9hVZuShgJ9Ia0E/edit#gid=0"",""'Game 12'!$B$2:$Q$31""),30,False),1)"),0.0)</f>
        <v>0</v>
      </c>
      <c r="Q139" s="7">
        <f>IFERROR(__xludf.DUMMYFUNCTION("IFERROR(HLOOKUP($A139,IMPORTRANGE(""https://docs.google.com/spreadsheets/d/1sSbIK-vvHsSY0LghLJ9gcnW8Hec_ITI2tFmpeqI999A/edit#gid=0"",""'Game 13'!$B$2:$Q$31""),30,False),1)"),23.0)</f>
        <v>23</v>
      </c>
      <c r="R139" s="11">
        <f t="shared" si="2"/>
        <v>161</v>
      </c>
    </row>
    <row r="140">
      <c r="A140" s="18" t="s">
        <v>325</v>
      </c>
      <c r="B140" s="6" t="s">
        <v>318</v>
      </c>
      <c r="C140" s="18">
        <v>12.0</v>
      </c>
      <c r="D140" s="18">
        <v>11.0</v>
      </c>
      <c r="E140" s="18">
        <v>23.0</v>
      </c>
      <c r="F140" s="18">
        <v>11.0</v>
      </c>
      <c r="G140" s="3">
        <v>12.0</v>
      </c>
      <c r="H140" s="5">
        <f>IFERROR(__xludf.DUMMYFUNCTION("HLOOKUP($A140,IMPORTRANGE(""https://docs.google.com/spreadsheets/d/16J5ie7OD1E99qGO9lMDm8w5Yls-v190B7DTolJ5TmFc/edit#gid=0"",""'Game 11'!$B$2:$Q$31""),30,False)"),12.0)</f>
        <v>12</v>
      </c>
      <c r="I140" s="3">
        <v>11.0</v>
      </c>
      <c r="J140" s="5">
        <f>IFERROR(__xludf.DUMMYFUNCTION("IFERROR(HLOOKUP($A140,IMPORTRANGE(""https://docs.google.com/spreadsheets/d/1CTYfdyRk_RFGM3I2iN9bKeD9zUPzEm1ajzml6VgwfIU/edit#gid=0"",""'Game 3'!$B$2:$Q$31""),30,False),0)"),0.0)</f>
        <v>0</v>
      </c>
      <c r="K140" s="5">
        <f>IFERROR(__xludf.DUMMYFUNCTION("IFERROR(HLOOKUP($A140,IMPORTRANGE(""https://docs.google.com/spreadsheets/d/11NFkzOdQyW-OtxSDuGslNCgNjx7HUb2FU7KnlNnPMgY/edit#gid=0"",""'Game 13'!$B$2:$Q$31""),30,False),0)"),23.0)</f>
        <v>23</v>
      </c>
      <c r="L140" s="5">
        <f>IFERROR(__xludf.DUMMYFUNCTION("IFERROR(HLOOKUP($A140,IMPORTRANGE(""https://docs.google.com/spreadsheets/d/1CLg5-jaE4ta0-u4oE1qbBplQ5Mf3Oj9ONFgL0zJ7Ol4/edit#gid=0"",""'Game 9'!$B$2:$Q$31""),30,False),1)"),23.0)</f>
        <v>23</v>
      </c>
      <c r="M140" s="5">
        <f>IFERROR(__xludf.DUMMYFUNCTION("IFERROR(HLOOKUP($A140,IMPORTRANGE(""https://docs.google.com/spreadsheets/d/1CeexgK4KxWj3k_7nql_k8-RPxXMwTJyB4Q3vAASeDlA/edit#gid=0"",""'Game 8'!$B$2:$Q$31""),30,False),1)"),12.0)</f>
        <v>12</v>
      </c>
      <c r="N140" s="5">
        <f>IFERROR(__xludf.DUMMYFUNCTION("IFERROR(HLOOKUP($A140,IMPORTRANGE(""https://docs.google.com/spreadsheets/d/1MNwUNMjcwK6bEgCXwB73jpbK5gJAXS8ZMpbEMLJEP3E/edit#gid=0"",""'Game 13'!$B$2:$Q$31""),30,False),1)"),23.0)</f>
        <v>23</v>
      </c>
      <c r="O140" s="5">
        <f>IFERROR(__xludf.DUMMYFUNCTION("IFERROR(HLOOKUP($A140,IMPORTRANGE(""https://docs.google.com/spreadsheets/d/1UrzyxmT40kDZwVrLMf1yyXfP-pyczRAw9Y8Rw-uXG3c/edit#gid=0"",""'Game 9'!$B$2:$Q$31""),30,False),1)"),23.0)</f>
        <v>23</v>
      </c>
      <c r="P140" s="5">
        <f>IFERROR(__xludf.DUMMYFUNCTION("IFERROR(HLOOKUP($A140,IMPORTRANGE(""https://docs.google.com/spreadsheets/d/1iyMhSYWifw-KGFtyeBpNxVZr4BhcV9hVZuShgJ9Ia0E/edit#gid=0"",""'Game 12'!$B$2:$Q$31""),30,False),1)"),23.0)</f>
        <v>23</v>
      </c>
      <c r="Q140" s="5">
        <f>IFERROR(__xludf.DUMMYFUNCTION("IFERROR(HLOOKUP($A140,IMPORTRANGE(""https://docs.google.com/spreadsheets/d/1sSbIK-vvHsSY0LghLJ9gcnW8Hec_ITI2tFmpeqI999A/edit#gid=0"",""'Game 13'!$B$2:$Q$31""),30,False),1)"),11.0)</f>
        <v>11</v>
      </c>
      <c r="R140" s="6">
        <f t="shared" si="2"/>
        <v>230</v>
      </c>
    </row>
    <row r="141">
      <c r="A141" s="21" t="s">
        <v>326</v>
      </c>
      <c r="B141" s="21" t="s">
        <v>318</v>
      </c>
      <c r="C141" s="21">
        <v>23.0</v>
      </c>
      <c r="D141" s="21">
        <v>11.0</v>
      </c>
      <c r="E141" s="21">
        <v>12.0</v>
      </c>
      <c r="F141" s="21">
        <v>12.0</v>
      </c>
      <c r="G141" s="1">
        <v>11.0</v>
      </c>
      <c r="H141" s="7">
        <f>IFERROR(__xludf.DUMMYFUNCTION("HLOOKUP($A141,IMPORTRANGE(""https://docs.google.com/spreadsheets/d/16J5ie7OD1E99qGO9lMDm8w5Yls-v190B7DTolJ5TmFc/edit#gid=0"",""'Game 11'!$B$2:$Q$31""),30,False)"),11.0)</f>
        <v>11</v>
      </c>
      <c r="I141" s="1">
        <v>12.0</v>
      </c>
      <c r="J141" s="7">
        <f>IFERROR(__xludf.DUMMYFUNCTION("IFERROR(HLOOKUP($A141,IMPORTRANGE(""https://docs.google.com/spreadsheets/d/1CTYfdyRk_RFGM3I2iN9bKeD9zUPzEm1ajzml6VgwfIU/edit#gid=0"",""'Game 3'!$B$2:$Q$31""),30,False),0)"),23.0)</f>
        <v>23</v>
      </c>
      <c r="K141" s="7">
        <f>IFERROR(__xludf.DUMMYFUNCTION("IFERROR(HLOOKUP($A141,IMPORTRANGE(""https://docs.google.com/spreadsheets/d/11NFkzOdQyW-OtxSDuGslNCgNjx7HUb2FU7KnlNnPMgY/edit#gid=0"",""'Game 13'!$B$2:$Q$31""),30,False),0)"),23.0)</f>
        <v>23</v>
      </c>
      <c r="L141" s="7">
        <f>IFERROR(__xludf.DUMMYFUNCTION("IFERROR(HLOOKUP($A141,IMPORTRANGE(""https://docs.google.com/spreadsheets/d/1CLg5-jaE4ta0-u4oE1qbBplQ5Mf3Oj9ONFgL0zJ7Ol4/edit#gid=0"",""'Game 9'!$B$2:$Q$31""),30,False),1)"),12.0)</f>
        <v>12</v>
      </c>
      <c r="M141" s="7">
        <f>IFERROR(__xludf.DUMMYFUNCTION("IFERROR(HLOOKUP($A141,IMPORTRANGE(""https://docs.google.com/spreadsheets/d/1CeexgK4KxWj3k_7nql_k8-RPxXMwTJyB4Q3vAASeDlA/edit#gid=0"",""'Game 8'!$B$2:$Q$31""),30,False),1)"),23.0)</f>
        <v>23</v>
      </c>
      <c r="N141" s="7">
        <f>IFERROR(__xludf.DUMMYFUNCTION("IFERROR(HLOOKUP($A141,IMPORTRANGE(""https://docs.google.com/spreadsheets/d/1MNwUNMjcwK6bEgCXwB73jpbK5gJAXS8ZMpbEMLJEP3E/edit#gid=0"",""'Game 13'!$B$2:$Q$31""),30,False),1)"),23.0)</f>
        <v>23</v>
      </c>
      <c r="O141" s="7">
        <f>IFERROR(__xludf.DUMMYFUNCTION("IFERROR(HLOOKUP($A141,IMPORTRANGE(""https://docs.google.com/spreadsheets/d/1UrzyxmT40kDZwVrLMf1yyXfP-pyczRAw9Y8Rw-uXG3c/edit#gid=0"",""'Game 9'!$B$2:$Q$31""),30,False),1)"),23.0)</f>
        <v>23</v>
      </c>
      <c r="P141" s="7">
        <f>IFERROR(__xludf.DUMMYFUNCTION("IFERROR(HLOOKUP($A141,IMPORTRANGE(""https://docs.google.com/spreadsheets/d/1iyMhSYWifw-KGFtyeBpNxVZr4BhcV9hVZuShgJ9Ia0E/edit#gid=0"",""'Game 12'!$B$2:$Q$31""),30,False),1)"),23.0)</f>
        <v>23</v>
      </c>
      <c r="Q141" s="7">
        <f>IFERROR(__xludf.DUMMYFUNCTION("IFERROR(HLOOKUP($A141,IMPORTRANGE(""https://docs.google.com/spreadsheets/d/1sSbIK-vvHsSY0LghLJ9gcnW8Hec_ITI2tFmpeqI999A/edit#gid=0"",""'Game 13'!$B$2:$Q$31""),30,False),1)"),11.0)</f>
        <v>11</v>
      </c>
      <c r="R141" s="11">
        <f t="shared" si="2"/>
        <v>253</v>
      </c>
    </row>
    <row r="142">
      <c r="A142" s="18" t="s">
        <v>327</v>
      </c>
      <c r="B142" s="18" t="s">
        <v>328</v>
      </c>
      <c r="C142" s="18">
        <v>23.0</v>
      </c>
      <c r="D142" s="18">
        <v>12.0</v>
      </c>
      <c r="E142" s="18">
        <v>23.0</v>
      </c>
      <c r="F142" s="18">
        <v>23.0</v>
      </c>
      <c r="G142" s="3">
        <v>23.0</v>
      </c>
      <c r="H142" s="5">
        <f>IFERROR(__xludf.DUMMYFUNCTION("HLOOKUP($A142,IMPORTRANGE(""https://docs.google.com/spreadsheets/d/16J5ie7OD1E99qGO9lMDm8w5Yls-v190B7DTolJ5TmFc/edit#gid=0"",""'Game 2'!$B$2:$Q$31""),30,False)"),11.0)</f>
        <v>11</v>
      </c>
      <c r="I142" s="3">
        <v>0.0</v>
      </c>
      <c r="J142" s="5">
        <f>IFERROR(__xludf.DUMMYFUNCTION("IFERROR(HLOOKUP($A142,IMPORTRANGE(""https://docs.google.com/spreadsheets/d/1CTYfdyRk_RFGM3I2iN9bKeD9zUPzEm1ajzml6VgwfIU/edit#gid=0"",""'Game 3'!$B$2:$Q$31""),30,False),0)"),23.0)</f>
        <v>23</v>
      </c>
      <c r="K142" s="5">
        <f>IFERROR(__xludf.DUMMYFUNCTION("IFERROR(HLOOKUP($A142,IMPORTRANGE(""https://docs.google.com/spreadsheets/d/11NFkzOdQyW-OtxSDuGslNCgNjx7HUb2FU7KnlNnPMgY/edit#gid=0"",""'Game 3'!$B$2:$Q$31""),30,False),0)"),23.0)</f>
        <v>23</v>
      </c>
      <c r="L142" s="5">
        <f>IFERROR(__xludf.DUMMYFUNCTION("IFERROR(HLOOKUP($A142,IMPORTRANGE(""https://docs.google.com/spreadsheets/d/1CLg5-jaE4ta0-u4oE1qbBplQ5Mf3Oj9ONFgL0zJ7Ol4/edit#gid=0"",""'Game 3'!$B$2:$Q$31""),30,False),1)"),23.0)</f>
        <v>23</v>
      </c>
      <c r="M142" s="5">
        <f>IFERROR(__xludf.DUMMYFUNCTION("IFERROR(HLOOKUP($A142,IMPORTRANGE(""https://docs.google.com/spreadsheets/d/1CeexgK4KxWj3k_7nql_k8-RPxXMwTJyB4Q3vAASeDlA/edit#gid=0"",""'Game 3'!$B$2:$Q$31""),30,False),1)"),23.0)</f>
        <v>23</v>
      </c>
      <c r="N142" s="5">
        <f>IFERROR(__xludf.DUMMYFUNCTION("IFERROR(HLOOKUP($A142,IMPORTRANGE(""https://docs.google.com/spreadsheets/d/1MNwUNMjcwK6bEgCXwB73jpbK5gJAXS8ZMpbEMLJEP3E/edit#gid=0"",""'Game 3'!$B$2:$Q$31""),30,False),1)"),23.0)</f>
        <v>23</v>
      </c>
      <c r="O142" s="5">
        <f>IFERROR(__xludf.DUMMYFUNCTION("IFERROR(HLOOKUP($A142,IMPORTRANGE(""https://docs.google.com/spreadsheets/d/1UrzyxmT40kDZwVrLMf1yyXfP-pyczRAw9Y8Rw-uXG3c/edit#gid=0"",""'Game 3'!$B$2:$Q$31""),30,False),1)"),23.0)</f>
        <v>23</v>
      </c>
      <c r="P142" s="5">
        <f>IFERROR(__xludf.DUMMYFUNCTION("IFERROR(HLOOKUP($A142,IMPORTRANGE(""https://docs.google.com/spreadsheets/d/1iyMhSYWifw-KGFtyeBpNxVZr4BhcV9hVZuShgJ9Ia0E/edit#gid=0"",""'Game 3'!$B$2:$Q$31""),30,False),1)"),23.0)</f>
        <v>23</v>
      </c>
      <c r="Q142" s="5">
        <f>IFERROR(__xludf.DUMMYFUNCTION("IFERROR(HLOOKUP($A142,IMPORTRANGE(""https://docs.google.com/spreadsheets/d/1sSbIK-vvHsSY0LghLJ9gcnW8Hec_ITI2tFmpeqI999A/edit#gid=0"",""'Game 1'!$B$2:$Q$31""),30,False),1)"),23.0)</f>
        <v>23</v>
      </c>
      <c r="R142" s="6">
        <f t="shared" si="2"/>
        <v>299</v>
      </c>
    </row>
    <row r="143">
      <c r="A143" s="21" t="s">
        <v>329</v>
      </c>
      <c r="B143" s="11" t="s">
        <v>328</v>
      </c>
      <c r="C143" s="21">
        <v>0.0</v>
      </c>
      <c r="D143" s="21">
        <v>23.0</v>
      </c>
      <c r="E143" s="21">
        <v>23.0</v>
      </c>
      <c r="F143" s="21">
        <v>11.0</v>
      </c>
      <c r="G143" s="1">
        <v>23.0</v>
      </c>
      <c r="H143" s="7">
        <f>IFERROR(__xludf.DUMMYFUNCTION("HLOOKUP($A143,IMPORTRANGE(""https://docs.google.com/spreadsheets/d/16J5ie7OD1E99qGO9lMDm8w5Yls-v190B7DTolJ5TmFc/edit#gid=0"",""'Game 2'!$B$2:$Q$31""),30,False)"),12.0)</f>
        <v>12</v>
      </c>
      <c r="I143" s="1">
        <v>23.0</v>
      </c>
      <c r="J143" s="7">
        <f>IFERROR(__xludf.DUMMYFUNCTION("IFERROR(HLOOKUP($A143,IMPORTRANGE(""https://docs.google.com/spreadsheets/d/1CTYfdyRk_RFGM3I2iN9bKeD9zUPzEm1ajzml6VgwfIU/edit#gid=0"",""'Game 3'!$B$2:$Q$31""),30,False),0)"),23.0)</f>
        <v>23</v>
      </c>
      <c r="K143" s="7">
        <f>IFERROR(__xludf.DUMMYFUNCTION("IFERROR(HLOOKUP($A143,IMPORTRANGE(""https://docs.google.com/spreadsheets/d/11NFkzOdQyW-OtxSDuGslNCgNjx7HUb2FU7KnlNnPMgY/edit#gid=0"",""'Game 3'!$B$2:$Q$31""),30,False),0)"),12.0)</f>
        <v>12</v>
      </c>
      <c r="L143" s="7">
        <f>IFERROR(__xludf.DUMMYFUNCTION("IFERROR(HLOOKUP($A143,IMPORTRANGE(""https://docs.google.com/spreadsheets/d/1CLg5-jaE4ta0-u4oE1qbBplQ5Mf3Oj9ONFgL0zJ7Ol4/edit#gid=0"",""'Game 3'!$B$2:$Q$31""),30,False),1)"),12.0)</f>
        <v>12</v>
      </c>
      <c r="M143" s="7">
        <f>IFERROR(__xludf.DUMMYFUNCTION("IFERROR(HLOOKUP($A143,IMPORTRANGE(""https://docs.google.com/spreadsheets/d/1CeexgK4KxWj3k_7nql_k8-RPxXMwTJyB4Q3vAASeDlA/edit#gid=0"",""'Game 3'!$B$2:$Q$31""),30,False),1)"),0.0)</f>
        <v>0</v>
      </c>
      <c r="N143" s="7">
        <f>IFERROR(__xludf.DUMMYFUNCTION("IFERROR(HLOOKUP($A143,IMPORTRANGE(""https://docs.google.com/spreadsheets/d/1MNwUNMjcwK6bEgCXwB73jpbK5gJAXS8ZMpbEMLJEP3E/edit#gid=0"",""'Game 3'!$B$2:$Q$31""),30,False),1)"),23.0)</f>
        <v>23</v>
      </c>
      <c r="O143" s="7">
        <f>IFERROR(__xludf.DUMMYFUNCTION("IFERROR(HLOOKUP($A143,IMPORTRANGE(""https://docs.google.com/spreadsheets/d/1UrzyxmT40kDZwVrLMf1yyXfP-pyczRAw9Y8Rw-uXG3c/edit#gid=0"",""'Game 3'!$B$2:$Q$31""),30,False),1)"),23.0)</f>
        <v>23</v>
      </c>
      <c r="P143" s="7">
        <f>IFERROR(__xludf.DUMMYFUNCTION("IFERROR(HLOOKUP($A143,IMPORTRANGE(""https://docs.google.com/spreadsheets/d/1iyMhSYWifw-KGFtyeBpNxVZr4BhcV9hVZuShgJ9Ia0E/edit#gid=0"",""'Game 3'!$B$2:$Q$31""),30,False),1)"),23.0)</f>
        <v>23</v>
      </c>
      <c r="Q143" s="7">
        <f>IFERROR(__xludf.DUMMYFUNCTION("IFERROR(HLOOKUP($A143,IMPORTRANGE(""https://docs.google.com/spreadsheets/d/1sSbIK-vvHsSY0LghLJ9gcnW8Hec_ITI2tFmpeqI999A/edit#gid=0"",""'Game 1'!$B$2:$Q$31""),30,False),1)"),23.0)</f>
        <v>23</v>
      </c>
      <c r="R143" s="11">
        <f t="shared" si="2"/>
        <v>254</v>
      </c>
    </row>
    <row r="144">
      <c r="A144" s="18" t="s">
        <v>330</v>
      </c>
      <c r="B144" s="6" t="s">
        <v>328</v>
      </c>
      <c r="C144" s="18">
        <v>23.0</v>
      </c>
      <c r="D144" s="18">
        <v>23.0</v>
      </c>
      <c r="E144" s="18">
        <v>11.0</v>
      </c>
      <c r="F144" s="18">
        <v>12.0</v>
      </c>
      <c r="G144" s="3">
        <v>23.0</v>
      </c>
      <c r="H144" s="5">
        <f>IFERROR(__xludf.DUMMYFUNCTION("HLOOKUP($A144,IMPORTRANGE(""https://docs.google.com/spreadsheets/d/16J5ie7OD1E99qGO9lMDm8w5Yls-v190B7DTolJ5TmFc/edit#gid=0"",""'Game 2'!$B$2:$Q$31""),30,False)"),23.0)</f>
        <v>23</v>
      </c>
      <c r="I144" s="3">
        <v>23.0</v>
      </c>
      <c r="J144" s="5">
        <f>IFERROR(__xludf.DUMMYFUNCTION("IFERROR(HLOOKUP($A144,IMPORTRANGE(""https://docs.google.com/spreadsheets/d/1CTYfdyRk_RFGM3I2iN9bKeD9zUPzEm1ajzml6VgwfIU/edit#gid=0"",""'Game 3'!$B$2:$Q$31""),30,False),0)"),12.0)</f>
        <v>12</v>
      </c>
      <c r="K144" s="5">
        <f>IFERROR(__xludf.DUMMYFUNCTION("IFERROR(HLOOKUP($A144,IMPORTRANGE(""https://docs.google.com/spreadsheets/d/11NFkzOdQyW-OtxSDuGslNCgNjx7HUb2FU7KnlNnPMgY/edit#gid=0"",""'Game 3'!$B$2:$Q$31""),30,False),0)"),23.0)</f>
        <v>23</v>
      </c>
      <c r="L144" s="5">
        <f>IFERROR(__xludf.DUMMYFUNCTION("IFERROR(HLOOKUP($A144,IMPORTRANGE(""https://docs.google.com/spreadsheets/d/1CLg5-jaE4ta0-u4oE1qbBplQ5Mf3Oj9ONFgL0zJ7Ol4/edit#gid=0"",""'Game 3'!$B$2:$Q$31""),30,False),1)"),23.0)</f>
        <v>23</v>
      </c>
      <c r="M144" s="5">
        <f>IFERROR(__xludf.DUMMYFUNCTION("IFERROR(HLOOKUP($A144,IMPORTRANGE(""https://docs.google.com/spreadsheets/d/1CeexgK4KxWj3k_7nql_k8-RPxXMwTJyB4Q3vAASeDlA/edit#gid=0"",""'Game 3'!$B$2:$Q$31""),30,False),1)"),23.0)</f>
        <v>23</v>
      </c>
      <c r="N144" s="5">
        <f>IFERROR(__xludf.DUMMYFUNCTION("IFERROR(HLOOKUP($A144,IMPORTRANGE(""https://docs.google.com/spreadsheets/d/1MNwUNMjcwK6bEgCXwB73jpbK5gJAXS8ZMpbEMLJEP3E/edit#gid=0"",""'Game 3'!$B$2:$Q$31""),30,False),1)"),12.0)</f>
        <v>12</v>
      </c>
      <c r="O144" s="5">
        <f>IFERROR(__xludf.DUMMYFUNCTION("IFERROR(HLOOKUP($A144,IMPORTRANGE(""https://docs.google.com/spreadsheets/d/1UrzyxmT40kDZwVrLMf1yyXfP-pyczRAw9Y8Rw-uXG3c/edit#gid=0"",""'Game 3'!$B$2:$Q$31""),30,False),1)"),11.0)</f>
        <v>11</v>
      </c>
      <c r="P144" s="5">
        <f>IFERROR(__xludf.DUMMYFUNCTION("IFERROR(HLOOKUP($A144,IMPORTRANGE(""https://docs.google.com/spreadsheets/d/1iyMhSYWifw-KGFtyeBpNxVZr4BhcV9hVZuShgJ9Ia0E/edit#gid=0"",""'Game 3'!$B$2:$Q$31""),30,False),1)"),12.0)</f>
        <v>12</v>
      </c>
      <c r="Q144" s="5">
        <f>IFERROR(__xludf.DUMMYFUNCTION("IFERROR(HLOOKUP($A144,IMPORTRANGE(""https://docs.google.com/spreadsheets/d/1sSbIK-vvHsSY0LghLJ9gcnW8Hec_ITI2tFmpeqI999A/edit#gid=0"",""'Game 1'!$B$2:$Q$31""),30,False),1)"),0.0)</f>
        <v>0</v>
      </c>
      <c r="R144" s="6">
        <f t="shared" si="2"/>
        <v>254</v>
      </c>
    </row>
    <row r="145">
      <c r="A145" s="21" t="s">
        <v>331</v>
      </c>
      <c r="B145" s="11" t="s">
        <v>328</v>
      </c>
      <c r="C145" s="21">
        <v>0.0</v>
      </c>
      <c r="D145" s="21">
        <v>11.0</v>
      </c>
      <c r="E145" s="21">
        <v>12.0</v>
      </c>
      <c r="F145" s="21">
        <v>23.0</v>
      </c>
      <c r="G145" s="1">
        <v>0.0</v>
      </c>
      <c r="H145" s="7">
        <f>IFERROR(__xludf.DUMMYFUNCTION("HLOOKUP($A145,IMPORTRANGE(""https://docs.google.com/spreadsheets/d/16J5ie7OD1E99qGO9lMDm8w5Yls-v190B7DTolJ5TmFc/edit#gid=0"",""'Game 2'!$B$2:$Q$31""),30,False)"),23.0)</f>
        <v>23</v>
      </c>
      <c r="I145" s="1">
        <v>0.0</v>
      </c>
      <c r="J145" s="7">
        <f>IFERROR(__xludf.DUMMYFUNCTION("IFERROR(HLOOKUP($A145,IMPORTRANGE(""https://docs.google.com/spreadsheets/d/1CTYfdyRk_RFGM3I2iN9bKeD9zUPzEm1ajzml6VgwfIU/edit#gid=0"",""'Game 3'!$B$2:$Q$31""),30,False),0)"),11.0)</f>
        <v>11</v>
      </c>
      <c r="K145" s="7">
        <f>IFERROR(__xludf.DUMMYFUNCTION("IFERROR(HLOOKUP($A145,IMPORTRANGE(""https://docs.google.com/spreadsheets/d/11NFkzOdQyW-OtxSDuGslNCgNjx7HUb2FU7KnlNnPMgY/edit#gid=0"",""'Game 3'!$B$2:$Q$31""),30,False),0)"),11.0)</f>
        <v>11</v>
      </c>
      <c r="L145" s="7">
        <f>IFERROR(__xludf.DUMMYFUNCTION("IFERROR(HLOOKUP($A145,IMPORTRANGE(""https://docs.google.com/spreadsheets/d/1CLg5-jaE4ta0-u4oE1qbBplQ5Mf3Oj9ONFgL0zJ7Ol4/edit#gid=0"",""'Game 3'!$B$2:$Q$31""),30,False),1)"),23.0)</f>
        <v>23</v>
      </c>
      <c r="M145" s="7">
        <f>IFERROR(__xludf.DUMMYFUNCTION("IFERROR(HLOOKUP($A145,IMPORTRANGE(""https://docs.google.com/spreadsheets/d/1CeexgK4KxWj3k_7nql_k8-RPxXMwTJyB4Q3vAASeDlA/edit#gid=0"",""'Game 3'!$B$2:$Q$31""),30,False),1)"),23.0)</f>
        <v>23</v>
      </c>
      <c r="N145" s="7">
        <f>IFERROR(__xludf.DUMMYFUNCTION("IFERROR(HLOOKUP($A145,IMPORTRANGE(""https://docs.google.com/spreadsheets/d/1MNwUNMjcwK6bEgCXwB73jpbK5gJAXS8ZMpbEMLJEP3E/edit#gid=0"",""'Game 3'!$B$2:$Q$31""),30,False),1)"),11.0)</f>
        <v>11</v>
      </c>
      <c r="O145" s="7">
        <f>IFERROR(__xludf.DUMMYFUNCTION("IFERROR(HLOOKUP($A145,IMPORTRANGE(""https://docs.google.com/spreadsheets/d/1UrzyxmT40kDZwVrLMf1yyXfP-pyczRAw9Y8Rw-uXG3c/edit#gid=0"",""'Game 3'!$B$2:$Q$31""),30,False),1)"),12.0)</f>
        <v>12</v>
      </c>
      <c r="P145" s="7">
        <f>IFERROR(__xludf.DUMMYFUNCTION("IFERROR(HLOOKUP($A145,IMPORTRANGE(""https://docs.google.com/spreadsheets/d/1iyMhSYWifw-KGFtyeBpNxVZr4BhcV9hVZuShgJ9Ia0E/edit#gid=0"",""'Game 3'!$B$2:$Q$31""),30,False),1)"),11.0)</f>
        <v>11</v>
      </c>
      <c r="Q145" s="7">
        <f>IFERROR(__xludf.DUMMYFUNCTION("IFERROR(HLOOKUP($A145,IMPORTRANGE(""https://docs.google.com/spreadsheets/d/1sSbIK-vvHsSY0LghLJ9gcnW8Hec_ITI2tFmpeqI999A/edit#gid=0"",""'Game 1'!$B$2:$Q$31""),30,False),1)"),23.0)</f>
        <v>23</v>
      </c>
      <c r="R145" s="11">
        <f t="shared" si="2"/>
        <v>194</v>
      </c>
    </row>
    <row r="146">
      <c r="A146" s="18" t="s">
        <v>332</v>
      </c>
      <c r="B146" s="18" t="s">
        <v>328</v>
      </c>
      <c r="C146" s="18">
        <v>23.0</v>
      </c>
      <c r="D146" s="18">
        <v>23.0</v>
      </c>
      <c r="E146" s="18">
        <v>23.0</v>
      </c>
      <c r="F146" s="18">
        <v>23.0</v>
      </c>
      <c r="G146" s="3">
        <v>23.0</v>
      </c>
      <c r="H146" s="5">
        <f>IFERROR(__xludf.DUMMYFUNCTION("HLOOKUP($A146,IMPORTRANGE(""https://docs.google.com/spreadsheets/d/16J5ie7OD1E99qGO9lMDm8w5Yls-v190B7DTolJ5TmFc/edit#gid=0"",""'Game 2'!$B$2:$Q$31""),30,False)"),23.0)</f>
        <v>23</v>
      </c>
      <c r="I146" s="3">
        <v>23.0</v>
      </c>
      <c r="J146" s="5">
        <f>IFERROR(__xludf.DUMMYFUNCTION("IFERROR(HLOOKUP($A146,IMPORTRANGE(""https://docs.google.com/spreadsheets/d/1CTYfdyRk_RFGM3I2iN9bKeD9zUPzEm1ajzml6VgwfIU/edit#gid=0"",""'Game 3'!$B$2:$Q$31""),30,False),0)"),23.0)</f>
        <v>23</v>
      </c>
      <c r="K146" s="5">
        <f>IFERROR(__xludf.DUMMYFUNCTION("IFERROR(HLOOKUP($A146,IMPORTRANGE(""https://docs.google.com/spreadsheets/d/11NFkzOdQyW-OtxSDuGslNCgNjx7HUb2FU7KnlNnPMgY/edit#gid=0"",""'Game 3'!$B$2:$Q$31""),30,False),0)"),23.0)</f>
        <v>23</v>
      </c>
      <c r="L146" s="5">
        <f>IFERROR(__xludf.DUMMYFUNCTION("IFERROR(HLOOKUP($A146,IMPORTRANGE(""https://docs.google.com/spreadsheets/d/1CLg5-jaE4ta0-u4oE1qbBplQ5Mf3Oj9ONFgL0zJ7Ol4/edit#gid=0"",""'Game 3'!$B$2:$Q$31""),30,False),1)"),11.0)</f>
        <v>11</v>
      </c>
      <c r="M146" s="5">
        <f>IFERROR(__xludf.DUMMYFUNCTION("IFERROR(HLOOKUP($A146,IMPORTRANGE(""https://docs.google.com/spreadsheets/d/1CeexgK4KxWj3k_7nql_k8-RPxXMwTJyB4Q3vAASeDlA/edit#gid=0"",""'Game 3'!$B$2:$Q$31""),30,False),1)"),23.0)</f>
        <v>23</v>
      </c>
      <c r="N146" s="5">
        <f>IFERROR(__xludf.DUMMYFUNCTION("IFERROR(HLOOKUP($A146,IMPORTRANGE(""https://docs.google.com/spreadsheets/d/1MNwUNMjcwK6bEgCXwB73jpbK5gJAXS8ZMpbEMLJEP3E/edit#gid=0"",""'Game 3'!$B$2:$Q$31""),30,False),1)"),23.0)</f>
        <v>23</v>
      </c>
      <c r="O146" s="5">
        <f>IFERROR(__xludf.DUMMYFUNCTION("IFERROR(HLOOKUP($A146,IMPORTRANGE(""https://docs.google.com/spreadsheets/d/1UrzyxmT40kDZwVrLMf1yyXfP-pyczRAw9Y8Rw-uXG3c/edit#gid=0"",""'Game 3'!$B$2:$Q$31""),30,False),1)"),23.0)</f>
        <v>23</v>
      </c>
      <c r="P146" s="5">
        <f>IFERROR(__xludf.DUMMYFUNCTION("IFERROR(HLOOKUP($A146,IMPORTRANGE(""https://docs.google.com/spreadsheets/d/1iyMhSYWifw-KGFtyeBpNxVZr4BhcV9hVZuShgJ9Ia0E/edit#gid=0"",""'Game 3'!$B$2:$Q$31""),30,False),1)"),23.0)</f>
        <v>23</v>
      </c>
      <c r="Q146" s="5">
        <f>IFERROR(__xludf.DUMMYFUNCTION("IFERROR(HLOOKUP($A146,IMPORTRANGE(""https://docs.google.com/spreadsheets/d/1sSbIK-vvHsSY0LghLJ9gcnW8Hec_ITI2tFmpeqI999A/edit#gid=0"",""'Game 1'!$B$2:$Q$31""),30,False),1)"),23.0)</f>
        <v>23</v>
      </c>
      <c r="R146" s="6">
        <f t="shared" si="2"/>
        <v>333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75"/>
    <col customWidth="1" min="3" max="17" width="1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>
      <c r="A2" s="3" t="s">
        <v>23</v>
      </c>
      <c r="B2" s="3" t="s">
        <v>24</v>
      </c>
      <c r="C2" s="3">
        <v>23.0</v>
      </c>
      <c r="D2" s="3">
        <v>23.0</v>
      </c>
      <c r="E2" s="3">
        <v>23.0</v>
      </c>
      <c r="F2" s="3">
        <v>23.0</v>
      </c>
      <c r="G2" s="3">
        <v>23.0</v>
      </c>
      <c r="H2" s="6">
        <f>IFERROR(__xludf.DUMMYFUNCTION("HLOOKUP($A2,IMPORTRANGE(""https://docs.google.com/spreadsheets/d/19gjAD4NwTXl_QoKUuwHQ1cWG_S2BOW94pDcyFtPwheg/edit#gid=1009263986"",""'Game 1'!$B$2:$Q$31""),30,False)"),23.0)</f>
        <v>23</v>
      </c>
      <c r="I2" s="5">
        <f>IFERROR(__xludf.DUMMYFUNCTION("HLOOKUP($A2,IMPORTRANGE(""https://docs.google.com/spreadsheets/d/1l83w8bH-F1czkFOqsgQy6o8O33Jb4Pfg40W0ou2nk0k/edit#gid=0"",""'Game 8'!$B$2:$Q$31""),30,False)"),23.0)</f>
        <v>23</v>
      </c>
      <c r="J2" s="5">
        <f>IFERROR(__xludf.DUMMYFUNCTION("HLOOKUP($A2,IMPORTRANGE(""https://docs.google.com/spreadsheets/d/15X-ub7GvrCQZ3UGgyogcjwYdxG-Ng8WHxzGSj1Z3eLw/edit#gid=0"",""'Game 1'!$B$2:$Q$31""),30,False)"),23.0)</f>
        <v>23</v>
      </c>
      <c r="K2" s="5">
        <f>IFERROR(__xludf.DUMMYFUNCTION("IFERROR(HLOOKUP($A2,IMPORTRANGE(""https://docs.google.com/spreadsheets/d/194Bw3ABslPPhOOPvVoMzIk8sOQFICWBu2pydWdYMD-w/edit#gid=0"",""'Game 1'!$B$2:$Q$31""),30,False),1)"),23.0)</f>
        <v>23</v>
      </c>
      <c r="L2" s="5">
        <f>IFERROR(__xludf.DUMMYFUNCTION("IFERROR(HLOOKUP($A2,IMPORTRANGE(""https://docs.google.com/spreadsheets/d/1F2Bi6K_I1K9xRxY5qb-bNRo5m-Kw7udpF1OaTHhrxjs/edit#gid=0"",""'Game 1'!$B$2:$Q$31""),30,False),1)"),23.0)</f>
        <v>23</v>
      </c>
      <c r="M2" s="5">
        <f>IFERROR(__xludf.DUMMYFUNCTION("IFERROR(HLOOKUP($A2,IMPORTRANGE(""https://docs.google.com/spreadsheets/d/1NDNgi_Ny4dRhc2A3UMIIkalN-V6EmsvxOfDzMRQlQ40/edit#gid=0"",""'Game 1'!$B$2:$Q$31""),30,False),1)"),23.0)</f>
        <v>23</v>
      </c>
      <c r="N2" s="5">
        <f>IFERROR(__xludf.DUMMYFUNCTION("IFERROR(HLOOKUP($A2,IMPORTRANGE(""https://docs.google.com/spreadsheets/d/1UDYA3-RrkJNLa2ZLH1NnUjKyfCoiSODmgVL_Au_zt-Y/edit#gid=0"",""'Game 1'!$B$2:$Q$31""),30,False),1)"),23.0)</f>
        <v>23</v>
      </c>
      <c r="O2" s="5">
        <f>IFERROR(__xludf.DUMMYFUNCTION("IFERROR(HLOOKUP($A2,IMPORTRANGE(""https://docs.google.com/spreadsheets/d/1fvo6H94Wcffp6c4N9g3JKCW6y2ZlijPxdOsNz7xdBhw/edit#gid=0"",""'Game 1'!$B$2:$Q$31""),30,False),1)"),11.0)</f>
        <v>11</v>
      </c>
      <c r="P2" s="5">
        <f>IFERROR(__xludf.DUMMYFUNCTION("IFERROR(HLOOKUP($A2,IMPORTRANGE(""https://docs.google.com/spreadsheets/d/1wfQePArl-A-5QJe5xAufoOnzeNLVSoHCRcmpZ_FMdns/edit#gid=0"",""'Game 1'!$B$2:$Q$31""),30,False),1)"),23.0)</f>
        <v>23</v>
      </c>
      <c r="Q2" s="5">
        <f>IFERROR(__xludf.DUMMYFUNCTION("IFERROR(HLOOKUP($A2,IMPORTRANGE(""https://docs.google.com/spreadsheets/d/1wydNznS0hZhVh3oGSdiCZSsReuqMT7Xaw718ix58zAI/edit#gid=0"",""'Game 1'!$B$2:$Q$31""),30,False),1)"),23.0)</f>
        <v>23</v>
      </c>
      <c r="R2" s="6">
        <f t="shared" ref="R2:R119" si="1">SUM(C2:Q2)</f>
        <v>333</v>
      </c>
    </row>
    <row r="3">
      <c r="A3" s="2" t="s">
        <v>26</v>
      </c>
      <c r="B3" s="10" t="s">
        <v>24</v>
      </c>
      <c r="C3" s="2">
        <v>23.0</v>
      </c>
      <c r="D3" s="2">
        <v>23.0</v>
      </c>
      <c r="E3" s="2">
        <v>23.0</v>
      </c>
      <c r="F3" s="2">
        <v>23.0</v>
      </c>
      <c r="G3" s="2">
        <v>23.0</v>
      </c>
      <c r="H3" s="13">
        <f>IFERROR(__xludf.DUMMYFUNCTION("HLOOKUP($A3,IMPORTRANGE(""https://docs.google.com/spreadsheets/d/19gjAD4NwTXl_QoKUuwHQ1cWG_S2BOW94pDcyFtPwheg/edit#gid=1009263986"",""'Game 1'!$B$2:$Q$31""),30,False)"),23.0)</f>
        <v>23</v>
      </c>
      <c r="I3" s="12">
        <f>IFERROR(__xludf.DUMMYFUNCTION("HLOOKUP($A3,IMPORTRANGE(""https://docs.google.com/spreadsheets/d/1l83w8bH-F1czkFOqsgQy6o8O33Jb4Pfg40W0ou2nk0k/edit#gid=0"",""'Game 8'!$B$2:$Q$31""),30,False)"),23.0)</f>
        <v>23</v>
      </c>
      <c r="J3" s="12">
        <f>IFERROR(__xludf.DUMMYFUNCTION("HLOOKUP($A3,IMPORTRANGE(""https://docs.google.com/spreadsheets/d/15X-ub7GvrCQZ3UGgyogcjwYdxG-Ng8WHxzGSj1Z3eLw/edit#gid=0"",""'Game 1'!$B$2:$Q$31""),30,False)"),23.0)</f>
        <v>23</v>
      </c>
      <c r="K3" s="12">
        <f>IFERROR(__xludf.DUMMYFUNCTION("IFERROR(HLOOKUP($A3,IMPORTRANGE(""https://docs.google.com/spreadsheets/d/194Bw3ABslPPhOOPvVoMzIk8sOQFICWBu2pydWdYMD-w/edit#gid=0"",""'Game 1'!$B$2:$Q$31""),30,False),1)"),23.0)</f>
        <v>23</v>
      </c>
      <c r="L3" s="12">
        <f>IFERROR(__xludf.DUMMYFUNCTION("IFERROR(HLOOKUP($A3,IMPORTRANGE(""https://docs.google.com/spreadsheets/d/1F2Bi6K_I1K9xRxY5qb-bNRo5m-Kw7udpF1OaTHhrxjs/edit#gid=0"",""'Game 1'!$B$2:$Q$31""),30,False),1)"),23.0)</f>
        <v>23</v>
      </c>
      <c r="M3" s="12">
        <f>IFERROR(__xludf.DUMMYFUNCTION("IFERROR(HLOOKUP($A3,IMPORTRANGE(""https://docs.google.com/spreadsheets/d/1NDNgi_Ny4dRhc2A3UMIIkalN-V6EmsvxOfDzMRQlQ40/edit#gid=0"",""'Game 1'!$B$2:$Q$31""),30,False),1)"),23.0)</f>
        <v>23</v>
      </c>
      <c r="N3" s="12">
        <f>IFERROR(__xludf.DUMMYFUNCTION("IFERROR(HLOOKUP($A3,IMPORTRANGE(""https://docs.google.com/spreadsheets/d/1UDYA3-RrkJNLa2ZLH1NnUjKyfCoiSODmgVL_Au_zt-Y/edit#gid=0"",""'Game 1'!$B$2:$Q$31""),30,False),1)"),23.0)</f>
        <v>23</v>
      </c>
      <c r="O3" s="12">
        <f>IFERROR(__xludf.DUMMYFUNCTION("IFERROR(HLOOKUP($A3,IMPORTRANGE(""https://docs.google.com/spreadsheets/d/1fvo6H94Wcffp6c4N9g3JKCW6y2ZlijPxdOsNz7xdBhw/edit#gid=0"",""'Game 1'!$B$2:$Q$31""),30,False),1)"),23.0)</f>
        <v>23</v>
      </c>
      <c r="P3" s="12">
        <f>IFERROR(__xludf.DUMMYFUNCTION("IFERROR(HLOOKUP($A3,IMPORTRANGE(""https://docs.google.com/spreadsheets/d/1wfQePArl-A-5QJe5xAufoOnzeNLVSoHCRcmpZ_FMdns/edit#gid=0"",""'Game 1'!$B$2:$Q$31""),30,False),1)"),23.0)</f>
        <v>23</v>
      </c>
      <c r="Q3" s="12">
        <f>IFERROR(__xludf.DUMMYFUNCTION("IFERROR(HLOOKUP($A3,IMPORTRANGE(""https://docs.google.com/spreadsheets/d/1wydNznS0hZhVh3oGSdiCZSsReuqMT7Xaw718ix58zAI/edit#gid=0"",""'Game 1'!$B$2:$Q$31""),30,False),1)"),23.0)</f>
        <v>23</v>
      </c>
      <c r="R3" s="13">
        <f t="shared" si="1"/>
        <v>345</v>
      </c>
    </row>
    <row r="4">
      <c r="A4" s="3" t="s">
        <v>29</v>
      </c>
      <c r="B4" s="17" t="s">
        <v>24</v>
      </c>
      <c r="C4" s="3">
        <v>23.0</v>
      </c>
      <c r="D4" s="3">
        <v>11.0</v>
      </c>
      <c r="E4" s="3">
        <v>23.0</v>
      </c>
      <c r="F4" s="3">
        <v>23.0</v>
      </c>
      <c r="G4" s="3">
        <v>23.0</v>
      </c>
      <c r="H4" s="6">
        <f>IFERROR(__xludf.DUMMYFUNCTION("HLOOKUP($A4,IMPORTRANGE(""https://docs.google.com/spreadsheets/d/19gjAD4NwTXl_QoKUuwHQ1cWG_S2BOW94pDcyFtPwheg/edit#gid=1009263986"",""'Game 1'!$B$2:$Q$31""),30,False)"),23.0)</f>
        <v>23</v>
      </c>
      <c r="I4" s="5">
        <f>IFERROR(__xludf.DUMMYFUNCTION("HLOOKUP($A4,IMPORTRANGE(""https://docs.google.com/spreadsheets/d/1l83w8bH-F1czkFOqsgQy6o8O33Jb4Pfg40W0ou2nk0k/edit#gid=0"",""'Game 8'!$B$2:$Q$31""),30,False)"),0.0)</f>
        <v>0</v>
      </c>
      <c r="J4" s="5">
        <f>IFERROR(__xludf.DUMMYFUNCTION("HLOOKUP($A4,IMPORTRANGE(""https://docs.google.com/spreadsheets/d/15X-ub7GvrCQZ3UGgyogcjwYdxG-Ng8WHxzGSj1Z3eLw/edit#gid=0"",""'Game 1'!$B$2:$Q$31""),30,False)"),23.0)</f>
        <v>23</v>
      </c>
      <c r="K4" s="5">
        <f>IFERROR(__xludf.DUMMYFUNCTION("IFERROR(HLOOKUP($A4,IMPORTRANGE(""https://docs.google.com/spreadsheets/d/194Bw3ABslPPhOOPvVoMzIk8sOQFICWBu2pydWdYMD-w/edit#gid=0"",""'Game 1'!$B$2:$Q$31""),30,False),1)"),23.0)</f>
        <v>23</v>
      </c>
      <c r="L4" s="5">
        <f>IFERROR(__xludf.DUMMYFUNCTION("IFERROR(HLOOKUP($A4,IMPORTRANGE(""https://docs.google.com/spreadsheets/d/1F2Bi6K_I1K9xRxY5qb-bNRo5m-Kw7udpF1OaTHhrxjs/edit#gid=0"",""'Game 1'!$B$2:$Q$31""),30,False),1)"),0.0)</f>
        <v>0</v>
      </c>
      <c r="M4" s="5">
        <f>IFERROR(__xludf.DUMMYFUNCTION("IFERROR(HLOOKUP($A4,IMPORTRANGE(""https://docs.google.com/spreadsheets/d/1NDNgi_Ny4dRhc2A3UMIIkalN-V6EmsvxOfDzMRQlQ40/edit#gid=0"",""'Game 1'!$B$2:$Q$31""),30,False),1)"),0.0)</f>
        <v>0</v>
      </c>
      <c r="N4" s="5">
        <f>IFERROR(__xludf.DUMMYFUNCTION("IFERROR(HLOOKUP($A4,IMPORTRANGE(""https://docs.google.com/spreadsheets/d/1UDYA3-RrkJNLa2ZLH1NnUjKyfCoiSODmgVL_Au_zt-Y/edit#gid=0"",""'Game 1'!$B$2:$Q$31""),30,False),1)"),0.0)</f>
        <v>0</v>
      </c>
      <c r="O4" s="5">
        <f>IFERROR(__xludf.DUMMYFUNCTION("IFERROR(HLOOKUP($A4,IMPORTRANGE(""https://docs.google.com/spreadsheets/d/1fvo6H94Wcffp6c4N9g3JKCW6y2ZlijPxdOsNz7xdBhw/edit#gid=0"",""'Game 1'!$B$2:$Q$31""),30,False),1)"),0.0)</f>
        <v>0</v>
      </c>
      <c r="P4" s="5">
        <f>IFERROR(__xludf.DUMMYFUNCTION("IFERROR(HLOOKUP($A4,IMPORTRANGE(""https://docs.google.com/spreadsheets/d/1wfQePArl-A-5QJe5xAufoOnzeNLVSoHCRcmpZ_FMdns/edit#gid=0"",""'Game 1'!$B$2:$Q$31""),30,False),1)"),0.0)</f>
        <v>0</v>
      </c>
      <c r="Q4" s="5">
        <f>IFERROR(__xludf.DUMMYFUNCTION("IFERROR(HLOOKUP($A4,IMPORTRANGE(""https://docs.google.com/spreadsheets/d/1wydNznS0hZhVh3oGSdiCZSsReuqMT7Xaw718ix58zAI/edit#gid=0"",""'Game 1'!$B$2:$Q$31""),30,False),1)"),0.0)</f>
        <v>0</v>
      </c>
      <c r="R4" s="6">
        <f t="shared" si="1"/>
        <v>172</v>
      </c>
    </row>
    <row r="5">
      <c r="A5" s="2" t="s">
        <v>31</v>
      </c>
      <c r="B5" s="10" t="s">
        <v>24</v>
      </c>
      <c r="C5" s="2">
        <v>23.0</v>
      </c>
      <c r="D5" s="2">
        <v>23.0</v>
      </c>
      <c r="E5" s="2">
        <v>23.0</v>
      </c>
      <c r="F5" s="2">
        <v>23.0</v>
      </c>
      <c r="G5" s="2">
        <v>23.0</v>
      </c>
      <c r="H5" s="13">
        <f>IFERROR(__xludf.DUMMYFUNCTION("HLOOKUP($A5,IMPORTRANGE(""https://docs.google.com/spreadsheets/d/19gjAD4NwTXl_QoKUuwHQ1cWG_S2BOW94pDcyFtPwheg/edit#gid=1009263986"",""'Game 1'!$B$2:$Q$31""),30,False)"),23.0)</f>
        <v>23</v>
      </c>
      <c r="I5" s="12">
        <f>IFERROR(__xludf.DUMMYFUNCTION("HLOOKUP($A5,IMPORTRANGE(""https://docs.google.com/spreadsheets/d/1l83w8bH-F1czkFOqsgQy6o8O33Jb4Pfg40W0ou2nk0k/edit#gid=0"",""'Game 8'!$B$2:$Q$31""),30,False)"),23.0)</f>
        <v>23</v>
      </c>
      <c r="J5" s="12">
        <f>IFERROR(__xludf.DUMMYFUNCTION("HLOOKUP($A5,IMPORTRANGE(""https://docs.google.com/spreadsheets/d/15X-ub7GvrCQZ3UGgyogcjwYdxG-Ng8WHxzGSj1Z3eLw/edit#gid=0"",""'Game 1'!$B$2:$Q$31""),30,False)"),23.0)</f>
        <v>23</v>
      </c>
      <c r="K5" s="12">
        <f>IFERROR(__xludf.DUMMYFUNCTION("IFERROR(HLOOKUP($A5,IMPORTRANGE(""https://docs.google.com/spreadsheets/d/194Bw3ABslPPhOOPvVoMzIk8sOQFICWBu2pydWdYMD-w/edit#gid=0"",""'Game 1'!$B$2:$Q$31""),30,False),1)"),23.0)</f>
        <v>23</v>
      </c>
      <c r="L5" s="12">
        <f>IFERROR(__xludf.DUMMYFUNCTION("IFERROR(HLOOKUP($A5,IMPORTRANGE(""https://docs.google.com/spreadsheets/d/1F2Bi6K_I1K9xRxY5qb-bNRo5m-Kw7udpF1OaTHhrxjs/edit#gid=0"",""'Game 1'!$B$2:$Q$31""),30,False),1)"),23.0)</f>
        <v>23</v>
      </c>
      <c r="M5" s="12">
        <f>IFERROR(__xludf.DUMMYFUNCTION("IFERROR(HLOOKUP($A5,IMPORTRANGE(""https://docs.google.com/spreadsheets/d/1NDNgi_Ny4dRhc2A3UMIIkalN-V6EmsvxOfDzMRQlQ40/edit#gid=0"",""'Game 1'!$B$2:$Q$31""),30,False),1)"),23.0)</f>
        <v>23</v>
      </c>
      <c r="N5" s="12">
        <f>IFERROR(__xludf.DUMMYFUNCTION("IFERROR(HLOOKUP($A5,IMPORTRANGE(""https://docs.google.com/spreadsheets/d/1UDYA3-RrkJNLa2ZLH1NnUjKyfCoiSODmgVL_Au_zt-Y/edit#gid=0"",""'Game 1'!$B$2:$Q$31""),30,False),1)"),23.0)</f>
        <v>23</v>
      </c>
      <c r="O5" s="12">
        <f>IFERROR(__xludf.DUMMYFUNCTION("IFERROR(HLOOKUP($A5,IMPORTRANGE(""https://docs.google.com/spreadsheets/d/1fvo6H94Wcffp6c4N9g3JKCW6y2ZlijPxdOsNz7xdBhw/edit#gid=0"",""'Game 1'!$B$2:$Q$31""),30,False),1)"),23.0)</f>
        <v>23</v>
      </c>
      <c r="P5" s="12">
        <f>IFERROR(__xludf.DUMMYFUNCTION("IFERROR(HLOOKUP($A5,IMPORTRANGE(""https://docs.google.com/spreadsheets/d/1wfQePArl-A-5QJe5xAufoOnzeNLVSoHCRcmpZ_FMdns/edit#gid=0"",""'Game 1'!$B$2:$Q$31""),30,False),1)"),23.0)</f>
        <v>23</v>
      </c>
      <c r="Q5" s="12">
        <f>IFERROR(__xludf.DUMMYFUNCTION("IFERROR(HLOOKUP($A5,IMPORTRANGE(""https://docs.google.com/spreadsheets/d/1wydNznS0hZhVh3oGSdiCZSsReuqMT7Xaw718ix58zAI/edit#gid=0"",""'Game 1'!$B$2:$Q$31""),30,False),1)"),23.0)</f>
        <v>23</v>
      </c>
      <c r="R5" s="13">
        <f t="shared" si="1"/>
        <v>345</v>
      </c>
    </row>
    <row r="6">
      <c r="A6" s="3" t="s">
        <v>34</v>
      </c>
      <c r="B6" s="3" t="s">
        <v>35</v>
      </c>
      <c r="C6" s="3">
        <v>23.0</v>
      </c>
      <c r="D6" s="3">
        <v>23.0</v>
      </c>
      <c r="E6" s="3">
        <v>23.0</v>
      </c>
      <c r="F6" s="3">
        <v>23.0</v>
      </c>
      <c r="G6" s="3">
        <v>23.0</v>
      </c>
      <c r="H6" s="6">
        <f>IFERROR(__xludf.DUMMYFUNCTION("HLOOKUP($A6,IMPORTRANGE(""https://docs.google.com/spreadsheets/d/19gjAD4NwTXl_QoKUuwHQ1cWG_S2BOW94pDcyFtPwheg/edit#gid=1009263986"",""'Game 5'!$B$2:$Q$31""),30,False)"),23.0)</f>
        <v>23</v>
      </c>
      <c r="I6" s="5">
        <f>IFERROR(__xludf.DUMMYFUNCTION("HLOOKUP($A6,IMPORTRANGE(""https://docs.google.com/spreadsheets/d/1l83w8bH-F1czkFOqsgQy6o8O33Jb4Pfg40W0ou2nk0k/edit#gid=0"",""'Game 3'!$B$2:$Q$31""),30,False)"),23.0)</f>
        <v>23</v>
      </c>
      <c r="J6" s="5">
        <f>IFERROR(__xludf.DUMMYFUNCTION("HLOOKUP($A6,IMPORTRANGE(""https://docs.google.com/spreadsheets/d/15X-ub7GvrCQZ3UGgyogcjwYdxG-Ng8WHxzGSj1Z3eLw/edit#gid=0"",""'Game 9'!$B$2:$Q$31""),30,False)"),23.0)</f>
        <v>23</v>
      </c>
      <c r="K6" s="5">
        <f>IFERROR(__xludf.DUMMYFUNCTION("IFERROR(HLOOKUP($A6,IMPORTRANGE(""https://docs.google.com/spreadsheets/d/194Bw3ABslPPhOOPvVoMzIk8sOQFICWBu2pydWdYMD-w/edit#gid=0"",""'Game 10'!$B$2:$Q$26""),25,False),1)"),23.0)</f>
        <v>23</v>
      </c>
      <c r="L6" s="5">
        <f>IFERROR(__xludf.DUMMYFUNCTION("IFERROR(HLOOKUP($A6,IMPORTRANGE(""https://docs.google.com/spreadsheets/d/1F2Bi6K_I1K9xRxY5qb-bNRo5m-Kw7udpF1OaTHhrxjs/edit#gid=0"",""'Game 6'!$B$2:$Q$26""),25,False),1)"),23.0)</f>
        <v>23</v>
      </c>
      <c r="M6" s="5">
        <f>IFERROR(__xludf.DUMMYFUNCTION("IFERROR(HLOOKUP($A6,IMPORTRANGE(""https://docs.google.com/spreadsheets/d/1NDNgi_Ny4dRhc2A3UMIIkalN-V6EmsvxOfDzMRQlQ40/edit#gid=0"",""'Game 12'!$B$2:$Q$31""),30,False),1)"),23.0)</f>
        <v>23</v>
      </c>
      <c r="N6" s="5">
        <f>IFERROR(__xludf.DUMMYFUNCTION("IFERROR(HLOOKUP($A6,IMPORTRANGE(""https://docs.google.com/spreadsheets/d/1UDYA3-RrkJNLa2ZLH1NnUjKyfCoiSODmgVL_Au_zt-Y/edit#gid=0"",""'Game 11'!$B$2:$Q$31""),30,False),1)"),23.0)</f>
        <v>23</v>
      </c>
      <c r="O6" s="5">
        <f>IFERROR(__xludf.DUMMYFUNCTION("IFERROR(HLOOKUP($A6,IMPORTRANGE(""https://docs.google.com/spreadsheets/d/1fvo6H94Wcffp6c4N9g3JKCW6y2ZlijPxdOsNz7xdBhw/edit#gid=0"",""'Game 10'!$B$2:$Q$31""),30,False),1)"),23.0)</f>
        <v>23</v>
      </c>
      <c r="P6" s="5">
        <f>IFERROR(__xludf.DUMMYFUNCTION("IFERROR(HLOOKUP($A6,IMPORTRANGE(""https://docs.google.com/spreadsheets/d/1wfQePArl-A-5QJe5xAufoOnzeNLVSoHCRcmpZ_FMdns/edit#gid=0"",""'Game 8'!$B$2:$Q$31""),30,False),1)"),23.0)</f>
        <v>23</v>
      </c>
      <c r="Q6" s="5">
        <f>IFERROR(__xludf.DUMMYFUNCTION("IFERROR(HLOOKUP($A6,IMPORTRANGE(""https://docs.google.com/spreadsheets/d/1wydNznS0hZhVh3oGSdiCZSsReuqMT7Xaw718ix58zAI/edit#gid=0"",""'Game 11'!$B$2:$Q$31""),30,False),1)"),23.0)</f>
        <v>23</v>
      </c>
      <c r="R6" s="6">
        <f t="shared" si="1"/>
        <v>345</v>
      </c>
    </row>
    <row r="7">
      <c r="A7" s="2" t="s">
        <v>38</v>
      </c>
      <c r="B7" s="10" t="s">
        <v>35</v>
      </c>
      <c r="C7" s="2">
        <v>12.0</v>
      </c>
      <c r="D7" s="2">
        <v>23.0</v>
      </c>
      <c r="E7" s="2">
        <v>0.0</v>
      </c>
      <c r="F7" s="2">
        <v>12.0</v>
      </c>
      <c r="G7" s="2">
        <v>23.0</v>
      </c>
      <c r="H7" s="13">
        <f>IFERROR(__xludf.DUMMYFUNCTION("HLOOKUP($A7,IMPORTRANGE(""https://docs.google.com/spreadsheets/d/19gjAD4NwTXl_QoKUuwHQ1cWG_S2BOW94pDcyFtPwheg/edit#gid=1009263986"",""'Game 5'!$B$2:$Q$31""),30,False)"),0.0)</f>
        <v>0</v>
      </c>
      <c r="I7" s="12">
        <f>IFERROR(__xludf.DUMMYFUNCTION("HLOOKUP($A7,IMPORTRANGE(""https://docs.google.com/spreadsheets/d/1l83w8bH-F1czkFOqsgQy6o8O33Jb4Pfg40W0ou2nk0k/edit#gid=0"",""'Game 3'!$B$2:$Q$31""),30,False)"),23.0)</f>
        <v>23</v>
      </c>
      <c r="J7" s="12">
        <f>IFERROR(__xludf.DUMMYFUNCTION("HLOOKUP($A7,IMPORTRANGE(""https://docs.google.com/spreadsheets/d/15X-ub7GvrCQZ3UGgyogcjwYdxG-Ng8WHxzGSj1Z3eLw/edit#gid=0"",""'Game 9'!$B$2:$Q$31""),30,False)"),0.0)</f>
        <v>0</v>
      </c>
      <c r="K7" s="12">
        <f>IFERROR(__xludf.DUMMYFUNCTION("IFERROR(HLOOKUP($A7,IMPORTRANGE(""https://docs.google.com/spreadsheets/d/194Bw3ABslPPhOOPvVoMzIk8sOQFICWBu2pydWdYMD-w/edit#gid=0"",""'Game 10'!$B$2:$Q$26""),25,False),1)"),11.0)</f>
        <v>11</v>
      </c>
      <c r="L7" s="12">
        <f>IFERROR(__xludf.DUMMYFUNCTION("IFERROR(HLOOKUP($A7,IMPORTRANGE(""https://docs.google.com/spreadsheets/d/1F2Bi6K_I1K9xRxY5qb-bNRo5m-Kw7udpF1OaTHhrxjs/edit#gid=0"",""'Game 6'!$B$2:$Q$26""),25,False),1)"),23.0)</f>
        <v>23</v>
      </c>
      <c r="M7" s="12">
        <f>IFERROR(__xludf.DUMMYFUNCTION("IFERROR(HLOOKUP($A7,IMPORTRANGE(""https://docs.google.com/spreadsheets/d/1NDNgi_Ny4dRhc2A3UMIIkalN-V6EmsvxOfDzMRQlQ40/edit#gid=0"",""'Game 12'!$B$2:$Q$31""),30,False),1)"),23.0)</f>
        <v>23</v>
      </c>
      <c r="N7" s="12">
        <f>IFERROR(__xludf.DUMMYFUNCTION("IFERROR(HLOOKUP($A7,IMPORTRANGE(""https://docs.google.com/spreadsheets/d/1UDYA3-RrkJNLa2ZLH1NnUjKyfCoiSODmgVL_Au_zt-Y/edit#gid=0"",""'Game 11'!$B$2:$Q$31""),30,False),1)"),11.0)</f>
        <v>11</v>
      </c>
      <c r="O7" s="12">
        <f>IFERROR(__xludf.DUMMYFUNCTION("IFERROR(HLOOKUP($A7,IMPORTRANGE(""https://docs.google.com/spreadsheets/d/1fvo6H94Wcffp6c4N9g3JKCW6y2ZlijPxdOsNz7xdBhw/edit#gid=0"",""'Game 10'!$B$2:$Q$31""),30,False),1)"),0.0)</f>
        <v>0</v>
      </c>
      <c r="P7" s="12">
        <f>IFERROR(__xludf.DUMMYFUNCTION("IFERROR(HLOOKUP($A7,IMPORTRANGE(""https://docs.google.com/spreadsheets/d/1wfQePArl-A-5QJe5xAufoOnzeNLVSoHCRcmpZ_FMdns/edit#gid=0"",""'Game 8'!$B$2:$Q$31""),30,False),1)"),23.0)</f>
        <v>23</v>
      </c>
      <c r="Q7" s="12">
        <f>IFERROR(__xludf.DUMMYFUNCTION("IFERROR(HLOOKUP($A7,IMPORTRANGE(""https://docs.google.com/spreadsheets/d/1wydNznS0hZhVh3oGSdiCZSsReuqMT7Xaw718ix58zAI/edit#gid=0"",""'Game 11'!$B$2:$Q$31""),30,False),1)"),23.0)</f>
        <v>23</v>
      </c>
      <c r="R7" s="13">
        <f t="shared" si="1"/>
        <v>207</v>
      </c>
    </row>
    <row r="8">
      <c r="A8" s="3" t="s">
        <v>40</v>
      </c>
      <c r="B8" s="17" t="s">
        <v>35</v>
      </c>
      <c r="C8" s="3">
        <v>11.0</v>
      </c>
      <c r="D8" s="3">
        <v>0.0</v>
      </c>
      <c r="E8" s="3">
        <v>23.0</v>
      </c>
      <c r="F8" s="3">
        <v>11.0</v>
      </c>
      <c r="G8" s="3">
        <v>0.0</v>
      </c>
      <c r="H8" s="6">
        <f>IFERROR(__xludf.DUMMYFUNCTION("HLOOKUP($A8,IMPORTRANGE(""https://docs.google.com/spreadsheets/d/19gjAD4NwTXl_QoKUuwHQ1cWG_S2BOW94pDcyFtPwheg/edit#gid=1009263986"",""'Game 5'!$B$2:$Q$31""),30,False)"),23.0)</f>
        <v>23</v>
      </c>
      <c r="I8" s="5">
        <f>IFERROR(__xludf.DUMMYFUNCTION("HLOOKUP($A8,IMPORTRANGE(""https://docs.google.com/spreadsheets/d/1l83w8bH-F1czkFOqsgQy6o8O33Jb4Pfg40W0ou2nk0k/edit#gid=0"",""'Game 3'!$B$2:$Q$31""),30,False)"),0.0)</f>
        <v>0</v>
      </c>
      <c r="J8" s="5">
        <f>IFERROR(__xludf.DUMMYFUNCTION("HLOOKUP($A8,IMPORTRANGE(""https://docs.google.com/spreadsheets/d/15X-ub7GvrCQZ3UGgyogcjwYdxG-Ng8WHxzGSj1Z3eLw/edit#gid=0"",""'Game 9'!$B$2:$Q$31""),30,False)"),23.0)</f>
        <v>23</v>
      </c>
      <c r="K8" s="5">
        <f>IFERROR(__xludf.DUMMYFUNCTION("IFERROR(HLOOKUP($A8,IMPORTRANGE(""https://docs.google.com/spreadsheets/d/194Bw3ABslPPhOOPvVoMzIk8sOQFICWBu2pydWdYMD-w/edit#gid=0"",""'Game 10'!$B$2:$Q$26""),25,False),1)"),12.0)</f>
        <v>12</v>
      </c>
      <c r="L8" s="5">
        <f>IFERROR(__xludf.DUMMYFUNCTION("IFERROR(HLOOKUP($A8,IMPORTRANGE(""https://docs.google.com/spreadsheets/d/1F2Bi6K_I1K9xRxY5qb-bNRo5m-Kw7udpF1OaTHhrxjs/edit#gid=0"",""'Game 6'!$B$2:$Q$26""),25,False),1)"),0.0)</f>
        <v>0</v>
      </c>
      <c r="M8" s="5">
        <f>IFERROR(__xludf.DUMMYFUNCTION("IFERROR(HLOOKUP($A8,IMPORTRANGE(""https://docs.google.com/spreadsheets/d/1NDNgi_Ny4dRhc2A3UMIIkalN-V6EmsvxOfDzMRQlQ40/edit#gid=0"",""'Game 12'!$B$2:$Q$31""),30,False),1)"),0.0)</f>
        <v>0</v>
      </c>
      <c r="N8" s="5">
        <f>IFERROR(__xludf.DUMMYFUNCTION("IFERROR(HLOOKUP($A8,IMPORTRANGE(""https://docs.google.com/spreadsheets/d/1UDYA3-RrkJNLa2ZLH1NnUjKyfCoiSODmgVL_Au_zt-Y/edit#gid=0"",""'Game 11'!$B$2:$Q$31""),30,False),1)"),12.0)</f>
        <v>12</v>
      </c>
      <c r="O8" s="5">
        <f>IFERROR(__xludf.DUMMYFUNCTION("IFERROR(HLOOKUP($A8,IMPORTRANGE(""https://docs.google.com/spreadsheets/d/1fvo6H94Wcffp6c4N9g3JKCW6y2ZlijPxdOsNz7xdBhw/edit#gid=0"",""'Game 10'!$B$2:$Q$31""),30,False),1)"),23.0)</f>
        <v>23</v>
      </c>
      <c r="P8" s="5">
        <f>IFERROR(__xludf.DUMMYFUNCTION("IFERROR(HLOOKUP($A8,IMPORTRANGE(""https://docs.google.com/spreadsheets/d/1wfQePArl-A-5QJe5xAufoOnzeNLVSoHCRcmpZ_FMdns/edit#gid=0"",""'Game 8'!$B$2:$Q$31""),30,False),1)"),0.0)</f>
        <v>0</v>
      </c>
      <c r="Q8" s="5">
        <f>IFERROR(__xludf.DUMMYFUNCTION("IFERROR(HLOOKUP($A8,IMPORTRANGE(""https://docs.google.com/spreadsheets/d/1wydNznS0hZhVh3oGSdiCZSsReuqMT7Xaw718ix58zAI/edit#gid=0"",""'Game 11'!$B$2:$Q$31""),30,False),1)"),0.0)</f>
        <v>0</v>
      </c>
      <c r="R8" s="6">
        <f t="shared" si="1"/>
        <v>138</v>
      </c>
    </row>
    <row r="9">
      <c r="A9" s="2" t="s">
        <v>42</v>
      </c>
      <c r="B9" s="10" t="s">
        <v>35</v>
      </c>
      <c r="C9" s="2">
        <v>23.0</v>
      </c>
      <c r="D9" s="2">
        <v>23.0</v>
      </c>
      <c r="E9" s="2">
        <v>23.0</v>
      </c>
      <c r="F9" s="2">
        <v>23.0</v>
      </c>
      <c r="G9" s="2">
        <v>23.0</v>
      </c>
      <c r="H9" s="13">
        <f>IFERROR(__xludf.DUMMYFUNCTION("HLOOKUP($A9,IMPORTRANGE(""https://docs.google.com/spreadsheets/d/19gjAD4NwTXl_QoKUuwHQ1cWG_S2BOW94pDcyFtPwheg/edit#gid=1009263986"",""'Game 5'!$B$2:$Q$31""),30,False)"),23.0)</f>
        <v>23</v>
      </c>
      <c r="I9" s="12">
        <f>IFERROR(__xludf.DUMMYFUNCTION("HLOOKUP($A9,IMPORTRANGE(""https://docs.google.com/spreadsheets/d/1l83w8bH-F1czkFOqsgQy6o8O33Jb4Pfg40W0ou2nk0k/edit#gid=0"",""'Game 3'!$B$2:$Q$31""),30,False)"),23.0)</f>
        <v>23</v>
      </c>
      <c r="J9" s="12">
        <f>IFERROR(__xludf.DUMMYFUNCTION("HLOOKUP($A9,IMPORTRANGE(""https://docs.google.com/spreadsheets/d/15X-ub7GvrCQZ3UGgyogcjwYdxG-Ng8WHxzGSj1Z3eLw/edit#gid=0"",""'Game 9'!$B$2:$Q$31""),30,False)"),23.0)</f>
        <v>23</v>
      </c>
      <c r="K9" s="12">
        <f>IFERROR(__xludf.DUMMYFUNCTION("IFERROR(HLOOKUP($A9,IMPORTRANGE(""https://docs.google.com/spreadsheets/d/194Bw3ABslPPhOOPvVoMzIk8sOQFICWBu2pydWdYMD-w/edit#gid=0"",""'Game 10'!$B$2:$Q$26""),25,False),1)"),23.0)</f>
        <v>23</v>
      </c>
      <c r="L9" s="12">
        <f>IFERROR(__xludf.DUMMYFUNCTION("IFERROR(HLOOKUP($A9,IMPORTRANGE(""https://docs.google.com/spreadsheets/d/1F2Bi6K_I1K9xRxY5qb-bNRo5m-Kw7udpF1OaTHhrxjs/edit#gid=0"",""'Game 6'!$B$2:$Q$26""),25,False),1)"),23.0)</f>
        <v>23</v>
      </c>
      <c r="M9" s="12">
        <f>IFERROR(__xludf.DUMMYFUNCTION("IFERROR(HLOOKUP($A9,IMPORTRANGE(""https://docs.google.com/spreadsheets/d/1NDNgi_Ny4dRhc2A3UMIIkalN-V6EmsvxOfDzMRQlQ40/edit#gid=0"",""'Game 12'!$B$2:$Q$31""),30,False),1)"),23.0)</f>
        <v>23</v>
      </c>
      <c r="N9" s="12">
        <f>IFERROR(__xludf.DUMMYFUNCTION("IFERROR(HLOOKUP($A9,IMPORTRANGE(""https://docs.google.com/spreadsheets/d/1UDYA3-RrkJNLa2ZLH1NnUjKyfCoiSODmgVL_Au_zt-Y/edit#gid=0"",""'Game 11'!$B$2:$Q$31""),30,False),1)"),23.0)</f>
        <v>23</v>
      </c>
      <c r="O9" s="12">
        <f>IFERROR(__xludf.DUMMYFUNCTION("IFERROR(HLOOKUP($A9,IMPORTRANGE(""https://docs.google.com/spreadsheets/d/1fvo6H94Wcffp6c4N9g3JKCW6y2ZlijPxdOsNz7xdBhw/edit#gid=0"",""'Game 10'!$B$2:$Q$31""),30,False),1)"),23.0)</f>
        <v>23</v>
      </c>
      <c r="P9" s="12">
        <f>IFERROR(__xludf.DUMMYFUNCTION("IFERROR(HLOOKUP($A9,IMPORTRANGE(""https://docs.google.com/spreadsheets/d/1wfQePArl-A-5QJe5xAufoOnzeNLVSoHCRcmpZ_FMdns/edit#gid=0"",""'Game 8'!$B$2:$Q$31""),30,False),1)"),23.0)</f>
        <v>23</v>
      </c>
      <c r="Q9" s="12">
        <f>IFERROR(__xludf.DUMMYFUNCTION("IFERROR(HLOOKUP($A9,IMPORTRANGE(""https://docs.google.com/spreadsheets/d/1wydNznS0hZhVh3oGSdiCZSsReuqMT7Xaw718ix58zAI/edit#gid=0"",""'Game 11'!$B$2:$Q$31""),30,False),1)"),23.0)</f>
        <v>23</v>
      </c>
      <c r="R9" s="13">
        <f t="shared" si="1"/>
        <v>345</v>
      </c>
    </row>
    <row r="10">
      <c r="A10" s="3" t="s">
        <v>45</v>
      </c>
      <c r="B10" s="17" t="s">
        <v>35</v>
      </c>
      <c r="C10" s="3">
        <v>23.0</v>
      </c>
      <c r="D10" s="3">
        <v>23.0</v>
      </c>
      <c r="E10" s="3">
        <v>23.0</v>
      </c>
      <c r="F10" s="3">
        <v>23.0</v>
      </c>
      <c r="G10" s="3">
        <v>23.0</v>
      </c>
      <c r="H10" s="6">
        <f>IFERROR(__xludf.DUMMYFUNCTION("HLOOKUP($A10,IMPORTRANGE(""https://docs.google.com/spreadsheets/d/19gjAD4NwTXl_QoKUuwHQ1cWG_S2BOW94pDcyFtPwheg/edit#gid=1009263986"",""'Game 5'!$B$2:$Q$31""),30,False)"),23.0)</f>
        <v>23</v>
      </c>
      <c r="I10" s="5">
        <f>IFERROR(__xludf.DUMMYFUNCTION("HLOOKUP($A10,IMPORTRANGE(""https://docs.google.com/spreadsheets/d/1l83w8bH-F1czkFOqsgQy6o8O33Jb4Pfg40W0ou2nk0k/edit#gid=0"",""'Game 3'!$B$2:$Q$31""),30,False)"),23.0)</f>
        <v>23</v>
      </c>
      <c r="J10" s="5">
        <f>IFERROR(__xludf.DUMMYFUNCTION("HLOOKUP($A10,IMPORTRANGE(""https://docs.google.com/spreadsheets/d/15X-ub7GvrCQZ3UGgyogcjwYdxG-Ng8WHxzGSj1Z3eLw/edit#gid=0"",""'Game 9'!$B$2:$Q$31""),30,False)"),23.0)</f>
        <v>23</v>
      </c>
      <c r="K10" s="5">
        <f>IFERROR(__xludf.DUMMYFUNCTION("IFERROR(HLOOKUP($A10,IMPORTRANGE(""https://docs.google.com/spreadsheets/d/194Bw3ABslPPhOOPvVoMzIk8sOQFICWBu2pydWdYMD-w/edit#gid=0"",""'Game 10'!$B$2:$Q$26""),25,False),1)"),23.0)</f>
        <v>23</v>
      </c>
      <c r="L10" s="5">
        <f>IFERROR(__xludf.DUMMYFUNCTION("IFERROR(HLOOKUP($A10,IMPORTRANGE(""https://docs.google.com/spreadsheets/d/1F2Bi6K_I1K9xRxY5qb-bNRo5m-Kw7udpF1OaTHhrxjs/edit#gid=0"",""'Game 6'!$B$2:$Q$26""),25,False),1)"),23.0)</f>
        <v>23</v>
      </c>
      <c r="M10" s="5">
        <f>IFERROR(__xludf.DUMMYFUNCTION("IFERROR(HLOOKUP($A10,IMPORTRANGE(""https://docs.google.com/spreadsheets/d/1NDNgi_Ny4dRhc2A3UMIIkalN-V6EmsvxOfDzMRQlQ40/edit#gid=0"",""'Game 12'!$B$2:$Q$31""),30,False),1)"),23.0)</f>
        <v>23</v>
      </c>
      <c r="N10" s="5">
        <f>IFERROR(__xludf.DUMMYFUNCTION("IFERROR(HLOOKUP($A10,IMPORTRANGE(""https://docs.google.com/spreadsheets/d/1UDYA3-RrkJNLa2ZLH1NnUjKyfCoiSODmgVL_Au_zt-Y/edit#gid=0"",""'Game 11'!$B$2:$Q$31""),30,False),1)"),23.0)</f>
        <v>23</v>
      </c>
      <c r="O10" s="5">
        <f>IFERROR(__xludf.DUMMYFUNCTION("IFERROR(HLOOKUP($A10,IMPORTRANGE(""https://docs.google.com/spreadsheets/d/1fvo6H94Wcffp6c4N9g3JKCW6y2ZlijPxdOsNz7xdBhw/edit#gid=0"",""'Game 10'!$B$2:$Q$31""),30,False),1)"),23.0)</f>
        <v>23</v>
      </c>
      <c r="P10" s="5">
        <f>IFERROR(__xludf.DUMMYFUNCTION("IFERROR(HLOOKUP($A10,IMPORTRANGE(""https://docs.google.com/spreadsheets/d/1wfQePArl-A-5QJe5xAufoOnzeNLVSoHCRcmpZ_FMdns/edit#gid=0"",""'Game 8'!$B$2:$Q$31""),30,False),1)"),23.0)</f>
        <v>23</v>
      </c>
      <c r="Q10" s="5">
        <f>IFERROR(__xludf.DUMMYFUNCTION("IFERROR(HLOOKUP($A10,IMPORTRANGE(""https://docs.google.com/spreadsheets/d/1wydNznS0hZhVh3oGSdiCZSsReuqMT7Xaw718ix58zAI/edit#gid=0"",""'Game 11'!$B$2:$Q$31""),30,False),1)"),23.0)</f>
        <v>23</v>
      </c>
      <c r="R10" s="6">
        <f t="shared" si="1"/>
        <v>345</v>
      </c>
    </row>
    <row r="11">
      <c r="A11" s="2" t="s">
        <v>47</v>
      </c>
      <c r="B11" s="2" t="s">
        <v>48</v>
      </c>
      <c r="C11" s="2">
        <v>23.0</v>
      </c>
      <c r="D11" s="22">
        <v>23.0</v>
      </c>
      <c r="E11" s="2">
        <v>23.0</v>
      </c>
      <c r="F11" s="2">
        <v>23.0</v>
      </c>
      <c r="G11" s="2">
        <v>23.0</v>
      </c>
      <c r="H11" s="13">
        <f>IFERROR(__xludf.DUMMYFUNCTION("HLOOKUP($A11,IMPORTRANGE(""https://docs.google.com/spreadsheets/d/19gjAD4NwTXl_QoKUuwHQ1cWG_S2BOW94pDcyFtPwheg/edit#gid=1009263986"",""'Game 7'!$B$2:$Q$31""),30,False)"),23.0)</f>
        <v>23</v>
      </c>
      <c r="I11" s="12">
        <f>IFERROR(__xludf.DUMMYFUNCTION("HLOOKUP($A11,IMPORTRANGE(""https://docs.google.com/spreadsheets/d/1l83w8bH-F1czkFOqsgQy6o8O33Jb4Pfg40W0ou2nk0k/edit#gid=0"",""'Game 11'!$B$2:$Q$31""),30,False)"),23.0)</f>
        <v>23</v>
      </c>
      <c r="J11" s="12">
        <f>IFERROR(__xludf.DUMMYFUNCTION("HLOOKUP($A11,IMPORTRANGE(""https://docs.google.com/spreadsheets/d/15X-ub7GvrCQZ3UGgyogcjwYdxG-Ng8WHxzGSj1Z3eLw/edit#gid=0"",""'Game 9'!$B$2:$Q$31""),30,False)"),23.0)</f>
        <v>23</v>
      </c>
      <c r="K11" s="12">
        <f>IFERROR(__xludf.DUMMYFUNCTION("IFERROR(HLOOKUP($A11,IMPORTRANGE(""https://docs.google.com/spreadsheets/d/194Bw3ABslPPhOOPvVoMzIk8sOQFICWBu2pydWdYMD-w/edit#gid=0"",""'Game 4'!$B$2:$Q$31""),30,False),1)"),23.0)</f>
        <v>23</v>
      </c>
      <c r="L11" s="12">
        <f>IFERROR(__xludf.DUMMYFUNCTION("IFERROR(HLOOKUP($A11,IMPORTRANGE(""https://docs.google.com/spreadsheets/d/1F2Bi6K_I1K9xRxY5qb-bNRo5m-Kw7udpF1OaTHhrxjs/edit#gid=0"",""'Game 1'!$B$2:$Q$31""),30,False),1)"),23.0)</f>
        <v>23</v>
      </c>
      <c r="M11" s="12">
        <f>IFERROR(__xludf.DUMMYFUNCTION("IFERROR(HLOOKUP($A11,IMPORTRANGE(""https://docs.google.com/spreadsheets/d/1NDNgi_Ny4dRhc2A3UMIIkalN-V6EmsvxOfDzMRQlQ40/edit#gid=0"",""'Game 10'!$B$2:$Q$31""),30,False),1)"),23.0)</f>
        <v>23</v>
      </c>
      <c r="N11" s="12">
        <f>IFERROR(__xludf.DUMMYFUNCTION("IFERROR(HLOOKUP($A11,IMPORTRANGE(""https://docs.google.com/spreadsheets/d/1UDYA3-RrkJNLa2ZLH1NnUjKyfCoiSODmgVL_Au_zt-Y/edit#gid=0"",""'Game 9'!$B$2:$Q$31""),30,False),1)"),23.0)</f>
        <v>23</v>
      </c>
      <c r="O11" s="12">
        <f>IFERROR(__xludf.DUMMYFUNCTION("IFERROR(HLOOKUP($A11,IMPORTRANGE(""https://docs.google.com/spreadsheets/d/1fvo6H94Wcffp6c4N9g3JKCW6y2ZlijPxdOsNz7xdBhw/edit#gid=0"",""'Game 9'!$B$2:$Q$31""),30,False),1)"),23.0)</f>
        <v>23</v>
      </c>
      <c r="P11" s="12">
        <f>IFERROR(__xludf.DUMMYFUNCTION("IFERROR(HLOOKUP($A11,IMPORTRANGE(""https://docs.google.com/spreadsheets/d/1wfQePArl-A-5QJe5xAufoOnzeNLVSoHCRcmpZ_FMdns/edit#gid=0"",""'Game 5'!$B$2:$Q$31""),30,False),1)"),23.0)</f>
        <v>23</v>
      </c>
      <c r="Q11" s="12">
        <f>IFERROR(__xludf.DUMMYFUNCTION("IFERROR(HLOOKUP($A11,IMPORTRANGE(""https://docs.google.com/spreadsheets/d/1wydNznS0hZhVh3oGSdiCZSsReuqMT7Xaw718ix58zAI/edit#gid=0"",""'Game 5'!$B$2:$Q$31""),30,False),1)"),23.0)</f>
        <v>23</v>
      </c>
      <c r="R11" s="13">
        <f t="shared" si="1"/>
        <v>345</v>
      </c>
    </row>
    <row r="12">
      <c r="A12" s="3" t="s">
        <v>51</v>
      </c>
      <c r="B12" s="17" t="s">
        <v>48</v>
      </c>
      <c r="C12" s="3">
        <v>23.0</v>
      </c>
      <c r="D12" s="24">
        <v>11.0</v>
      </c>
      <c r="E12" s="3">
        <v>23.0</v>
      </c>
      <c r="F12" s="3">
        <v>12.0</v>
      </c>
      <c r="G12" s="3">
        <v>23.0</v>
      </c>
      <c r="H12" s="6">
        <f>IFERROR(__xludf.DUMMYFUNCTION("HLOOKUP($A12,IMPORTRANGE(""https://docs.google.com/spreadsheets/d/19gjAD4NwTXl_QoKUuwHQ1cWG_S2BOW94pDcyFtPwheg/edit#gid=1009263986"",""'Game 7'!$B$2:$Q$31""),30,False)"),23.0)</f>
        <v>23</v>
      </c>
      <c r="I12" s="5">
        <f>IFERROR(__xludf.DUMMYFUNCTION("HLOOKUP($A12,IMPORTRANGE(""https://docs.google.com/spreadsheets/d/1l83w8bH-F1czkFOqsgQy6o8O33Jb4Pfg40W0ou2nk0k/edit#gid=0"",""'Game 11'!$B$2:$Q$31""),30,False)"),23.0)</f>
        <v>23</v>
      </c>
      <c r="J12" s="5">
        <f>IFERROR(__xludf.DUMMYFUNCTION("HLOOKUP($A12,IMPORTRANGE(""https://docs.google.com/spreadsheets/d/15X-ub7GvrCQZ3UGgyogcjwYdxG-Ng8WHxzGSj1Z3eLw/edit#gid=0"",""'Game 9'!$B$2:$Q$31""),30,False)"),23.0)</f>
        <v>23</v>
      </c>
      <c r="K12" s="5">
        <f>IFERROR(__xludf.DUMMYFUNCTION("IFERROR(HLOOKUP($A12,IMPORTRANGE(""https://docs.google.com/spreadsheets/d/194Bw3ABslPPhOOPvVoMzIk8sOQFICWBu2pydWdYMD-w/edit#gid=0"",""'Game 4'!$B$2:$Q$31""),30,False),1)"),11.0)</f>
        <v>11</v>
      </c>
      <c r="L12" s="5">
        <f>IFERROR(__xludf.DUMMYFUNCTION("IFERROR(HLOOKUP($A12,IMPORTRANGE(""https://docs.google.com/spreadsheets/d/1F2Bi6K_I1K9xRxY5qb-bNRo5m-Kw7udpF1OaTHhrxjs/edit#gid=0"",""'Game 1'!$B$2:$Q$31""),30,False),1)"),23.0)</f>
        <v>23</v>
      </c>
      <c r="M12" s="5">
        <f>IFERROR(__xludf.DUMMYFUNCTION("IFERROR(HLOOKUP($A12,IMPORTRANGE(""https://docs.google.com/spreadsheets/d/1NDNgi_Ny4dRhc2A3UMIIkalN-V6EmsvxOfDzMRQlQ40/edit#gid=0"",""'Game 10'!$B$2:$Q$31""),30,False),1)"),11.0)</f>
        <v>11</v>
      </c>
      <c r="N12" s="5">
        <f>IFERROR(__xludf.DUMMYFUNCTION("IFERROR(HLOOKUP($A12,IMPORTRANGE(""https://docs.google.com/spreadsheets/d/1UDYA3-RrkJNLa2ZLH1NnUjKyfCoiSODmgVL_Au_zt-Y/edit#gid=0"",""'Game 9'!$B$2:$Q$31""),30,False),1)"),0.0)</f>
        <v>0</v>
      </c>
      <c r="O12" s="5">
        <f>IFERROR(__xludf.DUMMYFUNCTION("IFERROR(HLOOKUP($A12,IMPORTRANGE(""https://docs.google.com/spreadsheets/d/1fvo6H94Wcffp6c4N9g3JKCW6y2ZlijPxdOsNz7xdBhw/edit#gid=0"",""'Game 9'!$B$2:$Q$31""),30,False),1)"),11.0)</f>
        <v>11</v>
      </c>
      <c r="P12" s="5">
        <f>IFERROR(__xludf.DUMMYFUNCTION("IFERROR(HLOOKUP($A12,IMPORTRANGE(""https://docs.google.com/spreadsheets/d/1wfQePArl-A-5QJe5xAufoOnzeNLVSoHCRcmpZ_FMdns/edit#gid=0"",""'Game 5'!$B$2:$Q$31""),30,False),1)"),23.0)</f>
        <v>23</v>
      </c>
      <c r="Q12" s="5">
        <f>IFERROR(__xludf.DUMMYFUNCTION("IFERROR(HLOOKUP($A12,IMPORTRANGE(""https://docs.google.com/spreadsheets/d/1wydNznS0hZhVh3oGSdiCZSsReuqMT7Xaw718ix58zAI/edit#gid=0"",""'Game 5'!$B$2:$Q$31""),30,False),1)"),11.0)</f>
        <v>11</v>
      </c>
      <c r="R12" s="6">
        <f t="shared" si="1"/>
        <v>251</v>
      </c>
    </row>
    <row r="13">
      <c r="A13" s="2" t="s">
        <v>53</v>
      </c>
      <c r="B13" s="10" t="s">
        <v>48</v>
      </c>
      <c r="C13" s="2">
        <v>0.0</v>
      </c>
      <c r="D13" s="22">
        <v>23.0</v>
      </c>
      <c r="E13" s="2">
        <v>11.0</v>
      </c>
      <c r="F13" s="2">
        <v>11.0</v>
      </c>
      <c r="G13" s="2">
        <v>11.0</v>
      </c>
      <c r="H13" s="13">
        <f>IFERROR(__xludf.DUMMYFUNCTION("HLOOKUP($A13,IMPORTRANGE(""https://docs.google.com/spreadsheets/d/19gjAD4NwTXl_QoKUuwHQ1cWG_S2BOW94pDcyFtPwheg/edit#gid=1009263986"",""'Game 7'!$B$2:$Q$31""),30,False)"),23.0)</f>
        <v>23</v>
      </c>
      <c r="I13" s="12">
        <f>IFERROR(__xludf.DUMMYFUNCTION("HLOOKUP($A13,IMPORTRANGE(""https://docs.google.com/spreadsheets/d/1l83w8bH-F1czkFOqsgQy6o8O33Jb4Pfg40W0ou2nk0k/edit#gid=0"",""'Game 11'!$B$2:$Q$31""),30,False)"),11.0)</f>
        <v>11</v>
      </c>
      <c r="J13" s="12">
        <f>IFERROR(__xludf.DUMMYFUNCTION("HLOOKUP($A13,IMPORTRANGE(""https://docs.google.com/spreadsheets/d/15X-ub7GvrCQZ3UGgyogcjwYdxG-Ng8WHxzGSj1Z3eLw/edit#gid=0"",""'Game 9'!$B$2:$Q$31""),30,False)"),12.0)</f>
        <v>12</v>
      </c>
      <c r="K13" s="12">
        <f>IFERROR(__xludf.DUMMYFUNCTION("IFERROR(HLOOKUP($A13,IMPORTRANGE(""https://docs.google.com/spreadsheets/d/194Bw3ABslPPhOOPvVoMzIk8sOQFICWBu2pydWdYMD-w/edit#gid=0"",""'Game 4'!$B$2:$Q$31""),30,False),1)"),12.0)</f>
        <v>12</v>
      </c>
      <c r="L13" s="12">
        <f>IFERROR(__xludf.DUMMYFUNCTION("IFERROR(HLOOKUP($A13,IMPORTRANGE(""https://docs.google.com/spreadsheets/d/1F2Bi6K_I1K9xRxY5qb-bNRo5m-Kw7udpF1OaTHhrxjs/edit#gid=0"",""'Game 1'!$B$2:$Q$31""),30,False),1)"),12.0)</f>
        <v>12</v>
      </c>
      <c r="M13" s="12">
        <f>IFERROR(__xludf.DUMMYFUNCTION("IFERROR(HLOOKUP($A13,IMPORTRANGE(""https://docs.google.com/spreadsheets/d/1NDNgi_Ny4dRhc2A3UMIIkalN-V6EmsvxOfDzMRQlQ40/edit#gid=0"",""'Game 10'!$B$2:$Q$31""),30,False),1)"),23.0)</f>
        <v>23</v>
      </c>
      <c r="N13" s="12">
        <f>IFERROR(__xludf.DUMMYFUNCTION("IFERROR(HLOOKUP($A13,IMPORTRANGE(""https://docs.google.com/spreadsheets/d/1UDYA3-RrkJNLa2ZLH1NnUjKyfCoiSODmgVL_Au_zt-Y/edit#gid=0"",""'Game 9'!$B$2:$Q$31""),30,False),1)"),23.0)</f>
        <v>23</v>
      </c>
      <c r="O13" s="12">
        <f>IFERROR(__xludf.DUMMYFUNCTION("IFERROR(HLOOKUP($A13,IMPORTRANGE(""https://docs.google.com/spreadsheets/d/1fvo6H94Wcffp6c4N9g3JKCW6y2ZlijPxdOsNz7xdBhw/edit#gid=0"",""'Game 9'!$B$2:$Q$31""),30,False),1)"),12.0)</f>
        <v>12</v>
      </c>
      <c r="P13" s="12">
        <f>IFERROR(__xludf.DUMMYFUNCTION("IFERROR(HLOOKUP($A13,IMPORTRANGE(""https://docs.google.com/spreadsheets/d/1wfQePArl-A-5QJe5xAufoOnzeNLVSoHCRcmpZ_FMdns/edit#gid=0"",""'Game 5'!$B$2:$Q$31""),30,False),1)"),23.0)</f>
        <v>23</v>
      </c>
      <c r="Q13" s="12">
        <f>IFERROR(__xludf.DUMMYFUNCTION("IFERROR(HLOOKUP($A13,IMPORTRANGE(""https://docs.google.com/spreadsheets/d/1wydNznS0hZhVh3oGSdiCZSsReuqMT7Xaw718ix58zAI/edit#gid=0"",""'Game 5'!$B$2:$Q$31""),30,False),1)"),23.0)</f>
        <v>23</v>
      </c>
      <c r="R13" s="13">
        <f t="shared" si="1"/>
        <v>230</v>
      </c>
    </row>
    <row r="14">
      <c r="A14" s="3" t="s">
        <v>56</v>
      </c>
      <c r="B14" s="17" t="s">
        <v>48</v>
      </c>
      <c r="C14" s="3">
        <v>23.0</v>
      </c>
      <c r="D14" s="24">
        <v>23.0</v>
      </c>
      <c r="E14" s="3">
        <v>23.0</v>
      </c>
      <c r="F14" s="3">
        <v>23.0</v>
      </c>
      <c r="G14" s="3">
        <v>23.0</v>
      </c>
      <c r="H14" s="6">
        <f>IFERROR(__xludf.DUMMYFUNCTION("HLOOKUP($A14,IMPORTRANGE(""https://docs.google.com/spreadsheets/d/19gjAD4NwTXl_QoKUuwHQ1cWG_S2BOW94pDcyFtPwheg/edit#gid=1009263986"",""'Game 7'!$B$2:$Q$31""),30,False)"),23.0)</f>
        <v>23</v>
      </c>
      <c r="I14" s="5">
        <f>IFERROR(__xludf.DUMMYFUNCTION("HLOOKUP($A14,IMPORTRANGE(""https://docs.google.com/spreadsheets/d/1l83w8bH-F1czkFOqsgQy6o8O33Jb4Pfg40W0ou2nk0k/edit#gid=0"",""'Game 11'!$B$2:$Q$31""),30,False)"),23.0)</f>
        <v>23</v>
      </c>
      <c r="J14" s="5">
        <f>IFERROR(__xludf.DUMMYFUNCTION("HLOOKUP($A14,IMPORTRANGE(""https://docs.google.com/spreadsheets/d/15X-ub7GvrCQZ3UGgyogcjwYdxG-Ng8WHxzGSj1Z3eLw/edit#gid=0"",""'Game 9'!$B$2:$Q$31""),30,False)"),23.0)</f>
        <v>23</v>
      </c>
      <c r="K14" s="5">
        <f>IFERROR(__xludf.DUMMYFUNCTION("IFERROR(HLOOKUP($A14,IMPORTRANGE(""https://docs.google.com/spreadsheets/d/194Bw3ABslPPhOOPvVoMzIk8sOQFICWBu2pydWdYMD-w/edit#gid=0"",""'Game 4'!$B$2:$Q$31""),30,False),1)"),0.0)</f>
        <v>0</v>
      </c>
      <c r="L14" s="5">
        <f>IFERROR(__xludf.DUMMYFUNCTION("IFERROR(HLOOKUP($A14,IMPORTRANGE(""https://docs.google.com/spreadsheets/d/1F2Bi6K_I1K9xRxY5qb-bNRo5m-Kw7udpF1OaTHhrxjs/edit#gid=0"",""'Game 1'!$B$2:$Q$31""),30,False),1)"),23.0)</f>
        <v>23</v>
      </c>
      <c r="M14" s="5">
        <f>IFERROR(__xludf.DUMMYFUNCTION("IFERROR(HLOOKUP($A14,IMPORTRANGE(""https://docs.google.com/spreadsheets/d/1NDNgi_Ny4dRhc2A3UMIIkalN-V6EmsvxOfDzMRQlQ40/edit#gid=0"",""'Game 10'!$B$2:$Q$31""),30,False),1)"),23.0)</f>
        <v>23</v>
      </c>
      <c r="N14" s="5">
        <f>IFERROR(__xludf.DUMMYFUNCTION("IFERROR(HLOOKUP($A14,IMPORTRANGE(""https://docs.google.com/spreadsheets/d/1UDYA3-RrkJNLa2ZLH1NnUjKyfCoiSODmgVL_Au_zt-Y/edit#gid=0"",""'Game 9'!$B$2:$Q$31""),30,False),1)"),23.0)</f>
        <v>23</v>
      </c>
      <c r="O14" s="5">
        <f>IFERROR(__xludf.DUMMYFUNCTION("IFERROR(HLOOKUP($A14,IMPORTRANGE(""https://docs.google.com/spreadsheets/d/1fvo6H94Wcffp6c4N9g3JKCW6y2ZlijPxdOsNz7xdBhw/edit#gid=0"",""'Game 9'!$B$2:$Q$31""),30,False),1)"),23.0)</f>
        <v>23</v>
      </c>
      <c r="P14" s="5">
        <f>IFERROR(__xludf.DUMMYFUNCTION("IFERROR(HLOOKUP($A14,IMPORTRANGE(""https://docs.google.com/spreadsheets/d/1wfQePArl-A-5QJe5xAufoOnzeNLVSoHCRcmpZ_FMdns/edit#gid=0"",""'Game 5'!$B$2:$Q$31""),30,False),1)"),23.0)</f>
        <v>23</v>
      </c>
      <c r="Q14" s="5">
        <f>IFERROR(__xludf.DUMMYFUNCTION("IFERROR(HLOOKUP($A14,IMPORTRANGE(""https://docs.google.com/spreadsheets/d/1wydNznS0hZhVh3oGSdiCZSsReuqMT7Xaw718ix58zAI/edit#gid=0"",""'Game 5'!$B$2:$Q$31""),30,False),1)"),23.0)</f>
        <v>23</v>
      </c>
      <c r="R14" s="6">
        <f t="shared" si="1"/>
        <v>322</v>
      </c>
    </row>
    <row r="15">
      <c r="A15" s="2" t="s">
        <v>58</v>
      </c>
      <c r="B15" s="10" t="s">
        <v>48</v>
      </c>
      <c r="C15" s="2">
        <v>23.0</v>
      </c>
      <c r="D15" s="22">
        <v>12.0</v>
      </c>
      <c r="E15" s="2">
        <v>12.0</v>
      </c>
      <c r="F15" s="2">
        <v>23.0</v>
      </c>
      <c r="G15" s="2">
        <v>12.0</v>
      </c>
      <c r="H15" s="13">
        <f>IFERROR(__xludf.DUMMYFUNCTION("HLOOKUP($A15,IMPORTRANGE(""https://docs.google.com/spreadsheets/d/19gjAD4NwTXl_QoKUuwHQ1cWG_S2BOW94pDcyFtPwheg/edit#gid=1009263986"",""'Game 7'!$B$2:$Q$31""),30,False)"),0.0)</f>
        <v>0</v>
      </c>
      <c r="I15" s="12">
        <f>IFERROR(__xludf.DUMMYFUNCTION("HLOOKUP($A15,IMPORTRANGE(""https://docs.google.com/spreadsheets/d/1l83w8bH-F1czkFOqsgQy6o8O33Jb4Pfg40W0ou2nk0k/edit#gid=0"",""'Game 11'!$B$2:$Q$31""),30,False)"),12.0)</f>
        <v>12</v>
      </c>
      <c r="J15" s="12">
        <f>IFERROR(__xludf.DUMMYFUNCTION("HLOOKUP($A15,IMPORTRANGE(""https://docs.google.com/spreadsheets/d/15X-ub7GvrCQZ3UGgyogcjwYdxG-Ng8WHxzGSj1Z3eLw/edit#gid=0"",""'Game 9'!$B$2:$Q$31""),30,False)"),11.0)</f>
        <v>11</v>
      </c>
      <c r="K15" s="12">
        <f>IFERROR(__xludf.DUMMYFUNCTION("IFERROR(HLOOKUP($A15,IMPORTRANGE(""https://docs.google.com/spreadsheets/d/194Bw3ABslPPhOOPvVoMzIk8sOQFICWBu2pydWdYMD-w/edit#gid=0"",""'Game 4'!$B$2:$Q$31""),30,False),1)"),0.0)</f>
        <v>0</v>
      </c>
      <c r="L15" s="12">
        <f>IFERROR(__xludf.DUMMYFUNCTION("IFERROR(HLOOKUP($A15,IMPORTRANGE(""https://docs.google.com/spreadsheets/d/1F2Bi6K_I1K9xRxY5qb-bNRo5m-Kw7udpF1OaTHhrxjs/edit#gid=0"",""'Game 1'!$B$2:$Q$31""),30,False),1)"),11.0)</f>
        <v>11</v>
      </c>
      <c r="M15" s="12">
        <f>IFERROR(__xludf.DUMMYFUNCTION("IFERROR(HLOOKUP($A15,IMPORTRANGE(""https://docs.google.com/spreadsheets/d/1NDNgi_Ny4dRhc2A3UMIIkalN-V6EmsvxOfDzMRQlQ40/edit#gid=0"",""'Game 10'!$B$2:$Q$31""),30,False),1)"),12.0)</f>
        <v>12</v>
      </c>
      <c r="N15" s="12">
        <f>IFERROR(__xludf.DUMMYFUNCTION("IFERROR(HLOOKUP($A15,IMPORTRANGE(""https://docs.google.com/spreadsheets/d/1UDYA3-RrkJNLa2ZLH1NnUjKyfCoiSODmgVL_Au_zt-Y/edit#gid=0"",""'Game 9'!$B$2:$Q$31""),30,False),1)"),0.0)</f>
        <v>0</v>
      </c>
      <c r="O15" s="12">
        <f>IFERROR(__xludf.DUMMYFUNCTION("IFERROR(HLOOKUP($A15,IMPORTRANGE(""https://docs.google.com/spreadsheets/d/1fvo6H94Wcffp6c4N9g3JKCW6y2ZlijPxdOsNz7xdBhw/edit#gid=0"",""'Game 9'!$B$2:$Q$31""),30,False),1)"),23.0)</f>
        <v>23</v>
      </c>
      <c r="P15" s="12">
        <f>IFERROR(__xludf.DUMMYFUNCTION("IFERROR(HLOOKUP($A15,IMPORTRANGE(""https://docs.google.com/spreadsheets/d/1wfQePArl-A-5QJe5xAufoOnzeNLVSoHCRcmpZ_FMdns/edit#gid=0"",""'Game 5'!$B$2:$Q$31""),30,False),1)"),0.0)</f>
        <v>0</v>
      </c>
      <c r="Q15" s="12">
        <f>IFERROR(__xludf.DUMMYFUNCTION("IFERROR(HLOOKUP($A15,IMPORTRANGE(""https://docs.google.com/spreadsheets/d/1wydNznS0hZhVh3oGSdiCZSsReuqMT7Xaw718ix58zAI/edit#gid=0"",""'Game 5'!$B$2:$Q$31""),30,False),1)"),12.0)</f>
        <v>12</v>
      </c>
      <c r="R15" s="13">
        <f t="shared" si="1"/>
        <v>163</v>
      </c>
    </row>
    <row r="16">
      <c r="A16" s="16" t="s">
        <v>60</v>
      </c>
      <c r="B16" s="16" t="s">
        <v>61</v>
      </c>
      <c r="C16" s="24">
        <v>23.0</v>
      </c>
      <c r="D16" s="3">
        <v>23.0</v>
      </c>
      <c r="E16" s="3">
        <v>23.0</v>
      </c>
      <c r="F16" s="3">
        <v>23.0</v>
      </c>
      <c r="G16" s="3">
        <v>23.0</v>
      </c>
      <c r="H16" s="6">
        <f>IFERROR(__xludf.DUMMYFUNCTION("HLOOKUP($A16,IMPORTRANGE(""https://docs.google.com/spreadsheets/d/19gjAD4NwTXl_QoKUuwHQ1cWG_S2BOW94pDcyFtPwheg/edit#gid=1009263986"",""'Game 8'!$B$2:$Q$31""),30,False)"),23.0)</f>
        <v>23</v>
      </c>
      <c r="I16" s="5">
        <f>IFERROR(__xludf.DUMMYFUNCTION("HLOOKUP($A16,IMPORTRANGE(""https://docs.google.com/spreadsheets/d/1l83w8bH-F1czkFOqsgQy6o8O33Jb4Pfg40W0ou2nk0k/edit#gid=0"",""'Game 11'!$B$2:$Q$31""),30,False)"),23.0)</f>
        <v>23</v>
      </c>
      <c r="J16" s="5">
        <f>IFERROR(__xludf.DUMMYFUNCTION("HLOOKUP($A16,IMPORTRANGE(""https://docs.google.com/spreadsheets/d/15X-ub7GvrCQZ3UGgyogcjwYdxG-Ng8WHxzGSj1Z3eLw/edit#gid=0"",""'Game 8'!$B$2:$Q$31""),30,False)"),23.0)</f>
        <v>23</v>
      </c>
      <c r="K16" s="5">
        <f>IFERROR(__xludf.DUMMYFUNCTION("IFERROR(HLOOKUP($A16,IMPORTRANGE(""https://docs.google.com/spreadsheets/d/194Bw3ABslPPhOOPvVoMzIk8sOQFICWBu2pydWdYMD-w/edit#gid=0"",""'Game 3'!$B$2:$Q$31""),30,False),1)"),23.0)</f>
        <v>23</v>
      </c>
      <c r="L16" s="5">
        <f>IFERROR(__xludf.DUMMYFUNCTION("IFERROR(HLOOKUP($A16,IMPORTRANGE(""https://docs.google.com/spreadsheets/d/1F2Bi6K_I1K9xRxY5qb-bNRo5m-Kw7udpF1OaTHhrxjs/edit#gid=0"",""'Game 8'!$B$2:$Q$31""),30,False),1)"),23.0)</f>
        <v>23</v>
      </c>
      <c r="M16" s="5">
        <f>IFERROR(__xludf.DUMMYFUNCTION("IFERROR(HLOOKUP($A16,IMPORTRANGE(""https://docs.google.com/spreadsheets/d/1NDNgi_Ny4dRhc2A3UMIIkalN-V6EmsvxOfDzMRQlQ40/edit#gid=0"",""'Game 7'!$B$2:$Q$31""),30,False),1)"),23.0)</f>
        <v>23</v>
      </c>
      <c r="N16" s="5">
        <f>IFERROR(__xludf.DUMMYFUNCTION("IFERROR(HLOOKUP($A16,IMPORTRANGE(""https://docs.google.com/spreadsheets/d/1UDYA3-RrkJNLa2ZLH1NnUjKyfCoiSODmgVL_Au_zt-Y/edit#gid=0"",""'Game 7'!$B$2:$Q$31""),30,False),1)"),23.0)</f>
        <v>23</v>
      </c>
      <c r="O16" s="5">
        <f>IFERROR(__xludf.DUMMYFUNCTION("IFERROR(HLOOKUP($A16,IMPORTRANGE(""https://docs.google.com/spreadsheets/d/1fvo6H94Wcffp6c4N9g3JKCW6y2ZlijPxdOsNz7xdBhw/edit#gid=0"",""'Game 7'!$B$2:$Q$31""),30,False),1)"),23.0)</f>
        <v>23</v>
      </c>
      <c r="P16" s="5">
        <f>IFERROR(__xludf.DUMMYFUNCTION("IFERROR(HLOOKUP($A16,IMPORTRANGE(""https://docs.google.com/spreadsheets/d/1wfQePArl-A-5QJe5xAufoOnzeNLVSoHCRcmpZ_FMdns/edit#gid=0"",""'Game 8'!$B$2:$Q$31""),30,False),1)"),23.0)</f>
        <v>23</v>
      </c>
      <c r="Q16" s="5">
        <f>IFERROR(__xludf.DUMMYFUNCTION("IFERROR(HLOOKUP($A16,IMPORTRANGE(""https://docs.google.com/spreadsheets/d/1wydNznS0hZhVh3oGSdiCZSsReuqMT7Xaw718ix58zAI/edit#gid=0"",""'Game 8'!$B$2:$Q$31""),30,False),1)"),23.0)</f>
        <v>23</v>
      </c>
      <c r="R16" s="6">
        <f t="shared" si="1"/>
        <v>345</v>
      </c>
    </row>
    <row r="17">
      <c r="A17" s="9" t="s">
        <v>65</v>
      </c>
      <c r="B17" s="9" t="s">
        <v>61</v>
      </c>
      <c r="C17" s="22">
        <v>23.0</v>
      </c>
      <c r="D17" s="2">
        <v>23.0</v>
      </c>
      <c r="E17" s="2">
        <v>23.0</v>
      </c>
      <c r="F17" s="2">
        <v>23.0</v>
      </c>
      <c r="G17" s="2">
        <v>23.0</v>
      </c>
      <c r="H17" s="13">
        <f>IFERROR(__xludf.DUMMYFUNCTION("HLOOKUP($A17,IMPORTRANGE(""https://docs.google.com/spreadsheets/d/19gjAD4NwTXl_QoKUuwHQ1cWG_S2BOW94pDcyFtPwheg/edit#gid=1009263986"",""'Game 8'!$B$2:$Q$31""),30,False)"),23.0)</f>
        <v>23</v>
      </c>
      <c r="I17" s="12">
        <f>IFERROR(__xludf.DUMMYFUNCTION("HLOOKUP($A17,IMPORTRANGE(""https://docs.google.com/spreadsheets/d/1l83w8bH-F1czkFOqsgQy6o8O33Jb4Pfg40W0ou2nk0k/edit#gid=0"",""'Game 11'!$B$2:$Q$31""),30,False)"),23.0)</f>
        <v>23</v>
      </c>
      <c r="J17" s="12">
        <f>IFERROR(__xludf.DUMMYFUNCTION("HLOOKUP($A17,IMPORTRANGE(""https://docs.google.com/spreadsheets/d/15X-ub7GvrCQZ3UGgyogcjwYdxG-Ng8WHxzGSj1Z3eLw/edit#gid=0"",""'Game 8'!$B$2:$Q$31""),30,False)"),23.0)</f>
        <v>23</v>
      </c>
      <c r="K17" s="12">
        <f>IFERROR(__xludf.DUMMYFUNCTION("IFERROR(HLOOKUP($A17,IMPORTRANGE(""https://docs.google.com/spreadsheets/d/194Bw3ABslPPhOOPvVoMzIk8sOQFICWBu2pydWdYMD-w/edit#gid=0"",""'Game 3'!$B$2:$Q$31""),30,False),1)"),23.0)</f>
        <v>23</v>
      </c>
      <c r="L17" s="12">
        <f>IFERROR(__xludf.DUMMYFUNCTION("IFERROR(HLOOKUP($A17,IMPORTRANGE(""https://docs.google.com/spreadsheets/d/1F2Bi6K_I1K9xRxY5qb-bNRo5m-Kw7udpF1OaTHhrxjs/edit#gid=0"",""'Game 8'!$B$2:$Q$31""),30,False),1)"),23.0)</f>
        <v>23</v>
      </c>
      <c r="M17" s="12">
        <f>IFERROR(__xludf.DUMMYFUNCTION("IFERROR(HLOOKUP($A17,IMPORTRANGE(""https://docs.google.com/spreadsheets/d/1NDNgi_Ny4dRhc2A3UMIIkalN-V6EmsvxOfDzMRQlQ40/edit#gid=0"",""'Game 7'!$B$2:$Q$31""),30,False),1)"),23.0)</f>
        <v>23</v>
      </c>
      <c r="N17" s="12">
        <f>IFERROR(__xludf.DUMMYFUNCTION("IFERROR(HLOOKUP($A17,IMPORTRANGE(""https://docs.google.com/spreadsheets/d/1UDYA3-RrkJNLa2ZLH1NnUjKyfCoiSODmgVL_Au_zt-Y/edit#gid=0"",""'Game 7'!$B$2:$Q$31""),30,False),1)"),23.0)</f>
        <v>23</v>
      </c>
      <c r="O17" s="12">
        <f>IFERROR(__xludf.DUMMYFUNCTION("IFERROR(HLOOKUP($A17,IMPORTRANGE(""https://docs.google.com/spreadsheets/d/1fvo6H94Wcffp6c4N9g3JKCW6y2ZlijPxdOsNz7xdBhw/edit#gid=0"",""'Game 7'!$B$2:$Q$31""),30,False),1)"),23.0)</f>
        <v>23</v>
      </c>
      <c r="P17" s="12">
        <f>IFERROR(__xludf.DUMMYFUNCTION("IFERROR(HLOOKUP($A17,IMPORTRANGE(""https://docs.google.com/spreadsheets/d/1wfQePArl-A-5QJe5xAufoOnzeNLVSoHCRcmpZ_FMdns/edit#gid=0"",""'Game 8'!$B$2:$Q$31""),30,False),1)"),23.0)</f>
        <v>23</v>
      </c>
      <c r="Q17" s="12">
        <f>IFERROR(__xludf.DUMMYFUNCTION("IFERROR(HLOOKUP($A17,IMPORTRANGE(""https://docs.google.com/spreadsheets/d/1wydNznS0hZhVh3oGSdiCZSsReuqMT7Xaw718ix58zAI/edit#gid=0"",""'Game 8'!$B$2:$Q$31""),30,False),1)"),23.0)</f>
        <v>23</v>
      </c>
      <c r="R17" s="13">
        <f t="shared" si="1"/>
        <v>345</v>
      </c>
    </row>
    <row r="18">
      <c r="A18" s="16" t="s">
        <v>66</v>
      </c>
      <c r="B18" s="16" t="s">
        <v>61</v>
      </c>
      <c r="C18" s="24">
        <v>23.0</v>
      </c>
      <c r="D18" s="3">
        <v>23.0</v>
      </c>
      <c r="E18" s="3">
        <v>23.0</v>
      </c>
      <c r="F18" s="3">
        <v>23.0</v>
      </c>
      <c r="G18" s="3">
        <v>23.0</v>
      </c>
      <c r="H18" s="6">
        <f>IFERROR(__xludf.DUMMYFUNCTION("HLOOKUP($A18,IMPORTRANGE(""https://docs.google.com/spreadsheets/d/19gjAD4NwTXl_QoKUuwHQ1cWG_S2BOW94pDcyFtPwheg/edit#gid=1009263986"",""'Game 8'!$B$2:$Q$31""),30,False)"),23.0)</f>
        <v>23</v>
      </c>
      <c r="I18" s="5">
        <f>IFERROR(__xludf.DUMMYFUNCTION("HLOOKUP($A18,IMPORTRANGE(""https://docs.google.com/spreadsheets/d/1l83w8bH-F1czkFOqsgQy6o8O33Jb4Pfg40W0ou2nk0k/edit#gid=0"",""'Game 11'!$B$2:$Q$31""),30,False)"),23.0)</f>
        <v>23</v>
      </c>
      <c r="J18" s="5">
        <f>IFERROR(__xludf.DUMMYFUNCTION("HLOOKUP($A18,IMPORTRANGE(""https://docs.google.com/spreadsheets/d/15X-ub7GvrCQZ3UGgyogcjwYdxG-Ng8WHxzGSj1Z3eLw/edit#gid=0"",""'Game 8'!$B$2:$Q$31""),30,False)"),23.0)</f>
        <v>23</v>
      </c>
      <c r="K18" s="5">
        <f>IFERROR(__xludf.DUMMYFUNCTION("IFERROR(HLOOKUP($A18,IMPORTRANGE(""https://docs.google.com/spreadsheets/d/194Bw3ABslPPhOOPvVoMzIk8sOQFICWBu2pydWdYMD-w/edit#gid=0"",""'Game 3'!$B$2:$Q$31""),30,False),1)"),23.0)</f>
        <v>23</v>
      </c>
      <c r="L18" s="5">
        <f>IFERROR(__xludf.DUMMYFUNCTION("IFERROR(HLOOKUP($A18,IMPORTRANGE(""https://docs.google.com/spreadsheets/d/1F2Bi6K_I1K9xRxY5qb-bNRo5m-Kw7udpF1OaTHhrxjs/edit#gid=0"",""'Game 8'!$B$2:$Q$31""),30,False),1)"),23.0)</f>
        <v>23</v>
      </c>
      <c r="M18" s="5">
        <f>IFERROR(__xludf.DUMMYFUNCTION("IFERROR(HLOOKUP($A18,IMPORTRANGE(""https://docs.google.com/spreadsheets/d/1NDNgi_Ny4dRhc2A3UMIIkalN-V6EmsvxOfDzMRQlQ40/edit#gid=0"",""'Game 7'!$B$2:$Q$31""),30,False),1)"),23.0)</f>
        <v>23</v>
      </c>
      <c r="N18" s="5">
        <f>IFERROR(__xludf.DUMMYFUNCTION("IFERROR(HLOOKUP($A18,IMPORTRANGE(""https://docs.google.com/spreadsheets/d/1UDYA3-RrkJNLa2ZLH1NnUjKyfCoiSODmgVL_Au_zt-Y/edit#gid=0"",""'Game 7'!$B$2:$Q$31""),30,False),1)"),23.0)</f>
        <v>23</v>
      </c>
      <c r="O18" s="5">
        <f>IFERROR(__xludf.DUMMYFUNCTION("IFERROR(HLOOKUP($A18,IMPORTRANGE(""https://docs.google.com/spreadsheets/d/1fvo6H94Wcffp6c4N9g3JKCW6y2ZlijPxdOsNz7xdBhw/edit#gid=0"",""'Game 7'!$B$2:$Q$31""),30,False),1)"),23.0)</f>
        <v>23</v>
      </c>
      <c r="P18" s="5">
        <f>IFERROR(__xludf.DUMMYFUNCTION("IFERROR(HLOOKUP($A18,IMPORTRANGE(""https://docs.google.com/spreadsheets/d/1wfQePArl-A-5QJe5xAufoOnzeNLVSoHCRcmpZ_FMdns/edit#gid=0"",""'Game 8'!$B$2:$Q$31""),30,False),1)"),23.0)</f>
        <v>23</v>
      </c>
      <c r="Q18" s="5">
        <f>IFERROR(__xludf.DUMMYFUNCTION("IFERROR(HLOOKUP($A18,IMPORTRANGE(""https://docs.google.com/spreadsheets/d/1wydNznS0hZhVh3oGSdiCZSsReuqMT7Xaw718ix58zAI/edit#gid=0"",""'Game 8'!$B$2:$Q$31""),30,False),1)"),23.0)</f>
        <v>23</v>
      </c>
      <c r="R18" s="6">
        <f t="shared" si="1"/>
        <v>345</v>
      </c>
    </row>
    <row r="19">
      <c r="A19" s="8" t="s">
        <v>69</v>
      </c>
      <c r="B19" s="9" t="s">
        <v>61</v>
      </c>
      <c r="C19" s="22">
        <v>23.0</v>
      </c>
      <c r="D19" s="2">
        <v>23.0</v>
      </c>
      <c r="E19" s="2">
        <v>23.0</v>
      </c>
      <c r="F19" s="2">
        <v>23.0</v>
      </c>
      <c r="G19" s="2">
        <v>23.0</v>
      </c>
      <c r="H19" s="13">
        <f>IFERROR(__xludf.DUMMYFUNCTION("HLOOKUP($A19,IMPORTRANGE(""https://docs.google.com/spreadsheets/d/19gjAD4NwTXl_QoKUuwHQ1cWG_S2BOW94pDcyFtPwheg/edit#gid=1009263986"",""'Game 8'!$B$2:$Q$31""),30,False)"),23.0)</f>
        <v>23</v>
      </c>
      <c r="I19" s="12">
        <f>IFERROR(__xludf.DUMMYFUNCTION("HLOOKUP($A19,IMPORTRANGE(""https://docs.google.com/spreadsheets/d/1l83w8bH-F1czkFOqsgQy6o8O33Jb4Pfg40W0ou2nk0k/edit#gid=0"",""'Game 11'!$B$2:$Q$31""),30,False)"),23.0)</f>
        <v>23</v>
      </c>
      <c r="J19" s="12">
        <f>IFERROR(__xludf.DUMMYFUNCTION("HLOOKUP($A19,IMPORTRANGE(""https://docs.google.com/spreadsheets/d/15X-ub7GvrCQZ3UGgyogcjwYdxG-Ng8WHxzGSj1Z3eLw/edit#gid=0"",""'Game 8'!$B$2:$Q$31""),30,False)"),23.0)</f>
        <v>23</v>
      </c>
      <c r="K19" s="12">
        <f>IFERROR(__xludf.DUMMYFUNCTION("IFERROR(HLOOKUP($A19,IMPORTRANGE(""https://docs.google.com/spreadsheets/d/194Bw3ABslPPhOOPvVoMzIk8sOQFICWBu2pydWdYMD-w/edit#gid=0"",""'Game 3'!$B$2:$Q$31""),30,False),1)"),23.0)</f>
        <v>23</v>
      </c>
      <c r="L19" s="12">
        <f>IFERROR(__xludf.DUMMYFUNCTION("IFERROR(HLOOKUP($A19,IMPORTRANGE(""https://docs.google.com/spreadsheets/d/1F2Bi6K_I1K9xRxY5qb-bNRo5m-Kw7udpF1OaTHhrxjs/edit#gid=0"",""'Game 8'!$B$2:$Q$31""),30,False),1)"),23.0)</f>
        <v>23</v>
      </c>
      <c r="M19" s="12">
        <f>IFERROR(__xludf.DUMMYFUNCTION("IFERROR(HLOOKUP($A19,IMPORTRANGE(""https://docs.google.com/spreadsheets/d/1NDNgi_Ny4dRhc2A3UMIIkalN-V6EmsvxOfDzMRQlQ40/edit#gid=0"",""'Game 7'!$B$2:$Q$31""),30,False),1)"),23.0)</f>
        <v>23</v>
      </c>
      <c r="N19" s="12">
        <f>IFERROR(__xludf.DUMMYFUNCTION("IFERROR(HLOOKUP($A19,IMPORTRANGE(""https://docs.google.com/spreadsheets/d/1UDYA3-RrkJNLa2ZLH1NnUjKyfCoiSODmgVL_Au_zt-Y/edit#gid=0"",""'Game 7'!$B$2:$Q$31""),30,False),1)"),23.0)</f>
        <v>23</v>
      </c>
      <c r="O19" s="12">
        <f>IFERROR(__xludf.DUMMYFUNCTION("IFERROR(HLOOKUP($A19,IMPORTRANGE(""https://docs.google.com/spreadsheets/d/1fvo6H94Wcffp6c4N9g3JKCW6y2ZlijPxdOsNz7xdBhw/edit#gid=0"",""'Game 7'!$B$2:$Q$31""),30,False),1)"),23.0)</f>
        <v>23</v>
      </c>
      <c r="P19" s="12">
        <f>IFERROR(__xludf.DUMMYFUNCTION("IFERROR(HLOOKUP($A19,IMPORTRANGE(""https://docs.google.com/spreadsheets/d/1wfQePArl-A-5QJe5xAufoOnzeNLVSoHCRcmpZ_FMdns/edit#gid=0"",""'Game 8'!$B$2:$Q$31""),30,False),1)"),23.0)</f>
        <v>23</v>
      </c>
      <c r="Q19" s="12">
        <f>IFERROR(__xludf.DUMMYFUNCTION("IFERROR(HLOOKUP($A19,IMPORTRANGE(""https://docs.google.com/spreadsheets/d/1wydNznS0hZhVh3oGSdiCZSsReuqMT7Xaw718ix58zAI/edit#gid=0"",""'Game 8'!$B$2:$Q$31""),30,False),1)"),0.0)</f>
        <v>0</v>
      </c>
      <c r="R19" s="13">
        <f t="shared" si="1"/>
        <v>322</v>
      </c>
    </row>
    <row r="20">
      <c r="A20" s="3" t="s">
        <v>71</v>
      </c>
      <c r="B20" s="3" t="s">
        <v>72</v>
      </c>
      <c r="C20" s="3">
        <v>23.0</v>
      </c>
      <c r="D20" s="3">
        <v>23.0</v>
      </c>
      <c r="E20" s="3">
        <v>23.0</v>
      </c>
      <c r="F20" s="3">
        <v>23.0</v>
      </c>
      <c r="G20" s="3">
        <v>23.0</v>
      </c>
      <c r="H20" s="6">
        <f>IFERROR(__xludf.DUMMYFUNCTION("HLOOKUP($A20,IMPORTRANGE(""https://docs.google.com/spreadsheets/d/19gjAD4NwTXl_QoKUuwHQ1cWG_S2BOW94pDcyFtPwheg/edit#gid=1009263986"",""'Game 9'!$B$2:$Q$31""),30,False)"),23.0)</f>
        <v>23</v>
      </c>
      <c r="I20" s="5">
        <f>IFERROR(__xludf.DUMMYFUNCTION("HLOOKUP($A20,IMPORTRANGE(""https://docs.google.com/spreadsheets/d/1l83w8bH-F1czkFOqsgQy6o8O33Jb4Pfg40W0ou2nk0k/edit#gid=0"",""'Game 5'!$B$2:$Q$31""),30,False)"),23.0)</f>
        <v>23</v>
      </c>
      <c r="J20" s="5">
        <f>IFERROR(__xludf.DUMMYFUNCTION("HLOOKUP($A20,IMPORTRANGE(""https://docs.google.com/spreadsheets/d/15X-ub7GvrCQZ3UGgyogcjwYdxG-Ng8WHxzGSj1Z3eLw/edit#gid=0"",""'Game 8'!$B$2:$Q$31""),30,False)"),23.0)</f>
        <v>23</v>
      </c>
      <c r="K20" s="5">
        <f>IFERROR(__xludf.DUMMYFUNCTION("IFERROR(HLOOKUP($A20,IMPORTRANGE(""https://docs.google.com/spreadsheets/d/194Bw3ABslPPhOOPvVoMzIk8sOQFICWBu2pydWdYMD-w/edit#gid=0"",""'Game 6'!$B$2:$Q$31""),30,False),1)"),23.0)</f>
        <v>23</v>
      </c>
      <c r="L20" s="5">
        <f>IFERROR(__xludf.DUMMYFUNCTION("IFERROR(HLOOKUP($A20,IMPORTRANGE(""https://docs.google.com/spreadsheets/d/1F2Bi6K_I1K9xRxY5qb-bNRo5m-Kw7udpF1OaTHhrxjs/edit#gid=0"",""'Game 11'!$B$2:$Q$31""),30,False),1)"),23.0)</f>
        <v>23</v>
      </c>
      <c r="M20" s="5">
        <f>IFERROR(__xludf.DUMMYFUNCTION("IFERROR(HLOOKUP($A20,IMPORTRANGE(""https://docs.google.com/spreadsheets/d/1NDNgi_Ny4dRhc2A3UMIIkalN-V6EmsvxOfDzMRQlQ40/edit#gid=0"",""'Game 11'!$B$2:$Q$31""),30,False),1)"),23.0)</f>
        <v>23</v>
      </c>
      <c r="N20" s="5">
        <f>IFERROR(__xludf.DUMMYFUNCTION("IFERROR(HLOOKUP($A20,IMPORTRANGE(""https://docs.google.com/spreadsheets/d/1UDYA3-RrkJNLa2ZLH1NnUjKyfCoiSODmgVL_Au_zt-Y/edit#gid=0"",""'Game 12'!$B$2:$Q$31""),30,False),1)"),23.0)</f>
        <v>23</v>
      </c>
      <c r="O20" s="5">
        <f>IFERROR(__xludf.DUMMYFUNCTION("IFERROR(HLOOKUP($A20,IMPORTRANGE(""https://docs.google.com/spreadsheets/d/1fvo6H94Wcffp6c4N9g3JKCW6y2ZlijPxdOsNz7xdBhw/edit#gid=0"",""'Game 1'!$B$2:$Q$31""),30,False),1)"),23.0)</f>
        <v>23</v>
      </c>
      <c r="P20" s="5">
        <f>IFERROR(__xludf.DUMMYFUNCTION("IFERROR(HLOOKUP($A20,IMPORTRANGE(""https://docs.google.com/spreadsheets/d/1wfQePArl-A-5QJe5xAufoOnzeNLVSoHCRcmpZ_FMdns/edit#gid=0"",""'Game 9'!$B$2:$Q$31""),30,False),1)"),23.0)</f>
        <v>23</v>
      </c>
      <c r="Q20" s="5">
        <f>IFERROR(__xludf.DUMMYFUNCTION("IFERROR(HLOOKUP($A20,IMPORTRANGE(""https://docs.google.com/spreadsheets/d/1wydNznS0hZhVh3oGSdiCZSsReuqMT7Xaw718ix58zAI/edit#gid=0"",""'Game 10'!$B$2:$Q$31""),30,False),1)"),23.0)</f>
        <v>23</v>
      </c>
      <c r="R20" s="6">
        <f t="shared" si="1"/>
        <v>345</v>
      </c>
    </row>
    <row r="21">
      <c r="A21" s="2" t="s">
        <v>75</v>
      </c>
      <c r="B21" s="2" t="s">
        <v>72</v>
      </c>
      <c r="C21" s="2">
        <v>23.0</v>
      </c>
      <c r="D21" s="2">
        <v>23.0</v>
      </c>
      <c r="E21" s="2">
        <v>23.0</v>
      </c>
      <c r="F21" s="2">
        <v>23.0</v>
      </c>
      <c r="G21" s="2">
        <v>23.0</v>
      </c>
      <c r="H21" s="13">
        <f>IFERROR(__xludf.DUMMYFUNCTION("HLOOKUP($A21,IMPORTRANGE(""https://docs.google.com/spreadsheets/d/19gjAD4NwTXl_QoKUuwHQ1cWG_S2BOW94pDcyFtPwheg/edit#gid=1009263986"",""'Game 9'!$B$2:$Q$31""),30,False)"),23.0)</f>
        <v>23</v>
      </c>
      <c r="I21" s="12">
        <f>IFERROR(__xludf.DUMMYFUNCTION("HLOOKUP($A21,IMPORTRANGE(""https://docs.google.com/spreadsheets/d/1l83w8bH-F1czkFOqsgQy6o8O33Jb4Pfg40W0ou2nk0k/edit#gid=0"",""'Game 5'!$B$2:$Q$31""),30,False)"),23.0)</f>
        <v>23</v>
      </c>
      <c r="J21" s="12">
        <f>IFERROR(__xludf.DUMMYFUNCTION("HLOOKUP($A21,IMPORTRANGE(""https://docs.google.com/spreadsheets/d/15X-ub7GvrCQZ3UGgyogcjwYdxG-Ng8WHxzGSj1Z3eLw/edit#gid=0"",""'Game 8'!$B$2:$Q$31""),30,False)"),23.0)</f>
        <v>23</v>
      </c>
      <c r="K21" s="12">
        <f>IFERROR(__xludf.DUMMYFUNCTION("IFERROR(HLOOKUP($A21,IMPORTRANGE(""https://docs.google.com/spreadsheets/d/194Bw3ABslPPhOOPvVoMzIk8sOQFICWBu2pydWdYMD-w/edit#gid=0"",""'Game 6'!$B$2:$Q$31""),30,False),1)"),23.0)</f>
        <v>23</v>
      </c>
      <c r="L21" s="12">
        <f>IFERROR(__xludf.DUMMYFUNCTION("IFERROR(HLOOKUP($A21,IMPORTRANGE(""https://docs.google.com/spreadsheets/d/1F2Bi6K_I1K9xRxY5qb-bNRo5m-Kw7udpF1OaTHhrxjs/edit#gid=0"",""'Game 11'!$B$2:$Q$31""),30,False),1)"),23.0)</f>
        <v>23</v>
      </c>
      <c r="M21" s="12">
        <f>IFERROR(__xludf.DUMMYFUNCTION("IFERROR(HLOOKUP($A21,IMPORTRANGE(""https://docs.google.com/spreadsheets/d/1NDNgi_Ny4dRhc2A3UMIIkalN-V6EmsvxOfDzMRQlQ40/edit#gid=0"",""'Game 11'!$B$2:$Q$31""),30,False),1)"),23.0)</f>
        <v>23</v>
      </c>
      <c r="N21" s="12">
        <f>IFERROR(__xludf.DUMMYFUNCTION("IFERROR(HLOOKUP($A21,IMPORTRANGE(""https://docs.google.com/spreadsheets/d/1UDYA3-RrkJNLa2ZLH1NnUjKyfCoiSODmgVL_Au_zt-Y/edit#gid=0"",""'Game 12'!$B$2:$Q$31""),30,False),1)"),23.0)</f>
        <v>23</v>
      </c>
      <c r="O21" s="12">
        <f>IFERROR(__xludf.DUMMYFUNCTION("IFERROR(HLOOKUP($A21,IMPORTRANGE(""https://docs.google.com/spreadsheets/d/1fvo6H94Wcffp6c4N9g3JKCW6y2ZlijPxdOsNz7xdBhw/edit#gid=0"",""'Game 1'!$B$2:$Q$31""),30,False),1)"),23.0)</f>
        <v>23</v>
      </c>
      <c r="P21" s="12">
        <f>IFERROR(__xludf.DUMMYFUNCTION("IFERROR(HLOOKUP($A21,IMPORTRANGE(""https://docs.google.com/spreadsheets/d/1wfQePArl-A-5QJe5xAufoOnzeNLVSoHCRcmpZ_FMdns/edit#gid=0"",""'Game 9'!$B$2:$Q$31""),30,False),1)"),23.0)</f>
        <v>23</v>
      </c>
      <c r="Q21" s="12">
        <f>IFERROR(__xludf.DUMMYFUNCTION("IFERROR(HLOOKUP($A21,IMPORTRANGE(""https://docs.google.com/spreadsheets/d/1wydNznS0hZhVh3oGSdiCZSsReuqMT7Xaw718ix58zAI/edit#gid=0"",""'Game 10'!$B$2:$Q$31""),30,False),1)"),23.0)</f>
        <v>23</v>
      </c>
      <c r="R21" s="13">
        <f t="shared" si="1"/>
        <v>345</v>
      </c>
    </row>
    <row r="22">
      <c r="A22" s="3" t="s">
        <v>77</v>
      </c>
      <c r="B22" s="3" t="s">
        <v>72</v>
      </c>
      <c r="C22" s="3">
        <v>0.0</v>
      </c>
      <c r="D22" s="3">
        <v>23.0</v>
      </c>
      <c r="E22" s="3">
        <v>23.0</v>
      </c>
      <c r="F22" s="3">
        <v>23.0</v>
      </c>
      <c r="G22" s="3">
        <v>0.0</v>
      </c>
      <c r="H22" s="6">
        <f>IFERROR(__xludf.DUMMYFUNCTION("HLOOKUP($A22,IMPORTRANGE(""https://docs.google.com/spreadsheets/d/19gjAD4NwTXl_QoKUuwHQ1cWG_S2BOW94pDcyFtPwheg/edit#gid=1009263986"",""'Game 9'!$B$2:$Q$31""),30,False)"),0.0)</f>
        <v>0</v>
      </c>
      <c r="I22" s="5">
        <f>IFERROR(__xludf.DUMMYFUNCTION("HLOOKUP($A22,IMPORTRANGE(""https://docs.google.com/spreadsheets/d/1l83w8bH-F1czkFOqsgQy6o8O33Jb4Pfg40W0ou2nk0k/edit#gid=0"",""'Game 5'!$B$2:$Q$31""),30,False)"),23.0)</f>
        <v>23</v>
      </c>
      <c r="J22" s="5">
        <f>IFERROR(__xludf.DUMMYFUNCTION("HLOOKUP($A22,IMPORTRANGE(""https://docs.google.com/spreadsheets/d/15X-ub7GvrCQZ3UGgyogcjwYdxG-Ng8WHxzGSj1Z3eLw/edit#gid=0"",""'Game 8'!$B$2:$Q$31""),30,False)"),11.0)</f>
        <v>11</v>
      </c>
      <c r="K22" s="5">
        <f>IFERROR(__xludf.DUMMYFUNCTION("IFERROR(HLOOKUP($A22,IMPORTRANGE(""https://docs.google.com/spreadsheets/d/194Bw3ABslPPhOOPvVoMzIk8sOQFICWBu2pydWdYMD-w/edit#gid=0"",""'Game 6'!$B$2:$Q$31""),30,False),1)"),23.0)</f>
        <v>23</v>
      </c>
      <c r="L22" s="5">
        <f>IFERROR(__xludf.DUMMYFUNCTION("IFERROR(HLOOKUP($A22,IMPORTRANGE(""https://docs.google.com/spreadsheets/d/1F2Bi6K_I1K9xRxY5qb-bNRo5m-Kw7udpF1OaTHhrxjs/edit#gid=0"",""'Game 11'!$B$2:$Q$31""),30,False),1)"),23.0)</f>
        <v>23</v>
      </c>
      <c r="M22" s="5">
        <f>IFERROR(__xludf.DUMMYFUNCTION("IFERROR(HLOOKUP($A22,IMPORTRANGE(""https://docs.google.com/spreadsheets/d/1NDNgi_Ny4dRhc2A3UMIIkalN-V6EmsvxOfDzMRQlQ40/edit#gid=0"",""'Game 11'!$B$2:$Q$31""),30,False),1)"),0.0)</f>
        <v>0</v>
      </c>
      <c r="N22" s="5">
        <f>IFERROR(__xludf.DUMMYFUNCTION("IFERROR(HLOOKUP($A22,IMPORTRANGE(""https://docs.google.com/spreadsheets/d/1UDYA3-RrkJNLa2ZLH1NnUjKyfCoiSODmgVL_Au_zt-Y/edit#gid=0"",""'Game 12'!$B$2:$Q$31""),30,False),1)"),0.0)</f>
        <v>0</v>
      </c>
      <c r="O22" s="5">
        <f>IFERROR(__xludf.DUMMYFUNCTION("IFERROR(HLOOKUP($A22,IMPORTRANGE(""https://docs.google.com/spreadsheets/d/1fvo6H94Wcffp6c4N9g3JKCW6y2ZlijPxdOsNz7xdBhw/edit#gid=0"",""'Game 1'!$B$2:$Q$31""),30,False),1)"),23.0)</f>
        <v>23</v>
      </c>
      <c r="P22" s="5">
        <f>IFERROR(__xludf.DUMMYFUNCTION("IFERROR(HLOOKUP($A22,IMPORTRANGE(""https://docs.google.com/spreadsheets/d/1wfQePArl-A-5QJe5xAufoOnzeNLVSoHCRcmpZ_FMdns/edit#gid=0"",""'Game 9'!$B$2:$Q$31""),30,False),1)"),23.0)</f>
        <v>23</v>
      </c>
      <c r="Q22" s="5">
        <f>IFERROR(__xludf.DUMMYFUNCTION("IFERROR(HLOOKUP($A22,IMPORTRANGE(""https://docs.google.com/spreadsheets/d/1wydNznS0hZhVh3oGSdiCZSsReuqMT7Xaw718ix58zAI/edit#gid=0"",""'Game 10'!$B$2:$Q$31""),30,False),1)"),11.0)</f>
        <v>11</v>
      </c>
      <c r="R22" s="6">
        <f t="shared" si="1"/>
        <v>206</v>
      </c>
    </row>
    <row r="23">
      <c r="A23" s="2" t="s">
        <v>80</v>
      </c>
      <c r="B23" s="10" t="s">
        <v>72</v>
      </c>
      <c r="C23" s="2">
        <v>23.0</v>
      </c>
      <c r="D23" s="2">
        <v>23.0</v>
      </c>
      <c r="E23" s="2">
        <v>0.0</v>
      </c>
      <c r="F23" s="2">
        <v>23.0</v>
      </c>
      <c r="G23" s="2">
        <v>23.0</v>
      </c>
      <c r="H23" s="13">
        <f>IFERROR(__xludf.DUMMYFUNCTION("HLOOKUP($A23,IMPORTRANGE(""https://docs.google.com/spreadsheets/d/19gjAD4NwTXl_QoKUuwHQ1cWG_S2BOW94pDcyFtPwheg/edit#gid=1009263986"",""'Game 9'!$B$2:$Q$31""),30,False)"),23.0)</f>
        <v>23</v>
      </c>
      <c r="I23" s="12">
        <f>IFERROR(__xludf.DUMMYFUNCTION("HLOOKUP($A23,IMPORTRANGE(""https://docs.google.com/spreadsheets/d/1l83w8bH-F1czkFOqsgQy6o8O33Jb4Pfg40W0ou2nk0k/edit#gid=0"",""'Game 5'!$B$2:$Q$31""),30,False)"),0.0)</f>
        <v>0</v>
      </c>
      <c r="J23" s="12">
        <f>IFERROR(__xludf.DUMMYFUNCTION("HLOOKUP($A23,IMPORTRANGE(""https://docs.google.com/spreadsheets/d/15X-ub7GvrCQZ3UGgyogcjwYdxG-Ng8WHxzGSj1Z3eLw/edit#gid=0"",""'Game 8'!$B$2:$Q$31""),30,False)"),12.0)</f>
        <v>12</v>
      </c>
      <c r="K23" s="12">
        <f>IFERROR(__xludf.DUMMYFUNCTION("IFERROR(HLOOKUP($A23,IMPORTRANGE(""https://docs.google.com/spreadsheets/d/194Bw3ABslPPhOOPvVoMzIk8sOQFICWBu2pydWdYMD-w/edit#gid=0"",""'Game 6'!$B$2:$Q$31""),30,False),1)"),23.0)</f>
        <v>23</v>
      </c>
      <c r="L23" s="12">
        <f>IFERROR(__xludf.DUMMYFUNCTION("IFERROR(HLOOKUP($A23,IMPORTRANGE(""https://docs.google.com/spreadsheets/d/1F2Bi6K_I1K9xRxY5qb-bNRo5m-Kw7udpF1OaTHhrxjs/edit#gid=0"",""'Game 11'!$B$2:$Q$31""),30,False),1)"),0.0)</f>
        <v>0</v>
      </c>
      <c r="M23" s="12">
        <f>IFERROR(__xludf.DUMMYFUNCTION("IFERROR(HLOOKUP($A23,IMPORTRANGE(""https://docs.google.com/spreadsheets/d/1NDNgi_Ny4dRhc2A3UMIIkalN-V6EmsvxOfDzMRQlQ40/edit#gid=0"",""'Game 11'!$B$2:$Q$31""),30,False),1)"),23.0)</f>
        <v>23</v>
      </c>
      <c r="N23" s="12">
        <f>IFERROR(__xludf.DUMMYFUNCTION("IFERROR(HLOOKUP($A23,IMPORTRANGE(""https://docs.google.com/spreadsheets/d/1UDYA3-RrkJNLa2ZLH1NnUjKyfCoiSODmgVL_Au_zt-Y/edit#gid=0"",""'Game 12'!$B$2:$Q$31""),30,False),1)"),23.0)</f>
        <v>23</v>
      </c>
      <c r="O23" s="12">
        <f>IFERROR(__xludf.DUMMYFUNCTION("IFERROR(HLOOKUP($A23,IMPORTRANGE(""https://docs.google.com/spreadsheets/d/1fvo6H94Wcffp6c4N9g3JKCW6y2ZlijPxdOsNz7xdBhw/edit#gid=0"",""'Game 1'!$B$2:$Q$31""),30,False),1)"),0.0)</f>
        <v>0</v>
      </c>
      <c r="P23" s="12">
        <f>IFERROR(__xludf.DUMMYFUNCTION("IFERROR(HLOOKUP($A23,IMPORTRANGE(""https://docs.google.com/spreadsheets/d/1wfQePArl-A-5QJe5xAufoOnzeNLVSoHCRcmpZ_FMdns/edit#gid=0"",""'Game 9'!$B$2:$Q$31""),30,False),1)"),0.0)</f>
        <v>0</v>
      </c>
      <c r="Q23" s="12">
        <f>IFERROR(__xludf.DUMMYFUNCTION("IFERROR(HLOOKUP($A23,IMPORTRANGE(""https://docs.google.com/spreadsheets/d/1wydNznS0hZhVh3oGSdiCZSsReuqMT7Xaw718ix58zAI/edit#gid=0"",""'Game 10'!$B$2:$Q$31""),30,False),1)"),12.0)</f>
        <v>12</v>
      </c>
      <c r="R23" s="13">
        <f t="shared" si="1"/>
        <v>208</v>
      </c>
    </row>
    <row r="24">
      <c r="A24" s="3" t="s">
        <v>81</v>
      </c>
      <c r="B24" s="17" t="s">
        <v>72</v>
      </c>
      <c r="C24" s="3">
        <v>23.0</v>
      </c>
      <c r="D24" s="3">
        <v>0.0</v>
      </c>
      <c r="E24" s="3">
        <v>23.0</v>
      </c>
      <c r="F24" s="3">
        <v>0.0</v>
      </c>
      <c r="G24" s="3">
        <v>23.0</v>
      </c>
      <c r="H24" s="6">
        <f>IFERROR(__xludf.DUMMYFUNCTION("HLOOKUP($A24,IMPORTRANGE(""https://docs.google.com/spreadsheets/d/19gjAD4NwTXl_QoKUuwHQ1cWG_S2BOW94pDcyFtPwheg/edit#gid=1009263986"",""'Game 9'!$B$2:$Q$31""),30,False)"),23.0)</f>
        <v>23</v>
      </c>
      <c r="I24" s="5">
        <f>IFERROR(__xludf.DUMMYFUNCTION("HLOOKUP($A24,IMPORTRANGE(""https://docs.google.com/spreadsheets/d/1l83w8bH-F1czkFOqsgQy6o8O33Jb4Pfg40W0ou2nk0k/edit#gid=0"",""'Game 5'!$B$2:$Q$31""),30,False)"),0.0)</f>
        <v>0</v>
      </c>
      <c r="J24" s="5">
        <f>IFERROR(__xludf.DUMMYFUNCTION("HLOOKUP($A24,IMPORTRANGE(""https://docs.google.com/spreadsheets/d/15X-ub7GvrCQZ3UGgyogcjwYdxG-Ng8WHxzGSj1Z3eLw/edit#gid=0"",""'Game 8'!$B$2:$Q$31""),30,False)"),23.0)</f>
        <v>23</v>
      </c>
      <c r="K24" s="5">
        <f>IFERROR(__xludf.DUMMYFUNCTION("IFERROR(HLOOKUP($A24,IMPORTRANGE(""https://docs.google.com/spreadsheets/d/194Bw3ABslPPhOOPvVoMzIk8sOQFICWBu2pydWdYMD-w/edit#gid=0"",""'Game 6'!$B$2:$Q$31""),30,False),1)"),0.0)</f>
        <v>0</v>
      </c>
      <c r="L24" s="5">
        <f>IFERROR(__xludf.DUMMYFUNCTION("IFERROR(HLOOKUP($A24,IMPORTRANGE(""https://docs.google.com/spreadsheets/d/1F2Bi6K_I1K9xRxY5qb-bNRo5m-Kw7udpF1OaTHhrxjs/edit#gid=0"",""'Game 11'!$B$2:$Q$31""),30,False),1)"),23.0)</f>
        <v>23</v>
      </c>
      <c r="M24" s="5">
        <f>IFERROR(__xludf.DUMMYFUNCTION("IFERROR(HLOOKUP($A24,IMPORTRANGE(""https://docs.google.com/spreadsheets/d/1NDNgi_Ny4dRhc2A3UMIIkalN-V6EmsvxOfDzMRQlQ40/edit#gid=0"",""'Game 11'!$B$2:$Q$31""),30,False),1)"),23.0)</f>
        <v>23</v>
      </c>
      <c r="N24" s="5">
        <f>IFERROR(__xludf.DUMMYFUNCTION("IFERROR(HLOOKUP($A24,IMPORTRANGE(""https://docs.google.com/spreadsheets/d/1UDYA3-RrkJNLa2ZLH1NnUjKyfCoiSODmgVL_Au_zt-Y/edit#gid=0"",""'Game 12'!$B$2:$Q$31""),30,False),1)"),23.0)</f>
        <v>23</v>
      </c>
      <c r="O24" s="5">
        <f>IFERROR(__xludf.DUMMYFUNCTION("IFERROR(HLOOKUP($A24,IMPORTRANGE(""https://docs.google.com/spreadsheets/d/1fvo6H94Wcffp6c4N9g3JKCW6y2ZlijPxdOsNz7xdBhw/edit#gid=0"",""'Game 1'!$B$2:$Q$31""),30,False),1)"),10.0)</f>
        <v>10</v>
      </c>
      <c r="P24" s="5">
        <f>IFERROR(__xludf.DUMMYFUNCTION("IFERROR(HLOOKUP($A24,IMPORTRANGE(""https://docs.google.com/spreadsheets/d/1wfQePArl-A-5QJe5xAufoOnzeNLVSoHCRcmpZ_FMdns/edit#gid=0"",""'Game 9'!$B$2:$Q$31""),30,False),1)"),23.0)</f>
        <v>23</v>
      </c>
      <c r="Q24" s="5">
        <f>IFERROR(__xludf.DUMMYFUNCTION("IFERROR(HLOOKUP($A24,IMPORTRANGE(""https://docs.google.com/spreadsheets/d/1wydNznS0hZhVh3oGSdiCZSsReuqMT7Xaw718ix58zAI/edit#gid=0"",""'Game 10'!$B$2:$Q$31""),30,False),1)"),23.0)</f>
        <v>23</v>
      </c>
      <c r="R24" s="6">
        <f t="shared" si="1"/>
        <v>240</v>
      </c>
    </row>
    <row r="25">
      <c r="A25" s="2" t="s">
        <v>83</v>
      </c>
      <c r="B25" s="2" t="s">
        <v>84</v>
      </c>
      <c r="C25" s="2">
        <v>23.0</v>
      </c>
      <c r="D25" s="2">
        <v>0.0</v>
      </c>
      <c r="E25" s="2">
        <v>23.0</v>
      </c>
      <c r="F25" s="2">
        <v>23.0</v>
      </c>
      <c r="G25" s="2">
        <v>23.0</v>
      </c>
      <c r="H25" s="13">
        <f>IFERROR(__xludf.DUMMYFUNCTION("HLOOKUP($A25,IMPORTRANGE(""https://docs.google.com/spreadsheets/d/19gjAD4NwTXl_QoKUuwHQ1cWG_S2BOW94pDcyFtPwheg/edit#gid=1009263986"",""'Game 4'!$B$2:$Q$31""),30,False)"),23.0)</f>
        <v>23</v>
      </c>
      <c r="I25" s="12">
        <f>IFERROR(__xludf.DUMMYFUNCTION("HLOOKUP($A25,IMPORTRANGE(""https://docs.google.com/spreadsheets/d/1l83w8bH-F1czkFOqsgQy6o8O33Jb4Pfg40W0ou2nk0k/edit#gid=0"",""'Game 1'!$B$2:$Q$31""),30,False)"),23.0)</f>
        <v>23</v>
      </c>
      <c r="J25" s="12">
        <f>IFERROR(__xludf.DUMMYFUNCTION("HLOOKUP($A25,IMPORTRANGE(""https://docs.google.com/spreadsheets/d/15X-ub7GvrCQZ3UGgyogcjwYdxG-Ng8WHxzGSj1Z3eLw/edit#gid=0"",""'Game 4'!$B$2:$Q$31""),30,False)"),0.0)</f>
        <v>0</v>
      </c>
      <c r="K25" s="12">
        <f>IFERROR(__xludf.DUMMYFUNCTION("IFERROR(HLOOKUP($A25,IMPORTRANGE(""https://docs.google.com/spreadsheets/d/194Bw3ABslPPhOOPvVoMzIk8sOQFICWBu2pydWdYMD-w/edit#gid=0"",""'Game 4'!$B$2:$Q$31""),30,False),1)"),23.0)</f>
        <v>23</v>
      </c>
      <c r="L25" s="12">
        <f>IFERROR(__xludf.DUMMYFUNCTION("IFERROR(HLOOKUP($A25,IMPORTRANGE(""https://docs.google.com/spreadsheets/d/1F2Bi6K_I1K9xRxY5qb-bNRo5m-Kw7udpF1OaTHhrxjs/edit#gid=0"",""'Game 4'!$B$2:$Q$31""),30,False),1)"),23.0)</f>
        <v>23</v>
      </c>
      <c r="M25" s="12">
        <f>IFERROR(__xludf.DUMMYFUNCTION("IFERROR(HLOOKUP($A25,IMPORTRANGE(""https://docs.google.com/spreadsheets/d/1NDNgi_Ny4dRhc2A3UMIIkalN-V6EmsvxOfDzMRQlQ40/edit#gid=0"",""'Game 4'!$B$2:$Q$31""),30,False),1)"),23.0)</f>
        <v>23</v>
      </c>
      <c r="N25" s="12">
        <f>IFERROR(__xludf.DUMMYFUNCTION("IFERROR(HLOOKUP($A25,IMPORTRANGE(""https://docs.google.com/spreadsheets/d/1UDYA3-RrkJNLa2ZLH1NnUjKyfCoiSODmgVL_Au_zt-Y/edit#gid=0"",""'Game 3'!$B$2:$Q$31""),30,False),1)"),0.0)</f>
        <v>0</v>
      </c>
      <c r="O25" s="12">
        <f>IFERROR(__xludf.DUMMYFUNCTION("IFERROR(HLOOKUP($A25,IMPORTRANGE(""https://docs.google.com/spreadsheets/d/1fvo6H94Wcffp6c4N9g3JKCW6y2ZlijPxdOsNz7xdBhw/edit#gid=0"",""'Game 4'!$B$2:$Q$31""),30,False),1)"),23.0)</f>
        <v>23</v>
      </c>
      <c r="P25" s="12">
        <f>IFERROR(__xludf.DUMMYFUNCTION("IFERROR(HLOOKUP($A25,IMPORTRANGE(""https://docs.google.com/spreadsheets/d/1wfQePArl-A-5QJe5xAufoOnzeNLVSoHCRcmpZ_FMdns/edit#gid=0"",""'Game 1'!$B$2:$Q$31""),30,False),1)"),23.0)</f>
        <v>23</v>
      </c>
      <c r="Q25" s="12">
        <f>IFERROR(__xludf.DUMMYFUNCTION("IFERROR(HLOOKUP($A25,IMPORTRANGE(""https://docs.google.com/spreadsheets/d/1wydNznS0hZhVh3oGSdiCZSsReuqMT7Xaw718ix58zAI/edit#gid=0"",""'Game 4'!$B$2:$Q$31""),30,False),1)"),0.0)</f>
        <v>0</v>
      </c>
      <c r="R25" s="13">
        <f t="shared" si="1"/>
        <v>253</v>
      </c>
    </row>
    <row r="26">
      <c r="A26" s="3" t="s">
        <v>86</v>
      </c>
      <c r="B26" s="17" t="s">
        <v>84</v>
      </c>
      <c r="C26" s="3">
        <v>23.0</v>
      </c>
      <c r="D26" s="3">
        <v>23.0</v>
      </c>
      <c r="E26" s="3">
        <v>23.0</v>
      </c>
      <c r="F26" s="3">
        <v>23.0</v>
      </c>
      <c r="G26" s="3">
        <v>23.0</v>
      </c>
      <c r="H26" s="6">
        <f>IFERROR(__xludf.DUMMYFUNCTION("HLOOKUP($A26,IMPORTRANGE(""https://docs.google.com/spreadsheets/d/19gjAD4NwTXl_QoKUuwHQ1cWG_S2BOW94pDcyFtPwheg/edit#gid=1009263986"",""'Game 4'!$B$2:$Q$31""),30,False)"),23.0)</f>
        <v>23</v>
      </c>
      <c r="I26" s="5">
        <f>IFERROR(__xludf.DUMMYFUNCTION("HLOOKUP($A26,IMPORTRANGE(""https://docs.google.com/spreadsheets/d/1l83w8bH-F1czkFOqsgQy6o8O33Jb4Pfg40W0ou2nk0k/edit#gid=0"",""'Game 1'!$B$2:$Q$31""),30,False)"),23.0)</f>
        <v>23</v>
      </c>
      <c r="J26" s="5">
        <f>IFERROR(__xludf.DUMMYFUNCTION("HLOOKUP($A26,IMPORTRANGE(""https://docs.google.com/spreadsheets/d/15X-ub7GvrCQZ3UGgyogcjwYdxG-Ng8WHxzGSj1Z3eLw/edit#gid=0"",""'Game 4'!$B$2:$Q$31""),30,False)"),23.0)</f>
        <v>23</v>
      </c>
      <c r="K26" s="5">
        <f>IFERROR(__xludf.DUMMYFUNCTION("IFERROR(HLOOKUP($A26,IMPORTRANGE(""https://docs.google.com/spreadsheets/d/194Bw3ABslPPhOOPvVoMzIk8sOQFICWBu2pydWdYMD-w/edit#gid=0"",""'Game 4'!$B$2:$Q$31""),30,False),1)"),23.0)</f>
        <v>23</v>
      </c>
      <c r="L26" s="5">
        <f>IFERROR(__xludf.DUMMYFUNCTION("IFERROR(HLOOKUP($A26,IMPORTRANGE(""https://docs.google.com/spreadsheets/d/1F2Bi6K_I1K9xRxY5qb-bNRo5m-Kw7udpF1OaTHhrxjs/edit#gid=0"",""'Game 4'!$B$2:$Q$31""),30,False),1)"),23.0)</f>
        <v>23</v>
      </c>
      <c r="M26" s="5">
        <f>IFERROR(__xludf.DUMMYFUNCTION("IFERROR(HLOOKUP($A26,IMPORTRANGE(""https://docs.google.com/spreadsheets/d/1NDNgi_Ny4dRhc2A3UMIIkalN-V6EmsvxOfDzMRQlQ40/edit#gid=0"",""'Game 4'!$B$2:$Q$31""),30,False),1)"),23.0)</f>
        <v>23</v>
      </c>
      <c r="N26" s="5">
        <f>IFERROR(__xludf.DUMMYFUNCTION("IFERROR(HLOOKUP($A26,IMPORTRANGE(""https://docs.google.com/spreadsheets/d/1UDYA3-RrkJNLa2ZLH1NnUjKyfCoiSODmgVL_Au_zt-Y/edit#gid=0"",""'Game 3'!$B$2:$Q$31""),30,False),1)"),23.0)</f>
        <v>23</v>
      </c>
      <c r="O26" s="5">
        <f>IFERROR(__xludf.DUMMYFUNCTION("IFERROR(HLOOKUP($A26,IMPORTRANGE(""https://docs.google.com/spreadsheets/d/1fvo6H94Wcffp6c4N9g3JKCW6y2ZlijPxdOsNz7xdBhw/edit#gid=0"",""'Game 4'!$B$2:$Q$31""),30,False),1)"),23.0)</f>
        <v>23</v>
      </c>
      <c r="P26" s="5">
        <f>IFERROR(__xludf.DUMMYFUNCTION("IFERROR(HLOOKUP($A26,IMPORTRANGE(""https://docs.google.com/spreadsheets/d/1wfQePArl-A-5QJe5xAufoOnzeNLVSoHCRcmpZ_FMdns/edit#gid=0"",""'Game 1'!$B$2:$Q$31""),30,False),1)"),23.0)</f>
        <v>23</v>
      </c>
      <c r="Q26" s="5">
        <f>IFERROR(__xludf.DUMMYFUNCTION("IFERROR(HLOOKUP($A26,IMPORTRANGE(""https://docs.google.com/spreadsheets/d/1wydNznS0hZhVh3oGSdiCZSsReuqMT7Xaw718ix58zAI/edit#gid=0"",""'Game 4'!$B$2:$Q$31""),30,False),1)"),23.0)</f>
        <v>23</v>
      </c>
      <c r="R26" s="6">
        <f t="shared" si="1"/>
        <v>345</v>
      </c>
    </row>
    <row r="27">
      <c r="A27" s="2" t="s">
        <v>88</v>
      </c>
      <c r="B27" s="10" t="s">
        <v>84</v>
      </c>
      <c r="C27" s="2">
        <v>23.0</v>
      </c>
      <c r="D27" s="2">
        <v>23.0</v>
      </c>
      <c r="E27" s="2">
        <v>23.0</v>
      </c>
      <c r="F27" s="2">
        <v>23.0</v>
      </c>
      <c r="G27" s="2">
        <v>23.0</v>
      </c>
      <c r="H27" s="13">
        <f>IFERROR(__xludf.DUMMYFUNCTION("HLOOKUP($A27,IMPORTRANGE(""https://docs.google.com/spreadsheets/d/19gjAD4NwTXl_QoKUuwHQ1cWG_S2BOW94pDcyFtPwheg/edit#gid=1009263986"",""'Game 4'!$B$2:$Q$31""),30,False)"),23.0)</f>
        <v>23</v>
      </c>
      <c r="I27" s="12">
        <f>IFERROR(__xludf.DUMMYFUNCTION("HLOOKUP($A27,IMPORTRANGE(""https://docs.google.com/spreadsheets/d/1l83w8bH-F1czkFOqsgQy6o8O33Jb4Pfg40W0ou2nk0k/edit#gid=0"",""'Game 1'!$B$2:$Q$31""),30,False)"),23.0)</f>
        <v>23</v>
      </c>
      <c r="J27" s="12">
        <f>IFERROR(__xludf.DUMMYFUNCTION("HLOOKUP($A27,IMPORTRANGE(""https://docs.google.com/spreadsheets/d/15X-ub7GvrCQZ3UGgyogcjwYdxG-Ng8WHxzGSj1Z3eLw/edit#gid=0"",""'Game 4'!$B$2:$Q$31""),30,False)"),23.0)</f>
        <v>23</v>
      </c>
      <c r="K27" s="12">
        <f>IFERROR(__xludf.DUMMYFUNCTION("IFERROR(HLOOKUP($A27,IMPORTRANGE(""https://docs.google.com/spreadsheets/d/194Bw3ABslPPhOOPvVoMzIk8sOQFICWBu2pydWdYMD-w/edit#gid=0"",""'Game 4'!$B$2:$Q$31""),30,False),1)"),23.0)</f>
        <v>23</v>
      </c>
      <c r="L27" s="12">
        <f>IFERROR(__xludf.DUMMYFUNCTION("IFERROR(HLOOKUP($A27,IMPORTRANGE(""https://docs.google.com/spreadsheets/d/1F2Bi6K_I1K9xRxY5qb-bNRo5m-Kw7udpF1OaTHhrxjs/edit#gid=0"",""'Game 4'!$B$2:$Q$31""),30,False),1)"),23.0)</f>
        <v>23</v>
      </c>
      <c r="M27" s="12">
        <f>IFERROR(__xludf.DUMMYFUNCTION("IFERROR(HLOOKUP($A27,IMPORTRANGE(""https://docs.google.com/spreadsheets/d/1NDNgi_Ny4dRhc2A3UMIIkalN-V6EmsvxOfDzMRQlQ40/edit#gid=0"",""'Game 4'!$B$2:$Q$31""),30,False),1)"),23.0)</f>
        <v>23</v>
      </c>
      <c r="N27" s="12">
        <f>IFERROR(__xludf.DUMMYFUNCTION("IFERROR(HLOOKUP($A27,IMPORTRANGE(""https://docs.google.com/spreadsheets/d/1UDYA3-RrkJNLa2ZLH1NnUjKyfCoiSODmgVL_Au_zt-Y/edit#gid=0"",""'Game 3'!$B$2:$Q$31""),30,False),1)"),23.0)</f>
        <v>23</v>
      </c>
      <c r="O27" s="12">
        <f>IFERROR(__xludf.DUMMYFUNCTION("IFERROR(HLOOKUP($A27,IMPORTRANGE(""https://docs.google.com/spreadsheets/d/1fvo6H94Wcffp6c4N9g3JKCW6y2ZlijPxdOsNz7xdBhw/edit#gid=0"",""'Game 4'!$B$2:$Q$31""),30,False),1)"),23.0)</f>
        <v>23</v>
      </c>
      <c r="P27" s="12">
        <f>IFERROR(__xludf.DUMMYFUNCTION("IFERROR(HLOOKUP($A27,IMPORTRANGE(""https://docs.google.com/spreadsheets/d/1wfQePArl-A-5QJe5xAufoOnzeNLVSoHCRcmpZ_FMdns/edit#gid=0"",""'Game 1'!$B$2:$Q$31""),30,False),1)"),23.0)</f>
        <v>23</v>
      </c>
      <c r="Q27" s="12">
        <f>IFERROR(__xludf.DUMMYFUNCTION("IFERROR(HLOOKUP($A27,IMPORTRANGE(""https://docs.google.com/spreadsheets/d/1wydNznS0hZhVh3oGSdiCZSsReuqMT7Xaw718ix58zAI/edit#gid=0"",""'Game 4'!$B$2:$Q$31""),30,False),1)"),23.0)</f>
        <v>23</v>
      </c>
      <c r="R27" s="13">
        <f t="shared" si="1"/>
        <v>345</v>
      </c>
    </row>
    <row r="28">
      <c r="A28" s="3" t="s">
        <v>92</v>
      </c>
      <c r="B28" s="17" t="s">
        <v>84</v>
      </c>
      <c r="C28" s="3">
        <v>23.0</v>
      </c>
      <c r="D28" s="3">
        <v>23.0</v>
      </c>
      <c r="E28" s="3">
        <v>23.0</v>
      </c>
      <c r="F28" s="3">
        <v>23.0</v>
      </c>
      <c r="G28" s="3">
        <v>23.0</v>
      </c>
      <c r="H28" s="6">
        <f>IFERROR(__xludf.DUMMYFUNCTION("HLOOKUP($A28,IMPORTRANGE(""https://docs.google.com/spreadsheets/d/19gjAD4NwTXl_QoKUuwHQ1cWG_S2BOW94pDcyFtPwheg/edit#gid=1009263986"",""'Game 4'!$B$2:$Q$31""),30,False)"),23.0)</f>
        <v>23</v>
      </c>
      <c r="I28" s="5">
        <f>IFERROR(__xludf.DUMMYFUNCTION("HLOOKUP($A28,IMPORTRANGE(""https://docs.google.com/spreadsheets/d/1l83w8bH-F1czkFOqsgQy6o8O33Jb4Pfg40W0ou2nk0k/edit#gid=0"",""'Game 1'!$B$2:$Q$31""),30,False)"),23.0)</f>
        <v>23</v>
      </c>
      <c r="J28" s="5">
        <f>IFERROR(__xludf.DUMMYFUNCTION("HLOOKUP($A28,IMPORTRANGE(""https://docs.google.com/spreadsheets/d/15X-ub7GvrCQZ3UGgyogcjwYdxG-Ng8WHxzGSj1Z3eLw/edit#gid=0"",""'Game 4'!$B$2:$Q$31""),30,False)"),23.0)</f>
        <v>23</v>
      </c>
      <c r="K28" s="5">
        <f>IFERROR(__xludf.DUMMYFUNCTION("IFERROR(HLOOKUP($A28,IMPORTRANGE(""https://docs.google.com/spreadsheets/d/194Bw3ABslPPhOOPvVoMzIk8sOQFICWBu2pydWdYMD-w/edit#gid=0"",""'Game 4'!$B$2:$Q$31""),30,False),1)"),23.0)</f>
        <v>23</v>
      </c>
      <c r="L28" s="5">
        <f>IFERROR(__xludf.DUMMYFUNCTION("IFERROR(HLOOKUP($A28,IMPORTRANGE(""https://docs.google.com/spreadsheets/d/1F2Bi6K_I1K9xRxY5qb-bNRo5m-Kw7udpF1OaTHhrxjs/edit#gid=0"",""'Game 4'!$B$2:$Q$31""),30,False),1)"),23.0)</f>
        <v>23</v>
      </c>
      <c r="M28" s="5">
        <f>IFERROR(__xludf.DUMMYFUNCTION("IFERROR(HLOOKUP($A28,IMPORTRANGE(""https://docs.google.com/spreadsheets/d/1NDNgi_Ny4dRhc2A3UMIIkalN-V6EmsvxOfDzMRQlQ40/edit#gid=0"",""'Game 4'!$B$2:$Q$31""),30,False),1)"),23.0)</f>
        <v>23</v>
      </c>
      <c r="N28" s="5">
        <f>IFERROR(__xludf.DUMMYFUNCTION("IFERROR(HLOOKUP($A28,IMPORTRANGE(""https://docs.google.com/spreadsheets/d/1UDYA3-RrkJNLa2ZLH1NnUjKyfCoiSODmgVL_Au_zt-Y/edit#gid=0"",""'Game 3'!$B$2:$Q$31""),30,False),1)"),23.0)</f>
        <v>23</v>
      </c>
      <c r="O28" s="5">
        <f>IFERROR(__xludf.DUMMYFUNCTION("IFERROR(HLOOKUP($A28,IMPORTRANGE(""https://docs.google.com/spreadsheets/d/1fvo6H94Wcffp6c4N9g3JKCW6y2ZlijPxdOsNz7xdBhw/edit#gid=0"",""'Game 4'!$B$2:$Q$31""),30,False),1)"),23.0)</f>
        <v>23</v>
      </c>
      <c r="P28" s="5">
        <f>IFERROR(__xludf.DUMMYFUNCTION("IFERROR(HLOOKUP($A28,IMPORTRANGE(""https://docs.google.com/spreadsheets/d/1wfQePArl-A-5QJe5xAufoOnzeNLVSoHCRcmpZ_FMdns/edit#gid=0"",""'Game 1'!$B$2:$Q$31""),30,False),1)"),23.0)</f>
        <v>23</v>
      </c>
      <c r="Q28" s="5">
        <f>IFERROR(__xludf.DUMMYFUNCTION("IFERROR(HLOOKUP($A28,IMPORTRANGE(""https://docs.google.com/spreadsheets/d/1wydNznS0hZhVh3oGSdiCZSsReuqMT7Xaw718ix58zAI/edit#gid=0"",""'Game 4'!$B$2:$Q$31""),30,False),1)"),23.0)</f>
        <v>23</v>
      </c>
      <c r="R28" s="6">
        <f t="shared" si="1"/>
        <v>345</v>
      </c>
    </row>
    <row r="29">
      <c r="A29" s="2" t="s">
        <v>94</v>
      </c>
      <c r="B29" s="10" t="s">
        <v>84</v>
      </c>
      <c r="C29" s="2">
        <v>0.0</v>
      </c>
      <c r="D29" s="2">
        <v>23.0</v>
      </c>
      <c r="E29" s="2">
        <v>0.0</v>
      </c>
      <c r="F29" s="2">
        <v>0.0</v>
      </c>
      <c r="G29" s="2">
        <v>0.0</v>
      </c>
      <c r="H29" s="13">
        <f>IFERROR(__xludf.DUMMYFUNCTION("HLOOKUP($A29,IMPORTRANGE(""https://docs.google.com/spreadsheets/d/19gjAD4NwTXl_QoKUuwHQ1cWG_S2BOW94pDcyFtPwheg/edit#gid=1009263986"",""'Game 4'!$B$2:$Q$31""),30,False)"),0.0)</f>
        <v>0</v>
      </c>
      <c r="I29" s="12">
        <f>IFERROR(__xludf.DUMMYFUNCTION("HLOOKUP($A29,IMPORTRANGE(""https://docs.google.com/spreadsheets/d/1l83w8bH-F1czkFOqsgQy6o8O33Jb4Pfg40W0ou2nk0k/edit#gid=0"",""'Game 1'!$B$2:$Q$31""),30,False)"),0.0)</f>
        <v>0</v>
      </c>
      <c r="J29" s="12">
        <f>IFERROR(__xludf.DUMMYFUNCTION("HLOOKUP($A29,IMPORTRANGE(""https://docs.google.com/spreadsheets/d/15X-ub7GvrCQZ3UGgyogcjwYdxG-Ng8WHxzGSj1Z3eLw/edit#gid=0"",""'Game 4'!$B$2:$Q$31""),30,False)"),23.0)</f>
        <v>23</v>
      </c>
      <c r="K29" s="12">
        <f>IFERROR(__xludf.DUMMYFUNCTION("IFERROR(HLOOKUP($A29,IMPORTRANGE(""https://docs.google.com/spreadsheets/d/194Bw3ABslPPhOOPvVoMzIk8sOQFICWBu2pydWdYMD-w/edit#gid=0"",""'Game 4'!$B$2:$Q$31""),30,False),1)"),0.0)</f>
        <v>0</v>
      </c>
      <c r="L29" s="12">
        <f>IFERROR(__xludf.DUMMYFUNCTION("IFERROR(HLOOKUP($A29,IMPORTRANGE(""https://docs.google.com/spreadsheets/d/1F2Bi6K_I1K9xRxY5qb-bNRo5m-Kw7udpF1OaTHhrxjs/edit#gid=0"",""'Game 4'!$B$2:$Q$31""),30,False),1)"),0.0)</f>
        <v>0</v>
      </c>
      <c r="M29" s="12">
        <f>IFERROR(__xludf.DUMMYFUNCTION("IFERROR(HLOOKUP($A29,IMPORTRANGE(""https://docs.google.com/spreadsheets/d/1NDNgi_Ny4dRhc2A3UMIIkalN-V6EmsvxOfDzMRQlQ40/edit#gid=0"",""'Game 4'!$B$2:$Q$31""),30,False),1)"),0.0)</f>
        <v>0</v>
      </c>
      <c r="N29" s="12">
        <f>IFERROR(__xludf.DUMMYFUNCTION("IFERROR(HLOOKUP($A29,IMPORTRANGE(""https://docs.google.com/spreadsheets/d/1UDYA3-RrkJNLa2ZLH1NnUjKyfCoiSODmgVL_Au_zt-Y/edit#gid=0"",""'Game 3'!$B$2:$Q$31""),30,False),1)"),23.0)</f>
        <v>23</v>
      </c>
      <c r="O29" s="12">
        <f>IFERROR(__xludf.DUMMYFUNCTION("IFERROR(HLOOKUP($A29,IMPORTRANGE(""https://docs.google.com/spreadsheets/d/1fvo6H94Wcffp6c4N9g3JKCW6y2ZlijPxdOsNz7xdBhw/edit#gid=0"",""'Game 4'!$B$2:$Q$31""),30,False),1)"),0.0)</f>
        <v>0</v>
      </c>
      <c r="P29" s="12">
        <f>IFERROR(__xludf.DUMMYFUNCTION("IFERROR(HLOOKUP($A29,IMPORTRANGE(""https://docs.google.com/spreadsheets/d/1wfQePArl-A-5QJe5xAufoOnzeNLVSoHCRcmpZ_FMdns/edit#gid=0"",""'Game 1'!$B$2:$Q$31""),30,False),1)"),0.0)</f>
        <v>0</v>
      </c>
      <c r="Q29" s="12">
        <f>IFERROR(__xludf.DUMMYFUNCTION("IFERROR(HLOOKUP($A29,IMPORTRANGE(""https://docs.google.com/spreadsheets/d/1wydNznS0hZhVh3oGSdiCZSsReuqMT7Xaw718ix58zAI/edit#gid=0"",""'Game 4'!$B$2:$Q$31""),30,False),1)"),0.0)</f>
        <v>0</v>
      </c>
      <c r="R29" s="13">
        <f t="shared" si="1"/>
        <v>69</v>
      </c>
    </row>
    <row r="30">
      <c r="A30" s="3" t="s">
        <v>96</v>
      </c>
      <c r="B30" s="3" t="s">
        <v>97</v>
      </c>
      <c r="C30" s="3">
        <v>23.0</v>
      </c>
      <c r="D30" s="3">
        <v>23.0</v>
      </c>
      <c r="E30" s="3">
        <v>23.0</v>
      </c>
      <c r="F30" s="3">
        <v>23.0</v>
      </c>
      <c r="G30" s="3">
        <v>23.0</v>
      </c>
      <c r="H30" s="6">
        <f>IFERROR(__xludf.DUMMYFUNCTION("HLOOKUP($A30,IMPORTRANGE(""https://docs.google.com/spreadsheets/d/19gjAD4NwTXl_QoKUuwHQ1cWG_S2BOW94pDcyFtPwheg/edit#gid=1009263986"",""'Game 2'!$B$2:$Q$31""),30,False)"),23.0)</f>
        <v>23</v>
      </c>
      <c r="I30" s="5">
        <f>IFERROR(__xludf.DUMMYFUNCTION("HLOOKUP($A30,IMPORTRANGE(""https://docs.google.com/spreadsheets/d/1l83w8bH-F1czkFOqsgQy6o8O33Jb4Pfg40W0ou2nk0k/edit#gid=0"",""'Game 1'!$B$2:$Q$31""),30,False)"),23.0)</f>
        <v>23</v>
      </c>
      <c r="J30" s="5">
        <f>IFERROR(__xludf.DUMMYFUNCTION("HLOOKUP($A30,IMPORTRANGE(""https://docs.google.com/spreadsheets/d/15X-ub7GvrCQZ3UGgyogcjwYdxG-Ng8WHxzGSj1Z3eLw/edit#gid=0"",""'Game 2'!$B$2:$Q$31""),30,False)"),23.0)</f>
        <v>23</v>
      </c>
      <c r="K30" s="5">
        <f>IFERROR(__xludf.DUMMYFUNCTION("IFERROR(HLOOKUP($A30,IMPORTRANGE(""https://docs.google.com/spreadsheets/d/194Bw3ABslPPhOOPvVoMzIk8sOQFICWBu2pydWdYMD-w/edit#gid=0"",""'Game 2'!$B$2:$Q$26""),25,False),1)"),23.0)</f>
        <v>23</v>
      </c>
      <c r="L30" s="5">
        <f>IFERROR(__xludf.DUMMYFUNCTION("IFERROR(HLOOKUP($A30,IMPORTRANGE(""https://docs.google.com/spreadsheets/d/1F2Bi6K_I1K9xRxY5qb-bNRo5m-Kw7udpF1OaTHhrxjs/edit#gid=0"",""'Game 2'!$B$2:$Q$31""),30,False),1)"),23.0)</f>
        <v>23</v>
      </c>
      <c r="M30" s="5">
        <f>IFERROR(__xludf.DUMMYFUNCTION("IFERROR(HLOOKUP($A30,IMPORTRANGE(""https://docs.google.com/spreadsheets/d/1NDNgi_Ny4dRhc2A3UMIIkalN-V6EmsvxOfDzMRQlQ40/edit#gid=0"",""'Game 2'!$B$2:$Q$31""),30,False),1)"),23.0)</f>
        <v>23</v>
      </c>
      <c r="N30" s="5">
        <f>IFERROR(__xludf.DUMMYFUNCTION("IFERROR(HLOOKUP($A30,IMPORTRANGE(""https://docs.google.com/spreadsheets/d/1UDYA3-RrkJNLa2ZLH1NnUjKyfCoiSODmgVL_Au_zt-Y/edit#gid=0"",""'Game 2'!$B$2:$Q$31""),30,False),1)"),23.0)</f>
        <v>23</v>
      </c>
      <c r="O30" s="5">
        <f>IFERROR(__xludf.DUMMYFUNCTION("IFERROR(HLOOKUP($A30,IMPORTRANGE(""https://docs.google.com/spreadsheets/d/1fvo6H94Wcffp6c4N9g3JKCW6y2ZlijPxdOsNz7xdBhw/edit#gid=0"",""'Game 2'!$B$2:$Q$31""),30,False),1)"),23.0)</f>
        <v>23</v>
      </c>
      <c r="P30" s="5">
        <f>IFERROR(__xludf.DUMMYFUNCTION("IFERROR(HLOOKUP($A30,IMPORTRANGE(""https://docs.google.com/spreadsheets/d/1wfQePArl-A-5QJe5xAufoOnzeNLVSoHCRcmpZ_FMdns/edit#gid=0"",""'Game 2'!$B$2:$Q$31""),30,False),1)"),0.0)</f>
        <v>0</v>
      </c>
      <c r="Q30" s="5">
        <f>IFERROR(__xludf.DUMMYFUNCTION("IFERROR(HLOOKUP($A30,IMPORTRANGE(""https://docs.google.com/spreadsheets/d/1wydNznS0hZhVh3oGSdiCZSsReuqMT7Xaw718ix58zAI/edit#gid=0"",""'Game 2'!$B$2:$Q$31""),30,False),1)"),23.0)</f>
        <v>23</v>
      </c>
      <c r="R30" s="6">
        <f t="shared" si="1"/>
        <v>322</v>
      </c>
    </row>
    <row r="31">
      <c r="A31" s="2" t="s">
        <v>99</v>
      </c>
      <c r="B31" s="10" t="s">
        <v>97</v>
      </c>
      <c r="C31" s="2">
        <v>23.0</v>
      </c>
      <c r="D31" s="2">
        <v>23.0</v>
      </c>
      <c r="E31" s="2">
        <v>23.0</v>
      </c>
      <c r="F31" s="2">
        <v>23.0</v>
      </c>
      <c r="G31" s="2">
        <v>23.0</v>
      </c>
      <c r="H31" s="13">
        <f>IFERROR(__xludf.DUMMYFUNCTION("HLOOKUP($A31,IMPORTRANGE(""https://docs.google.com/spreadsheets/d/19gjAD4NwTXl_QoKUuwHQ1cWG_S2BOW94pDcyFtPwheg/edit#gid=1009263986"",""'Game 2'!$B$2:$Q$31""),30,False)"),23.0)</f>
        <v>23</v>
      </c>
      <c r="I31" s="12">
        <f>IFERROR(__xludf.DUMMYFUNCTION("HLOOKUP($A31,IMPORTRANGE(""https://docs.google.com/spreadsheets/d/1l83w8bH-F1czkFOqsgQy6o8O33Jb4Pfg40W0ou2nk0k/edit#gid=0"",""'Game 1'!$B$2:$Q$31""),30,False)"),23.0)</f>
        <v>23</v>
      </c>
      <c r="J31" s="12">
        <f>IFERROR(__xludf.DUMMYFUNCTION("HLOOKUP($A31,IMPORTRANGE(""https://docs.google.com/spreadsheets/d/15X-ub7GvrCQZ3UGgyogcjwYdxG-Ng8WHxzGSj1Z3eLw/edit#gid=0"",""'Game 2'!$B$2:$Q$31""),30,False)"),23.0)</f>
        <v>23</v>
      </c>
      <c r="K31" s="12">
        <f>IFERROR(__xludf.DUMMYFUNCTION("IFERROR(HLOOKUP($A31,IMPORTRANGE(""https://docs.google.com/spreadsheets/d/194Bw3ABslPPhOOPvVoMzIk8sOQFICWBu2pydWdYMD-w/edit#gid=0"",""'Game 2'!$B$2:$Q$26""),25,False),1)"),23.0)</f>
        <v>23</v>
      </c>
      <c r="L31" s="12">
        <f>IFERROR(__xludf.DUMMYFUNCTION("IFERROR(HLOOKUP($A31,IMPORTRANGE(""https://docs.google.com/spreadsheets/d/1F2Bi6K_I1K9xRxY5qb-bNRo5m-Kw7udpF1OaTHhrxjs/edit#gid=0"",""'Game 2'!$B$2:$Q$31""),30,False),1)"),23.0)</f>
        <v>23</v>
      </c>
      <c r="M31" s="12">
        <f>IFERROR(__xludf.DUMMYFUNCTION("IFERROR(HLOOKUP($A31,IMPORTRANGE(""https://docs.google.com/spreadsheets/d/1NDNgi_Ny4dRhc2A3UMIIkalN-V6EmsvxOfDzMRQlQ40/edit#gid=0"",""'Game 2'!$B$2:$Q$31""),30,False),1)"),23.0)</f>
        <v>23</v>
      </c>
      <c r="N31" s="12">
        <f>IFERROR(__xludf.DUMMYFUNCTION("IFERROR(HLOOKUP($A31,IMPORTRANGE(""https://docs.google.com/spreadsheets/d/1UDYA3-RrkJNLa2ZLH1NnUjKyfCoiSODmgVL_Au_zt-Y/edit#gid=0"",""'Game 2'!$B$2:$Q$31""),30,False),1)"),23.0)</f>
        <v>23</v>
      </c>
      <c r="O31" s="12">
        <f>IFERROR(__xludf.DUMMYFUNCTION("IFERROR(HLOOKUP($A31,IMPORTRANGE(""https://docs.google.com/spreadsheets/d/1fvo6H94Wcffp6c4N9g3JKCW6y2ZlijPxdOsNz7xdBhw/edit#gid=0"",""'Game 2'!$B$2:$Q$31""),30,False),1)"),23.0)</f>
        <v>23</v>
      </c>
      <c r="P31" s="12">
        <f>IFERROR(__xludf.DUMMYFUNCTION("IFERROR(HLOOKUP($A31,IMPORTRANGE(""https://docs.google.com/spreadsheets/d/1wfQePArl-A-5QJe5xAufoOnzeNLVSoHCRcmpZ_FMdns/edit#gid=0"",""'Game 2'!$B$2:$Q$31""),30,False),1)"),23.0)</f>
        <v>23</v>
      </c>
      <c r="Q31" s="12">
        <f>IFERROR(__xludf.DUMMYFUNCTION("IFERROR(HLOOKUP($A31,IMPORTRANGE(""https://docs.google.com/spreadsheets/d/1wydNznS0hZhVh3oGSdiCZSsReuqMT7Xaw718ix58zAI/edit#gid=0"",""'Game 2'!$B$2:$Q$31""),30,False),1)"),23.0)</f>
        <v>23</v>
      </c>
      <c r="R31" s="13">
        <f t="shared" si="1"/>
        <v>345</v>
      </c>
    </row>
    <row r="32">
      <c r="A32" s="3" t="s">
        <v>102</v>
      </c>
      <c r="B32" s="17" t="s">
        <v>97</v>
      </c>
      <c r="C32" s="3">
        <v>0.0</v>
      </c>
      <c r="D32" s="3">
        <v>23.0</v>
      </c>
      <c r="E32" s="3">
        <v>0.0</v>
      </c>
      <c r="F32" s="3">
        <v>23.0</v>
      </c>
      <c r="G32" s="3">
        <v>0.0</v>
      </c>
      <c r="H32" s="6">
        <f>IFERROR(__xludf.DUMMYFUNCTION("HLOOKUP($A32,IMPORTRANGE(""https://docs.google.com/spreadsheets/d/19gjAD4NwTXl_QoKUuwHQ1cWG_S2BOW94pDcyFtPwheg/edit#gid=1009263986"",""'Game 2'!$B$2:$Q$31""),30,False)"),12.0)</f>
        <v>12</v>
      </c>
      <c r="I32" s="5">
        <f>IFERROR(__xludf.DUMMYFUNCTION("HLOOKUP($A32,IMPORTRANGE(""https://docs.google.com/spreadsheets/d/1l83w8bH-F1czkFOqsgQy6o8O33Jb4Pfg40W0ou2nk0k/edit#gid=0"",""'Game 1'!$B$2:$Q$31""),30,False)"),0.0)</f>
        <v>0</v>
      </c>
      <c r="J32" s="5">
        <f>IFERROR(__xludf.DUMMYFUNCTION("HLOOKUP($A32,IMPORTRANGE(""https://docs.google.com/spreadsheets/d/15X-ub7GvrCQZ3UGgyogcjwYdxG-Ng8WHxzGSj1Z3eLw/edit#gid=0"",""'Game 2'!$B$2:$Q$31""),30,False)"),0.0)</f>
        <v>0</v>
      </c>
      <c r="K32" s="5">
        <f>IFERROR(__xludf.DUMMYFUNCTION("IFERROR(HLOOKUP($A32,IMPORTRANGE(""https://docs.google.com/spreadsheets/d/194Bw3ABslPPhOOPvVoMzIk8sOQFICWBu2pydWdYMD-w/edit#gid=0"",""'Game 2'!$B$2:$Q$26""),25,False),1)"),0.0)</f>
        <v>0</v>
      </c>
      <c r="L32" s="5">
        <f>IFERROR(__xludf.DUMMYFUNCTION("IFERROR(HLOOKUP($A32,IMPORTRANGE(""https://docs.google.com/spreadsheets/d/1F2Bi6K_I1K9xRxY5qb-bNRo5m-Kw7udpF1OaTHhrxjs/edit#gid=0"",""'Game 2'!$B$2:$Q$31""),30,False),1)"),0.0)</f>
        <v>0</v>
      </c>
      <c r="M32" s="5">
        <f>IFERROR(__xludf.DUMMYFUNCTION("IFERROR(HLOOKUP($A32,IMPORTRANGE(""https://docs.google.com/spreadsheets/d/1NDNgi_Ny4dRhc2A3UMIIkalN-V6EmsvxOfDzMRQlQ40/edit#gid=0"",""'Game 2'!$B$2:$Q$31""),30,False),1)"),0.0)</f>
        <v>0</v>
      </c>
      <c r="N32" s="5">
        <f>IFERROR(__xludf.DUMMYFUNCTION("IFERROR(HLOOKUP($A32,IMPORTRANGE(""https://docs.google.com/spreadsheets/d/1UDYA3-RrkJNLa2ZLH1NnUjKyfCoiSODmgVL_Au_zt-Y/edit#gid=0"",""'Game 2'!$B$2:$Q$31""),30,False),1)"),0.0)</f>
        <v>0</v>
      </c>
      <c r="O32" s="5">
        <f>IFERROR(__xludf.DUMMYFUNCTION("IFERROR(HLOOKUP($A32,IMPORTRANGE(""https://docs.google.com/spreadsheets/d/1fvo6H94Wcffp6c4N9g3JKCW6y2ZlijPxdOsNz7xdBhw/edit#gid=0"",""'Game 2'!$B$2:$Q$31""),30,False),1)"),0.0)</f>
        <v>0</v>
      </c>
      <c r="P32" s="5">
        <f>IFERROR(__xludf.DUMMYFUNCTION("IFERROR(HLOOKUP($A32,IMPORTRANGE(""https://docs.google.com/spreadsheets/d/1wfQePArl-A-5QJe5xAufoOnzeNLVSoHCRcmpZ_FMdns/edit#gid=0"",""'Game 2'!$B$2:$Q$31""),30,False),1)"),0.0)</f>
        <v>0</v>
      </c>
      <c r="Q32" s="5">
        <f>IFERROR(__xludf.DUMMYFUNCTION("IFERROR(HLOOKUP($A32,IMPORTRANGE(""https://docs.google.com/spreadsheets/d/1wydNznS0hZhVh3oGSdiCZSsReuqMT7Xaw718ix58zAI/edit#gid=0"",""'Game 2'!$B$2:$Q$31""),30,False),1)"),0.0)</f>
        <v>0</v>
      </c>
      <c r="R32" s="6">
        <f t="shared" si="1"/>
        <v>58</v>
      </c>
    </row>
    <row r="33">
      <c r="A33" s="2" t="s">
        <v>103</v>
      </c>
      <c r="B33" s="10" t="s">
        <v>97</v>
      </c>
      <c r="C33" s="2">
        <v>23.0</v>
      </c>
      <c r="D33" s="2">
        <v>23.0</v>
      </c>
      <c r="E33" s="2">
        <v>23.0</v>
      </c>
      <c r="F33" s="2">
        <v>23.0</v>
      </c>
      <c r="G33" s="2">
        <v>23.0</v>
      </c>
      <c r="H33" s="13">
        <f>IFERROR(__xludf.DUMMYFUNCTION("HLOOKUP($A33,IMPORTRANGE(""https://docs.google.com/spreadsheets/d/19gjAD4NwTXl_QoKUuwHQ1cWG_S2BOW94pDcyFtPwheg/edit#gid=1009263986"",""'Game 2'!$B$2:$Q$31""),30,False)"),23.0)</f>
        <v>23</v>
      </c>
      <c r="I33" s="12">
        <f>IFERROR(__xludf.DUMMYFUNCTION("HLOOKUP($A33,IMPORTRANGE(""https://docs.google.com/spreadsheets/d/1l83w8bH-F1czkFOqsgQy6o8O33Jb4Pfg40W0ou2nk0k/edit#gid=0"",""'Game 1'!$B$2:$Q$31""),30,False)"),23.0)</f>
        <v>23</v>
      </c>
      <c r="J33" s="12">
        <f>IFERROR(__xludf.DUMMYFUNCTION("HLOOKUP($A33,IMPORTRANGE(""https://docs.google.com/spreadsheets/d/15X-ub7GvrCQZ3UGgyogcjwYdxG-Ng8WHxzGSj1Z3eLw/edit#gid=0"",""'Game 2'!$B$2:$Q$31""),30,False)"),23.0)</f>
        <v>23</v>
      </c>
      <c r="K33" s="12">
        <f>IFERROR(__xludf.DUMMYFUNCTION("IFERROR(HLOOKUP($A33,IMPORTRANGE(""https://docs.google.com/spreadsheets/d/194Bw3ABslPPhOOPvVoMzIk8sOQFICWBu2pydWdYMD-w/edit#gid=0"",""'Game 2'!$B$2:$Q$26""),25,False),1)"),23.0)</f>
        <v>23</v>
      </c>
      <c r="L33" s="12">
        <f>IFERROR(__xludf.DUMMYFUNCTION("IFERROR(HLOOKUP($A33,IMPORTRANGE(""https://docs.google.com/spreadsheets/d/1F2Bi6K_I1K9xRxY5qb-bNRo5m-Kw7udpF1OaTHhrxjs/edit#gid=0"",""'Game 2'!$B$2:$Q$31""),30,False),1)"),23.0)</f>
        <v>23</v>
      </c>
      <c r="M33" s="12">
        <f>IFERROR(__xludf.DUMMYFUNCTION("IFERROR(HLOOKUP($A33,IMPORTRANGE(""https://docs.google.com/spreadsheets/d/1NDNgi_Ny4dRhc2A3UMIIkalN-V6EmsvxOfDzMRQlQ40/edit#gid=0"",""'Game 2'!$B$2:$Q$31""),30,False),1)"),23.0)</f>
        <v>23</v>
      </c>
      <c r="N33" s="12">
        <f>IFERROR(__xludf.DUMMYFUNCTION("IFERROR(HLOOKUP($A33,IMPORTRANGE(""https://docs.google.com/spreadsheets/d/1UDYA3-RrkJNLa2ZLH1NnUjKyfCoiSODmgVL_Au_zt-Y/edit#gid=0"",""'Game 2'!$B$2:$Q$31""),30,False),1)"),23.0)</f>
        <v>23</v>
      </c>
      <c r="O33" s="12">
        <f>IFERROR(__xludf.DUMMYFUNCTION("IFERROR(HLOOKUP($A33,IMPORTRANGE(""https://docs.google.com/spreadsheets/d/1fvo6H94Wcffp6c4N9g3JKCW6y2ZlijPxdOsNz7xdBhw/edit#gid=0"",""'Game 2'!$B$2:$Q$31""),30,False),1)"),23.0)</f>
        <v>23</v>
      </c>
      <c r="P33" s="12">
        <f>IFERROR(__xludf.DUMMYFUNCTION("IFERROR(HLOOKUP($A33,IMPORTRANGE(""https://docs.google.com/spreadsheets/d/1wfQePArl-A-5QJe5xAufoOnzeNLVSoHCRcmpZ_FMdns/edit#gid=0"",""'Game 2'!$B$2:$Q$31""),30,False),1)"),23.0)</f>
        <v>23</v>
      </c>
      <c r="Q33" s="12">
        <f>IFERROR(__xludf.DUMMYFUNCTION("IFERROR(HLOOKUP($A33,IMPORTRANGE(""https://docs.google.com/spreadsheets/d/1wydNznS0hZhVh3oGSdiCZSsReuqMT7Xaw718ix58zAI/edit#gid=0"",""'Game 2'!$B$2:$Q$31""),30,False),1)"),23.0)</f>
        <v>23</v>
      </c>
      <c r="R33" s="13">
        <f t="shared" si="1"/>
        <v>345</v>
      </c>
    </row>
    <row r="34">
      <c r="A34" s="3" t="s">
        <v>105</v>
      </c>
      <c r="B34" s="17" t="s">
        <v>97</v>
      </c>
      <c r="C34" s="3">
        <v>23.0</v>
      </c>
      <c r="D34" s="3">
        <v>0.0</v>
      </c>
      <c r="E34" s="3">
        <v>23.0</v>
      </c>
      <c r="F34" s="3">
        <v>0.0</v>
      </c>
      <c r="G34" s="3">
        <v>23.0</v>
      </c>
      <c r="H34" s="6">
        <f>IFERROR(__xludf.DUMMYFUNCTION("HLOOKUP($A34,IMPORTRANGE(""https://docs.google.com/spreadsheets/d/19gjAD4NwTXl_QoKUuwHQ1cWG_S2BOW94pDcyFtPwheg/edit#gid=1009263986"",""'Game 2'!$B$2:$Q$31""),30,False)"),11.0)</f>
        <v>11</v>
      </c>
      <c r="I34" s="5">
        <f>IFERROR(__xludf.DUMMYFUNCTION("HLOOKUP($A34,IMPORTRANGE(""https://docs.google.com/spreadsheets/d/1l83w8bH-F1czkFOqsgQy6o8O33Jb4Pfg40W0ou2nk0k/edit#gid=0"",""'Game 1'!$B$2:$Q$31""),30,False)"),23.0)</f>
        <v>23</v>
      </c>
      <c r="J34" s="5">
        <f>IFERROR(__xludf.DUMMYFUNCTION("HLOOKUP($A34,IMPORTRANGE(""https://docs.google.com/spreadsheets/d/15X-ub7GvrCQZ3UGgyogcjwYdxG-Ng8WHxzGSj1Z3eLw/edit#gid=0"",""'Game 2'!$B$2:$Q$31""),30,False)"),23.0)</f>
        <v>23</v>
      </c>
      <c r="K34" s="5">
        <f>IFERROR(__xludf.DUMMYFUNCTION("IFERROR(HLOOKUP($A34,IMPORTRANGE(""https://docs.google.com/spreadsheets/d/194Bw3ABslPPhOOPvVoMzIk8sOQFICWBu2pydWdYMD-w/edit#gid=0"",""'Game 2'!$B$2:$Q$26""),25,False),1)"),23.0)</f>
        <v>23</v>
      </c>
      <c r="L34" s="5">
        <f>IFERROR(__xludf.DUMMYFUNCTION("IFERROR(HLOOKUP($A34,IMPORTRANGE(""https://docs.google.com/spreadsheets/d/1F2Bi6K_I1K9xRxY5qb-bNRo5m-Kw7udpF1OaTHhrxjs/edit#gid=0"",""'Game 2'!$B$2:$Q$31""),30,False),1)"),23.0)</f>
        <v>23</v>
      </c>
      <c r="M34" s="5">
        <f>IFERROR(__xludf.DUMMYFUNCTION("IFERROR(HLOOKUP($A34,IMPORTRANGE(""https://docs.google.com/spreadsheets/d/1NDNgi_Ny4dRhc2A3UMIIkalN-V6EmsvxOfDzMRQlQ40/edit#gid=0"",""'Game 2'!$B$2:$Q$31""),30,False),1)"),0.0)</f>
        <v>0</v>
      </c>
      <c r="N34" s="5">
        <f>IFERROR(__xludf.DUMMYFUNCTION("IFERROR(HLOOKUP($A34,IMPORTRANGE(""https://docs.google.com/spreadsheets/d/1UDYA3-RrkJNLa2ZLH1NnUjKyfCoiSODmgVL_Au_zt-Y/edit#gid=0"",""'Game 2'!$B$2:$Q$31""),30,False),1)"),23.0)</f>
        <v>23</v>
      </c>
      <c r="O34" s="5">
        <f>IFERROR(__xludf.DUMMYFUNCTION("IFERROR(HLOOKUP($A34,IMPORTRANGE(""https://docs.google.com/spreadsheets/d/1fvo6H94Wcffp6c4N9g3JKCW6y2ZlijPxdOsNz7xdBhw/edit#gid=0"",""'Game 2'!$B$2:$Q$31""),30,False),1)"),23.0)</f>
        <v>23</v>
      </c>
      <c r="P34" s="5">
        <f>IFERROR(__xludf.DUMMYFUNCTION("IFERROR(HLOOKUP($A34,IMPORTRANGE(""https://docs.google.com/spreadsheets/d/1wfQePArl-A-5QJe5xAufoOnzeNLVSoHCRcmpZ_FMdns/edit#gid=0"",""'Game 2'!$B$2:$Q$31""),30,False),1)"),23.0)</f>
        <v>23</v>
      </c>
      <c r="Q34" s="5">
        <f>IFERROR(__xludf.DUMMYFUNCTION("IFERROR(HLOOKUP($A34,IMPORTRANGE(""https://docs.google.com/spreadsheets/d/1wydNznS0hZhVh3oGSdiCZSsReuqMT7Xaw718ix58zAI/edit#gid=0"",""'Game 2'!$B$2:$Q$31""),30,False),1)"),23.0)</f>
        <v>23</v>
      </c>
      <c r="R34" s="6">
        <f t="shared" si="1"/>
        <v>264</v>
      </c>
    </row>
    <row r="35">
      <c r="A35" s="2" t="s">
        <v>107</v>
      </c>
      <c r="B35" s="2" t="s">
        <v>108</v>
      </c>
      <c r="C35" s="2">
        <v>23.0</v>
      </c>
      <c r="D35" s="2">
        <v>23.0</v>
      </c>
      <c r="E35" s="2">
        <v>23.0</v>
      </c>
      <c r="F35" s="2">
        <v>23.0</v>
      </c>
      <c r="G35" s="2">
        <v>23.0</v>
      </c>
      <c r="H35" s="13">
        <f>IFERROR(__xludf.DUMMYFUNCTION("HLOOKUP($A35,IMPORTRANGE(""https://docs.google.com/spreadsheets/d/19gjAD4NwTXl_QoKUuwHQ1cWG_S2BOW94pDcyFtPwheg/edit#gid=1009263986"",""'Game 6'!$B$2:$Q$31""),30,False)"),23.0)</f>
        <v>23</v>
      </c>
      <c r="I35" s="12">
        <f>IFERROR(__xludf.DUMMYFUNCTION("HLOOKUP($A35,IMPORTRANGE(""https://docs.google.com/spreadsheets/d/1l83w8bH-F1czkFOqsgQy6o8O33Jb4Pfg40W0ou2nk0k/edit#gid=0"",""'Game 12'!$B$2:$Q$31""),30,False)"),23.0)</f>
        <v>23</v>
      </c>
      <c r="J35" s="12">
        <f>IFERROR(__xludf.DUMMYFUNCTION("HLOOKUP($A35,IMPORTRANGE(""https://docs.google.com/spreadsheets/d/15X-ub7GvrCQZ3UGgyogcjwYdxG-Ng8WHxzGSj1Z3eLw/edit#gid=0"",""'Game 10'!$B$2:$Q$31""),30,False)"),23.0)</f>
        <v>23</v>
      </c>
      <c r="K35" s="12">
        <f>IFERROR(__xludf.DUMMYFUNCTION("IFERROR(HLOOKUP($A35,IMPORTRANGE(""https://docs.google.com/spreadsheets/d/194Bw3ABslPPhOOPvVoMzIk8sOQFICWBu2pydWdYMD-w/edit#gid=0"",""'Game 7'!$B$2:$Q$26""),25,False),1)"),23.0)</f>
        <v>23</v>
      </c>
      <c r="L35" s="12">
        <f>IFERROR(__xludf.DUMMYFUNCTION("IFERROR(HLOOKUP($A35,IMPORTRANGE(""https://docs.google.com/spreadsheets/d/1F2Bi6K_I1K9xRxY5qb-bNRo5m-Kw7udpF1OaTHhrxjs/edit#gid=0"",""'Game 10'!$B$2:$Q$31""),30,False),1)"),23.0)</f>
        <v>23</v>
      </c>
      <c r="M35" s="12">
        <f>IFERROR(__xludf.DUMMYFUNCTION("IFERROR(HLOOKUP($A35,IMPORTRANGE(""https://docs.google.com/spreadsheets/d/1NDNgi_Ny4dRhc2A3UMIIkalN-V6EmsvxOfDzMRQlQ40/edit#gid=0"",""'Game 9'!$B$2:$Q$31""),30,False),1)"),23.0)</f>
        <v>23</v>
      </c>
      <c r="N35" s="12">
        <f>IFERROR(__xludf.DUMMYFUNCTION("IFERROR(HLOOKUP($A35,IMPORTRANGE(""https://docs.google.com/spreadsheets/d/1UDYA3-RrkJNLa2ZLH1NnUjKyfCoiSODmgVL_Au_zt-Y/edit#gid=0"",""'Game 7'!$B$2:$Q$31""),30,False),1)"),23.0)</f>
        <v>23</v>
      </c>
      <c r="O35" s="12">
        <f>IFERROR(__xludf.DUMMYFUNCTION("IFERROR(HLOOKUP($A35,IMPORTRANGE(""https://docs.google.com/spreadsheets/d/1fvo6H94Wcffp6c4N9g3JKCW6y2ZlijPxdOsNz7xdBhw/edit#gid=0"",""'Game 9'!$B$2:$Q$31""),30,False),1)"),23.0)</f>
        <v>23</v>
      </c>
      <c r="P35" s="12">
        <f>IFERROR(__xludf.DUMMYFUNCTION("IFERROR(HLOOKUP($A35,IMPORTRANGE(""https://docs.google.com/spreadsheets/d/1wfQePArl-A-5QJe5xAufoOnzeNLVSoHCRcmpZ_FMdns/edit#gid=0"",""'Game 3'!$B$2:$Q$31""),30,False),1)"),23.0)</f>
        <v>23</v>
      </c>
      <c r="Q35" s="12">
        <f>IFERROR(__xludf.DUMMYFUNCTION("IFERROR(HLOOKUP($A35,IMPORTRANGE(""https://docs.google.com/spreadsheets/d/1wydNznS0hZhVh3oGSdiCZSsReuqMT7Xaw718ix58zAI/edit#gid=0"",""'Game 2'!$B$2:$Q$31""),30,False),1)"),23.0)</f>
        <v>23</v>
      </c>
      <c r="R35" s="13">
        <f t="shared" si="1"/>
        <v>345</v>
      </c>
    </row>
    <row r="36">
      <c r="A36" s="3" t="s">
        <v>110</v>
      </c>
      <c r="B36" s="17" t="s">
        <v>108</v>
      </c>
      <c r="C36" s="3">
        <v>0.0</v>
      </c>
      <c r="D36" s="3">
        <v>23.0</v>
      </c>
      <c r="E36" s="3">
        <v>23.0</v>
      </c>
      <c r="F36" s="3">
        <v>23.0</v>
      </c>
      <c r="G36" s="3">
        <v>23.0</v>
      </c>
      <c r="H36" s="6">
        <f>IFERROR(__xludf.DUMMYFUNCTION("HLOOKUP($A36,IMPORTRANGE(""https://docs.google.com/spreadsheets/d/19gjAD4NwTXl_QoKUuwHQ1cWG_S2BOW94pDcyFtPwheg/edit#gid=1009263986"",""'Game 6'!$B$2:$Q$31""),30,False)"),23.0)</f>
        <v>23</v>
      </c>
      <c r="I36" s="5">
        <f>IFERROR(__xludf.DUMMYFUNCTION("HLOOKUP($A36,IMPORTRANGE(""https://docs.google.com/spreadsheets/d/1l83w8bH-F1czkFOqsgQy6o8O33Jb4Pfg40W0ou2nk0k/edit#gid=0"",""'Game 12'!$B$2:$Q$31""),30,False)"),0.0)</f>
        <v>0</v>
      </c>
      <c r="J36" s="5">
        <f>IFERROR(__xludf.DUMMYFUNCTION("HLOOKUP($A36,IMPORTRANGE(""https://docs.google.com/spreadsheets/d/15X-ub7GvrCQZ3UGgyogcjwYdxG-Ng8WHxzGSj1Z3eLw/edit#gid=0"",""'Game 10'!$B$2:$Q$31""),30,False)"),23.0)</f>
        <v>23</v>
      </c>
      <c r="K36" s="5">
        <f>IFERROR(__xludf.DUMMYFUNCTION("IFERROR(HLOOKUP($A36,IMPORTRANGE(""https://docs.google.com/spreadsheets/d/194Bw3ABslPPhOOPvVoMzIk8sOQFICWBu2pydWdYMD-w/edit#gid=0"",""'Game 7'!$B$2:$Q$26""),25,False),1)"),23.0)</f>
        <v>23</v>
      </c>
      <c r="L36" s="5">
        <f>IFERROR(__xludf.DUMMYFUNCTION("IFERROR(HLOOKUP($A36,IMPORTRANGE(""https://docs.google.com/spreadsheets/d/1F2Bi6K_I1K9xRxY5qb-bNRo5m-Kw7udpF1OaTHhrxjs/edit#gid=0"",""'Game 10'!$B$2:$Q$31""),30,False),1)"),23.0)</f>
        <v>23</v>
      </c>
      <c r="M36" s="5">
        <f>IFERROR(__xludf.DUMMYFUNCTION("IFERROR(HLOOKUP($A36,IMPORTRANGE(""https://docs.google.com/spreadsheets/d/1NDNgi_Ny4dRhc2A3UMIIkalN-V6EmsvxOfDzMRQlQ40/edit#gid=0"",""'Game 9'!$B$2:$Q$31""),30,False),1)"),23.0)</f>
        <v>23</v>
      </c>
      <c r="N36" s="5">
        <f>IFERROR(__xludf.DUMMYFUNCTION("IFERROR(HLOOKUP($A36,IMPORTRANGE(""https://docs.google.com/spreadsheets/d/1UDYA3-RrkJNLa2ZLH1NnUjKyfCoiSODmgVL_Au_zt-Y/edit#gid=0"",""'Game 7'!$B$2:$Q$31""),30,False),1)"),23.0)</f>
        <v>23</v>
      </c>
      <c r="O36" s="5">
        <f>IFERROR(__xludf.DUMMYFUNCTION("IFERROR(HLOOKUP($A36,IMPORTRANGE(""https://docs.google.com/spreadsheets/d/1fvo6H94Wcffp6c4N9g3JKCW6y2ZlijPxdOsNz7xdBhw/edit#gid=0"",""'Game 9'!$B$2:$Q$31""),30,False),1)"),23.0)</f>
        <v>23</v>
      </c>
      <c r="P36" s="5">
        <f>IFERROR(__xludf.DUMMYFUNCTION("IFERROR(HLOOKUP($A36,IMPORTRANGE(""https://docs.google.com/spreadsheets/d/1wfQePArl-A-5QJe5xAufoOnzeNLVSoHCRcmpZ_FMdns/edit#gid=0"",""'Game 3'!$B$2:$Q$31""),30,False),1)"),23.0)</f>
        <v>23</v>
      </c>
      <c r="Q36" s="5">
        <f>IFERROR(__xludf.DUMMYFUNCTION("IFERROR(HLOOKUP($A36,IMPORTRANGE(""https://docs.google.com/spreadsheets/d/1wydNznS0hZhVh3oGSdiCZSsReuqMT7Xaw718ix58zAI/edit#gid=0"",""'Game 2'!$B$2:$Q$31""),30,False),1)"),23.0)</f>
        <v>23</v>
      </c>
      <c r="R36" s="6">
        <f t="shared" si="1"/>
        <v>299</v>
      </c>
    </row>
    <row r="37">
      <c r="A37" s="2" t="s">
        <v>112</v>
      </c>
      <c r="B37" s="10" t="s">
        <v>108</v>
      </c>
      <c r="C37" s="2">
        <v>23.0</v>
      </c>
      <c r="D37" s="2">
        <v>0.0</v>
      </c>
      <c r="E37" s="2">
        <v>23.0</v>
      </c>
      <c r="F37" s="2">
        <v>23.0</v>
      </c>
      <c r="G37" s="2">
        <v>23.0</v>
      </c>
      <c r="H37" s="13">
        <f>IFERROR(__xludf.DUMMYFUNCTION("HLOOKUP($A37,IMPORTRANGE(""https://docs.google.com/spreadsheets/d/19gjAD4NwTXl_QoKUuwHQ1cWG_S2BOW94pDcyFtPwheg/edit#gid=1009263986"",""'Game 6'!$B$2:$Q$31""),30,False)"),23.0)</f>
        <v>23</v>
      </c>
      <c r="I37" s="12">
        <f>IFERROR(__xludf.DUMMYFUNCTION("HLOOKUP($A37,IMPORTRANGE(""https://docs.google.com/spreadsheets/d/1l83w8bH-F1czkFOqsgQy6o8O33Jb4Pfg40W0ou2nk0k/edit#gid=0"",""'Game 12'!$B$2:$Q$31""),30,False)"),23.0)</f>
        <v>23</v>
      </c>
      <c r="J37" s="12">
        <f>IFERROR(__xludf.DUMMYFUNCTION("HLOOKUP($A37,IMPORTRANGE(""https://docs.google.com/spreadsheets/d/15X-ub7GvrCQZ3UGgyogcjwYdxG-Ng8WHxzGSj1Z3eLw/edit#gid=0"",""'Game 10'!$B$2:$Q$31""),30,False)"),23.0)</f>
        <v>23</v>
      </c>
      <c r="K37" s="12">
        <f>IFERROR(__xludf.DUMMYFUNCTION("IFERROR(HLOOKUP($A37,IMPORTRANGE(""https://docs.google.com/spreadsheets/d/194Bw3ABslPPhOOPvVoMzIk8sOQFICWBu2pydWdYMD-w/edit#gid=0"",""'Game 7'!$B$2:$Q$26""),25,False),1)"),23.0)</f>
        <v>23</v>
      </c>
      <c r="L37" s="12">
        <f>IFERROR(__xludf.DUMMYFUNCTION("IFERROR(HLOOKUP($A37,IMPORTRANGE(""https://docs.google.com/spreadsheets/d/1F2Bi6K_I1K9xRxY5qb-bNRo5m-Kw7udpF1OaTHhrxjs/edit#gid=0"",""'Game 10'!$B$2:$Q$31""),30,False),1)"),23.0)</f>
        <v>23</v>
      </c>
      <c r="M37" s="12">
        <f>IFERROR(__xludf.DUMMYFUNCTION("IFERROR(HLOOKUP($A37,IMPORTRANGE(""https://docs.google.com/spreadsheets/d/1NDNgi_Ny4dRhc2A3UMIIkalN-V6EmsvxOfDzMRQlQ40/edit#gid=0"",""'Game 9'!$B$2:$Q$31""),30,False),1)"),23.0)</f>
        <v>23</v>
      </c>
      <c r="N37" s="12">
        <f>IFERROR(__xludf.DUMMYFUNCTION("IFERROR(HLOOKUP($A37,IMPORTRANGE(""https://docs.google.com/spreadsheets/d/1UDYA3-RrkJNLa2ZLH1NnUjKyfCoiSODmgVL_Au_zt-Y/edit#gid=0"",""'Game 7'!$B$2:$Q$31""),30,False),1)"),23.0)</f>
        <v>23</v>
      </c>
      <c r="O37" s="12">
        <f>IFERROR(__xludf.DUMMYFUNCTION("IFERROR(HLOOKUP($A37,IMPORTRANGE(""https://docs.google.com/spreadsheets/d/1fvo6H94Wcffp6c4N9g3JKCW6y2ZlijPxdOsNz7xdBhw/edit#gid=0"",""'Game 9'!$B$2:$Q$31""),30,False),1)"),0.0)</f>
        <v>0</v>
      </c>
      <c r="P37" s="12">
        <f>IFERROR(__xludf.DUMMYFUNCTION("IFERROR(HLOOKUP($A37,IMPORTRANGE(""https://docs.google.com/spreadsheets/d/1wfQePArl-A-5QJe5xAufoOnzeNLVSoHCRcmpZ_FMdns/edit#gid=0"",""'Game 3'!$B$2:$Q$31""),30,False),1)"),0.0)</f>
        <v>0</v>
      </c>
      <c r="Q37" s="12">
        <f>IFERROR(__xludf.DUMMYFUNCTION("IFERROR(HLOOKUP($A37,IMPORTRANGE(""https://docs.google.com/spreadsheets/d/1wydNznS0hZhVh3oGSdiCZSsReuqMT7Xaw718ix58zAI/edit#gid=0"",""'Game 2'!$B$2:$Q$31""),30,False),1)"),12.0)</f>
        <v>12</v>
      </c>
      <c r="R37" s="13">
        <f t="shared" si="1"/>
        <v>265</v>
      </c>
    </row>
    <row r="38">
      <c r="A38" s="3" t="s">
        <v>115</v>
      </c>
      <c r="B38" s="17" t="s">
        <v>108</v>
      </c>
      <c r="C38" s="3">
        <v>23.0</v>
      </c>
      <c r="D38" s="3">
        <v>23.0</v>
      </c>
      <c r="E38" s="3">
        <v>23.0</v>
      </c>
      <c r="F38" s="3">
        <v>23.0</v>
      </c>
      <c r="G38" s="3">
        <v>23.0</v>
      </c>
      <c r="H38" s="6">
        <f>IFERROR(__xludf.DUMMYFUNCTION("HLOOKUP($A38,IMPORTRANGE(""https://docs.google.com/spreadsheets/d/19gjAD4NwTXl_QoKUuwHQ1cWG_S2BOW94pDcyFtPwheg/edit#gid=1009263986"",""'Game 6'!$B$2:$Q$31""),30,False)"),23.0)</f>
        <v>23</v>
      </c>
      <c r="I38" s="5">
        <f>IFERROR(__xludf.DUMMYFUNCTION("HLOOKUP($A38,IMPORTRANGE(""https://docs.google.com/spreadsheets/d/1l83w8bH-F1czkFOqsgQy6o8O33Jb4Pfg40W0ou2nk0k/edit#gid=0"",""'Game 12'!$B$2:$Q$31""),30,False)"),23.0)</f>
        <v>23</v>
      </c>
      <c r="J38" s="5">
        <f>IFERROR(__xludf.DUMMYFUNCTION("HLOOKUP($A38,IMPORTRANGE(""https://docs.google.com/spreadsheets/d/15X-ub7GvrCQZ3UGgyogcjwYdxG-Ng8WHxzGSj1Z3eLw/edit#gid=0"",""'Game 10'!$B$2:$Q$31""),30,False)"),23.0)</f>
        <v>23</v>
      </c>
      <c r="K38" s="5">
        <f>IFERROR(__xludf.DUMMYFUNCTION("IFERROR(HLOOKUP($A38,IMPORTRANGE(""https://docs.google.com/spreadsheets/d/194Bw3ABslPPhOOPvVoMzIk8sOQFICWBu2pydWdYMD-w/edit#gid=0"",""'Game 7'!$B$2:$Q$26""),25,False),1)"),23.0)</f>
        <v>23</v>
      </c>
      <c r="L38" s="5">
        <f>IFERROR(__xludf.DUMMYFUNCTION("IFERROR(HLOOKUP($A38,IMPORTRANGE(""https://docs.google.com/spreadsheets/d/1F2Bi6K_I1K9xRxY5qb-bNRo5m-Kw7udpF1OaTHhrxjs/edit#gid=0"",""'Game 10'!$B$2:$Q$31""),30,False),1)"),23.0)</f>
        <v>23</v>
      </c>
      <c r="M38" s="5">
        <f>IFERROR(__xludf.DUMMYFUNCTION("IFERROR(HLOOKUP($A38,IMPORTRANGE(""https://docs.google.com/spreadsheets/d/1NDNgi_Ny4dRhc2A3UMIIkalN-V6EmsvxOfDzMRQlQ40/edit#gid=0"",""'Game 9'!$B$2:$Q$31""),30,False),1)"),23.0)</f>
        <v>23</v>
      </c>
      <c r="N38" s="5">
        <f>IFERROR(__xludf.DUMMYFUNCTION("IFERROR(HLOOKUP($A38,IMPORTRANGE(""https://docs.google.com/spreadsheets/d/1UDYA3-RrkJNLa2ZLH1NnUjKyfCoiSODmgVL_Au_zt-Y/edit#gid=0"",""'Game 7'!$B$2:$Q$31""),30,False),1)"),23.0)</f>
        <v>23</v>
      </c>
      <c r="O38" s="5">
        <f>IFERROR(__xludf.DUMMYFUNCTION("IFERROR(HLOOKUP($A38,IMPORTRANGE(""https://docs.google.com/spreadsheets/d/1fvo6H94Wcffp6c4N9g3JKCW6y2ZlijPxdOsNz7xdBhw/edit#gid=0"",""'Game 9'!$B$2:$Q$31""),30,False),1)"),23.0)</f>
        <v>23</v>
      </c>
      <c r="P38" s="5">
        <f>IFERROR(__xludf.DUMMYFUNCTION("IFERROR(HLOOKUP($A38,IMPORTRANGE(""https://docs.google.com/spreadsheets/d/1wfQePArl-A-5QJe5xAufoOnzeNLVSoHCRcmpZ_FMdns/edit#gid=0"",""'Game 3'!$B$2:$Q$31""),30,False),1)"),23.0)</f>
        <v>23</v>
      </c>
      <c r="Q38" s="5">
        <f>IFERROR(__xludf.DUMMYFUNCTION("IFERROR(HLOOKUP($A38,IMPORTRANGE(""https://docs.google.com/spreadsheets/d/1wydNznS0hZhVh3oGSdiCZSsReuqMT7Xaw718ix58zAI/edit#gid=0"",""'Game 2'!$B$2:$Q$31""),30,False),1)"),23.0)</f>
        <v>23</v>
      </c>
      <c r="R38" s="6">
        <f t="shared" si="1"/>
        <v>345</v>
      </c>
    </row>
    <row r="39">
      <c r="A39" s="2" t="s">
        <v>117</v>
      </c>
      <c r="B39" s="10" t="s">
        <v>108</v>
      </c>
      <c r="C39" s="2">
        <v>23.0</v>
      </c>
      <c r="D39" s="2">
        <v>23.0</v>
      </c>
      <c r="E39" s="2">
        <v>0.0</v>
      </c>
      <c r="F39" s="2">
        <v>0.0</v>
      </c>
      <c r="G39" s="2">
        <v>0.0</v>
      </c>
      <c r="H39" s="13">
        <f>IFERROR(__xludf.DUMMYFUNCTION("HLOOKUP($A39,IMPORTRANGE(""https://docs.google.com/spreadsheets/d/19gjAD4NwTXl_QoKUuwHQ1cWG_S2BOW94pDcyFtPwheg/edit#gid=1009263986"",""'Game 6'!$B$2:$Q$31""),30,False)"),0.0)</f>
        <v>0</v>
      </c>
      <c r="I39" s="12">
        <f>IFERROR(__xludf.DUMMYFUNCTION("HLOOKUP($A39,IMPORTRANGE(""https://docs.google.com/spreadsheets/d/1l83w8bH-F1czkFOqsgQy6o8O33Jb4Pfg40W0ou2nk0k/edit#gid=0"",""'Game 12'!$B$2:$Q$31""),30,False)"),23.0)</f>
        <v>23</v>
      </c>
      <c r="J39" s="12">
        <f>IFERROR(__xludf.DUMMYFUNCTION("HLOOKUP($A39,IMPORTRANGE(""https://docs.google.com/spreadsheets/d/15X-ub7GvrCQZ3UGgyogcjwYdxG-Ng8WHxzGSj1Z3eLw/edit#gid=0"",""'Game 10'!$B$2:$Q$31""),30,False)"),0.0)</f>
        <v>0</v>
      </c>
      <c r="K39" s="12">
        <f>IFERROR(__xludf.DUMMYFUNCTION("IFERROR(HLOOKUP($A39,IMPORTRANGE(""https://docs.google.com/spreadsheets/d/194Bw3ABslPPhOOPvVoMzIk8sOQFICWBu2pydWdYMD-w/edit#gid=0"",""'Game 7'!$B$2:$Q$26""),25,False),1)"),0.0)</f>
        <v>0</v>
      </c>
      <c r="L39" s="12">
        <f>IFERROR(__xludf.DUMMYFUNCTION("IFERROR(HLOOKUP($A39,IMPORTRANGE(""https://docs.google.com/spreadsheets/d/1F2Bi6K_I1K9xRxY5qb-bNRo5m-Kw7udpF1OaTHhrxjs/edit#gid=0"",""'Game 10'!$B$2:$Q$31""),30,False),1)"),0.0)</f>
        <v>0</v>
      </c>
      <c r="M39" s="12">
        <f>IFERROR(__xludf.DUMMYFUNCTION("IFERROR(HLOOKUP($A39,IMPORTRANGE(""https://docs.google.com/spreadsheets/d/1NDNgi_Ny4dRhc2A3UMIIkalN-V6EmsvxOfDzMRQlQ40/edit#gid=0"",""'Game 9'!$B$2:$Q$31""),30,False),1)"),0.0)</f>
        <v>0</v>
      </c>
      <c r="N39" s="12">
        <f>IFERROR(__xludf.DUMMYFUNCTION("IFERROR(HLOOKUP($A39,IMPORTRANGE(""https://docs.google.com/spreadsheets/d/1UDYA3-RrkJNLa2ZLH1NnUjKyfCoiSODmgVL_Au_zt-Y/edit#gid=0"",""'Game 7'!$B$2:$Q$31""),30,False),1)"),0.0)</f>
        <v>0</v>
      </c>
      <c r="O39" s="12">
        <f>IFERROR(__xludf.DUMMYFUNCTION("IFERROR(HLOOKUP($A39,IMPORTRANGE(""https://docs.google.com/spreadsheets/d/1fvo6H94Wcffp6c4N9g3JKCW6y2ZlijPxdOsNz7xdBhw/edit#gid=0"",""'Game 9'!$B$2:$Q$31""),30,False),1)"),0.0)</f>
        <v>0</v>
      </c>
      <c r="P39" s="12">
        <f>IFERROR(__xludf.DUMMYFUNCTION("IFERROR(HLOOKUP($A39,IMPORTRANGE(""https://docs.google.com/spreadsheets/d/1wfQePArl-A-5QJe5xAufoOnzeNLVSoHCRcmpZ_FMdns/edit#gid=0"",""'Game 3'!$B$2:$Q$31""),30,False),1)"),23.0)</f>
        <v>23</v>
      </c>
      <c r="Q39" s="12">
        <f>IFERROR(__xludf.DUMMYFUNCTION("IFERROR(HLOOKUP($A39,IMPORTRANGE(""https://docs.google.com/spreadsheets/d/1wydNznS0hZhVh3oGSdiCZSsReuqMT7Xaw718ix58zAI/edit#gid=0"",""'Game 2'!$B$2:$Q$31""),30,False),1)"),11.0)</f>
        <v>11</v>
      </c>
      <c r="R39" s="13">
        <f t="shared" si="1"/>
        <v>103</v>
      </c>
    </row>
    <row r="40">
      <c r="A40" s="3" t="s">
        <v>119</v>
      </c>
      <c r="B40" s="3" t="s">
        <v>120</v>
      </c>
      <c r="C40" s="3">
        <v>23.0</v>
      </c>
      <c r="D40" s="3">
        <v>23.0</v>
      </c>
      <c r="E40" s="3">
        <v>23.0</v>
      </c>
      <c r="F40" s="3">
        <v>23.0</v>
      </c>
      <c r="G40" s="3">
        <v>23.0</v>
      </c>
      <c r="H40" s="6">
        <f>IFERROR(__xludf.DUMMYFUNCTION("HLOOKUP($A40,IMPORTRANGE(""https://docs.google.com/spreadsheets/d/19gjAD4NwTXl_QoKUuwHQ1cWG_S2BOW94pDcyFtPwheg/edit#gid=1009263986"",""'Game 11'!$B$2:$Q$31""),30,False)"),23.0)</f>
        <v>23</v>
      </c>
      <c r="I40" s="5">
        <f>IFERROR(__xludf.DUMMYFUNCTION("HLOOKUP($A40,IMPORTRANGE(""https://docs.google.com/spreadsheets/d/1l83w8bH-F1czkFOqsgQy6o8O33Jb4Pfg40W0ou2nk0k/edit#gid=0"",""'Game 8'!$B$2:$Q$31""),30,False)"),23.0)</f>
        <v>23</v>
      </c>
      <c r="J40" s="5">
        <f>IFERROR(__xludf.DUMMYFUNCTION("HLOOKUP($A40,IMPORTRANGE(""https://docs.google.com/spreadsheets/d/15X-ub7GvrCQZ3UGgyogcjwYdxG-Ng8WHxzGSj1Z3eLw/edit#gid=0"",""'Game 5'!$B$2:$Q$31""),30,False)"),23.0)</f>
        <v>23</v>
      </c>
      <c r="K40" s="5">
        <f>IFERROR(__xludf.DUMMYFUNCTION("IFERROR(HLOOKUP($A40,IMPORTRANGE(""https://docs.google.com/spreadsheets/d/194Bw3ABslPPhOOPvVoMzIk8sOQFICWBu2pydWdYMD-w/edit#gid=0"",""'Game 12'!$B$2:$Q$31""),30,False),1)"),23.0)</f>
        <v>23</v>
      </c>
      <c r="L40" s="5">
        <f>IFERROR(__xludf.DUMMYFUNCTION("IFERROR(HLOOKUP($A40,IMPORTRANGE(""https://docs.google.com/spreadsheets/d/1F2Bi6K_I1K9xRxY5qb-bNRo5m-Kw7udpF1OaTHhrxjs/edit#gid=0"",""'Game 12'!$B$2:$Q$31""),30,False),1)"),23.0)</f>
        <v>23</v>
      </c>
      <c r="M40" s="5">
        <f>IFERROR(__xludf.DUMMYFUNCTION("IFERROR(HLOOKUP($A40,IMPORTRANGE(""https://docs.google.com/spreadsheets/d/1NDNgi_Ny4dRhc2A3UMIIkalN-V6EmsvxOfDzMRQlQ40/edit#gid=0"",""'Game 3'!$B$2:$Q$31""),30,False),1)"),23.0)</f>
        <v>23</v>
      </c>
      <c r="N40" s="5">
        <f>IFERROR(__xludf.DUMMYFUNCTION("IFERROR(HLOOKUP($A40,IMPORTRANGE(""https://docs.google.com/spreadsheets/d/1UDYA3-RrkJNLa2ZLH1NnUjKyfCoiSODmgVL_Au_zt-Y/edit#gid=0"",""'Game 10'!$B$2:$Q$31""),30,False),1)"),23.0)</f>
        <v>23</v>
      </c>
      <c r="O40" s="5">
        <f>IFERROR(__xludf.DUMMYFUNCTION("IFERROR(HLOOKUP($A40,IMPORTRANGE(""https://docs.google.com/spreadsheets/d/1fvo6H94Wcffp6c4N9g3JKCW6y2ZlijPxdOsNz7xdBhw/edit#gid=0"",""'Game 12'!$B$2:$Q$31""),30,False),1)"),23.0)</f>
        <v>23</v>
      </c>
      <c r="P40" s="5">
        <f>IFERROR(__xludf.DUMMYFUNCTION("IFERROR(HLOOKUP($A40,IMPORTRANGE(""https://docs.google.com/spreadsheets/d/1wfQePArl-A-5QJe5xAufoOnzeNLVSoHCRcmpZ_FMdns/edit#gid=0"",""'Game 2'!$B$2:$Q$31""),30,False),1)"),23.0)</f>
        <v>23</v>
      </c>
      <c r="Q40" s="5">
        <f>IFERROR(__xludf.DUMMYFUNCTION("IFERROR(HLOOKUP($A40,IMPORTRANGE(""https://docs.google.com/spreadsheets/d/1wydNznS0hZhVh3oGSdiCZSsReuqMT7Xaw718ix58zAI/edit#gid=0"",""'Game 4'!$B$2:$Q$31""),30,False),1)"),23.0)</f>
        <v>23</v>
      </c>
      <c r="R40" s="6">
        <f t="shared" si="1"/>
        <v>345</v>
      </c>
    </row>
    <row r="41">
      <c r="A41" s="2" t="s">
        <v>122</v>
      </c>
      <c r="B41" s="10" t="s">
        <v>120</v>
      </c>
      <c r="C41" s="2">
        <v>23.0</v>
      </c>
      <c r="D41" s="2">
        <v>23.0</v>
      </c>
      <c r="E41" s="2">
        <v>23.0</v>
      </c>
      <c r="F41" s="2">
        <v>23.0</v>
      </c>
      <c r="G41" s="2">
        <v>23.0</v>
      </c>
      <c r="H41" s="13">
        <f>IFERROR(__xludf.DUMMYFUNCTION("HLOOKUP($A41,IMPORTRANGE(""https://docs.google.com/spreadsheets/d/19gjAD4NwTXl_QoKUuwHQ1cWG_S2BOW94pDcyFtPwheg/edit#gid=1009263986"",""'Game 11'!$B$2:$Q$31""),30,False)"),23.0)</f>
        <v>23</v>
      </c>
      <c r="I41" s="12">
        <f>IFERROR(__xludf.DUMMYFUNCTION("HLOOKUP($A41,IMPORTRANGE(""https://docs.google.com/spreadsheets/d/1l83w8bH-F1czkFOqsgQy6o8O33Jb4Pfg40W0ou2nk0k/edit#gid=0"",""'Game 8'!$B$2:$Q$31""),30,False)"),23.0)</f>
        <v>23</v>
      </c>
      <c r="J41" s="12">
        <f>IFERROR(__xludf.DUMMYFUNCTION("HLOOKUP($A41,IMPORTRANGE(""https://docs.google.com/spreadsheets/d/15X-ub7GvrCQZ3UGgyogcjwYdxG-Ng8WHxzGSj1Z3eLw/edit#gid=0"",""'Game 5'!$B$2:$Q$31""),30,False)"),23.0)</f>
        <v>23</v>
      </c>
      <c r="K41" s="12">
        <f>IFERROR(__xludf.DUMMYFUNCTION("IFERROR(HLOOKUP($A41,IMPORTRANGE(""https://docs.google.com/spreadsheets/d/194Bw3ABslPPhOOPvVoMzIk8sOQFICWBu2pydWdYMD-w/edit#gid=0"",""'Game 12'!$B$2:$Q$31""),30,False),1)"),23.0)</f>
        <v>23</v>
      </c>
      <c r="L41" s="12">
        <f>IFERROR(__xludf.DUMMYFUNCTION("IFERROR(HLOOKUP($A41,IMPORTRANGE(""https://docs.google.com/spreadsheets/d/1F2Bi6K_I1K9xRxY5qb-bNRo5m-Kw7udpF1OaTHhrxjs/edit#gid=0"",""'Game 12'!$B$2:$Q$31""),30,False),1)"),23.0)</f>
        <v>23</v>
      </c>
      <c r="M41" s="12">
        <f>IFERROR(__xludf.DUMMYFUNCTION("IFERROR(HLOOKUP($A41,IMPORTRANGE(""https://docs.google.com/spreadsheets/d/1NDNgi_Ny4dRhc2A3UMIIkalN-V6EmsvxOfDzMRQlQ40/edit#gid=0"",""'Game 3'!$B$2:$Q$31""),30,False),1)"),23.0)</f>
        <v>23</v>
      </c>
      <c r="N41" s="12">
        <f>IFERROR(__xludf.DUMMYFUNCTION("IFERROR(HLOOKUP($A41,IMPORTRANGE(""https://docs.google.com/spreadsheets/d/1UDYA3-RrkJNLa2ZLH1NnUjKyfCoiSODmgVL_Au_zt-Y/edit#gid=0"",""'Game 10'!$B$2:$Q$31""),30,False),1)"),23.0)</f>
        <v>23</v>
      </c>
      <c r="O41" s="12">
        <f>IFERROR(__xludf.DUMMYFUNCTION("IFERROR(HLOOKUP($A41,IMPORTRANGE(""https://docs.google.com/spreadsheets/d/1fvo6H94Wcffp6c4N9g3JKCW6y2ZlijPxdOsNz7xdBhw/edit#gid=0"",""'Game 12'!$B$2:$Q$31""),30,False),1)"),23.0)</f>
        <v>23</v>
      </c>
      <c r="P41" s="12">
        <f>IFERROR(__xludf.DUMMYFUNCTION("IFERROR(HLOOKUP($A41,IMPORTRANGE(""https://docs.google.com/spreadsheets/d/1wfQePArl-A-5QJe5xAufoOnzeNLVSoHCRcmpZ_FMdns/edit#gid=0"",""'Game 2'!$B$2:$Q$31""),30,False),1)"),23.0)</f>
        <v>23</v>
      </c>
      <c r="Q41" s="12">
        <f>IFERROR(__xludf.DUMMYFUNCTION("IFERROR(HLOOKUP($A41,IMPORTRANGE(""https://docs.google.com/spreadsheets/d/1wydNznS0hZhVh3oGSdiCZSsReuqMT7Xaw718ix58zAI/edit#gid=0"",""'Game 4'!$B$2:$Q$31""),30,False),1)"),23.0)</f>
        <v>23</v>
      </c>
      <c r="R41" s="13">
        <f t="shared" si="1"/>
        <v>345</v>
      </c>
    </row>
    <row r="42">
      <c r="A42" s="3" t="s">
        <v>126</v>
      </c>
      <c r="B42" s="17" t="s">
        <v>120</v>
      </c>
      <c r="C42" s="3">
        <v>23.0</v>
      </c>
      <c r="D42" s="3">
        <v>23.0</v>
      </c>
      <c r="E42" s="3">
        <v>23.0</v>
      </c>
      <c r="F42" s="3">
        <v>23.0</v>
      </c>
      <c r="G42" s="3">
        <v>23.0</v>
      </c>
      <c r="H42" s="6">
        <f>IFERROR(__xludf.DUMMYFUNCTION("HLOOKUP($A42,IMPORTRANGE(""https://docs.google.com/spreadsheets/d/19gjAD4NwTXl_QoKUuwHQ1cWG_S2BOW94pDcyFtPwheg/edit#gid=1009263986"",""'Game 11'!$B$2:$Q$31""),30,False)"),23.0)</f>
        <v>23</v>
      </c>
      <c r="I42" s="5">
        <f>IFERROR(__xludf.DUMMYFUNCTION("HLOOKUP($A42,IMPORTRANGE(""https://docs.google.com/spreadsheets/d/1l83w8bH-F1czkFOqsgQy6o8O33Jb4Pfg40W0ou2nk0k/edit#gid=0"",""'Game 8'!$B$2:$Q$31""),30,False)"),23.0)</f>
        <v>23</v>
      </c>
      <c r="J42" s="5">
        <f>IFERROR(__xludf.DUMMYFUNCTION("HLOOKUP($A42,IMPORTRANGE(""https://docs.google.com/spreadsheets/d/15X-ub7GvrCQZ3UGgyogcjwYdxG-Ng8WHxzGSj1Z3eLw/edit#gid=0"",""'Game 5'!$B$2:$Q$31""),30,False)"),23.0)</f>
        <v>23</v>
      </c>
      <c r="K42" s="5">
        <f>IFERROR(__xludf.DUMMYFUNCTION("IFERROR(HLOOKUP($A42,IMPORTRANGE(""https://docs.google.com/spreadsheets/d/194Bw3ABslPPhOOPvVoMzIk8sOQFICWBu2pydWdYMD-w/edit#gid=0"",""'Game 12'!$B$2:$Q$31""),30,False),1)"),23.0)</f>
        <v>23</v>
      </c>
      <c r="L42" s="5">
        <f>IFERROR(__xludf.DUMMYFUNCTION("IFERROR(HLOOKUP($A42,IMPORTRANGE(""https://docs.google.com/spreadsheets/d/1F2Bi6K_I1K9xRxY5qb-bNRo5m-Kw7udpF1OaTHhrxjs/edit#gid=0"",""'Game 12'!$B$2:$Q$31""),30,False),1)"),23.0)</f>
        <v>23</v>
      </c>
      <c r="M42" s="5">
        <f>IFERROR(__xludf.DUMMYFUNCTION("IFERROR(HLOOKUP($A42,IMPORTRANGE(""https://docs.google.com/spreadsheets/d/1NDNgi_Ny4dRhc2A3UMIIkalN-V6EmsvxOfDzMRQlQ40/edit#gid=0"",""'Game 3'!$B$2:$Q$31""),30,False),1)"),23.0)</f>
        <v>23</v>
      </c>
      <c r="N42" s="5">
        <f>IFERROR(__xludf.DUMMYFUNCTION("IFERROR(HLOOKUP($A42,IMPORTRANGE(""https://docs.google.com/spreadsheets/d/1UDYA3-RrkJNLa2ZLH1NnUjKyfCoiSODmgVL_Au_zt-Y/edit#gid=0"",""'Game 10'!$B$2:$Q$31""),30,False),1)"),23.0)</f>
        <v>23</v>
      </c>
      <c r="O42" s="5">
        <f>IFERROR(__xludf.DUMMYFUNCTION("IFERROR(HLOOKUP($A42,IMPORTRANGE(""https://docs.google.com/spreadsheets/d/1fvo6H94Wcffp6c4N9g3JKCW6y2ZlijPxdOsNz7xdBhw/edit#gid=0"",""'Game 12'!$B$2:$Q$31""),30,False),1)"),23.0)</f>
        <v>23</v>
      </c>
      <c r="P42" s="5">
        <f>IFERROR(__xludf.DUMMYFUNCTION("IFERROR(HLOOKUP($A42,IMPORTRANGE(""https://docs.google.com/spreadsheets/d/1wfQePArl-A-5QJe5xAufoOnzeNLVSoHCRcmpZ_FMdns/edit#gid=0"",""'Game 2'!$B$2:$Q$31""),30,False),1)"),23.0)</f>
        <v>23</v>
      </c>
      <c r="Q42" s="5">
        <f>IFERROR(__xludf.DUMMYFUNCTION("IFERROR(HLOOKUP($A42,IMPORTRANGE(""https://docs.google.com/spreadsheets/d/1wydNznS0hZhVh3oGSdiCZSsReuqMT7Xaw718ix58zAI/edit#gid=0"",""'Game 4'!$B$2:$Q$31""),30,False),1)"),23.0)</f>
        <v>23</v>
      </c>
      <c r="R42" s="6">
        <f t="shared" si="1"/>
        <v>345</v>
      </c>
    </row>
    <row r="43">
      <c r="A43" s="2" t="s">
        <v>128</v>
      </c>
      <c r="B43" s="10" t="s">
        <v>120</v>
      </c>
      <c r="C43" s="2">
        <v>23.0</v>
      </c>
      <c r="D43" s="2">
        <v>23.0</v>
      </c>
      <c r="E43" s="2">
        <v>23.0</v>
      </c>
      <c r="F43" s="2">
        <v>23.0</v>
      </c>
      <c r="G43" s="2">
        <v>23.0</v>
      </c>
      <c r="H43" s="13">
        <f>IFERROR(__xludf.DUMMYFUNCTION("HLOOKUP($A43,IMPORTRANGE(""https://docs.google.com/spreadsheets/d/19gjAD4NwTXl_QoKUuwHQ1cWG_S2BOW94pDcyFtPwheg/edit#gid=1009263986"",""'Game 11'!$B$2:$Q$31""),30,False)"),23.0)</f>
        <v>23</v>
      </c>
      <c r="I43" s="12">
        <f>IFERROR(__xludf.DUMMYFUNCTION("HLOOKUP($A43,IMPORTRANGE(""https://docs.google.com/spreadsheets/d/1l83w8bH-F1czkFOqsgQy6o8O33Jb4Pfg40W0ou2nk0k/edit#gid=0"",""'Game 8'!$B$2:$Q$31""),30,False)"),23.0)</f>
        <v>23</v>
      </c>
      <c r="J43" s="12">
        <f>IFERROR(__xludf.DUMMYFUNCTION("HLOOKUP($A43,IMPORTRANGE(""https://docs.google.com/spreadsheets/d/15X-ub7GvrCQZ3UGgyogcjwYdxG-Ng8WHxzGSj1Z3eLw/edit#gid=0"",""'Game 5'!$B$2:$Q$31""),30,False)"),23.0)</f>
        <v>23</v>
      </c>
      <c r="K43" s="12">
        <f>IFERROR(__xludf.DUMMYFUNCTION("IFERROR(HLOOKUP($A43,IMPORTRANGE(""https://docs.google.com/spreadsheets/d/194Bw3ABslPPhOOPvVoMzIk8sOQFICWBu2pydWdYMD-w/edit#gid=0"",""'Game 12'!$B$2:$Q$31""),30,False),1)"),23.0)</f>
        <v>23</v>
      </c>
      <c r="L43" s="12">
        <f>IFERROR(__xludf.DUMMYFUNCTION("IFERROR(HLOOKUP($A43,IMPORTRANGE(""https://docs.google.com/spreadsheets/d/1F2Bi6K_I1K9xRxY5qb-bNRo5m-Kw7udpF1OaTHhrxjs/edit#gid=0"",""'Game 12'!$B$2:$Q$31""),30,False),1)"),23.0)</f>
        <v>23</v>
      </c>
      <c r="M43" s="12">
        <f>IFERROR(__xludf.DUMMYFUNCTION("IFERROR(HLOOKUP($A43,IMPORTRANGE(""https://docs.google.com/spreadsheets/d/1NDNgi_Ny4dRhc2A3UMIIkalN-V6EmsvxOfDzMRQlQ40/edit#gid=0"",""'Game 3'!$B$2:$Q$31""),30,False),1)"),23.0)</f>
        <v>23</v>
      </c>
      <c r="N43" s="12">
        <f>IFERROR(__xludf.DUMMYFUNCTION("IFERROR(HLOOKUP($A43,IMPORTRANGE(""https://docs.google.com/spreadsheets/d/1UDYA3-RrkJNLa2ZLH1NnUjKyfCoiSODmgVL_Au_zt-Y/edit#gid=0"",""'Game 10'!$B$2:$Q$31""),30,False),1)"),23.0)</f>
        <v>23</v>
      </c>
      <c r="O43" s="12">
        <f>IFERROR(__xludf.DUMMYFUNCTION("IFERROR(HLOOKUP($A43,IMPORTRANGE(""https://docs.google.com/spreadsheets/d/1fvo6H94Wcffp6c4N9g3JKCW6y2ZlijPxdOsNz7xdBhw/edit#gid=0"",""'Game 12'!$B$2:$Q$31""),30,False),1)"),23.0)</f>
        <v>23</v>
      </c>
      <c r="P43" s="12">
        <f>IFERROR(__xludf.DUMMYFUNCTION("IFERROR(HLOOKUP($A43,IMPORTRANGE(""https://docs.google.com/spreadsheets/d/1wfQePArl-A-5QJe5xAufoOnzeNLVSoHCRcmpZ_FMdns/edit#gid=0"",""'Game 2'!$B$2:$Q$31""),30,False),1)"),23.0)</f>
        <v>23</v>
      </c>
      <c r="Q43" s="12">
        <f>IFERROR(__xludf.DUMMYFUNCTION("IFERROR(HLOOKUP($A43,IMPORTRANGE(""https://docs.google.com/spreadsheets/d/1wydNznS0hZhVh3oGSdiCZSsReuqMT7Xaw718ix58zAI/edit#gid=0"",""'Game 4'!$B$2:$Q$31""),30,False),1)"),23.0)</f>
        <v>23</v>
      </c>
      <c r="R43" s="13">
        <f t="shared" si="1"/>
        <v>345</v>
      </c>
    </row>
    <row r="44">
      <c r="A44" s="3" t="s">
        <v>130</v>
      </c>
      <c r="B44" s="3" t="s">
        <v>131</v>
      </c>
      <c r="C44" s="3">
        <v>23.0</v>
      </c>
      <c r="D44" s="3">
        <v>12.0</v>
      </c>
      <c r="E44" s="3">
        <v>0.0</v>
      </c>
      <c r="F44" s="3">
        <v>0.0</v>
      </c>
      <c r="G44" s="3">
        <v>0.0</v>
      </c>
      <c r="H44" s="6">
        <f>IFERROR(__xludf.DUMMYFUNCTION("HLOOKUP($A44,IMPORTRANGE(""https://docs.google.com/spreadsheets/d/19gjAD4NwTXl_QoKUuwHQ1cWG_S2BOW94pDcyFtPwheg/edit#gid=1009263986"",""'Game 12'!$B$2:$Q$31""),30,False)"),12.0)</f>
        <v>12</v>
      </c>
      <c r="I44" s="5">
        <f>IFERROR(__xludf.DUMMYFUNCTION("HLOOKUP($A44,IMPORTRANGE(""https://docs.google.com/spreadsheets/d/1l83w8bH-F1czkFOqsgQy6o8O33Jb4Pfg40W0ou2nk0k/edit#gid=0"",""'Game 7'!$B$2:$Q$31""),30,False)"),12.0)</f>
        <v>12</v>
      </c>
      <c r="J44" s="5">
        <f>IFERROR(__xludf.DUMMYFUNCTION("HLOOKUP($A44,IMPORTRANGE(""https://docs.google.com/spreadsheets/d/15X-ub7GvrCQZ3UGgyogcjwYdxG-Ng8WHxzGSj1Z3eLw/edit#gid=0"",""'Game 7'!$B$2:$Q$31""),30,False)"),0.0)</f>
        <v>0</v>
      </c>
      <c r="K44" s="5">
        <f>IFERROR(__xludf.DUMMYFUNCTION("IFERROR(HLOOKUP($A44,IMPORTRANGE(""https://docs.google.com/spreadsheets/d/194Bw3ABslPPhOOPvVoMzIk8sOQFICWBu2pydWdYMD-w/edit#gid=0"",""'Game 2'!$B$2:$Q$26""),25,False),1)"),11.0)</f>
        <v>11</v>
      </c>
      <c r="L44" s="5">
        <f>IFERROR(__xludf.DUMMYFUNCTION("IFERROR(HLOOKUP($A44,IMPORTRANGE(""https://docs.google.com/spreadsheets/d/1F2Bi6K_I1K9xRxY5qb-bNRo5m-Kw7udpF1OaTHhrxjs/edit#gid=0"",""'Game 8'!$B$2:$Q$31""),30,False),1)"),0.0)</f>
        <v>0</v>
      </c>
      <c r="M44" s="5">
        <f>IFERROR(__xludf.DUMMYFUNCTION("IFERROR(HLOOKUP($A44,IMPORTRANGE(""https://docs.google.com/spreadsheets/d/1NDNgi_Ny4dRhc2A3UMIIkalN-V6EmsvxOfDzMRQlQ40/edit#gid=0"",""'Game 6'!$B$2:$Q$31""),30,False),1)"),0.0)</f>
        <v>0</v>
      </c>
      <c r="N44" s="5">
        <f>IFERROR(__xludf.DUMMYFUNCTION("IFERROR(HLOOKUP($A44,IMPORTRANGE(""https://docs.google.com/spreadsheets/d/1UDYA3-RrkJNLa2ZLH1NnUjKyfCoiSODmgVL_Au_zt-Y/edit#gid=0"",""'Game 10'!$B$2:$Q$31""),30,False),1)"),0.0)</f>
        <v>0</v>
      </c>
      <c r="O44" s="5">
        <f>IFERROR(__xludf.DUMMYFUNCTION("IFERROR(HLOOKUP($A44,IMPORTRANGE(""https://docs.google.com/spreadsheets/d/1fvo6H94Wcffp6c4N9g3JKCW6y2ZlijPxdOsNz7xdBhw/edit#gid=0"",""'Game 11'!$B$2:$Q$31""),30,False),1)"),12.0)</f>
        <v>12</v>
      </c>
      <c r="P44" s="5">
        <f>IFERROR(__xludf.DUMMYFUNCTION("IFERROR(HLOOKUP($A44,IMPORTRANGE(""https://docs.google.com/spreadsheets/d/1wfQePArl-A-5QJe5xAufoOnzeNLVSoHCRcmpZ_FMdns/edit#gid=0"",""'Game 12'!$B$2:$Q$31""),30,False),1)"),23.0)</f>
        <v>23</v>
      </c>
      <c r="Q44" s="5">
        <f>IFERROR(__xludf.DUMMYFUNCTION("IFERROR(HLOOKUP($A44,IMPORTRANGE(""https://docs.google.com/spreadsheets/d/1wydNznS0hZhVh3oGSdiCZSsReuqMT7Xaw718ix58zAI/edit#gid=0"",""'Game 10'!$B$2:$Q$31""),30,False),1)"),11.0)</f>
        <v>11</v>
      </c>
      <c r="R44" s="6">
        <f t="shared" si="1"/>
        <v>116</v>
      </c>
    </row>
    <row r="45">
      <c r="A45" s="2" t="s">
        <v>133</v>
      </c>
      <c r="B45" s="10" t="s">
        <v>131</v>
      </c>
      <c r="C45" s="2">
        <v>0.0</v>
      </c>
      <c r="D45" s="2">
        <v>12.0</v>
      </c>
      <c r="E45" s="2">
        <v>12.0</v>
      </c>
      <c r="F45" s="2">
        <v>0.0</v>
      </c>
      <c r="G45" s="2">
        <v>0.0</v>
      </c>
      <c r="H45" s="13">
        <f>IFERROR(__xludf.DUMMYFUNCTION("HLOOKUP($A45,IMPORTRANGE(""https://docs.google.com/spreadsheets/d/19gjAD4NwTXl_QoKUuwHQ1cWG_S2BOW94pDcyFtPwheg/edit#gid=1009263986"",""'Game 12'!$B$2:$Q$31""),30,False)"),0.0)</f>
        <v>0</v>
      </c>
      <c r="I45" s="12">
        <f>IFERROR(__xludf.DUMMYFUNCTION("HLOOKUP($A45,IMPORTRANGE(""https://docs.google.com/spreadsheets/d/1l83w8bH-F1czkFOqsgQy6o8O33Jb4Pfg40W0ou2nk0k/edit#gid=0"",""'Game 7'!$B$2:$Q$31""),30,False)"),0.0)</f>
        <v>0</v>
      </c>
      <c r="J45" s="12">
        <f>IFERROR(__xludf.DUMMYFUNCTION("HLOOKUP($A45,IMPORTRANGE(""https://docs.google.com/spreadsheets/d/15X-ub7GvrCQZ3UGgyogcjwYdxG-Ng8WHxzGSj1Z3eLw/edit#gid=0"",""'Game 7'!$B$2:$Q$31""),30,False)"),0.0)</f>
        <v>0</v>
      </c>
      <c r="K45" s="12">
        <f>IFERROR(__xludf.DUMMYFUNCTION("IFERROR(HLOOKUP($A45,IMPORTRANGE(""https://docs.google.com/spreadsheets/d/194Bw3ABslPPhOOPvVoMzIk8sOQFICWBu2pydWdYMD-w/edit#gid=0"",""'Game 2'!$B$2:$Q$26""),25,False),1)"),0.0)</f>
        <v>0</v>
      </c>
      <c r="L45" s="12">
        <f>IFERROR(__xludf.DUMMYFUNCTION("IFERROR(HLOOKUP($A45,IMPORTRANGE(""https://docs.google.com/spreadsheets/d/1F2Bi6K_I1K9xRxY5qb-bNRo5m-Kw7udpF1OaTHhrxjs/edit#gid=0"",""'Game 8'!$B$2:$Q$31""),30,False),1)"),12.0)</f>
        <v>12</v>
      </c>
      <c r="M45" s="12">
        <f>IFERROR(__xludf.DUMMYFUNCTION("IFERROR(HLOOKUP($A45,IMPORTRANGE(""https://docs.google.com/spreadsheets/d/1NDNgi_Ny4dRhc2A3UMIIkalN-V6EmsvxOfDzMRQlQ40/edit#gid=0"",""'Game 6'!$B$2:$Q$31""),30,False),1)"),0.0)</f>
        <v>0</v>
      </c>
      <c r="N45" s="12">
        <f>IFERROR(__xludf.DUMMYFUNCTION("IFERROR(HLOOKUP($A45,IMPORTRANGE(""https://docs.google.com/spreadsheets/d/1UDYA3-RrkJNLa2ZLH1NnUjKyfCoiSODmgVL_Au_zt-Y/edit#gid=0"",""'Game 10'!$B$2:$Q$31""),30,False),1)"),0.0)</f>
        <v>0</v>
      </c>
      <c r="O45" s="12">
        <f>IFERROR(__xludf.DUMMYFUNCTION("IFERROR(HLOOKUP($A45,IMPORTRANGE(""https://docs.google.com/spreadsheets/d/1fvo6H94Wcffp6c4N9g3JKCW6y2ZlijPxdOsNz7xdBhw/edit#gid=0"",""'Game 11'!$B$2:$Q$31""),30,False),1)"),0.0)</f>
        <v>0</v>
      </c>
      <c r="P45" s="12">
        <f>IFERROR(__xludf.DUMMYFUNCTION("IFERROR(HLOOKUP($A45,IMPORTRANGE(""https://docs.google.com/spreadsheets/d/1wfQePArl-A-5QJe5xAufoOnzeNLVSoHCRcmpZ_FMdns/edit#gid=0"",""'Game 12'!$B$2:$Q$31""),30,False),1)"),0.0)</f>
        <v>0</v>
      </c>
      <c r="Q45" s="12">
        <f>IFERROR(__xludf.DUMMYFUNCTION("IFERROR(HLOOKUP($A45,IMPORTRANGE(""https://docs.google.com/spreadsheets/d/1wydNznS0hZhVh3oGSdiCZSsReuqMT7Xaw718ix58zAI/edit#gid=0"",""'Game 10'!$B$2:$Q$31""),30,False),1)"),0.0)</f>
        <v>0</v>
      </c>
      <c r="R45" s="13">
        <f t="shared" si="1"/>
        <v>36</v>
      </c>
    </row>
    <row r="46">
      <c r="A46" s="3" t="s">
        <v>137</v>
      </c>
      <c r="B46" s="17" t="s">
        <v>131</v>
      </c>
      <c r="C46" s="3">
        <v>0.0</v>
      </c>
      <c r="D46" s="3">
        <v>0.0</v>
      </c>
      <c r="E46" s="3">
        <v>11.0</v>
      </c>
      <c r="F46" s="3">
        <v>23.0</v>
      </c>
      <c r="G46" s="3">
        <v>23.0</v>
      </c>
      <c r="H46" s="6">
        <f>IFERROR(__xludf.DUMMYFUNCTION("HLOOKUP($A46,IMPORTRANGE(""https://docs.google.com/spreadsheets/d/19gjAD4NwTXl_QoKUuwHQ1cWG_S2BOW94pDcyFtPwheg/edit#gid=1009263986"",""'Game 12'!$B$2:$Q$31""),30,False)"),23.0)</f>
        <v>23</v>
      </c>
      <c r="I46" s="5">
        <f>IFERROR(__xludf.DUMMYFUNCTION("HLOOKUP($A46,IMPORTRANGE(""https://docs.google.com/spreadsheets/d/1l83w8bH-F1czkFOqsgQy6o8O33Jb4Pfg40W0ou2nk0k/edit#gid=0"",""'Game 7'!$B$2:$Q$31""),30,False)"),11.0)</f>
        <v>11</v>
      </c>
      <c r="J46" s="5">
        <f>IFERROR(__xludf.DUMMYFUNCTION("HLOOKUP($A46,IMPORTRANGE(""https://docs.google.com/spreadsheets/d/15X-ub7GvrCQZ3UGgyogcjwYdxG-Ng8WHxzGSj1Z3eLw/edit#gid=0"",""'Game 7'!$B$2:$Q$31""),30,False)"),11.0)</f>
        <v>11</v>
      </c>
      <c r="K46" s="5">
        <f>IFERROR(__xludf.DUMMYFUNCTION("IFERROR(HLOOKUP($A46,IMPORTRANGE(""https://docs.google.com/spreadsheets/d/194Bw3ABslPPhOOPvVoMzIk8sOQFICWBu2pydWdYMD-w/edit#gid=0"",""'Game 2'!$B$2:$Q$26""),25,False),1)"),23.0)</f>
        <v>23</v>
      </c>
      <c r="L46" s="5">
        <f>IFERROR(__xludf.DUMMYFUNCTION("IFERROR(HLOOKUP($A46,IMPORTRANGE(""https://docs.google.com/spreadsheets/d/1F2Bi6K_I1K9xRxY5qb-bNRo5m-Kw7udpF1OaTHhrxjs/edit#gid=0"",""'Game 8'!$B$2:$Q$31""),30,False),1)"),12.0)</f>
        <v>12</v>
      </c>
      <c r="M46" s="5">
        <f>IFERROR(__xludf.DUMMYFUNCTION("IFERROR(HLOOKUP($A46,IMPORTRANGE(""https://docs.google.com/spreadsheets/d/1NDNgi_Ny4dRhc2A3UMIIkalN-V6EmsvxOfDzMRQlQ40/edit#gid=0"",""'Game 6'!$B$2:$Q$31""),30,False),1)"),0.0)</f>
        <v>0</v>
      </c>
      <c r="N46" s="5">
        <f>IFERROR(__xludf.DUMMYFUNCTION("IFERROR(HLOOKUP($A46,IMPORTRANGE(""https://docs.google.com/spreadsheets/d/1UDYA3-RrkJNLa2ZLH1NnUjKyfCoiSODmgVL_Au_zt-Y/edit#gid=0"",""'Game 10'!$B$2:$Q$31""),30,False),1)"),23.0)</f>
        <v>23</v>
      </c>
      <c r="O46" s="5">
        <f>IFERROR(__xludf.DUMMYFUNCTION("IFERROR(HLOOKUP($A46,IMPORTRANGE(""https://docs.google.com/spreadsheets/d/1fvo6H94Wcffp6c4N9g3JKCW6y2ZlijPxdOsNz7xdBhw/edit#gid=0"",""'Game 11'!$B$2:$Q$31""),30,False),1)"),23.0)</f>
        <v>23</v>
      </c>
      <c r="P46" s="5">
        <f>IFERROR(__xludf.DUMMYFUNCTION("IFERROR(HLOOKUP($A46,IMPORTRANGE(""https://docs.google.com/spreadsheets/d/1wfQePArl-A-5QJe5xAufoOnzeNLVSoHCRcmpZ_FMdns/edit#gid=0"",""'Game 12'!$B$2:$Q$31""),30,False),1)"),11.0)</f>
        <v>11</v>
      </c>
      <c r="Q46" s="5">
        <f>IFERROR(__xludf.DUMMYFUNCTION("IFERROR(HLOOKUP($A46,IMPORTRANGE(""https://docs.google.com/spreadsheets/d/1wydNznS0hZhVh3oGSdiCZSsReuqMT7Xaw718ix58zAI/edit#gid=0"",""'Game 10'!$B$2:$Q$31""),30,False),1)"),23.0)</f>
        <v>23</v>
      </c>
      <c r="R46" s="6">
        <f t="shared" si="1"/>
        <v>217</v>
      </c>
    </row>
    <row r="47">
      <c r="A47" s="2" t="s">
        <v>139</v>
      </c>
      <c r="B47" s="10" t="s">
        <v>131</v>
      </c>
      <c r="C47" s="2">
        <v>0.0</v>
      </c>
      <c r="D47" s="2">
        <v>23.0</v>
      </c>
      <c r="E47" s="2">
        <v>23.0</v>
      </c>
      <c r="F47" s="2">
        <v>23.0</v>
      </c>
      <c r="G47" s="2">
        <v>23.0</v>
      </c>
      <c r="H47" s="13">
        <f>IFERROR(__xludf.DUMMYFUNCTION("HLOOKUP($A47,IMPORTRANGE(""https://docs.google.com/spreadsheets/d/19gjAD4NwTXl_QoKUuwHQ1cWG_S2BOW94pDcyFtPwheg/edit#gid=1009263986"",""'Game 12'!$B$2:$Q$31""),30,False)"),23.0)</f>
        <v>23</v>
      </c>
      <c r="I47" s="12">
        <f>IFERROR(__xludf.DUMMYFUNCTION("HLOOKUP($A47,IMPORTRANGE(""https://docs.google.com/spreadsheets/d/1l83w8bH-F1czkFOqsgQy6o8O33Jb4Pfg40W0ou2nk0k/edit#gid=0"",""'Game 7'!$B$2:$Q$31""),30,False)"),23.0)</f>
        <v>23</v>
      </c>
      <c r="J47" s="12">
        <f>IFERROR(__xludf.DUMMYFUNCTION("HLOOKUP($A47,IMPORTRANGE(""https://docs.google.com/spreadsheets/d/15X-ub7GvrCQZ3UGgyogcjwYdxG-Ng8WHxzGSj1Z3eLw/edit#gid=0"",""'Game 7'!$B$2:$Q$31""),30,False)"),23.0)</f>
        <v>23</v>
      </c>
      <c r="K47" s="12">
        <f>IFERROR(__xludf.DUMMYFUNCTION("IFERROR(HLOOKUP($A47,IMPORTRANGE(""https://docs.google.com/spreadsheets/d/194Bw3ABslPPhOOPvVoMzIk8sOQFICWBu2pydWdYMD-w/edit#gid=0"",""'Game 2'!$B$2:$Q$26""),25,False),1)"),23.0)</f>
        <v>23</v>
      </c>
      <c r="L47" s="12">
        <f>IFERROR(__xludf.DUMMYFUNCTION("IFERROR(HLOOKUP($A47,IMPORTRANGE(""https://docs.google.com/spreadsheets/d/1F2Bi6K_I1K9xRxY5qb-bNRo5m-Kw7udpF1OaTHhrxjs/edit#gid=0"",""'Game 8'!$B$2:$Q$31""),30,False),1)"),23.0)</f>
        <v>23</v>
      </c>
      <c r="M47" s="12">
        <f>IFERROR(__xludf.DUMMYFUNCTION("IFERROR(HLOOKUP($A47,IMPORTRANGE(""https://docs.google.com/spreadsheets/d/1NDNgi_Ny4dRhc2A3UMIIkalN-V6EmsvxOfDzMRQlQ40/edit#gid=0"",""'Game 6'!$B$2:$Q$31""),30,False),1)"),23.0)</f>
        <v>23</v>
      </c>
      <c r="N47" s="12">
        <f>IFERROR(__xludf.DUMMYFUNCTION("IFERROR(HLOOKUP($A47,IMPORTRANGE(""https://docs.google.com/spreadsheets/d/1UDYA3-RrkJNLa2ZLH1NnUjKyfCoiSODmgVL_Au_zt-Y/edit#gid=0"",""'Game 10'!$B$2:$Q$31""),30,False),1)"),23.0)</f>
        <v>23</v>
      </c>
      <c r="O47" s="12">
        <f>IFERROR(__xludf.DUMMYFUNCTION("IFERROR(HLOOKUP($A47,IMPORTRANGE(""https://docs.google.com/spreadsheets/d/1fvo6H94Wcffp6c4N9g3JKCW6y2ZlijPxdOsNz7xdBhw/edit#gid=0"",""'Game 11'!$B$2:$Q$31""),30,False),1)"),23.0)</f>
        <v>23</v>
      </c>
      <c r="P47" s="12">
        <f>IFERROR(__xludf.DUMMYFUNCTION("IFERROR(HLOOKUP($A47,IMPORTRANGE(""https://docs.google.com/spreadsheets/d/1wfQePArl-A-5QJe5xAufoOnzeNLVSoHCRcmpZ_FMdns/edit#gid=0"",""'Game 12'!$B$2:$Q$31""),30,False),1)"),23.0)</f>
        <v>23</v>
      </c>
      <c r="Q47" s="12">
        <f>IFERROR(__xludf.DUMMYFUNCTION("IFERROR(HLOOKUP($A47,IMPORTRANGE(""https://docs.google.com/spreadsheets/d/1wydNznS0hZhVh3oGSdiCZSsReuqMT7Xaw718ix58zAI/edit#gid=0"",""'Game 10'!$B$2:$Q$31""),30,False),1)"),23.0)</f>
        <v>23</v>
      </c>
      <c r="R47" s="13">
        <f t="shared" si="1"/>
        <v>322</v>
      </c>
    </row>
    <row r="48">
      <c r="A48" s="3" t="s">
        <v>142</v>
      </c>
      <c r="B48" s="17" t="s">
        <v>131</v>
      </c>
      <c r="C48" s="3">
        <v>23.0</v>
      </c>
      <c r="D48" s="3">
        <v>23.0</v>
      </c>
      <c r="E48" s="3">
        <v>23.0</v>
      </c>
      <c r="F48" s="3">
        <v>23.0</v>
      </c>
      <c r="G48" s="3">
        <v>23.0</v>
      </c>
      <c r="H48" s="6">
        <f>IFERROR(__xludf.DUMMYFUNCTION("HLOOKUP($A48,IMPORTRANGE(""https://docs.google.com/spreadsheets/d/19gjAD4NwTXl_QoKUuwHQ1cWG_S2BOW94pDcyFtPwheg/edit#gid=1009263986"",""'Game 12'!$B$2:$Q$31""),30,False)"),23.0)</f>
        <v>23</v>
      </c>
      <c r="I48" s="5">
        <f>IFERROR(__xludf.DUMMYFUNCTION("HLOOKUP($A48,IMPORTRANGE(""https://docs.google.com/spreadsheets/d/1l83w8bH-F1czkFOqsgQy6o8O33Jb4Pfg40W0ou2nk0k/edit#gid=0"",""'Game 7'!$B$2:$Q$31""),30,False)"),23.0)</f>
        <v>23</v>
      </c>
      <c r="J48" s="5">
        <f>IFERROR(__xludf.DUMMYFUNCTION("HLOOKUP($A48,IMPORTRANGE(""https://docs.google.com/spreadsheets/d/15X-ub7GvrCQZ3UGgyogcjwYdxG-Ng8WHxzGSj1Z3eLw/edit#gid=0"",""'Game 7'!$B$2:$Q$31""),30,False)"),23.0)</f>
        <v>23</v>
      </c>
      <c r="K48" s="5">
        <f>IFERROR(__xludf.DUMMYFUNCTION("IFERROR(HLOOKUP($A48,IMPORTRANGE(""https://docs.google.com/spreadsheets/d/194Bw3ABslPPhOOPvVoMzIk8sOQFICWBu2pydWdYMD-w/edit#gid=0"",""'Game 2'!$B$2:$Q$26""),25,False),1)"),23.0)</f>
        <v>23</v>
      </c>
      <c r="L48" s="5">
        <f>IFERROR(__xludf.DUMMYFUNCTION("IFERROR(HLOOKUP($A48,IMPORTRANGE(""https://docs.google.com/spreadsheets/d/1F2Bi6K_I1K9xRxY5qb-bNRo5m-Kw7udpF1OaTHhrxjs/edit#gid=0"",""'Game 8'!$B$2:$Q$31""),30,False),1)"),23.0)</f>
        <v>23</v>
      </c>
      <c r="M48" s="5">
        <f>IFERROR(__xludf.DUMMYFUNCTION("IFERROR(HLOOKUP($A48,IMPORTRANGE(""https://docs.google.com/spreadsheets/d/1NDNgi_Ny4dRhc2A3UMIIkalN-V6EmsvxOfDzMRQlQ40/edit#gid=0"",""'Game 6'!$B$2:$Q$31""),30,False),1)"),23.0)</f>
        <v>23</v>
      </c>
      <c r="N48" s="5">
        <f>IFERROR(__xludf.DUMMYFUNCTION("IFERROR(HLOOKUP($A48,IMPORTRANGE(""https://docs.google.com/spreadsheets/d/1UDYA3-RrkJNLa2ZLH1NnUjKyfCoiSODmgVL_Au_zt-Y/edit#gid=0"",""'Game 10'!$B$2:$Q$31""),30,False),1)"),23.0)</f>
        <v>23</v>
      </c>
      <c r="O48" s="5">
        <f>IFERROR(__xludf.DUMMYFUNCTION("IFERROR(HLOOKUP($A48,IMPORTRANGE(""https://docs.google.com/spreadsheets/d/1fvo6H94Wcffp6c4N9g3JKCW6y2ZlijPxdOsNz7xdBhw/edit#gid=0"",""'Game 11'!$B$2:$Q$31""),30,False),1)"),23.0)</f>
        <v>23</v>
      </c>
      <c r="P48" s="5">
        <f>IFERROR(__xludf.DUMMYFUNCTION("IFERROR(HLOOKUP($A48,IMPORTRANGE(""https://docs.google.com/spreadsheets/d/1wfQePArl-A-5QJe5xAufoOnzeNLVSoHCRcmpZ_FMdns/edit#gid=0"",""'Game 12'!$B$2:$Q$31""),30,False),1)"),12.0)</f>
        <v>12</v>
      </c>
      <c r="Q48" s="5">
        <f>IFERROR(__xludf.DUMMYFUNCTION("IFERROR(HLOOKUP($A48,IMPORTRANGE(""https://docs.google.com/spreadsheets/d/1wydNznS0hZhVh3oGSdiCZSsReuqMT7Xaw718ix58zAI/edit#gid=0"",""'Game 10'!$B$2:$Q$31""),30,False),1)"),23.0)</f>
        <v>23</v>
      </c>
      <c r="R48" s="6">
        <f t="shared" si="1"/>
        <v>334</v>
      </c>
    </row>
    <row r="49">
      <c r="A49" s="2" t="s">
        <v>144</v>
      </c>
      <c r="B49" s="10" t="s">
        <v>131</v>
      </c>
      <c r="C49" s="2">
        <v>0.0</v>
      </c>
      <c r="D49" s="2">
        <v>11.0</v>
      </c>
      <c r="E49" s="2">
        <v>0.0</v>
      </c>
      <c r="F49" s="2">
        <v>0.0</v>
      </c>
      <c r="G49" s="2">
        <v>0.0</v>
      </c>
      <c r="H49" s="13">
        <f>IFERROR(__xludf.DUMMYFUNCTION("HLOOKUP($A49,IMPORTRANGE(""https://docs.google.com/spreadsheets/d/19gjAD4NwTXl_QoKUuwHQ1cWG_S2BOW94pDcyFtPwheg/edit#gid=1009263986"",""'Game 12'!$B$2:$Q$31""),30,False)"),0.0)</f>
        <v>0</v>
      </c>
      <c r="I49" s="12">
        <f>IFERROR(__xludf.DUMMYFUNCTION("HLOOKUP($A49,IMPORTRANGE(""https://docs.google.com/spreadsheets/d/1l83w8bH-F1czkFOqsgQy6o8O33Jb4Pfg40W0ou2nk0k/edit#gid=0"",""'Game 7'!$B$2:$Q$31""),30,False)"),11.0)</f>
        <v>11</v>
      </c>
      <c r="J49" s="12">
        <f>IFERROR(__xludf.DUMMYFUNCTION("HLOOKUP($A49,IMPORTRANGE(""https://docs.google.com/spreadsheets/d/15X-ub7GvrCQZ3UGgyogcjwYdxG-Ng8WHxzGSj1Z3eLw/edit#gid=0"",""'Game 7'!$B$2:$Q$31""),30,False)"),23.0)</f>
        <v>23</v>
      </c>
      <c r="K49" s="12">
        <f>IFERROR(__xludf.DUMMYFUNCTION("IFERROR(HLOOKUP($A49,IMPORTRANGE(""https://docs.google.com/spreadsheets/d/194Bw3ABslPPhOOPvVoMzIk8sOQFICWBu2pydWdYMD-w/edit#gid=0"",""'Game 2'!$B$2:$Q$26""),25,False),1)"),0.0)</f>
        <v>0</v>
      </c>
      <c r="L49" s="12">
        <f>IFERROR(__xludf.DUMMYFUNCTION("IFERROR(HLOOKUP($A49,IMPORTRANGE(""https://docs.google.com/spreadsheets/d/1F2Bi6K_I1K9xRxY5qb-bNRo5m-Kw7udpF1OaTHhrxjs/edit#gid=0"",""'Game 8'!$B$2:$Q$31""),30,False),1)"),11.0)</f>
        <v>11</v>
      </c>
      <c r="M49" s="12">
        <f>IFERROR(__xludf.DUMMYFUNCTION("IFERROR(HLOOKUP($A49,IMPORTRANGE(""https://docs.google.com/spreadsheets/d/1NDNgi_Ny4dRhc2A3UMIIkalN-V6EmsvxOfDzMRQlQ40/edit#gid=0"",""'Game 6'!$B$2:$Q$31""),30,False),1)"),23.0)</f>
        <v>23</v>
      </c>
      <c r="N49" s="12">
        <f>IFERROR(__xludf.DUMMYFUNCTION("IFERROR(HLOOKUP($A49,IMPORTRANGE(""https://docs.google.com/spreadsheets/d/1UDYA3-RrkJNLa2ZLH1NnUjKyfCoiSODmgVL_Au_zt-Y/edit#gid=0"",""'Game 10'!$B$2:$Q$31""),30,False),1)"),0.0)</f>
        <v>0</v>
      </c>
      <c r="O49" s="12">
        <f>IFERROR(__xludf.DUMMYFUNCTION("IFERROR(HLOOKUP($A49,IMPORTRANGE(""https://docs.google.com/spreadsheets/d/1fvo6H94Wcffp6c4N9g3JKCW6y2ZlijPxdOsNz7xdBhw/edit#gid=0"",""'Game 11'!$B$2:$Q$31""),30,False),1)"),11.0)</f>
        <v>11</v>
      </c>
      <c r="P49" s="12">
        <f>IFERROR(__xludf.DUMMYFUNCTION("IFERROR(HLOOKUP($A49,IMPORTRANGE(""https://docs.google.com/spreadsheets/d/1wfQePArl-A-5QJe5xAufoOnzeNLVSoHCRcmpZ_FMdns/edit#gid=0"",""'Game 12'!$B$2:$Q$31""),30,False),1)"),12.0)</f>
        <v>12</v>
      </c>
      <c r="Q49" s="12">
        <f>IFERROR(__xludf.DUMMYFUNCTION("IFERROR(HLOOKUP($A49,IMPORTRANGE(""https://docs.google.com/spreadsheets/d/1wydNznS0hZhVh3oGSdiCZSsReuqMT7Xaw718ix58zAI/edit#gid=0"",""'Game 10'!$B$2:$Q$31""),30,False),1)"),0.0)</f>
        <v>0</v>
      </c>
      <c r="R49" s="13">
        <f t="shared" si="1"/>
        <v>102</v>
      </c>
    </row>
    <row r="50">
      <c r="A50" s="3" t="s">
        <v>146</v>
      </c>
      <c r="B50" s="17" t="s">
        <v>131</v>
      </c>
      <c r="C50" s="3">
        <v>23.0</v>
      </c>
      <c r="D50" s="3">
        <v>11.0</v>
      </c>
      <c r="E50" s="3">
        <v>23.0</v>
      </c>
      <c r="F50" s="3">
        <v>23.0</v>
      </c>
      <c r="G50" s="3">
        <v>23.0</v>
      </c>
      <c r="H50" s="6">
        <f>IFERROR(__xludf.DUMMYFUNCTION("HLOOKUP($A50,IMPORTRANGE(""https://docs.google.com/spreadsheets/d/19gjAD4NwTXl_QoKUuwHQ1cWG_S2BOW94pDcyFtPwheg/edit#gid=1009263986"",""'Game 12'!$B$2:$Q$31""),30,False)"),11.0)</f>
        <v>11</v>
      </c>
      <c r="I50" s="5">
        <f>IFERROR(__xludf.DUMMYFUNCTION("HLOOKUP($A50,IMPORTRANGE(""https://docs.google.com/spreadsheets/d/1l83w8bH-F1czkFOqsgQy6o8O33Jb4Pfg40W0ou2nk0k/edit#gid=0"",""'Game 7'!$B$2:$Q$31""),30,False)"),12.0)</f>
        <v>12</v>
      </c>
      <c r="J50" s="5">
        <f>IFERROR(__xludf.DUMMYFUNCTION("HLOOKUP($A50,IMPORTRANGE(""https://docs.google.com/spreadsheets/d/15X-ub7GvrCQZ3UGgyogcjwYdxG-Ng8WHxzGSj1Z3eLw/edit#gid=0"",""'Game 7'!$B$2:$Q$31""),30,False)"),0.0)</f>
        <v>0</v>
      </c>
      <c r="K50" s="5">
        <f>IFERROR(__xludf.DUMMYFUNCTION("IFERROR(HLOOKUP($A50,IMPORTRANGE(""https://docs.google.com/spreadsheets/d/194Bw3ABslPPhOOPvVoMzIk8sOQFICWBu2pydWdYMD-w/edit#gid=0"",""'Game 2'!$B$2:$Q$26""),25,False),1)"),12.0)</f>
        <v>12</v>
      </c>
      <c r="L50" s="5">
        <f>IFERROR(__xludf.DUMMYFUNCTION("IFERROR(HLOOKUP($A50,IMPORTRANGE(""https://docs.google.com/spreadsheets/d/1F2Bi6K_I1K9xRxY5qb-bNRo5m-Kw7udpF1OaTHhrxjs/edit#gid=0"",""'Game 8'!$B$2:$Q$31""),30,False),1)"),11.0)</f>
        <v>11</v>
      </c>
      <c r="M50" s="5">
        <f>IFERROR(__xludf.DUMMYFUNCTION("IFERROR(HLOOKUP($A50,IMPORTRANGE(""https://docs.google.com/spreadsheets/d/1NDNgi_Ny4dRhc2A3UMIIkalN-V6EmsvxOfDzMRQlQ40/edit#gid=0"",""'Game 6'!$B$2:$Q$31""),30,False),1)"),23.0)</f>
        <v>23</v>
      </c>
      <c r="N50" s="5">
        <f>IFERROR(__xludf.DUMMYFUNCTION("IFERROR(HLOOKUP($A50,IMPORTRANGE(""https://docs.google.com/spreadsheets/d/1UDYA3-RrkJNLa2ZLH1NnUjKyfCoiSODmgVL_Au_zt-Y/edit#gid=0"",""'Game 10'!$B$2:$Q$31""),30,False),1)"),23.0)</f>
        <v>23</v>
      </c>
      <c r="O50" s="5">
        <f>IFERROR(__xludf.DUMMYFUNCTION("IFERROR(HLOOKUP($A50,IMPORTRANGE(""https://docs.google.com/spreadsheets/d/1fvo6H94Wcffp6c4N9g3JKCW6y2ZlijPxdOsNz7xdBhw/edit#gid=0"",""'Game 11'!$B$2:$Q$31""),30,False),1)"),0.0)</f>
        <v>0</v>
      </c>
      <c r="P50" s="5">
        <f>IFERROR(__xludf.DUMMYFUNCTION("IFERROR(HLOOKUP($A50,IMPORTRANGE(""https://docs.google.com/spreadsheets/d/1wfQePArl-A-5QJe5xAufoOnzeNLVSoHCRcmpZ_FMdns/edit#gid=0"",""'Game 12'!$B$2:$Q$31""),30,False),1)"),11.0)</f>
        <v>11</v>
      </c>
      <c r="Q50" s="5">
        <f>IFERROR(__xludf.DUMMYFUNCTION("IFERROR(HLOOKUP($A50,IMPORTRANGE(""https://docs.google.com/spreadsheets/d/1wydNznS0hZhVh3oGSdiCZSsReuqMT7Xaw718ix58zAI/edit#gid=0"",""'Game 10'!$B$2:$Q$31""),30,False),1)"),12.0)</f>
        <v>12</v>
      </c>
      <c r="R50" s="6">
        <f t="shared" si="1"/>
        <v>218</v>
      </c>
    </row>
    <row r="51">
      <c r="A51" s="2" t="s">
        <v>150</v>
      </c>
      <c r="B51" s="2" t="s">
        <v>151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13">
        <f>IFERROR(__xludf.DUMMYFUNCTION("HLOOKUP($A51,IMPORTRANGE(""https://docs.google.com/spreadsheets/d/19gjAD4NwTXl_QoKUuwHQ1cWG_S2BOW94pDcyFtPwheg/edit#gid=1009263986"",""'Game 7'!$B$2:$Q$31""),30,False)"),0.0)</f>
        <v>0</v>
      </c>
      <c r="I51" s="12">
        <f>IFERROR(__xludf.DUMMYFUNCTION("HLOOKUP($A51,IMPORTRANGE(""https://docs.google.com/spreadsheets/d/1l83w8bH-F1czkFOqsgQy6o8O33Jb4Pfg40W0ou2nk0k/edit#gid=0"",""'Game 3'!$B$2:$Q$31""),30,False)"),0.0)</f>
        <v>0</v>
      </c>
      <c r="J51" s="12">
        <f>IFERROR(__xludf.DUMMYFUNCTION("HLOOKUP($A51,IMPORTRANGE(""https://docs.google.com/spreadsheets/d/15X-ub7GvrCQZ3UGgyogcjwYdxG-Ng8WHxzGSj1Z3eLw/edit#gid=0"",""'Game 1'!$B$2:$Q$31""),30,False)"),0.0)</f>
        <v>0</v>
      </c>
      <c r="K51" s="12">
        <f>IFERROR(__xludf.DUMMYFUNCTION("IFERROR(HLOOKUP($A51,IMPORTRANGE(""https://docs.google.com/spreadsheets/d/194Bw3ABslPPhOOPvVoMzIk8sOQFICWBu2pydWdYMD-w/edit#gid=0"",""'Game 5'!$B$2:$Q$31""),30,False),1)"),11.0)</f>
        <v>11</v>
      </c>
      <c r="L51" s="12">
        <f>IFERROR(__xludf.DUMMYFUNCTION("IFERROR(HLOOKUP($A51,IMPORTRANGE(""https://docs.google.com/spreadsheets/d/1F2Bi6K_I1K9xRxY5qb-bNRo5m-Kw7udpF1OaTHhrxjs/edit#gid=0"",""'Game 4'!$B$2:$Q$31""),30,False),1)"),11.0)</f>
        <v>11</v>
      </c>
      <c r="M51" s="12">
        <f>IFERROR(__xludf.DUMMYFUNCTION("IFERROR(HLOOKUP($A51,IMPORTRANGE(""https://docs.google.com/spreadsheets/d/1NDNgi_Ny4dRhc2A3UMIIkalN-V6EmsvxOfDzMRQlQ40/edit#gid=0"",""'Game 2'!$B$2:$Q$31""),30,False),1)"),0.0)</f>
        <v>0</v>
      </c>
      <c r="N51" s="12">
        <f>IFERROR(__xludf.DUMMYFUNCTION("IFERROR(HLOOKUP($A51,IMPORTRANGE(""https://docs.google.com/spreadsheets/d/1UDYA3-RrkJNLa2ZLH1NnUjKyfCoiSODmgVL_Au_zt-Y/edit#gid=0"",""'Game 6'!$B$2:$Q$31""),30,False),1)"),11.0)</f>
        <v>11</v>
      </c>
      <c r="O51" s="12">
        <f>IFERROR(__xludf.DUMMYFUNCTION("IFERROR(HLOOKUP($A51,IMPORTRANGE(""https://docs.google.com/spreadsheets/d/1fvo6H94Wcffp6c4N9g3JKCW6y2ZlijPxdOsNz7xdBhw/edit#gid=0"",""'Game 6'!$B$2:$Q$31""),30,False),1)"),0.0)</f>
        <v>0</v>
      </c>
      <c r="P51" s="12">
        <f>IFERROR(__xludf.DUMMYFUNCTION("IFERROR(HLOOKUP($A51,IMPORTRANGE(""https://docs.google.com/spreadsheets/d/1wfQePArl-A-5QJe5xAufoOnzeNLVSoHCRcmpZ_FMdns/edit#gid=0"",""'Game 6'!$B$2:$Q$31""),30,False),1)"),0.0)</f>
        <v>0</v>
      </c>
      <c r="Q51" s="12">
        <f>IFERROR(__xludf.DUMMYFUNCTION("IFERROR(HLOOKUP($A51,IMPORTRANGE(""https://docs.google.com/spreadsheets/d/1wydNznS0hZhVh3oGSdiCZSsReuqMT7Xaw718ix58zAI/edit#gid=0"",""'Game 7'!$B$2:$Q$31""),30,False),1)"),11.0)</f>
        <v>11</v>
      </c>
      <c r="R51" s="13">
        <f t="shared" si="1"/>
        <v>44</v>
      </c>
    </row>
    <row r="52">
      <c r="A52" s="3" t="s">
        <v>153</v>
      </c>
      <c r="B52" s="17" t="s">
        <v>151</v>
      </c>
      <c r="C52" s="3">
        <v>0.0</v>
      </c>
      <c r="D52" s="3">
        <v>23.0</v>
      </c>
      <c r="E52" s="3">
        <v>12.0</v>
      </c>
      <c r="F52" s="3">
        <v>0.0</v>
      </c>
      <c r="G52" s="3">
        <v>12.0</v>
      </c>
      <c r="H52" s="6">
        <f>IFERROR(__xludf.DUMMYFUNCTION("HLOOKUP($A52,IMPORTRANGE(""https://docs.google.com/spreadsheets/d/19gjAD4NwTXl_QoKUuwHQ1cWG_S2BOW94pDcyFtPwheg/edit#gid=1009263986"",""'Game 7'!$B$2:$Q$31""),30,False)"),11.0)</f>
        <v>11</v>
      </c>
      <c r="I52" s="5">
        <f>IFERROR(__xludf.DUMMYFUNCTION("HLOOKUP($A52,IMPORTRANGE(""https://docs.google.com/spreadsheets/d/1l83w8bH-F1czkFOqsgQy6o8O33Jb4Pfg40W0ou2nk0k/edit#gid=0"",""'Game 3'!$B$2:$Q$31""),30,False)"),23.0)</f>
        <v>23</v>
      </c>
      <c r="J52" s="5">
        <f>IFERROR(__xludf.DUMMYFUNCTION("HLOOKUP($A52,IMPORTRANGE(""https://docs.google.com/spreadsheets/d/15X-ub7GvrCQZ3UGgyogcjwYdxG-Ng8WHxzGSj1Z3eLw/edit#gid=0"",""'Game 1'!$B$2:$Q$31""),30,False)"),23.0)</f>
        <v>23</v>
      </c>
      <c r="K52" s="5">
        <f>IFERROR(__xludf.DUMMYFUNCTION("IFERROR(HLOOKUP($A52,IMPORTRANGE(""https://docs.google.com/spreadsheets/d/194Bw3ABslPPhOOPvVoMzIk8sOQFICWBu2pydWdYMD-w/edit#gid=0"",""'Game 5'!$B$2:$Q$31""),30,False),1)"),23.0)</f>
        <v>23</v>
      </c>
      <c r="L52" s="5">
        <f>IFERROR(__xludf.DUMMYFUNCTION("IFERROR(HLOOKUP($A52,IMPORTRANGE(""https://docs.google.com/spreadsheets/d/1F2Bi6K_I1K9xRxY5qb-bNRo5m-Kw7udpF1OaTHhrxjs/edit#gid=0"",""'Game 4'!$B$2:$Q$31""),30,False),1)"),23.0)</f>
        <v>23</v>
      </c>
      <c r="M52" s="5">
        <f>IFERROR(__xludf.DUMMYFUNCTION("IFERROR(HLOOKUP($A52,IMPORTRANGE(""https://docs.google.com/spreadsheets/d/1NDNgi_Ny4dRhc2A3UMIIkalN-V6EmsvxOfDzMRQlQ40/edit#gid=0"",""'Game 2'!$B$2:$Q$31""),30,False),1)"),23.0)</f>
        <v>23</v>
      </c>
      <c r="N52" s="5">
        <f>IFERROR(__xludf.DUMMYFUNCTION("IFERROR(HLOOKUP($A52,IMPORTRANGE(""https://docs.google.com/spreadsheets/d/1UDYA3-RrkJNLa2ZLH1NnUjKyfCoiSODmgVL_Au_zt-Y/edit#gid=0"",""'Game 6'!$B$2:$Q$31""),30,False),1)"),23.0)</f>
        <v>23</v>
      </c>
      <c r="O52" s="5">
        <f>IFERROR(__xludf.DUMMYFUNCTION("IFERROR(HLOOKUP($A52,IMPORTRANGE(""https://docs.google.com/spreadsheets/d/1fvo6H94Wcffp6c4N9g3JKCW6y2ZlijPxdOsNz7xdBhw/edit#gid=0"",""'Game 6'!$B$2:$Q$31""),30,False),1)"),23.0)</f>
        <v>23</v>
      </c>
      <c r="P52" s="5">
        <f>IFERROR(__xludf.DUMMYFUNCTION("IFERROR(HLOOKUP($A52,IMPORTRANGE(""https://docs.google.com/spreadsheets/d/1wfQePArl-A-5QJe5xAufoOnzeNLVSoHCRcmpZ_FMdns/edit#gid=0"",""'Game 6'!$B$2:$Q$31""),30,False),1)"),23.0)</f>
        <v>23</v>
      </c>
      <c r="Q52" s="5">
        <f>IFERROR(__xludf.DUMMYFUNCTION("IFERROR(HLOOKUP($A52,IMPORTRANGE(""https://docs.google.com/spreadsheets/d/1wydNznS0hZhVh3oGSdiCZSsReuqMT7Xaw718ix58zAI/edit#gid=0"",""'Game 7'!$B$2:$Q$31""),30,False),1)"),23.0)</f>
        <v>23</v>
      </c>
      <c r="R52" s="6">
        <f t="shared" si="1"/>
        <v>265</v>
      </c>
    </row>
    <row r="53">
      <c r="A53" s="2" t="s">
        <v>155</v>
      </c>
      <c r="B53" s="10" t="s">
        <v>151</v>
      </c>
      <c r="C53" s="2">
        <v>23.0</v>
      </c>
      <c r="D53" s="2">
        <v>23.0</v>
      </c>
      <c r="E53" s="2">
        <v>23.0</v>
      </c>
      <c r="F53" s="2">
        <v>23.0</v>
      </c>
      <c r="G53" s="2">
        <v>23.0</v>
      </c>
      <c r="H53" s="13">
        <f>IFERROR(__xludf.DUMMYFUNCTION("HLOOKUP($A53,IMPORTRANGE(""https://docs.google.com/spreadsheets/d/19gjAD4NwTXl_QoKUuwHQ1cWG_S2BOW94pDcyFtPwheg/edit#gid=1009263986"",""'Game 7'!$B$2:$Q$31""),30,False)"),23.0)</f>
        <v>23</v>
      </c>
      <c r="I53" s="12">
        <f>IFERROR(__xludf.DUMMYFUNCTION("HLOOKUP($A53,IMPORTRANGE(""https://docs.google.com/spreadsheets/d/1l83w8bH-F1czkFOqsgQy6o8O33Jb4Pfg40W0ou2nk0k/edit#gid=0"",""'Game 3'!$B$2:$Q$31""),30,False)"),23.0)</f>
        <v>23</v>
      </c>
      <c r="J53" s="12">
        <f>IFERROR(__xludf.DUMMYFUNCTION("HLOOKUP($A53,IMPORTRANGE(""https://docs.google.com/spreadsheets/d/15X-ub7GvrCQZ3UGgyogcjwYdxG-Ng8WHxzGSj1Z3eLw/edit#gid=0"",""'Game 1'!$B$2:$Q$31""),30,False)"),23.0)</f>
        <v>23</v>
      </c>
      <c r="K53" s="12">
        <f>IFERROR(__xludf.DUMMYFUNCTION("IFERROR(HLOOKUP($A53,IMPORTRANGE(""https://docs.google.com/spreadsheets/d/194Bw3ABslPPhOOPvVoMzIk8sOQFICWBu2pydWdYMD-w/edit#gid=0"",""'Game 5'!$B$2:$Q$31""),30,False),1)"),23.0)</f>
        <v>23</v>
      </c>
      <c r="L53" s="12">
        <f>IFERROR(__xludf.DUMMYFUNCTION("IFERROR(HLOOKUP($A53,IMPORTRANGE(""https://docs.google.com/spreadsheets/d/1F2Bi6K_I1K9xRxY5qb-bNRo5m-Kw7udpF1OaTHhrxjs/edit#gid=0"",""'Game 4'!$B$2:$Q$31""),30,False),1)"),23.0)</f>
        <v>23</v>
      </c>
      <c r="M53" s="12">
        <f>IFERROR(__xludf.DUMMYFUNCTION("IFERROR(HLOOKUP($A53,IMPORTRANGE(""https://docs.google.com/spreadsheets/d/1NDNgi_Ny4dRhc2A3UMIIkalN-V6EmsvxOfDzMRQlQ40/edit#gid=0"",""'Game 2'!$B$2:$Q$31""),30,False),1)"),23.0)</f>
        <v>23</v>
      </c>
      <c r="N53" s="12">
        <f>IFERROR(__xludf.DUMMYFUNCTION("IFERROR(HLOOKUP($A53,IMPORTRANGE(""https://docs.google.com/spreadsheets/d/1UDYA3-RrkJNLa2ZLH1NnUjKyfCoiSODmgVL_Au_zt-Y/edit#gid=0"",""'Game 6'!$B$2:$Q$31""),30,False),1)"),23.0)</f>
        <v>23</v>
      </c>
      <c r="O53" s="12">
        <f>IFERROR(__xludf.DUMMYFUNCTION("IFERROR(HLOOKUP($A53,IMPORTRANGE(""https://docs.google.com/spreadsheets/d/1fvo6H94Wcffp6c4N9g3JKCW6y2ZlijPxdOsNz7xdBhw/edit#gid=0"",""'Game 6'!$B$2:$Q$31""),30,False),1)"),23.0)</f>
        <v>23</v>
      </c>
      <c r="P53" s="12">
        <f>IFERROR(__xludf.DUMMYFUNCTION("IFERROR(HLOOKUP($A53,IMPORTRANGE(""https://docs.google.com/spreadsheets/d/1wfQePArl-A-5QJe5xAufoOnzeNLVSoHCRcmpZ_FMdns/edit#gid=0"",""'Game 6'!$B$2:$Q$31""),30,False),1)"),23.0)</f>
        <v>23</v>
      </c>
      <c r="Q53" s="12">
        <f>IFERROR(__xludf.DUMMYFUNCTION("IFERROR(HLOOKUP($A53,IMPORTRANGE(""https://docs.google.com/spreadsheets/d/1wydNznS0hZhVh3oGSdiCZSsReuqMT7Xaw718ix58zAI/edit#gid=0"",""'Game 7'!$B$2:$Q$31""),30,False),1)"),23.0)</f>
        <v>23</v>
      </c>
      <c r="R53" s="13">
        <f t="shared" si="1"/>
        <v>345</v>
      </c>
    </row>
    <row r="54">
      <c r="A54" s="3" t="s">
        <v>158</v>
      </c>
      <c r="B54" s="17" t="s">
        <v>151</v>
      </c>
      <c r="C54" s="3">
        <v>23.0</v>
      </c>
      <c r="D54" s="3">
        <v>23.0</v>
      </c>
      <c r="E54" s="3">
        <v>23.0</v>
      </c>
      <c r="F54" s="3">
        <v>23.0</v>
      </c>
      <c r="G54" s="3">
        <v>23.0</v>
      </c>
      <c r="H54" s="6">
        <f>IFERROR(__xludf.DUMMYFUNCTION("HLOOKUP($A54,IMPORTRANGE(""https://docs.google.com/spreadsheets/d/19gjAD4NwTXl_QoKUuwHQ1cWG_S2BOW94pDcyFtPwheg/edit#gid=1009263986"",""'Game 7'!$B$2:$Q$31""),30,False)"),23.0)</f>
        <v>23</v>
      </c>
      <c r="I54" s="5">
        <f>IFERROR(__xludf.DUMMYFUNCTION("HLOOKUP($A54,IMPORTRANGE(""https://docs.google.com/spreadsheets/d/1l83w8bH-F1czkFOqsgQy6o8O33Jb4Pfg40W0ou2nk0k/edit#gid=0"",""'Game 3'!$B$2:$Q$31""),30,False)"),23.0)</f>
        <v>23</v>
      </c>
      <c r="J54" s="5">
        <f>IFERROR(__xludf.DUMMYFUNCTION("HLOOKUP($A54,IMPORTRANGE(""https://docs.google.com/spreadsheets/d/15X-ub7GvrCQZ3UGgyogcjwYdxG-Ng8WHxzGSj1Z3eLw/edit#gid=0"",""'Game 1'!$B$2:$Q$31""),30,False)"),23.0)</f>
        <v>23</v>
      </c>
      <c r="K54" s="5">
        <f>IFERROR(__xludf.DUMMYFUNCTION("IFERROR(HLOOKUP($A54,IMPORTRANGE(""https://docs.google.com/spreadsheets/d/194Bw3ABslPPhOOPvVoMzIk8sOQFICWBu2pydWdYMD-w/edit#gid=0"",""'Game 5'!$B$2:$Q$31""),30,False),1)"),23.0)</f>
        <v>23</v>
      </c>
      <c r="L54" s="5">
        <f>IFERROR(__xludf.DUMMYFUNCTION("IFERROR(HLOOKUP($A54,IMPORTRANGE(""https://docs.google.com/spreadsheets/d/1F2Bi6K_I1K9xRxY5qb-bNRo5m-Kw7udpF1OaTHhrxjs/edit#gid=0"",""'Game 4'!$B$2:$Q$31""),30,False),1)"),23.0)</f>
        <v>23</v>
      </c>
      <c r="M54" s="5">
        <f>IFERROR(__xludf.DUMMYFUNCTION("IFERROR(HLOOKUP($A54,IMPORTRANGE(""https://docs.google.com/spreadsheets/d/1NDNgi_Ny4dRhc2A3UMIIkalN-V6EmsvxOfDzMRQlQ40/edit#gid=0"",""'Game 2'!$B$2:$Q$31""),30,False),1)"),23.0)</f>
        <v>23</v>
      </c>
      <c r="N54" s="5">
        <f>IFERROR(__xludf.DUMMYFUNCTION("IFERROR(HLOOKUP($A54,IMPORTRANGE(""https://docs.google.com/spreadsheets/d/1UDYA3-RrkJNLa2ZLH1NnUjKyfCoiSODmgVL_Au_zt-Y/edit#gid=0"",""'Game 6'!$B$2:$Q$31""),30,False),1)"),23.0)</f>
        <v>23</v>
      </c>
      <c r="O54" s="5">
        <f>IFERROR(__xludf.DUMMYFUNCTION("IFERROR(HLOOKUP($A54,IMPORTRANGE(""https://docs.google.com/spreadsheets/d/1fvo6H94Wcffp6c4N9g3JKCW6y2ZlijPxdOsNz7xdBhw/edit#gid=0"",""'Game 6'!$B$2:$Q$31""),30,False),1)"),23.0)</f>
        <v>23</v>
      </c>
      <c r="P54" s="5">
        <f>IFERROR(__xludf.DUMMYFUNCTION("IFERROR(HLOOKUP($A54,IMPORTRANGE(""https://docs.google.com/spreadsheets/d/1wfQePArl-A-5QJe5xAufoOnzeNLVSoHCRcmpZ_FMdns/edit#gid=0"",""'Game 6'!$B$2:$Q$31""),30,False),1)"),23.0)</f>
        <v>23</v>
      </c>
      <c r="Q54" s="5">
        <f>IFERROR(__xludf.DUMMYFUNCTION("IFERROR(HLOOKUP($A54,IMPORTRANGE(""https://docs.google.com/spreadsheets/d/1wydNznS0hZhVh3oGSdiCZSsReuqMT7Xaw718ix58zAI/edit#gid=0"",""'Game 7'!$B$2:$Q$31""),30,False),1)"),23.0)</f>
        <v>23</v>
      </c>
      <c r="R54" s="6">
        <f t="shared" si="1"/>
        <v>345</v>
      </c>
    </row>
    <row r="55">
      <c r="A55" s="2" t="s">
        <v>160</v>
      </c>
      <c r="B55" s="10" t="s">
        <v>151</v>
      </c>
      <c r="C55" s="2">
        <v>23.0</v>
      </c>
      <c r="D55" s="2">
        <v>23.0</v>
      </c>
      <c r="E55" s="2">
        <v>11.0</v>
      </c>
      <c r="F55" s="2">
        <v>23.0</v>
      </c>
      <c r="G55" s="2">
        <v>11.0</v>
      </c>
      <c r="H55" s="13">
        <f>IFERROR(__xludf.DUMMYFUNCTION("HLOOKUP($A55,IMPORTRANGE(""https://docs.google.com/spreadsheets/d/19gjAD4NwTXl_QoKUuwHQ1cWG_S2BOW94pDcyFtPwheg/edit#gid=1009263986"",""'Game 7'!$B$2:$Q$31""),30,False)"),23.0)</f>
        <v>23</v>
      </c>
      <c r="I55" s="12">
        <f>IFERROR(__xludf.DUMMYFUNCTION("HLOOKUP($A55,IMPORTRANGE(""https://docs.google.com/spreadsheets/d/1l83w8bH-F1czkFOqsgQy6o8O33Jb4Pfg40W0ou2nk0k/edit#gid=0"",""'Game 3'!$B$2:$Q$31""),30,False)"),0.0)</f>
        <v>0</v>
      </c>
      <c r="J55" s="12">
        <f>IFERROR(__xludf.DUMMYFUNCTION("HLOOKUP($A55,IMPORTRANGE(""https://docs.google.com/spreadsheets/d/15X-ub7GvrCQZ3UGgyogcjwYdxG-Ng8WHxzGSj1Z3eLw/edit#gid=0"",""'Game 1'!$B$2:$Q$31""),30,False)"),23.0)</f>
        <v>23</v>
      </c>
      <c r="K55" s="12">
        <f>IFERROR(__xludf.DUMMYFUNCTION("IFERROR(HLOOKUP($A55,IMPORTRANGE(""https://docs.google.com/spreadsheets/d/194Bw3ABslPPhOOPvVoMzIk8sOQFICWBu2pydWdYMD-w/edit#gid=0"",""'Game 5'!$B$2:$Q$31""),30,False),1)"),12.0)</f>
        <v>12</v>
      </c>
      <c r="L55" s="12">
        <f>IFERROR(__xludf.DUMMYFUNCTION("IFERROR(HLOOKUP($A55,IMPORTRANGE(""https://docs.google.com/spreadsheets/d/1F2Bi6K_I1K9xRxY5qb-bNRo5m-Kw7udpF1OaTHhrxjs/edit#gid=0"",""'Game 4'!$B$2:$Q$31""),30,False),1)"),12.0)</f>
        <v>12</v>
      </c>
      <c r="M55" s="12">
        <f>IFERROR(__xludf.DUMMYFUNCTION("IFERROR(HLOOKUP($A55,IMPORTRANGE(""https://docs.google.com/spreadsheets/d/1NDNgi_Ny4dRhc2A3UMIIkalN-V6EmsvxOfDzMRQlQ40/edit#gid=0"",""'Game 2'!$B$2:$Q$31""),30,False),1)"),23.0)</f>
        <v>23</v>
      </c>
      <c r="N55" s="12">
        <f>IFERROR(__xludf.DUMMYFUNCTION("IFERROR(HLOOKUP($A55,IMPORTRANGE(""https://docs.google.com/spreadsheets/d/1UDYA3-RrkJNLa2ZLH1NnUjKyfCoiSODmgVL_Au_zt-Y/edit#gid=0"",""'Game 6'!$B$2:$Q$31""),30,False),1)"),12.0)</f>
        <v>12</v>
      </c>
      <c r="O55" s="12">
        <f>IFERROR(__xludf.DUMMYFUNCTION("IFERROR(HLOOKUP($A55,IMPORTRANGE(""https://docs.google.com/spreadsheets/d/1fvo6H94Wcffp6c4N9g3JKCW6y2ZlijPxdOsNz7xdBhw/edit#gid=0"",""'Game 6'!$B$2:$Q$31""),30,False),1)"),23.0)</f>
        <v>23</v>
      </c>
      <c r="P55" s="12">
        <f>IFERROR(__xludf.DUMMYFUNCTION("IFERROR(HLOOKUP($A55,IMPORTRANGE(""https://docs.google.com/spreadsheets/d/1wfQePArl-A-5QJe5xAufoOnzeNLVSoHCRcmpZ_FMdns/edit#gid=0"",""'Game 6'!$B$2:$Q$31""),30,False),1)"),23.0)</f>
        <v>23</v>
      </c>
      <c r="Q55" s="12">
        <f>IFERROR(__xludf.DUMMYFUNCTION("IFERROR(HLOOKUP($A55,IMPORTRANGE(""https://docs.google.com/spreadsheets/d/1wydNznS0hZhVh3oGSdiCZSsReuqMT7Xaw718ix58zAI/edit#gid=0"",""'Game 7'!$B$2:$Q$31""),30,False),1)"),12.0)</f>
        <v>12</v>
      </c>
      <c r="R55" s="13">
        <f t="shared" si="1"/>
        <v>254</v>
      </c>
    </row>
    <row r="56">
      <c r="A56" s="3" t="s">
        <v>163</v>
      </c>
      <c r="B56" s="17" t="s">
        <v>151</v>
      </c>
      <c r="C56" s="3">
        <v>23.0</v>
      </c>
      <c r="D56" s="3">
        <v>0.0</v>
      </c>
      <c r="E56" s="3">
        <v>23.0</v>
      </c>
      <c r="F56" s="3">
        <v>23.0</v>
      </c>
      <c r="G56" s="3">
        <v>23.0</v>
      </c>
      <c r="H56" s="6">
        <f>IFERROR(__xludf.DUMMYFUNCTION("HLOOKUP($A56,IMPORTRANGE(""https://docs.google.com/spreadsheets/d/19gjAD4NwTXl_QoKUuwHQ1cWG_S2BOW94pDcyFtPwheg/edit#gid=1009263986"",""'Game 7'!$B$2:$Q$31""),30,False)"),12.0)</f>
        <v>12</v>
      </c>
      <c r="I56" s="5">
        <f>IFERROR(__xludf.DUMMYFUNCTION("HLOOKUP($A56,IMPORTRANGE(""https://docs.google.com/spreadsheets/d/1l83w8bH-F1czkFOqsgQy6o8O33Jb4Pfg40W0ou2nk0k/edit#gid=0"",""'Game 3'!$B$2:$Q$31""),30,False)"),23.0)</f>
        <v>23</v>
      </c>
      <c r="J56" s="5">
        <f>IFERROR(__xludf.DUMMYFUNCTION("HLOOKUP($A56,IMPORTRANGE(""https://docs.google.com/spreadsheets/d/15X-ub7GvrCQZ3UGgyogcjwYdxG-Ng8WHxzGSj1Z3eLw/edit#gid=0"",""'Game 1'!$B$2:$Q$31""),30,False)"),0.0)</f>
        <v>0</v>
      </c>
      <c r="K56" s="5">
        <f>IFERROR(__xludf.DUMMYFUNCTION("IFERROR(HLOOKUP($A56,IMPORTRANGE(""https://docs.google.com/spreadsheets/d/194Bw3ABslPPhOOPvVoMzIk8sOQFICWBu2pydWdYMD-w/edit#gid=0"",""'Game 5'!$B$2:$Q$31""),30,False),1)"),0.0)</f>
        <v>0</v>
      </c>
      <c r="L56" s="5">
        <f>IFERROR(__xludf.DUMMYFUNCTION("IFERROR(HLOOKUP($A56,IMPORTRANGE(""https://docs.google.com/spreadsheets/d/1F2Bi6K_I1K9xRxY5qb-bNRo5m-Kw7udpF1OaTHhrxjs/edit#gid=0"",""'Game 4'!$B$2:$Q$31""),30,False),1)"),0.0)</f>
        <v>0</v>
      </c>
      <c r="M56" s="5">
        <f>IFERROR(__xludf.DUMMYFUNCTION("IFERROR(HLOOKUP($A56,IMPORTRANGE(""https://docs.google.com/spreadsheets/d/1NDNgi_Ny4dRhc2A3UMIIkalN-V6EmsvxOfDzMRQlQ40/edit#gid=0"",""'Game 2'!$B$2:$Q$31""),30,False),1)"),0.0)</f>
        <v>0</v>
      </c>
      <c r="N56" s="5">
        <f>IFERROR(__xludf.DUMMYFUNCTION("IFERROR(HLOOKUP($A56,IMPORTRANGE(""https://docs.google.com/spreadsheets/d/1UDYA3-RrkJNLa2ZLH1NnUjKyfCoiSODmgVL_Au_zt-Y/edit#gid=0"",""'Game 6'!$B$2:$Q$31""),30,False),1)"),0.0)</f>
        <v>0</v>
      </c>
      <c r="O56" s="5">
        <f>IFERROR(__xludf.DUMMYFUNCTION("IFERROR(HLOOKUP($A56,IMPORTRANGE(""https://docs.google.com/spreadsheets/d/1fvo6H94Wcffp6c4N9g3JKCW6y2ZlijPxdOsNz7xdBhw/edit#gid=0"",""'Game 6'!$B$2:$Q$31""),30,False),1)"),0.0)</f>
        <v>0</v>
      </c>
      <c r="P56" s="5">
        <f>IFERROR(__xludf.DUMMYFUNCTION("IFERROR(HLOOKUP($A56,IMPORTRANGE(""https://docs.google.com/spreadsheets/d/1wfQePArl-A-5QJe5xAufoOnzeNLVSoHCRcmpZ_FMdns/edit#gid=0"",""'Game 6'!$B$2:$Q$31""),30,False),1)"),0.0)</f>
        <v>0</v>
      </c>
      <c r="Q56" s="5">
        <f>IFERROR(__xludf.DUMMYFUNCTION("IFERROR(HLOOKUP($A56,IMPORTRANGE(""https://docs.google.com/spreadsheets/d/1wydNznS0hZhVh3oGSdiCZSsReuqMT7Xaw718ix58zAI/edit#gid=0"",""'Game 7'!$B$2:$Q$31""),30,False),1)"),0.0)</f>
        <v>0</v>
      </c>
      <c r="R56" s="6">
        <f t="shared" si="1"/>
        <v>127</v>
      </c>
    </row>
    <row r="57">
      <c r="A57" s="2" t="s">
        <v>165</v>
      </c>
      <c r="B57" s="2" t="s">
        <v>166</v>
      </c>
      <c r="C57" s="2">
        <v>23.0</v>
      </c>
      <c r="D57" s="2">
        <v>23.0</v>
      </c>
      <c r="E57" s="2">
        <v>23.0</v>
      </c>
      <c r="F57" s="2">
        <v>23.0</v>
      </c>
      <c r="G57" s="2">
        <v>23.0</v>
      </c>
      <c r="H57" s="13">
        <f>IFERROR(__xludf.DUMMYFUNCTION("HLOOKUP($A57,IMPORTRANGE(""https://docs.google.com/spreadsheets/d/19gjAD4NwTXl_QoKUuwHQ1cWG_S2BOW94pDcyFtPwheg/edit#gid=1009263986"",""'Game 3'!$B$2:$Q$31""),30,False)"),23.0)</f>
        <v>23</v>
      </c>
      <c r="I57" s="12">
        <f>IFERROR(__xludf.DUMMYFUNCTION("HLOOKUP($A57,IMPORTRANGE(""https://docs.google.com/spreadsheets/d/1l83w8bH-F1czkFOqsgQy6o8O33Jb4Pfg40W0ou2nk0k/edit#gid=0"",""'Game 4'!$B$2:$Q$31""),30,False)"),23.0)</f>
        <v>23</v>
      </c>
      <c r="J57" s="12">
        <f>IFERROR(__xludf.DUMMYFUNCTION("HLOOKUP($A57,IMPORTRANGE(""https://docs.google.com/spreadsheets/d/15X-ub7GvrCQZ3UGgyogcjwYdxG-Ng8WHxzGSj1Z3eLw/edit#gid=0"",""'Game 3'!$B$2:$Q$31""),30,False)"),23.0)</f>
        <v>23</v>
      </c>
      <c r="K57" s="12">
        <f>IFERROR(__xludf.DUMMYFUNCTION("IFERROR(HLOOKUP($A57,IMPORTRANGE(""https://docs.google.com/spreadsheets/d/194Bw3ABslPPhOOPvVoMzIk8sOQFICWBu2pydWdYMD-w/edit#gid=0"",""'Game 3'!$B$2:$Q$31""),30,False),1)"),23.0)</f>
        <v>23</v>
      </c>
      <c r="L57" s="12">
        <f>IFERROR(__xludf.DUMMYFUNCTION("IFERROR(HLOOKUP($A57,IMPORTRANGE(""https://docs.google.com/spreadsheets/d/1F2Bi6K_I1K9xRxY5qb-bNRo5m-Kw7udpF1OaTHhrxjs/edit#gid=0"",""'Game 3'!$B$2:$Q$31""),30,False),1)"),23.0)</f>
        <v>23</v>
      </c>
      <c r="M57" s="12">
        <f>IFERROR(__xludf.DUMMYFUNCTION("IFERROR(HLOOKUP($A57,IMPORTRANGE(""https://docs.google.com/spreadsheets/d/1NDNgi_Ny4dRhc2A3UMIIkalN-V6EmsvxOfDzMRQlQ40/edit#gid=0"",""'Game 3'!$B$2:$Q$31""),30,False),1)"),23.0)</f>
        <v>23</v>
      </c>
      <c r="N57" s="12">
        <f>IFERROR(__xludf.DUMMYFUNCTION("IFERROR(HLOOKUP($A57,IMPORTRANGE(""https://docs.google.com/spreadsheets/d/1UDYA3-RrkJNLa2ZLH1NnUjKyfCoiSODmgVL_Au_zt-Y/edit#gid=0"",""'Game 2'!$B$2:$Q$31""),30,False),1)"),23.0)</f>
        <v>23</v>
      </c>
      <c r="O57" s="12">
        <f>IFERROR(__xludf.DUMMYFUNCTION("IFERROR(HLOOKUP($A57,IMPORTRANGE(""https://docs.google.com/spreadsheets/d/1fvo6H94Wcffp6c4N9g3JKCW6y2ZlijPxdOsNz7xdBhw/edit#gid=0"",""'Game 3'!$B$2:$Q$31""),30,False),1)"),23.0)</f>
        <v>23</v>
      </c>
      <c r="P57" s="12">
        <f>IFERROR(__xludf.DUMMYFUNCTION("IFERROR(HLOOKUP($A57,IMPORTRANGE(""https://docs.google.com/spreadsheets/d/1wfQePArl-A-5QJe5xAufoOnzeNLVSoHCRcmpZ_FMdns/edit#gid=0"",""'Game 3'!$B$2:$Q$31""),30,False),1)"),23.0)</f>
        <v>23</v>
      </c>
      <c r="Q57" s="12">
        <f>IFERROR(__xludf.DUMMYFUNCTION("IFERROR(HLOOKUP($A57,IMPORTRANGE(""https://docs.google.com/spreadsheets/d/1wydNznS0hZhVh3oGSdiCZSsReuqMT7Xaw718ix58zAI/edit#gid=0"",""'Game 3'!$B$2:$Q$31""),30,False),1)"),23.0)</f>
        <v>23</v>
      </c>
      <c r="R57" s="13">
        <f t="shared" si="1"/>
        <v>345</v>
      </c>
    </row>
    <row r="58">
      <c r="A58" s="3" t="s">
        <v>168</v>
      </c>
      <c r="B58" s="3" t="s">
        <v>166</v>
      </c>
      <c r="C58" s="3">
        <v>23.0</v>
      </c>
      <c r="D58" s="3">
        <v>23.0</v>
      </c>
      <c r="E58" s="3">
        <v>23.0</v>
      </c>
      <c r="F58" s="3">
        <v>23.0</v>
      </c>
      <c r="G58" s="3">
        <v>23.0</v>
      </c>
      <c r="H58" s="6">
        <f>IFERROR(__xludf.DUMMYFUNCTION("HLOOKUP($A58,IMPORTRANGE(""https://docs.google.com/spreadsheets/d/19gjAD4NwTXl_QoKUuwHQ1cWG_S2BOW94pDcyFtPwheg/edit#gid=1009263986"",""'Game 3'!$B$2:$Q$31""),30,False)"),23.0)</f>
        <v>23</v>
      </c>
      <c r="I58" s="5">
        <f>IFERROR(__xludf.DUMMYFUNCTION("HLOOKUP($A58,IMPORTRANGE(""https://docs.google.com/spreadsheets/d/1l83w8bH-F1czkFOqsgQy6o8O33Jb4Pfg40W0ou2nk0k/edit#gid=0"",""'Game 4'!$B$2:$Q$31""),30,False)"),23.0)</f>
        <v>23</v>
      </c>
      <c r="J58" s="5">
        <f>IFERROR(__xludf.DUMMYFUNCTION("HLOOKUP($A58,IMPORTRANGE(""https://docs.google.com/spreadsheets/d/15X-ub7GvrCQZ3UGgyogcjwYdxG-Ng8WHxzGSj1Z3eLw/edit#gid=0"",""'Game 3'!$B$2:$Q$31""),30,False)"),23.0)</f>
        <v>23</v>
      </c>
      <c r="K58" s="5">
        <f>IFERROR(__xludf.DUMMYFUNCTION("IFERROR(HLOOKUP($A58,IMPORTRANGE(""https://docs.google.com/spreadsheets/d/194Bw3ABslPPhOOPvVoMzIk8sOQFICWBu2pydWdYMD-w/edit#gid=0"",""'Game 3'!$B$2:$Q$31""),30,False),1)"),23.0)</f>
        <v>23</v>
      </c>
      <c r="L58" s="5">
        <f>IFERROR(__xludf.DUMMYFUNCTION("IFERROR(HLOOKUP($A58,IMPORTRANGE(""https://docs.google.com/spreadsheets/d/1F2Bi6K_I1K9xRxY5qb-bNRo5m-Kw7udpF1OaTHhrxjs/edit#gid=0"",""'Game 3'!$B$2:$Q$31""),30,False),1)"),23.0)</f>
        <v>23</v>
      </c>
      <c r="M58" s="5">
        <f>IFERROR(__xludf.DUMMYFUNCTION("IFERROR(HLOOKUP($A58,IMPORTRANGE(""https://docs.google.com/spreadsheets/d/1NDNgi_Ny4dRhc2A3UMIIkalN-V6EmsvxOfDzMRQlQ40/edit#gid=0"",""'Game 3'!$B$2:$Q$31""),30,False),1)"),23.0)</f>
        <v>23</v>
      </c>
      <c r="N58" s="5">
        <f>IFERROR(__xludf.DUMMYFUNCTION("IFERROR(HLOOKUP($A58,IMPORTRANGE(""https://docs.google.com/spreadsheets/d/1UDYA3-RrkJNLa2ZLH1NnUjKyfCoiSODmgVL_Au_zt-Y/edit#gid=0"",""'Game 2'!$B$2:$Q$31""),30,False),1)"),23.0)</f>
        <v>23</v>
      </c>
      <c r="O58" s="5">
        <f>IFERROR(__xludf.DUMMYFUNCTION("IFERROR(HLOOKUP($A58,IMPORTRANGE(""https://docs.google.com/spreadsheets/d/1fvo6H94Wcffp6c4N9g3JKCW6y2ZlijPxdOsNz7xdBhw/edit#gid=0"",""'Game 3'!$B$2:$Q$31""),30,False),1)"),23.0)</f>
        <v>23</v>
      </c>
      <c r="P58" s="5">
        <f>IFERROR(__xludf.DUMMYFUNCTION("IFERROR(HLOOKUP($A58,IMPORTRANGE(""https://docs.google.com/spreadsheets/d/1wfQePArl-A-5QJe5xAufoOnzeNLVSoHCRcmpZ_FMdns/edit#gid=0"",""'Game 3'!$B$2:$Q$31""),30,False),1)"),23.0)</f>
        <v>23</v>
      </c>
      <c r="Q58" s="5">
        <f>IFERROR(__xludf.DUMMYFUNCTION("IFERROR(HLOOKUP($A58,IMPORTRANGE(""https://docs.google.com/spreadsheets/d/1wydNznS0hZhVh3oGSdiCZSsReuqMT7Xaw718ix58zAI/edit#gid=0"",""'Game 3'!$B$2:$Q$31""),30,False),1)"),23.0)</f>
        <v>23</v>
      </c>
      <c r="R58" s="6">
        <f t="shared" si="1"/>
        <v>345</v>
      </c>
    </row>
    <row r="59">
      <c r="A59" s="2" t="s">
        <v>170</v>
      </c>
      <c r="B59" s="2" t="s">
        <v>166</v>
      </c>
      <c r="C59" s="2">
        <v>23.0</v>
      </c>
      <c r="D59" s="2">
        <v>23.0</v>
      </c>
      <c r="E59" s="2">
        <v>23.0</v>
      </c>
      <c r="F59" s="2">
        <v>23.0</v>
      </c>
      <c r="G59" s="2">
        <v>23.0</v>
      </c>
      <c r="H59" s="13">
        <f>IFERROR(__xludf.DUMMYFUNCTION("HLOOKUP($A59,IMPORTRANGE(""https://docs.google.com/spreadsheets/d/19gjAD4NwTXl_QoKUuwHQ1cWG_S2BOW94pDcyFtPwheg/edit#gid=1009263986"",""'Game 3'!$B$2:$Q$31""),30,False)"),23.0)</f>
        <v>23</v>
      </c>
      <c r="I59" s="12">
        <f>IFERROR(__xludf.DUMMYFUNCTION("HLOOKUP($A59,IMPORTRANGE(""https://docs.google.com/spreadsheets/d/1l83w8bH-F1czkFOqsgQy6o8O33Jb4Pfg40W0ou2nk0k/edit#gid=0"",""'Game 4'!$B$2:$Q$31""),30,False)"),23.0)</f>
        <v>23</v>
      </c>
      <c r="J59" s="12">
        <f>IFERROR(__xludf.DUMMYFUNCTION("HLOOKUP($A59,IMPORTRANGE(""https://docs.google.com/spreadsheets/d/15X-ub7GvrCQZ3UGgyogcjwYdxG-Ng8WHxzGSj1Z3eLw/edit#gid=0"",""'Game 3'!$B$2:$Q$31""),30,False)"),23.0)</f>
        <v>23</v>
      </c>
      <c r="K59" s="12">
        <f>IFERROR(__xludf.DUMMYFUNCTION("IFERROR(HLOOKUP($A59,IMPORTRANGE(""https://docs.google.com/spreadsheets/d/194Bw3ABslPPhOOPvVoMzIk8sOQFICWBu2pydWdYMD-w/edit#gid=0"",""'Game 3'!$B$2:$Q$31""),30,False),1)"),23.0)</f>
        <v>23</v>
      </c>
      <c r="L59" s="12">
        <f>IFERROR(__xludf.DUMMYFUNCTION("IFERROR(HLOOKUP($A59,IMPORTRANGE(""https://docs.google.com/spreadsheets/d/1F2Bi6K_I1K9xRxY5qb-bNRo5m-Kw7udpF1OaTHhrxjs/edit#gid=0"",""'Game 3'!$B$2:$Q$31""),30,False),1)"),23.0)</f>
        <v>23</v>
      </c>
      <c r="M59" s="12">
        <f>IFERROR(__xludf.DUMMYFUNCTION("IFERROR(HLOOKUP($A59,IMPORTRANGE(""https://docs.google.com/spreadsheets/d/1NDNgi_Ny4dRhc2A3UMIIkalN-V6EmsvxOfDzMRQlQ40/edit#gid=0"",""'Game 3'!$B$2:$Q$31""),30,False),1)"),0.0)</f>
        <v>0</v>
      </c>
      <c r="N59" s="12">
        <f>IFERROR(__xludf.DUMMYFUNCTION("IFERROR(HLOOKUP($A59,IMPORTRANGE(""https://docs.google.com/spreadsheets/d/1UDYA3-RrkJNLa2ZLH1NnUjKyfCoiSODmgVL_Au_zt-Y/edit#gid=0"",""'Game 2'!$B$2:$Q$31""),30,False),1)"),23.0)</f>
        <v>23</v>
      </c>
      <c r="O59" s="12">
        <f>IFERROR(__xludf.DUMMYFUNCTION("IFERROR(HLOOKUP($A59,IMPORTRANGE(""https://docs.google.com/spreadsheets/d/1fvo6H94Wcffp6c4N9g3JKCW6y2ZlijPxdOsNz7xdBhw/edit#gid=0"",""'Game 3'!$B$2:$Q$31""),30,False),1)"),19.0)</f>
        <v>19</v>
      </c>
      <c r="P59" s="12">
        <f>IFERROR(__xludf.DUMMYFUNCTION("IFERROR(HLOOKUP($A59,IMPORTRANGE(""https://docs.google.com/spreadsheets/d/1wfQePArl-A-5QJe5xAufoOnzeNLVSoHCRcmpZ_FMdns/edit#gid=0"",""'Game 3'!$B$2:$Q$31""),30,False),1)"),23.0)</f>
        <v>23</v>
      </c>
      <c r="Q59" s="12">
        <f>IFERROR(__xludf.DUMMYFUNCTION("IFERROR(HLOOKUP($A59,IMPORTRANGE(""https://docs.google.com/spreadsheets/d/1wydNznS0hZhVh3oGSdiCZSsReuqMT7Xaw718ix58zAI/edit#gid=0"",""'Game 3'!$B$2:$Q$31""),30,False),1)"),23.0)</f>
        <v>23</v>
      </c>
      <c r="R59" s="13">
        <f t="shared" si="1"/>
        <v>318</v>
      </c>
    </row>
    <row r="60">
      <c r="A60" s="3" t="s">
        <v>172</v>
      </c>
      <c r="B60" s="3" t="s">
        <v>166</v>
      </c>
      <c r="C60" s="3">
        <v>0.0</v>
      </c>
      <c r="D60" s="3">
        <v>0.0</v>
      </c>
      <c r="E60" s="3">
        <v>0.0</v>
      </c>
      <c r="F60" s="3">
        <v>23.0</v>
      </c>
      <c r="G60" s="3">
        <v>23.0</v>
      </c>
      <c r="H60" s="6">
        <f>IFERROR(__xludf.DUMMYFUNCTION("HLOOKUP($A60,IMPORTRANGE(""https://docs.google.com/spreadsheets/d/19gjAD4NwTXl_QoKUuwHQ1cWG_S2BOW94pDcyFtPwheg/edit#gid=1009263986"",""'Game 3'!$B$2:$Q$31""),30,False)"),0.0)</f>
        <v>0</v>
      </c>
      <c r="I60" s="5">
        <f>IFERROR(__xludf.DUMMYFUNCTION("HLOOKUP($A60,IMPORTRANGE(""https://docs.google.com/spreadsheets/d/1l83w8bH-F1czkFOqsgQy6o8O33Jb4Pfg40W0ou2nk0k/edit#gid=0"",""'Game 4'!$B$2:$Q$31""),30,False)"),0.0)</f>
        <v>0</v>
      </c>
      <c r="J60" s="5">
        <f>IFERROR(__xludf.DUMMYFUNCTION("HLOOKUP($A60,IMPORTRANGE(""https://docs.google.com/spreadsheets/d/15X-ub7GvrCQZ3UGgyogcjwYdxG-Ng8WHxzGSj1Z3eLw/edit#gid=0"",""'Game 3'!$B$2:$Q$31""),30,False)"),23.0)</f>
        <v>23</v>
      </c>
      <c r="K60" s="5">
        <f>IFERROR(__xludf.DUMMYFUNCTION("IFERROR(HLOOKUP($A60,IMPORTRANGE(""https://docs.google.com/spreadsheets/d/194Bw3ABslPPhOOPvVoMzIk8sOQFICWBu2pydWdYMD-w/edit#gid=0"",""'Game 3'!$B$2:$Q$31""),30,False),1)"),0.0)</f>
        <v>0</v>
      </c>
      <c r="L60" s="5">
        <f>IFERROR(__xludf.DUMMYFUNCTION("IFERROR(HLOOKUP($A60,IMPORTRANGE(""https://docs.google.com/spreadsheets/d/1F2Bi6K_I1K9xRxY5qb-bNRo5m-Kw7udpF1OaTHhrxjs/edit#gid=0"",""'Game 3'!$B$2:$Q$31""),30,False),1)"),0.0)</f>
        <v>0</v>
      </c>
      <c r="M60" s="5">
        <f>IFERROR(__xludf.DUMMYFUNCTION("IFERROR(HLOOKUP($A60,IMPORTRANGE(""https://docs.google.com/spreadsheets/d/1NDNgi_Ny4dRhc2A3UMIIkalN-V6EmsvxOfDzMRQlQ40/edit#gid=0"",""'Game 3'!$B$2:$Q$31""),30,False),1)"),0.0)</f>
        <v>0</v>
      </c>
      <c r="N60" s="5">
        <f>IFERROR(__xludf.DUMMYFUNCTION("IFERROR(HLOOKUP($A60,IMPORTRANGE(""https://docs.google.com/spreadsheets/d/1UDYA3-RrkJNLa2ZLH1NnUjKyfCoiSODmgVL_Au_zt-Y/edit#gid=0"",""'Game 2'!$B$2:$Q$31""),30,False),1)"),0.0)</f>
        <v>0</v>
      </c>
      <c r="O60" s="5">
        <f>IFERROR(__xludf.DUMMYFUNCTION("IFERROR(HLOOKUP($A60,IMPORTRANGE(""https://docs.google.com/spreadsheets/d/1fvo6H94Wcffp6c4N9g3JKCW6y2ZlijPxdOsNz7xdBhw/edit#gid=0"",""'Game 3'!$B$2:$Q$31""),30,False),1)"),23.0)</f>
        <v>23</v>
      </c>
      <c r="P60" s="5">
        <f>IFERROR(__xludf.DUMMYFUNCTION("IFERROR(HLOOKUP($A60,IMPORTRANGE(""https://docs.google.com/spreadsheets/d/1wfQePArl-A-5QJe5xAufoOnzeNLVSoHCRcmpZ_FMdns/edit#gid=0"",""'Game 3'!$B$2:$Q$31""),30,False),1)"),0.0)</f>
        <v>0</v>
      </c>
      <c r="Q60" s="5">
        <f>IFERROR(__xludf.DUMMYFUNCTION("IFERROR(HLOOKUP($A60,IMPORTRANGE(""https://docs.google.com/spreadsheets/d/1wydNznS0hZhVh3oGSdiCZSsReuqMT7Xaw718ix58zAI/edit#gid=0"",""'Game 3'!$B$2:$Q$31""),30,False),1)"),23.0)</f>
        <v>23</v>
      </c>
      <c r="R60" s="6">
        <f t="shared" si="1"/>
        <v>115</v>
      </c>
    </row>
    <row r="61">
      <c r="A61" s="2" t="s">
        <v>175</v>
      </c>
      <c r="B61" s="2" t="s">
        <v>176</v>
      </c>
      <c r="C61" s="2">
        <v>23.0</v>
      </c>
      <c r="D61" s="2">
        <v>23.0</v>
      </c>
      <c r="E61" s="2">
        <v>23.0</v>
      </c>
      <c r="F61" s="2">
        <v>23.0</v>
      </c>
      <c r="G61" s="2">
        <v>23.0</v>
      </c>
      <c r="H61" s="13">
        <f>IFERROR(__xludf.DUMMYFUNCTION("HLOOKUP($A61,IMPORTRANGE(""https://docs.google.com/spreadsheets/d/19gjAD4NwTXl_QoKUuwHQ1cWG_S2BOW94pDcyFtPwheg/edit#gid=1009263986"",""'Game 3'!$B$2:$Q$31""),30,False)"),23.0)</f>
        <v>23</v>
      </c>
      <c r="I61" s="12">
        <f>IFERROR(__xludf.DUMMYFUNCTION("HLOOKUP($A61,IMPORTRANGE(""https://docs.google.com/spreadsheets/d/1l83w8bH-F1czkFOqsgQy6o8O33Jb4Pfg40W0ou2nk0k/edit#gid=0"",""'Game 10'!$B$2:$Q$31""),30,False)"),23.0)</f>
        <v>23</v>
      </c>
      <c r="J61" s="12">
        <f>IFERROR(__xludf.DUMMYFUNCTION("HLOOKUP($A61,IMPORTRANGE(""https://docs.google.com/spreadsheets/d/15X-ub7GvrCQZ3UGgyogcjwYdxG-Ng8WHxzGSj1Z3eLw/edit#gid=0"",""'Game 11'!$B$2:$Q$31""),30,False)"),23.0)</f>
        <v>23</v>
      </c>
      <c r="K61" s="12">
        <f>IFERROR(__xludf.DUMMYFUNCTION("IFERROR(HLOOKUP($A61,IMPORTRANGE(""https://docs.google.com/spreadsheets/d/194Bw3ABslPPhOOPvVoMzIk8sOQFICWBu2pydWdYMD-w/edit#gid=0"",""'Game 12'!$B$2:$Q$31""),30,False),1)"),23.0)</f>
        <v>23</v>
      </c>
      <c r="L61" s="12">
        <f>IFERROR(__xludf.DUMMYFUNCTION("IFERROR(HLOOKUP($A61,IMPORTRANGE(""https://docs.google.com/spreadsheets/d/1F2Bi6K_I1K9xRxY5qb-bNRo5m-Kw7udpF1OaTHhrxjs/edit#gid=0"",""'Game 10'!$B$2:$Q$31""),30,False),1)"),23.0)</f>
        <v>23</v>
      </c>
      <c r="M61" s="12">
        <f>IFERROR(__xludf.DUMMYFUNCTION("IFERROR(HLOOKUP($A61,IMPORTRANGE(""https://docs.google.com/spreadsheets/d/1NDNgi_Ny4dRhc2A3UMIIkalN-V6EmsvxOfDzMRQlQ40/edit#gid=0"",""'Game 12'!$B$2:$Q$31""),30,False),1)"),23.0)</f>
        <v>23</v>
      </c>
      <c r="N61" s="12">
        <f>IFERROR(__xludf.DUMMYFUNCTION("IFERROR(HLOOKUP($A61,IMPORTRANGE(""https://docs.google.com/spreadsheets/d/1UDYA3-RrkJNLa2ZLH1NnUjKyfCoiSODmgVL_Au_zt-Y/edit#gid=0"",""'Game 4'!$B$2:$Q$31""),30,False),1)"),23.0)</f>
        <v>23</v>
      </c>
      <c r="O61" s="12">
        <f>IFERROR(__xludf.DUMMYFUNCTION("IFERROR(HLOOKUP($A61,IMPORTRANGE(""https://docs.google.com/spreadsheets/d/1fvo6H94Wcffp6c4N9g3JKCW6y2ZlijPxdOsNz7xdBhw/edit#gid=0"",""'Game 5'!$B$2:$Q$31""),30,False),1)"),23.0)</f>
        <v>23</v>
      </c>
      <c r="P61" s="12">
        <f>IFERROR(__xludf.DUMMYFUNCTION("IFERROR(HLOOKUP($A61,IMPORTRANGE(""https://docs.google.com/spreadsheets/d/1wfQePArl-A-5QJe5xAufoOnzeNLVSoHCRcmpZ_FMdns/edit#gid=0"",""'Game 12'!$B$2:$Q$31""),30,False),1)"),23.0)</f>
        <v>23</v>
      </c>
      <c r="Q61" s="12">
        <f>IFERROR(__xludf.DUMMYFUNCTION("IFERROR(HLOOKUP($A61,IMPORTRANGE(""https://docs.google.com/spreadsheets/d/1wydNznS0hZhVh3oGSdiCZSsReuqMT7Xaw718ix58zAI/edit#gid=0"",""'Game 7'!$B$2:$Q$31""),30,False),1)"),23.0)</f>
        <v>23</v>
      </c>
      <c r="R61" s="13">
        <f t="shared" si="1"/>
        <v>345</v>
      </c>
    </row>
    <row r="62">
      <c r="A62" s="3" t="s">
        <v>178</v>
      </c>
      <c r="B62" s="17" t="s">
        <v>176</v>
      </c>
      <c r="C62" s="3">
        <v>23.0</v>
      </c>
      <c r="D62" s="3">
        <v>23.0</v>
      </c>
      <c r="E62" s="3">
        <v>23.0</v>
      </c>
      <c r="F62" s="3">
        <v>23.0</v>
      </c>
      <c r="G62" s="3">
        <v>23.0</v>
      </c>
      <c r="H62" s="6">
        <f>IFERROR(__xludf.DUMMYFUNCTION("HLOOKUP($A62,IMPORTRANGE(""https://docs.google.com/spreadsheets/d/19gjAD4NwTXl_QoKUuwHQ1cWG_S2BOW94pDcyFtPwheg/edit#gid=1009263986"",""'Game 3'!$B$2:$Q$31""),30,False)"),23.0)</f>
        <v>23</v>
      </c>
      <c r="I62" s="5">
        <f>IFERROR(__xludf.DUMMYFUNCTION("HLOOKUP($A62,IMPORTRANGE(""https://docs.google.com/spreadsheets/d/1l83w8bH-F1czkFOqsgQy6o8O33Jb4Pfg40W0ou2nk0k/edit#gid=0"",""'Game 10'!$B$2:$Q$31""),30,False)"),23.0)</f>
        <v>23</v>
      </c>
      <c r="J62" s="5">
        <f>IFERROR(__xludf.DUMMYFUNCTION("HLOOKUP($A62,IMPORTRANGE(""https://docs.google.com/spreadsheets/d/15X-ub7GvrCQZ3UGgyogcjwYdxG-Ng8WHxzGSj1Z3eLw/edit#gid=0"",""'Game 11'!$B$2:$Q$31""),30,False)"),23.0)</f>
        <v>23</v>
      </c>
      <c r="K62" s="5">
        <f>IFERROR(__xludf.DUMMYFUNCTION("IFERROR(HLOOKUP($A62,IMPORTRANGE(""https://docs.google.com/spreadsheets/d/194Bw3ABslPPhOOPvVoMzIk8sOQFICWBu2pydWdYMD-w/edit#gid=0"",""'Game 12'!$B$2:$Q$31""),30,False),1)"),23.0)</f>
        <v>23</v>
      </c>
      <c r="L62" s="5">
        <f>IFERROR(__xludf.DUMMYFUNCTION("IFERROR(HLOOKUP($A62,IMPORTRANGE(""https://docs.google.com/spreadsheets/d/1F2Bi6K_I1K9xRxY5qb-bNRo5m-Kw7udpF1OaTHhrxjs/edit#gid=0"",""'Game 10'!$B$2:$Q$31""),30,False),1)"),23.0)</f>
        <v>23</v>
      </c>
      <c r="M62" s="5">
        <f>IFERROR(__xludf.DUMMYFUNCTION("IFERROR(HLOOKUP($A62,IMPORTRANGE(""https://docs.google.com/spreadsheets/d/1NDNgi_Ny4dRhc2A3UMIIkalN-V6EmsvxOfDzMRQlQ40/edit#gid=0"",""'Game 12'!$B$2:$Q$31""),30,False),1)"),23.0)</f>
        <v>23</v>
      </c>
      <c r="N62" s="5">
        <f>IFERROR(__xludf.DUMMYFUNCTION("IFERROR(HLOOKUP($A62,IMPORTRANGE(""https://docs.google.com/spreadsheets/d/1UDYA3-RrkJNLa2ZLH1NnUjKyfCoiSODmgVL_Au_zt-Y/edit#gid=0"",""'Game 4'!$B$2:$Q$31""),30,False),1)"),23.0)</f>
        <v>23</v>
      </c>
      <c r="O62" s="5">
        <f>IFERROR(__xludf.DUMMYFUNCTION("IFERROR(HLOOKUP($A62,IMPORTRANGE(""https://docs.google.com/spreadsheets/d/1fvo6H94Wcffp6c4N9g3JKCW6y2ZlijPxdOsNz7xdBhw/edit#gid=0"",""'Game 5'!$B$2:$Q$31""),30,False),1)"),23.0)</f>
        <v>23</v>
      </c>
      <c r="P62" s="5">
        <f>IFERROR(__xludf.DUMMYFUNCTION("IFERROR(HLOOKUP($A62,IMPORTRANGE(""https://docs.google.com/spreadsheets/d/1wfQePArl-A-5QJe5xAufoOnzeNLVSoHCRcmpZ_FMdns/edit#gid=0"",""'Game 12'!$B$2:$Q$31""),30,False),1)"),23.0)</f>
        <v>23</v>
      </c>
      <c r="Q62" s="5">
        <f>IFERROR(__xludf.DUMMYFUNCTION("IFERROR(HLOOKUP($A62,IMPORTRANGE(""https://docs.google.com/spreadsheets/d/1wydNznS0hZhVh3oGSdiCZSsReuqMT7Xaw718ix58zAI/edit#gid=0"",""'Game 7'!$B$2:$Q$31""),30,False),1)"),23.0)</f>
        <v>23</v>
      </c>
      <c r="R62" s="6">
        <f t="shared" si="1"/>
        <v>345</v>
      </c>
    </row>
    <row r="63">
      <c r="A63" s="2" t="s">
        <v>180</v>
      </c>
      <c r="B63" s="10" t="s">
        <v>176</v>
      </c>
      <c r="C63" s="2">
        <v>23.0</v>
      </c>
      <c r="D63" s="2">
        <v>23.0</v>
      </c>
      <c r="E63" s="2">
        <v>12.0</v>
      </c>
      <c r="F63" s="2">
        <v>23.0</v>
      </c>
      <c r="G63" s="2">
        <v>23.0</v>
      </c>
      <c r="H63" s="13">
        <f>IFERROR(__xludf.DUMMYFUNCTION("HLOOKUP($A63,IMPORTRANGE(""https://docs.google.com/spreadsheets/d/19gjAD4NwTXl_QoKUuwHQ1cWG_S2BOW94pDcyFtPwheg/edit#gid=1009263986"",""'Game 3'!$B$2:$Q$31""),30,False)"),23.0)</f>
        <v>23</v>
      </c>
      <c r="I63" s="12">
        <f>IFERROR(__xludf.DUMMYFUNCTION("HLOOKUP($A63,IMPORTRANGE(""https://docs.google.com/spreadsheets/d/1l83w8bH-F1czkFOqsgQy6o8O33Jb4Pfg40W0ou2nk0k/edit#gid=0"",""'Game 10'!$B$2:$Q$31""),30,False)"),11.0)</f>
        <v>11</v>
      </c>
      <c r="J63" s="12">
        <f>IFERROR(__xludf.DUMMYFUNCTION("HLOOKUP($A63,IMPORTRANGE(""https://docs.google.com/spreadsheets/d/15X-ub7GvrCQZ3UGgyogcjwYdxG-Ng8WHxzGSj1Z3eLw/edit#gid=0"",""'Game 11'!$B$2:$Q$31""),30,False)"),23.0)</f>
        <v>23</v>
      </c>
      <c r="K63" s="12">
        <f>IFERROR(__xludf.DUMMYFUNCTION("IFERROR(HLOOKUP($A63,IMPORTRANGE(""https://docs.google.com/spreadsheets/d/194Bw3ABslPPhOOPvVoMzIk8sOQFICWBu2pydWdYMD-w/edit#gid=0"",""'Game 12'!$B$2:$Q$31""),30,False),1)"),23.0)</f>
        <v>23</v>
      </c>
      <c r="L63" s="12">
        <f>IFERROR(__xludf.DUMMYFUNCTION("IFERROR(HLOOKUP($A63,IMPORTRANGE(""https://docs.google.com/spreadsheets/d/1F2Bi6K_I1K9xRxY5qb-bNRo5m-Kw7udpF1OaTHhrxjs/edit#gid=0"",""'Game 10'!$B$2:$Q$31""),30,False),1)"),23.0)</f>
        <v>23</v>
      </c>
      <c r="M63" s="12">
        <f>IFERROR(__xludf.DUMMYFUNCTION("IFERROR(HLOOKUP($A63,IMPORTRANGE(""https://docs.google.com/spreadsheets/d/1NDNgi_Ny4dRhc2A3UMIIkalN-V6EmsvxOfDzMRQlQ40/edit#gid=0"",""'Game 12'!$B$2:$Q$31""),30,False),1)"),11.0)</f>
        <v>11</v>
      </c>
      <c r="N63" s="12">
        <f>IFERROR(__xludf.DUMMYFUNCTION("IFERROR(HLOOKUP($A63,IMPORTRANGE(""https://docs.google.com/spreadsheets/d/1UDYA3-RrkJNLa2ZLH1NnUjKyfCoiSODmgVL_Au_zt-Y/edit#gid=0"",""'Game 4'!$B$2:$Q$31""),30,False),1)"),0.0)</f>
        <v>0</v>
      </c>
      <c r="O63" s="12">
        <f>IFERROR(__xludf.DUMMYFUNCTION("IFERROR(HLOOKUP($A63,IMPORTRANGE(""https://docs.google.com/spreadsheets/d/1fvo6H94Wcffp6c4N9g3JKCW6y2ZlijPxdOsNz7xdBhw/edit#gid=0"",""'Game 5'!$B$2:$Q$31""),30,False),1)"),0.0)</f>
        <v>0</v>
      </c>
      <c r="P63" s="12">
        <f>IFERROR(__xludf.DUMMYFUNCTION("IFERROR(HLOOKUP($A63,IMPORTRANGE(""https://docs.google.com/spreadsheets/d/1wfQePArl-A-5QJe5xAufoOnzeNLVSoHCRcmpZ_FMdns/edit#gid=0"",""'Game 12'!$B$2:$Q$31""),30,False),1)"),11.0)</f>
        <v>11</v>
      </c>
      <c r="Q63" s="12">
        <f>IFERROR(__xludf.DUMMYFUNCTION("IFERROR(HLOOKUP($A63,IMPORTRANGE(""https://docs.google.com/spreadsheets/d/1wydNznS0hZhVh3oGSdiCZSsReuqMT7Xaw718ix58zAI/edit#gid=0"",""'Game 7'!$B$2:$Q$31""),30,False),1)"),11.0)</f>
        <v>11</v>
      </c>
      <c r="R63" s="13">
        <f t="shared" si="1"/>
        <v>240</v>
      </c>
    </row>
    <row r="64">
      <c r="A64" s="3" t="s">
        <v>182</v>
      </c>
      <c r="B64" s="17" t="s">
        <v>176</v>
      </c>
      <c r="C64" s="3">
        <v>23.0</v>
      </c>
      <c r="D64" s="3">
        <v>23.0</v>
      </c>
      <c r="E64" s="3">
        <v>11.0</v>
      </c>
      <c r="F64" s="3">
        <v>0.0</v>
      </c>
      <c r="G64" s="3">
        <v>23.0</v>
      </c>
      <c r="H64" s="6">
        <f>IFERROR(__xludf.DUMMYFUNCTION("HLOOKUP($A64,IMPORTRANGE(""https://docs.google.com/spreadsheets/d/19gjAD4NwTXl_QoKUuwHQ1cWG_S2BOW94pDcyFtPwheg/edit#gid=1009263986"",""'Game 3'!$B$2:$Q$31""),30,False)"),23.0)</f>
        <v>23</v>
      </c>
      <c r="I64" s="5">
        <f>IFERROR(__xludf.DUMMYFUNCTION("HLOOKUP($A64,IMPORTRANGE(""https://docs.google.com/spreadsheets/d/1l83w8bH-F1czkFOqsgQy6o8O33Jb4Pfg40W0ou2nk0k/edit#gid=0"",""'Game 10'!$B$2:$Q$31""),30,False)"),12.0)</f>
        <v>12</v>
      </c>
      <c r="J64" s="5">
        <f>IFERROR(__xludf.DUMMYFUNCTION("HLOOKUP($A64,IMPORTRANGE(""https://docs.google.com/spreadsheets/d/15X-ub7GvrCQZ3UGgyogcjwYdxG-Ng8WHxzGSj1Z3eLw/edit#gid=0"",""'Game 11'!$B$2:$Q$31""),30,False)"),23.0)</f>
        <v>23</v>
      </c>
      <c r="K64" s="5">
        <f>IFERROR(__xludf.DUMMYFUNCTION("IFERROR(HLOOKUP($A64,IMPORTRANGE(""https://docs.google.com/spreadsheets/d/194Bw3ABslPPhOOPvVoMzIk8sOQFICWBu2pydWdYMD-w/edit#gid=0"",""'Game 12'!$B$2:$Q$31""),30,False),1)"),23.0)</f>
        <v>23</v>
      </c>
      <c r="L64" s="5">
        <f>IFERROR(__xludf.DUMMYFUNCTION("IFERROR(HLOOKUP($A64,IMPORTRANGE(""https://docs.google.com/spreadsheets/d/1F2Bi6K_I1K9xRxY5qb-bNRo5m-Kw7udpF1OaTHhrxjs/edit#gid=0"",""'Game 10'!$B$2:$Q$31""),30,False),1)"),23.0)</f>
        <v>23</v>
      </c>
      <c r="M64" s="5">
        <f>IFERROR(__xludf.DUMMYFUNCTION("IFERROR(HLOOKUP($A64,IMPORTRANGE(""https://docs.google.com/spreadsheets/d/1NDNgi_Ny4dRhc2A3UMIIkalN-V6EmsvxOfDzMRQlQ40/edit#gid=0"",""'Game 12'!$B$2:$Q$31""),30,False),1)"),12.0)</f>
        <v>12</v>
      </c>
      <c r="N64" s="5">
        <f>IFERROR(__xludf.DUMMYFUNCTION("IFERROR(HLOOKUP($A64,IMPORTRANGE(""https://docs.google.com/spreadsheets/d/1UDYA3-RrkJNLa2ZLH1NnUjKyfCoiSODmgVL_Au_zt-Y/edit#gid=0"",""'Game 4'!$B$2:$Q$31""),30,False),1)"),23.0)</f>
        <v>23</v>
      </c>
      <c r="O64" s="5">
        <f>IFERROR(__xludf.DUMMYFUNCTION("IFERROR(HLOOKUP($A64,IMPORTRANGE(""https://docs.google.com/spreadsheets/d/1fvo6H94Wcffp6c4N9g3JKCW6y2ZlijPxdOsNz7xdBhw/edit#gid=0"",""'Game 5'!$B$2:$Q$31""),30,False),1)"),23.0)</f>
        <v>23</v>
      </c>
      <c r="P64" s="5">
        <f>IFERROR(__xludf.DUMMYFUNCTION("IFERROR(HLOOKUP($A64,IMPORTRANGE(""https://docs.google.com/spreadsheets/d/1wfQePArl-A-5QJe5xAufoOnzeNLVSoHCRcmpZ_FMdns/edit#gid=0"",""'Game 12'!$B$2:$Q$31""),30,False),1)"),12.0)</f>
        <v>12</v>
      </c>
      <c r="Q64" s="5">
        <f>IFERROR(__xludf.DUMMYFUNCTION("IFERROR(HLOOKUP($A64,IMPORTRANGE(""https://docs.google.com/spreadsheets/d/1wydNznS0hZhVh3oGSdiCZSsReuqMT7Xaw718ix58zAI/edit#gid=0"",""'Game 7'!$B$2:$Q$31""),30,False),1)"),12.0)</f>
        <v>12</v>
      </c>
      <c r="R64" s="6">
        <f t="shared" si="1"/>
        <v>266</v>
      </c>
    </row>
    <row r="65">
      <c r="A65" s="2" t="s">
        <v>184</v>
      </c>
      <c r="B65" s="2" t="s">
        <v>176</v>
      </c>
      <c r="C65" s="2">
        <v>0.0</v>
      </c>
      <c r="D65" s="2">
        <v>0.0</v>
      </c>
      <c r="E65" s="2">
        <v>23.0</v>
      </c>
      <c r="F65" s="2">
        <v>23.0</v>
      </c>
      <c r="G65" s="2">
        <v>0.0</v>
      </c>
      <c r="H65" s="13">
        <f>IFERROR(__xludf.DUMMYFUNCTION("HLOOKUP($A65,IMPORTRANGE(""https://docs.google.com/spreadsheets/d/19gjAD4NwTXl_QoKUuwHQ1cWG_S2BOW94pDcyFtPwheg/edit#gid=1009263986"",""'Game 3'!$B$2:$Q$31""),30,False)"),0.0)</f>
        <v>0</v>
      </c>
      <c r="I65" s="12">
        <f>IFERROR(__xludf.DUMMYFUNCTION("HLOOKUP($A65,IMPORTRANGE(""https://docs.google.com/spreadsheets/d/1l83w8bH-F1czkFOqsgQy6o8O33Jb4Pfg40W0ou2nk0k/edit#gid=0"",""'Game 10'!$B$2:$Q$31""),30,False)"),23.0)</f>
        <v>23</v>
      </c>
      <c r="J65" s="12">
        <f>IFERROR(__xludf.DUMMYFUNCTION("HLOOKUP($A65,IMPORTRANGE(""https://docs.google.com/spreadsheets/d/15X-ub7GvrCQZ3UGgyogcjwYdxG-Ng8WHxzGSj1Z3eLw/edit#gid=0"",""'Game 11'!$B$2:$Q$31""),30,False)"),0.0)</f>
        <v>0</v>
      </c>
      <c r="K65" s="12">
        <f>IFERROR(__xludf.DUMMYFUNCTION("IFERROR(HLOOKUP($A65,IMPORTRANGE(""https://docs.google.com/spreadsheets/d/194Bw3ABslPPhOOPvVoMzIk8sOQFICWBu2pydWdYMD-w/edit#gid=0"",""'Game 12'!$B$2:$Q$31""),30,False),1)"),0.0)</f>
        <v>0</v>
      </c>
      <c r="L65" s="12">
        <f>IFERROR(__xludf.DUMMYFUNCTION("IFERROR(HLOOKUP($A65,IMPORTRANGE(""https://docs.google.com/spreadsheets/d/1F2Bi6K_I1K9xRxY5qb-bNRo5m-Kw7udpF1OaTHhrxjs/edit#gid=0"",""'Game 10'!$B$2:$Q$31""),30,False),1)"),0.0)</f>
        <v>0</v>
      </c>
      <c r="M65" s="12">
        <f>IFERROR(__xludf.DUMMYFUNCTION("IFERROR(HLOOKUP($A65,IMPORTRANGE(""https://docs.google.com/spreadsheets/d/1NDNgi_Ny4dRhc2A3UMIIkalN-V6EmsvxOfDzMRQlQ40/edit#gid=0"",""'Game 12'!$B$2:$Q$31""),30,False),1)"),23.0)</f>
        <v>23</v>
      </c>
      <c r="N65" s="12">
        <f>IFERROR(__xludf.DUMMYFUNCTION("IFERROR(HLOOKUP($A65,IMPORTRANGE(""https://docs.google.com/spreadsheets/d/1UDYA3-RrkJNLa2ZLH1NnUjKyfCoiSODmgVL_Au_zt-Y/edit#gid=0"",""'Game 4'!$B$2:$Q$31""),30,False),1)"),23.0)</f>
        <v>23</v>
      </c>
      <c r="O65" s="12">
        <f>IFERROR(__xludf.DUMMYFUNCTION("IFERROR(HLOOKUP($A65,IMPORTRANGE(""https://docs.google.com/spreadsheets/d/1fvo6H94Wcffp6c4N9g3JKCW6y2ZlijPxdOsNz7xdBhw/edit#gid=0"",""'Game 5'!$B$2:$Q$31""),30,False),1)"),23.0)</f>
        <v>23</v>
      </c>
      <c r="P65" s="12">
        <f>IFERROR(__xludf.DUMMYFUNCTION("IFERROR(HLOOKUP($A65,IMPORTRANGE(""https://docs.google.com/spreadsheets/d/1wfQePArl-A-5QJe5xAufoOnzeNLVSoHCRcmpZ_FMdns/edit#gid=0"",""'Game 12'!$B$2:$Q$31""),30,False),1)"),23.0)</f>
        <v>23</v>
      </c>
      <c r="Q65" s="12">
        <f>IFERROR(__xludf.DUMMYFUNCTION("IFERROR(HLOOKUP($A65,IMPORTRANGE(""https://docs.google.com/spreadsheets/d/1wydNznS0hZhVh3oGSdiCZSsReuqMT7Xaw718ix58zAI/edit#gid=0"",""'Game 7'!$B$2:$Q$31""),30,False),1)"),23.0)</f>
        <v>23</v>
      </c>
      <c r="R65" s="13">
        <f t="shared" si="1"/>
        <v>184</v>
      </c>
    </row>
    <row r="66">
      <c r="A66" s="3" t="s">
        <v>187</v>
      </c>
      <c r="B66" s="3" t="s">
        <v>188</v>
      </c>
      <c r="C66" s="3">
        <v>23.0</v>
      </c>
      <c r="D66" s="3">
        <v>23.0</v>
      </c>
      <c r="E66" s="3">
        <v>23.0</v>
      </c>
      <c r="F66" s="3">
        <v>23.0</v>
      </c>
      <c r="G66" s="3">
        <v>23.0</v>
      </c>
      <c r="H66" s="6">
        <f>IFERROR(__xludf.DUMMYFUNCTION("HLOOKUP($A66,IMPORTRANGE(""https://docs.google.com/spreadsheets/d/19gjAD4NwTXl_QoKUuwHQ1cWG_S2BOW94pDcyFtPwheg/edit#gid=1009263986"",""'Game 10'!$B$2:$Q$31""),30,False)"),23.0)</f>
        <v>23</v>
      </c>
      <c r="I66" s="5">
        <f>IFERROR(__xludf.DUMMYFUNCTION("HLOOKUP($A66,IMPORTRANGE(""https://docs.google.com/spreadsheets/d/1l83w8bH-F1czkFOqsgQy6o8O33Jb4Pfg40W0ou2nk0k/edit#gid=0"",""'Game 12'!$B$2:$Q$31""),30,False)"),23.0)</f>
        <v>23</v>
      </c>
      <c r="J66" s="5">
        <f>IFERROR(__xludf.DUMMYFUNCTION("HLOOKUP($A66,IMPORTRANGE(""https://docs.google.com/spreadsheets/d/15X-ub7GvrCQZ3UGgyogcjwYdxG-Ng8WHxzGSj1Z3eLw/edit#gid=0"",""'Game 11'!$B$2:$Q$31""),30,False)"),23.0)</f>
        <v>23</v>
      </c>
      <c r="K66" s="5">
        <f>IFERROR(__xludf.DUMMYFUNCTION("IFERROR(HLOOKUP($A66,IMPORTRANGE(""https://docs.google.com/spreadsheets/d/194Bw3ABslPPhOOPvVoMzIk8sOQFICWBu2pydWdYMD-w/edit#gid=0"",""'Game 11'!$B$2:$Q$31""),30,False),1)"),23.0)</f>
        <v>23</v>
      </c>
      <c r="L66" s="5">
        <f>IFERROR(__xludf.DUMMYFUNCTION("IFERROR(HLOOKUP($A66,IMPORTRANGE(""https://docs.google.com/spreadsheets/d/1F2Bi6K_I1K9xRxY5qb-bNRo5m-Kw7udpF1OaTHhrxjs/edit#gid=0"",""'Game 12'!$B$2:$Q$31""),30,False),1)"),23.0)</f>
        <v>23</v>
      </c>
      <c r="M66" s="5">
        <f>IFERROR(__xludf.DUMMYFUNCTION("IFERROR(HLOOKUP($A66,IMPORTRANGE(""https://docs.google.com/spreadsheets/d/1NDNgi_Ny4dRhc2A3UMIIkalN-V6EmsvxOfDzMRQlQ40/edit#gid=0"",""'Game 5'!$B$2:$Q$31""),30,False),1)"),23.0)</f>
        <v>23</v>
      </c>
      <c r="N66" s="5">
        <f>IFERROR(__xludf.DUMMYFUNCTION("IFERROR(HLOOKUP($A66,IMPORTRANGE(""https://docs.google.com/spreadsheets/d/1UDYA3-RrkJNLa2ZLH1NnUjKyfCoiSODmgVL_Au_zt-Y/edit#gid=0"",""'Game 11'!$B$2:$Q$31""),30,False),1)"),23.0)</f>
        <v>23</v>
      </c>
      <c r="O66" s="5">
        <f>IFERROR(__xludf.DUMMYFUNCTION("IFERROR(HLOOKUP($A66,IMPORTRANGE(""https://docs.google.com/spreadsheets/d/1fvo6H94Wcffp6c4N9g3JKCW6y2ZlijPxdOsNz7xdBhw/edit#gid=0"",""'Game 11'!$B$2:$Q$31""),30,False),1)"),23.0)</f>
        <v>23</v>
      </c>
      <c r="P66" s="5">
        <f>IFERROR(__xludf.DUMMYFUNCTION("IFERROR(HLOOKUP($A66,IMPORTRANGE(""https://docs.google.com/spreadsheets/d/1wfQePArl-A-5QJe5xAufoOnzeNLVSoHCRcmpZ_FMdns/edit#gid=0"",""'Game 10'!$B$2:$Q$31""),30,False),1)"),23.0)</f>
        <v>23</v>
      </c>
      <c r="Q66" s="5">
        <f>IFERROR(__xludf.DUMMYFUNCTION("IFERROR(HLOOKUP($A66,IMPORTRANGE(""https://docs.google.com/spreadsheets/d/1wydNznS0hZhVh3oGSdiCZSsReuqMT7Xaw718ix58zAI/edit#gid=0"",""'Game 9'!$B$2:$Q$31""),30,False),1)"),23.0)</f>
        <v>23</v>
      </c>
      <c r="R66" s="6">
        <f t="shared" si="1"/>
        <v>345</v>
      </c>
    </row>
    <row r="67">
      <c r="A67" s="2" t="s">
        <v>190</v>
      </c>
      <c r="B67" s="2" t="s">
        <v>188</v>
      </c>
      <c r="C67" s="2">
        <v>23.0</v>
      </c>
      <c r="D67" s="2">
        <v>23.0</v>
      </c>
      <c r="E67" s="2">
        <v>23.0</v>
      </c>
      <c r="F67" s="2">
        <v>23.0</v>
      </c>
      <c r="G67" s="2">
        <v>11.0</v>
      </c>
      <c r="H67" s="13">
        <f>IFERROR(__xludf.DUMMYFUNCTION("HLOOKUP($A67,IMPORTRANGE(""https://docs.google.com/spreadsheets/d/19gjAD4NwTXl_QoKUuwHQ1cWG_S2BOW94pDcyFtPwheg/edit#gid=1009263986"",""'Game 10'!$B$2:$Q$31""),30,False)"),23.0)</f>
        <v>23</v>
      </c>
      <c r="I67" s="12">
        <f>IFERROR(__xludf.DUMMYFUNCTION("HLOOKUP($A67,IMPORTRANGE(""https://docs.google.com/spreadsheets/d/1l83w8bH-F1czkFOqsgQy6o8O33Jb4Pfg40W0ou2nk0k/edit#gid=0"",""'Game 12'!$B$2:$Q$31""),30,False)"),23.0)</f>
        <v>23</v>
      </c>
      <c r="J67" s="12">
        <f>IFERROR(__xludf.DUMMYFUNCTION("HLOOKUP($A67,IMPORTRANGE(""https://docs.google.com/spreadsheets/d/15X-ub7GvrCQZ3UGgyogcjwYdxG-Ng8WHxzGSj1Z3eLw/edit#gid=0"",""'Game 11'!$B$2:$Q$31""),30,False)"),23.0)</f>
        <v>23</v>
      </c>
      <c r="K67" s="12">
        <f>IFERROR(__xludf.DUMMYFUNCTION("IFERROR(HLOOKUP($A67,IMPORTRANGE(""https://docs.google.com/spreadsheets/d/194Bw3ABslPPhOOPvVoMzIk8sOQFICWBu2pydWdYMD-w/edit#gid=0"",""'Game 11'!$B$2:$Q$31""),30,False),1)"),23.0)</f>
        <v>23</v>
      </c>
      <c r="L67" s="12">
        <f>IFERROR(__xludf.DUMMYFUNCTION("IFERROR(HLOOKUP($A67,IMPORTRANGE(""https://docs.google.com/spreadsheets/d/1F2Bi6K_I1K9xRxY5qb-bNRo5m-Kw7udpF1OaTHhrxjs/edit#gid=0"",""'Game 12'!$B$2:$Q$31""),30,False),1)"),23.0)</f>
        <v>23</v>
      </c>
      <c r="M67" s="12">
        <f>IFERROR(__xludf.DUMMYFUNCTION("IFERROR(HLOOKUP($A67,IMPORTRANGE(""https://docs.google.com/spreadsheets/d/1NDNgi_Ny4dRhc2A3UMIIkalN-V6EmsvxOfDzMRQlQ40/edit#gid=0"",""'Game 5'!$B$2:$Q$31""),30,False),1)"),23.0)</f>
        <v>23</v>
      </c>
      <c r="N67" s="12">
        <f>IFERROR(__xludf.DUMMYFUNCTION("IFERROR(HLOOKUP($A67,IMPORTRANGE(""https://docs.google.com/spreadsheets/d/1UDYA3-RrkJNLa2ZLH1NnUjKyfCoiSODmgVL_Au_zt-Y/edit#gid=0"",""'Game 11'!$B$2:$Q$31""),30,False),1)"),23.0)</f>
        <v>23</v>
      </c>
      <c r="O67" s="12">
        <f>IFERROR(__xludf.DUMMYFUNCTION("IFERROR(HLOOKUP($A67,IMPORTRANGE(""https://docs.google.com/spreadsheets/d/1fvo6H94Wcffp6c4N9g3JKCW6y2ZlijPxdOsNz7xdBhw/edit#gid=0"",""'Game 11'!$B$2:$Q$31""),30,False),1)"),23.0)</f>
        <v>23</v>
      </c>
      <c r="P67" s="12">
        <f>IFERROR(__xludf.DUMMYFUNCTION("IFERROR(HLOOKUP($A67,IMPORTRANGE(""https://docs.google.com/spreadsheets/d/1wfQePArl-A-5QJe5xAufoOnzeNLVSoHCRcmpZ_FMdns/edit#gid=0"",""'Game 10'!$B$2:$Q$31""),30,False),1)"),23.0)</f>
        <v>23</v>
      </c>
      <c r="Q67" s="12">
        <f>IFERROR(__xludf.DUMMYFUNCTION("IFERROR(HLOOKUP($A67,IMPORTRANGE(""https://docs.google.com/spreadsheets/d/1wydNznS0hZhVh3oGSdiCZSsReuqMT7Xaw718ix58zAI/edit#gid=0"",""'Game 9'!$B$2:$Q$31""),30,False),1)"),23.0)</f>
        <v>23</v>
      </c>
      <c r="R67" s="13">
        <f t="shared" si="1"/>
        <v>333</v>
      </c>
    </row>
    <row r="68">
      <c r="A68" s="3" t="s">
        <v>192</v>
      </c>
      <c r="B68" s="3" t="s">
        <v>188</v>
      </c>
      <c r="C68" s="3">
        <v>23.0</v>
      </c>
      <c r="D68" s="3">
        <v>23.0</v>
      </c>
      <c r="E68" s="3">
        <v>0.0</v>
      </c>
      <c r="F68" s="3">
        <v>23.0</v>
      </c>
      <c r="G68" s="3">
        <v>23.0</v>
      </c>
      <c r="H68" s="6">
        <f>IFERROR(__xludf.DUMMYFUNCTION("HLOOKUP($A68,IMPORTRANGE(""https://docs.google.com/spreadsheets/d/19gjAD4NwTXl_QoKUuwHQ1cWG_S2BOW94pDcyFtPwheg/edit#gid=1009263986"",""'Game 10'!$B$2:$Q$31""),30,False)"),23.0)</f>
        <v>23</v>
      </c>
      <c r="I68" s="5">
        <f>IFERROR(__xludf.DUMMYFUNCTION("HLOOKUP($A68,IMPORTRANGE(""https://docs.google.com/spreadsheets/d/1l83w8bH-F1czkFOqsgQy6o8O33Jb4Pfg40W0ou2nk0k/edit#gid=0"",""'Game 12'!$B$2:$Q$31""),30,False)"),23.0)</f>
        <v>23</v>
      </c>
      <c r="J68" s="5">
        <f>IFERROR(__xludf.DUMMYFUNCTION("HLOOKUP($A68,IMPORTRANGE(""https://docs.google.com/spreadsheets/d/15X-ub7GvrCQZ3UGgyogcjwYdxG-Ng8WHxzGSj1Z3eLw/edit#gid=0"",""'Game 11'!$B$2:$Q$31""),30,False)"),0.0)</f>
        <v>0</v>
      </c>
      <c r="K68" s="5">
        <f>IFERROR(__xludf.DUMMYFUNCTION("IFERROR(HLOOKUP($A68,IMPORTRANGE(""https://docs.google.com/spreadsheets/d/194Bw3ABslPPhOOPvVoMzIk8sOQFICWBu2pydWdYMD-w/edit#gid=0"",""'Game 11'!$B$2:$Q$31""),30,False),1)"),17.0)</f>
        <v>17</v>
      </c>
      <c r="L68" s="5">
        <f>IFERROR(__xludf.DUMMYFUNCTION("IFERROR(HLOOKUP($A68,IMPORTRANGE(""https://docs.google.com/spreadsheets/d/1F2Bi6K_I1K9xRxY5qb-bNRo5m-Kw7udpF1OaTHhrxjs/edit#gid=0"",""'Game 12'!$B$2:$Q$31""),30,False),1)"),0.0)</f>
        <v>0</v>
      </c>
      <c r="M68" s="5">
        <f>IFERROR(__xludf.DUMMYFUNCTION("IFERROR(HLOOKUP($A68,IMPORTRANGE(""https://docs.google.com/spreadsheets/d/1NDNgi_Ny4dRhc2A3UMIIkalN-V6EmsvxOfDzMRQlQ40/edit#gid=0"",""'Game 5'!$B$2:$Q$31""),30,False),1)"),0.0)</f>
        <v>0</v>
      </c>
      <c r="N68" s="5">
        <f>IFERROR(__xludf.DUMMYFUNCTION("IFERROR(HLOOKUP($A68,IMPORTRANGE(""https://docs.google.com/spreadsheets/d/1UDYA3-RrkJNLa2ZLH1NnUjKyfCoiSODmgVL_Au_zt-Y/edit#gid=0"",""'Game 11'!$B$2:$Q$31""),30,False),1)"),23.0)</f>
        <v>23</v>
      </c>
      <c r="O68" s="5">
        <f>IFERROR(__xludf.DUMMYFUNCTION("IFERROR(HLOOKUP($A68,IMPORTRANGE(""https://docs.google.com/spreadsheets/d/1fvo6H94Wcffp6c4N9g3JKCW6y2ZlijPxdOsNz7xdBhw/edit#gid=0"",""'Game 11'!$B$2:$Q$31""),30,False),1)"),0.0)</f>
        <v>0</v>
      </c>
      <c r="P68" s="5">
        <f>IFERROR(__xludf.DUMMYFUNCTION("IFERROR(HLOOKUP($A68,IMPORTRANGE(""https://docs.google.com/spreadsheets/d/1wfQePArl-A-5QJe5xAufoOnzeNLVSoHCRcmpZ_FMdns/edit#gid=0"",""'Game 10'!$B$2:$Q$31""),30,False),1)"),11.0)</f>
        <v>11</v>
      </c>
      <c r="Q68" s="5">
        <f>IFERROR(__xludf.DUMMYFUNCTION("IFERROR(HLOOKUP($A68,IMPORTRANGE(""https://docs.google.com/spreadsheets/d/1wydNznS0hZhVh3oGSdiCZSsReuqMT7Xaw718ix58zAI/edit#gid=0"",""'Game 9'!$B$2:$Q$31""),30,False),1)"),23.0)</f>
        <v>23</v>
      </c>
      <c r="R68" s="6">
        <f t="shared" si="1"/>
        <v>212</v>
      </c>
    </row>
    <row r="69">
      <c r="A69" s="2" t="s">
        <v>194</v>
      </c>
      <c r="B69" s="2" t="s">
        <v>188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">
        <v>0.0</v>
      </c>
      <c r="I69" s="29">
        <v>0.0</v>
      </c>
      <c r="J69" s="29">
        <v>0.0</v>
      </c>
      <c r="K69" s="29">
        <v>0.0</v>
      </c>
      <c r="L69" s="12">
        <f>IFERROR(__xludf.DUMMYFUNCTION("IFERROR(HLOOKUP($A69,IMPORTRANGE(""https://docs.google.com/spreadsheets/d/1F2Bi6K_I1K9xRxY5qb-bNRo5m-Kw7udpF1OaTHhrxjs/edit#gid=0"",""'Game 12'!$B$2:$Q$31""),30,False),1)"),23.0)</f>
        <v>23</v>
      </c>
      <c r="M69" s="12">
        <f>IFERROR(__xludf.DUMMYFUNCTION("IFERROR(HLOOKUP($A69,IMPORTRANGE(""https://docs.google.com/spreadsheets/d/1NDNgi_Ny4dRhc2A3UMIIkalN-V6EmsvxOfDzMRQlQ40/edit#gid=0"",""'Game 5'!$B$2:$Q$31""),30,False),1)"),0.0)</f>
        <v>0</v>
      </c>
      <c r="N69" s="12">
        <f>IFERROR(__xludf.DUMMYFUNCTION("IFERROR(HLOOKUP($A69,IMPORTRANGE(""https://docs.google.com/spreadsheets/d/1UDYA3-RrkJNLa2ZLH1NnUjKyfCoiSODmgVL_Au_zt-Y/edit#gid=0"",""'Game 11'!$B$2:$Q$31""),30,False),1)"),0.0)</f>
        <v>0</v>
      </c>
      <c r="O69" s="12">
        <f>IFERROR(__xludf.DUMMYFUNCTION("IFERROR(HLOOKUP($A69,IMPORTRANGE(""https://docs.google.com/spreadsheets/d/1fvo6H94Wcffp6c4N9g3JKCW6y2ZlijPxdOsNz7xdBhw/edit#gid=0"",""'Game 11'!$B$2:$Q$31""),30,False),1)"),0.0)</f>
        <v>0</v>
      </c>
      <c r="P69" s="12">
        <f>IFERROR(__xludf.DUMMYFUNCTION("IFERROR(HLOOKUP($A69,IMPORTRANGE(""https://docs.google.com/spreadsheets/d/1wfQePArl-A-5QJe5xAufoOnzeNLVSoHCRcmpZ_FMdns/edit#gid=0"",""'Game 10'!$B$2:$Q$31""),30,False),1)"),0.0)</f>
        <v>0</v>
      </c>
      <c r="Q69" s="12">
        <f>IFERROR(__xludf.DUMMYFUNCTION("IFERROR(HLOOKUP($A69,IMPORTRANGE(""https://docs.google.com/spreadsheets/d/1wydNznS0hZhVh3oGSdiCZSsReuqMT7Xaw718ix58zAI/edit#gid=0"",""'Game 9'!$B$2:$Q$31""),30,False),1)"),0.0)</f>
        <v>0</v>
      </c>
      <c r="R69" s="13">
        <f t="shared" si="1"/>
        <v>23</v>
      </c>
    </row>
    <row r="70">
      <c r="A70" s="3" t="s">
        <v>196</v>
      </c>
      <c r="B70" s="3" t="s">
        <v>188</v>
      </c>
      <c r="C70" s="3">
        <v>23.0</v>
      </c>
      <c r="D70" s="3">
        <v>23.0</v>
      </c>
      <c r="E70" s="3">
        <v>23.0</v>
      </c>
      <c r="F70" s="3">
        <v>23.0</v>
      </c>
      <c r="G70" s="3">
        <v>23.0</v>
      </c>
      <c r="H70" s="6">
        <f>IFERROR(__xludf.DUMMYFUNCTION("HLOOKUP($A70,IMPORTRANGE(""https://docs.google.com/spreadsheets/d/19gjAD4NwTXl_QoKUuwHQ1cWG_S2BOW94pDcyFtPwheg/edit#gid=1009263986"",""'Game 10'!$B$2:$Q$31""),30,False)"),23.0)</f>
        <v>23</v>
      </c>
      <c r="I70" s="5">
        <f>IFERROR(__xludf.DUMMYFUNCTION("HLOOKUP($A70,IMPORTRANGE(""https://docs.google.com/spreadsheets/d/1l83w8bH-F1czkFOqsgQy6o8O33Jb4Pfg40W0ou2nk0k/edit#gid=0"",""'Game 12'!$B$2:$Q$31""),30,False)"),23.0)</f>
        <v>23</v>
      </c>
      <c r="J70" s="5">
        <f>IFERROR(__xludf.DUMMYFUNCTION("HLOOKUP($A70,IMPORTRANGE(""https://docs.google.com/spreadsheets/d/15X-ub7GvrCQZ3UGgyogcjwYdxG-Ng8WHxzGSj1Z3eLw/edit#gid=0"",""'Game 11'!$B$2:$Q$31""),30,False)"),23.0)</f>
        <v>23</v>
      </c>
      <c r="K70" s="5">
        <f>IFERROR(__xludf.DUMMYFUNCTION("IFERROR(HLOOKUP($A70,IMPORTRANGE(""https://docs.google.com/spreadsheets/d/194Bw3ABslPPhOOPvVoMzIk8sOQFICWBu2pydWdYMD-w/edit#gid=0"",""'Game 11'!$B$2:$Q$31""),30,False),1)"),23.0)</f>
        <v>23</v>
      </c>
      <c r="L70" s="5">
        <f>IFERROR(__xludf.DUMMYFUNCTION("IFERROR(HLOOKUP($A70,IMPORTRANGE(""https://docs.google.com/spreadsheets/d/1F2Bi6K_I1K9xRxY5qb-bNRo5m-Kw7udpF1OaTHhrxjs/edit#gid=0"",""'Game 12'!$B$2:$Q$31""),30,False),1)"),23.0)</f>
        <v>23</v>
      </c>
      <c r="M70" s="5">
        <f>IFERROR(__xludf.DUMMYFUNCTION("IFERROR(HLOOKUP($A70,IMPORTRANGE(""https://docs.google.com/spreadsheets/d/1NDNgi_Ny4dRhc2A3UMIIkalN-V6EmsvxOfDzMRQlQ40/edit#gid=0"",""'Game 5'!$B$2:$Q$31""),30,False),1)"),23.0)</f>
        <v>23</v>
      </c>
      <c r="N70" s="5">
        <f>IFERROR(__xludf.DUMMYFUNCTION("IFERROR(HLOOKUP($A70,IMPORTRANGE(""https://docs.google.com/spreadsheets/d/1UDYA3-RrkJNLa2ZLH1NnUjKyfCoiSODmgVL_Au_zt-Y/edit#gid=0"",""'Game 11'!$B$2:$Q$31""),30,False),1)"),23.0)</f>
        <v>23</v>
      </c>
      <c r="O70" s="5">
        <f>IFERROR(__xludf.DUMMYFUNCTION("IFERROR(HLOOKUP($A70,IMPORTRANGE(""https://docs.google.com/spreadsheets/d/1fvo6H94Wcffp6c4N9g3JKCW6y2ZlijPxdOsNz7xdBhw/edit#gid=0"",""'Game 11'!$B$2:$Q$31""),30,False),1)"),23.0)</f>
        <v>23</v>
      </c>
      <c r="P70" s="5">
        <f>IFERROR(__xludf.DUMMYFUNCTION("IFERROR(HLOOKUP($A70,IMPORTRANGE(""https://docs.google.com/spreadsheets/d/1wfQePArl-A-5QJe5xAufoOnzeNLVSoHCRcmpZ_FMdns/edit#gid=0"",""'Game 10'!$B$2:$Q$31""),30,False),1)"),23.0)</f>
        <v>23</v>
      </c>
      <c r="Q70" s="5">
        <f>IFERROR(__xludf.DUMMYFUNCTION("IFERROR(HLOOKUP($A70,IMPORTRANGE(""https://docs.google.com/spreadsheets/d/1wydNznS0hZhVh3oGSdiCZSsReuqMT7Xaw718ix58zAI/edit#gid=0"",""'Game 9'!$B$2:$Q$31""),30,False),1)"),23.0)</f>
        <v>23</v>
      </c>
      <c r="R70" s="6">
        <f t="shared" si="1"/>
        <v>345</v>
      </c>
    </row>
    <row r="71">
      <c r="A71" s="2" t="s">
        <v>199</v>
      </c>
      <c r="B71" s="2" t="s">
        <v>200</v>
      </c>
      <c r="C71" s="2">
        <v>23.0</v>
      </c>
      <c r="D71" s="2">
        <v>23.0</v>
      </c>
      <c r="E71" s="2">
        <v>23.0</v>
      </c>
      <c r="F71" s="2">
        <v>23.0</v>
      </c>
      <c r="G71" s="2">
        <v>23.0</v>
      </c>
      <c r="H71" s="13">
        <f>IFERROR(__xludf.DUMMYFUNCTION("HLOOKUP($A71,IMPORTRANGE(""https://docs.google.com/spreadsheets/d/19gjAD4NwTXl_QoKUuwHQ1cWG_S2BOW94pDcyFtPwheg/edit#gid=1009263986"",""'Game 11'!$B$2:$Q$31""),30,False)"),23.0)</f>
        <v>23</v>
      </c>
      <c r="I71" s="12">
        <f>IFERROR(__xludf.DUMMYFUNCTION("HLOOKUP($A71,IMPORTRANGE(""https://docs.google.com/spreadsheets/d/1l83w8bH-F1czkFOqsgQy6o8O33Jb4Pfg40W0ou2nk0k/edit#gid=0"",""'Game 9'!$B$2:$Q$31""),30,False)"),23.0)</f>
        <v>23</v>
      </c>
      <c r="J71" s="12">
        <f>IFERROR(__xludf.DUMMYFUNCTION("HLOOKUP($A71,IMPORTRANGE(""https://docs.google.com/spreadsheets/d/15X-ub7GvrCQZ3UGgyogcjwYdxG-Ng8WHxzGSj1Z3eLw/edit#gid=0"",""'Game 12'!$B$2:$Q$31""),30,False)"),23.0)</f>
        <v>23</v>
      </c>
      <c r="K71" s="12">
        <f>IFERROR(__xludf.DUMMYFUNCTION("IFERROR(HLOOKUP($A71,IMPORTRANGE(""https://docs.google.com/spreadsheets/d/194Bw3ABslPPhOOPvVoMzIk8sOQFICWBu2pydWdYMD-w/edit#gid=0"",""'Game 11'!$B$2:$Q$31""),30,False),1)"),23.0)</f>
        <v>23</v>
      </c>
      <c r="L71" s="12">
        <f>IFERROR(__xludf.DUMMYFUNCTION("IFERROR(HLOOKUP($A71,IMPORTRANGE(""https://docs.google.com/spreadsheets/d/1F2Bi6K_I1K9xRxY5qb-bNRo5m-Kw7udpF1OaTHhrxjs/edit#gid=0"",""'Game 7'!$B$2:$Q$31""),30,False),1)"),23.0)</f>
        <v>23</v>
      </c>
      <c r="M71" s="12">
        <f>IFERROR(__xludf.DUMMYFUNCTION("IFERROR(HLOOKUP($A71,IMPORTRANGE(""https://docs.google.com/spreadsheets/d/1NDNgi_Ny4dRhc2A3UMIIkalN-V6EmsvxOfDzMRQlQ40/edit#gid=0"",""'Game 1'!$B$2:$Q$31""),30,False),1)"),23.0)</f>
        <v>23</v>
      </c>
      <c r="N71" s="12">
        <f>IFERROR(__xludf.DUMMYFUNCTION("IFERROR(HLOOKUP($A71,IMPORTRANGE(""https://docs.google.com/spreadsheets/d/1UDYA3-RrkJNLa2ZLH1NnUjKyfCoiSODmgVL_Au_zt-Y/edit#gid=0"",""'Game 9'!$B$2:$Q$31""),30,False),1)"),23.0)</f>
        <v>23</v>
      </c>
      <c r="O71" s="12">
        <f>IFERROR(__xludf.DUMMYFUNCTION("IFERROR(HLOOKUP($A71,IMPORTRANGE(""https://docs.google.com/spreadsheets/d/1fvo6H94Wcffp6c4N9g3JKCW6y2ZlijPxdOsNz7xdBhw/edit#gid=0"",""'Game 7'!$B$2:$Q$31""),30,False),1)"),23.0)</f>
        <v>23</v>
      </c>
      <c r="P71" s="12">
        <f>IFERROR(__xludf.DUMMYFUNCTION("IFERROR(HLOOKUP($A71,IMPORTRANGE(""https://docs.google.com/spreadsheets/d/1wfQePArl-A-5QJe5xAufoOnzeNLVSoHCRcmpZ_FMdns/edit#gid=0"",""'Game 11'!$B$2:$Q$31""),30,False),1)"),23.0)</f>
        <v>23</v>
      </c>
      <c r="Q71" s="12">
        <f>IFERROR(__xludf.DUMMYFUNCTION("IFERROR(HLOOKUP($A71,IMPORTRANGE(""https://docs.google.com/spreadsheets/d/1wydNznS0hZhVh3oGSdiCZSsReuqMT7Xaw718ix58zAI/edit#gid=0"",""'Game 6'!$B$2:$Q$31""),30,False),1)"),0.0)</f>
        <v>0</v>
      </c>
      <c r="R71" s="13">
        <f t="shared" si="1"/>
        <v>322</v>
      </c>
    </row>
    <row r="72">
      <c r="A72" s="3" t="s">
        <v>202</v>
      </c>
      <c r="B72" s="17" t="s">
        <v>200</v>
      </c>
      <c r="C72" s="3">
        <v>23.0</v>
      </c>
      <c r="D72" s="3">
        <v>23.0</v>
      </c>
      <c r="E72" s="3">
        <v>23.0</v>
      </c>
      <c r="F72" s="3">
        <v>23.0</v>
      </c>
      <c r="G72" s="3">
        <v>23.0</v>
      </c>
      <c r="H72" s="6">
        <f>IFERROR(__xludf.DUMMYFUNCTION("HLOOKUP($A72,IMPORTRANGE(""https://docs.google.com/spreadsheets/d/19gjAD4NwTXl_QoKUuwHQ1cWG_S2BOW94pDcyFtPwheg/edit#gid=1009263986"",""'Game 11'!$B$2:$Q$31""),30,False)"),23.0)</f>
        <v>23</v>
      </c>
      <c r="I72" s="5">
        <f>IFERROR(__xludf.DUMMYFUNCTION("HLOOKUP($A72,IMPORTRANGE(""https://docs.google.com/spreadsheets/d/1l83w8bH-F1czkFOqsgQy6o8O33Jb4Pfg40W0ou2nk0k/edit#gid=0"",""'Game 9'!$B$2:$Q$31""),30,False)"),23.0)</f>
        <v>23</v>
      </c>
      <c r="J72" s="5">
        <f>IFERROR(__xludf.DUMMYFUNCTION("HLOOKUP($A72,IMPORTRANGE(""https://docs.google.com/spreadsheets/d/15X-ub7GvrCQZ3UGgyogcjwYdxG-Ng8WHxzGSj1Z3eLw/edit#gid=0"",""'Game 12'!$B$2:$Q$31""),30,False)"),23.0)</f>
        <v>23</v>
      </c>
      <c r="K72" s="5">
        <f>IFERROR(__xludf.DUMMYFUNCTION("IFERROR(HLOOKUP($A72,IMPORTRANGE(""https://docs.google.com/spreadsheets/d/194Bw3ABslPPhOOPvVoMzIk8sOQFICWBu2pydWdYMD-w/edit#gid=0"",""'Game 11'!$B$2:$Q$31""),30,False),1)"),23.0)</f>
        <v>23</v>
      </c>
      <c r="L72" s="5">
        <f>IFERROR(__xludf.DUMMYFUNCTION("IFERROR(HLOOKUP($A72,IMPORTRANGE(""https://docs.google.com/spreadsheets/d/1F2Bi6K_I1K9xRxY5qb-bNRo5m-Kw7udpF1OaTHhrxjs/edit#gid=0"",""'Game 7'!$B$2:$Q$31""),30,False),1)"),23.0)</f>
        <v>23</v>
      </c>
      <c r="M72" s="5">
        <f>IFERROR(__xludf.DUMMYFUNCTION("IFERROR(HLOOKUP($A72,IMPORTRANGE(""https://docs.google.com/spreadsheets/d/1NDNgi_Ny4dRhc2A3UMIIkalN-V6EmsvxOfDzMRQlQ40/edit#gid=0"",""'Game 1'!$B$2:$Q$31""),30,False),1)"),23.0)</f>
        <v>23</v>
      </c>
      <c r="N72" s="5">
        <f>IFERROR(__xludf.DUMMYFUNCTION("IFERROR(HLOOKUP($A72,IMPORTRANGE(""https://docs.google.com/spreadsheets/d/1UDYA3-RrkJNLa2ZLH1NnUjKyfCoiSODmgVL_Au_zt-Y/edit#gid=0"",""'Game 9'!$B$2:$Q$31""),30,False),1)"),23.0)</f>
        <v>23</v>
      </c>
      <c r="O72" s="5">
        <f>IFERROR(__xludf.DUMMYFUNCTION("IFERROR(HLOOKUP($A72,IMPORTRANGE(""https://docs.google.com/spreadsheets/d/1fvo6H94Wcffp6c4N9g3JKCW6y2ZlijPxdOsNz7xdBhw/edit#gid=0"",""'Game 7'!$B$2:$Q$31""),30,False),1)"),23.0)</f>
        <v>23</v>
      </c>
      <c r="P72" s="5">
        <f>IFERROR(__xludf.DUMMYFUNCTION("IFERROR(HLOOKUP($A72,IMPORTRANGE(""https://docs.google.com/spreadsheets/d/1wfQePArl-A-5QJe5xAufoOnzeNLVSoHCRcmpZ_FMdns/edit#gid=0"",""'Game 11'!$B$2:$Q$31""),30,False),1)"),23.0)</f>
        <v>23</v>
      </c>
      <c r="Q72" s="5">
        <f>IFERROR(__xludf.DUMMYFUNCTION("IFERROR(HLOOKUP($A72,IMPORTRANGE(""https://docs.google.com/spreadsheets/d/1wydNznS0hZhVh3oGSdiCZSsReuqMT7Xaw718ix58zAI/edit#gid=0"",""'Game 6'!$B$2:$Q$31""),30,False),1)"),23.0)</f>
        <v>23</v>
      </c>
      <c r="R72" s="6">
        <f t="shared" si="1"/>
        <v>345</v>
      </c>
    </row>
    <row r="73">
      <c r="A73" s="2" t="s">
        <v>204</v>
      </c>
      <c r="B73" s="10" t="s">
        <v>200</v>
      </c>
      <c r="C73" s="2">
        <v>0.0</v>
      </c>
      <c r="D73" s="2">
        <v>0.0</v>
      </c>
      <c r="E73" s="2">
        <v>0.0</v>
      </c>
      <c r="F73" s="2">
        <v>0.0</v>
      </c>
      <c r="G73" s="2">
        <v>0.0</v>
      </c>
      <c r="H73" s="10">
        <v>23.0</v>
      </c>
      <c r="I73" s="12">
        <f>IFERROR(__xludf.DUMMYFUNCTION("HLOOKUP($A73,IMPORTRANGE(""https://docs.google.com/spreadsheets/d/1l83w8bH-F1czkFOqsgQy6o8O33Jb4Pfg40W0ou2nk0k/edit#gid=0"",""'Game 9'!$B$2:$Q$31""),30,False)"),11.0)</f>
        <v>11</v>
      </c>
      <c r="J73" s="12">
        <f>IFERROR(__xludf.DUMMYFUNCTION("HLOOKUP($A73,IMPORTRANGE(""https://docs.google.com/spreadsheets/d/15X-ub7GvrCQZ3UGgyogcjwYdxG-Ng8WHxzGSj1Z3eLw/edit#gid=0"",""'Game 12'!$B$2:$Q$31""),30,False)"),23.0)</f>
        <v>23</v>
      </c>
      <c r="K73" s="12">
        <f>IFERROR(__xludf.DUMMYFUNCTION("IFERROR(HLOOKUP($A73,IMPORTRANGE(""https://docs.google.com/spreadsheets/d/194Bw3ABslPPhOOPvVoMzIk8sOQFICWBu2pydWdYMD-w/edit#gid=0"",""'Game 11'!$B$2:$Q$31""),30,False),1)"),0.0)</f>
        <v>0</v>
      </c>
      <c r="L73" s="12">
        <f>IFERROR(__xludf.DUMMYFUNCTION("IFERROR(HLOOKUP($A73,IMPORTRANGE(""https://docs.google.com/spreadsheets/d/1F2Bi6K_I1K9xRxY5qb-bNRo5m-Kw7udpF1OaTHhrxjs/edit#gid=0"",""'Game 7'!$B$2:$Q$31""),30,False),1)"),0.0)</f>
        <v>0</v>
      </c>
      <c r="M73" s="12">
        <f>IFERROR(__xludf.DUMMYFUNCTION("IFERROR(HLOOKUP($A73,IMPORTRANGE(""https://docs.google.com/spreadsheets/d/1NDNgi_Ny4dRhc2A3UMIIkalN-V6EmsvxOfDzMRQlQ40/edit#gid=0"",""'Game 1'!$B$2:$Q$31""),30,False),1)"),18.0)</f>
        <v>18</v>
      </c>
      <c r="N73" s="12">
        <f>IFERROR(__xludf.DUMMYFUNCTION("IFERROR(HLOOKUP($A73,IMPORTRANGE(""https://docs.google.com/spreadsheets/d/1UDYA3-RrkJNLa2ZLH1NnUjKyfCoiSODmgVL_Au_zt-Y/edit#gid=0"",""'Game 9'!$B$2:$Q$31""),30,False),1)"),0.0)</f>
        <v>0</v>
      </c>
      <c r="O73" s="12">
        <f>IFERROR(__xludf.DUMMYFUNCTION("IFERROR(HLOOKUP($A73,IMPORTRANGE(""https://docs.google.com/spreadsheets/d/1fvo6H94Wcffp6c4N9g3JKCW6y2ZlijPxdOsNz7xdBhw/edit#gid=0"",""'Game 7'!$B$2:$Q$31""),30,False),1)"),0.0)</f>
        <v>0</v>
      </c>
      <c r="P73" s="12">
        <f>IFERROR(__xludf.DUMMYFUNCTION("IFERROR(HLOOKUP($A73,IMPORTRANGE(""https://docs.google.com/spreadsheets/d/1wfQePArl-A-5QJe5xAufoOnzeNLVSoHCRcmpZ_FMdns/edit#gid=0"",""'Game 11'!$B$2:$Q$31""),30,False),1)"),23.0)</f>
        <v>23</v>
      </c>
      <c r="Q73" s="12">
        <f>IFERROR(__xludf.DUMMYFUNCTION("IFERROR(HLOOKUP($A73,IMPORTRANGE(""https://docs.google.com/spreadsheets/d/1wydNznS0hZhVh3oGSdiCZSsReuqMT7Xaw718ix58zAI/edit#gid=0"",""'Game 6'!$B$2:$Q$31""),30,False),1)"),0.0)</f>
        <v>0</v>
      </c>
      <c r="R73" s="13">
        <f t="shared" si="1"/>
        <v>98</v>
      </c>
    </row>
    <row r="74">
      <c r="A74" s="18" t="s">
        <v>205</v>
      </c>
      <c r="B74" s="6" t="s">
        <v>200</v>
      </c>
      <c r="C74" s="18">
        <v>23.0</v>
      </c>
      <c r="D74" s="18">
        <v>23.0</v>
      </c>
      <c r="E74" s="18">
        <v>23.0</v>
      </c>
      <c r="F74" s="18">
        <v>0.0</v>
      </c>
      <c r="G74" s="18">
        <v>0.0</v>
      </c>
      <c r="H74" s="6">
        <v>0.0</v>
      </c>
      <c r="I74" s="5">
        <f>IFERROR(__xludf.DUMMYFUNCTION("HLOOKUP($A74,IMPORTRANGE(""https://docs.google.com/spreadsheets/d/1l83w8bH-F1czkFOqsgQy6o8O33Jb4Pfg40W0ou2nk0k/edit#gid=0"",""'Game 9'!$B$2:$Q$31""),30,False)"),0.0)</f>
        <v>0</v>
      </c>
      <c r="J74" s="5">
        <f>IFERROR(__xludf.DUMMYFUNCTION("HLOOKUP($A74,IMPORTRANGE(""https://docs.google.com/spreadsheets/d/15X-ub7GvrCQZ3UGgyogcjwYdxG-Ng8WHxzGSj1Z3eLw/edit#gid=0"",""'Game 12'!$B$2:$Q$31""),30,False)"),0.0)</f>
        <v>0</v>
      </c>
      <c r="K74" s="5">
        <f>IFERROR(__xludf.DUMMYFUNCTION("IFERROR(HLOOKUP($A74,IMPORTRANGE(""https://docs.google.com/spreadsheets/d/194Bw3ABslPPhOOPvVoMzIk8sOQFICWBu2pydWdYMD-w/edit#gid=0"",""'Game 11'!$B$2:$Q$31""),30,False),1)"),0.0)</f>
        <v>0</v>
      </c>
      <c r="L74" s="5">
        <f>IFERROR(__xludf.DUMMYFUNCTION("IFERROR(HLOOKUP($A74,IMPORTRANGE(""https://docs.google.com/spreadsheets/d/1F2Bi6K_I1K9xRxY5qb-bNRo5m-Kw7udpF1OaTHhrxjs/edit#gid=0"",""'Game 7'!$B$2:$Q$31""),30,False),1)"),0.0)</f>
        <v>0</v>
      </c>
      <c r="M74" s="5">
        <f>IFERROR(__xludf.DUMMYFUNCTION("IFERROR(HLOOKUP($A74,IMPORTRANGE(""https://docs.google.com/spreadsheets/d/1NDNgi_Ny4dRhc2A3UMIIkalN-V6EmsvxOfDzMRQlQ40/edit#gid=0"",""'Game 1'!$B$2:$Q$31""),30,False),1)"),0.0)</f>
        <v>0</v>
      </c>
      <c r="N74" s="5">
        <f>IFERROR(__xludf.DUMMYFUNCTION("IFERROR(HLOOKUP($A74,IMPORTRANGE(""https://docs.google.com/spreadsheets/d/1UDYA3-RrkJNLa2ZLH1NnUjKyfCoiSODmgVL_Au_zt-Y/edit#gid=0"",""'Game 9'!$B$2:$Q$31""),30,False),1)"),0.0)</f>
        <v>0</v>
      </c>
      <c r="O74" s="5">
        <f>IFERROR(__xludf.DUMMYFUNCTION("IFERROR(HLOOKUP($A74,IMPORTRANGE(""https://docs.google.com/spreadsheets/d/1fvo6H94Wcffp6c4N9g3JKCW6y2ZlijPxdOsNz7xdBhw/edit#gid=0"",""'Game 7'!$B$2:$Q$31""),30,False),1)"),0.0)</f>
        <v>0</v>
      </c>
      <c r="P74" s="5">
        <f>IFERROR(__xludf.DUMMYFUNCTION("IFERROR(HLOOKUP($A74,IMPORTRANGE(""https://docs.google.com/spreadsheets/d/1wfQePArl-A-5QJe5xAufoOnzeNLVSoHCRcmpZ_FMdns/edit#gid=0"",""'Game 11'!$B$2:$Q$31""),30,False),1)"),0.0)</f>
        <v>0</v>
      </c>
      <c r="Q74" s="5">
        <f>IFERROR(__xludf.DUMMYFUNCTION("IFERROR(HLOOKUP($A74,IMPORTRANGE(""https://docs.google.com/spreadsheets/d/1wydNznS0hZhVh3oGSdiCZSsReuqMT7Xaw718ix58zAI/edit#gid=0"",""'Game 6'!$B$2:$Q$31""),30,False),1)"),0.0)</f>
        <v>0</v>
      </c>
      <c r="R74" s="6">
        <f t="shared" si="1"/>
        <v>69</v>
      </c>
    </row>
    <row r="75">
      <c r="A75" s="20" t="s">
        <v>207</v>
      </c>
      <c r="B75" s="13" t="s">
        <v>200</v>
      </c>
      <c r="C75" s="20">
        <v>23.0</v>
      </c>
      <c r="D75" s="20">
        <v>23.0</v>
      </c>
      <c r="E75" s="20">
        <v>23.0</v>
      </c>
      <c r="F75" s="20">
        <v>23.0</v>
      </c>
      <c r="G75" s="20">
        <v>23.0</v>
      </c>
      <c r="H75" s="13">
        <v>23.0</v>
      </c>
      <c r="I75" s="12">
        <f>IFERROR(__xludf.DUMMYFUNCTION("HLOOKUP($A75,IMPORTRANGE(""https://docs.google.com/spreadsheets/d/1l83w8bH-F1czkFOqsgQy6o8O33Jb4Pfg40W0ou2nk0k/edit#gid=0"",""'Game 9'!$B$2:$Q$31""),30,False)"),23.0)</f>
        <v>23</v>
      </c>
      <c r="J75" s="12">
        <f>IFERROR(__xludf.DUMMYFUNCTION("HLOOKUP($A75,IMPORTRANGE(""https://docs.google.com/spreadsheets/d/15X-ub7GvrCQZ3UGgyogcjwYdxG-Ng8WHxzGSj1Z3eLw/edit#gid=0"",""'Game 12'!$B$2:$Q$31""),30,False)"),23.0)</f>
        <v>23</v>
      </c>
      <c r="K75" s="12">
        <f>IFERROR(__xludf.DUMMYFUNCTION("IFERROR(HLOOKUP($A75,IMPORTRANGE(""https://docs.google.com/spreadsheets/d/194Bw3ABslPPhOOPvVoMzIk8sOQFICWBu2pydWdYMD-w/edit#gid=0"",""'Game 11'!$B$2:$Q$31""),30,False),1)"),23.0)</f>
        <v>23</v>
      </c>
      <c r="L75" s="12">
        <f>IFERROR(__xludf.DUMMYFUNCTION("IFERROR(HLOOKUP($A75,IMPORTRANGE(""https://docs.google.com/spreadsheets/d/1F2Bi6K_I1K9xRxY5qb-bNRo5m-Kw7udpF1OaTHhrxjs/edit#gid=0"",""'Game 7'!$B$2:$Q$31""),30,False),1)"),23.0)</f>
        <v>23</v>
      </c>
      <c r="M75" s="12">
        <f>IFERROR(__xludf.DUMMYFUNCTION("IFERROR(HLOOKUP($A75,IMPORTRANGE(""https://docs.google.com/spreadsheets/d/1NDNgi_Ny4dRhc2A3UMIIkalN-V6EmsvxOfDzMRQlQ40/edit#gid=0"",""'Game 1'!$B$2:$Q$31""),30,False),1)"),23.0)</f>
        <v>23</v>
      </c>
      <c r="N75" s="12">
        <f>IFERROR(__xludf.DUMMYFUNCTION("IFERROR(HLOOKUP($A75,IMPORTRANGE(""https://docs.google.com/spreadsheets/d/1UDYA3-RrkJNLa2ZLH1NnUjKyfCoiSODmgVL_Au_zt-Y/edit#gid=0"",""'Game 9'!$B$2:$Q$31""),30,False),1)"),23.0)</f>
        <v>23</v>
      </c>
      <c r="O75" s="12">
        <f>IFERROR(__xludf.DUMMYFUNCTION("IFERROR(HLOOKUP($A75,IMPORTRANGE(""https://docs.google.com/spreadsheets/d/1fvo6H94Wcffp6c4N9g3JKCW6y2ZlijPxdOsNz7xdBhw/edit#gid=0"",""'Game 7'!$B$2:$Q$31""),30,False),1)"),23.0)</f>
        <v>23</v>
      </c>
      <c r="P75" s="12">
        <f>IFERROR(__xludf.DUMMYFUNCTION("IFERROR(HLOOKUP($A75,IMPORTRANGE(""https://docs.google.com/spreadsheets/d/1wfQePArl-A-5QJe5xAufoOnzeNLVSoHCRcmpZ_FMdns/edit#gid=0"",""'Game 11'!$B$2:$Q$31""),30,False),1)"),23.0)</f>
        <v>23</v>
      </c>
      <c r="Q75" s="12">
        <f>IFERROR(__xludf.DUMMYFUNCTION("IFERROR(HLOOKUP($A75,IMPORTRANGE(""https://docs.google.com/spreadsheets/d/1wydNznS0hZhVh3oGSdiCZSsReuqMT7Xaw718ix58zAI/edit#gid=0"",""'Game 6'!$B$2:$Q$31""),30,False),1)"),23.0)</f>
        <v>23</v>
      </c>
      <c r="R75" s="13">
        <f t="shared" si="1"/>
        <v>345</v>
      </c>
    </row>
    <row r="76">
      <c r="A76" s="18" t="s">
        <v>209</v>
      </c>
      <c r="B76" s="6" t="s">
        <v>210</v>
      </c>
      <c r="C76" s="18">
        <v>11.0</v>
      </c>
      <c r="D76" s="18">
        <v>0.0</v>
      </c>
      <c r="E76" s="18">
        <v>12.0</v>
      </c>
      <c r="F76" s="18">
        <v>0.0</v>
      </c>
      <c r="G76" s="18">
        <v>23.0</v>
      </c>
      <c r="H76" s="6">
        <v>0.0</v>
      </c>
      <c r="I76" s="5">
        <f>IFERROR(__xludf.DUMMYFUNCTION("HLOOKUP($A76,IMPORTRANGE(""https://docs.google.com/spreadsheets/d/1l83w8bH-F1czkFOqsgQy6o8O33Jb4Pfg40W0ou2nk0k/edit#gid=0"",""'Game 6'!$B$2:$Q$31""),30,False)"),23.0)</f>
        <v>23</v>
      </c>
      <c r="J76" s="5">
        <f>IFERROR(__xludf.DUMMYFUNCTION("HLOOKUP($A76,IMPORTRANGE(""https://docs.google.com/spreadsheets/d/15X-ub7GvrCQZ3UGgyogcjwYdxG-Ng8WHxzGSj1Z3eLw/edit#gid=0"",""'Game 7'!$B$2:$Q$31""),30,False)"),0.0)</f>
        <v>0</v>
      </c>
      <c r="K76" s="5">
        <f>IFERROR(__xludf.DUMMYFUNCTION("IFERROR(HLOOKUP($A76,IMPORTRANGE(""https://docs.google.com/spreadsheets/d/194Bw3ABslPPhOOPvVoMzIk8sOQFICWBu2pydWdYMD-w/edit#gid=0"",""'Game 8'!$B$2:$Q$31""),30,False),1)"),23.0)</f>
        <v>23</v>
      </c>
      <c r="L76" s="5">
        <f>IFERROR(__xludf.DUMMYFUNCTION("IFERROR(HLOOKUP($A76,IMPORTRANGE(""https://docs.google.com/spreadsheets/d/1F2Bi6K_I1K9xRxY5qb-bNRo5m-Kw7udpF1OaTHhrxjs/edit#gid=0"",""'Game 7'!$B$2:$Q$31""),30,False),1)"),23.0)</f>
        <v>23</v>
      </c>
      <c r="M76" s="5">
        <f>IFERROR(__xludf.DUMMYFUNCTION("IFERROR(HLOOKUP($A76,IMPORTRANGE(""https://docs.google.com/spreadsheets/d/1NDNgi_Ny4dRhc2A3UMIIkalN-V6EmsvxOfDzMRQlQ40/edit#gid=0"",""'Game 7'!$B$2:$Q$31""),30,False),1)"),0.0)</f>
        <v>0</v>
      </c>
      <c r="N76" s="5">
        <f>IFERROR(__xludf.DUMMYFUNCTION("IFERROR(HLOOKUP($A76,IMPORTRANGE(""https://docs.google.com/spreadsheets/d/1UDYA3-RrkJNLa2ZLH1NnUjKyfCoiSODmgVL_Au_zt-Y/edit#gid=0"",""'Game 3'!$B$2:$Q$31""),30,False),1)"),23.0)</f>
        <v>23</v>
      </c>
      <c r="O76" s="5">
        <f>IFERROR(__xludf.DUMMYFUNCTION("IFERROR(HLOOKUP($A76,IMPORTRANGE(""https://docs.google.com/spreadsheets/d/1fvo6H94Wcffp6c4N9g3JKCW6y2ZlijPxdOsNz7xdBhw/edit#gid=0"",""'Game 3'!$B$2:$Q$31""),30,False),1)"),23.0)</f>
        <v>23</v>
      </c>
      <c r="P76" s="5">
        <f>IFERROR(__xludf.DUMMYFUNCTION("IFERROR(HLOOKUP($A76,IMPORTRANGE(""https://docs.google.com/spreadsheets/d/1wfQePArl-A-5QJe5xAufoOnzeNLVSoHCRcmpZ_FMdns/edit#gid=0"",""'Game 7'!$B$2:$Q$31""),30,False),1)"),17.0)</f>
        <v>17</v>
      </c>
      <c r="Q76" s="5">
        <f>IFERROR(__xludf.DUMMYFUNCTION("IFERROR(HLOOKUP($A76,IMPORTRANGE(""https://docs.google.com/spreadsheets/d/1wydNznS0hZhVh3oGSdiCZSsReuqMT7Xaw718ix58zAI/edit#gid=0"",""'Game 1'!$B$2:$Q$31""),30,False),1)"),0.0)</f>
        <v>0</v>
      </c>
      <c r="R76" s="6">
        <f t="shared" si="1"/>
        <v>178</v>
      </c>
    </row>
    <row r="77">
      <c r="A77" s="20" t="s">
        <v>214</v>
      </c>
      <c r="B77" s="13" t="s">
        <v>210</v>
      </c>
      <c r="C77" s="20">
        <v>12.0</v>
      </c>
      <c r="D77" s="20">
        <v>0.0</v>
      </c>
      <c r="E77" s="20">
        <v>11.0</v>
      </c>
      <c r="F77" s="20">
        <v>23.0</v>
      </c>
      <c r="G77" s="20">
        <v>0.0</v>
      </c>
      <c r="H77" s="13">
        <v>23.0</v>
      </c>
      <c r="I77" s="12">
        <f>IFERROR(__xludf.DUMMYFUNCTION("HLOOKUP($A77,IMPORTRANGE(""https://docs.google.com/spreadsheets/d/1l83w8bH-F1czkFOqsgQy6o8O33Jb4Pfg40W0ou2nk0k/edit#gid=0"",""'Game 6'!$B$2:$Q$31""),30,False)"),0.0)</f>
        <v>0</v>
      </c>
      <c r="J77" s="12">
        <f>IFERROR(__xludf.DUMMYFUNCTION("HLOOKUP($A77,IMPORTRANGE(""https://docs.google.com/spreadsheets/d/15X-ub7GvrCQZ3UGgyogcjwYdxG-Ng8WHxzGSj1Z3eLw/edit#gid=0"",""'Game 7'!$B$2:$Q$31""),30,False)"),23.0)</f>
        <v>23</v>
      </c>
      <c r="K77" s="12">
        <f>IFERROR(__xludf.DUMMYFUNCTION("IFERROR(HLOOKUP($A77,IMPORTRANGE(""https://docs.google.com/spreadsheets/d/194Bw3ABslPPhOOPvVoMzIk8sOQFICWBu2pydWdYMD-w/edit#gid=0"",""'Game 8'!$B$2:$Q$31""),30,False),1)"),23.0)</f>
        <v>23</v>
      </c>
      <c r="L77" s="12">
        <f>IFERROR(__xludf.DUMMYFUNCTION("IFERROR(HLOOKUP($A77,IMPORTRANGE(""https://docs.google.com/spreadsheets/d/1F2Bi6K_I1K9xRxY5qb-bNRo5m-Kw7udpF1OaTHhrxjs/edit#gid=0"",""'Game 7'!$B$2:$Q$31""),30,False),1)"),23.0)</f>
        <v>23</v>
      </c>
      <c r="M77" s="12">
        <f>IFERROR(__xludf.DUMMYFUNCTION("IFERROR(HLOOKUP($A77,IMPORTRANGE(""https://docs.google.com/spreadsheets/d/1NDNgi_Ny4dRhc2A3UMIIkalN-V6EmsvxOfDzMRQlQ40/edit#gid=0"",""'Game 7'!$B$2:$Q$31""),30,False),1)"),23.0)</f>
        <v>23</v>
      </c>
      <c r="N77" s="12">
        <f>IFERROR(__xludf.DUMMYFUNCTION("IFERROR(HLOOKUP($A77,IMPORTRANGE(""https://docs.google.com/spreadsheets/d/1UDYA3-RrkJNLa2ZLH1NnUjKyfCoiSODmgVL_Au_zt-Y/edit#gid=0"",""'Game 3'!$B$2:$Q$31""),30,False),1)"),0.0)</f>
        <v>0</v>
      </c>
      <c r="O77" s="12">
        <f>IFERROR(__xludf.DUMMYFUNCTION("IFERROR(HLOOKUP($A77,IMPORTRANGE(""https://docs.google.com/spreadsheets/d/1fvo6H94Wcffp6c4N9g3JKCW6y2ZlijPxdOsNz7xdBhw/edit#gid=0"",""'Game 3'!$B$2:$Q$31""),30,False),1)"),0.0)</f>
        <v>0</v>
      </c>
      <c r="P77" s="12">
        <f>IFERROR(__xludf.DUMMYFUNCTION("IFERROR(HLOOKUP($A77,IMPORTRANGE(""https://docs.google.com/spreadsheets/d/1wfQePArl-A-5QJe5xAufoOnzeNLVSoHCRcmpZ_FMdns/edit#gid=0"",""'Game 7'!$B$2:$Q$31""),30,False),1)"),0.0)</f>
        <v>0</v>
      </c>
      <c r="Q77" s="12">
        <f>IFERROR(__xludf.DUMMYFUNCTION("IFERROR(HLOOKUP($A77,IMPORTRANGE(""https://docs.google.com/spreadsheets/d/1wydNznS0hZhVh3oGSdiCZSsReuqMT7Xaw718ix58zAI/edit#gid=0"",""'Game 1'!$B$2:$Q$31""),30,False),1)"),23.0)</f>
        <v>23</v>
      </c>
      <c r="R77" s="13">
        <f t="shared" si="1"/>
        <v>184</v>
      </c>
    </row>
    <row r="78">
      <c r="A78" s="6" t="s">
        <v>216</v>
      </c>
      <c r="B78" s="6" t="s">
        <v>210</v>
      </c>
      <c r="C78" s="6">
        <v>23.0</v>
      </c>
      <c r="D78" s="18">
        <v>23.0</v>
      </c>
      <c r="E78" s="18">
        <v>23.0</v>
      </c>
      <c r="F78" s="18">
        <v>23.0</v>
      </c>
      <c r="G78" s="18">
        <v>23.0</v>
      </c>
      <c r="H78" s="6">
        <v>23.0</v>
      </c>
      <c r="I78" s="5">
        <f>IFERROR(__xludf.DUMMYFUNCTION("HLOOKUP($A78,IMPORTRANGE(""https://docs.google.com/spreadsheets/d/1l83w8bH-F1czkFOqsgQy6o8O33Jb4Pfg40W0ou2nk0k/edit#gid=0"",""'Game 6'!$B$2:$Q$31""),30,False)"),0.0)</f>
        <v>0</v>
      </c>
      <c r="J78" s="5">
        <f>IFERROR(__xludf.DUMMYFUNCTION("HLOOKUP($A78,IMPORTRANGE(""https://docs.google.com/spreadsheets/d/15X-ub7GvrCQZ3UGgyogcjwYdxG-Ng8WHxzGSj1Z3eLw/edit#gid=0"",""'Game 7'!$B$2:$Q$31""),30,False)"),23.0)</f>
        <v>23</v>
      </c>
      <c r="K78" s="5">
        <f>IFERROR(__xludf.DUMMYFUNCTION("IFERROR(HLOOKUP($A78,IMPORTRANGE(""https://docs.google.com/spreadsheets/d/194Bw3ABslPPhOOPvVoMzIk8sOQFICWBu2pydWdYMD-w/edit#gid=0"",""'Game 8'!$B$2:$Q$31""),30,False),1)"),11.0)</f>
        <v>11</v>
      </c>
      <c r="L78" s="5">
        <f>IFERROR(__xludf.DUMMYFUNCTION("IFERROR(HLOOKUP($A78,IMPORTRANGE(""https://docs.google.com/spreadsheets/d/1F2Bi6K_I1K9xRxY5qb-bNRo5m-Kw7udpF1OaTHhrxjs/edit#gid=0"",""'Game 7'!$B$2:$Q$31""),30,False),1)"),23.0)</f>
        <v>23</v>
      </c>
      <c r="M78" s="5">
        <f>IFERROR(__xludf.DUMMYFUNCTION("IFERROR(HLOOKUP($A78,IMPORTRANGE(""https://docs.google.com/spreadsheets/d/1NDNgi_Ny4dRhc2A3UMIIkalN-V6EmsvxOfDzMRQlQ40/edit#gid=0"",""'Game 7'!$B$2:$Q$31""),30,False),1)"),23.0)</f>
        <v>23</v>
      </c>
      <c r="N78" s="5">
        <f>IFERROR(__xludf.DUMMYFUNCTION("IFERROR(HLOOKUP($A78,IMPORTRANGE(""https://docs.google.com/spreadsheets/d/1UDYA3-RrkJNLa2ZLH1NnUjKyfCoiSODmgVL_Au_zt-Y/edit#gid=0"",""'Game 3'!$B$2:$Q$31""),30,False),1)"),23.0)</f>
        <v>23</v>
      </c>
      <c r="O78" s="5">
        <f>IFERROR(__xludf.DUMMYFUNCTION("IFERROR(HLOOKUP($A78,IMPORTRANGE(""https://docs.google.com/spreadsheets/d/1fvo6H94Wcffp6c4N9g3JKCW6y2ZlijPxdOsNz7xdBhw/edit#gid=0"",""'Game 3'!$B$2:$Q$31""),30,False),1)"),23.0)</f>
        <v>23</v>
      </c>
      <c r="P78" s="5">
        <f>IFERROR(__xludf.DUMMYFUNCTION("IFERROR(HLOOKUP($A78,IMPORTRANGE(""https://docs.google.com/spreadsheets/d/1wfQePArl-A-5QJe5xAufoOnzeNLVSoHCRcmpZ_FMdns/edit#gid=0"",""'Game 7'!$B$2:$Q$31""),30,False),1)"),23.0)</f>
        <v>23</v>
      </c>
      <c r="Q78" s="5">
        <f>IFERROR(__xludf.DUMMYFUNCTION("IFERROR(HLOOKUP($A78,IMPORTRANGE(""https://docs.google.com/spreadsheets/d/1wydNznS0hZhVh3oGSdiCZSsReuqMT7Xaw718ix58zAI/edit#gid=0"",""'Game 1'!$B$2:$Q$31""),30,False),1)"),23.0)</f>
        <v>23</v>
      </c>
      <c r="R78" s="6">
        <f t="shared" si="1"/>
        <v>310</v>
      </c>
    </row>
    <row r="79">
      <c r="A79" s="20" t="s">
        <v>218</v>
      </c>
      <c r="B79" s="13" t="s">
        <v>210</v>
      </c>
      <c r="C79" s="20">
        <v>23.0</v>
      </c>
      <c r="D79" s="20">
        <v>23.0</v>
      </c>
      <c r="E79" s="20">
        <v>23.0</v>
      </c>
      <c r="F79" s="20">
        <v>23.0</v>
      </c>
      <c r="G79" s="20">
        <v>23.0</v>
      </c>
      <c r="H79" s="13">
        <v>23.0</v>
      </c>
      <c r="I79" s="12">
        <f>IFERROR(__xludf.DUMMYFUNCTION("HLOOKUP($A79,IMPORTRANGE(""https://docs.google.com/spreadsheets/d/1l83w8bH-F1czkFOqsgQy6o8O33Jb4Pfg40W0ou2nk0k/edit#gid=0"",""'Game 6'!$B$2:$Q$31""),30,False)"),23.0)</f>
        <v>23</v>
      </c>
      <c r="J79" s="12">
        <f>IFERROR(__xludf.DUMMYFUNCTION("HLOOKUP($A79,IMPORTRANGE(""https://docs.google.com/spreadsheets/d/15X-ub7GvrCQZ3UGgyogcjwYdxG-Ng8WHxzGSj1Z3eLw/edit#gid=0"",""'Game 7'!$B$2:$Q$31""),30,False)"),23.0)</f>
        <v>23</v>
      </c>
      <c r="K79" s="12">
        <f>IFERROR(__xludf.DUMMYFUNCTION("IFERROR(HLOOKUP($A79,IMPORTRANGE(""https://docs.google.com/spreadsheets/d/194Bw3ABslPPhOOPvVoMzIk8sOQFICWBu2pydWdYMD-w/edit#gid=0"",""'Game 8'!$B$2:$Q$31""),30,False),1)"),23.0)</f>
        <v>23</v>
      </c>
      <c r="L79" s="12">
        <f>IFERROR(__xludf.DUMMYFUNCTION("IFERROR(HLOOKUP($A79,IMPORTRANGE(""https://docs.google.com/spreadsheets/d/1F2Bi6K_I1K9xRxY5qb-bNRo5m-Kw7udpF1OaTHhrxjs/edit#gid=0"",""'Game 7'!$B$2:$Q$31""),30,False),1)"),23.0)</f>
        <v>23</v>
      </c>
      <c r="M79" s="12">
        <f>IFERROR(__xludf.DUMMYFUNCTION("IFERROR(HLOOKUP($A79,IMPORTRANGE(""https://docs.google.com/spreadsheets/d/1NDNgi_Ny4dRhc2A3UMIIkalN-V6EmsvxOfDzMRQlQ40/edit#gid=0"",""'Game 7'!$B$2:$Q$31""),30,False),1)"),23.0)</f>
        <v>23</v>
      </c>
      <c r="N79" s="12">
        <f>IFERROR(__xludf.DUMMYFUNCTION("IFERROR(HLOOKUP($A79,IMPORTRANGE(""https://docs.google.com/spreadsheets/d/1UDYA3-RrkJNLa2ZLH1NnUjKyfCoiSODmgVL_Au_zt-Y/edit#gid=0"",""'Game 3'!$B$2:$Q$31""),30,False),1)"),23.0)</f>
        <v>23</v>
      </c>
      <c r="O79" s="12">
        <f>IFERROR(__xludf.DUMMYFUNCTION("IFERROR(HLOOKUP($A79,IMPORTRANGE(""https://docs.google.com/spreadsheets/d/1fvo6H94Wcffp6c4N9g3JKCW6y2ZlijPxdOsNz7xdBhw/edit#gid=0"",""'Game 3'!$B$2:$Q$31""),30,False),1)"),23.0)</f>
        <v>23</v>
      </c>
      <c r="P79" s="12">
        <f>IFERROR(__xludf.DUMMYFUNCTION("IFERROR(HLOOKUP($A79,IMPORTRANGE(""https://docs.google.com/spreadsheets/d/1wfQePArl-A-5QJe5xAufoOnzeNLVSoHCRcmpZ_FMdns/edit#gid=0"",""'Game 7'!$B$2:$Q$31""),30,False),1)"),23.0)</f>
        <v>23</v>
      </c>
      <c r="Q79" s="12">
        <f>IFERROR(__xludf.DUMMYFUNCTION("IFERROR(HLOOKUP($A79,IMPORTRANGE(""https://docs.google.com/spreadsheets/d/1wydNznS0hZhVh3oGSdiCZSsReuqMT7Xaw718ix58zAI/edit#gid=0"",""'Game 1'!$B$2:$Q$31""),30,False),1)"),23.0)</f>
        <v>23</v>
      </c>
      <c r="R79" s="13">
        <f t="shared" si="1"/>
        <v>345</v>
      </c>
    </row>
    <row r="80">
      <c r="A80" s="18" t="s">
        <v>220</v>
      </c>
      <c r="B80" s="18" t="s">
        <v>210</v>
      </c>
      <c r="C80" s="18">
        <v>23.0</v>
      </c>
      <c r="D80" s="18">
        <v>23.0</v>
      </c>
      <c r="E80" s="18">
        <v>23.0</v>
      </c>
      <c r="F80" s="18">
        <v>23.0</v>
      </c>
      <c r="G80" s="18">
        <v>23.0</v>
      </c>
      <c r="H80" s="6">
        <v>23.0</v>
      </c>
      <c r="I80" s="5">
        <f>IFERROR(__xludf.DUMMYFUNCTION("HLOOKUP($A80,IMPORTRANGE(""https://docs.google.com/spreadsheets/d/1l83w8bH-F1czkFOqsgQy6o8O33Jb4Pfg40W0ou2nk0k/edit#gid=0"",""'Game 6'!$B$2:$Q$31""),30,False)"),23.0)</f>
        <v>23</v>
      </c>
      <c r="J80" s="5">
        <f>IFERROR(__xludf.DUMMYFUNCTION("HLOOKUP($A80,IMPORTRANGE(""https://docs.google.com/spreadsheets/d/15X-ub7GvrCQZ3UGgyogcjwYdxG-Ng8WHxzGSj1Z3eLw/edit#gid=0"",""'Game 7'!$B$2:$Q$31""),30,False)"),23.0)</f>
        <v>23</v>
      </c>
      <c r="K80" s="5">
        <f>IFERROR(__xludf.DUMMYFUNCTION("IFERROR(HLOOKUP($A80,IMPORTRANGE(""https://docs.google.com/spreadsheets/d/194Bw3ABslPPhOOPvVoMzIk8sOQFICWBu2pydWdYMD-w/edit#gid=0"",""'Game 8'!$B$2:$Q$31""),30,False),1)"),0.0)</f>
        <v>0</v>
      </c>
      <c r="L80" s="5">
        <f>IFERROR(__xludf.DUMMYFUNCTION("IFERROR(HLOOKUP($A80,IMPORTRANGE(""https://docs.google.com/spreadsheets/d/1F2Bi6K_I1K9xRxY5qb-bNRo5m-Kw7udpF1OaTHhrxjs/edit#gid=0"",""'Game 7'!$B$2:$Q$31""),30,False),1)"),0.0)</f>
        <v>0</v>
      </c>
      <c r="M80" s="5">
        <f>IFERROR(__xludf.DUMMYFUNCTION("IFERROR(HLOOKUP($A80,IMPORTRANGE(""https://docs.google.com/spreadsheets/d/1NDNgi_Ny4dRhc2A3UMIIkalN-V6EmsvxOfDzMRQlQ40/edit#gid=0"",""'Game 7'!$B$2:$Q$31""),30,False),1)"),23.0)</f>
        <v>23</v>
      </c>
      <c r="N80" s="5">
        <f>IFERROR(__xludf.DUMMYFUNCTION("IFERROR(HLOOKUP($A80,IMPORTRANGE(""https://docs.google.com/spreadsheets/d/1UDYA3-RrkJNLa2ZLH1NnUjKyfCoiSODmgVL_Au_zt-Y/edit#gid=0"",""'Game 3'!$B$2:$Q$31""),30,False),1)"),23.0)</f>
        <v>23</v>
      </c>
      <c r="O80" s="5">
        <f>IFERROR(__xludf.DUMMYFUNCTION("IFERROR(HLOOKUP($A80,IMPORTRANGE(""https://docs.google.com/spreadsheets/d/1fvo6H94Wcffp6c4N9g3JKCW6y2ZlijPxdOsNz7xdBhw/edit#gid=0"",""'Game 3'!$B$2:$Q$31""),30,False),1)"),23.0)</f>
        <v>23</v>
      </c>
      <c r="P80" s="5">
        <f>IFERROR(__xludf.DUMMYFUNCTION("IFERROR(HLOOKUP($A80,IMPORTRANGE(""https://docs.google.com/spreadsheets/d/1wfQePArl-A-5QJe5xAufoOnzeNLVSoHCRcmpZ_FMdns/edit#gid=0"",""'Game 7'!$B$2:$Q$31""),30,False),1)"),0.0)</f>
        <v>0</v>
      </c>
      <c r="Q80" s="5">
        <f>IFERROR(__xludf.DUMMYFUNCTION("IFERROR(HLOOKUP($A80,IMPORTRANGE(""https://docs.google.com/spreadsheets/d/1wydNznS0hZhVh3oGSdiCZSsReuqMT7Xaw718ix58zAI/edit#gid=0"",""'Game 1'!$B$2:$Q$31""),30,False),1)"),23.0)</f>
        <v>23</v>
      </c>
      <c r="R80" s="6">
        <f t="shared" si="1"/>
        <v>276</v>
      </c>
    </row>
    <row r="81">
      <c r="A81" s="20" t="s">
        <v>222</v>
      </c>
      <c r="B81" s="20" t="s">
        <v>223</v>
      </c>
      <c r="C81" s="20">
        <v>23.0</v>
      </c>
      <c r="D81" s="20">
        <v>12.0</v>
      </c>
      <c r="E81" s="20">
        <v>11.0</v>
      </c>
      <c r="F81" s="20">
        <v>23.0</v>
      </c>
      <c r="G81" s="20">
        <v>23.0</v>
      </c>
      <c r="H81" s="13">
        <v>0.0</v>
      </c>
      <c r="I81" s="12">
        <f>IFERROR(__xludf.DUMMYFUNCTION("HLOOKUP($A81,IMPORTRANGE(""https://docs.google.com/spreadsheets/d/1l83w8bH-F1czkFOqsgQy6o8O33Jb4Pfg40W0ou2nk0k/edit#gid=0"",""'Game 2'!$B$2:$Q$31""),30,False)"),23.0)</f>
        <v>23</v>
      </c>
      <c r="J81" s="12">
        <f>IFERROR(__xludf.DUMMYFUNCTION("HLOOKUP($A81,IMPORTRANGE(""https://docs.google.com/spreadsheets/d/15X-ub7GvrCQZ3UGgyogcjwYdxG-Ng8WHxzGSj1Z3eLw/edit#gid=0"",""'Game 2'!$B$2:$Q$31""),30,False)"),0.0)</f>
        <v>0</v>
      </c>
      <c r="K81" s="12">
        <f>IFERROR(__xludf.DUMMYFUNCTION("IFERROR(HLOOKUP($A81,IMPORTRANGE(""https://docs.google.com/spreadsheets/d/194Bw3ABslPPhOOPvVoMzIk8sOQFICWBu2pydWdYMD-w/edit#gid=0"",""'Game 5'!$B$2:$Q$31""),30,False),1)"),23.0)</f>
        <v>23</v>
      </c>
      <c r="L81" s="12">
        <f>IFERROR(__xludf.DUMMYFUNCTION("IFERROR(HLOOKUP($A81,IMPORTRANGE(""https://docs.google.com/spreadsheets/d/1F2Bi6K_I1K9xRxY5qb-bNRo5m-Kw7udpF1OaTHhrxjs/edit#gid=0"",""'Game 9'!$B$2:$Q$31""),30,False),1)"),12.0)</f>
        <v>12</v>
      </c>
      <c r="M81" s="12">
        <f>IFERROR(__xludf.DUMMYFUNCTION("IFERROR(HLOOKUP($A81,IMPORTRANGE(""https://docs.google.com/spreadsheets/d/1NDNgi_Ny4dRhc2A3UMIIkalN-V6EmsvxOfDzMRQlQ40/edit#gid=0"",""'Game 8'!$B$2:$Q$31""),30,False),1)"),23.0)</f>
        <v>23</v>
      </c>
      <c r="N81" s="12">
        <f>IFERROR(__xludf.DUMMYFUNCTION("IFERROR(HLOOKUP($A81,IMPORTRANGE(""https://docs.google.com/spreadsheets/d/1UDYA3-RrkJNLa2ZLH1NnUjKyfCoiSODmgVL_Au_zt-Y/edit#gid=0"",""'Game 12'!$B$2:$Q$31""),30,False),1)"),11.0)</f>
        <v>11</v>
      </c>
      <c r="O81" s="12">
        <f>IFERROR(__xludf.DUMMYFUNCTION("IFERROR(HLOOKUP($A81,IMPORTRANGE(""https://docs.google.com/spreadsheets/d/1fvo6H94Wcffp6c4N9g3JKCW6y2ZlijPxdOsNz7xdBhw/edit#gid=0"",""'Game 12'!$B$2:$Q$31""),30,False),1)"),23.0)</f>
        <v>23</v>
      </c>
      <c r="P81" s="12">
        <f>IFERROR(__xludf.DUMMYFUNCTION("IFERROR(HLOOKUP($A81,IMPORTRANGE(""https://docs.google.com/spreadsheets/d/1wfQePArl-A-5QJe5xAufoOnzeNLVSoHCRcmpZ_FMdns/edit#gid=0"",""'Game 11'!$B$2:$Q$31""),30,False),1)"),23.0)</f>
        <v>23</v>
      </c>
      <c r="Q81" s="12">
        <f>IFERROR(__xludf.DUMMYFUNCTION("IFERROR(HLOOKUP($A81,IMPORTRANGE(""https://docs.google.com/spreadsheets/d/1wydNznS0hZhVh3oGSdiCZSsReuqMT7Xaw718ix58zAI/edit#gid=0"",""'Game 3'!$B$2:$Q$31""),30,False),1)"),23.0)</f>
        <v>23</v>
      </c>
      <c r="R81" s="13">
        <f t="shared" si="1"/>
        <v>253</v>
      </c>
    </row>
    <row r="82">
      <c r="A82" s="18" t="s">
        <v>226</v>
      </c>
      <c r="B82" s="18" t="s">
        <v>223</v>
      </c>
      <c r="C82" s="18">
        <v>12.0</v>
      </c>
      <c r="D82" s="18">
        <v>11.0</v>
      </c>
      <c r="E82" s="18">
        <v>23.0</v>
      </c>
      <c r="F82" s="18">
        <v>23.0</v>
      </c>
      <c r="G82" s="18">
        <v>0.0</v>
      </c>
      <c r="H82" s="6">
        <v>23.0</v>
      </c>
      <c r="I82" s="5">
        <f>IFERROR(__xludf.DUMMYFUNCTION("HLOOKUP($A82,IMPORTRANGE(""https://docs.google.com/spreadsheets/d/1l83w8bH-F1czkFOqsgQy6o8O33Jb4Pfg40W0ou2nk0k/edit#gid=0"",""'Game 2'!$B$2:$Q$31""),30,False)"),23.0)</f>
        <v>23</v>
      </c>
      <c r="J82" s="5">
        <f>IFERROR(__xludf.DUMMYFUNCTION("HLOOKUP($A82,IMPORTRANGE(""https://docs.google.com/spreadsheets/d/15X-ub7GvrCQZ3UGgyogcjwYdxG-Ng8WHxzGSj1Z3eLw/edit#gid=0"",""'Game 2'!$B$2:$Q$31""),30,False)"),23.0)</f>
        <v>23</v>
      </c>
      <c r="K82" s="5">
        <f>IFERROR(__xludf.DUMMYFUNCTION("IFERROR(HLOOKUP($A82,IMPORTRANGE(""https://docs.google.com/spreadsheets/d/194Bw3ABslPPhOOPvVoMzIk8sOQFICWBu2pydWdYMD-w/edit#gid=0"",""'Game 5'!$B$2:$Q$31""),30,False),1)"),12.0)</f>
        <v>12</v>
      </c>
      <c r="L82" s="5">
        <f>IFERROR(__xludf.DUMMYFUNCTION("IFERROR(HLOOKUP($A82,IMPORTRANGE(""https://docs.google.com/spreadsheets/d/1F2Bi6K_I1K9xRxY5qb-bNRo5m-Kw7udpF1OaTHhrxjs/edit#gid=0"",""'Game 9'!$B$2:$Q$31""),30,False),1)"),23.0)</f>
        <v>23</v>
      </c>
      <c r="M82" s="5">
        <f>IFERROR(__xludf.DUMMYFUNCTION("IFERROR(HLOOKUP($A82,IMPORTRANGE(""https://docs.google.com/spreadsheets/d/1NDNgi_Ny4dRhc2A3UMIIkalN-V6EmsvxOfDzMRQlQ40/edit#gid=0"",""'Game 8'!$B$2:$Q$31""),30,False),1)"),0.0)</f>
        <v>0</v>
      </c>
      <c r="N82" s="5">
        <f>IFERROR(__xludf.DUMMYFUNCTION("IFERROR(HLOOKUP($A82,IMPORTRANGE(""https://docs.google.com/spreadsheets/d/1UDYA3-RrkJNLa2ZLH1NnUjKyfCoiSODmgVL_Au_zt-Y/edit#gid=0"",""'Game 12'!$B$2:$Q$31""),30,False),1)"),12.0)</f>
        <v>12</v>
      </c>
      <c r="O82" s="5">
        <f>IFERROR(__xludf.DUMMYFUNCTION("IFERROR(HLOOKUP($A82,IMPORTRANGE(""https://docs.google.com/spreadsheets/d/1fvo6H94Wcffp6c4N9g3JKCW6y2ZlijPxdOsNz7xdBhw/edit#gid=0"",""'Game 12'!$B$2:$Q$31""),30,False),1)"),0.0)</f>
        <v>0</v>
      </c>
      <c r="P82" s="5">
        <f>IFERROR(__xludf.DUMMYFUNCTION("IFERROR(HLOOKUP($A82,IMPORTRANGE(""https://docs.google.com/spreadsheets/d/1wfQePArl-A-5QJe5xAufoOnzeNLVSoHCRcmpZ_FMdns/edit#gid=0"",""'Game 11'!$B$2:$Q$31""),30,False),1)"),23.0)</f>
        <v>23</v>
      </c>
      <c r="Q82" s="5">
        <f>IFERROR(__xludf.DUMMYFUNCTION("IFERROR(HLOOKUP($A82,IMPORTRANGE(""https://docs.google.com/spreadsheets/d/1wydNznS0hZhVh3oGSdiCZSsReuqMT7Xaw718ix58zAI/edit#gid=0"",""'Game 3'!$B$2:$Q$31""),30,False),1)"),23.0)</f>
        <v>23</v>
      </c>
      <c r="R82" s="6">
        <f t="shared" si="1"/>
        <v>231</v>
      </c>
    </row>
    <row r="83">
      <c r="A83" s="20" t="s">
        <v>228</v>
      </c>
      <c r="B83" s="20" t="s">
        <v>223</v>
      </c>
      <c r="C83" s="20">
        <v>23.0</v>
      </c>
      <c r="D83" s="20">
        <v>23.0</v>
      </c>
      <c r="E83" s="20">
        <v>23.0</v>
      </c>
      <c r="F83" s="20">
        <v>23.0</v>
      </c>
      <c r="G83" s="20">
        <v>23.0</v>
      </c>
      <c r="H83" s="13">
        <v>23.0</v>
      </c>
      <c r="I83" s="12">
        <f>IFERROR(__xludf.DUMMYFUNCTION("HLOOKUP($A83,IMPORTRANGE(""https://docs.google.com/spreadsheets/d/1l83w8bH-F1czkFOqsgQy6o8O33Jb4Pfg40W0ou2nk0k/edit#gid=0"",""'Game 2'!$B$2:$Q$31""),30,False)"),23.0)</f>
        <v>23</v>
      </c>
      <c r="J83" s="12">
        <f>IFERROR(__xludf.DUMMYFUNCTION("HLOOKUP($A83,IMPORTRANGE(""https://docs.google.com/spreadsheets/d/15X-ub7GvrCQZ3UGgyogcjwYdxG-Ng8WHxzGSj1Z3eLw/edit#gid=0"",""'Game 2'!$B$2:$Q$31""),30,False)"),23.0)</f>
        <v>23</v>
      </c>
      <c r="K83" s="12">
        <f>IFERROR(__xludf.DUMMYFUNCTION("IFERROR(HLOOKUP($A83,IMPORTRANGE(""https://docs.google.com/spreadsheets/d/194Bw3ABslPPhOOPvVoMzIk8sOQFICWBu2pydWdYMD-w/edit#gid=0"",""'Game 5'!$B$2:$Q$31""),30,False),1)"),23.0)</f>
        <v>23</v>
      </c>
      <c r="L83" s="12">
        <f>IFERROR(__xludf.DUMMYFUNCTION("IFERROR(HLOOKUP($A83,IMPORTRANGE(""https://docs.google.com/spreadsheets/d/1F2Bi6K_I1K9xRxY5qb-bNRo5m-Kw7udpF1OaTHhrxjs/edit#gid=0"",""'Game 9'!$B$2:$Q$31""),30,False),1)"),23.0)</f>
        <v>23</v>
      </c>
      <c r="M83" s="12">
        <f>IFERROR(__xludf.DUMMYFUNCTION("IFERROR(HLOOKUP($A83,IMPORTRANGE(""https://docs.google.com/spreadsheets/d/1NDNgi_Ny4dRhc2A3UMIIkalN-V6EmsvxOfDzMRQlQ40/edit#gid=0"",""'Game 8'!$B$2:$Q$31""),30,False),1)"),23.0)</f>
        <v>23</v>
      </c>
      <c r="N83" s="12">
        <f>IFERROR(__xludf.DUMMYFUNCTION("IFERROR(HLOOKUP($A83,IMPORTRANGE(""https://docs.google.com/spreadsheets/d/1UDYA3-RrkJNLa2ZLH1NnUjKyfCoiSODmgVL_Au_zt-Y/edit#gid=0"",""'Game 12'!$B$2:$Q$31""),30,False),1)"),23.0)</f>
        <v>23</v>
      </c>
      <c r="O83" s="12">
        <f>IFERROR(__xludf.DUMMYFUNCTION("IFERROR(HLOOKUP($A83,IMPORTRANGE(""https://docs.google.com/spreadsheets/d/1fvo6H94Wcffp6c4N9g3JKCW6y2ZlijPxdOsNz7xdBhw/edit#gid=0"",""'Game 12'!$B$2:$Q$31""),30,False),1)"),23.0)</f>
        <v>23</v>
      </c>
      <c r="P83" s="12">
        <f>IFERROR(__xludf.DUMMYFUNCTION("IFERROR(HLOOKUP($A83,IMPORTRANGE(""https://docs.google.com/spreadsheets/d/1wfQePArl-A-5QJe5xAufoOnzeNLVSoHCRcmpZ_FMdns/edit#gid=0"",""'Game 11'!$B$2:$Q$31""),30,False),1)"),23.0)</f>
        <v>23</v>
      </c>
      <c r="Q83" s="12">
        <f>IFERROR(__xludf.DUMMYFUNCTION("IFERROR(HLOOKUP($A83,IMPORTRANGE(""https://docs.google.com/spreadsheets/d/1wydNznS0hZhVh3oGSdiCZSsReuqMT7Xaw718ix58zAI/edit#gid=0"",""'Game 3'!$B$2:$Q$31""),30,False),1)"),23.0)</f>
        <v>23</v>
      </c>
      <c r="R83" s="13">
        <f t="shared" si="1"/>
        <v>345</v>
      </c>
    </row>
    <row r="84">
      <c r="A84" s="18" t="s">
        <v>230</v>
      </c>
      <c r="B84" s="18" t="s">
        <v>223</v>
      </c>
      <c r="C84" s="18">
        <v>11.0</v>
      </c>
      <c r="D84" s="18">
        <v>23.0</v>
      </c>
      <c r="E84" s="18">
        <v>23.0</v>
      </c>
      <c r="F84" s="18">
        <v>0.0</v>
      </c>
      <c r="G84" s="18">
        <v>23.0</v>
      </c>
      <c r="H84" s="6">
        <v>23.0</v>
      </c>
      <c r="I84" s="5">
        <f>IFERROR(__xludf.DUMMYFUNCTION("HLOOKUP($A84,IMPORTRANGE(""https://docs.google.com/spreadsheets/d/1l83w8bH-F1czkFOqsgQy6o8O33Jb4Pfg40W0ou2nk0k/edit#gid=0"",""'Game 2'!$B$2:$Q$31""),30,False)"),23.0)</f>
        <v>23</v>
      </c>
      <c r="J84" s="5">
        <f>IFERROR(__xludf.DUMMYFUNCTION("HLOOKUP($A84,IMPORTRANGE(""https://docs.google.com/spreadsheets/d/15X-ub7GvrCQZ3UGgyogcjwYdxG-Ng8WHxzGSj1Z3eLw/edit#gid=0"",""'Game 2'!$B$2:$Q$31""),30,False)"),23.0)</f>
        <v>23</v>
      </c>
      <c r="K84" s="5">
        <f>IFERROR(__xludf.DUMMYFUNCTION("IFERROR(HLOOKUP($A84,IMPORTRANGE(""https://docs.google.com/spreadsheets/d/194Bw3ABslPPhOOPvVoMzIk8sOQFICWBu2pydWdYMD-w/edit#gid=0"",""'Game 5'!$B$2:$Q$31""),30,False),1)"),23.0)</f>
        <v>23</v>
      </c>
      <c r="L84" s="5">
        <f>IFERROR(__xludf.DUMMYFUNCTION("IFERROR(HLOOKUP($A84,IMPORTRANGE(""https://docs.google.com/spreadsheets/d/1F2Bi6K_I1K9xRxY5qb-bNRo5m-Kw7udpF1OaTHhrxjs/edit#gid=0"",""'Game 9'!$B$2:$Q$31""),30,False),1)"),11.0)</f>
        <v>11</v>
      </c>
      <c r="M84" s="5">
        <f>IFERROR(__xludf.DUMMYFUNCTION("IFERROR(HLOOKUP($A84,IMPORTRANGE(""https://docs.google.com/spreadsheets/d/1NDNgi_Ny4dRhc2A3UMIIkalN-V6EmsvxOfDzMRQlQ40/edit#gid=0"",""'Game 8'!$B$2:$Q$31""),30,False),1)"),23.0)</f>
        <v>23</v>
      </c>
      <c r="N84" s="5">
        <f>IFERROR(__xludf.DUMMYFUNCTION("IFERROR(HLOOKUP($A84,IMPORTRANGE(""https://docs.google.com/spreadsheets/d/1UDYA3-RrkJNLa2ZLH1NnUjKyfCoiSODmgVL_Au_zt-Y/edit#gid=0"",""'Game 12'!$B$2:$Q$31""),30,False),1)"),23.0)</f>
        <v>23</v>
      </c>
      <c r="O84" s="5">
        <f>IFERROR(__xludf.DUMMYFUNCTION("IFERROR(HLOOKUP($A84,IMPORTRANGE(""https://docs.google.com/spreadsheets/d/1fvo6H94Wcffp6c4N9g3JKCW6y2ZlijPxdOsNz7xdBhw/edit#gid=0"",""'Game 12'!$B$2:$Q$31""),30,False),1)"),23.0)</f>
        <v>23</v>
      </c>
      <c r="P84" s="5">
        <f>IFERROR(__xludf.DUMMYFUNCTION("IFERROR(HLOOKUP($A84,IMPORTRANGE(""https://docs.google.com/spreadsheets/d/1wfQePArl-A-5QJe5xAufoOnzeNLVSoHCRcmpZ_FMdns/edit#gid=0"",""'Game 11'!$B$2:$Q$31""),30,False),1)"),23.0)</f>
        <v>23</v>
      </c>
      <c r="Q84" s="5">
        <f>IFERROR(__xludf.DUMMYFUNCTION("IFERROR(HLOOKUP($A84,IMPORTRANGE(""https://docs.google.com/spreadsheets/d/1wydNznS0hZhVh3oGSdiCZSsReuqMT7Xaw718ix58zAI/edit#gid=0"",""'Game 3'!$B$2:$Q$31""),30,False),1)"),0.0)</f>
        <v>0</v>
      </c>
      <c r="R84" s="6">
        <f t="shared" si="1"/>
        <v>275</v>
      </c>
    </row>
    <row r="85">
      <c r="A85" s="20" t="s">
        <v>232</v>
      </c>
      <c r="B85" s="20" t="s">
        <v>223</v>
      </c>
      <c r="C85" s="20">
        <v>23.0</v>
      </c>
      <c r="D85" s="20">
        <v>23.0</v>
      </c>
      <c r="E85" s="20">
        <v>12.0</v>
      </c>
      <c r="F85" s="20">
        <v>23.0</v>
      </c>
      <c r="G85" s="20">
        <v>23.0</v>
      </c>
      <c r="H85" s="13">
        <v>23.0</v>
      </c>
      <c r="I85" s="12">
        <f>IFERROR(__xludf.DUMMYFUNCTION("HLOOKUP($A85,IMPORTRANGE(""https://docs.google.com/spreadsheets/d/1l83w8bH-F1czkFOqsgQy6o8O33Jb4Pfg40W0ou2nk0k/edit#gid=0"",""'Game 2'!$B$2:$Q$31""),30,False)"),0.0)</f>
        <v>0</v>
      </c>
      <c r="J85" s="12">
        <f>IFERROR(__xludf.DUMMYFUNCTION("HLOOKUP($A85,IMPORTRANGE(""https://docs.google.com/spreadsheets/d/15X-ub7GvrCQZ3UGgyogcjwYdxG-Ng8WHxzGSj1Z3eLw/edit#gid=0"",""'Game 2'!$B$2:$Q$31""),30,False)"),23.0)</f>
        <v>23</v>
      </c>
      <c r="K85" s="12">
        <f>IFERROR(__xludf.DUMMYFUNCTION("IFERROR(HLOOKUP($A85,IMPORTRANGE(""https://docs.google.com/spreadsheets/d/194Bw3ABslPPhOOPvVoMzIk8sOQFICWBu2pydWdYMD-w/edit#gid=0"",""'Game 5'!$B$2:$Q$31""),30,False),1)"),11.0)</f>
        <v>11</v>
      </c>
      <c r="L85" s="12">
        <f>IFERROR(__xludf.DUMMYFUNCTION("IFERROR(HLOOKUP($A85,IMPORTRANGE(""https://docs.google.com/spreadsheets/d/1F2Bi6K_I1K9xRxY5qb-bNRo5m-Kw7udpF1OaTHhrxjs/edit#gid=0"",""'Game 9'!$B$2:$Q$31""),30,False),1)"),23.0)</f>
        <v>23</v>
      </c>
      <c r="M85" s="12">
        <f>IFERROR(__xludf.DUMMYFUNCTION("IFERROR(HLOOKUP($A85,IMPORTRANGE(""https://docs.google.com/spreadsheets/d/1NDNgi_Ny4dRhc2A3UMIIkalN-V6EmsvxOfDzMRQlQ40/edit#gid=0"",""'Game 8'!$B$2:$Q$31""),30,False),1)"),23.0)</f>
        <v>23</v>
      </c>
      <c r="N85" s="12">
        <f>IFERROR(__xludf.DUMMYFUNCTION("IFERROR(HLOOKUP($A85,IMPORTRANGE(""https://docs.google.com/spreadsheets/d/1UDYA3-RrkJNLa2ZLH1NnUjKyfCoiSODmgVL_Au_zt-Y/edit#gid=0"",""'Game 12'!$B$2:$Q$31""),30,False),1)"),23.0)</f>
        <v>23</v>
      </c>
      <c r="O85" s="12">
        <f>IFERROR(__xludf.DUMMYFUNCTION("IFERROR(HLOOKUP($A85,IMPORTRANGE(""https://docs.google.com/spreadsheets/d/1fvo6H94Wcffp6c4N9g3JKCW6y2ZlijPxdOsNz7xdBhw/edit#gid=0"",""'Game 12'!$B$2:$Q$31""),30,False),1)"),23.0)</f>
        <v>23</v>
      </c>
      <c r="P85" s="12">
        <f>IFERROR(__xludf.DUMMYFUNCTION("IFERROR(HLOOKUP($A85,IMPORTRANGE(""https://docs.google.com/spreadsheets/d/1wfQePArl-A-5QJe5xAufoOnzeNLVSoHCRcmpZ_FMdns/edit#gid=0"",""'Game 11'!$B$2:$Q$31""),30,False),1)"),0.0)</f>
        <v>0</v>
      </c>
      <c r="Q85" s="12">
        <f>IFERROR(__xludf.DUMMYFUNCTION("IFERROR(HLOOKUP($A85,IMPORTRANGE(""https://docs.google.com/spreadsheets/d/1wydNznS0hZhVh3oGSdiCZSsReuqMT7Xaw718ix58zAI/edit#gid=0"",""'Game 3'!$B$2:$Q$31""),30,False),1)"),23.0)</f>
        <v>23</v>
      </c>
      <c r="R85" s="13">
        <f t="shared" si="1"/>
        <v>276</v>
      </c>
    </row>
    <row r="86">
      <c r="A86" s="18" t="s">
        <v>234</v>
      </c>
      <c r="B86" s="6" t="s">
        <v>235</v>
      </c>
      <c r="C86" s="18">
        <v>23.0</v>
      </c>
      <c r="D86" s="18">
        <v>23.0</v>
      </c>
      <c r="E86" s="18">
        <v>23.0</v>
      </c>
      <c r="F86" s="18">
        <v>23.0</v>
      </c>
      <c r="G86" s="18">
        <v>23.0</v>
      </c>
      <c r="H86" s="6">
        <v>23.0</v>
      </c>
      <c r="I86" s="5">
        <f>IFERROR(__xludf.DUMMYFUNCTION("HLOOKUP($A86,IMPORTRANGE(""https://docs.google.com/spreadsheets/d/1l83w8bH-F1czkFOqsgQy6o8O33Jb4Pfg40W0ou2nk0k/edit#gid=0"",""'Game 2'!$B$2:$Q$31""),30,False)"),23.0)</f>
        <v>23</v>
      </c>
      <c r="J86" s="5">
        <f>IFERROR(__xludf.DUMMYFUNCTION("HLOOKUP($A86,IMPORTRANGE(""https://docs.google.com/spreadsheets/d/15X-ub7GvrCQZ3UGgyogcjwYdxG-Ng8WHxzGSj1Z3eLw/edit#gid=0"",""'Game 6'!$B$2:$Q$31""),30,False)"),23.0)</f>
        <v>23</v>
      </c>
      <c r="K86" s="5">
        <f>IFERROR(__xludf.DUMMYFUNCTION("IFERROR(HLOOKUP($A86,IMPORTRANGE(""https://docs.google.com/spreadsheets/d/194Bw3ABslPPhOOPvVoMzIk8sOQFICWBu2pydWdYMD-w/edit#gid=0"",""'Game 6'!$B$2:$Q$31""),30,False),1)"),23.0)</f>
        <v>23</v>
      </c>
      <c r="L86" s="5">
        <f>IFERROR(__xludf.DUMMYFUNCTION("IFERROR(HLOOKUP($A86,IMPORTRANGE(""https://docs.google.com/spreadsheets/d/1F2Bi6K_I1K9xRxY5qb-bNRo5m-Kw7udpF1OaTHhrxjs/edit#gid=0"",""'Game 6'!$B$2:$Q$26""),25,False),1)"),23.0)</f>
        <v>23</v>
      </c>
      <c r="M86" s="5">
        <f>IFERROR(__xludf.DUMMYFUNCTION("IFERROR(HLOOKUP($A86,IMPORTRANGE(""https://docs.google.com/spreadsheets/d/1NDNgi_Ny4dRhc2A3UMIIkalN-V6EmsvxOfDzMRQlQ40/edit#gid=0"",""'Game 6'!$B$2:$Q$31""),30,False),1)"),23.0)</f>
        <v>23</v>
      </c>
      <c r="N86" s="5">
        <f>IFERROR(__xludf.DUMMYFUNCTION("IFERROR(HLOOKUP($A86,IMPORTRANGE(""https://docs.google.com/spreadsheets/d/1UDYA3-RrkJNLa2ZLH1NnUjKyfCoiSODmgVL_Au_zt-Y/edit#gid=0"",""'Game 5'!$B$2:$Q$31""),30,False),1)"),23.0)</f>
        <v>23</v>
      </c>
      <c r="O86" s="5">
        <f>IFERROR(__xludf.DUMMYFUNCTION("IFERROR(HLOOKUP($A86,IMPORTRANGE(""https://docs.google.com/spreadsheets/d/1fvo6H94Wcffp6c4N9g3JKCW6y2ZlijPxdOsNz7xdBhw/edit#gid=0"",""'Game 5'!$B$2:$Q$31""),30,False),1)"),23.0)</f>
        <v>23</v>
      </c>
      <c r="P86" s="5">
        <f>IFERROR(__xludf.DUMMYFUNCTION("IFERROR(HLOOKUP($A86,IMPORTRANGE(""https://docs.google.com/spreadsheets/d/1wfQePArl-A-5QJe5xAufoOnzeNLVSoHCRcmpZ_FMdns/edit#gid=0"",""'Game 5'!$B$2:$Q$31""),30,False),1)"),23.0)</f>
        <v>23</v>
      </c>
      <c r="Q86" s="5">
        <f>IFERROR(__xludf.DUMMYFUNCTION("IFERROR(HLOOKUP($A86,IMPORTRANGE(""https://docs.google.com/spreadsheets/d/1wydNznS0hZhVh3oGSdiCZSsReuqMT7Xaw718ix58zAI/edit#gid=0"",""'Game 6'!$B$2:$Q$31""),30,False),1)"),0.0)</f>
        <v>0</v>
      </c>
      <c r="R86" s="6">
        <f t="shared" si="1"/>
        <v>322</v>
      </c>
    </row>
    <row r="87">
      <c r="A87" s="20" t="s">
        <v>237</v>
      </c>
      <c r="B87" s="13" t="s">
        <v>235</v>
      </c>
      <c r="C87" s="20">
        <v>23.0</v>
      </c>
      <c r="D87" s="20">
        <v>23.0</v>
      </c>
      <c r="E87" s="20">
        <v>23.0</v>
      </c>
      <c r="F87" s="20">
        <v>23.0</v>
      </c>
      <c r="G87" s="20">
        <v>23.0</v>
      </c>
      <c r="H87" s="13">
        <v>23.0</v>
      </c>
      <c r="I87" s="12">
        <f>IFERROR(__xludf.DUMMYFUNCTION("HLOOKUP($A87,IMPORTRANGE(""https://docs.google.com/spreadsheets/d/1l83w8bH-F1czkFOqsgQy6o8O33Jb4Pfg40W0ou2nk0k/edit#gid=0"",""'Game 2'!$B$2:$Q$31""),30,False)"),23.0)</f>
        <v>23</v>
      </c>
      <c r="J87" s="12">
        <f>IFERROR(__xludf.DUMMYFUNCTION("HLOOKUP($A87,IMPORTRANGE(""https://docs.google.com/spreadsheets/d/15X-ub7GvrCQZ3UGgyogcjwYdxG-Ng8WHxzGSj1Z3eLw/edit#gid=0"",""'Game 6'!$B$2:$Q$31""),30,False)"),23.0)</f>
        <v>23</v>
      </c>
      <c r="K87" s="12">
        <f>IFERROR(__xludf.DUMMYFUNCTION("IFERROR(HLOOKUP($A87,IMPORTRANGE(""https://docs.google.com/spreadsheets/d/194Bw3ABslPPhOOPvVoMzIk8sOQFICWBu2pydWdYMD-w/edit#gid=0"",""'Game 6'!$B$2:$Q$31""),30,False),1)"),23.0)</f>
        <v>23</v>
      </c>
      <c r="L87" s="12">
        <f>IFERROR(__xludf.DUMMYFUNCTION("IFERROR(HLOOKUP($A87,IMPORTRANGE(""https://docs.google.com/spreadsheets/d/1F2Bi6K_I1K9xRxY5qb-bNRo5m-Kw7udpF1OaTHhrxjs/edit#gid=0"",""'Game 6'!$B$2:$Q$26""),25,False),1)"),23.0)</f>
        <v>23</v>
      </c>
      <c r="M87" s="12">
        <f>IFERROR(__xludf.DUMMYFUNCTION("IFERROR(HLOOKUP($A87,IMPORTRANGE(""https://docs.google.com/spreadsheets/d/1NDNgi_Ny4dRhc2A3UMIIkalN-V6EmsvxOfDzMRQlQ40/edit#gid=0"",""'Game 6'!$B$2:$Q$31""),30,False),1)"),23.0)</f>
        <v>23</v>
      </c>
      <c r="N87" s="12">
        <f>IFERROR(__xludf.DUMMYFUNCTION("IFERROR(HLOOKUP($A87,IMPORTRANGE(""https://docs.google.com/spreadsheets/d/1UDYA3-RrkJNLa2ZLH1NnUjKyfCoiSODmgVL_Au_zt-Y/edit#gid=0"",""'Game 5'!$B$2:$Q$31""),30,False),1)"),23.0)</f>
        <v>23</v>
      </c>
      <c r="O87" s="12">
        <f>IFERROR(__xludf.DUMMYFUNCTION("IFERROR(HLOOKUP($A87,IMPORTRANGE(""https://docs.google.com/spreadsheets/d/1fvo6H94Wcffp6c4N9g3JKCW6y2ZlijPxdOsNz7xdBhw/edit#gid=0"",""'Game 5'!$B$2:$Q$31""),30,False),1)"),23.0)</f>
        <v>23</v>
      </c>
      <c r="P87" s="12">
        <f>IFERROR(__xludf.DUMMYFUNCTION("IFERROR(HLOOKUP($A87,IMPORTRANGE(""https://docs.google.com/spreadsheets/d/1wfQePArl-A-5QJe5xAufoOnzeNLVSoHCRcmpZ_FMdns/edit#gid=0"",""'Game 5'!$B$2:$Q$31""),30,False),1)"),23.0)</f>
        <v>23</v>
      </c>
      <c r="Q87" s="12">
        <f>IFERROR(__xludf.DUMMYFUNCTION("IFERROR(HLOOKUP($A87,IMPORTRANGE(""https://docs.google.com/spreadsheets/d/1wydNznS0hZhVh3oGSdiCZSsReuqMT7Xaw718ix58zAI/edit#gid=0"",""'Game 6'!$B$2:$Q$31""),30,False),1)"),23.0)</f>
        <v>23</v>
      </c>
      <c r="R87" s="13">
        <f t="shared" si="1"/>
        <v>345</v>
      </c>
    </row>
    <row r="88">
      <c r="A88" s="18" t="s">
        <v>241</v>
      </c>
      <c r="B88" s="6" t="s">
        <v>235</v>
      </c>
      <c r="C88" s="18">
        <v>12.0</v>
      </c>
      <c r="D88" s="18">
        <v>23.0</v>
      </c>
      <c r="E88" s="18">
        <v>0.0</v>
      </c>
      <c r="F88" s="18">
        <v>11.0</v>
      </c>
      <c r="G88" s="18">
        <v>23.0</v>
      </c>
      <c r="H88" s="6">
        <v>23.0</v>
      </c>
      <c r="I88" s="5">
        <f>IFERROR(__xludf.DUMMYFUNCTION("HLOOKUP($A88,IMPORTRANGE(""https://docs.google.com/spreadsheets/d/1l83w8bH-F1czkFOqsgQy6o8O33Jb4Pfg40W0ou2nk0k/edit#gid=0"",""'Game 2'!$B$2:$Q$31""),30,False)"),12.0)</f>
        <v>12</v>
      </c>
      <c r="J88" s="5">
        <f>IFERROR(__xludf.DUMMYFUNCTION("HLOOKUP($A88,IMPORTRANGE(""https://docs.google.com/spreadsheets/d/15X-ub7GvrCQZ3UGgyogcjwYdxG-Ng8WHxzGSj1Z3eLw/edit#gid=0"",""'Game 6'!$B$2:$Q$31""),30,False)"),12.0)</f>
        <v>12</v>
      </c>
      <c r="K88" s="5">
        <f>IFERROR(__xludf.DUMMYFUNCTION("IFERROR(HLOOKUP($A88,IMPORTRANGE(""https://docs.google.com/spreadsheets/d/194Bw3ABslPPhOOPvVoMzIk8sOQFICWBu2pydWdYMD-w/edit#gid=0"",""'Game 6'!$B$2:$Q$31""),30,False),1)"),12.0)</f>
        <v>12</v>
      </c>
      <c r="L88" s="5">
        <f>IFERROR(__xludf.DUMMYFUNCTION("IFERROR(HLOOKUP($A88,IMPORTRANGE(""https://docs.google.com/spreadsheets/d/1F2Bi6K_I1K9xRxY5qb-bNRo5m-Kw7udpF1OaTHhrxjs/edit#gid=0"",""'Game 6'!$B$2:$Q$26""),25,False),1)"),12.0)</f>
        <v>12</v>
      </c>
      <c r="M88" s="5">
        <f>IFERROR(__xludf.DUMMYFUNCTION("IFERROR(HLOOKUP($A88,IMPORTRANGE(""https://docs.google.com/spreadsheets/d/1NDNgi_Ny4dRhc2A3UMIIkalN-V6EmsvxOfDzMRQlQ40/edit#gid=0"",""'Game 6'!$B$2:$Q$31""),30,False),1)"),12.0)</f>
        <v>12</v>
      </c>
      <c r="N88" s="5">
        <f>IFERROR(__xludf.DUMMYFUNCTION("IFERROR(HLOOKUP($A88,IMPORTRANGE(""https://docs.google.com/spreadsheets/d/1UDYA3-RrkJNLa2ZLH1NnUjKyfCoiSODmgVL_Au_zt-Y/edit#gid=0"",""'Game 5'!$B$2:$Q$31""),30,False),1)"),23.0)</f>
        <v>23</v>
      </c>
      <c r="O88" s="5">
        <f>IFERROR(__xludf.DUMMYFUNCTION("IFERROR(HLOOKUP($A88,IMPORTRANGE(""https://docs.google.com/spreadsheets/d/1fvo6H94Wcffp6c4N9g3JKCW6y2ZlijPxdOsNz7xdBhw/edit#gid=0"",""'Game 5'!$B$2:$Q$31""),30,False),1)"),12.0)</f>
        <v>12</v>
      </c>
      <c r="P88" s="5">
        <f>IFERROR(__xludf.DUMMYFUNCTION("IFERROR(HLOOKUP($A88,IMPORTRANGE(""https://docs.google.com/spreadsheets/d/1wfQePArl-A-5QJe5xAufoOnzeNLVSoHCRcmpZ_FMdns/edit#gid=0"",""'Game 5'!$B$2:$Q$31""),30,False),1)"),12.0)</f>
        <v>12</v>
      </c>
      <c r="Q88" s="5">
        <f>IFERROR(__xludf.DUMMYFUNCTION("IFERROR(HLOOKUP($A88,IMPORTRANGE(""https://docs.google.com/spreadsheets/d/1wydNznS0hZhVh3oGSdiCZSsReuqMT7Xaw718ix58zAI/edit#gid=0"",""'Game 6'!$B$2:$Q$31""),30,False),1)"),0.0)</f>
        <v>0</v>
      </c>
      <c r="R88" s="6">
        <f t="shared" si="1"/>
        <v>199</v>
      </c>
    </row>
    <row r="89">
      <c r="A89" s="20" t="s">
        <v>243</v>
      </c>
      <c r="B89" s="13" t="s">
        <v>235</v>
      </c>
      <c r="C89" s="20">
        <v>23.0</v>
      </c>
      <c r="D89" s="20">
        <v>23.0</v>
      </c>
      <c r="E89" s="20">
        <v>23.0</v>
      </c>
      <c r="F89" s="20">
        <v>23.0</v>
      </c>
      <c r="G89" s="20">
        <v>23.0</v>
      </c>
      <c r="H89" s="13">
        <v>23.0</v>
      </c>
      <c r="I89" s="12">
        <f>IFERROR(__xludf.DUMMYFUNCTION("HLOOKUP($A89,IMPORTRANGE(""https://docs.google.com/spreadsheets/d/1l83w8bH-F1czkFOqsgQy6o8O33Jb4Pfg40W0ou2nk0k/edit#gid=0"",""'Game 2'!$B$2:$Q$31""),30,False)"),23.0)</f>
        <v>23</v>
      </c>
      <c r="J89" s="12">
        <f>IFERROR(__xludf.DUMMYFUNCTION("HLOOKUP($A89,IMPORTRANGE(""https://docs.google.com/spreadsheets/d/15X-ub7GvrCQZ3UGgyogcjwYdxG-Ng8WHxzGSj1Z3eLw/edit#gid=0"",""'Game 6'!$B$2:$Q$31""),30,False)"),23.0)</f>
        <v>23</v>
      </c>
      <c r="K89" s="12">
        <f>IFERROR(__xludf.DUMMYFUNCTION("IFERROR(HLOOKUP($A89,IMPORTRANGE(""https://docs.google.com/spreadsheets/d/194Bw3ABslPPhOOPvVoMzIk8sOQFICWBu2pydWdYMD-w/edit#gid=0"",""'Game 6'!$B$2:$Q$31""),30,False),1)"),23.0)</f>
        <v>23</v>
      </c>
      <c r="L89" s="12">
        <f>IFERROR(__xludf.DUMMYFUNCTION("IFERROR(HLOOKUP($A89,IMPORTRANGE(""https://docs.google.com/spreadsheets/d/1F2Bi6K_I1K9xRxY5qb-bNRo5m-Kw7udpF1OaTHhrxjs/edit#gid=0"",""'Game 6'!$B$2:$Q$26""),25,False),1)"),23.0)</f>
        <v>23</v>
      </c>
      <c r="M89" s="12">
        <f>IFERROR(__xludf.DUMMYFUNCTION("IFERROR(HLOOKUP($A89,IMPORTRANGE(""https://docs.google.com/spreadsheets/d/1NDNgi_Ny4dRhc2A3UMIIkalN-V6EmsvxOfDzMRQlQ40/edit#gid=0"",""'Game 6'!$B$2:$Q$31""),30,False),1)"),23.0)</f>
        <v>23</v>
      </c>
      <c r="N89" s="12">
        <f>IFERROR(__xludf.DUMMYFUNCTION("IFERROR(HLOOKUP($A89,IMPORTRANGE(""https://docs.google.com/spreadsheets/d/1UDYA3-RrkJNLa2ZLH1NnUjKyfCoiSODmgVL_Au_zt-Y/edit#gid=0"",""'Game 5'!$B$2:$Q$31""),30,False),1)"),23.0)</f>
        <v>23</v>
      </c>
      <c r="O89" s="12">
        <f>IFERROR(__xludf.DUMMYFUNCTION("IFERROR(HLOOKUP($A89,IMPORTRANGE(""https://docs.google.com/spreadsheets/d/1fvo6H94Wcffp6c4N9g3JKCW6y2ZlijPxdOsNz7xdBhw/edit#gid=0"",""'Game 5'!$B$2:$Q$31""),30,False),1)"),23.0)</f>
        <v>23</v>
      </c>
      <c r="P89" s="12">
        <f>IFERROR(__xludf.DUMMYFUNCTION("IFERROR(HLOOKUP($A89,IMPORTRANGE(""https://docs.google.com/spreadsheets/d/1wfQePArl-A-5QJe5xAufoOnzeNLVSoHCRcmpZ_FMdns/edit#gid=0"",""'Game 5'!$B$2:$Q$31""),30,False),1)"),23.0)</f>
        <v>23</v>
      </c>
      <c r="Q89" s="12">
        <f>IFERROR(__xludf.DUMMYFUNCTION("IFERROR(HLOOKUP($A89,IMPORTRANGE(""https://docs.google.com/spreadsheets/d/1wydNznS0hZhVh3oGSdiCZSsReuqMT7Xaw718ix58zAI/edit#gid=0"",""'Game 6'!$B$2:$Q$31""),30,False),1)"),23.0)</f>
        <v>23</v>
      </c>
      <c r="R89" s="13">
        <f t="shared" si="1"/>
        <v>345</v>
      </c>
    </row>
    <row r="90">
      <c r="A90" s="18" t="s">
        <v>245</v>
      </c>
      <c r="B90" s="18" t="s">
        <v>235</v>
      </c>
      <c r="C90" s="18">
        <v>11.0</v>
      </c>
      <c r="D90" s="18">
        <v>0.0</v>
      </c>
      <c r="E90" s="18">
        <v>23.0</v>
      </c>
      <c r="F90" s="18">
        <v>12.0</v>
      </c>
      <c r="G90" s="18">
        <v>0.0</v>
      </c>
      <c r="H90" s="6">
        <v>0.0</v>
      </c>
      <c r="I90" s="5">
        <f>IFERROR(__xludf.DUMMYFUNCTION("HLOOKUP($A90,IMPORTRANGE(""https://docs.google.com/spreadsheets/d/1l83w8bH-F1czkFOqsgQy6o8O33Jb4Pfg40W0ou2nk0k/edit#gid=0"",""'Game 2'!$B$2:$Q$31""),30,False)"),11.0)</f>
        <v>11</v>
      </c>
      <c r="J90" s="5">
        <f>IFERROR(__xludf.DUMMYFUNCTION("HLOOKUP($A90,IMPORTRANGE(""https://docs.google.com/spreadsheets/d/15X-ub7GvrCQZ3UGgyogcjwYdxG-Ng8WHxzGSj1Z3eLw/edit#gid=0"",""'Game 6'!$B$2:$Q$31""),30,False)"),11.0)</f>
        <v>11</v>
      </c>
      <c r="K90" s="5">
        <f>IFERROR(__xludf.DUMMYFUNCTION("IFERROR(HLOOKUP($A90,IMPORTRANGE(""https://docs.google.com/spreadsheets/d/194Bw3ABslPPhOOPvVoMzIk8sOQFICWBu2pydWdYMD-w/edit#gid=0"",""'Game 6'!$B$2:$Q$31""),30,False),1)"),11.0)</f>
        <v>11</v>
      </c>
      <c r="L90" s="5">
        <f>IFERROR(__xludf.DUMMYFUNCTION("IFERROR(HLOOKUP($A90,IMPORTRANGE(""https://docs.google.com/spreadsheets/d/1F2Bi6K_I1K9xRxY5qb-bNRo5m-Kw7udpF1OaTHhrxjs/edit#gid=0"",""'Game 6'!$B$2:$Q$26""),25,False),1)"),11.0)</f>
        <v>11</v>
      </c>
      <c r="M90" s="5">
        <f>IFERROR(__xludf.DUMMYFUNCTION("IFERROR(HLOOKUP($A90,IMPORTRANGE(""https://docs.google.com/spreadsheets/d/1NDNgi_Ny4dRhc2A3UMIIkalN-V6EmsvxOfDzMRQlQ40/edit#gid=0"",""'Game 6'!$B$2:$Q$31""),30,False),1)"),11.0)</f>
        <v>11</v>
      </c>
      <c r="N90" s="5">
        <f>IFERROR(__xludf.DUMMYFUNCTION("IFERROR(HLOOKUP($A90,IMPORTRANGE(""https://docs.google.com/spreadsheets/d/1UDYA3-RrkJNLa2ZLH1NnUjKyfCoiSODmgVL_Au_zt-Y/edit#gid=0"",""'Game 5'!$B$2:$Q$31""),30,False),1)"),0.0)</f>
        <v>0</v>
      </c>
      <c r="O90" s="5">
        <f>IFERROR(__xludf.DUMMYFUNCTION("IFERROR(HLOOKUP($A90,IMPORTRANGE(""https://docs.google.com/spreadsheets/d/1fvo6H94Wcffp6c4N9g3JKCW6y2ZlijPxdOsNz7xdBhw/edit#gid=0"",""'Game 5'!$B$2:$Q$31""),30,False),1)"),11.0)</f>
        <v>11</v>
      </c>
      <c r="P90" s="5">
        <f>IFERROR(__xludf.DUMMYFUNCTION("IFERROR(HLOOKUP($A90,IMPORTRANGE(""https://docs.google.com/spreadsheets/d/1wfQePArl-A-5QJe5xAufoOnzeNLVSoHCRcmpZ_FMdns/edit#gid=0"",""'Game 5'!$B$2:$Q$31""),30,False),1)"),11.0)</f>
        <v>11</v>
      </c>
      <c r="Q90" s="5">
        <f>IFERROR(__xludf.DUMMYFUNCTION("IFERROR(HLOOKUP($A90,IMPORTRANGE(""https://docs.google.com/spreadsheets/d/1wydNznS0hZhVh3oGSdiCZSsReuqMT7Xaw718ix58zAI/edit#gid=0"",""'Game 6'!$B$2:$Q$31""),30,False),1)"),0.0)</f>
        <v>0</v>
      </c>
      <c r="R90" s="6">
        <f t="shared" si="1"/>
        <v>123</v>
      </c>
    </row>
    <row r="91">
      <c r="A91" s="20" t="s">
        <v>247</v>
      </c>
      <c r="B91" s="20" t="s">
        <v>248</v>
      </c>
      <c r="C91" s="20">
        <v>23.0</v>
      </c>
      <c r="D91" s="20">
        <v>23.0</v>
      </c>
      <c r="E91" s="20">
        <v>23.0</v>
      </c>
      <c r="F91" s="20">
        <v>23.0</v>
      </c>
      <c r="G91" s="20">
        <v>23.0</v>
      </c>
      <c r="H91" s="13">
        <v>23.0</v>
      </c>
      <c r="I91" s="12">
        <f>IFERROR(__xludf.DUMMYFUNCTION("HLOOKUP($A91,IMPORTRANGE(""https://docs.google.com/spreadsheets/d/1l83w8bH-F1czkFOqsgQy6o8O33Jb4Pfg40W0ou2nk0k/edit#gid=0"",""'Game 4'!$B$2:$Q$31""),30,False)"),23.0)</f>
        <v>23</v>
      </c>
      <c r="J91" s="12">
        <f>IFERROR(__xludf.DUMMYFUNCTION("HLOOKUP($A91,IMPORTRANGE(""https://docs.google.com/spreadsheets/d/15X-ub7GvrCQZ3UGgyogcjwYdxG-Ng8WHxzGSj1Z3eLw/edit#gid=0"",""'Game 10'!$B$2:$Q$31""),30,False)"),23.0)</f>
        <v>23</v>
      </c>
      <c r="K91" s="12">
        <f>IFERROR(__xludf.DUMMYFUNCTION("IFERROR(HLOOKUP($A91,IMPORTRANGE(""https://docs.google.com/spreadsheets/d/194Bw3ABslPPhOOPvVoMzIk8sOQFICWBu2pydWdYMD-w/edit#gid=0"",""'Game 8'!$B$2:$Q$31""),30,False),1)"),23.0)</f>
        <v>23</v>
      </c>
      <c r="L91" s="12">
        <f>IFERROR(__xludf.DUMMYFUNCTION("IFERROR(HLOOKUP($A91,IMPORTRANGE(""https://docs.google.com/spreadsheets/d/1F2Bi6K_I1K9xRxY5qb-bNRo5m-Kw7udpF1OaTHhrxjs/edit#gid=0"",""'Game 2'!$B$2:$Q$31""),30,False),1)"),23.0)</f>
        <v>23</v>
      </c>
      <c r="M91" s="12">
        <f>IFERROR(__xludf.DUMMYFUNCTION("IFERROR(HLOOKUP($A91,IMPORTRANGE(""https://docs.google.com/spreadsheets/d/1NDNgi_Ny4dRhc2A3UMIIkalN-V6EmsvxOfDzMRQlQ40/edit#gid=0"",""'Game 4'!$B$2:$Q$31""),30,False),1)"),23.0)</f>
        <v>23</v>
      </c>
      <c r="N91" s="12">
        <f>IFERROR(__xludf.DUMMYFUNCTION("IFERROR(HLOOKUP($A91,IMPORTRANGE(""https://docs.google.com/spreadsheets/d/1UDYA3-RrkJNLa2ZLH1NnUjKyfCoiSODmgVL_Au_zt-Y/edit#gid=0"",""'Game 1'!$B$2:$Q$31""),30,False),1)"),23.0)</f>
        <v>23</v>
      </c>
      <c r="O91" s="12">
        <f>IFERROR(__xludf.DUMMYFUNCTION("IFERROR(HLOOKUP($A91,IMPORTRANGE(""https://docs.google.com/spreadsheets/d/1fvo6H94Wcffp6c4N9g3JKCW6y2ZlijPxdOsNz7xdBhw/edit#gid=0"",""'Game 10'!$B$2:$Q$31""),30,False),1)"),23.0)</f>
        <v>23</v>
      </c>
      <c r="P91" s="12">
        <f>IFERROR(__xludf.DUMMYFUNCTION("IFERROR(HLOOKUP($A91,IMPORTRANGE(""https://docs.google.com/spreadsheets/d/1wfQePArl-A-5QJe5xAufoOnzeNLVSoHCRcmpZ_FMdns/edit#gid=0"",""'Game 6'!$B$2:$Q$31""),30,False),1)"),23.0)</f>
        <v>23</v>
      </c>
      <c r="Q91" s="12">
        <f>IFERROR(__xludf.DUMMYFUNCTION("IFERROR(HLOOKUP($A91,IMPORTRANGE(""https://docs.google.com/spreadsheets/d/1wydNznS0hZhVh3oGSdiCZSsReuqMT7Xaw718ix58zAI/edit#gid=0"",""'Game 12'!$B$2:$Q$31""),30,False),1)"),11.0)</f>
        <v>11</v>
      </c>
      <c r="R91" s="13">
        <f t="shared" si="1"/>
        <v>333</v>
      </c>
    </row>
    <row r="92">
      <c r="A92" s="18" t="s">
        <v>252</v>
      </c>
      <c r="B92" s="6" t="s">
        <v>248</v>
      </c>
      <c r="C92" s="18">
        <v>0.0</v>
      </c>
      <c r="D92" s="18">
        <v>23.0</v>
      </c>
      <c r="E92" s="18">
        <v>23.0</v>
      </c>
      <c r="F92" s="18">
        <v>0.0</v>
      </c>
      <c r="G92" s="18">
        <v>0.0</v>
      </c>
      <c r="H92" s="6">
        <v>23.0</v>
      </c>
      <c r="I92" s="5">
        <f>IFERROR(__xludf.DUMMYFUNCTION("HLOOKUP($A92,IMPORTRANGE(""https://docs.google.com/spreadsheets/d/1l83w8bH-F1czkFOqsgQy6o8O33Jb4Pfg40W0ou2nk0k/edit#gid=0"",""'Game 4'!$B$2:$Q$31""),30,False)"),0.0)</f>
        <v>0</v>
      </c>
      <c r="J92" s="5">
        <f>IFERROR(__xludf.DUMMYFUNCTION("HLOOKUP($A92,IMPORTRANGE(""https://docs.google.com/spreadsheets/d/15X-ub7GvrCQZ3UGgyogcjwYdxG-Ng8WHxzGSj1Z3eLw/edit#gid=0"",""'Game 10'!$B$2:$Q$31""),30,False)"),0.0)</f>
        <v>0</v>
      </c>
      <c r="K92" s="5">
        <f>IFERROR(__xludf.DUMMYFUNCTION("IFERROR(HLOOKUP($A92,IMPORTRANGE(""https://docs.google.com/spreadsheets/d/194Bw3ABslPPhOOPvVoMzIk8sOQFICWBu2pydWdYMD-w/edit#gid=0"",""'Game 8'!$B$2:$Q$31""),30,False),1)"),23.0)</f>
        <v>23</v>
      </c>
      <c r="L92" s="5">
        <f>IFERROR(__xludf.DUMMYFUNCTION("IFERROR(HLOOKUP($A92,IMPORTRANGE(""https://docs.google.com/spreadsheets/d/1F2Bi6K_I1K9xRxY5qb-bNRo5m-Kw7udpF1OaTHhrxjs/edit#gid=0"",""'Game 2'!$B$2:$Q$31""),30,False),1)"),0.0)</f>
        <v>0</v>
      </c>
      <c r="M92" s="5">
        <f>IFERROR(__xludf.DUMMYFUNCTION("IFERROR(HLOOKUP($A92,IMPORTRANGE(""https://docs.google.com/spreadsheets/d/1NDNgi_Ny4dRhc2A3UMIIkalN-V6EmsvxOfDzMRQlQ40/edit#gid=0"",""'Game 4'!$B$2:$Q$31""),30,False),1)"),0.0)</f>
        <v>0</v>
      </c>
      <c r="N92" s="5">
        <f>IFERROR(__xludf.DUMMYFUNCTION("IFERROR(HLOOKUP($A92,IMPORTRANGE(""https://docs.google.com/spreadsheets/d/1UDYA3-RrkJNLa2ZLH1NnUjKyfCoiSODmgVL_Au_zt-Y/edit#gid=0"",""'Game 1'!$B$2:$Q$31""),30,False),1)"),0.0)</f>
        <v>0</v>
      </c>
      <c r="O92" s="5">
        <f>IFERROR(__xludf.DUMMYFUNCTION("IFERROR(HLOOKUP($A92,IMPORTRANGE(""https://docs.google.com/spreadsheets/d/1fvo6H94Wcffp6c4N9g3JKCW6y2ZlijPxdOsNz7xdBhw/edit#gid=0"",""'Game 10'!$B$2:$Q$31""),30,False),1)"),0.0)</f>
        <v>0</v>
      </c>
      <c r="P92" s="5">
        <f>IFERROR(__xludf.DUMMYFUNCTION("IFERROR(HLOOKUP($A92,IMPORTRANGE(""https://docs.google.com/spreadsheets/d/1wfQePArl-A-5QJe5xAufoOnzeNLVSoHCRcmpZ_FMdns/edit#gid=0"",""'Game 6'!$B$2:$Q$31""),30,False),1)"),0.0)</f>
        <v>0</v>
      </c>
      <c r="Q92" s="5">
        <f>IFERROR(__xludf.DUMMYFUNCTION("IFERROR(HLOOKUP($A92,IMPORTRANGE(""https://docs.google.com/spreadsheets/d/1wydNznS0hZhVh3oGSdiCZSsReuqMT7Xaw718ix58zAI/edit#gid=0"",""'Game 12'!$B$2:$Q$31""),30,False),1)"),0.0)</f>
        <v>0</v>
      </c>
      <c r="R92" s="6">
        <f t="shared" si="1"/>
        <v>92</v>
      </c>
    </row>
    <row r="93">
      <c r="A93" s="20" t="s">
        <v>253</v>
      </c>
      <c r="B93" s="13" t="s">
        <v>248</v>
      </c>
      <c r="C93" s="20">
        <v>23.0</v>
      </c>
      <c r="D93" s="20">
        <v>23.0</v>
      </c>
      <c r="E93" s="20">
        <v>23.0</v>
      </c>
      <c r="F93" s="20">
        <v>23.0</v>
      </c>
      <c r="G93" s="20">
        <v>23.0</v>
      </c>
      <c r="H93" s="13">
        <v>23.0</v>
      </c>
      <c r="I93" s="12">
        <f>IFERROR(__xludf.DUMMYFUNCTION("HLOOKUP($A93,IMPORTRANGE(""https://docs.google.com/spreadsheets/d/1l83w8bH-F1czkFOqsgQy6o8O33Jb4Pfg40W0ou2nk0k/edit#gid=0"",""'Game 4'!$B$2:$Q$31""),30,False)"),23.0)</f>
        <v>23</v>
      </c>
      <c r="J93" s="12">
        <f>IFERROR(__xludf.DUMMYFUNCTION("HLOOKUP($A93,IMPORTRANGE(""https://docs.google.com/spreadsheets/d/15X-ub7GvrCQZ3UGgyogcjwYdxG-Ng8WHxzGSj1Z3eLw/edit#gid=0"",""'Game 10'!$B$2:$Q$31""),30,False)"),23.0)</f>
        <v>23</v>
      </c>
      <c r="K93" s="12">
        <f>IFERROR(__xludf.DUMMYFUNCTION("IFERROR(HLOOKUP($A93,IMPORTRANGE(""https://docs.google.com/spreadsheets/d/194Bw3ABslPPhOOPvVoMzIk8sOQFICWBu2pydWdYMD-w/edit#gid=0"",""'Game 8'!$B$2:$Q$31""),30,False),1)"),0.0)</f>
        <v>0</v>
      </c>
      <c r="L93" s="12">
        <f>IFERROR(__xludf.DUMMYFUNCTION("IFERROR(HLOOKUP($A93,IMPORTRANGE(""https://docs.google.com/spreadsheets/d/1F2Bi6K_I1K9xRxY5qb-bNRo5m-Kw7udpF1OaTHhrxjs/edit#gid=0"",""'Game 2'!$B$2:$Q$31""),30,False),1)"),23.0)</f>
        <v>23</v>
      </c>
      <c r="M93" s="12">
        <f>IFERROR(__xludf.DUMMYFUNCTION("IFERROR(HLOOKUP($A93,IMPORTRANGE(""https://docs.google.com/spreadsheets/d/1NDNgi_Ny4dRhc2A3UMIIkalN-V6EmsvxOfDzMRQlQ40/edit#gid=0"",""'Game 4'!$B$2:$Q$31""),30,False),1)"),23.0)</f>
        <v>23</v>
      </c>
      <c r="N93" s="12">
        <f>IFERROR(__xludf.DUMMYFUNCTION("IFERROR(HLOOKUP($A93,IMPORTRANGE(""https://docs.google.com/spreadsheets/d/1UDYA3-RrkJNLa2ZLH1NnUjKyfCoiSODmgVL_Au_zt-Y/edit#gid=0"",""'Game 1'!$B$2:$Q$31""),30,False),1)"),23.0)</f>
        <v>23</v>
      </c>
      <c r="O93" s="12">
        <f>IFERROR(__xludf.DUMMYFUNCTION("IFERROR(HLOOKUP($A93,IMPORTRANGE(""https://docs.google.com/spreadsheets/d/1fvo6H94Wcffp6c4N9g3JKCW6y2ZlijPxdOsNz7xdBhw/edit#gid=0"",""'Game 10'!$B$2:$Q$31""),30,False),1)"),23.0)</f>
        <v>23</v>
      </c>
      <c r="P93" s="12">
        <f>IFERROR(__xludf.DUMMYFUNCTION("IFERROR(HLOOKUP($A93,IMPORTRANGE(""https://docs.google.com/spreadsheets/d/1wfQePArl-A-5QJe5xAufoOnzeNLVSoHCRcmpZ_FMdns/edit#gid=0"",""'Game 6'!$B$2:$Q$31""),30,False),1)"),23.0)</f>
        <v>23</v>
      </c>
      <c r="Q93" s="12">
        <f>IFERROR(__xludf.DUMMYFUNCTION("IFERROR(HLOOKUP($A93,IMPORTRANGE(""https://docs.google.com/spreadsheets/d/1wydNznS0hZhVh3oGSdiCZSsReuqMT7Xaw718ix58zAI/edit#gid=0"",""'Game 12'!$B$2:$Q$31""),30,False),1)"),23.0)</f>
        <v>23</v>
      </c>
      <c r="R93" s="13">
        <f t="shared" si="1"/>
        <v>322</v>
      </c>
    </row>
    <row r="94">
      <c r="A94" s="18" t="s">
        <v>256</v>
      </c>
      <c r="B94" s="6" t="s">
        <v>248</v>
      </c>
      <c r="C94" s="18">
        <v>23.0</v>
      </c>
      <c r="D94" s="18">
        <v>23.0</v>
      </c>
      <c r="E94" s="18">
        <v>23.0</v>
      </c>
      <c r="F94" s="18">
        <v>23.0</v>
      </c>
      <c r="G94" s="18">
        <v>23.0</v>
      </c>
      <c r="H94" s="6">
        <v>23.0</v>
      </c>
      <c r="I94" s="5">
        <f>IFERROR(__xludf.DUMMYFUNCTION("HLOOKUP($A94,IMPORTRANGE(""https://docs.google.com/spreadsheets/d/1l83w8bH-F1czkFOqsgQy6o8O33Jb4Pfg40W0ou2nk0k/edit#gid=0"",""'Game 4'!$B$2:$Q$31""),30,False)"),23.0)</f>
        <v>23</v>
      </c>
      <c r="J94" s="5">
        <f>IFERROR(__xludf.DUMMYFUNCTION("HLOOKUP($A94,IMPORTRANGE(""https://docs.google.com/spreadsheets/d/15X-ub7GvrCQZ3UGgyogcjwYdxG-Ng8WHxzGSj1Z3eLw/edit#gid=0"",""'Game 10'!$B$2:$Q$31""),30,False)"),23.0)</f>
        <v>23</v>
      </c>
      <c r="K94" s="5">
        <f>IFERROR(__xludf.DUMMYFUNCTION("IFERROR(HLOOKUP($A94,IMPORTRANGE(""https://docs.google.com/spreadsheets/d/194Bw3ABslPPhOOPvVoMzIk8sOQFICWBu2pydWdYMD-w/edit#gid=0"",""'Game 8'!$B$2:$Q$31""),30,False),1)"),23.0)</f>
        <v>23</v>
      </c>
      <c r="L94" s="5">
        <f>IFERROR(__xludf.DUMMYFUNCTION("IFERROR(HLOOKUP($A94,IMPORTRANGE(""https://docs.google.com/spreadsheets/d/1F2Bi6K_I1K9xRxY5qb-bNRo5m-Kw7udpF1OaTHhrxjs/edit#gid=0"",""'Game 2'!$B$2:$Q$31""),30,False),1)"),23.0)</f>
        <v>23</v>
      </c>
      <c r="M94" s="5">
        <f>IFERROR(__xludf.DUMMYFUNCTION("IFERROR(HLOOKUP($A94,IMPORTRANGE(""https://docs.google.com/spreadsheets/d/1NDNgi_Ny4dRhc2A3UMIIkalN-V6EmsvxOfDzMRQlQ40/edit#gid=0"",""'Game 4'!$B$2:$Q$31""),30,False),1)"),23.0)</f>
        <v>23</v>
      </c>
      <c r="N94" s="5">
        <f>IFERROR(__xludf.DUMMYFUNCTION("IFERROR(HLOOKUP($A94,IMPORTRANGE(""https://docs.google.com/spreadsheets/d/1UDYA3-RrkJNLa2ZLH1NnUjKyfCoiSODmgVL_Au_zt-Y/edit#gid=0"",""'Game 1'!$B$2:$Q$31""),30,False),1)"),23.0)</f>
        <v>23</v>
      </c>
      <c r="O94" s="5">
        <f>IFERROR(__xludf.DUMMYFUNCTION("IFERROR(HLOOKUP($A94,IMPORTRANGE(""https://docs.google.com/spreadsheets/d/1fvo6H94Wcffp6c4N9g3JKCW6y2ZlijPxdOsNz7xdBhw/edit#gid=0"",""'Game 10'!$B$2:$Q$31""),30,False),1)"),23.0)</f>
        <v>23</v>
      </c>
      <c r="P94" s="5">
        <f>IFERROR(__xludf.DUMMYFUNCTION("IFERROR(HLOOKUP($A94,IMPORTRANGE(""https://docs.google.com/spreadsheets/d/1wfQePArl-A-5QJe5xAufoOnzeNLVSoHCRcmpZ_FMdns/edit#gid=0"",""'Game 6'!$B$2:$Q$31""),30,False),1)"),23.0)</f>
        <v>23</v>
      </c>
      <c r="Q94" s="5">
        <f>IFERROR(__xludf.DUMMYFUNCTION("IFERROR(HLOOKUP($A94,IMPORTRANGE(""https://docs.google.com/spreadsheets/d/1wydNznS0hZhVh3oGSdiCZSsReuqMT7Xaw718ix58zAI/edit#gid=0"",""'Game 12'!$B$2:$Q$31""),30,False),1)"),23.0)</f>
        <v>23</v>
      </c>
      <c r="R94" s="6">
        <f t="shared" si="1"/>
        <v>345</v>
      </c>
    </row>
    <row r="95">
      <c r="A95" s="20" t="s">
        <v>258</v>
      </c>
      <c r="B95" s="20" t="s">
        <v>248</v>
      </c>
      <c r="C95" s="20">
        <v>23.0</v>
      </c>
      <c r="D95" s="20">
        <v>0.0</v>
      </c>
      <c r="E95" s="20">
        <v>0.0</v>
      </c>
      <c r="F95" s="20">
        <v>0.0</v>
      </c>
      <c r="G95" s="20">
        <v>0.0</v>
      </c>
      <c r="H95" s="13">
        <v>0.0</v>
      </c>
      <c r="I95" s="29">
        <v>0.0</v>
      </c>
      <c r="J95" s="12">
        <f>IFERROR(__xludf.DUMMYFUNCTION("HLOOKUP($A95,IMPORTRANGE(""https://docs.google.com/spreadsheets/d/15X-ub7GvrCQZ3UGgyogcjwYdxG-Ng8WHxzGSj1Z3eLw/edit#gid=0"",""'Game 10'!$B$2:$Q$31""),30,False)"),0.0)</f>
        <v>0</v>
      </c>
      <c r="K95" s="12">
        <f>IFERROR(__xludf.DUMMYFUNCTION("IFERROR(HLOOKUP($A95,IMPORTRANGE(""https://docs.google.com/spreadsheets/d/194Bw3ABslPPhOOPvVoMzIk8sOQFICWBu2pydWdYMD-w/edit#gid=0"",""'Game 8'!$B$2:$Q$31""),30,False),1)"),0.0)</f>
        <v>0</v>
      </c>
      <c r="L95" s="12">
        <f>IFERROR(__xludf.DUMMYFUNCTION("IFERROR(HLOOKUP($A95,IMPORTRANGE(""https://docs.google.com/spreadsheets/d/1F2Bi6K_I1K9xRxY5qb-bNRo5m-Kw7udpF1OaTHhrxjs/edit#gid=0"",""'Game 2'!$B$2:$Q$31""),30,False),1)"),0.0)</f>
        <v>0</v>
      </c>
      <c r="M95" s="12">
        <f>IFERROR(__xludf.DUMMYFUNCTION("IFERROR(HLOOKUP($A95,IMPORTRANGE(""https://docs.google.com/spreadsheets/d/1NDNgi_Ny4dRhc2A3UMIIkalN-V6EmsvxOfDzMRQlQ40/edit#gid=0"",""'Game 4'!$B$2:$Q$31""),30,False),1)"),23.0)</f>
        <v>23</v>
      </c>
      <c r="N95" s="12">
        <f>IFERROR(__xludf.DUMMYFUNCTION("IFERROR(HLOOKUP($A95,IMPORTRANGE(""https://docs.google.com/spreadsheets/d/1UDYA3-RrkJNLa2ZLH1NnUjKyfCoiSODmgVL_Au_zt-Y/edit#gid=0"",""'Game 1'!$B$2:$Q$31""),30,False),1)"),23.0)</f>
        <v>23</v>
      </c>
      <c r="O95" s="12">
        <f>IFERROR(__xludf.DUMMYFUNCTION("IFERROR(HLOOKUP($A95,IMPORTRANGE(""https://docs.google.com/spreadsheets/d/1fvo6H94Wcffp6c4N9g3JKCW6y2ZlijPxdOsNz7xdBhw/edit#gid=0"",""'Game 10'!$B$2:$Q$31""),30,False),1)"),23.0)</f>
        <v>23</v>
      </c>
      <c r="P95" s="12">
        <f>IFERROR(__xludf.DUMMYFUNCTION("IFERROR(HLOOKUP($A95,IMPORTRANGE(""https://docs.google.com/spreadsheets/d/1wfQePArl-A-5QJe5xAufoOnzeNLVSoHCRcmpZ_FMdns/edit#gid=0"",""'Game 6'!$B$2:$Q$31""),30,False),1)"),23.0)</f>
        <v>23</v>
      </c>
      <c r="Q95" s="12">
        <f>IFERROR(__xludf.DUMMYFUNCTION("IFERROR(HLOOKUP($A95,IMPORTRANGE(""https://docs.google.com/spreadsheets/d/1wydNznS0hZhVh3oGSdiCZSsReuqMT7Xaw718ix58zAI/edit#gid=0"",""'Game 12'!$B$2:$Q$31""),30,False),1)"),23.0)</f>
        <v>23</v>
      </c>
      <c r="R95" s="13">
        <f t="shared" si="1"/>
        <v>138</v>
      </c>
    </row>
    <row r="96">
      <c r="A96" s="18" t="s">
        <v>260</v>
      </c>
      <c r="B96" s="6" t="s">
        <v>261</v>
      </c>
      <c r="C96" s="18">
        <v>23.0</v>
      </c>
      <c r="D96" s="18">
        <v>23.0</v>
      </c>
      <c r="E96" s="18">
        <v>23.0</v>
      </c>
      <c r="F96" s="18">
        <v>23.0</v>
      </c>
      <c r="G96" s="18">
        <v>23.0</v>
      </c>
      <c r="H96" s="6">
        <v>23.0</v>
      </c>
      <c r="I96" s="5">
        <f>IFERROR(__xludf.DUMMYFUNCTION("HLOOKUP($A96,IMPORTRANGE(""https://docs.google.com/spreadsheets/d/1l83w8bH-F1czkFOqsgQy6o8O33Jb4Pfg40W0ou2nk0k/edit#gid=0"",""'Game 9'!$B$2:$Q$31""),30,False)"),23.0)</f>
        <v>23</v>
      </c>
      <c r="J96" s="5">
        <f>IFERROR(__xludf.DUMMYFUNCTION("HLOOKUP($A96,IMPORTRANGE(""https://docs.google.com/spreadsheets/d/15X-ub7GvrCQZ3UGgyogcjwYdxG-Ng8WHxzGSj1Z3eLw/edit#gid=0"",""'Game 6'!$B$2:$Q$31""),30,False)"),23.0)</f>
        <v>23</v>
      </c>
      <c r="K96" s="5">
        <f>IFERROR(__xludf.DUMMYFUNCTION("IFERROR(HLOOKUP($A96,IMPORTRANGE(""https://docs.google.com/spreadsheets/d/194Bw3ABslPPhOOPvVoMzIk8sOQFICWBu2pydWdYMD-w/edit#gid=0"",""'Game 9'!$B$2:$Q$31""),30,False),1)"),23.0)</f>
        <v>23</v>
      </c>
      <c r="L96" s="5">
        <f>IFERROR(__xludf.DUMMYFUNCTION("IFERROR(HLOOKUP($A96,IMPORTRANGE(""https://docs.google.com/spreadsheets/d/1F2Bi6K_I1K9xRxY5qb-bNRo5m-Kw7udpF1OaTHhrxjs/edit#gid=0"",""'Game 5'!$B$2:$Q$26""),25,False),1)"),23.0)</f>
        <v>23</v>
      </c>
      <c r="M96" s="5">
        <f>IFERROR(__xludf.DUMMYFUNCTION("IFERROR(HLOOKUP($A96,IMPORTRANGE(""https://docs.google.com/spreadsheets/d/1NDNgi_Ny4dRhc2A3UMIIkalN-V6EmsvxOfDzMRQlQ40/edit#gid=0"",""'Game 10'!$B$2:$Q$31""),30,False),1)"),23.0)</f>
        <v>23</v>
      </c>
      <c r="N96" s="5">
        <f>IFERROR(__xludf.DUMMYFUNCTION("IFERROR(HLOOKUP($A96,IMPORTRANGE(""https://docs.google.com/spreadsheets/d/1UDYA3-RrkJNLa2ZLH1NnUjKyfCoiSODmgVL_Au_zt-Y/edit#gid=0"",""'Game 8'!$B$2:$Q$31""),30,False),1)"),23.0)</f>
        <v>23</v>
      </c>
      <c r="O96" s="5">
        <f>IFERROR(__xludf.DUMMYFUNCTION("IFERROR(HLOOKUP($A96,IMPORTRANGE(""https://docs.google.com/spreadsheets/d/1fvo6H94Wcffp6c4N9g3JKCW6y2ZlijPxdOsNz7xdBhw/edit#gid=0"",""'Game 2'!$B$2:$Q$31""),30,False),1)"),23.0)</f>
        <v>23</v>
      </c>
      <c r="P96" s="5">
        <f>IFERROR(__xludf.DUMMYFUNCTION("IFERROR(HLOOKUP($A96,IMPORTRANGE(""https://docs.google.com/spreadsheets/d/1wfQePArl-A-5QJe5xAufoOnzeNLVSoHCRcmpZ_FMdns/edit#gid=0"",""'Game 9'!$B$2:$Q$31""),30,False),1)"),23.0)</f>
        <v>23</v>
      </c>
      <c r="Q96" s="5">
        <f>IFERROR(__xludf.DUMMYFUNCTION("IFERROR(HLOOKUP($A96,IMPORTRANGE(""https://docs.google.com/spreadsheets/d/1wydNznS0hZhVh3oGSdiCZSsReuqMT7Xaw718ix58zAI/edit#gid=0"",""'Game 12'!$B$2:$Q$31""),30,False),1)"),23.0)</f>
        <v>23</v>
      </c>
      <c r="R96" s="6">
        <f t="shared" si="1"/>
        <v>345</v>
      </c>
    </row>
    <row r="97">
      <c r="A97" s="20" t="s">
        <v>264</v>
      </c>
      <c r="B97" s="13" t="s">
        <v>261</v>
      </c>
      <c r="C97" s="20">
        <v>23.0</v>
      </c>
      <c r="D97" s="20">
        <v>23.0</v>
      </c>
      <c r="E97" s="20">
        <v>23.0</v>
      </c>
      <c r="F97" s="20">
        <v>23.0</v>
      </c>
      <c r="G97" s="20">
        <v>23.0</v>
      </c>
      <c r="H97" s="13">
        <v>23.0</v>
      </c>
      <c r="I97" s="12">
        <f>IFERROR(__xludf.DUMMYFUNCTION("HLOOKUP($A97,IMPORTRANGE(""https://docs.google.com/spreadsheets/d/1l83w8bH-F1czkFOqsgQy6o8O33Jb4Pfg40W0ou2nk0k/edit#gid=0"",""'Game 9'!$B$2:$Q$31""),30,False)"),23.0)</f>
        <v>23</v>
      </c>
      <c r="J97" s="12">
        <f>IFERROR(__xludf.DUMMYFUNCTION("HLOOKUP($A97,IMPORTRANGE(""https://docs.google.com/spreadsheets/d/15X-ub7GvrCQZ3UGgyogcjwYdxG-Ng8WHxzGSj1Z3eLw/edit#gid=0"",""'Game 6'!$B$2:$Q$31""),30,False)"),23.0)</f>
        <v>23</v>
      </c>
      <c r="K97" s="12">
        <f>IFERROR(__xludf.DUMMYFUNCTION("IFERROR(HLOOKUP($A97,IMPORTRANGE(""https://docs.google.com/spreadsheets/d/194Bw3ABslPPhOOPvVoMzIk8sOQFICWBu2pydWdYMD-w/edit#gid=0"",""'Game 9'!$B$2:$Q$31""),30,False),1)"),23.0)</f>
        <v>23</v>
      </c>
      <c r="L97" s="12">
        <f>IFERROR(__xludf.DUMMYFUNCTION("IFERROR(HLOOKUP($A97,IMPORTRANGE(""https://docs.google.com/spreadsheets/d/1F2Bi6K_I1K9xRxY5qb-bNRo5m-Kw7udpF1OaTHhrxjs/edit#gid=0"",""'Game 5'!$B$2:$Q$26""),25,False),1)"),23.0)</f>
        <v>23</v>
      </c>
      <c r="M97" s="12">
        <f>IFERROR(__xludf.DUMMYFUNCTION("IFERROR(HLOOKUP($A97,IMPORTRANGE(""https://docs.google.com/spreadsheets/d/1NDNgi_Ny4dRhc2A3UMIIkalN-V6EmsvxOfDzMRQlQ40/edit#gid=0"",""'Game 10'!$B$2:$Q$31""),30,False),1)"),23.0)</f>
        <v>23</v>
      </c>
      <c r="N97" s="12">
        <f>IFERROR(__xludf.DUMMYFUNCTION("IFERROR(HLOOKUP($A97,IMPORTRANGE(""https://docs.google.com/spreadsheets/d/1UDYA3-RrkJNLa2ZLH1NnUjKyfCoiSODmgVL_Au_zt-Y/edit#gid=0"",""'Game 8'!$B$2:$Q$31""),30,False),1)"),23.0)</f>
        <v>23</v>
      </c>
      <c r="O97" s="12">
        <f>IFERROR(__xludf.DUMMYFUNCTION("IFERROR(HLOOKUP($A97,IMPORTRANGE(""https://docs.google.com/spreadsheets/d/1fvo6H94Wcffp6c4N9g3JKCW6y2ZlijPxdOsNz7xdBhw/edit#gid=0"",""'Game 2'!$B$2:$Q$31""),30,False),1)"),23.0)</f>
        <v>23</v>
      </c>
      <c r="P97" s="12">
        <f>IFERROR(__xludf.DUMMYFUNCTION("IFERROR(HLOOKUP($A97,IMPORTRANGE(""https://docs.google.com/spreadsheets/d/1wfQePArl-A-5QJe5xAufoOnzeNLVSoHCRcmpZ_FMdns/edit#gid=0"",""'Game 9'!$B$2:$Q$31""),30,False),1)"),23.0)</f>
        <v>23</v>
      </c>
      <c r="Q97" s="12">
        <f>IFERROR(__xludf.DUMMYFUNCTION("IFERROR(HLOOKUP($A97,IMPORTRANGE(""https://docs.google.com/spreadsheets/d/1wydNznS0hZhVh3oGSdiCZSsReuqMT7Xaw718ix58zAI/edit#gid=0"",""'Game 12'!$B$2:$Q$31""),30,False),1)"),23.0)</f>
        <v>23</v>
      </c>
      <c r="R97" s="13">
        <f t="shared" si="1"/>
        <v>345</v>
      </c>
    </row>
    <row r="98">
      <c r="A98" s="18" t="s">
        <v>267</v>
      </c>
      <c r="B98" s="6" t="s">
        <v>261</v>
      </c>
      <c r="C98" s="18">
        <v>23.0</v>
      </c>
      <c r="D98" s="18">
        <v>23.0</v>
      </c>
      <c r="E98" s="18">
        <v>23.0</v>
      </c>
      <c r="F98" s="18">
        <v>23.0</v>
      </c>
      <c r="G98" s="18">
        <v>23.0</v>
      </c>
      <c r="H98" s="6">
        <v>23.0</v>
      </c>
      <c r="I98" s="5">
        <f>IFERROR(__xludf.DUMMYFUNCTION("HLOOKUP($A98,IMPORTRANGE(""https://docs.google.com/spreadsheets/d/1l83w8bH-F1czkFOqsgQy6o8O33Jb4Pfg40W0ou2nk0k/edit#gid=0"",""'Game 9'!$B$2:$Q$31""),30,False)"),23.0)</f>
        <v>23</v>
      </c>
      <c r="J98" s="5">
        <f>IFERROR(__xludf.DUMMYFUNCTION("HLOOKUP($A98,IMPORTRANGE(""https://docs.google.com/spreadsheets/d/15X-ub7GvrCQZ3UGgyogcjwYdxG-Ng8WHxzGSj1Z3eLw/edit#gid=0"",""'Game 6'!$B$2:$Q$31""),30,False)"),23.0)</f>
        <v>23</v>
      </c>
      <c r="K98" s="5">
        <f>IFERROR(__xludf.DUMMYFUNCTION("IFERROR(HLOOKUP($A98,IMPORTRANGE(""https://docs.google.com/spreadsheets/d/194Bw3ABslPPhOOPvVoMzIk8sOQFICWBu2pydWdYMD-w/edit#gid=0"",""'Game 9'!$B$2:$Q$31""),30,False),1)"),23.0)</f>
        <v>23</v>
      </c>
      <c r="L98" s="5">
        <f>IFERROR(__xludf.DUMMYFUNCTION("IFERROR(HLOOKUP($A98,IMPORTRANGE(""https://docs.google.com/spreadsheets/d/1F2Bi6K_I1K9xRxY5qb-bNRo5m-Kw7udpF1OaTHhrxjs/edit#gid=0"",""'Game 5'!$B$2:$Q$26""),25,False),1)"),23.0)</f>
        <v>23</v>
      </c>
      <c r="M98" s="5">
        <f>IFERROR(__xludf.DUMMYFUNCTION("IFERROR(HLOOKUP($A98,IMPORTRANGE(""https://docs.google.com/spreadsheets/d/1NDNgi_Ny4dRhc2A3UMIIkalN-V6EmsvxOfDzMRQlQ40/edit#gid=0"",""'Game 10'!$B$2:$Q$31""),30,False),1)"),23.0)</f>
        <v>23</v>
      </c>
      <c r="N98" s="5">
        <f>IFERROR(__xludf.DUMMYFUNCTION("IFERROR(HLOOKUP($A98,IMPORTRANGE(""https://docs.google.com/spreadsheets/d/1UDYA3-RrkJNLa2ZLH1NnUjKyfCoiSODmgVL_Au_zt-Y/edit#gid=0"",""'Game 8'!$B$2:$Q$31""),30,False),1)"),23.0)</f>
        <v>23</v>
      </c>
      <c r="O98" s="5">
        <f>IFERROR(__xludf.DUMMYFUNCTION("IFERROR(HLOOKUP($A98,IMPORTRANGE(""https://docs.google.com/spreadsheets/d/1fvo6H94Wcffp6c4N9g3JKCW6y2ZlijPxdOsNz7xdBhw/edit#gid=0"",""'Game 2'!$B$2:$Q$31""),30,False),1)"),23.0)</f>
        <v>23</v>
      </c>
      <c r="P98" s="5">
        <f>IFERROR(__xludf.DUMMYFUNCTION("IFERROR(HLOOKUP($A98,IMPORTRANGE(""https://docs.google.com/spreadsheets/d/1wfQePArl-A-5QJe5xAufoOnzeNLVSoHCRcmpZ_FMdns/edit#gid=0"",""'Game 9'!$B$2:$Q$31""),30,False),1)"),23.0)</f>
        <v>23</v>
      </c>
      <c r="Q98" s="5">
        <f>IFERROR(__xludf.DUMMYFUNCTION("IFERROR(HLOOKUP($A98,IMPORTRANGE(""https://docs.google.com/spreadsheets/d/1wydNznS0hZhVh3oGSdiCZSsReuqMT7Xaw718ix58zAI/edit#gid=0"",""'Game 12'!$B$2:$Q$31""),30,False),1)"),23.0)</f>
        <v>23</v>
      </c>
      <c r="R98" s="6">
        <f t="shared" si="1"/>
        <v>345</v>
      </c>
    </row>
    <row r="99">
      <c r="A99" s="20" t="s">
        <v>269</v>
      </c>
      <c r="B99" s="20" t="s">
        <v>261</v>
      </c>
      <c r="C99" s="20">
        <v>23.0</v>
      </c>
      <c r="D99" s="20">
        <v>23.0</v>
      </c>
      <c r="E99" s="20">
        <v>23.0</v>
      </c>
      <c r="F99" s="20">
        <v>23.0</v>
      </c>
      <c r="G99" s="20">
        <v>23.0</v>
      </c>
      <c r="H99" s="13">
        <v>23.0</v>
      </c>
      <c r="I99" s="12">
        <f>IFERROR(__xludf.DUMMYFUNCTION("HLOOKUP($A99,IMPORTRANGE(""https://docs.google.com/spreadsheets/d/1l83w8bH-F1czkFOqsgQy6o8O33Jb4Pfg40W0ou2nk0k/edit#gid=0"",""'Game 9'!$B$2:$Q$31""),30,False)"),23.0)</f>
        <v>23</v>
      </c>
      <c r="J99" s="12">
        <f>IFERROR(__xludf.DUMMYFUNCTION("HLOOKUP($A99,IMPORTRANGE(""https://docs.google.com/spreadsheets/d/15X-ub7GvrCQZ3UGgyogcjwYdxG-Ng8WHxzGSj1Z3eLw/edit#gid=0"",""'Game 6'!$B$2:$Q$31""),30,False)"),23.0)</f>
        <v>23</v>
      </c>
      <c r="K99" s="12">
        <f>IFERROR(__xludf.DUMMYFUNCTION("IFERROR(HLOOKUP($A99,IMPORTRANGE(""https://docs.google.com/spreadsheets/d/194Bw3ABslPPhOOPvVoMzIk8sOQFICWBu2pydWdYMD-w/edit#gid=0"",""'Game 9'!$B$2:$Q$31""),30,False),1)"),23.0)</f>
        <v>23</v>
      </c>
      <c r="L99" s="12">
        <f>IFERROR(__xludf.DUMMYFUNCTION("IFERROR(HLOOKUP($A99,IMPORTRANGE(""https://docs.google.com/spreadsheets/d/1F2Bi6K_I1K9xRxY5qb-bNRo5m-Kw7udpF1OaTHhrxjs/edit#gid=0"",""'Game 5'!$B$2:$Q$26""),25,False),1)"),23.0)</f>
        <v>23</v>
      </c>
      <c r="M99" s="12">
        <f>IFERROR(__xludf.DUMMYFUNCTION("IFERROR(HLOOKUP($A99,IMPORTRANGE(""https://docs.google.com/spreadsheets/d/1NDNgi_Ny4dRhc2A3UMIIkalN-V6EmsvxOfDzMRQlQ40/edit#gid=0"",""'Game 10'!$B$2:$Q$31""),30,False),1)"),23.0)</f>
        <v>23</v>
      </c>
      <c r="N99" s="12">
        <f>IFERROR(__xludf.DUMMYFUNCTION("IFERROR(HLOOKUP($A99,IMPORTRANGE(""https://docs.google.com/spreadsheets/d/1UDYA3-RrkJNLa2ZLH1NnUjKyfCoiSODmgVL_Au_zt-Y/edit#gid=0"",""'Game 8'!$B$2:$Q$31""),30,False),1)"),23.0)</f>
        <v>23</v>
      </c>
      <c r="O99" s="12">
        <f>IFERROR(__xludf.DUMMYFUNCTION("IFERROR(HLOOKUP($A99,IMPORTRANGE(""https://docs.google.com/spreadsheets/d/1fvo6H94Wcffp6c4N9g3JKCW6y2ZlijPxdOsNz7xdBhw/edit#gid=0"",""'Game 2'!$B$2:$Q$31""),30,False),1)"),23.0)</f>
        <v>23</v>
      </c>
      <c r="P99" s="12">
        <f>IFERROR(__xludf.DUMMYFUNCTION("IFERROR(HLOOKUP($A99,IMPORTRANGE(""https://docs.google.com/spreadsheets/d/1wfQePArl-A-5QJe5xAufoOnzeNLVSoHCRcmpZ_FMdns/edit#gid=0"",""'Game 9'!$B$2:$Q$31""),30,False),1)"),23.0)</f>
        <v>23</v>
      </c>
      <c r="Q99" s="12">
        <f>IFERROR(__xludf.DUMMYFUNCTION("IFERROR(HLOOKUP($A99,IMPORTRANGE(""https://docs.google.com/spreadsheets/d/1wydNznS0hZhVh3oGSdiCZSsReuqMT7Xaw718ix58zAI/edit#gid=0"",""'Game 12'!$B$2:$Q$31""),30,False),1)"),23.0)</f>
        <v>23</v>
      </c>
      <c r="R99" s="13">
        <f t="shared" si="1"/>
        <v>345</v>
      </c>
    </row>
    <row r="100">
      <c r="A100" s="18" t="s">
        <v>271</v>
      </c>
      <c r="B100" s="18" t="s">
        <v>272</v>
      </c>
      <c r="C100" s="18">
        <v>23.0</v>
      </c>
      <c r="D100" s="18">
        <v>23.0</v>
      </c>
      <c r="E100" s="18">
        <v>23.0</v>
      </c>
      <c r="F100" s="18">
        <v>23.0</v>
      </c>
      <c r="G100" s="18">
        <v>23.0</v>
      </c>
      <c r="H100" s="6">
        <v>23.0</v>
      </c>
      <c r="I100" s="5">
        <f>IFERROR(__xludf.DUMMYFUNCTION("HLOOKUP($A100,IMPORTRANGE(""https://docs.google.com/spreadsheets/d/1l83w8bH-F1czkFOqsgQy6o8O33Jb4Pfg40W0ou2nk0k/edit#gid=0"",""'Game 7'!$B$2:$Q$31""),30,False)"),23.0)</f>
        <v>23</v>
      </c>
      <c r="J100" s="5">
        <f>IFERROR(__xludf.DUMMYFUNCTION("HLOOKUP($A100,IMPORTRANGE(""https://docs.google.com/spreadsheets/d/15X-ub7GvrCQZ3UGgyogcjwYdxG-Ng8WHxzGSj1Z3eLw/edit#gid=0"",""'Game 3'!$B$2:$Q$31""),30,False)"),23.0)</f>
        <v>23</v>
      </c>
      <c r="K100" s="5">
        <f>IFERROR(__xludf.DUMMYFUNCTION("IFERROR(HLOOKUP($A100,IMPORTRANGE(""https://docs.google.com/spreadsheets/d/194Bw3ABslPPhOOPvVoMzIk8sOQFICWBu2pydWdYMD-w/edit#gid=0"",""'Game 9'!$B$2:$Q$31""),30,False),1)"),23.0)</f>
        <v>23</v>
      </c>
      <c r="L100" s="5">
        <f>IFERROR(__xludf.DUMMYFUNCTION("IFERROR(HLOOKUP($A100,IMPORTRANGE(""https://docs.google.com/spreadsheets/d/1F2Bi6K_I1K9xRxY5qb-bNRo5m-Kw7udpF1OaTHhrxjs/edit#gid=0"",""'Game 11'!$B$2:$Q$31""),30,False),1)"),23.0)</f>
        <v>23</v>
      </c>
      <c r="M100" s="5">
        <f>IFERROR(__xludf.DUMMYFUNCTION("IFERROR(HLOOKUP($A100,IMPORTRANGE(""https://docs.google.com/spreadsheets/d/1NDNgi_Ny4dRhc2A3UMIIkalN-V6EmsvxOfDzMRQlQ40/edit#gid=0"",""'Game 8'!$B$2:$Q$31""),30,False),1)"),23.0)</f>
        <v>23</v>
      </c>
      <c r="N100" s="5">
        <f>IFERROR(__xludf.DUMMYFUNCTION("IFERROR(HLOOKUP($A100,IMPORTRANGE(""https://docs.google.com/spreadsheets/d/1UDYA3-RrkJNLa2ZLH1NnUjKyfCoiSODmgVL_Au_zt-Y/edit#gid=0"",""'Game 5'!$B$2:$Q$31""),30,False),1)"),23.0)</f>
        <v>23</v>
      </c>
      <c r="O100" s="5">
        <f>IFERROR(__xludf.DUMMYFUNCTION("IFERROR(HLOOKUP($A100,IMPORTRANGE(""https://docs.google.com/spreadsheets/d/1fvo6H94Wcffp6c4N9g3JKCW6y2ZlijPxdOsNz7xdBhw/edit#gid=0"",""'Game 6'!$B$2:$Q$31""),30,False),1)"),23.0)</f>
        <v>23</v>
      </c>
      <c r="P100" s="5">
        <f>IFERROR(__xludf.DUMMYFUNCTION("IFERROR(HLOOKUP($A100,IMPORTRANGE(""https://docs.google.com/spreadsheets/d/1wfQePArl-A-5QJe5xAufoOnzeNLVSoHCRcmpZ_FMdns/edit#gid=0"",""'Game 7'!$B$2:$Q$31""),30,False),1)"),23.0)</f>
        <v>23</v>
      </c>
      <c r="Q100" s="5">
        <f>IFERROR(__xludf.DUMMYFUNCTION("IFERROR(HLOOKUP($A100,IMPORTRANGE(""https://docs.google.com/spreadsheets/d/1wydNznS0hZhVh3oGSdiCZSsReuqMT7Xaw718ix58zAI/edit#gid=0"",""'Game 11'!$B$2:$Q$31""),30,False),1)"),23.0)</f>
        <v>23</v>
      </c>
      <c r="R100" s="6">
        <f t="shared" si="1"/>
        <v>345</v>
      </c>
    </row>
    <row r="101">
      <c r="A101" s="20" t="s">
        <v>275</v>
      </c>
      <c r="B101" s="13" t="s">
        <v>272</v>
      </c>
      <c r="C101" s="20">
        <v>12.0</v>
      </c>
      <c r="D101" s="20">
        <v>12.0</v>
      </c>
      <c r="E101" s="20">
        <v>11.0</v>
      </c>
      <c r="F101" s="20">
        <v>12.0</v>
      </c>
      <c r="G101" s="20">
        <v>12.0</v>
      </c>
      <c r="H101" s="13">
        <v>12.0</v>
      </c>
      <c r="I101" s="12">
        <f>IFERROR(__xludf.DUMMYFUNCTION("HLOOKUP($A101,IMPORTRANGE(""https://docs.google.com/spreadsheets/d/1l83w8bH-F1czkFOqsgQy6o8O33Jb4Pfg40W0ou2nk0k/edit#gid=0"",""'Game 7'!$B$2:$Q$31""),30,False)"),12.0)</f>
        <v>12</v>
      </c>
      <c r="J101" s="12">
        <f>IFERROR(__xludf.DUMMYFUNCTION("HLOOKUP($A101,IMPORTRANGE(""https://docs.google.com/spreadsheets/d/15X-ub7GvrCQZ3UGgyogcjwYdxG-Ng8WHxzGSj1Z3eLw/edit#gid=0"",""'Game 3'!$B$2:$Q$31""),30,False)"),23.0)</f>
        <v>23</v>
      </c>
      <c r="K101" s="12">
        <f>IFERROR(__xludf.DUMMYFUNCTION("IFERROR(HLOOKUP($A101,IMPORTRANGE(""https://docs.google.com/spreadsheets/d/194Bw3ABslPPhOOPvVoMzIk8sOQFICWBu2pydWdYMD-w/edit#gid=0"",""'Game 9'!$B$2:$Q$31""),30,False),1)"),23.0)</f>
        <v>23</v>
      </c>
      <c r="L101" s="12">
        <f>IFERROR(__xludf.DUMMYFUNCTION("IFERROR(HLOOKUP($A101,IMPORTRANGE(""https://docs.google.com/spreadsheets/d/1F2Bi6K_I1K9xRxY5qb-bNRo5m-Kw7udpF1OaTHhrxjs/edit#gid=0"",""'Game 11'!$B$2:$Q$31""),30,False),1)"),23.0)</f>
        <v>23</v>
      </c>
      <c r="M101" s="12">
        <f>IFERROR(__xludf.DUMMYFUNCTION("IFERROR(HLOOKUP($A101,IMPORTRANGE(""https://docs.google.com/spreadsheets/d/1NDNgi_Ny4dRhc2A3UMIIkalN-V6EmsvxOfDzMRQlQ40/edit#gid=0"",""'Game 8'!$B$2:$Q$31""),30,False),1)"),23.0)</f>
        <v>23</v>
      </c>
      <c r="N101" s="12">
        <f>IFERROR(__xludf.DUMMYFUNCTION("IFERROR(HLOOKUP($A101,IMPORTRANGE(""https://docs.google.com/spreadsheets/d/1UDYA3-RrkJNLa2ZLH1NnUjKyfCoiSODmgVL_Au_zt-Y/edit#gid=0"",""'Game 5'!$B$2:$Q$31""),30,False),1)"),12.0)</f>
        <v>12</v>
      </c>
      <c r="O101" s="12">
        <f>IFERROR(__xludf.DUMMYFUNCTION("IFERROR(HLOOKUP($A101,IMPORTRANGE(""https://docs.google.com/spreadsheets/d/1fvo6H94Wcffp6c4N9g3JKCW6y2ZlijPxdOsNz7xdBhw/edit#gid=0"",""'Game 6'!$B$2:$Q$31""),30,False),1)"),23.0)</f>
        <v>23</v>
      </c>
      <c r="P101" s="12">
        <f>IFERROR(__xludf.DUMMYFUNCTION("IFERROR(HLOOKUP($A101,IMPORTRANGE(""https://docs.google.com/spreadsheets/d/1wfQePArl-A-5QJe5xAufoOnzeNLVSoHCRcmpZ_FMdns/edit#gid=0"",""'Game 7'!$B$2:$Q$31""),30,False),1)"),12.0)</f>
        <v>12</v>
      </c>
      <c r="Q101" s="12">
        <f>IFERROR(__xludf.DUMMYFUNCTION("IFERROR(HLOOKUP($A101,IMPORTRANGE(""https://docs.google.com/spreadsheets/d/1wydNznS0hZhVh3oGSdiCZSsReuqMT7Xaw718ix58zAI/edit#gid=0"",""'Game 11'!$B$2:$Q$31""),30,False),1)"),23.0)</f>
        <v>23</v>
      </c>
      <c r="R101" s="13">
        <f t="shared" si="1"/>
        <v>245</v>
      </c>
    </row>
    <row r="102">
      <c r="A102" s="18" t="s">
        <v>278</v>
      </c>
      <c r="B102" s="6" t="s">
        <v>272</v>
      </c>
      <c r="C102" s="18">
        <v>11.0</v>
      </c>
      <c r="D102" s="18">
        <v>11.0</v>
      </c>
      <c r="E102" s="18">
        <v>12.0</v>
      </c>
      <c r="F102" s="18">
        <v>11.0</v>
      </c>
      <c r="G102" s="18">
        <v>11.0</v>
      </c>
      <c r="H102" s="6">
        <v>11.0</v>
      </c>
      <c r="I102" s="5">
        <f>IFERROR(__xludf.DUMMYFUNCTION("HLOOKUP($A102,IMPORTRANGE(""https://docs.google.com/spreadsheets/d/1l83w8bH-F1czkFOqsgQy6o8O33Jb4Pfg40W0ou2nk0k/edit#gid=0"",""'Game 7'!$B$2:$Q$31""),30,False)"),11.0)</f>
        <v>11</v>
      </c>
      <c r="J102" s="5">
        <f>IFERROR(__xludf.DUMMYFUNCTION("HLOOKUP($A102,IMPORTRANGE(""https://docs.google.com/spreadsheets/d/15X-ub7GvrCQZ3UGgyogcjwYdxG-Ng8WHxzGSj1Z3eLw/edit#gid=0"",""'Game 3'!$B$2:$Q$31""),30,False)"),0.0)</f>
        <v>0</v>
      </c>
      <c r="K102" s="5">
        <f>IFERROR(__xludf.DUMMYFUNCTION("IFERROR(HLOOKUP($A102,IMPORTRANGE(""https://docs.google.com/spreadsheets/d/194Bw3ABslPPhOOPvVoMzIk8sOQFICWBu2pydWdYMD-w/edit#gid=0"",""'Game 9'!$B$2:$Q$31""),30,False),1)"),0.0)</f>
        <v>0</v>
      </c>
      <c r="L102" s="5">
        <f>IFERROR(__xludf.DUMMYFUNCTION("IFERROR(HLOOKUP($A102,IMPORTRANGE(""https://docs.google.com/spreadsheets/d/1F2Bi6K_I1K9xRxY5qb-bNRo5m-Kw7udpF1OaTHhrxjs/edit#gid=0"",""'Game 11'!$B$2:$Q$31""),30,False),1)"),0.0)</f>
        <v>0</v>
      </c>
      <c r="M102" s="5">
        <f>IFERROR(__xludf.DUMMYFUNCTION("IFERROR(HLOOKUP($A102,IMPORTRANGE(""https://docs.google.com/spreadsheets/d/1NDNgi_Ny4dRhc2A3UMIIkalN-V6EmsvxOfDzMRQlQ40/edit#gid=0"",""'Game 8'!$B$2:$Q$31""),30,False),1)"),0.0)</f>
        <v>0</v>
      </c>
      <c r="N102" s="5">
        <f>IFERROR(__xludf.DUMMYFUNCTION("IFERROR(HLOOKUP($A102,IMPORTRANGE(""https://docs.google.com/spreadsheets/d/1UDYA3-RrkJNLa2ZLH1NnUjKyfCoiSODmgVL_Au_zt-Y/edit#gid=0"",""'Game 5'!$B$2:$Q$31""),30,False),1)"),11.0)</f>
        <v>11</v>
      </c>
      <c r="O102" s="5">
        <f>IFERROR(__xludf.DUMMYFUNCTION("IFERROR(HLOOKUP($A102,IMPORTRANGE(""https://docs.google.com/spreadsheets/d/1fvo6H94Wcffp6c4N9g3JKCW6y2ZlijPxdOsNz7xdBhw/edit#gid=0"",""'Game 6'!$B$2:$Q$31""),30,False),1)"),0.0)</f>
        <v>0</v>
      </c>
      <c r="P102" s="5">
        <f>IFERROR(__xludf.DUMMYFUNCTION("IFERROR(HLOOKUP($A102,IMPORTRANGE(""https://docs.google.com/spreadsheets/d/1wfQePArl-A-5QJe5xAufoOnzeNLVSoHCRcmpZ_FMdns/edit#gid=0"",""'Game 7'!$B$2:$Q$31""),30,False),1)"),11.0)</f>
        <v>11</v>
      </c>
      <c r="Q102" s="5">
        <f>IFERROR(__xludf.DUMMYFUNCTION("IFERROR(HLOOKUP($A102,IMPORTRANGE(""https://docs.google.com/spreadsheets/d/1wydNznS0hZhVh3oGSdiCZSsReuqMT7Xaw718ix58zAI/edit#gid=0"",""'Game 11'!$B$2:$Q$31""),30,False),1)"),0.0)</f>
        <v>0</v>
      </c>
      <c r="R102" s="6">
        <f t="shared" si="1"/>
        <v>100</v>
      </c>
    </row>
    <row r="103">
      <c r="A103" s="20" t="s">
        <v>280</v>
      </c>
      <c r="B103" s="13" t="s">
        <v>272</v>
      </c>
      <c r="C103" s="20">
        <v>23.0</v>
      </c>
      <c r="D103" s="20">
        <v>23.0</v>
      </c>
      <c r="E103" s="20">
        <v>23.0</v>
      </c>
      <c r="F103" s="20">
        <v>23.0</v>
      </c>
      <c r="G103" s="20">
        <v>23.0</v>
      </c>
      <c r="H103" s="13">
        <v>23.0</v>
      </c>
      <c r="I103" s="12">
        <f>IFERROR(__xludf.DUMMYFUNCTION("HLOOKUP($A103,IMPORTRANGE(""https://docs.google.com/spreadsheets/d/1l83w8bH-F1czkFOqsgQy6o8O33Jb4Pfg40W0ou2nk0k/edit#gid=0"",""'Game 7'!$B$2:$Q$31""),30,False)"),23.0)</f>
        <v>23</v>
      </c>
      <c r="J103" s="12">
        <f>IFERROR(__xludf.DUMMYFUNCTION("HLOOKUP($A103,IMPORTRANGE(""https://docs.google.com/spreadsheets/d/15X-ub7GvrCQZ3UGgyogcjwYdxG-Ng8WHxzGSj1Z3eLw/edit#gid=0"",""'Game 3'!$B$2:$Q$31""),30,False)"),23.0)</f>
        <v>23</v>
      </c>
      <c r="K103" s="12">
        <f>IFERROR(__xludf.DUMMYFUNCTION("IFERROR(HLOOKUP($A103,IMPORTRANGE(""https://docs.google.com/spreadsheets/d/194Bw3ABslPPhOOPvVoMzIk8sOQFICWBu2pydWdYMD-w/edit#gid=0"",""'Game 9'!$B$2:$Q$31""),30,False),1)"),23.0)</f>
        <v>23</v>
      </c>
      <c r="L103" s="12">
        <f>IFERROR(__xludf.DUMMYFUNCTION("IFERROR(HLOOKUP($A103,IMPORTRANGE(""https://docs.google.com/spreadsheets/d/1F2Bi6K_I1K9xRxY5qb-bNRo5m-Kw7udpF1OaTHhrxjs/edit#gid=0"",""'Game 11'!$B$2:$Q$31""),30,False),1)"),23.0)</f>
        <v>23</v>
      </c>
      <c r="M103" s="12">
        <f>IFERROR(__xludf.DUMMYFUNCTION("IFERROR(HLOOKUP($A103,IMPORTRANGE(""https://docs.google.com/spreadsheets/d/1NDNgi_Ny4dRhc2A3UMIIkalN-V6EmsvxOfDzMRQlQ40/edit#gid=0"",""'Game 8'!$B$2:$Q$31""),30,False),1)"),23.0)</f>
        <v>23</v>
      </c>
      <c r="N103" s="12">
        <f>IFERROR(__xludf.DUMMYFUNCTION("IFERROR(HLOOKUP($A103,IMPORTRANGE(""https://docs.google.com/spreadsheets/d/1UDYA3-RrkJNLa2ZLH1NnUjKyfCoiSODmgVL_Au_zt-Y/edit#gid=0"",""'Game 5'!$B$2:$Q$31""),30,False),1)"),23.0)</f>
        <v>23</v>
      </c>
      <c r="O103" s="12">
        <f>IFERROR(__xludf.DUMMYFUNCTION("IFERROR(HLOOKUP($A103,IMPORTRANGE(""https://docs.google.com/spreadsheets/d/1fvo6H94Wcffp6c4N9g3JKCW6y2ZlijPxdOsNz7xdBhw/edit#gid=0"",""'Game 6'!$B$2:$Q$31""),30,False),1)"),23.0)</f>
        <v>23</v>
      </c>
      <c r="P103" s="12">
        <f>IFERROR(__xludf.DUMMYFUNCTION("IFERROR(HLOOKUP($A103,IMPORTRANGE(""https://docs.google.com/spreadsheets/d/1wfQePArl-A-5QJe5xAufoOnzeNLVSoHCRcmpZ_FMdns/edit#gid=0"",""'Game 7'!$B$2:$Q$31""),30,False),1)"),23.0)</f>
        <v>23</v>
      </c>
      <c r="Q103" s="12">
        <f>IFERROR(__xludf.DUMMYFUNCTION("IFERROR(HLOOKUP($A103,IMPORTRANGE(""https://docs.google.com/spreadsheets/d/1wydNznS0hZhVh3oGSdiCZSsReuqMT7Xaw718ix58zAI/edit#gid=0"",""'Game 11'!$B$2:$Q$31""),30,False),1)"),23.0)</f>
        <v>23</v>
      </c>
      <c r="R103" s="13">
        <f t="shared" si="1"/>
        <v>345</v>
      </c>
    </row>
    <row r="104">
      <c r="A104" s="18" t="s">
        <v>282</v>
      </c>
      <c r="B104" s="18" t="s">
        <v>272</v>
      </c>
      <c r="C104" s="18">
        <v>23.0</v>
      </c>
      <c r="D104" s="18">
        <v>23.0</v>
      </c>
      <c r="E104" s="18">
        <v>23.0</v>
      </c>
      <c r="F104" s="18">
        <v>23.0</v>
      </c>
      <c r="G104" s="18">
        <v>23.0</v>
      </c>
      <c r="H104" s="6">
        <v>23.0</v>
      </c>
      <c r="I104" s="5">
        <f>IFERROR(__xludf.DUMMYFUNCTION("HLOOKUP($A104,IMPORTRANGE(""https://docs.google.com/spreadsheets/d/1l83w8bH-F1czkFOqsgQy6o8O33Jb4Pfg40W0ou2nk0k/edit#gid=0"",""'Game 7'!$B$2:$Q$31""),30,False)"),23.0)</f>
        <v>23</v>
      </c>
      <c r="J104" s="5">
        <f>IFERROR(__xludf.DUMMYFUNCTION("HLOOKUP($A104,IMPORTRANGE(""https://docs.google.com/spreadsheets/d/15X-ub7GvrCQZ3UGgyogcjwYdxG-Ng8WHxzGSj1Z3eLw/edit#gid=0"",""'Game 3'!$B$2:$Q$31""),30,False)"),23.0)</f>
        <v>23</v>
      </c>
      <c r="K104" s="5">
        <f>IFERROR(__xludf.DUMMYFUNCTION("IFERROR(HLOOKUP($A104,IMPORTRANGE(""https://docs.google.com/spreadsheets/d/194Bw3ABslPPhOOPvVoMzIk8sOQFICWBu2pydWdYMD-w/edit#gid=0"",""'Game 9'!$B$2:$Q$31""),30,False),1)"),23.0)</f>
        <v>23</v>
      </c>
      <c r="L104" s="5">
        <f>IFERROR(__xludf.DUMMYFUNCTION("IFERROR(HLOOKUP($A104,IMPORTRANGE(""https://docs.google.com/spreadsheets/d/1F2Bi6K_I1K9xRxY5qb-bNRo5m-Kw7udpF1OaTHhrxjs/edit#gid=0"",""'Game 11'!$B$2:$Q$31""),30,False),1)"),23.0)</f>
        <v>23</v>
      </c>
      <c r="M104" s="5">
        <f>IFERROR(__xludf.DUMMYFUNCTION("IFERROR(HLOOKUP($A104,IMPORTRANGE(""https://docs.google.com/spreadsheets/d/1NDNgi_Ny4dRhc2A3UMIIkalN-V6EmsvxOfDzMRQlQ40/edit#gid=0"",""'Game 8'!$B$2:$Q$31""),30,False),1)"),23.0)</f>
        <v>23</v>
      </c>
      <c r="N104" s="5">
        <f>IFERROR(__xludf.DUMMYFUNCTION("IFERROR(HLOOKUP($A104,IMPORTRANGE(""https://docs.google.com/spreadsheets/d/1UDYA3-RrkJNLa2ZLH1NnUjKyfCoiSODmgVL_Au_zt-Y/edit#gid=0"",""'Game 5'!$B$2:$Q$31""),30,False),1)"),23.0)</f>
        <v>23</v>
      </c>
      <c r="O104" s="5">
        <f>IFERROR(__xludf.DUMMYFUNCTION("IFERROR(HLOOKUP($A104,IMPORTRANGE(""https://docs.google.com/spreadsheets/d/1fvo6H94Wcffp6c4N9g3JKCW6y2ZlijPxdOsNz7xdBhw/edit#gid=0"",""'Game 6'!$B$2:$Q$31""),30,False),1)"),23.0)</f>
        <v>23</v>
      </c>
      <c r="P104" s="5">
        <f>IFERROR(__xludf.DUMMYFUNCTION("IFERROR(HLOOKUP($A104,IMPORTRANGE(""https://docs.google.com/spreadsheets/d/1wfQePArl-A-5QJe5xAufoOnzeNLVSoHCRcmpZ_FMdns/edit#gid=0"",""'Game 7'!$B$2:$Q$31""),30,False),1)"),23.0)</f>
        <v>23</v>
      </c>
      <c r="Q104" s="5">
        <f>IFERROR(__xludf.DUMMYFUNCTION("IFERROR(HLOOKUP($A104,IMPORTRANGE(""https://docs.google.com/spreadsheets/d/1wydNznS0hZhVh3oGSdiCZSsReuqMT7Xaw718ix58zAI/edit#gid=0"",""'Game 11'!$B$2:$Q$31""),30,False),1)"),23.0)</f>
        <v>23</v>
      </c>
      <c r="R104" s="6">
        <f t="shared" si="1"/>
        <v>345</v>
      </c>
    </row>
    <row r="105">
      <c r="A105" s="20" t="s">
        <v>284</v>
      </c>
      <c r="B105" s="13" t="s">
        <v>285</v>
      </c>
      <c r="C105" s="20">
        <v>12.0</v>
      </c>
      <c r="D105" s="20">
        <v>12.0</v>
      </c>
      <c r="E105" s="20">
        <v>11.0</v>
      </c>
      <c r="F105" s="20">
        <v>23.0</v>
      </c>
      <c r="G105" s="20">
        <v>11.0</v>
      </c>
      <c r="H105" s="13">
        <v>12.0</v>
      </c>
      <c r="I105" s="12">
        <f>IFERROR(__xludf.DUMMYFUNCTION("HLOOKUP($A105,IMPORTRANGE(""https://docs.google.com/spreadsheets/d/1l83w8bH-F1czkFOqsgQy6o8O33Jb4Pfg40W0ou2nk0k/edit#gid=0"",""'Game 10'!$B$2:$Q$31""),30,False)"),12.0)</f>
        <v>12</v>
      </c>
      <c r="J105" s="12">
        <f>IFERROR(__xludf.DUMMYFUNCTION("HLOOKUP($A105,IMPORTRANGE(""https://docs.google.com/spreadsheets/d/1l83w8bH-F1czkFOqsgQy6o8O33Jb4Pfg40W0ou2nk0k/edit#gid=0"",""'Game 10'!$B$2:$Q$31""),30,False)"),12.0)</f>
        <v>12</v>
      </c>
      <c r="K105" s="12">
        <f>IFERROR(__xludf.DUMMYFUNCTION("IFERROR(HLOOKUP($A105,IMPORTRANGE(""https://docs.google.com/spreadsheets/d/194Bw3ABslPPhOOPvVoMzIk8sOQFICWBu2pydWdYMD-w/edit#gid=0"",""'Game 10'!$B$2:$Q$26""),25,False),1)"),12.0)</f>
        <v>12</v>
      </c>
      <c r="L105" s="12">
        <f>IFERROR(__xludf.DUMMYFUNCTION("IFERROR(HLOOKUP($A105,IMPORTRANGE(""https://docs.google.com/spreadsheets/d/1F2Bi6K_I1K9xRxY5qb-bNRo5m-Kw7udpF1OaTHhrxjs/edit#gid=0"",""'Game 3'!$B$2:$Q$31""),30,False),1)"),12.0)</f>
        <v>12</v>
      </c>
      <c r="M105" s="12">
        <f>IFERROR(__xludf.DUMMYFUNCTION("IFERROR(HLOOKUP($A105,IMPORTRANGE(""https://docs.google.com/spreadsheets/d/1NDNgi_Ny4dRhc2A3UMIIkalN-V6EmsvxOfDzMRQlQ40/edit#gid=0"",""'Game 11'!$B$2:$Q$31""),30,False),1)"),12.0)</f>
        <v>12</v>
      </c>
      <c r="N105" s="12">
        <f>IFERROR(__xludf.DUMMYFUNCTION("IFERROR(HLOOKUP($A105,IMPORTRANGE(""https://docs.google.com/spreadsheets/d/1UDYA3-RrkJNLa2ZLH1NnUjKyfCoiSODmgVL_Au_zt-Y/edit#gid=0"",""'Game 6'!$B$2:$Q$31""),30,False),1)"),0.0)</f>
        <v>0</v>
      </c>
      <c r="O105" s="12">
        <f>IFERROR(__xludf.DUMMYFUNCTION("IFERROR(HLOOKUP($A105,IMPORTRANGE(""https://docs.google.com/spreadsheets/d/1fvo6H94Wcffp6c4N9g3JKCW6y2ZlijPxdOsNz7xdBhw/edit#gid=0"",""'Game 8'!$B$2:$Q$31""),30,False),1)"),12.0)</f>
        <v>12</v>
      </c>
      <c r="P105" s="12">
        <f>IFERROR(__xludf.DUMMYFUNCTION("IFERROR(HLOOKUP($A105,IMPORTRANGE(""https://docs.google.com/spreadsheets/d/1wfQePArl-A-5QJe5xAufoOnzeNLVSoHCRcmpZ_FMdns/edit#gid=0"",""'Game 10'!$B$2:$Q$31""),30,False),1)"),12.0)</f>
        <v>12</v>
      </c>
      <c r="Q105" s="12">
        <f>IFERROR(__xludf.DUMMYFUNCTION("IFERROR(HLOOKUP($A105,IMPORTRANGE(""https://docs.google.com/spreadsheets/d/1wydNznS0hZhVh3oGSdiCZSsReuqMT7Xaw718ix58zAI/edit#gid=0"",""'Game 8'!$B$2:$Q$31""),30,False),1)"),23.0)</f>
        <v>23</v>
      </c>
      <c r="R105" s="13">
        <f t="shared" si="1"/>
        <v>188</v>
      </c>
    </row>
    <row r="106">
      <c r="A106" s="18" t="s">
        <v>288</v>
      </c>
      <c r="B106" s="6" t="s">
        <v>285</v>
      </c>
      <c r="C106" s="18">
        <v>23.0</v>
      </c>
      <c r="D106" s="18">
        <v>23.0</v>
      </c>
      <c r="E106" s="18">
        <v>23.0</v>
      </c>
      <c r="F106" s="18">
        <v>23.0</v>
      </c>
      <c r="G106" s="18">
        <v>23.0</v>
      </c>
      <c r="H106" s="6">
        <v>23.0</v>
      </c>
      <c r="I106" s="5">
        <f>IFERROR(__xludf.DUMMYFUNCTION("HLOOKUP($A106,IMPORTRANGE(""https://docs.google.com/spreadsheets/d/1l83w8bH-F1czkFOqsgQy6o8O33Jb4Pfg40W0ou2nk0k/edit#gid=0"",""'Game 10'!$B$2:$Q$31""),30,False)"),23.0)</f>
        <v>23</v>
      </c>
      <c r="J106" s="5">
        <f>IFERROR(__xludf.DUMMYFUNCTION("HLOOKUP($A106,IMPORTRANGE(""https://docs.google.com/spreadsheets/d/15X-ub7GvrCQZ3UGgyogcjwYdxG-Ng8WHxzGSj1Z3eLw/edit#gid=0"",""'Game 12'!$B$2:$Q$31""),30,False)"),23.0)</f>
        <v>23</v>
      </c>
      <c r="K106" s="5">
        <f>IFERROR(__xludf.DUMMYFUNCTION("IFERROR(HLOOKUP($A106,IMPORTRANGE(""https://docs.google.com/spreadsheets/d/194Bw3ABslPPhOOPvVoMzIk8sOQFICWBu2pydWdYMD-w/edit#gid=0"",""'Game 10'!$B$2:$Q$26""),25,False),1)"),23.0)</f>
        <v>23</v>
      </c>
      <c r="L106" s="5">
        <f>IFERROR(__xludf.DUMMYFUNCTION("IFERROR(HLOOKUP($A106,IMPORTRANGE(""https://docs.google.com/spreadsheets/d/1F2Bi6K_I1K9xRxY5qb-bNRo5m-Kw7udpF1OaTHhrxjs/edit#gid=0"",""'Game 3'!$B$2:$Q$31""),30,False),1)"),23.0)</f>
        <v>23</v>
      </c>
      <c r="M106" s="5">
        <f>IFERROR(__xludf.DUMMYFUNCTION("IFERROR(HLOOKUP($A106,IMPORTRANGE(""https://docs.google.com/spreadsheets/d/1NDNgi_Ny4dRhc2A3UMIIkalN-V6EmsvxOfDzMRQlQ40/edit#gid=0"",""'Game 11'!$B$2:$Q$31""),30,False),1)"),23.0)</f>
        <v>23</v>
      </c>
      <c r="N106" s="5">
        <f>IFERROR(__xludf.DUMMYFUNCTION("IFERROR(HLOOKUP($A106,IMPORTRANGE(""https://docs.google.com/spreadsheets/d/1UDYA3-RrkJNLa2ZLH1NnUjKyfCoiSODmgVL_Au_zt-Y/edit#gid=0"",""'Game 6'!$B$2:$Q$31""),30,False),1)"),23.0)</f>
        <v>23</v>
      </c>
      <c r="O106" s="5">
        <f>IFERROR(__xludf.DUMMYFUNCTION("IFERROR(HLOOKUP($A106,IMPORTRANGE(""https://docs.google.com/spreadsheets/d/1fvo6H94Wcffp6c4N9g3JKCW6y2ZlijPxdOsNz7xdBhw/edit#gid=0"",""'Game 8'!$B$2:$Q$31""),30,False),1)"),23.0)</f>
        <v>23</v>
      </c>
      <c r="P106" s="5">
        <f>IFERROR(__xludf.DUMMYFUNCTION("IFERROR(HLOOKUP($A106,IMPORTRANGE(""https://docs.google.com/spreadsheets/d/1wfQePArl-A-5QJe5xAufoOnzeNLVSoHCRcmpZ_FMdns/edit#gid=0"",""'Game 10'!$B$2:$Q$31""),30,False),1)"),23.0)</f>
        <v>23</v>
      </c>
      <c r="Q106" s="5">
        <f>IFERROR(__xludf.DUMMYFUNCTION("IFERROR(HLOOKUP($A106,IMPORTRANGE(""https://docs.google.com/spreadsheets/d/1wydNznS0hZhVh3oGSdiCZSsReuqMT7Xaw718ix58zAI/edit#gid=0"",""'Game 8'!$B$2:$Q$31""),30,False),1)"),0.0)</f>
        <v>0</v>
      </c>
      <c r="R106" s="6">
        <f t="shared" si="1"/>
        <v>322</v>
      </c>
    </row>
    <row r="107">
      <c r="A107" s="20" t="s">
        <v>290</v>
      </c>
      <c r="B107" s="13" t="s">
        <v>285</v>
      </c>
      <c r="C107" s="20">
        <v>23.0</v>
      </c>
      <c r="D107" s="20">
        <v>23.0</v>
      </c>
      <c r="E107" s="20">
        <v>23.0</v>
      </c>
      <c r="F107" s="20">
        <v>23.0</v>
      </c>
      <c r="G107" s="20">
        <v>23.0</v>
      </c>
      <c r="H107" s="13">
        <v>23.0</v>
      </c>
      <c r="I107" s="12">
        <f>IFERROR(__xludf.DUMMYFUNCTION("HLOOKUP($A107,IMPORTRANGE(""https://docs.google.com/spreadsheets/d/1l83w8bH-F1czkFOqsgQy6o8O33Jb4Pfg40W0ou2nk0k/edit#gid=0"",""'Game 10'!$B$2:$Q$31""),30,False)"),23.0)</f>
        <v>23</v>
      </c>
      <c r="J107" s="12">
        <f>IFERROR(__xludf.DUMMYFUNCTION("HLOOKUP($A107,IMPORTRANGE(""https://docs.google.com/spreadsheets/d/15X-ub7GvrCQZ3UGgyogcjwYdxG-Ng8WHxzGSj1Z3eLw/edit#gid=0"",""'Game 12'!$B$2:$Q$31""),30,False)"),23.0)</f>
        <v>23</v>
      </c>
      <c r="K107" s="12">
        <f>IFERROR(__xludf.DUMMYFUNCTION("IFERROR(HLOOKUP($A107,IMPORTRANGE(""https://docs.google.com/spreadsheets/d/194Bw3ABslPPhOOPvVoMzIk8sOQFICWBu2pydWdYMD-w/edit#gid=0"",""'Game 10'!$B$2:$Q$26""),25,False),1)"),23.0)</f>
        <v>23</v>
      </c>
      <c r="L107" s="12">
        <f>IFERROR(__xludf.DUMMYFUNCTION("IFERROR(HLOOKUP($A107,IMPORTRANGE(""https://docs.google.com/spreadsheets/d/1F2Bi6K_I1K9xRxY5qb-bNRo5m-Kw7udpF1OaTHhrxjs/edit#gid=0"",""'Game 3'!$B$2:$Q$31""),30,False),1)"),23.0)</f>
        <v>23</v>
      </c>
      <c r="M107" s="12">
        <f>IFERROR(__xludf.DUMMYFUNCTION("IFERROR(HLOOKUP($A107,IMPORTRANGE(""https://docs.google.com/spreadsheets/d/1NDNgi_Ny4dRhc2A3UMIIkalN-V6EmsvxOfDzMRQlQ40/edit#gid=0"",""'Game 11'!$B$2:$Q$31""),30,False),1)"),23.0)</f>
        <v>23</v>
      </c>
      <c r="N107" s="12">
        <f>IFERROR(__xludf.DUMMYFUNCTION("IFERROR(HLOOKUP($A107,IMPORTRANGE(""https://docs.google.com/spreadsheets/d/1UDYA3-RrkJNLa2ZLH1NnUjKyfCoiSODmgVL_Au_zt-Y/edit#gid=0"",""'Game 6'!$B$2:$Q$31""),30,False),1)"),23.0)</f>
        <v>23</v>
      </c>
      <c r="O107" s="12">
        <f>IFERROR(__xludf.DUMMYFUNCTION("IFERROR(HLOOKUP($A107,IMPORTRANGE(""https://docs.google.com/spreadsheets/d/1fvo6H94Wcffp6c4N9g3JKCW6y2ZlijPxdOsNz7xdBhw/edit#gid=0"",""'Game 8'!$B$2:$Q$31""),30,False),1)"),23.0)</f>
        <v>23</v>
      </c>
      <c r="P107" s="12">
        <f>IFERROR(__xludf.DUMMYFUNCTION("IFERROR(HLOOKUP($A107,IMPORTRANGE(""https://docs.google.com/spreadsheets/d/1wfQePArl-A-5QJe5xAufoOnzeNLVSoHCRcmpZ_FMdns/edit#gid=0"",""'Game 10'!$B$2:$Q$31""),30,False),1)"),23.0)</f>
        <v>23</v>
      </c>
      <c r="Q107" s="12">
        <f>IFERROR(__xludf.DUMMYFUNCTION("IFERROR(HLOOKUP($A107,IMPORTRANGE(""https://docs.google.com/spreadsheets/d/1wydNznS0hZhVh3oGSdiCZSsReuqMT7Xaw718ix58zAI/edit#gid=0"",""'Game 8'!$B$2:$Q$31""),30,False),1)"),23.0)</f>
        <v>23</v>
      </c>
      <c r="R107" s="13">
        <f t="shared" si="1"/>
        <v>345</v>
      </c>
    </row>
    <row r="108">
      <c r="A108" s="18" t="s">
        <v>293</v>
      </c>
      <c r="B108" s="6" t="s">
        <v>285</v>
      </c>
      <c r="C108" s="18">
        <v>23.0</v>
      </c>
      <c r="D108" s="18">
        <v>23.0</v>
      </c>
      <c r="E108" s="18">
        <v>23.0</v>
      </c>
      <c r="F108" s="18">
        <v>0.0</v>
      </c>
      <c r="G108" s="18">
        <v>23.0</v>
      </c>
      <c r="H108" s="6">
        <v>23.0</v>
      </c>
      <c r="I108" s="5">
        <f>IFERROR(__xludf.DUMMYFUNCTION("HLOOKUP($A108,IMPORTRANGE(""https://docs.google.com/spreadsheets/d/1l83w8bH-F1czkFOqsgQy6o8O33Jb4Pfg40W0ou2nk0k/edit#gid=0"",""'Game 10'!$B$2:$Q$31""),30,False)"),23.0)</f>
        <v>23</v>
      </c>
      <c r="J108" s="5">
        <f>IFERROR(__xludf.DUMMYFUNCTION("HLOOKUP($A108,IMPORTRANGE(""https://docs.google.com/spreadsheets/d/15X-ub7GvrCQZ3UGgyogcjwYdxG-Ng8WHxzGSj1Z3eLw/edit#gid=0"",""'Game 12'!$B$2:$Q$31""),30,False)"),23.0)</f>
        <v>23</v>
      </c>
      <c r="K108" s="5">
        <f>IFERROR(__xludf.DUMMYFUNCTION("IFERROR(HLOOKUP($A108,IMPORTRANGE(""https://docs.google.com/spreadsheets/d/194Bw3ABslPPhOOPvVoMzIk8sOQFICWBu2pydWdYMD-w/edit#gid=0"",""'Game 10'!$B$2:$Q$26""),25,False),1)"),23.0)</f>
        <v>23</v>
      </c>
      <c r="L108" s="5">
        <f>IFERROR(__xludf.DUMMYFUNCTION("IFERROR(HLOOKUP($A108,IMPORTRANGE(""https://docs.google.com/spreadsheets/d/1F2Bi6K_I1K9xRxY5qb-bNRo5m-Kw7udpF1OaTHhrxjs/edit#gid=0"",""'Game 3'!$B$2:$Q$31""),30,False),1)"),23.0)</f>
        <v>23</v>
      </c>
      <c r="M108" s="5">
        <f>IFERROR(__xludf.DUMMYFUNCTION("IFERROR(HLOOKUP($A108,IMPORTRANGE(""https://docs.google.com/spreadsheets/d/1NDNgi_Ny4dRhc2A3UMIIkalN-V6EmsvxOfDzMRQlQ40/edit#gid=0"",""'Game 11'!$B$2:$Q$31""),30,False),1)"),23.0)</f>
        <v>23</v>
      </c>
      <c r="N108" s="5">
        <f>IFERROR(__xludf.DUMMYFUNCTION("IFERROR(HLOOKUP($A108,IMPORTRANGE(""https://docs.google.com/spreadsheets/d/1UDYA3-RrkJNLa2ZLH1NnUjKyfCoiSODmgVL_Au_zt-Y/edit#gid=0"",""'Game 6'!$B$2:$Q$31""),30,False),1)"),23.0)</f>
        <v>23</v>
      </c>
      <c r="O108" s="5">
        <f>IFERROR(__xludf.DUMMYFUNCTION("IFERROR(HLOOKUP($A108,IMPORTRANGE(""https://docs.google.com/spreadsheets/d/1fvo6H94Wcffp6c4N9g3JKCW6y2ZlijPxdOsNz7xdBhw/edit#gid=0"",""'Game 8'!$B$2:$Q$31""),30,False),1)"),23.0)</f>
        <v>23</v>
      </c>
      <c r="P108" s="5">
        <f>IFERROR(__xludf.DUMMYFUNCTION("IFERROR(HLOOKUP($A108,IMPORTRANGE(""https://docs.google.com/spreadsheets/d/1wfQePArl-A-5QJe5xAufoOnzeNLVSoHCRcmpZ_FMdns/edit#gid=0"",""'Game 10'!$B$2:$Q$31""),30,False),1)"),23.0)</f>
        <v>23</v>
      </c>
      <c r="Q108" s="5">
        <f>IFERROR(__xludf.DUMMYFUNCTION("IFERROR(HLOOKUP($A108,IMPORTRANGE(""https://docs.google.com/spreadsheets/d/1wydNznS0hZhVh3oGSdiCZSsReuqMT7Xaw718ix58zAI/edit#gid=0"",""'Game 8'!$B$2:$Q$31""),30,False),1)"),23.0)</f>
        <v>23</v>
      </c>
      <c r="R108" s="6">
        <f t="shared" si="1"/>
        <v>322</v>
      </c>
    </row>
    <row r="109">
      <c r="A109" s="19" t="s">
        <v>295</v>
      </c>
      <c r="B109" s="9" t="s">
        <v>285</v>
      </c>
      <c r="C109" s="22">
        <v>11.0</v>
      </c>
      <c r="D109" s="20">
        <v>11.0</v>
      </c>
      <c r="E109" s="20">
        <v>12.0</v>
      </c>
      <c r="F109" s="20">
        <v>23.0</v>
      </c>
      <c r="G109" s="20">
        <v>12.0</v>
      </c>
      <c r="H109" s="13">
        <v>11.0</v>
      </c>
      <c r="I109" s="12">
        <f>IFERROR(__xludf.DUMMYFUNCTION("HLOOKUP($A109,IMPORTRANGE(""https://docs.google.com/spreadsheets/d/1l83w8bH-F1czkFOqsgQy6o8O33Jb4Pfg40W0ou2nk0k/edit#gid=0"",""'Game 10'!$B$2:$Q$31""),30,False)"),11.0)</f>
        <v>11</v>
      </c>
      <c r="J109" s="12">
        <f>IFERROR(__xludf.DUMMYFUNCTION("HLOOKUP($A109,IMPORTRANGE(""https://docs.google.com/spreadsheets/d/15X-ub7GvrCQZ3UGgyogcjwYdxG-Ng8WHxzGSj1Z3eLw/edit#gid=0"",""'Game 12'!$B$2:$Q$31""),30,False)"),11.0)</f>
        <v>11</v>
      </c>
      <c r="K109" s="12">
        <f>IFERROR(__xludf.DUMMYFUNCTION("IFERROR(HLOOKUP($A109,IMPORTRANGE(""https://docs.google.com/spreadsheets/d/194Bw3ABslPPhOOPvVoMzIk8sOQFICWBu2pydWdYMD-w/edit#gid=0"",""'Game 10'!$B$2:$Q$26""),25,False),1)"),11.0)</f>
        <v>11</v>
      </c>
      <c r="L109" s="12">
        <f>IFERROR(__xludf.DUMMYFUNCTION("IFERROR(HLOOKUP($A109,IMPORTRANGE(""https://docs.google.com/spreadsheets/d/1F2Bi6K_I1K9xRxY5qb-bNRo5m-Kw7udpF1OaTHhrxjs/edit#gid=0"",""'Game 3'!$B$2:$Q$31""),30,False),1)"),11.0)</f>
        <v>11</v>
      </c>
      <c r="M109" s="12">
        <f>IFERROR(__xludf.DUMMYFUNCTION("IFERROR(HLOOKUP($A109,IMPORTRANGE(""https://docs.google.com/spreadsheets/d/1NDNgi_Ny4dRhc2A3UMIIkalN-V6EmsvxOfDzMRQlQ40/edit#gid=0"",""'Game 11'!$B$2:$Q$31""),30,False),1)"),11.0)</f>
        <v>11</v>
      </c>
      <c r="N109" s="12">
        <f>IFERROR(__xludf.DUMMYFUNCTION("IFERROR(HLOOKUP($A109,IMPORTRANGE(""https://docs.google.com/spreadsheets/d/1UDYA3-RrkJNLa2ZLH1NnUjKyfCoiSODmgVL_Au_zt-Y/edit#gid=0"",""'Game 6'!$B$2:$Q$31""),30,False),1)"),23.0)</f>
        <v>23</v>
      </c>
      <c r="O109" s="12">
        <f>IFERROR(__xludf.DUMMYFUNCTION("IFERROR(HLOOKUP($A109,IMPORTRANGE(""https://docs.google.com/spreadsheets/d/1fvo6H94Wcffp6c4N9g3JKCW6y2ZlijPxdOsNz7xdBhw/edit#gid=0"",""'Game 8'!$B$2:$Q$31""),30,False),1)"),11.0)</f>
        <v>11</v>
      </c>
      <c r="P109" s="12">
        <f>IFERROR(__xludf.DUMMYFUNCTION("IFERROR(HLOOKUP($A109,IMPORTRANGE(""https://docs.google.com/spreadsheets/d/1wfQePArl-A-5QJe5xAufoOnzeNLVSoHCRcmpZ_FMdns/edit#gid=0"",""'Game 10'!$B$2:$Q$31""),30,False),1)"),11.0)</f>
        <v>11</v>
      </c>
      <c r="Q109" s="12">
        <f>IFERROR(__xludf.DUMMYFUNCTION("IFERROR(HLOOKUP($A109,IMPORTRANGE(""https://docs.google.com/spreadsheets/d/1wydNznS0hZhVh3oGSdiCZSsReuqMT7Xaw718ix58zAI/edit#gid=0"",""'Game 8'!$B$2:$Q$31""),30,False),1)"),23.0)</f>
        <v>23</v>
      </c>
      <c r="R109" s="13">
        <f t="shared" si="1"/>
        <v>203</v>
      </c>
    </row>
    <row r="110">
      <c r="A110" s="4" t="s">
        <v>298</v>
      </c>
      <c r="B110" s="16" t="s">
        <v>299</v>
      </c>
      <c r="C110" s="24">
        <v>23.0</v>
      </c>
      <c r="D110" s="18">
        <v>23.0</v>
      </c>
      <c r="E110" s="18">
        <v>23.0</v>
      </c>
      <c r="F110" s="18">
        <v>23.0</v>
      </c>
      <c r="G110" s="18">
        <v>23.0</v>
      </c>
      <c r="H110" s="6">
        <v>23.0</v>
      </c>
      <c r="I110" s="5">
        <f>IFERROR(__xludf.DUMMYFUNCTION("HLOOKUP($A110,IMPORTRANGE(""https://docs.google.com/spreadsheets/d/1l83w8bH-F1czkFOqsgQy6o8O33Jb4Pfg40W0ou2nk0k/edit#gid=0"",""'Game 6'!$B$2:$Q$31""),30,False)"),23.0)</f>
        <v>23</v>
      </c>
      <c r="J110" s="5">
        <f>IFERROR(__xludf.DUMMYFUNCTION("HLOOKUP($A110,IMPORTRANGE(""https://docs.google.com/spreadsheets/d/15X-ub7GvrCQZ3UGgyogcjwYdxG-Ng8WHxzGSj1Z3eLw/edit#gid=0"",""'Game 4'!$B$2:$Q$31""),30,False)"),23.0)</f>
        <v>23</v>
      </c>
      <c r="K110" s="5">
        <f>IFERROR(__xludf.DUMMYFUNCTION("IFERROR(HLOOKUP($A110,IMPORTRANGE(""https://docs.google.com/spreadsheets/d/194Bw3ABslPPhOOPvVoMzIk8sOQFICWBu2pydWdYMD-w/edit#gid=0"",""'Game 1'!$B$2:$Q$31""),30,False),1)"),23.0)</f>
        <v>23</v>
      </c>
      <c r="L110" s="5">
        <f>IFERROR(__xludf.DUMMYFUNCTION("IFERROR(HLOOKUP($A110,IMPORTRANGE(""https://docs.google.com/spreadsheets/d/1F2Bi6K_I1K9xRxY5qb-bNRo5m-Kw7udpF1OaTHhrxjs/edit#gid=0"",""'Game 9'!$B$2:$Q$31""),30,False),1)"),23.0)</f>
        <v>23</v>
      </c>
      <c r="M110" s="5">
        <f>IFERROR(__xludf.DUMMYFUNCTION("IFERROR(HLOOKUP($A110,IMPORTRANGE(""https://docs.google.com/spreadsheets/d/1NDNgi_Ny4dRhc2A3UMIIkalN-V6EmsvxOfDzMRQlQ40/edit#gid=0"",""'Game 9'!$B$2:$Q$31""),30,False),1)"),23.0)</f>
        <v>23</v>
      </c>
      <c r="N110" s="5">
        <f>IFERROR(__xludf.DUMMYFUNCTION("IFERROR(HLOOKUP($A110,IMPORTRANGE(""https://docs.google.com/spreadsheets/d/1UDYA3-RrkJNLa2ZLH1NnUjKyfCoiSODmgVL_Au_zt-Y/edit#gid=0"",""'Game 8'!$B$2:$Q$31""),30,False),1)"),23.0)</f>
        <v>23</v>
      </c>
      <c r="O110" s="5">
        <f>IFERROR(__xludf.DUMMYFUNCTION("IFERROR(HLOOKUP($A110,IMPORTRANGE(""https://docs.google.com/spreadsheets/d/1fvo6H94Wcffp6c4N9g3JKCW6y2ZlijPxdOsNz7xdBhw/edit#gid=0"",""'Game 8'!$B$2:$Q$31""),30,False),1)"),23.0)</f>
        <v>23</v>
      </c>
      <c r="P110" s="5">
        <f>IFERROR(__xludf.DUMMYFUNCTION("IFERROR(HLOOKUP($A110,IMPORTRANGE(""https://docs.google.com/spreadsheets/d/1wfQePArl-A-5QJe5xAufoOnzeNLVSoHCRcmpZ_FMdns/edit#gid=0"",""'Game 4'!$B$2:$Q$31""),30,False),1)"),23.0)</f>
        <v>23</v>
      </c>
      <c r="Q110" s="5">
        <f>IFERROR(__xludf.DUMMYFUNCTION("IFERROR(HLOOKUP($A110,IMPORTRANGE(""https://docs.google.com/spreadsheets/d/1wydNznS0hZhVh3oGSdiCZSsReuqMT7Xaw718ix58zAI/edit#gid=0"",""'Game 9'!$B$2:$Q$31""),30,False),1)"),23.0)</f>
        <v>23</v>
      </c>
      <c r="R110" s="6">
        <f t="shared" si="1"/>
        <v>345</v>
      </c>
    </row>
    <row r="111">
      <c r="A111" s="9" t="s">
        <v>301</v>
      </c>
      <c r="B111" s="9" t="s">
        <v>299</v>
      </c>
      <c r="C111" s="22">
        <v>23.0</v>
      </c>
      <c r="D111" s="20">
        <v>23.0</v>
      </c>
      <c r="E111" s="20">
        <v>23.0</v>
      </c>
      <c r="F111" s="20">
        <v>23.0</v>
      </c>
      <c r="G111" s="20">
        <v>23.0</v>
      </c>
      <c r="H111" s="13">
        <v>23.0</v>
      </c>
      <c r="I111" s="12">
        <f>IFERROR(__xludf.DUMMYFUNCTION("HLOOKUP($A111,IMPORTRANGE(""https://docs.google.com/spreadsheets/d/1l83w8bH-F1czkFOqsgQy6o8O33Jb4Pfg40W0ou2nk0k/edit#gid=0"",""'Game 6'!$B$2:$Q$31""),30,False)"),23.0)</f>
        <v>23</v>
      </c>
      <c r="J111" s="12">
        <f>IFERROR(__xludf.DUMMYFUNCTION("HLOOKUP($A111,IMPORTRANGE(""https://docs.google.com/spreadsheets/d/15X-ub7GvrCQZ3UGgyogcjwYdxG-Ng8WHxzGSj1Z3eLw/edit#gid=0"",""'Game 4'!$B$2:$Q$31""),30,False)"),23.0)</f>
        <v>23</v>
      </c>
      <c r="K111" s="12">
        <f>IFERROR(__xludf.DUMMYFUNCTION("IFERROR(HLOOKUP($A111,IMPORTRANGE(""https://docs.google.com/spreadsheets/d/194Bw3ABslPPhOOPvVoMzIk8sOQFICWBu2pydWdYMD-w/edit#gid=0"",""'Game 1'!$B$2:$Q$31""),30,False),1)"),23.0)</f>
        <v>23</v>
      </c>
      <c r="L111" s="12">
        <f>IFERROR(__xludf.DUMMYFUNCTION("IFERROR(HLOOKUP($A111,IMPORTRANGE(""https://docs.google.com/spreadsheets/d/1F2Bi6K_I1K9xRxY5qb-bNRo5m-Kw7udpF1OaTHhrxjs/edit#gid=0"",""'Game 9'!$B$2:$Q$31""),30,False),1)"),23.0)</f>
        <v>23</v>
      </c>
      <c r="M111" s="12">
        <f>IFERROR(__xludf.DUMMYFUNCTION("IFERROR(HLOOKUP($A111,IMPORTRANGE(""https://docs.google.com/spreadsheets/d/1NDNgi_Ny4dRhc2A3UMIIkalN-V6EmsvxOfDzMRQlQ40/edit#gid=0"",""'Game 9'!$B$2:$Q$31""),30,False),1)"),23.0)</f>
        <v>23</v>
      </c>
      <c r="N111" s="12">
        <f>IFERROR(__xludf.DUMMYFUNCTION("IFERROR(HLOOKUP($A111,IMPORTRANGE(""https://docs.google.com/spreadsheets/d/1UDYA3-RrkJNLa2ZLH1NnUjKyfCoiSODmgVL_Au_zt-Y/edit#gid=0"",""'Game 8'!$B$2:$Q$31""),30,False),1)"),23.0)</f>
        <v>23</v>
      </c>
      <c r="O111" s="12">
        <f>IFERROR(__xludf.DUMMYFUNCTION("IFERROR(HLOOKUP($A111,IMPORTRANGE(""https://docs.google.com/spreadsheets/d/1fvo6H94Wcffp6c4N9g3JKCW6y2ZlijPxdOsNz7xdBhw/edit#gid=0"",""'Game 8'!$B$2:$Q$31""),30,False),1)"),23.0)</f>
        <v>23</v>
      </c>
      <c r="P111" s="12">
        <f>IFERROR(__xludf.DUMMYFUNCTION("IFERROR(HLOOKUP($A111,IMPORTRANGE(""https://docs.google.com/spreadsheets/d/1wfQePArl-A-5QJe5xAufoOnzeNLVSoHCRcmpZ_FMdns/edit#gid=0"",""'Game 4'!$B$2:$Q$31""),30,False),1)"),23.0)</f>
        <v>23</v>
      </c>
      <c r="Q111" s="12">
        <f>IFERROR(__xludf.DUMMYFUNCTION("IFERROR(HLOOKUP($A111,IMPORTRANGE(""https://docs.google.com/spreadsheets/d/1wydNznS0hZhVh3oGSdiCZSsReuqMT7Xaw718ix58zAI/edit#gid=0"",""'Game 9'!$B$2:$Q$31""),30,False),1)"),23.0)</f>
        <v>23</v>
      </c>
      <c r="R111" s="13">
        <f t="shared" si="1"/>
        <v>345</v>
      </c>
    </row>
    <row r="112">
      <c r="A112" s="16" t="s">
        <v>304</v>
      </c>
      <c r="B112" s="16" t="s">
        <v>299</v>
      </c>
      <c r="C112" s="24">
        <v>23.0</v>
      </c>
      <c r="D112" s="18">
        <v>23.0</v>
      </c>
      <c r="E112" s="18">
        <v>23.0</v>
      </c>
      <c r="F112" s="18">
        <v>23.0</v>
      </c>
      <c r="G112" s="18">
        <v>23.0</v>
      </c>
      <c r="H112" s="6">
        <v>23.0</v>
      </c>
      <c r="I112" s="5">
        <f>IFERROR(__xludf.DUMMYFUNCTION("HLOOKUP($A112,IMPORTRANGE(""https://docs.google.com/spreadsheets/d/1l83w8bH-F1czkFOqsgQy6o8O33Jb4Pfg40W0ou2nk0k/edit#gid=0"",""'Game 6'!$B$2:$Q$31""),30,False)"),23.0)</f>
        <v>23</v>
      </c>
      <c r="J112" s="5">
        <f>IFERROR(__xludf.DUMMYFUNCTION("HLOOKUP($A112,IMPORTRANGE(""https://docs.google.com/spreadsheets/d/15X-ub7GvrCQZ3UGgyogcjwYdxG-Ng8WHxzGSj1Z3eLw/edit#gid=0"",""'Game 4'!$B$2:$Q$31""),30,False)"),23.0)</f>
        <v>23</v>
      </c>
      <c r="K112" s="5">
        <f>IFERROR(__xludf.DUMMYFUNCTION("IFERROR(HLOOKUP($A112,IMPORTRANGE(""https://docs.google.com/spreadsheets/d/194Bw3ABslPPhOOPvVoMzIk8sOQFICWBu2pydWdYMD-w/edit#gid=0"",""'Game 1'!$B$2:$Q$31""),30,False),1)"),23.0)</f>
        <v>23</v>
      </c>
      <c r="L112" s="5">
        <f>IFERROR(__xludf.DUMMYFUNCTION("IFERROR(HLOOKUP($A112,IMPORTRANGE(""https://docs.google.com/spreadsheets/d/1F2Bi6K_I1K9xRxY5qb-bNRo5m-Kw7udpF1OaTHhrxjs/edit#gid=0"",""'Game 9'!$B$2:$Q$31""),30,False),1)"),23.0)</f>
        <v>23</v>
      </c>
      <c r="M112" s="5">
        <f>IFERROR(__xludf.DUMMYFUNCTION("IFERROR(HLOOKUP($A112,IMPORTRANGE(""https://docs.google.com/spreadsheets/d/1NDNgi_Ny4dRhc2A3UMIIkalN-V6EmsvxOfDzMRQlQ40/edit#gid=0"",""'Game 9'!$B$2:$Q$31""),30,False),1)"),23.0)</f>
        <v>23</v>
      </c>
      <c r="N112" s="5">
        <f>IFERROR(__xludf.DUMMYFUNCTION("IFERROR(HLOOKUP($A112,IMPORTRANGE(""https://docs.google.com/spreadsheets/d/1UDYA3-RrkJNLa2ZLH1NnUjKyfCoiSODmgVL_Au_zt-Y/edit#gid=0"",""'Game 8'!$B$2:$Q$31""),30,False),1)"),23.0)</f>
        <v>23</v>
      </c>
      <c r="O112" s="5">
        <f>IFERROR(__xludf.DUMMYFUNCTION("IFERROR(HLOOKUP($A112,IMPORTRANGE(""https://docs.google.com/spreadsheets/d/1fvo6H94Wcffp6c4N9g3JKCW6y2ZlijPxdOsNz7xdBhw/edit#gid=0"",""'Game 8'!$B$2:$Q$31""),30,False),1)"),23.0)</f>
        <v>23</v>
      </c>
      <c r="P112" s="5">
        <f>IFERROR(__xludf.DUMMYFUNCTION("IFERROR(HLOOKUP($A112,IMPORTRANGE(""https://docs.google.com/spreadsheets/d/1wfQePArl-A-5QJe5xAufoOnzeNLVSoHCRcmpZ_FMdns/edit#gid=0"",""'Game 4'!$B$2:$Q$31""),30,False),1)"),23.0)</f>
        <v>23</v>
      </c>
      <c r="Q112" s="5">
        <f>IFERROR(__xludf.DUMMYFUNCTION("IFERROR(HLOOKUP($A112,IMPORTRANGE(""https://docs.google.com/spreadsheets/d/1wydNznS0hZhVh3oGSdiCZSsReuqMT7Xaw718ix58zAI/edit#gid=0"",""'Game 9'!$B$2:$Q$31""),30,False),1)"),23.0)</f>
        <v>23</v>
      </c>
      <c r="R112" s="6">
        <f t="shared" si="1"/>
        <v>345</v>
      </c>
    </row>
    <row r="113">
      <c r="A113" s="20" t="s">
        <v>306</v>
      </c>
      <c r="B113" s="20" t="s">
        <v>299</v>
      </c>
      <c r="C113" s="20">
        <v>23.0</v>
      </c>
      <c r="D113" s="20">
        <v>23.0</v>
      </c>
      <c r="E113" s="20">
        <v>23.0</v>
      </c>
      <c r="F113" s="20">
        <v>23.0</v>
      </c>
      <c r="G113" s="20">
        <v>23.0</v>
      </c>
      <c r="H113" s="13">
        <v>23.0</v>
      </c>
      <c r="I113" s="12">
        <f>IFERROR(__xludf.DUMMYFUNCTION("HLOOKUP($A113,IMPORTRANGE(""https://docs.google.com/spreadsheets/d/1l83w8bH-F1czkFOqsgQy6o8O33Jb4Pfg40W0ou2nk0k/edit#gid=0"",""'Game 6'!$B$2:$Q$31""),30,False)"),23.0)</f>
        <v>23</v>
      </c>
      <c r="J113" s="12">
        <f>IFERROR(__xludf.DUMMYFUNCTION("HLOOKUP($A113,IMPORTRANGE(""https://docs.google.com/spreadsheets/d/15X-ub7GvrCQZ3UGgyogcjwYdxG-Ng8WHxzGSj1Z3eLw/edit#gid=0"",""'Game 4'!$B$2:$Q$31""),30,False)"),23.0)</f>
        <v>23</v>
      </c>
      <c r="K113" s="12">
        <f>IFERROR(__xludf.DUMMYFUNCTION("IFERROR(HLOOKUP($A113,IMPORTRANGE(""https://docs.google.com/spreadsheets/d/194Bw3ABslPPhOOPvVoMzIk8sOQFICWBu2pydWdYMD-w/edit#gid=0"",""'Game 1'!$B$2:$Q$31""),30,False),1)"),23.0)</f>
        <v>23</v>
      </c>
      <c r="L113" s="12">
        <f>IFERROR(__xludf.DUMMYFUNCTION("IFERROR(HLOOKUP($A113,IMPORTRANGE(""https://docs.google.com/spreadsheets/d/1F2Bi6K_I1K9xRxY5qb-bNRo5m-Kw7udpF1OaTHhrxjs/edit#gid=0"",""'Game 9'!$B$2:$Q$31""),30,False),1)"),23.0)</f>
        <v>23</v>
      </c>
      <c r="M113" s="12">
        <f>IFERROR(__xludf.DUMMYFUNCTION("IFERROR(HLOOKUP($A113,IMPORTRANGE(""https://docs.google.com/spreadsheets/d/1NDNgi_Ny4dRhc2A3UMIIkalN-V6EmsvxOfDzMRQlQ40/edit#gid=0"",""'Game 9'!$B$2:$Q$31""),30,False),1)"),23.0)</f>
        <v>23</v>
      </c>
      <c r="N113" s="12">
        <f>IFERROR(__xludf.DUMMYFUNCTION("IFERROR(HLOOKUP($A113,IMPORTRANGE(""https://docs.google.com/spreadsheets/d/1UDYA3-RrkJNLa2ZLH1NnUjKyfCoiSODmgVL_Au_zt-Y/edit#gid=0"",""'Game 8'!$B$2:$Q$31""),30,False),1)"),23.0)</f>
        <v>23</v>
      </c>
      <c r="O113" s="12">
        <f>IFERROR(__xludf.DUMMYFUNCTION("IFERROR(HLOOKUP($A113,IMPORTRANGE(""https://docs.google.com/spreadsheets/d/1fvo6H94Wcffp6c4N9g3JKCW6y2ZlijPxdOsNz7xdBhw/edit#gid=0"",""'Game 8'!$B$2:$Q$31""),30,False),1)"),23.0)</f>
        <v>23</v>
      </c>
      <c r="P113" s="12">
        <f>IFERROR(__xludf.DUMMYFUNCTION("IFERROR(HLOOKUP($A113,IMPORTRANGE(""https://docs.google.com/spreadsheets/d/1wfQePArl-A-5QJe5xAufoOnzeNLVSoHCRcmpZ_FMdns/edit#gid=0"",""'Game 4'!$B$2:$Q$31""),30,False),1)"),23.0)</f>
        <v>23</v>
      </c>
      <c r="Q113" s="12">
        <f>IFERROR(__xludf.DUMMYFUNCTION("IFERROR(HLOOKUP($A113,IMPORTRANGE(""https://docs.google.com/spreadsheets/d/1wydNznS0hZhVh3oGSdiCZSsReuqMT7Xaw718ix58zAI/edit#gid=0"",""'Game 9'!$B$2:$Q$31""),30,False),1)"),23.0)</f>
        <v>23</v>
      </c>
      <c r="R113" s="13">
        <f t="shared" si="1"/>
        <v>345</v>
      </c>
    </row>
    <row r="114">
      <c r="A114" s="18" t="s">
        <v>308</v>
      </c>
      <c r="B114" s="6" t="s">
        <v>309</v>
      </c>
      <c r="C114" s="18">
        <v>23.0</v>
      </c>
      <c r="D114" s="18">
        <v>23.0</v>
      </c>
      <c r="E114" s="18">
        <v>23.0</v>
      </c>
      <c r="F114" s="18">
        <v>23.0</v>
      </c>
      <c r="G114" s="18">
        <v>23.0</v>
      </c>
      <c r="H114" s="6">
        <v>23.0</v>
      </c>
      <c r="I114" s="5">
        <f>IFERROR(__xludf.DUMMYFUNCTION("HLOOKUP($A114,IMPORTRANGE(""https://docs.google.com/spreadsheets/d/1l83w8bH-F1czkFOqsgQy6o8O33Jb4Pfg40W0ou2nk0k/edit#gid=0"",""'Game 5'!$B$2:$Q$31""),30,False)"),23.0)</f>
        <v>23</v>
      </c>
      <c r="J114" s="5">
        <f>IFERROR(__xludf.DUMMYFUNCTION("HLOOKUP($A114,IMPORTRANGE(""https://docs.google.com/spreadsheets/d/15X-ub7GvrCQZ3UGgyogcjwYdxG-Ng8WHxzGSj1Z3eLw/edit#gid=0"",""'Game 5'!$B$2:$Q$31""),30,False)"),23.0)</f>
        <v>23</v>
      </c>
      <c r="K114" s="5">
        <f>IFERROR(__xludf.DUMMYFUNCTION("IFERROR(HLOOKUP($A114,IMPORTRANGE(""https://docs.google.com/spreadsheets/d/194Bw3ABslPPhOOPvVoMzIk8sOQFICWBu2pydWdYMD-w/edit#gid=0"",""'Game 7'!$B$2:$Q$26""),25,False),1)"),23.0)</f>
        <v>23</v>
      </c>
      <c r="L114" s="5">
        <f>IFERROR(__xludf.DUMMYFUNCTION("IFERROR(HLOOKUP($A114,IMPORTRANGE(""https://docs.google.com/spreadsheets/d/1F2Bi6K_I1K9xRxY5qb-bNRo5m-Kw7udpF1OaTHhrxjs/edit#gid=0"",""'Game 5'!$B$2:$Q$26""),25,False),1)"),23.0)</f>
        <v>23</v>
      </c>
      <c r="M114" s="5">
        <f>IFERROR(__xludf.DUMMYFUNCTION("IFERROR(HLOOKUP($A114,IMPORTRANGE(""https://docs.google.com/spreadsheets/d/1NDNgi_Ny4dRhc2A3UMIIkalN-V6EmsvxOfDzMRQlQ40/edit#gid=0"",""'Game 5'!$B$2:$Q$31""),30,False),1)"),23.0)</f>
        <v>23</v>
      </c>
      <c r="N114" s="5">
        <f>IFERROR(__xludf.DUMMYFUNCTION("IFERROR(HLOOKUP($A114,IMPORTRANGE(""https://docs.google.com/spreadsheets/d/1UDYA3-RrkJNLa2ZLH1NnUjKyfCoiSODmgVL_Au_zt-Y/edit#gid=0"",""'Game 4'!$B$2:$Q$31""),30,False),1)"),23.0)</f>
        <v>23</v>
      </c>
      <c r="O114" s="5">
        <f>IFERROR(__xludf.DUMMYFUNCTION("IFERROR(HLOOKUP($A114,IMPORTRANGE(""https://docs.google.com/spreadsheets/d/1fvo6H94Wcffp6c4N9g3JKCW6y2ZlijPxdOsNz7xdBhw/edit#gid=0"",""'Game 4'!$B$2:$Q$31""),30,False),1)"),23.0)</f>
        <v>23</v>
      </c>
      <c r="P114" s="5">
        <f>IFERROR(__xludf.DUMMYFUNCTION("IFERROR(HLOOKUP($A114,IMPORTRANGE(""https://docs.google.com/spreadsheets/d/1wfQePArl-A-5QJe5xAufoOnzeNLVSoHCRcmpZ_FMdns/edit#gid=0"",""'Game 4'!$B$2:$Q$31""),30,False),1)"),23.0)</f>
        <v>23</v>
      </c>
      <c r="Q114" s="5">
        <f>IFERROR(__xludf.DUMMYFUNCTION("IFERROR(HLOOKUP($A114,IMPORTRANGE(""https://docs.google.com/spreadsheets/d/1wydNznS0hZhVh3oGSdiCZSsReuqMT7Xaw718ix58zAI/edit#gid=0"",""'Game 5'!$B$2:$Q$31""),30,False),1)"),0.0)</f>
        <v>0</v>
      </c>
      <c r="R114" s="6">
        <f t="shared" si="1"/>
        <v>322</v>
      </c>
    </row>
    <row r="115">
      <c r="A115" s="20" t="s">
        <v>311</v>
      </c>
      <c r="B115" s="13" t="s">
        <v>309</v>
      </c>
      <c r="C115" s="20">
        <v>11.0</v>
      </c>
      <c r="D115" s="20">
        <v>23.0</v>
      </c>
      <c r="E115" s="20">
        <v>11.0</v>
      </c>
      <c r="F115" s="20">
        <v>0.0</v>
      </c>
      <c r="G115" s="20">
        <v>23.0</v>
      </c>
      <c r="H115" s="13">
        <v>23.0</v>
      </c>
      <c r="I115" s="12">
        <f>IFERROR(__xludf.DUMMYFUNCTION("HLOOKUP($A115,IMPORTRANGE(""https://docs.google.com/spreadsheets/d/1l83w8bH-F1czkFOqsgQy6o8O33Jb4Pfg40W0ou2nk0k/edit#gid=0"",""'Game 5'!$B$2:$Q$31""),30,False)"),0.0)</f>
        <v>0</v>
      </c>
      <c r="J115" s="12">
        <f>IFERROR(__xludf.DUMMYFUNCTION("HLOOKUP($A115,IMPORTRANGE(""https://docs.google.com/spreadsheets/d/15X-ub7GvrCQZ3UGgyogcjwYdxG-Ng8WHxzGSj1Z3eLw/edit#gid=0"",""'Game 5'!$B$2:$Q$31""),30,False)"),23.0)</f>
        <v>23</v>
      </c>
      <c r="K115" s="12">
        <f>IFERROR(__xludf.DUMMYFUNCTION("IFERROR(HLOOKUP($A115,IMPORTRANGE(""https://docs.google.com/spreadsheets/d/194Bw3ABslPPhOOPvVoMzIk8sOQFICWBu2pydWdYMD-w/edit#gid=0"",""'Game 7'!$B$2:$Q$26""),25,False),1)"),12.0)</f>
        <v>12</v>
      </c>
      <c r="L115" s="12">
        <f>IFERROR(__xludf.DUMMYFUNCTION("IFERROR(HLOOKUP($A115,IMPORTRANGE(""https://docs.google.com/spreadsheets/d/1F2Bi6K_I1K9xRxY5qb-bNRo5m-Kw7udpF1OaTHhrxjs/edit#gid=0"",""'Game 5'!$B$2:$Q$26""),25,False),1)"),0.0)</f>
        <v>0</v>
      </c>
      <c r="M115" s="12">
        <f>IFERROR(__xludf.DUMMYFUNCTION("IFERROR(HLOOKUP($A115,IMPORTRANGE(""https://docs.google.com/spreadsheets/d/1NDNgi_Ny4dRhc2A3UMIIkalN-V6EmsvxOfDzMRQlQ40/edit#gid=0"",""'Game 5'!$B$2:$Q$31""),30,False),1)"),23.0)</f>
        <v>23</v>
      </c>
      <c r="N115" s="12">
        <f>IFERROR(__xludf.DUMMYFUNCTION("IFERROR(HLOOKUP($A115,IMPORTRANGE(""https://docs.google.com/spreadsheets/d/1UDYA3-RrkJNLa2ZLH1NnUjKyfCoiSODmgVL_Au_zt-Y/edit#gid=0"",""'Game 4'!$B$2:$Q$31""),30,False),1)"),11.0)</f>
        <v>11</v>
      </c>
      <c r="O115" s="12">
        <f>IFERROR(__xludf.DUMMYFUNCTION("IFERROR(HLOOKUP($A115,IMPORTRANGE(""https://docs.google.com/spreadsheets/d/1fvo6H94Wcffp6c4N9g3JKCW6y2ZlijPxdOsNz7xdBhw/edit#gid=0"",""'Game 4'!$B$2:$Q$31""),30,False),1)"),23.0)</f>
        <v>23</v>
      </c>
      <c r="P115" s="12">
        <f>IFERROR(__xludf.DUMMYFUNCTION("IFERROR(HLOOKUP($A115,IMPORTRANGE(""https://docs.google.com/spreadsheets/d/1wfQePArl-A-5QJe5xAufoOnzeNLVSoHCRcmpZ_FMdns/edit#gid=0"",""'Game 4'!$B$2:$Q$31""),30,False),1)"),23.0)</f>
        <v>23</v>
      </c>
      <c r="Q115" s="12">
        <f>IFERROR(__xludf.DUMMYFUNCTION("IFERROR(HLOOKUP($A115,IMPORTRANGE(""https://docs.google.com/spreadsheets/d/1wydNznS0hZhVh3oGSdiCZSsReuqMT7Xaw718ix58zAI/edit#gid=0"",""'Game 5'!$B$2:$Q$31""),30,False),1)"),23.0)</f>
        <v>23</v>
      </c>
      <c r="R115" s="13">
        <f t="shared" si="1"/>
        <v>229</v>
      </c>
    </row>
    <row r="116">
      <c r="A116" s="18" t="s">
        <v>314</v>
      </c>
      <c r="B116" s="6" t="s">
        <v>309</v>
      </c>
      <c r="C116" s="18">
        <v>12.0</v>
      </c>
      <c r="D116" s="18">
        <v>0.0</v>
      </c>
      <c r="E116" s="18">
        <v>0.0</v>
      </c>
      <c r="F116" s="18">
        <v>0.0</v>
      </c>
      <c r="G116" s="18">
        <v>0.0</v>
      </c>
      <c r="H116" s="6">
        <v>0.0</v>
      </c>
      <c r="I116" s="5">
        <f>IFERROR(__xludf.DUMMYFUNCTION("HLOOKUP($A116,IMPORTRANGE(""https://docs.google.com/spreadsheets/d/1l83w8bH-F1czkFOqsgQy6o8O33Jb4Pfg40W0ou2nk0k/edit#gid=0"",""'Game 5'!$B$2:$Q$31""),30,False)"),0.0)</f>
        <v>0</v>
      </c>
      <c r="J116" s="5">
        <f>IFERROR(__xludf.DUMMYFUNCTION("HLOOKUP($A116,IMPORTRANGE(""https://docs.google.com/spreadsheets/d/15X-ub7GvrCQZ3UGgyogcjwYdxG-Ng8WHxzGSj1Z3eLw/edit#gid=0"",""'Game 5'!$B$2:$Q$31""),30,False)"),0.0)</f>
        <v>0</v>
      </c>
      <c r="K116" s="5">
        <f>IFERROR(__xludf.DUMMYFUNCTION("HLOOKUP($A116,IMPORTRANGE(""https://docs.google.com/spreadsheets/d/194Bw3ABslPPhOOPvVoMzIk8sOQFICWBu2pydWdYMD-w/edit#gid=0"",""'Game 7'!$B$2:$Q$26""),25,False)"),0.0)</f>
        <v>0</v>
      </c>
      <c r="L116" s="5">
        <f>IFERROR(__xludf.DUMMYFUNCTION("IFERROR(HLOOKUP($A116,IMPORTRANGE(""https://docs.google.com/spreadsheets/d/1F2Bi6K_I1K9xRxY5qb-bNRo5m-Kw7udpF1OaTHhrxjs/edit#gid=0"",""'Game 5'!$B$2:$Q$26""),25,False),1)"),0.0)</f>
        <v>0</v>
      </c>
      <c r="M116" s="5">
        <f>IFERROR(__xludf.DUMMYFUNCTION("IFERROR(HLOOKUP($A116,IMPORTRANGE(""https://docs.google.com/spreadsheets/d/1NDNgi_Ny4dRhc2A3UMIIkalN-V6EmsvxOfDzMRQlQ40/edit#gid=0"",""'Game 5'!$B$2:$Q$31""),30,False),1)"),0.0)</f>
        <v>0</v>
      </c>
      <c r="N116" s="5">
        <f>IFERROR(__xludf.DUMMYFUNCTION("IFERROR(HLOOKUP($A116,IMPORTRANGE(""https://docs.google.com/spreadsheets/d/1UDYA3-RrkJNLa2ZLH1NnUjKyfCoiSODmgVL_Au_zt-Y/edit#gid=0"",""'Game 4'!$B$2:$Q$31""),30,False),1)"),0.0)</f>
        <v>0</v>
      </c>
      <c r="O116" s="5">
        <f>IFERROR(__xludf.DUMMYFUNCTION("IFERROR(HLOOKUP($A116,IMPORTRANGE(""https://docs.google.com/spreadsheets/d/1fvo6H94Wcffp6c4N9g3JKCW6y2ZlijPxdOsNz7xdBhw/edit#gid=0"",""'Game 4'!$B$2:$Q$31""),30,False),1)"),0.0)</f>
        <v>0</v>
      </c>
      <c r="P116" s="5">
        <f>IFERROR(__xludf.DUMMYFUNCTION("IFERROR(HLOOKUP($A116,IMPORTRANGE(""https://docs.google.com/spreadsheets/d/1wfQePArl-A-5QJe5xAufoOnzeNLVSoHCRcmpZ_FMdns/edit#gid=0"",""'Game 4'!$B$2:$Q$31""),30,False),1)"),0.0)</f>
        <v>0</v>
      </c>
      <c r="Q116" s="5">
        <f>IFERROR(__xludf.DUMMYFUNCTION("IFERROR(HLOOKUP($A116,IMPORTRANGE(""https://docs.google.com/spreadsheets/d/1wydNznS0hZhVh3oGSdiCZSsReuqMT7Xaw718ix58zAI/edit#gid=0"",""'Game 5'!$B$2:$Q$31""),30,False),1)"),0.0)</f>
        <v>0</v>
      </c>
      <c r="R116" s="6">
        <f t="shared" si="1"/>
        <v>12</v>
      </c>
    </row>
    <row r="117">
      <c r="A117" s="20" t="s">
        <v>316</v>
      </c>
      <c r="B117" s="13" t="s">
        <v>309</v>
      </c>
      <c r="C117" s="20">
        <v>23.0</v>
      </c>
      <c r="D117" s="20">
        <v>23.0</v>
      </c>
      <c r="E117" s="20">
        <v>23.0</v>
      </c>
      <c r="F117" s="20">
        <v>23.0</v>
      </c>
      <c r="G117" s="20">
        <v>23.0</v>
      </c>
      <c r="H117" s="13">
        <v>23.0</v>
      </c>
      <c r="I117" s="12">
        <f>IFERROR(__xludf.DUMMYFUNCTION("HLOOKUP($A117,IMPORTRANGE(""https://docs.google.com/spreadsheets/d/1l83w8bH-F1czkFOqsgQy6o8O33Jb4Pfg40W0ou2nk0k/edit#gid=0"",""'Game 5'!$B$2:$Q$31""),30,False)"),23.0)</f>
        <v>23</v>
      </c>
      <c r="J117" s="12">
        <f>IFERROR(__xludf.DUMMYFUNCTION("HLOOKUP($A117,IMPORTRANGE(""https://docs.google.com/spreadsheets/d/15X-ub7GvrCQZ3UGgyogcjwYdxG-Ng8WHxzGSj1Z3eLw/edit#gid=0"",""'Game 5'!$B$2:$Q$31""),30,False)"),23.0)</f>
        <v>23</v>
      </c>
      <c r="K117" s="12">
        <f>IFERROR(__xludf.DUMMYFUNCTION("IFERROR(HLOOKUP($A117,IMPORTRANGE(""https://docs.google.com/spreadsheets/d/194Bw3ABslPPhOOPvVoMzIk8sOQFICWBu2pydWdYMD-w/edit#gid=0"",""'Game 7'!$B$2:$Q$26""),25,False),1)"),23.0)</f>
        <v>23</v>
      </c>
      <c r="L117" s="12">
        <f>IFERROR(__xludf.DUMMYFUNCTION("IFERROR(HLOOKUP($A117,IMPORTRANGE(""https://docs.google.com/spreadsheets/d/1F2Bi6K_I1K9xRxY5qb-bNRo5m-Kw7udpF1OaTHhrxjs/edit#gid=0"",""'Game 5'!$B$2:$Q$26""),25,False),1)"),23.0)</f>
        <v>23</v>
      </c>
      <c r="M117" s="12">
        <f>IFERROR(__xludf.DUMMYFUNCTION("IFERROR(HLOOKUP($A117,IMPORTRANGE(""https://docs.google.com/spreadsheets/d/1NDNgi_Ny4dRhc2A3UMIIkalN-V6EmsvxOfDzMRQlQ40/edit#gid=0"",""'Game 5'!$B$2:$Q$31""),30,False),1)"),23.0)</f>
        <v>23</v>
      </c>
      <c r="N117" s="12">
        <f>IFERROR(__xludf.DUMMYFUNCTION("IFERROR(HLOOKUP($A117,IMPORTRANGE(""https://docs.google.com/spreadsheets/d/1UDYA3-RrkJNLa2ZLH1NnUjKyfCoiSODmgVL_Au_zt-Y/edit#gid=0"",""'Game 4'!$B$2:$Q$31""),30,False),1)"),23.0)</f>
        <v>23</v>
      </c>
      <c r="O117" s="12">
        <f>IFERROR(__xludf.DUMMYFUNCTION("IFERROR(HLOOKUP($A117,IMPORTRANGE(""https://docs.google.com/spreadsheets/d/1fvo6H94Wcffp6c4N9g3JKCW6y2ZlijPxdOsNz7xdBhw/edit#gid=0"",""'Game 4'!$B$2:$Q$31""),30,False),1)"),23.0)</f>
        <v>23</v>
      </c>
      <c r="P117" s="12">
        <f>IFERROR(__xludf.DUMMYFUNCTION("IFERROR(HLOOKUP($A117,IMPORTRANGE(""https://docs.google.com/spreadsheets/d/1wfQePArl-A-5QJe5xAufoOnzeNLVSoHCRcmpZ_FMdns/edit#gid=0"",""'Game 4'!$B$2:$Q$31""),30,False),1)"),23.0)</f>
        <v>23</v>
      </c>
      <c r="Q117" s="12">
        <f>IFERROR(__xludf.DUMMYFUNCTION("IFERROR(HLOOKUP($A117,IMPORTRANGE(""https://docs.google.com/spreadsheets/d/1wydNznS0hZhVh3oGSdiCZSsReuqMT7Xaw718ix58zAI/edit#gid=0"",""'Game 5'!$B$2:$Q$31""),30,False),1)"),23.0)</f>
        <v>23</v>
      </c>
      <c r="R117" s="13">
        <f t="shared" si="1"/>
        <v>345</v>
      </c>
    </row>
    <row r="118">
      <c r="A118" s="18" t="s">
        <v>319</v>
      </c>
      <c r="B118" s="6" t="s">
        <v>309</v>
      </c>
      <c r="C118" s="18">
        <v>0.0</v>
      </c>
      <c r="D118" s="18">
        <v>23.0</v>
      </c>
      <c r="E118" s="18">
        <v>12.0</v>
      </c>
      <c r="F118" s="18">
        <v>23.0</v>
      </c>
      <c r="G118" s="18">
        <v>23.0</v>
      </c>
      <c r="H118" s="6">
        <v>23.0</v>
      </c>
      <c r="I118" s="5">
        <f>IFERROR(__xludf.DUMMYFUNCTION("HLOOKUP($A118,IMPORTRANGE(""https://docs.google.com/spreadsheets/d/1l83w8bH-F1czkFOqsgQy6o8O33Jb4Pfg40W0ou2nk0k/edit#gid=0"",""'Game 5'!$B$2:$Q$31""),30,False)"),0.0)</f>
        <v>0</v>
      </c>
      <c r="J118" s="5">
        <f>IFERROR(__xludf.DUMMYFUNCTION("HLOOKUP($A118,IMPORTRANGE(""https://docs.google.com/spreadsheets/d/15X-ub7GvrCQZ3UGgyogcjwYdxG-Ng8WHxzGSj1Z3eLw/edit#gid=0"",""'Game 5'!$B$2:$Q$31""),30,False)"),23.0)</f>
        <v>23</v>
      </c>
      <c r="K118" s="5">
        <f>IFERROR(__xludf.DUMMYFUNCTION("IFERROR(HLOOKUP($A118,IMPORTRANGE(""https://docs.google.com/spreadsheets/d/194Bw3ABslPPhOOPvVoMzIk8sOQFICWBu2pydWdYMD-w/edit#gid=0"",""'Game 7'!$B$2:$Q$26""),25,False),1)"),23.0)</f>
        <v>23</v>
      </c>
      <c r="L118" s="5">
        <f>IFERROR(__xludf.DUMMYFUNCTION("IFERROR(HLOOKUP($A118,IMPORTRANGE(""https://docs.google.com/spreadsheets/d/1F2Bi6K_I1K9xRxY5qb-bNRo5m-Kw7udpF1OaTHhrxjs/edit#gid=0"",""'Game 5'!$B$2:$Q$26""),25,False),1)"),23.0)</f>
        <v>23</v>
      </c>
      <c r="M118" s="5">
        <f>IFERROR(__xludf.DUMMYFUNCTION("IFERROR(HLOOKUP($A118,IMPORTRANGE(""https://docs.google.com/spreadsheets/d/1NDNgi_Ny4dRhc2A3UMIIkalN-V6EmsvxOfDzMRQlQ40/edit#gid=0"",""'Game 5'!$B$2:$Q$31""),30,False),1)"),23.0)</f>
        <v>23</v>
      </c>
      <c r="N118" s="5">
        <f>IFERROR(__xludf.DUMMYFUNCTION("IFERROR(HLOOKUP($A118,IMPORTRANGE(""https://docs.google.com/spreadsheets/d/1UDYA3-RrkJNLa2ZLH1NnUjKyfCoiSODmgVL_Au_zt-Y/edit#gid=0"",""'Game 4'!$B$2:$Q$31""),30,False),1)"),12.0)</f>
        <v>12</v>
      </c>
      <c r="O118" s="5">
        <f>IFERROR(__xludf.DUMMYFUNCTION("IFERROR(HLOOKUP($A118,IMPORTRANGE(""https://docs.google.com/spreadsheets/d/1fvo6H94Wcffp6c4N9g3JKCW6y2ZlijPxdOsNz7xdBhw/edit#gid=0"",""'Game 4'!$B$2:$Q$31""),30,False),1)"),23.0)</f>
        <v>23</v>
      </c>
      <c r="P118" s="5">
        <f>IFERROR(__xludf.DUMMYFUNCTION("IFERROR(HLOOKUP($A118,IMPORTRANGE(""https://docs.google.com/spreadsheets/d/1wfQePArl-A-5QJe5xAufoOnzeNLVSoHCRcmpZ_FMdns/edit#gid=0"",""'Game 4'!$B$2:$Q$31""),30,False),1)"),23.0)</f>
        <v>23</v>
      </c>
      <c r="Q118" s="5">
        <f>IFERROR(__xludf.DUMMYFUNCTION("IFERROR(HLOOKUP($A118,IMPORTRANGE(""https://docs.google.com/spreadsheets/d/1wydNznS0hZhVh3oGSdiCZSsReuqMT7Xaw718ix58zAI/edit#gid=0"",""'Game 5'!$B$2:$Q$31""),30,False),1)"),23.0)</f>
        <v>23</v>
      </c>
      <c r="R118" s="6">
        <f t="shared" si="1"/>
        <v>277</v>
      </c>
    </row>
    <row r="119">
      <c r="A119" s="20" t="s">
        <v>321</v>
      </c>
      <c r="B119" s="20" t="s">
        <v>309</v>
      </c>
      <c r="C119" s="20">
        <v>23.0</v>
      </c>
      <c r="D119" s="20">
        <v>0.0</v>
      </c>
      <c r="E119" s="20">
        <v>23.0</v>
      </c>
      <c r="F119" s="20">
        <v>23.0</v>
      </c>
      <c r="G119" s="20">
        <v>0.0</v>
      </c>
      <c r="H119" s="20">
        <v>0.0</v>
      </c>
      <c r="I119" s="12">
        <f>IFERROR(__xludf.DUMMYFUNCTION("HLOOKUP($A119,IMPORTRANGE(""https://docs.google.com/spreadsheets/d/1l83w8bH-F1czkFOqsgQy6o8O33Jb4Pfg40W0ou2nk0k/edit#gid=0"",""'Game 5'!$B$2:$Q$31""),30,False)"),23.0)</f>
        <v>23</v>
      </c>
      <c r="J119" s="12">
        <f>IFERROR(__xludf.DUMMYFUNCTION("HLOOKUP($A119,IMPORTRANGE(""https://docs.google.com/spreadsheets/d/15X-ub7GvrCQZ3UGgyogcjwYdxG-Ng8WHxzGSj1Z3eLw/edit#gid=0"",""'Game 5'!$B$2:$Q$31""),30,False)"),0.0)</f>
        <v>0</v>
      </c>
      <c r="K119" s="12">
        <f>IFERROR(__xludf.DUMMYFUNCTION("IFERROR(HLOOKUP($A119,IMPORTRANGE(""https://docs.google.com/spreadsheets/d/194Bw3ABslPPhOOPvVoMzIk8sOQFICWBu2pydWdYMD-w/edit#gid=0"",""'Game 7'!$B$2:$Q$26""),25,False),1)"),11.0)</f>
        <v>11</v>
      </c>
      <c r="L119" s="12">
        <f>IFERROR(__xludf.DUMMYFUNCTION("IFERROR(HLOOKUP($A119,IMPORTRANGE(""https://docs.google.com/spreadsheets/d/1F2Bi6K_I1K9xRxY5qb-bNRo5m-Kw7udpF1OaTHhrxjs/edit#gid=0"",""'Game 5'!$B$2:$Q$26""),25,False),1)"),23.0)</f>
        <v>23</v>
      </c>
      <c r="M119" s="12">
        <f>IFERROR(__xludf.DUMMYFUNCTION("IFERROR(HLOOKUP($A119,IMPORTRANGE(""https://docs.google.com/spreadsheets/d/1NDNgi_Ny4dRhc2A3UMIIkalN-V6EmsvxOfDzMRQlQ40/edit#gid=0"",""'Game 5'!$B$2:$Q$31""),30,False),1)"),0.0)</f>
        <v>0</v>
      </c>
      <c r="N119" s="12">
        <f>IFERROR(__xludf.DUMMYFUNCTION("IFERROR(HLOOKUP($A119,IMPORTRANGE(""https://docs.google.com/spreadsheets/d/1UDYA3-RrkJNLa2ZLH1NnUjKyfCoiSODmgVL_Au_zt-Y/edit#gid=0"",""'Game 4'!$B$2:$Q$31""),30,False),1)"),23.0)</f>
        <v>23</v>
      </c>
      <c r="O119" s="12">
        <f>IFERROR(__xludf.DUMMYFUNCTION("IFERROR(HLOOKUP($A119,IMPORTRANGE(""https://docs.google.com/spreadsheets/d/1fvo6H94Wcffp6c4N9g3JKCW6y2ZlijPxdOsNz7xdBhw/edit#gid=0"",""'Game 4'!$B$2:$Q$31""),30,False),1)"),0.0)</f>
        <v>0</v>
      </c>
      <c r="P119" s="12">
        <f>IFERROR(__xludf.DUMMYFUNCTION("IFERROR(HLOOKUP($A119,IMPORTRANGE(""https://docs.google.com/spreadsheets/d/1wfQePArl-A-5QJe5xAufoOnzeNLVSoHCRcmpZ_FMdns/edit#gid=0"",""'Game 4'!$B$2:$Q$31""),30,False),1)"),0.0)</f>
        <v>0</v>
      </c>
      <c r="Q119" s="12">
        <f>IFERROR(__xludf.DUMMYFUNCTION("IFERROR(HLOOKUP($A119,IMPORTRANGE(""https://docs.google.com/spreadsheets/d/1wydNznS0hZhVh3oGSdiCZSsReuqMT7Xaw718ix58zAI/edit#gid=0"",""'Game 5'!$B$2:$Q$31""),30,False),1)"),23.0)</f>
        <v>23</v>
      </c>
      <c r="R119" s="13">
        <f t="shared" si="1"/>
        <v>172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63"/>
    <col customWidth="1" min="3" max="18" width="10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</row>
    <row r="2">
      <c r="A2" s="3" t="s">
        <v>18</v>
      </c>
      <c r="B2" s="3" t="s">
        <v>19</v>
      </c>
      <c r="C2" s="3">
        <v>20.0</v>
      </c>
      <c r="D2" s="3">
        <v>32.0</v>
      </c>
      <c r="E2" s="3">
        <v>20.0</v>
      </c>
      <c r="F2" s="3">
        <v>16.0</v>
      </c>
      <c r="G2" s="3">
        <v>4.0</v>
      </c>
      <c r="H2" s="5">
        <f>IFERROR(__xludf.DUMMYFUNCTION("HLOOKUP($A2,IMPORTRANGE(""https://docs.google.com/spreadsheets/d/16J5ie7OD1E99qGO9lMDm8w5Yls-v190B7DTolJ5TmFc/edit#gid=0"",""'Game 3'!$B$2:$Q$34""),33,False)"),44.0)</f>
        <v>44</v>
      </c>
      <c r="I2" s="3">
        <v>24.0</v>
      </c>
      <c r="J2" s="5">
        <f>IFERROR(__xludf.DUMMYFUNCTION("IFERROR(HLOOKUP($A2,IMPORTRANGE(""https://docs.google.com/spreadsheets/d/1CTYfdyRk_RFGM3I2iN9bKeD9zUPzEm1ajzml6VgwfIU/edit#gid=0"",""'Game 1'!$B$2:$Q$34""),33,False),1)"),20.0)</f>
        <v>20</v>
      </c>
      <c r="K2" s="5">
        <f>IFERROR(__xludf.DUMMYFUNCTION("IFERROR(HLOOKUP($A2,IMPORTRANGE(""https://docs.google.com/spreadsheets/d/11NFkzOdQyW-OtxSDuGslNCgNjx7HUb2FU7KnlNnPMgY/edit#gid=0"",""'Game 12'!$B$2:$Q$34""),33,False),1)"),28.0)</f>
        <v>28</v>
      </c>
      <c r="L2" s="5">
        <f>IFERROR(__xludf.DUMMYFUNCTION("IFERROR(HLOOKUP($A2,IMPORTRANGE(""https://docs.google.com/spreadsheets/d/1CLg5-jaE4ta0-u4oE1qbBplQ5Mf3Oj9ONFgL0zJ7Ol4/edit#gid=0"",""'Game 13'!$B$2:$Q$34""),33,False),1)"),20.0)</f>
        <v>20</v>
      </c>
      <c r="M2" s="5">
        <f>IFERROR(__xludf.DUMMYFUNCTION("IFERROR(HLOOKUP($A2,IMPORTRANGE(""https://docs.google.com/spreadsheets/d/1CeexgK4KxWj3k_7nql_k8-RPxXMwTJyB4Q3vAASeDlA/edit#gid=0"",""'Game 13'!$B$2:$Q$34""),33,False),1)"),16.0)</f>
        <v>16</v>
      </c>
      <c r="N2" s="5">
        <f>IFERROR(__xludf.DUMMYFUNCTION("IFERROR(HLOOKUP($A2,IMPORTRANGE(""https://docs.google.com/spreadsheets/d/1MNwUNMjcwK6bEgCXwB73jpbK5gJAXS8ZMpbEMLJEP3E/edit#gid=0"",""'Game 8'!$B$2:$Q$34""),33,False),1)"),32.0)</f>
        <v>32</v>
      </c>
      <c r="O2" s="5">
        <f>IFERROR(__xludf.DUMMYFUNCTION("IFERROR(HLOOKUP($A2,IMPORTRANGE(""https://docs.google.com/spreadsheets/d/1UrzyxmT40kDZwVrLMf1yyXfP-pyczRAw9Y8Rw-uXG3c/edit#gid=0"",""'Game 13'!$B$2:$Q$34""),33,False),1)"),20.0)</f>
        <v>20</v>
      </c>
      <c r="P2" s="5">
        <f>IFERROR(__xludf.DUMMYFUNCTION("IFERROR(HLOOKUP($A2,IMPORTRANGE(""https://docs.google.com/spreadsheets/d/1iyMhSYWifw-KGFtyeBpNxVZr4BhcV9hVZuShgJ9Ia0E/edit#gid=0"",""'Game 6'!$B$2:$Q$34""),33,False),1)"),20.0)</f>
        <v>20</v>
      </c>
      <c r="Q2" s="5">
        <f>IFERROR(__xludf.DUMMYFUNCTION("IFERROR(HLOOKUP($A2,IMPORTRANGE(""https://docs.google.com/spreadsheets/d/1sSbIK-vvHsSY0LghLJ9gcnW8Hec_ITI2tFmpeqI999A/edit#gid=0"",""'Game 9'!$B$2:$Q$34""),33,False),1)"),4.0)</f>
        <v>4</v>
      </c>
      <c r="R2" s="6">
        <f>TUHStand!R2</f>
        <v>345</v>
      </c>
      <c r="S2" s="6">
        <f t="shared" ref="S2:S47" si="1">SUM(C2:Q2)</f>
        <v>320</v>
      </c>
      <c r="T2" s="6">
        <f t="shared" ref="T2:T47" si="2">IFERROR(23*S2/R2,-100)</f>
        <v>21.33333333</v>
      </c>
      <c r="U2" s="6">
        <f t="shared" ref="U2:U146" si="3">RANK(T2,$T$2:$T$146)</f>
        <v>2</v>
      </c>
    </row>
    <row r="3">
      <c r="A3" s="2" t="s">
        <v>25</v>
      </c>
      <c r="B3" s="2" t="s">
        <v>19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12">
        <f>IFERROR(__xludf.DUMMYFUNCTION("HLOOKUP($A3,IMPORTRANGE(""https://docs.google.com/spreadsheets/d/16J5ie7OD1E99qGO9lMDm8w5Yls-v190B7DTolJ5TmFc/edit#gid=0"",""'Game 3'!$B$2:$Q$34""),33,False)"),0.0)</f>
        <v>0</v>
      </c>
      <c r="I3" s="2">
        <v>0.0</v>
      </c>
      <c r="J3" s="12">
        <f>IFERROR(__xludf.DUMMYFUNCTION("IFERROR(HLOOKUP($A3,IMPORTRANGE(""https://docs.google.com/spreadsheets/d/1CTYfdyRk_RFGM3I2iN9bKeD9zUPzEm1ajzml6VgwfIU/edit#gid=0"",""'Game 1'!$B$2:$Q$34""),33,False),1)"),0.0)</f>
        <v>0</v>
      </c>
      <c r="K3" s="12">
        <f>IFERROR(__xludf.DUMMYFUNCTION("IFERROR(HLOOKUP($A3,IMPORTRANGE(""https://docs.google.com/spreadsheets/d/11NFkzOdQyW-OtxSDuGslNCgNjx7HUb2FU7KnlNnPMgY/edit#gid=0"",""'Game 12'!$B$2:$Q$34""),33,False),1)"),0.0)</f>
        <v>0</v>
      </c>
      <c r="L3" s="12">
        <f>IFERROR(__xludf.DUMMYFUNCTION("IFERROR(HLOOKUP($A3,IMPORTRANGE(""https://docs.google.com/spreadsheets/d/1CLg5-jaE4ta0-u4oE1qbBplQ5Mf3Oj9ONFgL0zJ7Ol4/edit#gid=0"",""'Game 13'!$B$2:$Q$34""),33,False),1)"),0.0)</f>
        <v>0</v>
      </c>
      <c r="M3" s="12">
        <f>IFERROR(__xludf.DUMMYFUNCTION("IFERROR(HLOOKUP($A3,IMPORTRANGE(""https://docs.google.com/spreadsheets/d/1CeexgK4KxWj3k_7nql_k8-RPxXMwTJyB4Q3vAASeDlA/edit#gid=0"",""'Game 13'!$B$2:$Q$34""),33,False),1)"),0.0)</f>
        <v>0</v>
      </c>
      <c r="N3" s="12">
        <f>IFERROR(__xludf.DUMMYFUNCTION("IFERROR(HLOOKUP($A3,IMPORTRANGE(""https://docs.google.com/spreadsheets/d/1MNwUNMjcwK6bEgCXwB73jpbK5gJAXS8ZMpbEMLJEP3E/edit#gid=0"",""'Game 8'!$B$2:$Q$34""),33,False),1)"),0.0)</f>
        <v>0</v>
      </c>
      <c r="O3" s="12">
        <f>IFERROR(__xludf.DUMMYFUNCTION("IFERROR(HLOOKUP($A3,IMPORTRANGE(""https://docs.google.com/spreadsheets/d/1UrzyxmT40kDZwVrLMf1yyXfP-pyczRAw9Y8Rw-uXG3c/edit#gid=0"",""'Game 13'!$B$2:$Q$34""),33,False),1)"),0.0)</f>
        <v>0</v>
      </c>
      <c r="P3" s="12">
        <f>IFERROR(__xludf.DUMMYFUNCTION("IFERROR(HLOOKUP($A3,IMPORTRANGE(""https://docs.google.com/spreadsheets/d/1iyMhSYWifw-KGFtyeBpNxVZr4BhcV9hVZuShgJ9Ia0E/edit#gid=0"",""'Game 6'!$B$2:$Q$34""),33,False),1)"),0.0)</f>
        <v>0</v>
      </c>
      <c r="Q3" s="12">
        <f>IFERROR(__xludf.DUMMYFUNCTION("IFERROR(HLOOKUP($A3,IMPORTRANGE(""https://docs.google.com/spreadsheets/d/1sSbIK-vvHsSY0LghLJ9gcnW8Hec_ITI2tFmpeqI999A/edit#gid=0"",""'Game 9'!$B$2:$Q$34""),33,False),1)"),0.0)</f>
        <v>0</v>
      </c>
      <c r="R3" s="13">
        <f>TUHStand!R3</f>
        <v>277</v>
      </c>
      <c r="S3" s="13">
        <f t="shared" si="1"/>
        <v>0</v>
      </c>
      <c r="T3" s="13">
        <f t="shared" si="2"/>
        <v>0</v>
      </c>
      <c r="U3" s="13">
        <f t="shared" si="3"/>
        <v>127</v>
      </c>
    </row>
    <row r="4">
      <c r="A4" s="3" t="s">
        <v>27</v>
      </c>
      <c r="B4" s="3" t="s">
        <v>19</v>
      </c>
      <c r="C4" s="3">
        <v>4.0</v>
      </c>
      <c r="D4" s="3">
        <v>4.0</v>
      </c>
      <c r="E4" s="3">
        <v>0.0</v>
      </c>
      <c r="F4" s="3">
        <v>0.0</v>
      </c>
      <c r="G4" s="3">
        <v>0.0</v>
      </c>
      <c r="H4" s="5">
        <f>IFERROR(__xludf.DUMMYFUNCTION("HLOOKUP($A4,IMPORTRANGE(""https://docs.google.com/spreadsheets/d/16J5ie7OD1E99qGO9lMDm8w5Yls-v190B7DTolJ5TmFc/edit#gid=0"",""'Game 3'!$B$2:$Q$34""),33,False)"),0.0)</f>
        <v>0</v>
      </c>
      <c r="I4" s="3">
        <v>0.0</v>
      </c>
      <c r="J4" s="5">
        <f>IFERROR(__xludf.DUMMYFUNCTION("IFERROR(HLOOKUP($A4,IMPORTRANGE(""https://docs.google.com/spreadsheets/d/1CTYfdyRk_RFGM3I2iN9bKeD9zUPzEm1ajzml6VgwfIU/edit#gid=0"",""'Game 1'!$B$2:$Q$34""),33,False),1)"),0.0)</f>
        <v>0</v>
      </c>
      <c r="K4" s="5">
        <f>IFERROR(__xludf.DUMMYFUNCTION("IFERROR(HLOOKUP($A4,IMPORTRANGE(""https://docs.google.com/spreadsheets/d/11NFkzOdQyW-OtxSDuGslNCgNjx7HUb2FU7KnlNnPMgY/edit#gid=0"",""'Game 12'!$B$2:$Q$34""),33,False),1)"),4.0)</f>
        <v>4</v>
      </c>
      <c r="L4" s="5">
        <f>IFERROR(__xludf.DUMMYFUNCTION("IFERROR(HLOOKUP($A4,IMPORTRANGE(""https://docs.google.com/spreadsheets/d/1CLg5-jaE4ta0-u4oE1qbBplQ5Mf3Oj9ONFgL0zJ7Ol4/edit#gid=0"",""'Game 13'!$B$2:$Q$34""),33,False),1)"),4.0)</f>
        <v>4</v>
      </c>
      <c r="M4" s="5">
        <f>IFERROR(__xludf.DUMMYFUNCTION("IFERROR(HLOOKUP($A4,IMPORTRANGE(""https://docs.google.com/spreadsheets/d/1CeexgK4KxWj3k_7nql_k8-RPxXMwTJyB4Q3vAASeDlA/edit#gid=0"",""'Game 13'!$B$2:$Q$34""),33,False),1)"),4.0)</f>
        <v>4</v>
      </c>
      <c r="N4" s="5">
        <f>IFERROR(__xludf.DUMMYFUNCTION("IFERROR(HLOOKUP($A4,IMPORTRANGE(""https://docs.google.com/spreadsheets/d/1MNwUNMjcwK6bEgCXwB73jpbK5gJAXS8ZMpbEMLJEP3E/edit#gid=0"",""'Game 8'!$B$2:$Q$34""),33,False),1)"),0.0)</f>
        <v>0</v>
      </c>
      <c r="O4" s="5">
        <f>IFERROR(__xludf.DUMMYFUNCTION("IFERROR(HLOOKUP($A4,IMPORTRANGE(""https://docs.google.com/spreadsheets/d/1UrzyxmT40kDZwVrLMf1yyXfP-pyczRAw9Y8Rw-uXG3c/edit#gid=0"",""'Game 13'!$B$2:$Q$34""),33,False),1)"),4.0)</f>
        <v>4</v>
      </c>
      <c r="P4" s="5">
        <f>IFERROR(__xludf.DUMMYFUNCTION("IFERROR(HLOOKUP($A4,IMPORTRANGE(""https://docs.google.com/spreadsheets/d/1iyMhSYWifw-KGFtyeBpNxVZr4BhcV9hVZuShgJ9Ia0E/edit#gid=0"",""'Game 6'!$B$2:$Q$34""),33,False),1)"),0.0)</f>
        <v>0</v>
      </c>
      <c r="Q4" s="5">
        <f>IFERROR(__xludf.DUMMYFUNCTION("IFERROR(HLOOKUP($A4,IMPORTRANGE(""https://docs.google.com/spreadsheets/d/1sSbIK-vvHsSY0LghLJ9gcnW8Hec_ITI2tFmpeqI999A/edit#gid=0"",""'Game 9'!$B$2:$Q$34""),33,False),1)"),0.0)</f>
        <v>0</v>
      </c>
      <c r="R4" s="6">
        <f>TUHStand!R4</f>
        <v>276</v>
      </c>
      <c r="S4" s="6">
        <f t="shared" si="1"/>
        <v>24</v>
      </c>
      <c r="T4" s="6">
        <f t="shared" si="2"/>
        <v>2</v>
      </c>
      <c r="U4" s="6">
        <f t="shared" si="3"/>
        <v>93</v>
      </c>
    </row>
    <row r="5">
      <c r="A5" s="20" t="s">
        <v>28</v>
      </c>
      <c r="B5" s="20" t="s">
        <v>19</v>
      </c>
      <c r="C5" s="20">
        <v>0.0</v>
      </c>
      <c r="D5" s="20">
        <v>0.0</v>
      </c>
      <c r="E5" s="20">
        <v>0.0</v>
      </c>
      <c r="F5" s="20">
        <v>0.0</v>
      </c>
      <c r="G5" s="2">
        <v>0.0</v>
      </c>
      <c r="H5" s="12">
        <f>IFERROR(__xludf.DUMMYFUNCTION("HLOOKUP($A5,IMPORTRANGE(""https://docs.google.com/spreadsheets/d/16J5ie7OD1E99qGO9lMDm8w5Yls-v190B7DTolJ5TmFc/edit#gid=0"",""'Game 3'!$B$2:$Q$34""),33,False)"),0.0)</f>
        <v>0</v>
      </c>
      <c r="I5" s="2">
        <v>0.0</v>
      </c>
      <c r="J5" s="12">
        <f>IFERROR(__xludf.DUMMYFUNCTION("IFERROR(HLOOKUP($A5,IMPORTRANGE(""https://docs.google.com/spreadsheets/d/1CTYfdyRk_RFGM3I2iN9bKeD9zUPzEm1ajzml6VgwfIU/edit#gid=0"",""'Game 1'!$B$2:$Q$34""),33,False),1)"),0.0)</f>
        <v>0</v>
      </c>
      <c r="K5" s="12">
        <f>IFERROR(__xludf.DUMMYFUNCTION("IFERROR(HLOOKUP($A5,IMPORTRANGE(""https://docs.google.com/spreadsheets/d/11NFkzOdQyW-OtxSDuGslNCgNjx7HUb2FU7KnlNnPMgY/edit#gid=0"",""'Game 12'!$B$2:$Q$34""),33,False),1)"),0.0)</f>
        <v>0</v>
      </c>
      <c r="L5" s="12">
        <f>IFERROR(__xludf.DUMMYFUNCTION("IFERROR(HLOOKUP($A5,IMPORTRANGE(""https://docs.google.com/spreadsheets/d/1CLg5-jaE4ta0-u4oE1qbBplQ5Mf3Oj9ONFgL0zJ7Ol4/edit#gid=0"",""'Game 13'!$B$2:$Q$34""),33,False),1)"),0.0)</f>
        <v>0</v>
      </c>
      <c r="M5" s="12">
        <f>IFERROR(__xludf.DUMMYFUNCTION("IFERROR(HLOOKUP($A5,IMPORTRANGE(""https://docs.google.com/spreadsheets/d/1CeexgK4KxWj3k_7nql_k8-RPxXMwTJyB4Q3vAASeDlA/edit#gid=0"",""'Game 13'!$B$2:$Q$34""),33,False),1)"),0.0)</f>
        <v>0</v>
      </c>
      <c r="N5" s="12">
        <f>IFERROR(__xludf.DUMMYFUNCTION("IFERROR(HLOOKUP($A5,IMPORTRANGE(""https://docs.google.com/spreadsheets/d/1MNwUNMjcwK6bEgCXwB73jpbK5gJAXS8ZMpbEMLJEP3E/edit#gid=0"",""'Game 8'!$B$2:$Q$34""),33,False),1)"),4.0)</f>
        <v>4</v>
      </c>
      <c r="O5" s="12">
        <f>IFERROR(__xludf.DUMMYFUNCTION("IFERROR(HLOOKUP($A5,IMPORTRANGE(""https://docs.google.com/spreadsheets/d/1UrzyxmT40kDZwVrLMf1yyXfP-pyczRAw9Y8Rw-uXG3c/edit#gid=0"",""'Game 13'!$B$2:$Q$34""),33,False),1)"),0.0)</f>
        <v>0</v>
      </c>
      <c r="P5" s="12">
        <f>IFERROR(__xludf.DUMMYFUNCTION("IFERROR(HLOOKUP($A5,IMPORTRANGE(""https://docs.google.com/spreadsheets/d/1iyMhSYWifw-KGFtyeBpNxVZr4BhcV9hVZuShgJ9Ia0E/edit#gid=0"",""'Game 6'!$B$2:$Q$34""),33,False),1)"),0.0)</f>
        <v>0</v>
      </c>
      <c r="Q5" s="12">
        <f>IFERROR(__xludf.DUMMYFUNCTION("IFERROR(HLOOKUP($A5,IMPORTRANGE(""https://docs.google.com/spreadsheets/d/1sSbIK-vvHsSY0LghLJ9gcnW8Hec_ITI2tFmpeqI999A/edit#gid=0"",""'Game 9'!$B$2:$Q$34""),33,False),1)"),0.0)</f>
        <v>0</v>
      </c>
      <c r="R5" s="13">
        <f>TUHStand!R5</f>
        <v>220</v>
      </c>
      <c r="S5" s="13">
        <f t="shared" si="1"/>
        <v>4</v>
      </c>
      <c r="T5" s="13">
        <f t="shared" si="2"/>
        <v>0.4181818182</v>
      </c>
      <c r="U5" s="13">
        <f t="shared" si="3"/>
        <v>123</v>
      </c>
    </row>
    <row r="6">
      <c r="A6" s="18" t="s">
        <v>30</v>
      </c>
      <c r="B6" s="18" t="s">
        <v>19</v>
      </c>
      <c r="C6" s="18">
        <v>0.0</v>
      </c>
      <c r="D6" s="18">
        <v>0.0</v>
      </c>
      <c r="E6" s="18">
        <v>0.0</v>
      </c>
      <c r="F6" s="18">
        <v>0.0</v>
      </c>
      <c r="G6" s="3">
        <v>4.0</v>
      </c>
      <c r="H6" s="5">
        <f>IFERROR(__xludf.DUMMYFUNCTION("HLOOKUP($A6,IMPORTRANGE(""https://docs.google.com/spreadsheets/d/16J5ie7OD1E99qGO9lMDm8w5Yls-v190B7DTolJ5TmFc/edit#gid=0"",""'Game 3'!$B$2:$Q$34""),33,False)"),0.0)</f>
        <v>0</v>
      </c>
      <c r="I6" s="3">
        <v>8.0</v>
      </c>
      <c r="J6" s="5">
        <f>IFERROR(__xludf.DUMMYFUNCTION("IFERROR(HLOOKUP($A6,IMPORTRANGE(""https://docs.google.com/spreadsheets/d/1CTYfdyRk_RFGM3I2iN9bKeD9zUPzEm1ajzml6VgwfIU/edit#gid=0"",""'Game 1'!$B$2:$Q$34""),33,False),1)"),0.0)</f>
        <v>0</v>
      </c>
      <c r="K6" s="5">
        <f>IFERROR(__xludf.DUMMYFUNCTION("IFERROR(HLOOKUP($A6,IMPORTRANGE(""https://docs.google.com/spreadsheets/d/11NFkzOdQyW-OtxSDuGslNCgNjx7HUb2FU7KnlNnPMgY/edit#gid=0"",""'Game 12'!$B$2:$Q$34""),33,False),1)"),0.0)</f>
        <v>0</v>
      </c>
      <c r="L6" s="5">
        <f>IFERROR(__xludf.DUMMYFUNCTION("IFERROR(HLOOKUP($A6,IMPORTRANGE(""https://docs.google.com/spreadsheets/d/1CLg5-jaE4ta0-u4oE1qbBplQ5Mf3Oj9ONFgL0zJ7Ol4/edit#gid=0"",""'Game 13'!$B$2:$Q$34""),33,False),1)"),0.0)</f>
        <v>0</v>
      </c>
      <c r="M6" s="5">
        <f>IFERROR(__xludf.DUMMYFUNCTION("IFERROR(HLOOKUP($A6,IMPORTRANGE(""https://docs.google.com/spreadsheets/d/1CeexgK4KxWj3k_7nql_k8-RPxXMwTJyB4Q3vAASeDlA/edit#gid=0"",""'Game 13'!$B$2:$Q$34""),33,False),1)"),0.0)</f>
        <v>0</v>
      </c>
      <c r="N6" s="5">
        <f>IFERROR(__xludf.DUMMYFUNCTION("IFERROR(HLOOKUP($A6,IMPORTRANGE(""https://docs.google.com/spreadsheets/d/1MNwUNMjcwK6bEgCXwB73jpbK5gJAXS8ZMpbEMLJEP3E/edit#gid=0"",""'Game 8'!$B$2:$Q$34""),33,False),1)"),0.0)</f>
        <v>0</v>
      </c>
      <c r="O6" s="5">
        <f>IFERROR(__xludf.DUMMYFUNCTION("IFERROR(HLOOKUP($A6,IMPORTRANGE(""https://docs.google.com/spreadsheets/d/1UrzyxmT40kDZwVrLMf1yyXfP-pyczRAw9Y8Rw-uXG3c/edit#gid=0"",""'Game 13'!$B$2:$Q$34""),33,False),1)"),0.0)</f>
        <v>0</v>
      </c>
      <c r="P6" s="5">
        <f>IFERROR(__xludf.DUMMYFUNCTION("IFERROR(HLOOKUP($A6,IMPORTRANGE(""https://docs.google.com/spreadsheets/d/1iyMhSYWifw-KGFtyeBpNxVZr4BhcV9hVZuShgJ9Ia0E/edit#gid=0"",""'Game 6'!$B$2:$Q$34""),33,False),1)"),0.0)</f>
        <v>0</v>
      </c>
      <c r="Q6" s="5">
        <f>IFERROR(__xludf.DUMMYFUNCTION("IFERROR(HLOOKUP($A6,IMPORTRANGE(""https://docs.google.com/spreadsheets/d/1sSbIK-vvHsSY0LghLJ9gcnW8Hec_ITI2tFmpeqI999A/edit#gid=0"",""'Game 9'!$B$2:$Q$34""),33,False),1)"),8.0)</f>
        <v>8</v>
      </c>
      <c r="R6" s="6">
        <f>TUHStand!R6</f>
        <v>239</v>
      </c>
      <c r="S6" s="6">
        <f t="shared" si="1"/>
        <v>20</v>
      </c>
      <c r="T6" s="6">
        <f t="shared" si="2"/>
        <v>1.924686192</v>
      </c>
      <c r="U6" s="6">
        <f t="shared" si="3"/>
        <v>94</v>
      </c>
    </row>
    <row r="7">
      <c r="A7" s="2" t="s">
        <v>32</v>
      </c>
      <c r="B7" s="13" t="s">
        <v>33</v>
      </c>
      <c r="C7" s="20">
        <v>8.0</v>
      </c>
      <c r="D7" s="20">
        <v>4.0</v>
      </c>
      <c r="E7" s="20">
        <v>16.0</v>
      </c>
      <c r="F7" s="20">
        <v>12.0</v>
      </c>
      <c r="G7" s="2">
        <v>20.0</v>
      </c>
      <c r="H7" s="12">
        <f>IFERROR(__xludf.DUMMYFUNCTION("HLOOKUP($A7,IMPORTRANGE(""https://docs.google.com/spreadsheets/d/16J5ie7OD1E99qGO9lMDm8w5Yls-v190B7DTolJ5TmFc/edit#gid=0"",""'Game 5'!$B$2:$Q$34""),33,False)"),16.0)</f>
        <v>16</v>
      </c>
      <c r="I7" s="2">
        <v>16.0</v>
      </c>
      <c r="J7" s="12">
        <f>IFERROR(__xludf.DUMMYFUNCTION("IFERROR(HLOOKUP($A7,IMPORTRANGE(""https://docs.google.com/spreadsheets/d/1CTYfdyRk_RFGM3I2iN9bKeD9zUPzEm1ajzml6VgwfIU/edit#gid=0"",""'Game 12'!$B$2:$Q$34""),33,False),1)"),8.0)</f>
        <v>8</v>
      </c>
      <c r="K7" s="12">
        <f>IFERROR(__xludf.DUMMYFUNCTION("IFERROR(HLOOKUP($A7,IMPORTRANGE(""https://docs.google.com/spreadsheets/d/11NFkzOdQyW-OtxSDuGslNCgNjx7HUb2FU7KnlNnPMgY/edit#gid=0"",""'Game 3'!$B$2:$Q$34""),33,False),1)"),12.0)</f>
        <v>12</v>
      </c>
      <c r="L7" s="12">
        <f>IFERROR(__xludf.DUMMYFUNCTION("IFERROR(HLOOKUP($A7,IMPORTRANGE(""https://docs.google.com/spreadsheets/d/1CLg5-jaE4ta0-u4oE1qbBplQ5Mf3Oj9ONFgL0zJ7Ol4/edit#gid=0"",""'Game 11'!$B$2:$Q$34""),33,False),1)"),20.0)</f>
        <v>20</v>
      </c>
      <c r="M7" s="12">
        <f>IFERROR(__xludf.DUMMYFUNCTION("IFERROR(HLOOKUP($A7,IMPORTRANGE(""https://docs.google.com/spreadsheets/d/1CeexgK4KxWj3k_7nql_k8-RPxXMwTJyB4Q3vAASeDlA/edit#gid=0"",""'Game 10'!$B$2:$Q$34""),33,False),1)"),12.0)</f>
        <v>12</v>
      </c>
      <c r="N7" s="12">
        <f>IFERROR(__xludf.DUMMYFUNCTION("IFERROR(HLOOKUP($A7,IMPORTRANGE(""https://docs.google.com/spreadsheets/d/1MNwUNMjcwK6bEgCXwB73jpbK5gJAXS8ZMpbEMLJEP3E/edit#gid=0"",""'Game 10'!$B$2:$Q$34""),33,False),1)"),4.0)</f>
        <v>4</v>
      </c>
      <c r="O7" s="12">
        <f>IFERROR(__xludf.DUMMYFUNCTION("IFERROR(HLOOKUP($A7,IMPORTRANGE(""https://docs.google.com/spreadsheets/d/1UrzyxmT40kDZwVrLMf1yyXfP-pyczRAw9Y8Rw-uXG3c/edit#gid=0"",""'Game 4'!$B$2:$Q$34""),33,False),1)"),24.0)</f>
        <v>24</v>
      </c>
      <c r="P7" s="12">
        <f>IFERROR(__xludf.DUMMYFUNCTION("IFERROR(HLOOKUP($A7,IMPORTRANGE(""https://docs.google.com/spreadsheets/d/1iyMhSYWifw-KGFtyeBpNxVZr4BhcV9hVZuShgJ9Ia0E/edit#gid=0"",""'Game 11'!$B$2:$Q$34""),33,False),1)"),8.0)</f>
        <v>8</v>
      </c>
      <c r="Q7" s="12">
        <f>IFERROR(__xludf.DUMMYFUNCTION("IFERROR(HLOOKUP($A7,IMPORTRANGE(""https://docs.google.com/spreadsheets/d/1sSbIK-vvHsSY0LghLJ9gcnW8Hec_ITI2tFmpeqI999A/edit#gid=0"",""'Game 9'!$B$2:$Q$34""),33,False),1)"),4.0)</f>
        <v>4</v>
      </c>
      <c r="R7" s="13">
        <f>TUHStand!R7</f>
        <v>311</v>
      </c>
      <c r="S7" s="13">
        <f t="shared" si="1"/>
        <v>184</v>
      </c>
      <c r="T7" s="13">
        <f t="shared" si="2"/>
        <v>13.60771704</v>
      </c>
      <c r="U7" s="13">
        <f t="shared" si="3"/>
        <v>16</v>
      </c>
    </row>
    <row r="8">
      <c r="A8" s="18" t="s">
        <v>36</v>
      </c>
      <c r="B8" s="6" t="s">
        <v>33</v>
      </c>
      <c r="C8" s="18">
        <v>4.0</v>
      </c>
      <c r="D8" s="18">
        <v>8.0</v>
      </c>
      <c r="E8" s="18">
        <v>0.0</v>
      </c>
      <c r="F8" s="18">
        <v>0.0</v>
      </c>
      <c r="G8" s="3">
        <v>4.0</v>
      </c>
      <c r="H8" s="5">
        <f>IFERROR(__xludf.DUMMYFUNCTION("HLOOKUP($A8,IMPORTRANGE(""https://docs.google.com/spreadsheets/d/16J5ie7OD1E99qGO9lMDm8w5Yls-v190B7DTolJ5TmFc/edit#gid=0"",""'Game 5'!$B$2:$Q$34""),33,False)"),0.0)</f>
        <v>0</v>
      </c>
      <c r="I8" s="3">
        <v>8.0</v>
      </c>
      <c r="J8" s="5">
        <f>IFERROR(__xludf.DUMMYFUNCTION("IFERROR(HLOOKUP($A8,IMPORTRANGE(""https://docs.google.com/spreadsheets/d/1CTYfdyRk_RFGM3I2iN9bKeD9zUPzEm1ajzml6VgwfIU/edit#gid=0"",""'Game 12'!$B$2:$Q$34""),33,False),1)"),0.0)</f>
        <v>0</v>
      </c>
      <c r="K8" s="5">
        <f>IFERROR(__xludf.DUMMYFUNCTION("IFERROR(HLOOKUP($A8,IMPORTRANGE(""https://docs.google.com/spreadsheets/d/11NFkzOdQyW-OtxSDuGslNCgNjx7HUb2FU7KnlNnPMgY/edit#gid=0"",""'Game 3'!$B$2:$Q$34""),33,False),1)"),8.0)</f>
        <v>8</v>
      </c>
      <c r="L8" s="5">
        <f>IFERROR(__xludf.DUMMYFUNCTION("IFERROR(HLOOKUP($A8,IMPORTRANGE(""https://docs.google.com/spreadsheets/d/1CLg5-jaE4ta0-u4oE1qbBplQ5Mf3Oj9ONFgL0zJ7Ol4/edit#gid=0"",""'Game 11'!$B$2:$Q$34""),33,False),1)"),8.0)</f>
        <v>8</v>
      </c>
      <c r="M8" s="5">
        <f>IFERROR(__xludf.DUMMYFUNCTION("IFERROR(HLOOKUP($A8,IMPORTRANGE(""https://docs.google.com/spreadsheets/d/1CeexgK4KxWj3k_7nql_k8-RPxXMwTJyB4Q3vAASeDlA/edit#gid=0"",""'Game 10'!$B$2:$Q$34""),33,False),1)"),8.0)</f>
        <v>8</v>
      </c>
      <c r="N8" s="5">
        <f>IFERROR(__xludf.DUMMYFUNCTION("IFERROR(HLOOKUP($A8,IMPORTRANGE(""https://docs.google.com/spreadsheets/d/1MNwUNMjcwK6bEgCXwB73jpbK5gJAXS8ZMpbEMLJEP3E/edit#gid=0"",""'Game 10'!$B$2:$Q$34""),33,False),1)"),0.0)</f>
        <v>0</v>
      </c>
      <c r="O8" s="5">
        <f>IFERROR(__xludf.DUMMYFUNCTION("IFERROR(HLOOKUP($A8,IMPORTRANGE(""https://docs.google.com/spreadsheets/d/1UrzyxmT40kDZwVrLMf1yyXfP-pyczRAw9Y8Rw-uXG3c/edit#gid=0"",""'Game 4'!$B$2:$Q$34""),33,False),1)"),8.0)</f>
        <v>8</v>
      </c>
      <c r="P8" s="5">
        <f>IFERROR(__xludf.DUMMYFUNCTION("IFERROR(HLOOKUP($A8,IMPORTRANGE(""https://docs.google.com/spreadsheets/d/1iyMhSYWifw-KGFtyeBpNxVZr4BhcV9hVZuShgJ9Ia0E/edit#gid=0"",""'Game 11'!$B$2:$Q$34""),33,False),1)"),0.0)</f>
        <v>0</v>
      </c>
      <c r="Q8" s="5">
        <f>IFERROR(__xludf.DUMMYFUNCTION("IFERROR(HLOOKUP($A8,IMPORTRANGE(""https://docs.google.com/spreadsheets/d/1sSbIK-vvHsSY0LghLJ9gcnW8Hec_ITI2tFmpeqI999A/edit#gid=0"",""'Game 9'!$B$2:$Q$34""),33,False),1)"),0.0)</f>
        <v>0</v>
      </c>
      <c r="R8" s="6">
        <f>TUHStand!R8</f>
        <v>288</v>
      </c>
      <c r="S8" s="6">
        <f t="shared" si="1"/>
        <v>56</v>
      </c>
      <c r="T8" s="6">
        <f t="shared" si="2"/>
        <v>4.472222222</v>
      </c>
      <c r="U8" s="6">
        <f t="shared" si="3"/>
        <v>67</v>
      </c>
    </row>
    <row r="9">
      <c r="A9" s="20" t="s">
        <v>37</v>
      </c>
      <c r="B9" s="13" t="s">
        <v>33</v>
      </c>
      <c r="C9" s="20">
        <v>8.0</v>
      </c>
      <c r="D9" s="20">
        <v>16.0</v>
      </c>
      <c r="E9" s="20">
        <v>0.0</v>
      </c>
      <c r="F9" s="20">
        <v>0.0</v>
      </c>
      <c r="G9" s="2">
        <v>0.0</v>
      </c>
      <c r="H9" s="12">
        <f>IFERROR(__xludf.DUMMYFUNCTION("HLOOKUP($A9,IMPORTRANGE(""https://docs.google.com/spreadsheets/d/16J5ie7OD1E99qGO9lMDm8w5Yls-v190B7DTolJ5TmFc/edit#gid=0"",""'Game 5'!$B$2:$Q$34""),33,False)"),8.0)</f>
        <v>8</v>
      </c>
      <c r="I9" s="2">
        <v>0.0</v>
      </c>
      <c r="J9" s="12">
        <f>IFERROR(__xludf.DUMMYFUNCTION("IFERROR(HLOOKUP($A9,IMPORTRANGE(""https://docs.google.com/spreadsheets/d/1CTYfdyRk_RFGM3I2iN9bKeD9zUPzEm1ajzml6VgwfIU/edit#gid=0"",""'Game 12'!$B$2:$Q$34""),33,False),1)"),0.0)</f>
        <v>0</v>
      </c>
      <c r="K9" s="12">
        <f>IFERROR(__xludf.DUMMYFUNCTION("IFERROR(HLOOKUP($A9,IMPORTRANGE(""https://docs.google.com/spreadsheets/d/11NFkzOdQyW-OtxSDuGslNCgNjx7HUb2FU7KnlNnPMgY/edit#gid=0"",""'Game 3'!$B$2:$Q$34""),33,False),1)"),8.0)</f>
        <v>8</v>
      </c>
      <c r="L9" s="12">
        <f>IFERROR(__xludf.DUMMYFUNCTION("IFERROR(HLOOKUP($A9,IMPORTRANGE(""https://docs.google.com/spreadsheets/d/1CLg5-jaE4ta0-u4oE1qbBplQ5Mf3Oj9ONFgL0zJ7Ol4/edit#gid=0"",""'Game 11'!$B$2:$Q$34""),33,False),1)"),0.0)</f>
        <v>0</v>
      </c>
      <c r="M9" s="12">
        <f>IFERROR(__xludf.DUMMYFUNCTION("IFERROR(HLOOKUP($A9,IMPORTRANGE(""https://docs.google.com/spreadsheets/d/1CeexgK4KxWj3k_7nql_k8-RPxXMwTJyB4Q3vAASeDlA/edit#gid=0"",""'Game 10'!$B$2:$Q$34""),33,False),1)"),20.0)</f>
        <v>20</v>
      </c>
      <c r="N9" s="12">
        <f>IFERROR(__xludf.DUMMYFUNCTION("IFERROR(HLOOKUP($A9,IMPORTRANGE(""https://docs.google.com/spreadsheets/d/1MNwUNMjcwK6bEgCXwB73jpbK5gJAXS8ZMpbEMLJEP3E/edit#gid=0"",""'Game 10'!$B$2:$Q$34""),33,False),1)"),0.0)</f>
        <v>0</v>
      </c>
      <c r="O9" s="12">
        <f>IFERROR(__xludf.DUMMYFUNCTION("IFERROR(HLOOKUP($A9,IMPORTRANGE(""https://docs.google.com/spreadsheets/d/1UrzyxmT40kDZwVrLMf1yyXfP-pyczRAw9Y8Rw-uXG3c/edit#gid=0"",""'Game 4'!$B$2:$Q$34""),33,False),1)"),0.0)</f>
        <v>0</v>
      </c>
      <c r="P9" s="12">
        <f>IFERROR(__xludf.DUMMYFUNCTION("IFERROR(HLOOKUP($A9,IMPORTRANGE(""https://docs.google.com/spreadsheets/d/1iyMhSYWifw-KGFtyeBpNxVZr4BhcV9hVZuShgJ9Ia0E/edit#gid=0"",""'Game 11'!$B$2:$Q$34""),33,False),1)"),0.0)</f>
        <v>0</v>
      </c>
      <c r="Q9" s="12">
        <f>IFERROR(__xludf.DUMMYFUNCTION("IFERROR(HLOOKUP($A9,IMPORTRANGE(""https://docs.google.com/spreadsheets/d/1sSbIK-vvHsSY0LghLJ9gcnW8Hec_ITI2tFmpeqI999A/edit#gid=0"",""'Game 9'!$B$2:$Q$34""),33,False),1)"),0.0)</f>
        <v>0</v>
      </c>
      <c r="R9" s="13">
        <f>TUHStand!R9</f>
        <v>149</v>
      </c>
      <c r="S9" s="13">
        <f t="shared" si="1"/>
        <v>60</v>
      </c>
      <c r="T9" s="13">
        <f t="shared" si="2"/>
        <v>9.261744966</v>
      </c>
      <c r="U9" s="13">
        <f t="shared" si="3"/>
        <v>29</v>
      </c>
    </row>
    <row r="10">
      <c r="A10" s="18" t="s">
        <v>39</v>
      </c>
      <c r="B10" s="6" t="s">
        <v>33</v>
      </c>
      <c r="C10" s="18">
        <v>8.0</v>
      </c>
      <c r="D10" s="18">
        <v>0.0</v>
      </c>
      <c r="E10" s="18">
        <v>4.0</v>
      </c>
      <c r="F10" s="18">
        <v>0.0</v>
      </c>
      <c r="G10" s="3">
        <v>0.0</v>
      </c>
      <c r="H10" s="5">
        <f>IFERROR(__xludf.DUMMYFUNCTION("HLOOKUP($A10,IMPORTRANGE(""https://docs.google.com/spreadsheets/d/16J5ie7OD1E99qGO9lMDm8w5Yls-v190B7DTolJ5TmFc/edit#gid=0"",""'Game 5'!$B$2:$Q$34""),33,False)"),0.0)</f>
        <v>0</v>
      </c>
      <c r="I10" s="3">
        <v>0.0</v>
      </c>
      <c r="J10" s="5">
        <f>IFERROR(__xludf.DUMMYFUNCTION("IFERROR(HLOOKUP($A10,IMPORTRANGE(""https://docs.google.com/spreadsheets/d/1CTYfdyRk_RFGM3I2iN9bKeD9zUPzEm1ajzml6VgwfIU/edit#gid=0"",""'Game 12'!$B$2:$Q$34""),33,False),1)"),16.0)</f>
        <v>16</v>
      </c>
      <c r="K10" s="5">
        <f>IFERROR(__xludf.DUMMYFUNCTION("IFERROR(HLOOKUP($A10,IMPORTRANGE(""https://docs.google.com/spreadsheets/d/11NFkzOdQyW-OtxSDuGslNCgNjx7HUb2FU7KnlNnPMgY/edit#gid=0"",""'Game 3'!$B$2:$Q$34""),33,False),1)"),16.0)</f>
        <v>16</v>
      </c>
      <c r="L10" s="5">
        <f>IFERROR(__xludf.DUMMYFUNCTION("IFERROR(HLOOKUP($A10,IMPORTRANGE(""https://docs.google.com/spreadsheets/d/1CLg5-jaE4ta0-u4oE1qbBplQ5Mf3Oj9ONFgL0zJ7Ol4/edit#gid=0"",""'Game 11'!$B$2:$Q$34""),33,False),1)"),12.0)</f>
        <v>12</v>
      </c>
      <c r="M10" s="5">
        <f>IFERROR(__xludf.DUMMYFUNCTION("IFERROR(HLOOKUP($A10,IMPORTRANGE(""https://docs.google.com/spreadsheets/d/1CeexgK4KxWj3k_7nql_k8-RPxXMwTJyB4Q3vAASeDlA/edit#gid=0"",""'Game 10'!$B$2:$Q$34""),33,False),1)"),12.0)</f>
        <v>12</v>
      </c>
      <c r="N10" s="5">
        <f>IFERROR(__xludf.DUMMYFUNCTION("IFERROR(HLOOKUP($A10,IMPORTRANGE(""https://docs.google.com/spreadsheets/d/1MNwUNMjcwK6bEgCXwB73jpbK5gJAXS8ZMpbEMLJEP3E/edit#gid=0"",""'Game 10'!$B$2:$Q$34""),33,False),1)"),8.0)</f>
        <v>8</v>
      </c>
      <c r="O10" s="5">
        <f>IFERROR(__xludf.DUMMYFUNCTION("IFERROR(HLOOKUP($A10,IMPORTRANGE(""https://docs.google.com/spreadsheets/d/1UrzyxmT40kDZwVrLMf1yyXfP-pyczRAw9Y8Rw-uXG3c/edit#gid=0"",""'Game 4'!$B$2:$Q$34""),33,False),1)"),0.0)</f>
        <v>0</v>
      </c>
      <c r="P10" s="5">
        <f>IFERROR(__xludf.DUMMYFUNCTION("IFERROR(HLOOKUP($A10,IMPORTRANGE(""https://docs.google.com/spreadsheets/d/1iyMhSYWifw-KGFtyeBpNxVZr4BhcV9hVZuShgJ9Ia0E/edit#gid=0"",""'Game 11'!$B$2:$Q$34""),33,False),1)"),0.0)</f>
        <v>0</v>
      </c>
      <c r="Q10" s="5">
        <f>IFERROR(__xludf.DUMMYFUNCTION("IFERROR(HLOOKUP($A10,IMPORTRANGE(""https://docs.google.com/spreadsheets/d/1sSbIK-vvHsSY0LghLJ9gcnW8Hec_ITI2tFmpeqI999A/edit#gid=0"",""'Game 9'!$B$2:$Q$34""),33,False),1)"),16.0)</f>
        <v>16</v>
      </c>
      <c r="R10" s="6">
        <f>TUHStand!R10</f>
        <v>242</v>
      </c>
      <c r="S10" s="6">
        <f t="shared" si="1"/>
        <v>92</v>
      </c>
      <c r="T10" s="6">
        <f t="shared" si="2"/>
        <v>8.743801653</v>
      </c>
      <c r="U10" s="6">
        <f t="shared" si="3"/>
        <v>30</v>
      </c>
    </row>
    <row r="11">
      <c r="A11" s="20" t="s">
        <v>41</v>
      </c>
      <c r="B11" s="20" t="s">
        <v>33</v>
      </c>
      <c r="C11" s="20">
        <v>0.0</v>
      </c>
      <c r="D11" s="20">
        <v>8.0</v>
      </c>
      <c r="E11" s="20">
        <v>0.0</v>
      </c>
      <c r="F11" s="20">
        <v>0.0</v>
      </c>
      <c r="G11" s="2">
        <v>4.0</v>
      </c>
      <c r="H11" s="12">
        <f>IFERROR(__xludf.DUMMYFUNCTION("HLOOKUP($A11,IMPORTRANGE(""https://docs.google.com/spreadsheets/d/16J5ie7OD1E99qGO9lMDm8w5Yls-v190B7DTolJ5TmFc/edit#gid=0"",""'Game 5'!$B$2:$Q$34""),33,False)"),20.0)</f>
        <v>20</v>
      </c>
      <c r="I11" s="2">
        <v>4.0</v>
      </c>
      <c r="J11" s="12">
        <f>IFERROR(__xludf.DUMMYFUNCTION("IFERROR(HLOOKUP($A11,IMPORTRANGE(""https://docs.google.com/spreadsheets/d/1CTYfdyRk_RFGM3I2iN9bKeD9zUPzEm1ajzml6VgwfIU/edit#gid=0"",""'Game 12'!$B$2:$Q$34""),33,False),1)"),12.0)</f>
        <v>12</v>
      </c>
      <c r="K11" s="12">
        <f>IFERROR(__xludf.DUMMYFUNCTION("IFERROR(HLOOKUP($A11,IMPORTRANGE(""https://docs.google.com/spreadsheets/d/11NFkzOdQyW-OtxSDuGslNCgNjx7HUb2FU7KnlNnPMgY/edit#gid=0"",""'Game 3'!$B$2:$Q$34""),33,False),1)"),4.0)</f>
        <v>4</v>
      </c>
      <c r="L11" s="12">
        <f>IFERROR(__xludf.DUMMYFUNCTION("IFERROR(HLOOKUP($A11,IMPORTRANGE(""https://docs.google.com/spreadsheets/d/1CLg5-jaE4ta0-u4oE1qbBplQ5Mf3Oj9ONFgL0zJ7Ol4/edit#gid=0"",""'Game 11'!$B$2:$Q$34""),33,False),1)"),20.0)</f>
        <v>20</v>
      </c>
      <c r="M11" s="12">
        <f>IFERROR(__xludf.DUMMYFUNCTION("IFERROR(HLOOKUP($A11,IMPORTRANGE(""https://docs.google.com/spreadsheets/d/1CeexgK4KxWj3k_7nql_k8-RPxXMwTJyB4Q3vAASeDlA/edit#gid=0"",""'Game 10'!$B$2:$Q$34""),33,False),1)"),8.0)</f>
        <v>8</v>
      </c>
      <c r="N11" s="12">
        <f>IFERROR(__xludf.DUMMYFUNCTION("IFERROR(HLOOKUP($A11,IMPORTRANGE(""https://docs.google.com/spreadsheets/d/1MNwUNMjcwK6bEgCXwB73jpbK5gJAXS8ZMpbEMLJEP3E/edit#gid=0"",""'Game 10'!$B$2:$Q$34""),33,False),1)"),0.0)</f>
        <v>0</v>
      </c>
      <c r="O11" s="12">
        <f>IFERROR(__xludf.DUMMYFUNCTION("IFERROR(HLOOKUP($A11,IMPORTRANGE(""https://docs.google.com/spreadsheets/d/1UrzyxmT40kDZwVrLMf1yyXfP-pyczRAw9Y8Rw-uXG3c/edit#gid=0"",""'Game 4'!$B$2:$Q$34""),33,False),1)"),8.0)</f>
        <v>8</v>
      </c>
      <c r="P11" s="12">
        <f>IFERROR(__xludf.DUMMYFUNCTION("IFERROR(HLOOKUP($A11,IMPORTRANGE(""https://docs.google.com/spreadsheets/d/1iyMhSYWifw-KGFtyeBpNxVZr4BhcV9hVZuShgJ9Ia0E/edit#gid=0"",""'Game 11'!$B$2:$Q$34""),33,False),1)"),8.0)</f>
        <v>8</v>
      </c>
      <c r="Q11" s="12">
        <f>IFERROR(__xludf.DUMMYFUNCTION("IFERROR(HLOOKUP($A11,IMPORTRANGE(""https://docs.google.com/spreadsheets/d/1sSbIK-vvHsSY0LghLJ9gcnW8Hec_ITI2tFmpeqI999A/edit#gid=0"",""'Game 9'!$B$2:$Q$34""),33,False),1)"),20.0)</f>
        <v>20</v>
      </c>
      <c r="R11" s="13">
        <f>TUHStand!R11</f>
        <v>321</v>
      </c>
      <c r="S11" s="13">
        <f t="shared" si="1"/>
        <v>116</v>
      </c>
      <c r="T11" s="13">
        <f t="shared" si="2"/>
        <v>8.31152648</v>
      </c>
      <c r="U11" s="13">
        <f t="shared" si="3"/>
        <v>32</v>
      </c>
    </row>
    <row r="12">
      <c r="A12" s="18" t="s">
        <v>43</v>
      </c>
      <c r="B12" s="6" t="s">
        <v>44</v>
      </c>
      <c r="C12" s="18">
        <v>24.0</v>
      </c>
      <c r="D12" s="18">
        <v>0.0</v>
      </c>
      <c r="E12" s="18">
        <v>8.0</v>
      </c>
      <c r="F12" s="18">
        <v>28.0</v>
      </c>
      <c r="G12" s="3">
        <v>0.0</v>
      </c>
      <c r="H12" s="5">
        <f>IFERROR(__xludf.DUMMYFUNCTION("HLOOKUP($A12,IMPORTRANGE(""https://docs.google.com/spreadsheets/d/16J5ie7OD1E99qGO9lMDm8w5Yls-v190B7DTolJ5TmFc/edit#gid=0"",""'Game 11'!$B$2:$Q$34""),33,False)"),0.0)</f>
        <v>0</v>
      </c>
      <c r="I12" s="3">
        <v>4.0</v>
      </c>
      <c r="J12" s="5">
        <f>IFERROR(__xludf.DUMMYFUNCTION("IFERROR(HLOOKUP($A12,IMPORTRANGE(""https://docs.google.com/spreadsheets/d/1CTYfdyRk_RFGM3I2iN9bKeD9zUPzEm1ajzml6VgwfIU/edit#gid=0"",""'Game 4'!$B$2:$Q$34""),33,False),1)"),4.0)</f>
        <v>4</v>
      </c>
      <c r="K12" s="5">
        <f>IFERROR(__xludf.DUMMYFUNCTION("IFERROR(HLOOKUP($A12,IMPORTRANGE(""https://docs.google.com/spreadsheets/d/11NFkzOdQyW-OtxSDuGslNCgNjx7HUb2FU7KnlNnPMgY/edit#gid=0"",""'Game 4'!$B$2:$Q$34""),33,False),1)"),0.0)</f>
        <v>0</v>
      </c>
      <c r="L12" s="5">
        <f>IFERROR(__xludf.DUMMYFUNCTION("IFERROR(HLOOKUP($A12,IMPORTRANGE(""https://docs.google.com/spreadsheets/d/1CLg5-jaE4ta0-u4oE1qbBplQ5Mf3Oj9ONFgL0zJ7Ol4/edit#gid=0"",""'Game 4'!$B$2:$Q$34""),33,False),1)"),16.0)</f>
        <v>16</v>
      </c>
      <c r="M12" s="5">
        <f>IFERROR(__xludf.DUMMYFUNCTION("IFERROR(HLOOKUP($A12,IMPORTRANGE(""https://docs.google.com/spreadsheets/d/1CeexgK4KxWj3k_7nql_k8-RPxXMwTJyB4Q3vAASeDlA/edit#gid=0"",""'Game 4'!$B$2:$Q$34""),33,False),1)"),-4.0)</f>
        <v>-4</v>
      </c>
      <c r="N12" s="5">
        <f>IFERROR(__xludf.DUMMYFUNCTION("IFERROR(HLOOKUP($A12,IMPORTRANGE(""https://docs.google.com/spreadsheets/d/1MNwUNMjcwK6bEgCXwB73jpbK5gJAXS8ZMpbEMLJEP3E/edit#gid=0"",""'Game 4'!$B$2:$Q$34""),33,False),1)"),8.0)</f>
        <v>8</v>
      </c>
      <c r="O12" s="5">
        <f>IFERROR(__xludf.DUMMYFUNCTION("IFERROR(HLOOKUP($A12,IMPORTRANGE(""https://docs.google.com/spreadsheets/d/1UrzyxmT40kDZwVrLMf1yyXfP-pyczRAw9Y8Rw-uXG3c/edit#gid=0"",""'Game 4'!$B$2:$Q$34""),33,False),1)"),8.0)</f>
        <v>8</v>
      </c>
      <c r="P12" s="5">
        <f>IFERROR(__xludf.DUMMYFUNCTION("IFERROR(HLOOKUP($A12,IMPORTRANGE(""https://docs.google.com/spreadsheets/d/1iyMhSYWifw-KGFtyeBpNxVZr4BhcV9hVZuShgJ9Ia0E/edit#gid=0"",""'Game 4'!$B$2:$Q$34""),33,False),1)"),4.0)</f>
        <v>4</v>
      </c>
      <c r="Q12" s="5">
        <f>IFERROR(__xludf.DUMMYFUNCTION("IFERROR(HLOOKUP($A12,IMPORTRANGE(""https://docs.google.com/spreadsheets/d/1sSbIK-vvHsSY0LghLJ9gcnW8Hec_ITI2tFmpeqI999A/edit#gid=0"",""'Game 3'!$B$2:$Q$34""),33,False),1)"),8.0)</f>
        <v>8</v>
      </c>
      <c r="R12" s="6">
        <f>TUHStand!R12</f>
        <v>345</v>
      </c>
      <c r="S12" s="6">
        <f t="shared" si="1"/>
        <v>108</v>
      </c>
      <c r="T12" s="6">
        <f t="shared" si="2"/>
        <v>7.2</v>
      </c>
      <c r="U12" s="6">
        <f t="shared" si="3"/>
        <v>42</v>
      </c>
    </row>
    <row r="13">
      <c r="A13" s="2" t="s">
        <v>46</v>
      </c>
      <c r="B13" s="13" t="s">
        <v>44</v>
      </c>
      <c r="C13" s="20">
        <v>0.0</v>
      </c>
      <c r="D13" s="20">
        <v>4.0</v>
      </c>
      <c r="E13" s="20">
        <v>0.0</v>
      </c>
      <c r="F13" s="20">
        <v>0.0</v>
      </c>
      <c r="G13" s="2">
        <v>4.0</v>
      </c>
      <c r="H13" s="12">
        <f>IFERROR(__xludf.DUMMYFUNCTION("HLOOKUP($A13,IMPORTRANGE(""https://docs.google.com/spreadsheets/d/16J5ie7OD1E99qGO9lMDm8w5Yls-v190B7DTolJ5TmFc/edit#gid=0"",""'Game 11'!$B$2:$Q$34""),33,False)"),0.0)</f>
        <v>0</v>
      </c>
      <c r="I13" s="2">
        <v>0.0</v>
      </c>
      <c r="J13" s="12">
        <f>IFERROR(__xludf.DUMMYFUNCTION("IFERROR(HLOOKUP($A13,IMPORTRANGE(""https://docs.google.com/spreadsheets/d/1CTYfdyRk_RFGM3I2iN9bKeD9zUPzEm1ajzml6VgwfIU/edit#gid=0"",""'Game 4'!$B$2:$Q$34""),33,False),1)"),0.0)</f>
        <v>0</v>
      </c>
      <c r="K13" s="12">
        <f>IFERROR(__xludf.DUMMYFUNCTION("IFERROR(HLOOKUP($A13,IMPORTRANGE(""https://docs.google.com/spreadsheets/d/11NFkzOdQyW-OtxSDuGslNCgNjx7HUb2FU7KnlNnPMgY/edit#gid=0"",""'Game 4'!$B$2:$Q$34""),33,False),1)"),0.0)</f>
        <v>0</v>
      </c>
      <c r="L13" s="12">
        <f>IFERROR(__xludf.DUMMYFUNCTION("IFERROR(HLOOKUP($A13,IMPORTRANGE(""https://docs.google.com/spreadsheets/d/1CLg5-jaE4ta0-u4oE1qbBplQ5Mf3Oj9ONFgL0zJ7Ol4/edit#gid=0"",""'Game 4'!$B$2:$Q$34""),33,False),1)"),0.0)</f>
        <v>0</v>
      </c>
      <c r="M13" s="12">
        <f>IFERROR(__xludf.DUMMYFUNCTION("IFERROR(HLOOKUP($A13,IMPORTRANGE(""https://docs.google.com/spreadsheets/d/1CeexgK4KxWj3k_7nql_k8-RPxXMwTJyB4Q3vAASeDlA/edit#gid=0"",""'Game 4'!$B$2:$Q$34""),33,False),1)"),0.0)</f>
        <v>0</v>
      </c>
      <c r="N13" s="12">
        <f>IFERROR(__xludf.DUMMYFUNCTION("IFERROR(HLOOKUP($A13,IMPORTRANGE(""https://docs.google.com/spreadsheets/d/1MNwUNMjcwK6bEgCXwB73jpbK5gJAXS8ZMpbEMLJEP3E/edit#gid=0"",""'Game 4'!$B$2:$Q$34""),33,False),1)"),0.0)</f>
        <v>0</v>
      </c>
      <c r="O13" s="12">
        <f>IFERROR(__xludf.DUMMYFUNCTION("IFERROR(HLOOKUP($A13,IMPORTRANGE(""https://docs.google.com/spreadsheets/d/1UrzyxmT40kDZwVrLMf1yyXfP-pyczRAw9Y8Rw-uXG3c/edit#gid=0"",""'Game 4'!$B$2:$Q$34""),33,False),1)"),0.0)</f>
        <v>0</v>
      </c>
      <c r="P13" s="12">
        <f>IFERROR(__xludf.DUMMYFUNCTION("IFERROR(HLOOKUP($A13,IMPORTRANGE(""https://docs.google.com/spreadsheets/d/1iyMhSYWifw-KGFtyeBpNxVZr4BhcV9hVZuShgJ9Ia0E/edit#gid=0"",""'Game 4'!$B$2:$Q$34""),33,False),1)"),0.0)</f>
        <v>0</v>
      </c>
      <c r="Q13" s="12">
        <f>IFERROR(__xludf.DUMMYFUNCTION("IFERROR(HLOOKUP($A13,IMPORTRANGE(""https://docs.google.com/spreadsheets/d/1sSbIK-vvHsSY0LghLJ9gcnW8Hec_ITI2tFmpeqI999A/edit#gid=0"",""'Game 3'!$B$2:$Q$34""),33,False),1)"),0.0)</f>
        <v>0</v>
      </c>
      <c r="R13" s="13">
        <f>TUHStand!R13</f>
        <v>69</v>
      </c>
      <c r="S13" s="13">
        <f t="shared" si="1"/>
        <v>8</v>
      </c>
      <c r="T13" s="13">
        <f t="shared" si="2"/>
        <v>2.666666667</v>
      </c>
      <c r="U13" s="13">
        <f t="shared" si="3"/>
        <v>86</v>
      </c>
    </row>
    <row r="14">
      <c r="A14" s="18" t="s">
        <v>49</v>
      </c>
      <c r="B14" s="6" t="s">
        <v>44</v>
      </c>
      <c r="C14" s="18">
        <v>0.0</v>
      </c>
      <c r="D14" s="18">
        <v>0.0</v>
      </c>
      <c r="E14" s="18">
        <v>0.0</v>
      </c>
      <c r="F14" s="18">
        <v>0.0</v>
      </c>
      <c r="G14" s="3">
        <v>0.0</v>
      </c>
      <c r="H14" s="5">
        <f>IFERROR(__xludf.DUMMYFUNCTION("HLOOKUP($A14,IMPORTRANGE(""https://docs.google.com/spreadsheets/d/16J5ie7OD1E99qGO9lMDm8w5Yls-v190B7DTolJ5TmFc/edit#gid=0"",""'Game 11'!$B$2:$Q$34""),33,False)"),0.0)</f>
        <v>0</v>
      </c>
      <c r="I14" s="3">
        <v>0.0</v>
      </c>
      <c r="J14" s="5">
        <f>IFERROR(__xludf.DUMMYFUNCTION("IFERROR(HLOOKUP($A14,IMPORTRANGE(""https://docs.google.com/spreadsheets/d/1CTYfdyRk_RFGM3I2iN9bKeD9zUPzEm1ajzml6VgwfIU/edit#gid=0"",""'Game 4'!$B$2:$Q$34""),33,False),1)"),0.0)</f>
        <v>0</v>
      </c>
      <c r="K14" s="5">
        <f>IFERROR(__xludf.DUMMYFUNCTION("IFERROR(HLOOKUP($A14,IMPORTRANGE(""https://docs.google.com/spreadsheets/d/11NFkzOdQyW-OtxSDuGslNCgNjx7HUb2FU7KnlNnPMgY/edit#gid=0"",""'Game 4'!$B$2:$Q$34""),33,False),1)"),0.0)</f>
        <v>0</v>
      </c>
      <c r="L14" s="5">
        <f>IFERROR(__xludf.DUMMYFUNCTION("IFERROR(HLOOKUP($A14,IMPORTRANGE(""https://docs.google.com/spreadsheets/d/1CLg5-jaE4ta0-u4oE1qbBplQ5Mf3Oj9ONFgL0zJ7Ol4/edit#gid=0"",""'Game 4'!$B$2:$Q$34""),33,False),1)"),0.0)</f>
        <v>0</v>
      </c>
      <c r="M14" s="5">
        <f>IFERROR(__xludf.DUMMYFUNCTION("IFERROR(HLOOKUP($A14,IMPORTRANGE(""https://docs.google.com/spreadsheets/d/1CeexgK4KxWj3k_7nql_k8-RPxXMwTJyB4Q3vAASeDlA/edit#gid=0"",""'Game 4'!$B$2:$Q$34""),33,False),1)"),0.0)</f>
        <v>0</v>
      </c>
      <c r="N14" s="5">
        <f>IFERROR(__xludf.DUMMYFUNCTION("IFERROR(HLOOKUP($A14,IMPORTRANGE(""https://docs.google.com/spreadsheets/d/1MNwUNMjcwK6bEgCXwB73jpbK5gJAXS8ZMpbEMLJEP3E/edit#gid=0"",""'Game 4'!$B$2:$Q$34""),33,False),1)"),0.0)</f>
        <v>0</v>
      </c>
      <c r="O14" s="5">
        <f>IFERROR(__xludf.DUMMYFUNCTION("IFERROR(HLOOKUP($A14,IMPORTRANGE(""https://docs.google.com/spreadsheets/d/1UrzyxmT40kDZwVrLMf1yyXfP-pyczRAw9Y8Rw-uXG3c/edit#gid=0"",""'Game 4'!$B$2:$Q$34""),33,False),1)"),0.0)</f>
        <v>0</v>
      </c>
      <c r="P14" s="5">
        <f>IFERROR(__xludf.DUMMYFUNCTION("IFERROR(HLOOKUP($A14,IMPORTRANGE(""https://docs.google.com/spreadsheets/d/1iyMhSYWifw-KGFtyeBpNxVZr4BhcV9hVZuShgJ9Ia0E/edit#gid=0"",""'Game 4'!$B$2:$Q$34""),33,False),1)"),0.0)</f>
        <v>0</v>
      </c>
      <c r="Q14" s="5">
        <f>IFERROR(__xludf.DUMMYFUNCTION("IFERROR(HLOOKUP($A14,IMPORTRANGE(""https://docs.google.com/spreadsheets/d/1sSbIK-vvHsSY0LghLJ9gcnW8Hec_ITI2tFmpeqI999A/edit#gid=0"",""'Game 3'!$B$2:$Q$34""),33,False),1)"),0.0)</f>
        <v>0</v>
      </c>
      <c r="R14" s="6">
        <f>TUHStand!R14</f>
        <v>138</v>
      </c>
      <c r="S14" s="6">
        <f t="shared" si="1"/>
        <v>0</v>
      </c>
      <c r="T14" s="6">
        <f t="shared" si="2"/>
        <v>0</v>
      </c>
      <c r="U14" s="6">
        <f t="shared" si="3"/>
        <v>127</v>
      </c>
    </row>
    <row r="15">
      <c r="A15" s="20" t="s">
        <v>50</v>
      </c>
      <c r="B15" s="13" t="s">
        <v>44</v>
      </c>
      <c r="C15" s="20">
        <v>4.0</v>
      </c>
      <c r="D15" s="20">
        <v>0.0</v>
      </c>
      <c r="E15" s="20">
        <v>12.0</v>
      </c>
      <c r="F15" s="20">
        <v>0.0</v>
      </c>
      <c r="G15" s="2">
        <v>0.0</v>
      </c>
      <c r="H15" s="12">
        <f>IFERROR(__xludf.DUMMYFUNCTION("HLOOKUP($A15,IMPORTRANGE(""https://docs.google.com/spreadsheets/d/16J5ie7OD1E99qGO9lMDm8w5Yls-v190B7DTolJ5TmFc/edit#gid=0"",""'Game 11'!$B$2:$Q$34""),33,False)"),0.0)</f>
        <v>0</v>
      </c>
      <c r="I15" s="2">
        <v>4.0</v>
      </c>
      <c r="J15" s="12">
        <f>IFERROR(__xludf.DUMMYFUNCTION("IFERROR(HLOOKUP($A15,IMPORTRANGE(""https://docs.google.com/spreadsheets/d/1CTYfdyRk_RFGM3I2iN9bKeD9zUPzEm1ajzml6VgwfIU/edit#gid=0"",""'Game 4'!$B$2:$Q$34""),33,False),1)"),0.0)</f>
        <v>0</v>
      </c>
      <c r="K15" s="12">
        <f>IFERROR(__xludf.DUMMYFUNCTION("IFERROR(HLOOKUP($A15,IMPORTRANGE(""https://docs.google.com/spreadsheets/d/11NFkzOdQyW-OtxSDuGslNCgNjx7HUb2FU7KnlNnPMgY/edit#gid=0"",""'Game 4'!$B$2:$Q$34""),33,False),1)"),0.0)</f>
        <v>0</v>
      </c>
      <c r="L15" s="12">
        <f>IFERROR(__xludf.DUMMYFUNCTION("IFERROR(HLOOKUP($A15,IMPORTRANGE(""https://docs.google.com/spreadsheets/d/1CLg5-jaE4ta0-u4oE1qbBplQ5Mf3Oj9ONFgL0zJ7Ol4/edit#gid=0"",""'Game 4'!$B$2:$Q$34""),33,False),1)"),0.0)</f>
        <v>0</v>
      </c>
      <c r="M15" s="12">
        <f>IFERROR(__xludf.DUMMYFUNCTION("IFERROR(HLOOKUP($A15,IMPORTRANGE(""https://docs.google.com/spreadsheets/d/1CeexgK4KxWj3k_7nql_k8-RPxXMwTJyB4Q3vAASeDlA/edit#gid=0"",""'Game 4'!$B$2:$Q$34""),33,False),1)"),0.0)</f>
        <v>0</v>
      </c>
      <c r="N15" s="12">
        <f>IFERROR(__xludf.DUMMYFUNCTION("IFERROR(HLOOKUP($A15,IMPORTRANGE(""https://docs.google.com/spreadsheets/d/1MNwUNMjcwK6bEgCXwB73jpbK5gJAXS8ZMpbEMLJEP3E/edit#gid=0"",""'Game 4'!$B$2:$Q$34""),33,False),1)"),8.0)</f>
        <v>8</v>
      </c>
      <c r="O15" s="12">
        <f>IFERROR(__xludf.DUMMYFUNCTION("IFERROR(HLOOKUP($A15,IMPORTRANGE(""https://docs.google.com/spreadsheets/d/1UrzyxmT40kDZwVrLMf1yyXfP-pyczRAw9Y8Rw-uXG3c/edit#gid=0"",""'Game 4'!$B$2:$Q$34""),33,False),1)"),0.0)</f>
        <v>0</v>
      </c>
      <c r="P15" s="12">
        <f>IFERROR(__xludf.DUMMYFUNCTION("IFERROR(HLOOKUP($A15,IMPORTRANGE(""https://docs.google.com/spreadsheets/d/1iyMhSYWifw-KGFtyeBpNxVZr4BhcV9hVZuShgJ9Ia0E/edit#gid=0"",""'Game 4'!$B$2:$Q$34""),33,False),1)"),0.0)</f>
        <v>0</v>
      </c>
      <c r="Q15" s="12">
        <f>IFERROR(__xludf.DUMMYFUNCTION("IFERROR(HLOOKUP($A15,IMPORTRANGE(""https://docs.google.com/spreadsheets/d/1sSbIK-vvHsSY0LghLJ9gcnW8Hec_ITI2tFmpeqI999A/edit#gid=0"",""'Game 3'!$B$2:$Q$34""),33,False),1)"),12.0)</f>
        <v>12</v>
      </c>
      <c r="R15" s="13">
        <f>TUHStand!R15</f>
        <v>184</v>
      </c>
      <c r="S15" s="13">
        <f t="shared" si="1"/>
        <v>40</v>
      </c>
      <c r="T15" s="13">
        <f t="shared" si="2"/>
        <v>5</v>
      </c>
      <c r="U15" s="13">
        <f t="shared" si="3"/>
        <v>64</v>
      </c>
    </row>
    <row r="16">
      <c r="A16" s="18" t="s">
        <v>52</v>
      </c>
      <c r="B16" s="18" t="s">
        <v>44</v>
      </c>
      <c r="C16" s="18">
        <v>4.0</v>
      </c>
      <c r="D16" s="18">
        <v>0.0</v>
      </c>
      <c r="E16" s="18">
        <v>0.0</v>
      </c>
      <c r="F16" s="18">
        <v>0.0</v>
      </c>
      <c r="G16" s="3">
        <v>-4.0</v>
      </c>
      <c r="H16" s="5">
        <f>IFERROR(__xludf.DUMMYFUNCTION("HLOOKUP($A16,IMPORTRANGE(""https://docs.google.com/spreadsheets/d/16J5ie7OD1E99qGO9lMDm8w5Yls-v190B7DTolJ5TmFc/edit#gid=0"",""'Game 11'!$B$2:$Q$34""),33,False)"),0.0)</f>
        <v>0</v>
      </c>
      <c r="I16" s="3">
        <v>0.0</v>
      </c>
      <c r="J16" s="5">
        <f>IFERROR(__xludf.DUMMYFUNCTION("IFERROR(HLOOKUP($A16,IMPORTRANGE(""https://docs.google.com/spreadsheets/d/1CTYfdyRk_RFGM3I2iN9bKeD9zUPzEm1ajzml6VgwfIU/edit#gid=0"",""'Game 4'!$B$2:$Q$34""),33,False),1)"),0.0)</f>
        <v>0</v>
      </c>
      <c r="K16" s="5">
        <f>IFERROR(__xludf.DUMMYFUNCTION("IFERROR(HLOOKUP($A16,IMPORTRANGE(""https://docs.google.com/spreadsheets/d/11NFkzOdQyW-OtxSDuGslNCgNjx7HUb2FU7KnlNnPMgY/edit#gid=0"",""'Game 4'!$B$2:$Q$34""),33,False),1)"),8.0)</f>
        <v>8</v>
      </c>
      <c r="L16" s="5">
        <f>IFERROR(__xludf.DUMMYFUNCTION("IFERROR(HLOOKUP($A16,IMPORTRANGE(""https://docs.google.com/spreadsheets/d/1CLg5-jaE4ta0-u4oE1qbBplQ5Mf3Oj9ONFgL0zJ7Ol4/edit#gid=0"",""'Game 4'!$B$2:$Q$34""),33,False),1)"),0.0)</f>
        <v>0</v>
      </c>
      <c r="M16" s="5">
        <f>IFERROR(__xludf.DUMMYFUNCTION("IFERROR(HLOOKUP($A16,IMPORTRANGE(""https://docs.google.com/spreadsheets/d/1CeexgK4KxWj3k_7nql_k8-RPxXMwTJyB4Q3vAASeDlA/edit#gid=0"",""'Game 4'!$B$2:$Q$34""),33,False),1)"),4.0)</f>
        <v>4</v>
      </c>
      <c r="N16" s="5">
        <f>IFERROR(__xludf.DUMMYFUNCTION("IFERROR(HLOOKUP($A16,IMPORTRANGE(""https://docs.google.com/spreadsheets/d/1MNwUNMjcwK6bEgCXwB73jpbK5gJAXS8ZMpbEMLJEP3E/edit#gid=0"",""'Game 4'!$B$2:$Q$34""),33,False),1)"),0.0)</f>
        <v>0</v>
      </c>
      <c r="O16" s="5">
        <f>IFERROR(__xludf.DUMMYFUNCTION("IFERROR(HLOOKUP($A16,IMPORTRANGE(""https://docs.google.com/spreadsheets/d/1UrzyxmT40kDZwVrLMf1yyXfP-pyczRAw9Y8Rw-uXG3c/edit#gid=0"",""'Game 4'!$B$2:$Q$34""),33,False),1)"),0.0)</f>
        <v>0</v>
      </c>
      <c r="P16" s="5">
        <f>IFERROR(__xludf.DUMMYFUNCTION("IFERROR(HLOOKUP($A16,IMPORTRANGE(""https://docs.google.com/spreadsheets/d/1iyMhSYWifw-KGFtyeBpNxVZr4BhcV9hVZuShgJ9Ia0E/edit#gid=0"",""'Game 4'!$B$2:$Q$34""),33,False),1)"),4.0)</f>
        <v>4</v>
      </c>
      <c r="Q16" s="5">
        <f>IFERROR(__xludf.DUMMYFUNCTION("IFERROR(HLOOKUP($A16,IMPORTRANGE(""https://docs.google.com/spreadsheets/d/1sSbIK-vvHsSY0LghLJ9gcnW8Hec_ITI2tFmpeqI999A/edit#gid=0"",""'Game 3'!$B$2:$Q$34""),33,False),1)"),0.0)</f>
        <v>0</v>
      </c>
      <c r="R16" s="6">
        <f>TUHStand!R16</f>
        <v>115</v>
      </c>
      <c r="S16" s="6">
        <f t="shared" si="1"/>
        <v>16</v>
      </c>
      <c r="T16" s="6">
        <f t="shared" si="2"/>
        <v>3.2</v>
      </c>
      <c r="U16" s="6">
        <f t="shared" si="3"/>
        <v>78</v>
      </c>
    </row>
    <row r="17">
      <c r="A17" s="20" t="s">
        <v>54</v>
      </c>
      <c r="B17" s="13" t="s">
        <v>55</v>
      </c>
      <c r="C17" s="20">
        <v>0.0</v>
      </c>
      <c r="D17" s="20">
        <v>0.0</v>
      </c>
      <c r="E17" s="20">
        <v>4.0</v>
      </c>
      <c r="F17" s="20">
        <v>4.0</v>
      </c>
      <c r="G17" s="20">
        <v>4.0</v>
      </c>
      <c r="H17" s="12">
        <f>IFERROR(__xludf.DUMMYFUNCTION("HLOOKUP($A17,IMPORTRANGE(""https://docs.google.com/spreadsheets/d/16J5ie7OD1E99qGO9lMDm8w5Yls-v190B7DTolJ5TmFc/edit#gid=0"",""'Game 5'!$B$2:$Q$34""),33,False)"),0.0)</f>
        <v>0</v>
      </c>
      <c r="I17" s="2">
        <v>8.0</v>
      </c>
      <c r="J17" s="12">
        <f>IFERROR(__xludf.DUMMYFUNCTION("IFERROR(HLOOKUP($A17,IMPORTRANGE(""https://docs.google.com/spreadsheets/d/1CTYfdyRk_RFGM3I2iN9bKeD9zUPzEm1ajzml6VgwfIU/edit#gid=0"",""'Game 7'!$B$2:$Q$34""),33,False),1)"),4.0)</f>
        <v>4</v>
      </c>
      <c r="K17" s="12">
        <f>IFERROR(__xludf.DUMMYFUNCTION("IFERROR(HLOOKUP($A17,IMPORTRANGE(""https://docs.google.com/spreadsheets/d/11NFkzOdQyW-OtxSDuGslNCgNjx7HUb2FU7KnlNnPMgY/edit#gid=0"",""'Game 11'!$B$2:$Q$34""),33,False),1)"),0.0)</f>
        <v>0</v>
      </c>
      <c r="L17" s="12">
        <f>IFERROR(__xludf.DUMMYFUNCTION("IFERROR(HLOOKUP($A17,IMPORTRANGE(""https://docs.google.com/spreadsheets/d/1CLg5-jaE4ta0-u4oE1qbBplQ5Mf3Oj9ONFgL0zJ7Ol4/edit#gid=0"",""'Game 1'!$B$2:$Q$34""),33,False),1)"),8.0)</f>
        <v>8</v>
      </c>
      <c r="M17" s="12">
        <f>IFERROR(__xludf.DUMMYFUNCTION("IFERROR(HLOOKUP($A17,IMPORTRANGE(""https://docs.google.com/spreadsheets/d/1CeexgK4KxWj3k_7nql_k8-RPxXMwTJyB4Q3vAASeDlA/edit#gid=0"",""'Game 12'!$B$2:$Q$34""),33,False),1)"),0.0)</f>
        <v>0</v>
      </c>
      <c r="N17" s="12">
        <f>IFERROR(__xludf.DUMMYFUNCTION("IFERROR(HLOOKUP($A17,IMPORTRANGE(""https://docs.google.com/spreadsheets/d/1MNwUNMjcwK6bEgCXwB73jpbK5gJAXS8ZMpbEMLJEP3E/edit#gid=0"",""'Game 11'!$B$2:$Q$34""),33,False),1)"),0.0)</f>
        <v>0</v>
      </c>
      <c r="O17" s="12">
        <f>IFERROR(__xludf.DUMMYFUNCTION("IFERROR(HLOOKUP($A17,IMPORTRANGE(""https://docs.google.com/spreadsheets/d/1UrzyxmT40kDZwVrLMf1yyXfP-pyczRAw9Y8Rw-uXG3c/edit#gid=0"",""'Game 8'!$B$2:$Q$34""),33,False),1)"),4.0)</f>
        <v>4</v>
      </c>
      <c r="P17" s="12">
        <f>IFERROR(__xludf.DUMMYFUNCTION("IFERROR(HLOOKUP($A17,IMPORTRANGE(""https://docs.google.com/spreadsheets/d/1iyMhSYWifw-KGFtyeBpNxVZr4BhcV9hVZuShgJ9Ia0E/edit#gid=0"",""'Game 5'!$B$2:$Q$34""),33,False),1)"),4.0)</f>
        <v>4</v>
      </c>
      <c r="Q17" s="12">
        <f>IFERROR(__xludf.DUMMYFUNCTION("IFERROR(HLOOKUP($A17,IMPORTRANGE(""https://docs.google.com/spreadsheets/d/1sSbIK-vvHsSY0LghLJ9gcnW8Hec_ITI2tFmpeqI999A/edit#gid=0"",""'Game 11'!$B$2:$Q$34""),33,False),1)"),0.0)</f>
        <v>0</v>
      </c>
      <c r="R17" s="13">
        <f>TUHStand!R17</f>
        <v>345</v>
      </c>
      <c r="S17" s="13">
        <f t="shared" si="1"/>
        <v>40</v>
      </c>
      <c r="T17" s="13">
        <f t="shared" si="2"/>
        <v>2.666666667</v>
      </c>
      <c r="U17" s="13">
        <f t="shared" si="3"/>
        <v>86</v>
      </c>
    </row>
    <row r="18">
      <c r="A18" s="18" t="s">
        <v>57</v>
      </c>
      <c r="B18" s="6" t="s">
        <v>55</v>
      </c>
      <c r="C18" s="18">
        <v>4.0</v>
      </c>
      <c r="D18" s="18">
        <v>4.0</v>
      </c>
      <c r="E18" s="18">
        <v>0.0</v>
      </c>
      <c r="F18" s="18">
        <v>0.0</v>
      </c>
      <c r="G18" s="18">
        <v>0.0</v>
      </c>
      <c r="H18" s="5">
        <f>IFERROR(__xludf.DUMMYFUNCTION("HLOOKUP($A18,IMPORTRANGE(""https://docs.google.com/spreadsheets/d/16J5ie7OD1E99qGO9lMDm8w5Yls-v190B7DTolJ5TmFc/edit#gid=0"",""'Game 5'!$B$2:$Q$34""),33,False)"),4.0)</f>
        <v>4</v>
      </c>
      <c r="I18" s="3">
        <v>0.0</v>
      </c>
      <c r="J18" s="5">
        <f>IFERROR(__xludf.DUMMYFUNCTION("IFERROR(HLOOKUP($A18,IMPORTRANGE(""https://docs.google.com/spreadsheets/d/1CTYfdyRk_RFGM3I2iN9bKeD9zUPzEm1ajzml6VgwfIU/edit#gid=0"",""'Game 7'!$B$2:$Q$34""),33,False),1)"),0.0)</f>
        <v>0</v>
      </c>
      <c r="K18" s="5">
        <f>IFERROR(__xludf.DUMMYFUNCTION("IFERROR(HLOOKUP($A18,IMPORTRANGE(""https://docs.google.com/spreadsheets/d/11NFkzOdQyW-OtxSDuGslNCgNjx7HUb2FU7KnlNnPMgY/edit#gid=0"",""'Game 11'!$B$2:$Q$34""),33,False),1)"),0.0)</f>
        <v>0</v>
      </c>
      <c r="L18" s="5">
        <f>IFERROR(__xludf.DUMMYFUNCTION("IFERROR(HLOOKUP($A18,IMPORTRANGE(""https://docs.google.com/spreadsheets/d/1CLg5-jaE4ta0-u4oE1qbBplQ5Mf3Oj9ONFgL0zJ7Ol4/edit#gid=0"",""'Game 1'!$B$2:$Q$34""),33,False),1)"),0.0)</f>
        <v>0</v>
      </c>
      <c r="M18" s="5">
        <f>IFERROR(__xludf.DUMMYFUNCTION("IFERROR(HLOOKUP($A18,IMPORTRANGE(""https://docs.google.com/spreadsheets/d/1CeexgK4KxWj3k_7nql_k8-RPxXMwTJyB4Q3vAASeDlA/edit#gid=0"",""'Game 12'!$B$2:$Q$34""),33,False),1)"),0.0)</f>
        <v>0</v>
      </c>
      <c r="N18" s="5">
        <f>IFERROR(__xludf.DUMMYFUNCTION("IFERROR(HLOOKUP($A18,IMPORTRANGE(""https://docs.google.com/spreadsheets/d/1MNwUNMjcwK6bEgCXwB73jpbK5gJAXS8ZMpbEMLJEP3E/edit#gid=0"",""'Game 11'!$B$2:$Q$34""),33,False),1)"),0.0)</f>
        <v>0</v>
      </c>
      <c r="O18" s="5">
        <f>IFERROR(__xludf.DUMMYFUNCTION("IFERROR(HLOOKUP($A18,IMPORTRANGE(""https://docs.google.com/spreadsheets/d/1UrzyxmT40kDZwVrLMf1yyXfP-pyczRAw9Y8Rw-uXG3c/edit#gid=0"",""'Game 8'!$B$2:$Q$34""),33,False),1)"),0.0)</f>
        <v>0</v>
      </c>
      <c r="P18" s="5">
        <f>IFERROR(__xludf.DUMMYFUNCTION("IFERROR(HLOOKUP($A18,IMPORTRANGE(""https://docs.google.com/spreadsheets/d/1iyMhSYWifw-KGFtyeBpNxVZr4BhcV9hVZuShgJ9Ia0E/edit#gid=0"",""'Game 5'!$B$2:$Q$34""),33,False),1)"),4.0)</f>
        <v>4</v>
      </c>
      <c r="Q18" s="5">
        <f>IFERROR(__xludf.DUMMYFUNCTION("IFERROR(HLOOKUP($A18,IMPORTRANGE(""https://docs.google.com/spreadsheets/d/1sSbIK-vvHsSY0LghLJ9gcnW8Hec_ITI2tFmpeqI999A/edit#gid=0"",""'Game 11'!$B$2:$Q$34""),33,False),1)"),8.0)</f>
        <v>8</v>
      </c>
      <c r="R18" s="6">
        <f>TUHStand!R18</f>
        <v>345</v>
      </c>
      <c r="S18" s="6">
        <f t="shared" si="1"/>
        <v>24</v>
      </c>
      <c r="T18" s="6">
        <f t="shared" si="2"/>
        <v>1.6</v>
      </c>
      <c r="U18" s="6">
        <f t="shared" si="3"/>
        <v>103</v>
      </c>
    </row>
    <row r="19">
      <c r="A19" s="2" t="s">
        <v>59</v>
      </c>
      <c r="B19" s="13" t="s">
        <v>55</v>
      </c>
      <c r="C19" s="20">
        <v>16.0</v>
      </c>
      <c r="D19" s="20">
        <v>16.0</v>
      </c>
      <c r="E19" s="20">
        <v>4.0</v>
      </c>
      <c r="F19" s="20">
        <v>16.0</v>
      </c>
      <c r="G19" s="20">
        <v>4.0</v>
      </c>
      <c r="H19" s="12">
        <f>IFERROR(__xludf.DUMMYFUNCTION("HLOOKUP($A19,IMPORTRANGE(""https://docs.google.com/spreadsheets/d/16J5ie7OD1E99qGO9lMDm8w5Yls-v190B7DTolJ5TmFc/edit#gid=0"",""'Game 5'!$B$2:$Q$34""),33,False)"),8.0)</f>
        <v>8</v>
      </c>
      <c r="I19" s="2">
        <v>16.0</v>
      </c>
      <c r="J19" s="12">
        <f>IFERROR(__xludf.DUMMYFUNCTION("IFERROR(HLOOKUP($A19,IMPORTRANGE(""https://docs.google.com/spreadsheets/d/1CTYfdyRk_RFGM3I2iN9bKeD9zUPzEm1ajzml6VgwfIU/edit#gid=0"",""'Game 7'!$B$2:$Q$34""),33,False),1)"),16.0)</f>
        <v>16</v>
      </c>
      <c r="K19" s="12">
        <f>IFERROR(__xludf.DUMMYFUNCTION("IFERROR(HLOOKUP($A19,IMPORTRANGE(""https://docs.google.com/spreadsheets/d/11NFkzOdQyW-OtxSDuGslNCgNjx7HUb2FU7KnlNnPMgY/edit#gid=0"",""'Game 11'!$B$2:$Q$34""),33,False),1)"),24.0)</f>
        <v>24</v>
      </c>
      <c r="L19" s="12">
        <f>IFERROR(__xludf.DUMMYFUNCTION("IFERROR(HLOOKUP($A19,IMPORTRANGE(""https://docs.google.com/spreadsheets/d/1CLg5-jaE4ta0-u4oE1qbBplQ5Mf3Oj9ONFgL0zJ7Ol4/edit#gid=0"",""'Game 1'!$B$2:$Q$34""),33,False),1)"),20.0)</f>
        <v>20</v>
      </c>
      <c r="M19" s="12">
        <f>IFERROR(__xludf.DUMMYFUNCTION("IFERROR(HLOOKUP($A19,IMPORTRANGE(""https://docs.google.com/spreadsheets/d/1CeexgK4KxWj3k_7nql_k8-RPxXMwTJyB4Q3vAASeDlA/edit#gid=0"",""'Game 12'!$B$2:$Q$34""),33,False),1)"),32.0)</f>
        <v>32</v>
      </c>
      <c r="N19" s="12">
        <f>IFERROR(__xludf.DUMMYFUNCTION("IFERROR(HLOOKUP($A19,IMPORTRANGE(""https://docs.google.com/spreadsheets/d/1MNwUNMjcwK6bEgCXwB73jpbK5gJAXS8ZMpbEMLJEP3E/edit#gid=0"",""'Game 11'!$B$2:$Q$34""),33,False),1)"),16.0)</f>
        <v>16</v>
      </c>
      <c r="O19" s="12">
        <f>IFERROR(__xludf.DUMMYFUNCTION("IFERROR(HLOOKUP($A19,IMPORTRANGE(""https://docs.google.com/spreadsheets/d/1UrzyxmT40kDZwVrLMf1yyXfP-pyczRAw9Y8Rw-uXG3c/edit#gid=0"",""'Game 8'!$B$2:$Q$34""),33,False),1)"),28.0)</f>
        <v>28</v>
      </c>
      <c r="P19" s="12">
        <f>IFERROR(__xludf.DUMMYFUNCTION("IFERROR(HLOOKUP($A19,IMPORTRANGE(""https://docs.google.com/spreadsheets/d/1iyMhSYWifw-KGFtyeBpNxVZr4BhcV9hVZuShgJ9Ia0E/edit#gid=0"",""'Game 5'!$B$2:$Q$34""),33,False),1)"),12.0)</f>
        <v>12</v>
      </c>
      <c r="Q19" s="12">
        <f>IFERROR(__xludf.DUMMYFUNCTION("IFERROR(HLOOKUP($A19,IMPORTRANGE(""https://docs.google.com/spreadsheets/d/1sSbIK-vvHsSY0LghLJ9gcnW8Hec_ITI2tFmpeqI999A/edit#gid=0"",""'Game 11'!$B$2:$Q$34""),33,False),1)"),16.0)</f>
        <v>16</v>
      </c>
      <c r="R19" s="13">
        <f>TUHStand!R19</f>
        <v>345</v>
      </c>
      <c r="S19" s="13">
        <f t="shared" si="1"/>
        <v>244</v>
      </c>
      <c r="T19" s="13">
        <f t="shared" si="2"/>
        <v>16.26666667</v>
      </c>
      <c r="U19" s="13">
        <f t="shared" si="3"/>
        <v>7</v>
      </c>
    </row>
    <row r="20">
      <c r="A20" s="3" t="s">
        <v>62</v>
      </c>
      <c r="B20" s="18" t="s">
        <v>55</v>
      </c>
      <c r="C20" s="18">
        <v>8.0</v>
      </c>
      <c r="D20" s="18">
        <v>20.0</v>
      </c>
      <c r="E20" s="18">
        <v>8.0</v>
      </c>
      <c r="F20" s="18">
        <v>0.0</v>
      </c>
      <c r="G20" s="18">
        <v>0.0</v>
      </c>
      <c r="H20" s="5">
        <f>IFERROR(__xludf.DUMMYFUNCTION("HLOOKUP($A20,IMPORTRANGE(""https://docs.google.com/spreadsheets/d/16J5ie7OD1E99qGO9lMDm8w5Yls-v190B7DTolJ5TmFc/edit#gid=0"",""'Game 5'!$B$2:$Q$34""),33,False)"),4.0)</f>
        <v>4</v>
      </c>
      <c r="I20" s="3">
        <v>4.0</v>
      </c>
      <c r="J20" s="5">
        <f>IFERROR(__xludf.DUMMYFUNCTION("IFERROR(HLOOKUP($A20,IMPORTRANGE(""https://docs.google.com/spreadsheets/d/1CTYfdyRk_RFGM3I2iN9bKeD9zUPzEm1ajzml6VgwfIU/edit#gid=0"",""'Game 7'!$B$2:$Q$34""),33,False),1)"),8.0)</f>
        <v>8</v>
      </c>
      <c r="K20" s="5">
        <f>IFERROR(__xludf.DUMMYFUNCTION("IFERROR(HLOOKUP($A20,IMPORTRANGE(""https://docs.google.com/spreadsheets/d/11NFkzOdQyW-OtxSDuGslNCgNjx7HUb2FU7KnlNnPMgY/edit#gid=0"",""'Game 11'!$B$2:$Q$34""),33,False),1)"),8.0)</f>
        <v>8</v>
      </c>
      <c r="L20" s="5">
        <f>IFERROR(__xludf.DUMMYFUNCTION("IFERROR(HLOOKUP($A20,IMPORTRANGE(""https://docs.google.com/spreadsheets/d/1CLg5-jaE4ta0-u4oE1qbBplQ5Mf3Oj9ONFgL0zJ7Ol4/edit#gid=0"",""'Game 1'!$B$2:$Q$34""),33,False),1)"),12.0)</f>
        <v>12</v>
      </c>
      <c r="M20" s="5">
        <f>IFERROR(__xludf.DUMMYFUNCTION("IFERROR(HLOOKUP($A20,IMPORTRANGE(""https://docs.google.com/spreadsheets/d/1CeexgK4KxWj3k_7nql_k8-RPxXMwTJyB4Q3vAASeDlA/edit#gid=0"",""'Game 12'!$B$2:$Q$34""),33,False),1)"),0.0)</f>
        <v>0</v>
      </c>
      <c r="N20" s="5">
        <f>IFERROR(__xludf.DUMMYFUNCTION("IFERROR(HLOOKUP($A20,IMPORTRANGE(""https://docs.google.com/spreadsheets/d/1MNwUNMjcwK6bEgCXwB73jpbK5gJAXS8ZMpbEMLJEP3E/edit#gid=0"",""'Game 11'!$B$2:$Q$34""),33,False),1)"),0.0)</f>
        <v>0</v>
      </c>
      <c r="O20" s="5">
        <f>IFERROR(__xludf.DUMMYFUNCTION("IFERROR(HLOOKUP($A20,IMPORTRANGE(""https://docs.google.com/spreadsheets/d/1UrzyxmT40kDZwVrLMf1yyXfP-pyczRAw9Y8Rw-uXG3c/edit#gid=0"",""'Game 8'!$B$2:$Q$34""),33,False),1)"),0.0)</f>
        <v>0</v>
      </c>
      <c r="P20" s="5">
        <f>IFERROR(__xludf.DUMMYFUNCTION("IFERROR(HLOOKUP($A20,IMPORTRANGE(""https://docs.google.com/spreadsheets/d/1iyMhSYWifw-KGFtyeBpNxVZr4BhcV9hVZuShgJ9Ia0E/edit#gid=0"",""'Game 5'!$B$2:$Q$34""),33,False),1)"),4.0)</f>
        <v>4</v>
      </c>
      <c r="Q20" s="5">
        <f>IFERROR(__xludf.DUMMYFUNCTION("IFERROR(HLOOKUP($A20,IMPORTRANGE(""https://docs.google.com/spreadsheets/d/1sSbIK-vvHsSY0LghLJ9gcnW8Hec_ITI2tFmpeqI999A/edit#gid=0"",""'Game 11'!$B$2:$Q$34""),33,False),1)"),12.0)</f>
        <v>12</v>
      </c>
      <c r="R20" s="6">
        <f>TUHStand!R20</f>
        <v>322</v>
      </c>
      <c r="S20" s="6">
        <f t="shared" si="1"/>
        <v>88</v>
      </c>
      <c r="T20" s="6">
        <f t="shared" si="2"/>
        <v>6.285714286</v>
      </c>
      <c r="U20" s="6">
        <f t="shared" si="3"/>
        <v>50</v>
      </c>
    </row>
    <row r="21">
      <c r="A21" s="20" t="s">
        <v>63</v>
      </c>
      <c r="B21" s="13" t="s">
        <v>64</v>
      </c>
      <c r="C21" s="20">
        <v>16.0</v>
      </c>
      <c r="D21" s="20">
        <v>52.0</v>
      </c>
      <c r="E21" s="20">
        <v>20.0</v>
      </c>
      <c r="F21" s="20">
        <v>12.0</v>
      </c>
      <c r="G21" s="20">
        <v>16.0</v>
      </c>
      <c r="H21" s="12">
        <f>IFERROR(__xludf.DUMMYFUNCTION("HLOOKUP($A21,IMPORTRANGE(""https://docs.google.com/spreadsheets/d/16J5ie7OD1E99qGO9lMDm8w5Yls-v190B7DTolJ5TmFc/edit#gid=0"",""'Game 7'!$B$2:$Q$34""),33,False)"),44.0)</f>
        <v>44</v>
      </c>
      <c r="I21" s="2">
        <v>20.0</v>
      </c>
      <c r="J21" s="12">
        <f>IFERROR(__xludf.DUMMYFUNCTION("IFERROR(HLOOKUP($A21,IMPORTRANGE(""https://docs.google.com/spreadsheets/d/1CTYfdyRk_RFGM3I2iN9bKeD9zUPzEm1ajzml6VgwfIU/edit#gid=0"",""'Game 9'!$B$2:$Q$34""),33,False),1)"),24.0)</f>
        <v>24</v>
      </c>
      <c r="K21" s="12">
        <f>IFERROR(__xludf.DUMMYFUNCTION("IFERROR(HLOOKUP($A21,IMPORTRANGE(""https://docs.google.com/spreadsheets/d/11NFkzOdQyW-OtxSDuGslNCgNjx7HUb2FU7KnlNnPMgY/edit#gid=0"",""'Game 9'!$B$2:$Q$34""),33,False),1)"),40.0)</f>
        <v>40</v>
      </c>
      <c r="L21" s="12">
        <f>IFERROR(__xludf.DUMMYFUNCTION("IFERROR(HLOOKUP($A21,IMPORTRANGE(""https://docs.google.com/spreadsheets/d/1CLg5-jaE4ta0-u4oE1qbBplQ5Mf3Oj9ONFgL0zJ7Ol4/edit#gid=0"",""'Game 6'!$B$2:$Q$34""),33,False),1)"),20.0)</f>
        <v>20</v>
      </c>
      <c r="M21" s="12">
        <f>IFERROR(__xludf.DUMMYFUNCTION("IFERROR(HLOOKUP($A21,IMPORTRANGE(""https://docs.google.com/spreadsheets/d/1CeexgK4KxWj3k_7nql_k8-RPxXMwTJyB4Q3vAASeDlA/edit#gid=0"",""'Game 4'!$B$2:$Q$34""),33,False),1)"),52.0)</f>
        <v>52</v>
      </c>
      <c r="N21" s="12">
        <f>IFERROR(__xludf.DUMMYFUNCTION("IFERROR(HLOOKUP($A21,IMPORTRANGE(""https://docs.google.com/spreadsheets/d/1MNwUNMjcwK6bEgCXwB73jpbK5gJAXS8ZMpbEMLJEP3E/edit#gid=0"",""'Game 3'!$B$2:$Q$34""),33,False),1)"),44.0)</f>
        <v>44</v>
      </c>
      <c r="O21" s="12">
        <f>IFERROR(__xludf.DUMMYFUNCTION("IFERROR(HLOOKUP($A21,IMPORTRANGE(""https://docs.google.com/spreadsheets/d/1UrzyxmT40kDZwVrLMf1yyXfP-pyczRAw9Y8Rw-uXG3c/edit#gid=0"",""'Game 9'!$B$2:$Q$34""),33,False),1)"),32.0)</f>
        <v>32</v>
      </c>
      <c r="P21" s="12">
        <f>IFERROR(__xludf.DUMMYFUNCTION("IFERROR(HLOOKUP($A21,IMPORTRANGE(""https://docs.google.com/spreadsheets/d/1iyMhSYWifw-KGFtyeBpNxVZr4BhcV9hVZuShgJ9Ia0E/edit#gid=0"",""'Game 9'!$B$2:$Q$34""),33,False),1)"),28.0)</f>
        <v>28</v>
      </c>
      <c r="Q21" s="12">
        <f>IFERROR(__xludf.DUMMYFUNCTION("IFERROR(HLOOKUP($A21,IMPORTRANGE(""https://docs.google.com/spreadsheets/d/1sSbIK-vvHsSY0LghLJ9gcnW8Hec_ITI2tFmpeqI999A/edit#gid=0"",""'Game 4'!$B$2:$Q$34""),33,False),1)"),32.0)</f>
        <v>32</v>
      </c>
      <c r="R21" s="13">
        <f>TUHStand!R21</f>
        <v>345</v>
      </c>
      <c r="S21" s="13">
        <f t="shared" si="1"/>
        <v>452</v>
      </c>
      <c r="T21" s="13">
        <f t="shared" si="2"/>
        <v>30.13333333</v>
      </c>
      <c r="U21" s="13">
        <f t="shared" si="3"/>
        <v>1</v>
      </c>
    </row>
    <row r="22">
      <c r="A22" s="18" t="s">
        <v>67</v>
      </c>
      <c r="B22" s="6" t="s">
        <v>64</v>
      </c>
      <c r="C22" s="18">
        <v>0.0</v>
      </c>
      <c r="D22" s="18">
        <v>8.0</v>
      </c>
      <c r="E22" s="18">
        <v>0.0</v>
      </c>
      <c r="F22" s="18">
        <v>0.0</v>
      </c>
      <c r="G22" s="18">
        <v>0.0</v>
      </c>
      <c r="H22" s="5">
        <f>IFERROR(__xludf.DUMMYFUNCTION("HLOOKUP($A22,IMPORTRANGE(""https://docs.google.com/spreadsheets/d/16J5ie7OD1E99qGO9lMDm8w5Yls-v190B7DTolJ5TmFc/edit#gid=0"",""'Game 7'!$B$2:$Q$34""),33,False)"),4.0)</f>
        <v>4</v>
      </c>
      <c r="I22" s="3">
        <v>8.0</v>
      </c>
      <c r="J22" s="5">
        <f>IFERROR(__xludf.DUMMYFUNCTION("IFERROR(HLOOKUP($A22,IMPORTRANGE(""https://docs.google.com/spreadsheets/d/1CTYfdyRk_RFGM3I2iN9bKeD9zUPzEm1ajzml6VgwfIU/edit#gid=0"",""'Game 9'!$B$2:$Q$34""),33,False),1)"),0.0)</f>
        <v>0</v>
      </c>
      <c r="K22" s="5">
        <f>IFERROR(__xludf.DUMMYFUNCTION("IFERROR(HLOOKUP($A22,IMPORTRANGE(""https://docs.google.com/spreadsheets/d/11NFkzOdQyW-OtxSDuGslNCgNjx7HUb2FU7KnlNnPMgY/edit#gid=0"",""'Game 9'!$B$2:$Q$34""),33,False),1)"),0.0)</f>
        <v>0</v>
      </c>
      <c r="L22" s="5">
        <f>IFERROR(__xludf.DUMMYFUNCTION("IFERROR(HLOOKUP($A22,IMPORTRANGE(""https://docs.google.com/spreadsheets/d/1CLg5-jaE4ta0-u4oE1qbBplQ5Mf3Oj9ONFgL0zJ7Ol4/edit#gid=0"",""'Game 6'!$B$2:$Q$34""),33,False),1)"),0.0)</f>
        <v>0</v>
      </c>
      <c r="M22" s="5">
        <f>IFERROR(__xludf.DUMMYFUNCTION("IFERROR(HLOOKUP($A22,IMPORTRANGE(""https://docs.google.com/spreadsheets/d/1CeexgK4KxWj3k_7nql_k8-RPxXMwTJyB4Q3vAASeDlA/edit#gid=0"",""'Game 4'!$B$2:$Q$34""),33,False),1)"),8.0)</f>
        <v>8</v>
      </c>
      <c r="N22" s="5">
        <f>IFERROR(__xludf.DUMMYFUNCTION("IFERROR(HLOOKUP($A22,IMPORTRANGE(""https://docs.google.com/spreadsheets/d/1MNwUNMjcwK6bEgCXwB73jpbK5gJAXS8ZMpbEMLJEP3E/edit#gid=0"",""'Game 3'!$B$2:$Q$34""),33,False),1)"),0.0)</f>
        <v>0</v>
      </c>
      <c r="O22" s="5">
        <f>IFERROR(__xludf.DUMMYFUNCTION("IFERROR(HLOOKUP($A22,IMPORTRANGE(""https://docs.google.com/spreadsheets/d/1UrzyxmT40kDZwVrLMf1yyXfP-pyczRAw9Y8Rw-uXG3c/edit#gid=0"",""'Game 9'!$B$2:$Q$34""),33,False),1)"),8.0)</f>
        <v>8</v>
      </c>
      <c r="P22" s="5">
        <f>IFERROR(__xludf.DUMMYFUNCTION("IFERROR(HLOOKUP($A22,IMPORTRANGE(""https://docs.google.com/spreadsheets/d/1iyMhSYWifw-KGFtyeBpNxVZr4BhcV9hVZuShgJ9Ia0E/edit#gid=0"",""'Game 9'!$B$2:$Q$34""),33,False),1)"),0.0)</f>
        <v>0</v>
      </c>
      <c r="Q22" s="5">
        <f>IFERROR(__xludf.DUMMYFUNCTION("IFERROR(HLOOKUP($A22,IMPORTRANGE(""https://docs.google.com/spreadsheets/d/1sSbIK-vvHsSY0LghLJ9gcnW8Hec_ITI2tFmpeqI999A/edit#gid=0"",""'Game 4'!$B$2:$Q$34""),33,False),1)"),12.0)</f>
        <v>12</v>
      </c>
      <c r="R22" s="6">
        <f>TUHStand!R22</f>
        <v>195</v>
      </c>
      <c r="S22" s="6">
        <f t="shared" si="1"/>
        <v>48</v>
      </c>
      <c r="T22" s="6">
        <f t="shared" si="2"/>
        <v>5.661538462</v>
      </c>
      <c r="U22" s="6">
        <f t="shared" si="3"/>
        <v>54</v>
      </c>
    </row>
    <row r="23">
      <c r="A23" s="20" t="s">
        <v>68</v>
      </c>
      <c r="B23" s="20" t="s">
        <v>64</v>
      </c>
      <c r="C23" s="20">
        <v>0.0</v>
      </c>
      <c r="D23" s="20">
        <v>0.0</v>
      </c>
      <c r="E23" s="20">
        <v>0.0</v>
      </c>
      <c r="F23" s="20">
        <v>0.0</v>
      </c>
      <c r="G23" s="20">
        <v>0.0</v>
      </c>
      <c r="H23" s="12">
        <f>IFERROR(__xludf.DUMMYFUNCTION("HLOOKUP($A23,IMPORTRANGE(""https://docs.google.com/spreadsheets/d/16J5ie7OD1E99qGO9lMDm8w5Yls-v190B7DTolJ5TmFc/edit#gid=0"",""'Game 7'!$B$2:$Q$34""),33,False)"),0.0)</f>
        <v>0</v>
      </c>
      <c r="I23" s="2">
        <v>0.0</v>
      </c>
      <c r="J23" s="12">
        <f>IFERROR(__xludf.DUMMYFUNCTION("IFERROR(HLOOKUP($A23,IMPORTRANGE(""https://docs.google.com/spreadsheets/d/1CTYfdyRk_RFGM3I2iN9bKeD9zUPzEm1ajzml6VgwfIU/edit#gid=0"",""'Game 9'!$B$2:$Q$34""),33,False),1)"),0.0)</f>
        <v>0</v>
      </c>
      <c r="K23" s="12">
        <f>IFERROR(__xludf.DUMMYFUNCTION("IFERROR(HLOOKUP($A23,IMPORTRANGE(""https://docs.google.com/spreadsheets/d/11NFkzOdQyW-OtxSDuGslNCgNjx7HUb2FU7KnlNnPMgY/edit#gid=0"",""'Game 9'!$B$2:$Q$34""),33,False),1)"),4.0)</f>
        <v>4</v>
      </c>
      <c r="L23" s="12">
        <f>IFERROR(__xludf.DUMMYFUNCTION("IFERROR(HLOOKUP($A23,IMPORTRANGE(""https://docs.google.com/spreadsheets/d/1CLg5-jaE4ta0-u4oE1qbBplQ5Mf3Oj9ONFgL0zJ7Ol4/edit#gid=0"",""'Game 6'!$B$2:$Q$34""),33,False),1)"),0.0)</f>
        <v>0</v>
      </c>
      <c r="M23" s="12">
        <f>IFERROR(__xludf.DUMMYFUNCTION("IFERROR(HLOOKUP($A23,IMPORTRANGE(""https://docs.google.com/spreadsheets/d/1CeexgK4KxWj3k_7nql_k8-RPxXMwTJyB4Q3vAASeDlA/edit#gid=0"",""'Game 4'!$B$2:$Q$34""),33,False),1)"),0.0)</f>
        <v>0</v>
      </c>
      <c r="N23" s="12">
        <f>IFERROR(__xludf.DUMMYFUNCTION("IFERROR(HLOOKUP($A23,IMPORTRANGE(""https://docs.google.com/spreadsheets/d/1MNwUNMjcwK6bEgCXwB73jpbK5gJAXS8ZMpbEMLJEP3E/edit#gid=0"",""'Game 3'!$B$2:$Q$34""),33,False),1)"),0.0)</f>
        <v>0</v>
      </c>
      <c r="O23" s="12">
        <f>IFERROR(__xludf.DUMMYFUNCTION("IFERROR(HLOOKUP($A23,IMPORTRANGE(""https://docs.google.com/spreadsheets/d/1UrzyxmT40kDZwVrLMf1yyXfP-pyczRAw9Y8Rw-uXG3c/edit#gid=0"",""'Game 9'!$B$2:$Q$34""),33,False),1)"),0.0)</f>
        <v>0</v>
      </c>
      <c r="P23" s="12">
        <f>IFERROR(__xludf.DUMMYFUNCTION("IFERROR(HLOOKUP($A23,IMPORTRANGE(""https://docs.google.com/spreadsheets/d/1iyMhSYWifw-KGFtyeBpNxVZr4BhcV9hVZuShgJ9Ia0E/edit#gid=0"",""'Game 9'!$B$2:$Q$34""),33,False),1)"),0.0)</f>
        <v>0</v>
      </c>
      <c r="Q23" s="12">
        <f>IFERROR(__xludf.DUMMYFUNCTION("IFERROR(HLOOKUP($A23,IMPORTRANGE(""https://docs.google.com/spreadsheets/d/1sSbIK-vvHsSY0LghLJ9gcnW8Hec_ITI2tFmpeqI999A/edit#gid=0"",""'Game 4'!$B$2:$Q$34""),33,False),1)"),0.0)</f>
        <v>0</v>
      </c>
      <c r="R23" s="13">
        <f>TUHStand!R23</f>
        <v>116</v>
      </c>
      <c r="S23" s="13">
        <f t="shared" si="1"/>
        <v>4</v>
      </c>
      <c r="T23" s="13">
        <f t="shared" si="2"/>
        <v>0.7931034483</v>
      </c>
      <c r="U23" s="13">
        <f t="shared" si="3"/>
        <v>116</v>
      </c>
    </row>
    <row r="24">
      <c r="A24" s="18" t="s">
        <v>70</v>
      </c>
      <c r="B24" s="6" t="s">
        <v>64</v>
      </c>
      <c r="C24" s="18">
        <v>0.0</v>
      </c>
      <c r="D24" s="18">
        <v>16.0</v>
      </c>
      <c r="E24" s="18">
        <v>-4.0</v>
      </c>
      <c r="F24" s="18">
        <v>16.0</v>
      </c>
      <c r="G24" s="18">
        <v>20.0</v>
      </c>
      <c r="H24" s="5">
        <f>IFERROR(__xludf.DUMMYFUNCTION("HLOOKUP($A24,IMPORTRANGE(""https://docs.google.com/spreadsheets/d/16J5ie7OD1E99qGO9lMDm8w5Yls-v190B7DTolJ5TmFc/edit#gid=0"",""'Game 7'!$B$2:$Q$34""),33,False)"),0.0)</f>
        <v>0</v>
      </c>
      <c r="I24" s="3">
        <v>0.0</v>
      </c>
      <c r="J24" s="5">
        <f>IFERROR(__xludf.DUMMYFUNCTION("IFERROR(HLOOKUP($A24,IMPORTRANGE(""https://docs.google.com/spreadsheets/d/1CTYfdyRk_RFGM3I2iN9bKeD9zUPzEm1ajzml6VgwfIU/edit#gid=0"",""'Game 9'!$B$2:$Q$34""),33,False),1)"),4.0)</f>
        <v>4</v>
      </c>
      <c r="K24" s="5">
        <f>IFERROR(__xludf.DUMMYFUNCTION("IFERROR(HLOOKUP($A24,IMPORTRANGE(""https://docs.google.com/spreadsheets/d/11NFkzOdQyW-OtxSDuGslNCgNjx7HUb2FU7KnlNnPMgY/edit#gid=0"",""'Game 9'!$B$2:$Q$34""),33,False),1)"),4.0)</f>
        <v>4</v>
      </c>
      <c r="L24" s="5">
        <f>IFERROR(__xludf.DUMMYFUNCTION("IFERROR(HLOOKUP($A24,IMPORTRANGE(""https://docs.google.com/spreadsheets/d/1CLg5-jaE4ta0-u4oE1qbBplQ5Mf3Oj9ONFgL0zJ7Ol4/edit#gid=0"",""'Game 6'!$B$2:$Q$34""),33,False),1)"),12.0)</f>
        <v>12</v>
      </c>
      <c r="M24" s="5">
        <f>IFERROR(__xludf.DUMMYFUNCTION("IFERROR(HLOOKUP($A24,IMPORTRANGE(""https://docs.google.com/spreadsheets/d/1CeexgK4KxWj3k_7nql_k8-RPxXMwTJyB4Q3vAASeDlA/edit#gid=0"",""'Game 4'!$B$2:$Q$34""),33,False),1)"),0.0)</f>
        <v>0</v>
      </c>
      <c r="N24" s="5">
        <f>IFERROR(__xludf.DUMMYFUNCTION("IFERROR(HLOOKUP($A24,IMPORTRANGE(""https://docs.google.com/spreadsheets/d/1MNwUNMjcwK6bEgCXwB73jpbK5gJAXS8ZMpbEMLJEP3E/edit#gid=0"",""'Game 3'!$B$2:$Q$34""),33,False),1)"),12.0)</f>
        <v>12</v>
      </c>
      <c r="O24" s="5">
        <f>IFERROR(__xludf.DUMMYFUNCTION("IFERROR(HLOOKUP($A24,IMPORTRANGE(""https://docs.google.com/spreadsheets/d/1UrzyxmT40kDZwVrLMf1yyXfP-pyczRAw9Y8Rw-uXG3c/edit#gid=0"",""'Game 9'!$B$2:$Q$34""),33,False),1)"),0.0)</f>
        <v>0</v>
      </c>
      <c r="P24" s="5">
        <f>IFERROR(__xludf.DUMMYFUNCTION("IFERROR(HLOOKUP($A24,IMPORTRANGE(""https://docs.google.com/spreadsheets/d/1iyMhSYWifw-KGFtyeBpNxVZr4BhcV9hVZuShgJ9Ia0E/edit#gid=0"",""'Game 9'!$B$2:$Q$34""),33,False),1)"),12.0)</f>
        <v>12</v>
      </c>
      <c r="Q24" s="5">
        <f>IFERROR(__xludf.DUMMYFUNCTION("IFERROR(HLOOKUP($A24,IMPORTRANGE(""https://docs.google.com/spreadsheets/d/1sSbIK-vvHsSY0LghLJ9gcnW8Hec_ITI2tFmpeqI999A/edit#gid=0"",""'Game 4'!$B$2:$Q$34""),33,False),1)"),4.0)</f>
        <v>4</v>
      </c>
      <c r="R24" s="6">
        <f>TUHStand!R24</f>
        <v>184</v>
      </c>
      <c r="S24" s="6">
        <f t="shared" si="1"/>
        <v>96</v>
      </c>
      <c r="T24" s="6">
        <f t="shared" si="2"/>
        <v>12</v>
      </c>
      <c r="U24" s="6">
        <f t="shared" si="3"/>
        <v>22</v>
      </c>
    </row>
    <row r="25">
      <c r="A25" s="20" t="s">
        <v>73</v>
      </c>
      <c r="B25" s="13" t="s">
        <v>64</v>
      </c>
      <c r="C25" s="20">
        <v>0.0</v>
      </c>
      <c r="D25" s="20">
        <v>0.0</v>
      </c>
      <c r="E25" s="20">
        <v>0.0</v>
      </c>
      <c r="F25" s="20">
        <v>0.0</v>
      </c>
      <c r="G25" s="20">
        <v>4.0</v>
      </c>
      <c r="H25" s="12">
        <f>IFERROR(__xludf.DUMMYFUNCTION("HLOOKUP($A25,IMPORTRANGE(""https://docs.google.com/spreadsheets/d/16J5ie7OD1E99qGO9lMDm8w5Yls-v190B7DTolJ5TmFc/edit#gid=0"",""'Game 7'!$B$2:$Q$34""),33,False)"),4.0)</f>
        <v>4</v>
      </c>
      <c r="I25" s="2">
        <v>0.0</v>
      </c>
      <c r="J25" s="12">
        <f>IFERROR(__xludf.DUMMYFUNCTION("IFERROR(HLOOKUP($A25,IMPORTRANGE(""https://docs.google.com/spreadsheets/d/1CTYfdyRk_RFGM3I2iN9bKeD9zUPzEm1ajzml6VgwfIU/edit#gid=0"",""'Game 9'!$B$2:$Q$34""),33,False),1)"),8.0)</f>
        <v>8</v>
      </c>
      <c r="K25" s="12">
        <f>IFERROR(__xludf.DUMMYFUNCTION("IFERROR(HLOOKUP($A25,IMPORTRANGE(""https://docs.google.com/spreadsheets/d/11NFkzOdQyW-OtxSDuGslNCgNjx7HUb2FU7KnlNnPMgY/edit#gid=0"",""'Game 9'!$B$2:$Q$34""),33,False),1)"),0.0)</f>
        <v>0</v>
      </c>
      <c r="L25" s="12">
        <f>IFERROR(__xludf.DUMMYFUNCTION("IFERROR(HLOOKUP($A25,IMPORTRANGE(""https://docs.google.com/spreadsheets/d/1CLg5-jaE4ta0-u4oE1qbBplQ5Mf3Oj9ONFgL0zJ7Ol4/edit#gid=0"",""'Game 6'!$B$2:$Q$34""),33,False),1)"),4.0)</f>
        <v>4</v>
      </c>
      <c r="M25" s="12">
        <f>IFERROR(__xludf.DUMMYFUNCTION("IFERROR(HLOOKUP($A25,IMPORTRANGE(""https://docs.google.com/spreadsheets/d/1CeexgK4KxWj3k_7nql_k8-RPxXMwTJyB4Q3vAASeDlA/edit#gid=0"",""'Game 4'!$B$2:$Q$34""),33,False),1)"),4.0)</f>
        <v>4</v>
      </c>
      <c r="N25" s="12">
        <f>IFERROR(__xludf.DUMMYFUNCTION("IFERROR(HLOOKUP($A25,IMPORTRANGE(""https://docs.google.com/spreadsheets/d/1MNwUNMjcwK6bEgCXwB73jpbK5gJAXS8ZMpbEMLJEP3E/edit#gid=0"",""'Game 3'!$B$2:$Q$34""),33,False),1)"),0.0)</f>
        <v>0</v>
      </c>
      <c r="O25" s="12">
        <f>IFERROR(__xludf.DUMMYFUNCTION("IFERROR(HLOOKUP($A25,IMPORTRANGE(""https://docs.google.com/spreadsheets/d/1UrzyxmT40kDZwVrLMf1yyXfP-pyczRAw9Y8Rw-uXG3c/edit#gid=0"",""'Game 9'!$B$2:$Q$34""),33,False),1)"),0.0)</f>
        <v>0</v>
      </c>
      <c r="P25" s="12">
        <f>IFERROR(__xludf.DUMMYFUNCTION("IFERROR(HLOOKUP($A25,IMPORTRANGE(""https://docs.google.com/spreadsheets/d/1iyMhSYWifw-KGFtyeBpNxVZr4BhcV9hVZuShgJ9Ia0E/edit#gid=0"",""'Game 9'!$B$2:$Q$34""),33,False),1)"),0.0)</f>
        <v>0</v>
      </c>
      <c r="Q25" s="12">
        <f>IFERROR(__xludf.DUMMYFUNCTION("IFERROR(HLOOKUP($A25,IMPORTRANGE(""https://docs.google.com/spreadsheets/d/1sSbIK-vvHsSY0LghLJ9gcnW8Hec_ITI2tFmpeqI999A/edit#gid=0"",""'Game 4'!$B$2:$Q$34""),33,False),1)"),0.0)</f>
        <v>0</v>
      </c>
      <c r="R25" s="13">
        <f>TUHStand!R25</f>
        <v>184</v>
      </c>
      <c r="S25" s="13">
        <f t="shared" si="1"/>
        <v>24</v>
      </c>
      <c r="T25" s="13">
        <f t="shared" si="2"/>
        <v>3</v>
      </c>
      <c r="U25" s="13">
        <f t="shared" si="3"/>
        <v>82</v>
      </c>
    </row>
    <row r="26">
      <c r="A26" s="18" t="s">
        <v>74</v>
      </c>
      <c r="B26" s="6" t="s">
        <v>64</v>
      </c>
      <c r="C26" s="18">
        <v>0.0</v>
      </c>
      <c r="D26" s="18">
        <v>0.0</v>
      </c>
      <c r="E26" s="18">
        <v>0.0</v>
      </c>
      <c r="F26" s="18">
        <v>0.0</v>
      </c>
      <c r="G26" s="18">
        <v>0.0</v>
      </c>
      <c r="H26" s="5">
        <f>IFERROR(__xludf.DUMMYFUNCTION("HLOOKUP($A26,IMPORTRANGE(""https://docs.google.com/spreadsheets/d/16J5ie7OD1E99qGO9lMDm8w5Yls-v190B7DTolJ5TmFc/edit#gid=0"",""'Game 7'!$B$2:$Q$34""),33,False)"),0.0)</f>
        <v>0</v>
      </c>
      <c r="I26" s="3">
        <v>0.0</v>
      </c>
      <c r="J26" s="5">
        <f>IFERROR(__xludf.DUMMYFUNCTION("IFERROR(HLOOKUP($A26,IMPORTRANGE(""https://docs.google.com/spreadsheets/d/1CTYfdyRk_RFGM3I2iN9bKeD9zUPzEm1ajzml6VgwfIU/edit#gid=0"",""'Game 9'!$B$2:$Q$34""),33,False),1)"),0.0)</f>
        <v>0</v>
      </c>
      <c r="K26" s="5">
        <f>IFERROR(__xludf.DUMMYFUNCTION("IFERROR(HLOOKUP($A26,IMPORTRANGE(""https://docs.google.com/spreadsheets/d/11NFkzOdQyW-OtxSDuGslNCgNjx7HUb2FU7KnlNnPMgY/edit#gid=0"",""'Game 9'!$B$2:$Q$34""),33,False),1)"),0.0)</f>
        <v>0</v>
      </c>
      <c r="L26" s="5">
        <f>IFERROR(__xludf.DUMMYFUNCTION("IFERROR(HLOOKUP($A26,IMPORTRANGE(""https://docs.google.com/spreadsheets/d/1CLg5-jaE4ta0-u4oE1qbBplQ5Mf3Oj9ONFgL0zJ7Ol4/edit#gid=0"",""'Game 6'!$B$2:$Q$34""),33,False),1)"),0.0)</f>
        <v>0</v>
      </c>
      <c r="M26" s="5">
        <f>IFERROR(__xludf.DUMMYFUNCTION("IFERROR(HLOOKUP($A26,IMPORTRANGE(""https://docs.google.com/spreadsheets/d/1CeexgK4KxWj3k_7nql_k8-RPxXMwTJyB4Q3vAASeDlA/edit#gid=0"",""'Game 4'!$B$2:$Q$34""),33,False),1)"),0.0)</f>
        <v>0</v>
      </c>
      <c r="N26" s="5">
        <f>IFERROR(__xludf.DUMMYFUNCTION("IFERROR(HLOOKUP($A26,IMPORTRANGE(""https://docs.google.com/spreadsheets/d/1MNwUNMjcwK6bEgCXwB73jpbK5gJAXS8ZMpbEMLJEP3E/edit#gid=0"",""'Game 3'!$B$2:$Q$34""),33,False),1)"),0.0)</f>
        <v>0</v>
      </c>
      <c r="O26" s="5">
        <f>IFERROR(__xludf.DUMMYFUNCTION("IFERROR(HLOOKUP($A26,IMPORTRANGE(""https://docs.google.com/spreadsheets/d/1UrzyxmT40kDZwVrLMf1yyXfP-pyczRAw9Y8Rw-uXG3c/edit#gid=0"",""'Game 9'!$B$2:$Q$34""),33,False),1)"),0.0)</f>
        <v>0</v>
      </c>
      <c r="P26" s="5">
        <f>IFERROR(__xludf.DUMMYFUNCTION("IFERROR(HLOOKUP($A26,IMPORTRANGE(""https://docs.google.com/spreadsheets/d/1iyMhSYWifw-KGFtyeBpNxVZr4BhcV9hVZuShgJ9Ia0E/edit#gid=0"",""'Game 9'!$B$2:$Q$34""),33,False),1)"),0.0)</f>
        <v>0</v>
      </c>
      <c r="Q26" s="5">
        <f>IFERROR(__xludf.DUMMYFUNCTION("IFERROR(HLOOKUP($A26,IMPORTRANGE(""https://docs.google.com/spreadsheets/d/1sSbIK-vvHsSY0LghLJ9gcnW8Hec_ITI2tFmpeqI999A/edit#gid=0"",""'Game 4'!$B$2:$Q$34""),33,False),1)"),0.0)</f>
        <v>0</v>
      </c>
      <c r="R26" s="6">
        <f>TUHStand!R26</f>
        <v>139</v>
      </c>
      <c r="S26" s="6">
        <f t="shared" si="1"/>
        <v>0</v>
      </c>
      <c r="T26" s="6">
        <f t="shared" si="2"/>
        <v>0</v>
      </c>
      <c r="U26" s="6">
        <f t="shared" si="3"/>
        <v>127</v>
      </c>
    </row>
    <row r="27">
      <c r="A27" s="20" t="s">
        <v>76</v>
      </c>
      <c r="B27" s="20" t="s">
        <v>64</v>
      </c>
      <c r="C27" s="20">
        <v>4.0</v>
      </c>
      <c r="D27" s="20">
        <v>0.0</v>
      </c>
      <c r="E27" s="20">
        <v>4.0</v>
      </c>
      <c r="F27" s="20">
        <v>4.0</v>
      </c>
      <c r="G27" s="13">
        <v>8.0</v>
      </c>
      <c r="H27" s="12">
        <f>IFERROR(__xludf.DUMMYFUNCTION("HLOOKUP($A27,IMPORTRANGE(""https://docs.google.com/spreadsheets/d/16J5ie7OD1E99qGO9lMDm8w5Yls-v190B7DTolJ5TmFc/edit#gid=0"",""'Game 7'!$B$2:$Q$34""),33,False)"),0.0)</f>
        <v>0</v>
      </c>
      <c r="I27" s="2">
        <v>4.0</v>
      </c>
      <c r="J27" s="12">
        <f>IFERROR(__xludf.DUMMYFUNCTION("IFERROR(HLOOKUP($A27,IMPORTRANGE(""https://docs.google.com/spreadsheets/d/1CTYfdyRk_RFGM3I2iN9bKeD9zUPzEm1ajzml6VgwfIU/edit#gid=0"",""'Game 9'!$B$2:$Q$34""),33,False),1)"),0.0)</f>
        <v>0</v>
      </c>
      <c r="K27" s="12">
        <f>IFERROR(__xludf.DUMMYFUNCTION("IFERROR(HLOOKUP($A27,IMPORTRANGE(""https://docs.google.com/spreadsheets/d/11NFkzOdQyW-OtxSDuGslNCgNjx7HUb2FU7KnlNnPMgY/edit#gid=0"",""'Game 9'!$B$2:$Q$34""),33,False),1)"),4.0)</f>
        <v>4</v>
      </c>
      <c r="L27" s="12">
        <f>IFERROR(__xludf.DUMMYFUNCTION("IFERROR(HLOOKUP($A27,IMPORTRANGE(""https://docs.google.com/spreadsheets/d/1CLg5-jaE4ta0-u4oE1qbBplQ5Mf3Oj9ONFgL0zJ7Ol4/edit#gid=0"",""'Game 6'!$B$2:$Q$34""),33,False),1)"),0.0)</f>
        <v>0</v>
      </c>
      <c r="M27" s="12">
        <f>IFERROR(__xludf.DUMMYFUNCTION("IFERROR(HLOOKUP($A27,IMPORTRANGE(""https://docs.google.com/spreadsheets/d/1CeexgK4KxWj3k_7nql_k8-RPxXMwTJyB4Q3vAASeDlA/edit#gid=0"",""'Game 4'!$B$2:$Q$34""),33,False),1)"),4.0)</f>
        <v>4</v>
      </c>
      <c r="N27" s="12">
        <f>IFERROR(__xludf.DUMMYFUNCTION("IFERROR(HLOOKUP($A27,IMPORTRANGE(""https://docs.google.com/spreadsheets/d/1MNwUNMjcwK6bEgCXwB73jpbK5gJAXS8ZMpbEMLJEP3E/edit#gid=0"",""'Game 3'!$B$2:$Q$34""),33,False),1)"),0.0)</f>
        <v>0</v>
      </c>
      <c r="O27" s="12">
        <f>IFERROR(__xludf.DUMMYFUNCTION("IFERROR(HLOOKUP($A27,IMPORTRANGE(""https://docs.google.com/spreadsheets/d/1UrzyxmT40kDZwVrLMf1yyXfP-pyczRAw9Y8Rw-uXG3c/edit#gid=0"",""'Game 9'!$B$2:$Q$34""),33,False),1)"),0.0)</f>
        <v>0</v>
      </c>
      <c r="P27" s="12">
        <f>IFERROR(__xludf.DUMMYFUNCTION("IFERROR(HLOOKUP($A27,IMPORTRANGE(""https://docs.google.com/spreadsheets/d/1iyMhSYWifw-KGFtyeBpNxVZr4BhcV9hVZuShgJ9Ia0E/edit#gid=0"",""'Game 9'!$B$2:$Q$34""),33,False),1)"),4.0)</f>
        <v>4</v>
      </c>
      <c r="Q27" s="12">
        <f>IFERROR(__xludf.DUMMYFUNCTION("IFERROR(HLOOKUP($A27,IMPORTRANGE(""https://docs.google.com/spreadsheets/d/1sSbIK-vvHsSY0LghLJ9gcnW8Hec_ITI2tFmpeqI999A/edit#gid=0"",""'Game 4'!$B$2:$Q$34""),33,False),1)"),0.0)</f>
        <v>0</v>
      </c>
      <c r="R27" s="13">
        <f>TUHStand!R27</f>
        <v>217</v>
      </c>
      <c r="S27" s="13">
        <f t="shared" si="1"/>
        <v>36</v>
      </c>
      <c r="T27" s="13">
        <f t="shared" si="2"/>
        <v>3.815668203</v>
      </c>
      <c r="U27" s="13">
        <f t="shared" si="3"/>
        <v>76</v>
      </c>
    </row>
    <row r="28">
      <c r="A28" s="18" t="s">
        <v>78</v>
      </c>
      <c r="B28" s="6" t="s">
        <v>79</v>
      </c>
      <c r="C28" s="18">
        <v>0.0</v>
      </c>
      <c r="D28" s="18">
        <v>8.0</v>
      </c>
      <c r="E28" s="18">
        <v>12.0</v>
      </c>
      <c r="F28" s="18">
        <v>0.0</v>
      </c>
      <c r="G28" s="3">
        <v>-4.0</v>
      </c>
      <c r="H28" s="5">
        <f>IFERROR(__xludf.DUMMYFUNCTION("HLOOKUP($A28,IMPORTRANGE(""https://docs.google.com/spreadsheets/d/16J5ie7OD1E99qGO9lMDm8w5Yls-v190B7DTolJ5TmFc/edit#gid=0"",""'Game 7'!$B$2:$Q$34""),33,False)"),0.0)</f>
        <v>0</v>
      </c>
      <c r="I28" s="3">
        <v>4.0</v>
      </c>
      <c r="J28" s="5">
        <f>IFERROR(__xludf.DUMMYFUNCTION("IFERROR(HLOOKUP($A28,IMPORTRANGE(""https://docs.google.com/spreadsheets/d/1CTYfdyRk_RFGM3I2iN9bKeD9zUPzEm1ajzml6VgwfIU/edit#gid=0"",""'Game 2'!$B$2:$Q$34""),33,False),1)"),0.0)</f>
        <v>0</v>
      </c>
      <c r="K28" s="5">
        <f>IFERROR(__xludf.DUMMYFUNCTION("IFERROR(HLOOKUP($A28,IMPORTRANGE(""https://docs.google.com/spreadsheets/d/11NFkzOdQyW-OtxSDuGslNCgNjx7HUb2FU7KnlNnPMgY/edit#gid=0"",""'Game 10'!$B$2:$Q$34""),33,False),1)"),0.0)</f>
        <v>0</v>
      </c>
      <c r="L28" s="5">
        <f>IFERROR(__xludf.DUMMYFUNCTION("IFERROR(HLOOKUP($A28,IMPORTRANGE(""https://docs.google.com/spreadsheets/d/1CLg5-jaE4ta0-u4oE1qbBplQ5Mf3Oj9ONFgL0zJ7Ol4/edit#gid=0"",""'Game 8'!$B$2:$Q$34""),33,False),1)"),8.0)</f>
        <v>8</v>
      </c>
      <c r="M28" s="5">
        <f>IFERROR(__xludf.DUMMYFUNCTION("IFERROR(HLOOKUP($A28,IMPORTRANGE(""https://docs.google.com/spreadsheets/d/1CeexgK4KxWj3k_7nql_k8-RPxXMwTJyB4Q3vAASeDlA/edit#gid=0"",""'Game 8'!$B$2:$Q$34""),33,False),1)"),12.0)</f>
        <v>12</v>
      </c>
      <c r="N28" s="5">
        <f>IFERROR(__xludf.DUMMYFUNCTION("IFERROR(HLOOKUP($A28,IMPORTRANGE(""https://docs.google.com/spreadsheets/d/1MNwUNMjcwK6bEgCXwB73jpbK5gJAXS8ZMpbEMLJEP3E/edit#gid=0"",""'Game 9'!$B$2:$Q$34""),33,False),1)"),4.0)</f>
        <v>4</v>
      </c>
      <c r="O28" s="5">
        <f>IFERROR(__xludf.DUMMYFUNCTION("IFERROR(HLOOKUP($A28,IMPORTRANGE(""https://docs.google.com/spreadsheets/d/1UrzyxmT40kDZwVrLMf1yyXfP-pyczRAw9Y8Rw-uXG3c/edit#gid=0"",""'Game 10'!$B$2:$Q$34""),33,False),1)"),0.0)</f>
        <v>0</v>
      </c>
      <c r="P28" s="5">
        <f>IFERROR(__xludf.DUMMYFUNCTION("IFERROR(HLOOKUP($A28,IMPORTRANGE(""https://docs.google.com/spreadsheets/d/1iyMhSYWifw-KGFtyeBpNxVZr4BhcV9hVZuShgJ9Ia0E/edit#gid=0"",""'Game 3'!$B$2:$Q$34""),33,False),1)"),8.0)</f>
        <v>8</v>
      </c>
      <c r="Q28" s="5">
        <f>IFERROR(__xludf.DUMMYFUNCTION("IFERROR(HLOOKUP($A28,IMPORTRANGE(""https://docs.google.com/spreadsheets/d/1sSbIK-vvHsSY0LghLJ9gcnW8Hec_ITI2tFmpeqI999A/edit#gid=0"",""'Game 5'!$B$2:$Q$34""),33,False),1)"),0.0)</f>
        <v>0</v>
      </c>
      <c r="R28" s="6">
        <f>TUHStand!R28</f>
        <v>277</v>
      </c>
      <c r="S28" s="6">
        <f t="shared" si="1"/>
        <v>52</v>
      </c>
      <c r="T28" s="6">
        <f t="shared" si="2"/>
        <v>4.317689531</v>
      </c>
      <c r="U28" s="6">
        <f t="shared" si="3"/>
        <v>69</v>
      </c>
    </row>
    <row r="29">
      <c r="A29" s="20" t="s">
        <v>82</v>
      </c>
      <c r="B29" s="13" t="s">
        <v>79</v>
      </c>
      <c r="C29" s="20">
        <v>4.0</v>
      </c>
      <c r="D29" s="20">
        <v>8.0</v>
      </c>
      <c r="E29" s="20">
        <v>0.0</v>
      </c>
      <c r="F29" s="20">
        <v>0.0</v>
      </c>
      <c r="G29" s="2">
        <v>-4.0</v>
      </c>
      <c r="H29" s="12">
        <f>IFERROR(__xludf.DUMMYFUNCTION("HLOOKUP($A29,IMPORTRANGE(""https://docs.google.com/spreadsheets/d/16J5ie7OD1E99qGO9lMDm8w5Yls-v190B7DTolJ5TmFc/edit#gid=0"",""'Game 7'!$B$2:$Q$34""),33,False)"),8.0)</f>
        <v>8</v>
      </c>
      <c r="I29" s="2">
        <v>4.0</v>
      </c>
      <c r="J29" s="12">
        <f>IFERROR(__xludf.DUMMYFUNCTION("IFERROR(HLOOKUP($A29,IMPORTRANGE(""https://docs.google.com/spreadsheets/d/1CTYfdyRk_RFGM3I2iN9bKeD9zUPzEm1ajzml6VgwfIU/edit#gid=0"",""'Game 2'!$B$2:$Q$34""),33,False),1)"),20.0)</f>
        <v>20</v>
      </c>
      <c r="K29" s="12">
        <f>IFERROR(__xludf.DUMMYFUNCTION("IFERROR(HLOOKUP($A29,IMPORTRANGE(""https://docs.google.com/spreadsheets/d/11NFkzOdQyW-OtxSDuGslNCgNjx7HUb2FU7KnlNnPMgY/edit#gid=0"",""'Game 10'!$B$2:$Q$34""),33,False),1)"),12.0)</f>
        <v>12</v>
      </c>
      <c r="L29" s="12">
        <f>IFERROR(__xludf.DUMMYFUNCTION("IFERROR(HLOOKUP($A29,IMPORTRANGE(""https://docs.google.com/spreadsheets/d/1CLg5-jaE4ta0-u4oE1qbBplQ5Mf3Oj9ONFgL0zJ7Ol4/edit#gid=0"",""'Game 8'!$B$2:$Q$34""),33,False),1)"),-4.0)</f>
        <v>-4</v>
      </c>
      <c r="M29" s="12">
        <f>IFERROR(__xludf.DUMMYFUNCTION("IFERROR(HLOOKUP($A29,IMPORTRANGE(""https://docs.google.com/spreadsheets/d/1CeexgK4KxWj3k_7nql_k8-RPxXMwTJyB4Q3vAASeDlA/edit#gid=0"",""'Game 8'!$B$2:$Q$34""),33,False),1)"),8.0)</f>
        <v>8</v>
      </c>
      <c r="N29" s="12">
        <f>IFERROR(__xludf.DUMMYFUNCTION("IFERROR(HLOOKUP($A29,IMPORTRANGE(""https://docs.google.com/spreadsheets/d/1MNwUNMjcwK6bEgCXwB73jpbK5gJAXS8ZMpbEMLJEP3E/edit#gid=0"",""'Game 9'!$B$2:$Q$34""),33,False),1)"),4.0)</f>
        <v>4</v>
      </c>
      <c r="O29" s="12">
        <f>IFERROR(__xludf.DUMMYFUNCTION("IFERROR(HLOOKUP($A29,IMPORTRANGE(""https://docs.google.com/spreadsheets/d/1UrzyxmT40kDZwVrLMf1yyXfP-pyczRAw9Y8Rw-uXG3c/edit#gid=0"",""'Game 10'!$B$2:$Q$34""),33,False),1)"),8.0)</f>
        <v>8</v>
      </c>
      <c r="P29" s="12">
        <f>IFERROR(__xludf.DUMMYFUNCTION("IFERROR(HLOOKUP($A29,IMPORTRANGE(""https://docs.google.com/spreadsheets/d/1iyMhSYWifw-KGFtyeBpNxVZr4BhcV9hVZuShgJ9Ia0E/edit#gid=0"",""'Game 3'!$B$2:$Q$34""),33,False),1)"),0.0)</f>
        <v>0</v>
      </c>
      <c r="Q29" s="12">
        <f>IFERROR(__xludf.DUMMYFUNCTION("IFERROR(HLOOKUP($A29,IMPORTRANGE(""https://docs.google.com/spreadsheets/d/1sSbIK-vvHsSY0LghLJ9gcnW8Hec_ITI2tFmpeqI999A/edit#gid=0"",""'Game 5'!$B$2:$Q$34""),33,False),1)"),8.0)</f>
        <v>8</v>
      </c>
      <c r="R29" s="13">
        <f>TUHStand!R29</f>
        <v>299</v>
      </c>
      <c r="S29" s="13">
        <f t="shared" si="1"/>
        <v>76</v>
      </c>
      <c r="T29" s="13">
        <f t="shared" si="2"/>
        <v>5.846153846</v>
      </c>
      <c r="U29" s="13">
        <f t="shared" si="3"/>
        <v>52</v>
      </c>
    </row>
    <row r="30">
      <c r="A30" s="18" t="s">
        <v>85</v>
      </c>
      <c r="B30" s="6" t="s">
        <v>79</v>
      </c>
      <c r="C30" s="18">
        <v>8.0</v>
      </c>
      <c r="D30" s="18">
        <v>16.0</v>
      </c>
      <c r="E30" s="18">
        <v>4.0</v>
      </c>
      <c r="F30" s="18">
        <v>8.0</v>
      </c>
      <c r="G30" s="3">
        <v>12.0</v>
      </c>
      <c r="H30" s="5">
        <f>IFERROR(__xludf.DUMMYFUNCTION("HLOOKUP($A30,IMPORTRANGE(""https://docs.google.com/spreadsheets/d/16J5ie7OD1E99qGO9lMDm8w5Yls-v190B7DTolJ5TmFc/edit#gid=0"",""'Game 7'!$B$2:$Q$34""),33,False)"),8.0)</f>
        <v>8</v>
      </c>
      <c r="I30" s="3">
        <v>8.0</v>
      </c>
      <c r="J30" s="5">
        <f>IFERROR(__xludf.DUMMYFUNCTION("IFERROR(HLOOKUP($A30,IMPORTRANGE(""https://docs.google.com/spreadsheets/d/1CTYfdyRk_RFGM3I2iN9bKeD9zUPzEm1ajzml6VgwfIU/edit#gid=0"",""'Game 2'!$B$2:$Q$34""),33,False),1)"),12.0)</f>
        <v>12</v>
      </c>
      <c r="K30" s="5">
        <f>IFERROR(__xludf.DUMMYFUNCTION("IFERROR(HLOOKUP($A30,IMPORTRANGE(""https://docs.google.com/spreadsheets/d/11NFkzOdQyW-OtxSDuGslNCgNjx7HUb2FU7KnlNnPMgY/edit#gid=0"",""'Game 10'!$B$2:$Q$34""),33,False),1)"),8.0)</f>
        <v>8</v>
      </c>
      <c r="L30" s="5">
        <f>IFERROR(__xludf.DUMMYFUNCTION("IFERROR(HLOOKUP($A30,IMPORTRANGE(""https://docs.google.com/spreadsheets/d/1CLg5-jaE4ta0-u4oE1qbBplQ5Mf3Oj9ONFgL0zJ7Ol4/edit#gid=0"",""'Game 8'!$B$2:$Q$34""),33,False),1)"),8.0)</f>
        <v>8</v>
      </c>
      <c r="M30" s="5">
        <f>IFERROR(__xludf.DUMMYFUNCTION("IFERROR(HLOOKUP($A30,IMPORTRANGE(""https://docs.google.com/spreadsheets/d/1CeexgK4KxWj3k_7nql_k8-RPxXMwTJyB4Q3vAASeDlA/edit#gid=0"",""'Game 8'!$B$2:$Q$34""),33,False),1)"),8.0)</f>
        <v>8</v>
      </c>
      <c r="N30" s="5">
        <f>IFERROR(__xludf.DUMMYFUNCTION("IFERROR(HLOOKUP($A30,IMPORTRANGE(""https://docs.google.com/spreadsheets/d/1MNwUNMjcwK6bEgCXwB73jpbK5gJAXS8ZMpbEMLJEP3E/edit#gid=0"",""'Game 9'!$B$2:$Q$34""),33,False),1)"),12.0)</f>
        <v>12</v>
      </c>
      <c r="O30" s="5">
        <f>IFERROR(__xludf.DUMMYFUNCTION("IFERROR(HLOOKUP($A30,IMPORTRANGE(""https://docs.google.com/spreadsheets/d/1UrzyxmT40kDZwVrLMf1yyXfP-pyczRAw9Y8Rw-uXG3c/edit#gid=0"",""'Game 10'!$B$2:$Q$34""),33,False),1)"),4.0)</f>
        <v>4</v>
      </c>
      <c r="P30" s="5">
        <f>IFERROR(__xludf.DUMMYFUNCTION("IFERROR(HLOOKUP($A30,IMPORTRANGE(""https://docs.google.com/spreadsheets/d/1iyMhSYWifw-KGFtyeBpNxVZr4BhcV9hVZuShgJ9Ia0E/edit#gid=0"",""'Game 3'!$B$2:$Q$34""),33,False),1)"),32.0)</f>
        <v>32</v>
      </c>
      <c r="Q30" s="5">
        <f>IFERROR(__xludf.DUMMYFUNCTION("IFERROR(HLOOKUP($A30,IMPORTRANGE(""https://docs.google.com/spreadsheets/d/1sSbIK-vvHsSY0LghLJ9gcnW8Hec_ITI2tFmpeqI999A/edit#gid=0"",""'Game 5'!$B$2:$Q$34""),33,False),1)"),8.0)</f>
        <v>8</v>
      </c>
      <c r="R30" s="6">
        <f>TUHStand!R30</f>
        <v>345</v>
      </c>
      <c r="S30" s="6">
        <f t="shared" si="1"/>
        <v>156</v>
      </c>
      <c r="T30" s="6">
        <f t="shared" si="2"/>
        <v>10.4</v>
      </c>
      <c r="U30" s="6">
        <f t="shared" si="3"/>
        <v>28</v>
      </c>
    </row>
    <row r="31">
      <c r="A31" s="20" t="s">
        <v>87</v>
      </c>
      <c r="B31" s="20" t="s">
        <v>79</v>
      </c>
      <c r="C31" s="20">
        <v>0.0</v>
      </c>
      <c r="D31" s="20">
        <v>0.0</v>
      </c>
      <c r="E31" s="20">
        <v>8.0</v>
      </c>
      <c r="F31" s="20">
        <v>8.0</v>
      </c>
      <c r="G31" s="2">
        <v>20.0</v>
      </c>
      <c r="H31" s="12">
        <f>IFERROR(__xludf.DUMMYFUNCTION("HLOOKUP($A31,IMPORTRANGE(""https://docs.google.com/spreadsheets/d/16J5ie7OD1E99qGO9lMDm8w5Yls-v190B7DTolJ5TmFc/edit#gid=0"",""'Game 7'!$B$2:$Q$34""),33,False)"),4.0)</f>
        <v>4</v>
      </c>
      <c r="I31" s="2">
        <v>-4.0</v>
      </c>
      <c r="J31" s="12">
        <f>IFERROR(__xludf.DUMMYFUNCTION("IFERROR(HLOOKUP($A31,IMPORTRANGE(""https://docs.google.com/spreadsheets/d/1CTYfdyRk_RFGM3I2iN9bKeD9zUPzEm1ajzml6VgwfIU/edit#gid=0"",""'Game 2'!$B$2:$Q$34""),33,False),1)"),4.0)</f>
        <v>4</v>
      </c>
      <c r="K31" s="12">
        <f>IFERROR(__xludf.DUMMYFUNCTION("IFERROR(HLOOKUP($A31,IMPORTRANGE(""https://docs.google.com/spreadsheets/d/11NFkzOdQyW-OtxSDuGslNCgNjx7HUb2FU7KnlNnPMgY/edit#gid=0"",""'Game 10'!$B$2:$Q$34""),33,False),1)"),8.0)</f>
        <v>8</v>
      </c>
      <c r="L31" s="12">
        <f>IFERROR(__xludf.DUMMYFUNCTION("IFERROR(HLOOKUP($A31,IMPORTRANGE(""https://docs.google.com/spreadsheets/d/1CLg5-jaE4ta0-u4oE1qbBplQ5Mf3Oj9ONFgL0zJ7Ol4/edit#gid=0"",""'Game 8'!$B$2:$Q$34""),33,False),1)"),16.0)</f>
        <v>16</v>
      </c>
      <c r="M31" s="12">
        <f>IFERROR(__xludf.DUMMYFUNCTION("IFERROR(HLOOKUP($A31,IMPORTRANGE(""https://docs.google.com/spreadsheets/d/1CeexgK4KxWj3k_7nql_k8-RPxXMwTJyB4Q3vAASeDlA/edit#gid=0"",""'Game 8'!$B$2:$Q$34""),33,False),1)"),4.0)</f>
        <v>4</v>
      </c>
      <c r="N31" s="12">
        <f>IFERROR(__xludf.DUMMYFUNCTION("IFERROR(HLOOKUP($A31,IMPORTRANGE(""https://docs.google.com/spreadsheets/d/1MNwUNMjcwK6bEgCXwB73jpbK5gJAXS8ZMpbEMLJEP3E/edit#gid=0"",""'Game 9'!$B$2:$Q$34""),33,False),1)"),4.0)</f>
        <v>4</v>
      </c>
      <c r="O31" s="12">
        <f>IFERROR(__xludf.DUMMYFUNCTION("IFERROR(HLOOKUP($A31,IMPORTRANGE(""https://docs.google.com/spreadsheets/d/1UrzyxmT40kDZwVrLMf1yyXfP-pyczRAw9Y8Rw-uXG3c/edit#gid=0"",""'Game 10'!$B$2:$Q$34""),33,False),1)"),12.0)</f>
        <v>12</v>
      </c>
      <c r="P31" s="12">
        <f>IFERROR(__xludf.DUMMYFUNCTION("IFERROR(HLOOKUP($A31,IMPORTRANGE(""https://docs.google.com/spreadsheets/d/1iyMhSYWifw-KGFtyeBpNxVZr4BhcV9hVZuShgJ9Ia0E/edit#gid=0"",""'Game 3'!$B$2:$Q$34""),33,False),1)"),8.0)</f>
        <v>8</v>
      </c>
      <c r="Q31" s="12">
        <f>IFERROR(__xludf.DUMMYFUNCTION("IFERROR(HLOOKUP($A31,IMPORTRANGE(""https://docs.google.com/spreadsheets/d/1sSbIK-vvHsSY0LghLJ9gcnW8Hec_ITI2tFmpeqI999A/edit#gid=0"",""'Game 5'!$B$2:$Q$34""),33,False),1)"),8.0)</f>
        <v>8</v>
      </c>
      <c r="R31" s="13">
        <f>TUHStand!R31</f>
        <v>323</v>
      </c>
      <c r="S31" s="13">
        <f t="shared" si="1"/>
        <v>100</v>
      </c>
      <c r="T31" s="13">
        <f t="shared" si="2"/>
        <v>7.120743034</v>
      </c>
      <c r="U31" s="13">
        <f t="shared" si="3"/>
        <v>44</v>
      </c>
    </row>
    <row r="32">
      <c r="A32" s="18" t="s">
        <v>89</v>
      </c>
      <c r="B32" s="18" t="s">
        <v>79</v>
      </c>
      <c r="C32" s="18">
        <v>0.0</v>
      </c>
      <c r="D32" s="18">
        <v>0.0</v>
      </c>
      <c r="E32" s="18">
        <v>0.0</v>
      </c>
      <c r="F32" s="18">
        <v>0.0</v>
      </c>
      <c r="G32" s="3">
        <v>0.0</v>
      </c>
      <c r="H32" s="5">
        <f>IFERROR(__xludf.DUMMYFUNCTION("HLOOKUP($A32,IMPORTRANGE(""https://docs.google.com/spreadsheets/d/16J5ie7OD1E99qGO9lMDm8w5Yls-v190B7DTolJ5TmFc/edit#gid=0"",""'Game 7'!$B$2:$Q$34""),33,False)"),0.0)</f>
        <v>0</v>
      </c>
      <c r="I32" s="3">
        <v>0.0</v>
      </c>
      <c r="J32" s="5">
        <f>IFERROR(__xludf.DUMMYFUNCTION("IFERROR(HLOOKUP($A32,IMPORTRANGE(""https://docs.google.com/spreadsheets/d/1CTYfdyRk_RFGM3I2iN9bKeD9zUPzEm1ajzml6VgwfIU/edit#gid=0"",""'Game 2'!$B$2:$Q$34""),33,False),1)"),0.0)</f>
        <v>0</v>
      </c>
      <c r="K32" s="5">
        <f>IFERROR(__xludf.DUMMYFUNCTION("IFERROR(HLOOKUP($A32,IMPORTRANGE(""https://docs.google.com/spreadsheets/d/11NFkzOdQyW-OtxSDuGslNCgNjx7HUb2FU7KnlNnPMgY/edit#gid=0"",""'Game 10'!$B$2:$Q$34""),33,False),1)"),0.0)</f>
        <v>0</v>
      </c>
      <c r="L32" s="5">
        <f>IFERROR(__xludf.DUMMYFUNCTION("IFERROR(HLOOKUP($A32,IMPORTRANGE(""https://docs.google.com/spreadsheets/d/1CLg5-jaE4ta0-u4oE1qbBplQ5Mf3Oj9ONFgL0zJ7Ol4/edit#gid=0"",""'Game 8'!$B$2:$Q$34""),33,False),1)"),0.0)</f>
        <v>0</v>
      </c>
      <c r="M32" s="5">
        <f>IFERROR(__xludf.DUMMYFUNCTION("IFERROR(HLOOKUP($A32,IMPORTRANGE(""https://docs.google.com/spreadsheets/d/1CeexgK4KxWj3k_7nql_k8-RPxXMwTJyB4Q3vAASeDlA/edit#gid=0"",""'Game 8'!$B$2:$Q$34""),33,False),1)"),0.0)</f>
        <v>0</v>
      </c>
      <c r="N32" s="5">
        <f>IFERROR(__xludf.DUMMYFUNCTION("IFERROR(HLOOKUP($A32,IMPORTRANGE(""https://docs.google.com/spreadsheets/d/1MNwUNMjcwK6bEgCXwB73jpbK5gJAXS8ZMpbEMLJEP3E/edit#gid=0"",""'Game 9'!$B$2:$Q$34""),33,False),1)"),0.0)</f>
        <v>0</v>
      </c>
      <c r="O32" s="5">
        <f>IFERROR(__xludf.DUMMYFUNCTION("IFERROR(HLOOKUP($A32,IMPORTRANGE(""https://docs.google.com/spreadsheets/d/1UrzyxmT40kDZwVrLMf1yyXfP-pyczRAw9Y8Rw-uXG3c/edit#gid=0"",""'Game 10'!$B$2:$Q$34""),33,False),1)"),0.0)</f>
        <v>0</v>
      </c>
      <c r="P32" s="5">
        <f>IFERROR(__xludf.DUMMYFUNCTION("IFERROR(HLOOKUP($A32,IMPORTRANGE(""https://docs.google.com/spreadsheets/d/1iyMhSYWifw-KGFtyeBpNxVZr4BhcV9hVZuShgJ9Ia0E/edit#gid=0"",""'Game 3'!$B$2:$Q$34""),33,False),1)"),0.0)</f>
        <v>0</v>
      </c>
      <c r="Q32" s="5">
        <f>IFERROR(__xludf.DUMMYFUNCTION("IFERROR(HLOOKUP($A32,IMPORTRANGE(""https://docs.google.com/spreadsheets/d/1sSbIK-vvHsSY0LghLJ9gcnW8Hec_ITI2tFmpeqI999A/edit#gid=0"",""'Game 5'!$B$2:$Q$34""),33,False),1)"),0.0)</f>
        <v>0</v>
      </c>
      <c r="R32" s="6">
        <f>TUHStand!R32</f>
        <v>131</v>
      </c>
      <c r="S32" s="6">
        <f t="shared" si="1"/>
        <v>0</v>
      </c>
      <c r="T32" s="6">
        <f t="shared" si="2"/>
        <v>0</v>
      </c>
      <c r="U32" s="6">
        <f t="shared" si="3"/>
        <v>127</v>
      </c>
    </row>
    <row r="33">
      <c r="A33" s="20" t="s">
        <v>90</v>
      </c>
      <c r="B33" s="20" t="s">
        <v>91</v>
      </c>
      <c r="C33" s="20">
        <v>8.0</v>
      </c>
      <c r="D33" s="20">
        <v>24.0</v>
      </c>
      <c r="E33" s="20">
        <v>12.0</v>
      </c>
      <c r="F33" s="20">
        <v>8.0</v>
      </c>
      <c r="G33" s="2">
        <v>16.0</v>
      </c>
      <c r="H33" s="12">
        <f>IFERROR(__xludf.DUMMYFUNCTION("HLOOKUP($A33,IMPORTRANGE(""https://docs.google.com/spreadsheets/d/16J5ie7OD1E99qGO9lMDm8w5Yls-v190B7DTolJ5TmFc/edit#gid=0"",""'Game 12'!$B$2:$Q$34""),33,False)"),12.0)</f>
        <v>12</v>
      </c>
      <c r="I33" s="2">
        <v>16.0</v>
      </c>
      <c r="J33" s="12">
        <f>IFERROR(__xludf.DUMMYFUNCTION("IFERROR(HLOOKUP($A33,IMPORTRANGE(""https://docs.google.com/spreadsheets/d/1CTYfdyRk_RFGM3I2iN9bKeD9zUPzEm1ajzml6VgwfIU/edit#gid=0"",""'Game 2'!$B$2:$Q$34""),33,False),1)"),4.0)</f>
        <v>4</v>
      </c>
      <c r="K33" s="12">
        <f>IFERROR(__xludf.DUMMYFUNCTION("IFERROR(HLOOKUP($A33,IMPORTRANGE(""https://docs.google.com/spreadsheets/d/11NFkzOdQyW-OtxSDuGslNCgNjx7HUb2FU7KnlNnPMgY/edit#gid=0"",""'Game 2'!$B$2:$Q$34""),33,False),1)"),8.0)</f>
        <v>8</v>
      </c>
      <c r="L33" s="12">
        <f>IFERROR(__xludf.DUMMYFUNCTION("IFERROR(HLOOKUP($A33,IMPORTRANGE(""https://docs.google.com/spreadsheets/d/1CLg5-jaE4ta0-u4oE1qbBplQ5Mf3Oj9ONFgL0zJ7Ol4/edit#gid=0"",""'Game 2'!$B$2:$Q$34""),33,False),1)"),20.0)</f>
        <v>20</v>
      </c>
      <c r="M33" s="12">
        <f>IFERROR(__xludf.DUMMYFUNCTION("IFERROR(HLOOKUP($A33,IMPORTRANGE(""https://docs.google.com/spreadsheets/d/1CeexgK4KxWj3k_7nql_k8-RPxXMwTJyB4Q3vAASeDlA/edit#gid=0"",""'Game 2'!$B$2:$Q$34""),33,False),1)"),12.0)</f>
        <v>12</v>
      </c>
      <c r="N33" s="12">
        <f>IFERROR(__xludf.DUMMYFUNCTION("IFERROR(HLOOKUP($A33,IMPORTRANGE(""https://docs.google.com/spreadsheets/d/1MNwUNMjcwK6bEgCXwB73jpbK5gJAXS8ZMpbEMLJEP3E/edit#gid=0"",""'Game 2'!$B$2:$Q$34""),33,False),1)"),16.0)</f>
        <v>16</v>
      </c>
      <c r="O33" s="12">
        <f>IFERROR(__xludf.DUMMYFUNCTION("IFERROR(HLOOKUP($A33,IMPORTRANGE(""https://docs.google.com/spreadsheets/d/1UrzyxmT40kDZwVrLMf1yyXfP-pyczRAw9Y8Rw-uXG3c/edit#gid=0"",""'Game 2'!$B$2:$Q$34""),33,False),1)"),20.0)</f>
        <v>20</v>
      </c>
      <c r="P33" s="12">
        <f>IFERROR(__xludf.DUMMYFUNCTION("IFERROR(HLOOKUP($A33,IMPORTRANGE(""https://docs.google.com/spreadsheets/d/1iyMhSYWifw-KGFtyeBpNxVZr4BhcV9hVZuShgJ9Ia0E/edit#gid=0"",""'Game 2'!$B$2:$Q$34""),33,False),1)"),16.0)</f>
        <v>16</v>
      </c>
      <c r="Q33" s="12">
        <f>IFERROR(__xludf.DUMMYFUNCTION("IFERROR(HLOOKUP($A33,IMPORTRANGE(""https://docs.google.com/spreadsheets/d/1sSbIK-vvHsSY0LghLJ9gcnW8Hec_ITI2tFmpeqI999A/edit#gid=0"",""'Game 2'!$B$2:$Q$34""),33,False),1)"),8.0)</f>
        <v>8</v>
      </c>
      <c r="R33" s="13">
        <f>TUHStand!R33</f>
        <v>345</v>
      </c>
      <c r="S33" s="13">
        <f t="shared" si="1"/>
        <v>200</v>
      </c>
      <c r="T33" s="13">
        <f t="shared" si="2"/>
        <v>13.33333333</v>
      </c>
      <c r="U33" s="13">
        <f t="shared" si="3"/>
        <v>17</v>
      </c>
    </row>
    <row r="34">
      <c r="A34" s="18" t="s">
        <v>93</v>
      </c>
      <c r="B34" s="6" t="s">
        <v>91</v>
      </c>
      <c r="C34" s="18">
        <v>0.0</v>
      </c>
      <c r="D34" s="18">
        <v>0.0</v>
      </c>
      <c r="E34" s="18">
        <v>0.0</v>
      </c>
      <c r="F34" s="18">
        <v>0.0</v>
      </c>
      <c r="G34" s="3">
        <v>4.0</v>
      </c>
      <c r="H34" s="5">
        <f>IFERROR(__xludf.DUMMYFUNCTION("HLOOKUP($A34,IMPORTRANGE(""https://docs.google.com/spreadsheets/d/16J5ie7OD1E99qGO9lMDm8w5Yls-v190B7DTolJ5TmFc/edit#gid=0"",""'Game 12'!$B$2:$Q$34""),33,False)"),0.0)</f>
        <v>0</v>
      </c>
      <c r="I34" s="3">
        <v>0.0</v>
      </c>
      <c r="J34" s="5">
        <f>IFERROR(__xludf.DUMMYFUNCTION("IFERROR(HLOOKUP($A34,IMPORTRANGE(""https://docs.google.com/spreadsheets/d/1CTYfdyRk_RFGM3I2iN9bKeD9zUPzEm1ajzml6VgwfIU/edit#gid=0"",""'Game 2'!$B$2:$Q$34""),33,False),1)"),0.0)</f>
        <v>0</v>
      </c>
      <c r="K34" s="5">
        <f>IFERROR(__xludf.DUMMYFUNCTION("IFERROR(HLOOKUP($A34,IMPORTRANGE(""https://docs.google.com/spreadsheets/d/11NFkzOdQyW-OtxSDuGslNCgNjx7HUb2FU7KnlNnPMgY/edit#gid=0"",""'Game 2'!$B$2:$Q$34""),33,False),1)"),0.0)</f>
        <v>0</v>
      </c>
      <c r="L34" s="5">
        <f>IFERROR(__xludf.DUMMYFUNCTION("IFERROR(HLOOKUP($A34,IMPORTRANGE(""https://docs.google.com/spreadsheets/d/1CLg5-jaE4ta0-u4oE1qbBplQ5Mf3Oj9ONFgL0zJ7Ol4/edit#gid=0"",""'Game 2'!$B$2:$Q$34""),33,False),1)"),0.0)</f>
        <v>0</v>
      </c>
      <c r="M34" s="5">
        <f>IFERROR(__xludf.DUMMYFUNCTION("IFERROR(HLOOKUP($A34,IMPORTRANGE(""https://docs.google.com/spreadsheets/d/1CeexgK4KxWj3k_7nql_k8-RPxXMwTJyB4Q3vAASeDlA/edit#gid=0"",""'Game 2'!$B$2:$Q$34""),33,False),1)"),0.0)</f>
        <v>0</v>
      </c>
      <c r="N34" s="5">
        <f>IFERROR(__xludf.DUMMYFUNCTION("IFERROR(HLOOKUP($A34,IMPORTRANGE(""https://docs.google.com/spreadsheets/d/1MNwUNMjcwK6bEgCXwB73jpbK5gJAXS8ZMpbEMLJEP3E/edit#gid=0"",""'Game 2'!$B$2:$Q$34""),33,False),1)"),0.0)</f>
        <v>0</v>
      </c>
      <c r="O34" s="5">
        <f>IFERROR(__xludf.DUMMYFUNCTION("IFERROR(HLOOKUP($A34,IMPORTRANGE(""https://docs.google.com/spreadsheets/d/1UrzyxmT40kDZwVrLMf1yyXfP-pyczRAw9Y8Rw-uXG3c/edit#gid=0"",""'Game 2'!$B$2:$Q$34""),33,False),1)"),4.0)</f>
        <v>4</v>
      </c>
      <c r="P34" s="5">
        <f>IFERROR(__xludf.DUMMYFUNCTION("IFERROR(HLOOKUP($A34,IMPORTRANGE(""https://docs.google.com/spreadsheets/d/1iyMhSYWifw-KGFtyeBpNxVZr4BhcV9hVZuShgJ9Ia0E/edit#gid=0"",""'Game 2'!$B$2:$Q$34""),33,False),1)"),0.0)</f>
        <v>0</v>
      </c>
      <c r="Q34" s="5">
        <f>IFERROR(__xludf.DUMMYFUNCTION("IFERROR(HLOOKUP($A34,IMPORTRANGE(""https://docs.google.com/spreadsheets/d/1sSbIK-vvHsSY0LghLJ9gcnW8Hec_ITI2tFmpeqI999A/edit#gid=0"",""'Game 2'!$B$2:$Q$34""),33,False),1)"),0.0)</f>
        <v>0</v>
      </c>
      <c r="R34" s="6">
        <f>TUHStand!R34</f>
        <v>299</v>
      </c>
      <c r="S34" s="6">
        <f t="shared" si="1"/>
        <v>8</v>
      </c>
      <c r="T34" s="6">
        <f t="shared" si="2"/>
        <v>0.6153846154</v>
      </c>
      <c r="U34" s="6">
        <f t="shared" si="3"/>
        <v>120</v>
      </c>
    </row>
    <row r="35">
      <c r="A35" s="20" t="s">
        <v>95</v>
      </c>
      <c r="B35" s="13" t="s">
        <v>91</v>
      </c>
      <c r="C35" s="20">
        <v>8.0</v>
      </c>
      <c r="D35" s="20">
        <v>0.0</v>
      </c>
      <c r="E35" s="20">
        <v>4.0</v>
      </c>
      <c r="F35" s="20">
        <v>8.0</v>
      </c>
      <c r="G35" s="2">
        <v>-4.0</v>
      </c>
      <c r="H35" s="12">
        <f>IFERROR(__xludf.DUMMYFUNCTION("HLOOKUP($A35,IMPORTRANGE(""https://docs.google.com/spreadsheets/d/16J5ie7OD1E99qGO9lMDm8w5Yls-v190B7DTolJ5TmFc/edit#gid=0"",""'Game 12'!$B$2:$Q$34""),33,False)"),4.0)</f>
        <v>4</v>
      </c>
      <c r="I35" s="2">
        <v>4.0</v>
      </c>
      <c r="J35" s="12">
        <f>IFERROR(__xludf.DUMMYFUNCTION("IFERROR(HLOOKUP($A35,IMPORTRANGE(""https://docs.google.com/spreadsheets/d/1CTYfdyRk_RFGM3I2iN9bKeD9zUPzEm1ajzml6VgwfIU/edit#gid=0"",""'Game 2'!$B$2:$Q$34""),33,False),1)"),8.0)</f>
        <v>8</v>
      </c>
      <c r="K35" s="12">
        <f>IFERROR(__xludf.DUMMYFUNCTION("IFERROR(HLOOKUP($A35,IMPORTRANGE(""https://docs.google.com/spreadsheets/d/11NFkzOdQyW-OtxSDuGslNCgNjx7HUb2FU7KnlNnPMgY/edit#gid=0"",""'Game 2'!$B$2:$Q$34""),33,False),1)"),20.0)</f>
        <v>20</v>
      </c>
      <c r="L35" s="12">
        <f>IFERROR(__xludf.DUMMYFUNCTION("IFERROR(HLOOKUP($A35,IMPORTRANGE(""https://docs.google.com/spreadsheets/d/1CLg5-jaE4ta0-u4oE1qbBplQ5Mf3Oj9ONFgL0zJ7Ol4/edit#gid=0"",""'Game 2'!$B$2:$Q$34""),33,False),1)"),12.0)</f>
        <v>12</v>
      </c>
      <c r="M35" s="12">
        <f>IFERROR(__xludf.DUMMYFUNCTION("IFERROR(HLOOKUP($A35,IMPORTRANGE(""https://docs.google.com/spreadsheets/d/1CeexgK4KxWj3k_7nql_k8-RPxXMwTJyB4Q3vAASeDlA/edit#gid=0"",""'Game 2'!$B$2:$Q$34""),33,False),1)"),12.0)</f>
        <v>12</v>
      </c>
      <c r="N35" s="12">
        <f>IFERROR(__xludf.DUMMYFUNCTION("IFERROR(HLOOKUP($A35,IMPORTRANGE(""https://docs.google.com/spreadsheets/d/1MNwUNMjcwK6bEgCXwB73jpbK5gJAXS8ZMpbEMLJEP3E/edit#gid=0"",""'Game 2'!$B$2:$Q$34""),33,False),1)"),0.0)</f>
        <v>0</v>
      </c>
      <c r="O35" s="12">
        <f>IFERROR(__xludf.DUMMYFUNCTION("IFERROR(HLOOKUP($A35,IMPORTRANGE(""https://docs.google.com/spreadsheets/d/1UrzyxmT40kDZwVrLMf1yyXfP-pyczRAw9Y8Rw-uXG3c/edit#gid=0"",""'Game 2'!$B$2:$Q$34""),33,False),1)"),12.0)</f>
        <v>12</v>
      </c>
      <c r="P35" s="12">
        <f>IFERROR(__xludf.DUMMYFUNCTION("IFERROR(HLOOKUP($A35,IMPORTRANGE(""https://docs.google.com/spreadsheets/d/1iyMhSYWifw-KGFtyeBpNxVZr4BhcV9hVZuShgJ9Ia0E/edit#gid=0"",""'Game 2'!$B$2:$Q$34""),33,False),1)"),0.0)</f>
        <v>0</v>
      </c>
      <c r="Q35" s="12">
        <f>IFERROR(__xludf.DUMMYFUNCTION("IFERROR(HLOOKUP($A35,IMPORTRANGE(""https://docs.google.com/spreadsheets/d/1sSbIK-vvHsSY0LghLJ9gcnW8Hec_ITI2tFmpeqI999A/edit#gid=0"",""'Game 2'!$B$2:$Q$34""),33,False),1)"),4.0)</f>
        <v>4</v>
      </c>
      <c r="R35" s="13">
        <f>TUHStand!R35</f>
        <v>345</v>
      </c>
      <c r="S35" s="13">
        <f t="shared" si="1"/>
        <v>92</v>
      </c>
      <c r="T35" s="13">
        <f t="shared" si="2"/>
        <v>6.133333333</v>
      </c>
      <c r="U35" s="13">
        <f t="shared" si="3"/>
        <v>51</v>
      </c>
    </row>
    <row r="36">
      <c r="A36" s="18" t="s">
        <v>98</v>
      </c>
      <c r="B36" s="18" t="s">
        <v>91</v>
      </c>
      <c r="C36" s="18">
        <v>4.0</v>
      </c>
      <c r="D36" s="18">
        <v>16.0</v>
      </c>
      <c r="E36" s="18">
        <v>8.0</v>
      </c>
      <c r="F36" s="18">
        <v>0.0</v>
      </c>
      <c r="G36" s="3">
        <v>4.0</v>
      </c>
      <c r="H36" s="5">
        <f>IFERROR(__xludf.DUMMYFUNCTION("HLOOKUP($A36,IMPORTRANGE(""https://docs.google.com/spreadsheets/d/16J5ie7OD1E99qGO9lMDm8w5Yls-v190B7DTolJ5TmFc/edit#gid=0"",""'Game 12'!$B$2:$Q$34""),33,False)"),4.0)</f>
        <v>4</v>
      </c>
      <c r="I36" s="3">
        <v>0.0</v>
      </c>
      <c r="J36" s="5">
        <f>IFERROR(__xludf.DUMMYFUNCTION("IFERROR(HLOOKUP($A36,IMPORTRANGE(""https://docs.google.com/spreadsheets/d/1CTYfdyRk_RFGM3I2iN9bKeD9zUPzEm1ajzml6VgwfIU/edit#gid=0"",""'Game 2'!$B$2:$Q$34""),33,False),1)"),0.0)</f>
        <v>0</v>
      </c>
      <c r="K36" s="5">
        <f>IFERROR(__xludf.DUMMYFUNCTION("IFERROR(HLOOKUP($A36,IMPORTRANGE(""https://docs.google.com/spreadsheets/d/11NFkzOdQyW-OtxSDuGslNCgNjx7HUb2FU7KnlNnPMgY/edit#gid=0"",""'Game 2'!$B$2:$Q$34""),33,False),1)"),0.0)</f>
        <v>0</v>
      </c>
      <c r="L36" s="5">
        <f>IFERROR(__xludf.DUMMYFUNCTION("IFERROR(HLOOKUP($A36,IMPORTRANGE(""https://docs.google.com/spreadsheets/d/1CLg5-jaE4ta0-u4oE1qbBplQ5Mf3Oj9ONFgL0zJ7Ol4/edit#gid=0"",""'Game 2'!$B$2:$Q$34""),33,False),1)"),4.0)</f>
        <v>4</v>
      </c>
      <c r="M36" s="5">
        <f>IFERROR(__xludf.DUMMYFUNCTION("IFERROR(HLOOKUP($A36,IMPORTRANGE(""https://docs.google.com/spreadsheets/d/1CeexgK4KxWj3k_7nql_k8-RPxXMwTJyB4Q3vAASeDlA/edit#gid=0"",""'Game 2'!$B$2:$Q$34""),33,False),1)"),4.0)</f>
        <v>4</v>
      </c>
      <c r="N36" s="5">
        <f>IFERROR(__xludf.DUMMYFUNCTION("IFERROR(HLOOKUP($A36,IMPORTRANGE(""https://docs.google.com/spreadsheets/d/1MNwUNMjcwK6bEgCXwB73jpbK5gJAXS8ZMpbEMLJEP3E/edit#gid=0"",""'Game 2'!$B$2:$Q$34""),33,False),1)"),4.0)</f>
        <v>4</v>
      </c>
      <c r="O36" s="5">
        <f>IFERROR(__xludf.DUMMYFUNCTION("IFERROR(HLOOKUP($A36,IMPORTRANGE(""https://docs.google.com/spreadsheets/d/1UrzyxmT40kDZwVrLMf1yyXfP-pyczRAw9Y8Rw-uXG3c/edit#gid=0"",""'Game 2'!$B$2:$Q$34""),33,False),1)"),16.0)</f>
        <v>16</v>
      </c>
      <c r="P36" s="5">
        <f>IFERROR(__xludf.DUMMYFUNCTION("IFERROR(HLOOKUP($A36,IMPORTRANGE(""https://docs.google.com/spreadsheets/d/1iyMhSYWifw-KGFtyeBpNxVZr4BhcV9hVZuShgJ9Ia0E/edit#gid=0"",""'Game 2'!$B$2:$Q$34""),33,False),1)"),8.0)</f>
        <v>8</v>
      </c>
      <c r="Q36" s="5">
        <f>IFERROR(__xludf.DUMMYFUNCTION("IFERROR(HLOOKUP($A36,IMPORTRANGE(""https://docs.google.com/spreadsheets/d/1sSbIK-vvHsSY0LghLJ9gcnW8Hec_ITI2tFmpeqI999A/edit#gid=0"",""'Game 2'!$B$2:$Q$34""),33,False),1)"),0.0)</f>
        <v>0</v>
      </c>
      <c r="R36" s="6">
        <f>TUHStand!R36</f>
        <v>299</v>
      </c>
      <c r="S36" s="6">
        <f t="shared" si="1"/>
        <v>72</v>
      </c>
      <c r="T36" s="6">
        <f t="shared" si="2"/>
        <v>5.538461538</v>
      </c>
      <c r="U36" s="6">
        <f t="shared" si="3"/>
        <v>56</v>
      </c>
    </row>
    <row r="37">
      <c r="A37" s="20" t="s">
        <v>100</v>
      </c>
      <c r="B37" s="13" t="s">
        <v>101</v>
      </c>
      <c r="C37" s="20">
        <v>0.0</v>
      </c>
      <c r="D37" s="20">
        <v>0.0</v>
      </c>
      <c r="E37" s="20">
        <v>8.0</v>
      </c>
      <c r="F37" s="20">
        <v>0.0</v>
      </c>
      <c r="G37" s="2">
        <v>0.0</v>
      </c>
      <c r="H37" s="12">
        <f>IFERROR(__xludf.DUMMYFUNCTION("HLOOKUP($A37,IMPORTRANGE(""https://docs.google.com/spreadsheets/d/16J5ie7OD1E99qGO9lMDm8w5Yls-v190B7DTolJ5TmFc/edit#gid=0"",""'Game 13'!$B$2:$Q$34""),33,False)"),4.0)</f>
        <v>4</v>
      </c>
      <c r="I37" s="2">
        <v>0.0</v>
      </c>
      <c r="J37" s="12">
        <f>IFERROR(__xludf.DUMMYFUNCTION("IFERROR(HLOOKUP($A37,IMPORTRANGE(""https://docs.google.com/spreadsheets/d/1CTYfdyRk_RFGM3I2iN9bKeD9zUPzEm1ajzml6VgwfIU/edit#gid=0"",""'Game 9'!$B$2:$Q$34""),33,False),1)"),0.0)</f>
        <v>0</v>
      </c>
      <c r="K37" s="12">
        <f>IFERROR(__xludf.DUMMYFUNCTION("IFERROR(HLOOKUP($A37,IMPORTRANGE(""https://docs.google.com/spreadsheets/d/11NFkzOdQyW-OtxSDuGslNCgNjx7HUb2FU7KnlNnPMgY/edit#gid=0"",""'Game 12'!$B$2:$Q$34""),33,False),1)"),16.0)</f>
        <v>16</v>
      </c>
      <c r="L37" s="12">
        <f>IFERROR(__xludf.DUMMYFUNCTION("IFERROR(HLOOKUP($A37,IMPORTRANGE(""https://docs.google.com/spreadsheets/d/1CLg5-jaE4ta0-u4oE1qbBplQ5Mf3Oj9ONFgL0zJ7Ol4/edit#gid=0"",""'Game 4'!$B$2:$Q$34""),33,False),1)"),4.0)</f>
        <v>4</v>
      </c>
      <c r="M37" s="12">
        <f>IFERROR(__xludf.DUMMYFUNCTION("IFERROR(HLOOKUP($A37,IMPORTRANGE(""https://docs.google.com/spreadsheets/d/1CeexgK4KxWj3k_7nql_k8-RPxXMwTJyB4Q3vAASeDlA/edit#gid=0"",""'Game 10'!$B$2:$Q$34""),33,False),1)"),0.0)</f>
        <v>0</v>
      </c>
      <c r="N37" s="12">
        <f>IFERROR(__xludf.DUMMYFUNCTION("IFERROR(HLOOKUP($A37,IMPORTRANGE(""https://docs.google.com/spreadsheets/d/1MNwUNMjcwK6bEgCXwB73jpbK5gJAXS8ZMpbEMLJEP3E/edit#gid=0"",""'Game 7'!$B$2:$Q$34""),33,False),1)"),0.0)</f>
        <v>0</v>
      </c>
      <c r="O37" s="12">
        <f>IFERROR(__xludf.DUMMYFUNCTION("IFERROR(HLOOKUP($A37,IMPORTRANGE(""https://docs.google.com/spreadsheets/d/1UrzyxmT40kDZwVrLMf1yyXfP-pyczRAw9Y8Rw-uXG3c/edit#gid=0"",""'Game 11'!$B$2:$Q$34""),33,False),1)"),0.0)</f>
        <v>0</v>
      </c>
      <c r="P37" s="12">
        <f>IFERROR(__xludf.DUMMYFUNCTION("IFERROR(HLOOKUP($A37,IMPORTRANGE(""https://docs.google.com/spreadsheets/d/1iyMhSYWifw-KGFtyeBpNxVZr4BhcV9hVZuShgJ9Ia0E/edit#gid=0"",""'Game 10'!$B$2:$Q$34""),33,False),1)"),0.0)</f>
        <v>0</v>
      </c>
      <c r="Q37" s="12">
        <f>IFERROR(__xludf.DUMMYFUNCTION("IFERROR(HLOOKUP($A37,IMPORTRANGE(""https://docs.google.com/spreadsheets/d/1sSbIK-vvHsSY0LghLJ9gcnW8Hec_ITI2tFmpeqI999A/edit#gid=0"",""'Game 6'!$B$2:$Q$34""),33,False),1)"),0.0)</f>
        <v>0</v>
      </c>
      <c r="R37" s="13">
        <f>TUHStand!R37</f>
        <v>238</v>
      </c>
      <c r="S37" s="13">
        <f t="shared" si="1"/>
        <v>32</v>
      </c>
      <c r="T37" s="13">
        <f t="shared" si="2"/>
        <v>3.092436975</v>
      </c>
      <c r="U37" s="13">
        <f t="shared" si="3"/>
        <v>79</v>
      </c>
    </row>
    <row r="38">
      <c r="A38" s="3" t="s">
        <v>104</v>
      </c>
      <c r="B38" s="6" t="s">
        <v>101</v>
      </c>
      <c r="C38" s="18">
        <v>4.0</v>
      </c>
      <c r="D38" s="18">
        <v>0.0</v>
      </c>
      <c r="E38" s="18">
        <v>0.0</v>
      </c>
      <c r="F38" s="18">
        <v>0.0</v>
      </c>
      <c r="G38" s="3">
        <v>0.0</v>
      </c>
      <c r="H38" s="5">
        <f>IFERROR(__xludf.DUMMYFUNCTION("HLOOKUP($A38,IMPORTRANGE(""https://docs.google.com/spreadsheets/d/16J5ie7OD1E99qGO9lMDm8w5Yls-v190B7DTolJ5TmFc/edit#gid=0"",""'Game 13'!$B$2:$Q$34""),33,False)"),0.0)</f>
        <v>0</v>
      </c>
      <c r="I38" s="3">
        <v>0.0</v>
      </c>
      <c r="J38" s="5">
        <f>IFERROR(__xludf.DUMMYFUNCTION("IFERROR(HLOOKUP($A38,IMPORTRANGE(""https://docs.google.com/spreadsheets/d/1CTYfdyRk_RFGM3I2iN9bKeD9zUPzEm1ajzml6VgwfIU/edit#gid=0"",""'Game 9'!$B$2:$Q$34""),33,False),1)"),0.0)</f>
        <v>0</v>
      </c>
      <c r="K38" s="5">
        <f>IFERROR(__xludf.DUMMYFUNCTION("IFERROR(HLOOKUP($A38,IMPORTRANGE(""https://docs.google.com/spreadsheets/d/11NFkzOdQyW-OtxSDuGslNCgNjx7HUb2FU7KnlNnPMgY/edit#gid=0"",""'Game 12'!$B$2:$Q$34""),33,False),1)"),0.0)</f>
        <v>0</v>
      </c>
      <c r="L38" s="5">
        <f>IFERROR(__xludf.DUMMYFUNCTION("IFERROR(HLOOKUP($A38,IMPORTRANGE(""https://docs.google.com/spreadsheets/d/1CLg5-jaE4ta0-u4oE1qbBplQ5Mf3Oj9ONFgL0zJ7Ol4/edit#gid=0"",""'Game 4'!$B$2:$Q$34""),33,False),1)"),0.0)</f>
        <v>0</v>
      </c>
      <c r="M38" s="5">
        <f>IFERROR(__xludf.DUMMYFUNCTION("IFERROR(HLOOKUP($A38,IMPORTRANGE(""https://docs.google.com/spreadsheets/d/1CeexgK4KxWj3k_7nql_k8-RPxXMwTJyB4Q3vAASeDlA/edit#gid=0"",""'Game 10'!$B$2:$Q$34""),33,False),1)"),0.0)</f>
        <v>0</v>
      </c>
      <c r="N38" s="5">
        <f>IFERROR(__xludf.DUMMYFUNCTION("IFERROR(HLOOKUP($A38,IMPORTRANGE(""https://docs.google.com/spreadsheets/d/1MNwUNMjcwK6bEgCXwB73jpbK5gJAXS8ZMpbEMLJEP3E/edit#gid=0"",""'Game 7'!$B$2:$Q$34""),33,False),1)"),0.0)</f>
        <v>0</v>
      </c>
      <c r="O38" s="5">
        <f>IFERROR(__xludf.DUMMYFUNCTION("IFERROR(HLOOKUP($A38,IMPORTRANGE(""https://docs.google.com/spreadsheets/d/1UrzyxmT40kDZwVrLMf1yyXfP-pyczRAw9Y8Rw-uXG3c/edit#gid=0"",""'Game 11'!$B$2:$Q$34""),33,False),1)"),0.0)</f>
        <v>0</v>
      </c>
      <c r="P38" s="5">
        <f>IFERROR(__xludf.DUMMYFUNCTION("IFERROR(HLOOKUP($A38,IMPORTRANGE(""https://docs.google.com/spreadsheets/d/1iyMhSYWifw-KGFtyeBpNxVZr4BhcV9hVZuShgJ9Ia0E/edit#gid=0"",""'Game 10'!$B$2:$Q$34""),33,False),1)"),0.0)</f>
        <v>0</v>
      </c>
      <c r="Q38" s="5">
        <f>IFERROR(__xludf.DUMMYFUNCTION("IFERROR(HLOOKUP($A38,IMPORTRANGE(""https://docs.google.com/spreadsheets/d/1sSbIK-vvHsSY0LghLJ9gcnW8Hec_ITI2tFmpeqI999A/edit#gid=0"",""'Game 6'!$B$2:$Q$34""),33,False),1)"),4.0)</f>
        <v>4</v>
      </c>
      <c r="R38" s="6">
        <f>TUHStand!R38</f>
        <v>206</v>
      </c>
      <c r="S38" s="6">
        <f t="shared" si="1"/>
        <v>8</v>
      </c>
      <c r="T38" s="6">
        <f t="shared" si="2"/>
        <v>0.8932038835</v>
      </c>
      <c r="U38" s="6">
        <f t="shared" si="3"/>
        <v>114</v>
      </c>
    </row>
    <row r="39">
      <c r="A39" s="20" t="s">
        <v>106</v>
      </c>
      <c r="B39" s="13" t="s">
        <v>101</v>
      </c>
      <c r="C39" s="20">
        <v>4.0</v>
      </c>
      <c r="D39" s="20">
        <v>4.0</v>
      </c>
      <c r="E39" s="20">
        <v>4.0</v>
      </c>
      <c r="F39" s="20">
        <v>0.0</v>
      </c>
      <c r="G39" s="2">
        <v>0.0</v>
      </c>
      <c r="H39" s="12">
        <f>IFERROR(__xludf.DUMMYFUNCTION("HLOOKUP($A39,IMPORTRANGE(""https://docs.google.com/spreadsheets/d/16J5ie7OD1E99qGO9lMDm8w5Yls-v190B7DTolJ5TmFc/edit#gid=0"",""'Game 13'!$B$2:$Q$34""),33,False)"),4.0)</f>
        <v>4</v>
      </c>
      <c r="I39" s="2">
        <v>16.0</v>
      </c>
      <c r="J39" s="12">
        <f>IFERROR(__xludf.DUMMYFUNCTION("IFERROR(HLOOKUP($A39,IMPORTRANGE(""https://docs.google.com/spreadsheets/d/1CTYfdyRk_RFGM3I2iN9bKeD9zUPzEm1ajzml6VgwfIU/edit#gid=0"",""'Game 9'!$B$2:$Q$34""),33,False),1)"),0.0)</f>
        <v>0</v>
      </c>
      <c r="K39" s="12">
        <f>IFERROR(__xludf.DUMMYFUNCTION("IFERROR(HLOOKUP($A39,IMPORTRANGE(""https://docs.google.com/spreadsheets/d/11NFkzOdQyW-OtxSDuGslNCgNjx7HUb2FU7KnlNnPMgY/edit#gid=0"",""'Game 12'!$B$2:$Q$34""),33,False),1)"),0.0)</f>
        <v>0</v>
      </c>
      <c r="L39" s="12">
        <f>IFERROR(__xludf.DUMMYFUNCTION("IFERROR(HLOOKUP($A39,IMPORTRANGE(""https://docs.google.com/spreadsheets/d/1CLg5-jaE4ta0-u4oE1qbBplQ5Mf3Oj9ONFgL0zJ7Ol4/edit#gid=0"",""'Game 4'!$B$2:$Q$34""),33,False),1)"),4.0)</f>
        <v>4</v>
      </c>
      <c r="M39" s="12">
        <f>IFERROR(__xludf.DUMMYFUNCTION("IFERROR(HLOOKUP($A39,IMPORTRANGE(""https://docs.google.com/spreadsheets/d/1CeexgK4KxWj3k_7nql_k8-RPxXMwTJyB4Q3vAASeDlA/edit#gid=0"",""'Game 10'!$B$2:$Q$34""),33,False),1)"),0.0)</f>
        <v>0</v>
      </c>
      <c r="N39" s="12">
        <f>IFERROR(__xludf.DUMMYFUNCTION("IFERROR(HLOOKUP($A39,IMPORTRANGE(""https://docs.google.com/spreadsheets/d/1MNwUNMjcwK6bEgCXwB73jpbK5gJAXS8ZMpbEMLJEP3E/edit#gid=0"",""'Game 7'!$B$2:$Q$34""),33,False),1)"),8.0)</f>
        <v>8</v>
      </c>
      <c r="O39" s="12">
        <f>IFERROR(__xludf.DUMMYFUNCTION("IFERROR(HLOOKUP($A39,IMPORTRANGE(""https://docs.google.com/spreadsheets/d/1UrzyxmT40kDZwVrLMf1yyXfP-pyczRAw9Y8Rw-uXG3c/edit#gid=0"",""'Game 11'!$B$2:$Q$34""),33,False),1)"),4.0)</f>
        <v>4</v>
      </c>
      <c r="P39" s="12">
        <f>IFERROR(__xludf.DUMMYFUNCTION("IFERROR(HLOOKUP($A39,IMPORTRANGE(""https://docs.google.com/spreadsheets/d/1iyMhSYWifw-KGFtyeBpNxVZr4BhcV9hVZuShgJ9Ia0E/edit#gid=0"",""'Game 10'!$B$2:$Q$34""),33,False),1)"),4.0)</f>
        <v>4</v>
      </c>
      <c r="Q39" s="12">
        <f>IFERROR(__xludf.DUMMYFUNCTION("IFERROR(HLOOKUP($A39,IMPORTRANGE(""https://docs.google.com/spreadsheets/d/1sSbIK-vvHsSY0LghLJ9gcnW8Hec_ITI2tFmpeqI999A/edit#gid=0"",""'Game 6'!$B$2:$Q$34""),33,False),1)"),0.0)</f>
        <v>0</v>
      </c>
      <c r="R39" s="13">
        <f>TUHStand!R39</f>
        <v>310</v>
      </c>
      <c r="S39" s="13">
        <f t="shared" si="1"/>
        <v>52</v>
      </c>
      <c r="T39" s="13">
        <f t="shared" si="2"/>
        <v>3.858064516</v>
      </c>
      <c r="U39" s="13">
        <f t="shared" si="3"/>
        <v>75</v>
      </c>
    </row>
    <row r="40">
      <c r="A40" s="18" t="s">
        <v>109</v>
      </c>
      <c r="B40" s="6" t="s">
        <v>101</v>
      </c>
      <c r="C40" s="18">
        <v>4.0</v>
      </c>
      <c r="D40" s="18">
        <v>16.0</v>
      </c>
      <c r="E40" s="18">
        <v>0.0</v>
      </c>
      <c r="F40" s="18">
        <v>4.0</v>
      </c>
      <c r="G40" s="3">
        <v>12.0</v>
      </c>
      <c r="H40" s="5">
        <f>IFERROR(__xludf.DUMMYFUNCTION("HLOOKUP($A40,IMPORTRANGE(""https://docs.google.com/spreadsheets/d/16J5ie7OD1E99qGO9lMDm8w5Yls-v190B7DTolJ5TmFc/edit#gid=0"",""'Game 13'!$B$2:$Q$34""),33,False)"),4.0)</f>
        <v>4</v>
      </c>
      <c r="I40" s="3">
        <v>8.0</v>
      </c>
      <c r="J40" s="5">
        <f>IFERROR(__xludf.DUMMYFUNCTION("IFERROR(HLOOKUP($A40,IMPORTRANGE(""https://docs.google.com/spreadsheets/d/1CTYfdyRk_RFGM3I2iN9bKeD9zUPzEm1ajzml6VgwfIU/edit#gid=0"",""'Game 9'!$B$2:$Q$34""),33,False),1)"),0.0)</f>
        <v>0</v>
      </c>
      <c r="K40" s="5">
        <f>IFERROR(__xludf.DUMMYFUNCTION("IFERROR(HLOOKUP($A40,IMPORTRANGE(""https://docs.google.com/spreadsheets/d/11NFkzOdQyW-OtxSDuGslNCgNjx7HUb2FU7KnlNnPMgY/edit#gid=0"",""'Game 12'!$B$2:$Q$34""),33,False),1)"),4.0)</f>
        <v>4</v>
      </c>
      <c r="L40" s="5">
        <f>IFERROR(__xludf.DUMMYFUNCTION("IFERROR(HLOOKUP($A40,IMPORTRANGE(""https://docs.google.com/spreadsheets/d/1CLg5-jaE4ta0-u4oE1qbBplQ5Mf3Oj9ONFgL0zJ7Ol4/edit#gid=0"",""'Game 4'!$B$2:$Q$34""),33,False),1)"),4.0)</f>
        <v>4</v>
      </c>
      <c r="M40" s="5">
        <f>IFERROR(__xludf.DUMMYFUNCTION("IFERROR(HLOOKUP($A40,IMPORTRANGE(""https://docs.google.com/spreadsheets/d/1CeexgK4KxWj3k_7nql_k8-RPxXMwTJyB4Q3vAASeDlA/edit#gid=0"",""'Game 10'!$B$2:$Q$34""),33,False),1)"),4.0)</f>
        <v>4</v>
      </c>
      <c r="N40" s="5">
        <f>IFERROR(__xludf.DUMMYFUNCTION("IFERROR(HLOOKUP($A40,IMPORTRANGE(""https://docs.google.com/spreadsheets/d/1MNwUNMjcwK6bEgCXwB73jpbK5gJAXS8ZMpbEMLJEP3E/edit#gid=0"",""'Game 7'!$B$2:$Q$34""),33,False),1)"),8.0)</f>
        <v>8</v>
      </c>
      <c r="O40" s="5">
        <f>IFERROR(__xludf.DUMMYFUNCTION("IFERROR(HLOOKUP($A40,IMPORTRANGE(""https://docs.google.com/spreadsheets/d/1UrzyxmT40kDZwVrLMf1yyXfP-pyczRAw9Y8Rw-uXG3c/edit#gid=0"",""'Game 11'!$B$2:$Q$34""),33,False),1)"),0.0)</f>
        <v>0</v>
      </c>
      <c r="P40" s="5">
        <f>IFERROR(__xludf.DUMMYFUNCTION("IFERROR(HLOOKUP($A40,IMPORTRANGE(""https://docs.google.com/spreadsheets/d/1iyMhSYWifw-KGFtyeBpNxVZr4BhcV9hVZuShgJ9Ia0E/edit#gid=0"",""'Game 10'!$B$2:$Q$34""),33,False),1)"),4.0)</f>
        <v>4</v>
      </c>
      <c r="Q40" s="5">
        <f>IFERROR(__xludf.DUMMYFUNCTION("IFERROR(HLOOKUP($A40,IMPORTRANGE(""https://docs.google.com/spreadsheets/d/1sSbIK-vvHsSY0LghLJ9gcnW8Hec_ITI2tFmpeqI999A/edit#gid=0"",""'Game 6'!$B$2:$Q$34""),33,False),1)"),4.0)</f>
        <v>4</v>
      </c>
      <c r="R40" s="6">
        <f>TUHStand!R40</f>
        <v>277</v>
      </c>
      <c r="S40" s="6">
        <f t="shared" si="1"/>
        <v>76</v>
      </c>
      <c r="T40" s="6">
        <f t="shared" si="2"/>
        <v>6.310469314</v>
      </c>
      <c r="U40" s="6">
        <f t="shared" si="3"/>
        <v>49</v>
      </c>
    </row>
    <row r="41">
      <c r="A41" s="20" t="s">
        <v>111</v>
      </c>
      <c r="B41" s="20" t="s">
        <v>101</v>
      </c>
      <c r="C41" s="20">
        <v>0.0</v>
      </c>
      <c r="D41" s="20">
        <v>0.0</v>
      </c>
      <c r="E41" s="20">
        <v>0.0</v>
      </c>
      <c r="F41" s="20">
        <v>0.0</v>
      </c>
      <c r="G41" s="2">
        <v>4.0</v>
      </c>
      <c r="H41" s="12">
        <f>IFERROR(__xludf.DUMMYFUNCTION("HLOOKUP($A41,IMPORTRANGE(""https://docs.google.com/spreadsheets/d/16J5ie7OD1E99qGO9lMDm8w5Yls-v190B7DTolJ5TmFc/edit#gid=0"",""'Game 13'!$B$2:$Q$34""),33,False)"),0.0)</f>
        <v>0</v>
      </c>
      <c r="I41" s="2">
        <v>0.0</v>
      </c>
      <c r="J41" s="12">
        <f>IFERROR(__xludf.DUMMYFUNCTION("IFERROR(HLOOKUP($A41,IMPORTRANGE(""https://docs.google.com/spreadsheets/d/1CTYfdyRk_RFGM3I2iN9bKeD9zUPzEm1ajzml6VgwfIU/edit#gid=0"",""'Game 9'!$B$2:$Q$34""),33,False),1)"),0.0)</f>
        <v>0</v>
      </c>
      <c r="K41" s="12">
        <f>IFERROR(__xludf.DUMMYFUNCTION("IFERROR(HLOOKUP($A41,IMPORTRANGE(""https://docs.google.com/spreadsheets/d/11NFkzOdQyW-OtxSDuGslNCgNjx7HUb2FU7KnlNnPMgY/edit#gid=0"",""'Game 12'!$B$2:$Q$34""),33,False),1)"),0.0)</f>
        <v>0</v>
      </c>
      <c r="L41" s="12">
        <f>IFERROR(__xludf.DUMMYFUNCTION("IFERROR(HLOOKUP($A41,IMPORTRANGE(""https://docs.google.com/spreadsheets/d/1CLg5-jaE4ta0-u4oE1qbBplQ5Mf3Oj9ONFgL0zJ7Ol4/edit#gid=0"",""'Game 4'!$B$2:$Q$34""),33,False),1)"),0.0)</f>
        <v>0</v>
      </c>
      <c r="M41" s="12">
        <f>IFERROR(__xludf.DUMMYFUNCTION("IFERROR(HLOOKUP($A41,IMPORTRANGE(""https://docs.google.com/spreadsheets/d/1CeexgK4KxWj3k_7nql_k8-RPxXMwTJyB4Q3vAASeDlA/edit#gid=0"",""'Game 10'!$B$2:$Q$34""),33,False),1)"),0.0)</f>
        <v>0</v>
      </c>
      <c r="N41" s="12">
        <f>IFERROR(__xludf.DUMMYFUNCTION("IFERROR(HLOOKUP($A41,IMPORTRANGE(""https://docs.google.com/spreadsheets/d/1MNwUNMjcwK6bEgCXwB73jpbK5gJAXS8ZMpbEMLJEP3E/edit#gid=0"",""'Game 7'!$B$2:$Q$34""),33,False),1)"),0.0)</f>
        <v>0</v>
      </c>
      <c r="O41" s="12">
        <f>IFERROR(__xludf.DUMMYFUNCTION("IFERROR(HLOOKUP($A41,IMPORTRANGE(""https://docs.google.com/spreadsheets/d/1UrzyxmT40kDZwVrLMf1yyXfP-pyczRAw9Y8Rw-uXG3c/edit#gid=0"",""'Game 11'!$B$2:$Q$34""),33,False),1)"),0.0)</f>
        <v>0</v>
      </c>
      <c r="P41" s="12">
        <f>IFERROR(__xludf.DUMMYFUNCTION("IFERROR(HLOOKUP($A41,IMPORTRANGE(""https://docs.google.com/spreadsheets/d/1iyMhSYWifw-KGFtyeBpNxVZr4BhcV9hVZuShgJ9Ia0E/edit#gid=0"",""'Game 10'!$B$2:$Q$34""),33,False),1)"),4.0)</f>
        <v>4</v>
      </c>
      <c r="Q41" s="12">
        <f>IFERROR(__xludf.DUMMYFUNCTION("IFERROR(HLOOKUP($A41,IMPORTRANGE(""https://docs.google.com/spreadsheets/d/1sSbIK-vvHsSY0LghLJ9gcnW8Hec_ITI2tFmpeqI999A/edit#gid=0"",""'Game 6'!$B$2:$Q$34""),33,False),1)"),0.0)</f>
        <v>0</v>
      </c>
      <c r="R41" s="13">
        <f>TUHStand!R41</f>
        <v>229</v>
      </c>
      <c r="S41" s="13">
        <f t="shared" si="1"/>
        <v>8</v>
      </c>
      <c r="T41" s="13">
        <f t="shared" si="2"/>
        <v>0.8034934498</v>
      </c>
      <c r="U41" s="13">
        <f t="shared" si="3"/>
        <v>115</v>
      </c>
    </row>
    <row r="42">
      <c r="A42" s="18" t="s">
        <v>113</v>
      </c>
      <c r="B42" s="6" t="s">
        <v>114</v>
      </c>
      <c r="C42" s="18">
        <v>8.0</v>
      </c>
      <c r="D42" s="18">
        <v>12.0</v>
      </c>
      <c r="E42" s="18">
        <v>12.0</v>
      </c>
      <c r="F42" s="18">
        <v>4.0</v>
      </c>
      <c r="G42" s="3">
        <v>4.0</v>
      </c>
      <c r="H42" s="5">
        <f>IFERROR(__xludf.DUMMYFUNCTION("HLOOKUP($A42,IMPORTRANGE(""https://docs.google.com/spreadsheets/d/16J5ie7OD1E99qGO9lMDm8w5Yls-v190B7DTolJ5TmFc/edit#gid=0"",""'Game 1'!$B$2:$Q$34""),33,False)"),4.0)</f>
        <v>4</v>
      </c>
      <c r="I42" s="3">
        <v>12.0</v>
      </c>
      <c r="J42" s="5">
        <f>IFERROR(__xludf.DUMMYFUNCTION("IFERROR(HLOOKUP($A42,IMPORTRANGE(""https://docs.google.com/spreadsheets/d/1CTYfdyRk_RFGM3I2iN9bKeD9zUPzEm1ajzml6VgwfIU/edit#gid=0"",""'Game 1'!$B$2:$Q$34""),33,False),1)"),8.0)</f>
        <v>8</v>
      </c>
      <c r="K42" s="5">
        <f>IFERROR(__xludf.DUMMYFUNCTION("IFERROR(HLOOKUP($A42,IMPORTRANGE(""https://docs.google.com/spreadsheets/d/11NFkzOdQyW-OtxSDuGslNCgNjx7HUb2FU7KnlNnPMgY/edit#gid=0"",""'Game 1'!$B$2:$Q$34""),33,False),1)"),4.0)</f>
        <v>4</v>
      </c>
      <c r="L42" s="5">
        <f>IFERROR(__xludf.DUMMYFUNCTION("IFERROR(HLOOKUP($A42,IMPORTRANGE(""https://docs.google.com/spreadsheets/d/1CLg5-jaE4ta0-u4oE1qbBplQ5Mf3Oj9ONFgL0zJ7Ol4/edit#gid=0"",""'Game 1'!$B$2:$Q$34""),33,False),1)"),4.0)</f>
        <v>4</v>
      </c>
      <c r="M42" s="5">
        <f>IFERROR(__xludf.DUMMYFUNCTION("IFERROR(HLOOKUP($A42,IMPORTRANGE(""https://docs.google.com/spreadsheets/d/1CeexgK4KxWj3k_7nql_k8-RPxXMwTJyB4Q3vAASeDlA/edit#gid=0"",""'Game 1'!$B$2:$Q$34""),33,False),1)"),4.0)</f>
        <v>4</v>
      </c>
      <c r="N42" s="5">
        <f>IFERROR(__xludf.DUMMYFUNCTION("IFERROR(HLOOKUP($A42,IMPORTRANGE(""https://docs.google.com/spreadsheets/d/1MNwUNMjcwK6bEgCXwB73jpbK5gJAXS8ZMpbEMLJEP3E/edit#gid=0"",""'Game 1'!$B$2:$Q$34""),33,False),1)"),8.0)</f>
        <v>8</v>
      </c>
      <c r="O42" s="5">
        <f>IFERROR(__xludf.DUMMYFUNCTION("IFERROR(HLOOKUP($A42,IMPORTRANGE(""https://docs.google.com/spreadsheets/d/1UrzyxmT40kDZwVrLMf1yyXfP-pyczRAw9Y8Rw-uXG3c/edit#gid=0"",""'Game 1'!$B$2:$Q$34""),33,False),1)"),8.0)</f>
        <v>8</v>
      </c>
      <c r="P42" s="5">
        <f>IFERROR(__xludf.DUMMYFUNCTION("IFERROR(HLOOKUP($A42,IMPORTRANGE(""https://docs.google.com/spreadsheets/d/1iyMhSYWifw-KGFtyeBpNxVZr4BhcV9hVZuShgJ9Ia0E/edit#gid=0"",""'Game 1'!$B$2:$Q$34""),33,False),1)"),12.0)</f>
        <v>12</v>
      </c>
      <c r="Q42" s="5">
        <f>IFERROR(__xludf.DUMMYFUNCTION("IFERROR(HLOOKUP($A42,IMPORTRANGE(""https://docs.google.com/spreadsheets/d/1sSbIK-vvHsSY0LghLJ9gcnW8Hec_ITI2tFmpeqI999A/edit#gid=0"",""'Game 1'!$B$2:$Q$34""),33,False),1)"),0.0)</f>
        <v>0</v>
      </c>
      <c r="R42" s="6">
        <f>TUHStand!R42</f>
        <v>334</v>
      </c>
      <c r="S42" s="6">
        <f t="shared" si="1"/>
        <v>104</v>
      </c>
      <c r="T42" s="6">
        <f t="shared" si="2"/>
        <v>7.161676647</v>
      </c>
      <c r="U42" s="6">
        <f t="shared" si="3"/>
        <v>43</v>
      </c>
    </row>
    <row r="43">
      <c r="A43" s="20" t="s">
        <v>116</v>
      </c>
      <c r="B43" s="13" t="s">
        <v>114</v>
      </c>
      <c r="C43" s="20">
        <v>0.0</v>
      </c>
      <c r="D43" s="20">
        <v>4.0</v>
      </c>
      <c r="E43" s="20">
        <v>0.0</v>
      </c>
      <c r="F43" s="20">
        <v>0.0</v>
      </c>
      <c r="G43" s="2">
        <v>8.0</v>
      </c>
      <c r="H43" s="12">
        <f>IFERROR(__xludf.DUMMYFUNCTION("HLOOKUP($A43,IMPORTRANGE(""https://docs.google.com/spreadsheets/d/16J5ie7OD1E99qGO9lMDm8w5Yls-v190B7DTolJ5TmFc/edit#gid=0"",""'Game 1'!$B$2:$Q$34""),33,False)"),0.0)</f>
        <v>0</v>
      </c>
      <c r="I43" s="2">
        <v>0.0</v>
      </c>
      <c r="J43" s="12">
        <f>IFERROR(__xludf.DUMMYFUNCTION("IFERROR(HLOOKUP($A43,IMPORTRANGE(""https://docs.google.com/spreadsheets/d/1CTYfdyRk_RFGM3I2iN9bKeD9zUPzEm1ajzml6VgwfIU/edit#gid=0"",""'Game 1'!$B$2:$Q$34""),33,False),1)"),0.0)</f>
        <v>0</v>
      </c>
      <c r="K43" s="12">
        <f>IFERROR(__xludf.DUMMYFUNCTION("IFERROR(HLOOKUP($A43,IMPORTRANGE(""https://docs.google.com/spreadsheets/d/11NFkzOdQyW-OtxSDuGslNCgNjx7HUb2FU7KnlNnPMgY/edit#gid=0"",""'Game 1'!$B$2:$Q$34""),33,False),1)"),8.0)</f>
        <v>8</v>
      </c>
      <c r="L43" s="12">
        <f>IFERROR(__xludf.DUMMYFUNCTION("IFERROR(HLOOKUP($A43,IMPORTRANGE(""https://docs.google.com/spreadsheets/d/1CLg5-jaE4ta0-u4oE1qbBplQ5Mf3Oj9ONFgL0zJ7Ol4/edit#gid=0"",""'Game 1'!$B$2:$Q$34""),33,False),1)"),4.0)</f>
        <v>4</v>
      </c>
      <c r="M43" s="12">
        <f>IFERROR(__xludf.DUMMYFUNCTION("IFERROR(HLOOKUP($A43,IMPORTRANGE(""https://docs.google.com/spreadsheets/d/1CeexgK4KxWj3k_7nql_k8-RPxXMwTJyB4Q3vAASeDlA/edit#gid=0"",""'Game 1'!$B$2:$Q$34""),33,False),1)"),4.0)</f>
        <v>4</v>
      </c>
      <c r="N43" s="12">
        <f>IFERROR(__xludf.DUMMYFUNCTION("IFERROR(HLOOKUP($A43,IMPORTRANGE(""https://docs.google.com/spreadsheets/d/1MNwUNMjcwK6bEgCXwB73jpbK5gJAXS8ZMpbEMLJEP3E/edit#gid=0"",""'Game 1'!$B$2:$Q$34""),33,False),1)"),0.0)</f>
        <v>0</v>
      </c>
      <c r="O43" s="12">
        <f>IFERROR(__xludf.DUMMYFUNCTION("IFERROR(HLOOKUP($A43,IMPORTRANGE(""https://docs.google.com/spreadsheets/d/1UrzyxmT40kDZwVrLMf1yyXfP-pyczRAw9Y8Rw-uXG3c/edit#gid=0"",""'Game 1'!$B$2:$Q$34""),33,False),1)"),0.0)</f>
        <v>0</v>
      </c>
      <c r="P43" s="12">
        <f>IFERROR(__xludf.DUMMYFUNCTION("IFERROR(HLOOKUP($A43,IMPORTRANGE(""https://docs.google.com/spreadsheets/d/1iyMhSYWifw-KGFtyeBpNxVZr4BhcV9hVZuShgJ9Ia0E/edit#gid=0"",""'Game 1'!$B$2:$Q$34""),33,False),1)"),0.0)</f>
        <v>0</v>
      </c>
      <c r="Q43" s="12">
        <f>IFERROR(__xludf.DUMMYFUNCTION("IFERROR(HLOOKUP($A43,IMPORTRANGE(""https://docs.google.com/spreadsheets/d/1sSbIK-vvHsSY0LghLJ9gcnW8Hec_ITI2tFmpeqI999A/edit#gid=0"",""'Game 1'!$B$2:$Q$34""),33,False),1)"),4.0)</f>
        <v>4</v>
      </c>
      <c r="R43" s="13">
        <f>TUHStand!R43</f>
        <v>299</v>
      </c>
      <c r="S43" s="13">
        <f t="shared" si="1"/>
        <v>32</v>
      </c>
      <c r="T43" s="13">
        <f t="shared" si="2"/>
        <v>2.461538462</v>
      </c>
      <c r="U43" s="13">
        <f t="shared" si="3"/>
        <v>89</v>
      </c>
    </row>
    <row r="44">
      <c r="A44" s="3" t="s">
        <v>118</v>
      </c>
      <c r="B44" s="6" t="s">
        <v>114</v>
      </c>
      <c r="C44" s="18">
        <v>12.0</v>
      </c>
      <c r="D44" s="18">
        <v>24.0</v>
      </c>
      <c r="E44" s="18">
        <v>16.0</v>
      </c>
      <c r="F44" s="18">
        <v>12.0</v>
      </c>
      <c r="G44" s="3">
        <v>0.0</v>
      </c>
      <c r="H44" s="5">
        <f>IFERROR(__xludf.DUMMYFUNCTION("HLOOKUP($A44,IMPORTRANGE(""https://docs.google.com/spreadsheets/d/16J5ie7OD1E99qGO9lMDm8w5Yls-v190B7DTolJ5TmFc/edit#gid=0"",""'Game 1'!$B$2:$Q$34""),33,False)"),0.0)</f>
        <v>0</v>
      </c>
      <c r="I44" s="3">
        <v>0.0</v>
      </c>
      <c r="J44" s="5">
        <f>IFERROR(__xludf.DUMMYFUNCTION("IFERROR(HLOOKUP($A44,IMPORTRANGE(""https://docs.google.com/spreadsheets/d/1CTYfdyRk_RFGM3I2iN9bKeD9zUPzEm1ajzml6VgwfIU/edit#gid=0"",""'Game 1'!$B$2:$Q$34""),33,False),1)"),8.0)</f>
        <v>8</v>
      </c>
      <c r="K44" s="5">
        <f>IFERROR(__xludf.DUMMYFUNCTION("IFERROR(HLOOKUP($A44,IMPORTRANGE(""https://docs.google.com/spreadsheets/d/11NFkzOdQyW-OtxSDuGslNCgNjx7HUb2FU7KnlNnPMgY/edit#gid=0"",""'Game 1'!$B$2:$Q$34""),33,False),1)"),0.0)</f>
        <v>0</v>
      </c>
      <c r="L44" s="5">
        <f>IFERROR(__xludf.DUMMYFUNCTION("IFERROR(HLOOKUP($A44,IMPORTRANGE(""https://docs.google.com/spreadsheets/d/1CLg5-jaE4ta0-u4oE1qbBplQ5Mf3Oj9ONFgL0zJ7Ol4/edit#gid=0"",""'Game 1'!$B$2:$Q$34""),33,False),1)"),0.0)</f>
        <v>0</v>
      </c>
      <c r="M44" s="5">
        <f>IFERROR(__xludf.DUMMYFUNCTION("IFERROR(HLOOKUP($A44,IMPORTRANGE(""https://docs.google.com/spreadsheets/d/1CeexgK4KxWj3k_7nql_k8-RPxXMwTJyB4Q3vAASeDlA/edit#gid=0"",""'Game 1'!$B$2:$Q$34""),33,False),1)"),12.0)</f>
        <v>12</v>
      </c>
      <c r="N44" s="5">
        <f>IFERROR(__xludf.DUMMYFUNCTION("IFERROR(HLOOKUP($A44,IMPORTRANGE(""https://docs.google.com/spreadsheets/d/1MNwUNMjcwK6bEgCXwB73jpbK5gJAXS8ZMpbEMLJEP3E/edit#gid=0"",""'Game 1'!$B$2:$Q$34""),33,False),1)"),4.0)</f>
        <v>4</v>
      </c>
      <c r="O44" s="5">
        <f>IFERROR(__xludf.DUMMYFUNCTION("IFERROR(HLOOKUP($A44,IMPORTRANGE(""https://docs.google.com/spreadsheets/d/1UrzyxmT40kDZwVrLMf1yyXfP-pyczRAw9Y8Rw-uXG3c/edit#gid=0"",""'Game 1'!$B$2:$Q$34""),33,False),1)"),16.0)</f>
        <v>16</v>
      </c>
      <c r="P44" s="5">
        <f>IFERROR(__xludf.DUMMYFUNCTION("IFERROR(HLOOKUP($A44,IMPORTRANGE(""https://docs.google.com/spreadsheets/d/1iyMhSYWifw-KGFtyeBpNxVZr4BhcV9hVZuShgJ9Ia0E/edit#gid=0"",""'Game 1'!$B$2:$Q$34""),33,False),1)"),16.0)</f>
        <v>16</v>
      </c>
      <c r="Q44" s="5">
        <f>IFERROR(__xludf.DUMMYFUNCTION("IFERROR(HLOOKUP($A44,IMPORTRANGE(""https://docs.google.com/spreadsheets/d/1sSbIK-vvHsSY0LghLJ9gcnW8Hec_ITI2tFmpeqI999A/edit#gid=0"",""'Game 1'!$B$2:$Q$34""),33,False),1)"),4.0)</f>
        <v>4</v>
      </c>
      <c r="R44" s="6">
        <f>TUHStand!R44</f>
        <v>206</v>
      </c>
      <c r="S44" s="6">
        <f t="shared" si="1"/>
        <v>124</v>
      </c>
      <c r="T44" s="6">
        <f t="shared" si="2"/>
        <v>13.84466019</v>
      </c>
      <c r="U44" s="6">
        <f t="shared" si="3"/>
        <v>14</v>
      </c>
    </row>
    <row r="45">
      <c r="A45" s="20" t="s">
        <v>121</v>
      </c>
      <c r="B45" s="13" t="s">
        <v>114</v>
      </c>
      <c r="C45" s="20">
        <v>4.0</v>
      </c>
      <c r="D45" s="20">
        <v>8.0</v>
      </c>
      <c r="E45" s="20">
        <v>0.0</v>
      </c>
      <c r="F45" s="20">
        <v>0.0</v>
      </c>
      <c r="G45" s="2">
        <v>16.0</v>
      </c>
      <c r="H45" s="12">
        <f>IFERROR(__xludf.DUMMYFUNCTION("HLOOKUP($A45,IMPORTRANGE(""https://docs.google.com/spreadsheets/d/16J5ie7OD1E99qGO9lMDm8w5Yls-v190B7DTolJ5TmFc/edit#gid=0"",""'Game 1'!$B$2:$Q$34""),33,False)"),0.0)</f>
        <v>0</v>
      </c>
      <c r="I45" s="2">
        <v>-4.0</v>
      </c>
      <c r="J45" s="12">
        <f>IFERROR(__xludf.DUMMYFUNCTION("IFERROR(HLOOKUP($A45,IMPORTRANGE(""https://docs.google.com/spreadsheets/d/1CTYfdyRk_RFGM3I2iN9bKeD9zUPzEm1ajzml6VgwfIU/edit#gid=0"",""'Game 1'!$B$2:$Q$34""),33,False),1)"),4.0)</f>
        <v>4</v>
      </c>
      <c r="K45" s="12">
        <f>IFERROR(__xludf.DUMMYFUNCTION("IFERROR(HLOOKUP($A45,IMPORTRANGE(""https://docs.google.com/spreadsheets/d/11NFkzOdQyW-OtxSDuGslNCgNjx7HUb2FU7KnlNnPMgY/edit#gid=0"",""'Game 1'!$B$2:$Q$34""),33,False),1)"),8.0)</f>
        <v>8</v>
      </c>
      <c r="L45" s="12">
        <f>IFERROR(__xludf.DUMMYFUNCTION("IFERROR(HLOOKUP($A45,IMPORTRANGE(""https://docs.google.com/spreadsheets/d/1CLg5-jaE4ta0-u4oE1qbBplQ5Mf3Oj9ONFgL0zJ7Ol4/edit#gid=0"",""'Game 1'!$B$2:$Q$34""),33,False),1)"),0.0)</f>
        <v>0</v>
      </c>
      <c r="M45" s="12">
        <f>IFERROR(__xludf.DUMMYFUNCTION("IFERROR(HLOOKUP($A45,IMPORTRANGE(""https://docs.google.com/spreadsheets/d/1CeexgK4KxWj3k_7nql_k8-RPxXMwTJyB4Q3vAASeDlA/edit#gid=0"",""'Game 1'!$B$2:$Q$34""),33,False),1)"),4.0)</f>
        <v>4</v>
      </c>
      <c r="N45" s="12">
        <f>IFERROR(__xludf.DUMMYFUNCTION("IFERROR(HLOOKUP($A45,IMPORTRANGE(""https://docs.google.com/spreadsheets/d/1MNwUNMjcwK6bEgCXwB73jpbK5gJAXS8ZMpbEMLJEP3E/edit#gid=0"",""'Game 1'!$B$2:$Q$34""),33,False),1)"),4.0)</f>
        <v>4</v>
      </c>
      <c r="O45" s="12">
        <f>IFERROR(__xludf.DUMMYFUNCTION("IFERROR(HLOOKUP($A45,IMPORTRANGE(""https://docs.google.com/spreadsheets/d/1UrzyxmT40kDZwVrLMf1yyXfP-pyczRAw9Y8Rw-uXG3c/edit#gid=0"",""'Game 1'!$B$2:$Q$34""),33,False),1)"),8.0)</f>
        <v>8</v>
      </c>
      <c r="P45" s="12">
        <f>IFERROR(__xludf.DUMMYFUNCTION("IFERROR(HLOOKUP($A45,IMPORTRANGE(""https://docs.google.com/spreadsheets/d/1iyMhSYWifw-KGFtyeBpNxVZr4BhcV9hVZuShgJ9Ia0E/edit#gid=0"",""'Game 1'!$B$2:$Q$34""),33,False),1)"),12.0)</f>
        <v>12</v>
      </c>
      <c r="Q45" s="12">
        <f>IFERROR(__xludf.DUMMYFUNCTION("IFERROR(HLOOKUP($A45,IMPORTRANGE(""https://docs.google.com/spreadsheets/d/1sSbIK-vvHsSY0LghLJ9gcnW8Hec_ITI2tFmpeqI999A/edit#gid=0"",""'Game 1'!$B$2:$Q$34""),33,False),1)"),8.0)</f>
        <v>8</v>
      </c>
      <c r="R45" s="13">
        <f>TUHStand!R45</f>
        <v>311</v>
      </c>
      <c r="S45" s="13">
        <f t="shared" si="1"/>
        <v>72</v>
      </c>
      <c r="T45" s="13">
        <f t="shared" si="2"/>
        <v>5.324758842</v>
      </c>
      <c r="U45" s="13">
        <f t="shared" si="3"/>
        <v>60</v>
      </c>
    </row>
    <row r="46">
      <c r="A46" s="3" t="s">
        <v>123</v>
      </c>
      <c r="B46" s="18" t="s">
        <v>114</v>
      </c>
      <c r="C46" s="18">
        <v>0.0</v>
      </c>
      <c r="D46" s="18">
        <v>0.0</v>
      </c>
      <c r="E46" s="18">
        <v>0.0</v>
      </c>
      <c r="F46" s="18">
        <v>0.0</v>
      </c>
      <c r="G46" s="3">
        <v>16.0</v>
      </c>
      <c r="H46" s="5">
        <f>IFERROR(__xludf.DUMMYFUNCTION("HLOOKUP($A46,IMPORTRANGE(""https://docs.google.com/spreadsheets/d/16J5ie7OD1E99qGO9lMDm8w5Yls-v190B7DTolJ5TmFc/edit#gid=0"",""'Game 1'!$B$2:$Q$34""),33,False)"),8.0)</f>
        <v>8</v>
      </c>
      <c r="I46" s="3">
        <v>0.0</v>
      </c>
      <c r="J46" s="5">
        <f>IFERROR(__xludf.DUMMYFUNCTION("IFERROR(HLOOKUP($A46,IMPORTRANGE(""https://docs.google.com/spreadsheets/d/1CTYfdyRk_RFGM3I2iN9bKeD9zUPzEm1ajzml6VgwfIU/edit#gid=0"",""'Game 1'!$B$2:$Q$34""),33,False),1)"),0.0)</f>
        <v>0</v>
      </c>
      <c r="K46" s="5">
        <f>IFERROR(__xludf.DUMMYFUNCTION("IFERROR(HLOOKUP($A46,IMPORTRANGE(""https://docs.google.com/spreadsheets/d/11NFkzOdQyW-OtxSDuGslNCgNjx7HUb2FU7KnlNnPMgY/edit#gid=0"",""'Game 1'!$B$2:$Q$34""),33,False),1)"),0.0)</f>
        <v>0</v>
      </c>
      <c r="L46" s="5">
        <f>IFERROR(__xludf.DUMMYFUNCTION("IFERROR(HLOOKUP($A46,IMPORTRANGE(""https://docs.google.com/spreadsheets/d/1CLg5-jaE4ta0-u4oE1qbBplQ5Mf3Oj9ONFgL0zJ7Ol4/edit#gid=0"",""'Game 1'!$B$2:$Q$34""),33,False),1)"),8.0)</f>
        <v>8</v>
      </c>
      <c r="M46" s="5">
        <f>IFERROR(__xludf.DUMMYFUNCTION("IFERROR(HLOOKUP($A46,IMPORTRANGE(""https://docs.google.com/spreadsheets/d/1CeexgK4KxWj3k_7nql_k8-RPxXMwTJyB4Q3vAASeDlA/edit#gid=0"",""'Game 1'!$B$2:$Q$34""),33,False),1)"),0.0)</f>
        <v>0</v>
      </c>
      <c r="N46" s="5">
        <f>IFERROR(__xludf.DUMMYFUNCTION("IFERROR(HLOOKUP($A46,IMPORTRANGE(""https://docs.google.com/spreadsheets/d/1MNwUNMjcwK6bEgCXwB73jpbK5gJAXS8ZMpbEMLJEP3E/edit#gid=0"",""'Game 1'!$B$2:$Q$34""),33,False),1)"),0.0)</f>
        <v>0</v>
      </c>
      <c r="O46" s="5">
        <f>IFERROR(__xludf.DUMMYFUNCTION("IFERROR(HLOOKUP($A46,IMPORTRANGE(""https://docs.google.com/spreadsheets/d/1UrzyxmT40kDZwVrLMf1yyXfP-pyczRAw9Y8Rw-uXG3c/edit#gid=0"",""'Game 1'!$B$2:$Q$34""),33,False),1)"),0.0)</f>
        <v>0</v>
      </c>
      <c r="P46" s="5">
        <f>IFERROR(__xludf.DUMMYFUNCTION("IFERROR(HLOOKUP($A46,IMPORTRANGE(""https://docs.google.com/spreadsheets/d/1iyMhSYWifw-KGFtyeBpNxVZr4BhcV9hVZuShgJ9Ia0E/edit#gid=0"",""'Game 1'!$B$2:$Q$34""),33,False),1)"),0.0)</f>
        <v>0</v>
      </c>
      <c r="Q46" s="5">
        <f>IFERROR(__xludf.DUMMYFUNCTION("IFERROR(HLOOKUP($A46,IMPORTRANGE(""https://docs.google.com/spreadsheets/d/1sSbIK-vvHsSY0LghLJ9gcnW8Hec_ITI2tFmpeqI999A/edit#gid=0"",""'Game 1'!$B$2:$Q$34""),33,False),1)"),4.0)</f>
        <v>4</v>
      </c>
      <c r="R46" s="6">
        <f>TUHStand!R46</f>
        <v>230</v>
      </c>
      <c r="S46" s="6">
        <f t="shared" si="1"/>
        <v>36</v>
      </c>
      <c r="T46" s="6">
        <f t="shared" si="2"/>
        <v>3.6</v>
      </c>
      <c r="U46" s="6">
        <f t="shared" si="3"/>
        <v>77</v>
      </c>
    </row>
    <row r="47">
      <c r="A47" s="20" t="s">
        <v>124</v>
      </c>
      <c r="B47" s="13" t="s">
        <v>125</v>
      </c>
      <c r="C47" s="20">
        <v>4.0</v>
      </c>
      <c r="D47" s="20">
        <v>-8.0</v>
      </c>
      <c r="E47" s="20">
        <v>4.0</v>
      </c>
      <c r="F47" s="20">
        <v>0.0</v>
      </c>
      <c r="G47" s="2">
        <v>28.0</v>
      </c>
      <c r="H47" s="12">
        <f>IFERROR(__xludf.DUMMYFUNCTION("HLOOKUP($A47,IMPORTRANGE(""https://docs.google.com/spreadsheets/d/16J5ie7OD1E99qGO9lMDm8w5Yls-v190B7DTolJ5TmFc/edit#gid=0"",""'Game 6'!$B$2:$Q$34""),33,False)"),8.0)</f>
        <v>8</v>
      </c>
      <c r="I47" s="2">
        <v>12.0</v>
      </c>
      <c r="J47" s="12">
        <f>IFERROR(__xludf.DUMMYFUNCTION("IFERROR(HLOOKUP($A47,IMPORTRANGE(""https://docs.google.com/spreadsheets/d/1CTYfdyRk_RFGM3I2iN9bKeD9zUPzEm1ajzml6VgwfIU/edit#gid=0"",""'Game 4'!$B$2:$Q$34""),33,False),1)"),16.0)</f>
        <v>16</v>
      </c>
      <c r="K47" s="12">
        <f>IFERROR(__xludf.DUMMYFUNCTION("IFERROR(HLOOKUP($A47,IMPORTRANGE(""https://docs.google.com/spreadsheets/d/11NFkzOdQyW-OtxSDuGslNCgNjx7HUb2FU7KnlNnPMgY/edit#gid=0"",""'Game 7'!$B$2:$Q$34""),33,False),1)"),12.0)</f>
        <v>12</v>
      </c>
      <c r="L47" s="12">
        <f>IFERROR(__xludf.DUMMYFUNCTION("IFERROR(HLOOKUP($A47,IMPORTRANGE(""https://docs.google.com/spreadsheets/d/1CLg5-jaE4ta0-u4oE1qbBplQ5Mf3Oj9ONFgL0zJ7Ol4/edit#gid=0"",""'Game 5'!$B$2:$Q$34""),33,False),1)"),4.0)</f>
        <v>4</v>
      </c>
      <c r="M47" s="12">
        <f>IFERROR(__xludf.DUMMYFUNCTION("IFERROR(HLOOKUP($A47,IMPORTRANGE(""https://docs.google.com/spreadsheets/d/1CeexgK4KxWj3k_7nql_k8-RPxXMwTJyB4Q3vAASeDlA/edit#gid=0"",""'Game 13'!$B$2:$Q$34""),33,False),1)"),12.0)</f>
        <v>12</v>
      </c>
      <c r="N47" s="12">
        <f>IFERROR(__xludf.DUMMYFUNCTION("IFERROR(HLOOKUP($A47,IMPORTRANGE(""https://docs.google.com/spreadsheets/d/1MNwUNMjcwK6bEgCXwB73jpbK5gJAXS8ZMpbEMLJEP3E/edit#gid=0"",""'Game 12'!$B$2:$Q$34""),33,False),1)"),12.0)</f>
        <v>12</v>
      </c>
      <c r="O47" s="12">
        <f>IFERROR(__xludf.DUMMYFUNCTION("IFERROR(HLOOKUP($A47,IMPORTRANGE(""https://docs.google.com/spreadsheets/d/1UrzyxmT40kDZwVrLMf1yyXfP-pyczRAw9Y8Rw-uXG3c/edit#gid=0"",""'Game 1'!$B$2:$Q$34""),33,False),1)"),4.0)</f>
        <v>4</v>
      </c>
      <c r="P47" s="12">
        <f>IFERROR(__xludf.DUMMYFUNCTION("IFERROR(HLOOKUP($A47,IMPORTRANGE(""https://docs.google.com/spreadsheets/d/1iyMhSYWifw-KGFtyeBpNxVZr4BhcV9hVZuShgJ9Ia0E/edit#gid=0"",""'Game 2'!$B$2:$Q$34""),33,False),1)"),0.0)</f>
        <v>0</v>
      </c>
      <c r="Q47" s="12">
        <f>IFERROR(__xludf.DUMMYFUNCTION("IFERROR(HLOOKUP($A47,IMPORTRANGE(""https://docs.google.com/spreadsheets/d/1sSbIK-vvHsSY0LghLJ9gcnW8Hec_ITI2tFmpeqI999A/edit#gid=0"",""'Game 12'!$B$2:$Q$34""),33,False),1)"),4.0)</f>
        <v>4</v>
      </c>
      <c r="R47" s="13">
        <f>TUHStand!R47</f>
        <v>345</v>
      </c>
      <c r="S47" s="13">
        <f t="shared" si="1"/>
        <v>112</v>
      </c>
      <c r="T47" s="13">
        <f t="shared" si="2"/>
        <v>7.466666667</v>
      </c>
      <c r="U47" s="13">
        <f t="shared" si="3"/>
        <v>40</v>
      </c>
    </row>
    <row r="48">
      <c r="A48" s="3" t="s">
        <v>127</v>
      </c>
      <c r="B48" s="3" t="s">
        <v>125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27">
        <v>0.0</v>
      </c>
      <c r="I48" s="3">
        <v>0.0</v>
      </c>
      <c r="J48" s="27">
        <v>0.0</v>
      </c>
      <c r="K48" s="27">
        <v>0.0</v>
      </c>
      <c r="L48" s="27">
        <v>0.0</v>
      </c>
      <c r="M48" s="27">
        <v>0.0</v>
      </c>
      <c r="N48" s="27">
        <v>0.0</v>
      </c>
      <c r="O48" s="27">
        <v>0.0</v>
      </c>
      <c r="P48" s="27">
        <v>0.0</v>
      </c>
      <c r="Q48" s="27">
        <v>0.0</v>
      </c>
      <c r="R48" s="3">
        <v>11.0</v>
      </c>
      <c r="S48" s="3">
        <v>0.0</v>
      </c>
      <c r="T48" s="3">
        <v>0.0</v>
      </c>
      <c r="U48" s="6">
        <f t="shared" si="3"/>
        <v>127</v>
      </c>
    </row>
    <row r="49">
      <c r="A49" s="2" t="s">
        <v>129</v>
      </c>
      <c r="B49" s="13" t="s">
        <v>125</v>
      </c>
      <c r="C49" s="20">
        <v>0.0</v>
      </c>
      <c r="D49" s="20">
        <v>0.0</v>
      </c>
      <c r="E49" s="20">
        <v>4.0</v>
      </c>
      <c r="F49" s="20">
        <v>8.0</v>
      </c>
      <c r="G49" s="2">
        <v>12.0</v>
      </c>
      <c r="H49" s="12">
        <f>IFERROR(__xludf.DUMMYFUNCTION("HLOOKUP($A49,IMPORTRANGE(""https://docs.google.com/spreadsheets/d/16J5ie7OD1E99qGO9lMDm8w5Yls-v190B7DTolJ5TmFc/edit#gid=0"",""'Game 6'!$B$2:$Q$34""),33,False)"),0.0)</f>
        <v>0</v>
      </c>
      <c r="I49" s="2">
        <v>0.0</v>
      </c>
      <c r="J49" s="12">
        <f>IFERROR(__xludf.DUMMYFUNCTION("IFERROR(HLOOKUP($A49,IMPORTRANGE(""https://docs.google.com/spreadsheets/d/1CTYfdyRk_RFGM3I2iN9bKeD9zUPzEm1ajzml6VgwfIU/edit#gid=0"",""'Game 4'!$B$2:$Q$34""),33,False),1)"),0.0)</f>
        <v>0</v>
      </c>
      <c r="K49" s="12">
        <f>IFERROR(__xludf.DUMMYFUNCTION("IFERROR(HLOOKUP($A49,IMPORTRANGE(""https://docs.google.com/spreadsheets/d/11NFkzOdQyW-OtxSDuGslNCgNjx7HUb2FU7KnlNnPMgY/edit#gid=0"",""'Game 7'!$B$2:$Q$34""),33,False),1)"),0.0)</f>
        <v>0</v>
      </c>
      <c r="L49" s="12">
        <f>IFERROR(__xludf.DUMMYFUNCTION("IFERROR(HLOOKUP($A49,IMPORTRANGE(""https://docs.google.com/spreadsheets/d/1CLg5-jaE4ta0-u4oE1qbBplQ5Mf3Oj9ONFgL0zJ7Ol4/edit#gid=0"",""'Game 5'!$B$2:$Q$34""),33,False),1)"),0.0)</f>
        <v>0</v>
      </c>
      <c r="M49" s="12">
        <f>IFERROR(__xludf.DUMMYFUNCTION("IFERROR(HLOOKUP($A49,IMPORTRANGE(""https://docs.google.com/spreadsheets/d/1CeexgK4KxWj3k_7nql_k8-RPxXMwTJyB4Q3vAASeDlA/edit#gid=0"",""'Game 13'!$B$2:$Q$34""),33,False),1)"),0.0)</f>
        <v>0</v>
      </c>
      <c r="N49" s="12">
        <f>IFERROR(__xludf.DUMMYFUNCTION("IFERROR(HLOOKUP($A49,IMPORTRANGE(""https://docs.google.com/spreadsheets/d/1MNwUNMjcwK6bEgCXwB73jpbK5gJAXS8ZMpbEMLJEP3E/edit#gid=0"",""'Game 12'!$B$2:$Q$34""),33,False),1)"),4.0)</f>
        <v>4</v>
      </c>
      <c r="O49" s="12">
        <f>IFERROR(__xludf.DUMMYFUNCTION("IFERROR(HLOOKUP($A49,IMPORTRANGE(""https://docs.google.com/spreadsheets/d/1UrzyxmT40kDZwVrLMf1yyXfP-pyczRAw9Y8Rw-uXG3c/edit#gid=0"",""'Game 1'!$B$2:$Q$34""),33,False),1)"),0.0)</f>
        <v>0</v>
      </c>
      <c r="P49" s="12">
        <f>IFERROR(__xludf.DUMMYFUNCTION("IFERROR(HLOOKUP($A49,IMPORTRANGE(""https://docs.google.com/spreadsheets/d/1iyMhSYWifw-KGFtyeBpNxVZr4BhcV9hVZuShgJ9Ia0E/edit#gid=0"",""'Game 2'!$B$2:$Q$34""),33,False),1)"),0.0)</f>
        <v>0</v>
      </c>
      <c r="Q49" s="12">
        <f>IFERROR(__xludf.DUMMYFUNCTION("IFERROR(HLOOKUP($A49,IMPORTRANGE(""https://docs.google.com/spreadsheets/d/1sSbIK-vvHsSY0LghLJ9gcnW8Hec_ITI2tFmpeqI999A/edit#gid=0"",""'Game 12'!$B$2:$Q$34""),33,False),1)"),4.0)</f>
        <v>4</v>
      </c>
      <c r="R49" s="13">
        <f>TUHStand!R49</f>
        <v>310</v>
      </c>
      <c r="S49" s="13">
        <f t="shared" ref="S49:S146" si="4">SUM(C49:Q49)</f>
        <v>32</v>
      </c>
      <c r="T49" s="13">
        <f t="shared" ref="T49:T146" si="5">IFERROR(23*S49/R49,-100)</f>
        <v>2.374193548</v>
      </c>
      <c r="U49" s="13">
        <f t="shared" si="3"/>
        <v>90</v>
      </c>
    </row>
    <row r="50">
      <c r="A50" s="18" t="s">
        <v>132</v>
      </c>
      <c r="B50" s="6" t="s">
        <v>125</v>
      </c>
      <c r="C50" s="18">
        <v>16.0</v>
      </c>
      <c r="D50" s="18">
        <v>0.0</v>
      </c>
      <c r="E50" s="18">
        <v>16.0</v>
      </c>
      <c r="F50" s="18">
        <v>8.0</v>
      </c>
      <c r="G50" s="3">
        <v>0.0</v>
      </c>
      <c r="H50" s="5">
        <f>IFERROR(__xludf.DUMMYFUNCTION("HLOOKUP($A50,IMPORTRANGE(""https://docs.google.com/spreadsheets/d/16J5ie7OD1E99qGO9lMDm8w5Yls-v190B7DTolJ5TmFc/edit#gid=0"",""'Game 6'!$B$2:$Q$34""),33,False)"),16.0)</f>
        <v>16</v>
      </c>
      <c r="I50" s="3">
        <v>8.0</v>
      </c>
      <c r="J50" s="5">
        <f>IFERROR(__xludf.DUMMYFUNCTION("IFERROR(HLOOKUP($A50,IMPORTRANGE(""https://docs.google.com/spreadsheets/d/1CTYfdyRk_RFGM3I2iN9bKeD9zUPzEm1ajzml6VgwfIU/edit#gid=0"",""'Game 4'!$B$2:$Q$34""),33,False),1)"),24.0)</f>
        <v>24</v>
      </c>
      <c r="K50" s="5">
        <f>IFERROR(__xludf.DUMMYFUNCTION("IFERROR(HLOOKUP($A50,IMPORTRANGE(""https://docs.google.com/spreadsheets/d/11NFkzOdQyW-OtxSDuGslNCgNjx7HUb2FU7KnlNnPMgY/edit#gid=0"",""'Game 7'!$B$2:$Q$34""),33,False),1)"),16.0)</f>
        <v>16</v>
      </c>
      <c r="L50" s="5">
        <f>IFERROR(__xludf.DUMMYFUNCTION("IFERROR(HLOOKUP($A50,IMPORTRANGE(""https://docs.google.com/spreadsheets/d/1CLg5-jaE4ta0-u4oE1qbBplQ5Mf3Oj9ONFgL0zJ7Ol4/edit#gid=0"",""'Game 5'!$B$2:$Q$34""),33,False),1)"),12.0)</f>
        <v>12</v>
      </c>
      <c r="M50" s="5">
        <f>IFERROR(__xludf.DUMMYFUNCTION("IFERROR(HLOOKUP($A50,IMPORTRANGE(""https://docs.google.com/spreadsheets/d/1CeexgK4KxWj3k_7nql_k8-RPxXMwTJyB4Q3vAASeDlA/edit#gid=0"",""'Game 13'!$B$2:$Q$34""),33,False),1)"),12.0)</f>
        <v>12</v>
      </c>
      <c r="N50" s="5">
        <f>IFERROR(__xludf.DUMMYFUNCTION("IFERROR(HLOOKUP($A50,IMPORTRANGE(""https://docs.google.com/spreadsheets/d/1MNwUNMjcwK6bEgCXwB73jpbK5gJAXS8ZMpbEMLJEP3E/edit#gid=0"",""'Game 12'!$B$2:$Q$34""),33,False),1)"),12.0)</f>
        <v>12</v>
      </c>
      <c r="O50" s="5">
        <f>IFERROR(__xludf.DUMMYFUNCTION("IFERROR(HLOOKUP($A50,IMPORTRANGE(""https://docs.google.com/spreadsheets/d/1UrzyxmT40kDZwVrLMf1yyXfP-pyczRAw9Y8Rw-uXG3c/edit#gid=0"",""'Game 1'!$B$2:$Q$34""),33,False),1)"),0.0)</f>
        <v>0</v>
      </c>
      <c r="P50" s="5">
        <f>IFERROR(__xludf.DUMMYFUNCTION("IFERROR(HLOOKUP($A50,IMPORTRANGE(""https://docs.google.com/spreadsheets/d/1iyMhSYWifw-KGFtyeBpNxVZr4BhcV9hVZuShgJ9Ia0E/edit#gid=0"",""'Game 2'!$B$2:$Q$34""),33,False),1)"),0.0)</f>
        <v>0</v>
      </c>
      <c r="Q50" s="5">
        <f>IFERROR(__xludf.DUMMYFUNCTION("IFERROR(HLOOKUP($A50,IMPORTRANGE(""https://docs.google.com/spreadsheets/d/1sSbIK-vvHsSY0LghLJ9gcnW8Hec_ITI2tFmpeqI999A/edit#gid=0"",""'Game 12'!$B$2:$Q$34""),33,False),1)"),12.0)</f>
        <v>12</v>
      </c>
      <c r="R50" s="6">
        <f>TUHStand!R50</f>
        <v>322</v>
      </c>
      <c r="S50" s="6">
        <f t="shared" si="4"/>
        <v>152</v>
      </c>
      <c r="T50" s="6">
        <f t="shared" si="5"/>
        <v>10.85714286</v>
      </c>
      <c r="U50" s="6">
        <f t="shared" si="3"/>
        <v>26</v>
      </c>
    </row>
    <row r="51">
      <c r="A51" s="2" t="s">
        <v>134</v>
      </c>
      <c r="B51" s="2" t="s">
        <v>125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29">
        <v>0.0</v>
      </c>
      <c r="I51" s="2">
        <v>0.0</v>
      </c>
      <c r="J51" s="29">
        <v>0.0</v>
      </c>
      <c r="K51" s="29">
        <v>0.0</v>
      </c>
      <c r="L51" s="29">
        <v>0.0</v>
      </c>
      <c r="M51" s="29">
        <v>0.0</v>
      </c>
      <c r="N51" s="29">
        <v>0.0</v>
      </c>
      <c r="O51" s="12">
        <f>IFERROR(__xludf.DUMMYFUNCTION("IFERROR(HLOOKUP($A51,IMPORTRANGE(""https://docs.google.com/spreadsheets/d/1UrzyxmT40kDZwVrLMf1yyXfP-pyczRAw9Y8Rw-uXG3c/edit#gid=0"",""'Game 1'!$B$2:$Q$34""),33,False),1)"),12.0)</f>
        <v>12</v>
      </c>
      <c r="P51" s="12">
        <f>IFERROR(__xludf.DUMMYFUNCTION("IFERROR(HLOOKUP($A51,IMPORTRANGE(""https://docs.google.com/spreadsheets/d/1iyMhSYWifw-KGFtyeBpNxVZr4BhcV9hVZuShgJ9Ia0E/edit#gid=0"",""'Game 2'!$B$2:$Q$34""),33,False),1)"),20.0)</f>
        <v>20</v>
      </c>
      <c r="Q51" s="12">
        <f>IFERROR(__xludf.DUMMYFUNCTION("IFERROR(HLOOKUP($A51,IMPORTRANGE(""https://docs.google.com/spreadsheets/d/1sSbIK-vvHsSY0LghLJ9gcnW8Hec_ITI2tFmpeqI999A/edit#gid=0"",""'Game 12'!$B$2:$Q$34""),33,False),1)"),0.0)</f>
        <v>0</v>
      </c>
      <c r="R51" s="13">
        <f>TUHStand!R51</f>
        <v>46</v>
      </c>
      <c r="S51" s="13">
        <f t="shared" si="4"/>
        <v>32</v>
      </c>
      <c r="T51" s="13">
        <f t="shared" si="5"/>
        <v>16</v>
      </c>
      <c r="U51" s="13">
        <f t="shared" si="3"/>
        <v>9</v>
      </c>
    </row>
    <row r="52">
      <c r="A52" s="18" t="s">
        <v>135</v>
      </c>
      <c r="B52" s="18" t="s">
        <v>136</v>
      </c>
      <c r="C52" s="18">
        <v>8.0</v>
      </c>
      <c r="D52" s="18">
        <v>0.0</v>
      </c>
      <c r="E52" s="18">
        <v>4.0</v>
      </c>
      <c r="F52" s="18">
        <v>8.0</v>
      </c>
      <c r="G52" s="3">
        <v>4.0</v>
      </c>
      <c r="H52" s="5">
        <f>IFERROR(__xludf.DUMMYFUNCTION("HLOOKUP($A52,IMPORTRANGE(""https://docs.google.com/spreadsheets/d/16J5ie7OD1E99qGO9lMDm8w5Yls-v190B7DTolJ5TmFc/edit#gid=0"",""'Game 8'!$B$2:$Q$34""),33,False)"),24.0)</f>
        <v>24</v>
      </c>
      <c r="I52" s="3">
        <v>0.0</v>
      </c>
      <c r="J52" s="5">
        <f>IFERROR(__xludf.DUMMYFUNCTION("IFERROR(HLOOKUP($A52,IMPORTRANGE(""https://docs.google.com/spreadsheets/d/1CTYfdyRk_RFGM3I2iN9bKeD9zUPzEm1ajzml6VgwfIU/edit#gid=0"",""'Game 8'!$B$2:$Q$34""),33,False),1)"),16.0)</f>
        <v>16</v>
      </c>
      <c r="K52" s="5">
        <f>IFERROR(__xludf.DUMMYFUNCTION("IFERROR(HLOOKUP($A52,IMPORTRANGE(""https://docs.google.com/spreadsheets/d/11NFkzOdQyW-OtxSDuGslNCgNjx7HUb2FU7KnlNnPMgY/edit#gid=0"",""'Game 13'!$B$2:$Q$34""),33,False),1)"),4.0)</f>
        <v>4</v>
      </c>
      <c r="L52" s="5">
        <f>IFERROR(__xludf.DUMMYFUNCTION("IFERROR(HLOOKUP($A52,IMPORTRANGE(""https://docs.google.com/spreadsheets/d/1CLg5-jaE4ta0-u4oE1qbBplQ5Mf3Oj9ONFgL0zJ7Ol4/edit#gid=0"",""'Game 1'!$B$2:$Q$34""),33,False),1)"),1.0)</f>
        <v>1</v>
      </c>
      <c r="M52" s="5">
        <f>IFERROR(__xludf.DUMMYFUNCTION("IFERROR(HLOOKUP($A52,IMPORTRANGE(""https://docs.google.com/spreadsheets/d/1CeexgK4KxWj3k_7nql_k8-RPxXMwTJyB4Q3vAASeDlA/edit#gid=0"",""'Game 5'!$B$2:$Q$34""),33,False),1)"),8.0)</f>
        <v>8</v>
      </c>
      <c r="N52" s="5">
        <f>IFERROR(__xludf.DUMMYFUNCTION("IFERROR(HLOOKUP($A52,IMPORTRANGE(""https://docs.google.com/spreadsheets/d/1MNwUNMjcwK6bEgCXwB73jpbK5gJAXS8ZMpbEMLJEP3E/edit#gid=0"",""'Game 1'!$B$2:$Q$34""),33,False),1)"),0.0)</f>
        <v>0</v>
      </c>
      <c r="O52" s="5">
        <f>IFERROR(__xludf.DUMMYFUNCTION("IFERROR(HLOOKUP($A52,IMPORTRANGE(""https://docs.google.com/spreadsheets/d/1UrzyxmT40kDZwVrLMf1yyXfP-pyczRAw9Y8Rw-uXG3c/edit#gid=0"",""'Game 13'!$B$2:$Q$34""),33,False),1)"),0.0)</f>
        <v>0</v>
      </c>
      <c r="P52" s="5">
        <f>IFERROR(__xludf.DUMMYFUNCTION("IFERROR(HLOOKUP($A52,IMPORTRANGE(""https://docs.google.com/spreadsheets/d/1iyMhSYWifw-KGFtyeBpNxVZr4BhcV9hVZuShgJ9Ia0E/edit#gid=0"",""'Game 4'!$B$2:$Q$34""),33,False),1)"),32.0)</f>
        <v>32</v>
      </c>
      <c r="Q52" s="5">
        <f>IFERROR(__xludf.DUMMYFUNCTION("IFERROR(HLOOKUP($A52,IMPORTRANGE(""https://docs.google.com/spreadsheets/d/1sSbIK-vvHsSY0LghLJ9gcnW8Hec_ITI2tFmpeqI999A/edit#gid=0"",""'Game 2'!$B$2:$Q$34""),33,False),1)"),16.0)</f>
        <v>16</v>
      </c>
      <c r="R52" s="6">
        <f>TUHStand!R52</f>
        <v>218</v>
      </c>
      <c r="S52" s="6">
        <f t="shared" si="4"/>
        <v>125</v>
      </c>
      <c r="T52" s="6">
        <f t="shared" si="5"/>
        <v>13.18807339</v>
      </c>
      <c r="U52" s="6">
        <f t="shared" si="3"/>
        <v>18</v>
      </c>
    </row>
    <row r="53">
      <c r="A53" s="20" t="s">
        <v>138</v>
      </c>
      <c r="B53" s="20" t="s">
        <v>136</v>
      </c>
      <c r="C53" s="20">
        <v>0.0</v>
      </c>
      <c r="D53" s="20">
        <v>8.0</v>
      </c>
      <c r="E53" s="20">
        <v>4.0</v>
      </c>
      <c r="F53" s="20">
        <v>0.0</v>
      </c>
      <c r="G53" s="2">
        <v>12.0</v>
      </c>
      <c r="H53" s="12">
        <f>IFERROR(__xludf.DUMMYFUNCTION("HLOOKUP($A53,IMPORTRANGE(""https://docs.google.com/spreadsheets/d/16J5ie7OD1E99qGO9lMDm8w5Yls-v190B7DTolJ5TmFc/edit#gid=0"",""'Game 8'!$B$2:$Q$34""),33,False)"),8.0)</f>
        <v>8</v>
      </c>
      <c r="I53" s="2">
        <v>12.0</v>
      </c>
      <c r="J53" s="12">
        <f>IFERROR(__xludf.DUMMYFUNCTION("IFERROR(HLOOKUP($A53,IMPORTRANGE(""https://docs.google.com/spreadsheets/d/1CTYfdyRk_RFGM3I2iN9bKeD9zUPzEm1ajzml6VgwfIU/edit#gid=0"",""'Game 8'!$B$2:$Q$34""),33,False),1)"),12.0)</f>
        <v>12</v>
      </c>
      <c r="K53" s="12">
        <f>IFERROR(__xludf.DUMMYFUNCTION("IFERROR(HLOOKUP($A53,IMPORTRANGE(""https://docs.google.com/spreadsheets/d/11NFkzOdQyW-OtxSDuGslNCgNjx7HUb2FU7KnlNnPMgY/edit#gid=0"",""'Game 13'!$B$2:$Q$34""),33,False),1)"),0.0)</f>
        <v>0</v>
      </c>
      <c r="L53" s="12">
        <f>IFERROR(__xludf.DUMMYFUNCTION("IFERROR(HLOOKUP($A53,IMPORTRANGE(""https://docs.google.com/spreadsheets/d/1CLg5-jaE4ta0-u4oE1qbBplQ5Mf3Oj9ONFgL0zJ7Ol4/edit#gid=0"",""'Game 7'!$B$2:$Q$34""),33,False),1)"),4.0)</f>
        <v>4</v>
      </c>
      <c r="M53" s="12">
        <f>IFERROR(__xludf.DUMMYFUNCTION("IFERROR(HLOOKUP($A53,IMPORTRANGE(""https://docs.google.com/spreadsheets/d/1CeexgK4KxWj3k_7nql_k8-RPxXMwTJyB4Q3vAASeDlA/edit#gid=0"",""'Game 5'!$B$2:$Q$34""),33,False),1)"),8.0)</f>
        <v>8</v>
      </c>
      <c r="N53" s="12">
        <f>IFERROR(__xludf.DUMMYFUNCTION("IFERROR(HLOOKUP($A53,IMPORTRANGE(""https://docs.google.com/spreadsheets/d/1MNwUNMjcwK6bEgCXwB73jpbK5gJAXS8ZMpbEMLJEP3E/edit#gid=0"",""'Game 1'!$B$2:$Q$34""),33,False),1)"),8.0)</f>
        <v>8</v>
      </c>
      <c r="O53" s="12">
        <f>IFERROR(__xludf.DUMMYFUNCTION("IFERROR(HLOOKUP($A53,IMPORTRANGE(""https://docs.google.com/spreadsheets/d/1UrzyxmT40kDZwVrLMf1yyXfP-pyczRAw9Y8Rw-uXG3c/edit#gid=0"",""'Game 13'!$B$2:$Q$34""),33,False),1)"),4.0)</f>
        <v>4</v>
      </c>
      <c r="P53" s="12">
        <f>IFERROR(__xludf.DUMMYFUNCTION("IFERROR(HLOOKUP($A53,IMPORTRANGE(""https://docs.google.com/spreadsheets/d/1iyMhSYWifw-KGFtyeBpNxVZr4BhcV9hVZuShgJ9Ia0E/edit#gid=0"",""'Game 4'!$B$2:$Q$34""),33,False),1)"),0.0)</f>
        <v>0</v>
      </c>
      <c r="Q53" s="12">
        <f>IFERROR(__xludf.DUMMYFUNCTION("IFERROR(HLOOKUP($A53,IMPORTRANGE(""https://docs.google.com/spreadsheets/d/1sSbIK-vvHsSY0LghLJ9gcnW8Hec_ITI2tFmpeqI999A/edit#gid=0"",""'Game 2'!$B$2:$Q$34""),33,False),1)"),12.0)</f>
        <v>12</v>
      </c>
      <c r="R53" s="13">
        <f>TUHStand!R53</f>
        <v>265</v>
      </c>
      <c r="S53" s="13">
        <f t="shared" si="4"/>
        <v>92</v>
      </c>
      <c r="T53" s="13">
        <f t="shared" si="5"/>
        <v>7.98490566</v>
      </c>
      <c r="U53" s="13">
        <f t="shared" si="3"/>
        <v>35</v>
      </c>
    </row>
    <row r="54">
      <c r="A54" s="18" t="s">
        <v>140</v>
      </c>
      <c r="B54" s="18" t="s">
        <v>136</v>
      </c>
      <c r="C54" s="18">
        <v>0.0</v>
      </c>
      <c r="D54" s="18">
        <v>4.0</v>
      </c>
      <c r="E54" s="18">
        <v>0.0</v>
      </c>
      <c r="F54" s="18">
        <v>4.0</v>
      </c>
      <c r="G54" s="3">
        <v>0.0</v>
      </c>
      <c r="H54" s="5">
        <f>IFERROR(__xludf.DUMMYFUNCTION("HLOOKUP($A54,IMPORTRANGE(""https://docs.google.com/spreadsheets/d/16J5ie7OD1E99qGO9lMDm8w5Yls-v190B7DTolJ5TmFc/edit#gid=0"",""'Game 8'!$B$2:$Q$34""),33,False)"),0.0)</f>
        <v>0</v>
      </c>
      <c r="I54" s="3">
        <v>0.0</v>
      </c>
      <c r="J54" s="5">
        <f>IFERROR(__xludf.DUMMYFUNCTION("IFERROR(HLOOKUP($A54,IMPORTRANGE(""https://docs.google.com/spreadsheets/d/1CTYfdyRk_RFGM3I2iN9bKeD9zUPzEm1ajzml6VgwfIU/edit#gid=0"",""'Game 8'!$B$2:$Q$34""),33,False),1)"),0.0)</f>
        <v>0</v>
      </c>
      <c r="K54" s="5">
        <f>IFERROR(__xludf.DUMMYFUNCTION("IFERROR(HLOOKUP($A54,IMPORTRANGE(""https://docs.google.com/spreadsheets/d/11NFkzOdQyW-OtxSDuGslNCgNjx7HUb2FU7KnlNnPMgY/edit#gid=0"",""'Game 13'!$B$2:$Q$34""),33,False),1)"),0.0)</f>
        <v>0</v>
      </c>
      <c r="L54" s="5">
        <f>IFERROR(__xludf.DUMMYFUNCTION("IFERROR(HLOOKUP($A54,IMPORTRANGE(""https://docs.google.com/spreadsheets/d/1CLg5-jaE4ta0-u4oE1qbBplQ5Mf3Oj9ONFgL0zJ7Ol4/edit#gid=0"",""'Game 7'!$B$2:$Q$34""),33,False),1)"),0.0)</f>
        <v>0</v>
      </c>
      <c r="M54" s="5">
        <f>IFERROR(__xludf.DUMMYFUNCTION("IFERROR(HLOOKUP($A54,IMPORTRANGE(""https://docs.google.com/spreadsheets/d/1CeexgK4KxWj3k_7nql_k8-RPxXMwTJyB4Q3vAASeDlA/edit#gid=0"",""'Game 5'!$B$2:$Q$34""),33,False),1)"),0.0)</f>
        <v>0</v>
      </c>
      <c r="N54" s="5">
        <f>IFERROR(__xludf.DUMMYFUNCTION("IFERROR(HLOOKUP($A54,IMPORTRANGE(""https://docs.google.com/spreadsheets/d/1MNwUNMjcwK6bEgCXwB73jpbK5gJAXS8ZMpbEMLJEP3E/edit#gid=0"",""'Game 1'!$B$2:$Q$34""),33,False),1)"),0.0)</f>
        <v>0</v>
      </c>
      <c r="O54" s="5">
        <f>IFERROR(__xludf.DUMMYFUNCTION("IFERROR(HLOOKUP($A54,IMPORTRANGE(""https://docs.google.com/spreadsheets/d/1UrzyxmT40kDZwVrLMf1yyXfP-pyczRAw9Y8Rw-uXG3c/edit#gid=0"",""'Game 13'!$B$2:$Q$34""),33,False),1)"),0.0)</f>
        <v>0</v>
      </c>
      <c r="P54" s="5">
        <f>IFERROR(__xludf.DUMMYFUNCTION("IFERROR(HLOOKUP($A54,IMPORTRANGE(""https://docs.google.com/spreadsheets/d/1iyMhSYWifw-KGFtyeBpNxVZr4BhcV9hVZuShgJ9Ia0E/edit#gid=0"",""'Game 4'!$B$2:$Q$34""),33,False),1)"),0.0)</f>
        <v>0</v>
      </c>
      <c r="Q54" s="5">
        <f>IFERROR(__xludf.DUMMYFUNCTION("IFERROR(HLOOKUP($A54,IMPORTRANGE(""https://docs.google.com/spreadsheets/d/1sSbIK-vvHsSY0LghLJ9gcnW8Hec_ITI2tFmpeqI999A/edit#gid=0"",""'Game 2'!$B$2:$Q$34""),33,False),1)"),0.0)</f>
        <v>0</v>
      </c>
      <c r="R54" s="6">
        <f>TUHStand!R54</f>
        <v>127</v>
      </c>
      <c r="S54" s="6">
        <f t="shared" si="4"/>
        <v>8</v>
      </c>
      <c r="T54" s="6">
        <f t="shared" si="5"/>
        <v>1.448818898</v>
      </c>
      <c r="U54" s="6">
        <f t="shared" si="3"/>
        <v>106</v>
      </c>
    </row>
    <row r="55">
      <c r="A55" s="20" t="s">
        <v>141</v>
      </c>
      <c r="B55" s="20" t="s">
        <v>136</v>
      </c>
      <c r="C55" s="20">
        <v>0.0</v>
      </c>
      <c r="D55" s="20">
        <v>4.0</v>
      </c>
      <c r="E55" s="20">
        <v>8.0</v>
      </c>
      <c r="F55" s="20">
        <v>0.0</v>
      </c>
      <c r="G55" s="2">
        <v>0.0</v>
      </c>
      <c r="H55" s="12">
        <f>IFERROR(__xludf.DUMMYFUNCTION("HLOOKUP($A55,IMPORTRANGE(""https://docs.google.com/spreadsheets/d/16J5ie7OD1E99qGO9lMDm8w5Yls-v190B7DTolJ5TmFc/edit#gid=0"",""'Game 8'!$B$2:$Q$34""),33,False)"),4.0)</f>
        <v>4</v>
      </c>
      <c r="I55" s="2">
        <v>0.0</v>
      </c>
      <c r="J55" s="12">
        <f>IFERROR(__xludf.DUMMYFUNCTION("IFERROR(HLOOKUP($A55,IMPORTRANGE(""https://docs.google.com/spreadsheets/d/1CTYfdyRk_RFGM3I2iN9bKeD9zUPzEm1ajzml6VgwfIU/edit#gid=0"",""'Game 8'!$B$2:$Q$34""),33,False),1)"),0.0)</f>
        <v>0</v>
      </c>
      <c r="K55" s="12">
        <f>IFERROR(__xludf.DUMMYFUNCTION("IFERROR(HLOOKUP($A55,IMPORTRANGE(""https://docs.google.com/spreadsheets/d/11NFkzOdQyW-OtxSDuGslNCgNjx7HUb2FU7KnlNnPMgY/edit#gid=0"",""'Game 13'!$B$2:$Q$34""),33,False),1)"),0.0)</f>
        <v>0</v>
      </c>
      <c r="L55" s="12">
        <f>IFERROR(__xludf.DUMMYFUNCTION("IFERROR(HLOOKUP($A55,IMPORTRANGE(""https://docs.google.com/spreadsheets/d/1CLg5-jaE4ta0-u4oE1qbBplQ5Mf3Oj9ONFgL0zJ7Ol4/edit#gid=0"",""'Game 7'!$B$2:$Q$34""),33,False),1)"),0.0)</f>
        <v>0</v>
      </c>
      <c r="M55" s="12">
        <f>IFERROR(__xludf.DUMMYFUNCTION("IFERROR(HLOOKUP($A55,IMPORTRANGE(""https://docs.google.com/spreadsheets/d/1CeexgK4KxWj3k_7nql_k8-RPxXMwTJyB4Q3vAASeDlA/edit#gid=0"",""'Game 5'!$B$2:$Q$34""),33,False),1)"),0.0)</f>
        <v>0</v>
      </c>
      <c r="N55" s="12">
        <f>IFERROR(__xludf.DUMMYFUNCTION("IFERROR(HLOOKUP($A55,IMPORTRANGE(""https://docs.google.com/spreadsheets/d/1MNwUNMjcwK6bEgCXwB73jpbK5gJAXS8ZMpbEMLJEP3E/edit#gid=0"",""'Game 1'!$B$2:$Q$34""),33,False),1)"),0.0)</f>
        <v>0</v>
      </c>
      <c r="O55" s="12">
        <f>IFERROR(__xludf.DUMMYFUNCTION("IFERROR(HLOOKUP($A55,IMPORTRANGE(""https://docs.google.com/spreadsheets/d/1UrzyxmT40kDZwVrLMf1yyXfP-pyczRAw9Y8Rw-uXG3c/edit#gid=0"",""'Game 13'!$B$2:$Q$34""),33,False),1)"),4.0)</f>
        <v>4</v>
      </c>
      <c r="P55" s="12">
        <f>IFERROR(__xludf.DUMMYFUNCTION("IFERROR(HLOOKUP($A55,IMPORTRANGE(""https://docs.google.com/spreadsheets/d/1iyMhSYWifw-KGFtyeBpNxVZr4BhcV9hVZuShgJ9Ia0E/edit#gid=0"",""'Game 4'!$B$2:$Q$34""),33,False),1)"),0.0)</f>
        <v>0</v>
      </c>
      <c r="Q55" s="12">
        <f>IFERROR(__xludf.DUMMYFUNCTION("IFERROR(HLOOKUP($A55,IMPORTRANGE(""https://docs.google.com/spreadsheets/d/1sSbIK-vvHsSY0LghLJ9gcnW8Hec_ITI2tFmpeqI999A/edit#gid=0"",""'Game 2'!$B$2:$Q$34""),33,False),1)"),0.0)</f>
        <v>0</v>
      </c>
      <c r="R55" s="13">
        <f>TUHStand!R55</f>
        <v>252</v>
      </c>
      <c r="S55" s="13">
        <f t="shared" si="4"/>
        <v>20</v>
      </c>
      <c r="T55" s="13">
        <f t="shared" si="5"/>
        <v>1.825396825</v>
      </c>
      <c r="U55" s="13">
        <f t="shared" si="3"/>
        <v>96</v>
      </c>
    </row>
    <row r="56">
      <c r="A56" s="18" t="s">
        <v>143</v>
      </c>
      <c r="B56" s="18" t="s">
        <v>136</v>
      </c>
      <c r="C56" s="18">
        <v>0.0</v>
      </c>
      <c r="D56" s="18">
        <v>0.0</v>
      </c>
      <c r="E56" s="18">
        <v>0.0</v>
      </c>
      <c r="F56" s="18">
        <v>0.0</v>
      </c>
      <c r="G56" s="3">
        <v>0.0</v>
      </c>
      <c r="H56" s="5">
        <f>IFERROR(__xludf.DUMMYFUNCTION("HLOOKUP($A56,IMPORTRANGE(""https://docs.google.com/spreadsheets/d/16J5ie7OD1E99qGO9lMDm8w5Yls-v190B7DTolJ5TmFc/edit#gid=0"",""'Game 8'!$B$2:$Q$34""),33,False)"),0.0)</f>
        <v>0</v>
      </c>
      <c r="I56" s="3">
        <v>0.0</v>
      </c>
      <c r="J56" s="5">
        <f>IFERROR(__xludf.DUMMYFUNCTION("IFERROR(HLOOKUP($A56,IMPORTRANGE(""https://docs.google.com/spreadsheets/d/1CTYfdyRk_RFGM3I2iN9bKeD9zUPzEm1ajzml6VgwfIU/edit#gid=0"",""'Game 8'!$B$2:$Q$34""),33,False),1)"),0.0)</f>
        <v>0</v>
      </c>
      <c r="K56" s="5">
        <f>IFERROR(__xludf.DUMMYFUNCTION("IFERROR(HLOOKUP($A56,IMPORTRANGE(""https://docs.google.com/spreadsheets/d/11NFkzOdQyW-OtxSDuGslNCgNjx7HUb2FU7KnlNnPMgY/edit#gid=0"",""'Game 13'!$B$2:$Q$34""),33,False),1)"),0.0)</f>
        <v>0</v>
      </c>
      <c r="L56" s="5">
        <f>IFERROR(__xludf.DUMMYFUNCTION("IFERROR(HLOOKUP($A56,IMPORTRANGE(""https://docs.google.com/spreadsheets/d/1CLg5-jaE4ta0-u4oE1qbBplQ5Mf3Oj9ONFgL0zJ7Ol4/edit#gid=0"",""'Game 7'!$B$2:$Q$34""),33,False),1)"),0.0)</f>
        <v>0</v>
      </c>
      <c r="M56" s="5">
        <f>IFERROR(__xludf.DUMMYFUNCTION("IFERROR(HLOOKUP($A56,IMPORTRANGE(""https://docs.google.com/spreadsheets/d/1CeexgK4KxWj3k_7nql_k8-RPxXMwTJyB4Q3vAASeDlA/edit#gid=0"",""'Game 5'!$B$2:$Q$34""),33,False),1)"),0.0)</f>
        <v>0</v>
      </c>
      <c r="N56" s="5">
        <f>IFERROR(__xludf.DUMMYFUNCTION("IFERROR(HLOOKUP($A56,IMPORTRANGE(""https://docs.google.com/spreadsheets/d/1MNwUNMjcwK6bEgCXwB73jpbK5gJAXS8ZMpbEMLJEP3E/edit#gid=0"",""'Game 1'!$B$2:$Q$34""),33,False),1)"),0.0)</f>
        <v>0</v>
      </c>
      <c r="O56" s="5">
        <f>IFERROR(__xludf.DUMMYFUNCTION("IFERROR(HLOOKUP($A56,IMPORTRANGE(""https://docs.google.com/spreadsheets/d/1UrzyxmT40kDZwVrLMf1yyXfP-pyczRAw9Y8Rw-uXG3c/edit#gid=0"",""'Game 13'!$B$2:$Q$34""),33,False),1)"),0.0)</f>
        <v>0</v>
      </c>
      <c r="P56" s="5">
        <f>IFERROR(__xludf.DUMMYFUNCTION("IFERROR(HLOOKUP($A56,IMPORTRANGE(""https://docs.google.com/spreadsheets/d/1iyMhSYWifw-KGFtyeBpNxVZr4BhcV9hVZuShgJ9Ia0E/edit#gid=0"",""'Game 4'!$B$2:$Q$34""),33,False),1)"),0.0)</f>
        <v>0</v>
      </c>
      <c r="Q56" s="5">
        <f>IFERROR(__xludf.DUMMYFUNCTION("IFERROR(HLOOKUP($A56,IMPORTRANGE(""https://docs.google.com/spreadsheets/d/1sSbIK-vvHsSY0LghLJ9gcnW8Hec_ITI2tFmpeqI999A/edit#gid=0"",""'Game 2'!$B$2:$Q$34""),33,False),1)"),0.0)</f>
        <v>0</v>
      </c>
      <c r="R56" s="6">
        <f>TUHStand!R56</f>
        <v>127</v>
      </c>
      <c r="S56" s="6">
        <f t="shared" si="4"/>
        <v>0</v>
      </c>
      <c r="T56" s="6">
        <f t="shared" si="5"/>
        <v>0</v>
      </c>
      <c r="U56" s="6">
        <f t="shared" si="3"/>
        <v>127</v>
      </c>
    </row>
    <row r="57">
      <c r="A57" s="20" t="s">
        <v>145</v>
      </c>
      <c r="B57" s="20" t="s">
        <v>136</v>
      </c>
      <c r="C57" s="20">
        <v>16.0</v>
      </c>
      <c r="D57" s="20">
        <v>0.0</v>
      </c>
      <c r="E57" s="20">
        <v>0.0</v>
      </c>
      <c r="F57" s="20">
        <v>0.0</v>
      </c>
      <c r="G57" s="2">
        <v>8.0</v>
      </c>
      <c r="H57" s="12">
        <f>IFERROR(__xludf.DUMMYFUNCTION("HLOOKUP($A57,IMPORTRANGE(""https://docs.google.com/spreadsheets/d/16J5ie7OD1E99qGO9lMDm8w5Yls-v190B7DTolJ5TmFc/edit#gid=0"",""'Game 8'!$B$2:$Q$34""),33,False)"),0.0)</f>
        <v>0</v>
      </c>
      <c r="I57" s="2">
        <v>8.0</v>
      </c>
      <c r="J57" s="12">
        <f>IFERROR(__xludf.DUMMYFUNCTION("IFERROR(HLOOKUP($A57,IMPORTRANGE(""https://docs.google.com/spreadsheets/d/1CTYfdyRk_RFGM3I2iN9bKeD9zUPzEm1ajzml6VgwfIU/edit#gid=0"",""'Game 8'!$B$2:$Q$34""),33,False),1)"),0.0)</f>
        <v>0</v>
      </c>
      <c r="K57" s="12">
        <f>IFERROR(__xludf.DUMMYFUNCTION("IFERROR(HLOOKUP($A57,IMPORTRANGE(""https://docs.google.com/spreadsheets/d/11NFkzOdQyW-OtxSDuGslNCgNjx7HUb2FU7KnlNnPMgY/edit#gid=0"",""'Game 13'!$B$2:$Q$34""),33,False),1)"),16.0)</f>
        <v>16</v>
      </c>
      <c r="L57" s="12">
        <f>IFERROR(__xludf.DUMMYFUNCTION("IFERROR(HLOOKUP($A57,IMPORTRANGE(""https://docs.google.com/spreadsheets/d/1CLg5-jaE4ta0-u4oE1qbBplQ5Mf3Oj9ONFgL0zJ7Ol4/edit#gid=0"",""'Game 7'!$B$2:$Q$34""),33,False),1)"),16.0)</f>
        <v>16</v>
      </c>
      <c r="M57" s="12">
        <f>IFERROR(__xludf.DUMMYFUNCTION("IFERROR(HLOOKUP($A57,IMPORTRANGE(""https://docs.google.com/spreadsheets/d/1CeexgK4KxWj3k_7nql_k8-RPxXMwTJyB4Q3vAASeDlA/edit#gid=0"",""'Game 5'!$B$2:$Q$34""),33,False),1)"),0.0)</f>
        <v>0</v>
      </c>
      <c r="N57" s="12">
        <f>IFERROR(__xludf.DUMMYFUNCTION("IFERROR(HLOOKUP($A57,IMPORTRANGE(""https://docs.google.com/spreadsheets/d/1MNwUNMjcwK6bEgCXwB73jpbK5gJAXS8ZMpbEMLJEP3E/edit#gid=0"",""'Game 1'!$B$2:$Q$34""),33,False),1)"),28.0)</f>
        <v>28</v>
      </c>
      <c r="O57" s="12">
        <f>IFERROR(__xludf.DUMMYFUNCTION("IFERROR(HLOOKUP($A57,IMPORTRANGE(""https://docs.google.com/spreadsheets/d/1UrzyxmT40kDZwVrLMf1yyXfP-pyczRAw9Y8Rw-uXG3c/edit#gid=0"",""'Game 13'!$B$2:$Q$34""),33,False),1)"),20.0)</f>
        <v>20</v>
      </c>
      <c r="P57" s="12">
        <f>IFERROR(__xludf.DUMMYFUNCTION("IFERROR(HLOOKUP($A57,IMPORTRANGE(""https://docs.google.com/spreadsheets/d/1iyMhSYWifw-KGFtyeBpNxVZr4BhcV9hVZuShgJ9Ia0E/edit#gid=0"",""'Game 4'!$B$2:$Q$34""),33,False),1)"),0.0)</f>
        <v>0</v>
      </c>
      <c r="Q57" s="12">
        <f>IFERROR(__xludf.DUMMYFUNCTION("IFERROR(HLOOKUP($A57,IMPORTRANGE(""https://docs.google.com/spreadsheets/d/1sSbIK-vvHsSY0LghLJ9gcnW8Hec_ITI2tFmpeqI999A/edit#gid=0"",""'Game 2'!$B$2:$Q$34""),33,False),1)"),4.0)</f>
        <v>4</v>
      </c>
      <c r="R57" s="13">
        <f>TUHStand!R57</f>
        <v>184</v>
      </c>
      <c r="S57" s="13">
        <f t="shared" si="4"/>
        <v>116</v>
      </c>
      <c r="T57" s="13">
        <f t="shared" si="5"/>
        <v>14.5</v>
      </c>
      <c r="U57" s="13">
        <f t="shared" si="3"/>
        <v>13</v>
      </c>
    </row>
    <row r="58">
      <c r="A58" s="18" t="s">
        <v>147</v>
      </c>
      <c r="B58" s="18" t="s">
        <v>136</v>
      </c>
      <c r="C58" s="18">
        <v>0.0</v>
      </c>
      <c r="D58" s="18">
        <v>0.0</v>
      </c>
      <c r="E58" s="18">
        <v>0.0</v>
      </c>
      <c r="F58" s="18">
        <v>8.0</v>
      </c>
      <c r="G58" s="3">
        <v>0.0</v>
      </c>
      <c r="H58" s="5">
        <f>IFERROR(__xludf.DUMMYFUNCTION("HLOOKUP($A58,IMPORTRANGE(""https://docs.google.com/spreadsheets/d/16J5ie7OD1E99qGO9lMDm8w5Yls-v190B7DTolJ5TmFc/edit#gid=0"",""'Game 8'!$B$2:$Q$34""),33,False)"),0.0)</f>
        <v>0</v>
      </c>
      <c r="I58" s="3">
        <v>0.0</v>
      </c>
      <c r="J58" s="5">
        <f>IFERROR(__xludf.DUMMYFUNCTION("IFERROR(HLOOKUP($A58,IMPORTRANGE(""https://docs.google.com/spreadsheets/d/1CTYfdyRk_RFGM3I2iN9bKeD9zUPzEm1ajzml6VgwfIU/edit#gid=0"",""'Game 8'!$B$2:$Q$34""),33,False),1)"),0.0)</f>
        <v>0</v>
      </c>
      <c r="K58" s="5">
        <f>IFERROR(__xludf.DUMMYFUNCTION("IFERROR(HLOOKUP($A58,IMPORTRANGE(""https://docs.google.com/spreadsheets/d/11NFkzOdQyW-OtxSDuGslNCgNjx7HUb2FU7KnlNnPMgY/edit#gid=0"",""'Game 13'!$B$2:$Q$34""),33,False),1)"),0.0)</f>
        <v>0</v>
      </c>
      <c r="L58" s="5">
        <f>IFERROR(__xludf.DUMMYFUNCTION("IFERROR(HLOOKUP($A58,IMPORTRANGE(""https://docs.google.com/spreadsheets/d/1CLg5-jaE4ta0-u4oE1qbBplQ5Mf3Oj9ONFgL0zJ7Ol4/edit#gid=0"",""'Game 7'!$B$2:$Q$34""),33,False),1)"),0.0)</f>
        <v>0</v>
      </c>
      <c r="M58" s="5">
        <f>IFERROR(__xludf.DUMMYFUNCTION("IFERROR(HLOOKUP($A58,IMPORTRANGE(""https://docs.google.com/spreadsheets/d/1CeexgK4KxWj3k_7nql_k8-RPxXMwTJyB4Q3vAASeDlA/edit#gid=0"",""'Game 5'!$B$2:$Q$34""),33,False),1)"),4.0)</f>
        <v>4</v>
      </c>
      <c r="N58" s="5">
        <f>IFERROR(__xludf.DUMMYFUNCTION("IFERROR(HLOOKUP($A58,IMPORTRANGE(""https://docs.google.com/spreadsheets/d/1MNwUNMjcwK6bEgCXwB73jpbK5gJAXS8ZMpbEMLJEP3E/edit#gid=0"",""'Game 1'!$B$2:$Q$34""),33,False),1)"),0.0)</f>
        <v>0</v>
      </c>
      <c r="O58" s="5">
        <f>IFERROR(__xludf.DUMMYFUNCTION("IFERROR(HLOOKUP($A58,IMPORTRANGE(""https://docs.google.com/spreadsheets/d/1UrzyxmT40kDZwVrLMf1yyXfP-pyczRAw9Y8Rw-uXG3c/edit#gid=0"",""'Game 13'!$B$2:$Q$34""),33,False),1)"),0.0)</f>
        <v>0</v>
      </c>
      <c r="P58" s="5">
        <f>IFERROR(__xludf.DUMMYFUNCTION("IFERROR(HLOOKUP($A58,IMPORTRANGE(""https://docs.google.com/spreadsheets/d/1iyMhSYWifw-KGFtyeBpNxVZr4BhcV9hVZuShgJ9Ia0E/edit#gid=0"",""'Game 4'!$B$2:$Q$34""),33,False),1)"),0.0)</f>
        <v>0</v>
      </c>
      <c r="Q58" s="5">
        <f>IFERROR(__xludf.DUMMYFUNCTION("IFERROR(HLOOKUP($A58,IMPORTRANGE(""https://docs.google.com/spreadsheets/d/1sSbIK-vvHsSY0LghLJ9gcnW8Hec_ITI2tFmpeqI999A/edit#gid=0"",""'Game 2'!$B$2:$Q$34""),33,False),1)"),0.0)</f>
        <v>0</v>
      </c>
      <c r="R58" s="6">
        <f>TUHStand!R58</f>
        <v>172</v>
      </c>
      <c r="S58" s="6">
        <f t="shared" si="4"/>
        <v>12</v>
      </c>
      <c r="T58" s="6">
        <f t="shared" si="5"/>
        <v>1.604651163</v>
      </c>
      <c r="U58" s="6">
        <f t="shared" si="3"/>
        <v>102</v>
      </c>
    </row>
    <row r="59">
      <c r="A59" s="20" t="s">
        <v>148</v>
      </c>
      <c r="B59" s="13" t="s">
        <v>149</v>
      </c>
      <c r="C59" s="20">
        <v>0.0</v>
      </c>
      <c r="D59" s="20">
        <v>0.0</v>
      </c>
      <c r="E59" s="20">
        <v>0.0</v>
      </c>
      <c r="F59" s="20">
        <v>0.0</v>
      </c>
      <c r="G59" s="2">
        <v>0.0</v>
      </c>
      <c r="H59" s="12">
        <f>IFERROR(__xludf.DUMMYFUNCTION("HLOOKUP($A59,IMPORTRANGE(""https://docs.google.com/spreadsheets/d/16J5ie7OD1E99qGO9lMDm8w5Yls-v190B7DTolJ5TmFc/edit#gid=0"",""'Game 9'!$B$2:$Q$34""),33,False)"),0.0)</f>
        <v>0</v>
      </c>
      <c r="I59" s="2">
        <v>0.0</v>
      </c>
      <c r="J59" s="12">
        <f>IFERROR(__xludf.DUMMYFUNCTION("IFERROR(HLOOKUP($A59,IMPORTRANGE(""https://docs.google.com/spreadsheets/d/1CTYfdyRk_RFGM3I2iN9bKeD9zUPzEm1ajzml6VgwfIU/edit#gid=0"",""'Game 12'!$B$2:$Q$34""),33,False),1)"),0.0)</f>
        <v>0</v>
      </c>
      <c r="K59" s="12">
        <f>IFERROR(__xludf.DUMMYFUNCTION("IFERROR(HLOOKUP($A59,IMPORTRANGE(""https://docs.google.com/spreadsheets/d/11NFkzOdQyW-OtxSDuGslNCgNjx7HUb2FU7KnlNnPMgY/edit#gid=0"",""'Game 9'!$B$2:$Q$34""),33,False),1)"),0.0)</f>
        <v>0</v>
      </c>
      <c r="L59" s="12">
        <f>IFERROR(__xludf.DUMMYFUNCTION("IFERROR(HLOOKUP($A59,IMPORTRANGE(""https://docs.google.com/spreadsheets/d/1CLg5-jaE4ta0-u4oE1qbBplQ5Mf3Oj9ONFgL0zJ7Ol4/edit#gid=0"",""'Game 12'!$B$2:$Q$34""),33,False),1)"),0.0)</f>
        <v>0</v>
      </c>
      <c r="M59" s="12">
        <f>IFERROR(__xludf.DUMMYFUNCTION("IFERROR(HLOOKUP($A59,IMPORTRANGE(""https://docs.google.com/spreadsheets/d/1CeexgK4KxWj3k_7nql_k8-RPxXMwTJyB4Q3vAASeDlA/edit#gid=0"",""'Game 12'!$B$2:$Q$34""),33,False),1)"),0.0)</f>
        <v>0</v>
      </c>
      <c r="N59" s="12">
        <f>IFERROR(__xludf.DUMMYFUNCTION("IFERROR(HLOOKUP($A59,IMPORTRANGE(""https://docs.google.com/spreadsheets/d/1MNwUNMjcwK6bEgCXwB73jpbK5gJAXS8ZMpbEMLJEP3E/edit#gid=0"",""'Game 13'!$B$2:$Q$34""),33,False),1)"),0.0)</f>
        <v>0</v>
      </c>
      <c r="O59" s="12">
        <f>IFERROR(__xludf.DUMMYFUNCTION("IFERROR(HLOOKUP($A59,IMPORTRANGE(""https://docs.google.com/spreadsheets/d/1UrzyxmT40kDZwVrLMf1yyXfP-pyczRAw9Y8Rw-uXG3c/edit#gid=0"",""'Game 5'!$B$2:$Q$34""),33,False),1)"),0.0)</f>
        <v>0</v>
      </c>
      <c r="P59" s="12">
        <f>IFERROR(__xludf.DUMMYFUNCTION("IFERROR(HLOOKUP($A59,IMPORTRANGE(""https://docs.google.com/spreadsheets/d/1iyMhSYWifw-KGFtyeBpNxVZr4BhcV9hVZuShgJ9Ia0E/edit#gid=0"",""'Game 7'!$B$2:$Q$34""),33,False),1)"),0.0)</f>
        <v>0</v>
      </c>
      <c r="Q59" s="12">
        <f>IFERROR(__xludf.DUMMYFUNCTION("IFERROR(HLOOKUP($A59,IMPORTRANGE(""https://docs.google.com/spreadsheets/d/1sSbIK-vvHsSY0LghLJ9gcnW8Hec_ITI2tFmpeqI999A/edit#gid=0"",""'Game 12'!$B$2:$Q$34""),33,False),1)"),0.0)</f>
        <v>0</v>
      </c>
      <c r="R59" s="13">
        <f>TUHStand!R59</f>
        <v>23</v>
      </c>
      <c r="S59" s="13">
        <f t="shared" si="4"/>
        <v>0</v>
      </c>
      <c r="T59" s="13">
        <f t="shared" si="5"/>
        <v>0</v>
      </c>
      <c r="U59" s="13">
        <f t="shared" si="3"/>
        <v>127</v>
      </c>
    </row>
    <row r="60">
      <c r="A60" s="18" t="s">
        <v>152</v>
      </c>
      <c r="B60" s="18" t="s">
        <v>149</v>
      </c>
      <c r="C60" s="18">
        <v>4.0</v>
      </c>
      <c r="D60" s="18">
        <v>0.0</v>
      </c>
      <c r="E60" s="18">
        <v>8.0</v>
      </c>
      <c r="F60" s="18">
        <v>0.0</v>
      </c>
      <c r="G60" s="3">
        <v>0.0</v>
      </c>
      <c r="H60" s="5">
        <f>IFERROR(__xludf.DUMMYFUNCTION("HLOOKUP($A60,IMPORTRANGE(""https://docs.google.com/spreadsheets/d/16J5ie7OD1E99qGO9lMDm8w5Yls-v190B7DTolJ5TmFc/edit#gid=0"",""'Game 9'!$B$2:$Q$34""),33,False)"),0.0)</f>
        <v>0</v>
      </c>
      <c r="I60" s="3">
        <v>0.0</v>
      </c>
      <c r="J60" s="5">
        <f>IFERROR(__xludf.DUMMYFUNCTION("IFERROR(HLOOKUP($A60,IMPORTRANGE(""https://docs.google.com/spreadsheets/d/1CTYfdyRk_RFGM3I2iN9bKeD9zUPzEm1ajzml6VgwfIU/edit#gid=0"",""'Game 12'!$B$2:$Q$34""),33,False),1)"),0.0)</f>
        <v>0</v>
      </c>
      <c r="K60" s="5">
        <f>IFERROR(__xludf.DUMMYFUNCTION("IFERROR(HLOOKUP($A60,IMPORTRANGE(""https://docs.google.com/spreadsheets/d/11NFkzOdQyW-OtxSDuGslNCgNjx7HUb2FU7KnlNnPMgY/edit#gid=0"",""'Game 9'!$B$2:$Q$34""),33,False),1)"),0.0)</f>
        <v>0</v>
      </c>
      <c r="L60" s="5">
        <f>IFERROR(__xludf.DUMMYFUNCTION("IFERROR(HLOOKUP($A60,IMPORTRANGE(""https://docs.google.com/spreadsheets/d/1CLg5-jaE4ta0-u4oE1qbBplQ5Mf3Oj9ONFgL0zJ7Ol4/edit#gid=0"",""'Game 12'!$B$2:$Q$34""),33,False),1)"),12.0)</f>
        <v>12</v>
      </c>
      <c r="M60" s="5">
        <f>IFERROR(__xludf.DUMMYFUNCTION("IFERROR(HLOOKUP($A60,IMPORTRANGE(""https://docs.google.com/spreadsheets/d/1CeexgK4KxWj3k_7nql_k8-RPxXMwTJyB4Q3vAASeDlA/edit#gid=0"",""'Game 12'!$B$2:$Q$34""),33,False),1)"),12.0)</f>
        <v>12</v>
      </c>
      <c r="N60" s="5">
        <f>IFERROR(__xludf.DUMMYFUNCTION("IFERROR(HLOOKUP($A60,IMPORTRANGE(""https://docs.google.com/spreadsheets/d/1MNwUNMjcwK6bEgCXwB73jpbK5gJAXS8ZMpbEMLJEP3E/edit#gid=0"",""'Game 13'!$B$2:$Q$34""),33,False),1)"),8.0)</f>
        <v>8</v>
      </c>
      <c r="O60" s="5">
        <f>IFERROR(__xludf.DUMMYFUNCTION("IFERROR(HLOOKUP($A60,IMPORTRANGE(""https://docs.google.com/spreadsheets/d/1UrzyxmT40kDZwVrLMf1yyXfP-pyczRAw9Y8Rw-uXG3c/edit#gid=0"",""'Game 5'!$B$2:$Q$34""),33,False),1)"),0.0)</f>
        <v>0</v>
      </c>
      <c r="P60" s="5">
        <f>IFERROR(__xludf.DUMMYFUNCTION("IFERROR(HLOOKUP($A60,IMPORTRANGE(""https://docs.google.com/spreadsheets/d/1iyMhSYWifw-KGFtyeBpNxVZr4BhcV9hVZuShgJ9Ia0E/edit#gid=0"",""'Game 7'!$B$2:$Q$34""),33,False),1)"),4.0)</f>
        <v>4</v>
      </c>
      <c r="Q60" s="5">
        <f>IFERROR(__xludf.DUMMYFUNCTION("IFERROR(HLOOKUP($A60,IMPORTRANGE(""https://docs.google.com/spreadsheets/d/1sSbIK-vvHsSY0LghLJ9gcnW8Hec_ITI2tFmpeqI999A/edit#gid=0"",""'Game 12'!$B$2:$Q$34""),33,False),1)"),0.0)</f>
        <v>0</v>
      </c>
      <c r="R60" s="6">
        <f>TUHStand!R60</f>
        <v>138</v>
      </c>
      <c r="S60" s="6">
        <f t="shared" si="4"/>
        <v>48</v>
      </c>
      <c r="T60" s="6">
        <f t="shared" si="5"/>
        <v>8</v>
      </c>
      <c r="U60" s="6">
        <f t="shared" si="3"/>
        <v>34</v>
      </c>
    </row>
    <row r="61">
      <c r="A61" s="20" t="s">
        <v>154</v>
      </c>
      <c r="B61" s="13" t="s">
        <v>149</v>
      </c>
      <c r="C61" s="20">
        <v>0.0</v>
      </c>
      <c r="D61" s="20">
        <v>12.0</v>
      </c>
      <c r="E61" s="20">
        <v>12.0</v>
      </c>
      <c r="F61" s="20">
        <v>16.0</v>
      </c>
      <c r="G61" s="2">
        <v>20.0</v>
      </c>
      <c r="H61" s="12">
        <f>IFERROR(__xludf.DUMMYFUNCTION("HLOOKUP($A61,IMPORTRANGE(""https://docs.google.com/spreadsheets/d/16J5ie7OD1E99qGO9lMDm8w5Yls-v190B7DTolJ5TmFc/edit#gid=0"",""'Game 9'!$B$2:$Q$34""),33,False)"),12.0)</f>
        <v>12</v>
      </c>
      <c r="I61" s="2">
        <v>-4.0</v>
      </c>
      <c r="J61" s="12">
        <f>IFERROR(__xludf.DUMMYFUNCTION("IFERROR(HLOOKUP($A61,IMPORTRANGE(""https://docs.google.com/spreadsheets/d/1CTYfdyRk_RFGM3I2iN9bKeD9zUPzEm1ajzml6VgwfIU/edit#gid=0"",""'Game 12'!$B$2:$Q$34""),33,False),1)"),4.0)</f>
        <v>4</v>
      </c>
      <c r="K61" s="12">
        <f>IFERROR(__xludf.DUMMYFUNCTION("IFERROR(HLOOKUP($A61,IMPORTRANGE(""https://docs.google.com/spreadsheets/d/11NFkzOdQyW-OtxSDuGslNCgNjx7HUb2FU7KnlNnPMgY/edit#gid=0"",""'Game 9'!$B$2:$Q$34""),33,False),1)"),12.0)</f>
        <v>12</v>
      </c>
      <c r="L61" s="12">
        <f>IFERROR(__xludf.DUMMYFUNCTION("IFERROR(HLOOKUP($A61,IMPORTRANGE(""https://docs.google.com/spreadsheets/d/1CLg5-jaE4ta0-u4oE1qbBplQ5Mf3Oj9ONFgL0zJ7Ol4/edit#gid=0"",""'Game 12'!$B$2:$Q$34""),33,False),1)"),24.0)</f>
        <v>24</v>
      </c>
      <c r="M61" s="12">
        <f>IFERROR(__xludf.DUMMYFUNCTION("IFERROR(HLOOKUP($A61,IMPORTRANGE(""https://docs.google.com/spreadsheets/d/1CeexgK4KxWj3k_7nql_k8-RPxXMwTJyB4Q3vAASeDlA/edit#gid=0"",""'Game 12'!$B$2:$Q$34""),33,False),1)"),8.0)</f>
        <v>8</v>
      </c>
      <c r="N61" s="12">
        <f>IFERROR(__xludf.DUMMYFUNCTION("IFERROR(HLOOKUP($A61,IMPORTRANGE(""https://docs.google.com/spreadsheets/d/1MNwUNMjcwK6bEgCXwB73jpbK5gJAXS8ZMpbEMLJEP3E/edit#gid=0"",""'Game 13'!$B$2:$Q$34""),33,False),1)"),12.0)</f>
        <v>12</v>
      </c>
      <c r="O61" s="12">
        <f>IFERROR(__xludf.DUMMYFUNCTION("IFERROR(HLOOKUP($A61,IMPORTRANGE(""https://docs.google.com/spreadsheets/d/1UrzyxmT40kDZwVrLMf1yyXfP-pyczRAw9Y8Rw-uXG3c/edit#gid=0"",""'Game 5'!$B$2:$Q$34""),33,False),1)"),8.0)</f>
        <v>8</v>
      </c>
      <c r="P61" s="12">
        <f>IFERROR(__xludf.DUMMYFUNCTION("IFERROR(HLOOKUP($A61,IMPORTRANGE(""https://docs.google.com/spreadsheets/d/1iyMhSYWifw-KGFtyeBpNxVZr4BhcV9hVZuShgJ9Ia0E/edit#gid=0"",""'Game 7'!$B$2:$Q$34""),33,False),1)"),4.0)</f>
        <v>4</v>
      </c>
      <c r="Q61" s="12">
        <f>IFERROR(__xludf.DUMMYFUNCTION("IFERROR(HLOOKUP($A61,IMPORTRANGE(""https://docs.google.com/spreadsheets/d/1sSbIK-vvHsSY0LghLJ9gcnW8Hec_ITI2tFmpeqI999A/edit#gid=0"",""'Game 12'!$B$2:$Q$34""),33,False),1)"),24.0)</f>
        <v>24</v>
      </c>
      <c r="R61" s="13">
        <f>TUHStand!R61</f>
        <v>322</v>
      </c>
      <c r="S61" s="13">
        <f t="shared" si="4"/>
        <v>164</v>
      </c>
      <c r="T61" s="13">
        <f t="shared" si="5"/>
        <v>11.71428571</v>
      </c>
      <c r="U61" s="13">
        <f t="shared" si="3"/>
        <v>23</v>
      </c>
    </row>
    <row r="62">
      <c r="A62" s="18" t="s">
        <v>156</v>
      </c>
      <c r="B62" s="6" t="s">
        <v>149</v>
      </c>
      <c r="C62" s="18">
        <v>0.0</v>
      </c>
      <c r="D62" s="18">
        <v>0.0</v>
      </c>
      <c r="E62" s="18">
        <v>0.0</v>
      </c>
      <c r="F62" s="18">
        <v>4.0</v>
      </c>
      <c r="G62" s="3">
        <v>0.0</v>
      </c>
      <c r="H62" s="5">
        <f>IFERROR(__xludf.DUMMYFUNCTION("HLOOKUP($A62,IMPORTRANGE(""https://docs.google.com/spreadsheets/d/16J5ie7OD1E99qGO9lMDm8w5Yls-v190B7DTolJ5TmFc/edit#gid=0"",""'Game 9'!$B$2:$Q$34""),33,False)"),0.0)</f>
        <v>0</v>
      </c>
      <c r="I62" s="3">
        <v>0.0</v>
      </c>
      <c r="J62" s="5">
        <f>IFERROR(__xludf.DUMMYFUNCTION("IFERROR(HLOOKUP($A62,IMPORTRANGE(""https://docs.google.com/spreadsheets/d/1CTYfdyRk_RFGM3I2iN9bKeD9zUPzEm1ajzml6VgwfIU/edit#gid=0"",""'Game 12'!$B$2:$Q$34""),33,False),1)"),4.0)</f>
        <v>4</v>
      </c>
      <c r="K62" s="5">
        <f>IFERROR(__xludf.DUMMYFUNCTION("IFERROR(HLOOKUP($A62,IMPORTRANGE(""https://docs.google.com/spreadsheets/d/11NFkzOdQyW-OtxSDuGslNCgNjx7HUb2FU7KnlNnPMgY/edit#gid=0"",""'Game 9'!$B$2:$Q$34""),33,False),1)"),0.0)</f>
        <v>0</v>
      </c>
      <c r="L62" s="5">
        <f>IFERROR(__xludf.DUMMYFUNCTION("IFERROR(HLOOKUP($A62,IMPORTRANGE(""https://docs.google.com/spreadsheets/d/1CLg5-jaE4ta0-u4oE1qbBplQ5Mf3Oj9ONFgL0zJ7Ol4/edit#gid=0"",""'Game 12'!$B$2:$Q$34""),33,False),1)"),0.0)</f>
        <v>0</v>
      </c>
      <c r="M62" s="5">
        <f>IFERROR(__xludf.DUMMYFUNCTION("IFERROR(HLOOKUP($A62,IMPORTRANGE(""https://docs.google.com/spreadsheets/d/1CeexgK4KxWj3k_7nql_k8-RPxXMwTJyB4Q3vAASeDlA/edit#gid=0"",""'Game 12'!$B$2:$Q$34""),33,False),1)"),0.0)</f>
        <v>0</v>
      </c>
      <c r="N62" s="5">
        <f>IFERROR(__xludf.DUMMYFUNCTION("IFERROR(HLOOKUP($A62,IMPORTRANGE(""https://docs.google.com/spreadsheets/d/1MNwUNMjcwK6bEgCXwB73jpbK5gJAXS8ZMpbEMLJEP3E/edit#gid=0"",""'Game 13'!$B$2:$Q$34""),33,False),1)"),0.0)</f>
        <v>0</v>
      </c>
      <c r="O62" s="5">
        <f>IFERROR(__xludf.DUMMYFUNCTION("IFERROR(HLOOKUP($A62,IMPORTRANGE(""https://docs.google.com/spreadsheets/d/1UrzyxmT40kDZwVrLMf1yyXfP-pyczRAw9Y8Rw-uXG3c/edit#gid=0"",""'Game 5'!$B$2:$Q$34""),33,False),1)"),0.0)</f>
        <v>0</v>
      </c>
      <c r="P62" s="5">
        <f>IFERROR(__xludf.DUMMYFUNCTION("IFERROR(HLOOKUP($A62,IMPORTRANGE(""https://docs.google.com/spreadsheets/d/1iyMhSYWifw-KGFtyeBpNxVZr4BhcV9hVZuShgJ9Ia0E/edit#gid=0"",""'Game 7'!$B$2:$Q$34""),33,False),1)"),0.0)</f>
        <v>0</v>
      </c>
      <c r="Q62" s="5">
        <f>IFERROR(__xludf.DUMMYFUNCTION("IFERROR(HLOOKUP($A62,IMPORTRANGE(""https://docs.google.com/spreadsheets/d/1sSbIK-vvHsSY0LghLJ9gcnW8Hec_ITI2tFmpeqI999A/edit#gid=0"",""'Game 12'!$B$2:$Q$34""),33,False),1)"),0.0)</f>
        <v>0</v>
      </c>
      <c r="R62" s="6">
        <f>TUHStand!R62</f>
        <v>172</v>
      </c>
      <c r="S62" s="6">
        <f t="shared" si="4"/>
        <v>8</v>
      </c>
      <c r="T62" s="6">
        <f t="shared" si="5"/>
        <v>1.069767442</v>
      </c>
      <c r="U62" s="6">
        <f t="shared" si="3"/>
        <v>112</v>
      </c>
    </row>
    <row r="63">
      <c r="A63" s="20" t="s">
        <v>157</v>
      </c>
      <c r="B63" s="13" t="s">
        <v>149</v>
      </c>
      <c r="C63" s="20">
        <v>12.0</v>
      </c>
      <c r="D63" s="20">
        <v>4.0</v>
      </c>
      <c r="E63" s="20">
        <v>0.0</v>
      </c>
      <c r="F63" s="20">
        <v>4.0</v>
      </c>
      <c r="G63" s="2">
        <v>4.0</v>
      </c>
      <c r="H63" s="12">
        <f>IFERROR(__xludf.DUMMYFUNCTION("HLOOKUP($A63,IMPORTRANGE(""https://docs.google.com/spreadsheets/d/16J5ie7OD1E99qGO9lMDm8w5Yls-v190B7DTolJ5TmFc/edit#gid=0"",""'Game 9'!$B$2:$Q$34""),33,False)"),0.0)</f>
        <v>0</v>
      </c>
      <c r="I63" s="2">
        <v>0.0</v>
      </c>
      <c r="J63" s="12">
        <f>IFERROR(__xludf.DUMMYFUNCTION("IFERROR(HLOOKUP($A63,IMPORTRANGE(""https://docs.google.com/spreadsheets/d/1CTYfdyRk_RFGM3I2iN9bKeD9zUPzEm1ajzml6VgwfIU/edit#gid=0"",""'Game 12'!$B$2:$Q$34""),33,False),1)"),0.0)</f>
        <v>0</v>
      </c>
      <c r="K63" s="12">
        <f>IFERROR(__xludf.DUMMYFUNCTION("IFERROR(HLOOKUP($A63,IMPORTRANGE(""https://docs.google.com/spreadsheets/d/11NFkzOdQyW-OtxSDuGslNCgNjx7HUb2FU7KnlNnPMgY/edit#gid=0"",""'Game 9'!$B$2:$Q$34""),33,False),1)"),0.0)</f>
        <v>0</v>
      </c>
      <c r="L63" s="12">
        <f>IFERROR(__xludf.DUMMYFUNCTION("IFERROR(HLOOKUP($A63,IMPORTRANGE(""https://docs.google.com/spreadsheets/d/1CLg5-jaE4ta0-u4oE1qbBplQ5Mf3Oj9ONFgL0zJ7Ol4/edit#gid=0"",""'Game 12'!$B$2:$Q$34""),33,False),1)"),4.0)</f>
        <v>4</v>
      </c>
      <c r="M63" s="12">
        <f>IFERROR(__xludf.DUMMYFUNCTION("IFERROR(HLOOKUP($A63,IMPORTRANGE(""https://docs.google.com/spreadsheets/d/1CeexgK4KxWj3k_7nql_k8-RPxXMwTJyB4Q3vAASeDlA/edit#gid=0"",""'Game 12'!$B$2:$Q$34""),33,False),1)"),4.0)</f>
        <v>4</v>
      </c>
      <c r="N63" s="12">
        <f>IFERROR(__xludf.DUMMYFUNCTION("IFERROR(HLOOKUP($A63,IMPORTRANGE(""https://docs.google.com/spreadsheets/d/1MNwUNMjcwK6bEgCXwB73jpbK5gJAXS8ZMpbEMLJEP3E/edit#gid=0"",""'Game 13'!$B$2:$Q$34""),33,False),1)"),0.0)</f>
        <v>0</v>
      </c>
      <c r="O63" s="12">
        <f>IFERROR(__xludf.DUMMYFUNCTION("IFERROR(HLOOKUP($A63,IMPORTRANGE(""https://docs.google.com/spreadsheets/d/1UrzyxmT40kDZwVrLMf1yyXfP-pyczRAw9Y8Rw-uXG3c/edit#gid=0"",""'Game 5'!$B$2:$Q$34""),33,False),1)"),0.0)</f>
        <v>0</v>
      </c>
      <c r="P63" s="12">
        <f>IFERROR(__xludf.DUMMYFUNCTION("IFERROR(HLOOKUP($A63,IMPORTRANGE(""https://docs.google.com/spreadsheets/d/1iyMhSYWifw-KGFtyeBpNxVZr4BhcV9hVZuShgJ9Ia0E/edit#gid=0"",""'Game 7'!$B$2:$Q$34""),33,False),1)"),8.0)</f>
        <v>8</v>
      </c>
      <c r="Q63" s="12">
        <f>IFERROR(__xludf.DUMMYFUNCTION("IFERROR(HLOOKUP($A63,IMPORTRANGE(""https://docs.google.com/spreadsheets/d/1sSbIK-vvHsSY0LghLJ9gcnW8Hec_ITI2tFmpeqI999A/edit#gid=0"",""'Game 12'!$B$2:$Q$34""),33,False),1)"),0.0)</f>
        <v>0</v>
      </c>
      <c r="R63" s="13">
        <f>TUHStand!R63</f>
        <v>345</v>
      </c>
      <c r="S63" s="13">
        <f t="shared" si="4"/>
        <v>40</v>
      </c>
      <c r="T63" s="13">
        <f t="shared" si="5"/>
        <v>2.666666667</v>
      </c>
      <c r="U63" s="13">
        <f t="shared" si="3"/>
        <v>86</v>
      </c>
    </row>
    <row r="64">
      <c r="A64" s="18" t="s">
        <v>159</v>
      </c>
      <c r="B64" s="6" t="s">
        <v>149</v>
      </c>
      <c r="C64" s="18">
        <v>0.0</v>
      </c>
      <c r="D64" s="18">
        <v>0.0</v>
      </c>
      <c r="E64" s="18">
        <v>0.0</v>
      </c>
      <c r="F64" s="18">
        <v>0.0</v>
      </c>
      <c r="G64" s="3">
        <v>4.0</v>
      </c>
      <c r="H64" s="5">
        <f>IFERROR(__xludf.DUMMYFUNCTION("HLOOKUP($A64,IMPORTRANGE(""https://docs.google.com/spreadsheets/d/16J5ie7OD1E99qGO9lMDm8w5Yls-v190B7DTolJ5TmFc/edit#gid=0"",""'Game 9'!$B$2:$Q$34""),33,False)"),0.0)</f>
        <v>0</v>
      </c>
      <c r="I64" s="3">
        <v>0.0</v>
      </c>
      <c r="J64" s="5">
        <f>IFERROR(__xludf.DUMMYFUNCTION("IFERROR(HLOOKUP($A64,IMPORTRANGE(""https://docs.google.com/spreadsheets/d/1CTYfdyRk_RFGM3I2iN9bKeD9zUPzEm1ajzml6VgwfIU/edit#gid=0"",""'Game 12'!$B$2:$Q$34""),33,False),1)"),4.0)</f>
        <v>4</v>
      </c>
      <c r="K64" s="5">
        <f>IFERROR(__xludf.DUMMYFUNCTION("IFERROR(HLOOKUP($A64,IMPORTRANGE(""https://docs.google.com/spreadsheets/d/11NFkzOdQyW-OtxSDuGslNCgNjx7HUb2FU7KnlNnPMgY/edit#gid=0"",""'Game 9'!$B$2:$Q$34""),33,False),1)"),0.0)</f>
        <v>0</v>
      </c>
      <c r="L64" s="5">
        <f>IFERROR(__xludf.DUMMYFUNCTION("IFERROR(HLOOKUP($A64,IMPORTRANGE(""https://docs.google.com/spreadsheets/d/1CLg5-jaE4ta0-u4oE1qbBplQ5Mf3Oj9ONFgL0zJ7Ol4/edit#gid=0"",""'Game 12'!$B$2:$Q$34""),33,False),1)"),4.0)</f>
        <v>4</v>
      </c>
      <c r="M64" s="5">
        <f>IFERROR(__xludf.DUMMYFUNCTION("IFERROR(HLOOKUP($A64,IMPORTRANGE(""https://docs.google.com/spreadsheets/d/1CeexgK4KxWj3k_7nql_k8-RPxXMwTJyB4Q3vAASeDlA/edit#gid=0"",""'Game 12'!$B$2:$Q$34""),33,False),1)"),0.0)</f>
        <v>0</v>
      </c>
      <c r="N64" s="5">
        <f>IFERROR(__xludf.DUMMYFUNCTION("IFERROR(HLOOKUP($A64,IMPORTRANGE(""https://docs.google.com/spreadsheets/d/1MNwUNMjcwK6bEgCXwB73jpbK5gJAXS8ZMpbEMLJEP3E/edit#gid=0"",""'Game 13'!$B$2:$Q$34""),33,False),1)"),0.0)</f>
        <v>0</v>
      </c>
      <c r="O64" s="5">
        <f>IFERROR(__xludf.DUMMYFUNCTION("IFERROR(HLOOKUP($A64,IMPORTRANGE(""https://docs.google.com/spreadsheets/d/1UrzyxmT40kDZwVrLMf1yyXfP-pyczRAw9Y8Rw-uXG3c/edit#gid=0"",""'Game 5'!$B$2:$Q$34""),33,False),1)"),4.0)</f>
        <v>4</v>
      </c>
      <c r="P64" s="5">
        <f>IFERROR(__xludf.DUMMYFUNCTION("IFERROR(HLOOKUP($A64,IMPORTRANGE(""https://docs.google.com/spreadsheets/d/1iyMhSYWifw-KGFtyeBpNxVZr4BhcV9hVZuShgJ9Ia0E/edit#gid=0"",""'Game 7'!$B$2:$Q$34""),33,False),1)"),0.0)</f>
        <v>0</v>
      </c>
      <c r="Q64" s="5">
        <f>IFERROR(__xludf.DUMMYFUNCTION("IFERROR(HLOOKUP($A64,IMPORTRANGE(""https://docs.google.com/spreadsheets/d/1sSbIK-vvHsSY0LghLJ9gcnW8Hec_ITI2tFmpeqI999A/edit#gid=0"",""'Game 12'!$B$2:$Q$34""),33,False),1)"),0.0)</f>
        <v>0</v>
      </c>
      <c r="R64" s="6">
        <f>TUHStand!R64</f>
        <v>322</v>
      </c>
      <c r="S64" s="6">
        <f t="shared" si="4"/>
        <v>16</v>
      </c>
      <c r="T64" s="6">
        <f t="shared" si="5"/>
        <v>1.142857143</v>
      </c>
      <c r="U64" s="6">
        <f t="shared" si="3"/>
        <v>111</v>
      </c>
    </row>
    <row r="65">
      <c r="A65" s="20" t="s">
        <v>161</v>
      </c>
      <c r="B65" s="13" t="s">
        <v>162</v>
      </c>
      <c r="C65" s="20">
        <v>20.0</v>
      </c>
      <c r="D65" s="20">
        <v>12.0</v>
      </c>
      <c r="E65" s="20">
        <v>0.0</v>
      </c>
      <c r="F65" s="20">
        <v>0.0</v>
      </c>
      <c r="G65" s="2">
        <v>0.0</v>
      </c>
      <c r="H65" s="12">
        <f>IFERROR(__xludf.DUMMYFUNCTION("HLOOKUP($A65,IMPORTRANGE(""https://docs.google.com/spreadsheets/d/16J5ie7OD1E99qGO9lMDm8w5Yls-v190B7DTolJ5TmFc/edit#gid=0"",""'Game 9'!$B$2:$Q$34""),33,False)"),12.0)</f>
        <v>12</v>
      </c>
      <c r="I65" s="2">
        <v>12.0</v>
      </c>
      <c r="J65" s="12">
        <f>IFERROR(__xludf.DUMMYFUNCTION("IFERROR(HLOOKUP($A65,IMPORTRANGE(""https://docs.google.com/spreadsheets/d/1CTYfdyRk_RFGM3I2iN9bKeD9zUPzEm1ajzml6VgwfIU/edit#gid=0"",""'Game 6'!$B$2:$Q$34""),33,False),1)"),0.0)</f>
        <v>0</v>
      </c>
      <c r="K65" s="12">
        <f>IFERROR(__xludf.DUMMYFUNCTION("IFERROR(HLOOKUP($A65,IMPORTRANGE(""https://docs.google.com/spreadsheets/d/11NFkzOdQyW-OtxSDuGslNCgNjx7HUb2FU7KnlNnPMgY/edit#gid=0"",""'Game 1'!$B$2:$Q$34""),33,False),1)"),20.0)</f>
        <v>20</v>
      </c>
      <c r="L65" s="12">
        <f>IFERROR(__xludf.DUMMYFUNCTION("IFERROR(HLOOKUP($A65,IMPORTRANGE(""https://docs.google.com/spreadsheets/d/1CLg5-jaE4ta0-u4oE1qbBplQ5Mf3Oj9ONFgL0zJ7Ol4/edit#gid=0"",""'Game 8'!$B$2:$Q$34""),33,False),1)"),16.0)</f>
        <v>16</v>
      </c>
      <c r="M65" s="12">
        <f>IFERROR(__xludf.DUMMYFUNCTION("IFERROR(HLOOKUP($A65,IMPORTRANGE(""https://docs.google.com/spreadsheets/d/1CeexgK4KxWj3k_7nql_k8-RPxXMwTJyB4Q3vAASeDlA/edit#gid=0"",""'Game 3'!$B$2:$Q$34""),33,False),1)"),16.0)</f>
        <v>16</v>
      </c>
      <c r="N65" s="12">
        <f>IFERROR(__xludf.DUMMYFUNCTION("IFERROR(HLOOKUP($A65,IMPORTRANGE(""https://docs.google.com/spreadsheets/d/1MNwUNMjcwK6bEgCXwB73jpbK5gJAXS8ZMpbEMLJEP3E/edit#gid=0"",""'Game 2'!$B$2:$Q$34""),33,False),1)"),12.0)</f>
        <v>12</v>
      </c>
      <c r="O65" s="12">
        <f>IFERROR(__xludf.DUMMYFUNCTION("IFERROR(HLOOKUP($A65,IMPORTRANGE(""https://docs.google.com/spreadsheets/d/1UrzyxmT40kDZwVrLMf1yyXfP-pyczRAw9Y8Rw-uXG3c/edit#gid=0"",""'Game 7'!$B$2:$Q$34""),33,False),1)"),8.0)</f>
        <v>8</v>
      </c>
      <c r="P65" s="12">
        <f>IFERROR(__xludf.DUMMYFUNCTION("IFERROR(HLOOKUP($A65,IMPORTRANGE(""https://docs.google.com/spreadsheets/d/1iyMhSYWifw-KGFtyeBpNxVZr4BhcV9hVZuShgJ9Ia0E/edit#gid=0"",""'Game 8'!$B$2:$Q$34""),33,False),1)"),20.0)</f>
        <v>20</v>
      </c>
      <c r="Q65" s="12">
        <f>IFERROR(__xludf.DUMMYFUNCTION("IFERROR(HLOOKUP($A65,IMPORTRANGE(""https://docs.google.com/spreadsheets/d/1sSbIK-vvHsSY0LghLJ9gcnW8Hec_ITI2tFmpeqI999A/edit#gid=0"",""'Game 6'!$B$2:$Q$34""),33,False),1)"),16.0)</f>
        <v>16</v>
      </c>
      <c r="R65" s="13">
        <f>TUHStand!R65</f>
        <v>322</v>
      </c>
      <c r="S65" s="13">
        <f t="shared" si="4"/>
        <v>164</v>
      </c>
      <c r="T65" s="13">
        <f t="shared" si="5"/>
        <v>11.71428571</v>
      </c>
      <c r="U65" s="13">
        <f t="shared" si="3"/>
        <v>23</v>
      </c>
    </row>
    <row r="66">
      <c r="A66" s="18" t="s">
        <v>164</v>
      </c>
      <c r="B66" s="6" t="s">
        <v>162</v>
      </c>
      <c r="C66" s="18">
        <v>0.0</v>
      </c>
      <c r="D66" s="18">
        <v>0.0</v>
      </c>
      <c r="E66" s="18">
        <v>4.0</v>
      </c>
      <c r="F66" s="18">
        <v>0.0</v>
      </c>
      <c r="G66" s="3">
        <v>8.0</v>
      </c>
      <c r="H66" s="5">
        <f>IFERROR(__xludf.DUMMYFUNCTION("HLOOKUP($A66,IMPORTRANGE(""https://docs.google.com/spreadsheets/d/16J5ie7OD1E99qGO9lMDm8w5Yls-v190B7DTolJ5TmFc/edit#gid=0"",""'Game 9'!$B$2:$Q$34""),33,False)"),0.0)</f>
        <v>0</v>
      </c>
      <c r="I66" s="3">
        <v>0.0</v>
      </c>
      <c r="J66" s="5">
        <f>IFERROR(__xludf.DUMMYFUNCTION("IFERROR(HLOOKUP($A66,IMPORTRANGE(""https://docs.google.com/spreadsheets/d/1CTYfdyRk_RFGM3I2iN9bKeD9zUPzEm1ajzml6VgwfIU/edit#gid=0"",""'Game 6'!$B$2:$Q$34""),33,False),1)"),0.0)</f>
        <v>0</v>
      </c>
      <c r="K66" s="5">
        <f>IFERROR(__xludf.DUMMYFUNCTION("IFERROR(HLOOKUP($A66,IMPORTRANGE(""https://docs.google.com/spreadsheets/d/11NFkzOdQyW-OtxSDuGslNCgNjx7HUb2FU7KnlNnPMgY/edit#gid=0"",""'Game 1'!$B$2:$Q$34""),33,False),1)"),0.0)</f>
        <v>0</v>
      </c>
      <c r="L66" s="5">
        <f>IFERROR(__xludf.DUMMYFUNCTION("IFERROR(HLOOKUP($A66,IMPORTRANGE(""https://docs.google.com/spreadsheets/d/1CLg5-jaE4ta0-u4oE1qbBplQ5Mf3Oj9ONFgL0zJ7Ol4/edit#gid=0"",""'Game 8'!$B$2:$Q$34""),33,False),1)"),0.0)</f>
        <v>0</v>
      </c>
      <c r="M66" s="5">
        <f>IFERROR(__xludf.DUMMYFUNCTION("IFERROR(HLOOKUP($A66,IMPORTRANGE(""https://docs.google.com/spreadsheets/d/1CeexgK4KxWj3k_7nql_k8-RPxXMwTJyB4Q3vAASeDlA/edit#gid=0"",""'Game 3'!$B$2:$Q$34""),33,False),1)"),0.0)</f>
        <v>0</v>
      </c>
      <c r="N66" s="5">
        <f>IFERROR(__xludf.DUMMYFUNCTION("IFERROR(HLOOKUP($A66,IMPORTRANGE(""https://docs.google.com/spreadsheets/d/1MNwUNMjcwK6bEgCXwB73jpbK5gJAXS8ZMpbEMLJEP3E/edit#gid=0"",""'Game 2'!$B$2:$Q$34""),33,False),1)"),0.0)</f>
        <v>0</v>
      </c>
      <c r="O66" s="5">
        <f>IFERROR(__xludf.DUMMYFUNCTION("IFERROR(HLOOKUP($A66,IMPORTRANGE(""https://docs.google.com/spreadsheets/d/1UrzyxmT40kDZwVrLMf1yyXfP-pyczRAw9Y8Rw-uXG3c/edit#gid=0"",""'Game 7'!$B$2:$Q$34""),33,False),1)"),0.0)</f>
        <v>0</v>
      </c>
      <c r="P66" s="5">
        <f>IFERROR(__xludf.DUMMYFUNCTION("IFERROR(HLOOKUP($A66,IMPORTRANGE(""https://docs.google.com/spreadsheets/d/1iyMhSYWifw-KGFtyeBpNxVZr4BhcV9hVZuShgJ9Ia0E/edit#gid=0"",""'Game 8'!$B$2:$Q$34""),33,False),1)"),0.0)</f>
        <v>0</v>
      </c>
      <c r="Q66" s="5">
        <f>IFERROR(__xludf.DUMMYFUNCTION("IFERROR(HLOOKUP($A66,IMPORTRANGE(""https://docs.google.com/spreadsheets/d/1sSbIK-vvHsSY0LghLJ9gcnW8Hec_ITI2tFmpeqI999A/edit#gid=0"",""'Game 6'!$B$2:$Q$34""),33,False),1)"),0.0)</f>
        <v>0</v>
      </c>
      <c r="R66" s="6">
        <f>TUHStand!R66</f>
        <v>196</v>
      </c>
      <c r="S66" s="6">
        <f t="shared" si="4"/>
        <v>12</v>
      </c>
      <c r="T66" s="6">
        <f t="shared" si="5"/>
        <v>1.408163265</v>
      </c>
      <c r="U66" s="6">
        <f t="shared" si="3"/>
        <v>107</v>
      </c>
    </row>
    <row r="67">
      <c r="A67" s="2" t="s">
        <v>167</v>
      </c>
      <c r="B67" s="13" t="s">
        <v>162</v>
      </c>
      <c r="C67" s="20">
        <v>0.0</v>
      </c>
      <c r="D67" s="20">
        <v>0.0</v>
      </c>
      <c r="E67" s="20">
        <v>0.0</v>
      </c>
      <c r="F67" s="20">
        <v>0.0</v>
      </c>
      <c r="G67" s="2">
        <v>4.0</v>
      </c>
      <c r="H67" s="12">
        <f>IFERROR(__xludf.DUMMYFUNCTION("HLOOKUP($A67,IMPORTRANGE(""https://docs.google.com/spreadsheets/d/16J5ie7OD1E99qGO9lMDm8w5Yls-v190B7DTolJ5TmFc/edit#gid=0"",""'Game 9'!$B$2:$Q$34""),33,False)"),4.0)</f>
        <v>4</v>
      </c>
      <c r="I67" s="2">
        <v>4.0</v>
      </c>
      <c r="J67" s="12">
        <f>IFERROR(__xludf.DUMMYFUNCTION("IFERROR(HLOOKUP($A67,IMPORTRANGE(""https://docs.google.com/spreadsheets/d/1CTYfdyRk_RFGM3I2iN9bKeD9zUPzEm1ajzml6VgwfIU/edit#gid=0"",""'Game 6'!$B$2:$Q$34""),33,False),1)"),0.0)</f>
        <v>0</v>
      </c>
      <c r="K67" s="12">
        <f>IFERROR(__xludf.DUMMYFUNCTION("IFERROR(HLOOKUP($A67,IMPORTRANGE(""https://docs.google.com/spreadsheets/d/11NFkzOdQyW-OtxSDuGslNCgNjx7HUb2FU7KnlNnPMgY/edit#gid=0"",""'Game 1'!$B$2:$Q$34""),33,False),1)"),8.0)</f>
        <v>8</v>
      </c>
      <c r="L67" s="12">
        <f>IFERROR(__xludf.DUMMYFUNCTION("IFERROR(HLOOKUP($A67,IMPORTRANGE(""https://docs.google.com/spreadsheets/d/1CLg5-jaE4ta0-u4oE1qbBplQ5Mf3Oj9ONFgL0zJ7Ol4/edit#gid=0"",""'Game 8'!$B$2:$Q$34""),33,False),1)"),0.0)</f>
        <v>0</v>
      </c>
      <c r="M67" s="12">
        <f>IFERROR(__xludf.DUMMYFUNCTION("IFERROR(HLOOKUP($A67,IMPORTRANGE(""https://docs.google.com/spreadsheets/d/1CeexgK4KxWj3k_7nql_k8-RPxXMwTJyB4Q3vAASeDlA/edit#gid=0"",""'Game 3'!$B$2:$Q$34""),33,False),1)"),0.0)</f>
        <v>0</v>
      </c>
      <c r="N67" s="12">
        <f>IFERROR(__xludf.DUMMYFUNCTION("IFERROR(HLOOKUP($A67,IMPORTRANGE(""https://docs.google.com/spreadsheets/d/1MNwUNMjcwK6bEgCXwB73jpbK5gJAXS8ZMpbEMLJEP3E/edit#gid=0"",""'Game 2'!$B$2:$Q$34""),33,False),1)"),0.0)</f>
        <v>0</v>
      </c>
      <c r="O67" s="12">
        <f>IFERROR(__xludf.DUMMYFUNCTION("IFERROR(HLOOKUP($A67,IMPORTRANGE(""https://docs.google.com/spreadsheets/d/1UrzyxmT40kDZwVrLMf1yyXfP-pyczRAw9Y8Rw-uXG3c/edit#gid=0"",""'Game 7'!$B$2:$Q$34""),33,False),1)"),0.0)</f>
        <v>0</v>
      </c>
      <c r="P67" s="12">
        <f>IFERROR(__xludf.DUMMYFUNCTION("IFERROR(HLOOKUP($A67,IMPORTRANGE(""https://docs.google.com/spreadsheets/d/1iyMhSYWifw-KGFtyeBpNxVZr4BhcV9hVZuShgJ9Ia0E/edit#gid=0"",""'Game 8'!$B$2:$Q$34""),33,False),1)"),4.0)</f>
        <v>4</v>
      </c>
      <c r="Q67" s="12">
        <f>IFERROR(__xludf.DUMMYFUNCTION("IFERROR(HLOOKUP($A67,IMPORTRANGE(""https://docs.google.com/spreadsheets/d/1sSbIK-vvHsSY0LghLJ9gcnW8Hec_ITI2tFmpeqI999A/edit#gid=0"",""'Game 6'!$B$2:$Q$34""),33,False),1)"),0.0)</f>
        <v>0</v>
      </c>
      <c r="R67" s="13">
        <f>TUHStand!R67</f>
        <v>299</v>
      </c>
      <c r="S67" s="13">
        <f t="shared" si="4"/>
        <v>24</v>
      </c>
      <c r="T67" s="13">
        <f t="shared" si="5"/>
        <v>1.846153846</v>
      </c>
      <c r="U67" s="13">
        <f t="shared" si="3"/>
        <v>95</v>
      </c>
    </row>
    <row r="68">
      <c r="A68" s="18" t="s">
        <v>169</v>
      </c>
      <c r="B68" s="18" t="s">
        <v>162</v>
      </c>
      <c r="C68" s="18">
        <v>4.0</v>
      </c>
      <c r="D68" s="18">
        <v>20.0</v>
      </c>
      <c r="E68" s="18">
        <v>32.0</v>
      </c>
      <c r="F68" s="18">
        <v>20.0</v>
      </c>
      <c r="G68" s="3">
        <v>8.0</v>
      </c>
      <c r="H68" s="5">
        <f>IFERROR(__xludf.DUMMYFUNCTION("HLOOKUP($A68,IMPORTRANGE(""https://docs.google.com/spreadsheets/d/16J5ie7OD1E99qGO9lMDm8w5Yls-v190B7DTolJ5TmFc/edit#gid=0"",""'Game 9'!$B$2:$Q$34""),33,False)"),8.0)</f>
        <v>8</v>
      </c>
      <c r="I68" s="3">
        <v>0.0</v>
      </c>
      <c r="J68" s="5">
        <f>IFERROR(__xludf.DUMMYFUNCTION("IFERROR(HLOOKUP($A68,IMPORTRANGE(""https://docs.google.com/spreadsheets/d/1CTYfdyRk_RFGM3I2iN9bKeD9zUPzEm1ajzml6VgwfIU/edit#gid=0"",""'Game 6'!$B$2:$Q$34""),33,False),1)"),12.0)</f>
        <v>12</v>
      </c>
      <c r="K68" s="5">
        <f>IFERROR(__xludf.DUMMYFUNCTION("IFERROR(HLOOKUP($A68,IMPORTRANGE(""https://docs.google.com/spreadsheets/d/11NFkzOdQyW-OtxSDuGslNCgNjx7HUb2FU7KnlNnPMgY/edit#gid=0"",""'Game 1'!$B$2:$Q$34""),33,False),1)"),20.0)</f>
        <v>20</v>
      </c>
      <c r="L68" s="5">
        <f>IFERROR(__xludf.DUMMYFUNCTION("IFERROR(HLOOKUP($A68,IMPORTRANGE(""https://docs.google.com/spreadsheets/d/1CLg5-jaE4ta0-u4oE1qbBplQ5Mf3Oj9ONFgL0zJ7Ol4/edit#gid=0"",""'Game 8'!$B$2:$Q$34""),33,False),1)"),24.0)</f>
        <v>24</v>
      </c>
      <c r="M68" s="5">
        <f>IFERROR(__xludf.DUMMYFUNCTION("IFERROR(HLOOKUP($A68,IMPORTRANGE(""https://docs.google.com/spreadsheets/d/1CeexgK4KxWj3k_7nql_k8-RPxXMwTJyB4Q3vAASeDlA/edit#gid=0"",""'Game 3'!$B$2:$Q$34""),33,False),1)"),12.0)</f>
        <v>12</v>
      </c>
      <c r="N68" s="5">
        <f>IFERROR(__xludf.DUMMYFUNCTION("IFERROR(HLOOKUP($A68,IMPORTRANGE(""https://docs.google.com/spreadsheets/d/1MNwUNMjcwK6bEgCXwB73jpbK5gJAXS8ZMpbEMLJEP3E/edit#gid=0"",""'Game 2'!$B$2:$Q$34""),33,False),1)"),16.0)</f>
        <v>16</v>
      </c>
      <c r="O68" s="5">
        <f>IFERROR(__xludf.DUMMYFUNCTION("IFERROR(HLOOKUP($A68,IMPORTRANGE(""https://docs.google.com/spreadsheets/d/1UrzyxmT40kDZwVrLMf1yyXfP-pyczRAw9Y8Rw-uXG3c/edit#gid=0"",""'Game 7'!$B$2:$Q$34""),33,False),1)"),16.0)</f>
        <v>16</v>
      </c>
      <c r="P68" s="5">
        <f>IFERROR(__xludf.DUMMYFUNCTION("IFERROR(HLOOKUP($A68,IMPORTRANGE(""https://docs.google.com/spreadsheets/d/1iyMhSYWifw-KGFtyeBpNxVZr4BhcV9hVZuShgJ9Ia0E/edit#gid=0"",""'Game 8'!$B$2:$Q$34""),33,False),1)"),4.0)</f>
        <v>4</v>
      </c>
      <c r="Q68" s="5">
        <f>IFERROR(__xludf.DUMMYFUNCTION("IFERROR(HLOOKUP($A68,IMPORTRANGE(""https://docs.google.com/spreadsheets/d/1sSbIK-vvHsSY0LghLJ9gcnW8Hec_ITI2tFmpeqI999A/edit#gid=0"",""'Game 6'!$B$2:$Q$34""),33,False),1)"),20.0)</f>
        <v>20</v>
      </c>
      <c r="R68" s="6">
        <f>TUHStand!R68</f>
        <v>310</v>
      </c>
      <c r="S68" s="6">
        <f t="shared" si="4"/>
        <v>216</v>
      </c>
      <c r="T68" s="6">
        <f t="shared" si="5"/>
        <v>16.02580645</v>
      </c>
      <c r="U68" s="6">
        <f t="shared" si="3"/>
        <v>8</v>
      </c>
    </row>
    <row r="69">
      <c r="A69" s="20" t="s">
        <v>171</v>
      </c>
      <c r="B69" s="20" t="s">
        <v>162</v>
      </c>
      <c r="C69" s="20">
        <v>0.0</v>
      </c>
      <c r="D69" s="20">
        <v>0.0</v>
      </c>
      <c r="E69" s="20">
        <v>0.0</v>
      </c>
      <c r="F69" s="20">
        <v>-4.0</v>
      </c>
      <c r="G69" s="2">
        <v>0.0</v>
      </c>
      <c r="H69" s="12">
        <f>IFERROR(__xludf.DUMMYFUNCTION("HLOOKUP($A69,IMPORTRANGE(""https://docs.google.com/spreadsheets/d/16J5ie7OD1E99qGO9lMDm8w5Yls-v190B7DTolJ5TmFc/edit#gid=0"",""'Game 9'!$B$2:$Q$34""),33,False)"),0.0)</f>
        <v>0</v>
      </c>
      <c r="I69" s="2">
        <v>4.0</v>
      </c>
      <c r="J69" s="12">
        <f>IFERROR(__xludf.DUMMYFUNCTION("IFERROR(HLOOKUP($A69,IMPORTRANGE(""https://docs.google.com/spreadsheets/d/1CTYfdyRk_RFGM3I2iN9bKeD9zUPzEm1ajzml6VgwfIU/edit#gid=0"",""'Game 6'!$B$2:$Q$34""),33,False),1)"),0.0)</f>
        <v>0</v>
      </c>
      <c r="K69" s="12">
        <f>IFERROR(__xludf.DUMMYFUNCTION("IFERROR(HLOOKUP($A69,IMPORTRANGE(""https://docs.google.com/spreadsheets/d/11NFkzOdQyW-OtxSDuGslNCgNjx7HUb2FU7KnlNnPMgY/edit#gid=0"",""'Game 1'!$B$2:$Q$34""),33,False),1)"),0.0)</f>
        <v>0</v>
      </c>
      <c r="L69" s="12">
        <f>IFERROR(__xludf.DUMMYFUNCTION("IFERROR(HLOOKUP($A69,IMPORTRANGE(""https://docs.google.com/spreadsheets/d/1CLg5-jaE4ta0-u4oE1qbBplQ5Mf3Oj9ONFgL0zJ7Ol4/edit#gid=0"",""'Game 8'!$B$2:$Q$34""),33,False),1)"),0.0)</f>
        <v>0</v>
      </c>
      <c r="M69" s="12">
        <f>IFERROR(__xludf.DUMMYFUNCTION("IFERROR(HLOOKUP($A69,IMPORTRANGE(""https://docs.google.com/spreadsheets/d/1CeexgK4KxWj3k_7nql_k8-RPxXMwTJyB4Q3vAASeDlA/edit#gid=0"",""'Game 3'!$B$2:$Q$34""),33,False),1)"),4.0)</f>
        <v>4</v>
      </c>
      <c r="N69" s="12">
        <f>IFERROR(__xludf.DUMMYFUNCTION("IFERROR(HLOOKUP($A69,IMPORTRANGE(""https://docs.google.com/spreadsheets/d/1MNwUNMjcwK6bEgCXwB73jpbK5gJAXS8ZMpbEMLJEP3E/edit#gid=0"",""'Game 2'!$B$2:$Q$34""),33,False),1)"),0.0)</f>
        <v>0</v>
      </c>
      <c r="O69" s="12">
        <f>IFERROR(__xludf.DUMMYFUNCTION("IFERROR(HLOOKUP($A69,IMPORTRANGE(""https://docs.google.com/spreadsheets/d/1UrzyxmT40kDZwVrLMf1yyXfP-pyczRAw9Y8Rw-uXG3c/edit#gid=0"",""'Game 7'!$B$2:$Q$34""),33,False),1)"),0.0)</f>
        <v>0</v>
      </c>
      <c r="P69" s="12">
        <f>IFERROR(__xludf.DUMMYFUNCTION("IFERROR(HLOOKUP($A69,IMPORTRANGE(""https://docs.google.com/spreadsheets/d/1iyMhSYWifw-KGFtyeBpNxVZr4BhcV9hVZuShgJ9Ia0E/edit#gid=0"",""'Game 8'!$B$2:$Q$34""),33,False),1)"),0.0)</f>
        <v>0</v>
      </c>
      <c r="Q69" s="12">
        <f>IFERROR(__xludf.DUMMYFUNCTION("IFERROR(HLOOKUP($A69,IMPORTRANGE(""https://docs.google.com/spreadsheets/d/1sSbIK-vvHsSY0LghLJ9gcnW8Hec_ITI2tFmpeqI999A/edit#gid=0"",""'Game 6'!$B$2:$Q$34""),33,False),1)"),4.0)</f>
        <v>4</v>
      </c>
      <c r="R69" s="13">
        <f>TUHStand!R69</f>
        <v>253</v>
      </c>
      <c r="S69" s="13">
        <f t="shared" si="4"/>
        <v>8</v>
      </c>
      <c r="T69" s="13">
        <f t="shared" si="5"/>
        <v>0.7272727273</v>
      </c>
      <c r="U69" s="13">
        <f t="shared" si="3"/>
        <v>117</v>
      </c>
    </row>
    <row r="70">
      <c r="A70" s="18" t="s">
        <v>173</v>
      </c>
      <c r="B70" s="6" t="s">
        <v>174</v>
      </c>
      <c r="C70" s="18">
        <v>-4.0</v>
      </c>
      <c r="D70" s="18">
        <v>-4.0</v>
      </c>
      <c r="E70" s="18">
        <v>0.0</v>
      </c>
      <c r="F70" s="18">
        <v>4.0</v>
      </c>
      <c r="G70" s="3">
        <v>8.0</v>
      </c>
      <c r="H70" s="5">
        <f>IFERROR(__xludf.DUMMYFUNCTION("HLOOKUP($A70,IMPORTRANGE(""https://docs.google.com/spreadsheets/d/16J5ie7OD1E99qGO9lMDm8w5Yls-v190B7DTolJ5TmFc/edit#gid=0"",""'Game 10'!$B$2:$Q$34""),33,False)"),0.0)</f>
        <v>0</v>
      </c>
      <c r="I70" s="3">
        <v>0.0</v>
      </c>
      <c r="J70" s="5">
        <f>IFERROR(__xludf.DUMMYFUNCTION("IFERROR(HLOOKUP($A70,IMPORTRANGE(""https://docs.google.com/spreadsheets/d/1CTYfdyRk_RFGM3I2iN9bKeD9zUPzEm1ajzml6VgwfIU/edit#gid=0"",""'Game 10'!$B$2:$Q$34""),33,False),1)"),0.0)</f>
        <v>0</v>
      </c>
      <c r="K70" s="5">
        <f>IFERROR(__xludf.DUMMYFUNCTION("IFERROR(HLOOKUP($A70,IMPORTRANGE(""https://docs.google.com/spreadsheets/d/11NFkzOdQyW-OtxSDuGslNCgNjx7HUb2FU7KnlNnPMgY/edit#gid=0"",""'Game 8'!$B$2:$Q$34""),33,False),1)"),0.0)</f>
        <v>0</v>
      </c>
      <c r="L70" s="5">
        <f>IFERROR(__xludf.DUMMYFUNCTION("IFERROR(HLOOKUP($A70,IMPORTRANGE(""https://docs.google.com/spreadsheets/d/1CLg5-jaE4ta0-u4oE1qbBplQ5Mf3Oj9ONFgL0zJ7Ol4/edit#gid=0"",""'Game 12'!$B$2:$Q$34""),33,False),1)"),0.0)</f>
        <v>0</v>
      </c>
      <c r="M70" s="5">
        <f>IFERROR(__xludf.DUMMYFUNCTION("IFERROR(HLOOKUP($A70,IMPORTRANGE(""https://docs.google.com/spreadsheets/d/1CeexgK4KxWj3k_7nql_k8-RPxXMwTJyB4Q3vAASeDlA/edit#gid=0"",""'Game 11'!$B$2:$Q$34""),33,False),1)"),0.0)</f>
        <v>0</v>
      </c>
      <c r="N70" s="5">
        <f>IFERROR(__xludf.DUMMYFUNCTION("IFERROR(HLOOKUP($A70,IMPORTRANGE(""https://docs.google.com/spreadsheets/d/1MNwUNMjcwK6bEgCXwB73jpbK5gJAXS8ZMpbEMLJEP3E/edit#gid=0"",""'Game 6'!$B$2:$Q$34""),33,False),1)"),0.0)</f>
        <v>0</v>
      </c>
      <c r="O70" s="5">
        <f>IFERROR(__xludf.DUMMYFUNCTION("IFERROR(HLOOKUP($A70,IMPORTRANGE(""https://docs.google.com/spreadsheets/d/1UrzyxmT40kDZwVrLMf1yyXfP-pyczRAw9Y8Rw-uXG3c/edit#gid=0"",""'Game 11'!$B$2:$Q$34""),33,False),1)"),4.0)</f>
        <v>4</v>
      </c>
      <c r="P70" s="5">
        <f>IFERROR(__xludf.DUMMYFUNCTION("IFERROR(HLOOKUP($A70,IMPORTRANGE(""https://docs.google.com/spreadsheets/d/1iyMhSYWifw-KGFtyeBpNxVZr4BhcV9hVZuShgJ9Ia0E/edit#gid=0"",""'Game 12'!$B$2:$Q$34""),33,False),1)"),0.0)</f>
        <v>0</v>
      </c>
      <c r="Q70" s="5">
        <f>IFERROR(__xludf.DUMMYFUNCTION("IFERROR(HLOOKUP($A70,IMPORTRANGE(""https://docs.google.com/spreadsheets/d/1sSbIK-vvHsSY0LghLJ9gcnW8Hec_ITI2tFmpeqI999A/edit#gid=0"",""'Game 10'!$B$2:$Q$34""),33,False),1)"),0.0)</f>
        <v>0</v>
      </c>
      <c r="R70" s="6">
        <f>TUHStand!R70</f>
        <v>253</v>
      </c>
      <c r="S70" s="6">
        <f t="shared" si="4"/>
        <v>8</v>
      </c>
      <c r="T70" s="6">
        <f t="shared" si="5"/>
        <v>0.7272727273</v>
      </c>
      <c r="U70" s="6">
        <f t="shared" si="3"/>
        <v>117</v>
      </c>
    </row>
    <row r="71">
      <c r="A71" s="20" t="s">
        <v>177</v>
      </c>
      <c r="B71" s="13" t="s">
        <v>174</v>
      </c>
      <c r="C71" s="20">
        <v>0.0</v>
      </c>
      <c r="D71" s="20">
        <v>0.0</v>
      </c>
      <c r="E71" s="20">
        <v>4.0</v>
      </c>
      <c r="F71" s="20">
        <v>0.0</v>
      </c>
      <c r="G71" s="2">
        <v>0.0</v>
      </c>
      <c r="H71" s="12">
        <f>IFERROR(__xludf.DUMMYFUNCTION("HLOOKUP($A71,IMPORTRANGE(""https://docs.google.com/spreadsheets/d/16J5ie7OD1E99qGO9lMDm8w5Yls-v190B7DTolJ5TmFc/edit#gid=0"",""'Game 10'!$B$2:$Q$34""),33,False)"),0.0)</f>
        <v>0</v>
      </c>
      <c r="I71" s="2">
        <v>0.0</v>
      </c>
      <c r="J71" s="12">
        <f>IFERROR(__xludf.DUMMYFUNCTION("IFERROR(HLOOKUP($A71,IMPORTRANGE(""https://docs.google.com/spreadsheets/d/1CTYfdyRk_RFGM3I2iN9bKeD9zUPzEm1ajzml6VgwfIU/edit#gid=0"",""'Game 10'!$B$2:$Q$34""),33,False),1)"),0.0)</f>
        <v>0</v>
      </c>
      <c r="K71" s="12">
        <f>IFERROR(__xludf.DUMMYFUNCTION("IFERROR(HLOOKUP($A71,IMPORTRANGE(""https://docs.google.com/spreadsheets/d/11NFkzOdQyW-OtxSDuGslNCgNjx7HUb2FU7KnlNnPMgY/edit#gid=0"",""'Game 8'!$B$2:$Q$34""),33,False),1)"),0.0)</f>
        <v>0</v>
      </c>
      <c r="L71" s="12">
        <f>IFERROR(__xludf.DUMMYFUNCTION("IFERROR(HLOOKUP($A71,IMPORTRANGE(""https://docs.google.com/spreadsheets/d/1CLg5-jaE4ta0-u4oE1qbBplQ5Mf3Oj9ONFgL0zJ7Ol4/edit#gid=0"",""'Game 12'!$B$2:$Q$34""),33,False),1)"),0.0)</f>
        <v>0</v>
      </c>
      <c r="M71" s="12">
        <f>IFERROR(__xludf.DUMMYFUNCTION("IFERROR(HLOOKUP($A71,IMPORTRANGE(""https://docs.google.com/spreadsheets/d/1CeexgK4KxWj3k_7nql_k8-RPxXMwTJyB4Q3vAASeDlA/edit#gid=0"",""'Game 11'!$B$2:$Q$34""),33,False),1)"),0.0)</f>
        <v>0</v>
      </c>
      <c r="N71" s="12">
        <f>IFERROR(__xludf.DUMMYFUNCTION("IFERROR(HLOOKUP($A71,IMPORTRANGE(""https://docs.google.com/spreadsheets/d/1MNwUNMjcwK6bEgCXwB73jpbK5gJAXS8ZMpbEMLJEP3E/edit#gid=0"",""'Game 6'!$B$2:$Q$34""),33,False),1)"),0.0)</f>
        <v>0</v>
      </c>
      <c r="O71" s="12">
        <f>IFERROR(__xludf.DUMMYFUNCTION("IFERROR(HLOOKUP($A71,IMPORTRANGE(""https://docs.google.com/spreadsheets/d/1UrzyxmT40kDZwVrLMf1yyXfP-pyczRAw9Y8Rw-uXG3c/edit#gid=0"",""'Game 11'!$B$2:$Q$34""),33,False),1)"),0.0)</f>
        <v>0</v>
      </c>
      <c r="P71" s="12">
        <f>IFERROR(__xludf.DUMMYFUNCTION("IFERROR(HLOOKUP($A71,IMPORTRANGE(""https://docs.google.com/spreadsheets/d/1iyMhSYWifw-KGFtyeBpNxVZr4BhcV9hVZuShgJ9Ia0E/edit#gid=0"",""'Game 12'!$B$2:$Q$34""),33,False),1)"),0.0)</f>
        <v>0</v>
      </c>
      <c r="Q71" s="12">
        <f>IFERROR(__xludf.DUMMYFUNCTION("IFERROR(HLOOKUP($A71,IMPORTRANGE(""https://docs.google.com/spreadsheets/d/1sSbIK-vvHsSY0LghLJ9gcnW8Hec_ITI2tFmpeqI999A/edit#gid=0"",""'Game 10'!$B$2:$Q$34""),33,False),1)"),0.0)</f>
        <v>0</v>
      </c>
      <c r="R71" s="13">
        <f>TUHStand!R71</f>
        <v>322</v>
      </c>
      <c r="S71" s="13">
        <f t="shared" si="4"/>
        <v>4</v>
      </c>
      <c r="T71" s="13">
        <f t="shared" si="5"/>
        <v>0.2857142857</v>
      </c>
      <c r="U71" s="13">
        <f t="shared" si="3"/>
        <v>126</v>
      </c>
    </row>
    <row r="72">
      <c r="A72" s="18" t="s">
        <v>179</v>
      </c>
      <c r="B72" s="6" t="s">
        <v>174</v>
      </c>
      <c r="C72" s="18">
        <v>12.0</v>
      </c>
      <c r="D72" s="18">
        <v>16.0</v>
      </c>
      <c r="E72" s="18">
        <v>32.0</v>
      </c>
      <c r="F72" s="18">
        <v>12.0</v>
      </c>
      <c r="G72" s="3">
        <v>24.0</v>
      </c>
      <c r="H72" s="5">
        <f>IFERROR(__xludf.DUMMYFUNCTION("HLOOKUP($A72,IMPORTRANGE(""https://docs.google.com/spreadsheets/d/16J5ie7OD1E99qGO9lMDm8w5Yls-v190B7DTolJ5TmFc/edit#gid=0"",""'Game 10'!$B$2:$Q$34""),33,False)"),16.0)</f>
        <v>16</v>
      </c>
      <c r="I72" s="3">
        <v>16.0</v>
      </c>
      <c r="J72" s="5">
        <f>IFERROR(__xludf.DUMMYFUNCTION("IFERROR(HLOOKUP($A72,IMPORTRANGE(""https://docs.google.com/spreadsheets/d/1CTYfdyRk_RFGM3I2iN9bKeD9zUPzEm1ajzml6VgwfIU/edit#gid=0"",""'Game 10'!$B$2:$Q$34""),33,False),1)"),0.0)</f>
        <v>0</v>
      </c>
      <c r="K72" s="5">
        <f>IFERROR(__xludf.DUMMYFUNCTION("IFERROR(HLOOKUP($A72,IMPORTRANGE(""https://docs.google.com/spreadsheets/d/11NFkzOdQyW-OtxSDuGslNCgNjx7HUb2FU7KnlNnPMgY/edit#gid=0"",""'Game 8'!$B$2:$Q$34""),33,False),1)"),32.0)</f>
        <v>32</v>
      </c>
      <c r="L72" s="5">
        <f>IFERROR(__xludf.DUMMYFUNCTION("IFERROR(HLOOKUP($A72,IMPORTRANGE(""https://docs.google.com/spreadsheets/d/1CLg5-jaE4ta0-u4oE1qbBplQ5Mf3Oj9ONFgL0zJ7Ol4/edit#gid=0"",""'Game 12'!$B$2:$Q$34""),33,False),1)"),12.0)</f>
        <v>12</v>
      </c>
      <c r="M72" s="5">
        <f>IFERROR(__xludf.DUMMYFUNCTION("IFERROR(HLOOKUP($A72,IMPORTRANGE(""https://docs.google.com/spreadsheets/d/1CeexgK4KxWj3k_7nql_k8-RPxXMwTJyB4Q3vAASeDlA/edit#gid=0"",""'Game 11'!$B$2:$Q$34""),33,False),1)"),20.0)</f>
        <v>20</v>
      </c>
      <c r="N72" s="5">
        <f>IFERROR(__xludf.DUMMYFUNCTION("IFERROR(HLOOKUP($A72,IMPORTRANGE(""https://docs.google.com/spreadsheets/d/1MNwUNMjcwK6bEgCXwB73jpbK5gJAXS8ZMpbEMLJEP3E/edit#gid=0"",""'Game 6'!$B$2:$Q$34""),33,False),1)"),16.0)</f>
        <v>16</v>
      </c>
      <c r="O72" s="5">
        <f>IFERROR(__xludf.DUMMYFUNCTION("IFERROR(HLOOKUP($A72,IMPORTRANGE(""https://docs.google.com/spreadsheets/d/1UrzyxmT40kDZwVrLMf1yyXfP-pyczRAw9Y8Rw-uXG3c/edit#gid=0"",""'Game 11'!$B$2:$Q$34""),33,False),1)"),12.0)</f>
        <v>12</v>
      </c>
      <c r="P72" s="5">
        <f>IFERROR(__xludf.DUMMYFUNCTION("IFERROR(HLOOKUP($A72,IMPORTRANGE(""https://docs.google.com/spreadsheets/d/1iyMhSYWifw-KGFtyeBpNxVZr4BhcV9hVZuShgJ9Ia0E/edit#gid=0"",""'Game 12'!$B$2:$Q$34""),33,False),1)"),16.0)</f>
        <v>16</v>
      </c>
      <c r="Q72" s="5">
        <f>IFERROR(__xludf.DUMMYFUNCTION("IFERROR(HLOOKUP($A72,IMPORTRANGE(""https://docs.google.com/spreadsheets/d/1sSbIK-vvHsSY0LghLJ9gcnW8Hec_ITI2tFmpeqI999A/edit#gid=0"",""'Game 10'!$B$2:$Q$34""),33,False),1)"),20.0)</f>
        <v>20</v>
      </c>
      <c r="R72" s="6">
        <f>TUHStand!R72</f>
        <v>345</v>
      </c>
      <c r="S72" s="6">
        <f t="shared" si="4"/>
        <v>256</v>
      </c>
      <c r="T72" s="6">
        <f t="shared" si="5"/>
        <v>17.06666667</v>
      </c>
      <c r="U72" s="6">
        <f t="shared" si="3"/>
        <v>5</v>
      </c>
    </row>
    <row r="73">
      <c r="A73" s="20" t="s">
        <v>181</v>
      </c>
      <c r="B73" s="13" t="s">
        <v>174</v>
      </c>
      <c r="C73" s="20">
        <v>0.0</v>
      </c>
      <c r="D73" s="20">
        <v>0.0</v>
      </c>
      <c r="E73" s="20">
        <v>0.0</v>
      </c>
      <c r="F73" s="20">
        <v>0.0</v>
      </c>
      <c r="G73" s="2">
        <v>0.0</v>
      </c>
      <c r="H73" s="12">
        <f>IFERROR(__xludf.DUMMYFUNCTION("HLOOKUP($A73,IMPORTRANGE(""https://docs.google.com/spreadsheets/d/16J5ie7OD1E99qGO9lMDm8w5Yls-v190B7DTolJ5TmFc/edit#gid=0"",""'Game 10'!$B$2:$Q$34""),33,False)"),0.0)</f>
        <v>0</v>
      </c>
      <c r="I73" s="2">
        <v>0.0</v>
      </c>
      <c r="J73" s="12">
        <f>IFERROR(__xludf.DUMMYFUNCTION("IFERROR(HLOOKUP($A73,IMPORTRANGE(""https://docs.google.com/spreadsheets/d/1CTYfdyRk_RFGM3I2iN9bKeD9zUPzEm1ajzml6VgwfIU/edit#gid=0"",""'Game 10'!$B$2:$Q$34""),33,False),1)"),0.0)</f>
        <v>0</v>
      </c>
      <c r="K73" s="12">
        <f>IFERROR(__xludf.DUMMYFUNCTION("IFERROR(HLOOKUP($A73,IMPORTRANGE(""https://docs.google.com/spreadsheets/d/11NFkzOdQyW-OtxSDuGslNCgNjx7HUb2FU7KnlNnPMgY/edit#gid=0"",""'Game 8'!$B$2:$Q$34""),33,False),1)"),0.0)</f>
        <v>0</v>
      </c>
      <c r="L73" s="12">
        <f>IFERROR(__xludf.DUMMYFUNCTION("IFERROR(HLOOKUP($A73,IMPORTRANGE(""https://docs.google.com/spreadsheets/d/1CLg5-jaE4ta0-u4oE1qbBplQ5Mf3Oj9ONFgL0zJ7Ol4/edit#gid=0"",""'Game 12'!$B$2:$Q$34""),33,False),1)"),0.0)</f>
        <v>0</v>
      </c>
      <c r="M73" s="12">
        <f>IFERROR(__xludf.DUMMYFUNCTION("IFERROR(HLOOKUP($A73,IMPORTRANGE(""https://docs.google.com/spreadsheets/d/1CeexgK4KxWj3k_7nql_k8-RPxXMwTJyB4Q3vAASeDlA/edit#gid=0"",""'Game 11'!$B$2:$Q$34""),33,False),1)"),0.0)</f>
        <v>0</v>
      </c>
      <c r="N73" s="12">
        <f>IFERROR(__xludf.DUMMYFUNCTION("IFERROR(HLOOKUP($A73,IMPORTRANGE(""https://docs.google.com/spreadsheets/d/1MNwUNMjcwK6bEgCXwB73jpbK5gJAXS8ZMpbEMLJEP3E/edit#gid=0"",""'Game 6'!$B$2:$Q$34""),33,False),1)"),0.0)</f>
        <v>0</v>
      </c>
      <c r="O73" s="12">
        <f>IFERROR(__xludf.DUMMYFUNCTION("IFERROR(HLOOKUP($A73,IMPORTRANGE(""https://docs.google.com/spreadsheets/d/1UrzyxmT40kDZwVrLMf1yyXfP-pyczRAw9Y8Rw-uXG3c/edit#gid=0"",""'Game 11'!$B$2:$Q$34""),33,False),1)"),0.0)</f>
        <v>0</v>
      </c>
      <c r="P73" s="12">
        <f>IFERROR(__xludf.DUMMYFUNCTION("IFERROR(HLOOKUP($A73,IMPORTRANGE(""https://docs.google.com/spreadsheets/d/1iyMhSYWifw-KGFtyeBpNxVZr4BhcV9hVZuShgJ9Ia0E/edit#gid=0"",""'Game 12'!$B$2:$Q$34""),33,False),1)"),0.0)</f>
        <v>0</v>
      </c>
      <c r="Q73" s="12">
        <f>IFERROR(__xludf.DUMMYFUNCTION("IFERROR(HLOOKUP($A73,IMPORTRANGE(""https://docs.google.com/spreadsheets/d/1sSbIK-vvHsSY0LghLJ9gcnW8Hec_ITI2tFmpeqI999A/edit#gid=0"",""'Game 10'!$B$2:$Q$34""),33,False),1)"),0.0)</f>
        <v>0</v>
      </c>
      <c r="R73" s="13">
        <f>TUHStand!R73</f>
        <v>69</v>
      </c>
      <c r="S73" s="13">
        <f t="shared" si="4"/>
        <v>0</v>
      </c>
      <c r="T73" s="13">
        <f t="shared" si="5"/>
        <v>0</v>
      </c>
      <c r="U73" s="13">
        <f t="shared" si="3"/>
        <v>127</v>
      </c>
    </row>
    <row r="74">
      <c r="A74" s="3" t="s">
        <v>183</v>
      </c>
      <c r="B74" s="18" t="s">
        <v>174</v>
      </c>
      <c r="C74" s="18">
        <v>16.0</v>
      </c>
      <c r="D74" s="18">
        <v>0.0</v>
      </c>
      <c r="E74" s="18">
        <v>0.0</v>
      </c>
      <c r="F74" s="18">
        <v>8.0</v>
      </c>
      <c r="G74" s="3">
        <v>-4.0</v>
      </c>
      <c r="H74" s="5">
        <f>IFERROR(__xludf.DUMMYFUNCTION("HLOOKUP($A74,IMPORTRANGE(""https://docs.google.com/spreadsheets/d/16J5ie7OD1E99qGO9lMDm8w5Yls-v190B7DTolJ5TmFc/edit#gid=0"",""'Game 10'!$B$2:$Q$34""),33,False)"),16.0)</f>
        <v>16</v>
      </c>
      <c r="I74" s="3">
        <v>16.0</v>
      </c>
      <c r="J74" s="5">
        <f>IFERROR(__xludf.DUMMYFUNCTION("IFERROR(HLOOKUP($A74,IMPORTRANGE(""https://docs.google.com/spreadsheets/d/1CTYfdyRk_RFGM3I2iN9bKeD9zUPzEm1ajzml6VgwfIU/edit#gid=0"",""'Game 10'!$B$2:$Q$34""),33,False),1)"),0.0)</f>
        <v>0</v>
      </c>
      <c r="K74" s="5">
        <f>IFERROR(__xludf.DUMMYFUNCTION("IFERROR(HLOOKUP($A74,IMPORTRANGE(""https://docs.google.com/spreadsheets/d/11NFkzOdQyW-OtxSDuGslNCgNjx7HUb2FU7KnlNnPMgY/edit#gid=0"",""'Game 8'!$B$2:$Q$34""),33,False),1)"),4.0)</f>
        <v>4</v>
      </c>
      <c r="L74" s="5">
        <f>IFERROR(__xludf.DUMMYFUNCTION("IFERROR(HLOOKUP($A74,IMPORTRANGE(""https://docs.google.com/spreadsheets/d/1CLg5-jaE4ta0-u4oE1qbBplQ5Mf3Oj9ONFgL0zJ7Ol4/edit#gid=0"",""'Game 12'!$B$2:$Q$34""),33,False),1)"),4.0)</f>
        <v>4</v>
      </c>
      <c r="M74" s="5">
        <f>IFERROR(__xludf.DUMMYFUNCTION("IFERROR(HLOOKUP($A74,IMPORTRANGE(""https://docs.google.com/spreadsheets/d/1CeexgK4KxWj3k_7nql_k8-RPxXMwTJyB4Q3vAASeDlA/edit#gid=0"",""'Game 11'!$B$2:$Q$34""),33,False),1)"),16.0)</f>
        <v>16</v>
      </c>
      <c r="N74" s="5">
        <f>IFERROR(__xludf.DUMMYFUNCTION("IFERROR(HLOOKUP($A74,IMPORTRANGE(""https://docs.google.com/spreadsheets/d/1MNwUNMjcwK6bEgCXwB73jpbK5gJAXS8ZMpbEMLJEP3E/edit#gid=0"",""'Game 6'!$B$2:$Q$34""),33,False),1)"),0.0)</f>
        <v>0</v>
      </c>
      <c r="O74" s="5">
        <f>IFERROR(__xludf.DUMMYFUNCTION("IFERROR(HLOOKUP($A74,IMPORTRANGE(""https://docs.google.com/spreadsheets/d/1UrzyxmT40kDZwVrLMf1yyXfP-pyczRAw9Y8Rw-uXG3c/edit#gid=0"",""'Game 11'!$B$2:$Q$34""),33,False),1)"),12.0)</f>
        <v>12</v>
      </c>
      <c r="P74" s="5">
        <f>IFERROR(__xludf.DUMMYFUNCTION("IFERROR(HLOOKUP($A74,IMPORTRANGE(""https://docs.google.com/spreadsheets/d/1iyMhSYWifw-KGFtyeBpNxVZr4BhcV9hVZuShgJ9Ia0E/edit#gid=0"",""'Game 12'!$B$2:$Q$34""),33,False),1)"),0.0)</f>
        <v>0</v>
      </c>
      <c r="Q74" s="5">
        <f>IFERROR(__xludf.DUMMYFUNCTION("IFERROR(HLOOKUP($A74,IMPORTRANGE(""https://docs.google.com/spreadsheets/d/1sSbIK-vvHsSY0LghLJ9gcnW8Hec_ITI2tFmpeqI999A/edit#gid=0"",""'Game 10'!$B$2:$Q$34""),33,False),1)"),8.0)</f>
        <v>8</v>
      </c>
      <c r="R74" s="6">
        <f>TUHStand!R74</f>
        <v>280</v>
      </c>
      <c r="S74" s="6">
        <f t="shared" si="4"/>
        <v>96</v>
      </c>
      <c r="T74" s="6">
        <f t="shared" si="5"/>
        <v>7.885714286</v>
      </c>
      <c r="U74" s="6">
        <f t="shared" si="3"/>
        <v>36</v>
      </c>
    </row>
    <row r="75">
      <c r="A75" s="20" t="s">
        <v>185</v>
      </c>
      <c r="B75" s="13" t="s">
        <v>186</v>
      </c>
      <c r="C75" s="20">
        <v>4.0</v>
      </c>
      <c r="D75" s="20">
        <v>0.0</v>
      </c>
      <c r="E75" s="20">
        <v>0.0</v>
      </c>
      <c r="F75" s="20">
        <v>0.0</v>
      </c>
      <c r="G75" s="2">
        <v>0.0</v>
      </c>
      <c r="H75" s="12">
        <f>IFERROR(__xludf.DUMMYFUNCTION("HLOOKUP($A75,IMPORTRANGE(""https://docs.google.com/spreadsheets/d/16J5ie7OD1E99qGO9lMDm8w5Yls-v190B7DTolJ5TmFc/edit#gid=0"",""'Game 12'!$B$2:$Q$34""),33,False)"),0.0)</f>
        <v>0</v>
      </c>
      <c r="I75" s="2">
        <v>0.0</v>
      </c>
      <c r="J75" s="12">
        <f>IFERROR(__xludf.DUMMYFUNCTION("IFERROR(HLOOKUP($A75,IMPORTRANGE(""https://docs.google.com/spreadsheets/d/1CTYfdyRk_RFGM3I2iN9bKeD9zUPzEm1ajzml6VgwfIU/edit#gid=0"",""'Game 13'!$B$2:$Q$34""),33,False),1)"),0.0)</f>
        <v>0</v>
      </c>
      <c r="K75" s="12">
        <f>IFERROR(__xludf.DUMMYFUNCTION("IFERROR(HLOOKUP($A75,IMPORTRANGE(""https://docs.google.com/spreadsheets/d/11NFkzOdQyW-OtxSDuGslNCgNjx7HUb2FU7KnlNnPMgY/edit#gid=0"",""'Game 10'!$B$2:$Q$34""),33,False),1)"),0.0)</f>
        <v>0</v>
      </c>
      <c r="L75" s="12">
        <f>IFERROR(__xludf.DUMMYFUNCTION("IFERROR(HLOOKUP($A75,IMPORTRANGE(""https://docs.google.com/spreadsheets/d/1CLg5-jaE4ta0-u4oE1qbBplQ5Mf3Oj9ONFgL0zJ7Ol4/edit#gid=0"",""'Game 10'!$B$2:$Q$34""),33,False),1)"),0.0)</f>
        <v>0</v>
      </c>
      <c r="M75" s="12">
        <f>IFERROR(__xludf.DUMMYFUNCTION("IFERROR(HLOOKUP($A75,IMPORTRANGE(""https://docs.google.com/spreadsheets/d/1CeexgK4KxWj3k_7nql_k8-RPxXMwTJyB4Q3vAASeDlA/edit#gid=0"",""'Game 9'!$B$2:$Q$34""),33,False),1)"),0.0)</f>
        <v>0</v>
      </c>
      <c r="N75" s="12">
        <f>IFERROR(__xludf.DUMMYFUNCTION("IFERROR(HLOOKUP($A75,IMPORTRANGE(""https://docs.google.com/spreadsheets/d/1MNwUNMjcwK6bEgCXwB73jpbK5gJAXS8ZMpbEMLJEP3E/edit#gid=0"",""'Game 5'!$B$2:$Q$34""),33,False),1)"),0.0)</f>
        <v>0</v>
      </c>
      <c r="O75" s="12">
        <f>IFERROR(__xludf.DUMMYFUNCTION("IFERROR(HLOOKUP($A75,IMPORTRANGE(""https://docs.google.com/spreadsheets/d/1UrzyxmT40kDZwVrLMf1yyXfP-pyczRAw9Y8Rw-uXG3c/edit#gid=0"",""'Game 3'!$B$2:$Q$34""),33,False),1)"),0.0)</f>
        <v>0</v>
      </c>
      <c r="P75" s="12">
        <f>IFERROR(__xludf.DUMMYFUNCTION("IFERROR(HLOOKUP($A75,IMPORTRANGE(""https://docs.google.com/spreadsheets/d/1iyMhSYWifw-KGFtyeBpNxVZr4BhcV9hVZuShgJ9Ia0E/edit#gid=0"",""'Game 13'!$B$2:$Q$34""),33,False),1)"),0.0)</f>
        <v>0</v>
      </c>
      <c r="Q75" s="12">
        <f>IFERROR(__xludf.DUMMYFUNCTION("IFERROR(HLOOKUP($A75,IMPORTRANGE(""https://docs.google.com/spreadsheets/d/1sSbIK-vvHsSY0LghLJ9gcnW8Hec_ITI2tFmpeqI999A/edit#gid=0"",""'Game 10'!$B$2:$Q$34""),33,False),1)"),4.0)</f>
        <v>4</v>
      </c>
      <c r="R75" s="13">
        <f>TUHStand!R75</f>
        <v>91</v>
      </c>
      <c r="S75" s="13">
        <f t="shared" si="4"/>
        <v>8</v>
      </c>
      <c r="T75" s="13">
        <f t="shared" si="5"/>
        <v>2.021978022</v>
      </c>
      <c r="U75" s="13">
        <f t="shared" si="3"/>
        <v>92</v>
      </c>
    </row>
    <row r="76">
      <c r="A76" s="18" t="s">
        <v>189</v>
      </c>
      <c r="B76" s="6" t="s">
        <v>186</v>
      </c>
      <c r="C76" s="18">
        <v>0.0</v>
      </c>
      <c r="D76" s="18">
        <v>20.0</v>
      </c>
      <c r="E76" s="18">
        <v>16.0</v>
      </c>
      <c r="F76" s="18">
        <v>8.0</v>
      </c>
      <c r="G76" s="3">
        <v>24.0</v>
      </c>
      <c r="H76" s="5">
        <f>IFERROR(__xludf.DUMMYFUNCTION("HLOOKUP($A76,IMPORTRANGE(""https://docs.google.com/spreadsheets/d/16J5ie7OD1E99qGO9lMDm8w5Yls-v190B7DTolJ5TmFc/edit#gid=0"",""'Game 12'!$B$2:$Q$34""),33,False)"),12.0)</f>
        <v>12</v>
      </c>
      <c r="I76" s="3">
        <v>0.0</v>
      </c>
      <c r="J76" s="5">
        <f>IFERROR(__xludf.DUMMYFUNCTION("IFERROR(HLOOKUP($A76,IMPORTRANGE(""https://docs.google.com/spreadsheets/d/1CTYfdyRk_RFGM3I2iN9bKeD9zUPzEm1ajzml6VgwfIU/edit#gid=0"",""'Game 13'!$B$2:$Q$34""),33,False),1)"),12.0)</f>
        <v>12</v>
      </c>
      <c r="K76" s="5">
        <f>IFERROR(__xludf.DUMMYFUNCTION("IFERROR(HLOOKUP($A76,IMPORTRANGE(""https://docs.google.com/spreadsheets/d/11NFkzOdQyW-OtxSDuGslNCgNjx7HUb2FU7KnlNnPMgY/edit#gid=0"",""'Game 10'!$B$2:$Q$34""),33,False),1)"),8.0)</f>
        <v>8</v>
      </c>
      <c r="L76" s="5">
        <f>IFERROR(__xludf.DUMMYFUNCTION("IFERROR(HLOOKUP($A76,IMPORTRANGE(""https://docs.google.com/spreadsheets/d/1CLg5-jaE4ta0-u4oE1qbBplQ5Mf3Oj9ONFgL0zJ7Ol4/edit#gid=0"",""'Game 10'!$B$2:$Q$34""),33,False),1)"),12.0)</f>
        <v>12</v>
      </c>
      <c r="M76" s="5">
        <f>IFERROR(__xludf.DUMMYFUNCTION("IFERROR(HLOOKUP($A76,IMPORTRANGE(""https://docs.google.com/spreadsheets/d/1CeexgK4KxWj3k_7nql_k8-RPxXMwTJyB4Q3vAASeDlA/edit#gid=0"",""'Game 9'!$B$2:$Q$34""),33,False),1)"),0.0)</f>
        <v>0</v>
      </c>
      <c r="N76" s="5">
        <f>IFERROR(__xludf.DUMMYFUNCTION("IFERROR(HLOOKUP($A76,IMPORTRANGE(""https://docs.google.com/spreadsheets/d/1MNwUNMjcwK6bEgCXwB73jpbK5gJAXS8ZMpbEMLJEP3E/edit#gid=0"",""'Game 5'!$B$2:$Q$34""),33,False),1)"),8.0)</f>
        <v>8</v>
      </c>
      <c r="O76" s="5">
        <f>IFERROR(__xludf.DUMMYFUNCTION("IFERROR(HLOOKUP($A76,IMPORTRANGE(""https://docs.google.com/spreadsheets/d/1UrzyxmT40kDZwVrLMf1yyXfP-pyczRAw9Y8Rw-uXG3c/edit#gid=0"",""'Game 3'!$B$2:$Q$34""),33,False),1)"),0.0)</f>
        <v>0</v>
      </c>
      <c r="P76" s="5">
        <f>IFERROR(__xludf.DUMMYFUNCTION("IFERROR(HLOOKUP($A76,IMPORTRANGE(""https://docs.google.com/spreadsheets/d/1iyMhSYWifw-KGFtyeBpNxVZr4BhcV9hVZuShgJ9Ia0E/edit#gid=0"",""'Game 13'!$B$2:$Q$34""),33,False),1)"),4.0)</f>
        <v>4</v>
      </c>
      <c r="Q76" s="5">
        <f>IFERROR(__xludf.DUMMYFUNCTION("IFERROR(HLOOKUP($A76,IMPORTRANGE(""https://docs.google.com/spreadsheets/d/1sSbIK-vvHsSY0LghLJ9gcnW8Hec_ITI2tFmpeqI999A/edit#gid=0"",""'Game 10'!$B$2:$Q$34""),33,False),1)"),4.0)</f>
        <v>4</v>
      </c>
      <c r="R76" s="6">
        <f>TUHStand!R76</f>
        <v>345</v>
      </c>
      <c r="S76" s="6">
        <f t="shared" si="4"/>
        <v>128</v>
      </c>
      <c r="T76" s="6">
        <f t="shared" si="5"/>
        <v>8.533333333</v>
      </c>
      <c r="U76" s="6">
        <f t="shared" si="3"/>
        <v>31</v>
      </c>
    </row>
    <row r="77">
      <c r="A77" s="20" t="s">
        <v>191</v>
      </c>
      <c r="B77" s="13" t="s">
        <v>186</v>
      </c>
      <c r="C77" s="20">
        <v>0.0</v>
      </c>
      <c r="D77" s="20">
        <v>4.0</v>
      </c>
      <c r="E77" s="20">
        <v>4.0</v>
      </c>
      <c r="F77" s="20">
        <v>-4.0</v>
      </c>
      <c r="G77" s="2">
        <v>4.0</v>
      </c>
      <c r="H77" s="12">
        <f>IFERROR(__xludf.DUMMYFUNCTION("HLOOKUP($A77,IMPORTRANGE(""https://docs.google.com/spreadsheets/d/16J5ie7OD1E99qGO9lMDm8w5Yls-v190B7DTolJ5TmFc/edit#gid=0"",""'Game 12'!$B$2:$Q$34""),33,False)"),8.0)</f>
        <v>8</v>
      </c>
      <c r="I77" s="2">
        <v>16.0</v>
      </c>
      <c r="J77" s="12">
        <f>IFERROR(__xludf.DUMMYFUNCTION("IFERROR(HLOOKUP($A77,IMPORTRANGE(""https://docs.google.com/spreadsheets/d/1CTYfdyRk_RFGM3I2iN9bKeD9zUPzEm1ajzml6VgwfIU/edit#gid=0"",""'Game 13'!$B$2:$Q$34""),33,False),1)"),4.0)</f>
        <v>4</v>
      </c>
      <c r="K77" s="12">
        <f>IFERROR(__xludf.DUMMYFUNCTION("IFERROR(HLOOKUP($A77,IMPORTRANGE(""https://docs.google.com/spreadsheets/d/11NFkzOdQyW-OtxSDuGslNCgNjx7HUb2FU7KnlNnPMgY/edit#gid=0"",""'Game 10'!$B$2:$Q$34""),33,False),1)"),12.0)</f>
        <v>12</v>
      </c>
      <c r="L77" s="12">
        <f>IFERROR(__xludf.DUMMYFUNCTION("IFERROR(HLOOKUP($A77,IMPORTRANGE(""https://docs.google.com/spreadsheets/d/1CLg5-jaE4ta0-u4oE1qbBplQ5Mf3Oj9ONFgL0zJ7Ol4/edit#gid=0"",""'Game 10'!$B$2:$Q$34""),33,False),1)"),8.0)</f>
        <v>8</v>
      </c>
      <c r="M77" s="12">
        <f>IFERROR(__xludf.DUMMYFUNCTION("IFERROR(HLOOKUP($A77,IMPORTRANGE(""https://docs.google.com/spreadsheets/d/1CeexgK4KxWj3k_7nql_k8-RPxXMwTJyB4Q3vAASeDlA/edit#gid=0"",""'Game 9'!$B$2:$Q$34""),33,False),1)"),12.0)</f>
        <v>12</v>
      </c>
      <c r="N77" s="12">
        <f>IFERROR(__xludf.DUMMYFUNCTION("IFERROR(HLOOKUP($A77,IMPORTRANGE(""https://docs.google.com/spreadsheets/d/1MNwUNMjcwK6bEgCXwB73jpbK5gJAXS8ZMpbEMLJEP3E/edit#gid=0"",""'Game 5'!$B$2:$Q$34""),33,False),1)"),12.0)</f>
        <v>12</v>
      </c>
      <c r="O77" s="12">
        <f>IFERROR(__xludf.DUMMYFUNCTION("IFERROR(HLOOKUP($A77,IMPORTRANGE(""https://docs.google.com/spreadsheets/d/1UrzyxmT40kDZwVrLMf1yyXfP-pyczRAw9Y8Rw-uXG3c/edit#gid=0"",""'Game 3'!$B$2:$Q$34""),33,False),1)"),4.0)</f>
        <v>4</v>
      </c>
      <c r="P77" s="12">
        <f>IFERROR(__xludf.DUMMYFUNCTION("IFERROR(HLOOKUP($A77,IMPORTRANGE(""https://docs.google.com/spreadsheets/d/1iyMhSYWifw-KGFtyeBpNxVZr4BhcV9hVZuShgJ9Ia0E/edit#gid=0"",""'Game 13'!$B$2:$Q$34""),33,False),1)"),4.0)</f>
        <v>4</v>
      </c>
      <c r="Q77" s="12">
        <f>IFERROR(__xludf.DUMMYFUNCTION("IFERROR(HLOOKUP($A77,IMPORTRANGE(""https://docs.google.com/spreadsheets/d/1sSbIK-vvHsSY0LghLJ9gcnW8Hec_ITI2tFmpeqI999A/edit#gid=0"",""'Game 10'!$B$2:$Q$34""),33,False),1)"),8.0)</f>
        <v>8</v>
      </c>
      <c r="R77" s="13">
        <f>TUHStand!R77</f>
        <v>345</v>
      </c>
      <c r="S77" s="13">
        <f t="shared" si="4"/>
        <v>96</v>
      </c>
      <c r="T77" s="13">
        <f t="shared" si="5"/>
        <v>6.4</v>
      </c>
      <c r="U77" s="13">
        <f t="shared" si="3"/>
        <v>47</v>
      </c>
    </row>
    <row r="78">
      <c r="A78" s="18" t="s">
        <v>193</v>
      </c>
      <c r="B78" s="6" t="s">
        <v>186</v>
      </c>
      <c r="C78" s="18">
        <v>4.0</v>
      </c>
      <c r="D78" s="18">
        <v>8.0</v>
      </c>
      <c r="E78" s="18">
        <v>8.0</v>
      </c>
      <c r="F78" s="18">
        <v>0.0</v>
      </c>
      <c r="G78" s="3">
        <v>0.0</v>
      </c>
      <c r="H78" s="5">
        <f>IFERROR(__xludf.DUMMYFUNCTION("HLOOKUP($A78,IMPORTRANGE(""https://docs.google.com/spreadsheets/d/16J5ie7OD1E99qGO9lMDm8w5Yls-v190B7DTolJ5TmFc/edit#gid=0"",""'Game 12'!$B$2:$Q$34""),33,False)"),8.0)</f>
        <v>8</v>
      </c>
      <c r="I78" s="3">
        <v>0.0</v>
      </c>
      <c r="J78" s="5">
        <f>IFERROR(__xludf.DUMMYFUNCTION("IFERROR(HLOOKUP($A78,IMPORTRANGE(""https://docs.google.com/spreadsheets/d/1CTYfdyRk_RFGM3I2iN9bKeD9zUPzEm1ajzml6VgwfIU/edit#gid=0"",""'Game 13'!$B$2:$Q$34""),33,False),1)"),4.0)</f>
        <v>4</v>
      </c>
      <c r="K78" s="5">
        <f>IFERROR(__xludf.DUMMYFUNCTION("IFERROR(HLOOKUP($A78,IMPORTRANGE(""https://docs.google.com/spreadsheets/d/11NFkzOdQyW-OtxSDuGslNCgNjx7HUb2FU7KnlNnPMgY/edit#gid=0"",""'Game 10'!$B$2:$Q$34""),33,False),1)"),0.0)</f>
        <v>0</v>
      </c>
      <c r="L78" s="5">
        <f>IFERROR(__xludf.DUMMYFUNCTION("IFERROR(HLOOKUP($A78,IMPORTRANGE(""https://docs.google.com/spreadsheets/d/1CLg5-jaE4ta0-u4oE1qbBplQ5Mf3Oj9ONFgL0zJ7Ol4/edit#gid=0"",""'Game 10'!$B$2:$Q$34""),33,False),1)"),0.0)</f>
        <v>0</v>
      </c>
      <c r="M78" s="5">
        <f>IFERROR(__xludf.DUMMYFUNCTION("IFERROR(HLOOKUP($A78,IMPORTRANGE(""https://docs.google.com/spreadsheets/d/1CeexgK4KxWj3k_7nql_k8-RPxXMwTJyB4Q3vAASeDlA/edit#gid=0"",""'Game 9'!$B$2:$Q$34""),33,False),1)"),8.0)</f>
        <v>8</v>
      </c>
      <c r="N78" s="5">
        <f>IFERROR(__xludf.DUMMYFUNCTION("IFERROR(HLOOKUP($A78,IMPORTRANGE(""https://docs.google.com/spreadsheets/d/1MNwUNMjcwK6bEgCXwB73jpbK5gJAXS8ZMpbEMLJEP3E/edit#gid=0"",""'Game 5'!$B$2:$Q$34""),33,False),1)"),-4.0)</f>
        <v>-4</v>
      </c>
      <c r="O78" s="5">
        <f>IFERROR(__xludf.DUMMYFUNCTION("IFERROR(HLOOKUP($A78,IMPORTRANGE(""https://docs.google.com/spreadsheets/d/1UrzyxmT40kDZwVrLMf1yyXfP-pyczRAw9Y8Rw-uXG3c/edit#gid=0"",""'Game 3'!$B$2:$Q$34""),33,False),1)"),4.0)</f>
        <v>4</v>
      </c>
      <c r="P78" s="5">
        <f>IFERROR(__xludf.DUMMYFUNCTION("IFERROR(HLOOKUP($A78,IMPORTRANGE(""https://docs.google.com/spreadsheets/d/1iyMhSYWifw-KGFtyeBpNxVZr4BhcV9hVZuShgJ9Ia0E/edit#gid=0"",""'Game 13'!$B$2:$Q$34""),33,False),1)"),0.0)</f>
        <v>0</v>
      </c>
      <c r="Q78" s="5">
        <f>IFERROR(__xludf.DUMMYFUNCTION("IFERROR(HLOOKUP($A78,IMPORTRANGE(""https://docs.google.com/spreadsheets/d/1sSbIK-vvHsSY0LghLJ9gcnW8Hec_ITI2tFmpeqI999A/edit#gid=0"",""'Game 10'!$B$2:$Q$34""),33,False),1)"),4.0)</f>
        <v>4</v>
      </c>
      <c r="R78" s="6">
        <f>TUHStand!R78</f>
        <v>345</v>
      </c>
      <c r="S78" s="6">
        <f t="shared" si="4"/>
        <v>44</v>
      </c>
      <c r="T78" s="6">
        <f t="shared" si="5"/>
        <v>2.933333333</v>
      </c>
      <c r="U78" s="6">
        <f t="shared" si="3"/>
        <v>83</v>
      </c>
    </row>
    <row r="79">
      <c r="A79" s="20" t="s">
        <v>195</v>
      </c>
      <c r="B79" s="20" t="s">
        <v>186</v>
      </c>
      <c r="C79" s="20">
        <v>0.0</v>
      </c>
      <c r="D79" s="20">
        <v>4.0</v>
      </c>
      <c r="E79" s="20">
        <v>0.0</v>
      </c>
      <c r="F79" s="20">
        <v>0.0</v>
      </c>
      <c r="G79" s="2">
        <v>0.0</v>
      </c>
      <c r="H79" s="12">
        <f>IFERROR(__xludf.DUMMYFUNCTION("HLOOKUP($A79,IMPORTRANGE(""https://docs.google.com/spreadsheets/d/16J5ie7OD1E99qGO9lMDm8w5Yls-v190B7DTolJ5TmFc/edit#gid=0"",""'Game 12'!$B$2:$Q$34""),33,False)"),0.0)</f>
        <v>0</v>
      </c>
      <c r="I79" s="2">
        <v>0.0</v>
      </c>
      <c r="J79" s="12">
        <f>IFERROR(__xludf.DUMMYFUNCTION("IFERROR(HLOOKUP($A79,IMPORTRANGE(""https://docs.google.com/spreadsheets/d/1CTYfdyRk_RFGM3I2iN9bKeD9zUPzEm1ajzml6VgwfIU/edit#gid=0"",""'Game 13'!$B$2:$Q$34""),33,False),1)"),0.0)</f>
        <v>0</v>
      </c>
      <c r="K79" s="12">
        <f>IFERROR(__xludf.DUMMYFUNCTION("IFERROR(HLOOKUP($A79,IMPORTRANGE(""https://docs.google.com/spreadsheets/d/11NFkzOdQyW-OtxSDuGslNCgNjx7HUb2FU7KnlNnPMgY/edit#gid=0"",""'Game 10'!$B$2:$Q$34""),33,False),1)"),0.0)</f>
        <v>0</v>
      </c>
      <c r="L79" s="12">
        <f>IFERROR(__xludf.DUMMYFUNCTION("IFERROR(HLOOKUP($A79,IMPORTRANGE(""https://docs.google.com/spreadsheets/d/1CLg5-jaE4ta0-u4oE1qbBplQ5Mf3Oj9ONFgL0zJ7Ol4/edit#gid=0"",""'Game 10'!$B$2:$Q$34""),33,False),1)"),0.0)</f>
        <v>0</v>
      </c>
      <c r="M79" s="12">
        <f>IFERROR(__xludf.DUMMYFUNCTION("IFERROR(HLOOKUP($A79,IMPORTRANGE(""https://docs.google.com/spreadsheets/d/1CeexgK4KxWj3k_7nql_k8-RPxXMwTJyB4Q3vAASeDlA/edit#gid=0"",""'Game 9'!$B$2:$Q$34""),33,False),1)"),4.0)</f>
        <v>4</v>
      </c>
      <c r="N79" s="12">
        <f>IFERROR(__xludf.DUMMYFUNCTION("IFERROR(HLOOKUP($A79,IMPORTRANGE(""https://docs.google.com/spreadsheets/d/1MNwUNMjcwK6bEgCXwB73jpbK5gJAXS8ZMpbEMLJEP3E/edit#gid=0"",""'Game 5'!$B$2:$Q$34""),33,False),1)"),0.0)</f>
        <v>0</v>
      </c>
      <c r="O79" s="12">
        <f>IFERROR(__xludf.DUMMYFUNCTION("IFERROR(HLOOKUP($A79,IMPORTRANGE(""https://docs.google.com/spreadsheets/d/1UrzyxmT40kDZwVrLMf1yyXfP-pyczRAw9Y8Rw-uXG3c/edit#gid=0"",""'Game 3'!$B$2:$Q$34""),33,False),1)"),0.0)</f>
        <v>0</v>
      </c>
      <c r="P79" s="12">
        <f>IFERROR(__xludf.DUMMYFUNCTION("IFERROR(HLOOKUP($A79,IMPORTRANGE(""https://docs.google.com/spreadsheets/d/1iyMhSYWifw-KGFtyeBpNxVZr4BhcV9hVZuShgJ9Ia0E/edit#gid=0"",""'Game 13'!$B$2:$Q$34""),33,False),1)"),0.0)</f>
        <v>0</v>
      </c>
      <c r="Q79" s="12">
        <f>IFERROR(__xludf.DUMMYFUNCTION("IFERROR(HLOOKUP($A79,IMPORTRANGE(""https://docs.google.com/spreadsheets/d/1sSbIK-vvHsSY0LghLJ9gcnW8Hec_ITI2tFmpeqI999A/edit#gid=0"",""'Game 10'!$B$2:$Q$34""),33,False),1)"),0.0)</f>
        <v>0</v>
      </c>
      <c r="R79" s="13">
        <f>TUHStand!R79</f>
        <v>254</v>
      </c>
      <c r="S79" s="13">
        <f t="shared" si="4"/>
        <v>8</v>
      </c>
      <c r="T79" s="13">
        <f t="shared" si="5"/>
        <v>0.7244094488</v>
      </c>
      <c r="U79" s="13">
        <f t="shared" si="3"/>
        <v>119</v>
      </c>
    </row>
    <row r="80">
      <c r="A80" s="3" t="s">
        <v>197</v>
      </c>
      <c r="B80" s="6" t="s">
        <v>198</v>
      </c>
      <c r="C80" s="18">
        <v>0.0</v>
      </c>
      <c r="D80" s="18">
        <v>20.0</v>
      </c>
      <c r="E80" s="18">
        <v>0.0</v>
      </c>
      <c r="F80" s="18">
        <v>8.0</v>
      </c>
      <c r="G80" s="3">
        <v>0.0</v>
      </c>
      <c r="H80" s="5">
        <f>IFERROR(__xludf.DUMMYFUNCTION("HLOOKUP($A80,IMPORTRANGE(""https://docs.google.com/spreadsheets/d/16J5ie7OD1E99qGO9lMDm8w5Yls-v190B7DTolJ5TmFc/edit#gid=0"",""'Game 3'!$B$2:$Q$34""),33,False)"),0.0)</f>
        <v>0</v>
      </c>
      <c r="I80" s="3">
        <v>0.0</v>
      </c>
      <c r="J80" s="5">
        <f>IFERROR(__xludf.DUMMYFUNCTION("IFERROR(HLOOKUP($A80,IMPORTRANGE(""https://docs.google.com/spreadsheets/d/1CTYfdyRk_RFGM3I2iN9bKeD9zUPzEm1ajzml6VgwfIU/edit#gid=0"",""'Game 5'!$B$2:$Q$34""),33,False),1)"),8.0)</f>
        <v>8</v>
      </c>
      <c r="K80" s="5">
        <f>IFERROR(__xludf.DUMMYFUNCTION("IFERROR(HLOOKUP($A80,IMPORTRANGE(""https://docs.google.com/spreadsheets/d/11NFkzOdQyW-OtxSDuGslNCgNjx7HUb2FU7KnlNnPMgY/edit#gid=0"",""'Game 2'!$B$2:$Q$34""),33,False),1)"),4.0)</f>
        <v>4</v>
      </c>
      <c r="L80" s="5">
        <f>IFERROR(__xludf.DUMMYFUNCTION("IFERROR(HLOOKUP($A80,IMPORTRANGE(""https://docs.google.com/spreadsheets/d/1CLg5-jaE4ta0-u4oE1qbBplQ5Mf3Oj9ONFgL0zJ7Ol4/edit#gid=0"",""'Game 3'!$B$2:$Q$34""),33,False),1)"),0.0)</f>
        <v>0</v>
      </c>
      <c r="M80" s="5">
        <f>IFERROR(__xludf.DUMMYFUNCTION("IFERROR(HLOOKUP($A80,IMPORTRANGE(""https://docs.google.com/spreadsheets/d/1CeexgK4KxWj3k_7nql_k8-RPxXMwTJyB4Q3vAASeDlA/edit#gid=0"",""'Game 7'!$B$2:$Q$34""),33,False),1)"),0.0)</f>
        <v>0</v>
      </c>
      <c r="N80" s="5">
        <f>IFERROR(__xludf.DUMMYFUNCTION("IFERROR(HLOOKUP($A80,IMPORTRANGE(""https://docs.google.com/spreadsheets/d/1MNwUNMjcwK6bEgCXwB73jpbK5gJAXS8ZMpbEMLJEP3E/edit#gid=0"",""'Game 4'!$B$2:$Q$34""),33,False),1)"),0.0)</f>
        <v>0</v>
      </c>
      <c r="O80" s="5">
        <f>IFERROR(__xludf.DUMMYFUNCTION("IFERROR(HLOOKUP($A80,IMPORTRANGE(""https://docs.google.com/spreadsheets/d/1UrzyxmT40kDZwVrLMf1yyXfP-pyczRAw9Y8Rw-uXG3c/edit#gid=0"",""'Game 12'!$B$2:$Q$34""),33,False),1)"),8.0)</f>
        <v>8</v>
      </c>
      <c r="P80" s="5">
        <f>IFERROR(__xludf.DUMMYFUNCTION("IFERROR(HLOOKUP($A80,IMPORTRANGE(""https://docs.google.com/spreadsheets/d/1iyMhSYWifw-KGFtyeBpNxVZr4BhcV9hVZuShgJ9Ia0E/edit#gid=0"",""'Game 13'!$B$2:$Q$34""),33,False),1)"),8.0)</f>
        <v>8</v>
      </c>
      <c r="Q80" s="5">
        <f>IFERROR(__xludf.DUMMYFUNCTION("IFERROR(HLOOKUP($A80,IMPORTRANGE(""https://docs.google.com/spreadsheets/d/1sSbIK-vvHsSY0LghLJ9gcnW8Hec_ITI2tFmpeqI999A/edit#gid=0"",""'Game 7'!$B$2:$Q$34""),33,False),1)"),4.0)</f>
        <v>4</v>
      </c>
      <c r="R80" s="6">
        <f>TUHStand!R80</f>
        <v>276</v>
      </c>
      <c r="S80" s="6">
        <f t="shared" si="4"/>
        <v>60</v>
      </c>
      <c r="T80" s="6">
        <f t="shared" si="5"/>
        <v>5</v>
      </c>
      <c r="U80" s="6">
        <f t="shared" si="3"/>
        <v>64</v>
      </c>
    </row>
    <row r="81">
      <c r="A81" s="20" t="s">
        <v>201</v>
      </c>
      <c r="B81" s="13" t="s">
        <v>198</v>
      </c>
      <c r="C81" s="20">
        <v>0.0</v>
      </c>
      <c r="D81" s="20">
        <v>0.0</v>
      </c>
      <c r="E81" s="20">
        <v>0.0</v>
      </c>
      <c r="F81" s="20">
        <v>0.0</v>
      </c>
      <c r="G81" s="2">
        <v>0.0</v>
      </c>
      <c r="H81" s="12">
        <f>IFERROR(__xludf.DUMMYFUNCTION("HLOOKUP($A81,IMPORTRANGE(""https://docs.google.com/spreadsheets/d/16J5ie7OD1E99qGO9lMDm8w5Yls-v190B7DTolJ5TmFc/edit#gid=0"",""'Game 3'!$B$2:$Q$34""),33,False)"),0.0)</f>
        <v>0</v>
      </c>
      <c r="I81" s="2">
        <v>4.0</v>
      </c>
      <c r="J81" s="12">
        <f>IFERROR(__xludf.DUMMYFUNCTION("IFERROR(HLOOKUP($A81,IMPORTRANGE(""https://docs.google.com/spreadsheets/d/1CTYfdyRk_RFGM3I2iN9bKeD9zUPzEm1ajzml6VgwfIU/edit#gid=0"",""'Game 5'!$B$2:$Q$34""),33,False),1)"),0.0)</f>
        <v>0</v>
      </c>
      <c r="K81" s="12">
        <f>IFERROR(__xludf.DUMMYFUNCTION("IFERROR(HLOOKUP($A81,IMPORTRANGE(""https://docs.google.com/spreadsheets/d/11NFkzOdQyW-OtxSDuGslNCgNjx7HUb2FU7KnlNnPMgY/edit#gid=0"",""'Game 2'!$B$2:$Q$34""),33,False),1)"),0.0)</f>
        <v>0</v>
      </c>
      <c r="L81" s="12">
        <f>IFERROR(__xludf.DUMMYFUNCTION("IFERROR(HLOOKUP($A81,IMPORTRANGE(""https://docs.google.com/spreadsheets/d/1CLg5-jaE4ta0-u4oE1qbBplQ5Mf3Oj9ONFgL0zJ7Ol4/edit#gid=0"",""'Game 3'!$B$2:$Q$34""),33,False),1)"),0.0)</f>
        <v>0</v>
      </c>
      <c r="M81" s="12">
        <f>IFERROR(__xludf.DUMMYFUNCTION("IFERROR(HLOOKUP($A81,IMPORTRANGE(""https://docs.google.com/spreadsheets/d/1CeexgK4KxWj3k_7nql_k8-RPxXMwTJyB4Q3vAASeDlA/edit#gid=0"",""'Game 7'!$B$2:$Q$34""),33,False),1)"),24.0)</f>
        <v>24</v>
      </c>
      <c r="N81" s="12">
        <f>IFERROR(__xludf.DUMMYFUNCTION("IFERROR(HLOOKUP($A81,IMPORTRANGE(""https://docs.google.com/spreadsheets/d/1MNwUNMjcwK6bEgCXwB73jpbK5gJAXS8ZMpbEMLJEP3E/edit#gid=0"",""'Game 4'!$B$2:$Q$34""),33,False),1)"),0.0)</f>
        <v>0</v>
      </c>
      <c r="O81" s="12">
        <f>IFERROR(__xludf.DUMMYFUNCTION("IFERROR(HLOOKUP($A81,IMPORTRANGE(""https://docs.google.com/spreadsheets/d/1UrzyxmT40kDZwVrLMf1yyXfP-pyczRAw9Y8Rw-uXG3c/edit#gid=0"",""'Game 12'!$B$2:$Q$34""),33,False),1)"),8.0)</f>
        <v>8</v>
      </c>
      <c r="P81" s="12">
        <f>IFERROR(__xludf.DUMMYFUNCTION("IFERROR(HLOOKUP($A81,IMPORTRANGE(""https://docs.google.com/spreadsheets/d/1iyMhSYWifw-KGFtyeBpNxVZr4BhcV9hVZuShgJ9Ia0E/edit#gid=0"",""'Game 13'!$B$2:$Q$34""),33,False),1)"),0.0)</f>
        <v>0</v>
      </c>
      <c r="Q81" s="12">
        <f>IFERROR(__xludf.DUMMYFUNCTION("IFERROR(HLOOKUP($A81,IMPORTRANGE(""https://docs.google.com/spreadsheets/d/1sSbIK-vvHsSY0LghLJ9gcnW8Hec_ITI2tFmpeqI999A/edit#gid=0"",""'Game 7'!$B$2:$Q$34""),33,False),1)"),8.0)</f>
        <v>8</v>
      </c>
      <c r="R81" s="13">
        <f>TUHStand!R81</f>
        <v>228</v>
      </c>
      <c r="S81" s="13">
        <f t="shared" si="4"/>
        <v>44</v>
      </c>
      <c r="T81" s="13">
        <f t="shared" si="5"/>
        <v>4.438596491</v>
      </c>
      <c r="U81" s="13">
        <f t="shared" si="3"/>
        <v>68</v>
      </c>
    </row>
    <row r="82">
      <c r="A82" s="18" t="s">
        <v>203</v>
      </c>
      <c r="B82" s="6" t="s">
        <v>198</v>
      </c>
      <c r="C82" s="18">
        <v>8.0</v>
      </c>
      <c r="D82" s="18">
        <v>8.0</v>
      </c>
      <c r="E82" s="18">
        <v>0.0</v>
      </c>
      <c r="F82" s="18">
        <v>4.0</v>
      </c>
      <c r="G82" s="3">
        <v>0.0</v>
      </c>
      <c r="H82" s="5">
        <f>IFERROR(__xludf.DUMMYFUNCTION("HLOOKUP($A82,IMPORTRANGE(""https://docs.google.com/spreadsheets/d/16J5ie7OD1E99qGO9lMDm8w5Yls-v190B7DTolJ5TmFc/edit#gid=0"",""'Game 3'!$B$2:$Q$34""),33,False)"),4.0)</f>
        <v>4</v>
      </c>
      <c r="I82" s="3">
        <v>8.0</v>
      </c>
      <c r="J82" s="5">
        <f>IFERROR(__xludf.DUMMYFUNCTION("IFERROR(HLOOKUP($A82,IMPORTRANGE(""https://docs.google.com/spreadsheets/d/1CTYfdyRk_RFGM3I2iN9bKeD9zUPzEm1ajzml6VgwfIU/edit#gid=0"",""'Game 5'!$B$2:$Q$34""),33,False),1)"),4.0)</f>
        <v>4</v>
      </c>
      <c r="K82" s="5">
        <f>IFERROR(__xludf.DUMMYFUNCTION("IFERROR(HLOOKUP($A82,IMPORTRANGE(""https://docs.google.com/spreadsheets/d/11NFkzOdQyW-OtxSDuGslNCgNjx7HUb2FU7KnlNnPMgY/edit#gid=0"",""'Game 2'!$B$2:$Q$34""),33,False),1)"),8.0)</f>
        <v>8</v>
      </c>
      <c r="L82" s="5">
        <f>IFERROR(__xludf.DUMMYFUNCTION("IFERROR(HLOOKUP($A82,IMPORTRANGE(""https://docs.google.com/spreadsheets/d/1CLg5-jaE4ta0-u4oE1qbBplQ5Mf3Oj9ONFgL0zJ7Ol4/edit#gid=0"",""'Game 3'!$B$2:$Q$34""),33,False),1)"),8.0)</f>
        <v>8</v>
      </c>
      <c r="M82" s="5">
        <f>IFERROR(__xludf.DUMMYFUNCTION("IFERROR(HLOOKUP($A82,IMPORTRANGE(""https://docs.google.com/spreadsheets/d/1CeexgK4KxWj3k_7nql_k8-RPxXMwTJyB4Q3vAASeDlA/edit#gid=0"",""'Game 7'!$B$2:$Q$34""),33,False),1)"),0.0)</f>
        <v>0</v>
      </c>
      <c r="N82" s="5">
        <f>IFERROR(__xludf.DUMMYFUNCTION("IFERROR(HLOOKUP($A82,IMPORTRANGE(""https://docs.google.com/spreadsheets/d/1MNwUNMjcwK6bEgCXwB73jpbK5gJAXS8ZMpbEMLJEP3E/edit#gid=0"",""'Game 4'!$B$2:$Q$34""),33,False),1)"),4.0)</f>
        <v>4</v>
      </c>
      <c r="O82" s="5">
        <f>IFERROR(__xludf.DUMMYFUNCTION("IFERROR(HLOOKUP($A82,IMPORTRANGE(""https://docs.google.com/spreadsheets/d/1UrzyxmT40kDZwVrLMf1yyXfP-pyczRAw9Y8Rw-uXG3c/edit#gid=0"",""'Game 12'!$B$2:$Q$34""),33,False),1)"),8.0)</f>
        <v>8</v>
      </c>
      <c r="P82" s="5">
        <f>IFERROR(__xludf.DUMMYFUNCTION("IFERROR(HLOOKUP($A82,IMPORTRANGE(""https://docs.google.com/spreadsheets/d/1iyMhSYWifw-KGFtyeBpNxVZr4BhcV9hVZuShgJ9Ia0E/edit#gid=0"",""'Game 13'!$B$2:$Q$34""),33,False),1)"),12.0)</f>
        <v>12</v>
      </c>
      <c r="Q82" s="5">
        <f>IFERROR(__xludf.DUMMYFUNCTION("IFERROR(HLOOKUP($A82,IMPORTRANGE(""https://docs.google.com/spreadsheets/d/1sSbIK-vvHsSY0LghLJ9gcnW8Hec_ITI2tFmpeqI999A/edit#gid=0"",""'Game 7'!$B$2:$Q$34""),33,False),1)"),8.0)</f>
        <v>8</v>
      </c>
      <c r="R82" s="6">
        <f>TUHStand!R82</f>
        <v>345</v>
      </c>
      <c r="S82" s="6">
        <f t="shared" si="4"/>
        <v>84</v>
      </c>
      <c r="T82" s="6">
        <f t="shared" si="5"/>
        <v>5.6</v>
      </c>
      <c r="U82" s="6">
        <f t="shared" si="3"/>
        <v>55</v>
      </c>
    </row>
    <row r="83">
      <c r="A83" s="2" t="s">
        <v>206</v>
      </c>
      <c r="B83" s="2" t="s">
        <v>198</v>
      </c>
      <c r="C83" s="2">
        <v>0.0</v>
      </c>
      <c r="D83" s="2">
        <v>0.0</v>
      </c>
      <c r="E83" s="2">
        <v>0.0</v>
      </c>
      <c r="F83" s="2">
        <v>0.0</v>
      </c>
      <c r="G83" s="2">
        <v>0.0</v>
      </c>
      <c r="H83" s="29">
        <v>0.0</v>
      </c>
      <c r="I83" s="2">
        <v>4.0</v>
      </c>
      <c r="J83" s="12">
        <f>IFERROR(__xludf.DUMMYFUNCTION("IFERROR(HLOOKUP($A83,IMPORTRANGE(""https://docs.google.com/spreadsheets/d/1CTYfdyRk_RFGM3I2iN9bKeD9zUPzEm1ajzml6VgwfIU/edit#gid=0"",""'Game 5'!$B$2:$Q$34""),33,False),1)"),0.0)</f>
        <v>0</v>
      </c>
      <c r="K83" s="12">
        <f>IFERROR(__xludf.DUMMYFUNCTION("IFERROR(HLOOKUP($A83,IMPORTRANGE(""https://docs.google.com/spreadsheets/d/11NFkzOdQyW-OtxSDuGslNCgNjx7HUb2FU7KnlNnPMgY/edit#gid=0"",""'Game 2'!$B$2:$Q$34""),33,False),1)"),0.0)</f>
        <v>0</v>
      </c>
      <c r="L83" s="12">
        <f>IFERROR(__xludf.DUMMYFUNCTION("IFERROR(HLOOKUP($A83,IMPORTRANGE(""https://docs.google.com/spreadsheets/d/1CLg5-jaE4ta0-u4oE1qbBplQ5Mf3Oj9ONFgL0zJ7Ol4/edit#gid=0"",""'Game 3'!$B$2:$Q$34""),33,False),1)"),0.0)</f>
        <v>0</v>
      </c>
      <c r="M83" s="12">
        <f>IFERROR(__xludf.DUMMYFUNCTION("IFERROR(HLOOKUP($A83,IMPORTRANGE(""https://docs.google.com/spreadsheets/d/1CeexgK4KxWj3k_7nql_k8-RPxXMwTJyB4Q3vAASeDlA/edit#gid=0"",""'Game 7'!$B$2:$Q$34""),33,False),1)"),0.0)</f>
        <v>0</v>
      </c>
      <c r="N83" s="12">
        <f>IFERROR(__xludf.DUMMYFUNCTION("IFERROR(HLOOKUP($A83,IMPORTRANGE(""https://docs.google.com/spreadsheets/d/1MNwUNMjcwK6bEgCXwB73jpbK5gJAXS8ZMpbEMLJEP3E/edit#gid=0"",""'Game 4'!$B$2:$Q$34""),33,False),1)"),0.0)</f>
        <v>0</v>
      </c>
      <c r="O83" s="12">
        <f>IFERROR(__xludf.DUMMYFUNCTION("IFERROR(HLOOKUP($A83,IMPORTRANGE(""https://docs.google.com/spreadsheets/d/1UrzyxmT40kDZwVrLMf1yyXfP-pyczRAw9Y8Rw-uXG3c/edit#gid=0"",""'Game 12'!$B$2:$Q$34""),33,False),1)"),0.0)</f>
        <v>0</v>
      </c>
      <c r="P83" s="12">
        <f>IFERROR(__xludf.DUMMYFUNCTION("IFERROR(HLOOKUP($A83,IMPORTRANGE(""https://docs.google.com/spreadsheets/d/1iyMhSYWifw-KGFtyeBpNxVZr4BhcV9hVZuShgJ9Ia0E/edit#gid=0"",""'Game 13'!$B$2:$Q$34""),33,False),1)"),0.0)</f>
        <v>0</v>
      </c>
      <c r="Q83" s="12">
        <f>IFERROR(__xludf.DUMMYFUNCTION("IFERROR(HLOOKUP($A83,IMPORTRANGE(""https://docs.google.com/spreadsheets/d/1sSbIK-vvHsSY0LghLJ9gcnW8Hec_ITI2tFmpeqI999A/edit#gid=0"",""'Game 7'!$B$2:$Q$34""),33,False),1)"),0.0)</f>
        <v>0</v>
      </c>
      <c r="R83" s="13">
        <f>TUHStand!R83</f>
        <v>23</v>
      </c>
      <c r="S83" s="13">
        <f t="shared" si="4"/>
        <v>4</v>
      </c>
      <c r="T83" s="13">
        <f t="shared" si="5"/>
        <v>4</v>
      </c>
      <c r="U83" s="13">
        <f t="shared" si="3"/>
        <v>72</v>
      </c>
    </row>
    <row r="84">
      <c r="A84" s="18" t="s">
        <v>208</v>
      </c>
      <c r="B84" s="6" t="s">
        <v>198</v>
      </c>
      <c r="C84" s="18">
        <v>4.0</v>
      </c>
      <c r="D84" s="18">
        <v>0.0</v>
      </c>
      <c r="E84" s="18">
        <v>0.0</v>
      </c>
      <c r="F84" s="18">
        <v>0.0</v>
      </c>
      <c r="G84" s="3">
        <v>4.0</v>
      </c>
      <c r="H84" s="5">
        <f>IFERROR(__xludf.DUMMYFUNCTION("HLOOKUP($A84,IMPORTRANGE(""https://docs.google.com/spreadsheets/d/16J5ie7OD1E99qGO9lMDm8w5Yls-v190B7DTolJ5TmFc/edit#gid=0"",""'Game 3'!$B$2:$Q$34""),33,False)"),0.0)</f>
        <v>0</v>
      </c>
      <c r="I84" s="3">
        <v>0.0</v>
      </c>
      <c r="J84" s="5">
        <f>IFERROR(__xludf.DUMMYFUNCTION("IFERROR(HLOOKUP($A84,IMPORTRANGE(""https://docs.google.com/spreadsheets/d/1CTYfdyRk_RFGM3I2iN9bKeD9zUPzEm1ajzml6VgwfIU/edit#gid=0"",""'Game 5'!$B$2:$Q$34""),33,False),1)"),0.0)</f>
        <v>0</v>
      </c>
      <c r="K84" s="5">
        <f>IFERROR(__xludf.DUMMYFUNCTION("IFERROR(HLOOKUP($A84,IMPORTRANGE(""https://docs.google.com/spreadsheets/d/11NFkzOdQyW-OtxSDuGslNCgNjx7HUb2FU7KnlNnPMgY/edit#gid=0"",""'Game 2'!$B$2:$Q$34""),33,False),1)"),0.0)</f>
        <v>0</v>
      </c>
      <c r="L84" s="5">
        <f>IFERROR(__xludf.DUMMYFUNCTION("IFERROR(HLOOKUP($A84,IMPORTRANGE(""https://docs.google.com/spreadsheets/d/1CLg5-jaE4ta0-u4oE1qbBplQ5Mf3Oj9ONFgL0zJ7Ol4/edit#gid=0"",""'Game 3'!$B$2:$Q$34""),33,False),1)"),-4.0)</f>
        <v>-4</v>
      </c>
      <c r="M84" s="5">
        <f>IFERROR(__xludf.DUMMYFUNCTION("IFERROR(HLOOKUP($A84,IMPORTRANGE(""https://docs.google.com/spreadsheets/d/1CeexgK4KxWj3k_7nql_k8-RPxXMwTJyB4Q3vAASeDlA/edit#gid=0"",""'Game 7'!$B$2:$Q$34""),33,False),1)"),0.0)</f>
        <v>0</v>
      </c>
      <c r="N84" s="5">
        <f>IFERROR(__xludf.DUMMYFUNCTION("IFERROR(HLOOKUP($A84,IMPORTRANGE(""https://docs.google.com/spreadsheets/d/1MNwUNMjcwK6bEgCXwB73jpbK5gJAXS8ZMpbEMLJEP3E/edit#gid=0"",""'Game 4'!$B$2:$Q$34""),33,False),1)"),0.0)</f>
        <v>0</v>
      </c>
      <c r="O84" s="5">
        <f>IFERROR(__xludf.DUMMYFUNCTION("IFERROR(HLOOKUP($A84,IMPORTRANGE(""https://docs.google.com/spreadsheets/d/1UrzyxmT40kDZwVrLMf1yyXfP-pyczRAw9Y8Rw-uXG3c/edit#gid=0"",""'Game 12'!$B$2:$Q$34""),33,False),1)"),4.0)</f>
        <v>4</v>
      </c>
      <c r="P84" s="5">
        <f>IFERROR(__xludf.DUMMYFUNCTION("IFERROR(HLOOKUP($A84,IMPORTRANGE(""https://docs.google.com/spreadsheets/d/1iyMhSYWifw-KGFtyeBpNxVZr4BhcV9hVZuShgJ9Ia0E/edit#gid=0"",""'Game 13'!$B$2:$Q$34""),33,False),1)"),0.0)</f>
        <v>0</v>
      </c>
      <c r="Q84" s="5">
        <f>IFERROR(__xludf.DUMMYFUNCTION("IFERROR(HLOOKUP($A84,IMPORTRANGE(""https://docs.google.com/spreadsheets/d/1sSbIK-vvHsSY0LghLJ9gcnW8Hec_ITI2tFmpeqI999A/edit#gid=0"",""'Game 7'!$B$2:$Q$34""),33,False),1)"),8.0)</f>
        <v>8</v>
      </c>
      <c r="R84" s="6">
        <f>TUHStand!R84</f>
        <v>209</v>
      </c>
      <c r="S84" s="6">
        <f t="shared" si="4"/>
        <v>16</v>
      </c>
      <c r="T84" s="6">
        <f t="shared" si="5"/>
        <v>1.76076555</v>
      </c>
      <c r="U84" s="6">
        <f t="shared" si="3"/>
        <v>100</v>
      </c>
    </row>
    <row r="85">
      <c r="A85" s="20" t="s">
        <v>211</v>
      </c>
      <c r="B85" s="20" t="s">
        <v>198</v>
      </c>
      <c r="C85" s="20">
        <v>4.0</v>
      </c>
      <c r="D85" s="20">
        <v>4.0</v>
      </c>
      <c r="E85" s="20">
        <v>4.0</v>
      </c>
      <c r="F85" s="20">
        <v>12.0</v>
      </c>
      <c r="G85" s="2">
        <v>4.0</v>
      </c>
      <c r="H85" s="12">
        <f>IFERROR(__xludf.DUMMYFUNCTION("HLOOKUP($A85,IMPORTRANGE(""https://docs.google.com/spreadsheets/d/16J5ie7OD1E99qGO9lMDm8w5Yls-v190B7DTolJ5TmFc/edit#gid=0"",""'Game 3'!$B$2:$Q$34""),33,False)"),4.0)</f>
        <v>4</v>
      </c>
      <c r="I85" s="2">
        <v>0.0</v>
      </c>
      <c r="J85" s="12">
        <f>IFERROR(__xludf.DUMMYFUNCTION("IFERROR(HLOOKUP($A85,IMPORTRANGE(""https://docs.google.com/spreadsheets/d/1CTYfdyRk_RFGM3I2iN9bKeD9zUPzEm1ajzml6VgwfIU/edit#gid=0"",""'Game 5'!$B$2:$Q$34""),33,False),1)"),12.0)</f>
        <v>12</v>
      </c>
      <c r="K85" s="12">
        <f>IFERROR(__xludf.DUMMYFUNCTION("IFERROR(HLOOKUP($A85,IMPORTRANGE(""https://docs.google.com/spreadsheets/d/11NFkzOdQyW-OtxSDuGslNCgNjx7HUb2FU7KnlNnPMgY/edit#gid=0"",""'Game 2'!$B$2:$Q$34""),33,False),1)"),12.0)</f>
        <v>12</v>
      </c>
      <c r="L85" s="12">
        <f>IFERROR(__xludf.DUMMYFUNCTION("IFERROR(HLOOKUP($A85,IMPORTRANGE(""https://docs.google.com/spreadsheets/d/1CLg5-jaE4ta0-u4oE1qbBplQ5Mf3Oj9ONFgL0zJ7Ol4/edit#gid=0"",""'Game 3'!$B$2:$Q$34""),33,False),1)"),8.0)</f>
        <v>8</v>
      </c>
      <c r="M85" s="12">
        <f>IFERROR(__xludf.DUMMYFUNCTION("IFERROR(HLOOKUP($A85,IMPORTRANGE(""https://docs.google.com/spreadsheets/d/1CeexgK4KxWj3k_7nql_k8-RPxXMwTJyB4Q3vAASeDlA/edit#gid=0"",""'Game 7'!$B$2:$Q$34""),33,False),1)"),4.0)</f>
        <v>4</v>
      </c>
      <c r="N85" s="12">
        <f>IFERROR(__xludf.DUMMYFUNCTION("IFERROR(HLOOKUP($A85,IMPORTRANGE(""https://docs.google.com/spreadsheets/d/1MNwUNMjcwK6bEgCXwB73jpbK5gJAXS8ZMpbEMLJEP3E/edit#gid=0"",""'Game 4'!$B$2:$Q$34""),33,False),1)"),16.0)</f>
        <v>16</v>
      </c>
      <c r="O85" s="12">
        <f>IFERROR(__xludf.DUMMYFUNCTION("IFERROR(HLOOKUP($A85,IMPORTRANGE(""https://docs.google.com/spreadsheets/d/1UrzyxmT40kDZwVrLMf1yyXfP-pyczRAw9Y8Rw-uXG3c/edit#gid=0"",""'Game 12'!$B$2:$Q$34""),33,False),1)"),0.0)</f>
        <v>0</v>
      </c>
      <c r="P85" s="12">
        <f>IFERROR(__xludf.DUMMYFUNCTION("IFERROR(HLOOKUP($A85,IMPORTRANGE(""https://docs.google.com/spreadsheets/d/1iyMhSYWifw-KGFtyeBpNxVZr4BhcV9hVZuShgJ9Ia0E/edit#gid=0"",""'Game 13'!$B$2:$Q$34""),33,False),1)"),4.0)</f>
        <v>4</v>
      </c>
      <c r="Q85" s="12">
        <f>IFERROR(__xludf.DUMMYFUNCTION("IFERROR(HLOOKUP($A85,IMPORTRANGE(""https://docs.google.com/spreadsheets/d/1sSbIK-vvHsSY0LghLJ9gcnW8Hec_ITI2tFmpeqI999A/edit#gid=0"",""'Game 7'!$B$2:$Q$34""),33,False),1)"),0.0)</f>
        <v>0</v>
      </c>
      <c r="R85" s="13">
        <f>TUHStand!R85</f>
        <v>299</v>
      </c>
      <c r="S85" s="13">
        <f t="shared" si="4"/>
        <v>88</v>
      </c>
      <c r="T85" s="13">
        <f t="shared" si="5"/>
        <v>6.769230769</v>
      </c>
      <c r="U85" s="13">
        <f t="shared" si="3"/>
        <v>45</v>
      </c>
    </row>
    <row r="86">
      <c r="A86" s="18" t="s">
        <v>212</v>
      </c>
      <c r="B86" s="18" t="s">
        <v>213</v>
      </c>
      <c r="C86" s="18">
        <v>0.0</v>
      </c>
      <c r="D86" s="18">
        <v>0.0</v>
      </c>
      <c r="E86" s="18">
        <v>0.0</v>
      </c>
      <c r="F86" s="18">
        <v>0.0</v>
      </c>
      <c r="G86" s="3">
        <v>0.0</v>
      </c>
      <c r="H86" s="5">
        <f>IFERROR(__xludf.DUMMYFUNCTION("HLOOKUP($A86,IMPORTRANGE(""https://docs.google.com/spreadsheets/d/16J5ie7OD1E99qGO9lMDm8w5Yls-v190B7DTolJ5TmFc/edit#gid=0"",""'Game 4'!$B$2:$Q$34""),33,False)"),0.0)</f>
        <v>0</v>
      </c>
      <c r="I86" s="3">
        <v>0.0</v>
      </c>
      <c r="J86" s="5">
        <f>IFERROR(__xludf.DUMMYFUNCTION("IFERROR(HLOOKUP($A86,IMPORTRANGE(""https://docs.google.com/spreadsheets/d/1CTYfdyRk_RFGM3I2iN9bKeD9zUPzEm1ajzml6VgwfIU/edit#gid=0"",""'Game 8'!$B$2:$Q$34""),33,False),1)"),0.0)</f>
        <v>0</v>
      </c>
      <c r="K86" s="5">
        <f>IFERROR(__xludf.DUMMYFUNCTION("IFERROR(HLOOKUP($A86,IMPORTRANGE(""https://docs.google.com/spreadsheets/d/11NFkzOdQyW-OtxSDuGslNCgNjx7HUb2FU7KnlNnPMgY/edit#gid=0"",""'Game 8'!$B$2:$Q$34""),33,False),1)"),0.0)</f>
        <v>0</v>
      </c>
      <c r="L86" s="5">
        <f>IFERROR(__xludf.DUMMYFUNCTION("IFERROR(HLOOKUP($A86,IMPORTRANGE(""https://docs.google.com/spreadsheets/d/1CLg5-jaE4ta0-u4oE1qbBplQ5Mf3Oj9ONFgL0zJ7Ol4/edit#gid=0"",""'Game 9'!$B$2:$Q$34""),33,False),1)"),0.0)</f>
        <v>0</v>
      </c>
      <c r="M86" s="5">
        <f>IFERROR(__xludf.DUMMYFUNCTION("IFERROR(HLOOKUP($A86,IMPORTRANGE(""https://docs.google.com/spreadsheets/d/1CeexgK4KxWj3k_7nql_k8-RPxXMwTJyB4Q3vAASeDlA/edit#gid=0"",""'Game 2'!$B$2:$Q$34""),33,False),1)"),0.0)</f>
        <v>0</v>
      </c>
      <c r="N86" s="5">
        <f>IFERROR(__xludf.DUMMYFUNCTION("IFERROR(HLOOKUP($A86,IMPORTRANGE(""https://docs.google.com/spreadsheets/d/1MNwUNMjcwK6bEgCXwB73jpbK5gJAXS8ZMpbEMLJEP3E/edit#gid=0"",""'Game 8'!$B$2:$Q$34""),33,False),1)"),0.0)</f>
        <v>0</v>
      </c>
      <c r="O86" s="5">
        <f>IFERROR(__xludf.DUMMYFUNCTION("IFERROR(HLOOKUP($A86,IMPORTRANGE(""https://docs.google.com/spreadsheets/d/1UrzyxmT40kDZwVrLMf1yyXfP-pyczRAw9Y8Rw-uXG3c/edit#gid=0"",""'Game 8'!$B$2:$Q$34""),33,False),1)"),0.0)</f>
        <v>0</v>
      </c>
      <c r="P86" s="5">
        <f>IFERROR(__xludf.DUMMYFUNCTION("IFERROR(HLOOKUP($A86,IMPORTRANGE(""https://docs.google.com/spreadsheets/d/1iyMhSYWifw-KGFtyeBpNxVZr4BhcV9hVZuShgJ9Ia0E/edit#gid=0"",""'Game 8'!$B$2:$Q$34""),33,False),1)"),0.0)</f>
        <v>0</v>
      </c>
      <c r="Q86" s="5">
        <f>IFERROR(__xludf.DUMMYFUNCTION("IFERROR(HLOOKUP($A86,IMPORTRANGE(""https://docs.google.com/spreadsheets/d/1sSbIK-vvHsSY0LghLJ9gcnW8Hec_ITI2tFmpeqI999A/edit#gid=0"",""'Game 7'!$B$2:$Q$34""),33,False),1)"),0.0)</f>
        <v>0</v>
      </c>
      <c r="R86" s="6">
        <f>TUHStand!R86</f>
        <v>46</v>
      </c>
      <c r="S86" s="6">
        <f t="shared" si="4"/>
        <v>0</v>
      </c>
      <c r="T86" s="6">
        <f t="shared" si="5"/>
        <v>0</v>
      </c>
      <c r="U86" s="6">
        <f t="shared" si="3"/>
        <v>127</v>
      </c>
    </row>
    <row r="87">
      <c r="A87" s="20" t="s">
        <v>215</v>
      </c>
      <c r="B87" s="13" t="s">
        <v>213</v>
      </c>
      <c r="C87" s="20">
        <v>20.0</v>
      </c>
      <c r="D87" s="20">
        <v>12.0</v>
      </c>
      <c r="E87" s="20">
        <v>12.0</v>
      </c>
      <c r="F87" s="20">
        <v>0.0</v>
      </c>
      <c r="G87" s="2">
        <v>20.0</v>
      </c>
      <c r="H87" s="12">
        <f>IFERROR(__xludf.DUMMYFUNCTION("HLOOKUP($A87,IMPORTRANGE(""https://docs.google.com/spreadsheets/d/16J5ie7OD1E99qGO9lMDm8w5Yls-v190B7DTolJ5TmFc/edit#gid=0"",""'Game 4'!$B$2:$Q$34""),33,False)"),16.0)</f>
        <v>16</v>
      </c>
      <c r="I87" s="2">
        <v>8.0</v>
      </c>
      <c r="J87" s="12">
        <f>IFERROR(__xludf.DUMMYFUNCTION("IFERROR(HLOOKUP($A87,IMPORTRANGE(""https://docs.google.com/spreadsheets/d/1CTYfdyRk_RFGM3I2iN9bKeD9zUPzEm1ajzml6VgwfIU/edit#gid=0"",""'Game 8'!$B$2:$Q$34""),33,False),1)"),4.0)</f>
        <v>4</v>
      </c>
      <c r="K87" s="12">
        <f>IFERROR(__xludf.DUMMYFUNCTION("IFERROR(HLOOKUP($A87,IMPORTRANGE(""https://docs.google.com/spreadsheets/d/11NFkzOdQyW-OtxSDuGslNCgNjx7HUb2FU7KnlNnPMgY/edit#gid=0"",""'Game 8'!$B$2:$Q$34""),33,False),1)"),4.0)</f>
        <v>4</v>
      </c>
      <c r="L87" s="12">
        <f>IFERROR(__xludf.DUMMYFUNCTION("IFERROR(HLOOKUP($A87,IMPORTRANGE(""https://docs.google.com/spreadsheets/d/1CLg5-jaE4ta0-u4oE1qbBplQ5Mf3Oj9ONFgL0zJ7Ol4/edit#gid=0"",""'Game 9'!$B$2:$Q$34""),33,False),1)"),12.0)</f>
        <v>12</v>
      </c>
      <c r="M87" s="12">
        <f>IFERROR(__xludf.DUMMYFUNCTION("IFERROR(HLOOKUP($A87,IMPORTRANGE(""https://docs.google.com/spreadsheets/d/1CeexgK4KxWj3k_7nql_k8-RPxXMwTJyB4Q3vAASeDlA/edit#gid=0"",""'Game 2'!$B$2:$Q$34""),33,False),1)"),12.0)</f>
        <v>12</v>
      </c>
      <c r="N87" s="12">
        <f>IFERROR(__xludf.DUMMYFUNCTION("IFERROR(HLOOKUP($A87,IMPORTRANGE(""https://docs.google.com/spreadsheets/d/1MNwUNMjcwK6bEgCXwB73jpbK5gJAXS8ZMpbEMLJEP3E/edit#gid=0"",""'Game 8'!$B$2:$Q$34""),33,False),1)"),16.0)</f>
        <v>16</v>
      </c>
      <c r="O87" s="12">
        <f>IFERROR(__xludf.DUMMYFUNCTION("IFERROR(HLOOKUP($A87,IMPORTRANGE(""https://docs.google.com/spreadsheets/d/1UrzyxmT40kDZwVrLMf1yyXfP-pyczRAw9Y8Rw-uXG3c/edit#gid=0"",""'Game 8'!$B$2:$Q$34""),33,False),1)"),24.0)</f>
        <v>24</v>
      </c>
      <c r="P87" s="12">
        <f>IFERROR(__xludf.DUMMYFUNCTION("IFERROR(HLOOKUP($A87,IMPORTRANGE(""https://docs.google.com/spreadsheets/d/1iyMhSYWifw-KGFtyeBpNxVZr4BhcV9hVZuShgJ9Ia0E/edit#gid=0"",""'Game 8'!$B$2:$Q$34""),33,False),1)"),12.0)</f>
        <v>12</v>
      </c>
      <c r="Q87" s="12">
        <f>IFERROR(__xludf.DUMMYFUNCTION("IFERROR(HLOOKUP($A87,IMPORTRANGE(""https://docs.google.com/spreadsheets/d/1sSbIK-vvHsSY0LghLJ9gcnW8Hec_ITI2tFmpeqI999A/edit#gid=0"",""'Game 7'!$B$2:$Q$34""),33,False),1)"),12.0)</f>
        <v>12</v>
      </c>
      <c r="R87" s="13">
        <f>TUHStand!R87</f>
        <v>344</v>
      </c>
      <c r="S87" s="13">
        <f t="shared" si="4"/>
        <v>184</v>
      </c>
      <c r="T87" s="13">
        <f t="shared" si="5"/>
        <v>12.30232558</v>
      </c>
      <c r="U87" s="13">
        <f t="shared" si="3"/>
        <v>21</v>
      </c>
    </row>
    <row r="88">
      <c r="A88" s="18" t="s">
        <v>217</v>
      </c>
      <c r="B88" s="6" t="s">
        <v>213</v>
      </c>
      <c r="C88" s="18">
        <v>0.0</v>
      </c>
      <c r="D88" s="18">
        <v>0.0</v>
      </c>
      <c r="E88" s="18">
        <v>0.0</v>
      </c>
      <c r="F88" s="18">
        <v>0.0</v>
      </c>
      <c r="G88" s="3">
        <v>0.0</v>
      </c>
      <c r="H88" s="5">
        <f>IFERROR(__xludf.DUMMYFUNCTION("HLOOKUP($A88,IMPORTRANGE(""https://docs.google.com/spreadsheets/d/16J5ie7OD1E99qGO9lMDm8w5Yls-v190B7DTolJ5TmFc/edit#gid=0"",""'Game 4'!$B$2:$Q$34""),33,False)"),0.0)</f>
        <v>0</v>
      </c>
      <c r="I88" s="3">
        <v>0.0</v>
      </c>
      <c r="J88" s="5">
        <f>IFERROR(__xludf.DUMMYFUNCTION("IFERROR(HLOOKUP($A88,IMPORTRANGE(""https://docs.google.com/spreadsheets/d/1CTYfdyRk_RFGM3I2iN9bKeD9zUPzEm1ajzml6VgwfIU/edit#gid=0"",""'Game 8'!$B$2:$Q$34""),33,False),1)"),0.0)</f>
        <v>0</v>
      </c>
      <c r="K88" s="5">
        <f>IFERROR(__xludf.DUMMYFUNCTION("IFERROR(HLOOKUP($A88,IMPORTRANGE(""https://docs.google.com/spreadsheets/d/11NFkzOdQyW-OtxSDuGslNCgNjx7HUb2FU7KnlNnPMgY/edit#gid=0"",""'Game 8'!$B$2:$Q$34""),33,False),1)"),0.0)</f>
        <v>0</v>
      </c>
      <c r="L88" s="5">
        <f>IFERROR(__xludf.DUMMYFUNCTION("IFERROR(HLOOKUP($A88,IMPORTRANGE(""https://docs.google.com/spreadsheets/d/1CLg5-jaE4ta0-u4oE1qbBplQ5Mf3Oj9ONFgL0zJ7Ol4/edit#gid=0"",""'Game 9'!$B$2:$Q$34""),33,False),1)"),0.0)</f>
        <v>0</v>
      </c>
      <c r="M88" s="5">
        <f>IFERROR(__xludf.DUMMYFUNCTION("IFERROR(HLOOKUP($A88,IMPORTRANGE(""https://docs.google.com/spreadsheets/d/1CeexgK4KxWj3k_7nql_k8-RPxXMwTJyB4Q3vAASeDlA/edit#gid=0"",""'Game 2'!$B$2:$Q$34""),33,False),1)"),0.0)</f>
        <v>0</v>
      </c>
      <c r="N88" s="5">
        <f>IFERROR(__xludf.DUMMYFUNCTION("IFERROR(HLOOKUP($A88,IMPORTRANGE(""https://docs.google.com/spreadsheets/d/1MNwUNMjcwK6bEgCXwB73jpbK5gJAXS8ZMpbEMLJEP3E/edit#gid=0"",""'Game 8'!$B$2:$Q$34""),33,False),1)"),0.0)</f>
        <v>0</v>
      </c>
      <c r="O88" s="5">
        <f>IFERROR(__xludf.DUMMYFUNCTION("IFERROR(HLOOKUP($A88,IMPORTRANGE(""https://docs.google.com/spreadsheets/d/1UrzyxmT40kDZwVrLMf1yyXfP-pyczRAw9Y8Rw-uXG3c/edit#gid=0"",""'Game 8'!$B$2:$Q$34""),33,False),1)"),0.0)</f>
        <v>0</v>
      </c>
      <c r="P88" s="5">
        <f>IFERROR(__xludf.DUMMYFUNCTION("IFERROR(HLOOKUP($A88,IMPORTRANGE(""https://docs.google.com/spreadsheets/d/1iyMhSYWifw-KGFtyeBpNxVZr4BhcV9hVZuShgJ9Ia0E/edit#gid=0"",""'Game 8'!$B$2:$Q$34""),33,False),1)"),0.0)</f>
        <v>0</v>
      </c>
      <c r="Q88" s="5">
        <f>IFERROR(__xludf.DUMMYFUNCTION("IFERROR(HLOOKUP($A88,IMPORTRANGE(""https://docs.google.com/spreadsheets/d/1sSbIK-vvHsSY0LghLJ9gcnW8Hec_ITI2tFmpeqI999A/edit#gid=0"",""'Game 7'!$B$2:$Q$34""),33,False),1)"),0.0)</f>
        <v>0</v>
      </c>
      <c r="R88" s="6">
        <f>TUHStand!R88</f>
        <v>11</v>
      </c>
      <c r="S88" s="6">
        <f t="shared" si="4"/>
        <v>0</v>
      </c>
      <c r="T88" s="6">
        <f t="shared" si="5"/>
        <v>0</v>
      </c>
      <c r="U88" s="6">
        <f t="shared" si="3"/>
        <v>127</v>
      </c>
    </row>
    <row r="89">
      <c r="A89" s="20" t="s">
        <v>219</v>
      </c>
      <c r="B89" s="13" t="s">
        <v>213</v>
      </c>
      <c r="C89" s="20">
        <v>0.0</v>
      </c>
      <c r="D89" s="20">
        <v>0.0</v>
      </c>
      <c r="E89" s="20">
        <v>0.0</v>
      </c>
      <c r="F89" s="20">
        <v>0.0</v>
      </c>
      <c r="G89" s="2">
        <v>0.0</v>
      </c>
      <c r="H89" s="12">
        <f>IFERROR(__xludf.DUMMYFUNCTION("HLOOKUP($A89,IMPORTRANGE(""https://docs.google.com/spreadsheets/d/16J5ie7OD1E99qGO9lMDm8w5Yls-v190B7DTolJ5TmFc/edit#gid=0"",""'Game 4'!$B$2:$Q$34""),33,False)"),0.0)</f>
        <v>0</v>
      </c>
      <c r="I89" s="2">
        <v>4.0</v>
      </c>
      <c r="J89" s="12">
        <f>IFERROR(__xludf.DUMMYFUNCTION("IFERROR(HLOOKUP($A89,IMPORTRANGE(""https://docs.google.com/spreadsheets/d/1CTYfdyRk_RFGM3I2iN9bKeD9zUPzEm1ajzml6VgwfIU/edit#gid=0"",""'Game 8'!$B$2:$Q$34""),33,False),1)"),4.0)</f>
        <v>4</v>
      </c>
      <c r="K89" s="12">
        <f>IFERROR(__xludf.DUMMYFUNCTION("IFERROR(HLOOKUP($A89,IMPORTRANGE(""https://docs.google.com/spreadsheets/d/11NFkzOdQyW-OtxSDuGslNCgNjx7HUb2FU7KnlNnPMgY/edit#gid=0"",""'Game 8'!$B$2:$Q$34""),33,False),1)"),0.0)</f>
        <v>0</v>
      </c>
      <c r="L89" s="12">
        <f>IFERROR(__xludf.DUMMYFUNCTION("IFERROR(HLOOKUP($A89,IMPORTRANGE(""https://docs.google.com/spreadsheets/d/1CLg5-jaE4ta0-u4oE1qbBplQ5Mf3Oj9ONFgL0zJ7Ol4/edit#gid=0"",""'Game 9'!$B$2:$Q$34""),33,False),1)"),0.0)</f>
        <v>0</v>
      </c>
      <c r="M89" s="12">
        <f>IFERROR(__xludf.DUMMYFUNCTION("IFERROR(HLOOKUP($A89,IMPORTRANGE(""https://docs.google.com/spreadsheets/d/1CeexgK4KxWj3k_7nql_k8-RPxXMwTJyB4Q3vAASeDlA/edit#gid=0"",""'Game 2'!$B$2:$Q$34""),33,False),1)"),0.0)</f>
        <v>0</v>
      </c>
      <c r="N89" s="12">
        <f>IFERROR(__xludf.DUMMYFUNCTION("IFERROR(HLOOKUP($A89,IMPORTRANGE(""https://docs.google.com/spreadsheets/d/1MNwUNMjcwK6bEgCXwB73jpbK5gJAXS8ZMpbEMLJEP3E/edit#gid=0"",""'Game 8'!$B$2:$Q$34""),33,False),1)"),0.0)</f>
        <v>0</v>
      </c>
      <c r="O89" s="12">
        <f>IFERROR(__xludf.DUMMYFUNCTION("IFERROR(HLOOKUP($A89,IMPORTRANGE(""https://docs.google.com/spreadsheets/d/1UrzyxmT40kDZwVrLMf1yyXfP-pyczRAw9Y8Rw-uXG3c/edit#gid=0"",""'Game 8'!$B$2:$Q$34""),33,False),1)"),0.0)</f>
        <v>0</v>
      </c>
      <c r="P89" s="12">
        <f>IFERROR(__xludf.DUMMYFUNCTION("IFERROR(HLOOKUP($A89,IMPORTRANGE(""https://docs.google.com/spreadsheets/d/1iyMhSYWifw-KGFtyeBpNxVZr4BhcV9hVZuShgJ9Ia0E/edit#gid=0"",""'Game 8'!$B$2:$Q$34""),33,False),1)"),0.0)</f>
        <v>0</v>
      </c>
      <c r="Q89" s="12">
        <f>IFERROR(__xludf.DUMMYFUNCTION("IFERROR(HLOOKUP($A89,IMPORTRANGE(""https://docs.google.com/spreadsheets/d/1sSbIK-vvHsSY0LghLJ9gcnW8Hec_ITI2tFmpeqI999A/edit#gid=0"",""'Game 7'!$B$2:$Q$34""),33,False),1)"),0.0)</f>
        <v>0</v>
      </c>
      <c r="R89" s="13">
        <f>TUHStand!R89</f>
        <v>322</v>
      </c>
      <c r="S89" s="13">
        <f t="shared" si="4"/>
        <v>8</v>
      </c>
      <c r="T89" s="13">
        <f t="shared" si="5"/>
        <v>0.5714285714</v>
      </c>
      <c r="U89" s="13">
        <f t="shared" si="3"/>
        <v>121</v>
      </c>
    </row>
    <row r="90">
      <c r="A90" s="18" t="s">
        <v>221</v>
      </c>
      <c r="B90" s="6" t="s">
        <v>213</v>
      </c>
      <c r="C90" s="18">
        <v>0.0</v>
      </c>
      <c r="D90" s="18">
        <v>0.0</v>
      </c>
      <c r="E90" s="18">
        <v>0.0</v>
      </c>
      <c r="F90" s="18">
        <v>0.0</v>
      </c>
      <c r="G90" s="3">
        <v>0.0</v>
      </c>
      <c r="H90" s="5">
        <f>IFERROR(__xludf.DUMMYFUNCTION("HLOOKUP($A90,IMPORTRANGE(""https://docs.google.com/spreadsheets/d/16J5ie7OD1E99qGO9lMDm8w5Yls-v190B7DTolJ5TmFc/edit#gid=0"",""'Game 4'!$B$2:$Q$34""),33,False)"),4.0)</f>
        <v>4</v>
      </c>
      <c r="I90" s="3">
        <v>8.0</v>
      </c>
      <c r="J90" s="5">
        <f>IFERROR(__xludf.DUMMYFUNCTION("IFERROR(HLOOKUP($A90,IMPORTRANGE(""https://docs.google.com/spreadsheets/d/1CTYfdyRk_RFGM3I2iN9bKeD9zUPzEm1ajzml6VgwfIU/edit#gid=0"",""'Game 8'!$B$2:$Q$34""),33,False),1)"),8.0)</f>
        <v>8</v>
      </c>
      <c r="K90" s="5">
        <f>IFERROR(__xludf.DUMMYFUNCTION("IFERROR(HLOOKUP($A90,IMPORTRANGE(""https://docs.google.com/spreadsheets/d/11NFkzOdQyW-OtxSDuGslNCgNjx7HUb2FU7KnlNnPMgY/edit#gid=0"",""'Game 8'!$B$2:$Q$34""),33,False),1)"),0.0)</f>
        <v>0</v>
      </c>
      <c r="L90" s="5">
        <f>IFERROR(__xludf.DUMMYFUNCTION("IFERROR(HLOOKUP($A90,IMPORTRANGE(""https://docs.google.com/spreadsheets/d/1CLg5-jaE4ta0-u4oE1qbBplQ5Mf3Oj9ONFgL0zJ7Ol4/edit#gid=0"",""'Game 9'!$B$2:$Q$34""),33,False),1)"),4.0)</f>
        <v>4</v>
      </c>
      <c r="M90" s="5">
        <f>IFERROR(__xludf.DUMMYFUNCTION("IFERROR(HLOOKUP($A90,IMPORTRANGE(""https://docs.google.com/spreadsheets/d/1CeexgK4KxWj3k_7nql_k8-RPxXMwTJyB4Q3vAASeDlA/edit#gid=0"",""'Game 2'!$B$2:$Q$34""),33,False),1)"),0.0)</f>
        <v>0</v>
      </c>
      <c r="N90" s="5">
        <f>IFERROR(__xludf.DUMMYFUNCTION("IFERROR(HLOOKUP($A90,IMPORTRANGE(""https://docs.google.com/spreadsheets/d/1MNwUNMjcwK6bEgCXwB73jpbK5gJAXS8ZMpbEMLJEP3E/edit#gid=0"",""'Game 8'!$B$2:$Q$34""),33,False),1)"),0.0)</f>
        <v>0</v>
      </c>
      <c r="O90" s="5">
        <f>IFERROR(__xludf.DUMMYFUNCTION("IFERROR(HLOOKUP($A90,IMPORTRANGE(""https://docs.google.com/spreadsheets/d/1UrzyxmT40kDZwVrLMf1yyXfP-pyczRAw9Y8Rw-uXG3c/edit#gid=0"",""'Game 8'!$B$2:$Q$34""),33,False),1)"),0.0)</f>
        <v>0</v>
      </c>
      <c r="P90" s="5">
        <f>IFERROR(__xludf.DUMMYFUNCTION("IFERROR(HLOOKUP($A90,IMPORTRANGE(""https://docs.google.com/spreadsheets/d/1iyMhSYWifw-KGFtyeBpNxVZr4BhcV9hVZuShgJ9Ia0E/edit#gid=0"",""'Game 8'!$B$2:$Q$34""),33,False),1)"),0.0)</f>
        <v>0</v>
      </c>
      <c r="Q90" s="5">
        <f>IFERROR(__xludf.DUMMYFUNCTION("IFERROR(HLOOKUP($A90,IMPORTRANGE(""https://docs.google.com/spreadsheets/d/1sSbIK-vvHsSY0LghLJ9gcnW8Hec_ITI2tFmpeqI999A/edit#gid=0"",""'Game 7'!$B$2:$Q$34""),33,False),1)"),0.0)</f>
        <v>0</v>
      </c>
      <c r="R90" s="6">
        <f>TUHStand!R90</f>
        <v>241</v>
      </c>
      <c r="S90" s="6">
        <f t="shared" si="4"/>
        <v>24</v>
      </c>
      <c r="T90" s="6">
        <f t="shared" si="5"/>
        <v>2.290456432</v>
      </c>
      <c r="U90" s="6">
        <f t="shared" si="3"/>
        <v>91</v>
      </c>
    </row>
    <row r="91">
      <c r="A91" s="20" t="s">
        <v>134</v>
      </c>
      <c r="B91" s="20" t="s">
        <v>213</v>
      </c>
      <c r="C91" s="20">
        <v>8.0</v>
      </c>
      <c r="D91" s="20">
        <v>8.0</v>
      </c>
      <c r="E91" s="20">
        <v>4.0</v>
      </c>
      <c r="F91" s="20">
        <v>4.0</v>
      </c>
      <c r="G91" s="2">
        <v>0.0</v>
      </c>
      <c r="H91" s="12">
        <f>IFERROR(__xludf.DUMMYFUNCTION("HLOOKUP($A91,IMPORTRANGE(""https://docs.google.com/spreadsheets/d/16J5ie7OD1E99qGO9lMDm8w5Yls-v190B7DTolJ5TmFc/edit#gid=0"",""'Game 4'!$B$2:$Q$34""),33,False)"),24.0)</f>
        <v>24</v>
      </c>
      <c r="I91" s="2">
        <v>4.0</v>
      </c>
      <c r="J91" s="12">
        <f>IFERROR(__xludf.DUMMYFUNCTION("IFERROR(HLOOKUP($A91,IMPORTRANGE(""https://docs.google.com/spreadsheets/d/1CTYfdyRk_RFGM3I2iN9bKeD9zUPzEm1ajzml6VgwfIU/edit#gid=0"",""'Game 8'!$B$2:$Q$34""),33,False),1)"),4.0)</f>
        <v>4</v>
      </c>
      <c r="K91" s="12">
        <f>IFERROR(__xludf.DUMMYFUNCTION("IFERROR(HLOOKUP($A91,IMPORTRANGE(""https://docs.google.com/spreadsheets/d/11NFkzOdQyW-OtxSDuGslNCgNjx7HUb2FU7KnlNnPMgY/edit#gid=0"",""'Game 8'!$B$2:$Q$34""),33,False),1)"),16.0)</f>
        <v>16</v>
      </c>
      <c r="L91" s="12">
        <f>IFERROR(__xludf.DUMMYFUNCTION("IFERROR(HLOOKUP($A91,IMPORTRANGE(""https://docs.google.com/spreadsheets/d/1CLg5-jaE4ta0-u4oE1qbBplQ5Mf3Oj9ONFgL0zJ7Ol4/edit#gid=0"",""'Game 9'!$B$2:$Q$34""),33,False),1)"),8.0)</f>
        <v>8</v>
      </c>
      <c r="M91" s="12">
        <f>IFERROR(__xludf.DUMMYFUNCTION("IFERROR(HLOOKUP($A91,IMPORTRANGE(""https://docs.google.com/spreadsheets/d/1CeexgK4KxWj3k_7nql_k8-RPxXMwTJyB4Q3vAASeDlA/edit#gid=0"",""'Game 2'!$B$2:$Q$34""),33,False),1)"),4.0)</f>
        <v>4</v>
      </c>
      <c r="N91" s="12">
        <f>IFERROR(__xludf.DUMMYFUNCTION("IFERROR(HLOOKUP($A91,IMPORTRANGE(""https://docs.google.com/spreadsheets/d/1MNwUNMjcwK6bEgCXwB73jpbK5gJAXS8ZMpbEMLJEP3E/edit#gid=0"",""'Game 8'!$B$2:$Q$34""),33,False),1)"),8.0)</f>
        <v>8</v>
      </c>
      <c r="O91" s="12">
        <f>IFERROR(__xludf.DUMMYFUNCTION("IFERROR(HLOOKUP($A91,IMPORTRANGE(""https://docs.google.com/spreadsheets/d/1UrzyxmT40kDZwVrLMf1yyXfP-pyczRAw9Y8Rw-uXG3c/edit#gid=0"",""'Game 8'!$B$2:$Q$34""),33,False),1)"),8.0)</f>
        <v>8</v>
      </c>
      <c r="P91" s="12">
        <f>IFERROR(__xludf.DUMMYFUNCTION("IFERROR(HLOOKUP($A91,IMPORTRANGE(""https://docs.google.com/spreadsheets/d/1iyMhSYWifw-KGFtyeBpNxVZr4BhcV9hVZuShgJ9Ia0E/edit#gid=0"",""'Game 8'!$B$2:$Q$34""),33,False),1)"),8.0)</f>
        <v>8</v>
      </c>
      <c r="Q91" s="12">
        <f>IFERROR(__xludf.DUMMYFUNCTION("IFERROR(HLOOKUP($A91,IMPORTRANGE(""https://docs.google.com/spreadsheets/d/1sSbIK-vvHsSY0LghLJ9gcnW8Hec_ITI2tFmpeqI999A/edit#gid=0"",""'Game 7'!$B$2:$Q$34""),33,False),1)"),8.0)</f>
        <v>8</v>
      </c>
      <c r="R91" s="13">
        <f>TUHStand!R91</f>
        <v>345</v>
      </c>
      <c r="S91" s="13">
        <f t="shared" si="4"/>
        <v>116</v>
      </c>
      <c r="T91" s="13">
        <f t="shared" si="5"/>
        <v>7.733333333</v>
      </c>
      <c r="U91" s="13">
        <f t="shared" si="3"/>
        <v>37</v>
      </c>
    </row>
    <row r="92">
      <c r="A92" s="18" t="s">
        <v>224</v>
      </c>
      <c r="B92" s="6" t="s">
        <v>225</v>
      </c>
      <c r="C92" s="18">
        <v>20.0</v>
      </c>
      <c r="D92" s="18">
        <v>8.0</v>
      </c>
      <c r="E92" s="18">
        <v>8.0</v>
      </c>
      <c r="F92" s="18">
        <v>0.0</v>
      </c>
      <c r="G92" s="3">
        <v>16.0</v>
      </c>
      <c r="H92" s="5">
        <f>IFERROR(__xludf.DUMMYFUNCTION("HLOOKUP($A92,IMPORTRANGE(""https://docs.google.com/spreadsheets/d/16J5ie7OD1E99qGO9lMDm8w5Yls-v190B7DTolJ5TmFc/edit#gid=0"",""'Game 8'!$B$2:$Q$34""),33,False)"),8.0)</f>
        <v>8</v>
      </c>
      <c r="I92" s="3">
        <v>12.0</v>
      </c>
      <c r="J92" s="5">
        <f>IFERROR(__xludf.DUMMYFUNCTION("IFERROR(HLOOKUP($A92,IMPORTRANGE(""https://docs.google.com/spreadsheets/d/1CTYfdyRk_RFGM3I2iN9bKeD9zUPzEm1ajzml6VgwfIU/edit#gid=0"",""'Game 13'!$B$2:$Q$34""),33,False),1)"),8.0)</f>
        <v>8</v>
      </c>
      <c r="K92" s="5">
        <f>IFERROR(__xludf.DUMMYFUNCTION("IFERROR(HLOOKUP($A92,IMPORTRANGE(""https://docs.google.com/spreadsheets/d/11NFkzOdQyW-OtxSDuGslNCgNjx7HUb2FU7KnlNnPMgY/edit#gid=0"",""'Game 11'!$B$2:$Q$34""),33,False),1)"),4.0)</f>
        <v>4</v>
      </c>
      <c r="L92" s="5">
        <f>IFERROR(__xludf.DUMMYFUNCTION("IFERROR(HLOOKUP($A92,IMPORTRANGE(""https://docs.google.com/spreadsheets/d/1CLg5-jaE4ta0-u4oE1qbBplQ5Mf3Oj9ONFgL0zJ7Ol4/edit#gid=0"",""'Game 11'!$B$2:$Q$34""),33,False),1)"),4.0)</f>
        <v>4</v>
      </c>
      <c r="M92" s="5">
        <f>IFERROR(__xludf.DUMMYFUNCTION("IFERROR(HLOOKUP($A92,IMPORTRANGE(""https://docs.google.com/spreadsheets/d/1CeexgK4KxWj3k_7nql_k8-RPxXMwTJyB4Q3vAASeDlA/edit#gid=0"",""'Game 11'!$B$2:$Q$34""),33,False),1)"),0.0)</f>
        <v>0</v>
      </c>
      <c r="N92" s="5">
        <f>IFERROR(__xludf.DUMMYFUNCTION("IFERROR(HLOOKUP($A92,IMPORTRANGE(""https://docs.google.com/spreadsheets/d/1MNwUNMjcwK6bEgCXwB73jpbK5gJAXS8ZMpbEMLJEP3E/edit#gid=0"",""'Game 12'!$B$2:$Q$34""),33,False),1)"),0.0)</f>
        <v>0</v>
      </c>
      <c r="O92" s="5">
        <f>IFERROR(__xludf.DUMMYFUNCTION("IFERROR(HLOOKUP($A92,IMPORTRANGE(""https://docs.google.com/spreadsheets/d/1UrzyxmT40kDZwVrLMf1yyXfP-pyczRAw9Y8Rw-uXG3c/edit#gid=0"",""'Game 6'!$B$2:$Q$34""),33,False),1)"),8.0)</f>
        <v>8</v>
      </c>
      <c r="P92" s="5">
        <f>IFERROR(__xludf.DUMMYFUNCTION("IFERROR(HLOOKUP($A92,IMPORTRANGE(""https://docs.google.com/spreadsheets/d/1iyMhSYWifw-KGFtyeBpNxVZr4BhcV9hVZuShgJ9Ia0E/edit#gid=0"",""'Game 1'!$B$2:$Q$34""),33,False),1)"),4.0)</f>
        <v>4</v>
      </c>
      <c r="Q92" s="5">
        <f>IFERROR(__xludf.DUMMYFUNCTION("IFERROR(HLOOKUP($A92,IMPORTRANGE(""https://docs.google.com/spreadsheets/d/1sSbIK-vvHsSY0LghLJ9gcnW8Hec_ITI2tFmpeqI999A/edit#gid=0"",""'Game 13'!$B$2:$Q$34""),33,False),1)"),4.0)</f>
        <v>4</v>
      </c>
      <c r="R92" s="6">
        <f>TUHStand!R92</f>
        <v>322</v>
      </c>
      <c r="S92" s="6">
        <f t="shared" si="4"/>
        <v>104</v>
      </c>
      <c r="T92" s="6">
        <f t="shared" si="5"/>
        <v>7.428571429</v>
      </c>
      <c r="U92" s="6">
        <f t="shared" si="3"/>
        <v>41</v>
      </c>
    </row>
    <row r="93">
      <c r="A93" s="2" t="s">
        <v>227</v>
      </c>
      <c r="B93" s="13" t="s">
        <v>225</v>
      </c>
      <c r="C93" s="20">
        <v>0.0</v>
      </c>
      <c r="D93" s="20">
        <v>0.0</v>
      </c>
      <c r="E93" s="20">
        <v>4.0</v>
      </c>
      <c r="F93" s="20">
        <v>0.0</v>
      </c>
      <c r="G93" s="2">
        <v>0.0</v>
      </c>
      <c r="H93" s="12">
        <f>IFERROR(__xludf.DUMMYFUNCTION("HLOOKUP($A93,IMPORTRANGE(""https://docs.google.com/spreadsheets/d/16J5ie7OD1E99qGO9lMDm8w5Yls-v190B7DTolJ5TmFc/edit#gid=0"",""'Game 8'!$B$2:$Q$34""),33,False)"),4.0)</f>
        <v>4</v>
      </c>
      <c r="I93" s="2">
        <v>0.0</v>
      </c>
      <c r="J93" s="12">
        <f>IFERROR(__xludf.DUMMYFUNCTION("IFERROR(HLOOKUP($A93,IMPORTRANGE(""https://docs.google.com/spreadsheets/d/1CTYfdyRk_RFGM3I2iN9bKeD9zUPzEm1ajzml6VgwfIU/edit#gid=0"",""'Game 13'!$B$2:$Q$34""),33,False),1)"),0.0)</f>
        <v>0</v>
      </c>
      <c r="K93" s="12">
        <f>IFERROR(__xludf.DUMMYFUNCTION("IFERROR(HLOOKUP($A93,IMPORTRANGE(""https://docs.google.com/spreadsheets/d/11NFkzOdQyW-OtxSDuGslNCgNjx7HUb2FU7KnlNnPMgY/edit#gid=0"",""'Game 11'!$B$2:$Q$34""),33,False),1)"),0.0)</f>
        <v>0</v>
      </c>
      <c r="L93" s="12">
        <f>IFERROR(__xludf.DUMMYFUNCTION("IFERROR(HLOOKUP($A93,IMPORTRANGE(""https://docs.google.com/spreadsheets/d/1CLg5-jaE4ta0-u4oE1qbBplQ5Mf3Oj9ONFgL0zJ7Ol4/edit#gid=0"",""'Game 11'!$B$2:$Q$34""),33,False),1)"),0.0)</f>
        <v>0</v>
      </c>
      <c r="M93" s="12">
        <f>IFERROR(__xludf.DUMMYFUNCTION("IFERROR(HLOOKUP($A93,IMPORTRANGE(""https://docs.google.com/spreadsheets/d/1CeexgK4KxWj3k_7nql_k8-RPxXMwTJyB4Q3vAASeDlA/edit#gid=0"",""'Game 11'!$B$2:$Q$34""),33,False),1)"),0.0)</f>
        <v>0</v>
      </c>
      <c r="N93" s="12">
        <f>IFERROR(__xludf.DUMMYFUNCTION("IFERROR(HLOOKUP($A93,IMPORTRANGE(""https://docs.google.com/spreadsheets/d/1MNwUNMjcwK6bEgCXwB73jpbK5gJAXS8ZMpbEMLJEP3E/edit#gid=0"",""'Game 12'!$B$2:$Q$34""),33,False),1)"),0.0)</f>
        <v>0</v>
      </c>
      <c r="O93" s="12">
        <f>IFERROR(__xludf.DUMMYFUNCTION("IFERROR(HLOOKUP($A93,IMPORTRANGE(""https://docs.google.com/spreadsheets/d/1UrzyxmT40kDZwVrLMf1yyXfP-pyczRAw9Y8Rw-uXG3c/edit#gid=0"",""'Game 6'!$B$2:$Q$34""),33,False),1)"),0.0)</f>
        <v>0</v>
      </c>
      <c r="P93" s="12">
        <f>IFERROR(__xludf.DUMMYFUNCTION("IFERROR(HLOOKUP($A93,IMPORTRANGE(""https://docs.google.com/spreadsheets/d/1iyMhSYWifw-KGFtyeBpNxVZr4BhcV9hVZuShgJ9Ia0E/edit#gid=0"",""'Game 1'!$B$2:$Q$34""),33,False),1)"),0.0)</f>
        <v>0</v>
      </c>
      <c r="Q93" s="12">
        <f>IFERROR(__xludf.DUMMYFUNCTION("IFERROR(HLOOKUP($A93,IMPORTRANGE(""https://docs.google.com/spreadsheets/d/1sSbIK-vvHsSY0LghLJ9gcnW8Hec_ITI2tFmpeqI999A/edit#gid=0"",""'Game 13'!$B$2:$Q$34""),33,False),1)"),0.0)</f>
        <v>0</v>
      </c>
      <c r="R93" s="13">
        <f>TUHStand!R93</f>
        <v>173</v>
      </c>
      <c r="S93" s="13">
        <f t="shared" si="4"/>
        <v>8</v>
      </c>
      <c r="T93" s="13">
        <f t="shared" si="5"/>
        <v>1.063583815</v>
      </c>
      <c r="U93" s="13">
        <f t="shared" si="3"/>
        <v>113</v>
      </c>
    </row>
    <row r="94">
      <c r="A94" s="18" t="s">
        <v>229</v>
      </c>
      <c r="B94" s="6" t="s">
        <v>225</v>
      </c>
      <c r="C94" s="18">
        <v>4.0</v>
      </c>
      <c r="D94" s="18">
        <v>4.0</v>
      </c>
      <c r="E94" s="18">
        <v>4.0</v>
      </c>
      <c r="F94" s="18">
        <v>12.0</v>
      </c>
      <c r="G94" s="3">
        <v>4.0</v>
      </c>
      <c r="H94" s="5">
        <f>IFERROR(__xludf.DUMMYFUNCTION("HLOOKUP($A94,IMPORTRANGE(""https://docs.google.com/spreadsheets/d/16J5ie7OD1E99qGO9lMDm8w5Yls-v190B7DTolJ5TmFc/edit#gid=0"",""'Game 8'!$B$2:$Q$34""),33,False)"),0.0)</f>
        <v>0</v>
      </c>
      <c r="I94" s="3">
        <v>0.0</v>
      </c>
      <c r="J94" s="5">
        <f>IFERROR(__xludf.DUMMYFUNCTION("IFERROR(HLOOKUP($A94,IMPORTRANGE(""https://docs.google.com/spreadsheets/d/1CTYfdyRk_RFGM3I2iN9bKeD9zUPzEm1ajzml6VgwfIU/edit#gid=0"",""'Game 13'!$B$2:$Q$34""),33,False),1)"),0.0)</f>
        <v>0</v>
      </c>
      <c r="K94" s="5">
        <f>IFERROR(__xludf.DUMMYFUNCTION("IFERROR(HLOOKUP($A94,IMPORTRANGE(""https://docs.google.com/spreadsheets/d/11NFkzOdQyW-OtxSDuGslNCgNjx7HUb2FU7KnlNnPMgY/edit#gid=0"",""'Game 11'!$B$2:$Q$34""),33,False),1)"),4.0)</f>
        <v>4</v>
      </c>
      <c r="L94" s="5">
        <f>IFERROR(__xludf.DUMMYFUNCTION("IFERROR(HLOOKUP($A94,IMPORTRANGE(""https://docs.google.com/spreadsheets/d/1CLg5-jaE4ta0-u4oE1qbBplQ5Mf3Oj9ONFgL0zJ7Ol4/edit#gid=0"",""'Game 11'!$B$2:$Q$34""),33,False),1)"),0.0)</f>
        <v>0</v>
      </c>
      <c r="M94" s="5">
        <f>IFERROR(__xludf.DUMMYFUNCTION("IFERROR(HLOOKUP($A94,IMPORTRANGE(""https://docs.google.com/spreadsheets/d/1CeexgK4KxWj3k_7nql_k8-RPxXMwTJyB4Q3vAASeDlA/edit#gid=0"",""'Game 11'!$B$2:$Q$34""),33,False),1)"),4.0)</f>
        <v>4</v>
      </c>
      <c r="N94" s="5">
        <f>IFERROR(__xludf.DUMMYFUNCTION("IFERROR(HLOOKUP($A94,IMPORTRANGE(""https://docs.google.com/spreadsheets/d/1MNwUNMjcwK6bEgCXwB73jpbK5gJAXS8ZMpbEMLJEP3E/edit#gid=0"",""'Game 12'!$B$2:$Q$34""),33,False),1)"),20.0)</f>
        <v>20</v>
      </c>
      <c r="O94" s="5">
        <f>IFERROR(__xludf.DUMMYFUNCTION("IFERROR(HLOOKUP($A94,IMPORTRANGE(""https://docs.google.com/spreadsheets/d/1UrzyxmT40kDZwVrLMf1yyXfP-pyczRAw9Y8Rw-uXG3c/edit#gid=0"",""'Game 6'!$B$2:$Q$34""),33,False),1)"),0.0)</f>
        <v>0</v>
      </c>
      <c r="P94" s="5">
        <f>IFERROR(__xludf.DUMMYFUNCTION("IFERROR(HLOOKUP($A94,IMPORTRANGE(""https://docs.google.com/spreadsheets/d/1iyMhSYWifw-KGFtyeBpNxVZr4BhcV9hVZuShgJ9Ia0E/edit#gid=0"",""'Game 1'!$B$2:$Q$34""),33,False),1)"),0.0)</f>
        <v>0</v>
      </c>
      <c r="Q94" s="5">
        <f>IFERROR(__xludf.DUMMYFUNCTION("IFERROR(HLOOKUP($A94,IMPORTRANGE(""https://docs.google.com/spreadsheets/d/1sSbIK-vvHsSY0LghLJ9gcnW8Hec_ITI2tFmpeqI999A/edit#gid=0"",""'Game 13'!$B$2:$Q$34""),33,False),1)"),4.0)</f>
        <v>4</v>
      </c>
      <c r="R94" s="6">
        <f>TUHStand!R94</f>
        <v>268</v>
      </c>
      <c r="S94" s="6">
        <f t="shared" si="4"/>
        <v>60</v>
      </c>
      <c r="T94" s="6">
        <f t="shared" si="5"/>
        <v>5.149253731</v>
      </c>
      <c r="U94" s="6">
        <f t="shared" si="3"/>
        <v>62</v>
      </c>
    </row>
    <row r="95">
      <c r="A95" s="20" t="s">
        <v>231</v>
      </c>
      <c r="B95" s="13" t="s">
        <v>225</v>
      </c>
      <c r="C95" s="20">
        <v>0.0</v>
      </c>
      <c r="D95" s="20">
        <v>4.0</v>
      </c>
      <c r="E95" s="20">
        <v>0.0</v>
      </c>
      <c r="F95" s="20">
        <v>0.0</v>
      </c>
      <c r="G95" s="2">
        <v>0.0</v>
      </c>
      <c r="H95" s="12">
        <f>IFERROR(__xludf.DUMMYFUNCTION("HLOOKUP($A95,IMPORTRANGE(""https://docs.google.com/spreadsheets/d/16J5ie7OD1E99qGO9lMDm8w5Yls-v190B7DTolJ5TmFc/edit#gid=0"",""'Game 8'!$B$2:$Q$34""),33,False)"),0.0)</f>
        <v>0</v>
      </c>
      <c r="I95" s="2">
        <v>0.0</v>
      </c>
      <c r="J95" s="12">
        <f>IFERROR(__xludf.DUMMYFUNCTION("IFERROR(HLOOKUP($A95,IMPORTRANGE(""https://docs.google.com/spreadsheets/d/1CTYfdyRk_RFGM3I2iN9bKeD9zUPzEm1ajzml6VgwfIU/edit#gid=0"",""'Game 13'!$B$2:$Q$34""),33,False),1)"),4.0)</f>
        <v>4</v>
      </c>
      <c r="K95" s="12">
        <f>IFERROR(__xludf.DUMMYFUNCTION("IFERROR(HLOOKUP($A95,IMPORTRANGE(""https://docs.google.com/spreadsheets/d/11NFkzOdQyW-OtxSDuGslNCgNjx7HUb2FU7KnlNnPMgY/edit#gid=0"",""'Game 11'!$B$2:$Q$34""),33,False),1)"),4.0)</f>
        <v>4</v>
      </c>
      <c r="L95" s="12">
        <f>IFERROR(__xludf.DUMMYFUNCTION("IFERROR(HLOOKUP($A95,IMPORTRANGE(""https://docs.google.com/spreadsheets/d/1CLg5-jaE4ta0-u4oE1qbBplQ5Mf3Oj9ONFgL0zJ7Ol4/edit#gid=0"",""'Game 11'!$B$2:$Q$34""),33,False),1)"),0.0)</f>
        <v>0</v>
      </c>
      <c r="M95" s="12">
        <f>IFERROR(__xludf.DUMMYFUNCTION("IFERROR(HLOOKUP($A95,IMPORTRANGE(""https://docs.google.com/spreadsheets/d/1CeexgK4KxWj3k_7nql_k8-RPxXMwTJyB4Q3vAASeDlA/edit#gid=0"",""'Game 11'!$B$2:$Q$34""),33,False),1)"),4.0)</f>
        <v>4</v>
      </c>
      <c r="N95" s="12">
        <f>IFERROR(__xludf.DUMMYFUNCTION("IFERROR(HLOOKUP($A95,IMPORTRANGE(""https://docs.google.com/spreadsheets/d/1MNwUNMjcwK6bEgCXwB73jpbK5gJAXS8ZMpbEMLJEP3E/edit#gid=0"",""'Game 12'!$B$2:$Q$34""),33,False),1)"),0.0)</f>
        <v>0</v>
      </c>
      <c r="O95" s="12">
        <f>IFERROR(__xludf.DUMMYFUNCTION("IFERROR(HLOOKUP($A95,IMPORTRANGE(""https://docs.google.com/spreadsheets/d/1UrzyxmT40kDZwVrLMf1yyXfP-pyczRAw9Y8Rw-uXG3c/edit#gid=0"",""'Game 6'!$B$2:$Q$34""),33,False),1)"),4.0)</f>
        <v>4</v>
      </c>
      <c r="P95" s="12">
        <f>IFERROR(__xludf.DUMMYFUNCTION("IFERROR(HLOOKUP($A95,IMPORTRANGE(""https://docs.google.com/spreadsheets/d/1iyMhSYWifw-KGFtyeBpNxVZr4BhcV9hVZuShgJ9Ia0E/edit#gid=0"",""'Game 1'!$B$2:$Q$34""),33,False),1)"),0.0)</f>
        <v>0</v>
      </c>
      <c r="Q95" s="12">
        <f>IFERROR(__xludf.DUMMYFUNCTION("IFERROR(HLOOKUP($A95,IMPORTRANGE(""https://docs.google.com/spreadsheets/d/1sSbIK-vvHsSY0LghLJ9gcnW8Hec_ITI2tFmpeqI999A/edit#gid=0"",""'Game 13'!$B$2:$Q$34""),33,False),1)"),4.0)</f>
        <v>4</v>
      </c>
      <c r="R95" s="13">
        <f>TUHStand!R95</f>
        <v>182</v>
      </c>
      <c r="S95" s="13">
        <f t="shared" si="4"/>
        <v>24</v>
      </c>
      <c r="T95" s="13">
        <f t="shared" si="5"/>
        <v>3.032967033</v>
      </c>
      <c r="U95" s="13">
        <f t="shared" si="3"/>
        <v>81</v>
      </c>
    </row>
    <row r="96">
      <c r="A96" s="18" t="s">
        <v>233</v>
      </c>
      <c r="B96" s="18" t="s">
        <v>225</v>
      </c>
      <c r="C96" s="18">
        <v>0.0</v>
      </c>
      <c r="D96" s="18">
        <v>0.0</v>
      </c>
      <c r="E96" s="18">
        <v>0.0</v>
      </c>
      <c r="F96" s="18">
        <v>0.0</v>
      </c>
      <c r="G96" s="3">
        <v>0.0</v>
      </c>
      <c r="H96" s="5">
        <f>IFERROR(__xludf.DUMMYFUNCTION("HLOOKUP($A96,IMPORTRANGE(""https://docs.google.com/spreadsheets/d/16J5ie7OD1E99qGO9lMDm8w5Yls-v190B7DTolJ5TmFc/edit#gid=0"",""'Game 8'!$B$2:$Q$34""),33,False)"),0.0)</f>
        <v>0</v>
      </c>
      <c r="I96" s="3">
        <v>4.0</v>
      </c>
      <c r="J96" s="5">
        <f>IFERROR(__xludf.DUMMYFUNCTION("IFERROR(HLOOKUP($A96,IMPORTRANGE(""https://docs.google.com/spreadsheets/d/1CTYfdyRk_RFGM3I2iN9bKeD9zUPzEm1ajzml6VgwfIU/edit#gid=0"",""'Game 13'!$B$2:$Q$34""),33,False),1)"),0.0)</f>
        <v>0</v>
      </c>
      <c r="K96" s="5">
        <f>IFERROR(__xludf.DUMMYFUNCTION("IFERROR(HLOOKUP($A96,IMPORTRANGE(""https://docs.google.com/spreadsheets/d/11NFkzOdQyW-OtxSDuGslNCgNjx7HUb2FU7KnlNnPMgY/edit#gid=0"",""'Game 11'!$B$2:$Q$34""),33,False),1)"),0.0)</f>
        <v>0</v>
      </c>
      <c r="L96" s="5">
        <f>IFERROR(__xludf.DUMMYFUNCTION("IFERROR(HLOOKUP($A96,IMPORTRANGE(""https://docs.google.com/spreadsheets/d/1CLg5-jaE4ta0-u4oE1qbBplQ5Mf3Oj9ONFgL0zJ7Ol4/edit#gid=0"",""'Game 11'!$B$2:$Q$34""),33,False),1)"),0.0)</f>
        <v>0</v>
      </c>
      <c r="M96" s="5">
        <f>IFERROR(__xludf.DUMMYFUNCTION("IFERROR(HLOOKUP($A96,IMPORTRANGE(""https://docs.google.com/spreadsheets/d/1CeexgK4KxWj3k_7nql_k8-RPxXMwTJyB4Q3vAASeDlA/edit#gid=0"",""'Game 11'!$B$2:$Q$34""),33,False),1)"),0.0)</f>
        <v>0</v>
      </c>
      <c r="N96" s="5">
        <f>IFERROR(__xludf.DUMMYFUNCTION("IFERROR(HLOOKUP($A96,IMPORTRANGE(""https://docs.google.com/spreadsheets/d/1MNwUNMjcwK6bEgCXwB73jpbK5gJAXS8ZMpbEMLJEP3E/edit#gid=0"",""'Game 12'!$B$2:$Q$34""),33,False),1)"),0.0)</f>
        <v>0</v>
      </c>
      <c r="O96" s="5">
        <f>IFERROR(__xludf.DUMMYFUNCTION("IFERROR(HLOOKUP($A96,IMPORTRANGE(""https://docs.google.com/spreadsheets/d/1UrzyxmT40kDZwVrLMf1yyXfP-pyczRAw9Y8Rw-uXG3c/edit#gid=0"",""'Game 6'!$B$2:$Q$34""),33,False),1)"),0.0)</f>
        <v>0</v>
      </c>
      <c r="P96" s="5">
        <f>IFERROR(__xludf.DUMMYFUNCTION("IFERROR(HLOOKUP($A96,IMPORTRANGE(""https://docs.google.com/spreadsheets/d/1iyMhSYWifw-KGFtyeBpNxVZr4BhcV9hVZuShgJ9Ia0E/edit#gid=0"",""'Game 1'!$B$2:$Q$34""),33,False),1)"),4.0)</f>
        <v>4</v>
      </c>
      <c r="Q96" s="5">
        <f>IFERROR(__xludf.DUMMYFUNCTION("IFERROR(HLOOKUP($A96,IMPORTRANGE(""https://docs.google.com/spreadsheets/d/1sSbIK-vvHsSY0LghLJ9gcnW8Hec_ITI2tFmpeqI999A/edit#gid=0"",""'Game 13'!$B$2:$Q$34""),33,False),1)"),0.0)</f>
        <v>0</v>
      </c>
      <c r="R96" s="6">
        <f>TUHStand!R96</f>
        <v>152</v>
      </c>
      <c r="S96" s="6">
        <f t="shared" si="4"/>
        <v>8</v>
      </c>
      <c r="T96" s="6">
        <f t="shared" si="5"/>
        <v>1.210526316</v>
      </c>
      <c r="U96" s="6">
        <f t="shared" si="3"/>
        <v>109</v>
      </c>
    </row>
    <row r="97">
      <c r="A97" s="20" t="s">
        <v>236</v>
      </c>
      <c r="B97" s="13" t="s">
        <v>225</v>
      </c>
      <c r="C97" s="20">
        <v>0.0</v>
      </c>
      <c r="D97" s="20">
        <v>0.0</v>
      </c>
      <c r="E97" s="20">
        <v>0.0</v>
      </c>
      <c r="F97" s="20">
        <v>0.0</v>
      </c>
      <c r="G97" s="2">
        <v>8.0</v>
      </c>
      <c r="H97" s="12">
        <f>IFERROR(__xludf.DUMMYFUNCTION("HLOOKUP($A97,IMPORTRANGE(""https://docs.google.com/spreadsheets/d/16J5ie7OD1E99qGO9lMDm8w5Yls-v190B7DTolJ5TmFc/edit#gid=0"",""'Game 8'!$B$2:$Q$34""),33,False)"),0.0)</f>
        <v>0</v>
      </c>
      <c r="I97" s="2">
        <v>0.0</v>
      </c>
      <c r="J97" s="12">
        <f>IFERROR(__xludf.DUMMYFUNCTION("IFERROR(HLOOKUP($A97,IMPORTRANGE(""https://docs.google.com/spreadsheets/d/1CTYfdyRk_RFGM3I2iN9bKeD9zUPzEm1ajzml6VgwfIU/edit#gid=0"",""'Game 13'!$B$2:$Q$34""),33,False),1)"),0.0)</f>
        <v>0</v>
      </c>
      <c r="K97" s="12">
        <f>IFERROR(__xludf.DUMMYFUNCTION("IFERROR(HLOOKUP($A97,IMPORTRANGE(""https://docs.google.com/spreadsheets/d/11NFkzOdQyW-OtxSDuGslNCgNjx7HUb2FU7KnlNnPMgY/edit#gid=0"",""'Game 11'!$B$2:$Q$34""),33,False),1)"),0.0)</f>
        <v>0</v>
      </c>
      <c r="L97" s="12">
        <f>IFERROR(__xludf.DUMMYFUNCTION("IFERROR(HLOOKUP($A97,IMPORTRANGE(""https://docs.google.com/spreadsheets/d/1CLg5-jaE4ta0-u4oE1qbBplQ5Mf3Oj9ONFgL0zJ7Ol4/edit#gid=0"",""'Game 11'!$B$2:$Q$34""),33,False),1)"),0.0)</f>
        <v>0</v>
      </c>
      <c r="M97" s="12">
        <f>IFERROR(__xludf.DUMMYFUNCTION("IFERROR(HLOOKUP($A97,IMPORTRANGE(""https://docs.google.com/spreadsheets/d/1CeexgK4KxWj3k_7nql_k8-RPxXMwTJyB4Q3vAASeDlA/edit#gid=0"",""'Game 11'!$B$2:$Q$34""),33,False),1)"),0.0)</f>
        <v>0</v>
      </c>
      <c r="N97" s="12">
        <f>IFERROR(__xludf.DUMMYFUNCTION("IFERROR(HLOOKUP($A97,IMPORTRANGE(""https://docs.google.com/spreadsheets/d/1MNwUNMjcwK6bEgCXwB73jpbK5gJAXS8ZMpbEMLJEP3E/edit#gid=0"",""'Game 12'!$B$2:$Q$34""),33,False),1)"),4.0)</f>
        <v>4</v>
      </c>
      <c r="O97" s="12">
        <f>IFERROR(__xludf.DUMMYFUNCTION("IFERROR(HLOOKUP($A97,IMPORTRANGE(""https://docs.google.com/spreadsheets/d/1UrzyxmT40kDZwVrLMf1yyXfP-pyczRAw9Y8Rw-uXG3c/edit#gid=0"",""'Game 6'!$B$2:$Q$34""),33,False),1)"),0.0)</f>
        <v>0</v>
      </c>
      <c r="P97" s="12">
        <f>IFERROR(__xludf.DUMMYFUNCTION("IFERROR(HLOOKUP($A97,IMPORTRANGE(""https://docs.google.com/spreadsheets/d/1iyMhSYWifw-KGFtyeBpNxVZr4BhcV9hVZuShgJ9Ia0E/edit#gid=0"",""'Game 1'!$B$2:$Q$34""),33,False),1)"),0.0)</f>
        <v>0</v>
      </c>
      <c r="Q97" s="12">
        <f>IFERROR(__xludf.DUMMYFUNCTION("IFERROR(HLOOKUP($A97,IMPORTRANGE(""https://docs.google.com/spreadsheets/d/1sSbIK-vvHsSY0LghLJ9gcnW8Hec_ITI2tFmpeqI999A/edit#gid=0"",""'Game 13'!$B$2:$Q$34""),33,False),1)"),0.0)</f>
        <v>0</v>
      </c>
      <c r="R97" s="13">
        <f>TUHStand!R97</f>
        <v>185</v>
      </c>
      <c r="S97" s="13">
        <f t="shared" si="4"/>
        <v>12</v>
      </c>
      <c r="T97" s="13">
        <f t="shared" si="5"/>
        <v>1.491891892</v>
      </c>
      <c r="U97" s="13">
        <f t="shared" si="3"/>
        <v>105</v>
      </c>
    </row>
    <row r="98">
      <c r="A98" s="18" t="s">
        <v>238</v>
      </c>
      <c r="B98" s="18" t="s">
        <v>225</v>
      </c>
      <c r="C98" s="18">
        <v>0.0</v>
      </c>
      <c r="D98" s="18">
        <v>4.0</v>
      </c>
      <c r="E98" s="18">
        <v>0.0</v>
      </c>
      <c r="F98" s="18">
        <v>0.0</v>
      </c>
      <c r="G98" s="3">
        <v>0.0</v>
      </c>
      <c r="H98" s="5">
        <f>IFERROR(__xludf.DUMMYFUNCTION("HLOOKUP($A98,IMPORTRANGE(""https://docs.google.com/spreadsheets/d/16J5ie7OD1E99qGO9lMDm8w5Yls-v190B7DTolJ5TmFc/edit#gid=0"",""'Game 8'!$B$2:$Q$34""),33,False)"),0.0)</f>
        <v>0</v>
      </c>
      <c r="I98" s="3">
        <v>0.0</v>
      </c>
      <c r="J98" s="5">
        <f>IFERROR(__xludf.DUMMYFUNCTION("IFERROR(HLOOKUP($A98,IMPORTRANGE(""https://docs.google.com/spreadsheets/d/1CTYfdyRk_RFGM3I2iN9bKeD9zUPzEm1ajzml6VgwfIU/edit#gid=0"",""'Game 13'!$B$2:$Q$34""),33,False),1)"),0.0)</f>
        <v>0</v>
      </c>
      <c r="K98" s="5">
        <f>IFERROR(__xludf.DUMMYFUNCTION("IFERROR(HLOOKUP($A98,IMPORTRANGE(""https://docs.google.com/spreadsheets/d/11NFkzOdQyW-OtxSDuGslNCgNjx7HUb2FU7KnlNnPMgY/edit#gid=0"",""'Game 11'!$B$2:$Q$34""),33,False),1)"),0.0)</f>
        <v>0</v>
      </c>
      <c r="L98" s="5">
        <f>IFERROR(__xludf.DUMMYFUNCTION("IFERROR(HLOOKUP($A98,IMPORTRANGE(""https://docs.google.com/spreadsheets/d/1CLg5-jaE4ta0-u4oE1qbBplQ5Mf3Oj9ONFgL0zJ7Ol4/edit#gid=0"",""'Game 11'!$B$2:$Q$34""),33,False),1)"),0.0)</f>
        <v>0</v>
      </c>
      <c r="M98" s="5">
        <f>IFERROR(__xludf.DUMMYFUNCTION("IFERROR(HLOOKUP($A98,IMPORTRANGE(""https://docs.google.com/spreadsheets/d/1CeexgK4KxWj3k_7nql_k8-RPxXMwTJyB4Q3vAASeDlA/edit#gid=0"",""'Game 11'!$B$2:$Q$34""),33,False),1)"),0.0)</f>
        <v>0</v>
      </c>
      <c r="N98" s="5">
        <f>IFERROR(__xludf.DUMMYFUNCTION("IFERROR(HLOOKUP($A98,IMPORTRANGE(""https://docs.google.com/spreadsheets/d/1MNwUNMjcwK6bEgCXwB73jpbK5gJAXS8ZMpbEMLJEP3E/edit#gid=0"",""'Game 12'!$B$2:$Q$34""),33,False),1)"),0.0)</f>
        <v>0</v>
      </c>
      <c r="O98" s="5">
        <f>IFERROR(__xludf.DUMMYFUNCTION("IFERROR(HLOOKUP($A98,IMPORTRANGE(""https://docs.google.com/spreadsheets/d/1UrzyxmT40kDZwVrLMf1yyXfP-pyczRAw9Y8Rw-uXG3c/edit#gid=0"",""'Game 6'!$B$2:$Q$34""),33,False),1)"),0.0)</f>
        <v>0</v>
      </c>
      <c r="P98" s="5">
        <f>IFERROR(__xludf.DUMMYFUNCTION("IFERROR(HLOOKUP($A98,IMPORTRANGE(""https://docs.google.com/spreadsheets/d/1iyMhSYWifw-KGFtyeBpNxVZr4BhcV9hVZuShgJ9Ia0E/edit#gid=0"",""'Game 1'!$B$2:$Q$34""),33,False),1)"),0.0)</f>
        <v>0</v>
      </c>
      <c r="Q98" s="5">
        <f>IFERROR(__xludf.DUMMYFUNCTION("IFERROR(HLOOKUP($A98,IMPORTRANGE(""https://docs.google.com/spreadsheets/d/1sSbIK-vvHsSY0LghLJ9gcnW8Hec_ITI2tFmpeqI999A/edit#gid=0"",""'Game 13'!$B$2:$Q$34""),33,False),1)"),0.0)</f>
        <v>0</v>
      </c>
      <c r="R98" s="6">
        <f>TUHStand!R98</f>
        <v>68</v>
      </c>
      <c r="S98" s="6">
        <f t="shared" si="4"/>
        <v>4</v>
      </c>
      <c r="T98" s="6">
        <f t="shared" si="5"/>
        <v>1.352941176</v>
      </c>
      <c r="U98" s="6">
        <f t="shared" si="3"/>
        <v>108</v>
      </c>
    </row>
    <row r="99">
      <c r="A99" s="20" t="s">
        <v>239</v>
      </c>
      <c r="B99" s="13" t="s">
        <v>240</v>
      </c>
      <c r="C99" s="20">
        <v>0.0</v>
      </c>
      <c r="D99" s="20">
        <v>0.0</v>
      </c>
      <c r="E99" s="20">
        <v>0.0</v>
      </c>
      <c r="F99" s="20">
        <v>0.0</v>
      </c>
      <c r="G99" s="2">
        <v>4.0</v>
      </c>
      <c r="H99" s="12">
        <f>IFERROR(__xludf.DUMMYFUNCTION("HLOOKUP($A99,IMPORTRANGE(""https://docs.google.com/spreadsheets/d/16J5ie7OD1E99qGO9lMDm8w5Yls-v190B7DTolJ5TmFc/edit#gid=0"",""'Game 4'!$B$2:$Q$34""),33,False)"),4.0)</f>
        <v>4</v>
      </c>
      <c r="I99" s="2">
        <v>4.0</v>
      </c>
      <c r="J99" s="12">
        <f>IFERROR(__xludf.DUMMYFUNCTION("IFERROR(HLOOKUP($A99,IMPORTRANGE(""https://docs.google.com/spreadsheets/d/1CTYfdyRk_RFGM3I2iN9bKeD9zUPzEm1ajzml6VgwfIU/edit#gid=0"",""'Game 7'!$B$2:$Q$34""),33,False),1)"),8.0)</f>
        <v>8</v>
      </c>
      <c r="K99" s="12">
        <f>IFERROR(__xludf.DUMMYFUNCTION("IFERROR(HLOOKUP($A99,IMPORTRANGE(""https://docs.google.com/spreadsheets/d/11NFkzOdQyW-OtxSDuGslNCgNjx7HUb2FU7KnlNnPMgY/edit#gid=0"",""'Game 7'!$B$2:$Q$34""),33,False),1)"),0.0)</f>
        <v>0</v>
      </c>
      <c r="L99" s="12">
        <f>IFERROR(__xludf.DUMMYFUNCTION("IFERROR(HLOOKUP($A99,IMPORTRANGE(""https://docs.google.com/spreadsheets/d/1CLg5-jaE4ta0-u4oE1qbBplQ5Mf3Oj9ONFgL0zJ7Ol4/edit#gid=0"",""'Game 7'!$B$2:$Q$34""),33,False),1)"),0.0)</f>
        <v>0</v>
      </c>
      <c r="M99" s="12">
        <f>IFERROR(__xludf.DUMMYFUNCTION("IFERROR(HLOOKUP($A99,IMPORTRANGE(""https://docs.google.com/spreadsheets/d/1CeexgK4KxWj3k_7nql_k8-RPxXMwTJyB4Q3vAASeDlA/edit#gid=0"",""'Game 7'!$B$2:$Q$34""),33,False),1)"),0.0)</f>
        <v>0</v>
      </c>
      <c r="N99" s="12">
        <f>IFERROR(__xludf.DUMMYFUNCTION("IFERROR(HLOOKUP($A99,IMPORTRANGE(""https://docs.google.com/spreadsheets/d/1MNwUNMjcwK6bEgCXwB73jpbK5gJAXS8ZMpbEMLJEP3E/edit#gid=0"",""'Game 7'!$B$2:$Q$34""),33,False),1)"),0.0)</f>
        <v>0</v>
      </c>
      <c r="O99" s="12">
        <f>IFERROR(__xludf.DUMMYFUNCTION("IFERROR(HLOOKUP($A99,IMPORTRANGE(""https://docs.google.com/spreadsheets/d/1UrzyxmT40kDZwVrLMf1yyXfP-pyczRAw9Y8Rw-uXG3c/edit#gid=0"",""'Game 2'!$B$2:$Q$34""),33,False),1)"),0.0)</f>
        <v>0</v>
      </c>
      <c r="P99" s="12">
        <f>IFERROR(__xludf.DUMMYFUNCTION("IFERROR(HLOOKUP($A99,IMPORTRANGE(""https://docs.google.com/spreadsheets/d/1iyMhSYWifw-KGFtyeBpNxVZr4BhcV9hVZuShgJ9Ia0E/edit#gid=0"",""'Game 7'!$B$2:$Q$34""),33,False),1)"),4.0)</f>
        <v>4</v>
      </c>
      <c r="Q99" s="12">
        <f>IFERROR(__xludf.DUMMYFUNCTION("IFERROR(HLOOKUP($A99,IMPORTRANGE(""https://docs.google.com/spreadsheets/d/1sSbIK-vvHsSY0LghLJ9gcnW8Hec_ITI2tFmpeqI999A/edit#gid=0"",""'Game 5'!$B$2:$Q$34""),33,False),1)"),4.0)</f>
        <v>4</v>
      </c>
      <c r="R99" s="13">
        <f>TUHStand!R99</f>
        <v>241</v>
      </c>
      <c r="S99" s="13">
        <f t="shared" si="4"/>
        <v>28</v>
      </c>
      <c r="T99" s="13">
        <f t="shared" si="5"/>
        <v>2.67219917</v>
      </c>
      <c r="U99" s="13">
        <f t="shared" si="3"/>
        <v>85</v>
      </c>
    </row>
    <row r="100">
      <c r="A100" s="18" t="s">
        <v>242</v>
      </c>
      <c r="B100" s="6" t="s">
        <v>240</v>
      </c>
      <c r="C100" s="18">
        <v>4.0</v>
      </c>
      <c r="D100" s="18">
        <v>0.0</v>
      </c>
      <c r="E100" s="18">
        <v>0.0</v>
      </c>
      <c r="F100" s="18">
        <v>8.0</v>
      </c>
      <c r="G100" s="3">
        <v>0.0</v>
      </c>
      <c r="H100" s="5">
        <f>IFERROR(__xludf.DUMMYFUNCTION("HLOOKUP($A100,IMPORTRANGE(""https://docs.google.com/spreadsheets/d/16J5ie7OD1E99qGO9lMDm8w5Yls-v190B7DTolJ5TmFc/edit#gid=0"",""'Game 4'!$B$2:$Q$34""),33,False)"),0.0)</f>
        <v>0</v>
      </c>
      <c r="I100" s="3">
        <v>0.0</v>
      </c>
      <c r="J100" s="5">
        <f>IFERROR(__xludf.DUMMYFUNCTION("IFERROR(HLOOKUP($A100,IMPORTRANGE(""https://docs.google.com/spreadsheets/d/1CTYfdyRk_RFGM3I2iN9bKeD9zUPzEm1ajzml6VgwfIU/edit#gid=0"",""'Game 7'!$B$2:$Q$34""),33,False),1)"),0.0)</f>
        <v>0</v>
      </c>
      <c r="K100" s="5">
        <f>IFERROR(__xludf.DUMMYFUNCTION("IFERROR(HLOOKUP($A100,IMPORTRANGE(""https://docs.google.com/spreadsheets/d/11NFkzOdQyW-OtxSDuGslNCgNjx7HUb2FU7KnlNnPMgY/edit#gid=0"",""'Game 7'!$B$2:$Q$34""),33,False),1)"),4.0)</f>
        <v>4</v>
      </c>
      <c r="L100" s="5">
        <f>IFERROR(__xludf.DUMMYFUNCTION("IFERROR(HLOOKUP($A100,IMPORTRANGE(""https://docs.google.com/spreadsheets/d/1CLg5-jaE4ta0-u4oE1qbBplQ5Mf3Oj9ONFgL0zJ7Ol4/edit#gid=0"",""'Game 7'!$B$2:$Q$34""),33,False),1)"),0.0)</f>
        <v>0</v>
      </c>
      <c r="M100" s="5">
        <f>IFERROR(__xludf.DUMMYFUNCTION("IFERROR(HLOOKUP($A100,IMPORTRANGE(""https://docs.google.com/spreadsheets/d/1CeexgK4KxWj3k_7nql_k8-RPxXMwTJyB4Q3vAASeDlA/edit#gid=0"",""'Game 7'!$B$2:$Q$34""),33,False),1)"),0.0)</f>
        <v>0</v>
      </c>
      <c r="N100" s="5">
        <f>IFERROR(__xludf.DUMMYFUNCTION("IFERROR(HLOOKUP($A100,IMPORTRANGE(""https://docs.google.com/spreadsheets/d/1MNwUNMjcwK6bEgCXwB73jpbK5gJAXS8ZMpbEMLJEP3E/edit#gid=0"",""'Game 7'!$B$2:$Q$34""),33,False),1)"),4.0)</f>
        <v>4</v>
      </c>
      <c r="O100" s="5">
        <f>IFERROR(__xludf.DUMMYFUNCTION("IFERROR(HLOOKUP($A100,IMPORTRANGE(""https://docs.google.com/spreadsheets/d/1UrzyxmT40kDZwVrLMf1yyXfP-pyczRAw9Y8Rw-uXG3c/edit#gid=0"",""'Game 2'!$B$2:$Q$34""),33,False),1)"),0.0)</f>
        <v>0</v>
      </c>
      <c r="P100" s="5">
        <f>IFERROR(__xludf.DUMMYFUNCTION("IFERROR(HLOOKUP($A100,IMPORTRANGE(""https://docs.google.com/spreadsheets/d/1iyMhSYWifw-KGFtyeBpNxVZr4BhcV9hVZuShgJ9Ia0E/edit#gid=0"",""'Game 7'!$B$2:$Q$34""),33,False),1)"),0.0)</f>
        <v>0</v>
      </c>
      <c r="Q100" s="5">
        <f>IFERROR(__xludf.DUMMYFUNCTION("IFERROR(HLOOKUP($A100,IMPORTRANGE(""https://docs.google.com/spreadsheets/d/1sSbIK-vvHsSY0LghLJ9gcnW8Hec_ITI2tFmpeqI999A/edit#gid=0"",""'Game 5'!$B$2:$Q$34""),33,False),1)"),0.0)</f>
        <v>0</v>
      </c>
      <c r="R100" s="6">
        <f>TUHStand!R100</f>
        <v>253</v>
      </c>
      <c r="S100" s="6">
        <f t="shared" si="4"/>
        <v>20</v>
      </c>
      <c r="T100" s="6">
        <f t="shared" si="5"/>
        <v>1.818181818</v>
      </c>
      <c r="U100" s="6">
        <f t="shared" si="3"/>
        <v>97</v>
      </c>
    </row>
    <row r="101">
      <c r="A101" s="2" t="s">
        <v>244</v>
      </c>
      <c r="B101" s="13" t="s">
        <v>240</v>
      </c>
      <c r="C101" s="20">
        <v>0.0</v>
      </c>
      <c r="D101" s="20">
        <v>0.0</v>
      </c>
      <c r="E101" s="20">
        <v>0.0</v>
      </c>
      <c r="F101" s="20">
        <v>0.0</v>
      </c>
      <c r="G101" s="2">
        <v>0.0</v>
      </c>
      <c r="H101" s="12">
        <f>IFERROR(__xludf.DUMMYFUNCTION("HLOOKUP($A101,IMPORTRANGE(""https://docs.google.com/spreadsheets/d/16J5ie7OD1E99qGO9lMDm8w5Yls-v190B7DTolJ5TmFc/edit#gid=0"",""'Game 4'!$B$2:$Q$34""),33,False)"),0.0)</f>
        <v>0</v>
      </c>
      <c r="I101" s="2">
        <v>0.0</v>
      </c>
      <c r="J101" s="12">
        <f>IFERROR(__xludf.DUMMYFUNCTION("IFERROR(HLOOKUP($A101,IMPORTRANGE(""https://docs.google.com/spreadsheets/d/1CTYfdyRk_RFGM3I2iN9bKeD9zUPzEm1ajzml6VgwfIU/edit#gid=0"",""'Game 7'!$B$2:$Q$34""),33,False),1)"),0.0)</f>
        <v>0</v>
      </c>
      <c r="K101" s="12">
        <f>IFERROR(__xludf.DUMMYFUNCTION("IFERROR(HLOOKUP($A101,IMPORTRANGE(""https://docs.google.com/spreadsheets/d/11NFkzOdQyW-OtxSDuGslNCgNjx7HUb2FU7KnlNnPMgY/edit#gid=0"",""'Game 7'!$B$2:$Q$34""),33,False),1)"),0.0)</f>
        <v>0</v>
      </c>
      <c r="L101" s="12">
        <f>IFERROR(__xludf.DUMMYFUNCTION("IFERROR(HLOOKUP($A101,IMPORTRANGE(""https://docs.google.com/spreadsheets/d/1CLg5-jaE4ta0-u4oE1qbBplQ5Mf3Oj9ONFgL0zJ7Ol4/edit#gid=0"",""'Game 7'!$B$2:$Q$34""),33,False),1)"),0.0)</f>
        <v>0</v>
      </c>
      <c r="M101" s="12">
        <f>IFERROR(__xludf.DUMMYFUNCTION("IFERROR(HLOOKUP($A101,IMPORTRANGE(""https://docs.google.com/spreadsheets/d/1CeexgK4KxWj3k_7nql_k8-RPxXMwTJyB4Q3vAASeDlA/edit#gid=0"",""'Game 7'!$B$2:$Q$34""),33,False),1)"),0.0)</f>
        <v>0</v>
      </c>
      <c r="N101" s="12">
        <f>IFERROR(__xludf.DUMMYFUNCTION("IFERROR(HLOOKUP($A101,IMPORTRANGE(""https://docs.google.com/spreadsheets/d/1MNwUNMjcwK6bEgCXwB73jpbK5gJAXS8ZMpbEMLJEP3E/edit#gid=0"",""'Game 7'!$B$2:$Q$34""),33,False),1)"),0.0)</f>
        <v>0</v>
      </c>
      <c r="O101" s="12">
        <f>IFERROR(__xludf.DUMMYFUNCTION("IFERROR(HLOOKUP($A101,IMPORTRANGE(""https://docs.google.com/spreadsheets/d/1UrzyxmT40kDZwVrLMf1yyXfP-pyczRAw9Y8Rw-uXG3c/edit#gid=0"",""'Game 2'!$B$2:$Q$34""),33,False),1)"),0.0)</f>
        <v>0</v>
      </c>
      <c r="P101" s="12">
        <f>IFERROR(__xludf.DUMMYFUNCTION("IFERROR(HLOOKUP($A101,IMPORTRANGE(""https://docs.google.com/spreadsheets/d/1iyMhSYWifw-KGFtyeBpNxVZr4BhcV9hVZuShgJ9Ia0E/edit#gid=0"",""'Game 7'!$B$2:$Q$34""),33,False),1)"),0.0)</f>
        <v>0</v>
      </c>
      <c r="Q101" s="12">
        <f>IFERROR(__xludf.DUMMYFUNCTION("IFERROR(HLOOKUP($A101,IMPORTRANGE(""https://docs.google.com/spreadsheets/d/1sSbIK-vvHsSY0LghLJ9gcnW8Hec_ITI2tFmpeqI999A/edit#gid=0"",""'Game 5'!$B$2:$Q$34""),33,False),1)"),0.0)</f>
        <v>0</v>
      </c>
      <c r="R101" s="13">
        <f>TUHStand!R101</f>
        <v>277</v>
      </c>
      <c r="S101" s="13">
        <f t="shared" si="4"/>
        <v>0</v>
      </c>
      <c r="T101" s="13">
        <f t="shared" si="5"/>
        <v>0</v>
      </c>
      <c r="U101" s="13">
        <f t="shared" si="3"/>
        <v>127</v>
      </c>
    </row>
    <row r="102">
      <c r="A102" s="18" t="s">
        <v>246</v>
      </c>
      <c r="B102" s="6" t="s">
        <v>240</v>
      </c>
      <c r="C102" s="18">
        <v>4.0</v>
      </c>
      <c r="D102" s="18">
        <v>0.0</v>
      </c>
      <c r="E102" s="18">
        <v>0.0</v>
      </c>
      <c r="F102" s="18">
        <v>4.0</v>
      </c>
      <c r="G102" s="3">
        <v>0.0</v>
      </c>
      <c r="H102" s="5">
        <f>IFERROR(__xludf.DUMMYFUNCTION("HLOOKUP($A102,IMPORTRANGE(""https://docs.google.com/spreadsheets/d/16J5ie7OD1E99qGO9lMDm8w5Yls-v190B7DTolJ5TmFc/edit#gid=0"",""'Game 4'!$B$2:$Q$34""),33,False)"),4.0)</f>
        <v>4</v>
      </c>
      <c r="I102" s="3">
        <v>4.0</v>
      </c>
      <c r="J102" s="5">
        <f>IFERROR(__xludf.DUMMYFUNCTION("IFERROR(HLOOKUP($A102,IMPORTRANGE(""https://docs.google.com/spreadsheets/d/1CTYfdyRk_RFGM3I2iN9bKeD9zUPzEm1ajzml6VgwfIU/edit#gid=0"",""'Game 7'!$B$2:$Q$34""),33,False),1)"),0.0)</f>
        <v>0</v>
      </c>
      <c r="K102" s="5">
        <f>IFERROR(__xludf.DUMMYFUNCTION("IFERROR(HLOOKUP($A102,IMPORTRANGE(""https://docs.google.com/spreadsheets/d/11NFkzOdQyW-OtxSDuGslNCgNjx7HUb2FU7KnlNnPMgY/edit#gid=0"",""'Game 7'!$B$2:$Q$34""),33,False),1)"),8.0)</f>
        <v>8</v>
      </c>
      <c r="L102" s="5">
        <f>IFERROR(__xludf.DUMMYFUNCTION("IFERROR(HLOOKUP($A102,IMPORTRANGE(""https://docs.google.com/spreadsheets/d/1CLg5-jaE4ta0-u4oE1qbBplQ5Mf3Oj9ONFgL0zJ7Ol4/edit#gid=0"",""'Game 7'!$B$2:$Q$34""),33,False),1)"),4.0)</f>
        <v>4</v>
      </c>
      <c r="M102" s="5">
        <f>IFERROR(__xludf.DUMMYFUNCTION("IFERROR(HLOOKUP($A102,IMPORTRANGE(""https://docs.google.com/spreadsheets/d/1CeexgK4KxWj3k_7nql_k8-RPxXMwTJyB4Q3vAASeDlA/edit#gid=0"",""'Game 7'!$B$2:$Q$34""),33,False),1)"),8.0)</f>
        <v>8</v>
      </c>
      <c r="N102" s="5">
        <f>IFERROR(__xludf.DUMMYFUNCTION("IFERROR(HLOOKUP($A102,IMPORTRANGE(""https://docs.google.com/spreadsheets/d/1MNwUNMjcwK6bEgCXwB73jpbK5gJAXS8ZMpbEMLJEP3E/edit#gid=0"",""'Game 7'!$B$2:$Q$34""),33,False),1)"),4.0)</f>
        <v>4</v>
      </c>
      <c r="O102" s="5">
        <f>IFERROR(__xludf.DUMMYFUNCTION("IFERROR(HLOOKUP($A102,IMPORTRANGE(""https://docs.google.com/spreadsheets/d/1UrzyxmT40kDZwVrLMf1yyXfP-pyczRAw9Y8Rw-uXG3c/edit#gid=0"",""'Game 2'!$B$2:$Q$34""),33,False),1)"),4.0)</f>
        <v>4</v>
      </c>
      <c r="P102" s="5">
        <f>IFERROR(__xludf.DUMMYFUNCTION("IFERROR(HLOOKUP($A102,IMPORTRANGE(""https://docs.google.com/spreadsheets/d/1iyMhSYWifw-KGFtyeBpNxVZr4BhcV9hVZuShgJ9Ia0E/edit#gid=0"",""'Game 7'!$B$2:$Q$34""),33,False),1)"),20.0)</f>
        <v>20</v>
      </c>
      <c r="Q102" s="5">
        <f>IFERROR(__xludf.DUMMYFUNCTION("IFERROR(HLOOKUP($A102,IMPORTRANGE(""https://docs.google.com/spreadsheets/d/1sSbIK-vvHsSY0LghLJ9gcnW8Hec_ITI2tFmpeqI999A/edit#gid=0"",""'Game 5'!$B$2:$Q$34""),33,False),1)"),16.0)</f>
        <v>16</v>
      </c>
      <c r="R102" s="6">
        <f>TUHStand!R102</f>
        <v>345</v>
      </c>
      <c r="S102" s="6">
        <f t="shared" si="4"/>
        <v>80</v>
      </c>
      <c r="T102" s="6">
        <f t="shared" si="5"/>
        <v>5.333333333</v>
      </c>
      <c r="U102" s="6">
        <f t="shared" si="3"/>
        <v>59</v>
      </c>
    </row>
    <row r="103">
      <c r="A103" s="20" t="s">
        <v>249</v>
      </c>
      <c r="B103" s="20" t="s">
        <v>240</v>
      </c>
      <c r="C103" s="20">
        <v>12.0</v>
      </c>
      <c r="D103" s="20">
        <v>4.0</v>
      </c>
      <c r="E103" s="20">
        <v>-4.0</v>
      </c>
      <c r="F103" s="20">
        <v>8.0</v>
      </c>
      <c r="G103" s="2">
        <v>24.0</v>
      </c>
      <c r="H103" s="12">
        <f>IFERROR(__xludf.DUMMYFUNCTION("HLOOKUP($A103,IMPORTRANGE(""https://docs.google.com/spreadsheets/d/16J5ie7OD1E99qGO9lMDm8w5Yls-v190B7DTolJ5TmFc/edit#gid=0"",""'Game 4'!$B$2:$Q$34""),33,False)"),0.0)</f>
        <v>0</v>
      </c>
      <c r="I103" s="2">
        <v>20.0</v>
      </c>
      <c r="J103" s="12">
        <f>IFERROR(__xludf.DUMMYFUNCTION("IFERROR(HLOOKUP($A103,IMPORTRANGE(""https://docs.google.com/spreadsheets/d/1CTYfdyRk_RFGM3I2iN9bKeD9zUPzEm1ajzml6VgwfIU/edit#gid=0"",""'Game 7'!$B$2:$Q$34""),33,False),1)"),16.0)</f>
        <v>16</v>
      </c>
      <c r="K103" s="12">
        <f>IFERROR(__xludf.DUMMYFUNCTION("IFERROR(HLOOKUP($A103,IMPORTRANGE(""https://docs.google.com/spreadsheets/d/11NFkzOdQyW-OtxSDuGslNCgNjx7HUb2FU7KnlNnPMgY/edit#gid=0"",""'Game 7'!$B$2:$Q$34""),33,False),1)"),4.0)</f>
        <v>4</v>
      </c>
      <c r="L103" s="12">
        <f>IFERROR(__xludf.DUMMYFUNCTION("IFERROR(HLOOKUP($A103,IMPORTRANGE(""https://docs.google.com/spreadsheets/d/1CLg5-jaE4ta0-u4oE1qbBplQ5Mf3Oj9ONFgL0zJ7Ol4/edit#gid=0"",""'Game 7'!$B$2:$Q$34""),33,False),1)"),12.0)</f>
        <v>12</v>
      </c>
      <c r="M103" s="12">
        <f>IFERROR(__xludf.DUMMYFUNCTION("IFERROR(HLOOKUP($A103,IMPORTRANGE(""https://docs.google.com/spreadsheets/d/1CeexgK4KxWj3k_7nql_k8-RPxXMwTJyB4Q3vAASeDlA/edit#gid=0"",""'Game 7'!$B$2:$Q$34""),33,False),1)"),12.0)</f>
        <v>12</v>
      </c>
      <c r="N103" s="12">
        <f>IFERROR(__xludf.DUMMYFUNCTION("IFERROR(HLOOKUP($A103,IMPORTRANGE(""https://docs.google.com/spreadsheets/d/1MNwUNMjcwK6bEgCXwB73jpbK5gJAXS8ZMpbEMLJEP3E/edit#gid=0"",""'Game 7'!$B$2:$Q$34""),33,False),1)"),16.0)</f>
        <v>16</v>
      </c>
      <c r="O103" s="12">
        <f>IFERROR(__xludf.DUMMYFUNCTION("IFERROR(HLOOKUP($A103,IMPORTRANGE(""https://docs.google.com/spreadsheets/d/1UrzyxmT40kDZwVrLMf1yyXfP-pyczRAw9Y8Rw-uXG3c/edit#gid=0"",""'Game 2'!$B$2:$Q$34""),33,False),1)"),4.0)</f>
        <v>4</v>
      </c>
      <c r="P103" s="12">
        <f>IFERROR(__xludf.DUMMYFUNCTION("IFERROR(HLOOKUP($A103,IMPORTRANGE(""https://docs.google.com/spreadsheets/d/1iyMhSYWifw-KGFtyeBpNxVZr4BhcV9hVZuShgJ9Ia0E/edit#gid=0"",""'Game 7'!$B$2:$Q$34""),33,False),1)"),0.0)</f>
        <v>0</v>
      </c>
      <c r="Q103" s="12">
        <f>IFERROR(__xludf.DUMMYFUNCTION("IFERROR(HLOOKUP($A103,IMPORTRANGE(""https://docs.google.com/spreadsheets/d/1sSbIK-vvHsSY0LghLJ9gcnW8Hec_ITI2tFmpeqI999A/edit#gid=0"",""'Game 5'!$B$2:$Q$34""),33,False),1)"),0.0)</f>
        <v>0</v>
      </c>
      <c r="R103" s="13">
        <f>TUHStand!R103</f>
        <v>264</v>
      </c>
      <c r="S103" s="13">
        <f t="shared" si="4"/>
        <v>128</v>
      </c>
      <c r="T103" s="13">
        <f t="shared" si="5"/>
        <v>11.15151515</v>
      </c>
      <c r="U103" s="13">
        <f t="shared" si="3"/>
        <v>25</v>
      </c>
    </row>
    <row r="104">
      <c r="A104" s="18" t="s">
        <v>250</v>
      </c>
      <c r="B104" s="18" t="s">
        <v>251</v>
      </c>
      <c r="C104" s="18">
        <v>0.0</v>
      </c>
      <c r="D104" s="18">
        <v>0.0</v>
      </c>
      <c r="E104" s="18">
        <v>0.0</v>
      </c>
      <c r="F104" s="18">
        <v>0.0</v>
      </c>
      <c r="G104" s="3">
        <v>0.0</v>
      </c>
      <c r="H104" s="5">
        <f>IFERROR(__xludf.DUMMYFUNCTION("HLOOKUP($A104,IMPORTRANGE(""https://docs.google.com/spreadsheets/d/16J5ie7OD1E99qGO9lMDm8w5Yls-v190B7DTolJ5TmFc/edit#gid=0"",""'Game 6'!$B$2:$Q$34""),33,False)"),0.0)</f>
        <v>0</v>
      </c>
      <c r="I104" s="3">
        <v>0.0</v>
      </c>
      <c r="J104" s="5">
        <f>IFERROR(__xludf.DUMMYFUNCTION("IFERROR(HLOOKUP($A104,IMPORTRANGE(""https://docs.google.com/spreadsheets/d/1CTYfdyRk_RFGM3I2iN9bKeD9zUPzEm1ajzml6VgwfIU/edit#gid=0"",""'Game 11'!$B$2:$Q$34""),33,False),1)"),0.0)</f>
        <v>0</v>
      </c>
      <c r="K104" s="5">
        <f>IFERROR(__xludf.DUMMYFUNCTION("IFERROR(HLOOKUP($A104,IMPORTRANGE(""https://docs.google.com/spreadsheets/d/11NFkzOdQyW-OtxSDuGslNCgNjx7HUb2FU7KnlNnPMgY/edit#gid=0"",""'Game 5'!$B$2:$Q$34""),33,False),1)"),0.0)</f>
        <v>0</v>
      </c>
      <c r="L104" s="5">
        <f>IFERROR(__xludf.DUMMYFUNCTION("IFERROR(HLOOKUP($A104,IMPORTRANGE(""https://docs.google.com/spreadsheets/d/1CLg5-jaE4ta0-u4oE1qbBplQ5Mf3Oj9ONFgL0zJ7Ol4/edit#gid=0"",""'Game 13'!$B$2:$Q$34""),33,False),1)"),0.0)</f>
        <v>0</v>
      </c>
      <c r="M104" s="5">
        <f>IFERROR(__xludf.DUMMYFUNCTION("IFERROR(HLOOKUP($A104,IMPORTRANGE(""https://docs.google.com/spreadsheets/d/1CeexgK4KxWj3k_7nql_k8-RPxXMwTJyB4Q3vAASeDlA/edit#gid=0"",""'Game 6'!$B$2:$Q$34""),33,False),1)"),0.0)</f>
        <v>0</v>
      </c>
      <c r="N104" s="27">
        <v>0.0</v>
      </c>
      <c r="O104" s="27">
        <v>0.0</v>
      </c>
      <c r="P104" s="27">
        <v>0.0</v>
      </c>
      <c r="Q104" s="27">
        <v>0.0</v>
      </c>
      <c r="R104" s="6">
        <f>TUHStand!R104</f>
        <v>46</v>
      </c>
      <c r="S104" s="6">
        <f t="shared" si="4"/>
        <v>0</v>
      </c>
      <c r="T104" s="6">
        <f t="shared" si="5"/>
        <v>0</v>
      </c>
      <c r="U104" s="6">
        <f t="shared" si="3"/>
        <v>127</v>
      </c>
    </row>
    <row r="105">
      <c r="A105" s="2" t="s">
        <v>254</v>
      </c>
      <c r="B105" s="2" t="s">
        <v>251</v>
      </c>
      <c r="C105" s="2">
        <v>0.0</v>
      </c>
      <c r="D105" s="2">
        <v>0.0</v>
      </c>
      <c r="E105" s="2">
        <v>0.0</v>
      </c>
      <c r="F105" s="2">
        <v>0.0</v>
      </c>
      <c r="G105" s="2">
        <v>0.0</v>
      </c>
      <c r="H105" s="29">
        <v>0.0</v>
      </c>
      <c r="I105" s="2">
        <v>0.0</v>
      </c>
      <c r="J105" s="29">
        <v>0.0</v>
      </c>
      <c r="K105" s="29">
        <v>0.0</v>
      </c>
      <c r="L105" s="29">
        <v>0.0</v>
      </c>
      <c r="M105" s="29">
        <v>0.0</v>
      </c>
      <c r="N105" s="12">
        <f>IFERROR(__xludf.DUMMYFUNCTION("IFERROR(HLOOKUP($A105,IMPORTRANGE(""https://docs.google.com/spreadsheets/d/1MNwUNMjcwK6bEgCXwB73jpbK5gJAXS8ZMpbEMLJEP3E/edit#gid=0"",""'Game 9'!$B$2:$Q$34""),33,False),1)"),0.0)</f>
        <v>0</v>
      </c>
      <c r="O105" s="12">
        <f>IFERROR(__xludf.DUMMYFUNCTION("IFERROR(HLOOKUP($A105,IMPORTRANGE(""https://docs.google.com/spreadsheets/d/1UrzyxmT40kDZwVrLMf1yyXfP-pyczRAw9Y8Rw-uXG3c/edit#gid=0"",""'Game 12'!$B$2:$Q$34""),33,False),1)"),0.0)</f>
        <v>0</v>
      </c>
      <c r="P105" s="12">
        <f>IFERROR(__xludf.DUMMYFUNCTION("IFERROR(HLOOKUP($A105,IMPORTRANGE(""https://docs.google.com/spreadsheets/d/1iyMhSYWifw-KGFtyeBpNxVZr4BhcV9hVZuShgJ9Ia0E/edit#gid=0"",""'Game 11'!$B$2:$Q$34""),33,False),1)"),0.0)</f>
        <v>0</v>
      </c>
      <c r="Q105" s="12">
        <f>IFERROR(__xludf.DUMMYFUNCTION("IFERROR(HLOOKUP($A105,IMPORTRANGE(""https://docs.google.com/spreadsheets/d/1sSbIK-vvHsSY0LghLJ9gcnW8Hec_ITI2tFmpeqI999A/edit#gid=0"",""'Game 11'!$B$2:$Q$34""),33,False),1)"),0.0)</f>
        <v>0</v>
      </c>
      <c r="R105" s="13">
        <f>TUHStand!R105</f>
        <v>92</v>
      </c>
      <c r="S105" s="13">
        <f t="shared" si="4"/>
        <v>0</v>
      </c>
      <c r="T105" s="13">
        <f t="shared" si="5"/>
        <v>0</v>
      </c>
      <c r="U105" s="13">
        <f t="shared" si="3"/>
        <v>127</v>
      </c>
    </row>
    <row r="106">
      <c r="A106" s="18" t="s">
        <v>255</v>
      </c>
      <c r="B106" s="18" t="s">
        <v>251</v>
      </c>
      <c r="C106" s="18">
        <v>4.0</v>
      </c>
      <c r="D106" s="18">
        <v>8.0</v>
      </c>
      <c r="E106" s="18">
        <v>4.0</v>
      </c>
      <c r="F106" s="18">
        <v>8.0</v>
      </c>
      <c r="G106" s="3">
        <v>8.0</v>
      </c>
      <c r="H106" s="5">
        <f>IFERROR(__xludf.DUMMYFUNCTION("HLOOKUP($A106,IMPORTRANGE(""https://docs.google.com/spreadsheets/d/16J5ie7OD1E99qGO9lMDm8w5Yls-v190B7DTolJ5TmFc/edit#gid=0"",""'Game 6'!$B$2:$Q$34""),33,False)"),4.0)</f>
        <v>4</v>
      </c>
      <c r="I106" s="3">
        <v>4.0</v>
      </c>
      <c r="J106" s="5">
        <f>IFERROR(__xludf.DUMMYFUNCTION("IFERROR(HLOOKUP($A106,IMPORTRANGE(""https://docs.google.com/spreadsheets/d/1CTYfdyRk_RFGM3I2iN9bKeD9zUPzEm1ajzml6VgwfIU/edit#gid=0"",""'Game 11'!$B$2:$Q$34""),33,False),1)"),0.0)</f>
        <v>0</v>
      </c>
      <c r="K106" s="5">
        <f>IFERROR(__xludf.DUMMYFUNCTION("IFERROR(HLOOKUP($A106,IMPORTRANGE(""https://docs.google.com/spreadsheets/d/11NFkzOdQyW-OtxSDuGslNCgNjx7HUb2FU7KnlNnPMgY/edit#gid=0"",""'Game 5'!$B$2:$Q$34""),33,False),1)"),0.0)</f>
        <v>0</v>
      </c>
      <c r="L106" s="5">
        <f>IFERROR(__xludf.DUMMYFUNCTION("IFERROR(HLOOKUP($A106,IMPORTRANGE(""https://docs.google.com/spreadsheets/d/1CLg5-jaE4ta0-u4oE1qbBplQ5Mf3Oj9ONFgL0zJ7Ol4/edit#gid=0"",""'Game 13'!$B$2:$Q$34""),33,False),1)"),4.0)</f>
        <v>4</v>
      </c>
      <c r="M106" s="5">
        <f>IFERROR(__xludf.DUMMYFUNCTION("IFERROR(HLOOKUP($A106,IMPORTRANGE(""https://docs.google.com/spreadsheets/d/1CeexgK4KxWj3k_7nql_k8-RPxXMwTJyB4Q3vAASeDlA/edit#gid=0"",""'Game 6'!$B$2:$Q$34""),33,False),1)"),0.0)</f>
        <v>0</v>
      </c>
      <c r="N106" s="5">
        <f>IFERROR(__xludf.DUMMYFUNCTION("IFERROR(HLOOKUP($A106,IMPORTRANGE(""https://docs.google.com/spreadsheets/d/1MNwUNMjcwK6bEgCXwB73jpbK5gJAXS8ZMpbEMLJEP3E/edit#gid=0"",""'Game 9'!$B$2:$Q$34""),33,False),1)"),0.0)</f>
        <v>0</v>
      </c>
      <c r="O106" s="5">
        <f>IFERROR(__xludf.DUMMYFUNCTION("IFERROR(HLOOKUP($A106,IMPORTRANGE(""https://docs.google.com/spreadsheets/d/1UrzyxmT40kDZwVrLMf1yyXfP-pyczRAw9Y8Rw-uXG3c/edit#gid=0"",""'Game 12'!$B$2:$Q$34""),33,False),1)"),4.0)</f>
        <v>4</v>
      </c>
      <c r="P106" s="5">
        <f>IFERROR(__xludf.DUMMYFUNCTION("IFERROR(HLOOKUP($A106,IMPORTRANGE(""https://docs.google.com/spreadsheets/d/1iyMhSYWifw-KGFtyeBpNxVZr4BhcV9hVZuShgJ9Ia0E/edit#gid=0"",""'Game 11'!$B$2:$Q$34""),33,False),1)"),0.0)</f>
        <v>0</v>
      </c>
      <c r="Q106" s="5">
        <f>IFERROR(__xludf.DUMMYFUNCTION("IFERROR(HLOOKUP($A106,IMPORTRANGE(""https://docs.google.com/spreadsheets/d/1sSbIK-vvHsSY0LghLJ9gcnW8Hec_ITI2tFmpeqI999A/edit#gid=0"",""'Game 11'!$B$2:$Q$34""),33,False),1)"),4.0)</f>
        <v>4</v>
      </c>
      <c r="R106" s="6">
        <f>TUHStand!R106</f>
        <v>298</v>
      </c>
      <c r="S106" s="6">
        <f t="shared" si="4"/>
        <v>52</v>
      </c>
      <c r="T106" s="6">
        <f t="shared" si="5"/>
        <v>4.013422819</v>
      </c>
      <c r="U106" s="6">
        <f t="shared" si="3"/>
        <v>71</v>
      </c>
    </row>
    <row r="107">
      <c r="A107" s="20" t="s">
        <v>257</v>
      </c>
      <c r="B107" s="20" t="s">
        <v>251</v>
      </c>
      <c r="C107" s="20">
        <v>16.0</v>
      </c>
      <c r="D107" s="20">
        <v>32.0</v>
      </c>
      <c r="E107" s="20">
        <v>12.0</v>
      </c>
      <c r="F107" s="20">
        <v>8.0</v>
      </c>
      <c r="G107" s="2">
        <v>28.0</v>
      </c>
      <c r="H107" s="12">
        <f>IFERROR(__xludf.DUMMYFUNCTION("HLOOKUP($A107,IMPORTRANGE(""https://docs.google.com/spreadsheets/d/16J5ie7OD1E99qGO9lMDm8w5Yls-v190B7DTolJ5TmFc/edit#gid=0"",""'Game 6'!$B$2:$Q$34""),33,False)"),20.0)</f>
        <v>20</v>
      </c>
      <c r="I107" s="2">
        <v>16.0</v>
      </c>
      <c r="J107" s="12">
        <f>IFERROR(__xludf.DUMMYFUNCTION("IFERROR(HLOOKUP($A107,IMPORTRANGE(""https://docs.google.com/spreadsheets/d/1CTYfdyRk_RFGM3I2iN9bKeD9zUPzEm1ajzml6VgwfIU/edit#gid=0"",""'Game 11'!$B$2:$Q$34""),33,False),1)"),16.0)</f>
        <v>16</v>
      </c>
      <c r="K107" s="12">
        <f>IFERROR(__xludf.DUMMYFUNCTION("IFERROR(HLOOKUP($A107,IMPORTRANGE(""https://docs.google.com/spreadsheets/d/11NFkzOdQyW-OtxSDuGslNCgNjx7HUb2FU7KnlNnPMgY/edit#gid=0"",""'Game 5'!$B$2:$Q$34""),33,False),1)"),16.0)</f>
        <v>16</v>
      </c>
      <c r="L107" s="12">
        <f>IFERROR(__xludf.DUMMYFUNCTION("IFERROR(HLOOKUP($A107,IMPORTRANGE(""https://docs.google.com/spreadsheets/d/1CLg5-jaE4ta0-u4oE1qbBplQ5Mf3Oj9ONFgL0zJ7Ol4/edit#gid=0"",""'Game 13'!$B$2:$Q$34""),33,False),1)"),12.0)</f>
        <v>12</v>
      </c>
      <c r="M107" s="12">
        <f>IFERROR(__xludf.DUMMYFUNCTION("IFERROR(HLOOKUP($A107,IMPORTRANGE(""https://docs.google.com/spreadsheets/d/1CeexgK4KxWj3k_7nql_k8-RPxXMwTJyB4Q3vAASeDlA/edit#gid=0"",""'Game 6'!$B$2:$Q$34""),33,False),1)"),20.0)</f>
        <v>20</v>
      </c>
      <c r="N107" s="12">
        <f>IFERROR(__xludf.DUMMYFUNCTION("IFERROR(HLOOKUP($A107,IMPORTRANGE(""https://docs.google.com/spreadsheets/d/1MNwUNMjcwK6bEgCXwB73jpbK5gJAXS8ZMpbEMLJEP3E/edit#gid=0"",""'Game 9'!$B$2:$Q$34""),33,False),1)"),16.0)</f>
        <v>16</v>
      </c>
      <c r="O107" s="12">
        <f>IFERROR(__xludf.DUMMYFUNCTION("IFERROR(HLOOKUP($A107,IMPORTRANGE(""https://docs.google.com/spreadsheets/d/1UrzyxmT40kDZwVrLMf1yyXfP-pyczRAw9Y8Rw-uXG3c/edit#gid=0"",""'Game 12'!$B$2:$Q$34""),33,False),1)"),20.0)</f>
        <v>20</v>
      </c>
      <c r="P107" s="12">
        <f>IFERROR(__xludf.DUMMYFUNCTION("IFERROR(HLOOKUP($A107,IMPORTRANGE(""https://docs.google.com/spreadsheets/d/1iyMhSYWifw-KGFtyeBpNxVZr4BhcV9hVZuShgJ9Ia0E/edit#gid=0"",""'Game 11'!$B$2:$Q$34""),33,False),1)"),20.0)</f>
        <v>20</v>
      </c>
      <c r="Q107" s="12">
        <f>IFERROR(__xludf.DUMMYFUNCTION("IFERROR(HLOOKUP($A107,IMPORTRANGE(""https://docs.google.com/spreadsheets/d/1sSbIK-vvHsSY0LghLJ9gcnW8Hec_ITI2tFmpeqI999A/edit#gid=0"",""'Game 11'!$B$2:$Q$34""),33,False),1)"),12.0)</f>
        <v>12</v>
      </c>
      <c r="R107" s="13">
        <f>TUHStand!R107</f>
        <v>345</v>
      </c>
      <c r="S107" s="13">
        <f t="shared" si="4"/>
        <v>264</v>
      </c>
      <c r="T107" s="13">
        <f t="shared" si="5"/>
        <v>17.6</v>
      </c>
      <c r="U107" s="13">
        <f t="shared" si="3"/>
        <v>4</v>
      </c>
    </row>
    <row r="108">
      <c r="A108" s="18" t="s">
        <v>259</v>
      </c>
      <c r="B108" s="18" t="s">
        <v>251</v>
      </c>
      <c r="C108" s="18">
        <v>0.0</v>
      </c>
      <c r="D108" s="18">
        <v>4.0</v>
      </c>
      <c r="E108" s="18">
        <v>-4.0</v>
      </c>
      <c r="F108" s="18">
        <v>4.0</v>
      </c>
      <c r="G108" s="3">
        <v>0.0</v>
      </c>
      <c r="H108" s="5">
        <f>IFERROR(__xludf.DUMMYFUNCTION("HLOOKUP($A108,IMPORTRANGE(""https://docs.google.com/spreadsheets/d/16J5ie7OD1E99qGO9lMDm8w5Yls-v190B7DTolJ5TmFc/edit#gid=0"",""'Game 6'!$B$2:$Q$34""),33,False)"),0.0)</f>
        <v>0</v>
      </c>
      <c r="I108" s="3">
        <v>0.0</v>
      </c>
      <c r="J108" s="5">
        <f>IFERROR(__xludf.DUMMYFUNCTION("IFERROR(HLOOKUP($A108,IMPORTRANGE(""https://docs.google.com/spreadsheets/d/1CTYfdyRk_RFGM3I2iN9bKeD9zUPzEm1ajzml6VgwfIU/edit#gid=0"",""'Game 11'!$B$2:$Q$34""),33,False),1)"),8.0)</f>
        <v>8</v>
      </c>
      <c r="K108" s="5">
        <f>IFERROR(__xludf.DUMMYFUNCTION("IFERROR(HLOOKUP($A108,IMPORTRANGE(""https://docs.google.com/spreadsheets/d/11NFkzOdQyW-OtxSDuGslNCgNjx7HUb2FU7KnlNnPMgY/edit#gid=0"",""'Game 5'!$B$2:$Q$34""),33,False),1)"),8.0)</f>
        <v>8</v>
      </c>
      <c r="L108" s="5">
        <f>IFERROR(__xludf.DUMMYFUNCTION("IFERROR(HLOOKUP($A108,IMPORTRANGE(""https://docs.google.com/spreadsheets/d/1CLg5-jaE4ta0-u4oE1qbBplQ5Mf3Oj9ONFgL0zJ7Ol4/edit#gid=0"",""'Game 13'!$B$2:$Q$34""),33,False),1)"),4.0)</f>
        <v>4</v>
      </c>
      <c r="M108" s="5">
        <f>IFERROR(__xludf.DUMMYFUNCTION("IFERROR(HLOOKUP($A108,IMPORTRANGE(""https://docs.google.com/spreadsheets/d/1CeexgK4KxWj3k_7nql_k8-RPxXMwTJyB4Q3vAASeDlA/edit#gid=0"",""'Game 6'!$B$2:$Q$34""),33,False),1)"),4.0)</f>
        <v>4</v>
      </c>
      <c r="N108" s="5">
        <f>IFERROR(__xludf.DUMMYFUNCTION("IFERROR(HLOOKUP($A108,IMPORTRANGE(""https://docs.google.com/spreadsheets/d/1MNwUNMjcwK6bEgCXwB73jpbK5gJAXS8ZMpbEMLJEP3E/edit#gid=0"",""'Game 9'!$B$2:$Q$34""),33,False),1)"),4.0)</f>
        <v>4</v>
      </c>
      <c r="O108" s="5">
        <f>IFERROR(__xludf.DUMMYFUNCTION("IFERROR(HLOOKUP($A108,IMPORTRANGE(""https://docs.google.com/spreadsheets/d/1UrzyxmT40kDZwVrLMf1yyXfP-pyczRAw9Y8Rw-uXG3c/edit#gid=0"",""'Game 12'!$B$2:$Q$34""),33,False),1)"),0.0)</f>
        <v>0</v>
      </c>
      <c r="P108" s="5">
        <f>IFERROR(__xludf.DUMMYFUNCTION("IFERROR(HLOOKUP($A108,IMPORTRANGE(""https://docs.google.com/spreadsheets/d/1iyMhSYWifw-KGFtyeBpNxVZr4BhcV9hVZuShgJ9Ia0E/edit#gid=0"",""'Game 11'!$B$2:$Q$34""),33,False),1)"),4.0)</f>
        <v>4</v>
      </c>
      <c r="Q108" s="5">
        <f>IFERROR(__xludf.DUMMYFUNCTION("IFERROR(HLOOKUP($A108,IMPORTRANGE(""https://docs.google.com/spreadsheets/d/1sSbIK-vvHsSY0LghLJ9gcnW8Hec_ITI2tFmpeqI999A/edit#gid=0"",""'Game 11'!$B$2:$Q$34""),33,False),1)"),4.0)</f>
        <v>4</v>
      </c>
      <c r="R108" s="6">
        <f>TUHStand!R108</f>
        <v>322</v>
      </c>
      <c r="S108" s="6">
        <f t="shared" si="4"/>
        <v>40</v>
      </c>
      <c r="T108" s="6">
        <f t="shared" si="5"/>
        <v>2.857142857</v>
      </c>
      <c r="U108" s="6">
        <f t="shared" si="3"/>
        <v>84</v>
      </c>
    </row>
    <row r="109">
      <c r="A109" s="20" t="s">
        <v>262</v>
      </c>
      <c r="B109" s="13" t="s">
        <v>263</v>
      </c>
      <c r="C109" s="20">
        <v>0.0</v>
      </c>
      <c r="D109" s="20">
        <v>8.0</v>
      </c>
      <c r="E109" s="20">
        <v>0.0</v>
      </c>
      <c r="F109" s="20">
        <v>8.0</v>
      </c>
      <c r="G109" s="2">
        <v>0.0</v>
      </c>
      <c r="H109" s="12">
        <f>IFERROR(__xludf.DUMMYFUNCTION("HLOOKUP($A109,IMPORTRANGE(""https://docs.google.com/spreadsheets/d/16J5ie7OD1E99qGO9lMDm8w5Yls-v190B7DTolJ5TmFc/edit#gid=0"",""'Game 1'!$B$2:$Q$34""),33,False)"),4.0)</f>
        <v>4</v>
      </c>
      <c r="I109" s="2">
        <v>4.0</v>
      </c>
      <c r="J109" s="12">
        <f>IFERROR(__xludf.DUMMYFUNCTION("IFERROR(HLOOKUP($A109,IMPORTRANGE(""https://docs.google.com/spreadsheets/d/1CTYfdyRk_RFGM3I2iN9bKeD9zUPzEm1ajzml6VgwfIU/edit#gid=0"",""'Game 5'!$B$2:$Q$34""),33,False),1)"),12.0)</f>
        <v>12</v>
      </c>
      <c r="K109" s="12">
        <f>IFERROR(__xludf.DUMMYFUNCTION("IFERROR(HLOOKUP($A109,IMPORTRANGE(""https://docs.google.com/spreadsheets/d/11NFkzOdQyW-OtxSDuGslNCgNjx7HUb2FU7KnlNnPMgY/edit#gid=0"",""'Game 5'!$B$2:$Q$34""),33,False),1)"),4.0)</f>
        <v>4</v>
      </c>
      <c r="L109" s="12">
        <f>IFERROR(__xludf.DUMMYFUNCTION("IFERROR(HLOOKUP($A109,IMPORTRANGE(""https://docs.google.com/spreadsheets/d/1CLg5-jaE4ta0-u4oE1qbBplQ5Mf3Oj9ONFgL0zJ7Ol4/edit#gid=0"",""'Game 5'!$B$2:$Q$34""),33,False),1)"),12.0)</f>
        <v>12</v>
      </c>
      <c r="M109" s="12">
        <f>IFERROR(__xludf.DUMMYFUNCTION("IFERROR(HLOOKUP($A109,IMPORTRANGE(""https://docs.google.com/spreadsheets/d/1CeexgK4KxWj3k_7nql_k8-RPxXMwTJyB4Q3vAASeDlA/edit#gid=0"",""'Game 5'!$B$2:$Q$34""),33,False),1)"),8.0)</f>
        <v>8</v>
      </c>
      <c r="N109" s="12">
        <f>IFERROR(__xludf.DUMMYFUNCTION("IFERROR(HLOOKUP($A109,IMPORTRANGE(""https://docs.google.com/spreadsheets/d/1MNwUNMjcwK6bEgCXwB73jpbK5gJAXS8ZMpbEMLJEP3E/edit#gid=0"",""'Game 5'!$B$2:$Q$34""),33,False),1)"),0.0)</f>
        <v>0</v>
      </c>
      <c r="O109" s="12">
        <f>IFERROR(__xludf.DUMMYFUNCTION("IFERROR(HLOOKUP($A109,IMPORTRANGE(""https://docs.google.com/spreadsheets/d/1UrzyxmT40kDZwVrLMf1yyXfP-pyczRAw9Y8Rw-uXG3c/edit#gid=0"",""'Game 5'!$B$2:$Q$34""),33,False),1)"),12.0)</f>
        <v>12</v>
      </c>
      <c r="P109" s="12">
        <f>IFERROR(__xludf.DUMMYFUNCTION("IFERROR(HLOOKUP($A109,IMPORTRANGE(""https://docs.google.com/spreadsheets/d/1iyMhSYWifw-KGFtyeBpNxVZr4BhcV9hVZuShgJ9Ia0E/edit#gid=0"",""'Game 5'!$B$2:$Q$34""),33,False),1)"),0.0)</f>
        <v>0</v>
      </c>
      <c r="Q109" s="12">
        <f>IFERROR(__xludf.DUMMYFUNCTION("IFERROR(HLOOKUP($A109,IMPORTRANGE(""https://docs.google.com/spreadsheets/d/1sSbIK-vvHsSY0LghLJ9gcnW8Hec_ITI2tFmpeqI999A/edit#gid=0"",""'Game 4'!$B$2:$Q$34""),33,False),1)"),4.0)</f>
        <v>4</v>
      </c>
      <c r="R109" s="13">
        <f>TUHStand!R109</f>
        <v>334</v>
      </c>
      <c r="S109" s="13">
        <f t="shared" si="4"/>
        <v>76</v>
      </c>
      <c r="T109" s="13">
        <f t="shared" si="5"/>
        <v>5.233532934</v>
      </c>
      <c r="U109" s="13">
        <f t="shared" si="3"/>
        <v>61</v>
      </c>
    </row>
    <row r="110">
      <c r="A110" s="18" t="s">
        <v>265</v>
      </c>
      <c r="B110" s="6" t="s">
        <v>263</v>
      </c>
      <c r="C110" s="18">
        <v>0.0</v>
      </c>
      <c r="D110" s="18">
        <v>0.0</v>
      </c>
      <c r="E110" s="18">
        <v>0.0</v>
      </c>
      <c r="F110" s="18">
        <v>0.0</v>
      </c>
      <c r="G110" s="3">
        <v>0.0</v>
      </c>
      <c r="H110" s="5">
        <f>IFERROR(__xludf.DUMMYFUNCTION("HLOOKUP($A110,IMPORTRANGE(""https://docs.google.com/spreadsheets/d/16J5ie7OD1E99qGO9lMDm8w5Yls-v190B7DTolJ5TmFc/edit#gid=0"",""'Game 1'!$B$2:$Q$34""),33,False)"),0.0)</f>
        <v>0</v>
      </c>
      <c r="I110" s="3">
        <v>0.0</v>
      </c>
      <c r="J110" s="5">
        <f>IFERROR(__xludf.DUMMYFUNCTION("IFERROR(HLOOKUP($A110,IMPORTRANGE(""https://docs.google.com/spreadsheets/d/1CTYfdyRk_RFGM3I2iN9bKeD9zUPzEm1ajzml6VgwfIU/edit#gid=0"",""'Game 5'!$B$2:$Q$34""),33,False),1)"),0.0)</f>
        <v>0</v>
      </c>
      <c r="K110" s="5">
        <f>IFERROR(__xludf.DUMMYFUNCTION("IFERROR(HLOOKUP($A110,IMPORTRANGE(""https://docs.google.com/spreadsheets/d/11NFkzOdQyW-OtxSDuGslNCgNjx7HUb2FU7KnlNnPMgY/edit#gid=0"",""'Game 5'!$B$2:$Q$34""),33,False),1)"),0.0)</f>
        <v>0</v>
      </c>
      <c r="L110" s="5">
        <f>IFERROR(__xludf.DUMMYFUNCTION("IFERROR(HLOOKUP($A110,IMPORTRANGE(""https://docs.google.com/spreadsheets/d/1CLg5-jaE4ta0-u4oE1qbBplQ5Mf3Oj9ONFgL0zJ7Ol4/edit#gid=0"",""'Game 5'!$B$2:$Q$34""),33,False),1)"),0.0)</f>
        <v>0</v>
      </c>
      <c r="M110" s="5">
        <f>IFERROR(__xludf.DUMMYFUNCTION("IFERROR(HLOOKUP($A110,IMPORTRANGE(""https://docs.google.com/spreadsheets/d/1CeexgK4KxWj3k_7nql_k8-RPxXMwTJyB4Q3vAASeDlA/edit#gid=0"",""'Game 5'!$B$2:$Q$34""),33,False),1)"),0.0)</f>
        <v>0</v>
      </c>
      <c r="N110" s="5">
        <f>IFERROR(__xludf.DUMMYFUNCTION("IFERROR(HLOOKUP($A110,IMPORTRANGE(""https://docs.google.com/spreadsheets/d/1MNwUNMjcwK6bEgCXwB73jpbK5gJAXS8ZMpbEMLJEP3E/edit#gid=0"",""'Game 5'!$B$2:$Q$34""),33,False),1)"),0.0)</f>
        <v>0</v>
      </c>
      <c r="O110" s="5">
        <f>IFERROR(__xludf.DUMMYFUNCTION("IFERROR(HLOOKUP($A110,IMPORTRANGE(""https://docs.google.com/spreadsheets/d/1UrzyxmT40kDZwVrLMf1yyXfP-pyczRAw9Y8Rw-uXG3c/edit#gid=0"",""'Game 5'!$B$2:$Q$34""),33,False),1)"),0.0)</f>
        <v>0</v>
      </c>
      <c r="P110" s="5">
        <f>IFERROR(__xludf.DUMMYFUNCTION("IFERROR(HLOOKUP($A110,IMPORTRANGE(""https://docs.google.com/spreadsheets/d/1iyMhSYWifw-KGFtyeBpNxVZr4BhcV9hVZuShgJ9Ia0E/edit#gid=0"",""'Game 5'!$B$2:$Q$34""),33,False),1)"),0.0)</f>
        <v>0</v>
      </c>
      <c r="Q110" s="5">
        <f>IFERROR(__xludf.DUMMYFUNCTION("IFERROR(HLOOKUP($A110,IMPORTRANGE(""https://docs.google.com/spreadsheets/d/1sSbIK-vvHsSY0LghLJ9gcnW8Hec_ITI2tFmpeqI999A/edit#gid=0"",""'Game 4'!$B$2:$Q$34""),33,False),1)"),0.0)</f>
        <v>0</v>
      </c>
      <c r="R110" s="6">
        <f>TUHStand!R110</f>
        <v>149</v>
      </c>
      <c r="S110" s="6">
        <f t="shared" si="4"/>
        <v>0</v>
      </c>
      <c r="T110" s="6">
        <f t="shared" si="5"/>
        <v>0</v>
      </c>
      <c r="U110" s="6">
        <f t="shared" si="3"/>
        <v>127</v>
      </c>
    </row>
    <row r="111">
      <c r="A111" s="20" t="s">
        <v>266</v>
      </c>
      <c r="B111" s="13" t="s">
        <v>263</v>
      </c>
      <c r="C111" s="20">
        <v>20.0</v>
      </c>
      <c r="D111" s="20">
        <v>16.0</v>
      </c>
      <c r="E111" s="20">
        <v>16.0</v>
      </c>
      <c r="F111" s="20">
        <v>24.0</v>
      </c>
      <c r="G111" s="2">
        <v>24.0</v>
      </c>
      <c r="H111" s="12">
        <f>IFERROR(__xludf.DUMMYFUNCTION("HLOOKUP($A111,IMPORTRANGE(""https://docs.google.com/spreadsheets/d/16J5ie7OD1E99qGO9lMDm8w5Yls-v190B7DTolJ5TmFc/edit#gid=0"",""'Game 1'!$B$2:$Q$34""),33,False)"),36.0)</f>
        <v>36</v>
      </c>
      <c r="I111" s="2">
        <v>12.0</v>
      </c>
      <c r="J111" s="12">
        <f>IFERROR(__xludf.DUMMYFUNCTION("IFERROR(HLOOKUP($A111,IMPORTRANGE(""https://docs.google.com/spreadsheets/d/1CTYfdyRk_RFGM3I2iN9bKeD9zUPzEm1ajzml6VgwfIU/edit#gid=0"",""'Game 5'!$B$2:$Q$34""),33,False),1)"),16.0)</f>
        <v>16</v>
      </c>
      <c r="K111" s="12">
        <f>IFERROR(__xludf.DUMMYFUNCTION("IFERROR(HLOOKUP($A111,IMPORTRANGE(""https://docs.google.com/spreadsheets/d/11NFkzOdQyW-OtxSDuGslNCgNjx7HUb2FU7KnlNnPMgY/edit#gid=0"",""'Game 5'!$B$2:$Q$34""),33,False),1)"),20.0)</f>
        <v>20</v>
      </c>
      <c r="L111" s="12">
        <f>IFERROR(__xludf.DUMMYFUNCTION("IFERROR(HLOOKUP($A111,IMPORTRANGE(""https://docs.google.com/spreadsheets/d/1CLg5-jaE4ta0-u4oE1qbBplQ5Mf3Oj9ONFgL0zJ7Ol4/edit#gid=0"",""'Game 5'!$B$2:$Q$34""),33,False),1)"),16.0)</f>
        <v>16</v>
      </c>
      <c r="M111" s="12">
        <f>IFERROR(__xludf.DUMMYFUNCTION("IFERROR(HLOOKUP($A111,IMPORTRANGE(""https://docs.google.com/spreadsheets/d/1CeexgK4KxWj3k_7nql_k8-RPxXMwTJyB4Q3vAASeDlA/edit#gid=0"",""'Game 5'!$B$2:$Q$34""),33,False),1)"),16.0)</f>
        <v>16</v>
      </c>
      <c r="N111" s="12">
        <f>IFERROR(__xludf.DUMMYFUNCTION("IFERROR(HLOOKUP($A111,IMPORTRANGE(""https://docs.google.com/spreadsheets/d/1MNwUNMjcwK6bEgCXwB73jpbK5gJAXS8ZMpbEMLJEP3E/edit#gid=0"",""'Game 5'!$B$2:$Q$34""),33,False),1)"),28.0)</f>
        <v>28</v>
      </c>
      <c r="O111" s="12">
        <f>IFERROR(__xludf.DUMMYFUNCTION("IFERROR(HLOOKUP($A111,IMPORTRANGE(""https://docs.google.com/spreadsheets/d/1UrzyxmT40kDZwVrLMf1yyXfP-pyczRAw9Y8Rw-uXG3c/edit#gid=0"",""'Game 5'!$B$2:$Q$34""),33,False),1)"),12.0)</f>
        <v>12</v>
      </c>
      <c r="P111" s="12">
        <f>IFERROR(__xludf.DUMMYFUNCTION("IFERROR(HLOOKUP($A111,IMPORTRANGE(""https://docs.google.com/spreadsheets/d/1iyMhSYWifw-KGFtyeBpNxVZr4BhcV9hVZuShgJ9Ia0E/edit#gid=0"",""'Game 5'!$B$2:$Q$34""),33,False),1)"),4.0)</f>
        <v>4</v>
      </c>
      <c r="Q111" s="12">
        <f>IFERROR(__xludf.DUMMYFUNCTION("IFERROR(HLOOKUP($A111,IMPORTRANGE(""https://docs.google.com/spreadsheets/d/1sSbIK-vvHsSY0LghLJ9gcnW8Hec_ITI2tFmpeqI999A/edit#gid=0"",""'Game 4'!$B$2:$Q$34""),33,False),1)"),-4.0)</f>
        <v>-4</v>
      </c>
      <c r="R111" s="13">
        <f>TUHStand!R111</f>
        <v>345</v>
      </c>
      <c r="S111" s="13">
        <f t="shared" si="4"/>
        <v>256</v>
      </c>
      <c r="T111" s="13">
        <f t="shared" si="5"/>
        <v>17.06666667</v>
      </c>
      <c r="U111" s="13">
        <f t="shared" si="3"/>
        <v>5</v>
      </c>
    </row>
    <row r="112">
      <c r="A112" s="18" t="s">
        <v>268</v>
      </c>
      <c r="B112" s="6" t="s">
        <v>263</v>
      </c>
      <c r="C112" s="18">
        <v>0.0</v>
      </c>
      <c r="D112" s="18">
        <v>0.0</v>
      </c>
      <c r="E112" s="18">
        <v>0.0</v>
      </c>
      <c r="F112" s="18">
        <v>0.0</v>
      </c>
      <c r="G112" s="3">
        <v>0.0</v>
      </c>
      <c r="H112" s="5">
        <f>IFERROR(__xludf.DUMMYFUNCTION("HLOOKUP($A112,IMPORTRANGE(""https://docs.google.com/spreadsheets/d/16J5ie7OD1E99qGO9lMDm8w5Yls-v190B7DTolJ5TmFc/edit#gid=0"",""'Game 1'!$B$2:$Q$34""),33,False)"),0.0)</f>
        <v>0</v>
      </c>
      <c r="I112" s="3">
        <v>0.0</v>
      </c>
      <c r="J112" s="5">
        <f>IFERROR(__xludf.DUMMYFUNCTION("IFERROR(HLOOKUP($A112,IMPORTRANGE(""https://docs.google.com/spreadsheets/d/1CTYfdyRk_RFGM3I2iN9bKeD9zUPzEm1ajzml6VgwfIU/edit#gid=0"",""'Game 5'!$B$2:$Q$34""),33,False),1)"),0.0)</f>
        <v>0</v>
      </c>
      <c r="K112" s="5">
        <f>IFERROR(__xludf.DUMMYFUNCTION("IFERROR(HLOOKUP($A112,IMPORTRANGE(""https://docs.google.com/spreadsheets/d/11NFkzOdQyW-OtxSDuGslNCgNjx7HUb2FU7KnlNnPMgY/edit#gid=0"",""'Game 5'!$B$2:$Q$34""),33,False),1)"),0.0)</f>
        <v>0</v>
      </c>
      <c r="L112" s="5">
        <f>IFERROR(__xludf.DUMMYFUNCTION("IFERROR(HLOOKUP($A112,IMPORTRANGE(""https://docs.google.com/spreadsheets/d/1CLg5-jaE4ta0-u4oE1qbBplQ5Mf3Oj9ONFgL0zJ7Ol4/edit#gid=0"",""'Game 5'!$B$2:$Q$34""),33,False),1)"),0.0)</f>
        <v>0</v>
      </c>
      <c r="M112" s="5">
        <f>IFERROR(__xludf.DUMMYFUNCTION("IFERROR(HLOOKUP($A112,IMPORTRANGE(""https://docs.google.com/spreadsheets/d/1CeexgK4KxWj3k_7nql_k8-RPxXMwTJyB4Q3vAASeDlA/edit#gid=0"",""'Game 5'!$B$2:$Q$34""),33,False),1)"),0.0)</f>
        <v>0</v>
      </c>
      <c r="N112" s="5">
        <f>IFERROR(__xludf.DUMMYFUNCTION("IFERROR(HLOOKUP($A112,IMPORTRANGE(""https://docs.google.com/spreadsheets/d/1MNwUNMjcwK6bEgCXwB73jpbK5gJAXS8ZMpbEMLJEP3E/edit#gid=0"",""'Game 5'!$B$2:$Q$34""),33,False),1)"),0.0)</f>
        <v>0</v>
      </c>
      <c r="O112" s="5">
        <f>IFERROR(__xludf.DUMMYFUNCTION("IFERROR(HLOOKUP($A112,IMPORTRANGE(""https://docs.google.com/spreadsheets/d/1UrzyxmT40kDZwVrLMf1yyXfP-pyczRAw9Y8Rw-uXG3c/edit#gid=0"",""'Game 5'!$B$2:$Q$34""),33,False),1)"),0.0)</f>
        <v>0</v>
      </c>
      <c r="P112" s="5">
        <f>IFERROR(__xludf.DUMMYFUNCTION("IFERROR(HLOOKUP($A112,IMPORTRANGE(""https://docs.google.com/spreadsheets/d/1iyMhSYWifw-KGFtyeBpNxVZr4BhcV9hVZuShgJ9Ia0E/edit#gid=0"",""'Game 5'!$B$2:$Q$34""),33,False),1)"),0.0)</f>
        <v>0</v>
      </c>
      <c r="Q112" s="5">
        <f>IFERROR(__xludf.DUMMYFUNCTION("IFERROR(HLOOKUP($A112,IMPORTRANGE(""https://docs.google.com/spreadsheets/d/1sSbIK-vvHsSY0LghLJ9gcnW8Hec_ITI2tFmpeqI999A/edit#gid=0"",""'Game 4'!$B$2:$Q$34""),33,False),1)"),0.0)</f>
        <v>0</v>
      </c>
      <c r="R112" s="6">
        <f>TUHStand!R112</f>
        <v>148</v>
      </c>
      <c r="S112" s="6">
        <f t="shared" si="4"/>
        <v>0</v>
      </c>
      <c r="T112" s="6">
        <f t="shared" si="5"/>
        <v>0</v>
      </c>
      <c r="U112" s="6">
        <f t="shared" si="3"/>
        <v>127</v>
      </c>
    </row>
    <row r="113">
      <c r="A113" s="20" t="s">
        <v>270</v>
      </c>
      <c r="B113" s="13" t="s">
        <v>263</v>
      </c>
      <c r="C113" s="20">
        <v>0.0</v>
      </c>
      <c r="D113" s="20">
        <v>0.0</v>
      </c>
      <c r="E113" s="20">
        <v>4.0</v>
      </c>
      <c r="F113" s="20">
        <v>0.0</v>
      </c>
      <c r="G113" s="2">
        <v>0.0</v>
      </c>
      <c r="H113" s="12">
        <f>IFERROR(__xludf.DUMMYFUNCTION("HLOOKUP($A113,IMPORTRANGE(""https://docs.google.com/spreadsheets/d/16J5ie7OD1E99qGO9lMDm8w5Yls-v190B7DTolJ5TmFc/edit#gid=0"",""'Game 1'!$B$2:$Q$34""),33,False)"),0.0)</f>
        <v>0</v>
      </c>
      <c r="I113" s="2">
        <v>0.0</v>
      </c>
      <c r="J113" s="12">
        <f>IFERROR(__xludf.DUMMYFUNCTION("IFERROR(HLOOKUP($A113,IMPORTRANGE(""https://docs.google.com/spreadsheets/d/1CTYfdyRk_RFGM3I2iN9bKeD9zUPzEm1ajzml6VgwfIU/edit#gid=0"",""'Game 5'!$B$2:$Q$34""),33,False),1)"),0.0)</f>
        <v>0</v>
      </c>
      <c r="K113" s="12">
        <f>IFERROR(__xludf.DUMMYFUNCTION("IFERROR(HLOOKUP($A113,IMPORTRANGE(""https://docs.google.com/spreadsheets/d/11NFkzOdQyW-OtxSDuGslNCgNjx7HUb2FU7KnlNnPMgY/edit#gid=0"",""'Game 5'!$B$2:$Q$34""),33,False),1)"),0.0)</f>
        <v>0</v>
      </c>
      <c r="L113" s="12">
        <f>IFERROR(__xludf.DUMMYFUNCTION("IFERROR(HLOOKUP($A113,IMPORTRANGE(""https://docs.google.com/spreadsheets/d/1CLg5-jaE4ta0-u4oE1qbBplQ5Mf3Oj9ONFgL0zJ7Ol4/edit#gid=0"",""'Game 5'!$B$2:$Q$34""),33,False),1)"),0.0)</f>
        <v>0</v>
      </c>
      <c r="M113" s="12">
        <f>IFERROR(__xludf.DUMMYFUNCTION("IFERROR(HLOOKUP($A113,IMPORTRANGE(""https://docs.google.com/spreadsheets/d/1CeexgK4KxWj3k_7nql_k8-RPxXMwTJyB4Q3vAASeDlA/edit#gid=0"",""'Game 5'!$B$2:$Q$34""),33,False),1)"),0.0)</f>
        <v>0</v>
      </c>
      <c r="N113" s="12">
        <f>IFERROR(__xludf.DUMMYFUNCTION("IFERROR(HLOOKUP($A113,IMPORTRANGE(""https://docs.google.com/spreadsheets/d/1MNwUNMjcwK6bEgCXwB73jpbK5gJAXS8ZMpbEMLJEP3E/edit#gid=0"",""'Game 5'!$B$2:$Q$34""),33,False),1)"),0.0)</f>
        <v>0</v>
      </c>
      <c r="O113" s="12">
        <f>IFERROR(__xludf.DUMMYFUNCTION("IFERROR(HLOOKUP($A113,IMPORTRANGE(""https://docs.google.com/spreadsheets/d/1UrzyxmT40kDZwVrLMf1yyXfP-pyczRAw9Y8Rw-uXG3c/edit#gid=0"",""'Game 5'!$B$2:$Q$34""),33,False),1)"),0.0)</f>
        <v>0</v>
      </c>
      <c r="P113" s="12">
        <f>IFERROR(__xludf.DUMMYFUNCTION("IFERROR(HLOOKUP($A113,IMPORTRANGE(""https://docs.google.com/spreadsheets/d/1iyMhSYWifw-KGFtyeBpNxVZr4BhcV9hVZuShgJ9Ia0E/edit#gid=0"",""'Game 5'!$B$2:$Q$34""),33,False),1)"),0.0)</f>
        <v>0</v>
      </c>
      <c r="Q113" s="12">
        <f>IFERROR(__xludf.DUMMYFUNCTION("IFERROR(HLOOKUP($A113,IMPORTRANGE(""https://docs.google.com/spreadsheets/d/1sSbIK-vvHsSY0LghLJ9gcnW8Hec_ITI2tFmpeqI999A/edit#gid=0"",""'Game 4'!$B$2:$Q$34""),33,False),1)"),0.0)</f>
        <v>0</v>
      </c>
      <c r="R113" s="13">
        <f>TUHStand!R113</f>
        <v>175</v>
      </c>
      <c r="S113" s="13">
        <f t="shared" si="4"/>
        <v>4</v>
      </c>
      <c r="T113" s="13">
        <f t="shared" si="5"/>
        <v>0.5257142857</v>
      </c>
      <c r="U113" s="13">
        <f t="shared" si="3"/>
        <v>122</v>
      </c>
    </row>
    <row r="114">
      <c r="A114" s="18" t="s">
        <v>273</v>
      </c>
      <c r="B114" s="6" t="s">
        <v>263</v>
      </c>
      <c r="C114" s="18">
        <v>0.0</v>
      </c>
      <c r="D114" s="18">
        <v>0.0</v>
      </c>
      <c r="E114" s="18">
        <v>0.0</v>
      </c>
      <c r="F114" s="18">
        <v>4.0</v>
      </c>
      <c r="G114" s="3">
        <v>0.0</v>
      </c>
      <c r="H114" s="5">
        <f>IFERROR(__xludf.DUMMYFUNCTION("HLOOKUP($A114,IMPORTRANGE(""https://docs.google.com/spreadsheets/d/16J5ie7OD1E99qGO9lMDm8w5Yls-v190B7DTolJ5TmFc/edit#gid=0"",""'Game 1'!$B$2:$Q$34""),33,False)"),0.0)</f>
        <v>0</v>
      </c>
      <c r="I114" s="3">
        <v>0.0</v>
      </c>
      <c r="J114" s="5">
        <f>IFERROR(__xludf.DUMMYFUNCTION("IFERROR(HLOOKUP($A114,IMPORTRANGE(""https://docs.google.com/spreadsheets/d/1CTYfdyRk_RFGM3I2iN9bKeD9zUPzEm1ajzml6VgwfIU/edit#gid=0"",""'Game 5'!$B$2:$Q$34""),33,False),1)"),0.0)</f>
        <v>0</v>
      </c>
      <c r="K114" s="5">
        <f>IFERROR(__xludf.DUMMYFUNCTION("IFERROR(HLOOKUP($A114,IMPORTRANGE(""https://docs.google.com/spreadsheets/d/11NFkzOdQyW-OtxSDuGslNCgNjx7HUb2FU7KnlNnPMgY/edit#gid=0"",""'Game 5'!$B$2:$Q$34""),33,False),1)"),0.0)</f>
        <v>0</v>
      </c>
      <c r="L114" s="5">
        <f>IFERROR(__xludf.DUMMYFUNCTION("IFERROR(HLOOKUP($A114,IMPORTRANGE(""https://docs.google.com/spreadsheets/d/1CLg5-jaE4ta0-u4oE1qbBplQ5Mf3Oj9ONFgL0zJ7Ol4/edit#gid=0"",""'Game 5'!$B$2:$Q$34""),33,False),1)"),0.0)</f>
        <v>0</v>
      </c>
      <c r="M114" s="5">
        <f>IFERROR(__xludf.DUMMYFUNCTION("IFERROR(HLOOKUP($A114,IMPORTRANGE(""https://docs.google.com/spreadsheets/d/1CeexgK4KxWj3k_7nql_k8-RPxXMwTJyB4Q3vAASeDlA/edit#gid=0"",""'Game 5'!$B$2:$Q$34""),33,False),1)"),0.0)</f>
        <v>0</v>
      </c>
      <c r="N114" s="5">
        <f>IFERROR(__xludf.DUMMYFUNCTION("IFERROR(HLOOKUP($A114,IMPORTRANGE(""https://docs.google.com/spreadsheets/d/1MNwUNMjcwK6bEgCXwB73jpbK5gJAXS8ZMpbEMLJEP3E/edit#gid=0"",""'Game 5'!$B$2:$Q$34""),33,False),1)"),0.0)</f>
        <v>0</v>
      </c>
      <c r="O114" s="5">
        <f>IFERROR(__xludf.DUMMYFUNCTION("IFERROR(HLOOKUP($A114,IMPORTRANGE(""https://docs.google.com/spreadsheets/d/1UrzyxmT40kDZwVrLMf1yyXfP-pyczRAw9Y8Rw-uXG3c/edit#gid=0"",""'Game 5'!$B$2:$Q$34""),33,False),1)"),0.0)</f>
        <v>0</v>
      </c>
      <c r="P114" s="5">
        <f>IFERROR(__xludf.DUMMYFUNCTION("IFERROR(HLOOKUP($A114,IMPORTRANGE(""https://docs.google.com/spreadsheets/d/1iyMhSYWifw-KGFtyeBpNxVZr4BhcV9hVZuShgJ9Ia0E/edit#gid=0"",""'Game 5'!$B$2:$Q$34""),33,False),1)"),0.0)</f>
        <v>0</v>
      </c>
      <c r="Q114" s="5">
        <f>IFERROR(__xludf.DUMMYFUNCTION("IFERROR(HLOOKUP($A114,IMPORTRANGE(""https://docs.google.com/spreadsheets/d/1sSbIK-vvHsSY0LghLJ9gcnW8Hec_ITI2tFmpeqI999A/edit#gid=0"",""'Game 4'!$B$2:$Q$34""),33,False),1)"),0.0)</f>
        <v>0</v>
      </c>
      <c r="R114" s="6">
        <f>TUHStand!R114</f>
        <v>80</v>
      </c>
      <c r="S114" s="6">
        <f t="shared" si="4"/>
        <v>4</v>
      </c>
      <c r="T114" s="6">
        <f t="shared" si="5"/>
        <v>1.15</v>
      </c>
      <c r="U114" s="6">
        <f t="shared" si="3"/>
        <v>110</v>
      </c>
    </row>
    <row r="115">
      <c r="A115" s="20" t="s">
        <v>274</v>
      </c>
      <c r="B115" s="20" t="s">
        <v>263</v>
      </c>
      <c r="C115" s="20">
        <v>0.0</v>
      </c>
      <c r="D115" s="20">
        <v>0.0</v>
      </c>
      <c r="E115" s="20">
        <v>4.0</v>
      </c>
      <c r="F115" s="20">
        <v>0.0</v>
      </c>
      <c r="G115" s="2">
        <v>0.0</v>
      </c>
      <c r="H115" s="12">
        <f>IFERROR(__xludf.DUMMYFUNCTION("HLOOKUP($A115,IMPORTRANGE(""https://docs.google.com/spreadsheets/d/16J5ie7OD1E99qGO9lMDm8w5Yls-v190B7DTolJ5TmFc/edit#gid=0"",""'Game 1'!$B$2:$Q$34""),33,False)"),0.0)</f>
        <v>0</v>
      </c>
      <c r="I115" s="2">
        <v>0.0</v>
      </c>
      <c r="J115" s="12">
        <f>IFERROR(__xludf.DUMMYFUNCTION("IFERROR(HLOOKUP($A115,IMPORTRANGE(""https://docs.google.com/spreadsheets/d/1CTYfdyRk_RFGM3I2iN9bKeD9zUPzEm1ajzml6VgwfIU/edit#gid=0"",""'Game 5'!$B$2:$Q$34""),33,False),1)"),0.0)</f>
        <v>0</v>
      </c>
      <c r="K115" s="12">
        <f>IFERROR(__xludf.DUMMYFUNCTION("IFERROR(HLOOKUP($A115,IMPORTRANGE(""https://docs.google.com/spreadsheets/d/11NFkzOdQyW-OtxSDuGslNCgNjx7HUb2FU7KnlNnPMgY/edit#gid=0"",""'Game 5'!$B$2:$Q$34""),33,False),1)"),16.0)</f>
        <v>16</v>
      </c>
      <c r="L115" s="12">
        <f>IFERROR(__xludf.DUMMYFUNCTION("IFERROR(HLOOKUP($A115,IMPORTRANGE(""https://docs.google.com/spreadsheets/d/1CLg5-jaE4ta0-u4oE1qbBplQ5Mf3Oj9ONFgL0zJ7Ol4/edit#gid=0"",""'Game 5'!$B$2:$Q$34""),33,False),1)"),0.0)</f>
        <v>0</v>
      </c>
      <c r="M115" s="12">
        <f>IFERROR(__xludf.DUMMYFUNCTION("IFERROR(HLOOKUP($A115,IMPORTRANGE(""https://docs.google.com/spreadsheets/d/1CeexgK4KxWj3k_7nql_k8-RPxXMwTJyB4Q3vAASeDlA/edit#gid=0"",""'Game 5'!$B$2:$Q$34""),33,False),1)"),4.0)</f>
        <v>4</v>
      </c>
      <c r="N115" s="12">
        <f>IFERROR(__xludf.DUMMYFUNCTION("IFERROR(HLOOKUP($A115,IMPORTRANGE(""https://docs.google.com/spreadsheets/d/1MNwUNMjcwK6bEgCXwB73jpbK5gJAXS8ZMpbEMLJEP3E/edit#gid=0"",""'Game 5'!$B$2:$Q$34""),33,False),1)"),0.0)</f>
        <v>0</v>
      </c>
      <c r="O115" s="12">
        <f>IFERROR(__xludf.DUMMYFUNCTION("IFERROR(HLOOKUP($A115,IMPORTRANGE(""https://docs.google.com/spreadsheets/d/1UrzyxmT40kDZwVrLMf1yyXfP-pyczRAw9Y8Rw-uXG3c/edit#gid=0"",""'Game 5'!$B$2:$Q$34""),33,False),1)"),0.0)</f>
        <v>0</v>
      </c>
      <c r="P115" s="12">
        <f>IFERROR(__xludf.DUMMYFUNCTION("IFERROR(HLOOKUP($A115,IMPORTRANGE(""https://docs.google.com/spreadsheets/d/1iyMhSYWifw-KGFtyeBpNxVZr4BhcV9hVZuShgJ9Ia0E/edit#gid=0"",""'Game 5'!$B$2:$Q$34""),33,False),1)"),8.0)</f>
        <v>8</v>
      </c>
      <c r="Q115" s="12">
        <f>IFERROR(__xludf.DUMMYFUNCTION("IFERROR(HLOOKUP($A115,IMPORTRANGE(""https://docs.google.com/spreadsheets/d/1sSbIK-vvHsSY0LghLJ9gcnW8Hec_ITI2tFmpeqI999A/edit#gid=0"",""'Game 4'!$B$2:$Q$34""),33,False),1)"),0.0)</f>
        <v>0</v>
      </c>
      <c r="R115" s="13">
        <f>TUHStand!R115</f>
        <v>149</v>
      </c>
      <c r="S115" s="13">
        <f t="shared" si="4"/>
        <v>32</v>
      </c>
      <c r="T115" s="13">
        <f t="shared" si="5"/>
        <v>4.939597315</v>
      </c>
      <c r="U115" s="13">
        <f t="shared" si="3"/>
        <v>66</v>
      </c>
    </row>
    <row r="116">
      <c r="A116" s="18" t="s">
        <v>276</v>
      </c>
      <c r="B116" s="6" t="s">
        <v>277</v>
      </c>
      <c r="C116" s="18">
        <v>0.0</v>
      </c>
      <c r="D116" s="18">
        <v>4.0</v>
      </c>
      <c r="E116" s="18">
        <v>0.0</v>
      </c>
      <c r="F116" s="18">
        <v>0.0</v>
      </c>
      <c r="G116" s="3">
        <v>0.0</v>
      </c>
      <c r="H116" s="5">
        <f>IFERROR(__xludf.DUMMYFUNCTION("HLOOKUP($A116,IMPORTRANGE(""https://docs.google.com/spreadsheets/d/16J5ie7OD1E99qGO9lMDm8w5Yls-v190B7DTolJ5TmFc/edit#gid=0"",""'Game 10'!$B$2:$Q$34""),33,False)"),0.0)</f>
        <v>0</v>
      </c>
      <c r="I116" s="3">
        <v>0.0</v>
      </c>
      <c r="J116" s="5">
        <f>IFERROR(__xludf.DUMMYFUNCTION("IFERROR(HLOOKUP($A116,IMPORTRANGE(""https://docs.google.com/spreadsheets/d/1CTYfdyRk_RFGM3I2iN9bKeD9zUPzEm1ajzml6VgwfIU/edit#gid=0"",""'Game 11'!$B$2:$Q$34""),33,False),1)"),0.0)</f>
        <v>0</v>
      </c>
      <c r="K116" s="5">
        <f>IFERROR(__xludf.DUMMYFUNCTION("IFERROR(HLOOKUP($A116,IMPORTRANGE(""https://docs.google.com/spreadsheets/d/11NFkzOdQyW-OtxSDuGslNCgNjx7HUb2FU7KnlNnPMgY/edit#gid=0"",""'Game 6'!$B$2:$Q$34""),33,False),1)"),16.0)</f>
        <v>16</v>
      </c>
      <c r="L116" s="5">
        <f>IFERROR(__xludf.DUMMYFUNCTION("IFERROR(HLOOKUP($A116,IMPORTRANGE(""https://docs.google.com/spreadsheets/d/1CLg5-jaE4ta0-u4oE1qbBplQ5Mf3Oj9ONFgL0zJ7Ol4/edit#gid=0"",""'Game 2'!$B$2:$Q$34""),33,False),1)"),0.0)</f>
        <v>0</v>
      </c>
      <c r="M116" s="5">
        <f>IFERROR(__xludf.DUMMYFUNCTION("IFERROR(HLOOKUP($A116,IMPORTRANGE(""https://docs.google.com/spreadsheets/d/1CeexgK4KxWj3k_7nql_k8-RPxXMwTJyB4Q3vAASeDlA/edit#gid=0"",""'Game 9'!$B$2:$Q$34""),33,False),1)"),0.0)</f>
        <v>0</v>
      </c>
      <c r="N116" s="5">
        <f>IFERROR(__xludf.DUMMYFUNCTION("IFERROR(HLOOKUP($A116,IMPORTRANGE(""https://docs.google.com/spreadsheets/d/1MNwUNMjcwK6bEgCXwB73jpbK5gJAXS8ZMpbEMLJEP3E/edit#gid=0"",""'Game 11'!$B$2:$Q$34""),33,False),1)"),0.0)</f>
        <v>0</v>
      </c>
      <c r="O116" s="5">
        <f>IFERROR(__xludf.DUMMYFUNCTION("IFERROR(HLOOKUP($A116,IMPORTRANGE(""https://docs.google.com/spreadsheets/d/1UrzyxmT40kDZwVrLMf1yyXfP-pyczRAw9Y8Rw-uXG3c/edit#gid=0"",""'Game 10'!$B$2:$Q$34""),33,False),1)"),0.0)</f>
        <v>0</v>
      </c>
      <c r="P116" s="5">
        <f>IFERROR(__xludf.DUMMYFUNCTION("IFERROR(HLOOKUP($A116,IMPORTRANGE(""https://docs.google.com/spreadsheets/d/1iyMhSYWifw-KGFtyeBpNxVZr4BhcV9hVZuShgJ9Ia0E/edit#gid=0"",""'Game 10'!$B$2:$Q$34""),33,False),1)"),0.0)</f>
        <v>0</v>
      </c>
      <c r="Q116" s="5">
        <f>IFERROR(__xludf.DUMMYFUNCTION("IFERROR(HLOOKUP($A116,IMPORTRANGE(""https://docs.google.com/spreadsheets/d/1sSbIK-vvHsSY0LghLJ9gcnW8Hec_ITI2tFmpeqI999A/edit#gid=0"",""'Game 8'!$B$2:$Q$34""),33,False),1)"),0.0)</f>
        <v>0</v>
      </c>
      <c r="R116" s="6">
        <f>TUHStand!R116</f>
        <v>149</v>
      </c>
      <c r="S116" s="6">
        <f t="shared" si="4"/>
        <v>20</v>
      </c>
      <c r="T116" s="6">
        <f t="shared" si="5"/>
        <v>3.087248322</v>
      </c>
      <c r="U116" s="6">
        <f t="shared" si="3"/>
        <v>80</v>
      </c>
    </row>
    <row r="117">
      <c r="A117" s="20" t="s">
        <v>279</v>
      </c>
      <c r="B117" s="13" t="s">
        <v>277</v>
      </c>
      <c r="C117" s="20">
        <v>0.0</v>
      </c>
      <c r="D117" s="20">
        <v>0.0</v>
      </c>
      <c r="E117" s="20">
        <v>0.0</v>
      </c>
      <c r="F117" s="20">
        <v>0.0</v>
      </c>
      <c r="G117" s="2">
        <v>8.0</v>
      </c>
      <c r="H117" s="12">
        <f>IFERROR(__xludf.DUMMYFUNCTION("HLOOKUP($A117,IMPORTRANGE(""https://docs.google.com/spreadsheets/d/16J5ie7OD1E99qGO9lMDm8w5Yls-v190B7DTolJ5TmFc/edit#gid=0"",""'Game 10'!$B$2:$Q$34""),33,False)"),0.0)</f>
        <v>0</v>
      </c>
      <c r="I117" s="2">
        <v>4.0</v>
      </c>
      <c r="J117" s="12">
        <f>IFERROR(__xludf.DUMMYFUNCTION("IFERROR(HLOOKUP($A117,IMPORTRANGE(""https://docs.google.com/spreadsheets/d/1CTYfdyRk_RFGM3I2iN9bKeD9zUPzEm1ajzml6VgwfIU/edit#gid=0"",""'Game 11'!$B$2:$Q$34""),33,False),1)"),0.0)</f>
        <v>0</v>
      </c>
      <c r="K117" s="12">
        <f>IFERROR(__xludf.DUMMYFUNCTION("IFERROR(HLOOKUP($A117,IMPORTRANGE(""https://docs.google.com/spreadsheets/d/11NFkzOdQyW-OtxSDuGslNCgNjx7HUb2FU7KnlNnPMgY/edit#gid=0"",""'Game 6'!$B$2:$Q$34""),33,False),1)"),0.0)</f>
        <v>0</v>
      </c>
      <c r="L117" s="12">
        <f>IFERROR(__xludf.DUMMYFUNCTION("IFERROR(HLOOKUP($A117,IMPORTRANGE(""https://docs.google.com/spreadsheets/d/1CLg5-jaE4ta0-u4oE1qbBplQ5Mf3Oj9ONFgL0zJ7Ol4/edit#gid=0"",""'Game 2'!$B$2:$Q$34""),33,False),1)"),0.0)</f>
        <v>0</v>
      </c>
      <c r="M117" s="12">
        <f>IFERROR(__xludf.DUMMYFUNCTION("IFERROR(HLOOKUP($A117,IMPORTRANGE(""https://docs.google.com/spreadsheets/d/1CeexgK4KxWj3k_7nql_k8-RPxXMwTJyB4Q3vAASeDlA/edit#gid=0"",""'Game 9'!$B$2:$Q$34""),33,False),1)"),4.0)</f>
        <v>4</v>
      </c>
      <c r="N117" s="12">
        <f>IFERROR(__xludf.DUMMYFUNCTION("IFERROR(HLOOKUP($A117,IMPORTRANGE(""https://docs.google.com/spreadsheets/d/1MNwUNMjcwK6bEgCXwB73jpbK5gJAXS8ZMpbEMLJEP3E/edit#gid=0"",""'Game 11'!$B$2:$Q$34""),33,False),1)"),0.0)</f>
        <v>0</v>
      </c>
      <c r="O117" s="12">
        <f>IFERROR(__xludf.DUMMYFUNCTION("IFERROR(HLOOKUP($A117,IMPORTRANGE(""https://docs.google.com/spreadsheets/d/1UrzyxmT40kDZwVrLMf1yyXfP-pyczRAw9Y8Rw-uXG3c/edit#gid=0"",""'Game 10'!$B$2:$Q$34""),33,False),1)"),0.0)</f>
        <v>0</v>
      </c>
      <c r="P117" s="12">
        <f>IFERROR(__xludf.DUMMYFUNCTION("IFERROR(HLOOKUP($A117,IMPORTRANGE(""https://docs.google.com/spreadsheets/d/1iyMhSYWifw-KGFtyeBpNxVZr4BhcV9hVZuShgJ9Ia0E/edit#gid=0"",""'Game 10'!$B$2:$Q$34""),33,False),1)"),0.0)</f>
        <v>0</v>
      </c>
      <c r="Q117" s="12">
        <f>IFERROR(__xludf.DUMMYFUNCTION("IFERROR(HLOOKUP($A117,IMPORTRANGE(""https://docs.google.com/spreadsheets/d/1sSbIK-vvHsSY0LghLJ9gcnW8Hec_ITI2tFmpeqI999A/edit#gid=0"",""'Game 8'!$B$2:$Q$34""),33,False),1)"),0.0)</f>
        <v>0</v>
      </c>
      <c r="R117" s="13">
        <f>TUHStand!R117</f>
        <v>207</v>
      </c>
      <c r="S117" s="13">
        <f t="shared" si="4"/>
        <v>16</v>
      </c>
      <c r="T117" s="13">
        <f t="shared" si="5"/>
        <v>1.777777778</v>
      </c>
      <c r="U117" s="13">
        <f t="shared" si="3"/>
        <v>98</v>
      </c>
    </row>
    <row r="118">
      <c r="A118" s="18" t="s">
        <v>281</v>
      </c>
      <c r="B118" s="6" t="s">
        <v>277</v>
      </c>
      <c r="C118" s="18">
        <v>0.0</v>
      </c>
      <c r="D118" s="18">
        <v>0.0</v>
      </c>
      <c r="E118" s="18">
        <v>0.0</v>
      </c>
      <c r="F118" s="18">
        <v>0.0</v>
      </c>
      <c r="G118" s="3">
        <v>0.0</v>
      </c>
      <c r="H118" s="5">
        <f>IFERROR(__xludf.DUMMYFUNCTION("HLOOKUP($A118,IMPORTRANGE(""https://docs.google.com/spreadsheets/d/16J5ie7OD1E99qGO9lMDm8w5Yls-v190B7DTolJ5TmFc/edit#gid=0"",""'Game 10'!$B$2:$Q$34""),33,False)"),0.0)</f>
        <v>0</v>
      </c>
      <c r="I118" s="3">
        <v>0.0</v>
      </c>
      <c r="J118" s="5">
        <f>IFERROR(__xludf.DUMMYFUNCTION("IFERROR(HLOOKUP($A118,IMPORTRANGE(""https://docs.google.com/spreadsheets/d/1CTYfdyRk_RFGM3I2iN9bKeD9zUPzEm1ajzml6VgwfIU/edit#gid=0"",""'Game 11'!$B$2:$Q$34""),33,False),1)"),16.0)</f>
        <v>16</v>
      </c>
      <c r="K118" s="5">
        <f>IFERROR(__xludf.DUMMYFUNCTION("IFERROR(HLOOKUP($A118,IMPORTRANGE(""https://docs.google.com/spreadsheets/d/11NFkzOdQyW-OtxSDuGslNCgNjx7HUb2FU7KnlNnPMgY/edit#gid=0"",""'Game 6'!$B$2:$Q$34""),33,False),1)"),0.0)</f>
        <v>0</v>
      </c>
      <c r="L118" s="5">
        <f>IFERROR(__xludf.DUMMYFUNCTION("IFERROR(HLOOKUP($A118,IMPORTRANGE(""https://docs.google.com/spreadsheets/d/1CLg5-jaE4ta0-u4oE1qbBplQ5Mf3Oj9ONFgL0zJ7Ol4/edit#gid=0"",""'Game 2'!$B$2:$Q$34""),33,False),1)"),4.0)</f>
        <v>4</v>
      </c>
      <c r="M118" s="5">
        <f>IFERROR(__xludf.DUMMYFUNCTION("IFERROR(HLOOKUP($A118,IMPORTRANGE(""https://docs.google.com/spreadsheets/d/1CeexgK4KxWj3k_7nql_k8-RPxXMwTJyB4Q3vAASeDlA/edit#gid=0"",""'Game 9'!$B$2:$Q$34""),33,False),1)"),-4.0)</f>
        <v>-4</v>
      </c>
      <c r="N118" s="5">
        <f>IFERROR(__xludf.DUMMYFUNCTION("IFERROR(HLOOKUP($A118,IMPORTRANGE(""https://docs.google.com/spreadsheets/d/1MNwUNMjcwK6bEgCXwB73jpbK5gJAXS8ZMpbEMLJEP3E/edit#gid=0"",""'Game 11'!$B$2:$Q$34""),33,False),1)"),0.0)</f>
        <v>0</v>
      </c>
      <c r="O118" s="5">
        <f>IFERROR(__xludf.DUMMYFUNCTION("IFERROR(HLOOKUP($A118,IMPORTRANGE(""https://docs.google.com/spreadsheets/d/1UrzyxmT40kDZwVrLMf1yyXfP-pyczRAw9Y8Rw-uXG3c/edit#gid=0"",""'Game 10'!$B$2:$Q$34""),33,False),1)"),0.0)</f>
        <v>0</v>
      </c>
      <c r="P118" s="5">
        <f>IFERROR(__xludf.DUMMYFUNCTION("IFERROR(HLOOKUP($A118,IMPORTRANGE(""https://docs.google.com/spreadsheets/d/1iyMhSYWifw-KGFtyeBpNxVZr4BhcV9hVZuShgJ9Ia0E/edit#gid=0"",""'Game 10'!$B$2:$Q$34""),33,False),1)"),0.0)</f>
        <v>0</v>
      </c>
      <c r="Q118" s="5">
        <f>IFERROR(__xludf.DUMMYFUNCTION("IFERROR(HLOOKUP($A118,IMPORTRANGE(""https://docs.google.com/spreadsheets/d/1sSbIK-vvHsSY0LghLJ9gcnW8Hec_ITI2tFmpeqI999A/edit#gid=0"",""'Game 8'!$B$2:$Q$34""),33,False),1)"),0.0)</f>
        <v>0</v>
      </c>
      <c r="R118" s="6">
        <f>TUHStand!R118</f>
        <v>93</v>
      </c>
      <c r="S118" s="6">
        <f t="shared" si="4"/>
        <v>16</v>
      </c>
      <c r="T118" s="6">
        <f t="shared" si="5"/>
        <v>3.956989247</v>
      </c>
      <c r="U118" s="6">
        <f t="shared" si="3"/>
        <v>74</v>
      </c>
    </row>
    <row r="119">
      <c r="A119" s="20" t="s">
        <v>283</v>
      </c>
      <c r="B119" s="13" t="s">
        <v>277</v>
      </c>
      <c r="C119" s="20">
        <v>0.0</v>
      </c>
      <c r="D119" s="20">
        <v>-4.0</v>
      </c>
      <c r="E119" s="20">
        <v>0.0</v>
      </c>
      <c r="F119" s="20">
        <v>12.0</v>
      </c>
      <c r="G119" s="2">
        <v>0.0</v>
      </c>
      <c r="H119" s="12">
        <f>IFERROR(__xludf.DUMMYFUNCTION("HLOOKUP($A119,IMPORTRANGE(""https://docs.google.com/spreadsheets/d/16J5ie7OD1E99qGO9lMDm8w5Yls-v190B7DTolJ5TmFc/edit#gid=0"",""'Game 10'!$B$2:$Q$34""),33,False)"),0.0)</f>
        <v>0</v>
      </c>
      <c r="I119" s="2">
        <v>4.0</v>
      </c>
      <c r="J119" s="12">
        <f>IFERROR(__xludf.DUMMYFUNCTION("IFERROR(HLOOKUP($A119,IMPORTRANGE(""https://docs.google.com/spreadsheets/d/1CTYfdyRk_RFGM3I2iN9bKeD9zUPzEm1ajzml6VgwfIU/edit#gid=0"",""'Game 11'!$B$2:$Q$34""),33,False),1)"),8.0)</f>
        <v>8</v>
      </c>
      <c r="K119" s="12">
        <f>IFERROR(__xludf.DUMMYFUNCTION("IFERROR(HLOOKUP($A119,IMPORTRANGE(""https://docs.google.com/spreadsheets/d/11NFkzOdQyW-OtxSDuGslNCgNjx7HUb2FU7KnlNnPMgY/edit#gid=0"",""'Game 6'!$B$2:$Q$34""),33,False),1)"),0.0)</f>
        <v>0</v>
      </c>
      <c r="L119" s="12">
        <f>IFERROR(__xludf.DUMMYFUNCTION("IFERROR(HLOOKUP($A119,IMPORTRANGE(""https://docs.google.com/spreadsheets/d/1CLg5-jaE4ta0-u4oE1qbBplQ5Mf3Oj9ONFgL0zJ7Ol4/edit#gid=0"",""'Game 2'!$B$2:$Q$34""),33,False),1)"),8.0)</f>
        <v>8</v>
      </c>
      <c r="M119" s="12">
        <f>IFERROR(__xludf.DUMMYFUNCTION("IFERROR(HLOOKUP($A119,IMPORTRANGE(""https://docs.google.com/spreadsheets/d/1CeexgK4KxWj3k_7nql_k8-RPxXMwTJyB4Q3vAASeDlA/edit#gid=0"",""'Game 9'!$B$2:$Q$34""),33,False),1)"),12.0)</f>
        <v>12</v>
      </c>
      <c r="N119" s="12">
        <f>IFERROR(__xludf.DUMMYFUNCTION("IFERROR(HLOOKUP($A119,IMPORTRANGE(""https://docs.google.com/spreadsheets/d/1MNwUNMjcwK6bEgCXwB73jpbK5gJAXS8ZMpbEMLJEP3E/edit#gid=0"",""'Game 11'!$B$2:$Q$34""),33,False),1)"),12.0)</f>
        <v>12</v>
      </c>
      <c r="O119" s="12">
        <f>IFERROR(__xludf.DUMMYFUNCTION("IFERROR(HLOOKUP($A119,IMPORTRANGE(""https://docs.google.com/spreadsheets/d/1UrzyxmT40kDZwVrLMf1yyXfP-pyczRAw9Y8Rw-uXG3c/edit#gid=0"",""'Game 10'!$B$2:$Q$34""),33,False),1)"),12.0)</f>
        <v>12</v>
      </c>
      <c r="P119" s="12">
        <f>IFERROR(__xludf.DUMMYFUNCTION("IFERROR(HLOOKUP($A119,IMPORTRANGE(""https://docs.google.com/spreadsheets/d/1iyMhSYWifw-KGFtyeBpNxVZr4BhcV9hVZuShgJ9Ia0E/edit#gid=0"",""'Game 10'!$B$2:$Q$34""),33,False),1)"),4.0)</f>
        <v>4</v>
      </c>
      <c r="Q119" s="12">
        <f>IFERROR(__xludf.DUMMYFUNCTION("IFERROR(HLOOKUP($A119,IMPORTRANGE(""https://docs.google.com/spreadsheets/d/1sSbIK-vvHsSY0LghLJ9gcnW8Hec_ITI2tFmpeqI999A/edit#gid=0"",""'Game 8'!$B$2:$Q$34""),33,False),1)"),0.0)</f>
        <v>0</v>
      </c>
      <c r="R119" s="13">
        <f>TUHStand!R119</f>
        <v>209</v>
      </c>
      <c r="S119" s="13">
        <f t="shared" si="4"/>
        <v>68</v>
      </c>
      <c r="T119" s="13">
        <f t="shared" si="5"/>
        <v>7.483253589</v>
      </c>
      <c r="U119" s="13">
        <f t="shared" si="3"/>
        <v>39</v>
      </c>
    </row>
    <row r="120">
      <c r="A120" s="18" t="s">
        <v>286</v>
      </c>
      <c r="B120" s="6" t="s">
        <v>277</v>
      </c>
      <c r="C120" s="18">
        <v>0.0</v>
      </c>
      <c r="D120" s="18">
        <v>0.0</v>
      </c>
      <c r="E120" s="18">
        <v>0.0</v>
      </c>
      <c r="F120" s="18">
        <v>0.0</v>
      </c>
      <c r="G120" s="3">
        <v>4.0</v>
      </c>
      <c r="H120" s="5">
        <f>IFERROR(__xludf.DUMMYFUNCTION("HLOOKUP($A120,IMPORTRANGE(""https://docs.google.com/spreadsheets/d/16J5ie7OD1E99qGO9lMDm8w5Yls-v190B7DTolJ5TmFc/edit#gid=0"",""'Game 10'!$B$2:$Q$34""),33,False)"),0.0)</f>
        <v>0</v>
      </c>
      <c r="I120" s="3">
        <v>0.0</v>
      </c>
      <c r="J120" s="5">
        <f>IFERROR(__xludf.DUMMYFUNCTION("IFERROR(HLOOKUP($A120,IMPORTRANGE(""https://docs.google.com/spreadsheets/d/1CTYfdyRk_RFGM3I2iN9bKeD9zUPzEm1ajzml6VgwfIU/edit#gid=0"",""'Game 11'!$B$2:$Q$34""),33,False),1)"),0.0)</f>
        <v>0</v>
      </c>
      <c r="K120" s="5">
        <f>IFERROR(__xludf.DUMMYFUNCTION("IFERROR(HLOOKUP($A120,IMPORTRANGE(""https://docs.google.com/spreadsheets/d/11NFkzOdQyW-OtxSDuGslNCgNjx7HUb2FU7KnlNnPMgY/edit#gid=0"",""'Game 6'!$B$2:$Q$34""),33,False),1)"),0.0)</f>
        <v>0</v>
      </c>
      <c r="L120" s="5">
        <f>IFERROR(__xludf.DUMMYFUNCTION("IFERROR(HLOOKUP($A120,IMPORTRANGE(""https://docs.google.com/spreadsheets/d/1CLg5-jaE4ta0-u4oE1qbBplQ5Mf3Oj9ONFgL0zJ7Ol4/edit#gid=0"",""'Game 2'!$B$2:$Q$34""),33,False),1)"),0.0)</f>
        <v>0</v>
      </c>
      <c r="M120" s="5">
        <f>IFERROR(__xludf.DUMMYFUNCTION("IFERROR(HLOOKUP($A120,IMPORTRANGE(""https://docs.google.com/spreadsheets/d/1CeexgK4KxWj3k_7nql_k8-RPxXMwTJyB4Q3vAASeDlA/edit#gid=0"",""'Game 9'!$B$2:$Q$34""),33,False),1)"),0.0)</f>
        <v>0</v>
      </c>
      <c r="N120" s="5">
        <f>IFERROR(__xludf.DUMMYFUNCTION("IFERROR(HLOOKUP($A120,IMPORTRANGE(""https://docs.google.com/spreadsheets/d/1MNwUNMjcwK6bEgCXwB73jpbK5gJAXS8ZMpbEMLJEP3E/edit#gid=0"",""'Game 11'!$B$2:$Q$34""),33,False),1)"),0.0)</f>
        <v>0</v>
      </c>
      <c r="O120" s="5">
        <f>IFERROR(__xludf.DUMMYFUNCTION("IFERROR(HLOOKUP($A120,IMPORTRANGE(""https://docs.google.com/spreadsheets/d/1UrzyxmT40kDZwVrLMf1yyXfP-pyczRAw9Y8Rw-uXG3c/edit#gid=0"",""'Game 10'!$B$2:$Q$34""),33,False),1)"),0.0)</f>
        <v>0</v>
      </c>
      <c r="P120" s="5">
        <f>IFERROR(__xludf.DUMMYFUNCTION("IFERROR(HLOOKUP($A120,IMPORTRANGE(""https://docs.google.com/spreadsheets/d/1iyMhSYWifw-KGFtyeBpNxVZr4BhcV9hVZuShgJ9Ia0E/edit#gid=0"",""'Game 10'!$B$2:$Q$34""),33,False),1)"),0.0)</f>
        <v>0</v>
      </c>
      <c r="Q120" s="5">
        <f>IFERROR(__xludf.DUMMYFUNCTION("IFERROR(HLOOKUP($A120,IMPORTRANGE(""https://docs.google.com/spreadsheets/d/1sSbIK-vvHsSY0LghLJ9gcnW8Hec_ITI2tFmpeqI999A/edit#gid=0"",""'Game 8'!$B$2:$Q$34""),33,False),1)"),0.0)</f>
        <v>0</v>
      </c>
      <c r="R120" s="6">
        <f>TUHStand!R120</f>
        <v>266</v>
      </c>
      <c r="S120" s="6">
        <f t="shared" si="4"/>
        <v>4</v>
      </c>
      <c r="T120" s="6">
        <f t="shared" si="5"/>
        <v>0.3458646617</v>
      </c>
      <c r="U120" s="6">
        <f t="shared" si="3"/>
        <v>125</v>
      </c>
    </row>
    <row r="121">
      <c r="A121" s="2" t="s">
        <v>287</v>
      </c>
      <c r="B121" s="13" t="s">
        <v>277</v>
      </c>
      <c r="C121" s="20">
        <v>24.0</v>
      </c>
      <c r="D121" s="20">
        <v>24.0</v>
      </c>
      <c r="E121" s="20">
        <v>8.0</v>
      </c>
      <c r="F121" s="20">
        <v>12.0</v>
      </c>
      <c r="G121" s="2">
        <v>0.0</v>
      </c>
      <c r="H121" s="12">
        <f>IFERROR(__xludf.DUMMYFUNCTION("HLOOKUP($A121,IMPORTRANGE(""https://docs.google.com/spreadsheets/d/16J5ie7OD1E99qGO9lMDm8w5Yls-v190B7DTolJ5TmFc/edit#gid=0"",""'Game 10'!$B$2:$Q$34""),33,False)"),24.0)</f>
        <v>24</v>
      </c>
      <c r="I121" s="2">
        <v>16.0</v>
      </c>
      <c r="J121" s="12">
        <f>IFERROR(__xludf.DUMMYFUNCTION("IFERROR(HLOOKUP($A121,IMPORTRANGE(""https://docs.google.com/spreadsheets/d/1CTYfdyRk_RFGM3I2iN9bKeD9zUPzEm1ajzml6VgwfIU/edit#gid=0"",""'Game 11'!$B$2:$Q$34""),33,False),1)"),0.0)</f>
        <v>0</v>
      </c>
      <c r="K121" s="12">
        <f>IFERROR(__xludf.DUMMYFUNCTION("IFERROR(HLOOKUP($A121,IMPORTRANGE(""https://docs.google.com/spreadsheets/d/11NFkzOdQyW-OtxSDuGslNCgNjx7HUb2FU7KnlNnPMgY/edit#gid=0"",""'Game 6'!$B$2:$Q$34""),33,False),1)"),0.0)</f>
        <v>0</v>
      </c>
      <c r="L121" s="12">
        <f>IFERROR(__xludf.DUMMYFUNCTION("IFERROR(HLOOKUP($A121,IMPORTRANGE(""https://docs.google.com/spreadsheets/d/1CLg5-jaE4ta0-u4oE1qbBplQ5Mf3Oj9ONFgL0zJ7Ol4/edit#gid=0"",""'Game 2'!$B$2:$Q$34""),33,False),1)"),8.0)</f>
        <v>8</v>
      </c>
      <c r="M121" s="12">
        <f>IFERROR(__xludf.DUMMYFUNCTION("IFERROR(HLOOKUP($A121,IMPORTRANGE(""https://docs.google.com/spreadsheets/d/1CeexgK4KxWj3k_7nql_k8-RPxXMwTJyB4Q3vAASeDlA/edit#gid=0"",""'Game 9'!$B$2:$Q$34""),33,False),1)"),8.0)</f>
        <v>8</v>
      </c>
      <c r="N121" s="12">
        <f>IFERROR(__xludf.DUMMYFUNCTION("IFERROR(HLOOKUP($A121,IMPORTRANGE(""https://docs.google.com/spreadsheets/d/1MNwUNMjcwK6bEgCXwB73jpbK5gJAXS8ZMpbEMLJEP3E/edit#gid=0"",""'Game 11'!$B$2:$Q$34""),33,False),1)"),24.0)</f>
        <v>24</v>
      </c>
      <c r="O121" s="12">
        <f>IFERROR(__xludf.DUMMYFUNCTION("IFERROR(HLOOKUP($A121,IMPORTRANGE(""https://docs.google.com/spreadsheets/d/1UrzyxmT40kDZwVrLMf1yyXfP-pyczRAw9Y8Rw-uXG3c/edit#gid=0"",""'Game 10'!$B$2:$Q$34""),33,False),1)"),24.0)</f>
        <v>24</v>
      </c>
      <c r="P121" s="12">
        <f>IFERROR(__xludf.DUMMYFUNCTION("IFERROR(HLOOKUP($A121,IMPORTRANGE(""https://docs.google.com/spreadsheets/d/1iyMhSYWifw-KGFtyeBpNxVZr4BhcV9hVZuShgJ9Ia0E/edit#gid=0"",""'Game 10'!$B$2:$Q$34""),33,False),1)"),12.0)</f>
        <v>12</v>
      </c>
      <c r="Q121" s="12">
        <f>IFERROR(__xludf.DUMMYFUNCTION("IFERROR(HLOOKUP($A121,IMPORTRANGE(""https://docs.google.com/spreadsheets/d/1sSbIK-vvHsSY0LghLJ9gcnW8Hec_ITI2tFmpeqI999A/edit#gid=0"",""'Game 8'!$B$2:$Q$34""),33,False),1)"),0.0)</f>
        <v>0</v>
      </c>
      <c r="R121" s="13">
        <f>TUHStand!R121</f>
        <v>276</v>
      </c>
      <c r="S121" s="13">
        <f t="shared" si="4"/>
        <v>184</v>
      </c>
      <c r="T121" s="13">
        <f t="shared" si="5"/>
        <v>15.33333333</v>
      </c>
      <c r="U121" s="13">
        <f t="shared" si="3"/>
        <v>12</v>
      </c>
    </row>
    <row r="122">
      <c r="A122" s="18" t="s">
        <v>289</v>
      </c>
      <c r="B122" s="18" t="s">
        <v>277</v>
      </c>
      <c r="C122" s="18">
        <v>0.0</v>
      </c>
      <c r="D122" s="18">
        <v>0.0</v>
      </c>
      <c r="E122" s="18">
        <v>0.0</v>
      </c>
      <c r="F122" s="18">
        <v>0.0</v>
      </c>
      <c r="G122" s="3">
        <v>0.0</v>
      </c>
      <c r="H122" s="5">
        <f>IFERROR(__xludf.DUMMYFUNCTION("HLOOKUP($A122,IMPORTRANGE(""https://docs.google.com/spreadsheets/d/16J5ie7OD1E99qGO9lMDm8w5Yls-v190B7DTolJ5TmFc/edit#gid=0"",""'Game 10'!$B$2:$Q$34""),33,False)"),0.0)</f>
        <v>0</v>
      </c>
      <c r="I122" s="3">
        <v>0.0</v>
      </c>
      <c r="J122" s="5">
        <f>IFERROR(__xludf.DUMMYFUNCTION("IFERROR(HLOOKUP($A122,IMPORTRANGE(""https://docs.google.com/spreadsheets/d/1CTYfdyRk_RFGM3I2iN9bKeD9zUPzEm1ajzml6VgwfIU/edit#gid=0"",""'Game 11'!$B$2:$Q$34""),33,False),1)"),0.0)</f>
        <v>0</v>
      </c>
      <c r="K122" s="5">
        <f>IFERROR(__xludf.DUMMYFUNCTION("IFERROR(HLOOKUP($A122,IMPORTRANGE(""https://docs.google.com/spreadsheets/d/11NFkzOdQyW-OtxSDuGslNCgNjx7HUb2FU7KnlNnPMgY/edit#gid=0"",""'Game 6'!$B$2:$Q$34""),33,False),1)"),0.0)</f>
        <v>0</v>
      </c>
      <c r="L122" s="5">
        <f>IFERROR(__xludf.DUMMYFUNCTION("IFERROR(HLOOKUP($A122,IMPORTRANGE(""https://docs.google.com/spreadsheets/d/1CLg5-jaE4ta0-u4oE1qbBplQ5Mf3Oj9ONFgL0zJ7Ol4/edit#gid=0"",""'Game 2'!$B$2:$Q$34""),33,False),1)"),0.0)</f>
        <v>0</v>
      </c>
      <c r="M122" s="5">
        <f>IFERROR(__xludf.DUMMYFUNCTION("IFERROR(HLOOKUP($A122,IMPORTRANGE(""https://docs.google.com/spreadsheets/d/1CeexgK4KxWj3k_7nql_k8-RPxXMwTJyB4Q3vAASeDlA/edit#gid=0"",""'Game 9'!$B$2:$Q$34""),33,False),1)"),0.0)</f>
        <v>0</v>
      </c>
      <c r="N122" s="5">
        <f>IFERROR(__xludf.DUMMYFUNCTION("IFERROR(HLOOKUP($A122,IMPORTRANGE(""https://docs.google.com/spreadsheets/d/1MNwUNMjcwK6bEgCXwB73jpbK5gJAXS8ZMpbEMLJEP3E/edit#gid=0"",""'Game 11'!$B$2:$Q$34""),33,False),1)"),10.0)</f>
        <v>10</v>
      </c>
      <c r="O122" s="5">
        <f>IFERROR(__xludf.DUMMYFUNCTION("IFERROR(HLOOKUP($A122,IMPORTRANGE(""https://docs.google.com/spreadsheets/d/1UrzyxmT40kDZwVrLMf1yyXfP-pyczRAw9Y8Rw-uXG3c/edit#gid=0"",""'Game 10'!$B$2:$Q$34""),33,False),1)"),0.0)</f>
        <v>0</v>
      </c>
      <c r="P122" s="5">
        <f>IFERROR(__xludf.DUMMYFUNCTION("IFERROR(HLOOKUP($A122,IMPORTRANGE(""https://docs.google.com/spreadsheets/d/1iyMhSYWifw-KGFtyeBpNxVZr4BhcV9hVZuShgJ9Ia0E/edit#gid=0"",""'Game 10'!$B$2:$Q$34""),33,False),1)"),0.0)</f>
        <v>0</v>
      </c>
      <c r="Q122" s="5">
        <f>IFERROR(__xludf.DUMMYFUNCTION("IFERROR(HLOOKUP($A122,IMPORTRANGE(""https://docs.google.com/spreadsheets/d/1sSbIK-vvHsSY0LghLJ9gcnW8Hec_ITI2tFmpeqI999A/edit#gid=0"",""'Game 8'!$B$2:$Q$34""),33,False),1)"),0.0)</f>
        <v>0</v>
      </c>
      <c r="R122" s="6">
        <f>TUHStand!R122</f>
        <v>147</v>
      </c>
      <c r="S122" s="6">
        <f t="shared" si="4"/>
        <v>10</v>
      </c>
      <c r="T122" s="6">
        <f t="shared" si="5"/>
        <v>1.56462585</v>
      </c>
      <c r="U122" s="6">
        <f t="shared" si="3"/>
        <v>104</v>
      </c>
    </row>
    <row r="123">
      <c r="A123" s="20" t="s">
        <v>291</v>
      </c>
      <c r="B123" s="13" t="s">
        <v>292</v>
      </c>
      <c r="C123" s="20">
        <v>0.0</v>
      </c>
      <c r="D123" s="20">
        <v>0.0</v>
      </c>
      <c r="E123" s="20">
        <v>0.0</v>
      </c>
      <c r="F123" s="20">
        <v>4.0</v>
      </c>
      <c r="G123" s="20">
        <v>0.0</v>
      </c>
      <c r="H123" s="12">
        <f>IFERROR(__xludf.DUMMYFUNCTION("HLOOKUP($A123,IMPORTRANGE(""https://docs.google.com/spreadsheets/d/16J5ie7OD1E99qGO9lMDm8w5Yls-v190B7DTolJ5TmFc/edit#gid=0"",""'Game 13'!$B$2:$Q$34""),33,False)"),-4.0)</f>
        <v>-4</v>
      </c>
      <c r="I123" s="2">
        <v>4.0</v>
      </c>
      <c r="J123" s="12">
        <f>IFERROR(__xludf.DUMMYFUNCTION("IFERROR(HLOOKUP($A123,IMPORTRANGE(""https://docs.google.com/spreadsheets/d/1CTYfdyRk_RFGM3I2iN9bKeD9zUPzEm1ajzml6VgwfIU/edit#gid=0"",""'Game 10'!$B$2:$Q$34""),33,False),1)"),0.0)</f>
        <v>0</v>
      </c>
      <c r="K123" s="12">
        <f>IFERROR(__xludf.DUMMYFUNCTION("IFERROR(HLOOKUP($A123,IMPORTRANGE(""https://docs.google.com/spreadsheets/d/11NFkzOdQyW-OtxSDuGslNCgNjx7HUb2FU7KnlNnPMgY/edit#gid=0"",""'Game 4'!$B$2:$Q$34""),33,False),1)"),-4.0)</f>
        <v>-4</v>
      </c>
      <c r="L123" s="12">
        <f>IFERROR(__xludf.DUMMYFUNCTION("IFERROR(HLOOKUP($A123,IMPORTRANGE(""https://docs.google.com/spreadsheets/d/1CLg5-jaE4ta0-u4oE1qbBplQ5Mf3Oj9ONFgL0zJ7Ol4/edit#gid=0"",""'Game 10'!$B$2:$Q$34""),33,False),1)"),0.0)</f>
        <v>0</v>
      </c>
      <c r="M123" s="12">
        <f>IFERROR(__xludf.DUMMYFUNCTION("IFERROR(HLOOKUP($A123,IMPORTRANGE(""https://docs.google.com/spreadsheets/d/1CeexgK4KxWj3k_7nql_k8-RPxXMwTJyB4Q3vAASeDlA/edit#gid=0"",""'Game 1'!$B$2:$Q$34""),33,False),1)"),0.0)</f>
        <v>0</v>
      </c>
      <c r="N123" s="12">
        <f>IFERROR(__xludf.DUMMYFUNCTION("IFERROR(HLOOKUP($A123,IMPORTRANGE(""https://docs.google.com/spreadsheets/d/1MNwUNMjcwK6bEgCXwB73jpbK5gJAXS8ZMpbEMLJEP3E/edit#gid=0"",""'Game 10'!$B$2:$Q$34""),33,False),1)"),0.0)</f>
        <v>0</v>
      </c>
      <c r="O123" s="12">
        <f>IFERROR(__xludf.DUMMYFUNCTION("IFERROR(HLOOKUP($A123,IMPORTRANGE(""https://docs.google.com/spreadsheets/d/1UrzyxmT40kDZwVrLMf1yyXfP-pyczRAw9Y8Rw-uXG3c/edit#gid=0"",""'Game 7'!$B$2:$Q$34""),33,False),1)"),4.0)</f>
        <v>4</v>
      </c>
      <c r="P123" s="12">
        <f>IFERROR(__xludf.DUMMYFUNCTION("IFERROR(HLOOKUP($A123,IMPORTRANGE(""https://docs.google.com/spreadsheets/d/1iyMhSYWifw-KGFtyeBpNxVZr4BhcV9hVZuShgJ9Ia0E/edit#gid=0"",""'Game 9'!$B$2:$Q$34""),33,False),1)"),0.0)</f>
        <v>0</v>
      </c>
      <c r="Q123" s="12">
        <f>IFERROR(__xludf.DUMMYFUNCTION("IFERROR(HLOOKUP($A123,IMPORTRANGE(""https://docs.google.com/spreadsheets/d/1sSbIK-vvHsSY0LghLJ9gcnW8Hec_ITI2tFmpeqI999A/edit#gid=0"",""'Game 8'!$B$2:$Q$34""),33,False),1)"),0.0)</f>
        <v>0</v>
      </c>
      <c r="R123" s="13">
        <f>TUHStand!R123</f>
        <v>228</v>
      </c>
      <c r="S123" s="13">
        <f t="shared" si="4"/>
        <v>4</v>
      </c>
      <c r="T123" s="13">
        <f t="shared" si="5"/>
        <v>0.4035087719</v>
      </c>
      <c r="U123" s="13">
        <f t="shared" si="3"/>
        <v>124</v>
      </c>
    </row>
    <row r="124">
      <c r="A124" s="18" t="s">
        <v>294</v>
      </c>
      <c r="B124" s="6" t="s">
        <v>292</v>
      </c>
      <c r="C124" s="18">
        <v>-4.0</v>
      </c>
      <c r="D124" s="18">
        <v>0.0</v>
      </c>
      <c r="E124" s="18">
        <v>0.0</v>
      </c>
      <c r="F124" s="18">
        <v>0.0</v>
      </c>
      <c r="G124" s="18">
        <v>0.0</v>
      </c>
      <c r="H124" s="5">
        <f>IFERROR(__xludf.DUMMYFUNCTION("HLOOKUP($A124,IMPORTRANGE(""https://docs.google.com/spreadsheets/d/16J5ie7OD1E99qGO9lMDm8w5Yls-v190B7DTolJ5TmFc/edit#gid=0"",""'Game 13'!$B$2:$Q$34""),33,False)"),0.0)</f>
        <v>0</v>
      </c>
      <c r="I124" s="3">
        <v>0.0</v>
      </c>
      <c r="J124" s="5">
        <f>IFERROR(__xludf.DUMMYFUNCTION("IFERROR(HLOOKUP($A124,IMPORTRANGE(""https://docs.google.com/spreadsheets/d/1CTYfdyRk_RFGM3I2iN9bKeD9zUPzEm1ajzml6VgwfIU/edit#gid=0"",""'Game 10'!$B$2:$Q$34""),33,False),1)"),0.0)</f>
        <v>0</v>
      </c>
      <c r="K124" s="5">
        <f>IFERROR(__xludf.DUMMYFUNCTION("IFERROR(HLOOKUP($A124,IMPORTRANGE(""https://docs.google.com/spreadsheets/d/11NFkzOdQyW-OtxSDuGslNCgNjx7HUb2FU7KnlNnPMgY/edit#gid=0"",""'Game 4'!$B$2:$Q$34""),33,False),1)"),0.0)</f>
        <v>0</v>
      </c>
      <c r="L124" s="5">
        <f>IFERROR(__xludf.DUMMYFUNCTION("IFERROR(HLOOKUP($A124,IMPORTRANGE(""https://docs.google.com/spreadsheets/d/1CLg5-jaE4ta0-u4oE1qbBplQ5Mf3Oj9ONFgL0zJ7Ol4/edit#gid=0"",""'Game 10'!$B$2:$Q$34""),33,False),1)"),0.0)</f>
        <v>0</v>
      </c>
      <c r="M124" s="5">
        <f>IFERROR(__xludf.DUMMYFUNCTION("IFERROR(HLOOKUP($A124,IMPORTRANGE(""https://docs.google.com/spreadsheets/d/1CeexgK4KxWj3k_7nql_k8-RPxXMwTJyB4Q3vAASeDlA/edit#gid=0"",""'Game 1'!$B$2:$Q$34""),33,False),1)"),0.0)</f>
        <v>0</v>
      </c>
      <c r="N124" s="5">
        <f>IFERROR(__xludf.DUMMYFUNCTION("IFERROR(HLOOKUP($A124,IMPORTRANGE(""https://docs.google.com/spreadsheets/d/1MNwUNMjcwK6bEgCXwB73jpbK5gJAXS8ZMpbEMLJEP3E/edit#gid=0"",""'Game 10'!$B$2:$Q$34""),33,False),1)"),0.0)</f>
        <v>0</v>
      </c>
      <c r="O124" s="5">
        <f>IFERROR(__xludf.DUMMYFUNCTION("IFERROR(HLOOKUP($A124,IMPORTRANGE(""https://docs.google.com/spreadsheets/d/1UrzyxmT40kDZwVrLMf1yyXfP-pyczRAw9Y8Rw-uXG3c/edit#gid=0"",""'Game 7'!$B$2:$Q$34""),33,False),1)"),0.0)</f>
        <v>0</v>
      </c>
      <c r="P124" s="5">
        <f>IFERROR(__xludf.DUMMYFUNCTION("IFERROR(HLOOKUP($A124,IMPORTRANGE(""https://docs.google.com/spreadsheets/d/1iyMhSYWifw-KGFtyeBpNxVZr4BhcV9hVZuShgJ9Ia0E/edit#gid=0"",""'Game 9'!$B$2:$Q$34""),33,False),1)"),0.0)</f>
        <v>0</v>
      </c>
      <c r="Q124" s="5">
        <f>IFERROR(__xludf.DUMMYFUNCTION("IFERROR(HLOOKUP($A124,IMPORTRANGE(""https://docs.google.com/spreadsheets/d/1sSbIK-vvHsSY0LghLJ9gcnW8Hec_ITI2tFmpeqI999A/edit#gid=0"",""'Game 8'!$B$2:$Q$34""),33,False),1)"),0.0)</f>
        <v>0</v>
      </c>
      <c r="R124" s="6">
        <f>TUHStand!R124</f>
        <v>175</v>
      </c>
      <c r="S124" s="6">
        <f t="shared" si="4"/>
        <v>-4</v>
      </c>
      <c r="T124" s="6">
        <f t="shared" si="5"/>
        <v>-0.5257142857</v>
      </c>
      <c r="U124" s="6">
        <f t="shared" si="3"/>
        <v>145</v>
      </c>
    </row>
    <row r="125">
      <c r="A125" s="20" t="s">
        <v>296</v>
      </c>
      <c r="B125" s="13" t="s">
        <v>292</v>
      </c>
      <c r="C125" s="20">
        <v>12.0</v>
      </c>
      <c r="D125" s="20">
        <v>8.0</v>
      </c>
      <c r="E125" s="20">
        <v>24.0</v>
      </c>
      <c r="F125" s="20">
        <v>4.0</v>
      </c>
      <c r="G125" s="20">
        <v>28.0</v>
      </c>
      <c r="H125" s="12">
        <f>IFERROR(__xludf.DUMMYFUNCTION("HLOOKUP($A125,IMPORTRANGE(""https://docs.google.com/spreadsheets/d/16J5ie7OD1E99qGO9lMDm8w5Yls-v190B7DTolJ5TmFc/edit#gid=0"",""'Game 13'!$B$2:$Q$34""),33,False)"),4.0)</f>
        <v>4</v>
      </c>
      <c r="I125" s="2">
        <v>12.0</v>
      </c>
      <c r="J125" s="12">
        <f>IFERROR(__xludf.DUMMYFUNCTION("IFERROR(HLOOKUP($A125,IMPORTRANGE(""https://docs.google.com/spreadsheets/d/1CTYfdyRk_RFGM3I2iN9bKeD9zUPzEm1ajzml6VgwfIU/edit#gid=0"",""'Game 10'!$B$2:$Q$34""),33,False),1)"),0.0)</f>
        <v>0</v>
      </c>
      <c r="K125" s="12">
        <f>IFERROR(__xludf.DUMMYFUNCTION("IFERROR(HLOOKUP($A125,IMPORTRANGE(""https://docs.google.com/spreadsheets/d/11NFkzOdQyW-OtxSDuGslNCgNjx7HUb2FU7KnlNnPMgY/edit#gid=0"",""'Game 4'!$B$2:$Q$34""),33,False),1)"),20.0)</f>
        <v>20</v>
      </c>
      <c r="L125" s="12">
        <f>IFERROR(__xludf.DUMMYFUNCTION("IFERROR(HLOOKUP($A125,IMPORTRANGE(""https://docs.google.com/spreadsheets/d/1CLg5-jaE4ta0-u4oE1qbBplQ5Mf3Oj9ONFgL0zJ7Ol4/edit#gid=0"",""'Game 10'!$B$2:$Q$34""),33,False),1)"),12.0)</f>
        <v>12</v>
      </c>
      <c r="M125" s="12">
        <f>IFERROR(__xludf.DUMMYFUNCTION("IFERROR(HLOOKUP($A125,IMPORTRANGE(""https://docs.google.com/spreadsheets/d/1CeexgK4KxWj3k_7nql_k8-RPxXMwTJyB4Q3vAASeDlA/edit#gid=0"",""'Game 1'!$B$2:$Q$34""),33,False),1)"),16.0)</f>
        <v>16</v>
      </c>
      <c r="N125" s="12">
        <f>IFERROR(__xludf.DUMMYFUNCTION("IFERROR(HLOOKUP($A125,IMPORTRANGE(""https://docs.google.com/spreadsheets/d/1MNwUNMjcwK6bEgCXwB73jpbK5gJAXS8ZMpbEMLJEP3E/edit#gid=0"",""'Game 10'!$B$2:$Q$34""),33,False),1)"),12.0)</f>
        <v>12</v>
      </c>
      <c r="O125" s="12">
        <f>IFERROR(__xludf.DUMMYFUNCTION("IFERROR(HLOOKUP($A125,IMPORTRANGE(""https://docs.google.com/spreadsheets/d/1UrzyxmT40kDZwVrLMf1yyXfP-pyczRAw9Y8Rw-uXG3c/edit#gid=0"",""'Game 7'!$B$2:$Q$34""),33,False),1)"),16.0)</f>
        <v>16</v>
      </c>
      <c r="P125" s="12">
        <f>IFERROR(__xludf.DUMMYFUNCTION("IFERROR(HLOOKUP($A125,IMPORTRANGE(""https://docs.google.com/spreadsheets/d/1iyMhSYWifw-KGFtyeBpNxVZr4BhcV9hVZuShgJ9Ia0E/edit#gid=0"",""'Game 9'!$B$2:$Q$34""),33,False),1)"),12.0)</f>
        <v>12</v>
      </c>
      <c r="Q125" s="12">
        <f>IFERROR(__xludf.DUMMYFUNCTION("IFERROR(HLOOKUP($A125,IMPORTRANGE(""https://docs.google.com/spreadsheets/d/1sSbIK-vvHsSY0LghLJ9gcnW8Hec_ITI2tFmpeqI999A/edit#gid=0"",""'Game 8'!$B$2:$Q$34""),33,False),1)"),12.0)</f>
        <v>12</v>
      </c>
      <c r="R125" s="13">
        <f>TUHStand!R125</f>
        <v>345</v>
      </c>
      <c r="S125" s="13">
        <f t="shared" si="4"/>
        <v>192</v>
      </c>
      <c r="T125" s="13">
        <f t="shared" si="5"/>
        <v>12.8</v>
      </c>
      <c r="U125" s="13">
        <f t="shared" si="3"/>
        <v>20</v>
      </c>
    </row>
    <row r="126">
      <c r="A126" s="18" t="s">
        <v>297</v>
      </c>
      <c r="B126" s="6" t="s">
        <v>292</v>
      </c>
      <c r="C126" s="18">
        <v>12.0</v>
      </c>
      <c r="D126" s="18">
        <v>20.0</v>
      </c>
      <c r="E126" s="18">
        <v>24.0</v>
      </c>
      <c r="F126" s="18">
        <v>12.0</v>
      </c>
      <c r="G126" s="18">
        <v>8.0</v>
      </c>
      <c r="H126" s="5">
        <f>IFERROR(__xludf.DUMMYFUNCTION("HLOOKUP($A126,IMPORTRANGE(""https://docs.google.com/spreadsheets/d/16J5ie7OD1E99qGO9lMDm8w5Yls-v190B7DTolJ5TmFc/edit#gid=0"",""'Game 13'!$B$2:$Q$34""),33,False)"),0.0)</f>
        <v>0</v>
      </c>
      <c r="I126" s="3">
        <v>12.0</v>
      </c>
      <c r="J126" s="5">
        <f>IFERROR(__xludf.DUMMYFUNCTION("IFERROR(HLOOKUP($A126,IMPORTRANGE(""https://docs.google.com/spreadsheets/d/1CTYfdyRk_RFGM3I2iN9bKeD9zUPzEm1ajzml6VgwfIU/edit#gid=0"",""'Game 10'!$B$2:$Q$34""),33,False),1)"),12.0)</f>
        <v>12</v>
      </c>
      <c r="K126" s="5">
        <f>IFERROR(__xludf.DUMMYFUNCTION("IFERROR(HLOOKUP($A126,IMPORTRANGE(""https://docs.google.com/spreadsheets/d/11NFkzOdQyW-OtxSDuGslNCgNjx7HUb2FU7KnlNnPMgY/edit#gid=0"",""'Game 4'!$B$2:$Q$34""),33,False),1)"),16.0)</f>
        <v>16</v>
      </c>
      <c r="L126" s="5">
        <f>IFERROR(__xludf.DUMMYFUNCTION("IFERROR(HLOOKUP($A126,IMPORTRANGE(""https://docs.google.com/spreadsheets/d/1CLg5-jaE4ta0-u4oE1qbBplQ5Mf3Oj9ONFgL0zJ7Ol4/edit#gid=0"",""'Game 10'!$B$2:$Q$34""),33,False),1)"),20.0)</f>
        <v>20</v>
      </c>
      <c r="M126" s="5">
        <f>IFERROR(__xludf.DUMMYFUNCTION("IFERROR(HLOOKUP($A126,IMPORTRANGE(""https://docs.google.com/spreadsheets/d/1CeexgK4KxWj3k_7nql_k8-RPxXMwTJyB4Q3vAASeDlA/edit#gid=0"",""'Game 1'!$B$2:$Q$34""),33,False),1)"),8.0)</f>
        <v>8</v>
      </c>
      <c r="N126" s="5">
        <f>IFERROR(__xludf.DUMMYFUNCTION("IFERROR(HLOOKUP($A126,IMPORTRANGE(""https://docs.google.com/spreadsheets/d/1MNwUNMjcwK6bEgCXwB73jpbK5gJAXS8ZMpbEMLJEP3E/edit#gid=0"",""'Game 10'!$B$2:$Q$34""),33,False),1)"),16.0)</f>
        <v>16</v>
      </c>
      <c r="O126" s="5">
        <f>IFERROR(__xludf.DUMMYFUNCTION("IFERROR(HLOOKUP($A126,IMPORTRANGE(""https://docs.google.com/spreadsheets/d/1UrzyxmT40kDZwVrLMf1yyXfP-pyczRAw9Y8Rw-uXG3c/edit#gid=0"",""'Game 7'!$B$2:$Q$34""),33,False),1)"),20.0)</f>
        <v>20</v>
      </c>
      <c r="P126" s="5">
        <f>IFERROR(__xludf.DUMMYFUNCTION("IFERROR(HLOOKUP($A126,IMPORTRANGE(""https://docs.google.com/spreadsheets/d/1iyMhSYWifw-KGFtyeBpNxVZr4BhcV9hVZuShgJ9Ia0E/edit#gid=0"",""'Game 9'!$B$2:$Q$34""),33,False),1)"),8.0)</f>
        <v>8</v>
      </c>
      <c r="Q126" s="5">
        <f>IFERROR(__xludf.DUMMYFUNCTION("IFERROR(HLOOKUP($A126,IMPORTRANGE(""https://docs.google.com/spreadsheets/d/1sSbIK-vvHsSY0LghLJ9gcnW8Hec_ITI2tFmpeqI999A/edit#gid=0"",""'Game 8'!$B$2:$Q$34""),33,False),1)"),28.0)</f>
        <v>28</v>
      </c>
      <c r="R126" s="6">
        <f>TUHStand!R126</f>
        <v>322</v>
      </c>
      <c r="S126" s="6">
        <f t="shared" si="4"/>
        <v>216</v>
      </c>
      <c r="T126" s="6">
        <f t="shared" si="5"/>
        <v>15.42857143</v>
      </c>
      <c r="U126" s="6">
        <f t="shared" si="3"/>
        <v>11</v>
      </c>
    </row>
    <row r="127">
      <c r="A127" s="20" t="s">
        <v>300</v>
      </c>
      <c r="B127" s="20" t="s">
        <v>292</v>
      </c>
      <c r="C127" s="20">
        <v>12.0</v>
      </c>
      <c r="D127" s="20">
        <v>20.0</v>
      </c>
      <c r="E127" s="20">
        <v>4.0</v>
      </c>
      <c r="F127" s="20">
        <v>12.0</v>
      </c>
      <c r="G127" s="13">
        <v>8.0</v>
      </c>
      <c r="H127" s="12">
        <f>IFERROR(__xludf.DUMMYFUNCTION("HLOOKUP($A127,IMPORTRANGE(""https://docs.google.com/spreadsheets/d/16J5ie7OD1E99qGO9lMDm8w5Yls-v190B7DTolJ5TmFc/edit#gid=0"",""'Game 13'!$B$2:$Q$34""),33,False)"),56.0)</f>
        <v>56</v>
      </c>
      <c r="I127" s="2">
        <v>0.0</v>
      </c>
      <c r="J127" s="12">
        <f>IFERROR(__xludf.DUMMYFUNCTION("IFERROR(HLOOKUP($A127,IMPORTRANGE(""https://docs.google.com/spreadsheets/d/1CTYfdyRk_RFGM3I2iN9bKeD9zUPzEm1ajzml6VgwfIU/edit#gid=0"",""'Game 10'!$B$2:$Q$34""),33,False),1)"),24.0)</f>
        <v>24</v>
      </c>
      <c r="K127" s="12">
        <f>IFERROR(__xludf.DUMMYFUNCTION("IFERROR(HLOOKUP($A127,IMPORTRANGE(""https://docs.google.com/spreadsheets/d/11NFkzOdQyW-OtxSDuGslNCgNjx7HUb2FU7KnlNnPMgY/edit#gid=0"",""'Game 4'!$B$2:$Q$34""),33,False),1)"),8.0)</f>
        <v>8</v>
      </c>
      <c r="L127" s="12">
        <f>IFERROR(__xludf.DUMMYFUNCTION("IFERROR(HLOOKUP($A127,IMPORTRANGE(""https://docs.google.com/spreadsheets/d/1CLg5-jaE4ta0-u4oE1qbBplQ5Mf3Oj9ONFgL0zJ7Ol4/edit#gid=0"",""'Game 10'!$B$2:$Q$34""),33,False),1)"),16.0)</f>
        <v>16</v>
      </c>
      <c r="M127" s="12">
        <f>IFERROR(__xludf.DUMMYFUNCTION("IFERROR(HLOOKUP($A127,IMPORTRANGE(""https://docs.google.com/spreadsheets/d/1CeexgK4KxWj3k_7nql_k8-RPxXMwTJyB4Q3vAASeDlA/edit#gid=0"",""'Game 1'!$B$2:$Q$34""),33,False),1)"),8.0)</f>
        <v>8</v>
      </c>
      <c r="N127" s="12">
        <f>IFERROR(__xludf.DUMMYFUNCTION("IFERROR(HLOOKUP($A127,IMPORTRANGE(""https://docs.google.com/spreadsheets/d/1MNwUNMjcwK6bEgCXwB73jpbK5gJAXS8ZMpbEMLJEP3E/edit#gid=0"",""'Game 10'!$B$2:$Q$34""),33,False),1)"),16.0)</f>
        <v>16</v>
      </c>
      <c r="O127" s="12">
        <f>IFERROR(__xludf.DUMMYFUNCTION("IFERROR(HLOOKUP($A127,IMPORTRANGE(""https://docs.google.com/spreadsheets/d/1UrzyxmT40kDZwVrLMf1yyXfP-pyczRAw9Y8Rw-uXG3c/edit#gid=0"",""'Game 7'!$B$2:$Q$34""),33,False),1)"),12.0)</f>
        <v>12</v>
      </c>
      <c r="P127" s="12">
        <f>IFERROR(__xludf.DUMMYFUNCTION("IFERROR(HLOOKUP($A127,IMPORTRANGE(""https://docs.google.com/spreadsheets/d/1iyMhSYWifw-KGFtyeBpNxVZr4BhcV9hVZuShgJ9Ia0E/edit#gid=0"",""'Game 9'!$B$2:$Q$34""),33,False),1)"),4.0)</f>
        <v>4</v>
      </c>
      <c r="Q127" s="12">
        <f>IFERROR(__xludf.DUMMYFUNCTION("IFERROR(HLOOKUP($A127,IMPORTRANGE(""https://docs.google.com/spreadsheets/d/1sSbIK-vvHsSY0LghLJ9gcnW8Hec_ITI2tFmpeqI999A/edit#gid=0"",""'Game 8'!$B$2:$Q$34""),33,False),1)"),12.0)</f>
        <v>12</v>
      </c>
      <c r="R127" s="13">
        <f>TUHStand!R127</f>
        <v>310</v>
      </c>
      <c r="S127" s="13">
        <f t="shared" si="4"/>
        <v>212</v>
      </c>
      <c r="T127" s="13">
        <f t="shared" si="5"/>
        <v>15.72903226</v>
      </c>
      <c r="U127" s="13">
        <f t="shared" si="3"/>
        <v>10</v>
      </c>
    </row>
    <row r="128">
      <c r="A128" s="18" t="s">
        <v>302</v>
      </c>
      <c r="B128" s="18" t="s">
        <v>303</v>
      </c>
      <c r="C128" s="18">
        <v>0.0</v>
      </c>
      <c r="D128" s="18">
        <v>4.0</v>
      </c>
      <c r="E128" s="18">
        <v>0.0</v>
      </c>
      <c r="F128" s="18">
        <v>0.0</v>
      </c>
      <c r="G128" s="3">
        <v>0.0</v>
      </c>
      <c r="H128" s="5">
        <f>IFERROR(__xludf.DUMMYFUNCTION("HLOOKUP($A128,IMPORTRANGE(""https://docs.google.com/spreadsheets/d/16J5ie7OD1E99qGO9lMDm8w5Yls-v190B7DTolJ5TmFc/edit#gid=0"",""'Game 2'!$B$2:$Q$34""),33,False)"),0.0)</f>
        <v>0</v>
      </c>
      <c r="I128" s="3">
        <v>0.0</v>
      </c>
      <c r="J128" s="5">
        <f>IFERROR(__xludf.DUMMYFUNCTION("IFERROR(HLOOKUP($A128,IMPORTRANGE(""https://docs.google.com/spreadsheets/d/1CTYfdyRk_RFGM3I2iN9bKeD9zUPzEm1ajzml6VgwfIU/edit#gid=0"",""'Game 6'!$B$2:$Q$34""),33,False),1)"),0.0)</f>
        <v>0</v>
      </c>
      <c r="K128" s="5">
        <f>IFERROR(__xludf.DUMMYFUNCTION("IFERROR(HLOOKUP($A128,IMPORTRANGE(""https://docs.google.com/spreadsheets/d/11NFkzOdQyW-OtxSDuGslNCgNjx7HUb2FU7KnlNnPMgY/edit#gid=0"",""'Game 6'!$B$2:$Q$34""),33,False),1)"),0.0)</f>
        <v>0</v>
      </c>
      <c r="L128" s="5">
        <f>IFERROR(__xludf.DUMMYFUNCTION("IFERROR(HLOOKUP($A128,IMPORTRANGE(""https://docs.google.com/spreadsheets/d/1CLg5-jaE4ta0-u4oE1qbBplQ5Mf3Oj9ONFgL0zJ7Ol4/edit#gid=0"",""'Game 6'!$B$2:$Q$34""),33,False),1)"),0.0)</f>
        <v>0</v>
      </c>
      <c r="M128" s="5">
        <f>IFERROR(__xludf.DUMMYFUNCTION("IFERROR(HLOOKUP($A128,IMPORTRANGE(""https://docs.google.com/spreadsheets/d/1CeexgK4KxWj3k_7nql_k8-RPxXMwTJyB4Q3vAASeDlA/edit#gid=0"",""'Game 6'!$B$2:$Q$34""),33,False),1)"),0.0)</f>
        <v>0</v>
      </c>
      <c r="N128" s="5">
        <f>IFERROR(__xludf.DUMMYFUNCTION("IFERROR(HLOOKUP($A128,IMPORTRANGE(""https://docs.google.com/spreadsheets/d/1MNwUNMjcwK6bEgCXwB73jpbK5gJAXS8ZMpbEMLJEP3E/edit#gid=0"",""'Game 6'!$B$2:$Q$34""),33,False),1)"),0.0)</f>
        <v>0</v>
      </c>
      <c r="O128" s="5">
        <f>IFERROR(__xludf.DUMMYFUNCTION("IFERROR(HLOOKUP($A128,IMPORTRANGE(""https://docs.google.com/spreadsheets/d/1UrzyxmT40kDZwVrLMf1yyXfP-pyczRAw9Y8Rw-uXG3c/edit#gid=0"",""'Game 6'!$B$2:$Q$34""),33,False),1)"),0.0)</f>
        <v>0</v>
      </c>
      <c r="P128" s="5">
        <f>IFERROR(__xludf.DUMMYFUNCTION("IFERROR(HLOOKUP($A128,IMPORTRANGE(""https://docs.google.com/spreadsheets/d/1iyMhSYWifw-KGFtyeBpNxVZr4BhcV9hVZuShgJ9Ia0E/edit#gid=0"",""'Game 6'!$B$2:$Q$34""),33,False),1)"),0.0)</f>
        <v>0</v>
      </c>
      <c r="Q128" s="5">
        <f>IFERROR(__xludf.DUMMYFUNCTION("IFERROR(HLOOKUP($A128,IMPORTRANGE(""https://docs.google.com/spreadsheets/d/1sSbIK-vvHsSY0LghLJ9gcnW8Hec_ITI2tFmpeqI999A/edit#gid=0"",""'Game 3'!$B$2:$Q$34""),33,False),1)"),4.0)</f>
        <v>4</v>
      </c>
      <c r="R128" s="6">
        <f>TUHStand!R128</f>
        <v>104</v>
      </c>
      <c r="S128" s="6">
        <f t="shared" si="4"/>
        <v>8</v>
      </c>
      <c r="T128" s="6">
        <f t="shared" si="5"/>
        <v>1.769230769</v>
      </c>
      <c r="U128" s="6">
        <f t="shared" si="3"/>
        <v>99</v>
      </c>
    </row>
    <row r="129">
      <c r="A129" s="20" t="s">
        <v>305</v>
      </c>
      <c r="B129" s="13" t="s">
        <v>303</v>
      </c>
      <c r="C129" s="20">
        <v>0.0</v>
      </c>
      <c r="D129" s="20">
        <v>0.0</v>
      </c>
      <c r="E129" s="20">
        <v>0.0</v>
      </c>
      <c r="F129" s="20">
        <v>0.0</v>
      </c>
      <c r="G129" s="2">
        <v>0.0</v>
      </c>
      <c r="H129" s="12">
        <f>IFERROR(__xludf.DUMMYFUNCTION("HLOOKUP($A129,IMPORTRANGE(""https://docs.google.com/spreadsheets/d/16J5ie7OD1E99qGO9lMDm8w5Yls-v190B7DTolJ5TmFc/edit#gid=0"",""'Game 2'!$B$2:$Q$34""),33,False)"),0.0)</f>
        <v>0</v>
      </c>
      <c r="I129" s="2">
        <v>0.0</v>
      </c>
      <c r="J129" s="12">
        <f>IFERROR(__xludf.DUMMYFUNCTION("IFERROR(HLOOKUP($A129,IMPORTRANGE(""https://docs.google.com/spreadsheets/d/1CTYfdyRk_RFGM3I2iN9bKeD9zUPzEm1ajzml6VgwfIU/edit#gid=0"",""'Game 6'!$B$2:$Q$34""),33,False),1)"),0.0)</f>
        <v>0</v>
      </c>
      <c r="K129" s="12">
        <f>IFERROR(__xludf.DUMMYFUNCTION("IFERROR(HLOOKUP($A129,IMPORTRANGE(""https://docs.google.com/spreadsheets/d/11NFkzOdQyW-OtxSDuGslNCgNjx7HUb2FU7KnlNnPMgY/edit#gid=0"",""'Game 6'!$B$2:$Q$34""),33,False),1)"),0.0)</f>
        <v>0</v>
      </c>
      <c r="L129" s="12">
        <f>IFERROR(__xludf.DUMMYFUNCTION("IFERROR(HLOOKUP($A129,IMPORTRANGE(""https://docs.google.com/spreadsheets/d/1CLg5-jaE4ta0-u4oE1qbBplQ5Mf3Oj9ONFgL0zJ7Ol4/edit#gid=0"",""'Game 6'!$B$2:$Q$34""),33,False),1)"),0.0)</f>
        <v>0</v>
      </c>
      <c r="M129" s="12">
        <f>IFERROR(__xludf.DUMMYFUNCTION("IFERROR(HLOOKUP($A129,IMPORTRANGE(""https://docs.google.com/spreadsheets/d/1CeexgK4KxWj3k_7nql_k8-RPxXMwTJyB4Q3vAASeDlA/edit#gid=0"",""'Game 6'!$B$2:$Q$34""),33,False),1)"),0.0)</f>
        <v>0</v>
      </c>
      <c r="N129" s="12">
        <f>IFERROR(__xludf.DUMMYFUNCTION("IFERROR(HLOOKUP($A129,IMPORTRANGE(""https://docs.google.com/spreadsheets/d/1MNwUNMjcwK6bEgCXwB73jpbK5gJAXS8ZMpbEMLJEP3E/edit#gid=0"",""'Game 6'!$B$2:$Q$34""),33,False),1)"),0.0)</f>
        <v>0</v>
      </c>
      <c r="O129" s="12">
        <f>IFERROR(__xludf.DUMMYFUNCTION("IFERROR(HLOOKUP($A129,IMPORTRANGE(""https://docs.google.com/spreadsheets/d/1UrzyxmT40kDZwVrLMf1yyXfP-pyczRAw9Y8Rw-uXG3c/edit#gid=0"",""'Game 6'!$B$2:$Q$34""),33,False),1)"),0.0)</f>
        <v>0</v>
      </c>
      <c r="P129" s="12">
        <f>IFERROR(__xludf.DUMMYFUNCTION("IFERROR(HLOOKUP($A129,IMPORTRANGE(""https://docs.google.com/spreadsheets/d/1iyMhSYWifw-KGFtyeBpNxVZr4BhcV9hVZuShgJ9Ia0E/edit#gid=0"",""'Game 6'!$B$2:$Q$34""),33,False),1)"),0.0)</f>
        <v>0</v>
      </c>
      <c r="Q129" s="12">
        <f>IFERROR(__xludf.DUMMYFUNCTION("IFERROR(HLOOKUP($A129,IMPORTRANGE(""https://docs.google.com/spreadsheets/d/1sSbIK-vvHsSY0LghLJ9gcnW8Hec_ITI2tFmpeqI999A/edit#gid=0"",""'Game 3'!$B$2:$Q$34""),33,False),1)"),0.0)</f>
        <v>0</v>
      </c>
      <c r="R129" s="13">
        <f>TUHStand!R129</f>
        <v>126</v>
      </c>
      <c r="S129" s="13">
        <f t="shared" si="4"/>
        <v>0</v>
      </c>
      <c r="T129" s="13">
        <f t="shared" si="5"/>
        <v>0</v>
      </c>
      <c r="U129" s="13">
        <f t="shared" si="3"/>
        <v>127</v>
      </c>
    </row>
    <row r="130">
      <c r="A130" s="18" t="s">
        <v>307</v>
      </c>
      <c r="B130" s="6" t="s">
        <v>303</v>
      </c>
      <c r="C130" s="18">
        <v>8.0</v>
      </c>
      <c r="D130" s="18">
        <v>0.0</v>
      </c>
      <c r="E130" s="18">
        <v>0.0</v>
      </c>
      <c r="F130" s="18">
        <v>8.0</v>
      </c>
      <c r="G130" s="3">
        <v>-4.0</v>
      </c>
      <c r="H130" s="5">
        <f>IFERROR(__xludf.DUMMYFUNCTION("HLOOKUP($A130,IMPORTRANGE(""https://docs.google.com/spreadsheets/d/16J5ie7OD1E99qGO9lMDm8w5Yls-v190B7DTolJ5TmFc/edit#gid=0"",""'Game 2'!$B$2:$Q$34""),33,False)"),0.0)</f>
        <v>0</v>
      </c>
      <c r="I130" s="3">
        <v>12.0</v>
      </c>
      <c r="J130" s="5">
        <f>IFERROR(__xludf.DUMMYFUNCTION("IFERROR(HLOOKUP($A130,IMPORTRANGE(""https://docs.google.com/spreadsheets/d/1CTYfdyRk_RFGM3I2iN9bKeD9zUPzEm1ajzml6VgwfIU/edit#gid=0"",""'Game 6'!$B$2:$Q$34""),33,False),1)"),16.0)</f>
        <v>16</v>
      </c>
      <c r="K130" s="5">
        <f>IFERROR(__xludf.DUMMYFUNCTION("IFERROR(HLOOKUP($A130,IMPORTRANGE(""https://docs.google.com/spreadsheets/d/11NFkzOdQyW-OtxSDuGslNCgNjx7HUb2FU7KnlNnPMgY/edit#gid=0"",""'Game 6'!$B$2:$Q$34""),33,False),1)"),4.0)</f>
        <v>4</v>
      </c>
      <c r="L130" s="5">
        <f>IFERROR(__xludf.DUMMYFUNCTION("IFERROR(HLOOKUP($A130,IMPORTRANGE(""https://docs.google.com/spreadsheets/d/1CLg5-jaE4ta0-u4oE1qbBplQ5Mf3Oj9ONFgL0zJ7Ol4/edit#gid=0"",""'Game 6'!$B$2:$Q$34""),33,False),1)"),0.0)</f>
        <v>0</v>
      </c>
      <c r="M130" s="5">
        <f>IFERROR(__xludf.DUMMYFUNCTION("IFERROR(HLOOKUP($A130,IMPORTRANGE(""https://docs.google.com/spreadsheets/d/1CeexgK4KxWj3k_7nql_k8-RPxXMwTJyB4Q3vAASeDlA/edit#gid=0"",""'Game 6'!$B$2:$Q$34""),33,False),1)"),16.0)</f>
        <v>16</v>
      </c>
      <c r="N130" s="5">
        <f>IFERROR(__xludf.DUMMYFUNCTION("IFERROR(HLOOKUP($A130,IMPORTRANGE(""https://docs.google.com/spreadsheets/d/1MNwUNMjcwK6bEgCXwB73jpbK5gJAXS8ZMpbEMLJEP3E/edit#gid=0"",""'Game 6'!$B$2:$Q$34""),33,False),1)"),12.0)</f>
        <v>12</v>
      </c>
      <c r="O130" s="5">
        <f>IFERROR(__xludf.DUMMYFUNCTION("IFERROR(HLOOKUP($A130,IMPORTRANGE(""https://docs.google.com/spreadsheets/d/1UrzyxmT40kDZwVrLMf1yyXfP-pyczRAw9Y8Rw-uXG3c/edit#gid=0"",""'Game 6'!$B$2:$Q$34""),33,False),1)"),12.0)</f>
        <v>12</v>
      </c>
      <c r="P130" s="5">
        <f>IFERROR(__xludf.DUMMYFUNCTION("IFERROR(HLOOKUP($A130,IMPORTRANGE(""https://docs.google.com/spreadsheets/d/1iyMhSYWifw-KGFtyeBpNxVZr4BhcV9hVZuShgJ9Ia0E/edit#gid=0"",""'Game 6'!$B$2:$Q$34""),33,False),1)"),8.0)</f>
        <v>8</v>
      </c>
      <c r="Q130" s="5">
        <f>IFERROR(__xludf.DUMMYFUNCTION("IFERROR(HLOOKUP($A130,IMPORTRANGE(""https://docs.google.com/spreadsheets/d/1sSbIK-vvHsSY0LghLJ9gcnW8Hec_ITI2tFmpeqI999A/edit#gid=0"",""'Game 3'!$B$2:$Q$34""),33,False),1)"),20.0)</f>
        <v>20</v>
      </c>
      <c r="R130" s="6">
        <f>TUHStand!R130</f>
        <v>311</v>
      </c>
      <c r="S130" s="6">
        <f t="shared" si="4"/>
        <v>112</v>
      </c>
      <c r="T130" s="6">
        <f t="shared" si="5"/>
        <v>8.282958199</v>
      </c>
      <c r="U130" s="6">
        <f t="shared" si="3"/>
        <v>33</v>
      </c>
    </row>
    <row r="131">
      <c r="A131" s="20" t="s">
        <v>310</v>
      </c>
      <c r="B131" s="13" t="s">
        <v>303</v>
      </c>
      <c r="C131" s="20">
        <v>28.0</v>
      </c>
      <c r="D131" s="20">
        <v>16.0</v>
      </c>
      <c r="E131" s="20">
        <v>24.0</v>
      </c>
      <c r="F131" s="20">
        <v>-4.0</v>
      </c>
      <c r="G131" s="2">
        <v>28.0</v>
      </c>
      <c r="H131" s="12">
        <f>IFERROR(__xludf.DUMMYFUNCTION("HLOOKUP($A131,IMPORTRANGE(""https://docs.google.com/spreadsheets/d/16J5ie7OD1E99qGO9lMDm8w5Yls-v190B7DTolJ5TmFc/edit#gid=0"",""'Game 2'!$B$2:$Q$34""),33,False)"),28.0)</f>
        <v>28</v>
      </c>
      <c r="I131" s="2">
        <v>20.0</v>
      </c>
      <c r="J131" s="12">
        <f>IFERROR(__xludf.DUMMYFUNCTION("IFERROR(HLOOKUP($A131,IMPORTRANGE(""https://docs.google.com/spreadsheets/d/1CTYfdyRk_RFGM3I2iN9bKeD9zUPzEm1ajzml6VgwfIU/edit#gid=0"",""'Game 6'!$B$2:$Q$34""),33,False),1)"),28.0)</f>
        <v>28</v>
      </c>
      <c r="K131" s="12">
        <f>IFERROR(__xludf.DUMMYFUNCTION("IFERROR(HLOOKUP($A131,IMPORTRANGE(""https://docs.google.com/spreadsheets/d/11NFkzOdQyW-OtxSDuGslNCgNjx7HUb2FU7KnlNnPMgY/edit#gid=0"",""'Game 6'!$B$2:$Q$34""),33,False),1)"),16.0)</f>
        <v>16</v>
      </c>
      <c r="L131" s="12">
        <f>IFERROR(__xludf.DUMMYFUNCTION("IFERROR(HLOOKUP($A131,IMPORTRANGE(""https://docs.google.com/spreadsheets/d/1CLg5-jaE4ta0-u4oE1qbBplQ5Mf3Oj9ONFgL0zJ7Ol4/edit#gid=0"",""'Game 6'!$B$2:$Q$34""),33,False),1)"),8.0)</f>
        <v>8</v>
      </c>
      <c r="M131" s="12">
        <f>IFERROR(__xludf.DUMMYFUNCTION("IFERROR(HLOOKUP($A131,IMPORTRANGE(""https://docs.google.com/spreadsheets/d/1CeexgK4KxWj3k_7nql_k8-RPxXMwTJyB4Q3vAASeDlA/edit#gid=0"",""'Game 6'!$B$2:$Q$34""),33,False),1)"),20.0)</f>
        <v>20</v>
      </c>
      <c r="N131" s="12">
        <f>IFERROR(__xludf.DUMMYFUNCTION("IFERROR(HLOOKUP($A131,IMPORTRANGE(""https://docs.google.com/spreadsheets/d/1MNwUNMjcwK6bEgCXwB73jpbK5gJAXS8ZMpbEMLJEP3E/edit#gid=0"",""'Game 6'!$B$2:$Q$34""),33,False),1)"),28.0)</f>
        <v>28</v>
      </c>
      <c r="O131" s="12">
        <f>IFERROR(__xludf.DUMMYFUNCTION("IFERROR(HLOOKUP($A131,IMPORTRANGE(""https://docs.google.com/spreadsheets/d/1UrzyxmT40kDZwVrLMf1yyXfP-pyczRAw9Y8Rw-uXG3c/edit#gid=0"",""'Game 6'!$B$2:$Q$34""),33,False),1)"),16.0)</f>
        <v>16</v>
      </c>
      <c r="P131" s="12">
        <f>IFERROR(__xludf.DUMMYFUNCTION("IFERROR(HLOOKUP($A131,IMPORTRANGE(""https://docs.google.com/spreadsheets/d/1iyMhSYWifw-KGFtyeBpNxVZr4BhcV9hVZuShgJ9Ia0E/edit#gid=0"",""'Game 6'!$B$2:$Q$34""),33,False),1)"),16.0)</f>
        <v>16</v>
      </c>
      <c r="Q131" s="12">
        <f>IFERROR(__xludf.DUMMYFUNCTION("IFERROR(HLOOKUP($A131,IMPORTRANGE(""https://docs.google.com/spreadsheets/d/1sSbIK-vvHsSY0LghLJ9gcnW8Hec_ITI2tFmpeqI999A/edit#gid=0"",""'Game 3'!$B$2:$Q$34""),33,False),1)"),0.0)</f>
        <v>0</v>
      </c>
      <c r="R131" s="13">
        <f>TUHStand!R131</f>
        <v>299</v>
      </c>
      <c r="S131" s="13">
        <f t="shared" si="4"/>
        <v>272</v>
      </c>
      <c r="T131" s="13">
        <f t="shared" si="5"/>
        <v>20.92307692</v>
      </c>
      <c r="U131" s="13">
        <f t="shared" si="3"/>
        <v>3</v>
      </c>
    </row>
    <row r="132">
      <c r="A132" s="18" t="s">
        <v>312</v>
      </c>
      <c r="B132" s="6" t="s">
        <v>303</v>
      </c>
      <c r="C132" s="18">
        <v>4.0</v>
      </c>
      <c r="D132" s="18">
        <v>20.0</v>
      </c>
      <c r="E132" s="18">
        <v>12.0</v>
      </c>
      <c r="F132" s="18">
        <v>16.0</v>
      </c>
      <c r="G132" s="3">
        <v>0.0</v>
      </c>
      <c r="H132" s="5">
        <f>IFERROR(__xludf.DUMMYFUNCTION("HLOOKUP($A132,IMPORTRANGE(""https://docs.google.com/spreadsheets/d/16J5ie7OD1E99qGO9lMDm8w5Yls-v190B7DTolJ5TmFc/edit#gid=0"",""'Game 2'!$B$2:$Q$34""),33,False)"),16.0)</f>
        <v>16</v>
      </c>
      <c r="I132" s="3">
        <v>12.0</v>
      </c>
      <c r="J132" s="5">
        <f>IFERROR(__xludf.DUMMYFUNCTION("IFERROR(HLOOKUP($A132,IMPORTRANGE(""https://docs.google.com/spreadsheets/d/1CTYfdyRk_RFGM3I2iN9bKeD9zUPzEm1ajzml6VgwfIU/edit#gid=0"",""'Game 6'!$B$2:$Q$34""),33,False),1)"),0.0)</f>
        <v>0</v>
      </c>
      <c r="K132" s="5">
        <f>IFERROR(__xludf.DUMMYFUNCTION("IFERROR(HLOOKUP($A132,IMPORTRANGE(""https://docs.google.com/spreadsheets/d/11NFkzOdQyW-OtxSDuGslNCgNjx7HUb2FU7KnlNnPMgY/edit#gid=0"",""'Game 6'!$B$2:$Q$34""),33,False),1)"),28.0)</f>
        <v>28</v>
      </c>
      <c r="L132" s="5">
        <f>IFERROR(__xludf.DUMMYFUNCTION("IFERROR(HLOOKUP($A132,IMPORTRANGE(""https://docs.google.com/spreadsheets/d/1CLg5-jaE4ta0-u4oE1qbBplQ5Mf3Oj9ONFgL0zJ7Ol4/edit#gid=0"",""'Game 6'!$B$2:$Q$34""),33,False),1)"),8.0)</f>
        <v>8</v>
      </c>
      <c r="M132" s="5">
        <f>IFERROR(__xludf.DUMMYFUNCTION("IFERROR(HLOOKUP($A132,IMPORTRANGE(""https://docs.google.com/spreadsheets/d/1CeexgK4KxWj3k_7nql_k8-RPxXMwTJyB4Q3vAASeDlA/edit#gid=0"",""'Game 6'!$B$2:$Q$34""),33,False),1)"),8.0)</f>
        <v>8</v>
      </c>
      <c r="N132" s="5">
        <f>IFERROR(__xludf.DUMMYFUNCTION("IFERROR(HLOOKUP($A132,IMPORTRANGE(""https://docs.google.com/spreadsheets/d/1MNwUNMjcwK6bEgCXwB73jpbK5gJAXS8ZMpbEMLJEP3E/edit#gid=0"",""'Game 6'!$B$2:$Q$34""),33,False),1)"),20.0)</f>
        <v>20</v>
      </c>
      <c r="O132" s="5">
        <f>IFERROR(__xludf.DUMMYFUNCTION("IFERROR(HLOOKUP($A132,IMPORTRANGE(""https://docs.google.com/spreadsheets/d/1UrzyxmT40kDZwVrLMf1yyXfP-pyczRAw9Y8Rw-uXG3c/edit#gid=0"",""'Game 6'!$B$2:$Q$34""),33,False),1)"),16.0)</f>
        <v>16</v>
      </c>
      <c r="P132" s="5">
        <f>IFERROR(__xludf.DUMMYFUNCTION("IFERROR(HLOOKUP($A132,IMPORTRANGE(""https://docs.google.com/spreadsheets/d/1iyMhSYWifw-KGFtyeBpNxVZr4BhcV9hVZuShgJ9Ia0E/edit#gid=0"",""'Game 6'!$B$2:$Q$34""),33,False),1)"),16.0)</f>
        <v>16</v>
      </c>
      <c r="Q132" s="5">
        <f>IFERROR(__xludf.DUMMYFUNCTION("IFERROR(HLOOKUP($A132,IMPORTRANGE(""https://docs.google.com/spreadsheets/d/1sSbIK-vvHsSY0LghLJ9gcnW8Hec_ITI2tFmpeqI999A/edit#gid=0"",""'Game 3'!$B$2:$Q$34""),33,False),1)"),0.0)</f>
        <v>0</v>
      </c>
      <c r="R132" s="6">
        <f>TUHStand!R132</f>
        <v>295</v>
      </c>
      <c r="S132" s="6">
        <f t="shared" si="4"/>
        <v>176</v>
      </c>
      <c r="T132" s="6">
        <f t="shared" si="5"/>
        <v>13.7220339</v>
      </c>
      <c r="U132" s="6">
        <f t="shared" si="3"/>
        <v>15</v>
      </c>
    </row>
    <row r="133">
      <c r="A133" s="20" t="s">
        <v>313</v>
      </c>
      <c r="B133" s="13" t="s">
        <v>303</v>
      </c>
      <c r="C133" s="20">
        <v>0.0</v>
      </c>
      <c r="D133" s="20">
        <v>0.0</v>
      </c>
      <c r="E133" s="20">
        <v>0.0</v>
      </c>
      <c r="F133" s="20">
        <v>0.0</v>
      </c>
      <c r="G133" s="2">
        <v>0.0</v>
      </c>
      <c r="H133" s="12">
        <f>IFERROR(__xludf.DUMMYFUNCTION("HLOOKUP($A133,IMPORTRANGE(""https://docs.google.com/spreadsheets/d/16J5ie7OD1E99qGO9lMDm8w5Yls-v190B7DTolJ5TmFc/edit#gid=0"",""'Game 2'!$B$2:$Q$34""),33,False)"),0.0)</f>
        <v>0</v>
      </c>
      <c r="I133" s="2">
        <v>0.0</v>
      </c>
      <c r="J133" s="12">
        <f>IFERROR(__xludf.DUMMYFUNCTION("IFERROR(HLOOKUP($A133,IMPORTRANGE(""https://docs.google.com/spreadsheets/d/1CTYfdyRk_RFGM3I2iN9bKeD9zUPzEm1ajzml6VgwfIU/edit#gid=0"",""'Game 6'!$B$2:$Q$34""),33,False),1)"),0.0)</f>
        <v>0</v>
      </c>
      <c r="K133" s="12">
        <f>IFERROR(__xludf.DUMMYFUNCTION("IFERROR(HLOOKUP($A133,IMPORTRANGE(""https://docs.google.com/spreadsheets/d/11NFkzOdQyW-OtxSDuGslNCgNjx7HUb2FU7KnlNnPMgY/edit#gid=0"",""'Game 6'!$B$2:$Q$34""),33,False),1)"),0.0)</f>
        <v>0</v>
      </c>
      <c r="L133" s="12">
        <f>IFERROR(__xludf.DUMMYFUNCTION("IFERROR(HLOOKUP($A133,IMPORTRANGE(""https://docs.google.com/spreadsheets/d/1CLg5-jaE4ta0-u4oE1qbBplQ5Mf3Oj9ONFgL0zJ7Ol4/edit#gid=0"",""'Game 6'!$B$2:$Q$34""),33,False),1)"),0.0)</f>
        <v>0</v>
      </c>
      <c r="M133" s="12">
        <f>IFERROR(__xludf.DUMMYFUNCTION("IFERROR(HLOOKUP($A133,IMPORTRANGE(""https://docs.google.com/spreadsheets/d/1CeexgK4KxWj3k_7nql_k8-RPxXMwTJyB4Q3vAASeDlA/edit#gid=0"",""'Game 6'!$B$2:$Q$34""),33,False),1)"),0.0)</f>
        <v>0</v>
      </c>
      <c r="N133" s="12">
        <f>IFERROR(__xludf.DUMMYFUNCTION("IFERROR(HLOOKUP($A133,IMPORTRANGE(""https://docs.google.com/spreadsheets/d/1MNwUNMjcwK6bEgCXwB73jpbK5gJAXS8ZMpbEMLJEP3E/edit#gid=0"",""'Game 6'!$B$2:$Q$34""),33,False),1)"),0.0)</f>
        <v>0</v>
      </c>
      <c r="O133" s="12">
        <f>IFERROR(__xludf.DUMMYFUNCTION("IFERROR(HLOOKUP($A133,IMPORTRANGE(""https://docs.google.com/spreadsheets/d/1UrzyxmT40kDZwVrLMf1yyXfP-pyczRAw9Y8Rw-uXG3c/edit#gid=0"",""'Game 6'!$B$2:$Q$34""),33,False),1)"),0.0)</f>
        <v>0</v>
      </c>
      <c r="P133" s="12">
        <f>IFERROR(__xludf.DUMMYFUNCTION("IFERROR(HLOOKUP($A133,IMPORTRANGE(""https://docs.google.com/spreadsheets/d/1iyMhSYWifw-KGFtyeBpNxVZr4BhcV9hVZuShgJ9Ia0E/edit#gid=0"",""'Game 6'!$B$2:$Q$34""),33,False),1)"),0.0)</f>
        <v>0</v>
      </c>
      <c r="Q133" s="12">
        <f>IFERROR(__xludf.DUMMYFUNCTION("IFERROR(HLOOKUP($A133,IMPORTRANGE(""https://docs.google.com/spreadsheets/d/1sSbIK-vvHsSY0LghLJ9gcnW8Hec_ITI2tFmpeqI999A/edit#gid=0"",""'Game 3'!$B$2:$Q$34""),33,False),1)"),0.0)</f>
        <v>0</v>
      </c>
      <c r="R133" s="13">
        <f>TUHStand!R133</f>
        <v>114</v>
      </c>
      <c r="S133" s="13">
        <f t="shared" si="4"/>
        <v>0</v>
      </c>
      <c r="T133" s="13">
        <f t="shared" si="5"/>
        <v>0</v>
      </c>
      <c r="U133" s="13">
        <f t="shared" si="3"/>
        <v>127</v>
      </c>
    </row>
    <row r="134">
      <c r="A134" s="18" t="s">
        <v>315</v>
      </c>
      <c r="B134" s="18" t="s">
        <v>303</v>
      </c>
      <c r="C134" s="18">
        <v>0.0</v>
      </c>
      <c r="D134" s="18">
        <v>0.0</v>
      </c>
      <c r="E134" s="18">
        <v>0.0</v>
      </c>
      <c r="F134" s="18">
        <v>0.0</v>
      </c>
      <c r="G134" s="3">
        <v>0.0</v>
      </c>
      <c r="H134" s="5">
        <f>IFERROR(__xludf.DUMMYFUNCTION("HLOOKUP($A134,IMPORTRANGE(""https://docs.google.com/spreadsheets/d/16J5ie7OD1E99qGO9lMDm8w5Yls-v190B7DTolJ5TmFc/edit#gid=0"",""'Game 2'!$B$2:$Q$34""),33,False)"),0.0)</f>
        <v>0</v>
      </c>
      <c r="I134" s="3">
        <v>0.0</v>
      </c>
      <c r="J134" s="5">
        <f>IFERROR(__xludf.DUMMYFUNCTION("IFERROR(HLOOKUP($A134,IMPORTRANGE(""https://docs.google.com/spreadsheets/d/1CTYfdyRk_RFGM3I2iN9bKeD9zUPzEm1ajzml6VgwfIU/edit#gid=0"",""'Game 6'!$B$2:$Q$34""),33,False),1)"),0.0)</f>
        <v>0</v>
      </c>
      <c r="K134" s="5">
        <f>IFERROR(__xludf.DUMMYFUNCTION("IFERROR(HLOOKUP($A134,IMPORTRANGE(""https://docs.google.com/spreadsheets/d/11NFkzOdQyW-OtxSDuGslNCgNjx7HUb2FU7KnlNnPMgY/edit#gid=0"",""'Game 6'!$B$2:$Q$34""),33,False),1)"),0.0)</f>
        <v>0</v>
      </c>
      <c r="L134" s="5">
        <f>IFERROR(__xludf.DUMMYFUNCTION("IFERROR(HLOOKUP($A134,IMPORTRANGE(""https://docs.google.com/spreadsheets/d/1CLg5-jaE4ta0-u4oE1qbBplQ5Mf3Oj9ONFgL0zJ7Ol4/edit#gid=0"",""'Game 6'!$B$2:$Q$34""),33,False),1)"),0.0)</f>
        <v>0</v>
      </c>
      <c r="M134" s="5">
        <f>IFERROR(__xludf.DUMMYFUNCTION("IFERROR(HLOOKUP($A134,IMPORTRANGE(""https://docs.google.com/spreadsheets/d/1CeexgK4KxWj3k_7nql_k8-RPxXMwTJyB4Q3vAASeDlA/edit#gid=0"",""'Game 6'!$B$2:$Q$34""),33,False),1)"),0.0)</f>
        <v>0</v>
      </c>
      <c r="N134" s="5">
        <f>IFERROR(__xludf.DUMMYFUNCTION("IFERROR(HLOOKUP($A134,IMPORTRANGE(""https://docs.google.com/spreadsheets/d/1MNwUNMjcwK6bEgCXwB73jpbK5gJAXS8ZMpbEMLJEP3E/edit#gid=0"",""'Game 6'!$B$2:$Q$34""),33,False),1)"),0.0)</f>
        <v>0</v>
      </c>
      <c r="O134" s="5">
        <f>IFERROR(__xludf.DUMMYFUNCTION("IFERROR(HLOOKUP($A134,IMPORTRANGE(""https://docs.google.com/spreadsheets/d/1UrzyxmT40kDZwVrLMf1yyXfP-pyczRAw9Y8Rw-uXG3c/edit#gid=0"",""'Game 6'!$B$2:$Q$34""),33,False),1)"),0.0)</f>
        <v>0</v>
      </c>
      <c r="P134" s="5">
        <f>IFERROR(__xludf.DUMMYFUNCTION("IFERROR(HLOOKUP($A134,IMPORTRANGE(""https://docs.google.com/spreadsheets/d/1iyMhSYWifw-KGFtyeBpNxVZr4BhcV9hVZuShgJ9Ia0E/edit#gid=0"",""'Game 6'!$B$2:$Q$34""),33,False),1)"),0.0)</f>
        <v>0</v>
      </c>
      <c r="Q134" s="5">
        <f>IFERROR(__xludf.DUMMYFUNCTION("IFERROR(HLOOKUP($A134,IMPORTRANGE(""https://docs.google.com/spreadsheets/d/1sSbIK-vvHsSY0LghLJ9gcnW8Hec_ITI2tFmpeqI999A/edit#gid=0"",""'Game 3'!$B$2:$Q$34""),33,False),1)"),8.0)</f>
        <v>8</v>
      </c>
      <c r="R134" s="6">
        <f>TUHStand!R134</f>
        <v>108</v>
      </c>
      <c r="S134" s="6">
        <f t="shared" si="4"/>
        <v>8</v>
      </c>
      <c r="T134" s="6">
        <f t="shared" si="5"/>
        <v>1.703703704</v>
      </c>
      <c r="U134" s="6">
        <f t="shared" si="3"/>
        <v>101</v>
      </c>
    </row>
    <row r="135">
      <c r="A135" s="20" t="s">
        <v>317</v>
      </c>
      <c r="B135" s="13" t="s">
        <v>318</v>
      </c>
      <c r="C135" s="20">
        <v>0.0</v>
      </c>
      <c r="D135" s="20">
        <v>0.0</v>
      </c>
      <c r="E135" s="20">
        <v>0.0</v>
      </c>
      <c r="F135" s="20">
        <v>0.0</v>
      </c>
      <c r="G135" s="2">
        <v>0.0</v>
      </c>
      <c r="H135" s="12">
        <f>IFERROR(__xludf.DUMMYFUNCTION("HLOOKUP($A135,IMPORTRANGE(""https://docs.google.com/spreadsheets/d/16J5ie7OD1E99qGO9lMDm8w5Yls-v190B7DTolJ5TmFc/edit#gid=0"",""'Game 11'!$B$2:$Q$34""),33,False)"),0.0)</f>
        <v>0</v>
      </c>
      <c r="I135" s="2">
        <v>0.0</v>
      </c>
      <c r="J135" s="12">
        <f>IFERROR(__xludf.DUMMYFUNCTION("IFERROR(HLOOKUP($A135,IMPORTRANGE(""https://docs.google.com/spreadsheets/d/1CTYfdyRk_RFGM3I2iN9bKeD9zUPzEm1ajzml6VgwfIU/edit#gid=0"",""'Game 3'!$B$2:$Q$34""),33,False),1)"),0.0)</f>
        <v>0</v>
      </c>
      <c r="K135" s="12">
        <f>IFERROR(__xludf.DUMMYFUNCTION("IFERROR(HLOOKUP($A135,IMPORTRANGE(""https://docs.google.com/spreadsheets/d/11NFkzOdQyW-OtxSDuGslNCgNjx7HUb2FU7KnlNnPMgY/edit#gid=0"",""'Game 13'!$B$2:$Q$34""),33,False),1)"),0.0)</f>
        <v>0</v>
      </c>
      <c r="L135" s="12">
        <f>IFERROR(__xludf.DUMMYFUNCTION("IFERROR(HLOOKUP($A135,IMPORTRANGE(""https://docs.google.com/spreadsheets/d/1CLg5-jaE4ta0-u4oE1qbBplQ5Mf3Oj9ONFgL0zJ7Ol4/edit#gid=0"",""'Game 9'!$B$2:$Q$34""),33,False),1)"),0.0)</f>
        <v>0</v>
      </c>
      <c r="M135" s="12">
        <f>IFERROR(__xludf.DUMMYFUNCTION("IFERROR(HLOOKUP($A135,IMPORTRANGE(""https://docs.google.com/spreadsheets/d/1CeexgK4KxWj3k_7nql_k8-RPxXMwTJyB4Q3vAASeDlA/edit#gid=0"",""'Game 8'!$B$2:$Q$34""),33,False),1)"),0.0)</f>
        <v>0</v>
      </c>
      <c r="N135" s="12">
        <f>IFERROR(__xludf.DUMMYFUNCTION("IFERROR(HLOOKUP($A135,IMPORTRANGE(""https://docs.google.com/spreadsheets/d/1MNwUNMjcwK6bEgCXwB73jpbK5gJAXS8ZMpbEMLJEP3E/edit#gid=0"",""'Game 13'!$B$2:$Q$34""),33,False),1)"),0.0)</f>
        <v>0</v>
      </c>
      <c r="O135" s="12">
        <f>IFERROR(__xludf.DUMMYFUNCTION("IFERROR(HLOOKUP($A135,IMPORTRANGE(""https://docs.google.com/spreadsheets/d/1UrzyxmT40kDZwVrLMf1yyXfP-pyczRAw9Y8Rw-uXG3c/edit#gid=0"",""'Game 9'!$B$2:$Q$34""),33,False),1)"),0.0)</f>
        <v>0</v>
      </c>
      <c r="P135" s="12">
        <f>IFERROR(__xludf.DUMMYFUNCTION("IFERROR(HLOOKUP($A135,IMPORTRANGE(""https://docs.google.com/spreadsheets/d/1iyMhSYWifw-KGFtyeBpNxVZr4BhcV9hVZuShgJ9Ia0E/edit#gid=0"",""'Game 12'!$B$2:$Q$34""),33,False),1)"),0.0)</f>
        <v>0</v>
      </c>
      <c r="Q135" s="12">
        <f>IFERROR(__xludf.DUMMYFUNCTION("IFERROR(HLOOKUP($A135,IMPORTRANGE(""https://docs.google.com/spreadsheets/d/1sSbIK-vvHsSY0LghLJ9gcnW8Hec_ITI2tFmpeqI999A/edit#gid=0"",""'Game 13'!$B$2:$Q$34""),33,False),1)"),0.0)</f>
        <v>0</v>
      </c>
      <c r="R135" s="13">
        <f>TUHStand!R135</f>
        <v>24</v>
      </c>
      <c r="S135" s="13">
        <f t="shared" si="4"/>
        <v>0</v>
      </c>
      <c r="T135" s="13">
        <f t="shared" si="5"/>
        <v>0</v>
      </c>
      <c r="U135" s="13">
        <f t="shared" si="3"/>
        <v>127</v>
      </c>
    </row>
    <row r="136">
      <c r="A136" s="18" t="s">
        <v>320</v>
      </c>
      <c r="B136" s="6" t="s">
        <v>318</v>
      </c>
      <c r="C136" s="18">
        <v>12.0</v>
      </c>
      <c r="D136" s="18">
        <v>4.0</v>
      </c>
      <c r="E136" s="18">
        <v>0.0</v>
      </c>
      <c r="F136" s="18">
        <v>4.0</v>
      </c>
      <c r="G136" s="3">
        <v>0.0</v>
      </c>
      <c r="H136" s="5">
        <f>IFERROR(__xludf.DUMMYFUNCTION("HLOOKUP($A136,IMPORTRANGE(""https://docs.google.com/spreadsheets/d/16J5ie7OD1E99qGO9lMDm8w5Yls-v190B7DTolJ5TmFc/edit#gid=0"",""'Game 11'!$B$2:$Q$34""),33,False)"),8.0)</f>
        <v>8</v>
      </c>
      <c r="I136" s="3">
        <v>0.0</v>
      </c>
      <c r="J136" s="5">
        <f>IFERROR(__xludf.DUMMYFUNCTION("IFERROR(HLOOKUP($A136,IMPORTRANGE(""https://docs.google.com/spreadsheets/d/1CTYfdyRk_RFGM3I2iN9bKeD9zUPzEm1ajzml6VgwfIU/edit#gid=0"",""'Game 3'!$B$2:$Q$34""),33,False),1)"),8.0)</f>
        <v>8</v>
      </c>
      <c r="K136" s="5">
        <f>IFERROR(__xludf.DUMMYFUNCTION("IFERROR(HLOOKUP($A136,IMPORTRANGE(""https://docs.google.com/spreadsheets/d/11NFkzOdQyW-OtxSDuGslNCgNjx7HUb2FU7KnlNnPMgY/edit#gid=0"",""'Game 13'!$B$2:$Q$34""),33,False),1)"),4.0)</f>
        <v>4</v>
      </c>
      <c r="L136" s="5">
        <f>IFERROR(__xludf.DUMMYFUNCTION("IFERROR(HLOOKUP($A136,IMPORTRANGE(""https://docs.google.com/spreadsheets/d/1CLg5-jaE4ta0-u4oE1qbBplQ5Mf3Oj9ONFgL0zJ7Ol4/edit#gid=0"",""'Game 9'!$B$2:$Q$34""),33,False),1)"),12.0)</f>
        <v>12</v>
      </c>
      <c r="M136" s="5">
        <f>IFERROR(__xludf.DUMMYFUNCTION("IFERROR(HLOOKUP($A136,IMPORTRANGE(""https://docs.google.com/spreadsheets/d/1CeexgK4KxWj3k_7nql_k8-RPxXMwTJyB4Q3vAASeDlA/edit#gid=0"",""'Game 8'!$B$2:$Q$34""),33,False),1)"),0.0)</f>
        <v>0</v>
      </c>
      <c r="N136" s="5">
        <f>IFERROR(__xludf.DUMMYFUNCTION("IFERROR(HLOOKUP($A136,IMPORTRANGE(""https://docs.google.com/spreadsheets/d/1MNwUNMjcwK6bEgCXwB73jpbK5gJAXS8ZMpbEMLJEP3E/edit#gid=0"",""'Game 13'!$B$2:$Q$34""),33,False),1)"),0.0)</f>
        <v>0</v>
      </c>
      <c r="O136" s="5">
        <f>IFERROR(__xludf.DUMMYFUNCTION("IFERROR(HLOOKUP($A136,IMPORTRANGE(""https://docs.google.com/spreadsheets/d/1UrzyxmT40kDZwVrLMf1yyXfP-pyczRAw9Y8Rw-uXG3c/edit#gid=0"",""'Game 9'!$B$2:$Q$34""),33,False),1)"),0.0)</f>
        <v>0</v>
      </c>
      <c r="P136" s="5">
        <f>IFERROR(__xludf.DUMMYFUNCTION("IFERROR(HLOOKUP($A136,IMPORTRANGE(""https://docs.google.com/spreadsheets/d/1iyMhSYWifw-KGFtyeBpNxVZr4BhcV9hVZuShgJ9Ia0E/edit#gid=0"",""'Game 12'!$B$2:$Q$34""),33,False),1)"),0.0)</f>
        <v>0</v>
      </c>
      <c r="Q136" s="5">
        <f>IFERROR(__xludf.DUMMYFUNCTION("IFERROR(HLOOKUP($A136,IMPORTRANGE(""https://docs.google.com/spreadsheets/d/1sSbIK-vvHsSY0LghLJ9gcnW8Hec_ITI2tFmpeqI999A/edit#gid=0"",""'Game 13'!$B$2:$Q$34""),33,False),1)"),0.0)</f>
        <v>0</v>
      </c>
      <c r="R136" s="6">
        <f>TUHStand!R136</f>
        <v>219</v>
      </c>
      <c r="S136" s="6">
        <f t="shared" si="4"/>
        <v>52</v>
      </c>
      <c r="T136" s="6">
        <f t="shared" si="5"/>
        <v>5.461187215</v>
      </c>
      <c r="U136" s="6">
        <f t="shared" si="3"/>
        <v>58</v>
      </c>
    </row>
    <row r="137">
      <c r="A137" s="20" t="s">
        <v>322</v>
      </c>
      <c r="B137" s="13" t="s">
        <v>318</v>
      </c>
      <c r="C137" s="20">
        <v>4.0</v>
      </c>
      <c r="D137" s="20">
        <v>12.0</v>
      </c>
      <c r="E137" s="20">
        <v>12.0</v>
      </c>
      <c r="F137" s="20">
        <v>0.0</v>
      </c>
      <c r="G137" s="2">
        <v>8.0</v>
      </c>
      <c r="H137" s="12">
        <f>IFERROR(__xludf.DUMMYFUNCTION("HLOOKUP($A137,IMPORTRANGE(""https://docs.google.com/spreadsheets/d/16J5ie7OD1E99qGO9lMDm8w5Yls-v190B7DTolJ5TmFc/edit#gid=0"",""'Game 11'!$B$2:$Q$34""),33,False)"),8.0)</f>
        <v>8</v>
      </c>
      <c r="I137" s="2">
        <v>4.0</v>
      </c>
      <c r="J137" s="12">
        <f>IFERROR(__xludf.DUMMYFUNCTION("IFERROR(HLOOKUP($A137,IMPORTRANGE(""https://docs.google.com/spreadsheets/d/1CTYfdyRk_RFGM3I2iN9bKeD9zUPzEm1ajzml6VgwfIU/edit#gid=0"",""'Game 3'!$B$2:$Q$34""),33,False),1)"),0.0)</f>
        <v>0</v>
      </c>
      <c r="K137" s="12">
        <f>IFERROR(__xludf.DUMMYFUNCTION("IFERROR(HLOOKUP($A137,IMPORTRANGE(""https://docs.google.com/spreadsheets/d/11NFkzOdQyW-OtxSDuGslNCgNjx7HUb2FU7KnlNnPMgY/edit#gid=0"",""'Game 13'!$B$2:$Q$34""),33,False),1)"),0.0)</f>
        <v>0</v>
      </c>
      <c r="L137" s="12">
        <f>IFERROR(__xludf.DUMMYFUNCTION("IFERROR(HLOOKUP($A137,IMPORTRANGE(""https://docs.google.com/spreadsheets/d/1CLg5-jaE4ta0-u4oE1qbBplQ5Mf3Oj9ONFgL0zJ7Ol4/edit#gid=0"",""'Game 9'!$B$2:$Q$34""),33,False),1)"),8.0)</f>
        <v>8</v>
      </c>
      <c r="M137" s="12">
        <f>IFERROR(__xludf.DUMMYFUNCTION("IFERROR(HLOOKUP($A137,IMPORTRANGE(""https://docs.google.com/spreadsheets/d/1CeexgK4KxWj3k_7nql_k8-RPxXMwTJyB4Q3vAASeDlA/edit#gid=0"",""'Game 8'!$B$2:$Q$34""),33,False),1)"),0.0)</f>
        <v>0</v>
      </c>
      <c r="N137" s="12">
        <f>IFERROR(__xludf.DUMMYFUNCTION("IFERROR(HLOOKUP($A137,IMPORTRANGE(""https://docs.google.com/spreadsheets/d/1MNwUNMjcwK6bEgCXwB73jpbK5gJAXS8ZMpbEMLJEP3E/edit#gid=0"",""'Game 13'!$B$2:$Q$34""),33,False),1)"),0.0)</f>
        <v>0</v>
      </c>
      <c r="O137" s="12">
        <f>IFERROR(__xludf.DUMMYFUNCTION("IFERROR(HLOOKUP($A137,IMPORTRANGE(""https://docs.google.com/spreadsheets/d/1UrzyxmT40kDZwVrLMf1yyXfP-pyczRAw9Y8Rw-uXG3c/edit#gid=0"",""'Game 9'!$B$2:$Q$34""),33,False),1)"),0.0)</f>
        <v>0</v>
      </c>
      <c r="P137" s="12">
        <f>IFERROR(__xludf.DUMMYFUNCTION("IFERROR(HLOOKUP($A137,IMPORTRANGE(""https://docs.google.com/spreadsheets/d/1iyMhSYWifw-KGFtyeBpNxVZr4BhcV9hVZuShgJ9Ia0E/edit#gid=0"",""'Game 12'!$B$2:$Q$34""),33,False),1)"),0.0)</f>
        <v>0</v>
      </c>
      <c r="Q137" s="12">
        <f>IFERROR(__xludf.DUMMYFUNCTION("IFERROR(HLOOKUP($A137,IMPORTRANGE(""https://docs.google.com/spreadsheets/d/1sSbIK-vvHsSY0LghLJ9gcnW8Hec_ITI2tFmpeqI999A/edit#gid=0"",""'Game 13'!$B$2:$Q$34""),33,False),1)"),12.0)</f>
        <v>12</v>
      </c>
      <c r="R137" s="13">
        <f>TUHStand!R137</f>
        <v>207</v>
      </c>
      <c r="S137" s="13">
        <f t="shared" si="4"/>
        <v>68</v>
      </c>
      <c r="T137" s="13">
        <f t="shared" si="5"/>
        <v>7.555555556</v>
      </c>
      <c r="U137" s="13">
        <f t="shared" si="3"/>
        <v>38</v>
      </c>
    </row>
    <row r="138">
      <c r="A138" s="18" t="s">
        <v>323</v>
      </c>
      <c r="B138" s="6" t="s">
        <v>318</v>
      </c>
      <c r="C138" s="18">
        <v>0.0</v>
      </c>
      <c r="D138" s="18">
        <v>8.0</v>
      </c>
      <c r="E138" s="18">
        <v>8.0</v>
      </c>
      <c r="F138" s="18">
        <v>4.0</v>
      </c>
      <c r="G138" s="3">
        <v>0.0</v>
      </c>
      <c r="H138" s="5">
        <f>IFERROR(__xludf.DUMMYFUNCTION("HLOOKUP($A138,IMPORTRANGE(""https://docs.google.com/spreadsheets/d/16J5ie7OD1E99qGO9lMDm8w5Yls-v190B7DTolJ5TmFc/edit#gid=0"",""'Game 11'!$B$2:$Q$34""),33,False)"),8.0)</f>
        <v>8</v>
      </c>
      <c r="I138" s="3">
        <v>4.0</v>
      </c>
      <c r="J138" s="5">
        <f>IFERROR(__xludf.DUMMYFUNCTION("IFERROR(HLOOKUP($A138,IMPORTRANGE(""https://docs.google.com/spreadsheets/d/1CTYfdyRk_RFGM3I2iN9bKeD9zUPzEm1ajzml6VgwfIU/edit#gid=0"",""'Game 3'!$B$2:$Q$34""),33,False),1)"),8.0)</f>
        <v>8</v>
      </c>
      <c r="K138" s="5">
        <f>IFERROR(__xludf.DUMMYFUNCTION("IFERROR(HLOOKUP($A138,IMPORTRANGE(""https://docs.google.com/spreadsheets/d/11NFkzOdQyW-OtxSDuGslNCgNjx7HUb2FU7KnlNnPMgY/edit#gid=0"",""'Game 13'!$B$2:$Q$34""),33,False),1)"),4.0)</f>
        <v>4</v>
      </c>
      <c r="L138" s="5">
        <f>IFERROR(__xludf.DUMMYFUNCTION("IFERROR(HLOOKUP($A138,IMPORTRANGE(""https://docs.google.com/spreadsheets/d/1CLg5-jaE4ta0-u4oE1qbBplQ5Mf3Oj9ONFgL0zJ7Ol4/edit#gid=0"",""'Game 9'!$B$2:$Q$34""),33,False),1)"),8.0)</f>
        <v>8</v>
      </c>
      <c r="M138" s="5">
        <f>IFERROR(__xludf.DUMMYFUNCTION("IFERROR(HLOOKUP($A138,IMPORTRANGE(""https://docs.google.com/spreadsheets/d/1CeexgK4KxWj3k_7nql_k8-RPxXMwTJyB4Q3vAASeDlA/edit#gid=0"",""'Game 8'!$B$2:$Q$34""),33,False),1)"),8.0)</f>
        <v>8</v>
      </c>
      <c r="N138" s="5">
        <f>IFERROR(__xludf.DUMMYFUNCTION("IFERROR(HLOOKUP($A138,IMPORTRANGE(""https://docs.google.com/spreadsheets/d/1MNwUNMjcwK6bEgCXwB73jpbK5gJAXS8ZMpbEMLJEP3E/edit#gid=0"",""'Game 13'!$B$2:$Q$34""),33,False),1)"),8.0)</f>
        <v>8</v>
      </c>
      <c r="O138" s="5">
        <f>IFERROR(__xludf.DUMMYFUNCTION("IFERROR(HLOOKUP($A138,IMPORTRANGE(""https://docs.google.com/spreadsheets/d/1UrzyxmT40kDZwVrLMf1yyXfP-pyczRAw9Y8Rw-uXG3c/edit#gid=0"",""'Game 9'!$B$2:$Q$34""),33,False),1)"),0.0)</f>
        <v>0</v>
      </c>
      <c r="P138" s="5">
        <f>IFERROR(__xludf.DUMMYFUNCTION("IFERROR(HLOOKUP($A138,IMPORTRANGE(""https://docs.google.com/spreadsheets/d/1iyMhSYWifw-KGFtyeBpNxVZr4BhcV9hVZuShgJ9Ia0E/edit#gid=0"",""'Game 12'!$B$2:$Q$34""),33,False),1)"),8.0)</f>
        <v>8</v>
      </c>
      <c r="Q138" s="5">
        <f>IFERROR(__xludf.DUMMYFUNCTION("IFERROR(HLOOKUP($A138,IMPORTRANGE(""https://docs.google.com/spreadsheets/d/1sSbIK-vvHsSY0LghLJ9gcnW8Hec_ITI2tFmpeqI999A/edit#gid=0"",""'Game 13'!$B$2:$Q$34""),33,False),1)"),4.0)</f>
        <v>4</v>
      </c>
      <c r="R138" s="6">
        <f>TUHStand!R138</f>
        <v>286</v>
      </c>
      <c r="S138" s="6">
        <f t="shared" si="4"/>
        <v>80</v>
      </c>
      <c r="T138" s="6">
        <f t="shared" si="5"/>
        <v>6.433566434</v>
      </c>
      <c r="U138" s="6">
        <f t="shared" si="3"/>
        <v>46</v>
      </c>
    </row>
    <row r="139">
      <c r="A139" s="20" t="s">
        <v>324</v>
      </c>
      <c r="B139" s="13" t="s">
        <v>318</v>
      </c>
      <c r="C139" s="20">
        <v>0.0</v>
      </c>
      <c r="D139" s="20">
        <v>0.0</v>
      </c>
      <c r="E139" s="20">
        <v>0.0</v>
      </c>
      <c r="F139" s="20">
        <v>0.0</v>
      </c>
      <c r="G139" s="2">
        <v>0.0</v>
      </c>
      <c r="H139" s="12">
        <f>IFERROR(__xludf.DUMMYFUNCTION("HLOOKUP($A139,IMPORTRANGE(""https://docs.google.com/spreadsheets/d/16J5ie7OD1E99qGO9lMDm8w5Yls-v190B7DTolJ5TmFc/edit#gid=0"",""'Game 11'!$B$2:$Q$34""),33,False)"),4.0)</f>
        <v>4</v>
      </c>
      <c r="I139" s="2">
        <v>4.0</v>
      </c>
      <c r="J139" s="12">
        <f>IFERROR(__xludf.DUMMYFUNCTION("IFERROR(HLOOKUP($A139,IMPORTRANGE(""https://docs.google.com/spreadsheets/d/1CTYfdyRk_RFGM3I2iN9bKeD9zUPzEm1ajzml6VgwfIU/edit#gid=0"",""'Game 3'!$B$2:$Q$34""),33,False),1)"),0.0)</f>
        <v>0</v>
      </c>
      <c r="K139" s="12">
        <f>IFERROR(__xludf.DUMMYFUNCTION("IFERROR(HLOOKUP($A139,IMPORTRANGE(""https://docs.google.com/spreadsheets/d/11NFkzOdQyW-OtxSDuGslNCgNjx7HUb2FU7KnlNnPMgY/edit#gid=0"",""'Game 13'!$B$2:$Q$34""),33,False),1)"),4.0)</f>
        <v>4</v>
      </c>
      <c r="L139" s="12">
        <f>IFERROR(__xludf.DUMMYFUNCTION("IFERROR(HLOOKUP($A139,IMPORTRANGE(""https://docs.google.com/spreadsheets/d/1CLg5-jaE4ta0-u4oE1qbBplQ5Mf3Oj9ONFgL0zJ7Ol4/edit#gid=0"",""'Game 9'!$B$2:$Q$34""),33,False),1)"),0.0)</f>
        <v>0</v>
      </c>
      <c r="M139" s="12">
        <f>IFERROR(__xludf.DUMMYFUNCTION("IFERROR(HLOOKUP($A139,IMPORTRANGE(""https://docs.google.com/spreadsheets/d/1CeexgK4KxWj3k_7nql_k8-RPxXMwTJyB4Q3vAASeDlA/edit#gid=0"",""'Game 8'!$B$2:$Q$34""),33,False),1)"),0.0)</f>
        <v>0</v>
      </c>
      <c r="N139" s="12">
        <f>IFERROR(__xludf.DUMMYFUNCTION("IFERROR(HLOOKUP($A139,IMPORTRANGE(""https://docs.google.com/spreadsheets/d/1MNwUNMjcwK6bEgCXwB73jpbK5gJAXS8ZMpbEMLJEP3E/edit#gid=0"",""'Game 13'!$B$2:$Q$34""),33,False),1)"),4.0)</f>
        <v>4</v>
      </c>
      <c r="O139" s="12">
        <f>IFERROR(__xludf.DUMMYFUNCTION("IFERROR(HLOOKUP($A139,IMPORTRANGE(""https://docs.google.com/spreadsheets/d/1UrzyxmT40kDZwVrLMf1yyXfP-pyczRAw9Y8Rw-uXG3c/edit#gid=0"",""'Game 9'!$B$2:$Q$34""),33,False),1)"),0.0)</f>
        <v>0</v>
      </c>
      <c r="P139" s="12">
        <f>IFERROR(__xludf.DUMMYFUNCTION("IFERROR(HLOOKUP($A139,IMPORTRANGE(""https://docs.google.com/spreadsheets/d/1iyMhSYWifw-KGFtyeBpNxVZr4BhcV9hVZuShgJ9Ia0E/edit#gid=0"",""'Game 12'!$B$2:$Q$34""),33,False),1)"),0.0)</f>
        <v>0</v>
      </c>
      <c r="Q139" s="12">
        <f>IFERROR(__xludf.DUMMYFUNCTION("IFERROR(HLOOKUP($A139,IMPORTRANGE(""https://docs.google.com/spreadsheets/d/1sSbIK-vvHsSY0LghLJ9gcnW8Hec_ITI2tFmpeqI999A/edit#gid=0"",""'Game 13'!$B$2:$Q$34""),33,False),1)"),12.0)</f>
        <v>12</v>
      </c>
      <c r="R139" s="13">
        <f>TUHStand!R139</f>
        <v>161</v>
      </c>
      <c r="S139" s="13">
        <f t="shared" si="4"/>
        <v>28</v>
      </c>
      <c r="T139" s="13">
        <f t="shared" si="5"/>
        <v>4</v>
      </c>
      <c r="U139" s="13">
        <f t="shared" si="3"/>
        <v>72</v>
      </c>
    </row>
    <row r="140">
      <c r="A140" s="18" t="s">
        <v>325</v>
      </c>
      <c r="B140" s="6" t="s">
        <v>318</v>
      </c>
      <c r="C140" s="18">
        <v>0.0</v>
      </c>
      <c r="D140" s="18">
        <v>0.0</v>
      </c>
      <c r="E140" s="18">
        <v>0.0</v>
      </c>
      <c r="F140" s="18">
        <v>4.0</v>
      </c>
      <c r="G140" s="3">
        <v>0.0</v>
      </c>
      <c r="H140" s="5">
        <f>IFERROR(__xludf.DUMMYFUNCTION("HLOOKUP($A140,IMPORTRANGE(""https://docs.google.com/spreadsheets/d/16J5ie7OD1E99qGO9lMDm8w5Yls-v190B7DTolJ5TmFc/edit#gid=0"",""'Game 11'!$B$2:$Q$34""),33,False)"),4.0)</f>
        <v>4</v>
      </c>
      <c r="I140" s="3">
        <v>4.0</v>
      </c>
      <c r="J140" s="5">
        <f>IFERROR(__xludf.DUMMYFUNCTION("IFERROR(HLOOKUP($A140,IMPORTRANGE(""https://docs.google.com/spreadsheets/d/1CTYfdyRk_RFGM3I2iN9bKeD9zUPzEm1ajzml6VgwfIU/edit#gid=0"",""'Game 3'!$B$2:$Q$34""),33,False),1)"),0.0)</f>
        <v>0</v>
      </c>
      <c r="K140" s="5">
        <f>IFERROR(__xludf.DUMMYFUNCTION("IFERROR(HLOOKUP($A140,IMPORTRANGE(""https://docs.google.com/spreadsheets/d/11NFkzOdQyW-OtxSDuGslNCgNjx7HUb2FU7KnlNnPMgY/edit#gid=0"",""'Game 13'!$B$2:$Q$34""),33,False),1)"),16.0)</f>
        <v>16</v>
      </c>
      <c r="L140" s="5">
        <f>IFERROR(__xludf.DUMMYFUNCTION("IFERROR(HLOOKUP($A140,IMPORTRANGE(""https://docs.google.com/spreadsheets/d/1CLg5-jaE4ta0-u4oE1qbBplQ5Mf3Oj9ONFgL0zJ7Ol4/edit#gid=0"",""'Game 9'!$B$2:$Q$34""),33,False),1)"),-4.0)</f>
        <v>-4</v>
      </c>
      <c r="M140" s="5">
        <f>IFERROR(__xludf.DUMMYFUNCTION("IFERROR(HLOOKUP($A140,IMPORTRANGE(""https://docs.google.com/spreadsheets/d/1CeexgK4KxWj3k_7nql_k8-RPxXMwTJyB4Q3vAASeDlA/edit#gid=0"",""'Game 8'!$B$2:$Q$34""),33,False),1)"),8.0)</f>
        <v>8</v>
      </c>
      <c r="N140" s="5">
        <f>IFERROR(__xludf.DUMMYFUNCTION("IFERROR(HLOOKUP($A140,IMPORTRANGE(""https://docs.google.com/spreadsheets/d/1MNwUNMjcwK6bEgCXwB73jpbK5gJAXS8ZMpbEMLJEP3E/edit#gid=0"",""'Game 13'!$B$2:$Q$34""),33,False),1)"),8.0)</f>
        <v>8</v>
      </c>
      <c r="O140" s="5">
        <f>IFERROR(__xludf.DUMMYFUNCTION("IFERROR(HLOOKUP($A140,IMPORTRANGE(""https://docs.google.com/spreadsheets/d/1UrzyxmT40kDZwVrLMf1yyXfP-pyczRAw9Y8Rw-uXG3c/edit#gid=0"",""'Game 9'!$B$2:$Q$34""),33,False),1)"),8.0)</f>
        <v>8</v>
      </c>
      <c r="P140" s="5">
        <f>IFERROR(__xludf.DUMMYFUNCTION("IFERROR(HLOOKUP($A140,IMPORTRANGE(""https://docs.google.com/spreadsheets/d/1iyMhSYWifw-KGFtyeBpNxVZr4BhcV9hVZuShgJ9Ia0E/edit#gid=0"",""'Game 12'!$B$2:$Q$34""),33,False),1)"),12.0)</f>
        <v>12</v>
      </c>
      <c r="Q140" s="5">
        <f>IFERROR(__xludf.DUMMYFUNCTION("IFERROR(HLOOKUP($A140,IMPORTRANGE(""https://docs.google.com/spreadsheets/d/1sSbIK-vvHsSY0LghLJ9gcnW8Hec_ITI2tFmpeqI999A/edit#gid=0"",""'Game 13'!$B$2:$Q$34""),33,False),1)"),4.0)</f>
        <v>4</v>
      </c>
      <c r="R140" s="6">
        <f>TUHStand!R140</f>
        <v>230</v>
      </c>
      <c r="S140" s="6">
        <f t="shared" si="4"/>
        <v>64</v>
      </c>
      <c r="T140" s="6">
        <f t="shared" si="5"/>
        <v>6.4</v>
      </c>
      <c r="U140" s="6">
        <f t="shared" si="3"/>
        <v>47</v>
      </c>
    </row>
    <row r="141">
      <c r="A141" s="20" t="s">
        <v>326</v>
      </c>
      <c r="B141" s="20" t="s">
        <v>318</v>
      </c>
      <c r="C141" s="20">
        <v>12.0</v>
      </c>
      <c r="D141" s="20">
        <v>0.0</v>
      </c>
      <c r="E141" s="20">
        <v>16.0</v>
      </c>
      <c r="F141" s="20">
        <v>0.0</v>
      </c>
      <c r="G141" s="2">
        <v>4.0</v>
      </c>
      <c r="H141" s="12">
        <f>IFERROR(__xludf.DUMMYFUNCTION("HLOOKUP($A141,IMPORTRANGE(""https://docs.google.com/spreadsheets/d/16J5ie7OD1E99qGO9lMDm8w5Yls-v190B7DTolJ5TmFc/edit#gid=0"",""'Game 11'!$B$2:$Q$34""),33,False)"),8.0)</f>
        <v>8</v>
      </c>
      <c r="I141" s="2">
        <v>8.0</v>
      </c>
      <c r="J141" s="12">
        <f>IFERROR(__xludf.DUMMYFUNCTION("IFERROR(HLOOKUP($A141,IMPORTRANGE(""https://docs.google.com/spreadsheets/d/1CTYfdyRk_RFGM3I2iN9bKeD9zUPzEm1ajzml6VgwfIU/edit#gid=0"",""'Game 3'!$B$2:$Q$34""),33,False),1)"),12.0)</f>
        <v>12</v>
      </c>
      <c r="K141" s="12">
        <f>IFERROR(__xludf.DUMMYFUNCTION("IFERROR(HLOOKUP($A141,IMPORTRANGE(""https://docs.google.com/spreadsheets/d/11NFkzOdQyW-OtxSDuGslNCgNjx7HUb2FU7KnlNnPMgY/edit#gid=0"",""'Game 13'!$B$2:$Q$34""),33,False),1)"),12.0)</f>
        <v>12</v>
      </c>
      <c r="L141" s="12">
        <f>IFERROR(__xludf.DUMMYFUNCTION("IFERROR(HLOOKUP($A141,IMPORTRANGE(""https://docs.google.com/spreadsheets/d/1CLg5-jaE4ta0-u4oE1qbBplQ5Mf3Oj9ONFgL0zJ7Ol4/edit#gid=0"",""'Game 9'!$B$2:$Q$34""),33,False),1)"),12.0)</f>
        <v>12</v>
      </c>
      <c r="M141" s="12">
        <f>IFERROR(__xludf.DUMMYFUNCTION("IFERROR(HLOOKUP($A141,IMPORTRANGE(""https://docs.google.com/spreadsheets/d/1CeexgK4KxWj3k_7nql_k8-RPxXMwTJyB4Q3vAASeDlA/edit#gid=0"",""'Game 8'!$B$2:$Q$34""),33,False),1)"),0.0)</f>
        <v>0</v>
      </c>
      <c r="N141" s="12">
        <f>IFERROR(__xludf.DUMMYFUNCTION("IFERROR(HLOOKUP($A141,IMPORTRANGE(""https://docs.google.com/spreadsheets/d/1MNwUNMjcwK6bEgCXwB73jpbK5gJAXS8ZMpbEMLJEP3E/edit#gid=0"",""'Game 13'!$B$2:$Q$34""),33,False),1)"),8.0)</f>
        <v>8</v>
      </c>
      <c r="O141" s="12">
        <f>IFERROR(__xludf.DUMMYFUNCTION("IFERROR(HLOOKUP($A141,IMPORTRANGE(""https://docs.google.com/spreadsheets/d/1UrzyxmT40kDZwVrLMf1yyXfP-pyczRAw9Y8Rw-uXG3c/edit#gid=0"",""'Game 9'!$B$2:$Q$34""),33,False),1)"),4.0)</f>
        <v>4</v>
      </c>
      <c r="P141" s="12">
        <f>IFERROR(__xludf.DUMMYFUNCTION("IFERROR(HLOOKUP($A141,IMPORTRANGE(""https://docs.google.com/spreadsheets/d/1iyMhSYWifw-KGFtyeBpNxVZr4BhcV9hVZuShgJ9Ia0E/edit#gid=0"",""'Game 12'!$B$2:$Q$34""),33,False),1)"),32.0)</f>
        <v>32</v>
      </c>
      <c r="Q141" s="12">
        <f>IFERROR(__xludf.DUMMYFUNCTION("IFERROR(HLOOKUP($A141,IMPORTRANGE(""https://docs.google.com/spreadsheets/d/1sSbIK-vvHsSY0LghLJ9gcnW8Hec_ITI2tFmpeqI999A/edit#gid=0"",""'Game 13'!$B$2:$Q$34""),33,False),1)"),16.0)</f>
        <v>16</v>
      </c>
      <c r="R141" s="13">
        <f>TUHStand!R141</f>
        <v>253</v>
      </c>
      <c r="S141" s="13">
        <f t="shared" si="4"/>
        <v>144</v>
      </c>
      <c r="T141" s="13">
        <f t="shared" si="5"/>
        <v>13.09090909</v>
      </c>
      <c r="U141" s="13">
        <f t="shared" si="3"/>
        <v>19</v>
      </c>
    </row>
    <row r="142">
      <c r="A142" s="18" t="s">
        <v>327</v>
      </c>
      <c r="B142" s="18" t="s">
        <v>328</v>
      </c>
      <c r="C142" s="18">
        <v>4.0</v>
      </c>
      <c r="D142" s="18">
        <v>0.0</v>
      </c>
      <c r="E142" s="18">
        <v>12.0</v>
      </c>
      <c r="F142" s="18">
        <v>0.0</v>
      </c>
      <c r="G142" s="18">
        <v>4.0</v>
      </c>
      <c r="H142" s="5">
        <f>IFERROR(__xludf.DUMMYFUNCTION("HLOOKUP($A142,IMPORTRANGE(""https://docs.google.com/spreadsheets/d/16J5ie7OD1E99qGO9lMDm8w5Yls-v190B7DTolJ5TmFc/edit#gid=0"",""'Game 2'!$B$2:$Q$34""),33,False)"),4.0)</f>
        <v>4</v>
      </c>
      <c r="I142" s="3">
        <v>0.0</v>
      </c>
      <c r="J142" s="5">
        <f>IFERROR(__xludf.DUMMYFUNCTION("IFERROR(HLOOKUP($A142,IMPORTRANGE(""https://docs.google.com/spreadsheets/d/1CTYfdyRk_RFGM3I2iN9bKeD9zUPzEm1ajzml6VgwfIU/edit#gid=0"",""'Game 3'!$B$2:$Q$34""),33,False),1)"),8.0)</f>
        <v>8</v>
      </c>
      <c r="K142" s="5">
        <f>IFERROR(__xludf.DUMMYFUNCTION("IFERROR(HLOOKUP($A142,IMPORTRANGE(""https://docs.google.com/spreadsheets/d/11NFkzOdQyW-OtxSDuGslNCgNjx7HUb2FU7KnlNnPMgY/edit#gid=0"",""'Game 3'!$B$2:$Q$34""),33,False),1)"),4.0)</f>
        <v>4</v>
      </c>
      <c r="L142" s="5">
        <f>IFERROR(__xludf.DUMMYFUNCTION("IFERROR(HLOOKUP($A142,IMPORTRANGE(""https://docs.google.com/spreadsheets/d/1CLg5-jaE4ta0-u4oE1qbBplQ5Mf3Oj9ONFgL0zJ7Ol4/edit#gid=0"",""'Game 3'!$B$2:$Q$34""),33,False),1)"),8.0)</f>
        <v>8</v>
      </c>
      <c r="M142" s="5">
        <f>IFERROR(__xludf.DUMMYFUNCTION("IFERROR(HLOOKUP($A142,IMPORTRANGE(""https://docs.google.com/spreadsheets/d/1CeexgK4KxWj3k_7nql_k8-RPxXMwTJyB4Q3vAASeDlA/edit#gid=0"",""'Game 3'!$B$2:$Q$34""),33,False),1)"),8.0)</f>
        <v>8</v>
      </c>
      <c r="N142" s="5">
        <f>IFERROR(__xludf.DUMMYFUNCTION("IFERROR(HLOOKUP($A142,IMPORTRANGE(""https://docs.google.com/spreadsheets/d/1MNwUNMjcwK6bEgCXwB73jpbK5gJAXS8ZMpbEMLJEP3E/edit#gid=0"",""'Game 3'!$B$2:$Q$34""),33,False),1)"),0.0)</f>
        <v>0</v>
      </c>
      <c r="O142" s="5">
        <f>IFERROR(__xludf.DUMMYFUNCTION("IFERROR(HLOOKUP($A142,IMPORTRANGE(""https://docs.google.com/spreadsheets/d/1UrzyxmT40kDZwVrLMf1yyXfP-pyczRAw9Y8Rw-uXG3c/edit#gid=0"",""'Game 3'!$B$2:$Q$34""),33,False),1)"),16.0)</f>
        <v>16</v>
      </c>
      <c r="P142" s="5">
        <f>IFERROR(__xludf.DUMMYFUNCTION("IFERROR(HLOOKUP($A142,IMPORTRANGE(""https://docs.google.com/spreadsheets/d/1iyMhSYWifw-KGFtyeBpNxVZr4BhcV9hVZuShgJ9Ia0E/edit#gid=0"",""'Game 3'!$B$2:$Q$34""),33,False),1)"),4.0)</f>
        <v>4</v>
      </c>
      <c r="Q142" s="5">
        <f>IFERROR(__xludf.DUMMYFUNCTION("IFERROR(HLOOKUP($A142,IMPORTRANGE(""https://docs.google.com/spreadsheets/d/1sSbIK-vvHsSY0LghLJ9gcnW8Hec_ITI2tFmpeqI999A/edit#gid=0"",""'Game 1'!$B$2:$Q$34""),33,False),1)"),0.0)</f>
        <v>0</v>
      </c>
      <c r="R142" s="6">
        <f>TUHStand!R142</f>
        <v>299</v>
      </c>
      <c r="S142" s="6">
        <f t="shared" si="4"/>
        <v>72</v>
      </c>
      <c r="T142" s="6">
        <f t="shared" si="5"/>
        <v>5.538461538</v>
      </c>
      <c r="U142" s="6">
        <f t="shared" si="3"/>
        <v>56</v>
      </c>
    </row>
    <row r="143">
      <c r="A143" s="20" t="s">
        <v>329</v>
      </c>
      <c r="B143" s="13" t="s">
        <v>328</v>
      </c>
      <c r="C143" s="20">
        <v>0.0</v>
      </c>
      <c r="D143" s="20">
        <v>4.0</v>
      </c>
      <c r="E143" s="20">
        <v>20.0</v>
      </c>
      <c r="F143" s="20">
        <v>4.0</v>
      </c>
      <c r="G143" s="20">
        <v>-4.0</v>
      </c>
      <c r="H143" s="12">
        <f>IFERROR(__xludf.DUMMYFUNCTION("HLOOKUP($A143,IMPORTRANGE(""https://docs.google.com/spreadsheets/d/16J5ie7OD1E99qGO9lMDm8w5Yls-v190B7DTolJ5TmFc/edit#gid=0"",""'Game 2'!$B$2:$Q$34""),33,False)"),0.0)</f>
        <v>0</v>
      </c>
      <c r="I143" s="2">
        <v>4.0</v>
      </c>
      <c r="J143" s="12">
        <f>IFERROR(__xludf.DUMMYFUNCTION("IFERROR(HLOOKUP($A143,IMPORTRANGE(""https://docs.google.com/spreadsheets/d/1CTYfdyRk_RFGM3I2iN9bKeD9zUPzEm1ajzml6VgwfIU/edit#gid=0"",""'Game 3'!$B$2:$Q$34""),33,False),1)"),4.0)</f>
        <v>4</v>
      </c>
      <c r="K143" s="12">
        <f>IFERROR(__xludf.DUMMYFUNCTION("IFERROR(HLOOKUP($A143,IMPORTRANGE(""https://docs.google.com/spreadsheets/d/11NFkzOdQyW-OtxSDuGslNCgNjx7HUb2FU7KnlNnPMgY/edit#gid=0"",""'Game 3'!$B$2:$Q$34""),33,False),1)"),0.0)</f>
        <v>0</v>
      </c>
      <c r="L143" s="12">
        <f>IFERROR(__xludf.DUMMYFUNCTION("IFERROR(HLOOKUP($A143,IMPORTRANGE(""https://docs.google.com/spreadsheets/d/1CLg5-jaE4ta0-u4oE1qbBplQ5Mf3Oj9ONFgL0zJ7Ol4/edit#gid=0"",""'Game 3'!$B$2:$Q$34""),33,False),1)"),4.0)</f>
        <v>4</v>
      </c>
      <c r="M143" s="12">
        <f>IFERROR(__xludf.DUMMYFUNCTION("IFERROR(HLOOKUP($A143,IMPORTRANGE(""https://docs.google.com/spreadsheets/d/1CeexgK4KxWj3k_7nql_k8-RPxXMwTJyB4Q3vAASeDlA/edit#gid=0"",""'Game 3'!$B$2:$Q$34""),33,False),1)"),0.0)</f>
        <v>0</v>
      </c>
      <c r="N143" s="12">
        <f>IFERROR(__xludf.DUMMYFUNCTION("IFERROR(HLOOKUP($A143,IMPORTRANGE(""https://docs.google.com/spreadsheets/d/1MNwUNMjcwK6bEgCXwB73jpbK5gJAXS8ZMpbEMLJEP3E/edit#gid=0"",""'Game 3'!$B$2:$Q$34""),33,False),1)"),0.0)</f>
        <v>0</v>
      </c>
      <c r="O143" s="12">
        <f>IFERROR(__xludf.DUMMYFUNCTION("IFERROR(HLOOKUP($A143,IMPORTRANGE(""https://docs.google.com/spreadsheets/d/1UrzyxmT40kDZwVrLMf1yyXfP-pyczRAw9Y8Rw-uXG3c/edit#gid=0"",""'Game 3'!$B$2:$Q$34""),33,False),1)"),8.0)</f>
        <v>8</v>
      </c>
      <c r="P143" s="12">
        <f>IFERROR(__xludf.DUMMYFUNCTION("IFERROR(HLOOKUP($A143,IMPORTRANGE(""https://docs.google.com/spreadsheets/d/1iyMhSYWifw-KGFtyeBpNxVZr4BhcV9hVZuShgJ9Ia0E/edit#gid=0"",""'Game 3'!$B$2:$Q$34""),33,False),1)"),8.0)</f>
        <v>8</v>
      </c>
      <c r="Q143" s="12">
        <f>IFERROR(__xludf.DUMMYFUNCTION("IFERROR(HLOOKUP($A143,IMPORTRANGE(""https://docs.google.com/spreadsheets/d/1sSbIK-vvHsSY0LghLJ9gcnW8Hec_ITI2tFmpeqI999A/edit#gid=0"",""'Game 1'!$B$2:$Q$34""),33,False),1)"),4.0)</f>
        <v>4</v>
      </c>
      <c r="R143" s="13">
        <f>TUHStand!R143</f>
        <v>254</v>
      </c>
      <c r="S143" s="13">
        <f t="shared" si="4"/>
        <v>56</v>
      </c>
      <c r="T143" s="13">
        <f t="shared" si="5"/>
        <v>5.070866142</v>
      </c>
      <c r="U143" s="13">
        <f t="shared" si="3"/>
        <v>63</v>
      </c>
    </row>
    <row r="144">
      <c r="A144" s="18" t="s">
        <v>330</v>
      </c>
      <c r="B144" s="6" t="s">
        <v>328</v>
      </c>
      <c r="C144" s="18">
        <v>4.0</v>
      </c>
      <c r="D144" s="18">
        <v>4.0</v>
      </c>
      <c r="E144" s="18">
        <v>4.0</v>
      </c>
      <c r="F144" s="18">
        <v>0.0</v>
      </c>
      <c r="G144" s="18">
        <v>4.0</v>
      </c>
      <c r="H144" s="5">
        <f>IFERROR(__xludf.DUMMYFUNCTION("HLOOKUP($A144,IMPORTRANGE(""https://docs.google.com/spreadsheets/d/16J5ie7OD1E99qGO9lMDm8w5Yls-v190B7DTolJ5TmFc/edit#gid=0"",""'Game 2'!$B$2:$Q$34""),33,False)"),4.0)</f>
        <v>4</v>
      </c>
      <c r="I144" s="3">
        <v>12.0</v>
      </c>
      <c r="J144" s="5">
        <f>IFERROR(__xludf.DUMMYFUNCTION("IFERROR(HLOOKUP($A144,IMPORTRANGE(""https://docs.google.com/spreadsheets/d/1CTYfdyRk_RFGM3I2iN9bKeD9zUPzEm1ajzml6VgwfIU/edit#gid=0"",""'Game 3'!$B$2:$Q$34""),33,False),1)"),4.0)</f>
        <v>4</v>
      </c>
      <c r="K144" s="5">
        <f>IFERROR(__xludf.DUMMYFUNCTION("IFERROR(HLOOKUP($A144,IMPORTRANGE(""https://docs.google.com/spreadsheets/d/11NFkzOdQyW-OtxSDuGslNCgNjx7HUb2FU7KnlNnPMgY/edit#gid=0"",""'Game 3'!$B$2:$Q$34""),33,False),1)"),8.0)</f>
        <v>8</v>
      </c>
      <c r="L144" s="5">
        <f>IFERROR(__xludf.DUMMYFUNCTION("IFERROR(HLOOKUP($A144,IMPORTRANGE(""https://docs.google.com/spreadsheets/d/1CLg5-jaE4ta0-u4oE1qbBplQ5Mf3Oj9ONFgL0zJ7Ol4/edit#gid=0"",""'Game 3'!$B$2:$Q$34""),33,False),1)"),8.0)</f>
        <v>8</v>
      </c>
      <c r="M144" s="5">
        <f>IFERROR(__xludf.DUMMYFUNCTION("IFERROR(HLOOKUP($A144,IMPORTRANGE(""https://docs.google.com/spreadsheets/d/1CeexgK4KxWj3k_7nql_k8-RPxXMwTJyB4Q3vAASeDlA/edit#gid=0"",""'Game 3'!$B$2:$Q$34""),33,False),1)"),8.0)</f>
        <v>8</v>
      </c>
      <c r="N144" s="5">
        <f>IFERROR(__xludf.DUMMYFUNCTION("IFERROR(HLOOKUP($A144,IMPORTRANGE(""https://docs.google.com/spreadsheets/d/1MNwUNMjcwK6bEgCXwB73jpbK5gJAXS8ZMpbEMLJEP3E/edit#gid=0"",""'Game 3'!$B$2:$Q$34""),33,False),1)"),0.0)</f>
        <v>0</v>
      </c>
      <c r="O144" s="5">
        <f>IFERROR(__xludf.DUMMYFUNCTION("IFERROR(HLOOKUP($A144,IMPORTRANGE(""https://docs.google.com/spreadsheets/d/1UrzyxmT40kDZwVrLMf1yyXfP-pyczRAw9Y8Rw-uXG3c/edit#gid=0"",""'Game 3'!$B$2:$Q$34""),33,False),1)"),4.0)</f>
        <v>4</v>
      </c>
      <c r="P144" s="5">
        <f>IFERROR(__xludf.DUMMYFUNCTION("IFERROR(HLOOKUP($A144,IMPORTRANGE(""https://docs.google.com/spreadsheets/d/1iyMhSYWifw-KGFtyeBpNxVZr4BhcV9hVZuShgJ9Ia0E/edit#gid=0"",""'Game 3'!$B$2:$Q$34""),33,False),1)"),0.0)</f>
        <v>0</v>
      </c>
      <c r="Q144" s="5">
        <f>IFERROR(__xludf.DUMMYFUNCTION("IFERROR(HLOOKUP($A144,IMPORTRANGE(""https://docs.google.com/spreadsheets/d/1sSbIK-vvHsSY0LghLJ9gcnW8Hec_ITI2tFmpeqI999A/edit#gid=0"",""'Game 1'!$B$2:$Q$34""),33,False),1)"),0.0)</f>
        <v>0</v>
      </c>
      <c r="R144" s="6">
        <f>TUHStand!R144</f>
        <v>254</v>
      </c>
      <c r="S144" s="6">
        <f t="shared" si="4"/>
        <v>64</v>
      </c>
      <c r="T144" s="6">
        <f t="shared" si="5"/>
        <v>5.795275591</v>
      </c>
      <c r="U144" s="6">
        <f t="shared" si="3"/>
        <v>53</v>
      </c>
    </row>
    <row r="145">
      <c r="A145" s="20" t="s">
        <v>331</v>
      </c>
      <c r="B145" s="13" t="s">
        <v>328</v>
      </c>
      <c r="C145" s="20">
        <v>0.0</v>
      </c>
      <c r="D145" s="20">
        <v>8.0</v>
      </c>
      <c r="E145" s="20">
        <v>0.0</v>
      </c>
      <c r="F145" s="20">
        <v>4.0</v>
      </c>
      <c r="G145" s="20">
        <v>0.0</v>
      </c>
      <c r="H145" s="12">
        <f>IFERROR(__xludf.DUMMYFUNCTION("HLOOKUP($A145,IMPORTRANGE(""https://docs.google.com/spreadsheets/d/16J5ie7OD1E99qGO9lMDm8w5Yls-v190B7DTolJ5TmFc/edit#gid=0"",""'Game 2'!$B$2:$Q$34""),33,False)"),0.0)</f>
        <v>0</v>
      </c>
      <c r="I145" s="2">
        <v>0.0</v>
      </c>
      <c r="J145" s="12">
        <f>IFERROR(__xludf.DUMMYFUNCTION("IFERROR(HLOOKUP($A145,IMPORTRANGE(""https://docs.google.com/spreadsheets/d/1CTYfdyRk_RFGM3I2iN9bKeD9zUPzEm1ajzml6VgwfIU/edit#gid=0"",""'Game 3'!$B$2:$Q$34""),33,False),1)"),0.0)</f>
        <v>0</v>
      </c>
      <c r="K145" s="12">
        <f>IFERROR(__xludf.DUMMYFUNCTION("IFERROR(HLOOKUP($A145,IMPORTRANGE(""https://docs.google.com/spreadsheets/d/11NFkzOdQyW-OtxSDuGslNCgNjx7HUb2FU7KnlNnPMgY/edit#gid=0"",""'Game 3'!$B$2:$Q$34""),33,False),1)"),4.0)</f>
        <v>4</v>
      </c>
      <c r="L145" s="12">
        <f>IFERROR(__xludf.DUMMYFUNCTION("IFERROR(HLOOKUP($A145,IMPORTRANGE(""https://docs.google.com/spreadsheets/d/1CLg5-jaE4ta0-u4oE1qbBplQ5Mf3Oj9ONFgL0zJ7Ol4/edit#gid=0"",""'Game 3'!$B$2:$Q$34""),33,False),1)"),0.0)</f>
        <v>0</v>
      </c>
      <c r="M145" s="12">
        <f>IFERROR(__xludf.DUMMYFUNCTION("IFERROR(HLOOKUP($A145,IMPORTRANGE(""https://docs.google.com/spreadsheets/d/1CeexgK4KxWj3k_7nql_k8-RPxXMwTJyB4Q3vAASeDlA/edit#gid=0"",""'Game 3'!$B$2:$Q$34""),33,False),1)"),4.0)</f>
        <v>4</v>
      </c>
      <c r="N145" s="12">
        <f>IFERROR(__xludf.DUMMYFUNCTION("IFERROR(HLOOKUP($A145,IMPORTRANGE(""https://docs.google.com/spreadsheets/d/1MNwUNMjcwK6bEgCXwB73jpbK5gJAXS8ZMpbEMLJEP3E/edit#gid=0"",""'Game 3'!$B$2:$Q$34""),33,False),1)"),4.0)</f>
        <v>4</v>
      </c>
      <c r="O145" s="12">
        <f>IFERROR(__xludf.DUMMYFUNCTION("IFERROR(HLOOKUP($A145,IMPORTRANGE(""https://docs.google.com/spreadsheets/d/1UrzyxmT40kDZwVrLMf1yyXfP-pyczRAw9Y8Rw-uXG3c/edit#gid=0"",""'Game 3'!$B$2:$Q$34""),33,False),1)"),-4.0)</f>
        <v>-4</v>
      </c>
      <c r="P145" s="12">
        <f>IFERROR(__xludf.DUMMYFUNCTION("IFERROR(HLOOKUP($A145,IMPORTRANGE(""https://docs.google.com/spreadsheets/d/1iyMhSYWifw-KGFtyeBpNxVZr4BhcV9hVZuShgJ9Ia0E/edit#gid=0"",""'Game 3'!$B$2:$Q$34""),33,False),1)"),4.0)</f>
        <v>4</v>
      </c>
      <c r="Q145" s="12">
        <f>IFERROR(__xludf.DUMMYFUNCTION("IFERROR(HLOOKUP($A145,IMPORTRANGE(""https://docs.google.com/spreadsheets/d/1sSbIK-vvHsSY0LghLJ9gcnW8Hec_ITI2tFmpeqI999A/edit#gid=0"",""'Game 1'!$B$2:$Q$34""),33,False),1)"),12.0)</f>
        <v>12</v>
      </c>
      <c r="R145" s="13">
        <f>TUHStand!R145</f>
        <v>194</v>
      </c>
      <c r="S145" s="13">
        <f t="shared" si="4"/>
        <v>36</v>
      </c>
      <c r="T145" s="13">
        <f t="shared" si="5"/>
        <v>4.268041237</v>
      </c>
      <c r="U145" s="13">
        <f t="shared" si="3"/>
        <v>70</v>
      </c>
    </row>
    <row r="146">
      <c r="A146" s="18" t="s">
        <v>332</v>
      </c>
      <c r="B146" s="18" t="s">
        <v>328</v>
      </c>
      <c r="C146" s="18">
        <v>20.0</v>
      </c>
      <c r="D146" s="18">
        <v>20.0</v>
      </c>
      <c r="E146" s="18">
        <v>8.0</v>
      </c>
      <c r="F146" s="18">
        <v>12.0</v>
      </c>
      <c r="G146" s="6">
        <v>16.0</v>
      </c>
      <c r="H146" s="5">
        <f>IFERROR(__xludf.DUMMYFUNCTION("HLOOKUP($A146,IMPORTRANGE(""https://docs.google.com/spreadsheets/d/16J5ie7OD1E99qGO9lMDm8w5Yls-v190B7DTolJ5TmFc/edit#gid=0"",""'Game 2'!$B$2:$Q$34""),33,False)"),4.0)</f>
        <v>4</v>
      </c>
      <c r="I146" s="3">
        <v>12.0</v>
      </c>
      <c r="J146" s="5">
        <f>IFERROR(__xludf.DUMMYFUNCTION("IFERROR(HLOOKUP($A146,IMPORTRANGE(""https://docs.google.com/spreadsheets/d/1CTYfdyRk_RFGM3I2iN9bKeD9zUPzEm1ajzml6VgwfIU/edit#gid=0"",""'Game 3'!$B$2:$Q$34""),33,False),1)"),12.0)</f>
        <v>12</v>
      </c>
      <c r="K146" s="5">
        <f>IFERROR(__xludf.DUMMYFUNCTION("IFERROR(HLOOKUP($A146,IMPORTRANGE(""https://docs.google.com/spreadsheets/d/11NFkzOdQyW-OtxSDuGslNCgNjx7HUb2FU7KnlNnPMgY/edit#gid=0"",""'Game 3'!$B$2:$Q$34""),33,False),1)"),0.0)</f>
        <v>0</v>
      </c>
      <c r="L146" s="5">
        <f>IFERROR(__xludf.DUMMYFUNCTION("IFERROR(HLOOKUP($A146,IMPORTRANGE(""https://docs.google.com/spreadsheets/d/1CLg5-jaE4ta0-u4oE1qbBplQ5Mf3Oj9ONFgL0zJ7Ol4/edit#gid=0"",""'Game 3'!$B$2:$Q$34""),33,False),1)"),12.0)</f>
        <v>12</v>
      </c>
      <c r="M146" s="5">
        <f>IFERROR(__xludf.DUMMYFUNCTION("IFERROR(HLOOKUP($A146,IMPORTRANGE(""https://docs.google.com/spreadsheets/d/1CeexgK4KxWj3k_7nql_k8-RPxXMwTJyB4Q3vAASeDlA/edit#gid=0"",""'Game 3'!$B$2:$Q$34""),33,False),1)"),12.0)</f>
        <v>12</v>
      </c>
      <c r="N146" s="5">
        <f>IFERROR(__xludf.DUMMYFUNCTION("IFERROR(HLOOKUP($A146,IMPORTRANGE(""https://docs.google.com/spreadsheets/d/1MNwUNMjcwK6bEgCXwB73jpbK5gJAXS8ZMpbEMLJEP3E/edit#gid=0"",""'Game 3'!$B$2:$Q$34""),33,False),1)"),-4.0)</f>
        <v>-4</v>
      </c>
      <c r="O146" s="5">
        <f>IFERROR(__xludf.DUMMYFUNCTION("IFERROR(HLOOKUP($A146,IMPORTRANGE(""https://docs.google.com/spreadsheets/d/1UrzyxmT40kDZwVrLMf1yyXfP-pyczRAw9Y8Rw-uXG3c/edit#gid=0"",""'Game 3'!$B$2:$Q$34""),33,False),1)"),16.0)</f>
        <v>16</v>
      </c>
      <c r="P146" s="5">
        <f>IFERROR(__xludf.DUMMYFUNCTION("IFERROR(HLOOKUP($A146,IMPORTRANGE(""https://docs.google.com/spreadsheets/d/1iyMhSYWifw-KGFtyeBpNxVZr4BhcV9hVZuShgJ9Ia0E/edit#gid=0"",""'Game 3'!$B$2:$Q$34""),33,False),1)"),4.0)</f>
        <v>4</v>
      </c>
      <c r="Q146" s="5">
        <f>IFERROR(__xludf.DUMMYFUNCTION("IFERROR(HLOOKUP($A146,IMPORTRANGE(""https://docs.google.com/spreadsheets/d/1sSbIK-vvHsSY0LghLJ9gcnW8Hec_ITI2tFmpeqI999A/edit#gid=0"",""'Game 1'!$B$2:$Q$34""),33,False),1)"),8.0)</f>
        <v>8</v>
      </c>
      <c r="R146" s="6">
        <f>TUHStand!R146</f>
        <v>333</v>
      </c>
      <c r="S146" s="6">
        <f t="shared" si="4"/>
        <v>152</v>
      </c>
      <c r="T146" s="6">
        <f t="shared" si="5"/>
        <v>10.4984985</v>
      </c>
      <c r="U146" s="6">
        <f t="shared" si="3"/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5"/>
    <col customWidth="1" min="3" max="18" width="10.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</row>
    <row r="2">
      <c r="A2" s="4" t="s">
        <v>23</v>
      </c>
      <c r="B2" s="4" t="s">
        <v>24</v>
      </c>
      <c r="C2" s="3">
        <v>4.0</v>
      </c>
      <c r="D2" s="3">
        <v>4.0</v>
      </c>
      <c r="E2" s="3">
        <v>0.0</v>
      </c>
      <c r="F2" s="3">
        <v>8.0</v>
      </c>
      <c r="G2" s="3">
        <v>0.0</v>
      </c>
      <c r="H2" s="5">
        <f>IFERROR(__xludf.DUMMYFUNCTION("HLOOKUP($A2,IMPORTRANGE(""https://docs.google.com/spreadsheets/d/19gjAD4NwTXl_QoKUuwHQ1cWG_S2BOW94pDcyFtPwheg/edit#gid=1009263986"",""'Game 1'!$B$2:$Q$34""),33,False)"),0.0)</f>
        <v>0</v>
      </c>
      <c r="I2" s="5">
        <f>IFERROR(__xludf.DUMMYFUNCTION("HLOOKUP($A2,IMPORTRANGE(""https://docs.google.com/spreadsheets/d/1l83w8bH-F1czkFOqsgQy6o8O33Jb4Pfg40W0ou2nk0k/edit#gid=0"",""'Game 8'!$B$2:$Q$34""),33,False)"),4.0)</f>
        <v>4</v>
      </c>
      <c r="J2" s="5">
        <f>IFERROR(__xludf.DUMMYFUNCTION("HLOOKUP($A2,IMPORTRANGE(""https://docs.google.com/spreadsheets/d/15X-ub7GvrCQZ3UGgyogcjwYdxG-Ng8WHxzGSj1Z3eLw/edit#gid=0"",""'Game 1'!$B$2:$Q$34""),33,False)"),-4.0)</f>
        <v>-4</v>
      </c>
      <c r="K2" s="5">
        <f>IFERROR(__xludf.DUMMYFUNCTION("IFERROR(HLOOKUP($A2,IMPORTRANGE(""https://docs.google.com/spreadsheets/d/194Bw3ABslPPhOOPvVoMzIk8sOQFICWBu2pydWdYMD-w/edit#gid=0"",""'Game 1'!$B$2:$Q$34""),33,False),1)"),4.0)</f>
        <v>4</v>
      </c>
      <c r="L2" s="5">
        <f>IFERROR(__xludf.DUMMYFUNCTION("IFERROR(HLOOKUP($A2,IMPORTRANGE(""https://docs.google.com/spreadsheets/d/1F2Bi6K_I1K9xRxY5qb-bNRo5m-Kw7udpF1OaTHhrxjs/edit#gid=0"",""'Game 1'!$B$2:$Q$34""),33,False),1)"),4.0)</f>
        <v>4</v>
      </c>
      <c r="M2" s="5">
        <f>IFERROR(__xludf.DUMMYFUNCTION("IFERROR(HLOOKUP($A2,IMPORTRANGE(""https://docs.google.com/spreadsheets/d/1NDNgi_Ny4dRhc2A3UMIIkalN-V6EmsvxOfDzMRQlQ40/edit#gid=0"",""'Game 1'!$B$2:$Q$34""),33,False),1)"),-4.0)</f>
        <v>-4</v>
      </c>
      <c r="N2" s="5">
        <f>IFERROR(__xludf.DUMMYFUNCTION("IFERROR(HLOOKUP($A2,IMPORTRANGE(""https://docs.google.com/spreadsheets/d/1UDYA3-RrkJNLa2ZLH1NnUjKyfCoiSODmgVL_Au_zt-Y/edit#gid=0"",""'Game 1'!$B$2:$Q$34""),33,False),1)"),4.0)</f>
        <v>4</v>
      </c>
      <c r="O2" s="5">
        <f>IFERROR(__xludf.DUMMYFUNCTION("IFERROR(HLOOKUP($A2,IMPORTRANGE(""https://docs.google.com/spreadsheets/d/1fvo6H94Wcffp6c4N9g3JKCW6y2ZlijPxdOsNz7xdBhw/edit#gid=0"",""'Game 1'!$B$2:$Q$34""),33,False),1)"),4.0)</f>
        <v>4</v>
      </c>
      <c r="P2" s="5">
        <f>IFERROR(__xludf.DUMMYFUNCTION("IFERROR(HLOOKUP($A2,IMPORTRANGE(""https://docs.google.com/spreadsheets/d/1wfQePArl-A-5QJe5xAufoOnzeNLVSoHCRcmpZ_FMdns/edit#gid=0"",""'Game 1'!$B$2:$Q$34""),33,False),1)"),16.0)</f>
        <v>16</v>
      </c>
      <c r="Q2" s="5">
        <f>IFERROR(__xludf.DUMMYFUNCTION("IFERROR(HLOOKUP($A2,IMPORTRANGE(""https://docs.google.com/spreadsheets/d/1wydNznS0hZhVh3oGSdiCZSsReuqMT7Xaw718ix58zAI/edit#gid=0"",""'Game 1'!$B$2:$Q$34""),33,False),1)"),12.0)</f>
        <v>12</v>
      </c>
      <c r="R2" s="6">
        <f>TUHComp!R2</f>
        <v>333</v>
      </c>
      <c r="S2" s="6">
        <f t="shared" ref="S2:S119" si="1">SUM(C2:Q2)</f>
        <v>56</v>
      </c>
      <c r="T2" s="6">
        <f t="shared" ref="T2:T119" si="2">IFERROR(23*S2/R2,-100)</f>
        <v>3.867867868</v>
      </c>
      <c r="U2" s="6">
        <f t="shared" ref="U2:U119" si="3">RANK(T2,$T$2:$T$119)</f>
        <v>61</v>
      </c>
    </row>
    <row r="3">
      <c r="A3" s="8" t="s">
        <v>26</v>
      </c>
      <c r="B3" s="9" t="s">
        <v>24</v>
      </c>
      <c r="C3" s="2">
        <v>16.0</v>
      </c>
      <c r="D3" s="2">
        <v>16.0</v>
      </c>
      <c r="E3" s="2">
        <v>20.0</v>
      </c>
      <c r="F3" s="2">
        <v>4.0</v>
      </c>
      <c r="G3" s="2">
        <v>8.0</v>
      </c>
      <c r="H3" s="12">
        <f>IFERROR(__xludf.DUMMYFUNCTION("HLOOKUP($A3,IMPORTRANGE(""https://docs.google.com/spreadsheets/d/19gjAD4NwTXl_QoKUuwHQ1cWG_S2BOW94pDcyFtPwheg/edit#gid=1009263986"",""'Game 1'!$B$2:$Q$34""),33,False)"),4.0)</f>
        <v>4</v>
      </c>
      <c r="I3" s="12">
        <f>IFERROR(__xludf.DUMMYFUNCTION("HLOOKUP($A3,IMPORTRANGE(""https://docs.google.com/spreadsheets/d/1l83w8bH-F1czkFOqsgQy6o8O33Jb4Pfg40W0ou2nk0k/edit#gid=0"",""'Game 8'!$B$2:$Q$34""),33,False)"),8.0)</f>
        <v>8</v>
      </c>
      <c r="J3" s="12">
        <f>IFERROR(__xludf.DUMMYFUNCTION("HLOOKUP($A3,IMPORTRANGE(""https://docs.google.com/spreadsheets/d/15X-ub7GvrCQZ3UGgyogcjwYdxG-Ng8WHxzGSj1Z3eLw/edit#gid=0"",""'Game 1'!$B$2:$Q$34""),33,False)"),12.0)</f>
        <v>12</v>
      </c>
      <c r="K3" s="12">
        <f>IFERROR(__xludf.DUMMYFUNCTION("IFERROR(HLOOKUP($A3,IMPORTRANGE(""https://docs.google.com/spreadsheets/d/194Bw3ABslPPhOOPvVoMzIk8sOQFICWBu2pydWdYMD-w/edit#gid=0"",""'Game 1'!$B$2:$Q$34""),33,False),1)"),16.0)</f>
        <v>16</v>
      </c>
      <c r="L3" s="12">
        <f>IFERROR(__xludf.DUMMYFUNCTION("IFERROR(HLOOKUP($A3,IMPORTRANGE(""https://docs.google.com/spreadsheets/d/1F2Bi6K_I1K9xRxY5qb-bNRo5m-Kw7udpF1OaTHhrxjs/edit#gid=0"",""'Game 1'!$B$2:$Q$34""),33,False),1)"),16.0)</f>
        <v>16</v>
      </c>
      <c r="M3" s="12">
        <f>IFERROR(__xludf.DUMMYFUNCTION("IFERROR(HLOOKUP($A3,IMPORTRANGE(""https://docs.google.com/spreadsheets/d/1NDNgi_Ny4dRhc2A3UMIIkalN-V6EmsvxOfDzMRQlQ40/edit#gid=0"",""'Game 1'!$B$2:$Q$34""),33,False),1)"),24.0)</f>
        <v>24</v>
      </c>
      <c r="N3" s="12">
        <f>IFERROR(__xludf.DUMMYFUNCTION("IFERROR(HLOOKUP($A3,IMPORTRANGE(""https://docs.google.com/spreadsheets/d/1UDYA3-RrkJNLa2ZLH1NnUjKyfCoiSODmgVL_Au_zt-Y/edit#gid=0"",""'Game 1'!$B$2:$Q$34""),33,False),1)"),0.0)</f>
        <v>0</v>
      </c>
      <c r="O3" s="12">
        <f>IFERROR(__xludf.DUMMYFUNCTION("IFERROR(HLOOKUP($A3,IMPORTRANGE(""https://docs.google.com/spreadsheets/d/1fvo6H94Wcffp6c4N9g3JKCW6y2ZlijPxdOsNz7xdBhw/edit#gid=0"",""'Game 1'!$B$2:$Q$34""),33,False),1)"),4.0)</f>
        <v>4</v>
      </c>
      <c r="P3" s="12">
        <f>IFERROR(__xludf.DUMMYFUNCTION("IFERROR(HLOOKUP($A3,IMPORTRANGE(""https://docs.google.com/spreadsheets/d/1wfQePArl-A-5QJe5xAufoOnzeNLVSoHCRcmpZ_FMdns/edit#gid=0"",""'Game 1'!$B$2:$Q$34""),33,False),1)"),16.0)</f>
        <v>16</v>
      </c>
      <c r="Q3" s="12">
        <f>IFERROR(__xludf.DUMMYFUNCTION("IFERROR(HLOOKUP($A3,IMPORTRANGE(""https://docs.google.com/spreadsheets/d/1wydNznS0hZhVh3oGSdiCZSsReuqMT7Xaw718ix58zAI/edit#gid=0"",""'Game 1'!$B$2:$Q$34""),33,False),1)"),4.0)</f>
        <v>4</v>
      </c>
      <c r="R3" s="13">
        <f>TUHComp!R3</f>
        <v>345</v>
      </c>
      <c r="S3" s="13">
        <f t="shared" si="1"/>
        <v>168</v>
      </c>
      <c r="T3" s="13">
        <f t="shared" si="2"/>
        <v>11.2</v>
      </c>
      <c r="U3" s="13">
        <f t="shared" si="3"/>
        <v>22</v>
      </c>
    </row>
    <row r="4">
      <c r="A4" s="4" t="s">
        <v>29</v>
      </c>
      <c r="B4" s="16" t="s">
        <v>24</v>
      </c>
      <c r="C4" s="3">
        <v>4.0</v>
      </c>
      <c r="D4" s="3">
        <v>0.0</v>
      </c>
      <c r="E4" s="3">
        <v>4.0</v>
      </c>
      <c r="F4" s="3">
        <v>8.0</v>
      </c>
      <c r="G4" s="3">
        <v>-4.0</v>
      </c>
      <c r="H4" s="5">
        <f>IFERROR(__xludf.DUMMYFUNCTION("HLOOKUP($A4,IMPORTRANGE(""https://docs.google.com/spreadsheets/d/19gjAD4NwTXl_QoKUuwHQ1cWG_S2BOW94pDcyFtPwheg/edit#gid=1009263986"",""'Game 1'!$B$2:$Q$34""),33,False)"),8.0)</f>
        <v>8</v>
      </c>
      <c r="I4" s="5">
        <f>IFERROR(__xludf.DUMMYFUNCTION("HLOOKUP($A4,IMPORTRANGE(""https://docs.google.com/spreadsheets/d/1l83w8bH-F1czkFOqsgQy6o8O33Jb4Pfg40W0ou2nk0k/edit#gid=0"",""'Game 8'!$B$2:$Q$34""),33,False)"),0.0)</f>
        <v>0</v>
      </c>
      <c r="J4" s="5">
        <f>IFERROR(__xludf.DUMMYFUNCTION("HLOOKUP($A4,IMPORTRANGE(""https://docs.google.com/spreadsheets/d/15X-ub7GvrCQZ3UGgyogcjwYdxG-Ng8WHxzGSj1Z3eLw/edit#gid=0"",""'Game 1'!$B$2:$Q$34""),33,False)"),0.0)</f>
        <v>0</v>
      </c>
      <c r="K4" s="5">
        <f>IFERROR(__xludf.DUMMYFUNCTION("IFERROR(HLOOKUP($A4,IMPORTRANGE(""https://docs.google.com/spreadsheets/d/194Bw3ABslPPhOOPvVoMzIk8sOQFICWBu2pydWdYMD-w/edit#gid=0"",""'Game 1'!$B$2:$Q$34""),33,False),1)"),8.0)</f>
        <v>8</v>
      </c>
      <c r="L4" s="5">
        <f>IFERROR(__xludf.DUMMYFUNCTION("IFERROR(HLOOKUP($A4,IMPORTRANGE(""https://docs.google.com/spreadsheets/d/1F2Bi6K_I1K9xRxY5qb-bNRo5m-Kw7udpF1OaTHhrxjs/edit#gid=0"",""'Game 1'!$B$2:$Q$34""),33,False),1)"),0.0)</f>
        <v>0</v>
      </c>
      <c r="M4" s="5">
        <f>IFERROR(__xludf.DUMMYFUNCTION("IFERROR(HLOOKUP($A4,IMPORTRANGE(""https://docs.google.com/spreadsheets/d/1NDNgi_Ny4dRhc2A3UMIIkalN-V6EmsvxOfDzMRQlQ40/edit#gid=0"",""'Game 1'!$B$2:$Q$34""),33,False),1)"),0.0)</f>
        <v>0</v>
      </c>
      <c r="N4" s="5">
        <f>IFERROR(__xludf.DUMMYFUNCTION("IFERROR(HLOOKUP($A4,IMPORTRANGE(""https://docs.google.com/spreadsheets/d/1UDYA3-RrkJNLa2ZLH1NnUjKyfCoiSODmgVL_Au_zt-Y/edit#gid=0"",""'Game 1'!$B$2:$Q$34""),33,False),1)"),0.0)</f>
        <v>0</v>
      </c>
      <c r="O4" s="5">
        <f>IFERROR(__xludf.DUMMYFUNCTION("IFERROR(HLOOKUP($A4,IMPORTRANGE(""https://docs.google.com/spreadsheets/d/1fvo6H94Wcffp6c4N9g3JKCW6y2ZlijPxdOsNz7xdBhw/edit#gid=0"",""'Game 1'!$B$2:$Q$34""),33,False),1)"),0.0)</f>
        <v>0</v>
      </c>
      <c r="P4" s="5">
        <f>IFERROR(__xludf.DUMMYFUNCTION("IFERROR(HLOOKUP($A4,IMPORTRANGE(""https://docs.google.com/spreadsheets/d/1wfQePArl-A-5QJe5xAufoOnzeNLVSoHCRcmpZ_FMdns/edit#gid=0"",""'Game 1'!$B$2:$Q$34""),33,False),1)"),0.0)</f>
        <v>0</v>
      </c>
      <c r="Q4" s="5">
        <f>IFERROR(__xludf.DUMMYFUNCTION("IFERROR(HLOOKUP($A4,IMPORTRANGE(""https://docs.google.com/spreadsheets/d/1wydNznS0hZhVh3oGSdiCZSsReuqMT7Xaw718ix58zAI/edit#gid=0"",""'Game 1'!$B$2:$Q$34""),33,False),1)"),0.0)</f>
        <v>0</v>
      </c>
      <c r="R4" s="6">
        <f>TUHComp!R4</f>
        <v>172</v>
      </c>
      <c r="S4" s="6">
        <f t="shared" si="1"/>
        <v>28</v>
      </c>
      <c r="T4" s="6">
        <f t="shared" si="2"/>
        <v>3.744186047</v>
      </c>
      <c r="U4" s="6">
        <f t="shared" si="3"/>
        <v>62</v>
      </c>
    </row>
    <row r="5">
      <c r="A5" s="19" t="s">
        <v>31</v>
      </c>
      <c r="B5" s="9" t="s">
        <v>24</v>
      </c>
      <c r="C5" s="2">
        <v>0.0</v>
      </c>
      <c r="D5" s="2">
        <v>20.0</v>
      </c>
      <c r="E5" s="2">
        <v>12.0</v>
      </c>
      <c r="F5" s="2">
        <v>4.0</v>
      </c>
      <c r="G5" s="2">
        <v>4.0</v>
      </c>
      <c r="H5" s="12">
        <f>IFERROR(__xludf.DUMMYFUNCTION("HLOOKUP($A5,IMPORTRANGE(""https://docs.google.com/spreadsheets/d/19gjAD4NwTXl_QoKUuwHQ1cWG_S2BOW94pDcyFtPwheg/edit#gid=1009263986"",""'Game 1'!$B$2:$Q$34""),33,False)"),12.0)</f>
        <v>12</v>
      </c>
      <c r="I5" s="12">
        <f>IFERROR(__xludf.DUMMYFUNCTION("HLOOKUP($A5,IMPORTRANGE(""https://docs.google.com/spreadsheets/d/1l83w8bH-F1czkFOqsgQy6o8O33Jb4Pfg40W0ou2nk0k/edit#gid=0"",""'Game 8'!$B$2:$Q$34""),33,False)"),8.0)</f>
        <v>8</v>
      </c>
      <c r="J5" s="12">
        <f>IFERROR(__xludf.DUMMYFUNCTION("HLOOKUP($A5,IMPORTRANGE(""https://docs.google.com/spreadsheets/d/15X-ub7GvrCQZ3UGgyogcjwYdxG-Ng8WHxzGSj1Z3eLw/edit#gid=0"",""'Game 1'!$B$2:$Q$34""),33,False)"),8.0)</f>
        <v>8</v>
      </c>
      <c r="K5" s="12">
        <f>IFERROR(__xludf.DUMMYFUNCTION("IFERROR(HLOOKUP($A5,IMPORTRANGE(""https://docs.google.com/spreadsheets/d/194Bw3ABslPPhOOPvVoMzIk8sOQFICWBu2pydWdYMD-w/edit#gid=0"",""'Game 1'!$B$2:$Q$34""),33,False),1)"),16.0)</f>
        <v>16</v>
      </c>
      <c r="L5" s="12">
        <f>IFERROR(__xludf.DUMMYFUNCTION("IFERROR(HLOOKUP($A5,IMPORTRANGE(""https://docs.google.com/spreadsheets/d/1F2Bi6K_I1K9xRxY5qb-bNRo5m-Kw7udpF1OaTHhrxjs/edit#gid=0"",""'Game 1'!$B$2:$Q$34""),33,False),1)"),8.0)</f>
        <v>8</v>
      </c>
      <c r="M5" s="12">
        <f>IFERROR(__xludf.DUMMYFUNCTION("IFERROR(HLOOKUP($A5,IMPORTRANGE(""https://docs.google.com/spreadsheets/d/1NDNgi_Ny4dRhc2A3UMIIkalN-V6EmsvxOfDzMRQlQ40/edit#gid=0"",""'Game 1'!$B$2:$Q$34""),33,False),1)"),12.0)</f>
        <v>12</v>
      </c>
      <c r="N5" s="12">
        <f>IFERROR(__xludf.DUMMYFUNCTION("IFERROR(HLOOKUP($A5,IMPORTRANGE(""https://docs.google.com/spreadsheets/d/1UDYA3-RrkJNLa2ZLH1NnUjKyfCoiSODmgVL_Au_zt-Y/edit#gid=0"",""'Game 1'!$B$2:$Q$34""),33,False),1)"),16.0)</f>
        <v>16</v>
      </c>
      <c r="O5" s="12">
        <f>IFERROR(__xludf.DUMMYFUNCTION("IFERROR(HLOOKUP($A5,IMPORTRANGE(""https://docs.google.com/spreadsheets/d/1fvo6H94Wcffp6c4N9g3JKCW6y2ZlijPxdOsNz7xdBhw/edit#gid=0"",""'Game 1'!$B$2:$Q$34""),33,False),1)"),8.0)</f>
        <v>8</v>
      </c>
      <c r="P5" s="12">
        <f>IFERROR(__xludf.DUMMYFUNCTION("IFERROR(HLOOKUP($A5,IMPORTRANGE(""https://docs.google.com/spreadsheets/d/1wfQePArl-A-5QJe5xAufoOnzeNLVSoHCRcmpZ_FMdns/edit#gid=0"",""'Game 1'!$B$2:$Q$34""),33,False),1)"),0.0)</f>
        <v>0</v>
      </c>
      <c r="Q5" s="12">
        <f>IFERROR(__xludf.DUMMYFUNCTION("IFERROR(HLOOKUP($A5,IMPORTRANGE(""https://docs.google.com/spreadsheets/d/1wydNznS0hZhVh3oGSdiCZSsReuqMT7Xaw718ix58zAI/edit#gid=0"",""'Game 1'!$B$2:$Q$34""),33,False),1)"),20.0)</f>
        <v>20</v>
      </c>
      <c r="R5" s="13">
        <f>TUHComp!R5</f>
        <v>345</v>
      </c>
      <c r="S5" s="13">
        <f t="shared" si="1"/>
        <v>148</v>
      </c>
      <c r="T5" s="13">
        <f t="shared" si="2"/>
        <v>9.866666667</v>
      </c>
      <c r="U5" s="13">
        <f t="shared" si="3"/>
        <v>26</v>
      </c>
    </row>
    <row r="6">
      <c r="A6" s="4" t="s">
        <v>34</v>
      </c>
      <c r="B6" s="4" t="s">
        <v>35</v>
      </c>
      <c r="C6" s="3">
        <v>8.0</v>
      </c>
      <c r="D6" s="3">
        <v>4.0</v>
      </c>
      <c r="E6" s="3">
        <v>8.0</v>
      </c>
      <c r="F6" s="3">
        <v>20.0</v>
      </c>
      <c r="G6" s="3">
        <v>12.0</v>
      </c>
      <c r="H6" s="5">
        <f>IFERROR(__xludf.DUMMYFUNCTION("HLOOKUP($A6,IMPORTRANGE(""https://docs.google.com/spreadsheets/d/19gjAD4NwTXl_QoKUuwHQ1cWG_S2BOW94pDcyFtPwheg/edit#gid=1009263986"",""'Game 5'!$B$2:$Q$34""),33,False)"),12.0)</f>
        <v>12</v>
      </c>
      <c r="I6" s="5">
        <f>IFERROR(__xludf.DUMMYFUNCTION("HLOOKUP($A6,IMPORTRANGE(""https://docs.google.com/spreadsheets/d/1l83w8bH-F1czkFOqsgQy6o8O33Jb4Pfg40W0ou2nk0k/edit#gid=0"",""'Game 3'!$B$2:$Q$34""),33,False)"),4.0)</f>
        <v>4</v>
      </c>
      <c r="J6" s="5">
        <f>IFERROR(__xludf.DUMMYFUNCTION("HLOOKUP($A6,IMPORTRANGE(""https://docs.google.com/spreadsheets/d/15X-ub7GvrCQZ3UGgyogcjwYdxG-Ng8WHxzGSj1Z3eLw/edit#gid=0"",""'Game 9'!$B$2:$Q$34""),33,False)"),8.0)</f>
        <v>8</v>
      </c>
      <c r="K6" s="5">
        <f>IFERROR(__xludf.DUMMYFUNCTION("IFERROR(HLOOKUP($A6,IMPORTRANGE(""https://docs.google.com/spreadsheets/d/194Bw3ABslPPhOOPvVoMzIk8sOQFICWBu2pydWdYMD-w/edit#gid=0"",""'Game 10'!$B$2:$Q$29""),28,False),1)"),12.0)</f>
        <v>12</v>
      </c>
      <c r="L6" s="5">
        <f>IFERROR(__xludf.DUMMYFUNCTION("IFERROR(HLOOKUP($A6,IMPORTRANGE(""https://docs.google.com/spreadsheets/d/1F2Bi6K_I1K9xRxY5qb-bNRo5m-Kw7udpF1OaTHhrxjs/edit#gid=0"",""'Game 6'!$B$2:$Q$29""),28,False),1)"),0.0)</f>
        <v>0</v>
      </c>
      <c r="M6" s="5">
        <f>IFERROR(__xludf.DUMMYFUNCTION("IFERROR(HLOOKUP($A6,IMPORTRANGE(""https://docs.google.com/spreadsheets/d/1NDNgi_Ny4dRhc2A3UMIIkalN-V6EmsvxOfDzMRQlQ40/edit#gid=0"",""'Game 12'!$B$2:$Q$34""),33,False),1)"),12.0)</f>
        <v>12</v>
      </c>
      <c r="N6" s="5">
        <f>IFERROR(__xludf.DUMMYFUNCTION("IFERROR(HLOOKUP($A6,IMPORTRANGE(""https://docs.google.com/spreadsheets/d/1UDYA3-RrkJNLa2ZLH1NnUjKyfCoiSODmgVL_Au_zt-Y/edit#gid=0"",""'Game 11'!$B$2:$Q$34""),33,False),1)"),12.0)</f>
        <v>12</v>
      </c>
      <c r="O6" s="5">
        <f>IFERROR(__xludf.DUMMYFUNCTION("IFERROR(HLOOKUP($A6,IMPORTRANGE(""https://docs.google.com/spreadsheets/d/1fvo6H94Wcffp6c4N9g3JKCW6y2ZlijPxdOsNz7xdBhw/edit#gid=0"",""'Game 10'!$B$2:$Q$34""),33,False),1)"),8.0)</f>
        <v>8</v>
      </c>
      <c r="P6" s="5">
        <f>IFERROR(__xludf.DUMMYFUNCTION("IFERROR(HLOOKUP($A6,IMPORTRANGE(""https://docs.google.com/spreadsheets/d/1wfQePArl-A-5QJe5xAufoOnzeNLVSoHCRcmpZ_FMdns/edit#gid=0"",""'Game 8'!$B$2:$Q$34""),33,False),1)"),8.0)</f>
        <v>8</v>
      </c>
      <c r="Q6" s="5">
        <f>IFERROR(__xludf.DUMMYFUNCTION("IFERROR(HLOOKUP($A6,IMPORTRANGE(""https://docs.google.com/spreadsheets/d/1wydNznS0hZhVh3oGSdiCZSsReuqMT7Xaw718ix58zAI/edit#gid=0"",""'Game 11'!$B$2:$Q$34""),33,False),1)"),4.0)</f>
        <v>4</v>
      </c>
      <c r="R6" s="6">
        <f>TUHComp!R6</f>
        <v>345</v>
      </c>
      <c r="S6" s="6">
        <f t="shared" si="1"/>
        <v>132</v>
      </c>
      <c r="T6" s="6">
        <f t="shared" si="2"/>
        <v>8.8</v>
      </c>
      <c r="U6" s="6">
        <f t="shared" si="3"/>
        <v>33</v>
      </c>
    </row>
    <row r="7">
      <c r="A7" s="19" t="s">
        <v>38</v>
      </c>
      <c r="B7" s="9" t="s">
        <v>35</v>
      </c>
      <c r="C7" s="2">
        <v>0.0</v>
      </c>
      <c r="D7" s="2">
        <v>0.0</v>
      </c>
      <c r="E7" s="2">
        <v>0.0</v>
      </c>
      <c r="F7" s="2">
        <v>0.0</v>
      </c>
      <c r="G7" s="2">
        <v>0.0</v>
      </c>
      <c r="H7" s="12">
        <f>IFERROR(__xludf.DUMMYFUNCTION("HLOOKUP($A7,IMPORTRANGE(""https://docs.google.com/spreadsheets/d/19gjAD4NwTXl_QoKUuwHQ1cWG_S2BOW94pDcyFtPwheg/edit#gid=1009263986"",""'Game 5'!$B$2:$Q$34""),33,False)"),0.0)</f>
        <v>0</v>
      </c>
      <c r="I7" s="12">
        <f>IFERROR(__xludf.DUMMYFUNCTION("HLOOKUP($A7,IMPORTRANGE(""https://docs.google.com/spreadsheets/d/1l83w8bH-F1czkFOqsgQy6o8O33Jb4Pfg40W0ou2nk0k/edit#gid=0"",""'Game 3'!$B$2:$Q$34""),33,False)"),0.0)</f>
        <v>0</v>
      </c>
      <c r="J7" s="12">
        <f>IFERROR(__xludf.DUMMYFUNCTION("HLOOKUP($A7,IMPORTRANGE(""https://docs.google.com/spreadsheets/d/15X-ub7GvrCQZ3UGgyogcjwYdxG-Ng8WHxzGSj1Z3eLw/edit#gid=0"",""'Game 9'!$B$2:$Q$34""),33,False)"),0.0)</f>
        <v>0</v>
      </c>
      <c r="K7" s="12">
        <f>IFERROR(__xludf.DUMMYFUNCTION("IFERROR(HLOOKUP($A7,IMPORTRANGE(""https://docs.google.com/spreadsheets/d/194Bw3ABslPPhOOPvVoMzIk8sOQFICWBu2pydWdYMD-w/edit#gid=0"",""'Game 10'!$B$2:$Q$29""),28,False),1)"),0.0)</f>
        <v>0</v>
      </c>
      <c r="L7" s="12">
        <f>IFERROR(__xludf.DUMMYFUNCTION("IFERROR(HLOOKUP($A7,IMPORTRANGE(""https://docs.google.com/spreadsheets/d/1F2Bi6K_I1K9xRxY5qb-bNRo5m-Kw7udpF1OaTHhrxjs/edit#gid=0"",""'Game 6'!$B$2:$Q$29""),28,False),1)"),0.0)</f>
        <v>0</v>
      </c>
      <c r="M7" s="12">
        <f>IFERROR(__xludf.DUMMYFUNCTION("IFERROR(HLOOKUP($A7,IMPORTRANGE(""https://docs.google.com/spreadsheets/d/1NDNgi_Ny4dRhc2A3UMIIkalN-V6EmsvxOfDzMRQlQ40/edit#gid=0"",""'Game 12'!$B$2:$Q$34""),33,False),1)"),0.0)</f>
        <v>0</v>
      </c>
      <c r="N7" s="12">
        <f>IFERROR(__xludf.DUMMYFUNCTION("IFERROR(HLOOKUP($A7,IMPORTRANGE(""https://docs.google.com/spreadsheets/d/1UDYA3-RrkJNLa2ZLH1NnUjKyfCoiSODmgVL_Au_zt-Y/edit#gid=0"",""'Game 11'!$B$2:$Q$34""),33,False),1)"),0.0)</f>
        <v>0</v>
      </c>
      <c r="O7" s="12">
        <f>IFERROR(__xludf.DUMMYFUNCTION("IFERROR(HLOOKUP($A7,IMPORTRANGE(""https://docs.google.com/spreadsheets/d/1fvo6H94Wcffp6c4N9g3JKCW6y2ZlijPxdOsNz7xdBhw/edit#gid=0"",""'Game 10'!$B$2:$Q$34""),33,False),1)"),0.0)</f>
        <v>0</v>
      </c>
      <c r="P7" s="12">
        <f>IFERROR(__xludf.DUMMYFUNCTION("IFERROR(HLOOKUP($A7,IMPORTRANGE(""https://docs.google.com/spreadsheets/d/1wfQePArl-A-5QJe5xAufoOnzeNLVSoHCRcmpZ_FMdns/edit#gid=0"",""'Game 8'!$B$2:$Q$34""),33,False),1)"),0.0)</f>
        <v>0</v>
      </c>
      <c r="Q7" s="12">
        <f>IFERROR(__xludf.DUMMYFUNCTION("IFERROR(HLOOKUP($A7,IMPORTRANGE(""https://docs.google.com/spreadsheets/d/1wydNznS0hZhVh3oGSdiCZSsReuqMT7Xaw718ix58zAI/edit#gid=0"",""'Game 11'!$B$2:$Q$34""),33,False),1)"),4.0)</f>
        <v>4</v>
      </c>
      <c r="R7" s="13">
        <f>TUHComp!R7</f>
        <v>207</v>
      </c>
      <c r="S7" s="13">
        <f t="shared" si="1"/>
        <v>4</v>
      </c>
      <c r="T7" s="13">
        <f t="shared" si="2"/>
        <v>0.4444444444</v>
      </c>
      <c r="U7" s="13">
        <f t="shared" si="3"/>
        <v>102</v>
      </c>
    </row>
    <row r="8">
      <c r="A8" s="4" t="s">
        <v>40</v>
      </c>
      <c r="B8" s="16" t="s">
        <v>35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5">
        <f>IFERROR(__xludf.DUMMYFUNCTION("HLOOKUP($A8,IMPORTRANGE(""https://docs.google.com/spreadsheets/d/19gjAD4NwTXl_QoKUuwHQ1cWG_S2BOW94pDcyFtPwheg/edit#gid=1009263986"",""'Game 5'!$B$2:$Q$34""),33,False)"),0.0)</f>
        <v>0</v>
      </c>
      <c r="I8" s="5">
        <f>IFERROR(__xludf.DUMMYFUNCTION("HLOOKUP($A8,IMPORTRANGE(""https://docs.google.com/spreadsheets/d/1l83w8bH-F1czkFOqsgQy6o8O33Jb4Pfg40W0ou2nk0k/edit#gid=0"",""'Game 3'!$B$2:$Q$34""),33,False)"),0.0)</f>
        <v>0</v>
      </c>
      <c r="J8" s="5">
        <f>IFERROR(__xludf.DUMMYFUNCTION("HLOOKUP($A8,IMPORTRANGE(""https://docs.google.com/spreadsheets/d/15X-ub7GvrCQZ3UGgyogcjwYdxG-Ng8WHxzGSj1Z3eLw/edit#gid=0"",""'Game 9'!$B$2:$Q$34""),33,False)"),0.0)</f>
        <v>0</v>
      </c>
      <c r="K8" s="5">
        <f>IFERROR(__xludf.DUMMYFUNCTION("IFERROR(HLOOKUP($A8,IMPORTRANGE(""https://docs.google.com/spreadsheets/d/194Bw3ABslPPhOOPvVoMzIk8sOQFICWBu2pydWdYMD-w/edit#gid=0"",""'Game 10'!$B$2:$Q$29""),28,False),1)"),0.0)</f>
        <v>0</v>
      </c>
      <c r="L8" s="5">
        <f>IFERROR(__xludf.DUMMYFUNCTION("IFERROR(HLOOKUP($A8,IMPORTRANGE(""https://docs.google.com/spreadsheets/d/1F2Bi6K_I1K9xRxY5qb-bNRo5m-Kw7udpF1OaTHhrxjs/edit#gid=0"",""'Game 6'!$B$2:$Q$29""),28,False),1)"),0.0)</f>
        <v>0</v>
      </c>
      <c r="M8" s="5">
        <f>IFERROR(__xludf.DUMMYFUNCTION("IFERROR(HLOOKUP($A8,IMPORTRANGE(""https://docs.google.com/spreadsheets/d/1NDNgi_Ny4dRhc2A3UMIIkalN-V6EmsvxOfDzMRQlQ40/edit#gid=0"",""'Game 12'!$B$2:$Q$34""),33,False),1)"),0.0)</f>
        <v>0</v>
      </c>
      <c r="N8" s="5">
        <f>IFERROR(__xludf.DUMMYFUNCTION("IFERROR(HLOOKUP($A8,IMPORTRANGE(""https://docs.google.com/spreadsheets/d/1UDYA3-RrkJNLa2ZLH1NnUjKyfCoiSODmgVL_Au_zt-Y/edit#gid=0"",""'Game 11'!$B$2:$Q$34""),33,False),1)"),0.0)</f>
        <v>0</v>
      </c>
      <c r="O8" s="5">
        <f>IFERROR(__xludf.DUMMYFUNCTION("IFERROR(HLOOKUP($A8,IMPORTRANGE(""https://docs.google.com/spreadsheets/d/1fvo6H94Wcffp6c4N9g3JKCW6y2ZlijPxdOsNz7xdBhw/edit#gid=0"",""'Game 10'!$B$2:$Q$34""),33,False),1)"),0.0)</f>
        <v>0</v>
      </c>
      <c r="P8" s="5">
        <f>IFERROR(__xludf.DUMMYFUNCTION("IFERROR(HLOOKUP($A8,IMPORTRANGE(""https://docs.google.com/spreadsheets/d/1wfQePArl-A-5QJe5xAufoOnzeNLVSoHCRcmpZ_FMdns/edit#gid=0"",""'Game 8'!$B$2:$Q$34""),33,False),1)"),0.0)</f>
        <v>0</v>
      </c>
      <c r="Q8" s="5">
        <f>IFERROR(__xludf.DUMMYFUNCTION("IFERROR(HLOOKUP($A8,IMPORTRANGE(""https://docs.google.com/spreadsheets/d/1wydNznS0hZhVh3oGSdiCZSsReuqMT7Xaw718ix58zAI/edit#gid=0"",""'Game 11'!$B$2:$Q$34""),33,False),1)"),0.0)</f>
        <v>0</v>
      </c>
      <c r="R8" s="6">
        <f>TUHComp!R8</f>
        <v>138</v>
      </c>
      <c r="S8" s="6">
        <f t="shared" si="1"/>
        <v>0</v>
      </c>
      <c r="T8" s="6">
        <f t="shared" si="2"/>
        <v>0</v>
      </c>
      <c r="U8" s="6">
        <f t="shared" si="3"/>
        <v>104</v>
      </c>
    </row>
    <row r="9">
      <c r="A9" s="19" t="s">
        <v>42</v>
      </c>
      <c r="B9" s="9" t="s">
        <v>35</v>
      </c>
      <c r="C9" s="2">
        <v>4.0</v>
      </c>
      <c r="D9" s="2">
        <v>16.0</v>
      </c>
      <c r="E9" s="2">
        <v>16.0</v>
      </c>
      <c r="F9" s="2">
        <v>20.0</v>
      </c>
      <c r="G9" s="2">
        <v>20.0</v>
      </c>
      <c r="H9" s="12">
        <f>IFERROR(__xludf.DUMMYFUNCTION("HLOOKUP($A9,IMPORTRANGE(""https://docs.google.com/spreadsheets/d/19gjAD4NwTXl_QoKUuwHQ1cWG_S2BOW94pDcyFtPwheg/edit#gid=1009263986"",""'Game 5'!$B$2:$Q$34""),33,False)"),12.0)</f>
        <v>12</v>
      </c>
      <c r="I9" s="12">
        <f>IFERROR(__xludf.DUMMYFUNCTION("HLOOKUP($A9,IMPORTRANGE(""https://docs.google.com/spreadsheets/d/1l83w8bH-F1czkFOqsgQy6o8O33Jb4Pfg40W0ou2nk0k/edit#gid=0"",""'Game 3'!$B$2:$Q$34""),33,False)"),12.0)</f>
        <v>12</v>
      </c>
      <c r="J9" s="12">
        <f>IFERROR(__xludf.DUMMYFUNCTION("HLOOKUP($A9,IMPORTRANGE(""https://docs.google.com/spreadsheets/d/15X-ub7GvrCQZ3UGgyogcjwYdxG-Ng8WHxzGSj1Z3eLw/edit#gid=0"",""'Game 9'!$B$2:$Q$34""),33,False)"),24.0)</f>
        <v>24</v>
      </c>
      <c r="K9" s="12">
        <f>IFERROR(__xludf.DUMMYFUNCTION("IFERROR(HLOOKUP($A9,IMPORTRANGE(""https://docs.google.com/spreadsheets/d/194Bw3ABslPPhOOPvVoMzIk8sOQFICWBu2pydWdYMD-w/edit#gid=0"",""'Game 10'!$B$2:$Q$29""),28,False),1)"),20.0)</f>
        <v>20</v>
      </c>
      <c r="L9" s="12">
        <f>IFERROR(__xludf.DUMMYFUNCTION("IFERROR(HLOOKUP($A9,IMPORTRANGE(""https://docs.google.com/spreadsheets/d/1F2Bi6K_I1K9xRxY5qb-bNRo5m-Kw7udpF1OaTHhrxjs/edit#gid=0"",""'Game 6'!$B$2:$Q$29""),28,False),1)"),24.0)</f>
        <v>24</v>
      </c>
      <c r="M9" s="12">
        <f>IFERROR(__xludf.DUMMYFUNCTION("IFERROR(HLOOKUP($A9,IMPORTRANGE(""https://docs.google.com/spreadsheets/d/1NDNgi_Ny4dRhc2A3UMIIkalN-V6EmsvxOfDzMRQlQ40/edit#gid=0"",""'Game 12'!$B$2:$Q$34""),33,False),1)"),32.0)</f>
        <v>32</v>
      </c>
      <c r="N9" s="12">
        <f>IFERROR(__xludf.DUMMYFUNCTION("IFERROR(HLOOKUP($A9,IMPORTRANGE(""https://docs.google.com/spreadsheets/d/1UDYA3-RrkJNLa2ZLH1NnUjKyfCoiSODmgVL_Au_zt-Y/edit#gid=0"",""'Game 11'!$B$2:$Q$34""),33,False),1)"),52.0)</f>
        <v>52</v>
      </c>
      <c r="O9" s="12">
        <f>IFERROR(__xludf.DUMMYFUNCTION("IFERROR(HLOOKUP($A9,IMPORTRANGE(""https://docs.google.com/spreadsheets/d/1fvo6H94Wcffp6c4N9g3JKCW6y2ZlijPxdOsNz7xdBhw/edit#gid=0"",""'Game 10'!$B$2:$Q$34""),33,False),1)"),12.0)</f>
        <v>12</v>
      </c>
      <c r="P9" s="12">
        <f>IFERROR(__xludf.DUMMYFUNCTION("IFERROR(HLOOKUP($A9,IMPORTRANGE(""https://docs.google.com/spreadsheets/d/1wfQePArl-A-5QJe5xAufoOnzeNLVSoHCRcmpZ_FMdns/edit#gid=0"",""'Game 8'!$B$2:$Q$34""),33,False),1)"),28.0)</f>
        <v>28</v>
      </c>
      <c r="Q9" s="12">
        <f>IFERROR(__xludf.DUMMYFUNCTION("IFERROR(HLOOKUP($A9,IMPORTRANGE(""https://docs.google.com/spreadsheets/d/1wydNznS0hZhVh3oGSdiCZSsReuqMT7Xaw718ix58zAI/edit#gid=0"",""'Game 11'!$B$2:$Q$34""),33,False),1)"),24.0)</f>
        <v>24</v>
      </c>
      <c r="R9" s="13">
        <f>TUHComp!R9</f>
        <v>345</v>
      </c>
      <c r="S9" s="13">
        <f t="shared" si="1"/>
        <v>316</v>
      </c>
      <c r="T9" s="13">
        <f t="shared" si="2"/>
        <v>21.06666667</v>
      </c>
      <c r="U9" s="13">
        <f t="shared" si="3"/>
        <v>8</v>
      </c>
    </row>
    <row r="10">
      <c r="A10" s="4" t="s">
        <v>45</v>
      </c>
      <c r="B10" s="16" t="s">
        <v>35</v>
      </c>
      <c r="C10" s="3">
        <v>12.0</v>
      </c>
      <c r="D10" s="3">
        <v>16.0</v>
      </c>
      <c r="E10" s="3">
        <v>12.0</v>
      </c>
      <c r="F10" s="3">
        <v>8.0</v>
      </c>
      <c r="G10" s="3">
        <v>8.0</v>
      </c>
      <c r="H10" s="5">
        <f>IFERROR(__xludf.DUMMYFUNCTION("HLOOKUP($A10,IMPORTRANGE(""https://docs.google.com/spreadsheets/d/19gjAD4NwTXl_QoKUuwHQ1cWG_S2BOW94pDcyFtPwheg/edit#gid=1009263986"",""'Game 5'!$B$2:$Q$34""),33,False)"),0.0)</f>
        <v>0</v>
      </c>
      <c r="I10" s="5">
        <f>IFERROR(__xludf.DUMMYFUNCTION("HLOOKUP($A10,IMPORTRANGE(""https://docs.google.com/spreadsheets/d/1l83w8bH-F1czkFOqsgQy6o8O33Jb4Pfg40W0ou2nk0k/edit#gid=0"",""'Game 3'!$B$2:$Q$34""),33,False)"),-4.0)</f>
        <v>-4</v>
      </c>
      <c r="J10" s="5">
        <f>IFERROR(__xludf.DUMMYFUNCTION("HLOOKUP($A10,IMPORTRANGE(""https://docs.google.com/spreadsheets/d/15X-ub7GvrCQZ3UGgyogcjwYdxG-Ng8WHxzGSj1Z3eLw/edit#gid=0"",""'Game 9'!$B$2:$Q$34""),33,False)"),12.0)</f>
        <v>12</v>
      </c>
      <c r="K10" s="5">
        <f>IFERROR(__xludf.DUMMYFUNCTION("IFERROR(HLOOKUP($A10,IMPORTRANGE(""https://docs.google.com/spreadsheets/d/194Bw3ABslPPhOOPvVoMzIk8sOQFICWBu2pydWdYMD-w/edit#gid=0"",""'Game 10'!$B$2:$Q$29""),28,False),1)"),8.0)</f>
        <v>8</v>
      </c>
      <c r="L10" s="5">
        <f>IFERROR(__xludf.DUMMYFUNCTION("IFERROR(HLOOKUP($A10,IMPORTRANGE(""https://docs.google.com/spreadsheets/d/1F2Bi6K_I1K9xRxY5qb-bNRo5m-Kw7udpF1OaTHhrxjs/edit#gid=0"",""'Game 6'!$B$2:$Q$29""),28,False),1)"),8.0)</f>
        <v>8</v>
      </c>
      <c r="M10" s="5">
        <f>IFERROR(__xludf.DUMMYFUNCTION("IFERROR(HLOOKUP($A10,IMPORTRANGE(""https://docs.google.com/spreadsheets/d/1NDNgi_Ny4dRhc2A3UMIIkalN-V6EmsvxOfDzMRQlQ40/edit#gid=0"",""'Game 12'!$B$2:$Q$34""),33,False),1)"),0.0)</f>
        <v>0</v>
      </c>
      <c r="N10" s="5">
        <f>IFERROR(__xludf.DUMMYFUNCTION("IFERROR(HLOOKUP($A10,IMPORTRANGE(""https://docs.google.com/spreadsheets/d/1UDYA3-RrkJNLa2ZLH1NnUjKyfCoiSODmgVL_Au_zt-Y/edit#gid=0"",""'Game 11'!$B$2:$Q$34""),33,False),1)"),8.0)</f>
        <v>8</v>
      </c>
      <c r="O10" s="5">
        <f>IFERROR(__xludf.DUMMYFUNCTION("IFERROR(HLOOKUP($A10,IMPORTRANGE(""https://docs.google.com/spreadsheets/d/1fvo6H94Wcffp6c4N9g3JKCW6y2ZlijPxdOsNz7xdBhw/edit#gid=0"",""'Game 10'!$B$2:$Q$34""),33,False),1)"),-4.0)</f>
        <v>-4</v>
      </c>
      <c r="P10" s="5">
        <f>IFERROR(__xludf.DUMMYFUNCTION("IFERROR(HLOOKUP($A10,IMPORTRANGE(""https://docs.google.com/spreadsheets/d/1wfQePArl-A-5QJe5xAufoOnzeNLVSoHCRcmpZ_FMdns/edit#gid=0"",""'Game 8'!$B$2:$Q$34""),33,False),1)"),0.0)</f>
        <v>0</v>
      </c>
      <c r="Q10" s="5">
        <f>IFERROR(__xludf.DUMMYFUNCTION("IFERROR(HLOOKUP($A10,IMPORTRANGE(""https://docs.google.com/spreadsheets/d/1wydNznS0hZhVh3oGSdiCZSsReuqMT7Xaw718ix58zAI/edit#gid=0"",""'Game 11'!$B$2:$Q$34""),33,False),1)"),0.0)</f>
        <v>0</v>
      </c>
      <c r="R10" s="6">
        <f>TUHComp!R10</f>
        <v>345</v>
      </c>
      <c r="S10" s="6">
        <f t="shared" si="1"/>
        <v>84</v>
      </c>
      <c r="T10" s="6">
        <f t="shared" si="2"/>
        <v>5.6</v>
      </c>
      <c r="U10" s="6">
        <f t="shared" si="3"/>
        <v>45</v>
      </c>
    </row>
    <row r="11">
      <c r="A11" s="19" t="s">
        <v>47</v>
      </c>
      <c r="B11" s="19" t="s">
        <v>48</v>
      </c>
      <c r="C11" s="2">
        <v>4.0</v>
      </c>
      <c r="D11" s="2">
        <v>4.0</v>
      </c>
      <c r="E11" s="2">
        <v>-4.0</v>
      </c>
      <c r="F11" s="2">
        <v>4.0</v>
      </c>
      <c r="G11" s="2">
        <v>0.0</v>
      </c>
      <c r="H11" s="12">
        <f>IFERROR(__xludf.DUMMYFUNCTION("HLOOKUP($A11,IMPORTRANGE(""https://docs.google.com/spreadsheets/d/19gjAD4NwTXl_QoKUuwHQ1cWG_S2BOW94pDcyFtPwheg/edit#gid=1009263986"",""'Game 7'!$B$2:$Q$34""),33,False)"),0.0)</f>
        <v>0</v>
      </c>
      <c r="I11" s="12">
        <f>IFERROR(__xludf.DUMMYFUNCTION("HLOOKUP($A11,IMPORTRANGE(""https://docs.google.com/spreadsheets/d/1l83w8bH-F1czkFOqsgQy6o8O33Jb4Pfg40W0ou2nk0k/edit#gid=0"",""'Game 11'!$B$2:$Q$34""),33,False)"),0.0)</f>
        <v>0</v>
      </c>
      <c r="J11" s="12">
        <f>IFERROR(__xludf.DUMMYFUNCTION("HLOOKUP($A11,IMPORTRANGE(""https://docs.google.com/spreadsheets/d/15X-ub7GvrCQZ3UGgyogcjwYdxG-Ng8WHxzGSj1Z3eLw/edit#gid=0"",""'Game 9'!$B$2:$Q$34""),33,False)"),4.0)</f>
        <v>4</v>
      </c>
      <c r="K11" s="12">
        <f>IFERROR(__xludf.DUMMYFUNCTION("IFERROR(HLOOKUP($A11,IMPORTRANGE(""https://docs.google.com/spreadsheets/d/194Bw3ABslPPhOOPvVoMzIk8sOQFICWBu2pydWdYMD-w/edit#gid=0"",""'Game 4'!$B$2:$Q$34""),33,False),1)"),-4.0)</f>
        <v>-4</v>
      </c>
      <c r="L11" s="12">
        <f>IFERROR(__xludf.DUMMYFUNCTION("IFERROR(HLOOKUP($A11,IMPORTRANGE(""https://docs.google.com/spreadsheets/d/1F2Bi6K_I1K9xRxY5qb-bNRo5m-Kw7udpF1OaTHhrxjs/edit#gid=0"",""'Game 1'!$B$2:$Q$34""),33,False),1)"),0.0)</f>
        <v>0</v>
      </c>
      <c r="M11" s="12">
        <f>IFERROR(__xludf.DUMMYFUNCTION("IFERROR(HLOOKUP($A11,IMPORTRANGE(""https://docs.google.com/spreadsheets/d/1NDNgi_Ny4dRhc2A3UMIIkalN-V6EmsvxOfDzMRQlQ40/edit#gid=0"",""'Game 10'!$B$2:$Q$34""),33,False),1)"),4.0)</f>
        <v>4</v>
      </c>
      <c r="N11" s="12">
        <f>IFERROR(__xludf.DUMMYFUNCTION("IFERROR(HLOOKUP($A11,IMPORTRANGE(""https://docs.google.com/spreadsheets/d/1UDYA3-RrkJNLa2ZLH1NnUjKyfCoiSODmgVL_Au_zt-Y/edit#gid=0"",""'Game 9'!$B$2:$Q$34""),33,False),1)"),0.0)</f>
        <v>0</v>
      </c>
      <c r="O11" s="12">
        <f>IFERROR(__xludf.DUMMYFUNCTION("IFERROR(HLOOKUP($A11,IMPORTRANGE(""https://docs.google.com/spreadsheets/d/1fvo6H94Wcffp6c4N9g3JKCW6y2ZlijPxdOsNz7xdBhw/edit#gid=0"",""'Game 9'!$B$2:$Q$34""),33,False),1)"),8.0)</f>
        <v>8</v>
      </c>
      <c r="P11" s="12">
        <f>IFERROR(__xludf.DUMMYFUNCTION("IFERROR(HLOOKUP($A11,IMPORTRANGE(""https://docs.google.com/spreadsheets/d/1wfQePArl-A-5QJe5xAufoOnzeNLVSoHCRcmpZ_FMdns/edit#gid=0"",""'Game 5'!$B$2:$Q$34""),33,False),1)"),8.0)</f>
        <v>8</v>
      </c>
      <c r="Q11" s="12">
        <f>IFERROR(__xludf.DUMMYFUNCTION("IFERROR(HLOOKUP($A11,IMPORTRANGE(""https://docs.google.com/spreadsheets/d/1wydNznS0hZhVh3oGSdiCZSsReuqMT7Xaw718ix58zAI/edit#gid=0"",""'Game 5'!$B$2:$Q$34""),33,False),1)"),12.0)</f>
        <v>12</v>
      </c>
      <c r="R11" s="13">
        <f>TUHComp!R11</f>
        <v>345</v>
      </c>
      <c r="S11" s="13">
        <f t="shared" si="1"/>
        <v>40</v>
      </c>
      <c r="T11" s="13">
        <f t="shared" si="2"/>
        <v>2.666666667</v>
      </c>
      <c r="U11" s="13">
        <f t="shared" si="3"/>
        <v>75</v>
      </c>
    </row>
    <row r="12">
      <c r="A12" s="4" t="s">
        <v>51</v>
      </c>
      <c r="B12" s="16" t="s">
        <v>48</v>
      </c>
      <c r="C12" s="3">
        <v>4.0</v>
      </c>
      <c r="D12" s="3">
        <v>0.0</v>
      </c>
      <c r="E12" s="3">
        <v>0.0</v>
      </c>
      <c r="F12" s="3">
        <v>0.0</v>
      </c>
      <c r="G12" s="3">
        <v>0.0</v>
      </c>
      <c r="H12" s="5">
        <f>IFERROR(__xludf.DUMMYFUNCTION("HLOOKUP($A12,IMPORTRANGE(""https://docs.google.com/spreadsheets/d/19gjAD4NwTXl_QoKUuwHQ1cWG_S2BOW94pDcyFtPwheg/edit#gid=1009263986"",""'Game 7'!$B$2:$Q$34""),33,False)"),4.0)</f>
        <v>4</v>
      </c>
      <c r="I12" s="5">
        <f>IFERROR(__xludf.DUMMYFUNCTION("HLOOKUP($A12,IMPORTRANGE(""https://docs.google.com/spreadsheets/d/1l83w8bH-F1czkFOqsgQy6o8O33Jb4Pfg40W0ou2nk0k/edit#gid=0"",""'Game 11'!$B$2:$Q$34""),33,False)"),4.0)</f>
        <v>4</v>
      </c>
      <c r="J12" s="5">
        <f>IFERROR(__xludf.DUMMYFUNCTION("HLOOKUP($A12,IMPORTRANGE(""https://docs.google.com/spreadsheets/d/15X-ub7GvrCQZ3UGgyogcjwYdxG-Ng8WHxzGSj1Z3eLw/edit#gid=0"",""'Game 9'!$B$2:$Q$34""),33,False)"),4.0)</f>
        <v>4</v>
      </c>
      <c r="K12" s="5">
        <f>IFERROR(__xludf.DUMMYFUNCTION("IFERROR(HLOOKUP($A12,IMPORTRANGE(""https://docs.google.com/spreadsheets/d/194Bw3ABslPPhOOPvVoMzIk8sOQFICWBu2pydWdYMD-w/edit#gid=0"",""'Game 4'!$B$2:$Q$34""),33,False),1)"),4.0)</f>
        <v>4</v>
      </c>
      <c r="L12" s="5">
        <f>IFERROR(__xludf.DUMMYFUNCTION("IFERROR(HLOOKUP($A12,IMPORTRANGE(""https://docs.google.com/spreadsheets/d/1F2Bi6K_I1K9xRxY5qb-bNRo5m-Kw7udpF1OaTHhrxjs/edit#gid=0"",""'Game 1'!$B$2:$Q$34""),33,False),1)"),8.0)</f>
        <v>8</v>
      </c>
      <c r="M12" s="5">
        <f>IFERROR(__xludf.DUMMYFUNCTION("IFERROR(HLOOKUP($A12,IMPORTRANGE(""https://docs.google.com/spreadsheets/d/1NDNgi_Ny4dRhc2A3UMIIkalN-V6EmsvxOfDzMRQlQ40/edit#gid=0"",""'Game 10'!$B$2:$Q$34""),33,False),1)"),0.0)</f>
        <v>0</v>
      </c>
      <c r="N12" s="5">
        <f>IFERROR(__xludf.DUMMYFUNCTION("IFERROR(HLOOKUP($A12,IMPORTRANGE(""https://docs.google.com/spreadsheets/d/1UDYA3-RrkJNLa2ZLH1NnUjKyfCoiSODmgVL_Au_zt-Y/edit#gid=0"",""'Game 9'!$B$2:$Q$34""),33,False),1)"),0.0)</f>
        <v>0</v>
      </c>
      <c r="O12" s="5">
        <f>IFERROR(__xludf.DUMMYFUNCTION("IFERROR(HLOOKUP($A12,IMPORTRANGE(""https://docs.google.com/spreadsheets/d/1fvo6H94Wcffp6c4N9g3JKCW6y2ZlijPxdOsNz7xdBhw/edit#gid=0"",""'Game 9'!$B$2:$Q$34""),33,False),1)"),4.0)</f>
        <v>4</v>
      </c>
      <c r="P12" s="5">
        <f>IFERROR(__xludf.DUMMYFUNCTION("IFERROR(HLOOKUP($A12,IMPORTRANGE(""https://docs.google.com/spreadsheets/d/1wfQePArl-A-5QJe5xAufoOnzeNLVSoHCRcmpZ_FMdns/edit#gid=0"",""'Game 5'!$B$2:$Q$34""),33,False),1)"),4.0)</f>
        <v>4</v>
      </c>
      <c r="Q12" s="5">
        <f>IFERROR(__xludf.DUMMYFUNCTION("IFERROR(HLOOKUP($A12,IMPORTRANGE(""https://docs.google.com/spreadsheets/d/1wydNznS0hZhVh3oGSdiCZSsReuqMT7Xaw718ix58zAI/edit#gid=0"",""'Game 5'!$B$2:$Q$34""),33,False),1)"),8.0)</f>
        <v>8</v>
      </c>
      <c r="R12" s="6">
        <f>TUHComp!R12</f>
        <v>251</v>
      </c>
      <c r="S12" s="6">
        <f t="shared" si="1"/>
        <v>44</v>
      </c>
      <c r="T12" s="6">
        <f t="shared" si="2"/>
        <v>4.03187251</v>
      </c>
      <c r="U12" s="6">
        <f t="shared" si="3"/>
        <v>60</v>
      </c>
    </row>
    <row r="13">
      <c r="A13" s="19" t="s">
        <v>53</v>
      </c>
      <c r="B13" s="9" t="s">
        <v>48</v>
      </c>
      <c r="C13" s="2">
        <v>0.0</v>
      </c>
      <c r="D13" s="2">
        <v>4.0</v>
      </c>
      <c r="E13" s="2">
        <v>0.0</v>
      </c>
      <c r="F13" s="2">
        <v>4.0</v>
      </c>
      <c r="G13" s="2">
        <v>12.0</v>
      </c>
      <c r="H13" s="12">
        <f>IFERROR(__xludf.DUMMYFUNCTION("HLOOKUP($A13,IMPORTRANGE(""https://docs.google.com/spreadsheets/d/19gjAD4NwTXl_QoKUuwHQ1cWG_S2BOW94pDcyFtPwheg/edit#gid=1009263986"",""'Game 7'!$B$2:$Q$34""),33,False)"),0.0)</f>
        <v>0</v>
      </c>
      <c r="I13" s="12">
        <f>IFERROR(__xludf.DUMMYFUNCTION("HLOOKUP($A13,IMPORTRANGE(""https://docs.google.com/spreadsheets/d/1l83w8bH-F1czkFOqsgQy6o8O33Jb4Pfg40W0ou2nk0k/edit#gid=0"",""'Game 11'!$B$2:$Q$34""),33,False)"),4.0)</f>
        <v>4</v>
      </c>
      <c r="J13" s="12">
        <f>IFERROR(__xludf.DUMMYFUNCTION("HLOOKUP($A13,IMPORTRANGE(""https://docs.google.com/spreadsheets/d/15X-ub7GvrCQZ3UGgyogcjwYdxG-Ng8WHxzGSj1Z3eLw/edit#gid=0"",""'Game 9'!$B$2:$Q$34""),33,False)"),4.0)</f>
        <v>4</v>
      </c>
      <c r="K13" s="12">
        <f>IFERROR(__xludf.DUMMYFUNCTION("IFERROR(HLOOKUP($A13,IMPORTRANGE(""https://docs.google.com/spreadsheets/d/194Bw3ABslPPhOOPvVoMzIk8sOQFICWBu2pydWdYMD-w/edit#gid=0"",""'Game 4'!$B$2:$Q$34""),33,False),1)"),0.0)</f>
        <v>0</v>
      </c>
      <c r="L13" s="12">
        <f>IFERROR(__xludf.DUMMYFUNCTION("IFERROR(HLOOKUP($A13,IMPORTRANGE(""https://docs.google.com/spreadsheets/d/1F2Bi6K_I1K9xRxY5qb-bNRo5m-Kw7udpF1OaTHhrxjs/edit#gid=0"",""'Game 1'!$B$2:$Q$34""),33,False),1)"),0.0)</f>
        <v>0</v>
      </c>
      <c r="M13" s="12">
        <f>IFERROR(__xludf.DUMMYFUNCTION("IFERROR(HLOOKUP($A13,IMPORTRANGE(""https://docs.google.com/spreadsheets/d/1NDNgi_Ny4dRhc2A3UMIIkalN-V6EmsvxOfDzMRQlQ40/edit#gid=0"",""'Game 10'!$B$2:$Q$34""),33,False),1)"),4.0)</f>
        <v>4</v>
      </c>
      <c r="N13" s="12">
        <f>IFERROR(__xludf.DUMMYFUNCTION("IFERROR(HLOOKUP($A13,IMPORTRANGE(""https://docs.google.com/spreadsheets/d/1UDYA3-RrkJNLa2ZLH1NnUjKyfCoiSODmgVL_Au_zt-Y/edit#gid=0"",""'Game 9'!$B$2:$Q$34""),33,False),1)"),4.0)</f>
        <v>4</v>
      </c>
      <c r="O13" s="12">
        <f>IFERROR(__xludf.DUMMYFUNCTION("IFERROR(HLOOKUP($A13,IMPORTRANGE(""https://docs.google.com/spreadsheets/d/1fvo6H94Wcffp6c4N9g3JKCW6y2ZlijPxdOsNz7xdBhw/edit#gid=0"",""'Game 9'!$B$2:$Q$34""),33,False),1)"),4.0)</f>
        <v>4</v>
      </c>
      <c r="P13" s="12">
        <f>IFERROR(__xludf.DUMMYFUNCTION("IFERROR(HLOOKUP($A13,IMPORTRANGE(""https://docs.google.com/spreadsheets/d/1wfQePArl-A-5QJe5xAufoOnzeNLVSoHCRcmpZ_FMdns/edit#gid=0"",""'Game 5'!$B$2:$Q$34""),33,False),1)"),4.0)</f>
        <v>4</v>
      </c>
      <c r="Q13" s="12">
        <f>IFERROR(__xludf.DUMMYFUNCTION("IFERROR(HLOOKUP($A13,IMPORTRANGE(""https://docs.google.com/spreadsheets/d/1wydNznS0hZhVh3oGSdiCZSsReuqMT7Xaw718ix58zAI/edit#gid=0"",""'Game 5'!$B$2:$Q$34""),33,False),1)"),8.0)</f>
        <v>8</v>
      </c>
      <c r="R13" s="13">
        <f>TUHComp!R13</f>
        <v>230</v>
      </c>
      <c r="S13" s="13">
        <f t="shared" si="1"/>
        <v>52</v>
      </c>
      <c r="T13" s="13">
        <f t="shared" si="2"/>
        <v>5.2</v>
      </c>
      <c r="U13" s="13">
        <f t="shared" si="3"/>
        <v>48</v>
      </c>
    </row>
    <row r="14">
      <c r="A14" s="23" t="s">
        <v>56</v>
      </c>
      <c r="B14" s="16" t="s">
        <v>48</v>
      </c>
      <c r="C14" s="3">
        <v>12.0</v>
      </c>
      <c r="D14" s="3">
        <v>0.0</v>
      </c>
      <c r="E14" s="3">
        <v>0.0</v>
      </c>
      <c r="F14" s="3">
        <v>4.0</v>
      </c>
      <c r="G14" s="3">
        <v>8.0</v>
      </c>
      <c r="H14" s="5">
        <f>IFERROR(__xludf.DUMMYFUNCTION("HLOOKUP($A14,IMPORTRANGE(""https://docs.google.com/spreadsheets/d/19gjAD4NwTXl_QoKUuwHQ1cWG_S2BOW94pDcyFtPwheg/edit#gid=1009263986"",""'Game 7'!$B$2:$Q$34""),33,False)"),4.0)</f>
        <v>4</v>
      </c>
      <c r="I14" s="5">
        <f>IFERROR(__xludf.DUMMYFUNCTION("HLOOKUP($A14,IMPORTRANGE(""https://docs.google.com/spreadsheets/d/1l83w8bH-F1czkFOqsgQy6o8O33Jb4Pfg40W0ou2nk0k/edit#gid=0"",""'Game 11'!$B$2:$Q$34""),33,False)"),4.0)</f>
        <v>4</v>
      </c>
      <c r="J14" s="5">
        <f>IFERROR(__xludf.DUMMYFUNCTION("HLOOKUP($A14,IMPORTRANGE(""https://docs.google.com/spreadsheets/d/15X-ub7GvrCQZ3UGgyogcjwYdxG-Ng8WHxzGSj1Z3eLw/edit#gid=0"",""'Game 9'!$B$2:$Q$34""),33,False)"),12.0)</f>
        <v>12</v>
      </c>
      <c r="K14" s="5">
        <f>IFERROR(__xludf.DUMMYFUNCTION("IFERROR(HLOOKUP($A14,IMPORTRANGE(""https://docs.google.com/spreadsheets/d/194Bw3ABslPPhOOPvVoMzIk8sOQFICWBu2pydWdYMD-w/edit#gid=0"",""'Game 4'!$B$2:$Q$34""),33,False),1)"),4.0)</f>
        <v>4</v>
      </c>
      <c r="L14" s="5">
        <f>IFERROR(__xludf.DUMMYFUNCTION("IFERROR(HLOOKUP($A14,IMPORTRANGE(""https://docs.google.com/spreadsheets/d/1F2Bi6K_I1K9xRxY5qb-bNRo5m-Kw7udpF1OaTHhrxjs/edit#gid=0"",""'Game 1'!$B$2:$Q$34""),33,False),1)"),0.0)</f>
        <v>0</v>
      </c>
      <c r="M14" s="5">
        <f>IFERROR(__xludf.DUMMYFUNCTION("IFERROR(HLOOKUP($A14,IMPORTRANGE(""https://docs.google.com/spreadsheets/d/1NDNgi_Ny4dRhc2A3UMIIkalN-V6EmsvxOfDzMRQlQ40/edit#gid=0"",""'Game 10'!$B$2:$Q$34""),33,False),1)"),8.0)</f>
        <v>8</v>
      </c>
      <c r="N14" s="5">
        <f>IFERROR(__xludf.DUMMYFUNCTION("IFERROR(HLOOKUP($A14,IMPORTRANGE(""https://docs.google.com/spreadsheets/d/1UDYA3-RrkJNLa2ZLH1NnUjKyfCoiSODmgVL_Au_zt-Y/edit#gid=0"",""'Game 9'!$B$2:$Q$34""),33,False),1)"),16.0)</f>
        <v>16</v>
      </c>
      <c r="O14" s="5">
        <f>IFERROR(__xludf.DUMMYFUNCTION("IFERROR(HLOOKUP($A14,IMPORTRANGE(""https://docs.google.com/spreadsheets/d/1fvo6H94Wcffp6c4N9g3JKCW6y2ZlijPxdOsNz7xdBhw/edit#gid=0"",""'Game 9'!$B$2:$Q$34""),33,False),1)"),16.0)</f>
        <v>16</v>
      </c>
      <c r="P14" s="5">
        <f>IFERROR(__xludf.DUMMYFUNCTION("IFERROR(HLOOKUP($A14,IMPORTRANGE(""https://docs.google.com/spreadsheets/d/1wfQePArl-A-5QJe5xAufoOnzeNLVSoHCRcmpZ_FMdns/edit#gid=0"",""'Game 5'!$B$2:$Q$34""),33,False),1)"),20.0)</f>
        <v>20</v>
      </c>
      <c r="Q14" s="5">
        <f>IFERROR(__xludf.DUMMYFUNCTION("IFERROR(HLOOKUP($A14,IMPORTRANGE(""https://docs.google.com/spreadsheets/d/1wydNznS0hZhVh3oGSdiCZSsReuqMT7Xaw718ix58zAI/edit#gid=0"",""'Game 5'!$B$2:$Q$34""),33,False),1)"),8.0)</f>
        <v>8</v>
      </c>
      <c r="R14" s="6">
        <f>TUHComp!R14</f>
        <v>322</v>
      </c>
      <c r="S14" s="6">
        <f t="shared" si="1"/>
        <v>116</v>
      </c>
      <c r="T14" s="6">
        <f t="shared" si="2"/>
        <v>8.285714286</v>
      </c>
      <c r="U14" s="6">
        <f t="shared" si="3"/>
        <v>36</v>
      </c>
    </row>
    <row r="15">
      <c r="A15" s="19" t="s">
        <v>58</v>
      </c>
      <c r="B15" s="9" t="s">
        <v>48</v>
      </c>
      <c r="C15" s="2">
        <v>8.0</v>
      </c>
      <c r="D15" s="2">
        <v>-4.0</v>
      </c>
      <c r="E15" s="2">
        <v>0.0</v>
      </c>
      <c r="F15" s="2">
        <v>8.0</v>
      </c>
      <c r="G15" s="2">
        <v>4.0</v>
      </c>
      <c r="H15" s="12">
        <f>IFERROR(__xludf.DUMMYFUNCTION("HLOOKUP($A15,IMPORTRANGE(""https://docs.google.com/spreadsheets/d/19gjAD4NwTXl_QoKUuwHQ1cWG_S2BOW94pDcyFtPwheg/edit#gid=1009263986"",""'Game 7'!$B$2:$Q$34""),33,False)"),0.0)</f>
        <v>0</v>
      </c>
      <c r="I15" s="12">
        <f>IFERROR(__xludf.DUMMYFUNCTION("HLOOKUP($A15,IMPORTRANGE(""https://docs.google.com/spreadsheets/d/1l83w8bH-F1czkFOqsgQy6o8O33Jb4Pfg40W0ou2nk0k/edit#gid=0"",""'Game 11'!$B$2:$Q$34""),33,False)"),4.0)</f>
        <v>4</v>
      </c>
      <c r="J15" s="12">
        <f>IFERROR(__xludf.DUMMYFUNCTION("HLOOKUP($A15,IMPORTRANGE(""https://docs.google.com/spreadsheets/d/15X-ub7GvrCQZ3UGgyogcjwYdxG-Ng8WHxzGSj1Z3eLw/edit#gid=0"",""'Game 9'!$B$2:$Q$34""),33,False)"),4.0)</f>
        <v>4</v>
      </c>
      <c r="K15" s="12">
        <f>IFERROR(__xludf.DUMMYFUNCTION("IFERROR(HLOOKUP($A15,IMPORTRANGE(""https://docs.google.com/spreadsheets/d/194Bw3ABslPPhOOPvVoMzIk8sOQFICWBu2pydWdYMD-w/edit#gid=0"",""'Game 4'!$B$2:$Q$34""),33,False),1)"),8.0)</f>
        <v>8</v>
      </c>
      <c r="L15" s="12">
        <f>IFERROR(__xludf.DUMMYFUNCTION("IFERROR(HLOOKUP($A15,IMPORTRANGE(""https://docs.google.com/spreadsheets/d/1F2Bi6K_I1K9xRxY5qb-bNRo5m-Kw7udpF1OaTHhrxjs/edit#gid=0"",""'Game 1'!$B$2:$Q$34""),33,False),1)"),8.0)</f>
        <v>8</v>
      </c>
      <c r="M15" s="12">
        <f>IFERROR(__xludf.DUMMYFUNCTION("IFERROR(HLOOKUP($A15,IMPORTRANGE(""https://docs.google.com/spreadsheets/d/1NDNgi_Ny4dRhc2A3UMIIkalN-V6EmsvxOfDzMRQlQ40/edit#gid=0"",""'Game 10'!$B$2:$Q$34""),33,False),1)"),0.0)</f>
        <v>0</v>
      </c>
      <c r="N15" s="12">
        <f>IFERROR(__xludf.DUMMYFUNCTION("IFERROR(HLOOKUP($A15,IMPORTRANGE(""https://docs.google.com/spreadsheets/d/1UDYA3-RrkJNLa2ZLH1NnUjKyfCoiSODmgVL_Au_zt-Y/edit#gid=0"",""'Game 9'!$B$2:$Q$34""),33,False),1)"),0.0)</f>
        <v>0</v>
      </c>
      <c r="O15" s="12">
        <f>IFERROR(__xludf.DUMMYFUNCTION("IFERROR(HLOOKUP($A15,IMPORTRANGE(""https://docs.google.com/spreadsheets/d/1fvo6H94Wcffp6c4N9g3JKCW6y2ZlijPxdOsNz7xdBhw/edit#gid=0"",""'Game 9'!$B$2:$Q$34""),33,False),1)"),4.0)</f>
        <v>4</v>
      </c>
      <c r="P15" s="12">
        <f>IFERROR(__xludf.DUMMYFUNCTION("IFERROR(HLOOKUP($A15,IMPORTRANGE(""https://docs.google.com/spreadsheets/d/1wfQePArl-A-5QJe5xAufoOnzeNLVSoHCRcmpZ_FMdns/edit#gid=0"",""'Game 5'!$B$2:$Q$34""),33,False),1)"),0.0)</f>
        <v>0</v>
      </c>
      <c r="Q15" s="12">
        <f>IFERROR(__xludf.DUMMYFUNCTION("IFERROR(HLOOKUP($A15,IMPORTRANGE(""https://docs.google.com/spreadsheets/d/1wydNznS0hZhVh3oGSdiCZSsReuqMT7Xaw718ix58zAI/edit#gid=0"",""'Game 5'!$B$2:$Q$34""),33,False),1)"),0.0)</f>
        <v>0</v>
      </c>
      <c r="R15" s="13">
        <f>TUHComp!R15</f>
        <v>163</v>
      </c>
      <c r="S15" s="13">
        <f t="shared" si="1"/>
        <v>44</v>
      </c>
      <c r="T15" s="13">
        <f t="shared" si="2"/>
        <v>6.208588957</v>
      </c>
      <c r="U15" s="13">
        <f t="shared" si="3"/>
        <v>43</v>
      </c>
    </row>
    <row r="16">
      <c r="A16" s="16" t="s">
        <v>60</v>
      </c>
      <c r="B16" s="16" t="s">
        <v>61</v>
      </c>
      <c r="C16" s="25">
        <v>0.0</v>
      </c>
      <c r="D16" s="3">
        <v>0.0</v>
      </c>
      <c r="E16" s="3">
        <v>4.0</v>
      </c>
      <c r="F16" s="3">
        <v>4.0</v>
      </c>
      <c r="G16" s="3">
        <v>0.0</v>
      </c>
      <c r="H16" s="5">
        <f>IFERROR(__xludf.DUMMYFUNCTION("HLOOKUP($A16,IMPORTRANGE(""https://docs.google.com/spreadsheets/d/19gjAD4NwTXl_QoKUuwHQ1cWG_S2BOW94pDcyFtPwheg/edit#gid=1009263986"",""'Game 8'!$B$2:$Q$34""),33,False)"),0.0)</f>
        <v>0</v>
      </c>
      <c r="I16" s="5">
        <f>IFERROR(__xludf.DUMMYFUNCTION("HLOOKUP($A16,IMPORTRANGE(""https://docs.google.com/spreadsheets/d/1l83w8bH-F1czkFOqsgQy6o8O33Jb4Pfg40W0ou2nk0k/edit#gid=0"",""'Game 11'!$B$2:$Q$34""),33,False)"),0.0)</f>
        <v>0</v>
      </c>
      <c r="J16" s="5">
        <f>IFERROR(__xludf.DUMMYFUNCTION("HLOOKUP($A16,IMPORTRANGE(""https://docs.google.com/spreadsheets/d/15X-ub7GvrCQZ3UGgyogcjwYdxG-Ng8WHxzGSj1Z3eLw/edit#gid=0"",""'Game 8'!$B$2:$Q$34""),33,False)"),0.0)</f>
        <v>0</v>
      </c>
      <c r="K16" s="5">
        <f>IFERROR(__xludf.DUMMYFUNCTION("IFERROR(HLOOKUP($A16,IMPORTRANGE(""https://docs.google.com/spreadsheets/d/194Bw3ABslPPhOOPvVoMzIk8sOQFICWBu2pydWdYMD-w/edit#gid=0"",""'Game 3'!$B$2:$Q$34""),33,False),1)"),0.0)</f>
        <v>0</v>
      </c>
      <c r="L16" s="5">
        <f>IFERROR(__xludf.DUMMYFUNCTION("IFERROR(HLOOKUP($A16,IMPORTRANGE(""https://docs.google.com/spreadsheets/d/1F2Bi6K_I1K9xRxY5qb-bNRo5m-Kw7udpF1OaTHhrxjs/edit#gid=0"",""'Game 8'!$B$2:$Q$34""),33,False),1)"),0.0)</f>
        <v>0</v>
      </c>
      <c r="M16" s="5">
        <f>IFERROR(__xludf.DUMMYFUNCTION("IFERROR(HLOOKUP($A16,IMPORTRANGE(""https://docs.google.com/spreadsheets/d/1NDNgi_Ny4dRhc2A3UMIIkalN-V6EmsvxOfDzMRQlQ40/edit#gid=0"",""'Game 7'!$B$2:$Q$34""),33,False),1)"),0.0)</f>
        <v>0</v>
      </c>
      <c r="N16" s="5">
        <f>IFERROR(__xludf.DUMMYFUNCTION("IFERROR(HLOOKUP($A16,IMPORTRANGE(""https://docs.google.com/spreadsheets/d/1UDYA3-RrkJNLa2ZLH1NnUjKyfCoiSODmgVL_Au_zt-Y/edit#gid=0"",""'Game 7'!$B$2:$Q$34""),33,False),1)"),0.0)</f>
        <v>0</v>
      </c>
      <c r="O16" s="5">
        <f>IFERROR(__xludf.DUMMYFUNCTION("IFERROR(HLOOKUP($A16,IMPORTRANGE(""https://docs.google.com/spreadsheets/d/1fvo6H94Wcffp6c4N9g3JKCW6y2ZlijPxdOsNz7xdBhw/edit#gid=0"",""'Game 7'!$B$2:$Q$34""),33,False),1)"),0.0)</f>
        <v>0</v>
      </c>
      <c r="P16" s="5">
        <f>IFERROR(__xludf.DUMMYFUNCTION("IFERROR(HLOOKUP($A16,IMPORTRANGE(""https://docs.google.com/spreadsheets/d/1wfQePArl-A-5QJe5xAufoOnzeNLVSoHCRcmpZ_FMdns/edit#gid=0"",""'Game 8'!$B$2:$Q$34""),33,False),1)"),0.0)</f>
        <v>0</v>
      </c>
      <c r="Q16" s="5">
        <f>IFERROR(__xludf.DUMMYFUNCTION("IFERROR(HLOOKUP($A16,IMPORTRANGE(""https://docs.google.com/spreadsheets/d/1wydNznS0hZhVh3oGSdiCZSsReuqMT7Xaw718ix58zAI/edit#gid=0"",""'Game 8'!$B$2:$Q$34""),33,False),1)"),4.0)</f>
        <v>4</v>
      </c>
      <c r="R16" s="6">
        <f>TUHComp!R16</f>
        <v>345</v>
      </c>
      <c r="S16" s="6">
        <f t="shared" si="1"/>
        <v>12</v>
      </c>
      <c r="T16" s="6">
        <f t="shared" si="2"/>
        <v>0.8</v>
      </c>
      <c r="U16" s="6">
        <f t="shared" si="3"/>
        <v>97</v>
      </c>
    </row>
    <row r="17">
      <c r="A17" s="9" t="s">
        <v>65</v>
      </c>
      <c r="B17" s="9" t="s">
        <v>61</v>
      </c>
      <c r="C17" s="26">
        <v>-4.0</v>
      </c>
      <c r="D17" s="2">
        <v>4.0</v>
      </c>
      <c r="E17" s="2">
        <v>12.0</v>
      </c>
      <c r="F17" s="2">
        <v>12.0</v>
      </c>
      <c r="G17" s="2">
        <v>4.0</v>
      </c>
      <c r="H17" s="12">
        <f>IFERROR(__xludf.DUMMYFUNCTION("HLOOKUP($A17,IMPORTRANGE(""https://docs.google.com/spreadsheets/d/19gjAD4NwTXl_QoKUuwHQ1cWG_S2BOW94pDcyFtPwheg/edit#gid=1009263986"",""'Game 8'!$B$2:$Q$34""),33,False)"),8.0)</f>
        <v>8</v>
      </c>
      <c r="I17" s="12">
        <f>IFERROR(__xludf.DUMMYFUNCTION("HLOOKUP($A17,IMPORTRANGE(""https://docs.google.com/spreadsheets/d/1l83w8bH-F1czkFOqsgQy6o8O33Jb4Pfg40W0ou2nk0k/edit#gid=0"",""'Game 11'!$B$2:$Q$34""),33,False)"),16.0)</f>
        <v>16</v>
      </c>
      <c r="J17" s="12">
        <f>IFERROR(__xludf.DUMMYFUNCTION("HLOOKUP($A17,IMPORTRANGE(""https://docs.google.com/spreadsheets/d/15X-ub7GvrCQZ3UGgyogcjwYdxG-Ng8WHxzGSj1Z3eLw/edit#gid=0"",""'Game 8'!$B$2:$Q$34""),33,False)"),4.0)</f>
        <v>4</v>
      </c>
      <c r="K17" s="12">
        <f>IFERROR(__xludf.DUMMYFUNCTION("IFERROR(HLOOKUP($A17,IMPORTRANGE(""https://docs.google.com/spreadsheets/d/194Bw3ABslPPhOOPvVoMzIk8sOQFICWBu2pydWdYMD-w/edit#gid=0"",""'Game 3'!$B$2:$Q$34""),33,False),1)"),0.0)</f>
        <v>0</v>
      </c>
      <c r="L17" s="12">
        <f>IFERROR(__xludf.DUMMYFUNCTION("IFERROR(HLOOKUP($A17,IMPORTRANGE(""https://docs.google.com/spreadsheets/d/1F2Bi6K_I1K9xRxY5qb-bNRo5m-Kw7udpF1OaTHhrxjs/edit#gid=0"",""'Game 8'!$B$2:$Q$34""),33,False),1)"),4.0)</f>
        <v>4</v>
      </c>
      <c r="M17" s="12">
        <f>IFERROR(__xludf.DUMMYFUNCTION("IFERROR(HLOOKUP($A17,IMPORTRANGE(""https://docs.google.com/spreadsheets/d/1NDNgi_Ny4dRhc2A3UMIIkalN-V6EmsvxOfDzMRQlQ40/edit#gid=0"",""'Game 7'!$B$2:$Q$34""),33,False),1)"),8.0)</f>
        <v>8</v>
      </c>
      <c r="N17" s="12">
        <f>IFERROR(__xludf.DUMMYFUNCTION("IFERROR(HLOOKUP($A17,IMPORTRANGE(""https://docs.google.com/spreadsheets/d/1UDYA3-RrkJNLa2ZLH1NnUjKyfCoiSODmgVL_Au_zt-Y/edit#gid=0"",""'Game 7'!$B$2:$Q$34""),33,False),1)"),32.0)</f>
        <v>32</v>
      </c>
      <c r="O17" s="12">
        <f>IFERROR(__xludf.DUMMYFUNCTION("IFERROR(HLOOKUP($A17,IMPORTRANGE(""https://docs.google.com/spreadsheets/d/1fvo6H94Wcffp6c4N9g3JKCW6y2ZlijPxdOsNz7xdBhw/edit#gid=0"",""'Game 7'!$B$2:$Q$34""),33,False),1)"),4.0)</f>
        <v>4</v>
      </c>
      <c r="P17" s="12">
        <f>IFERROR(__xludf.DUMMYFUNCTION("IFERROR(HLOOKUP($A17,IMPORTRANGE(""https://docs.google.com/spreadsheets/d/1wfQePArl-A-5QJe5xAufoOnzeNLVSoHCRcmpZ_FMdns/edit#gid=0"",""'Game 8'!$B$2:$Q$34""),33,False),1)"),8.0)</f>
        <v>8</v>
      </c>
      <c r="Q17" s="12">
        <f>IFERROR(__xludf.DUMMYFUNCTION("IFERROR(HLOOKUP($A17,IMPORTRANGE(""https://docs.google.com/spreadsheets/d/1wydNznS0hZhVh3oGSdiCZSsReuqMT7Xaw718ix58zAI/edit#gid=0"",""'Game 8'!$B$2:$Q$34""),33,False),1)"),32.0)</f>
        <v>32</v>
      </c>
      <c r="R17" s="13">
        <f>TUHComp!R17</f>
        <v>345</v>
      </c>
      <c r="S17" s="13">
        <f t="shared" si="1"/>
        <v>144</v>
      </c>
      <c r="T17" s="13">
        <f t="shared" si="2"/>
        <v>9.6</v>
      </c>
      <c r="U17" s="13">
        <f t="shared" si="3"/>
        <v>28</v>
      </c>
    </row>
    <row r="18">
      <c r="A18" s="16" t="s">
        <v>66</v>
      </c>
      <c r="B18" s="16" t="s">
        <v>61</v>
      </c>
      <c r="C18" s="25">
        <v>0.0</v>
      </c>
      <c r="D18" s="3">
        <v>0.0</v>
      </c>
      <c r="E18" s="3">
        <v>8.0</v>
      </c>
      <c r="F18" s="3">
        <v>4.0</v>
      </c>
      <c r="G18" s="3">
        <v>16.0</v>
      </c>
      <c r="H18" s="5">
        <f>IFERROR(__xludf.DUMMYFUNCTION("HLOOKUP($A18,IMPORTRANGE(""https://docs.google.com/spreadsheets/d/19gjAD4NwTXl_QoKUuwHQ1cWG_S2BOW94pDcyFtPwheg/edit#gid=1009263986"",""'Game 8'!$B$2:$Q$34""),33,False)"),8.0)</f>
        <v>8</v>
      </c>
      <c r="I18" s="5">
        <f>IFERROR(__xludf.DUMMYFUNCTION("HLOOKUP($A18,IMPORTRANGE(""https://docs.google.com/spreadsheets/d/1l83w8bH-F1czkFOqsgQy6o8O33Jb4Pfg40W0ou2nk0k/edit#gid=0"",""'Game 11'!$B$2:$Q$34""),33,False)"),12.0)</f>
        <v>12</v>
      </c>
      <c r="J18" s="5">
        <f>IFERROR(__xludf.DUMMYFUNCTION("HLOOKUP($A18,IMPORTRANGE(""https://docs.google.com/spreadsheets/d/15X-ub7GvrCQZ3UGgyogcjwYdxG-Ng8WHxzGSj1Z3eLw/edit#gid=0"",""'Game 8'!$B$2:$Q$34""),33,False)"),8.0)</f>
        <v>8</v>
      </c>
      <c r="K18" s="5">
        <f>IFERROR(__xludf.DUMMYFUNCTION("IFERROR(HLOOKUP($A18,IMPORTRANGE(""https://docs.google.com/spreadsheets/d/194Bw3ABslPPhOOPvVoMzIk8sOQFICWBu2pydWdYMD-w/edit#gid=0"",""'Game 3'!$B$2:$Q$34""),33,False),1)"),8.0)</f>
        <v>8</v>
      </c>
      <c r="L18" s="5">
        <f>IFERROR(__xludf.DUMMYFUNCTION("IFERROR(HLOOKUP($A18,IMPORTRANGE(""https://docs.google.com/spreadsheets/d/1F2Bi6K_I1K9xRxY5qb-bNRo5m-Kw7udpF1OaTHhrxjs/edit#gid=0"",""'Game 8'!$B$2:$Q$34""),33,False),1)"),8.0)</f>
        <v>8</v>
      </c>
      <c r="M18" s="5">
        <f>IFERROR(__xludf.DUMMYFUNCTION("IFERROR(HLOOKUP($A18,IMPORTRANGE(""https://docs.google.com/spreadsheets/d/1NDNgi_Ny4dRhc2A3UMIIkalN-V6EmsvxOfDzMRQlQ40/edit#gid=0"",""'Game 7'!$B$2:$Q$34""),33,False),1)"),8.0)</f>
        <v>8</v>
      </c>
      <c r="N18" s="5">
        <f>IFERROR(__xludf.DUMMYFUNCTION("IFERROR(HLOOKUP($A18,IMPORTRANGE(""https://docs.google.com/spreadsheets/d/1UDYA3-RrkJNLa2ZLH1NnUjKyfCoiSODmgVL_Au_zt-Y/edit#gid=0"",""'Game 7'!$B$2:$Q$34""),33,False),1)"),12.0)</f>
        <v>12</v>
      </c>
      <c r="O18" s="5">
        <f>IFERROR(__xludf.DUMMYFUNCTION("IFERROR(HLOOKUP($A18,IMPORTRANGE(""https://docs.google.com/spreadsheets/d/1fvo6H94Wcffp6c4N9g3JKCW6y2ZlijPxdOsNz7xdBhw/edit#gid=0"",""'Game 7'!$B$2:$Q$34""),33,False),1)"),20.0)</f>
        <v>20</v>
      </c>
      <c r="P18" s="5">
        <f>IFERROR(__xludf.DUMMYFUNCTION("IFERROR(HLOOKUP($A18,IMPORTRANGE(""https://docs.google.com/spreadsheets/d/1wfQePArl-A-5QJe5xAufoOnzeNLVSoHCRcmpZ_FMdns/edit#gid=0"",""'Game 8'!$B$2:$Q$34""),33,False),1)"),12.0)</f>
        <v>12</v>
      </c>
      <c r="Q18" s="5">
        <f>IFERROR(__xludf.DUMMYFUNCTION("IFERROR(HLOOKUP($A18,IMPORTRANGE(""https://docs.google.com/spreadsheets/d/1wydNznS0hZhVh3oGSdiCZSsReuqMT7Xaw718ix58zAI/edit#gid=0"",""'Game 8'!$B$2:$Q$34""),33,False),1)"),4.0)</f>
        <v>4</v>
      </c>
      <c r="R18" s="6">
        <f>TUHComp!R18</f>
        <v>345</v>
      </c>
      <c r="S18" s="6">
        <f t="shared" si="1"/>
        <v>128</v>
      </c>
      <c r="T18" s="6">
        <f t="shared" si="2"/>
        <v>8.533333333</v>
      </c>
      <c r="U18" s="6">
        <f t="shared" si="3"/>
        <v>35</v>
      </c>
    </row>
    <row r="19">
      <c r="A19" s="8" t="s">
        <v>69</v>
      </c>
      <c r="B19" s="9" t="s">
        <v>61</v>
      </c>
      <c r="C19" s="26">
        <v>28.0</v>
      </c>
      <c r="D19" s="2">
        <v>8.0</v>
      </c>
      <c r="E19" s="2">
        <v>8.0</v>
      </c>
      <c r="F19" s="2">
        <v>-4.0</v>
      </c>
      <c r="G19" s="2">
        <v>16.0</v>
      </c>
      <c r="H19" s="12">
        <f>IFERROR(__xludf.DUMMYFUNCTION("HLOOKUP($A19,IMPORTRANGE(""https://docs.google.com/spreadsheets/d/19gjAD4NwTXl_QoKUuwHQ1cWG_S2BOW94pDcyFtPwheg/edit#gid=1009263986"",""'Game 8'!$B$2:$Q$34""),33,False)"),4.0)</f>
        <v>4</v>
      </c>
      <c r="I19" s="12">
        <f>IFERROR(__xludf.DUMMYFUNCTION("HLOOKUP($A19,IMPORTRANGE(""https://docs.google.com/spreadsheets/d/1l83w8bH-F1czkFOqsgQy6o8O33Jb4Pfg40W0ou2nk0k/edit#gid=0"",""'Game 11'!$B$2:$Q$34""),33,False)"),12.0)</f>
        <v>12</v>
      </c>
      <c r="J19" s="12">
        <f>IFERROR(__xludf.DUMMYFUNCTION("HLOOKUP($A19,IMPORTRANGE(""https://docs.google.com/spreadsheets/d/15X-ub7GvrCQZ3UGgyogcjwYdxG-Ng8WHxzGSj1Z3eLw/edit#gid=0"",""'Game 8'!$B$2:$Q$34""),33,False)"),8.0)</f>
        <v>8</v>
      </c>
      <c r="K19" s="12">
        <f>IFERROR(__xludf.DUMMYFUNCTION("IFERROR(HLOOKUP($A19,IMPORTRANGE(""https://docs.google.com/spreadsheets/d/194Bw3ABslPPhOOPvVoMzIk8sOQFICWBu2pydWdYMD-w/edit#gid=0"",""'Game 3'!$B$2:$Q$34""),33,False),1)"),-4.0)</f>
        <v>-4</v>
      </c>
      <c r="L19" s="12">
        <f>IFERROR(__xludf.DUMMYFUNCTION("IFERROR(HLOOKUP($A19,IMPORTRANGE(""https://docs.google.com/spreadsheets/d/1F2Bi6K_I1K9xRxY5qb-bNRo5m-Kw7udpF1OaTHhrxjs/edit#gid=0"",""'Game 8'!$B$2:$Q$34""),33,False),1)"),16.0)</f>
        <v>16</v>
      </c>
      <c r="M19" s="12">
        <f>IFERROR(__xludf.DUMMYFUNCTION("IFERROR(HLOOKUP($A19,IMPORTRANGE(""https://docs.google.com/spreadsheets/d/1NDNgi_Ny4dRhc2A3UMIIkalN-V6EmsvxOfDzMRQlQ40/edit#gid=0"",""'Game 7'!$B$2:$Q$34""),33,False),1)"),16.0)</f>
        <v>16</v>
      </c>
      <c r="N19" s="12">
        <f>IFERROR(__xludf.DUMMYFUNCTION("IFERROR(HLOOKUP($A19,IMPORTRANGE(""https://docs.google.com/spreadsheets/d/1UDYA3-RrkJNLa2ZLH1NnUjKyfCoiSODmgVL_Au_zt-Y/edit#gid=0"",""'Game 7'!$B$2:$Q$34""),33,False),1)"),20.0)</f>
        <v>20</v>
      </c>
      <c r="O19" s="12">
        <f>IFERROR(__xludf.DUMMYFUNCTION("IFERROR(HLOOKUP($A19,IMPORTRANGE(""https://docs.google.com/spreadsheets/d/1fvo6H94Wcffp6c4N9g3JKCW6y2ZlijPxdOsNz7xdBhw/edit#gid=0"",""'Game 7'!$B$2:$Q$34""),33,False),1)"),0.0)</f>
        <v>0</v>
      </c>
      <c r="P19" s="12">
        <f>IFERROR(__xludf.DUMMYFUNCTION("IFERROR(HLOOKUP($A19,IMPORTRANGE(""https://docs.google.com/spreadsheets/d/1wfQePArl-A-5QJe5xAufoOnzeNLVSoHCRcmpZ_FMdns/edit#gid=0"",""'Game 8'!$B$2:$Q$34""),33,False),1)"),8.0)</f>
        <v>8</v>
      </c>
      <c r="Q19" s="12">
        <f>IFERROR(__xludf.DUMMYFUNCTION("IFERROR(HLOOKUP($A19,IMPORTRANGE(""https://docs.google.com/spreadsheets/d/1wydNznS0hZhVh3oGSdiCZSsReuqMT7Xaw718ix58zAI/edit#gid=0"",""'Game 8'!$B$2:$Q$34""),33,False),1)"),0.0)</f>
        <v>0</v>
      </c>
      <c r="R19" s="13">
        <f>TUHComp!R19</f>
        <v>322</v>
      </c>
      <c r="S19" s="13">
        <f t="shared" si="1"/>
        <v>136</v>
      </c>
      <c r="T19" s="13">
        <f t="shared" si="2"/>
        <v>9.714285714</v>
      </c>
      <c r="U19" s="13">
        <f t="shared" si="3"/>
        <v>27</v>
      </c>
    </row>
    <row r="20">
      <c r="A20" s="4" t="s">
        <v>71</v>
      </c>
      <c r="B20" s="4" t="s">
        <v>72</v>
      </c>
      <c r="C20" s="3">
        <v>4.0</v>
      </c>
      <c r="D20" s="3">
        <v>24.0</v>
      </c>
      <c r="E20" s="3">
        <v>12.0</v>
      </c>
      <c r="F20" s="3">
        <v>4.0</v>
      </c>
      <c r="G20" s="3">
        <v>0.0</v>
      </c>
      <c r="H20" s="5">
        <f>IFERROR(__xludf.DUMMYFUNCTION("HLOOKUP($A20,IMPORTRANGE(""https://docs.google.com/spreadsheets/d/19gjAD4NwTXl_QoKUuwHQ1cWG_S2BOW94pDcyFtPwheg/edit#gid=1009263986"",""'Game 9'!$B$2:$Q$34""),33,False)"),8.0)</f>
        <v>8</v>
      </c>
      <c r="I20" s="5">
        <f>IFERROR(__xludf.DUMMYFUNCTION("HLOOKUP($A20,IMPORTRANGE(""https://docs.google.com/spreadsheets/d/1l83w8bH-F1czkFOqsgQy6o8O33Jb4Pfg40W0ou2nk0k/edit#gid=0"",""'Game 5'!$B$2:$Q$34""),33,False)"),12.0)</f>
        <v>12</v>
      </c>
      <c r="J20" s="5">
        <f>IFERROR(__xludf.DUMMYFUNCTION("HLOOKUP($A20,IMPORTRANGE(""https://docs.google.com/spreadsheets/d/15X-ub7GvrCQZ3UGgyogcjwYdxG-Ng8WHxzGSj1Z3eLw/edit#gid=0"",""'Game 8'!$B$2:$Q$34""),33,False)"),8.0)</f>
        <v>8</v>
      </c>
      <c r="K20" s="5">
        <f>IFERROR(__xludf.DUMMYFUNCTION("IFERROR(HLOOKUP($A20,IMPORTRANGE(""https://docs.google.com/spreadsheets/d/194Bw3ABslPPhOOPvVoMzIk8sOQFICWBu2pydWdYMD-w/edit#gid=0"",""'Game 6'!$B$2:$Q$34""),33,False),1)"),16.0)</f>
        <v>16</v>
      </c>
      <c r="L20" s="5">
        <f>IFERROR(__xludf.DUMMYFUNCTION("IFERROR(HLOOKUP($A20,IMPORTRANGE(""https://docs.google.com/spreadsheets/d/1F2Bi6K_I1K9xRxY5qb-bNRo5m-Kw7udpF1OaTHhrxjs/edit#gid=0"",""'Game 11'!$B$2:$Q$34""),33,False),1)"),8.0)</f>
        <v>8</v>
      </c>
      <c r="M20" s="5">
        <f>IFERROR(__xludf.DUMMYFUNCTION("IFERROR(HLOOKUP($A20,IMPORTRANGE(""https://docs.google.com/spreadsheets/d/1NDNgi_Ny4dRhc2A3UMIIkalN-V6EmsvxOfDzMRQlQ40/edit#gid=0"",""'Game 11'!$B$2:$Q$34""),33,False),1)"),4.0)</f>
        <v>4</v>
      </c>
      <c r="N20" s="5">
        <f>IFERROR(__xludf.DUMMYFUNCTION("IFERROR(HLOOKUP($A20,IMPORTRANGE(""https://docs.google.com/spreadsheets/d/1UDYA3-RrkJNLa2ZLH1NnUjKyfCoiSODmgVL_Au_zt-Y/edit#gid=0"",""'Game 12'!$B$2:$Q$34""),33,False),1)"),8.0)</f>
        <v>8</v>
      </c>
      <c r="O20" s="5">
        <f>IFERROR(__xludf.DUMMYFUNCTION("IFERROR(HLOOKUP($A20,IMPORTRANGE(""https://docs.google.com/spreadsheets/d/1fvo6H94Wcffp6c4N9g3JKCW6y2ZlijPxdOsNz7xdBhw/edit#gid=0"",""'Game 1'!$B$2:$Q$34""),33,False),1)"),12.0)</f>
        <v>12</v>
      </c>
      <c r="P20" s="5">
        <f>IFERROR(__xludf.DUMMYFUNCTION("IFERROR(HLOOKUP($A20,IMPORTRANGE(""https://docs.google.com/spreadsheets/d/1wfQePArl-A-5QJe5xAufoOnzeNLVSoHCRcmpZ_FMdns/edit#gid=0"",""'Game 9'!$B$2:$Q$34""),33,False),1)"),8.0)</f>
        <v>8</v>
      </c>
      <c r="Q20" s="5">
        <f>IFERROR(__xludf.DUMMYFUNCTION("IFERROR(HLOOKUP($A20,IMPORTRANGE(""https://docs.google.com/spreadsheets/d/1wydNznS0hZhVh3oGSdiCZSsReuqMT7Xaw718ix58zAI/edit#gid=0"",""'Game 10'!$B$2:$Q$34""),33,False),1)"),16.0)</f>
        <v>16</v>
      </c>
      <c r="R20" s="6">
        <f>TUHComp!R20</f>
        <v>345</v>
      </c>
      <c r="S20" s="6">
        <f t="shared" si="1"/>
        <v>144</v>
      </c>
      <c r="T20" s="6">
        <f t="shared" si="2"/>
        <v>9.6</v>
      </c>
      <c r="U20" s="6">
        <f t="shared" si="3"/>
        <v>28</v>
      </c>
    </row>
    <row r="21">
      <c r="A21" s="8" t="s">
        <v>75</v>
      </c>
      <c r="B21" s="19" t="s">
        <v>72</v>
      </c>
      <c r="C21" s="2">
        <v>16.0</v>
      </c>
      <c r="D21" s="2">
        <v>36.0</v>
      </c>
      <c r="E21" s="2">
        <v>28.0</v>
      </c>
      <c r="F21" s="2">
        <v>12.0</v>
      </c>
      <c r="G21" s="2">
        <v>20.0</v>
      </c>
      <c r="H21" s="12">
        <f>IFERROR(__xludf.DUMMYFUNCTION("HLOOKUP($A21,IMPORTRANGE(""https://docs.google.com/spreadsheets/d/19gjAD4NwTXl_QoKUuwHQ1cWG_S2BOW94pDcyFtPwheg/edit#gid=1009263986"",""'Game 9'!$B$2:$Q$34""),33,False)"),28.0)</f>
        <v>28</v>
      </c>
      <c r="I21" s="12">
        <f>IFERROR(__xludf.DUMMYFUNCTION("HLOOKUP($A21,IMPORTRANGE(""https://docs.google.com/spreadsheets/d/1l83w8bH-F1czkFOqsgQy6o8O33Jb4Pfg40W0ou2nk0k/edit#gid=0"",""'Game 5'!$B$2:$Q$34""),33,False)"),12.0)</f>
        <v>12</v>
      </c>
      <c r="J21" s="12">
        <f>IFERROR(__xludf.DUMMYFUNCTION("HLOOKUP($A21,IMPORTRANGE(""https://docs.google.com/spreadsheets/d/15X-ub7GvrCQZ3UGgyogcjwYdxG-Ng8WHxzGSj1Z3eLw/edit#gid=0"",""'Game 8'!$B$2:$Q$34""),33,False)"),28.0)</f>
        <v>28</v>
      </c>
      <c r="K21" s="12">
        <f>IFERROR(__xludf.DUMMYFUNCTION("IFERROR(HLOOKUP($A21,IMPORTRANGE(""https://docs.google.com/spreadsheets/d/194Bw3ABslPPhOOPvVoMzIk8sOQFICWBu2pydWdYMD-w/edit#gid=0"",""'Game 6'!$B$2:$Q$34""),33,False),1)"),4.0)</f>
        <v>4</v>
      </c>
      <c r="L21" s="12">
        <f>IFERROR(__xludf.DUMMYFUNCTION("IFERROR(HLOOKUP($A21,IMPORTRANGE(""https://docs.google.com/spreadsheets/d/1F2Bi6K_I1K9xRxY5qb-bNRo5m-Kw7udpF1OaTHhrxjs/edit#gid=0"",""'Game 11'!$B$2:$Q$34""),33,False),1)"),16.0)</f>
        <v>16</v>
      </c>
      <c r="M21" s="12">
        <f>IFERROR(__xludf.DUMMYFUNCTION("IFERROR(HLOOKUP($A21,IMPORTRANGE(""https://docs.google.com/spreadsheets/d/1NDNgi_Ny4dRhc2A3UMIIkalN-V6EmsvxOfDzMRQlQ40/edit#gid=0"",""'Game 11'!$B$2:$Q$34""),33,False),1)"),8.0)</f>
        <v>8</v>
      </c>
      <c r="N21" s="12">
        <f>IFERROR(__xludf.DUMMYFUNCTION("IFERROR(HLOOKUP($A21,IMPORTRANGE(""https://docs.google.com/spreadsheets/d/1UDYA3-RrkJNLa2ZLH1NnUjKyfCoiSODmgVL_Au_zt-Y/edit#gid=0"",""'Game 12'!$B$2:$Q$34""),33,False),1)"),24.0)</f>
        <v>24</v>
      </c>
      <c r="O21" s="12">
        <f>IFERROR(__xludf.DUMMYFUNCTION("IFERROR(HLOOKUP($A21,IMPORTRANGE(""https://docs.google.com/spreadsheets/d/1fvo6H94Wcffp6c4N9g3JKCW6y2ZlijPxdOsNz7xdBhw/edit#gid=0"",""'Game 1'!$B$2:$Q$34""),33,False),1)"),32.0)</f>
        <v>32</v>
      </c>
      <c r="P21" s="12">
        <f>IFERROR(__xludf.DUMMYFUNCTION("IFERROR(HLOOKUP($A21,IMPORTRANGE(""https://docs.google.com/spreadsheets/d/1wfQePArl-A-5QJe5xAufoOnzeNLVSoHCRcmpZ_FMdns/edit#gid=0"",""'Game 9'!$B$2:$Q$34""),33,False),1)"),16.0)</f>
        <v>16</v>
      </c>
      <c r="Q21" s="12">
        <f>IFERROR(__xludf.DUMMYFUNCTION("IFERROR(HLOOKUP($A21,IMPORTRANGE(""https://docs.google.com/spreadsheets/d/1wydNznS0hZhVh3oGSdiCZSsReuqMT7Xaw718ix58zAI/edit#gid=0"",""'Game 10'!$B$2:$Q$34""),33,False),1)"),36.0)</f>
        <v>36</v>
      </c>
      <c r="R21" s="13">
        <f>TUHComp!R21</f>
        <v>345</v>
      </c>
      <c r="S21" s="13">
        <f t="shared" si="1"/>
        <v>316</v>
      </c>
      <c r="T21" s="13">
        <f t="shared" si="2"/>
        <v>21.06666667</v>
      </c>
      <c r="U21" s="13">
        <f t="shared" si="3"/>
        <v>8</v>
      </c>
    </row>
    <row r="22">
      <c r="A22" s="23" t="s">
        <v>77</v>
      </c>
      <c r="B22" s="4" t="s">
        <v>72</v>
      </c>
      <c r="C22" s="3">
        <v>0.0</v>
      </c>
      <c r="D22" s="3">
        <v>0.0</v>
      </c>
      <c r="E22" s="3">
        <v>4.0</v>
      </c>
      <c r="F22" s="3">
        <v>0.0</v>
      </c>
      <c r="G22" s="3">
        <v>0.0</v>
      </c>
      <c r="H22" s="5">
        <f>IFERROR(__xludf.DUMMYFUNCTION("HLOOKUP($A22,IMPORTRANGE(""https://docs.google.com/spreadsheets/d/19gjAD4NwTXl_QoKUuwHQ1cWG_S2BOW94pDcyFtPwheg/edit#gid=1009263986"",""'Game 9'!$B$2:$Q$34""),33,False)"),0.0)</f>
        <v>0</v>
      </c>
      <c r="I22" s="5">
        <f>IFERROR(__xludf.DUMMYFUNCTION("HLOOKUP($A22,IMPORTRANGE(""https://docs.google.com/spreadsheets/d/1l83w8bH-F1czkFOqsgQy6o8O33Jb4Pfg40W0ou2nk0k/edit#gid=0"",""'Game 5'!$B$2:$Q$34""),33,False)"),4.0)</f>
        <v>4</v>
      </c>
      <c r="J22" s="5">
        <f>IFERROR(__xludf.DUMMYFUNCTION("HLOOKUP($A22,IMPORTRANGE(""https://docs.google.com/spreadsheets/d/15X-ub7GvrCQZ3UGgyogcjwYdxG-Ng8WHxzGSj1Z3eLw/edit#gid=0"",""'Game 8'!$B$2:$Q$34""),33,False)"),0.0)</f>
        <v>0</v>
      </c>
      <c r="K22" s="5">
        <f>IFERROR(__xludf.DUMMYFUNCTION("IFERROR(HLOOKUP($A22,IMPORTRANGE(""https://docs.google.com/spreadsheets/d/194Bw3ABslPPhOOPvVoMzIk8sOQFICWBu2pydWdYMD-w/edit#gid=0"",""'Game 6'!$B$2:$Q$34""),33,False),1)"),4.0)</f>
        <v>4</v>
      </c>
      <c r="L22" s="5">
        <f>IFERROR(__xludf.DUMMYFUNCTION("IFERROR(HLOOKUP($A22,IMPORTRANGE(""https://docs.google.com/spreadsheets/d/1F2Bi6K_I1K9xRxY5qb-bNRo5m-Kw7udpF1OaTHhrxjs/edit#gid=0"",""'Game 11'!$B$2:$Q$34""),33,False),1)"),0.0)</f>
        <v>0</v>
      </c>
      <c r="M22" s="5">
        <f>IFERROR(__xludf.DUMMYFUNCTION("IFERROR(HLOOKUP($A22,IMPORTRANGE(""https://docs.google.com/spreadsheets/d/1NDNgi_Ny4dRhc2A3UMIIkalN-V6EmsvxOfDzMRQlQ40/edit#gid=0"",""'Game 11'!$B$2:$Q$34""),33,False),1)"),0.0)</f>
        <v>0</v>
      </c>
      <c r="N22" s="5">
        <f>IFERROR(__xludf.DUMMYFUNCTION("IFERROR(HLOOKUP($A22,IMPORTRANGE(""https://docs.google.com/spreadsheets/d/1UDYA3-RrkJNLa2ZLH1NnUjKyfCoiSODmgVL_Au_zt-Y/edit#gid=0"",""'Game 12'!$B$2:$Q$34""),33,False),1)"),0.0)</f>
        <v>0</v>
      </c>
      <c r="O22" s="5">
        <f>IFERROR(__xludf.DUMMYFUNCTION("IFERROR(HLOOKUP($A22,IMPORTRANGE(""https://docs.google.com/spreadsheets/d/1fvo6H94Wcffp6c4N9g3JKCW6y2ZlijPxdOsNz7xdBhw/edit#gid=0"",""'Game 1'!$B$2:$Q$34""),33,False),1)"),8.0)</f>
        <v>8</v>
      </c>
      <c r="P22" s="5">
        <f>IFERROR(__xludf.DUMMYFUNCTION("IFERROR(HLOOKUP($A22,IMPORTRANGE(""https://docs.google.com/spreadsheets/d/1wfQePArl-A-5QJe5xAufoOnzeNLVSoHCRcmpZ_FMdns/edit#gid=0"",""'Game 9'!$B$2:$Q$34""),33,False),1)"),8.0)</f>
        <v>8</v>
      </c>
      <c r="Q22" s="5">
        <f>IFERROR(__xludf.DUMMYFUNCTION("IFERROR(HLOOKUP($A22,IMPORTRANGE(""https://docs.google.com/spreadsheets/d/1wydNznS0hZhVh3oGSdiCZSsReuqMT7Xaw718ix58zAI/edit#gid=0"",""'Game 10'!$B$2:$Q$34""),33,False),1)"),0.0)</f>
        <v>0</v>
      </c>
      <c r="R22" s="6">
        <f>TUHComp!R22</f>
        <v>206</v>
      </c>
      <c r="S22" s="6">
        <f t="shared" si="1"/>
        <v>28</v>
      </c>
      <c r="T22" s="6">
        <f t="shared" si="2"/>
        <v>3.126213592</v>
      </c>
      <c r="U22" s="6">
        <f t="shared" si="3"/>
        <v>73</v>
      </c>
    </row>
    <row r="23">
      <c r="A23" s="8" t="s">
        <v>80</v>
      </c>
      <c r="B23" s="9" t="s">
        <v>72</v>
      </c>
      <c r="C23" s="2">
        <v>0.0</v>
      </c>
      <c r="D23" s="2">
        <v>12.0</v>
      </c>
      <c r="E23" s="2">
        <v>0.0</v>
      </c>
      <c r="F23" s="2">
        <v>8.0</v>
      </c>
      <c r="G23" s="2">
        <v>4.0</v>
      </c>
      <c r="H23" s="12">
        <f>IFERROR(__xludf.DUMMYFUNCTION("HLOOKUP($A23,IMPORTRANGE(""https://docs.google.com/spreadsheets/d/19gjAD4NwTXl_QoKUuwHQ1cWG_S2BOW94pDcyFtPwheg/edit#gid=1009263986"",""'Game 9'!$B$2:$Q$34""),33,False)"),4.0)</f>
        <v>4</v>
      </c>
      <c r="I23" s="12">
        <f>IFERROR(__xludf.DUMMYFUNCTION("HLOOKUP($A23,IMPORTRANGE(""https://docs.google.com/spreadsheets/d/1l83w8bH-F1czkFOqsgQy6o8O33Jb4Pfg40W0ou2nk0k/edit#gid=0"",""'Game 5'!$B$2:$Q$34""),33,False)"),0.0)</f>
        <v>0</v>
      </c>
      <c r="J23" s="12">
        <f>IFERROR(__xludf.DUMMYFUNCTION("HLOOKUP($A23,IMPORTRANGE(""https://docs.google.com/spreadsheets/d/15X-ub7GvrCQZ3UGgyogcjwYdxG-Ng8WHxzGSj1Z3eLw/edit#gid=0"",""'Game 8'!$B$2:$Q$34""),33,False)"),4.0)</f>
        <v>4</v>
      </c>
      <c r="K23" s="12">
        <f>IFERROR(__xludf.DUMMYFUNCTION("IFERROR(HLOOKUP($A23,IMPORTRANGE(""https://docs.google.com/spreadsheets/d/194Bw3ABslPPhOOPvVoMzIk8sOQFICWBu2pydWdYMD-w/edit#gid=0"",""'Game 6'!$B$2:$Q$34""),33,False),1)"),0.0)</f>
        <v>0</v>
      </c>
      <c r="L23" s="12">
        <f>IFERROR(__xludf.DUMMYFUNCTION("IFERROR(HLOOKUP($A23,IMPORTRANGE(""https://docs.google.com/spreadsheets/d/1F2Bi6K_I1K9xRxY5qb-bNRo5m-Kw7udpF1OaTHhrxjs/edit#gid=0"",""'Game 11'!$B$2:$Q$34""),33,False),1)"),0.0)</f>
        <v>0</v>
      </c>
      <c r="M23" s="12">
        <f>IFERROR(__xludf.DUMMYFUNCTION("IFERROR(HLOOKUP($A23,IMPORTRANGE(""https://docs.google.com/spreadsheets/d/1NDNgi_Ny4dRhc2A3UMIIkalN-V6EmsvxOfDzMRQlQ40/edit#gid=0"",""'Game 11'!$B$2:$Q$34""),33,False),1)"),4.0)</f>
        <v>4</v>
      </c>
      <c r="N23" s="12">
        <f>IFERROR(__xludf.DUMMYFUNCTION("IFERROR(HLOOKUP($A23,IMPORTRANGE(""https://docs.google.com/spreadsheets/d/1UDYA3-RrkJNLa2ZLH1NnUjKyfCoiSODmgVL_Au_zt-Y/edit#gid=0"",""'Game 12'!$B$2:$Q$34""),33,False),1)"),4.0)</f>
        <v>4</v>
      </c>
      <c r="O23" s="12">
        <f>IFERROR(__xludf.DUMMYFUNCTION("IFERROR(HLOOKUP($A23,IMPORTRANGE(""https://docs.google.com/spreadsheets/d/1fvo6H94Wcffp6c4N9g3JKCW6y2ZlijPxdOsNz7xdBhw/edit#gid=0"",""'Game 1'!$B$2:$Q$34""),33,False),1)"),0.0)</f>
        <v>0</v>
      </c>
      <c r="P23" s="12">
        <f>IFERROR(__xludf.DUMMYFUNCTION("IFERROR(HLOOKUP($A23,IMPORTRANGE(""https://docs.google.com/spreadsheets/d/1wfQePArl-A-5QJe5xAufoOnzeNLVSoHCRcmpZ_FMdns/edit#gid=0"",""'Game 9'!$B$2:$Q$34""),33,False),1)"),0.0)</f>
        <v>0</v>
      </c>
      <c r="Q23" s="12">
        <f>IFERROR(__xludf.DUMMYFUNCTION("IFERROR(HLOOKUP($A23,IMPORTRANGE(""https://docs.google.com/spreadsheets/d/1wydNznS0hZhVh3oGSdiCZSsReuqMT7Xaw718ix58zAI/edit#gid=0"",""'Game 10'!$B$2:$Q$34""),33,False),1)"),0.0)</f>
        <v>0</v>
      </c>
      <c r="R23" s="13">
        <f>TUHComp!R23</f>
        <v>208</v>
      </c>
      <c r="S23" s="13">
        <f t="shared" si="1"/>
        <v>40</v>
      </c>
      <c r="T23" s="13">
        <f t="shared" si="2"/>
        <v>4.423076923</v>
      </c>
      <c r="U23" s="13">
        <f t="shared" si="3"/>
        <v>57</v>
      </c>
    </row>
    <row r="24">
      <c r="A24" s="4" t="s">
        <v>81</v>
      </c>
      <c r="B24" s="16" t="s">
        <v>72</v>
      </c>
      <c r="C24" s="3">
        <v>4.0</v>
      </c>
      <c r="D24" s="3">
        <v>0.0</v>
      </c>
      <c r="E24" s="3">
        <v>12.0</v>
      </c>
      <c r="F24" s="3">
        <v>0.0</v>
      </c>
      <c r="G24" s="3">
        <v>-4.0</v>
      </c>
      <c r="H24" s="5">
        <f>IFERROR(__xludf.DUMMYFUNCTION("HLOOKUP($A24,IMPORTRANGE(""https://docs.google.com/spreadsheets/d/19gjAD4NwTXl_QoKUuwHQ1cWG_S2BOW94pDcyFtPwheg/edit#gid=1009263986"",""'Game 9'!$B$2:$Q$34""),33,False)"),8.0)</f>
        <v>8</v>
      </c>
      <c r="I24" s="5">
        <f>IFERROR(__xludf.DUMMYFUNCTION("HLOOKUP($A24,IMPORTRANGE(""https://docs.google.com/spreadsheets/d/1l83w8bH-F1czkFOqsgQy6o8O33Jb4Pfg40W0ou2nk0k/edit#gid=0"",""'Game 5'!$B$2:$Q$34""),33,False)"),0.0)</f>
        <v>0</v>
      </c>
      <c r="J24" s="5">
        <f>IFERROR(__xludf.DUMMYFUNCTION("HLOOKUP($A24,IMPORTRANGE(""https://docs.google.com/spreadsheets/d/15X-ub7GvrCQZ3UGgyogcjwYdxG-Ng8WHxzGSj1Z3eLw/edit#gid=0"",""'Game 8'!$B$2:$Q$34""),33,False)"),8.0)</f>
        <v>8</v>
      </c>
      <c r="K24" s="5">
        <f>IFERROR(__xludf.DUMMYFUNCTION("IFERROR(HLOOKUP($A24,IMPORTRANGE(""https://docs.google.com/spreadsheets/d/194Bw3ABslPPhOOPvVoMzIk8sOQFICWBu2pydWdYMD-w/edit#gid=0"",""'Game 6'!$B$2:$Q$34""),33,False),1)"),0.0)</f>
        <v>0</v>
      </c>
      <c r="L24" s="5">
        <f>IFERROR(__xludf.DUMMYFUNCTION("IFERROR(HLOOKUP($A24,IMPORTRANGE(""https://docs.google.com/spreadsheets/d/1F2Bi6K_I1K9xRxY5qb-bNRo5m-Kw7udpF1OaTHhrxjs/edit#gid=0"",""'Game 11'!$B$2:$Q$34""),33,False),1)"),0.0)</f>
        <v>0</v>
      </c>
      <c r="M24" s="5">
        <f>IFERROR(__xludf.DUMMYFUNCTION("IFERROR(HLOOKUP($A24,IMPORTRANGE(""https://docs.google.com/spreadsheets/d/1NDNgi_Ny4dRhc2A3UMIIkalN-V6EmsvxOfDzMRQlQ40/edit#gid=0"",""'Game 11'!$B$2:$Q$34""),33,False),1)"),8.0)</f>
        <v>8</v>
      </c>
      <c r="N24" s="5">
        <f>IFERROR(__xludf.DUMMYFUNCTION("IFERROR(HLOOKUP($A24,IMPORTRANGE(""https://docs.google.com/spreadsheets/d/1UDYA3-RrkJNLa2ZLH1NnUjKyfCoiSODmgVL_Au_zt-Y/edit#gid=0"",""'Game 12'!$B$2:$Q$34""),33,False),1)"),4.0)</f>
        <v>4</v>
      </c>
      <c r="O24" s="5">
        <f>IFERROR(__xludf.DUMMYFUNCTION("IFERROR(HLOOKUP($A24,IMPORTRANGE(""https://docs.google.com/spreadsheets/d/1fvo6H94Wcffp6c4N9g3JKCW6y2ZlijPxdOsNz7xdBhw/edit#gid=0"",""'Game 1'!$B$2:$Q$34""),33,False),1)"),4.0)</f>
        <v>4</v>
      </c>
      <c r="P24" s="5">
        <f>IFERROR(__xludf.DUMMYFUNCTION("IFERROR(HLOOKUP($A24,IMPORTRANGE(""https://docs.google.com/spreadsheets/d/1wfQePArl-A-5QJe5xAufoOnzeNLVSoHCRcmpZ_FMdns/edit#gid=0"",""'Game 9'!$B$2:$Q$34""),33,False),1)"),8.0)</f>
        <v>8</v>
      </c>
      <c r="Q24" s="5">
        <f>IFERROR(__xludf.DUMMYFUNCTION("IFERROR(HLOOKUP($A24,IMPORTRANGE(""https://docs.google.com/spreadsheets/d/1wydNznS0hZhVh3oGSdiCZSsReuqMT7Xaw718ix58zAI/edit#gid=0"",""'Game 10'!$B$2:$Q$34""),33,False),1)"),4.0)</f>
        <v>4</v>
      </c>
      <c r="R24" s="6">
        <f>TUHComp!R24</f>
        <v>240</v>
      </c>
      <c r="S24" s="6">
        <f t="shared" si="1"/>
        <v>56</v>
      </c>
      <c r="T24" s="6">
        <f t="shared" si="2"/>
        <v>5.366666667</v>
      </c>
      <c r="U24" s="6">
        <f t="shared" si="3"/>
        <v>46</v>
      </c>
    </row>
    <row r="25">
      <c r="A25" s="19" t="s">
        <v>83</v>
      </c>
      <c r="B25" s="19" t="s">
        <v>84</v>
      </c>
      <c r="C25" s="2">
        <v>0.0</v>
      </c>
      <c r="D25" s="2">
        <v>0.0</v>
      </c>
      <c r="E25" s="2">
        <v>0.0</v>
      </c>
      <c r="F25" s="2">
        <v>4.0</v>
      </c>
      <c r="G25" s="2">
        <v>0.0</v>
      </c>
      <c r="H25" s="12">
        <f>IFERROR(__xludf.DUMMYFUNCTION("HLOOKUP($A25,IMPORTRANGE(""https://docs.google.com/spreadsheets/d/19gjAD4NwTXl_QoKUuwHQ1cWG_S2BOW94pDcyFtPwheg/edit#gid=1009263986"",""'Game 4'!$B$2:$Q$34""),33,False)"),0.0)</f>
        <v>0</v>
      </c>
      <c r="I25" s="12">
        <f>IFERROR(__xludf.DUMMYFUNCTION("HLOOKUP($A25,IMPORTRANGE(""https://docs.google.com/spreadsheets/d/1l83w8bH-F1czkFOqsgQy6o8O33Jb4Pfg40W0ou2nk0k/edit#gid=0"",""'Game 1'!$B$2:$Q$34""),33,False)"),0.0)</f>
        <v>0</v>
      </c>
      <c r="J25" s="12">
        <f>IFERROR(__xludf.DUMMYFUNCTION("HLOOKUP($A25,IMPORTRANGE(""https://docs.google.com/spreadsheets/d/15X-ub7GvrCQZ3UGgyogcjwYdxG-Ng8WHxzGSj1Z3eLw/edit#gid=0"",""'Game 4'!$B$2:$Q$34""),33,False)"),0.0)</f>
        <v>0</v>
      </c>
      <c r="K25" s="12">
        <f>IFERROR(__xludf.DUMMYFUNCTION("IFERROR(HLOOKUP($A25,IMPORTRANGE(""https://docs.google.com/spreadsheets/d/194Bw3ABslPPhOOPvVoMzIk8sOQFICWBu2pydWdYMD-w/edit#gid=0"",""'Game 4'!$B$2:$Q$34""),33,False),1)"),0.0)</f>
        <v>0</v>
      </c>
      <c r="L25" s="12">
        <f>IFERROR(__xludf.DUMMYFUNCTION("IFERROR(HLOOKUP($A25,IMPORTRANGE(""https://docs.google.com/spreadsheets/d/1F2Bi6K_I1K9xRxY5qb-bNRo5m-Kw7udpF1OaTHhrxjs/edit#gid=0"",""'Game 4'!$B$2:$Q$34""),33,False),1)"),0.0)</f>
        <v>0</v>
      </c>
      <c r="M25" s="12">
        <f>IFERROR(__xludf.DUMMYFUNCTION("IFERROR(HLOOKUP($A25,IMPORTRANGE(""https://docs.google.com/spreadsheets/d/1NDNgi_Ny4dRhc2A3UMIIkalN-V6EmsvxOfDzMRQlQ40/edit#gid=0"",""'Game 4'!$B$2:$Q$34""),33,False),1)"),-4.0)</f>
        <v>-4</v>
      </c>
      <c r="N25" s="12">
        <f>IFERROR(__xludf.DUMMYFUNCTION("IFERROR(HLOOKUP($A25,IMPORTRANGE(""https://docs.google.com/spreadsheets/d/1UDYA3-RrkJNLa2ZLH1NnUjKyfCoiSODmgVL_Au_zt-Y/edit#gid=0"",""'Game 3'!$B$2:$Q$34""),33,False),1)"),0.0)</f>
        <v>0</v>
      </c>
      <c r="O25" s="12">
        <f>IFERROR(__xludf.DUMMYFUNCTION("IFERROR(HLOOKUP($A25,IMPORTRANGE(""https://docs.google.com/spreadsheets/d/1fvo6H94Wcffp6c4N9g3JKCW6y2ZlijPxdOsNz7xdBhw/edit#gid=0"",""'Game 4'!$B$2:$Q$34""),33,False),1)"),0.0)</f>
        <v>0</v>
      </c>
      <c r="P25" s="12">
        <f>IFERROR(__xludf.DUMMYFUNCTION("IFERROR(HLOOKUP($A25,IMPORTRANGE(""https://docs.google.com/spreadsheets/d/1wfQePArl-A-5QJe5xAufoOnzeNLVSoHCRcmpZ_FMdns/edit#gid=0"",""'Game 1'!$B$2:$Q$34""),33,False),1)"),0.0)</f>
        <v>0</v>
      </c>
      <c r="Q25" s="12">
        <f>IFERROR(__xludf.DUMMYFUNCTION("IFERROR(HLOOKUP($A25,IMPORTRANGE(""https://docs.google.com/spreadsheets/d/1wydNznS0hZhVh3oGSdiCZSsReuqMT7Xaw718ix58zAI/edit#gid=0"",""'Game 4'!$B$2:$Q$34""),33,False),1)"),0.0)</f>
        <v>0</v>
      </c>
      <c r="R25" s="13">
        <f>TUHComp!R25</f>
        <v>253</v>
      </c>
      <c r="S25" s="13">
        <f t="shared" si="1"/>
        <v>0</v>
      </c>
      <c r="T25" s="13">
        <f t="shared" si="2"/>
        <v>0</v>
      </c>
      <c r="U25" s="13">
        <f t="shared" si="3"/>
        <v>104</v>
      </c>
    </row>
    <row r="26">
      <c r="A26" s="23" t="s">
        <v>86</v>
      </c>
      <c r="B26" s="16" t="s">
        <v>84</v>
      </c>
      <c r="C26" s="3">
        <v>0.0</v>
      </c>
      <c r="D26" s="3">
        <v>8.0</v>
      </c>
      <c r="E26" s="3">
        <v>12.0</v>
      </c>
      <c r="F26" s="3">
        <v>12.0</v>
      </c>
      <c r="G26" s="3">
        <v>8.0</v>
      </c>
      <c r="H26" s="5">
        <f>IFERROR(__xludf.DUMMYFUNCTION("HLOOKUP($A26,IMPORTRANGE(""https://docs.google.com/spreadsheets/d/19gjAD4NwTXl_QoKUuwHQ1cWG_S2BOW94pDcyFtPwheg/edit#gid=1009263986"",""'Game 4'!$B$2:$Q$34""),33,False)"),12.0)</f>
        <v>12</v>
      </c>
      <c r="I26" s="5">
        <f>IFERROR(__xludf.DUMMYFUNCTION("HLOOKUP($A26,IMPORTRANGE(""https://docs.google.com/spreadsheets/d/1l83w8bH-F1czkFOqsgQy6o8O33Jb4Pfg40W0ou2nk0k/edit#gid=0"",""'Game 1'!$B$2:$Q$34""),33,False)"),12.0)</f>
        <v>12</v>
      </c>
      <c r="J26" s="5">
        <f>IFERROR(__xludf.DUMMYFUNCTION("HLOOKUP($A26,IMPORTRANGE(""https://docs.google.com/spreadsheets/d/15X-ub7GvrCQZ3UGgyogcjwYdxG-Ng8WHxzGSj1Z3eLw/edit#gid=0"",""'Game 4'!$B$2:$Q$34""),33,False)"),4.0)</f>
        <v>4</v>
      </c>
      <c r="K26" s="5">
        <f>IFERROR(__xludf.DUMMYFUNCTION("IFERROR(HLOOKUP($A26,IMPORTRANGE(""https://docs.google.com/spreadsheets/d/194Bw3ABslPPhOOPvVoMzIk8sOQFICWBu2pydWdYMD-w/edit#gid=0"",""'Game 4'!$B$2:$Q$34""),33,False),1)"),12.0)</f>
        <v>12</v>
      </c>
      <c r="L26" s="5">
        <f>IFERROR(__xludf.DUMMYFUNCTION("IFERROR(HLOOKUP($A26,IMPORTRANGE(""https://docs.google.com/spreadsheets/d/1F2Bi6K_I1K9xRxY5qb-bNRo5m-Kw7udpF1OaTHhrxjs/edit#gid=0"",""'Game 4'!$B$2:$Q$34""),33,False),1)"),16.0)</f>
        <v>16</v>
      </c>
      <c r="M26" s="5">
        <f>IFERROR(__xludf.DUMMYFUNCTION("IFERROR(HLOOKUP($A26,IMPORTRANGE(""https://docs.google.com/spreadsheets/d/1NDNgi_Ny4dRhc2A3UMIIkalN-V6EmsvxOfDzMRQlQ40/edit#gid=0"",""'Game 4'!$B$2:$Q$34""),33,False),1)"),4.0)</f>
        <v>4</v>
      </c>
      <c r="N26" s="5">
        <f>IFERROR(__xludf.DUMMYFUNCTION("IFERROR(HLOOKUP($A26,IMPORTRANGE(""https://docs.google.com/spreadsheets/d/1UDYA3-RrkJNLa2ZLH1NnUjKyfCoiSODmgVL_Au_zt-Y/edit#gid=0"",""'Game 3'!$B$2:$Q$34""),33,False),1)"),8.0)</f>
        <v>8</v>
      </c>
      <c r="O26" s="5">
        <f>IFERROR(__xludf.DUMMYFUNCTION("IFERROR(HLOOKUP($A26,IMPORTRANGE(""https://docs.google.com/spreadsheets/d/1fvo6H94Wcffp6c4N9g3JKCW6y2ZlijPxdOsNz7xdBhw/edit#gid=0"",""'Game 4'!$B$2:$Q$34""),33,False),1)"),20.0)</f>
        <v>20</v>
      </c>
      <c r="P26" s="5">
        <f>IFERROR(__xludf.DUMMYFUNCTION("IFERROR(HLOOKUP($A26,IMPORTRANGE(""https://docs.google.com/spreadsheets/d/1wfQePArl-A-5QJe5xAufoOnzeNLVSoHCRcmpZ_FMdns/edit#gid=0"",""'Game 1'!$B$2:$Q$34""),33,False),1)"),0.0)</f>
        <v>0</v>
      </c>
      <c r="Q26" s="5">
        <f>IFERROR(__xludf.DUMMYFUNCTION("IFERROR(HLOOKUP($A26,IMPORTRANGE(""https://docs.google.com/spreadsheets/d/1wydNznS0hZhVh3oGSdiCZSsReuqMT7Xaw718ix58zAI/edit#gid=0"",""'Game 4'!$B$2:$Q$34""),33,False),1)"),12.0)</f>
        <v>12</v>
      </c>
      <c r="R26" s="6">
        <f>TUHComp!R26</f>
        <v>345</v>
      </c>
      <c r="S26" s="6">
        <f t="shared" si="1"/>
        <v>140</v>
      </c>
      <c r="T26" s="6">
        <f t="shared" si="2"/>
        <v>9.333333333</v>
      </c>
      <c r="U26" s="6">
        <f t="shared" si="3"/>
        <v>30</v>
      </c>
    </row>
    <row r="27">
      <c r="A27" s="19" t="s">
        <v>88</v>
      </c>
      <c r="B27" s="9" t="s">
        <v>84</v>
      </c>
      <c r="C27" s="2">
        <v>-4.0</v>
      </c>
      <c r="D27" s="2">
        <v>0.0</v>
      </c>
      <c r="E27" s="2">
        <v>8.0</v>
      </c>
      <c r="F27" s="2">
        <v>-4.0</v>
      </c>
      <c r="G27" s="2">
        <v>4.0</v>
      </c>
      <c r="H27" s="12">
        <f>IFERROR(__xludf.DUMMYFUNCTION("HLOOKUP($A27,IMPORTRANGE(""https://docs.google.com/spreadsheets/d/19gjAD4NwTXl_QoKUuwHQ1cWG_S2BOW94pDcyFtPwheg/edit#gid=1009263986"",""'Game 4'!$B$2:$Q$34""),33,False)"),4.0)</f>
        <v>4</v>
      </c>
      <c r="I27" s="12">
        <f>IFERROR(__xludf.DUMMYFUNCTION("HLOOKUP($A27,IMPORTRANGE(""https://docs.google.com/spreadsheets/d/1l83w8bH-F1czkFOqsgQy6o8O33Jb4Pfg40W0ou2nk0k/edit#gid=0"",""'Game 1'!$B$2:$Q$34""),33,False)"),0.0)</f>
        <v>0</v>
      </c>
      <c r="J27" s="12">
        <f>IFERROR(__xludf.DUMMYFUNCTION("HLOOKUP($A27,IMPORTRANGE(""https://docs.google.com/spreadsheets/d/15X-ub7GvrCQZ3UGgyogcjwYdxG-Ng8WHxzGSj1Z3eLw/edit#gid=0"",""'Game 4'!$B$2:$Q$34""),33,False)"),0.0)</f>
        <v>0</v>
      </c>
      <c r="K27" s="12">
        <f>IFERROR(__xludf.DUMMYFUNCTION("IFERROR(HLOOKUP($A27,IMPORTRANGE(""https://docs.google.com/spreadsheets/d/194Bw3ABslPPhOOPvVoMzIk8sOQFICWBu2pydWdYMD-w/edit#gid=0"",""'Game 4'!$B$2:$Q$34""),33,False),1)"),8.0)</f>
        <v>8</v>
      </c>
      <c r="L27" s="12">
        <f>IFERROR(__xludf.DUMMYFUNCTION("IFERROR(HLOOKUP($A27,IMPORTRANGE(""https://docs.google.com/spreadsheets/d/1F2Bi6K_I1K9xRxY5qb-bNRo5m-Kw7udpF1OaTHhrxjs/edit#gid=0"",""'Game 4'!$B$2:$Q$34""),33,False),1)"),4.0)</f>
        <v>4</v>
      </c>
      <c r="M27" s="12">
        <f>IFERROR(__xludf.DUMMYFUNCTION("IFERROR(HLOOKUP($A27,IMPORTRANGE(""https://docs.google.com/spreadsheets/d/1NDNgi_Ny4dRhc2A3UMIIkalN-V6EmsvxOfDzMRQlQ40/edit#gid=0"",""'Game 4'!$B$2:$Q$34""),33,False),1)"),8.0)</f>
        <v>8</v>
      </c>
      <c r="N27" s="12">
        <f>IFERROR(__xludf.DUMMYFUNCTION("IFERROR(HLOOKUP($A27,IMPORTRANGE(""https://docs.google.com/spreadsheets/d/1UDYA3-RrkJNLa2ZLH1NnUjKyfCoiSODmgVL_Au_zt-Y/edit#gid=0"",""'Game 3'!$B$2:$Q$34""),33,False),1)"),0.0)</f>
        <v>0</v>
      </c>
      <c r="O27" s="12">
        <f>IFERROR(__xludf.DUMMYFUNCTION("IFERROR(HLOOKUP($A27,IMPORTRANGE(""https://docs.google.com/spreadsheets/d/1fvo6H94Wcffp6c4N9g3JKCW6y2ZlijPxdOsNz7xdBhw/edit#gid=0"",""'Game 4'!$B$2:$Q$34""),33,False),1)"),4.0)</f>
        <v>4</v>
      </c>
      <c r="P27" s="12">
        <f>IFERROR(__xludf.DUMMYFUNCTION("IFERROR(HLOOKUP($A27,IMPORTRANGE(""https://docs.google.com/spreadsheets/d/1wfQePArl-A-5QJe5xAufoOnzeNLVSoHCRcmpZ_FMdns/edit#gid=0"",""'Game 1'!$B$2:$Q$34""),33,False),1)"),4.0)</f>
        <v>4</v>
      </c>
      <c r="Q27" s="12">
        <f>IFERROR(__xludf.DUMMYFUNCTION("IFERROR(HLOOKUP($A27,IMPORTRANGE(""https://docs.google.com/spreadsheets/d/1wydNznS0hZhVh3oGSdiCZSsReuqMT7Xaw718ix58zAI/edit#gid=0"",""'Game 4'!$B$2:$Q$34""),33,False),1)"),4.0)</f>
        <v>4</v>
      </c>
      <c r="R27" s="13">
        <f>TUHComp!R27</f>
        <v>345</v>
      </c>
      <c r="S27" s="13">
        <f t="shared" si="1"/>
        <v>40</v>
      </c>
      <c r="T27" s="13">
        <f t="shared" si="2"/>
        <v>2.666666667</v>
      </c>
      <c r="U27" s="13">
        <f t="shared" si="3"/>
        <v>75</v>
      </c>
    </row>
    <row r="28">
      <c r="A28" s="4" t="s">
        <v>92</v>
      </c>
      <c r="B28" s="16" t="s">
        <v>84</v>
      </c>
      <c r="C28" s="3">
        <v>16.0</v>
      </c>
      <c r="D28" s="3">
        <v>4.0</v>
      </c>
      <c r="E28" s="3">
        <v>20.0</v>
      </c>
      <c r="F28" s="3">
        <v>8.0</v>
      </c>
      <c r="G28" s="3">
        <v>20.0</v>
      </c>
      <c r="H28" s="5">
        <f>IFERROR(__xludf.DUMMYFUNCTION("HLOOKUP($A28,IMPORTRANGE(""https://docs.google.com/spreadsheets/d/19gjAD4NwTXl_QoKUuwHQ1cWG_S2BOW94pDcyFtPwheg/edit#gid=1009263986"",""'Game 4'!$B$2:$Q$34""),33,False)"),4.0)</f>
        <v>4</v>
      </c>
      <c r="I28" s="5">
        <f>IFERROR(__xludf.DUMMYFUNCTION("HLOOKUP($A28,IMPORTRANGE(""https://docs.google.com/spreadsheets/d/1l83w8bH-F1czkFOqsgQy6o8O33Jb4Pfg40W0ou2nk0k/edit#gid=0"",""'Game 1'!$B$2:$Q$34""),33,False)"),16.0)</f>
        <v>16</v>
      </c>
      <c r="J28" s="5">
        <f>IFERROR(__xludf.DUMMYFUNCTION("HLOOKUP($A28,IMPORTRANGE(""https://docs.google.com/spreadsheets/d/15X-ub7GvrCQZ3UGgyogcjwYdxG-Ng8WHxzGSj1Z3eLw/edit#gid=0"",""'Game 4'!$B$2:$Q$34""),33,False)"),4.0)</f>
        <v>4</v>
      </c>
      <c r="K28" s="5">
        <f>IFERROR(__xludf.DUMMYFUNCTION("IFERROR(HLOOKUP($A28,IMPORTRANGE(""https://docs.google.com/spreadsheets/d/194Bw3ABslPPhOOPvVoMzIk8sOQFICWBu2pydWdYMD-w/edit#gid=0"",""'Game 4'!$B$2:$Q$34""),33,False),1)"),8.0)</f>
        <v>8</v>
      </c>
      <c r="L28" s="5">
        <f>IFERROR(__xludf.DUMMYFUNCTION("IFERROR(HLOOKUP($A28,IMPORTRANGE(""https://docs.google.com/spreadsheets/d/1F2Bi6K_I1K9xRxY5qb-bNRo5m-Kw7udpF1OaTHhrxjs/edit#gid=0"",""'Game 4'!$B$2:$Q$34""),33,False),1)"),8.0)</f>
        <v>8</v>
      </c>
      <c r="M28" s="5">
        <f>IFERROR(__xludf.DUMMYFUNCTION("IFERROR(HLOOKUP($A28,IMPORTRANGE(""https://docs.google.com/spreadsheets/d/1NDNgi_Ny4dRhc2A3UMIIkalN-V6EmsvxOfDzMRQlQ40/edit#gid=0"",""'Game 4'!$B$2:$Q$34""),33,False),1)"),20.0)</f>
        <v>20</v>
      </c>
      <c r="N28" s="5">
        <f>IFERROR(__xludf.DUMMYFUNCTION("IFERROR(HLOOKUP($A28,IMPORTRANGE(""https://docs.google.com/spreadsheets/d/1UDYA3-RrkJNLa2ZLH1NnUjKyfCoiSODmgVL_Au_zt-Y/edit#gid=0"",""'Game 3'!$B$2:$Q$34""),33,False),1)"),16.0)</f>
        <v>16</v>
      </c>
      <c r="O28" s="5">
        <f>IFERROR(__xludf.DUMMYFUNCTION("IFERROR(HLOOKUP($A28,IMPORTRANGE(""https://docs.google.com/spreadsheets/d/1fvo6H94Wcffp6c4N9g3JKCW6y2ZlijPxdOsNz7xdBhw/edit#gid=0"",""'Game 4'!$B$2:$Q$34""),33,False),1)"),16.0)</f>
        <v>16</v>
      </c>
      <c r="P28" s="5">
        <f>IFERROR(__xludf.DUMMYFUNCTION("IFERROR(HLOOKUP($A28,IMPORTRANGE(""https://docs.google.com/spreadsheets/d/1wfQePArl-A-5QJe5xAufoOnzeNLVSoHCRcmpZ_FMdns/edit#gid=0"",""'Game 1'!$B$2:$Q$34""),33,False),1)"),8.0)</f>
        <v>8</v>
      </c>
      <c r="Q28" s="5">
        <f>IFERROR(__xludf.DUMMYFUNCTION("IFERROR(HLOOKUP($A28,IMPORTRANGE(""https://docs.google.com/spreadsheets/d/1wydNznS0hZhVh3oGSdiCZSsReuqMT7Xaw718ix58zAI/edit#gid=0"",""'Game 4'!$B$2:$Q$34""),33,False),1)"),20.0)</f>
        <v>20</v>
      </c>
      <c r="R28" s="6">
        <f>TUHComp!R28</f>
        <v>345</v>
      </c>
      <c r="S28" s="6">
        <f t="shared" si="1"/>
        <v>188</v>
      </c>
      <c r="T28" s="6">
        <f t="shared" si="2"/>
        <v>12.53333333</v>
      </c>
      <c r="U28" s="6">
        <f t="shared" si="3"/>
        <v>19</v>
      </c>
    </row>
    <row r="29">
      <c r="A29" s="19" t="s">
        <v>94</v>
      </c>
      <c r="B29" s="9" t="s">
        <v>84</v>
      </c>
      <c r="C29" s="2">
        <v>0.0</v>
      </c>
      <c r="D29" s="2">
        <v>0.0</v>
      </c>
      <c r="E29" s="2">
        <v>0.0</v>
      </c>
      <c r="F29" s="2">
        <v>0.0</v>
      </c>
      <c r="G29" s="2">
        <v>0.0</v>
      </c>
      <c r="H29" s="12">
        <f>IFERROR(__xludf.DUMMYFUNCTION("HLOOKUP($A29,IMPORTRANGE(""https://docs.google.com/spreadsheets/d/19gjAD4NwTXl_QoKUuwHQ1cWG_S2BOW94pDcyFtPwheg/edit#gid=1009263986"",""'Game 4'!$B$2:$Q$34""),33,False)"),0.0)</f>
        <v>0</v>
      </c>
      <c r="I29" s="12">
        <f>IFERROR(__xludf.DUMMYFUNCTION("HLOOKUP($A29,IMPORTRANGE(""https://docs.google.com/spreadsheets/d/1l83w8bH-F1czkFOqsgQy6o8O33Jb4Pfg40W0ou2nk0k/edit#gid=0"",""'Game 1'!$B$2:$Q$34""),33,False)"),0.0)</f>
        <v>0</v>
      </c>
      <c r="J29" s="12">
        <f>IFERROR(__xludf.DUMMYFUNCTION("HLOOKUP($A29,IMPORTRANGE(""https://docs.google.com/spreadsheets/d/15X-ub7GvrCQZ3UGgyogcjwYdxG-Ng8WHxzGSj1Z3eLw/edit#gid=0"",""'Game 4'!$B$2:$Q$34""),33,False)"),0.0)</f>
        <v>0</v>
      </c>
      <c r="K29" s="12">
        <f>IFERROR(__xludf.DUMMYFUNCTION("IFERROR(HLOOKUP($A29,IMPORTRANGE(""https://docs.google.com/spreadsheets/d/194Bw3ABslPPhOOPvVoMzIk8sOQFICWBu2pydWdYMD-w/edit#gid=0"",""'Game 4'!$B$2:$Q$34""),33,False),1)"),0.0)</f>
        <v>0</v>
      </c>
      <c r="L29" s="12">
        <f>IFERROR(__xludf.DUMMYFUNCTION("IFERROR(HLOOKUP($A29,IMPORTRANGE(""https://docs.google.com/spreadsheets/d/1F2Bi6K_I1K9xRxY5qb-bNRo5m-Kw7udpF1OaTHhrxjs/edit#gid=0"",""'Game 4'!$B$2:$Q$34""),33,False),1)"),0.0)</f>
        <v>0</v>
      </c>
      <c r="M29" s="12">
        <f>IFERROR(__xludf.DUMMYFUNCTION("IFERROR(HLOOKUP($A29,IMPORTRANGE(""https://docs.google.com/spreadsheets/d/1NDNgi_Ny4dRhc2A3UMIIkalN-V6EmsvxOfDzMRQlQ40/edit#gid=0"",""'Game 4'!$B$2:$Q$34""),33,False),1)"),0.0)</f>
        <v>0</v>
      </c>
      <c r="N29" s="12">
        <f>IFERROR(__xludf.DUMMYFUNCTION("IFERROR(HLOOKUP($A29,IMPORTRANGE(""https://docs.google.com/spreadsheets/d/1UDYA3-RrkJNLa2ZLH1NnUjKyfCoiSODmgVL_Au_zt-Y/edit#gid=0"",""'Game 3'!$B$2:$Q$34""),33,False),1)"),-4.0)</f>
        <v>-4</v>
      </c>
      <c r="O29" s="12">
        <f>IFERROR(__xludf.DUMMYFUNCTION("IFERROR(HLOOKUP($A29,IMPORTRANGE(""https://docs.google.com/spreadsheets/d/1fvo6H94Wcffp6c4N9g3JKCW6y2ZlijPxdOsNz7xdBhw/edit#gid=0"",""'Game 4'!$B$2:$Q$34""),33,False),1)"),0.0)</f>
        <v>0</v>
      </c>
      <c r="P29" s="12">
        <f>IFERROR(__xludf.DUMMYFUNCTION("IFERROR(HLOOKUP($A29,IMPORTRANGE(""https://docs.google.com/spreadsheets/d/1wfQePArl-A-5QJe5xAufoOnzeNLVSoHCRcmpZ_FMdns/edit#gid=0"",""'Game 1'!$B$2:$Q$34""),33,False),1)"),0.0)</f>
        <v>0</v>
      </c>
      <c r="Q29" s="12">
        <f>IFERROR(__xludf.DUMMYFUNCTION("IFERROR(HLOOKUP($A29,IMPORTRANGE(""https://docs.google.com/spreadsheets/d/1wydNznS0hZhVh3oGSdiCZSsReuqMT7Xaw718ix58zAI/edit#gid=0"",""'Game 4'!$B$2:$Q$34""),33,False),1)"),0.0)</f>
        <v>0</v>
      </c>
      <c r="R29" s="13">
        <f>TUHComp!R29</f>
        <v>69</v>
      </c>
      <c r="S29" s="13">
        <f t="shared" si="1"/>
        <v>-4</v>
      </c>
      <c r="T29" s="13">
        <f t="shared" si="2"/>
        <v>-1.333333333</v>
      </c>
      <c r="U29" s="13">
        <f t="shared" si="3"/>
        <v>118</v>
      </c>
    </row>
    <row r="30">
      <c r="A30" s="23" t="s">
        <v>96</v>
      </c>
      <c r="B30" s="4" t="s">
        <v>97</v>
      </c>
      <c r="C30" s="3">
        <v>16.0</v>
      </c>
      <c r="D30" s="3">
        <v>32.0</v>
      </c>
      <c r="E30" s="3">
        <v>8.0</v>
      </c>
      <c r="F30" s="3">
        <v>8.0</v>
      </c>
      <c r="G30" s="3">
        <v>0.0</v>
      </c>
      <c r="H30" s="5">
        <f>IFERROR(__xludf.DUMMYFUNCTION("HLOOKUP($A30,IMPORTRANGE(""https://docs.google.com/spreadsheets/d/19gjAD4NwTXl_QoKUuwHQ1cWG_S2BOW94pDcyFtPwheg/edit#gid=1009263986"",""'Game 2'!$B$2:$Q$34""),33,False)"),12.0)</f>
        <v>12</v>
      </c>
      <c r="I30" s="5">
        <f>IFERROR(__xludf.DUMMYFUNCTION("HLOOKUP($A30,IMPORTRANGE(""https://docs.google.com/spreadsheets/d/1l83w8bH-F1czkFOqsgQy6o8O33Jb4Pfg40W0ou2nk0k/edit#gid=0"",""'Game 1'!$B$2:$Q$34""),33,False)"),0.0)</f>
        <v>0</v>
      </c>
      <c r="J30" s="5">
        <f>IFERROR(__xludf.DUMMYFUNCTION("HLOOKUP($A30,IMPORTRANGE(""https://docs.google.com/spreadsheets/d/15X-ub7GvrCQZ3UGgyogcjwYdxG-Ng8WHxzGSj1Z3eLw/edit#gid=0"",""'Game 2'!$B$2:$Q$34""),33,False)"),20.0)</f>
        <v>20</v>
      </c>
      <c r="K30" s="5">
        <f>IFERROR(__xludf.DUMMYFUNCTION("IFERROR(HLOOKUP($A30,IMPORTRANGE(""https://docs.google.com/spreadsheets/d/194Bw3ABslPPhOOPvVoMzIk8sOQFICWBu2pydWdYMD-w/edit#gid=0"",""'Game 2'!$B$2:$Q$29""),28,False),1)"),8.0)</f>
        <v>8</v>
      </c>
      <c r="L30" s="5">
        <f>IFERROR(__xludf.DUMMYFUNCTION("IFERROR(HLOOKUP($A30,IMPORTRANGE(""https://docs.google.com/spreadsheets/d/1F2Bi6K_I1K9xRxY5qb-bNRo5m-Kw7udpF1OaTHhrxjs/edit#gid=0"",""'Game 2'!$B$2:$Q$34""),33,False),1)"),16.0)</f>
        <v>16</v>
      </c>
      <c r="M30" s="5">
        <f>IFERROR(__xludf.DUMMYFUNCTION("IFERROR(HLOOKUP($A30,IMPORTRANGE(""https://docs.google.com/spreadsheets/d/1NDNgi_Ny4dRhc2A3UMIIkalN-V6EmsvxOfDzMRQlQ40/edit#gid=0"",""'Game 2'!$B$2:$Q$34""),33,False),1)"),0.0)</f>
        <v>0</v>
      </c>
      <c r="N30" s="5">
        <f>IFERROR(__xludf.DUMMYFUNCTION("IFERROR(HLOOKUP($A30,IMPORTRANGE(""https://docs.google.com/spreadsheets/d/1UDYA3-RrkJNLa2ZLH1NnUjKyfCoiSODmgVL_Au_zt-Y/edit#gid=0"",""'Game 2'!$B$2:$Q$34""),33,False),1)"),16.0)</f>
        <v>16</v>
      </c>
      <c r="O30" s="5">
        <f>IFERROR(__xludf.DUMMYFUNCTION("IFERROR(HLOOKUP($A30,IMPORTRANGE(""https://docs.google.com/spreadsheets/d/1fvo6H94Wcffp6c4N9g3JKCW6y2ZlijPxdOsNz7xdBhw/edit#gid=0"",""'Game 2'!$B$2:$Q$34""),33,False),1)"),12.0)</f>
        <v>12</v>
      </c>
      <c r="P30" s="5">
        <f>IFERROR(__xludf.DUMMYFUNCTION("IFERROR(HLOOKUP($A30,IMPORTRANGE(""https://docs.google.com/spreadsheets/d/1wfQePArl-A-5QJe5xAufoOnzeNLVSoHCRcmpZ_FMdns/edit#gid=0"",""'Game 2'!$B$2:$Q$34""),33,False),1)"),0.0)</f>
        <v>0</v>
      </c>
      <c r="Q30" s="5">
        <f>IFERROR(__xludf.DUMMYFUNCTION("IFERROR(HLOOKUP($A30,IMPORTRANGE(""https://docs.google.com/spreadsheets/d/1wydNznS0hZhVh3oGSdiCZSsReuqMT7Xaw718ix58zAI/edit#gid=0"",""'Game 2'!$B$2:$Q$34""),33,False),1)"),24.0)</f>
        <v>24</v>
      </c>
      <c r="R30" s="6">
        <f>TUHComp!R30</f>
        <v>322</v>
      </c>
      <c r="S30" s="6">
        <f t="shared" si="1"/>
        <v>172</v>
      </c>
      <c r="T30" s="6">
        <f t="shared" si="2"/>
        <v>12.28571429</v>
      </c>
      <c r="U30" s="6">
        <f t="shared" si="3"/>
        <v>20</v>
      </c>
    </row>
    <row r="31">
      <c r="A31" s="19" t="s">
        <v>99</v>
      </c>
      <c r="B31" s="9" t="s">
        <v>97</v>
      </c>
      <c r="C31" s="2">
        <v>-4.0</v>
      </c>
      <c r="D31" s="2">
        <v>12.0</v>
      </c>
      <c r="E31" s="2">
        <v>4.0</v>
      </c>
      <c r="F31" s="2">
        <v>4.0</v>
      </c>
      <c r="G31" s="2">
        <v>0.0</v>
      </c>
      <c r="H31" s="12">
        <f>IFERROR(__xludf.DUMMYFUNCTION("HLOOKUP($A31,IMPORTRANGE(""https://docs.google.com/spreadsheets/d/19gjAD4NwTXl_QoKUuwHQ1cWG_S2BOW94pDcyFtPwheg/edit#gid=1009263986"",""'Game 2'!$B$2:$Q$34""),33,False)"),4.0)</f>
        <v>4</v>
      </c>
      <c r="I31" s="12">
        <f>IFERROR(__xludf.DUMMYFUNCTION("HLOOKUP($A31,IMPORTRANGE(""https://docs.google.com/spreadsheets/d/1l83w8bH-F1czkFOqsgQy6o8O33Jb4Pfg40W0ou2nk0k/edit#gid=0"",""'Game 1'!$B$2:$Q$34""),33,False)"),4.0)</f>
        <v>4</v>
      </c>
      <c r="J31" s="12">
        <f>IFERROR(__xludf.DUMMYFUNCTION("HLOOKUP($A31,IMPORTRANGE(""https://docs.google.com/spreadsheets/d/15X-ub7GvrCQZ3UGgyogcjwYdxG-Ng8WHxzGSj1Z3eLw/edit#gid=0"",""'Game 2'!$B$2:$Q$34""),33,False)"),4.0)</f>
        <v>4</v>
      </c>
      <c r="K31" s="12">
        <f>IFERROR(__xludf.DUMMYFUNCTION("IFERROR(HLOOKUP($A31,IMPORTRANGE(""https://docs.google.com/spreadsheets/d/194Bw3ABslPPhOOPvVoMzIk8sOQFICWBu2pydWdYMD-w/edit#gid=0"",""'Game 2'!$B$2:$Q$29""),28,False),1)"),0.0)</f>
        <v>0</v>
      </c>
      <c r="L31" s="12">
        <f>IFERROR(__xludf.DUMMYFUNCTION("IFERROR(HLOOKUP($A31,IMPORTRANGE(""https://docs.google.com/spreadsheets/d/1F2Bi6K_I1K9xRxY5qb-bNRo5m-Kw7udpF1OaTHhrxjs/edit#gid=0"",""'Game 2'!$B$2:$Q$34""),33,False),1)"),4.0)</f>
        <v>4</v>
      </c>
      <c r="M31" s="12">
        <f>IFERROR(__xludf.DUMMYFUNCTION("IFERROR(HLOOKUP($A31,IMPORTRANGE(""https://docs.google.com/spreadsheets/d/1NDNgi_Ny4dRhc2A3UMIIkalN-V6EmsvxOfDzMRQlQ40/edit#gid=0"",""'Game 2'!$B$2:$Q$34""),33,False),1)"),4.0)</f>
        <v>4</v>
      </c>
      <c r="N31" s="12">
        <f>IFERROR(__xludf.DUMMYFUNCTION("IFERROR(HLOOKUP($A31,IMPORTRANGE(""https://docs.google.com/spreadsheets/d/1UDYA3-RrkJNLa2ZLH1NnUjKyfCoiSODmgVL_Au_zt-Y/edit#gid=0"",""'Game 2'!$B$2:$Q$34""),33,False),1)"),0.0)</f>
        <v>0</v>
      </c>
      <c r="O31" s="12">
        <f>IFERROR(__xludf.DUMMYFUNCTION("IFERROR(HLOOKUP($A31,IMPORTRANGE(""https://docs.google.com/spreadsheets/d/1fvo6H94Wcffp6c4N9g3JKCW6y2ZlijPxdOsNz7xdBhw/edit#gid=0"",""'Game 2'!$B$2:$Q$34""),33,False),1)"),4.0)</f>
        <v>4</v>
      </c>
      <c r="P31" s="12">
        <f>IFERROR(__xludf.DUMMYFUNCTION("IFERROR(HLOOKUP($A31,IMPORTRANGE(""https://docs.google.com/spreadsheets/d/1wfQePArl-A-5QJe5xAufoOnzeNLVSoHCRcmpZ_FMdns/edit#gid=0"",""'Game 2'!$B$2:$Q$34""),33,False),1)"),8.0)</f>
        <v>8</v>
      </c>
      <c r="Q31" s="12">
        <f>IFERROR(__xludf.DUMMYFUNCTION("IFERROR(HLOOKUP($A31,IMPORTRANGE(""https://docs.google.com/spreadsheets/d/1wydNznS0hZhVh3oGSdiCZSsReuqMT7Xaw718ix58zAI/edit#gid=0"",""'Game 2'!$B$2:$Q$34""),33,False),1)"),8.0)</f>
        <v>8</v>
      </c>
      <c r="R31" s="13">
        <f>TUHComp!R31</f>
        <v>345</v>
      </c>
      <c r="S31" s="13">
        <f t="shared" si="1"/>
        <v>56</v>
      </c>
      <c r="T31" s="13">
        <f t="shared" si="2"/>
        <v>3.733333333</v>
      </c>
      <c r="U31" s="13">
        <f t="shared" si="3"/>
        <v>63</v>
      </c>
    </row>
    <row r="32">
      <c r="A32" s="4" t="s">
        <v>102</v>
      </c>
      <c r="B32" s="16" t="s">
        <v>97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5">
        <f>IFERROR(__xludf.DUMMYFUNCTION("HLOOKUP($A32,IMPORTRANGE(""https://docs.google.com/spreadsheets/d/19gjAD4NwTXl_QoKUuwHQ1cWG_S2BOW94pDcyFtPwheg/edit#gid=1009263986"",""'Game 2'!$B$2:$Q$34""),33,False)"),0.0)</f>
        <v>0</v>
      </c>
      <c r="I32" s="5">
        <f>IFERROR(__xludf.DUMMYFUNCTION("HLOOKUP($A32,IMPORTRANGE(""https://docs.google.com/spreadsheets/d/1l83w8bH-F1czkFOqsgQy6o8O33Jb4Pfg40W0ou2nk0k/edit#gid=0"",""'Game 1'!$B$2:$Q$34""),33,False)"),0.0)</f>
        <v>0</v>
      </c>
      <c r="J32" s="5">
        <f>IFERROR(__xludf.DUMMYFUNCTION("HLOOKUP($A32,IMPORTRANGE(""https://docs.google.com/spreadsheets/d/15X-ub7GvrCQZ3UGgyogcjwYdxG-Ng8WHxzGSj1Z3eLw/edit#gid=0"",""'Game 2'!$B$2:$Q$34""),33,False)"),0.0)</f>
        <v>0</v>
      </c>
      <c r="K32" s="5">
        <f>IFERROR(__xludf.DUMMYFUNCTION("IFERROR(HLOOKUP($A32,IMPORTRANGE(""https://docs.google.com/spreadsheets/d/194Bw3ABslPPhOOPvVoMzIk8sOQFICWBu2pydWdYMD-w/edit#gid=0"",""'Game 2'!$B$2:$Q$29""),28,False),1)"),0.0)</f>
        <v>0</v>
      </c>
      <c r="L32" s="5">
        <f>IFERROR(__xludf.DUMMYFUNCTION("IFERROR(HLOOKUP($A32,IMPORTRANGE(""https://docs.google.com/spreadsheets/d/1F2Bi6K_I1K9xRxY5qb-bNRo5m-Kw7udpF1OaTHhrxjs/edit#gid=0"",""'Game 2'!$B$2:$Q$34""),33,False),1)"),0.0)</f>
        <v>0</v>
      </c>
      <c r="M32" s="5">
        <f>IFERROR(__xludf.DUMMYFUNCTION("IFERROR(HLOOKUP($A32,IMPORTRANGE(""https://docs.google.com/spreadsheets/d/1NDNgi_Ny4dRhc2A3UMIIkalN-V6EmsvxOfDzMRQlQ40/edit#gid=0"",""'Game 2'!$B$2:$Q$34""),33,False),1)"),0.0)</f>
        <v>0</v>
      </c>
      <c r="N32" s="5">
        <f>IFERROR(__xludf.DUMMYFUNCTION("IFERROR(HLOOKUP($A32,IMPORTRANGE(""https://docs.google.com/spreadsheets/d/1UDYA3-RrkJNLa2ZLH1NnUjKyfCoiSODmgVL_Au_zt-Y/edit#gid=0"",""'Game 2'!$B$2:$Q$34""),33,False),1)"),0.0)</f>
        <v>0</v>
      </c>
      <c r="O32" s="5">
        <f>IFERROR(__xludf.DUMMYFUNCTION("IFERROR(HLOOKUP($A32,IMPORTRANGE(""https://docs.google.com/spreadsheets/d/1fvo6H94Wcffp6c4N9g3JKCW6y2ZlijPxdOsNz7xdBhw/edit#gid=0"",""'Game 2'!$B$2:$Q$34""),33,False),1)"),0.0)</f>
        <v>0</v>
      </c>
      <c r="P32" s="5">
        <f>IFERROR(__xludf.DUMMYFUNCTION("IFERROR(HLOOKUP($A32,IMPORTRANGE(""https://docs.google.com/spreadsheets/d/1wfQePArl-A-5QJe5xAufoOnzeNLVSoHCRcmpZ_FMdns/edit#gid=0"",""'Game 2'!$B$2:$Q$34""),33,False),1)"),0.0)</f>
        <v>0</v>
      </c>
      <c r="Q32" s="5">
        <f>IFERROR(__xludf.DUMMYFUNCTION("IFERROR(HLOOKUP($A32,IMPORTRANGE(""https://docs.google.com/spreadsheets/d/1wydNznS0hZhVh3oGSdiCZSsReuqMT7Xaw718ix58zAI/edit#gid=0"",""'Game 2'!$B$2:$Q$34""),33,False),1)"),0.0)</f>
        <v>0</v>
      </c>
      <c r="R32" s="6">
        <f>TUHComp!R32</f>
        <v>58</v>
      </c>
      <c r="S32" s="6">
        <f t="shared" si="1"/>
        <v>0</v>
      </c>
      <c r="T32" s="6">
        <f t="shared" si="2"/>
        <v>0</v>
      </c>
      <c r="U32" s="6">
        <f t="shared" si="3"/>
        <v>104</v>
      </c>
    </row>
    <row r="33">
      <c r="A33" s="19" t="s">
        <v>103</v>
      </c>
      <c r="B33" s="9" t="s">
        <v>97</v>
      </c>
      <c r="C33" s="2">
        <v>4.0</v>
      </c>
      <c r="D33" s="2">
        <v>4.0</v>
      </c>
      <c r="E33" s="2">
        <v>8.0</v>
      </c>
      <c r="F33" s="2">
        <v>4.0</v>
      </c>
      <c r="G33" s="2">
        <v>8.0</v>
      </c>
      <c r="H33" s="12">
        <f>IFERROR(__xludf.DUMMYFUNCTION("HLOOKUP($A33,IMPORTRANGE(""https://docs.google.com/spreadsheets/d/19gjAD4NwTXl_QoKUuwHQ1cWG_S2BOW94pDcyFtPwheg/edit#gid=1009263986"",""'Game 2'!$B$2:$Q$34""),33,False)"),0.0)</f>
        <v>0</v>
      </c>
      <c r="I33" s="12">
        <f>IFERROR(__xludf.DUMMYFUNCTION("HLOOKUP($A33,IMPORTRANGE(""https://docs.google.com/spreadsheets/d/1l83w8bH-F1czkFOqsgQy6o8O33Jb4Pfg40W0ou2nk0k/edit#gid=0"",""'Game 1'!$B$2:$Q$34""),33,False)"),12.0)</f>
        <v>12</v>
      </c>
      <c r="J33" s="12">
        <f>IFERROR(__xludf.DUMMYFUNCTION("HLOOKUP($A33,IMPORTRANGE(""https://docs.google.com/spreadsheets/d/15X-ub7GvrCQZ3UGgyogcjwYdxG-Ng8WHxzGSj1Z3eLw/edit#gid=0"",""'Game 2'!$B$2:$Q$34""),33,False)"),0.0)</f>
        <v>0</v>
      </c>
      <c r="K33" s="12">
        <f>IFERROR(__xludf.DUMMYFUNCTION("IFERROR(HLOOKUP($A33,IMPORTRANGE(""https://docs.google.com/spreadsheets/d/194Bw3ABslPPhOOPvVoMzIk8sOQFICWBu2pydWdYMD-w/edit#gid=0"",""'Game 2'!$B$2:$Q$29""),28,False),1)"),-4.0)</f>
        <v>-4</v>
      </c>
      <c r="L33" s="12">
        <f>IFERROR(__xludf.DUMMYFUNCTION("IFERROR(HLOOKUP($A33,IMPORTRANGE(""https://docs.google.com/spreadsheets/d/1F2Bi6K_I1K9xRxY5qb-bNRo5m-Kw7udpF1OaTHhrxjs/edit#gid=0"",""'Game 2'!$B$2:$Q$34""),33,False),1)"),4.0)</f>
        <v>4</v>
      </c>
      <c r="M33" s="12">
        <f>IFERROR(__xludf.DUMMYFUNCTION("IFERROR(HLOOKUP($A33,IMPORTRANGE(""https://docs.google.com/spreadsheets/d/1NDNgi_Ny4dRhc2A3UMIIkalN-V6EmsvxOfDzMRQlQ40/edit#gid=0"",""'Game 2'!$B$2:$Q$34""),33,False),1)"),0.0)</f>
        <v>0</v>
      </c>
      <c r="N33" s="12">
        <f>IFERROR(__xludf.DUMMYFUNCTION("IFERROR(HLOOKUP($A33,IMPORTRANGE(""https://docs.google.com/spreadsheets/d/1UDYA3-RrkJNLa2ZLH1NnUjKyfCoiSODmgVL_Au_zt-Y/edit#gid=0"",""'Game 2'!$B$2:$Q$34""),33,False),1)"),-4.0)</f>
        <v>-4</v>
      </c>
      <c r="O33" s="12">
        <f>IFERROR(__xludf.DUMMYFUNCTION("IFERROR(HLOOKUP($A33,IMPORTRANGE(""https://docs.google.com/spreadsheets/d/1fvo6H94Wcffp6c4N9g3JKCW6y2ZlijPxdOsNz7xdBhw/edit#gid=0"",""'Game 2'!$B$2:$Q$34""),33,False),1)"),0.0)</f>
        <v>0</v>
      </c>
      <c r="P33" s="12">
        <f>IFERROR(__xludf.DUMMYFUNCTION("IFERROR(HLOOKUP($A33,IMPORTRANGE(""https://docs.google.com/spreadsheets/d/1wfQePArl-A-5QJe5xAufoOnzeNLVSoHCRcmpZ_FMdns/edit#gid=0"",""'Game 2'!$B$2:$Q$34""),33,False),1)"),4.0)</f>
        <v>4</v>
      </c>
      <c r="Q33" s="12">
        <f>IFERROR(__xludf.DUMMYFUNCTION("IFERROR(HLOOKUP($A33,IMPORTRANGE(""https://docs.google.com/spreadsheets/d/1wydNznS0hZhVh3oGSdiCZSsReuqMT7Xaw718ix58zAI/edit#gid=0"",""'Game 2'!$B$2:$Q$34""),33,False),1)"),8.0)</f>
        <v>8</v>
      </c>
      <c r="R33" s="13">
        <f>TUHComp!R33</f>
        <v>345</v>
      </c>
      <c r="S33" s="13">
        <f t="shared" si="1"/>
        <v>48</v>
      </c>
      <c r="T33" s="13">
        <f t="shared" si="2"/>
        <v>3.2</v>
      </c>
      <c r="U33" s="13">
        <f t="shared" si="3"/>
        <v>70</v>
      </c>
    </row>
    <row r="34">
      <c r="A34" s="4" t="s">
        <v>105</v>
      </c>
      <c r="B34" s="16" t="s">
        <v>97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5">
        <f>IFERROR(__xludf.DUMMYFUNCTION("HLOOKUP($A34,IMPORTRANGE(""https://docs.google.com/spreadsheets/d/19gjAD4NwTXl_QoKUuwHQ1cWG_S2BOW94pDcyFtPwheg/edit#gid=1009263986"",""'Game 2'!$B$2:$Q$34""),33,False)"),0.0)</f>
        <v>0</v>
      </c>
      <c r="I34" s="5">
        <f>IFERROR(__xludf.DUMMYFUNCTION("HLOOKUP($A34,IMPORTRANGE(""https://docs.google.com/spreadsheets/d/1l83w8bH-F1czkFOqsgQy6o8O33Jb4Pfg40W0ou2nk0k/edit#gid=0"",""'Game 1'!$B$2:$Q$34""),33,False)"),4.0)</f>
        <v>4</v>
      </c>
      <c r="J34" s="5">
        <f>IFERROR(__xludf.DUMMYFUNCTION("HLOOKUP($A34,IMPORTRANGE(""https://docs.google.com/spreadsheets/d/15X-ub7GvrCQZ3UGgyogcjwYdxG-Ng8WHxzGSj1Z3eLw/edit#gid=0"",""'Game 2'!$B$2:$Q$34""),33,False)"),0.0)</f>
        <v>0</v>
      </c>
      <c r="K34" s="5">
        <f>IFERROR(__xludf.DUMMYFUNCTION("IFERROR(HLOOKUP($A34,IMPORTRANGE(""https://docs.google.com/spreadsheets/d/194Bw3ABslPPhOOPvVoMzIk8sOQFICWBu2pydWdYMD-w/edit#gid=0"",""'Game 2'!$B$2:$Q$29""),28,False),1)"),0.0)</f>
        <v>0</v>
      </c>
      <c r="L34" s="5">
        <f>IFERROR(__xludf.DUMMYFUNCTION("IFERROR(HLOOKUP($A34,IMPORTRANGE(""https://docs.google.com/spreadsheets/d/1F2Bi6K_I1K9xRxY5qb-bNRo5m-Kw7udpF1OaTHhrxjs/edit#gid=0"",""'Game 2'!$B$2:$Q$34""),33,False),1)"),0.0)</f>
        <v>0</v>
      </c>
      <c r="M34" s="5">
        <f>IFERROR(__xludf.DUMMYFUNCTION("IFERROR(HLOOKUP($A34,IMPORTRANGE(""https://docs.google.com/spreadsheets/d/1NDNgi_Ny4dRhc2A3UMIIkalN-V6EmsvxOfDzMRQlQ40/edit#gid=0"",""'Game 2'!$B$2:$Q$34""),33,False),1)"),0.0)</f>
        <v>0</v>
      </c>
      <c r="N34" s="5">
        <f>IFERROR(__xludf.DUMMYFUNCTION("IFERROR(HLOOKUP($A34,IMPORTRANGE(""https://docs.google.com/spreadsheets/d/1UDYA3-RrkJNLa2ZLH1NnUjKyfCoiSODmgVL_Au_zt-Y/edit#gid=0"",""'Game 2'!$B$2:$Q$34""),33,False),1)"),0.0)</f>
        <v>0</v>
      </c>
      <c r="O34" s="5">
        <f>IFERROR(__xludf.DUMMYFUNCTION("IFERROR(HLOOKUP($A34,IMPORTRANGE(""https://docs.google.com/spreadsheets/d/1fvo6H94Wcffp6c4N9g3JKCW6y2ZlijPxdOsNz7xdBhw/edit#gid=0"",""'Game 2'!$B$2:$Q$34""),33,False),1)"),0.0)</f>
        <v>0</v>
      </c>
      <c r="P34" s="5">
        <f>IFERROR(__xludf.DUMMYFUNCTION("IFERROR(HLOOKUP($A34,IMPORTRANGE(""https://docs.google.com/spreadsheets/d/1wfQePArl-A-5QJe5xAufoOnzeNLVSoHCRcmpZ_FMdns/edit#gid=0"",""'Game 2'!$B$2:$Q$34""),33,False),1)"),0.0)</f>
        <v>0</v>
      </c>
      <c r="Q34" s="5">
        <f>IFERROR(__xludf.DUMMYFUNCTION("IFERROR(HLOOKUP($A34,IMPORTRANGE(""https://docs.google.com/spreadsheets/d/1wydNznS0hZhVh3oGSdiCZSsReuqMT7Xaw718ix58zAI/edit#gid=0"",""'Game 2'!$B$2:$Q$34""),33,False),1)"),0.0)</f>
        <v>0</v>
      </c>
      <c r="R34" s="6">
        <f>TUHComp!R34</f>
        <v>264</v>
      </c>
      <c r="S34" s="6">
        <f t="shared" si="1"/>
        <v>4</v>
      </c>
      <c r="T34" s="6">
        <f t="shared" si="2"/>
        <v>0.3484848485</v>
      </c>
      <c r="U34" s="6">
        <f t="shared" si="3"/>
        <v>103</v>
      </c>
    </row>
    <row r="35">
      <c r="A35" s="19" t="s">
        <v>107</v>
      </c>
      <c r="B35" s="19" t="s">
        <v>108</v>
      </c>
      <c r="C35" s="2">
        <v>8.0</v>
      </c>
      <c r="D35" s="2">
        <v>-4.0</v>
      </c>
      <c r="E35" s="2">
        <v>8.0</v>
      </c>
      <c r="F35" s="2">
        <v>4.0</v>
      </c>
      <c r="G35" s="2">
        <v>4.0</v>
      </c>
      <c r="H35" s="12">
        <f>IFERROR(__xludf.DUMMYFUNCTION("HLOOKUP($A35,IMPORTRANGE(""https://docs.google.com/spreadsheets/d/19gjAD4NwTXl_QoKUuwHQ1cWG_S2BOW94pDcyFtPwheg/edit#gid=1009263986"",""'Game 6'!$B$2:$Q$34""),33,False)"),0.0)</f>
        <v>0</v>
      </c>
      <c r="I35" s="12">
        <f>IFERROR(__xludf.DUMMYFUNCTION("HLOOKUP($A35,IMPORTRANGE(""https://docs.google.com/spreadsheets/d/1l83w8bH-F1czkFOqsgQy6o8O33Jb4Pfg40W0ou2nk0k/edit#gid=0"",""'Game 12'!$B$2:$Q$34""),33,False)"),12.0)</f>
        <v>12</v>
      </c>
      <c r="J35" s="12">
        <f>IFERROR(__xludf.DUMMYFUNCTION("HLOOKUP($A35,IMPORTRANGE(""https://docs.google.com/spreadsheets/d/15X-ub7GvrCQZ3UGgyogcjwYdxG-Ng8WHxzGSj1Z3eLw/edit#gid=0"",""'Game 10'!$B$2:$Q$34""),33,False)"),0.0)</f>
        <v>0</v>
      </c>
      <c r="K35" s="12">
        <f>IFERROR(__xludf.DUMMYFUNCTION("IFERROR(HLOOKUP($A35,IMPORTRANGE(""https://docs.google.com/spreadsheets/d/194Bw3ABslPPhOOPvVoMzIk8sOQFICWBu2pydWdYMD-w/edit#gid=0"",""'Game 7'!$B$2:$Q$29""),28,False),1)"),4.0)</f>
        <v>4</v>
      </c>
      <c r="L35" s="12">
        <f>IFERROR(__xludf.DUMMYFUNCTION("IFERROR(HLOOKUP($A35,IMPORTRANGE(""https://docs.google.com/spreadsheets/d/1F2Bi6K_I1K9xRxY5qb-bNRo5m-Kw7udpF1OaTHhrxjs/edit#gid=0"",""'Game 10'!$B$2:$Q$34""),33,False),1)"),4.0)</f>
        <v>4</v>
      </c>
      <c r="M35" s="12">
        <f>IFERROR(__xludf.DUMMYFUNCTION("IFERROR(HLOOKUP($A35,IMPORTRANGE(""https://docs.google.com/spreadsheets/d/1NDNgi_Ny4dRhc2A3UMIIkalN-V6EmsvxOfDzMRQlQ40/edit#gid=0"",""'Game 9'!$B$2:$Q$34""),33,False),1)"),8.0)</f>
        <v>8</v>
      </c>
      <c r="N35" s="12">
        <f>IFERROR(__xludf.DUMMYFUNCTION("IFERROR(HLOOKUP($A35,IMPORTRANGE(""https://docs.google.com/spreadsheets/d/1UDYA3-RrkJNLa2ZLH1NnUjKyfCoiSODmgVL_Au_zt-Y/edit#gid=0"",""'Game 7'!$B$2:$Q$34""),33,False),1)"),0.0)</f>
        <v>0</v>
      </c>
      <c r="O35" s="12">
        <f>IFERROR(__xludf.DUMMYFUNCTION("IFERROR(HLOOKUP($A35,IMPORTRANGE(""https://docs.google.com/spreadsheets/d/1fvo6H94Wcffp6c4N9g3JKCW6y2ZlijPxdOsNz7xdBhw/edit#gid=0"",""'Game 9'!$B$2:$Q$34""),33,False),1)"),4.0)</f>
        <v>4</v>
      </c>
      <c r="P35" s="12">
        <f>IFERROR(__xludf.DUMMYFUNCTION("IFERROR(HLOOKUP($A35,IMPORTRANGE(""https://docs.google.com/spreadsheets/d/1wfQePArl-A-5QJe5xAufoOnzeNLVSoHCRcmpZ_FMdns/edit#gid=0"",""'Game 3'!$B$2:$Q$34""),33,False),1)"),0.0)</f>
        <v>0</v>
      </c>
      <c r="Q35" s="12">
        <f>IFERROR(__xludf.DUMMYFUNCTION("IFERROR(HLOOKUP($A35,IMPORTRANGE(""https://docs.google.com/spreadsheets/d/1wydNznS0hZhVh3oGSdiCZSsReuqMT7Xaw718ix58zAI/edit#gid=0"",""'Game 2'!$B$2:$Q$34""),33,False),1)"),4.0)</f>
        <v>4</v>
      </c>
      <c r="R35" s="13">
        <f>TUHComp!R35</f>
        <v>345</v>
      </c>
      <c r="S35" s="13">
        <f t="shared" si="1"/>
        <v>56</v>
      </c>
      <c r="T35" s="13">
        <f t="shared" si="2"/>
        <v>3.733333333</v>
      </c>
      <c r="U35" s="13">
        <f t="shared" si="3"/>
        <v>63</v>
      </c>
    </row>
    <row r="36">
      <c r="A36" s="4" t="s">
        <v>110</v>
      </c>
      <c r="B36" s="16" t="s">
        <v>108</v>
      </c>
      <c r="C36" s="3">
        <v>0.0</v>
      </c>
      <c r="D36" s="3">
        <v>0.0</v>
      </c>
      <c r="E36" s="3">
        <v>8.0</v>
      </c>
      <c r="F36" s="3">
        <v>0.0</v>
      </c>
      <c r="G36" s="3">
        <v>4.0</v>
      </c>
      <c r="H36" s="5">
        <f>IFERROR(__xludf.DUMMYFUNCTION("HLOOKUP($A36,IMPORTRANGE(""https://docs.google.com/spreadsheets/d/19gjAD4NwTXl_QoKUuwHQ1cWG_S2BOW94pDcyFtPwheg/edit#gid=1009263986"",""'Game 6'!$B$2:$Q$34""),33,False)"),0.0)</f>
        <v>0</v>
      </c>
      <c r="I36" s="5">
        <f>IFERROR(__xludf.DUMMYFUNCTION("HLOOKUP($A36,IMPORTRANGE(""https://docs.google.com/spreadsheets/d/1l83w8bH-F1czkFOqsgQy6o8O33Jb4Pfg40W0ou2nk0k/edit#gid=0"",""'Game 12'!$B$2:$Q$34""),33,False)"),0.0)</f>
        <v>0</v>
      </c>
      <c r="J36" s="5">
        <f>IFERROR(__xludf.DUMMYFUNCTION("HLOOKUP($A36,IMPORTRANGE(""https://docs.google.com/spreadsheets/d/15X-ub7GvrCQZ3UGgyogcjwYdxG-Ng8WHxzGSj1Z3eLw/edit#gid=0"",""'Game 10'!$B$2:$Q$34""),33,False)"),8.0)</f>
        <v>8</v>
      </c>
      <c r="K36" s="5">
        <f>IFERROR(__xludf.DUMMYFUNCTION("IFERROR(HLOOKUP($A36,IMPORTRANGE(""https://docs.google.com/spreadsheets/d/194Bw3ABslPPhOOPvVoMzIk8sOQFICWBu2pydWdYMD-w/edit#gid=0"",""'Game 7'!$B$2:$Q$29""),28,False),1)"),0.0)</f>
        <v>0</v>
      </c>
      <c r="L36" s="5">
        <f>IFERROR(__xludf.DUMMYFUNCTION("IFERROR(HLOOKUP($A36,IMPORTRANGE(""https://docs.google.com/spreadsheets/d/1F2Bi6K_I1K9xRxY5qb-bNRo5m-Kw7udpF1OaTHhrxjs/edit#gid=0"",""'Game 10'!$B$2:$Q$34""),33,False),1)"),8.0)</f>
        <v>8</v>
      </c>
      <c r="M36" s="5">
        <f>IFERROR(__xludf.DUMMYFUNCTION("IFERROR(HLOOKUP($A36,IMPORTRANGE(""https://docs.google.com/spreadsheets/d/1NDNgi_Ny4dRhc2A3UMIIkalN-V6EmsvxOfDzMRQlQ40/edit#gid=0"",""'Game 9'!$B$2:$Q$34""),33,False),1)"),0.0)</f>
        <v>0</v>
      </c>
      <c r="N36" s="5">
        <f>IFERROR(__xludf.DUMMYFUNCTION("IFERROR(HLOOKUP($A36,IMPORTRANGE(""https://docs.google.com/spreadsheets/d/1UDYA3-RrkJNLa2ZLH1NnUjKyfCoiSODmgVL_Au_zt-Y/edit#gid=0"",""'Game 7'!$B$2:$Q$34""),33,False),1)"),0.0)</f>
        <v>0</v>
      </c>
      <c r="O36" s="5">
        <f>IFERROR(__xludf.DUMMYFUNCTION("IFERROR(HLOOKUP($A36,IMPORTRANGE(""https://docs.google.com/spreadsheets/d/1fvo6H94Wcffp6c4N9g3JKCW6y2ZlijPxdOsNz7xdBhw/edit#gid=0"",""'Game 9'!$B$2:$Q$34""),33,False),1)"),12.0)</f>
        <v>12</v>
      </c>
      <c r="P36" s="5">
        <f>IFERROR(__xludf.DUMMYFUNCTION("IFERROR(HLOOKUP($A36,IMPORTRANGE(""https://docs.google.com/spreadsheets/d/1wfQePArl-A-5QJe5xAufoOnzeNLVSoHCRcmpZ_FMdns/edit#gid=0"",""'Game 3'!$B$2:$Q$34""),33,False),1)"),4.0)</f>
        <v>4</v>
      </c>
      <c r="Q36" s="5">
        <f>IFERROR(__xludf.DUMMYFUNCTION("IFERROR(HLOOKUP($A36,IMPORTRANGE(""https://docs.google.com/spreadsheets/d/1wydNznS0hZhVh3oGSdiCZSsReuqMT7Xaw718ix58zAI/edit#gid=0"",""'Game 2'!$B$2:$Q$34""),33,False),1)"),4.0)</f>
        <v>4</v>
      </c>
      <c r="R36" s="6">
        <f>TUHComp!R36</f>
        <v>299</v>
      </c>
      <c r="S36" s="6">
        <f t="shared" si="1"/>
        <v>48</v>
      </c>
      <c r="T36" s="6">
        <f t="shared" si="2"/>
        <v>3.692307692</v>
      </c>
      <c r="U36" s="6">
        <f t="shared" si="3"/>
        <v>65</v>
      </c>
    </row>
    <row r="37">
      <c r="A37" s="19" t="s">
        <v>112</v>
      </c>
      <c r="B37" s="9" t="s">
        <v>108</v>
      </c>
      <c r="C37" s="2">
        <v>0.0</v>
      </c>
      <c r="D37" s="2">
        <v>0.0</v>
      </c>
      <c r="E37" s="2">
        <v>0.0</v>
      </c>
      <c r="F37" s="2">
        <v>0.0</v>
      </c>
      <c r="G37" s="2">
        <v>0.0</v>
      </c>
      <c r="H37" s="12">
        <f>IFERROR(__xludf.DUMMYFUNCTION("HLOOKUP($A37,IMPORTRANGE(""https://docs.google.com/spreadsheets/d/19gjAD4NwTXl_QoKUuwHQ1cWG_S2BOW94pDcyFtPwheg/edit#gid=1009263986"",""'Game 6'!$B$2:$Q$34""),33,False)"),0.0)</f>
        <v>0</v>
      </c>
      <c r="I37" s="12">
        <f>IFERROR(__xludf.DUMMYFUNCTION("HLOOKUP($A37,IMPORTRANGE(""https://docs.google.com/spreadsheets/d/1l83w8bH-F1czkFOqsgQy6o8O33Jb4Pfg40W0ou2nk0k/edit#gid=0"",""'Game 12'!$B$2:$Q$34""),33,False)"),0.0)</f>
        <v>0</v>
      </c>
      <c r="J37" s="12">
        <f>IFERROR(__xludf.DUMMYFUNCTION("HLOOKUP($A37,IMPORTRANGE(""https://docs.google.com/spreadsheets/d/15X-ub7GvrCQZ3UGgyogcjwYdxG-Ng8WHxzGSj1Z3eLw/edit#gid=0"",""'Game 10'!$B$2:$Q$34""),33,False)"),0.0)</f>
        <v>0</v>
      </c>
      <c r="K37" s="12">
        <f>IFERROR(__xludf.DUMMYFUNCTION("IFERROR(HLOOKUP($A37,IMPORTRANGE(""https://docs.google.com/spreadsheets/d/194Bw3ABslPPhOOPvVoMzIk8sOQFICWBu2pydWdYMD-w/edit#gid=0"",""'Game 7'!$B$2:$Q$29""),28,False),1)"),8.0)</f>
        <v>8</v>
      </c>
      <c r="L37" s="12">
        <f>IFERROR(__xludf.DUMMYFUNCTION("IFERROR(HLOOKUP($A37,IMPORTRANGE(""https://docs.google.com/spreadsheets/d/1F2Bi6K_I1K9xRxY5qb-bNRo5m-Kw7udpF1OaTHhrxjs/edit#gid=0"",""'Game 10'!$B$2:$Q$34""),33,False),1)"),0.0)</f>
        <v>0</v>
      </c>
      <c r="M37" s="12">
        <f>IFERROR(__xludf.DUMMYFUNCTION("IFERROR(HLOOKUP($A37,IMPORTRANGE(""https://docs.google.com/spreadsheets/d/1NDNgi_Ny4dRhc2A3UMIIkalN-V6EmsvxOfDzMRQlQ40/edit#gid=0"",""'Game 9'!$B$2:$Q$34""),33,False),1)"),0.0)</f>
        <v>0</v>
      </c>
      <c r="N37" s="12">
        <f>IFERROR(__xludf.DUMMYFUNCTION("IFERROR(HLOOKUP($A37,IMPORTRANGE(""https://docs.google.com/spreadsheets/d/1UDYA3-RrkJNLa2ZLH1NnUjKyfCoiSODmgVL_Au_zt-Y/edit#gid=0"",""'Game 7'!$B$2:$Q$34""),33,False),1)"),0.0)</f>
        <v>0</v>
      </c>
      <c r="O37" s="12">
        <f>IFERROR(__xludf.DUMMYFUNCTION("IFERROR(HLOOKUP($A37,IMPORTRANGE(""https://docs.google.com/spreadsheets/d/1fvo6H94Wcffp6c4N9g3JKCW6y2ZlijPxdOsNz7xdBhw/edit#gid=0"",""'Game 9'!$B$2:$Q$34""),33,False),1)"),0.0)</f>
        <v>0</v>
      </c>
      <c r="P37" s="12">
        <f>IFERROR(__xludf.DUMMYFUNCTION("IFERROR(HLOOKUP($A37,IMPORTRANGE(""https://docs.google.com/spreadsheets/d/1wfQePArl-A-5QJe5xAufoOnzeNLVSoHCRcmpZ_FMdns/edit#gid=0"",""'Game 3'!$B$2:$Q$34""),33,False),1)"),0.0)</f>
        <v>0</v>
      </c>
      <c r="Q37" s="12">
        <f>IFERROR(__xludf.DUMMYFUNCTION("IFERROR(HLOOKUP($A37,IMPORTRANGE(""https://docs.google.com/spreadsheets/d/1wydNznS0hZhVh3oGSdiCZSsReuqMT7Xaw718ix58zAI/edit#gid=0"",""'Game 2'!$B$2:$Q$34""),33,False),1)"),0.0)</f>
        <v>0</v>
      </c>
      <c r="R37" s="13">
        <f>TUHComp!R37</f>
        <v>265</v>
      </c>
      <c r="S37" s="13">
        <f t="shared" si="1"/>
        <v>8</v>
      </c>
      <c r="T37" s="13">
        <f t="shared" si="2"/>
        <v>0.6943396226</v>
      </c>
      <c r="U37" s="13">
        <f t="shared" si="3"/>
        <v>100</v>
      </c>
    </row>
    <row r="38">
      <c r="A38" s="4" t="s">
        <v>115</v>
      </c>
      <c r="B38" s="16" t="s">
        <v>108</v>
      </c>
      <c r="C38" s="3">
        <v>0.0</v>
      </c>
      <c r="D38" s="3">
        <v>0.0</v>
      </c>
      <c r="E38" s="3">
        <v>8.0</v>
      </c>
      <c r="F38" s="3">
        <v>0.0</v>
      </c>
      <c r="G38" s="3">
        <v>0.0</v>
      </c>
      <c r="H38" s="5">
        <f>IFERROR(__xludf.DUMMYFUNCTION("HLOOKUP($A38,IMPORTRANGE(""https://docs.google.com/spreadsheets/d/19gjAD4NwTXl_QoKUuwHQ1cWG_S2BOW94pDcyFtPwheg/edit#gid=1009263986"",""'Game 6'!$B$2:$Q$34""),33,False)"),16.0)</f>
        <v>16</v>
      </c>
      <c r="I38" s="5">
        <f>IFERROR(__xludf.DUMMYFUNCTION("HLOOKUP($A38,IMPORTRANGE(""https://docs.google.com/spreadsheets/d/1l83w8bH-F1czkFOqsgQy6o8O33Jb4Pfg40W0ou2nk0k/edit#gid=0"",""'Game 12'!$B$2:$Q$34""),33,False)"),8.0)</f>
        <v>8</v>
      </c>
      <c r="J38" s="5">
        <f>IFERROR(__xludf.DUMMYFUNCTION("HLOOKUP($A38,IMPORTRANGE(""https://docs.google.com/spreadsheets/d/15X-ub7GvrCQZ3UGgyogcjwYdxG-Ng8WHxzGSj1Z3eLw/edit#gid=0"",""'Game 10'!$B$2:$Q$34""),33,False)"),4.0)</f>
        <v>4</v>
      </c>
      <c r="K38" s="5">
        <f>IFERROR(__xludf.DUMMYFUNCTION("IFERROR(HLOOKUP($A38,IMPORTRANGE(""https://docs.google.com/spreadsheets/d/194Bw3ABslPPhOOPvVoMzIk8sOQFICWBu2pydWdYMD-w/edit#gid=0"",""'Game 7'!$B$2:$Q$29""),28,False),1)"),4.0)</f>
        <v>4</v>
      </c>
      <c r="L38" s="5">
        <f>IFERROR(__xludf.DUMMYFUNCTION("IFERROR(HLOOKUP($A38,IMPORTRANGE(""https://docs.google.com/spreadsheets/d/1F2Bi6K_I1K9xRxY5qb-bNRo5m-Kw7udpF1OaTHhrxjs/edit#gid=0"",""'Game 10'!$B$2:$Q$34""),33,False),1)"),4.0)</f>
        <v>4</v>
      </c>
      <c r="M38" s="5">
        <f>IFERROR(__xludf.DUMMYFUNCTION("IFERROR(HLOOKUP($A38,IMPORTRANGE(""https://docs.google.com/spreadsheets/d/1NDNgi_Ny4dRhc2A3UMIIkalN-V6EmsvxOfDzMRQlQ40/edit#gid=0"",""'Game 9'!$B$2:$Q$34""),33,False),1)"),12.0)</f>
        <v>12</v>
      </c>
      <c r="N38" s="5">
        <f>IFERROR(__xludf.DUMMYFUNCTION("IFERROR(HLOOKUP($A38,IMPORTRANGE(""https://docs.google.com/spreadsheets/d/1UDYA3-RrkJNLa2ZLH1NnUjKyfCoiSODmgVL_Au_zt-Y/edit#gid=0"",""'Game 7'!$B$2:$Q$34""),33,False),1)"),8.0)</f>
        <v>8</v>
      </c>
      <c r="O38" s="5">
        <f>IFERROR(__xludf.DUMMYFUNCTION("IFERROR(HLOOKUP($A38,IMPORTRANGE(""https://docs.google.com/spreadsheets/d/1fvo6H94Wcffp6c4N9g3JKCW6y2ZlijPxdOsNz7xdBhw/edit#gid=0"",""'Game 9'!$B$2:$Q$34""),33,False),1)"),24.0)</f>
        <v>24</v>
      </c>
      <c r="P38" s="5">
        <f>IFERROR(__xludf.DUMMYFUNCTION("IFERROR(HLOOKUP($A38,IMPORTRANGE(""https://docs.google.com/spreadsheets/d/1wfQePArl-A-5QJe5xAufoOnzeNLVSoHCRcmpZ_FMdns/edit#gid=0"",""'Game 3'!$B$2:$Q$34""),33,False),1)"),4.0)</f>
        <v>4</v>
      </c>
      <c r="Q38" s="5">
        <f>IFERROR(__xludf.DUMMYFUNCTION("IFERROR(HLOOKUP($A38,IMPORTRANGE(""https://docs.google.com/spreadsheets/d/1wydNznS0hZhVh3oGSdiCZSsReuqMT7Xaw718ix58zAI/edit#gid=0"",""'Game 2'!$B$2:$Q$34""),33,False),1)"),8.0)</f>
        <v>8</v>
      </c>
      <c r="R38" s="6">
        <f>TUHComp!R38</f>
        <v>345</v>
      </c>
      <c r="S38" s="6">
        <f t="shared" si="1"/>
        <v>100</v>
      </c>
      <c r="T38" s="6">
        <f t="shared" si="2"/>
        <v>6.666666667</v>
      </c>
      <c r="U38" s="6">
        <f t="shared" si="3"/>
        <v>40</v>
      </c>
    </row>
    <row r="39">
      <c r="A39" s="19" t="s">
        <v>117</v>
      </c>
      <c r="B39" s="9" t="s">
        <v>108</v>
      </c>
      <c r="C39" s="2">
        <v>0.0</v>
      </c>
      <c r="D39" s="2">
        <v>0.0</v>
      </c>
      <c r="E39" s="2">
        <v>0.0</v>
      </c>
      <c r="F39" s="2">
        <v>0.0</v>
      </c>
      <c r="G39" s="2">
        <v>0.0</v>
      </c>
      <c r="H39" s="12">
        <f>IFERROR(__xludf.DUMMYFUNCTION("HLOOKUP($A39,IMPORTRANGE(""https://docs.google.com/spreadsheets/d/19gjAD4NwTXl_QoKUuwHQ1cWG_S2BOW94pDcyFtPwheg/edit#gid=1009263986"",""'Game 6'!$B$2:$Q$34""),33,False)"),0.0)</f>
        <v>0</v>
      </c>
      <c r="I39" s="12">
        <f>IFERROR(__xludf.DUMMYFUNCTION("HLOOKUP($A39,IMPORTRANGE(""https://docs.google.com/spreadsheets/d/1l83w8bH-F1czkFOqsgQy6o8O33Jb4Pfg40W0ou2nk0k/edit#gid=0"",""'Game 12'!$B$2:$Q$34""),33,False)"),0.0)</f>
        <v>0</v>
      </c>
      <c r="J39" s="12">
        <f>IFERROR(__xludf.DUMMYFUNCTION("HLOOKUP($A39,IMPORTRANGE(""https://docs.google.com/spreadsheets/d/15X-ub7GvrCQZ3UGgyogcjwYdxG-Ng8WHxzGSj1Z3eLw/edit#gid=0"",""'Game 10'!$B$2:$Q$34""),33,False)"),0.0)</f>
        <v>0</v>
      </c>
      <c r="K39" s="12">
        <f>IFERROR(__xludf.DUMMYFUNCTION("IFERROR(HLOOKUP($A39,IMPORTRANGE(""https://docs.google.com/spreadsheets/d/194Bw3ABslPPhOOPvVoMzIk8sOQFICWBu2pydWdYMD-w/edit#gid=0"",""'Game 7'!$B$2:$Q$29""),28,False),1)"),0.0)</f>
        <v>0</v>
      </c>
      <c r="L39" s="12">
        <f>IFERROR(__xludf.DUMMYFUNCTION("IFERROR(HLOOKUP($A39,IMPORTRANGE(""https://docs.google.com/spreadsheets/d/1F2Bi6K_I1K9xRxY5qb-bNRo5m-Kw7udpF1OaTHhrxjs/edit#gid=0"",""'Game 10'!$B$2:$Q$34""),33,False),1)"),0.0)</f>
        <v>0</v>
      </c>
      <c r="M39" s="12">
        <f>IFERROR(__xludf.DUMMYFUNCTION("IFERROR(HLOOKUP($A39,IMPORTRANGE(""https://docs.google.com/spreadsheets/d/1NDNgi_Ny4dRhc2A3UMIIkalN-V6EmsvxOfDzMRQlQ40/edit#gid=0"",""'Game 9'!$B$2:$Q$34""),33,False),1)"),0.0)</f>
        <v>0</v>
      </c>
      <c r="N39" s="12">
        <f>IFERROR(__xludf.DUMMYFUNCTION("IFERROR(HLOOKUP($A39,IMPORTRANGE(""https://docs.google.com/spreadsheets/d/1UDYA3-RrkJNLa2ZLH1NnUjKyfCoiSODmgVL_Au_zt-Y/edit#gid=0"",""'Game 7'!$B$2:$Q$34""),33,False),1)"),0.0)</f>
        <v>0</v>
      </c>
      <c r="O39" s="12">
        <f>IFERROR(__xludf.DUMMYFUNCTION("IFERROR(HLOOKUP($A39,IMPORTRANGE(""https://docs.google.com/spreadsheets/d/1fvo6H94Wcffp6c4N9g3JKCW6y2ZlijPxdOsNz7xdBhw/edit#gid=0"",""'Game 9'!$B$2:$Q$34""),33,False),1)"),0.0)</f>
        <v>0</v>
      </c>
      <c r="P39" s="12">
        <f>IFERROR(__xludf.DUMMYFUNCTION("IFERROR(HLOOKUP($A39,IMPORTRANGE(""https://docs.google.com/spreadsheets/d/1wfQePArl-A-5QJe5xAufoOnzeNLVSoHCRcmpZ_FMdns/edit#gid=0"",""'Game 3'!$B$2:$Q$34""),33,False),1)"),0.0)</f>
        <v>0</v>
      </c>
      <c r="Q39" s="12">
        <f>IFERROR(__xludf.DUMMYFUNCTION("IFERROR(HLOOKUP($A39,IMPORTRANGE(""https://docs.google.com/spreadsheets/d/1wydNznS0hZhVh3oGSdiCZSsReuqMT7Xaw718ix58zAI/edit#gid=0"",""'Game 2'!$B$2:$Q$34""),33,False),1)"),0.0)</f>
        <v>0</v>
      </c>
      <c r="R39" s="13">
        <f>TUHComp!R39</f>
        <v>103</v>
      </c>
      <c r="S39" s="13">
        <f t="shared" si="1"/>
        <v>0</v>
      </c>
      <c r="T39" s="13">
        <f t="shared" si="2"/>
        <v>0</v>
      </c>
      <c r="U39" s="13">
        <f t="shared" si="3"/>
        <v>104</v>
      </c>
    </row>
    <row r="40">
      <c r="A40" s="4" t="s">
        <v>119</v>
      </c>
      <c r="B40" s="4" t="s">
        <v>120</v>
      </c>
      <c r="C40" s="3">
        <v>0.0</v>
      </c>
      <c r="D40" s="3">
        <v>0.0</v>
      </c>
      <c r="E40" s="3">
        <v>20.0</v>
      </c>
      <c r="F40" s="3">
        <v>4.0</v>
      </c>
      <c r="G40" s="3">
        <v>8.0</v>
      </c>
      <c r="H40" s="5">
        <f>IFERROR(__xludf.DUMMYFUNCTION("HLOOKUP($A40,IMPORTRANGE(""https://docs.google.com/spreadsheets/d/19gjAD4NwTXl_QoKUuwHQ1cWG_S2BOW94pDcyFtPwheg/edit#gid=1009263986"",""'Game 11'!$B$2:$Q$34""),33,False)"),12.0)</f>
        <v>12</v>
      </c>
      <c r="I40" s="5">
        <f>IFERROR(__xludf.DUMMYFUNCTION("HLOOKUP($A40,IMPORTRANGE(""https://docs.google.com/spreadsheets/d/1l83w8bH-F1czkFOqsgQy6o8O33Jb4Pfg40W0ou2nk0k/edit#gid=0"",""'Game 8'!$B$2:$Q$34""),33,False)"),12.0)</f>
        <v>12</v>
      </c>
      <c r="J40" s="5">
        <f>IFERROR(__xludf.DUMMYFUNCTION("HLOOKUP($A40,IMPORTRANGE(""https://docs.google.com/spreadsheets/d/15X-ub7GvrCQZ3UGgyogcjwYdxG-Ng8WHxzGSj1Z3eLw/edit#gid=0"",""'Game 5'!$B$2:$Q$34""),33,False)"),12.0)</f>
        <v>12</v>
      </c>
      <c r="K40" s="5">
        <f>IFERROR(__xludf.DUMMYFUNCTION("IFERROR(HLOOKUP($A40,IMPORTRANGE(""https://docs.google.com/spreadsheets/d/194Bw3ABslPPhOOPvVoMzIk8sOQFICWBu2pydWdYMD-w/edit#gid=0"",""'Game 12'!$B$2:$Q$34""),33,False),1)"),4.0)</f>
        <v>4</v>
      </c>
      <c r="L40" s="5">
        <f>IFERROR(__xludf.DUMMYFUNCTION("IFERROR(HLOOKUP($A40,IMPORTRANGE(""https://docs.google.com/spreadsheets/d/1F2Bi6K_I1K9xRxY5qb-bNRo5m-Kw7udpF1OaTHhrxjs/edit#gid=0"",""'Game 12'!$B$2:$Q$34""),33,False),1)"),8.0)</f>
        <v>8</v>
      </c>
      <c r="M40" s="5">
        <f>IFERROR(__xludf.DUMMYFUNCTION("IFERROR(HLOOKUP($A40,IMPORTRANGE(""https://docs.google.com/spreadsheets/d/1NDNgi_Ny4dRhc2A3UMIIkalN-V6EmsvxOfDzMRQlQ40/edit#gid=0"",""'Game 3'!$B$2:$Q$34""),33,False),1)"),-4.0)</f>
        <v>-4</v>
      </c>
      <c r="N40" s="5">
        <f>IFERROR(__xludf.DUMMYFUNCTION("IFERROR(HLOOKUP($A40,IMPORTRANGE(""https://docs.google.com/spreadsheets/d/1UDYA3-RrkJNLa2ZLH1NnUjKyfCoiSODmgVL_Au_zt-Y/edit#gid=0"",""'Game 10'!$B$2:$Q$34""),33,False),1)"),0.0)</f>
        <v>0</v>
      </c>
      <c r="O40" s="5">
        <f>IFERROR(__xludf.DUMMYFUNCTION("IFERROR(HLOOKUP($A40,IMPORTRANGE(""https://docs.google.com/spreadsheets/d/1fvo6H94Wcffp6c4N9g3JKCW6y2ZlijPxdOsNz7xdBhw/edit#gid=0"",""'Game 12'!$B$2:$Q$34""),33,False),1)"),12.0)</f>
        <v>12</v>
      </c>
      <c r="P40" s="5">
        <f>IFERROR(__xludf.DUMMYFUNCTION("IFERROR(HLOOKUP($A40,IMPORTRANGE(""https://docs.google.com/spreadsheets/d/1wfQePArl-A-5QJe5xAufoOnzeNLVSoHCRcmpZ_FMdns/edit#gid=0"",""'Game 2'!$B$2:$Q$34""),33,False),1)"),8.0)</f>
        <v>8</v>
      </c>
      <c r="Q40" s="5">
        <f>IFERROR(__xludf.DUMMYFUNCTION("IFERROR(HLOOKUP($A40,IMPORTRANGE(""https://docs.google.com/spreadsheets/d/1wydNznS0hZhVh3oGSdiCZSsReuqMT7Xaw718ix58zAI/edit#gid=0"",""'Game 4'!$B$2:$Q$34""),33,False),1)"),4.0)</f>
        <v>4</v>
      </c>
      <c r="R40" s="6">
        <f>TUHComp!R40</f>
        <v>345</v>
      </c>
      <c r="S40" s="6">
        <f t="shared" si="1"/>
        <v>100</v>
      </c>
      <c r="T40" s="6">
        <f t="shared" si="2"/>
        <v>6.666666667</v>
      </c>
      <c r="U40" s="6">
        <f t="shared" si="3"/>
        <v>40</v>
      </c>
    </row>
    <row r="41">
      <c r="A41" s="19" t="s">
        <v>122</v>
      </c>
      <c r="B41" s="9" t="s">
        <v>120</v>
      </c>
      <c r="C41" s="2">
        <v>20.0</v>
      </c>
      <c r="D41" s="2">
        <v>8.0</v>
      </c>
      <c r="E41" s="2">
        <v>4.0</v>
      </c>
      <c r="F41" s="2">
        <v>8.0</v>
      </c>
      <c r="G41" s="2">
        <v>12.0</v>
      </c>
      <c r="H41" s="12">
        <f>IFERROR(__xludf.DUMMYFUNCTION("HLOOKUP($A41,IMPORTRANGE(""https://docs.google.com/spreadsheets/d/19gjAD4NwTXl_QoKUuwHQ1cWG_S2BOW94pDcyFtPwheg/edit#gid=1009263986"",""'Game 11'!$B$2:$Q$34""),33,False)"),16.0)</f>
        <v>16</v>
      </c>
      <c r="I41" s="12">
        <f>IFERROR(__xludf.DUMMYFUNCTION("HLOOKUP($A41,IMPORTRANGE(""https://docs.google.com/spreadsheets/d/1l83w8bH-F1czkFOqsgQy6o8O33Jb4Pfg40W0ou2nk0k/edit#gid=0"",""'Game 8'!$B$2:$Q$34""),33,False)"),16.0)</f>
        <v>16</v>
      </c>
      <c r="J41" s="12">
        <f>IFERROR(__xludf.DUMMYFUNCTION("HLOOKUP($A41,IMPORTRANGE(""https://docs.google.com/spreadsheets/d/15X-ub7GvrCQZ3UGgyogcjwYdxG-Ng8WHxzGSj1Z3eLw/edit#gid=0"",""'Game 5'!$B$2:$Q$34""),33,False)"),4.0)</f>
        <v>4</v>
      </c>
      <c r="K41" s="12">
        <f>IFERROR(__xludf.DUMMYFUNCTION("IFERROR(HLOOKUP($A41,IMPORTRANGE(""https://docs.google.com/spreadsheets/d/194Bw3ABslPPhOOPvVoMzIk8sOQFICWBu2pydWdYMD-w/edit#gid=0"",""'Game 12'!$B$2:$Q$34""),33,False),1)"),4.0)</f>
        <v>4</v>
      </c>
      <c r="L41" s="12">
        <f>IFERROR(__xludf.DUMMYFUNCTION("IFERROR(HLOOKUP($A41,IMPORTRANGE(""https://docs.google.com/spreadsheets/d/1F2Bi6K_I1K9xRxY5qb-bNRo5m-Kw7udpF1OaTHhrxjs/edit#gid=0"",""'Game 12'!$B$2:$Q$34""),33,False),1)"),4.0)</f>
        <v>4</v>
      </c>
      <c r="M41" s="12">
        <f>IFERROR(__xludf.DUMMYFUNCTION("IFERROR(HLOOKUP($A41,IMPORTRANGE(""https://docs.google.com/spreadsheets/d/1NDNgi_Ny4dRhc2A3UMIIkalN-V6EmsvxOfDzMRQlQ40/edit#gid=0"",""'Game 3'!$B$2:$Q$34""),33,False),1)"),0.0)</f>
        <v>0</v>
      </c>
      <c r="N41" s="12">
        <f>IFERROR(__xludf.DUMMYFUNCTION("IFERROR(HLOOKUP($A41,IMPORTRANGE(""https://docs.google.com/spreadsheets/d/1UDYA3-RrkJNLa2ZLH1NnUjKyfCoiSODmgVL_Au_zt-Y/edit#gid=0"",""'Game 10'!$B$2:$Q$34""),33,False),1)"),8.0)</f>
        <v>8</v>
      </c>
      <c r="O41" s="12">
        <f>IFERROR(__xludf.DUMMYFUNCTION("IFERROR(HLOOKUP($A41,IMPORTRANGE(""https://docs.google.com/spreadsheets/d/1fvo6H94Wcffp6c4N9g3JKCW6y2ZlijPxdOsNz7xdBhw/edit#gid=0"",""'Game 12'!$B$2:$Q$34""),33,False),1)"),4.0)</f>
        <v>4</v>
      </c>
      <c r="P41" s="12">
        <f>IFERROR(__xludf.DUMMYFUNCTION("IFERROR(HLOOKUP($A41,IMPORTRANGE(""https://docs.google.com/spreadsheets/d/1wfQePArl-A-5QJe5xAufoOnzeNLVSoHCRcmpZ_FMdns/edit#gid=0"",""'Game 2'!$B$2:$Q$34""),33,False),1)"),12.0)</f>
        <v>12</v>
      </c>
      <c r="Q41" s="12">
        <f>IFERROR(__xludf.DUMMYFUNCTION("IFERROR(HLOOKUP($A41,IMPORTRANGE(""https://docs.google.com/spreadsheets/d/1wydNznS0hZhVh3oGSdiCZSsReuqMT7Xaw718ix58zAI/edit#gid=0"",""'Game 4'!$B$2:$Q$34""),33,False),1)"),0.0)</f>
        <v>0</v>
      </c>
      <c r="R41" s="13">
        <f>TUHComp!R41</f>
        <v>345</v>
      </c>
      <c r="S41" s="13">
        <f t="shared" si="1"/>
        <v>120</v>
      </c>
      <c r="T41" s="13">
        <f t="shared" si="2"/>
        <v>8</v>
      </c>
      <c r="U41" s="13">
        <f t="shared" si="3"/>
        <v>38</v>
      </c>
    </row>
    <row r="42">
      <c r="A42" s="4" t="s">
        <v>126</v>
      </c>
      <c r="B42" s="16" t="s">
        <v>120</v>
      </c>
      <c r="C42" s="3">
        <v>8.0</v>
      </c>
      <c r="D42" s="3">
        <v>4.0</v>
      </c>
      <c r="E42" s="3">
        <v>16.0</v>
      </c>
      <c r="F42" s="3">
        <v>0.0</v>
      </c>
      <c r="G42" s="3">
        <v>16.0</v>
      </c>
      <c r="H42" s="5">
        <f>IFERROR(__xludf.DUMMYFUNCTION("HLOOKUP($A42,IMPORTRANGE(""https://docs.google.com/spreadsheets/d/19gjAD4NwTXl_QoKUuwHQ1cWG_S2BOW94pDcyFtPwheg/edit#gid=1009263986"",""'Game 11'!$B$2:$Q$34""),33,False)"),4.0)</f>
        <v>4</v>
      </c>
      <c r="I42" s="5">
        <f>IFERROR(__xludf.DUMMYFUNCTION("HLOOKUP($A42,IMPORTRANGE(""https://docs.google.com/spreadsheets/d/1l83w8bH-F1czkFOqsgQy6o8O33Jb4Pfg40W0ou2nk0k/edit#gid=0"",""'Game 8'!$B$2:$Q$34""),33,False)"),8.0)</f>
        <v>8</v>
      </c>
      <c r="J42" s="5">
        <f>IFERROR(__xludf.DUMMYFUNCTION("HLOOKUP($A42,IMPORTRANGE(""https://docs.google.com/spreadsheets/d/15X-ub7GvrCQZ3UGgyogcjwYdxG-Ng8WHxzGSj1Z3eLw/edit#gid=0"",""'Game 5'!$B$2:$Q$34""),33,False)"),8.0)</f>
        <v>8</v>
      </c>
      <c r="K42" s="5">
        <f>IFERROR(__xludf.DUMMYFUNCTION("IFERROR(HLOOKUP($A42,IMPORTRANGE(""https://docs.google.com/spreadsheets/d/194Bw3ABslPPhOOPvVoMzIk8sOQFICWBu2pydWdYMD-w/edit#gid=0"",""'Game 12'!$B$2:$Q$34""),33,False),1)"),8.0)</f>
        <v>8</v>
      </c>
      <c r="L42" s="5">
        <f>IFERROR(__xludf.DUMMYFUNCTION("IFERROR(HLOOKUP($A42,IMPORTRANGE(""https://docs.google.com/spreadsheets/d/1F2Bi6K_I1K9xRxY5qb-bNRo5m-Kw7udpF1OaTHhrxjs/edit#gid=0"",""'Game 12'!$B$2:$Q$34""),33,False),1)"),20.0)</f>
        <v>20</v>
      </c>
      <c r="M42" s="5">
        <f>IFERROR(__xludf.DUMMYFUNCTION("IFERROR(HLOOKUP($A42,IMPORTRANGE(""https://docs.google.com/spreadsheets/d/1NDNgi_Ny4dRhc2A3UMIIkalN-V6EmsvxOfDzMRQlQ40/edit#gid=0"",""'Game 3'!$B$2:$Q$34""),33,False),1)"),4.0)</f>
        <v>4</v>
      </c>
      <c r="N42" s="5">
        <f>IFERROR(__xludf.DUMMYFUNCTION("IFERROR(HLOOKUP($A42,IMPORTRANGE(""https://docs.google.com/spreadsheets/d/1UDYA3-RrkJNLa2ZLH1NnUjKyfCoiSODmgVL_Au_zt-Y/edit#gid=0"",""'Game 10'!$B$2:$Q$34""),33,False),1)"),16.0)</f>
        <v>16</v>
      </c>
      <c r="O42" s="5">
        <f>IFERROR(__xludf.DUMMYFUNCTION("IFERROR(HLOOKUP($A42,IMPORTRANGE(""https://docs.google.com/spreadsheets/d/1fvo6H94Wcffp6c4N9g3JKCW6y2ZlijPxdOsNz7xdBhw/edit#gid=0"",""'Game 12'!$B$2:$Q$34""),33,False),1)"),4.0)</f>
        <v>4</v>
      </c>
      <c r="P42" s="5">
        <f>IFERROR(__xludf.DUMMYFUNCTION("IFERROR(HLOOKUP($A42,IMPORTRANGE(""https://docs.google.com/spreadsheets/d/1wfQePArl-A-5QJe5xAufoOnzeNLVSoHCRcmpZ_FMdns/edit#gid=0"",""'Game 2'!$B$2:$Q$34""),33,False),1)"),12.0)</f>
        <v>12</v>
      </c>
      <c r="Q42" s="5">
        <f>IFERROR(__xludf.DUMMYFUNCTION("IFERROR(HLOOKUP($A42,IMPORTRANGE(""https://docs.google.com/spreadsheets/d/1wydNznS0hZhVh3oGSdiCZSsReuqMT7Xaw718ix58zAI/edit#gid=0"",""'Game 4'!$B$2:$Q$34""),33,False),1)"),8.0)</f>
        <v>8</v>
      </c>
      <c r="R42" s="6">
        <f>TUHComp!R42</f>
        <v>345</v>
      </c>
      <c r="S42" s="6">
        <f t="shared" si="1"/>
        <v>136</v>
      </c>
      <c r="T42" s="6">
        <f t="shared" si="2"/>
        <v>9.066666667</v>
      </c>
      <c r="U42" s="6">
        <f t="shared" si="3"/>
        <v>32</v>
      </c>
    </row>
    <row r="43">
      <c r="A43" s="8" t="s">
        <v>128</v>
      </c>
      <c r="B43" s="9" t="s">
        <v>120</v>
      </c>
      <c r="C43" s="2">
        <v>16.0</v>
      </c>
      <c r="D43" s="2">
        <v>8.0</v>
      </c>
      <c r="E43" s="2">
        <v>-4.0</v>
      </c>
      <c r="F43" s="2">
        <v>-4.0</v>
      </c>
      <c r="G43" s="2">
        <v>8.0</v>
      </c>
      <c r="H43" s="12">
        <f>IFERROR(__xludf.DUMMYFUNCTION("HLOOKUP($A43,IMPORTRANGE(""https://docs.google.com/spreadsheets/d/19gjAD4NwTXl_QoKUuwHQ1cWG_S2BOW94pDcyFtPwheg/edit#gid=1009263986"",""'Game 11'!$B$2:$Q$34""),33,False)"),0.0)</f>
        <v>0</v>
      </c>
      <c r="I43" s="12">
        <f>IFERROR(__xludf.DUMMYFUNCTION("HLOOKUP($A43,IMPORTRANGE(""https://docs.google.com/spreadsheets/d/1l83w8bH-F1czkFOqsgQy6o8O33Jb4Pfg40W0ou2nk0k/edit#gid=0"",""'Game 8'!$B$2:$Q$34""),33,False)"),0.0)</f>
        <v>0</v>
      </c>
      <c r="J43" s="12">
        <f>IFERROR(__xludf.DUMMYFUNCTION("HLOOKUP($A43,IMPORTRANGE(""https://docs.google.com/spreadsheets/d/15X-ub7GvrCQZ3UGgyogcjwYdxG-Ng8WHxzGSj1Z3eLw/edit#gid=0"",""'Game 5'!$B$2:$Q$34""),33,False)"),4.0)</f>
        <v>4</v>
      </c>
      <c r="K43" s="12">
        <f>IFERROR(__xludf.DUMMYFUNCTION("IFERROR(HLOOKUP($A43,IMPORTRANGE(""https://docs.google.com/spreadsheets/d/194Bw3ABslPPhOOPvVoMzIk8sOQFICWBu2pydWdYMD-w/edit#gid=0"",""'Game 12'!$B$2:$Q$34""),33,False),1)"),4.0)</f>
        <v>4</v>
      </c>
      <c r="L43" s="12">
        <f>IFERROR(__xludf.DUMMYFUNCTION("IFERROR(HLOOKUP($A43,IMPORTRANGE(""https://docs.google.com/spreadsheets/d/1F2Bi6K_I1K9xRxY5qb-bNRo5m-Kw7udpF1OaTHhrxjs/edit#gid=0"",""'Game 12'!$B$2:$Q$34""),33,False),1)"),4.0)</f>
        <v>4</v>
      </c>
      <c r="M43" s="12">
        <f>IFERROR(__xludf.DUMMYFUNCTION("IFERROR(HLOOKUP($A43,IMPORTRANGE(""https://docs.google.com/spreadsheets/d/1NDNgi_Ny4dRhc2A3UMIIkalN-V6EmsvxOfDzMRQlQ40/edit#gid=0"",""'Game 3'!$B$2:$Q$34""),33,False),1)"),8.0)</f>
        <v>8</v>
      </c>
      <c r="N43" s="12">
        <f>IFERROR(__xludf.DUMMYFUNCTION("IFERROR(HLOOKUP($A43,IMPORTRANGE(""https://docs.google.com/spreadsheets/d/1UDYA3-RrkJNLa2ZLH1NnUjKyfCoiSODmgVL_Au_zt-Y/edit#gid=0"",""'Game 10'!$B$2:$Q$34""),33,False),1)"),4.0)</f>
        <v>4</v>
      </c>
      <c r="O43" s="12">
        <f>IFERROR(__xludf.DUMMYFUNCTION("IFERROR(HLOOKUP($A43,IMPORTRANGE(""https://docs.google.com/spreadsheets/d/1fvo6H94Wcffp6c4N9g3JKCW6y2ZlijPxdOsNz7xdBhw/edit#gid=0"",""'Game 12'!$B$2:$Q$34""),33,False),1)"),4.0)</f>
        <v>4</v>
      </c>
      <c r="P43" s="12">
        <f>IFERROR(__xludf.DUMMYFUNCTION("IFERROR(HLOOKUP($A43,IMPORTRANGE(""https://docs.google.com/spreadsheets/d/1wfQePArl-A-5QJe5xAufoOnzeNLVSoHCRcmpZ_FMdns/edit#gid=0"",""'Game 2'!$B$2:$Q$34""),33,False),1)"),12.0)</f>
        <v>12</v>
      </c>
      <c r="Q43" s="12">
        <f>IFERROR(__xludf.DUMMYFUNCTION("IFERROR(HLOOKUP($A43,IMPORTRANGE(""https://docs.google.com/spreadsheets/d/1wydNznS0hZhVh3oGSdiCZSsReuqMT7Xaw718ix58zAI/edit#gid=0"",""'Game 4'!$B$2:$Q$34""),33,False),1)"),8.0)</f>
        <v>8</v>
      </c>
      <c r="R43" s="13">
        <f>TUHComp!R43</f>
        <v>345</v>
      </c>
      <c r="S43" s="13">
        <f t="shared" si="1"/>
        <v>72</v>
      </c>
      <c r="T43" s="13">
        <f t="shared" si="2"/>
        <v>4.8</v>
      </c>
      <c r="U43" s="13">
        <f t="shared" si="3"/>
        <v>53</v>
      </c>
    </row>
    <row r="44">
      <c r="A44" s="4" t="s">
        <v>130</v>
      </c>
      <c r="B44" s="4" t="s">
        <v>131</v>
      </c>
      <c r="C44" s="3">
        <v>4.0</v>
      </c>
      <c r="D44" s="3">
        <v>0.0</v>
      </c>
      <c r="E44" s="3">
        <v>0.0</v>
      </c>
      <c r="F44" s="3">
        <v>0.0</v>
      </c>
      <c r="G44" s="3">
        <v>0.0</v>
      </c>
      <c r="H44" s="5">
        <f>IFERROR(__xludf.DUMMYFUNCTION("HLOOKUP($A44,IMPORTRANGE(""https://docs.google.com/spreadsheets/d/19gjAD4NwTXl_QoKUuwHQ1cWG_S2BOW94pDcyFtPwheg/edit#gid=1009263986"",""'Game 12'!$B$2:$Q$34""),33,False)"),0.0)</f>
        <v>0</v>
      </c>
      <c r="I44" s="5">
        <f>IFERROR(__xludf.DUMMYFUNCTION("HLOOKUP($A44,IMPORTRANGE(""https://docs.google.com/spreadsheets/d/1l83w8bH-F1czkFOqsgQy6o8O33Jb4Pfg40W0ou2nk0k/edit#gid=0"",""'Game 7'!$B$2:$Q$34""),33,False)"),0.0)</f>
        <v>0</v>
      </c>
      <c r="J44" s="5">
        <f>IFERROR(__xludf.DUMMYFUNCTION("HLOOKUP($A44,IMPORTRANGE(""https://docs.google.com/spreadsheets/d/15X-ub7GvrCQZ3UGgyogcjwYdxG-Ng8WHxzGSj1Z3eLw/edit#gid=0"",""'Game 7'!$B$2:$Q$34""),33,False)"),0.0)</f>
        <v>0</v>
      </c>
      <c r="K44" s="5">
        <f>IFERROR(__xludf.DUMMYFUNCTION("IFERROR(HLOOKUP($A44,IMPORTRANGE(""https://docs.google.com/spreadsheets/d/194Bw3ABslPPhOOPvVoMzIk8sOQFICWBu2pydWdYMD-w/edit#gid=0"",""'Game 2'!$B$2:$Q$29""),28,False),1)"),4.0)</f>
        <v>4</v>
      </c>
      <c r="L44" s="5">
        <f>IFERROR(__xludf.DUMMYFUNCTION("IFERROR(HLOOKUP($A44,IMPORTRANGE(""https://docs.google.com/spreadsheets/d/1F2Bi6K_I1K9xRxY5qb-bNRo5m-Kw7udpF1OaTHhrxjs/edit#gid=0"",""'Game 8'!$B$2:$Q$34""),33,False),1)"),0.0)</f>
        <v>0</v>
      </c>
      <c r="M44" s="5">
        <f>IFERROR(__xludf.DUMMYFUNCTION("IFERROR(HLOOKUP($A44,IMPORTRANGE(""https://docs.google.com/spreadsheets/d/1NDNgi_Ny4dRhc2A3UMIIkalN-V6EmsvxOfDzMRQlQ40/edit#gid=0"",""'Game 6'!$B$2:$Q$34""),33,False),1)"),0.0)</f>
        <v>0</v>
      </c>
      <c r="N44" s="5">
        <f>IFERROR(__xludf.DUMMYFUNCTION("IFERROR(HLOOKUP($A44,IMPORTRANGE(""https://docs.google.com/spreadsheets/d/1UDYA3-RrkJNLa2ZLH1NnUjKyfCoiSODmgVL_Au_zt-Y/edit#gid=0"",""'Game 10'!$B$2:$Q$34""),33,False),1)"),0.0)</f>
        <v>0</v>
      </c>
      <c r="O44" s="5">
        <f>IFERROR(__xludf.DUMMYFUNCTION("IFERROR(HLOOKUP($A44,IMPORTRANGE(""https://docs.google.com/spreadsheets/d/1fvo6H94Wcffp6c4N9g3JKCW6y2ZlijPxdOsNz7xdBhw/edit#gid=0"",""'Game 11'!$B$2:$Q$34""),33,False),1)"),0.0)</f>
        <v>0</v>
      </c>
      <c r="P44" s="5">
        <f>IFERROR(__xludf.DUMMYFUNCTION("IFERROR(HLOOKUP($A44,IMPORTRANGE(""https://docs.google.com/spreadsheets/d/1wfQePArl-A-5QJe5xAufoOnzeNLVSoHCRcmpZ_FMdns/edit#gid=0"",""'Game 12'!$B$2:$Q$34""),33,False),1)"),0.0)</f>
        <v>0</v>
      </c>
      <c r="Q44" s="5">
        <f>IFERROR(__xludf.DUMMYFUNCTION("IFERROR(HLOOKUP($A44,IMPORTRANGE(""https://docs.google.com/spreadsheets/d/1wydNznS0hZhVh3oGSdiCZSsReuqMT7Xaw718ix58zAI/edit#gid=0"",""'Game 10'!$B$2:$Q$34""),33,False),1)"),0.0)</f>
        <v>0</v>
      </c>
      <c r="R44" s="6">
        <f>TUHComp!R44</f>
        <v>116</v>
      </c>
      <c r="S44" s="6">
        <f t="shared" si="1"/>
        <v>8</v>
      </c>
      <c r="T44" s="6">
        <f t="shared" si="2"/>
        <v>1.586206897</v>
      </c>
      <c r="U44" s="6">
        <f t="shared" si="3"/>
        <v>88</v>
      </c>
    </row>
    <row r="45">
      <c r="A45" s="19" t="s">
        <v>133</v>
      </c>
      <c r="B45" s="9" t="s">
        <v>131</v>
      </c>
      <c r="C45" s="2">
        <v>0.0</v>
      </c>
      <c r="D45" s="2">
        <v>0.0</v>
      </c>
      <c r="E45" s="2">
        <v>0.0</v>
      </c>
      <c r="F45" s="2">
        <v>0.0</v>
      </c>
      <c r="G45" s="2">
        <v>0.0</v>
      </c>
      <c r="H45" s="12">
        <f>IFERROR(__xludf.DUMMYFUNCTION("HLOOKUP($A45,IMPORTRANGE(""https://docs.google.com/spreadsheets/d/19gjAD4NwTXl_QoKUuwHQ1cWG_S2BOW94pDcyFtPwheg/edit#gid=1009263986"",""'Game 12'!$B$2:$Q$34""),33,False)"),0.0)</f>
        <v>0</v>
      </c>
      <c r="I45" s="12">
        <f>IFERROR(__xludf.DUMMYFUNCTION("HLOOKUP($A45,IMPORTRANGE(""https://docs.google.com/spreadsheets/d/1l83w8bH-F1czkFOqsgQy6o8O33Jb4Pfg40W0ou2nk0k/edit#gid=0"",""'Game 7'!$B$2:$Q$34""),33,False)"),0.0)</f>
        <v>0</v>
      </c>
      <c r="J45" s="12">
        <f>IFERROR(__xludf.DUMMYFUNCTION("HLOOKUP($A45,IMPORTRANGE(""https://docs.google.com/spreadsheets/d/15X-ub7GvrCQZ3UGgyogcjwYdxG-Ng8WHxzGSj1Z3eLw/edit#gid=0"",""'Game 7'!$B$2:$Q$34""),33,False)"),0.0)</f>
        <v>0</v>
      </c>
      <c r="K45" s="12">
        <f>IFERROR(__xludf.DUMMYFUNCTION("IFERROR(HLOOKUP($A45,IMPORTRANGE(""https://docs.google.com/spreadsheets/d/194Bw3ABslPPhOOPvVoMzIk8sOQFICWBu2pydWdYMD-w/edit#gid=0"",""'Game 2'!$B$2:$Q$29""),28,False),1)"),0.0)</f>
        <v>0</v>
      </c>
      <c r="L45" s="12">
        <f>IFERROR(__xludf.DUMMYFUNCTION("IFERROR(HLOOKUP($A45,IMPORTRANGE(""https://docs.google.com/spreadsheets/d/1F2Bi6K_I1K9xRxY5qb-bNRo5m-Kw7udpF1OaTHhrxjs/edit#gid=0"",""'Game 8'!$B$2:$Q$34""),33,False),1)"),4.0)</f>
        <v>4</v>
      </c>
      <c r="M45" s="12">
        <f>IFERROR(__xludf.DUMMYFUNCTION("IFERROR(HLOOKUP($A45,IMPORTRANGE(""https://docs.google.com/spreadsheets/d/1NDNgi_Ny4dRhc2A3UMIIkalN-V6EmsvxOfDzMRQlQ40/edit#gid=0"",""'Game 6'!$B$2:$Q$34""),33,False),1)"),0.0)</f>
        <v>0</v>
      </c>
      <c r="N45" s="12">
        <f>IFERROR(__xludf.DUMMYFUNCTION("IFERROR(HLOOKUP($A45,IMPORTRANGE(""https://docs.google.com/spreadsheets/d/1UDYA3-RrkJNLa2ZLH1NnUjKyfCoiSODmgVL_Au_zt-Y/edit#gid=0"",""'Game 10'!$B$2:$Q$34""),33,False),1)"),0.0)</f>
        <v>0</v>
      </c>
      <c r="O45" s="12">
        <f>IFERROR(__xludf.DUMMYFUNCTION("IFERROR(HLOOKUP($A45,IMPORTRANGE(""https://docs.google.com/spreadsheets/d/1fvo6H94Wcffp6c4N9g3JKCW6y2ZlijPxdOsNz7xdBhw/edit#gid=0"",""'Game 11'!$B$2:$Q$34""),33,False),1)"),0.0)</f>
        <v>0</v>
      </c>
      <c r="P45" s="12">
        <f>IFERROR(__xludf.DUMMYFUNCTION("IFERROR(HLOOKUP($A45,IMPORTRANGE(""https://docs.google.com/spreadsheets/d/1wfQePArl-A-5QJe5xAufoOnzeNLVSoHCRcmpZ_FMdns/edit#gid=0"",""'Game 12'!$B$2:$Q$34""),33,False),1)"),0.0)</f>
        <v>0</v>
      </c>
      <c r="Q45" s="12">
        <f>IFERROR(__xludf.DUMMYFUNCTION("IFERROR(HLOOKUP($A45,IMPORTRANGE(""https://docs.google.com/spreadsheets/d/1wydNznS0hZhVh3oGSdiCZSsReuqMT7Xaw718ix58zAI/edit#gid=0"",""'Game 10'!$B$2:$Q$34""),33,False),1)"),0.0)</f>
        <v>0</v>
      </c>
      <c r="R45" s="13">
        <f>TUHComp!R45</f>
        <v>36</v>
      </c>
      <c r="S45" s="13">
        <f t="shared" si="1"/>
        <v>4</v>
      </c>
      <c r="T45" s="13">
        <f t="shared" si="2"/>
        <v>2.555555556</v>
      </c>
      <c r="U45" s="13">
        <f t="shared" si="3"/>
        <v>78</v>
      </c>
    </row>
    <row r="46">
      <c r="A46" s="23" t="s">
        <v>137</v>
      </c>
      <c r="B46" s="16" t="s">
        <v>131</v>
      </c>
      <c r="C46" s="3">
        <v>0.0</v>
      </c>
      <c r="D46" s="3">
        <v>0.0</v>
      </c>
      <c r="E46" s="3">
        <v>0.0</v>
      </c>
      <c r="F46" s="3">
        <v>4.0</v>
      </c>
      <c r="G46" s="3">
        <v>8.0</v>
      </c>
      <c r="H46" s="5">
        <f>IFERROR(__xludf.DUMMYFUNCTION("HLOOKUP($A46,IMPORTRANGE(""https://docs.google.com/spreadsheets/d/19gjAD4NwTXl_QoKUuwHQ1cWG_S2BOW94pDcyFtPwheg/edit#gid=1009263986"",""'Game 12'!$B$2:$Q$34""),33,False)"),0.0)</f>
        <v>0</v>
      </c>
      <c r="I46" s="5">
        <f>IFERROR(__xludf.DUMMYFUNCTION("HLOOKUP($A46,IMPORTRANGE(""https://docs.google.com/spreadsheets/d/1l83w8bH-F1czkFOqsgQy6o8O33Jb4Pfg40W0ou2nk0k/edit#gid=0"",""'Game 7'!$B$2:$Q$34""),33,False)"),4.0)</f>
        <v>4</v>
      </c>
      <c r="J46" s="5">
        <f>IFERROR(__xludf.DUMMYFUNCTION("HLOOKUP($A46,IMPORTRANGE(""https://docs.google.com/spreadsheets/d/15X-ub7GvrCQZ3UGgyogcjwYdxG-Ng8WHxzGSj1Z3eLw/edit#gid=0"",""'Game 7'!$B$2:$Q$34""),33,False)"),0.0)</f>
        <v>0</v>
      </c>
      <c r="K46" s="5">
        <f>IFERROR(__xludf.DUMMYFUNCTION("IFERROR(HLOOKUP($A46,IMPORTRANGE(""https://docs.google.com/spreadsheets/d/194Bw3ABslPPhOOPvVoMzIk8sOQFICWBu2pydWdYMD-w/edit#gid=0"",""'Game 2'!$B$2:$Q$29""),28,False),1)"),8.0)</f>
        <v>8</v>
      </c>
      <c r="L46" s="5">
        <f>IFERROR(__xludf.DUMMYFUNCTION("IFERROR(HLOOKUP($A46,IMPORTRANGE(""https://docs.google.com/spreadsheets/d/1F2Bi6K_I1K9xRxY5qb-bNRo5m-Kw7udpF1OaTHhrxjs/edit#gid=0"",""'Game 8'!$B$2:$Q$34""),33,False),1)"),0.0)</f>
        <v>0</v>
      </c>
      <c r="M46" s="5">
        <f>IFERROR(__xludf.DUMMYFUNCTION("IFERROR(HLOOKUP($A46,IMPORTRANGE(""https://docs.google.com/spreadsheets/d/1NDNgi_Ny4dRhc2A3UMIIkalN-V6EmsvxOfDzMRQlQ40/edit#gid=0"",""'Game 6'!$B$2:$Q$34""),33,False),1)"),0.0)</f>
        <v>0</v>
      </c>
      <c r="N46" s="5">
        <f>IFERROR(__xludf.DUMMYFUNCTION("IFERROR(HLOOKUP($A46,IMPORTRANGE(""https://docs.google.com/spreadsheets/d/1UDYA3-RrkJNLa2ZLH1NnUjKyfCoiSODmgVL_Au_zt-Y/edit#gid=0"",""'Game 10'!$B$2:$Q$34""),33,False),1)"),4.0)</f>
        <v>4</v>
      </c>
      <c r="O46" s="5">
        <f>IFERROR(__xludf.DUMMYFUNCTION("IFERROR(HLOOKUP($A46,IMPORTRANGE(""https://docs.google.com/spreadsheets/d/1fvo6H94Wcffp6c4N9g3JKCW6y2ZlijPxdOsNz7xdBhw/edit#gid=0"",""'Game 11'!$B$2:$Q$34""),33,False),1)"),0.0)</f>
        <v>0</v>
      </c>
      <c r="P46" s="5">
        <f>IFERROR(__xludf.DUMMYFUNCTION("IFERROR(HLOOKUP($A46,IMPORTRANGE(""https://docs.google.com/spreadsheets/d/1wfQePArl-A-5QJe5xAufoOnzeNLVSoHCRcmpZ_FMdns/edit#gid=0"",""'Game 12'!$B$2:$Q$34""),33,False),1)"),4.0)</f>
        <v>4</v>
      </c>
      <c r="Q46" s="5">
        <f>IFERROR(__xludf.DUMMYFUNCTION("IFERROR(HLOOKUP($A46,IMPORTRANGE(""https://docs.google.com/spreadsheets/d/1wydNznS0hZhVh3oGSdiCZSsReuqMT7Xaw718ix58zAI/edit#gid=0"",""'Game 10'!$B$2:$Q$34""),33,False),1)"),0.0)</f>
        <v>0</v>
      </c>
      <c r="R46" s="6">
        <f>TUHComp!R46</f>
        <v>217</v>
      </c>
      <c r="S46" s="6">
        <f t="shared" si="1"/>
        <v>32</v>
      </c>
      <c r="T46" s="6">
        <f t="shared" si="2"/>
        <v>3.391705069</v>
      </c>
      <c r="U46" s="6">
        <f t="shared" si="3"/>
        <v>68</v>
      </c>
    </row>
    <row r="47">
      <c r="A47" s="19" t="s">
        <v>139</v>
      </c>
      <c r="B47" s="9" t="s">
        <v>131</v>
      </c>
      <c r="C47" s="2">
        <v>0.0</v>
      </c>
      <c r="D47" s="2">
        <v>36.0</v>
      </c>
      <c r="E47" s="2">
        <v>12.0</v>
      </c>
      <c r="F47" s="2">
        <v>24.0</v>
      </c>
      <c r="G47" s="2">
        <v>48.0</v>
      </c>
      <c r="H47" s="12">
        <f>IFERROR(__xludf.DUMMYFUNCTION("HLOOKUP($A47,IMPORTRANGE(""https://docs.google.com/spreadsheets/d/19gjAD4NwTXl_QoKUuwHQ1cWG_S2BOW94pDcyFtPwheg/edit#gid=1009263986"",""'Game 12'!$B$2:$Q$34""),33,False)"),48.0)</f>
        <v>48</v>
      </c>
      <c r="I47" s="12">
        <f>IFERROR(__xludf.DUMMYFUNCTION("HLOOKUP($A47,IMPORTRANGE(""https://docs.google.com/spreadsheets/d/1l83w8bH-F1czkFOqsgQy6o8O33Jb4Pfg40W0ou2nk0k/edit#gid=0"",""'Game 7'!$B$2:$Q$34""),33,False)"),20.0)</f>
        <v>20</v>
      </c>
      <c r="J47" s="12">
        <f>IFERROR(__xludf.DUMMYFUNCTION("HLOOKUP($A47,IMPORTRANGE(""https://docs.google.com/spreadsheets/d/15X-ub7GvrCQZ3UGgyogcjwYdxG-Ng8WHxzGSj1Z3eLw/edit#gid=0"",""'Game 7'!$B$2:$Q$34""),33,False)"),36.0)</f>
        <v>36</v>
      </c>
      <c r="K47" s="12">
        <f>IFERROR(__xludf.DUMMYFUNCTION("IFERROR(HLOOKUP($A47,IMPORTRANGE(""https://docs.google.com/spreadsheets/d/194Bw3ABslPPhOOPvVoMzIk8sOQFICWBu2pydWdYMD-w/edit#gid=0"",""'Game 2'!$B$2:$Q$29""),28,False),1)"),48.0)</f>
        <v>48</v>
      </c>
      <c r="L47" s="12">
        <f>IFERROR(__xludf.DUMMYFUNCTION("IFERROR(HLOOKUP($A47,IMPORTRANGE(""https://docs.google.com/spreadsheets/d/1F2Bi6K_I1K9xRxY5qb-bNRo5m-Kw7udpF1OaTHhrxjs/edit#gid=0"",""'Game 8'!$B$2:$Q$34""),33,False),1)"),40.0)</f>
        <v>40</v>
      </c>
      <c r="M47" s="12">
        <f>IFERROR(__xludf.DUMMYFUNCTION("IFERROR(HLOOKUP($A47,IMPORTRANGE(""https://docs.google.com/spreadsheets/d/1NDNgi_Ny4dRhc2A3UMIIkalN-V6EmsvxOfDzMRQlQ40/edit#gid=0"",""'Game 6'!$B$2:$Q$34""),33,False),1)"),56.0)</f>
        <v>56</v>
      </c>
      <c r="N47" s="12">
        <f>IFERROR(__xludf.DUMMYFUNCTION("IFERROR(HLOOKUP($A47,IMPORTRANGE(""https://docs.google.com/spreadsheets/d/1UDYA3-RrkJNLa2ZLH1NnUjKyfCoiSODmgVL_Au_zt-Y/edit#gid=0"",""'Game 10'!$B$2:$Q$34""),33,False),1)"),48.0)</f>
        <v>48</v>
      </c>
      <c r="O47" s="12">
        <f>IFERROR(__xludf.DUMMYFUNCTION("IFERROR(HLOOKUP($A47,IMPORTRANGE(""https://docs.google.com/spreadsheets/d/1fvo6H94Wcffp6c4N9g3JKCW6y2ZlijPxdOsNz7xdBhw/edit#gid=0"",""'Game 11'!$B$2:$Q$34""),33,False),1)"),56.0)</f>
        <v>56</v>
      </c>
      <c r="P47" s="12">
        <f>IFERROR(__xludf.DUMMYFUNCTION("IFERROR(HLOOKUP($A47,IMPORTRANGE(""https://docs.google.com/spreadsheets/d/1wfQePArl-A-5QJe5xAufoOnzeNLVSoHCRcmpZ_FMdns/edit#gid=0"",""'Game 12'!$B$2:$Q$34""),33,False),1)"),32.0)</f>
        <v>32</v>
      </c>
      <c r="Q47" s="12">
        <f>IFERROR(__xludf.DUMMYFUNCTION("IFERROR(HLOOKUP($A47,IMPORTRANGE(""https://docs.google.com/spreadsheets/d/1wydNznS0hZhVh3oGSdiCZSsReuqMT7Xaw718ix58zAI/edit#gid=0"",""'Game 10'!$B$2:$Q$34""),33,False),1)"),20.0)</f>
        <v>20</v>
      </c>
      <c r="R47" s="13">
        <f>TUHComp!R47</f>
        <v>322</v>
      </c>
      <c r="S47" s="13">
        <f t="shared" si="1"/>
        <v>524</v>
      </c>
      <c r="T47" s="13">
        <f t="shared" si="2"/>
        <v>37.42857143</v>
      </c>
      <c r="U47" s="13">
        <f t="shared" si="3"/>
        <v>1</v>
      </c>
    </row>
    <row r="48">
      <c r="A48" s="23" t="s">
        <v>142</v>
      </c>
      <c r="B48" s="16" t="s">
        <v>131</v>
      </c>
      <c r="C48" s="3">
        <v>0.0</v>
      </c>
      <c r="D48" s="3">
        <v>0.0</v>
      </c>
      <c r="E48" s="3">
        <v>0.0</v>
      </c>
      <c r="F48" s="3">
        <v>0.0</v>
      </c>
      <c r="G48" s="3">
        <v>-4.0</v>
      </c>
      <c r="H48" s="5">
        <f>IFERROR(__xludf.DUMMYFUNCTION("HLOOKUP($A48,IMPORTRANGE(""https://docs.google.com/spreadsheets/d/19gjAD4NwTXl_QoKUuwHQ1cWG_S2BOW94pDcyFtPwheg/edit#gid=1009263986"",""'Game 12'!$B$2:$Q$34""),33,False)"),8.0)</f>
        <v>8</v>
      </c>
      <c r="I48" s="5">
        <f>IFERROR(__xludf.DUMMYFUNCTION("HLOOKUP($A48,IMPORTRANGE(""https://docs.google.com/spreadsheets/d/1l83w8bH-F1czkFOqsgQy6o8O33Jb4Pfg40W0ou2nk0k/edit#gid=0"",""'Game 7'!$B$2:$Q$34""),33,False)"),0.0)</f>
        <v>0</v>
      </c>
      <c r="J48" s="5">
        <f>IFERROR(__xludf.DUMMYFUNCTION("HLOOKUP($A48,IMPORTRANGE(""https://docs.google.com/spreadsheets/d/15X-ub7GvrCQZ3UGgyogcjwYdxG-Ng8WHxzGSj1Z3eLw/edit#gid=0"",""'Game 7'!$B$2:$Q$34""),33,False)"),4.0)</f>
        <v>4</v>
      </c>
      <c r="K48" s="5">
        <f>IFERROR(__xludf.DUMMYFUNCTION("IFERROR(HLOOKUP($A48,IMPORTRANGE(""https://docs.google.com/spreadsheets/d/194Bw3ABslPPhOOPvVoMzIk8sOQFICWBu2pydWdYMD-w/edit#gid=0"",""'Game 2'!$B$2:$Q$29""),28,False),1)"),8.0)</f>
        <v>8</v>
      </c>
      <c r="L48" s="5">
        <f>IFERROR(__xludf.DUMMYFUNCTION("IFERROR(HLOOKUP($A48,IMPORTRANGE(""https://docs.google.com/spreadsheets/d/1F2Bi6K_I1K9xRxY5qb-bNRo5m-Kw7udpF1OaTHhrxjs/edit#gid=0"",""'Game 8'!$B$2:$Q$34""),33,False),1)"),4.0)</f>
        <v>4</v>
      </c>
      <c r="M48" s="5">
        <f>IFERROR(__xludf.DUMMYFUNCTION("IFERROR(HLOOKUP($A48,IMPORTRANGE(""https://docs.google.com/spreadsheets/d/1NDNgi_Ny4dRhc2A3UMIIkalN-V6EmsvxOfDzMRQlQ40/edit#gid=0"",""'Game 6'!$B$2:$Q$34""),33,False),1)"),0.0)</f>
        <v>0</v>
      </c>
      <c r="N48" s="5">
        <f>IFERROR(__xludf.DUMMYFUNCTION("IFERROR(HLOOKUP($A48,IMPORTRANGE(""https://docs.google.com/spreadsheets/d/1UDYA3-RrkJNLa2ZLH1NnUjKyfCoiSODmgVL_Au_zt-Y/edit#gid=0"",""'Game 10'!$B$2:$Q$34""),33,False),1)"),4.0)</f>
        <v>4</v>
      </c>
      <c r="O48" s="5">
        <f>IFERROR(__xludf.DUMMYFUNCTION("IFERROR(HLOOKUP($A48,IMPORTRANGE(""https://docs.google.com/spreadsheets/d/1fvo6H94Wcffp6c4N9g3JKCW6y2ZlijPxdOsNz7xdBhw/edit#gid=0"",""'Game 11'!$B$2:$Q$34""),33,False),1)"),0.0)</f>
        <v>0</v>
      </c>
      <c r="P48" s="5">
        <f>IFERROR(__xludf.DUMMYFUNCTION("IFERROR(HLOOKUP($A48,IMPORTRANGE(""https://docs.google.com/spreadsheets/d/1wfQePArl-A-5QJe5xAufoOnzeNLVSoHCRcmpZ_FMdns/edit#gid=0"",""'Game 12'!$B$2:$Q$34""),33,False),1)"),0.0)</f>
        <v>0</v>
      </c>
      <c r="Q48" s="5">
        <f>IFERROR(__xludf.DUMMYFUNCTION("IFERROR(HLOOKUP($A48,IMPORTRANGE(""https://docs.google.com/spreadsheets/d/1wydNznS0hZhVh3oGSdiCZSsReuqMT7Xaw718ix58zAI/edit#gid=0"",""'Game 10'!$B$2:$Q$34""),33,False),1)"),0.0)</f>
        <v>0</v>
      </c>
      <c r="R48" s="6">
        <f>TUHComp!R48</f>
        <v>334</v>
      </c>
      <c r="S48" s="6">
        <f t="shared" si="1"/>
        <v>24</v>
      </c>
      <c r="T48" s="6">
        <f t="shared" si="2"/>
        <v>1.652694611</v>
      </c>
      <c r="U48" s="6">
        <f t="shared" si="3"/>
        <v>86</v>
      </c>
    </row>
    <row r="49">
      <c r="A49" s="19" t="s">
        <v>144</v>
      </c>
      <c r="B49" s="9" t="s">
        <v>131</v>
      </c>
      <c r="C49" s="2">
        <v>0.0</v>
      </c>
      <c r="D49" s="2">
        <v>0.0</v>
      </c>
      <c r="E49" s="2">
        <v>0.0</v>
      </c>
      <c r="F49" s="2">
        <v>0.0</v>
      </c>
      <c r="G49" s="2">
        <v>0.0</v>
      </c>
      <c r="H49" s="12">
        <f>IFERROR(__xludf.DUMMYFUNCTION("HLOOKUP($A49,IMPORTRANGE(""https://docs.google.com/spreadsheets/d/19gjAD4NwTXl_QoKUuwHQ1cWG_S2BOW94pDcyFtPwheg/edit#gid=1009263986"",""'Game 12'!$B$2:$Q$34""),33,False)"),0.0)</f>
        <v>0</v>
      </c>
      <c r="I49" s="12">
        <f>IFERROR(__xludf.DUMMYFUNCTION("HLOOKUP($A49,IMPORTRANGE(""https://docs.google.com/spreadsheets/d/1l83w8bH-F1czkFOqsgQy6o8O33Jb4Pfg40W0ou2nk0k/edit#gid=0"",""'Game 7'!$B$2:$Q$34""),33,False)"),0.0)</f>
        <v>0</v>
      </c>
      <c r="J49" s="12">
        <f>IFERROR(__xludf.DUMMYFUNCTION("HLOOKUP($A49,IMPORTRANGE(""https://docs.google.com/spreadsheets/d/15X-ub7GvrCQZ3UGgyogcjwYdxG-Ng8WHxzGSj1Z3eLw/edit#gid=0"",""'Game 7'!$B$2:$Q$34""),33,False)"),0.0)</f>
        <v>0</v>
      </c>
      <c r="K49" s="12">
        <f>IFERROR(__xludf.DUMMYFUNCTION("IFERROR(HLOOKUP($A49,IMPORTRANGE(""https://docs.google.com/spreadsheets/d/194Bw3ABslPPhOOPvVoMzIk8sOQFICWBu2pydWdYMD-w/edit#gid=0"",""'Game 2'!$B$2:$Q$29""),28,False),1)"),0.0)</f>
        <v>0</v>
      </c>
      <c r="L49" s="12">
        <f>IFERROR(__xludf.DUMMYFUNCTION("IFERROR(HLOOKUP($A49,IMPORTRANGE(""https://docs.google.com/spreadsheets/d/1F2Bi6K_I1K9xRxY5qb-bNRo5m-Kw7udpF1OaTHhrxjs/edit#gid=0"",""'Game 8'!$B$2:$Q$34""),33,False),1)"),0.0)</f>
        <v>0</v>
      </c>
      <c r="M49" s="12">
        <f>IFERROR(__xludf.DUMMYFUNCTION("IFERROR(HLOOKUP($A49,IMPORTRANGE(""https://docs.google.com/spreadsheets/d/1NDNgi_Ny4dRhc2A3UMIIkalN-V6EmsvxOfDzMRQlQ40/edit#gid=0"",""'Game 6'!$B$2:$Q$34""),33,False),1)"),0.0)</f>
        <v>0</v>
      </c>
      <c r="N49" s="12">
        <f>IFERROR(__xludf.DUMMYFUNCTION("IFERROR(HLOOKUP($A49,IMPORTRANGE(""https://docs.google.com/spreadsheets/d/1UDYA3-RrkJNLa2ZLH1NnUjKyfCoiSODmgVL_Au_zt-Y/edit#gid=0"",""'Game 10'!$B$2:$Q$34""),33,False),1)"),0.0)</f>
        <v>0</v>
      </c>
      <c r="O49" s="12">
        <f>IFERROR(__xludf.DUMMYFUNCTION("IFERROR(HLOOKUP($A49,IMPORTRANGE(""https://docs.google.com/spreadsheets/d/1fvo6H94Wcffp6c4N9g3JKCW6y2ZlijPxdOsNz7xdBhw/edit#gid=0"",""'Game 11'!$B$2:$Q$34""),33,False),1)"),0.0)</f>
        <v>0</v>
      </c>
      <c r="P49" s="12">
        <f>IFERROR(__xludf.DUMMYFUNCTION("IFERROR(HLOOKUP($A49,IMPORTRANGE(""https://docs.google.com/spreadsheets/d/1wfQePArl-A-5QJe5xAufoOnzeNLVSoHCRcmpZ_FMdns/edit#gid=0"",""'Game 12'!$B$2:$Q$34""),33,False),1)"),0.0)</f>
        <v>0</v>
      </c>
      <c r="Q49" s="12">
        <f>IFERROR(__xludf.DUMMYFUNCTION("IFERROR(HLOOKUP($A49,IMPORTRANGE(""https://docs.google.com/spreadsheets/d/1wydNznS0hZhVh3oGSdiCZSsReuqMT7Xaw718ix58zAI/edit#gid=0"",""'Game 10'!$B$2:$Q$34""),33,False),1)"),0.0)</f>
        <v>0</v>
      </c>
      <c r="R49" s="13">
        <f>TUHComp!R49</f>
        <v>102</v>
      </c>
      <c r="S49" s="13">
        <f t="shared" si="1"/>
        <v>0</v>
      </c>
      <c r="T49" s="13">
        <f t="shared" si="2"/>
        <v>0</v>
      </c>
      <c r="U49" s="13">
        <f t="shared" si="3"/>
        <v>104</v>
      </c>
    </row>
    <row r="50">
      <c r="A50" s="4" t="s">
        <v>146</v>
      </c>
      <c r="B50" s="16" t="s">
        <v>131</v>
      </c>
      <c r="C50" s="3">
        <v>8.0</v>
      </c>
      <c r="D50" s="3">
        <v>0.0</v>
      </c>
      <c r="E50" s="3">
        <v>0.0</v>
      </c>
      <c r="F50" s="3">
        <v>0.0</v>
      </c>
      <c r="G50" s="3">
        <v>-4.0</v>
      </c>
      <c r="H50" s="5">
        <f>IFERROR(__xludf.DUMMYFUNCTION("HLOOKUP($A50,IMPORTRANGE(""https://docs.google.com/spreadsheets/d/19gjAD4NwTXl_QoKUuwHQ1cWG_S2BOW94pDcyFtPwheg/edit#gid=1009263986"",""'Game 12'!$B$2:$Q$34""),33,False)"),0.0)</f>
        <v>0</v>
      </c>
      <c r="I50" s="5">
        <f>IFERROR(__xludf.DUMMYFUNCTION("HLOOKUP($A50,IMPORTRANGE(""https://docs.google.com/spreadsheets/d/1l83w8bH-F1czkFOqsgQy6o8O33Jb4Pfg40W0ou2nk0k/edit#gid=0"",""'Game 7'!$B$2:$Q$34""),33,False)"),0.0)</f>
        <v>0</v>
      </c>
      <c r="J50" s="5">
        <f>IFERROR(__xludf.DUMMYFUNCTION("HLOOKUP($A50,IMPORTRANGE(""https://docs.google.com/spreadsheets/d/15X-ub7GvrCQZ3UGgyogcjwYdxG-Ng8WHxzGSj1Z3eLw/edit#gid=0"",""'Game 7'!$B$2:$Q$34""),33,False)"),0.0)</f>
        <v>0</v>
      </c>
      <c r="K50" s="5">
        <f>IFERROR(__xludf.DUMMYFUNCTION("IFERROR(HLOOKUP($A50,IMPORTRANGE(""https://docs.google.com/spreadsheets/d/194Bw3ABslPPhOOPvVoMzIk8sOQFICWBu2pydWdYMD-w/edit#gid=0"",""'Game 2'!$B$2:$Q$29""),28,False),1)"),0.0)</f>
        <v>0</v>
      </c>
      <c r="L50" s="5">
        <f>IFERROR(__xludf.DUMMYFUNCTION("IFERROR(HLOOKUP($A50,IMPORTRANGE(""https://docs.google.com/spreadsheets/d/1F2Bi6K_I1K9xRxY5qb-bNRo5m-Kw7udpF1OaTHhrxjs/edit#gid=0"",""'Game 8'!$B$2:$Q$34""),33,False),1)"),0.0)</f>
        <v>0</v>
      </c>
      <c r="M50" s="5">
        <f>IFERROR(__xludf.DUMMYFUNCTION("IFERROR(HLOOKUP($A50,IMPORTRANGE(""https://docs.google.com/spreadsheets/d/1NDNgi_Ny4dRhc2A3UMIIkalN-V6EmsvxOfDzMRQlQ40/edit#gid=0"",""'Game 6'!$B$2:$Q$34""),33,False),1)"),4.0)</f>
        <v>4</v>
      </c>
      <c r="N50" s="5">
        <f>IFERROR(__xludf.DUMMYFUNCTION("IFERROR(HLOOKUP($A50,IMPORTRANGE(""https://docs.google.com/spreadsheets/d/1UDYA3-RrkJNLa2ZLH1NnUjKyfCoiSODmgVL_Au_zt-Y/edit#gid=0"",""'Game 10'!$B$2:$Q$34""),33,False),1)"),0.0)</f>
        <v>0</v>
      </c>
      <c r="O50" s="5">
        <f>IFERROR(__xludf.DUMMYFUNCTION("IFERROR(HLOOKUP($A50,IMPORTRANGE(""https://docs.google.com/spreadsheets/d/1fvo6H94Wcffp6c4N9g3JKCW6y2ZlijPxdOsNz7xdBhw/edit#gid=0"",""'Game 11'!$B$2:$Q$34""),33,False),1)"),0.0)</f>
        <v>0</v>
      </c>
      <c r="P50" s="5">
        <f>IFERROR(__xludf.DUMMYFUNCTION("IFERROR(HLOOKUP($A50,IMPORTRANGE(""https://docs.google.com/spreadsheets/d/1wfQePArl-A-5QJe5xAufoOnzeNLVSoHCRcmpZ_FMdns/edit#gid=0"",""'Game 12'!$B$2:$Q$34""),33,False),1)"),0.0)</f>
        <v>0</v>
      </c>
      <c r="Q50" s="5">
        <f>IFERROR(__xludf.DUMMYFUNCTION("IFERROR(HLOOKUP($A50,IMPORTRANGE(""https://docs.google.com/spreadsheets/d/1wydNznS0hZhVh3oGSdiCZSsReuqMT7Xaw718ix58zAI/edit#gid=0"",""'Game 10'!$B$2:$Q$34""),33,False),1)"),0.0)</f>
        <v>0</v>
      </c>
      <c r="R50" s="6">
        <f>TUHComp!R50</f>
        <v>218</v>
      </c>
      <c r="S50" s="6">
        <f t="shared" si="1"/>
        <v>8</v>
      </c>
      <c r="T50" s="6">
        <f t="shared" si="2"/>
        <v>0.8440366972</v>
      </c>
      <c r="U50" s="6">
        <f t="shared" si="3"/>
        <v>95</v>
      </c>
    </row>
    <row r="51">
      <c r="A51" s="19" t="s">
        <v>150</v>
      </c>
      <c r="B51" s="19" t="s">
        <v>151</v>
      </c>
      <c r="C51" s="2">
        <v>0.0</v>
      </c>
      <c r="D51" s="2">
        <v>0.0</v>
      </c>
      <c r="E51" s="2">
        <v>0.0</v>
      </c>
      <c r="F51" s="2">
        <v>0.0</v>
      </c>
      <c r="G51" s="2">
        <v>0.0</v>
      </c>
      <c r="H51" s="12">
        <f>IFERROR(__xludf.DUMMYFUNCTION("HLOOKUP($A51,IMPORTRANGE(""https://docs.google.com/spreadsheets/d/19gjAD4NwTXl_QoKUuwHQ1cWG_S2BOW94pDcyFtPwheg/edit#gid=1009263986"",""'Game 7'!$B$2:$Q$34""),33,False)"),0.0)</f>
        <v>0</v>
      </c>
      <c r="I51" s="12">
        <f>IFERROR(__xludf.DUMMYFUNCTION("HLOOKUP($A51,IMPORTRANGE(""https://docs.google.com/spreadsheets/d/1l83w8bH-F1czkFOqsgQy6o8O33Jb4Pfg40W0ou2nk0k/edit#gid=0"",""'Game 3'!$B$2:$Q$34""),33,False)"),0.0)</f>
        <v>0</v>
      </c>
      <c r="J51" s="12">
        <f>IFERROR(__xludf.DUMMYFUNCTION("HLOOKUP($A51,IMPORTRANGE(""https://docs.google.com/spreadsheets/d/15X-ub7GvrCQZ3UGgyogcjwYdxG-Ng8WHxzGSj1Z3eLw/edit#gid=0"",""'Game 1'!$B$2:$Q$34""),33,False)"),0.0)</f>
        <v>0</v>
      </c>
      <c r="K51" s="12">
        <f>IFERROR(__xludf.DUMMYFUNCTION("IFERROR(HLOOKUP($A51,IMPORTRANGE(""https://docs.google.com/spreadsheets/d/194Bw3ABslPPhOOPvVoMzIk8sOQFICWBu2pydWdYMD-w/edit#gid=0"",""'Game 5'!$B$2:$Q$34""),33,False),1)"),0.0)</f>
        <v>0</v>
      </c>
      <c r="L51" s="12">
        <f>IFERROR(__xludf.DUMMYFUNCTION("IFERROR(HLOOKUP($A51,IMPORTRANGE(""https://docs.google.com/spreadsheets/d/1F2Bi6K_I1K9xRxY5qb-bNRo5m-Kw7udpF1OaTHhrxjs/edit#gid=0"",""'Game 4'!$B$2:$Q$34""),33,False),1)"),0.0)</f>
        <v>0</v>
      </c>
      <c r="M51" s="12">
        <f>IFERROR(__xludf.DUMMYFUNCTION("IFERROR(HLOOKUP($A51,IMPORTRANGE(""https://docs.google.com/spreadsheets/d/1NDNgi_Ny4dRhc2A3UMIIkalN-V6EmsvxOfDzMRQlQ40/edit#gid=0"",""'Game 2'!$B$2:$Q$34""),33,False),1)"),0.0)</f>
        <v>0</v>
      </c>
      <c r="N51" s="12">
        <f>IFERROR(__xludf.DUMMYFUNCTION("IFERROR(HLOOKUP($A51,IMPORTRANGE(""https://docs.google.com/spreadsheets/d/1UDYA3-RrkJNLa2ZLH1NnUjKyfCoiSODmgVL_Au_zt-Y/edit#gid=0"",""'Game 6'!$B$2:$Q$34""),33,False),1)"),0.0)</f>
        <v>0</v>
      </c>
      <c r="O51" s="12">
        <f>IFERROR(__xludf.DUMMYFUNCTION("IFERROR(HLOOKUP($A51,IMPORTRANGE(""https://docs.google.com/spreadsheets/d/1fvo6H94Wcffp6c4N9g3JKCW6y2ZlijPxdOsNz7xdBhw/edit#gid=0"",""'Game 6'!$B$2:$Q$34""),33,False),1)"),0.0)</f>
        <v>0</v>
      </c>
      <c r="P51" s="12">
        <f>IFERROR(__xludf.DUMMYFUNCTION("IFERROR(HLOOKUP($A51,IMPORTRANGE(""https://docs.google.com/spreadsheets/d/1wfQePArl-A-5QJe5xAufoOnzeNLVSoHCRcmpZ_FMdns/edit#gid=0"",""'Game 6'!$B$2:$Q$34""),33,False),1)"),0.0)</f>
        <v>0</v>
      </c>
      <c r="Q51" s="12">
        <f>IFERROR(__xludf.DUMMYFUNCTION("IFERROR(HLOOKUP($A51,IMPORTRANGE(""https://docs.google.com/spreadsheets/d/1wydNznS0hZhVh3oGSdiCZSsReuqMT7Xaw718ix58zAI/edit#gid=0"",""'Game 7'!$B$2:$Q$34""),33,False),1)"),4.0)</f>
        <v>4</v>
      </c>
      <c r="R51" s="13">
        <f>TUHComp!R51</f>
        <v>44</v>
      </c>
      <c r="S51" s="13">
        <f t="shared" si="1"/>
        <v>4</v>
      </c>
      <c r="T51" s="13">
        <f t="shared" si="2"/>
        <v>2.090909091</v>
      </c>
      <c r="U51" s="13">
        <f t="shared" si="3"/>
        <v>82</v>
      </c>
    </row>
    <row r="52">
      <c r="A52" s="4" t="s">
        <v>153</v>
      </c>
      <c r="B52" s="16" t="s">
        <v>151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5">
        <f>IFERROR(__xludf.DUMMYFUNCTION("HLOOKUP($A52,IMPORTRANGE(""https://docs.google.com/spreadsheets/d/19gjAD4NwTXl_QoKUuwHQ1cWG_S2BOW94pDcyFtPwheg/edit#gid=1009263986"",""'Game 7'!$B$2:$Q$34""),33,False)"),0.0)</f>
        <v>0</v>
      </c>
      <c r="I52" s="5">
        <f>IFERROR(__xludf.DUMMYFUNCTION("HLOOKUP($A52,IMPORTRANGE(""https://docs.google.com/spreadsheets/d/1l83w8bH-F1czkFOqsgQy6o8O33Jb4Pfg40W0ou2nk0k/edit#gid=0"",""'Game 3'!$B$2:$Q$34""),33,False)"),0.0)</f>
        <v>0</v>
      </c>
      <c r="J52" s="5">
        <f>IFERROR(__xludf.DUMMYFUNCTION("HLOOKUP($A52,IMPORTRANGE(""https://docs.google.com/spreadsheets/d/15X-ub7GvrCQZ3UGgyogcjwYdxG-Ng8WHxzGSj1Z3eLw/edit#gid=0"",""'Game 1'!$B$2:$Q$34""),33,False)"),-4.0)</f>
        <v>-4</v>
      </c>
      <c r="K52" s="5">
        <f>IFERROR(__xludf.DUMMYFUNCTION("IFERROR(HLOOKUP($A52,IMPORTRANGE(""https://docs.google.com/spreadsheets/d/194Bw3ABslPPhOOPvVoMzIk8sOQFICWBu2pydWdYMD-w/edit#gid=0"",""'Game 5'!$B$2:$Q$34""),33,False),1)"),0.0)</f>
        <v>0</v>
      </c>
      <c r="L52" s="5">
        <f>IFERROR(__xludf.DUMMYFUNCTION("IFERROR(HLOOKUP($A52,IMPORTRANGE(""https://docs.google.com/spreadsheets/d/1F2Bi6K_I1K9xRxY5qb-bNRo5m-Kw7udpF1OaTHhrxjs/edit#gid=0"",""'Game 4'!$B$2:$Q$34""),33,False),1)"),0.0)</f>
        <v>0</v>
      </c>
      <c r="M52" s="5">
        <f>IFERROR(__xludf.DUMMYFUNCTION("IFERROR(HLOOKUP($A52,IMPORTRANGE(""https://docs.google.com/spreadsheets/d/1NDNgi_Ny4dRhc2A3UMIIkalN-V6EmsvxOfDzMRQlQ40/edit#gid=0"",""'Game 2'!$B$2:$Q$34""),33,False),1)"),0.0)</f>
        <v>0</v>
      </c>
      <c r="N52" s="5">
        <f>IFERROR(__xludf.DUMMYFUNCTION("IFERROR(HLOOKUP($A52,IMPORTRANGE(""https://docs.google.com/spreadsheets/d/1UDYA3-RrkJNLa2ZLH1NnUjKyfCoiSODmgVL_Au_zt-Y/edit#gid=0"",""'Game 6'!$B$2:$Q$34""),33,False),1)"),0.0)</f>
        <v>0</v>
      </c>
      <c r="O52" s="5">
        <f>IFERROR(__xludf.DUMMYFUNCTION("IFERROR(HLOOKUP($A52,IMPORTRANGE(""https://docs.google.com/spreadsheets/d/1fvo6H94Wcffp6c4N9g3JKCW6y2ZlijPxdOsNz7xdBhw/edit#gid=0"",""'Game 6'!$B$2:$Q$34""),33,False),1)"),0.0)</f>
        <v>0</v>
      </c>
      <c r="P52" s="5">
        <f>IFERROR(__xludf.DUMMYFUNCTION("IFERROR(HLOOKUP($A52,IMPORTRANGE(""https://docs.google.com/spreadsheets/d/1wfQePArl-A-5QJe5xAufoOnzeNLVSoHCRcmpZ_FMdns/edit#gid=0"",""'Game 6'!$B$2:$Q$34""),33,False),1)"),0.0)</f>
        <v>0</v>
      </c>
      <c r="Q52" s="5">
        <f>IFERROR(__xludf.DUMMYFUNCTION("IFERROR(HLOOKUP($A52,IMPORTRANGE(""https://docs.google.com/spreadsheets/d/1wydNznS0hZhVh3oGSdiCZSsReuqMT7Xaw718ix58zAI/edit#gid=0"",""'Game 7'!$B$2:$Q$34""),33,False),1)"),0.0)</f>
        <v>0</v>
      </c>
      <c r="R52" s="6">
        <f>TUHComp!R52</f>
        <v>265</v>
      </c>
      <c r="S52" s="6">
        <f t="shared" si="1"/>
        <v>-4</v>
      </c>
      <c r="T52" s="6">
        <f t="shared" si="2"/>
        <v>-0.3471698113</v>
      </c>
      <c r="U52" s="6">
        <f t="shared" si="3"/>
        <v>116</v>
      </c>
    </row>
    <row r="53">
      <c r="A53" s="19" t="s">
        <v>155</v>
      </c>
      <c r="B53" s="9" t="s">
        <v>151</v>
      </c>
      <c r="C53" s="2">
        <v>4.0</v>
      </c>
      <c r="D53" s="2">
        <v>20.0</v>
      </c>
      <c r="E53" s="2">
        <v>16.0</v>
      </c>
      <c r="F53" s="2">
        <v>12.0</v>
      </c>
      <c r="G53" s="2">
        <v>12.0</v>
      </c>
      <c r="H53" s="12">
        <f>IFERROR(__xludf.DUMMYFUNCTION("HLOOKUP($A53,IMPORTRANGE(""https://docs.google.com/spreadsheets/d/19gjAD4NwTXl_QoKUuwHQ1cWG_S2BOW94pDcyFtPwheg/edit#gid=1009263986"",""'Game 7'!$B$2:$Q$34""),33,False)"),20.0)</f>
        <v>20</v>
      </c>
      <c r="I53" s="12">
        <f>IFERROR(__xludf.DUMMYFUNCTION("HLOOKUP($A53,IMPORTRANGE(""https://docs.google.com/spreadsheets/d/1l83w8bH-F1czkFOqsgQy6o8O33Jb4Pfg40W0ou2nk0k/edit#gid=0"",""'Game 3'!$B$2:$Q$34""),33,False)"),8.0)</f>
        <v>8</v>
      </c>
      <c r="J53" s="12">
        <f>IFERROR(__xludf.DUMMYFUNCTION("HLOOKUP($A53,IMPORTRANGE(""https://docs.google.com/spreadsheets/d/15X-ub7GvrCQZ3UGgyogcjwYdxG-Ng8WHxzGSj1Z3eLw/edit#gid=0"",""'Game 1'!$B$2:$Q$34""),33,False)"),4.0)</f>
        <v>4</v>
      </c>
      <c r="K53" s="12">
        <f>IFERROR(__xludf.DUMMYFUNCTION("IFERROR(HLOOKUP($A53,IMPORTRANGE(""https://docs.google.com/spreadsheets/d/194Bw3ABslPPhOOPvVoMzIk8sOQFICWBu2pydWdYMD-w/edit#gid=0"",""'Game 5'!$B$2:$Q$34""),33,False),1)"),16.0)</f>
        <v>16</v>
      </c>
      <c r="L53" s="12">
        <f>IFERROR(__xludf.DUMMYFUNCTION("IFERROR(HLOOKUP($A53,IMPORTRANGE(""https://docs.google.com/spreadsheets/d/1F2Bi6K_I1K9xRxY5qb-bNRo5m-Kw7udpF1OaTHhrxjs/edit#gid=0"",""'Game 4'!$B$2:$Q$34""),33,False),1)"),4.0)</f>
        <v>4</v>
      </c>
      <c r="M53" s="12">
        <f>IFERROR(__xludf.DUMMYFUNCTION("IFERROR(HLOOKUP($A53,IMPORTRANGE(""https://docs.google.com/spreadsheets/d/1NDNgi_Ny4dRhc2A3UMIIkalN-V6EmsvxOfDzMRQlQ40/edit#gid=0"",""'Game 2'!$B$2:$Q$34""),33,False),1)"),4.0)</f>
        <v>4</v>
      </c>
      <c r="N53" s="12">
        <f>IFERROR(__xludf.DUMMYFUNCTION("IFERROR(HLOOKUP($A53,IMPORTRANGE(""https://docs.google.com/spreadsheets/d/1UDYA3-RrkJNLa2ZLH1NnUjKyfCoiSODmgVL_Au_zt-Y/edit#gid=0"",""'Game 6'!$B$2:$Q$34""),33,False),1)"),16.0)</f>
        <v>16</v>
      </c>
      <c r="O53" s="12">
        <f>IFERROR(__xludf.DUMMYFUNCTION("IFERROR(HLOOKUP($A53,IMPORTRANGE(""https://docs.google.com/spreadsheets/d/1fvo6H94Wcffp6c4N9g3JKCW6y2ZlijPxdOsNz7xdBhw/edit#gid=0"",""'Game 6'!$B$2:$Q$34""),33,False),1)"),0.0)</f>
        <v>0</v>
      </c>
      <c r="P53" s="12">
        <f>IFERROR(__xludf.DUMMYFUNCTION("IFERROR(HLOOKUP($A53,IMPORTRANGE(""https://docs.google.com/spreadsheets/d/1wfQePArl-A-5QJe5xAufoOnzeNLVSoHCRcmpZ_FMdns/edit#gid=0"",""'Game 6'!$B$2:$Q$34""),33,False),1)"),12.0)</f>
        <v>12</v>
      </c>
      <c r="Q53" s="12">
        <f>IFERROR(__xludf.DUMMYFUNCTION("IFERROR(HLOOKUP($A53,IMPORTRANGE(""https://docs.google.com/spreadsheets/d/1wydNznS0hZhVh3oGSdiCZSsReuqMT7Xaw718ix58zAI/edit#gid=0"",""'Game 7'!$B$2:$Q$34""),33,False),1)"),16.0)</f>
        <v>16</v>
      </c>
      <c r="R53" s="13">
        <f>TUHComp!R53</f>
        <v>345</v>
      </c>
      <c r="S53" s="13">
        <f t="shared" si="1"/>
        <v>164</v>
      </c>
      <c r="T53" s="13">
        <f t="shared" si="2"/>
        <v>10.93333333</v>
      </c>
      <c r="U53" s="13">
        <f t="shared" si="3"/>
        <v>23</v>
      </c>
    </row>
    <row r="54">
      <c r="A54" s="4" t="s">
        <v>158</v>
      </c>
      <c r="B54" s="16" t="s">
        <v>151</v>
      </c>
      <c r="C54" s="3">
        <v>52.0</v>
      </c>
      <c r="D54" s="3">
        <v>36.0</v>
      </c>
      <c r="E54" s="3">
        <v>20.0</v>
      </c>
      <c r="F54" s="3">
        <v>44.0</v>
      </c>
      <c r="G54" s="3">
        <v>12.0</v>
      </c>
      <c r="H54" s="5">
        <f>IFERROR(__xludf.DUMMYFUNCTION("HLOOKUP($A54,IMPORTRANGE(""https://docs.google.com/spreadsheets/d/19gjAD4NwTXl_QoKUuwHQ1cWG_S2BOW94pDcyFtPwheg/edit#gid=1009263986"",""'Game 7'!$B$2:$Q$34""),33,False)"),32.0)</f>
        <v>32</v>
      </c>
      <c r="I54" s="5">
        <f>IFERROR(__xludf.DUMMYFUNCTION("HLOOKUP($A54,IMPORTRANGE(""https://docs.google.com/spreadsheets/d/1l83w8bH-F1czkFOqsgQy6o8O33Jb4Pfg40W0ou2nk0k/edit#gid=0"",""'Game 3'!$B$2:$Q$34""),33,False)"),28.0)</f>
        <v>28</v>
      </c>
      <c r="J54" s="5">
        <f>IFERROR(__xludf.DUMMYFUNCTION("HLOOKUP($A54,IMPORTRANGE(""https://docs.google.com/spreadsheets/d/15X-ub7GvrCQZ3UGgyogcjwYdxG-Ng8WHxzGSj1Z3eLw/edit#gid=0"",""'Game 1'!$B$2:$Q$34""),33,False)"),28.0)</f>
        <v>28</v>
      </c>
      <c r="K54" s="5">
        <f>IFERROR(__xludf.DUMMYFUNCTION("IFERROR(HLOOKUP($A54,IMPORTRANGE(""https://docs.google.com/spreadsheets/d/194Bw3ABslPPhOOPvVoMzIk8sOQFICWBu2pydWdYMD-w/edit#gid=0"",""'Game 5'!$B$2:$Q$34""),33,False),1)"),20.0)</f>
        <v>20</v>
      </c>
      <c r="L54" s="5">
        <f>IFERROR(__xludf.DUMMYFUNCTION("IFERROR(HLOOKUP($A54,IMPORTRANGE(""https://docs.google.com/spreadsheets/d/1F2Bi6K_I1K9xRxY5qb-bNRo5m-Kw7udpF1OaTHhrxjs/edit#gid=0"",""'Game 4'!$B$2:$Q$34""),33,False),1)"),12.0)</f>
        <v>12</v>
      </c>
      <c r="M54" s="5">
        <f>IFERROR(__xludf.DUMMYFUNCTION("IFERROR(HLOOKUP($A54,IMPORTRANGE(""https://docs.google.com/spreadsheets/d/1NDNgi_Ny4dRhc2A3UMIIkalN-V6EmsvxOfDzMRQlQ40/edit#gid=0"",""'Game 2'!$B$2:$Q$34""),33,False),1)"),56.0)</f>
        <v>56</v>
      </c>
      <c r="N54" s="5">
        <f>IFERROR(__xludf.DUMMYFUNCTION("IFERROR(HLOOKUP($A54,IMPORTRANGE(""https://docs.google.com/spreadsheets/d/1UDYA3-RrkJNLa2ZLH1NnUjKyfCoiSODmgVL_Au_zt-Y/edit#gid=0"",""'Game 6'!$B$2:$Q$34""),33,False),1)"),64.0)</f>
        <v>64</v>
      </c>
      <c r="O54" s="5">
        <f>IFERROR(__xludf.DUMMYFUNCTION("IFERROR(HLOOKUP($A54,IMPORTRANGE(""https://docs.google.com/spreadsheets/d/1fvo6H94Wcffp6c4N9g3JKCW6y2ZlijPxdOsNz7xdBhw/edit#gid=0"",""'Game 6'!$B$2:$Q$34""),33,False),1)"),52.0)</f>
        <v>52</v>
      </c>
      <c r="P54" s="5">
        <f>IFERROR(__xludf.DUMMYFUNCTION("IFERROR(HLOOKUP($A54,IMPORTRANGE(""https://docs.google.com/spreadsheets/d/1wfQePArl-A-5QJe5xAufoOnzeNLVSoHCRcmpZ_FMdns/edit#gid=0"",""'Game 6'!$B$2:$Q$34""),33,False),1)"),28.0)</f>
        <v>28</v>
      </c>
      <c r="Q54" s="5">
        <f>IFERROR(__xludf.DUMMYFUNCTION("IFERROR(HLOOKUP($A54,IMPORTRANGE(""https://docs.google.com/spreadsheets/d/1wydNznS0hZhVh3oGSdiCZSsReuqMT7Xaw718ix58zAI/edit#gid=0"",""'Game 7'!$B$2:$Q$34""),33,False),1)"),28.0)</f>
        <v>28</v>
      </c>
      <c r="R54" s="6">
        <f>TUHComp!R54</f>
        <v>345</v>
      </c>
      <c r="S54" s="6">
        <f t="shared" si="1"/>
        <v>512</v>
      </c>
      <c r="T54" s="6">
        <f t="shared" si="2"/>
        <v>34.13333333</v>
      </c>
      <c r="U54" s="6">
        <f t="shared" si="3"/>
        <v>2</v>
      </c>
    </row>
    <row r="55">
      <c r="A55" s="19" t="s">
        <v>160</v>
      </c>
      <c r="B55" s="9" t="s">
        <v>151</v>
      </c>
      <c r="C55" s="2">
        <v>0.0</v>
      </c>
      <c r="D55" s="2">
        <v>0.0</v>
      </c>
      <c r="E55" s="2">
        <v>0.0</v>
      </c>
      <c r="F55" s="2">
        <v>0.0</v>
      </c>
      <c r="G55" s="2">
        <v>0.0</v>
      </c>
      <c r="H55" s="12">
        <f>IFERROR(__xludf.DUMMYFUNCTION("HLOOKUP($A55,IMPORTRANGE(""https://docs.google.com/spreadsheets/d/19gjAD4NwTXl_QoKUuwHQ1cWG_S2BOW94pDcyFtPwheg/edit#gid=1009263986"",""'Game 7'!$B$2:$Q$34""),33,False)"),0.0)</f>
        <v>0</v>
      </c>
      <c r="I55" s="12">
        <f>IFERROR(__xludf.DUMMYFUNCTION("HLOOKUP($A55,IMPORTRANGE(""https://docs.google.com/spreadsheets/d/1l83w8bH-F1czkFOqsgQy6o8O33Jb4Pfg40W0ou2nk0k/edit#gid=0"",""'Game 3'!$B$2:$Q$34""),33,False)"),0.0)</f>
        <v>0</v>
      </c>
      <c r="J55" s="12">
        <f>IFERROR(__xludf.DUMMYFUNCTION("HLOOKUP($A55,IMPORTRANGE(""https://docs.google.com/spreadsheets/d/15X-ub7GvrCQZ3UGgyogcjwYdxG-Ng8WHxzGSj1Z3eLw/edit#gid=0"",""'Game 1'!$B$2:$Q$34""),33,False)"),0.0)</f>
        <v>0</v>
      </c>
      <c r="K55" s="12">
        <f>IFERROR(__xludf.DUMMYFUNCTION("IFERROR(HLOOKUP($A55,IMPORTRANGE(""https://docs.google.com/spreadsheets/d/194Bw3ABslPPhOOPvVoMzIk8sOQFICWBu2pydWdYMD-w/edit#gid=0"",""'Game 5'!$B$2:$Q$34""),33,False),1)"),0.0)</f>
        <v>0</v>
      </c>
      <c r="L55" s="12">
        <f>IFERROR(__xludf.DUMMYFUNCTION("IFERROR(HLOOKUP($A55,IMPORTRANGE(""https://docs.google.com/spreadsheets/d/1F2Bi6K_I1K9xRxY5qb-bNRo5m-Kw7udpF1OaTHhrxjs/edit#gid=0"",""'Game 4'!$B$2:$Q$34""),33,False),1)"),0.0)</f>
        <v>0</v>
      </c>
      <c r="M55" s="12">
        <f>IFERROR(__xludf.DUMMYFUNCTION("IFERROR(HLOOKUP($A55,IMPORTRANGE(""https://docs.google.com/spreadsheets/d/1NDNgi_Ny4dRhc2A3UMIIkalN-V6EmsvxOfDzMRQlQ40/edit#gid=0"",""'Game 2'!$B$2:$Q$34""),33,False),1)"),0.0)</f>
        <v>0</v>
      </c>
      <c r="N55" s="12">
        <f>IFERROR(__xludf.DUMMYFUNCTION("IFERROR(HLOOKUP($A55,IMPORTRANGE(""https://docs.google.com/spreadsheets/d/1UDYA3-RrkJNLa2ZLH1NnUjKyfCoiSODmgVL_Au_zt-Y/edit#gid=0"",""'Game 6'!$B$2:$Q$34""),33,False),1)"),0.0)</f>
        <v>0</v>
      </c>
      <c r="O55" s="12">
        <f>IFERROR(__xludf.DUMMYFUNCTION("IFERROR(HLOOKUP($A55,IMPORTRANGE(""https://docs.google.com/spreadsheets/d/1fvo6H94Wcffp6c4N9g3JKCW6y2ZlijPxdOsNz7xdBhw/edit#gid=0"",""'Game 6'!$B$2:$Q$34""),33,False),1)"),0.0)</f>
        <v>0</v>
      </c>
      <c r="P55" s="12">
        <f>IFERROR(__xludf.DUMMYFUNCTION("IFERROR(HLOOKUP($A55,IMPORTRANGE(""https://docs.google.com/spreadsheets/d/1wfQePArl-A-5QJe5xAufoOnzeNLVSoHCRcmpZ_FMdns/edit#gid=0"",""'Game 6'!$B$2:$Q$34""),33,False),1)"),0.0)</f>
        <v>0</v>
      </c>
      <c r="Q55" s="12">
        <f>IFERROR(__xludf.DUMMYFUNCTION("IFERROR(HLOOKUP($A55,IMPORTRANGE(""https://docs.google.com/spreadsheets/d/1wydNznS0hZhVh3oGSdiCZSsReuqMT7Xaw718ix58zAI/edit#gid=0"",""'Game 7'!$B$2:$Q$34""),33,False),1)"),0.0)</f>
        <v>0</v>
      </c>
      <c r="R55" s="13">
        <f>TUHComp!R55</f>
        <v>254</v>
      </c>
      <c r="S55" s="13">
        <f t="shared" si="1"/>
        <v>0</v>
      </c>
      <c r="T55" s="13">
        <f t="shared" si="2"/>
        <v>0</v>
      </c>
      <c r="U55" s="13">
        <f t="shared" si="3"/>
        <v>104</v>
      </c>
    </row>
    <row r="56">
      <c r="A56" s="4" t="s">
        <v>163</v>
      </c>
      <c r="B56" s="16" t="s">
        <v>151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5">
        <f>IFERROR(__xludf.DUMMYFUNCTION("HLOOKUP($A56,IMPORTRANGE(""https://docs.google.com/spreadsheets/d/19gjAD4NwTXl_QoKUuwHQ1cWG_S2BOW94pDcyFtPwheg/edit#gid=1009263986"",""'Game 7'!$B$2:$Q$34""),33,False)"),0.0)</f>
        <v>0</v>
      </c>
      <c r="I56" s="5">
        <f>IFERROR(__xludf.DUMMYFUNCTION("HLOOKUP($A56,IMPORTRANGE(""https://docs.google.com/spreadsheets/d/1l83w8bH-F1czkFOqsgQy6o8O33Jb4Pfg40W0ou2nk0k/edit#gid=0"",""'Game 3'!$B$2:$Q$34""),33,False)"),0.0)</f>
        <v>0</v>
      </c>
      <c r="J56" s="5">
        <f>IFERROR(__xludf.DUMMYFUNCTION("HLOOKUP($A56,IMPORTRANGE(""https://docs.google.com/spreadsheets/d/15X-ub7GvrCQZ3UGgyogcjwYdxG-Ng8WHxzGSj1Z3eLw/edit#gid=0"",""'Game 1'!$B$2:$Q$34""),33,False)"),0.0)</f>
        <v>0</v>
      </c>
      <c r="K56" s="5">
        <f>IFERROR(__xludf.DUMMYFUNCTION("IFERROR(HLOOKUP($A56,IMPORTRANGE(""https://docs.google.com/spreadsheets/d/194Bw3ABslPPhOOPvVoMzIk8sOQFICWBu2pydWdYMD-w/edit#gid=0"",""'Game 5'!$B$2:$Q$34""),33,False),1)"),0.0)</f>
        <v>0</v>
      </c>
      <c r="L56" s="5">
        <f>IFERROR(__xludf.DUMMYFUNCTION("IFERROR(HLOOKUP($A56,IMPORTRANGE(""https://docs.google.com/spreadsheets/d/1F2Bi6K_I1K9xRxY5qb-bNRo5m-Kw7udpF1OaTHhrxjs/edit#gid=0"",""'Game 4'!$B$2:$Q$34""),33,False),1)"),0.0)</f>
        <v>0</v>
      </c>
      <c r="M56" s="5">
        <f>IFERROR(__xludf.DUMMYFUNCTION("IFERROR(HLOOKUP($A56,IMPORTRANGE(""https://docs.google.com/spreadsheets/d/1NDNgi_Ny4dRhc2A3UMIIkalN-V6EmsvxOfDzMRQlQ40/edit#gid=0"",""'Game 2'!$B$2:$Q$34""),33,False),1)"),0.0)</f>
        <v>0</v>
      </c>
      <c r="N56" s="5">
        <f>IFERROR(__xludf.DUMMYFUNCTION("IFERROR(HLOOKUP($A56,IMPORTRANGE(""https://docs.google.com/spreadsheets/d/1UDYA3-RrkJNLa2ZLH1NnUjKyfCoiSODmgVL_Au_zt-Y/edit#gid=0"",""'Game 6'!$B$2:$Q$34""),33,False),1)"),0.0)</f>
        <v>0</v>
      </c>
      <c r="O56" s="5">
        <f>IFERROR(__xludf.DUMMYFUNCTION("IFERROR(HLOOKUP($A56,IMPORTRANGE(""https://docs.google.com/spreadsheets/d/1fvo6H94Wcffp6c4N9g3JKCW6y2ZlijPxdOsNz7xdBhw/edit#gid=0"",""'Game 6'!$B$2:$Q$34""),33,False),1)"),0.0)</f>
        <v>0</v>
      </c>
      <c r="P56" s="5">
        <f>IFERROR(__xludf.DUMMYFUNCTION("IFERROR(HLOOKUP($A56,IMPORTRANGE(""https://docs.google.com/spreadsheets/d/1wfQePArl-A-5QJe5xAufoOnzeNLVSoHCRcmpZ_FMdns/edit#gid=0"",""'Game 6'!$B$2:$Q$34""),33,False),1)"),0.0)</f>
        <v>0</v>
      </c>
      <c r="Q56" s="5">
        <f>IFERROR(__xludf.DUMMYFUNCTION("IFERROR(HLOOKUP($A56,IMPORTRANGE(""https://docs.google.com/spreadsheets/d/1wydNznS0hZhVh3oGSdiCZSsReuqMT7Xaw718ix58zAI/edit#gid=0"",""'Game 7'!$B$2:$Q$34""),33,False),1)"),0.0)</f>
        <v>0</v>
      </c>
      <c r="R56" s="6">
        <f>TUHComp!R56</f>
        <v>127</v>
      </c>
      <c r="S56" s="6">
        <f t="shared" si="1"/>
        <v>0</v>
      </c>
      <c r="T56" s="6">
        <f t="shared" si="2"/>
        <v>0</v>
      </c>
      <c r="U56" s="6">
        <f t="shared" si="3"/>
        <v>104</v>
      </c>
    </row>
    <row r="57">
      <c r="A57" s="19" t="s">
        <v>165</v>
      </c>
      <c r="B57" s="19" t="s">
        <v>166</v>
      </c>
      <c r="C57" s="2">
        <v>-4.0</v>
      </c>
      <c r="D57" s="2">
        <v>0.0</v>
      </c>
      <c r="E57" s="2">
        <v>0.0</v>
      </c>
      <c r="F57" s="2">
        <v>4.0</v>
      </c>
      <c r="G57" s="2">
        <v>4.0</v>
      </c>
      <c r="H57" s="12">
        <f>IFERROR(__xludf.DUMMYFUNCTION("HLOOKUP($A57,IMPORTRANGE(""https://docs.google.com/spreadsheets/d/19gjAD4NwTXl_QoKUuwHQ1cWG_S2BOW94pDcyFtPwheg/edit#gid=1009263986"",""'Game 3'!$B$2:$Q$34""),33,False)"),4.0)</f>
        <v>4</v>
      </c>
      <c r="I57" s="12">
        <f>IFERROR(__xludf.DUMMYFUNCTION("HLOOKUP($A57,IMPORTRANGE(""https://docs.google.com/spreadsheets/d/1l83w8bH-F1czkFOqsgQy6o8O33Jb4Pfg40W0ou2nk0k/edit#gid=0"",""'Game 4'!$B$2:$Q$34""),33,False)"),-4.0)</f>
        <v>-4</v>
      </c>
      <c r="J57" s="12">
        <f>IFERROR(__xludf.DUMMYFUNCTION("HLOOKUP($A57,IMPORTRANGE(""https://docs.google.com/spreadsheets/d/15X-ub7GvrCQZ3UGgyogcjwYdxG-Ng8WHxzGSj1Z3eLw/edit#gid=0"",""'Game 3'!$B$2:$Q$34""),33,False)"),0.0)</f>
        <v>0</v>
      </c>
      <c r="K57" s="12">
        <f>IFERROR(__xludf.DUMMYFUNCTION("IFERROR(HLOOKUP($A57,IMPORTRANGE(""https://docs.google.com/spreadsheets/d/194Bw3ABslPPhOOPvVoMzIk8sOQFICWBu2pydWdYMD-w/edit#gid=0"",""'Game 3'!$B$2:$Q$34""),33,False),1)"),12.0)</f>
        <v>12</v>
      </c>
      <c r="L57" s="12">
        <f>IFERROR(__xludf.DUMMYFUNCTION("IFERROR(HLOOKUP($A57,IMPORTRANGE(""https://docs.google.com/spreadsheets/d/1F2Bi6K_I1K9xRxY5qb-bNRo5m-Kw7udpF1OaTHhrxjs/edit#gid=0"",""'Game 3'!$B$2:$Q$34""),33,False),1)"),-4.0)</f>
        <v>-4</v>
      </c>
      <c r="M57" s="12">
        <f>IFERROR(__xludf.DUMMYFUNCTION("IFERROR(HLOOKUP($A57,IMPORTRANGE(""https://docs.google.com/spreadsheets/d/1NDNgi_Ny4dRhc2A3UMIIkalN-V6EmsvxOfDzMRQlQ40/edit#gid=0"",""'Game 3'!$B$2:$Q$34""),33,False),1)"),8.0)</f>
        <v>8</v>
      </c>
      <c r="N57" s="12">
        <f>IFERROR(__xludf.DUMMYFUNCTION("IFERROR(HLOOKUP($A57,IMPORTRANGE(""https://docs.google.com/spreadsheets/d/1UDYA3-RrkJNLa2ZLH1NnUjKyfCoiSODmgVL_Au_zt-Y/edit#gid=0"",""'Game 2'!$B$2:$Q$34""),33,False),1)"),8.0)</f>
        <v>8</v>
      </c>
      <c r="O57" s="12">
        <f>IFERROR(__xludf.DUMMYFUNCTION("IFERROR(HLOOKUP($A57,IMPORTRANGE(""https://docs.google.com/spreadsheets/d/1fvo6H94Wcffp6c4N9g3JKCW6y2ZlijPxdOsNz7xdBhw/edit#gid=0"",""'Game 3'!$B$2:$Q$34""),33,False),1)"),4.0)</f>
        <v>4</v>
      </c>
      <c r="P57" s="12">
        <f>IFERROR(__xludf.DUMMYFUNCTION("IFERROR(HLOOKUP($A57,IMPORTRANGE(""https://docs.google.com/spreadsheets/d/1wfQePArl-A-5QJe5xAufoOnzeNLVSoHCRcmpZ_FMdns/edit#gid=0"",""'Game 3'!$B$2:$Q$34""),33,False),1)"),0.0)</f>
        <v>0</v>
      </c>
      <c r="Q57" s="12">
        <f>IFERROR(__xludf.DUMMYFUNCTION("IFERROR(HLOOKUP($A57,IMPORTRANGE(""https://docs.google.com/spreadsheets/d/1wydNznS0hZhVh3oGSdiCZSsReuqMT7Xaw718ix58zAI/edit#gid=0"",""'Game 3'!$B$2:$Q$34""),33,False),1)"),8.0)</f>
        <v>8</v>
      </c>
      <c r="R57" s="13">
        <f>TUHComp!R57</f>
        <v>345</v>
      </c>
      <c r="S57" s="13">
        <f t="shared" si="1"/>
        <v>40</v>
      </c>
      <c r="T57" s="13">
        <f t="shared" si="2"/>
        <v>2.666666667</v>
      </c>
      <c r="U57" s="13">
        <f t="shared" si="3"/>
        <v>75</v>
      </c>
    </row>
    <row r="58">
      <c r="A58" s="4" t="s">
        <v>168</v>
      </c>
      <c r="B58" s="4" t="s">
        <v>166</v>
      </c>
      <c r="C58" s="3">
        <v>32.0</v>
      </c>
      <c r="D58" s="3">
        <v>48.0</v>
      </c>
      <c r="E58" s="3">
        <v>32.0</v>
      </c>
      <c r="F58" s="3">
        <v>24.0</v>
      </c>
      <c r="G58" s="3">
        <v>28.0</v>
      </c>
      <c r="H58" s="5">
        <f>IFERROR(__xludf.DUMMYFUNCTION("HLOOKUP($A58,IMPORTRANGE(""https://docs.google.com/spreadsheets/d/19gjAD4NwTXl_QoKUuwHQ1cWG_S2BOW94pDcyFtPwheg/edit#gid=1009263986"",""'Game 3'!$B$2:$Q$34""),33,False)"),12.0)</f>
        <v>12</v>
      </c>
      <c r="I58" s="5">
        <f>IFERROR(__xludf.DUMMYFUNCTION("HLOOKUP($A58,IMPORTRANGE(""https://docs.google.com/spreadsheets/d/1l83w8bH-F1czkFOqsgQy6o8O33Jb4Pfg40W0ou2nk0k/edit#gid=0"",""'Game 4'!$B$2:$Q$34""),33,False)"),20.0)</f>
        <v>20</v>
      </c>
      <c r="J58" s="5">
        <f>IFERROR(__xludf.DUMMYFUNCTION("HLOOKUP($A58,IMPORTRANGE(""https://docs.google.com/spreadsheets/d/15X-ub7GvrCQZ3UGgyogcjwYdxG-Ng8WHxzGSj1Z3eLw/edit#gid=0"",""'Game 3'!$B$2:$Q$34""),33,False)"),24.0)</f>
        <v>24</v>
      </c>
      <c r="K58" s="5">
        <f>IFERROR(__xludf.DUMMYFUNCTION("IFERROR(HLOOKUP($A58,IMPORTRANGE(""https://docs.google.com/spreadsheets/d/194Bw3ABslPPhOOPvVoMzIk8sOQFICWBu2pydWdYMD-w/edit#gid=0"",""'Game 3'!$B$2:$Q$34""),33,False),1)"),44.0)</f>
        <v>44</v>
      </c>
      <c r="L58" s="5">
        <f>IFERROR(__xludf.DUMMYFUNCTION("IFERROR(HLOOKUP($A58,IMPORTRANGE(""https://docs.google.com/spreadsheets/d/1F2Bi6K_I1K9xRxY5qb-bNRo5m-Kw7udpF1OaTHhrxjs/edit#gid=0"",""'Game 3'!$B$2:$Q$34""),33,False),1)"),36.0)</f>
        <v>36</v>
      </c>
      <c r="M58" s="5">
        <f>IFERROR(__xludf.DUMMYFUNCTION("IFERROR(HLOOKUP($A58,IMPORTRANGE(""https://docs.google.com/spreadsheets/d/1NDNgi_Ny4dRhc2A3UMIIkalN-V6EmsvxOfDzMRQlQ40/edit#gid=0"",""'Game 3'!$B$2:$Q$34""),33,False),1)"),28.0)</f>
        <v>28</v>
      </c>
      <c r="N58" s="5">
        <f>IFERROR(__xludf.DUMMYFUNCTION("IFERROR(HLOOKUP($A58,IMPORTRANGE(""https://docs.google.com/spreadsheets/d/1UDYA3-RrkJNLa2ZLH1NnUjKyfCoiSODmgVL_Au_zt-Y/edit#gid=0"",""'Game 2'!$B$2:$Q$34""),33,False),1)"),44.0)</f>
        <v>44</v>
      </c>
      <c r="O58" s="5">
        <f>IFERROR(__xludf.DUMMYFUNCTION("IFERROR(HLOOKUP($A58,IMPORTRANGE(""https://docs.google.com/spreadsheets/d/1fvo6H94Wcffp6c4N9g3JKCW6y2ZlijPxdOsNz7xdBhw/edit#gid=0"",""'Game 3'!$B$2:$Q$34""),33,False),1)"),24.0)</f>
        <v>24</v>
      </c>
      <c r="P58" s="5">
        <f>IFERROR(__xludf.DUMMYFUNCTION("IFERROR(HLOOKUP($A58,IMPORTRANGE(""https://docs.google.com/spreadsheets/d/1wfQePArl-A-5QJe5xAufoOnzeNLVSoHCRcmpZ_FMdns/edit#gid=0"",""'Game 3'!$B$2:$Q$34""),33,False),1)"),40.0)</f>
        <v>40</v>
      </c>
      <c r="Q58" s="5">
        <f>IFERROR(__xludf.DUMMYFUNCTION("IFERROR(HLOOKUP($A58,IMPORTRANGE(""https://docs.google.com/spreadsheets/d/1wydNznS0hZhVh3oGSdiCZSsReuqMT7Xaw718ix58zAI/edit#gid=0"",""'Game 3'!$B$2:$Q$34""),33,False),1)"),24.0)</f>
        <v>24</v>
      </c>
      <c r="R58" s="6">
        <f>TUHComp!R58</f>
        <v>345</v>
      </c>
      <c r="S58" s="6">
        <f t="shared" si="1"/>
        <v>460</v>
      </c>
      <c r="T58" s="6">
        <f t="shared" si="2"/>
        <v>30.66666667</v>
      </c>
      <c r="U58" s="6">
        <f t="shared" si="3"/>
        <v>4</v>
      </c>
    </row>
    <row r="59">
      <c r="A59" s="19" t="s">
        <v>170</v>
      </c>
      <c r="B59" s="19" t="s">
        <v>166</v>
      </c>
      <c r="C59" s="2">
        <v>16.0</v>
      </c>
      <c r="D59" s="2">
        <v>12.0</v>
      </c>
      <c r="E59" s="2">
        <v>20.0</v>
      </c>
      <c r="F59" s="2">
        <v>0.0</v>
      </c>
      <c r="G59" s="2">
        <v>8.0</v>
      </c>
      <c r="H59" s="12">
        <f>IFERROR(__xludf.DUMMYFUNCTION("HLOOKUP($A59,IMPORTRANGE(""https://docs.google.com/spreadsheets/d/19gjAD4NwTXl_QoKUuwHQ1cWG_S2BOW94pDcyFtPwheg/edit#gid=1009263986"",""'Game 3'!$B$2:$Q$34""),33,False)"),0.0)</f>
        <v>0</v>
      </c>
      <c r="I59" s="12">
        <f>IFERROR(__xludf.DUMMYFUNCTION("HLOOKUP($A59,IMPORTRANGE(""https://docs.google.com/spreadsheets/d/1l83w8bH-F1czkFOqsgQy6o8O33Jb4Pfg40W0ou2nk0k/edit#gid=0"",""'Game 4'!$B$2:$Q$34""),33,False)"),0.0)</f>
        <v>0</v>
      </c>
      <c r="J59" s="12">
        <f>IFERROR(__xludf.DUMMYFUNCTION("HLOOKUP($A59,IMPORTRANGE(""https://docs.google.com/spreadsheets/d/15X-ub7GvrCQZ3UGgyogcjwYdxG-Ng8WHxzGSj1Z3eLw/edit#gid=0"",""'Game 3'!$B$2:$Q$34""),33,False)"),4.0)</f>
        <v>4</v>
      </c>
      <c r="K59" s="12">
        <f>IFERROR(__xludf.DUMMYFUNCTION("IFERROR(HLOOKUP($A59,IMPORTRANGE(""https://docs.google.com/spreadsheets/d/194Bw3ABslPPhOOPvVoMzIk8sOQFICWBu2pydWdYMD-w/edit#gid=0"",""'Game 3'!$B$2:$Q$34""),33,False),1)"),0.0)</f>
        <v>0</v>
      </c>
      <c r="L59" s="12">
        <f>IFERROR(__xludf.DUMMYFUNCTION("IFERROR(HLOOKUP($A59,IMPORTRANGE(""https://docs.google.com/spreadsheets/d/1F2Bi6K_I1K9xRxY5qb-bNRo5m-Kw7udpF1OaTHhrxjs/edit#gid=0"",""'Game 3'!$B$2:$Q$34""),33,False),1)"),8.0)</f>
        <v>8</v>
      </c>
      <c r="M59" s="12">
        <f>IFERROR(__xludf.DUMMYFUNCTION("IFERROR(HLOOKUP($A59,IMPORTRANGE(""https://docs.google.com/spreadsheets/d/1NDNgi_Ny4dRhc2A3UMIIkalN-V6EmsvxOfDzMRQlQ40/edit#gid=0"",""'Game 3'!$B$2:$Q$34""),33,False),1)"),0.0)</f>
        <v>0</v>
      </c>
      <c r="N59" s="12">
        <f>IFERROR(__xludf.DUMMYFUNCTION("IFERROR(HLOOKUP($A59,IMPORTRANGE(""https://docs.google.com/spreadsheets/d/1UDYA3-RrkJNLa2ZLH1NnUjKyfCoiSODmgVL_Au_zt-Y/edit#gid=0"",""'Game 2'!$B$2:$Q$34""),33,False),1)"),12.0)</f>
        <v>12</v>
      </c>
      <c r="O59" s="12">
        <f>IFERROR(__xludf.DUMMYFUNCTION("IFERROR(HLOOKUP($A59,IMPORTRANGE(""https://docs.google.com/spreadsheets/d/1fvo6H94Wcffp6c4N9g3JKCW6y2ZlijPxdOsNz7xdBhw/edit#gid=0"",""'Game 3'!$B$2:$Q$34""),33,False),1)"),4.0)</f>
        <v>4</v>
      </c>
      <c r="P59" s="12">
        <f>IFERROR(__xludf.DUMMYFUNCTION("IFERROR(HLOOKUP($A59,IMPORTRANGE(""https://docs.google.com/spreadsheets/d/1wfQePArl-A-5QJe5xAufoOnzeNLVSoHCRcmpZ_FMdns/edit#gid=0"",""'Game 3'!$B$2:$Q$34""),33,False),1)"),12.0)</f>
        <v>12</v>
      </c>
      <c r="Q59" s="12">
        <f>IFERROR(__xludf.DUMMYFUNCTION("IFERROR(HLOOKUP($A59,IMPORTRANGE(""https://docs.google.com/spreadsheets/d/1wydNznS0hZhVh3oGSdiCZSsReuqMT7Xaw718ix58zAI/edit#gid=0"",""'Game 3'!$B$2:$Q$34""),33,False),1)"),8.0)</f>
        <v>8</v>
      </c>
      <c r="R59" s="13">
        <f>TUHComp!R59</f>
        <v>318</v>
      </c>
      <c r="S59" s="13">
        <f t="shared" si="1"/>
        <v>104</v>
      </c>
      <c r="T59" s="13">
        <f t="shared" si="2"/>
        <v>7.522012579</v>
      </c>
      <c r="U59" s="13">
        <f t="shared" si="3"/>
        <v>39</v>
      </c>
    </row>
    <row r="60">
      <c r="A60" s="4" t="s">
        <v>172</v>
      </c>
      <c r="B60" s="4" t="s">
        <v>166</v>
      </c>
      <c r="C60" s="3">
        <v>0.0</v>
      </c>
      <c r="D60" s="3">
        <v>0.0</v>
      </c>
      <c r="E60" s="3">
        <v>0.0</v>
      </c>
      <c r="F60" s="3">
        <v>0.0</v>
      </c>
      <c r="G60" s="3">
        <v>4.0</v>
      </c>
      <c r="H60" s="5">
        <f>IFERROR(__xludf.DUMMYFUNCTION("HLOOKUP($A60,IMPORTRANGE(""https://docs.google.com/spreadsheets/d/19gjAD4NwTXl_QoKUuwHQ1cWG_S2BOW94pDcyFtPwheg/edit#gid=1009263986"",""'Game 3'!$B$2:$Q$34""),33,False)"),0.0)</f>
        <v>0</v>
      </c>
      <c r="I60" s="5">
        <f>IFERROR(__xludf.DUMMYFUNCTION("HLOOKUP($A60,IMPORTRANGE(""https://docs.google.com/spreadsheets/d/1l83w8bH-F1czkFOqsgQy6o8O33Jb4Pfg40W0ou2nk0k/edit#gid=0"",""'Game 4'!$B$2:$Q$34""),33,False)"),0.0)</f>
        <v>0</v>
      </c>
      <c r="J60" s="5">
        <f>IFERROR(__xludf.DUMMYFUNCTION("HLOOKUP($A60,IMPORTRANGE(""https://docs.google.com/spreadsheets/d/15X-ub7GvrCQZ3UGgyogcjwYdxG-Ng8WHxzGSj1Z3eLw/edit#gid=0"",""'Game 3'!$B$2:$Q$34""),33,False)"),0.0)</f>
        <v>0</v>
      </c>
      <c r="K60" s="5">
        <f>IFERROR(__xludf.DUMMYFUNCTION("IFERROR(HLOOKUP($A60,IMPORTRANGE(""https://docs.google.com/spreadsheets/d/194Bw3ABslPPhOOPvVoMzIk8sOQFICWBu2pydWdYMD-w/edit#gid=0"",""'Game 3'!$B$2:$Q$34""),33,False),1)"),0.0)</f>
        <v>0</v>
      </c>
      <c r="L60" s="5">
        <f>IFERROR(__xludf.DUMMYFUNCTION("IFERROR(HLOOKUP($A60,IMPORTRANGE(""https://docs.google.com/spreadsheets/d/1F2Bi6K_I1K9xRxY5qb-bNRo5m-Kw7udpF1OaTHhrxjs/edit#gid=0"",""'Game 3'!$B$2:$Q$34""),33,False),1)"),0.0)</f>
        <v>0</v>
      </c>
      <c r="M60" s="5">
        <f>IFERROR(__xludf.DUMMYFUNCTION("IFERROR(HLOOKUP($A60,IMPORTRANGE(""https://docs.google.com/spreadsheets/d/1NDNgi_Ny4dRhc2A3UMIIkalN-V6EmsvxOfDzMRQlQ40/edit#gid=0"",""'Game 3'!$B$2:$Q$34""),33,False),1)"),0.0)</f>
        <v>0</v>
      </c>
      <c r="N60" s="5">
        <f>IFERROR(__xludf.DUMMYFUNCTION("IFERROR(HLOOKUP($A60,IMPORTRANGE(""https://docs.google.com/spreadsheets/d/1UDYA3-RrkJNLa2ZLH1NnUjKyfCoiSODmgVL_Au_zt-Y/edit#gid=0"",""'Game 2'!$B$2:$Q$34""),33,False),1)"),0.0)</f>
        <v>0</v>
      </c>
      <c r="O60" s="5">
        <f>IFERROR(__xludf.DUMMYFUNCTION("IFERROR(HLOOKUP($A60,IMPORTRANGE(""https://docs.google.com/spreadsheets/d/1fvo6H94Wcffp6c4N9g3JKCW6y2ZlijPxdOsNz7xdBhw/edit#gid=0"",""'Game 3'!$B$2:$Q$34""),33,False),1)"),0.0)</f>
        <v>0</v>
      </c>
      <c r="P60" s="5">
        <f>IFERROR(__xludf.DUMMYFUNCTION("IFERROR(HLOOKUP($A60,IMPORTRANGE(""https://docs.google.com/spreadsheets/d/1wfQePArl-A-5QJe5xAufoOnzeNLVSoHCRcmpZ_FMdns/edit#gid=0"",""'Game 3'!$B$2:$Q$34""),33,False),1)"),0.0)</f>
        <v>0</v>
      </c>
      <c r="Q60" s="5">
        <f>IFERROR(__xludf.DUMMYFUNCTION("IFERROR(HLOOKUP($A60,IMPORTRANGE(""https://docs.google.com/spreadsheets/d/1wydNznS0hZhVh3oGSdiCZSsReuqMT7Xaw718ix58zAI/edit#gid=0"",""'Game 3'!$B$2:$Q$34""),33,False),1)"),0.0)</f>
        <v>0</v>
      </c>
      <c r="R60" s="6">
        <f>TUHComp!R60</f>
        <v>115</v>
      </c>
      <c r="S60" s="6">
        <f t="shared" si="1"/>
        <v>4</v>
      </c>
      <c r="T60" s="6">
        <f t="shared" si="2"/>
        <v>0.8</v>
      </c>
      <c r="U60" s="6">
        <f t="shared" si="3"/>
        <v>97</v>
      </c>
    </row>
    <row r="61">
      <c r="A61" s="19" t="s">
        <v>175</v>
      </c>
      <c r="B61" s="19" t="s">
        <v>176</v>
      </c>
      <c r="C61" s="2">
        <v>8.0</v>
      </c>
      <c r="D61" s="2">
        <v>12.0</v>
      </c>
      <c r="E61" s="2">
        <v>16.0</v>
      </c>
      <c r="F61" s="2">
        <v>12.0</v>
      </c>
      <c r="G61" s="2">
        <v>4.0</v>
      </c>
      <c r="H61" s="12">
        <f>IFERROR(__xludf.DUMMYFUNCTION("HLOOKUP($A61,IMPORTRANGE(""https://docs.google.com/spreadsheets/d/19gjAD4NwTXl_QoKUuwHQ1cWG_S2BOW94pDcyFtPwheg/edit#gid=1009263986"",""'Game 3'!$B$2:$Q$34""),33,False)"),4.0)</f>
        <v>4</v>
      </c>
      <c r="I61" s="12">
        <f>IFERROR(__xludf.DUMMYFUNCTION("HLOOKUP($A61,IMPORTRANGE(""https://docs.google.com/spreadsheets/d/1l83w8bH-F1czkFOqsgQy6o8O33Jb4Pfg40W0ou2nk0k/edit#gid=0"",""'Game 10'!$B$2:$Q$34""),33,False)"),8.0)</f>
        <v>8</v>
      </c>
      <c r="J61" s="12">
        <f>IFERROR(__xludf.DUMMYFUNCTION("HLOOKUP($A61,IMPORTRANGE(""https://docs.google.com/spreadsheets/d/15X-ub7GvrCQZ3UGgyogcjwYdxG-Ng8WHxzGSj1Z3eLw/edit#gid=0"",""'Game 11'!$B$2:$Q$34""),33,False)"),12.0)</f>
        <v>12</v>
      </c>
      <c r="K61" s="12">
        <f>IFERROR(__xludf.DUMMYFUNCTION("IFERROR(HLOOKUP($A61,IMPORTRANGE(""https://docs.google.com/spreadsheets/d/194Bw3ABslPPhOOPvVoMzIk8sOQFICWBu2pydWdYMD-w/edit#gid=0"",""'Game 12'!$B$2:$Q$34""),33,False),1)"),8.0)</f>
        <v>8</v>
      </c>
      <c r="L61" s="12">
        <f>IFERROR(__xludf.DUMMYFUNCTION("IFERROR(HLOOKUP($A61,IMPORTRANGE(""https://docs.google.com/spreadsheets/d/1F2Bi6K_I1K9xRxY5qb-bNRo5m-Kw7udpF1OaTHhrxjs/edit#gid=0"",""'Game 10'!$B$2:$Q$34""),33,False),1)"),8.0)</f>
        <v>8</v>
      </c>
      <c r="M61" s="12">
        <f>IFERROR(__xludf.DUMMYFUNCTION("IFERROR(HLOOKUP($A61,IMPORTRANGE(""https://docs.google.com/spreadsheets/d/1NDNgi_Ny4dRhc2A3UMIIkalN-V6EmsvxOfDzMRQlQ40/edit#gid=0"",""'Game 12'!$B$2:$Q$34""),33,False),1)"),8.0)</f>
        <v>8</v>
      </c>
      <c r="N61" s="12">
        <f>IFERROR(__xludf.DUMMYFUNCTION("IFERROR(HLOOKUP($A61,IMPORTRANGE(""https://docs.google.com/spreadsheets/d/1UDYA3-RrkJNLa2ZLH1NnUjKyfCoiSODmgVL_Au_zt-Y/edit#gid=0"",""'Game 4'!$B$2:$Q$34""),33,False),1)"),16.0)</f>
        <v>16</v>
      </c>
      <c r="O61" s="12">
        <f>IFERROR(__xludf.DUMMYFUNCTION("IFERROR(HLOOKUP($A61,IMPORTRANGE(""https://docs.google.com/spreadsheets/d/1fvo6H94Wcffp6c4N9g3JKCW6y2ZlijPxdOsNz7xdBhw/edit#gid=0"",""'Game 5'!$B$2:$Q$34""),33,False),1)"),12.0)</f>
        <v>12</v>
      </c>
      <c r="P61" s="12">
        <f>IFERROR(__xludf.DUMMYFUNCTION("IFERROR(HLOOKUP($A61,IMPORTRANGE(""https://docs.google.com/spreadsheets/d/1wfQePArl-A-5QJe5xAufoOnzeNLVSoHCRcmpZ_FMdns/edit#gid=0"",""'Game 12'!$B$2:$Q$34""),33,False),1)"),8.0)</f>
        <v>8</v>
      </c>
      <c r="Q61" s="12">
        <f>IFERROR(__xludf.DUMMYFUNCTION("IFERROR(HLOOKUP($A61,IMPORTRANGE(""https://docs.google.com/spreadsheets/d/1wydNznS0hZhVh3oGSdiCZSsReuqMT7Xaw718ix58zAI/edit#gid=0"",""'Game 7'!$B$2:$Q$34""),33,False),1)"),4.0)</f>
        <v>4</v>
      </c>
      <c r="R61" s="13">
        <f>TUHComp!R61</f>
        <v>345</v>
      </c>
      <c r="S61" s="13">
        <f t="shared" si="1"/>
        <v>140</v>
      </c>
      <c r="T61" s="13">
        <f t="shared" si="2"/>
        <v>9.333333333</v>
      </c>
      <c r="U61" s="13">
        <f t="shared" si="3"/>
        <v>30</v>
      </c>
    </row>
    <row r="62">
      <c r="A62" s="4" t="s">
        <v>178</v>
      </c>
      <c r="B62" s="16" t="s">
        <v>176</v>
      </c>
      <c r="C62" s="3">
        <v>24.0</v>
      </c>
      <c r="D62" s="3">
        <v>12.0</v>
      </c>
      <c r="E62" s="3">
        <v>24.0</v>
      </c>
      <c r="F62" s="3">
        <v>24.0</v>
      </c>
      <c r="G62" s="3">
        <v>8.0</v>
      </c>
      <c r="H62" s="5">
        <f>IFERROR(__xludf.DUMMYFUNCTION("HLOOKUP($A62,IMPORTRANGE(""https://docs.google.com/spreadsheets/d/19gjAD4NwTXl_QoKUuwHQ1cWG_S2BOW94pDcyFtPwheg/edit#gid=1009263986"",""'Game 3'!$B$2:$Q$34""),33,False)"),20.0)</f>
        <v>20</v>
      </c>
      <c r="I62" s="5">
        <f>IFERROR(__xludf.DUMMYFUNCTION("HLOOKUP($A62,IMPORTRANGE(""https://docs.google.com/spreadsheets/d/1l83w8bH-F1czkFOqsgQy6o8O33Jb4Pfg40W0ou2nk0k/edit#gid=0"",""'Game 10'!$B$2:$Q$34""),33,False)"),8.0)</f>
        <v>8</v>
      </c>
      <c r="J62" s="5">
        <f>IFERROR(__xludf.DUMMYFUNCTION("HLOOKUP($A62,IMPORTRANGE(""https://docs.google.com/spreadsheets/d/15X-ub7GvrCQZ3UGgyogcjwYdxG-Ng8WHxzGSj1Z3eLw/edit#gid=0"",""'Game 11'!$B$2:$Q$34""),33,False)"),12.0)</f>
        <v>12</v>
      </c>
      <c r="K62" s="5">
        <f>IFERROR(__xludf.DUMMYFUNCTION("IFERROR(HLOOKUP($A62,IMPORTRANGE(""https://docs.google.com/spreadsheets/d/194Bw3ABslPPhOOPvVoMzIk8sOQFICWBu2pydWdYMD-w/edit#gid=0"",""'Game 12'!$B$2:$Q$34""),33,False),1)"),24.0)</f>
        <v>24</v>
      </c>
      <c r="L62" s="5">
        <f>IFERROR(__xludf.DUMMYFUNCTION("IFERROR(HLOOKUP($A62,IMPORTRANGE(""https://docs.google.com/spreadsheets/d/1F2Bi6K_I1K9xRxY5qb-bNRo5m-Kw7udpF1OaTHhrxjs/edit#gid=0"",""'Game 10'!$B$2:$Q$34""),33,False),1)"),36.0)</f>
        <v>36</v>
      </c>
      <c r="M62" s="5">
        <f>IFERROR(__xludf.DUMMYFUNCTION("IFERROR(HLOOKUP($A62,IMPORTRANGE(""https://docs.google.com/spreadsheets/d/1NDNgi_Ny4dRhc2A3UMIIkalN-V6EmsvxOfDzMRQlQ40/edit#gid=0"",""'Game 12'!$B$2:$Q$34""),33,False),1)"),4.0)</f>
        <v>4</v>
      </c>
      <c r="N62" s="5">
        <f>IFERROR(__xludf.DUMMYFUNCTION("IFERROR(HLOOKUP($A62,IMPORTRANGE(""https://docs.google.com/spreadsheets/d/1UDYA3-RrkJNLa2ZLH1NnUjKyfCoiSODmgVL_Au_zt-Y/edit#gid=0"",""'Game 4'!$B$2:$Q$34""),33,False),1)"),32.0)</f>
        <v>32</v>
      </c>
      <c r="O62" s="5">
        <f>IFERROR(__xludf.DUMMYFUNCTION("IFERROR(HLOOKUP($A62,IMPORTRANGE(""https://docs.google.com/spreadsheets/d/1fvo6H94Wcffp6c4N9g3JKCW6y2ZlijPxdOsNz7xdBhw/edit#gid=0"",""'Game 5'!$B$2:$Q$34""),33,False),1)"),24.0)</f>
        <v>24</v>
      </c>
      <c r="P62" s="5">
        <f>IFERROR(__xludf.DUMMYFUNCTION("IFERROR(HLOOKUP($A62,IMPORTRANGE(""https://docs.google.com/spreadsheets/d/1wfQePArl-A-5QJe5xAufoOnzeNLVSoHCRcmpZ_FMdns/edit#gid=0"",""'Game 12'!$B$2:$Q$34""),33,False),1)"),20.0)</f>
        <v>20</v>
      </c>
      <c r="Q62" s="5">
        <f>IFERROR(__xludf.DUMMYFUNCTION("IFERROR(HLOOKUP($A62,IMPORTRANGE(""https://docs.google.com/spreadsheets/d/1wydNznS0hZhVh3oGSdiCZSsReuqMT7Xaw718ix58zAI/edit#gid=0"",""'Game 7'!$B$2:$Q$34""),33,False),1)"),12.0)</f>
        <v>12</v>
      </c>
      <c r="R62" s="6">
        <f>TUHComp!R62</f>
        <v>345</v>
      </c>
      <c r="S62" s="6">
        <f t="shared" si="1"/>
        <v>284</v>
      </c>
      <c r="T62" s="6">
        <f t="shared" si="2"/>
        <v>18.93333333</v>
      </c>
      <c r="U62" s="6">
        <f t="shared" si="3"/>
        <v>12</v>
      </c>
    </row>
    <row r="63">
      <c r="A63" s="19" t="s">
        <v>180</v>
      </c>
      <c r="B63" s="9" t="s">
        <v>176</v>
      </c>
      <c r="C63" s="2">
        <v>0.0</v>
      </c>
      <c r="D63" s="2">
        <v>0.0</v>
      </c>
      <c r="E63" s="2">
        <v>0.0</v>
      </c>
      <c r="F63" s="2">
        <v>0.0</v>
      </c>
      <c r="G63" s="2">
        <v>0.0</v>
      </c>
      <c r="H63" s="12">
        <f>IFERROR(__xludf.DUMMYFUNCTION("HLOOKUP($A63,IMPORTRANGE(""https://docs.google.com/spreadsheets/d/19gjAD4NwTXl_QoKUuwHQ1cWG_S2BOW94pDcyFtPwheg/edit#gid=1009263986"",""'Game 3'!$B$2:$Q$34""),33,False)"),0.0)</f>
        <v>0</v>
      </c>
      <c r="I63" s="12">
        <f>IFERROR(__xludf.DUMMYFUNCTION("HLOOKUP($A63,IMPORTRANGE(""https://docs.google.com/spreadsheets/d/1l83w8bH-F1czkFOqsgQy6o8O33Jb4Pfg40W0ou2nk0k/edit#gid=0"",""'Game 10'!$B$2:$Q$34""),33,False)"),0.0)</f>
        <v>0</v>
      </c>
      <c r="J63" s="12">
        <f>IFERROR(__xludf.DUMMYFUNCTION("HLOOKUP($A63,IMPORTRANGE(""https://docs.google.com/spreadsheets/d/15X-ub7GvrCQZ3UGgyogcjwYdxG-Ng8WHxzGSj1Z3eLw/edit#gid=0"",""'Game 11'!$B$2:$Q$34""),33,False)"),0.0)</f>
        <v>0</v>
      </c>
      <c r="K63" s="12">
        <f>IFERROR(__xludf.DUMMYFUNCTION("IFERROR(HLOOKUP($A63,IMPORTRANGE(""https://docs.google.com/spreadsheets/d/194Bw3ABslPPhOOPvVoMzIk8sOQFICWBu2pydWdYMD-w/edit#gid=0"",""'Game 12'!$B$2:$Q$34""),33,False),1)"),0.0)</f>
        <v>0</v>
      </c>
      <c r="L63" s="12">
        <f>IFERROR(__xludf.DUMMYFUNCTION("IFERROR(HLOOKUP($A63,IMPORTRANGE(""https://docs.google.com/spreadsheets/d/1F2Bi6K_I1K9xRxY5qb-bNRo5m-Kw7udpF1OaTHhrxjs/edit#gid=0"",""'Game 10'!$B$2:$Q$34""),33,False),1)"),0.0)</f>
        <v>0</v>
      </c>
      <c r="M63" s="12">
        <f>IFERROR(__xludf.DUMMYFUNCTION("IFERROR(HLOOKUP($A63,IMPORTRANGE(""https://docs.google.com/spreadsheets/d/1NDNgi_Ny4dRhc2A3UMIIkalN-V6EmsvxOfDzMRQlQ40/edit#gid=0"",""'Game 12'!$B$2:$Q$34""),33,False),1)"),0.0)</f>
        <v>0</v>
      </c>
      <c r="N63" s="12">
        <f>IFERROR(__xludf.DUMMYFUNCTION("IFERROR(HLOOKUP($A63,IMPORTRANGE(""https://docs.google.com/spreadsheets/d/1UDYA3-RrkJNLa2ZLH1NnUjKyfCoiSODmgVL_Au_zt-Y/edit#gid=0"",""'Game 4'!$B$2:$Q$34""),33,False),1)"),0.0)</f>
        <v>0</v>
      </c>
      <c r="O63" s="12">
        <f>IFERROR(__xludf.DUMMYFUNCTION("IFERROR(HLOOKUP($A63,IMPORTRANGE(""https://docs.google.com/spreadsheets/d/1fvo6H94Wcffp6c4N9g3JKCW6y2ZlijPxdOsNz7xdBhw/edit#gid=0"",""'Game 5'!$B$2:$Q$34""),33,False),1)"),0.0)</f>
        <v>0</v>
      </c>
      <c r="P63" s="12">
        <f>IFERROR(__xludf.DUMMYFUNCTION("IFERROR(HLOOKUP($A63,IMPORTRANGE(""https://docs.google.com/spreadsheets/d/1wfQePArl-A-5QJe5xAufoOnzeNLVSoHCRcmpZ_FMdns/edit#gid=0"",""'Game 12'!$B$2:$Q$34""),33,False),1)"),0.0)</f>
        <v>0</v>
      </c>
      <c r="Q63" s="12">
        <f>IFERROR(__xludf.DUMMYFUNCTION("IFERROR(HLOOKUP($A63,IMPORTRANGE(""https://docs.google.com/spreadsheets/d/1wydNznS0hZhVh3oGSdiCZSsReuqMT7Xaw718ix58zAI/edit#gid=0"",""'Game 7'!$B$2:$Q$34""),33,False),1)"),0.0)</f>
        <v>0</v>
      </c>
      <c r="R63" s="13">
        <f>TUHComp!R63</f>
        <v>240</v>
      </c>
      <c r="S63" s="13">
        <f t="shared" si="1"/>
        <v>0</v>
      </c>
      <c r="T63" s="13">
        <f t="shared" si="2"/>
        <v>0</v>
      </c>
      <c r="U63" s="13">
        <f t="shared" si="3"/>
        <v>104</v>
      </c>
    </row>
    <row r="64">
      <c r="A64" s="4" t="s">
        <v>182</v>
      </c>
      <c r="B64" s="16" t="s">
        <v>176</v>
      </c>
      <c r="C64" s="3">
        <v>0.0</v>
      </c>
      <c r="D64" s="3">
        <v>-4.0</v>
      </c>
      <c r="E64" s="3">
        <v>0.0</v>
      </c>
      <c r="F64" s="3">
        <v>0.0</v>
      </c>
      <c r="G64" s="3">
        <v>4.0</v>
      </c>
      <c r="H64" s="5">
        <f>IFERROR(__xludf.DUMMYFUNCTION("HLOOKUP($A64,IMPORTRANGE(""https://docs.google.com/spreadsheets/d/19gjAD4NwTXl_QoKUuwHQ1cWG_S2BOW94pDcyFtPwheg/edit#gid=1009263986"",""'Game 3'!$B$2:$Q$34""),33,False)"),4.0)</f>
        <v>4</v>
      </c>
      <c r="I64" s="5">
        <f>IFERROR(__xludf.DUMMYFUNCTION("HLOOKUP($A64,IMPORTRANGE(""https://docs.google.com/spreadsheets/d/1l83w8bH-F1czkFOqsgQy6o8O33Jb4Pfg40W0ou2nk0k/edit#gid=0"",""'Game 10'!$B$2:$Q$34""),33,False)"),0.0)</f>
        <v>0</v>
      </c>
      <c r="J64" s="5">
        <f>IFERROR(__xludf.DUMMYFUNCTION("HLOOKUP($A64,IMPORTRANGE(""https://docs.google.com/spreadsheets/d/15X-ub7GvrCQZ3UGgyogcjwYdxG-Ng8WHxzGSj1Z3eLw/edit#gid=0"",""'Game 11'!$B$2:$Q$34""),33,False)"),4.0)</f>
        <v>4</v>
      </c>
      <c r="K64" s="5">
        <f>IFERROR(__xludf.DUMMYFUNCTION("IFERROR(HLOOKUP($A64,IMPORTRANGE(""https://docs.google.com/spreadsheets/d/194Bw3ABslPPhOOPvVoMzIk8sOQFICWBu2pydWdYMD-w/edit#gid=0"",""'Game 12'!$B$2:$Q$34""),33,False),1)"),4.0)</f>
        <v>4</v>
      </c>
      <c r="L64" s="5">
        <f>IFERROR(__xludf.DUMMYFUNCTION("IFERROR(HLOOKUP($A64,IMPORTRANGE(""https://docs.google.com/spreadsheets/d/1F2Bi6K_I1K9xRxY5qb-bNRo5m-Kw7udpF1OaTHhrxjs/edit#gid=0"",""'Game 10'!$B$2:$Q$34""),33,False),1)"),0.0)</f>
        <v>0</v>
      </c>
      <c r="M64" s="5">
        <f>IFERROR(__xludf.DUMMYFUNCTION("IFERROR(HLOOKUP($A64,IMPORTRANGE(""https://docs.google.com/spreadsheets/d/1NDNgi_Ny4dRhc2A3UMIIkalN-V6EmsvxOfDzMRQlQ40/edit#gid=0"",""'Game 12'!$B$2:$Q$34""),33,False),1)"),0.0)</f>
        <v>0</v>
      </c>
      <c r="N64" s="5">
        <f>IFERROR(__xludf.DUMMYFUNCTION("IFERROR(HLOOKUP($A64,IMPORTRANGE(""https://docs.google.com/spreadsheets/d/1UDYA3-RrkJNLa2ZLH1NnUjKyfCoiSODmgVL_Au_zt-Y/edit#gid=0"",""'Game 4'!$B$2:$Q$34""),33,False),1)"),0.0)</f>
        <v>0</v>
      </c>
      <c r="O64" s="5">
        <f>IFERROR(__xludf.DUMMYFUNCTION("IFERROR(HLOOKUP($A64,IMPORTRANGE(""https://docs.google.com/spreadsheets/d/1fvo6H94Wcffp6c4N9g3JKCW6y2ZlijPxdOsNz7xdBhw/edit#gid=0"",""'Game 5'!$B$2:$Q$34""),33,False),1)"),4.0)</f>
        <v>4</v>
      </c>
      <c r="P64" s="5">
        <f>IFERROR(__xludf.DUMMYFUNCTION("IFERROR(HLOOKUP($A64,IMPORTRANGE(""https://docs.google.com/spreadsheets/d/1wfQePArl-A-5QJe5xAufoOnzeNLVSoHCRcmpZ_FMdns/edit#gid=0"",""'Game 12'!$B$2:$Q$34""),33,False),1)"),0.0)</f>
        <v>0</v>
      </c>
      <c r="Q64" s="5">
        <f>IFERROR(__xludf.DUMMYFUNCTION("IFERROR(HLOOKUP($A64,IMPORTRANGE(""https://docs.google.com/spreadsheets/d/1wydNznS0hZhVh3oGSdiCZSsReuqMT7Xaw718ix58zAI/edit#gid=0"",""'Game 7'!$B$2:$Q$34""),33,False),1)"),0.0)</f>
        <v>0</v>
      </c>
      <c r="R64" s="6">
        <f>TUHComp!R64</f>
        <v>266</v>
      </c>
      <c r="S64" s="6">
        <f t="shared" si="1"/>
        <v>16</v>
      </c>
      <c r="T64" s="6">
        <f t="shared" si="2"/>
        <v>1.383458647</v>
      </c>
      <c r="U64" s="6">
        <f t="shared" si="3"/>
        <v>90</v>
      </c>
    </row>
    <row r="65">
      <c r="A65" s="19" t="s">
        <v>184</v>
      </c>
      <c r="B65" s="19" t="s">
        <v>176</v>
      </c>
      <c r="C65" s="2">
        <v>0.0</v>
      </c>
      <c r="D65" s="2">
        <v>0.0</v>
      </c>
      <c r="E65" s="2">
        <v>4.0</v>
      </c>
      <c r="F65" s="2">
        <v>8.0</v>
      </c>
      <c r="G65" s="2">
        <v>0.0</v>
      </c>
      <c r="H65" s="12">
        <f>IFERROR(__xludf.DUMMYFUNCTION("HLOOKUP($A65,IMPORTRANGE(""https://docs.google.com/spreadsheets/d/19gjAD4NwTXl_QoKUuwHQ1cWG_S2BOW94pDcyFtPwheg/edit#gid=1009263986"",""'Game 3'!$B$2:$Q$34""),33,False)"),0.0)</f>
        <v>0</v>
      </c>
      <c r="I65" s="12">
        <f>IFERROR(__xludf.DUMMYFUNCTION("HLOOKUP($A65,IMPORTRANGE(""https://docs.google.com/spreadsheets/d/1l83w8bH-F1czkFOqsgQy6o8O33Jb4Pfg40W0ou2nk0k/edit#gid=0"",""'Game 10'!$B$2:$Q$34""),33,False)"),12.0)</f>
        <v>12</v>
      </c>
      <c r="J65" s="12">
        <f>IFERROR(__xludf.DUMMYFUNCTION("HLOOKUP($A65,IMPORTRANGE(""https://docs.google.com/spreadsheets/d/15X-ub7GvrCQZ3UGgyogcjwYdxG-Ng8WHxzGSj1Z3eLw/edit#gid=0"",""'Game 11'!$B$2:$Q$34""),33,False)"),0.0)</f>
        <v>0</v>
      </c>
      <c r="K65" s="12">
        <f>IFERROR(__xludf.DUMMYFUNCTION("IFERROR(HLOOKUP($A65,IMPORTRANGE(""https://docs.google.com/spreadsheets/d/194Bw3ABslPPhOOPvVoMzIk8sOQFICWBu2pydWdYMD-w/edit#gid=0"",""'Game 12'!$B$2:$Q$34""),33,False),1)"),0.0)</f>
        <v>0</v>
      </c>
      <c r="L65" s="12">
        <f>IFERROR(__xludf.DUMMYFUNCTION("IFERROR(HLOOKUP($A65,IMPORTRANGE(""https://docs.google.com/spreadsheets/d/1F2Bi6K_I1K9xRxY5qb-bNRo5m-Kw7udpF1OaTHhrxjs/edit#gid=0"",""'Game 10'!$B$2:$Q$34""),33,False),1)"),0.0)</f>
        <v>0</v>
      </c>
      <c r="M65" s="12">
        <f>IFERROR(__xludf.DUMMYFUNCTION("IFERROR(HLOOKUP($A65,IMPORTRANGE(""https://docs.google.com/spreadsheets/d/1NDNgi_Ny4dRhc2A3UMIIkalN-V6EmsvxOfDzMRQlQ40/edit#gid=0"",""'Game 12'!$B$2:$Q$34""),33,False),1)"),0.0)</f>
        <v>0</v>
      </c>
      <c r="N65" s="12">
        <f>IFERROR(__xludf.DUMMYFUNCTION("IFERROR(HLOOKUP($A65,IMPORTRANGE(""https://docs.google.com/spreadsheets/d/1UDYA3-RrkJNLa2ZLH1NnUjKyfCoiSODmgVL_Au_zt-Y/edit#gid=0"",""'Game 4'!$B$2:$Q$34""),33,False),1)"),12.0)</f>
        <v>12</v>
      </c>
      <c r="O65" s="12">
        <f>IFERROR(__xludf.DUMMYFUNCTION("IFERROR(HLOOKUP($A65,IMPORTRANGE(""https://docs.google.com/spreadsheets/d/1fvo6H94Wcffp6c4N9g3JKCW6y2ZlijPxdOsNz7xdBhw/edit#gid=0"",""'Game 5'!$B$2:$Q$34""),33,False),1)"),0.0)</f>
        <v>0</v>
      </c>
      <c r="P65" s="12">
        <f>IFERROR(__xludf.DUMMYFUNCTION("IFERROR(HLOOKUP($A65,IMPORTRANGE(""https://docs.google.com/spreadsheets/d/1wfQePArl-A-5QJe5xAufoOnzeNLVSoHCRcmpZ_FMdns/edit#gid=0"",""'Game 12'!$B$2:$Q$34""),33,False),1)"),0.0)</f>
        <v>0</v>
      </c>
      <c r="Q65" s="12">
        <f>IFERROR(__xludf.DUMMYFUNCTION("IFERROR(HLOOKUP($A65,IMPORTRANGE(""https://docs.google.com/spreadsheets/d/1wydNznS0hZhVh3oGSdiCZSsReuqMT7Xaw718ix58zAI/edit#gid=0"",""'Game 7'!$B$2:$Q$34""),33,False),1)"),4.0)</f>
        <v>4</v>
      </c>
      <c r="R65" s="13">
        <f>TUHComp!R65</f>
        <v>184</v>
      </c>
      <c r="S65" s="13">
        <f t="shared" si="1"/>
        <v>40</v>
      </c>
      <c r="T65" s="13">
        <f t="shared" si="2"/>
        <v>5</v>
      </c>
      <c r="U65" s="13">
        <f t="shared" si="3"/>
        <v>51</v>
      </c>
    </row>
    <row r="66">
      <c r="A66" s="4" t="s">
        <v>187</v>
      </c>
      <c r="B66" s="4" t="s">
        <v>188</v>
      </c>
      <c r="C66" s="3">
        <v>8.0</v>
      </c>
      <c r="D66" s="3">
        <v>0.0</v>
      </c>
      <c r="E66" s="3">
        <v>8.0</v>
      </c>
      <c r="F66" s="3">
        <v>8.0</v>
      </c>
      <c r="G66" s="3">
        <v>0.0</v>
      </c>
      <c r="H66" s="5">
        <f>IFERROR(__xludf.DUMMYFUNCTION("HLOOKUP($A66,IMPORTRANGE(""https://docs.google.com/spreadsheets/d/19gjAD4NwTXl_QoKUuwHQ1cWG_S2BOW94pDcyFtPwheg/edit#gid=1009263986"",""'Game 10'!$B$2:$Q$34""),33,False)"),0.0)</f>
        <v>0</v>
      </c>
      <c r="I66" s="5">
        <f>IFERROR(__xludf.DUMMYFUNCTION("HLOOKUP($A66,IMPORTRANGE(""https://docs.google.com/spreadsheets/d/1l83w8bH-F1czkFOqsgQy6o8O33Jb4Pfg40W0ou2nk0k/edit#gid=0"",""'Game 12'!$B$2:$Q$34""),33,False)"),4.0)</f>
        <v>4</v>
      </c>
      <c r="J66" s="5">
        <f>IFERROR(__xludf.DUMMYFUNCTION("HLOOKUP($A66,IMPORTRANGE(""https://docs.google.com/spreadsheets/d/15X-ub7GvrCQZ3UGgyogcjwYdxG-Ng8WHxzGSj1Z3eLw/edit#gid=0"",""'Game 11'!$B$2:$Q$34""),33,False)"),4.0)</f>
        <v>4</v>
      </c>
      <c r="K66" s="5">
        <f>IFERROR(__xludf.DUMMYFUNCTION("IFERROR(HLOOKUP($A66,IMPORTRANGE(""https://docs.google.com/spreadsheets/d/194Bw3ABslPPhOOPvVoMzIk8sOQFICWBu2pydWdYMD-w/edit#gid=0"",""'Game 11'!$B$2:$Q$34""),33,False),1)"),8.0)</f>
        <v>8</v>
      </c>
      <c r="L66" s="5">
        <f>IFERROR(__xludf.DUMMYFUNCTION("IFERROR(HLOOKUP($A66,IMPORTRANGE(""https://docs.google.com/spreadsheets/d/1F2Bi6K_I1K9xRxY5qb-bNRo5m-Kw7udpF1OaTHhrxjs/edit#gid=0"",""'Game 12'!$B$2:$Q$34""),33,False),1)"),0.0)</f>
        <v>0</v>
      </c>
      <c r="M66" s="5">
        <f>IFERROR(__xludf.DUMMYFUNCTION("IFERROR(HLOOKUP($A66,IMPORTRANGE(""https://docs.google.com/spreadsheets/d/1NDNgi_Ny4dRhc2A3UMIIkalN-V6EmsvxOfDzMRQlQ40/edit#gid=0"",""'Game 5'!$B$2:$Q$34""),33,False),1)"),4.0)</f>
        <v>4</v>
      </c>
      <c r="N66" s="5">
        <f>IFERROR(__xludf.DUMMYFUNCTION("IFERROR(HLOOKUP($A66,IMPORTRANGE(""https://docs.google.com/spreadsheets/d/1UDYA3-RrkJNLa2ZLH1NnUjKyfCoiSODmgVL_Au_zt-Y/edit#gid=0"",""'Game 11'!$B$2:$Q$34""),33,False),1)"),4.0)</f>
        <v>4</v>
      </c>
      <c r="O66" s="5">
        <f>IFERROR(__xludf.DUMMYFUNCTION("IFERROR(HLOOKUP($A66,IMPORTRANGE(""https://docs.google.com/spreadsheets/d/1fvo6H94Wcffp6c4N9g3JKCW6y2ZlijPxdOsNz7xdBhw/edit#gid=0"",""'Game 11'!$B$2:$Q$34""),33,False),1)"),8.0)</f>
        <v>8</v>
      </c>
      <c r="P66" s="5">
        <f>IFERROR(__xludf.DUMMYFUNCTION("IFERROR(HLOOKUP($A66,IMPORTRANGE(""https://docs.google.com/spreadsheets/d/1wfQePArl-A-5QJe5xAufoOnzeNLVSoHCRcmpZ_FMdns/edit#gid=0"",""'Game 10'!$B$2:$Q$34""),33,False),1)"),8.0)</f>
        <v>8</v>
      </c>
      <c r="Q66" s="5">
        <f>IFERROR(__xludf.DUMMYFUNCTION("IFERROR(HLOOKUP($A66,IMPORTRANGE(""https://docs.google.com/spreadsheets/d/1wydNznS0hZhVh3oGSdiCZSsReuqMT7Xaw718ix58zAI/edit#gid=0"",""'Game 9'!$B$2:$Q$34""),33,False),1)"),8.0)</f>
        <v>8</v>
      </c>
      <c r="R66" s="6">
        <f>TUHComp!R66</f>
        <v>345</v>
      </c>
      <c r="S66" s="6">
        <f t="shared" si="1"/>
        <v>72</v>
      </c>
      <c r="T66" s="6">
        <f t="shared" si="2"/>
        <v>4.8</v>
      </c>
      <c r="U66" s="6">
        <f t="shared" si="3"/>
        <v>53</v>
      </c>
    </row>
    <row r="67">
      <c r="A67" s="19" t="s">
        <v>190</v>
      </c>
      <c r="B67" s="19" t="s">
        <v>188</v>
      </c>
      <c r="C67" s="2">
        <v>0.0</v>
      </c>
      <c r="D67" s="2">
        <v>4.0</v>
      </c>
      <c r="E67" s="2">
        <v>-4.0</v>
      </c>
      <c r="F67" s="2">
        <v>0.0</v>
      </c>
      <c r="G67" s="2">
        <v>0.0</v>
      </c>
      <c r="H67" s="12">
        <f>IFERROR(__xludf.DUMMYFUNCTION("HLOOKUP($A67,IMPORTRANGE(""https://docs.google.com/spreadsheets/d/19gjAD4NwTXl_QoKUuwHQ1cWG_S2BOW94pDcyFtPwheg/edit#gid=1009263986"",""'Game 10'!$B$2:$Q$34""),33,False)"),0.0)</f>
        <v>0</v>
      </c>
      <c r="I67" s="12">
        <f>IFERROR(__xludf.DUMMYFUNCTION("HLOOKUP($A67,IMPORTRANGE(""https://docs.google.com/spreadsheets/d/1l83w8bH-F1czkFOqsgQy6o8O33Jb4Pfg40W0ou2nk0k/edit#gid=0"",""'Game 12'!$B$2:$Q$34""),33,False)"),8.0)</f>
        <v>8</v>
      </c>
      <c r="J67" s="12">
        <f>IFERROR(__xludf.DUMMYFUNCTION("HLOOKUP($A67,IMPORTRANGE(""https://docs.google.com/spreadsheets/d/15X-ub7GvrCQZ3UGgyogcjwYdxG-Ng8WHxzGSj1Z3eLw/edit#gid=0"",""'Game 11'!$B$2:$Q$34""),33,False)"),0.0)</f>
        <v>0</v>
      </c>
      <c r="K67" s="12">
        <f>IFERROR(__xludf.DUMMYFUNCTION("IFERROR(HLOOKUP($A67,IMPORTRANGE(""https://docs.google.com/spreadsheets/d/194Bw3ABslPPhOOPvVoMzIk8sOQFICWBu2pydWdYMD-w/edit#gid=0"",""'Game 11'!$B$2:$Q$34""),33,False),1)"),0.0)</f>
        <v>0</v>
      </c>
      <c r="L67" s="12">
        <f>IFERROR(__xludf.DUMMYFUNCTION("IFERROR(HLOOKUP($A67,IMPORTRANGE(""https://docs.google.com/spreadsheets/d/1F2Bi6K_I1K9xRxY5qb-bNRo5m-Kw7udpF1OaTHhrxjs/edit#gid=0"",""'Game 12'!$B$2:$Q$34""),33,False),1)"),0.0)</f>
        <v>0</v>
      </c>
      <c r="M67" s="12">
        <f>IFERROR(__xludf.DUMMYFUNCTION("IFERROR(HLOOKUP($A67,IMPORTRANGE(""https://docs.google.com/spreadsheets/d/1NDNgi_Ny4dRhc2A3UMIIkalN-V6EmsvxOfDzMRQlQ40/edit#gid=0"",""'Game 5'!$B$2:$Q$34""),33,False),1)"),-4.0)</f>
        <v>-4</v>
      </c>
      <c r="N67" s="12">
        <f>IFERROR(__xludf.DUMMYFUNCTION("IFERROR(HLOOKUP($A67,IMPORTRANGE(""https://docs.google.com/spreadsheets/d/1UDYA3-RrkJNLa2ZLH1NnUjKyfCoiSODmgVL_Au_zt-Y/edit#gid=0"",""'Game 11'!$B$2:$Q$34""),33,False),1)"),0.0)</f>
        <v>0</v>
      </c>
      <c r="O67" s="12">
        <f>IFERROR(__xludf.DUMMYFUNCTION("IFERROR(HLOOKUP($A67,IMPORTRANGE(""https://docs.google.com/spreadsheets/d/1fvo6H94Wcffp6c4N9g3JKCW6y2ZlijPxdOsNz7xdBhw/edit#gid=0"",""'Game 11'!$B$2:$Q$34""),33,False),1)"),-4.0)</f>
        <v>-4</v>
      </c>
      <c r="P67" s="12">
        <f>IFERROR(__xludf.DUMMYFUNCTION("IFERROR(HLOOKUP($A67,IMPORTRANGE(""https://docs.google.com/spreadsheets/d/1wfQePArl-A-5QJe5xAufoOnzeNLVSoHCRcmpZ_FMdns/edit#gid=0"",""'Game 10'!$B$2:$Q$34""),33,False),1)"),0.0)</f>
        <v>0</v>
      </c>
      <c r="Q67" s="12">
        <f>IFERROR(__xludf.DUMMYFUNCTION("IFERROR(HLOOKUP($A67,IMPORTRANGE(""https://docs.google.com/spreadsheets/d/1wydNznS0hZhVh3oGSdiCZSsReuqMT7Xaw718ix58zAI/edit#gid=0"",""'Game 9'!$B$2:$Q$34""),33,False),1)"),-4.0)</f>
        <v>-4</v>
      </c>
      <c r="R67" s="13">
        <f>TUHComp!R67</f>
        <v>333</v>
      </c>
      <c r="S67" s="13">
        <f t="shared" si="1"/>
        <v>-4</v>
      </c>
      <c r="T67" s="13">
        <f t="shared" si="2"/>
        <v>-0.2762762763</v>
      </c>
      <c r="U67" s="13">
        <f t="shared" si="3"/>
        <v>115</v>
      </c>
    </row>
    <row r="68">
      <c r="A68" s="4" t="s">
        <v>192</v>
      </c>
      <c r="B68" s="4" t="s">
        <v>188</v>
      </c>
      <c r="C68" s="3">
        <v>12.0</v>
      </c>
      <c r="D68" s="3">
        <v>48.0</v>
      </c>
      <c r="E68" s="3">
        <v>0.0</v>
      </c>
      <c r="F68" s="3">
        <v>32.0</v>
      </c>
      <c r="G68" s="3">
        <v>24.0</v>
      </c>
      <c r="H68" s="5">
        <f>IFERROR(__xludf.DUMMYFUNCTION("HLOOKUP($A68,IMPORTRANGE(""https://docs.google.com/spreadsheets/d/19gjAD4NwTXl_QoKUuwHQ1cWG_S2BOW94pDcyFtPwheg/edit#gid=1009263986"",""'Game 10'!$B$2:$Q$34""),33,False)"),12.0)</f>
        <v>12</v>
      </c>
      <c r="I68" s="5">
        <f>IFERROR(__xludf.DUMMYFUNCTION("HLOOKUP($A68,IMPORTRANGE(""https://docs.google.com/spreadsheets/d/1l83w8bH-F1czkFOqsgQy6o8O33Jb4Pfg40W0ou2nk0k/edit#gid=0"",""'Game 12'!$B$2:$Q$34""),33,False)"),12.0)</f>
        <v>12</v>
      </c>
      <c r="J68" s="5">
        <f>IFERROR(__xludf.DUMMYFUNCTION("HLOOKUP($A68,IMPORTRANGE(""https://docs.google.com/spreadsheets/d/15X-ub7GvrCQZ3UGgyogcjwYdxG-Ng8WHxzGSj1Z3eLw/edit#gid=0"",""'Game 11'!$B$2:$Q$34""),33,False)"),0.0)</f>
        <v>0</v>
      </c>
      <c r="K68" s="5">
        <f>IFERROR(__xludf.DUMMYFUNCTION("IFERROR(HLOOKUP($A68,IMPORTRANGE(""https://docs.google.com/spreadsheets/d/194Bw3ABslPPhOOPvVoMzIk8sOQFICWBu2pydWdYMD-w/edit#gid=0"",""'Game 11'!$B$2:$Q$34""),33,False),1)"),24.0)</f>
        <v>24</v>
      </c>
      <c r="L68" s="5">
        <f>IFERROR(__xludf.DUMMYFUNCTION("IFERROR(HLOOKUP($A68,IMPORTRANGE(""https://docs.google.com/spreadsheets/d/1F2Bi6K_I1K9xRxY5qb-bNRo5m-Kw7udpF1OaTHhrxjs/edit#gid=0"",""'Game 12'!$B$2:$Q$34""),33,False),1)"),0.0)</f>
        <v>0</v>
      </c>
      <c r="M68" s="5">
        <f>IFERROR(__xludf.DUMMYFUNCTION("IFERROR(HLOOKUP($A68,IMPORTRANGE(""https://docs.google.com/spreadsheets/d/1NDNgi_Ny4dRhc2A3UMIIkalN-V6EmsvxOfDzMRQlQ40/edit#gid=0"",""'Game 5'!$B$2:$Q$34""),33,False),1)"),0.0)</f>
        <v>0</v>
      </c>
      <c r="N68" s="5">
        <f>IFERROR(__xludf.DUMMYFUNCTION("IFERROR(HLOOKUP($A68,IMPORTRANGE(""https://docs.google.com/spreadsheets/d/1UDYA3-RrkJNLa2ZLH1NnUjKyfCoiSODmgVL_Au_zt-Y/edit#gid=0"",""'Game 11'!$B$2:$Q$34""),33,False),1)"),12.0)</f>
        <v>12</v>
      </c>
      <c r="O68" s="5">
        <f>IFERROR(__xludf.DUMMYFUNCTION("IFERROR(HLOOKUP($A68,IMPORTRANGE(""https://docs.google.com/spreadsheets/d/1fvo6H94Wcffp6c4N9g3JKCW6y2ZlijPxdOsNz7xdBhw/edit#gid=0"",""'Game 11'!$B$2:$Q$34""),33,False),1)"),0.0)</f>
        <v>0</v>
      </c>
      <c r="P68" s="5">
        <f>IFERROR(__xludf.DUMMYFUNCTION("IFERROR(HLOOKUP($A68,IMPORTRANGE(""https://docs.google.com/spreadsheets/d/1wfQePArl-A-5QJe5xAufoOnzeNLVSoHCRcmpZ_FMdns/edit#gid=0"",""'Game 10'!$B$2:$Q$34""),33,False),1)"),20.0)</f>
        <v>20</v>
      </c>
      <c r="Q68" s="5">
        <f>IFERROR(__xludf.DUMMYFUNCTION("IFERROR(HLOOKUP($A68,IMPORTRANGE(""https://docs.google.com/spreadsheets/d/1wydNznS0hZhVh3oGSdiCZSsReuqMT7Xaw718ix58zAI/edit#gid=0"",""'Game 9'!$B$2:$Q$34""),33,False),1)"),12.0)</f>
        <v>12</v>
      </c>
      <c r="R68" s="6">
        <f>TUHComp!R68</f>
        <v>212</v>
      </c>
      <c r="S68" s="6">
        <f t="shared" si="1"/>
        <v>208</v>
      </c>
      <c r="T68" s="6">
        <f t="shared" si="2"/>
        <v>22.56603774</v>
      </c>
      <c r="U68" s="6">
        <f t="shared" si="3"/>
        <v>7</v>
      </c>
    </row>
    <row r="69">
      <c r="A69" s="8" t="s">
        <v>194</v>
      </c>
      <c r="B69" s="8" t="s">
        <v>188</v>
      </c>
      <c r="C69" s="2">
        <v>0.0</v>
      </c>
      <c r="D69" s="2">
        <v>0.0</v>
      </c>
      <c r="E69" s="2">
        <v>0.0</v>
      </c>
      <c r="F69" s="2">
        <v>0.0</v>
      </c>
      <c r="G69" s="2">
        <v>0.0</v>
      </c>
      <c r="H69" s="29">
        <v>0.0</v>
      </c>
      <c r="I69" s="29">
        <v>0.0</v>
      </c>
      <c r="J69" s="29">
        <v>0.0</v>
      </c>
      <c r="K69" s="29">
        <v>0.0</v>
      </c>
      <c r="L69" s="12">
        <f>IFERROR(__xludf.DUMMYFUNCTION("IFERROR(HLOOKUP($A69,IMPORTRANGE(""https://docs.google.com/spreadsheets/d/1F2Bi6K_I1K9xRxY5qb-bNRo5m-Kw7udpF1OaTHhrxjs/edit#gid=0"",""'Game 12'!$B$2:$Q$34""),33,False),1)"),20.0)</f>
        <v>20</v>
      </c>
      <c r="M69" s="12">
        <f>IFERROR(__xludf.DUMMYFUNCTION("IFERROR(HLOOKUP($A69,IMPORTRANGE(""https://docs.google.com/spreadsheets/d/1NDNgi_Ny4dRhc2A3UMIIkalN-V6EmsvxOfDzMRQlQ40/edit#gid=0"",""'Game 5'!$B$2:$Q$34""),33,False),1)"),0.0)</f>
        <v>0</v>
      </c>
      <c r="N69" s="12">
        <f>IFERROR(__xludf.DUMMYFUNCTION("IFERROR(HLOOKUP($A69,IMPORTRANGE(""https://docs.google.com/spreadsheets/d/1UDYA3-RrkJNLa2ZLH1NnUjKyfCoiSODmgVL_Au_zt-Y/edit#gid=0"",""'Game 11'!$B$2:$Q$34""),33,False),1)"),0.0)</f>
        <v>0</v>
      </c>
      <c r="O69" s="12">
        <f>IFERROR(__xludf.DUMMYFUNCTION("IFERROR(HLOOKUP($A69,IMPORTRANGE(""https://docs.google.com/spreadsheets/d/1fvo6H94Wcffp6c4N9g3JKCW6y2ZlijPxdOsNz7xdBhw/edit#gid=0"",""'Game 11'!$B$2:$Q$34""),33,False),1)"),0.0)</f>
        <v>0</v>
      </c>
      <c r="P69" s="12">
        <f>IFERROR(__xludf.DUMMYFUNCTION("IFERROR(HLOOKUP($A69,IMPORTRANGE(""https://docs.google.com/spreadsheets/d/1wfQePArl-A-5QJe5xAufoOnzeNLVSoHCRcmpZ_FMdns/edit#gid=0"",""'Game 10'!$B$2:$Q$34""),33,False),1)"),0.0)</f>
        <v>0</v>
      </c>
      <c r="Q69" s="12">
        <f>IFERROR(__xludf.DUMMYFUNCTION("IFERROR(HLOOKUP($A69,IMPORTRANGE(""https://docs.google.com/spreadsheets/d/1wydNznS0hZhVh3oGSdiCZSsReuqMT7Xaw718ix58zAI/edit#gid=0"",""'Game 9'!$B$2:$Q$34""),33,False),1)"),0.0)</f>
        <v>0</v>
      </c>
      <c r="R69" s="13">
        <f>TUHComp!R69</f>
        <v>23</v>
      </c>
      <c r="S69" s="13">
        <f t="shared" si="1"/>
        <v>20</v>
      </c>
      <c r="T69" s="13">
        <f t="shared" si="2"/>
        <v>20</v>
      </c>
      <c r="U69" s="13">
        <f t="shared" si="3"/>
        <v>10</v>
      </c>
    </row>
    <row r="70">
      <c r="A70" s="4" t="s">
        <v>196</v>
      </c>
      <c r="B70" s="4" t="s">
        <v>188</v>
      </c>
      <c r="C70" s="3">
        <v>4.0</v>
      </c>
      <c r="D70" s="3">
        <v>8.0</v>
      </c>
      <c r="E70" s="3">
        <v>8.0</v>
      </c>
      <c r="F70" s="3">
        <v>4.0</v>
      </c>
      <c r="G70" s="3">
        <v>4.0</v>
      </c>
      <c r="H70" s="5">
        <f>IFERROR(__xludf.DUMMYFUNCTION("HLOOKUP($A70,IMPORTRANGE(""https://docs.google.com/spreadsheets/d/19gjAD4NwTXl_QoKUuwHQ1cWG_S2BOW94pDcyFtPwheg/edit#gid=1009263986"",""'Game 10'!$B$2:$Q$34""),33,False)"),0.0)</f>
        <v>0</v>
      </c>
      <c r="I70" s="5">
        <f>IFERROR(__xludf.DUMMYFUNCTION("HLOOKUP($A70,IMPORTRANGE(""https://docs.google.com/spreadsheets/d/1l83w8bH-F1czkFOqsgQy6o8O33Jb4Pfg40W0ou2nk0k/edit#gid=0"",""'Game 12'!$B$2:$Q$34""),33,False)"),0.0)</f>
        <v>0</v>
      </c>
      <c r="J70" s="5">
        <f>IFERROR(__xludf.DUMMYFUNCTION("HLOOKUP($A70,IMPORTRANGE(""https://docs.google.com/spreadsheets/d/15X-ub7GvrCQZ3UGgyogcjwYdxG-Ng8WHxzGSj1Z3eLw/edit#gid=0"",""'Game 11'!$B$2:$Q$34""),33,False)"),12.0)</f>
        <v>12</v>
      </c>
      <c r="K70" s="5">
        <f>IFERROR(__xludf.DUMMYFUNCTION("IFERROR(HLOOKUP($A70,IMPORTRANGE(""https://docs.google.com/spreadsheets/d/194Bw3ABslPPhOOPvVoMzIk8sOQFICWBu2pydWdYMD-w/edit#gid=0"",""'Game 11'!$B$2:$Q$34""),33,False),1)"),8.0)</f>
        <v>8</v>
      </c>
      <c r="L70" s="5">
        <f>IFERROR(__xludf.DUMMYFUNCTION("IFERROR(HLOOKUP($A70,IMPORTRANGE(""https://docs.google.com/spreadsheets/d/1F2Bi6K_I1K9xRxY5qb-bNRo5m-Kw7udpF1OaTHhrxjs/edit#gid=0"",""'Game 12'!$B$2:$Q$34""),33,False),1)"),4.0)</f>
        <v>4</v>
      </c>
      <c r="M70" s="5">
        <f>IFERROR(__xludf.DUMMYFUNCTION("IFERROR(HLOOKUP($A70,IMPORTRANGE(""https://docs.google.com/spreadsheets/d/1NDNgi_Ny4dRhc2A3UMIIkalN-V6EmsvxOfDzMRQlQ40/edit#gid=0"",""'Game 5'!$B$2:$Q$34""),33,False),1)"),8.0)</f>
        <v>8</v>
      </c>
      <c r="N70" s="5">
        <f>IFERROR(__xludf.DUMMYFUNCTION("IFERROR(HLOOKUP($A70,IMPORTRANGE(""https://docs.google.com/spreadsheets/d/1UDYA3-RrkJNLa2ZLH1NnUjKyfCoiSODmgVL_Au_zt-Y/edit#gid=0"",""'Game 11'!$B$2:$Q$34""),33,False),1)"),0.0)</f>
        <v>0</v>
      </c>
      <c r="O70" s="5">
        <f>IFERROR(__xludf.DUMMYFUNCTION("IFERROR(HLOOKUP($A70,IMPORTRANGE(""https://docs.google.com/spreadsheets/d/1fvo6H94Wcffp6c4N9g3JKCW6y2ZlijPxdOsNz7xdBhw/edit#gid=0"",""'Game 11'!$B$2:$Q$34""),33,False),1)"),12.0)</f>
        <v>12</v>
      </c>
      <c r="P70" s="5">
        <f>IFERROR(__xludf.DUMMYFUNCTION("IFERROR(HLOOKUP($A70,IMPORTRANGE(""https://docs.google.com/spreadsheets/d/1wfQePArl-A-5QJe5xAufoOnzeNLVSoHCRcmpZ_FMdns/edit#gid=0"",""'Game 10'!$B$2:$Q$34""),33,False),1)"),8.0)</f>
        <v>8</v>
      </c>
      <c r="Q70" s="5">
        <f>IFERROR(__xludf.DUMMYFUNCTION("IFERROR(HLOOKUP($A70,IMPORTRANGE(""https://docs.google.com/spreadsheets/d/1wydNznS0hZhVh3oGSdiCZSsReuqMT7Xaw718ix58zAI/edit#gid=0"",""'Game 9'!$B$2:$Q$34""),33,False),1)"),8.0)</f>
        <v>8</v>
      </c>
      <c r="R70" s="6">
        <f>TUHComp!R70</f>
        <v>345</v>
      </c>
      <c r="S70" s="6">
        <f t="shared" si="1"/>
        <v>88</v>
      </c>
      <c r="T70" s="6">
        <f t="shared" si="2"/>
        <v>5.866666667</v>
      </c>
      <c r="U70" s="6">
        <f t="shared" si="3"/>
        <v>44</v>
      </c>
    </row>
    <row r="71">
      <c r="A71" s="19" t="s">
        <v>199</v>
      </c>
      <c r="B71" s="19" t="s">
        <v>200</v>
      </c>
      <c r="C71" s="2">
        <v>12.0</v>
      </c>
      <c r="D71" s="2">
        <v>0.0</v>
      </c>
      <c r="E71" s="2">
        <v>0.0</v>
      </c>
      <c r="F71" s="2">
        <v>0.0</v>
      </c>
      <c r="G71" s="2">
        <v>-4.0</v>
      </c>
      <c r="H71" s="12">
        <f>IFERROR(__xludf.DUMMYFUNCTION("HLOOKUP($A71,IMPORTRANGE(""https://docs.google.com/spreadsheets/d/19gjAD4NwTXl_QoKUuwHQ1cWG_S2BOW94pDcyFtPwheg/edit#gid=1009263986"",""'Game 11'!$B$2:$Q$34""),33,False)"),8.0)</f>
        <v>8</v>
      </c>
      <c r="I71" s="12">
        <f>IFERROR(__xludf.DUMMYFUNCTION("HLOOKUP($A71,IMPORTRANGE(""https://docs.google.com/spreadsheets/d/1l83w8bH-F1czkFOqsgQy6o8O33Jb4Pfg40W0ou2nk0k/edit#gid=0"",""'Game 9'!$B$2:$Q$34""),33,False)"),-4.0)</f>
        <v>-4</v>
      </c>
      <c r="J71" s="12">
        <f>IFERROR(__xludf.DUMMYFUNCTION("HLOOKUP($A71,IMPORTRANGE(""https://docs.google.com/spreadsheets/d/15X-ub7GvrCQZ3UGgyogcjwYdxG-Ng8WHxzGSj1Z3eLw/edit#gid=0"",""'Game 12'!$B$2:$Q$34""),33,False)"),8.0)</f>
        <v>8</v>
      </c>
      <c r="K71" s="12">
        <f>IFERROR(__xludf.DUMMYFUNCTION("IFERROR(HLOOKUP($A71,IMPORTRANGE(""https://docs.google.com/spreadsheets/d/194Bw3ABslPPhOOPvVoMzIk8sOQFICWBu2pydWdYMD-w/edit#gid=0"",""'Game 11'!$B$2:$Q$34""),33,False),1)"),0.0)</f>
        <v>0</v>
      </c>
      <c r="L71" s="12">
        <f>IFERROR(__xludf.DUMMYFUNCTION("IFERROR(HLOOKUP($A71,IMPORTRANGE(""https://docs.google.com/spreadsheets/d/1F2Bi6K_I1K9xRxY5qb-bNRo5m-Kw7udpF1OaTHhrxjs/edit#gid=0"",""'Game 7'!$B$2:$Q$34""),33,False),1)"),-4.0)</f>
        <v>-4</v>
      </c>
      <c r="M71" s="12">
        <f>IFERROR(__xludf.DUMMYFUNCTION("IFERROR(HLOOKUP($A71,IMPORTRANGE(""https://docs.google.com/spreadsheets/d/1NDNgi_Ny4dRhc2A3UMIIkalN-V6EmsvxOfDzMRQlQ40/edit#gid=0"",""'Game 1'!$B$2:$Q$34""),33,False),1)"),4.0)</f>
        <v>4</v>
      </c>
      <c r="N71" s="12">
        <f>IFERROR(__xludf.DUMMYFUNCTION("IFERROR(HLOOKUP($A71,IMPORTRANGE(""https://docs.google.com/spreadsheets/d/1UDYA3-RrkJNLa2ZLH1NnUjKyfCoiSODmgVL_Au_zt-Y/edit#gid=0"",""'Game 9'!$B$2:$Q$34""),33,False),1)"),0.0)</f>
        <v>0</v>
      </c>
      <c r="O71" s="12">
        <f>IFERROR(__xludf.DUMMYFUNCTION("IFERROR(HLOOKUP($A71,IMPORTRANGE(""https://docs.google.com/spreadsheets/d/1fvo6H94Wcffp6c4N9g3JKCW6y2ZlijPxdOsNz7xdBhw/edit#gid=0"",""'Game 7'!$B$2:$Q$34""),33,False),1)"),0.0)</f>
        <v>0</v>
      </c>
      <c r="P71" s="12">
        <f>IFERROR(__xludf.DUMMYFUNCTION("IFERROR(HLOOKUP($A71,IMPORTRANGE(""https://docs.google.com/spreadsheets/d/1wfQePArl-A-5QJe5xAufoOnzeNLVSoHCRcmpZ_FMdns/edit#gid=0"",""'Game 11'!$B$2:$Q$34""),33,False),1)"),0.0)</f>
        <v>0</v>
      </c>
      <c r="Q71" s="12">
        <f>IFERROR(__xludf.DUMMYFUNCTION("IFERROR(HLOOKUP($A71,IMPORTRANGE(""https://docs.google.com/spreadsheets/d/1wydNznS0hZhVh3oGSdiCZSsReuqMT7Xaw718ix58zAI/edit#gid=0"",""'Game 6'!$B$2:$Q$34""),33,False),1)"),0.0)</f>
        <v>0</v>
      </c>
      <c r="R71" s="13">
        <f>TUHComp!R71</f>
        <v>322</v>
      </c>
      <c r="S71" s="13">
        <f t="shared" si="1"/>
        <v>20</v>
      </c>
      <c r="T71" s="13">
        <f t="shared" si="2"/>
        <v>1.428571429</v>
      </c>
      <c r="U71" s="13">
        <f t="shared" si="3"/>
        <v>89</v>
      </c>
    </row>
    <row r="72">
      <c r="A72" s="4" t="s">
        <v>202</v>
      </c>
      <c r="B72" s="16" t="s">
        <v>200</v>
      </c>
      <c r="C72" s="3">
        <v>24.0</v>
      </c>
      <c r="D72" s="3">
        <v>20.0</v>
      </c>
      <c r="E72" s="3">
        <v>8.0</v>
      </c>
      <c r="F72" s="3">
        <v>4.0</v>
      </c>
      <c r="G72" s="3">
        <v>12.0</v>
      </c>
      <c r="H72" s="5">
        <f>IFERROR(__xludf.DUMMYFUNCTION("HLOOKUP($A72,IMPORTRANGE(""https://docs.google.com/spreadsheets/d/19gjAD4NwTXl_QoKUuwHQ1cWG_S2BOW94pDcyFtPwheg/edit#gid=1009263986"",""'Game 11'!$B$2:$Q$34""),33,False)"),16.0)</f>
        <v>16</v>
      </c>
      <c r="I72" s="5">
        <f>IFERROR(__xludf.DUMMYFUNCTION("HLOOKUP($A72,IMPORTRANGE(""https://docs.google.com/spreadsheets/d/1l83w8bH-F1czkFOqsgQy6o8O33Jb4Pfg40W0ou2nk0k/edit#gid=0"",""'Game 9'!$B$2:$Q$34""),33,False)"),12.0)</f>
        <v>12</v>
      </c>
      <c r="J72" s="5">
        <f>IFERROR(__xludf.DUMMYFUNCTION("HLOOKUP($A72,IMPORTRANGE(""https://docs.google.com/spreadsheets/d/15X-ub7GvrCQZ3UGgyogcjwYdxG-Ng8WHxzGSj1Z3eLw/edit#gid=0"",""'Game 12'!$B$2:$Q$34""),33,False)"),12.0)</f>
        <v>12</v>
      </c>
      <c r="K72" s="5">
        <f>IFERROR(__xludf.DUMMYFUNCTION("IFERROR(HLOOKUP($A72,IMPORTRANGE(""https://docs.google.com/spreadsheets/d/194Bw3ABslPPhOOPvVoMzIk8sOQFICWBu2pydWdYMD-w/edit#gid=0"",""'Game 11'!$B$2:$Q$34""),33,False),1)"),12.0)</f>
        <v>12</v>
      </c>
      <c r="L72" s="5">
        <f>IFERROR(__xludf.DUMMYFUNCTION("IFERROR(HLOOKUP($A72,IMPORTRANGE(""https://docs.google.com/spreadsheets/d/1F2Bi6K_I1K9xRxY5qb-bNRo5m-Kw7udpF1OaTHhrxjs/edit#gid=0"",""'Game 7'!$B$2:$Q$34""),33,False),1)"),8.0)</f>
        <v>8</v>
      </c>
      <c r="M72" s="5">
        <f>IFERROR(__xludf.DUMMYFUNCTION("IFERROR(HLOOKUP($A72,IMPORTRANGE(""https://docs.google.com/spreadsheets/d/1NDNgi_Ny4dRhc2A3UMIIkalN-V6EmsvxOfDzMRQlQ40/edit#gid=0"",""'Game 1'!$B$2:$Q$34""),33,False),1)"),0.0)</f>
        <v>0</v>
      </c>
      <c r="N72" s="5">
        <f>IFERROR(__xludf.DUMMYFUNCTION("IFERROR(HLOOKUP($A72,IMPORTRANGE(""https://docs.google.com/spreadsheets/d/1UDYA3-RrkJNLa2ZLH1NnUjKyfCoiSODmgVL_Au_zt-Y/edit#gid=0"",""'Game 9'!$B$2:$Q$34""),33,False),1)"),32.0)</f>
        <v>32</v>
      </c>
      <c r="O72" s="5">
        <f>IFERROR(__xludf.DUMMYFUNCTION("IFERROR(HLOOKUP($A72,IMPORTRANGE(""https://docs.google.com/spreadsheets/d/1fvo6H94Wcffp6c4N9g3JKCW6y2ZlijPxdOsNz7xdBhw/edit#gid=0"",""'Game 7'!$B$2:$Q$34""),33,False),1)"),20.0)</f>
        <v>20</v>
      </c>
      <c r="P72" s="5">
        <f>IFERROR(__xludf.DUMMYFUNCTION("IFERROR(HLOOKUP($A72,IMPORTRANGE(""https://docs.google.com/spreadsheets/d/1wfQePArl-A-5QJe5xAufoOnzeNLVSoHCRcmpZ_FMdns/edit#gid=0"",""'Game 11'!$B$2:$Q$34""),33,False),1)"),24.0)</f>
        <v>24</v>
      </c>
      <c r="Q72" s="5">
        <f>IFERROR(__xludf.DUMMYFUNCTION("IFERROR(HLOOKUP($A72,IMPORTRANGE(""https://docs.google.com/spreadsheets/d/1wydNznS0hZhVh3oGSdiCZSsReuqMT7Xaw718ix58zAI/edit#gid=0"",""'Game 6'!$B$2:$Q$34""),33,False),1)"),12.0)</f>
        <v>12</v>
      </c>
      <c r="R72" s="6">
        <f>TUHComp!R72</f>
        <v>345</v>
      </c>
      <c r="S72" s="6">
        <f t="shared" si="1"/>
        <v>216</v>
      </c>
      <c r="T72" s="6">
        <f t="shared" si="2"/>
        <v>14.4</v>
      </c>
      <c r="U72" s="6">
        <f t="shared" si="3"/>
        <v>17</v>
      </c>
    </row>
    <row r="73">
      <c r="A73" s="8" t="s">
        <v>204</v>
      </c>
      <c r="B73" s="9" t="s">
        <v>200</v>
      </c>
      <c r="C73" s="20">
        <v>0.0</v>
      </c>
      <c r="D73" s="20">
        <v>0.0</v>
      </c>
      <c r="E73" s="20">
        <v>0.0</v>
      </c>
      <c r="F73" s="20">
        <v>0.0</v>
      </c>
      <c r="G73" s="20">
        <v>0.0</v>
      </c>
      <c r="H73" s="12">
        <v>0.0</v>
      </c>
      <c r="I73" s="12">
        <f>IFERROR(__xludf.DUMMYFUNCTION("HLOOKUP($A73,IMPORTRANGE(""https://docs.google.com/spreadsheets/d/1l83w8bH-F1czkFOqsgQy6o8O33Jb4Pfg40W0ou2nk0k/edit#gid=0"",""'Game 9'!$B$2:$Q$34""),33,False)"),0.0)</f>
        <v>0</v>
      </c>
      <c r="J73" s="12">
        <f>IFERROR(__xludf.DUMMYFUNCTION("HLOOKUP($A73,IMPORTRANGE(""https://docs.google.com/spreadsheets/d/15X-ub7GvrCQZ3UGgyogcjwYdxG-Ng8WHxzGSj1Z3eLw/edit#gid=0"",""'Game 12'!$B$2:$Q$34""),33,False)"),0.0)</f>
        <v>0</v>
      </c>
      <c r="K73" s="12">
        <f>IFERROR(__xludf.DUMMYFUNCTION("IFERROR(HLOOKUP($A73,IMPORTRANGE(""https://docs.google.com/spreadsheets/d/194Bw3ABslPPhOOPvVoMzIk8sOQFICWBu2pydWdYMD-w/edit#gid=0"",""'Game 11'!$B$2:$Q$34""),33,False),1)"),0.0)</f>
        <v>0</v>
      </c>
      <c r="L73" s="12">
        <f>IFERROR(__xludf.DUMMYFUNCTION("IFERROR(HLOOKUP($A73,IMPORTRANGE(""https://docs.google.com/spreadsheets/d/1F2Bi6K_I1K9xRxY5qb-bNRo5m-Kw7udpF1OaTHhrxjs/edit#gid=0"",""'Game 7'!$B$2:$Q$34""),33,False),1)"),0.0)</f>
        <v>0</v>
      </c>
      <c r="M73" s="12">
        <f>IFERROR(__xludf.DUMMYFUNCTION("IFERROR(HLOOKUP($A73,IMPORTRANGE(""https://docs.google.com/spreadsheets/d/1NDNgi_Ny4dRhc2A3UMIIkalN-V6EmsvxOfDzMRQlQ40/edit#gid=0"",""'Game 1'!$B$2:$Q$34""),33,False),1)"),0.0)</f>
        <v>0</v>
      </c>
      <c r="N73" s="12">
        <f>IFERROR(__xludf.DUMMYFUNCTION("IFERROR(HLOOKUP($A73,IMPORTRANGE(""https://docs.google.com/spreadsheets/d/1UDYA3-RrkJNLa2ZLH1NnUjKyfCoiSODmgVL_Au_zt-Y/edit#gid=0"",""'Game 9'!$B$2:$Q$34""),33,False),1)"),0.0)</f>
        <v>0</v>
      </c>
      <c r="O73" s="12">
        <f>IFERROR(__xludf.DUMMYFUNCTION("IFERROR(HLOOKUP($A73,IMPORTRANGE(""https://docs.google.com/spreadsheets/d/1fvo6H94Wcffp6c4N9g3JKCW6y2ZlijPxdOsNz7xdBhw/edit#gid=0"",""'Game 7'!$B$2:$Q$34""),33,False),1)"),0.0)</f>
        <v>0</v>
      </c>
      <c r="P73" s="12">
        <f>IFERROR(__xludf.DUMMYFUNCTION("IFERROR(HLOOKUP($A73,IMPORTRANGE(""https://docs.google.com/spreadsheets/d/1wfQePArl-A-5QJe5xAufoOnzeNLVSoHCRcmpZ_FMdns/edit#gid=0"",""'Game 11'!$B$2:$Q$34""),33,False),1)"),0.0)</f>
        <v>0</v>
      </c>
      <c r="Q73" s="12">
        <f>IFERROR(__xludf.DUMMYFUNCTION("IFERROR(HLOOKUP($A73,IMPORTRANGE(""https://docs.google.com/spreadsheets/d/1wydNznS0hZhVh3oGSdiCZSsReuqMT7Xaw718ix58zAI/edit#gid=0"",""'Game 6'!$B$2:$Q$34""),33,False),1)"),0.0)</f>
        <v>0</v>
      </c>
      <c r="R73" s="13">
        <f>TUHComp!R73</f>
        <v>98</v>
      </c>
      <c r="S73" s="13">
        <f t="shared" si="1"/>
        <v>0</v>
      </c>
      <c r="T73" s="13">
        <f t="shared" si="2"/>
        <v>0</v>
      </c>
      <c r="U73" s="13">
        <f t="shared" si="3"/>
        <v>104</v>
      </c>
    </row>
    <row r="74">
      <c r="A74" s="4" t="s">
        <v>205</v>
      </c>
      <c r="B74" s="16" t="s">
        <v>200</v>
      </c>
      <c r="C74" s="18">
        <v>0.0</v>
      </c>
      <c r="D74" s="18">
        <v>0.0</v>
      </c>
      <c r="E74" s="18">
        <v>4.0</v>
      </c>
      <c r="F74" s="18">
        <v>0.0</v>
      </c>
      <c r="G74" s="18">
        <v>0.0</v>
      </c>
      <c r="H74" s="5">
        <v>0.0</v>
      </c>
      <c r="I74" s="5">
        <f>IFERROR(__xludf.DUMMYFUNCTION("HLOOKUP($A74,IMPORTRANGE(""https://docs.google.com/spreadsheets/d/1l83w8bH-F1czkFOqsgQy6o8O33Jb4Pfg40W0ou2nk0k/edit#gid=0"",""'Game 9'!$B$2:$Q$34""),33,False)"),0.0)</f>
        <v>0</v>
      </c>
      <c r="J74" s="5">
        <f>IFERROR(__xludf.DUMMYFUNCTION("HLOOKUP($A74,IMPORTRANGE(""https://docs.google.com/spreadsheets/d/15X-ub7GvrCQZ3UGgyogcjwYdxG-Ng8WHxzGSj1Z3eLw/edit#gid=0"",""'Game 12'!$B$2:$Q$34""),33,False)"),0.0)</f>
        <v>0</v>
      </c>
      <c r="K74" s="5">
        <f>IFERROR(__xludf.DUMMYFUNCTION("IFERROR(HLOOKUP($A74,IMPORTRANGE(""https://docs.google.com/spreadsheets/d/194Bw3ABslPPhOOPvVoMzIk8sOQFICWBu2pydWdYMD-w/edit#gid=0"",""'Game 11'!$B$2:$Q$34""),33,False),1)"),0.0)</f>
        <v>0</v>
      </c>
      <c r="L74" s="5">
        <f>IFERROR(__xludf.DUMMYFUNCTION("IFERROR(HLOOKUP($A74,IMPORTRANGE(""https://docs.google.com/spreadsheets/d/1F2Bi6K_I1K9xRxY5qb-bNRo5m-Kw7udpF1OaTHhrxjs/edit#gid=0"",""'Game 7'!$B$2:$Q$34""),33,False),1)"),0.0)</f>
        <v>0</v>
      </c>
      <c r="M74" s="5">
        <f>IFERROR(__xludf.DUMMYFUNCTION("IFERROR(HLOOKUP($A74,IMPORTRANGE(""https://docs.google.com/spreadsheets/d/1NDNgi_Ny4dRhc2A3UMIIkalN-V6EmsvxOfDzMRQlQ40/edit#gid=0"",""'Game 1'!$B$2:$Q$34""),33,False),1)"),0.0)</f>
        <v>0</v>
      </c>
      <c r="N74" s="5">
        <f>IFERROR(__xludf.DUMMYFUNCTION("IFERROR(HLOOKUP($A74,IMPORTRANGE(""https://docs.google.com/spreadsheets/d/1UDYA3-RrkJNLa2ZLH1NnUjKyfCoiSODmgVL_Au_zt-Y/edit#gid=0"",""'Game 9'!$B$2:$Q$34""),33,False),1)"),0.0)</f>
        <v>0</v>
      </c>
      <c r="O74" s="5">
        <f>IFERROR(__xludf.DUMMYFUNCTION("IFERROR(HLOOKUP($A74,IMPORTRANGE(""https://docs.google.com/spreadsheets/d/1fvo6H94Wcffp6c4N9g3JKCW6y2ZlijPxdOsNz7xdBhw/edit#gid=0"",""'Game 7'!$B$2:$Q$34""),33,False),1)"),0.0)</f>
        <v>0</v>
      </c>
      <c r="P74" s="5">
        <f>IFERROR(__xludf.DUMMYFUNCTION("IFERROR(HLOOKUP($A74,IMPORTRANGE(""https://docs.google.com/spreadsheets/d/1wfQePArl-A-5QJe5xAufoOnzeNLVSoHCRcmpZ_FMdns/edit#gid=0"",""'Game 11'!$B$2:$Q$34""),33,False),1)"),0.0)</f>
        <v>0</v>
      </c>
      <c r="Q74" s="5">
        <f>IFERROR(__xludf.DUMMYFUNCTION("IFERROR(HLOOKUP($A74,IMPORTRANGE(""https://docs.google.com/spreadsheets/d/1wydNznS0hZhVh3oGSdiCZSsReuqMT7Xaw718ix58zAI/edit#gid=0"",""'Game 6'!$B$2:$Q$34""),33,False),1)"),0.0)</f>
        <v>0</v>
      </c>
      <c r="R74" s="6">
        <f>TUHComp!R74</f>
        <v>69</v>
      </c>
      <c r="S74" s="6">
        <f t="shared" si="1"/>
        <v>4</v>
      </c>
      <c r="T74" s="6">
        <f t="shared" si="2"/>
        <v>1.333333333</v>
      </c>
      <c r="U74" s="6">
        <f t="shared" si="3"/>
        <v>91</v>
      </c>
    </row>
    <row r="75">
      <c r="A75" s="19" t="s">
        <v>207</v>
      </c>
      <c r="B75" s="9" t="s">
        <v>200</v>
      </c>
      <c r="C75" s="20">
        <v>4.0</v>
      </c>
      <c r="D75" s="20">
        <v>4.0</v>
      </c>
      <c r="E75" s="20">
        <v>4.0</v>
      </c>
      <c r="F75" s="20">
        <v>-8.0</v>
      </c>
      <c r="G75" s="20">
        <v>16.0</v>
      </c>
      <c r="H75" s="12">
        <v>16.0</v>
      </c>
      <c r="I75" s="12">
        <f>IFERROR(__xludf.DUMMYFUNCTION("HLOOKUP($A75,IMPORTRANGE(""https://docs.google.com/spreadsheets/d/1l83w8bH-F1czkFOqsgQy6o8O33Jb4Pfg40W0ou2nk0k/edit#gid=0"",""'Game 9'!$B$2:$Q$34""),33,False)"),-4.0)</f>
        <v>-4</v>
      </c>
      <c r="J75" s="12">
        <f>IFERROR(__xludf.DUMMYFUNCTION("HLOOKUP($A75,IMPORTRANGE(""https://docs.google.com/spreadsheets/d/15X-ub7GvrCQZ3UGgyogcjwYdxG-Ng8WHxzGSj1Z3eLw/edit#gid=0"",""'Game 12'!$B$2:$Q$34""),33,False)"),12.0)</f>
        <v>12</v>
      </c>
      <c r="K75" s="12">
        <f>IFERROR(__xludf.DUMMYFUNCTION("IFERROR(HLOOKUP($A75,IMPORTRANGE(""https://docs.google.com/spreadsheets/d/194Bw3ABslPPhOOPvVoMzIk8sOQFICWBu2pydWdYMD-w/edit#gid=0"",""'Game 11'!$B$2:$Q$34""),33,False),1)"),12.0)</f>
        <v>12</v>
      </c>
      <c r="L75" s="12">
        <f>IFERROR(__xludf.DUMMYFUNCTION("IFERROR(HLOOKUP($A75,IMPORTRANGE(""https://docs.google.com/spreadsheets/d/1F2Bi6K_I1K9xRxY5qb-bNRo5m-Kw7udpF1OaTHhrxjs/edit#gid=0"",""'Game 7'!$B$2:$Q$34""),33,False),1)"),0.0)</f>
        <v>0</v>
      </c>
      <c r="M75" s="12">
        <f>IFERROR(__xludf.DUMMYFUNCTION("IFERROR(HLOOKUP($A75,IMPORTRANGE(""https://docs.google.com/spreadsheets/d/1NDNgi_Ny4dRhc2A3UMIIkalN-V6EmsvxOfDzMRQlQ40/edit#gid=0"",""'Game 1'!$B$2:$Q$34""),33,False),1)"),8.0)</f>
        <v>8</v>
      </c>
      <c r="N75" s="12">
        <f>IFERROR(__xludf.DUMMYFUNCTION("IFERROR(HLOOKUP($A75,IMPORTRANGE(""https://docs.google.com/spreadsheets/d/1UDYA3-RrkJNLa2ZLH1NnUjKyfCoiSODmgVL_Au_zt-Y/edit#gid=0"",""'Game 9'!$B$2:$Q$34""),33,False),1)"),12.0)</f>
        <v>12</v>
      </c>
      <c r="O75" s="12">
        <f>IFERROR(__xludf.DUMMYFUNCTION("IFERROR(HLOOKUP($A75,IMPORTRANGE(""https://docs.google.com/spreadsheets/d/1fvo6H94Wcffp6c4N9g3JKCW6y2ZlijPxdOsNz7xdBhw/edit#gid=0"",""'Game 7'!$B$2:$Q$34""),33,False),1)"),12.0)</f>
        <v>12</v>
      </c>
      <c r="P75" s="12">
        <f>IFERROR(__xludf.DUMMYFUNCTION("IFERROR(HLOOKUP($A75,IMPORTRANGE(""https://docs.google.com/spreadsheets/d/1wfQePArl-A-5QJe5xAufoOnzeNLVSoHCRcmpZ_FMdns/edit#gid=0"",""'Game 11'!$B$2:$Q$34""),33,False),1)"),0.0)</f>
        <v>0</v>
      </c>
      <c r="Q75" s="12">
        <f>IFERROR(__xludf.DUMMYFUNCTION("IFERROR(HLOOKUP($A75,IMPORTRANGE(""https://docs.google.com/spreadsheets/d/1wydNznS0hZhVh3oGSdiCZSsReuqMT7Xaw718ix58zAI/edit#gid=0"",""'Game 6'!$B$2:$Q$34""),33,False),1)"),8.0)</f>
        <v>8</v>
      </c>
      <c r="R75" s="13">
        <f>TUHComp!R75</f>
        <v>345</v>
      </c>
      <c r="S75" s="13">
        <f t="shared" si="1"/>
        <v>96</v>
      </c>
      <c r="T75" s="13">
        <f t="shared" si="2"/>
        <v>6.4</v>
      </c>
      <c r="U75" s="13">
        <f t="shared" si="3"/>
        <v>42</v>
      </c>
    </row>
    <row r="76">
      <c r="A76" s="4" t="s">
        <v>209</v>
      </c>
      <c r="B76" s="16" t="s">
        <v>210</v>
      </c>
      <c r="C76" s="18">
        <v>0.0</v>
      </c>
      <c r="D76" s="18">
        <v>0.0</v>
      </c>
      <c r="E76" s="18">
        <v>0.0</v>
      </c>
      <c r="F76" s="18">
        <v>0.0</v>
      </c>
      <c r="G76" s="18">
        <v>4.0</v>
      </c>
      <c r="H76" s="5">
        <v>0.0</v>
      </c>
      <c r="I76" s="5">
        <f>IFERROR(__xludf.DUMMYFUNCTION("HLOOKUP($A76,IMPORTRANGE(""https://docs.google.com/spreadsheets/d/1l83w8bH-F1czkFOqsgQy6o8O33Jb4Pfg40W0ou2nk0k/edit#gid=0"",""'Game 6'!$B$2:$Q$34""),33,False)"),4.0)</f>
        <v>4</v>
      </c>
      <c r="J76" s="5">
        <f>IFERROR(__xludf.DUMMYFUNCTION("HLOOKUP($A76,IMPORTRANGE(""https://docs.google.com/spreadsheets/d/15X-ub7GvrCQZ3UGgyogcjwYdxG-Ng8WHxzGSj1Z3eLw/edit#gid=0"",""'Game 7'!$B$2:$Q$34""),33,False)"),0.0)</f>
        <v>0</v>
      </c>
      <c r="K76" s="5">
        <f>IFERROR(__xludf.DUMMYFUNCTION("IFERROR(HLOOKUP($A76,IMPORTRANGE(""https://docs.google.com/spreadsheets/d/194Bw3ABslPPhOOPvVoMzIk8sOQFICWBu2pydWdYMD-w/edit#gid=0"",""'Game 8'!$B$2:$Q$34""),33,False),1)"),0.0)</f>
        <v>0</v>
      </c>
      <c r="L76" s="5">
        <f>IFERROR(__xludf.DUMMYFUNCTION("IFERROR(HLOOKUP($A76,IMPORTRANGE(""https://docs.google.com/spreadsheets/d/1F2Bi6K_I1K9xRxY5qb-bNRo5m-Kw7udpF1OaTHhrxjs/edit#gid=0"",""'Game 7'!$B$2:$Q$34""),33,False),1)"),0.0)</f>
        <v>0</v>
      </c>
      <c r="M76" s="5">
        <f>IFERROR(__xludf.DUMMYFUNCTION("IFERROR(HLOOKUP($A76,IMPORTRANGE(""https://docs.google.com/spreadsheets/d/1NDNgi_Ny4dRhc2A3UMIIkalN-V6EmsvxOfDzMRQlQ40/edit#gid=0"",""'Game 7'!$B$2:$Q$34""),33,False),1)"),0.0)</f>
        <v>0</v>
      </c>
      <c r="N76" s="5">
        <f>IFERROR(__xludf.DUMMYFUNCTION("IFERROR(HLOOKUP($A76,IMPORTRANGE(""https://docs.google.com/spreadsheets/d/1UDYA3-RrkJNLa2ZLH1NnUjKyfCoiSODmgVL_Au_zt-Y/edit#gid=0"",""'Game 3'!$B$2:$Q$34""),33,False),1)"),0.0)</f>
        <v>0</v>
      </c>
      <c r="O76" s="5">
        <f>IFERROR(__xludf.DUMMYFUNCTION("IFERROR(HLOOKUP($A76,IMPORTRANGE(""https://docs.google.com/spreadsheets/d/1fvo6H94Wcffp6c4N9g3JKCW6y2ZlijPxdOsNz7xdBhw/edit#gid=0"",""'Game 3'!$B$2:$Q$34""),33,False),1)"),0.0)</f>
        <v>0</v>
      </c>
      <c r="P76" s="5">
        <f>IFERROR(__xludf.DUMMYFUNCTION("IFERROR(HLOOKUP($A76,IMPORTRANGE(""https://docs.google.com/spreadsheets/d/1wfQePArl-A-5QJe5xAufoOnzeNLVSoHCRcmpZ_FMdns/edit#gid=0"",""'Game 7'!$B$2:$Q$34""),33,False),1)"),0.0)</f>
        <v>0</v>
      </c>
      <c r="Q76" s="5">
        <f>IFERROR(__xludf.DUMMYFUNCTION("IFERROR(HLOOKUP($A76,IMPORTRANGE(""https://docs.google.com/spreadsheets/d/1wydNznS0hZhVh3oGSdiCZSsReuqMT7Xaw718ix58zAI/edit#gid=0"",""'Game 1'!$B$2:$Q$34""),33,False),1)"),0.0)</f>
        <v>0</v>
      </c>
      <c r="R76" s="6">
        <f>TUHComp!R76</f>
        <v>178</v>
      </c>
      <c r="S76" s="6">
        <f t="shared" si="1"/>
        <v>8</v>
      </c>
      <c r="T76" s="6">
        <f t="shared" si="2"/>
        <v>1.033707865</v>
      </c>
      <c r="U76" s="6">
        <f t="shared" si="3"/>
        <v>93</v>
      </c>
    </row>
    <row r="77">
      <c r="A77" s="19" t="s">
        <v>214</v>
      </c>
      <c r="B77" s="9" t="s">
        <v>210</v>
      </c>
      <c r="C77" s="20">
        <v>0.0</v>
      </c>
      <c r="D77" s="20">
        <v>0.0</v>
      </c>
      <c r="E77" s="20">
        <v>0.0</v>
      </c>
      <c r="F77" s="20">
        <v>0.0</v>
      </c>
      <c r="G77" s="20">
        <v>0.0</v>
      </c>
      <c r="H77" s="12">
        <v>0.0</v>
      </c>
      <c r="I77" s="12">
        <f>IFERROR(__xludf.DUMMYFUNCTION("HLOOKUP($A77,IMPORTRANGE(""https://docs.google.com/spreadsheets/d/1l83w8bH-F1czkFOqsgQy6o8O33Jb4Pfg40W0ou2nk0k/edit#gid=0"",""'Game 6'!$B$2:$Q$34""),33,False)"),0.0)</f>
        <v>0</v>
      </c>
      <c r="J77" s="12">
        <f>IFERROR(__xludf.DUMMYFUNCTION("HLOOKUP($A77,IMPORTRANGE(""https://docs.google.com/spreadsheets/d/15X-ub7GvrCQZ3UGgyogcjwYdxG-Ng8WHxzGSj1Z3eLw/edit#gid=0"",""'Game 7'!$B$2:$Q$34""),33,False)"),0.0)</f>
        <v>0</v>
      </c>
      <c r="K77" s="12">
        <f>IFERROR(__xludf.DUMMYFUNCTION("IFERROR(HLOOKUP($A77,IMPORTRANGE(""https://docs.google.com/spreadsheets/d/194Bw3ABslPPhOOPvVoMzIk8sOQFICWBu2pydWdYMD-w/edit#gid=0"",""'Game 8'!$B$2:$Q$34""),33,False),1)"),0.0)</f>
        <v>0</v>
      </c>
      <c r="L77" s="12">
        <f>IFERROR(__xludf.DUMMYFUNCTION("IFERROR(HLOOKUP($A77,IMPORTRANGE(""https://docs.google.com/spreadsheets/d/1F2Bi6K_I1K9xRxY5qb-bNRo5m-Kw7udpF1OaTHhrxjs/edit#gid=0"",""'Game 7'!$B$2:$Q$34""),33,False),1)"),0.0)</f>
        <v>0</v>
      </c>
      <c r="M77" s="12">
        <f>IFERROR(__xludf.DUMMYFUNCTION("IFERROR(HLOOKUP($A77,IMPORTRANGE(""https://docs.google.com/spreadsheets/d/1NDNgi_Ny4dRhc2A3UMIIkalN-V6EmsvxOfDzMRQlQ40/edit#gid=0"",""'Game 7'!$B$2:$Q$34""),33,False),1)"),-4.0)</f>
        <v>-4</v>
      </c>
      <c r="N77" s="12">
        <f>IFERROR(__xludf.DUMMYFUNCTION("IFERROR(HLOOKUP($A77,IMPORTRANGE(""https://docs.google.com/spreadsheets/d/1UDYA3-RrkJNLa2ZLH1NnUjKyfCoiSODmgVL_Au_zt-Y/edit#gid=0"",""'Game 3'!$B$2:$Q$34""),33,False),1)"),0.0)</f>
        <v>0</v>
      </c>
      <c r="O77" s="12">
        <f>IFERROR(__xludf.DUMMYFUNCTION("IFERROR(HLOOKUP($A77,IMPORTRANGE(""https://docs.google.com/spreadsheets/d/1fvo6H94Wcffp6c4N9g3JKCW6y2ZlijPxdOsNz7xdBhw/edit#gid=0"",""'Game 3'!$B$2:$Q$34""),33,False),1)"),0.0)</f>
        <v>0</v>
      </c>
      <c r="P77" s="12">
        <f>IFERROR(__xludf.DUMMYFUNCTION("IFERROR(HLOOKUP($A77,IMPORTRANGE(""https://docs.google.com/spreadsheets/d/1wfQePArl-A-5QJe5xAufoOnzeNLVSoHCRcmpZ_FMdns/edit#gid=0"",""'Game 7'!$B$2:$Q$34""),33,False),1)"),0.0)</f>
        <v>0</v>
      </c>
      <c r="Q77" s="12">
        <f>IFERROR(__xludf.DUMMYFUNCTION("IFERROR(HLOOKUP($A77,IMPORTRANGE(""https://docs.google.com/spreadsheets/d/1wydNznS0hZhVh3oGSdiCZSsReuqMT7Xaw718ix58zAI/edit#gid=0"",""'Game 1'!$B$2:$Q$34""),33,False),1)"),0.0)</f>
        <v>0</v>
      </c>
      <c r="R77" s="13">
        <f>TUHComp!R77</f>
        <v>184</v>
      </c>
      <c r="S77" s="13">
        <f t="shared" si="1"/>
        <v>-4</v>
      </c>
      <c r="T77" s="13">
        <f t="shared" si="2"/>
        <v>-0.5</v>
      </c>
      <c r="U77" s="13">
        <f t="shared" si="3"/>
        <v>117</v>
      </c>
    </row>
    <row r="78">
      <c r="A78" s="16" t="s">
        <v>216</v>
      </c>
      <c r="B78" s="16" t="s">
        <v>210</v>
      </c>
      <c r="C78" s="18">
        <v>20.0</v>
      </c>
      <c r="D78" s="18">
        <v>40.0</v>
      </c>
      <c r="E78" s="18">
        <v>0.0</v>
      </c>
      <c r="F78" s="18">
        <v>24.0</v>
      </c>
      <c r="G78" s="18">
        <v>28.0</v>
      </c>
      <c r="H78" s="5">
        <v>36.0</v>
      </c>
      <c r="I78" s="5">
        <f>IFERROR(__xludf.DUMMYFUNCTION("HLOOKUP($A78,IMPORTRANGE(""https://docs.google.com/spreadsheets/d/1l83w8bH-F1czkFOqsgQy6o8O33Jb4Pfg40W0ou2nk0k/edit#gid=0"",""'Game 6'!$B$2:$Q$34""),33,False)"),0.0)</f>
        <v>0</v>
      </c>
      <c r="J78" s="5">
        <f>IFERROR(__xludf.DUMMYFUNCTION("HLOOKUP($A78,IMPORTRANGE(""https://docs.google.com/spreadsheets/d/15X-ub7GvrCQZ3UGgyogcjwYdxG-Ng8WHxzGSj1Z3eLw/edit#gid=0"",""'Game 7'!$B$2:$Q$34""),33,False)"),24.0)</f>
        <v>24</v>
      </c>
      <c r="K78" s="5">
        <f>IFERROR(__xludf.DUMMYFUNCTION("IFERROR(HLOOKUP($A78,IMPORTRANGE(""https://docs.google.com/spreadsheets/d/194Bw3ABslPPhOOPvVoMzIk8sOQFICWBu2pydWdYMD-w/edit#gid=0"",""'Game 8'!$B$2:$Q$34""),33,False),1)"),12.0)</f>
        <v>12</v>
      </c>
      <c r="L78" s="5">
        <f>IFERROR(__xludf.DUMMYFUNCTION("IFERROR(HLOOKUP($A78,IMPORTRANGE(""https://docs.google.com/spreadsheets/d/1F2Bi6K_I1K9xRxY5qb-bNRo5m-Kw7udpF1OaTHhrxjs/edit#gid=0"",""'Game 7'!$B$2:$Q$34""),33,False),1)"),44.0)</f>
        <v>44</v>
      </c>
      <c r="M78" s="5">
        <f>IFERROR(__xludf.DUMMYFUNCTION("IFERROR(HLOOKUP($A78,IMPORTRANGE(""https://docs.google.com/spreadsheets/d/1NDNgi_Ny4dRhc2A3UMIIkalN-V6EmsvxOfDzMRQlQ40/edit#gid=0"",""'Game 7'!$B$2:$Q$34""),33,False),1)"),12.0)</f>
        <v>12</v>
      </c>
      <c r="N78" s="5">
        <f>IFERROR(__xludf.DUMMYFUNCTION("IFERROR(HLOOKUP($A78,IMPORTRANGE(""https://docs.google.com/spreadsheets/d/1UDYA3-RrkJNLa2ZLH1NnUjKyfCoiSODmgVL_Au_zt-Y/edit#gid=0"",""'Game 3'!$B$2:$Q$34""),33,False),1)"),48.0)</f>
        <v>48</v>
      </c>
      <c r="O78" s="5">
        <f>IFERROR(__xludf.DUMMYFUNCTION("IFERROR(HLOOKUP($A78,IMPORTRANGE(""https://docs.google.com/spreadsheets/d/1fvo6H94Wcffp6c4N9g3JKCW6y2ZlijPxdOsNz7xdBhw/edit#gid=0"",""'Game 3'!$B$2:$Q$34""),33,False),1)"),40.0)</f>
        <v>40</v>
      </c>
      <c r="P78" s="5">
        <f>IFERROR(__xludf.DUMMYFUNCTION("IFERROR(HLOOKUP($A78,IMPORTRANGE(""https://docs.google.com/spreadsheets/d/1wfQePArl-A-5QJe5xAufoOnzeNLVSoHCRcmpZ_FMdns/edit#gid=0"",""'Game 7'!$B$2:$Q$34""),33,False),1)"),4.0)</f>
        <v>4</v>
      </c>
      <c r="Q78" s="5">
        <f>IFERROR(__xludf.DUMMYFUNCTION("IFERROR(HLOOKUP($A78,IMPORTRANGE(""https://docs.google.com/spreadsheets/d/1wydNznS0hZhVh3oGSdiCZSsReuqMT7Xaw718ix58zAI/edit#gid=0"",""'Game 1'!$B$2:$Q$34""),33,False),1)"),36.0)</f>
        <v>36</v>
      </c>
      <c r="R78" s="6">
        <f>TUHComp!R78</f>
        <v>310</v>
      </c>
      <c r="S78" s="6">
        <f t="shared" si="1"/>
        <v>368</v>
      </c>
      <c r="T78" s="6">
        <f t="shared" si="2"/>
        <v>27.30322581</v>
      </c>
      <c r="U78" s="6">
        <f t="shared" si="3"/>
        <v>6</v>
      </c>
    </row>
    <row r="79">
      <c r="A79" s="19" t="s">
        <v>218</v>
      </c>
      <c r="B79" s="9" t="s">
        <v>210</v>
      </c>
      <c r="C79" s="20">
        <v>0.0</v>
      </c>
      <c r="D79" s="20">
        <v>12.0</v>
      </c>
      <c r="E79" s="20">
        <v>4.0</v>
      </c>
      <c r="F79" s="20">
        <v>8.0</v>
      </c>
      <c r="G79" s="20">
        <v>-4.0</v>
      </c>
      <c r="H79" s="12">
        <v>0.0</v>
      </c>
      <c r="I79" s="12">
        <f>IFERROR(__xludf.DUMMYFUNCTION("HLOOKUP($A79,IMPORTRANGE(""https://docs.google.com/spreadsheets/d/1l83w8bH-F1czkFOqsgQy6o8O33Jb4Pfg40W0ou2nk0k/edit#gid=0"",""'Game 6'!$B$2:$Q$34""),33,False)"),24.0)</f>
        <v>24</v>
      </c>
      <c r="J79" s="12">
        <f>IFERROR(__xludf.DUMMYFUNCTION("HLOOKUP($A79,IMPORTRANGE(""https://docs.google.com/spreadsheets/d/15X-ub7GvrCQZ3UGgyogcjwYdxG-Ng8WHxzGSj1Z3eLw/edit#gid=0"",""'Game 7'!$B$2:$Q$34""),33,False)"),0.0)</f>
        <v>0</v>
      </c>
      <c r="K79" s="12">
        <f>IFERROR(__xludf.DUMMYFUNCTION("IFERROR(HLOOKUP($A79,IMPORTRANGE(""https://docs.google.com/spreadsheets/d/194Bw3ABslPPhOOPvVoMzIk8sOQFICWBu2pydWdYMD-w/edit#gid=0"",""'Game 8'!$B$2:$Q$34""),33,False),1)"),8.0)</f>
        <v>8</v>
      </c>
      <c r="L79" s="12">
        <f>IFERROR(__xludf.DUMMYFUNCTION("IFERROR(HLOOKUP($A79,IMPORTRANGE(""https://docs.google.com/spreadsheets/d/1F2Bi6K_I1K9xRxY5qb-bNRo5m-Kw7udpF1OaTHhrxjs/edit#gid=0"",""'Game 7'!$B$2:$Q$34""),33,False),1)"),0.0)</f>
        <v>0</v>
      </c>
      <c r="M79" s="12">
        <f>IFERROR(__xludf.DUMMYFUNCTION("IFERROR(HLOOKUP($A79,IMPORTRANGE(""https://docs.google.com/spreadsheets/d/1NDNgi_Ny4dRhc2A3UMIIkalN-V6EmsvxOfDzMRQlQ40/edit#gid=0"",""'Game 7'!$B$2:$Q$34""),33,False),1)"),0.0)</f>
        <v>0</v>
      </c>
      <c r="N79" s="12">
        <f>IFERROR(__xludf.DUMMYFUNCTION("IFERROR(HLOOKUP($A79,IMPORTRANGE(""https://docs.google.com/spreadsheets/d/1UDYA3-RrkJNLa2ZLH1NnUjKyfCoiSODmgVL_Au_zt-Y/edit#gid=0"",""'Game 3'!$B$2:$Q$34""),33,False),1)"),8.0)</f>
        <v>8</v>
      </c>
      <c r="O79" s="12">
        <f>IFERROR(__xludf.DUMMYFUNCTION("IFERROR(HLOOKUP($A79,IMPORTRANGE(""https://docs.google.com/spreadsheets/d/1fvo6H94Wcffp6c4N9g3JKCW6y2ZlijPxdOsNz7xdBhw/edit#gid=0"",""'Game 3'!$B$2:$Q$34""),33,False),1)"),0.0)</f>
        <v>0</v>
      </c>
      <c r="P79" s="12">
        <f>IFERROR(__xludf.DUMMYFUNCTION("IFERROR(HLOOKUP($A79,IMPORTRANGE(""https://docs.google.com/spreadsheets/d/1wfQePArl-A-5QJe5xAufoOnzeNLVSoHCRcmpZ_FMdns/edit#gid=0"",""'Game 7'!$B$2:$Q$34""),33,False),1)"),4.0)</f>
        <v>4</v>
      </c>
      <c r="Q79" s="12">
        <f>IFERROR(__xludf.DUMMYFUNCTION("IFERROR(HLOOKUP($A79,IMPORTRANGE(""https://docs.google.com/spreadsheets/d/1wydNznS0hZhVh3oGSdiCZSsReuqMT7Xaw718ix58zAI/edit#gid=0"",""'Game 1'!$B$2:$Q$34""),33,False),1)"),0.0)</f>
        <v>0</v>
      </c>
      <c r="R79" s="13">
        <f>TUHComp!R79</f>
        <v>345</v>
      </c>
      <c r="S79" s="13">
        <f t="shared" si="1"/>
        <v>64</v>
      </c>
      <c r="T79" s="13">
        <f t="shared" si="2"/>
        <v>4.266666667</v>
      </c>
      <c r="U79" s="13">
        <f t="shared" si="3"/>
        <v>59</v>
      </c>
    </row>
    <row r="80">
      <c r="A80" s="4" t="s">
        <v>220</v>
      </c>
      <c r="B80" s="4" t="s">
        <v>210</v>
      </c>
      <c r="C80" s="18">
        <v>0.0</v>
      </c>
      <c r="D80" s="18">
        <v>4.0</v>
      </c>
      <c r="E80" s="18">
        <v>0.0</v>
      </c>
      <c r="F80" s="18">
        <v>0.0</v>
      </c>
      <c r="G80" s="18">
        <v>0.0</v>
      </c>
      <c r="H80" s="5">
        <v>0.0</v>
      </c>
      <c r="I80" s="5">
        <f>IFERROR(__xludf.DUMMYFUNCTION("HLOOKUP($A80,IMPORTRANGE(""https://docs.google.com/spreadsheets/d/1l83w8bH-F1czkFOqsgQy6o8O33Jb4Pfg40W0ou2nk0k/edit#gid=0"",""'Game 6'!$B$2:$Q$34""),33,False)"),4.0)</f>
        <v>4</v>
      </c>
      <c r="J80" s="5">
        <f>IFERROR(__xludf.DUMMYFUNCTION("HLOOKUP($A80,IMPORTRANGE(""https://docs.google.com/spreadsheets/d/15X-ub7GvrCQZ3UGgyogcjwYdxG-Ng8WHxzGSj1Z3eLw/edit#gid=0"",""'Game 7'!$B$2:$Q$34""),33,False)"),8.0)</f>
        <v>8</v>
      </c>
      <c r="K80" s="5">
        <f>IFERROR(__xludf.DUMMYFUNCTION("IFERROR(HLOOKUP($A80,IMPORTRANGE(""https://docs.google.com/spreadsheets/d/194Bw3ABslPPhOOPvVoMzIk8sOQFICWBu2pydWdYMD-w/edit#gid=0"",""'Game 8'!$B$2:$Q$34""),33,False),1)"),0.0)</f>
        <v>0</v>
      </c>
      <c r="L80" s="5">
        <f>IFERROR(__xludf.DUMMYFUNCTION("IFERROR(HLOOKUP($A80,IMPORTRANGE(""https://docs.google.com/spreadsheets/d/1F2Bi6K_I1K9xRxY5qb-bNRo5m-Kw7udpF1OaTHhrxjs/edit#gid=0"",""'Game 7'!$B$2:$Q$34""),33,False),1)"),0.0)</f>
        <v>0</v>
      </c>
      <c r="M80" s="5">
        <f>IFERROR(__xludf.DUMMYFUNCTION("IFERROR(HLOOKUP($A80,IMPORTRANGE(""https://docs.google.com/spreadsheets/d/1NDNgi_Ny4dRhc2A3UMIIkalN-V6EmsvxOfDzMRQlQ40/edit#gid=0"",""'Game 7'!$B$2:$Q$34""),33,False),1)"),8.0)</f>
        <v>8</v>
      </c>
      <c r="N80" s="5">
        <f>IFERROR(__xludf.DUMMYFUNCTION("IFERROR(HLOOKUP($A80,IMPORTRANGE(""https://docs.google.com/spreadsheets/d/1UDYA3-RrkJNLa2ZLH1NnUjKyfCoiSODmgVL_Au_zt-Y/edit#gid=0"",""'Game 3'!$B$2:$Q$34""),33,False),1)"),0.0)</f>
        <v>0</v>
      </c>
      <c r="O80" s="5">
        <f>IFERROR(__xludf.DUMMYFUNCTION("IFERROR(HLOOKUP($A80,IMPORTRANGE(""https://docs.google.com/spreadsheets/d/1fvo6H94Wcffp6c4N9g3JKCW6y2ZlijPxdOsNz7xdBhw/edit#gid=0"",""'Game 3'!$B$2:$Q$34""),33,False),1)"),0.0)</f>
        <v>0</v>
      </c>
      <c r="P80" s="5">
        <f>IFERROR(__xludf.DUMMYFUNCTION("IFERROR(HLOOKUP($A80,IMPORTRANGE(""https://docs.google.com/spreadsheets/d/1wfQePArl-A-5QJe5xAufoOnzeNLVSoHCRcmpZ_FMdns/edit#gid=0"",""'Game 7'!$B$2:$Q$34""),33,False),1)"),0.0)</f>
        <v>0</v>
      </c>
      <c r="Q80" s="5">
        <f>IFERROR(__xludf.DUMMYFUNCTION("IFERROR(HLOOKUP($A80,IMPORTRANGE(""https://docs.google.com/spreadsheets/d/1wydNznS0hZhVh3oGSdiCZSsReuqMT7Xaw718ix58zAI/edit#gid=0"",""'Game 1'!$B$2:$Q$34""),33,False),1)"),4.0)</f>
        <v>4</v>
      </c>
      <c r="R80" s="6">
        <f>TUHComp!R80</f>
        <v>276</v>
      </c>
      <c r="S80" s="6">
        <f t="shared" si="1"/>
        <v>28</v>
      </c>
      <c r="T80" s="6">
        <f t="shared" si="2"/>
        <v>2.333333333</v>
      </c>
      <c r="U80" s="6">
        <f t="shared" si="3"/>
        <v>80</v>
      </c>
    </row>
    <row r="81">
      <c r="A81" s="19" t="s">
        <v>222</v>
      </c>
      <c r="B81" s="19" t="s">
        <v>223</v>
      </c>
      <c r="C81" s="20">
        <v>4.0</v>
      </c>
      <c r="D81" s="20">
        <v>0.0</v>
      </c>
      <c r="E81" s="20">
        <v>4.0</v>
      </c>
      <c r="F81" s="20">
        <v>0.0</v>
      </c>
      <c r="G81" s="20">
        <v>0.0</v>
      </c>
      <c r="H81" s="12">
        <v>0.0</v>
      </c>
      <c r="I81" s="12">
        <f>IFERROR(__xludf.DUMMYFUNCTION("HLOOKUP($A81,IMPORTRANGE(""https://docs.google.com/spreadsheets/d/1l83w8bH-F1czkFOqsgQy6o8O33Jb4Pfg40W0ou2nk0k/edit#gid=0"",""'Game 2'!$B$2:$Q$34""),33,False)"),4.0)</f>
        <v>4</v>
      </c>
      <c r="J81" s="12">
        <f>IFERROR(__xludf.DUMMYFUNCTION("HLOOKUP($A81,IMPORTRANGE(""https://docs.google.com/spreadsheets/d/15X-ub7GvrCQZ3UGgyogcjwYdxG-Ng8WHxzGSj1Z3eLw/edit#gid=0"",""'Game 2'!$B$2:$Q$34""),33,False)"),0.0)</f>
        <v>0</v>
      </c>
      <c r="K81" s="12">
        <f>IFERROR(__xludf.DUMMYFUNCTION("IFERROR(HLOOKUP($A81,IMPORTRANGE(""https://docs.google.com/spreadsheets/d/194Bw3ABslPPhOOPvVoMzIk8sOQFICWBu2pydWdYMD-w/edit#gid=0"",""'Game 5'!$B$2:$Q$34""),33,False),1)"),-4.0)</f>
        <v>-4</v>
      </c>
      <c r="L81" s="12">
        <f>IFERROR(__xludf.DUMMYFUNCTION("IFERROR(HLOOKUP($A81,IMPORTRANGE(""https://docs.google.com/spreadsheets/d/1F2Bi6K_I1K9xRxY5qb-bNRo5m-Kw7udpF1OaTHhrxjs/edit#gid=0"",""'Game 9'!$B$2:$Q$34""),33,False),1)"),0.0)</f>
        <v>0</v>
      </c>
      <c r="M81" s="12">
        <f>IFERROR(__xludf.DUMMYFUNCTION("IFERROR(HLOOKUP($A81,IMPORTRANGE(""https://docs.google.com/spreadsheets/d/1NDNgi_Ny4dRhc2A3UMIIkalN-V6EmsvxOfDzMRQlQ40/edit#gid=0"",""'Game 8'!$B$2:$Q$34""),33,False),1)"),0.0)</f>
        <v>0</v>
      </c>
      <c r="N81" s="12">
        <f>IFERROR(__xludf.DUMMYFUNCTION("IFERROR(HLOOKUP($A81,IMPORTRANGE(""https://docs.google.com/spreadsheets/d/1UDYA3-RrkJNLa2ZLH1NnUjKyfCoiSODmgVL_Au_zt-Y/edit#gid=0"",""'Game 12'!$B$2:$Q$34""),33,False),1)"),0.0)</f>
        <v>0</v>
      </c>
      <c r="O81" s="12">
        <f>IFERROR(__xludf.DUMMYFUNCTION("IFERROR(HLOOKUP($A81,IMPORTRANGE(""https://docs.google.com/spreadsheets/d/1fvo6H94Wcffp6c4N9g3JKCW6y2ZlijPxdOsNz7xdBhw/edit#gid=0"",""'Game 12'!$B$2:$Q$34""),33,False),1)"),4.0)</f>
        <v>4</v>
      </c>
      <c r="P81" s="12">
        <f>IFERROR(__xludf.DUMMYFUNCTION("IFERROR(HLOOKUP($A81,IMPORTRANGE(""https://docs.google.com/spreadsheets/d/1wfQePArl-A-5QJe5xAufoOnzeNLVSoHCRcmpZ_FMdns/edit#gid=0"",""'Game 11'!$B$2:$Q$34""),33,False),1)"),-4.0)</f>
        <v>-4</v>
      </c>
      <c r="Q81" s="12">
        <f>IFERROR(__xludf.DUMMYFUNCTION("IFERROR(HLOOKUP($A81,IMPORTRANGE(""https://docs.google.com/spreadsheets/d/1wydNznS0hZhVh3oGSdiCZSsReuqMT7Xaw718ix58zAI/edit#gid=0"",""'Game 3'!$B$2:$Q$34""),33,False),1)"),0.0)</f>
        <v>0</v>
      </c>
      <c r="R81" s="13">
        <f>TUHComp!R81</f>
        <v>253</v>
      </c>
      <c r="S81" s="13">
        <f t="shared" si="1"/>
        <v>8</v>
      </c>
      <c r="T81" s="13">
        <f t="shared" si="2"/>
        <v>0.7272727273</v>
      </c>
      <c r="U81" s="13">
        <f t="shared" si="3"/>
        <v>99</v>
      </c>
    </row>
    <row r="82">
      <c r="A82" s="4" t="s">
        <v>226</v>
      </c>
      <c r="B82" s="4" t="s">
        <v>223</v>
      </c>
      <c r="C82" s="18">
        <v>0.0</v>
      </c>
      <c r="D82" s="18">
        <v>12.0</v>
      </c>
      <c r="E82" s="18">
        <v>0.0</v>
      </c>
      <c r="F82" s="18">
        <v>0.0</v>
      </c>
      <c r="G82" s="18">
        <v>0.0</v>
      </c>
      <c r="H82" s="5">
        <v>8.0</v>
      </c>
      <c r="I82" s="5">
        <f>IFERROR(__xludf.DUMMYFUNCTION("HLOOKUP($A82,IMPORTRANGE(""https://docs.google.com/spreadsheets/d/1l83w8bH-F1czkFOqsgQy6o8O33Jb4Pfg40W0ou2nk0k/edit#gid=0"",""'Game 2'!$B$2:$Q$34""),33,False)"),8.0)</f>
        <v>8</v>
      </c>
      <c r="J82" s="5">
        <f>IFERROR(__xludf.DUMMYFUNCTION("HLOOKUP($A82,IMPORTRANGE(""https://docs.google.com/spreadsheets/d/15X-ub7GvrCQZ3UGgyogcjwYdxG-Ng8WHxzGSj1Z3eLw/edit#gid=0"",""'Game 2'!$B$2:$Q$34""),33,False)"),16.0)</f>
        <v>16</v>
      </c>
      <c r="K82" s="5">
        <f>IFERROR(__xludf.DUMMYFUNCTION("IFERROR(HLOOKUP($A82,IMPORTRANGE(""https://docs.google.com/spreadsheets/d/194Bw3ABslPPhOOPvVoMzIk8sOQFICWBu2pydWdYMD-w/edit#gid=0"",""'Game 5'!$B$2:$Q$34""),33,False),1)"),4.0)</f>
        <v>4</v>
      </c>
      <c r="L82" s="5">
        <f>IFERROR(__xludf.DUMMYFUNCTION("IFERROR(HLOOKUP($A82,IMPORTRANGE(""https://docs.google.com/spreadsheets/d/1F2Bi6K_I1K9xRxY5qb-bNRo5m-Kw7udpF1OaTHhrxjs/edit#gid=0"",""'Game 9'!$B$2:$Q$34""),33,False),1)"),0.0)</f>
        <v>0</v>
      </c>
      <c r="M82" s="5">
        <f>IFERROR(__xludf.DUMMYFUNCTION("IFERROR(HLOOKUP($A82,IMPORTRANGE(""https://docs.google.com/spreadsheets/d/1NDNgi_Ny4dRhc2A3UMIIkalN-V6EmsvxOfDzMRQlQ40/edit#gid=0"",""'Game 8'!$B$2:$Q$34""),33,False),1)"),0.0)</f>
        <v>0</v>
      </c>
      <c r="N82" s="5">
        <f>IFERROR(__xludf.DUMMYFUNCTION("IFERROR(HLOOKUP($A82,IMPORTRANGE(""https://docs.google.com/spreadsheets/d/1UDYA3-RrkJNLa2ZLH1NnUjKyfCoiSODmgVL_Au_zt-Y/edit#gid=0"",""'Game 12'!$B$2:$Q$34""),33,False),1)"),4.0)</f>
        <v>4</v>
      </c>
      <c r="O82" s="5">
        <f>IFERROR(__xludf.DUMMYFUNCTION("IFERROR(HLOOKUP($A82,IMPORTRANGE(""https://docs.google.com/spreadsheets/d/1fvo6H94Wcffp6c4N9g3JKCW6y2ZlijPxdOsNz7xdBhw/edit#gid=0"",""'Game 12'!$B$2:$Q$34""),33,False),1)"),0.0)</f>
        <v>0</v>
      </c>
      <c r="P82" s="5">
        <f>IFERROR(__xludf.DUMMYFUNCTION("IFERROR(HLOOKUP($A82,IMPORTRANGE(""https://docs.google.com/spreadsheets/d/1wfQePArl-A-5QJe5xAufoOnzeNLVSoHCRcmpZ_FMdns/edit#gid=0"",""'Game 11'!$B$2:$Q$34""),33,False),1)"),-4.0)</f>
        <v>-4</v>
      </c>
      <c r="Q82" s="5">
        <f>IFERROR(__xludf.DUMMYFUNCTION("IFERROR(HLOOKUP($A82,IMPORTRANGE(""https://docs.google.com/spreadsheets/d/1wydNznS0hZhVh3oGSdiCZSsReuqMT7Xaw718ix58zAI/edit#gid=0"",""'Game 3'!$B$2:$Q$34""),33,False),1)"),4.0)</f>
        <v>4</v>
      </c>
      <c r="R82" s="6">
        <f>TUHComp!R82</f>
        <v>231</v>
      </c>
      <c r="S82" s="6">
        <f t="shared" si="1"/>
        <v>52</v>
      </c>
      <c r="T82" s="6">
        <f t="shared" si="2"/>
        <v>5.177489177</v>
      </c>
      <c r="U82" s="6">
        <f t="shared" si="3"/>
        <v>49</v>
      </c>
    </row>
    <row r="83">
      <c r="A83" s="19" t="s">
        <v>228</v>
      </c>
      <c r="B83" s="19" t="s">
        <v>223</v>
      </c>
      <c r="C83" s="20">
        <v>40.0</v>
      </c>
      <c r="D83" s="20">
        <v>28.0</v>
      </c>
      <c r="E83" s="20">
        <v>32.0</v>
      </c>
      <c r="F83" s="20">
        <v>40.0</v>
      </c>
      <c r="G83" s="20">
        <v>32.0</v>
      </c>
      <c r="H83" s="12">
        <v>32.0</v>
      </c>
      <c r="I83" s="12">
        <f>IFERROR(__xludf.DUMMYFUNCTION("HLOOKUP($A83,IMPORTRANGE(""https://docs.google.com/spreadsheets/d/1l83w8bH-F1czkFOqsgQy6o8O33Jb4Pfg40W0ou2nk0k/edit#gid=0"",""'Game 2'!$B$2:$Q$34""),33,False)"),28.0)</f>
        <v>28</v>
      </c>
      <c r="J83" s="12">
        <f>IFERROR(__xludf.DUMMYFUNCTION("HLOOKUP($A83,IMPORTRANGE(""https://docs.google.com/spreadsheets/d/15X-ub7GvrCQZ3UGgyogcjwYdxG-Ng8WHxzGSj1Z3eLw/edit#gid=0"",""'Game 2'!$B$2:$Q$34""),33,False)"),16.0)</f>
        <v>16</v>
      </c>
      <c r="K83" s="12">
        <f>IFERROR(__xludf.DUMMYFUNCTION("IFERROR(HLOOKUP($A83,IMPORTRANGE(""https://docs.google.com/spreadsheets/d/194Bw3ABslPPhOOPvVoMzIk8sOQFICWBu2pydWdYMD-w/edit#gid=0"",""'Game 5'!$B$2:$Q$34""),33,False),1)"),20.0)</f>
        <v>20</v>
      </c>
      <c r="L83" s="12">
        <f>IFERROR(__xludf.DUMMYFUNCTION("IFERROR(HLOOKUP($A83,IMPORTRANGE(""https://docs.google.com/spreadsheets/d/1F2Bi6K_I1K9xRxY5qb-bNRo5m-Kw7udpF1OaTHhrxjs/edit#gid=0"",""'Game 9'!$B$2:$Q$34""),33,False),1)"),24.0)</f>
        <v>24</v>
      </c>
      <c r="M83" s="12">
        <f>IFERROR(__xludf.DUMMYFUNCTION("IFERROR(HLOOKUP($A83,IMPORTRANGE(""https://docs.google.com/spreadsheets/d/1NDNgi_Ny4dRhc2A3UMIIkalN-V6EmsvxOfDzMRQlQ40/edit#gid=0"",""'Game 8'!$B$2:$Q$34""),33,False),1)"),12.0)</f>
        <v>12</v>
      </c>
      <c r="N83" s="12">
        <f>IFERROR(__xludf.DUMMYFUNCTION("IFERROR(HLOOKUP($A83,IMPORTRANGE(""https://docs.google.com/spreadsheets/d/1UDYA3-RrkJNLa2ZLH1NnUjKyfCoiSODmgVL_Au_zt-Y/edit#gid=0"",""'Game 12'!$B$2:$Q$34""),33,False),1)"),32.0)</f>
        <v>32</v>
      </c>
      <c r="O83" s="12">
        <f>IFERROR(__xludf.DUMMYFUNCTION("IFERROR(HLOOKUP($A83,IMPORTRANGE(""https://docs.google.com/spreadsheets/d/1fvo6H94Wcffp6c4N9g3JKCW6y2ZlijPxdOsNz7xdBhw/edit#gid=0"",""'Game 12'!$B$2:$Q$34""),33,False),1)"),36.0)</f>
        <v>36</v>
      </c>
      <c r="P83" s="12">
        <f>IFERROR(__xludf.DUMMYFUNCTION("IFERROR(HLOOKUP($A83,IMPORTRANGE(""https://docs.google.com/spreadsheets/d/1wfQePArl-A-5QJe5xAufoOnzeNLVSoHCRcmpZ_FMdns/edit#gid=0"",""'Game 11'!$B$2:$Q$34""),33,False),1)"),28.0)</f>
        <v>28</v>
      </c>
      <c r="Q83" s="12">
        <f>IFERROR(__xludf.DUMMYFUNCTION("IFERROR(HLOOKUP($A83,IMPORTRANGE(""https://docs.google.com/spreadsheets/d/1wydNznS0hZhVh3oGSdiCZSsReuqMT7Xaw718ix58zAI/edit#gid=0"",""'Game 3'!$B$2:$Q$34""),33,False),1)"),24.0)</f>
        <v>24</v>
      </c>
      <c r="R83" s="13">
        <f>TUHComp!R83</f>
        <v>345</v>
      </c>
      <c r="S83" s="13">
        <f t="shared" si="1"/>
        <v>424</v>
      </c>
      <c r="T83" s="13">
        <f t="shared" si="2"/>
        <v>28.26666667</v>
      </c>
      <c r="U83" s="13">
        <f t="shared" si="3"/>
        <v>5</v>
      </c>
    </row>
    <row r="84">
      <c r="A84" s="4" t="s">
        <v>230</v>
      </c>
      <c r="B84" s="4" t="s">
        <v>223</v>
      </c>
      <c r="C84" s="18">
        <v>0.0</v>
      </c>
      <c r="D84" s="18">
        <v>4.0</v>
      </c>
      <c r="E84" s="18">
        <v>0.0</v>
      </c>
      <c r="F84" s="18">
        <v>0.0</v>
      </c>
      <c r="G84" s="18">
        <v>8.0</v>
      </c>
      <c r="H84" s="5">
        <v>-4.0</v>
      </c>
      <c r="I84" s="5">
        <f>IFERROR(__xludf.DUMMYFUNCTION("HLOOKUP($A84,IMPORTRANGE(""https://docs.google.com/spreadsheets/d/1l83w8bH-F1czkFOqsgQy6o8O33Jb4Pfg40W0ou2nk0k/edit#gid=0"",""'Game 2'!$B$2:$Q$34""),33,False)"),4.0)</f>
        <v>4</v>
      </c>
      <c r="J84" s="5">
        <f>IFERROR(__xludf.DUMMYFUNCTION("HLOOKUP($A84,IMPORTRANGE(""https://docs.google.com/spreadsheets/d/15X-ub7GvrCQZ3UGgyogcjwYdxG-Ng8WHxzGSj1Z3eLw/edit#gid=0"",""'Game 2'!$B$2:$Q$34""),33,False)"),4.0)</f>
        <v>4</v>
      </c>
      <c r="K84" s="5">
        <f>IFERROR(__xludf.DUMMYFUNCTION("IFERROR(HLOOKUP($A84,IMPORTRANGE(""https://docs.google.com/spreadsheets/d/194Bw3ABslPPhOOPvVoMzIk8sOQFICWBu2pydWdYMD-w/edit#gid=0"",""'Game 5'!$B$2:$Q$34""),33,False),1)"),0.0)</f>
        <v>0</v>
      </c>
      <c r="L84" s="5">
        <f>IFERROR(__xludf.DUMMYFUNCTION("IFERROR(HLOOKUP($A84,IMPORTRANGE(""https://docs.google.com/spreadsheets/d/1F2Bi6K_I1K9xRxY5qb-bNRo5m-Kw7udpF1OaTHhrxjs/edit#gid=0"",""'Game 9'!$B$2:$Q$34""),33,False),1)"),8.0)</f>
        <v>8</v>
      </c>
      <c r="M84" s="5">
        <f>IFERROR(__xludf.DUMMYFUNCTION("IFERROR(HLOOKUP($A84,IMPORTRANGE(""https://docs.google.com/spreadsheets/d/1NDNgi_Ny4dRhc2A3UMIIkalN-V6EmsvxOfDzMRQlQ40/edit#gid=0"",""'Game 8'!$B$2:$Q$34""),33,False),1)"),4.0)</f>
        <v>4</v>
      </c>
      <c r="N84" s="5">
        <f>IFERROR(__xludf.DUMMYFUNCTION("IFERROR(HLOOKUP($A84,IMPORTRANGE(""https://docs.google.com/spreadsheets/d/1UDYA3-RrkJNLa2ZLH1NnUjKyfCoiSODmgVL_Au_zt-Y/edit#gid=0"",""'Game 12'!$B$2:$Q$34""),33,False),1)"),4.0)</f>
        <v>4</v>
      </c>
      <c r="O84" s="5">
        <f>IFERROR(__xludf.DUMMYFUNCTION("IFERROR(HLOOKUP($A84,IMPORTRANGE(""https://docs.google.com/spreadsheets/d/1fvo6H94Wcffp6c4N9g3JKCW6y2ZlijPxdOsNz7xdBhw/edit#gid=0"",""'Game 12'!$B$2:$Q$34""),33,False),1)"),0.0)</f>
        <v>0</v>
      </c>
      <c r="P84" s="5">
        <f>IFERROR(__xludf.DUMMYFUNCTION("IFERROR(HLOOKUP($A84,IMPORTRANGE(""https://docs.google.com/spreadsheets/d/1wfQePArl-A-5QJe5xAufoOnzeNLVSoHCRcmpZ_FMdns/edit#gid=0"",""'Game 11'!$B$2:$Q$34""),33,False),1)"),8.0)</f>
        <v>8</v>
      </c>
      <c r="Q84" s="5">
        <f>IFERROR(__xludf.DUMMYFUNCTION("IFERROR(HLOOKUP($A84,IMPORTRANGE(""https://docs.google.com/spreadsheets/d/1wydNznS0hZhVh3oGSdiCZSsReuqMT7Xaw718ix58zAI/edit#gid=0"",""'Game 3'!$B$2:$Q$34""),33,False),1)"),0.0)</f>
        <v>0</v>
      </c>
      <c r="R84" s="6">
        <f>TUHComp!R84</f>
        <v>275</v>
      </c>
      <c r="S84" s="6">
        <f t="shared" si="1"/>
        <v>40</v>
      </c>
      <c r="T84" s="6">
        <f t="shared" si="2"/>
        <v>3.345454545</v>
      </c>
      <c r="U84" s="6">
        <f t="shared" si="3"/>
        <v>69</v>
      </c>
    </row>
    <row r="85">
      <c r="A85" s="19" t="s">
        <v>232</v>
      </c>
      <c r="B85" s="19" t="s">
        <v>223</v>
      </c>
      <c r="C85" s="20">
        <v>4.0</v>
      </c>
      <c r="D85" s="20">
        <v>8.0</v>
      </c>
      <c r="E85" s="20">
        <v>0.0</v>
      </c>
      <c r="F85" s="20">
        <v>8.0</v>
      </c>
      <c r="G85" s="20">
        <v>0.0</v>
      </c>
      <c r="H85" s="12">
        <v>4.0</v>
      </c>
      <c r="I85" s="12">
        <f>IFERROR(__xludf.DUMMYFUNCTION("HLOOKUP($A85,IMPORTRANGE(""https://docs.google.com/spreadsheets/d/1l83w8bH-F1czkFOqsgQy6o8O33Jb4Pfg40W0ou2nk0k/edit#gid=0"",""'Game 2'!$B$2:$Q$34""),33,False)"),0.0)</f>
        <v>0</v>
      </c>
      <c r="J85" s="12">
        <f>IFERROR(__xludf.DUMMYFUNCTION("HLOOKUP($A85,IMPORTRANGE(""https://docs.google.com/spreadsheets/d/15X-ub7GvrCQZ3UGgyogcjwYdxG-Ng8WHxzGSj1Z3eLw/edit#gid=0"",""'Game 2'!$B$2:$Q$34""),33,False)"),0.0)</f>
        <v>0</v>
      </c>
      <c r="K85" s="12">
        <f>IFERROR(__xludf.DUMMYFUNCTION("IFERROR(HLOOKUP($A85,IMPORTRANGE(""https://docs.google.com/spreadsheets/d/194Bw3ABslPPhOOPvVoMzIk8sOQFICWBu2pydWdYMD-w/edit#gid=0"",""'Game 5'!$B$2:$Q$34""),33,False),1)"),0.0)</f>
        <v>0</v>
      </c>
      <c r="L85" s="12">
        <f>IFERROR(__xludf.DUMMYFUNCTION("IFERROR(HLOOKUP($A85,IMPORTRANGE(""https://docs.google.com/spreadsheets/d/1F2Bi6K_I1K9xRxY5qb-bNRo5m-Kw7udpF1OaTHhrxjs/edit#gid=0"",""'Game 9'!$B$2:$Q$34""),33,False),1)"),0.0)</f>
        <v>0</v>
      </c>
      <c r="M85" s="12">
        <f>IFERROR(__xludf.DUMMYFUNCTION("IFERROR(HLOOKUP($A85,IMPORTRANGE(""https://docs.google.com/spreadsheets/d/1NDNgi_Ny4dRhc2A3UMIIkalN-V6EmsvxOfDzMRQlQ40/edit#gid=0"",""'Game 8'!$B$2:$Q$34""),33,False),1)"),0.0)</f>
        <v>0</v>
      </c>
      <c r="N85" s="12">
        <f>IFERROR(__xludf.DUMMYFUNCTION("IFERROR(HLOOKUP($A85,IMPORTRANGE(""https://docs.google.com/spreadsheets/d/1UDYA3-RrkJNLa2ZLH1NnUjKyfCoiSODmgVL_Au_zt-Y/edit#gid=0"",""'Game 12'!$B$2:$Q$34""),33,False),1)"),0.0)</f>
        <v>0</v>
      </c>
      <c r="O85" s="12">
        <f>IFERROR(__xludf.DUMMYFUNCTION("IFERROR(HLOOKUP($A85,IMPORTRANGE(""https://docs.google.com/spreadsheets/d/1fvo6H94Wcffp6c4N9g3JKCW6y2ZlijPxdOsNz7xdBhw/edit#gid=0"",""'Game 12'!$B$2:$Q$34""),33,False),1)"),-4.0)</f>
        <v>-4</v>
      </c>
      <c r="P85" s="12">
        <f>IFERROR(__xludf.DUMMYFUNCTION("IFERROR(HLOOKUP($A85,IMPORTRANGE(""https://docs.google.com/spreadsheets/d/1wfQePArl-A-5QJe5xAufoOnzeNLVSoHCRcmpZ_FMdns/edit#gid=0"",""'Game 11'!$B$2:$Q$34""),33,False),1)"),0.0)</f>
        <v>0</v>
      </c>
      <c r="Q85" s="12">
        <f>IFERROR(__xludf.DUMMYFUNCTION("IFERROR(HLOOKUP($A85,IMPORTRANGE(""https://docs.google.com/spreadsheets/d/1wydNznS0hZhVh3oGSdiCZSsReuqMT7Xaw718ix58zAI/edit#gid=0"",""'Game 3'!$B$2:$Q$34""),33,False),1)"),-4.0)</f>
        <v>-4</v>
      </c>
      <c r="R85" s="13">
        <f>TUHComp!R85</f>
        <v>276</v>
      </c>
      <c r="S85" s="13">
        <f t="shared" si="1"/>
        <v>16</v>
      </c>
      <c r="T85" s="13">
        <f t="shared" si="2"/>
        <v>1.333333333</v>
      </c>
      <c r="U85" s="13">
        <f t="shared" si="3"/>
        <v>91</v>
      </c>
    </row>
    <row r="86">
      <c r="A86" s="4" t="s">
        <v>234</v>
      </c>
      <c r="B86" s="16" t="s">
        <v>235</v>
      </c>
      <c r="C86" s="18">
        <v>0.0</v>
      </c>
      <c r="D86" s="18">
        <v>0.0</v>
      </c>
      <c r="E86" s="18">
        <v>0.0</v>
      </c>
      <c r="F86" s="18">
        <v>0.0</v>
      </c>
      <c r="G86" s="18">
        <v>4.0</v>
      </c>
      <c r="H86" s="5">
        <v>12.0</v>
      </c>
      <c r="I86" s="5">
        <f>IFERROR(__xludf.DUMMYFUNCTION("HLOOKUP($A86,IMPORTRANGE(""https://docs.google.com/spreadsheets/d/1l83w8bH-F1czkFOqsgQy6o8O33Jb4Pfg40W0ou2nk0k/edit#gid=0"",""'Game 2'!$B$2:$Q$34""),33,False)"),0.0)</f>
        <v>0</v>
      </c>
      <c r="J86" s="5">
        <f>IFERROR(__xludf.DUMMYFUNCTION("HLOOKUP($A86,IMPORTRANGE(""https://docs.google.com/spreadsheets/d/15X-ub7GvrCQZ3UGgyogcjwYdxG-Ng8WHxzGSj1Z3eLw/edit#gid=0"",""'Game 6'!$B$2:$Q$34""),33,False)"),0.0)</f>
        <v>0</v>
      </c>
      <c r="K86" s="5">
        <f>IFERROR(__xludf.DUMMYFUNCTION("IFERROR(HLOOKUP($A86,IMPORTRANGE(""https://docs.google.com/spreadsheets/d/194Bw3ABslPPhOOPvVoMzIk8sOQFICWBu2pydWdYMD-w/edit#gid=0"",""'Game 6'!$B$2:$Q$34""),33,False),1)"),4.0)</f>
        <v>4</v>
      </c>
      <c r="L86" s="5">
        <f>IFERROR(__xludf.DUMMYFUNCTION("IFERROR(HLOOKUP($A86,IMPORTRANGE(""https://docs.google.com/spreadsheets/d/1F2Bi6K_I1K9xRxY5qb-bNRo5m-Kw7udpF1OaTHhrxjs/edit#gid=0"",""'Game 6'!$B$2:$Q$29""),28,False),1)"),0.0)</f>
        <v>0</v>
      </c>
      <c r="M86" s="5">
        <f>IFERROR(__xludf.DUMMYFUNCTION("IFERROR(HLOOKUP($A86,IMPORTRANGE(""https://docs.google.com/spreadsheets/d/1NDNgi_Ny4dRhc2A3UMIIkalN-V6EmsvxOfDzMRQlQ40/edit#gid=0"",""'Game 6'!$B$2:$Q$34""),33,False),1)"),4.0)</f>
        <v>4</v>
      </c>
      <c r="N86" s="5">
        <f>IFERROR(__xludf.DUMMYFUNCTION("IFERROR(HLOOKUP($A86,IMPORTRANGE(""https://docs.google.com/spreadsheets/d/1UDYA3-RrkJNLa2ZLH1NnUjKyfCoiSODmgVL_Au_zt-Y/edit#gid=0"",""'Game 5'!$B$2:$Q$34""),33,False),1)"),0.0)</f>
        <v>0</v>
      </c>
      <c r="O86" s="5">
        <f>IFERROR(__xludf.DUMMYFUNCTION("IFERROR(HLOOKUP($A86,IMPORTRANGE(""https://docs.google.com/spreadsheets/d/1fvo6H94Wcffp6c4N9g3JKCW6y2ZlijPxdOsNz7xdBhw/edit#gid=0"",""'Game 5'!$B$2:$Q$34""),33,False),1)"),0.0)</f>
        <v>0</v>
      </c>
      <c r="P86" s="5">
        <f>IFERROR(__xludf.DUMMYFUNCTION("IFERROR(HLOOKUP($A86,IMPORTRANGE(""https://docs.google.com/spreadsheets/d/1wfQePArl-A-5QJe5xAufoOnzeNLVSoHCRcmpZ_FMdns/edit#gid=0"",""'Game 5'!$B$2:$Q$34""),33,False),1)"),0.0)</f>
        <v>0</v>
      </c>
      <c r="Q86" s="5">
        <f>IFERROR(__xludf.DUMMYFUNCTION("IFERROR(HLOOKUP($A86,IMPORTRANGE(""https://docs.google.com/spreadsheets/d/1wydNznS0hZhVh3oGSdiCZSsReuqMT7Xaw718ix58zAI/edit#gid=0"",""'Game 6'!$B$2:$Q$34""),33,False),1)"),0.0)</f>
        <v>0</v>
      </c>
      <c r="R86" s="6">
        <f>TUHComp!R86</f>
        <v>322</v>
      </c>
      <c r="S86" s="6">
        <f t="shared" si="1"/>
        <v>24</v>
      </c>
      <c r="T86" s="6">
        <f t="shared" si="2"/>
        <v>1.714285714</v>
      </c>
      <c r="U86" s="6">
        <f t="shared" si="3"/>
        <v>85</v>
      </c>
    </row>
    <row r="87">
      <c r="A87" s="19" t="s">
        <v>237</v>
      </c>
      <c r="B87" s="9" t="s">
        <v>235</v>
      </c>
      <c r="C87" s="20">
        <v>8.0</v>
      </c>
      <c r="D87" s="20">
        <v>20.0</v>
      </c>
      <c r="E87" s="20">
        <v>28.0</v>
      </c>
      <c r="F87" s="20">
        <v>16.0</v>
      </c>
      <c r="G87" s="20">
        <v>0.0</v>
      </c>
      <c r="H87" s="12">
        <v>12.0</v>
      </c>
      <c r="I87" s="12">
        <f>IFERROR(__xludf.DUMMYFUNCTION("HLOOKUP($A87,IMPORTRANGE(""https://docs.google.com/spreadsheets/d/1l83w8bH-F1czkFOqsgQy6o8O33Jb4Pfg40W0ou2nk0k/edit#gid=0"",""'Game 2'!$B$2:$Q$34""),33,False)"),4.0)</f>
        <v>4</v>
      </c>
      <c r="J87" s="12">
        <f>IFERROR(__xludf.DUMMYFUNCTION("HLOOKUP($A87,IMPORTRANGE(""https://docs.google.com/spreadsheets/d/15X-ub7GvrCQZ3UGgyogcjwYdxG-Ng8WHxzGSj1Z3eLw/edit#gid=0"",""'Game 6'!$B$2:$Q$34""),33,False)"),8.0)</f>
        <v>8</v>
      </c>
      <c r="K87" s="12">
        <f>IFERROR(__xludf.DUMMYFUNCTION("IFERROR(HLOOKUP($A87,IMPORTRANGE(""https://docs.google.com/spreadsheets/d/194Bw3ABslPPhOOPvVoMzIk8sOQFICWBu2pydWdYMD-w/edit#gid=0"",""'Game 6'!$B$2:$Q$34""),33,False),1)"),28.0)</f>
        <v>28</v>
      </c>
      <c r="L87" s="12">
        <f>IFERROR(__xludf.DUMMYFUNCTION("IFERROR(HLOOKUP($A87,IMPORTRANGE(""https://docs.google.com/spreadsheets/d/1F2Bi6K_I1K9xRxY5qb-bNRo5m-Kw7udpF1OaTHhrxjs/edit#gid=0"",""'Game 6'!$B$2:$Q$29""),28,False),1)"),8.0)</f>
        <v>8</v>
      </c>
      <c r="M87" s="12">
        <f>IFERROR(__xludf.DUMMYFUNCTION("IFERROR(HLOOKUP($A87,IMPORTRANGE(""https://docs.google.com/spreadsheets/d/1NDNgi_Ny4dRhc2A3UMIIkalN-V6EmsvxOfDzMRQlQ40/edit#gid=0"",""'Game 6'!$B$2:$Q$34""),33,False),1)"),0.0)</f>
        <v>0</v>
      </c>
      <c r="N87" s="12">
        <f>IFERROR(__xludf.DUMMYFUNCTION("IFERROR(HLOOKUP($A87,IMPORTRANGE(""https://docs.google.com/spreadsheets/d/1UDYA3-RrkJNLa2ZLH1NnUjKyfCoiSODmgVL_Au_zt-Y/edit#gid=0"",""'Game 5'!$B$2:$Q$34""),33,False),1)"),16.0)</f>
        <v>16</v>
      </c>
      <c r="O87" s="12">
        <f>IFERROR(__xludf.DUMMYFUNCTION("IFERROR(HLOOKUP($A87,IMPORTRANGE(""https://docs.google.com/spreadsheets/d/1fvo6H94Wcffp6c4N9g3JKCW6y2ZlijPxdOsNz7xdBhw/edit#gid=0"",""'Game 5'!$B$2:$Q$34""),33,False),1)"),20.0)</f>
        <v>20</v>
      </c>
      <c r="P87" s="12">
        <f>IFERROR(__xludf.DUMMYFUNCTION("IFERROR(HLOOKUP($A87,IMPORTRANGE(""https://docs.google.com/spreadsheets/d/1wfQePArl-A-5QJe5xAufoOnzeNLVSoHCRcmpZ_FMdns/edit#gid=0"",""'Game 5'!$B$2:$Q$34""),33,False),1)"),8.0)</f>
        <v>8</v>
      </c>
      <c r="Q87" s="12">
        <f>IFERROR(__xludf.DUMMYFUNCTION("IFERROR(HLOOKUP($A87,IMPORTRANGE(""https://docs.google.com/spreadsheets/d/1wydNznS0hZhVh3oGSdiCZSsReuqMT7Xaw718ix58zAI/edit#gid=0"",""'Game 6'!$B$2:$Q$34""),33,False),1)"),32.0)</f>
        <v>32</v>
      </c>
      <c r="R87" s="13">
        <f>TUHComp!R87</f>
        <v>345</v>
      </c>
      <c r="S87" s="13">
        <f t="shared" si="1"/>
        <v>208</v>
      </c>
      <c r="T87" s="13">
        <f t="shared" si="2"/>
        <v>13.86666667</v>
      </c>
      <c r="U87" s="13">
        <f t="shared" si="3"/>
        <v>18</v>
      </c>
    </row>
    <row r="88">
      <c r="A88" s="4" t="s">
        <v>241</v>
      </c>
      <c r="B88" s="16" t="s">
        <v>235</v>
      </c>
      <c r="C88" s="18">
        <v>0.0</v>
      </c>
      <c r="D88" s="18">
        <v>0.0</v>
      </c>
      <c r="E88" s="18">
        <v>0.0</v>
      </c>
      <c r="F88" s="18">
        <v>0.0</v>
      </c>
      <c r="G88" s="18">
        <v>0.0</v>
      </c>
      <c r="H88" s="5">
        <v>4.0</v>
      </c>
      <c r="I88" s="5">
        <f>IFERROR(__xludf.DUMMYFUNCTION("HLOOKUP($A88,IMPORTRANGE(""https://docs.google.com/spreadsheets/d/1l83w8bH-F1czkFOqsgQy6o8O33Jb4Pfg40W0ou2nk0k/edit#gid=0"",""'Game 2'!$B$2:$Q$34""),33,False)"),0.0)</f>
        <v>0</v>
      </c>
      <c r="J88" s="5">
        <f>IFERROR(__xludf.DUMMYFUNCTION("HLOOKUP($A88,IMPORTRANGE(""https://docs.google.com/spreadsheets/d/15X-ub7GvrCQZ3UGgyogcjwYdxG-Ng8WHxzGSj1Z3eLw/edit#gid=0"",""'Game 6'!$B$2:$Q$34""),33,False)"),0.0)</f>
        <v>0</v>
      </c>
      <c r="K88" s="5">
        <f>IFERROR(__xludf.DUMMYFUNCTION("IFERROR(HLOOKUP($A88,IMPORTRANGE(""https://docs.google.com/spreadsheets/d/194Bw3ABslPPhOOPvVoMzIk8sOQFICWBu2pydWdYMD-w/edit#gid=0"",""'Game 6'!$B$2:$Q$34""),33,False),1)"),0.0)</f>
        <v>0</v>
      </c>
      <c r="L88" s="5">
        <f>IFERROR(__xludf.DUMMYFUNCTION("IFERROR(HLOOKUP($A88,IMPORTRANGE(""https://docs.google.com/spreadsheets/d/1F2Bi6K_I1K9xRxY5qb-bNRo5m-Kw7udpF1OaTHhrxjs/edit#gid=0"",""'Game 6'!$B$2:$Q$29""),28,False),1)"),0.0)</f>
        <v>0</v>
      </c>
      <c r="M88" s="5">
        <f>IFERROR(__xludf.DUMMYFUNCTION("IFERROR(HLOOKUP($A88,IMPORTRANGE(""https://docs.google.com/spreadsheets/d/1NDNgi_Ny4dRhc2A3UMIIkalN-V6EmsvxOfDzMRQlQ40/edit#gid=0"",""'Game 6'!$B$2:$Q$34""),33,False),1)"),0.0)</f>
        <v>0</v>
      </c>
      <c r="N88" s="5">
        <f>IFERROR(__xludf.DUMMYFUNCTION("IFERROR(HLOOKUP($A88,IMPORTRANGE(""https://docs.google.com/spreadsheets/d/1UDYA3-RrkJNLa2ZLH1NnUjKyfCoiSODmgVL_Au_zt-Y/edit#gid=0"",""'Game 5'!$B$2:$Q$34""),33,False),1)"),0.0)</f>
        <v>0</v>
      </c>
      <c r="O88" s="5">
        <f>IFERROR(__xludf.DUMMYFUNCTION("IFERROR(HLOOKUP($A88,IMPORTRANGE(""https://docs.google.com/spreadsheets/d/1fvo6H94Wcffp6c4N9g3JKCW6y2ZlijPxdOsNz7xdBhw/edit#gid=0"",""'Game 5'!$B$2:$Q$34""),33,False),1)"),0.0)</f>
        <v>0</v>
      </c>
      <c r="P88" s="5">
        <f>IFERROR(__xludf.DUMMYFUNCTION("IFERROR(HLOOKUP($A88,IMPORTRANGE(""https://docs.google.com/spreadsheets/d/1wfQePArl-A-5QJe5xAufoOnzeNLVSoHCRcmpZ_FMdns/edit#gid=0"",""'Game 5'!$B$2:$Q$34""),33,False),1)"),4.0)</f>
        <v>4</v>
      </c>
      <c r="Q88" s="5">
        <f>IFERROR(__xludf.DUMMYFUNCTION("IFERROR(HLOOKUP($A88,IMPORTRANGE(""https://docs.google.com/spreadsheets/d/1wydNznS0hZhVh3oGSdiCZSsReuqMT7Xaw718ix58zAI/edit#gid=0"",""'Game 6'!$B$2:$Q$34""),33,False),1)"),0.0)</f>
        <v>0</v>
      </c>
      <c r="R88" s="6">
        <f>TUHComp!R88</f>
        <v>199</v>
      </c>
      <c r="S88" s="6">
        <f t="shared" si="1"/>
        <v>8</v>
      </c>
      <c r="T88" s="6">
        <f t="shared" si="2"/>
        <v>0.9246231156</v>
      </c>
      <c r="U88" s="6">
        <f t="shared" si="3"/>
        <v>94</v>
      </c>
    </row>
    <row r="89">
      <c r="A89" s="19" t="s">
        <v>243</v>
      </c>
      <c r="B89" s="9" t="s">
        <v>235</v>
      </c>
      <c r="C89" s="20">
        <v>4.0</v>
      </c>
      <c r="D89" s="20">
        <v>4.0</v>
      </c>
      <c r="E89" s="20">
        <v>8.0</v>
      </c>
      <c r="F89" s="20">
        <v>0.0</v>
      </c>
      <c r="G89" s="20">
        <v>12.0</v>
      </c>
      <c r="H89" s="12">
        <v>8.0</v>
      </c>
      <c r="I89" s="12">
        <f>IFERROR(__xludf.DUMMYFUNCTION("HLOOKUP($A89,IMPORTRANGE(""https://docs.google.com/spreadsheets/d/1l83w8bH-F1czkFOqsgQy6o8O33Jb4Pfg40W0ou2nk0k/edit#gid=0"",""'Game 2'!$B$2:$Q$34""),33,False)"),-4.0)</f>
        <v>-4</v>
      </c>
      <c r="J89" s="12">
        <f>IFERROR(__xludf.DUMMYFUNCTION("HLOOKUP($A89,IMPORTRANGE(""https://docs.google.com/spreadsheets/d/15X-ub7GvrCQZ3UGgyogcjwYdxG-Ng8WHxzGSj1Z3eLw/edit#gid=0"",""'Game 6'!$B$2:$Q$34""),33,False)"),4.0)</f>
        <v>4</v>
      </c>
      <c r="K89" s="12">
        <f>IFERROR(__xludf.DUMMYFUNCTION("IFERROR(HLOOKUP($A89,IMPORTRANGE(""https://docs.google.com/spreadsheets/d/194Bw3ABslPPhOOPvVoMzIk8sOQFICWBu2pydWdYMD-w/edit#gid=0"",""'Game 6'!$B$2:$Q$34""),33,False),1)"),4.0)</f>
        <v>4</v>
      </c>
      <c r="L89" s="12">
        <f>IFERROR(__xludf.DUMMYFUNCTION("IFERROR(HLOOKUP($A89,IMPORTRANGE(""https://docs.google.com/spreadsheets/d/1F2Bi6K_I1K9xRxY5qb-bNRo5m-Kw7udpF1OaTHhrxjs/edit#gid=0"",""'Game 6'!$B$2:$Q$29""),28,False),1)"),4.0)</f>
        <v>4</v>
      </c>
      <c r="M89" s="12">
        <f>IFERROR(__xludf.DUMMYFUNCTION("IFERROR(HLOOKUP($A89,IMPORTRANGE(""https://docs.google.com/spreadsheets/d/1NDNgi_Ny4dRhc2A3UMIIkalN-V6EmsvxOfDzMRQlQ40/edit#gid=0"",""'Game 6'!$B$2:$Q$34""),33,False),1)"),0.0)</f>
        <v>0</v>
      </c>
      <c r="N89" s="12">
        <f>IFERROR(__xludf.DUMMYFUNCTION("IFERROR(HLOOKUP($A89,IMPORTRANGE(""https://docs.google.com/spreadsheets/d/1UDYA3-RrkJNLa2ZLH1NnUjKyfCoiSODmgVL_Au_zt-Y/edit#gid=0"",""'Game 5'!$B$2:$Q$34""),33,False),1)"),0.0)</f>
        <v>0</v>
      </c>
      <c r="O89" s="12">
        <f>IFERROR(__xludf.DUMMYFUNCTION("IFERROR(HLOOKUP($A89,IMPORTRANGE(""https://docs.google.com/spreadsheets/d/1fvo6H94Wcffp6c4N9g3JKCW6y2ZlijPxdOsNz7xdBhw/edit#gid=0"",""'Game 5'!$B$2:$Q$34""),33,False),1)"),4.0)</f>
        <v>4</v>
      </c>
      <c r="P89" s="12">
        <f>IFERROR(__xludf.DUMMYFUNCTION("IFERROR(HLOOKUP($A89,IMPORTRANGE(""https://docs.google.com/spreadsheets/d/1wfQePArl-A-5QJe5xAufoOnzeNLVSoHCRcmpZ_FMdns/edit#gid=0"",""'Game 5'!$B$2:$Q$34""),33,False),1)"),4.0)</f>
        <v>4</v>
      </c>
      <c r="Q89" s="12">
        <f>IFERROR(__xludf.DUMMYFUNCTION("IFERROR(HLOOKUP($A89,IMPORTRANGE(""https://docs.google.com/spreadsheets/d/1wydNznS0hZhVh3oGSdiCZSsReuqMT7Xaw718ix58zAI/edit#gid=0"",""'Game 6'!$B$2:$Q$34""),33,False),1)"),0.0)</f>
        <v>0</v>
      </c>
      <c r="R89" s="13">
        <f>TUHComp!R89</f>
        <v>345</v>
      </c>
      <c r="S89" s="13">
        <f t="shared" si="1"/>
        <v>52</v>
      </c>
      <c r="T89" s="13">
        <f t="shared" si="2"/>
        <v>3.466666667</v>
      </c>
      <c r="U89" s="13">
        <f t="shared" si="3"/>
        <v>67</v>
      </c>
    </row>
    <row r="90">
      <c r="A90" s="4" t="s">
        <v>245</v>
      </c>
      <c r="B90" s="4" t="s">
        <v>235</v>
      </c>
      <c r="C90" s="18">
        <v>0.0</v>
      </c>
      <c r="D90" s="18">
        <v>0.0</v>
      </c>
      <c r="E90" s="18">
        <v>0.0</v>
      </c>
      <c r="F90" s="18">
        <v>0.0</v>
      </c>
      <c r="G90" s="18">
        <v>0.0</v>
      </c>
      <c r="H90" s="5">
        <v>0.0</v>
      </c>
      <c r="I90" s="5">
        <f>IFERROR(__xludf.DUMMYFUNCTION("HLOOKUP($A90,IMPORTRANGE(""https://docs.google.com/spreadsheets/d/1l83w8bH-F1czkFOqsgQy6o8O33Jb4Pfg40W0ou2nk0k/edit#gid=0"",""'Game 2'!$B$2:$Q$34""),33,False)"),0.0)</f>
        <v>0</v>
      </c>
      <c r="J90" s="5">
        <f>IFERROR(__xludf.DUMMYFUNCTION("HLOOKUP($A90,IMPORTRANGE(""https://docs.google.com/spreadsheets/d/15X-ub7GvrCQZ3UGgyogcjwYdxG-Ng8WHxzGSj1Z3eLw/edit#gid=0"",""'Game 6'!$B$2:$Q$34""),33,False)"),0.0)</f>
        <v>0</v>
      </c>
      <c r="K90" s="5">
        <f>IFERROR(__xludf.DUMMYFUNCTION("IFERROR(HLOOKUP($A90,IMPORTRANGE(""https://docs.google.com/spreadsheets/d/194Bw3ABslPPhOOPvVoMzIk8sOQFICWBu2pydWdYMD-w/edit#gid=0"",""'Game 6'!$B$2:$Q$34""),33,False),1)"),0.0)</f>
        <v>0</v>
      </c>
      <c r="L90" s="5">
        <f>IFERROR(__xludf.DUMMYFUNCTION("IFERROR(HLOOKUP($A90,IMPORTRANGE(""https://docs.google.com/spreadsheets/d/1F2Bi6K_I1K9xRxY5qb-bNRo5m-Kw7udpF1OaTHhrxjs/edit#gid=0"",""'Game 6'!$B$2:$Q$29""),28,False),1)"),0.0)</f>
        <v>0</v>
      </c>
      <c r="M90" s="5">
        <f>IFERROR(__xludf.DUMMYFUNCTION("IFERROR(HLOOKUP($A90,IMPORTRANGE(""https://docs.google.com/spreadsheets/d/1NDNgi_Ny4dRhc2A3UMIIkalN-V6EmsvxOfDzMRQlQ40/edit#gid=0"",""'Game 6'!$B$2:$Q$34""),33,False),1)"),0.0)</f>
        <v>0</v>
      </c>
      <c r="N90" s="5">
        <f>IFERROR(__xludf.DUMMYFUNCTION("IFERROR(HLOOKUP($A90,IMPORTRANGE(""https://docs.google.com/spreadsheets/d/1UDYA3-RrkJNLa2ZLH1NnUjKyfCoiSODmgVL_Au_zt-Y/edit#gid=0"",""'Game 5'!$B$2:$Q$34""),33,False),1)"),0.0)</f>
        <v>0</v>
      </c>
      <c r="O90" s="5">
        <f>IFERROR(__xludf.DUMMYFUNCTION("IFERROR(HLOOKUP($A90,IMPORTRANGE(""https://docs.google.com/spreadsheets/d/1fvo6H94Wcffp6c4N9g3JKCW6y2ZlijPxdOsNz7xdBhw/edit#gid=0"",""'Game 5'!$B$2:$Q$34""),33,False),1)"),0.0)</f>
        <v>0</v>
      </c>
      <c r="P90" s="5">
        <f>IFERROR(__xludf.DUMMYFUNCTION("IFERROR(HLOOKUP($A90,IMPORTRANGE(""https://docs.google.com/spreadsheets/d/1wfQePArl-A-5QJe5xAufoOnzeNLVSoHCRcmpZ_FMdns/edit#gid=0"",""'Game 5'!$B$2:$Q$34""),33,False),1)"),0.0)</f>
        <v>0</v>
      </c>
      <c r="Q90" s="5">
        <f>IFERROR(__xludf.DUMMYFUNCTION("IFERROR(HLOOKUP($A90,IMPORTRANGE(""https://docs.google.com/spreadsheets/d/1wydNznS0hZhVh3oGSdiCZSsReuqMT7Xaw718ix58zAI/edit#gid=0"",""'Game 6'!$B$2:$Q$34""),33,False),1)"),0.0)</f>
        <v>0</v>
      </c>
      <c r="R90" s="6">
        <f>TUHComp!R90</f>
        <v>123</v>
      </c>
      <c r="S90" s="6">
        <f t="shared" si="1"/>
        <v>0</v>
      </c>
      <c r="T90" s="6">
        <f t="shared" si="2"/>
        <v>0</v>
      </c>
      <c r="U90" s="6">
        <f t="shared" si="3"/>
        <v>104</v>
      </c>
    </row>
    <row r="91">
      <c r="A91" s="19" t="s">
        <v>247</v>
      </c>
      <c r="B91" s="19" t="s">
        <v>248</v>
      </c>
      <c r="C91" s="20">
        <v>8.0</v>
      </c>
      <c r="D91" s="20">
        <v>20.0</v>
      </c>
      <c r="E91" s="20">
        <v>16.0</v>
      </c>
      <c r="F91" s="20">
        <v>24.0</v>
      </c>
      <c r="G91" s="20">
        <v>12.0</v>
      </c>
      <c r="H91" s="12">
        <v>0.0</v>
      </c>
      <c r="I91" s="12">
        <f>IFERROR(__xludf.DUMMYFUNCTION("HLOOKUP($A91,IMPORTRANGE(""https://docs.google.com/spreadsheets/d/1l83w8bH-F1czkFOqsgQy6o8O33Jb4Pfg40W0ou2nk0k/edit#gid=0"",""'Game 4'!$B$2:$Q$34""),33,False)"),16.0)</f>
        <v>16</v>
      </c>
      <c r="J91" s="12">
        <f>IFERROR(__xludf.DUMMYFUNCTION("HLOOKUP($A91,IMPORTRANGE(""https://docs.google.com/spreadsheets/d/15X-ub7GvrCQZ3UGgyogcjwYdxG-Ng8WHxzGSj1Z3eLw/edit#gid=0"",""'Game 10'!$B$2:$Q$34""),33,False)"),20.0)</f>
        <v>20</v>
      </c>
      <c r="K91" s="12">
        <f>IFERROR(__xludf.DUMMYFUNCTION("IFERROR(HLOOKUP($A91,IMPORTRANGE(""https://docs.google.com/spreadsheets/d/194Bw3ABslPPhOOPvVoMzIk8sOQFICWBu2pydWdYMD-w/edit#gid=0"",""'Game 8'!$B$2:$Q$34""),33,False),1)"),8.0)</f>
        <v>8</v>
      </c>
      <c r="L91" s="12">
        <f>IFERROR(__xludf.DUMMYFUNCTION("IFERROR(HLOOKUP($A91,IMPORTRANGE(""https://docs.google.com/spreadsheets/d/1F2Bi6K_I1K9xRxY5qb-bNRo5m-Kw7udpF1OaTHhrxjs/edit#gid=0"",""'Game 2'!$B$2:$Q$34""),33,False),1)"),28.0)</f>
        <v>28</v>
      </c>
      <c r="M91" s="12">
        <f>IFERROR(__xludf.DUMMYFUNCTION("IFERROR(HLOOKUP($A91,IMPORTRANGE(""https://docs.google.com/spreadsheets/d/1NDNgi_Ny4dRhc2A3UMIIkalN-V6EmsvxOfDzMRQlQ40/edit#gid=0"",""'Game 4'!$B$2:$Q$34""),33,False),1)"),16.0)</f>
        <v>16</v>
      </c>
      <c r="N91" s="12">
        <f>IFERROR(__xludf.DUMMYFUNCTION("IFERROR(HLOOKUP($A91,IMPORTRANGE(""https://docs.google.com/spreadsheets/d/1UDYA3-RrkJNLa2ZLH1NnUjKyfCoiSODmgVL_Au_zt-Y/edit#gid=0"",""'Game 1'!$B$2:$Q$34""),33,False),1)"),28.0)</f>
        <v>28</v>
      </c>
      <c r="O91" s="12">
        <f>IFERROR(__xludf.DUMMYFUNCTION("IFERROR(HLOOKUP($A91,IMPORTRANGE(""https://docs.google.com/spreadsheets/d/1fvo6H94Wcffp6c4N9g3JKCW6y2ZlijPxdOsNz7xdBhw/edit#gid=0"",""'Game 10'!$B$2:$Q$34""),33,False),1)"),16.0)</f>
        <v>16</v>
      </c>
      <c r="P91" s="12">
        <f>IFERROR(__xludf.DUMMYFUNCTION("IFERROR(HLOOKUP($A91,IMPORTRANGE(""https://docs.google.com/spreadsheets/d/1wfQePArl-A-5QJe5xAufoOnzeNLVSoHCRcmpZ_FMdns/edit#gid=0"",""'Game 6'!$B$2:$Q$34""),33,False),1)"),4.0)</f>
        <v>4</v>
      </c>
      <c r="Q91" s="12">
        <f>IFERROR(__xludf.DUMMYFUNCTION("IFERROR(HLOOKUP($A91,IMPORTRANGE(""https://docs.google.com/spreadsheets/d/1wydNznS0hZhVh3oGSdiCZSsReuqMT7Xaw718ix58zAI/edit#gid=0"",""'Game 12'!$B$2:$Q$34""),33,False),1)"),8.0)</f>
        <v>8</v>
      </c>
      <c r="R91" s="13">
        <f>TUHComp!R91</f>
        <v>333</v>
      </c>
      <c r="S91" s="13">
        <f t="shared" si="1"/>
        <v>224</v>
      </c>
      <c r="T91" s="13">
        <f t="shared" si="2"/>
        <v>15.47147147</v>
      </c>
      <c r="U91" s="13">
        <f t="shared" si="3"/>
        <v>14</v>
      </c>
    </row>
    <row r="92">
      <c r="A92" s="4" t="s">
        <v>252</v>
      </c>
      <c r="B92" s="16" t="s">
        <v>248</v>
      </c>
      <c r="C92" s="18">
        <v>0.0</v>
      </c>
      <c r="D92" s="18">
        <v>12.0</v>
      </c>
      <c r="E92" s="18">
        <v>4.0</v>
      </c>
      <c r="F92" s="18">
        <v>0.0</v>
      </c>
      <c r="G92" s="18">
        <v>0.0</v>
      </c>
      <c r="H92" s="5">
        <v>12.0</v>
      </c>
      <c r="I92" s="5">
        <f>IFERROR(__xludf.DUMMYFUNCTION("HLOOKUP($A92,IMPORTRANGE(""https://docs.google.com/spreadsheets/d/1l83w8bH-F1czkFOqsgQy6o8O33Jb4Pfg40W0ou2nk0k/edit#gid=0"",""'Game 4'!$B$2:$Q$34""),33,False)"),0.0)</f>
        <v>0</v>
      </c>
      <c r="J92" s="5">
        <f>IFERROR(__xludf.DUMMYFUNCTION("HLOOKUP($A92,IMPORTRANGE(""https://docs.google.com/spreadsheets/d/15X-ub7GvrCQZ3UGgyogcjwYdxG-Ng8WHxzGSj1Z3eLw/edit#gid=0"",""'Game 10'!$B$2:$Q$34""),33,False)"),0.0)</f>
        <v>0</v>
      </c>
      <c r="K92" s="5">
        <f>IFERROR(__xludf.DUMMYFUNCTION("IFERROR(HLOOKUP($A92,IMPORTRANGE(""https://docs.google.com/spreadsheets/d/194Bw3ABslPPhOOPvVoMzIk8sOQFICWBu2pydWdYMD-w/edit#gid=0"",""'Game 8'!$B$2:$Q$34""),33,False),1)"),12.0)</f>
        <v>12</v>
      </c>
      <c r="L92" s="5">
        <f>IFERROR(__xludf.DUMMYFUNCTION("IFERROR(HLOOKUP($A92,IMPORTRANGE(""https://docs.google.com/spreadsheets/d/1F2Bi6K_I1K9xRxY5qb-bNRo5m-Kw7udpF1OaTHhrxjs/edit#gid=0"",""'Game 2'!$B$2:$Q$34""),33,False),1)"),0.0)</f>
        <v>0</v>
      </c>
      <c r="M92" s="5">
        <f>IFERROR(__xludf.DUMMYFUNCTION("IFERROR(HLOOKUP($A92,IMPORTRANGE(""https://docs.google.com/spreadsheets/d/1NDNgi_Ny4dRhc2A3UMIIkalN-V6EmsvxOfDzMRQlQ40/edit#gid=0"",""'Game 4'!$B$2:$Q$34""),33,False),1)"),0.0)</f>
        <v>0</v>
      </c>
      <c r="N92" s="5">
        <f>IFERROR(__xludf.DUMMYFUNCTION("IFERROR(HLOOKUP($A92,IMPORTRANGE(""https://docs.google.com/spreadsheets/d/1UDYA3-RrkJNLa2ZLH1NnUjKyfCoiSODmgVL_Au_zt-Y/edit#gid=0"",""'Game 1'!$B$2:$Q$34""),33,False),1)"),0.0)</f>
        <v>0</v>
      </c>
      <c r="O92" s="5">
        <f>IFERROR(__xludf.DUMMYFUNCTION("IFERROR(HLOOKUP($A92,IMPORTRANGE(""https://docs.google.com/spreadsheets/d/1fvo6H94Wcffp6c4N9g3JKCW6y2ZlijPxdOsNz7xdBhw/edit#gid=0"",""'Game 10'!$B$2:$Q$34""),33,False),1)"),0.0)</f>
        <v>0</v>
      </c>
      <c r="P92" s="5">
        <f>IFERROR(__xludf.DUMMYFUNCTION("IFERROR(HLOOKUP($A92,IMPORTRANGE(""https://docs.google.com/spreadsheets/d/1wfQePArl-A-5QJe5xAufoOnzeNLVSoHCRcmpZ_FMdns/edit#gid=0"",""'Game 6'!$B$2:$Q$34""),33,False),1)"),0.0)</f>
        <v>0</v>
      </c>
      <c r="Q92" s="5">
        <f>IFERROR(__xludf.DUMMYFUNCTION("IFERROR(HLOOKUP($A92,IMPORTRANGE(""https://docs.google.com/spreadsheets/d/1wydNznS0hZhVh3oGSdiCZSsReuqMT7Xaw718ix58zAI/edit#gid=0"",""'Game 12'!$B$2:$Q$34""),33,False),1)"),0.0)</f>
        <v>0</v>
      </c>
      <c r="R92" s="6">
        <f>TUHComp!R92</f>
        <v>92</v>
      </c>
      <c r="S92" s="6">
        <f t="shared" si="1"/>
        <v>40</v>
      </c>
      <c r="T92" s="6">
        <f t="shared" si="2"/>
        <v>10</v>
      </c>
      <c r="U92" s="6">
        <f t="shared" si="3"/>
        <v>25</v>
      </c>
    </row>
    <row r="93">
      <c r="A93" s="19" t="s">
        <v>253</v>
      </c>
      <c r="B93" s="9" t="s">
        <v>248</v>
      </c>
      <c r="C93" s="20">
        <v>0.0</v>
      </c>
      <c r="D93" s="20">
        <v>0.0</v>
      </c>
      <c r="E93" s="20">
        <v>0.0</v>
      </c>
      <c r="F93" s="20">
        <v>4.0</v>
      </c>
      <c r="G93" s="20">
        <v>0.0</v>
      </c>
      <c r="H93" s="12">
        <v>0.0</v>
      </c>
      <c r="I93" s="12">
        <f>IFERROR(__xludf.DUMMYFUNCTION("HLOOKUP($A93,IMPORTRANGE(""https://docs.google.com/spreadsheets/d/1l83w8bH-F1czkFOqsgQy6o8O33Jb4Pfg40W0ou2nk0k/edit#gid=0"",""'Game 4'!$B$2:$Q$34""),33,False)"),0.0)</f>
        <v>0</v>
      </c>
      <c r="J93" s="12">
        <f>IFERROR(__xludf.DUMMYFUNCTION("HLOOKUP($A93,IMPORTRANGE(""https://docs.google.com/spreadsheets/d/15X-ub7GvrCQZ3UGgyogcjwYdxG-Ng8WHxzGSj1Z3eLw/edit#gid=0"",""'Game 10'!$B$2:$Q$34""),33,False)"),4.0)</f>
        <v>4</v>
      </c>
      <c r="K93" s="12">
        <f>IFERROR(__xludf.DUMMYFUNCTION("IFERROR(HLOOKUP($A93,IMPORTRANGE(""https://docs.google.com/spreadsheets/d/194Bw3ABslPPhOOPvVoMzIk8sOQFICWBu2pydWdYMD-w/edit#gid=0"",""'Game 8'!$B$2:$Q$34""),33,False),1)"),0.0)</f>
        <v>0</v>
      </c>
      <c r="L93" s="12">
        <f>IFERROR(__xludf.DUMMYFUNCTION("IFERROR(HLOOKUP($A93,IMPORTRANGE(""https://docs.google.com/spreadsheets/d/1F2Bi6K_I1K9xRxY5qb-bNRo5m-Kw7udpF1OaTHhrxjs/edit#gid=0"",""'Game 2'!$B$2:$Q$34""),33,False),1)"),0.0)</f>
        <v>0</v>
      </c>
      <c r="M93" s="12">
        <f>IFERROR(__xludf.DUMMYFUNCTION("IFERROR(HLOOKUP($A93,IMPORTRANGE(""https://docs.google.com/spreadsheets/d/1NDNgi_Ny4dRhc2A3UMIIkalN-V6EmsvxOfDzMRQlQ40/edit#gid=0"",""'Game 4'!$B$2:$Q$34""),33,False),1)"),0.0)</f>
        <v>0</v>
      </c>
      <c r="N93" s="12">
        <f>IFERROR(__xludf.DUMMYFUNCTION("IFERROR(HLOOKUP($A93,IMPORTRANGE(""https://docs.google.com/spreadsheets/d/1UDYA3-RrkJNLa2ZLH1NnUjKyfCoiSODmgVL_Au_zt-Y/edit#gid=0"",""'Game 1'!$B$2:$Q$34""),33,False),1)"),0.0)</f>
        <v>0</v>
      </c>
      <c r="O93" s="12">
        <f>IFERROR(__xludf.DUMMYFUNCTION("IFERROR(HLOOKUP($A93,IMPORTRANGE(""https://docs.google.com/spreadsheets/d/1fvo6H94Wcffp6c4N9g3JKCW6y2ZlijPxdOsNz7xdBhw/edit#gid=0"",""'Game 10'!$B$2:$Q$34""),33,False),1)"),0.0)</f>
        <v>0</v>
      </c>
      <c r="P93" s="12">
        <f>IFERROR(__xludf.DUMMYFUNCTION("IFERROR(HLOOKUP($A93,IMPORTRANGE(""https://docs.google.com/spreadsheets/d/1wfQePArl-A-5QJe5xAufoOnzeNLVSoHCRcmpZ_FMdns/edit#gid=0"",""'Game 6'!$B$2:$Q$34""),33,False),1)"),0.0)</f>
        <v>0</v>
      </c>
      <c r="Q93" s="12">
        <f>IFERROR(__xludf.DUMMYFUNCTION("IFERROR(HLOOKUP($A93,IMPORTRANGE(""https://docs.google.com/spreadsheets/d/1wydNznS0hZhVh3oGSdiCZSsReuqMT7Xaw718ix58zAI/edit#gid=0"",""'Game 12'!$B$2:$Q$34""),33,False),1)"),0.0)</f>
        <v>0</v>
      </c>
      <c r="R93" s="13">
        <f>TUHComp!R93</f>
        <v>322</v>
      </c>
      <c r="S93" s="13">
        <f t="shared" si="1"/>
        <v>8</v>
      </c>
      <c r="T93" s="13">
        <f t="shared" si="2"/>
        <v>0.5714285714</v>
      </c>
      <c r="U93" s="13">
        <f t="shared" si="3"/>
        <v>101</v>
      </c>
    </row>
    <row r="94">
      <c r="A94" s="4" t="s">
        <v>256</v>
      </c>
      <c r="B94" s="16" t="s">
        <v>248</v>
      </c>
      <c r="C94" s="18">
        <v>4.0</v>
      </c>
      <c r="D94" s="18">
        <v>12.0</v>
      </c>
      <c r="E94" s="18">
        <v>12.0</v>
      </c>
      <c r="F94" s="18">
        <v>0.0</v>
      </c>
      <c r="G94" s="18">
        <v>20.0</v>
      </c>
      <c r="H94" s="5">
        <v>16.0</v>
      </c>
      <c r="I94" s="5">
        <f>IFERROR(__xludf.DUMMYFUNCTION("HLOOKUP($A94,IMPORTRANGE(""https://docs.google.com/spreadsheets/d/1l83w8bH-F1czkFOqsgQy6o8O33Jb4Pfg40W0ou2nk0k/edit#gid=0"",""'Game 4'!$B$2:$Q$34""),33,False)"),16.0)</f>
        <v>16</v>
      </c>
      <c r="J94" s="5">
        <f>IFERROR(__xludf.DUMMYFUNCTION("HLOOKUP($A94,IMPORTRANGE(""https://docs.google.com/spreadsheets/d/15X-ub7GvrCQZ3UGgyogcjwYdxG-Ng8WHxzGSj1Z3eLw/edit#gid=0"",""'Game 10'!$B$2:$Q$34""),33,False)"),12.0)</f>
        <v>12</v>
      </c>
      <c r="K94" s="5">
        <f>IFERROR(__xludf.DUMMYFUNCTION("IFERROR(HLOOKUP($A94,IMPORTRANGE(""https://docs.google.com/spreadsheets/d/194Bw3ABslPPhOOPvVoMzIk8sOQFICWBu2pydWdYMD-w/edit#gid=0"",""'Game 8'!$B$2:$Q$34""),33,False),1)"),28.0)</f>
        <v>28</v>
      </c>
      <c r="L94" s="5">
        <f>IFERROR(__xludf.DUMMYFUNCTION("IFERROR(HLOOKUP($A94,IMPORTRANGE(""https://docs.google.com/spreadsheets/d/1F2Bi6K_I1K9xRxY5qb-bNRo5m-Kw7udpF1OaTHhrxjs/edit#gid=0"",""'Game 2'!$B$2:$Q$34""),33,False),1)"),8.0)</f>
        <v>8</v>
      </c>
      <c r="M94" s="5">
        <f>IFERROR(__xludf.DUMMYFUNCTION("IFERROR(HLOOKUP($A94,IMPORTRANGE(""https://docs.google.com/spreadsheets/d/1NDNgi_Ny4dRhc2A3UMIIkalN-V6EmsvxOfDzMRQlQ40/edit#gid=0"",""'Game 4'!$B$2:$Q$34""),33,False),1)"),20.0)</f>
        <v>20</v>
      </c>
      <c r="N94" s="5">
        <f>IFERROR(__xludf.DUMMYFUNCTION("IFERROR(HLOOKUP($A94,IMPORTRANGE(""https://docs.google.com/spreadsheets/d/1UDYA3-RrkJNLa2ZLH1NnUjKyfCoiSODmgVL_Au_zt-Y/edit#gid=0"",""'Game 1'!$B$2:$Q$34""),33,False),1)"),24.0)</f>
        <v>24</v>
      </c>
      <c r="O94" s="5">
        <f>IFERROR(__xludf.DUMMYFUNCTION("IFERROR(HLOOKUP($A94,IMPORTRANGE(""https://docs.google.com/spreadsheets/d/1fvo6H94Wcffp6c4N9g3JKCW6y2ZlijPxdOsNz7xdBhw/edit#gid=0"",""'Game 10'!$B$2:$Q$34""),33,False),1)"),20.0)</f>
        <v>20</v>
      </c>
      <c r="P94" s="5">
        <f>IFERROR(__xludf.DUMMYFUNCTION("IFERROR(HLOOKUP($A94,IMPORTRANGE(""https://docs.google.com/spreadsheets/d/1wfQePArl-A-5QJe5xAufoOnzeNLVSoHCRcmpZ_FMdns/edit#gid=0"",""'Game 6'!$B$2:$Q$34""),33,False),1)"),32.0)</f>
        <v>32</v>
      </c>
      <c r="Q94" s="5">
        <f>IFERROR(__xludf.DUMMYFUNCTION("IFERROR(HLOOKUP($A94,IMPORTRANGE(""https://docs.google.com/spreadsheets/d/1wydNznS0hZhVh3oGSdiCZSsReuqMT7Xaw718ix58zAI/edit#gid=0"",""'Game 12'!$B$2:$Q$34""),33,False),1)"),4.0)</f>
        <v>4</v>
      </c>
      <c r="R94" s="6">
        <f>TUHComp!R94</f>
        <v>345</v>
      </c>
      <c r="S94" s="6">
        <f t="shared" si="1"/>
        <v>228</v>
      </c>
      <c r="T94" s="6">
        <f t="shared" si="2"/>
        <v>15.2</v>
      </c>
      <c r="U94" s="6">
        <f t="shared" si="3"/>
        <v>15</v>
      </c>
    </row>
    <row r="95">
      <c r="A95" s="19" t="s">
        <v>258</v>
      </c>
      <c r="B95" s="19" t="s">
        <v>248</v>
      </c>
      <c r="C95" s="20">
        <v>4.0</v>
      </c>
      <c r="D95" s="20">
        <v>0.0</v>
      </c>
      <c r="E95" s="20">
        <v>0.0</v>
      </c>
      <c r="F95" s="20">
        <v>0.0</v>
      </c>
      <c r="G95" s="20">
        <v>0.0</v>
      </c>
      <c r="H95" s="12">
        <v>0.0</v>
      </c>
      <c r="I95" s="12">
        <f>IFERROR(__xludf.DUMMYFUNCTION("HLOOKUP($A95,IMPORTRANGE(""https://docs.google.com/spreadsheets/d/1l83w8bH-F1czkFOqsgQy6o8O33Jb4Pfg40W0ou2nk0k/edit#gid=0"",""'Game 4'!$B$2:$Q$34""),33,False)"),0.0)</f>
        <v>0</v>
      </c>
      <c r="J95" s="12">
        <f>IFERROR(__xludf.DUMMYFUNCTION("HLOOKUP($A95,IMPORTRANGE(""https://docs.google.com/spreadsheets/d/15X-ub7GvrCQZ3UGgyogcjwYdxG-Ng8WHxzGSj1Z3eLw/edit#gid=0"",""'Game 10'!$B$2:$Q$34""),33,False)"),0.0)</f>
        <v>0</v>
      </c>
      <c r="K95" s="12">
        <f>IFERROR(__xludf.DUMMYFUNCTION("IFERROR(HLOOKUP($A95,IMPORTRANGE(""https://docs.google.com/spreadsheets/d/194Bw3ABslPPhOOPvVoMzIk8sOQFICWBu2pydWdYMD-w/edit#gid=0"",""'Game 8'!$B$2:$Q$34""),33,False),1)"),0.0)</f>
        <v>0</v>
      </c>
      <c r="L95" s="12">
        <f>IFERROR(__xludf.DUMMYFUNCTION("IFERROR(HLOOKUP($A95,IMPORTRANGE(""https://docs.google.com/spreadsheets/d/1F2Bi6K_I1K9xRxY5qb-bNRo5m-Kw7udpF1OaTHhrxjs/edit#gid=0"",""'Game 2'!$B$2:$Q$34""),33,False),1)"),0.0)</f>
        <v>0</v>
      </c>
      <c r="M95" s="12">
        <f>IFERROR(__xludf.DUMMYFUNCTION("IFERROR(HLOOKUP($A95,IMPORTRANGE(""https://docs.google.com/spreadsheets/d/1NDNgi_Ny4dRhc2A3UMIIkalN-V6EmsvxOfDzMRQlQ40/edit#gid=0"",""'Game 4'!$B$2:$Q$34""),33,False),1)"),0.0)</f>
        <v>0</v>
      </c>
      <c r="N95" s="12">
        <f>IFERROR(__xludf.DUMMYFUNCTION("IFERROR(HLOOKUP($A95,IMPORTRANGE(""https://docs.google.com/spreadsheets/d/1UDYA3-RrkJNLa2ZLH1NnUjKyfCoiSODmgVL_Au_zt-Y/edit#gid=0"",""'Game 1'!$B$2:$Q$34""),33,False),1)"),-4.0)</f>
        <v>-4</v>
      </c>
      <c r="O95" s="12">
        <f>IFERROR(__xludf.DUMMYFUNCTION("IFERROR(HLOOKUP($A95,IMPORTRANGE(""https://docs.google.com/spreadsheets/d/1fvo6H94Wcffp6c4N9g3JKCW6y2ZlijPxdOsNz7xdBhw/edit#gid=0"",""'Game 10'!$B$2:$Q$34""),33,False),1)"),4.0)</f>
        <v>4</v>
      </c>
      <c r="P95" s="12">
        <f>IFERROR(__xludf.DUMMYFUNCTION("IFERROR(HLOOKUP($A95,IMPORTRANGE(""https://docs.google.com/spreadsheets/d/1wfQePArl-A-5QJe5xAufoOnzeNLVSoHCRcmpZ_FMdns/edit#gid=0"",""'Game 6'!$B$2:$Q$34""),33,False),1)"),4.0)</f>
        <v>4</v>
      </c>
      <c r="Q95" s="12">
        <f>IFERROR(__xludf.DUMMYFUNCTION("IFERROR(HLOOKUP($A95,IMPORTRANGE(""https://docs.google.com/spreadsheets/d/1wydNznS0hZhVh3oGSdiCZSsReuqMT7Xaw718ix58zAI/edit#gid=0"",""'Game 12'!$B$2:$Q$34""),33,False),1)"),4.0)</f>
        <v>4</v>
      </c>
      <c r="R95" s="13">
        <f>TUHComp!R95</f>
        <v>138</v>
      </c>
      <c r="S95" s="13">
        <f t="shared" si="1"/>
        <v>12</v>
      </c>
      <c r="T95" s="13">
        <f t="shared" si="2"/>
        <v>2</v>
      </c>
      <c r="U95" s="13">
        <f t="shared" si="3"/>
        <v>83</v>
      </c>
    </row>
    <row r="96">
      <c r="A96" s="4" t="s">
        <v>260</v>
      </c>
      <c r="B96" s="16" t="s">
        <v>261</v>
      </c>
      <c r="C96" s="18">
        <v>16.0</v>
      </c>
      <c r="D96" s="18">
        <v>12.0</v>
      </c>
      <c r="E96" s="18">
        <v>12.0</v>
      </c>
      <c r="F96" s="18">
        <v>16.0</v>
      </c>
      <c r="G96" s="18">
        <v>12.0</v>
      </c>
      <c r="H96" s="5">
        <v>20.0</v>
      </c>
      <c r="I96" s="5">
        <f>IFERROR(__xludf.DUMMYFUNCTION("HLOOKUP($A96,IMPORTRANGE(""https://docs.google.com/spreadsheets/d/1l83w8bH-F1czkFOqsgQy6o8O33Jb4Pfg40W0ou2nk0k/edit#gid=0"",""'Game 9'!$B$2:$Q$34""),33,False)"),8.0)</f>
        <v>8</v>
      </c>
      <c r="J96" s="5">
        <f>IFERROR(__xludf.DUMMYFUNCTION("HLOOKUP($A96,IMPORTRANGE(""https://docs.google.com/spreadsheets/d/15X-ub7GvrCQZ3UGgyogcjwYdxG-Ng8WHxzGSj1Z3eLw/edit#gid=0"",""'Game 6'!$B$2:$Q$34""),33,False)"),4.0)</f>
        <v>4</v>
      </c>
      <c r="K96" s="5">
        <f>IFERROR(__xludf.DUMMYFUNCTION("IFERROR(HLOOKUP($A96,IMPORTRANGE(""https://docs.google.com/spreadsheets/d/194Bw3ABslPPhOOPvVoMzIk8sOQFICWBu2pydWdYMD-w/edit#gid=0"",""'Game 9'!$B$2:$Q$34""),33,False),1)"),8.0)</f>
        <v>8</v>
      </c>
      <c r="L96" s="5">
        <f>IFERROR(__xludf.DUMMYFUNCTION("IFERROR(HLOOKUP($A96,IMPORTRANGE(""https://docs.google.com/spreadsheets/d/1F2Bi6K_I1K9xRxY5qb-bNRo5m-Kw7udpF1OaTHhrxjs/edit#gid=0"",""'Game 5'!$B$2:$Q$29""),28,False),1)"),0.0)</f>
        <v>0</v>
      </c>
      <c r="M96" s="5">
        <f>IFERROR(__xludf.DUMMYFUNCTION("IFERROR(HLOOKUP($A96,IMPORTRANGE(""https://docs.google.com/spreadsheets/d/1NDNgi_Ny4dRhc2A3UMIIkalN-V6EmsvxOfDzMRQlQ40/edit#gid=0"",""'Game 10'!$B$2:$Q$34""),33,False),1)"),16.0)</f>
        <v>16</v>
      </c>
      <c r="N96" s="5">
        <f>IFERROR(__xludf.DUMMYFUNCTION("IFERROR(HLOOKUP($A96,IMPORTRANGE(""https://docs.google.com/spreadsheets/d/1UDYA3-RrkJNLa2ZLH1NnUjKyfCoiSODmgVL_Au_zt-Y/edit#gid=0"",""'Game 8'!$B$2:$Q$34""),33,False),1)"),4.0)</f>
        <v>4</v>
      </c>
      <c r="O96" s="5">
        <f>IFERROR(__xludf.DUMMYFUNCTION("IFERROR(HLOOKUP($A96,IMPORTRANGE(""https://docs.google.com/spreadsheets/d/1fvo6H94Wcffp6c4N9g3JKCW6y2ZlijPxdOsNz7xdBhw/edit#gid=0"",""'Game 2'!$B$2:$Q$34""),33,False),1)"),16.0)</f>
        <v>16</v>
      </c>
      <c r="P96" s="5">
        <f>IFERROR(__xludf.DUMMYFUNCTION("IFERROR(HLOOKUP($A96,IMPORTRANGE(""https://docs.google.com/spreadsheets/d/1wfQePArl-A-5QJe5xAufoOnzeNLVSoHCRcmpZ_FMdns/edit#gid=0"",""'Game 9'!$B$2:$Q$34""),33,False),1)"),16.0)</f>
        <v>16</v>
      </c>
      <c r="Q96" s="5">
        <f>IFERROR(__xludf.DUMMYFUNCTION("IFERROR(HLOOKUP($A96,IMPORTRANGE(""https://docs.google.com/spreadsheets/d/1wydNznS0hZhVh3oGSdiCZSsReuqMT7Xaw718ix58zAI/edit#gid=0"",""'Game 12'!$B$2:$Q$34""),33,False),1)"),4.0)</f>
        <v>4</v>
      </c>
      <c r="R96" s="6">
        <f>TUHComp!R96</f>
        <v>345</v>
      </c>
      <c r="S96" s="6">
        <f t="shared" si="1"/>
        <v>164</v>
      </c>
      <c r="T96" s="6">
        <f t="shared" si="2"/>
        <v>10.93333333</v>
      </c>
      <c r="U96" s="6">
        <f t="shared" si="3"/>
        <v>23</v>
      </c>
    </row>
    <row r="97">
      <c r="A97" s="19" t="s">
        <v>264</v>
      </c>
      <c r="B97" s="9" t="s">
        <v>261</v>
      </c>
      <c r="C97" s="20">
        <v>0.0</v>
      </c>
      <c r="D97" s="20">
        <v>0.0</v>
      </c>
      <c r="E97" s="20">
        <v>0.0</v>
      </c>
      <c r="F97" s="20">
        <v>0.0</v>
      </c>
      <c r="G97" s="20">
        <v>12.0</v>
      </c>
      <c r="H97" s="12">
        <v>4.0</v>
      </c>
      <c r="I97" s="12">
        <f>IFERROR(__xludf.DUMMYFUNCTION("HLOOKUP($A97,IMPORTRANGE(""https://docs.google.com/spreadsheets/d/1l83w8bH-F1czkFOqsgQy6o8O33Jb4Pfg40W0ou2nk0k/edit#gid=0"",""'Game 9'!$B$2:$Q$34""),33,False)"),0.0)</f>
        <v>0</v>
      </c>
      <c r="J97" s="12">
        <f>IFERROR(__xludf.DUMMYFUNCTION("HLOOKUP($A97,IMPORTRANGE(""https://docs.google.com/spreadsheets/d/15X-ub7GvrCQZ3UGgyogcjwYdxG-Ng8WHxzGSj1Z3eLw/edit#gid=0"",""'Game 6'!$B$2:$Q$34""),33,False)"),4.0)</f>
        <v>4</v>
      </c>
      <c r="K97" s="12">
        <f>IFERROR(__xludf.DUMMYFUNCTION("IFERROR(HLOOKUP($A97,IMPORTRANGE(""https://docs.google.com/spreadsheets/d/194Bw3ABslPPhOOPvVoMzIk8sOQFICWBu2pydWdYMD-w/edit#gid=0"",""'Game 9'!$B$2:$Q$34""),33,False),1)"),-4.0)</f>
        <v>-4</v>
      </c>
      <c r="L97" s="12">
        <f>IFERROR(__xludf.DUMMYFUNCTION("IFERROR(HLOOKUP($A97,IMPORTRANGE(""https://docs.google.com/spreadsheets/d/1F2Bi6K_I1K9xRxY5qb-bNRo5m-Kw7udpF1OaTHhrxjs/edit#gid=0"",""'Game 5'!$B$2:$Q$29""),28,False),1)"),0.0)</f>
        <v>0</v>
      </c>
      <c r="M97" s="12">
        <f>IFERROR(__xludf.DUMMYFUNCTION("IFERROR(HLOOKUP($A97,IMPORTRANGE(""https://docs.google.com/spreadsheets/d/1NDNgi_Ny4dRhc2A3UMIIkalN-V6EmsvxOfDzMRQlQ40/edit#gid=0"",""'Game 10'!$B$2:$Q$34""),33,False),1)"),8.0)</f>
        <v>8</v>
      </c>
      <c r="N97" s="12">
        <f>IFERROR(__xludf.DUMMYFUNCTION("IFERROR(HLOOKUP($A97,IMPORTRANGE(""https://docs.google.com/spreadsheets/d/1UDYA3-RrkJNLa2ZLH1NnUjKyfCoiSODmgVL_Au_zt-Y/edit#gid=0"",""'Game 8'!$B$2:$Q$34""),33,False),1)"),0.0)</f>
        <v>0</v>
      </c>
      <c r="O97" s="12">
        <f>IFERROR(__xludf.DUMMYFUNCTION("IFERROR(HLOOKUP($A97,IMPORTRANGE(""https://docs.google.com/spreadsheets/d/1fvo6H94Wcffp6c4N9g3JKCW6y2ZlijPxdOsNz7xdBhw/edit#gid=0"",""'Game 2'!$B$2:$Q$34""),33,False),1)"),0.0)</f>
        <v>0</v>
      </c>
      <c r="P97" s="12">
        <f>IFERROR(__xludf.DUMMYFUNCTION("IFERROR(HLOOKUP($A97,IMPORTRANGE(""https://docs.google.com/spreadsheets/d/1wfQePArl-A-5QJe5xAufoOnzeNLVSoHCRcmpZ_FMdns/edit#gid=0"",""'Game 9'!$B$2:$Q$34""),33,False),1)"),0.0)</f>
        <v>0</v>
      </c>
      <c r="Q97" s="12">
        <f>IFERROR(__xludf.DUMMYFUNCTION("IFERROR(HLOOKUP($A97,IMPORTRANGE(""https://docs.google.com/spreadsheets/d/1wydNznS0hZhVh3oGSdiCZSsReuqMT7Xaw718ix58zAI/edit#gid=0"",""'Game 12'!$B$2:$Q$34""),33,False),1)"),12.0)</f>
        <v>12</v>
      </c>
      <c r="R97" s="13">
        <f>TUHComp!R97</f>
        <v>345</v>
      </c>
      <c r="S97" s="13">
        <f t="shared" si="1"/>
        <v>36</v>
      </c>
      <c r="T97" s="13">
        <f t="shared" si="2"/>
        <v>2.4</v>
      </c>
      <c r="U97" s="13">
        <f t="shared" si="3"/>
        <v>79</v>
      </c>
    </row>
    <row r="98">
      <c r="A98" s="4" t="s">
        <v>267</v>
      </c>
      <c r="B98" s="16" t="s">
        <v>261</v>
      </c>
      <c r="C98" s="18">
        <v>12.0</v>
      </c>
      <c r="D98" s="18">
        <v>24.0</v>
      </c>
      <c r="E98" s="18">
        <v>20.0</v>
      </c>
      <c r="F98" s="18">
        <v>12.0</v>
      </c>
      <c r="G98" s="18">
        <v>20.0</v>
      </c>
      <c r="H98" s="5">
        <v>16.0</v>
      </c>
      <c r="I98" s="5">
        <f>IFERROR(__xludf.DUMMYFUNCTION("HLOOKUP($A98,IMPORTRANGE(""https://docs.google.com/spreadsheets/d/1l83w8bH-F1czkFOqsgQy6o8O33Jb4Pfg40W0ou2nk0k/edit#gid=0"",""'Game 9'!$B$2:$Q$34""),33,False)"),12.0)</f>
        <v>12</v>
      </c>
      <c r="J98" s="5">
        <f>IFERROR(__xludf.DUMMYFUNCTION("HLOOKUP($A98,IMPORTRANGE(""https://docs.google.com/spreadsheets/d/15X-ub7GvrCQZ3UGgyogcjwYdxG-Ng8WHxzGSj1Z3eLw/edit#gid=0"",""'Game 6'!$B$2:$Q$34""),33,False)"),32.0)</f>
        <v>32</v>
      </c>
      <c r="K98" s="5">
        <f>IFERROR(__xludf.DUMMYFUNCTION("IFERROR(HLOOKUP($A98,IMPORTRANGE(""https://docs.google.com/spreadsheets/d/194Bw3ABslPPhOOPvVoMzIk8sOQFICWBu2pydWdYMD-w/edit#gid=0"",""'Game 9'!$B$2:$Q$34""),33,False),1)"),8.0)</f>
        <v>8</v>
      </c>
      <c r="L98" s="5">
        <f>IFERROR(__xludf.DUMMYFUNCTION("IFERROR(HLOOKUP($A98,IMPORTRANGE(""https://docs.google.com/spreadsheets/d/1F2Bi6K_I1K9xRxY5qb-bNRo5m-Kw7udpF1OaTHhrxjs/edit#gid=0"",""'Game 5'!$B$2:$Q$29""),28,False),1)"),28.0)</f>
        <v>28</v>
      </c>
      <c r="M98" s="5">
        <f>IFERROR(__xludf.DUMMYFUNCTION("IFERROR(HLOOKUP($A98,IMPORTRANGE(""https://docs.google.com/spreadsheets/d/1NDNgi_Ny4dRhc2A3UMIIkalN-V6EmsvxOfDzMRQlQ40/edit#gid=0"",""'Game 10'!$B$2:$Q$34""),33,False),1)"),16.0)</f>
        <v>16</v>
      </c>
      <c r="N98" s="5">
        <f>IFERROR(__xludf.DUMMYFUNCTION("IFERROR(HLOOKUP($A98,IMPORTRANGE(""https://docs.google.com/spreadsheets/d/1UDYA3-RrkJNLa2ZLH1NnUjKyfCoiSODmgVL_Au_zt-Y/edit#gid=0"",""'Game 8'!$B$2:$Q$34""),33,False),1)"),24.0)</f>
        <v>24</v>
      </c>
      <c r="O98" s="5">
        <f>IFERROR(__xludf.DUMMYFUNCTION("IFERROR(HLOOKUP($A98,IMPORTRANGE(""https://docs.google.com/spreadsheets/d/1fvo6H94Wcffp6c4N9g3JKCW6y2ZlijPxdOsNz7xdBhw/edit#gid=0"",""'Game 2'!$B$2:$Q$34""),33,False),1)"),28.0)</f>
        <v>28</v>
      </c>
      <c r="P98" s="5">
        <f>IFERROR(__xludf.DUMMYFUNCTION("IFERROR(HLOOKUP($A98,IMPORTRANGE(""https://docs.google.com/spreadsheets/d/1wfQePArl-A-5QJe5xAufoOnzeNLVSoHCRcmpZ_FMdns/edit#gid=0"",""'Game 9'!$B$2:$Q$34""),33,False),1)"),16.0)</f>
        <v>16</v>
      </c>
      <c r="Q98" s="5">
        <f>IFERROR(__xludf.DUMMYFUNCTION("IFERROR(HLOOKUP($A98,IMPORTRANGE(""https://docs.google.com/spreadsheets/d/1wydNznS0hZhVh3oGSdiCZSsReuqMT7Xaw718ix58zAI/edit#gid=0"",""'Game 12'!$B$2:$Q$34""),33,False),1)"),28.0)</f>
        <v>28</v>
      </c>
      <c r="R98" s="6">
        <f>TUHComp!R98</f>
        <v>345</v>
      </c>
      <c r="S98" s="6">
        <f t="shared" si="1"/>
        <v>296</v>
      </c>
      <c r="T98" s="6">
        <f t="shared" si="2"/>
        <v>19.73333333</v>
      </c>
      <c r="U98" s="6">
        <f t="shared" si="3"/>
        <v>11</v>
      </c>
    </row>
    <row r="99">
      <c r="A99" s="19" t="s">
        <v>269</v>
      </c>
      <c r="B99" s="19" t="s">
        <v>261</v>
      </c>
      <c r="C99" s="20">
        <v>16.0</v>
      </c>
      <c r="D99" s="20">
        <v>16.0</v>
      </c>
      <c r="E99" s="20">
        <v>20.0</v>
      </c>
      <c r="F99" s="20">
        <v>20.0</v>
      </c>
      <c r="G99" s="20">
        <v>12.0</v>
      </c>
      <c r="H99" s="12">
        <v>24.0</v>
      </c>
      <c r="I99" s="12">
        <f>IFERROR(__xludf.DUMMYFUNCTION("HLOOKUP($A99,IMPORTRANGE(""https://docs.google.com/spreadsheets/d/1l83w8bH-F1czkFOqsgQy6o8O33Jb4Pfg40W0ou2nk0k/edit#gid=0"",""'Game 9'!$B$2:$Q$34""),33,False)"),16.0)</f>
        <v>16</v>
      </c>
      <c r="J99" s="12">
        <f>IFERROR(__xludf.DUMMYFUNCTION("HLOOKUP($A99,IMPORTRANGE(""https://docs.google.com/spreadsheets/d/15X-ub7GvrCQZ3UGgyogcjwYdxG-Ng8WHxzGSj1Z3eLw/edit#gid=0"",""'Game 6'!$B$2:$Q$34""),33,False)"),-4.0)</f>
        <v>-4</v>
      </c>
      <c r="K99" s="12">
        <f>IFERROR(__xludf.DUMMYFUNCTION("IFERROR(HLOOKUP($A99,IMPORTRANGE(""https://docs.google.com/spreadsheets/d/194Bw3ABslPPhOOPvVoMzIk8sOQFICWBu2pydWdYMD-w/edit#gid=0"",""'Game 9'!$B$2:$Q$34""),33,False),1)"),20.0)</f>
        <v>20</v>
      </c>
      <c r="L99" s="12">
        <f>IFERROR(__xludf.DUMMYFUNCTION("IFERROR(HLOOKUP($A99,IMPORTRANGE(""https://docs.google.com/spreadsheets/d/1F2Bi6K_I1K9xRxY5qb-bNRo5m-Kw7udpF1OaTHhrxjs/edit#gid=0"",""'Game 5'!$B$2:$Q$29""),28,False),1)"),20.0)</f>
        <v>20</v>
      </c>
      <c r="M99" s="12">
        <f>IFERROR(__xludf.DUMMYFUNCTION("IFERROR(HLOOKUP($A99,IMPORTRANGE(""https://docs.google.com/spreadsheets/d/1NDNgi_Ny4dRhc2A3UMIIkalN-V6EmsvxOfDzMRQlQ40/edit#gid=0"",""'Game 10'!$B$2:$Q$34""),33,False),1)"),20.0)</f>
        <v>20</v>
      </c>
      <c r="N99" s="12">
        <f>IFERROR(__xludf.DUMMYFUNCTION("IFERROR(HLOOKUP($A99,IMPORTRANGE(""https://docs.google.com/spreadsheets/d/1UDYA3-RrkJNLa2ZLH1NnUjKyfCoiSODmgVL_Au_zt-Y/edit#gid=0"",""'Game 8'!$B$2:$Q$34""),33,False),1)"),28.0)</f>
        <v>28</v>
      </c>
      <c r="O99" s="12">
        <f>IFERROR(__xludf.DUMMYFUNCTION("IFERROR(HLOOKUP($A99,IMPORTRANGE(""https://docs.google.com/spreadsheets/d/1fvo6H94Wcffp6c4N9g3JKCW6y2ZlijPxdOsNz7xdBhw/edit#gid=0"",""'Game 2'!$B$2:$Q$34""),33,False),1)"),12.0)</f>
        <v>12</v>
      </c>
      <c r="P99" s="12">
        <f>IFERROR(__xludf.DUMMYFUNCTION("IFERROR(HLOOKUP($A99,IMPORTRANGE(""https://docs.google.com/spreadsheets/d/1wfQePArl-A-5QJe5xAufoOnzeNLVSoHCRcmpZ_FMdns/edit#gid=0"",""'Game 9'!$B$2:$Q$34""),33,False),1)"),0.0)</f>
        <v>0</v>
      </c>
      <c r="Q99" s="12">
        <f>IFERROR(__xludf.DUMMYFUNCTION("IFERROR(HLOOKUP($A99,IMPORTRANGE(""https://docs.google.com/spreadsheets/d/1wydNznS0hZhVh3oGSdiCZSsReuqMT7Xaw718ix58zAI/edit#gid=0"",""'Game 12'!$B$2:$Q$34""),33,False),1)"),0.0)</f>
        <v>0</v>
      </c>
      <c r="R99" s="13">
        <f>TUHComp!R99</f>
        <v>345</v>
      </c>
      <c r="S99" s="13">
        <f t="shared" si="1"/>
        <v>220</v>
      </c>
      <c r="T99" s="13">
        <f t="shared" si="2"/>
        <v>14.66666667</v>
      </c>
      <c r="U99" s="13">
        <f t="shared" si="3"/>
        <v>16</v>
      </c>
    </row>
    <row r="100">
      <c r="A100" s="4" t="s">
        <v>271</v>
      </c>
      <c r="B100" s="4" t="s">
        <v>272</v>
      </c>
      <c r="C100" s="18">
        <v>28.0</v>
      </c>
      <c r="D100" s="18">
        <v>56.0</v>
      </c>
      <c r="E100" s="18">
        <v>28.0</v>
      </c>
      <c r="F100" s="18">
        <v>36.0</v>
      </c>
      <c r="G100" s="18">
        <v>32.0</v>
      </c>
      <c r="H100" s="5">
        <v>44.0</v>
      </c>
      <c r="I100" s="5">
        <f>IFERROR(__xludf.DUMMYFUNCTION("HLOOKUP($A100,IMPORTRANGE(""https://docs.google.com/spreadsheets/d/1l83w8bH-F1czkFOqsgQy6o8O33Jb4Pfg40W0ou2nk0k/edit#gid=0"",""'Game 7'!$B$2:$Q$34""),33,False)"),28.0)</f>
        <v>28</v>
      </c>
      <c r="J100" s="5">
        <f>IFERROR(__xludf.DUMMYFUNCTION("HLOOKUP($A100,IMPORTRANGE(""https://docs.google.com/spreadsheets/d/15X-ub7GvrCQZ3UGgyogcjwYdxG-Ng8WHxzGSj1Z3eLw/edit#gid=0"",""'Game 3'!$B$2:$Q$34""),33,False)"),40.0)</f>
        <v>40</v>
      </c>
      <c r="K100" s="5">
        <f>IFERROR(__xludf.DUMMYFUNCTION("IFERROR(HLOOKUP($A100,IMPORTRANGE(""https://docs.google.com/spreadsheets/d/194Bw3ABslPPhOOPvVoMzIk8sOQFICWBu2pydWdYMD-w/edit#gid=0"",""'Game 9'!$B$2:$Q$34""),33,False),1)"),20.0)</f>
        <v>20</v>
      </c>
      <c r="L100" s="5">
        <f>IFERROR(__xludf.DUMMYFUNCTION("IFERROR(HLOOKUP($A100,IMPORTRANGE(""https://docs.google.com/spreadsheets/d/1F2Bi6K_I1K9xRxY5qb-bNRo5m-Kw7udpF1OaTHhrxjs/edit#gid=0"",""'Game 11'!$B$2:$Q$34""),33,False),1)"),28.0)</f>
        <v>28</v>
      </c>
      <c r="M100" s="5">
        <f>IFERROR(__xludf.DUMMYFUNCTION("IFERROR(HLOOKUP($A100,IMPORTRANGE(""https://docs.google.com/spreadsheets/d/1NDNgi_Ny4dRhc2A3UMIIkalN-V6EmsvxOfDzMRQlQ40/edit#gid=0"",""'Game 8'!$B$2:$Q$34""),33,False),1)"),20.0)</f>
        <v>20</v>
      </c>
      <c r="N100" s="5">
        <f>IFERROR(__xludf.DUMMYFUNCTION("IFERROR(HLOOKUP($A100,IMPORTRANGE(""https://docs.google.com/spreadsheets/d/1UDYA3-RrkJNLa2ZLH1NnUjKyfCoiSODmgVL_Au_zt-Y/edit#gid=0"",""'Game 5'!$B$2:$Q$34""),33,False),1)"),48.0)</f>
        <v>48</v>
      </c>
      <c r="O100" s="5">
        <f>IFERROR(__xludf.DUMMYFUNCTION("IFERROR(HLOOKUP($A100,IMPORTRANGE(""https://docs.google.com/spreadsheets/d/1fvo6H94Wcffp6c4N9g3JKCW6y2ZlijPxdOsNz7xdBhw/edit#gid=0"",""'Game 6'!$B$2:$Q$34""),33,False),1)"),12.0)</f>
        <v>12</v>
      </c>
      <c r="P100" s="5">
        <f>IFERROR(__xludf.DUMMYFUNCTION("IFERROR(HLOOKUP($A100,IMPORTRANGE(""https://docs.google.com/spreadsheets/d/1wfQePArl-A-5QJe5xAufoOnzeNLVSoHCRcmpZ_FMdns/edit#gid=0"",""'Game 7'!$B$2:$Q$34""),33,False),1)"),44.0)</f>
        <v>44</v>
      </c>
      <c r="Q100" s="5">
        <f>IFERROR(__xludf.DUMMYFUNCTION("IFERROR(HLOOKUP($A100,IMPORTRANGE(""https://docs.google.com/spreadsheets/d/1wydNznS0hZhVh3oGSdiCZSsReuqMT7Xaw718ix58zAI/edit#gid=0"",""'Game 11'!$B$2:$Q$34""),33,False),1)"),20.0)</f>
        <v>20</v>
      </c>
      <c r="R100" s="6">
        <f>TUHComp!R100</f>
        <v>345</v>
      </c>
      <c r="S100" s="6">
        <f t="shared" si="1"/>
        <v>484</v>
      </c>
      <c r="T100" s="6">
        <f t="shared" si="2"/>
        <v>32.26666667</v>
      </c>
      <c r="U100" s="6">
        <f t="shared" si="3"/>
        <v>3</v>
      </c>
    </row>
    <row r="101">
      <c r="A101" s="19" t="s">
        <v>275</v>
      </c>
      <c r="B101" s="9" t="s">
        <v>272</v>
      </c>
      <c r="C101" s="20">
        <v>4.0</v>
      </c>
      <c r="D101" s="20">
        <v>0.0</v>
      </c>
      <c r="E101" s="20">
        <v>4.0</v>
      </c>
      <c r="F101" s="20">
        <v>4.0</v>
      </c>
      <c r="G101" s="20">
        <v>4.0</v>
      </c>
      <c r="H101" s="12">
        <v>4.0</v>
      </c>
      <c r="I101" s="12">
        <f>IFERROR(__xludf.DUMMYFUNCTION("HLOOKUP($A101,IMPORTRANGE(""https://docs.google.com/spreadsheets/d/1l83w8bH-F1czkFOqsgQy6o8O33Jb4Pfg40W0ou2nk0k/edit#gid=0"",""'Game 7'!$B$2:$Q$34""),33,False)"),4.0)</f>
        <v>4</v>
      </c>
      <c r="J101" s="12">
        <f>IFERROR(__xludf.DUMMYFUNCTION("HLOOKUP($A101,IMPORTRANGE(""https://docs.google.com/spreadsheets/d/15X-ub7GvrCQZ3UGgyogcjwYdxG-Ng8WHxzGSj1Z3eLw/edit#gid=0"",""'Game 3'!$B$2:$Q$34""),33,False)"),8.0)</f>
        <v>8</v>
      </c>
      <c r="K101" s="12">
        <f>IFERROR(__xludf.DUMMYFUNCTION("IFERROR(HLOOKUP($A101,IMPORTRANGE(""https://docs.google.com/spreadsheets/d/194Bw3ABslPPhOOPvVoMzIk8sOQFICWBu2pydWdYMD-w/edit#gid=0"",""'Game 9'!$B$2:$Q$34""),33,False),1)"),4.0)</f>
        <v>4</v>
      </c>
      <c r="L101" s="12">
        <f>IFERROR(__xludf.DUMMYFUNCTION("IFERROR(HLOOKUP($A101,IMPORTRANGE(""https://docs.google.com/spreadsheets/d/1F2Bi6K_I1K9xRxY5qb-bNRo5m-Kw7udpF1OaTHhrxjs/edit#gid=0"",""'Game 11'!$B$2:$Q$34""),33,False),1)"),0.0)</f>
        <v>0</v>
      </c>
      <c r="M101" s="12">
        <f>IFERROR(__xludf.DUMMYFUNCTION("IFERROR(HLOOKUP($A101,IMPORTRANGE(""https://docs.google.com/spreadsheets/d/1NDNgi_Ny4dRhc2A3UMIIkalN-V6EmsvxOfDzMRQlQ40/edit#gid=0"",""'Game 8'!$B$2:$Q$34""),33,False),1)"),4.0)</f>
        <v>4</v>
      </c>
      <c r="N101" s="12">
        <f>IFERROR(__xludf.DUMMYFUNCTION("IFERROR(HLOOKUP($A101,IMPORTRANGE(""https://docs.google.com/spreadsheets/d/1UDYA3-RrkJNLa2ZLH1NnUjKyfCoiSODmgVL_Au_zt-Y/edit#gid=0"",""'Game 5'!$B$2:$Q$34""),33,False),1)"),4.0)</f>
        <v>4</v>
      </c>
      <c r="O101" s="12">
        <f>IFERROR(__xludf.DUMMYFUNCTION("IFERROR(HLOOKUP($A101,IMPORTRANGE(""https://docs.google.com/spreadsheets/d/1fvo6H94Wcffp6c4N9g3JKCW6y2ZlijPxdOsNz7xdBhw/edit#gid=0"",""'Game 6'!$B$2:$Q$34""),33,False),1)"),0.0)</f>
        <v>0</v>
      </c>
      <c r="P101" s="12">
        <f>IFERROR(__xludf.DUMMYFUNCTION("IFERROR(HLOOKUP($A101,IMPORTRANGE(""https://docs.google.com/spreadsheets/d/1wfQePArl-A-5QJe5xAufoOnzeNLVSoHCRcmpZ_FMdns/edit#gid=0"",""'Game 7'!$B$2:$Q$34""),33,False),1)"),4.0)</f>
        <v>4</v>
      </c>
      <c r="Q101" s="12">
        <f>IFERROR(__xludf.DUMMYFUNCTION("IFERROR(HLOOKUP($A101,IMPORTRANGE(""https://docs.google.com/spreadsheets/d/1wydNznS0hZhVh3oGSdiCZSsReuqMT7Xaw718ix58zAI/edit#gid=0"",""'Game 11'!$B$2:$Q$34""),33,False),1)"),8.0)</f>
        <v>8</v>
      </c>
      <c r="R101" s="13">
        <f>TUHComp!R101</f>
        <v>245</v>
      </c>
      <c r="S101" s="13">
        <f t="shared" si="1"/>
        <v>56</v>
      </c>
      <c r="T101" s="13">
        <f t="shared" si="2"/>
        <v>5.257142857</v>
      </c>
      <c r="U101" s="13">
        <f t="shared" si="3"/>
        <v>47</v>
      </c>
    </row>
    <row r="102">
      <c r="A102" s="4" t="s">
        <v>278</v>
      </c>
      <c r="B102" s="16" t="s">
        <v>272</v>
      </c>
      <c r="C102" s="18">
        <v>0.0</v>
      </c>
      <c r="D102" s="18">
        <v>0.0</v>
      </c>
      <c r="E102" s="18">
        <v>0.0</v>
      </c>
      <c r="F102" s="18">
        <v>4.0</v>
      </c>
      <c r="G102" s="18">
        <v>0.0</v>
      </c>
      <c r="H102" s="5">
        <v>0.0</v>
      </c>
      <c r="I102" s="5">
        <f>IFERROR(__xludf.DUMMYFUNCTION("HLOOKUP($A102,IMPORTRANGE(""https://docs.google.com/spreadsheets/d/1l83w8bH-F1czkFOqsgQy6o8O33Jb4Pfg40W0ou2nk0k/edit#gid=0"",""'Game 7'!$B$2:$Q$34""),33,False)"),0.0)</f>
        <v>0</v>
      </c>
      <c r="J102" s="5">
        <f>IFERROR(__xludf.DUMMYFUNCTION("HLOOKUP($A102,IMPORTRANGE(""https://docs.google.com/spreadsheets/d/15X-ub7GvrCQZ3UGgyogcjwYdxG-Ng8WHxzGSj1Z3eLw/edit#gid=0"",""'Game 3'!$B$2:$Q$34""),33,False)"),0.0)</f>
        <v>0</v>
      </c>
      <c r="K102" s="5">
        <f>IFERROR(__xludf.DUMMYFUNCTION("IFERROR(HLOOKUP($A102,IMPORTRANGE(""https://docs.google.com/spreadsheets/d/194Bw3ABslPPhOOPvVoMzIk8sOQFICWBu2pydWdYMD-w/edit#gid=0"",""'Game 9'!$B$2:$Q$34""),33,False),1)"),0.0)</f>
        <v>0</v>
      </c>
      <c r="L102" s="5">
        <f>IFERROR(__xludf.DUMMYFUNCTION("IFERROR(HLOOKUP($A102,IMPORTRANGE(""https://docs.google.com/spreadsheets/d/1F2Bi6K_I1K9xRxY5qb-bNRo5m-Kw7udpF1OaTHhrxjs/edit#gid=0"",""'Game 11'!$B$2:$Q$34""),33,False),1)"),0.0)</f>
        <v>0</v>
      </c>
      <c r="M102" s="5">
        <f>IFERROR(__xludf.DUMMYFUNCTION("IFERROR(HLOOKUP($A102,IMPORTRANGE(""https://docs.google.com/spreadsheets/d/1NDNgi_Ny4dRhc2A3UMIIkalN-V6EmsvxOfDzMRQlQ40/edit#gid=0"",""'Game 8'!$B$2:$Q$34""),33,False),1)"),0.0)</f>
        <v>0</v>
      </c>
      <c r="N102" s="5">
        <f>IFERROR(__xludf.DUMMYFUNCTION("IFERROR(HLOOKUP($A102,IMPORTRANGE(""https://docs.google.com/spreadsheets/d/1UDYA3-RrkJNLa2ZLH1NnUjKyfCoiSODmgVL_Au_zt-Y/edit#gid=0"",""'Game 5'!$B$2:$Q$34""),33,False),1)"),4.0)</f>
        <v>4</v>
      </c>
      <c r="O102" s="5">
        <f>IFERROR(__xludf.DUMMYFUNCTION("IFERROR(HLOOKUP($A102,IMPORTRANGE(""https://docs.google.com/spreadsheets/d/1fvo6H94Wcffp6c4N9g3JKCW6y2ZlijPxdOsNz7xdBhw/edit#gid=0"",""'Game 6'!$B$2:$Q$34""),33,False),1)"),0.0)</f>
        <v>0</v>
      </c>
      <c r="P102" s="5">
        <f>IFERROR(__xludf.DUMMYFUNCTION("IFERROR(HLOOKUP($A102,IMPORTRANGE(""https://docs.google.com/spreadsheets/d/1wfQePArl-A-5QJe5xAufoOnzeNLVSoHCRcmpZ_FMdns/edit#gid=0"",""'Game 7'!$B$2:$Q$34""),33,False),1)"),0.0)</f>
        <v>0</v>
      </c>
      <c r="Q102" s="5">
        <f>IFERROR(__xludf.DUMMYFUNCTION("IFERROR(HLOOKUP($A102,IMPORTRANGE(""https://docs.google.com/spreadsheets/d/1wydNznS0hZhVh3oGSdiCZSsReuqMT7Xaw718ix58zAI/edit#gid=0"",""'Game 11'!$B$2:$Q$34""),33,False),1)"),0.0)</f>
        <v>0</v>
      </c>
      <c r="R102" s="6">
        <f>TUHComp!R102</f>
        <v>100</v>
      </c>
      <c r="S102" s="6">
        <f t="shared" si="1"/>
        <v>8</v>
      </c>
      <c r="T102" s="6">
        <f t="shared" si="2"/>
        <v>1.84</v>
      </c>
      <c r="U102" s="6">
        <f t="shared" si="3"/>
        <v>84</v>
      </c>
    </row>
    <row r="103">
      <c r="A103" s="19" t="s">
        <v>280</v>
      </c>
      <c r="B103" s="9" t="s">
        <v>272</v>
      </c>
      <c r="C103" s="20">
        <v>4.0</v>
      </c>
      <c r="D103" s="20">
        <v>8.0</v>
      </c>
      <c r="E103" s="20">
        <v>4.0</v>
      </c>
      <c r="F103" s="20">
        <v>4.0</v>
      </c>
      <c r="G103" s="20">
        <v>4.0</v>
      </c>
      <c r="H103" s="12">
        <v>8.0</v>
      </c>
      <c r="I103" s="12">
        <f>IFERROR(__xludf.DUMMYFUNCTION("HLOOKUP($A103,IMPORTRANGE(""https://docs.google.com/spreadsheets/d/1l83w8bH-F1czkFOqsgQy6o8O33Jb4Pfg40W0ou2nk0k/edit#gid=0"",""'Game 7'!$B$2:$Q$34""),33,False)"),4.0)</f>
        <v>4</v>
      </c>
      <c r="J103" s="12">
        <f>IFERROR(__xludf.DUMMYFUNCTION("HLOOKUP($A103,IMPORTRANGE(""https://docs.google.com/spreadsheets/d/15X-ub7GvrCQZ3UGgyogcjwYdxG-Ng8WHxzGSj1Z3eLw/edit#gid=0"",""'Game 3'!$B$2:$Q$34""),33,False)"),8.0)</f>
        <v>8</v>
      </c>
      <c r="K103" s="12">
        <f>IFERROR(__xludf.DUMMYFUNCTION("IFERROR(HLOOKUP($A103,IMPORTRANGE(""https://docs.google.com/spreadsheets/d/194Bw3ABslPPhOOPvVoMzIk8sOQFICWBu2pydWdYMD-w/edit#gid=0"",""'Game 9'!$B$2:$Q$34""),33,False),1)"),4.0)</f>
        <v>4</v>
      </c>
      <c r="L103" s="12">
        <f>IFERROR(__xludf.DUMMYFUNCTION("IFERROR(HLOOKUP($A103,IMPORTRANGE(""https://docs.google.com/spreadsheets/d/1F2Bi6K_I1K9xRxY5qb-bNRo5m-Kw7udpF1OaTHhrxjs/edit#gid=0"",""'Game 11'!$B$2:$Q$34""),33,False),1)"),4.0)</f>
        <v>4</v>
      </c>
      <c r="M103" s="12">
        <f>IFERROR(__xludf.DUMMYFUNCTION("IFERROR(HLOOKUP($A103,IMPORTRANGE(""https://docs.google.com/spreadsheets/d/1NDNgi_Ny4dRhc2A3UMIIkalN-V6EmsvxOfDzMRQlQ40/edit#gid=0"",""'Game 8'!$B$2:$Q$34""),33,False),1)"),12.0)</f>
        <v>12</v>
      </c>
      <c r="N103" s="12">
        <f>IFERROR(__xludf.DUMMYFUNCTION("IFERROR(HLOOKUP($A103,IMPORTRANGE(""https://docs.google.com/spreadsheets/d/1UDYA3-RrkJNLa2ZLH1NnUjKyfCoiSODmgVL_Au_zt-Y/edit#gid=0"",""'Game 5'!$B$2:$Q$34""),33,False),1)"),0.0)</f>
        <v>0</v>
      </c>
      <c r="O103" s="12">
        <f>IFERROR(__xludf.DUMMYFUNCTION("IFERROR(HLOOKUP($A103,IMPORTRANGE(""https://docs.google.com/spreadsheets/d/1fvo6H94Wcffp6c4N9g3JKCW6y2ZlijPxdOsNz7xdBhw/edit#gid=0"",""'Game 6'!$B$2:$Q$34""),33,False),1)"),8.0)</f>
        <v>8</v>
      </c>
      <c r="P103" s="12">
        <f>IFERROR(__xludf.DUMMYFUNCTION("IFERROR(HLOOKUP($A103,IMPORTRANGE(""https://docs.google.com/spreadsheets/d/1wfQePArl-A-5QJe5xAufoOnzeNLVSoHCRcmpZ_FMdns/edit#gid=0"",""'Game 7'!$B$2:$Q$34""),33,False),1)"),4.0)</f>
        <v>4</v>
      </c>
      <c r="Q103" s="12">
        <f>IFERROR(__xludf.DUMMYFUNCTION("IFERROR(HLOOKUP($A103,IMPORTRANGE(""https://docs.google.com/spreadsheets/d/1wydNznS0hZhVh3oGSdiCZSsReuqMT7Xaw718ix58zAI/edit#gid=0"",""'Game 11'!$B$2:$Q$34""),33,False),1)"),0.0)</f>
        <v>0</v>
      </c>
      <c r="R103" s="13">
        <f>TUHComp!R103</f>
        <v>345</v>
      </c>
      <c r="S103" s="13">
        <f t="shared" si="1"/>
        <v>76</v>
      </c>
      <c r="T103" s="13">
        <f t="shared" si="2"/>
        <v>5.066666667</v>
      </c>
      <c r="U103" s="13">
        <f t="shared" si="3"/>
        <v>50</v>
      </c>
    </row>
    <row r="104">
      <c r="A104" s="4" t="s">
        <v>282</v>
      </c>
      <c r="B104" s="4" t="s">
        <v>272</v>
      </c>
      <c r="C104" s="18">
        <v>16.0</v>
      </c>
      <c r="D104" s="18">
        <v>0.0</v>
      </c>
      <c r="E104" s="18">
        <v>4.0</v>
      </c>
      <c r="F104" s="18">
        <v>0.0</v>
      </c>
      <c r="G104" s="18">
        <v>4.0</v>
      </c>
      <c r="H104" s="5">
        <v>0.0</v>
      </c>
      <c r="I104" s="5">
        <f>IFERROR(__xludf.DUMMYFUNCTION("HLOOKUP($A104,IMPORTRANGE(""https://docs.google.com/spreadsheets/d/1l83w8bH-F1czkFOqsgQy6o8O33Jb4Pfg40W0ou2nk0k/edit#gid=0"",""'Game 7'!$B$2:$Q$34""),33,False)"),0.0)</f>
        <v>0</v>
      </c>
      <c r="J104" s="5">
        <f>IFERROR(__xludf.DUMMYFUNCTION("HLOOKUP($A104,IMPORTRANGE(""https://docs.google.com/spreadsheets/d/15X-ub7GvrCQZ3UGgyogcjwYdxG-Ng8WHxzGSj1Z3eLw/edit#gid=0"",""'Game 3'!$B$2:$Q$34""),33,False)"),0.0)</f>
        <v>0</v>
      </c>
      <c r="K104" s="5">
        <f>IFERROR(__xludf.DUMMYFUNCTION("IFERROR(HLOOKUP($A104,IMPORTRANGE(""https://docs.google.com/spreadsheets/d/194Bw3ABslPPhOOPvVoMzIk8sOQFICWBu2pydWdYMD-w/edit#gid=0"",""'Game 9'!$B$2:$Q$34""),33,False),1)"),12.0)</f>
        <v>12</v>
      </c>
      <c r="L104" s="5">
        <f>IFERROR(__xludf.DUMMYFUNCTION("IFERROR(HLOOKUP($A104,IMPORTRANGE(""https://docs.google.com/spreadsheets/d/1F2Bi6K_I1K9xRxY5qb-bNRo5m-Kw7udpF1OaTHhrxjs/edit#gid=0"",""'Game 11'!$B$2:$Q$34""),33,False),1)"),4.0)</f>
        <v>4</v>
      </c>
      <c r="M104" s="5">
        <f>IFERROR(__xludf.DUMMYFUNCTION("IFERROR(HLOOKUP($A104,IMPORTRANGE(""https://docs.google.com/spreadsheets/d/1NDNgi_Ny4dRhc2A3UMIIkalN-V6EmsvxOfDzMRQlQ40/edit#gid=0"",""'Game 8'!$B$2:$Q$34""),33,False),1)"),0.0)</f>
        <v>0</v>
      </c>
      <c r="N104" s="5">
        <f>IFERROR(__xludf.DUMMYFUNCTION("IFERROR(HLOOKUP($A104,IMPORTRANGE(""https://docs.google.com/spreadsheets/d/1UDYA3-RrkJNLa2ZLH1NnUjKyfCoiSODmgVL_Au_zt-Y/edit#gid=0"",""'Game 5'!$B$2:$Q$34""),33,False),1)"),4.0)</f>
        <v>4</v>
      </c>
      <c r="O104" s="5">
        <f>IFERROR(__xludf.DUMMYFUNCTION("IFERROR(HLOOKUP($A104,IMPORTRANGE(""https://docs.google.com/spreadsheets/d/1fvo6H94Wcffp6c4N9g3JKCW6y2ZlijPxdOsNz7xdBhw/edit#gid=0"",""'Game 6'!$B$2:$Q$34""),33,False),1)"),0.0)</f>
        <v>0</v>
      </c>
      <c r="P104" s="5">
        <f>IFERROR(__xludf.DUMMYFUNCTION("IFERROR(HLOOKUP($A104,IMPORTRANGE(""https://docs.google.com/spreadsheets/d/1wfQePArl-A-5QJe5xAufoOnzeNLVSoHCRcmpZ_FMdns/edit#gid=0"",""'Game 7'!$B$2:$Q$34""),33,False),1)"),4.0)</f>
        <v>4</v>
      </c>
      <c r="Q104" s="5">
        <f>IFERROR(__xludf.DUMMYFUNCTION("IFERROR(HLOOKUP($A104,IMPORTRANGE(""https://docs.google.com/spreadsheets/d/1wydNznS0hZhVh3oGSdiCZSsReuqMT7Xaw718ix58zAI/edit#gid=0"",""'Game 11'!$B$2:$Q$34""),33,False),1)"),0.0)</f>
        <v>0</v>
      </c>
      <c r="R104" s="6">
        <f>TUHComp!R104</f>
        <v>345</v>
      </c>
      <c r="S104" s="6">
        <f t="shared" si="1"/>
        <v>48</v>
      </c>
      <c r="T104" s="6">
        <f t="shared" si="2"/>
        <v>3.2</v>
      </c>
      <c r="U104" s="6">
        <f t="shared" si="3"/>
        <v>70</v>
      </c>
    </row>
    <row r="105">
      <c r="A105" s="19" t="s">
        <v>284</v>
      </c>
      <c r="B105" s="9" t="s">
        <v>285</v>
      </c>
      <c r="C105" s="20">
        <v>0.0</v>
      </c>
      <c r="D105" s="20">
        <v>0.0</v>
      </c>
      <c r="E105" s="20">
        <v>0.0</v>
      </c>
      <c r="F105" s="20">
        <v>8.0</v>
      </c>
      <c r="G105" s="20">
        <v>8.0</v>
      </c>
      <c r="H105" s="12">
        <v>0.0</v>
      </c>
      <c r="I105" s="12">
        <f>IFERROR(__xludf.DUMMYFUNCTION("HLOOKUP($A105,IMPORTRANGE(""https://docs.google.com/spreadsheets/d/1l83w8bH-F1czkFOqsgQy6o8O33Jb4Pfg40W0ou2nk0k/edit#gid=0"",""'Game 10'!$B$2:$Q$34""),33,False)"),0.0)</f>
        <v>0</v>
      </c>
      <c r="J105" s="12">
        <f>IFERROR(__xludf.DUMMYFUNCTION("HLOOKUP($A105,IMPORTRANGE(""https://docs.google.com/spreadsheets/d/15X-ub7GvrCQZ3UGgyogcjwYdxG-Ng8WHxzGSj1Z3eLw/edit#gid=0"",""'Game 12'!$B$2:$Q$34""),33,False)"),8.0)</f>
        <v>8</v>
      </c>
      <c r="K105" s="12">
        <f>IFERROR(__xludf.DUMMYFUNCTION("IFERROR(HLOOKUP($A105,IMPORTRANGE(""https://docs.google.com/spreadsheets/d/194Bw3ABslPPhOOPvVoMzIk8sOQFICWBu2pydWdYMD-w/edit#gid=0"",""'Game 10'!$B$2:$Q$29""),28,False),1)"),0.0)</f>
        <v>0</v>
      </c>
      <c r="L105" s="12">
        <f>IFERROR(__xludf.DUMMYFUNCTION("IFERROR(HLOOKUP($A105,IMPORTRANGE(""https://docs.google.com/spreadsheets/d/1F2Bi6K_I1K9xRxY5qb-bNRo5m-Kw7udpF1OaTHhrxjs/edit#gid=0"",""'Game 3'!$B$2:$Q$34""),33,False),1)"),0.0)</f>
        <v>0</v>
      </c>
      <c r="M105" s="12">
        <f>IFERROR(__xludf.DUMMYFUNCTION("IFERROR(HLOOKUP($A105,IMPORTRANGE(""https://docs.google.com/spreadsheets/d/1NDNgi_Ny4dRhc2A3UMIIkalN-V6EmsvxOfDzMRQlQ40/edit#gid=0"",""'Game 11'!$B$2:$Q$34""),33,False),1)"),0.0)</f>
        <v>0</v>
      </c>
      <c r="N105" s="12">
        <f>IFERROR(__xludf.DUMMYFUNCTION("IFERROR(HLOOKUP($A105,IMPORTRANGE(""https://docs.google.com/spreadsheets/d/1UDYA3-RrkJNLa2ZLH1NnUjKyfCoiSODmgVL_Au_zt-Y/edit#gid=0"",""'Game 6'!$B$2:$Q$34""),33,False),1)"),0.0)</f>
        <v>0</v>
      </c>
      <c r="O105" s="12">
        <f>IFERROR(__xludf.DUMMYFUNCTION("IFERROR(HLOOKUP($A105,IMPORTRANGE(""https://docs.google.com/spreadsheets/d/1fvo6H94Wcffp6c4N9g3JKCW6y2ZlijPxdOsNz7xdBhw/edit#gid=0"",""'Game 8'!$B$2:$Q$34""),33,False),1)"),8.0)</f>
        <v>8</v>
      </c>
      <c r="P105" s="12">
        <f>IFERROR(__xludf.DUMMYFUNCTION("IFERROR(HLOOKUP($A105,IMPORTRANGE(""https://docs.google.com/spreadsheets/d/1wfQePArl-A-5QJe5xAufoOnzeNLVSoHCRcmpZ_FMdns/edit#gid=0"",""'Game 10'!$B$2:$Q$34""),33,False),1)"),0.0)</f>
        <v>0</v>
      </c>
      <c r="Q105" s="12">
        <f>IFERROR(__xludf.DUMMYFUNCTION("IFERROR(HLOOKUP($A105,IMPORTRANGE(""https://docs.google.com/spreadsheets/d/1wydNznS0hZhVh3oGSdiCZSsReuqMT7Xaw718ix58zAI/edit#gid=0"",""'Game 8'!$B$2:$Q$34""),33,False),1)"),8.0)</f>
        <v>8</v>
      </c>
      <c r="R105" s="13">
        <f>TUHComp!R105</f>
        <v>188</v>
      </c>
      <c r="S105" s="13">
        <f t="shared" si="1"/>
        <v>40</v>
      </c>
      <c r="T105" s="13">
        <f t="shared" si="2"/>
        <v>4.893617021</v>
      </c>
      <c r="U105" s="13">
        <f t="shared" si="3"/>
        <v>52</v>
      </c>
    </row>
    <row r="106">
      <c r="A106" s="4" t="s">
        <v>288</v>
      </c>
      <c r="B106" s="16" t="s">
        <v>285</v>
      </c>
      <c r="C106" s="18">
        <v>8.0</v>
      </c>
      <c r="D106" s="18">
        <v>8.0</v>
      </c>
      <c r="E106" s="18">
        <v>0.0</v>
      </c>
      <c r="F106" s="18">
        <v>4.0</v>
      </c>
      <c r="G106" s="18">
        <v>4.0</v>
      </c>
      <c r="H106" s="5">
        <v>0.0</v>
      </c>
      <c r="I106" s="5">
        <f>IFERROR(__xludf.DUMMYFUNCTION("HLOOKUP($A106,IMPORTRANGE(""https://docs.google.com/spreadsheets/d/1l83w8bH-F1czkFOqsgQy6o8O33Jb4Pfg40W0ou2nk0k/edit#gid=0"",""'Game 10'!$B$2:$Q$34""),33,False)"),4.0)</f>
        <v>4</v>
      </c>
      <c r="J106" s="5">
        <f>IFERROR(__xludf.DUMMYFUNCTION("HLOOKUP($A106,IMPORTRANGE(""https://docs.google.com/spreadsheets/d/15X-ub7GvrCQZ3UGgyogcjwYdxG-Ng8WHxzGSj1Z3eLw/edit#gid=0"",""'Game 12'!$B$2:$Q$34""),33,False)"),0.0)</f>
        <v>0</v>
      </c>
      <c r="K106" s="5">
        <f>IFERROR(__xludf.DUMMYFUNCTION("IFERROR(HLOOKUP($A106,IMPORTRANGE(""https://docs.google.com/spreadsheets/d/194Bw3ABslPPhOOPvVoMzIk8sOQFICWBu2pydWdYMD-w/edit#gid=0"",""'Game 10'!$B$2:$Q$29""),28,False),1)"),4.0)</f>
        <v>4</v>
      </c>
      <c r="L106" s="5">
        <f>IFERROR(__xludf.DUMMYFUNCTION("IFERROR(HLOOKUP($A106,IMPORTRANGE(""https://docs.google.com/spreadsheets/d/1F2Bi6K_I1K9xRxY5qb-bNRo5m-Kw7udpF1OaTHhrxjs/edit#gid=0"",""'Game 3'!$B$2:$Q$34""),33,False),1)"),8.0)</f>
        <v>8</v>
      </c>
      <c r="M106" s="5">
        <f>IFERROR(__xludf.DUMMYFUNCTION("IFERROR(HLOOKUP($A106,IMPORTRANGE(""https://docs.google.com/spreadsheets/d/1NDNgi_Ny4dRhc2A3UMIIkalN-V6EmsvxOfDzMRQlQ40/edit#gid=0"",""'Game 11'!$B$2:$Q$34""),33,False),1)"),0.0)</f>
        <v>0</v>
      </c>
      <c r="N106" s="5">
        <f>IFERROR(__xludf.DUMMYFUNCTION("IFERROR(HLOOKUP($A106,IMPORTRANGE(""https://docs.google.com/spreadsheets/d/1UDYA3-RrkJNLa2ZLH1NnUjKyfCoiSODmgVL_Au_zt-Y/edit#gid=0"",""'Game 6'!$B$2:$Q$34""),33,False),1)"),0.0)</f>
        <v>0</v>
      </c>
      <c r="O106" s="5">
        <f>IFERROR(__xludf.DUMMYFUNCTION("IFERROR(HLOOKUP($A106,IMPORTRANGE(""https://docs.google.com/spreadsheets/d/1fvo6H94Wcffp6c4N9g3JKCW6y2ZlijPxdOsNz7xdBhw/edit#gid=0"",""'Game 8'!$B$2:$Q$34""),33,False),1)"),0.0)</f>
        <v>0</v>
      </c>
      <c r="P106" s="5">
        <f>IFERROR(__xludf.DUMMYFUNCTION("IFERROR(HLOOKUP($A106,IMPORTRANGE(""https://docs.google.com/spreadsheets/d/1wfQePArl-A-5QJe5xAufoOnzeNLVSoHCRcmpZ_FMdns/edit#gid=0"",""'Game 10'!$B$2:$Q$34""),33,False),1)"),4.0)</f>
        <v>4</v>
      </c>
      <c r="Q106" s="5">
        <f>IFERROR(__xludf.DUMMYFUNCTION("IFERROR(HLOOKUP($A106,IMPORTRANGE(""https://docs.google.com/spreadsheets/d/1wydNznS0hZhVh3oGSdiCZSsReuqMT7Xaw718ix58zAI/edit#gid=0"",""'Game 8'!$B$2:$Q$34""),33,False),1)"),0.0)</f>
        <v>0</v>
      </c>
      <c r="R106" s="6">
        <f>TUHComp!R106</f>
        <v>322</v>
      </c>
      <c r="S106" s="6">
        <f t="shared" si="1"/>
        <v>44</v>
      </c>
      <c r="T106" s="6">
        <f t="shared" si="2"/>
        <v>3.142857143</v>
      </c>
      <c r="U106" s="6">
        <f t="shared" si="3"/>
        <v>72</v>
      </c>
    </row>
    <row r="107">
      <c r="A107" s="19" t="s">
        <v>290</v>
      </c>
      <c r="B107" s="9" t="s">
        <v>285</v>
      </c>
      <c r="C107" s="20">
        <v>16.0</v>
      </c>
      <c r="D107" s="20">
        <v>0.0</v>
      </c>
      <c r="E107" s="20">
        <v>0.0</v>
      </c>
      <c r="F107" s="20">
        <v>8.0</v>
      </c>
      <c r="G107" s="20">
        <v>4.0</v>
      </c>
      <c r="H107" s="12">
        <v>4.0</v>
      </c>
      <c r="I107" s="12">
        <f>IFERROR(__xludf.DUMMYFUNCTION("HLOOKUP($A107,IMPORTRANGE(""https://docs.google.com/spreadsheets/d/1l83w8bH-F1czkFOqsgQy6o8O33Jb4Pfg40W0ou2nk0k/edit#gid=0"",""'Game 10'!$B$2:$Q$34""),33,False)"),0.0)</f>
        <v>0</v>
      </c>
      <c r="J107" s="12">
        <f>IFERROR(__xludf.DUMMYFUNCTION("HLOOKUP($A107,IMPORTRANGE(""https://docs.google.com/spreadsheets/d/15X-ub7GvrCQZ3UGgyogcjwYdxG-Ng8WHxzGSj1Z3eLw/edit#gid=0"",""'Game 12'!$B$2:$Q$34""),33,False)"),8.0)</f>
        <v>8</v>
      </c>
      <c r="K107" s="12">
        <f>IFERROR(__xludf.DUMMYFUNCTION("IFERROR(HLOOKUP($A107,IMPORTRANGE(""https://docs.google.com/spreadsheets/d/194Bw3ABslPPhOOPvVoMzIk8sOQFICWBu2pydWdYMD-w/edit#gid=0"",""'Game 10'!$B$2:$Q$29""),28,False),1)"),4.0)</f>
        <v>4</v>
      </c>
      <c r="L107" s="12">
        <f>IFERROR(__xludf.DUMMYFUNCTION("IFERROR(HLOOKUP($A107,IMPORTRANGE(""https://docs.google.com/spreadsheets/d/1F2Bi6K_I1K9xRxY5qb-bNRo5m-Kw7udpF1OaTHhrxjs/edit#gid=0"",""'Game 3'!$B$2:$Q$34""),33,False),1)"),4.0)</f>
        <v>4</v>
      </c>
      <c r="M107" s="12">
        <f>IFERROR(__xludf.DUMMYFUNCTION("IFERROR(HLOOKUP($A107,IMPORTRANGE(""https://docs.google.com/spreadsheets/d/1NDNgi_Ny4dRhc2A3UMIIkalN-V6EmsvxOfDzMRQlQ40/edit#gid=0"",""'Game 11'!$B$2:$Q$34""),33,False),1)"),8.0)</f>
        <v>8</v>
      </c>
      <c r="N107" s="12">
        <f>IFERROR(__xludf.DUMMYFUNCTION("IFERROR(HLOOKUP($A107,IMPORTRANGE(""https://docs.google.com/spreadsheets/d/1UDYA3-RrkJNLa2ZLH1NnUjKyfCoiSODmgVL_Au_zt-Y/edit#gid=0"",""'Game 6'!$B$2:$Q$34""),33,False),1)"),4.0)</f>
        <v>4</v>
      </c>
      <c r="O107" s="12">
        <f>IFERROR(__xludf.DUMMYFUNCTION("IFERROR(HLOOKUP($A107,IMPORTRANGE(""https://docs.google.com/spreadsheets/d/1fvo6H94Wcffp6c4N9g3JKCW6y2ZlijPxdOsNz7xdBhw/edit#gid=0"",""'Game 8'!$B$2:$Q$34""),33,False),1)"),8.0)</f>
        <v>8</v>
      </c>
      <c r="P107" s="12">
        <f>IFERROR(__xludf.DUMMYFUNCTION("IFERROR(HLOOKUP($A107,IMPORTRANGE(""https://docs.google.com/spreadsheets/d/1wfQePArl-A-5QJe5xAufoOnzeNLVSoHCRcmpZ_FMdns/edit#gid=0"",""'Game 10'!$B$2:$Q$34""),33,False),1)"),0.0)</f>
        <v>0</v>
      </c>
      <c r="Q107" s="12">
        <f>IFERROR(__xludf.DUMMYFUNCTION("IFERROR(HLOOKUP($A107,IMPORTRANGE(""https://docs.google.com/spreadsheets/d/1wydNznS0hZhVh3oGSdiCZSsReuqMT7Xaw718ix58zAI/edit#gid=0"",""'Game 8'!$B$2:$Q$34""),33,False),1)"),4.0)</f>
        <v>4</v>
      </c>
      <c r="R107" s="13">
        <f>TUHComp!R107</f>
        <v>345</v>
      </c>
      <c r="S107" s="13">
        <f t="shared" si="1"/>
        <v>72</v>
      </c>
      <c r="T107" s="13">
        <f t="shared" si="2"/>
        <v>4.8</v>
      </c>
      <c r="U107" s="13">
        <f t="shared" si="3"/>
        <v>53</v>
      </c>
    </row>
    <row r="108">
      <c r="A108" s="4" t="s">
        <v>293</v>
      </c>
      <c r="B108" s="16" t="s">
        <v>285</v>
      </c>
      <c r="C108" s="18">
        <v>-4.0</v>
      </c>
      <c r="D108" s="18">
        <v>4.0</v>
      </c>
      <c r="E108" s="18">
        <v>4.0</v>
      </c>
      <c r="F108" s="18">
        <v>0.0</v>
      </c>
      <c r="G108" s="18">
        <v>4.0</v>
      </c>
      <c r="H108" s="5">
        <v>4.0</v>
      </c>
      <c r="I108" s="5">
        <f>IFERROR(__xludf.DUMMYFUNCTION("HLOOKUP($A108,IMPORTRANGE(""https://docs.google.com/spreadsheets/d/1l83w8bH-F1czkFOqsgQy6o8O33Jb4Pfg40W0ou2nk0k/edit#gid=0"",""'Game 10'!$B$2:$Q$34""),33,False)"),12.0)</f>
        <v>12</v>
      </c>
      <c r="J108" s="5">
        <f>IFERROR(__xludf.DUMMYFUNCTION("HLOOKUP($A108,IMPORTRANGE(""https://docs.google.com/spreadsheets/d/15X-ub7GvrCQZ3UGgyogcjwYdxG-Ng8WHxzGSj1Z3eLw/edit#gid=0"",""'Game 12'!$B$2:$Q$34""),33,False)"),4.0)</f>
        <v>4</v>
      </c>
      <c r="K108" s="5">
        <f>IFERROR(__xludf.DUMMYFUNCTION("IFERROR(HLOOKUP($A108,IMPORTRANGE(""https://docs.google.com/spreadsheets/d/194Bw3ABslPPhOOPvVoMzIk8sOQFICWBu2pydWdYMD-w/edit#gid=0"",""'Game 10'!$B$2:$Q$29""),28,False),1)"),8.0)</f>
        <v>8</v>
      </c>
      <c r="L108" s="5">
        <f>IFERROR(__xludf.DUMMYFUNCTION("IFERROR(HLOOKUP($A108,IMPORTRANGE(""https://docs.google.com/spreadsheets/d/1F2Bi6K_I1K9xRxY5qb-bNRo5m-Kw7udpF1OaTHhrxjs/edit#gid=0"",""'Game 3'!$B$2:$Q$34""),33,False),1)"),0.0)</f>
        <v>0</v>
      </c>
      <c r="M108" s="5">
        <f>IFERROR(__xludf.DUMMYFUNCTION("IFERROR(HLOOKUP($A108,IMPORTRANGE(""https://docs.google.com/spreadsheets/d/1NDNgi_Ny4dRhc2A3UMIIkalN-V6EmsvxOfDzMRQlQ40/edit#gid=0"",""'Game 11'!$B$2:$Q$34""),33,False),1)"),4.0)</f>
        <v>4</v>
      </c>
      <c r="N108" s="5">
        <f>IFERROR(__xludf.DUMMYFUNCTION("IFERROR(HLOOKUP($A108,IMPORTRANGE(""https://docs.google.com/spreadsheets/d/1UDYA3-RrkJNLa2ZLH1NnUjKyfCoiSODmgVL_Au_zt-Y/edit#gid=0"",""'Game 6'!$B$2:$Q$34""),33,False),1)"),0.0)</f>
        <v>0</v>
      </c>
      <c r="O108" s="5">
        <f>IFERROR(__xludf.DUMMYFUNCTION("IFERROR(HLOOKUP($A108,IMPORTRANGE(""https://docs.google.com/spreadsheets/d/1fvo6H94Wcffp6c4N9g3JKCW6y2ZlijPxdOsNz7xdBhw/edit#gid=0"",""'Game 8'!$B$2:$Q$34""),33,False),1)"),0.0)</f>
        <v>0</v>
      </c>
      <c r="P108" s="5">
        <f>IFERROR(__xludf.DUMMYFUNCTION("IFERROR(HLOOKUP($A108,IMPORTRANGE(""https://docs.google.com/spreadsheets/d/1wfQePArl-A-5QJe5xAufoOnzeNLVSoHCRcmpZ_FMdns/edit#gid=0"",""'Game 10'!$B$2:$Q$34""),33,False),1)"),16.0)</f>
        <v>16</v>
      </c>
      <c r="Q108" s="5">
        <f>IFERROR(__xludf.DUMMYFUNCTION("IFERROR(HLOOKUP($A108,IMPORTRANGE(""https://docs.google.com/spreadsheets/d/1wydNznS0hZhVh3oGSdiCZSsReuqMT7Xaw718ix58zAI/edit#gid=0"",""'Game 8'!$B$2:$Q$34""),33,False),1)"),4.0)</f>
        <v>4</v>
      </c>
      <c r="R108" s="6">
        <f>TUHComp!R108</f>
        <v>322</v>
      </c>
      <c r="S108" s="6">
        <f t="shared" si="1"/>
        <v>60</v>
      </c>
      <c r="T108" s="6">
        <f t="shared" si="2"/>
        <v>4.285714286</v>
      </c>
      <c r="U108" s="6">
        <f t="shared" si="3"/>
        <v>58</v>
      </c>
    </row>
    <row r="109">
      <c r="A109" s="9" t="s">
        <v>295</v>
      </c>
      <c r="B109" s="9" t="s">
        <v>285</v>
      </c>
      <c r="C109" s="30">
        <v>0.0</v>
      </c>
      <c r="D109" s="20">
        <v>0.0</v>
      </c>
      <c r="E109" s="20">
        <v>0.0</v>
      </c>
      <c r="F109" s="20">
        <v>12.0</v>
      </c>
      <c r="G109" s="20">
        <v>4.0</v>
      </c>
      <c r="H109" s="12">
        <v>0.0</v>
      </c>
      <c r="I109" s="12">
        <f>IFERROR(__xludf.DUMMYFUNCTION("HLOOKUP($A109,IMPORTRANGE(""https://docs.google.com/spreadsheets/d/1l83w8bH-F1czkFOqsgQy6o8O33Jb4Pfg40W0ou2nk0k/edit#gid=0"",""'Game 10'!$B$2:$Q$34""),33,False)"),0.0)</f>
        <v>0</v>
      </c>
      <c r="J109" s="12">
        <f>IFERROR(__xludf.DUMMYFUNCTION("HLOOKUP($A109,IMPORTRANGE(""https://docs.google.com/spreadsheets/d/15X-ub7GvrCQZ3UGgyogcjwYdxG-Ng8WHxzGSj1Z3eLw/edit#gid=0"",""'Game 12'!$B$2:$Q$34""),33,False)"),0.0)</f>
        <v>0</v>
      </c>
      <c r="K109" s="12">
        <f>IFERROR(__xludf.DUMMYFUNCTION("IFERROR(HLOOKUP($A109,IMPORTRANGE(""https://docs.google.com/spreadsheets/d/194Bw3ABslPPhOOPvVoMzIk8sOQFICWBu2pydWdYMD-w/edit#gid=0"",""'Game 10'!$B$2:$Q$29""),28,False),1)"),0.0)</f>
        <v>0</v>
      </c>
      <c r="L109" s="12">
        <f>IFERROR(__xludf.DUMMYFUNCTION("IFERROR(HLOOKUP($A109,IMPORTRANGE(""https://docs.google.com/spreadsheets/d/1F2Bi6K_I1K9xRxY5qb-bNRo5m-Kw7udpF1OaTHhrxjs/edit#gid=0"",""'Game 3'!$B$2:$Q$34""),33,False),1)"),0.0)</f>
        <v>0</v>
      </c>
      <c r="M109" s="12">
        <f>IFERROR(__xludf.DUMMYFUNCTION("IFERROR(HLOOKUP($A109,IMPORTRANGE(""https://docs.google.com/spreadsheets/d/1NDNgi_Ny4dRhc2A3UMIIkalN-V6EmsvxOfDzMRQlQ40/edit#gid=0"",""'Game 11'!$B$2:$Q$34""),33,False),1)"),0.0)</f>
        <v>0</v>
      </c>
      <c r="N109" s="12">
        <f>IFERROR(__xludf.DUMMYFUNCTION("IFERROR(HLOOKUP($A109,IMPORTRANGE(""https://docs.google.com/spreadsheets/d/1UDYA3-RrkJNLa2ZLH1NnUjKyfCoiSODmgVL_Au_zt-Y/edit#gid=0"",""'Game 6'!$B$2:$Q$34""),33,False),1)"),4.0)</f>
        <v>4</v>
      </c>
      <c r="O109" s="12">
        <f>IFERROR(__xludf.DUMMYFUNCTION("IFERROR(HLOOKUP($A109,IMPORTRANGE(""https://docs.google.com/spreadsheets/d/1fvo6H94Wcffp6c4N9g3JKCW6y2ZlijPxdOsNz7xdBhw/edit#gid=0"",""'Game 8'!$B$2:$Q$34""),33,False),1)"),0.0)</f>
        <v>0</v>
      </c>
      <c r="P109" s="12">
        <f>IFERROR(__xludf.DUMMYFUNCTION("IFERROR(HLOOKUP($A109,IMPORTRANGE(""https://docs.google.com/spreadsheets/d/1wfQePArl-A-5QJe5xAufoOnzeNLVSoHCRcmpZ_FMdns/edit#gid=0"",""'Game 10'!$B$2:$Q$34""),33,False),1)"),0.0)</f>
        <v>0</v>
      </c>
      <c r="Q109" s="12">
        <f>IFERROR(__xludf.DUMMYFUNCTION("IFERROR(HLOOKUP($A109,IMPORTRANGE(""https://docs.google.com/spreadsheets/d/1wydNznS0hZhVh3oGSdiCZSsReuqMT7Xaw718ix58zAI/edit#gid=0"",""'Game 8'!$B$2:$Q$34""),33,False),1)"),4.0)</f>
        <v>4</v>
      </c>
      <c r="R109" s="13">
        <f>TUHComp!R109</f>
        <v>203</v>
      </c>
      <c r="S109" s="13">
        <f t="shared" si="1"/>
        <v>24</v>
      </c>
      <c r="T109" s="13">
        <f t="shared" si="2"/>
        <v>2.719211823</v>
      </c>
      <c r="U109" s="13">
        <f t="shared" si="3"/>
        <v>74</v>
      </c>
    </row>
    <row r="110">
      <c r="A110" s="4" t="s">
        <v>298</v>
      </c>
      <c r="B110" s="16" t="s">
        <v>299</v>
      </c>
      <c r="C110" s="31">
        <v>12.0</v>
      </c>
      <c r="D110" s="18">
        <v>8.0</v>
      </c>
      <c r="E110" s="18">
        <v>16.0</v>
      </c>
      <c r="F110" s="18">
        <v>28.0</v>
      </c>
      <c r="G110" s="18">
        <v>4.0</v>
      </c>
      <c r="H110" s="5">
        <v>4.0</v>
      </c>
      <c r="I110" s="5">
        <f>IFERROR(__xludf.DUMMYFUNCTION("HLOOKUP($A110,IMPORTRANGE(""https://docs.google.com/spreadsheets/d/1l83w8bH-F1czkFOqsgQy6o8O33Jb4Pfg40W0ou2nk0k/edit#gid=0"",""'Game 6'!$B$2:$Q$34""),33,False)"),8.0)</f>
        <v>8</v>
      </c>
      <c r="J110" s="5">
        <f>IFERROR(__xludf.DUMMYFUNCTION("HLOOKUP($A110,IMPORTRANGE(""https://docs.google.com/spreadsheets/d/15X-ub7GvrCQZ3UGgyogcjwYdxG-Ng8WHxzGSj1Z3eLw/edit#gid=0"",""'Game 4'!$B$2:$Q$34""),33,False)"),20.0)</f>
        <v>20</v>
      </c>
      <c r="K110" s="5">
        <f>IFERROR(__xludf.DUMMYFUNCTION("IFERROR(HLOOKUP($A110,IMPORTRANGE(""https://docs.google.com/spreadsheets/d/194Bw3ABslPPhOOPvVoMzIk8sOQFICWBu2pydWdYMD-w/edit#gid=0"",""'Game 1'!$B$2:$Q$34""),33,False),1)"),8.0)</f>
        <v>8</v>
      </c>
      <c r="L110" s="5">
        <f>IFERROR(__xludf.DUMMYFUNCTION("IFERROR(HLOOKUP($A110,IMPORTRANGE(""https://docs.google.com/spreadsheets/d/1F2Bi6K_I1K9xRxY5qb-bNRo5m-Kw7udpF1OaTHhrxjs/edit#gid=0"",""'Game 9'!$B$2:$Q$34""),33,False),1)"),12.0)</f>
        <v>12</v>
      </c>
      <c r="M110" s="5">
        <f>IFERROR(__xludf.DUMMYFUNCTION("IFERROR(HLOOKUP($A110,IMPORTRANGE(""https://docs.google.com/spreadsheets/d/1NDNgi_Ny4dRhc2A3UMIIkalN-V6EmsvxOfDzMRQlQ40/edit#gid=0"",""'Game 9'!$B$2:$Q$34""),33,False),1)"),12.0)</f>
        <v>12</v>
      </c>
      <c r="N110" s="5">
        <f>IFERROR(__xludf.DUMMYFUNCTION("IFERROR(HLOOKUP($A110,IMPORTRANGE(""https://docs.google.com/spreadsheets/d/1UDYA3-RrkJNLa2ZLH1NnUjKyfCoiSODmgVL_Au_zt-Y/edit#gid=0"",""'Game 8'!$B$2:$Q$34""),33,False),1)"),4.0)</f>
        <v>4</v>
      </c>
      <c r="O110" s="5">
        <f>IFERROR(__xludf.DUMMYFUNCTION("IFERROR(HLOOKUP($A110,IMPORTRANGE(""https://docs.google.com/spreadsheets/d/1fvo6H94Wcffp6c4N9g3JKCW6y2ZlijPxdOsNz7xdBhw/edit#gid=0"",""'Game 8'!$B$2:$Q$34""),33,False),1)"),12.0)</f>
        <v>12</v>
      </c>
      <c r="P110" s="5">
        <f>IFERROR(__xludf.DUMMYFUNCTION("IFERROR(HLOOKUP($A110,IMPORTRANGE(""https://docs.google.com/spreadsheets/d/1wfQePArl-A-5QJe5xAufoOnzeNLVSoHCRcmpZ_FMdns/edit#gid=0"",""'Game 4'!$B$2:$Q$34""),33,False),1)"),16.0)</f>
        <v>16</v>
      </c>
      <c r="Q110" s="5">
        <f>IFERROR(__xludf.DUMMYFUNCTION("IFERROR(HLOOKUP($A110,IMPORTRANGE(""https://docs.google.com/spreadsheets/d/1wydNznS0hZhVh3oGSdiCZSsReuqMT7Xaw718ix58zAI/edit#gid=0"",""'Game 9'!$B$2:$Q$34""),33,False),1)"),16.0)</f>
        <v>16</v>
      </c>
      <c r="R110" s="6">
        <f>TUHComp!R110</f>
        <v>345</v>
      </c>
      <c r="S110" s="6">
        <f t="shared" si="1"/>
        <v>180</v>
      </c>
      <c r="T110" s="6">
        <f t="shared" si="2"/>
        <v>12</v>
      </c>
      <c r="U110" s="6">
        <f t="shared" si="3"/>
        <v>21</v>
      </c>
    </row>
    <row r="111">
      <c r="A111" s="9" t="s">
        <v>301</v>
      </c>
      <c r="B111" s="9" t="s">
        <v>299</v>
      </c>
      <c r="C111" s="30">
        <v>8.0</v>
      </c>
      <c r="D111" s="20">
        <v>0.0</v>
      </c>
      <c r="E111" s="20">
        <v>8.0</v>
      </c>
      <c r="F111" s="20">
        <v>8.0</v>
      </c>
      <c r="G111" s="20">
        <v>20.0</v>
      </c>
      <c r="H111" s="12">
        <v>12.0</v>
      </c>
      <c r="I111" s="12">
        <f>IFERROR(__xludf.DUMMYFUNCTION("HLOOKUP($A111,IMPORTRANGE(""https://docs.google.com/spreadsheets/d/1l83w8bH-F1czkFOqsgQy6o8O33Jb4Pfg40W0ou2nk0k/edit#gid=0"",""'Game 6'!$B$2:$Q$34""),33,False)"),12.0)</f>
        <v>12</v>
      </c>
      <c r="J111" s="12">
        <f>IFERROR(__xludf.DUMMYFUNCTION("HLOOKUP($A111,IMPORTRANGE(""https://docs.google.com/spreadsheets/d/15X-ub7GvrCQZ3UGgyogcjwYdxG-Ng8WHxzGSj1Z3eLw/edit#gid=0"",""'Game 4'!$B$2:$Q$34""),33,False)"),12.0)</f>
        <v>12</v>
      </c>
      <c r="K111" s="12">
        <f>IFERROR(__xludf.DUMMYFUNCTION("IFERROR(HLOOKUP($A111,IMPORTRANGE(""https://docs.google.com/spreadsheets/d/194Bw3ABslPPhOOPvVoMzIk8sOQFICWBu2pydWdYMD-w/edit#gid=0"",""'Game 1'!$B$2:$Q$34""),33,False),1)"),4.0)</f>
        <v>4</v>
      </c>
      <c r="L111" s="12">
        <f>IFERROR(__xludf.DUMMYFUNCTION("IFERROR(HLOOKUP($A111,IMPORTRANGE(""https://docs.google.com/spreadsheets/d/1F2Bi6K_I1K9xRxY5qb-bNRo5m-Kw7udpF1OaTHhrxjs/edit#gid=0"",""'Game 9'!$B$2:$Q$34""),33,False),1)"),4.0)</f>
        <v>4</v>
      </c>
      <c r="M111" s="12">
        <f>IFERROR(__xludf.DUMMYFUNCTION("IFERROR(HLOOKUP($A111,IMPORTRANGE(""https://docs.google.com/spreadsheets/d/1NDNgi_Ny4dRhc2A3UMIIkalN-V6EmsvxOfDzMRQlQ40/edit#gid=0"",""'Game 9'!$B$2:$Q$34""),33,False),1)"),16.0)</f>
        <v>16</v>
      </c>
      <c r="N111" s="12">
        <f>IFERROR(__xludf.DUMMYFUNCTION("IFERROR(HLOOKUP($A111,IMPORTRANGE(""https://docs.google.com/spreadsheets/d/1UDYA3-RrkJNLa2ZLH1NnUjKyfCoiSODmgVL_Au_zt-Y/edit#gid=0"",""'Game 8'!$B$2:$Q$34""),33,False),1)"),8.0)</f>
        <v>8</v>
      </c>
      <c r="O111" s="12">
        <f>IFERROR(__xludf.DUMMYFUNCTION("IFERROR(HLOOKUP($A111,IMPORTRANGE(""https://docs.google.com/spreadsheets/d/1fvo6H94Wcffp6c4N9g3JKCW6y2ZlijPxdOsNz7xdBhw/edit#gid=0"",""'Game 8'!$B$2:$Q$34""),33,False),1)"),16.0)</f>
        <v>16</v>
      </c>
      <c r="P111" s="12">
        <f>IFERROR(__xludf.DUMMYFUNCTION("IFERROR(HLOOKUP($A111,IMPORTRANGE(""https://docs.google.com/spreadsheets/d/1wfQePArl-A-5QJe5xAufoOnzeNLVSoHCRcmpZ_FMdns/edit#gid=0"",""'Game 4'!$B$2:$Q$34""),33,False),1)"),0.0)</f>
        <v>0</v>
      </c>
      <c r="Q111" s="12">
        <f>IFERROR(__xludf.DUMMYFUNCTION("IFERROR(HLOOKUP($A111,IMPORTRANGE(""https://docs.google.com/spreadsheets/d/1wydNznS0hZhVh3oGSdiCZSsReuqMT7Xaw718ix58zAI/edit#gid=0"",""'Game 9'!$B$2:$Q$34""),33,False),1)"),4.0)</f>
        <v>4</v>
      </c>
      <c r="R111" s="13">
        <f>TUHComp!R111</f>
        <v>345</v>
      </c>
      <c r="S111" s="13">
        <f t="shared" si="1"/>
        <v>132</v>
      </c>
      <c r="T111" s="13">
        <f t="shared" si="2"/>
        <v>8.8</v>
      </c>
      <c r="U111" s="13">
        <f t="shared" si="3"/>
        <v>33</v>
      </c>
    </row>
    <row r="112">
      <c r="A112" s="16" t="s">
        <v>304</v>
      </c>
      <c r="B112" s="16" t="s">
        <v>299</v>
      </c>
      <c r="C112" s="31">
        <v>0.0</v>
      </c>
      <c r="D112" s="18">
        <v>4.0</v>
      </c>
      <c r="E112" s="18">
        <v>0.0</v>
      </c>
      <c r="F112" s="18">
        <v>0.0</v>
      </c>
      <c r="G112" s="18">
        <v>12.0</v>
      </c>
      <c r="H112" s="5">
        <v>0.0</v>
      </c>
      <c r="I112" s="5">
        <f>IFERROR(__xludf.DUMMYFUNCTION("HLOOKUP($A112,IMPORTRANGE(""https://docs.google.com/spreadsheets/d/1l83w8bH-F1czkFOqsgQy6o8O33Jb4Pfg40W0ou2nk0k/edit#gid=0"",""'Game 6'!$B$2:$Q$34""),33,False)"),4.0)</f>
        <v>4</v>
      </c>
      <c r="J112" s="5">
        <f>IFERROR(__xludf.DUMMYFUNCTION("HLOOKUP($A112,IMPORTRANGE(""https://docs.google.com/spreadsheets/d/15X-ub7GvrCQZ3UGgyogcjwYdxG-Ng8WHxzGSj1Z3eLw/edit#gid=0"",""'Game 4'!$B$2:$Q$34""),33,False)"),20.0)</f>
        <v>20</v>
      </c>
      <c r="K112" s="5">
        <f>IFERROR(__xludf.DUMMYFUNCTION("IFERROR(HLOOKUP($A112,IMPORTRANGE(""https://docs.google.com/spreadsheets/d/194Bw3ABslPPhOOPvVoMzIk8sOQFICWBu2pydWdYMD-w/edit#gid=0"",""'Game 1'!$B$2:$Q$34""),33,False),1)"),12.0)</f>
        <v>12</v>
      </c>
      <c r="L112" s="5">
        <f>IFERROR(__xludf.DUMMYFUNCTION("IFERROR(HLOOKUP($A112,IMPORTRANGE(""https://docs.google.com/spreadsheets/d/1F2Bi6K_I1K9xRxY5qb-bNRo5m-Kw7udpF1OaTHhrxjs/edit#gid=0"",""'Game 9'!$B$2:$Q$34""),33,False),1)"),12.0)</f>
        <v>12</v>
      </c>
      <c r="M112" s="5">
        <f>IFERROR(__xludf.DUMMYFUNCTION("IFERROR(HLOOKUP($A112,IMPORTRANGE(""https://docs.google.com/spreadsheets/d/1NDNgi_Ny4dRhc2A3UMIIkalN-V6EmsvxOfDzMRQlQ40/edit#gid=0"",""'Game 9'!$B$2:$Q$34""),33,False),1)"),8.0)</f>
        <v>8</v>
      </c>
      <c r="N112" s="5">
        <f>IFERROR(__xludf.DUMMYFUNCTION("IFERROR(HLOOKUP($A112,IMPORTRANGE(""https://docs.google.com/spreadsheets/d/1UDYA3-RrkJNLa2ZLH1NnUjKyfCoiSODmgVL_Au_zt-Y/edit#gid=0"",""'Game 8'!$B$2:$Q$34""),33,False),1)"),4.0)</f>
        <v>4</v>
      </c>
      <c r="O112" s="5">
        <f>IFERROR(__xludf.DUMMYFUNCTION("IFERROR(HLOOKUP($A112,IMPORTRANGE(""https://docs.google.com/spreadsheets/d/1fvo6H94Wcffp6c4N9g3JKCW6y2ZlijPxdOsNz7xdBhw/edit#gid=0"",""'Game 8'!$B$2:$Q$34""),33,False),1)"),24.0)</f>
        <v>24</v>
      </c>
      <c r="P112" s="5">
        <f>IFERROR(__xludf.DUMMYFUNCTION("IFERROR(HLOOKUP($A112,IMPORTRANGE(""https://docs.google.com/spreadsheets/d/1wfQePArl-A-5QJe5xAufoOnzeNLVSoHCRcmpZ_FMdns/edit#gid=0"",""'Game 4'!$B$2:$Q$34""),33,False),1)"),12.0)</f>
        <v>12</v>
      </c>
      <c r="Q112" s="5">
        <f>IFERROR(__xludf.DUMMYFUNCTION("IFERROR(HLOOKUP($A112,IMPORTRANGE(""https://docs.google.com/spreadsheets/d/1wydNznS0hZhVh3oGSdiCZSsReuqMT7Xaw718ix58zAI/edit#gid=0"",""'Game 9'!$B$2:$Q$34""),33,False),1)"),12.0)</f>
        <v>12</v>
      </c>
      <c r="R112" s="6">
        <f>TUHComp!R112</f>
        <v>345</v>
      </c>
      <c r="S112" s="6">
        <f t="shared" si="1"/>
        <v>124</v>
      </c>
      <c r="T112" s="6">
        <f t="shared" si="2"/>
        <v>8.266666667</v>
      </c>
      <c r="U112" s="6">
        <f t="shared" si="3"/>
        <v>37</v>
      </c>
    </row>
    <row r="113">
      <c r="A113" s="19" t="s">
        <v>306</v>
      </c>
      <c r="B113" s="19" t="s">
        <v>299</v>
      </c>
      <c r="C113" s="20">
        <v>4.0</v>
      </c>
      <c r="D113" s="20">
        <v>-4.0</v>
      </c>
      <c r="E113" s="20">
        <v>0.0</v>
      </c>
      <c r="F113" s="20">
        <v>8.0</v>
      </c>
      <c r="G113" s="20">
        <v>4.0</v>
      </c>
      <c r="H113" s="12">
        <v>8.0</v>
      </c>
      <c r="I113" s="12">
        <f>IFERROR(__xludf.DUMMYFUNCTION("HLOOKUP($A113,IMPORTRANGE(""https://docs.google.com/spreadsheets/d/1l83w8bH-F1czkFOqsgQy6o8O33Jb4Pfg40W0ou2nk0k/edit#gid=0"",""'Game 6'!$B$2:$Q$34""),33,False)"),0.0)</f>
        <v>0</v>
      </c>
      <c r="J113" s="12">
        <f>IFERROR(__xludf.DUMMYFUNCTION("HLOOKUP($A113,IMPORTRANGE(""https://docs.google.com/spreadsheets/d/15X-ub7GvrCQZ3UGgyogcjwYdxG-Ng8WHxzGSj1Z3eLw/edit#gid=0"",""'Game 4'!$B$2:$Q$34""),33,False)"),4.0)</f>
        <v>4</v>
      </c>
      <c r="K113" s="12">
        <f>IFERROR(__xludf.DUMMYFUNCTION("IFERROR(HLOOKUP($A113,IMPORTRANGE(""https://docs.google.com/spreadsheets/d/194Bw3ABslPPhOOPvVoMzIk8sOQFICWBu2pydWdYMD-w/edit#gid=0"",""'Game 1'!$B$2:$Q$34""),33,False),1)"),-4.0)</f>
        <v>-4</v>
      </c>
      <c r="L113" s="12">
        <f>IFERROR(__xludf.DUMMYFUNCTION("IFERROR(HLOOKUP($A113,IMPORTRANGE(""https://docs.google.com/spreadsheets/d/1F2Bi6K_I1K9xRxY5qb-bNRo5m-Kw7udpF1OaTHhrxjs/edit#gid=0"",""'Game 9'!$B$2:$Q$34""),33,False),1)"),4.0)</f>
        <v>4</v>
      </c>
      <c r="M113" s="12">
        <f>IFERROR(__xludf.DUMMYFUNCTION("IFERROR(HLOOKUP($A113,IMPORTRANGE(""https://docs.google.com/spreadsheets/d/1NDNgi_Ny4dRhc2A3UMIIkalN-V6EmsvxOfDzMRQlQ40/edit#gid=0"",""'Game 9'!$B$2:$Q$34""),33,False),1)"),0.0)</f>
        <v>0</v>
      </c>
      <c r="N113" s="12">
        <f>IFERROR(__xludf.DUMMYFUNCTION("IFERROR(HLOOKUP($A113,IMPORTRANGE(""https://docs.google.com/spreadsheets/d/1UDYA3-RrkJNLa2ZLH1NnUjKyfCoiSODmgVL_Au_zt-Y/edit#gid=0"",""'Game 8'!$B$2:$Q$34""),33,False),1)"),4.0)</f>
        <v>4</v>
      </c>
      <c r="O113" s="12">
        <f>IFERROR(__xludf.DUMMYFUNCTION("IFERROR(HLOOKUP($A113,IMPORTRANGE(""https://docs.google.com/spreadsheets/d/1fvo6H94Wcffp6c4N9g3JKCW6y2ZlijPxdOsNz7xdBhw/edit#gid=0"",""'Game 8'!$B$2:$Q$34""),33,False),1)"),0.0)</f>
        <v>0</v>
      </c>
      <c r="P113" s="12">
        <f>IFERROR(__xludf.DUMMYFUNCTION("IFERROR(HLOOKUP($A113,IMPORTRANGE(""https://docs.google.com/spreadsheets/d/1wfQePArl-A-5QJe5xAufoOnzeNLVSoHCRcmpZ_FMdns/edit#gid=0"",""'Game 4'!$B$2:$Q$34""),33,False),1)"),4.0)</f>
        <v>4</v>
      </c>
      <c r="Q113" s="12">
        <f>IFERROR(__xludf.DUMMYFUNCTION("IFERROR(HLOOKUP($A113,IMPORTRANGE(""https://docs.google.com/spreadsheets/d/1wydNznS0hZhVh3oGSdiCZSsReuqMT7Xaw718ix58zAI/edit#gid=0"",""'Game 9'!$B$2:$Q$34""),33,False),1)"),0.0)</f>
        <v>0</v>
      </c>
      <c r="R113" s="13">
        <f>TUHComp!R113</f>
        <v>345</v>
      </c>
      <c r="S113" s="13">
        <f t="shared" si="1"/>
        <v>32</v>
      </c>
      <c r="T113" s="13">
        <f t="shared" si="2"/>
        <v>2.133333333</v>
      </c>
      <c r="U113" s="13">
        <f t="shared" si="3"/>
        <v>81</v>
      </c>
    </row>
    <row r="114">
      <c r="A114" s="4" t="s">
        <v>308</v>
      </c>
      <c r="B114" s="16" t="s">
        <v>309</v>
      </c>
      <c r="C114" s="18">
        <v>24.0</v>
      </c>
      <c r="D114" s="18">
        <v>8.0</v>
      </c>
      <c r="E114" s="18">
        <v>16.0</v>
      </c>
      <c r="F114" s="18">
        <v>20.0</v>
      </c>
      <c r="G114" s="18">
        <v>0.0</v>
      </c>
      <c r="H114" s="5">
        <v>24.0</v>
      </c>
      <c r="I114" s="5">
        <f>IFERROR(__xludf.DUMMYFUNCTION("HLOOKUP($A114,IMPORTRANGE(""https://docs.google.com/spreadsheets/d/1l83w8bH-F1czkFOqsgQy6o8O33Jb4Pfg40W0ou2nk0k/edit#gid=0"",""'Game 5'!$B$2:$Q$34""),33,False)"),24.0)</f>
        <v>24</v>
      </c>
      <c r="J114" s="5">
        <f>IFERROR(__xludf.DUMMYFUNCTION("HLOOKUP($A114,IMPORTRANGE(""https://docs.google.com/spreadsheets/d/15X-ub7GvrCQZ3UGgyogcjwYdxG-Ng8WHxzGSj1Z3eLw/edit#gid=0"",""'Game 5'!$B$2:$Q$34""),33,False)"),28.0)</f>
        <v>28</v>
      </c>
      <c r="K114" s="5">
        <f>IFERROR(__xludf.DUMMYFUNCTION("IFERROR(HLOOKUP($A114,IMPORTRANGE(""https://docs.google.com/spreadsheets/d/194Bw3ABslPPhOOPvVoMzIk8sOQFICWBu2pydWdYMD-w/edit#gid=0"",""'Game 7'!$B$2:$Q$29""),28,False),1)"),12.0)</f>
        <v>12</v>
      </c>
      <c r="L114" s="5">
        <f>IFERROR(__xludf.DUMMYFUNCTION("IFERROR(HLOOKUP($A114,IMPORTRANGE(""https://docs.google.com/spreadsheets/d/1F2Bi6K_I1K9xRxY5qb-bNRo5m-Kw7udpF1OaTHhrxjs/edit#gid=0"",""'Game 5'!$B$2:$Q$29""),28,False),1)"),-4.0)</f>
        <v>-4</v>
      </c>
      <c r="M114" s="5">
        <f>IFERROR(__xludf.DUMMYFUNCTION("IFERROR(HLOOKUP($A114,IMPORTRANGE(""https://docs.google.com/spreadsheets/d/1NDNgi_Ny4dRhc2A3UMIIkalN-V6EmsvxOfDzMRQlQ40/edit#gid=0"",""'Game 5'!$B$2:$Q$34""),33,False),1)"),12.0)</f>
        <v>12</v>
      </c>
      <c r="N114" s="5">
        <f>IFERROR(__xludf.DUMMYFUNCTION("IFERROR(HLOOKUP($A114,IMPORTRANGE(""https://docs.google.com/spreadsheets/d/1UDYA3-RrkJNLa2ZLH1NnUjKyfCoiSODmgVL_Au_zt-Y/edit#gid=0"",""'Game 4'!$B$2:$Q$34""),33,False),1)"),12.0)</f>
        <v>12</v>
      </c>
      <c r="O114" s="5">
        <f>IFERROR(__xludf.DUMMYFUNCTION("IFERROR(HLOOKUP($A114,IMPORTRANGE(""https://docs.google.com/spreadsheets/d/1fvo6H94Wcffp6c4N9g3JKCW6y2ZlijPxdOsNz7xdBhw/edit#gid=0"",""'Game 4'!$B$2:$Q$34""),33,False),1)"),32.0)</f>
        <v>32</v>
      </c>
      <c r="P114" s="5">
        <f>IFERROR(__xludf.DUMMYFUNCTION("IFERROR(HLOOKUP($A114,IMPORTRANGE(""https://docs.google.com/spreadsheets/d/1wfQePArl-A-5QJe5xAufoOnzeNLVSoHCRcmpZ_FMdns/edit#gid=0"",""'Game 4'!$B$2:$Q$34""),33,False),1)"),24.0)</f>
        <v>24</v>
      </c>
      <c r="Q114" s="5">
        <f>IFERROR(__xludf.DUMMYFUNCTION("IFERROR(HLOOKUP($A114,IMPORTRANGE(""https://docs.google.com/spreadsheets/d/1wydNznS0hZhVh3oGSdiCZSsReuqMT7Xaw718ix58zAI/edit#gid=0"",""'Game 5'!$B$2:$Q$34""),33,False),1)"),0.0)</f>
        <v>0</v>
      </c>
      <c r="R114" s="6">
        <f>TUHComp!R114</f>
        <v>322</v>
      </c>
      <c r="S114" s="6">
        <f t="shared" si="1"/>
        <v>232</v>
      </c>
      <c r="T114" s="6">
        <f t="shared" si="2"/>
        <v>16.57142857</v>
      </c>
      <c r="U114" s="6">
        <f t="shared" si="3"/>
        <v>13</v>
      </c>
    </row>
    <row r="115">
      <c r="A115" s="19" t="s">
        <v>311</v>
      </c>
      <c r="B115" s="9" t="s">
        <v>309</v>
      </c>
      <c r="C115" s="20">
        <v>0.0</v>
      </c>
      <c r="D115" s="20">
        <v>0.0</v>
      </c>
      <c r="E115" s="20">
        <v>0.0</v>
      </c>
      <c r="F115" s="20">
        <v>0.0</v>
      </c>
      <c r="G115" s="20">
        <v>0.0</v>
      </c>
      <c r="H115" s="12">
        <v>0.0</v>
      </c>
      <c r="I115" s="12">
        <f>IFERROR(__xludf.DUMMYFUNCTION("HLOOKUP($A115,IMPORTRANGE(""https://docs.google.com/spreadsheets/d/1l83w8bH-F1czkFOqsgQy6o8O33Jb4Pfg40W0ou2nk0k/edit#gid=0"",""'Game 5'!$B$2:$Q$34""),33,False)"),0.0)</f>
        <v>0</v>
      </c>
      <c r="J115" s="12">
        <f>IFERROR(__xludf.DUMMYFUNCTION("HLOOKUP($A115,IMPORTRANGE(""https://docs.google.com/spreadsheets/d/15X-ub7GvrCQZ3UGgyogcjwYdxG-Ng8WHxzGSj1Z3eLw/edit#gid=0"",""'Game 5'!$B$2:$Q$34""),33,False)"),0.0)</f>
        <v>0</v>
      </c>
      <c r="K115" s="12">
        <f>IFERROR(__xludf.DUMMYFUNCTION("IFERROR(HLOOKUP($A115,IMPORTRANGE(""https://docs.google.com/spreadsheets/d/194Bw3ABslPPhOOPvVoMzIk8sOQFICWBu2pydWdYMD-w/edit#gid=0"",""'Game 7'!$B$2:$Q$29""),28,False),1)"),4.0)</f>
        <v>4</v>
      </c>
      <c r="L115" s="12">
        <f>IFERROR(__xludf.DUMMYFUNCTION("IFERROR(HLOOKUP($A115,IMPORTRANGE(""https://docs.google.com/spreadsheets/d/1F2Bi6K_I1K9xRxY5qb-bNRo5m-Kw7udpF1OaTHhrxjs/edit#gid=0"",""'Game 5'!$B$2:$Q$29""),28,False),1)"),0.0)</f>
        <v>0</v>
      </c>
      <c r="M115" s="12">
        <f>IFERROR(__xludf.DUMMYFUNCTION("IFERROR(HLOOKUP($A115,IMPORTRANGE(""https://docs.google.com/spreadsheets/d/1NDNgi_Ny4dRhc2A3UMIIkalN-V6EmsvxOfDzMRQlQ40/edit#gid=0"",""'Game 5'!$B$2:$Q$34""),33,False),1)"),4.0)</f>
        <v>4</v>
      </c>
      <c r="N115" s="12">
        <f>IFERROR(__xludf.DUMMYFUNCTION("IFERROR(HLOOKUP($A115,IMPORTRANGE(""https://docs.google.com/spreadsheets/d/1UDYA3-RrkJNLa2ZLH1NnUjKyfCoiSODmgVL_Au_zt-Y/edit#gid=0"",""'Game 4'!$B$2:$Q$34""),33,False),1)"),0.0)</f>
        <v>0</v>
      </c>
      <c r="O115" s="12">
        <f>IFERROR(__xludf.DUMMYFUNCTION("IFERROR(HLOOKUP($A115,IMPORTRANGE(""https://docs.google.com/spreadsheets/d/1fvo6H94Wcffp6c4N9g3JKCW6y2ZlijPxdOsNz7xdBhw/edit#gid=0"",""'Game 4'!$B$2:$Q$34""),33,False),1)"),-4.0)</f>
        <v>-4</v>
      </c>
      <c r="P115" s="12">
        <f>IFERROR(__xludf.DUMMYFUNCTION("IFERROR(HLOOKUP($A115,IMPORTRANGE(""https://docs.google.com/spreadsheets/d/1wfQePArl-A-5QJe5xAufoOnzeNLVSoHCRcmpZ_FMdns/edit#gid=0"",""'Game 4'!$B$2:$Q$34""),33,False),1)"),0.0)</f>
        <v>0</v>
      </c>
      <c r="Q115" s="12">
        <f>IFERROR(__xludf.DUMMYFUNCTION("IFERROR(HLOOKUP($A115,IMPORTRANGE(""https://docs.google.com/spreadsheets/d/1wydNznS0hZhVh3oGSdiCZSsReuqMT7Xaw718ix58zAI/edit#gid=0"",""'Game 5'!$B$2:$Q$34""),33,False),1)"),4.0)</f>
        <v>4</v>
      </c>
      <c r="R115" s="13">
        <f>TUHComp!R115</f>
        <v>229</v>
      </c>
      <c r="S115" s="13">
        <f t="shared" si="1"/>
        <v>8</v>
      </c>
      <c r="T115" s="13">
        <f t="shared" si="2"/>
        <v>0.8034934498</v>
      </c>
      <c r="U115" s="13">
        <f t="shared" si="3"/>
        <v>96</v>
      </c>
    </row>
    <row r="116">
      <c r="A116" s="4" t="s">
        <v>314</v>
      </c>
      <c r="B116" s="16" t="s">
        <v>309</v>
      </c>
      <c r="C116" s="18">
        <v>0.0</v>
      </c>
      <c r="D116" s="18">
        <v>0.0</v>
      </c>
      <c r="E116" s="18">
        <v>0.0</v>
      </c>
      <c r="F116" s="18">
        <v>0.0</v>
      </c>
      <c r="G116" s="18">
        <v>0.0</v>
      </c>
      <c r="H116" s="5">
        <v>0.0</v>
      </c>
      <c r="I116" s="5">
        <f>IFERROR(__xludf.DUMMYFUNCTION("HLOOKUP($A116,IMPORTRANGE(""https://docs.google.com/spreadsheets/d/1l83w8bH-F1czkFOqsgQy6o8O33Jb4Pfg40W0ou2nk0k/edit#gid=0"",""'Game 5'!$B$2:$Q$34""),33,False)"),0.0)</f>
        <v>0</v>
      </c>
      <c r="J116" s="5">
        <f>IFERROR(__xludf.DUMMYFUNCTION("HLOOKUP($A116,IMPORTRANGE(""https://docs.google.com/spreadsheets/d/15X-ub7GvrCQZ3UGgyogcjwYdxG-Ng8WHxzGSj1Z3eLw/edit#gid=0"",""'Game 5'!$B$2:$Q$34""),33,False)"),0.0)</f>
        <v>0</v>
      </c>
      <c r="K116" s="5">
        <f>IFERROR(__xludf.DUMMYFUNCTION("IFERROR(HLOOKUP($A116,IMPORTRANGE(""https://docs.google.com/spreadsheets/d/194Bw3ABslPPhOOPvVoMzIk8sOQFICWBu2pydWdYMD-w/edit#gid=0"",""'Game 7'!$B$2:$Q$29""),28,False),1)"),0.0)</f>
        <v>0</v>
      </c>
      <c r="L116" s="5">
        <f>IFERROR(__xludf.DUMMYFUNCTION("IFERROR(HLOOKUP($A116,IMPORTRANGE(""https://docs.google.com/spreadsheets/d/1F2Bi6K_I1K9xRxY5qb-bNRo5m-Kw7udpF1OaTHhrxjs/edit#gid=0"",""'Game 5'!$B$2:$Q$29""),28,False),1)"),0.0)</f>
        <v>0</v>
      </c>
      <c r="M116" s="5">
        <f>IFERROR(__xludf.DUMMYFUNCTION("IFERROR(HLOOKUP($A116,IMPORTRANGE(""https://docs.google.com/spreadsheets/d/1NDNgi_Ny4dRhc2A3UMIIkalN-V6EmsvxOfDzMRQlQ40/edit#gid=0"",""'Game 5'!$B$2:$Q$34""),33,False),1)"),0.0)</f>
        <v>0</v>
      </c>
      <c r="N116" s="5">
        <f>IFERROR(__xludf.DUMMYFUNCTION("IFERROR(HLOOKUP($A116,IMPORTRANGE(""https://docs.google.com/spreadsheets/d/1UDYA3-RrkJNLa2ZLH1NnUjKyfCoiSODmgVL_Au_zt-Y/edit#gid=0"",""'Game 4'!$B$2:$Q$34""),33,False),1)"),0.0)</f>
        <v>0</v>
      </c>
      <c r="O116" s="5">
        <f>IFERROR(__xludf.DUMMYFUNCTION("IFERROR(HLOOKUP($A116,IMPORTRANGE(""https://docs.google.com/spreadsheets/d/1fvo6H94Wcffp6c4N9g3JKCW6y2ZlijPxdOsNz7xdBhw/edit#gid=0"",""'Game 4'!$B$2:$Q$34""),33,False),1)"),0.0)</f>
        <v>0</v>
      </c>
      <c r="P116" s="5">
        <f>IFERROR(__xludf.DUMMYFUNCTION("IFERROR(HLOOKUP($A116,IMPORTRANGE(""https://docs.google.com/spreadsheets/d/1wfQePArl-A-5QJe5xAufoOnzeNLVSoHCRcmpZ_FMdns/edit#gid=0"",""'Game 4'!$B$2:$Q$34""),33,False),1)"),0.0)</f>
        <v>0</v>
      </c>
      <c r="Q116" s="5">
        <f>IFERROR(__xludf.DUMMYFUNCTION("IFERROR(HLOOKUP($A116,IMPORTRANGE(""https://docs.google.com/spreadsheets/d/1wydNznS0hZhVh3oGSdiCZSsReuqMT7Xaw718ix58zAI/edit#gid=0"",""'Game 5'!$B$2:$Q$34""),33,False),1)"),0.0)</f>
        <v>0</v>
      </c>
      <c r="R116" s="6">
        <f>TUHComp!R116</f>
        <v>12</v>
      </c>
      <c r="S116" s="6">
        <f t="shared" si="1"/>
        <v>0</v>
      </c>
      <c r="T116" s="6">
        <f t="shared" si="2"/>
        <v>0</v>
      </c>
      <c r="U116" s="6">
        <f t="shared" si="3"/>
        <v>104</v>
      </c>
    </row>
    <row r="117">
      <c r="A117" s="19" t="s">
        <v>316</v>
      </c>
      <c r="B117" s="9" t="s">
        <v>309</v>
      </c>
      <c r="C117" s="20">
        <v>8.0</v>
      </c>
      <c r="D117" s="20">
        <v>0.0</v>
      </c>
      <c r="E117" s="20">
        <v>4.0</v>
      </c>
      <c r="F117" s="20">
        <v>0.0</v>
      </c>
      <c r="G117" s="20">
        <v>4.0</v>
      </c>
      <c r="H117" s="12">
        <v>0.0</v>
      </c>
      <c r="I117" s="12">
        <f>IFERROR(__xludf.DUMMYFUNCTION("HLOOKUP($A117,IMPORTRANGE(""https://docs.google.com/spreadsheets/d/1l83w8bH-F1czkFOqsgQy6o8O33Jb4Pfg40W0ou2nk0k/edit#gid=0"",""'Game 5'!$B$2:$Q$34""),33,False)"),0.0)</f>
        <v>0</v>
      </c>
      <c r="J117" s="12">
        <f>IFERROR(__xludf.DUMMYFUNCTION("HLOOKUP($A117,IMPORTRANGE(""https://docs.google.com/spreadsheets/d/15X-ub7GvrCQZ3UGgyogcjwYdxG-Ng8WHxzGSj1Z3eLw/edit#gid=0"",""'Game 5'!$B$2:$Q$34""),33,False)"),8.0)</f>
        <v>8</v>
      </c>
      <c r="K117" s="12">
        <f>IFERROR(__xludf.DUMMYFUNCTION("IFERROR(HLOOKUP($A117,IMPORTRANGE(""https://docs.google.com/spreadsheets/d/194Bw3ABslPPhOOPvVoMzIk8sOQFICWBu2pydWdYMD-w/edit#gid=0"",""'Game 7'!$B$2:$Q$29""),28,False),1)"),12.0)</f>
        <v>12</v>
      </c>
      <c r="L117" s="12">
        <f>IFERROR(__xludf.DUMMYFUNCTION("IFERROR(HLOOKUP($A117,IMPORTRANGE(""https://docs.google.com/spreadsheets/d/1F2Bi6K_I1K9xRxY5qb-bNRo5m-Kw7udpF1OaTHhrxjs/edit#gid=0"",""'Game 5'!$B$2:$Q$29""),28,False),1)"),4.0)</f>
        <v>4</v>
      </c>
      <c r="M117" s="12">
        <f>IFERROR(__xludf.DUMMYFUNCTION("IFERROR(HLOOKUP($A117,IMPORTRANGE(""https://docs.google.com/spreadsheets/d/1NDNgi_Ny4dRhc2A3UMIIkalN-V6EmsvxOfDzMRQlQ40/edit#gid=0"",""'Game 5'!$B$2:$Q$34""),33,False),1)"),12.0)</f>
        <v>12</v>
      </c>
      <c r="N117" s="12">
        <f>IFERROR(__xludf.DUMMYFUNCTION("IFERROR(HLOOKUP($A117,IMPORTRANGE(""https://docs.google.com/spreadsheets/d/1UDYA3-RrkJNLa2ZLH1NnUjKyfCoiSODmgVL_Au_zt-Y/edit#gid=0"",""'Game 4'!$B$2:$Q$34""),33,False),1)"),8.0)</f>
        <v>8</v>
      </c>
      <c r="O117" s="12">
        <f>IFERROR(__xludf.DUMMYFUNCTION("IFERROR(HLOOKUP($A117,IMPORTRANGE(""https://docs.google.com/spreadsheets/d/1fvo6H94Wcffp6c4N9g3JKCW6y2ZlijPxdOsNz7xdBhw/edit#gid=0"",""'Game 4'!$B$2:$Q$34""),33,False),1)"),-4.0)</f>
        <v>-4</v>
      </c>
      <c r="P117" s="12">
        <f>IFERROR(__xludf.DUMMYFUNCTION("IFERROR(HLOOKUP($A117,IMPORTRANGE(""https://docs.google.com/spreadsheets/d/1wfQePArl-A-5QJe5xAufoOnzeNLVSoHCRcmpZ_FMdns/edit#gid=0"",""'Game 4'!$B$2:$Q$34""),33,False),1)"),8.0)</f>
        <v>8</v>
      </c>
      <c r="Q117" s="12">
        <f>IFERROR(__xludf.DUMMYFUNCTION("IFERROR(HLOOKUP($A117,IMPORTRANGE(""https://docs.google.com/spreadsheets/d/1wydNznS0hZhVh3oGSdiCZSsReuqMT7Xaw718ix58zAI/edit#gid=0"",""'Game 5'!$B$2:$Q$34""),33,False),1)"),8.0)</f>
        <v>8</v>
      </c>
      <c r="R117" s="13">
        <f>TUHComp!R117</f>
        <v>345</v>
      </c>
      <c r="S117" s="13">
        <f t="shared" si="1"/>
        <v>72</v>
      </c>
      <c r="T117" s="13">
        <f t="shared" si="2"/>
        <v>4.8</v>
      </c>
      <c r="U117" s="13">
        <f t="shared" si="3"/>
        <v>53</v>
      </c>
    </row>
    <row r="118">
      <c r="A118" s="4" t="s">
        <v>319</v>
      </c>
      <c r="B118" s="16" t="s">
        <v>309</v>
      </c>
      <c r="C118" s="18">
        <v>0.0</v>
      </c>
      <c r="D118" s="18">
        <v>0.0</v>
      </c>
      <c r="E118" s="18">
        <v>4.0</v>
      </c>
      <c r="F118" s="18">
        <v>0.0</v>
      </c>
      <c r="G118" s="18">
        <v>4.0</v>
      </c>
      <c r="H118" s="5">
        <v>0.0</v>
      </c>
      <c r="I118" s="5">
        <f>IFERROR(__xludf.DUMMYFUNCTION("HLOOKUP($A118,IMPORTRANGE(""https://docs.google.com/spreadsheets/d/1l83w8bH-F1czkFOqsgQy6o8O33Jb4Pfg40W0ou2nk0k/edit#gid=0"",""'Game 5'!$B$2:$Q$34""),33,False)"),0.0)</f>
        <v>0</v>
      </c>
      <c r="J118" s="5">
        <f>IFERROR(__xludf.DUMMYFUNCTION("HLOOKUP($A118,IMPORTRANGE(""https://docs.google.com/spreadsheets/d/15X-ub7GvrCQZ3UGgyogcjwYdxG-Ng8WHxzGSj1Z3eLw/edit#gid=0"",""'Game 5'!$B$2:$Q$34""),33,False)"),4.0)</f>
        <v>4</v>
      </c>
      <c r="K118" s="5">
        <f>IFERROR(__xludf.DUMMYFUNCTION("IFERROR(HLOOKUP($A118,IMPORTRANGE(""https://docs.google.com/spreadsheets/d/194Bw3ABslPPhOOPvVoMzIk8sOQFICWBu2pydWdYMD-w/edit#gid=0"",""'Game 7'!$B$2:$Q$29""),28,False),1)"),8.0)</f>
        <v>8</v>
      </c>
      <c r="L118" s="5">
        <f>IFERROR(__xludf.DUMMYFUNCTION("IFERROR(HLOOKUP($A118,IMPORTRANGE(""https://docs.google.com/spreadsheets/d/1F2Bi6K_I1K9xRxY5qb-bNRo5m-Kw7udpF1OaTHhrxjs/edit#gid=0"",""'Game 5'!$B$2:$Q$29""),28,False),1)"),0.0)</f>
        <v>0</v>
      </c>
      <c r="M118" s="5">
        <f>IFERROR(__xludf.DUMMYFUNCTION("IFERROR(HLOOKUP($A118,IMPORTRANGE(""https://docs.google.com/spreadsheets/d/1NDNgi_Ny4dRhc2A3UMIIkalN-V6EmsvxOfDzMRQlQ40/edit#gid=0"",""'Game 5'!$B$2:$Q$34""),33,False),1)"),16.0)</f>
        <v>16</v>
      </c>
      <c r="N118" s="5">
        <f>IFERROR(__xludf.DUMMYFUNCTION("IFERROR(HLOOKUP($A118,IMPORTRANGE(""https://docs.google.com/spreadsheets/d/1UDYA3-RrkJNLa2ZLH1NnUjKyfCoiSODmgVL_Au_zt-Y/edit#gid=0"",""'Game 4'!$B$2:$Q$34""),33,False),1)"),0.0)</f>
        <v>0</v>
      </c>
      <c r="O118" s="5">
        <f>IFERROR(__xludf.DUMMYFUNCTION("IFERROR(HLOOKUP($A118,IMPORTRANGE(""https://docs.google.com/spreadsheets/d/1fvo6H94Wcffp6c4N9g3JKCW6y2ZlijPxdOsNz7xdBhw/edit#gid=0"",""'Game 4'!$B$2:$Q$34""),33,False),1)"),4.0)</f>
        <v>4</v>
      </c>
      <c r="P118" s="5">
        <f>IFERROR(__xludf.DUMMYFUNCTION("IFERROR(HLOOKUP($A118,IMPORTRANGE(""https://docs.google.com/spreadsheets/d/1wfQePArl-A-5QJe5xAufoOnzeNLVSoHCRcmpZ_FMdns/edit#gid=0"",""'Game 4'!$B$2:$Q$34""),33,False),1)"),4.0)</f>
        <v>4</v>
      </c>
      <c r="Q118" s="5">
        <f>IFERROR(__xludf.DUMMYFUNCTION("IFERROR(HLOOKUP($A118,IMPORTRANGE(""https://docs.google.com/spreadsheets/d/1wydNznS0hZhVh3oGSdiCZSsReuqMT7Xaw718ix58zAI/edit#gid=0"",""'Game 5'!$B$2:$Q$34""),33,False),1)"),0.0)</f>
        <v>0</v>
      </c>
      <c r="R118" s="6">
        <f>TUHComp!R118</f>
        <v>277</v>
      </c>
      <c r="S118" s="6">
        <f t="shared" si="1"/>
        <v>44</v>
      </c>
      <c r="T118" s="6">
        <f t="shared" si="2"/>
        <v>3.653429603</v>
      </c>
      <c r="U118" s="6">
        <f t="shared" si="3"/>
        <v>66</v>
      </c>
    </row>
    <row r="119">
      <c r="A119" s="13" t="s">
        <v>321</v>
      </c>
      <c r="B119" s="13" t="s">
        <v>309</v>
      </c>
      <c r="C119" s="13">
        <v>0.0</v>
      </c>
      <c r="D119" s="13">
        <v>0.0</v>
      </c>
      <c r="E119" s="13">
        <v>4.0</v>
      </c>
      <c r="F119" s="13">
        <v>0.0</v>
      </c>
      <c r="G119" s="13">
        <v>0.0</v>
      </c>
      <c r="H119" s="13">
        <v>0.0</v>
      </c>
      <c r="I119" s="12">
        <f>IFERROR(__xludf.DUMMYFUNCTION("HLOOKUP($A119,IMPORTRANGE(""https://docs.google.com/spreadsheets/d/1l83w8bH-F1czkFOqsgQy6o8O33Jb4Pfg40W0ou2nk0k/edit#gid=0"",""'Game 5'!$B$2:$Q$34""),33,False)"),0.0)</f>
        <v>0</v>
      </c>
      <c r="J119" s="12">
        <f>IFERROR(__xludf.DUMMYFUNCTION("HLOOKUP($A119,IMPORTRANGE(""https://docs.google.com/spreadsheets/d/15X-ub7GvrCQZ3UGgyogcjwYdxG-Ng8WHxzGSj1Z3eLw/edit#gid=0"",""'Game 5'!$B$2:$Q$34""),33,False)"),0.0)</f>
        <v>0</v>
      </c>
      <c r="K119" s="12">
        <f>IFERROR(__xludf.DUMMYFUNCTION("IFERROR(HLOOKUP($A119,IMPORTRANGE(""https://docs.google.com/spreadsheets/d/194Bw3ABslPPhOOPvVoMzIk8sOQFICWBu2pydWdYMD-w/edit#gid=0"",""'Game 7'!$B$2:$Q$29""),28,False),1)"),4.0)</f>
        <v>4</v>
      </c>
      <c r="L119" s="12">
        <f>IFERROR(__xludf.DUMMYFUNCTION("IFERROR(HLOOKUP($A119,IMPORTRANGE(""https://docs.google.com/spreadsheets/d/1F2Bi6K_I1K9xRxY5qb-bNRo5m-Kw7udpF1OaTHhrxjs/edit#gid=0"",""'Game 5'!$B$2:$Q$29""),28,False),1)"),0.0)</f>
        <v>0</v>
      </c>
      <c r="M119" s="12">
        <f>IFERROR(__xludf.DUMMYFUNCTION("IFERROR(HLOOKUP($A119,IMPORTRANGE(""https://docs.google.com/spreadsheets/d/1NDNgi_Ny4dRhc2A3UMIIkalN-V6EmsvxOfDzMRQlQ40/edit#gid=0"",""'Game 5'!$B$2:$Q$34""),33,False),1)"),0.0)</f>
        <v>0</v>
      </c>
      <c r="N119" s="12">
        <f>IFERROR(__xludf.DUMMYFUNCTION("IFERROR(HLOOKUP($A119,IMPORTRANGE(""https://docs.google.com/spreadsheets/d/1UDYA3-RrkJNLa2ZLH1NnUjKyfCoiSODmgVL_Au_zt-Y/edit#gid=0"",""'Game 4'!$B$2:$Q$34""),33,False),1)"),-4.0)</f>
        <v>-4</v>
      </c>
      <c r="O119" s="12">
        <f>IFERROR(__xludf.DUMMYFUNCTION("IFERROR(HLOOKUP($A119,IMPORTRANGE(""https://docs.google.com/spreadsheets/d/1fvo6H94Wcffp6c4N9g3JKCW6y2ZlijPxdOsNz7xdBhw/edit#gid=0"",""'Game 4'!$B$2:$Q$34""),33,False),1)"),0.0)</f>
        <v>0</v>
      </c>
      <c r="P119" s="12">
        <f>IFERROR(__xludf.DUMMYFUNCTION("IFERROR(HLOOKUP($A119,IMPORTRANGE(""https://docs.google.com/spreadsheets/d/1wfQePArl-A-5QJe5xAufoOnzeNLVSoHCRcmpZ_FMdns/edit#gid=0"",""'Game 4'!$B$2:$Q$34""),33,False),1)"),0.0)</f>
        <v>0</v>
      </c>
      <c r="Q119" s="12">
        <f>IFERROR(__xludf.DUMMYFUNCTION("IFERROR(HLOOKUP($A119,IMPORTRANGE(""https://docs.google.com/spreadsheets/d/1wydNznS0hZhVh3oGSdiCZSsReuqMT7Xaw718ix58zAI/edit#gid=0"",""'Game 5'!$B$2:$Q$34""),33,False),1)"),8.0)</f>
        <v>8</v>
      </c>
      <c r="R119" s="13">
        <f>TUHComp!R119</f>
        <v>172</v>
      </c>
      <c r="S119" s="13">
        <f t="shared" si="1"/>
        <v>12</v>
      </c>
      <c r="T119" s="13">
        <f t="shared" si="2"/>
        <v>1.604651163</v>
      </c>
      <c r="U119" s="13">
        <f t="shared" si="3"/>
        <v>87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5"/>
    <col customWidth="1" min="3" max="19" width="10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</row>
    <row r="2">
      <c r="A2" s="5" t="str">
        <f t="array" ref="A2:U146">sort(PointStand!A2:U146, 21, TRUE)</f>
        <v>Anurag</v>
      </c>
      <c r="B2" s="6" t="s">
        <v>64</v>
      </c>
      <c r="C2" s="6">
        <v>16.0</v>
      </c>
      <c r="D2" s="6">
        <v>52.0</v>
      </c>
      <c r="E2" s="6">
        <v>20.0</v>
      </c>
      <c r="F2" s="6">
        <v>12.0</v>
      </c>
      <c r="G2" s="6">
        <v>16.0</v>
      </c>
      <c r="H2" s="6">
        <v>44.0</v>
      </c>
      <c r="I2" s="6">
        <v>20.0</v>
      </c>
      <c r="J2" s="6">
        <v>24.0</v>
      </c>
      <c r="K2" s="6">
        <v>40.0</v>
      </c>
      <c r="L2" s="6">
        <v>20.0</v>
      </c>
      <c r="M2" s="6">
        <v>52.0</v>
      </c>
      <c r="N2" s="6">
        <v>44.0</v>
      </c>
      <c r="O2" s="6">
        <v>32.0</v>
      </c>
      <c r="P2" s="6">
        <v>28.0</v>
      </c>
      <c r="Q2" s="6">
        <v>32.0</v>
      </c>
      <c r="R2" s="6">
        <v>345.0</v>
      </c>
      <c r="S2" s="6">
        <v>452.0</v>
      </c>
      <c r="T2" s="6">
        <v>30.133333333333333</v>
      </c>
      <c r="U2" s="6">
        <v>1.0</v>
      </c>
    </row>
    <row r="3">
      <c r="A3" s="13" t="s">
        <v>18</v>
      </c>
      <c r="B3" s="13" t="s">
        <v>19</v>
      </c>
      <c r="C3" s="13">
        <v>20.0</v>
      </c>
      <c r="D3" s="13">
        <v>32.0</v>
      </c>
      <c r="E3" s="13">
        <v>20.0</v>
      </c>
      <c r="F3" s="13">
        <v>16.0</v>
      </c>
      <c r="G3" s="13">
        <v>4.0</v>
      </c>
      <c r="H3" s="13">
        <v>44.0</v>
      </c>
      <c r="I3" s="13">
        <v>24.0</v>
      </c>
      <c r="J3" s="13">
        <v>20.0</v>
      </c>
      <c r="K3" s="13">
        <v>28.0</v>
      </c>
      <c r="L3" s="13">
        <v>20.0</v>
      </c>
      <c r="M3" s="13">
        <v>16.0</v>
      </c>
      <c r="N3" s="13">
        <v>32.0</v>
      </c>
      <c r="O3" s="13">
        <v>20.0</v>
      </c>
      <c r="P3" s="13">
        <v>20.0</v>
      </c>
      <c r="Q3" s="13">
        <v>4.0</v>
      </c>
      <c r="R3" s="13">
        <v>345.0</v>
      </c>
      <c r="S3" s="13">
        <v>320.0</v>
      </c>
      <c r="T3" s="13">
        <v>21.333333333333332</v>
      </c>
      <c r="U3" s="13">
        <v>2.0</v>
      </c>
    </row>
    <row r="4">
      <c r="A4" s="6" t="s">
        <v>310</v>
      </c>
      <c r="B4" s="6" t="s">
        <v>303</v>
      </c>
      <c r="C4" s="6">
        <v>28.0</v>
      </c>
      <c r="D4" s="6">
        <v>16.0</v>
      </c>
      <c r="E4" s="6">
        <v>24.0</v>
      </c>
      <c r="F4" s="6">
        <v>-4.0</v>
      </c>
      <c r="G4" s="6">
        <v>28.0</v>
      </c>
      <c r="H4" s="6">
        <v>28.0</v>
      </c>
      <c r="I4" s="6">
        <v>20.0</v>
      </c>
      <c r="J4" s="6">
        <v>28.0</v>
      </c>
      <c r="K4" s="6">
        <v>16.0</v>
      </c>
      <c r="L4" s="6">
        <v>8.0</v>
      </c>
      <c r="M4" s="6">
        <v>20.0</v>
      </c>
      <c r="N4" s="6">
        <v>28.0</v>
      </c>
      <c r="O4" s="6">
        <v>16.0</v>
      </c>
      <c r="P4" s="6">
        <v>16.0</v>
      </c>
      <c r="Q4" s="6">
        <v>0.0</v>
      </c>
      <c r="R4" s="6">
        <v>299.0</v>
      </c>
      <c r="S4" s="6">
        <v>272.0</v>
      </c>
      <c r="T4" s="6">
        <v>20.923076923076923</v>
      </c>
      <c r="U4" s="6">
        <v>3.0</v>
      </c>
    </row>
    <row r="5">
      <c r="A5" s="13" t="s">
        <v>257</v>
      </c>
      <c r="B5" s="13" t="s">
        <v>251</v>
      </c>
      <c r="C5" s="13">
        <v>16.0</v>
      </c>
      <c r="D5" s="13">
        <v>32.0</v>
      </c>
      <c r="E5" s="13">
        <v>12.0</v>
      </c>
      <c r="F5" s="13">
        <v>8.0</v>
      </c>
      <c r="G5" s="13">
        <v>28.0</v>
      </c>
      <c r="H5" s="13">
        <v>20.0</v>
      </c>
      <c r="I5" s="13">
        <v>16.0</v>
      </c>
      <c r="J5" s="13">
        <v>16.0</v>
      </c>
      <c r="K5" s="13">
        <v>16.0</v>
      </c>
      <c r="L5" s="13">
        <v>12.0</v>
      </c>
      <c r="M5" s="13">
        <v>20.0</v>
      </c>
      <c r="N5" s="13">
        <v>16.0</v>
      </c>
      <c r="O5" s="13">
        <v>20.0</v>
      </c>
      <c r="P5" s="13">
        <v>20.0</v>
      </c>
      <c r="Q5" s="13">
        <v>12.0</v>
      </c>
      <c r="R5" s="13">
        <v>345.0</v>
      </c>
      <c r="S5" s="13">
        <v>264.0</v>
      </c>
      <c r="T5" s="13">
        <v>17.6</v>
      </c>
      <c r="U5" s="13">
        <v>4.0</v>
      </c>
    </row>
    <row r="6">
      <c r="A6" s="6" t="s">
        <v>179</v>
      </c>
      <c r="B6" s="6" t="s">
        <v>174</v>
      </c>
      <c r="C6" s="6">
        <v>12.0</v>
      </c>
      <c r="D6" s="6">
        <v>16.0</v>
      </c>
      <c r="E6" s="6">
        <v>32.0</v>
      </c>
      <c r="F6" s="6">
        <v>12.0</v>
      </c>
      <c r="G6" s="6">
        <v>24.0</v>
      </c>
      <c r="H6" s="6">
        <v>16.0</v>
      </c>
      <c r="I6" s="6">
        <v>16.0</v>
      </c>
      <c r="J6" s="6">
        <v>0.0</v>
      </c>
      <c r="K6" s="6">
        <v>32.0</v>
      </c>
      <c r="L6" s="6">
        <v>12.0</v>
      </c>
      <c r="M6" s="6">
        <v>20.0</v>
      </c>
      <c r="N6" s="6">
        <v>16.0</v>
      </c>
      <c r="O6" s="6">
        <v>12.0</v>
      </c>
      <c r="P6" s="6">
        <v>16.0</v>
      </c>
      <c r="Q6" s="6">
        <v>20.0</v>
      </c>
      <c r="R6" s="6">
        <v>345.0</v>
      </c>
      <c r="S6" s="6">
        <v>256.0</v>
      </c>
      <c r="T6" s="6">
        <v>17.066666666666666</v>
      </c>
      <c r="U6" s="6">
        <v>5.0</v>
      </c>
    </row>
    <row r="7">
      <c r="A7" s="13" t="s">
        <v>266</v>
      </c>
      <c r="B7" s="13" t="s">
        <v>263</v>
      </c>
      <c r="C7" s="13">
        <v>20.0</v>
      </c>
      <c r="D7" s="13">
        <v>16.0</v>
      </c>
      <c r="E7" s="13">
        <v>16.0</v>
      </c>
      <c r="F7" s="13">
        <v>24.0</v>
      </c>
      <c r="G7" s="13">
        <v>24.0</v>
      </c>
      <c r="H7" s="13">
        <v>36.0</v>
      </c>
      <c r="I7" s="13">
        <v>12.0</v>
      </c>
      <c r="J7" s="13">
        <v>16.0</v>
      </c>
      <c r="K7" s="13">
        <v>20.0</v>
      </c>
      <c r="L7" s="13">
        <v>16.0</v>
      </c>
      <c r="M7" s="13">
        <v>16.0</v>
      </c>
      <c r="N7" s="13">
        <v>28.0</v>
      </c>
      <c r="O7" s="13">
        <v>12.0</v>
      </c>
      <c r="P7" s="13">
        <v>4.0</v>
      </c>
      <c r="Q7" s="13">
        <v>-4.0</v>
      </c>
      <c r="R7" s="13">
        <v>345.0</v>
      </c>
      <c r="S7" s="13">
        <v>256.0</v>
      </c>
      <c r="T7" s="13">
        <v>17.066666666666666</v>
      </c>
      <c r="U7" s="13">
        <v>5.0</v>
      </c>
    </row>
    <row r="8">
      <c r="A8" s="6" t="s">
        <v>59</v>
      </c>
      <c r="B8" s="6" t="s">
        <v>55</v>
      </c>
      <c r="C8" s="6">
        <v>16.0</v>
      </c>
      <c r="D8" s="6">
        <v>16.0</v>
      </c>
      <c r="E8" s="6">
        <v>4.0</v>
      </c>
      <c r="F8" s="6">
        <v>16.0</v>
      </c>
      <c r="G8" s="6">
        <v>4.0</v>
      </c>
      <c r="H8" s="6">
        <v>8.0</v>
      </c>
      <c r="I8" s="6">
        <v>16.0</v>
      </c>
      <c r="J8" s="6">
        <v>16.0</v>
      </c>
      <c r="K8" s="6">
        <v>24.0</v>
      </c>
      <c r="L8" s="6">
        <v>20.0</v>
      </c>
      <c r="M8" s="6">
        <v>32.0</v>
      </c>
      <c r="N8" s="6">
        <v>16.0</v>
      </c>
      <c r="O8" s="6">
        <v>28.0</v>
      </c>
      <c r="P8" s="6">
        <v>12.0</v>
      </c>
      <c r="Q8" s="6">
        <v>16.0</v>
      </c>
      <c r="R8" s="6">
        <v>345.0</v>
      </c>
      <c r="S8" s="6">
        <v>244.0</v>
      </c>
      <c r="T8" s="6">
        <v>16.266666666666666</v>
      </c>
      <c r="U8" s="6">
        <v>7.0</v>
      </c>
    </row>
    <row r="9">
      <c r="A9" s="13" t="s">
        <v>169</v>
      </c>
      <c r="B9" s="13" t="s">
        <v>162</v>
      </c>
      <c r="C9" s="13">
        <v>4.0</v>
      </c>
      <c r="D9" s="13">
        <v>20.0</v>
      </c>
      <c r="E9" s="13">
        <v>32.0</v>
      </c>
      <c r="F9" s="13">
        <v>20.0</v>
      </c>
      <c r="G9" s="13">
        <v>8.0</v>
      </c>
      <c r="H9" s="13">
        <v>8.0</v>
      </c>
      <c r="I9" s="13">
        <v>0.0</v>
      </c>
      <c r="J9" s="13">
        <v>12.0</v>
      </c>
      <c r="K9" s="13">
        <v>20.0</v>
      </c>
      <c r="L9" s="13">
        <v>24.0</v>
      </c>
      <c r="M9" s="13">
        <v>12.0</v>
      </c>
      <c r="N9" s="13">
        <v>16.0</v>
      </c>
      <c r="O9" s="13">
        <v>16.0</v>
      </c>
      <c r="P9" s="13">
        <v>4.0</v>
      </c>
      <c r="Q9" s="13">
        <v>20.0</v>
      </c>
      <c r="R9" s="13">
        <v>310.0</v>
      </c>
      <c r="S9" s="13">
        <v>216.0</v>
      </c>
      <c r="T9" s="13">
        <v>16.025806451612905</v>
      </c>
      <c r="U9" s="13">
        <v>8.0</v>
      </c>
    </row>
    <row r="10">
      <c r="A10" s="6" t="s">
        <v>134</v>
      </c>
      <c r="B10" s="6" t="s">
        <v>125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  <c r="O10" s="6">
        <v>12.0</v>
      </c>
      <c r="P10" s="6">
        <v>20.0</v>
      </c>
      <c r="Q10" s="6">
        <v>0.0</v>
      </c>
      <c r="R10" s="6">
        <v>46.0</v>
      </c>
      <c r="S10" s="6">
        <v>32.0</v>
      </c>
      <c r="T10" s="6">
        <v>16.0</v>
      </c>
      <c r="U10" s="6">
        <v>9.0</v>
      </c>
    </row>
    <row r="11">
      <c r="A11" s="13" t="s">
        <v>300</v>
      </c>
      <c r="B11" s="13" t="s">
        <v>292</v>
      </c>
      <c r="C11" s="13">
        <v>12.0</v>
      </c>
      <c r="D11" s="13">
        <v>20.0</v>
      </c>
      <c r="E11" s="13">
        <v>4.0</v>
      </c>
      <c r="F11" s="13">
        <v>12.0</v>
      </c>
      <c r="G11" s="13">
        <v>8.0</v>
      </c>
      <c r="H11" s="13">
        <v>56.0</v>
      </c>
      <c r="I11" s="13">
        <v>0.0</v>
      </c>
      <c r="J11" s="13">
        <v>24.0</v>
      </c>
      <c r="K11" s="13">
        <v>8.0</v>
      </c>
      <c r="L11" s="13">
        <v>16.0</v>
      </c>
      <c r="M11" s="13">
        <v>8.0</v>
      </c>
      <c r="N11" s="13">
        <v>16.0</v>
      </c>
      <c r="O11" s="13">
        <v>12.0</v>
      </c>
      <c r="P11" s="13">
        <v>4.0</v>
      </c>
      <c r="Q11" s="13">
        <v>12.0</v>
      </c>
      <c r="R11" s="13">
        <v>310.0</v>
      </c>
      <c r="S11" s="13">
        <v>212.0</v>
      </c>
      <c r="T11" s="13">
        <v>15.729032258064516</v>
      </c>
      <c r="U11" s="13">
        <v>10.0</v>
      </c>
    </row>
    <row r="12">
      <c r="A12" s="6" t="s">
        <v>297</v>
      </c>
      <c r="B12" s="6" t="s">
        <v>292</v>
      </c>
      <c r="C12" s="6">
        <v>12.0</v>
      </c>
      <c r="D12" s="6">
        <v>20.0</v>
      </c>
      <c r="E12" s="6">
        <v>24.0</v>
      </c>
      <c r="F12" s="6">
        <v>12.0</v>
      </c>
      <c r="G12" s="6">
        <v>8.0</v>
      </c>
      <c r="H12" s="6">
        <v>0.0</v>
      </c>
      <c r="I12" s="6">
        <v>12.0</v>
      </c>
      <c r="J12" s="6">
        <v>12.0</v>
      </c>
      <c r="K12" s="6">
        <v>16.0</v>
      </c>
      <c r="L12" s="6">
        <v>20.0</v>
      </c>
      <c r="M12" s="6">
        <v>8.0</v>
      </c>
      <c r="N12" s="6">
        <v>16.0</v>
      </c>
      <c r="O12" s="6">
        <v>20.0</v>
      </c>
      <c r="P12" s="6">
        <v>8.0</v>
      </c>
      <c r="Q12" s="6">
        <v>28.0</v>
      </c>
      <c r="R12" s="6">
        <v>322.0</v>
      </c>
      <c r="S12" s="6">
        <v>216.0</v>
      </c>
      <c r="T12" s="6">
        <v>15.428571428571429</v>
      </c>
      <c r="U12" s="6">
        <v>11.0</v>
      </c>
    </row>
    <row r="13">
      <c r="A13" s="13" t="s">
        <v>287</v>
      </c>
      <c r="B13" s="13" t="s">
        <v>277</v>
      </c>
      <c r="C13" s="13">
        <v>24.0</v>
      </c>
      <c r="D13" s="13">
        <v>24.0</v>
      </c>
      <c r="E13" s="13">
        <v>8.0</v>
      </c>
      <c r="F13" s="13">
        <v>12.0</v>
      </c>
      <c r="G13" s="13">
        <v>0.0</v>
      </c>
      <c r="H13" s="13">
        <v>24.0</v>
      </c>
      <c r="I13" s="13">
        <v>16.0</v>
      </c>
      <c r="J13" s="13">
        <v>0.0</v>
      </c>
      <c r="K13" s="13">
        <v>0.0</v>
      </c>
      <c r="L13" s="13">
        <v>8.0</v>
      </c>
      <c r="M13" s="13">
        <v>8.0</v>
      </c>
      <c r="N13" s="13">
        <v>24.0</v>
      </c>
      <c r="O13" s="13">
        <v>24.0</v>
      </c>
      <c r="P13" s="13">
        <v>12.0</v>
      </c>
      <c r="Q13" s="13">
        <v>0.0</v>
      </c>
      <c r="R13" s="13">
        <v>276.0</v>
      </c>
      <c r="S13" s="13">
        <v>184.0</v>
      </c>
      <c r="T13" s="13">
        <v>15.333333333333334</v>
      </c>
      <c r="U13" s="13">
        <v>12.0</v>
      </c>
    </row>
    <row r="14">
      <c r="A14" s="6" t="s">
        <v>145</v>
      </c>
      <c r="B14" s="6" t="s">
        <v>136</v>
      </c>
      <c r="C14" s="6">
        <v>16.0</v>
      </c>
      <c r="D14" s="6">
        <v>0.0</v>
      </c>
      <c r="E14" s="6">
        <v>0.0</v>
      </c>
      <c r="F14" s="6">
        <v>0.0</v>
      </c>
      <c r="G14" s="6">
        <v>8.0</v>
      </c>
      <c r="H14" s="6">
        <v>0.0</v>
      </c>
      <c r="I14" s="6">
        <v>8.0</v>
      </c>
      <c r="J14" s="6">
        <v>0.0</v>
      </c>
      <c r="K14" s="6">
        <v>16.0</v>
      </c>
      <c r="L14" s="6">
        <v>16.0</v>
      </c>
      <c r="M14" s="6">
        <v>0.0</v>
      </c>
      <c r="N14" s="6">
        <v>28.0</v>
      </c>
      <c r="O14" s="6">
        <v>20.0</v>
      </c>
      <c r="P14" s="6">
        <v>0.0</v>
      </c>
      <c r="Q14" s="6">
        <v>4.0</v>
      </c>
      <c r="R14" s="6">
        <v>184.0</v>
      </c>
      <c r="S14" s="6">
        <v>116.0</v>
      </c>
      <c r="T14" s="6">
        <v>14.5</v>
      </c>
      <c r="U14" s="6">
        <v>13.0</v>
      </c>
    </row>
    <row r="15">
      <c r="A15" s="13" t="s">
        <v>118</v>
      </c>
      <c r="B15" s="13" t="s">
        <v>114</v>
      </c>
      <c r="C15" s="13">
        <v>12.0</v>
      </c>
      <c r="D15" s="13">
        <v>24.0</v>
      </c>
      <c r="E15" s="13">
        <v>16.0</v>
      </c>
      <c r="F15" s="13">
        <v>12.0</v>
      </c>
      <c r="G15" s="13">
        <v>0.0</v>
      </c>
      <c r="H15" s="13">
        <v>0.0</v>
      </c>
      <c r="I15" s="13">
        <v>0.0</v>
      </c>
      <c r="J15" s="13">
        <v>8.0</v>
      </c>
      <c r="K15" s="13">
        <v>0.0</v>
      </c>
      <c r="L15" s="13">
        <v>0.0</v>
      </c>
      <c r="M15" s="13">
        <v>12.0</v>
      </c>
      <c r="N15" s="13">
        <v>4.0</v>
      </c>
      <c r="O15" s="13">
        <v>16.0</v>
      </c>
      <c r="P15" s="13">
        <v>16.0</v>
      </c>
      <c r="Q15" s="13">
        <v>4.0</v>
      </c>
      <c r="R15" s="13">
        <v>206.0</v>
      </c>
      <c r="S15" s="13">
        <v>124.0</v>
      </c>
      <c r="T15" s="13">
        <v>13.844660194174757</v>
      </c>
      <c r="U15" s="13">
        <v>14.0</v>
      </c>
    </row>
    <row r="16">
      <c r="A16" s="6" t="s">
        <v>312</v>
      </c>
      <c r="B16" s="6" t="s">
        <v>303</v>
      </c>
      <c r="C16" s="6">
        <v>4.0</v>
      </c>
      <c r="D16" s="6">
        <v>20.0</v>
      </c>
      <c r="E16" s="6">
        <v>12.0</v>
      </c>
      <c r="F16" s="6">
        <v>16.0</v>
      </c>
      <c r="G16" s="6">
        <v>0.0</v>
      </c>
      <c r="H16" s="6">
        <v>16.0</v>
      </c>
      <c r="I16" s="6">
        <v>12.0</v>
      </c>
      <c r="J16" s="6">
        <v>0.0</v>
      </c>
      <c r="K16" s="6">
        <v>28.0</v>
      </c>
      <c r="L16" s="6">
        <v>8.0</v>
      </c>
      <c r="M16" s="6">
        <v>8.0</v>
      </c>
      <c r="N16" s="6">
        <v>20.0</v>
      </c>
      <c r="O16" s="6">
        <v>16.0</v>
      </c>
      <c r="P16" s="6">
        <v>16.0</v>
      </c>
      <c r="Q16" s="6">
        <v>0.0</v>
      </c>
      <c r="R16" s="6">
        <v>295.0</v>
      </c>
      <c r="S16" s="6">
        <v>176.0</v>
      </c>
      <c r="T16" s="6">
        <v>13.722033898305085</v>
      </c>
      <c r="U16" s="6">
        <v>15.0</v>
      </c>
    </row>
    <row r="17">
      <c r="A17" s="13" t="s">
        <v>32</v>
      </c>
      <c r="B17" s="13" t="s">
        <v>33</v>
      </c>
      <c r="C17" s="13">
        <v>8.0</v>
      </c>
      <c r="D17" s="13">
        <v>4.0</v>
      </c>
      <c r="E17" s="13">
        <v>16.0</v>
      </c>
      <c r="F17" s="13">
        <v>12.0</v>
      </c>
      <c r="G17" s="13">
        <v>20.0</v>
      </c>
      <c r="H17" s="13">
        <v>16.0</v>
      </c>
      <c r="I17" s="13">
        <v>16.0</v>
      </c>
      <c r="J17" s="13">
        <v>8.0</v>
      </c>
      <c r="K17" s="13">
        <v>12.0</v>
      </c>
      <c r="L17" s="13">
        <v>20.0</v>
      </c>
      <c r="M17" s="13">
        <v>12.0</v>
      </c>
      <c r="N17" s="13">
        <v>4.0</v>
      </c>
      <c r="O17" s="13">
        <v>24.0</v>
      </c>
      <c r="P17" s="13">
        <v>8.0</v>
      </c>
      <c r="Q17" s="13">
        <v>4.0</v>
      </c>
      <c r="R17" s="13">
        <v>311.0</v>
      </c>
      <c r="S17" s="13">
        <v>184.0</v>
      </c>
      <c r="T17" s="13">
        <v>13.607717041800644</v>
      </c>
      <c r="U17" s="13">
        <v>16.0</v>
      </c>
    </row>
    <row r="18">
      <c r="A18" s="6" t="s">
        <v>90</v>
      </c>
      <c r="B18" s="6" t="s">
        <v>91</v>
      </c>
      <c r="C18" s="6">
        <v>8.0</v>
      </c>
      <c r="D18" s="6">
        <v>24.0</v>
      </c>
      <c r="E18" s="6">
        <v>12.0</v>
      </c>
      <c r="F18" s="6">
        <v>8.0</v>
      </c>
      <c r="G18" s="6">
        <v>16.0</v>
      </c>
      <c r="H18" s="6">
        <v>12.0</v>
      </c>
      <c r="I18" s="6">
        <v>16.0</v>
      </c>
      <c r="J18" s="6">
        <v>4.0</v>
      </c>
      <c r="K18" s="6">
        <v>8.0</v>
      </c>
      <c r="L18" s="6">
        <v>20.0</v>
      </c>
      <c r="M18" s="6">
        <v>12.0</v>
      </c>
      <c r="N18" s="6">
        <v>16.0</v>
      </c>
      <c r="O18" s="6">
        <v>20.0</v>
      </c>
      <c r="P18" s="6">
        <v>16.0</v>
      </c>
      <c r="Q18" s="6">
        <v>8.0</v>
      </c>
      <c r="R18" s="6">
        <v>345.0</v>
      </c>
      <c r="S18" s="6">
        <v>200.0</v>
      </c>
      <c r="T18" s="6">
        <v>13.333333333333334</v>
      </c>
      <c r="U18" s="6">
        <v>17.0</v>
      </c>
    </row>
    <row r="19">
      <c r="A19" s="13" t="s">
        <v>135</v>
      </c>
      <c r="B19" s="13" t="s">
        <v>136</v>
      </c>
      <c r="C19" s="13">
        <v>8.0</v>
      </c>
      <c r="D19" s="13">
        <v>0.0</v>
      </c>
      <c r="E19" s="13">
        <v>4.0</v>
      </c>
      <c r="F19" s="13">
        <v>8.0</v>
      </c>
      <c r="G19" s="13">
        <v>4.0</v>
      </c>
      <c r="H19" s="13">
        <v>24.0</v>
      </c>
      <c r="I19" s="13">
        <v>0.0</v>
      </c>
      <c r="J19" s="13">
        <v>16.0</v>
      </c>
      <c r="K19" s="13">
        <v>4.0</v>
      </c>
      <c r="L19" s="13">
        <v>1.0</v>
      </c>
      <c r="M19" s="13">
        <v>8.0</v>
      </c>
      <c r="N19" s="13">
        <v>0.0</v>
      </c>
      <c r="O19" s="13">
        <v>0.0</v>
      </c>
      <c r="P19" s="13">
        <v>32.0</v>
      </c>
      <c r="Q19" s="13">
        <v>16.0</v>
      </c>
      <c r="R19" s="13">
        <v>218.0</v>
      </c>
      <c r="S19" s="13">
        <v>125.0</v>
      </c>
      <c r="T19" s="13">
        <v>13.188073394495413</v>
      </c>
      <c r="U19" s="13">
        <v>18.0</v>
      </c>
    </row>
    <row r="20">
      <c r="A20" s="6" t="s">
        <v>326</v>
      </c>
      <c r="B20" s="6" t="s">
        <v>318</v>
      </c>
      <c r="C20" s="6">
        <v>12.0</v>
      </c>
      <c r="D20" s="6">
        <v>0.0</v>
      </c>
      <c r="E20" s="6">
        <v>16.0</v>
      </c>
      <c r="F20" s="6">
        <v>0.0</v>
      </c>
      <c r="G20" s="6">
        <v>4.0</v>
      </c>
      <c r="H20" s="6">
        <v>8.0</v>
      </c>
      <c r="I20" s="6">
        <v>8.0</v>
      </c>
      <c r="J20" s="6">
        <v>12.0</v>
      </c>
      <c r="K20" s="6">
        <v>12.0</v>
      </c>
      <c r="L20" s="6">
        <v>12.0</v>
      </c>
      <c r="M20" s="6">
        <v>0.0</v>
      </c>
      <c r="N20" s="6">
        <v>8.0</v>
      </c>
      <c r="O20" s="6">
        <v>4.0</v>
      </c>
      <c r="P20" s="6">
        <v>32.0</v>
      </c>
      <c r="Q20" s="6">
        <v>16.0</v>
      </c>
      <c r="R20" s="6">
        <v>253.0</v>
      </c>
      <c r="S20" s="6">
        <v>144.0</v>
      </c>
      <c r="T20" s="6">
        <v>13.090909090909092</v>
      </c>
      <c r="U20" s="6">
        <v>19.0</v>
      </c>
    </row>
    <row r="21">
      <c r="A21" s="13" t="s">
        <v>296</v>
      </c>
      <c r="B21" s="13" t="s">
        <v>292</v>
      </c>
      <c r="C21" s="13">
        <v>12.0</v>
      </c>
      <c r="D21" s="13">
        <v>8.0</v>
      </c>
      <c r="E21" s="13">
        <v>24.0</v>
      </c>
      <c r="F21" s="13">
        <v>4.0</v>
      </c>
      <c r="G21" s="13">
        <v>28.0</v>
      </c>
      <c r="H21" s="13">
        <v>4.0</v>
      </c>
      <c r="I21" s="13">
        <v>12.0</v>
      </c>
      <c r="J21" s="13">
        <v>0.0</v>
      </c>
      <c r="K21" s="13">
        <v>20.0</v>
      </c>
      <c r="L21" s="13">
        <v>12.0</v>
      </c>
      <c r="M21" s="13">
        <v>16.0</v>
      </c>
      <c r="N21" s="13">
        <v>12.0</v>
      </c>
      <c r="O21" s="13">
        <v>16.0</v>
      </c>
      <c r="P21" s="13">
        <v>12.0</v>
      </c>
      <c r="Q21" s="13">
        <v>12.0</v>
      </c>
      <c r="R21" s="13">
        <v>345.0</v>
      </c>
      <c r="S21" s="13">
        <v>192.0</v>
      </c>
      <c r="T21" s="13">
        <v>12.8</v>
      </c>
      <c r="U21" s="13">
        <v>20.0</v>
      </c>
    </row>
    <row r="22">
      <c r="A22" s="6" t="s">
        <v>215</v>
      </c>
      <c r="B22" s="6" t="s">
        <v>213</v>
      </c>
      <c r="C22" s="6">
        <v>20.0</v>
      </c>
      <c r="D22" s="6">
        <v>12.0</v>
      </c>
      <c r="E22" s="6">
        <v>12.0</v>
      </c>
      <c r="F22" s="6">
        <v>0.0</v>
      </c>
      <c r="G22" s="6">
        <v>20.0</v>
      </c>
      <c r="H22" s="6">
        <v>16.0</v>
      </c>
      <c r="I22" s="6">
        <v>8.0</v>
      </c>
      <c r="J22" s="6">
        <v>4.0</v>
      </c>
      <c r="K22" s="6">
        <v>4.0</v>
      </c>
      <c r="L22" s="6">
        <v>12.0</v>
      </c>
      <c r="M22" s="6">
        <v>12.0</v>
      </c>
      <c r="N22" s="6">
        <v>16.0</v>
      </c>
      <c r="O22" s="6">
        <v>24.0</v>
      </c>
      <c r="P22" s="6">
        <v>12.0</v>
      </c>
      <c r="Q22" s="6">
        <v>12.0</v>
      </c>
      <c r="R22" s="6">
        <v>344.0</v>
      </c>
      <c r="S22" s="6">
        <v>184.0</v>
      </c>
      <c r="T22" s="6">
        <v>12.30232558139535</v>
      </c>
      <c r="U22" s="6">
        <v>21.0</v>
      </c>
    </row>
    <row r="23">
      <c r="A23" s="13" t="s">
        <v>70</v>
      </c>
      <c r="B23" s="13" t="s">
        <v>64</v>
      </c>
      <c r="C23" s="13">
        <v>0.0</v>
      </c>
      <c r="D23" s="13">
        <v>16.0</v>
      </c>
      <c r="E23" s="13">
        <v>-4.0</v>
      </c>
      <c r="F23" s="13">
        <v>16.0</v>
      </c>
      <c r="G23" s="13">
        <v>20.0</v>
      </c>
      <c r="H23" s="13">
        <v>0.0</v>
      </c>
      <c r="I23" s="13">
        <v>0.0</v>
      </c>
      <c r="J23" s="13">
        <v>4.0</v>
      </c>
      <c r="K23" s="13">
        <v>4.0</v>
      </c>
      <c r="L23" s="13">
        <v>12.0</v>
      </c>
      <c r="M23" s="13">
        <v>0.0</v>
      </c>
      <c r="N23" s="13">
        <v>12.0</v>
      </c>
      <c r="O23" s="13">
        <v>0.0</v>
      </c>
      <c r="P23" s="13">
        <v>12.0</v>
      </c>
      <c r="Q23" s="13">
        <v>4.0</v>
      </c>
      <c r="R23" s="13">
        <v>184.0</v>
      </c>
      <c r="S23" s="13">
        <v>96.0</v>
      </c>
      <c r="T23" s="13">
        <v>12.0</v>
      </c>
      <c r="U23" s="13">
        <v>22.0</v>
      </c>
    </row>
    <row r="24">
      <c r="A24" s="6" t="s">
        <v>154</v>
      </c>
      <c r="B24" s="6" t="s">
        <v>149</v>
      </c>
      <c r="C24" s="6">
        <v>0.0</v>
      </c>
      <c r="D24" s="6">
        <v>12.0</v>
      </c>
      <c r="E24" s="6">
        <v>12.0</v>
      </c>
      <c r="F24" s="6">
        <v>16.0</v>
      </c>
      <c r="G24" s="6">
        <v>20.0</v>
      </c>
      <c r="H24" s="6">
        <v>12.0</v>
      </c>
      <c r="I24" s="6">
        <v>-4.0</v>
      </c>
      <c r="J24" s="6">
        <v>4.0</v>
      </c>
      <c r="K24" s="6">
        <v>12.0</v>
      </c>
      <c r="L24" s="6">
        <v>24.0</v>
      </c>
      <c r="M24" s="6">
        <v>8.0</v>
      </c>
      <c r="N24" s="6">
        <v>12.0</v>
      </c>
      <c r="O24" s="6">
        <v>8.0</v>
      </c>
      <c r="P24" s="6">
        <v>4.0</v>
      </c>
      <c r="Q24" s="6">
        <v>24.0</v>
      </c>
      <c r="R24" s="6">
        <v>322.0</v>
      </c>
      <c r="S24" s="6">
        <v>164.0</v>
      </c>
      <c r="T24" s="6">
        <v>11.714285714285714</v>
      </c>
      <c r="U24" s="6">
        <v>23.0</v>
      </c>
    </row>
    <row r="25">
      <c r="A25" s="13" t="s">
        <v>161</v>
      </c>
      <c r="B25" s="13" t="s">
        <v>162</v>
      </c>
      <c r="C25" s="13">
        <v>20.0</v>
      </c>
      <c r="D25" s="13">
        <v>12.0</v>
      </c>
      <c r="E25" s="13">
        <v>0.0</v>
      </c>
      <c r="F25" s="13">
        <v>0.0</v>
      </c>
      <c r="G25" s="13">
        <v>0.0</v>
      </c>
      <c r="H25" s="13">
        <v>12.0</v>
      </c>
      <c r="I25" s="13">
        <v>12.0</v>
      </c>
      <c r="J25" s="13">
        <v>0.0</v>
      </c>
      <c r="K25" s="13">
        <v>20.0</v>
      </c>
      <c r="L25" s="13">
        <v>16.0</v>
      </c>
      <c r="M25" s="13">
        <v>16.0</v>
      </c>
      <c r="N25" s="13">
        <v>12.0</v>
      </c>
      <c r="O25" s="13">
        <v>8.0</v>
      </c>
      <c r="P25" s="13">
        <v>20.0</v>
      </c>
      <c r="Q25" s="13">
        <v>16.0</v>
      </c>
      <c r="R25" s="13">
        <v>322.0</v>
      </c>
      <c r="S25" s="13">
        <v>164.0</v>
      </c>
      <c r="T25" s="13">
        <v>11.714285714285714</v>
      </c>
      <c r="U25" s="13">
        <v>23.0</v>
      </c>
    </row>
    <row r="26">
      <c r="A26" s="6" t="s">
        <v>249</v>
      </c>
      <c r="B26" s="6" t="s">
        <v>240</v>
      </c>
      <c r="C26" s="6">
        <v>12.0</v>
      </c>
      <c r="D26" s="6">
        <v>4.0</v>
      </c>
      <c r="E26" s="6">
        <v>-4.0</v>
      </c>
      <c r="F26" s="6">
        <v>8.0</v>
      </c>
      <c r="G26" s="6">
        <v>24.0</v>
      </c>
      <c r="H26" s="6">
        <v>0.0</v>
      </c>
      <c r="I26" s="6">
        <v>20.0</v>
      </c>
      <c r="J26" s="6">
        <v>16.0</v>
      </c>
      <c r="K26" s="6">
        <v>4.0</v>
      </c>
      <c r="L26" s="6">
        <v>12.0</v>
      </c>
      <c r="M26" s="6">
        <v>12.0</v>
      </c>
      <c r="N26" s="6">
        <v>16.0</v>
      </c>
      <c r="O26" s="6">
        <v>4.0</v>
      </c>
      <c r="P26" s="6">
        <v>0.0</v>
      </c>
      <c r="Q26" s="6">
        <v>0.0</v>
      </c>
      <c r="R26" s="6">
        <v>264.0</v>
      </c>
      <c r="S26" s="6">
        <v>128.0</v>
      </c>
      <c r="T26" s="6">
        <v>11.151515151515152</v>
      </c>
      <c r="U26" s="6">
        <v>25.0</v>
      </c>
    </row>
    <row r="27">
      <c r="A27" s="13" t="s">
        <v>132</v>
      </c>
      <c r="B27" s="13" t="s">
        <v>125</v>
      </c>
      <c r="C27" s="13">
        <v>16.0</v>
      </c>
      <c r="D27" s="13">
        <v>0.0</v>
      </c>
      <c r="E27" s="13">
        <v>16.0</v>
      </c>
      <c r="F27" s="13">
        <v>8.0</v>
      </c>
      <c r="G27" s="13">
        <v>0.0</v>
      </c>
      <c r="H27" s="13">
        <v>16.0</v>
      </c>
      <c r="I27" s="13">
        <v>8.0</v>
      </c>
      <c r="J27" s="13">
        <v>24.0</v>
      </c>
      <c r="K27" s="13">
        <v>16.0</v>
      </c>
      <c r="L27" s="13">
        <v>12.0</v>
      </c>
      <c r="M27" s="13">
        <v>12.0</v>
      </c>
      <c r="N27" s="13">
        <v>12.0</v>
      </c>
      <c r="O27" s="13">
        <v>0.0</v>
      </c>
      <c r="P27" s="13">
        <v>0.0</v>
      </c>
      <c r="Q27" s="13">
        <v>12.0</v>
      </c>
      <c r="R27" s="13">
        <v>322.0</v>
      </c>
      <c r="S27" s="13">
        <v>152.0</v>
      </c>
      <c r="T27" s="13">
        <v>10.857142857142858</v>
      </c>
      <c r="U27" s="13">
        <v>26.0</v>
      </c>
    </row>
    <row r="28">
      <c r="A28" s="6" t="s">
        <v>332</v>
      </c>
      <c r="B28" s="6" t="s">
        <v>328</v>
      </c>
      <c r="C28" s="6">
        <v>20.0</v>
      </c>
      <c r="D28" s="6">
        <v>20.0</v>
      </c>
      <c r="E28" s="6">
        <v>8.0</v>
      </c>
      <c r="F28" s="6">
        <v>12.0</v>
      </c>
      <c r="G28" s="6">
        <v>16.0</v>
      </c>
      <c r="H28" s="6">
        <v>4.0</v>
      </c>
      <c r="I28" s="6">
        <v>12.0</v>
      </c>
      <c r="J28" s="6">
        <v>12.0</v>
      </c>
      <c r="K28" s="6">
        <v>0.0</v>
      </c>
      <c r="L28" s="6">
        <v>12.0</v>
      </c>
      <c r="M28" s="6">
        <v>12.0</v>
      </c>
      <c r="N28" s="6">
        <v>-4.0</v>
      </c>
      <c r="O28" s="6">
        <v>16.0</v>
      </c>
      <c r="P28" s="6">
        <v>4.0</v>
      </c>
      <c r="Q28" s="6">
        <v>8.0</v>
      </c>
      <c r="R28" s="6">
        <v>333.0</v>
      </c>
      <c r="S28" s="6">
        <v>152.0</v>
      </c>
      <c r="T28" s="6">
        <v>10.498498498498499</v>
      </c>
      <c r="U28" s="6">
        <v>27.0</v>
      </c>
    </row>
    <row r="29">
      <c r="A29" s="13" t="s">
        <v>85</v>
      </c>
      <c r="B29" s="13" t="s">
        <v>79</v>
      </c>
      <c r="C29" s="13">
        <v>8.0</v>
      </c>
      <c r="D29" s="13">
        <v>16.0</v>
      </c>
      <c r="E29" s="13">
        <v>4.0</v>
      </c>
      <c r="F29" s="13">
        <v>8.0</v>
      </c>
      <c r="G29" s="13">
        <v>12.0</v>
      </c>
      <c r="H29" s="13">
        <v>8.0</v>
      </c>
      <c r="I29" s="13">
        <v>8.0</v>
      </c>
      <c r="J29" s="13">
        <v>12.0</v>
      </c>
      <c r="K29" s="13">
        <v>8.0</v>
      </c>
      <c r="L29" s="13">
        <v>8.0</v>
      </c>
      <c r="M29" s="13">
        <v>8.0</v>
      </c>
      <c r="N29" s="13">
        <v>12.0</v>
      </c>
      <c r="O29" s="13">
        <v>4.0</v>
      </c>
      <c r="P29" s="13">
        <v>32.0</v>
      </c>
      <c r="Q29" s="13">
        <v>8.0</v>
      </c>
      <c r="R29" s="13">
        <v>345.0</v>
      </c>
      <c r="S29" s="13">
        <v>156.0</v>
      </c>
      <c r="T29" s="13">
        <v>10.4</v>
      </c>
      <c r="U29" s="13">
        <v>28.0</v>
      </c>
    </row>
    <row r="30">
      <c r="A30" s="6" t="s">
        <v>37</v>
      </c>
      <c r="B30" s="6" t="s">
        <v>33</v>
      </c>
      <c r="C30" s="6">
        <v>8.0</v>
      </c>
      <c r="D30" s="6">
        <v>16.0</v>
      </c>
      <c r="E30" s="6">
        <v>0.0</v>
      </c>
      <c r="F30" s="6">
        <v>0.0</v>
      </c>
      <c r="G30" s="6">
        <v>0.0</v>
      </c>
      <c r="H30" s="6">
        <v>8.0</v>
      </c>
      <c r="I30" s="6">
        <v>0.0</v>
      </c>
      <c r="J30" s="6">
        <v>0.0</v>
      </c>
      <c r="K30" s="6">
        <v>8.0</v>
      </c>
      <c r="L30" s="6">
        <v>0.0</v>
      </c>
      <c r="M30" s="6">
        <v>20.0</v>
      </c>
      <c r="N30" s="6">
        <v>0.0</v>
      </c>
      <c r="O30" s="6">
        <v>0.0</v>
      </c>
      <c r="P30" s="6">
        <v>0.0</v>
      </c>
      <c r="Q30" s="6">
        <v>0.0</v>
      </c>
      <c r="R30" s="6">
        <v>149.0</v>
      </c>
      <c r="S30" s="6">
        <v>60.0</v>
      </c>
      <c r="T30" s="6">
        <v>9.261744966442953</v>
      </c>
      <c r="U30" s="6">
        <v>29.0</v>
      </c>
    </row>
    <row r="31">
      <c r="A31" s="13" t="s">
        <v>39</v>
      </c>
      <c r="B31" s="13" t="s">
        <v>33</v>
      </c>
      <c r="C31" s="13">
        <v>8.0</v>
      </c>
      <c r="D31" s="13">
        <v>0.0</v>
      </c>
      <c r="E31" s="13">
        <v>4.0</v>
      </c>
      <c r="F31" s="13">
        <v>0.0</v>
      </c>
      <c r="G31" s="13">
        <v>0.0</v>
      </c>
      <c r="H31" s="13">
        <v>0.0</v>
      </c>
      <c r="I31" s="13">
        <v>0.0</v>
      </c>
      <c r="J31" s="13">
        <v>16.0</v>
      </c>
      <c r="K31" s="13">
        <v>16.0</v>
      </c>
      <c r="L31" s="13">
        <v>12.0</v>
      </c>
      <c r="M31" s="13">
        <v>12.0</v>
      </c>
      <c r="N31" s="13">
        <v>8.0</v>
      </c>
      <c r="O31" s="13">
        <v>0.0</v>
      </c>
      <c r="P31" s="13">
        <v>0.0</v>
      </c>
      <c r="Q31" s="13">
        <v>16.0</v>
      </c>
      <c r="R31" s="13">
        <v>242.0</v>
      </c>
      <c r="S31" s="13">
        <v>92.0</v>
      </c>
      <c r="T31" s="13">
        <v>8.743801652892563</v>
      </c>
      <c r="U31" s="13">
        <v>30.0</v>
      </c>
    </row>
    <row r="32">
      <c r="A32" s="6" t="s">
        <v>189</v>
      </c>
      <c r="B32" s="6" t="s">
        <v>186</v>
      </c>
      <c r="C32" s="6">
        <v>0.0</v>
      </c>
      <c r="D32" s="6">
        <v>20.0</v>
      </c>
      <c r="E32" s="6">
        <v>16.0</v>
      </c>
      <c r="F32" s="6">
        <v>8.0</v>
      </c>
      <c r="G32" s="6">
        <v>24.0</v>
      </c>
      <c r="H32" s="6">
        <v>12.0</v>
      </c>
      <c r="I32" s="6">
        <v>0.0</v>
      </c>
      <c r="J32" s="6">
        <v>12.0</v>
      </c>
      <c r="K32" s="6">
        <v>8.0</v>
      </c>
      <c r="L32" s="6">
        <v>12.0</v>
      </c>
      <c r="M32" s="6">
        <v>0.0</v>
      </c>
      <c r="N32" s="6">
        <v>8.0</v>
      </c>
      <c r="O32" s="6">
        <v>0.0</v>
      </c>
      <c r="P32" s="6">
        <v>4.0</v>
      </c>
      <c r="Q32" s="6">
        <v>4.0</v>
      </c>
      <c r="R32" s="6">
        <v>345.0</v>
      </c>
      <c r="S32" s="6">
        <v>128.0</v>
      </c>
      <c r="T32" s="6">
        <v>8.533333333333333</v>
      </c>
      <c r="U32" s="6">
        <v>31.0</v>
      </c>
    </row>
    <row r="33">
      <c r="A33" s="13" t="s">
        <v>41</v>
      </c>
      <c r="B33" s="13" t="s">
        <v>33</v>
      </c>
      <c r="C33" s="13">
        <v>0.0</v>
      </c>
      <c r="D33" s="13">
        <v>8.0</v>
      </c>
      <c r="E33" s="13">
        <v>0.0</v>
      </c>
      <c r="F33" s="13">
        <v>0.0</v>
      </c>
      <c r="G33" s="13">
        <v>4.0</v>
      </c>
      <c r="H33" s="13">
        <v>20.0</v>
      </c>
      <c r="I33" s="13">
        <v>4.0</v>
      </c>
      <c r="J33" s="13">
        <v>12.0</v>
      </c>
      <c r="K33" s="13">
        <v>4.0</v>
      </c>
      <c r="L33" s="13">
        <v>20.0</v>
      </c>
      <c r="M33" s="13">
        <v>8.0</v>
      </c>
      <c r="N33" s="13">
        <v>0.0</v>
      </c>
      <c r="O33" s="13">
        <v>8.0</v>
      </c>
      <c r="P33" s="13">
        <v>8.0</v>
      </c>
      <c r="Q33" s="13">
        <v>20.0</v>
      </c>
      <c r="R33" s="13">
        <v>321.0</v>
      </c>
      <c r="S33" s="13">
        <v>116.0</v>
      </c>
      <c r="T33" s="13">
        <v>8.311526479750778</v>
      </c>
      <c r="U33" s="13">
        <v>32.0</v>
      </c>
    </row>
    <row r="34">
      <c r="A34" s="6" t="s">
        <v>307</v>
      </c>
      <c r="B34" s="6" t="s">
        <v>303</v>
      </c>
      <c r="C34" s="6">
        <v>8.0</v>
      </c>
      <c r="D34" s="6">
        <v>0.0</v>
      </c>
      <c r="E34" s="6">
        <v>0.0</v>
      </c>
      <c r="F34" s="6">
        <v>8.0</v>
      </c>
      <c r="G34" s="6">
        <v>-4.0</v>
      </c>
      <c r="H34" s="6">
        <v>0.0</v>
      </c>
      <c r="I34" s="6">
        <v>12.0</v>
      </c>
      <c r="J34" s="6">
        <v>16.0</v>
      </c>
      <c r="K34" s="6">
        <v>4.0</v>
      </c>
      <c r="L34" s="6">
        <v>0.0</v>
      </c>
      <c r="M34" s="6">
        <v>16.0</v>
      </c>
      <c r="N34" s="6">
        <v>12.0</v>
      </c>
      <c r="O34" s="6">
        <v>12.0</v>
      </c>
      <c r="P34" s="6">
        <v>8.0</v>
      </c>
      <c r="Q34" s="6">
        <v>20.0</v>
      </c>
      <c r="R34" s="6">
        <v>311.0</v>
      </c>
      <c r="S34" s="6">
        <v>112.0</v>
      </c>
      <c r="T34" s="6">
        <v>8.282958199356914</v>
      </c>
      <c r="U34" s="6">
        <v>33.0</v>
      </c>
    </row>
    <row r="35">
      <c r="A35" s="13" t="s">
        <v>152</v>
      </c>
      <c r="B35" s="13" t="s">
        <v>149</v>
      </c>
      <c r="C35" s="13">
        <v>4.0</v>
      </c>
      <c r="D35" s="13">
        <v>0.0</v>
      </c>
      <c r="E35" s="13">
        <v>8.0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12.0</v>
      </c>
      <c r="M35" s="13">
        <v>12.0</v>
      </c>
      <c r="N35" s="13">
        <v>8.0</v>
      </c>
      <c r="O35" s="13">
        <v>0.0</v>
      </c>
      <c r="P35" s="13">
        <v>4.0</v>
      </c>
      <c r="Q35" s="13">
        <v>0.0</v>
      </c>
      <c r="R35" s="13">
        <v>138.0</v>
      </c>
      <c r="S35" s="13">
        <v>48.0</v>
      </c>
      <c r="T35" s="13">
        <v>8.0</v>
      </c>
      <c r="U35" s="13">
        <v>34.0</v>
      </c>
    </row>
    <row r="36">
      <c r="A36" s="6" t="s">
        <v>138</v>
      </c>
      <c r="B36" s="6" t="s">
        <v>136</v>
      </c>
      <c r="C36" s="6">
        <v>0.0</v>
      </c>
      <c r="D36" s="6">
        <v>8.0</v>
      </c>
      <c r="E36" s="6">
        <v>4.0</v>
      </c>
      <c r="F36" s="6">
        <v>0.0</v>
      </c>
      <c r="G36" s="6">
        <v>12.0</v>
      </c>
      <c r="H36" s="6">
        <v>8.0</v>
      </c>
      <c r="I36" s="6">
        <v>12.0</v>
      </c>
      <c r="J36" s="6">
        <v>12.0</v>
      </c>
      <c r="K36" s="6">
        <v>0.0</v>
      </c>
      <c r="L36" s="6">
        <v>4.0</v>
      </c>
      <c r="M36" s="6">
        <v>8.0</v>
      </c>
      <c r="N36" s="6">
        <v>8.0</v>
      </c>
      <c r="O36" s="6">
        <v>4.0</v>
      </c>
      <c r="P36" s="6">
        <v>0.0</v>
      </c>
      <c r="Q36" s="6">
        <v>12.0</v>
      </c>
      <c r="R36" s="6">
        <v>265.0</v>
      </c>
      <c r="S36" s="6">
        <v>92.0</v>
      </c>
      <c r="T36" s="6">
        <v>7.9849056603773585</v>
      </c>
      <c r="U36" s="6">
        <v>35.0</v>
      </c>
    </row>
    <row r="37">
      <c r="A37" s="13" t="s">
        <v>183</v>
      </c>
      <c r="B37" s="13" t="s">
        <v>174</v>
      </c>
      <c r="C37" s="13">
        <v>16.0</v>
      </c>
      <c r="D37" s="13">
        <v>0.0</v>
      </c>
      <c r="E37" s="13">
        <v>0.0</v>
      </c>
      <c r="F37" s="13">
        <v>8.0</v>
      </c>
      <c r="G37" s="13">
        <v>-4.0</v>
      </c>
      <c r="H37" s="13">
        <v>16.0</v>
      </c>
      <c r="I37" s="13">
        <v>16.0</v>
      </c>
      <c r="J37" s="13">
        <v>0.0</v>
      </c>
      <c r="K37" s="13">
        <v>4.0</v>
      </c>
      <c r="L37" s="13">
        <v>4.0</v>
      </c>
      <c r="M37" s="13">
        <v>16.0</v>
      </c>
      <c r="N37" s="13">
        <v>0.0</v>
      </c>
      <c r="O37" s="13">
        <v>12.0</v>
      </c>
      <c r="P37" s="13">
        <v>0.0</v>
      </c>
      <c r="Q37" s="13">
        <v>8.0</v>
      </c>
      <c r="R37" s="13">
        <v>280.0</v>
      </c>
      <c r="S37" s="13">
        <v>96.0</v>
      </c>
      <c r="T37" s="13">
        <v>7.885714285714286</v>
      </c>
      <c r="U37" s="13">
        <v>36.0</v>
      </c>
    </row>
    <row r="38">
      <c r="A38" s="6" t="s">
        <v>134</v>
      </c>
      <c r="B38" s="6" t="s">
        <v>213</v>
      </c>
      <c r="C38" s="6">
        <v>8.0</v>
      </c>
      <c r="D38" s="6">
        <v>8.0</v>
      </c>
      <c r="E38" s="6">
        <v>4.0</v>
      </c>
      <c r="F38" s="6">
        <v>4.0</v>
      </c>
      <c r="G38" s="6">
        <v>0.0</v>
      </c>
      <c r="H38" s="6">
        <v>24.0</v>
      </c>
      <c r="I38" s="6">
        <v>4.0</v>
      </c>
      <c r="J38" s="6">
        <v>4.0</v>
      </c>
      <c r="K38" s="6">
        <v>16.0</v>
      </c>
      <c r="L38" s="6">
        <v>8.0</v>
      </c>
      <c r="M38" s="6">
        <v>4.0</v>
      </c>
      <c r="N38" s="6">
        <v>8.0</v>
      </c>
      <c r="O38" s="6">
        <v>8.0</v>
      </c>
      <c r="P38" s="6">
        <v>8.0</v>
      </c>
      <c r="Q38" s="6">
        <v>8.0</v>
      </c>
      <c r="R38" s="6">
        <v>345.0</v>
      </c>
      <c r="S38" s="6">
        <v>116.0</v>
      </c>
      <c r="T38" s="6">
        <v>7.733333333333333</v>
      </c>
      <c r="U38" s="6">
        <v>37.0</v>
      </c>
    </row>
    <row r="39">
      <c r="A39" s="13" t="s">
        <v>322</v>
      </c>
      <c r="B39" s="13" t="s">
        <v>318</v>
      </c>
      <c r="C39" s="13">
        <v>4.0</v>
      </c>
      <c r="D39" s="13">
        <v>12.0</v>
      </c>
      <c r="E39" s="13">
        <v>12.0</v>
      </c>
      <c r="F39" s="13">
        <v>0.0</v>
      </c>
      <c r="G39" s="13">
        <v>8.0</v>
      </c>
      <c r="H39" s="13">
        <v>8.0</v>
      </c>
      <c r="I39" s="13">
        <v>4.0</v>
      </c>
      <c r="J39" s="13">
        <v>0.0</v>
      </c>
      <c r="K39" s="13">
        <v>0.0</v>
      </c>
      <c r="L39" s="13">
        <v>8.0</v>
      </c>
      <c r="M39" s="13">
        <v>0.0</v>
      </c>
      <c r="N39" s="13">
        <v>0.0</v>
      </c>
      <c r="O39" s="13">
        <v>0.0</v>
      </c>
      <c r="P39" s="13">
        <v>0.0</v>
      </c>
      <c r="Q39" s="13">
        <v>12.0</v>
      </c>
      <c r="R39" s="13">
        <v>207.0</v>
      </c>
      <c r="S39" s="13">
        <v>68.0</v>
      </c>
      <c r="T39" s="13">
        <v>7.555555555555555</v>
      </c>
      <c r="U39" s="13">
        <v>38.0</v>
      </c>
    </row>
    <row r="40">
      <c r="A40" s="6" t="s">
        <v>283</v>
      </c>
      <c r="B40" s="6" t="s">
        <v>277</v>
      </c>
      <c r="C40" s="6">
        <v>0.0</v>
      </c>
      <c r="D40" s="6">
        <v>-4.0</v>
      </c>
      <c r="E40" s="6">
        <v>0.0</v>
      </c>
      <c r="F40" s="6">
        <v>12.0</v>
      </c>
      <c r="G40" s="6">
        <v>0.0</v>
      </c>
      <c r="H40" s="6">
        <v>0.0</v>
      </c>
      <c r="I40" s="6">
        <v>4.0</v>
      </c>
      <c r="J40" s="6">
        <v>8.0</v>
      </c>
      <c r="K40" s="6">
        <v>0.0</v>
      </c>
      <c r="L40" s="6">
        <v>8.0</v>
      </c>
      <c r="M40" s="6">
        <v>12.0</v>
      </c>
      <c r="N40" s="6">
        <v>12.0</v>
      </c>
      <c r="O40" s="6">
        <v>12.0</v>
      </c>
      <c r="P40" s="6">
        <v>4.0</v>
      </c>
      <c r="Q40" s="6">
        <v>0.0</v>
      </c>
      <c r="R40" s="6">
        <v>209.0</v>
      </c>
      <c r="S40" s="6">
        <v>68.0</v>
      </c>
      <c r="T40" s="6">
        <v>7.483253588516747</v>
      </c>
      <c r="U40" s="6">
        <v>39.0</v>
      </c>
    </row>
    <row r="41">
      <c r="A41" s="13" t="s">
        <v>124</v>
      </c>
      <c r="B41" s="13" t="s">
        <v>125</v>
      </c>
      <c r="C41" s="13">
        <v>4.0</v>
      </c>
      <c r="D41" s="13">
        <v>-8.0</v>
      </c>
      <c r="E41" s="13">
        <v>4.0</v>
      </c>
      <c r="F41" s="13">
        <v>0.0</v>
      </c>
      <c r="G41" s="13">
        <v>28.0</v>
      </c>
      <c r="H41" s="13">
        <v>8.0</v>
      </c>
      <c r="I41" s="13">
        <v>12.0</v>
      </c>
      <c r="J41" s="13">
        <v>16.0</v>
      </c>
      <c r="K41" s="13">
        <v>12.0</v>
      </c>
      <c r="L41" s="13">
        <v>4.0</v>
      </c>
      <c r="M41" s="13">
        <v>12.0</v>
      </c>
      <c r="N41" s="13">
        <v>12.0</v>
      </c>
      <c r="O41" s="13">
        <v>4.0</v>
      </c>
      <c r="P41" s="13">
        <v>0.0</v>
      </c>
      <c r="Q41" s="13">
        <v>4.0</v>
      </c>
      <c r="R41" s="13">
        <v>345.0</v>
      </c>
      <c r="S41" s="13">
        <v>112.0</v>
      </c>
      <c r="T41" s="13">
        <v>7.466666666666667</v>
      </c>
      <c r="U41" s="13">
        <v>40.0</v>
      </c>
    </row>
    <row r="42">
      <c r="A42" s="6" t="s">
        <v>224</v>
      </c>
      <c r="B42" s="6" t="s">
        <v>225</v>
      </c>
      <c r="C42" s="6">
        <v>20.0</v>
      </c>
      <c r="D42" s="6">
        <v>8.0</v>
      </c>
      <c r="E42" s="6">
        <v>8.0</v>
      </c>
      <c r="F42" s="6">
        <v>0.0</v>
      </c>
      <c r="G42" s="6">
        <v>16.0</v>
      </c>
      <c r="H42" s="6">
        <v>8.0</v>
      </c>
      <c r="I42" s="6">
        <v>12.0</v>
      </c>
      <c r="J42" s="6">
        <v>8.0</v>
      </c>
      <c r="K42" s="6">
        <v>4.0</v>
      </c>
      <c r="L42" s="6">
        <v>4.0</v>
      </c>
      <c r="M42" s="6">
        <v>0.0</v>
      </c>
      <c r="N42" s="6">
        <v>0.0</v>
      </c>
      <c r="O42" s="6">
        <v>8.0</v>
      </c>
      <c r="P42" s="6">
        <v>4.0</v>
      </c>
      <c r="Q42" s="6">
        <v>4.0</v>
      </c>
      <c r="R42" s="6">
        <v>322.0</v>
      </c>
      <c r="S42" s="6">
        <v>104.0</v>
      </c>
      <c r="T42" s="6">
        <v>7.428571428571429</v>
      </c>
      <c r="U42" s="6">
        <v>41.0</v>
      </c>
    </row>
    <row r="43">
      <c r="A43" s="13" t="s">
        <v>43</v>
      </c>
      <c r="B43" s="13" t="s">
        <v>44</v>
      </c>
      <c r="C43" s="13">
        <v>24.0</v>
      </c>
      <c r="D43" s="13">
        <v>0.0</v>
      </c>
      <c r="E43" s="13">
        <v>8.0</v>
      </c>
      <c r="F43" s="13">
        <v>28.0</v>
      </c>
      <c r="G43" s="13">
        <v>0.0</v>
      </c>
      <c r="H43" s="13">
        <v>0.0</v>
      </c>
      <c r="I43" s="13">
        <v>4.0</v>
      </c>
      <c r="J43" s="13">
        <v>4.0</v>
      </c>
      <c r="K43" s="13">
        <v>0.0</v>
      </c>
      <c r="L43" s="13">
        <v>16.0</v>
      </c>
      <c r="M43" s="13">
        <v>-4.0</v>
      </c>
      <c r="N43" s="13">
        <v>8.0</v>
      </c>
      <c r="O43" s="13">
        <v>8.0</v>
      </c>
      <c r="P43" s="13">
        <v>4.0</v>
      </c>
      <c r="Q43" s="13">
        <v>8.0</v>
      </c>
      <c r="R43" s="13">
        <v>345.0</v>
      </c>
      <c r="S43" s="13">
        <v>108.0</v>
      </c>
      <c r="T43" s="13">
        <v>7.2</v>
      </c>
      <c r="U43" s="13">
        <v>42.0</v>
      </c>
    </row>
    <row r="44">
      <c r="A44" s="6" t="s">
        <v>113</v>
      </c>
      <c r="B44" s="6" t="s">
        <v>114</v>
      </c>
      <c r="C44" s="6">
        <v>8.0</v>
      </c>
      <c r="D44" s="6">
        <v>12.0</v>
      </c>
      <c r="E44" s="6">
        <v>12.0</v>
      </c>
      <c r="F44" s="6">
        <v>4.0</v>
      </c>
      <c r="G44" s="6">
        <v>4.0</v>
      </c>
      <c r="H44" s="6">
        <v>4.0</v>
      </c>
      <c r="I44" s="6">
        <v>12.0</v>
      </c>
      <c r="J44" s="6">
        <v>8.0</v>
      </c>
      <c r="K44" s="6">
        <v>4.0</v>
      </c>
      <c r="L44" s="6">
        <v>4.0</v>
      </c>
      <c r="M44" s="6">
        <v>4.0</v>
      </c>
      <c r="N44" s="6">
        <v>8.0</v>
      </c>
      <c r="O44" s="6">
        <v>8.0</v>
      </c>
      <c r="P44" s="6">
        <v>12.0</v>
      </c>
      <c r="Q44" s="6">
        <v>0.0</v>
      </c>
      <c r="R44" s="6">
        <v>334.0</v>
      </c>
      <c r="S44" s="6">
        <v>104.0</v>
      </c>
      <c r="T44" s="6">
        <v>7.161676646706587</v>
      </c>
      <c r="U44" s="6">
        <v>43.0</v>
      </c>
    </row>
    <row r="45">
      <c r="A45" s="13" t="s">
        <v>87</v>
      </c>
      <c r="B45" s="13" t="s">
        <v>79</v>
      </c>
      <c r="C45" s="13">
        <v>0.0</v>
      </c>
      <c r="D45" s="13">
        <v>0.0</v>
      </c>
      <c r="E45" s="13">
        <v>8.0</v>
      </c>
      <c r="F45" s="13">
        <v>8.0</v>
      </c>
      <c r="G45" s="13">
        <v>20.0</v>
      </c>
      <c r="H45" s="13">
        <v>4.0</v>
      </c>
      <c r="I45" s="13">
        <v>-4.0</v>
      </c>
      <c r="J45" s="13">
        <v>4.0</v>
      </c>
      <c r="K45" s="13">
        <v>8.0</v>
      </c>
      <c r="L45" s="13">
        <v>16.0</v>
      </c>
      <c r="M45" s="13">
        <v>4.0</v>
      </c>
      <c r="N45" s="13">
        <v>4.0</v>
      </c>
      <c r="O45" s="13">
        <v>12.0</v>
      </c>
      <c r="P45" s="13">
        <v>8.0</v>
      </c>
      <c r="Q45" s="13">
        <v>8.0</v>
      </c>
      <c r="R45" s="13">
        <v>323.0</v>
      </c>
      <c r="S45" s="13">
        <v>100.0</v>
      </c>
      <c r="T45" s="13">
        <v>7.120743034055727</v>
      </c>
      <c r="U45" s="13">
        <v>44.0</v>
      </c>
    </row>
    <row r="46">
      <c r="A46" s="6" t="s">
        <v>211</v>
      </c>
      <c r="B46" s="6" t="s">
        <v>198</v>
      </c>
      <c r="C46" s="6">
        <v>4.0</v>
      </c>
      <c r="D46" s="6">
        <v>4.0</v>
      </c>
      <c r="E46" s="6">
        <v>4.0</v>
      </c>
      <c r="F46" s="6">
        <v>12.0</v>
      </c>
      <c r="G46" s="6">
        <v>4.0</v>
      </c>
      <c r="H46" s="6">
        <v>4.0</v>
      </c>
      <c r="I46" s="6">
        <v>0.0</v>
      </c>
      <c r="J46" s="6">
        <v>12.0</v>
      </c>
      <c r="K46" s="6">
        <v>12.0</v>
      </c>
      <c r="L46" s="6">
        <v>8.0</v>
      </c>
      <c r="M46" s="6">
        <v>4.0</v>
      </c>
      <c r="N46" s="6">
        <v>16.0</v>
      </c>
      <c r="O46" s="6">
        <v>0.0</v>
      </c>
      <c r="P46" s="6">
        <v>4.0</v>
      </c>
      <c r="Q46" s="6">
        <v>0.0</v>
      </c>
      <c r="R46" s="6">
        <v>299.0</v>
      </c>
      <c r="S46" s="6">
        <v>88.0</v>
      </c>
      <c r="T46" s="6">
        <v>6.769230769230769</v>
      </c>
      <c r="U46" s="6">
        <v>45.0</v>
      </c>
    </row>
    <row r="47">
      <c r="A47" s="13" t="s">
        <v>323</v>
      </c>
      <c r="B47" s="13" t="s">
        <v>318</v>
      </c>
      <c r="C47" s="13">
        <v>0.0</v>
      </c>
      <c r="D47" s="13">
        <v>8.0</v>
      </c>
      <c r="E47" s="13">
        <v>8.0</v>
      </c>
      <c r="F47" s="13">
        <v>4.0</v>
      </c>
      <c r="G47" s="13">
        <v>0.0</v>
      </c>
      <c r="H47" s="13">
        <v>8.0</v>
      </c>
      <c r="I47" s="13">
        <v>4.0</v>
      </c>
      <c r="J47" s="13">
        <v>8.0</v>
      </c>
      <c r="K47" s="13">
        <v>4.0</v>
      </c>
      <c r="L47" s="13">
        <v>8.0</v>
      </c>
      <c r="M47" s="13">
        <v>8.0</v>
      </c>
      <c r="N47" s="13">
        <v>8.0</v>
      </c>
      <c r="O47" s="13">
        <v>0.0</v>
      </c>
      <c r="P47" s="13">
        <v>8.0</v>
      </c>
      <c r="Q47" s="13">
        <v>4.0</v>
      </c>
      <c r="R47" s="13">
        <v>286.0</v>
      </c>
      <c r="S47" s="13">
        <v>80.0</v>
      </c>
      <c r="T47" s="13">
        <v>6.433566433566433</v>
      </c>
      <c r="U47" s="13">
        <v>46.0</v>
      </c>
    </row>
    <row r="48">
      <c r="A48" s="6" t="s">
        <v>191</v>
      </c>
      <c r="B48" s="6" t="s">
        <v>186</v>
      </c>
      <c r="C48" s="6">
        <v>0.0</v>
      </c>
      <c r="D48" s="6">
        <v>4.0</v>
      </c>
      <c r="E48" s="6">
        <v>4.0</v>
      </c>
      <c r="F48" s="6">
        <v>-4.0</v>
      </c>
      <c r="G48" s="6">
        <v>4.0</v>
      </c>
      <c r="H48" s="6">
        <v>8.0</v>
      </c>
      <c r="I48" s="6">
        <v>16.0</v>
      </c>
      <c r="J48" s="6">
        <v>4.0</v>
      </c>
      <c r="K48" s="6">
        <v>12.0</v>
      </c>
      <c r="L48" s="6">
        <v>8.0</v>
      </c>
      <c r="M48" s="6">
        <v>12.0</v>
      </c>
      <c r="N48" s="6">
        <v>12.0</v>
      </c>
      <c r="O48" s="6">
        <v>4.0</v>
      </c>
      <c r="P48" s="6">
        <v>4.0</v>
      </c>
      <c r="Q48" s="6">
        <v>8.0</v>
      </c>
      <c r="R48" s="6">
        <v>345.0</v>
      </c>
      <c r="S48" s="6">
        <v>96.0</v>
      </c>
      <c r="T48" s="6">
        <v>6.4</v>
      </c>
      <c r="U48" s="6">
        <v>47.0</v>
      </c>
    </row>
    <row r="49">
      <c r="A49" s="13" t="s">
        <v>325</v>
      </c>
      <c r="B49" s="13" t="s">
        <v>318</v>
      </c>
      <c r="C49" s="13">
        <v>0.0</v>
      </c>
      <c r="D49" s="13">
        <v>0.0</v>
      </c>
      <c r="E49" s="13">
        <v>0.0</v>
      </c>
      <c r="F49" s="13">
        <v>4.0</v>
      </c>
      <c r="G49" s="13">
        <v>0.0</v>
      </c>
      <c r="H49" s="13">
        <v>4.0</v>
      </c>
      <c r="I49" s="13">
        <v>4.0</v>
      </c>
      <c r="J49" s="13">
        <v>0.0</v>
      </c>
      <c r="K49" s="13">
        <v>16.0</v>
      </c>
      <c r="L49" s="13">
        <v>-4.0</v>
      </c>
      <c r="M49" s="13">
        <v>8.0</v>
      </c>
      <c r="N49" s="13">
        <v>8.0</v>
      </c>
      <c r="O49" s="13">
        <v>8.0</v>
      </c>
      <c r="P49" s="13">
        <v>12.0</v>
      </c>
      <c r="Q49" s="13">
        <v>4.0</v>
      </c>
      <c r="R49" s="13">
        <v>230.0</v>
      </c>
      <c r="S49" s="13">
        <v>64.0</v>
      </c>
      <c r="T49" s="13">
        <v>6.4</v>
      </c>
      <c r="U49" s="13">
        <v>47.0</v>
      </c>
    </row>
    <row r="50">
      <c r="A50" s="6" t="s">
        <v>109</v>
      </c>
      <c r="B50" s="6" t="s">
        <v>101</v>
      </c>
      <c r="C50" s="6">
        <v>4.0</v>
      </c>
      <c r="D50" s="6">
        <v>16.0</v>
      </c>
      <c r="E50" s="6">
        <v>0.0</v>
      </c>
      <c r="F50" s="6">
        <v>4.0</v>
      </c>
      <c r="G50" s="6">
        <v>12.0</v>
      </c>
      <c r="H50" s="6">
        <v>4.0</v>
      </c>
      <c r="I50" s="6">
        <v>8.0</v>
      </c>
      <c r="J50" s="6">
        <v>0.0</v>
      </c>
      <c r="K50" s="6">
        <v>4.0</v>
      </c>
      <c r="L50" s="6">
        <v>4.0</v>
      </c>
      <c r="M50" s="6">
        <v>4.0</v>
      </c>
      <c r="N50" s="6">
        <v>8.0</v>
      </c>
      <c r="O50" s="6">
        <v>0.0</v>
      </c>
      <c r="P50" s="6">
        <v>4.0</v>
      </c>
      <c r="Q50" s="6">
        <v>4.0</v>
      </c>
      <c r="R50" s="6">
        <v>277.0</v>
      </c>
      <c r="S50" s="6">
        <v>76.0</v>
      </c>
      <c r="T50" s="6">
        <v>6.310469314079422</v>
      </c>
      <c r="U50" s="6">
        <v>49.0</v>
      </c>
    </row>
    <row r="51">
      <c r="A51" s="13" t="s">
        <v>62</v>
      </c>
      <c r="B51" s="13" t="s">
        <v>55</v>
      </c>
      <c r="C51" s="13">
        <v>8.0</v>
      </c>
      <c r="D51" s="13">
        <v>20.0</v>
      </c>
      <c r="E51" s="13">
        <v>8.0</v>
      </c>
      <c r="F51" s="13">
        <v>0.0</v>
      </c>
      <c r="G51" s="13">
        <v>0.0</v>
      </c>
      <c r="H51" s="13">
        <v>4.0</v>
      </c>
      <c r="I51" s="13">
        <v>4.0</v>
      </c>
      <c r="J51" s="13">
        <v>8.0</v>
      </c>
      <c r="K51" s="13">
        <v>8.0</v>
      </c>
      <c r="L51" s="13">
        <v>12.0</v>
      </c>
      <c r="M51" s="13">
        <v>0.0</v>
      </c>
      <c r="N51" s="13">
        <v>0.0</v>
      </c>
      <c r="O51" s="13">
        <v>0.0</v>
      </c>
      <c r="P51" s="13">
        <v>4.0</v>
      </c>
      <c r="Q51" s="13">
        <v>12.0</v>
      </c>
      <c r="R51" s="13">
        <v>322.0</v>
      </c>
      <c r="S51" s="13">
        <v>88.0</v>
      </c>
      <c r="T51" s="13">
        <v>6.285714285714286</v>
      </c>
      <c r="U51" s="13">
        <v>50.0</v>
      </c>
    </row>
    <row r="52">
      <c r="A52" s="6" t="s">
        <v>95</v>
      </c>
      <c r="B52" s="6" t="s">
        <v>91</v>
      </c>
      <c r="C52" s="6">
        <v>8.0</v>
      </c>
      <c r="D52" s="6">
        <v>0.0</v>
      </c>
      <c r="E52" s="6">
        <v>4.0</v>
      </c>
      <c r="F52" s="6">
        <v>8.0</v>
      </c>
      <c r="G52" s="6">
        <v>-4.0</v>
      </c>
      <c r="H52" s="6">
        <v>4.0</v>
      </c>
      <c r="I52" s="6">
        <v>4.0</v>
      </c>
      <c r="J52" s="6">
        <v>8.0</v>
      </c>
      <c r="K52" s="6">
        <v>20.0</v>
      </c>
      <c r="L52" s="6">
        <v>12.0</v>
      </c>
      <c r="M52" s="6">
        <v>12.0</v>
      </c>
      <c r="N52" s="6">
        <v>0.0</v>
      </c>
      <c r="O52" s="6">
        <v>12.0</v>
      </c>
      <c r="P52" s="6">
        <v>0.0</v>
      </c>
      <c r="Q52" s="6">
        <v>4.0</v>
      </c>
      <c r="R52" s="6">
        <v>345.0</v>
      </c>
      <c r="S52" s="6">
        <v>92.0</v>
      </c>
      <c r="T52" s="6">
        <v>6.133333333333334</v>
      </c>
      <c r="U52" s="6">
        <v>51.0</v>
      </c>
    </row>
    <row r="53">
      <c r="A53" s="13" t="s">
        <v>82</v>
      </c>
      <c r="B53" s="13" t="s">
        <v>79</v>
      </c>
      <c r="C53" s="13">
        <v>4.0</v>
      </c>
      <c r="D53" s="13">
        <v>8.0</v>
      </c>
      <c r="E53" s="13">
        <v>0.0</v>
      </c>
      <c r="F53" s="13">
        <v>0.0</v>
      </c>
      <c r="G53" s="13">
        <v>-4.0</v>
      </c>
      <c r="H53" s="13">
        <v>8.0</v>
      </c>
      <c r="I53" s="13">
        <v>4.0</v>
      </c>
      <c r="J53" s="13">
        <v>20.0</v>
      </c>
      <c r="K53" s="13">
        <v>12.0</v>
      </c>
      <c r="L53" s="13">
        <v>-4.0</v>
      </c>
      <c r="M53" s="13">
        <v>8.0</v>
      </c>
      <c r="N53" s="13">
        <v>4.0</v>
      </c>
      <c r="O53" s="13">
        <v>8.0</v>
      </c>
      <c r="P53" s="13">
        <v>0.0</v>
      </c>
      <c r="Q53" s="13">
        <v>8.0</v>
      </c>
      <c r="R53" s="13">
        <v>299.0</v>
      </c>
      <c r="S53" s="13">
        <v>76.0</v>
      </c>
      <c r="T53" s="13">
        <v>5.846153846153846</v>
      </c>
      <c r="U53" s="13">
        <v>52.0</v>
      </c>
    </row>
    <row r="54">
      <c r="A54" s="6" t="s">
        <v>330</v>
      </c>
      <c r="B54" s="6" t="s">
        <v>328</v>
      </c>
      <c r="C54" s="6">
        <v>4.0</v>
      </c>
      <c r="D54" s="6">
        <v>4.0</v>
      </c>
      <c r="E54" s="6">
        <v>4.0</v>
      </c>
      <c r="F54" s="6">
        <v>0.0</v>
      </c>
      <c r="G54" s="6">
        <v>4.0</v>
      </c>
      <c r="H54" s="6">
        <v>4.0</v>
      </c>
      <c r="I54" s="6">
        <v>12.0</v>
      </c>
      <c r="J54" s="6">
        <v>4.0</v>
      </c>
      <c r="K54" s="6">
        <v>8.0</v>
      </c>
      <c r="L54" s="6">
        <v>8.0</v>
      </c>
      <c r="M54" s="6">
        <v>8.0</v>
      </c>
      <c r="N54" s="6">
        <v>0.0</v>
      </c>
      <c r="O54" s="6">
        <v>4.0</v>
      </c>
      <c r="P54" s="6">
        <v>0.0</v>
      </c>
      <c r="Q54" s="6">
        <v>0.0</v>
      </c>
      <c r="R54" s="6">
        <v>254.0</v>
      </c>
      <c r="S54" s="6">
        <v>64.0</v>
      </c>
      <c r="T54" s="6">
        <v>5.7952755905511815</v>
      </c>
      <c r="U54" s="6">
        <v>53.0</v>
      </c>
    </row>
    <row r="55">
      <c r="A55" s="13" t="s">
        <v>67</v>
      </c>
      <c r="B55" s="13" t="s">
        <v>64</v>
      </c>
      <c r="C55" s="13">
        <v>0.0</v>
      </c>
      <c r="D55" s="13">
        <v>8.0</v>
      </c>
      <c r="E55" s="13">
        <v>0.0</v>
      </c>
      <c r="F55" s="13">
        <v>0.0</v>
      </c>
      <c r="G55" s="13">
        <v>0.0</v>
      </c>
      <c r="H55" s="13">
        <v>4.0</v>
      </c>
      <c r="I55" s="13">
        <v>8.0</v>
      </c>
      <c r="J55" s="13">
        <v>0.0</v>
      </c>
      <c r="K55" s="13">
        <v>0.0</v>
      </c>
      <c r="L55" s="13">
        <v>0.0</v>
      </c>
      <c r="M55" s="13">
        <v>8.0</v>
      </c>
      <c r="N55" s="13">
        <v>0.0</v>
      </c>
      <c r="O55" s="13">
        <v>8.0</v>
      </c>
      <c r="P55" s="13">
        <v>0.0</v>
      </c>
      <c r="Q55" s="13">
        <v>12.0</v>
      </c>
      <c r="R55" s="13">
        <v>195.0</v>
      </c>
      <c r="S55" s="13">
        <v>48.0</v>
      </c>
      <c r="T55" s="13">
        <v>5.661538461538462</v>
      </c>
      <c r="U55" s="13">
        <v>54.0</v>
      </c>
    </row>
    <row r="56">
      <c r="A56" s="6" t="s">
        <v>203</v>
      </c>
      <c r="B56" s="6" t="s">
        <v>198</v>
      </c>
      <c r="C56" s="6">
        <v>8.0</v>
      </c>
      <c r="D56" s="6">
        <v>8.0</v>
      </c>
      <c r="E56" s="6">
        <v>0.0</v>
      </c>
      <c r="F56" s="6">
        <v>4.0</v>
      </c>
      <c r="G56" s="6">
        <v>0.0</v>
      </c>
      <c r="H56" s="6">
        <v>4.0</v>
      </c>
      <c r="I56" s="6">
        <v>8.0</v>
      </c>
      <c r="J56" s="6">
        <v>4.0</v>
      </c>
      <c r="K56" s="6">
        <v>8.0</v>
      </c>
      <c r="L56" s="6">
        <v>8.0</v>
      </c>
      <c r="M56" s="6">
        <v>0.0</v>
      </c>
      <c r="N56" s="6">
        <v>4.0</v>
      </c>
      <c r="O56" s="6">
        <v>8.0</v>
      </c>
      <c r="P56" s="6">
        <v>12.0</v>
      </c>
      <c r="Q56" s="6">
        <v>8.0</v>
      </c>
      <c r="R56" s="6">
        <v>345.0</v>
      </c>
      <c r="S56" s="6">
        <v>84.0</v>
      </c>
      <c r="T56" s="6">
        <v>5.6</v>
      </c>
      <c r="U56" s="6">
        <v>55.0</v>
      </c>
    </row>
    <row r="57">
      <c r="A57" s="13" t="s">
        <v>98</v>
      </c>
      <c r="B57" s="13" t="s">
        <v>91</v>
      </c>
      <c r="C57" s="13">
        <v>4.0</v>
      </c>
      <c r="D57" s="13">
        <v>16.0</v>
      </c>
      <c r="E57" s="13">
        <v>8.0</v>
      </c>
      <c r="F57" s="13">
        <v>0.0</v>
      </c>
      <c r="G57" s="13">
        <v>4.0</v>
      </c>
      <c r="H57" s="13">
        <v>4.0</v>
      </c>
      <c r="I57" s="13">
        <v>0.0</v>
      </c>
      <c r="J57" s="13">
        <v>0.0</v>
      </c>
      <c r="K57" s="13">
        <v>0.0</v>
      </c>
      <c r="L57" s="13">
        <v>4.0</v>
      </c>
      <c r="M57" s="13">
        <v>4.0</v>
      </c>
      <c r="N57" s="13">
        <v>4.0</v>
      </c>
      <c r="O57" s="13">
        <v>16.0</v>
      </c>
      <c r="P57" s="13">
        <v>8.0</v>
      </c>
      <c r="Q57" s="13">
        <v>0.0</v>
      </c>
      <c r="R57" s="13">
        <v>299.0</v>
      </c>
      <c r="S57" s="13">
        <v>72.0</v>
      </c>
      <c r="T57" s="13">
        <v>5.538461538461538</v>
      </c>
      <c r="U57" s="13">
        <v>56.0</v>
      </c>
    </row>
    <row r="58">
      <c r="A58" s="6" t="s">
        <v>327</v>
      </c>
      <c r="B58" s="6" t="s">
        <v>328</v>
      </c>
      <c r="C58" s="6">
        <v>4.0</v>
      </c>
      <c r="D58" s="6">
        <v>0.0</v>
      </c>
      <c r="E58" s="6">
        <v>12.0</v>
      </c>
      <c r="F58" s="6">
        <v>0.0</v>
      </c>
      <c r="G58" s="6">
        <v>4.0</v>
      </c>
      <c r="H58" s="6">
        <v>4.0</v>
      </c>
      <c r="I58" s="6">
        <v>0.0</v>
      </c>
      <c r="J58" s="6">
        <v>8.0</v>
      </c>
      <c r="K58" s="6">
        <v>4.0</v>
      </c>
      <c r="L58" s="6">
        <v>8.0</v>
      </c>
      <c r="M58" s="6">
        <v>8.0</v>
      </c>
      <c r="N58" s="6">
        <v>0.0</v>
      </c>
      <c r="O58" s="6">
        <v>16.0</v>
      </c>
      <c r="P58" s="6">
        <v>4.0</v>
      </c>
      <c r="Q58" s="6">
        <v>0.0</v>
      </c>
      <c r="R58" s="6">
        <v>299.0</v>
      </c>
      <c r="S58" s="6">
        <v>72.0</v>
      </c>
      <c r="T58" s="6">
        <v>5.538461538461538</v>
      </c>
      <c r="U58" s="6">
        <v>56.0</v>
      </c>
    </row>
    <row r="59">
      <c r="A59" s="13" t="s">
        <v>320</v>
      </c>
      <c r="B59" s="13" t="s">
        <v>318</v>
      </c>
      <c r="C59" s="13">
        <v>12.0</v>
      </c>
      <c r="D59" s="13">
        <v>4.0</v>
      </c>
      <c r="E59" s="13">
        <v>0.0</v>
      </c>
      <c r="F59" s="13">
        <v>4.0</v>
      </c>
      <c r="G59" s="13">
        <v>0.0</v>
      </c>
      <c r="H59" s="13">
        <v>8.0</v>
      </c>
      <c r="I59" s="13">
        <v>0.0</v>
      </c>
      <c r="J59" s="13">
        <v>8.0</v>
      </c>
      <c r="K59" s="13">
        <v>4.0</v>
      </c>
      <c r="L59" s="13">
        <v>12.0</v>
      </c>
      <c r="M59" s="13">
        <v>0.0</v>
      </c>
      <c r="N59" s="13">
        <v>0.0</v>
      </c>
      <c r="O59" s="13">
        <v>0.0</v>
      </c>
      <c r="P59" s="13">
        <v>0.0</v>
      </c>
      <c r="Q59" s="13">
        <v>0.0</v>
      </c>
      <c r="R59" s="13">
        <v>219.0</v>
      </c>
      <c r="S59" s="13">
        <v>52.0</v>
      </c>
      <c r="T59" s="13">
        <v>5.461187214611872</v>
      </c>
      <c r="U59" s="13">
        <v>58.0</v>
      </c>
    </row>
    <row r="60">
      <c r="A60" s="6" t="s">
        <v>246</v>
      </c>
      <c r="B60" s="6" t="s">
        <v>240</v>
      </c>
      <c r="C60" s="6">
        <v>4.0</v>
      </c>
      <c r="D60" s="6">
        <v>0.0</v>
      </c>
      <c r="E60" s="6">
        <v>0.0</v>
      </c>
      <c r="F60" s="6">
        <v>4.0</v>
      </c>
      <c r="G60" s="6">
        <v>0.0</v>
      </c>
      <c r="H60" s="6">
        <v>4.0</v>
      </c>
      <c r="I60" s="6">
        <v>4.0</v>
      </c>
      <c r="J60" s="6">
        <v>0.0</v>
      </c>
      <c r="K60" s="6">
        <v>8.0</v>
      </c>
      <c r="L60" s="6">
        <v>4.0</v>
      </c>
      <c r="M60" s="6">
        <v>8.0</v>
      </c>
      <c r="N60" s="6">
        <v>4.0</v>
      </c>
      <c r="O60" s="6">
        <v>4.0</v>
      </c>
      <c r="P60" s="6">
        <v>20.0</v>
      </c>
      <c r="Q60" s="6">
        <v>16.0</v>
      </c>
      <c r="R60" s="6">
        <v>345.0</v>
      </c>
      <c r="S60" s="6">
        <v>80.0</v>
      </c>
      <c r="T60" s="6">
        <v>5.333333333333333</v>
      </c>
      <c r="U60" s="6">
        <v>59.0</v>
      </c>
    </row>
    <row r="61">
      <c r="A61" s="13" t="s">
        <v>121</v>
      </c>
      <c r="B61" s="13" t="s">
        <v>114</v>
      </c>
      <c r="C61" s="13">
        <v>4.0</v>
      </c>
      <c r="D61" s="13">
        <v>8.0</v>
      </c>
      <c r="E61" s="13">
        <v>0.0</v>
      </c>
      <c r="F61" s="13">
        <v>0.0</v>
      </c>
      <c r="G61" s="13">
        <v>16.0</v>
      </c>
      <c r="H61" s="13">
        <v>0.0</v>
      </c>
      <c r="I61" s="13">
        <v>-4.0</v>
      </c>
      <c r="J61" s="13">
        <v>4.0</v>
      </c>
      <c r="K61" s="13">
        <v>8.0</v>
      </c>
      <c r="L61" s="13">
        <v>0.0</v>
      </c>
      <c r="M61" s="13">
        <v>4.0</v>
      </c>
      <c r="N61" s="13">
        <v>4.0</v>
      </c>
      <c r="O61" s="13">
        <v>8.0</v>
      </c>
      <c r="P61" s="13">
        <v>12.0</v>
      </c>
      <c r="Q61" s="13">
        <v>8.0</v>
      </c>
      <c r="R61" s="13">
        <v>311.0</v>
      </c>
      <c r="S61" s="13">
        <v>72.0</v>
      </c>
      <c r="T61" s="13">
        <v>5.32475884244373</v>
      </c>
      <c r="U61" s="13">
        <v>60.0</v>
      </c>
    </row>
    <row r="62">
      <c r="A62" s="6" t="s">
        <v>262</v>
      </c>
      <c r="B62" s="6" t="s">
        <v>263</v>
      </c>
      <c r="C62" s="6">
        <v>0.0</v>
      </c>
      <c r="D62" s="6">
        <v>8.0</v>
      </c>
      <c r="E62" s="6">
        <v>0.0</v>
      </c>
      <c r="F62" s="6">
        <v>8.0</v>
      </c>
      <c r="G62" s="6">
        <v>0.0</v>
      </c>
      <c r="H62" s="6">
        <v>4.0</v>
      </c>
      <c r="I62" s="6">
        <v>4.0</v>
      </c>
      <c r="J62" s="6">
        <v>12.0</v>
      </c>
      <c r="K62" s="6">
        <v>4.0</v>
      </c>
      <c r="L62" s="6">
        <v>12.0</v>
      </c>
      <c r="M62" s="6">
        <v>8.0</v>
      </c>
      <c r="N62" s="6">
        <v>0.0</v>
      </c>
      <c r="O62" s="6">
        <v>12.0</v>
      </c>
      <c r="P62" s="6">
        <v>0.0</v>
      </c>
      <c r="Q62" s="6">
        <v>4.0</v>
      </c>
      <c r="R62" s="6">
        <v>334.0</v>
      </c>
      <c r="S62" s="6">
        <v>76.0</v>
      </c>
      <c r="T62" s="6">
        <v>5.233532934131737</v>
      </c>
      <c r="U62" s="6">
        <v>61.0</v>
      </c>
    </row>
    <row r="63">
      <c r="A63" s="13" t="s">
        <v>229</v>
      </c>
      <c r="B63" s="13" t="s">
        <v>225</v>
      </c>
      <c r="C63" s="13">
        <v>4.0</v>
      </c>
      <c r="D63" s="13">
        <v>4.0</v>
      </c>
      <c r="E63" s="13">
        <v>4.0</v>
      </c>
      <c r="F63" s="13">
        <v>12.0</v>
      </c>
      <c r="G63" s="13">
        <v>4.0</v>
      </c>
      <c r="H63" s="13">
        <v>0.0</v>
      </c>
      <c r="I63" s="13">
        <v>0.0</v>
      </c>
      <c r="J63" s="13">
        <v>0.0</v>
      </c>
      <c r="K63" s="13">
        <v>4.0</v>
      </c>
      <c r="L63" s="13">
        <v>0.0</v>
      </c>
      <c r="M63" s="13">
        <v>4.0</v>
      </c>
      <c r="N63" s="13">
        <v>20.0</v>
      </c>
      <c r="O63" s="13">
        <v>0.0</v>
      </c>
      <c r="P63" s="13">
        <v>0.0</v>
      </c>
      <c r="Q63" s="13">
        <v>4.0</v>
      </c>
      <c r="R63" s="13">
        <v>268.0</v>
      </c>
      <c r="S63" s="13">
        <v>60.0</v>
      </c>
      <c r="T63" s="13">
        <v>5.149253731343284</v>
      </c>
      <c r="U63" s="13">
        <v>62.0</v>
      </c>
    </row>
    <row r="64">
      <c r="A64" s="6" t="s">
        <v>329</v>
      </c>
      <c r="B64" s="6" t="s">
        <v>328</v>
      </c>
      <c r="C64" s="6">
        <v>0.0</v>
      </c>
      <c r="D64" s="6">
        <v>4.0</v>
      </c>
      <c r="E64" s="6">
        <v>20.0</v>
      </c>
      <c r="F64" s="6">
        <v>4.0</v>
      </c>
      <c r="G64" s="6">
        <v>-4.0</v>
      </c>
      <c r="H64" s="6">
        <v>0.0</v>
      </c>
      <c r="I64" s="6">
        <v>4.0</v>
      </c>
      <c r="J64" s="6">
        <v>4.0</v>
      </c>
      <c r="K64" s="6">
        <v>0.0</v>
      </c>
      <c r="L64" s="6">
        <v>4.0</v>
      </c>
      <c r="M64" s="6">
        <v>0.0</v>
      </c>
      <c r="N64" s="6">
        <v>0.0</v>
      </c>
      <c r="O64" s="6">
        <v>8.0</v>
      </c>
      <c r="P64" s="6">
        <v>8.0</v>
      </c>
      <c r="Q64" s="6">
        <v>4.0</v>
      </c>
      <c r="R64" s="6">
        <v>254.0</v>
      </c>
      <c r="S64" s="6">
        <v>56.0</v>
      </c>
      <c r="T64" s="6">
        <v>5.070866141732283</v>
      </c>
      <c r="U64" s="6">
        <v>63.0</v>
      </c>
    </row>
    <row r="65">
      <c r="A65" s="13" t="s">
        <v>50</v>
      </c>
      <c r="B65" s="13" t="s">
        <v>44</v>
      </c>
      <c r="C65" s="13">
        <v>4.0</v>
      </c>
      <c r="D65" s="13">
        <v>0.0</v>
      </c>
      <c r="E65" s="13">
        <v>12.0</v>
      </c>
      <c r="F65" s="13">
        <v>0.0</v>
      </c>
      <c r="G65" s="13">
        <v>0.0</v>
      </c>
      <c r="H65" s="13">
        <v>0.0</v>
      </c>
      <c r="I65" s="13">
        <v>4.0</v>
      </c>
      <c r="J65" s="13">
        <v>0.0</v>
      </c>
      <c r="K65" s="13">
        <v>0.0</v>
      </c>
      <c r="L65" s="13">
        <v>0.0</v>
      </c>
      <c r="M65" s="13">
        <v>0.0</v>
      </c>
      <c r="N65" s="13">
        <v>8.0</v>
      </c>
      <c r="O65" s="13">
        <v>0.0</v>
      </c>
      <c r="P65" s="13">
        <v>0.0</v>
      </c>
      <c r="Q65" s="13">
        <v>12.0</v>
      </c>
      <c r="R65" s="13">
        <v>184.0</v>
      </c>
      <c r="S65" s="13">
        <v>40.0</v>
      </c>
      <c r="T65" s="13">
        <v>5.0</v>
      </c>
      <c r="U65" s="13">
        <v>64.0</v>
      </c>
    </row>
    <row r="66">
      <c r="A66" s="6" t="s">
        <v>197</v>
      </c>
      <c r="B66" s="6" t="s">
        <v>198</v>
      </c>
      <c r="C66" s="6">
        <v>0.0</v>
      </c>
      <c r="D66" s="6">
        <v>20.0</v>
      </c>
      <c r="E66" s="6">
        <v>0.0</v>
      </c>
      <c r="F66" s="6">
        <v>8.0</v>
      </c>
      <c r="G66" s="6">
        <v>0.0</v>
      </c>
      <c r="H66" s="6">
        <v>0.0</v>
      </c>
      <c r="I66" s="6">
        <v>0.0</v>
      </c>
      <c r="J66" s="6">
        <v>8.0</v>
      </c>
      <c r="K66" s="6">
        <v>4.0</v>
      </c>
      <c r="L66" s="6">
        <v>0.0</v>
      </c>
      <c r="M66" s="6">
        <v>0.0</v>
      </c>
      <c r="N66" s="6">
        <v>0.0</v>
      </c>
      <c r="O66" s="6">
        <v>8.0</v>
      </c>
      <c r="P66" s="6">
        <v>8.0</v>
      </c>
      <c r="Q66" s="6">
        <v>4.0</v>
      </c>
      <c r="R66" s="6">
        <v>276.0</v>
      </c>
      <c r="S66" s="6">
        <v>60.0</v>
      </c>
      <c r="T66" s="6">
        <v>5.0</v>
      </c>
      <c r="U66" s="6">
        <v>64.0</v>
      </c>
    </row>
    <row r="67">
      <c r="A67" s="13" t="s">
        <v>274</v>
      </c>
      <c r="B67" s="13" t="s">
        <v>263</v>
      </c>
      <c r="C67" s="13">
        <v>0.0</v>
      </c>
      <c r="D67" s="13">
        <v>0.0</v>
      </c>
      <c r="E67" s="13">
        <v>4.0</v>
      </c>
      <c r="F67" s="13">
        <v>0.0</v>
      </c>
      <c r="G67" s="13">
        <v>0.0</v>
      </c>
      <c r="H67" s="13">
        <v>0.0</v>
      </c>
      <c r="I67" s="13">
        <v>0.0</v>
      </c>
      <c r="J67" s="13">
        <v>0.0</v>
      </c>
      <c r="K67" s="13">
        <v>16.0</v>
      </c>
      <c r="L67" s="13">
        <v>0.0</v>
      </c>
      <c r="M67" s="13">
        <v>4.0</v>
      </c>
      <c r="N67" s="13">
        <v>0.0</v>
      </c>
      <c r="O67" s="13">
        <v>0.0</v>
      </c>
      <c r="P67" s="13">
        <v>8.0</v>
      </c>
      <c r="Q67" s="13">
        <v>0.0</v>
      </c>
      <c r="R67" s="13">
        <v>149.0</v>
      </c>
      <c r="S67" s="13">
        <v>32.0</v>
      </c>
      <c r="T67" s="13">
        <v>4.939597315436242</v>
      </c>
      <c r="U67" s="13">
        <v>66.0</v>
      </c>
    </row>
    <row r="68">
      <c r="A68" s="6" t="s">
        <v>36</v>
      </c>
      <c r="B68" s="6" t="s">
        <v>33</v>
      </c>
      <c r="C68" s="6">
        <v>4.0</v>
      </c>
      <c r="D68" s="6">
        <v>8.0</v>
      </c>
      <c r="E68" s="6">
        <v>0.0</v>
      </c>
      <c r="F68" s="6">
        <v>0.0</v>
      </c>
      <c r="G68" s="6">
        <v>4.0</v>
      </c>
      <c r="H68" s="6">
        <v>0.0</v>
      </c>
      <c r="I68" s="6">
        <v>8.0</v>
      </c>
      <c r="J68" s="6">
        <v>0.0</v>
      </c>
      <c r="K68" s="6">
        <v>8.0</v>
      </c>
      <c r="L68" s="6">
        <v>8.0</v>
      </c>
      <c r="M68" s="6">
        <v>8.0</v>
      </c>
      <c r="N68" s="6">
        <v>0.0</v>
      </c>
      <c r="O68" s="6">
        <v>8.0</v>
      </c>
      <c r="P68" s="6">
        <v>0.0</v>
      </c>
      <c r="Q68" s="6">
        <v>0.0</v>
      </c>
      <c r="R68" s="6">
        <v>288.0</v>
      </c>
      <c r="S68" s="6">
        <v>56.0</v>
      </c>
      <c r="T68" s="6">
        <v>4.472222222222222</v>
      </c>
      <c r="U68" s="6">
        <v>67.0</v>
      </c>
    </row>
    <row r="69">
      <c r="A69" s="13" t="s">
        <v>201</v>
      </c>
      <c r="B69" s="13" t="s">
        <v>198</v>
      </c>
      <c r="C69" s="13">
        <v>0.0</v>
      </c>
      <c r="D69" s="13">
        <v>0.0</v>
      </c>
      <c r="E69" s="13">
        <v>0.0</v>
      </c>
      <c r="F69" s="13">
        <v>0.0</v>
      </c>
      <c r="G69" s="13">
        <v>0.0</v>
      </c>
      <c r="H69" s="13">
        <v>0.0</v>
      </c>
      <c r="I69" s="13">
        <v>4.0</v>
      </c>
      <c r="J69" s="13">
        <v>0.0</v>
      </c>
      <c r="K69" s="13">
        <v>0.0</v>
      </c>
      <c r="L69" s="13">
        <v>0.0</v>
      </c>
      <c r="M69" s="13">
        <v>24.0</v>
      </c>
      <c r="N69" s="13">
        <v>0.0</v>
      </c>
      <c r="O69" s="13">
        <v>8.0</v>
      </c>
      <c r="P69" s="13">
        <v>0.0</v>
      </c>
      <c r="Q69" s="13">
        <v>8.0</v>
      </c>
      <c r="R69" s="13">
        <v>228.0</v>
      </c>
      <c r="S69" s="13">
        <v>44.0</v>
      </c>
      <c r="T69" s="13">
        <v>4.43859649122807</v>
      </c>
      <c r="U69" s="13">
        <v>68.0</v>
      </c>
    </row>
    <row r="70">
      <c r="A70" s="6" t="s">
        <v>78</v>
      </c>
      <c r="B70" s="6" t="s">
        <v>79</v>
      </c>
      <c r="C70" s="6">
        <v>0.0</v>
      </c>
      <c r="D70" s="6">
        <v>8.0</v>
      </c>
      <c r="E70" s="6">
        <v>12.0</v>
      </c>
      <c r="F70" s="6">
        <v>0.0</v>
      </c>
      <c r="G70" s="6">
        <v>-4.0</v>
      </c>
      <c r="H70" s="6">
        <v>0.0</v>
      </c>
      <c r="I70" s="6">
        <v>4.0</v>
      </c>
      <c r="J70" s="6">
        <v>0.0</v>
      </c>
      <c r="K70" s="6">
        <v>0.0</v>
      </c>
      <c r="L70" s="6">
        <v>8.0</v>
      </c>
      <c r="M70" s="6">
        <v>12.0</v>
      </c>
      <c r="N70" s="6">
        <v>4.0</v>
      </c>
      <c r="O70" s="6">
        <v>0.0</v>
      </c>
      <c r="P70" s="6">
        <v>8.0</v>
      </c>
      <c r="Q70" s="6">
        <v>0.0</v>
      </c>
      <c r="R70" s="6">
        <v>277.0</v>
      </c>
      <c r="S70" s="6">
        <v>52.0</v>
      </c>
      <c r="T70" s="6">
        <v>4.317689530685921</v>
      </c>
      <c r="U70" s="6">
        <v>69.0</v>
      </c>
    </row>
    <row r="71">
      <c r="A71" s="13" t="s">
        <v>331</v>
      </c>
      <c r="B71" s="13" t="s">
        <v>328</v>
      </c>
      <c r="C71" s="13">
        <v>0.0</v>
      </c>
      <c r="D71" s="13">
        <v>8.0</v>
      </c>
      <c r="E71" s="13">
        <v>0.0</v>
      </c>
      <c r="F71" s="13">
        <v>4.0</v>
      </c>
      <c r="G71" s="13">
        <v>0.0</v>
      </c>
      <c r="H71" s="13">
        <v>0.0</v>
      </c>
      <c r="I71" s="13">
        <v>0.0</v>
      </c>
      <c r="J71" s="13">
        <v>0.0</v>
      </c>
      <c r="K71" s="13">
        <v>4.0</v>
      </c>
      <c r="L71" s="13">
        <v>0.0</v>
      </c>
      <c r="M71" s="13">
        <v>4.0</v>
      </c>
      <c r="N71" s="13">
        <v>4.0</v>
      </c>
      <c r="O71" s="13">
        <v>-4.0</v>
      </c>
      <c r="P71" s="13">
        <v>4.0</v>
      </c>
      <c r="Q71" s="13">
        <v>12.0</v>
      </c>
      <c r="R71" s="13">
        <v>194.0</v>
      </c>
      <c r="S71" s="13">
        <v>36.0</v>
      </c>
      <c r="T71" s="13">
        <v>4.268041237113402</v>
      </c>
      <c r="U71" s="13">
        <v>70.0</v>
      </c>
    </row>
    <row r="72">
      <c r="A72" s="6" t="s">
        <v>255</v>
      </c>
      <c r="B72" s="6" t="s">
        <v>251</v>
      </c>
      <c r="C72" s="6">
        <v>4.0</v>
      </c>
      <c r="D72" s="6">
        <v>8.0</v>
      </c>
      <c r="E72" s="6">
        <v>4.0</v>
      </c>
      <c r="F72" s="6">
        <v>8.0</v>
      </c>
      <c r="G72" s="6">
        <v>8.0</v>
      </c>
      <c r="H72" s="6">
        <v>4.0</v>
      </c>
      <c r="I72" s="6">
        <v>4.0</v>
      </c>
      <c r="J72" s="6">
        <v>0.0</v>
      </c>
      <c r="K72" s="6">
        <v>0.0</v>
      </c>
      <c r="L72" s="6">
        <v>4.0</v>
      </c>
      <c r="M72" s="6">
        <v>0.0</v>
      </c>
      <c r="N72" s="6">
        <v>0.0</v>
      </c>
      <c r="O72" s="6">
        <v>4.0</v>
      </c>
      <c r="P72" s="6">
        <v>0.0</v>
      </c>
      <c r="Q72" s="6">
        <v>4.0</v>
      </c>
      <c r="R72" s="6">
        <v>298.0</v>
      </c>
      <c r="S72" s="6">
        <v>52.0</v>
      </c>
      <c r="T72" s="6">
        <v>4.0134228187919465</v>
      </c>
      <c r="U72" s="6">
        <v>71.0</v>
      </c>
    </row>
    <row r="73">
      <c r="A73" s="13" t="s">
        <v>206</v>
      </c>
      <c r="B73" s="13" t="s">
        <v>198</v>
      </c>
      <c r="C73" s="13">
        <v>0.0</v>
      </c>
      <c r="D73" s="13">
        <v>0.0</v>
      </c>
      <c r="E73" s="13">
        <v>0.0</v>
      </c>
      <c r="F73" s="13">
        <v>0.0</v>
      </c>
      <c r="G73" s="13">
        <v>0.0</v>
      </c>
      <c r="H73" s="13">
        <v>0.0</v>
      </c>
      <c r="I73" s="13">
        <v>4.0</v>
      </c>
      <c r="J73" s="13">
        <v>0.0</v>
      </c>
      <c r="K73" s="13">
        <v>0.0</v>
      </c>
      <c r="L73" s="13">
        <v>0.0</v>
      </c>
      <c r="M73" s="13">
        <v>0.0</v>
      </c>
      <c r="N73" s="13">
        <v>0.0</v>
      </c>
      <c r="O73" s="13">
        <v>0.0</v>
      </c>
      <c r="P73" s="13">
        <v>0.0</v>
      </c>
      <c r="Q73" s="13">
        <v>0.0</v>
      </c>
      <c r="R73" s="13">
        <v>23.0</v>
      </c>
      <c r="S73" s="13">
        <v>4.0</v>
      </c>
      <c r="T73" s="13">
        <v>4.0</v>
      </c>
      <c r="U73" s="13">
        <v>72.0</v>
      </c>
    </row>
    <row r="74">
      <c r="A74" s="6" t="s">
        <v>324</v>
      </c>
      <c r="B74" s="6" t="s">
        <v>318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4.0</v>
      </c>
      <c r="I74" s="6">
        <v>4.0</v>
      </c>
      <c r="J74" s="6">
        <v>0.0</v>
      </c>
      <c r="K74" s="6">
        <v>4.0</v>
      </c>
      <c r="L74" s="6">
        <v>0.0</v>
      </c>
      <c r="M74" s="6">
        <v>0.0</v>
      </c>
      <c r="N74" s="6">
        <v>4.0</v>
      </c>
      <c r="O74" s="6">
        <v>0.0</v>
      </c>
      <c r="P74" s="6">
        <v>0.0</v>
      </c>
      <c r="Q74" s="6">
        <v>12.0</v>
      </c>
      <c r="R74" s="6">
        <v>161.0</v>
      </c>
      <c r="S74" s="6">
        <v>28.0</v>
      </c>
      <c r="T74" s="6">
        <v>4.0</v>
      </c>
      <c r="U74" s="6">
        <v>72.0</v>
      </c>
    </row>
    <row r="75">
      <c r="A75" s="13" t="s">
        <v>281</v>
      </c>
      <c r="B75" s="13" t="s">
        <v>277</v>
      </c>
      <c r="C75" s="13">
        <v>0.0</v>
      </c>
      <c r="D75" s="13">
        <v>0.0</v>
      </c>
      <c r="E75" s="13">
        <v>0.0</v>
      </c>
      <c r="F75" s="13">
        <v>0.0</v>
      </c>
      <c r="G75" s="13">
        <v>0.0</v>
      </c>
      <c r="H75" s="13">
        <v>0.0</v>
      </c>
      <c r="I75" s="13">
        <v>0.0</v>
      </c>
      <c r="J75" s="13">
        <v>16.0</v>
      </c>
      <c r="K75" s="13">
        <v>0.0</v>
      </c>
      <c r="L75" s="13">
        <v>4.0</v>
      </c>
      <c r="M75" s="13">
        <v>-4.0</v>
      </c>
      <c r="N75" s="13">
        <v>0.0</v>
      </c>
      <c r="O75" s="13">
        <v>0.0</v>
      </c>
      <c r="P75" s="13">
        <v>0.0</v>
      </c>
      <c r="Q75" s="13">
        <v>0.0</v>
      </c>
      <c r="R75" s="13">
        <v>93.0</v>
      </c>
      <c r="S75" s="13">
        <v>16.0</v>
      </c>
      <c r="T75" s="13">
        <v>3.956989247311828</v>
      </c>
      <c r="U75" s="13">
        <v>74.0</v>
      </c>
    </row>
    <row r="76">
      <c r="A76" s="6" t="s">
        <v>106</v>
      </c>
      <c r="B76" s="6" t="s">
        <v>101</v>
      </c>
      <c r="C76" s="6">
        <v>4.0</v>
      </c>
      <c r="D76" s="6">
        <v>4.0</v>
      </c>
      <c r="E76" s="6">
        <v>4.0</v>
      </c>
      <c r="F76" s="6">
        <v>0.0</v>
      </c>
      <c r="G76" s="6">
        <v>0.0</v>
      </c>
      <c r="H76" s="6">
        <v>4.0</v>
      </c>
      <c r="I76" s="6">
        <v>16.0</v>
      </c>
      <c r="J76" s="6">
        <v>0.0</v>
      </c>
      <c r="K76" s="6">
        <v>0.0</v>
      </c>
      <c r="L76" s="6">
        <v>4.0</v>
      </c>
      <c r="M76" s="6">
        <v>0.0</v>
      </c>
      <c r="N76" s="6">
        <v>8.0</v>
      </c>
      <c r="O76" s="6">
        <v>4.0</v>
      </c>
      <c r="P76" s="6">
        <v>4.0</v>
      </c>
      <c r="Q76" s="6">
        <v>0.0</v>
      </c>
      <c r="R76" s="6">
        <v>310.0</v>
      </c>
      <c r="S76" s="6">
        <v>52.0</v>
      </c>
      <c r="T76" s="6">
        <v>3.858064516129032</v>
      </c>
      <c r="U76" s="6">
        <v>75.0</v>
      </c>
    </row>
    <row r="77">
      <c r="A77" s="13" t="s">
        <v>76</v>
      </c>
      <c r="B77" s="13" t="s">
        <v>64</v>
      </c>
      <c r="C77" s="13">
        <v>4.0</v>
      </c>
      <c r="D77" s="13">
        <v>0.0</v>
      </c>
      <c r="E77" s="13">
        <v>4.0</v>
      </c>
      <c r="F77" s="13">
        <v>4.0</v>
      </c>
      <c r="G77" s="13">
        <v>8.0</v>
      </c>
      <c r="H77" s="13">
        <v>0.0</v>
      </c>
      <c r="I77" s="13">
        <v>4.0</v>
      </c>
      <c r="J77" s="13">
        <v>0.0</v>
      </c>
      <c r="K77" s="13">
        <v>4.0</v>
      </c>
      <c r="L77" s="13">
        <v>0.0</v>
      </c>
      <c r="M77" s="13">
        <v>4.0</v>
      </c>
      <c r="N77" s="13">
        <v>0.0</v>
      </c>
      <c r="O77" s="13">
        <v>0.0</v>
      </c>
      <c r="P77" s="13">
        <v>4.0</v>
      </c>
      <c r="Q77" s="13">
        <v>0.0</v>
      </c>
      <c r="R77" s="13">
        <v>217.0</v>
      </c>
      <c r="S77" s="13">
        <v>36.0</v>
      </c>
      <c r="T77" s="13">
        <v>3.815668202764977</v>
      </c>
      <c r="U77" s="13">
        <v>76.0</v>
      </c>
    </row>
    <row r="78">
      <c r="A78" s="6" t="s">
        <v>123</v>
      </c>
      <c r="B78" s="6" t="s">
        <v>114</v>
      </c>
      <c r="C78" s="6">
        <v>0.0</v>
      </c>
      <c r="D78" s="6">
        <v>0.0</v>
      </c>
      <c r="E78" s="6">
        <v>0.0</v>
      </c>
      <c r="F78" s="6">
        <v>0.0</v>
      </c>
      <c r="G78" s="6">
        <v>16.0</v>
      </c>
      <c r="H78" s="6">
        <v>8.0</v>
      </c>
      <c r="I78" s="6">
        <v>0.0</v>
      </c>
      <c r="J78" s="6">
        <v>0.0</v>
      </c>
      <c r="K78" s="6">
        <v>0.0</v>
      </c>
      <c r="L78" s="6">
        <v>8.0</v>
      </c>
      <c r="M78" s="6">
        <v>0.0</v>
      </c>
      <c r="N78" s="6">
        <v>0.0</v>
      </c>
      <c r="O78" s="6">
        <v>0.0</v>
      </c>
      <c r="P78" s="6">
        <v>0.0</v>
      </c>
      <c r="Q78" s="6">
        <v>4.0</v>
      </c>
      <c r="R78" s="6">
        <v>230.0</v>
      </c>
      <c r="S78" s="6">
        <v>36.0</v>
      </c>
      <c r="T78" s="6">
        <v>3.6</v>
      </c>
      <c r="U78" s="6">
        <v>77.0</v>
      </c>
    </row>
    <row r="79">
      <c r="A79" s="13" t="s">
        <v>52</v>
      </c>
      <c r="B79" s="13" t="s">
        <v>44</v>
      </c>
      <c r="C79" s="13">
        <v>4.0</v>
      </c>
      <c r="D79" s="13">
        <v>0.0</v>
      </c>
      <c r="E79" s="13">
        <v>0.0</v>
      </c>
      <c r="F79" s="13">
        <v>0.0</v>
      </c>
      <c r="G79" s="13">
        <v>-4.0</v>
      </c>
      <c r="H79" s="13">
        <v>0.0</v>
      </c>
      <c r="I79" s="13">
        <v>0.0</v>
      </c>
      <c r="J79" s="13">
        <v>0.0</v>
      </c>
      <c r="K79" s="13">
        <v>8.0</v>
      </c>
      <c r="L79" s="13">
        <v>0.0</v>
      </c>
      <c r="M79" s="13">
        <v>4.0</v>
      </c>
      <c r="N79" s="13">
        <v>0.0</v>
      </c>
      <c r="O79" s="13">
        <v>0.0</v>
      </c>
      <c r="P79" s="13">
        <v>4.0</v>
      </c>
      <c r="Q79" s="13">
        <v>0.0</v>
      </c>
      <c r="R79" s="13">
        <v>115.0</v>
      </c>
      <c r="S79" s="13">
        <v>16.0</v>
      </c>
      <c r="T79" s="13">
        <v>3.2</v>
      </c>
      <c r="U79" s="13">
        <v>78.0</v>
      </c>
    </row>
    <row r="80">
      <c r="A80" s="6" t="s">
        <v>100</v>
      </c>
      <c r="B80" s="6" t="s">
        <v>101</v>
      </c>
      <c r="C80" s="6">
        <v>0.0</v>
      </c>
      <c r="D80" s="6">
        <v>0.0</v>
      </c>
      <c r="E80" s="6">
        <v>8.0</v>
      </c>
      <c r="F80" s="6">
        <v>0.0</v>
      </c>
      <c r="G80" s="6">
        <v>0.0</v>
      </c>
      <c r="H80" s="6">
        <v>4.0</v>
      </c>
      <c r="I80" s="6">
        <v>0.0</v>
      </c>
      <c r="J80" s="6">
        <v>0.0</v>
      </c>
      <c r="K80" s="6">
        <v>16.0</v>
      </c>
      <c r="L80" s="6">
        <v>4.0</v>
      </c>
      <c r="M80" s="6">
        <v>0.0</v>
      </c>
      <c r="N80" s="6">
        <v>0.0</v>
      </c>
      <c r="O80" s="6">
        <v>0.0</v>
      </c>
      <c r="P80" s="6">
        <v>0.0</v>
      </c>
      <c r="Q80" s="6">
        <v>0.0</v>
      </c>
      <c r="R80" s="6">
        <v>238.0</v>
      </c>
      <c r="S80" s="6">
        <v>32.0</v>
      </c>
      <c r="T80" s="6">
        <v>3.092436974789916</v>
      </c>
      <c r="U80" s="6">
        <v>79.0</v>
      </c>
    </row>
    <row r="81">
      <c r="A81" s="13" t="s">
        <v>276</v>
      </c>
      <c r="B81" s="13" t="s">
        <v>277</v>
      </c>
      <c r="C81" s="13">
        <v>0.0</v>
      </c>
      <c r="D81" s="13">
        <v>4.0</v>
      </c>
      <c r="E81" s="13">
        <v>0.0</v>
      </c>
      <c r="F81" s="13">
        <v>0.0</v>
      </c>
      <c r="G81" s="13">
        <v>0.0</v>
      </c>
      <c r="H81" s="13">
        <v>0.0</v>
      </c>
      <c r="I81" s="13">
        <v>0.0</v>
      </c>
      <c r="J81" s="13">
        <v>0.0</v>
      </c>
      <c r="K81" s="13">
        <v>16.0</v>
      </c>
      <c r="L81" s="13">
        <v>0.0</v>
      </c>
      <c r="M81" s="13">
        <v>0.0</v>
      </c>
      <c r="N81" s="13">
        <v>0.0</v>
      </c>
      <c r="O81" s="13">
        <v>0.0</v>
      </c>
      <c r="P81" s="13">
        <v>0.0</v>
      </c>
      <c r="Q81" s="13">
        <v>0.0</v>
      </c>
      <c r="R81" s="13">
        <v>149.0</v>
      </c>
      <c r="S81" s="13">
        <v>20.0</v>
      </c>
      <c r="T81" s="13">
        <v>3.087248322147651</v>
      </c>
      <c r="U81" s="13">
        <v>80.0</v>
      </c>
    </row>
    <row r="82">
      <c r="A82" s="6" t="s">
        <v>231</v>
      </c>
      <c r="B82" s="6" t="s">
        <v>225</v>
      </c>
      <c r="C82" s="6">
        <v>0.0</v>
      </c>
      <c r="D82" s="6">
        <v>4.0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4.0</v>
      </c>
      <c r="K82" s="6">
        <v>4.0</v>
      </c>
      <c r="L82" s="6">
        <v>0.0</v>
      </c>
      <c r="M82" s="6">
        <v>4.0</v>
      </c>
      <c r="N82" s="6">
        <v>0.0</v>
      </c>
      <c r="O82" s="6">
        <v>4.0</v>
      </c>
      <c r="P82" s="6">
        <v>0.0</v>
      </c>
      <c r="Q82" s="6">
        <v>4.0</v>
      </c>
      <c r="R82" s="6">
        <v>182.0</v>
      </c>
      <c r="S82" s="6">
        <v>24.0</v>
      </c>
      <c r="T82" s="6">
        <v>3.032967032967033</v>
      </c>
      <c r="U82" s="6">
        <v>81.0</v>
      </c>
    </row>
    <row r="83">
      <c r="A83" s="13" t="s">
        <v>73</v>
      </c>
      <c r="B83" s="13" t="s">
        <v>64</v>
      </c>
      <c r="C83" s="13">
        <v>0.0</v>
      </c>
      <c r="D83" s="13">
        <v>0.0</v>
      </c>
      <c r="E83" s="13">
        <v>0.0</v>
      </c>
      <c r="F83" s="13">
        <v>0.0</v>
      </c>
      <c r="G83" s="13">
        <v>4.0</v>
      </c>
      <c r="H83" s="13">
        <v>4.0</v>
      </c>
      <c r="I83" s="13">
        <v>0.0</v>
      </c>
      <c r="J83" s="13">
        <v>8.0</v>
      </c>
      <c r="K83" s="13">
        <v>0.0</v>
      </c>
      <c r="L83" s="13">
        <v>4.0</v>
      </c>
      <c r="M83" s="13">
        <v>4.0</v>
      </c>
      <c r="N83" s="13">
        <v>0.0</v>
      </c>
      <c r="O83" s="13">
        <v>0.0</v>
      </c>
      <c r="P83" s="13">
        <v>0.0</v>
      </c>
      <c r="Q83" s="13">
        <v>0.0</v>
      </c>
      <c r="R83" s="13">
        <v>184.0</v>
      </c>
      <c r="S83" s="13">
        <v>24.0</v>
      </c>
      <c r="T83" s="13">
        <v>3.0</v>
      </c>
      <c r="U83" s="13">
        <v>82.0</v>
      </c>
    </row>
    <row r="84">
      <c r="A84" s="6" t="s">
        <v>193</v>
      </c>
      <c r="B84" s="6" t="s">
        <v>186</v>
      </c>
      <c r="C84" s="6">
        <v>4.0</v>
      </c>
      <c r="D84" s="6">
        <v>8.0</v>
      </c>
      <c r="E84" s="6">
        <v>8.0</v>
      </c>
      <c r="F84" s="6">
        <v>0.0</v>
      </c>
      <c r="G84" s="6">
        <v>0.0</v>
      </c>
      <c r="H84" s="6">
        <v>8.0</v>
      </c>
      <c r="I84" s="6">
        <v>0.0</v>
      </c>
      <c r="J84" s="6">
        <v>4.0</v>
      </c>
      <c r="K84" s="6">
        <v>0.0</v>
      </c>
      <c r="L84" s="6">
        <v>0.0</v>
      </c>
      <c r="M84" s="6">
        <v>8.0</v>
      </c>
      <c r="N84" s="6">
        <v>-4.0</v>
      </c>
      <c r="O84" s="6">
        <v>4.0</v>
      </c>
      <c r="P84" s="6">
        <v>0.0</v>
      </c>
      <c r="Q84" s="6">
        <v>4.0</v>
      </c>
      <c r="R84" s="6">
        <v>345.0</v>
      </c>
      <c r="S84" s="6">
        <v>44.0</v>
      </c>
      <c r="T84" s="6">
        <v>2.933333333333333</v>
      </c>
      <c r="U84" s="6">
        <v>83.0</v>
      </c>
    </row>
    <row r="85">
      <c r="A85" s="13" t="s">
        <v>259</v>
      </c>
      <c r="B85" s="13" t="s">
        <v>251</v>
      </c>
      <c r="C85" s="13">
        <v>0.0</v>
      </c>
      <c r="D85" s="13">
        <v>4.0</v>
      </c>
      <c r="E85" s="13">
        <v>-4.0</v>
      </c>
      <c r="F85" s="13">
        <v>4.0</v>
      </c>
      <c r="G85" s="13">
        <v>0.0</v>
      </c>
      <c r="H85" s="13">
        <v>0.0</v>
      </c>
      <c r="I85" s="13">
        <v>0.0</v>
      </c>
      <c r="J85" s="13">
        <v>8.0</v>
      </c>
      <c r="K85" s="13">
        <v>8.0</v>
      </c>
      <c r="L85" s="13">
        <v>4.0</v>
      </c>
      <c r="M85" s="13">
        <v>4.0</v>
      </c>
      <c r="N85" s="13">
        <v>4.0</v>
      </c>
      <c r="O85" s="13">
        <v>0.0</v>
      </c>
      <c r="P85" s="13">
        <v>4.0</v>
      </c>
      <c r="Q85" s="13">
        <v>4.0</v>
      </c>
      <c r="R85" s="13">
        <v>322.0</v>
      </c>
      <c r="S85" s="13">
        <v>40.0</v>
      </c>
      <c r="T85" s="13">
        <v>2.857142857142857</v>
      </c>
      <c r="U85" s="13">
        <v>84.0</v>
      </c>
    </row>
    <row r="86">
      <c r="A86" s="6" t="s">
        <v>239</v>
      </c>
      <c r="B86" s="6" t="s">
        <v>240</v>
      </c>
      <c r="C86" s="6">
        <v>0.0</v>
      </c>
      <c r="D86" s="6">
        <v>0.0</v>
      </c>
      <c r="E86" s="6">
        <v>0.0</v>
      </c>
      <c r="F86" s="6">
        <v>0.0</v>
      </c>
      <c r="G86" s="6">
        <v>4.0</v>
      </c>
      <c r="H86" s="6">
        <v>4.0</v>
      </c>
      <c r="I86" s="6">
        <v>4.0</v>
      </c>
      <c r="J86" s="6">
        <v>8.0</v>
      </c>
      <c r="K86" s="6">
        <v>0.0</v>
      </c>
      <c r="L86" s="6">
        <v>0.0</v>
      </c>
      <c r="M86" s="6">
        <v>0.0</v>
      </c>
      <c r="N86" s="6">
        <v>0.0</v>
      </c>
      <c r="O86" s="6">
        <v>0.0</v>
      </c>
      <c r="P86" s="6">
        <v>4.0</v>
      </c>
      <c r="Q86" s="6">
        <v>4.0</v>
      </c>
      <c r="R86" s="6">
        <v>241.0</v>
      </c>
      <c r="S86" s="6">
        <v>28.0</v>
      </c>
      <c r="T86" s="6">
        <v>2.672199170124481</v>
      </c>
      <c r="U86" s="6">
        <v>85.0</v>
      </c>
    </row>
    <row r="87">
      <c r="A87" s="13" t="s">
        <v>46</v>
      </c>
      <c r="B87" s="13" t="s">
        <v>44</v>
      </c>
      <c r="C87" s="13">
        <v>0.0</v>
      </c>
      <c r="D87" s="13">
        <v>4.0</v>
      </c>
      <c r="E87" s="13">
        <v>0.0</v>
      </c>
      <c r="F87" s="13">
        <v>0.0</v>
      </c>
      <c r="G87" s="13">
        <v>4.0</v>
      </c>
      <c r="H87" s="13">
        <v>0.0</v>
      </c>
      <c r="I87" s="13">
        <v>0.0</v>
      </c>
      <c r="J87" s="13">
        <v>0.0</v>
      </c>
      <c r="K87" s="13">
        <v>0.0</v>
      </c>
      <c r="L87" s="13">
        <v>0.0</v>
      </c>
      <c r="M87" s="13">
        <v>0.0</v>
      </c>
      <c r="N87" s="13">
        <v>0.0</v>
      </c>
      <c r="O87" s="13">
        <v>0.0</v>
      </c>
      <c r="P87" s="13">
        <v>0.0</v>
      </c>
      <c r="Q87" s="13">
        <v>0.0</v>
      </c>
      <c r="R87" s="13">
        <v>69.0</v>
      </c>
      <c r="S87" s="13">
        <v>8.0</v>
      </c>
      <c r="T87" s="13">
        <v>2.6666666666666665</v>
      </c>
      <c r="U87" s="13">
        <v>86.0</v>
      </c>
    </row>
    <row r="88">
      <c r="A88" s="6" t="s">
        <v>54</v>
      </c>
      <c r="B88" s="6" t="s">
        <v>55</v>
      </c>
      <c r="C88" s="6">
        <v>0.0</v>
      </c>
      <c r="D88" s="6">
        <v>0.0</v>
      </c>
      <c r="E88" s="6">
        <v>4.0</v>
      </c>
      <c r="F88" s="6">
        <v>4.0</v>
      </c>
      <c r="G88" s="6">
        <v>4.0</v>
      </c>
      <c r="H88" s="6">
        <v>0.0</v>
      </c>
      <c r="I88" s="6">
        <v>8.0</v>
      </c>
      <c r="J88" s="6">
        <v>4.0</v>
      </c>
      <c r="K88" s="6">
        <v>0.0</v>
      </c>
      <c r="L88" s="6">
        <v>8.0</v>
      </c>
      <c r="M88" s="6">
        <v>0.0</v>
      </c>
      <c r="N88" s="6">
        <v>0.0</v>
      </c>
      <c r="O88" s="6">
        <v>4.0</v>
      </c>
      <c r="P88" s="6">
        <v>4.0</v>
      </c>
      <c r="Q88" s="6">
        <v>0.0</v>
      </c>
      <c r="R88" s="6">
        <v>345.0</v>
      </c>
      <c r="S88" s="6">
        <v>40.0</v>
      </c>
      <c r="T88" s="6">
        <v>2.6666666666666665</v>
      </c>
      <c r="U88" s="6">
        <v>86.0</v>
      </c>
    </row>
    <row r="89">
      <c r="A89" s="13" t="s">
        <v>157</v>
      </c>
      <c r="B89" s="13" t="s">
        <v>149</v>
      </c>
      <c r="C89" s="13">
        <v>12.0</v>
      </c>
      <c r="D89" s="13">
        <v>4.0</v>
      </c>
      <c r="E89" s="13">
        <v>0.0</v>
      </c>
      <c r="F89" s="13">
        <v>4.0</v>
      </c>
      <c r="G89" s="13">
        <v>4.0</v>
      </c>
      <c r="H89" s="13">
        <v>0.0</v>
      </c>
      <c r="I89" s="13">
        <v>0.0</v>
      </c>
      <c r="J89" s="13">
        <v>0.0</v>
      </c>
      <c r="K89" s="13">
        <v>0.0</v>
      </c>
      <c r="L89" s="13">
        <v>4.0</v>
      </c>
      <c r="M89" s="13">
        <v>4.0</v>
      </c>
      <c r="N89" s="13">
        <v>0.0</v>
      </c>
      <c r="O89" s="13">
        <v>0.0</v>
      </c>
      <c r="P89" s="13">
        <v>8.0</v>
      </c>
      <c r="Q89" s="13">
        <v>0.0</v>
      </c>
      <c r="R89" s="13">
        <v>345.0</v>
      </c>
      <c r="S89" s="13">
        <v>40.0</v>
      </c>
      <c r="T89" s="13">
        <v>2.6666666666666665</v>
      </c>
      <c r="U89" s="13">
        <v>86.0</v>
      </c>
    </row>
    <row r="90">
      <c r="A90" s="6" t="s">
        <v>116</v>
      </c>
      <c r="B90" s="6" t="s">
        <v>114</v>
      </c>
      <c r="C90" s="6">
        <v>0.0</v>
      </c>
      <c r="D90" s="6">
        <v>4.0</v>
      </c>
      <c r="E90" s="6">
        <v>0.0</v>
      </c>
      <c r="F90" s="6">
        <v>0.0</v>
      </c>
      <c r="G90" s="6">
        <v>8.0</v>
      </c>
      <c r="H90" s="6">
        <v>0.0</v>
      </c>
      <c r="I90" s="6">
        <v>0.0</v>
      </c>
      <c r="J90" s="6">
        <v>0.0</v>
      </c>
      <c r="K90" s="6">
        <v>8.0</v>
      </c>
      <c r="L90" s="6">
        <v>4.0</v>
      </c>
      <c r="M90" s="6">
        <v>4.0</v>
      </c>
      <c r="N90" s="6">
        <v>0.0</v>
      </c>
      <c r="O90" s="6">
        <v>0.0</v>
      </c>
      <c r="P90" s="6">
        <v>0.0</v>
      </c>
      <c r="Q90" s="6">
        <v>4.0</v>
      </c>
      <c r="R90" s="6">
        <v>299.0</v>
      </c>
      <c r="S90" s="6">
        <v>32.0</v>
      </c>
      <c r="T90" s="6">
        <v>2.4615384615384617</v>
      </c>
      <c r="U90" s="6">
        <v>89.0</v>
      </c>
    </row>
    <row r="91">
      <c r="A91" s="13" t="s">
        <v>129</v>
      </c>
      <c r="B91" s="13" t="s">
        <v>125</v>
      </c>
      <c r="C91" s="13">
        <v>0.0</v>
      </c>
      <c r="D91" s="13">
        <v>0.0</v>
      </c>
      <c r="E91" s="13">
        <v>4.0</v>
      </c>
      <c r="F91" s="13">
        <v>8.0</v>
      </c>
      <c r="G91" s="13">
        <v>12.0</v>
      </c>
      <c r="H91" s="13">
        <v>0.0</v>
      </c>
      <c r="I91" s="13">
        <v>0.0</v>
      </c>
      <c r="J91" s="13">
        <v>0.0</v>
      </c>
      <c r="K91" s="13">
        <v>0.0</v>
      </c>
      <c r="L91" s="13">
        <v>0.0</v>
      </c>
      <c r="M91" s="13">
        <v>0.0</v>
      </c>
      <c r="N91" s="13">
        <v>4.0</v>
      </c>
      <c r="O91" s="13">
        <v>0.0</v>
      </c>
      <c r="P91" s="13">
        <v>0.0</v>
      </c>
      <c r="Q91" s="13">
        <v>4.0</v>
      </c>
      <c r="R91" s="13">
        <v>310.0</v>
      </c>
      <c r="S91" s="13">
        <v>32.0</v>
      </c>
      <c r="T91" s="13">
        <v>2.3741935483870966</v>
      </c>
      <c r="U91" s="13">
        <v>90.0</v>
      </c>
    </row>
    <row r="92">
      <c r="A92" s="6" t="s">
        <v>221</v>
      </c>
      <c r="B92" s="6" t="s">
        <v>213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4.0</v>
      </c>
      <c r="I92" s="6">
        <v>8.0</v>
      </c>
      <c r="J92" s="6">
        <v>8.0</v>
      </c>
      <c r="K92" s="6">
        <v>0.0</v>
      </c>
      <c r="L92" s="6">
        <v>4.0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241.0</v>
      </c>
      <c r="S92" s="6">
        <v>24.0</v>
      </c>
      <c r="T92" s="6">
        <v>2.2904564315352696</v>
      </c>
      <c r="U92" s="6">
        <v>91.0</v>
      </c>
    </row>
    <row r="93">
      <c r="A93" s="13" t="s">
        <v>185</v>
      </c>
      <c r="B93" s="13" t="s">
        <v>186</v>
      </c>
      <c r="C93" s="13">
        <v>4.0</v>
      </c>
      <c r="D93" s="13">
        <v>0.0</v>
      </c>
      <c r="E93" s="13">
        <v>0.0</v>
      </c>
      <c r="F93" s="13">
        <v>0.0</v>
      </c>
      <c r="G93" s="13">
        <v>0.0</v>
      </c>
      <c r="H93" s="13">
        <v>0.0</v>
      </c>
      <c r="I93" s="13">
        <v>0.0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3">
        <v>0.0</v>
      </c>
      <c r="P93" s="13">
        <v>0.0</v>
      </c>
      <c r="Q93" s="13">
        <v>4.0</v>
      </c>
      <c r="R93" s="13">
        <v>91.0</v>
      </c>
      <c r="S93" s="13">
        <v>8.0</v>
      </c>
      <c r="T93" s="13">
        <v>2.021978021978022</v>
      </c>
      <c r="U93" s="13">
        <v>92.0</v>
      </c>
    </row>
    <row r="94">
      <c r="A94" s="6" t="s">
        <v>27</v>
      </c>
      <c r="B94" s="6" t="s">
        <v>19</v>
      </c>
      <c r="C94" s="6">
        <v>4.0</v>
      </c>
      <c r="D94" s="6">
        <v>4.0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4.0</v>
      </c>
      <c r="L94" s="6">
        <v>4.0</v>
      </c>
      <c r="M94" s="6">
        <v>4.0</v>
      </c>
      <c r="N94" s="6">
        <v>0.0</v>
      </c>
      <c r="O94" s="6">
        <v>4.0</v>
      </c>
      <c r="P94" s="6">
        <v>0.0</v>
      </c>
      <c r="Q94" s="6">
        <v>0.0</v>
      </c>
      <c r="R94" s="6">
        <v>276.0</v>
      </c>
      <c r="S94" s="6">
        <v>24.0</v>
      </c>
      <c r="T94" s="6">
        <v>2.0</v>
      </c>
      <c r="U94" s="6">
        <v>93.0</v>
      </c>
    </row>
    <row r="95">
      <c r="A95" s="13" t="s">
        <v>30</v>
      </c>
      <c r="B95" s="13" t="s">
        <v>19</v>
      </c>
      <c r="C95" s="13">
        <v>0.0</v>
      </c>
      <c r="D95" s="13">
        <v>0.0</v>
      </c>
      <c r="E95" s="13">
        <v>0.0</v>
      </c>
      <c r="F95" s="13">
        <v>0.0</v>
      </c>
      <c r="G95" s="13">
        <v>4.0</v>
      </c>
      <c r="H95" s="13">
        <v>0.0</v>
      </c>
      <c r="I95" s="13">
        <v>8.0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0.0</v>
      </c>
      <c r="Q95" s="13">
        <v>8.0</v>
      </c>
      <c r="R95" s="13">
        <v>239.0</v>
      </c>
      <c r="S95" s="13">
        <v>20.0</v>
      </c>
      <c r="T95" s="13">
        <v>1.9246861924686192</v>
      </c>
      <c r="U95" s="13">
        <v>94.0</v>
      </c>
    </row>
    <row r="96">
      <c r="A96" s="6" t="s">
        <v>167</v>
      </c>
      <c r="B96" s="6" t="s">
        <v>162</v>
      </c>
      <c r="C96" s="6">
        <v>0.0</v>
      </c>
      <c r="D96" s="6">
        <v>0.0</v>
      </c>
      <c r="E96" s="6">
        <v>0.0</v>
      </c>
      <c r="F96" s="6">
        <v>0.0</v>
      </c>
      <c r="G96" s="6">
        <v>4.0</v>
      </c>
      <c r="H96" s="6">
        <v>4.0</v>
      </c>
      <c r="I96" s="6">
        <v>4.0</v>
      </c>
      <c r="J96" s="6">
        <v>0.0</v>
      </c>
      <c r="K96" s="6">
        <v>8.0</v>
      </c>
      <c r="L96" s="6">
        <v>0.0</v>
      </c>
      <c r="M96" s="6">
        <v>0.0</v>
      </c>
      <c r="N96" s="6">
        <v>0.0</v>
      </c>
      <c r="O96" s="6">
        <v>0.0</v>
      </c>
      <c r="P96" s="6">
        <v>4.0</v>
      </c>
      <c r="Q96" s="6">
        <v>0.0</v>
      </c>
      <c r="R96" s="6">
        <v>299.0</v>
      </c>
      <c r="S96" s="6">
        <v>24.0</v>
      </c>
      <c r="T96" s="6">
        <v>1.8461538461538463</v>
      </c>
      <c r="U96" s="6">
        <v>95.0</v>
      </c>
    </row>
    <row r="97">
      <c r="A97" s="13" t="s">
        <v>141</v>
      </c>
      <c r="B97" s="13" t="s">
        <v>136</v>
      </c>
      <c r="C97" s="13">
        <v>0.0</v>
      </c>
      <c r="D97" s="13">
        <v>4.0</v>
      </c>
      <c r="E97" s="13">
        <v>8.0</v>
      </c>
      <c r="F97" s="13">
        <v>0.0</v>
      </c>
      <c r="G97" s="13">
        <v>0.0</v>
      </c>
      <c r="H97" s="13">
        <v>4.0</v>
      </c>
      <c r="I97" s="13">
        <v>0.0</v>
      </c>
      <c r="J97" s="13">
        <v>0.0</v>
      </c>
      <c r="K97" s="13">
        <v>0.0</v>
      </c>
      <c r="L97" s="13">
        <v>0.0</v>
      </c>
      <c r="M97" s="13">
        <v>0.0</v>
      </c>
      <c r="N97" s="13">
        <v>0.0</v>
      </c>
      <c r="O97" s="13">
        <v>4.0</v>
      </c>
      <c r="P97" s="13">
        <v>0.0</v>
      </c>
      <c r="Q97" s="13">
        <v>0.0</v>
      </c>
      <c r="R97" s="13">
        <v>252.0</v>
      </c>
      <c r="S97" s="13">
        <v>20.0</v>
      </c>
      <c r="T97" s="13">
        <v>1.8253968253968254</v>
      </c>
      <c r="U97" s="13">
        <v>96.0</v>
      </c>
    </row>
    <row r="98">
      <c r="A98" s="6" t="s">
        <v>242</v>
      </c>
      <c r="B98" s="6" t="s">
        <v>240</v>
      </c>
      <c r="C98" s="6">
        <v>4.0</v>
      </c>
      <c r="D98" s="6">
        <v>0.0</v>
      </c>
      <c r="E98" s="6">
        <v>0.0</v>
      </c>
      <c r="F98" s="6">
        <v>8.0</v>
      </c>
      <c r="G98" s="6">
        <v>0.0</v>
      </c>
      <c r="H98" s="6">
        <v>0.0</v>
      </c>
      <c r="I98" s="6">
        <v>0.0</v>
      </c>
      <c r="J98" s="6">
        <v>0.0</v>
      </c>
      <c r="K98" s="6">
        <v>4.0</v>
      </c>
      <c r="L98" s="6">
        <v>0.0</v>
      </c>
      <c r="M98" s="6">
        <v>0.0</v>
      </c>
      <c r="N98" s="6">
        <v>4.0</v>
      </c>
      <c r="O98" s="6">
        <v>0.0</v>
      </c>
      <c r="P98" s="6">
        <v>0.0</v>
      </c>
      <c r="Q98" s="6">
        <v>0.0</v>
      </c>
      <c r="R98" s="6">
        <v>253.0</v>
      </c>
      <c r="S98" s="6">
        <v>20.0</v>
      </c>
      <c r="T98" s="6">
        <v>1.8181818181818181</v>
      </c>
      <c r="U98" s="6">
        <v>97.0</v>
      </c>
    </row>
    <row r="99">
      <c r="A99" s="13" t="s">
        <v>279</v>
      </c>
      <c r="B99" s="13" t="s">
        <v>277</v>
      </c>
      <c r="C99" s="13">
        <v>0.0</v>
      </c>
      <c r="D99" s="13">
        <v>0.0</v>
      </c>
      <c r="E99" s="13">
        <v>0.0</v>
      </c>
      <c r="F99" s="13">
        <v>0.0</v>
      </c>
      <c r="G99" s="13">
        <v>8.0</v>
      </c>
      <c r="H99" s="13">
        <v>0.0</v>
      </c>
      <c r="I99" s="13">
        <v>4.0</v>
      </c>
      <c r="J99" s="13">
        <v>0.0</v>
      </c>
      <c r="K99" s="13">
        <v>0.0</v>
      </c>
      <c r="L99" s="13">
        <v>0.0</v>
      </c>
      <c r="M99" s="13">
        <v>4.0</v>
      </c>
      <c r="N99" s="13">
        <v>0.0</v>
      </c>
      <c r="O99" s="13">
        <v>0.0</v>
      </c>
      <c r="P99" s="13">
        <v>0.0</v>
      </c>
      <c r="Q99" s="13">
        <v>0.0</v>
      </c>
      <c r="R99" s="13">
        <v>207.0</v>
      </c>
      <c r="S99" s="13">
        <v>16.0</v>
      </c>
      <c r="T99" s="13">
        <v>1.7777777777777777</v>
      </c>
      <c r="U99" s="13">
        <v>98.0</v>
      </c>
    </row>
    <row r="100">
      <c r="A100" s="6" t="s">
        <v>302</v>
      </c>
      <c r="B100" s="6" t="s">
        <v>303</v>
      </c>
      <c r="C100" s="6">
        <v>0.0</v>
      </c>
      <c r="D100" s="6">
        <v>4.0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>
        <v>0.0</v>
      </c>
      <c r="P100" s="6">
        <v>0.0</v>
      </c>
      <c r="Q100" s="6">
        <v>4.0</v>
      </c>
      <c r="R100" s="6">
        <v>104.0</v>
      </c>
      <c r="S100" s="6">
        <v>8.0</v>
      </c>
      <c r="T100" s="6">
        <v>1.7692307692307692</v>
      </c>
      <c r="U100" s="6">
        <v>99.0</v>
      </c>
    </row>
    <row r="101">
      <c r="A101" s="13" t="s">
        <v>208</v>
      </c>
      <c r="B101" s="13" t="s">
        <v>198</v>
      </c>
      <c r="C101" s="13">
        <v>4.0</v>
      </c>
      <c r="D101" s="13">
        <v>0.0</v>
      </c>
      <c r="E101" s="13">
        <v>0.0</v>
      </c>
      <c r="F101" s="13">
        <v>0.0</v>
      </c>
      <c r="G101" s="13">
        <v>4.0</v>
      </c>
      <c r="H101" s="13">
        <v>0.0</v>
      </c>
      <c r="I101" s="13">
        <v>0.0</v>
      </c>
      <c r="J101" s="13">
        <v>0.0</v>
      </c>
      <c r="K101" s="13">
        <v>0.0</v>
      </c>
      <c r="L101" s="13">
        <v>-4.0</v>
      </c>
      <c r="M101" s="13">
        <v>0.0</v>
      </c>
      <c r="N101" s="13">
        <v>0.0</v>
      </c>
      <c r="O101" s="13">
        <v>4.0</v>
      </c>
      <c r="P101" s="13">
        <v>0.0</v>
      </c>
      <c r="Q101" s="13">
        <v>8.0</v>
      </c>
      <c r="R101" s="13">
        <v>209.0</v>
      </c>
      <c r="S101" s="13">
        <v>16.0</v>
      </c>
      <c r="T101" s="13">
        <v>1.7607655502392345</v>
      </c>
      <c r="U101" s="13">
        <v>100.0</v>
      </c>
    </row>
    <row r="102">
      <c r="A102" s="6" t="s">
        <v>315</v>
      </c>
      <c r="B102" s="6" t="s">
        <v>303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8.0</v>
      </c>
      <c r="R102" s="6">
        <v>108.0</v>
      </c>
      <c r="S102" s="6">
        <v>8.0</v>
      </c>
      <c r="T102" s="6">
        <v>1.7037037037037037</v>
      </c>
      <c r="U102" s="6">
        <v>101.0</v>
      </c>
    </row>
    <row r="103">
      <c r="A103" s="13" t="s">
        <v>147</v>
      </c>
      <c r="B103" s="13" t="s">
        <v>136</v>
      </c>
      <c r="C103" s="13">
        <v>0.0</v>
      </c>
      <c r="D103" s="13">
        <v>0.0</v>
      </c>
      <c r="E103" s="13">
        <v>0.0</v>
      </c>
      <c r="F103" s="13">
        <v>8.0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0.0</v>
      </c>
      <c r="M103" s="13">
        <v>4.0</v>
      </c>
      <c r="N103" s="13">
        <v>0.0</v>
      </c>
      <c r="O103" s="13">
        <v>0.0</v>
      </c>
      <c r="P103" s="13">
        <v>0.0</v>
      </c>
      <c r="Q103" s="13">
        <v>0.0</v>
      </c>
      <c r="R103" s="13">
        <v>172.0</v>
      </c>
      <c r="S103" s="13">
        <v>12.0</v>
      </c>
      <c r="T103" s="13">
        <v>1.6046511627906976</v>
      </c>
      <c r="U103" s="13">
        <v>102.0</v>
      </c>
    </row>
    <row r="104">
      <c r="A104" s="6" t="s">
        <v>57</v>
      </c>
      <c r="B104" s="6" t="s">
        <v>55</v>
      </c>
      <c r="C104" s="6">
        <v>4.0</v>
      </c>
      <c r="D104" s="6">
        <v>4.0</v>
      </c>
      <c r="E104" s="6">
        <v>0.0</v>
      </c>
      <c r="F104" s="6">
        <v>0.0</v>
      </c>
      <c r="G104" s="6">
        <v>0.0</v>
      </c>
      <c r="H104" s="6">
        <v>4.0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4.0</v>
      </c>
      <c r="Q104" s="6">
        <v>8.0</v>
      </c>
      <c r="R104" s="6">
        <v>345.0</v>
      </c>
      <c r="S104" s="6">
        <v>24.0</v>
      </c>
      <c r="T104" s="6">
        <v>1.6</v>
      </c>
      <c r="U104" s="6">
        <v>103.0</v>
      </c>
    </row>
    <row r="105">
      <c r="A105" s="13" t="s">
        <v>289</v>
      </c>
      <c r="B105" s="13" t="s">
        <v>277</v>
      </c>
      <c r="C105" s="13">
        <v>0.0</v>
      </c>
      <c r="D105" s="13">
        <v>0.0</v>
      </c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10.0</v>
      </c>
      <c r="O105" s="13">
        <v>0.0</v>
      </c>
      <c r="P105" s="13">
        <v>0.0</v>
      </c>
      <c r="Q105" s="13">
        <v>0.0</v>
      </c>
      <c r="R105" s="13">
        <v>147.0</v>
      </c>
      <c r="S105" s="13">
        <v>10.0</v>
      </c>
      <c r="T105" s="13">
        <v>1.564625850340136</v>
      </c>
      <c r="U105" s="13">
        <v>104.0</v>
      </c>
    </row>
    <row r="106">
      <c r="A106" s="6" t="s">
        <v>236</v>
      </c>
      <c r="B106" s="6" t="s">
        <v>225</v>
      </c>
      <c r="C106" s="6">
        <v>0.0</v>
      </c>
      <c r="D106" s="6">
        <v>0.0</v>
      </c>
      <c r="E106" s="6">
        <v>0.0</v>
      </c>
      <c r="F106" s="6">
        <v>0.0</v>
      </c>
      <c r="G106" s="6">
        <v>8.0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4.0</v>
      </c>
      <c r="O106" s="6">
        <v>0.0</v>
      </c>
      <c r="P106" s="6">
        <v>0.0</v>
      </c>
      <c r="Q106" s="6">
        <v>0.0</v>
      </c>
      <c r="R106" s="6">
        <v>185.0</v>
      </c>
      <c r="S106" s="6">
        <v>12.0</v>
      </c>
      <c r="T106" s="6">
        <v>1.491891891891892</v>
      </c>
      <c r="U106" s="6">
        <v>105.0</v>
      </c>
    </row>
    <row r="107">
      <c r="A107" s="13" t="s">
        <v>140</v>
      </c>
      <c r="B107" s="13" t="s">
        <v>136</v>
      </c>
      <c r="C107" s="13">
        <v>0.0</v>
      </c>
      <c r="D107" s="13">
        <v>4.0</v>
      </c>
      <c r="E107" s="13">
        <v>0.0</v>
      </c>
      <c r="F107" s="13">
        <v>4.0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3">
        <v>0.0</v>
      </c>
      <c r="R107" s="13">
        <v>127.0</v>
      </c>
      <c r="S107" s="13">
        <v>8.0</v>
      </c>
      <c r="T107" s="13">
        <v>1.4488188976377954</v>
      </c>
      <c r="U107" s="13">
        <v>106.0</v>
      </c>
    </row>
    <row r="108">
      <c r="A108" s="6" t="s">
        <v>164</v>
      </c>
      <c r="B108" s="6" t="s">
        <v>162</v>
      </c>
      <c r="C108" s="6">
        <v>0.0</v>
      </c>
      <c r="D108" s="6">
        <v>0.0</v>
      </c>
      <c r="E108" s="6">
        <v>4.0</v>
      </c>
      <c r="F108" s="6">
        <v>0.0</v>
      </c>
      <c r="G108" s="6">
        <v>8.0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>
        <v>196.0</v>
      </c>
      <c r="S108" s="6">
        <v>12.0</v>
      </c>
      <c r="T108" s="6">
        <v>1.4081632653061225</v>
      </c>
      <c r="U108" s="6">
        <v>107.0</v>
      </c>
    </row>
    <row r="109">
      <c r="A109" s="13" t="s">
        <v>238</v>
      </c>
      <c r="B109" s="13" t="s">
        <v>225</v>
      </c>
      <c r="C109" s="13">
        <v>0.0</v>
      </c>
      <c r="D109" s="13">
        <v>4.0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68.0</v>
      </c>
      <c r="S109" s="13">
        <v>4.0</v>
      </c>
      <c r="T109" s="13">
        <v>1.3529411764705883</v>
      </c>
      <c r="U109" s="13">
        <v>108.0</v>
      </c>
    </row>
    <row r="110">
      <c r="A110" s="6" t="s">
        <v>233</v>
      </c>
      <c r="B110" s="6" t="s">
        <v>225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4.0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4.0</v>
      </c>
      <c r="Q110" s="6">
        <v>0.0</v>
      </c>
      <c r="R110" s="6">
        <v>152.0</v>
      </c>
      <c r="S110" s="6">
        <v>8.0</v>
      </c>
      <c r="T110" s="6">
        <v>1.2105263157894737</v>
      </c>
      <c r="U110" s="6">
        <v>109.0</v>
      </c>
    </row>
    <row r="111">
      <c r="A111" s="13" t="s">
        <v>273</v>
      </c>
      <c r="B111" s="13" t="s">
        <v>263</v>
      </c>
      <c r="C111" s="13">
        <v>0.0</v>
      </c>
      <c r="D111" s="13">
        <v>0.0</v>
      </c>
      <c r="E111" s="13">
        <v>0.0</v>
      </c>
      <c r="F111" s="13">
        <v>4.0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80.0</v>
      </c>
      <c r="S111" s="13">
        <v>4.0</v>
      </c>
      <c r="T111" s="13">
        <v>1.15</v>
      </c>
      <c r="U111" s="13">
        <v>110.0</v>
      </c>
    </row>
    <row r="112">
      <c r="A112" s="6" t="s">
        <v>159</v>
      </c>
      <c r="B112" s="6" t="s">
        <v>149</v>
      </c>
      <c r="C112" s="6">
        <v>0.0</v>
      </c>
      <c r="D112" s="6">
        <v>0.0</v>
      </c>
      <c r="E112" s="6">
        <v>0.0</v>
      </c>
      <c r="F112" s="6">
        <v>0.0</v>
      </c>
      <c r="G112" s="6">
        <v>4.0</v>
      </c>
      <c r="H112" s="6">
        <v>0.0</v>
      </c>
      <c r="I112" s="6">
        <v>0.0</v>
      </c>
      <c r="J112" s="6">
        <v>4.0</v>
      </c>
      <c r="K112" s="6">
        <v>0.0</v>
      </c>
      <c r="L112" s="6">
        <v>4.0</v>
      </c>
      <c r="M112" s="6">
        <v>0.0</v>
      </c>
      <c r="N112" s="6">
        <v>0.0</v>
      </c>
      <c r="O112" s="6">
        <v>4.0</v>
      </c>
      <c r="P112" s="6">
        <v>0.0</v>
      </c>
      <c r="Q112" s="6">
        <v>0.0</v>
      </c>
      <c r="R112" s="6">
        <v>322.0</v>
      </c>
      <c r="S112" s="6">
        <v>16.0</v>
      </c>
      <c r="T112" s="6">
        <v>1.1428571428571428</v>
      </c>
      <c r="U112" s="6">
        <v>111.0</v>
      </c>
    </row>
    <row r="113">
      <c r="A113" s="13" t="s">
        <v>156</v>
      </c>
      <c r="B113" s="13" t="s">
        <v>149</v>
      </c>
      <c r="C113" s="13">
        <v>0.0</v>
      </c>
      <c r="D113" s="13">
        <v>0.0</v>
      </c>
      <c r="E113" s="13">
        <v>0.0</v>
      </c>
      <c r="F113" s="13">
        <v>4.0</v>
      </c>
      <c r="G113" s="13">
        <v>0.0</v>
      </c>
      <c r="H113" s="13">
        <v>0.0</v>
      </c>
      <c r="I113" s="13">
        <v>0.0</v>
      </c>
      <c r="J113" s="13">
        <v>4.0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172.0</v>
      </c>
      <c r="S113" s="13">
        <v>8.0</v>
      </c>
      <c r="T113" s="13">
        <v>1.069767441860465</v>
      </c>
      <c r="U113" s="13">
        <v>112.0</v>
      </c>
    </row>
    <row r="114">
      <c r="A114" s="6" t="s">
        <v>227</v>
      </c>
      <c r="B114" s="6" t="s">
        <v>225</v>
      </c>
      <c r="C114" s="6">
        <v>0.0</v>
      </c>
      <c r="D114" s="6">
        <v>0.0</v>
      </c>
      <c r="E114" s="6">
        <v>4.0</v>
      </c>
      <c r="F114" s="6">
        <v>0.0</v>
      </c>
      <c r="G114" s="6">
        <v>0.0</v>
      </c>
      <c r="H114" s="6">
        <v>4.0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173.0</v>
      </c>
      <c r="S114" s="6">
        <v>8.0</v>
      </c>
      <c r="T114" s="6">
        <v>1.0635838150289016</v>
      </c>
      <c r="U114" s="6">
        <v>113.0</v>
      </c>
    </row>
    <row r="115">
      <c r="A115" s="13" t="s">
        <v>104</v>
      </c>
      <c r="B115" s="13" t="s">
        <v>101</v>
      </c>
      <c r="C115" s="13">
        <v>4.0</v>
      </c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4.0</v>
      </c>
      <c r="R115" s="13">
        <v>206.0</v>
      </c>
      <c r="S115" s="13">
        <v>8.0</v>
      </c>
      <c r="T115" s="13">
        <v>0.8932038834951457</v>
      </c>
      <c r="U115" s="13">
        <v>114.0</v>
      </c>
    </row>
    <row r="116">
      <c r="A116" s="6" t="s">
        <v>111</v>
      </c>
      <c r="B116" s="6" t="s">
        <v>101</v>
      </c>
      <c r="C116" s="6">
        <v>0.0</v>
      </c>
      <c r="D116" s="6">
        <v>0.0</v>
      </c>
      <c r="E116" s="6">
        <v>0.0</v>
      </c>
      <c r="F116" s="6">
        <v>0.0</v>
      </c>
      <c r="G116" s="6">
        <v>4.0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  <c r="O116" s="6">
        <v>0.0</v>
      </c>
      <c r="P116" s="6">
        <v>4.0</v>
      </c>
      <c r="Q116" s="6">
        <v>0.0</v>
      </c>
      <c r="R116" s="6">
        <v>229.0</v>
      </c>
      <c r="S116" s="6">
        <v>8.0</v>
      </c>
      <c r="T116" s="6">
        <v>0.8034934497816594</v>
      </c>
      <c r="U116" s="6">
        <v>115.0</v>
      </c>
    </row>
    <row r="117">
      <c r="A117" s="13" t="s">
        <v>68</v>
      </c>
      <c r="B117" s="13" t="s">
        <v>64</v>
      </c>
      <c r="C117" s="13">
        <v>0.0</v>
      </c>
      <c r="D117" s="13">
        <v>0.0</v>
      </c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0.0</v>
      </c>
      <c r="K117" s="13">
        <v>4.0</v>
      </c>
      <c r="L117" s="13">
        <v>0.0</v>
      </c>
      <c r="M117" s="13">
        <v>0.0</v>
      </c>
      <c r="N117" s="13">
        <v>0.0</v>
      </c>
      <c r="O117" s="13">
        <v>0.0</v>
      </c>
      <c r="P117" s="13">
        <v>0.0</v>
      </c>
      <c r="Q117" s="13">
        <v>0.0</v>
      </c>
      <c r="R117" s="13">
        <v>116.0</v>
      </c>
      <c r="S117" s="13">
        <v>4.0</v>
      </c>
      <c r="T117" s="13">
        <v>0.7931034482758621</v>
      </c>
      <c r="U117" s="13">
        <v>116.0</v>
      </c>
    </row>
    <row r="118">
      <c r="A118" s="6" t="s">
        <v>171</v>
      </c>
      <c r="B118" s="6" t="s">
        <v>162</v>
      </c>
      <c r="C118" s="6">
        <v>0.0</v>
      </c>
      <c r="D118" s="6">
        <v>0.0</v>
      </c>
      <c r="E118" s="6">
        <v>0.0</v>
      </c>
      <c r="F118" s="6">
        <v>-4.0</v>
      </c>
      <c r="G118" s="6">
        <v>0.0</v>
      </c>
      <c r="H118" s="6">
        <v>0.0</v>
      </c>
      <c r="I118" s="6">
        <v>4.0</v>
      </c>
      <c r="J118" s="6">
        <v>0.0</v>
      </c>
      <c r="K118" s="6">
        <v>0.0</v>
      </c>
      <c r="L118" s="6">
        <v>0.0</v>
      </c>
      <c r="M118" s="6">
        <v>4.0</v>
      </c>
      <c r="N118" s="6">
        <v>0.0</v>
      </c>
      <c r="O118" s="6">
        <v>0.0</v>
      </c>
      <c r="P118" s="6">
        <v>0.0</v>
      </c>
      <c r="Q118" s="6">
        <v>4.0</v>
      </c>
      <c r="R118" s="6">
        <v>253.0</v>
      </c>
      <c r="S118" s="6">
        <v>8.0</v>
      </c>
      <c r="T118" s="6">
        <v>0.7272727272727273</v>
      </c>
      <c r="U118" s="6">
        <v>117.0</v>
      </c>
    </row>
    <row r="119">
      <c r="A119" s="13" t="s">
        <v>173</v>
      </c>
      <c r="B119" s="13" t="s">
        <v>174</v>
      </c>
      <c r="C119" s="13">
        <v>-4.0</v>
      </c>
      <c r="D119" s="13">
        <v>-4.0</v>
      </c>
      <c r="E119" s="13">
        <v>0.0</v>
      </c>
      <c r="F119" s="13">
        <v>4.0</v>
      </c>
      <c r="G119" s="13">
        <v>8.0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0.0</v>
      </c>
      <c r="O119" s="13">
        <v>4.0</v>
      </c>
      <c r="P119" s="13">
        <v>0.0</v>
      </c>
      <c r="Q119" s="13">
        <v>0.0</v>
      </c>
      <c r="R119" s="13">
        <v>253.0</v>
      </c>
      <c r="S119" s="13">
        <v>8.0</v>
      </c>
      <c r="T119" s="13">
        <v>0.7272727272727273</v>
      </c>
      <c r="U119" s="13">
        <v>117.0</v>
      </c>
    </row>
    <row r="120">
      <c r="A120" s="6" t="s">
        <v>195</v>
      </c>
      <c r="B120" s="6" t="s">
        <v>186</v>
      </c>
      <c r="C120" s="6">
        <v>0.0</v>
      </c>
      <c r="D120" s="6">
        <v>4.0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4.0</v>
      </c>
      <c r="N120" s="6">
        <v>0.0</v>
      </c>
      <c r="O120" s="6">
        <v>0.0</v>
      </c>
      <c r="P120" s="6">
        <v>0.0</v>
      </c>
      <c r="Q120" s="6">
        <v>0.0</v>
      </c>
      <c r="R120" s="6">
        <v>254.0</v>
      </c>
      <c r="S120" s="6">
        <v>8.0</v>
      </c>
      <c r="T120" s="6">
        <v>0.7244094488188977</v>
      </c>
      <c r="U120" s="6">
        <v>119.0</v>
      </c>
    </row>
    <row r="121">
      <c r="A121" s="13" t="s">
        <v>93</v>
      </c>
      <c r="B121" s="13" t="s">
        <v>91</v>
      </c>
      <c r="C121" s="13">
        <v>0.0</v>
      </c>
      <c r="D121" s="13">
        <v>0.0</v>
      </c>
      <c r="E121" s="13">
        <v>0.0</v>
      </c>
      <c r="F121" s="13">
        <v>0.0</v>
      </c>
      <c r="G121" s="13">
        <v>4.0</v>
      </c>
      <c r="H121" s="13">
        <v>0.0</v>
      </c>
      <c r="I121" s="13">
        <v>0.0</v>
      </c>
      <c r="J121" s="13">
        <v>0.0</v>
      </c>
      <c r="K121" s="13">
        <v>0.0</v>
      </c>
      <c r="L121" s="13">
        <v>0.0</v>
      </c>
      <c r="M121" s="13">
        <v>0.0</v>
      </c>
      <c r="N121" s="13">
        <v>0.0</v>
      </c>
      <c r="O121" s="13">
        <v>4.0</v>
      </c>
      <c r="P121" s="13">
        <v>0.0</v>
      </c>
      <c r="Q121" s="13">
        <v>0.0</v>
      </c>
      <c r="R121" s="13">
        <v>299.0</v>
      </c>
      <c r="S121" s="13">
        <v>8.0</v>
      </c>
      <c r="T121" s="13">
        <v>0.6153846153846154</v>
      </c>
      <c r="U121" s="13">
        <v>120.0</v>
      </c>
    </row>
    <row r="122">
      <c r="A122" s="6" t="s">
        <v>219</v>
      </c>
      <c r="B122" s="6" t="s">
        <v>213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4.0</v>
      </c>
      <c r="J122" s="6">
        <v>4.0</v>
      </c>
      <c r="K122" s="6">
        <v>0.0</v>
      </c>
      <c r="L122" s="6">
        <v>0.0</v>
      </c>
      <c r="M122" s="6">
        <v>0.0</v>
      </c>
      <c r="N122" s="6">
        <v>0.0</v>
      </c>
      <c r="O122" s="6">
        <v>0.0</v>
      </c>
      <c r="P122" s="6">
        <v>0.0</v>
      </c>
      <c r="Q122" s="6">
        <v>0.0</v>
      </c>
      <c r="R122" s="6">
        <v>322.0</v>
      </c>
      <c r="S122" s="6">
        <v>8.0</v>
      </c>
      <c r="T122" s="6">
        <v>0.5714285714285714</v>
      </c>
      <c r="U122" s="6">
        <v>121.0</v>
      </c>
    </row>
    <row r="123">
      <c r="A123" s="13" t="s">
        <v>270</v>
      </c>
      <c r="B123" s="13" t="s">
        <v>263</v>
      </c>
      <c r="C123" s="13">
        <v>0.0</v>
      </c>
      <c r="D123" s="13">
        <v>0.0</v>
      </c>
      <c r="E123" s="13">
        <v>4.0</v>
      </c>
      <c r="F123" s="13">
        <v>0.0</v>
      </c>
      <c r="G123" s="13">
        <v>0.0</v>
      </c>
      <c r="H123" s="13">
        <v>0.0</v>
      </c>
      <c r="I123" s="13">
        <v>0.0</v>
      </c>
      <c r="J123" s="13">
        <v>0.0</v>
      </c>
      <c r="K123" s="13">
        <v>0.0</v>
      </c>
      <c r="L123" s="13">
        <v>0.0</v>
      </c>
      <c r="M123" s="13">
        <v>0.0</v>
      </c>
      <c r="N123" s="13">
        <v>0.0</v>
      </c>
      <c r="O123" s="13">
        <v>0.0</v>
      </c>
      <c r="P123" s="13">
        <v>0.0</v>
      </c>
      <c r="Q123" s="13">
        <v>0.0</v>
      </c>
      <c r="R123" s="13">
        <v>175.0</v>
      </c>
      <c r="S123" s="13">
        <v>4.0</v>
      </c>
      <c r="T123" s="13">
        <v>0.5257142857142857</v>
      </c>
      <c r="U123" s="13">
        <v>122.0</v>
      </c>
    </row>
    <row r="124">
      <c r="A124" s="6" t="s">
        <v>28</v>
      </c>
      <c r="B124" s="6" t="s">
        <v>19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4.0</v>
      </c>
      <c r="O124" s="6">
        <v>0.0</v>
      </c>
      <c r="P124" s="6">
        <v>0.0</v>
      </c>
      <c r="Q124" s="6">
        <v>0.0</v>
      </c>
      <c r="R124" s="6">
        <v>220.0</v>
      </c>
      <c r="S124" s="6">
        <v>4.0</v>
      </c>
      <c r="T124" s="6">
        <v>0.41818181818181815</v>
      </c>
      <c r="U124" s="6">
        <v>123.0</v>
      </c>
    </row>
    <row r="125">
      <c r="A125" s="13" t="s">
        <v>291</v>
      </c>
      <c r="B125" s="13" t="s">
        <v>292</v>
      </c>
      <c r="C125" s="13">
        <v>0.0</v>
      </c>
      <c r="D125" s="13">
        <v>0.0</v>
      </c>
      <c r="E125" s="13">
        <v>0.0</v>
      </c>
      <c r="F125" s="13">
        <v>4.0</v>
      </c>
      <c r="G125" s="13">
        <v>0.0</v>
      </c>
      <c r="H125" s="13">
        <v>-4.0</v>
      </c>
      <c r="I125" s="13">
        <v>4.0</v>
      </c>
      <c r="J125" s="13">
        <v>0.0</v>
      </c>
      <c r="K125" s="13">
        <v>-4.0</v>
      </c>
      <c r="L125" s="13">
        <v>0.0</v>
      </c>
      <c r="M125" s="13">
        <v>0.0</v>
      </c>
      <c r="N125" s="13">
        <v>0.0</v>
      </c>
      <c r="O125" s="13">
        <v>4.0</v>
      </c>
      <c r="P125" s="13">
        <v>0.0</v>
      </c>
      <c r="Q125" s="13">
        <v>0.0</v>
      </c>
      <c r="R125" s="13">
        <v>228.0</v>
      </c>
      <c r="S125" s="13">
        <v>4.0</v>
      </c>
      <c r="T125" s="13">
        <v>0.40350877192982454</v>
      </c>
      <c r="U125" s="13">
        <v>124.0</v>
      </c>
    </row>
    <row r="126">
      <c r="A126" s="6" t="s">
        <v>286</v>
      </c>
      <c r="B126" s="6" t="s">
        <v>277</v>
      </c>
      <c r="C126" s="6">
        <v>0.0</v>
      </c>
      <c r="D126" s="6">
        <v>0.0</v>
      </c>
      <c r="E126" s="6">
        <v>0.0</v>
      </c>
      <c r="F126" s="6">
        <v>0.0</v>
      </c>
      <c r="G126" s="6">
        <v>4.0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  <c r="O126" s="6">
        <v>0.0</v>
      </c>
      <c r="P126" s="6">
        <v>0.0</v>
      </c>
      <c r="Q126" s="6">
        <v>0.0</v>
      </c>
      <c r="R126" s="6">
        <v>266.0</v>
      </c>
      <c r="S126" s="6">
        <v>4.0</v>
      </c>
      <c r="T126" s="6">
        <v>0.3458646616541353</v>
      </c>
      <c r="U126" s="6">
        <v>125.0</v>
      </c>
    </row>
    <row r="127">
      <c r="A127" s="13" t="s">
        <v>177</v>
      </c>
      <c r="B127" s="13" t="s">
        <v>174</v>
      </c>
      <c r="C127" s="13">
        <v>0.0</v>
      </c>
      <c r="D127" s="13">
        <v>0.0</v>
      </c>
      <c r="E127" s="13">
        <v>4.0</v>
      </c>
      <c r="F127" s="13">
        <v>0.0</v>
      </c>
      <c r="G127" s="13">
        <v>0.0</v>
      </c>
      <c r="H127" s="13">
        <v>0.0</v>
      </c>
      <c r="I127" s="13">
        <v>0.0</v>
      </c>
      <c r="J127" s="13">
        <v>0.0</v>
      </c>
      <c r="K127" s="13">
        <v>0.0</v>
      </c>
      <c r="L127" s="13">
        <v>0.0</v>
      </c>
      <c r="M127" s="13">
        <v>0.0</v>
      </c>
      <c r="N127" s="13">
        <v>0.0</v>
      </c>
      <c r="O127" s="13">
        <v>0.0</v>
      </c>
      <c r="P127" s="13">
        <v>0.0</v>
      </c>
      <c r="Q127" s="13">
        <v>0.0</v>
      </c>
      <c r="R127" s="13">
        <v>322.0</v>
      </c>
      <c r="S127" s="13">
        <v>4.0</v>
      </c>
      <c r="T127" s="13">
        <v>0.2857142857142857</v>
      </c>
      <c r="U127" s="13">
        <v>126.0</v>
      </c>
    </row>
    <row r="128">
      <c r="A128" s="6" t="s">
        <v>25</v>
      </c>
      <c r="B128" s="6" t="s">
        <v>19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  <c r="O128" s="6">
        <v>0.0</v>
      </c>
      <c r="P128" s="6">
        <v>0.0</v>
      </c>
      <c r="Q128" s="6">
        <v>0.0</v>
      </c>
      <c r="R128" s="6">
        <v>277.0</v>
      </c>
      <c r="S128" s="6">
        <v>0.0</v>
      </c>
      <c r="T128" s="6">
        <v>0.0</v>
      </c>
      <c r="U128" s="6">
        <v>127.0</v>
      </c>
    </row>
    <row r="129">
      <c r="A129" s="13" t="s">
        <v>49</v>
      </c>
      <c r="B129" s="13" t="s">
        <v>44</v>
      </c>
      <c r="C129" s="13">
        <v>0.0</v>
      </c>
      <c r="D129" s="13">
        <v>0.0</v>
      </c>
      <c r="E129" s="13">
        <v>0.0</v>
      </c>
      <c r="F129" s="13">
        <v>0.0</v>
      </c>
      <c r="G129" s="13">
        <v>0.0</v>
      </c>
      <c r="H129" s="13">
        <v>0.0</v>
      </c>
      <c r="I129" s="13">
        <v>0.0</v>
      </c>
      <c r="J129" s="13">
        <v>0.0</v>
      </c>
      <c r="K129" s="13">
        <v>0.0</v>
      </c>
      <c r="L129" s="13">
        <v>0.0</v>
      </c>
      <c r="M129" s="13">
        <v>0.0</v>
      </c>
      <c r="N129" s="13">
        <v>0.0</v>
      </c>
      <c r="O129" s="13">
        <v>0.0</v>
      </c>
      <c r="P129" s="13">
        <v>0.0</v>
      </c>
      <c r="Q129" s="13">
        <v>0.0</v>
      </c>
      <c r="R129" s="13">
        <v>138.0</v>
      </c>
      <c r="S129" s="13">
        <v>0.0</v>
      </c>
      <c r="T129" s="13">
        <v>0.0</v>
      </c>
      <c r="U129" s="13">
        <v>127.0</v>
      </c>
    </row>
    <row r="130">
      <c r="A130" s="6" t="s">
        <v>74</v>
      </c>
      <c r="B130" s="6" t="s">
        <v>64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  <c r="O130" s="6">
        <v>0.0</v>
      </c>
      <c r="P130" s="6">
        <v>0.0</v>
      </c>
      <c r="Q130" s="6">
        <v>0.0</v>
      </c>
      <c r="R130" s="6">
        <v>139.0</v>
      </c>
      <c r="S130" s="6">
        <v>0.0</v>
      </c>
      <c r="T130" s="6">
        <v>0.0</v>
      </c>
      <c r="U130" s="6">
        <v>127.0</v>
      </c>
    </row>
    <row r="131">
      <c r="A131" s="13" t="s">
        <v>89</v>
      </c>
      <c r="B131" s="13" t="s">
        <v>79</v>
      </c>
      <c r="C131" s="13">
        <v>0.0</v>
      </c>
      <c r="D131" s="13">
        <v>0.0</v>
      </c>
      <c r="E131" s="13">
        <v>0.0</v>
      </c>
      <c r="F131" s="13">
        <v>0.0</v>
      </c>
      <c r="G131" s="13">
        <v>0.0</v>
      </c>
      <c r="H131" s="13">
        <v>0.0</v>
      </c>
      <c r="I131" s="13">
        <v>0.0</v>
      </c>
      <c r="J131" s="13">
        <v>0.0</v>
      </c>
      <c r="K131" s="13">
        <v>0.0</v>
      </c>
      <c r="L131" s="13">
        <v>0.0</v>
      </c>
      <c r="M131" s="13">
        <v>0.0</v>
      </c>
      <c r="N131" s="13">
        <v>0.0</v>
      </c>
      <c r="O131" s="13">
        <v>0.0</v>
      </c>
      <c r="P131" s="13">
        <v>0.0</v>
      </c>
      <c r="Q131" s="13">
        <v>0.0</v>
      </c>
      <c r="R131" s="13">
        <v>131.0</v>
      </c>
      <c r="S131" s="13">
        <v>0.0</v>
      </c>
      <c r="T131" s="13">
        <v>0.0</v>
      </c>
      <c r="U131" s="13">
        <v>127.0</v>
      </c>
    </row>
    <row r="132">
      <c r="A132" s="6" t="s">
        <v>127</v>
      </c>
      <c r="B132" s="6" t="s">
        <v>125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  <c r="O132" s="6">
        <v>0.0</v>
      </c>
      <c r="P132" s="6">
        <v>0.0</v>
      </c>
      <c r="Q132" s="6">
        <v>0.0</v>
      </c>
      <c r="R132" s="6">
        <v>11.0</v>
      </c>
      <c r="S132" s="6">
        <v>0.0</v>
      </c>
      <c r="T132" s="6">
        <v>0.0</v>
      </c>
      <c r="U132" s="6">
        <v>127.0</v>
      </c>
    </row>
    <row r="133">
      <c r="A133" s="13" t="s">
        <v>143</v>
      </c>
      <c r="B133" s="13" t="s">
        <v>136</v>
      </c>
      <c r="C133" s="13">
        <v>0.0</v>
      </c>
      <c r="D133" s="13">
        <v>0.0</v>
      </c>
      <c r="E133" s="13">
        <v>0.0</v>
      </c>
      <c r="F133" s="13">
        <v>0.0</v>
      </c>
      <c r="G133" s="13">
        <v>0.0</v>
      </c>
      <c r="H133" s="13">
        <v>0.0</v>
      </c>
      <c r="I133" s="13">
        <v>0.0</v>
      </c>
      <c r="J133" s="13">
        <v>0.0</v>
      </c>
      <c r="K133" s="13">
        <v>0.0</v>
      </c>
      <c r="L133" s="13">
        <v>0.0</v>
      </c>
      <c r="M133" s="13">
        <v>0.0</v>
      </c>
      <c r="N133" s="13">
        <v>0.0</v>
      </c>
      <c r="O133" s="13">
        <v>0.0</v>
      </c>
      <c r="P133" s="13">
        <v>0.0</v>
      </c>
      <c r="Q133" s="13">
        <v>0.0</v>
      </c>
      <c r="R133" s="13">
        <v>127.0</v>
      </c>
      <c r="S133" s="13">
        <v>0.0</v>
      </c>
      <c r="T133" s="13">
        <v>0.0</v>
      </c>
      <c r="U133" s="13">
        <v>127.0</v>
      </c>
    </row>
    <row r="134">
      <c r="A134" s="6" t="s">
        <v>148</v>
      </c>
      <c r="B134" s="6" t="s">
        <v>149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>
        <v>0.0</v>
      </c>
      <c r="P134" s="6">
        <v>0.0</v>
      </c>
      <c r="Q134" s="6">
        <v>0.0</v>
      </c>
      <c r="R134" s="6">
        <v>23.0</v>
      </c>
      <c r="S134" s="6">
        <v>0.0</v>
      </c>
      <c r="T134" s="6">
        <v>0.0</v>
      </c>
      <c r="U134" s="6">
        <v>127.0</v>
      </c>
    </row>
    <row r="135">
      <c r="A135" s="13" t="s">
        <v>181</v>
      </c>
      <c r="B135" s="13" t="s">
        <v>174</v>
      </c>
      <c r="C135" s="13">
        <v>0.0</v>
      </c>
      <c r="D135" s="13">
        <v>0.0</v>
      </c>
      <c r="E135" s="13">
        <v>0.0</v>
      </c>
      <c r="F135" s="13">
        <v>0.0</v>
      </c>
      <c r="G135" s="13">
        <v>0.0</v>
      </c>
      <c r="H135" s="13">
        <v>0.0</v>
      </c>
      <c r="I135" s="13">
        <v>0.0</v>
      </c>
      <c r="J135" s="13">
        <v>0.0</v>
      </c>
      <c r="K135" s="13">
        <v>0.0</v>
      </c>
      <c r="L135" s="13">
        <v>0.0</v>
      </c>
      <c r="M135" s="13">
        <v>0.0</v>
      </c>
      <c r="N135" s="13">
        <v>0.0</v>
      </c>
      <c r="O135" s="13">
        <v>0.0</v>
      </c>
      <c r="P135" s="13">
        <v>0.0</v>
      </c>
      <c r="Q135" s="13">
        <v>0.0</v>
      </c>
      <c r="R135" s="13">
        <v>69.0</v>
      </c>
      <c r="S135" s="13">
        <v>0.0</v>
      </c>
      <c r="T135" s="13">
        <v>0.0</v>
      </c>
      <c r="U135" s="13">
        <v>127.0</v>
      </c>
    </row>
    <row r="136">
      <c r="A136" s="6" t="s">
        <v>212</v>
      </c>
      <c r="B136" s="6" t="s">
        <v>213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  <c r="O136" s="6">
        <v>0.0</v>
      </c>
      <c r="P136" s="6">
        <v>0.0</v>
      </c>
      <c r="Q136" s="6">
        <v>0.0</v>
      </c>
      <c r="R136" s="6">
        <v>46.0</v>
      </c>
      <c r="S136" s="6">
        <v>0.0</v>
      </c>
      <c r="T136" s="6">
        <v>0.0</v>
      </c>
      <c r="U136" s="6">
        <v>127.0</v>
      </c>
    </row>
    <row r="137">
      <c r="A137" s="13" t="s">
        <v>217</v>
      </c>
      <c r="B137" s="13" t="s">
        <v>213</v>
      </c>
      <c r="C137" s="13">
        <v>0.0</v>
      </c>
      <c r="D137" s="13">
        <v>0.0</v>
      </c>
      <c r="E137" s="13">
        <v>0.0</v>
      </c>
      <c r="F137" s="13">
        <v>0.0</v>
      </c>
      <c r="G137" s="13">
        <v>0.0</v>
      </c>
      <c r="H137" s="13">
        <v>0.0</v>
      </c>
      <c r="I137" s="13">
        <v>0.0</v>
      </c>
      <c r="J137" s="13">
        <v>0.0</v>
      </c>
      <c r="K137" s="13">
        <v>0.0</v>
      </c>
      <c r="L137" s="13">
        <v>0.0</v>
      </c>
      <c r="M137" s="13">
        <v>0.0</v>
      </c>
      <c r="N137" s="13">
        <v>0.0</v>
      </c>
      <c r="O137" s="13">
        <v>0.0</v>
      </c>
      <c r="P137" s="13">
        <v>0.0</v>
      </c>
      <c r="Q137" s="13">
        <v>0.0</v>
      </c>
      <c r="R137" s="13">
        <v>11.0</v>
      </c>
      <c r="S137" s="13">
        <v>0.0</v>
      </c>
      <c r="T137" s="13">
        <v>0.0</v>
      </c>
      <c r="U137" s="13">
        <v>127.0</v>
      </c>
    </row>
    <row r="138">
      <c r="A138" s="6" t="s">
        <v>244</v>
      </c>
      <c r="B138" s="6" t="s">
        <v>240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  <c r="O138" s="6">
        <v>0.0</v>
      </c>
      <c r="P138" s="6">
        <v>0.0</v>
      </c>
      <c r="Q138" s="6">
        <v>0.0</v>
      </c>
      <c r="R138" s="6">
        <v>277.0</v>
      </c>
      <c r="S138" s="6">
        <v>0.0</v>
      </c>
      <c r="T138" s="6">
        <v>0.0</v>
      </c>
      <c r="U138" s="6">
        <v>127.0</v>
      </c>
    </row>
    <row r="139">
      <c r="A139" s="13" t="s">
        <v>250</v>
      </c>
      <c r="B139" s="13" t="s">
        <v>251</v>
      </c>
      <c r="C139" s="13">
        <v>0.0</v>
      </c>
      <c r="D139" s="13">
        <v>0.0</v>
      </c>
      <c r="E139" s="13">
        <v>0.0</v>
      </c>
      <c r="F139" s="13">
        <v>0.0</v>
      </c>
      <c r="G139" s="13">
        <v>0.0</v>
      </c>
      <c r="H139" s="13">
        <v>0.0</v>
      </c>
      <c r="I139" s="13">
        <v>0.0</v>
      </c>
      <c r="J139" s="13">
        <v>0.0</v>
      </c>
      <c r="K139" s="13">
        <v>0.0</v>
      </c>
      <c r="L139" s="13">
        <v>0.0</v>
      </c>
      <c r="M139" s="13">
        <v>0.0</v>
      </c>
      <c r="N139" s="13">
        <v>0.0</v>
      </c>
      <c r="O139" s="13">
        <v>0.0</v>
      </c>
      <c r="P139" s="13">
        <v>0.0</v>
      </c>
      <c r="Q139" s="13">
        <v>0.0</v>
      </c>
      <c r="R139" s="13">
        <v>46.0</v>
      </c>
      <c r="S139" s="13">
        <v>0.0</v>
      </c>
      <c r="T139" s="13">
        <v>0.0</v>
      </c>
      <c r="U139" s="13">
        <v>127.0</v>
      </c>
    </row>
    <row r="140">
      <c r="A140" s="6" t="s">
        <v>254</v>
      </c>
      <c r="B140" s="6" t="s">
        <v>251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  <c r="O140" s="6">
        <v>0.0</v>
      </c>
      <c r="P140" s="6">
        <v>0.0</v>
      </c>
      <c r="Q140" s="6">
        <v>0.0</v>
      </c>
      <c r="R140" s="6">
        <v>92.0</v>
      </c>
      <c r="S140" s="6">
        <v>0.0</v>
      </c>
      <c r="T140" s="6">
        <v>0.0</v>
      </c>
      <c r="U140" s="6">
        <v>127.0</v>
      </c>
    </row>
    <row r="141">
      <c r="A141" s="13" t="s">
        <v>265</v>
      </c>
      <c r="B141" s="13" t="s">
        <v>263</v>
      </c>
      <c r="C141" s="13">
        <v>0.0</v>
      </c>
      <c r="D141" s="13">
        <v>0.0</v>
      </c>
      <c r="E141" s="13">
        <v>0.0</v>
      </c>
      <c r="F141" s="13">
        <v>0.0</v>
      </c>
      <c r="G141" s="13">
        <v>0.0</v>
      </c>
      <c r="H141" s="13">
        <v>0.0</v>
      </c>
      <c r="I141" s="13">
        <v>0.0</v>
      </c>
      <c r="J141" s="13">
        <v>0.0</v>
      </c>
      <c r="K141" s="13">
        <v>0.0</v>
      </c>
      <c r="L141" s="13">
        <v>0.0</v>
      </c>
      <c r="M141" s="13">
        <v>0.0</v>
      </c>
      <c r="N141" s="13">
        <v>0.0</v>
      </c>
      <c r="O141" s="13">
        <v>0.0</v>
      </c>
      <c r="P141" s="13">
        <v>0.0</v>
      </c>
      <c r="Q141" s="13">
        <v>0.0</v>
      </c>
      <c r="R141" s="13">
        <v>149.0</v>
      </c>
      <c r="S141" s="13">
        <v>0.0</v>
      </c>
      <c r="T141" s="13">
        <v>0.0</v>
      </c>
      <c r="U141" s="13">
        <v>127.0</v>
      </c>
    </row>
    <row r="142">
      <c r="A142" s="6" t="s">
        <v>268</v>
      </c>
      <c r="B142" s="6" t="s">
        <v>263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>
        <v>0.0</v>
      </c>
      <c r="P142" s="6">
        <v>0.0</v>
      </c>
      <c r="Q142" s="6">
        <v>0.0</v>
      </c>
      <c r="R142" s="6">
        <v>148.0</v>
      </c>
      <c r="S142" s="6">
        <v>0.0</v>
      </c>
      <c r="T142" s="6">
        <v>0.0</v>
      </c>
      <c r="U142" s="6">
        <v>127.0</v>
      </c>
    </row>
    <row r="143">
      <c r="A143" s="13" t="s">
        <v>305</v>
      </c>
      <c r="B143" s="13" t="s">
        <v>303</v>
      </c>
      <c r="C143" s="13">
        <v>0.0</v>
      </c>
      <c r="D143" s="13">
        <v>0.0</v>
      </c>
      <c r="E143" s="13">
        <v>0.0</v>
      </c>
      <c r="F143" s="13">
        <v>0.0</v>
      </c>
      <c r="G143" s="13">
        <v>0.0</v>
      </c>
      <c r="H143" s="13">
        <v>0.0</v>
      </c>
      <c r="I143" s="13">
        <v>0.0</v>
      </c>
      <c r="J143" s="13">
        <v>0.0</v>
      </c>
      <c r="K143" s="13">
        <v>0.0</v>
      </c>
      <c r="L143" s="13">
        <v>0.0</v>
      </c>
      <c r="M143" s="13">
        <v>0.0</v>
      </c>
      <c r="N143" s="13">
        <v>0.0</v>
      </c>
      <c r="O143" s="13">
        <v>0.0</v>
      </c>
      <c r="P143" s="13">
        <v>0.0</v>
      </c>
      <c r="Q143" s="13">
        <v>0.0</v>
      </c>
      <c r="R143" s="13">
        <v>126.0</v>
      </c>
      <c r="S143" s="13">
        <v>0.0</v>
      </c>
      <c r="T143" s="13">
        <v>0.0</v>
      </c>
      <c r="U143" s="13">
        <v>127.0</v>
      </c>
    </row>
    <row r="144">
      <c r="A144" s="6" t="s">
        <v>313</v>
      </c>
      <c r="B144" s="6" t="s">
        <v>303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  <c r="O144" s="6">
        <v>0.0</v>
      </c>
      <c r="P144" s="6">
        <v>0.0</v>
      </c>
      <c r="Q144" s="6">
        <v>0.0</v>
      </c>
      <c r="R144" s="6">
        <v>114.0</v>
      </c>
      <c r="S144" s="6">
        <v>0.0</v>
      </c>
      <c r="T144" s="6">
        <v>0.0</v>
      </c>
      <c r="U144" s="6">
        <v>127.0</v>
      </c>
    </row>
    <row r="145">
      <c r="A145" s="13" t="s">
        <v>317</v>
      </c>
      <c r="B145" s="13" t="s">
        <v>318</v>
      </c>
      <c r="C145" s="13">
        <v>0.0</v>
      </c>
      <c r="D145" s="13">
        <v>0.0</v>
      </c>
      <c r="E145" s="13">
        <v>0.0</v>
      </c>
      <c r="F145" s="13">
        <v>0.0</v>
      </c>
      <c r="G145" s="13">
        <v>0.0</v>
      </c>
      <c r="H145" s="13">
        <v>0.0</v>
      </c>
      <c r="I145" s="13">
        <v>0.0</v>
      </c>
      <c r="J145" s="13">
        <v>0.0</v>
      </c>
      <c r="K145" s="13">
        <v>0.0</v>
      </c>
      <c r="L145" s="13">
        <v>0.0</v>
      </c>
      <c r="M145" s="13">
        <v>0.0</v>
      </c>
      <c r="N145" s="13">
        <v>0.0</v>
      </c>
      <c r="O145" s="13">
        <v>0.0</v>
      </c>
      <c r="P145" s="13">
        <v>0.0</v>
      </c>
      <c r="Q145" s="13">
        <v>0.0</v>
      </c>
      <c r="R145" s="13">
        <v>24.0</v>
      </c>
      <c r="S145" s="13">
        <v>0.0</v>
      </c>
      <c r="T145" s="13">
        <v>0.0</v>
      </c>
      <c r="U145" s="13">
        <v>127.0</v>
      </c>
    </row>
    <row r="146">
      <c r="A146" s="6" t="s">
        <v>294</v>
      </c>
      <c r="B146" s="6" t="s">
        <v>292</v>
      </c>
      <c r="C146" s="6">
        <v>-4.0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  <c r="O146" s="6">
        <v>0.0</v>
      </c>
      <c r="P146" s="6">
        <v>0.0</v>
      </c>
      <c r="Q146" s="6">
        <v>0.0</v>
      </c>
      <c r="R146" s="6">
        <v>175.0</v>
      </c>
      <c r="S146" s="6">
        <v>-4.0</v>
      </c>
      <c r="T146" s="6">
        <v>-0.5257142857142857</v>
      </c>
      <c r="U146" s="6">
        <v>145.0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25.63"/>
    <col customWidth="1" min="3" max="19" width="9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20</v>
      </c>
      <c r="T1" s="2" t="s">
        <v>21</v>
      </c>
      <c r="U1" s="2" t="s">
        <v>22</v>
      </c>
    </row>
    <row r="2">
      <c r="A2" s="5" t="str">
        <f t="array" ref="A2:U119">sort(PointComp!A2:U119, 21, TRUE)</f>
        <v>Naveen</v>
      </c>
      <c r="B2" s="6" t="s">
        <v>131</v>
      </c>
      <c r="C2" s="6">
        <v>0.0</v>
      </c>
      <c r="D2" s="6">
        <v>36.0</v>
      </c>
      <c r="E2" s="6">
        <v>12.0</v>
      </c>
      <c r="F2" s="6">
        <v>24.0</v>
      </c>
      <c r="G2" s="6">
        <v>48.0</v>
      </c>
      <c r="H2" s="6">
        <v>48.0</v>
      </c>
      <c r="I2" s="6">
        <v>20.0</v>
      </c>
      <c r="J2" s="6">
        <v>36.0</v>
      </c>
      <c r="K2" s="6">
        <v>48.0</v>
      </c>
      <c r="L2" s="6">
        <v>40.0</v>
      </c>
      <c r="M2" s="6">
        <v>56.0</v>
      </c>
      <c r="N2" s="6">
        <v>48.0</v>
      </c>
      <c r="O2" s="6">
        <v>56.0</v>
      </c>
      <c r="P2" s="6">
        <v>32.0</v>
      </c>
      <c r="Q2" s="6">
        <v>20.0</v>
      </c>
      <c r="R2" s="6">
        <v>322.0</v>
      </c>
      <c r="S2" s="6">
        <v>524.0</v>
      </c>
      <c r="T2" s="6">
        <v>37.42857142857143</v>
      </c>
      <c r="U2" s="6">
        <v>1.0</v>
      </c>
    </row>
    <row r="3">
      <c r="A3" s="13" t="s">
        <v>158</v>
      </c>
      <c r="B3" s="13" t="s">
        <v>151</v>
      </c>
      <c r="C3" s="13">
        <v>52.0</v>
      </c>
      <c r="D3" s="13">
        <v>36.0</v>
      </c>
      <c r="E3" s="13">
        <v>20.0</v>
      </c>
      <c r="F3" s="13">
        <v>44.0</v>
      </c>
      <c r="G3" s="13">
        <v>12.0</v>
      </c>
      <c r="H3" s="13">
        <v>32.0</v>
      </c>
      <c r="I3" s="13">
        <v>28.0</v>
      </c>
      <c r="J3" s="13">
        <v>28.0</v>
      </c>
      <c r="K3" s="13">
        <v>20.0</v>
      </c>
      <c r="L3" s="13">
        <v>12.0</v>
      </c>
      <c r="M3" s="13">
        <v>56.0</v>
      </c>
      <c r="N3" s="13">
        <v>64.0</v>
      </c>
      <c r="O3" s="13">
        <v>52.0</v>
      </c>
      <c r="P3" s="13">
        <v>28.0</v>
      </c>
      <c r="Q3" s="13">
        <v>28.0</v>
      </c>
      <c r="R3" s="13">
        <v>345.0</v>
      </c>
      <c r="S3" s="13">
        <v>512.0</v>
      </c>
      <c r="T3" s="13">
        <v>34.13333333333333</v>
      </c>
      <c r="U3" s="13">
        <v>2.0</v>
      </c>
    </row>
    <row r="4">
      <c r="A4" s="6" t="s">
        <v>271</v>
      </c>
      <c r="B4" s="6" t="s">
        <v>272</v>
      </c>
      <c r="C4" s="6">
        <v>28.0</v>
      </c>
      <c r="D4" s="6">
        <v>56.0</v>
      </c>
      <c r="E4" s="6">
        <v>28.0</v>
      </c>
      <c r="F4" s="6">
        <v>36.0</v>
      </c>
      <c r="G4" s="6">
        <v>32.0</v>
      </c>
      <c r="H4" s="6">
        <v>44.0</v>
      </c>
      <c r="I4" s="6">
        <v>28.0</v>
      </c>
      <c r="J4" s="6">
        <v>40.0</v>
      </c>
      <c r="K4" s="6">
        <v>20.0</v>
      </c>
      <c r="L4" s="6">
        <v>28.0</v>
      </c>
      <c r="M4" s="6">
        <v>20.0</v>
      </c>
      <c r="N4" s="6">
        <v>48.0</v>
      </c>
      <c r="O4" s="6">
        <v>12.0</v>
      </c>
      <c r="P4" s="6">
        <v>44.0</v>
      </c>
      <c r="Q4" s="6">
        <v>20.0</v>
      </c>
      <c r="R4" s="6">
        <v>345.0</v>
      </c>
      <c r="S4" s="6">
        <v>484.0</v>
      </c>
      <c r="T4" s="6">
        <v>32.266666666666666</v>
      </c>
      <c r="U4" s="6">
        <v>3.0</v>
      </c>
    </row>
    <row r="5">
      <c r="A5" s="13" t="s">
        <v>168</v>
      </c>
      <c r="B5" s="13" t="s">
        <v>166</v>
      </c>
      <c r="C5" s="13">
        <v>32.0</v>
      </c>
      <c r="D5" s="13">
        <v>48.0</v>
      </c>
      <c r="E5" s="13">
        <v>32.0</v>
      </c>
      <c r="F5" s="13">
        <v>24.0</v>
      </c>
      <c r="G5" s="13">
        <v>28.0</v>
      </c>
      <c r="H5" s="13">
        <v>12.0</v>
      </c>
      <c r="I5" s="13">
        <v>20.0</v>
      </c>
      <c r="J5" s="13">
        <v>24.0</v>
      </c>
      <c r="K5" s="13">
        <v>44.0</v>
      </c>
      <c r="L5" s="13">
        <v>36.0</v>
      </c>
      <c r="M5" s="13">
        <v>28.0</v>
      </c>
      <c r="N5" s="13">
        <v>44.0</v>
      </c>
      <c r="O5" s="13">
        <v>24.0</v>
      </c>
      <c r="P5" s="13">
        <v>40.0</v>
      </c>
      <c r="Q5" s="13">
        <v>24.0</v>
      </c>
      <c r="R5" s="13">
        <v>345.0</v>
      </c>
      <c r="S5" s="13">
        <v>460.0</v>
      </c>
      <c r="T5" s="13">
        <v>30.666666666666668</v>
      </c>
      <c r="U5" s="13">
        <v>4.0</v>
      </c>
    </row>
    <row r="6">
      <c r="A6" s="6" t="s">
        <v>228</v>
      </c>
      <c r="B6" s="6" t="s">
        <v>223</v>
      </c>
      <c r="C6" s="6">
        <v>40.0</v>
      </c>
      <c r="D6" s="6">
        <v>28.0</v>
      </c>
      <c r="E6" s="6">
        <v>32.0</v>
      </c>
      <c r="F6" s="6">
        <v>40.0</v>
      </c>
      <c r="G6" s="6">
        <v>32.0</v>
      </c>
      <c r="H6" s="6">
        <v>32.0</v>
      </c>
      <c r="I6" s="6">
        <v>28.0</v>
      </c>
      <c r="J6" s="6">
        <v>16.0</v>
      </c>
      <c r="K6" s="6">
        <v>20.0</v>
      </c>
      <c r="L6" s="6">
        <v>24.0</v>
      </c>
      <c r="M6" s="6">
        <v>12.0</v>
      </c>
      <c r="N6" s="6">
        <v>32.0</v>
      </c>
      <c r="O6" s="6">
        <v>36.0</v>
      </c>
      <c r="P6" s="6">
        <v>28.0</v>
      </c>
      <c r="Q6" s="6">
        <v>24.0</v>
      </c>
      <c r="R6" s="6">
        <v>345.0</v>
      </c>
      <c r="S6" s="6">
        <v>424.0</v>
      </c>
      <c r="T6" s="6">
        <v>28.266666666666666</v>
      </c>
      <c r="U6" s="6">
        <v>5.0</v>
      </c>
    </row>
    <row r="7">
      <c r="A7" s="13" t="s">
        <v>216</v>
      </c>
      <c r="B7" s="13" t="s">
        <v>210</v>
      </c>
      <c r="C7" s="13">
        <v>20.0</v>
      </c>
      <c r="D7" s="13">
        <v>40.0</v>
      </c>
      <c r="E7" s="13">
        <v>0.0</v>
      </c>
      <c r="F7" s="13">
        <v>24.0</v>
      </c>
      <c r="G7" s="13">
        <v>28.0</v>
      </c>
      <c r="H7" s="13">
        <v>36.0</v>
      </c>
      <c r="I7" s="13">
        <v>0.0</v>
      </c>
      <c r="J7" s="13">
        <v>24.0</v>
      </c>
      <c r="K7" s="13">
        <v>12.0</v>
      </c>
      <c r="L7" s="13">
        <v>44.0</v>
      </c>
      <c r="M7" s="13">
        <v>12.0</v>
      </c>
      <c r="N7" s="13">
        <v>48.0</v>
      </c>
      <c r="O7" s="13">
        <v>40.0</v>
      </c>
      <c r="P7" s="13">
        <v>4.0</v>
      </c>
      <c r="Q7" s="13">
        <v>36.0</v>
      </c>
      <c r="R7" s="13">
        <v>310.0</v>
      </c>
      <c r="S7" s="13">
        <v>368.0</v>
      </c>
      <c r="T7" s="13">
        <v>27.303225806451614</v>
      </c>
      <c r="U7" s="13">
        <v>6.0</v>
      </c>
    </row>
    <row r="8">
      <c r="A8" s="6" t="s">
        <v>192</v>
      </c>
      <c r="B8" s="6" t="s">
        <v>188</v>
      </c>
      <c r="C8" s="6">
        <v>12.0</v>
      </c>
      <c r="D8" s="6">
        <v>48.0</v>
      </c>
      <c r="E8" s="6">
        <v>0.0</v>
      </c>
      <c r="F8" s="6">
        <v>32.0</v>
      </c>
      <c r="G8" s="6">
        <v>24.0</v>
      </c>
      <c r="H8" s="6">
        <v>12.0</v>
      </c>
      <c r="I8" s="6">
        <v>12.0</v>
      </c>
      <c r="J8" s="6">
        <v>0.0</v>
      </c>
      <c r="K8" s="6">
        <v>24.0</v>
      </c>
      <c r="L8" s="6">
        <v>0.0</v>
      </c>
      <c r="M8" s="6">
        <v>0.0</v>
      </c>
      <c r="N8" s="6">
        <v>12.0</v>
      </c>
      <c r="O8" s="6">
        <v>0.0</v>
      </c>
      <c r="P8" s="6">
        <v>20.0</v>
      </c>
      <c r="Q8" s="6">
        <v>12.0</v>
      </c>
      <c r="R8" s="6">
        <v>212.0</v>
      </c>
      <c r="S8" s="6">
        <v>208.0</v>
      </c>
      <c r="T8" s="6">
        <v>22.566037735849058</v>
      </c>
      <c r="U8" s="6">
        <v>7.0</v>
      </c>
    </row>
    <row r="9">
      <c r="A9" s="13" t="s">
        <v>42</v>
      </c>
      <c r="B9" s="13" t="s">
        <v>35</v>
      </c>
      <c r="C9" s="13">
        <v>4.0</v>
      </c>
      <c r="D9" s="13">
        <v>16.0</v>
      </c>
      <c r="E9" s="13">
        <v>16.0</v>
      </c>
      <c r="F9" s="13">
        <v>20.0</v>
      </c>
      <c r="G9" s="13">
        <v>20.0</v>
      </c>
      <c r="H9" s="13">
        <v>12.0</v>
      </c>
      <c r="I9" s="13">
        <v>12.0</v>
      </c>
      <c r="J9" s="13">
        <v>24.0</v>
      </c>
      <c r="K9" s="13">
        <v>20.0</v>
      </c>
      <c r="L9" s="13">
        <v>24.0</v>
      </c>
      <c r="M9" s="13">
        <v>32.0</v>
      </c>
      <c r="N9" s="13">
        <v>52.0</v>
      </c>
      <c r="O9" s="13">
        <v>12.0</v>
      </c>
      <c r="P9" s="13">
        <v>28.0</v>
      </c>
      <c r="Q9" s="13">
        <v>24.0</v>
      </c>
      <c r="R9" s="13">
        <v>345.0</v>
      </c>
      <c r="S9" s="13">
        <v>316.0</v>
      </c>
      <c r="T9" s="13">
        <v>21.066666666666666</v>
      </c>
      <c r="U9" s="13">
        <v>8.0</v>
      </c>
    </row>
    <row r="10">
      <c r="A10" s="6" t="s">
        <v>75</v>
      </c>
      <c r="B10" s="6" t="s">
        <v>72</v>
      </c>
      <c r="C10" s="6">
        <v>16.0</v>
      </c>
      <c r="D10" s="6">
        <v>36.0</v>
      </c>
      <c r="E10" s="6">
        <v>28.0</v>
      </c>
      <c r="F10" s="6">
        <v>12.0</v>
      </c>
      <c r="G10" s="6">
        <v>20.0</v>
      </c>
      <c r="H10" s="6">
        <v>28.0</v>
      </c>
      <c r="I10" s="6">
        <v>12.0</v>
      </c>
      <c r="J10" s="6">
        <v>28.0</v>
      </c>
      <c r="K10" s="6">
        <v>4.0</v>
      </c>
      <c r="L10" s="6">
        <v>16.0</v>
      </c>
      <c r="M10" s="6">
        <v>8.0</v>
      </c>
      <c r="N10" s="6">
        <v>24.0</v>
      </c>
      <c r="O10" s="6">
        <v>32.0</v>
      </c>
      <c r="P10" s="6">
        <v>16.0</v>
      </c>
      <c r="Q10" s="6">
        <v>36.0</v>
      </c>
      <c r="R10" s="6">
        <v>345.0</v>
      </c>
      <c r="S10" s="6">
        <v>316.0</v>
      </c>
      <c r="T10" s="6">
        <v>21.066666666666666</v>
      </c>
      <c r="U10" s="6">
        <v>8.0</v>
      </c>
    </row>
    <row r="11">
      <c r="A11" s="13" t="s">
        <v>194</v>
      </c>
      <c r="B11" s="13" t="s">
        <v>188</v>
      </c>
      <c r="C11" s="13">
        <v>0.0</v>
      </c>
      <c r="D11" s="13">
        <v>0.0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3">
        <v>0.0</v>
      </c>
      <c r="L11" s="13">
        <v>20.0</v>
      </c>
      <c r="M11" s="13">
        <v>0.0</v>
      </c>
      <c r="N11" s="13">
        <v>0.0</v>
      </c>
      <c r="O11" s="13">
        <v>0.0</v>
      </c>
      <c r="P11" s="13">
        <v>0.0</v>
      </c>
      <c r="Q11" s="13">
        <v>0.0</v>
      </c>
      <c r="R11" s="13">
        <v>23.0</v>
      </c>
      <c r="S11" s="13">
        <v>20.0</v>
      </c>
      <c r="T11" s="13">
        <v>20.0</v>
      </c>
      <c r="U11" s="13">
        <v>10.0</v>
      </c>
    </row>
    <row r="12">
      <c r="A12" s="6" t="s">
        <v>267</v>
      </c>
      <c r="B12" s="6" t="s">
        <v>261</v>
      </c>
      <c r="C12" s="6">
        <v>12.0</v>
      </c>
      <c r="D12" s="6">
        <v>24.0</v>
      </c>
      <c r="E12" s="6">
        <v>20.0</v>
      </c>
      <c r="F12" s="6">
        <v>12.0</v>
      </c>
      <c r="G12" s="6">
        <v>20.0</v>
      </c>
      <c r="H12" s="6">
        <v>16.0</v>
      </c>
      <c r="I12" s="6">
        <v>12.0</v>
      </c>
      <c r="J12" s="6">
        <v>32.0</v>
      </c>
      <c r="K12" s="6">
        <v>8.0</v>
      </c>
      <c r="L12" s="6">
        <v>28.0</v>
      </c>
      <c r="M12" s="6">
        <v>16.0</v>
      </c>
      <c r="N12" s="6">
        <v>24.0</v>
      </c>
      <c r="O12" s="6">
        <v>28.0</v>
      </c>
      <c r="P12" s="6">
        <v>16.0</v>
      </c>
      <c r="Q12" s="6">
        <v>28.0</v>
      </c>
      <c r="R12" s="6">
        <v>345.0</v>
      </c>
      <c r="S12" s="6">
        <v>296.0</v>
      </c>
      <c r="T12" s="6">
        <v>19.733333333333334</v>
      </c>
      <c r="U12" s="6">
        <v>11.0</v>
      </c>
    </row>
    <row r="13">
      <c r="A13" s="13" t="s">
        <v>178</v>
      </c>
      <c r="B13" s="13" t="s">
        <v>176</v>
      </c>
      <c r="C13" s="13">
        <v>24.0</v>
      </c>
      <c r="D13" s="13">
        <v>12.0</v>
      </c>
      <c r="E13" s="13">
        <v>24.0</v>
      </c>
      <c r="F13" s="13">
        <v>24.0</v>
      </c>
      <c r="G13" s="13">
        <v>8.0</v>
      </c>
      <c r="H13" s="13">
        <v>20.0</v>
      </c>
      <c r="I13" s="13">
        <v>8.0</v>
      </c>
      <c r="J13" s="13">
        <v>12.0</v>
      </c>
      <c r="K13" s="13">
        <v>24.0</v>
      </c>
      <c r="L13" s="13">
        <v>36.0</v>
      </c>
      <c r="M13" s="13">
        <v>4.0</v>
      </c>
      <c r="N13" s="13">
        <v>32.0</v>
      </c>
      <c r="O13" s="13">
        <v>24.0</v>
      </c>
      <c r="P13" s="13">
        <v>20.0</v>
      </c>
      <c r="Q13" s="13">
        <v>12.0</v>
      </c>
      <c r="R13" s="13">
        <v>345.0</v>
      </c>
      <c r="S13" s="13">
        <v>284.0</v>
      </c>
      <c r="T13" s="13">
        <v>18.933333333333334</v>
      </c>
      <c r="U13" s="13">
        <v>12.0</v>
      </c>
    </row>
    <row r="14">
      <c r="A14" s="6" t="s">
        <v>308</v>
      </c>
      <c r="B14" s="6" t="s">
        <v>309</v>
      </c>
      <c r="C14" s="6">
        <v>24.0</v>
      </c>
      <c r="D14" s="6">
        <v>8.0</v>
      </c>
      <c r="E14" s="6">
        <v>16.0</v>
      </c>
      <c r="F14" s="6">
        <v>20.0</v>
      </c>
      <c r="G14" s="6">
        <v>0.0</v>
      </c>
      <c r="H14" s="6">
        <v>24.0</v>
      </c>
      <c r="I14" s="6">
        <v>24.0</v>
      </c>
      <c r="J14" s="6">
        <v>28.0</v>
      </c>
      <c r="K14" s="6">
        <v>12.0</v>
      </c>
      <c r="L14" s="6">
        <v>-4.0</v>
      </c>
      <c r="M14" s="6">
        <v>12.0</v>
      </c>
      <c r="N14" s="6">
        <v>12.0</v>
      </c>
      <c r="O14" s="6">
        <v>32.0</v>
      </c>
      <c r="P14" s="6">
        <v>24.0</v>
      </c>
      <c r="Q14" s="6">
        <v>0.0</v>
      </c>
      <c r="R14" s="6">
        <v>322.0</v>
      </c>
      <c r="S14" s="6">
        <v>232.0</v>
      </c>
      <c r="T14" s="6">
        <v>16.571428571428573</v>
      </c>
      <c r="U14" s="6">
        <v>13.0</v>
      </c>
    </row>
    <row r="15">
      <c r="A15" s="13" t="s">
        <v>247</v>
      </c>
      <c r="B15" s="13" t="s">
        <v>248</v>
      </c>
      <c r="C15" s="13">
        <v>8.0</v>
      </c>
      <c r="D15" s="13">
        <v>20.0</v>
      </c>
      <c r="E15" s="13">
        <v>16.0</v>
      </c>
      <c r="F15" s="13">
        <v>24.0</v>
      </c>
      <c r="G15" s="13">
        <v>12.0</v>
      </c>
      <c r="H15" s="13">
        <v>0.0</v>
      </c>
      <c r="I15" s="13">
        <v>16.0</v>
      </c>
      <c r="J15" s="13">
        <v>20.0</v>
      </c>
      <c r="K15" s="13">
        <v>8.0</v>
      </c>
      <c r="L15" s="13">
        <v>28.0</v>
      </c>
      <c r="M15" s="13">
        <v>16.0</v>
      </c>
      <c r="N15" s="13">
        <v>28.0</v>
      </c>
      <c r="O15" s="13">
        <v>16.0</v>
      </c>
      <c r="P15" s="13">
        <v>4.0</v>
      </c>
      <c r="Q15" s="13">
        <v>8.0</v>
      </c>
      <c r="R15" s="13">
        <v>333.0</v>
      </c>
      <c r="S15" s="13">
        <v>224.0</v>
      </c>
      <c r="T15" s="13">
        <v>15.471471471471471</v>
      </c>
      <c r="U15" s="13">
        <v>14.0</v>
      </c>
    </row>
    <row r="16">
      <c r="A16" s="6" t="s">
        <v>256</v>
      </c>
      <c r="B16" s="6" t="s">
        <v>248</v>
      </c>
      <c r="C16" s="6">
        <v>4.0</v>
      </c>
      <c r="D16" s="6">
        <v>12.0</v>
      </c>
      <c r="E16" s="6">
        <v>12.0</v>
      </c>
      <c r="F16" s="6">
        <v>0.0</v>
      </c>
      <c r="G16" s="6">
        <v>20.0</v>
      </c>
      <c r="H16" s="6">
        <v>16.0</v>
      </c>
      <c r="I16" s="6">
        <v>16.0</v>
      </c>
      <c r="J16" s="6">
        <v>12.0</v>
      </c>
      <c r="K16" s="6">
        <v>28.0</v>
      </c>
      <c r="L16" s="6">
        <v>8.0</v>
      </c>
      <c r="M16" s="6">
        <v>20.0</v>
      </c>
      <c r="N16" s="6">
        <v>24.0</v>
      </c>
      <c r="O16" s="6">
        <v>20.0</v>
      </c>
      <c r="P16" s="6">
        <v>32.0</v>
      </c>
      <c r="Q16" s="6">
        <v>4.0</v>
      </c>
      <c r="R16" s="6">
        <v>345.0</v>
      </c>
      <c r="S16" s="6">
        <v>228.0</v>
      </c>
      <c r="T16" s="6">
        <v>15.2</v>
      </c>
      <c r="U16" s="6">
        <v>15.0</v>
      </c>
    </row>
    <row r="17">
      <c r="A17" s="13" t="s">
        <v>269</v>
      </c>
      <c r="B17" s="13" t="s">
        <v>261</v>
      </c>
      <c r="C17" s="13">
        <v>16.0</v>
      </c>
      <c r="D17" s="13">
        <v>16.0</v>
      </c>
      <c r="E17" s="13">
        <v>20.0</v>
      </c>
      <c r="F17" s="13">
        <v>20.0</v>
      </c>
      <c r="G17" s="13">
        <v>12.0</v>
      </c>
      <c r="H17" s="13">
        <v>24.0</v>
      </c>
      <c r="I17" s="13">
        <v>16.0</v>
      </c>
      <c r="J17" s="13">
        <v>-4.0</v>
      </c>
      <c r="K17" s="13">
        <v>20.0</v>
      </c>
      <c r="L17" s="13">
        <v>20.0</v>
      </c>
      <c r="M17" s="13">
        <v>20.0</v>
      </c>
      <c r="N17" s="13">
        <v>28.0</v>
      </c>
      <c r="O17" s="13">
        <v>12.0</v>
      </c>
      <c r="P17" s="13">
        <v>0.0</v>
      </c>
      <c r="Q17" s="13">
        <v>0.0</v>
      </c>
      <c r="R17" s="13">
        <v>345.0</v>
      </c>
      <c r="S17" s="13">
        <v>220.0</v>
      </c>
      <c r="T17" s="13">
        <v>14.666666666666666</v>
      </c>
      <c r="U17" s="13">
        <v>16.0</v>
      </c>
    </row>
    <row r="18">
      <c r="A18" s="6" t="s">
        <v>202</v>
      </c>
      <c r="B18" s="6" t="s">
        <v>200</v>
      </c>
      <c r="C18" s="6">
        <v>24.0</v>
      </c>
      <c r="D18" s="6">
        <v>20.0</v>
      </c>
      <c r="E18" s="6">
        <v>8.0</v>
      </c>
      <c r="F18" s="6">
        <v>4.0</v>
      </c>
      <c r="G18" s="6">
        <v>12.0</v>
      </c>
      <c r="H18" s="6">
        <v>16.0</v>
      </c>
      <c r="I18" s="6">
        <v>12.0</v>
      </c>
      <c r="J18" s="6">
        <v>12.0</v>
      </c>
      <c r="K18" s="6">
        <v>12.0</v>
      </c>
      <c r="L18" s="6">
        <v>8.0</v>
      </c>
      <c r="M18" s="6">
        <v>0.0</v>
      </c>
      <c r="N18" s="6">
        <v>32.0</v>
      </c>
      <c r="O18" s="6">
        <v>20.0</v>
      </c>
      <c r="P18" s="6">
        <v>24.0</v>
      </c>
      <c r="Q18" s="6">
        <v>12.0</v>
      </c>
      <c r="R18" s="6">
        <v>345.0</v>
      </c>
      <c r="S18" s="6">
        <v>216.0</v>
      </c>
      <c r="T18" s="6">
        <v>14.4</v>
      </c>
      <c r="U18" s="6">
        <v>17.0</v>
      </c>
    </row>
    <row r="19">
      <c r="A19" s="13" t="s">
        <v>237</v>
      </c>
      <c r="B19" s="13" t="s">
        <v>235</v>
      </c>
      <c r="C19" s="13">
        <v>8.0</v>
      </c>
      <c r="D19" s="13">
        <v>20.0</v>
      </c>
      <c r="E19" s="13">
        <v>28.0</v>
      </c>
      <c r="F19" s="13">
        <v>16.0</v>
      </c>
      <c r="G19" s="13">
        <v>0.0</v>
      </c>
      <c r="H19" s="13">
        <v>12.0</v>
      </c>
      <c r="I19" s="13">
        <v>4.0</v>
      </c>
      <c r="J19" s="13">
        <v>8.0</v>
      </c>
      <c r="K19" s="13">
        <v>28.0</v>
      </c>
      <c r="L19" s="13">
        <v>8.0</v>
      </c>
      <c r="M19" s="13">
        <v>0.0</v>
      </c>
      <c r="N19" s="13">
        <v>16.0</v>
      </c>
      <c r="O19" s="13">
        <v>20.0</v>
      </c>
      <c r="P19" s="13">
        <v>8.0</v>
      </c>
      <c r="Q19" s="13">
        <v>32.0</v>
      </c>
      <c r="R19" s="13">
        <v>345.0</v>
      </c>
      <c r="S19" s="13">
        <v>208.0</v>
      </c>
      <c r="T19" s="13">
        <v>13.866666666666667</v>
      </c>
      <c r="U19" s="13">
        <v>18.0</v>
      </c>
    </row>
    <row r="20">
      <c r="A20" s="6" t="s">
        <v>92</v>
      </c>
      <c r="B20" s="6" t="s">
        <v>84</v>
      </c>
      <c r="C20" s="6">
        <v>16.0</v>
      </c>
      <c r="D20" s="6">
        <v>4.0</v>
      </c>
      <c r="E20" s="6">
        <v>20.0</v>
      </c>
      <c r="F20" s="6">
        <v>8.0</v>
      </c>
      <c r="G20" s="6">
        <v>20.0</v>
      </c>
      <c r="H20" s="6">
        <v>4.0</v>
      </c>
      <c r="I20" s="6">
        <v>16.0</v>
      </c>
      <c r="J20" s="6">
        <v>4.0</v>
      </c>
      <c r="K20" s="6">
        <v>8.0</v>
      </c>
      <c r="L20" s="6">
        <v>8.0</v>
      </c>
      <c r="M20" s="6">
        <v>20.0</v>
      </c>
      <c r="N20" s="6">
        <v>16.0</v>
      </c>
      <c r="O20" s="6">
        <v>16.0</v>
      </c>
      <c r="P20" s="6">
        <v>8.0</v>
      </c>
      <c r="Q20" s="6">
        <v>20.0</v>
      </c>
      <c r="R20" s="6">
        <v>345.0</v>
      </c>
      <c r="S20" s="6">
        <v>188.0</v>
      </c>
      <c r="T20" s="6">
        <v>12.533333333333333</v>
      </c>
      <c r="U20" s="6">
        <v>19.0</v>
      </c>
    </row>
    <row r="21">
      <c r="A21" s="13" t="s">
        <v>96</v>
      </c>
      <c r="B21" s="13" t="s">
        <v>97</v>
      </c>
      <c r="C21" s="13">
        <v>16.0</v>
      </c>
      <c r="D21" s="13">
        <v>32.0</v>
      </c>
      <c r="E21" s="13">
        <v>8.0</v>
      </c>
      <c r="F21" s="13">
        <v>8.0</v>
      </c>
      <c r="G21" s="13">
        <v>0.0</v>
      </c>
      <c r="H21" s="13">
        <v>12.0</v>
      </c>
      <c r="I21" s="13">
        <v>0.0</v>
      </c>
      <c r="J21" s="13">
        <v>20.0</v>
      </c>
      <c r="K21" s="13">
        <v>8.0</v>
      </c>
      <c r="L21" s="13">
        <v>16.0</v>
      </c>
      <c r="M21" s="13">
        <v>0.0</v>
      </c>
      <c r="N21" s="13">
        <v>16.0</v>
      </c>
      <c r="O21" s="13">
        <v>12.0</v>
      </c>
      <c r="P21" s="13">
        <v>0.0</v>
      </c>
      <c r="Q21" s="13">
        <v>24.0</v>
      </c>
      <c r="R21" s="13">
        <v>322.0</v>
      </c>
      <c r="S21" s="13">
        <v>172.0</v>
      </c>
      <c r="T21" s="13">
        <v>12.285714285714286</v>
      </c>
      <c r="U21" s="13">
        <v>20.0</v>
      </c>
    </row>
    <row r="22">
      <c r="A22" s="6" t="s">
        <v>298</v>
      </c>
      <c r="B22" s="6" t="s">
        <v>299</v>
      </c>
      <c r="C22" s="6">
        <v>12.0</v>
      </c>
      <c r="D22" s="6">
        <v>8.0</v>
      </c>
      <c r="E22" s="6">
        <v>16.0</v>
      </c>
      <c r="F22" s="6">
        <v>28.0</v>
      </c>
      <c r="G22" s="6">
        <v>4.0</v>
      </c>
      <c r="H22" s="6">
        <v>4.0</v>
      </c>
      <c r="I22" s="6">
        <v>8.0</v>
      </c>
      <c r="J22" s="6">
        <v>20.0</v>
      </c>
      <c r="K22" s="6">
        <v>8.0</v>
      </c>
      <c r="L22" s="6">
        <v>12.0</v>
      </c>
      <c r="M22" s="6">
        <v>12.0</v>
      </c>
      <c r="N22" s="6">
        <v>4.0</v>
      </c>
      <c r="O22" s="6">
        <v>12.0</v>
      </c>
      <c r="P22" s="6">
        <v>16.0</v>
      </c>
      <c r="Q22" s="6">
        <v>16.0</v>
      </c>
      <c r="R22" s="6">
        <v>345.0</v>
      </c>
      <c r="S22" s="6">
        <v>180.0</v>
      </c>
      <c r="T22" s="6">
        <v>12.0</v>
      </c>
      <c r="U22" s="6">
        <v>21.0</v>
      </c>
    </row>
    <row r="23">
      <c r="A23" s="13" t="s">
        <v>26</v>
      </c>
      <c r="B23" s="13" t="s">
        <v>24</v>
      </c>
      <c r="C23" s="13">
        <v>16.0</v>
      </c>
      <c r="D23" s="13">
        <v>16.0</v>
      </c>
      <c r="E23" s="13">
        <v>20.0</v>
      </c>
      <c r="F23" s="13">
        <v>4.0</v>
      </c>
      <c r="G23" s="13">
        <v>8.0</v>
      </c>
      <c r="H23" s="13">
        <v>4.0</v>
      </c>
      <c r="I23" s="13">
        <v>8.0</v>
      </c>
      <c r="J23" s="13">
        <v>12.0</v>
      </c>
      <c r="K23" s="13">
        <v>16.0</v>
      </c>
      <c r="L23" s="13">
        <v>16.0</v>
      </c>
      <c r="M23" s="13">
        <v>24.0</v>
      </c>
      <c r="N23" s="13">
        <v>0.0</v>
      </c>
      <c r="O23" s="13">
        <v>4.0</v>
      </c>
      <c r="P23" s="13">
        <v>16.0</v>
      </c>
      <c r="Q23" s="13">
        <v>4.0</v>
      </c>
      <c r="R23" s="13">
        <v>345.0</v>
      </c>
      <c r="S23" s="13">
        <v>168.0</v>
      </c>
      <c r="T23" s="13">
        <v>11.2</v>
      </c>
      <c r="U23" s="13">
        <v>22.0</v>
      </c>
    </row>
    <row r="24">
      <c r="A24" s="6" t="s">
        <v>155</v>
      </c>
      <c r="B24" s="6" t="s">
        <v>151</v>
      </c>
      <c r="C24" s="6">
        <v>4.0</v>
      </c>
      <c r="D24" s="6">
        <v>20.0</v>
      </c>
      <c r="E24" s="6">
        <v>16.0</v>
      </c>
      <c r="F24" s="6">
        <v>12.0</v>
      </c>
      <c r="G24" s="6">
        <v>12.0</v>
      </c>
      <c r="H24" s="6">
        <v>20.0</v>
      </c>
      <c r="I24" s="6">
        <v>8.0</v>
      </c>
      <c r="J24" s="6">
        <v>4.0</v>
      </c>
      <c r="K24" s="6">
        <v>16.0</v>
      </c>
      <c r="L24" s="6">
        <v>4.0</v>
      </c>
      <c r="M24" s="6">
        <v>4.0</v>
      </c>
      <c r="N24" s="6">
        <v>16.0</v>
      </c>
      <c r="O24" s="6">
        <v>0.0</v>
      </c>
      <c r="P24" s="6">
        <v>12.0</v>
      </c>
      <c r="Q24" s="6">
        <v>16.0</v>
      </c>
      <c r="R24" s="6">
        <v>345.0</v>
      </c>
      <c r="S24" s="6">
        <v>164.0</v>
      </c>
      <c r="T24" s="6">
        <v>10.933333333333334</v>
      </c>
      <c r="U24" s="6">
        <v>23.0</v>
      </c>
    </row>
    <row r="25">
      <c r="A25" s="13" t="s">
        <v>260</v>
      </c>
      <c r="B25" s="13" t="s">
        <v>261</v>
      </c>
      <c r="C25" s="13">
        <v>16.0</v>
      </c>
      <c r="D25" s="13">
        <v>12.0</v>
      </c>
      <c r="E25" s="13">
        <v>12.0</v>
      </c>
      <c r="F25" s="13">
        <v>16.0</v>
      </c>
      <c r="G25" s="13">
        <v>12.0</v>
      </c>
      <c r="H25" s="13">
        <v>20.0</v>
      </c>
      <c r="I25" s="13">
        <v>8.0</v>
      </c>
      <c r="J25" s="13">
        <v>4.0</v>
      </c>
      <c r="K25" s="13">
        <v>8.0</v>
      </c>
      <c r="L25" s="13">
        <v>0.0</v>
      </c>
      <c r="M25" s="13">
        <v>16.0</v>
      </c>
      <c r="N25" s="13">
        <v>4.0</v>
      </c>
      <c r="O25" s="13">
        <v>16.0</v>
      </c>
      <c r="P25" s="13">
        <v>16.0</v>
      </c>
      <c r="Q25" s="13">
        <v>4.0</v>
      </c>
      <c r="R25" s="13">
        <v>345.0</v>
      </c>
      <c r="S25" s="13">
        <v>164.0</v>
      </c>
      <c r="T25" s="13">
        <v>10.933333333333334</v>
      </c>
      <c r="U25" s="13">
        <v>23.0</v>
      </c>
    </row>
    <row r="26">
      <c r="A26" s="6" t="s">
        <v>252</v>
      </c>
      <c r="B26" s="6" t="s">
        <v>248</v>
      </c>
      <c r="C26" s="6">
        <v>0.0</v>
      </c>
      <c r="D26" s="6">
        <v>12.0</v>
      </c>
      <c r="E26" s="6">
        <v>4.0</v>
      </c>
      <c r="F26" s="6">
        <v>0.0</v>
      </c>
      <c r="G26" s="6">
        <v>0.0</v>
      </c>
      <c r="H26" s="6">
        <v>12.0</v>
      </c>
      <c r="I26" s="6">
        <v>0.0</v>
      </c>
      <c r="J26" s="6">
        <v>0.0</v>
      </c>
      <c r="K26" s="6">
        <v>12.0</v>
      </c>
      <c r="L26" s="6">
        <v>0.0</v>
      </c>
      <c r="M26" s="6">
        <v>0.0</v>
      </c>
      <c r="N26" s="6">
        <v>0.0</v>
      </c>
      <c r="O26" s="6">
        <v>0.0</v>
      </c>
      <c r="P26" s="6">
        <v>0.0</v>
      </c>
      <c r="Q26" s="6">
        <v>0.0</v>
      </c>
      <c r="R26" s="6">
        <v>92.0</v>
      </c>
      <c r="S26" s="6">
        <v>40.0</v>
      </c>
      <c r="T26" s="6">
        <v>10.0</v>
      </c>
      <c r="U26" s="6">
        <v>25.0</v>
      </c>
    </row>
    <row r="27">
      <c r="A27" s="13" t="s">
        <v>31</v>
      </c>
      <c r="B27" s="13" t="s">
        <v>24</v>
      </c>
      <c r="C27" s="13">
        <v>0.0</v>
      </c>
      <c r="D27" s="13">
        <v>20.0</v>
      </c>
      <c r="E27" s="13">
        <v>12.0</v>
      </c>
      <c r="F27" s="13">
        <v>4.0</v>
      </c>
      <c r="G27" s="13">
        <v>4.0</v>
      </c>
      <c r="H27" s="13">
        <v>12.0</v>
      </c>
      <c r="I27" s="13">
        <v>8.0</v>
      </c>
      <c r="J27" s="13">
        <v>8.0</v>
      </c>
      <c r="K27" s="13">
        <v>16.0</v>
      </c>
      <c r="L27" s="13">
        <v>8.0</v>
      </c>
      <c r="M27" s="13">
        <v>12.0</v>
      </c>
      <c r="N27" s="13">
        <v>16.0</v>
      </c>
      <c r="O27" s="13">
        <v>8.0</v>
      </c>
      <c r="P27" s="13">
        <v>0.0</v>
      </c>
      <c r="Q27" s="13">
        <v>20.0</v>
      </c>
      <c r="R27" s="13">
        <v>345.0</v>
      </c>
      <c r="S27" s="13">
        <v>148.0</v>
      </c>
      <c r="T27" s="13">
        <v>9.866666666666667</v>
      </c>
      <c r="U27" s="13">
        <v>26.0</v>
      </c>
    </row>
    <row r="28">
      <c r="A28" s="6" t="s">
        <v>69</v>
      </c>
      <c r="B28" s="6" t="s">
        <v>61</v>
      </c>
      <c r="C28" s="6">
        <v>28.0</v>
      </c>
      <c r="D28" s="6">
        <v>8.0</v>
      </c>
      <c r="E28" s="6">
        <v>8.0</v>
      </c>
      <c r="F28" s="6">
        <v>-4.0</v>
      </c>
      <c r="G28" s="6">
        <v>16.0</v>
      </c>
      <c r="H28" s="6">
        <v>4.0</v>
      </c>
      <c r="I28" s="6">
        <v>12.0</v>
      </c>
      <c r="J28" s="6">
        <v>8.0</v>
      </c>
      <c r="K28" s="6">
        <v>-4.0</v>
      </c>
      <c r="L28" s="6">
        <v>16.0</v>
      </c>
      <c r="M28" s="6">
        <v>16.0</v>
      </c>
      <c r="N28" s="6">
        <v>20.0</v>
      </c>
      <c r="O28" s="6">
        <v>0.0</v>
      </c>
      <c r="P28" s="6">
        <v>8.0</v>
      </c>
      <c r="Q28" s="6">
        <v>0.0</v>
      </c>
      <c r="R28" s="6">
        <v>322.0</v>
      </c>
      <c r="S28" s="6">
        <v>136.0</v>
      </c>
      <c r="T28" s="6">
        <v>9.714285714285714</v>
      </c>
      <c r="U28" s="6">
        <v>27.0</v>
      </c>
    </row>
    <row r="29">
      <c r="A29" s="13" t="s">
        <v>65</v>
      </c>
      <c r="B29" s="13" t="s">
        <v>61</v>
      </c>
      <c r="C29" s="13">
        <v>-4.0</v>
      </c>
      <c r="D29" s="13">
        <v>4.0</v>
      </c>
      <c r="E29" s="13">
        <v>12.0</v>
      </c>
      <c r="F29" s="13">
        <v>12.0</v>
      </c>
      <c r="G29" s="13">
        <v>4.0</v>
      </c>
      <c r="H29" s="13">
        <v>8.0</v>
      </c>
      <c r="I29" s="13">
        <v>16.0</v>
      </c>
      <c r="J29" s="13">
        <v>4.0</v>
      </c>
      <c r="K29" s="13">
        <v>0.0</v>
      </c>
      <c r="L29" s="13">
        <v>4.0</v>
      </c>
      <c r="M29" s="13">
        <v>8.0</v>
      </c>
      <c r="N29" s="13">
        <v>32.0</v>
      </c>
      <c r="O29" s="13">
        <v>4.0</v>
      </c>
      <c r="P29" s="13">
        <v>8.0</v>
      </c>
      <c r="Q29" s="13">
        <v>32.0</v>
      </c>
      <c r="R29" s="13">
        <v>345.0</v>
      </c>
      <c r="S29" s="13">
        <v>144.0</v>
      </c>
      <c r="T29" s="13">
        <v>9.6</v>
      </c>
      <c r="U29" s="13">
        <v>28.0</v>
      </c>
    </row>
    <row r="30">
      <c r="A30" s="6" t="s">
        <v>71</v>
      </c>
      <c r="B30" s="6" t="s">
        <v>72</v>
      </c>
      <c r="C30" s="6">
        <v>4.0</v>
      </c>
      <c r="D30" s="6">
        <v>24.0</v>
      </c>
      <c r="E30" s="6">
        <v>12.0</v>
      </c>
      <c r="F30" s="6">
        <v>4.0</v>
      </c>
      <c r="G30" s="6">
        <v>0.0</v>
      </c>
      <c r="H30" s="6">
        <v>8.0</v>
      </c>
      <c r="I30" s="6">
        <v>12.0</v>
      </c>
      <c r="J30" s="6">
        <v>8.0</v>
      </c>
      <c r="K30" s="6">
        <v>16.0</v>
      </c>
      <c r="L30" s="6">
        <v>8.0</v>
      </c>
      <c r="M30" s="6">
        <v>4.0</v>
      </c>
      <c r="N30" s="6">
        <v>8.0</v>
      </c>
      <c r="O30" s="6">
        <v>12.0</v>
      </c>
      <c r="P30" s="6">
        <v>8.0</v>
      </c>
      <c r="Q30" s="6">
        <v>16.0</v>
      </c>
      <c r="R30" s="6">
        <v>345.0</v>
      </c>
      <c r="S30" s="6">
        <v>144.0</v>
      </c>
      <c r="T30" s="6">
        <v>9.6</v>
      </c>
      <c r="U30" s="6">
        <v>28.0</v>
      </c>
    </row>
    <row r="31">
      <c r="A31" s="13" t="s">
        <v>86</v>
      </c>
      <c r="B31" s="13" t="s">
        <v>84</v>
      </c>
      <c r="C31" s="13">
        <v>0.0</v>
      </c>
      <c r="D31" s="13">
        <v>8.0</v>
      </c>
      <c r="E31" s="13">
        <v>12.0</v>
      </c>
      <c r="F31" s="13">
        <v>12.0</v>
      </c>
      <c r="G31" s="13">
        <v>8.0</v>
      </c>
      <c r="H31" s="13">
        <v>12.0</v>
      </c>
      <c r="I31" s="13">
        <v>12.0</v>
      </c>
      <c r="J31" s="13">
        <v>4.0</v>
      </c>
      <c r="K31" s="13">
        <v>12.0</v>
      </c>
      <c r="L31" s="13">
        <v>16.0</v>
      </c>
      <c r="M31" s="13">
        <v>4.0</v>
      </c>
      <c r="N31" s="13">
        <v>8.0</v>
      </c>
      <c r="O31" s="13">
        <v>20.0</v>
      </c>
      <c r="P31" s="13">
        <v>0.0</v>
      </c>
      <c r="Q31" s="13">
        <v>12.0</v>
      </c>
      <c r="R31" s="13">
        <v>345.0</v>
      </c>
      <c r="S31" s="13">
        <v>140.0</v>
      </c>
      <c r="T31" s="13">
        <v>9.333333333333334</v>
      </c>
      <c r="U31" s="13">
        <v>30.0</v>
      </c>
    </row>
    <row r="32">
      <c r="A32" s="6" t="s">
        <v>175</v>
      </c>
      <c r="B32" s="6" t="s">
        <v>176</v>
      </c>
      <c r="C32" s="6">
        <v>8.0</v>
      </c>
      <c r="D32" s="6">
        <v>12.0</v>
      </c>
      <c r="E32" s="6">
        <v>16.0</v>
      </c>
      <c r="F32" s="6">
        <v>12.0</v>
      </c>
      <c r="G32" s="6">
        <v>4.0</v>
      </c>
      <c r="H32" s="6">
        <v>4.0</v>
      </c>
      <c r="I32" s="6">
        <v>8.0</v>
      </c>
      <c r="J32" s="6">
        <v>12.0</v>
      </c>
      <c r="K32" s="6">
        <v>8.0</v>
      </c>
      <c r="L32" s="6">
        <v>8.0</v>
      </c>
      <c r="M32" s="6">
        <v>8.0</v>
      </c>
      <c r="N32" s="6">
        <v>16.0</v>
      </c>
      <c r="O32" s="6">
        <v>12.0</v>
      </c>
      <c r="P32" s="6">
        <v>8.0</v>
      </c>
      <c r="Q32" s="6">
        <v>4.0</v>
      </c>
      <c r="R32" s="6">
        <v>345.0</v>
      </c>
      <c r="S32" s="6">
        <v>140.0</v>
      </c>
      <c r="T32" s="6">
        <v>9.333333333333334</v>
      </c>
      <c r="U32" s="6">
        <v>30.0</v>
      </c>
    </row>
    <row r="33">
      <c r="A33" s="13" t="s">
        <v>126</v>
      </c>
      <c r="B33" s="13" t="s">
        <v>120</v>
      </c>
      <c r="C33" s="13">
        <v>8.0</v>
      </c>
      <c r="D33" s="13">
        <v>4.0</v>
      </c>
      <c r="E33" s="13">
        <v>16.0</v>
      </c>
      <c r="F33" s="13">
        <v>0.0</v>
      </c>
      <c r="G33" s="13">
        <v>16.0</v>
      </c>
      <c r="H33" s="13">
        <v>4.0</v>
      </c>
      <c r="I33" s="13">
        <v>8.0</v>
      </c>
      <c r="J33" s="13">
        <v>8.0</v>
      </c>
      <c r="K33" s="13">
        <v>8.0</v>
      </c>
      <c r="L33" s="13">
        <v>20.0</v>
      </c>
      <c r="M33" s="13">
        <v>4.0</v>
      </c>
      <c r="N33" s="13">
        <v>16.0</v>
      </c>
      <c r="O33" s="13">
        <v>4.0</v>
      </c>
      <c r="P33" s="13">
        <v>12.0</v>
      </c>
      <c r="Q33" s="13">
        <v>8.0</v>
      </c>
      <c r="R33" s="13">
        <v>345.0</v>
      </c>
      <c r="S33" s="13">
        <v>136.0</v>
      </c>
      <c r="T33" s="13">
        <v>9.066666666666666</v>
      </c>
      <c r="U33" s="13">
        <v>32.0</v>
      </c>
    </row>
    <row r="34">
      <c r="A34" s="6" t="s">
        <v>34</v>
      </c>
      <c r="B34" s="6" t="s">
        <v>35</v>
      </c>
      <c r="C34" s="6">
        <v>8.0</v>
      </c>
      <c r="D34" s="6">
        <v>4.0</v>
      </c>
      <c r="E34" s="6">
        <v>8.0</v>
      </c>
      <c r="F34" s="6">
        <v>20.0</v>
      </c>
      <c r="G34" s="6">
        <v>12.0</v>
      </c>
      <c r="H34" s="6">
        <v>12.0</v>
      </c>
      <c r="I34" s="6">
        <v>4.0</v>
      </c>
      <c r="J34" s="6">
        <v>8.0</v>
      </c>
      <c r="K34" s="6">
        <v>12.0</v>
      </c>
      <c r="L34" s="6">
        <v>0.0</v>
      </c>
      <c r="M34" s="6">
        <v>12.0</v>
      </c>
      <c r="N34" s="6">
        <v>12.0</v>
      </c>
      <c r="O34" s="6">
        <v>8.0</v>
      </c>
      <c r="P34" s="6">
        <v>8.0</v>
      </c>
      <c r="Q34" s="6">
        <v>4.0</v>
      </c>
      <c r="R34" s="6">
        <v>345.0</v>
      </c>
      <c r="S34" s="6">
        <v>132.0</v>
      </c>
      <c r="T34" s="6">
        <v>8.8</v>
      </c>
      <c r="U34" s="6">
        <v>33.0</v>
      </c>
    </row>
    <row r="35">
      <c r="A35" s="13" t="s">
        <v>301</v>
      </c>
      <c r="B35" s="13" t="s">
        <v>299</v>
      </c>
      <c r="C35" s="13">
        <v>8.0</v>
      </c>
      <c r="D35" s="13">
        <v>0.0</v>
      </c>
      <c r="E35" s="13">
        <v>8.0</v>
      </c>
      <c r="F35" s="13">
        <v>8.0</v>
      </c>
      <c r="G35" s="13">
        <v>20.0</v>
      </c>
      <c r="H35" s="13">
        <v>12.0</v>
      </c>
      <c r="I35" s="13">
        <v>12.0</v>
      </c>
      <c r="J35" s="13">
        <v>12.0</v>
      </c>
      <c r="K35" s="13">
        <v>4.0</v>
      </c>
      <c r="L35" s="13">
        <v>4.0</v>
      </c>
      <c r="M35" s="13">
        <v>16.0</v>
      </c>
      <c r="N35" s="13">
        <v>8.0</v>
      </c>
      <c r="O35" s="13">
        <v>16.0</v>
      </c>
      <c r="P35" s="13">
        <v>0.0</v>
      </c>
      <c r="Q35" s="13">
        <v>4.0</v>
      </c>
      <c r="R35" s="13">
        <v>345.0</v>
      </c>
      <c r="S35" s="13">
        <v>132.0</v>
      </c>
      <c r="T35" s="13">
        <v>8.8</v>
      </c>
      <c r="U35" s="13">
        <v>33.0</v>
      </c>
    </row>
    <row r="36">
      <c r="A36" s="6" t="s">
        <v>66</v>
      </c>
      <c r="B36" s="6" t="s">
        <v>61</v>
      </c>
      <c r="C36" s="6">
        <v>0.0</v>
      </c>
      <c r="D36" s="6">
        <v>0.0</v>
      </c>
      <c r="E36" s="6">
        <v>8.0</v>
      </c>
      <c r="F36" s="6">
        <v>4.0</v>
      </c>
      <c r="G36" s="6">
        <v>16.0</v>
      </c>
      <c r="H36" s="6">
        <v>8.0</v>
      </c>
      <c r="I36" s="6">
        <v>12.0</v>
      </c>
      <c r="J36" s="6">
        <v>8.0</v>
      </c>
      <c r="K36" s="6">
        <v>8.0</v>
      </c>
      <c r="L36" s="6">
        <v>8.0</v>
      </c>
      <c r="M36" s="6">
        <v>8.0</v>
      </c>
      <c r="N36" s="6">
        <v>12.0</v>
      </c>
      <c r="O36" s="6">
        <v>20.0</v>
      </c>
      <c r="P36" s="6">
        <v>12.0</v>
      </c>
      <c r="Q36" s="6">
        <v>4.0</v>
      </c>
      <c r="R36" s="6">
        <v>345.0</v>
      </c>
      <c r="S36" s="6">
        <v>128.0</v>
      </c>
      <c r="T36" s="6">
        <v>8.533333333333333</v>
      </c>
      <c r="U36" s="6">
        <v>35.0</v>
      </c>
    </row>
    <row r="37">
      <c r="A37" s="13" t="s">
        <v>56</v>
      </c>
      <c r="B37" s="13" t="s">
        <v>48</v>
      </c>
      <c r="C37" s="13">
        <v>12.0</v>
      </c>
      <c r="D37" s="13">
        <v>0.0</v>
      </c>
      <c r="E37" s="13">
        <v>0.0</v>
      </c>
      <c r="F37" s="13">
        <v>4.0</v>
      </c>
      <c r="G37" s="13">
        <v>8.0</v>
      </c>
      <c r="H37" s="13">
        <v>4.0</v>
      </c>
      <c r="I37" s="13">
        <v>4.0</v>
      </c>
      <c r="J37" s="13">
        <v>12.0</v>
      </c>
      <c r="K37" s="13">
        <v>4.0</v>
      </c>
      <c r="L37" s="13">
        <v>0.0</v>
      </c>
      <c r="M37" s="13">
        <v>8.0</v>
      </c>
      <c r="N37" s="13">
        <v>16.0</v>
      </c>
      <c r="O37" s="13">
        <v>16.0</v>
      </c>
      <c r="P37" s="13">
        <v>20.0</v>
      </c>
      <c r="Q37" s="13">
        <v>8.0</v>
      </c>
      <c r="R37" s="13">
        <v>322.0</v>
      </c>
      <c r="S37" s="13">
        <v>116.0</v>
      </c>
      <c r="T37" s="13">
        <v>8.285714285714286</v>
      </c>
      <c r="U37" s="13">
        <v>36.0</v>
      </c>
    </row>
    <row r="38">
      <c r="A38" s="6" t="s">
        <v>304</v>
      </c>
      <c r="B38" s="6" t="s">
        <v>299</v>
      </c>
      <c r="C38" s="6">
        <v>0.0</v>
      </c>
      <c r="D38" s="6">
        <v>4.0</v>
      </c>
      <c r="E38" s="6">
        <v>0.0</v>
      </c>
      <c r="F38" s="6">
        <v>0.0</v>
      </c>
      <c r="G38" s="6">
        <v>12.0</v>
      </c>
      <c r="H38" s="6">
        <v>0.0</v>
      </c>
      <c r="I38" s="6">
        <v>4.0</v>
      </c>
      <c r="J38" s="6">
        <v>20.0</v>
      </c>
      <c r="K38" s="6">
        <v>12.0</v>
      </c>
      <c r="L38" s="6">
        <v>12.0</v>
      </c>
      <c r="M38" s="6">
        <v>8.0</v>
      </c>
      <c r="N38" s="6">
        <v>4.0</v>
      </c>
      <c r="O38" s="6">
        <v>24.0</v>
      </c>
      <c r="P38" s="6">
        <v>12.0</v>
      </c>
      <c r="Q38" s="6">
        <v>12.0</v>
      </c>
      <c r="R38" s="6">
        <v>345.0</v>
      </c>
      <c r="S38" s="6">
        <v>124.0</v>
      </c>
      <c r="T38" s="6">
        <v>8.266666666666667</v>
      </c>
      <c r="U38" s="6">
        <v>37.0</v>
      </c>
    </row>
    <row r="39">
      <c r="A39" s="13" t="s">
        <v>122</v>
      </c>
      <c r="B39" s="13" t="s">
        <v>120</v>
      </c>
      <c r="C39" s="13">
        <v>20.0</v>
      </c>
      <c r="D39" s="13">
        <v>8.0</v>
      </c>
      <c r="E39" s="13">
        <v>4.0</v>
      </c>
      <c r="F39" s="13">
        <v>8.0</v>
      </c>
      <c r="G39" s="13">
        <v>12.0</v>
      </c>
      <c r="H39" s="13">
        <v>16.0</v>
      </c>
      <c r="I39" s="13">
        <v>16.0</v>
      </c>
      <c r="J39" s="13">
        <v>4.0</v>
      </c>
      <c r="K39" s="13">
        <v>4.0</v>
      </c>
      <c r="L39" s="13">
        <v>4.0</v>
      </c>
      <c r="M39" s="13">
        <v>0.0</v>
      </c>
      <c r="N39" s="13">
        <v>8.0</v>
      </c>
      <c r="O39" s="13">
        <v>4.0</v>
      </c>
      <c r="P39" s="13">
        <v>12.0</v>
      </c>
      <c r="Q39" s="13">
        <v>0.0</v>
      </c>
      <c r="R39" s="13">
        <v>345.0</v>
      </c>
      <c r="S39" s="13">
        <v>120.0</v>
      </c>
      <c r="T39" s="13">
        <v>8.0</v>
      </c>
      <c r="U39" s="13">
        <v>38.0</v>
      </c>
    </row>
    <row r="40">
      <c r="A40" s="6" t="s">
        <v>170</v>
      </c>
      <c r="B40" s="6" t="s">
        <v>166</v>
      </c>
      <c r="C40" s="6">
        <v>16.0</v>
      </c>
      <c r="D40" s="6">
        <v>12.0</v>
      </c>
      <c r="E40" s="6">
        <v>20.0</v>
      </c>
      <c r="F40" s="6">
        <v>0.0</v>
      </c>
      <c r="G40" s="6">
        <v>8.0</v>
      </c>
      <c r="H40" s="6">
        <v>0.0</v>
      </c>
      <c r="I40" s="6">
        <v>0.0</v>
      </c>
      <c r="J40" s="6">
        <v>4.0</v>
      </c>
      <c r="K40" s="6">
        <v>0.0</v>
      </c>
      <c r="L40" s="6">
        <v>8.0</v>
      </c>
      <c r="M40" s="6">
        <v>0.0</v>
      </c>
      <c r="N40" s="6">
        <v>12.0</v>
      </c>
      <c r="O40" s="6">
        <v>4.0</v>
      </c>
      <c r="P40" s="6">
        <v>12.0</v>
      </c>
      <c r="Q40" s="6">
        <v>8.0</v>
      </c>
      <c r="R40" s="6">
        <v>318.0</v>
      </c>
      <c r="S40" s="6">
        <v>104.0</v>
      </c>
      <c r="T40" s="6">
        <v>7.522012578616352</v>
      </c>
      <c r="U40" s="6">
        <v>39.0</v>
      </c>
    </row>
    <row r="41">
      <c r="A41" s="13" t="s">
        <v>115</v>
      </c>
      <c r="B41" s="13" t="s">
        <v>108</v>
      </c>
      <c r="C41" s="13">
        <v>0.0</v>
      </c>
      <c r="D41" s="13">
        <v>0.0</v>
      </c>
      <c r="E41" s="13">
        <v>8.0</v>
      </c>
      <c r="F41" s="13">
        <v>0.0</v>
      </c>
      <c r="G41" s="13">
        <v>0.0</v>
      </c>
      <c r="H41" s="13">
        <v>16.0</v>
      </c>
      <c r="I41" s="13">
        <v>8.0</v>
      </c>
      <c r="J41" s="13">
        <v>4.0</v>
      </c>
      <c r="K41" s="13">
        <v>4.0</v>
      </c>
      <c r="L41" s="13">
        <v>4.0</v>
      </c>
      <c r="M41" s="13">
        <v>12.0</v>
      </c>
      <c r="N41" s="13">
        <v>8.0</v>
      </c>
      <c r="O41" s="13">
        <v>24.0</v>
      </c>
      <c r="P41" s="13">
        <v>4.0</v>
      </c>
      <c r="Q41" s="13">
        <v>8.0</v>
      </c>
      <c r="R41" s="13">
        <v>345.0</v>
      </c>
      <c r="S41" s="13">
        <v>100.0</v>
      </c>
      <c r="T41" s="13">
        <v>6.666666666666667</v>
      </c>
      <c r="U41" s="13">
        <v>40.0</v>
      </c>
    </row>
    <row r="42">
      <c r="A42" s="6" t="s">
        <v>119</v>
      </c>
      <c r="B42" s="6" t="s">
        <v>120</v>
      </c>
      <c r="C42" s="6">
        <v>0.0</v>
      </c>
      <c r="D42" s="6">
        <v>0.0</v>
      </c>
      <c r="E42" s="6">
        <v>20.0</v>
      </c>
      <c r="F42" s="6">
        <v>4.0</v>
      </c>
      <c r="G42" s="6">
        <v>8.0</v>
      </c>
      <c r="H42" s="6">
        <v>12.0</v>
      </c>
      <c r="I42" s="6">
        <v>12.0</v>
      </c>
      <c r="J42" s="6">
        <v>12.0</v>
      </c>
      <c r="K42" s="6">
        <v>4.0</v>
      </c>
      <c r="L42" s="6">
        <v>8.0</v>
      </c>
      <c r="M42" s="6">
        <v>-4.0</v>
      </c>
      <c r="N42" s="6">
        <v>0.0</v>
      </c>
      <c r="O42" s="6">
        <v>12.0</v>
      </c>
      <c r="P42" s="6">
        <v>8.0</v>
      </c>
      <c r="Q42" s="6">
        <v>4.0</v>
      </c>
      <c r="R42" s="6">
        <v>345.0</v>
      </c>
      <c r="S42" s="6">
        <v>100.0</v>
      </c>
      <c r="T42" s="6">
        <v>6.666666666666667</v>
      </c>
      <c r="U42" s="6">
        <v>40.0</v>
      </c>
    </row>
    <row r="43">
      <c r="A43" s="13" t="s">
        <v>207</v>
      </c>
      <c r="B43" s="13" t="s">
        <v>200</v>
      </c>
      <c r="C43" s="13">
        <v>4.0</v>
      </c>
      <c r="D43" s="13">
        <v>4.0</v>
      </c>
      <c r="E43" s="13">
        <v>4.0</v>
      </c>
      <c r="F43" s="13">
        <v>-8.0</v>
      </c>
      <c r="G43" s="13">
        <v>16.0</v>
      </c>
      <c r="H43" s="13">
        <v>16.0</v>
      </c>
      <c r="I43" s="13">
        <v>-4.0</v>
      </c>
      <c r="J43" s="13">
        <v>12.0</v>
      </c>
      <c r="K43" s="13">
        <v>12.0</v>
      </c>
      <c r="L43" s="13">
        <v>0.0</v>
      </c>
      <c r="M43" s="13">
        <v>8.0</v>
      </c>
      <c r="N43" s="13">
        <v>12.0</v>
      </c>
      <c r="O43" s="13">
        <v>12.0</v>
      </c>
      <c r="P43" s="13">
        <v>0.0</v>
      </c>
      <c r="Q43" s="13">
        <v>8.0</v>
      </c>
      <c r="R43" s="13">
        <v>345.0</v>
      </c>
      <c r="S43" s="13">
        <v>96.0</v>
      </c>
      <c r="T43" s="13">
        <v>6.4</v>
      </c>
      <c r="U43" s="13">
        <v>42.0</v>
      </c>
    </row>
    <row r="44">
      <c r="A44" s="6" t="s">
        <v>58</v>
      </c>
      <c r="B44" s="6" t="s">
        <v>48</v>
      </c>
      <c r="C44" s="6">
        <v>8.0</v>
      </c>
      <c r="D44" s="6">
        <v>-4.0</v>
      </c>
      <c r="E44" s="6">
        <v>0.0</v>
      </c>
      <c r="F44" s="6">
        <v>8.0</v>
      </c>
      <c r="G44" s="6">
        <v>4.0</v>
      </c>
      <c r="H44" s="6">
        <v>0.0</v>
      </c>
      <c r="I44" s="6">
        <v>4.0</v>
      </c>
      <c r="J44" s="6">
        <v>4.0</v>
      </c>
      <c r="K44" s="6">
        <v>8.0</v>
      </c>
      <c r="L44" s="6">
        <v>8.0</v>
      </c>
      <c r="M44" s="6">
        <v>0.0</v>
      </c>
      <c r="N44" s="6">
        <v>0.0</v>
      </c>
      <c r="O44" s="6">
        <v>4.0</v>
      </c>
      <c r="P44" s="6">
        <v>0.0</v>
      </c>
      <c r="Q44" s="6">
        <v>0.0</v>
      </c>
      <c r="R44" s="6">
        <v>163.0</v>
      </c>
      <c r="S44" s="6">
        <v>44.0</v>
      </c>
      <c r="T44" s="6">
        <v>6.208588957055214</v>
      </c>
      <c r="U44" s="6">
        <v>43.0</v>
      </c>
    </row>
    <row r="45">
      <c r="A45" s="13" t="s">
        <v>196</v>
      </c>
      <c r="B45" s="13" t="s">
        <v>188</v>
      </c>
      <c r="C45" s="13">
        <v>4.0</v>
      </c>
      <c r="D45" s="13">
        <v>8.0</v>
      </c>
      <c r="E45" s="13">
        <v>8.0</v>
      </c>
      <c r="F45" s="13">
        <v>4.0</v>
      </c>
      <c r="G45" s="13">
        <v>4.0</v>
      </c>
      <c r="H45" s="13">
        <v>0.0</v>
      </c>
      <c r="I45" s="13">
        <v>0.0</v>
      </c>
      <c r="J45" s="13">
        <v>12.0</v>
      </c>
      <c r="K45" s="13">
        <v>8.0</v>
      </c>
      <c r="L45" s="13">
        <v>4.0</v>
      </c>
      <c r="M45" s="13">
        <v>8.0</v>
      </c>
      <c r="N45" s="13">
        <v>0.0</v>
      </c>
      <c r="O45" s="13">
        <v>12.0</v>
      </c>
      <c r="P45" s="13">
        <v>8.0</v>
      </c>
      <c r="Q45" s="13">
        <v>8.0</v>
      </c>
      <c r="R45" s="13">
        <v>345.0</v>
      </c>
      <c r="S45" s="13">
        <v>88.0</v>
      </c>
      <c r="T45" s="13">
        <v>5.866666666666666</v>
      </c>
      <c r="U45" s="13">
        <v>44.0</v>
      </c>
    </row>
    <row r="46">
      <c r="A46" s="6" t="s">
        <v>45</v>
      </c>
      <c r="B46" s="6" t="s">
        <v>35</v>
      </c>
      <c r="C46" s="6">
        <v>12.0</v>
      </c>
      <c r="D46" s="6">
        <v>16.0</v>
      </c>
      <c r="E46" s="6">
        <v>12.0</v>
      </c>
      <c r="F46" s="6">
        <v>8.0</v>
      </c>
      <c r="G46" s="6">
        <v>8.0</v>
      </c>
      <c r="H46" s="6">
        <v>0.0</v>
      </c>
      <c r="I46" s="6">
        <v>-4.0</v>
      </c>
      <c r="J46" s="6">
        <v>12.0</v>
      </c>
      <c r="K46" s="6">
        <v>8.0</v>
      </c>
      <c r="L46" s="6">
        <v>8.0</v>
      </c>
      <c r="M46" s="6">
        <v>0.0</v>
      </c>
      <c r="N46" s="6">
        <v>8.0</v>
      </c>
      <c r="O46" s="6">
        <v>-4.0</v>
      </c>
      <c r="P46" s="6">
        <v>0.0</v>
      </c>
      <c r="Q46" s="6">
        <v>0.0</v>
      </c>
      <c r="R46" s="6">
        <v>345.0</v>
      </c>
      <c r="S46" s="6">
        <v>84.0</v>
      </c>
      <c r="T46" s="6">
        <v>5.6</v>
      </c>
      <c r="U46" s="6">
        <v>45.0</v>
      </c>
    </row>
    <row r="47">
      <c r="A47" s="13" t="s">
        <v>81</v>
      </c>
      <c r="B47" s="13" t="s">
        <v>72</v>
      </c>
      <c r="C47" s="13">
        <v>4.0</v>
      </c>
      <c r="D47" s="13">
        <v>0.0</v>
      </c>
      <c r="E47" s="13">
        <v>12.0</v>
      </c>
      <c r="F47" s="13">
        <v>0.0</v>
      </c>
      <c r="G47" s="13">
        <v>-4.0</v>
      </c>
      <c r="H47" s="13">
        <v>8.0</v>
      </c>
      <c r="I47" s="13">
        <v>0.0</v>
      </c>
      <c r="J47" s="13">
        <v>8.0</v>
      </c>
      <c r="K47" s="13">
        <v>0.0</v>
      </c>
      <c r="L47" s="13">
        <v>0.0</v>
      </c>
      <c r="M47" s="13">
        <v>8.0</v>
      </c>
      <c r="N47" s="13">
        <v>4.0</v>
      </c>
      <c r="O47" s="13">
        <v>4.0</v>
      </c>
      <c r="P47" s="13">
        <v>8.0</v>
      </c>
      <c r="Q47" s="13">
        <v>4.0</v>
      </c>
      <c r="R47" s="13">
        <v>240.0</v>
      </c>
      <c r="S47" s="13">
        <v>56.0</v>
      </c>
      <c r="T47" s="13">
        <v>5.366666666666666</v>
      </c>
      <c r="U47" s="13">
        <v>46.0</v>
      </c>
    </row>
    <row r="48">
      <c r="A48" s="6" t="s">
        <v>275</v>
      </c>
      <c r="B48" s="6" t="s">
        <v>272</v>
      </c>
      <c r="C48" s="6">
        <v>4.0</v>
      </c>
      <c r="D48" s="6">
        <v>0.0</v>
      </c>
      <c r="E48" s="6">
        <v>4.0</v>
      </c>
      <c r="F48" s="6">
        <v>4.0</v>
      </c>
      <c r="G48" s="6">
        <v>4.0</v>
      </c>
      <c r="H48" s="6">
        <v>4.0</v>
      </c>
      <c r="I48" s="6">
        <v>4.0</v>
      </c>
      <c r="J48" s="6">
        <v>8.0</v>
      </c>
      <c r="K48" s="6">
        <v>4.0</v>
      </c>
      <c r="L48" s="6">
        <v>0.0</v>
      </c>
      <c r="M48" s="6">
        <v>4.0</v>
      </c>
      <c r="N48" s="6">
        <v>4.0</v>
      </c>
      <c r="O48" s="6">
        <v>0.0</v>
      </c>
      <c r="P48" s="6">
        <v>4.0</v>
      </c>
      <c r="Q48" s="6">
        <v>8.0</v>
      </c>
      <c r="R48" s="6">
        <v>245.0</v>
      </c>
      <c r="S48" s="6">
        <v>56.0</v>
      </c>
      <c r="T48" s="6">
        <v>5.257142857142857</v>
      </c>
      <c r="U48" s="6">
        <v>47.0</v>
      </c>
    </row>
    <row r="49">
      <c r="A49" s="13" t="s">
        <v>53</v>
      </c>
      <c r="B49" s="13" t="s">
        <v>48</v>
      </c>
      <c r="C49" s="13">
        <v>0.0</v>
      </c>
      <c r="D49" s="13">
        <v>4.0</v>
      </c>
      <c r="E49" s="13">
        <v>0.0</v>
      </c>
      <c r="F49" s="13">
        <v>4.0</v>
      </c>
      <c r="G49" s="13">
        <v>12.0</v>
      </c>
      <c r="H49" s="13">
        <v>0.0</v>
      </c>
      <c r="I49" s="13">
        <v>4.0</v>
      </c>
      <c r="J49" s="13">
        <v>4.0</v>
      </c>
      <c r="K49" s="13">
        <v>0.0</v>
      </c>
      <c r="L49" s="13">
        <v>0.0</v>
      </c>
      <c r="M49" s="13">
        <v>4.0</v>
      </c>
      <c r="N49" s="13">
        <v>4.0</v>
      </c>
      <c r="O49" s="13">
        <v>4.0</v>
      </c>
      <c r="P49" s="13">
        <v>4.0</v>
      </c>
      <c r="Q49" s="13">
        <v>8.0</v>
      </c>
      <c r="R49" s="13">
        <v>230.0</v>
      </c>
      <c r="S49" s="13">
        <v>52.0</v>
      </c>
      <c r="T49" s="13">
        <v>5.2</v>
      </c>
      <c r="U49" s="13">
        <v>48.0</v>
      </c>
    </row>
    <row r="50">
      <c r="A50" s="6" t="s">
        <v>226</v>
      </c>
      <c r="B50" s="6" t="s">
        <v>223</v>
      </c>
      <c r="C50" s="6">
        <v>0.0</v>
      </c>
      <c r="D50" s="6">
        <v>12.0</v>
      </c>
      <c r="E50" s="6">
        <v>0.0</v>
      </c>
      <c r="F50" s="6">
        <v>0.0</v>
      </c>
      <c r="G50" s="6">
        <v>0.0</v>
      </c>
      <c r="H50" s="6">
        <v>8.0</v>
      </c>
      <c r="I50" s="6">
        <v>8.0</v>
      </c>
      <c r="J50" s="6">
        <v>16.0</v>
      </c>
      <c r="K50" s="6">
        <v>4.0</v>
      </c>
      <c r="L50" s="6">
        <v>0.0</v>
      </c>
      <c r="M50" s="6">
        <v>0.0</v>
      </c>
      <c r="N50" s="6">
        <v>4.0</v>
      </c>
      <c r="O50" s="6">
        <v>0.0</v>
      </c>
      <c r="P50" s="6">
        <v>-4.0</v>
      </c>
      <c r="Q50" s="6">
        <v>4.0</v>
      </c>
      <c r="R50" s="6">
        <v>231.0</v>
      </c>
      <c r="S50" s="6">
        <v>52.0</v>
      </c>
      <c r="T50" s="6">
        <v>5.177489177489178</v>
      </c>
      <c r="U50" s="6">
        <v>49.0</v>
      </c>
    </row>
    <row r="51">
      <c r="A51" s="13" t="s">
        <v>280</v>
      </c>
      <c r="B51" s="13" t="s">
        <v>272</v>
      </c>
      <c r="C51" s="13">
        <v>4.0</v>
      </c>
      <c r="D51" s="13">
        <v>8.0</v>
      </c>
      <c r="E51" s="13">
        <v>4.0</v>
      </c>
      <c r="F51" s="13">
        <v>4.0</v>
      </c>
      <c r="G51" s="13">
        <v>4.0</v>
      </c>
      <c r="H51" s="13">
        <v>8.0</v>
      </c>
      <c r="I51" s="13">
        <v>4.0</v>
      </c>
      <c r="J51" s="13">
        <v>8.0</v>
      </c>
      <c r="K51" s="13">
        <v>4.0</v>
      </c>
      <c r="L51" s="13">
        <v>4.0</v>
      </c>
      <c r="M51" s="13">
        <v>12.0</v>
      </c>
      <c r="N51" s="13">
        <v>0.0</v>
      </c>
      <c r="O51" s="13">
        <v>8.0</v>
      </c>
      <c r="P51" s="13">
        <v>4.0</v>
      </c>
      <c r="Q51" s="13">
        <v>0.0</v>
      </c>
      <c r="R51" s="13">
        <v>345.0</v>
      </c>
      <c r="S51" s="13">
        <v>76.0</v>
      </c>
      <c r="T51" s="13">
        <v>5.066666666666666</v>
      </c>
      <c r="U51" s="13">
        <v>50.0</v>
      </c>
    </row>
    <row r="52">
      <c r="A52" s="6" t="s">
        <v>184</v>
      </c>
      <c r="B52" s="6" t="s">
        <v>176</v>
      </c>
      <c r="C52" s="6">
        <v>0.0</v>
      </c>
      <c r="D52" s="6">
        <v>0.0</v>
      </c>
      <c r="E52" s="6">
        <v>4.0</v>
      </c>
      <c r="F52" s="6">
        <v>8.0</v>
      </c>
      <c r="G52" s="6">
        <v>0.0</v>
      </c>
      <c r="H52" s="6">
        <v>0.0</v>
      </c>
      <c r="I52" s="6">
        <v>12.0</v>
      </c>
      <c r="J52" s="6">
        <v>0.0</v>
      </c>
      <c r="K52" s="6">
        <v>0.0</v>
      </c>
      <c r="L52" s="6">
        <v>0.0</v>
      </c>
      <c r="M52" s="6">
        <v>0.0</v>
      </c>
      <c r="N52" s="6">
        <v>12.0</v>
      </c>
      <c r="O52" s="6">
        <v>0.0</v>
      </c>
      <c r="P52" s="6">
        <v>0.0</v>
      </c>
      <c r="Q52" s="6">
        <v>4.0</v>
      </c>
      <c r="R52" s="6">
        <v>184.0</v>
      </c>
      <c r="S52" s="6">
        <v>40.0</v>
      </c>
      <c r="T52" s="6">
        <v>5.0</v>
      </c>
      <c r="U52" s="6">
        <v>51.0</v>
      </c>
    </row>
    <row r="53">
      <c r="A53" s="13" t="s">
        <v>284</v>
      </c>
      <c r="B53" s="13" t="s">
        <v>285</v>
      </c>
      <c r="C53" s="13">
        <v>0.0</v>
      </c>
      <c r="D53" s="13">
        <v>0.0</v>
      </c>
      <c r="E53" s="13">
        <v>0.0</v>
      </c>
      <c r="F53" s="13">
        <v>8.0</v>
      </c>
      <c r="G53" s="13">
        <v>8.0</v>
      </c>
      <c r="H53" s="13">
        <v>0.0</v>
      </c>
      <c r="I53" s="13">
        <v>0.0</v>
      </c>
      <c r="J53" s="13">
        <v>8.0</v>
      </c>
      <c r="K53" s="13">
        <v>0.0</v>
      </c>
      <c r="L53" s="13">
        <v>0.0</v>
      </c>
      <c r="M53" s="13">
        <v>0.0</v>
      </c>
      <c r="N53" s="13">
        <v>0.0</v>
      </c>
      <c r="O53" s="13">
        <v>8.0</v>
      </c>
      <c r="P53" s="13">
        <v>0.0</v>
      </c>
      <c r="Q53" s="13">
        <v>8.0</v>
      </c>
      <c r="R53" s="13">
        <v>188.0</v>
      </c>
      <c r="S53" s="13">
        <v>40.0</v>
      </c>
      <c r="T53" s="13">
        <v>4.8936170212765955</v>
      </c>
      <c r="U53" s="13">
        <v>52.0</v>
      </c>
    </row>
    <row r="54">
      <c r="A54" s="6" t="s">
        <v>128</v>
      </c>
      <c r="B54" s="6" t="s">
        <v>120</v>
      </c>
      <c r="C54" s="6">
        <v>16.0</v>
      </c>
      <c r="D54" s="6">
        <v>8.0</v>
      </c>
      <c r="E54" s="6">
        <v>-4.0</v>
      </c>
      <c r="F54" s="6">
        <v>-4.0</v>
      </c>
      <c r="G54" s="6">
        <v>8.0</v>
      </c>
      <c r="H54" s="6">
        <v>0.0</v>
      </c>
      <c r="I54" s="6">
        <v>0.0</v>
      </c>
      <c r="J54" s="6">
        <v>4.0</v>
      </c>
      <c r="K54" s="6">
        <v>4.0</v>
      </c>
      <c r="L54" s="6">
        <v>4.0</v>
      </c>
      <c r="M54" s="6">
        <v>8.0</v>
      </c>
      <c r="N54" s="6">
        <v>4.0</v>
      </c>
      <c r="O54" s="6">
        <v>4.0</v>
      </c>
      <c r="P54" s="6">
        <v>12.0</v>
      </c>
      <c r="Q54" s="6">
        <v>8.0</v>
      </c>
      <c r="R54" s="6">
        <v>345.0</v>
      </c>
      <c r="S54" s="6">
        <v>72.0</v>
      </c>
      <c r="T54" s="6">
        <v>4.8</v>
      </c>
      <c r="U54" s="6">
        <v>53.0</v>
      </c>
    </row>
    <row r="55">
      <c r="A55" s="13" t="s">
        <v>187</v>
      </c>
      <c r="B55" s="13" t="s">
        <v>188</v>
      </c>
      <c r="C55" s="13">
        <v>8.0</v>
      </c>
      <c r="D55" s="13">
        <v>0.0</v>
      </c>
      <c r="E55" s="13">
        <v>8.0</v>
      </c>
      <c r="F55" s="13">
        <v>8.0</v>
      </c>
      <c r="G55" s="13">
        <v>0.0</v>
      </c>
      <c r="H55" s="13">
        <v>0.0</v>
      </c>
      <c r="I55" s="13">
        <v>4.0</v>
      </c>
      <c r="J55" s="13">
        <v>4.0</v>
      </c>
      <c r="K55" s="13">
        <v>8.0</v>
      </c>
      <c r="L55" s="13">
        <v>0.0</v>
      </c>
      <c r="M55" s="13">
        <v>4.0</v>
      </c>
      <c r="N55" s="13">
        <v>4.0</v>
      </c>
      <c r="O55" s="13">
        <v>8.0</v>
      </c>
      <c r="P55" s="13">
        <v>8.0</v>
      </c>
      <c r="Q55" s="13">
        <v>8.0</v>
      </c>
      <c r="R55" s="13">
        <v>345.0</v>
      </c>
      <c r="S55" s="13">
        <v>72.0</v>
      </c>
      <c r="T55" s="13">
        <v>4.8</v>
      </c>
      <c r="U55" s="13">
        <v>53.0</v>
      </c>
    </row>
    <row r="56">
      <c r="A56" s="6" t="s">
        <v>290</v>
      </c>
      <c r="B56" s="6" t="s">
        <v>285</v>
      </c>
      <c r="C56" s="6">
        <v>16.0</v>
      </c>
      <c r="D56" s="6">
        <v>0.0</v>
      </c>
      <c r="E56" s="6">
        <v>0.0</v>
      </c>
      <c r="F56" s="6">
        <v>8.0</v>
      </c>
      <c r="G56" s="6">
        <v>4.0</v>
      </c>
      <c r="H56" s="6">
        <v>4.0</v>
      </c>
      <c r="I56" s="6">
        <v>0.0</v>
      </c>
      <c r="J56" s="6">
        <v>8.0</v>
      </c>
      <c r="K56" s="6">
        <v>4.0</v>
      </c>
      <c r="L56" s="6">
        <v>4.0</v>
      </c>
      <c r="M56" s="6">
        <v>8.0</v>
      </c>
      <c r="N56" s="6">
        <v>4.0</v>
      </c>
      <c r="O56" s="6">
        <v>8.0</v>
      </c>
      <c r="P56" s="6">
        <v>0.0</v>
      </c>
      <c r="Q56" s="6">
        <v>4.0</v>
      </c>
      <c r="R56" s="6">
        <v>345.0</v>
      </c>
      <c r="S56" s="6">
        <v>72.0</v>
      </c>
      <c r="T56" s="6">
        <v>4.8</v>
      </c>
      <c r="U56" s="6">
        <v>53.0</v>
      </c>
    </row>
    <row r="57">
      <c r="A57" s="13" t="s">
        <v>316</v>
      </c>
      <c r="B57" s="13" t="s">
        <v>309</v>
      </c>
      <c r="C57" s="13">
        <v>8.0</v>
      </c>
      <c r="D57" s="13">
        <v>0.0</v>
      </c>
      <c r="E57" s="13">
        <v>4.0</v>
      </c>
      <c r="F57" s="13">
        <v>0.0</v>
      </c>
      <c r="G57" s="13">
        <v>4.0</v>
      </c>
      <c r="H57" s="13">
        <v>0.0</v>
      </c>
      <c r="I57" s="13">
        <v>0.0</v>
      </c>
      <c r="J57" s="13">
        <v>8.0</v>
      </c>
      <c r="K57" s="13">
        <v>12.0</v>
      </c>
      <c r="L57" s="13">
        <v>4.0</v>
      </c>
      <c r="M57" s="13">
        <v>12.0</v>
      </c>
      <c r="N57" s="13">
        <v>8.0</v>
      </c>
      <c r="O57" s="13">
        <v>-4.0</v>
      </c>
      <c r="P57" s="13">
        <v>8.0</v>
      </c>
      <c r="Q57" s="13">
        <v>8.0</v>
      </c>
      <c r="R57" s="13">
        <v>345.0</v>
      </c>
      <c r="S57" s="13">
        <v>72.0</v>
      </c>
      <c r="T57" s="13">
        <v>4.8</v>
      </c>
      <c r="U57" s="13">
        <v>53.0</v>
      </c>
    </row>
    <row r="58">
      <c r="A58" s="6" t="s">
        <v>80</v>
      </c>
      <c r="B58" s="6" t="s">
        <v>72</v>
      </c>
      <c r="C58" s="6">
        <v>0.0</v>
      </c>
      <c r="D58" s="6">
        <v>12.0</v>
      </c>
      <c r="E58" s="6">
        <v>0.0</v>
      </c>
      <c r="F58" s="6">
        <v>8.0</v>
      </c>
      <c r="G58" s="6">
        <v>4.0</v>
      </c>
      <c r="H58" s="6">
        <v>4.0</v>
      </c>
      <c r="I58" s="6">
        <v>0.0</v>
      </c>
      <c r="J58" s="6">
        <v>4.0</v>
      </c>
      <c r="K58" s="6">
        <v>0.0</v>
      </c>
      <c r="L58" s="6">
        <v>0.0</v>
      </c>
      <c r="M58" s="6">
        <v>4.0</v>
      </c>
      <c r="N58" s="6">
        <v>4.0</v>
      </c>
      <c r="O58" s="6">
        <v>0.0</v>
      </c>
      <c r="P58" s="6">
        <v>0.0</v>
      </c>
      <c r="Q58" s="6">
        <v>0.0</v>
      </c>
      <c r="R58" s="6">
        <v>208.0</v>
      </c>
      <c r="S58" s="6">
        <v>40.0</v>
      </c>
      <c r="T58" s="6">
        <v>4.423076923076923</v>
      </c>
      <c r="U58" s="6">
        <v>57.0</v>
      </c>
    </row>
    <row r="59">
      <c r="A59" s="13" t="s">
        <v>293</v>
      </c>
      <c r="B59" s="13" t="s">
        <v>285</v>
      </c>
      <c r="C59" s="13">
        <v>-4.0</v>
      </c>
      <c r="D59" s="13">
        <v>4.0</v>
      </c>
      <c r="E59" s="13">
        <v>4.0</v>
      </c>
      <c r="F59" s="13">
        <v>0.0</v>
      </c>
      <c r="G59" s="13">
        <v>4.0</v>
      </c>
      <c r="H59" s="13">
        <v>4.0</v>
      </c>
      <c r="I59" s="13">
        <v>12.0</v>
      </c>
      <c r="J59" s="13">
        <v>4.0</v>
      </c>
      <c r="K59" s="13">
        <v>8.0</v>
      </c>
      <c r="L59" s="13">
        <v>0.0</v>
      </c>
      <c r="M59" s="13">
        <v>4.0</v>
      </c>
      <c r="N59" s="13">
        <v>0.0</v>
      </c>
      <c r="O59" s="13">
        <v>0.0</v>
      </c>
      <c r="P59" s="13">
        <v>16.0</v>
      </c>
      <c r="Q59" s="13">
        <v>4.0</v>
      </c>
      <c r="R59" s="13">
        <v>322.0</v>
      </c>
      <c r="S59" s="13">
        <v>60.0</v>
      </c>
      <c r="T59" s="13">
        <v>4.285714285714286</v>
      </c>
      <c r="U59" s="13">
        <v>58.0</v>
      </c>
    </row>
    <row r="60">
      <c r="A60" s="6" t="s">
        <v>218</v>
      </c>
      <c r="B60" s="6" t="s">
        <v>210</v>
      </c>
      <c r="C60" s="6">
        <v>0.0</v>
      </c>
      <c r="D60" s="6">
        <v>12.0</v>
      </c>
      <c r="E60" s="6">
        <v>4.0</v>
      </c>
      <c r="F60" s="6">
        <v>8.0</v>
      </c>
      <c r="G60" s="6">
        <v>-4.0</v>
      </c>
      <c r="H60" s="6">
        <v>0.0</v>
      </c>
      <c r="I60" s="6">
        <v>24.0</v>
      </c>
      <c r="J60" s="6">
        <v>0.0</v>
      </c>
      <c r="K60" s="6">
        <v>8.0</v>
      </c>
      <c r="L60" s="6">
        <v>0.0</v>
      </c>
      <c r="M60" s="6">
        <v>0.0</v>
      </c>
      <c r="N60" s="6">
        <v>8.0</v>
      </c>
      <c r="O60" s="6">
        <v>0.0</v>
      </c>
      <c r="P60" s="6">
        <v>4.0</v>
      </c>
      <c r="Q60" s="6">
        <v>0.0</v>
      </c>
      <c r="R60" s="6">
        <v>345.0</v>
      </c>
      <c r="S60" s="6">
        <v>64.0</v>
      </c>
      <c r="T60" s="6">
        <v>4.266666666666667</v>
      </c>
      <c r="U60" s="6">
        <v>59.0</v>
      </c>
    </row>
    <row r="61">
      <c r="A61" s="13" t="s">
        <v>51</v>
      </c>
      <c r="B61" s="13" t="s">
        <v>48</v>
      </c>
      <c r="C61" s="13">
        <v>4.0</v>
      </c>
      <c r="D61" s="13">
        <v>0.0</v>
      </c>
      <c r="E61" s="13">
        <v>0.0</v>
      </c>
      <c r="F61" s="13">
        <v>0.0</v>
      </c>
      <c r="G61" s="13">
        <v>0.0</v>
      </c>
      <c r="H61" s="13">
        <v>4.0</v>
      </c>
      <c r="I61" s="13">
        <v>4.0</v>
      </c>
      <c r="J61" s="13">
        <v>4.0</v>
      </c>
      <c r="K61" s="13">
        <v>4.0</v>
      </c>
      <c r="L61" s="13">
        <v>8.0</v>
      </c>
      <c r="M61" s="13">
        <v>0.0</v>
      </c>
      <c r="N61" s="13">
        <v>0.0</v>
      </c>
      <c r="O61" s="13">
        <v>4.0</v>
      </c>
      <c r="P61" s="13">
        <v>4.0</v>
      </c>
      <c r="Q61" s="13">
        <v>8.0</v>
      </c>
      <c r="R61" s="13">
        <v>251.0</v>
      </c>
      <c r="S61" s="13">
        <v>44.0</v>
      </c>
      <c r="T61" s="13">
        <v>4.031872509960159</v>
      </c>
      <c r="U61" s="13">
        <v>60.0</v>
      </c>
    </row>
    <row r="62">
      <c r="A62" s="6" t="s">
        <v>23</v>
      </c>
      <c r="B62" s="6" t="s">
        <v>24</v>
      </c>
      <c r="C62" s="6">
        <v>4.0</v>
      </c>
      <c r="D62" s="6">
        <v>4.0</v>
      </c>
      <c r="E62" s="6">
        <v>0.0</v>
      </c>
      <c r="F62" s="6">
        <v>8.0</v>
      </c>
      <c r="G62" s="6">
        <v>0.0</v>
      </c>
      <c r="H62" s="6">
        <v>0.0</v>
      </c>
      <c r="I62" s="6">
        <v>4.0</v>
      </c>
      <c r="J62" s="6">
        <v>-4.0</v>
      </c>
      <c r="K62" s="6">
        <v>4.0</v>
      </c>
      <c r="L62" s="6">
        <v>4.0</v>
      </c>
      <c r="M62" s="6">
        <v>-4.0</v>
      </c>
      <c r="N62" s="6">
        <v>4.0</v>
      </c>
      <c r="O62" s="6">
        <v>4.0</v>
      </c>
      <c r="P62" s="6">
        <v>16.0</v>
      </c>
      <c r="Q62" s="6">
        <v>12.0</v>
      </c>
      <c r="R62" s="6">
        <v>333.0</v>
      </c>
      <c r="S62" s="6">
        <v>56.0</v>
      </c>
      <c r="T62" s="6">
        <v>3.8678678678678677</v>
      </c>
      <c r="U62" s="6">
        <v>61.0</v>
      </c>
    </row>
    <row r="63">
      <c r="A63" s="13" t="s">
        <v>29</v>
      </c>
      <c r="B63" s="13" t="s">
        <v>24</v>
      </c>
      <c r="C63" s="13">
        <v>4.0</v>
      </c>
      <c r="D63" s="13">
        <v>0.0</v>
      </c>
      <c r="E63" s="13">
        <v>4.0</v>
      </c>
      <c r="F63" s="13">
        <v>8.0</v>
      </c>
      <c r="G63" s="13">
        <v>-4.0</v>
      </c>
      <c r="H63" s="13">
        <v>8.0</v>
      </c>
      <c r="I63" s="13">
        <v>0.0</v>
      </c>
      <c r="J63" s="13">
        <v>0.0</v>
      </c>
      <c r="K63" s="13">
        <v>8.0</v>
      </c>
      <c r="L63" s="13">
        <v>0.0</v>
      </c>
      <c r="M63" s="13">
        <v>0.0</v>
      </c>
      <c r="N63" s="13">
        <v>0.0</v>
      </c>
      <c r="O63" s="13">
        <v>0.0</v>
      </c>
      <c r="P63" s="13">
        <v>0.0</v>
      </c>
      <c r="Q63" s="13">
        <v>0.0</v>
      </c>
      <c r="R63" s="13">
        <v>172.0</v>
      </c>
      <c r="S63" s="13">
        <v>28.0</v>
      </c>
      <c r="T63" s="13">
        <v>3.744186046511628</v>
      </c>
      <c r="U63" s="13">
        <v>62.0</v>
      </c>
    </row>
    <row r="64">
      <c r="A64" s="6" t="s">
        <v>99</v>
      </c>
      <c r="B64" s="6" t="s">
        <v>97</v>
      </c>
      <c r="C64" s="6">
        <v>-4.0</v>
      </c>
      <c r="D64" s="6">
        <v>12.0</v>
      </c>
      <c r="E64" s="6">
        <v>4.0</v>
      </c>
      <c r="F64" s="6">
        <v>4.0</v>
      </c>
      <c r="G64" s="6">
        <v>0.0</v>
      </c>
      <c r="H64" s="6">
        <v>4.0</v>
      </c>
      <c r="I64" s="6">
        <v>4.0</v>
      </c>
      <c r="J64" s="6">
        <v>4.0</v>
      </c>
      <c r="K64" s="6">
        <v>0.0</v>
      </c>
      <c r="L64" s="6">
        <v>4.0</v>
      </c>
      <c r="M64" s="6">
        <v>4.0</v>
      </c>
      <c r="N64" s="6">
        <v>0.0</v>
      </c>
      <c r="O64" s="6">
        <v>4.0</v>
      </c>
      <c r="P64" s="6">
        <v>8.0</v>
      </c>
      <c r="Q64" s="6">
        <v>8.0</v>
      </c>
      <c r="R64" s="6">
        <v>345.0</v>
      </c>
      <c r="S64" s="6">
        <v>56.0</v>
      </c>
      <c r="T64" s="6">
        <v>3.7333333333333334</v>
      </c>
      <c r="U64" s="6">
        <v>63.0</v>
      </c>
    </row>
    <row r="65">
      <c r="A65" s="13" t="s">
        <v>107</v>
      </c>
      <c r="B65" s="13" t="s">
        <v>108</v>
      </c>
      <c r="C65" s="13">
        <v>8.0</v>
      </c>
      <c r="D65" s="13">
        <v>-4.0</v>
      </c>
      <c r="E65" s="13">
        <v>8.0</v>
      </c>
      <c r="F65" s="13">
        <v>4.0</v>
      </c>
      <c r="G65" s="13">
        <v>4.0</v>
      </c>
      <c r="H65" s="13">
        <v>0.0</v>
      </c>
      <c r="I65" s="13">
        <v>12.0</v>
      </c>
      <c r="J65" s="13">
        <v>0.0</v>
      </c>
      <c r="K65" s="13">
        <v>4.0</v>
      </c>
      <c r="L65" s="13">
        <v>4.0</v>
      </c>
      <c r="M65" s="13">
        <v>8.0</v>
      </c>
      <c r="N65" s="13">
        <v>0.0</v>
      </c>
      <c r="O65" s="13">
        <v>4.0</v>
      </c>
      <c r="P65" s="13">
        <v>0.0</v>
      </c>
      <c r="Q65" s="13">
        <v>4.0</v>
      </c>
      <c r="R65" s="13">
        <v>345.0</v>
      </c>
      <c r="S65" s="13">
        <v>56.0</v>
      </c>
      <c r="T65" s="13">
        <v>3.7333333333333334</v>
      </c>
      <c r="U65" s="13">
        <v>63.0</v>
      </c>
    </row>
    <row r="66">
      <c r="A66" s="6" t="s">
        <v>110</v>
      </c>
      <c r="B66" s="6" t="s">
        <v>108</v>
      </c>
      <c r="C66" s="6">
        <v>0.0</v>
      </c>
      <c r="D66" s="6">
        <v>0.0</v>
      </c>
      <c r="E66" s="6">
        <v>8.0</v>
      </c>
      <c r="F66" s="6">
        <v>0.0</v>
      </c>
      <c r="G66" s="6">
        <v>4.0</v>
      </c>
      <c r="H66" s="6">
        <v>0.0</v>
      </c>
      <c r="I66" s="6">
        <v>0.0</v>
      </c>
      <c r="J66" s="6">
        <v>8.0</v>
      </c>
      <c r="K66" s="6">
        <v>0.0</v>
      </c>
      <c r="L66" s="6">
        <v>8.0</v>
      </c>
      <c r="M66" s="6">
        <v>0.0</v>
      </c>
      <c r="N66" s="6">
        <v>0.0</v>
      </c>
      <c r="O66" s="6">
        <v>12.0</v>
      </c>
      <c r="P66" s="6">
        <v>4.0</v>
      </c>
      <c r="Q66" s="6">
        <v>4.0</v>
      </c>
      <c r="R66" s="6">
        <v>299.0</v>
      </c>
      <c r="S66" s="6">
        <v>48.0</v>
      </c>
      <c r="T66" s="6">
        <v>3.6923076923076925</v>
      </c>
      <c r="U66" s="6">
        <v>65.0</v>
      </c>
    </row>
    <row r="67">
      <c r="A67" s="13" t="s">
        <v>319</v>
      </c>
      <c r="B67" s="13" t="s">
        <v>309</v>
      </c>
      <c r="C67" s="13">
        <v>0.0</v>
      </c>
      <c r="D67" s="13">
        <v>0.0</v>
      </c>
      <c r="E67" s="13">
        <v>4.0</v>
      </c>
      <c r="F67" s="13">
        <v>0.0</v>
      </c>
      <c r="G67" s="13">
        <v>4.0</v>
      </c>
      <c r="H67" s="13">
        <v>0.0</v>
      </c>
      <c r="I67" s="13">
        <v>0.0</v>
      </c>
      <c r="J67" s="13">
        <v>4.0</v>
      </c>
      <c r="K67" s="13">
        <v>8.0</v>
      </c>
      <c r="L67" s="13">
        <v>0.0</v>
      </c>
      <c r="M67" s="13">
        <v>16.0</v>
      </c>
      <c r="N67" s="13">
        <v>0.0</v>
      </c>
      <c r="O67" s="13">
        <v>4.0</v>
      </c>
      <c r="P67" s="13">
        <v>4.0</v>
      </c>
      <c r="Q67" s="13">
        <v>0.0</v>
      </c>
      <c r="R67" s="13">
        <v>277.0</v>
      </c>
      <c r="S67" s="13">
        <v>44.0</v>
      </c>
      <c r="T67" s="13">
        <v>3.6534296028880866</v>
      </c>
      <c r="U67" s="13">
        <v>66.0</v>
      </c>
    </row>
    <row r="68">
      <c r="A68" s="6" t="s">
        <v>243</v>
      </c>
      <c r="B68" s="6" t="s">
        <v>235</v>
      </c>
      <c r="C68" s="6">
        <v>4.0</v>
      </c>
      <c r="D68" s="6">
        <v>4.0</v>
      </c>
      <c r="E68" s="6">
        <v>8.0</v>
      </c>
      <c r="F68" s="6">
        <v>0.0</v>
      </c>
      <c r="G68" s="6">
        <v>12.0</v>
      </c>
      <c r="H68" s="6">
        <v>8.0</v>
      </c>
      <c r="I68" s="6">
        <v>-4.0</v>
      </c>
      <c r="J68" s="6">
        <v>4.0</v>
      </c>
      <c r="K68" s="6">
        <v>4.0</v>
      </c>
      <c r="L68" s="6">
        <v>4.0</v>
      </c>
      <c r="M68" s="6">
        <v>0.0</v>
      </c>
      <c r="N68" s="6">
        <v>0.0</v>
      </c>
      <c r="O68" s="6">
        <v>4.0</v>
      </c>
      <c r="P68" s="6">
        <v>4.0</v>
      </c>
      <c r="Q68" s="6">
        <v>0.0</v>
      </c>
      <c r="R68" s="6">
        <v>345.0</v>
      </c>
      <c r="S68" s="6">
        <v>52.0</v>
      </c>
      <c r="T68" s="6">
        <v>3.466666666666667</v>
      </c>
      <c r="U68" s="6">
        <v>67.0</v>
      </c>
    </row>
    <row r="69">
      <c r="A69" s="13" t="s">
        <v>137</v>
      </c>
      <c r="B69" s="13" t="s">
        <v>131</v>
      </c>
      <c r="C69" s="13">
        <v>0.0</v>
      </c>
      <c r="D69" s="13">
        <v>0.0</v>
      </c>
      <c r="E69" s="13">
        <v>0.0</v>
      </c>
      <c r="F69" s="13">
        <v>4.0</v>
      </c>
      <c r="G69" s="13">
        <v>8.0</v>
      </c>
      <c r="H69" s="13">
        <v>0.0</v>
      </c>
      <c r="I69" s="13">
        <v>4.0</v>
      </c>
      <c r="J69" s="13">
        <v>0.0</v>
      </c>
      <c r="K69" s="13">
        <v>8.0</v>
      </c>
      <c r="L69" s="13">
        <v>0.0</v>
      </c>
      <c r="M69" s="13">
        <v>0.0</v>
      </c>
      <c r="N69" s="13">
        <v>4.0</v>
      </c>
      <c r="O69" s="13">
        <v>0.0</v>
      </c>
      <c r="P69" s="13">
        <v>4.0</v>
      </c>
      <c r="Q69" s="13">
        <v>0.0</v>
      </c>
      <c r="R69" s="13">
        <v>217.0</v>
      </c>
      <c r="S69" s="13">
        <v>32.0</v>
      </c>
      <c r="T69" s="13">
        <v>3.391705069124424</v>
      </c>
      <c r="U69" s="13">
        <v>68.0</v>
      </c>
    </row>
    <row r="70">
      <c r="A70" s="6" t="s">
        <v>230</v>
      </c>
      <c r="B70" s="6" t="s">
        <v>223</v>
      </c>
      <c r="C70" s="6">
        <v>0.0</v>
      </c>
      <c r="D70" s="6">
        <v>4.0</v>
      </c>
      <c r="E70" s="6">
        <v>0.0</v>
      </c>
      <c r="F70" s="6">
        <v>0.0</v>
      </c>
      <c r="G70" s="6">
        <v>8.0</v>
      </c>
      <c r="H70" s="6">
        <v>-4.0</v>
      </c>
      <c r="I70" s="6">
        <v>4.0</v>
      </c>
      <c r="J70" s="6">
        <v>4.0</v>
      </c>
      <c r="K70" s="6">
        <v>0.0</v>
      </c>
      <c r="L70" s="6">
        <v>8.0</v>
      </c>
      <c r="M70" s="6">
        <v>4.0</v>
      </c>
      <c r="N70" s="6">
        <v>4.0</v>
      </c>
      <c r="O70" s="6">
        <v>0.0</v>
      </c>
      <c r="P70" s="6">
        <v>8.0</v>
      </c>
      <c r="Q70" s="6">
        <v>0.0</v>
      </c>
      <c r="R70" s="6">
        <v>275.0</v>
      </c>
      <c r="S70" s="6">
        <v>40.0</v>
      </c>
      <c r="T70" s="6">
        <v>3.3454545454545452</v>
      </c>
      <c r="U70" s="6">
        <v>69.0</v>
      </c>
    </row>
    <row r="71">
      <c r="A71" s="13" t="s">
        <v>103</v>
      </c>
      <c r="B71" s="13" t="s">
        <v>97</v>
      </c>
      <c r="C71" s="13">
        <v>4.0</v>
      </c>
      <c r="D71" s="13">
        <v>4.0</v>
      </c>
      <c r="E71" s="13">
        <v>8.0</v>
      </c>
      <c r="F71" s="13">
        <v>4.0</v>
      </c>
      <c r="G71" s="13">
        <v>8.0</v>
      </c>
      <c r="H71" s="13">
        <v>0.0</v>
      </c>
      <c r="I71" s="13">
        <v>12.0</v>
      </c>
      <c r="J71" s="13">
        <v>0.0</v>
      </c>
      <c r="K71" s="13">
        <v>-4.0</v>
      </c>
      <c r="L71" s="13">
        <v>4.0</v>
      </c>
      <c r="M71" s="13">
        <v>0.0</v>
      </c>
      <c r="N71" s="13">
        <v>-4.0</v>
      </c>
      <c r="O71" s="13">
        <v>0.0</v>
      </c>
      <c r="P71" s="13">
        <v>4.0</v>
      </c>
      <c r="Q71" s="13">
        <v>8.0</v>
      </c>
      <c r="R71" s="13">
        <v>345.0</v>
      </c>
      <c r="S71" s="13">
        <v>48.0</v>
      </c>
      <c r="T71" s="13">
        <v>3.2</v>
      </c>
      <c r="U71" s="13">
        <v>70.0</v>
      </c>
    </row>
    <row r="72">
      <c r="A72" s="6" t="s">
        <v>282</v>
      </c>
      <c r="B72" s="6" t="s">
        <v>272</v>
      </c>
      <c r="C72" s="6">
        <v>16.0</v>
      </c>
      <c r="D72" s="6">
        <v>0.0</v>
      </c>
      <c r="E72" s="6">
        <v>4.0</v>
      </c>
      <c r="F72" s="6">
        <v>0.0</v>
      </c>
      <c r="G72" s="6">
        <v>4.0</v>
      </c>
      <c r="H72" s="6">
        <v>0.0</v>
      </c>
      <c r="I72" s="6">
        <v>0.0</v>
      </c>
      <c r="J72" s="6">
        <v>0.0</v>
      </c>
      <c r="K72" s="6">
        <v>12.0</v>
      </c>
      <c r="L72" s="6">
        <v>4.0</v>
      </c>
      <c r="M72" s="6">
        <v>0.0</v>
      </c>
      <c r="N72" s="6">
        <v>4.0</v>
      </c>
      <c r="O72" s="6">
        <v>0.0</v>
      </c>
      <c r="P72" s="6">
        <v>4.0</v>
      </c>
      <c r="Q72" s="6">
        <v>0.0</v>
      </c>
      <c r="R72" s="6">
        <v>345.0</v>
      </c>
      <c r="S72" s="6">
        <v>48.0</v>
      </c>
      <c r="T72" s="6">
        <v>3.2</v>
      </c>
      <c r="U72" s="6">
        <v>70.0</v>
      </c>
    </row>
    <row r="73">
      <c r="A73" s="13" t="s">
        <v>288</v>
      </c>
      <c r="B73" s="13" t="s">
        <v>285</v>
      </c>
      <c r="C73" s="13">
        <v>8.0</v>
      </c>
      <c r="D73" s="13">
        <v>8.0</v>
      </c>
      <c r="E73" s="13">
        <v>0.0</v>
      </c>
      <c r="F73" s="13">
        <v>4.0</v>
      </c>
      <c r="G73" s="13">
        <v>4.0</v>
      </c>
      <c r="H73" s="13">
        <v>0.0</v>
      </c>
      <c r="I73" s="13">
        <v>4.0</v>
      </c>
      <c r="J73" s="13">
        <v>0.0</v>
      </c>
      <c r="K73" s="13">
        <v>4.0</v>
      </c>
      <c r="L73" s="13">
        <v>8.0</v>
      </c>
      <c r="M73" s="13">
        <v>0.0</v>
      </c>
      <c r="N73" s="13">
        <v>0.0</v>
      </c>
      <c r="O73" s="13">
        <v>0.0</v>
      </c>
      <c r="P73" s="13">
        <v>4.0</v>
      </c>
      <c r="Q73" s="13">
        <v>0.0</v>
      </c>
      <c r="R73" s="13">
        <v>322.0</v>
      </c>
      <c r="S73" s="13">
        <v>44.0</v>
      </c>
      <c r="T73" s="13">
        <v>3.142857142857143</v>
      </c>
      <c r="U73" s="13">
        <v>72.0</v>
      </c>
    </row>
    <row r="74">
      <c r="A74" s="6" t="s">
        <v>77</v>
      </c>
      <c r="B74" s="6" t="s">
        <v>72</v>
      </c>
      <c r="C74" s="6">
        <v>0.0</v>
      </c>
      <c r="D74" s="6">
        <v>0.0</v>
      </c>
      <c r="E74" s="6">
        <v>4.0</v>
      </c>
      <c r="F74" s="6">
        <v>0.0</v>
      </c>
      <c r="G74" s="6">
        <v>0.0</v>
      </c>
      <c r="H74" s="6">
        <v>0.0</v>
      </c>
      <c r="I74" s="6">
        <v>4.0</v>
      </c>
      <c r="J74" s="6">
        <v>0.0</v>
      </c>
      <c r="K74" s="6">
        <v>4.0</v>
      </c>
      <c r="L74" s="6">
        <v>0.0</v>
      </c>
      <c r="M74" s="6">
        <v>0.0</v>
      </c>
      <c r="N74" s="6">
        <v>0.0</v>
      </c>
      <c r="O74" s="6">
        <v>8.0</v>
      </c>
      <c r="P74" s="6">
        <v>8.0</v>
      </c>
      <c r="Q74" s="6">
        <v>0.0</v>
      </c>
      <c r="R74" s="6">
        <v>206.0</v>
      </c>
      <c r="S74" s="6">
        <v>28.0</v>
      </c>
      <c r="T74" s="6">
        <v>3.1262135922330097</v>
      </c>
      <c r="U74" s="6">
        <v>73.0</v>
      </c>
    </row>
    <row r="75">
      <c r="A75" s="13" t="s">
        <v>295</v>
      </c>
      <c r="B75" s="13" t="s">
        <v>285</v>
      </c>
      <c r="C75" s="13">
        <v>0.0</v>
      </c>
      <c r="D75" s="13">
        <v>0.0</v>
      </c>
      <c r="E75" s="13">
        <v>0.0</v>
      </c>
      <c r="F75" s="13">
        <v>12.0</v>
      </c>
      <c r="G75" s="13">
        <v>4.0</v>
      </c>
      <c r="H75" s="13">
        <v>0.0</v>
      </c>
      <c r="I75" s="13">
        <v>0.0</v>
      </c>
      <c r="J75" s="13">
        <v>0.0</v>
      </c>
      <c r="K75" s="13">
        <v>0.0</v>
      </c>
      <c r="L75" s="13">
        <v>0.0</v>
      </c>
      <c r="M75" s="13">
        <v>0.0</v>
      </c>
      <c r="N75" s="13">
        <v>4.0</v>
      </c>
      <c r="O75" s="13">
        <v>0.0</v>
      </c>
      <c r="P75" s="13">
        <v>0.0</v>
      </c>
      <c r="Q75" s="13">
        <v>4.0</v>
      </c>
      <c r="R75" s="13">
        <v>203.0</v>
      </c>
      <c r="S75" s="13">
        <v>24.0</v>
      </c>
      <c r="T75" s="13">
        <v>2.7192118226600983</v>
      </c>
      <c r="U75" s="13">
        <v>74.0</v>
      </c>
    </row>
    <row r="76">
      <c r="A76" s="6" t="s">
        <v>47</v>
      </c>
      <c r="B76" s="6" t="s">
        <v>48</v>
      </c>
      <c r="C76" s="6">
        <v>4.0</v>
      </c>
      <c r="D76" s="6">
        <v>4.0</v>
      </c>
      <c r="E76" s="6">
        <v>-4.0</v>
      </c>
      <c r="F76" s="6">
        <v>4.0</v>
      </c>
      <c r="G76" s="6">
        <v>0.0</v>
      </c>
      <c r="H76" s="6">
        <v>0.0</v>
      </c>
      <c r="I76" s="6">
        <v>0.0</v>
      </c>
      <c r="J76" s="6">
        <v>4.0</v>
      </c>
      <c r="K76" s="6">
        <v>-4.0</v>
      </c>
      <c r="L76" s="6">
        <v>0.0</v>
      </c>
      <c r="M76" s="6">
        <v>4.0</v>
      </c>
      <c r="N76" s="6">
        <v>0.0</v>
      </c>
      <c r="O76" s="6">
        <v>8.0</v>
      </c>
      <c r="P76" s="6">
        <v>8.0</v>
      </c>
      <c r="Q76" s="6">
        <v>12.0</v>
      </c>
      <c r="R76" s="6">
        <v>345.0</v>
      </c>
      <c r="S76" s="6">
        <v>40.0</v>
      </c>
      <c r="T76" s="6">
        <v>2.6666666666666665</v>
      </c>
      <c r="U76" s="6">
        <v>75.0</v>
      </c>
    </row>
    <row r="77">
      <c r="A77" s="13" t="s">
        <v>88</v>
      </c>
      <c r="B77" s="13" t="s">
        <v>84</v>
      </c>
      <c r="C77" s="13">
        <v>-4.0</v>
      </c>
      <c r="D77" s="13">
        <v>0.0</v>
      </c>
      <c r="E77" s="13">
        <v>8.0</v>
      </c>
      <c r="F77" s="13">
        <v>-4.0</v>
      </c>
      <c r="G77" s="13">
        <v>4.0</v>
      </c>
      <c r="H77" s="13">
        <v>4.0</v>
      </c>
      <c r="I77" s="13">
        <v>0.0</v>
      </c>
      <c r="J77" s="13">
        <v>0.0</v>
      </c>
      <c r="K77" s="13">
        <v>8.0</v>
      </c>
      <c r="L77" s="13">
        <v>4.0</v>
      </c>
      <c r="M77" s="13">
        <v>8.0</v>
      </c>
      <c r="N77" s="13">
        <v>0.0</v>
      </c>
      <c r="O77" s="13">
        <v>4.0</v>
      </c>
      <c r="P77" s="13">
        <v>4.0</v>
      </c>
      <c r="Q77" s="13">
        <v>4.0</v>
      </c>
      <c r="R77" s="13">
        <v>345.0</v>
      </c>
      <c r="S77" s="13">
        <v>40.0</v>
      </c>
      <c r="T77" s="13">
        <v>2.6666666666666665</v>
      </c>
      <c r="U77" s="13">
        <v>75.0</v>
      </c>
    </row>
    <row r="78">
      <c r="A78" s="6" t="s">
        <v>165</v>
      </c>
      <c r="B78" s="6" t="s">
        <v>166</v>
      </c>
      <c r="C78" s="6">
        <v>-4.0</v>
      </c>
      <c r="D78" s="6">
        <v>0.0</v>
      </c>
      <c r="E78" s="6">
        <v>0.0</v>
      </c>
      <c r="F78" s="6">
        <v>4.0</v>
      </c>
      <c r="G78" s="6">
        <v>4.0</v>
      </c>
      <c r="H78" s="6">
        <v>4.0</v>
      </c>
      <c r="I78" s="6">
        <v>-4.0</v>
      </c>
      <c r="J78" s="6">
        <v>0.0</v>
      </c>
      <c r="K78" s="6">
        <v>12.0</v>
      </c>
      <c r="L78" s="6">
        <v>-4.0</v>
      </c>
      <c r="M78" s="6">
        <v>8.0</v>
      </c>
      <c r="N78" s="6">
        <v>8.0</v>
      </c>
      <c r="O78" s="6">
        <v>4.0</v>
      </c>
      <c r="P78" s="6">
        <v>0.0</v>
      </c>
      <c r="Q78" s="6">
        <v>8.0</v>
      </c>
      <c r="R78" s="6">
        <v>345.0</v>
      </c>
      <c r="S78" s="6">
        <v>40.0</v>
      </c>
      <c r="T78" s="6">
        <v>2.6666666666666665</v>
      </c>
      <c r="U78" s="6">
        <v>75.0</v>
      </c>
    </row>
    <row r="79">
      <c r="A79" s="13" t="s">
        <v>133</v>
      </c>
      <c r="B79" s="13" t="s">
        <v>131</v>
      </c>
      <c r="C79" s="13">
        <v>0.0</v>
      </c>
      <c r="D79" s="13">
        <v>0.0</v>
      </c>
      <c r="E79" s="13">
        <v>0.0</v>
      </c>
      <c r="F79" s="13">
        <v>0.0</v>
      </c>
      <c r="G79" s="13">
        <v>0.0</v>
      </c>
      <c r="H79" s="13">
        <v>0.0</v>
      </c>
      <c r="I79" s="13">
        <v>0.0</v>
      </c>
      <c r="J79" s="13">
        <v>0.0</v>
      </c>
      <c r="K79" s="13">
        <v>0.0</v>
      </c>
      <c r="L79" s="13">
        <v>4.0</v>
      </c>
      <c r="M79" s="13">
        <v>0.0</v>
      </c>
      <c r="N79" s="13">
        <v>0.0</v>
      </c>
      <c r="O79" s="13">
        <v>0.0</v>
      </c>
      <c r="P79" s="13">
        <v>0.0</v>
      </c>
      <c r="Q79" s="13">
        <v>0.0</v>
      </c>
      <c r="R79" s="13">
        <v>36.0</v>
      </c>
      <c r="S79" s="13">
        <v>4.0</v>
      </c>
      <c r="T79" s="13">
        <v>2.5555555555555554</v>
      </c>
      <c r="U79" s="13">
        <v>78.0</v>
      </c>
    </row>
    <row r="80">
      <c r="A80" s="6" t="s">
        <v>264</v>
      </c>
      <c r="B80" s="6" t="s">
        <v>261</v>
      </c>
      <c r="C80" s="6">
        <v>0.0</v>
      </c>
      <c r="D80" s="6">
        <v>0.0</v>
      </c>
      <c r="E80" s="6">
        <v>0.0</v>
      </c>
      <c r="F80" s="6">
        <v>0.0</v>
      </c>
      <c r="G80" s="6">
        <v>12.0</v>
      </c>
      <c r="H80" s="6">
        <v>4.0</v>
      </c>
      <c r="I80" s="6">
        <v>0.0</v>
      </c>
      <c r="J80" s="6">
        <v>4.0</v>
      </c>
      <c r="K80" s="6">
        <v>-4.0</v>
      </c>
      <c r="L80" s="6">
        <v>0.0</v>
      </c>
      <c r="M80" s="6">
        <v>8.0</v>
      </c>
      <c r="N80" s="6">
        <v>0.0</v>
      </c>
      <c r="O80" s="6">
        <v>0.0</v>
      </c>
      <c r="P80" s="6">
        <v>0.0</v>
      </c>
      <c r="Q80" s="6">
        <v>12.0</v>
      </c>
      <c r="R80" s="6">
        <v>345.0</v>
      </c>
      <c r="S80" s="6">
        <v>36.0</v>
      </c>
      <c r="T80" s="6">
        <v>2.4</v>
      </c>
      <c r="U80" s="6">
        <v>79.0</v>
      </c>
    </row>
    <row r="81">
      <c r="A81" s="13" t="s">
        <v>220</v>
      </c>
      <c r="B81" s="13" t="s">
        <v>210</v>
      </c>
      <c r="C81" s="13">
        <v>0.0</v>
      </c>
      <c r="D81" s="13">
        <v>4.0</v>
      </c>
      <c r="E81" s="13">
        <v>0.0</v>
      </c>
      <c r="F81" s="13">
        <v>0.0</v>
      </c>
      <c r="G81" s="13">
        <v>0.0</v>
      </c>
      <c r="H81" s="13">
        <v>0.0</v>
      </c>
      <c r="I81" s="13">
        <v>4.0</v>
      </c>
      <c r="J81" s="13">
        <v>8.0</v>
      </c>
      <c r="K81" s="13">
        <v>0.0</v>
      </c>
      <c r="L81" s="13">
        <v>0.0</v>
      </c>
      <c r="M81" s="13">
        <v>8.0</v>
      </c>
      <c r="N81" s="13">
        <v>0.0</v>
      </c>
      <c r="O81" s="13">
        <v>0.0</v>
      </c>
      <c r="P81" s="13">
        <v>0.0</v>
      </c>
      <c r="Q81" s="13">
        <v>4.0</v>
      </c>
      <c r="R81" s="13">
        <v>276.0</v>
      </c>
      <c r="S81" s="13">
        <v>28.0</v>
      </c>
      <c r="T81" s="13">
        <v>2.3333333333333335</v>
      </c>
      <c r="U81" s="13">
        <v>80.0</v>
      </c>
    </row>
    <row r="82">
      <c r="A82" s="6" t="s">
        <v>306</v>
      </c>
      <c r="B82" s="6" t="s">
        <v>299</v>
      </c>
      <c r="C82" s="6">
        <v>4.0</v>
      </c>
      <c r="D82" s="6">
        <v>-4.0</v>
      </c>
      <c r="E82" s="6">
        <v>0.0</v>
      </c>
      <c r="F82" s="6">
        <v>8.0</v>
      </c>
      <c r="G82" s="6">
        <v>4.0</v>
      </c>
      <c r="H82" s="6">
        <v>8.0</v>
      </c>
      <c r="I82" s="6">
        <v>0.0</v>
      </c>
      <c r="J82" s="6">
        <v>4.0</v>
      </c>
      <c r="K82" s="6">
        <v>-4.0</v>
      </c>
      <c r="L82" s="6">
        <v>4.0</v>
      </c>
      <c r="M82" s="6">
        <v>0.0</v>
      </c>
      <c r="N82" s="6">
        <v>4.0</v>
      </c>
      <c r="O82" s="6">
        <v>0.0</v>
      </c>
      <c r="P82" s="6">
        <v>4.0</v>
      </c>
      <c r="Q82" s="6">
        <v>0.0</v>
      </c>
      <c r="R82" s="6">
        <v>345.0</v>
      </c>
      <c r="S82" s="6">
        <v>32.0</v>
      </c>
      <c r="T82" s="6">
        <v>2.1333333333333333</v>
      </c>
      <c r="U82" s="6">
        <v>81.0</v>
      </c>
    </row>
    <row r="83">
      <c r="A83" s="13" t="s">
        <v>150</v>
      </c>
      <c r="B83" s="13" t="s">
        <v>151</v>
      </c>
      <c r="C83" s="13">
        <v>0.0</v>
      </c>
      <c r="D83" s="13">
        <v>0.0</v>
      </c>
      <c r="E83" s="13">
        <v>0.0</v>
      </c>
      <c r="F83" s="13">
        <v>0.0</v>
      </c>
      <c r="G83" s="13">
        <v>0.0</v>
      </c>
      <c r="H83" s="13">
        <v>0.0</v>
      </c>
      <c r="I83" s="13">
        <v>0.0</v>
      </c>
      <c r="J83" s="13">
        <v>0.0</v>
      </c>
      <c r="K83" s="13">
        <v>0.0</v>
      </c>
      <c r="L83" s="13">
        <v>0.0</v>
      </c>
      <c r="M83" s="13">
        <v>0.0</v>
      </c>
      <c r="N83" s="13">
        <v>0.0</v>
      </c>
      <c r="O83" s="13">
        <v>0.0</v>
      </c>
      <c r="P83" s="13">
        <v>0.0</v>
      </c>
      <c r="Q83" s="13">
        <v>4.0</v>
      </c>
      <c r="R83" s="13">
        <v>44.0</v>
      </c>
      <c r="S83" s="13">
        <v>4.0</v>
      </c>
      <c r="T83" s="13">
        <v>2.090909090909091</v>
      </c>
      <c r="U83" s="13">
        <v>82.0</v>
      </c>
    </row>
    <row r="84">
      <c r="A84" s="6" t="s">
        <v>258</v>
      </c>
      <c r="B84" s="6" t="s">
        <v>248</v>
      </c>
      <c r="C84" s="6">
        <v>4.0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-4.0</v>
      </c>
      <c r="O84" s="6">
        <v>4.0</v>
      </c>
      <c r="P84" s="6">
        <v>4.0</v>
      </c>
      <c r="Q84" s="6">
        <v>4.0</v>
      </c>
      <c r="R84" s="6">
        <v>138.0</v>
      </c>
      <c r="S84" s="6">
        <v>12.0</v>
      </c>
      <c r="T84" s="6">
        <v>2.0</v>
      </c>
      <c r="U84" s="6">
        <v>83.0</v>
      </c>
    </row>
    <row r="85">
      <c r="A85" s="13" t="s">
        <v>278</v>
      </c>
      <c r="B85" s="13" t="s">
        <v>272</v>
      </c>
      <c r="C85" s="13">
        <v>0.0</v>
      </c>
      <c r="D85" s="13">
        <v>0.0</v>
      </c>
      <c r="E85" s="13">
        <v>0.0</v>
      </c>
      <c r="F85" s="13">
        <v>4.0</v>
      </c>
      <c r="G85" s="13">
        <v>0.0</v>
      </c>
      <c r="H85" s="13">
        <v>0.0</v>
      </c>
      <c r="I85" s="13">
        <v>0.0</v>
      </c>
      <c r="J85" s="13">
        <v>0.0</v>
      </c>
      <c r="K85" s="13">
        <v>0.0</v>
      </c>
      <c r="L85" s="13">
        <v>0.0</v>
      </c>
      <c r="M85" s="13">
        <v>0.0</v>
      </c>
      <c r="N85" s="13">
        <v>4.0</v>
      </c>
      <c r="O85" s="13">
        <v>0.0</v>
      </c>
      <c r="P85" s="13">
        <v>0.0</v>
      </c>
      <c r="Q85" s="13">
        <v>0.0</v>
      </c>
      <c r="R85" s="13">
        <v>100.0</v>
      </c>
      <c r="S85" s="13">
        <v>8.0</v>
      </c>
      <c r="T85" s="13">
        <v>1.84</v>
      </c>
      <c r="U85" s="13">
        <v>84.0</v>
      </c>
    </row>
    <row r="86">
      <c r="A86" s="6" t="s">
        <v>234</v>
      </c>
      <c r="B86" s="6" t="s">
        <v>235</v>
      </c>
      <c r="C86" s="6">
        <v>0.0</v>
      </c>
      <c r="D86" s="6">
        <v>0.0</v>
      </c>
      <c r="E86" s="6">
        <v>0.0</v>
      </c>
      <c r="F86" s="6">
        <v>0.0</v>
      </c>
      <c r="G86" s="6">
        <v>4.0</v>
      </c>
      <c r="H86" s="6">
        <v>12.0</v>
      </c>
      <c r="I86" s="6">
        <v>0.0</v>
      </c>
      <c r="J86" s="6">
        <v>0.0</v>
      </c>
      <c r="K86" s="6">
        <v>4.0</v>
      </c>
      <c r="L86" s="6">
        <v>0.0</v>
      </c>
      <c r="M86" s="6">
        <v>4.0</v>
      </c>
      <c r="N86" s="6">
        <v>0.0</v>
      </c>
      <c r="O86" s="6">
        <v>0.0</v>
      </c>
      <c r="P86" s="6">
        <v>0.0</v>
      </c>
      <c r="Q86" s="6">
        <v>0.0</v>
      </c>
      <c r="R86" s="6">
        <v>322.0</v>
      </c>
      <c r="S86" s="6">
        <v>24.0</v>
      </c>
      <c r="T86" s="6">
        <v>1.7142857142857142</v>
      </c>
      <c r="U86" s="6">
        <v>85.0</v>
      </c>
    </row>
    <row r="87">
      <c r="A87" s="13" t="s">
        <v>142</v>
      </c>
      <c r="B87" s="13" t="s">
        <v>131</v>
      </c>
      <c r="C87" s="13">
        <v>0.0</v>
      </c>
      <c r="D87" s="13">
        <v>0.0</v>
      </c>
      <c r="E87" s="13">
        <v>0.0</v>
      </c>
      <c r="F87" s="13">
        <v>0.0</v>
      </c>
      <c r="G87" s="13">
        <v>-4.0</v>
      </c>
      <c r="H87" s="13">
        <v>8.0</v>
      </c>
      <c r="I87" s="13">
        <v>0.0</v>
      </c>
      <c r="J87" s="13">
        <v>4.0</v>
      </c>
      <c r="K87" s="13">
        <v>8.0</v>
      </c>
      <c r="L87" s="13">
        <v>4.0</v>
      </c>
      <c r="M87" s="13">
        <v>0.0</v>
      </c>
      <c r="N87" s="13">
        <v>4.0</v>
      </c>
      <c r="O87" s="13">
        <v>0.0</v>
      </c>
      <c r="P87" s="13">
        <v>0.0</v>
      </c>
      <c r="Q87" s="13">
        <v>0.0</v>
      </c>
      <c r="R87" s="13">
        <v>334.0</v>
      </c>
      <c r="S87" s="13">
        <v>24.0</v>
      </c>
      <c r="T87" s="13">
        <v>1.652694610778443</v>
      </c>
      <c r="U87" s="13">
        <v>86.0</v>
      </c>
    </row>
    <row r="88">
      <c r="A88" s="6" t="s">
        <v>321</v>
      </c>
      <c r="B88" s="6" t="s">
        <v>309</v>
      </c>
      <c r="C88" s="6">
        <v>0.0</v>
      </c>
      <c r="D88" s="6">
        <v>0.0</v>
      </c>
      <c r="E88" s="6">
        <v>4.0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4.0</v>
      </c>
      <c r="L88" s="6">
        <v>0.0</v>
      </c>
      <c r="M88" s="6">
        <v>0.0</v>
      </c>
      <c r="N88" s="6">
        <v>-4.0</v>
      </c>
      <c r="O88" s="6">
        <v>0.0</v>
      </c>
      <c r="P88" s="6">
        <v>0.0</v>
      </c>
      <c r="Q88" s="6">
        <v>8.0</v>
      </c>
      <c r="R88" s="6">
        <v>172.0</v>
      </c>
      <c r="S88" s="6">
        <v>12.0</v>
      </c>
      <c r="T88" s="6">
        <v>1.6046511627906976</v>
      </c>
      <c r="U88" s="6">
        <v>87.0</v>
      </c>
    </row>
    <row r="89">
      <c r="A89" s="13" t="s">
        <v>130</v>
      </c>
      <c r="B89" s="13" t="s">
        <v>131</v>
      </c>
      <c r="C89" s="13">
        <v>4.0</v>
      </c>
      <c r="D89" s="13">
        <v>0.0</v>
      </c>
      <c r="E89" s="13">
        <v>0.0</v>
      </c>
      <c r="F89" s="13">
        <v>0.0</v>
      </c>
      <c r="G89" s="13">
        <v>0.0</v>
      </c>
      <c r="H89" s="13">
        <v>0.0</v>
      </c>
      <c r="I89" s="13">
        <v>0.0</v>
      </c>
      <c r="J89" s="13">
        <v>0.0</v>
      </c>
      <c r="K89" s="13">
        <v>4.0</v>
      </c>
      <c r="L89" s="13">
        <v>0.0</v>
      </c>
      <c r="M89" s="13">
        <v>0.0</v>
      </c>
      <c r="N89" s="13">
        <v>0.0</v>
      </c>
      <c r="O89" s="13">
        <v>0.0</v>
      </c>
      <c r="P89" s="13">
        <v>0.0</v>
      </c>
      <c r="Q89" s="13">
        <v>0.0</v>
      </c>
      <c r="R89" s="13">
        <v>116.0</v>
      </c>
      <c r="S89" s="13">
        <v>8.0</v>
      </c>
      <c r="T89" s="13">
        <v>1.5862068965517242</v>
      </c>
      <c r="U89" s="13">
        <v>88.0</v>
      </c>
    </row>
    <row r="90">
      <c r="A90" s="6" t="s">
        <v>199</v>
      </c>
      <c r="B90" s="6" t="s">
        <v>200</v>
      </c>
      <c r="C90" s="6">
        <v>12.0</v>
      </c>
      <c r="D90" s="6">
        <v>0.0</v>
      </c>
      <c r="E90" s="6">
        <v>0.0</v>
      </c>
      <c r="F90" s="6">
        <v>0.0</v>
      </c>
      <c r="G90" s="6">
        <v>-4.0</v>
      </c>
      <c r="H90" s="6">
        <v>8.0</v>
      </c>
      <c r="I90" s="6">
        <v>-4.0</v>
      </c>
      <c r="J90" s="6">
        <v>8.0</v>
      </c>
      <c r="K90" s="6">
        <v>0.0</v>
      </c>
      <c r="L90" s="6">
        <v>-4.0</v>
      </c>
      <c r="M90" s="6">
        <v>4.0</v>
      </c>
      <c r="N90" s="6">
        <v>0.0</v>
      </c>
      <c r="O90" s="6">
        <v>0.0</v>
      </c>
      <c r="P90" s="6">
        <v>0.0</v>
      </c>
      <c r="Q90" s="6">
        <v>0.0</v>
      </c>
      <c r="R90" s="6">
        <v>322.0</v>
      </c>
      <c r="S90" s="6">
        <v>20.0</v>
      </c>
      <c r="T90" s="6">
        <v>1.4285714285714286</v>
      </c>
      <c r="U90" s="6">
        <v>89.0</v>
      </c>
    </row>
    <row r="91">
      <c r="A91" s="13" t="s">
        <v>182</v>
      </c>
      <c r="B91" s="13" t="s">
        <v>176</v>
      </c>
      <c r="C91" s="13">
        <v>0.0</v>
      </c>
      <c r="D91" s="13">
        <v>-4.0</v>
      </c>
      <c r="E91" s="13">
        <v>0.0</v>
      </c>
      <c r="F91" s="13">
        <v>0.0</v>
      </c>
      <c r="G91" s="13">
        <v>4.0</v>
      </c>
      <c r="H91" s="13">
        <v>4.0</v>
      </c>
      <c r="I91" s="13">
        <v>0.0</v>
      </c>
      <c r="J91" s="13">
        <v>4.0</v>
      </c>
      <c r="K91" s="13">
        <v>4.0</v>
      </c>
      <c r="L91" s="13">
        <v>0.0</v>
      </c>
      <c r="M91" s="13">
        <v>0.0</v>
      </c>
      <c r="N91" s="13">
        <v>0.0</v>
      </c>
      <c r="O91" s="13">
        <v>4.0</v>
      </c>
      <c r="P91" s="13">
        <v>0.0</v>
      </c>
      <c r="Q91" s="13">
        <v>0.0</v>
      </c>
      <c r="R91" s="13">
        <v>266.0</v>
      </c>
      <c r="S91" s="13">
        <v>16.0</v>
      </c>
      <c r="T91" s="13">
        <v>1.3834586466165413</v>
      </c>
      <c r="U91" s="13">
        <v>90.0</v>
      </c>
    </row>
    <row r="92">
      <c r="A92" s="6" t="s">
        <v>205</v>
      </c>
      <c r="B92" s="6" t="s">
        <v>200</v>
      </c>
      <c r="C92" s="6">
        <v>0.0</v>
      </c>
      <c r="D92" s="6">
        <v>0.0</v>
      </c>
      <c r="E92" s="6">
        <v>4.0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>
        <v>0.0</v>
      </c>
      <c r="P92" s="6">
        <v>0.0</v>
      </c>
      <c r="Q92" s="6">
        <v>0.0</v>
      </c>
      <c r="R92" s="6">
        <v>69.0</v>
      </c>
      <c r="S92" s="6">
        <v>4.0</v>
      </c>
      <c r="T92" s="6">
        <v>1.3333333333333333</v>
      </c>
      <c r="U92" s="6">
        <v>91.0</v>
      </c>
    </row>
    <row r="93">
      <c r="A93" s="13" t="s">
        <v>232</v>
      </c>
      <c r="B93" s="13" t="s">
        <v>223</v>
      </c>
      <c r="C93" s="13">
        <v>4.0</v>
      </c>
      <c r="D93" s="13">
        <v>8.0</v>
      </c>
      <c r="E93" s="13">
        <v>0.0</v>
      </c>
      <c r="F93" s="13">
        <v>8.0</v>
      </c>
      <c r="G93" s="13">
        <v>0.0</v>
      </c>
      <c r="H93" s="13">
        <v>4.0</v>
      </c>
      <c r="I93" s="13">
        <v>0.0</v>
      </c>
      <c r="J93" s="13">
        <v>0.0</v>
      </c>
      <c r="K93" s="13">
        <v>0.0</v>
      </c>
      <c r="L93" s="13">
        <v>0.0</v>
      </c>
      <c r="M93" s="13">
        <v>0.0</v>
      </c>
      <c r="N93" s="13">
        <v>0.0</v>
      </c>
      <c r="O93" s="13">
        <v>-4.0</v>
      </c>
      <c r="P93" s="13">
        <v>0.0</v>
      </c>
      <c r="Q93" s="13">
        <v>-4.0</v>
      </c>
      <c r="R93" s="13">
        <v>276.0</v>
      </c>
      <c r="S93" s="13">
        <v>16.0</v>
      </c>
      <c r="T93" s="13">
        <v>1.3333333333333333</v>
      </c>
      <c r="U93" s="13">
        <v>91.0</v>
      </c>
    </row>
    <row r="94">
      <c r="A94" s="6" t="s">
        <v>209</v>
      </c>
      <c r="B94" s="6" t="s">
        <v>210</v>
      </c>
      <c r="C94" s="6">
        <v>0.0</v>
      </c>
      <c r="D94" s="6">
        <v>0.0</v>
      </c>
      <c r="E94" s="6">
        <v>0.0</v>
      </c>
      <c r="F94" s="6">
        <v>0.0</v>
      </c>
      <c r="G94" s="6">
        <v>4.0</v>
      </c>
      <c r="H94" s="6">
        <v>0.0</v>
      </c>
      <c r="I94" s="6">
        <v>4.0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  <c r="O94" s="6">
        <v>0.0</v>
      </c>
      <c r="P94" s="6">
        <v>0.0</v>
      </c>
      <c r="Q94" s="6">
        <v>0.0</v>
      </c>
      <c r="R94" s="6">
        <v>178.0</v>
      </c>
      <c r="S94" s="6">
        <v>8.0</v>
      </c>
      <c r="T94" s="6">
        <v>1.0337078651685394</v>
      </c>
      <c r="U94" s="6">
        <v>93.0</v>
      </c>
    </row>
    <row r="95">
      <c r="A95" s="13" t="s">
        <v>241</v>
      </c>
      <c r="B95" s="13" t="s">
        <v>235</v>
      </c>
      <c r="C95" s="13">
        <v>0.0</v>
      </c>
      <c r="D95" s="13">
        <v>0.0</v>
      </c>
      <c r="E95" s="13">
        <v>0.0</v>
      </c>
      <c r="F95" s="13">
        <v>0.0</v>
      </c>
      <c r="G95" s="13">
        <v>0.0</v>
      </c>
      <c r="H95" s="13">
        <v>4.0</v>
      </c>
      <c r="I95" s="13">
        <v>0.0</v>
      </c>
      <c r="J95" s="13">
        <v>0.0</v>
      </c>
      <c r="K95" s="13">
        <v>0.0</v>
      </c>
      <c r="L95" s="13">
        <v>0.0</v>
      </c>
      <c r="M95" s="13">
        <v>0.0</v>
      </c>
      <c r="N95" s="13">
        <v>0.0</v>
      </c>
      <c r="O95" s="13">
        <v>0.0</v>
      </c>
      <c r="P95" s="13">
        <v>4.0</v>
      </c>
      <c r="Q95" s="13">
        <v>0.0</v>
      </c>
      <c r="R95" s="13">
        <v>199.0</v>
      </c>
      <c r="S95" s="13">
        <v>8.0</v>
      </c>
      <c r="T95" s="13">
        <v>0.9246231155778895</v>
      </c>
      <c r="U95" s="13">
        <v>94.0</v>
      </c>
    </row>
    <row r="96">
      <c r="A96" s="6" t="s">
        <v>146</v>
      </c>
      <c r="B96" s="6" t="s">
        <v>131</v>
      </c>
      <c r="C96" s="6">
        <v>8.0</v>
      </c>
      <c r="D96" s="6">
        <v>0.0</v>
      </c>
      <c r="E96" s="6">
        <v>0.0</v>
      </c>
      <c r="F96" s="6">
        <v>0.0</v>
      </c>
      <c r="G96" s="6">
        <v>-4.0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4.0</v>
      </c>
      <c r="N96" s="6">
        <v>0.0</v>
      </c>
      <c r="O96" s="6">
        <v>0.0</v>
      </c>
      <c r="P96" s="6">
        <v>0.0</v>
      </c>
      <c r="Q96" s="6">
        <v>0.0</v>
      </c>
      <c r="R96" s="6">
        <v>218.0</v>
      </c>
      <c r="S96" s="6">
        <v>8.0</v>
      </c>
      <c r="T96" s="6">
        <v>0.8440366972477065</v>
      </c>
      <c r="U96" s="6">
        <v>95.0</v>
      </c>
    </row>
    <row r="97">
      <c r="A97" s="13" t="s">
        <v>311</v>
      </c>
      <c r="B97" s="13" t="s">
        <v>309</v>
      </c>
      <c r="C97" s="13">
        <v>0.0</v>
      </c>
      <c r="D97" s="13">
        <v>0.0</v>
      </c>
      <c r="E97" s="13">
        <v>0.0</v>
      </c>
      <c r="F97" s="13">
        <v>0.0</v>
      </c>
      <c r="G97" s="13">
        <v>0.0</v>
      </c>
      <c r="H97" s="13">
        <v>0.0</v>
      </c>
      <c r="I97" s="13">
        <v>0.0</v>
      </c>
      <c r="J97" s="13">
        <v>0.0</v>
      </c>
      <c r="K97" s="13">
        <v>4.0</v>
      </c>
      <c r="L97" s="13">
        <v>0.0</v>
      </c>
      <c r="M97" s="13">
        <v>4.0</v>
      </c>
      <c r="N97" s="13">
        <v>0.0</v>
      </c>
      <c r="O97" s="13">
        <v>-4.0</v>
      </c>
      <c r="P97" s="13">
        <v>0.0</v>
      </c>
      <c r="Q97" s="13">
        <v>4.0</v>
      </c>
      <c r="R97" s="13">
        <v>229.0</v>
      </c>
      <c r="S97" s="13">
        <v>8.0</v>
      </c>
      <c r="T97" s="13">
        <v>0.8034934497816594</v>
      </c>
      <c r="U97" s="13">
        <v>96.0</v>
      </c>
    </row>
    <row r="98">
      <c r="A98" s="6" t="s">
        <v>60</v>
      </c>
      <c r="B98" s="6" t="s">
        <v>61</v>
      </c>
      <c r="C98" s="6">
        <v>0.0</v>
      </c>
      <c r="D98" s="6">
        <v>0.0</v>
      </c>
      <c r="E98" s="6">
        <v>4.0</v>
      </c>
      <c r="F98" s="6">
        <v>4.0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  <c r="O98" s="6">
        <v>0.0</v>
      </c>
      <c r="P98" s="6">
        <v>0.0</v>
      </c>
      <c r="Q98" s="6">
        <v>4.0</v>
      </c>
      <c r="R98" s="6">
        <v>345.0</v>
      </c>
      <c r="S98" s="6">
        <v>12.0</v>
      </c>
      <c r="T98" s="6">
        <v>0.8</v>
      </c>
      <c r="U98" s="6">
        <v>97.0</v>
      </c>
    </row>
    <row r="99">
      <c r="A99" s="13" t="s">
        <v>172</v>
      </c>
      <c r="B99" s="13" t="s">
        <v>166</v>
      </c>
      <c r="C99" s="13">
        <v>0.0</v>
      </c>
      <c r="D99" s="13">
        <v>0.0</v>
      </c>
      <c r="E99" s="13">
        <v>0.0</v>
      </c>
      <c r="F99" s="13">
        <v>0.0</v>
      </c>
      <c r="G99" s="13">
        <v>4.0</v>
      </c>
      <c r="H99" s="13">
        <v>0.0</v>
      </c>
      <c r="I99" s="13">
        <v>0.0</v>
      </c>
      <c r="J99" s="13">
        <v>0.0</v>
      </c>
      <c r="K99" s="13">
        <v>0.0</v>
      </c>
      <c r="L99" s="13">
        <v>0.0</v>
      </c>
      <c r="M99" s="13">
        <v>0.0</v>
      </c>
      <c r="N99" s="13">
        <v>0.0</v>
      </c>
      <c r="O99" s="13">
        <v>0.0</v>
      </c>
      <c r="P99" s="13">
        <v>0.0</v>
      </c>
      <c r="Q99" s="13">
        <v>0.0</v>
      </c>
      <c r="R99" s="13">
        <v>115.0</v>
      </c>
      <c r="S99" s="13">
        <v>4.0</v>
      </c>
      <c r="T99" s="13">
        <v>0.8</v>
      </c>
      <c r="U99" s="13">
        <v>97.0</v>
      </c>
    </row>
    <row r="100">
      <c r="A100" s="6" t="s">
        <v>222</v>
      </c>
      <c r="B100" s="6" t="s">
        <v>223</v>
      </c>
      <c r="C100" s="6">
        <v>4.0</v>
      </c>
      <c r="D100" s="6">
        <v>0.0</v>
      </c>
      <c r="E100" s="6">
        <v>4.0</v>
      </c>
      <c r="F100" s="6">
        <v>0.0</v>
      </c>
      <c r="G100" s="6">
        <v>0.0</v>
      </c>
      <c r="H100" s="6">
        <v>0.0</v>
      </c>
      <c r="I100" s="6">
        <v>4.0</v>
      </c>
      <c r="J100" s="6">
        <v>0.0</v>
      </c>
      <c r="K100" s="6">
        <v>-4.0</v>
      </c>
      <c r="L100" s="6">
        <v>0.0</v>
      </c>
      <c r="M100" s="6">
        <v>0.0</v>
      </c>
      <c r="N100" s="6">
        <v>0.0</v>
      </c>
      <c r="O100" s="6">
        <v>4.0</v>
      </c>
      <c r="P100" s="6">
        <v>-4.0</v>
      </c>
      <c r="Q100" s="6">
        <v>0.0</v>
      </c>
      <c r="R100" s="6">
        <v>253.0</v>
      </c>
      <c r="S100" s="6">
        <v>8.0</v>
      </c>
      <c r="T100" s="6">
        <v>0.7272727272727273</v>
      </c>
      <c r="U100" s="6">
        <v>99.0</v>
      </c>
    </row>
    <row r="101">
      <c r="A101" s="13" t="s">
        <v>112</v>
      </c>
      <c r="B101" s="13" t="s">
        <v>108</v>
      </c>
      <c r="C101" s="13">
        <v>0.0</v>
      </c>
      <c r="D101" s="13">
        <v>0.0</v>
      </c>
      <c r="E101" s="13">
        <v>0.0</v>
      </c>
      <c r="F101" s="13">
        <v>0.0</v>
      </c>
      <c r="G101" s="13">
        <v>0.0</v>
      </c>
      <c r="H101" s="13">
        <v>0.0</v>
      </c>
      <c r="I101" s="13">
        <v>0.0</v>
      </c>
      <c r="J101" s="13">
        <v>0.0</v>
      </c>
      <c r="K101" s="13">
        <v>8.0</v>
      </c>
      <c r="L101" s="13">
        <v>0.0</v>
      </c>
      <c r="M101" s="13">
        <v>0.0</v>
      </c>
      <c r="N101" s="13">
        <v>0.0</v>
      </c>
      <c r="O101" s="13">
        <v>0.0</v>
      </c>
      <c r="P101" s="13">
        <v>0.0</v>
      </c>
      <c r="Q101" s="13">
        <v>0.0</v>
      </c>
      <c r="R101" s="13">
        <v>265.0</v>
      </c>
      <c r="S101" s="13">
        <v>8.0</v>
      </c>
      <c r="T101" s="13">
        <v>0.6943396226415094</v>
      </c>
      <c r="U101" s="13">
        <v>100.0</v>
      </c>
    </row>
    <row r="102">
      <c r="A102" s="6" t="s">
        <v>253</v>
      </c>
      <c r="B102" s="6" t="s">
        <v>248</v>
      </c>
      <c r="C102" s="6">
        <v>0.0</v>
      </c>
      <c r="D102" s="6">
        <v>0.0</v>
      </c>
      <c r="E102" s="6">
        <v>0.0</v>
      </c>
      <c r="F102" s="6">
        <v>4.0</v>
      </c>
      <c r="G102" s="6">
        <v>0.0</v>
      </c>
      <c r="H102" s="6">
        <v>0.0</v>
      </c>
      <c r="I102" s="6">
        <v>0.0</v>
      </c>
      <c r="J102" s="6">
        <v>4.0</v>
      </c>
      <c r="K102" s="6">
        <v>0.0</v>
      </c>
      <c r="L102" s="6">
        <v>0.0</v>
      </c>
      <c r="M102" s="6">
        <v>0.0</v>
      </c>
      <c r="N102" s="6">
        <v>0.0</v>
      </c>
      <c r="O102" s="6">
        <v>0.0</v>
      </c>
      <c r="P102" s="6">
        <v>0.0</v>
      </c>
      <c r="Q102" s="6">
        <v>0.0</v>
      </c>
      <c r="R102" s="6">
        <v>322.0</v>
      </c>
      <c r="S102" s="6">
        <v>8.0</v>
      </c>
      <c r="T102" s="6">
        <v>0.5714285714285714</v>
      </c>
      <c r="U102" s="6">
        <v>101.0</v>
      </c>
    </row>
    <row r="103">
      <c r="A103" s="13" t="s">
        <v>38</v>
      </c>
      <c r="B103" s="13" t="s">
        <v>35</v>
      </c>
      <c r="C103" s="13">
        <v>0.0</v>
      </c>
      <c r="D103" s="13">
        <v>0.0</v>
      </c>
      <c r="E103" s="13">
        <v>0.0</v>
      </c>
      <c r="F103" s="13">
        <v>0.0</v>
      </c>
      <c r="G103" s="13">
        <v>0.0</v>
      </c>
      <c r="H103" s="13">
        <v>0.0</v>
      </c>
      <c r="I103" s="13">
        <v>0.0</v>
      </c>
      <c r="J103" s="13">
        <v>0.0</v>
      </c>
      <c r="K103" s="13">
        <v>0.0</v>
      </c>
      <c r="L103" s="13">
        <v>0.0</v>
      </c>
      <c r="M103" s="13">
        <v>0.0</v>
      </c>
      <c r="N103" s="13">
        <v>0.0</v>
      </c>
      <c r="O103" s="13">
        <v>0.0</v>
      </c>
      <c r="P103" s="13">
        <v>0.0</v>
      </c>
      <c r="Q103" s="13">
        <v>4.0</v>
      </c>
      <c r="R103" s="13">
        <v>207.0</v>
      </c>
      <c r="S103" s="13">
        <v>4.0</v>
      </c>
      <c r="T103" s="13">
        <v>0.4444444444444444</v>
      </c>
      <c r="U103" s="13">
        <v>102.0</v>
      </c>
    </row>
    <row r="104">
      <c r="A104" s="6" t="s">
        <v>105</v>
      </c>
      <c r="B104" s="6" t="s">
        <v>97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4.0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  <c r="O104" s="6">
        <v>0.0</v>
      </c>
      <c r="P104" s="6">
        <v>0.0</v>
      </c>
      <c r="Q104" s="6">
        <v>0.0</v>
      </c>
      <c r="R104" s="6">
        <v>264.0</v>
      </c>
      <c r="S104" s="6">
        <v>4.0</v>
      </c>
      <c r="T104" s="6">
        <v>0.3484848484848485</v>
      </c>
      <c r="U104" s="6">
        <v>103.0</v>
      </c>
    </row>
    <row r="105">
      <c r="A105" s="13" t="s">
        <v>40</v>
      </c>
      <c r="B105" s="13" t="s">
        <v>35</v>
      </c>
      <c r="C105" s="13">
        <v>0.0</v>
      </c>
      <c r="D105" s="13">
        <v>0.0</v>
      </c>
      <c r="E105" s="13">
        <v>0.0</v>
      </c>
      <c r="F105" s="13">
        <v>0.0</v>
      </c>
      <c r="G105" s="13">
        <v>0.0</v>
      </c>
      <c r="H105" s="13">
        <v>0.0</v>
      </c>
      <c r="I105" s="13">
        <v>0.0</v>
      </c>
      <c r="J105" s="13">
        <v>0.0</v>
      </c>
      <c r="K105" s="13">
        <v>0.0</v>
      </c>
      <c r="L105" s="13">
        <v>0.0</v>
      </c>
      <c r="M105" s="13">
        <v>0.0</v>
      </c>
      <c r="N105" s="13">
        <v>0.0</v>
      </c>
      <c r="O105" s="13">
        <v>0.0</v>
      </c>
      <c r="P105" s="13">
        <v>0.0</v>
      </c>
      <c r="Q105" s="13">
        <v>0.0</v>
      </c>
      <c r="R105" s="13">
        <v>138.0</v>
      </c>
      <c r="S105" s="13">
        <v>0.0</v>
      </c>
      <c r="T105" s="13">
        <v>0.0</v>
      </c>
      <c r="U105" s="13">
        <v>104.0</v>
      </c>
    </row>
    <row r="106">
      <c r="A106" s="6" t="s">
        <v>83</v>
      </c>
      <c r="B106" s="6" t="s">
        <v>84</v>
      </c>
      <c r="C106" s="6">
        <v>0.0</v>
      </c>
      <c r="D106" s="6">
        <v>0.0</v>
      </c>
      <c r="E106" s="6">
        <v>0.0</v>
      </c>
      <c r="F106" s="6">
        <v>4.0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-4.0</v>
      </c>
      <c r="N106" s="6">
        <v>0.0</v>
      </c>
      <c r="O106" s="6">
        <v>0.0</v>
      </c>
      <c r="P106" s="6">
        <v>0.0</v>
      </c>
      <c r="Q106" s="6">
        <v>0.0</v>
      </c>
      <c r="R106" s="6">
        <v>253.0</v>
      </c>
      <c r="S106" s="6">
        <v>0.0</v>
      </c>
      <c r="T106" s="6">
        <v>0.0</v>
      </c>
      <c r="U106" s="6">
        <v>104.0</v>
      </c>
    </row>
    <row r="107">
      <c r="A107" s="13" t="s">
        <v>102</v>
      </c>
      <c r="B107" s="13" t="s">
        <v>97</v>
      </c>
      <c r="C107" s="13">
        <v>0.0</v>
      </c>
      <c r="D107" s="13">
        <v>0.0</v>
      </c>
      <c r="E107" s="13">
        <v>0.0</v>
      </c>
      <c r="F107" s="13">
        <v>0.0</v>
      </c>
      <c r="G107" s="13">
        <v>0.0</v>
      </c>
      <c r="H107" s="13">
        <v>0.0</v>
      </c>
      <c r="I107" s="13">
        <v>0.0</v>
      </c>
      <c r="J107" s="13">
        <v>0.0</v>
      </c>
      <c r="K107" s="13">
        <v>0.0</v>
      </c>
      <c r="L107" s="13">
        <v>0.0</v>
      </c>
      <c r="M107" s="13">
        <v>0.0</v>
      </c>
      <c r="N107" s="13">
        <v>0.0</v>
      </c>
      <c r="O107" s="13">
        <v>0.0</v>
      </c>
      <c r="P107" s="13">
        <v>0.0</v>
      </c>
      <c r="Q107" s="13">
        <v>0.0</v>
      </c>
      <c r="R107" s="13">
        <v>58.0</v>
      </c>
      <c r="S107" s="13">
        <v>0.0</v>
      </c>
      <c r="T107" s="13">
        <v>0.0</v>
      </c>
      <c r="U107" s="13">
        <v>104.0</v>
      </c>
    </row>
    <row r="108">
      <c r="A108" s="6" t="s">
        <v>117</v>
      </c>
      <c r="B108" s="6" t="s">
        <v>108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  <c r="O108" s="6">
        <v>0.0</v>
      </c>
      <c r="P108" s="6">
        <v>0.0</v>
      </c>
      <c r="Q108" s="6">
        <v>0.0</v>
      </c>
      <c r="R108" s="6">
        <v>103.0</v>
      </c>
      <c r="S108" s="6">
        <v>0.0</v>
      </c>
      <c r="T108" s="6">
        <v>0.0</v>
      </c>
      <c r="U108" s="6">
        <v>104.0</v>
      </c>
    </row>
    <row r="109">
      <c r="A109" s="13" t="s">
        <v>144</v>
      </c>
      <c r="B109" s="13" t="s">
        <v>131</v>
      </c>
      <c r="C109" s="13">
        <v>0.0</v>
      </c>
      <c r="D109" s="13">
        <v>0.0</v>
      </c>
      <c r="E109" s="13">
        <v>0.0</v>
      </c>
      <c r="F109" s="13">
        <v>0.0</v>
      </c>
      <c r="G109" s="13">
        <v>0.0</v>
      </c>
      <c r="H109" s="13">
        <v>0.0</v>
      </c>
      <c r="I109" s="13">
        <v>0.0</v>
      </c>
      <c r="J109" s="13">
        <v>0.0</v>
      </c>
      <c r="K109" s="13">
        <v>0.0</v>
      </c>
      <c r="L109" s="13">
        <v>0.0</v>
      </c>
      <c r="M109" s="13">
        <v>0.0</v>
      </c>
      <c r="N109" s="13">
        <v>0.0</v>
      </c>
      <c r="O109" s="13">
        <v>0.0</v>
      </c>
      <c r="P109" s="13">
        <v>0.0</v>
      </c>
      <c r="Q109" s="13">
        <v>0.0</v>
      </c>
      <c r="R109" s="13">
        <v>102.0</v>
      </c>
      <c r="S109" s="13">
        <v>0.0</v>
      </c>
      <c r="T109" s="13">
        <v>0.0</v>
      </c>
      <c r="U109" s="13">
        <v>104.0</v>
      </c>
    </row>
    <row r="110">
      <c r="A110" s="6" t="s">
        <v>160</v>
      </c>
      <c r="B110" s="6" t="s">
        <v>151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  <c r="O110" s="6">
        <v>0.0</v>
      </c>
      <c r="P110" s="6">
        <v>0.0</v>
      </c>
      <c r="Q110" s="6">
        <v>0.0</v>
      </c>
      <c r="R110" s="6">
        <v>254.0</v>
      </c>
      <c r="S110" s="6">
        <v>0.0</v>
      </c>
      <c r="T110" s="6">
        <v>0.0</v>
      </c>
      <c r="U110" s="6">
        <v>104.0</v>
      </c>
    </row>
    <row r="111">
      <c r="A111" s="13" t="s">
        <v>163</v>
      </c>
      <c r="B111" s="13" t="s">
        <v>151</v>
      </c>
      <c r="C111" s="13">
        <v>0.0</v>
      </c>
      <c r="D111" s="13">
        <v>0.0</v>
      </c>
      <c r="E111" s="13">
        <v>0.0</v>
      </c>
      <c r="F111" s="13">
        <v>0.0</v>
      </c>
      <c r="G111" s="13">
        <v>0.0</v>
      </c>
      <c r="H111" s="13">
        <v>0.0</v>
      </c>
      <c r="I111" s="13">
        <v>0.0</v>
      </c>
      <c r="J111" s="13">
        <v>0.0</v>
      </c>
      <c r="K111" s="13">
        <v>0.0</v>
      </c>
      <c r="L111" s="13">
        <v>0.0</v>
      </c>
      <c r="M111" s="13">
        <v>0.0</v>
      </c>
      <c r="N111" s="13">
        <v>0.0</v>
      </c>
      <c r="O111" s="13">
        <v>0.0</v>
      </c>
      <c r="P111" s="13">
        <v>0.0</v>
      </c>
      <c r="Q111" s="13">
        <v>0.0</v>
      </c>
      <c r="R111" s="13">
        <v>127.0</v>
      </c>
      <c r="S111" s="13">
        <v>0.0</v>
      </c>
      <c r="T111" s="13">
        <v>0.0</v>
      </c>
      <c r="U111" s="13">
        <v>104.0</v>
      </c>
    </row>
    <row r="112">
      <c r="A112" s="6" t="s">
        <v>180</v>
      </c>
      <c r="B112" s="6" t="s">
        <v>176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  <c r="O112" s="6">
        <v>0.0</v>
      </c>
      <c r="P112" s="6">
        <v>0.0</v>
      </c>
      <c r="Q112" s="6">
        <v>0.0</v>
      </c>
      <c r="R112" s="6">
        <v>240.0</v>
      </c>
      <c r="S112" s="6">
        <v>0.0</v>
      </c>
      <c r="T112" s="6">
        <v>0.0</v>
      </c>
      <c r="U112" s="6">
        <v>104.0</v>
      </c>
    </row>
    <row r="113">
      <c r="A113" s="13" t="s">
        <v>204</v>
      </c>
      <c r="B113" s="13" t="s">
        <v>200</v>
      </c>
      <c r="C113" s="13">
        <v>0.0</v>
      </c>
      <c r="D113" s="13">
        <v>0.0</v>
      </c>
      <c r="E113" s="13">
        <v>0.0</v>
      </c>
      <c r="F113" s="13">
        <v>0.0</v>
      </c>
      <c r="G113" s="13">
        <v>0.0</v>
      </c>
      <c r="H113" s="13">
        <v>0.0</v>
      </c>
      <c r="I113" s="13">
        <v>0.0</v>
      </c>
      <c r="J113" s="13">
        <v>0.0</v>
      </c>
      <c r="K113" s="13">
        <v>0.0</v>
      </c>
      <c r="L113" s="13">
        <v>0.0</v>
      </c>
      <c r="M113" s="13">
        <v>0.0</v>
      </c>
      <c r="N113" s="13">
        <v>0.0</v>
      </c>
      <c r="O113" s="13">
        <v>0.0</v>
      </c>
      <c r="P113" s="13">
        <v>0.0</v>
      </c>
      <c r="Q113" s="13">
        <v>0.0</v>
      </c>
      <c r="R113" s="13">
        <v>98.0</v>
      </c>
      <c r="S113" s="13">
        <v>0.0</v>
      </c>
      <c r="T113" s="13">
        <v>0.0</v>
      </c>
      <c r="U113" s="13">
        <v>104.0</v>
      </c>
    </row>
    <row r="114">
      <c r="A114" s="6" t="s">
        <v>245</v>
      </c>
      <c r="B114" s="6" t="s">
        <v>235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>
        <v>0.0</v>
      </c>
      <c r="P114" s="6">
        <v>0.0</v>
      </c>
      <c r="Q114" s="6">
        <v>0.0</v>
      </c>
      <c r="R114" s="6">
        <v>123.0</v>
      </c>
      <c r="S114" s="6">
        <v>0.0</v>
      </c>
      <c r="T114" s="6">
        <v>0.0</v>
      </c>
      <c r="U114" s="6">
        <v>104.0</v>
      </c>
    </row>
    <row r="115">
      <c r="A115" s="13" t="s">
        <v>314</v>
      </c>
      <c r="B115" s="13" t="s">
        <v>309</v>
      </c>
      <c r="C115" s="13">
        <v>0.0</v>
      </c>
      <c r="D115" s="13">
        <v>0.0</v>
      </c>
      <c r="E115" s="13">
        <v>0.0</v>
      </c>
      <c r="F115" s="13">
        <v>0.0</v>
      </c>
      <c r="G115" s="13">
        <v>0.0</v>
      </c>
      <c r="H115" s="13">
        <v>0.0</v>
      </c>
      <c r="I115" s="13">
        <v>0.0</v>
      </c>
      <c r="J115" s="13">
        <v>0.0</v>
      </c>
      <c r="K115" s="13">
        <v>0.0</v>
      </c>
      <c r="L115" s="13">
        <v>0.0</v>
      </c>
      <c r="M115" s="13">
        <v>0.0</v>
      </c>
      <c r="N115" s="13">
        <v>0.0</v>
      </c>
      <c r="O115" s="13">
        <v>0.0</v>
      </c>
      <c r="P115" s="13">
        <v>0.0</v>
      </c>
      <c r="Q115" s="13">
        <v>0.0</v>
      </c>
      <c r="R115" s="13">
        <v>12.0</v>
      </c>
      <c r="S115" s="13">
        <v>0.0</v>
      </c>
      <c r="T115" s="13">
        <v>0.0</v>
      </c>
      <c r="U115" s="13">
        <v>104.0</v>
      </c>
    </row>
    <row r="116">
      <c r="A116" s="6" t="s">
        <v>190</v>
      </c>
      <c r="B116" s="6" t="s">
        <v>188</v>
      </c>
      <c r="C116" s="6">
        <v>0.0</v>
      </c>
      <c r="D116" s="6">
        <v>4.0</v>
      </c>
      <c r="E116" s="6">
        <v>-4.0</v>
      </c>
      <c r="F116" s="6">
        <v>0.0</v>
      </c>
      <c r="G116" s="6">
        <v>0.0</v>
      </c>
      <c r="H116" s="6">
        <v>0.0</v>
      </c>
      <c r="I116" s="6">
        <v>8.0</v>
      </c>
      <c r="J116" s="6">
        <v>0.0</v>
      </c>
      <c r="K116" s="6">
        <v>0.0</v>
      </c>
      <c r="L116" s="6">
        <v>0.0</v>
      </c>
      <c r="M116" s="6">
        <v>-4.0</v>
      </c>
      <c r="N116" s="6">
        <v>0.0</v>
      </c>
      <c r="O116" s="6">
        <v>-4.0</v>
      </c>
      <c r="P116" s="6">
        <v>0.0</v>
      </c>
      <c r="Q116" s="6">
        <v>-4.0</v>
      </c>
      <c r="R116" s="6">
        <v>333.0</v>
      </c>
      <c r="S116" s="6">
        <v>-4.0</v>
      </c>
      <c r="T116" s="6">
        <v>-0.27627627627627627</v>
      </c>
      <c r="U116" s="6">
        <v>115.0</v>
      </c>
    </row>
    <row r="117">
      <c r="A117" s="13" t="s">
        <v>153</v>
      </c>
      <c r="B117" s="13" t="s">
        <v>151</v>
      </c>
      <c r="C117" s="13">
        <v>0.0</v>
      </c>
      <c r="D117" s="13">
        <v>0.0</v>
      </c>
      <c r="E117" s="13">
        <v>0.0</v>
      </c>
      <c r="F117" s="13">
        <v>0.0</v>
      </c>
      <c r="G117" s="13">
        <v>0.0</v>
      </c>
      <c r="H117" s="13">
        <v>0.0</v>
      </c>
      <c r="I117" s="13">
        <v>0.0</v>
      </c>
      <c r="J117" s="13">
        <v>-4.0</v>
      </c>
      <c r="K117" s="13">
        <v>0.0</v>
      </c>
      <c r="L117" s="13">
        <v>0.0</v>
      </c>
      <c r="M117" s="13">
        <v>0.0</v>
      </c>
      <c r="N117" s="13">
        <v>0.0</v>
      </c>
      <c r="O117" s="13">
        <v>0.0</v>
      </c>
      <c r="P117" s="13">
        <v>0.0</v>
      </c>
      <c r="Q117" s="13">
        <v>0.0</v>
      </c>
      <c r="R117" s="13">
        <v>265.0</v>
      </c>
      <c r="S117" s="13">
        <v>-4.0</v>
      </c>
      <c r="T117" s="13">
        <v>-0.3471698113207547</v>
      </c>
      <c r="U117" s="13">
        <v>116.0</v>
      </c>
    </row>
    <row r="118">
      <c r="A118" s="6" t="s">
        <v>214</v>
      </c>
      <c r="B118" s="6" t="s">
        <v>210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-4.0</v>
      </c>
      <c r="N118" s="6">
        <v>0.0</v>
      </c>
      <c r="O118" s="6">
        <v>0.0</v>
      </c>
      <c r="P118" s="6">
        <v>0.0</v>
      </c>
      <c r="Q118" s="6">
        <v>0.0</v>
      </c>
      <c r="R118" s="6">
        <v>184.0</v>
      </c>
      <c r="S118" s="6">
        <v>-4.0</v>
      </c>
      <c r="T118" s="6">
        <v>-0.5</v>
      </c>
      <c r="U118" s="6">
        <v>117.0</v>
      </c>
    </row>
    <row r="119">
      <c r="A119" s="13" t="s">
        <v>94</v>
      </c>
      <c r="B119" s="13" t="s">
        <v>84</v>
      </c>
      <c r="C119" s="13">
        <v>0.0</v>
      </c>
      <c r="D119" s="13">
        <v>0.0</v>
      </c>
      <c r="E119" s="13">
        <v>0.0</v>
      </c>
      <c r="F119" s="13">
        <v>0.0</v>
      </c>
      <c r="G119" s="13">
        <v>0.0</v>
      </c>
      <c r="H119" s="13">
        <v>0.0</v>
      </c>
      <c r="I119" s="13">
        <v>0.0</v>
      </c>
      <c r="J119" s="13">
        <v>0.0</v>
      </c>
      <c r="K119" s="13">
        <v>0.0</v>
      </c>
      <c r="L119" s="13">
        <v>0.0</v>
      </c>
      <c r="M119" s="13">
        <v>0.0</v>
      </c>
      <c r="N119" s="13">
        <v>-4.0</v>
      </c>
      <c r="O119" s="13">
        <v>0.0</v>
      </c>
      <c r="P119" s="13">
        <v>0.0</v>
      </c>
      <c r="Q119" s="13">
        <v>0.0</v>
      </c>
      <c r="R119" s="13">
        <v>69.0</v>
      </c>
      <c r="S119" s="13">
        <v>-4.0</v>
      </c>
      <c r="T119" s="13">
        <v>-1.3333333333333333</v>
      </c>
      <c r="U119" s="13">
        <v>118.0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16" width="9.88"/>
  </cols>
  <sheetData>
    <row r="1">
      <c r="A1" s="32" t="s">
        <v>333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2" t="s">
        <v>14</v>
      </c>
      <c r="O1" s="32" t="s">
        <v>15</v>
      </c>
      <c r="P1" s="32" t="s">
        <v>16</v>
      </c>
      <c r="Q1" s="32" t="s">
        <v>334</v>
      </c>
      <c r="R1" s="32" t="s">
        <v>22</v>
      </c>
    </row>
    <row r="2">
      <c r="A2" s="33" t="s">
        <v>19</v>
      </c>
      <c r="B2" s="34">
        <v>34.0</v>
      </c>
      <c r="C2" s="34">
        <v>176.0</v>
      </c>
      <c r="D2" s="34">
        <v>130.0</v>
      </c>
      <c r="E2" s="34">
        <v>16.0</v>
      </c>
      <c r="F2" s="34">
        <v>8.0</v>
      </c>
      <c r="G2" s="35">
        <f>IFERROR(__xludf.DUMMYFUNCTION("IF($A2=IMPORTRANGE(""https://docs.google.com/spreadsheets/d/16J5ie7OD1E99qGO9lMDm8w5Yls-v190B7DTolJ5TmFc/edit#gid=1981724582"",""'Game 3'!B1""),IF(IMPORTRANGE(""https://docs.google.com/spreadsheets/d/16J5ie7OD1E99qGO9lMDm8w5Yls-v190B7DTolJ5TmFc/edit#gid=1"&amp;"981724582"",""'Game 3'!J25"")&gt;IMPORTRANGE(""https://docs.google.com/spreadsheets/d/16J5ie7OD1E99qGO9lMDm8w5Yls-v190B7DTolJ5TmFc/edit#gid=1981724582"",""'Game 3'!S25""),IMPORTRANGE(""https://docs.google.com/spreadsheets/d/16J5ie7OD1E99qGO9lMDm8w5Yls-v190B7"&amp;"DTolJ5TmFc/edit#gid=1981724582"",""'Game 3'!J25"")+100,IF(IMPORTRANGE(""https://docs.google.com/spreadsheets/d/16J5ie7OD1E99qGO9lMDm8w5Yls-v190B7DTolJ5TmFc/edit#gid=1981724582"",""'Game 3'!J25"")=IMPORTRANGE(""https://docs.google.com/spreadsheets/d/16J5ie"&amp;"7OD1E99qGO9lMDm8w5Yls-v190B7DTolJ5TmFc/edit#gid=1981724582"",""'Game 3'!S25""),IMPORTRANGE(""https://docs.google.com/spreadsheets/d/16J5ie7OD1E99qGO9lMDm8w5Yls-v190B7DTolJ5TmFc/edit#gid=1981724582"",""'Game 3'!J25"")+50,IMPORTRANGE(""https://docs.google.c"&amp;"om/spreadsheets/d/16J5ie7OD1E99qGO9lMDm8w5Yls-v190B7DTolJ5TmFc/edit#gid=1981724582"",""'Game 3'!J25""))),IF(IMPORTRANGE(""https://docs.google.com/spreadsheets/d/16J5ie7OD1E99qGO9lMDm8w5Yls-v190B7DTolJ5TmFc/edit#gid=1981724582"",""'Game 3'!J25"")&gt;IMPORTRAN"&amp;"GE(""https://docs.google.com/spreadsheets/d/16J5ie7OD1E99qGO9lMDm8w5Yls-v190B7DTolJ5TmFc/edit#gid=1981724582"",""'Game 3'!S25""),IMPORTRANGE(""https://docs.google.com/spreadsheets/d/16J5ie7OD1E99qGO9lMDm8w5Yls-v190B7DTolJ5TmFc/edit#gid=1981724582"",""'Gam"&amp;"e 3'!S25""),IF(IMPORTRANGE(""https://docs.google.com/spreadsheets/d/16J5ie7OD1E99qGO9lMDm8w5Yls-v190B7DTolJ5TmFc/edit#gid=1981724582"",""'Game 3'!J25"")=IMPORTRANGE(""https://docs.google.com/spreadsheets/d/16J5ie7OD1E99qGO9lMDm8w5Yls-v190B7DTolJ5TmFc/edit"&amp;"#gid=1981724582"",""'Game 3'!S25""),IMPORTRANGE(""https://docs.google.com/spreadsheets/d/16J5ie7OD1E99qGO9lMDm8w5Yls-v190B7DTolJ5TmFc/edit#gid=1981724582"",""'Game 3'!S25"")+50,IMPORTRANGE(""https://docs.google.com/spreadsheets/d/16J5ie7OD1E99qGO9lMDm8w5Y"&amp;"ls-v190B7DTolJ5TmFc/edit#gid=1981724582"",""'Game 3'!S25"")+100)))"),154.0)</f>
        <v>154</v>
      </c>
      <c r="H2" s="34">
        <v>162.0</v>
      </c>
      <c r="I2" s="5">
        <f>IFERROR(__xludf.DUMMYFUNCTION("IF($A2=IMPORTRANGE(""https://docs.google.com/spreadsheets/d/1CTYfdyRk_RFGM3I2iN9bKeD9zUPzEm1ajzml6VgwfIU/edit#gid=0"",""'Game 1'!B1""),IF(IMPORTRANGE(""https://docs.google.com/spreadsheets/d/1CTYfdyRk_RFGM3I2iN9bKeD9zUPzEm1ajzml6VgwfIU/edit#gid=0"",""'Gam"&amp;"e 1'!J25"")&gt;IMPORTRANGE(""https://docs.google.com/spreadsheets/d/1CTYfdyRk_RFGM3I2iN9bKeD9zUPzEm1ajzml6VgwfIU/edit#gid=0"",""'Game 1'!S25""),IMPORTRANGE(""https://docs.google.com/spreadsheets/d/1CTYfdyRk_RFGM3I2iN9bKeD9zUPzEm1ajzml6VgwfIU/edit#gid=0"",""'"&amp;"Game 1'!J25"")+100,IF(IMPORTRANGE(""https://docs.google.com/spreadsheets/d/1CTYfdyRk_RFGM3I2iN9bKeD9zUPzEm1ajzml6VgwfIU/edit#gid=0"",""'Game 1'!J25"")=IMPORTRANGE(""https://docs.google.com/spreadsheets/d/1CTYfdyRk_RFGM3I2iN9bKeD9zUPzEm1ajzml6VgwfIU/edit#g"&amp;"id=0"",""'Game 1'!S25""),IMPORTRANGE(""https://docs.google.com/spreadsheets/d/1CTYfdyRk_RFGM3I2iN9bKeD9zUPzEm1ajzml6VgwfIU/edit#gid=0"",""'Game 1'!J25"")+50,IMPORTRANGE(""https://docs.google.com/spreadsheets/d/1CTYfdyRk_RFGM3I2iN9bKeD9zUPzEm1ajzml6VgwfIU/"&amp;"edit#gid=0"",""'Game 1'!J25""))),IF(IMPORTRANGE(""https://docs.google.com/spreadsheets/d/1CTYfdyRk_RFGM3I2iN9bKeD9zUPzEm1ajzml6VgwfIU/edit#gid=0"",""'Game 1'!J25"")&gt;IMPORTRANGE(""https://docs.google.com/spreadsheets/d/1CTYfdyRk_RFGM3I2iN9bKeD9zUPzEm1ajzml"&amp;"6VgwfIU/edit#gid=0"",""'Game 1'!S25""),IMPORTRANGE(""https://docs.google.com/spreadsheets/d/1CTYfdyRk_RFGM3I2iN9bKeD9zUPzEm1ajzml6VgwfIU/edit#gid=0"",""'Game 1'!S25""),IF(IMPORTRANGE(""https://docs.google.com/spreadsheets/d/1CTYfdyRk_RFGM3I2iN9bKeD9zUPzEm"&amp;"1ajzml6VgwfIU/edit#gid=0"",""'Game 1'!J25"")=IMPORTRANGE(""https://docs.google.com/spreadsheets/d/1CTYfdyRk_RFGM3I2iN9bKeD9zUPzEm1ajzml6VgwfIU/edit#gid=0"",""'Game 1'!S25""),IMPORTRANGE(""https://docs.google.com/spreadsheets/d/1CTYfdyRk_RFGM3I2iN9bKeD9zUP"&amp;"zEm1ajzml6VgwfIU/edit#gid=0"",""'Game 1'!S25"")+50,IMPORTRANGE(""https://docs.google.com/spreadsheets/d/1CTYfdyRk_RFGM3I2iN9bKeD9zUPzEm1ajzml6VgwfIU/edit#gid=0"",""'Game 1'!S25"")+100)))"),80.0)</f>
        <v>80</v>
      </c>
      <c r="J2" s="5">
        <f>IFERROR(__xludf.DUMMYFUNCTION("IF($A2=IMPORTRANGE(""https://docs.google.com/spreadsheets/d/11NFkzOdQyW-OtxSDuGslNCgNjx7HUb2FU7KnlNnPMgY/edit#gid=0"",""'Game 12'!B1""),IF(IMPORTRANGE(""https://docs.google.com/spreadsheets/d/11NFkzOdQyW-OtxSDuGslNCgNjx7HUb2FU7KnlNnPMgY/edit#gid=0"",""'Ga"&amp;"me 12'!J25"")&gt;IMPORTRANGE(""https://docs.google.com/spreadsheets/d/11NFkzOdQyW-OtxSDuGslNCgNjx7HUb2FU7KnlNnPMgY/edit#gid=0"",""'Game 12'!S25""),IMPORTRANGE(""https://docs.google.com/spreadsheets/d/11NFkzOdQyW-OtxSDuGslNCgNjx7HUb2FU7KnlNnPMgY/edit#gid=0"","&amp;"""'Game 12'!J25"")+100,IF(IMPORTRANGE(""https://docs.google.com/spreadsheets/d/11NFkzOdQyW-OtxSDuGslNCgNjx7HUb2FU7KnlNnPMgY/edit#gid=0"",""'Game 12'!J25"")=IMPORTRANGE(""https://docs.google.com/spreadsheets/d/11NFkzOdQyW-OtxSDuGslNCgNjx7HUb2FU7KnlNnPMgY/e"&amp;"dit#gid=0"",""'Game 12'!S25""),IMPORTRANGE(""https://docs.google.com/spreadsheets/d/11NFkzOdQyW-OtxSDuGslNCgNjx7HUb2FU7KnlNnPMgY/edit#gid=0"",""'Game 12'!J25"")+50,IMPORTRANGE(""https://docs.google.com/spreadsheets/d/11NFkzOdQyW-OtxSDuGslNCgNjx7HUb2FU7Knl"&amp;"NnPMgY/edit#gid=0"",""'Game 12'!J25""))),IF(IMPORTRANGE(""https://docs.google.com/spreadsheets/d/11NFkzOdQyW-OtxSDuGslNCgNjx7HUb2FU7KnlNnPMgY/edit#gid=0"",""'Game 12'!J25"")&gt;IMPORTRANGE(""https://docs.google.com/spreadsheets/d/11NFkzOdQyW-OtxSDuGslNCgNjx7"&amp;"HUb2FU7KnlNnPMgY/edit#gid=0"",""'Game 12'!S25""),IMPORTRANGE(""https://docs.google.com/spreadsheets/d/11NFkzOdQyW-OtxSDuGslNCgNjx7HUb2FU7KnlNnPMgY/edit#gid=0"",""'Game 12'!S25""),IF(IMPORTRANGE(""https://docs.google.com/spreadsheets/d/11NFkzOdQyW-OtxSDuGs"&amp;"lNCgNjx7HUb2FU7KnlNnPMgY/edit#gid=0"",""'Game 12'!J25"")=IMPORTRANGE(""https://docs.google.com/spreadsheets/d/11NFkzOdQyW-OtxSDuGslNCgNjx7HUb2FU7KnlNnPMgY/edit#gid=0"",""'Game 12'!S25""),IMPORTRANGE(""https://docs.google.com/spreadsheets/d/11NFkzOdQyW-Otx"&amp;"SDuGslNCgNjx7HUb2FU7KnlNnPMgY/edit#gid=0"",""'Game 12'!S25"")+50,IMPORTRANGE(""https://docs.google.com/spreadsheets/d/11NFkzOdQyW-OtxSDuGslNCgNjx7HUb2FU7KnlNnPMgY/edit#gid=0"",""'Game 12'!S25"")+100)))"),142.0)</f>
        <v>142</v>
      </c>
      <c r="K2" s="5">
        <f>IFERROR(__xludf.DUMMYFUNCTION("IF($A2=IMPORTRANGE(""https://docs.google.com/spreadsheets/d/1CLg5-jaE4ta0-u4oE1qbBplQ5Mf3Oj9ONFgL0zJ7Ol4/edit#gid=0"",""'Game 13'!B1""),IF(IMPORTRANGE(""https://docs.google.com/spreadsheets/d/1CLg5-jaE4ta0-u4oE1qbBplQ5Mf3Oj9ONFgL0zJ7Ol4/edit#gid=0"",""'Ga"&amp;"me 13'!J25"")&gt;IMPORTRANGE(""https://docs.google.com/spreadsheets/d/1CLg5-jaE4ta0-u4oE1qbBplQ5Mf3Oj9ONFgL0zJ7Ol4/edit#gid=0"",""'Game 13'!S25""),IMPORTRANGE(""https://docs.google.com/spreadsheets/d/1CLg5-jaE4ta0-u4oE1qbBplQ5Mf3Oj9ONFgL0zJ7Ol4/edit#gid=0"","&amp;"""'Game 13'!J25"")+100,IF(IMPORTRANGE(""https://docs.google.com/spreadsheets/d/1CLg5-jaE4ta0-u4oE1qbBplQ5Mf3Oj9ONFgL0zJ7Ol4/edit#gid=0"",""'Game 13'!J25"")=IMPORTRANGE(""https://docs.google.com/spreadsheets/d/1CLg5-jaE4ta0-u4oE1qbBplQ5Mf3Oj9ONFgL0zJ7Ol4/e"&amp;"dit#gid=0"",""'Game 13'!S25""),IMPORTRANGE(""https://docs.google.com/spreadsheets/d/1CLg5-jaE4ta0-u4oE1qbBplQ5Mf3Oj9ONFgL0zJ7Ol4/edit#gid=0"",""'Game 13'!J25"")+50,IMPORTRANGE(""https://docs.google.com/spreadsheets/d/1CLg5-jaE4ta0-u4oE1qbBplQ5Mf3Oj9ONFgL0"&amp;"zJ7Ol4/edit#gid=0"",""'Game 13'!J25""))),IF(IMPORTRANGE(""https://docs.google.com/spreadsheets/d/1CLg5-jaE4ta0-u4oE1qbBplQ5Mf3Oj9ONFgL0zJ7Ol4/edit#gid=0"",""'Game 13'!J25"")&gt;IMPORTRANGE(""https://docs.google.com/spreadsheets/d/1CLg5-jaE4ta0-u4oE1qbBplQ5Mf"&amp;"3Oj9ONFgL0zJ7Ol4/edit#gid=0"",""'Game 13'!S25""),IMPORTRANGE(""https://docs.google.com/spreadsheets/d/1CLg5-jaE4ta0-u4oE1qbBplQ5Mf3Oj9ONFgL0zJ7Ol4/edit#gid=0"",""'Game 13'!S25""),IF(IMPORTRANGE(""https://docs.google.com/spreadsheets/d/1CLg5-jaE4ta0-u4oE1q"&amp;"bBplQ5Mf3Oj9ONFgL0zJ7Ol4/edit#gid=0"",""'Game 13'!J25"")=IMPORTRANGE(""https://docs.google.com/spreadsheets/d/1CLg5-jaE4ta0-u4oE1qbBplQ5Mf3Oj9ONFgL0zJ7Ol4/edit#gid=0"",""'Game 13'!S25""),IMPORTRANGE(""https://docs.google.com/spreadsheets/d/1CLg5-jaE4ta0-u"&amp;"4oE1qbBplQ5Mf3Oj9ONFgL0zJ7Ol4/edit#gid=0"",""'Game 13'!S25"")+50,IMPORTRANGE(""https://docs.google.com/spreadsheets/d/1CLg5-jaE4ta0-u4oE1qbBplQ5Mf3Oj9ONFgL0zJ7Ol4/edit#gid=0"",""'Game 13'!S25"")+100)))"),144.0)</f>
        <v>144</v>
      </c>
      <c r="L2" s="5">
        <f>IFERROR(__xludf.DUMMYFUNCTION("IF($A2=IMPORTRANGE(""https://docs.google.com/spreadsheets/d/1CeexgK4KxWj3k_7nql_k8-RPxXMwTJyB4Q3vAASeDlA/edit#gid=0"",""'Game 13'!B1""),IF(IMPORTRANGE(""https://docs.google.com/spreadsheets/d/1CeexgK4KxWj3k_7nql_k8-RPxXMwTJyB4Q3vAASeDlA/edit#gid=0"",""'Ga"&amp;"me 13'!J25"")&gt;IMPORTRANGE(""https://docs.google.com/spreadsheets/d/1CeexgK4KxWj3k_7nql_k8-RPxXMwTJyB4Q3vAASeDlA/edit#gid=0"",""'Game 13'!S25""),IMPORTRANGE(""https://docs.google.com/spreadsheets/d/1CeexgK4KxWj3k_7nql_k8-RPxXMwTJyB4Q3vAASeDlA/edit#gid=0"","&amp;"""'Game 13'!J25"")+100,IF(IMPORTRANGE(""https://docs.google.com/spreadsheets/d/1CeexgK4KxWj3k_7nql_k8-RPxXMwTJyB4Q3vAASeDlA/edit#gid=0"",""'Game 13'!J25"")=IMPORTRANGE(""https://docs.google.com/spreadsheets/d/1CeexgK4KxWj3k_7nql_k8-RPxXMwTJyB4Q3vAASeDlA/e"&amp;"dit#gid=0"",""'Game 13'!S25""),IMPORTRANGE(""https://docs.google.com/spreadsheets/d/1CeexgK4KxWj3k_7nql_k8-RPxXMwTJyB4Q3vAASeDlA/edit#gid=0"",""'Game 13'!J25"")+50,IMPORTRANGE(""https://docs.google.com/spreadsheets/d/1CeexgK4KxWj3k_7nql_k8-RPxXMwTJyB4Q3vA"&amp;"ASeDlA/edit#gid=0"",""'Game 13'!J25""))),IF(IMPORTRANGE(""https://docs.google.com/spreadsheets/d/1CeexgK4KxWj3k_7nql_k8-RPxXMwTJyB4Q3vAASeDlA/edit#gid=0"",""'Game 13'!J25"")&gt;IMPORTRANGE(""https://docs.google.com/spreadsheets/d/1CeexgK4KxWj3k_7nql_k8-RPxXM"&amp;"wTJyB4Q3vAASeDlA/edit#gid=0"",""'Game 13'!S25""),IMPORTRANGE(""https://docs.google.com/spreadsheets/d/1CeexgK4KxWj3k_7nql_k8-RPxXMwTJyB4Q3vAASeDlA/edit#gid=0"",""'Game 13'!S25""),IF(IMPORTRANGE(""https://docs.google.com/spreadsheets/d/1CeexgK4KxWj3k_7nql_"&amp;"k8-RPxXMwTJyB4Q3vAASeDlA/edit#gid=0"",""'Game 13'!J25"")=IMPORTRANGE(""https://docs.google.com/spreadsheets/d/1CeexgK4KxWj3k_7nql_k8-RPxXMwTJyB4Q3vAASeDlA/edit#gid=0"",""'Game 13'!S25""),IMPORTRANGE(""https://docs.google.com/spreadsheets/d/1CeexgK4KxWj3k_"&amp;"7nql_k8-RPxXMwTJyB4Q3vAASeDlA/edit#gid=0"",""'Game 13'!S25"")+50,IMPORTRANGE(""https://docs.google.com/spreadsheets/d/1CeexgK4KxWj3k_7nql_k8-RPxXMwTJyB4Q3vAASeDlA/edit#gid=0"",""'Game 13'!S25"")+100)))"),30.0)</f>
        <v>30</v>
      </c>
      <c r="M2" s="5">
        <f>IFERROR(__xludf.DUMMYFUNCTION("IF($A2=IMPORTRANGE(""https://docs.google.com/spreadsheets/d/1MNwUNMjcwK6bEgCXwB73jpbK5gJAXS8ZMpbEMLJEP3E/edit#gid=0"",""'Game 8'!B1""),IF(IMPORTRANGE(""https://docs.google.com/spreadsheets/d/1MNwUNMjcwK6bEgCXwB73jpbK5gJAXS8ZMpbEMLJEP3E/edit#gid=0"",""'Gam"&amp;"e 8'!J25"")&gt;IMPORTRANGE(""https://docs.google.com/spreadsheets/d/1MNwUNMjcwK6bEgCXwB73jpbK5gJAXS8ZMpbEMLJEP3E/edit#gid=0"",""'Game 8'!S25""),IMPORTRANGE(""https://docs.google.com/spreadsheets/d/1MNwUNMjcwK6bEgCXwB73jpbK5gJAXS8ZMpbEMLJEP3E/edit#gid=0"",""'"&amp;"Game 8'!J25"")+100,IF(IMPORTRANGE(""https://docs.google.com/spreadsheets/d/1MNwUNMjcwK6bEgCXwB73jpbK5gJAXS8ZMpbEMLJEP3E/edit#gid=0"",""'Game 8'!J25"")=IMPORTRANGE(""https://docs.google.com/spreadsheets/d/1MNwUNMjcwK6bEgCXwB73jpbK5gJAXS8ZMpbEMLJEP3E/edit#g"&amp;"id=0"",""'Game 8'!S25""),IMPORTRANGE(""https://docs.google.com/spreadsheets/d/1MNwUNMjcwK6bEgCXwB73jpbK5gJAXS8ZMpbEMLJEP3E/edit#gid=0"",""'Game 8'!J25"")+50,IMPORTRANGE(""https://docs.google.com/spreadsheets/d/1MNwUNMjcwK6bEgCXwB73jpbK5gJAXS8ZMpbEMLJEP3E/"&amp;"edit#gid=0"",""'Game 8'!J25""))),IF(IMPORTRANGE(""https://docs.google.com/spreadsheets/d/1MNwUNMjcwK6bEgCXwB73jpbK5gJAXS8ZMpbEMLJEP3E/edit#gid=0"",""'Game 8'!J25"")&gt;IMPORTRANGE(""https://docs.google.com/spreadsheets/d/1MNwUNMjcwK6bEgCXwB73jpbK5gJAXS8ZMpbE"&amp;"MLJEP3E/edit#gid=0"",""'Game 8'!S25""),IMPORTRANGE(""https://docs.google.com/spreadsheets/d/1MNwUNMjcwK6bEgCXwB73jpbK5gJAXS8ZMpbEMLJEP3E/edit#gid=0"",""'Game 8'!S25""),IF(IMPORTRANGE(""https://docs.google.com/spreadsheets/d/1MNwUNMjcwK6bEgCXwB73jpbK5gJAXS"&amp;"8ZMpbEMLJEP3E/edit#gid=0"",""'Game 8'!J25"")=IMPORTRANGE(""https://docs.google.com/spreadsheets/d/1MNwUNMjcwK6bEgCXwB73jpbK5gJAXS8ZMpbEMLJEP3E/edit#gid=0"",""'Game 8'!S25""),IMPORTRANGE(""https://docs.google.com/spreadsheets/d/1MNwUNMjcwK6bEgCXwB73jpbK5gJ"&amp;"AXS8ZMpbEMLJEP3E/edit#gid=0"",""'Game 8'!S25"")+50,IMPORTRANGE(""https://docs.google.com/spreadsheets/d/1MNwUNMjcwK6bEgCXwB73jpbK5gJAXS8ZMpbEMLJEP3E/edit#gid=0"",""'Game 8'!S25"")+100)))"),166.0)</f>
        <v>166</v>
      </c>
      <c r="N2" s="5">
        <f>IFERROR(__xludf.DUMMYFUNCTION("IF($A2=IMPORTRANGE(""https://docs.google.com/spreadsheets/d/1UrzyxmT40kDZwVrLMf1yyXfP-pyczRAw9Y8Rw-uXG3c/edit#gid=0"",""'Game 13'!B1""),IF(IMPORTRANGE(""https://docs.google.com/spreadsheets/d/1UrzyxmT40kDZwVrLMf1yyXfP-pyczRAw9Y8Rw-uXG3c/edit#gid=0"",""'Ga"&amp;"me 13'!J25"")&gt;IMPORTRANGE(""https://docs.google.com/spreadsheets/d/1UrzyxmT40kDZwVrLMf1yyXfP-pyczRAw9Y8Rw-uXG3c/edit#gid=0"",""'Game 13'!S25""),IMPORTRANGE(""https://docs.google.com/spreadsheets/d/1UrzyxmT40kDZwVrLMf1yyXfP-pyczRAw9Y8Rw-uXG3c/edit#gid=0"","&amp;"""'Game 13'!J25"")+100,IF(IMPORTRANGE(""https://docs.google.com/spreadsheets/d/1UrzyxmT40kDZwVrLMf1yyXfP-pyczRAw9Y8Rw-uXG3c/edit#gid=0"",""'Game 13'!J25"")=IMPORTRANGE(""https://docs.google.com/spreadsheets/d/1UrzyxmT40kDZwVrLMf1yyXfP-pyczRAw9Y8Rw-uXG3c/e"&amp;"dit#gid=0"",""'Game 13'!S25""),IMPORTRANGE(""https://docs.google.com/spreadsheets/d/1UrzyxmT40kDZwVrLMf1yyXfP-pyczRAw9Y8Rw-uXG3c/edit#gid=0"",""'Game 13'!J25"")+50,IMPORTRANGE(""https://docs.google.com/spreadsheets/d/1UrzyxmT40kDZwVrLMf1yyXfP-pyczRAw9Y8Rw"&amp;"-uXG3c/edit#gid=0"",""'Game 13'!J25""))),IF(IMPORTRANGE(""https://docs.google.com/spreadsheets/d/1UrzyxmT40kDZwVrLMf1yyXfP-pyczRAw9Y8Rw-uXG3c/edit#gid=0"",""'Game 13'!J25"")&gt;IMPORTRANGE(""https://docs.google.com/spreadsheets/d/1UrzyxmT40kDZwVrLMf1yyXfP-py"&amp;"czRAw9Y8Rw-uXG3c/edit#gid=0"",""'Game 13'!S25""),IMPORTRANGE(""https://docs.google.com/spreadsheets/d/1UrzyxmT40kDZwVrLMf1yyXfP-pyczRAw9Y8Rw-uXG3c/edit#gid=0"",""'Game 13'!S25""),IF(IMPORTRANGE(""https://docs.google.com/spreadsheets/d/1UrzyxmT40kDZwVrLMf1"&amp;"yyXfP-pyczRAw9Y8Rw-uXG3c/edit#gid=0"",""'Game 13'!J25"")=IMPORTRANGE(""https://docs.google.com/spreadsheets/d/1UrzyxmT40kDZwVrLMf1yyXfP-pyczRAw9Y8Rw-uXG3c/edit#gid=0"",""'Game 13'!S25""),IMPORTRANGE(""https://docs.google.com/spreadsheets/d/1UrzyxmT40kDZwV"&amp;"rLMf1yyXfP-pyczRAw9Y8Rw-uXG3c/edit#gid=0"",""'Game 13'!S25"")+50,IMPORTRANGE(""https://docs.google.com/spreadsheets/d/1UrzyxmT40kDZwVrLMf1yyXfP-pyczRAw9Y8Rw-uXG3c/edit#gid=0"",""'Game 13'!S25"")+100)))"),34.0)</f>
        <v>34</v>
      </c>
      <c r="O2" s="5">
        <f>IFERROR(__xludf.DUMMYFUNCTION("IF($A2=IMPORTRANGE(""https://docs.google.com/spreadsheets/d/1iyMhSYWifw-KGFtyeBpNxVZr4BhcV9hVZuShgJ9Ia0E/edit#gid=0"",""'Game 6'!B1""),IF(IMPORTRANGE(""https://docs.google.com/spreadsheets/d/1iyMhSYWifw-KGFtyeBpNxVZr4BhcV9hVZuShgJ9Ia0E/edit#gid=0"",""'Gam"&amp;"e 6'!J25"")&gt;IMPORTRANGE(""https://docs.google.com/spreadsheets/d/1iyMhSYWifw-KGFtyeBpNxVZr4BhcV9hVZuShgJ9Ia0E/edit#gid=0"",""'Game 6'!S25""),IMPORTRANGE(""https://docs.google.com/spreadsheets/d/1iyMhSYWifw-KGFtyeBpNxVZr4BhcV9hVZuShgJ9Ia0E/edit#gid=0"",""'"&amp;"Game 6'!J25"")+100,IF(IMPORTRANGE(""https://docs.google.com/spreadsheets/d/1iyMhSYWifw-KGFtyeBpNxVZr4BhcV9hVZuShgJ9Ia0E/edit#gid=0"",""'Game 6'!J25"")=IMPORTRANGE(""https://docs.google.com/spreadsheets/d/1iyMhSYWifw-KGFtyeBpNxVZr4BhcV9hVZuShgJ9Ia0E/edit#g"&amp;"id=0"",""'Game 6'!S25""),IMPORTRANGE(""https://docs.google.com/spreadsheets/d/1iyMhSYWifw-KGFtyeBpNxVZr4BhcV9hVZuShgJ9Ia0E/edit#gid=0"",""'Game 6'!J25"")+50,IMPORTRANGE(""https://docs.google.com/spreadsheets/d/1iyMhSYWifw-KGFtyeBpNxVZr4BhcV9hVZuShgJ9Ia0E/"&amp;"edit#gid=0"",""'Game 6'!J25""))),IF(IMPORTRANGE(""https://docs.google.com/spreadsheets/d/1iyMhSYWifw-KGFtyeBpNxVZr4BhcV9hVZuShgJ9Ia0E/edit#gid=0"",""'Game 6'!J25"")&gt;IMPORTRANGE(""https://docs.google.com/spreadsheets/d/1iyMhSYWifw-KGFtyeBpNxVZr4BhcV9hVZuSh"&amp;"gJ9Ia0E/edit#gid=0"",""'Game 6'!S25""),IMPORTRANGE(""https://docs.google.com/spreadsheets/d/1iyMhSYWifw-KGFtyeBpNxVZr4BhcV9hVZuShgJ9Ia0E/edit#gid=0"",""'Game 6'!S25""),IF(IMPORTRANGE(""https://docs.google.com/spreadsheets/d/1iyMhSYWifw-KGFtyeBpNxVZr4BhcV9"&amp;"hVZuShgJ9Ia0E/edit#gid=0"",""'Game 6'!J25"")=IMPORTRANGE(""https://docs.google.com/spreadsheets/d/1iyMhSYWifw-KGFtyeBpNxVZr4BhcV9hVZuShgJ9Ia0E/edit#gid=0"",""'Game 6'!S25""),IMPORTRANGE(""https://docs.google.com/spreadsheets/d/1iyMhSYWifw-KGFtyeBpNxVZr4Bh"&amp;"cV9hVZuShgJ9Ia0E/edit#gid=0"",""'Game 6'!S25"")+50,IMPORTRANGE(""https://docs.google.com/spreadsheets/d/1iyMhSYWifw-KGFtyeBpNxVZr4BhcV9hVZuShgJ9Ia0E/edit#gid=0"",""'Game 6'!S25"")+100)))"),40.0)</f>
        <v>40</v>
      </c>
      <c r="P2" s="5">
        <f>IFERROR(__xludf.DUMMYFUNCTION("IF($A2=IMPORTRANGE(""https://docs.google.com/spreadsheets/d/1sSbIK-vvHsSY0LghLJ9gcnW8Hec_ITI2tFmpeqI999A/edit#gid=0"",""'Game 9'!B1""),IF(IMPORTRANGE(""https://docs.google.com/spreadsheets/d/1sSbIK-vvHsSY0LghLJ9gcnW8Hec_ITI2tFmpeqI999A/edit#gid=0"",""'Gam"&amp;"e 9'!J25"")&gt;IMPORTRANGE(""https://docs.google.com/spreadsheets/d/1sSbIK-vvHsSY0LghLJ9gcnW8Hec_ITI2tFmpeqI999A/edit#gid=0"",""'Game 9'!S25""),IMPORTRANGE(""https://docs.google.com/spreadsheets/d/1sSbIK-vvHsSY0LghLJ9gcnW8Hec_ITI2tFmpeqI999A/edit#gid=0"",""'"&amp;"Game 9'!J25"")+100,IF(IMPORTRANGE(""https://docs.google.com/spreadsheets/d/1sSbIK-vvHsSY0LghLJ9gcnW8Hec_ITI2tFmpeqI999A/edit#gid=0"",""'Game 9'!J25"")=IMPORTRANGE(""https://docs.google.com/spreadsheets/d/1sSbIK-vvHsSY0LghLJ9gcnW8Hec_ITI2tFmpeqI999A/edit#g"&amp;"id=0"",""'Game 9'!S25""),IMPORTRANGE(""https://docs.google.com/spreadsheets/d/1sSbIK-vvHsSY0LghLJ9gcnW8Hec_ITI2tFmpeqI999A/edit#gid=0"",""'Game 9'!J25"")+50,IMPORTRANGE(""https://docs.google.com/spreadsheets/d/1sSbIK-vvHsSY0LghLJ9gcnW8Hec_ITI2tFmpeqI999A/"&amp;"edit#gid=0"",""'Game 9'!J25""))),IF(IMPORTRANGE(""https://docs.google.com/spreadsheets/d/1sSbIK-vvHsSY0LghLJ9gcnW8Hec_ITI2tFmpeqI999A/edit#gid=0"",""'Game 9'!J25"")&gt;IMPORTRANGE(""https://docs.google.com/spreadsheets/d/1sSbIK-vvHsSY0LghLJ9gcnW8Hec_ITI2tFmp"&amp;"eqI999A/edit#gid=0"",""'Game 9'!S25""),IMPORTRANGE(""https://docs.google.com/spreadsheets/d/1sSbIK-vvHsSY0LghLJ9gcnW8Hec_ITI2tFmpeqI999A/edit#gid=0"",""'Game 9'!S25""),IF(IMPORTRANGE(""https://docs.google.com/spreadsheets/d/1sSbIK-vvHsSY0LghLJ9gcnW8Hec_IT"&amp;"I2tFmpeqI999A/edit#gid=0"",""'Game 9'!J25"")=IMPORTRANGE(""https://docs.google.com/spreadsheets/d/1sSbIK-vvHsSY0LghLJ9gcnW8Hec_ITI2tFmpeqI999A/edit#gid=0"",""'Game 9'!S25""),IMPORTRANGE(""https://docs.google.com/spreadsheets/d/1sSbIK-vvHsSY0LghLJ9gcnW8Hec"&amp;"_ITI2tFmpeqI999A/edit#gid=0"",""'Game 9'!S25"")+50,IMPORTRANGE(""https://docs.google.com/spreadsheets/d/1sSbIK-vvHsSY0LghLJ9gcnW8Hec_ITI2tFmpeqI999A/edit#gid=0"",""'Game 9'!S25"")+100)))"),22.0)</f>
        <v>22</v>
      </c>
      <c r="Q2" s="35">
        <f t="shared" ref="Q2:Q27" si="1">SUM(B2:P2)</f>
        <v>1338</v>
      </c>
      <c r="R2" s="35">
        <f t="shared" ref="R2:R27" si="2">RANK(Q2,$Q$2:$Q$27)</f>
        <v>12</v>
      </c>
    </row>
    <row r="3">
      <c r="A3" s="32" t="s">
        <v>33</v>
      </c>
      <c r="B3" s="36">
        <v>168.0</v>
      </c>
      <c r="C3" s="36">
        <v>176.0</v>
      </c>
      <c r="D3" s="36">
        <v>150.0</v>
      </c>
      <c r="E3" s="36">
        <v>12.0</v>
      </c>
      <c r="F3" s="36">
        <v>178.0</v>
      </c>
      <c r="G3" s="37">
        <f>IFERROR(__xludf.DUMMYFUNCTION("IF($A3=IMPORTRANGE(""https://docs.google.com/spreadsheets/d/16J5ie7OD1E99qGO9lMDm8w5Yls-v190B7DTolJ5TmFc/edit#gid=1981724582"",""'Game 5'!B1""),IF(IMPORTRANGE(""https://docs.google.com/spreadsheets/d/16J5ie7OD1E99qGO9lMDm8w5Yls-v190B7DTolJ5TmFc/edit#gid=1"&amp;"981724582"",""'Game 5'!J25"")&gt;IMPORTRANGE(""https://docs.google.com/spreadsheets/d/16J5ie7OD1E99qGO9lMDm8w5Yls-v190B7DTolJ5TmFc/edit#gid=1981724582"",""'Game 5'!S25""),IMPORTRANGE(""https://docs.google.com/spreadsheets/d/16J5ie7OD1E99qGO9lMDm8w5Yls-v190B7"&amp;"DTolJ5TmFc/edit#gid=1981724582"",""'Game 5'!J25"")+100,IF(IMPORTRANGE(""https://docs.google.com/spreadsheets/d/16J5ie7OD1E99qGO9lMDm8w5Yls-v190B7DTolJ5TmFc/edit#gid=1981724582"",""'Game 5'!J25"")=IMPORTRANGE(""https://docs.google.com/spreadsheets/d/16J5ie"&amp;"7OD1E99qGO9lMDm8w5Yls-v190B7DTolJ5TmFc/edit#gid=1981724582"",""'Game 5'!S25""),IMPORTRANGE(""https://docs.google.com/spreadsheets/d/16J5ie7OD1E99qGO9lMDm8w5Yls-v190B7DTolJ5TmFc/edit#gid=1981724582"",""'Game 5'!J25"")+50,IMPORTRANGE(""https://docs.google.c"&amp;"om/spreadsheets/d/16J5ie7OD1E99qGO9lMDm8w5Yls-v190B7DTolJ5TmFc/edit#gid=1981724582"",""'Game 5'!J25""))),IF(IMPORTRANGE(""https://docs.google.com/spreadsheets/d/16J5ie7OD1E99qGO9lMDm8w5Yls-v190B7DTolJ5TmFc/edit#gid=1981724582"",""'Game 5'!J25"")&gt;IMPORTRAN"&amp;"GE(""https://docs.google.com/spreadsheets/d/16J5ie7OD1E99qGO9lMDm8w5Yls-v190B7DTolJ5TmFc/edit#gid=1981724582"",""'Game 5'!S25""),IMPORTRANGE(""https://docs.google.com/spreadsheets/d/16J5ie7OD1E99qGO9lMDm8w5Yls-v190B7DTolJ5TmFc/edit#gid=1981724582"",""'Gam"&amp;"e 5'!S25""),IF(IMPORTRANGE(""https://docs.google.com/spreadsheets/d/16J5ie7OD1E99qGO9lMDm8w5Yls-v190B7DTolJ5TmFc/edit#gid=1981724582"",""'Game 5'!J25"")=IMPORTRANGE(""https://docs.google.com/spreadsheets/d/16J5ie7OD1E99qGO9lMDm8w5Yls-v190B7DTolJ5TmFc/edit"&amp;"#gid=1981724582"",""'Game 5'!S25""),IMPORTRANGE(""https://docs.google.com/spreadsheets/d/16J5ie7OD1E99qGO9lMDm8w5Yls-v190B7DTolJ5TmFc/edit#gid=1981724582"",""'Game 5'!S25"")+50,IMPORTRANGE(""https://docs.google.com/spreadsheets/d/16J5ie7OD1E99qGO9lMDm8w5Y"&amp;"ls-v190B7DTolJ5TmFc/edit#gid=1981724582"",""'Game 5'!S25"")+100)))"),204.0)</f>
        <v>204</v>
      </c>
      <c r="H3" s="36">
        <v>148.0</v>
      </c>
      <c r="I3" s="7">
        <f>IFERROR(__xludf.DUMMYFUNCTION("IF($A3=IMPORTRANGE(""https://docs.google.com/spreadsheets/d/1CTYfdyRk_RFGM3I2iN9bKeD9zUPzEm1ajzml6VgwfIU/edit#gid=0"",""'Game 12'!B1""),IF(IMPORTRANGE(""https://docs.google.com/spreadsheets/d/1CTYfdyRk_RFGM3I2iN9bKeD9zUPzEm1ajzml6VgwfIU/edit#gid=0"",""'Ga"&amp;"me 12'!J25"")&gt;IMPORTRANGE(""https://docs.google.com/spreadsheets/d/1CTYfdyRk_RFGM3I2iN9bKeD9zUPzEm1ajzml6VgwfIU/edit#gid=0"",""'Game 12'!S25""),IMPORTRANGE(""https://docs.google.com/spreadsheets/d/1CTYfdyRk_RFGM3I2iN9bKeD9zUPzEm1ajzml6VgwfIU/edit#gid=0"","&amp;"""'Game 12'!J25"")+100,IF(IMPORTRANGE(""https://docs.google.com/spreadsheets/d/1CTYfdyRk_RFGM3I2iN9bKeD9zUPzEm1ajzml6VgwfIU/edit#gid=0"",""'Game 12'!J25"")=IMPORTRANGE(""https://docs.google.com/spreadsheets/d/1CTYfdyRk_RFGM3I2iN9bKeD9zUPzEm1ajzml6VgwfIU/e"&amp;"dit#gid=0"",""'Game 12'!S25""),IMPORTRANGE(""https://docs.google.com/spreadsheets/d/1CTYfdyRk_RFGM3I2iN9bKeD9zUPzEm1ajzml6VgwfIU/edit#gid=0"",""'Game 12'!J25"")+50,IMPORTRANGE(""https://docs.google.com/spreadsheets/d/1CTYfdyRk_RFGM3I2iN9bKeD9zUPzEm1ajzml6"&amp;"VgwfIU/edit#gid=0"",""'Game 12'!J25""))),IF(IMPORTRANGE(""https://docs.google.com/spreadsheets/d/1CTYfdyRk_RFGM3I2iN9bKeD9zUPzEm1ajzml6VgwfIU/edit#gid=0"",""'Game 12'!J25"")&gt;IMPORTRANGE(""https://docs.google.com/spreadsheets/d/1CTYfdyRk_RFGM3I2iN9bKeD9zUP"&amp;"zEm1ajzml6VgwfIU/edit#gid=0"",""'Game 12'!S25""),IMPORTRANGE(""https://docs.google.com/spreadsheets/d/1CTYfdyRk_RFGM3I2iN9bKeD9zUPzEm1ajzml6VgwfIU/edit#gid=0"",""'Game 12'!S25""),IF(IMPORTRANGE(""https://docs.google.com/spreadsheets/d/1CTYfdyRk_RFGM3I2iN9"&amp;"bKeD9zUPzEm1ajzml6VgwfIU/edit#gid=0"",""'Game 12'!J25"")=IMPORTRANGE(""https://docs.google.com/spreadsheets/d/1CTYfdyRk_RFGM3I2iN9bKeD9zUPzEm1ajzml6VgwfIU/edit#gid=0"",""'Game 12'!S25""),IMPORTRANGE(""https://docs.google.com/spreadsheets/d/1CTYfdyRk_RFGM3"&amp;"I2iN9bKeD9zUPzEm1ajzml6VgwfIU/edit#gid=0"",""'Game 12'!S25"")+50,IMPORTRANGE(""https://docs.google.com/spreadsheets/d/1CTYfdyRk_RFGM3I2iN9bKeD9zUPzEm1ajzml6VgwfIU/edit#gid=0"",""'Game 12'!S25"")+100)))"),166.0)</f>
        <v>166</v>
      </c>
      <c r="J3" s="7">
        <f>IFERROR(__xludf.DUMMYFUNCTION("IF($A3=IMPORTRANGE(""https://docs.google.com/spreadsheets/d/11NFkzOdQyW-OtxSDuGslNCgNjx7HUb2FU7KnlNnPMgY/edit#gid=0"",""'Game 3'!B1""),IF(IMPORTRANGE(""https://docs.google.com/spreadsheets/d/11NFkzOdQyW-OtxSDuGslNCgNjx7HUb2FU7KnlNnPMgY/edit#gid=0"",""'Gam"&amp;"e 3'!J25"")&gt;IMPORTRANGE(""https://docs.google.com/spreadsheets/d/11NFkzOdQyW-OtxSDuGslNCgNjx7HUb2FU7KnlNnPMgY/edit#gid=0"",""'Game 3'!S25""),IMPORTRANGE(""https://docs.google.com/spreadsheets/d/11NFkzOdQyW-OtxSDuGslNCgNjx7HUb2FU7KnlNnPMgY/edit#gid=0"",""'"&amp;"Game 3'!J25"")+100,IF(IMPORTRANGE(""https://docs.google.com/spreadsheets/d/11NFkzOdQyW-OtxSDuGslNCgNjx7HUb2FU7KnlNnPMgY/edit#gid=0"",""'Game 3'!J25"")=IMPORTRANGE(""https://docs.google.com/spreadsheets/d/11NFkzOdQyW-OtxSDuGslNCgNjx7HUb2FU7KnlNnPMgY/edit#g"&amp;"id=0"",""'Game 3'!S25""),IMPORTRANGE(""https://docs.google.com/spreadsheets/d/11NFkzOdQyW-OtxSDuGslNCgNjx7HUb2FU7KnlNnPMgY/edit#gid=0"",""'Game 3'!J25"")+50,IMPORTRANGE(""https://docs.google.com/spreadsheets/d/11NFkzOdQyW-OtxSDuGslNCgNjx7HUb2FU7KnlNnPMgY/"&amp;"edit#gid=0"",""'Game 3'!J25""))),IF(IMPORTRANGE(""https://docs.google.com/spreadsheets/d/11NFkzOdQyW-OtxSDuGslNCgNjx7HUb2FU7KnlNnPMgY/edit#gid=0"",""'Game 3'!J25"")&gt;IMPORTRANGE(""https://docs.google.com/spreadsheets/d/11NFkzOdQyW-OtxSDuGslNCgNjx7HUb2FU7Kn"&amp;"lNnPMgY/edit#gid=0"",""'Game 3'!S25""),IMPORTRANGE(""https://docs.google.com/spreadsheets/d/11NFkzOdQyW-OtxSDuGslNCgNjx7HUb2FU7KnlNnPMgY/edit#gid=0"",""'Game 3'!S25""),IF(IMPORTRANGE(""https://docs.google.com/spreadsheets/d/11NFkzOdQyW-OtxSDuGslNCgNjx7HUb"&amp;"2FU7KnlNnPMgY/edit#gid=0"",""'Game 3'!J25"")=IMPORTRANGE(""https://docs.google.com/spreadsheets/d/11NFkzOdQyW-OtxSDuGslNCgNjx7HUb2FU7KnlNnPMgY/edit#gid=0"",""'Game 3'!S25""),IMPORTRANGE(""https://docs.google.com/spreadsheets/d/11NFkzOdQyW-OtxSDuGslNCgNjx7"&amp;"HUb2FU7KnlNnPMgY/edit#gid=0"",""'Game 3'!S25"")+50,IMPORTRANGE(""https://docs.google.com/spreadsheets/d/11NFkzOdQyW-OtxSDuGslNCgNjx7HUb2FU7KnlNnPMgY/edit#gid=0"",""'Game 3'!S25"")+100)))"),198.0)</f>
        <v>198</v>
      </c>
      <c r="K3" s="7">
        <f>IFERROR(__xludf.DUMMYFUNCTION("IF($A3=IMPORTRANGE(""https://docs.google.com/spreadsheets/d/1CLg5-jaE4ta0-u4oE1qbBplQ5Mf3Oj9ONFgL0zJ7Ol4/edit#gid=0"",""'Game 11'!B1""),IF(IMPORTRANGE(""https://docs.google.com/spreadsheets/d/1CLg5-jaE4ta0-u4oE1qbBplQ5Mf3Oj9ONFgL0zJ7Ol4/edit#gid=0"",""'Ga"&amp;"me 11'!J25"")&gt;IMPORTRANGE(""https://docs.google.com/spreadsheets/d/1CLg5-jaE4ta0-u4oE1qbBplQ5Mf3Oj9ONFgL0zJ7Ol4/edit#gid=0"",""'Game 11'!S25""),IMPORTRANGE(""https://docs.google.com/spreadsheets/d/1CLg5-jaE4ta0-u4oE1qbBplQ5Mf3Oj9ONFgL0zJ7Ol4/edit#gid=0"","&amp;"""'Game 11'!J25"")+100,IF(IMPORTRANGE(""https://docs.google.com/spreadsheets/d/1CLg5-jaE4ta0-u4oE1qbBplQ5Mf3Oj9ONFgL0zJ7Ol4/edit#gid=0"",""'Game 11'!J25"")=IMPORTRANGE(""https://docs.google.com/spreadsheets/d/1CLg5-jaE4ta0-u4oE1qbBplQ5Mf3Oj9ONFgL0zJ7Ol4/e"&amp;"dit#gid=0"",""'Game 11'!S25""),IMPORTRANGE(""https://docs.google.com/spreadsheets/d/1CLg5-jaE4ta0-u4oE1qbBplQ5Mf3Oj9ONFgL0zJ7Ol4/edit#gid=0"",""'Game 11'!J25"")+50,IMPORTRANGE(""https://docs.google.com/spreadsheets/d/1CLg5-jaE4ta0-u4oE1qbBplQ5Mf3Oj9ONFgL0"&amp;"zJ7Ol4/edit#gid=0"",""'Game 11'!J25""))),IF(IMPORTRANGE(""https://docs.google.com/spreadsheets/d/1CLg5-jaE4ta0-u4oE1qbBplQ5Mf3Oj9ONFgL0zJ7Ol4/edit#gid=0"",""'Game 11'!J25"")&gt;IMPORTRANGE(""https://docs.google.com/spreadsheets/d/1CLg5-jaE4ta0-u4oE1qbBplQ5Mf"&amp;"3Oj9ONFgL0zJ7Ol4/edit#gid=0"",""'Game 11'!S25""),IMPORTRANGE(""https://docs.google.com/spreadsheets/d/1CLg5-jaE4ta0-u4oE1qbBplQ5Mf3Oj9ONFgL0zJ7Ol4/edit#gid=0"",""'Game 11'!S25""),IF(IMPORTRANGE(""https://docs.google.com/spreadsheets/d/1CLg5-jaE4ta0-u4oE1q"&amp;"bBplQ5Mf3Oj9ONFgL0zJ7Ol4/edit#gid=0"",""'Game 11'!J25"")=IMPORTRANGE(""https://docs.google.com/spreadsheets/d/1CLg5-jaE4ta0-u4oE1qbBplQ5Mf3Oj9ONFgL0zJ7Ol4/edit#gid=0"",""'Game 11'!S25""),IMPORTRANGE(""https://docs.google.com/spreadsheets/d/1CLg5-jaE4ta0-u"&amp;"4oE1qbBplQ5Mf3Oj9ONFgL0zJ7Ol4/edit#gid=0"",""'Game 11'!S25"")+50,IMPORTRANGE(""https://docs.google.com/spreadsheets/d/1CLg5-jaE4ta0-u4oE1qbBplQ5Mf3Oj9ONFgL0zJ7Ol4/edit#gid=0"",""'Game 11'!S25"")+100)))"),210.0)</f>
        <v>210</v>
      </c>
      <c r="L3" s="7">
        <f>IFERROR(__xludf.DUMMYFUNCTION("IF($A3=IMPORTRANGE(""https://docs.google.com/spreadsheets/d/1CeexgK4KxWj3k_7nql_k8-RPxXMwTJyB4Q3vAASeDlA/edit#gid=0"",""'Game 10'!B1""),IF(IMPORTRANGE(""https://docs.google.com/spreadsheets/d/1CeexgK4KxWj3k_7nql_k8-RPxXMwTJyB4Q3vAASeDlA/edit#gid=0"",""'Ga"&amp;"me 10'!J25"")&gt;IMPORTRANGE(""https://docs.google.com/spreadsheets/d/1CeexgK4KxWj3k_7nql_k8-RPxXMwTJyB4Q3vAASeDlA/edit#gid=0"",""'Game 10'!S25""),IMPORTRANGE(""https://docs.google.com/spreadsheets/d/1CeexgK4KxWj3k_7nql_k8-RPxXMwTJyB4Q3vAASeDlA/edit#gid=0"","&amp;"""'Game 10'!J25"")+100,IF(IMPORTRANGE(""https://docs.google.com/spreadsheets/d/1CeexgK4KxWj3k_7nql_k8-RPxXMwTJyB4Q3vAASeDlA/edit#gid=0"",""'Game 10'!J25"")=IMPORTRANGE(""https://docs.google.com/spreadsheets/d/1CeexgK4KxWj3k_7nql_k8-RPxXMwTJyB4Q3vAASeDlA/e"&amp;"dit#gid=0"",""'Game 10'!S25""),IMPORTRANGE(""https://docs.google.com/spreadsheets/d/1CeexgK4KxWj3k_7nql_k8-RPxXMwTJyB4Q3vAASeDlA/edit#gid=0"",""'Game 10'!J25"")+50,IMPORTRANGE(""https://docs.google.com/spreadsheets/d/1CeexgK4KxWj3k_7nql_k8-RPxXMwTJyB4Q3vA"&amp;"ASeDlA/edit#gid=0"",""'Game 10'!J25""))),IF(IMPORTRANGE(""https://docs.google.com/spreadsheets/d/1CeexgK4KxWj3k_7nql_k8-RPxXMwTJyB4Q3vAASeDlA/edit#gid=0"",""'Game 10'!J25"")&gt;IMPORTRANGE(""https://docs.google.com/spreadsheets/d/1CeexgK4KxWj3k_7nql_k8-RPxXM"&amp;"wTJyB4Q3vAASeDlA/edit#gid=0"",""'Game 10'!S25""),IMPORTRANGE(""https://docs.google.com/spreadsheets/d/1CeexgK4KxWj3k_7nql_k8-RPxXMwTJyB4Q3vAASeDlA/edit#gid=0"",""'Game 10'!S25""),IF(IMPORTRANGE(""https://docs.google.com/spreadsheets/d/1CeexgK4KxWj3k_7nql_"&amp;"k8-RPxXMwTJyB4Q3vAASeDlA/edit#gid=0"",""'Game 10'!J25"")=IMPORTRANGE(""https://docs.google.com/spreadsheets/d/1CeexgK4KxWj3k_7nql_k8-RPxXMwTJyB4Q3vAASeDlA/edit#gid=0"",""'Game 10'!S25""),IMPORTRANGE(""https://docs.google.com/spreadsheets/d/1CeexgK4KxWj3k_"&amp;"7nql_k8-RPxXMwTJyB4Q3vAASeDlA/edit#gid=0"",""'Game 10'!S25"")+50,IMPORTRANGE(""https://docs.google.com/spreadsheets/d/1CeexgK4KxWj3k_7nql_k8-RPxXMwTJyB4Q3vAASeDlA/edit#gid=0"",""'Game 10'!S25"")+100)))"),220.0)</f>
        <v>220</v>
      </c>
      <c r="M3" s="7">
        <f>IFERROR(__xludf.DUMMYFUNCTION("IF($A3=IMPORTRANGE(""https://docs.google.com/spreadsheets/d/1MNwUNMjcwK6bEgCXwB73jpbK5gJAXS8ZMpbEMLJEP3E/edit#gid=0"",""'Game 10'!B1""),IF(IMPORTRANGE(""https://docs.google.com/spreadsheets/d/1MNwUNMjcwK6bEgCXwB73jpbK5gJAXS8ZMpbEMLJEP3E/edit#gid=0"",""'Ga"&amp;"me 10'!J25"")&gt;IMPORTRANGE(""https://docs.google.com/spreadsheets/d/1MNwUNMjcwK6bEgCXwB73jpbK5gJAXS8ZMpbEMLJEP3E/edit#gid=0"",""'Game 10'!S25""),IMPORTRANGE(""https://docs.google.com/spreadsheets/d/1MNwUNMjcwK6bEgCXwB73jpbK5gJAXS8ZMpbEMLJEP3E/edit#gid=0"","&amp;"""'Game 10'!J25"")+100,IF(IMPORTRANGE(""https://docs.google.com/spreadsheets/d/1MNwUNMjcwK6bEgCXwB73jpbK5gJAXS8ZMpbEMLJEP3E/edit#gid=0"",""'Game 10'!J25"")=IMPORTRANGE(""https://docs.google.com/spreadsheets/d/1MNwUNMjcwK6bEgCXwB73jpbK5gJAXS8ZMpbEMLJEP3E/e"&amp;"dit#gid=0"",""'Game 10'!S25""),IMPORTRANGE(""https://docs.google.com/spreadsheets/d/1MNwUNMjcwK6bEgCXwB73jpbK5gJAXS8ZMpbEMLJEP3E/edit#gid=0"",""'Game 10'!J25"")+50,IMPORTRANGE(""https://docs.google.com/spreadsheets/d/1MNwUNMjcwK6bEgCXwB73jpbK5gJAXS8ZMpbEM"&amp;"LJEP3E/edit#gid=0"",""'Game 10'!J25""))),IF(IMPORTRANGE(""https://docs.google.com/spreadsheets/d/1MNwUNMjcwK6bEgCXwB73jpbK5gJAXS8ZMpbEMLJEP3E/edit#gid=0"",""'Game 10'!J25"")&gt;IMPORTRANGE(""https://docs.google.com/spreadsheets/d/1MNwUNMjcwK6bEgCXwB73jpbK5gJ"&amp;"AXS8ZMpbEMLJEP3E/edit#gid=0"",""'Game 10'!S25""),IMPORTRANGE(""https://docs.google.com/spreadsheets/d/1MNwUNMjcwK6bEgCXwB73jpbK5gJAXS8ZMpbEMLJEP3E/edit#gid=0"",""'Game 10'!S25""),IF(IMPORTRANGE(""https://docs.google.com/spreadsheets/d/1MNwUNMjcwK6bEgCXwB7"&amp;"3jpbK5gJAXS8ZMpbEMLJEP3E/edit#gid=0"",""'Game 10'!J25"")=IMPORTRANGE(""https://docs.google.com/spreadsheets/d/1MNwUNMjcwK6bEgCXwB73jpbK5gJAXS8ZMpbEMLJEP3E/edit#gid=0"",""'Game 10'!S25""),IMPORTRANGE(""https://docs.google.com/spreadsheets/d/1MNwUNMjcwK6bEg"&amp;"CXwB73jpbK5gJAXS8ZMpbEMLJEP3E/edit#gid=0"",""'Game 10'!S25"")+50,IMPORTRANGE(""https://docs.google.com/spreadsheets/d/1MNwUNMjcwK6bEgCXwB73jpbK5gJAXS8ZMpbEMLJEP3E/edit#gid=0"",""'Game 10'!S25"")+100)))"),22.0)</f>
        <v>22</v>
      </c>
      <c r="N3" s="7">
        <f>IFERROR(__xludf.DUMMYFUNCTION("IF($A3=IMPORTRANGE(""https://docs.google.com/spreadsheets/d/1UrzyxmT40kDZwVrLMf1yyXfP-pyczRAw9Y8Rw-uXG3c/edit#gid=0"",""'Game 4'!B1""),IF(IMPORTRANGE(""https://docs.google.com/spreadsheets/d/1UrzyxmT40kDZwVrLMf1yyXfP-pyczRAw9Y8Rw-uXG3c/edit#gid=0"",""'Gam"&amp;"e 4'!J25"")&gt;IMPORTRANGE(""https://docs.google.com/spreadsheets/d/1UrzyxmT40kDZwVrLMf1yyXfP-pyczRAw9Y8Rw-uXG3c/edit#gid=0"",""'Game 4'!S25""),IMPORTRANGE(""https://docs.google.com/spreadsheets/d/1UrzyxmT40kDZwVrLMf1yyXfP-pyczRAw9Y8Rw-uXG3c/edit#gid=0"",""'"&amp;"Game 4'!J25"")+100,IF(IMPORTRANGE(""https://docs.google.com/spreadsheets/d/1UrzyxmT40kDZwVrLMf1yyXfP-pyczRAw9Y8Rw-uXG3c/edit#gid=0"",""'Game 4'!J25"")=IMPORTRANGE(""https://docs.google.com/spreadsheets/d/1UrzyxmT40kDZwVrLMf1yyXfP-pyczRAw9Y8Rw-uXG3c/edit#g"&amp;"id=0"",""'Game 4'!S25""),IMPORTRANGE(""https://docs.google.com/spreadsheets/d/1UrzyxmT40kDZwVrLMf1yyXfP-pyczRAw9Y8Rw-uXG3c/edit#gid=0"",""'Game 4'!J25"")+50,IMPORTRANGE(""https://docs.google.com/spreadsheets/d/1UrzyxmT40kDZwVrLMf1yyXfP-pyczRAw9Y8Rw-uXG3c/"&amp;"edit#gid=0"",""'Game 4'!J25""))),IF(IMPORTRANGE(""https://docs.google.com/spreadsheets/d/1UrzyxmT40kDZwVrLMf1yyXfP-pyczRAw9Y8Rw-uXG3c/edit#gid=0"",""'Game 4'!J25"")&gt;IMPORTRANGE(""https://docs.google.com/spreadsheets/d/1UrzyxmT40kDZwVrLMf1yyXfP-pyczRAw9Y8R"&amp;"w-uXG3c/edit#gid=0"",""'Game 4'!S25""),IMPORTRANGE(""https://docs.google.com/spreadsheets/d/1UrzyxmT40kDZwVrLMf1yyXfP-pyczRAw9Y8Rw-uXG3c/edit#gid=0"",""'Game 4'!S25""),IF(IMPORTRANGE(""https://docs.google.com/spreadsheets/d/1UrzyxmT40kDZwVrLMf1yyXfP-pyczR"&amp;"Aw9Y8Rw-uXG3c/edit#gid=0"",""'Game 4'!J25"")=IMPORTRANGE(""https://docs.google.com/spreadsheets/d/1UrzyxmT40kDZwVrLMf1yyXfP-pyczRAw9Y8Rw-uXG3c/edit#gid=0"",""'Game 4'!S25""),IMPORTRANGE(""https://docs.google.com/spreadsheets/d/1UrzyxmT40kDZwVrLMf1yyXfP-py"&amp;"czRAw9Y8Rw-uXG3c/edit#gid=0"",""'Game 4'!S25"")+50,IMPORTRANGE(""https://docs.google.com/spreadsheets/d/1UrzyxmT40kDZwVrLMf1yyXfP-pyczRAw9Y8Rw-uXG3c/edit#gid=0"",""'Game 4'!S25"")+100)))"),160.0)</f>
        <v>160</v>
      </c>
      <c r="O3" s="7">
        <f>IFERROR(__xludf.DUMMYFUNCTION("IF($A3=IMPORTRANGE(""https://docs.google.com/spreadsheets/d/1iyMhSYWifw-KGFtyeBpNxVZr4BhcV9hVZuShgJ9Ia0E/edit#gid=0"",""'Game 11'!B1""),IF(IMPORTRANGE(""https://docs.google.com/spreadsheets/d/1iyMhSYWifw-KGFtyeBpNxVZr4BhcV9hVZuShgJ9Ia0E/edit#gid=0"",""'Ga"&amp;"me 11'!J25"")&gt;IMPORTRANGE(""https://docs.google.com/spreadsheets/d/1iyMhSYWifw-KGFtyeBpNxVZr4BhcV9hVZuShgJ9Ia0E/edit#gid=0"",""'Game 11'!S25""),IMPORTRANGE(""https://docs.google.com/spreadsheets/d/1iyMhSYWifw-KGFtyeBpNxVZr4BhcV9hVZuShgJ9Ia0E/edit#gid=0"","&amp;"""'Game 11'!J25"")+100,IF(IMPORTRANGE(""https://docs.google.com/spreadsheets/d/1iyMhSYWifw-KGFtyeBpNxVZr4BhcV9hVZuShgJ9Ia0E/edit#gid=0"",""'Game 11'!J25"")=IMPORTRANGE(""https://docs.google.com/spreadsheets/d/1iyMhSYWifw-KGFtyeBpNxVZr4BhcV9hVZuShgJ9Ia0E/e"&amp;"dit#gid=0"",""'Game 11'!S25""),IMPORTRANGE(""https://docs.google.com/spreadsheets/d/1iyMhSYWifw-KGFtyeBpNxVZr4BhcV9hVZuShgJ9Ia0E/edit#gid=0"",""'Game 11'!J25"")+50,IMPORTRANGE(""https://docs.google.com/spreadsheets/d/1iyMhSYWifw-KGFtyeBpNxVZr4BhcV9hVZuShg"&amp;"J9Ia0E/edit#gid=0"",""'Game 11'!J25""))),IF(IMPORTRANGE(""https://docs.google.com/spreadsheets/d/1iyMhSYWifw-KGFtyeBpNxVZr4BhcV9hVZuShgJ9Ia0E/edit#gid=0"",""'Game 11'!J25"")&gt;IMPORTRANGE(""https://docs.google.com/spreadsheets/d/1iyMhSYWifw-KGFtyeBpNxVZr4Bh"&amp;"cV9hVZuShgJ9Ia0E/edit#gid=0"",""'Game 11'!S25""),IMPORTRANGE(""https://docs.google.com/spreadsheets/d/1iyMhSYWifw-KGFtyeBpNxVZr4BhcV9hVZuShgJ9Ia0E/edit#gid=0"",""'Game 11'!S25""),IF(IMPORTRANGE(""https://docs.google.com/spreadsheets/d/1iyMhSYWifw-KGFtyeBp"&amp;"NxVZr4BhcV9hVZuShgJ9Ia0E/edit#gid=0"",""'Game 11'!J25"")=IMPORTRANGE(""https://docs.google.com/spreadsheets/d/1iyMhSYWifw-KGFtyeBpNxVZr4BhcV9hVZuShgJ9Ia0E/edit#gid=0"",""'Game 11'!S25""),IMPORTRANGE(""https://docs.google.com/spreadsheets/d/1iyMhSYWifw-KGF"&amp;"tyeBpNxVZr4BhcV9hVZuShgJ9Ia0E/edit#gid=0"",""'Game 11'!S25"")+50,IMPORTRANGE(""https://docs.google.com/spreadsheets/d/1iyMhSYWifw-KGFtyeBpNxVZr4BhcV9hVZuShgJ9Ia0E/edit#gid=0"",""'Game 11'!S25"")+100)))"),36.0)</f>
        <v>36</v>
      </c>
      <c r="P3" s="7">
        <f>IFERROR(__xludf.DUMMYFUNCTION("IF($A3=IMPORTRANGE(""https://docs.google.com/spreadsheets/d/1sSbIK-vvHsSY0LghLJ9gcnW8Hec_ITI2tFmpeqI999A/edit#gid=0"",""'Game 9'!B1""),IF(IMPORTRANGE(""https://docs.google.com/spreadsheets/d/1sSbIK-vvHsSY0LghLJ9gcnW8Hec_ITI2tFmpeqI999A/edit#gid=0"",""'Gam"&amp;"e 9'!J25"")&gt;IMPORTRANGE(""https://docs.google.com/spreadsheets/d/1sSbIK-vvHsSY0LghLJ9gcnW8Hec_ITI2tFmpeqI999A/edit#gid=0"",""'Game 9'!S25""),IMPORTRANGE(""https://docs.google.com/spreadsheets/d/1sSbIK-vvHsSY0LghLJ9gcnW8Hec_ITI2tFmpeqI999A/edit#gid=0"",""'"&amp;"Game 9'!J25"")+100,IF(IMPORTRANGE(""https://docs.google.com/spreadsheets/d/1sSbIK-vvHsSY0LghLJ9gcnW8Hec_ITI2tFmpeqI999A/edit#gid=0"",""'Game 9'!J25"")=IMPORTRANGE(""https://docs.google.com/spreadsheets/d/1sSbIK-vvHsSY0LghLJ9gcnW8Hec_ITI2tFmpeqI999A/edit#g"&amp;"id=0"",""'Game 9'!S25""),IMPORTRANGE(""https://docs.google.com/spreadsheets/d/1sSbIK-vvHsSY0LghLJ9gcnW8Hec_ITI2tFmpeqI999A/edit#gid=0"",""'Game 9'!J25"")+50,IMPORTRANGE(""https://docs.google.com/spreadsheets/d/1sSbIK-vvHsSY0LghLJ9gcnW8Hec_ITI2tFmpeqI999A/"&amp;"edit#gid=0"",""'Game 9'!J25""))),IF(IMPORTRANGE(""https://docs.google.com/spreadsheets/d/1sSbIK-vvHsSY0LghLJ9gcnW8Hec_ITI2tFmpeqI999A/edit#gid=0"",""'Game 9'!J25"")&gt;IMPORTRANGE(""https://docs.google.com/spreadsheets/d/1sSbIK-vvHsSY0LghLJ9gcnW8Hec_ITI2tFmp"&amp;"eqI999A/edit#gid=0"",""'Game 9'!S25""),IMPORTRANGE(""https://docs.google.com/spreadsheets/d/1sSbIK-vvHsSY0LghLJ9gcnW8Hec_ITI2tFmpeqI999A/edit#gid=0"",""'Game 9'!S25""),IF(IMPORTRANGE(""https://docs.google.com/spreadsheets/d/1sSbIK-vvHsSY0LghLJ9gcnW8Hec_IT"&amp;"I2tFmpeqI999A/edit#gid=0"",""'Game 9'!J25"")=IMPORTRANGE(""https://docs.google.com/spreadsheets/d/1sSbIK-vvHsSY0LghLJ9gcnW8Hec_ITI2tFmpeqI999A/edit#gid=0"",""'Game 9'!S25""),IMPORTRANGE(""https://docs.google.com/spreadsheets/d/1sSbIK-vvHsSY0LghLJ9gcnW8Hec"&amp;"_ITI2tFmpeqI999A/edit#gid=0"",""'Game 9'!S25"")+50,IMPORTRANGE(""https://docs.google.com/spreadsheets/d/1sSbIK-vvHsSY0LghLJ9gcnW8Hec_ITI2tFmpeqI999A/edit#gid=0"",""'Game 9'!S25"")+100)))"),180.0)</f>
        <v>180</v>
      </c>
      <c r="Q3" s="37">
        <f t="shared" si="1"/>
        <v>2228</v>
      </c>
      <c r="R3" s="37">
        <f t="shared" si="2"/>
        <v>4</v>
      </c>
    </row>
    <row r="4">
      <c r="A4" s="33" t="s">
        <v>44</v>
      </c>
      <c r="B4" s="34">
        <v>142.0</v>
      </c>
      <c r="C4" s="34">
        <v>4.0</v>
      </c>
      <c r="D4" s="34">
        <v>140.0</v>
      </c>
      <c r="E4" s="34">
        <v>128.0</v>
      </c>
      <c r="F4" s="34">
        <v>0.0</v>
      </c>
      <c r="G4" s="35">
        <f>IFERROR(__xludf.DUMMYFUNCTION("IF($A4=IMPORTRANGE(""https://docs.google.com/spreadsheets/d/16J5ie7OD1E99qGO9lMDm8w5Yls-v190B7DTolJ5TmFc/edit#gid=1981724582"",""'Game 11'!B1""),IF(IMPORTRANGE(""https://docs.google.com/spreadsheets/d/16J5ie7OD1E99qGO9lMDm8w5Yls-v190B7DTolJ5TmFc/edit#gid="&amp;"1981724582"",""'Game 11'!J25"")&gt;IMPORTRANGE(""https://docs.google.com/spreadsheets/d/16J5ie7OD1E99qGO9lMDm8w5Yls-v190B7DTolJ5TmFc/edit#gid=1981724582"",""'Game 11'!S25""),IMPORTRANGE(""https://docs.google.com/spreadsheets/d/16J5ie7OD1E99qGO9lMDm8w5Yls-v19"&amp;"0B7DTolJ5TmFc/edit#gid=1981724582"",""'Game 11'!J25"")+100,IF(IMPORTRANGE(""https://docs.google.com/spreadsheets/d/16J5ie7OD1E99qGO9lMDm8w5Yls-v190B7DTolJ5TmFc/edit#gid=1981724582"",""'Game 11'!J25"")=IMPORTRANGE(""https://docs.google.com/spreadsheets/d/1"&amp;"6J5ie7OD1E99qGO9lMDm8w5Yls-v190B7DTolJ5TmFc/edit#gid=1981724582"",""'Game 11'!S25""),IMPORTRANGE(""https://docs.google.com/spreadsheets/d/16J5ie7OD1E99qGO9lMDm8w5Yls-v190B7DTolJ5TmFc/edit#gid=1981724582"",""'Game 11'!J25"")+50,IMPORTRANGE(""https://docs.g"&amp;"oogle.com/spreadsheets/d/16J5ie7OD1E99qGO9lMDm8w5Yls-v190B7DTolJ5TmFc/edit#gid=1981724582"",""'Game 11'!J25""))),IF(IMPORTRANGE(""https://docs.google.com/spreadsheets/d/16J5ie7OD1E99qGO9lMDm8w5Yls-v190B7DTolJ5TmFc/edit#gid=1981724582"",""'Game 11'!J25"")&gt;"&amp;"IMPORTRANGE(""https://docs.google.com/spreadsheets/d/16J5ie7OD1E99qGO9lMDm8w5Yls-v190B7DTolJ5TmFc/edit#gid=1981724582"",""'Game 11'!S25""),IMPORTRANGE(""https://docs.google.com/spreadsheets/d/16J5ie7OD1E99qGO9lMDm8w5Yls-v190B7DTolJ5TmFc/edit#gid=198172458"&amp;"2"",""'Game 11'!S25""),IF(IMPORTRANGE(""https://docs.google.com/spreadsheets/d/16J5ie7OD1E99qGO9lMDm8w5Yls-v190B7DTolJ5TmFc/edit#gid=1981724582"",""'Game 11'!J25"")=IMPORTRANGE(""https://docs.google.com/spreadsheets/d/16J5ie7OD1E99qGO9lMDm8w5Yls-v190B7DTo"&amp;"lJ5TmFc/edit#gid=1981724582"",""'Game 11'!S25""),IMPORTRANGE(""https://docs.google.com/spreadsheets/d/16J5ie7OD1E99qGO9lMDm8w5Yls-v190B7DTolJ5TmFc/edit#gid=1981724582"",""'Game 11'!S25"")+50,IMPORTRANGE(""https://docs.google.com/spreadsheets/d/16J5ie7OD1E"&amp;"99qGO9lMDm8w5Yls-v190B7DTolJ5TmFc/edit#gid=1981724582"",""'Game 11'!S25"")+100)))"),0.0)</f>
        <v>0</v>
      </c>
      <c r="H4" s="34">
        <v>8.0</v>
      </c>
      <c r="I4" s="5">
        <f>IFERROR(__xludf.DUMMYFUNCTION("IF($A4=IMPORTRANGE(""https://docs.google.com/spreadsheets/d/1CTYfdyRk_RFGM3I2iN9bKeD9zUPzEm1ajzml6VgwfIU/edit#gid=0"",""'Game 4'!B1""),IF(IMPORTRANGE(""https://docs.google.com/spreadsheets/d/1CTYfdyRk_RFGM3I2iN9bKeD9zUPzEm1ajzml6VgwfIU/edit#gid=0"",""'Gam"&amp;"e 4'!J25"")&gt;IMPORTRANGE(""https://docs.google.com/spreadsheets/d/1CTYfdyRk_RFGM3I2iN9bKeD9zUPzEm1ajzml6VgwfIU/edit#gid=0"",""'Game 4'!S25""),IMPORTRANGE(""https://docs.google.com/spreadsheets/d/1CTYfdyRk_RFGM3I2iN9bKeD9zUPzEm1ajzml6VgwfIU/edit#gid=0"",""'"&amp;"Game 4'!J25"")+100,IF(IMPORTRANGE(""https://docs.google.com/spreadsheets/d/1CTYfdyRk_RFGM3I2iN9bKeD9zUPzEm1ajzml6VgwfIU/edit#gid=0"",""'Game 4'!J25"")=IMPORTRANGE(""https://docs.google.com/spreadsheets/d/1CTYfdyRk_RFGM3I2iN9bKeD9zUPzEm1ajzml6VgwfIU/edit#g"&amp;"id=0"",""'Game 4'!S25""),IMPORTRANGE(""https://docs.google.com/spreadsheets/d/1CTYfdyRk_RFGM3I2iN9bKeD9zUPzEm1ajzml6VgwfIU/edit#gid=0"",""'Game 4'!J25"")+50,IMPORTRANGE(""https://docs.google.com/spreadsheets/d/1CTYfdyRk_RFGM3I2iN9bKeD9zUPzEm1ajzml6VgwfIU/"&amp;"edit#gid=0"",""'Game 4'!J25""))),IF(IMPORTRANGE(""https://docs.google.com/spreadsheets/d/1CTYfdyRk_RFGM3I2iN9bKeD9zUPzEm1ajzml6VgwfIU/edit#gid=0"",""'Game 4'!J25"")&gt;IMPORTRANGE(""https://docs.google.com/spreadsheets/d/1CTYfdyRk_RFGM3I2iN9bKeD9zUPzEm1ajzml"&amp;"6VgwfIU/edit#gid=0"",""'Game 4'!S25""),IMPORTRANGE(""https://docs.google.com/spreadsheets/d/1CTYfdyRk_RFGM3I2iN9bKeD9zUPzEm1ajzml6VgwfIU/edit#gid=0"",""'Game 4'!S25""),IF(IMPORTRANGE(""https://docs.google.com/spreadsheets/d/1CTYfdyRk_RFGM3I2iN9bKeD9zUPzEm"&amp;"1ajzml6VgwfIU/edit#gid=0"",""'Game 4'!J25"")=IMPORTRANGE(""https://docs.google.com/spreadsheets/d/1CTYfdyRk_RFGM3I2iN9bKeD9zUPzEm1ajzml6VgwfIU/edit#gid=0"",""'Game 4'!S25""),IMPORTRANGE(""https://docs.google.com/spreadsheets/d/1CTYfdyRk_RFGM3I2iN9bKeD9zUP"&amp;"zEm1ajzml6VgwfIU/edit#gid=0"",""'Game 4'!S25"")+50,IMPORTRANGE(""https://docs.google.com/spreadsheets/d/1CTYfdyRk_RFGM3I2iN9bKeD9zUPzEm1ajzml6VgwfIU/edit#gid=0"",""'Game 4'!S25"")+100)))"),4.0)</f>
        <v>4</v>
      </c>
      <c r="J4" s="5">
        <f>IFERROR(__xludf.DUMMYFUNCTION("IF($A4=IMPORTRANGE(""https://docs.google.com/spreadsheets/d/11NFkzOdQyW-OtxSDuGslNCgNjx7HUb2FU7KnlNnPMgY/edit#gid=0"",""'Game 4'!B1""),IF(IMPORTRANGE(""https://docs.google.com/spreadsheets/d/11NFkzOdQyW-OtxSDuGslNCgNjx7HUb2FU7KnlNnPMgY/edit#gid=0"",""'Gam"&amp;"e 4'!J25"")&gt;IMPORTRANGE(""https://docs.google.com/spreadsheets/d/11NFkzOdQyW-OtxSDuGslNCgNjx7HUb2FU7KnlNnPMgY/edit#gid=0"",""'Game 4'!S25""),IMPORTRANGE(""https://docs.google.com/spreadsheets/d/11NFkzOdQyW-OtxSDuGslNCgNjx7HUb2FU7KnlNnPMgY/edit#gid=0"",""'"&amp;"Game 4'!J25"")+100,IF(IMPORTRANGE(""https://docs.google.com/spreadsheets/d/11NFkzOdQyW-OtxSDuGslNCgNjx7HUb2FU7KnlNnPMgY/edit#gid=0"",""'Game 4'!J25"")=IMPORTRANGE(""https://docs.google.com/spreadsheets/d/11NFkzOdQyW-OtxSDuGslNCgNjx7HUb2FU7KnlNnPMgY/edit#g"&amp;"id=0"",""'Game 4'!S25""),IMPORTRANGE(""https://docs.google.com/spreadsheets/d/11NFkzOdQyW-OtxSDuGslNCgNjx7HUb2FU7KnlNnPMgY/edit#gid=0"",""'Game 4'!J25"")+50,IMPORTRANGE(""https://docs.google.com/spreadsheets/d/11NFkzOdQyW-OtxSDuGslNCgNjx7HUb2FU7KnlNnPMgY/"&amp;"edit#gid=0"",""'Game 4'!J25""))),IF(IMPORTRANGE(""https://docs.google.com/spreadsheets/d/11NFkzOdQyW-OtxSDuGslNCgNjx7HUb2FU7KnlNnPMgY/edit#gid=0"",""'Game 4'!J25"")&gt;IMPORTRANGE(""https://docs.google.com/spreadsheets/d/11NFkzOdQyW-OtxSDuGslNCgNjx7HUb2FU7Kn"&amp;"lNnPMgY/edit#gid=0"",""'Game 4'!S25""),IMPORTRANGE(""https://docs.google.com/spreadsheets/d/11NFkzOdQyW-OtxSDuGslNCgNjx7HUb2FU7KnlNnPMgY/edit#gid=0"",""'Game 4'!S25""),IF(IMPORTRANGE(""https://docs.google.com/spreadsheets/d/11NFkzOdQyW-OtxSDuGslNCgNjx7HUb"&amp;"2FU7KnlNnPMgY/edit#gid=0"",""'Game 4'!J25"")=IMPORTRANGE(""https://docs.google.com/spreadsheets/d/11NFkzOdQyW-OtxSDuGslNCgNjx7HUb2FU7KnlNnPMgY/edit#gid=0"",""'Game 4'!S25""),IMPORTRANGE(""https://docs.google.com/spreadsheets/d/11NFkzOdQyW-OtxSDuGslNCgNjx7"&amp;"HUb2FU7KnlNnPMgY/edit#gid=0"",""'Game 4'!S25"")+50,IMPORTRANGE(""https://docs.google.com/spreadsheets/d/11NFkzOdQyW-OtxSDuGslNCgNjx7HUb2FU7KnlNnPMgY/edit#gid=0"",""'Game 4'!S25"")+100)))"),8.0)</f>
        <v>8</v>
      </c>
      <c r="K4" s="5">
        <f>IFERROR(__xludf.DUMMYFUNCTION("IF($A4=IMPORTRANGE(""https://docs.google.com/spreadsheets/d/1CLg5-jaE4ta0-u4oE1qbBplQ5Mf3Oj9ONFgL0zJ7Ol4/edit#gid=0"",""'Game 4'!B1""),IF(IMPORTRANGE(""https://docs.google.com/spreadsheets/d/1CLg5-jaE4ta0-u4oE1qbBplQ5Mf3Oj9ONFgL0zJ7Ol4/edit#gid=0"",""'Gam"&amp;"e 4'!J25"")&gt;IMPORTRANGE(""https://docs.google.com/spreadsheets/d/1CLg5-jaE4ta0-u4oE1qbBplQ5Mf3Oj9ONFgL0zJ7Ol4/edit#gid=0"",""'Game 4'!S25""),IMPORTRANGE(""https://docs.google.com/spreadsheets/d/1CLg5-jaE4ta0-u4oE1qbBplQ5Mf3Oj9ONFgL0zJ7Ol4/edit#gid=0"",""'"&amp;"Game 4'!J25"")+100,IF(IMPORTRANGE(""https://docs.google.com/spreadsheets/d/1CLg5-jaE4ta0-u4oE1qbBplQ5Mf3Oj9ONFgL0zJ7Ol4/edit#gid=0"",""'Game 4'!J25"")=IMPORTRANGE(""https://docs.google.com/spreadsheets/d/1CLg5-jaE4ta0-u4oE1qbBplQ5Mf3Oj9ONFgL0zJ7Ol4/edit#g"&amp;"id=0"",""'Game 4'!S25""),IMPORTRANGE(""https://docs.google.com/spreadsheets/d/1CLg5-jaE4ta0-u4oE1qbBplQ5Mf3Oj9ONFgL0zJ7Ol4/edit#gid=0"",""'Game 4'!J25"")+50,IMPORTRANGE(""https://docs.google.com/spreadsheets/d/1CLg5-jaE4ta0-u4oE1qbBplQ5Mf3Oj9ONFgL0zJ7Ol4/"&amp;"edit#gid=0"",""'Game 4'!J25""))),IF(IMPORTRANGE(""https://docs.google.com/spreadsheets/d/1CLg5-jaE4ta0-u4oE1qbBplQ5Mf3Oj9ONFgL0zJ7Ol4/edit#gid=0"",""'Game 4'!J25"")&gt;IMPORTRANGE(""https://docs.google.com/spreadsheets/d/1CLg5-jaE4ta0-u4oE1qbBplQ5Mf3Oj9ONFgL"&amp;"0zJ7Ol4/edit#gid=0"",""'Game 4'!S25""),IMPORTRANGE(""https://docs.google.com/spreadsheets/d/1CLg5-jaE4ta0-u4oE1qbBplQ5Mf3Oj9ONFgL0zJ7Ol4/edit#gid=0"",""'Game 4'!S25""),IF(IMPORTRANGE(""https://docs.google.com/spreadsheets/d/1CLg5-jaE4ta0-u4oE1qbBplQ5Mf3Oj"&amp;"9ONFgL0zJ7Ol4/edit#gid=0"",""'Game 4'!J25"")=IMPORTRANGE(""https://docs.google.com/spreadsheets/d/1CLg5-jaE4ta0-u4oE1qbBplQ5Mf3Oj9ONFgL0zJ7Ol4/edit#gid=0"",""'Game 4'!S25""),IMPORTRANGE(""https://docs.google.com/spreadsheets/d/1CLg5-jaE4ta0-u4oE1qbBplQ5Mf"&amp;"3Oj9ONFgL0zJ7Ol4/edit#gid=0"",""'Game 4'!S25"")+50,IMPORTRANGE(""https://docs.google.com/spreadsheets/d/1CLg5-jaE4ta0-u4oE1qbBplQ5Mf3Oj9ONFgL0zJ7Ol4/edit#gid=0"",""'Game 4'!S25"")+100)))"),116.0)</f>
        <v>116</v>
      </c>
      <c r="L4" s="5">
        <f>IFERROR(__xludf.DUMMYFUNCTION("IF($A4=IMPORTRANGE(""https://docs.google.com/spreadsheets/d/1CeexgK4KxWj3k_7nql_k8-RPxXMwTJyB4Q3vAASeDlA/edit#gid=0"",""'Game 4'!B1""),IF(IMPORTRANGE(""https://docs.google.com/spreadsheets/d/1CeexgK4KxWj3k_7nql_k8-RPxXMwTJyB4Q3vAASeDlA/edit#gid=0"",""'Gam"&amp;"e 4'!J25"")&gt;IMPORTRANGE(""https://docs.google.com/spreadsheets/d/1CeexgK4KxWj3k_7nql_k8-RPxXMwTJyB4Q3vAASeDlA/edit#gid=0"",""'Game 4'!S25""),IMPORTRANGE(""https://docs.google.com/spreadsheets/d/1CeexgK4KxWj3k_7nql_k8-RPxXMwTJyB4Q3vAASeDlA/edit#gid=0"",""'"&amp;"Game 4'!J25"")+100,IF(IMPORTRANGE(""https://docs.google.com/spreadsheets/d/1CeexgK4KxWj3k_7nql_k8-RPxXMwTJyB4Q3vAASeDlA/edit#gid=0"",""'Game 4'!J25"")=IMPORTRANGE(""https://docs.google.com/spreadsheets/d/1CeexgK4KxWj3k_7nql_k8-RPxXMwTJyB4Q3vAASeDlA/edit#g"&amp;"id=0"",""'Game 4'!S25""),IMPORTRANGE(""https://docs.google.com/spreadsheets/d/1CeexgK4KxWj3k_7nql_k8-RPxXMwTJyB4Q3vAASeDlA/edit#gid=0"",""'Game 4'!J25"")+50,IMPORTRANGE(""https://docs.google.com/spreadsheets/d/1CeexgK4KxWj3k_7nql_k8-RPxXMwTJyB4Q3vAASeDlA/"&amp;"edit#gid=0"",""'Game 4'!J25""))),IF(IMPORTRANGE(""https://docs.google.com/spreadsheets/d/1CeexgK4KxWj3k_7nql_k8-RPxXMwTJyB4Q3vAASeDlA/edit#gid=0"",""'Game 4'!J25"")&gt;IMPORTRANGE(""https://docs.google.com/spreadsheets/d/1CeexgK4KxWj3k_7nql_k8-RPxXMwTJyB4Q3v"&amp;"AASeDlA/edit#gid=0"",""'Game 4'!S25""),IMPORTRANGE(""https://docs.google.com/spreadsheets/d/1CeexgK4KxWj3k_7nql_k8-RPxXMwTJyB4Q3vAASeDlA/edit#gid=0"",""'Game 4'!S25""),IF(IMPORTRANGE(""https://docs.google.com/spreadsheets/d/1CeexgK4KxWj3k_7nql_k8-RPxXMwTJ"&amp;"yB4Q3vAASeDlA/edit#gid=0"",""'Game 4'!J25"")=IMPORTRANGE(""https://docs.google.com/spreadsheets/d/1CeexgK4KxWj3k_7nql_k8-RPxXMwTJyB4Q3vAASeDlA/edit#gid=0"",""'Game 4'!S25""),IMPORTRANGE(""https://docs.google.com/spreadsheets/d/1CeexgK4KxWj3k_7nql_k8-RPxXM"&amp;"wTJyB4Q3vAASeDlA/edit#gid=0"",""'Game 4'!S25"")+50,IMPORTRANGE(""https://docs.google.com/spreadsheets/d/1CeexgK4KxWj3k_7nql_k8-RPxXMwTJyB4Q3vAASeDlA/edit#gid=0"",""'Game 4'!S25"")+100)))"),0.0)</f>
        <v>0</v>
      </c>
      <c r="M4" s="5">
        <f>IFERROR(__xludf.DUMMYFUNCTION("IF($A4=IMPORTRANGE(""https://docs.google.com/spreadsheets/d/1MNwUNMjcwK6bEgCXwB73jpbK5gJAXS8ZMpbEMLJEP3E/edit#gid=0"",""'Game 4'!B1""),IF(IMPORTRANGE(""https://docs.google.com/spreadsheets/d/1MNwUNMjcwK6bEgCXwB73jpbK5gJAXS8ZMpbEMLJEP3E/edit#gid=0"",""'Gam"&amp;"e 4'!J25"")&gt;IMPORTRANGE(""https://docs.google.com/spreadsheets/d/1MNwUNMjcwK6bEgCXwB73jpbK5gJAXS8ZMpbEMLJEP3E/edit#gid=0"",""'Game 4'!S25""),IMPORTRANGE(""https://docs.google.com/spreadsheets/d/1MNwUNMjcwK6bEgCXwB73jpbK5gJAXS8ZMpbEMLJEP3E/edit#gid=0"",""'"&amp;"Game 4'!J25"")+100,IF(IMPORTRANGE(""https://docs.google.com/spreadsheets/d/1MNwUNMjcwK6bEgCXwB73jpbK5gJAXS8ZMpbEMLJEP3E/edit#gid=0"",""'Game 4'!J25"")=IMPORTRANGE(""https://docs.google.com/spreadsheets/d/1MNwUNMjcwK6bEgCXwB73jpbK5gJAXS8ZMpbEMLJEP3E/edit#g"&amp;"id=0"",""'Game 4'!S25""),IMPORTRANGE(""https://docs.google.com/spreadsheets/d/1MNwUNMjcwK6bEgCXwB73jpbK5gJAXS8ZMpbEMLJEP3E/edit#gid=0"",""'Game 4'!J25"")+50,IMPORTRANGE(""https://docs.google.com/spreadsheets/d/1MNwUNMjcwK6bEgCXwB73jpbK5gJAXS8ZMpbEMLJEP3E/"&amp;"edit#gid=0"",""'Game 4'!J25""))),IF(IMPORTRANGE(""https://docs.google.com/spreadsheets/d/1MNwUNMjcwK6bEgCXwB73jpbK5gJAXS8ZMpbEMLJEP3E/edit#gid=0"",""'Game 4'!J25"")&gt;IMPORTRANGE(""https://docs.google.com/spreadsheets/d/1MNwUNMjcwK6bEgCXwB73jpbK5gJAXS8ZMpbE"&amp;"MLJEP3E/edit#gid=0"",""'Game 4'!S25""),IMPORTRANGE(""https://docs.google.com/spreadsheets/d/1MNwUNMjcwK6bEgCXwB73jpbK5gJAXS8ZMpbEMLJEP3E/edit#gid=0"",""'Game 4'!S25""),IF(IMPORTRANGE(""https://docs.google.com/spreadsheets/d/1MNwUNMjcwK6bEgCXwB73jpbK5gJAXS"&amp;"8ZMpbEMLJEP3E/edit#gid=0"",""'Game 4'!J25"")=IMPORTRANGE(""https://docs.google.com/spreadsheets/d/1MNwUNMjcwK6bEgCXwB73jpbK5gJAXS8ZMpbEMLJEP3E/edit#gid=0"",""'Game 4'!S25""),IMPORTRANGE(""https://docs.google.com/spreadsheets/d/1MNwUNMjcwK6bEgCXwB73jpbK5gJ"&amp;"AXS8ZMpbEMLJEP3E/edit#gid=0"",""'Game 4'!S25"")+50,IMPORTRANGE(""https://docs.google.com/spreadsheets/d/1MNwUNMjcwK6bEgCXwB73jpbK5gJAXS8ZMpbEMLJEP3E/edit#gid=0"",""'Game 4'!S25"")+100)))"),16.0)</f>
        <v>16</v>
      </c>
      <c r="N4" s="5">
        <f>IFERROR(__xludf.DUMMYFUNCTION("IF($A4=IMPORTRANGE(""https://docs.google.com/spreadsheets/d/1UrzyxmT40kDZwVrLMf1yyXfP-pyczRAw9Y8Rw-uXG3c/edit#gid=0"",""'Game 4'!B1""),IF(IMPORTRANGE(""https://docs.google.com/spreadsheets/d/1UrzyxmT40kDZwVrLMf1yyXfP-pyczRAw9Y8Rw-uXG3c/edit#gid=0"",""'Gam"&amp;"e 4'!J25"")&gt;IMPORTRANGE(""https://docs.google.com/spreadsheets/d/1UrzyxmT40kDZwVrLMf1yyXfP-pyczRAw9Y8Rw-uXG3c/edit#gid=0"",""'Game 4'!S25""),IMPORTRANGE(""https://docs.google.com/spreadsheets/d/1UrzyxmT40kDZwVrLMf1yyXfP-pyczRAw9Y8Rw-uXG3c/edit#gid=0"",""'"&amp;"Game 4'!J25"")+100,IF(IMPORTRANGE(""https://docs.google.com/spreadsheets/d/1UrzyxmT40kDZwVrLMf1yyXfP-pyczRAw9Y8Rw-uXG3c/edit#gid=0"",""'Game 4'!J25"")=IMPORTRANGE(""https://docs.google.com/spreadsheets/d/1UrzyxmT40kDZwVrLMf1yyXfP-pyczRAw9Y8Rw-uXG3c/edit#g"&amp;"id=0"",""'Game 4'!S25""),IMPORTRANGE(""https://docs.google.com/spreadsheets/d/1UrzyxmT40kDZwVrLMf1yyXfP-pyczRAw9Y8Rw-uXG3c/edit#gid=0"",""'Game 4'!J25"")+50,IMPORTRANGE(""https://docs.google.com/spreadsheets/d/1UrzyxmT40kDZwVrLMf1yyXfP-pyczRAw9Y8Rw-uXG3c/"&amp;"edit#gid=0"",""'Game 4'!J25""))),IF(IMPORTRANGE(""https://docs.google.com/spreadsheets/d/1UrzyxmT40kDZwVrLMf1yyXfP-pyczRAw9Y8Rw-uXG3c/edit#gid=0"",""'Game 4'!J25"")&gt;IMPORTRANGE(""https://docs.google.com/spreadsheets/d/1UrzyxmT40kDZwVrLMf1yyXfP-pyczRAw9Y8R"&amp;"w-uXG3c/edit#gid=0"",""'Game 4'!S25""),IMPORTRANGE(""https://docs.google.com/spreadsheets/d/1UrzyxmT40kDZwVrLMf1yyXfP-pyczRAw9Y8Rw-uXG3c/edit#gid=0"",""'Game 4'!S25""),IF(IMPORTRANGE(""https://docs.google.com/spreadsheets/d/1UrzyxmT40kDZwVrLMf1yyXfP-pyczR"&amp;"Aw9Y8Rw-uXG3c/edit#gid=0"",""'Game 4'!J25"")=IMPORTRANGE(""https://docs.google.com/spreadsheets/d/1UrzyxmT40kDZwVrLMf1yyXfP-pyczRAw9Y8Rw-uXG3c/edit#gid=0"",""'Game 4'!S25""),IMPORTRANGE(""https://docs.google.com/spreadsheets/d/1UrzyxmT40kDZwVrLMf1yyXfP-py"&amp;"czRAw9Y8Rw-uXG3c/edit#gid=0"",""'Game 4'!S25"")+50,IMPORTRANGE(""https://docs.google.com/spreadsheets/d/1UrzyxmT40kDZwVrLMf1yyXfP-pyczRAw9Y8Rw-uXG3c/edit#gid=0"",""'Game 4'!S25"")+100)))"),8.0)</f>
        <v>8</v>
      </c>
      <c r="O4" s="5">
        <f>IFERROR(__xludf.DUMMYFUNCTION("IF($A4=IMPORTRANGE(""https://docs.google.com/spreadsheets/d/1iyMhSYWifw-KGFtyeBpNxVZr4BhcV9hVZuShgJ9Ia0E/edit#gid=0"",""'Game 4'!B1""),IF(IMPORTRANGE(""https://docs.google.com/spreadsheets/d/1iyMhSYWifw-KGFtyeBpNxVZr4BhcV9hVZuShgJ9Ia0E/edit#gid=0"",""'Gam"&amp;"e 4'!J25"")&gt;IMPORTRANGE(""https://docs.google.com/spreadsheets/d/1iyMhSYWifw-KGFtyeBpNxVZr4BhcV9hVZuShgJ9Ia0E/edit#gid=0"",""'Game 4'!S25""),IMPORTRANGE(""https://docs.google.com/spreadsheets/d/1iyMhSYWifw-KGFtyeBpNxVZr4BhcV9hVZuShgJ9Ia0E/edit#gid=0"",""'"&amp;"Game 4'!J25"")+100,IF(IMPORTRANGE(""https://docs.google.com/spreadsheets/d/1iyMhSYWifw-KGFtyeBpNxVZr4BhcV9hVZuShgJ9Ia0E/edit#gid=0"",""'Game 4'!J25"")=IMPORTRANGE(""https://docs.google.com/spreadsheets/d/1iyMhSYWifw-KGFtyeBpNxVZr4BhcV9hVZuShgJ9Ia0E/edit#g"&amp;"id=0"",""'Game 4'!S25""),IMPORTRANGE(""https://docs.google.com/spreadsheets/d/1iyMhSYWifw-KGFtyeBpNxVZr4BhcV9hVZuShgJ9Ia0E/edit#gid=0"",""'Game 4'!J25"")+50,IMPORTRANGE(""https://docs.google.com/spreadsheets/d/1iyMhSYWifw-KGFtyeBpNxVZr4BhcV9hVZuShgJ9Ia0E/"&amp;"edit#gid=0"",""'Game 4'!J25""))),IF(IMPORTRANGE(""https://docs.google.com/spreadsheets/d/1iyMhSYWifw-KGFtyeBpNxVZr4BhcV9hVZuShgJ9Ia0E/edit#gid=0"",""'Game 4'!J25"")&gt;IMPORTRANGE(""https://docs.google.com/spreadsheets/d/1iyMhSYWifw-KGFtyeBpNxVZr4BhcV9hVZuSh"&amp;"gJ9Ia0E/edit#gid=0"",""'Game 4'!S25""),IMPORTRANGE(""https://docs.google.com/spreadsheets/d/1iyMhSYWifw-KGFtyeBpNxVZr4BhcV9hVZuShgJ9Ia0E/edit#gid=0"",""'Game 4'!S25""),IF(IMPORTRANGE(""https://docs.google.com/spreadsheets/d/1iyMhSYWifw-KGFtyeBpNxVZr4BhcV9"&amp;"hVZuShgJ9Ia0E/edit#gid=0"",""'Game 4'!J25"")=IMPORTRANGE(""https://docs.google.com/spreadsheets/d/1iyMhSYWifw-KGFtyeBpNxVZr4BhcV9hVZuShgJ9Ia0E/edit#gid=0"",""'Game 4'!S25""),IMPORTRANGE(""https://docs.google.com/spreadsheets/d/1iyMhSYWifw-KGFtyeBpNxVZr4Bh"&amp;"cV9hVZuShgJ9Ia0E/edit#gid=0"",""'Game 4'!S25"")+50,IMPORTRANGE(""https://docs.google.com/spreadsheets/d/1iyMhSYWifw-KGFtyeBpNxVZr4BhcV9hVZuShgJ9Ia0E/edit#gid=0"",""'Game 4'!S25"")+100)))"),8.0)</f>
        <v>8</v>
      </c>
      <c r="P4" s="5">
        <f>IFERROR(__xludf.DUMMYFUNCTION("IF($A4=IMPORTRANGE(""https://docs.google.com/spreadsheets/d/1sSbIK-vvHsSY0LghLJ9gcnW8Hec_ITI2tFmpeqI999A/edit#gid=0"",""'Game 3'!B1""),IF(IMPORTRANGE(""https://docs.google.com/spreadsheets/d/1sSbIK-vvHsSY0LghLJ9gcnW8Hec_ITI2tFmpeqI999A/edit#gid=0"",""'Gam"&amp;"e 3'!J25"")&gt;IMPORTRANGE(""https://docs.google.com/spreadsheets/d/1sSbIK-vvHsSY0LghLJ9gcnW8Hec_ITI2tFmpeqI999A/edit#gid=0"",""'Game 3'!S25""),IMPORTRANGE(""https://docs.google.com/spreadsheets/d/1sSbIK-vvHsSY0LghLJ9gcnW8Hec_ITI2tFmpeqI999A/edit#gid=0"",""'"&amp;"Game 3'!J25"")+100,IF(IMPORTRANGE(""https://docs.google.com/spreadsheets/d/1sSbIK-vvHsSY0LghLJ9gcnW8Hec_ITI2tFmpeqI999A/edit#gid=0"",""'Game 3'!J25"")=IMPORTRANGE(""https://docs.google.com/spreadsheets/d/1sSbIK-vvHsSY0LghLJ9gcnW8Hec_ITI2tFmpeqI999A/edit#g"&amp;"id=0"",""'Game 3'!S25""),IMPORTRANGE(""https://docs.google.com/spreadsheets/d/1sSbIK-vvHsSY0LghLJ9gcnW8Hec_ITI2tFmpeqI999A/edit#gid=0"",""'Game 3'!J25"")+50,IMPORTRANGE(""https://docs.google.com/spreadsheets/d/1sSbIK-vvHsSY0LghLJ9gcnW8Hec_ITI2tFmpeqI999A/"&amp;"edit#gid=0"",""'Game 3'!J25""))),IF(IMPORTRANGE(""https://docs.google.com/spreadsheets/d/1sSbIK-vvHsSY0LghLJ9gcnW8Hec_ITI2tFmpeqI999A/edit#gid=0"",""'Game 3'!J25"")&gt;IMPORTRANGE(""https://docs.google.com/spreadsheets/d/1sSbIK-vvHsSY0LghLJ9gcnW8Hec_ITI2tFmp"&amp;"eqI999A/edit#gid=0"",""'Game 3'!S25""),IMPORTRANGE(""https://docs.google.com/spreadsheets/d/1sSbIK-vvHsSY0LghLJ9gcnW8Hec_ITI2tFmpeqI999A/edit#gid=0"",""'Game 3'!S25""),IF(IMPORTRANGE(""https://docs.google.com/spreadsheets/d/1sSbIK-vvHsSY0LghLJ9gcnW8Hec_IT"&amp;"I2tFmpeqI999A/edit#gid=0"",""'Game 3'!J25"")=IMPORTRANGE(""https://docs.google.com/spreadsheets/d/1sSbIK-vvHsSY0LghLJ9gcnW8Hec_ITI2tFmpeqI999A/edit#gid=0"",""'Game 3'!S25""),IMPORTRANGE(""https://docs.google.com/spreadsheets/d/1sSbIK-vvHsSY0LghLJ9gcnW8Hec"&amp;"_ITI2tFmpeqI999A/edit#gid=0"",""'Game 3'!S25"")+50,IMPORTRANGE(""https://docs.google.com/spreadsheets/d/1sSbIK-vvHsSY0LghLJ9gcnW8Hec_ITI2tFmpeqI999A/edit#gid=0"",""'Game 3'!S25"")+100)))"),20.0)</f>
        <v>20</v>
      </c>
      <c r="Q4" s="35">
        <f t="shared" si="1"/>
        <v>602</v>
      </c>
      <c r="R4" s="35">
        <f t="shared" si="2"/>
        <v>24</v>
      </c>
    </row>
    <row r="5">
      <c r="A5" s="32" t="s">
        <v>55</v>
      </c>
      <c r="B5" s="36">
        <v>138.0</v>
      </c>
      <c r="C5" s="36">
        <v>70.0</v>
      </c>
      <c r="D5" s="36">
        <v>26.0</v>
      </c>
      <c r="E5" s="36">
        <v>40.0</v>
      </c>
      <c r="F5" s="36">
        <v>38.0</v>
      </c>
      <c r="G5" s="37">
        <f>IFERROR(__xludf.DUMMYFUNCTION("IF($A5=IMPORTRANGE(""https://docs.google.com/spreadsheets/d/16J5ie7OD1E99qGO9lMDm8w5Yls-v190B7DTolJ5TmFc/edit#gid=1981724582"",""'Game 5'!B1""),IF(IMPORTRANGE(""https://docs.google.com/spreadsheets/d/16J5ie7OD1E99qGO9lMDm8w5Yls-v190B7DTolJ5TmFc/edit#gid=1"&amp;"981724582"",""'Game 5'!J25"")&gt;IMPORTRANGE(""https://docs.google.com/spreadsheets/d/16J5ie7OD1E99qGO9lMDm8w5Yls-v190B7DTolJ5TmFc/edit#gid=1981724582"",""'Game 5'!S25""),IMPORTRANGE(""https://docs.google.com/spreadsheets/d/16J5ie7OD1E99qGO9lMDm8w5Yls-v190B7"&amp;"DTolJ5TmFc/edit#gid=1981724582"",""'Game 5'!J25"")+100,IF(IMPORTRANGE(""https://docs.google.com/spreadsheets/d/16J5ie7OD1E99qGO9lMDm8w5Yls-v190B7DTolJ5TmFc/edit#gid=1981724582"",""'Game 5'!J25"")=IMPORTRANGE(""https://docs.google.com/spreadsheets/d/16J5ie"&amp;"7OD1E99qGO9lMDm8w5Yls-v190B7DTolJ5TmFc/edit#gid=1981724582"",""'Game 5'!S25""),IMPORTRANGE(""https://docs.google.com/spreadsheets/d/16J5ie7OD1E99qGO9lMDm8w5Yls-v190B7DTolJ5TmFc/edit#gid=1981724582"",""'Game 5'!J25"")+50,IMPORTRANGE(""https://docs.google.c"&amp;"om/spreadsheets/d/16J5ie7OD1E99qGO9lMDm8w5Yls-v190B7DTolJ5TmFc/edit#gid=1981724582"",""'Game 5'!J25""))),IF(IMPORTRANGE(""https://docs.google.com/spreadsheets/d/16J5ie7OD1E99qGO9lMDm8w5Yls-v190B7DTolJ5TmFc/edit#gid=1981724582"",""'Game 5'!J25"")&gt;IMPORTRAN"&amp;"GE(""https://docs.google.com/spreadsheets/d/16J5ie7OD1E99qGO9lMDm8w5Yls-v190B7DTolJ5TmFc/edit#gid=1981724582"",""'Game 5'!S25""),IMPORTRANGE(""https://docs.google.com/spreadsheets/d/16J5ie7OD1E99qGO9lMDm8w5Yls-v190B7DTolJ5TmFc/edit#gid=1981724582"",""'Gam"&amp;"e 5'!S25""),IF(IMPORTRANGE(""https://docs.google.com/spreadsheets/d/16J5ie7OD1E99qGO9lMDm8w5Yls-v190B7DTolJ5TmFc/edit#gid=1981724582"",""'Game 5'!J25"")=IMPORTRANGE(""https://docs.google.com/spreadsheets/d/16J5ie7OD1E99qGO9lMDm8w5Yls-v190B7DTolJ5TmFc/edit"&amp;"#gid=1981724582"",""'Game 5'!S25""),IMPORTRANGE(""https://docs.google.com/spreadsheets/d/16J5ie7OD1E99qGO9lMDm8w5Yls-v190B7DTolJ5TmFc/edit#gid=1981724582"",""'Game 5'!S25"")+50,IMPORTRANGE(""https://docs.google.com/spreadsheets/d/16J5ie7OD1E99qGO9lMDm8w5Y"&amp;"ls-v190B7DTolJ5TmFc/edit#gid=1981724582"",""'Game 5'!S25"")+100)))"),36.0)</f>
        <v>36</v>
      </c>
      <c r="H5" s="36">
        <v>48.0</v>
      </c>
      <c r="I5" s="7">
        <f>IFERROR(__xludf.DUMMYFUNCTION("IF($A5=IMPORTRANGE(""https://docs.google.com/spreadsheets/d/1CTYfdyRk_RFGM3I2iN9bKeD9zUPzEm1ajzml6VgwfIU/edit#gid=0"",""'Game 7'!B1""),IF(IMPORTRANGE(""https://docs.google.com/spreadsheets/d/1CTYfdyRk_RFGM3I2iN9bKeD9zUPzEm1ajzml6VgwfIU/edit#gid=0"",""'Gam"&amp;"e 7'!J25"")&gt;IMPORTRANGE(""https://docs.google.com/spreadsheets/d/1CTYfdyRk_RFGM3I2iN9bKeD9zUPzEm1ajzml6VgwfIU/edit#gid=0"",""'Game 7'!S25""),IMPORTRANGE(""https://docs.google.com/spreadsheets/d/1CTYfdyRk_RFGM3I2iN9bKeD9zUPzEm1ajzml6VgwfIU/edit#gid=0"",""'"&amp;"Game 7'!J25"")+100,IF(IMPORTRANGE(""https://docs.google.com/spreadsheets/d/1CTYfdyRk_RFGM3I2iN9bKeD9zUPzEm1ajzml6VgwfIU/edit#gid=0"",""'Game 7'!J25"")=IMPORTRANGE(""https://docs.google.com/spreadsheets/d/1CTYfdyRk_RFGM3I2iN9bKeD9zUPzEm1ajzml6VgwfIU/edit#g"&amp;"id=0"",""'Game 7'!S25""),IMPORTRANGE(""https://docs.google.com/spreadsheets/d/1CTYfdyRk_RFGM3I2iN9bKeD9zUPzEm1ajzml6VgwfIU/edit#gid=0"",""'Game 7'!J25"")+50,IMPORTRANGE(""https://docs.google.com/spreadsheets/d/1CTYfdyRk_RFGM3I2iN9bKeD9zUPzEm1ajzml6VgwfIU/"&amp;"edit#gid=0"",""'Game 7'!J25""))),IF(IMPORTRANGE(""https://docs.google.com/spreadsheets/d/1CTYfdyRk_RFGM3I2iN9bKeD9zUPzEm1ajzml6VgwfIU/edit#gid=0"",""'Game 7'!J25"")&gt;IMPORTRANGE(""https://docs.google.com/spreadsheets/d/1CTYfdyRk_RFGM3I2iN9bKeD9zUPzEm1ajzml"&amp;"6VgwfIU/edit#gid=0"",""'Game 7'!S25""),IMPORTRANGE(""https://docs.google.com/spreadsheets/d/1CTYfdyRk_RFGM3I2iN9bKeD9zUPzEm1ajzml6VgwfIU/edit#gid=0"",""'Game 7'!S25""),IF(IMPORTRANGE(""https://docs.google.com/spreadsheets/d/1CTYfdyRk_RFGM3I2iN9bKeD9zUPzEm"&amp;"1ajzml6VgwfIU/edit#gid=0"",""'Game 7'!J25"")=IMPORTRANGE(""https://docs.google.com/spreadsheets/d/1CTYfdyRk_RFGM3I2iN9bKeD9zUPzEm1ajzml6VgwfIU/edit#gid=0"",""'Game 7'!S25""),IMPORTRANGE(""https://docs.google.com/spreadsheets/d/1CTYfdyRk_RFGM3I2iN9bKeD9zUP"&amp;"zEm1ajzml6VgwfIU/edit#gid=0"",""'Game 7'!S25"")+50,IMPORTRANGE(""https://docs.google.com/spreadsheets/d/1CTYfdyRk_RFGM3I2iN9bKeD9zUPzEm1ajzml6VgwfIU/edit#gid=0"",""'Game 7'!S25"")+100)))"),138.0)</f>
        <v>138</v>
      </c>
      <c r="J5" s="7">
        <f>IFERROR(__xludf.DUMMYFUNCTION("IF($A5=IMPORTRANGE(""https://docs.google.com/spreadsheets/d/11NFkzOdQyW-OtxSDuGslNCgNjx7HUb2FU7KnlNnPMgY/edit#gid=0"",""'Game 11'!B1""),IF(IMPORTRANGE(""https://docs.google.com/spreadsheets/d/11NFkzOdQyW-OtxSDuGslNCgNjx7HUb2FU7KnlNnPMgY/edit#gid=0"",""'Ga"&amp;"me 11'!J25"")&gt;IMPORTRANGE(""https://docs.google.com/spreadsheets/d/11NFkzOdQyW-OtxSDuGslNCgNjx7HUb2FU7KnlNnPMgY/edit#gid=0"",""'Game 11'!S25""),IMPORTRANGE(""https://docs.google.com/spreadsheets/d/11NFkzOdQyW-OtxSDuGslNCgNjx7HUb2FU7KnlNnPMgY/edit#gid=0"","&amp;"""'Game 11'!J25"")+100,IF(IMPORTRANGE(""https://docs.google.com/spreadsheets/d/11NFkzOdQyW-OtxSDuGslNCgNjx7HUb2FU7KnlNnPMgY/edit#gid=0"",""'Game 11'!J25"")=IMPORTRANGE(""https://docs.google.com/spreadsheets/d/11NFkzOdQyW-OtxSDuGslNCgNjx7HUb2FU7KnlNnPMgY/e"&amp;"dit#gid=0"",""'Game 11'!S25""),IMPORTRANGE(""https://docs.google.com/spreadsheets/d/11NFkzOdQyW-OtxSDuGslNCgNjx7HUb2FU7KnlNnPMgY/edit#gid=0"",""'Game 11'!J25"")+50,IMPORTRANGE(""https://docs.google.com/spreadsheets/d/11NFkzOdQyW-OtxSDuGslNCgNjx7HUb2FU7Knl"&amp;"NnPMgY/edit#gid=0"",""'Game 11'!J25""))),IF(IMPORTRANGE(""https://docs.google.com/spreadsheets/d/11NFkzOdQyW-OtxSDuGslNCgNjx7HUb2FU7KnlNnPMgY/edit#gid=0"",""'Game 11'!J25"")&gt;IMPORTRANGE(""https://docs.google.com/spreadsheets/d/11NFkzOdQyW-OtxSDuGslNCgNjx7"&amp;"HUb2FU7KnlNnPMgY/edit#gid=0"",""'Game 11'!S25""),IMPORTRANGE(""https://docs.google.com/spreadsheets/d/11NFkzOdQyW-OtxSDuGslNCgNjx7HUb2FU7KnlNnPMgY/edit#gid=0"",""'Game 11'!S25""),IF(IMPORTRANGE(""https://docs.google.com/spreadsheets/d/11NFkzOdQyW-OtxSDuGs"&amp;"lNCgNjx7HUb2FU7KnlNnPMgY/edit#gid=0"",""'Game 11'!J25"")=IMPORTRANGE(""https://docs.google.com/spreadsheets/d/11NFkzOdQyW-OtxSDuGslNCgNjx7HUb2FU7KnlNnPMgY/edit#gid=0"",""'Game 11'!S25""),IMPORTRANGE(""https://docs.google.com/spreadsheets/d/11NFkzOdQyW-Otx"&amp;"SDuGslNCgNjx7HUb2FU7KnlNnPMgY/edit#gid=0"",""'Game 11'!S25"")+50,IMPORTRANGE(""https://docs.google.com/spreadsheets/d/11NFkzOdQyW-OtxSDuGslNCgNjx7HUb2FU7KnlNnPMgY/edit#gid=0"",""'Game 11'!S25"")+100)))"),132.0)</f>
        <v>132</v>
      </c>
      <c r="K5" s="7">
        <f>IFERROR(__xludf.DUMMYFUNCTION("IF($A5=IMPORTRANGE(""https://docs.google.com/spreadsheets/d/1CLg5-jaE4ta0-u4oE1qbBplQ5Mf3Oj9ONFgL0zJ7Ol4/edit#gid=0"",""'Game 1'!B1""),IF(IMPORTRANGE(""https://docs.google.com/spreadsheets/d/1CLg5-jaE4ta0-u4oE1qbBplQ5Mf3Oj9ONFgL0zJ7Ol4/edit#gid=0"",""'Gam"&amp;"e 1'!J25"")&gt;IMPORTRANGE(""https://docs.google.com/spreadsheets/d/1CLg5-jaE4ta0-u4oE1qbBplQ5Mf3Oj9ONFgL0zJ7Ol4/edit#gid=0"",""'Game 1'!S25""),IMPORTRANGE(""https://docs.google.com/spreadsheets/d/1CLg5-jaE4ta0-u4oE1qbBplQ5Mf3Oj9ONFgL0zJ7Ol4/edit#gid=0"",""'"&amp;"Game 1'!J25"")+100,IF(IMPORTRANGE(""https://docs.google.com/spreadsheets/d/1CLg5-jaE4ta0-u4oE1qbBplQ5Mf3Oj9ONFgL0zJ7Ol4/edit#gid=0"",""'Game 1'!J25"")=IMPORTRANGE(""https://docs.google.com/spreadsheets/d/1CLg5-jaE4ta0-u4oE1qbBplQ5Mf3Oj9ONFgL0zJ7Ol4/edit#g"&amp;"id=0"",""'Game 1'!S25""),IMPORTRANGE(""https://docs.google.com/spreadsheets/d/1CLg5-jaE4ta0-u4oE1qbBplQ5Mf3Oj9ONFgL0zJ7Ol4/edit#gid=0"",""'Game 1'!J25"")+50,IMPORTRANGE(""https://docs.google.com/spreadsheets/d/1CLg5-jaE4ta0-u4oE1qbBplQ5Mf3Oj9ONFgL0zJ7Ol4/"&amp;"edit#gid=0"",""'Game 1'!J25""))),IF(IMPORTRANGE(""https://docs.google.com/spreadsheets/d/1CLg5-jaE4ta0-u4oE1qbBplQ5Mf3Oj9ONFgL0zJ7Ol4/edit#gid=0"",""'Game 1'!J25"")&gt;IMPORTRANGE(""https://docs.google.com/spreadsheets/d/1CLg5-jaE4ta0-u4oE1qbBplQ5Mf3Oj9ONFgL"&amp;"0zJ7Ol4/edit#gid=0"",""'Game 1'!S25""),IMPORTRANGE(""https://docs.google.com/spreadsheets/d/1CLg5-jaE4ta0-u4oE1qbBplQ5Mf3Oj9ONFgL0zJ7Ol4/edit#gid=0"",""'Game 1'!S25""),IF(IMPORTRANGE(""https://docs.google.com/spreadsheets/d/1CLg5-jaE4ta0-u4oE1qbBplQ5Mf3Oj"&amp;"9ONFgL0zJ7Ol4/edit#gid=0"",""'Game 1'!J25"")=IMPORTRANGE(""https://docs.google.com/spreadsheets/d/1CLg5-jaE4ta0-u4oE1qbBplQ5Mf3Oj9ONFgL0zJ7Ol4/edit#gid=0"",""'Game 1'!S25""),IMPORTRANGE(""https://docs.google.com/spreadsheets/d/1CLg5-jaE4ta0-u4oE1qbBplQ5Mf"&amp;"3Oj9ONFgL0zJ7Ol4/edit#gid=0"",""'Game 1'!S25"")+50,IMPORTRANGE(""https://docs.google.com/spreadsheets/d/1CLg5-jaE4ta0-u4oE1qbBplQ5Mf3Oj9ONFgL0zJ7Ol4/edit#gid=0"",""'Game 1'!S25"")+100)))"),180.0)</f>
        <v>180</v>
      </c>
      <c r="L5" s="7">
        <f>IFERROR(__xludf.DUMMYFUNCTION("IF($A5=IMPORTRANGE(""https://docs.google.com/spreadsheets/d/1CeexgK4KxWj3k_7nql_k8-RPxXMwTJyB4Q3vAASeDlA/edit#gid=0"",""'Game 12'!B1""),IF(IMPORTRANGE(""https://docs.google.com/spreadsheets/d/1CeexgK4KxWj3k_7nql_k8-RPxXMwTJyB4Q3vAASeDlA/edit#gid=0"",""'Ga"&amp;"me 12'!J25"")&gt;IMPORTRANGE(""https://docs.google.com/spreadsheets/d/1CeexgK4KxWj3k_7nql_k8-RPxXMwTJyB4Q3vAASeDlA/edit#gid=0"",""'Game 12'!S25""),IMPORTRANGE(""https://docs.google.com/spreadsheets/d/1CeexgK4KxWj3k_7nql_k8-RPxXMwTJyB4Q3vAASeDlA/edit#gid=0"","&amp;"""'Game 12'!J25"")+100,IF(IMPORTRANGE(""https://docs.google.com/spreadsheets/d/1CeexgK4KxWj3k_7nql_k8-RPxXMwTJyB4Q3vAASeDlA/edit#gid=0"",""'Game 12'!J25"")=IMPORTRANGE(""https://docs.google.com/spreadsheets/d/1CeexgK4KxWj3k_7nql_k8-RPxXMwTJyB4Q3vAASeDlA/e"&amp;"dit#gid=0"",""'Game 12'!S25""),IMPORTRANGE(""https://docs.google.com/spreadsheets/d/1CeexgK4KxWj3k_7nql_k8-RPxXMwTJyB4Q3vAASeDlA/edit#gid=0"",""'Game 12'!J25"")+50,IMPORTRANGE(""https://docs.google.com/spreadsheets/d/1CeexgK4KxWj3k_7nql_k8-RPxXMwTJyB4Q3vA"&amp;"ASeDlA/edit#gid=0"",""'Game 12'!J25""))),IF(IMPORTRANGE(""https://docs.google.com/spreadsheets/d/1CeexgK4KxWj3k_7nql_k8-RPxXMwTJyB4Q3vAASeDlA/edit#gid=0"",""'Game 12'!J25"")&gt;IMPORTRANGE(""https://docs.google.com/spreadsheets/d/1CeexgK4KxWj3k_7nql_k8-RPxXM"&amp;"wTJyB4Q3vAASeDlA/edit#gid=0"",""'Game 12'!S25""),IMPORTRANGE(""https://docs.google.com/spreadsheets/d/1CeexgK4KxWj3k_7nql_k8-RPxXMwTJyB4Q3vAASeDlA/edit#gid=0"",""'Game 12'!S25""),IF(IMPORTRANGE(""https://docs.google.com/spreadsheets/d/1CeexgK4KxWj3k_7nql_"&amp;"k8-RPxXMwTJyB4Q3vAASeDlA/edit#gid=0"",""'Game 12'!J25"")=IMPORTRANGE(""https://docs.google.com/spreadsheets/d/1CeexgK4KxWj3k_7nql_k8-RPxXMwTJyB4Q3vAASeDlA/edit#gid=0"",""'Game 12'!S25""),IMPORTRANGE(""https://docs.google.com/spreadsheets/d/1CeexgK4KxWj3k_"&amp;"7nql_k8-RPxXMwTJyB4Q3vAASeDlA/edit#gid=0"",""'Game 12'!S25"")+50,IMPORTRANGE(""https://docs.google.com/spreadsheets/d/1CeexgK4KxWj3k_7nql_k8-RPxXMwTJyB4Q3vAASeDlA/edit#gid=0"",""'Game 12'!S25"")+100)))"),32.0)</f>
        <v>32</v>
      </c>
      <c r="M5" s="7">
        <f>IFERROR(__xludf.DUMMYFUNCTION("IF($A5=IMPORTRANGE(""https://docs.google.com/spreadsheets/d/1MNwUNMjcwK6bEgCXwB73jpbK5gJAXS8ZMpbEMLJEP3E/edit#gid=0"",""'Game 11'!B1""),IF(IMPORTRANGE(""https://docs.google.com/spreadsheets/d/1MNwUNMjcwK6bEgCXwB73jpbK5gJAXS8ZMpbEMLJEP3E/edit#gid=0"",""'Ga"&amp;"me 11'!J25"")&gt;IMPORTRANGE(""https://docs.google.com/spreadsheets/d/1MNwUNMjcwK6bEgCXwB73jpbK5gJAXS8ZMpbEMLJEP3E/edit#gid=0"",""'Game 11'!S25""),IMPORTRANGE(""https://docs.google.com/spreadsheets/d/1MNwUNMjcwK6bEgCXwB73jpbK5gJAXS8ZMpbEMLJEP3E/edit#gid=0"","&amp;"""'Game 11'!J25"")+100,IF(IMPORTRANGE(""https://docs.google.com/spreadsheets/d/1MNwUNMjcwK6bEgCXwB73jpbK5gJAXS8ZMpbEMLJEP3E/edit#gid=0"",""'Game 11'!J25"")=IMPORTRANGE(""https://docs.google.com/spreadsheets/d/1MNwUNMjcwK6bEgCXwB73jpbK5gJAXS8ZMpbEMLJEP3E/e"&amp;"dit#gid=0"",""'Game 11'!S25""),IMPORTRANGE(""https://docs.google.com/spreadsheets/d/1MNwUNMjcwK6bEgCXwB73jpbK5gJAXS8ZMpbEMLJEP3E/edit#gid=0"",""'Game 11'!J25"")+50,IMPORTRANGE(""https://docs.google.com/spreadsheets/d/1MNwUNMjcwK6bEgCXwB73jpbK5gJAXS8ZMpbEM"&amp;"LJEP3E/edit#gid=0"",""'Game 11'!J25""))),IF(IMPORTRANGE(""https://docs.google.com/spreadsheets/d/1MNwUNMjcwK6bEgCXwB73jpbK5gJAXS8ZMpbEMLJEP3E/edit#gid=0"",""'Game 11'!J25"")&gt;IMPORTRANGE(""https://docs.google.com/spreadsheets/d/1MNwUNMjcwK6bEgCXwB73jpbK5gJ"&amp;"AXS8ZMpbEMLJEP3E/edit#gid=0"",""'Game 11'!S25""),IMPORTRANGE(""https://docs.google.com/spreadsheets/d/1MNwUNMjcwK6bEgCXwB73jpbK5gJAXS8ZMpbEMLJEP3E/edit#gid=0"",""'Game 11'!S25""),IF(IMPORTRANGE(""https://docs.google.com/spreadsheets/d/1MNwUNMjcwK6bEgCXwB7"&amp;"3jpbK5gJAXS8ZMpbEMLJEP3E/edit#gid=0"",""'Game 11'!J25"")=IMPORTRANGE(""https://docs.google.com/spreadsheets/d/1MNwUNMjcwK6bEgCXwB73jpbK5gJAXS8ZMpbEMLJEP3E/edit#gid=0"",""'Game 11'!S25""),IMPORTRANGE(""https://docs.google.com/spreadsheets/d/1MNwUNMjcwK6bEg"&amp;"CXwB73jpbK5gJAXS8ZMpbEMLJEP3E/edit#gid=0"",""'Game 11'!S25"")+50,IMPORTRANGE(""https://docs.google.com/spreadsheets/d/1MNwUNMjcwK6bEgCXwB73jpbK5gJAXS8ZMpbEMLJEP3E/edit#gid=0"",""'Game 11'!S25"")+100)))"),26.0)</f>
        <v>26</v>
      </c>
      <c r="N5" s="7">
        <f>IFERROR(__xludf.DUMMYFUNCTION("IF($A5=IMPORTRANGE(""https://docs.google.com/spreadsheets/d/1UrzyxmT40kDZwVrLMf1yyXfP-pyczRAw9Y8Rw-uXG3c/edit#gid=0"",""'Game 8'!B1""),IF(IMPORTRANGE(""https://docs.google.com/spreadsheets/d/1UrzyxmT40kDZwVrLMf1yyXfP-pyczRAw9Y8Rw-uXG3c/edit#gid=0"",""'Gam"&amp;"e 8'!J25"")&gt;IMPORTRANGE(""https://docs.google.com/spreadsheets/d/1UrzyxmT40kDZwVrLMf1yyXfP-pyczRAw9Y8Rw-uXG3c/edit#gid=0"",""'Game 8'!S25""),IMPORTRANGE(""https://docs.google.com/spreadsheets/d/1UrzyxmT40kDZwVrLMf1yyXfP-pyczRAw9Y8Rw-uXG3c/edit#gid=0"",""'"&amp;"Game 8'!J25"")+100,IF(IMPORTRANGE(""https://docs.google.com/spreadsheets/d/1UrzyxmT40kDZwVrLMf1yyXfP-pyczRAw9Y8Rw-uXG3c/edit#gid=0"",""'Game 8'!J25"")=IMPORTRANGE(""https://docs.google.com/spreadsheets/d/1UrzyxmT40kDZwVrLMf1yyXfP-pyczRAw9Y8Rw-uXG3c/edit#g"&amp;"id=0"",""'Game 8'!S25""),IMPORTRANGE(""https://docs.google.com/spreadsheets/d/1UrzyxmT40kDZwVrLMf1yyXfP-pyczRAw9Y8Rw-uXG3c/edit#gid=0"",""'Game 8'!J25"")+50,IMPORTRANGE(""https://docs.google.com/spreadsheets/d/1UrzyxmT40kDZwVrLMf1yyXfP-pyczRAw9Y8Rw-uXG3c/"&amp;"edit#gid=0"",""'Game 8'!J25""))),IF(IMPORTRANGE(""https://docs.google.com/spreadsheets/d/1UrzyxmT40kDZwVrLMf1yyXfP-pyczRAw9Y8Rw-uXG3c/edit#gid=0"",""'Game 8'!J25"")&gt;IMPORTRANGE(""https://docs.google.com/spreadsheets/d/1UrzyxmT40kDZwVrLMf1yyXfP-pyczRAw9Y8R"&amp;"w-uXG3c/edit#gid=0"",""'Game 8'!S25""),IMPORTRANGE(""https://docs.google.com/spreadsheets/d/1UrzyxmT40kDZwVrLMf1yyXfP-pyczRAw9Y8Rw-uXG3c/edit#gid=0"",""'Game 8'!S25""),IF(IMPORTRANGE(""https://docs.google.com/spreadsheets/d/1UrzyxmT40kDZwVrLMf1yyXfP-pyczR"&amp;"Aw9Y8Rw-uXG3c/edit#gid=0"",""'Game 8'!J25"")=IMPORTRANGE(""https://docs.google.com/spreadsheets/d/1UrzyxmT40kDZwVrLMf1yyXfP-pyczRAw9Y8Rw-uXG3c/edit#gid=0"",""'Game 8'!S25""),IMPORTRANGE(""https://docs.google.com/spreadsheets/d/1UrzyxmT40kDZwVrLMf1yyXfP-py"&amp;"czRAw9Y8Rw-uXG3c/edit#gid=0"",""'Game 8'!S25"")+50,IMPORTRANGE(""https://docs.google.com/spreadsheets/d/1UrzyxmT40kDZwVrLMf1yyXfP-pyczRAw9Y8Rw-uXG3c/edit#gid=0"",""'Game 8'!S25"")+100)))"),42.0)</f>
        <v>42</v>
      </c>
      <c r="O5" s="7">
        <f>IFERROR(__xludf.DUMMYFUNCTION("IF($A5=IMPORTRANGE(""https://docs.google.com/spreadsheets/d/1iyMhSYWifw-KGFtyeBpNxVZr4BhcV9hVZuShgJ9Ia0E/edit#gid=0"",""'Game 5'!B1""),IF(IMPORTRANGE(""https://docs.google.com/spreadsheets/d/1iyMhSYWifw-KGFtyeBpNxVZr4BhcV9hVZuShgJ9Ia0E/edit#gid=0"",""'Gam"&amp;"e 5'!J25"")&gt;IMPORTRANGE(""https://docs.google.com/spreadsheets/d/1iyMhSYWifw-KGFtyeBpNxVZr4BhcV9hVZuShgJ9Ia0E/edit#gid=0"",""'Game 5'!S25""),IMPORTRANGE(""https://docs.google.com/spreadsheets/d/1iyMhSYWifw-KGFtyeBpNxVZr4BhcV9hVZuShgJ9Ia0E/edit#gid=0"",""'"&amp;"Game 5'!J25"")+100,IF(IMPORTRANGE(""https://docs.google.com/spreadsheets/d/1iyMhSYWifw-KGFtyeBpNxVZr4BhcV9hVZuShgJ9Ia0E/edit#gid=0"",""'Game 5'!J25"")=IMPORTRANGE(""https://docs.google.com/spreadsheets/d/1iyMhSYWifw-KGFtyeBpNxVZr4BhcV9hVZuShgJ9Ia0E/edit#g"&amp;"id=0"",""'Game 5'!S25""),IMPORTRANGE(""https://docs.google.com/spreadsheets/d/1iyMhSYWifw-KGFtyeBpNxVZr4BhcV9hVZuShgJ9Ia0E/edit#gid=0"",""'Game 5'!J25"")+50,IMPORTRANGE(""https://docs.google.com/spreadsheets/d/1iyMhSYWifw-KGFtyeBpNxVZr4BhcV9hVZuShgJ9Ia0E/"&amp;"edit#gid=0"",""'Game 5'!J25""))),IF(IMPORTRANGE(""https://docs.google.com/spreadsheets/d/1iyMhSYWifw-KGFtyeBpNxVZr4BhcV9hVZuShgJ9Ia0E/edit#gid=0"",""'Game 5'!J25"")&gt;IMPORTRANGE(""https://docs.google.com/spreadsheets/d/1iyMhSYWifw-KGFtyeBpNxVZr4BhcV9hVZuSh"&amp;"gJ9Ia0E/edit#gid=0"",""'Game 5'!S25""),IMPORTRANGE(""https://docs.google.com/spreadsheets/d/1iyMhSYWifw-KGFtyeBpNxVZr4BhcV9hVZuShgJ9Ia0E/edit#gid=0"",""'Game 5'!S25""),IF(IMPORTRANGE(""https://docs.google.com/spreadsheets/d/1iyMhSYWifw-KGFtyeBpNxVZr4BhcV9"&amp;"hVZuShgJ9Ia0E/edit#gid=0"",""'Game 5'!J25"")=IMPORTRANGE(""https://docs.google.com/spreadsheets/d/1iyMhSYWifw-KGFtyeBpNxVZr4BhcV9hVZuShgJ9Ia0E/edit#gid=0"",""'Game 5'!S25""),IMPORTRANGE(""https://docs.google.com/spreadsheets/d/1iyMhSYWifw-KGFtyeBpNxVZr4Bh"&amp;"cV9hVZuShgJ9Ia0E/edit#gid=0"",""'Game 5'!S25"")+50,IMPORTRANGE(""https://docs.google.com/spreadsheets/d/1iyMhSYWifw-KGFtyeBpNxVZr4BhcV9hVZuShgJ9Ia0E/edit#gid=0"",""'Game 5'!S25"")+100)))"),164.0)</f>
        <v>164</v>
      </c>
      <c r="P5" s="7">
        <f>IFERROR(__xludf.DUMMYFUNCTION("IF($A5=IMPORTRANGE(""https://docs.google.com/spreadsheets/d/1sSbIK-vvHsSY0LghLJ9gcnW8Hec_ITI2tFmpeqI999A/edit#gid=0"",""'Game 11'!B1""),IF(IMPORTRANGE(""https://docs.google.com/spreadsheets/d/1sSbIK-vvHsSY0LghLJ9gcnW8Hec_ITI2tFmpeqI999A/edit#gid=0"",""'Ga"&amp;"me 11'!J25"")&gt;IMPORTRANGE(""https://docs.google.com/spreadsheets/d/1sSbIK-vvHsSY0LghLJ9gcnW8Hec_ITI2tFmpeqI999A/edit#gid=0"",""'Game 11'!S25""),IMPORTRANGE(""https://docs.google.com/spreadsheets/d/1sSbIK-vvHsSY0LghLJ9gcnW8Hec_ITI2tFmpeqI999A/edit#gid=0"","&amp;"""'Game 11'!J25"")+100,IF(IMPORTRANGE(""https://docs.google.com/spreadsheets/d/1sSbIK-vvHsSY0LghLJ9gcnW8Hec_ITI2tFmpeqI999A/edit#gid=0"",""'Game 11'!J25"")=IMPORTRANGE(""https://docs.google.com/spreadsheets/d/1sSbIK-vvHsSY0LghLJ9gcnW8Hec_ITI2tFmpeqI999A/e"&amp;"dit#gid=0"",""'Game 11'!S25""),IMPORTRANGE(""https://docs.google.com/spreadsheets/d/1sSbIK-vvHsSY0LghLJ9gcnW8Hec_ITI2tFmpeqI999A/edit#gid=0"",""'Game 11'!J25"")+50,IMPORTRANGE(""https://docs.google.com/spreadsheets/d/1sSbIK-vvHsSY0LghLJ9gcnW8Hec_ITI2tFmpe"&amp;"qI999A/edit#gid=0"",""'Game 11'!J25""))),IF(IMPORTRANGE(""https://docs.google.com/spreadsheets/d/1sSbIK-vvHsSY0LghLJ9gcnW8Hec_ITI2tFmpeqI999A/edit#gid=0"",""'Game 11'!J25"")&gt;IMPORTRANGE(""https://docs.google.com/spreadsheets/d/1sSbIK-vvHsSY0LghLJ9gcnW8Hec"&amp;"_ITI2tFmpeqI999A/edit#gid=0"",""'Game 11'!S25""),IMPORTRANGE(""https://docs.google.com/spreadsheets/d/1sSbIK-vvHsSY0LghLJ9gcnW8Hec_ITI2tFmpeqI999A/edit#gid=0"",""'Game 11'!S25""),IF(IMPORTRANGE(""https://docs.google.com/spreadsheets/d/1sSbIK-vvHsSY0LghLJ9"&amp;"gcnW8Hec_ITI2tFmpeqI999A/edit#gid=0"",""'Game 11'!J25"")=IMPORTRANGE(""https://docs.google.com/spreadsheets/d/1sSbIK-vvHsSY0LghLJ9gcnW8Hec_ITI2tFmpeqI999A/edit#gid=0"",""'Game 11'!S25""),IMPORTRANGE(""https://docs.google.com/spreadsheets/d/1sSbIK-vvHsSY0L"&amp;"ghLJ9gcnW8Hec_ITI2tFmpeqI999A/edit#gid=0"",""'Game 11'!S25"")+50,IMPORTRANGE(""https://docs.google.com/spreadsheets/d/1sSbIK-vvHsSY0LghLJ9gcnW8Hec_ITI2tFmpeqI999A/edit#gid=0"",""'Game 11'!S25"")+100)))"),156.0)</f>
        <v>156</v>
      </c>
      <c r="Q5" s="37">
        <f t="shared" si="1"/>
        <v>1266</v>
      </c>
      <c r="R5" s="37">
        <f t="shared" si="2"/>
        <v>14</v>
      </c>
    </row>
    <row r="6">
      <c r="A6" s="33" t="s">
        <v>64</v>
      </c>
      <c r="B6" s="34">
        <v>150.0</v>
      </c>
      <c r="C6" s="34">
        <v>246.0</v>
      </c>
      <c r="D6" s="34">
        <v>30.0</v>
      </c>
      <c r="E6" s="34">
        <v>142.0</v>
      </c>
      <c r="F6" s="34">
        <v>198.0</v>
      </c>
      <c r="G6" s="35">
        <f>IFERROR(__xludf.DUMMYFUNCTION("IF($A6=IMPORTRANGE(""https://docs.google.com/spreadsheets/d/16J5ie7OD1E99qGO9lMDm8w5Yls-v190B7DTolJ5TmFc/edit#gid=1981724582"",""'Game 7'!B1""),IF(IMPORTRANGE(""https://docs.google.com/spreadsheets/d/16J5ie7OD1E99qGO9lMDm8w5Yls-v190B7DTolJ5TmFc/edit#gid=1"&amp;"981724582"",""'Game 7'!J25"")&gt;IMPORTRANGE(""https://docs.google.com/spreadsheets/d/16J5ie7OD1E99qGO9lMDm8w5Yls-v190B7DTolJ5TmFc/edit#gid=1981724582"",""'Game 7'!S25""),IMPORTRANGE(""https://docs.google.com/spreadsheets/d/16J5ie7OD1E99qGO9lMDm8w5Yls-v190B7"&amp;"DTolJ5TmFc/edit#gid=1981724582"",""'Game 7'!J25"")+100,IF(IMPORTRANGE(""https://docs.google.com/spreadsheets/d/16J5ie7OD1E99qGO9lMDm8w5Yls-v190B7DTolJ5TmFc/edit#gid=1981724582"",""'Game 7'!J25"")=IMPORTRANGE(""https://docs.google.com/spreadsheets/d/16J5ie"&amp;"7OD1E99qGO9lMDm8w5Yls-v190B7DTolJ5TmFc/edit#gid=1981724582"",""'Game 7'!S25""),IMPORTRANGE(""https://docs.google.com/spreadsheets/d/16J5ie7OD1E99qGO9lMDm8w5Yls-v190B7DTolJ5TmFc/edit#gid=1981724582"",""'Game 7'!J25"")+50,IMPORTRANGE(""https://docs.google.c"&amp;"om/spreadsheets/d/16J5ie7OD1E99qGO9lMDm8w5Yls-v190B7DTolJ5TmFc/edit#gid=1981724582"",""'Game 7'!J25""))),IF(IMPORTRANGE(""https://docs.google.com/spreadsheets/d/16J5ie7OD1E99qGO9lMDm8w5Yls-v190B7DTolJ5TmFc/edit#gid=1981724582"",""'Game 7'!J25"")&gt;IMPORTRAN"&amp;"GE(""https://docs.google.com/spreadsheets/d/16J5ie7OD1E99qGO9lMDm8w5Yls-v190B7DTolJ5TmFc/edit#gid=1981724582"",""'Game 7'!S25""),IMPORTRANGE(""https://docs.google.com/spreadsheets/d/16J5ie7OD1E99qGO9lMDm8w5Yls-v190B7DTolJ5TmFc/edit#gid=1981724582"",""'Gam"&amp;"e 7'!S25""),IF(IMPORTRANGE(""https://docs.google.com/spreadsheets/d/16J5ie7OD1E99qGO9lMDm8w5Yls-v190B7DTolJ5TmFc/edit#gid=1981724582"",""'Game 7'!J25"")=IMPORTRANGE(""https://docs.google.com/spreadsheets/d/16J5ie7OD1E99qGO9lMDm8w5Yls-v190B7DTolJ5TmFc/edit"&amp;"#gid=1981724582"",""'Game 7'!S25""),IMPORTRANGE(""https://docs.google.com/spreadsheets/d/16J5ie7OD1E99qGO9lMDm8w5Yls-v190B7DTolJ5TmFc/edit#gid=1981724582"",""'Game 7'!S25"")+50,IMPORTRANGE(""https://docs.google.com/spreadsheets/d/16J5ie7OD1E99qGO9lMDm8w5Y"&amp;"ls-v190B7DTolJ5TmFc/edit#gid=1981724582"",""'Game 7'!S25"")+100)))"),232.0)</f>
        <v>232</v>
      </c>
      <c r="H6" s="34">
        <v>152.0</v>
      </c>
      <c r="I6" s="5">
        <f>IFERROR(__xludf.DUMMYFUNCTION("IF($A6=IMPORTRANGE(""https://docs.google.com/spreadsheets/d/1CTYfdyRk_RFGM3I2iN9bKeD9zUPzEm1ajzml6VgwfIU/edit#gid=0"",""'Game 9'!B1""),IF(IMPORTRANGE(""https://docs.google.com/spreadsheets/d/1CTYfdyRk_RFGM3I2iN9bKeD9zUPzEm1ajzml6VgwfIU/edit#gid=0"",""'Gam"&amp;"e 9'!J25"")&gt;IMPORTRANGE(""https://docs.google.com/spreadsheets/d/1CTYfdyRk_RFGM3I2iN9bKeD9zUPzEm1ajzml6VgwfIU/edit#gid=0"",""'Game 9'!S25""),IMPORTRANGE(""https://docs.google.com/spreadsheets/d/1CTYfdyRk_RFGM3I2iN9bKeD9zUPzEm1ajzml6VgwfIU/edit#gid=0"",""'"&amp;"Game 9'!J25"")+100,IF(IMPORTRANGE(""https://docs.google.com/spreadsheets/d/1CTYfdyRk_RFGM3I2iN9bKeD9zUPzEm1ajzml6VgwfIU/edit#gid=0"",""'Game 9'!J25"")=IMPORTRANGE(""https://docs.google.com/spreadsheets/d/1CTYfdyRk_RFGM3I2iN9bKeD9zUPzEm1ajzml6VgwfIU/edit#g"&amp;"id=0"",""'Game 9'!S25""),IMPORTRANGE(""https://docs.google.com/spreadsheets/d/1CTYfdyRk_RFGM3I2iN9bKeD9zUPzEm1ajzml6VgwfIU/edit#gid=0"",""'Game 9'!J25"")+50,IMPORTRANGE(""https://docs.google.com/spreadsheets/d/1CTYfdyRk_RFGM3I2iN9bKeD9zUPzEm1ajzml6VgwfIU/"&amp;"edit#gid=0"",""'Game 9'!J25""))),IF(IMPORTRANGE(""https://docs.google.com/spreadsheets/d/1CTYfdyRk_RFGM3I2iN9bKeD9zUPzEm1ajzml6VgwfIU/edit#gid=0"",""'Game 9'!J25"")&gt;IMPORTRANGE(""https://docs.google.com/spreadsheets/d/1CTYfdyRk_RFGM3I2iN9bKeD9zUPzEm1ajzml"&amp;"6VgwfIU/edit#gid=0"",""'Game 9'!S25""),IMPORTRANGE(""https://docs.google.com/spreadsheets/d/1CTYfdyRk_RFGM3I2iN9bKeD9zUPzEm1ajzml6VgwfIU/edit#gid=0"",""'Game 9'!S25""),IF(IMPORTRANGE(""https://docs.google.com/spreadsheets/d/1CTYfdyRk_RFGM3I2iN9bKeD9zUPzEm"&amp;"1ajzml6VgwfIU/edit#gid=0"",""'Game 9'!J25"")=IMPORTRANGE(""https://docs.google.com/spreadsheets/d/1CTYfdyRk_RFGM3I2iN9bKeD9zUPzEm1ajzml6VgwfIU/edit#gid=0"",""'Game 9'!S25""),IMPORTRANGE(""https://docs.google.com/spreadsheets/d/1CTYfdyRk_RFGM3I2iN9bKeD9zUP"&amp;"zEm1ajzml6VgwfIU/edit#gid=0"",""'Game 9'!S25"")+50,IMPORTRANGE(""https://docs.google.com/spreadsheets/d/1CTYfdyRk_RFGM3I2iN9bKeD9zUPzEm1ajzml6VgwfIU/edit#gid=0"",""'Game 9'!S25"")+100)))"),156.0)</f>
        <v>156</v>
      </c>
      <c r="J6" s="5">
        <f>IFERROR(__xludf.DUMMYFUNCTION("IF($A6=IMPORTRANGE(""https://docs.google.com/spreadsheets/d/11NFkzOdQyW-OtxSDuGslNCgNjx7HUb2FU7KnlNnPMgY/edit#gid=0"",""'Game 9'!B1""),IF(IMPORTRANGE(""https://docs.google.com/spreadsheets/d/11NFkzOdQyW-OtxSDuGslNCgNjx7HUb2FU7KnlNnPMgY/edit#gid=0"",""'Gam"&amp;"e 9'!J25"")&gt;IMPORTRANGE(""https://docs.google.com/spreadsheets/d/11NFkzOdQyW-OtxSDuGslNCgNjx7HUb2FU7KnlNnPMgY/edit#gid=0"",""'Game 9'!S25""),IMPORTRANGE(""https://docs.google.com/spreadsheets/d/11NFkzOdQyW-OtxSDuGslNCgNjx7HUb2FU7KnlNnPMgY/edit#gid=0"",""'"&amp;"Game 9'!J25"")+100,IF(IMPORTRANGE(""https://docs.google.com/spreadsheets/d/11NFkzOdQyW-OtxSDuGslNCgNjx7HUb2FU7KnlNnPMgY/edit#gid=0"",""'Game 9'!J25"")=IMPORTRANGE(""https://docs.google.com/spreadsheets/d/11NFkzOdQyW-OtxSDuGslNCgNjx7HUb2FU7KnlNnPMgY/edit#g"&amp;"id=0"",""'Game 9'!S25""),IMPORTRANGE(""https://docs.google.com/spreadsheets/d/11NFkzOdQyW-OtxSDuGslNCgNjx7HUb2FU7KnlNnPMgY/edit#gid=0"",""'Game 9'!J25"")+50,IMPORTRANGE(""https://docs.google.com/spreadsheets/d/11NFkzOdQyW-OtxSDuGslNCgNjx7HUb2FU7KnlNnPMgY/"&amp;"edit#gid=0"",""'Game 9'!J25""))),IF(IMPORTRANGE(""https://docs.google.com/spreadsheets/d/11NFkzOdQyW-OtxSDuGslNCgNjx7HUb2FU7KnlNnPMgY/edit#gid=0"",""'Game 9'!J25"")&gt;IMPORTRANGE(""https://docs.google.com/spreadsheets/d/11NFkzOdQyW-OtxSDuGslNCgNjx7HUb2FU7Kn"&amp;"lNnPMgY/edit#gid=0"",""'Game 9'!S25""),IMPORTRANGE(""https://docs.google.com/spreadsheets/d/11NFkzOdQyW-OtxSDuGslNCgNjx7HUb2FU7KnlNnPMgY/edit#gid=0"",""'Game 9'!S25""),IF(IMPORTRANGE(""https://docs.google.com/spreadsheets/d/11NFkzOdQyW-OtxSDuGslNCgNjx7HUb"&amp;"2FU7KnlNnPMgY/edit#gid=0"",""'Game 9'!J25"")=IMPORTRANGE(""https://docs.google.com/spreadsheets/d/11NFkzOdQyW-OtxSDuGslNCgNjx7HUb2FU7KnlNnPMgY/edit#gid=0"",""'Game 9'!S25""),IMPORTRANGE(""https://docs.google.com/spreadsheets/d/11NFkzOdQyW-OtxSDuGslNCgNjx7"&amp;"HUb2FU7KnlNnPMgY/edit#gid=0"",""'Game 9'!S25"")+50,IMPORTRANGE(""https://docs.google.com/spreadsheets/d/11NFkzOdQyW-OtxSDuGslNCgNjx7HUb2FU7KnlNnPMgY/edit#gid=0"",""'Game 9'!S25"")+100)))"),192.0)</f>
        <v>192</v>
      </c>
      <c r="K6" s="5">
        <f>IFERROR(__xludf.DUMMYFUNCTION("IF($A6=IMPORTRANGE(""https://docs.google.com/spreadsheets/d/1CLg5-jaE4ta0-u4oE1qbBplQ5Mf3Oj9ONFgL0zJ7Ol4/edit#gid=0"",""'Game 6'!B1""),IF(IMPORTRANGE(""https://docs.google.com/spreadsheets/d/1CLg5-jaE4ta0-u4oE1qbBplQ5Mf3Oj9ONFgL0zJ7Ol4/edit#gid=0"",""'Gam"&amp;"e 6'!J25"")&gt;IMPORTRANGE(""https://docs.google.com/spreadsheets/d/1CLg5-jaE4ta0-u4oE1qbBplQ5Mf3Oj9ONFgL0zJ7Ol4/edit#gid=0"",""'Game 6'!S25""),IMPORTRANGE(""https://docs.google.com/spreadsheets/d/1CLg5-jaE4ta0-u4oE1qbBplQ5Mf3Oj9ONFgL0zJ7Ol4/edit#gid=0"",""'"&amp;"Game 6'!J25"")+100,IF(IMPORTRANGE(""https://docs.google.com/spreadsheets/d/1CLg5-jaE4ta0-u4oE1qbBplQ5Mf3Oj9ONFgL0zJ7Ol4/edit#gid=0"",""'Game 6'!J25"")=IMPORTRANGE(""https://docs.google.com/spreadsheets/d/1CLg5-jaE4ta0-u4oE1qbBplQ5Mf3Oj9ONFgL0zJ7Ol4/edit#g"&amp;"id=0"",""'Game 6'!S25""),IMPORTRANGE(""https://docs.google.com/spreadsheets/d/1CLg5-jaE4ta0-u4oE1qbBplQ5Mf3Oj9ONFgL0zJ7Ol4/edit#gid=0"",""'Game 6'!J25"")+50,IMPORTRANGE(""https://docs.google.com/spreadsheets/d/1CLg5-jaE4ta0-u4oE1qbBplQ5Mf3Oj9ONFgL0zJ7Ol4/"&amp;"edit#gid=0"",""'Game 6'!J25""))),IF(IMPORTRANGE(""https://docs.google.com/spreadsheets/d/1CLg5-jaE4ta0-u4oE1qbBplQ5Mf3Oj9ONFgL0zJ7Ol4/edit#gid=0"",""'Game 6'!J25"")&gt;IMPORTRANGE(""https://docs.google.com/spreadsheets/d/1CLg5-jaE4ta0-u4oE1qbBplQ5Mf3Oj9ONFgL"&amp;"0zJ7Ol4/edit#gid=0"",""'Game 6'!S25""),IMPORTRANGE(""https://docs.google.com/spreadsheets/d/1CLg5-jaE4ta0-u4oE1qbBplQ5Mf3Oj9ONFgL0zJ7Ol4/edit#gid=0"",""'Game 6'!S25""),IF(IMPORTRANGE(""https://docs.google.com/spreadsheets/d/1CLg5-jaE4ta0-u4oE1qbBplQ5Mf3Oj"&amp;"9ONFgL0zJ7Ol4/edit#gid=0"",""'Game 6'!J25"")=IMPORTRANGE(""https://docs.google.com/spreadsheets/d/1CLg5-jaE4ta0-u4oE1qbBplQ5Mf3Oj9ONFgL0zJ7Ol4/edit#gid=0"",""'Game 6'!S25""),IMPORTRANGE(""https://docs.google.com/spreadsheets/d/1CLg5-jaE4ta0-u4oE1qbBplQ5Mf"&amp;"3Oj9ONFgL0zJ7Ol4/edit#gid=0"",""'Game 6'!S25"")+50,IMPORTRANGE(""https://docs.google.com/spreadsheets/d/1CLg5-jaE4ta0-u4oE1qbBplQ5Mf3Oj9ONFgL0zJ7Ol4/edit#gid=0"",""'Game 6'!S25"")+100)))"),196.0)</f>
        <v>196</v>
      </c>
      <c r="L6" s="5">
        <f>IFERROR(__xludf.DUMMYFUNCTION("IF($A6=IMPORTRANGE(""https://docs.google.com/spreadsheets/d/1CeexgK4KxWj3k_7nql_k8-RPxXMwTJyB4Q3vAASeDlA/edit#gid=0"",""'Game 4'!B1""),IF(IMPORTRANGE(""https://docs.google.com/spreadsheets/d/1CeexgK4KxWj3k_7nql_k8-RPxXMwTJyB4Q3vAASeDlA/edit#gid=0"",""'Gam"&amp;"e 4'!J25"")&gt;IMPORTRANGE(""https://docs.google.com/spreadsheets/d/1CeexgK4KxWj3k_7nql_k8-RPxXMwTJyB4Q3vAASeDlA/edit#gid=0"",""'Game 4'!S25""),IMPORTRANGE(""https://docs.google.com/spreadsheets/d/1CeexgK4KxWj3k_7nql_k8-RPxXMwTJyB4Q3vAASeDlA/edit#gid=0"",""'"&amp;"Game 4'!J25"")+100,IF(IMPORTRANGE(""https://docs.google.com/spreadsheets/d/1CeexgK4KxWj3k_7nql_k8-RPxXMwTJyB4Q3vAASeDlA/edit#gid=0"",""'Game 4'!J25"")=IMPORTRANGE(""https://docs.google.com/spreadsheets/d/1CeexgK4KxWj3k_7nql_k8-RPxXMwTJyB4Q3vAASeDlA/edit#g"&amp;"id=0"",""'Game 4'!S25""),IMPORTRANGE(""https://docs.google.com/spreadsheets/d/1CeexgK4KxWj3k_7nql_k8-RPxXMwTJyB4Q3vAASeDlA/edit#gid=0"",""'Game 4'!J25"")+50,IMPORTRANGE(""https://docs.google.com/spreadsheets/d/1CeexgK4KxWj3k_7nql_k8-RPxXMwTJyB4Q3vAASeDlA/"&amp;"edit#gid=0"",""'Game 4'!J25""))),IF(IMPORTRANGE(""https://docs.google.com/spreadsheets/d/1CeexgK4KxWj3k_7nql_k8-RPxXMwTJyB4Q3vAASeDlA/edit#gid=0"",""'Game 4'!J25"")&gt;IMPORTRANGE(""https://docs.google.com/spreadsheets/d/1CeexgK4KxWj3k_7nql_k8-RPxXMwTJyB4Q3v"&amp;"AASeDlA/edit#gid=0"",""'Game 4'!S25""),IMPORTRANGE(""https://docs.google.com/spreadsheets/d/1CeexgK4KxWj3k_7nql_k8-RPxXMwTJyB4Q3vAASeDlA/edit#gid=0"",""'Game 4'!S25""),IF(IMPORTRANGE(""https://docs.google.com/spreadsheets/d/1CeexgK4KxWj3k_7nql_k8-RPxXMwTJ"&amp;"yB4Q3vAASeDlA/edit#gid=0"",""'Game 4'!J25"")=IMPORTRANGE(""https://docs.google.com/spreadsheets/d/1CeexgK4KxWj3k_7nql_k8-RPxXMwTJyB4Q3vAASeDlA/edit#gid=0"",""'Game 4'!S25""),IMPORTRANGE(""https://docs.google.com/spreadsheets/d/1CeexgK4KxWj3k_7nql_k8-RPxXM"&amp;"wTJyB4Q3vAASeDlA/edit#gid=0"",""'Game 4'!S25"")+50,IMPORTRANGE(""https://docs.google.com/spreadsheets/d/1CeexgK4KxWj3k_7nql_k8-RPxXMwTJyB4Q3vAASeDlA/edit#gid=0"",""'Game 4'!S25"")+100)))"),208.0)</f>
        <v>208</v>
      </c>
      <c r="M6" s="5">
        <f>IFERROR(__xludf.DUMMYFUNCTION("IF($A6=IMPORTRANGE(""https://docs.google.com/spreadsheets/d/1MNwUNMjcwK6bEgCXwB73jpbK5gJAXS8ZMpbEMLJEP3E/edit#gid=0"",""'Game 3'!B1""),IF(IMPORTRANGE(""https://docs.google.com/spreadsheets/d/1MNwUNMjcwK6bEgCXwB73jpbK5gJAXS8ZMpbEMLJEP3E/edit#gid=0"",""'Gam"&amp;"e 3'!J25"")&gt;IMPORTRANGE(""https://docs.google.com/spreadsheets/d/1MNwUNMjcwK6bEgCXwB73jpbK5gJAXS8ZMpbEMLJEP3E/edit#gid=0"",""'Game 3'!S25""),IMPORTRANGE(""https://docs.google.com/spreadsheets/d/1MNwUNMjcwK6bEgCXwB73jpbK5gJAXS8ZMpbEMLJEP3E/edit#gid=0"",""'"&amp;"Game 3'!J25"")+100,IF(IMPORTRANGE(""https://docs.google.com/spreadsheets/d/1MNwUNMjcwK6bEgCXwB73jpbK5gJAXS8ZMpbEMLJEP3E/edit#gid=0"",""'Game 3'!J25"")=IMPORTRANGE(""https://docs.google.com/spreadsheets/d/1MNwUNMjcwK6bEgCXwB73jpbK5gJAXS8ZMpbEMLJEP3E/edit#g"&amp;"id=0"",""'Game 3'!S25""),IMPORTRANGE(""https://docs.google.com/spreadsheets/d/1MNwUNMjcwK6bEgCXwB73jpbK5gJAXS8ZMpbEMLJEP3E/edit#gid=0"",""'Game 3'!J25"")+50,IMPORTRANGE(""https://docs.google.com/spreadsheets/d/1MNwUNMjcwK6bEgCXwB73jpbK5gJAXS8ZMpbEMLJEP3E/"&amp;"edit#gid=0"",""'Game 3'!J25""))),IF(IMPORTRANGE(""https://docs.google.com/spreadsheets/d/1MNwUNMjcwK6bEgCXwB73jpbK5gJAXS8ZMpbEMLJEP3E/edit#gid=0"",""'Game 3'!J25"")&gt;IMPORTRANGE(""https://docs.google.com/spreadsheets/d/1MNwUNMjcwK6bEgCXwB73jpbK5gJAXS8ZMpbE"&amp;"MLJEP3E/edit#gid=0"",""'Game 3'!S25""),IMPORTRANGE(""https://docs.google.com/spreadsheets/d/1MNwUNMjcwK6bEgCXwB73jpbK5gJAXS8ZMpbEMLJEP3E/edit#gid=0"",""'Game 3'!S25""),IF(IMPORTRANGE(""https://docs.google.com/spreadsheets/d/1MNwUNMjcwK6bEgCXwB73jpbK5gJAXS"&amp;"8ZMpbEMLJEP3E/edit#gid=0"",""'Game 3'!J25"")=IMPORTRANGE(""https://docs.google.com/spreadsheets/d/1MNwUNMjcwK6bEgCXwB73jpbK5gJAXS8ZMpbEMLJEP3E/edit#gid=0"",""'Game 3'!S25""),IMPORTRANGE(""https://docs.google.com/spreadsheets/d/1MNwUNMjcwK6bEgCXwB73jpbK5gJ"&amp;"AXS8ZMpbEMLJEP3E/edit#gid=0"",""'Game 3'!S25"")+50,IMPORTRANGE(""https://docs.google.com/spreadsheets/d/1MNwUNMjcwK6bEgCXwB73jpbK5gJAXS8ZMpbEMLJEP3E/edit#gid=0"",""'Game 3'!S25"")+100)))"),206.0)</f>
        <v>206</v>
      </c>
      <c r="N6" s="5">
        <f>IFERROR(__xludf.DUMMYFUNCTION("IF($A6=IMPORTRANGE(""https://docs.google.com/spreadsheets/d/1UrzyxmT40kDZwVrLMf1yyXfP-pyczRAw9Y8Rw-uXG3c/edit#gid=0"",""'Game 9'!B1""),IF(IMPORTRANGE(""https://docs.google.com/spreadsheets/d/1UrzyxmT40kDZwVrLMf1yyXfP-pyczRAw9Y8Rw-uXG3c/edit#gid=0"",""'Gam"&amp;"e 9'!J25"")&gt;IMPORTRANGE(""https://docs.google.com/spreadsheets/d/1UrzyxmT40kDZwVrLMf1yyXfP-pyczRAw9Y8Rw-uXG3c/edit#gid=0"",""'Game 9'!S25""),IMPORTRANGE(""https://docs.google.com/spreadsheets/d/1UrzyxmT40kDZwVrLMf1yyXfP-pyczRAw9Y8Rw-uXG3c/edit#gid=0"",""'"&amp;"Game 9'!J25"")+100,IF(IMPORTRANGE(""https://docs.google.com/spreadsheets/d/1UrzyxmT40kDZwVrLMf1yyXfP-pyczRAw9Y8Rw-uXG3c/edit#gid=0"",""'Game 9'!J25"")=IMPORTRANGE(""https://docs.google.com/spreadsheets/d/1UrzyxmT40kDZwVrLMf1yyXfP-pyczRAw9Y8Rw-uXG3c/edit#g"&amp;"id=0"",""'Game 9'!S25""),IMPORTRANGE(""https://docs.google.com/spreadsheets/d/1UrzyxmT40kDZwVrLMf1yyXfP-pyczRAw9Y8Rw-uXG3c/edit#gid=0"",""'Game 9'!J25"")+50,IMPORTRANGE(""https://docs.google.com/spreadsheets/d/1UrzyxmT40kDZwVrLMf1yyXfP-pyczRAw9Y8Rw-uXG3c/"&amp;"edit#gid=0"",""'Game 9'!J25""))),IF(IMPORTRANGE(""https://docs.google.com/spreadsheets/d/1UrzyxmT40kDZwVrLMf1yyXfP-pyczRAw9Y8Rw-uXG3c/edit#gid=0"",""'Game 9'!J25"")&gt;IMPORTRANGE(""https://docs.google.com/spreadsheets/d/1UrzyxmT40kDZwVrLMf1yyXfP-pyczRAw9Y8R"&amp;"w-uXG3c/edit#gid=0"",""'Game 9'!S25""),IMPORTRANGE(""https://docs.google.com/spreadsheets/d/1UrzyxmT40kDZwVrLMf1yyXfP-pyczRAw9Y8Rw-uXG3c/edit#gid=0"",""'Game 9'!S25""),IF(IMPORTRANGE(""https://docs.google.com/spreadsheets/d/1UrzyxmT40kDZwVrLMf1yyXfP-pyczR"&amp;"Aw9Y8Rw-uXG3c/edit#gid=0"",""'Game 9'!J25"")=IMPORTRANGE(""https://docs.google.com/spreadsheets/d/1UrzyxmT40kDZwVrLMf1yyXfP-pyczRAw9Y8Rw-uXG3c/edit#gid=0"",""'Game 9'!S25""),IMPORTRANGE(""https://docs.google.com/spreadsheets/d/1UrzyxmT40kDZwVrLMf1yyXfP-py"&amp;"czRAw9Y8Rw-uXG3c/edit#gid=0"",""'Game 9'!S25"")+50,IMPORTRANGE(""https://docs.google.com/spreadsheets/d/1UrzyxmT40kDZwVrLMf1yyXfP-pyczRAw9Y8Rw-uXG3c/edit#gid=0"",""'Game 9'!S25"")+100)))"),190.0)</f>
        <v>190</v>
      </c>
      <c r="O6" s="5">
        <f>IFERROR(__xludf.DUMMYFUNCTION("IF($A6=IMPORTRANGE(""https://docs.google.com/spreadsheets/d/1iyMhSYWifw-KGFtyeBpNxVZr4BhcV9hVZuShgJ9Ia0E/edit#gid=0"",""'Game 9'!B1""),IF(IMPORTRANGE(""https://docs.google.com/spreadsheets/d/1iyMhSYWifw-KGFtyeBpNxVZr4BhcV9hVZuShgJ9Ia0E/edit#gid=0"",""'Gam"&amp;"e 9'!J25"")&gt;IMPORTRANGE(""https://docs.google.com/spreadsheets/d/1iyMhSYWifw-KGFtyeBpNxVZr4BhcV9hVZuShgJ9Ia0E/edit#gid=0"",""'Game 9'!S25""),IMPORTRANGE(""https://docs.google.com/spreadsheets/d/1iyMhSYWifw-KGFtyeBpNxVZr4BhcV9hVZuShgJ9Ia0E/edit#gid=0"",""'"&amp;"Game 9'!J25"")+100,IF(IMPORTRANGE(""https://docs.google.com/spreadsheets/d/1iyMhSYWifw-KGFtyeBpNxVZr4BhcV9hVZuShgJ9Ia0E/edit#gid=0"",""'Game 9'!J25"")=IMPORTRANGE(""https://docs.google.com/spreadsheets/d/1iyMhSYWifw-KGFtyeBpNxVZr4BhcV9hVZuShgJ9Ia0E/edit#g"&amp;"id=0"",""'Game 9'!S25""),IMPORTRANGE(""https://docs.google.com/spreadsheets/d/1iyMhSYWifw-KGFtyeBpNxVZr4BhcV9hVZuShgJ9Ia0E/edit#gid=0"",""'Game 9'!J25"")+50,IMPORTRANGE(""https://docs.google.com/spreadsheets/d/1iyMhSYWifw-KGFtyeBpNxVZr4BhcV9hVZuShgJ9Ia0E/"&amp;"edit#gid=0"",""'Game 9'!J25""))),IF(IMPORTRANGE(""https://docs.google.com/spreadsheets/d/1iyMhSYWifw-KGFtyeBpNxVZr4BhcV9hVZuShgJ9Ia0E/edit#gid=0"",""'Game 9'!J25"")&gt;IMPORTRANGE(""https://docs.google.com/spreadsheets/d/1iyMhSYWifw-KGFtyeBpNxVZr4BhcV9hVZuSh"&amp;"gJ9Ia0E/edit#gid=0"",""'Game 9'!S25""),IMPORTRANGE(""https://docs.google.com/spreadsheets/d/1iyMhSYWifw-KGFtyeBpNxVZr4BhcV9hVZuShgJ9Ia0E/edit#gid=0"",""'Game 9'!S25""),IF(IMPORTRANGE(""https://docs.google.com/spreadsheets/d/1iyMhSYWifw-KGFtyeBpNxVZr4BhcV9"&amp;"hVZuShgJ9Ia0E/edit#gid=0"",""'Game 9'!J25"")=IMPORTRANGE(""https://docs.google.com/spreadsheets/d/1iyMhSYWifw-KGFtyeBpNxVZr4BhcV9hVZuShgJ9Ia0E/edit#gid=0"",""'Game 9'!S25""),IMPORTRANGE(""https://docs.google.com/spreadsheets/d/1iyMhSYWifw-KGFtyeBpNxVZr4Bh"&amp;"cV9hVZuShgJ9Ia0E/edit#gid=0"",""'Game 9'!S25"")+50,IMPORTRANGE(""https://docs.google.com/spreadsheets/d/1iyMhSYWifw-KGFtyeBpNxVZr4BhcV9hVZuShgJ9Ia0E/edit#gid=0"",""'Game 9'!S25"")+100)))"),214.0)</f>
        <v>214</v>
      </c>
      <c r="P6" s="5">
        <f>IFERROR(__xludf.DUMMYFUNCTION("IF($A6=IMPORTRANGE(""https://docs.google.com/spreadsheets/d/1sSbIK-vvHsSY0LghLJ9gcnW8Hec_ITI2tFmpeqI999A/edit#gid=0"",""'Game 4'!B1""),IF(IMPORTRANGE(""https://docs.google.com/spreadsheets/d/1sSbIK-vvHsSY0LghLJ9gcnW8Hec_ITI2tFmpeqI999A/edit#gid=0"",""'Gam"&amp;"e 4'!J25"")&gt;IMPORTRANGE(""https://docs.google.com/spreadsheets/d/1sSbIK-vvHsSY0LghLJ9gcnW8Hec_ITI2tFmpeqI999A/edit#gid=0"",""'Game 4'!S25""),IMPORTRANGE(""https://docs.google.com/spreadsheets/d/1sSbIK-vvHsSY0LghLJ9gcnW8Hec_ITI2tFmpeqI999A/edit#gid=0"",""'"&amp;"Game 4'!J25"")+100,IF(IMPORTRANGE(""https://docs.google.com/spreadsheets/d/1sSbIK-vvHsSY0LghLJ9gcnW8Hec_ITI2tFmpeqI999A/edit#gid=0"",""'Game 4'!J25"")=IMPORTRANGE(""https://docs.google.com/spreadsheets/d/1sSbIK-vvHsSY0LghLJ9gcnW8Hec_ITI2tFmpeqI999A/edit#g"&amp;"id=0"",""'Game 4'!S25""),IMPORTRANGE(""https://docs.google.com/spreadsheets/d/1sSbIK-vvHsSY0LghLJ9gcnW8Hec_ITI2tFmpeqI999A/edit#gid=0"",""'Game 4'!J25"")+50,IMPORTRANGE(""https://docs.google.com/spreadsheets/d/1sSbIK-vvHsSY0LghLJ9gcnW8Hec_ITI2tFmpeqI999A/"&amp;"edit#gid=0"",""'Game 4'!J25""))),IF(IMPORTRANGE(""https://docs.google.com/spreadsheets/d/1sSbIK-vvHsSY0LghLJ9gcnW8Hec_ITI2tFmpeqI999A/edit#gid=0"",""'Game 4'!J25"")&gt;IMPORTRANGE(""https://docs.google.com/spreadsheets/d/1sSbIK-vvHsSY0LghLJ9gcnW8Hec_ITI2tFmp"&amp;"eqI999A/edit#gid=0"",""'Game 4'!S25""),IMPORTRANGE(""https://docs.google.com/spreadsheets/d/1sSbIK-vvHsSY0LghLJ9gcnW8Hec_ITI2tFmpeqI999A/edit#gid=0"",""'Game 4'!S25""),IF(IMPORTRANGE(""https://docs.google.com/spreadsheets/d/1sSbIK-vvHsSY0LghLJ9gcnW8Hec_IT"&amp;"I2tFmpeqI999A/edit#gid=0"",""'Game 4'!J25"")=IMPORTRANGE(""https://docs.google.com/spreadsheets/d/1sSbIK-vvHsSY0LghLJ9gcnW8Hec_ITI2tFmpeqI999A/edit#gid=0"",""'Game 4'!S25""),IMPORTRANGE(""https://docs.google.com/spreadsheets/d/1sSbIK-vvHsSY0LghLJ9gcnW8Hec"&amp;"_ITI2tFmpeqI999A/edit#gid=0"",""'Game 4'!S25"")+50,IMPORTRANGE(""https://docs.google.com/spreadsheets/d/1sSbIK-vvHsSY0LghLJ9gcnW8Hec_ITI2tFmpeqI999A/edit#gid=0"",""'Game 4'!S25"")+100)))"),218.0)</f>
        <v>218</v>
      </c>
      <c r="Q6" s="35">
        <f t="shared" si="1"/>
        <v>2730</v>
      </c>
      <c r="R6" s="35">
        <f t="shared" si="2"/>
        <v>1</v>
      </c>
    </row>
    <row r="7">
      <c r="A7" s="32" t="s">
        <v>79</v>
      </c>
      <c r="B7" s="36">
        <v>12.0</v>
      </c>
      <c r="C7" s="36">
        <v>62.0</v>
      </c>
      <c r="D7" s="36">
        <v>24.0</v>
      </c>
      <c r="E7" s="36">
        <v>26.0</v>
      </c>
      <c r="F7" s="36">
        <v>144.0</v>
      </c>
      <c r="G7" s="37">
        <f>IFERROR(__xludf.DUMMYFUNCTION("IF($A7=IMPORTRANGE(""https://docs.google.com/spreadsheets/d/16J5ie7OD1E99qGO9lMDm8w5Yls-v190B7DTolJ5TmFc/edit#gid=1981724582"",""'Game 7'!B1""),IF(IMPORTRANGE(""https://docs.google.com/spreadsheets/d/16J5ie7OD1E99qGO9lMDm8w5Yls-v190B7DTolJ5TmFc/edit#gid=1"&amp;"981724582"",""'Game 7'!J25"")&gt;IMPORTRANGE(""https://docs.google.com/spreadsheets/d/16J5ie7OD1E99qGO9lMDm8w5Yls-v190B7DTolJ5TmFc/edit#gid=1981724582"",""'Game 7'!S25""),IMPORTRANGE(""https://docs.google.com/spreadsheets/d/16J5ie7OD1E99qGO9lMDm8w5Yls-v190B7"&amp;"DTolJ5TmFc/edit#gid=1981724582"",""'Game 7'!J25"")+100,IF(IMPORTRANGE(""https://docs.google.com/spreadsheets/d/16J5ie7OD1E99qGO9lMDm8w5Yls-v190B7DTolJ5TmFc/edit#gid=1981724582"",""'Game 7'!J25"")=IMPORTRANGE(""https://docs.google.com/spreadsheets/d/16J5ie"&amp;"7OD1E99qGO9lMDm8w5Yls-v190B7DTolJ5TmFc/edit#gid=1981724582"",""'Game 7'!S25""),IMPORTRANGE(""https://docs.google.com/spreadsheets/d/16J5ie7OD1E99qGO9lMDm8w5Yls-v190B7DTolJ5TmFc/edit#gid=1981724582"",""'Game 7'!J25"")+50,IMPORTRANGE(""https://docs.google.c"&amp;"om/spreadsheets/d/16J5ie7OD1E99qGO9lMDm8w5Yls-v190B7DTolJ5TmFc/edit#gid=1981724582"",""'Game 7'!J25""))),IF(IMPORTRANGE(""https://docs.google.com/spreadsheets/d/16J5ie7OD1E99qGO9lMDm8w5Yls-v190B7DTolJ5TmFc/edit#gid=1981724582"",""'Game 7'!J25"")&gt;IMPORTRAN"&amp;"GE(""https://docs.google.com/spreadsheets/d/16J5ie7OD1E99qGO9lMDm8w5Yls-v190B7DTolJ5TmFc/edit#gid=1981724582"",""'Game 7'!S25""),IMPORTRANGE(""https://docs.google.com/spreadsheets/d/16J5ie7OD1E99qGO9lMDm8w5Yls-v190B7DTolJ5TmFc/edit#gid=1981724582"",""'Gam"&amp;"e 7'!S25""),IF(IMPORTRANGE(""https://docs.google.com/spreadsheets/d/16J5ie7OD1E99qGO9lMDm8w5Yls-v190B7DTolJ5TmFc/edit#gid=1981724582"",""'Game 7'!J25"")=IMPORTRANGE(""https://docs.google.com/spreadsheets/d/16J5ie7OD1E99qGO9lMDm8w5Yls-v190B7DTolJ5TmFc/edit"&amp;"#gid=1981724582"",""'Game 7'!S25""),IMPORTRANGE(""https://docs.google.com/spreadsheets/d/16J5ie7OD1E99qGO9lMDm8w5Yls-v190B7DTolJ5TmFc/edit#gid=1981724582"",""'Game 7'!S25"")+50,IMPORTRANGE(""https://docs.google.com/spreadsheets/d/16J5ie7OD1E99qGO9lMDm8w5Y"&amp;"ls-v190B7DTolJ5TmFc/edit#gid=1981724582"",""'Game 7'!S25"")+100)))"),30.0)</f>
        <v>30</v>
      </c>
      <c r="H7" s="36">
        <v>22.0</v>
      </c>
      <c r="I7" s="7">
        <f>IFERROR(__xludf.DUMMYFUNCTION("IF($A7=IMPORTRANGE(""https://docs.google.com/spreadsheets/d/1CTYfdyRk_RFGM3I2iN9bKeD9zUPzEm1ajzml6VgwfIU/edit#gid=0"",""'Game 2'!B1""),IF(IMPORTRANGE(""https://docs.google.com/spreadsheets/d/1CTYfdyRk_RFGM3I2iN9bKeD9zUPzEm1ajzml6VgwfIU/edit#gid=0"",""'Gam"&amp;"e 2'!J25"")&gt;IMPORTRANGE(""https://docs.google.com/spreadsheets/d/1CTYfdyRk_RFGM3I2iN9bKeD9zUPzEm1ajzml6VgwfIU/edit#gid=0"",""'Game 2'!S25""),IMPORTRANGE(""https://docs.google.com/spreadsheets/d/1CTYfdyRk_RFGM3I2iN9bKeD9zUPzEm1ajzml6VgwfIU/edit#gid=0"",""'"&amp;"Game 2'!J25"")+100,IF(IMPORTRANGE(""https://docs.google.com/spreadsheets/d/1CTYfdyRk_RFGM3I2iN9bKeD9zUPzEm1ajzml6VgwfIU/edit#gid=0"",""'Game 2'!J25"")=IMPORTRANGE(""https://docs.google.com/spreadsheets/d/1CTYfdyRk_RFGM3I2iN9bKeD9zUPzEm1ajzml6VgwfIU/edit#g"&amp;"id=0"",""'Game 2'!S25""),IMPORTRANGE(""https://docs.google.com/spreadsheets/d/1CTYfdyRk_RFGM3I2iN9bKeD9zUPzEm1ajzml6VgwfIU/edit#gid=0"",""'Game 2'!J25"")+50,IMPORTRANGE(""https://docs.google.com/spreadsheets/d/1CTYfdyRk_RFGM3I2iN9bKeD9zUPzEm1ajzml6VgwfIU/"&amp;"edit#gid=0"",""'Game 2'!J25""))),IF(IMPORTRANGE(""https://docs.google.com/spreadsheets/d/1CTYfdyRk_RFGM3I2iN9bKeD9zUPzEm1ajzml6VgwfIU/edit#gid=0"",""'Game 2'!J25"")&gt;IMPORTRANGE(""https://docs.google.com/spreadsheets/d/1CTYfdyRk_RFGM3I2iN9bKeD9zUPzEm1ajzml"&amp;"6VgwfIU/edit#gid=0"",""'Game 2'!S25""),IMPORTRANGE(""https://docs.google.com/spreadsheets/d/1CTYfdyRk_RFGM3I2iN9bKeD9zUPzEm1ajzml6VgwfIU/edit#gid=0"",""'Game 2'!S25""),IF(IMPORTRANGE(""https://docs.google.com/spreadsheets/d/1CTYfdyRk_RFGM3I2iN9bKeD9zUPzEm"&amp;"1ajzml6VgwfIU/edit#gid=0"",""'Game 2'!J25"")=IMPORTRANGE(""https://docs.google.com/spreadsheets/d/1CTYfdyRk_RFGM3I2iN9bKeD9zUPzEm1ajzml6VgwfIU/edit#gid=0"",""'Game 2'!S25""),IMPORTRANGE(""https://docs.google.com/spreadsheets/d/1CTYfdyRk_RFGM3I2iN9bKeD9zUP"&amp;"zEm1ajzml6VgwfIU/edit#gid=0"",""'Game 2'!S25"")+50,IMPORTRANGE(""https://docs.google.com/spreadsheets/d/1CTYfdyRk_RFGM3I2iN9bKeD9zUPzEm1ajzml6VgwfIU/edit#gid=0"",""'Game 2'!S25"")+100)))"),156.0)</f>
        <v>156</v>
      </c>
      <c r="J7" s="7">
        <f>IFERROR(__xludf.DUMMYFUNCTION("IF($A7=IMPORTRANGE(""https://docs.google.com/spreadsheets/d/11NFkzOdQyW-OtxSDuGslNCgNjx7HUb2FU7KnlNnPMgY/edit#gid=0"",""'Game 10'!B1""),IF(IMPORTRANGE(""https://docs.google.com/spreadsheets/d/11NFkzOdQyW-OtxSDuGslNCgNjx7HUb2FU7KnlNnPMgY/edit#gid=0"",""'Ga"&amp;"me 10'!J25"")&gt;IMPORTRANGE(""https://docs.google.com/spreadsheets/d/11NFkzOdQyW-OtxSDuGslNCgNjx7HUb2FU7KnlNnPMgY/edit#gid=0"",""'Game 10'!S25""),IMPORTRANGE(""https://docs.google.com/spreadsheets/d/11NFkzOdQyW-OtxSDuGslNCgNjx7HUb2FU7KnlNnPMgY/edit#gid=0"","&amp;"""'Game 10'!J25"")+100,IF(IMPORTRANGE(""https://docs.google.com/spreadsheets/d/11NFkzOdQyW-OtxSDuGslNCgNjx7HUb2FU7KnlNnPMgY/edit#gid=0"",""'Game 10'!J25"")=IMPORTRANGE(""https://docs.google.com/spreadsheets/d/11NFkzOdQyW-OtxSDuGslNCgNjx7HUb2FU7KnlNnPMgY/e"&amp;"dit#gid=0"",""'Game 10'!S25""),IMPORTRANGE(""https://docs.google.com/spreadsheets/d/11NFkzOdQyW-OtxSDuGslNCgNjx7HUb2FU7KnlNnPMgY/edit#gid=0"",""'Game 10'!J25"")+50,IMPORTRANGE(""https://docs.google.com/spreadsheets/d/11NFkzOdQyW-OtxSDuGslNCgNjx7HUb2FU7Knl"&amp;"NnPMgY/edit#gid=0"",""'Game 10'!J25""))),IF(IMPORTRANGE(""https://docs.google.com/spreadsheets/d/11NFkzOdQyW-OtxSDuGslNCgNjx7HUb2FU7KnlNnPMgY/edit#gid=0"",""'Game 10'!J25"")&gt;IMPORTRANGE(""https://docs.google.com/spreadsheets/d/11NFkzOdQyW-OtxSDuGslNCgNjx7"&amp;"HUb2FU7KnlNnPMgY/edit#gid=0"",""'Game 10'!S25""),IMPORTRANGE(""https://docs.google.com/spreadsheets/d/11NFkzOdQyW-OtxSDuGslNCgNjx7HUb2FU7KnlNnPMgY/edit#gid=0"",""'Game 10'!S25""),IF(IMPORTRANGE(""https://docs.google.com/spreadsheets/d/11NFkzOdQyW-OtxSDuGs"&amp;"lNCgNjx7HUb2FU7KnlNnPMgY/edit#gid=0"",""'Game 10'!J25"")=IMPORTRANGE(""https://docs.google.com/spreadsheets/d/11NFkzOdQyW-OtxSDuGslNCgNjx7HUb2FU7KnlNnPMgY/edit#gid=0"",""'Game 10'!S25""),IMPORTRANGE(""https://docs.google.com/spreadsheets/d/11NFkzOdQyW-Otx"&amp;"SDuGslNCgNjx7HUb2FU7KnlNnPMgY/edit#gid=0"",""'Game 10'!S25"")+50,IMPORTRANGE(""https://docs.google.com/spreadsheets/d/11NFkzOdQyW-OtxSDuGslNCgNjx7HUb2FU7KnlNnPMgY/edit#gid=0"",""'Game 10'!S25"")+100)))"),168.0)</f>
        <v>168</v>
      </c>
      <c r="K7" s="7">
        <f>IFERROR(__xludf.DUMMYFUNCTION("IF($A7=IMPORTRANGE(""https://docs.google.com/spreadsheets/d/1CLg5-jaE4ta0-u4oE1qbBplQ5Mf3Oj9ONFgL0zJ7Ol4/edit#gid=0"",""'Game 8'!B1""),IF(IMPORTRANGE(""https://docs.google.com/spreadsheets/d/1CLg5-jaE4ta0-u4oE1qbBplQ5Mf3Oj9ONFgL0zJ7Ol4/edit#gid=0"",""'Gam"&amp;"e 8'!J25"")&gt;IMPORTRANGE(""https://docs.google.com/spreadsheets/d/1CLg5-jaE4ta0-u4oE1qbBplQ5Mf3Oj9ONFgL0zJ7Ol4/edit#gid=0"",""'Game 8'!S25""),IMPORTRANGE(""https://docs.google.com/spreadsheets/d/1CLg5-jaE4ta0-u4oE1qbBplQ5Mf3Oj9ONFgL0zJ7Ol4/edit#gid=0"",""'"&amp;"Game 8'!J25"")+100,IF(IMPORTRANGE(""https://docs.google.com/spreadsheets/d/1CLg5-jaE4ta0-u4oE1qbBplQ5Mf3Oj9ONFgL0zJ7Ol4/edit#gid=0"",""'Game 8'!J25"")=IMPORTRANGE(""https://docs.google.com/spreadsheets/d/1CLg5-jaE4ta0-u4oE1qbBplQ5Mf3Oj9ONFgL0zJ7Ol4/edit#g"&amp;"id=0"",""'Game 8'!S25""),IMPORTRANGE(""https://docs.google.com/spreadsheets/d/1CLg5-jaE4ta0-u4oE1qbBplQ5Mf3Oj9ONFgL0zJ7Ol4/edit#gid=0"",""'Game 8'!J25"")+50,IMPORTRANGE(""https://docs.google.com/spreadsheets/d/1CLg5-jaE4ta0-u4oE1qbBplQ5Mf3Oj9ONFgL0zJ7Ol4/"&amp;"edit#gid=0"",""'Game 8'!J25""))),IF(IMPORTRANGE(""https://docs.google.com/spreadsheets/d/1CLg5-jaE4ta0-u4oE1qbBplQ5Mf3Oj9ONFgL0zJ7Ol4/edit#gid=0"",""'Game 8'!J25"")&gt;IMPORTRANGE(""https://docs.google.com/spreadsheets/d/1CLg5-jaE4ta0-u4oE1qbBplQ5Mf3Oj9ONFgL"&amp;"0zJ7Ol4/edit#gid=0"",""'Game 8'!S25""),IMPORTRANGE(""https://docs.google.com/spreadsheets/d/1CLg5-jaE4ta0-u4oE1qbBplQ5Mf3Oj9ONFgL0zJ7Ol4/edit#gid=0"",""'Game 8'!S25""),IF(IMPORTRANGE(""https://docs.google.com/spreadsheets/d/1CLg5-jaE4ta0-u4oE1qbBplQ5Mf3Oj"&amp;"9ONFgL0zJ7Ol4/edit#gid=0"",""'Game 8'!J25"")=IMPORTRANGE(""https://docs.google.com/spreadsheets/d/1CLg5-jaE4ta0-u4oE1qbBplQ5Mf3Oj9ONFgL0zJ7Ol4/edit#gid=0"",""'Game 8'!S25""),IMPORTRANGE(""https://docs.google.com/spreadsheets/d/1CLg5-jaE4ta0-u4oE1qbBplQ5Mf"&amp;"3Oj9ONFgL0zJ7Ol4/edit#gid=0"",""'Game 8'!S25"")+50,IMPORTRANGE(""https://docs.google.com/spreadsheets/d/1CLg5-jaE4ta0-u4oE1qbBplQ5Mf3Oj9ONFgL0zJ7Ol4/edit#gid=0"",""'Game 8'!S25"")+100)))"),68.0)</f>
        <v>68</v>
      </c>
      <c r="L7" s="7">
        <f>IFERROR(__xludf.DUMMYFUNCTION("IF($A7=IMPORTRANGE(""https://docs.google.com/spreadsheets/d/1CeexgK4KxWj3k_7nql_k8-RPxXMwTJyB4Q3vAASeDlA/edit#gid=0"",""'Game 8'!B1""),IF(IMPORTRANGE(""https://docs.google.com/spreadsheets/d/1CeexgK4KxWj3k_7nql_k8-RPxXMwTJyB4Q3vAASeDlA/edit#gid=0"",""'Gam"&amp;"e 8'!J25"")&gt;IMPORTRANGE(""https://docs.google.com/spreadsheets/d/1CeexgK4KxWj3k_7nql_k8-RPxXMwTJyB4Q3vAASeDlA/edit#gid=0"",""'Game 8'!S25""),IMPORTRANGE(""https://docs.google.com/spreadsheets/d/1CeexgK4KxWj3k_7nql_k8-RPxXMwTJyB4Q3vAASeDlA/edit#gid=0"",""'"&amp;"Game 8'!J25"")+100,IF(IMPORTRANGE(""https://docs.google.com/spreadsheets/d/1CeexgK4KxWj3k_7nql_k8-RPxXMwTJyB4Q3vAASeDlA/edit#gid=0"",""'Game 8'!J25"")=IMPORTRANGE(""https://docs.google.com/spreadsheets/d/1CeexgK4KxWj3k_7nql_k8-RPxXMwTJyB4Q3vAASeDlA/edit#g"&amp;"id=0"",""'Game 8'!S25""),IMPORTRANGE(""https://docs.google.com/spreadsheets/d/1CeexgK4KxWj3k_7nql_k8-RPxXMwTJyB4Q3vAASeDlA/edit#gid=0"",""'Game 8'!J25"")+50,IMPORTRANGE(""https://docs.google.com/spreadsheets/d/1CeexgK4KxWj3k_7nql_k8-RPxXMwTJyB4Q3vAASeDlA/"&amp;"edit#gid=0"",""'Game 8'!J25""))),IF(IMPORTRANGE(""https://docs.google.com/spreadsheets/d/1CeexgK4KxWj3k_7nql_k8-RPxXMwTJyB4Q3vAASeDlA/edit#gid=0"",""'Game 8'!J25"")&gt;IMPORTRANGE(""https://docs.google.com/spreadsheets/d/1CeexgK4KxWj3k_7nql_k8-RPxXMwTJyB4Q3v"&amp;"AASeDlA/edit#gid=0"",""'Game 8'!S25""),IMPORTRANGE(""https://docs.google.com/spreadsheets/d/1CeexgK4KxWj3k_7nql_k8-RPxXMwTJyB4Q3vAASeDlA/edit#gid=0"",""'Game 8'!S25""),IF(IMPORTRANGE(""https://docs.google.com/spreadsheets/d/1CeexgK4KxWj3k_7nql_k8-RPxXMwTJ"&amp;"yB4Q3vAASeDlA/edit#gid=0"",""'Game 8'!J25"")=IMPORTRANGE(""https://docs.google.com/spreadsheets/d/1CeexgK4KxWj3k_7nql_k8-RPxXMwTJyB4Q3vAASeDlA/edit#gid=0"",""'Game 8'!S25""),IMPORTRANGE(""https://docs.google.com/spreadsheets/d/1CeexgK4KxWj3k_7nql_k8-RPxXM"&amp;"wTJyB4Q3vAASeDlA/edit#gid=0"",""'Game 8'!S25"")+50,IMPORTRANGE(""https://docs.google.com/spreadsheets/d/1CeexgK4KxWj3k_7nql_k8-RPxXMwTJyB4Q3vAASeDlA/edit#gid=0"",""'Game 8'!S25"")+100)))"),32.0)</f>
        <v>32</v>
      </c>
      <c r="M7" s="7">
        <f>IFERROR(__xludf.DUMMYFUNCTION("IF($A7=IMPORTRANGE(""https://docs.google.com/spreadsheets/d/1MNwUNMjcwK6bEgCXwB73jpbK5gJAXS8ZMpbEMLJEP3E/edit#gid=0"",""'Game 9'!B1""),IF(IMPORTRANGE(""https://docs.google.com/spreadsheets/d/1MNwUNMjcwK6bEgCXwB73jpbK5gJAXS8ZMpbEMLJEP3E/edit#gid=0"",""'Gam"&amp;"e 9'!J25"")&gt;IMPORTRANGE(""https://docs.google.com/spreadsheets/d/1MNwUNMjcwK6bEgCXwB73jpbK5gJAXS8ZMpbEMLJEP3E/edit#gid=0"",""'Game 9'!S25""),IMPORTRANGE(""https://docs.google.com/spreadsheets/d/1MNwUNMjcwK6bEgCXwB73jpbK5gJAXS8ZMpbEMLJEP3E/edit#gid=0"",""'"&amp;"Game 9'!J25"")+100,IF(IMPORTRANGE(""https://docs.google.com/spreadsheets/d/1MNwUNMjcwK6bEgCXwB73jpbK5gJAXS8ZMpbEMLJEP3E/edit#gid=0"",""'Game 9'!J25"")=IMPORTRANGE(""https://docs.google.com/spreadsheets/d/1MNwUNMjcwK6bEgCXwB73jpbK5gJAXS8ZMpbEMLJEP3E/edit#g"&amp;"id=0"",""'Game 9'!S25""),IMPORTRANGE(""https://docs.google.com/spreadsheets/d/1MNwUNMjcwK6bEgCXwB73jpbK5gJAXS8ZMpbEMLJEP3E/edit#gid=0"",""'Game 9'!J25"")+50,IMPORTRANGE(""https://docs.google.com/spreadsheets/d/1MNwUNMjcwK6bEgCXwB73jpbK5gJAXS8ZMpbEMLJEP3E/"&amp;"edit#gid=0"",""'Game 9'!J25""))),IF(IMPORTRANGE(""https://docs.google.com/spreadsheets/d/1MNwUNMjcwK6bEgCXwB73jpbK5gJAXS8ZMpbEMLJEP3E/edit#gid=0"",""'Game 9'!J25"")&gt;IMPORTRANGE(""https://docs.google.com/spreadsheets/d/1MNwUNMjcwK6bEgCXwB73jpbK5gJAXS8ZMpbE"&amp;"MLJEP3E/edit#gid=0"",""'Game 9'!S25""),IMPORTRANGE(""https://docs.google.com/spreadsheets/d/1MNwUNMjcwK6bEgCXwB73jpbK5gJAXS8ZMpbEMLJEP3E/edit#gid=0"",""'Game 9'!S25""),IF(IMPORTRANGE(""https://docs.google.com/spreadsheets/d/1MNwUNMjcwK6bEgCXwB73jpbK5gJAXS"&amp;"8ZMpbEMLJEP3E/edit#gid=0"",""'Game 9'!J25"")=IMPORTRANGE(""https://docs.google.com/spreadsheets/d/1MNwUNMjcwK6bEgCXwB73jpbK5gJAXS8ZMpbEMLJEP3E/edit#gid=0"",""'Game 9'!S25""),IMPORTRANGE(""https://docs.google.com/spreadsheets/d/1MNwUNMjcwK6bEgCXwB73jpbK5gJ"&amp;"AXS8ZMpbEMLJEP3E/edit#gid=0"",""'Game 9'!S25"")+50,IMPORTRANGE(""https://docs.google.com/spreadsheets/d/1MNwUNMjcwK6bEgCXwB73jpbK5gJAXS8ZMpbEMLJEP3E/edit#gid=0"",""'Game 9'!S25"")+100)))"),154.0)</f>
        <v>154</v>
      </c>
      <c r="N7" s="7">
        <f>IFERROR(__xludf.DUMMYFUNCTION("IF($A7=IMPORTRANGE(""https://docs.google.com/spreadsheets/d/1UrzyxmT40kDZwVrLMf1yyXfP-pyczRAw9Y8Rw-uXG3c/edit#gid=0"",""'Game 10'!B1""),IF(IMPORTRANGE(""https://docs.google.com/spreadsheets/d/1UrzyxmT40kDZwVrLMf1yyXfP-pyczRAw9Y8Rw-uXG3c/edit#gid=0"",""'Ga"&amp;"me 10'!J25"")&gt;IMPORTRANGE(""https://docs.google.com/spreadsheets/d/1UrzyxmT40kDZwVrLMf1yyXfP-pyczRAw9Y8Rw-uXG3c/edit#gid=0"",""'Game 10'!S25""),IMPORTRANGE(""https://docs.google.com/spreadsheets/d/1UrzyxmT40kDZwVrLMf1yyXfP-pyczRAw9Y8Rw-uXG3c/edit#gid=0"","&amp;"""'Game 10'!J25"")+100,IF(IMPORTRANGE(""https://docs.google.com/spreadsheets/d/1UrzyxmT40kDZwVrLMf1yyXfP-pyczRAw9Y8Rw-uXG3c/edit#gid=0"",""'Game 10'!J25"")=IMPORTRANGE(""https://docs.google.com/spreadsheets/d/1UrzyxmT40kDZwVrLMf1yyXfP-pyczRAw9Y8Rw-uXG3c/e"&amp;"dit#gid=0"",""'Game 10'!S25""),IMPORTRANGE(""https://docs.google.com/spreadsheets/d/1UrzyxmT40kDZwVrLMf1yyXfP-pyczRAw9Y8Rw-uXG3c/edit#gid=0"",""'Game 10'!J25"")+50,IMPORTRANGE(""https://docs.google.com/spreadsheets/d/1UrzyxmT40kDZwVrLMf1yyXfP-pyczRAw9Y8Rw"&amp;"-uXG3c/edit#gid=0"",""'Game 10'!J25""))),IF(IMPORTRANGE(""https://docs.google.com/spreadsheets/d/1UrzyxmT40kDZwVrLMf1yyXfP-pyczRAw9Y8Rw-uXG3c/edit#gid=0"",""'Game 10'!J25"")&gt;IMPORTRANGE(""https://docs.google.com/spreadsheets/d/1UrzyxmT40kDZwVrLMf1yyXfP-py"&amp;"czRAw9Y8Rw-uXG3c/edit#gid=0"",""'Game 10'!S25""),IMPORTRANGE(""https://docs.google.com/spreadsheets/d/1UrzyxmT40kDZwVrLMf1yyXfP-pyczRAw9Y8Rw-uXG3c/edit#gid=0"",""'Game 10'!S25""),IF(IMPORTRANGE(""https://docs.google.com/spreadsheets/d/1UrzyxmT40kDZwVrLMf1"&amp;"yyXfP-pyczRAw9Y8Rw-uXG3c/edit#gid=0"",""'Game 10'!J25"")=IMPORTRANGE(""https://docs.google.com/spreadsheets/d/1UrzyxmT40kDZwVrLMf1yyXfP-pyczRAw9Y8Rw-uXG3c/edit#gid=0"",""'Game 10'!S25""),IMPORTRANGE(""https://docs.google.com/spreadsheets/d/1UrzyxmT40kDZwV"&amp;"rLMf1yyXfP-pyczRAw9Y8Rw-uXG3c/edit#gid=0"",""'Game 10'!S25"")+50,IMPORTRANGE(""https://docs.google.com/spreadsheets/d/1UrzyxmT40kDZwVrLMf1yyXfP-pyczRAw9Y8Rw-uXG3c/edit#gid=0"",""'Game 10'!S25"")+100)))"),44.0)</f>
        <v>44</v>
      </c>
      <c r="O7" s="7">
        <f>IFERROR(__xludf.DUMMYFUNCTION("IF($A7=IMPORTRANGE(""https://docs.google.com/spreadsheets/d/1iyMhSYWifw-KGFtyeBpNxVZr4BhcV9hVZuShgJ9Ia0E/edit#gid=0"",""'Game 3'!B1""),IF(IMPORTRANGE(""https://docs.google.com/spreadsheets/d/1iyMhSYWifw-KGFtyeBpNxVZr4BhcV9hVZuShgJ9Ia0E/edit#gid=0"",""'Gam"&amp;"e 3'!J25"")&gt;IMPORTRANGE(""https://docs.google.com/spreadsheets/d/1iyMhSYWifw-KGFtyeBpNxVZr4BhcV9hVZuShgJ9Ia0E/edit#gid=0"",""'Game 3'!S25""),IMPORTRANGE(""https://docs.google.com/spreadsheets/d/1iyMhSYWifw-KGFtyeBpNxVZr4BhcV9hVZuShgJ9Ia0E/edit#gid=0"",""'"&amp;"Game 3'!J25"")+100,IF(IMPORTRANGE(""https://docs.google.com/spreadsheets/d/1iyMhSYWifw-KGFtyeBpNxVZr4BhcV9hVZuShgJ9Ia0E/edit#gid=0"",""'Game 3'!J25"")=IMPORTRANGE(""https://docs.google.com/spreadsheets/d/1iyMhSYWifw-KGFtyeBpNxVZr4BhcV9hVZuShgJ9Ia0E/edit#g"&amp;"id=0"",""'Game 3'!S25""),IMPORTRANGE(""https://docs.google.com/spreadsheets/d/1iyMhSYWifw-KGFtyeBpNxVZr4BhcV9hVZuShgJ9Ia0E/edit#gid=0"",""'Game 3'!J25"")+50,IMPORTRANGE(""https://docs.google.com/spreadsheets/d/1iyMhSYWifw-KGFtyeBpNxVZr4BhcV9hVZuShgJ9Ia0E/"&amp;"edit#gid=0"",""'Game 3'!J25""))),IF(IMPORTRANGE(""https://docs.google.com/spreadsheets/d/1iyMhSYWifw-KGFtyeBpNxVZr4BhcV9hVZuShgJ9Ia0E/edit#gid=0"",""'Game 3'!J25"")&gt;IMPORTRANGE(""https://docs.google.com/spreadsheets/d/1iyMhSYWifw-KGFtyeBpNxVZr4BhcV9hVZuSh"&amp;"gJ9Ia0E/edit#gid=0"",""'Game 3'!S25""),IMPORTRANGE(""https://docs.google.com/spreadsheets/d/1iyMhSYWifw-KGFtyeBpNxVZr4BhcV9hVZuShgJ9Ia0E/edit#gid=0"",""'Game 3'!S25""),IF(IMPORTRANGE(""https://docs.google.com/spreadsheets/d/1iyMhSYWifw-KGFtyeBpNxVZr4BhcV9"&amp;"hVZuShgJ9Ia0E/edit#gid=0"",""'Game 3'!J25"")=IMPORTRANGE(""https://docs.google.com/spreadsheets/d/1iyMhSYWifw-KGFtyeBpNxVZr4BhcV9hVZuShgJ9Ia0E/edit#gid=0"",""'Game 3'!S25""),IMPORTRANGE(""https://docs.google.com/spreadsheets/d/1iyMhSYWifw-KGFtyeBpNxVZr4Bh"&amp;"cV9hVZuShgJ9Ia0E/edit#gid=0"",""'Game 3'!S25"")+50,IMPORTRANGE(""https://docs.google.com/spreadsheets/d/1iyMhSYWifw-KGFtyeBpNxVZr4BhcV9hVZuShgJ9Ia0E/edit#gid=0"",""'Game 3'!S25"")+100)))"),178.0)</f>
        <v>178</v>
      </c>
      <c r="P7" s="7">
        <f>IFERROR(__xludf.DUMMYFUNCTION("IF($A7=IMPORTRANGE(""https://docs.google.com/spreadsheets/d/1sSbIK-vvHsSY0LghLJ9gcnW8Hec_ITI2tFmpeqI999A/edit#gid=0"",""'Game 5'!B1""),IF(IMPORTRANGE(""https://docs.google.com/spreadsheets/d/1sSbIK-vvHsSY0LghLJ9gcnW8Hec_ITI2tFmpeqI999A/edit#gid=0"",""'Gam"&amp;"e 5'!J25"")&gt;IMPORTRANGE(""https://docs.google.com/spreadsheets/d/1sSbIK-vvHsSY0LghLJ9gcnW8Hec_ITI2tFmpeqI999A/edit#gid=0"",""'Game 5'!S25""),IMPORTRANGE(""https://docs.google.com/spreadsheets/d/1sSbIK-vvHsSY0LghLJ9gcnW8Hec_ITI2tFmpeqI999A/edit#gid=0"",""'"&amp;"Game 5'!J25"")+100,IF(IMPORTRANGE(""https://docs.google.com/spreadsheets/d/1sSbIK-vvHsSY0LghLJ9gcnW8Hec_ITI2tFmpeqI999A/edit#gid=0"",""'Game 5'!J25"")=IMPORTRANGE(""https://docs.google.com/spreadsheets/d/1sSbIK-vvHsSY0LghLJ9gcnW8Hec_ITI2tFmpeqI999A/edit#g"&amp;"id=0"",""'Game 5'!S25""),IMPORTRANGE(""https://docs.google.com/spreadsheets/d/1sSbIK-vvHsSY0LghLJ9gcnW8Hec_ITI2tFmpeqI999A/edit#gid=0"",""'Game 5'!J25"")+50,IMPORTRANGE(""https://docs.google.com/spreadsheets/d/1sSbIK-vvHsSY0LghLJ9gcnW8Hec_ITI2tFmpeqI999A/"&amp;"edit#gid=0"",""'Game 5'!J25""))),IF(IMPORTRANGE(""https://docs.google.com/spreadsheets/d/1sSbIK-vvHsSY0LghLJ9gcnW8Hec_ITI2tFmpeqI999A/edit#gid=0"",""'Game 5'!J25"")&gt;IMPORTRANGE(""https://docs.google.com/spreadsheets/d/1sSbIK-vvHsSY0LghLJ9gcnW8Hec_ITI2tFmp"&amp;"eqI999A/edit#gid=0"",""'Game 5'!S25""),IMPORTRANGE(""https://docs.google.com/spreadsheets/d/1sSbIK-vvHsSY0LghLJ9gcnW8Hec_ITI2tFmpeqI999A/edit#gid=0"",""'Game 5'!S25""),IF(IMPORTRANGE(""https://docs.google.com/spreadsheets/d/1sSbIK-vvHsSY0LghLJ9gcnW8Hec_IT"&amp;"I2tFmpeqI999A/edit#gid=0"",""'Game 5'!J25"")=IMPORTRANGE(""https://docs.google.com/spreadsheets/d/1sSbIK-vvHsSY0LghLJ9gcnW8Hec_ITI2tFmpeqI999A/edit#gid=0"",""'Game 5'!S25""),IMPORTRANGE(""https://docs.google.com/spreadsheets/d/1sSbIK-vvHsSY0LghLJ9gcnW8Hec"&amp;"_ITI2tFmpeqI999A/edit#gid=0"",""'Game 5'!S25"")+50,IMPORTRANGE(""https://docs.google.com/spreadsheets/d/1sSbIK-vvHsSY0LghLJ9gcnW8Hec_ITI2tFmpeqI999A/edit#gid=0"",""'Game 5'!S25"")+100)))"),34.0)</f>
        <v>34</v>
      </c>
      <c r="Q7" s="37">
        <f t="shared" si="1"/>
        <v>1154</v>
      </c>
      <c r="R7" s="37">
        <f t="shared" si="2"/>
        <v>16</v>
      </c>
    </row>
    <row r="8">
      <c r="A8" s="33" t="s">
        <v>91</v>
      </c>
      <c r="B8" s="34">
        <v>30.0</v>
      </c>
      <c r="C8" s="34">
        <v>100.0</v>
      </c>
      <c r="D8" s="34">
        <v>134.0</v>
      </c>
      <c r="E8" s="34">
        <v>26.0</v>
      </c>
      <c r="F8" s="34">
        <v>150.0</v>
      </c>
      <c r="G8" s="35">
        <f>IFERROR(__xludf.DUMMYFUNCTION("IF($A8=IMPORTRANGE(""https://docs.google.com/spreadsheets/d/16J5ie7OD1E99qGO9lMDm8w5Yls-v190B7DTolJ5TmFc/edit#gid=1981724582"",""'Game 12'!B1""),IF(IMPORTRANGE(""https://docs.google.com/spreadsheets/d/16J5ie7OD1E99qGO9lMDm8w5Yls-v190B7DTolJ5TmFc/edit#gid="&amp;"1981724582"",""'Game 12'!J25"")&gt;IMPORTRANGE(""https://docs.google.com/spreadsheets/d/16J5ie7OD1E99qGO9lMDm8w5Yls-v190B7DTolJ5TmFc/edit#gid=1981724582"",""'Game 12'!S25""),IMPORTRANGE(""https://docs.google.com/spreadsheets/d/16J5ie7OD1E99qGO9lMDm8w5Yls-v19"&amp;"0B7DTolJ5TmFc/edit#gid=1981724582"",""'Game 12'!J25"")+100,IF(IMPORTRANGE(""https://docs.google.com/spreadsheets/d/16J5ie7OD1E99qGO9lMDm8w5Yls-v190B7DTolJ5TmFc/edit#gid=1981724582"",""'Game 12'!J25"")=IMPORTRANGE(""https://docs.google.com/spreadsheets/d/1"&amp;"6J5ie7OD1E99qGO9lMDm8w5Yls-v190B7DTolJ5TmFc/edit#gid=1981724582"",""'Game 12'!S25""),IMPORTRANGE(""https://docs.google.com/spreadsheets/d/16J5ie7OD1E99qGO9lMDm8w5Yls-v190B7DTolJ5TmFc/edit#gid=1981724582"",""'Game 12'!J25"")+50,IMPORTRANGE(""https://docs.g"&amp;"oogle.com/spreadsheets/d/16J5ie7OD1E99qGO9lMDm8w5Yls-v190B7DTolJ5TmFc/edit#gid=1981724582"",""'Game 12'!J25""))),IF(IMPORTRANGE(""https://docs.google.com/spreadsheets/d/16J5ie7OD1E99qGO9lMDm8w5Yls-v190B7DTolJ5TmFc/edit#gid=1981724582"",""'Game 12'!J25"")&gt;"&amp;"IMPORTRANGE(""https://docs.google.com/spreadsheets/d/16J5ie7OD1E99qGO9lMDm8w5Yls-v190B7DTolJ5TmFc/edit#gid=1981724582"",""'Game 12'!S25""),IMPORTRANGE(""https://docs.google.com/spreadsheets/d/16J5ie7OD1E99qGO9lMDm8w5Yls-v190B7DTolJ5TmFc/edit#gid=198172458"&amp;"2"",""'Game 12'!S25""),IF(IMPORTRANGE(""https://docs.google.com/spreadsheets/d/16J5ie7OD1E99qGO9lMDm8w5Yls-v190B7DTolJ5TmFc/edit#gid=1981724582"",""'Game 12'!J25"")=IMPORTRANGE(""https://docs.google.com/spreadsheets/d/16J5ie7OD1E99qGO9lMDm8w5Yls-v190B7DTo"&amp;"lJ5TmFc/edit#gid=1981724582"",""'Game 12'!S25""),IMPORTRANGE(""https://docs.google.com/spreadsheets/d/16J5ie7OD1E99qGO9lMDm8w5Yls-v190B7DTolJ5TmFc/edit#gid=1981724582"",""'Game 12'!S25"")+50,IMPORTRANGE(""https://docs.google.com/spreadsheets/d/16J5ie7OD1E"&amp;"99qGO9lMDm8w5Yls-v190B7DTolJ5TmFc/edit#gid=1981724582"",""'Game 12'!S25"")+100)))"),20.0)</f>
        <v>20</v>
      </c>
      <c r="H8" s="34">
        <v>30.0</v>
      </c>
      <c r="I8" s="5">
        <f>IFERROR(__xludf.DUMMYFUNCTION("IF($A8=IMPORTRANGE(""https://docs.google.com/spreadsheets/d/1CTYfdyRk_RFGM3I2iN9bKeD9zUPzEm1ajzml6VgwfIU/edit#gid=0"",""'Game 2'!B1""),IF(IMPORTRANGE(""https://docs.google.com/spreadsheets/d/1CTYfdyRk_RFGM3I2iN9bKeD9zUPzEm1ajzml6VgwfIU/edit#gid=0"",""'Gam"&amp;"e 2'!J25"")&gt;IMPORTRANGE(""https://docs.google.com/spreadsheets/d/1CTYfdyRk_RFGM3I2iN9bKeD9zUPzEm1ajzml6VgwfIU/edit#gid=0"",""'Game 2'!S25""),IMPORTRANGE(""https://docs.google.com/spreadsheets/d/1CTYfdyRk_RFGM3I2iN9bKeD9zUPzEm1ajzml6VgwfIU/edit#gid=0"",""'"&amp;"Game 2'!J25"")+100,IF(IMPORTRANGE(""https://docs.google.com/spreadsheets/d/1CTYfdyRk_RFGM3I2iN9bKeD9zUPzEm1ajzml6VgwfIU/edit#gid=0"",""'Game 2'!J25"")=IMPORTRANGE(""https://docs.google.com/spreadsheets/d/1CTYfdyRk_RFGM3I2iN9bKeD9zUPzEm1ajzml6VgwfIU/edit#g"&amp;"id=0"",""'Game 2'!S25""),IMPORTRANGE(""https://docs.google.com/spreadsheets/d/1CTYfdyRk_RFGM3I2iN9bKeD9zUPzEm1ajzml6VgwfIU/edit#gid=0"",""'Game 2'!J25"")+50,IMPORTRANGE(""https://docs.google.com/spreadsheets/d/1CTYfdyRk_RFGM3I2iN9bKeD9zUPzEm1ajzml6VgwfIU/"&amp;"edit#gid=0"",""'Game 2'!J25""))),IF(IMPORTRANGE(""https://docs.google.com/spreadsheets/d/1CTYfdyRk_RFGM3I2iN9bKeD9zUPzEm1ajzml6VgwfIU/edit#gid=0"",""'Game 2'!J25"")&gt;IMPORTRANGE(""https://docs.google.com/spreadsheets/d/1CTYfdyRk_RFGM3I2iN9bKeD9zUPzEm1ajzml"&amp;"6VgwfIU/edit#gid=0"",""'Game 2'!S25""),IMPORTRANGE(""https://docs.google.com/spreadsheets/d/1CTYfdyRk_RFGM3I2iN9bKeD9zUPzEm1ajzml6VgwfIU/edit#gid=0"",""'Game 2'!S25""),IF(IMPORTRANGE(""https://docs.google.com/spreadsheets/d/1CTYfdyRk_RFGM3I2iN9bKeD9zUPzEm"&amp;"1ajzml6VgwfIU/edit#gid=0"",""'Game 2'!J25"")=IMPORTRANGE(""https://docs.google.com/spreadsheets/d/1CTYfdyRk_RFGM3I2iN9bKeD9zUPzEm1ajzml6VgwfIU/edit#gid=0"",""'Game 2'!S25""),IMPORTRANGE(""https://docs.google.com/spreadsheets/d/1CTYfdyRk_RFGM3I2iN9bKeD9zUP"&amp;"zEm1ajzml6VgwfIU/edit#gid=0"",""'Game 2'!S25"")+50,IMPORTRANGE(""https://docs.google.com/spreadsheets/d/1CTYfdyRk_RFGM3I2iN9bKeD9zUPzEm1ajzml6VgwfIU/edit#gid=0"",""'Game 2'!S25"")+100)))"),32.0)</f>
        <v>32</v>
      </c>
      <c r="J8" s="5">
        <f>IFERROR(__xludf.DUMMYFUNCTION("IF($A8=IMPORTRANGE(""https://docs.google.com/spreadsheets/d/11NFkzOdQyW-OtxSDuGslNCgNjx7HUb2FU7KnlNnPMgY/edit#gid=0"",""'Game 2'!B1""),IF(IMPORTRANGE(""https://docs.google.com/spreadsheets/d/11NFkzOdQyW-OtxSDuGslNCgNjx7HUb2FU7KnlNnPMgY/edit#gid=0"",""'Gam"&amp;"e 2'!J25"")&gt;IMPORTRANGE(""https://docs.google.com/spreadsheets/d/11NFkzOdQyW-OtxSDuGslNCgNjx7HUb2FU7KnlNnPMgY/edit#gid=0"",""'Game 2'!S25""),IMPORTRANGE(""https://docs.google.com/spreadsheets/d/11NFkzOdQyW-OtxSDuGslNCgNjx7HUb2FU7KnlNnPMgY/edit#gid=0"",""'"&amp;"Game 2'!J25"")+100,IF(IMPORTRANGE(""https://docs.google.com/spreadsheets/d/11NFkzOdQyW-OtxSDuGslNCgNjx7HUb2FU7KnlNnPMgY/edit#gid=0"",""'Game 2'!J25"")=IMPORTRANGE(""https://docs.google.com/spreadsheets/d/11NFkzOdQyW-OtxSDuGslNCgNjx7HUb2FU7KnlNnPMgY/edit#g"&amp;"id=0"",""'Game 2'!S25""),IMPORTRANGE(""https://docs.google.com/spreadsheets/d/11NFkzOdQyW-OtxSDuGslNCgNjx7HUb2FU7KnlNnPMgY/edit#gid=0"",""'Game 2'!J25"")+50,IMPORTRANGE(""https://docs.google.com/spreadsheets/d/11NFkzOdQyW-OtxSDuGslNCgNjx7HUb2FU7KnlNnPMgY/"&amp;"edit#gid=0"",""'Game 2'!J25""))),IF(IMPORTRANGE(""https://docs.google.com/spreadsheets/d/11NFkzOdQyW-OtxSDuGslNCgNjx7HUb2FU7KnlNnPMgY/edit#gid=0"",""'Game 2'!J25"")&gt;IMPORTRANGE(""https://docs.google.com/spreadsheets/d/11NFkzOdQyW-OtxSDuGslNCgNjx7HUb2FU7Kn"&amp;"lNnPMgY/edit#gid=0"",""'Game 2'!S25""),IMPORTRANGE(""https://docs.google.com/spreadsheets/d/11NFkzOdQyW-OtxSDuGslNCgNjx7HUb2FU7KnlNnPMgY/edit#gid=0"",""'Game 2'!S25""),IF(IMPORTRANGE(""https://docs.google.com/spreadsheets/d/11NFkzOdQyW-OtxSDuGslNCgNjx7HUb"&amp;"2FU7KnlNnPMgY/edit#gid=0"",""'Game 2'!J25"")=IMPORTRANGE(""https://docs.google.com/spreadsheets/d/11NFkzOdQyW-OtxSDuGslNCgNjx7HUb2FU7KnlNnPMgY/edit#gid=0"",""'Game 2'!S25""),IMPORTRANGE(""https://docs.google.com/spreadsheets/d/11NFkzOdQyW-OtxSDuGslNCgNjx7"&amp;"HUb2FU7KnlNnPMgY/edit#gid=0"",""'Game 2'!S25"")+50,IMPORTRANGE(""https://docs.google.com/spreadsheets/d/11NFkzOdQyW-OtxSDuGslNCgNjx7HUb2FU7KnlNnPMgY/edit#gid=0"",""'Game 2'!S25"")+100)))"),128.0)</f>
        <v>128</v>
      </c>
      <c r="K8" s="5">
        <f>IFERROR(__xludf.DUMMYFUNCTION("IF($A8=IMPORTRANGE(""https://docs.google.com/spreadsheets/d/1CLg5-jaE4ta0-u4oE1qbBplQ5Mf3Oj9ONFgL0zJ7Ol4/edit#gid=0"",""'Game 2'!B1""),IF(IMPORTRANGE(""https://docs.google.com/spreadsheets/d/1CLg5-jaE4ta0-u4oE1qbBplQ5Mf3Oj9ONFgL0zJ7Ol4/edit#gid=0"",""'Gam"&amp;"e 2'!J25"")&gt;IMPORTRANGE(""https://docs.google.com/spreadsheets/d/1CLg5-jaE4ta0-u4oE1qbBplQ5Mf3Oj9ONFgL0zJ7Ol4/edit#gid=0"",""'Game 2'!S25""),IMPORTRANGE(""https://docs.google.com/spreadsheets/d/1CLg5-jaE4ta0-u4oE1qbBplQ5Mf3Oj9ONFgL0zJ7Ol4/edit#gid=0"",""'"&amp;"Game 2'!J25"")+100,IF(IMPORTRANGE(""https://docs.google.com/spreadsheets/d/1CLg5-jaE4ta0-u4oE1qbBplQ5Mf3Oj9ONFgL0zJ7Ol4/edit#gid=0"",""'Game 2'!J25"")=IMPORTRANGE(""https://docs.google.com/spreadsheets/d/1CLg5-jaE4ta0-u4oE1qbBplQ5Mf3Oj9ONFgL0zJ7Ol4/edit#g"&amp;"id=0"",""'Game 2'!S25""),IMPORTRANGE(""https://docs.google.com/spreadsheets/d/1CLg5-jaE4ta0-u4oE1qbBplQ5Mf3Oj9ONFgL0zJ7Ol4/edit#gid=0"",""'Game 2'!J25"")+50,IMPORTRANGE(""https://docs.google.com/spreadsheets/d/1CLg5-jaE4ta0-u4oE1qbBplQ5Mf3Oj9ONFgL0zJ7Ol4/"&amp;"edit#gid=0"",""'Game 2'!J25""))),IF(IMPORTRANGE(""https://docs.google.com/spreadsheets/d/1CLg5-jaE4ta0-u4oE1qbBplQ5Mf3Oj9ONFgL0zJ7Ol4/edit#gid=0"",""'Game 2'!J25"")&gt;IMPORTRANGE(""https://docs.google.com/spreadsheets/d/1CLg5-jaE4ta0-u4oE1qbBplQ5Mf3Oj9ONFgL"&amp;"0zJ7Ol4/edit#gid=0"",""'Game 2'!S25""),IMPORTRANGE(""https://docs.google.com/spreadsheets/d/1CLg5-jaE4ta0-u4oE1qbBplQ5Mf3Oj9ONFgL0zJ7Ol4/edit#gid=0"",""'Game 2'!S25""),IF(IMPORTRANGE(""https://docs.google.com/spreadsheets/d/1CLg5-jaE4ta0-u4oE1qbBplQ5Mf3Oj"&amp;"9ONFgL0zJ7Ol4/edit#gid=0"",""'Game 2'!J25"")=IMPORTRANGE(""https://docs.google.com/spreadsheets/d/1CLg5-jaE4ta0-u4oE1qbBplQ5Mf3Oj9ONFgL0zJ7Ol4/edit#gid=0"",""'Game 2'!S25""),IMPORTRANGE(""https://docs.google.com/spreadsheets/d/1CLg5-jaE4ta0-u4oE1qbBplQ5Mf"&amp;"3Oj9ONFgL0zJ7Ol4/edit#gid=0"",""'Game 2'!S25"")+50,IMPORTRANGE(""https://docs.google.com/spreadsheets/d/1CLg5-jaE4ta0-u4oE1qbBplQ5Mf3Oj9ONFgL0zJ7Ol4/edit#gid=0"",""'Game 2'!S25"")+100)))"),146.0)</f>
        <v>146</v>
      </c>
      <c r="L8" s="5">
        <f>IFERROR(__xludf.DUMMYFUNCTION("IF($A8=IMPORTRANGE(""https://docs.google.com/spreadsheets/d/1CeexgK4KxWj3k_7nql_k8-RPxXMwTJyB4Q3vAASeDlA/edit#gid=0"",""'Game 2'!B1""),IF(IMPORTRANGE(""https://docs.google.com/spreadsheets/d/1CeexgK4KxWj3k_7nql_k8-RPxXMwTJyB4Q3vAASeDlA/edit#gid=0"",""'Gam"&amp;"e 2'!J25"")&gt;IMPORTRANGE(""https://docs.google.com/spreadsheets/d/1CeexgK4KxWj3k_7nql_k8-RPxXMwTJyB4Q3vAASeDlA/edit#gid=0"",""'Game 2'!S25""),IMPORTRANGE(""https://docs.google.com/spreadsheets/d/1CeexgK4KxWj3k_7nql_k8-RPxXMwTJyB4Q3vAASeDlA/edit#gid=0"",""'"&amp;"Game 2'!J25"")+100,IF(IMPORTRANGE(""https://docs.google.com/spreadsheets/d/1CeexgK4KxWj3k_7nql_k8-RPxXMwTJyB4Q3vAASeDlA/edit#gid=0"",""'Game 2'!J25"")=IMPORTRANGE(""https://docs.google.com/spreadsheets/d/1CeexgK4KxWj3k_7nql_k8-RPxXMwTJyB4Q3vAASeDlA/edit#g"&amp;"id=0"",""'Game 2'!S25""),IMPORTRANGE(""https://docs.google.com/spreadsheets/d/1CeexgK4KxWj3k_7nql_k8-RPxXMwTJyB4Q3vAASeDlA/edit#gid=0"",""'Game 2'!J25"")+50,IMPORTRANGE(""https://docs.google.com/spreadsheets/d/1CeexgK4KxWj3k_7nql_k8-RPxXMwTJyB4Q3vAASeDlA/"&amp;"edit#gid=0"",""'Game 2'!J25""))),IF(IMPORTRANGE(""https://docs.google.com/spreadsheets/d/1CeexgK4KxWj3k_7nql_k8-RPxXMwTJyB4Q3vAASeDlA/edit#gid=0"",""'Game 2'!J25"")&gt;IMPORTRANGE(""https://docs.google.com/spreadsheets/d/1CeexgK4KxWj3k_7nql_k8-RPxXMwTJyB4Q3v"&amp;"AASeDlA/edit#gid=0"",""'Game 2'!S25""),IMPORTRANGE(""https://docs.google.com/spreadsheets/d/1CeexgK4KxWj3k_7nql_k8-RPxXMwTJyB4Q3vAASeDlA/edit#gid=0"",""'Game 2'!S25""),IF(IMPORTRANGE(""https://docs.google.com/spreadsheets/d/1CeexgK4KxWj3k_7nql_k8-RPxXMwTJ"&amp;"yB4Q3vAASeDlA/edit#gid=0"",""'Game 2'!J25"")=IMPORTRANGE(""https://docs.google.com/spreadsheets/d/1CeexgK4KxWj3k_7nql_k8-RPxXMwTJyB4Q3vAASeDlA/edit#gid=0"",""'Game 2'!S25""),IMPORTRANGE(""https://docs.google.com/spreadsheets/d/1CeexgK4KxWj3k_7nql_k8-RPxXM"&amp;"wTJyB4Q3vAASeDlA/edit#gid=0"",""'Game 2'!S25"")+50,IMPORTRANGE(""https://docs.google.com/spreadsheets/d/1CeexgK4KxWj3k_7nql_k8-RPxXMwTJyB4Q3vAASeDlA/edit#gid=0"",""'Game 2'!S25"")+100)))"),138.0)</f>
        <v>138</v>
      </c>
      <c r="M8" s="5">
        <f>IFERROR(__xludf.DUMMYFUNCTION("IF($A8=IMPORTRANGE(""https://docs.google.com/spreadsheets/d/1MNwUNMjcwK6bEgCXwB73jpbK5gJAXS8ZMpbEMLJEP3E/edit#gid=0"",""'Game 2'!B1""),IF(IMPORTRANGE(""https://docs.google.com/spreadsheets/d/1MNwUNMjcwK6bEgCXwB73jpbK5gJAXS8ZMpbEMLJEP3E/edit#gid=0"",""'Gam"&amp;"e 2'!J25"")&gt;IMPORTRANGE(""https://docs.google.com/spreadsheets/d/1MNwUNMjcwK6bEgCXwB73jpbK5gJAXS8ZMpbEMLJEP3E/edit#gid=0"",""'Game 2'!S25""),IMPORTRANGE(""https://docs.google.com/spreadsheets/d/1MNwUNMjcwK6bEgCXwB73jpbK5gJAXS8ZMpbEMLJEP3E/edit#gid=0"",""'"&amp;"Game 2'!J25"")+100,IF(IMPORTRANGE(""https://docs.google.com/spreadsheets/d/1MNwUNMjcwK6bEgCXwB73jpbK5gJAXS8ZMpbEMLJEP3E/edit#gid=0"",""'Game 2'!J25"")=IMPORTRANGE(""https://docs.google.com/spreadsheets/d/1MNwUNMjcwK6bEgCXwB73jpbK5gJAXS8ZMpbEMLJEP3E/edit#g"&amp;"id=0"",""'Game 2'!S25""),IMPORTRANGE(""https://docs.google.com/spreadsheets/d/1MNwUNMjcwK6bEgCXwB73jpbK5gJAXS8ZMpbEMLJEP3E/edit#gid=0"",""'Game 2'!J25"")+50,IMPORTRANGE(""https://docs.google.com/spreadsheets/d/1MNwUNMjcwK6bEgCXwB73jpbK5gJAXS8ZMpbEMLJEP3E/"&amp;"edit#gid=0"",""'Game 2'!J25""))),IF(IMPORTRANGE(""https://docs.google.com/spreadsheets/d/1MNwUNMjcwK6bEgCXwB73jpbK5gJAXS8ZMpbEMLJEP3E/edit#gid=0"",""'Game 2'!J25"")&gt;IMPORTRANGE(""https://docs.google.com/spreadsheets/d/1MNwUNMjcwK6bEgCXwB73jpbK5gJAXS8ZMpbE"&amp;"MLJEP3E/edit#gid=0"",""'Game 2'!S25""),IMPORTRANGE(""https://docs.google.com/spreadsheets/d/1MNwUNMjcwK6bEgCXwB73jpbK5gJAXS8ZMpbEMLJEP3E/edit#gid=0"",""'Game 2'!S25""),IF(IMPORTRANGE(""https://docs.google.com/spreadsheets/d/1MNwUNMjcwK6bEgCXwB73jpbK5gJAXS"&amp;"8ZMpbEMLJEP3E/edit#gid=0"",""'Game 2'!J25"")=IMPORTRANGE(""https://docs.google.com/spreadsheets/d/1MNwUNMjcwK6bEgCXwB73jpbK5gJAXS8ZMpbEMLJEP3E/edit#gid=0"",""'Game 2'!S25""),IMPORTRANGE(""https://docs.google.com/spreadsheets/d/1MNwUNMjcwK6bEgCXwB73jpbK5gJ"&amp;"AXS8ZMpbEMLJEP3E/edit#gid=0"",""'Game 2'!S25"")+50,IMPORTRANGE(""https://docs.google.com/spreadsheets/d/1MNwUNMjcwK6bEgCXwB73jpbK5gJAXS8ZMpbEMLJEP3E/edit#gid=0"",""'Game 2'!S25"")+100)))"),30.0)</f>
        <v>30</v>
      </c>
      <c r="N8" s="5">
        <f>IFERROR(__xludf.DUMMYFUNCTION("IF($A8=IMPORTRANGE(""https://docs.google.com/spreadsheets/d/1UrzyxmT40kDZwVrLMf1yyXfP-pyczRAw9Y8Rw-uXG3c/edit#gid=0"",""'Game 2'!B1""),IF(IMPORTRANGE(""https://docs.google.com/spreadsheets/d/1UrzyxmT40kDZwVrLMf1yyXfP-pyczRAw9Y8Rw-uXG3c/edit#gid=0"",""'Gam"&amp;"e 2'!J25"")&gt;IMPORTRANGE(""https://docs.google.com/spreadsheets/d/1UrzyxmT40kDZwVrLMf1yyXfP-pyczRAw9Y8Rw-uXG3c/edit#gid=0"",""'Game 2'!S25""),IMPORTRANGE(""https://docs.google.com/spreadsheets/d/1UrzyxmT40kDZwVrLMf1yyXfP-pyczRAw9Y8Rw-uXG3c/edit#gid=0"",""'"&amp;"Game 2'!J25"")+100,IF(IMPORTRANGE(""https://docs.google.com/spreadsheets/d/1UrzyxmT40kDZwVrLMf1yyXfP-pyczRAw9Y8Rw-uXG3c/edit#gid=0"",""'Game 2'!J25"")=IMPORTRANGE(""https://docs.google.com/spreadsheets/d/1UrzyxmT40kDZwVrLMf1yyXfP-pyczRAw9Y8Rw-uXG3c/edit#g"&amp;"id=0"",""'Game 2'!S25""),IMPORTRANGE(""https://docs.google.com/spreadsheets/d/1UrzyxmT40kDZwVrLMf1yyXfP-pyczRAw9Y8Rw-uXG3c/edit#gid=0"",""'Game 2'!J25"")+50,IMPORTRANGE(""https://docs.google.com/spreadsheets/d/1UrzyxmT40kDZwVrLMf1yyXfP-pyczRAw9Y8Rw-uXG3c/"&amp;"edit#gid=0"",""'Game 2'!J25""))),IF(IMPORTRANGE(""https://docs.google.com/spreadsheets/d/1UrzyxmT40kDZwVrLMf1yyXfP-pyczRAw9Y8Rw-uXG3c/edit#gid=0"",""'Game 2'!J25"")&gt;IMPORTRANGE(""https://docs.google.com/spreadsheets/d/1UrzyxmT40kDZwVrLMf1yyXfP-pyczRAw9Y8R"&amp;"w-uXG3c/edit#gid=0"",""'Game 2'!S25""),IMPORTRANGE(""https://docs.google.com/spreadsheets/d/1UrzyxmT40kDZwVrLMf1yyXfP-pyczRAw9Y8Rw-uXG3c/edit#gid=0"",""'Game 2'!S25""),IF(IMPORTRANGE(""https://docs.google.com/spreadsheets/d/1UrzyxmT40kDZwVrLMf1yyXfP-pyczR"&amp;"Aw9Y8Rw-uXG3c/edit#gid=0"",""'Game 2'!J25"")=IMPORTRANGE(""https://docs.google.com/spreadsheets/d/1UrzyxmT40kDZwVrLMf1yyXfP-pyczRAw9Y8Rw-uXG3c/edit#gid=0"",""'Game 2'!S25""),IMPORTRANGE(""https://docs.google.com/spreadsheets/d/1UrzyxmT40kDZwVrLMf1yyXfP-py"&amp;"czRAw9Y8Rw-uXG3c/edit#gid=0"",""'Game 2'!S25"")+50,IMPORTRANGE(""https://docs.google.com/spreadsheets/d/1UrzyxmT40kDZwVrLMf1yyXfP-pyczRAw9Y8Rw-uXG3c/edit#gid=0"",""'Game 2'!S25"")+100)))"),162.0)</f>
        <v>162</v>
      </c>
      <c r="O8" s="5">
        <f>IFERROR(__xludf.DUMMYFUNCTION("IF($A8=IMPORTRANGE(""https://docs.google.com/spreadsheets/d/1iyMhSYWifw-KGFtyeBpNxVZr4BhcV9hVZuShgJ9Ia0E/edit#gid=0"",""'Game 2'!B1""),IF(IMPORTRANGE(""https://docs.google.com/spreadsheets/d/1iyMhSYWifw-KGFtyeBpNxVZr4BhcV9hVZuShgJ9Ia0E/edit#gid=0"",""'Gam"&amp;"e 2'!J25"")&gt;IMPORTRANGE(""https://docs.google.com/spreadsheets/d/1iyMhSYWifw-KGFtyeBpNxVZr4BhcV9hVZuShgJ9Ia0E/edit#gid=0"",""'Game 2'!S25""),IMPORTRANGE(""https://docs.google.com/spreadsheets/d/1iyMhSYWifw-KGFtyeBpNxVZr4BhcV9hVZuShgJ9Ia0E/edit#gid=0"",""'"&amp;"Game 2'!J25"")+100,IF(IMPORTRANGE(""https://docs.google.com/spreadsheets/d/1iyMhSYWifw-KGFtyeBpNxVZr4BhcV9hVZuShgJ9Ia0E/edit#gid=0"",""'Game 2'!J25"")=IMPORTRANGE(""https://docs.google.com/spreadsheets/d/1iyMhSYWifw-KGFtyeBpNxVZr4BhcV9hVZuShgJ9Ia0E/edit#g"&amp;"id=0"",""'Game 2'!S25""),IMPORTRANGE(""https://docs.google.com/spreadsheets/d/1iyMhSYWifw-KGFtyeBpNxVZr4BhcV9hVZuShgJ9Ia0E/edit#gid=0"",""'Game 2'!J25"")+50,IMPORTRANGE(""https://docs.google.com/spreadsheets/d/1iyMhSYWifw-KGFtyeBpNxVZr4BhcV9hVZuShgJ9Ia0E/"&amp;"edit#gid=0"",""'Game 2'!J25""))),IF(IMPORTRANGE(""https://docs.google.com/spreadsheets/d/1iyMhSYWifw-KGFtyeBpNxVZr4BhcV9hVZuShgJ9Ia0E/edit#gid=0"",""'Game 2'!J25"")&gt;IMPORTRANGE(""https://docs.google.com/spreadsheets/d/1iyMhSYWifw-KGFtyeBpNxVZr4BhcV9hVZuSh"&amp;"gJ9Ia0E/edit#gid=0"",""'Game 2'!S25""),IMPORTRANGE(""https://docs.google.com/spreadsheets/d/1iyMhSYWifw-KGFtyeBpNxVZr4BhcV9hVZuShgJ9Ia0E/edit#gid=0"",""'Game 2'!S25""),IF(IMPORTRANGE(""https://docs.google.com/spreadsheets/d/1iyMhSYWifw-KGFtyeBpNxVZr4BhcV9"&amp;"hVZuShgJ9Ia0E/edit#gid=0"",""'Game 2'!J25"")=IMPORTRANGE(""https://docs.google.com/spreadsheets/d/1iyMhSYWifw-KGFtyeBpNxVZr4BhcV9hVZuShgJ9Ia0E/edit#gid=0"",""'Game 2'!S25""),IMPORTRANGE(""https://docs.google.com/spreadsheets/d/1iyMhSYWifw-KGFtyeBpNxVZr4Bh"&amp;"cV9hVZuShgJ9Ia0E/edit#gid=0"",""'Game 2'!S25"")+50,IMPORTRANGE(""https://docs.google.com/spreadsheets/d/1iyMhSYWifw-KGFtyeBpNxVZr4BhcV9hVZuShgJ9Ia0E/edit#gid=0"",""'Game 2'!S25"")+100)))"),154.0)</f>
        <v>154</v>
      </c>
      <c r="P8" s="5">
        <f>IFERROR(__xludf.DUMMYFUNCTION("IF($A8=IMPORTRANGE(""https://docs.google.com/spreadsheets/d/1sSbIK-vvHsSY0LghLJ9gcnW8Hec_ITI2tFmpeqI999A/edit#gid=0"",""'Game 2'!B1""),IF(IMPORTRANGE(""https://docs.google.com/spreadsheets/d/1sSbIK-vvHsSY0LghLJ9gcnW8Hec_ITI2tFmpeqI999A/edit#gid=0"",""'Gam"&amp;"e 2'!J25"")&gt;IMPORTRANGE(""https://docs.google.com/spreadsheets/d/1sSbIK-vvHsSY0LghLJ9gcnW8Hec_ITI2tFmpeqI999A/edit#gid=0"",""'Game 2'!S25""),IMPORTRANGE(""https://docs.google.com/spreadsheets/d/1sSbIK-vvHsSY0LghLJ9gcnW8Hec_ITI2tFmpeqI999A/edit#gid=0"",""'"&amp;"Game 2'!J25"")+100,IF(IMPORTRANGE(""https://docs.google.com/spreadsheets/d/1sSbIK-vvHsSY0LghLJ9gcnW8Hec_ITI2tFmpeqI999A/edit#gid=0"",""'Game 2'!J25"")=IMPORTRANGE(""https://docs.google.com/spreadsheets/d/1sSbIK-vvHsSY0LghLJ9gcnW8Hec_ITI2tFmpeqI999A/edit#g"&amp;"id=0"",""'Game 2'!S25""),IMPORTRANGE(""https://docs.google.com/spreadsheets/d/1sSbIK-vvHsSY0LghLJ9gcnW8Hec_ITI2tFmpeqI999A/edit#gid=0"",""'Game 2'!J25"")+50,IMPORTRANGE(""https://docs.google.com/spreadsheets/d/1sSbIK-vvHsSY0LghLJ9gcnW8Hec_ITI2tFmpeqI999A/"&amp;"edit#gid=0"",""'Game 2'!J25""))),IF(IMPORTRANGE(""https://docs.google.com/spreadsheets/d/1sSbIK-vvHsSY0LghLJ9gcnW8Hec_ITI2tFmpeqI999A/edit#gid=0"",""'Game 2'!J25"")&gt;IMPORTRANGE(""https://docs.google.com/spreadsheets/d/1sSbIK-vvHsSY0LghLJ9gcnW8Hec_ITI2tFmp"&amp;"eqI999A/edit#gid=0"",""'Game 2'!S25""),IMPORTRANGE(""https://docs.google.com/spreadsheets/d/1sSbIK-vvHsSY0LghLJ9gcnW8Hec_ITI2tFmpeqI999A/edit#gid=0"",""'Game 2'!S25""),IF(IMPORTRANGE(""https://docs.google.com/spreadsheets/d/1sSbIK-vvHsSY0LghLJ9gcnW8Hec_IT"&amp;"I2tFmpeqI999A/edit#gid=0"",""'Game 2'!J25"")=IMPORTRANGE(""https://docs.google.com/spreadsheets/d/1sSbIK-vvHsSY0LghLJ9gcnW8Hec_ITI2tFmpeqI999A/edit#gid=0"",""'Game 2'!S25""),IMPORTRANGE(""https://docs.google.com/spreadsheets/d/1sSbIK-vvHsSY0LghLJ9gcnW8Hec"&amp;"_ITI2tFmpeqI999A/edit#gid=0"",""'Game 2'!S25"")+50,IMPORTRANGE(""https://docs.google.com/spreadsheets/d/1sSbIK-vvHsSY0LghLJ9gcnW8Hec_ITI2tFmpeqI999A/edit#gid=0"",""'Game 2'!S25"")+100)))"),32.0)</f>
        <v>32</v>
      </c>
      <c r="Q8" s="35">
        <f t="shared" si="1"/>
        <v>1312</v>
      </c>
      <c r="R8" s="35">
        <f t="shared" si="2"/>
        <v>13</v>
      </c>
    </row>
    <row r="9">
      <c r="A9" s="32" t="s">
        <v>101</v>
      </c>
      <c r="B9" s="36">
        <v>12.0</v>
      </c>
      <c r="C9" s="36">
        <v>20.0</v>
      </c>
      <c r="D9" s="36">
        <v>32.0</v>
      </c>
      <c r="E9" s="36">
        <v>14.0</v>
      </c>
      <c r="F9" s="36">
        <v>16.0</v>
      </c>
      <c r="G9" s="37">
        <f>IFERROR(__xludf.DUMMYFUNCTION("IF($A9=IMPORTRANGE(""https://docs.google.com/spreadsheets/d/16J5ie7OD1E99qGO9lMDm8w5Yls-v190B7DTolJ5TmFc/edit#gid=1981724582"",""'Game 13'!B1""),IF(IMPORTRANGE(""https://docs.google.com/spreadsheets/d/16J5ie7OD1E99qGO9lMDm8w5Yls-v190B7DTolJ5TmFc/edit#gid="&amp;"1981724582"",""'Game 13'!J25"")&gt;IMPORTRANGE(""https://docs.google.com/spreadsheets/d/16J5ie7OD1E99qGO9lMDm8w5Yls-v190B7DTolJ5TmFc/edit#gid=1981724582"",""'Game 13'!S25""),IMPORTRANGE(""https://docs.google.com/spreadsheets/d/16J5ie7OD1E99qGO9lMDm8w5Yls-v19"&amp;"0B7DTolJ5TmFc/edit#gid=1981724582"",""'Game 13'!J25"")+100,IF(IMPORTRANGE(""https://docs.google.com/spreadsheets/d/16J5ie7OD1E99qGO9lMDm8w5Yls-v190B7DTolJ5TmFc/edit#gid=1981724582"",""'Game 13'!J25"")=IMPORTRANGE(""https://docs.google.com/spreadsheets/d/1"&amp;"6J5ie7OD1E99qGO9lMDm8w5Yls-v190B7DTolJ5TmFc/edit#gid=1981724582"",""'Game 13'!S25""),IMPORTRANGE(""https://docs.google.com/spreadsheets/d/16J5ie7OD1E99qGO9lMDm8w5Yls-v190B7DTolJ5TmFc/edit#gid=1981724582"",""'Game 13'!J25"")+50,IMPORTRANGE(""https://docs.g"&amp;"oogle.com/spreadsheets/d/16J5ie7OD1E99qGO9lMDm8w5Yls-v190B7DTolJ5TmFc/edit#gid=1981724582"",""'Game 13'!J25""))),IF(IMPORTRANGE(""https://docs.google.com/spreadsheets/d/16J5ie7OD1E99qGO9lMDm8w5Yls-v190B7DTolJ5TmFc/edit#gid=1981724582"",""'Game 13'!J25"")&gt;"&amp;"IMPORTRANGE(""https://docs.google.com/spreadsheets/d/16J5ie7OD1E99qGO9lMDm8w5Yls-v190B7DTolJ5TmFc/edit#gid=1981724582"",""'Game 13'!S25""),IMPORTRANGE(""https://docs.google.com/spreadsheets/d/16J5ie7OD1E99qGO9lMDm8w5Yls-v190B7DTolJ5TmFc/edit#gid=198172458"&amp;"2"",""'Game 13'!S25""),IF(IMPORTRANGE(""https://docs.google.com/spreadsheets/d/16J5ie7OD1E99qGO9lMDm8w5Yls-v190B7DTolJ5TmFc/edit#gid=1981724582"",""'Game 13'!J25"")=IMPORTRANGE(""https://docs.google.com/spreadsheets/d/16J5ie7OD1E99qGO9lMDm8w5Yls-v190B7DTo"&amp;"lJ5TmFc/edit#gid=1981724582"",""'Game 13'!S25""),IMPORTRANGE(""https://docs.google.com/spreadsheets/d/16J5ie7OD1E99qGO9lMDm8w5Yls-v190B7DTolJ5TmFc/edit#gid=1981724582"",""'Game 13'!S25"")+50,IMPORTRANGE(""https://docs.google.com/spreadsheets/d/16J5ie7OD1E"&amp;"99qGO9lMDm8w5Yls-v190B7DTolJ5TmFc/edit#gid=1981724582"",""'Game 13'!S25"")+100)))"),12.0)</f>
        <v>12</v>
      </c>
      <c r="H9" s="36">
        <v>124.0</v>
      </c>
      <c r="I9" s="7">
        <f>IFERROR(__xludf.DUMMYFUNCTION("IF($A9=IMPORTRANGE(""https://docs.google.com/spreadsheets/d/1CTYfdyRk_RFGM3I2iN9bKeD9zUPzEm1ajzml6VgwfIU/edit#gid=0"",""'Game 9'!B1""),IF(IMPORTRANGE(""https://docs.google.com/spreadsheets/d/1CTYfdyRk_RFGM3I2iN9bKeD9zUPzEm1ajzml6VgwfIU/edit#gid=0"",""'Gam"&amp;"e 9'!J25"")&gt;IMPORTRANGE(""https://docs.google.com/spreadsheets/d/1CTYfdyRk_RFGM3I2iN9bKeD9zUPzEm1ajzml6VgwfIU/edit#gid=0"",""'Game 9'!S25""),IMPORTRANGE(""https://docs.google.com/spreadsheets/d/1CTYfdyRk_RFGM3I2iN9bKeD9zUPzEm1ajzml6VgwfIU/edit#gid=0"",""'"&amp;"Game 9'!J25"")+100,IF(IMPORTRANGE(""https://docs.google.com/spreadsheets/d/1CTYfdyRk_RFGM3I2iN9bKeD9zUPzEm1ajzml6VgwfIU/edit#gid=0"",""'Game 9'!J25"")=IMPORTRANGE(""https://docs.google.com/spreadsheets/d/1CTYfdyRk_RFGM3I2iN9bKeD9zUPzEm1ajzml6VgwfIU/edit#g"&amp;"id=0"",""'Game 9'!S25""),IMPORTRANGE(""https://docs.google.com/spreadsheets/d/1CTYfdyRk_RFGM3I2iN9bKeD9zUPzEm1ajzml6VgwfIU/edit#gid=0"",""'Game 9'!J25"")+50,IMPORTRANGE(""https://docs.google.com/spreadsheets/d/1CTYfdyRk_RFGM3I2iN9bKeD9zUPzEm1ajzml6VgwfIU/"&amp;"edit#gid=0"",""'Game 9'!J25""))),IF(IMPORTRANGE(""https://docs.google.com/spreadsheets/d/1CTYfdyRk_RFGM3I2iN9bKeD9zUPzEm1ajzml6VgwfIU/edit#gid=0"",""'Game 9'!J25"")&gt;IMPORTRANGE(""https://docs.google.com/spreadsheets/d/1CTYfdyRk_RFGM3I2iN9bKeD9zUPzEm1ajzml"&amp;"6VgwfIU/edit#gid=0"",""'Game 9'!S25""),IMPORTRANGE(""https://docs.google.com/spreadsheets/d/1CTYfdyRk_RFGM3I2iN9bKeD9zUPzEm1ajzml6VgwfIU/edit#gid=0"",""'Game 9'!S25""),IF(IMPORTRANGE(""https://docs.google.com/spreadsheets/d/1CTYfdyRk_RFGM3I2iN9bKeD9zUPzEm"&amp;"1ajzml6VgwfIU/edit#gid=0"",""'Game 9'!J25"")=IMPORTRANGE(""https://docs.google.com/spreadsheets/d/1CTYfdyRk_RFGM3I2iN9bKeD9zUPzEm1ajzml6VgwfIU/edit#gid=0"",""'Game 9'!S25""),IMPORTRANGE(""https://docs.google.com/spreadsheets/d/1CTYfdyRk_RFGM3I2iN9bKeD9zUP"&amp;"zEm1ajzml6VgwfIU/edit#gid=0"",""'Game 9'!S25"")+50,IMPORTRANGE(""https://docs.google.com/spreadsheets/d/1CTYfdyRk_RFGM3I2iN9bKeD9zUPzEm1ajzml6VgwfIU/edit#gid=0"",""'Game 9'!S25"")+100)))"),0.0)</f>
        <v>0</v>
      </c>
      <c r="J9" s="7">
        <f>IFERROR(__xludf.DUMMYFUNCTION("IF($A9=IMPORTRANGE(""https://docs.google.com/spreadsheets/d/11NFkzOdQyW-OtxSDuGslNCgNjx7HUb2FU7KnlNnPMgY/edit#gid=0"",""'Game 12'!B1""),IF(IMPORTRANGE(""https://docs.google.com/spreadsheets/d/11NFkzOdQyW-OtxSDuGslNCgNjx7HUb2FU7KnlNnPMgY/edit#gid=0"",""'Ga"&amp;"me 12'!J25"")&gt;IMPORTRANGE(""https://docs.google.com/spreadsheets/d/11NFkzOdQyW-OtxSDuGslNCgNjx7HUb2FU7KnlNnPMgY/edit#gid=0"",""'Game 12'!S25""),IMPORTRANGE(""https://docs.google.com/spreadsheets/d/11NFkzOdQyW-OtxSDuGslNCgNjx7HUb2FU7KnlNnPMgY/edit#gid=0"","&amp;"""'Game 12'!J25"")+100,IF(IMPORTRANGE(""https://docs.google.com/spreadsheets/d/11NFkzOdQyW-OtxSDuGslNCgNjx7HUb2FU7KnlNnPMgY/edit#gid=0"",""'Game 12'!J25"")=IMPORTRANGE(""https://docs.google.com/spreadsheets/d/11NFkzOdQyW-OtxSDuGslNCgNjx7HUb2FU7KnlNnPMgY/e"&amp;"dit#gid=0"",""'Game 12'!S25""),IMPORTRANGE(""https://docs.google.com/spreadsheets/d/11NFkzOdQyW-OtxSDuGslNCgNjx7HUb2FU7KnlNnPMgY/edit#gid=0"",""'Game 12'!J25"")+50,IMPORTRANGE(""https://docs.google.com/spreadsheets/d/11NFkzOdQyW-OtxSDuGslNCgNjx7HUb2FU7Knl"&amp;"NnPMgY/edit#gid=0"",""'Game 12'!J25""))),IF(IMPORTRANGE(""https://docs.google.com/spreadsheets/d/11NFkzOdQyW-OtxSDuGslNCgNjx7HUb2FU7KnlNnPMgY/edit#gid=0"",""'Game 12'!J25"")&gt;IMPORTRANGE(""https://docs.google.com/spreadsheets/d/11NFkzOdQyW-OtxSDuGslNCgNjx7"&amp;"HUb2FU7KnlNnPMgY/edit#gid=0"",""'Game 12'!S25""),IMPORTRANGE(""https://docs.google.com/spreadsheets/d/11NFkzOdQyW-OtxSDuGslNCgNjx7HUb2FU7KnlNnPMgY/edit#gid=0"",""'Game 12'!S25""),IF(IMPORTRANGE(""https://docs.google.com/spreadsheets/d/11NFkzOdQyW-OtxSDuGs"&amp;"lNCgNjx7HUb2FU7KnlNnPMgY/edit#gid=0"",""'Game 12'!J25"")=IMPORTRANGE(""https://docs.google.com/spreadsheets/d/11NFkzOdQyW-OtxSDuGslNCgNjx7HUb2FU7KnlNnPMgY/edit#gid=0"",""'Game 12'!S25""),IMPORTRANGE(""https://docs.google.com/spreadsheets/d/11NFkzOdQyW-Otx"&amp;"SDuGslNCgNjx7HUb2FU7KnlNnPMgY/edit#gid=0"",""'Game 12'!S25"")+50,IMPORTRANGE(""https://docs.google.com/spreadsheets/d/11NFkzOdQyW-OtxSDuGslNCgNjx7HUb2FU7KnlNnPMgY/edit#gid=0"",""'Game 12'!S25"")+100)))"),20.0)</f>
        <v>20</v>
      </c>
      <c r="K9" s="7">
        <f>IFERROR(__xludf.DUMMYFUNCTION("IF($A9=IMPORTRANGE(""https://docs.google.com/spreadsheets/d/1CLg5-jaE4ta0-u4oE1qbBplQ5Mf3Oj9ONFgL0zJ7Ol4/edit#gid=0"",""'Game 4'!B1""),IF(IMPORTRANGE(""https://docs.google.com/spreadsheets/d/1CLg5-jaE4ta0-u4oE1qbBplQ5Mf3Oj9ONFgL0zJ7Ol4/edit#gid=0"",""'Gam"&amp;"e 4'!J25"")&gt;IMPORTRANGE(""https://docs.google.com/spreadsheets/d/1CLg5-jaE4ta0-u4oE1qbBplQ5Mf3Oj9ONFgL0zJ7Ol4/edit#gid=0"",""'Game 4'!S25""),IMPORTRANGE(""https://docs.google.com/spreadsheets/d/1CLg5-jaE4ta0-u4oE1qbBplQ5Mf3Oj9ONFgL0zJ7Ol4/edit#gid=0"",""'"&amp;"Game 4'!J25"")+100,IF(IMPORTRANGE(""https://docs.google.com/spreadsheets/d/1CLg5-jaE4ta0-u4oE1qbBplQ5Mf3Oj9ONFgL0zJ7Ol4/edit#gid=0"",""'Game 4'!J25"")=IMPORTRANGE(""https://docs.google.com/spreadsheets/d/1CLg5-jaE4ta0-u4oE1qbBplQ5Mf3Oj9ONFgL0zJ7Ol4/edit#g"&amp;"id=0"",""'Game 4'!S25""),IMPORTRANGE(""https://docs.google.com/spreadsheets/d/1CLg5-jaE4ta0-u4oE1qbBplQ5Mf3Oj9ONFgL0zJ7Ol4/edit#gid=0"",""'Game 4'!J25"")+50,IMPORTRANGE(""https://docs.google.com/spreadsheets/d/1CLg5-jaE4ta0-u4oE1qbBplQ5Mf3Oj9ONFgL0zJ7Ol4/"&amp;"edit#gid=0"",""'Game 4'!J25""))),IF(IMPORTRANGE(""https://docs.google.com/spreadsheets/d/1CLg5-jaE4ta0-u4oE1qbBplQ5Mf3Oj9ONFgL0zJ7Ol4/edit#gid=0"",""'Game 4'!J25"")&gt;IMPORTRANGE(""https://docs.google.com/spreadsheets/d/1CLg5-jaE4ta0-u4oE1qbBplQ5Mf3Oj9ONFgL"&amp;"0zJ7Ol4/edit#gid=0"",""'Game 4'!S25""),IMPORTRANGE(""https://docs.google.com/spreadsheets/d/1CLg5-jaE4ta0-u4oE1qbBplQ5Mf3Oj9ONFgL0zJ7Ol4/edit#gid=0"",""'Game 4'!S25""),IF(IMPORTRANGE(""https://docs.google.com/spreadsheets/d/1CLg5-jaE4ta0-u4oE1qbBplQ5Mf3Oj"&amp;"9ONFgL0zJ7Ol4/edit#gid=0"",""'Game 4'!J25"")=IMPORTRANGE(""https://docs.google.com/spreadsheets/d/1CLg5-jaE4ta0-u4oE1qbBplQ5Mf3Oj9ONFgL0zJ7Ol4/edit#gid=0"",""'Game 4'!S25""),IMPORTRANGE(""https://docs.google.com/spreadsheets/d/1CLg5-jaE4ta0-u4oE1qbBplQ5Mf"&amp;"3Oj9ONFgL0zJ7Ol4/edit#gid=0"",""'Game 4'!S25"")+50,IMPORTRANGE(""https://docs.google.com/spreadsheets/d/1CLg5-jaE4ta0-u4oE1qbBplQ5Mf3Oj9ONFgL0zJ7Ol4/edit#gid=0"",""'Game 4'!S25"")+100)))"),12.0)</f>
        <v>12</v>
      </c>
      <c r="L9" s="7">
        <f>IFERROR(__xludf.DUMMYFUNCTION("IF($A9=IMPORTRANGE(""https://docs.google.com/spreadsheets/d/1CeexgK4KxWj3k_7nql_k8-RPxXMwTJyB4Q3vAASeDlA/edit#gid=0"",""'Game 10'!B1""),IF(IMPORTRANGE(""https://docs.google.com/spreadsheets/d/1CeexgK4KxWj3k_7nql_k8-RPxXMwTJyB4Q3vAASeDlA/edit#gid=0"",""'Ga"&amp;"me 10'!J25"")&gt;IMPORTRANGE(""https://docs.google.com/spreadsheets/d/1CeexgK4KxWj3k_7nql_k8-RPxXMwTJyB4Q3vAASeDlA/edit#gid=0"",""'Game 10'!S25""),IMPORTRANGE(""https://docs.google.com/spreadsheets/d/1CeexgK4KxWj3k_7nql_k8-RPxXMwTJyB4Q3vAASeDlA/edit#gid=0"","&amp;"""'Game 10'!J25"")+100,IF(IMPORTRANGE(""https://docs.google.com/spreadsheets/d/1CeexgK4KxWj3k_7nql_k8-RPxXMwTJyB4Q3vAASeDlA/edit#gid=0"",""'Game 10'!J25"")=IMPORTRANGE(""https://docs.google.com/spreadsheets/d/1CeexgK4KxWj3k_7nql_k8-RPxXMwTJyB4Q3vAASeDlA/e"&amp;"dit#gid=0"",""'Game 10'!S25""),IMPORTRANGE(""https://docs.google.com/spreadsheets/d/1CeexgK4KxWj3k_7nql_k8-RPxXMwTJyB4Q3vAASeDlA/edit#gid=0"",""'Game 10'!J25"")+50,IMPORTRANGE(""https://docs.google.com/spreadsheets/d/1CeexgK4KxWj3k_7nql_k8-RPxXMwTJyB4Q3vA"&amp;"ASeDlA/edit#gid=0"",""'Game 10'!J25""))),IF(IMPORTRANGE(""https://docs.google.com/spreadsheets/d/1CeexgK4KxWj3k_7nql_k8-RPxXMwTJyB4Q3vAASeDlA/edit#gid=0"",""'Game 10'!J25"")&gt;IMPORTRANGE(""https://docs.google.com/spreadsheets/d/1CeexgK4KxWj3k_7nql_k8-RPxXM"&amp;"wTJyB4Q3vAASeDlA/edit#gid=0"",""'Game 10'!S25""),IMPORTRANGE(""https://docs.google.com/spreadsheets/d/1CeexgK4KxWj3k_7nql_k8-RPxXMwTJyB4Q3vAASeDlA/edit#gid=0"",""'Game 10'!S25""),IF(IMPORTRANGE(""https://docs.google.com/spreadsheets/d/1CeexgK4KxWj3k_7nql_"&amp;"k8-RPxXMwTJyB4Q3vAASeDlA/edit#gid=0"",""'Game 10'!J25"")=IMPORTRANGE(""https://docs.google.com/spreadsheets/d/1CeexgK4KxWj3k_7nql_k8-RPxXMwTJyB4Q3vAASeDlA/edit#gid=0"",""'Game 10'!S25""),IMPORTRANGE(""https://docs.google.com/spreadsheets/d/1CeexgK4KxWj3k_"&amp;"7nql_k8-RPxXMwTJyB4Q3vAASeDlA/edit#gid=0"",""'Game 10'!S25"")+50,IMPORTRANGE(""https://docs.google.com/spreadsheets/d/1CeexgK4KxWj3k_7nql_k8-RPxXMwTJyB4Q3vAASeDlA/edit#gid=0"",""'Game 10'!S25"")+100)))"),4.0)</f>
        <v>4</v>
      </c>
      <c r="M9" s="7">
        <f>IFERROR(__xludf.DUMMYFUNCTION("IF($A9=IMPORTRANGE(""https://docs.google.com/spreadsheets/d/1MNwUNMjcwK6bEgCXwB73jpbK5gJAXS8ZMpbEMLJEP3E/edit#gid=0"",""'Game 7'!B1""),IF(IMPORTRANGE(""https://docs.google.com/spreadsheets/d/1MNwUNMjcwK6bEgCXwB73jpbK5gJAXS8ZMpbEMLJEP3E/edit#gid=0"",""'Gam"&amp;"e 7'!J25"")&gt;IMPORTRANGE(""https://docs.google.com/spreadsheets/d/1MNwUNMjcwK6bEgCXwB73jpbK5gJAXS8ZMpbEMLJEP3E/edit#gid=0"",""'Game 7'!S25""),IMPORTRANGE(""https://docs.google.com/spreadsheets/d/1MNwUNMjcwK6bEgCXwB73jpbK5gJAXS8ZMpbEMLJEP3E/edit#gid=0"",""'"&amp;"Game 7'!J25"")+100,IF(IMPORTRANGE(""https://docs.google.com/spreadsheets/d/1MNwUNMjcwK6bEgCXwB73jpbK5gJAXS8ZMpbEMLJEP3E/edit#gid=0"",""'Game 7'!J25"")=IMPORTRANGE(""https://docs.google.com/spreadsheets/d/1MNwUNMjcwK6bEgCXwB73jpbK5gJAXS8ZMpbEMLJEP3E/edit#g"&amp;"id=0"",""'Game 7'!S25""),IMPORTRANGE(""https://docs.google.com/spreadsheets/d/1MNwUNMjcwK6bEgCXwB73jpbK5gJAXS8ZMpbEMLJEP3E/edit#gid=0"",""'Game 7'!J25"")+50,IMPORTRANGE(""https://docs.google.com/spreadsheets/d/1MNwUNMjcwK6bEgCXwB73jpbK5gJAXS8ZMpbEMLJEP3E/"&amp;"edit#gid=0"",""'Game 7'!J25""))),IF(IMPORTRANGE(""https://docs.google.com/spreadsheets/d/1MNwUNMjcwK6bEgCXwB73jpbK5gJAXS8ZMpbEMLJEP3E/edit#gid=0"",""'Game 7'!J25"")&gt;IMPORTRANGE(""https://docs.google.com/spreadsheets/d/1MNwUNMjcwK6bEgCXwB73jpbK5gJAXS8ZMpbE"&amp;"MLJEP3E/edit#gid=0"",""'Game 7'!S25""),IMPORTRANGE(""https://docs.google.com/spreadsheets/d/1MNwUNMjcwK6bEgCXwB73jpbK5gJAXS8ZMpbEMLJEP3E/edit#gid=0"",""'Game 7'!S25""),IF(IMPORTRANGE(""https://docs.google.com/spreadsheets/d/1MNwUNMjcwK6bEgCXwB73jpbK5gJAXS"&amp;"8ZMpbEMLJEP3E/edit#gid=0"",""'Game 7'!J25"")=IMPORTRANGE(""https://docs.google.com/spreadsheets/d/1MNwUNMjcwK6bEgCXwB73jpbK5gJAXS8ZMpbEMLJEP3E/edit#gid=0"",""'Game 7'!S25""),IMPORTRANGE(""https://docs.google.com/spreadsheets/d/1MNwUNMjcwK6bEgCXwB73jpbK5gJ"&amp;"AXS8ZMpbEMLJEP3E/edit#gid=0"",""'Game 7'!S25"")+50,IMPORTRANGE(""https://docs.google.com/spreadsheets/d/1MNwUNMjcwK6bEgCXwB73jpbK5gJAXS8ZMpbEMLJEP3E/edit#gid=0"",""'Game 7'!S25"")+100)))"),16.0)</f>
        <v>16</v>
      </c>
      <c r="N9" s="7">
        <f>IFERROR(__xludf.DUMMYFUNCTION("IF($A9=IMPORTRANGE(""https://docs.google.com/spreadsheets/d/1UrzyxmT40kDZwVrLMf1yyXfP-pyczRAw9Y8Rw-uXG3c/edit#gid=0"",""'Game 11'!B1""),IF(IMPORTRANGE(""https://docs.google.com/spreadsheets/d/1UrzyxmT40kDZwVrLMf1yyXfP-pyczRAw9Y8Rw-uXG3c/edit#gid=0"",""'Ga"&amp;"me 11'!J25"")&gt;IMPORTRANGE(""https://docs.google.com/spreadsheets/d/1UrzyxmT40kDZwVrLMf1yyXfP-pyczRAw9Y8Rw-uXG3c/edit#gid=0"",""'Game 11'!S25""),IMPORTRANGE(""https://docs.google.com/spreadsheets/d/1UrzyxmT40kDZwVrLMf1yyXfP-pyczRAw9Y8Rw-uXG3c/edit#gid=0"","&amp;"""'Game 11'!J25"")+100,IF(IMPORTRANGE(""https://docs.google.com/spreadsheets/d/1UrzyxmT40kDZwVrLMf1yyXfP-pyczRAw9Y8Rw-uXG3c/edit#gid=0"",""'Game 11'!J25"")=IMPORTRANGE(""https://docs.google.com/spreadsheets/d/1UrzyxmT40kDZwVrLMf1yyXfP-pyczRAw9Y8Rw-uXG3c/e"&amp;"dit#gid=0"",""'Game 11'!S25""),IMPORTRANGE(""https://docs.google.com/spreadsheets/d/1UrzyxmT40kDZwVrLMf1yyXfP-pyczRAw9Y8Rw-uXG3c/edit#gid=0"",""'Game 11'!J25"")+50,IMPORTRANGE(""https://docs.google.com/spreadsheets/d/1UrzyxmT40kDZwVrLMf1yyXfP-pyczRAw9Y8Rw"&amp;"-uXG3c/edit#gid=0"",""'Game 11'!J25""))),IF(IMPORTRANGE(""https://docs.google.com/spreadsheets/d/1UrzyxmT40kDZwVrLMf1yyXfP-pyczRAw9Y8Rw-uXG3c/edit#gid=0"",""'Game 11'!J25"")&gt;IMPORTRANGE(""https://docs.google.com/spreadsheets/d/1UrzyxmT40kDZwVrLMf1yyXfP-py"&amp;"czRAw9Y8Rw-uXG3c/edit#gid=0"",""'Game 11'!S25""),IMPORTRANGE(""https://docs.google.com/spreadsheets/d/1UrzyxmT40kDZwVrLMf1yyXfP-pyczRAw9Y8Rw-uXG3c/edit#gid=0"",""'Game 11'!S25""),IF(IMPORTRANGE(""https://docs.google.com/spreadsheets/d/1UrzyxmT40kDZwVrLMf1"&amp;"yyXfP-pyczRAw9Y8Rw-uXG3c/edit#gid=0"",""'Game 11'!J25"")=IMPORTRANGE(""https://docs.google.com/spreadsheets/d/1UrzyxmT40kDZwVrLMf1yyXfP-pyczRAw9Y8Rw-uXG3c/edit#gid=0"",""'Game 11'!S25""),IMPORTRANGE(""https://docs.google.com/spreadsheets/d/1UrzyxmT40kDZwV"&amp;"rLMf1yyXfP-pyczRAw9Y8Rw-uXG3c/edit#gid=0"",""'Game 11'!S25"")+50,IMPORTRANGE(""https://docs.google.com/spreadsheets/d/1UrzyxmT40kDZwVrLMf1yyXfP-pyczRAw9Y8Rw-uXG3c/edit#gid=0"",""'Game 11'!S25"")+100)))"),4.0)</f>
        <v>4</v>
      </c>
      <c r="O9" s="7">
        <f>IFERROR(__xludf.DUMMYFUNCTION("IF($A9=IMPORTRANGE(""https://docs.google.com/spreadsheets/d/1iyMhSYWifw-KGFtyeBpNxVZr4BhcV9hVZuShgJ9Ia0E/edit#gid=0"",""'Game 10'!B1""),IF(IMPORTRANGE(""https://docs.google.com/spreadsheets/d/1iyMhSYWifw-KGFtyeBpNxVZr4BhcV9hVZuShgJ9Ia0E/edit#gid=0"",""'Ga"&amp;"me 10'!J25"")&gt;IMPORTRANGE(""https://docs.google.com/spreadsheets/d/1iyMhSYWifw-KGFtyeBpNxVZr4BhcV9hVZuShgJ9Ia0E/edit#gid=0"",""'Game 10'!S25""),IMPORTRANGE(""https://docs.google.com/spreadsheets/d/1iyMhSYWifw-KGFtyeBpNxVZr4BhcV9hVZuShgJ9Ia0E/edit#gid=0"","&amp;"""'Game 10'!J25"")+100,IF(IMPORTRANGE(""https://docs.google.com/spreadsheets/d/1iyMhSYWifw-KGFtyeBpNxVZr4BhcV9hVZuShgJ9Ia0E/edit#gid=0"",""'Game 10'!J25"")=IMPORTRANGE(""https://docs.google.com/spreadsheets/d/1iyMhSYWifw-KGFtyeBpNxVZr4BhcV9hVZuShgJ9Ia0E/e"&amp;"dit#gid=0"",""'Game 10'!S25""),IMPORTRANGE(""https://docs.google.com/spreadsheets/d/1iyMhSYWifw-KGFtyeBpNxVZr4BhcV9hVZuShgJ9Ia0E/edit#gid=0"",""'Game 10'!J25"")+50,IMPORTRANGE(""https://docs.google.com/spreadsheets/d/1iyMhSYWifw-KGFtyeBpNxVZr4BhcV9hVZuShg"&amp;"J9Ia0E/edit#gid=0"",""'Game 10'!J25""))),IF(IMPORTRANGE(""https://docs.google.com/spreadsheets/d/1iyMhSYWifw-KGFtyeBpNxVZr4BhcV9hVZuShgJ9Ia0E/edit#gid=0"",""'Game 10'!J25"")&gt;IMPORTRANGE(""https://docs.google.com/spreadsheets/d/1iyMhSYWifw-KGFtyeBpNxVZr4Bh"&amp;"cV9hVZuShgJ9Ia0E/edit#gid=0"",""'Game 10'!S25""),IMPORTRANGE(""https://docs.google.com/spreadsheets/d/1iyMhSYWifw-KGFtyeBpNxVZr4BhcV9hVZuShgJ9Ia0E/edit#gid=0"",""'Game 10'!S25""),IF(IMPORTRANGE(""https://docs.google.com/spreadsheets/d/1iyMhSYWifw-KGFtyeBp"&amp;"NxVZr4BhcV9hVZuShgJ9Ia0E/edit#gid=0"",""'Game 10'!J25"")=IMPORTRANGE(""https://docs.google.com/spreadsheets/d/1iyMhSYWifw-KGFtyeBpNxVZr4BhcV9hVZuShgJ9Ia0E/edit#gid=0"",""'Game 10'!S25""),IMPORTRANGE(""https://docs.google.com/spreadsheets/d/1iyMhSYWifw-KGF"&amp;"tyeBpNxVZr4BhcV9hVZuShgJ9Ia0E/edit#gid=0"",""'Game 10'!S25"")+50,IMPORTRANGE(""https://docs.google.com/spreadsheets/d/1iyMhSYWifw-KGFtyeBpNxVZr4BhcV9hVZuShgJ9Ia0E/edit#gid=0"",""'Game 10'!S25"")+100)))"),12.0)</f>
        <v>12</v>
      </c>
      <c r="P9" s="7">
        <f>IFERROR(__xludf.DUMMYFUNCTION("IF($A9=IMPORTRANGE(""https://docs.google.com/spreadsheets/d/1sSbIK-vvHsSY0LghLJ9gcnW8Hec_ITI2tFmpeqI999A/edit#gid=0"",""'Game 6'!B1""),IF(IMPORTRANGE(""https://docs.google.com/spreadsheets/d/1sSbIK-vvHsSY0LghLJ9gcnW8Hec_ITI2tFmpeqI999A/edit#gid=0"",""'Gam"&amp;"e 6'!J25"")&gt;IMPORTRANGE(""https://docs.google.com/spreadsheets/d/1sSbIK-vvHsSY0LghLJ9gcnW8Hec_ITI2tFmpeqI999A/edit#gid=0"",""'Game 6'!S25""),IMPORTRANGE(""https://docs.google.com/spreadsheets/d/1sSbIK-vvHsSY0LghLJ9gcnW8Hec_ITI2tFmpeqI999A/edit#gid=0"",""'"&amp;"Game 6'!J25"")+100,IF(IMPORTRANGE(""https://docs.google.com/spreadsheets/d/1sSbIK-vvHsSY0LghLJ9gcnW8Hec_ITI2tFmpeqI999A/edit#gid=0"",""'Game 6'!J25"")=IMPORTRANGE(""https://docs.google.com/spreadsheets/d/1sSbIK-vvHsSY0LghLJ9gcnW8Hec_ITI2tFmpeqI999A/edit#g"&amp;"id=0"",""'Game 6'!S25""),IMPORTRANGE(""https://docs.google.com/spreadsheets/d/1sSbIK-vvHsSY0LghLJ9gcnW8Hec_ITI2tFmpeqI999A/edit#gid=0"",""'Game 6'!J25"")+50,IMPORTRANGE(""https://docs.google.com/spreadsheets/d/1sSbIK-vvHsSY0LghLJ9gcnW8Hec_ITI2tFmpeqI999A/"&amp;"edit#gid=0"",""'Game 6'!J25""))),IF(IMPORTRANGE(""https://docs.google.com/spreadsheets/d/1sSbIK-vvHsSY0LghLJ9gcnW8Hec_ITI2tFmpeqI999A/edit#gid=0"",""'Game 6'!J25"")&gt;IMPORTRANGE(""https://docs.google.com/spreadsheets/d/1sSbIK-vvHsSY0LghLJ9gcnW8Hec_ITI2tFmp"&amp;"eqI999A/edit#gid=0"",""'Game 6'!S25""),IMPORTRANGE(""https://docs.google.com/spreadsheets/d/1sSbIK-vvHsSY0LghLJ9gcnW8Hec_ITI2tFmpeqI999A/edit#gid=0"",""'Game 6'!S25""),IF(IMPORTRANGE(""https://docs.google.com/spreadsheets/d/1sSbIK-vvHsSY0LghLJ9gcnW8Hec_IT"&amp;"I2tFmpeqI999A/edit#gid=0"",""'Game 6'!J25"")=IMPORTRANGE(""https://docs.google.com/spreadsheets/d/1sSbIK-vvHsSY0LghLJ9gcnW8Hec_ITI2tFmpeqI999A/edit#gid=0"",""'Game 6'!S25""),IMPORTRANGE(""https://docs.google.com/spreadsheets/d/1sSbIK-vvHsSY0LghLJ9gcnW8Hec"&amp;"_ITI2tFmpeqI999A/edit#gid=0"",""'Game 6'!S25"")+50,IMPORTRANGE(""https://docs.google.com/spreadsheets/d/1sSbIK-vvHsSY0LghLJ9gcnW8Hec_ITI2tFmpeqI999A/edit#gid=0"",""'Game 6'!S25"")+100)))"),8.0)</f>
        <v>8</v>
      </c>
      <c r="Q9" s="37">
        <f t="shared" si="1"/>
        <v>306</v>
      </c>
      <c r="R9" s="37">
        <f t="shared" si="2"/>
        <v>26</v>
      </c>
    </row>
    <row r="10">
      <c r="A10" s="33" t="s">
        <v>114</v>
      </c>
      <c r="B10" s="34">
        <v>134.0</v>
      </c>
      <c r="C10" s="34">
        <v>178.0</v>
      </c>
      <c r="D10" s="34">
        <v>48.0</v>
      </c>
      <c r="E10" s="34">
        <v>126.0</v>
      </c>
      <c r="F10" s="34">
        <v>164.0</v>
      </c>
      <c r="G10" s="35">
        <f>IFERROR(__xludf.DUMMYFUNCTION("IF($A10=IMPORTRANGE(""https://docs.google.com/spreadsheets/d/16J5ie7OD1E99qGO9lMDm8w5Yls-v190B7DTolJ5TmFc/edit#gid=1981724582"",""'Game 1'!B1""),IF(IMPORTRANGE(""https://docs.google.com/spreadsheets/d/16J5ie7OD1E99qGO9lMDm8w5Yls-v190B7DTolJ5TmFc/edit#gid="&amp;"1981724582"",""'Game 1'!J25"")&gt;IMPORTRANGE(""https://docs.google.com/spreadsheets/d/16J5ie7OD1E99qGO9lMDm8w5Yls-v190B7DTolJ5TmFc/edit#gid=1981724582"",""'Game 1'!S25""),IMPORTRANGE(""https://docs.google.com/spreadsheets/d/16J5ie7OD1E99qGO9lMDm8w5Yls-v190B"&amp;"7DTolJ5TmFc/edit#gid=1981724582"",""'Game 1'!J25"")+100,IF(IMPORTRANGE(""https://docs.google.com/spreadsheets/d/16J5ie7OD1E99qGO9lMDm8w5Yls-v190B7DTolJ5TmFc/edit#gid=1981724582"",""'Game 1'!J25"")=IMPORTRANGE(""https://docs.google.com/spreadsheets/d/16J5i"&amp;"e7OD1E99qGO9lMDm8w5Yls-v190B7DTolJ5TmFc/edit#gid=1981724582"",""'Game 1'!S25""),IMPORTRANGE(""https://docs.google.com/spreadsheets/d/16J5ie7OD1E99qGO9lMDm8w5Yls-v190B7DTolJ5TmFc/edit#gid=1981724582"",""'Game 1'!J25"")+50,IMPORTRANGE(""https://docs.google."&amp;"com/spreadsheets/d/16J5ie7OD1E99qGO9lMDm8w5Yls-v190B7DTolJ5TmFc/edit#gid=1981724582"",""'Game 1'!J25""))),IF(IMPORTRANGE(""https://docs.google.com/spreadsheets/d/16J5ie7OD1E99qGO9lMDm8w5Yls-v190B7DTolJ5TmFc/edit#gid=1981724582"",""'Game 1'!J25"")&gt;IMPORTRA"&amp;"NGE(""https://docs.google.com/spreadsheets/d/16J5ie7OD1E99qGO9lMDm8w5Yls-v190B7DTolJ5TmFc/edit#gid=1981724582"",""'Game 1'!S25""),IMPORTRANGE(""https://docs.google.com/spreadsheets/d/16J5ie7OD1E99qGO9lMDm8w5Yls-v190B7DTolJ5TmFc/edit#gid=1981724582"",""'Ga"&amp;"me 1'!S25""),IF(IMPORTRANGE(""https://docs.google.com/spreadsheets/d/16J5ie7OD1E99qGO9lMDm8w5Yls-v190B7DTolJ5TmFc/edit#gid=1981724582"",""'Game 1'!J25"")=IMPORTRANGE(""https://docs.google.com/spreadsheets/d/16J5ie7OD1E99qGO9lMDm8w5Yls-v190B7DTolJ5TmFc/edi"&amp;"t#gid=1981724582"",""'Game 1'!S25""),IMPORTRANGE(""https://docs.google.com/spreadsheets/d/16J5ie7OD1E99qGO9lMDm8w5Yls-v190B7DTolJ5TmFc/edit#gid=1981724582"",""'Game 1'!S25"")+50,IMPORTRANGE(""https://docs.google.com/spreadsheets/d/16J5ie7OD1E99qGO9lMDm8w5"&amp;"Yls-v190B7DTolJ5TmFc/edit#gid=1981724582"",""'Game 1'!S25"")+100)))"),12.0)</f>
        <v>12</v>
      </c>
      <c r="H10" s="34">
        <v>18.0</v>
      </c>
      <c r="I10" s="5">
        <f>IFERROR(__xludf.DUMMYFUNCTION("IF($A10=IMPORTRANGE(""https://docs.google.com/spreadsheets/d/1CTYfdyRk_RFGM3I2iN9bKeD9zUPzEm1ajzml6VgwfIU/edit#gid=0"",""'Game 1'!B1""),IF(IMPORTRANGE(""https://docs.google.com/spreadsheets/d/1CTYfdyRk_RFGM3I2iN9bKeD9zUPzEm1ajzml6VgwfIU/edit#gid=0"",""'Ga"&amp;"me 1'!J25"")&gt;IMPORTRANGE(""https://docs.google.com/spreadsheets/d/1CTYfdyRk_RFGM3I2iN9bKeD9zUPzEm1ajzml6VgwfIU/edit#gid=0"",""'Game 1'!S25""),IMPORTRANGE(""https://docs.google.com/spreadsheets/d/1CTYfdyRk_RFGM3I2iN9bKeD9zUPzEm1ajzml6VgwfIU/edit#gid=0"","""&amp;"'Game 1'!J25"")+100,IF(IMPORTRANGE(""https://docs.google.com/spreadsheets/d/1CTYfdyRk_RFGM3I2iN9bKeD9zUPzEm1ajzml6VgwfIU/edit#gid=0"",""'Game 1'!J25"")=IMPORTRANGE(""https://docs.google.com/spreadsheets/d/1CTYfdyRk_RFGM3I2iN9bKeD9zUPzEm1ajzml6VgwfIU/edit#"&amp;"gid=0"",""'Game 1'!S25""),IMPORTRANGE(""https://docs.google.com/spreadsheets/d/1CTYfdyRk_RFGM3I2iN9bKeD9zUPzEm1ajzml6VgwfIU/edit#gid=0"",""'Game 1'!J25"")+50,IMPORTRANGE(""https://docs.google.com/spreadsheets/d/1CTYfdyRk_RFGM3I2iN9bKeD9zUPzEm1ajzml6VgwfIU"&amp;"/edit#gid=0"",""'Game 1'!J25""))),IF(IMPORTRANGE(""https://docs.google.com/spreadsheets/d/1CTYfdyRk_RFGM3I2iN9bKeD9zUPzEm1ajzml6VgwfIU/edit#gid=0"",""'Game 1'!J25"")&gt;IMPORTRANGE(""https://docs.google.com/spreadsheets/d/1CTYfdyRk_RFGM3I2iN9bKeD9zUPzEm1ajzm"&amp;"l6VgwfIU/edit#gid=0"",""'Game 1'!S25""),IMPORTRANGE(""https://docs.google.com/spreadsheets/d/1CTYfdyRk_RFGM3I2iN9bKeD9zUPzEm1ajzml6VgwfIU/edit#gid=0"",""'Game 1'!S25""),IF(IMPORTRANGE(""https://docs.google.com/spreadsheets/d/1CTYfdyRk_RFGM3I2iN9bKeD9zUPzE"&amp;"m1ajzml6VgwfIU/edit#gid=0"",""'Game 1'!J25"")=IMPORTRANGE(""https://docs.google.com/spreadsheets/d/1CTYfdyRk_RFGM3I2iN9bKeD9zUPzEm1ajzml6VgwfIU/edit#gid=0"",""'Game 1'!S25""),IMPORTRANGE(""https://docs.google.com/spreadsheets/d/1CTYfdyRk_RFGM3I2iN9bKeD9zU"&amp;"PzEm1ajzml6VgwfIU/edit#gid=0"",""'Game 1'!S25"")+50,IMPORTRANGE(""https://docs.google.com/spreadsheets/d/1CTYfdyRk_RFGM3I2iN9bKeD9zUPzEm1ajzml6VgwfIU/edit#gid=0"",""'Game 1'!S25"")+100)))"),80.0)</f>
        <v>80</v>
      </c>
      <c r="J10" s="5">
        <f>IFERROR(__xludf.DUMMYFUNCTION("IF($A10=IMPORTRANGE(""https://docs.google.com/spreadsheets/d/11NFkzOdQyW-OtxSDuGslNCgNjx7HUb2FU7KnlNnPMgY/edit#gid=0"",""'Game 1'!B1""),IF(IMPORTRANGE(""https://docs.google.com/spreadsheets/d/11NFkzOdQyW-OtxSDuGslNCgNjx7HUb2FU7KnlNnPMgY/edit#gid=0"",""'Ga"&amp;"me 1'!J25"")&gt;IMPORTRANGE(""https://docs.google.com/spreadsheets/d/11NFkzOdQyW-OtxSDuGslNCgNjx7HUb2FU7KnlNnPMgY/edit#gid=0"",""'Game 1'!S25""),IMPORTRANGE(""https://docs.google.com/spreadsheets/d/11NFkzOdQyW-OtxSDuGslNCgNjx7HUb2FU7KnlNnPMgY/edit#gid=0"","""&amp;"'Game 1'!J25"")+100,IF(IMPORTRANGE(""https://docs.google.com/spreadsheets/d/11NFkzOdQyW-OtxSDuGslNCgNjx7HUb2FU7KnlNnPMgY/edit#gid=0"",""'Game 1'!J25"")=IMPORTRANGE(""https://docs.google.com/spreadsheets/d/11NFkzOdQyW-OtxSDuGslNCgNjx7HUb2FU7KnlNnPMgY/edit#"&amp;"gid=0"",""'Game 1'!S25""),IMPORTRANGE(""https://docs.google.com/spreadsheets/d/11NFkzOdQyW-OtxSDuGslNCgNjx7HUb2FU7KnlNnPMgY/edit#gid=0"",""'Game 1'!J25"")+50,IMPORTRANGE(""https://docs.google.com/spreadsheets/d/11NFkzOdQyW-OtxSDuGslNCgNjx7HUb2FU7KnlNnPMgY"&amp;"/edit#gid=0"",""'Game 1'!J25""))),IF(IMPORTRANGE(""https://docs.google.com/spreadsheets/d/11NFkzOdQyW-OtxSDuGslNCgNjx7HUb2FU7KnlNnPMgY/edit#gid=0"",""'Game 1'!J25"")&gt;IMPORTRANGE(""https://docs.google.com/spreadsheets/d/11NFkzOdQyW-OtxSDuGslNCgNjx7HUb2FU7K"&amp;"nlNnPMgY/edit#gid=0"",""'Game 1'!S25""),IMPORTRANGE(""https://docs.google.com/spreadsheets/d/11NFkzOdQyW-OtxSDuGslNCgNjx7HUb2FU7KnlNnPMgY/edit#gid=0"",""'Game 1'!S25""),IF(IMPORTRANGE(""https://docs.google.com/spreadsheets/d/11NFkzOdQyW-OtxSDuGslNCgNjx7HU"&amp;"b2FU7KnlNnPMgY/edit#gid=0"",""'Game 1'!J25"")=IMPORTRANGE(""https://docs.google.com/spreadsheets/d/11NFkzOdQyW-OtxSDuGslNCgNjx7HUb2FU7KnlNnPMgY/edit#gid=0"",""'Game 1'!S25""),IMPORTRANGE(""https://docs.google.com/spreadsheets/d/11NFkzOdQyW-OtxSDuGslNCgNjx"&amp;"7HUb2FU7KnlNnPMgY/edit#gid=0"",""'Game 1'!S25"")+50,IMPORTRANGE(""https://docs.google.com/spreadsheets/d/11NFkzOdQyW-OtxSDuGslNCgNjx7HUb2FU7KnlNnPMgY/edit#gid=0"",""'Game 1'!S25"")+100)))"),30.0)</f>
        <v>30</v>
      </c>
      <c r="K10" s="5">
        <f>IFERROR(__xludf.DUMMYFUNCTION("IF($A10=IMPORTRANGE(""https://docs.google.com/spreadsheets/d/1CLg5-jaE4ta0-u4oE1qbBplQ5Mf3Oj9ONFgL0zJ7Ol4/edit#gid=0"",""'Game 1'!B1""),IF(IMPORTRANGE(""https://docs.google.com/spreadsheets/d/1CLg5-jaE4ta0-u4oE1qbBplQ5Mf3Oj9ONFgL0zJ7Ol4/edit#gid=0"",""'Ga"&amp;"me 1'!J25"")&gt;IMPORTRANGE(""https://docs.google.com/spreadsheets/d/1CLg5-jaE4ta0-u4oE1qbBplQ5Mf3Oj9ONFgL0zJ7Ol4/edit#gid=0"",""'Game 1'!S25""),IMPORTRANGE(""https://docs.google.com/spreadsheets/d/1CLg5-jaE4ta0-u4oE1qbBplQ5Mf3Oj9ONFgL0zJ7Ol4/edit#gid=0"","""&amp;"'Game 1'!J25"")+100,IF(IMPORTRANGE(""https://docs.google.com/spreadsheets/d/1CLg5-jaE4ta0-u4oE1qbBplQ5Mf3Oj9ONFgL0zJ7Ol4/edit#gid=0"",""'Game 1'!J25"")=IMPORTRANGE(""https://docs.google.com/spreadsheets/d/1CLg5-jaE4ta0-u4oE1qbBplQ5Mf3Oj9ONFgL0zJ7Ol4/edit#"&amp;"gid=0"",""'Game 1'!S25""),IMPORTRANGE(""https://docs.google.com/spreadsheets/d/1CLg5-jaE4ta0-u4oE1qbBplQ5Mf3Oj9ONFgL0zJ7Ol4/edit#gid=0"",""'Game 1'!J25"")+50,IMPORTRANGE(""https://docs.google.com/spreadsheets/d/1CLg5-jaE4ta0-u4oE1qbBplQ5Mf3Oj9ONFgL0zJ7Ol4"&amp;"/edit#gid=0"",""'Game 1'!J25""))),IF(IMPORTRANGE(""https://docs.google.com/spreadsheets/d/1CLg5-jaE4ta0-u4oE1qbBplQ5Mf3Oj9ONFgL0zJ7Ol4/edit#gid=0"",""'Game 1'!J25"")&gt;IMPORTRANGE(""https://docs.google.com/spreadsheets/d/1CLg5-jaE4ta0-u4oE1qbBplQ5Mf3Oj9ONFg"&amp;"L0zJ7Ol4/edit#gid=0"",""'Game 1'!S25""),IMPORTRANGE(""https://docs.google.com/spreadsheets/d/1CLg5-jaE4ta0-u4oE1qbBplQ5Mf3Oj9ONFgL0zJ7Ol4/edit#gid=0"",""'Game 1'!S25""),IF(IMPORTRANGE(""https://docs.google.com/spreadsheets/d/1CLg5-jaE4ta0-u4oE1qbBplQ5Mf3O"&amp;"j9ONFgL0zJ7Ol4/edit#gid=0"",""'Game 1'!J25"")=IMPORTRANGE(""https://docs.google.com/spreadsheets/d/1CLg5-jaE4ta0-u4oE1qbBplQ5Mf3Oj9ONFgL0zJ7Ol4/edit#gid=0"",""'Game 1'!S25""),IMPORTRANGE(""https://docs.google.com/spreadsheets/d/1CLg5-jaE4ta0-u4oE1qbBplQ5M"&amp;"f3Oj9ONFgL0zJ7Ol4/edit#gid=0"",""'Game 1'!S25"")+50,IMPORTRANGE(""https://docs.google.com/spreadsheets/d/1CLg5-jaE4ta0-u4oE1qbBplQ5Mf3Oj9ONFgL0zJ7Ol4/edit#gid=0"",""'Game 1'!S25"")+100)))"),26.0)</f>
        <v>26</v>
      </c>
      <c r="L10" s="5">
        <f>IFERROR(__xludf.DUMMYFUNCTION("IF($A10=IMPORTRANGE(""https://docs.google.com/spreadsheets/d/1CeexgK4KxWj3k_7nql_k8-RPxXMwTJyB4Q3vAASeDlA/edit#gid=0"",""'Game 1'!B1""),IF(IMPORTRANGE(""https://docs.google.com/spreadsheets/d/1CeexgK4KxWj3k_7nql_k8-RPxXMwTJyB4Q3vAASeDlA/edit#gid=0"",""'Ga"&amp;"me 1'!J25"")&gt;IMPORTRANGE(""https://docs.google.com/spreadsheets/d/1CeexgK4KxWj3k_7nql_k8-RPxXMwTJyB4Q3vAASeDlA/edit#gid=0"",""'Game 1'!S25""),IMPORTRANGE(""https://docs.google.com/spreadsheets/d/1CeexgK4KxWj3k_7nql_k8-RPxXMwTJyB4Q3vAASeDlA/edit#gid=0"","""&amp;"'Game 1'!J25"")+100,IF(IMPORTRANGE(""https://docs.google.com/spreadsheets/d/1CeexgK4KxWj3k_7nql_k8-RPxXMwTJyB4Q3vAASeDlA/edit#gid=0"",""'Game 1'!J25"")=IMPORTRANGE(""https://docs.google.com/spreadsheets/d/1CeexgK4KxWj3k_7nql_k8-RPxXMwTJyB4Q3vAASeDlA/edit#"&amp;"gid=0"",""'Game 1'!S25""),IMPORTRANGE(""https://docs.google.com/spreadsheets/d/1CeexgK4KxWj3k_7nql_k8-RPxXMwTJyB4Q3vAASeDlA/edit#gid=0"",""'Game 1'!J25"")+50,IMPORTRANGE(""https://docs.google.com/spreadsheets/d/1CeexgK4KxWj3k_7nql_k8-RPxXMwTJyB4Q3vAASeDlA"&amp;"/edit#gid=0"",""'Game 1'!J25""))),IF(IMPORTRANGE(""https://docs.google.com/spreadsheets/d/1CeexgK4KxWj3k_7nql_k8-RPxXMwTJyB4Q3vAASeDlA/edit#gid=0"",""'Game 1'!J25"")&gt;IMPORTRANGE(""https://docs.google.com/spreadsheets/d/1CeexgK4KxWj3k_7nql_k8-RPxXMwTJyB4Q3"&amp;"vAASeDlA/edit#gid=0"",""'Game 1'!S25""),IMPORTRANGE(""https://docs.google.com/spreadsheets/d/1CeexgK4KxWj3k_7nql_k8-RPxXMwTJyB4Q3vAASeDlA/edit#gid=0"",""'Game 1'!S25""),IF(IMPORTRANGE(""https://docs.google.com/spreadsheets/d/1CeexgK4KxWj3k_7nql_k8-RPxXMwT"&amp;"JyB4Q3vAASeDlA/edit#gid=0"",""'Game 1'!J25"")=IMPORTRANGE(""https://docs.google.com/spreadsheets/d/1CeexgK4KxWj3k_7nql_k8-RPxXMwTJyB4Q3vAASeDlA/edit#gid=0"",""'Game 1'!S25""),IMPORTRANGE(""https://docs.google.com/spreadsheets/d/1CeexgK4KxWj3k_7nql_k8-RPxX"&amp;"MwTJyB4Q3vAASeDlA/edit#gid=0"",""'Game 1'!S25"")+50,IMPORTRANGE(""https://docs.google.com/spreadsheets/d/1CeexgK4KxWj3k_7nql_k8-RPxXMwTJyB4Q3vAASeDlA/edit#gid=0"",""'Game 1'!S25"")+100)))"),44.0)</f>
        <v>44</v>
      </c>
      <c r="M10" s="5">
        <f>IFERROR(__xludf.DUMMYFUNCTION("IF($A10=IMPORTRANGE(""https://docs.google.com/spreadsheets/d/1MNwUNMjcwK6bEgCXwB73jpbK5gJAXS8ZMpbEMLJEP3E/edit#gid=0"",""'Game 1'!B1""),IF(IMPORTRANGE(""https://docs.google.com/spreadsheets/d/1MNwUNMjcwK6bEgCXwB73jpbK5gJAXS8ZMpbEMLJEP3E/edit#gid=0"",""'Ga"&amp;"me 1'!J25"")&gt;IMPORTRANGE(""https://docs.google.com/spreadsheets/d/1MNwUNMjcwK6bEgCXwB73jpbK5gJAXS8ZMpbEMLJEP3E/edit#gid=0"",""'Game 1'!S25""),IMPORTRANGE(""https://docs.google.com/spreadsheets/d/1MNwUNMjcwK6bEgCXwB73jpbK5gJAXS8ZMpbEMLJEP3E/edit#gid=0"","""&amp;"'Game 1'!J25"")+100,IF(IMPORTRANGE(""https://docs.google.com/spreadsheets/d/1MNwUNMjcwK6bEgCXwB73jpbK5gJAXS8ZMpbEMLJEP3E/edit#gid=0"",""'Game 1'!J25"")=IMPORTRANGE(""https://docs.google.com/spreadsheets/d/1MNwUNMjcwK6bEgCXwB73jpbK5gJAXS8ZMpbEMLJEP3E/edit#"&amp;"gid=0"",""'Game 1'!S25""),IMPORTRANGE(""https://docs.google.com/spreadsheets/d/1MNwUNMjcwK6bEgCXwB73jpbK5gJAXS8ZMpbEMLJEP3E/edit#gid=0"",""'Game 1'!J25"")+50,IMPORTRANGE(""https://docs.google.com/spreadsheets/d/1MNwUNMjcwK6bEgCXwB73jpbK5gJAXS8ZMpbEMLJEP3E"&amp;"/edit#gid=0"",""'Game 1'!J25""))),IF(IMPORTRANGE(""https://docs.google.com/spreadsheets/d/1MNwUNMjcwK6bEgCXwB73jpbK5gJAXS8ZMpbEMLJEP3E/edit#gid=0"",""'Game 1'!J25"")&gt;IMPORTRANGE(""https://docs.google.com/spreadsheets/d/1MNwUNMjcwK6bEgCXwB73jpbK5gJAXS8ZMpb"&amp;"EMLJEP3E/edit#gid=0"",""'Game 1'!S25""),IMPORTRANGE(""https://docs.google.com/spreadsheets/d/1MNwUNMjcwK6bEgCXwB73jpbK5gJAXS8ZMpbEMLJEP3E/edit#gid=0"",""'Game 1'!S25""),IF(IMPORTRANGE(""https://docs.google.com/spreadsheets/d/1MNwUNMjcwK6bEgCXwB73jpbK5gJAX"&amp;"S8ZMpbEMLJEP3E/edit#gid=0"",""'Game 1'!J25"")=IMPORTRANGE(""https://docs.google.com/spreadsheets/d/1MNwUNMjcwK6bEgCXwB73jpbK5gJAXS8ZMpbEMLJEP3E/edit#gid=0"",""'Game 1'!S25""),IMPORTRANGE(""https://docs.google.com/spreadsheets/d/1MNwUNMjcwK6bEgCXwB73jpbK5g"&amp;"JAXS8ZMpbEMLJEP3E/edit#gid=0"",""'Game 1'!S25"")+50,IMPORTRANGE(""https://docs.google.com/spreadsheets/d/1MNwUNMjcwK6bEgCXwB73jpbK5gJAXS8ZMpbEMLJEP3E/edit#gid=0"",""'Game 1'!S25"")+100)))"),36.0)</f>
        <v>36</v>
      </c>
      <c r="N10" s="5">
        <f>IFERROR(__xludf.DUMMYFUNCTION("IF($A10=IMPORTRANGE(""https://docs.google.com/spreadsheets/d/1UrzyxmT40kDZwVrLMf1yyXfP-pyczRAw9Y8Rw-uXG3c/edit#gid=0"",""'Game 1'!B1""),IF(IMPORTRANGE(""https://docs.google.com/spreadsheets/d/1UrzyxmT40kDZwVrLMf1yyXfP-pyczRAw9Y8Rw-uXG3c/edit#gid=0"",""'Ga"&amp;"me 1'!J25"")&gt;IMPORTRANGE(""https://docs.google.com/spreadsheets/d/1UrzyxmT40kDZwVrLMf1yyXfP-pyczRAw9Y8Rw-uXG3c/edit#gid=0"",""'Game 1'!S25""),IMPORTRANGE(""https://docs.google.com/spreadsheets/d/1UrzyxmT40kDZwVrLMf1yyXfP-pyczRAw9Y8Rw-uXG3c/edit#gid=0"","""&amp;"'Game 1'!J25"")+100,IF(IMPORTRANGE(""https://docs.google.com/spreadsheets/d/1UrzyxmT40kDZwVrLMf1yyXfP-pyczRAw9Y8Rw-uXG3c/edit#gid=0"",""'Game 1'!J25"")=IMPORTRANGE(""https://docs.google.com/spreadsheets/d/1UrzyxmT40kDZwVrLMf1yyXfP-pyczRAw9Y8Rw-uXG3c/edit#"&amp;"gid=0"",""'Game 1'!S25""),IMPORTRANGE(""https://docs.google.com/spreadsheets/d/1UrzyxmT40kDZwVrLMf1yyXfP-pyczRAw9Y8Rw-uXG3c/edit#gid=0"",""'Game 1'!J25"")+50,IMPORTRANGE(""https://docs.google.com/spreadsheets/d/1UrzyxmT40kDZwVrLMf1yyXfP-pyczRAw9Y8Rw-uXG3c"&amp;"/edit#gid=0"",""'Game 1'!J25""))),IF(IMPORTRANGE(""https://docs.google.com/spreadsheets/d/1UrzyxmT40kDZwVrLMf1yyXfP-pyczRAw9Y8Rw-uXG3c/edit#gid=0"",""'Game 1'!J25"")&gt;IMPORTRANGE(""https://docs.google.com/spreadsheets/d/1UrzyxmT40kDZwVrLMf1yyXfP-pyczRAw9Y8"&amp;"Rw-uXG3c/edit#gid=0"",""'Game 1'!S25""),IMPORTRANGE(""https://docs.google.com/spreadsheets/d/1UrzyxmT40kDZwVrLMf1yyXfP-pyczRAw9Y8Rw-uXG3c/edit#gid=0"",""'Game 1'!S25""),IF(IMPORTRANGE(""https://docs.google.com/spreadsheets/d/1UrzyxmT40kDZwVrLMf1yyXfP-pycz"&amp;"RAw9Y8Rw-uXG3c/edit#gid=0"",""'Game 1'!J25"")=IMPORTRANGE(""https://docs.google.com/spreadsheets/d/1UrzyxmT40kDZwVrLMf1yyXfP-pyczRAw9Y8Rw-uXG3c/edit#gid=0"",""'Game 1'!S25""),IMPORTRANGE(""https://docs.google.com/spreadsheets/d/1UrzyxmT40kDZwVrLMf1yyXfP-p"&amp;"yczRAw9Y8Rw-uXG3c/edit#gid=0"",""'Game 1'!S25"")+50,IMPORTRANGE(""https://docs.google.com/spreadsheets/d/1UrzyxmT40kDZwVrLMf1yyXfP-pyczRAw9Y8Rw-uXG3c/edit#gid=0"",""'Game 1'!S25"")+100)))"),152.0)</f>
        <v>152</v>
      </c>
      <c r="O10" s="5">
        <f>IFERROR(__xludf.DUMMYFUNCTION("IF($A10=IMPORTRANGE(""https://docs.google.com/spreadsheets/d/1iyMhSYWifw-KGFtyeBpNxVZr4BhcV9hVZuShgJ9Ia0E/edit#gid=0"",""'Game 1'!B1""),IF(IMPORTRANGE(""https://docs.google.com/spreadsheets/d/1iyMhSYWifw-KGFtyeBpNxVZr4BhcV9hVZuShgJ9Ia0E/edit#gid=0"",""'Ga"&amp;"me 1'!J25"")&gt;IMPORTRANGE(""https://docs.google.com/spreadsheets/d/1iyMhSYWifw-KGFtyeBpNxVZr4BhcV9hVZuShgJ9Ia0E/edit#gid=0"",""'Game 1'!S25""),IMPORTRANGE(""https://docs.google.com/spreadsheets/d/1iyMhSYWifw-KGFtyeBpNxVZr4BhcV9hVZuShgJ9Ia0E/edit#gid=0"","""&amp;"'Game 1'!J25"")+100,IF(IMPORTRANGE(""https://docs.google.com/spreadsheets/d/1iyMhSYWifw-KGFtyeBpNxVZr4BhcV9hVZuShgJ9Ia0E/edit#gid=0"",""'Game 1'!J25"")=IMPORTRANGE(""https://docs.google.com/spreadsheets/d/1iyMhSYWifw-KGFtyeBpNxVZr4BhcV9hVZuShgJ9Ia0E/edit#"&amp;"gid=0"",""'Game 1'!S25""),IMPORTRANGE(""https://docs.google.com/spreadsheets/d/1iyMhSYWifw-KGFtyeBpNxVZr4BhcV9hVZuShgJ9Ia0E/edit#gid=0"",""'Game 1'!J25"")+50,IMPORTRANGE(""https://docs.google.com/spreadsheets/d/1iyMhSYWifw-KGFtyeBpNxVZr4BhcV9hVZuShgJ9Ia0E"&amp;"/edit#gid=0"",""'Game 1'!J25""))),IF(IMPORTRANGE(""https://docs.google.com/spreadsheets/d/1iyMhSYWifw-KGFtyeBpNxVZr4BhcV9hVZuShgJ9Ia0E/edit#gid=0"",""'Game 1'!J25"")&gt;IMPORTRANGE(""https://docs.google.com/spreadsheets/d/1iyMhSYWifw-KGFtyeBpNxVZr4BhcV9hVZuS"&amp;"hgJ9Ia0E/edit#gid=0"",""'Game 1'!S25""),IMPORTRANGE(""https://docs.google.com/spreadsheets/d/1iyMhSYWifw-KGFtyeBpNxVZr4BhcV9hVZuShgJ9Ia0E/edit#gid=0"",""'Game 1'!S25""),IF(IMPORTRANGE(""https://docs.google.com/spreadsheets/d/1iyMhSYWifw-KGFtyeBpNxVZr4BhcV"&amp;"9hVZuShgJ9Ia0E/edit#gid=0"",""'Game 1'!J25"")=IMPORTRANGE(""https://docs.google.com/spreadsheets/d/1iyMhSYWifw-KGFtyeBpNxVZr4BhcV9hVZuShgJ9Ia0E/edit#gid=0"",""'Game 1'!S25""),IMPORTRANGE(""https://docs.google.com/spreadsheets/d/1iyMhSYWifw-KGFtyeBpNxVZr4B"&amp;"hcV9hVZuShgJ9Ia0E/edit#gid=0"",""'Game 1'!S25"")+50,IMPORTRANGE(""https://docs.google.com/spreadsheets/d/1iyMhSYWifw-KGFtyeBpNxVZr4BhcV9hVZuShgJ9Ia0E/edit#gid=0"",""'Game 1'!S25"")+100)))"),170.0)</f>
        <v>170</v>
      </c>
      <c r="P10" s="5">
        <f>IFERROR(__xludf.DUMMYFUNCTION("IF($A10=IMPORTRANGE(""https://docs.google.com/spreadsheets/d/1sSbIK-vvHsSY0LghLJ9gcnW8Hec_ITI2tFmpeqI999A/edit#gid=0"",""'Game 1'!B1""),IF(IMPORTRANGE(""https://docs.google.com/spreadsheets/d/1sSbIK-vvHsSY0LghLJ9gcnW8Hec_ITI2tFmpeqI999A/edit#gid=0"",""'Ga"&amp;"me 1'!J25"")&gt;IMPORTRANGE(""https://docs.google.com/spreadsheets/d/1sSbIK-vvHsSY0LghLJ9gcnW8Hec_ITI2tFmpeqI999A/edit#gid=0"",""'Game 1'!S25""),IMPORTRANGE(""https://docs.google.com/spreadsheets/d/1sSbIK-vvHsSY0LghLJ9gcnW8Hec_ITI2tFmpeqI999A/edit#gid=0"","""&amp;"'Game 1'!J25"")+100,IF(IMPORTRANGE(""https://docs.google.com/spreadsheets/d/1sSbIK-vvHsSY0LghLJ9gcnW8Hec_ITI2tFmpeqI999A/edit#gid=0"",""'Game 1'!J25"")=IMPORTRANGE(""https://docs.google.com/spreadsheets/d/1sSbIK-vvHsSY0LghLJ9gcnW8Hec_ITI2tFmpeqI999A/edit#"&amp;"gid=0"",""'Game 1'!S25""),IMPORTRANGE(""https://docs.google.com/spreadsheets/d/1sSbIK-vvHsSY0LghLJ9gcnW8Hec_ITI2tFmpeqI999A/edit#gid=0"",""'Game 1'!J25"")+50,IMPORTRANGE(""https://docs.google.com/spreadsheets/d/1sSbIK-vvHsSY0LghLJ9gcnW8Hec_ITI2tFmpeqI999A"&amp;"/edit#gid=0"",""'Game 1'!J25""))),IF(IMPORTRANGE(""https://docs.google.com/spreadsheets/d/1sSbIK-vvHsSY0LghLJ9gcnW8Hec_ITI2tFmpeqI999A/edit#gid=0"",""'Game 1'!J25"")&gt;IMPORTRANGE(""https://docs.google.com/spreadsheets/d/1sSbIK-vvHsSY0LghLJ9gcnW8Hec_ITI2tFm"&amp;"peqI999A/edit#gid=0"",""'Game 1'!S25""),IMPORTRANGE(""https://docs.google.com/spreadsheets/d/1sSbIK-vvHsSY0LghLJ9gcnW8Hec_ITI2tFmpeqI999A/edit#gid=0"",""'Game 1'!S25""),IF(IMPORTRANGE(""https://docs.google.com/spreadsheets/d/1sSbIK-vvHsSY0LghLJ9gcnW8Hec_I"&amp;"TI2tFmpeqI999A/edit#gid=0"",""'Game 1'!J25"")=IMPORTRANGE(""https://docs.google.com/spreadsheets/d/1sSbIK-vvHsSY0LghLJ9gcnW8Hec_ITI2tFmpeqI999A/edit#gid=0"",""'Game 1'!S25""),IMPORTRANGE(""https://docs.google.com/spreadsheets/d/1sSbIK-vvHsSY0LghLJ9gcnW8He"&amp;"c_ITI2tFmpeqI999A/edit#gid=0"",""'Game 1'!S25"")+50,IMPORTRANGE(""https://docs.google.com/spreadsheets/d/1sSbIK-vvHsSY0LghLJ9gcnW8Hec_ITI2tFmpeqI999A/edit#gid=0"",""'Game 1'!S25"")+100)))"),40.0)</f>
        <v>40</v>
      </c>
      <c r="Q10" s="35">
        <f t="shared" si="1"/>
        <v>1258</v>
      </c>
      <c r="R10" s="35">
        <f t="shared" si="2"/>
        <v>15</v>
      </c>
    </row>
    <row r="11">
      <c r="A11" s="32" t="s">
        <v>125</v>
      </c>
      <c r="B11" s="36">
        <v>140.0</v>
      </c>
      <c r="C11" s="36">
        <v>-8.0</v>
      </c>
      <c r="D11" s="36">
        <v>144.0</v>
      </c>
      <c r="E11" s="36">
        <v>16.0</v>
      </c>
      <c r="F11" s="36">
        <v>160.0</v>
      </c>
      <c r="G11" s="37">
        <f>IFERROR(__xludf.DUMMYFUNCTION("IF($A11=IMPORTRANGE(""https://docs.google.com/spreadsheets/d/16J5ie7OD1E99qGO9lMDm8w5Yls-v190B7DTolJ5TmFc/edit#gid=1981724582"",""'Game 6'!B1""),IF(IMPORTRANGE(""https://docs.google.com/spreadsheets/d/16J5ie7OD1E99qGO9lMDm8w5Yls-v190B7DTolJ5TmFc/edit#gid="&amp;"1981724582"",""'Game 6'!J25"")&gt;IMPORTRANGE(""https://docs.google.com/spreadsheets/d/16J5ie7OD1E99qGO9lMDm8w5Yls-v190B7DTolJ5TmFc/edit#gid=1981724582"",""'Game 6'!S25""),IMPORTRANGE(""https://docs.google.com/spreadsheets/d/16J5ie7OD1E99qGO9lMDm8w5Yls-v190B"&amp;"7DTolJ5TmFc/edit#gid=1981724582"",""'Game 6'!J25"")+100,IF(IMPORTRANGE(""https://docs.google.com/spreadsheets/d/16J5ie7OD1E99qGO9lMDm8w5Yls-v190B7DTolJ5TmFc/edit#gid=1981724582"",""'Game 6'!J25"")=IMPORTRANGE(""https://docs.google.com/spreadsheets/d/16J5i"&amp;"e7OD1E99qGO9lMDm8w5Yls-v190B7DTolJ5TmFc/edit#gid=1981724582"",""'Game 6'!S25""),IMPORTRANGE(""https://docs.google.com/spreadsheets/d/16J5ie7OD1E99qGO9lMDm8w5Yls-v190B7DTolJ5TmFc/edit#gid=1981724582"",""'Game 6'!J25"")+50,IMPORTRANGE(""https://docs.google."&amp;"com/spreadsheets/d/16J5ie7OD1E99qGO9lMDm8w5Yls-v190B7DTolJ5TmFc/edit#gid=1981724582"",""'Game 6'!J25""))),IF(IMPORTRANGE(""https://docs.google.com/spreadsheets/d/16J5ie7OD1E99qGO9lMDm8w5Yls-v190B7DTolJ5TmFc/edit#gid=1981724582"",""'Game 6'!J25"")&gt;IMPORTRA"&amp;"NGE(""https://docs.google.com/spreadsheets/d/16J5ie7OD1E99qGO9lMDm8w5Yls-v190B7DTolJ5TmFc/edit#gid=1981724582"",""'Game 6'!S25""),IMPORTRANGE(""https://docs.google.com/spreadsheets/d/16J5ie7OD1E99qGO9lMDm8w5Yls-v190B7DTolJ5TmFc/edit#gid=1981724582"",""'Ga"&amp;"me 6'!S25""),IF(IMPORTRANGE(""https://docs.google.com/spreadsheets/d/16J5ie7OD1E99qGO9lMDm8w5Yls-v190B7DTolJ5TmFc/edit#gid=1981724582"",""'Game 6'!J25"")=IMPORTRANGE(""https://docs.google.com/spreadsheets/d/16J5ie7OD1E99qGO9lMDm8w5Yls-v190B7DTolJ5TmFc/edi"&amp;"t#gid=1981724582"",""'Game 6'!S25""),IMPORTRANGE(""https://docs.google.com/spreadsheets/d/16J5ie7OD1E99qGO9lMDm8w5Yls-v190B7DTolJ5TmFc/edit#gid=1981724582"",""'Game 6'!S25"")+50,IMPORTRANGE(""https://docs.google.com/spreadsheets/d/16J5ie7OD1E99qGO9lMDm8w5"&amp;"Yls-v190B7DTolJ5TmFc/edit#gid=1981724582"",""'Game 6'!S25"")+100)))"),164.0)</f>
        <v>164</v>
      </c>
      <c r="H11" s="36">
        <v>150.0</v>
      </c>
      <c r="I11" s="7">
        <f>IFERROR(__xludf.DUMMYFUNCTION("IF($A11=IMPORTRANGE(""https://docs.google.com/spreadsheets/d/1CTYfdyRk_RFGM3I2iN9bKeD9zUPzEm1ajzml6VgwfIU/edit#gid=0"",""'Game 4'!B1""),IF(IMPORTRANGE(""https://docs.google.com/spreadsheets/d/1CTYfdyRk_RFGM3I2iN9bKeD9zUPzEm1ajzml6VgwfIU/edit#gid=0"",""'Ga"&amp;"me 4'!J25"")&gt;IMPORTRANGE(""https://docs.google.com/spreadsheets/d/1CTYfdyRk_RFGM3I2iN9bKeD9zUPzEm1ajzml6VgwfIU/edit#gid=0"",""'Game 4'!S25""),IMPORTRANGE(""https://docs.google.com/spreadsheets/d/1CTYfdyRk_RFGM3I2iN9bKeD9zUPzEm1ajzml6VgwfIU/edit#gid=0"","""&amp;"'Game 4'!J25"")+100,IF(IMPORTRANGE(""https://docs.google.com/spreadsheets/d/1CTYfdyRk_RFGM3I2iN9bKeD9zUPzEm1ajzml6VgwfIU/edit#gid=0"",""'Game 4'!J25"")=IMPORTRANGE(""https://docs.google.com/spreadsheets/d/1CTYfdyRk_RFGM3I2iN9bKeD9zUPzEm1ajzml6VgwfIU/edit#"&amp;"gid=0"",""'Game 4'!S25""),IMPORTRANGE(""https://docs.google.com/spreadsheets/d/1CTYfdyRk_RFGM3I2iN9bKeD9zUPzEm1ajzml6VgwfIU/edit#gid=0"",""'Game 4'!J25"")+50,IMPORTRANGE(""https://docs.google.com/spreadsheets/d/1CTYfdyRk_RFGM3I2iN9bKeD9zUPzEm1ajzml6VgwfIU"&amp;"/edit#gid=0"",""'Game 4'!J25""))),IF(IMPORTRANGE(""https://docs.google.com/spreadsheets/d/1CTYfdyRk_RFGM3I2iN9bKeD9zUPzEm1ajzml6VgwfIU/edit#gid=0"",""'Game 4'!J25"")&gt;IMPORTRANGE(""https://docs.google.com/spreadsheets/d/1CTYfdyRk_RFGM3I2iN9bKeD9zUPzEm1ajzm"&amp;"l6VgwfIU/edit#gid=0"",""'Game 4'!S25""),IMPORTRANGE(""https://docs.google.com/spreadsheets/d/1CTYfdyRk_RFGM3I2iN9bKeD9zUPzEm1ajzml6VgwfIU/edit#gid=0"",""'Game 4'!S25""),IF(IMPORTRANGE(""https://docs.google.com/spreadsheets/d/1CTYfdyRk_RFGM3I2iN9bKeD9zUPzE"&amp;"m1ajzml6VgwfIU/edit#gid=0"",""'Game 4'!J25"")=IMPORTRANGE(""https://docs.google.com/spreadsheets/d/1CTYfdyRk_RFGM3I2iN9bKeD9zUPzEm1ajzml6VgwfIU/edit#gid=0"",""'Game 4'!S25""),IMPORTRANGE(""https://docs.google.com/spreadsheets/d/1CTYfdyRk_RFGM3I2iN9bKeD9zU"&amp;"PzEm1ajzml6VgwfIU/edit#gid=0"",""'Game 4'!S25"")+50,IMPORTRANGE(""https://docs.google.com/spreadsheets/d/1CTYfdyRk_RFGM3I2iN9bKeD9zUPzEm1ajzml6VgwfIU/edit#gid=0"",""'Game 4'!S25"")+100)))"),180.0)</f>
        <v>180</v>
      </c>
      <c r="J11" s="7">
        <f>IFERROR(__xludf.DUMMYFUNCTION("IF($A11=IMPORTRANGE(""https://docs.google.com/spreadsheets/d/11NFkzOdQyW-OtxSDuGslNCgNjx7HUb2FU7KnlNnPMgY/edit#gid=0"",""'Game 7'!B1""),IF(IMPORTRANGE(""https://docs.google.com/spreadsheets/d/11NFkzOdQyW-OtxSDuGslNCgNjx7HUb2FU7KnlNnPMgY/edit#gid=0"",""'Ga"&amp;"me 7'!J25"")&gt;IMPORTRANGE(""https://docs.google.com/spreadsheets/d/11NFkzOdQyW-OtxSDuGslNCgNjx7HUb2FU7KnlNnPMgY/edit#gid=0"",""'Game 7'!S25""),IMPORTRANGE(""https://docs.google.com/spreadsheets/d/11NFkzOdQyW-OtxSDuGslNCgNjx7HUb2FU7KnlNnPMgY/edit#gid=0"","""&amp;"'Game 7'!J25"")+100,IF(IMPORTRANGE(""https://docs.google.com/spreadsheets/d/11NFkzOdQyW-OtxSDuGslNCgNjx7HUb2FU7KnlNnPMgY/edit#gid=0"",""'Game 7'!J25"")=IMPORTRANGE(""https://docs.google.com/spreadsheets/d/11NFkzOdQyW-OtxSDuGslNCgNjx7HUb2FU7KnlNnPMgY/edit#"&amp;"gid=0"",""'Game 7'!S25""),IMPORTRANGE(""https://docs.google.com/spreadsheets/d/11NFkzOdQyW-OtxSDuGslNCgNjx7HUb2FU7KnlNnPMgY/edit#gid=0"",""'Game 7'!J25"")+50,IMPORTRANGE(""https://docs.google.com/spreadsheets/d/11NFkzOdQyW-OtxSDuGslNCgNjx7HUb2FU7KnlNnPMgY"&amp;"/edit#gid=0"",""'Game 7'!J25""))),IF(IMPORTRANGE(""https://docs.google.com/spreadsheets/d/11NFkzOdQyW-OtxSDuGslNCgNjx7HUb2FU7KnlNnPMgY/edit#gid=0"",""'Game 7'!J25"")&gt;IMPORTRANGE(""https://docs.google.com/spreadsheets/d/11NFkzOdQyW-OtxSDuGslNCgNjx7HUb2FU7K"&amp;"nlNnPMgY/edit#gid=0"",""'Game 7'!S25""),IMPORTRANGE(""https://docs.google.com/spreadsheets/d/11NFkzOdQyW-OtxSDuGslNCgNjx7HUb2FU7KnlNnPMgY/edit#gid=0"",""'Game 7'!S25""),IF(IMPORTRANGE(""https://docs.google.com/spreadsheets/d/11NFkzOdQyW-OtxSDuGslNCgNjx7HU"&amp;"b2FU7KnlNnPMgY/edit#gid=0"",""'Game 7'!J25"")=IMPORTRANGE(""https://docs.google.com/spreadsheets/d/11NFkzOdQyW-OtxSDuGslNCgNjx7HUb2FU7KnlNnPMgY/edit#gid=0"",""'Game 7'!S25""),IMPORTRANGE(""https://docs.google.com/spreadsheets/d/11NFkzOdQyW-OtxSDuGslNCgNjx"&amp;"7HUb2FU7KnlNnPMgY/edit#gid=0"",""'Game 7'!S25"")+50,IMPORTRANGE(""https://docs.google.com/spreadsheets/d/11NFkzOdQyW-OtxSDuGslNCgNjx7HUb2FU7KnlNnPMgY/edit#gid=0"",""'Game 7'!S25"")+100)))"),138.0)</f>
        <v>138</v>
      </c>
      <c r="K11" s="7">
        <f>IFERROR(__xludf.DUMMYFUNCTION("IF($A11=IMPORTRANGE(""https://docs.google.com/spreadsheets/d/1CLg5-jaE4ta0-u4oE1qbBplQ5Mf3Oj9ONFgL0zJ7Ol4/edit#gid=0"",""'Game 5'!B1""),IF(IMPORTRANGE(""https://docs.google.com/spreadsheets/d/1CLg5-jaE4ta0-u4oE1qbBplQ5Mf3Oj9ONFgL0zJ7Ol4/edit#gid=0"",""'Ga"&amp;"me 5'!J25"")&gt;IMPORTRANGE(""https://docs.google.com/spreadsheets/d/1CLg5-jaE4ta0-u4oE1qbBplQ5Mf3Oj9ONFgL0zJ7Ol4/edit#gid=0"",""'Game 5'!S25""),IMPORTRANGE(""https://docs.google.com/spreadsheets/d/1CLg5-jaE4ta0-u4oE1qbBplQ5Mf3Oj9ONFgL0zJ7Ol4/edit#gid=0"","""&amp;"'Game 5'!J25"")+100,IF(IMPORTRANGE(""https://docs.google.com/spreadsheets/d/1CLg5-jaE4ta0-u4oE1qbBplQ5Mf3Oj9ONFgL0zJ7Ol4/edit#gid=0"",""'Game 5'!J25"")=IMPORTRANGE(""https://docs.google.com/spreadsheets/d/1CLg5-jaE4ta0-u4oE1qbBplQ5Mf3Oj9ONFgL0zJ7Ol4/edit#"&amp;"gid=0"",""'Game 5'!S25""),IMPORTRANGE(""https://docs.google.com/spreadsheets/d/1CLg5-jaE4ta0-u4oE1qbBplQ5Mf3Oj9ONFgL0zJ7Ol4/edit#gid=0"",""'Game 5'!J25"")+50,IMPORTRANGE(""https://docs.google.com/spreadsheets/d/1CLg5-jaE4ta0-u4oE1qbBplQ5Mf3Oj9ONFgL0zJ7Ol4"&amp;"/edit#gid=0"",""'Game 5'!J25""))),IF(IMPORTRANGE(""https://docs.google.com/spreadsheets/d/1CLg5-jaE4ta0-u4oE1qbBplQ5Mf3Oj9ONFgL0zJ7Ol4/edit#gid=0"",""'Game 5'!J25"")&gt;IMPORTRANGE(""https://docs.google.com/spreadsheets/d/1CLg5-jaE4ta0-u4oE1qbBplQ5Mf3Oj9ONFg"&amp;"L0zJ7Ol4/edit#gid=0"",""'Game 5'!S25""),IMPORTRANGE(""https://docs.google.com/spreadsheets/d/1CLg5-jaE4ta0-u4oE1qbBplQ5Mf3Oj9ONFgL0zJ7Ol4/edit#gid=0"",""'Game 5'!S25""),IF(IMPORTRANGE(""https://docs.google.com/spreadsheets/d/1CLg5-jaE4ta0-u4oE1qbBplQ5Mf3O"&amp;"j9ONFgL0zJ7Ol4/edit#gid=0"",""'Game 5'!J25"")=IMPORTRANGE(""https://docs.google.com/spreadsheets/d/1CLg5-jaE4ta0-u4oE1qbBplQ5Mf3Oj9ONFgL0zJ7Ol4/edit#gid=0"",""'Game 5'!S25""),IMPORTRANGE(""https://docs.google.com/spreadsheets/d/1CLg5-jaE4ta0-u4oE1qbBplQ5M"&amp;"f3Oj9ONFgL0zJ7Ol4/edit#gid=0"",""'Game 5'!S25"")+50,IMPORTRANGE(""https://docs.google.com/spreadsheets/d/1CLg5-jaE4ta0-u4oE1qbBplQ5Mf3Oj9ONFgL0zJ7Ol4/edit#gid=0"",""'Game 5'!S25"")+100)))"),56.0)</f>
        <v>56</v>
      </c>
      <c r="L11" s="7">
        <f>IFERROR(__xludf.DUMMYFUNCTION("IF($A11=IMPORTRANGE(""https://docs.google.com/spreadsheets/d/1CeexgK4KxWj3k_7nql_k8-RPxXMwTJyB4Q3vAASeDlA/edit#gid=0"",""'Game 13'!B1""),IF(IMPORTRANGE(""https://docs.google.com/spreadsheets/d/1CeexgK4KxWj3k_7nql_k8-RPxXMwTJyB4Q3vAASeDlA/edit#gid=0"",""'G"&amp;"ame 13'!J25"")&gt;IMPORTRANGE(""https://docs.google.com/spreadsheets/d/1CeexgK4KxWj3k_7nql_k8-RPxXMwTJyB4Q3vAASeDlA/edit#gid=0"",""'Game 13'!S25""),IMPORTRANGE(""https://docs.google.com/spreadsheets/d/1CeexgK4KxWj3k_7nql_k8-RPxXMwTJyB4Q3vAASeDlA/edit#gid=0"""&amp;",""'Game 13'!J25"")+100,IF(IMPORTRANGE(""https://docs.google.com/spreadsheets/d/1CeexgK4KxWj3k_7nql_k8-RPxXMwTJyB4Q3vAASeDlA/edit#gid=0"",""'Game 13'!J25"")=IMPORTRANGE(""https://docs.google.com/spreadsheets/d/1CeexgK4KxWj3k_7nql_k8-RPxXMwTJyB4Q3vAASeDlA/"&amp;"edit#gid=0"",""'Game 13'!S25""),IMPORTRANGE(""https://docs.google.com/spreadsheets/d/1CeexgK4KxWj3k_7nql_k8-RPxXMwTJyB4Q3vAASeDlA/edit#gid=0"",""'Game 13'!J25"")+50,IMPORTRANGE(""https://docs.google.com/spreadsheets/d/1CeexgK4KxWj3k_7nql_k8-RPxXMwTJyB4Q3v"&amp;"AASeDlA/edit#gid=0"",""'Game 13'!J25""))),IF(IMPORTRANGE(""https://docs.google.com/spreadsheets/d/1CeexgK4KxWj3k_7nql_k8-RPxXMwTJyB4Q3vAASeDlA/edit#gid=0"",""'Game 13'!J25"")&gt;IMPORTRANGE(""https://docs.google.com/spreadsheets/d/1CeexgK4KxWj3k_7nql_k8-RPxX"&amp;"MwTJyB4Q3vAASeDlA/edit#gid=0"",""'Game 13'!S25""),IMPORTRANGE(""https://docs.google.com/spreadsheets/d/1CeexgK4KxWj3k_7nql_k8-RPxXMwTJyB4Q3vAASeDlA/edit#gid=0"",""'Game 13'!S25""),IF(IMPORTRANGE(""https://docs.google.com/spreadsheets/d/1CeexgK4KxWj3k_7nql"&amp;"_k8-RPxXMwTJyB4Q3vAASeDlA/edit#gid=0"",""'Game 13'!J25"")=IMPORTRANGE(""https://docs.google.com/spreadsheets/d/1CeexgK4KxWj3k_7nql_k8-RPxXMwTJyB4Q3vAASeDlA/edit#gid=0"",""'Game 13'!S25""),IMPORTRANGE(""https://docs.google.com/spreadsheets/d/1CeexgK4KxWj3k"&amp;"_7nql_k8-RPxXMwTJyB4Q3vAASeDlA/edit#gid=0"",""'Game 13'!S25"")+50,IMPORTRANGE(""https://docs.google.com/spreadsheets/d/1CeexgK4KxWj3k_7nql_k8-RPxXMwTJyB4Q3vAASeDlA/edit#gid=0"",""'Game 13'!S25"")+100)))"),134.0)</f>
        <v>134</v>
      </c>
      <c r="M11" s="7">
        <f>IFERROR(__xludf.DUMMYFUNCTION("IF($A11=IMPORTRANGE(""https://docs.google.com/spreadsheets/d/1MNwUNMjcwK6bEgCXwB73jpbK5gJAXS8ZMpbEMLJEP3E/edit#gid=0"",""'Game 12'!B1""),IF(IMPORTRANGE(""https://docs.google.com/spreadsheets/d/1MNwUNMjcwK6bEgCXwB73jpbK5gJAXS8ZMpbEMLJEP3E/edit#gid=0"",""'G"&amp;"ame 12'!J25"")&gt;IMPORTRANGE(""https://docs.google.com/spreadsheets/d/1MNwUNMjcwK6bEgCXwB73jpbK5gJAXS8ZMpbEMLJEP3E/edit#gid=0"",""'Game 12'!S25""),IMPORTRANGE(""https://docs.google.com/spreadsheets/d/1MNwUNMjcwK6bEgCXwB73jpbK5gJAXS8ZMpbEMLJEP3E/edit#gid=0"""&amp;",""'Game 12'!J25"")+100,IF(IMPORTRANGE(""https://docs.google.com/spreadsheets/d/1MNwUNMjcwK6bEgCXwB73jpbK5gJAXS8ZMpbEMLJEP3E/edit#gid=0"",""'Game 12'!J25"")=IMPORTRANGE(""https://docs.google.com/spreadsheets/d/1MNwUNMjcwK6bEgCXwB73jpbK5gJAXS8ZMpbEMLJEP3E/"&amp;"edit#gid=0"",""'Game 12'!S25""),IMPORTRANGE(""https://docs.google.com/spreadsheets/d/1MNwUNMjcwK6bEgCXwB73jpbK5gJAXS8ZMpbEMLJEP3E/edit#gid=0"",""'Game 12'!J25"")+50,IMPORTRANGE(""https://docs.google.com/spreadsheets/d/1MNwUNMjcwK6bEgCXwB73jpbK5gJAXS8ZMpbE"&amp;"MLJEP3E/edit#gid=0"",""'Game 12'!J25""))),IF(IMPORTRANGE(""https://docs.google.com/spreadsheets/d/1MNwUNMjcwK6bEgCXwB73jpbK5gJAXS8ZMpbEMLJEP3E/edit#gid=0"",""'Game 12'!J25"")&gt;IMPORTRANGE(""https://docs.google.com/spreadsheets/d/1MNwUNMjcwK6bEgCXwB73jpbK5g"&amp;"JAXS8ZMpbEMLJEP3E/edit#gid=0"",""'Game 12'!S25""),IMPORTRANGE(""https://docs.google.com/spreadsheets/d/1MNwUNMjcwK6bEgCXwB73jpbK5gJAXS8ZMpbEMLJEP3E/edit#gid=0"",""'Game 12'!S25""),IF(IMPORTRANGE(""https://docs.google.com/spreadsheets/d/1MNwUNMjcwK6bEgCXwB"&amp;"73jpbK5gJAXS8ZMpbEMLJEP3E/edit#gid=0"",""'Game 12'!J25"")=IMPORTRANGE(""https://docs.google.com/spreadsheets/d/1MNwUNMjcwK6bEgCXwB73jpbK5gJAXS8ZMpbEMLJEP3E/edit#gid=0"",""'Game 12'!S25""),IMPORTRANGE(""https://docs.google.com/spreadsheets/d/1MNwUNMjcwK6bE"&amp;"gCXwB73jpbK5gJAXS8ZMpbEMLJEP3E/edit#gid=0"",""'Game 12'!S25"")+50,IMPORTRANGE(""https://docs.google.com/spreadsheets/d/1MNwUNMjcwK6bEgCXwB73jpbK5gJAXS8ZMpbEMLJEP3E/edit#gid=0"",""'Game 12'!S25"")+100)))"),148.0)</f>
        <v>148</v>
      </c>
      <c r="N11" s="7">
        <f>IFERROR(__xludf.DUMMYFUNCTION("IF($A11=IMPORTRANGE(""https://docs.google.com/spreadsheets/d/1UrzyxmT40kDZwVrLMf1yyXfP-pyczRAw9Y8Rw-uXG3c/edit#gid=0"",""'Game 1'!B1""),IF(IMPORTRANGE(""https://docs.google.com/spreadsheets/d/1UrzyxmT40kDZwVrLMf1yyXfP-pyczRAw9Y8Rw-uXG3c/edit#gid=0"",""'Ga"&amp;"me 1'!J25"")&gt;IMPORTRANGE(""https://docs.google.com/spreadsheets/d/1UrzyxmT40kDZwVrLMf1yyXfP-pyczRAw9Y8Rw-uXG3c/edit#gid=0"",""'Game 1'!S25""),IMPORTRANGE(""https://docs.google.com/spreadsheets/d/1UrzyxmT40kDZwVrLMf1yyXfP-pyczRAw9Y8Rw-uXG3c/edit#gid=0"","""&amp;"'Game 1'!J25"")+100,IF(IMPORTRANGE(""https://docs.google.com/spreadsheets/d/1UrzyxmT40kDZwVrLMf1yyXfP-pyczRAw9Y8Rw-uXG3c/edit#gid=0"",""'Game 1'!J25"")=IMPORTRANGE(""https://docs.google.com/spreadsheets/d/1UrzyxmT40kDZwVrLMf1yyXfP-pyczRAw9Y8Rw-uXG3c/edit#"&amp;"gid=0"",""'Game 1'!S25""),IMPORTRANGE(""https://docs.google.com/spreadsheets/d/1UrzyxmT40kDZwVrLMf1yyXfP-pyczRAw9Y8Rw-uXG3c/edit#gid=0"",""'Game 1'!J25"")+50,IMPORTRANGE(""https://docs.google.com/spreadsheets/d/1UrzyxmT40kDZwVrLMf1yyXfP-pyczRAw9Y8Rw-uXG3c"&amp;"/edit#gid=0"",""'Game 1'!J25""))),IF(IMPORTRANGE(""https://docs.google.com/spreadsheets/d/1UrzyxmT40kDZwVrLMf1yyXfP-pyczRAw9Y8Rw-uXG3c/edit#gid=0"",""'Game 1'!J25"")&gt;IMPORTRANGE(""https://docs.google.com/spreadsheets/d/1UrzyxmT40kDZwVrLMf1yyXfP-pyczRAw9Y8"&amp;"Rw-uXG3c/edit#gid=0"",""'Game 1'!S25""),IMPORTRANGE(""https://docs.google.com/spreadsheets/d/1UrzyxmT40kDZwVrLMf1yyXfP-pyczRAw9Y8Rw-uXG3c/edit#gid=0"",""'Game 1'!S25""),IF(IMPORTRANGE(""https://docs.google.com/spreadsheets/d/1UrzyxmT40kDZwVrLMf1yyXfP-pycz"&amp;"RAw9Y8Rw-uXG3c/edit#gid=0"",""'Game 1'!J25"")=IMPORTRANGE(""https://docs.google.com/spreadsheets/d/1UrzyxmT40kDZwVrLMf1yyXfP-pyczRAw9Y8Rw-uXG3c/edit#gid=0"",""'Game 1'!S25""),IMPORTRANGE(""https://docs.google.com/spreadsheets/d/1UrzyxmT40kDZwVrLMf1yyXfP-p"&amp;"yczRAw9Y8Rw-uXG3c/edit#gid=0"",""'Game 1'!S25"")+50,IMPORTRANGE(""https://docs.google.com/spreadsheets/d/1UrzyxmT40kDZwVrLMf1yyXfP-pyczRAw9Y8Rw-uXG3c/edit#gid=0"",""'Game 1'!S25"")+100)))"),16.0)</f>
        <v>16</v>
      </c>
      <c r="O11" s="7">
        <f>IFERROR(__xludf.DUMMYFUNCTION("IF($A11=IMPORTRANGE(""https://docs.google.com/spreadsheets/d/1iyMhSYWifw-KGFtyeBpNxVZr4BhcV9hVZuShgJ9Ia0E/edit#gid=0"",""'Game 2'!B1""),IF(IMPORTRANGE(""https://docs.google.com/spreadsheets/d/1iyMhSYWifw-KGFtyeBpNxVZr4BhcV9hVZuShgJ9Ia0E/edit#gid=0"",""'Ga"&amp;"me 2'!J25"")&gt;IMPORTRANGE(""https://docs.google.com/spreadsheets/d/1iyMhSYWifw-KGFtyeBpNxVZr4BhcV9hVZuShgJ9Ia0E/edit#gid=0"",""'Game 2'!S25""),IMPORTRANGE(""https://docs.google.com/spreadsheets/d/1iyMhSYWifw-KGFtyeBpNxVZr4BhcV9hVZuShgJ9Ia0E/edit#gid=0"","""&amp;"'Game 2'!J25"")+100,IF(IMPORTRANGE(""https://docs.google.com/spreadsheets/d/1iyMhSYWifw-KGFtyeBpNxVZr4BhcV9hVZuShgJ9Ia0E/edit#gid=0"",""'Game 2'!J25"")=IMPORTRANGE(""https://docs.google.com/spreadsheets/d/1iyMhSYWifw-KGFtyeBpNxVZr4BhcV9hVZuShgJ9Ia0E/edit#"&amp;"gid=0"",""'Game 2'!S25""),IMPORTRANGE(""https://docs.google.com/spreadsheets/d/1iyMhSYWifw-KGFtyeBpNxVZr4BhcV9hVZuShgJ9Ia0E/edit#gid=0"",""'Game 2'!J25"")+50,IMPORTRANGE(""https://docs.google.com/spreadsheets/d/1iyMhSYWifw-KGFtyeBpNxVZr4BhcV9hVZuShgJ9Ia0E"&amp;"/edit#gid=0"",""'Game 2'!J25""))),IF(IMPORTRANGE(""https://docs.google.com/spreadsheets/d/1iyMhSYWifw-KGFtyeBpNxVZr4BhcV9hVZuShgJ9Ia0E/edit#gid=0"",""'Game 2'!J25"")&gt;IMPORTRANGE(""https://docs.google.com/spreadsheets/d/1iyMhSYWifw-KGFtyeBpNxVZr4BhcV9hVZuS"&amp;"hgJ9Ia0E/edit#gid=0"",""'Game 2'!S25""),IMPORTRANGE(""https://docs.google.com/spreadsheets/d/1iyMhSYWifw-KGFtyeBpNxVZr4BhcV9hVZuShgJ9Ia0E/edit#gid=0"",""'Game 2'!S25""),IF(IMPORTRANGE(""https://docs.google.com/spreadsheets/d/1iyMhSYWifw-KGFtyeBpNxVZr4BhcV"&amp;"9hVZuShgJ9Ia0E/edit#gid=0"",""'Game 2'!J25"")=IMPORTRANGE(""https://docs.google.com/spreadsheets/d/1iyMhSYWifw-KGFtyeBpNxVZr4BhcV9hVZuShgJ9Ia0E/edit#gid=0"",""'Game 2'!S25""),IMPORTRANGE(""https://docs.google.com/spreadsheets/d/1iyMhSYWifw-KGFtyeBpNxVZr4B"&amp;"hcV9hVZuShgJ9Ia0E/edit#gid=0"",""'Game 2'!S25"")+50,IMPORTRANGE(""https://docs.google.com/spreadsheets/d/1iyMhSYWifw-KGFtyeBpNxVZr4BhcV9hVZuShgJ9Ia0E/edit#gid=0"",""'Game 2'!S25"")+100)))"),50.0)</f>
        <v>50</v>
      </c>
      <c r="P11" s="7">
        <f>IFERROR(__xludf.DUMMYFUNCTION("IF($A11=IMPORTRANGE(""https://docs.google.com/spreadsheets/d/1sSbIK-vvHsSY0LghLJ9gcnW8Hec_ITI2tFmpeqI999A/edit#gid=0"",""'Game 12'!B1""),IF(IMPORTRANGE(""https://docs.google.com/spreadsheets/d/1sSbIK-vvHsSY0LghLJ9gcnW8Hec_ITI2tFmpeqI999A/edit#gid=0"",""'G"&amp;"ame 12'!J25"")&gt;IMPORTRANGE(""https://docs.google.com/spreadsheets/d/1sSbIK-vvHsSY0LghLJ9gcnW8Hec_ITI2tFmpeqI999A/edit#gid=0"",""'Game 12'!S25""),IMPORTRANGE(""https://docs.google.com/spreadsheets/d/1sSbIK-vvHsSY0LghLJ9gcnW8Hec_ITI2tFmpeqI999A/edit#gid=0"""&amp;",""'Game 12'!J25"")+100,IF(IMPORTRANGE(""https://docs.google.com/spreadsheets/d/1sSbIK-vvHsSY0LghLJ9gcnW8Hec_ITI2tFmpeqI999A/edit#gid=0"",""'Game 12'!J25"")=IMPORTRANGE(""https://docs.google.com/spreadsheets/d/1sSbIK-vvHsSY0LghLJ9gcnW8Hec_ITI2tFmpeqI999A/"&amp;"edit#gid=0"",""'Game 12'!S25""),IMPORTRANGE(""https://docs.google.com/spreadsheets/d/1sSbIK-vvHsSY0LghLJ9gcnW8Hec_ITI2tFmpeqI999A/edit#gid=0"",""'Game 12'!J25"")+50,IMPORTRANGE(""https://docs.google.com/spreadsheets/d/1sSbIK-vvHsSY0LghLJ9gcnW8Hec_ITI2tFmp"&amp;"eqI999A/edit#gid=0"",""'Game 12'!J25""))),IF(IMPORTRANGE(""https://docs.google.com/spreadsheets/d/1sSbIK-vvHsSY0LghLJ9gcnW8Hec_ITI2tFmpeqI999A/edit#gid=0"",""'Game 12'!J25"")&gt;IMPORTRANGE(""https://docs.google.com/spreadsheets/d/1sSbIK-vvHsSY0LghLJ9gcnW8He"&amp;"c_ITI2tFmpeqI999A/edit#gid=0"",""'Game 12'!S25""),IMPORTRANGE(""https://docs.google.com/spreadsheets/d/1sSbIK-vvHsSY0LghLJ9gcnW8Hec_ITI2tFmpeqI999A/edit#gid=0"",""'Game 12'!S25""),IF(IMPORTRANGE(""https://docs.google.com/spreadsheets/d/1sSbIK-vvHsSY0LghLJ"&amp;"9gcnW8Hec_ITI2tFmpeqI999A/edit#gid=0"",""'Game 12'!J25"")=IMPORTRANGE(""https://docs.google.com/spreadsheets/d/1sSbIK-vvHsSY0LghLJ9gcnW8Hec_ITI2tFmpeqI999A/edit#gid=0"",""'Game 12'!S25""),IMPORTRANGE(""https://docs.google.com/spreadsheets/d/1sSbIK-vvHsSY0"&amp;"LghLJ9gcnW8Hec_ITI2tFmpeqI999A/edit#gid=0"",""'Game 12'!S25"")+50,IMPORTRANGE(""https://docs.google.com/spreadsheets/d/1sSbIK-vvHsSY0LghLJ9gcnW8Hec_ITI2tFmpeqI999A/edit#gid=0"",""'Game 12'!S25"")+100)))"),30.0)</f>
        <v>30</v>
      </c>
      <c r="Q11" s="37">
        <f t="shared" si="1"/>
        <v>1518</v>
      </c>
      <c r="R11" s="37">
        <f t="shared" si="2"/>
        <v>9</v>
      </c>
    </row>
    <row r="12">
      <c r="A12" s="33" t="s">
        <v>136</v>
      </c>
      <c r="B12" s="34">
        <v>34.0</v>
      </c>
      <c r="C12" s="34">
        <v>36.0</v>
      </c>
      <c r="D12" s="34">
        <v>26.0</v>
      </c>
      <c r="E12" s="34">
        <v>130.0</v>
      </c>
      <c r="F12" s="34">
        <v>24.0</v>
      </c>
      <c r="G12" s="35">
        <f>IFERROR(__xludf.DUMMYFUNCTION("IF($A12=IMPORTRANGE(""https://docs.google.com/spreadsheets/d/16J5ie7OD1E99qGO9lMDm8w5Yls-v190B7DTolJ5TmFc/edit#gid=1981724582"",""'Game 8'!B1""),IF(IMPORTRANGE(""https://docs.google.com/spreadsheets/d/16J5ie7OD1E99qGO9lMDm8w5Yls-v190B7DTolJ5TmFc/edit#gid="&amp;"1981724582"",""'Game 8'!J25"")&gt;IMPORTRANGE(""https://docs.google.com/spreadsheets/d/16J5ie7OD1E99qGO9lMDm8w5Yls-v190B7DTolJ5TmFc/edit#gid=1981724582"",""'Game 8'!S25""),IMPORTRANGE(""https://docs.google.com/spreadsheets/d/16J5ie7OD1E99qGO9lMDm8w5Yls-v190B"&amp;"7DTolJ5TmFc/edit#gid=1981724582"",""'Game 8'!J25"")+100,IF(IMPORTRANGE(""https://docs.google.com/spreadsheets/d/16J5ie7OD1E99qGO9lMDm8w5Yls-v190B7DTolJ5TmFc/edit#gid=1981724582"",""'Game 8'!J25"")=IMPORTRANGE(""https://docs.google.com/spreadsheets/d/16J5i"&amp;"e7OD1E99qGO9lMDm8w5Yls-v190B7DTolJ5TmFc/edit#gid=1981724582"",""'Game 8'!S25""),IMPORTRANGE(""https://docs.google.com/spreadsheets/d/16J5ie7OD1E99qGO9lMDm8w5Yls-v190B7DTolJ5TmFc/edit#gid=1981724582"",""'Game 8'!J25"")+50,IMPORTRANGE(""https://docs.google."&amp;"com/spreadsheets/d/16J5ie7OD1E99qGO9lMDm8w5Yls-v190B7DTolJ5TmFc/edit#gid=1981724582"",""'Game 8'!J25""))),IF(IMPORTRANGE(""https://docs.google.com/spreadsheets/d/16J5ie7OD1E99qGO9lMDm8w5Yls-v190B7DTolJ5TmFc/edit#gid=1981724582"",""'Game 8'!J25"")&gt;IMPORTRA"&amp;"NGE(""https://docs.google.com/spreadsheets/d/16J5ie7OD1E99qGO9lMDm8w5Yls-v190B7DTolJ5TmFc/edit#gid=1981724582"",""'Game 8'!S25""),IMPORTRANGE(""https://docs.google.com/spreadsheets/d/16J5ie7OD1E99qGO9lMDm8w5Yls-v190B7DTolJ5TmFc/edit#gid=1981724582"",""'Ga"&amp;"me 8'!S25""),IF(IMPORTRANGE(""https://docs.google.com/spreadsheets/d/16J5ie7OD1E99qGO9lMDm8w5Yls-v190B7DTolJ5TmFc/edit#gid=1981724582"",""'Game 8'!J25"")=IMPORTRANGE(""https://docs.google.com/spreadsheets/d/16J5ie7OD1E99qGO9lMDm8w5Yls-v190B7DTolJ5TmFc/edi"&amp;"t#gid=1981724582"",""'Game 8'!S25""),IMPORTRANGE(""https://docs.google.com/spreadsheets/d/16J5ie7OD1E99qGO9lMDm8w5Yls-v190B7DTolJ5TmFc/edit#gid=1981724582"",""'Game 8'!S25"")+50,IMPORTRANGE(""https://docs.google.com/spreadsheets/d/16J5ie7OD1E99qGO9lMDm8w5"&amp;"Yls-v190B7DTolJ5TmFc/edit#gid=1981724582"",""'Game 8'!S25"")+100)))"),166.0)</f>
        <v>166</v>
      </c>
      <c r="H12" s="34">
        <v>140.0</v>
      </c>
      <c r="I12" s="5">
        <f>IFERROR(__xludf.DUMMYFUNCTION("IF($A12=IMPORTRANGE(""https://docs.google.com/spreadsheets/d/1CTYfdyRk_RFGM3I2iN9bKeD9zUPzEm1ajzml6VgwfIU/edit#gid=0"",""'Game 8'!B1""),IF(IMPORTRANGE(""https://docs.google.com/spreadsheets/d/1CTYfdyRk_RFGM3I2iN9bKeD9zUPzEm1ajzml6VgwfIU/edit#gid=0"",""'Ga"&amp;"me 8'!J25"")&gt;IMPORTRANGE(""https://docs.google.com/spreadsheets/d/1CTYfdyRk_RFGM3I2iN9bKeD9zUPzEm1ajzml6VgwfIU/edit#gid=0"",""'Game 8'!S25""),IMPORTRANGE(""https://docs.google.com/spreadsheets/d/1CTYfdyRk_RFGM3I2iN9bKeD9zUPzEm1ajzml6VgwfIU/edit#gid=0"","""&amp;"'Game 8'!J25"")+100,IF(IMPORTRANGE(""https://docs.google.com/spreadsheets/d/1CTYfdyRk_RFGM3I2iN9bKeD9zUPzEm1ajzml6VgwfIU/edit#gid=0"",""'Game 8'!J25"")=IMPORTRANGE(""https://docs.google.com/spreadsheets/d/1CTYfdyRk_RFGM3I2iN9bKeD9zUPzEm1ajzml6VgwfIU/edit#"&amp;"gid=0"",""'Game 8'!S25""),IMPORTRANGE(""https://docs.google.com/spreadsheets/d/1CTYfdyRk_RFGM3I2iN9bKeD9zUPzEm1ajzml6VgwfIU/edit#gid=0"",""'Game 8'!J25"")+50,IMPORTRANGE(""https://docs.google.com/spreadsheets/d/1CTYfdyRk_RFGM3I2iN9bKeD9zUPzEm1ajzml6VgwfIU"&amp;"/edit#gid=0"",""'Game 8'!J25""))),IF(IMPORTRANGE(""https://docs.google.com/spreadsheets/d/1CTYfdyRk_RFGM3I2iN9bKeD9zUPzEm1ajzml6VgwfIU/edit#gid=0"",""'Game 8'!J25"")&gt;IMPORTRANGE(""https://docs.google.com/spreadsheets/d/1CTYfdyRk_RFGM3I2iN9bKeD9zUPzEm1ajzm"&amp;"l6VgwfIU/edit#gid=0"",""'Game 8'!S25""),IMPORTRANGE(""https://docs.google.com/spreadsheets/d/1CTYfdyRk_RFGM3I2iN9bKeD9zUPzEm1ajzml6VgwfIU/edit#gid=0"",""'Game 8'!S25""),IF(IMPORTRANGE(""https://docs.google.com/spreadsheets/d/1CTYfdyRk_RFGM3I2iN9bKeD9zUPzE"&amp;"m1ajzml6VgwfIU/edit#gid=0"",""'Game 8'!J25"")=IMPORTRANGE(""https://docs.google.com/spreadsheets/d/1CTYfdyRk_RFGM3I2iN9bKeD9zUPzEm1ajzml6VgwfIU/edit#gid=0"",""'Game 8'!S25""),IMPORTRANGE(""https://docs.google.com/spreadsheets/d/1CTYfdyRk_RFGM3I2iN9bKeD9zU"&amp;"PzEm1ajzml6VgwfIU/edit#gid=0"",""'Game 8'!S25"")+50,IMPORTRANGE(""https://docs.google.com/spreadsheets/d/1CTYfdyRk_RFGM3I2iN9bKeD9zUPzEm1ajzml6VgwfIU/edit#gid=0"",""'Game 8'!S25"")+100)))"),138.0)</f>
        <v>138</v>
      </c>
      <c r="J12" s="5">
        <f>IFERROR(__xludf.DUMMYFUNCTION("IF($A12=IMPORTRANGE(""https://docs.google.com/spreadsheets/d/11NFkzOdQyW-OtxSDuGslNCgNjx7HUb2FU7KnlNnPMgY/edit#gid=0"",""'Game 13'!B1""),IF(IMPORTRANGE(""https://docs.google.com/spreadsheets/d/11NFkzOdQyW-OtxSDuGslNCgNjx7HUb2FU7KnlNnPMgY/edit#gid=0"",""'G"&amp;"ame 13'!J25"")&gt;IMPORTRANGE(""https://docs.google.com/spreadsheets/d/11NFkzOdQyW-OtxSDuGslNCgNjx7HUb2FU7KnlNnPMgY/edit#gid=0"",""'Game 13'!S25""),IMPORTRANGE(""https://docs.google.com/spreadsheets/d/11NFkzOdQyW-OtxSDuGslNCgNjx7HUb2FU7KnlNnPMgY/edit#gid=0"""&amp;",""'Game 13'!J25"")+100,IF(IMPORTRANGE(""https://docs.google.com/spreadsheets/d/11NFkzOdQyW-OtxSDuGslNCgNjx7HUb2FU7KnlNnPMgY/edit#gid=0"",""'Game 13'!J25"")=IMPORTRANGE(""https://docs.google.com/spreadsheets/d/11NFkzOdQyW-OtxSDuGslNCgNjx7HUb2FU7KnlNnPMgY/"&amp;"edit#gid=0"",""'Game 13'!S25""),IMPORTRANGE(""https://docs.google.com/spreadsheets/d/11NFkzOdQyW-OtxSDuGslNCgNjx7HUb2FU7KnlNnPMgY/edit#gid=0"",""'Game 13'!J25"")+50,IMPORTRANGE(""https://docs.google.com/spreadsheets/d/11NFkzOdQyW-OtxSDuGslNCgNjx7HUb2FU7Kn"&amp;"lNnPMgY/edit#gid=0"",""'Game 13'!J25""))),IF(IMPORTRANGE(""https://docs.google.com/spreadsheets/d/11NFkzOdQyW-OtxSDuGslNCgNjx7HUb2FU7KnlNnPMgY/edit#gid=0"",""'Game 13'!J25"")&gt;IMPORTRANGE(""https://docs.google.com/spreadsheets/d/11NFkzOdQyW-OtxSDuGslNCgNjx"&amp;"7HUb2FU7KnlNnPMgY/edit#gid=0"",""'Game 13'!S25""),IMPORTRANGE(""https://docs.google.com/spreadsheets/d/11NFkzOdQyW-OtxSDuGslNCgNjx7HUb2FU7KnlNnPMgY/edit#gid=0"",""'Game 13'!S25""),IF(IMPORTRANGE(""https://docs.google.com/spreadsheets/d/11NFkzOdQyW-OtxSDuG"&amp;"slNCgNjx7HUb2FU7KnlNnPMgY/edit#gid=0"",""'Game 13'!J25"")=IMPORTRANGE(""https://docs.google.com/spreadsheets/d/11NFkzOdQyW-OtxSDuGslNCgNjx7HUb2FU7KnlNnPMgY/edit#gid=0"",""'Game 13'!S25""),IMPORTRANGE(""https://docs.google.com/spreadsheets/d/11NFkzOdQyW-Ot"&amp;"xSDuGslNCgNjx7HUb2FU7KnlNnPMgY/edit#gid=0"",""'Game 13'!S25"")+50,IMPORTRANGE(""https://docs.google.com/spreadsheets/d/11NFkzOdQyW-OtxSDuGslNCgNjx7HUb2FU7KnlNnPMgY/edit#gid=0"",""'Game 13'!S25"")+100)))"),30.0)</f>
        <v>30</v>
      </c>
      <c r="K12" s="5">
        <f>IFERROR(__xludf.DUMMYFUNCTION("IF($A12=IMPORTRANGE(""https://docs.google.com/spreadsheets/d/1CLg5-jaE4ta0-u4oE1qbBplQ5Mf3Oj9ONFgL0zJ7Ol4/edit#gid=0"",""'Game 7'!B1""),IF(IMPORTRANGE(""https://docs.google.com/spreadsheets/d/1CLg5-jaE4ta0-u4oE1qbBplQ5Mf3Oj9ONFgL0zJ7Ol4/edit#gid=0"",""'Ga"&amp;"me 7'!J25"")&gt;IMPORTRANGE(""https://docs.google.com/spreadsheets/d/1CLg5-jaE4ta0-u4oE1qbBplQ5Mf3Oj9ONFgL0zJ7Ol4/edit#gid=0"",""'Game 7'!S25""),IMPORTRANGE(""https://docs.google.com/spreadsheets/d/1CLg5-jaE4ta0-u4oE1qbBplQ5Mf3Oj9ONFgL0zJ7Ol4/edit#gid=0"","""&amp;"'Game 7'!J25"")+100,IF(IMPORTRANGE(""https://docs.google.com/spreadsheets/d/1CLg5-jaE4ta0-u4oE1qbBplQ5Mf3Oj9ONFgL0zJ7Ol4/edit#gid=0"",""'Game 7'!J25"")=IMPORTRANGE(""https://docs.google.com/spreadsheets/d/1CLg5-jaE4ta0-u4oE1qbBplQ5Mf3Oj9ONFgL0zJ7Ol4/edit#"&amp;"gid=0"",""'Game 7'!S25""),IMPORTRANGE(""https://docs.google.com/spreadsheets/d/1CLg5-jaE4ta0-u4oE1qbBplQ5Mf3Oj9ONFgL0zJ7Ol4/edit#gid=0"",""'Game 7'!J25"")+50,IMPORTRANGE(""https://docs.google.com/spreadsheets/d/1CLg5-jaE4ta0-u4oE1qbBplQ5Mf3Oj9ONFgL0zJ7Ol4"&amp;"/edit#gid=0"",""'Game 7'!J25""))),IF(IMPORTRANGE(""https://docs.google.com/spreadsheets/d/1CLg5-jaE4ta0-u4oE1qbBplQ5Mf3Oj9ONFgL0zJ7Ol4/edit#gid=0"",""'Game 7'!J25"")&gt;IMPORTRANGE(""https://docs.google.com/spreadsheets/d/1CLg5-jaE4ta0-u4oE1qbBplQ5Mf3Oj9ONFg"&amp;"L0zJ7Ol4/edit#gid=0"",""'Game 7'!S25""),IMPORTRANGE(""https://docs.google.com/spreadsheets/d/1CLg5-jaE4ta0-u4oE1qbBplQ5Mf3Oj9ONFgL0zJ7Ol4/edit#gid=0"",""'Game 7'!S25""),IF(IMPORTRANGE(""https://docs.google.com/spreadsheets/d/1CLg5-jaE4ta0-u4oE1qbBplQ5Mf3O"&amp;"j9ONFgL0zJ7Ol4/edit#gid=0"",""'Game 7'!J25"")=IMPORTRANGE(""https://docs.google.com/spreadsheets/d/1CLg5-jaE4ta0-u4oE1qbBplQ5Mf3Oj9ONFgL0zJ7Ol4/edit#gid=0"",""'Game 7'!S25""),IMPORTRANGE(""https://docs.google.com/spreadsheets/d/1CLg5-jaE4ta0-u4oE1qbBplQ5M"&amp;"f3Oj9ONFgL0zJ7Ol4/edit#gid=0"",""'Game 7'!S25"")+50,IMPORTRANGE(""https://docs.google.com/spreadsheets/d/1CLg5-jaE4ta0-u4oE1qbBplQ5Mf3Oj9ONFgL0zJ7Ol4/edit#gid=0"",""'Game 7'!S25"")+100)))"),150.0)</f>
        <v>150</v>
      </c>
      <c r="L12" s="5">
        <f>IFERROR(__xludf.DUMMYFUNCTION("IF($A12=IMPORTRANGE(""https://docs.google.com/spreadsheets/d/1CeexgK4KxWj3k_7nql_k8-RPxXMwTJyB4Q3vAASeDlA/edit#gid=0"",""'Game 5'!B1""),IF(IMPORTRANGE(""https://docs.google.com/spreadsheets/d/1CeexgK4KxWj3k_7nql_k8-RPxXMwTJyB4Q3vAASeDlA/edit#gid=0"",""'Ga"&amp;"me 5'!J25"")&gt;IMPORTRANGE(""https://docs.google.com/spreadsheets/d/1CeexgK4KxWj3k_7nql_k8-RPxXMwTJyB4Q3vAASeDlA/edit#gid=0"",""'Game 5'!S25""),IMPORTRANGE(""https://docs.google.com/spreadsheets/d/1CeexgK4KxWj3k_7nql_k8-RPxXMwTJyB4Q3vAASeDlA/edit#gid=0"","""&amp;"'Game 5'!J25"")+100,IF(IMPORTRANGE(""https://docs.google.com/spreadsheets/d/1CeexgK4KxWj3k_7nql_k8-RPxXMwTJyB4Q3vAASeDlA/edit#gid=0"",""'Game 5'!J25"")=IMPORTRANGE(""https://docs.google.com/spreadsheets/d/1CeexgK4KxWj3k_7nql_k8-RPxXMwTJyB4Q3vAASeDlA/edit#"&amp;"gid=0"",""'Game 5'!S25""),IMPORTRANGE(""https://docs.google.com/spreadsheets/d/1CeexgK4KxWj3k_7nql_k8-RPxXMwTJyB4Q3vAASeDlA/edit#gid=0"",""'Game 5'!J25"")+50,IMPORTRANGE(""https://docs.google.com/spreadsheets/d/1CeexgK4KxWj3k_7nql_k8-RPxXMwTJyB4Q3vAASeDlA"&amp;"/edit#gid=0"",""'Game 5'!J25""))),IF(IMPORTRANGE(""https://docs.google.com/spreadsheets/d/1CeexgK4KxWj3k_7nql_k8-RPxXMwTJyB4Q3vAASeDlA/edit#gid=0"",""'Game 5'!J25"")&gt;IMPORTRANGE(""https://docs.google.com/spreadsheets/d/1CeexgK4KxWj3k_7nql_k8-RPxXMwTJyB4Q3"&amp;"vAASeDlA/edit#gid=0"",""'Game 5'!S25""),IMPORTRANGE(""https://docs.google.com/spreadsheets/d/1CeexgK4KxWj3k_7nql_k8-RPxXMwTJyB4Q3vAASeDlA/edit#gid=0"",""'Game 5'!S25""),IF(IMPORTRANGE(""https://docs.google.com/spreadsheets/d/1CeexgK4KxWj3k_7nql_k8-RPxXMwT"&amp;"JyB4Q3vAASeDlA/edit#gid=0"",""'Game 5'!J25"")=IMPORTRANGE(""https://docs.google.com/spreadsheets/d/1CeexgK4KxWj3k_7nql_k8-RPxXMwTJyB4Q3vAASeDlA/edit#gid=0"",""'Game 5'!S25""),IMPORTRANGE(""https://docs.google.com/spreadsheets/d/1CeexgK4KxWj3k_7nql_k8-RPxX"&amp;"MwTJyB4Q3vAASeDlA/edit#gid=0"",""'Game 5'!S25"")+50,IMPORTRANGE(""https://docs.google.com/spreadsheets/d/1CeexgK4KxWj3k_7nql_k8-RPxXMwTJyB4Q3vAASeDlA/edit#gid=0"",""'Game 5'!S25"")+100)))"),30.0)</f>
        <v>30</v>
      </c>
      <c r="M12" s="5">
        <f>IFERROR(__xludf.DUMMYFUNCTION("IF($A12=IMPORTRANGE(""https://docs.google.com/spreadsheets/d/1MNwUNMjcwK6bEgCXwB73jpbK5gJAXS8ZMpbEMLJEP3E/edit#gid=0"",""'Game 1'!B1""),IF(IMPORTRANGE(""https://docs.google.com/spreadsheets/d/1MNwUNMjcwK6bEgCXwB73jpbK5gJAXS8ZMpbEMLJEP3E/edit#gid=0"",""'Ga"&amp;"me 1'!J25"")&gt;IMPORTRANGE(""https://docs.google.com/spreadsheets/d/1MNwUNMjcwK6bEgCXwB73jpbK5gJAXS8ZMpbEMLJEP3E/edit#gid=0"",""'Game 1'!S25""),IMPORTRANGE(""https://docs.google.com/spreadsheets/d/1MNwUNMjcwK6bEgCXwB73jpbK5gJAXS8ZMpbEMLJEP3E/edit#gid=0"","""&amp;"'Game 1'!J25"")+100,IF(IMPORTRANGE(""https://docs.google.com/spreadsheets/d/1MNwUNMjcwK6bEgCXwB73jpbK5gJAXS8ZMpbEMLJEP3E/edit#gid=0"",""'Game 1'!J25"")=IMPORTRANGE(""https://docs.google.com/spreadsheets/d/1MNwUNMjcwK6bEgCXwB73jpbK5gJAXS8ZMpbEMLJEP3E/edit#"&amp;"gid=0"",""'Game 1'!S25""),IMPORTRANGE(""https://docs.google.com/spreadsheets/d/1MNwUNMjcwK6bEgCXwB73jpbK5gJAXS8ZMpbEMLJEP3E/edit#gid=0"",""'Game 1'!J25"")+50,IMPORTRANGE(""https://docs.google.com/spreadsheets/d/1MNwUNMjcwK6bEgCXwB73jpbK5gJAXS8ZMpbEMLJEP3E"&amp;"/edit#gid=0"",""'Game 1'!J25""))),IF(IMPORTRANGE(""https://docs.google.com/spreadsheets/d/1MNwUNMjcwK6bEgCXwB73jpbK5gJAXS8ZMpbEMLJEP3E/edit#gid=0"",""'Game 1'!J25"")&gt;IMPORTRANGE(""https://docs.google.com/spreadsheets/d/1MNwUNMjcwK6bEgCXwB73jpbK5gJAXS8ZMpb"&amp;"EMLJEP3E/edit#gid=0"",""'Game 1'!S25""),IMPORTRANGE(""https://docs.google.com/spreadsheets/d/1MNwUNMjcwK6bEgCXwB73jpbK5gJAXS8ZMpbEMLJEP3E/edit#gid=0"",""'Game 1'!S25""),IF(IMPORTRANGE(""https://docs.google.com/spreadsheets/d/1MNwUNMjcwK6bEgCXwB73jpbK5gJAX"&amp;"S8ZMpbEMLJEP3E/edit#gid=0"",""'Game 1'!J25"")=IMPORTRANGE(""https://docs.google.com/spreadsheets/d/1MNwUNMjcwK6bEgCXwB73jpbK5gJAXS8ZMpbEMLJEP3E/edit#gid=0"",""'Game 1'!S25""),IMPORTRANGE(""https://docs.google.com/spreadsheets/d/1MNwUNMjcwK6bEgCXwB73jpbK5g"&amp;"JAXS8ZMpbEMLJEP3E/edit#gid=0"",""'Game 1'!S25"")+50,IMPORTRANGE(""https://docs.google.com/spreadsheets/d/1MNwUNMjcwK6bEgCXwB73jpbK5gJAXS8ZMpbEMLJEP3E/edit#gid=0"",""'Game 1'!S25"")+100)))"),156.0)</f>
        <v>156</v>
      </c>
      <c r="N12" s="5">
        <f>IFERROR(__xludf.DUMMYFUNCTION("IF($A12=IMPORTRANGE(""https://docs.google.com/spreadsheets/d/1UrzyxmT40kDZwVrLMf1yyXfP-pyczRAw9Y8Rw-uXG3c/edit#gid=0"",""'Game 13'!B1""),IF(IMPORTRANGE(""https://docs.google.com/spreadsheets/d/1UrzyxmT40kDZwVrLMf1yyXfP-pyczRAw9Y8Rw-uXG3c/edit#gid=0"",""'G"&amp;"ame 13'!J25"")&gt;IMPORTRANGE(""https://docs.google.com/spreadsheets/d/1UrzyxmT40kDZwVrLMf1yyXfP-pyczRAw9Y8Rw-uXG3c/edit#gid=0"",""'Game 13'!S25""),IMPORTRANGE(""https://docs.google.com/spreadsheets/d/1UrzyxmT40kDZwVrLMf1yyXfP-pyczRAw9Y8Rw-uXG3c/edit#gid=0"""&amp;",""'Game 13'!J25"")+100,IF(IMPORTRANGE(""https://docs.google.com/spreadsheets/d/1UrzyxmT40kDZwVrLMf1yyXfP-pyczRAw9Y8Rw-uXG3c/edit#gid=0"",""'Game 13'!J25"")=IMPORTRANGE(""https://docs.google.com/spreadsheets/d/1UrzyxmT40kDZwVrLMf1yyXfP-pyczRAw9Y8Rw-uXG3c/"&amp;"edit#gid=0"",""'Game 13'!S25""),IMPORTRANGE(""https://docs.google.com/spreadsheets/d/1UrzyxmT40kDZwVrLMf1yyXfP-pyczRAw9Y8Rw-uXG3c/edit#gid=0"",""'Game 13'!J25"")+50,IMPORTRANGE(""https://docs.google.com/spreadsheets/d/1UrzyxmT40kDZwVrLMf1yyXfP-pyczRAw9Y8R"&amp;"w-uXG3c/edit#gid=0"",""'Game 13'!J25""))),IF(IMPORTRANGE(""https://docs.google.com/spreadsheets/d/1UrzyxmT40kDZwVrLMf1yyXfP-pyczRAw9Y8Rw-uXG3c/edit#gid=0"",""'Game 13'!J25"")&gt;IMPORTRANGE(""https://docs.google.com/spreadsheets/d/1UrzyxmT40kDZwVrLMf1yyXfP-p"&amp;"yczRAw9Y8Rw-uXG3c/edit#gid=0"",""'Game 13'!S25""),IMPORTRANGE(""https://docs.google.com/spreadsheets/d/1UrzyxmT40kDZwVrLMf1yyXfP-pyczRAw9Y8Rw-uXG3c/edit#gid=0"",""'Game 13'!S25""),IF(IMPORTRANGE(""https://docs.google.com/spreadsheets/d/1UrzyxmT40kDZwVrLMf"&amp;"1yyXfP-pyczRAw9Y8Rw-uXG3c/edit#gid=0"",""'Game 13'!J25"")=IMPORTRANGE(""https://docs.google.com/spreadsheets/d/1UrzyxmT40kDZwVrLMf1yyXfP-pyczRAw9Y8Rw-uXG3c/edit#gid=0"",""'Game 13'!S25""),IMPORTRANGE(""https://docs.google.com/spreadsheets/d/1UrzyxmT40kDZw"&amp;"VrLMf1yyXfP-pyczRAw9Y8Rw-uXG3c/edit#gid=0"",""'Game 13'!S25"")+50,IMPORTRANGE(""https://docs.google.com/spreadsheets/d/1UrzyxmT40kDZwVrLMf1yyXfP-pyczRAw9Y8Rw-uXG3c/edit#gid=0"",""'Game 13'!S25"")+100)))"),148.0)</f>
        <v>148</v>
      </c>
      <c r="O12" s="5">
        <f>IFERROR(__xludf.DUMMYFUNCTION("IF($A12=IMPORTRANGE(""https://docs.google.com/spreadsheets/d/1iyMhSYWifw-KGFtyeBpNxVZr4BhcV9hVZuShgJ9Ia0E/edit#gid=0"",""'Game 4'!B1""),IF(IMPORTRANGE(""https://docs.google.com/spreadsheets/d/1iyMhSYWifw-KGFtyeBpNxVZr4BhcV9hVZuShgJ9Ia0E/edit#gid=0"",""'Ga"&amp;"me 4'!J25"")&gt;IMPORTRANGE(""https://docs.google.com/spreadsheets/d/1iyMhSYWifw-KGFtyeBpNxVZr4BhcV9hVZuShgJ9Ia0E/edit#gid=0"",""'Game 4'!S25""),IMPORTRANGE(""https://docs.google.com/spreadsheets/d/1iyMhSYWifw-KGFtyeBpNxVZr4BhcV9hVZuShgJ9Ia0E/edit#gid=0"","""&amp;"'Game 4'!J25"")+100,IF(IMPORTRANGE(""https://docs.google.com/spreadsheets/d/1iyMhSYWifw-KGFtyeBpNxVZr4BhcV9hVZuShgJ9Ia0E/edit#gid=0"",""'Game 4'!J25"")=IMPORTRANGE(""https://docs.google.com/spreadsheets/d/1iyMhSYWifw-KGFtyeBpNxVZr4BhcV9hVZuShgJ9Ia0E/edit#"&amp;"gid=0"",""'Game 4'!S25""),IMPORTRANGE(""https://docs.google.com/spreadsheets/d/1iyMhSYWifw-KGFtyeBpNxVZr4BhcV9hVZuShgJ9Ia0E/edit#gid=0"",""'Game 4'!J25"")+50,IMPORTRANGE(""https://docs.google.com/spreadsheets/d/1iyMhSYWifw-KGFtyeBpNxVZr4BhcV9hVZuShgJ9Ia0E"&amp;"/edit#gid=0"",""'Game 4'!J25""))),IF(IMPORTRANGE(""https://docs.google.com/spreadsheets/d/1iyMhSYWifw-KGFtyeBpNxVZr4BhcV9hVZuShgJ9Ia0E/edit#gid=0"",""'Game 4'!J25"")&gt;IMPORTRANGE(""https://docs.google.com/spreadsheets/d/1iyMhSYWifw-KGFtyeBpNxVZr4BhcV9hVZuS"&amp;"hgJ9Ia0E/edit#gid=0"",""'Game 4'!S25""),IMPORTRANGE(""https://docs.google.com/spreadsheets/d/1iyMhSYWifw-KGFtyeBpNxVZr4BhcV9hVZuShgJ9Ia0E/edit#gid=0"",""'Game 4'!S25""),IF(IMPORTRANGE(""https://docs.google.com/spreadsheets/d/1iyMhSYWifw-KGFtyeBpNxVZr4BhcV"&amp;"9hVZuShgJ9Ia0E/edit#gid=0"",""'Game 4'!J25"")=IMPORTRANGE(""https://docs.google.com/spreadsheets/d/1iyMhSYWifw-KGFtyeBpNxVZr4BhcV9hVZuShgJ9Ia0E/edit#gid=0"",""'Game 4'!S25""),IMPORTRANGE(""https://docs.google.com/spreadsheets/d/1iyMhSYWifw-KGFtyeBpNxVZr4B"&amp;"hcV9hVZuShgJ9Ia0E/edit#gid=0"",""'Game 4'!S25"")+50,IMPORTRANGE(""https://docs.google.com/spreadsheets/d/1iyMhSYWifw-KGFtyeBpNxVZr4BhcV9hVZuShgJ9Ia0E/edit#gid=0"",""'Game 4'!S25"")+100)))"),142.0)</f>
        <v>142</v>
      </c>
      <c r="P12" s="5">
        <f>IFERROR(__xludf.DUMMYFUNCTION("IF($A12=IMPORTRANGE(""https://docs.google.com/spreadsheets/d/1sSbIK-vvHsSY0LghLJ9gcnW8Hec_ITI2tFmpeqI999A/edit#gid=0"",""'Game 2'!B1""),IF(IMPORTRANGE(""https://docs.google.com/spreadsheets/d/1sSbIK-vvHsSY0LghLJ9gcnW8Hec_ITI2tFmpeqI999A/edit#gid=0"",""'Ga"&amp;"me 2'!J25"")&gt;IMPORTRANGE(""https://docs.google.com/spreadsheets/d/1sSbIK-vvHsSY0LghLJ9gcnW8Hec_ITI2tFmpeqI999A/edit#gid=0"",""'Game 2'!S25""),IMPORTRANGE(""https://docs.google.com/spreadsheets/d/1sSbIK-vvHsSY0LghLJ9gcnW8Hec_ITI2tFmpeqI999A/edit#gid=0"","""&amp;"'Game 2'!J25"")+100,IF(IMPORTRANGE(""https://docs.google.com/spreadsheets/d/1sSbIK-vvHsSY0LghLJ9gcnW8Hec_ITI2tFmpeqI999A/edit#gid=0"",""'Game 2'!J25"")=IMPORTRANGE(""https://docs.google.com/spreadsheets/d/1sSbIK-vvHsSY0LghLJ9gcnW8Hec_ITI2tFmpeqI999A/edit#"&amp;"gid=0"",""'Game 2'!S25""),IMPORTRANGE(""https://docs.google.com/spreadsheets/d/1sSbIK-vvHsSY0LghLJ9gcnW8Hec_ITI2tFmpeqI999A/edit#gid=0"",""'Game 2'!J25"")+50,IMPORTRANGE(""https://docs.google.com/spreadsheets/d/1sSbIK-vvHsSY0LghLJ9gcnW8Hec_ITI2tFmpeqI999A"&amp;"/edit#gid=0"",""'Game 2'!J25""))),IF(IMPORTRANGE(""https://docs.google.com/spreadsheets/d/1sSbIK-vvHsSY0LghLJ9gcnW8Hec_ITI2tFmpeqI999A/edit#gid=0"",""'Game 2'!J25"")&gt;IMPORTRANGE(""https://docs.google.com/spreadsheets/d/1sSbIK-vvHsSY0LghLJ9gcnW8Hec_ITI2tFm"&amp;"peqI999A/edit#gid=0"",""'Game 2'!S25""),IMPORTRANGE(""https://docs.google.com/spreadsheets/d/1sSbIK-vvHsSY0LghLJ9gcnW8Hec_ITI2tFmpeqI999A/edit#gid=0"",""'Game 2'!S25""),IF(IMPORTRANGE(""https://docs.google.com/spreadsheets/d/1sSbIK-vvHsSY0LghLJ9gcnW8Hec_I"&amp;"TI2tFmpeqI999A/edit#gid=0"",""'Game 2'!J25"")=IMPORTRANGE(""https://docs.google.com/spreadsheets/d/1sSbIK-vvHsSY0LghLJ9gcnW8Hec_ITI2tFmpeqI999A/edit#gid=0"",""'Game 2'!S25""),IMPORTRANGE(""https://docs.google.com/spreadsheets/d/1sSbIK-vvHsSY0LghLJ9gcnW8He"&amp;"c_ITI2tFmpeqI999A/edit#gid=0"",""'Game 2'!S25"")+50,IMPORTRANGE(""https://docs.google.com/spreadsheets/d/1sSbIK-vvHsSY0LghLJ9gcnW8Hec_ITI2tFmpeqI999A/edit#gid=0"",""'Game 2'!S25"")+100)))"),182.0)</f>
        <v>182</v>
      </c>
      <c r="Q12" s="35">
        <f t="shared" si="1"/>
        <v>1532</v>
      </c>
      <c r="R12" s="35">
        <f t="shared" si="2"/>
        <v>8</v>
      </c>
    </row>
    <row r="13">
      <c r="A13" s="32" t="s">
        <v>149</v>
      </c>
      <c r="B13" s="36">
        <v>126.0</v>
      </c>
      <c r="C13" s="36">
        <v>26.0</v>
      </c>
      <c r="D13" s="36">
        <v>20.0</v>
      </c>
      <c r="E13" s="36">
        <v>134.0</v>
      </c>
      <c r="F13" s="36">
        <v>138.0</v>
      </c>
      <c r="G13" s="37">
        <f>IFERROR(__xludf.DUMMYFUNCTION("IF($A13=IMPORTRANGE(""https://docs.google.com/spreadsheets/d/16J5ie7OD1E99qGO9lMDm8w5Yls-v190B7DTolJ5TmFc/edit#gid=1981724582"",""'Game 9'!B1""),IF(IMPORTRANGE(""https://docs.google.com/spreadsheets/d/16J5ie7OD1E99qGO9lMDm8w5Yls-v190B7DTolJ5TmFc/edit#gid="&amp;"1981724582"",""'Game 9'!J25"")&gt;IMPORTRANGE(""https://docs.google.com/spreadsheets/d/16J5ie7OD1E99qGO9lMDm8w5Yls-v190B7DTolJ5TmFc/edit#gid=1981724582"",""'Game 9'!S25""),IMPORTRANGE(""https://docs.google.com/spreadsheets/d/16J5ie7OD1E99qGO9lMDm8w5Yls-v190B"&amp;"7DTolJ5TmFc/edit#gid=1981724582"",""'Game 9'!J25"")+100,IF(IMPORTRANGE(""https://docs.google.com/spreadsheets/d/16J5ie7OD1E99qGO9lMDm8w5Yls-v190B7DTolJ5TmFc/edit#gid=1981724582"",""'Game 9'!J25"")=IMPORTRANGE(""https://docs.google.com/spreadsheets/d/16J5i"&amp;"e7OD1E99qGO9lMDm8w5Yls-v190B7DTolJ5TmFc/edit#gid=1981724582"",""'Game 9'!S25""),IMPORTRANGE(""https://docs.google.com/spreadsheets/d/16J5ie7OD1E99qGO9lMDm8w5Yls-v190B7DTolJ5TmFc/edit#gid=1981724582"",""'Game 9'!J25"")+50,IMPORTRANGE(""https://docs.google."&amp;"com/spreadsheets/d/16J5ie7OD1E99qGO9lMDm8w5Yls-v190B7DTolJ5TmFc/edit#gid=1981724582"",""'Game 9'!J25""))),IF(IMPORTRANGE(""https://docs.google.com/spreadsheets/d/16J5ie7OD1E99qGO9lMDm8w5Yls-v190B7DTolJ5TmFc/edit#gid=1981724582"",""'Game 9'!J25"")&gt;IMPORTRA"&amp;"NGE(""https://docs.google.com/spreadsheets/d/16J5ie7OD1E99qGO9lMDm8w5Yls-v190B7DTolJ5TmFc/edit#gid=1981724582"",""'Game 9'!S25""),IMPORTRANGE(""https://docs.google.com/spreadsheets/d/16J5ie7OD1E99qGO9lMDm8w5Yls-v190B7DTolJ5TmFc/edit#gid=1981724582"",""'Ga"&amp;"me 9'!S25""),IF(IMPORTRANGE(""https://docs.google.com/spreadsheets/d/16J5ie7OD1E99qGO9lMDm8w5Yls-v190B7DTolJ5TmFc/edit#gid=1981724582"",""'Game 9'!J25"")=IMPORTRANGE(""https://docs.google.com/spreadsheets/d/16J5ie7OD1E99qGO9lMDm8w5Yls-v190B7DTolJ5TmFc/edi"&amp;"t#gid=1981724582"",""'Game 9'!S25""),IMPORTRANGE(""https://docs.google.com/spreadsheets/d/16J5ie7OD1E99qGO9lMDm8w5Yls-v190B7DTolJ5TmFc/edit#gid=1981724582"",""'Game 9'!S25"")+50,IMPORTRANGE(""https://docs.google.com/spreadsheets/d/16J5ie7OD1E99qGO9lMDm8w5"&amp;"Yls-v190B7DTolJ5TmFc/edit#gid=1981724582"",""'Game 9'!S25"")+100)))"),32.0)</f>
        <v>32</v>
      </c>
      <c r="H13" s="36">
        <v>-4.0</v>
      </c>
      <c r="I13" s="7">
        <f>IFERROR(__xludf.DUMMYFUNCTION("IF($A13=IMPORTRANGE(""https://docs.google.com/spreadsheets/d/1CTYfdyRk_RFGM3I2iN9bKeD9zUPzEm1ajzml6VgwfIU/edit#gid=0"",""'Game 12'!B1""),IF(IMPORTRANGE(""https://docs.google.com/spreadsheets/d/1CTYfdyRk_RFGM3I2iN9bKeD9zUPzEm1ajzml6VgwfIU/edit#gid=0"",""'G"&amp;"ame 12'!J25"")&gt;IMPORTRANGE(""https://docs.google.com/spreadsheets/d/1CTYfdyRk_RFGM3I2iN9bKeD9zUPzEm1ajzml6VgwfIU/edit#gid=0"",""'Game 12'!S25""),IMPORTRANGE(""https://docs.google.com/spreadsheets/d/1CTYfdyRk_RFGM3I2iN9bKeD9zUPzEm1ajzml6VgwfIU/edit#gid=0"""&amp;",""'Game 12'!J25"")+100,IF(IMPORTRANGE(""https://docs.google.com/spreadsheets/d/1CTYfdyRk_RFGM3I2iN9bKeD9zUPzEm1ajzml6VgwfIU/edit#gid=0"",""'Game 12'!J25"")=IMPORTRANGE(""https://docs.google.com/spreadsheets/d/1CTYfdyRk_RFGM3I2iN9bKeD9zUPzEm1ajzml6VgwfIU/"&amp;"edit#gid=0"",""'Game 12'!S25""),IMPORTRANGE(""https://docs.google.com/spreadsheets/d/1CTYfdyRk_RFGM3I2iN9bKeD9zUPzEm1ajzml6VgwfIU/edit#gid=0"",""'Game 12'!J25"")+50,IMPORTRANGE(""https://docs.google.com/spreadsheets/d/1CTYfdyRk_RFGM3I2iN9bKeD9zUPzEm1ajzml"&amp;"6VgwfIU/edit#gid=0"",""'Game 12'!J25""))),IF(IMPORTRANGE(""https://docs.google.com/spreadsheets/d/1CTYfdyRk_RFGM3I2iN9bKeD9zUPzEm1ajzml6VgwfIU/edit#gid=0"",""'Game 12'!J25"")&gt;IMPORTRANGE(""https://docs.google.com/spreadsheets/d/1CTYfdyRk_RFGM3I2iN9bKeD9zU"&amp;"PzEm1ajzml6VgwfIU/edit#gid=0"",""'Game 12'!S25""),IMPORTRANGE(""https://docs.google.com/spreadsheets/d/1CTYfdyRk_RFGM3I2iN9bKeD9zUPzEm1ajzml6VgwfIU/edit#gid=0"",""'Game 12'!S25""),IF(IMPORTRANGE(""https://docs.google.com/spreadsheets/d/1CTYfdyRk_RFGM3I2iN"&amp;"9bKeD9zUPzEm1ajzml6VgwfIU/edit#gid=0"",""'Game 12'!J25"")=IMPORTRANGE(""https://docs.google.com/spreadsheets/d/1CTYfdyRk_RFGM3I2iN9bKeD9zUPzEm1ajzml6VgwfIU/edit#gid=0"",""'Game 12'!S25""),IMPORTRANGE(""https://docs.google.com/spreadsheets/d/1CTYfdyRk_RFGM"&amp;"3I2iN9bKeD9zUPzEm1ajzml6VgwfIU/edit#gid=0"",""'Game 12'!S25"")+50,IMPORTRANGE(""https://docs.google.com/spreadsheets/d/1CTYfdyRk_RFGM3I2iN9bKeD9zUPzEm1ajzml6VgwfIU/edit#gid=0"",""'Game 12'!S25"")+100)))"),12.0)</f>
        <v>12</v>
      </c>
      <c r="J13" s="7">
        <f>IFERROR(__xludf.DUMMYFUNCTION("IF($A13=IMPORTRANGE(""https://docs.google.com/spreadsheets/d/11NFkzOdQyW-OtxSDuGslNCgNjx7HUb2FU7KnlNnPMgY/edit#gid=0"",""'Game 9'!B1""),IF(IMPORTRANGE(""https://docs.google.com/spreadsheets/d/11NFkzOdQyW-OtxSDuGslNCgNjx7HUb2FU7KnlNnPMgY/edit#gid=0"",""'Ga"&amp;"me 9'!J25"")&gt;IMPORTRANGE(""https://docs.google.com/spreadsheets/d/11NFkzOdQyW-OtxSDuGslNCgNjx7HUb2FU7KnlNnPMgY/edit#gid=0"",""'Game 9'!S25""),IMPORTRANGE(""https://docs.google.com/spreadsheets/d/11NFkzOdQyW-OtxSDuGslNCgNjx7HUb2FU7KnlNnPMgY/edit#gid=0"","""&amp;"'Game 9'!J25"")+100,IF(IMPORTRANGE(""https://docs.google.com/spreadsheets/d/11NFkzOdQyW-OtxSDuGslNCgNjx7HUb2FU7KnlNnPMgY/edit#gid=0"",""'Game 9'!J25"")=IMPORTRANGE(""https://docs.google.com/spreadsheets/d/11NFkzOdQyW-OtxSDuGslNCgNjx7HUb2FU7KnlNnPMgY/edit#"&amp;"gid=0"",""'Game 9'!S25""),IMPORTRANGE(""https://docs.google.com/spreadsheets/d/11NFkzOdQyW-OtxSDuGslNCgNjx7HUb2FU7KnlNnPMgY/edit#gid=0"",""'Game 9'!J25"")+50,IMPORTRANGE(""https://docs.google.com/spreadsheets/d/11NFkzOdQyW-OtxSDuGslNCgNjx7HUb2FU7KnlNnPMgY"&amp;"/edit#gid=0"",""'Game 9'!J25""))),IF(IMPORTRANGE(""https://docs.google.com/spreadsheets/d/11NFkzOdQyW-OtxSDuGslNCgNjx7HUb2FU7KnlNnPMgY/edit#gid=0"",""'Game 9'!J25"")&gt;IMPORTRANGE(""https://docs.google.com/spreadsheets/d/11NFkzOdQyW-OtxSDuGslNCgNjx7HUb2FU7K"&amp;"nlNnPMgY/edit#gid=0"",""'Game 9'!S25""),IMPORTRANGE(""https://docs.google.com/spreadsheets/d/11NFkzOdQyW-OtxSDuGslNCgNjx7HUb2FU7KnlNnPMgY/edit#gid=0"",""'Game 9'!S25""),IF(IMPORTRANGE(""https://docs.google.com/spreadsheets/d/11NFkzOdQyW-OtxSDuGslNCgNjx7HU"&amp;"b2FU7KnlNnPMgY/edit#gid=0"",""'Game 9'!J25"")=IMPORTRANGE(""https://docs.google.com/spreadsheets/d/11NFkzOdQyW-OtxSDuGslNCgNjx7HUb2FU7KnlNnPMgY/edit#gid=0"",""'Game 9'!S25""),IMPORTRANGE(""https://docs.google.com/spreadsheets/d/11NFkzOdQyW-OtxSDuGslNCgNjx"&amp;"7HUb2FU7KnlNnPMgY/edit#gid=0"",""'Game 9'!S25"")+50,IMPORTRANGE(""https://docs.google.com/spreadsheets/d/11NFkzOdQyW-OtxSDuGslNCgNjx7HUb2FU7KnlNnPMgY/edit#gid=0"",""'Game 9'!S25"")+100)))"),12.0)</f>
        <v>12</v>
      </c>
      <c r="K13" s="7">
        <f>IFERROR(__xludf.DUMMYFUNCTION("IF($A13=IMPORTRANGE(""https://docs.google.com/spreadsheets/d/1CLg5-jaE4ta0-u4oE1qbBplQ5Mf3Oj9ONFgL0zJ7Ol4/edit#gid=0"",""'Game 12'!B1""),IF(IMPORTRANGE(""https://docs.google.com/spreadsheets/d/1CLg5-jaE4ta0-u4oE1qbBplQ5Mf3Oj9ONFgL0zJ7Ol4/edit#gid=0"",""'G"&amp;"ame 12'!J25"")&gt;IMPORTRANGE(""https://docs.google.com/spreadsheets/d/1CLg5-jaE4ta0-u4oE1qbBplQ5Mf3Oj9ONFgL0zJ7Ol4/edit#gid=0"",""'Game 12'!S25""),IMPORTRANGE(""https://docs.google.com/spreadsheets/d/1CLg5-jaE4ta0-u4oE1qbBplQ5Mf3Oj9ONFgL0zJ7Ol4/edit#gid=0"""&amp;",""'Game 12'!J25"")+100,IF(IMPORTRANGE(""https://docs.google.com/spreadsheets/d/1CLg5-jaE4ta0-u4oE1qbBplQ5Mf3Oj9ONFgL0zJ7Ol4/edit#gid=0"",""'Game 12'!J25"")=IMPORTRANGE(""https://docs.google.com/spreadsheets/d/1CLg5-jaE4ta0-u4oE1qbBplQ5Mf3Oj9ONFgL0zJ7Ol4/"&amp;"edit#gid=0"",""'Game 12'!S25""),IMPORTRANGE(""https://docs.google.com/spreadsheets/d/1CLg5-jaE4ta0-u4oE1qbBplQ5Mf3Oj9ONFgL0zJ7Ol4/edit#gid=0"",""'Game 12'!J25"")+50,IMPORTRANGE(""https://docs.google.com/spreadsheets/d/1CLg5-jaE4ta0-u4oE1qbBplQ5Mf3Oj9ONFgL"&amp;"0zJ7Ol4/edit#gid=0"",""'Game 12'!J25""))),IF(IMPORTRANGE(""https://docs.google.com/spreadsheets/d/1CLg5-jaE4ta0-u4oE1qbBplQ5Mf3Oj9ONFgL0zJ7Ol4/edit#gid=0"",""'Game 12'!J25"")&gt;IMPORTRANGE(""https://docs.google.com/spreadsheets/d/1CLg5-jaE4ta0-u4oE1qbBplQ5M"&amp;"f3Oj9ONFgL0zJ7Ol4/edit#gid=0"",""'Game 12'!S25""),IMPORTRANGE(""https://docs.google.com/spreadsheets/d/1CLg5-jaE4ta0-u4oE1qbBplQ5Mf3Oj9ONFgL0zJ7Ol4/edit#gid=0"",""'Game 12'!S25""),IF(IMPORTRANGE(""https://docs.google.com/spreadsheets/d/1CLg5-jaE4ta0-u4oE1"&amp;"qbBplQ5Mf3Oj9ONFgL0zJ7Ol4/edit#gid=0"",""'Game 12'!J25"")=IMPORTRANGE(""https://docs.google.com/spreadsheets/d/1CLg5-jaE4ta0-u4oE1qbBplQ5Mf3Oj9ONFgL0zJ7Ol4/edit#gid=0"",""'Game 12'!S25""),IMPORTRANGE(""https://docs.google.com/spreadsheets/d/1CLg5-jaE4ta0-"&amp;"u4oE1qbBplQ5Mf3Oj9ONFgL0zJ7Ol4/edit#gid=0"",""'Game 12'!S25"")+50,IMPORTRANGE(""https://docs.google.com/spreadsheets/d/1CLg5-jaE4ta0-u4oE1qbBplQ5Mf3Oj9ONFgL0zJ7Ol4/edit#gid=0"",""'Game 12'!S25"")+100)))"),174.0)</f>
        <v>174</v>
      </c>
      <c r="L13" s="7">
        <f>IFERROR(__xludf.DUMMYFUNCTION("IF($A13=IMPORTRANGE(""https://docs.google.com/spreadsheets/d/1CeexgK4KxWj3k_7nql_k8-RPxXMwTJyB4Q3vAASeDlA/edit#gid=0"",""'Game 12'!B1""),IF(IMPORTRANGE(""https://docs.google.com/spreadsheets/d/1CeexgK4KxWj3k_7nql_k8-RPxXMwTJyB4Q3vAASeDlA/edit#gid=0"",""'G"&amp;"ame 12'!J25"")&gt;IMPORTRANGE(""https://docs.google.com/spreadsheets/d/1CeexgK4KxWj3k_7nql_k8-RPxXMwTJyB4Q3vAASeDlA/edit#gid=0"",""'Game 12'!S25""),IMPORTRANGE(""https://docs.google.com/spreadsheets/d/1CeexgK4KxWj3k_7nql_k8-RPxXMwTJyB4Q3vAASeDlA/edit#gid=0"""&amp;",""'Game 12'!J25"")+100,IF(IMPORTRANGE(""https://docs.google.com/spreadsheets/d/1CeexgK4KxWj3k_7nql_k8-RPxXMwTJyB4Q3vAASeDlA/edit#gid=0"",""'Game 12'!J25"")=IMPORTRANGE(""https://docs.google.com/spreadsheets/d/1CeexgK4KxWj3k_7nql_k8-RPxXMwTJyB4Q3vAASeDlA/"&amp;"edit#gid=0"",""'Game 12'!S25""),IMPORTRANGE(""https://docs.google.com/spreadsheets/d/1CeexgK4KxWj3k_7nql_k8-RPxXMwTJyB4Q3vAASeDlA/edit#gid=0"",""'Game 12'!J25"")+50,IMPORTRANGE(""https://docs.google.com/spreadsheets/d/1CeexgK4KxWj3k_7nql_k8-RPxXMwTJyB4Q3v"&amp;"AASeDlA/edit#gid=0"",""'Game 12'!J25""))),IF(IMPORTRANGE(""https://docs.google.com/spreadsheets/d/1CeexgK4KxWj3k_7nql_k8-RPxXMwTJyB4Q3vAASeDlA/edit#gid=0"",""'Game 12'!J25"")&gt;IMPORTRANGE(""https://docs.google.com/spreadsheets/d/1CeexgK4KxWj3k_7nql_k8-RPxX"&amp;"MwTJyB4Q3vAASeDlA/edit#gid=0"",""'Game 12'!S25""),IMPORTRANGE(""https://docs.google.com/spreadsheets/d/1CeexgK4KxWj3k_7nql_k8-RPxXMwTJyB4Q3vAASeDlA/edit#gid=0"",""'Game 12'!S25""),IF(IMPORTRANGE(""https://docs.google.com/spreadsheets/d/1CeexgK4KxWj3k_7nql"&amp;"_k8-RPxXMwTJyB4Q3vAASeDlA/edit#gid=0"",""'Game 12'!J25"")=IMPORTRANGE(""https://docs.google.com/spreadsheets/d/1CeexgK4KxWj3k_7nql_k8-RPxXMwTJyB4Q3vAASeDlA/edit#gid=0"",""'Game 12'!S25""),IMPORTRANGE(""https://docs.google.com/spreadsheets/d/1CeexgK4KxWj3k"&amp;"_7nql_k8-RPxXMwTJyB4Q3vAASeDlA/edit#gid=0"",""'Game 12'!S25"")+50,IMPORTRANGE(""https://docs.google.com/spreadsheets/d/1CeexgK4KxWj3k_7nql_k8-RPxXMwTJyB4Q3vAASeDlA/edit#gid=0"",""'Game 12'!S25"")+100)))"),134.0)</f>
        <v>134</v>
      </c>
      <c r="M13" s="7">
        <f>IFERROR(__xludf.DUMMYFUNCTION("IF($A13=IMPORTRANGE(""https://docs.google.com/spreadsheets/d/1MNwUNMjcwK6bEgCXwB73jpbK5gJAXS8ZMpbEMLJEP3E/edit#gid=0"",""'Game 13'!B1""),IF(IMPORTRANGE(""https://docs.google.com/spreadsheets/d/1MNwUNMjcwK6bEgCXwB73jpbK5gJAXS8ZMpbEMLJEP3E/edit#gid=0"",""'G"&amp;"ame 13'!J25"")&gt;IMPORTRANGE(""https://docs.google.com/spreadsheets/d/1MNwUNMjcwK6bEgCXwB73jpbK5gJAXS8ZMpbEMLJEP3E/edit#gid=0"",""'Game 13'!S25""),IMPORTRANGE(""https://docs.google.com/spreadsheets/d/1MNwUNMjcwK6bEgCXwB73jpbK5gJAXS8ZMpbEMLJEP3E/edit#gid=0"""&amp;",""'Game 13'!J25"")+100,IF(IMPORTRANGE(""https://docs.google.com/spreadsheets/d/1MNwUNMjcwK6bEgCXwB73jpbK5gJAXS8ZMpbEMLJEP3E/edit#gid=0"",""'Game 13'!J25"")=IMPORTRANGE(""https://docs.google.com/spreadsheets/d/1MNwUNMjcwK6bEgCXwB73jpbK5gJAXS8ZMpbEMLJEP3E/"&amp;"edit#gid=0"",""'Game 13'!S25""),IMPORTRANGE(""https://docs.google.com/spreadsheets/d/1MNwUNMjcwK6bEgCXwB73jpbK5gJAXS8ZMpbEMLJEP3E/edit#gid=0"",""'Game 13'!J25"")+50,IMPORTRANGE(""https://docs.google.com/spreadsheets/d/1MNwUNMjcwK6bEgCXwB73jpbK5gJAXS8ZMpbE"&amp;"MLJEP3E/edit#gid=0"",""'Game 13'!J25""))),IF(IMPORTRANGE(""https://docs.google.com/spreadsheets/d/1MNwUNMjcwK6bEgCXwB73jpbK5gJAXS8ZMpbEMLJEP3E/edit#gid=0"",""'Game 13'!J25"")&gt;IMPORTRANGE(""https://docs.google.com/spreadsheets/d/1MNwUNMjcwK6bEgCXwB73jpbK5g"&amp;"JAXS8ZMpbEMLJEP3E/edit#gid=0"",""'Game 13'!S25""),IMPORTRANGE(""https://docs.google.com/spreadsheets/d/1MNwUNMjcwK6bEgCXwB73jpbK5gJAXS8ZMpbEMLJEP3E/edit#gid=0"",""'Game 13'!S25""),IF(IMPORTRANGE(""https://docs.google.com/spreadsheets/d/1MNwUNMjcwK6bEgCXwB"&amp;"73jpbK5gJAXS8ZMpbEMLJEP3E/edit#gid=0"",""'Game 13'!J25"")=IMPORTRANGE(""https://docs.google.com/spreadsheets/d/1MNwUNMjcwK6bEgCXwB73jpbK5gJAXS8ZMpbEMLJEP3E/edit#gid=0"",""'Game 13'!S25""),IMPORTRANGE(""https://docs.google.com/spreadsheets/d/1MNwUNMjcwK6bE"&amp;"gCXwB73jpbK5gJAXS8ZMpbEMLJEP3E/edit#gid=0"",""'Game 13'!S25"")+50,IMPORTRANGE(""https://docs.google.com/spreadsheets/d/1MNwUNMjcwK6bEgCXwB73jpbK5gJAXS8ZMpbEMLJEP3E/edit#gid=0"",""'Game 13'!S25"")+100)))"),20.0)</f>
        <v>20</v>
      </c>
      <c r="N13" s="7">
        <f>IFERROR(__xludf.DUMMYFUNCTION("IF($A13=IMPORTRANGE(""https://docs.google.com/spreadsheets/d/1UrzyxmT40kDZwVrLMf1yyXfP-pyczRAw9Y8Rw-uXG3c/edit#gid=0"",""'Game 5'!B1""),IF(IMPORTRANGE(""https://docs.google.com/spreadsheets/d/1UrzyxmT40kDZwVrLMf1yyXfP-pyczRAw9Y8Rw-uXG3c/edit#gid=0"",""'Ga"&amp;"me 5'!J25"")&gt;IMPORTRANGE(""https://docs.google.com/spreadsheets/d/1UrzyxmT40kDZwVrLMf1yyXfP-pyczRAw9Y8Rw-uXG3c/edit#gid=0"",""'Game 5'!S25""),IMPORTRANGE(""https://docs.google.com/spreadsheets/d/1UrzyxmT40kDZwVrLMf1yyXfP-pyczRAw9Y8Rw-uXG3c/edit#gid=0"","""&amp;"'Game 5'!J25"")+100,IF(IMPORTRANGE(""https://docs.google.com/spreadsheets/d/1UrzyxmT40kDZwVrLMf1yyXfP-pyczRAw9Y8Rw-uXG3c/edit#gid=0"",""'Game 5'!J25"")=IMPORTRANGE(""https://docs.google.com/spreadsheets/d/1UrzyxmT40kDZwVrLMf1yyXfP-pyczRAw9Y8Rw-uXG3c/edit#"&amp;"gid=0"",""'Game 5'!S25""),IMPORTRANGE(""https://docs.google.com/spreadsheets/d/1UrzyxmT40kDZwVrLMf1yyXfP-pyczRAw9Y8Rw-uXG3c/edit#gid=0"",""'Game 5'!J25"")+50,IMPORTRANGE(""https://docs.google.com/spreadsheets/d/1UrzyxmT40kDZwVrLMf1yyXfP-pyczRAw9Y8Rw-uXG3c"&amp;"/edit#gid=0"",""'Game 5'!J25""))),IF(IMPORTRANGE(""https://docs.google.com/spreadsheets/d/1UrzyxmT40kDZwVrLMf1yyXfP-pyczRAw9Y8Rw-uXG3c/edit#gid=0"",""'Game 5'!J25"")&gt;IMPORTRANGE(""https://docs.google.com/spreadsheets/d/1UrzyxmT40kDZwVrLMf1yyXfP-pyczRAw9Y8"&amp;"Rw-uXG3c/edit#gid=0"",""'Game 5'!S25""),IMPORTRANGE(""https://docs.google.com/spreadsheets/d/1UrzyxmT40kDZwVrLMf1yyXfP-pyczRAw9Y8Rw-uXG3c/edit#gid=0"",""'Game 5'!S25""),IF(IMPORTRANGE(""https://docs.google.com/spreadsheets/d/1UrzyxmT40kDZwVrLMf1yyXfP-pycz"&amp;"RAw9Y8Rw-uXG3c/edit#gid=0"",""'Game 5'!J25"")=IMPORTRANGE(""https://docs.google.com/spreadsheets/d/1UrzyxmT40kDZwVrLMf1yyXfP-pyczRAw9Y8Rw-uXG3c/edit#gid=0"",""'Game 5'!S25""),IMPORTRANGE(""https://docs.google.com/spreadsheets/d/1UrzyxmT40kDZwVrLMf1yyXfP-p"&amp;"yczRAw9Y8Rw-uXG3c/edit#gid=0"",""'Game 5'!S25"")+50,IMPORTRANGE(""https://docs.google.com/spreadsheets/d/1UrzyxmT40kDZwVrLMf1yyXfP-pyczRAw9Y8Rw-uXG3c/edit#gid=0"",""'Game 5'!S25"")+100)))"),12.0)</f>
        <v>12</v>
      </c>
      <c r="O13" s="7">
        <f>IFERROR(__xludf.DUMMYFUNCTION("IF($A13=IMPORTRANGE(""https://docs.google.com/spreadsheets/d/1iyMhSYWifw-KGFtyeBpNxVZr4BhcV9hVZuShgJ9Ia0E/edit#gid=0"",""'Game 7'!B1""),IF(IMPORTRANGE(""https://docs.google.com/spreadsheets/d/1iyMhSYWifw-KGFtyeBpNxVZr4BhcV9hVZuShgJ9Ia0E/edit#gid=0"",""'Ga"&amp;"me 7'!J25"")&gt;IMPORTRANGE(""https://docs.google.com/spreadsheets/d/1iyMhSYWifw-KGFtyeBpNxVZr4BhcV9hVZuShgJ9Ia0E/edit#gid=0"",""'Game 7'!S25""),IMPORTRANGE(""https://docs.google.com/spreadsheets/d/1iyMhSYWifw-KGFtyeBpNxVZr4BhcV9hVZuShgJ9Ia0E/edit#gid=0"","""&amp;"'Game 7'!J25"")+100,IF(IMPORTRANGE(""https://docs.google.com/spreadsheets/d/1iyMhSYWifw-KGFtyeBpNxVZr4BhcV9hVZuShgJ9Ia0E/edit#gid=0"",""'Game 7'!J25"")=IMPORTRANGE(""https://docs.google.com/spreadsheets/d/1iyMhSYWifw-KGFtyeBpNxVZr4BhcV9hVZuShgJ9Ia0E/edit#"&amp;"gid=0"",""'Game 7'!S25""),IMPORTRANGE(""https://docs.google.com/spreadsheets/d/1iyMhSYWifw-KGFtyeBpNxVZr4BhcV9hVZuShgJ9Ia0E/edit#gid=0"",""'Game 7'!J25"")+50,IMPORTRANGE(""https://docs.google.com/spreadsheets/d/1iyMhSYWifw-KGFtyeBpNxVZr4BhcV9hVZuShgJ9Ia0E"&amp;"/edit#gid=0"",""'Game 7'!J25""))),IF(IMPORTRANGE(""https://docs.google.com/spreadsheets/d/1iyMhSYWifw-KGFtyeBpNxVZr4BhcV9hVZuShgJ9Ia0E/edit#gid=0"",""'Game 7'!J25"")&gt;IMPORTRANGE(""https://docs.google.com/spreadsheets/d/1iyMhSYWifw-KGFtyeBpNxVZr4BhcV9hVZuS"&amp;"hgJ9Ia0E/edit#gid=0"",""'Game 7'!S25""),IMPORTRANGE(""https://docs.google.com/spreadsheets/d/1iyMhSYWifw-KGFtyeBpNxVZr4BhcV9hVZuShgJ9Ia0E/edit#gid=0"",""'Game 7'!S25""),IF(IMPORTRANGE(""https://docs.google.com/spreadsheets/d/1iyMhSYWifw-KGFtyeBpNxVZr4BhcV"&amp;"9hVZuShgJ9Ia0E/edit#gid=0"",""'Game 7'!J25"")=IMPORTRANGE(""https://docs.google.com/spreadsheets/d/1iyMhSYWifw-KGFtyeBpNxVZr4BhcV9hVZuShgJ9Ia0E/edit#gid=0"",""'Game 7'!S25""),IMPORTRANGE(""https://docs.google.com/spreadsheets/d/1iyMhSYWifw-KGFtyeBpNxVZr4B"&amp;"hcV9hVZuShgJ9Ia0E/edit#gid=0"",""'Game 7'!S25"")+50,IMPORTRANGE(""https://docs.google.com/spreadsheets/d/1iyMhSYWifw-KGFtyeBpNxVZr4BhcV9hVZuShgJ9Ia0E/edit#gid=0"",""'Game 7'!S25"")+100)))"),16.0)</f>
        <v>16</v>
      </c>
      <c r="P13" s="7">
        <f>IFERROR(__xludf.DUMMYFUNCTION("IF($A13=IMPORTRANGE(""https://docs.google.com/spreadsheets/d/1sSbIK-vvHsSY0LghLJ9gcnW8Hec_ITI2tFmpeqI999A/edit#gid=0"",""'Game 12'!B1""),IF(IMPORTRANGE(""https://docs.google.com/spreadsheets/d/1sSbIK-vvHsSY0LghLJ9gcnW8Hec_ITI2tFmpeqI999A/edit#gid=0"",""'G"&amp;"ame 12'!J25"")&gt;IMPORTRANGE(""https://docs.google.com/spreadsheets/d/1sSbIK-vvHsSY0LghLJ9gcnW8Hec_ITI2tFmpeqI999A/edit#gid=0"",""'Game 12'!S25""),IMPORTRANGE(""https://docs.google.com/spreadsheets/d/1sSbIK-vvHsSY0LghLJ9gcnW8Hec_ITI2tFmpeqI999A/edit#gid=0"""&amp;",""'Game 12'!J25"")+100,IF(IMPORTRANGE(""https://docs.google.com/spreadsheets/d/1sSbIK-vvHsSY0LghLJ9gcnW8Hec_ITI2tFmpeqI999A/edit#gid=0"",""'Game 12'!J25"")=IMPORTRANGE(""https://docs.google.com/spreadsheets/d/1sSbIK-vvHsSY0LghLJ9gcnW8Hec_ITI2tFmpeqI999A/"&amp;"edit#gid=0"",""'Game 12'!S25""),IMPORTRANGE(""https://docs.google.com/spreadsheets/d/1sSbIK-vvHsSY0LghLJ9gcnW8Hec_ITI2tFmpeqI999A/edit#gid=0"",""'Game 12'!J25"")+50,IMPORTRANGE(""https://docs.google.com/spreadsheets/d/1sSbIK-vvHsSY0LghLJ9gcnW8Hec_ITI2tFmp"&amp;"eqI999A/edit#gid=0"",""'Game 12'!J25""))),IF(IMPORTRANGE(""https://docs.google.com/spreadsheets/d/1sSbIK-vvHsSY0LghLJ9gcnW8Hec_ITI2tFmpeqI999A/edit#gid=0"",""'Game 12'!J25"")&gt;IMPORTRANGE(""https://docs.google.com/spreadsheets/d/1sSbIK-vvHsSY0LghLJ9gcnW8He"&amp;"c_ITI2tFmpeqI999A/edit#gid=0"",""'Game 12'!S25""),IMPORTRANGE(""https://docs.google.com/spreadsheets/d/1sSbIK-vvHsSY0LghLJ9gcnW8Hec_ITI2tFmpeqI999A/edit#gid=0"",""'Game 12'!S25""),IF(IMPORTRANGE(""https://docs.google.com/spreadsheets/d/1sSbIK-vvHsSY0LghLJ"&amp;"9gcnW8Hec_ITI2tFmpeqI999A/edit#gid=0"",""'Game 12'!J25"")=IMPORTRANGE(""https://docs.google.com/spreadsheets/d/1sSbIK-vvHsSY0LghLJ9gcnW8Hec_ITI2tFmpeqI999A/edit#gid=0"",""'Game 12'!S25""),IMPORTRANGE(""https://docs.google.com/spreadsheets/d/1sSbIK-vvHsSY0"&amp;"LghLJ9gcnW8Hec_ITI2tFmpeqI999A/edit#gid=0"",""'Game 12'!S25"")+50,IMPORTRANGE(""https://docs.google.com/spreadsheets/d/1sSbIK-vvHsSY0LghLJ9gcnW8Hec_ITI2tFmpeqI999A/edit#gid=0"",""'Game 12'!S25"")+100)))"),144.0)</f>
        <v>144</v>
      </c>
      <c r="Q13" s="37">
        <f t="shared" si="1"/>
        <v>996</v>
      </c>
      <c r="R13" s="37">
        <f t="shared" si="2"/>
        <v>17</v>
      </c>
    </row>
    <row r="14">
      <c r="A14" s="33" t="s">
        <v>174</v>
      </c>
      <c r="B14" s="34">
        <v>144.0</v>
      </c>
      <c r="C14" s="34">
        <v>12.0</v>
      </c>
      <c r="D14" s="34">
        <v>146.0</v>
      </c>
      <c r="E14" s="34">
        <v>134.0</v>
      </c>
      <c r="F14" s="34">
        <v>28.0</v>
      </c>
      <c r="G14" s="35">
        <f>IFERROR(__xludf.DUMMYFUNCTION("IF($A14=IMPORTRANGE(""https://docs.google.com/spreadsheets/d/16J5ie7OD1E99qGO9lMDm8w5Yls-v190B7DTolJ5TmFc/edit#gid=1981724582"",""'Game 10'!B1""),IF(IMPORTRANGE(""https://docs.google.com/spreadsheets/d/16J5ie7OD1E99qGO9lMDm8w5Yls-v190B7DTolJ5TmFc/edit#gid"&amp;"=1981724582"",""'Game 10'!J25"")&gt;IMPORTRANGE(""https://docs.google.com/spreadsheets/d/16J5ie7OD1E99qGO9lMDm8w5Yls-v190B7DTolJ5TmFc/edit#gid=1981724582"",""'Game 10'!S25""),IMPORTRANGE(""https://docs.google.com/spreadsheets/d/16J5ie7OD1E99qGO9lMDm8w5Yls-v1"&amp;"90B7DTolJ5TmFc/edit#gid=1981724582"",""'Game 10'!J25"")+100,IF(IMPORTRANGE(""https://docs.google.com/spreadsheets/d/16J5ie7OD1E99qGO9lMDm8w5Yls-v190B7DTolJ5TmFc/edit#gid=1981724582"",""'Game 10'!J25"")=IMPORTRANGE(""https://docs.google.com/spreadsheets/d/"&amp;"16J5ie7OD1E99qGO9lMDm8w5Yls-v190B7DTolJ5TmFc/edit#gid=1981724582"",""'Game 10'!S25""),IMPORTRANGE(""https://docs.google.com/spreadsheets/d/16J5ie7OD1E99qGO9lMDm8w5Yls-v190B7DTolJ5TmFc/edit#gid=1981724582"",""'Game 10'!J25"")+50,IMPORTRANGE(""https://docs."&amp;"google.com/spreadsheets/d/16J5ie7OD1E99qGO9lMDm8w5Yls-v190B7DTolJ5TmFc/edit#gid=1981724582"",""'Game 10'!J25""))),IF(IMPORTRANGE(""https://docs.google.com/spreadsheets/d/16J5ie7OD1E99qGO9lMDm8w5Yls-v190B7DTolJ5TmFc/edit#gid=1981724582"",""'Game 10'!J25"")"&amp;"&gt;IMPORTRANGE(""https://docs.google.com/spreadsheets/d/16J5ie7OD1E99qGO9lMDm8w5Yls-v190B7DTolJ5TmFc/edit#gid=1981724582"",""'Game 10'!S25""),IMPORTRANGE(""https://docs.google.com/spreadsheets/d/16J5ie7OD1E99qGO9lMDm8w5Yls-v190B7DTolJ5TmFc/edit#gid=19817245"&amp;"82"",""'Game 10'!S25""),IF(IMPORTRANGE(""https://docs.google.com/spreadsheets/d/16J5ie7OD1E99qGO9lMDm8w5Yls-v190B7DTolJ5TmFc/edit#gid=1981724582"",""'Game 10'!J25"")=IMPORTRANGE(""https://docs.google.com/spreadsheets/d/16J5ie7OD1E99qGO9lMDm8w5Yls-v190B7DT"&amp;"olJ5TmFc/edit#gid=1981724582"",""'Game 10'!S25""),IMPORTRANGE(""https://docs.google.com/spreadsheets/d/16J5ie7OD1E99qGO9lMDm8w5Yls-v190B7DTolJ5TmFc/edit#gid=1981724582"",""'Game 10'!S25"")+50,IMPORTRANGE(""https://docs.google.com/spreadsheets/d/16J5ie7OD1"&amp;"E99qGO9lMDm8w5Yls-v190B7DTolJ5TmFc/edit#gid=1981724582"",""'Game 10'!S25"")+100)))"),162.0)</f>
        <v>162</v>
      </c>
      <c r="H14" s="34">
        <v>32.0</v>
      </c>
      <c r="I14" s="5">
        <f>IFERROR(__xludf.DUMMYFUNCTION("IF($A14=IMPORTRANGE(""https://docs.google.com/spreadsheets/d/1CTYfdyRk_RFGM3I2iN9bKeD9zUPzEm1ajzml6VgwfIU/edit#gid=0"",""'Game 10'!B1""),IF(IMPORTRANGE(""https://docs.google.com/spreadsheets/d/1CTYfdyRk_RFGM3I2iN9bKeD9zUPzEm1ajzml6VgwfIU/edit#gid=0"",""'G"&amp;"ame 10'!J25"")&gt;IMPORTRANGE(""https://docs.google.com/spreadsheets/d/1CTYfdyRk_RFGM3I2iN9bKeD9zUPzEm1ajzml6VgwfIU/edit#gid=0"",""'Game 10'!S25""),IMPORTRANGE(""https://docs.google.com/spreadsheets/d/1CTYfdyRk_RFGM3I2iN9bKeD9zUPzEm1ajzml6VgwfIU/edit#gid=0"""&amp;",""'Game 10'!J25"")+100,IF(IMPORTRANGE(""https://docs.google.com/spreadsheets/d/1CTYfdyRk_RFGM3I2iN9bKeD9zUPzEm1ajzml6VgwfIU/edit#gid=0"",""'Game 10'!J25"")=IMPORTRANGE(""https://docs.google.com/spreadsheets/d/1CTYfdyRk_RFGM3I2iN9bKeD9zUPzEm1ajzml6VgwfIU/"&amp;"edit#gid=0"",""'Game 10'!S25""),IMPORTRANGE(""https://docs.google.com/spreadsheets/d/1CTYfdyRk_RFGM3I2iN9bKeD9zUPzEm1ajzml6VgwfIU/edit#gid=0"",""'Game 10'!J25"")+50,IMPORTRANGE(""https://docs.google.com/spreadsheets/d/1CTYfdyRk_RFGM3I2iN9bKeD9zUPzEm1ajzml"&amp;"6VgwfIU/edit#gid=0"",""'Game 10'!J25""))),IF(IMPORTRANGE(""https://docs.google.com/spreadsheets/d/1CTYfdyRk_RFGM3I2iN9bKeD9zUPzEm1ajzml6VgwfIU/edit#gid=0"",""'Game 10'!J25"")&gt;IMPORTRANGE(""https://docs.google.com/spreadsheets/d/1CTYfdyRk_RFGM3I2iN9bKeD9zU"&amp;"PzEm1ajzml6VgwfIU/edit#gid=0"",""'Game 10'!S25""),IMPORTRANGE(""https://docs.google.com/spreadsheets/d/1CTYfdyRk_RFGM3I2iN9bKeD9zUPzEm1ajzml6VgwfIU/edit#gid=0"",""'Game 10'!S25""),IF(IMPORTRANGE(""https://docs.google.com/spreadsheets/d/1CTYfdyRk_RFGM3I2iN"&amp;"9bKeD9zUPzEm1ajzml6VgwfIU/edit#gid=0"",""'Game 10'!J25"")=IMPORTRANGE(""https://docs.google.com/spreadsheets/d/1CTYfdyRk_RFGM3I2iN9bKeD9zUPzEm1ajzml6VgwfIU/edit#gid=0"",""'Game 10'!S25""),IMPORTRANGE(""https://docs.google.com/spreadsheets/d/1CTYfdyRk_RFGM"&amp;"3I2iN9bKeD9zUPzEm1ajzml6VgwfIU/edit#gid=0"",""'Game 10'!S25"")+50,IMPORTRANGE(""https://docs.google.com/spreadsheets/d/1CTYfdyRk_RFGM3I2iN9bKeD9zUPzEm1ajzml6VgwfIU/edit#gid=0"",""'Game 10'!S25"")+100)))"),10.0)</f>
        <v>10</v>
      </c>
      <c r="J14" s="5">
        <f>IFERROR(__xludf.DUMMYFUNCTION("IF($A14=IMPORTRANGE(""https://docs.google.com/spreadsheets/d/11NFkzOdQyW-OtxSDuGslNCgNjx7HUb2FU7KnlNnPMgY/edit#gid=0"",""'Game 8'!B1""),IF(IMPORTRANGE(""https://docs.google.com/spreadsheets/d/11NFkzOdQyW-OtxSDuGslNCgNjx7HUb2FU7KnlNnPMgY/edit#gid=0"",""'Ga"&amp;"me 8'!J25"")&gt;IMPORTRANGE(""https://docs.google.com/spreadsheets/d/11NFkzOdQyW-OtxSDuGslNCgNjx7HUb2FU7KnlNnPMgY/edit#gid=0"",""'Game 8'!S25""),IMPORTRANGE(""https://docs.google.com/spreadsheets/d/11NFkzOdQyW-OtxSDuGslNCgNjx7HUb2FU7KnlNnPMgY/edit#gid=0"","""&amp;"'Game 8'!J25"")+100,IF(IMPORTRANGE(""https://docs.google.com/spreadsheets/d/11NFkzOdQyW-OtxSDuGslNCgNjx7HUb2FU7KnlNnPMgY/edit#gid=0"",""'Game 8'!J25"")=IMPORTRANGE(""https://docs.google.com/spreadsheets/d/11NFkzOdQyW-OtxSDuGslNCgNjx7HUb2FU7KnlNnPMgY/edit#"&amp;"gid=0"",""'Game 8'!S25""),IMPORTRANGE(""https://docs.google.com/spreadsheets/d/11NFkzOdQyW-OtxSDuGslNCgNjx7HUb2FU7KnlNnPMgY/edit#gid=0"",""'Game 8'!J25"")+50,IMPORTRANGE(""https://docs.google.com/spreadsheets/d/11NFkzOdQyW-OtxSDuGslNCgNjx7HUb2FU7KnlNnPMgY"&amp;"/edit#gid=0"",""'Game 8'!J25""))),IF(IMPORTRANGE(""https://docs.google.com/spreadsheets/d/11NFkzOdQyW-OtxSDuGslNCgNjx7HUb2FU7KnlNnPMgY/edit#gid=0"",""'Game 8'!J25"")&gt;IMPORTRANGE(""https://docs.google.com/spreadsheets/d/11NFkzOdQyW-OtxSDuGslNCgNjx7HUb2FU7K"&amp;"nlNnPMgY/edit#gid=0"",""'Game 8'!S25""),IMPORTRANGE(""https://docs.google.com/spreadsheets/d/11NFkzOdQyW-OtxSDuGslNCgNjx7HUb2FU7KnlNnPMgY/edit#gid=0"",""'Game 8'!S25""),IF(IMPORTRANGE(""https://docs.google.com/spreadsheets/d/11NFkzOdQyW-OtxSDuGslNCgNjx7HU"&amp;"b2FU7KnlNnPMgY/edit#gid=0"",""'Game 8'!J25"")=IMPORTRANGE(""https://docs.google.com/spreadsheets/d/11NFkzOdQyW-OtxSDuGslNCgNjx7HUb2FU7KnlNnPMgY/edit#gid=0"",""'Game 8'!S25""),IMPORTRANGE(""https://docs.google.com/spreadsheets/d/11NFkzOdQyW-OtxSDuGslNCgNjx"&amp;"7HUb2FU7KnlNnPMgY/edit#gid=0"",""'Game 8'!S25"")+50,IMPORTRANGE(""https://docs.google.com/spreadsheets/d/11NFkzOdQyW-OtxSDuGslNCgNjx7HUb2FU7KnlNnPMgY/edit#gid=0"",""'Game 8'!S25"")+100)))"),156.0)</f>
        <v>156</v>
      </c>
      <c r="K14" s="5">
        <f>IFERROR(__xludf.DUMMYFUNCTION("IF($A14=IMPORTRANGE(""https://docs.google.com/spreadsheets/d/1CLg5-jaE4ta0-u4oE1qbBplQ5Mf3Oj9ONFgL0zJ7Ol4/edit#gid=0"",""'Game 12'!B1""),IF(IMPORTRANGE(""https://docs.google.com/spreadsheets/d/1CLg5-jaE4ta0-u4oE1qbBplQ5Mf3Oj9ONFgL0zJ7Ol4/edit#gid=0"",""'G"&amp;"ame 12'!J25"")&gt;IMPORTRANGE(""https://docs.google.com/spreadsheets/d/1CLg5-jaE4ta0-u4oE1qbBplQ5Mf3Oj9ONFgL0zJ7Ol4/edit#gid=0"",""'Game 12'!S25""),IMPORTRANGE(""https://docs.google.com/spreadsheets/d/1CLg5-jaE4ta0-u4oE1qbBplQ5Mf3Oj9ONFgL0zJ7Ol4/edit#gid=0"""&amp;",""'Game 12'!J25"")+100,IF(IMPORTRANGE(""https://docs.google.com/spreadsheets/d/1CLg5-jaE4ta0-u4oE1qbBplQ5Mf3Oj9ONFgL0zJ7Ol4/edit#gid=0"",""'Game 12'!J25"")=IMPORTRANGE(""https://docs.google.com/spreadsheets/d/1CLg5-jaE4ta0-u4oE1qbBplQ5Mf3Oj9ONFgL0zJ7Ol4/"&amp;"edit#gid=0"",""'Game 12'!S25""),IMPORTRANGE(""https://docs.google.com/spreadsheets/d/1CLg5-jaE4ta0-u4oE1qbBplQ5Mf3Oj9ONFgL0zJ7Ol4/edit#gid=0"",""'Game 12'!J25"")+50,IMPORTRANGE(""https://docs.google.com/spreadsheets/d/1CLg5-jaE4ta0-u4oE1qbBplQ5Mf3Oj9ONFgL"&amp;"0zJ7Ol4/edit#gid=0"",""'Game 12'!J25""))),IF(IMPORTRANGE(""https://docs.google.com/spreadsheets/d/1CLg5-jaE4ta0-u4oE1qbBplQ5Mf3Oj9ONFgL0zJ7Ol4/edit#gid=0"",""'Game 12'!J25"")&gt;IMPORTRANGE(""https://docs.google.com/spreadsheets/d/1CLg5-jaE4ta0-u4oE1qbBplQ5M"&amp;"f3Oj9ONFgL0zJ7Ol4/edit#gid=0"",""'Game 12'!S25""),IMPORTRANGE(""https://docs.google.com/spreadsheets/d/1CLg5-jaE4ta0-u4oE1qbBplQ5Mf3Oj9ONFgL0zJ7Ol4/edit#gid=0"",""'Game 12'!S25""),IF(IMPORTRANGE(""https://docs.google.com/spreadsheets/d/1CLg5-jaE4ta0-u4oE1"&amp;"qbBplQ5Mf3Oj9ONFgL0zJ7Ol4/edit#gid=0"",""'Game 12'!J25"")=IMPORTRANGE(""https://docs.google.com/spreadsheets/d/1CLg5-jaE4ta0-u4oE1qbBplQ5Mf3Oj9ONFgL0zJ7Ol4/edit#gid=0"",""'Game 12'!S25""),IMPORTRANGE(""https://docs.google.com/spreadsheets/d/1CLg5-jaE4ta0-"&amp;"u4oE1qbBplQ5Mf3Oj9ONFgL0zJ7Ol4/edit#gid=0"",""'Game 12'!S25"")+50,IMPORTRANGE(""https://docs.google.com/spreadsheets/d/1CLg5-jaE4ta0-u4oE1qbBplQ5Mf3Oj9ONFgL0zJ7Ol4/edit#gid=0"",""'Game 12'!S25"")+100)))"),16.0)</f>
        <v>16</v>
      </c>
      <c r="L14" s="5">
        <f>IFERROR(__xludf.DUMMYFUNCTION("IF($A14=IMPORTRANGE(""https://docs.google.com/spreadsheets/d/1CeexgK4KxWj3k_7nql_k8-RPxXMwTJyB4Q3vAASeDlA/edit#gid=0"",""'Game 11'!B1""),IF(IMPORTRANGE(""https://docs.google.com/spreadsheets/d/1CeexgK4KxWj3k_7nql_k8-RPxXMwTJyB4Q3vAASeDlA/edit#gid=0"",""'G"&amp;"ame 11'!J25"")&gt;IMPORTRANGE(""https://docs.google.com/spreadsheets/d/1CeexgK4KxWj3k_7nql_k8-RPxXMwTJyB4Q3vAASeDlA/edit#gid=0"",""'Game 11'!S25""),IMPORTRANGE(""https://docs.google.com/spreadsheets/d/1CeexgK4KxWj3k_7nql_k8-RPxXMwTJyB4Q3vAASeDlA/edit#gid=0"""&amp;",""'Game 11'!J25"")+100,IF(IMPORTRANGE(""https://docs.google.com/spreadsheets/d/1CeexgK4KxWj3k_7nql_k8-RPxXMwTJyB4Q3vAASeDlA/edit#gid=0"",""'Game 11'!J25"")=IMPORTRANGE(""https://docs.google.com/spreadsheets/d/1CeexgK4KxWj3k_7nql_k8-RPxXMwTJyB4Q3vAASeDlA/"&amp;"edit#gid=0"",""'Game 11'!S25""),IMPORTRANGE(""https://docs.google.com/spreadsheets/d/1CeexgK4KxWj3k_7nql_k8-RPxXMwTJyB4Q3vAASeDlA/edit#gid=0"",""'Game 11'!J25"")+50,IMPORTRANGE(""https://docs.google.com/spreadsheets/d/1CeexgK4KxWj3k_7nql_k8-RPxXMwTJyB4Q3v"&amp;"AASeDlA/edit#gid=0"",""'Game 11'!J25""))),IF(IMPORTRANGE(""https://docs.google.com/spreadsheets/d/1CeexgK4KxWj3k_7nql_k8-RPxXMwTJyB4Q3vAASeDlA/edit#gid=0"",""'Game 11'!J25"")&gt;IMPORTRANGE(""https://docs.google.com/spreadsheets/d/1CeexgK4KxWj3k_7nql_k8-RPxX"&amp;"MwTJyB4Q3vAASeDlA/edit#gid=0"",""'Game 11'!S25""),IMPORTRANGE(""https://docs.google.com/spreadsheets/d/1CeexgK4KxWj3k_7nql_k8-RPxXMwTJyB4Q3vAASeDlA/edit#gid=0"",""'Game 11'!S25""),IF(IMPORTRANGE(""https://docs.google.com/spreadsheets/d/1CeexgK4KxWj3k_7nql"&amp;"_k8-RPxXMwTJyB4Q3vAASeDlA/edit#gid=0"",""'Game 11'!J25"")=IMPORTRANGE(""https://docs.google.com/spreadsheets/d/1CeexgK4KxWj3k_7nql_k8-RPxXMwTJyB4Q3vAASeDlA/edit#gid=0"",""'Game 11'!S25""),IMPORTRANGE(""https://docs.google.com/spreadsheets/d/1CeexgK4KxWj3k"&amp;"_7nql_k8-RPxXMwTJyB4Q3vAASeDlA/edit#gid=0"",""'Game 11'!S25"")+50,IMPORTRANGE(""https://docs.google.com/spreadsheets/d/1CeexgK4KxWj3k_7nql_k8-RPxXMwTJyB4Q3vAASeDlA/edit#gid=0"",""'Game 11'!S25"")+100)))"),166.0)</f>
        <v>166</v>
      </c>
      <c r="M14" s="5">
        <f>IFERROR(__xludf.DUMMYFUNCTION("IF($A14=IMPORTRANGE(""https://docs.google.com/spreadsheets/d/1MNwUNMjcwK6bEgCXwB73jpbK5gJAXS8ZMpbEMLJEP3E/edit#gid=0"",""'Game 6'!B1""),IF(IMPORTRANGE(""https://docs.google.com/spreadsheets/d/1MNwUNMjcwK6bEgCXwB73jpbK5gJAXS8ZMpbEMLJEP3E/edit#gid=0"",""'Ga"&amp;"me 6'!J25"")&gt;IMPORTRANGE(""https://docs.google.com/spreadsheets/d/1MNwUNMjcwK6bEgCXwB73jpbK5gJAXS8ZMpbEMLJEP3E/edit#gid=0"",""'Game 6'!S25""),IMPORTRANGE(""https://docs.google.com/spreadsheets/d/1MNwUNMjcwK6bEgCXwB73jpbK5gJAXS8ZMpbEMLJEP3E/edit#gid=0"","""&amp;"'Game 6'!J25"")+100,IF(IMPORTRANGE(""https://docs.google.com/spreadsheets/d/1MNwUNMjcwK6bEgCXwB73jpbK5gJAXS8ZMpbEMLJEP3E/edit#gid=0"",""'Game 6'!J25"")=IMPORTRANGE(""https://docs.google.com/spreadsheets/d/1MNwUNMjcwK6bEgCXwB73jpbK5gJAXS8ZMpbEMLJEP3E/edit#"&amp;"gid=0"",""'Game 6'!S25""),IMPORTRANGE(""https://docs.google.com/spreadsheets/d/1MNwUNMjcwK6bEgCXwB73jpbK5gJAXS8ZMpbEMLJEP3E/edit#gid=0"",""'Game 6'!J25"")+50,IMPORTRANGE(""https://docs.google.com/spreadsheets/d/1MNwUNMjcwK6bEgCXwB73jpbK5gJAXS8ZMpbEMLJEP3E"&amp;"/edit#gid=0"",""'Game 6'!J25""))),IF(IMPORTRANGE(""https://docs.google.com/spreadsheets/d/1MNwUNMjcwK6bEgCXwB73jpbK5gJAXS8ZMpbEMLJEP3E/edit#gid=0"",""'Game 6'!J25"")&gt;IMPORTRANGE(""https://docs.google.com/spreadsheets/d/1MNwUNMjcwK6bEgCXwB73jpbK5gJAXS8ZMpb"&amp;"EMLJEP3E/edit#gid=0"",""'Game 6'!S25""),IMPORTRANGE(""https://docs.google.com/spreadsheets/d/1MNwUNMjcwK6bEgCXwB73jpbK5gJAXS8ZMpbEMLJEP3E/edit#gid=0"",""'Game 6'!S25""),IF(IMPORTRANGE(""https://docs.google.com/spreadsheets/d/1MNwUNMjcwK6bEgCXwB73jpbK5gJAX"&amp;"S8ZMpbEMLJEP3E/edit#gid=0"",""'Game 6'!J25"")=IMPORTRANGE(""https://docs.google.com/spreadsheets/d/1MNwUNMjcwK6bEgCXwB73jpbK5gJAXS8ZMpbEMLJEP3E/edit#gid=0"",""'Game 6'!S25""),IMPORTRANGE(""https://docs.google.com/spreadsheets/d/1MNwUNMjcwK6bEgCXwB73jpbK5g"&amp;"JAXS8ZMpbEMLJEP3E/edit#gid=0"",""'Game 6'!S25"")+50,IMPORTRANGE(""https://docs.google.com/spreadsheets/d/1MNwUNMjcwK6bEgCXwB73jpbK5gJAXS8ZMpbEMLJEP3E/edit#gid=0"",""'Game 6'!S25"")+100)))"),36.0)</f>
        <v>36</v>
      </c>
      <c r="N14" s="5">
        <f>IFERROR(__xludf.DUMMYFUNCTION("IF($A14=IMPORTRANGE(""https://docs.google.com/spreadsheets/d/1UrzyxmT40kDZwVrLMf1yyXfP-pyczRAw9Y8Rw-uXG3c/edit#gid=0"",""'Game 11'!B1""),IF(IMPORTRANGE(""https://docs.google.com/spreadsheets/d/1UrzyxmT40kDZwVrLMf1yyXfP-pyczRAw9Y8Rw-uXG3c/edit#gid=0"",""'G"&amp;"ame 11'!J25"")&gt;IMPORTRANGE(""https://docs.google.com/spreadsheets/d/1UrzyxmT40kDZwVrLMf1yyXfP-pyczRAw9Y8Rw-uXG3c/edit#gid=0"",""'Game 11'!S25""),IMPORTRANGE(""https://docs.google.com/spreadsheets/d/1UrzyxmT40kDZwVrLMf1yyXfP-pyczRAw9Y8Rw-uXG3c/edit#gid=0"""&amp;",""'Game 11'!J25"")+100,IF(IMPORTRANGE(""https://docs.google.com/spreadsheets/d/1UrzyxmT40kDZwVrLMf1yyXfP-pyczRAw9Y8Rw-uXG3c/edit#gid=0"",""'Game 11'!J25"")=IMPORTRANGE(""https://docs.google.com/spreadsheets/d/1UrzyxmT40kDZwVrLMf1yyXfP-pyczRAw9Y8Rw-uXG3c/"&amp;"edit#gid=0"",""'Game 11'!S25""),IMPORTRANGE(""https://docs.google.com/spreadsheets/d/1UrzyxmT40kDZwVrLMf1yyXfP-pyczRAw9Y8Rw-uXG3c/edit#gid=0"",""'Game 11'!J25"")+50,IMPORTRANGE(""https://docs.google.com/spreadsheets/d/1UrzyxmT40kDZwVrLMf1yyXfP-pyczRAw9Y8R"&amp;"w-uXG3c/edit#gid=0"",""'Game 11'!J25""))),IF(IMPORTRANGE(""https://docs.google.com/spreadsheets/d/1UrzyxmT40kDZwVrLMf1yyXfP-pyczRAw9Y8Rw-uXG3c/edit#gid=0"",""'Game 11'!J25"")&gt;IMPORTRANGE(""https://docs.google.com/spreadsheets/d/1UrzyxmT40kDZwVrLMf1yyXfP-p"&amp;"yczRAw9Y8Rw-uXG3c/edit#gid=0"",""'Game 11'!S25""),IMPORTRANGE(""https://docs.google.com/spreadsheets/d/1UrzyxmT40kDZwVrLMf1yyXfP-pyczRAw9Y8Rw-uXG3c/edit#gid=0"",""'Game 11'!S25""),IF(IMPORTRANGE(""https://docs.google.com/spreadsheets/d/1UrzyxmT40kDZwVrLMf"&amp;"1yyXfP-pyczRAw9Y8Rw-uXG3c/edit#gid=0"",""'Game 11'!J25"")=IMPORTRANGE(""https://docs.google.com/spreadsheets/d/1UrzyxmT40kDZwVrLMf1yyXfP-pyczRAw9Y8Rw-uXG3c/edit#gid=0"",""'Game 11'!S25""),IMPORTRANGE(""https://docs.google.com/spreadsheets/d/1UrzyxmT40kDZw"&amp;"VrLMf1yyXfP-pyczRAw9Y8Rw-uXG3c/edit#gid=0"",""'Game 11'!S25"")+50,IMPORTRANGE(""https://docs.google.com/spreadsheets/d/1UrzyxmT40kDZwVrLMf1yyXfP-pyczRAw9Y8Rw-uXG3c/edit#gid=0"",""'Game 11'!S25"")+100)))"),138.0)</f>
        <v>138</v>
      </c>
      <c r="O14" s="5">
        <f>IFERROR(__xludf.DUMMYFUNCTION("IF($A14=IMPORTRANGE(""https://docs.google.com/spreadsheets/d/1iyMhSYWifw-KGFtyeBpNxVZr4BhcV9hVZuShgJ9Ia0E/edit#gid=0"",""'Game 12'!B1""),IF(IMPORTRANGE(""https://docs.google.com/spreadsheets/d/1iyMhSYWifw-KGFtyeBpNxVZr4BhcV9hVZuShgJ9Ia0E/edit#gid=0"",""'G"&amp;"ame 12'!J25"")&gt;IMPORTRANGE(""https://docs.google.com/spreadsheets/d/1iyMhSYWifw-KGFtyeBpNxVZr4BhcV9hVZuShgJ9Ia0E/edit#gid=0"",""'Game 12'!S25""),IMPORTRANGE(""https://docs.google.com/spreadsheets/d/1iyMhSYWifw-KGFtyeBpNxVZr4BhcV9hVZuShgJ9Ia0E/edit#gid=0"""&amp;",""'Game 12'!J25"")+100,IF(IMPORTRANGE(""https://docs.google.com/spreadsheets/d/1iyMhSYWifw-KGFtyeBpNxVZr4BhcV9hVZuShgJ9Ia0E/edit#gid=0"",""'Game 12'!J25"")=IMPORTRANGE(""https://docs.google.com/spreadsheets/d/1iyMhSYWifw-KGFtyeBpNxVZr4BhcV9hVZuShgJ9Ia0E/"&amp;"edit#gid=0"",""'Game 12'!S25""),IMPORTRANGE(""https://docs.google.com/spreadsheets/d/1iyMhSYWifw-KGFtyeBpNxVZr4BhcV9hVZuShgJ9Ia0E/edit#gid=0"",""'Game 12'!J25"")+50,IMPORTRANGE(""https://docs.google.com/spreadsheets/d/1iyMhSYWifw-KGFtyeBpNxVZr4BhcV9hVZuSh"&amp;"gJ9Ia0E/edit#gid=0"",""'Game 12'!J25""))),IF(IMPORTRANGE(""https://docs.google.com/spreadsheets/d/1iyMhSYWifw-KGFtyeBpNxVZr4BhcV9hVZuShgJ9Ia0E/edit#gid=0"",""'Game 12'!J25"")&gt;IMPORTRANGE(""https://docs.google.com/spreadsheets/d/1iyMhSYWifw-KGFtyeBpNxVZr4B"&amp;"hcV9hVZuShgJ9Ia0E/edit#gid=0"",""'Game 12'!S25""),IMPORTRANGE(""https://docs.google.com/spreadsheets/d/1iyMhSYWifw-KGFtyeBpNxVZr4BhcV9hVZuShgJ9Ia0E/edit#gid=0"",""'Game 12'!S25""),IF(IMPORTRANGE(""https://docs.google.com/spreadsheets/d/1iyMhSYWifw-KGFtyeB"&amp;"pNxVZr4BhcV9hVZuShgJ9Ia0E/edit#gid=0"",""'Game 12'!J25"")=IMPORTRANGE(""https://docs.google.com/spreadsheets/d/1iyMhSYWifw-KGFtyeBpNxVZr4BhcV9hVZuShgJ9Ia0E/edit#gid=0"",""'Game 12'!S25""),IMPORTRANGE(""https://docs.google.com/spreadsheets/d/1iyMhSYWifw-KG"&amp;"FtyeBpNxVZr4BhcV9hVZuShgJ9Ia0E/edit#gid=0"",""'Game 12'!S25"")+50,IMPORTRANGE(""https://docs.google.com/spreadsheets/d/1iyMhSYWifw-KGFtyeBpNxVZr4BhcV9hVZuShgJ9Ia0E/edit#gid=0"",""'Game 12'!S25"")+100)))"),26.0)</f>
        <v>26</v>
      </c>
      <c r="P14" s="5">
        <f>IFERROR(__xludf.DUMMYFUNCTION("IF($A14=IMPORTRANGE(""https://docs.google.com/spreadsheets/d/1sSbIK-vvHsSY0LghLJ9gcnW8Hec_ITI2tFmpeqI999A/edit#gid=0"",""'Game 10'!B1""),IF(IMPORTRANGE(""https://docs.google.com/spreadsheets/d/1sSbIK-vvHsSY0LghLJ9gcnW8Hec_ITI2tFmpeqI999A/edit#gid=0"",""'G"&amp;"ame 10'!J25"")&gt;IMPORTRANGE(""https://docs.google.com/spreadsheets/d/1sSbIK-vvHsSY0LghLJ9gcnW8Hec_ITI2tFmpeqI999A/edit#gid=0"",""'Game 10'!S25""),IMPORTRANGE(""https://docs.google.com/spreadsheets/d/1sSbIK-vvHsSY0LghLJ9gcnW8Hec_ITI2tFmpeqI999A/edit#gid=0"""&amp;",""'Game 10'!J25"")+100,IF(IMPORTRANGE(""https://docs.google.com/spreadsheets/d/1sSbIK-vvHsSY0LghLJ9gcnW8Hec_ITI2tFmpeqI999A/edit#gid=0"",""'Game 10'!J25"")=IMPORTRANGE(""https://docs.google.com/spreadsheets/d/1sSbIK-vvHsSY0LghLJ9gcnW8Hec_ITI2tFmpeqI999A/"&amp;"edit#gid=0"",""'Game 10'!S25""),IMPORTRANGE(""https://docs.google.com/spreadsheets/d/1sSbIK-vvHsSY0LghLJ9gcnW8Hec_ITI2tFmpeqI999A/edit#gid=0"",""'Game 10'!J25"")+50,IMPORTRANGE(""https://docs.google.com/spreadsheets/d/1sSbIK-vvHsSY0LghLJ9gcnW8Hec_ITI2tFmp"&amp;"eqI999A/edit#gid=0"",""'Game 10'!J25""))),IF(IMPORTRANGE(""https://docs.google.com/spreadsheets/d/1sSbIK-vvHsSY0LghLJ9gcnW8Hec_ITI2tFmpeqI999A/edit#gid=0"",""'Game 10'!J25"")&gt;IMPORTRANGE(""https://docs.google.com/spreadsheets/d/1sSbIK-vvHsSY0LghLJ9gcnW8He"&amp;"c_ITI2tFmpeqI999A/edit#gid=0"",""'Game 10'!S25""),IMPORTRANGE(""https://docs.google.com/spreadsheets/d/1sSbIK-vvHsSY0LghLJ9gcnW8Hec_ITI2tFmpeqI999A/edit#gid=0"",""'Game 10'!S25""),IF(IMPORTRANGE(""https://docs.google.com/spreadsheets/d/1sSbIK-vvHsSY0LghLJ"&amp;"9gcnW8Hec_ITI2tFmpeqI999A/edit#gid=0"",""'Game 10'!J25"")=IMPORTRANGE(""https://docs.google.com/spreadsheets/d/1sSbIK-vvHsSY0LghLJ9gcnW8Hec_ITI2tFmpeqI999A/edit#gid=0"",""'Game 10'!S25""),IMPORTRANGE(""https://docs.google.com/spreadsheets/d/1sSbIK-vvHsSY0"&amp;"LghLJ9gcnW8Hec_ITI2tFmpeqI999A/edit#gid=0"",""'Game 10'!S25"")+50,IMPORTRANGE(""https://docs.google.com/spreadsheets/d/1sSbIK-vvHsSY0LghLJ9gcnW8Hec_ITI2tFmpeqI999A/edit#gid=0"",""'Game 10'!S25"")+100)))"),158.0)</f>
        <v>158</v>
      </c>
      <c r="Q14" s="35">
        <f t="shared" si="1"/>
        <v>1364</v>
      </c>
      <c r="R14" s="35">
        <f t="shared" si="2"/>
        <v>11</v>
      </c>
    </row>
    <row r="15">
      <c r="A15" s="32" t="s">
        <v>162</v>
      </c>
      <c r="B15" s="36">
        <v>134.0</v>
      </c>
      <c r="C15" s="36">
        <v>172.0</v>
      </c>
      <c r="D15" s="36">
        <v>146.0</v>
      </c>
      <c r="E15" s="36">
        <v>116.0</v>
      </c>
      <c r="F15" s="36">
        <v>60.0</v>
      </c>
      <c r="G15" s="37">
        <f>IFERROR(__xludf.DUMMYFUNCTION("IF($A15=IMPORTRANGE(""https://docs.google.com/spreadsheets/d/16J5ie7OD1E99qGO9lMDm8w5Yls-v190B7DTolJ5TmFc/edit#gid=1981724582"",""'Game 9'!B1""),IF(IMPORTRANGE(""https://docs.google.com/spreadsheets/d/16J5ie7OD1E99qGO9lMDm8w5Yls-v190B7DTolJ5TmFc/edit#gid="&amp;"1981724582"",""'Game 9'!J25"")&gt;IMPORTRANGE(""https://docs.google.com/spreadsheets/d/16J5ie7OD1E99qGO9lMDm8w5Yls-v190B7DTolJ5TmFc/edit#gid=1981724582"",""'Game 9'!S25""),IMPORTRANGE(""https://docs.google.com/spreadsheets/d/16J5ie7OD1E99qGO9lMDm8w5Yls-v190B"&amp;"7DTolJ5TmFc/edit#gid=1981724582"",""'Game 9'!J25"")+100,IF(IMPORTRANGE(""https://docs.google.com/spreadsheets/d/16J5ie7OD1E99qGO9lMDm8w5Yls-v190B7DTolJ5TmFc/edit#gid=1981724582"",""'Game 9'!J25"")=IMPORTRANGE(""https://docs.google.com/spreadsheets/d/16J5i"&amp;"e7OD1E99qGO9lMDm8w5Yls-v190B7DTolJ5TmFc/edit#gid=1981724582"",""'Game 9'!S25""),IMPORTRANGE(""https://docs.google.com/spreadsheets/d/16J5ie7OD1E99qGO9lMDm8w5Yls-v190B7DTolJ5TmFc/edit#gid=1981724582"",""'Game 9'!J25"")+50,IMPORTRANGE(""https://docs.google."&amp;"com/spreadsheets/d/16J5ie7OD1E99qGO9lMDm8w5Yls-v190B7DTolJ5TmFc/edit#gid=1981724582"",""'Game 9'!J25""))),IF(IMPORTRANGE(""https://docs.google.com/spreadsheets/d/16J5ie7OD1E99qGO9lMDm8w5Yls-v190B7DTolJ5TmFc/edit#gid=1981724582"",""'Game 9'!J25"")&gt;IMPORTRA"&amp;"NGE(""https://docs.google.com/spreadsheets/d/16J5ie7OD1E99qGO9lMDm8w5Yls-v190B7DTolJ5TmFc/edit#gid=1981724582"",""'Game 9'!S25""),IMPORTRANGE(""https://docs.google.com/spreadsheets/d/16J5ie7OD1E99qGO9lMDm8w5Yls-v190B7DTolJ5TmFc/edit#gid=1981724582"",""'Ga"&amp;"me 9'!S25""),IF(IMPORTRANGE(""https://docs.google.com/spreadsheets/d/16J5ie7OD1E99qGO9lMDm8w5Yls-v190B7DTolJ5TmFc/edit#gid=1981724582"",""'Game 9'!J25"")=IMPORTRANGE(""https://docs.google.com/spreadsheets/d/16J5ie7OD1E99qGO9lMDm8w5Yls-v190B7DTolJ5TmFc/edi"&amp;"t#gid=1981724582"",""'Game 9'!S25""),IMPORTRANGE(""https://docs.google.com/spreadsheets/d/16J5ie7OD1E99qGO9lMDm8w5Yls-v190B7DTolJ5TmFc/edit#gid=1981724582"",""'Game 9'!S25"")+50,IMPORTRANGE(""https://docs.google.com/spreadsheets/d/16J5ie7OD1E99qGO9lMDm8w5"&amp;"Yls-v190B7DTolJ5TmFc/edit#gid=1981724582"",""'Game 9'!S25"")+100)))"),184.0)</f>
        <v>184</v>
      </c>
      <c r="H15" s="36">
        <v>150.0</v>
      </c>
      <c r="I15" s="7">
        <f>IFERROR(__xludf.DUMMYFUNCTION("IF($A15=IMPORTRANGE(""https://docs.google.com/spreadsheets/d/1CTYfdyRk_RFGM3I2iN9bKeD9zUPzEm1ajzml6VgwfIU/edit#gid=0"",""'Game 6'!B1""),IF(IMPORTRANGE(""https://docs.google.com/spreadsheets/d/1CTYfdyRk_RFGM3I2iN9bKeD9zUPzEm1ajzml6VgwfIU/edit#gid=0"",""'Ga"&amp;"me 6'!J25"")&gt;IMPORTRANGE(""https://docs.google.com/spreadsheets/d/1CTYfdyRk_RFGM3I2iN9bKeD9zUPzEm1ajzml6VgwfIU/edit#gid=0"",""'Game 6'!S25""),IMPORTRANGE(""https://docs.google.com/spreadsheets/d/1CTYfdyRk_RFGM3I2iN9bKeD9zUPzEm1ajzml6VgwfIU/edit#gid=0"","""&amp;"'Game 6'!J25"")+100,IF(IMPORTRANGE(""https://docs.google.com/spreadsheets/d/1CTYfdyRk_RFGM3I2iN9bKeD9zUPzEm1ajzml6VgwfIU/edit#gid=0"",""'Game 6'!J25"")=IMPORTRANGE(""https://docs.google.com/spreadsheets/d/1CTYfdyRk_RFGM3I2iN9bKeD9zUPzEm1ajzml6VgwfIU/edit#"&amp;"gid=0"",""'Game 6'!S25""),IMPORTRANGE(""https://docs.google.com/spreadsheets/d/1CTYfdyRk_RFGM3I2iN9bKeD9zUPzEm1ajzml6VgwfIU/edit#gid=0"",""'Game 6'!J25"")+50,IMPORTRANGE(""https://docs.google.com/spreadsheets/d/1CTYfdyRk_RFGM3I2iN9bKeD9zUPzEm1ajzml6VgwfIU"&amp;"/edit#gid=0"",""'Game 6'!J25""))),IF(IMPORTRANGE(""https://docs.google.com/spreadsheets/d/1CTYfdyRk_RFGM3I2iN9bKeD9zUPzEm1ajzml6VgwfIU/edit#gid=0"",""'Game 6'!J25"")&gt;IMPORTRANGE(""https://docs.google.com/spreadsheets/d/1CTYfdyRk_RFGM3I2iN9bKeD9zUPzEm1ajzm"&amp;"l6VgwfIU/edit#gid=0"",""'Game 6'!S25""),IMPORTRANGE(""https://docs.google.com/spreadsheets/d/1CTYfdyRk_RFGM3I2iN9bKeD9zUPzEm1ajzml6VgwfIU/edit#gid=0"",""'Game 6'!S25""),IF(IMPORTRANGE(""https://docs.google.com/spreadsheets/d/1CTYfdyRk_RFGM3I2iN9bKeD9zUPzE"&amp;"m1ajzml6VgwfIU/edit#gid=0"",""'Game 6'!J25"")=IMPORTRANGE(""https://docs.google.com/spreadsheets/d/1CTYfdyRk_RFGM3I2iN9bKeD9zUPzEm1ajzml6VgwfIU/edit#gid=0"",""'Game 6'!S25""),IMPORTRANGE(""https://docs.google.com/spreadsheets/d/1CTYfdyRk_RFGM3I2iN9bKeD9zU"&amp;"PzEm1ajzml6VgwfIU/edit#gid=0"",""'Game 6'!S25"")+50,IMPORTRANGE(""https://docs.google.com/spreadsheets/d/1CTYfdyRk_RFGM3I2iN9bKeD9zUPzEm1ajzml6VgwfIU/edit#gid=0"",""'Game 6'!S25"")+100)))"),12.0)</f>
        <v>12</v>
      </c>
      <c r="J15" s="7">
        <f>IFERROR(__xludf.DUMMYFUNCTION("IF($A15=IMPORTRANGE(""https://docs.google.com/spreadsheets/d/11NFkzOdQyW-OtxSDuGslNCgNjx7HUb2FU7KnlNnPMgY/edit#gid=0"",""'Game 1'!B1""),IF(IMPORTRANGE(""https://docs.google.com/spreadsheets/d/11NFkzOdQyW-OtxSDuGslNCgNjx7HUb2FU7KnlNnPMgY/edit#gid=0"",""'Ga"&amp;"me 1'!J25"")&gt;IMPORTRANGE(""https://docs.google.com/spreadsheets/d/11NFkzOdQyW-OtxSDuGslNCgNjx7HUb2FU7KnlNnPMgY/edit#gid=0"",""'Game 1'!S25""),IMPORTRANGE(""https://docs.google.com/spreadsheets/d/11NFkzOdQyW-OtxSDuGslNCgNjx7HUb2FU7KnlNnPMgY/edit#gid=0"","""&amp;"'Game 1'!J25"")+100,IF(IMPORTRANGE(""https://docs.google.com/spreadsheets/d/11NFkzOdQyW-OtxSDuGslNCgNjx7HUb2FU7KnlNnPMgY/edit#gid=0"",""'Game 1'!J25"")=IMPORTRANGE(""https://docs.google.com/spreadsheets/d/11NFkzOdQyW-OtxSDuGslNCgNjx7HUb2FU7KnlNnPMgY/edit#"&amp;"gid=0"",""'Game 1'!S25""),IMPORTRANGE(""https://docs.google.com/spreadsheets/d/11NFkzOdQyW-OtxSDuGslNCgNjx7HUb2FU7KnlNnPMgY/edit#gid=0"",""'Game 1'!J25"")+50,IMPORTRANGE(""https://docs.google.com/spreadsheets/d/11NFkzOdQyW-OtxSDuGslNCgNjx7HUb2FU7KnlNnPMgY"&amp;"/edit#gid=0"",""'Game 1'!J25""))),IF(IMPORTRANGE(""https://docs.google.com/spreadsheets/d/11NFkzOdQyW-OtxSDuGslNCgNjx7HUb2FU7KnlNnPMgY/edit#gid=0"",""'Game 1'!J25"")&gt;IMPORTRANGE(""https://docs.google.com/spreadsheets/d/11NFkzOdQyW-OtxSDuGslNCgNjx7HUb2FU7K"&amp;"nlNnPMgY/edit#gid=0"",""'Game 1'!S25""),IMPORTRANGE(""https://docs.google.com/spreadsheets/d/11NFkzOdQyW-OtxSDuGslNCgNjx7HUb2FU7KnlNnPMgY/edit#gid=0"",""'Game 1'!S25""),IF(IMPORTRANGE(""https://docs.google.com/spreadsheets/d/11NFkzOdQyW-OtxSDuGslNCgNjx7HU"&amp;"b2FU7KnlNnPMgY/edit#gid=0"",""'Game 1'!J25"")=IMPORTRANGE(""https://docs.google.com/spreadsheets/d/11NFkzOdQyW-OtxSDuGslNCgNjx7HUb2FU7KnlNnPMgY/edit#gid=0"",""'Game 1'!S25""),IMPORTRANGE(""https://docs.google.com/spreadsheets/d/11NFkzOdQyW-OtxSDuGslNCgNjx"&amp;"7HUb2FU7KnlNnPMgY/edit#gid=0"",""'Game 1'!S25"")+50,IMPORTRANGE(""https://docs.google.com/spreadsheets/d/11NFkzOdQyW-OtxSDuGslNCgNjx7HUb2FU7KnlNnPMgY/edit#gid=0"",""'Game 1'!S25"")+100)))"),188.0)</f>
        <v>188</v>
      </c>
      <c r="K15" s="7">
        <f>IFERROR(__xludf.DUMMYFUNCTION("IF($A15=IMPORTRANGE(""https://docs.google.com/spreadsheets/d/1CLg5-jaE4ta0-u4oE1qbBplQ5Mf3Oj9ONFgL0zJ7Ol4/edit#gid=0"",""'Game 8'!B1""),IF(IMPORTRANGE(""https://docs.google.com/spreadsheets/d/1CLg5-jaE4ta0-u4oE1qbBplQ5Mf3Oj9ONFgL0zJ7Ol4/edit#gid=0"",""'Ga"&amp;"me 8'!J25"")&gt;IMPORTRANGE(""https://docs.google.com/spreadsheets/d/1CLg5-jaE4ta0-u4oE1qbBplQ5Mf3Oj9ONFgL0zJ7Ol4/edit#gid=0"",""'Game 8'!S25""),IMPORTRANGE(""https://docs.google.com/spreadsheets/d/1CLg5-jaE4ta0-u4oE1qbBplQ5Mf3Oj9ONFgL0zJ7Ol4/edit#gid=0"","""&amp;"'Game 8'!J25"")+100,IF(IMPORTRANGE(""https://docs.google.com/spreadsheets/d/1CLg5-jaE4ta0-u4oE1qbBplQ5Mf3Oj9ONFgL0zJ7Ol4/edit#gid=0"",""'Game 8'!J25"")=IMPORTRANGE(""https://docs.google.com/spreadsheets/d/1CLg5-jaE4ta0-u4oE1qbBplQ5Mf3Oj9ONFgL0zJ7Ol4/edit#"&amp;"gid=0"",""'Game 8'!S25""),IMPORTRANGE(""https://docs.google.com/spreadsheets/d/1CLg5-jaE4ta0-u4oE1qbBplQ5Mf3Oj9ONFgL0zJ7Ol4/edit#gid=0"",""'Game 8'!J25"")+50,IMPORTRANGE(""https://docs.google.com/spreadsheets/d/1CLg5-jaE4ta0-u4oE1qbBplQ5Mf3Oj9ONFgL0zJ7Ol4"&amp;"/edit#gid=0"",""'Game 8'!J25""))),IF(IMPORTRANGE(""https://docs.google.com/spreadsheets/d/1CLg5-jaE4ta0-u4oE1qbBplQ5Mf3Oj9ONFgL0zJ7Ol4/edit#gid=0"",""'Game 8'!J25"")&gt;IMPORTRANGE(""https://docs.google.com/spreadsheets/d/1CLg5-jaE4ta0-u4oE1qbBplQ5Mf3Oj9ONFg"&amp;"L0zJ7Ol4/edit#gid=0"",""'Game 8'!S25""),IMPORTRANGE(""https://docs.google.com/spreadsheets/d/1CLg5-jaE4ta0-u4oE1qbBplQ5Mf3Oj9ONFgL0zJ7Ol4/edit#gid=0"",""'Game 8'!S25""),IF(IMPORTRANGE(""https://docs.google.com/spreadsheets/d/1CLg5-jaE4ta0-u4oE1qbBplQ5Mf3O"&amp;"j9ONFgL0zJ7Ol4/edit#gid=0"",""'Game 8'!J25"")=IMPORTRANGE(""https://docs.google.com/spreadsheets/d/1CLg5-jaE4ta0-u4oE1qbBplQ5Mf3Oj9ONFgL0zJ7Ol4/edit#gid=0"",""'Game 8'!S25""),IMPORTRANGE(""https://docs.google.com/spreadsheets/d/1CLg5-jaE4ta0-u4oE1qbBplQ5M"&amp;"f3Oj9ONFgL0zJ7Ol4/edit#gid=0"",""'Game 8'!S25"")+50,IMPORTRANGE(""https://docs.google.com/spreadsheets/d/1CLg5-jaE4ta0-u4oE1qbBplQ5Mf3Oj9ONFgL0zJ7Ol4/edit#gid=0"",""'Game 8'!S25"")+100)))"),170.0)</f>
        <v>170</v>
      </c>
      <c r="L15" s="7">
        <f>IFERROR(__xludf.DUMMYFUNCTION("IF($A15=IMPORTRANGE(""https://docs.google.com/spreadsheets/d/1CeexgK4KxWj3k_7nql_k8-RPxXMwTJyB4Q3vAASeDlA/edit#gid=0"",""'Game 3'!B1""),IF(IMPORTRANGE(""https://docs.google.com/spreadsheets/d/1CeexgK4KxWj3k_7nql_k8-RPxXMwTJyB4Q3vAASeDlA/edit#gid=0"",""'Ga"&amp;"me 3'!J25"")&gt;IMPORTRANGE(""https://docs.google.com/spreadsheets/d/1CeexgK4KxWj3k_7nql_k8-RPxXMwTJyB4Q3vAASeDlA/edit#gid=0"",""'Game 3'!S25""),IMPORTRANGE(""https://docs.google.com/spreadsheets/d/1CeexgK4KxWj3k_7nql_k8-RPxXMwTJyB4Q3vAASeDlA/edit#gid=0"","""&amp;"'Game 3'!J25"")+100,IF(IMPORTRANGE(""https://docs.google.com/spreadsheets/d/1CeexgK4KxWj3k_7nql_k8-RPxXMwTJyB4Q3vAASeDlA/edit#gid=0"",""'Game 3'!J25"")=IMPORTRANGE(""https://docs.google.com/spreadsheets/d/1CeexgK4KxWj3k_7nql_k8-RPxXMwTJyB4Q3vAASeDlA/edit#"&amp;"gid=0"",""'Game 3'!S25""),IMPORTRANGE(""https://docs.google.com/spreadsheets/d/1CeexgK4KxWj3k_7nql_k8-RPxXMwTJyB4Q3vAASeDlA/edit#gid=0"",""'Game 3'!J25"")+50,IMPORTRANGE(""https://docs.google.com/spreadsheets/d/1CeexgK4KxWj3k_7nql_k8-RPxXMwTJyB4Q3vAASeDlA"&amp;"/edit#gid=0"",""'Game 3'!J25""))),IF(IMPORTRANGE(""https://docs.google.com/spreadsheets/d/1CeexgK4KxWj3k_7nql_k8-RPxXMwTJyB4Q3vAASeDlA/edit#gid=0"",""'Game 3'!J25"")&gt;IMPORTRANGE(""https://docs.google.com/spreadsheets/d/1CeexgK4KxWj3k_7nql_k8-RPxXMwTJyB4Q3"&amp;"vAASeDlA/edit#gid=0"",""'Game 3'!S25""),IMPORTRANGE(""https://docs.google.com/spreadsheets/d/1CeexgK4KxWj3k_7nql_k8-RPxXMwTJyB4Q3vAASeDlA/edit#gid=0"",""'Game 3'!S25""),IF(IMPORTRANGE(""https://docs.google.com/spreadsheets/d/1CeexgK4KxWj3k_7nql_k8-RPxXMwT"&amp;"JyB4Q3vAASeDlA/edit#gid=0"",""'Game 3'!J25"")=IMPORTRANGE(""https://docs.google.com/spreadsheets/d/1CeexgK4KxWj3k_7nql_k8-RPxXMwTJyB4Q3vAASeDlA/edit#gid=0"",""'Game 3'!S25""),IMPORTRANGE(""https://docs.google.com/spreadsheets/d/1CeexgK4KxWj3k_7nql_k8-RPxX"&amp;"MwTJyB4Q3vAASeDlA/edit#gid=0"",""'Game 3'!S25"")+50,IMPORTRANGE(""https://docs.google.com/spreadsheets/d/1CeexgK4KxWj3k_7nql_k8-RPxXMwTJyB4Q3vAASeDlA/edit#gid=0"",""'Game 3'!S25"")+100)))"),42.0)</f>
        <v>42</v>
      </c>
      <c r="M15" s="7">
        <f>IFERROR(__xludf.DUMMYFUNCTION("IF($A15=IMPORTRANGE(""https://docs.google.com/spreadsheets/d/1MNwUNMjcwK6bEgCXwB73jpbK5gJAXS8ZMpbEMLJEP3E/edit#gid=0"",""'Game 2'!B1""),IF(IMPORTRANGE(""https://docs.google.com/spreadsheets/d/1MNwUNMjcwK6bEgCXwB73jpbK5gJAXS8ZMpbEMLJEP3E/edit#gid=0"",""'Ga"&amp;"me 2'!J25"")&gt;IMPORTRANGE(""https://docs.google.com/spreadsheets/d/1MNwUNMjcwK6bEgCXwB73jpbK5gJAXS8ZMpbEMLJEP3E/edit#gid=0"",""'Game 2'!S25""),IMPORTRANGE(""https://docs.google.com/spreadsheets/d/1MNwUNMjcwK6bEgCXwB73jpbK5gJAXS8ZMpbEMLJEP3E/edit#gid=0"","""&amp;"'Game 2'!J25"")+100,IF(IMPORTRANGE(""https://docs.google.com/spreadsheets/d/1MNwUNMjcwK6bEgCXwB73jpbK5gJAXS8ZMpbEMLJEP3E/edit#gid=0"",""'Game 2'!J25"")=IMPORTRANGE(""https://docs.google.com/spreadsheets/d/1MNwUNMjcwK6bEgCXwB73jpbK5gJAXS8ZMpbEMLJEP3E/edit#"&amp;"gid=0"",""'Game 2'!S25""),IMPORTRANGE(""https://docs.google.com/spreadsheets/d/1MNwUNMjcwK6bEgCXwB73jpbK5gJAXS8ZMpbEMLJEP3E/edit#gid=0"",""'Game 2'!J25"")+50,IMPORTRANGE(""https://docs.google.com/spreadsheets/d/1MNwUNMjcwK6bEgCXwB73jpbK5gJAXS8ZMpbEMLJEP3E"&amp;"/edit#gid=0"",""'Game 2'!J25""))),IF(IMPORTRANGE(""https://docs.google.com/spreadsheets/d/1MNwUNMjcwK6bEgCXwB73jpbK5gJAXS8ZMpbEMLJEP3E/edit#gid=0"",""'Game 2'!J25"")&gt;IMPORTRANGE(""https://docs.google.com/spreadsheets/d/1MNwUNMjcwK6bEgCXwB73jpbK5gJAXS8ZMpb"&amp;"EMLJEP3E/edit#gid=0"",""'Game 2'!S25""),IMPORTRANGE(""https://docs.google.com/spreadsheets/d/1MNwUNMjcwK6bEgCXwB73jpbK5gJAXS8ZMpbEMLJEP3E/edit#gid=0"",""'Game 2'!S25""),IF(IMPORTRANGE(""https://docs.google.com/spreadsheets/d/1MNwUNMjcwK6bEgCXwB73jpbK5gJAX"&amp;"S8ZMpbEMLJEP3E/edit#gid=0"",""'Game 2'!J25"")=IMPORTRANGE(""https://docs.google.com/spreadsheets/d/1MNwUNMjcwK6bEgCXwB73jpbK5gJAXS8ZMpbEMLJEP3E/edit#gid=0"",""'Game 2'!S25""),IMPORTRANGE(""https://docs.google.com/spreadsheets/d/1MNwUNMjcwK6bEgCXwB73jpbK5g"&amp;"JAXS8ZMpbEMLJEP3E/edit#gid=0"",""'Game 2'!S25"")+50,IMPORTRANGE(""https://docs.google.com/spreadsheets/d/1MNwUNMjcwK6bEgCXwB73jpbK5gJAXS8ZMpbEMLJEP3E/edit#gid=0"",""'Game 2'!S25"")+100)))"),138.0)</f>
        <v>138</v>
      </c>
      <c r="N15" s="7">
        <f>IFERROR(__xludf.DUMMYFUNCTION("IF($A15=IMPORTRANGE(""https://docs.google.com/spreadsheets/d/1UrzyxmT40kDZwVrLMf1yyXfP-pyczRAw9Y8Rw-uXG3c/edit#gid=0"",""'Game 7'!B1""),IF(IMPORTRANGE(""https://docs.google.com/spreadsheets/d/1UrzyxmT40kDZwVrLMf1yyXfP-pyczRAw9Y8Rw-uXG3c/edit#gid=0"",""'Ga"&amp;"me 7'!J25"")&gt;IMPORTRANGE(""https://docs.google.com/spreadsheets/d/1UrzyxmT40kDZwVrLMf1yyXfP-pyczRAw9Y8Rw-uXG3c/edit#gid=0"",""'Game 7'!S25""),IMPORTRANGE(""https://docs.google.com/spreadsheets/d/1UrzyxmT40kDZwVrLMf1yyXfP-pyczRAw9Y8Rw-uXG3c/edit#gid=0"","""&amp;"'Game 7'!J25"")+100,IF(IMPORTRANGE(""https://docs.google.com/spreadsheets/d/1UrzyxmT40kDZwVrLMf1yyXfP-pyczRAw9Y8Rw-uXG3c/edit#gid=0"",""'Game 7'!J25"")=IMPORTRANGE(""https://docs.google.com/spreadsheets/d/1UrzyxmT40kDZwVrLMf1yyXfP-pyczRAw9Y8Rw-uXG3c/edit#"&amp;"gid=0"",""'Game 7'!S25""),IMPORTRANGE(""https://docs.google.com/spreadsheets/d/1UrzyxmT40kDZwVrLMf1yyXfP-pyczRAw9Y8Rw-uXG3c/edit#gid=0"",""'Game 7'!J25"")+50,IMPORTRANGE(""https://docs.google.com/spreadsheets/d/1UrzyxmT40kDZwVrLMf1yyXfP-pyczRAw9Y8Rw-uXG3c"&amp;"/edit#gid=0"",""'Game 7'!J25""))),IF(IMPORTRANGE(""https://docs.google.com/spreadsheets/d/1UrzyxmT40kDZwVrLMf1yyXfP-pyczRAw9Y8Rw-uXG3c/edit#gid=0"",""'Game 7'!J25"")&gt;IMPORTRANGE(""https://docs.google.com/spreadsheets/d/1UrzyxmT40kDZwVrLMf1yyXfP-pyczRAw9Y8"&amp;"Rw-uXG3c/edit#gid=0"",""'Game 7'!S25""),IMPORTRANGE(""https://docs.google.com/spreadsheets/d/1UrzyxmT40kDZwVrLMf1yyXfP-pyczRAw9Y8Rw-uXG3c/edit#gid=0"",""'Game 7'!S25""),IF(IMPORTRANGE(""https://docs.google.com/spreadsheets/d/1UrzyxmT40kDZwVrLMf1yyXfP-pycz"&amp;"RAw9Y8Rw-uXG3c/edit#gid=0"",""'Game 7'!J25"")=IMPORTRANGE(""https://docs.google.com/spreadsheets/d/1UrzyxmT40kDZwVrLMf1yyXfP-pyczRAw9Y8Rw-uXG3c/edit#gid=0"",""'Game 7'!S25""),IMPORTRANGE(""https://docs.google.com/spreadsheets/d/1UrzyxmT40kDZwVrLMf1yyXfP-p"&amp;"yczRAw9Y8Rw-uXG3c/edit#gid=0"",""'Game 7'!S25"")+50,IMPORTRANGE(""https://docs.google.com/spreadsheets/d/1UrzyxmT40kDZwVrLMf1yyXfP-pyczRAw9Y8Rw-uXG3c/edit#gid=0"",""'Game 7'!S25"")+100)))"),34.0)</f>
        <v>34</v>
      </c>
      <c r="O15" s="7">
        <f>IFERROR(__xludf.DUMMYFUNCTION("IF($A15=IMPORTRANGE(""https://docs.google.com/spreadsheets/d/1iyMhSYWifw-KGFtyeBpNxVZr4BhcV9hVZuShgJ9Ia0E/edit#gid=0"",""'Game 8'!B1""),IF(IMPORTRANGE(""https://docs.google.com/spreadsheets/d/1iyMhSYWifw-KGFtyeBpNxVZr4BhcV9hVZuShgJ9Ia0E/edit#gid=0"",""'Ga"&amp;"me 8'!J25"")&gt;IMPORTRANGE(""https://docs.google.com/spreadsheets/d/1iyMhSYWifw-KGFtyeBpNxVZr4BhcV9hVZuShgJ9Ia0E/edit#gid=0"",""'Game 8'!S25""),IMPORTRANGE(""https://docs.google.com/spreadsheets/d/1iyMhSYWifw-KGFtyeBpNxVZr4BhcV9hVZuShgJ9Ia0E/edit#gid=0"","""&amp;"'Game 8'!J25"")+100,IF(IMPORTRANGE(""https://docs.google.com/spreadsheets/d/1iyMhSYWifw-KGFtyeBpNxVZr4BhcV9hVZuShgJ9Ia0E/edit#gid=0"",""'Game 8'!J25"")=IMPORTRANGE(""https://docs.google.com/spreadsheets/d/1iyMhSYWifw-KGFtyeBpNxVZr4BhcV9hVZuShgJ9Ia0E/edit#"&amp;"gid=0"",""'Game 8'!S25""),IMPORTRANGE(""https://docs.google.com/spreadsheets/d/1iyMhSYWifw-KGFtyeBpNxVZr4BhcV9hVZuShgJ9Ia0E/edit#gid=0"",""'Game 8'!J25"")+50,IMPORTRANGE(""https://docs.google.com/spreadsheets/d/1iyMhSYWifw-KGFtyeBpNxVZr4BhcV9hVZuShgJ9Ia0E"&amp;"/edit#gid=0"",""'Game 8'!J25""))),IF(IMPORTRANGE(""https://docs.google.com/spreadsheets/d/1iyMhSYWifw-KGFtyeBpNxVZr4BhcV9hVZuShgJ9Ia0E/edit#gid=0"",""'Game 8'!J25"")&gt;IMPORTRANGE(""https://docs.google.com/spreadsheets/d/1iyMhSYWifw-KGFtyeBpNxVZr4BhcV9hVZuS"&amp;"hgJ9Ia0E/edit#gid=0"",""'Game 8'!S25""),IMPORTRANGE(""https://docs.google.com/spreadsheets/d/1iyMhSYWifw-KGFtyeBpNxVZr4BhcV9hVZuShgJ9Ia0E/edit#gid=0"",""'Game 8'!S25""),IF(IMPORTRANGE(""https://docs.google.com/spreadsheets/d/1iyMhSYWifw-KGFtyeBpNxVZr4BhcV"&amp;"9hVZuShgJ9Ia0E/edit#gid=0"",""'Game 8'!J25"")=IMPORTRANGE(""https://docs.google.com/spreadsheets/d/1iyMhSYWifw-KGFtyeBpNxVZr4BhcV9hVZuShgJ9Ia0E/edit#gid=0"",""'Game 8'!S25""),IMPORTRANGE(""https://docs.google.com/spreadsheets/d/1iyMhSYWifw-KGFtyeBpNxVZr4B"&amp;"hcV9hVZuShgJ9Ia0E/edit#gid=0"",""'Game 8'!S25"")+50,IMPORTRANGE(""https://docs.google.com/spreadsheets/d/1iyMhSYWifw-KGFtyeBpNxVZr4BhcV9hVZuShgJ9Ia0E/edit#gid=0"",""'Game 8'!S25"")+100)))"),168.0)</f>
        <v>168</v>
      </c>
      <c r="P15" s="7">
        <f>IFERROR(__xludf.DUMMYFUNCTION("IF($A15=IMPORTRANGE(""https://docs.google.com/spreadsheets/d/1sSbIK-vvHsSY0LghLJ9gcnW8Hec_ITI2tFmpeqI999A/edit#gid=0"",""'Game 6'!B1""),IF(IMPORTRANGE(""https://docs.google.com/spreadsheets/d/1sSbIK-vvHsSY0LghLJ9gcnW8Hec_ITI2tFmpeqI999A/edit#gid=0"",""'Ga"&amp;"me 6'!J25"")&gt;IMPORTRANGE(""https://docs.google.com/spreadsheets/d/1sSbIK-vvHsSY0LghLJ9gcnW8Hec_ITI2tFmpeqI999A/edit#gid=0"",""'Game 6'!S25""),IMPORTRANGE(""https://docs.google.com/spreadsheets/d/1sSbIK-vvHsSY0LghLJ9gcnW8Hec_ITI2tFmpeqI999A/edit#gid=0"","""&amp;"'Game 6'!J25"")+100,IF(IMPORTRANGE(""https://docs.google.com/spreadsheets/d/1sSbIK-vvHsSY0LghLJ9gcnW8Hec_ITI2tFmpeqI999A/edit#gid=0"",""'Game 6'!J25"")=IMPORTRANGE(""https://docs.google.com/spreadsheets/d/1sSbIK-vvHsSY0LghLJ9gcnW8Hec_ITI2tFmpeqI999A/edit#"&amp;"gid=0"",""'Game 6'!S25""),IMPORTRANGE(""https://docs.google.com/spreadsheets/d/1sSbIK-vvHsSY0LghLJ9gcnW8Hec_ITI2tFmpeqI999A/edit#gid=0"",""'Game 6'!J25"")+50,IMPORTRANGE(""https://docs.google.com/spreadsheets/d/1sSbIK-vvHsSY0LghLJ9gcnW8Hec_ITI2tFmpeqI999A"&amp;"/edit#gid=0"",""'Game 6'!J25""))),IF(IMPORTRANGE(""https://docs.google.com/spreadsheets/d/1sSbIK-vvHsSY0LghLJ9gcnW8Hec_ITI2tFmpeqI999A/edit#gid=0"",""'Game 6'!J25"")&gt;IMPORTRANGE(""https://docs.google.com/spreadsheets/d/1sSbIK-vvHsSY0LghLJ9gcnW8Hec_ITI2tFm"&amp;"peqI999A/edit#gid=0"",""'Game 6'!S25""),IMPORTRANGE(""https://docs.google.com/spreadsheets/d/1sSbIK-vvHsSY0LghLJ9gcnW8Hec_ITI2tFmpeqI999A/edit#gid=0"",""'Game 6'!S25""),IF(IMPORTRANGE(""https://docs.google.com/spreadsheets/d/1sSbIK-vvHsSY0LghLJ9gcnW8Hec_I"&amp;"TI2tFmpeqI999A/edit#gid=0"",""'Game 6'!J25"")=IMPORTRANGE(""https://docs.google.com/spreadsheets/d/1sSbIK-vvHsSY0LghLJ9gcnW8Hec_ITI2tFmpeqI999A/edit#gid=0"",""'Game 6'!S25""),IMPORTRANGE(""https://docs.google.com/spreadsheets/d/1sSbIK-vvHsSY0LghLJ9gcnW8He"&amp;"c_ITI2tFmpeqI999A/edit#gid=0"",""'Game 6'!S25"")+50,IMPORTRANGE(""https://docs.google.com/spreadsheets/d/1sSbIK-vvHsSY0LghLJ9gcnW8Hec_ITI2tFmpeqI999A/edit#gid=0"",""'Game 6'!S25"")+100)))"),190.0)</f>
        <v>190</v>
      </c>
      <c r="Q15" s="37">
        <f t="shared" si="1"/>
        <v>1904</v>
      </c>
      <c r="R15" s="37">
        <f t="shared" si="2"/>
        <v>5</v>
      </c>
    </row>
    <row r="16">
      <c r="A16" s="33" t="s">
        <v>213</v>
      </c>
      <c r="B16" s="34">
        <v>28.0</v>
      </c>
      <c r="C16" s="34">
        <v>20.0</v>
      </c>
      <c r="D16" s="34">
        <v>26.0</v>
      </c>
      <c r="E16" s="34">
        <v>4.0</v>
      </c>
      <c r="F16" s="34">
        <v>30.0</v>
      </c>
      <c r="G16" s="35">
        <f>IFERROR(__xludf.DUMMYFUNCTION("IF($A16=IMPORTRANGE(""https://docs.google.com/spreadsheets/d/16J5ie7OD1E99qGO9lMDm8w5Yls-v190B7DTolJ5TmFc/edit#gid=1981724582"",""'Game 4'!B1""),IF(IMPORTRANGE(""https://docs.google.com/spreadsheets/d/16J5ie7OD1E99qGO9lMDm8w5Yls-v190B7DTolJ5TmFc/edit#gid="&amp;"1981724582"",""'Game 4'!J25"")&gt;IMPORTRANGE(""https://docs.google.com/spreadsheets/d/16J5ie7OD1E99qGO9lMDm8w5Yls-v190B7DTolJ5TmFc/edit#gid=1981724582"",""'Game 4'!S25""),IMPORTRANGE(""https://docs.google.com/spreadsheets/d/16J5ie7OD1E99qGO9lMDm8w5Yls-v190B"&amp;"7DTolJ5TmFc/edit#gid=1981724582"",""'Game 4'!J25"")+100,IF(IMPORTRANGE(""https://docs.google.com/spreadsheets/d/16J5ie7OD1E99qGO9lMDm8w5Yls-v190B7DTolJ5TmFc/edit#gid=1981724582"",""'Game 4'!J25"")=IMPORTRANGE(""https://docs.google.com/spreadsheets/d/16J5i"&amp;"e7OD1E99qGO9lMDm8w5Yls-v190B7DTolJ5TmFc/edit#gid=1981724582"",""'Game 4'!S25""),IMPORTRANGE(""https://docs.google.com/spreadsheets/d/16J5ie7OD1E99qGO9lMDm8w5Yls-v190B7DTolJ5TmFc/edit#gid=1981724582"",""'Game 4'!J25"")+50,IMPORTRANGE(""https://docs.google."&amp;"com/spreadsheets/d/16J5ie7OD1E99qGO9lMDm8w5Yls-v190B7DTolJ5TmFc/edit#gid=1981724582"",""'Game 4'!J25""))),IF(IMPORTRANGE(""https://docs.google.com/spreadsheets/d/16J5ie7OD1E99qGO9lMDm8w5Yls-v190B7DTolJ5TmFc/edit#gid=1981724582"",""'Game 4'!J25"")&gt;IMPORTRA"&amp;"NGE(""https://docs.google.com/spreadsheets/d/16J5ie7OD1E99qGO9lMDm8w5Yls-v190B7DTolJ5TmFc/edit#gid=1981724582"",""'Game 4'!S25""),IMPORTRANGE(""https://docs.google.com/spreadsheets/d/16J5ie7OD1E99qGO9lMDm8w5Yls-v190B7DTolJ5TmFc/edit#gid=1981724582"",""'Ga"&amp;"me 4'!S25""),IF(IMPORTRANGE(""https://docs.google.com/spreadsheets/d/16J5ie7OD1E99qGO9lMDm8w5Yls-v190B7DTolJ5TmFc/edit#gid=1981724582"",""'Game 4'!J25"")=IMPORTRANGE(""https://docs.google.com/spreadsheets/d/16J5ie7OD1E99qGO9lMDm8w5Yls-v190B7DTolJ5TmFc/edi"&amp;"t#gid=1981724582"",""'Game 4'!S25""),IMPORTRANGE(""https://docs.google.com/spreadsheets/d/16J5ie7OD1E99qGO9lMDm8w5Yls-v190B7DTolJ5TmFc/edit#gid=1981724582"",""'Game 4'!S25"")+50,IMPORTRANGE(""https://docs.google.com/spreadsheets/d/16J5ie7OD1E99qGO9lMDm8w5"&amp;"Yls-v190B7DTolJ5TmFc/edit#gid=1981724582"",""'Game 4'!S25"")+100)))"),194.0)</f>
        <v>194</v>
      </c>
      <c r="H16" s="34">
        <v>164.0</v>
      </c>
      <c r="I16" s="5">
        <f>IFERROR(__xludf.DUMMYFUNCTION("IF($A16=IMPORTRANGE(""https://docs.google.com/spreadsheets/d/1CTYfdyRk_RFGM3I2iN9bKeD9zUPzEm1ajzml6VgwfIU/edit#gid=0"",""'Game 8'!B1""),IF(IMPORTRANGE(""https://docs.google.com/spreadsheets/d/1CTYfdyRk_RFGM3I2iN9bKeD9zUPzEm1ajzml6VgwfIU/edit#gid=0"",""'Ga"&amp;"me 8'!J25"")&gt;IMPORTRANGE(""https://docs.google.com/spreadsheets/d/1CTYfdyRk_RFGM3I2iN9bKeD9zUPzEm1ajzml6VgwfIU/edit#gid=0"",""'Game 8'!S25""),IMPORTRANGE(""https://docs.google.com/spreadsheets/d/1CTYfdyRk_RFGM3I2iN9bKeD9zUPzEm1ajzml6VgwfIU/edit#gid=0"","""&amp;"'Game 8'!J25"")+100,IF(IMPORTRANGE(""https://docs.google.com/spreadsheets/d/1CTYfdyRk_RFGM3I2iN9bKeD9zUPzEm1ajzml6VgwfIU/edit#gid=0"",""'Game 8'!J25"")=IMPORTRANGE(""https://docs.google.com/spreadsheets/d/1CTYfdyRk_RFGM3I2iN9bKeD9zUPzEm1ajzml6VgwfIU/edit#"&amp;"gid=0"",""'Game 8'!S25""),IMPORTRANGE(""https://docs.google.com/spreadsheets/d/1CTYfdyRk_RFGM3I2iN9bKeD9zUPzEm1ajzml6VgwfIU/edit#gid=0"",""'Game 8'!J25"")+50,IMPORTRANGE(""https://docs.google.com/spreadsheets/d/1CTYfdyRk_RFGM3I2iN9bKeD9zUPzEm1ajzml6VgwfIU"&amp;"/edit#gid=0"",""'Game 8'!J25""))),IF(IMPORTRANGE(""https://docs.google.com/spreadsheets/d/1CTYfdyRk_RFGM3I2iN9bKeD9zUPzEm1ajzml6VgwfIU/edit#gid=0"",""'Game 8'!J25"")&gt;IMPORTRANGE(""https://docs.google.com/spreadsheets/d/1CTYfdyRk_RFGM3I2iN9bKeD9zUPzEm1ajzm"&amp;"l6VgwfIU/edit#gid=0"",""'Game 8'!S25""),IMPORTRANGE(""https://docs.google.com/spreadsheets/d/1CTYfdyRk_RFGM3I2iN9bKeD9zUPzEm1ajzml6VgwfIU/edit#gid=0"",""'Game 8'!S25""),IF(IMPORTRANGE(""https://docs.google.com/spreadsheets/d/1CTYfdyRk_RFGM3I2iN9bKeD9zUPzE"&amp;"m1ajzml6VgwfIU/edit#gid=0"",""'Game 8'!J25"")=IMPORTRANGE(""https://docs.google.com/spreadsheets/d/1CTYfdyRk_RFGM3I2iN9bKeD9zUPzEm1ajzml6VgwfIU/edit#gid=0"",""'Game 8'!S25""),IMPORTRANGE(""https://docs.google.com/spreadsheets/d/1CTYfdyRk_RFGM3I2iN9bKeD9zU"&amp;"PzEm1ajzml6VgwfIU/edit#gid=0"",""'Game 8'!S25"")+50,IMPORTRANGE(""https://docs.google.com/spreadsheets/d/1CTYfdyRk_RFGM3I2iN9bKeD9zUPzEm1ajzml6VgwfIU/edit#gid=0"",""'Game 8'!S25"")+100)))"),30.0)</f>
        <v>30</v>
      </c>
      <c r="J16" s="5">
        <f>IFERROR(__xludf.DUMMYFUNCTION("IF($A16=IMPORTRANGE(""https://docs.google.com/spreadsheets/d/11NFkzOdQyW-OtxSDuGslNCgNjx7HUb2FU7KnlNnPMgY/edit#gid=0"",""'Game 8'!B1""),IF(IMPORTRANGE(""https://docs.google.com/spreadsheets/d/11NFkzOdQyW-OtxSDuGslNCgNjx7HUb2FU7KnlNnPMgY/edit#gid=0"",""'Ga"&amp;"me 8'!J25"")&gt;IMPORTRANGE(""https://docs.google.com/spreadsheets/d/11NFkzOdQyW-OtxSDuGslNCgNjx7HUb2FU7KnlNnPMgY/edit#gid=0"",""'Game 8'!S25""),IMPORTRANGE(""https://docs.google.com/spreadsheets/d/11NFkzOdQyW-OtxSDuGslNCgNjx7HUb2FU7KnlNnPMgY/edit#gid=0"","""&amp;"'Game 8'!J25"")+100,IF(IMPORTRANGE(""https://docs.google.com/spreadsheets/d/11NFkzOdQyW-OtxSDuGslNCgNjx7HUb2FU7KnlNnPMgY/edit#gid=0"",""'Game 8'!J25"")=IMPORTRANGE(""https://docs.google.com/spreadsheets/d/11NFkzOdQyW-OtxSDuGslNCgNjx7HUb2FU7KnlNnPMgY/edit#"&amp;"gid=0"",""'Game 8'!S25""),IMPORTRANGE(""https://docs.google.com/spreadsheets/d/11NFkzOdQyW-OtxSDuGslNCgNjx7HUb2FU7KnlNnPMgY/edit#gid=0"",""'Game 8'!J25"")+50,IMPORTRANGE(""https://docs.google.com/spreadsheets/d/11NFkzOdQyW-OtxSDuGslNCgNjx7HUb2FU7KnlNnPMgY"&amp;"/edit#gid=0"",""'Game 8'!J25""))),IF(IMPORTRANGE(""https://docs.google.com/spreadsheets/d/11NFkzOdQyW-OtxSDuGslNCgNjx7HUb2FU7KnlNnPMgY/edit#gid=0"",""'Game 8'!J25"")&gt;IMPORTRANGE(""https://docs.google.com/spreadsheets/d/11NFkzOdQyW-OtxSDuGslNCgNjx7HUb2FU7K"&amp;"nlNnPMgY/edit#gid=0"",""'Game 8'!S25""),IMPORTRANGE(""https://docs.google.com/spreadsheets/d/11NFkzOdQyW-OtxSDuGslNCgNjx7HUb2FU7KnlNnPMgY/edit#gid=0"",""'Game 8'!S25""),IF(IMPORTRANGE(""https://docs.google.com/spreadsheets/d/11NFkzOdQyW-OtxSDuGslNCgNjx7HU"&amp;"b2FU7KnlNnPMgY/edit#gid=0"",""'Game 8'!J25"")=IMPORTRANGE(""https://docs.google.com/spreadsheets/d/11NFkzOdQyW-OtxSDuGslNCgNjx7HUb2FU7KnlNnPMgY/edit#gid=0"",""'Game 8'!S25""),IMPORTRANGE(""https://docs.google.com/spreadsheets/d/11NFkzOdQyW-OtxSDuGslNCgNjx"&amp;"7HUb2FU7KnlNnPMgY/edit#gid=0"",""'Game 8'!S25"")+50,IMPORTRANGE(""https://docs.google.com/spreadsheets/d/11NFkzOdQyW-OtxSDuGslNCgNjx7HUb2FU7KnlNnPMgY/edit#gid=0"",""'Game 8'!S25"")+100)))"),20.0)</f>
        <v>20</v>
      </c>
      <c r="K16" s="5">
        <f>IFERROR(__xludf.DUMMYFUNCTION("IF($A16=IMPORTRANGE(""https://docs.google.com/spreadsheets/d/1CLg5-jaE4ta0-u4oE1qbBplQ5Mf3Oj9ONFgL0zJ7Ol4/edit#gid=0"",""'Game 9'!B1""),IF(IMPORTRANGE(""https://docs.google.com/spreadsheets/d/1CLg5-jaE4ta0-u4oE1qbBplQ5Mf3Oj9ONFgL0zJ7Ol4/edit#gid=0"",""'Ga"&amp;"me 9'!J25"")&gt;IMPORTRANGE(""https://docs.google.com/spreadsheets/d/1CLg5-jaE4ta0-u4oE1qbBplQ5Mf3Oj9ONFgL0zJ7Ol4/edit#gid=0"",""'Game 9'!S25""),IMPORTRANGE(""https://docs.google.com/spreadsheets/d/1CLg5-jaE4ta0-u4oE1qbBplQ5Mf3Oj9ONFgL0zJ7Ol4/edit#gid=0"","""&amp;"'Game 9'!J25"")+100,IF(IMPORTRANGE(""https://docs.google.com/spreadsheets/d/1CLg5-jaE4ta0-u4oE1qbBplQ5Mf3Oj9ONFgL0zJ7Ol4/edit#gid=0"",""'Game 9'!J25"")=IMPORTRANGE(""https://docs.google.com/spreadsheets/d/1CLg5-jaE4ta0-u4oE1qbBplQ5Mf3Oj9ONFgL0zJ7Ol4/edit#"&amp;"gid=0"",""'Game 9'!S25""),IMPORTRANGE(""https://docs.google.com/spreadsheets/d/1CLg5-jaE4ta0-u4oE1qbBplQ5Mf3Oj9ONFgL0zJ7Ol4/edit#gid=0"",""'Game 9'!J25"")+50,IMPORTRANGE(""https://docs.google.com/spreadsheets/d/1CLg5-jaE4ta0-u4oE1qbBplQ5Mf3Oj9ONFgL0zJ7Ol4"&amp;"/edit#gid=0"",""'Game 9'!J25""))),IF(IMPORTRANGE(""https://docs.google.com/spreadsheets/d/1CLg5-jaE4ta0-u4oE1qbBplQ5Mf3Oj9ONFgL0zJ7Ol4/edit#gid=0"",""'Game 9'!J25"")&gt;IMPORTRANGE(""https://docs.google.com/spreadsheets/d/1CLg5-jaE4ta0-u4oE1qbBplQ5Mf3Oj9ONFg"&amp;"L0zJ7Ol4/edit#gid=0"",""'Game 9'!S25""),IMPORTRANGE(""https://docs.google.com/spreadsheets/d/1CLg5-jaE4ta0-u4oE1qbBplQ5Mf3Oj9ONFgL0zJ7Ol4/edit#gid=0"",""'Game 9'!S25""),IF(IMPORTRANGE(""https://docs.google.com/spreadsheets/d/1CLg5-jaE4ta0-u4oE1qbBplQ5Mf3O"&amp;"j9ONFgL0zJ7Ol4/edit#gid=0"",""'Game 9'!J25"")=IMPORTRANGE(""https://docs.google.com/spreadsheets/d/1CLg5-jaE4ta0-u4oE1qbBplQ5Mf3Oj9ONFgL0zJ7Ol4/edit#gid=0"",""'Game 9'!S25""),IMPORTRANGE(""https://docs.google.com/spreadsheets/d/1CLg5-jaE4ta0-u4oE1qbBplQ5M"&amp;"f3Oj9ONFgL0zJ7Ol4/edit#gid=0"",""'Game 9'!S25"")+50,IMPORTRANGE(""https://docs.google.com/spreadsheets/d/1CLg5-jaE4ta0-u4oE1qbBplQ5Mf3Oj9ONFgL0zJ7Ol4/edit#gid=0"",""'Game 9'!S25"")+100)))"),34.0)</f>
        <v>34</v>
      </c>
      <c r="L16" s="5">
        <f>IFERROR(__xludf.DUMMYFUNCTION("IF($A16=IMPORTRANGE(""https://docs.google.com/spreadsheets/d/1CeexgK4KxWj3k_7nql_k8-RPxXMwTJyB4Q3vAASeDlA/edit#gid=0"",""'Game 2'!B1""),IF(IMPORTRANGE(""https://docs.google.com/spreadsheets/d/1CeexgK4KxWj3k_7nql_k8-RPxXMwTJyB4Q3vAASeDlA/edit#gid=0"",""'Ga"&amp;"me 2'!J25"")&gt;IMPORTRANGE(""https://docs.google.com/spreadsheets/d/1CeexgK4KxWj3k_7nql_k8-RPxXMwTJyB4Q3vAASeDlA/edit#gid=0"",""'Game 2'!S25""),IMPORTRANGE(""https://docs.google.com/spreadsheets/d/1CeexgK4KxWj3k_7nql_k8-RPxXMwTJyB4Q3vAASeDlA/edit#gid=0"","""&amp;"'Game 2'!J25"")+100,IF(IMPORTRANGE(""https://docs.google.com/spreadsheets/d/1CeexgK4KxWj3k_7nql_k8-RPxXMwTJyB4Q3vAASeDlA/edit#gid=0"",""'Game 2'!J25"")=IMPORTRANGE(""https://docs.google.com/spreadsheets/d/1CeexgK4KxWj3k_7nql_k8-RPxXMwTJyB4Q3vAASeDlA/edit#"&amp;"gid=0"",""'Game 2'!S25""),IMPORTRANGE(""https://docs.google.com/spreadsheets/d/1CeexgK4KxWj3k_7nql_k8-RPxXMwTJyB4Q3vAASeDlA/edit#gid=0"",""'Game 2'!J25"")+50,IMPORTRANGE(""https://docs.google.com/spreadsheets/d/1CeexgK4KxWj3k_7nql_k8-RPxXMwTJyB4Q3vAASeDlA"&amp;"/edit#gid=0"",""'Game 2'!J25""))),IF(IMPORTRANGE(""https://docs.google.com/spreadsheets/d/1CeexgK4KxWj3k_7nql_k8-RPxXMwTJyB4Q3vAASeDlA/edit#gid=0"",""'Game 2'!J25"")&gt;IMPORTRANGE(""https://docs.google.com/spreadsheets/d/1CeexgK4KxWj3k_7nql_k8-RPxXMwTJyB4Q3"&amp;"vAASeDlA/edit#gid=0"",""'Game 2'!S25""),IMPORTRANGE(""https://docs.google.com/spreadsheets/d/1CeexgK4KxWj3k_7nql_k8-RPxXMwTJyB4Q3vAASeDlA/edit#gid=0"",""'Game 2'!S25""),IF(IMPORTRANGE(""https://docs.google.com/spreadsheets/d/1CeexgK4KxWj3k_7nql_k8-RPxXMwT"&amp;"JyB4Q3vAASeDlA/edit#gid=0"",""'Game 2'!J25"")=IMPORTRANGE(""https://docs.google.com/spreadsheets/d/1CeexgK4KxWj3k_7nql_k8-RPxXMwTJyB4Q3vAASeDlA/edit#gid=0"",""'Game 2'!S25""),IMPORTRANGE(""https://docs.google.com/spreadsheets/d/1CeexgK4KxWj3k_7nql_k8-RPxX"&amp;"MwTJyB4Q3vAASeDlA/edit#gid=0"",""'Game 2'!S25"")+50,IMPORTRANGE(""https://docs.google.com/spreadsheets/d/1CeexgK4KxWj3k_7nql_k8-RPxXMwTJyB4Q3vAASeDlA/edit#gid=0"",""'Game 2'!S25"")+100)))"),26.0)</f>
        <v>26</v>
      </c>
      <c r="M16" s="5">
        <f>IFERROR(__xludf.DUMMYFUNCTION("IF($A16=IMPORTRANGE(""https://docs.google.com/spreadsheets/d/1MNwUNMjcwK6bEgCXwB73jpbK5gJAXS8ZMpbEMLJEP3E/edit#gid=0"",""'Game 8'!B1""),IF(IMPORTRANGE(""https://docs.google.com/spreadsheets/d/1MNwUNMjcwK6bEgCXwB73jpbK5gJAXS8ZMpbEMLJEP3E/edit#gid=0"",""'Ga"&amp;"me 8'!J25"")&gt;IMPORTRANGE(""https://docs.google.com/spreadsheets/d/1MNwUNMjcwK6bEgCXwB73jpbK5gJAXS8ZMpbEMLJEP3E/edit#gid=0"",""'Game 8'!S25""),IMPORTRANGE(""https://docs.google.com/spreadsheets/d/1MNwUNMjcwK6bEgCXwB73jpbK5gJAXS8ZMpbEMLJEP3E/edit#gid=0"","""&amp;"'Game 8'!J25"")+100,IF(IMPORTRANGE(""https://docs.google.com/spreadsheets/d/1MNwUNMjcwK6bEgCXwB73jpbK5gJAXS8ZMpbEMLJEP3E/edit#gid=0"",""'Game 8'!J25"")=IMPORTRANGE(""https://docs.google.com/spreadsheets/d/1MNwUNMjcwK6bEgCXwB73jpbK5gJAXS8ZMpbEMLJEP3E/edit#"&amp;"gid=0"",""'Game 8'!S25""),IMPORTRANGE(""https://docs.google.com/spreadsheets/d/1MNwUNMjcwK6bEgCXwB73jpbK5gJAXS8ZMpbEMLJEP3E/edit#gid=0"",""'Game 8'!J25"")+50,IMPORTRANGE(""https://docs.google.com/spreadsheets/d/1MNwUNMjcwK6bEgCXwB73jpbK5gJAXS8ZMpbEMLJEP3E"&amp;"/edit#gid=0"",""'Game 8'!J25""))),IF(IMPORTRANGE(""https://docs.google.com/spreadsheets/d/1MNwUNMjcwK6bEgCXwB73jpbK5gJAXS8ZMpbEMLJEP3E/edit#gid=0"",""'Game 8'!J25"")&gt;IMPORTRANGE(""https://docs.google.com/spreadsheets/d/1MNwUNMjcwK6bEgCXwB73jpbK5gJAXS8ZMpb"&amp;"EMLJEP3E/edit#gid=0"",""'Game 8'!S25""),IMPORTRANGE(""https://docs.google.com/spreadsheets/d/1MNwUNMjcwK6bEgCXwB73jpbK5gJAXS8ZMpbEMLJEP3E/edit#gid=0"",""'Game 8'!S25""),IF(IMPORTRANGE(""https://docs.google.com/spreadsheets/d/1MNwUNMjcwK6bEgCXwB73jpbK5gJAX"&amp;"S8ZMpbEMLJEP3E/edit#gid=0"",""'Game 8'!J25"")=IMPORTRANGE(""https://docs.google.com/spreadsheets/d/1MNwUNMjcwK6bEgCXwB73jpbK5gJAXS8ZMpbEMLJEP3E/edit#gid=0"",""'Game 8'!S25""),IMPORTRANGE(""https://docs.google.com/spreadsheets/d/1MNwUNMjcwK6bEgCXwB73jpbK5g"&amp;"JAXS8ZMpbEMLJEP3E/edit#gid=0"",""'Game 8'!S25"")+50,IMPORTRANGE(""https://docs.google.com/spreadsheets/d/1MNwUNMjcwK6bEgCXwB73jpbK5gJAXS8ZMpbEMLJEP3E/edit#gid=0"",""'Game 8'!S25"")+100)))"),44.0)</f>
        <v>44</v>
      </c>
      <c r="N16" s="5">
        <f>IFERROR(__xludf.DUMMYFUNCTION("IF($A16=IMPORTRANGE(""https://docs.google.com/spreadsheets/d/1UrzyxmT40kDZwVrLMf1yyXfP-pyczRAw9Y8Rw-uXG3c/edit#gid=0"",""'Game 8'!B1""),IF(IMPORTRANGE(""https://docs.google.com/spreadsheets/d/1UrzyxmT40kDZwVrLMf1yyXfP-pyczRAw9Y8Rw-uXG3c/edit#gid=0"",""'Ga"&amp;"me 8'!J25"")&gt;IMPORTRANGE(""https://docs.google.com/spreadsheets/d/1UrzyxmT40kDZwVrLMf1yyXfP-pyczRAw9Y8Rw-uXG3c/edit#gid=0"",""'Game 8'!S25""),IMPORTRANGE(""https://docs.google.com/spreadsheets/d/1UrzyxmT40kDZwVrLMf1yyXfP-pyczRAw9Y8Rw-uXG3c/edit#gid=0"","""&amp;"'Game 8'!J25"")+100,IF(IMPORTRANGE(""https://docs.google.com/spreadsheets/d/1UrzyxmT40kDZwVrLMf1yyXfP-pyczRAw9Y8Rw-uXG3c/edit#gid=0"",""'Game 8'!J25"")=IMPORTRANGE(""https://docs.google.com/spreadsheets/d/1UrzyxmT40kDZwVrLMf1yyXfP-pyczRAw9Y8Rw-uXG3c/edit#"&amp;"gid=0"",""'Game 8'!S25""),IMPORTRANGE(""https://docs.google.com/spreadsheets/d/1UrzyxmT40kDZwVrLMf1yyXfP-pyczRAw9Y8Rw-uXG3c/edit#gid=0"",""'Game 8'!J25"")+50,IMPORTRANGE(""https://docs.google.com/spreadsheets/d/1UrzyxmT40kDZwVrLMf1yyXfP-pyczRAw9Y8Rw-uXG3c"&amp;"/edit#gid=0"",""'Game 8'!J25""))),IF(IMPORTRANGE(""https://docs.google.com/spreadsheets/d/1UrzyxmT40kDZwVrLMf1yyXfP-pyczRAw9Y8Rw-uXG3c/edit#gid=0"",""'Game 8'!J25"")&gt;IMPORTRANGE(""https://docs.google.com/spreadsheets/d/1UrzyxmT40kDZwVrLMf1yyXfP-pyczRAw9Y8"&amp;"Rw-uXG3c/edit#gid=0"",""'Game 8'!S25""),IMPORTRANGE(""https://docs.google.com/spreadsheets/d/1UrzyxmT40kDZwVrLMf1yyXfP-pyczRAw9Y8Rw-uXG3c/edit#gid=0"",""'Game 8'!S25""),IF(IMPORTRANGE(""https://docs.google.com/spreadsheets/d/1UrzyxmT40kDZwVrLMf1yyXfP-pycz"&amp;"RAw9Y8Rw-uXG3c/edit#gid=0"",""'Game 8'!J25"")=IMPORTRANGE(""https://docs.google.com/spreadsheets/d/1UrzyxmT40kDZwVrLMf1yyXfP-pyczRAw9Y8Rw-uXG3c/edit#gid=0"",""'Game 8'!S25""),IMPORTRANGE(""https://docs.google.com/spreadsheets/d/1UrzyxmT40kDZwVrLMf1yyXfP-p"&amp;"yczRAw9Y8Rw-uXG3c/edit#gid=0"",""'Game 8'!S25"")+50,IMPORTRANGE(""https://docs.google.com/spreadsheets/d/1UrzyxmT40kDZwVrLMf1yyXfP-pyczRAw9Y8Rw-uXG3c/edit#gid=0"",""'Game 8'!S25"")+100)))"),152.0)</f>
        <v>152</v>
      </c>
      <c r="O16" s="5">
        <f>IFERROR(__xludf.DUMMYFUNCTION("IF($A16=IMPORTRANGE(""https://docs.google.com/spreadsheets/d/1iyMhSYWifw-KGFtyeBpNxVZr4BhcV9hVZuShgJ9Ia0E/edit#gid=0"",""'Game 8'!B1""),IF(IMPORTRANGE(""https://docs.google.com/spreadsheets/d/1iyMhSYWifw-KGFtyeBpNxVZr4BhcV9hVZuShgJ9Ia0E/edit#gid=0"",""'Ga"&amp;"me 8'!J25"")&gt;IMPORTRANGE(""https://docs.google.com/spreadsheets/d/1iyMhSYWifw-KGFtyeBpNxVZr4BhcV9hVZuShgJ9Ia0E/edit#gid=0"",""'Game 8'!S25""),IMPORTRANGE(""https://docs.google.com/spreadsheets/d/1iyMhSYWifw-KGFtyeBpNxVZr4BhcV9hVZuShgJ9Ia0E/edit#gid=0"","""&amp;"'Game 8'!J25"")+100,IF(IMPORTRANGE(""https://docs.google.com/spreadsheets/d/1iyMhSYWifw-KGFtyeBpNxVZr4BhcV9hVZuShgJ9Ia0E/edit#gid=0"",""'Game 8'!J25"")=IMPORTRANGE(""https://docs.google.com/spreadsheets/d/1iyMhSYWifw-KGFtyeBpNxVZr4BhcV9hVZuShgJ9Ia0E/edit#"&amp;"gid=0"",""'Game 8'!S25""),IMPORTRANGE(""https://docs.google.com/spreadsheets/d/1iyMhSYWifw-KGFtyeBpNxVZr4BhcV9hVZuShgJ9Ia0E/edit#gid=0"",""'Game 8'!J25"")+50,IMPORTRANGE(""https://docs.google.com/spreadsheets/d/1iyMhSYWifw-KGFtyeBpNxVZr4BhcV9hVZuShgJ9Ia0E"&amp;"/edit#gid=0"",""'Game 8'!J25""))),IF(IMPORTRANGE(""https://docs.google.com/spreadsheets/d/1iyMhSYWifw-KGFtyeBpNxVZr4BhcV9hVZuShgJ9Ia0E/edit#gid=0"",""'Game 8'!J25"")&gt;IMPORTRANGE(""https://docs.google.com/spreadsheets/d/1iyMhSYWifw-KGFtyeBpNxVZr4BhcV9hVZuS"&amp;"hgJ9Ia0E/edit#gid=0"",""'Game 8'!S25""),IMPORTRANGE(""https://docs.google.com/spreadsheets/d/1iyMhSYWifw-KGFtyeBpNxVZr4BhcV9hVZuShgJ9Ia0E/edit#gid=0"",""'Game 8'!S25""),IF(IMPORTRANGE(""https://docs.google.com/spreadsheets/d/1iyMhSYWifw-KGFtyeBpNxVZr4BhcV"&amp;"9hVZuShgJ9Ia0E/edit#gid=0"",""'Game 8'!J25"")=IMPORTRANGE(""https://docs.google.com/spreadsheets/d/1iyMhSYWifw-KGFtyeBpNxVZr4BhcV9hVZuShgJ9Ia0E/edit#gid=0"",""'Game 8'!S25""),IMPORTRANGE(""https://docs.google.com/spreadsheets/d/1iyMhSYWifw-KGFtyeBpNxVZr4B"&amp;"hcV9hVZuShgJ9Ia0E/edit#gid=0"",""'Game 8'!S25"")+50,IMPORTRANGE(""https://docs.google.com/spreadsheets/d/1iyMhSYWifw-KGFtyeBpNxVZr4BhcV9hVZuShgJ9Ia0E/edit#gid=0"",""'Game 8'!S25"")+100)))"),30.0)</f>
        <v>30</v>
      </c>
      <c r="P16" s="5">
        <f>IFERROR(__xludf.DUMMYFUNCTION("IF($A16=IMPORTRANGE(""https://docs.google.com/spreadsheets/d/1sSbIK-vvHsSY0LghLJ9gcnW8Hec_ITI2tFmpeqI999A/edit#gid=0"",""'Game 7'!B1""),IF(IMPORTRANGE(""https://docs.google.com/spreadsheets/d/1sSbIK-vvHsSY0LghLJ9gcnW8Hec_ITI2tFmpeqI999A/edit#gid=0"",""'Ga"&amp;"me 7'!J25"")&gt;IMPORTRANGE(""https://docs.google.com/spreadsheets/d/1sSbIK-vvHsSY0LghLJ9gcnW8Hec_ITI2tFmpeqI999A/edit#gid=0"",""'Game 7'!S25""),IMPORTRANGE(""https://docs.google.com/spreadsheets/d/1sSbIK-vvHsSY0LghLJ9gcnW8Hec_ITI2tFmpeqI999A/edit#gid=0"","""&amp;"'Game 7'!J25"")+100,IF(IMPORTRANGE(""https://docs.google.com/spreadsheets/d/1sSbIK-vvHsSY0LghLJ9gcnW8Hec_ITI2tFmpeqI999A/edit#gid=0"",""'Game 7'!J25"")=IMPORTRANGE(""https://docs.google.com/spreadsheets/d/1sSbIK-vvHsSY0LghLJ9gcnW8Hec_ITI2tFmpeqI999A/edit#"&amp;"gid=0"",""'Game 7'!S25""),IMPORTRANGE(""https://docs.google.com/spreadsheets/d/1sSbIK-vvHsSY0LghLJ9gcnW8Hec_ITI2tFmpeqI999A/edit#gid=0"",""'Game 7'!J25"")+50,IMPORTRANGE(""https://docs.google.com/spreadsheets/d/1sSbIK-vvHsSY0LghLJ9gcnW8Hec_ITI2tFmpeqI999A"&amp;"/edit#gid=0"",""'Game 7'!J25""))),IF(IMPORTRANGE(""https://docs.google.com/spreadsheets/d/1sSbIK-vvHsSY0LghLJ9gcnW8Hec_ITI2tFmpeqI999A/edit#gid=0"",""'Game 7'!J25"")&gt;IMPORTRANGE(""https://docs.google.com/spreadsheets/d/1sSbIK-vvHsSY0LghLJ9gcnW8Hec_ITI2tFm"&amp;"peqI999A/edit#gid=0"",""'Game 7'!S25""),IMPORTRANGE(""https://docs.google.com/spreadsheets/d/1sSbIK-vvHsSY0LghLJ9gcnW8Hec_ITI2tFmpeqI999A/edit#gid=0"",""'Game 7'!S25""),IF(IMPORTRANGE(""https://docs.google.com/spreadsheets/d/1sSbIK-vvHsSY0LghLJ9gcnW8Hec_I"&amp;"TI2tFmpeqI999A/edit#gid=0"",""'Game 7'!J25"")=IMPORTRANGE(""https://docs.google.com/spreadsheets/d/1sSbIK-vvHsSY0LghLJ9gcnW8Hec_ITI2tFmpeqI999A/edit#gid=0"",""'Game 7'!S25""),IMPORTRANGE(""https://docs.google.com/spreadsheets/d/1sSbIK-vvHsSY0LghLJ9gcnW8He"&amp;"c_ITI2tFmpeqI999A/edit#gid=0"",""'Game 7'!S25"")+50,IMPORTRANGE(""https://docs.google.com/spreadsheets/d/1sSbIK-vvHsSY0LghLJ9gcnW8Hec_ITI2tFmpeqI999A/edit#gid=0"",""'Game 7'!S25"")+100)))"),150.0)</f>
        <v>150</v>
      </c>
      <c r="Q16" s="35">
        <f t="shared" si="1"/>
        <v>952</v>
      </c>
      <c r="R16" s="35">
        <f t="shared" si="2"/>
        <v>21</v>
      </c>
    </row>
    <row r="17">
      <c r="A17" s="32" t="s">
        <v>225</v>
      </c>
      <c r="B17" s="36">
        <v>144.0</v>
      </c>
      <c r="C17" s="36">
        <v>100.0</v>
      </c>
      <c r="D17" s="36">
        <v>26.0</v>
      </c>
      <c r="E17" s="36">
        <v>12.0</v>
      </c>
      <c r="F17" s="36">
        <v>128.0</v>
      </c>
      <c r="G17" s="37">
        <f>IFERROR(__xludf.DUMMYFUNCTION("IF($A17=IMPORTRANGE(""https://docs.google.com/spreadsheets/d/16J5ie7OD1E99qGO9lMDm8w5Yls-v190B7DTolJ5TmFc/edit#gid=1981724582"",""'Game 8'!B1""),IF(IMPORTRANGE(""https://docs.google.com/spreadsheets/d/16J5ie7OD1E99qGO9lMDm8w5Yls-v190B7DTolJ5TmFc/edit#gid="&amp;"1981724582"",""'Game 8'!J25"")&gt;IMPORTRANGE(""https://docs.google.com/spreadsheets/d/16J5ie7OD1E99qGO9lMDm8w5Yls-v190B7DTolJ5TmFc/edit#gid=1981724582"",""'Game 8'!S25""),IMPORTRANGE(""https://docs.google.com/spreadsheets/d/16J5ie7OD1E99qGO9lMDm8w5Yls-v190B"&amp;"7DTolJ5TmFc/edit#gid=1981724582"",""'Game 8'!J25"")+100,IF(IMPORTRANGE(""https://docs.google.com/spreadsheets/d/16J5ie7OD1E99qGO9lMDm8w5Yls-v190B7DTolJ5TmFc/edit#gid=1981724582"",""'Game 8'!J25"")=IMPORTRANGE(""https://docs.google.com/spreadsheets/d/16J5i"&amp;"e7OD1E99qGO9lMDm8w5Yls-v190B7DTolJ5TmFc/edit#gid=1981724582"",""'Game 8'!S25""),IMPORTRANGE(""https://docs.google.com/spreadsheets/d/16J5ie7OD1E99qGO9lMDm8w5Yls-v190B7DTolJ5TmFc/edit#gid=1981724582"",""'Game 8'!J25"")+50,IMPORTRANGE(""https://docs.google."&amp;"com/spreadsheets/d/16J5ie7OD1E99qGO9lMDm8w5Yls-v190B7DTolJ5TmFc/edit#gid=1981724582"",""'Game 8'!J25""))),IF(IMPORTRANGE(""https://docs.google.com/spreadsheets/d/16J5ie7OD1E99qGO9lMDm8w5Yls-v190B7DTolJ5TmFc/edit#gid=1981724582"",""'Game 8'!J25"")&gt;IMPORTRA"&amp;"NGE(""https://docs.google.com/spreadsheets/d/16J5ie7OD1E99qGO9lMDm8w5Yls-v190B7DTolJ5TmFc/edit#gid=1981724582"",""'Game 8'!S25""),IMPORTRANGE(""https://docs.google.com/spreadsheets/d/16J5ie7OD1E99qGO9lMDm8w5Yls-v190B7DTolJ5TmFc/edit#gid=1981724582"",""'Ga"&amp;"me 8'!S25""),IF(IMPORTRANGE(""https://docs.google.com/spreadsheets/d/16J5ie7OD1E99qGO9lMDm8w5Yls-v190B7DTolJ5TmFc/edit#gid=1981724582"",""'Game 8'!J25"")=IMPORTRANGE(""https://docs.google.com/spreadsheets/d/16J5ie7OD1E99qGO9lMDm8w5Yls-v190B7DTolJ5TmFc/edi"&amp;"t#gid=1981724582"",""'Game 8'!S25""),IMPORTRANGE(""https://docs.google.com/spreadsheets/d/16J5ie7OD1E99qGO9lMDm8w5Yls-v190B7DTolJ5TmFc/edit#gid=1981724582"",""'Game 8'!S25"")+50,IMPORTRANGE(""https://docs.google.com/spreadsheets/d/16J5ie7OD1E99qGO9lMDm8w5"&amp;"Yls-v190B7DTolJ5TmFc/edit#gid=1981724582"",""'Game 8'!S25"")+100)))"),22.0)</f>
        <v>22</v>
      </c>
      <c r="H17" s="36">
        <v>26.0</v>
      </c>
      <c r="I17" s="7">
        <f>IFERROR(__xludf.DUMMYFUNCTION("IF($A17=IMPORTRANGE(""https://docs.google.com/spreadsheets/d/1CTYfdyRk_RFGM3I2iN9bKeD9zUPzEm1ajzml6VgwfIU/edit#gid=0"",""'Game 13'!B1""),IF(IMPORTRANGE(""https://docs.google.com/spreadsheets/d/1CTYfdyRk_RFGM3I2iN9bKeD9zUPzEm1ajzml6VgwfIU/edit#gid=0"",""'G"&amp;"ame 13'!J25"")&gt;IMPORTRANGE(""https://docs.google.com/spreadsheets/d/1CTYfdyRk_RFGM3I2iN9bKeD9zUPzEm1ajzml6VgwfIU/edit#gid=0"",""'Game 13'!S25""),IMPORTRANGE(""https://docs.google.com/spreadsheets/d/1CTYfdyRk_RFGM3I2iN9bKeD9zUPzEm1ajzml6VgwfIU/edit#gid=0"""&amp;",""'Game 13'!J25"")+100,IF(IMPORTRANGE(""https://docs.google.com/spreadsheets/d/1CTYfdyRk_RFGM3I2iN9bKeD9zUPzEm1ajzml6VgwfIU/edit#gid=0"",""'Game 13'!J25"")=IMPORTRANGE(""https://docs.google.com/spreadsheets/d/1CTYfdyRk_RFGM3I2iN9bKeD9zUPzEm1ajzml6VgwfIU/"&amp;"edit#gid=0"",""'Game 13'!S25""),IMPORTRANGE(""https://docs.google.com/spreadsheets/d/1CTYfdyRk_RFGM3I2iN9bKeD9zUPzEm1ajzml6VgwfIU/edit#gid=0"",""'Game 13'!J25"")+50,IMPORTRANGE(""https://docs.google.com/spreadsheets/d/1CTYfdyRk_RFGM3I2iN9bKeD9zUPzEm1ajzml"&amp;"6VgwfIU/edit#gid=0"",""'Game 13'!J25""))),IF(IMPORTRANGE(""https://docs.google.com/spreadsheets/d/1CTYfdyRk_RFGM3I2iN9bKeD9zUPzEm1ajzml6VgwfIU/edit#gid=0"",""'Game 13'!J25"")&gt;IMPORTRANGE(""https://docs.google.com/spreadsheets/d/1CTYfdyRk_RFGM3I2iN9bKeD9zU"&amp;"PzEm1ajzml6VgwfIU/edit#gid=0"",""'Game 13'!S25""),IMPORTRANGE(""https://docs.google.com/spreadsheets/d/1CTYfdyRk_RFGM3I2iN9bKeD9zUPzEm1ajzml6VgwfIU/edit#gid=0"",""'Game 13'!S25""),IF(IMPORTRANGE(""https://docs.google.com/spreadsheets/d/1CTYfdyRk_RFGM3I2iN"&amp;"9bKeD9zUPzEm1ajzml6VgwfIU/edit#gid=0"",""'Game 13'!J25"")=IMPORTRANGE(""https://docs.google.com/spreadsheets/d/1CTYfdyRk_RFGM3I2iN9bKeD9zUPzEm1ajzml6VgwfIU/edit#gid=0"",""'Game 13'!S25""),IMPORTRANGE(""https://docs.google.com/spreadsheets/d/1CTYfdyRk_RFGM"&amp;"3I2iN9bKeD9zUPzEm1ajzml6VgwfIU/edit#gid=0"",""'Game 13'!S25"")+50,IMPORTRANGE(""https://docs.google.com/spreadsheets/d/1CTYfdyRk_RFGM3I2iN9bKeD9zUPzEm1ajzml6VgwfIU/edit#gid=0"",""'Game 13'!S25"")+100)))"),12.0)</f>
        <v>12</v>
      </c>
      <c r="J17" s="7">
        <f>IFERROR(__xludf.DUMMYFUNCTION("IF($A17=IMPORTRANGE(""https://docs.google.com/spreadsheets/d/11NFkzOdQyW-OtxSDuGslNCgNjx7HUb2FU7KnlNnPMgY/edit#gid=0"",""'Game 11'!B1""),IF(IMPORTRANGE(""https://docs.google.com/spreadsheets/d/11NFkzOdQyW-OtxSDuGslNCgNjx7HUb2FU7KnlNnPMgY/edit#gid=0"",""'G"&amp;"ame 11'!J25"")&gt;IMPORTRANGE(""https://docs.google.com/spreadsheets/d/11NFkzOdQyW-OtxSDuGslNCgNjx7HUb2FU7KnlNnPMgY/edit#gid=0"",""'Game 11'!S25""),IMPORTRANGE(""https://docs.google.com/spreadsheets/d/11NFkzOdQyW-OtxSDuGslNCgNjx7HUb2FU7KnlNnPMgY/edit#gid=0"""&amp;",""'Game 11'!J25"")+100,IF(IMPORTRANGE(""https://docs.google.com/spreadsheets/d/11NFkzOdQyW-OtxSDuGslNCgNjx7HUb2FU7KnlNnPMgY/edit#gid=0"",""'Game 11'!J25"")=IMPORTRANGE(""https://docs.google.com/spreadsheets/d/11NFkzOdQyW-OtxSDuGslNCgNjx7HUb2FU7KnlNnPMgY/"&amp;"edit#gid=0"",""'Game 11'!S25""),IMPORTRANGE(""https://docs.google.com/spreadsheets/d/11NFkzOdQyW-OtxSDuGslNCgNjx7HUb2FU7KnlNnPMgY/edit#gid=0"",""'Game 11'!J25"")+50,IMPORTRANGE(""https://docs.google.com/spreadsheets/d/11NFkzOdQyW-OtxSDuGslNCgNjx7HUb2FU7Kn"&amp;"lNnPMgY/edit#gid=0"",""'Game 11'!J25""))),IF(IMPORTRANGE(""https://docs.google.com/spreadsheets/d/11NFkzOdQyW-OtxSDuGslNCgNjx7HUb2FU7KnlNnPMgY/edit#gid=0"",""'Game 11'!J25"")&gt;IMPORTRANGE(""https://docs.google.com/spreadsheets/d/11NFkzOdQyW-OtxSDuGslNCgNjx"&amp;"7HUb2FU7KnlNnPMgY/edit#gid=0"",""'Game 11'!S25""),IMPORTRANGE(""https://docs.google.com/spreadsheets/d/11NFkzOdQyW-OtxSDuGslNCgNjx7HUb2FU7KnlNnPMgY/edit#gid=0"",""'Game 11'!S25""),IF(IMPORTRANGE(""https://docs.google.com/spreadsheets/d/11NFkzOdQyW-OtxSDuG"&amp;"slNCgNjx7HUb2FU7KnlNnPMgY/edit#gid=0"",""'Game 11'!J25"")=IMPORTRANGE(""https://docs.google.com/spreadsheets/d/11NFkzOdQyW-OtxSDuGslNCgNjx7HUb2FU7KnlNnPMgY/edit#gid=0"",""'Game 11'!S25""),IMPORTRANGE(""https://docs.google.com/spreadsheets/d/11NFkzOdQyW-Ot"&amp;"xSDuGslNCgNjx7HUb2FU7KnlNnPMgY/edit#gid=0"",""'Game 11'!S25"")+50,IMPORTRANGE(""https://docs.google.com/spreadsheets/d/11NFkzOdQyW-OtxSDuGslNCgNjx7HUb2FU7KnlNnPMgY/edit#gid=0"",""'Game 11'!S25"")+100)))"),12.0)</f>
        <v>12</v>
      </c>
      <c r="K17" s="7">
        <f>IFERROR(__xludf.DUMMYFUNCTION("IF($A17=IMPORTRANGE(""https://docs.google.com/spreadsheets/d/1CLg5-jaE4ta0-u4oE1qbBplQ5Mf3Oj9ONFgL0zJ7Ol4/edit#gid=0"",""'Game 11'!B1""),IF(IMPORTRANGE(""https://docs.google.com/spreadsheets/d/1CLg5-jaE4ta0-u4oE1qbBplQ5Mf3Oj9ONFgL0zJ7Ol4/edit#gid=0"",""'G"&amp;"ame 11'!J25"")&gt;IMPORTRANGE(""https://docs.google.com/spreadsheets/d/1CLg5-jaE4ta0-u4oE1qbBplQ5Mf3Oj9ONFgL0zJ7Ol4/edit#gid=0"",""'Game 11'!S25""),IMPORTRANGE(""https://docs.google.com/spreadsheets/d/1CLg5-jaE4ta0-u4oE1qbBplQ5Mf3Oj9ONFgL0zJ7Ol4/edit#gid=0"""&amp;",""'Game 11'!J25"")+100,IF(IMPORTRANGE(""https://docs.google.com/spreadsheets/d/1CLg5-jaE4ta0-u4oE1qbBplQ5Mf3Oj9ONFgL0zJ7Ol4/edit#gid=0"",""'Game 11'!J25"")=IMPORTRANGE(""https://docs.google.com/spreadsheets/d/1CLg5-jaE4ta0-u4oE1qbBplQ5Mf3Oj9ONFgL0zJ7Ol4/"&amp;"edit#gid=0"",""'Game 11'!S25""),IMPORTRANGE(""https://docs.google.com/spreadsheets/d/1CLg5-jaE4ta0-u4oE1qbBplQ5Mf3Oj9ONFgL0zJ7Ol4/edit#gid=0"",""'Game 11'!J25"")+50,IMPORTRANGE(""https://docs.google.com/spreadsheets/d/1CLg5-jaE4ta0-u4oE1qbBplQ5Mf3Oj9ONFgL"&amp;"0zJ7Ol4/edit#gid=0"",""'Game 11'!J25""))),IF(IMPORTRANGE(""https://docs.google.com/spreadsheets/d/1CLg5-jaE4ta0-u4oE1qbBplQ5Mf3Oj9ONFgL0zJ7Ol4/edit#gid=0"",""'Game 11'!J25"")&gt;IMPORTRANGE(""https://docs.google.com/spreadsheets/d/1CLg5-jaE4ta0-u4oE1qbBplQ5M"&amp;"f3Oj9ONFgL0zJ7Ol4/edit#gid=0"",""'Game 11'!S25""),IMPORTRANGE(""https://docs.google.com/spreadsheets/d/1CLg5-jaE4ta0-u4oE1qbBplQ5Mf3Oj9ONFgL0zJ7Ol4/edit#gid=0"",""'Game 11'!S25""),IF(IMPORTRANGE(""https://docs.google.com/spreadsheets/d/1CLg5-jaE4ta0-u4oE1"&amp;"qbBplQ5Mf3Oj9ONFgL0zJ7Ol4/edit#gid=0"",""'Game 11'!J25"")=IMPORTRANGE(""https://docs.google.com/spreadsheets/d/1CLg5-jaE4ta0-u4oE1qbBplQ5Mf3Oj9ONFgL0zJ7Ol4/edit#gid=0"",""'Game 11'!S25""),IMPORTRANGE(""https://docs.google.com/spreadsheets/d/1CLg5-jaE4ta0-"&amp;"u4oE1qbBplQ5Mf3Oj9ONFgL0zJ7Ol4/edit#gid=0"",""'Game 11'!S25"")+50,IMPORTRANGE(""https://docs.google.com/spreadsheets/d/1CLg5-jaE4ta0-u4oE1qbBplQ5Mf3Oj9ONFgL0zJ7Ol4/edit#gid=0"",""'Game 11'!S25"")+100)))"),4.0)</f>
        <v>4</v>
      </c>
      <c r="L17" s="7">
        <f>IFERROR(__xludf.DUMMYFUNCTION("IF($A17=IMPORTRANGE(""https://docs.google.com/spreadsheets/d/1CeexgK4KxWj3k_7nql_k8-RPxXMwTJyB4Q3vAASeDlA/edit#gid=0"",""'Game 11'!B1""),IF(IMPORTRANGE(""https://docs.google.com/spreadsheets/d/1CeexgK4KxWj3k_7nql_k8-RPxXMwTJyB4Q3vAASeDlA/edit#gid=0"",""'G"&amp;"ame 11'!J25"")&gt;IMPORTRANGE(""https://docs.google.com/spreadsheets/d/1CeexgK4KxWj3k_7nql_k8-RPxXMwTJyB4Q3vAASeDlA/edit#gid=0"",""'Game 11'!S25""),IMPORTRANGE(""https://docs.google.com/spreadsheets/d/1CeexgK4KxWj3k_7nql_k8-RPxXMwTJyB4Q3vAASeDlA/edit#gid=0"""&amp;",""'Game 11'!J25"")+100,IF(IMPORTRANGE(""https://docs.google.com/spreadsheets/d/1CeexgK4KxWj3k_7nql_k8-RPxXMwTJyB4Q3vAASeDlA/edit#gid=0"",""'Game 11'!J25"")=IMPORTRANGE(""https://docs.google.com/spreadsheets/d/1CeexgK4KxWj3k_7nql_k8-RPxXMwTJyB4Q3vAASeDlA/"&amp;"edit#gid=0"",""'Game 11'!S25""),IMPORTRANGE(""https://docs.google.com/spreadsheets/d/1CeexgK4KxWj3k_7nql_k8-RPxXMwTJyB4Q3vAASeDlA/edit#gid=0"",""'Game 11'!J25"")+50,IMPORTRANGE(""https://docs.google.com/spreadsheets/d/1CeexgK4KxWj3k_7nql_k8-RPxXMwTJyB4Q3v"&amp;"AASeDlA/edit#gid=0"",""'Game 11'!J25""))),IF(IMPORTRANGE(""https://docs.google.com/spreadsheets/d/1CeexgK4KxWj3k_7nql_k8-RPxXMwTJyB4Q3vAASeDlA/edit#gid=0"",""'Game 11'!J25"")&gt;IMPORTRANGE(""https://docs.google.com/spreadsheets/d/1CeexgK4KxWj3k_7nql_k8-RPxX"&amp;"MwTJyB4Q3vAASeDlA/edit#gid=0"",""'Game 11'!S25""),IMPORTRANGE(""https://docs.google.com/spreadsheets/d/1CeexgK4KxWj3k_7nql_k8-RPxXMwTJyB4Q3vAASeDlA/edit#gid=0"",""'Game 11'!S25""),IF(IMPORTRANGE(""https://docs.google.com/spreadsheets/d/1CeexgK4KxWj3k_7nql"&amp;"_k8-RPxXMwTJyB4Q3vAASeDlA/edit#gid=0"",""'Game 11'!J25"")=IMPORTRANGE(""https://docs.google.com/spreadsheets/d/1CeexgK4KxWj3k_7nql_k8-RPxXMwTJyB4Q3vAASeDlA/edit#gid=0"",""'Game 11'!S25""),IMPORTRANGE(""https://docs.google.com/spreadsheets/d/1CeexgK4KxWj3k"&amp;"_7nql_k8-RPxXMwTJyB4Q3vAASeDlA/edit#gid=0"",""'Game 11'!S25"")+50,IMPORTRANGE(""https://docs.google.com/spreadsheets/d/1CeexgK4KxWj3k_7nql_k8-RPxXMwTJyB4Q3vAASeDlA/edit#gid=0"",""'Game 11'!S25"")+100)))"),8.0)</f>
        <v>8</v>
      </c>
      <c r="M17" s="7">
        <f>IFERROR(__xludf.DUMMYFUNCTION("IF($A17=IMPORTRANGE(""https://docs.google.com/spreadsheets/d/1MNwUNMjcwK6bEgCXwB73jpbK5gJAXS8ZMpbEMLJEP3E/edit#gid=0"",""'Game 12'!B1""),IF(IMPORTRANGE(""https://docs.google.com/spreadsheets/d/1MNwUNMjcwK6bEgCXwB73jpbK5gJAXS8ZMpbEMLJEP3E/edit#gid=0"",""'G"&amp;"ame 12'!J25"")&gt;IMPORTRANGE(""https://docs.google.com/spreadsheets/d/1MNwUNMjcwK6bEgCXwB73jpbK5gJAXS8ZMpbEMLJEP3E/edit#gid=0"",""'Game 12'!S25""),IMPORTRANGE(""https://docs.google.com/spreadsheets/d/1MNwUNMjcwK6bEgCXwB73jpbK5gJAXS8ZMpbEMLJEP3E/edit#gid=0"""&amp;",""'Game 12'!J25"")+100,IF(IMPORTRANGE(""https://docs.google.com/spreadsheets/d/1MNwUNMjcwK6bEgCXwB73jpbK5gJAXS8ZMpbEMLJEP3E/edit#gid=0"",""'Game 12'!J25"")=IMPORTRANGE(""https://docs.google.com/spreadsheets/d/1MNwUNMjcwK6bEgCXwB73jpbK5gJAXS8ZMpbEMLJEP3E/"&amp;"edit#gid=0"",""'Game 12'!S25""),IMPORTRANGE(""https://docs.google.com/spreadsheets/d/1MNwUNMjcwK6bEgCXwB73jpbK5gJAXS8ZMpbEMLJEP3E/edit#gid=0"",""'Game 12'!J25"")+50,IMPORTRANGE(""https://docs.google.com/spreadsheets/d/1MNwUNMjcwK6bEgCXwB73jpbK5gJAXS8ZMpbE"&amp;"MLJEP3E/edit#gid=0"",""'Game 12'!J25""))),IF(IMPORTRANGE(""https://docs.google.com/spreadsheets/d/1MNwUNMjcwK6bEgCXwB73jpbK5gJAXS8ZMpbEMLJEP3E/edit#gid=0"",""'Game 12'!J25"")&gt;IMPORTRANGE(""https://docs.google.com/spreadsheets/d/1MNwUNMjcwK6bEgCXwB73jpbK5g"&amp;"JAXS8ZMpbEMLJEP3E/edit#gid=0"",""'Game 12'!S25""),IMPORTRANGE(""https://docs.google.com/spreadsheets/d/1MNwUNMjcwK6bEgCXwB73jpbK5gJAXS8ZMpbEMLJEP3E/edit#gid=0"",""'Game 12'!S25""),IF(IMPORTRANGE(""https://docs.google.com/spreadsheets/d/1MNwUNMjcwK6bEgCXwB"&amp;"73jpbK5gJAXS8ZMpbEMLJEP3E/edit#gid=0"",""'Game 12'!J25"")=IMPORTRANGE(""https://docs.google.com/spreadsheets/d/1MNwUNMjcwK6bEgCXwB73jpbK5gJAXS8ZMpbEMLJEP3E/edit#gid=0"",""'Game 12'!S25""),IMPORTRANGE(""https://docs.google.com/spreadsheets/d/1MNwUNMjcwK6bE"&amp;"gCXwB73jpbK5gJAXS8ZMpbEMLJEP3E/edit#gid=0"",""'Game 12'!S25"")+50,IMPORTRANGE(""https://docs.google.com/spreadsheets/d/1MNwUNMjcwK6bEgCXwB73jpbK5gJAXS8ZMpbEMLJEP3E/edit#gid=0"",""'Game 12'!S25"")+100)))"),34.0)</f>
        <v>34</v>
      </c>
      <c r="N17" s="7">
        <f>IFERROR(__xludf.DUMMYFUNCTION("IF($A17=IMPORTRANGE(""https://docs.google.com/spreadsheets/d/1UrzyxmT40kDZwVrLMf1yyXfP-pyczRAw9Y8Rw-uXG3c/edit#gid=0"",""'Game 6'!B1""),IF(IMPORTRANGE(""https://docs.google.com/spreadsheets/d/1UrzyxmT40kDZwVrLMf1yyXfP-pyczRAw9Y8Rw-uXG3c/edit#gid=0"",""'Ga"&amp;"me 6'!J25"")&gt;IMPORTRANGE(""https://docs.google.com/spreadsheets/d/1UrzyxmT40kDZwVrLMf1yyXfP-pyczRAw9Y8Rw-uXG3c/edit#gid=0"",""'Game 6'!S25""),IMPORTRANGE(""https://docs.google.com/spreadsheets/d/1UrzyxmT40kDZwVrLMf1yyXfP-pyczRAw9Y8Rw-uXG3c/edit#gid=0"","""&amp;"'Game 6'!J25"")+100,IF(IMPORTRANGE(""https://docs.google.com/spreadsheets/d/1UrzyxmT40kDZwVrLMf1yyXfP-pyczRAw9Y8Rw-uXG3c/edit#gid=0"",""'Game 6'!J25"")=IMPORTRANGE(""https://docs.google.com/spreadsheets/d/1UrzyxmT40kDZwVrLMf1yyXfP-pyczRAw9Y8Rw-uXG3c/edit#"&amp;"gid=0"",""'Game 6'!S25""),IMPORTRANGE(""https://docs.google.com/spreadsheets/d/1UrzyxmT40kDZwVrLMf1yyXfP-pyczRAw9Y8Rw-uXG3c/edit#gid=0"",""'Game 6'!J25"")+50,IMPORTRANGE(""https://docs.google.com/spreadsheets/d/1UrzyxmT40kDZwVrLMf1yyXfP-pyczRAw9Y8Rw-uXG3c"&amp;"/edit#gid=0"",""'Game 6'!J25""))),IF(IMPORTRANGE(""https://docs.google.com/spreadsheets/d/1UrzyxmT40kDZwVrLMf1yyXfP-pyczRAw9Y8Rw-uXG3c/edit#gid=0"",""'Game 6'!J25"")&gt;IMPORTRANGE(""https://docs.google.com/spreadsheets/d/1UrzyxmT40kDZwVrLMf1yyXfP-pyczRAw9Y8"&amp;"Rw-uXG3c/edit#gid=0"",""'Game 6'!S25""),IMPORTRANGE(""https://docs.google.com/spreadsheets/d/1UrzyxmT40kDZwVrLMf1yyXfP-pyczRAw9Y8Rw-uXG3c/edit#gid=0"",""'Game 6'!S25""),IF(IMPORTRANGE(""https://docs.google.com/spreadsheets/d/1UrzyxmT40kDZwVrLMf1yyXfP-pycz"&amp;"RAw9Y8Rw-uXG3c/edit#gid=0"",""'Game 6'!J25"")=IMPORTRANGE(""https://docs.google.com/spreadsheets/d/1UrzyxmT40kDZwVrLMf1yyXfP-pyczRAw9Y8Rw-uXG3c/edit#gid=0"",""'Game 6'!S25""),IMPORTRANGE(""https://docs.google.com/spreadsheets/d/1UrzyxmT40kDZwVrLMf1yyXfP-p"&amp;"yczRAw9Y8Rw-uXG3c/edit#gid=0"",""'Game 6'!S25"")+50,IMPORTRANGE(""https://docs.google.com/spreadsheets/d/1UrzyxmT40kDZwVrLMf1yyXfP-pyczRAw9Y8Rw-uXG3c/edit#gid=0"",""'Game 6'!S25"")+100)))"),12.0)</f>
        <v>12</v>
      </c>
      <c r="O17" s="7">
        <f>IFERROR(__xludf.DUMMYFUNCTION("IF($A17=IMPORTRANGE(""https://docs.google.com/spreadsheets/d/1iyMhSYWifw-KGFtyeBpNxVZr4BhcV9hVZuShgJ9Ia0E/edit#gid=0"",""'Game 1'!B1""),IF(IMPORTRANGE(""https://docs.google.com/spreadsheets/d/1iyMhSYWifw-KGFtyeBpNxVZr4BhcV9hVZuShgJ9Ia0E/edit#gid=0"",""'Ga"&amp;"me 1'!J25"")&gt;IMPORTRANGE(""https://docs.google.com/spreadsheets/d/1iyMhSYWifw-KGFtyeBpNxVZr4BhcV9hVZuShgJ9Ia0E/edit#gid=0"",""'Game 1'!S25""),IMPORTRANGE(""https://docs.google.com/spreadsheets/d/1iyMhSYWifw-KGFtyeBpNxVZr4BhcV9hVZuShgJ9Ia0E/edit#gid=0"","""&amp;"'Game 1'!J25"")+100,IF(IMPORTRANGE(""https://docs.google.com/spreadsheets/d/1iyMhSYWifw-KGFtyeBpNxVZr4BhcV9hVZuShgJ9Ia0E/edit#gid=0"",""'Game 1'!J25"")=IMPORTRANGE(""https://docs.google.com/spreadsheets/d/1iyMhSYWifw-KGFtyeBpNxVZr4BhcV9hVZuShgJ9Ia0E/edit#"&amp;"gid=0"",""'Game 1'!S25""),IMPORTRANGE(""https://docs.google.com/spreadsheets/d/1iyMhSYWifw-KGFtyeBpNxVZr4BhcV9hVZuShgJ9Ia0E/edit#gid=0"",""'Game 1'!J25"")+50,IMPORTRANGE(""https://docs.google.com/spreadsheets/d/1iyMhSYWifw-KGFtyeBpNxVZr4BhcV9hVZuShgJ9Ia0E"&amp;"/edit#gid=0"",""'Game 1'!J25""))),IF(IMPORTRANGE(""https://docs.google.com/spreadsheets/d/1iyMhSYWifw-KGFtyeBpNxVZr4BhcV9hVZuShgJ9Ia0E/edit#gid=0"",""'Game 1'!J25"")&gt;IMPORTRANGE(""https://docs.google.com/spreadsheets/d/1iyMhSYWifw-KGFtyeBpNxVZr4BhcV9hVZuS"&amp;"hgJ9Ia0E/edit#gid=0"",""'Game 1'!S25""),IMPORTRANGE(""https://docs.google.com/spreadsheets/d/1iyMhSYWifw-KGFtyeBpNxVZr4BhcV9hVZuShgJ9Ia0E/edit#gid=0"",""'Game 1'!S25""),IF(IMPORTRANGE(""https://docs.google.com/spreadsheets/d/1iyMhSYWifw-KGFtyeBpNxVZr4BhcV"&amp;"9hVZuShgJ9Ia0E/edit#gid=0"",""'Game 1'!J25"")=IMPORTRANGE(""https://docs.google.com/spreadsheets/d/1iyMhSYWifw-KGFtyeBpNxVZr4BhcV9hVZuShgJ9Ia0E/edit#gid=0"",""'Game 1'!S25""),IMPORTRANGE(""https://docs.google.com/spreadsheets/d/1iyMhSYWifw-KGFtyeBpNxVZr4B"&amp;"hcV9hVZuShgJ9Ia0E/edit#gid=0"",""'Game 1'!S25"")+50,IMPORTRANGE(""https://docs.google.com/spreadsheets/d/1iyMhSYWifw-KGFtyeBpNxVZr4BhcV9hVZuShgJ9Ia0E/edit#gid=0"",""'Game 1'!S25"")+100)))"),18.0)</f>
        <v>18</v>
      </c>
      <c r="P17" s="7">
        <f>IFERROR(__xludf.DUMMYFUNCTION("IF($A17=IMPORTRANGE(""https://docs.google.com/spreadsheets/d/1sSbIK-vvHsSY0LghLJ9gcnW8Hec_ITI2tFmpeqI999A/edit#gid=0"",""'Game 13'!B1""),IF(IMPORTRANGE(""https://docs.google.com/spreadsheets/d/1sSbIK-vvHsSY0LghLJ9gcnW8Hec_ITI2tFmpeqI999A/edit#gid=0"",""'G"&amp;"ame 13'!J25"")&gt;IMPORTRANGE(""https://docs.google.com/spreadsheets/d/1sSbIK-vvHsSY0LghLJ9gcnW8Hec_ITI2tFmpeqI999A/edit#gid=0"",""'Game 13'!S25""),IMPORTRANGE(""https://docs.google.com/spreadsheets/d/1sSbIK-vvHsSY0LghLJ9gcnW8Hec_ITI2tFmpeqI999A/edit#gid=0"""&amp;",""'Game 13'!J25"")+100,IF(IMPORTRANGE(""https://docs.google.com/spreadsheets/d/1sSbIK-vvHsSY0LghLJ9gcnW8Hec_ITI2tFmpeqI999A/edit#gid=0"",""'Game 13'!J25"")=IMPORTRANGE(""https://docs.google.com/spreadsheets/d/1sSbIK-vvHsSY0LghLJ9gcnW8Hec_ITI2tFmpeqI999A/"&amp;"edit#gid=0"",""'Game 13'!S25""),IMPORTRANGE(""https://docs.google.com/spreadsheets/d/1sSbIK-vvHsSY0LghLJ9gcnW8Hec_ITI2tFmpeqI999A/edit#gid=0"",""'Game 13'!J25"")+50,IMPORTRANGE(""https://docs.google.com/spreadsheets/d/1sSbIK-vvHsSY0LghLJ9gcnW8Hec_ITI2tFmp"&amp;"eqI999A/edit#gid=0"",""'Game 13'!J25""))),IF(IMPORTRANGE(""https://docs.google.com/spreadsheets/d/1sSbIK-vvHsSY0LghLJ9gcnW8Hec_ITI2tFmpeqI999A/edit#gid=0"",""'Game 13'!J25"")&gt;IMPORTRANGE(""https://docs.google.com/spreadsheets/d/1sSbIK-vvHsSY0LghLJ9gcnW8He"&amp;"c_ITI2tFmpeqI999A/edit#gid=0"",""'Game 13'!S25""),IMPORTRANGE(""https://docs.google.com/spreadsheets/d/1sSbIK-vvHsSY0LghLJ9gcnW8Hec_ITI2tFmpeqI999A/edit#gid=0"",""'Game 13'!S25""),IF(IMPORTRANGE(""https://docs.google.com/spreadsheets/d/1sSbIK-vvHsSY0LghLJ"&amp;"9gcnW8Hec_ITI2tFmpeqI999A/edit#gid=0"",""'Game 13'!J25"")=IMPORTRANGE(""https://docs.google.com/spreadsheets/d/1sSbIK-vvHsSY0LghLJ9gcnW8Hec_ITI2tFmpeqI999A/edit#gid=0"",""'Game 13'!S25""),IMPORTRANGE(""https://docs.google.com/spreadsheets/d/1sSbIK-vvHsSY0"&amp;"LghLJ9gcnW8Hec_ITI2tFmpeqI999A/edit#gid=0"",""'Game 13'!S25"")+50,IMPORTRANGE(""https://docs.google.com/spreadsheets/d/1sSbIK-vvHsSY0LghLJ9gcnW8Hec_ITI2tFmpeqI999A/edit#gid=0"",""'Game 13'!S25"")+100)))"),12.0)</f>
        <v>12</v>
      </c>
      <c r="Q17" s="37">
        <f t="shared" si="1"/>
        <v>570</v>
      </c>
      <c r="R17" s="37">
        <f t="shared" si="2"/>
        <v>25</v>
      </c>
    </row>
    <row r="18">
      <c r="A18" s="33" t="s">
        <v>186</v>
      </c>
      <c r="B18" s="34">
        <v>8.0</v>
      </c>
      <c r="C18" s="34">
        <v>146.0</v>
      </c>
      <c r="D18" s="34">
        <v>138.0</v>
      </c>
      <c r="E18" s="34">
        <v>14.0</v>
      </c>
      <c r="F18" s="34">
        <v>48.0</v>
      </c>
      <c r="G18" s="35">
        <f>IFERROR(__xludf.DUMMYFUNCTION("IF($A18=IMPORTRANGE(""https://docs.google.com/spreadsheets/d/16J5ie7OD1E99qGO9lMDm8w5Yls-v190B7DTolJ5TmFc/edit#gid=1981724582"",""'Game 12'!B1""),IF(IMPORTRANGE(""https://docs.google.com/spreadsheets/d/16J5ie7OD1E99qGO9lMDm8w5Yls-v190B7DTolJ5TmFc/edit#gid"&amp;"=1981724582"",""'Game 12'!J25"")&gt;IMPORTRANGE(""https://docs.google.com/spreadsheets/d/16J5ie7OD1E99qGO9lMDm8w5Yls-v190B7DTolJ5TmFc/edit#gid=1981724582"",""'Game 12'!S25""),IMPORTRANGE(""https://docs.google.com/spreadsheets/d/16J5ie7OD1E99qGO9lMDm8w5Yls-v1"&amp;"90B7DTolJ5TmFc/edit#gid=1981724582"",""'Game 12'!J25"")+100,IF(IMPORTRANGE(""https://docs.google.com/spreadsheets/d/16J5ie7OD1E99qGO9lMDm8w5Yls-v190B7DTolJ5TmFc/edit#gid=1981724582"",""'Game 12'!J25"")=IMPORTRANGE(""https://docs.google.com/spreadsheets/d/"&amp;"16J5ie7OD1E99qGO9lMDm8w5Yls-v190B7DTolJ5TmFc/edit#gid=1981724582"",""'Game 12'!S25""),IMPORTRANGE(""https://docs.google.com/spreadsheets/d/16J5ie7OD1E99qGO9lMDm8w5Yls-v190B7DTolJ5TmFc/edit#gid=1981724582"",""'Game 12'!J25"")+50,IMPORTRANGE(""https://docs."&amp;"google.com/spreadsheets/d/16J5ie7OD1E99qGO9lMDm8w5Yls-v190B7DTolJ5TmFc/edit#gid=1981724582"",""'Game 12'!J25""))),IF(IMPORTRANGE(""https://docs.google.com/spreadsheets/d/16J5ie7OD1E99qGO9lMDm8w5Yls-v190B7DTolJ5TmFc/edit#gid=1981724582"",""'Game 12'!J25"")"&amp;"&gt;IMPORTRANGE(""https://docs.google.com/spreadsheets/d/16J5ie7OD1E99qGO9lMDm8w5Yls-v190B7DTolJ5TmFc/edit#gid=1981724582"",""'Game 12'!S25""),IMPORTRANGE(""https://docs.google.com/spreadsheets/d/16J5ie7OD1E99qGO9lMDm8w5Yls-v190B7DTolJ5TmFc/edit#gid=19817245"&amp;"82"",""'Game 12'!S25""),IF(IMPORTRANGE(""https://docs.google.com/spreadsheets/d/16J5ie7OD1E99qGO9lMDm8w5Yls-v190B7DTolJ5TmFc/edit#gid=1981724582"",""'Game 12'!J25"")=IMPORTRANGE(""https://docs.google.com/spreadsheets/d/16J5ie7OD1E99qGO9lMDm8w5Yls-v190B7DT"&amp;"olJ5TmFc/edit#gid=1981724582"",""'Game 12'!S25""),IMPORTRANGE(""https://docs.google.com/spreadsheets/d/16J5ie7OD1E99qGO9lMDm8w5Yls-v190B7DTolJ5TmFc/edit#gid=1981724582"",""'Game 12'!S25"")+50,IMPORTRANGE(""https://docs.google.com/spreadsheets/d/16J5ie7OD1"&amp;"E99qGO9lMDm8w5Yls-v190B7DTolJ5TmFc/edit#gid=1981724582"",""'Game 12'!S25"")+100)))"),148.0)</f>
        <v>148</v>
      </c>
      <c r="H18" s="34">
        <v>26.0</v>
      </c>
      <c r="I18" s="5">
        <f>IFERROR(__xludf.DUMMYFUNCTION("IF($A18=IMPORTRANGE(""https://docs.google.com/spreadsheets/d/1CTYfdyRk_RFGM3I2iN9bKeD9zUPzEm1ajzml6VgwfIU/edit#gid=0"",""'Game 13'!B1""),IF(IMPORTRANGE(""https://docs.google.com/spreadsheets/d/1CTYfdyRk_RFGM3I2iN9bKeD9zUPzEm1ajzml6VgwfIU/edit#gid=0"",""'G"&amp;"ame 13'!J25"")&gt;IMPORTRANGE(""https://docs.google.com/spreadsheets/d/1CTYfdyRk_RFGM3I2iN9bKeD9zUPzEm1ajzml6VgwfIU/edit#gid=0"",""'Game 13'!S25""),IMPORTRANGE(""https://docs.google.com/spreadsheets/d/1CTYfdyRk_RFGM3I2iN9bKeD9zUPzEm1ajzml6VgwfIU/edit#gid=0"""&amp;",""'Game 13'!J25"")+100,IF(IMPORTRANGE(""https://docs.google.com/spreadsheets/d/1CTYfdyRk_RFGM3I2iN9bKeD9zUPzEm1ajzml6VgwfIU/edit#gid=0"",""'Game 13'!J25"")=IMPORTRANGE(""https://docs.google.com/spreadsheets/d/1CTYfdyRk_RFGM3I2iN9bKeD9zUPzEm1ajzml6VgwfIU/"&amp;"edit#gid=0"",""'Game 13'!S25""),IMPORTRANGE(""https://docs.google.com/spreadsheets/d/1CTYfdyRk_RFGM3I2iN9bKeD9zUPzEm1ajzml6VgwfIU/edit#gid=0"",""'Game 13'!J25"")+50,IMPORTRANGE(""https://docs.google.com/spreadsheets/d/1CTYfdyRk_RFGM3I2iN9bKeD9zUPzEm1ajzml"&amp;"6VgwfIU/edit#gid=0"",""'Game 13'!J25""))),IF(IMPORTRANGE(""https://docs.google.com/spreadsheets/d/1CTYfdyRk_RFGM3I2iN9bKeD9zUPzEm1ajzml6VgwfIU/edit#gid=0"",""'Game 13'!J25"")&gt;IMPORTRANGE(""https://docs.google.com/spreadsheets/d/1CTYfdyRk_RFGM3I2iN9bKeD9zU"&amp;"PzEm1ajzml6VgwfIU/edit#gid=0"",""'Game 13'!S25""),IMPORTRANGE(""https://docs.google.com/spreadsheets/d/1CTYfdyRk_RFGM3I2iN9bKeD9zUPzEm1ajzml6VgwfIU/edit#gid=0"",""'Game 13'!S25""),IF(IMPORTRANGE(""https://docs.google.com/spreadsheets/d/1CTYfdyRk_RFGM3I2iN"&amp;"9bKeD9zUPzEm1ajzml6VgwfIU/edit#gid=0"",""'Game 13'!J25"")=IMPORTRANGE(""https://docs.google.com/spreadsheets/d/1CTYfdyRk_RFGM3I2iN9bKeD9zUPzEm1ajzml6VgwfIU/edit#gid=0"",""'Game 13'!S25""),IMPORTRANGE(""https://docs.google.com/spreadsheets/d/1CTYfdyRk_RFGM"&amp;"3I2iN9bKeD9zUPzEm1ajzml6VgwfIU/edit#gid=0"",""'Game 13'!S25"")+50,IMPORTRANGE(""https://docs.google.com/spreadsheets/d/1CTYfdyRk_RFGM3I2iN9bKeD9zUPzEm1ajzml6VgwfIU/edit#gid=0"",""'Game 13'!S25"")+100)))"),130.0)</f>
        <v>130</v>
      </c>
      <c r="J18" s="5">
        <f>IFERROR(__xludf.DUMMYFUNCTION("IF($A18=IMPORTRANGE(""https://docs.google.com/spreadsheets/d/11NFkzOdQyW-OtxSDuGslNCgNjx7HUb2FU7KnlNnPMgY/edit#gid=0"",""'Game 10'!B1""),IF(IMPORTRANGE(""https://docs.google.com/spreadsheets/d/11NFkzOdQyW-OtxSDuGslNCgNjx7HUb2FU7KnlNnPMgY/edit#gid=0"",""'G"&amp;"ame 10'!J25"")&gt;IMPORTRANGE(""https://docs.google.com/spreadsheets/d/11NFkzOdQyW-OtxSDuGslNCgNjx7HUb2FU7KnlNnPMgY/edit#gid=0"",""'Game 10'!S25""),IMPORTRANGE(""https://docs.google.com/spreadsheets/d/11NFkzOdQyW-OtxSDuGslNCgNjx7HUb2FU7KnlNnPMgY/edit#gid=0"""&amp;",""'Game 10'!J25"")+100,IF(IMPORTRANGE(""https://docs.google.com/spreadsheets/d/11NFkzOdQyW-OtxSDuGslNCgNjx7HUb2FU7KnlNnPMgY/edit#gid=0"",""'Game 10'!J25"")=IMPORTRANGE(""https://docs.google.com/spreadsheets/d/11NFkzOdQyW-OtxSDuGslNCgNjx7HUb2FU7KnlNnPMgY/"&amp;"edit#gid=0"",""'Game 10'!S25""),IMPORTRANGE(""https://docs.google.com/spreadsheets/d/11NFkzOdQyW-OtxSDuGslNCgNjx7HUb2FU7KnlNnPMgY/edit#gid=0"",""'Game 10'!J25"")+50,IMPORTRANGE(""https://docs.google.com/spreadsheets/d/11NFkzOdQyW-OtxSDuGslNCgNjx7HUb2FU7Kn"&amp;"lNnPMgY/edit#gid=0"",""'Game 10'!J25""))),IF(IMPORTRANGE(""https://docs.google.com/spreadsheets/d/11NFkzOdQyW-OtxSDuGslNCgNjx7HUb2FU7KnlNnPMgY/edit#gid=0"",""'Game 10'!J25"")&gt;IMPORTRANGE(""https://docs.google.com/spreadsheets/d/11NFkzOdQyW-OtxSDuGslNCgNjx"&amp;"7HUb2FU7KnlNnPMgY/edit#gid=0"",""'Game 10'!S25""),IMPORTRANGE(""https://docs.google.com/spreadsheets/d/11NFkzOdQyW-OtxSDuGslNCgNjx7HUb2FU7KnlNnPMgY/edit#gid=0"",""'Game 10'!S25""),IF(IMPORTRANGE(""https://docs.google.com/spreadsheets/d/11NFkzOdQyW-OtxSDuG"&amp;"slNCgNjx7HUb2FU7KnlNnPMgY/edit#gid=0"",""'Game 10'!J25"")=IMPORTRANGE(""https://docs.google.com/spreadsheets/d/11NFkzOdQyW-OtxSDuGslNCgNjx7HUb2FU7KnlNnPMgY/edit#gid=0"",""'Game 10'!S25""),IMPORTRANGE(""https://docs.google.com/spreadsheets/d/11NFkzOdQyW-Ot"&amp;"xSDuGslNCgNjx7HUb2FU7KnlNnPMgY/edit#gid=0"",""'Game 10'!S25"")+50,IMPORTRANGE(""https://docs.google.com/spreadsheets/d/11NFkzOdQyW-OtxSDuGslNCgNjx7HUb2FU7KnlNnPMgY/edit#gid=0"",""'Game 10'!S25"")+100)))"),20.0)</f>
        <v>20</v>
      </c>
      <c r="K18" s="5">
        <f>IFERROR(__xludf.DUMMYFUNCTION("IF($A18=IMPORTRANGE(""https://docs.google.com/spreadsheets/d/1CLg5-jaE4ta0-u4oE1qbBplQ5Mf3Oj9ONFgL0zJ7Ol4/edit#gid=0"",""'Game 10'!B1""),IF(IMPORTRANGE(""https://docs.google.com/spreadsheets/d/1CLg5-jaE4ta0-u4oE1qbBplQ5Mf3Oj9ONFgL0zJ7Ol4/edit#gid=0"",""'G"&amp;"ame 10'!J25"")&gt;IMPORTRANGE(""https://docs.google.com/spreadsheets/d/1CLg5-jaE4ta0-u4oE1qbBplQ5Mf3Oj9ONFgL0zJ7Ol4/edit#gid=0"",""'Game 10'!S25""),IMPORTRANGE(""https://docs.google.com/spreadsheets/d/1CLg5-jaE4ta0-u4oE1qbBplQ5Mf3Oj9ONFgL0zJ7Ol4/edit#gid=0"""&amp;",""'Game 10'!J25"")+100,IF(IMPORTRANGE(""https://docs.google.com/spreadsheets/d/1CLg5-jaE4ta0-u4oE1qbBplQ5Mf3Oj9ONFgL0zJ7Ol4/edit#gid=0"",""'Game 10'!J25"")=IMPORTRANGE(""https://docs.google.com/spreadsheets/d/1CLg5-jaE4ta0-u4oE1qbBplQ5Mf3Oj9ONFgL0zJ7Ol4/"&amp;"edit#gid=0"",""'Game 10'!S25""),IMPORTRANGE(""https://docs.google.com/spreadsheets/d/1CLg5-jaE4ta0-u4oE1qbBplQ5Mf3Oj9ONFgL0zJ7Ol4/edit#gid=0"",""'Game 10'!J25"")+50,IMPORTRANGE(""https://docs.google.com/spreadsheets/d/1CLg5-jaE4ta0-u4oE1qbBplQ5Mf3Oj9ONFgL"&amp;"0zJ7Ol4/edit#gid=0"",""'Game 10'!J25""))),IF(IMPORTRANGE(""https://docs.google.com/spreadsheets/d/1CLg5-jaE4ta0-u4oE1qbBplQ5Mf3Oj9ONFgL0zJ7Ol4/edit#gid=0"",""'Game 10'!J25"")&gt;IMPORTRANGE(""https://docs.google.com/spreadsheets/d/1CLg5-jaE4ta0-u4oE1qbBplQ5M"&amp;"f3Oj9ONFgL0zJ7Ol4/edit#gid=0"",""'Game 10'!S25""),IMPORTRANGE(""https://docs.google.com/spreadsheets/d/1CLg5-jaE4ta0-u4oE1qbBplQ5Mf3Oj9ONFgL0zJ7Ol4/edit#gid=0"",""'Game 10'!S25""),IF(IMPORTRANGE(""https://docs.google.com/spreadsheets/d/1CLg5-jaE4ta0-u4oE1"&amp;"qbBplQ5Mf3Oj9ONFgL0zJ7Ol4/edit#gid=0"",""'Game 10'!J25"")=IMPORTRANGE(""https://docs.google.com/spreadsheets/d/1CLg5-jaE4ta0-u4oE1qbBplQ5Mf3Oj9ONFgL0zJ7Ol4/edit#gid=0"",""'Game 10'!S25""),IMPORTRANGE(""https://docs.google.com/spreadsheets/d/1CLg5-jaE4ta0-"&amp;"u4oE1qbBplQ5Mf3Oj9ONFgL0zJ7Ol4/edit#gid=0"",""'Game 10'!S25"")+50,IMPORTRANGE(""https://docs.google.com/spreadsheets/d/1CLg5-jaE4ta0-u4oE1qbBplQ5Mf3Oj9ONFgL0zJ7Ol4/edit#gid=0"",""'Game 10'!S25"")+100)))"),40.0)</f>
        <v>40</v>
      </c>
      <c r="L18" s="5">
        <f>IFERROR(__xludf.DUMMYFUNCTION("IF($A18=IMPORTRANGE(""https://docs.google.com/spreadsheets/d/1CeexgK4KxWj3k_7nql_k8-RPxXMwTJyB4Q3vAASeDlA/edit#gid=0"",""'Game 9'!B1""),IF(IMPORTRANGE(""https://docs.google.com/spreadsheets/d/1CeexgK4KxWj3k_7nql_k8-RPxXMwTJyB4Q3vAASeDlA/edit#gid=0"",""'Ga"&amp;"me 9'!J25"")&gt;IMPORTRANGE(""https://docs.google.com/spreadsheets/d/1CeexgK4KxWj3k_7nql_k8-RPxXMwTJyB4Q3vAASeDlA/edit#gid=0"",""'Game 9'!S25""),IMPORTRANGE(""https://docs.google.com/spreadsheets/d/1CeexgK4KxWj3k_7nql_k8-RPxXMwTJyB4Q3vAASeDlA/edit#gid=0"","""&amp;"'Game 9'!J25"")+100,IF(IMPORTRANGE(""https://docs.google.com/spreadsheets/d/1CeexgK4KxWj3k_7nql_k8-RPxXMwTJyB4Q3vAASeDlA/edit#gid=0"",""'Game 9'!J25"")=IMPORTRANGE(""https://docs.google.com/spreadsheets/d/1CeexgK4KxWj3k_7nql_k8-RPxXMwTJyB4Q3vAASeDlA/edit#"&amp;"gid=0"",""'Game 9'!S25""),IMPORTRANGE(""https://docs.google.com/spreadsheets/d/1CeexgK4KxWj3k_7nql_k8-RPxXMwTJyB4Q3vAASeDlA/edit#gid=0"",""'Game 9'!J25"")+50,IMPORTRANGE(""https://docs.google.com/spreadsheets/d/1CeexgK4KxWj3k_7nql_k8-RPxXMwTJyB4Q3vAASeDlA"&amp;"/edit#gid=0"",""'Game 9'!J25""))),IF(IMPORTRANGE(""https://docs.google.com/spreadsheets/d/1CeexgK4KxWj3k_7nql_k8-RPxXMwTJyB4Q3vAASeDlA/edit#gid=0"",""'Game 9'!J25"")&gt;IMPORTRANGE(""https://docs.google.com/spreadsheets/d/1CeexgK4KxWj3k_7nql_k8-RPxXMwTJyB4Q3"&amp;"vAASeDlA/edit#gid=0"",""'Game 9'!S25""),IMPORTRANGE(""https://docs.google.com/spreadsheets/d/1CeexgK4KxWj3k_7nql_k8-RPxXMwTJyB4Q3vAASeDlA/edit#gid=0"",""'Game 9'!S25""),IF(IMPORTRANGE(""https://docs.google.com/spreadsheets/d/1CeexgK4KxWj3k_7nql_k8-RPxXMwT"&amp;"JyB4Q3vAASeDlA/edit#gid=0"",""'Game 9'!J25"")=IMPORTRANGE(""https://docs.google.com/spreadsheets/d/1CeexgK4KxWj3k_7nql_k8-RPxXMwTJyB4Q3vAASeDlA/edit#gid=0"",""'Game 9'!S25""),IMPORTRANGE(""https://docs.google.com/spreadsheets/d/1CeexgK4KxWj3k_7nql_k8-RPxX"&amp;"MwTJyB4Q3vAASeDlA/edit#gid=0"",""'Game 9'!S25"")+50,IMPORTRANGE(""https://docs.google.com/spreadsheets/d/1CeexgK4KxWj3k_7nql_k8-RPxXMwTJyB4Q3vAASeDlA/edit#gid=0"",""'Game 9'!S25"")+100)))"),124.0)</f>
        <v>124</v>
      </c>
      <c r="M18" s="5">
        <f>IFERROR(__xludf.DUMMYFUNCTION("IF($A18=IMPORTRANGE(""https://docs.google.com/spreadsheets/d/1MNwUNMjcwK6bEgCXwB73jpbK5gJAXS8ZMpbEMLJEP3E/edit#gid=0"",""'Game 5'!B1""),IF(IMPORTRANGE(""https://docs.google.com/spreadsheets/d/1MNwUNMjcwK6bEgCXwB73jpbK5gJAXS8ZMpbEMLJEP3E/edit#gid=0"",""'Ga"&amp;"me 5'!J25"")&gt;IMPORTRANGE(""https://docs.google.com/spreadsheets/d/1MNwUNMjcwK6bEgCXwB73jpbK5gJAXS8ZMpbEMLJEP3E/edit#gid=0"",""'Game 5'!S25""),IMPORTRANGE(""https://docs.google.com/spreadsheets/d/1MNwUNMjcwK6bEgCXwB73jpbK5gJAXS8ZMpbEMLJEP3E/edit#gid=0"","""&amp;"'Game 5'!J25"")+100,IF(IMPORTRANGE(""https://docs.google.com/spreadsheets/d/1MNwUNMjcwK6bEgCXwB73jpbK5gJAXS8ZMpbEMLJEP3E/edit#gid=0"",""'Game 5'!J25"")=IMPORTRANGE(""https://docs.google.com/spreadsheets/d/1MNwUNMjcwK6bEgCXwB73jpbK5gJAXS8ZMpbEMLJEP3E/edit#"&amp;"gid=0"",""'Game 5'!S25""),IMPORTRANGE(""https://docs.google.com/spreadsheets/d/1MNwUNMjcwK6bEgCXwB73jpbK5gJAXS8ZMpbEMLJEP3E/edit#gid=0"",""'Game 5'!J25"")+50,IMPORTRANGE(""https://docs.google.com/spreadsheets/d/1MNwUNMjcwK6bEgCXwB73jpbK5gJAXS8ZMpbEMLJEP3E"&amp;"/edit#gid=0"",""'Game 5'!J25""))),IF(IMPORTRANGE(""https://docs.google.com/spreadsheets/d/1MNwUNMjcwK6bEgCXwB73jpbK5gJAXS8ZMpbEMLJEP3E/edit#gid=0"",""'Game 5'!J25"")&gt;IMPORTRANGE(""https://docs.google.com/spreadsheets/d/1MNwUNMjcwK6bEgCXwB73jpbK5gJAXS8ZMpb"&amp;"EMLJEP3E/edit#gid=0"",""'Game 5'!S25""),IMPORTRANGE(""https://docs.google.com/spreadsheets/d/1MNwUNMjcwK6bEgCXwB73jpbK5gJAXS8ZMpbEMLJEP3E/edit#gid=0"",""'Game 5'!S25""),IF(IMPORTRANGE(""https://docs.google.com/spreadsheets/d/1MNwUNMjcwK6bEgCXwB73jpbK5gJAX"&amp;"S8ZMpbEMLJEP3E/edit#gid=0"",""'Game 5'!J25"")=IMPORTRANGE(""https://docs.google.com/spreadsheets/d/1MNwUNMjcwK6bEgCXwB73jpbK5gJAXS8ZMpbEMLJEP3E/edit#gid=0"",""'Game 5'!S25""),IMPORTRANGE(""https://docs.google.com/spreadsheets/d/1MNwUNMjcwK6bEgCXwB73jpbK5g"&amp;"JAXS8ZMpbEMLJEP3E/edit#gid=0"",""'Game 5'!S25"")+50,IMPORTRANGE(""https://docs.google.com/spreadsheets/d/1MNwUNMjcwK6bEgCXwB73jpbK5gJAXS8ZMpbEMLJEP3E/edit#gid=0"",""'Game 5'!S25"")+100)))"),36.0)</f>
        <v>36</v>
      </c>
      <c r="N18" s="5">
        <f>IFERROR(__xludf.DUMMYFUNCTION("IF($A18=IMPORTRANGE(""https://docs.google.com/spreadsheets/d/1UrzyxmT40kDZwVrLMf1yyXfP-pyczRAw9Y8Rw-uXG3c/edit#gid=0"",""'Game 3'!B1""),IF(IMPORTRANGE(""https://docs.google.com/spreadsheets/d/1UrzyxmT40kDZwVrLMf1yyXfP-pyczRAw9Y8Rw-uXG3c/edit#gid=0"",""'Ga"&amp;"me 3'!J25"")&gt;IMPORTRANGE(""https://docs.google.com/spreadsheets/d/1UrzyxmT40kDZwVrLMf1yyXfP-pyczRAw9Y8Rw-uXG3c/edit#gid=0"",""'Game 3'!S25""),IMPORTRANGE(""https://docs.google.com/spreadsheets/d/1UrzyxmT40kDZwVrLMf1yyXfP-pyczRAw9Y8Rw-uXG3c/edit#gid=0"","""&amp;"'Game 3'!J25"")+100,IF(IMPORTRANGE(""https://docs.google.com/spreadsheets/d/1UrzyxmT40kDZwVrLMf1yyXfP-pyczRAw9Y8Rw-uXG3c/edit#gid=0"",""'Game 3'!J25"")=IMPORTRANGE(""https://docs.google.com/spreadsheets/d/1UrzyxmT40kDZwVrLMf1yyXfP-pyczRAw9Y8Rw-uXG3c/edit#"&amp;"gid=0"",""'Game 3'!S25""),IMPORTRANGE(""https://docs.google.com/spreadsheets/d/1UrzyxmT40kDZwVrLMf1yyXfP-pyczRAw9Y8Rw-uXG3c/edit#gid=0"",""'Game 3'!J25"")+50,IMPORTRANGE(""https://docs.google.com/spreadsheets/d/1UrzyxmT40kDZwVrLMf1yyXfP-pyczRAw9Y8Rw-uXG3c"&amp;"/edit#gid=0"",""'Game 3'!J25""))),IF(IMPORTRANGE(""https://docs.google.com/spreadsheets/d/1UrzyxmT40kDZwVrLMf1yyXfP-pyczRAw9Y8Rw-uXG3c/edit#gid=0"",""'Game 3'!J25"")&gt;IMPORTRANGE(""https://docs.google.com/spreadsheets/d/1UrzyxmT40kDZwVrLMf1yyXfP-pyczRAw9Y8"&amp;"Rw-uXG3c/edit#gid=0"",""'Game 3'!S25""),IMPORTRANGE(""https://docs.google.com/spreadsheets/d/1UrzyxmT40kDZwVrLMf1yyXfP-pyczRAw9Y8Rw-uXG3c/edit#gid=0"",""'Game 3'!S25""),IF(IMPORTRANGE(""https://docs.google.com/spreadsheets/d/1UrzyxmT40kDZwVrLMf1yyXfP-pycz"&amp;"RAw9Y8Rw-uXG3c/edit#gid=0"",""'Game 3'!J25"")=IMPORTRANGE(""https://docs.google.com/spreadsheets/d/1UrzyxmT40kDZwVrLMf1yyXfP-pyczRAw9Y8Rw-uXG3c/edit#gid=0"",""'Game 3'!S25""),IMPORTRANGE(""https://docs.google.com/spreadsheets/d/1UrzyxmT40kDZwVrLMf1yyXfP-p"&amp;"yczRAw9Y8Rw-uXG3c/edit#gid=0"",""'Game 3'!S25"")+50,IMPORTRANGE(""https://docs.google.com/spreadsheets/d/1UrzyxmT40kDZwVrLMf1yyXfP-pyczRAw9Y8Rw-uXG3c/edit#gid=0"",""'Game 3'!S25"")+100)))"),8.0)</f>
        <v>8</v>
      </c>
      <c r="O18" s="5">
        <f>IFERROR(__xludf.DUMMYFUNCTION("IF($A18=IMPORTRANGE(""https://docs.google.com/spreadsheets/d/1iyMhSYWifw-KGFtyeBpNxVZr4BhcV9hVZuShgJ9Ia0E/edit#gid=0"",""'Game 13'!B1""),IF(IMPORTRANGE(""https://docs.google.com/spreadsheets/d/1iyMhSYWifw-KGFtyeBpNxVZr4BhcV9hVZuShgJ9Ia0E/edit#gid=0"",""'G"&amp;"ame 13'!J25"")&gt;IMPORTRANGE(""https://docs.google.com/spreadsheets/d/1iyMhSYWifw-KGFtyeBpNxVZr4BhcV9hVZuShgJ9Ia0E/edit#gid=0"",""'Game 13'!S25""),IMPORTRANGE(""https://docs.google.com/spreadsheets/d/1iyMhSYWifw-KGFtyeBpNxVZr4BhcV9hVZuShgJ9Ia0E/edit#gid=0"""&amp;",""'Game 13'!J25"")+100,IF(IMPORTRANGE(""https://docs.google.com/spreadsheets/d/1iyMhSYWifw-KGFtyeBpNxVZr4BhcV9hVZuShgJ9Ia0E/edit#gid=0"",""'Game 13'!J25"")=IMPORTRANGE(""https://docs.google.com/spreadsheets/d/1iyMhSYWifw-KGFtyeBpNxVZr4BhcV9hVZuShgJ9Ia0E/"&amp;"edit#gid=0"",""'Game 13'!S25""),IMPORTRANGE(""https://docs.google.com/spreadsheets/d/1iyMhSYWifw-KGFtyeBpNxVZr4BhcV9hVZuShgJ9Ia0E/edit#gid=0"",""'Game 13'!J25"")+50,IMPORTRANGE(""https://docs.google.com/spreadsheets/d/1iyMhSYWifw-KGFtyeBpNxVZr4BhcV9hVZuSh"&amp;"gJ9Ia0E/edit#gid=0"",""'Game 13'!J25""))),IF(IMPORTRANGE(""https://docs.google.com/spreadsheets/d/1iyMhSYWifw-KGFtyeBpNxVZr4BhcV9hVZuShgJ9Ia0E/edit#gid=0"",""'Game 13'!J25"")&gt;IMPORTRANGE(""https://docs.google.com/spreadsheets/d/1iyMhSYWifw-KGFtyeBpNxVZr4B"&amp;"hcV9hVZuShgJ9Ia0E/edit#gid=0"",""'Game 13'!S25""),IMPORTRANGE(""https://docs.google.com/spreadsheets/d/1iyMhSYWifw-KGFtyeBpNxVZr4BhcV9hVZuShgJ9Ia0E/edit#gid=0"",""'Game 13'!S25""),IF(IMPORTRANGE(""https://docs.google.com/spreadsheets/d/1iyMhSYWifw-KGFtyeB"&amp;"pNxVZr4BhcV9hVZuShgJ9Ia0E/edit#gid=0"",""'Game 13'!J25"")=IMPORTRANGE(""https://docs.google.com/spreadsheets/d/1iyMhSYWifw-KGFtyeBpNxVZr4BhcV9hVZuShgJ9Ia0E/edit#gid=0"",""'Game 13'!S25""),IMPORTRANGE(""https://docs.google.com/spreadsheets/d/1iyMhSYWifw-KG"&amp;"FtyeBpNxVZr4BhcV9hVZuShgJ9Ia0E/edit#gid=0"",""'Game 13'!S25"")+50,IMPORTRANGE(""https://docs.google.com/spreadsheets/d/1iyMhSYWifw-KGFtyeBpNxVZr4BhcV9hVZuShgJ9Ia0E/edit#gid=0"",""'Game 13'!S25"")+100)))"),8.0)</f>
        <v>8</v>
      </c>
      <c r="P18" s="5">
        <f>IFERROR(__xludf.DUMMYFUNCTION("IF($A18=IMPORTRANGE(""https://docs.google.com/spreadsheets/d/1sSbIK-vvHsSY0LghLJ9gcnW8Hec_ITI2tFmpeqI999A/edit#gid=0"",""'Game 10'!B1""),IF(IMPORTRANGE(""https://docs.google.com/spreadsheets/d/1sSbIK-vvHsSY0LghLJ9gcnW8Hec_ITI2tFmpeqI999A/edit#gid=0"",""'G"&amp;"ame 10'!J25"")&gt;IMPORTRANGE(""https://docs.google.com/spreadsheets/d/1sSbIK-vvHsSY0LghLJ9gcnW8Hec_ITI2tFmpeqI999A/edit#gid=0"",""'Game 10'!S25""),IMPORTRANGE(""https://docs.google.com/spreadsheets/d/1sSbIK-vvHsSY0LghLJ9gcnW8Hec_ITI2tFmpeqI999A/edit#gid=0"""&amp;",""'Game 10'!J25"")+100,IF(IMPORTRANGE(""https://docs.google.com/spreadsheets/d/1sSbIK-vvHsSY0LghLJ9gcnW8Hec_ITI2tFmpeqI999A/edit#gid=0"",""'Game 10'!J25"")=IMPORTRANGE(""https://docs.google.com/spreadsheets/d/1sSbIK-vvHsSY0LghLJ9gcnW8Hec_ITI2tFmpeqI999A/"&amp;"edit#gid=0"",""'Game 10'!S25""),IMPORTRANGE(""https://docs.google.com/spreadsheets/d/1sSbIK-vvHsSY0LghLJ9gcnW8Hec_ITI2tFmpeqI999A/edit#gid=0"",""'Game 10'!J25"")+50,IMPORTRANGE(""https://docs.google.com/spreadsheets/d/1sSbIK-vvHsSY0LghLJ9gcnW8Hec_ITI2tFmp"&amp;"eqI999A/edit#gid=0"",""'Game 10'!J25""))),IF(IMPORTRANGE(""https://docs.google.com/spreadsheets/d/1sSbIK-vvHsSY0LghLJ9gcnW8Hec_ITI2tFmpeqI999A/edit#gid=0"",""'Game 10'!J25"")&gt;IMPORTRANGE(""https://docs.google.com/spreadsheets/d/1sSbIK-vvHsSY0LghLJ9gcnW8He"&amp;"c_ITI2tFmpeqI999A/edit#gid=0"",""'Game 10'!S25""),IMPORTRANGE(""https://docs.google.com/spreadsheets/d/1sSbIK-vvHsSY0LghLJ9gcnW8Hec_ITI2tFmpeqI999A/edit#gid=0"",""'Game 10'!S25""),IF(IMPORTRANGE(""https://docs.google.com/spreadsheets/d/1sSbIK-vvHsSY0LghLJ"&amp;"9gcnW8Hec_ITI2tFmpeqI999A/edit#gid=0"",""'Game 10'!J25"")=IMPORTRANGE(""https://docs.google.com/spreadsheets/d/1sSbIK-vvHsSY0LghLJ9gcnW8Hec_ITI2tFmpeqI999A/edit#gid=0"",""'Game 10'!S25""),IMPORTRANGE(""https://docs.google.com/spreadsheets/d/1sSbIK-vvHsSY0"&amp;"LghLJ9gcnW8Hec_ITI2tFmpeqI999A/edit#gid=0"",""'Game 10'!S25"")+50,IMPORTRANGE(""https://docs.google.com/spreadsheets/d/1sSbIK-vvHsSY0LghLJ9gcnW8Hec_ITI2tFmpeqI999A/edit#gid=0"",""'Game 10'!S25"")+100)))"),30.0)</f>
        <v>30</v>
      </c>
      <c r="Q18" s="35">
        <f t="shared" si="1"/>
        <v>924</v>
      </c>
      <c r="R18" s="35">
        <f t="shared" si="2"/>
        <v>23</v>
      </c>
    </row>
    <row r="19">
      <c r="A19" s="32" t="s">
        <v>198</v>
      </c>
      <c r="B19" s="36">
        <v>16.0</v>
      </c>
      <c r="C19" s="36">
        <v>142.0</v>
      </c>
      <c r="D19" s="36">
        <v>4.0</v>
      </c>
      <c r="E19" s="36">
        <v>24.0</v>
      </c>
      <c r="F19" s="36">
        <v>8.0</v>
      </c>
      <c r="G19" s="37">
        <f>IFERROR(__xludf.DUMMYFUNCTION("IF($A19=IMPORTRANGE(""https://docs.google.com/spreadsheets/d/16J5ie7OD1E99qGO9lMDm8w5Yls-v190B7DTolJ5TmFc/edit#gid=1981724582"",""'Game 3'!B1""),IF(IMPORTRANGE(""https://docs.google.com/spreadsheets/d/16J5ie7OD1E99qGO9lMDm8w5Yls-v190B7DTolJ5TmFc/edit#gid="&amp;"1981724582"",""'Game 3'!J25"")&gt;IMPORTRANGE(""https://docs.google.com/spreadsheets/d/16J5ie7OD1E99qGO9lMDm8w5Yls-v190B7DTolJ5TmFc/edit#gid=1981724582"",""'Game 3'!S25""),IMPORTRANGE(""https://docs.google.com/spreadsheets/d/16J5ie7OD1E99qGO9lMDm8w5Yls-v190B"&amp;"7DTolJ5TmFc/edit#gid=1981724582"",""'Game 3'!J25"")+100,IF(IMPORTRANGE(""https://docs.google.com/spreadsheets/d/16J5ie7OD1E99qGO9lMDm8w5Yls-v190B7DTolJ5TmFc/edit#gid=1981724582"",""'Game 3'!J25"")=IMPORTRANGE(""https://docs.google.com/spreadsheets/d/16J5i"&amp;"e7OD1E99qGO9lMDm8w5Yls-v190B7DTolJ5TmFc/edit#gid=1981724582"",""'Game 3'!S25""),IMPORTRANGE(""https://docs.google.com/spreadsheets/d/16J5ie7OD1E99qGO9lMDm8w5Yls-v190B7DTolJ5TmFc/edit#gid=1981724582"",""'Game 3'!J25"")+50,IMPORTRANGE(""https://docs.google."&amp;"com/spreadsheets/d/16J5ie7OD1E99qGO9lMDm8w5Yls-v190B7DTolJ5TmFc/edit#gid=1981724582"",""'Game 3'!J25""))),IF(IMPORTRANGE(""https://docs.google.com/spreadsheets/d/16J5ie7OD1E99qGO9lMDm8w5Yls-v190B7DTolJ5TmFc/edit#gid=1981724582"",""'Game 3'!J25"")&gt;IMPORTRA"&amp;"NGE(""https://docs.google.com/spreadsheets/d/16J5ie7OD1E99qGO9lMDm8w5Yls-v190B7DTolJ5TmFc/edit#gid=1981724582"",""'Game 3'!S25""),IMPORTRANGE(""https://docs.google.com/spreadsheets/d/16J5ie7OD1E99qGO9lMDm8w5Yls-v190B7DTolJ5TmFc/edit#gid=1981724582"",""'Ga"&amp;"me 3'!S25""),IF(IMPORTRANGE(""https://docs.google.com/spreadsheets/d/16J5ie7OD1E99qGO9lMDm8w5Yls-v190B7DTolJ5TmFc/edit#gid=1981724582"",""'Game 3'!J25"")=IMPORTRANGE(""https://docs.google.com/spreadsheets/d/16J5ie7OD1E99qGO9lMDm8w5Yls-v190B7DTolJ5TmFc/edi"&amp;"t#gid=1981724582"",""'Game 3'!S25""),IMPORTRANGE(""https://docs.google.com/spreadsheets/d/16J5ie7OD1E99qGO9lMDm8w5Yls-v190B7DTolJ5TmFc/edit#gid=1981724582"",""'Game 3'!S25"")+50,IMPORTRANGE(""https://docs.google.com/spreadsheets/d/16J5ie7OD1E99qGO9lMDm8w5"&amp;"Yls-v190B7DTolJ5TmFc/edit#gid=1981724582"",""'Game 3'!S25"")+100)))"),28.0)</f>
        <v>28</v>
      </c>
      <c r="H19" s="36">
        <v>26.0</v>
      </c>
      <c r="I19" s="7">
        <f>IFERROR(__xludf.DUMMYFUNCTION("IF($A19=IMPORTRANGE(""https://docs.google.com/spreadsheets/d/1CTYfdyRk_RFGM3I2iN9bKeD9zUPzEm1ajzml6VgwfIU/edit#gid=0"",""'Game 5'!B1""),IF(IMPORTRANGE(""https://docs.google.com/spreadsheets/d/1CTYfdyRk_RFGM3I2iN9bKeD9zUPzEm1ajzml6VgwfIU/edit#gid=0"",""'Ga"&amp;"me 5'!J25"")&gt;IMPORTRANGE(""https://docs.google.com/spreadsheets/d/1CTYfdyRk_RFGM3I2iN9bKeD9zUPzEm1ajzml6VgwfIU/edit#gid=0"",""'Game 5'!S25""),IMPORTRANGE(""https://docs.google.com/spreadsheets/d/1CTYfdyRk_RFGM3I2iN9bKeD9zUPzEm1ajzml6VgwfIU/edit#gid=0"","""&amp;"'Game 5'!J25"")+100,IF(IMPORTRANGE(""https://docs.google.com/spreadsheets/d/1CTYfdyRk_RFGM3I2iN9bKeD9zUPzEm1ajzml6VgwfIU/edit#gid=0"",""'Game 5'!J25"")=IMPORTRANGE(""https://docs.google.com/spreadsheets/d/1CTYfdyRk_RFGM3I2iN9bKeD9zUPzEm1ajzml6VgwfIU/edit#"&amp;"gid=0"",""'Game 5'!S25""),IMPORTRANGE(""https://docs.google.com/spreadsheets/d/1CTYfdyRk_RFGM3I2iN9bKeD9zUPzEm1ajzml6VgwfIU/edit#gid=0"",""'Game 5'!J25"")+50,IMPORTRANGE(""https://docs.google.com/spreadsheets/d/1CTYfdyRk_RFGM3I2iN9bKeD9zUPzEm1ajzml6VgwfIU"&amp;"/edit#gid=0"",""'Game 5'!J25""))),IF(IMPORTRANGE(""https://docs.google.com/spreadsheets/d/1CTYfdyRk_RFGM3I2iN9bKeD9zUPzEm1ajzml6VgwfIU/edit#gid=0"",""'Game 5'!J25"")&gt;IMPORTRANGE(""https://docs.google.com/spreadsheets/d/1CTYfdyRk_RFGM3I2iN9bKeD9zUPzEm1ajzm"&amp;"l6VgwfIU/edit#gid=0"",""'Game 5'!S25""),IMPORTRANGE(""https://docs.google.com/spreadsheets/d/1CTYfdyRk_RFGM3I2iN9bKeD9zUPzEm1ajzml6VgwfIU/edit#gid=0"",""'Game 5'!S25""),IF(IMPORTRANGE(""https://docs.google.com/spreadsheets/d/1CTYfdyRk_RFGM3I2iN9bKeD9zUPzE"&amp;"m1ajzml6VgwfIU/edit#gid=0"",""'Game 5'!J25"")=IMPORTRANGE(""https://docs.google.com/spreadsheets/d/1CTYfdyRk_RFGM3I2iN9bKeD9zUPzEm1ajzml6VgwfIU/edit#gid=0"",""'Game 5'!S25""),IMPORTRANGE(""https://docs.google.com/spreadsheets/d/1CTYfdyRk_RFGM3I2iN9bKeD9zU"&amp;"PzEm1ajzml6VgwfIU/edit#gid=0"",""'Game 5'!S25"")+50,IMPORTRANGE(""https://docs.google.com/spreadsheets/d/1CTYfdyRk_RFGM3I2iN9bKeD9zUPzEm1ajzml6VgwfIU/edit#gid=0"",""'Game 5'!S25"")+100)))"),44.0)</f>
        <v>44</v>
      </c>
      <c r="J19" s="7">
        <f>IFERROR(__xludf.DUMMYFUNCTION("IF($A19=IMPORTRANGE(""https://docs.google.com/spreadsheets/d/11NFkzOdQyW-OtxSDuGslNCgNjx7HUb2FU7KnlNnPMgY/edit#gid=0"",""'Game 2'!B1""),IF(IMPORTRANGE(""https://docs.google.com/spreadsheets/d/11NFkzOdQyW-OtxSDuGslNCgNjx7HUb2FU7KnlNnPMgY/edit#gid=0"",""'Ga"&amp;"me 2'!J25"")&gt;IMPORTRANGE(""https://docs.google.com/spreadsheets/d/11NFkzOdQyW-OtxSDuGslNCgNjx7HUb2FU7KnlNnPMgY/edit#gid=0"",""'Game 2'!S25""),IMPORTRANGE(""https://docs.google.com/spreadsheets/d/11NFkzOdQyW-OtxSDuGslNCgNjx7HUb2FU7KnlNnPMgY/edit#gid=0"","""&amp;"'Game 2'!J25"")+100,IF(IMPORTRANGE(""https://docs.google.com/spreadsheets/d/11NFkzOdQyW-OtxSDuGslNCgNjx7HUb2FU7KnlNnPMgY/edit#gid=0"",""'Game 2'!J25"")=IMPORTRANGE(""https://docs.google.com/spreadsheets/d/11NFkzOdQyW-OtxSDuGslNCgNjx7HUb2FU7KnlNnPMgY/edit#"&amp;"gid=0"",""'Game 2'!S25""),IMPORTRANGE(""https://docs.google.com/spreadsheets/d/11NFkzOdQyW-OtxSDuGslNCgNjx7HUb2FU7KnlNnPMgY/edit#gid=0"",""'Game 2'!J25"")+50,IMPORTRANGE(""https://docs.google.com/spreadsheets/d/11NFkzOdQyW-OtxSDuGslNCgNjx7HUb2FU7KnlNnPMgY"&amp;"/edit#gid=0"",""'Game 2'!J25""))),IF(IMPORTRANGE(""https://docs.google.com/spreadsheets/d/11NFkzOdQyW-OtxSDuGslNCgNjx7HUb2FU7KnlNnPMgY/edit#gid=0"",""'Game 2'!J25"")&gt;IMPORTRANGE(""https://docs.google.com/spreadsheets/d/11NFkzOdQyW-OtxSDuGslNCgNjx7HUb2FU7K"&amp;"nlNnPMgY/edit#gid=0"",""'Game 2'!S25""),IMPORTRANGE(""https://docs.google.com/spreadsheets/d/11NFkzOdQyW-OtxSDuGslNCgNjx7HUb2FU7KnlNnPMgY/edit#gid=0"",""'Game 2'!S25""),IF(IMPORTRANGE(""https://docs.google.com/spreadsheets/d/11NFkzOdQyW-OtxSDuGslNCgNjx7HU"&amp;"b2FU7KnlNnPMgY/edit#gid=0"",""'Game 2'!J25"")=IMPORTRANGE(""https://docs.google.com/spreadsheets/d/11NFkzOdQyW-OtxSDuGslNCgNjx7HUb2FU7KnlNnPMgY/edit#gid=0"",""'Game 2'!S25""),IMPORTRANGE(""https://docs.google.com/spreadsheets/d/11NFkzOdQyW-OtxSDuGslNCgNjx"&amp;"7HUb2FU7KnlNnPMgY/edit#gid=0"",""'Game 2'!S25"")+50,IMPORTRANGE(""https://docs.google.com/spreadsheets/d/11NFkzOdQyW-OtxSDuGslNCgNjx7HUb2FU7KnlNnPMgY/edit#gid=0"",""'Game 2'!S25"")+100)))"),24.0)</f>
        <v>24</v>
      </c>
      <c r="K19" s="7">
        <f>IFERROR(__xludf.DUMMYFUNCTION("IF($A19=IMPORTRANGE(""https://docs.google.com/spreadsheets/d/1CLg5-jaE4ta0-u4oE1qbBplQ5Mf3Oj9ONFgL0zJ7Ol4/edit#gid=0"",""'Game 3'!B1""),IF(IMPORTRANGE(""https://docs.google.com/spreadsheets/d/1CLg5-jaE4ta0-u4oE1qbBplQ5Mf3Oj9ONFgL0zJ7Ol4/edit#gid=0"",""'Ga"&amp;"me 3'!J25"")&gt;IMPORTRANGE(""https://docs.google.com/spreadsheets/d/1CLg5-jaE4ta0-u4oE1qbBplQ5Mf3Oj9ONFgL0zJ7Ol4/edit#gid=0"",""'Game 3'!S25""),IMPORTRANGE(""https://docs.google.com/spreadsheets/d/1CLg5-jaE4ta0-u4oE1qbBplQ5Mf3Oj9ONFgL0zJ7Ol4/edit#gid=0"","""&amp;"'Game 3'!J25"")+100,IF(IMPORTRANGE(""https://docs.google.com/spreadsheets/d/1CLg5-jaE4ta0-u4oE1qbBplQ5Mf3Oj9ONFgL0zJ7Ol4/edit#gid=0"",""'Game 3'!J25"")=IMPORTRANGE(""https://docs.google.com/spreadsheets/d/1CLg5-jaE4ta0-u4oE1qbBplQ5Mf3Oj9ONFgL0zJ7Ol4/edit#"&amp;"gid=0"",""'Game 3'!S25""),IMPORTRANGE(""https://docs.google.com/spreadsheets/d/1CLg5-jaE4ta0-u4oE1qbBplQ5Mf3Oj9ONFgL0zJ7Ol4/edit#gid=0"",""'Game 3'!J25"")+50,IMPORTRANGE(""https://docs.google.com/spreadsheets/d/1CLg5-jaE4ta0-u4oE1qbBplQ5Mf3Oj9ONFgL0zJ7Ol4"&amp;"/edit#gid=0"",""'Game 3'!J25""))),IF(IMPORTRANGE(""https://docs.google.com/spreadsheets/d/1CLg5-jaE4ta0-u4oE1qbBplQ5Mf3Oj9ONFgL0zJ7Ol4/edit#gid=0"",""'Game 3'!J25"")&gt;IMPORTRANGE(""https://docs.google.com/spreadsheets/d/1CLg5-jaE4ta0-u4oE1qbBplQ5Mf3Oj9ONFg"&amp;"L0zJ7Ol4/edit#gid=0"",""'Game 3'!S25""),IMPORTRANGE(""https://docs.google.com/spreadsheets/d/1CLg5-jaE4ta0-u4oE1qbBplQ5Mf3Oj9ONFgL0zJ7Ol4/edit#gid=0"",""'Game 3'!S25""),IF(IMPORTRANGE(""https://docs.google.com/spreadsheets/d/1CLg5-jaE4ta0-u4oE1qbBplQ5Mf3O"&amp;"j9ONFgL0zJ7Ol4/edit#gid=0"",""'Game 3'!J25"")=IMPORTRANGE(""https://docs.google.com/spreadsheets/d/1CLg5-jaE4ta0-u4oE1qbBplQ5Mf3Oj9ONFgL0zJ7Ol4/edit#gid=0"",""'Game 3'!S25""),IMPORTRANGE(""https://docs.google.com/spreadsheets/d/1CLg5-jaE4ta0-u4oE1qbBplQ5M"&amp;"f3Oj9ONFgL0zJ7Ol4/edit#gid=0"",""'Game 3'!S25"")+50,IMPORTRANGE(""https://docs.google.com/spreadsheets/d/1CLg5-jaE4ta0-u4oE1qbBplQ5Mf3Oj9ONFgL0zJ7Ol4/edit#gid=0"",""'Game 3'!S25"")+100)))"),22.0)</f>
        <v>22</v>
      </c>
      <c r="L19" s="7">
        <f>IFERROR(__xludf.DUMMYFUNCTION("IF($A19=IMPORTRANGE(""https://docs.google.com/spreadsheets/d/1CeexgK4KxWj3k_7nql_k8-RPxXMwTJyB4Q3vAASeDlA/edit#gid=0"",""'Game 7'!B1""),IF(IMPORTRANGE(""https://docs.google.com/spreadsheets/d/1CeexgK4KxWj3k_7nql_k8-RPxXMwTJyB4Q3vAASeDlA/edit#gid=0"",""'Ga"&amp;"me 7'!J25"")&gt;IMPORTRANGE(""https://docs.google.com/spreadsheets/d/1CeexgK4KxWj3k_7nql_k8-RPxXMwTJyB4Q3vAASeDlA/edit#gid=0"",""'Game 7'!S25""),IMPORTRANGE(""https://docs.google.com/spreadsheets/d/1CeexgK4KxWj3k_7nql_k8-RPxXMwTJyB4Q3vAASeDlA/edit#gid=0"","""&amp;"'Game 7'!J25"")+100,IF(IMPORTRANGE(""https://docs.google.com/spreadsheets/d/1CeexgK4KxWj3k_7nql_k8-RPxXMwTJyB4Q3vAASeDlA/edit#gid=0"",""'Game 7'!J25"")=IMPORTRANGE(""https://docs.google.com/spreadsheets/d/1CeexgK4KxWj3k_7nql_k8-RPxXMwTJyB4Q3vAASeDlA/edit#"&amp;"gid=0"",""'Game 7'!S25""),IMPORTRANGE(""https://docs.google.com/spreadsheets/d/1CeexgK4KxWj3k_7nql_k8-RPxXMwTJyB4Q3vAASeDlA/edit#gid=0"",""'Game 7'!J25"")+50,IMPORTRANGE(""https://docs.google.com/spreadsheets/d/1CeexgK4KxWj3k_7nql_k8-RPxXMwTJyB4Q3vAASeDlA"&amp;"/edit#gid=0"",""'Game 7'!J25""))),IF(IMPORTRANGE(""https://docs.google.com/spreadsheets/d/1CeexgK4KxWj3k_7nql_k8-RPxXMwTJyB4Q3vAASeDlA/edit#gid=0"",""'Game 7'!J25"")&gt;IMPORTRANGE(""https://docs.google.com/spreadsheets/d/1CeexgK4KxWj3k_7nql_k8-RPxXMwTJyB4Q3"&amp;"vAASeDlA/edit#gid=0"",""'Game 7'!S25""),IMPORTRANGE(""https://docs.google.com/spreadsheets/d/1CeexgK4KxWj3k_7nql_k8-RPxXMwTJyB4Q3vAASeDlA/edit#gid=0"",""'Game 7'!S25""),IF(IMPORTRANGE(""https://docs.google.com/spreadsheets/d/1CeexgK4KxWj3k_7nql_k8-RPxXMwT"&amp;"JyB4Q3vAASeDlA/edit#gid=0"",""'Game 7'!J25"")=IMPORTRANGE(""https://docs.google.com/spreadsheets/d/1CeexgK4KxWj3k_7nql_k8-RPxXMwTJyB4Q3vAASeDlA/edit#gid=0"",""'Game 7'!S25""),IMPORTRANGE(""https://docs.google.com/spreadsheets/d/1CeexgK4KxWj3k_7nql_k8-RPxX"&amp;"MwTJyB4Q3vAASeDlA/edit#gid=0"",""'Game 7'!S25"")+50,IMPORTRANGE(""https://docs.google.com/spreadsheets/d/1CeexgK4KxWj3k_7nql_k8-RPxXMwTJyB4Q3vAASeDlA/edit#gid=0"",""'Game 7'!S25"")+100)))"),148.0)</f>
        <v>148</v>
      </c>
      <c r="M19" s="7">
        <f>IFERROR(__xludf.DUMMYFUNCTION("IF($A19=IMPORTRANGE(""https://docs.google.com/spreadsheets/d/1MNwUNMjcwK6bEgCXwB73jpbK5gJAXS8ZMpbEMLJEP3E/edit#gid=0"",""'Game 4'!B1""),IF(IMPORTRANGE(""https://docs.google.com/spreadsheets/d/1MNwUNMjcwK6bEgCXwB73jpbK5gJAXS8ZMpbEMLJEP3E/edit#gid=0"",""'Ga"&amp;"me 4'!J25"")&gt;IMPORTRANGE(""https://docs.google.com/spreadsheets/d/1MNwUNMjcwK6bEgCXwB73jpbK5gJAXS8ZMpbEMLJEP3E/edit#gid=0"",""'Game 4'!S25""),IMPORTRANGE(""https://docs.google.com/spreadsheets/d/1MNwUNMjcwK6bEgCXwB73jpbK5gJAXS8ZMpbEMLJEP3E/edit#gid=0"","""&amp;"'Game 4'!J25"")+100,IF(IMPORTRANGE(""https://docs.google.com/spreadsheets/d/1MNwUNMjcwK6bEgCXwB73jpbK5gJAXS8ZMpbEMLJEP3E/edit#gid=0"",""'Game 4'!J25"")=IMPORTRANGE(""https://docs.google.com/spreadsheets/d/1MNwUNMjcwK6bEgCXwB73jpbK5gJAXS8ZMpbEMLJEP3E/edit#"&amp;"gid=0"",""'Game 4'!S25""),IMPORTRANGE(""https://docs.google.com/spreadsheets/d/1MNwUNMjcwK6bEgCXwB73jpbK5gJAXS8ZMpbEMLJEP3E/edit#gid=0"",""'Game 4'!J25"")+50,IMPORTRANGE(""https://docs.google.com/spreadsheets/d/1MNwUNMjcwK6bEgCXwB73jpbK5gJAXS8ZMpbEMLJEP3E"&amp;"/edit#gid=0"",""'Game 4'!J25""))),IF(IMPORTRANGE(""https://docs.google.com/spreadsheets/d/1MNwUNMjcwK6bEgCXwB73jpbK5gJAXS8ZMpbEMLJEP3E/edit#gid=0"",""'Game 4'!J25"")&gt;IMPORTRANGE(""https://docs.google.com/spreadsheets/d/1MNwUNMjcwK6bEgCXwB73jpbK5gJAXS8ZMpb"&amp;"EMLJEP3E/edit#gid=0"",""'Game 4'!S25""),IMPORTRANGE(""https://docs.google.com/spreadsheets/d/1MNwUNMjcwK6bEgCXwB73jpbK5gJAXS8ZMpbEMLJEP3E/edit#gid=0"",""'Game 4'!S25""),IF(IMPORTRANGE(""https://docs.google.com/spreadsheets/d/1MNwUNMjcwK6bEgCXwB73jpbK5gJAX"&amp;"S8ZMpbEMLJEP3E/edit#gid=0"",""'Game 4'!J25"")=IMPORTRANGE(""https://docs.google.com/spreadsheets/d/1MNwUNMjcwK6bEgCXwB73jpbK5gJAXS8ZMpbEMLJEP3E/edit#gid=0"",""'Game 4'!S25""),IMPORTRANGE(""https://docs.google.com/spreadsheets/d/1MNwUNMjcwK6bEgCXwB73jpbK5g"&amp;"JAXS8ZMpbEMLJEP3E/edit#gid=0"",""'Game 4'!S25"")+50,IMPORTRANGE(""https://docs.google.com/spreadsheets/d/1MNwUNMjcwK6bEgCXwB73jpbK5gJAXS8ZMpbEMLJEP3E/edit#gid=0"",""'Game 4'!S25"")+100)))"),130.0)</f>
        <v>130</v>
      </c>
      <c r="N19" s="7">
        <f>IFERROR(__xludf.DUMMYFUNCTION("IF($A19=IMPORTRANGE(""https://docs.google.com/spreadsheets/d/1UrzyxmT40kDZwVrLMf1yyXfP-pyczRAw9Y8Rw-uXG3c/edit#gid=0"",""'Game 12'!B1""),IF(IMPORTRANGE(""https://docs.google.com/spreadsheets/d/1UrzyxmT40kDZwVrLMf1yyXfP-pyczRAw9Y8Rw-uXG3c/edit#gid=0"",""'G"&amp;"ame 12'!J25"")&gt;IMPORTRANGE(""https://docs.google.com/spreadsheets/d/1UrzyxmT40kDZwVrLMf1yyXfP-pyczRAw9Y8Rw-uXG3c/edit#gid=0"",""'Game 12'!S25""),IMPORTRANGE(""https://docs.google.com/spreadsheets/d/1UrzyxmT40kDZwVrLMf1yyXfP-pyczRAw9Y8Rw-uXG3c/edit#gid=0"""&amp;",""'Game 12'!J25"")+100,IF(IMPORTRANGE(""https://docs.google.com/spreadsheets/d/1UrzyxmT40kDZwVrLMf1yyXfP-pyczRAw9Y8Rw-uXG3c/edit#gid=0"",""'Game 12'!J25"")=IMPORTRANGE(""https://docs.google.com/spreadsheets/d/1UrzyxmT40kDZwVrLMf1yyXfP-pyczRAw9Y8Rw-uXG3c/"&amp;"edit#gid=0"",""'Game 12'!S25""),IMPORTRANGE(""https://docs.google.com/spreadsheets/d/1UrzyxmT40kDZwVrLMf1yyXfP-pyczRAw9Y8Rw-uXG3c/edit#gid=0"",""'Game 12'!J25"")+50,IMPORTRANGE(""https://docs.google.com/spreadsheets/d/1UrzyxmT40kDZwVrLMf1yyXfP-pyczRAw9Y8R"&amp;"w-uXG3c/edit#gid=0"",""'Game 12'!J25""))),IF(IMPORTRANGE(""https://docs.google.com/spreadsheets/d/1UrzyxmT40kDZwVrLMf1yyXfP-pyczRAw9Y8Rw-uXG3c/edit#gid=0"",""'Game 12'!J25"")&gt;IMPORTRANGE(""https://docs.google.com/spreadsheets/d/1UrzyxmT40kDZwVrLMf1yyXfP-p"&amp;"yczRAw9Y8Rw-uXG3c/edit#gid=0"",""'Game 12'!S25""),IMPORTRANGE(""https://docs.google.com/spreadsheets/d/1UrzyxmT40kDZwVrLMf1yyXfP-pyczRAw9Y8Rw-uXG3c/edit#gid=0"",""'Game 12'!S25""),IF(IMPORTRANGE(""https://docs.google.com/spreadsheets/d/1UrzyxmT40kDZwVrLMf"&amp;"1yyXfP-pyczRAw9Y8Rw-uXG3c/edit#gid=0"",""'Game 12'!J25"")=IMPORTRANGE(""https://docs.google.com/spreadsheets/d/1UrzyxmT40kDZwVrLMf1yyXfP-pyczRAw9Y8Rw-uXG3c/edit#gid=0"",""'Game 12'!S25""),IMPORTRANGE(""https://docs.google.com/spreadsheets/d/1UrzyxmT40kDZw"&amp;"VrLMf1yyXfP-pyczRAw9Y8Rw-uXG3c/edit#gid=0"",""'Game 12'!S25"")+50,IMPORTRANGE(""https://docs.google.com/spreadsheets/d/1UrzyxmT40kDZwVrLMf1yyXfP-pyczRAw9Y8Rw-uXG3c/edit#gid=0"",""'Game 12'!S25"")+100)))"),138.0)</f>
        <v>138</v>
      </c>
      <c r="O19" s="7">
        <f>IFERROR(__xludf.DUMMYFUNCTION("IF($A19=IMPORTRANGE(""https://docs.google.com/spreadsheets/d/1iyMhSYWifw-KGFtyeBpNxVZr4BhcV9hVZuShgJ9Ia0E/edit#gid=0"",""'Game 13'!B1""),IF(IMPORTRANGE(""https://docs.google.com/spreadsheets/d/1iyMhSYWifw-KGFtyeBpNxVZr4BhcV9hVZuShgJ9Ia0E/edit#gid=0"",""'G"&amp;"ame 13'!J25"")&gt;IMPORTRANGE(""https://docs.google.com/spreadsheets/d/1iyMhSYWifw-KGFtyeBpNxVZr4BhcV9hVZuShgJ9Ia0E/edit#gid=0"",""'Game 13'!S25""),IMPORTRANGE(""https://docs.google.com/spreadsheets/d/1iyMhSYWifw-KGFtyeBpNxVZr4BhcV9hVZuShgJ9Ia0E/edit#gid=0"""&amp;",""'Game 13'!J25"")+100,IF(IMPORTRANGE(""https://docs.google.com/spreadsheets/d/1iyMhSYWifw-KGFtyeBpNxVZr4BhcV9hVZuShgJ9Ia0E/edit#gid=0"",""'Game 13'!J25"")=IMPORTRANGE(""https://docs.google.com/spreadsheets/d/1iyMhSYWifw-KGFtyeBpNxVZr4BhcV9hVZuShgJ9Ia0E/"&amp;"edit#gid=0"",""'Game 13'!S25""),IMPORTRANGE(""https://docs.google.com/spreadsheets/d/1iyMhSYWifw-KGFtyeBpNxVZr4BhcV9hVZuShgJ9Ia0E/edit#gid=0"",""'Game 13'!J25"")+50,IMPORTRANGE(""https://docs.google.com/spreadsheets/d/1iyMhSYWifw-KGFtyeBpNxVZr4BhcV9hVZuSh"&amp;"gJ9Ia0E/edit#gid=0"",""'Game 13'!J25""))),IF(IMPORTRANGE(""https://docs.google.com/spreadsheets/d/1iyMhSYWifw-KGFtyeBpNxVZr4BhcV9hVZuShgJ9Ia0E/edit#gid=0"",""'Game 13'!J25"")&gt;IMPORTRANGE(""https://docs.google.com/spreadsheets/d/1iyMhSYWifw-KGFtyeBpNxVZr4B"&amp;"hcV9hVZuShgJ9Ia0E/edit#gid=0"",""'Game 13'!S25""),IMPORTRANGE(""https://docs.google.com/spreadsheets/d/1iyMhSYWifw-KGFtyeBpNxVZr4BhcV9hVZuShgJ9Ia0E/edit#gid=0"",""'Game 13'!S25""),IF(IMPORTRANGE(""https://docs.google.com/spreadsheets/d/1iyMhSYWifw-KGFtyeB"&amp;"pNxVZr4BhcV9hVZuShgJ9Ia0E/edit#gid=0"",""'Game 13'!J25"")=IMPORTRANGE(""https://docs.google.com/spreadsheets/d/1iyMhSYWifw-KGFtyeBpNxVZr4BhcV9hVZuShgJ9Ia0E/edit#gid=0"",""'Game 13'!S25""),IMPORTRANGE(""https://docs.google.com/spreadsheets/d/1iyMhSYWifw-KG"&amp;"FtyeBpNxVZr4BhcV9hVZuShgJ9Ia0E/edit#gid=0"",""'Game 13'!S25"")+50,IMPORTRANGE(""https://docs.google.com/spreadsheets/d/1iyMhSYWifw-KGFtyeBpNxVZr4BhcV9hVZuShgJ9Ia0E/edit#gid=0"",""'Game 13'!S25"")+100)))"),144.0)</f>
        <v>144</v>
      </c>
      <c r="P19" s="7">
        <f>IFERROR(__xludf.DUMMYFUNCTION("IF($A19=IMPORTRANGE(""https://docs.google.com/spreadsheets/d/1sSbIK-vvHsSY0LghLJ9gcnW8Hec_ITI2tFmpeqI999A/edit#gid=0"",""'Game 7'!B1""),IF(IMPORTRANGE(""https://docs.google.com/spreadsheets/d/1sSbIK-vvHsSY0LghLJ9gcnW8Hec_ITI2tFmpeqI999A/edit#gid=0"",""'Ga"&amp;"me 7'!J25"")&gt;IMPORTRANGE(""https://docs.google.com/spreadsheets/d/1sSbIK-vvHsSY0LghLJ9gcnW8Hec_ITI2tFmpeqI999A/edit#gid=0"",""'Game 7'!S25""),IMPORTRANGE(""https://docs.google.com/spreadsheets/d/1sSbIK-vvHsSY0LghLJ9gcnW8Hec_ITI2tFmpeqI999A/edit#gid=0"","""&amp;"'Game 7'!J25"")+100,IF(IMPORTRANGE(""https://docs.google.com/spreadsheets/d/1sSbIK-vvHsSY0LghLJ9gcnW8Hec_ITI2tFmpeqI999A/edit#gid=0"",""'Game 7'!J25"")=IMPORTRANGE(""https://docs.google.com/spreadsheets/d/1sSbIK-vvHsSY0LghLJ9gcnW8Hec_ITI2tFmpeqI999A/edit#"&amp;"gid=0"",""'Game 7'!S25""),IMPORTRANGE(""https://docs.google.com/spreadsheets/d/1sSbIK-vvHsSY0LghLJ9gcnW8Hec_ITI2tFmpeqI999A/edit#gid=0"",""'Game 7'!J25"")+50,IMPORTRANGE(""https://docs.google.com/spreadsheets/d/1sSbIK-vvHsSY0LghLJ9gcnW8Hec_ITI2tFmpeqI999A"&amp;"/edit#gid=0"",""'Game 7'!J25""))),IF(IMPORTRANGE(""https://docs.google.com/spreadsheets/d/1sSbIK-vvHsSY0LghLJ9gcnW8Hec_ITI2tFmpeqI999A/edit#gid=0"",""'Game 7'!J25"")&gt;IMPORTRANGE(""https://docs.google.com/spreadsheets/d/1sSbIK-vvHsSY0LghLJ9gcnW8Hec_ITI2tFm"&amp;"peqI999A/edit#gid=0"",""'Game 7'!S25""),IMPORTRANGE(""https://docs.google.com/spreadsheets/d/1sSbIK-vvHsSY0LghLJ9gcnW8Hec_ITI2tFmpeqI999A/edit#gid=0"",""'Game 7'!S25""),IF(IMPORTRANGE(""https://docs.google.com/spreadsheets/d/1sSbIK-vvHsSY0LghLJ9gcnW8Hec_I"&amp;"TI2tFmpeqI999A/edit#gid=0"",""'Game 7'!J25"")=IMPORTRANGE(""https://docs.google.com/spreadsheets/d/1sSbIK-vvHsSY0LghLJ9gcnW8Hec_ITI2tFmpeqI999A/edit#gid=0"",""'Game 7'!S25""),IMPORTRANGE(""https://docs.google.com/spreadsheets/d/1sSbIK-vvHsSY0LghLJ9gcnW8He"&amp;"c_ITI2tFmpeqI999A/edit#gid=0"",""'Game 7'!S25"")+50,IMPORTRANGE(""https://docs.google.com/spreadsheets/d/1sSbIK-vvHsSY0LghLJ9gcnW8Hec_ITI2tFmpeqI999A/edit#gid=0"",""'Game 7'!S25"")+100)))"),38.0)</f>
        <v>38</v>
      </c>
      <c r="Q19" s="37">
        <f t="shared" si="1"/>
        <v>936</v>
      </c>
      <c r="R19" s="37">
        <f t="shared" si="2"/>
        <v>22</v>
      </c>
    </row>
    <row r="20">
      <c r="A20" s="33" t="s">
        <v>240</v>
      </c>
      <c r="B20" s="34">
        <v>30.0</v>
      </c>
      <c r="C20" s="34">
        <v>4.0</v>
      </c>
      <c r="D20" s="34">
        <v>-4.0</v>
      </c>
      <c r="E20" s="34">
        <v>130.0</v>
      </c>
      <c r="F20" s="34">
        <v>158.0</v>
      </c>
      <c r="G20" s="35">
        <f>IFERROR(__xludf.DUMMYFUNCTION("IF($A20=IMPORTRANGE(""https://docs.google.com/spreadsheets/d/16J5ie7OD1E99qGO9lMDm8w5Yls-v190B7DTolJ5TmFc/edit#gid=1981724582"",""'Game 4'!B1""),IF(IMPORTRANGE(""https://docs.google.com/spreadsheets/d/16J5ie7OD1E99qGO9lMDm8w5Yls-v190B7DTolJ5TmFc/edit#gid="&amp;"1981724582"",""'Game 4'!J25"")&gt;IMPORTRANGE(""https://docs.google.com/spreadsheets/d/16J5ie7OD1E99qGO9lMDm8w5Yls-v190B7DTolJ5TmFc/edit#gid=1981724582"",""'Game 4'!S25""),IMPORTRANGE(""https://docs.google.com/spreadsheets/d/16J5ie7OD1E99qGO9lMDm8w5Yls-v190B"&amp;"7DTolJ5TmFc/edit#gid=1981724582"",""'Game 4'!J25"")+100,IF(IMPORTRANGE(""https://docs.google.com/spreadsheets/d/16J5ie7OD1E99qGO9lMDm8w5Yls-v190B7DTolJ5TmFc/edit#gid=1981724582"",""'Game 4'!J25"")=IMPORTRANGE(""https://docs.google.com/spreadsheets/d/16J5i"&amp;"e7OD1E99qGO9lMDm8w5Yls-v190B7DTolJ5TmFc/edit#gid=1981724582"",""'Game 4'!S25""),IMPORTRANGE(""https://docs.google.com/spreadsheets/d/16J5ie7OD1E99qGO9lMDm8w5Yls-v190B7DTolJ5TmFc/edit#gid=1981724582"",""'Game 4'!J25"")+50,IMPORTRANGE(""https://docs.google."&amp;"com/spreadsheets/d/16J5ie7OD1E99qGO9lMDm8w5Yls-v190B7DTolJ5TmFc/edit#gid=1981724582"",""'Game 4'!J25""))),IF(IMPORTRANGE(""https://docs.google.com/spreadsheets/d/16J5ie7OD1E99qGO9lMDm8w5Yls-v190B7DTolJ5TmFc/edit#gid=1981724582"",""'Game 4'!J25"")&gt;IMPORTRA"&amp;"NGE(""https://docs.google.com/spreadsheets/d/16J5ie7OD1E99qGO9lMDm8w5Yls-v190B7DTolJ5TmFc/edit#gid=1981724582"",""'Game 4'!S25""),IMPORTRANGE(""https://docs.google.com/spreadsheets/d/16J5ie7OD1E99qGO9lMDm8w5Yls-v190B7DTolJ5TmFc/edit#gid=1981724582"",""'Ga"&amp;"me 4'!S25""),IF(IMPORTRANGE(""https://docs.google.com/spreadsheets/d/16J5ie7OD1E99qGO9lMDm8w5Yls-v190B7DTolJ5TmFc/edit#gid=1981724582"",""'Game 4'!J25"")=IMPORTRANGE(""https://docs.google.com/spreadsheets/d/16J5ie7OD1E99qGO9lMDm8w5Yls-v190B7DTolJ5TmFc/edi"&amp;"t#gid=1981724582"",""'Game 4'!S25""),IMPORTRANGE(""https://docs.google.com/spreadsheets/d/16J5ie7OD1E99qGO9lMDm8w5Yls-v190B7DTolJ5TmFc/edit#gid=1981724582"",""'Game 4'!S25"")+50,IMPORTRANGE(""https://docs.google.com/spreadsheets/d/16J5ie7OD1E99qGO9lMDm8w5"&amp;"Yls-v190B7DTolJ5TmFc/edit#gid=1981724582"",""'Game 4'!S25"")+100)))"),8.0)</f>
        <v>8</v>
      </c>
      <c r="H20" s="34">
        <v>138.0</v>
      </c>
      <c r="I20" s="5">
        <f>IFERROR(__xludf.DUMMYFUNCTION("IF($A20=IMPORTRANGE(""https://docs.google.com/spreadsheets/d/1CTYfdyRk_RFGM3I2iN9bKeD9zUPzEm1ajzml6VgwfIU/edit#gid=0"",""'Game 7'!B1""),IF(IMPORTRANGE(""https://docs.google.com/spreadsheets/d/1CTYfdyRk_RFGM3I2iN9bKeD9zUPzEm1ajzml6VgwfIU/edit#gid=0"",""'Ga"&amp;"me 7'!J25"")&gt;IMPORTRANGE(""https://docs.google.com/spreadsheets/d/1CTYfdyRk_RFGM3I2iN9bKeD9zUPzEm1ajzml6VgwfIU/edit#gid=0"",""'Game 7'!S25""),IMPORTRANGE(""https://docs.google.com/spreadsheets/d/1CTYfdyRk_RFGM3I2iN9bKeD9zUPzEm1ajzml6VgwfIU/edit#gid=0"","""&amp;"'Game 7'!J25"")+100,IF(IMPORTRANGE(""https://docs.google.com/spreadsheets/d/1CTYfdyRk_RFGM3I2iN9bKeD9zUPzEm1ajzml6VgwfIU/edit#gid=0"",""'Game 7'!J25"")=IMPORTRANGE(""https://docs.google.com/spreadsheets/d/1CTYfdyRk_RFGM3I2iN9bKeD9zUPzEm1ajzml6VgwfIU/edit#"&amp;"gid=0"",""'Game 7'!S25""),IMPORTRANGE(""https://docs.google.com/spreadsheets/d/1CTYfdyRk_RFGM3I2iN9bKeD9zUPzEm1ajzml6VgwfIU/edit#gid=0"",""'Game 7'!J25"")+50,IMPORTRANGE(""https://docs.google.com/spreadsheets/d/1CTYfdyRk_RFGM3I2iN9bKeD9zUPzEm1ajzml6VgwfIU"&amp;"/edit#gid=0"",""'Game 7'!J25""))),IF(IMPORTRANGE(""https://docs.google.com/spreadsheets/d/1CTYfdyRk_RFGM3I2iN9bKeD9zUPzEm1ajzml6VgwfIU/edit#gid=0"",""'Game 7'!J25"")&gt;IMPORTRANGE(""https://docs.google.com/spreadsheets/d/1CTYfdyRk_RFGM3I2iN9bKeD9zUPzEm1ajzm"&amp;"l6VgwfIU/edit#gid=0"",""'Game 7'!S25""),IMPORTRANGE(""https://docs.google.com/spreadsheets/d/1CTYfdyRk_RFGM3I2iN9bKeD9zUPzEm1ajzml6VgwfIU/edit#gid=0"",""'Game 7'!S25""),IF(IMPORTRANGE(""https://docs.google.com/spreadsheets/d/1CTYfdyRk_RFGM3I2iN9bKeD9zUPzE"&amp;"m1ajzml6VgwfIU/edit#gid=0"",""'Game 7'!J25"")=IMPORTRANGE(""https://docs.google.com/spreadsheets/d/1CTYfdyRk_RFGM3I2iN9bKeD9zUPzEm1ajzml6VgwfIU/edit#gid=0"",""'Game 7'!S25""),IMPORTRANGE(""https://docs.google.com/spreadsheets/d/1CTYfdyRk_RFGM3I2iN9bKeD9zU"&amp;"PzEm1ajzml6VgwfIU/edit#gid=0"",""'Game 7'!S25"")+50,IMPORTRANGE(""https://docs.google.com/spreadsheets/d/1CTYfdyRk_RFGM3I2iN9bKeD9zUPzEm1ajzml6VgwfIU/edit#gid=0"",""'Game 7'!S25"")+100)))"),24.0)</f>
        <v>24</v>
      </c>
      <c r="J20" s="5">
        <f>IFERROR(__xludf.DUMMYFUNCTION("IF($A20=IMPORTRANGE(""https://docs.google.com/spreadsheets/d/11NFkzOdQyW-OtxSDuGslNCgNjx7HUb2FU7KnlNnPMgY/edit#gid=0"",""'Game 7'!B1""),IF(IMPORTRANGE(""https://docs.google.com/spreadsheets/d/11NFkzOdQyW-OtxSDuGslNCgNjx7HUb2FU7KnlNnPMgY/edit#gid=0"",""'Ga"&amp;"me 7'!J25"")&gt;IMPORTRANGE(""https://docs.google.com/spreadsheets/d/11NFkzOdQyW-OtxSDuGslNCgNjx7HUb2FU7KnlNnPMgY/edit#gid=0"",""'Game 7'!S25""),IMPORTRANGE(""https://docs.google.com/spreadsheets/d/11NFkzOdQyW-OtxSDuGslNCgNjx7HUb2FU7KnlNnPMgY/edit#gid=0"","""&amp;"'Game 7'!J25"")+100,IF(IMPORTRANGE(""https://docs.google.com/spreadsheets/d/11NFkzOdQyW-OtxSDuGslNCgNjx7HUb2FU7KnlNnPMgY/edit#gid=0"",""'Game 7'!J25"")=IMPORTRANGE(""https://docs.google.com/spreadsheets/d/11NFkzOdQyW-OtxSDuGslNCgNjx7HUb2FU7KnlNnPMgY/edit#"&amp;"gid=0"",""'Game 7'!S25""),IMPORTRANGE(""https://docs.google.com/spreadsheets/d/11NFkzOdQyW-OtxSDuGslNCgNjx7HUb2FU7KnlNnPMgY/edit#gid=0"",""'Game 7'!J25"")+50,IMPORTRANGE(""https://docs.google.com/spreadsheets/d/11NFkzOdQyW-OtxSDuGslNCgNjx7HUb2FU7KnlNnPMgY"&amp;"/edit#gid=0"",""'Game 7'!J25""))),IF(IMPORTRANGE(""https://docs.google.com/spreadsheets/d/11NFkzOdQyW-OtxSDuGslNCgNjx7HUb2FU7KnlNnPMgY/edit#gid=0"",""'Game 7'!J25"")&gt;IMPORTRANGE(""https://docs.google.com/spreadsheets/d/11NFkzOdQyW-OtxSDuGslNCgNjx7HUb2FU7K"&amp;"nlNnPMgY/edit#gid=0"",""'Game 7'!S25""),IMPORTRANGE(""https://docs.google.com/spreadsheets/d/11NFkzOdQyW-OtxSDuGslNCgNjx7HUb2FU7KnlNnPMgY/edit#gid=0"",""'Game 7'!S25""),IF(IMPORTRANGE(""https://docs.google.com/spreadsheets/d/11NFkzOdQyW-OtxSDuGslNCgNjx7HU"&amp;"b2FU7KnlNnPMgY/edit#gid=0"",""'Game 7'!J25"")=IMPORTRANGE(""https://docs.google.com/spreadsheets/d/11NFkzOdQyW-OtxSDuGslNCgNjx7HUb2FU7KnlNnPMgY/edit#gid=0"",""'Game 7'!S25""),IMPORTRANGE(""https://docs.google.com/spreadsheets/d/11NFkzOdQyW-OtxSDuGslNCgNjx"&amp;"7HUb2FU7KnlNnPMgY/edit#gid=0"",""'Game 7'!S25"")+50,IMPORTRANGE(""https://docs.google.com/spreadsheets/d/11NFkzOdQyW-OtxSDuGslNCgNjx7HUb2FU7KnlNnPMgY/edit#gid=0"",""'Game 7'!S25"")+100)))"),26.0)</f>
        <v>26</v>
      </c>
      <c r="K20" s="5">
        <f>IFERROR(__xludf.DUMMYFUNCTION("IF($A20=IMPORTRANGE(""https://docs.google.com/spreadsheets/d/1CLg5-jaE4ta0-u4oE1qbBplQ5Mf3Oj9ONFgL0zJ7Ol4/edit#gid=0"",""'Game 7'!B1""),IF(IMPORTRANGE(""https://docs.google.com/spreadsheets/d/1CLg5-jaE4ta0-u4oE1qbBplQ5Mf3Oj9ONFgL0zJ7Ol4/edit#gid=0"",""'Ga"&amp;"me 7'!J25"")&gt;IMPORTRANGE(""https://docs.google.com/spreadsheets/d/1CLg5-jaE4ta0-u4oE1qbBplQ5Mf3Oj9ONFgL0zJ7Ol4/edit#gid=0"",""'Game 7'!S25""),IMPORTRANGE(""https://docs.google.com/spreadsheets/d/1CLg5-jaE4ta0-u4oE1qbBplQ5Mf3Oj9ONFgL0zJ7Ol4/edit#gid=0"","""&amp;"'Game 7'!J25"")+100,IF(IMPORTRANGE(""https://docs.google.com/spreadsheets/d/1CLg5-jaE4ta0-u4oE1qbBplQ5Mf3Oj9ONFgL0zJ7Ol4/edit#gid=0"",""'Game 7'!J25"")=IMPORTRANGE(""https://docs.google.com/spreadsheets/d/1CLg5-jaE4ta0-u4oE1qbBplQ5Mf3Oj9ONFgL0zJ7Ol4/edit#"&amp;"gid=0"",""'Game 7'!S25""),IMPORTRANGE(""https://docs.google.com/spreadsheets/d/1CLg5-jaE4ta0-u4oE1qbBplQ5Mf3Oj9ONFgL0zJ7Ol4/edit#gid=0"",""'Game 7'!J25"")+50,IMPORTRANGE(""https://docs.google.com/spreadsheets/d/1CLg5-jaE4ta0-u4oE1qbBplQ5Mf3Oj9ONFgL0zJ7Ol4"&amp;"/edit#gid=0"",""'Game 7'!J25""))),IF(IMPORTRANGE(""https://docs.google.com/spreadsheets/d/1CLg5-jaE4ta0-u4oE1qbBplQ5Mf3Oj9ONFgL0zJ7Ol4/edit#gid=0"",""'Game 7'!J25"")&gt;IMPORTRANGE(""https://docs.google.com/spreadsheets/d/1CLg5-jaE4ta0-u4oE1qbBplQ5Mf3Oj9ONFg"&amp;"L0zJ7Ol4/edit#gid=0"",""'Game 7'!S25""),IMPORTRANGE(""https://docs.google.com/spreadsheets/d/1CLg5-jaE4ta0-u4oE1qbBplQ5Mf3Oj9ONFgL0zJ7Ol4/edit#gid=0"",""'Game 7'!S25""),IF(IMPORTRANGE(""https://docs.google.com/spreadsheets/d/1CLg5-jaE4ta0-u4oE1qbBplQ5Mf3O"&amp;"j9ONFgL0zJ7Ol4/edit#gid=0"",""'Game 7'!J25"")=IMPORTRANGE(""https://docs.google.com/spreadsheets/d/1CLg5-jaE4ta0-u4oE1qbBplQ5Mf3Oj9ONFgL0zJ7Ol4/edit#gid=0"",""'Game 7'!S25""),IMPORTRANGE(""https://docs.google.com/spreadsheets/d/1CLg5-jaE4ta0-u4oE1qbBplQ5M"&amp;"f3Oj9ONFgL0zJ7Ol4/edit#gid=0"",""'Game 7'!S25"")+50,IMPORTRANGE(""https://docs.google.com/spreadsheets/d/1CLg5-jaE4ta0-u4oE1qbBplQ5Mf3Oj9ONFgL0zJ7Ol4/edit#gid=0"",""'Game 7'!S25"")+100)))"),36.0)</f>
        <v>36</v>
      </c>
      <c r="L20" s="5">
        <f>IFERROR(__xludf.DUMMYFUNCTION("IF($A20=IMPORTRANGE(""https://docs.google.com/spreadsheets/d/1CeexgK4KxWj3k_7nql_k8-RPxXMwTJyB4Q3vAASeDlA/edit#gid=0"",""'Game 7'!B1""),IF(IMPORTRANGE(""https://docs.google.com/spreadsheets/d/1CeexgK4KxWj3k_7nql_k8-RPxXMwTJyB4Q3vAASeDlA/edit#gid=0"",""'Ga"&amp;"me 7'!J25"")&gt;IMPORTRANGE(""https://docs.google.com/spreadsheets/d/1CeexgK4KxWj3k_7nql_k8-RPxXMwTJyB4Q3vAASeDlA/edit#gid=0"",""'Game 7'!S25""),IMPORTRANGE(""https://docs.google.com/spreadsheets/d/1CeexgK4KxWj3k_7nql_k8-RPxXMwTJyB4Q3vAASeDlA/edit#gid=0"","""&amp;"'Game 7'!J25"")+100,IF(IMPORTRANGE(""https://docs.google.com/spreadsheets/d/1CeexgK4KxWj3k_7nql_k8-RPxXMwTJyB4Q3vAASeDlA/edit#gid=0"",""'Game 7'!J25"")=IMPORTRANGE(""https://docs.google.com/spreadsheets/d/1CeexgK4KxWj3k_7nql_k8-RPxXMwTJyB4Q3vAASeDlA/edit#"&amp;"gid=0"",""'Game 7'!S25""),IMPORTRANGE(""https://docs.google.com/spreadsheets/d/1CeexgK4KxWj3k_7nql_k8-RPxXMwTJyB4Q3vAASeDlA/edit#gid=0"",""'Game 7'!J25"")+50,IMPORTRANGE(""https://docs.google.com/spreadsheets/d/1CeexgK4KxWj3k_7nql_k8-RPxXMwTJyB4Q3vAASeDlA"&amp;"/edit#gid=0"",""'Game 7'!J25""))),IF(IMPORTRANGE(""https://docs.google.com/spreadsheets/d/1CeexgK4KxWj3k_7nql_k8-RPxXMwTJyB4Q3vAASeDlA/edit#gid=0"",""'Game 7'!J25"")&gt;IMPORTRANGE(""https://docs.google.com/spreadsheets/d/1CeexgK4KxWj3k_7nql_k8-RPxXMwTJyB4Q3"&amp;"vAASeDlA/edit#gid=0"",""'Game 7'!S25""),IMPORTRANGE(""https://docs.google.com/spreadsheets/d/1CeexgK4KxWj3k_7nql_k8-RPxXMwTJyB4Q3vAASeDlA/edit#gid=0"",""'Game 7'!S25""),IF(IMPORTRANGE(""https://docs.google.com/spreadsheets/d/1CeexgK4KxWj3k_7nql_k8-RPxXMwT"&amp;"JyB4Q3vAASeDlA/edit#gid=0"",""'Game 7'!J25"")=IMPORTRANGE(""https://docs.google.com/spreadsheets/d/1CeexgK4KxWj3k_7nql_k8-RPxXMwTJyB4Q3vAASeDlA/edit#gid=0"",""'Game 7'!S25""),IMPORTRANGE(""https://docs.google.com/spreadsheets/d/1CeexgK4KxWj3k_7nql_k8-RPxX"&amp;"MwTJyB4Q3vAASeDlA/edit#gid=0"",""'Game 7'!S25"")+50,IMPORTRANGE(""https://docs.google.com/spreadsheets/d/1CeexgK4KxWj3k_7nql_k8-RPxXMwTJyB4Q3vAASeDlA/edit#gid=0"",""'Game 7'!S25"")+100)))"),20.0)</f>
        <v>20</v>
      </c>
      <c r="M20" s="5">
        <f>IFERROR(__xludf.DUMMYFUNCTION("IF($A20=IMPORTRANGE(""https://docs.google.com/spreadsheets/d/1MNwUNMjcwK6bEgCXwB73jpbK5gJAXS8ZMpbEMLJEP3E/edit#gid=0"",""'Game 7'!B1""),IF(IMPORTRANGE(""https://docs.google.com/spreadsheets/d/1MNwUNMjcwK6bEgCXwB73jpbK5gJAXS8ZMpbEMLJEP3E/edit#gid=0"",""'Ga"&amp;"me 7'!J25"")&gt;IMPORTRANGE(""https://docs.google.com/spreadsheets/d/1MNwUNMjcwK6bEgCXwB73jpbK5gJAXS8ZMpbEMLJEP3E/edit#gid=0"",""'Game 7'!S25""),IMPORTRANGE(""https://docs.google.com/spreadsheets/d/1MNwUNMjcwK6bEgCXwB73jpbK5gJAXS8ZMpbEMLJEP3E/edit#gid=0"","""&amp;"'Game 7'!J25"")+100,IF(IMPORTRANGE(""https://docs.google.com/spreadsheets/d/1MNwUNMjcwK6bEgCXwB73jpbK5gJAXS8ZMpbEMLJEP3E/edit#gid=0"",""'Game 7'!J25"")=IMPORTRANGE(""https://docs.google.com/spreadsheets/d/1MNwUNMjcwK6bEgCXwB73jpbK5gJAXS8ZMpbEMLJEP3E/edit#"&amp;"gid=0"",""'Game 7'!S25""),IMPORTRANGE(""https://docs.google.com/spreadsheets/d/1MNwUNMjcwK6bEgCXwB73jpbK5gJAXS8ZMpbEMLJEP3E/edit#gid=0"",""'Game 7'!J25"")+50,IMPORTRANGE(""https://docs.google.com/spreadsheets/d/1MNwUNMjcwK6bEgCXwB73jpbK5gJAXS8ZMpbEMLJEP3E"&amp;"/edit#gid=0"",""'Game 7'!J25""))),IF(IMPORTRANGE(""https://docs.google.com/spreadsheets/d/1MNwUNMjcwK6bEgCXwB73jpbK5gJAXS8ZMpbEMLJEP3E/edit#gid=0"",""'Game 7'!J25"")&gt;IMPORTRANGE(""https://docs.google.com/spreadsheets/d/1MNwUNMjcwK6bEgCXwB73jpbK5gJAXS8ZMpb"&amp;"EMLJEP3E/edit#gid=0"",""'Game 7'!S25""),IMPORTRANGE(""https://docs.google.com/spreadsheets/d/1MNwUNMjcwK6bEgCXwB73jpbK5gJAXS8ZMpbEMLJEP3E/edit#gid=0"",""'Game 7'!S25""),IF(IMPORTRANGE(""https://docs.google.com/spreadsheets/d/1MNwUNMjcwK6bEgCXwB73jpbK5gJAX"&amp;"S8ZMpbEMLJEP3E/edit#gid=0"",""'Game 7'!J25"")=IMPORTRANGE(""https://docs.google.com/spreadsheets/d/1MNwUNMjcwK6bEgCXwB73jpbK5gJAXS8ZMpbEMLJEP3E/edit#gid=0"",""'Game 7'!S25""),IMPORTRANGE(""https://docs.google.com/spreadsheets/d/1MNwUNMjcwK6bEgCXwB73jpbK5g"&amp;"JAXS8ZMpbEMLJEP3E/edit#gid=0"",""'Game 7'!S25"")+50,IMPORTRANGE(""https://docs.google.com/spreadsheets/d/1MNwUNMjcwK6bEgCXwB73jpbK5gJAXS8ZMpbEMLJEP3E/edit#gid=0"",""'Game 7'!S25"")+100)))"),134.0)</f>
        <v>134</v>
      </c>
      <c r="N20" s="5">
        <f>IFERROR(__xludf.DUMMYFUNCTION("IF($A20=IMPORTRANGE(""https://docs.google.com/spreadsheets/d/1UrzyxmT40kDZwVrLMf1yyXfP-pyczRAw9Y8Rw-uXG3c/edit#gid=0"",""'Game 2'!B1""),IF(IMPORTRANGE(""https://docs.google.com/spreadsheets/d/1UrzyxmT40kDZwVrLMf1yyXfP-pyczRAw9Y8Rw-uXG3c/edit#gid=0"",""'Ga"&amp;"me 2'!J25"")&gt;IMPORTRANGE(""https://docs.google.com/spreadsheets/d/1UrzyxmT40kDZwVrLMf1yyXfP-pyczRAw9Y8Rw-uXG3c/edit#gid=0"",""'Game 2'!S25""),IMPORTRANGE(""https://docs.google.com/spreadsheets/d/1UrzyxmT40kDZwVrLMf1yyXfP-pyczRAw9Y8Rw-uXG3c/edit#gid=0"","""&amp;"'Game 2'!J25"")+100,IF(IMPORTRANGE(""https://docs.google.com/spreadsheets/d/1UrzyxmT40kDZwVrLMf1yyXfP-pyczRAw9Y8Rw-uXG3c/edit#gid=0"",""'Game 2'!J25"")=IMPORTRANGE(""https://docs.google.com/spreadsheets/d/1UrzyxmT40kDZwVrLMf1yyXfP-pyczRAw9Y8Rw-uXG3c/edit#"&amp;"gid=0"",""'Game 2'!S25""),IMPORTRANGE(""https://docs.google.com/spreadsheets/d/1UrzyxmT40kDZwVrLMf1yyXfP-pyczRAw9Y8Rw-uXG3c/edit#gid=0"",""'Game 2'!J25"")+50,IMPORTRANGE(""https://docs.google.com/spreadsheets/d/1UrzyxmT40kDZwVrLMf1yyXfP-pyczRAw9Y8Rw-uXG3c"&amp;"/edit#gid=0"",""'Game 2'!J25""))),IF(IMPORTRANGE(""https://docs.google.com/spreadsheets/d/1UrzyxmT40kDZwVrLMf1yyXfP-pyczRAw9Y8Rw-uXG3c/edit#gid=0"",""'Game 2'!J25"")&gt;IMPORTRANGE(""https://docs.google.com/spreadsheets/d/1UrzyxmT40kDZwVrLMf1yyXfP-pyczRAw9Y8"&amp;"Rw-uXG3c/edit#gid=0"",""'Game 2'!S25""),IMPORTRANGE(""https://docs.google.com/spreadsheets/d/1UrzyxmT40kDZwVrLMf1yyXfP-pyczRAw9Y8Rw-uXG3c/edit#gid=0"",""'Game 2'!S25""),IF(IMPORTRANGE(""https://docs.google.com/spreadsheets/d/1UrzyxmT40kDZwVrLMf1yyXfP-pycz"&amp;"RAw9Y8Rw-uXG3c/edit#gid=0"",""'Game 2'!J25"")=IMPORTRANGE(""https://docs.google.com/spreadsheets/d/1UrzyxmT40kDZwVrLMf1yyXfP-pyczRAw9Y8Rw-uXG3c/edit#gid=0"",""'Game 2'!S25""),IMPORTRANGE(""https://docs.google.com/spreadsheets/d/1UrzyxmT40kDZwVrLMf1yyXfP-p"&amp;"yczRAw9Y8Rw-uXG3c/edit#gid=0"",""'Game 2'!S25"")+50,IMPORTRANGE(""https://docs.google.com/spreadsheets/d/1UrzyxmT40kDZwVrLMf1yyXfP-pyczRAw9Y8Rw-uXG3c/edit#gid=0"",""'Game 2'!S25"")+100)))"),18.0)</f>
        <v>18</v>
      </c>
      <c r="O20" s="5">
        <f>IFERROR(__xludf.DUMMYFUNCTION("IF($A20=IMPORTRANGE(""https://docs.google.com/spreadsheets/d/1iyMhSYWifw-KGFtyeBpNxVZr4BhcV9hVZuShgJ9Ia0E/edit#gid=0"",""'Game 7'!B1""),IF(IMPORTRANGE(""https://docs.google.com/spreadsheets/d/1iyMhSYWifw-KGFtyeBpNxVZr4BhcV9hVZuShgJ9Ia0E/edit#gid=0"",""'Ga"&amp;"me 7'!J25"")&gt;IMPORTRANGE(""https://docs.google.com/spreadsheets/d/1iyMhSYWifw-KGFtyeBpNxVZr4BhcV9hVZuShgJ9Ia0E/edit#gid=0"",""'Game 7'!S25""),IMPORTRANGE(""https://docs.google.com/spreadsheets/d/1iyMhSYWifw-KGFtyeBpNxVZr4BhcV9hVZuShgJ9Ia0E/edit#gid=0"","""&amp;"'Game 7'!J25"")+100,IF(IMPORTRANGE(""https://docs.google.com/spreadsheets/d/1iyMhSYWifw-KGFtyeBpNxVZr4BhcV9hVZuShgJ9Ia0E/edit#gid=0"",""'Game 7'!J25"")=IMPORTRANGE(""https://docs.google.com/spreadsheets/d/1iyMhSYWifw-KGFtyeBpNxVZr4BhcV9hVZuShgJ9Ia0E/edit#"&amp;"gid=0"",""'Game 7'!S25""),IMPORTRANGE(""https://docs.google.com/spreadsheets/d/1iyMhSYWifw-KGFtyeBpNxVZr4BhcV9hVZuShgJ9Ia0E/edit#gid=0"",""'Game 7'!J25"")+50,IMPORTRANGE(""https://docs.google.com/spreadsheets/d/1iyMhSYWifw-KGFtyeBpNxVZr4BhcV9hVZuShgJ9Ia0E"&amp;"/edit#gid=0"",""'Game 7'!J25""))),IF(IMPORTRANGE(""https://docs.google.com/spreadsheets/d/1iyMhSYWifw-KGFtyeBpNxVZr4BhcV9hVZuShgJ9Ia0E/edit#gid=0"",""'Game 7'!J25"")&gt;IMPORTRANGE(""https://docs.google.com/spreadsheets/d/1iyMhSYWifw-KGFtyeBpNxVZr4BhcV9hVZuS"&amp;"hgJ9Ia0E/edit#gid=0"",""'Game 7'!S25""),IMPORTRANGE(""https://docs.google.com/spreadsheets/d/1iyMhSYWifw-KGFtyeBpNxVZr4BhcV9hVZuShgJ9Ia0E/edit#gid=0"",""'Game 7'!S25""),IF(IMPORTRANGE(""https://docs.google.com/spreadsheets/d/1iyMhSYWifw-KGFtyeBpNxVZr4BhcV"&amp;"9hVZuShgJ9Ia0E/edit#gid=0"",""'Game 7'!J25"")=IMPORTRANGE(""https://docs.google.com/spreadsheets/d/1iyMhSYWifw-KGFtyeBpNxVZr4BhcV9hVZuShgJ9Ia0E/edit#gid=0"",""'Game 7'!S25""),IMPORTRANGE(""https://docs.google.com/spreadsheets/d/1iyMhSYWifw-KGFtyeBpNxVZr4B"&amp;"hcV9hVZuShgJ9Ia0E/edit#gid=0"",""'Game 7'!S25"")+50,IMPORTRANGE(""https://docs.google.com/spreadsheets/d/1iyMhSYWifw-KGFtyeBpNxVZr4BhcV9hVZuShgJ9Ia0E/edit#gid=0"",""'Game 7'!S25"")+100)))"),134.0)</f>
        <v>134</v>
      </c>
      <c r="P20" s="5">
        <f>IFERROR(__xludf.DUMMYFUNCTION("IF($A20=IMPORTRANGE(""https://docs.google.com/spreadsheets/d/1sSbIK-vvHsSY0LghLJ9gcnW8Hec_ITI2tFmpeqI999A/edit#gid=0"",""'Game 5'!B1""),IF(IMPORTRANGE(""https://docs.google.com/spreadsheets/d/1sSbIK-vvHsSY0LghLJ9gcnW8Hec_ITI2tFmpeqI999A/edit#gid=0"",""'Ga"&amp;"me 5'!J25"")&gt;IMPORTRANGE(""https://docs.google.com/spreadsheets/d/1sSbIK-vvHsSY0LghLJ9gcnW8Hec_ITI2tFmpeqI999A/edit#gid=0"",""'Game 5'!S25""),IMPORTRANGE(""https://docs.google.com/spreadsheets/d/1sSbIK-vvHsSY0LghLJ9gcnW8Hec_ITI2tFmpeqI999A/edit#gid=0"","""&amp;"'Game 5'!J25"")+100,IF(IMPORTRANGE(""https://docs.google.com/spreadsheets/d/1sSbIK-vvHsSY0LghLJ9gcnW8Hec_ITI2tFmpeqI999A/edit#gid=0"",""'Game 5'!J25"")=IMPORTRANGE(""https://docs.google.com/spreadsheets/d/1sSbIK-vvHsSY0LghLJ9gcnW8Hec_ITI2tFmpeqI999A/edit#"&amp;"gid=0"",""'Game 5'!S25""),IMPORTRANGE(""https://docs.google.com/spreadsheets/d/1sSbIK-vvHsSY0LghLJ9gcnW8Hec_ITI2tFmpeqI999A/edit#gid=0"",""'Game 5'!J25"")+50,IMPORTRANGE(""https://docs.google.com/spreadsheets/d/1sSbIK-vvHsSY0LghLJ9gcnW8Hec_ITI2tFmpeqI999A"&amp;"/edit#gid=0"",""'Game 5'!J25""))),IF(IMPORTRANGE(""https://docs.google.com/spreadsheets/d/1sSbIK-vvHsSY0LghLJ9gcnW8Hec_ITI2tFmpeqI999A/edit#gid=0"",""'Game 5'!J25"")&gt;IMPORTRANGE(""https://docs.google.com/spreadsheets/d/1sSbIK-vvHsSY0LghLJ9gcnW8Hec_ITI2tFm"&amp;"peqI999A/edit#gid=0"",""'Game 5'!S25""),IMPORTRANGE(""https://docs.google.com/spreadsheets/d/1sSbIK-vvHsSY0LghLJ9gcnW8Hec_ITI2tFmpeqI999A/edit#gid=0"",""'Game 5'!S25""),IF(IMPORTRANGE(""https://docs.google.com/spreadsheets/d/1sSbIK-vvHsSY0LghLJ9gcnW8Hec_I"&amp;"TI2tFmpeqI999A/edit#gid=0"",""'Game 5'!J25"")=IMPORTRANGE(""https://docs.google.com/spreadsheets/d/1sSbIK-vvHsSY0LghLJ9gcnW8Hec_ITI2tFmpeqI999A/edit#gid=0"",""'Game 5'!S25""),IMPORTRANGE(""https://docs.google.com/spreadsheets/d/1sSbIK-vvHsSY0LghLJ9gcnW8He"&amp;"c_ITI2tFmpeqI999A/edit#gid=0"",""'Game 5'!S25"")+50,IMPORTRANGE(""https://docs.google.com/spreadsheets/d/1sSbIK-vvHsSY0LghLJ9gcnW8Hec_ITI2tFmpeqI999A/edit#gid=0"",""'Game 5'!S25"")+100)))"),140.0)</f>
        <v>140</v>
      </c>
      <c r="Q20" s="35">
        <f t="shared" si="1"/>
        <v>996</v>
      </c>
      <c r="R20" s="35">
        <f t="shared" si="2"/>
        <v>17</v>
      </c>
    </row>
    <row r="21">
      <c r="A21" s="32" t="s">
        <v>251</v>
      </c>
      <c r="B21" s="36">
        <v>20.0</v>
      </c>
      <c r="C21" s="36">
        <v>164.0</v>
      </c>
      <c r="D21" s="36">
        <v>12.0</v>
      </c>
      <c r="E21" s="36">
        <v>20.0</v>
      </c>
      <c r="F21" s="36">
        <v>166.0</v>
      </c>
      <c r="G21" s="37">
        <f>IFERROR(__xludf.DUMMYFUNCTION("IF($A21=IMPORTRANGE(""https://docs.google.com/spreadsheets/d/16J5ie7OD1E99qGO9lMDm8w5Yls-v190B7DTolJ5TmFc/edit#gid=1981724582"",""'Game 6'!B1""),IF(IMPORTRANGE(""https://docs.google.com/spreadsheets/d/16J5ie7OD1E99qGO9lMDm8w5Yls-v190B7DTolJ5TmFc/edit#gid="&amp;"1981724582"",""'Game 6'!J25"")&gt;IMPORTRANGE(""https://docs.google.com/spreadsheets/d/16J5ie7OD1E99qGO9lMDm8w5Yls-v190B7DTolJ5TmFc/edit#gid=1981724582"",""'Game 6'!S25""),IMPORTRANGE(""https://docs.google.com/spreadsheets/d/16J5ie7OD1E99qGO9lMDm8w5Yls-v190B"&amp;"7DTolJ5TmFc/edit#gid=1981724582"",""'Game 6'!J25"")+100,IF(IMPORTRANGE(""https://docs.google.com/spreadsheets/d/16J5ie7OD1E99qGO9lMDm8w5Yls-v190B7DTolJ5TmFc/edit#gid=1981724582"",""'Game 6'!J25"")=IMPORTRANGE(""https://docs.google.com/spreadsheets/d/16J5i"&amp;"e7OD1E99qGO9lMDm8w5Yls-v190B7DTolJ5TmFc/edit#gid=1981724582"",""'Game 6'!S25""),IMPORTRANGE(""https://docs.google.com/spreadsheets/d/16J5ie7OD1E99qGO9lMDm8w5Yls-v190B7DTolJ5TmFc/edit#gid=1981724582"",""'Game 6'!J25"")+50,IMPORTRANGE(""https://docs.google."&amp;"com/spreadsheets/d/16J5ie7OD1E99qGO9lMDm8w5Yls-v190B7DTolJ5TmFc/edit#gid=1981724582"",""'Game 6'!J25""))),IF(IMPORTRANGE(""https://docs.google.com/spreadsheets/d/16J5ie7OD1E99qGO9lMDm8w5Yls-v190B7DTolJ5TmFc/edit#gid=1981724582"",""'Game 6'!J25"")&gt;IMPORTRA"&amp;"NGE(""https://docs.google.com/spreadsheets/d/16J5ie7OD1E99qGO9lMDm8w5Yls-v190B7DTolJ5TmFc/edit#gid=1981724582"",""'Game 6'!S25""),IMPORTRANGE(""https://docs.google.com/spreadsheets/d/16J5ie7OD1E99qGO9lMDm8w5Yls-v190B7DTolJ5TmFc/edit#gid=1981724582"",""'Ga"&amp;"me 6'!S25""),IF(IMPORTRANGE(""https://docs.google.com/spreadsheets/d/16J5ie7OD1E99qGO9lMDm8w5Yls-v190B7DTolJ5TmFc/edit#gid=1981724582"",""'Game 6'!J25"")=IMPORTRANGE(""https://docs.google.com/spreadsheets/d/16J5ie7OD1E99qGO9lMDm8w5Yls-v190B7DTolJ5TmFc/edi"&amp;"t#gid=1981724582"",""'Game 6'!S25""),IMPORTRANGE(""https://docs.google.com/spreadsheets/d/16J5ie7OD1E99qGO9lMDm8w5Yls-v190B7DTolJ5TmFc/edit#gid=1981724582"",""'Game 6'!S25"")+50,IMPORTRANGE(""https://docs.google.com/spreadsheets/d/16J5ie7OD1E99qGO9lMDm8w5"&amp;"Yls-v190B7DTolJ5TmFc/edit#gid=1981724582"",""'Game 6'!S25"")+100)))"),44.0)</f>
        <v>44</v>
      </c>
      <c r="H21" s="36">
        <v>40.0</v>
      </c>
      <c r="I21" s="7">
        <f>IFERROR(__xludf.DUMMYFUNCTION("IF($A21=IMPORTRANGE(""https://docs.google.com/spreadsheets/d/1CTYfdyRk_RFGM3I2iN9bKeD9zUPzEm1ajzml6VgwfIU/edit#gid=0"",""'Game 11'!B1""),IF(IMPORTRANGE(""https://docs.google.com/spreadsheets/d/1CTYfdyRk_RFGM3I2iN9bKeD9zUPzEm1ajzml6VgwfIU/edit#gid=0"",""'G"&amp;"ame 11'!J25"")&gt;IMPORTRANGE(""https://docs.google.com/spreadsheets/d/1CTYfdyRk_RFGM3I2iN9bKeD9zUPzEm1ajzml6VgwfIU/edit#gid=0"",""'Game 11'!S25""),IMPORTRANGE(""https://docs.google.com/spreadsheets/d/1CTYfdyRk_RFGM3I2iN9bKeD9zUPzEm1ajzml6VgwfIU/edit#gid=0"""&amp;",""'Game 11'!J25"")+100,IF(IMPORTRANGE(""https://docs.google.com/spreadsheets/d/1CTYfdyRk_RFGM3I2iN9bKeD9zUPzEm1ajzml6VgwfIU/edit#gid=0"",""'Game 11'!J25"")=IMPORTRANGE(""https://docs.google.com/spreadsheets/d/1CTYfdyRk_RFGM3I2iN9bKeD9zUPzEm1ajzml6VgwfIU/"&amp;"edit#gid=0"",""'Game 11'!S25""),IMPORTRANGE(""https://docs.google.com/spreadsheets/d/1CTYfdyRk_RFGM3I2iN9bKeD9zUPzEm1ajzml6VgwfIU/edit#gid=0"",""'Game 11'!J25"")+50,IMPORTRANGE(""https://docs.google.com/spreadsheets/d/1CTYfdyRk_RFGM3I2iN9bKeD9zUPzEm1ajzml"&amp;"6VgwfIU/edit#gid=0"",""'Game 11'!J25""))),IF(IMPORTRANGE(""https://docs.google.com/spreadsheets/d/1CTYfdyRk_RFGM3I2iN9bKeD9zUPzEm1ajzml6VgwfIU/edit#gid=0"",""'Game 11'!J25"")&gt;IMPORTRANGE(""https://docs.google.com/spreadsheets/d/1CTYfdyRk_RFGM3I2iN9bKeD9zU"&amp;"PzEm1ajzml6VgwfIU/edit#gid=0"",""'Game 11'!S25""),IMPORTRANGE(""https://docs.google.com/spreadsheets/d/1CTYfdyRk_RFGM3I2iN9bKeD9zUPzEm1ajzml6VgwfIU/edit#gid=0"",""'Game 11'!S25""),IF(IMPORTRANGE(""https://docs.google.com/spreadsheets/d/1CTYfdyRk_RFGM3I2iN"&amp;"9bKeD9zUPzEm1ajzml6VgwfIU/edit#gid=0"",""'Game 11'!J25"")=IMPORTRANGE(""https://docs.google.com/spreadsheets/d/1CTYfdyRk_RFGM3I2iN9bKeD9zUPzEm1ajzml6VgwfIU/edit#gid=0"",""'Game 11'!S25""),IMPORTRANGE(""https://docs.google.com/spreadsheets/d/1CTYfdyRk_RFGM"&amp;"3I2iN9bKeD9zUPzEm1ajzml6VgwfIU/edit#gid=0"",""'Game 11'!S25"")+50,IMPORTRANGE(""https://docs.google.com/spreadsheets/d/1CTYfdyRk_RFGM3I2iN9bKeD9zUPzEm1ajzml6VgwfIU/edit#gid=0"",""'Game 11'!S25"")+100)))"),144.0)</f>
        <v>144</v>
      </c>
      <c r="J21" s="7">
        <f>IFERROR(__xludf.DUMMYFUNCTION("IF($A21=IMPORTRANGE(""https://docs.google.com/spreadsheets/d/11NFkzOdQyW-OtxSDuGslNCgNjx7HUb2FU7KnlNnPMgY/edit#gid=0"",""'Game 5'!B1""),IF(IMPORTRANGE(""https://docs.google.com/spreadsheets/d/11NFkzOdQyW-OtxSDuGslNCgNjx7HUb2FU7KnlNnPMgY/edit#gid=0"",""'Ga"&amp;"me 5'!J25"")&gt;IMPORTRANGE(""https://docs.google.com/spreadsheets/d/11NFkzOdQyW-OtxSDuGslNCgNjx7HUb2FU7KnlNnPMgY/edit#gid=0"",""'Game 5'!S25""),IMPORTRANGE(""https://docs.google.com/spreadsheets/d/11NFkzOdQyW-OtxSDuGslNCgNjx7HUb2FU7KnlNnPMgY/edit#gid=0"","""&amp;"'Game 5'!J25"")+100,IF(IMPORTRANGE(""https://docs.google.com/spreadsheets/d/11NFkzOdQyW-OtxSDuGslNCgNjx7HUb2FU7KnlNnPMgY/edit#gid=0"",""'Game 5'!J25"")=IMPORTRANGE(""https://docs.google.com/spreadsheets/d/11NFkzOdQyW-OtxSDuGslNCgNjx7HUb2FU7KnlNnPMgY/edit#"&amp;"gid=0"",""'Game 5'!S25""),IMPORTRANGE(""https://docs.google.com/spreadsheets/d/11NFkzOdQyW-OtxSDuGslNCgNjx7HUb2FU7KnlNnPMgY/edit#gid=0"",""'Game 5'!J25"")+50,IMPORTRANGE(""https://docs.google.com/spreadsheets/d/11NFkzOdQyW-OtxSDuGslNCgNjx7HUb2FU7KnlNnPMgY"&amp;"/edit#gid=0"",""'Game 5'!J25""))),IF(IMPORTRANGE(""https://docs.google.com/spreadsheets/d/11NFkzOdQyW-OtxSDuGslNCgNjx7HUb2FU7KnlNnPMgY/edit#gid=0"",""'Game 5'!J25"")&gt;IMPORTRANGE(""https://docs.google.com/spreadsheets/d/11NFkzOdQyW-OtxSDuGslNCgNjx7HUb2FU7K"&amp;"nlNnPMgY/edit#gid=0"",""'Game 5'!S25""),IMPORTRANGE(""https://docs.google.com/spreadsheets/d/11NFkzOdQyW-OtxSDuGslNCgNjx7HUb2FU7KnlNnPMgY/edit#gid=0"",""'Game 5'!S25""),IF(IMPORTRANGE(""https://docs.google.com/spreadsheets/d/11NFkzOdQyW-OtxSDuGslNCgNjx7HU"&amp;"b2FU7KnlNnPMgY/edit#gid=0"",""'Game 5'!J25"")=IMPORTRANGE(""https://docs.google.com/spreadsheets/d/11NFkzOdQyW-OtxSDuGslNCgNjx7HUb2FU7KnlNnPMgY/edit#gid=0"",""'Game 5'!S25""),IMPORTRANGE(""https://docs.google.com/spreadsheets/d/11NFkzOdQyW-OtxSDuGslNCgNjx"&amp;"7HUb2FU7KnlNnPMgY/edit#gid=0"",""'Game 5'!S25"")+50,IMPORTRANGE(""https://docs.google.com/spreadsheets/d/11NFkzOdQyW-OtxSDuGslNCgNjx7HUb2FU7KnlNnPMgY/edit#gid=0"",""'Game 5'!S25"")+100)))"),44.0)</f>
        <v>44</v>
      </c>
      <c r="K21" s="7">
        <f>IFERROR(__xludf.DUMMYFUNCTION("IF($A21=IMPORTRANGE(""https://docs.google.com/spreadsheets/d/1CLg5-jaE4ta0-u4oE1qbBplQ5Mf3Oj9ONFgL0zJ7Ol4/edit#gid=0"",""'Game 13'!B1""),IF(IMPORTRANGE(""https://docs.google.com/spreadsheets/d/1CLg5-jaE4ta0-u4oE1qbBplQ5Mf3Oj9ONFgL0zJ7Ol4/edit#gid=0"",""'G"&amp;"ame 13'!J25"")&gt;IMPORTRANGE(""https://docs.google.com/spreadsheets/d/1CLg5-jaE4ta0-u4oE1qbBplQ5Mf3Oj9ONFgL0zJ7Ol4/edit#gid=0"",""'Game 13'!S25""),IMPORTRANGE(""https://docs.google.com/spreadsheets/d/1CLg5-jaE4ta0-u4oE1qbBplQ5Mf3Oj9ONFgL0zJ7Ol4/edit#gid=0"""&amp;",""'Game 13'!J25"")+100,IF(IMPORTRANGE(""https://docs.google.com/spreadsheets/d/1CLg5-jaE4ta0-u4oE1qbBplQ5Mf3Oj9ONFgL0zJ7Ol4/edit#gid=0"",""'Game 13'!J25"")=IMPORTRANGE(""https://docs.google.com/spreadsheets/d/1CLg5-jaE4ta0-u4oE1qbBplQ5Mf3Oj9ONFgL0zJ7Ol4/"&amp;"edit#gid=0"",""'Game 13'!S25""),IMPORTRANGE(""https://docs.google.com/spreadsheets/d/1CLg5-jaE4ta0-u4oE1qbBplQ5Mf3Oj9ONFgL0zJ7Ol4/edit#gid=0"",""'Game 13'!J25"")+50,IMPORTRANGE(""https://docs.google.com/spreadsheets/d/1CLg5-jaE4ta0-u4oE1qbBplQ5Mf3Oj9ONFgL"&amp;"0zJ7Ol4/edit#gid=0"",""'Game 13'!J25""))),IF(IMPORTRANGE(""https://docs.google.com/spreadsheets/d/1CLg5-jaE4ta0-u4oE1qbBplQ5Mf3Oj9ONFgL0zJ7Ol4/edit#gid=0"",""'Game 13'!J25"")&gt;IMPORTRANGE(""https://docs.google.com/spreadsheets/d/1CLg5-jaE4ta0-u4oE1qbBplQ5M"&amp;"f3Oj9ONFgL0zJ7Ol4/edit#gid=0"",""'Game 13'!S25""),IMPORTRANGE(""https://docs.google.com/spreadsheets/d/1CLg5-jaE4ta0-u4oE1qbBplQ5Mf3Oj9ONFgL0zJ7Ol4/edit#gid=0"",""'Game 13'!S25""),IF(IMPORTRANGE(""https://docs.google.com/spreadsheets/d/1CLg5-jaE4ta0-u4oE1"&amp;"qbBplQ5Mf3Oj9ONFgL0zJ7Ol4/edit#gid=0"",""'Game 13'!J25"")=IMPORTRANGE(""https://docs.google.com/spreadsheets/d/1CLg5-jaE4ta0-u4oE1qbBplQ5Mf3Oj9ONFgL0zJ7Ol4/edit#gid=0"",""'Game 13'!S25""),IMPORTRANGE(""https://docs.google.com/spreadsheets/d/1CLg5-jaE4ta0-"&amp;"u4oE1qbBplQ5Mf3Oj9ONFgL0zJ7Ol4/edit#gid=0"",""'Game 13'!S25"")+50,IMPORTRANGE(""https://docs.google.com/spreadsheets/d/1CLg5-jaE4ta0-u4oE1qbBplQ5Mf3Oj9ONFgL0zJ7Ol4/edit#gid=0"",""'Game 13'!S25"")+100)))"),30.0)</f>
        <v>30</v>
      </c>
      <c r="L21" s="7">
        <f>IFERROR(__xludf.DUMMYFUNCTION("IF($A21=IMPORTRANGE(""https://docs.google.com/spreadsheets/d/1CeexgK4KxWj3k_7nql_k8-RPxXMwTJyB4Q3vAASeDlA/edit#gid=0"",""'Game 6'!B1""),IF(IMPORTRANGE(""https://docs.google.com/spreadsheets/d/1CeexgK4KxWj3k_7nql_k8-RPxXMwTJyB4Q3vAASeDlA/edit#gid=0"",""'Ga"&amp;"me 6'!J25"")&gt;IMPORTRANGE(""https://docs.google.com/spreadsheets/d/1CeexgK4KxWj3k_7nql_k8-RPxXMwTJyB4Q3vAASeDlA/edit#gid=0"",""'Game 6'!S25""),IMPORTRANGE(""https://docs.google.com/spreadsheets/d/1CeexgK4KxWj3k_7nql_k8-RPxXMwTJyB4Q3vAASeDlA/edit#gid=0"","""&amp;"'Game 6'!J25"")+100,IF(IMPORTRANGE(""https://docs.google.com/spreadsheets/d/1CeexgK4KxWj3k_7nql_k8-RPxXMwTJyB4Q3vAASeDlA/edit#gid=0"",""'Game 6'!J25"")=IMPORTRANGE(""https://docs.google.com/spreadsheets/d/1CeexgK4KxWj3k_7nql_k8-RPxXMwTJyB4Q3vAASeDlA/edit#"&amp;"gid=0"",""'Game 6'!S25""),IMPORTRANGE(""https://docs.google.com/spreadsheets/d/1CeexgK4KxWj3k_7nql_k8-RPxXMwTJyB4Q3vAASeDlA/edit#gid=0"",""'Game 6'!J25"")+50,IMPORTRANGE(""https://docs.google.com/spreadsheets/d/1CeexgK4KxWj3k_7nql_k8-RPxXMwTJyB4Q3vAASeDlA"&amp;"/edit#gid=0"",""'Game 6'!J25""))),IF(IMPORTRANGE(""https://docs.google.com/spreadsheets/d/1CeexgK4KxWj3k_7nql_k8-RPxXMwTJyB4Q3vAASeDlA/edit#gid=0"",""'Game 6'!J25"")&gt;IMPORTRANGE(""https://docs.google.com/spreadsheets/d/1CeexgK4KxWj3k_7nql_k8-RPxXMwTJyB4Q3"&amp;"vAASeDlA/edit#gid=0"",""'Game 6'!S25""),IMPORTRANGE(""https://docs.google.com/spreadsheets/d/1CeexgK4KxWj3k_7nql_k8-RPxXMwTJyB4Q3vAASeDlA/edit#gid=0"",""'Game 6'!S25""),IF(IMPORTRANGE(""https://docs.google.com/spreadsheets/d/1CeexgK4KxWj3k_7nql_k8-RPxXMwT"&amp;"JyB4Q3vAASeDlA/edit#gid=0"",""'Game 6'!J25"")=IMPORTRANGE(""https://docs.google.com/spreadsheets/d/1CeexgK4KxWj3k_7nql_k8-RPxXMwTJyB4Q3vAASeDlA/edit#gid=0"",""'Game 6'!S25""),IMPORTRANGE(""https://docs.google.com/spreadsheets/d/1CeexgK4KxWj3k_7nql_k8-RPxX"&amp;"MwTJyB4Q3vAASeDlA/edit#gid=0"",""'Game 6'!S25"")+50,IMPORTRANGE(""https://docs.google.com/spreadsheets/d/1CeexgK4KxWj3k_7nql_k8-RPxXMwTJyB4Q3vAASeDlA/edit#gid=0"",""'Game 6'!S25"")+100)))"),54.0)</f>
        <v>54</v>
      </c>
      <c r="M21" s="7">
        <f>IFERROR(__xludf.DUMMYFUNCTION("IF($A21=IMPORTRANGE(""https://docs.google.com/spreadsheets/d/1MNwUNMjcwK6bEgCXwB73jpbK5gJAXS8ZMpbEMLJEP3E/edit#gid=0"",""'Game 9'!B1""),IF(IMPORTRANGE(""https://docs.google.com/spreadsheets/d/1MNwUNMjcwK6bEgCXwB73jpbK5gJAXS8ZMpbEMLJEP3E/edit#gid=0"",""'Ga"&amp;"me 9'!J25"")&gt;IMPORTRANGE(""https://docs.google.com/spreadsheets/d/1MNwUNMjcwK6bEgCXwB73jpbK5gJAXS8ZMpbEMLJEP3E/edit#gid=0"",""'Game 9'!S25""),IMPORTRANGE(""https://docs.google.com/spreadsheets/d/1MNwUNMjcwK6bEgCXwB73jpbK5gJAXS8ZMpbEMLJEP3E/edit#gid=0"","""&amp;"'Game 9'!J25"")+100,IF(IMPORTRANGE(""https://docs.google.com/spreadsheets/d/1MNwUNMjcwK6bEgCXwB73jpbK5gJAXS8ZMpbEMLJEP3E/edit#gid=0"",""'Game 9'!J25"")=IMPORTRANGE(""https://docs.google.com/spreadsheets/d/1MNwUNMjcwK6bEgCXwB73jpbK5gJAXS8ZMpbEMLJEP3E/edit#"&amp;"gid=0"",""'Game 9'!S25""),IMPORTRANGE(""https://docs.google.com/spreadsheets/d/1MNwUNMjcwK6bEgCXwB73jpbK5gJAXS8ZMpbEMLJEP3E/edit#gid=0"",""'Game 9'!J25"")+50,IMPORTRANGE(""https://docs.google.com/spreadsheets/d/1MNwUNMjcwK6bEgCXwB73jpbK5gJAXS8ZMpbEMLJEP3E"&amp;"/edit#gid=0"",""'Game 9'!J25""))),IF(IMPORTRANGE(""https://docs.google.com/spreadsheets/d/1MNwUNMjcwK6bEgCXwB73jpbK5gJAXS8ZMpbEMLJEP3E/edit#gid=0"",""'Game 9'!J25"")&gt;IMPORTRANGE(""https://docs.google.com/spreadsheets/d/1MNwUNMjcwK6bEgCXwB73jpbK5gJAXS8ZMpb"&amp;"EMLJEP3E/edit#gid=0"",""'Game 9'!S25""),IMPORTRANGE(""https://docs.google.com/spreadsheets/d/1MNwUNMjcwK6bEgCXwB73jpbK5gJAXS8ZMpbEMLJEP3E/edit#gid=0"",""'Game 9'!S25""),IF(IMPORTRANGE(""https://docs.google.com/spreadsheets/d/1MNwUNMjcwK6bEgCXwB73jpbK5gJAX"&amp;"S8ZMpbEMLJEP3E/edit#gid=0"",""'Game 9'!J25"")=IMPORTRANGE(""https://docs.google.com/spreadsheets/d/1MNwUNMjcwK6bEgCXwB73jpbK5gJAXS8ZMpbEMLJEP3E/edit#gid=0"",""'Game 9'!S25""),IMPORTRANGE(""https://docs.google.com/spreadsheets/d/1MNwUNMjcwK6bEgCXwB73jpbK5g"&amp;"JAXS8ZMpbEMLJEP3E/edit#gid=0"",""'Game 9'!S25"")+50,IMPORTRANGE(""https://docs.google.com/spreadsheets/d/1MNwUNMjcwK6bEgCXwB73jpbK5gJAXS8ZMpbEMLJEP3E/edit#gid=0"",""'Game 9'!S25"")+100)))"),50.0)</f>
        <v>50</v>
      </c>
      <c r="N21" s="7">
        <f>IFERROR(__xludf.DUMMYFUNCTION("IF($A21=IMPORTRANGE(""https://docs.google.com/spreadsheets/d/1UrzyxmT40kDZwVrLMf1yyXfP-pyczRAw9Y8Rw-uXG3c/edit#gid=0"",""'Game 12'!B1""),IF(IMPORTRANGE(""https://docs.google.com/spreadsheets/d/1UrzyxmT40kDZwVrLMf1yyXfP-pyczRAw9Y8Rw-uXG3c/edit#gid=0"",""'G"&amp;"ame 12'!J25"")&gt;IMPORTRANGE(""https://docs.google.com/spreadsheets/d/1UrzyxmT40kDZwVrLMf1yyXfP-pyczRAw9Y8Rw-uXG3c/edit#gid=0"",""'Game 12'!S25""),IMPORTRANGE(""https://docs.google.com/spreadsheets/d/1UrzyxmT40kDZwVrLMf1yyXfP-pyczRAw9Y8Rw-uXG3c/edit#gid=0"""&amp;",""'Game 12'!J25"")+100,IF(IMPORTRANGE(""https://docs.google.com/spreadsheets/d/1UrzyxmT40kDZwVrLMf1yyXfP-pyczRAw9Y8Rw-uXG3c/edit#gid=0"",""'Game 12'!J25"")=IMPORTRANGE(""https://docs.google.com/spreadsheets/d/1UrzyxmT40kDZwVrLMf1yyXfP-pyczRAw9Y8Rw-uXG3c/"&amp;"edit#gid=0"",""'Game 12'!S25""),IMPORTRANGE(""https://docs.google.com/spreadsheets/d/1UrzyxmT40kDZwVrLMf1yyXfP-pyczRAw9Y8Rw-uXG3c/edit#gid=0"",""'Game 12'!J25"")+50,IMPORTRANGE(""https://docs.google.com/spreadsheets/d/1UrzyxmT40kDZwVrLMf1yyXfP-pyczRAw9Y8R"&amp;"w-uXG3c/edit#gid=0"",""'Game 12'!J25""))),IF(IMPORTRANGE(""https://docs.google.com/spreadsheets/d/1UrzyxmT40kDZwVrLMf1yyXfP-pyczRAw9Y8Rw-uXG3c/edit#gid=0"",""'Game 12'!J25"")&gt;IMPORTRANGE(""https://docs.google.com/spreadsheets/d/1UrzyxmT40kDZwVrLMf1yyXfP-p"&amp;"yczRAw9Y8Rw-uXG3c/edit#gid=0"",""'Game 12'!S25""),IMPORTRANGE(""https://docs.google.com/spreadsheets/d/1UrzyxmT40kDZwVrLMf1yyXfP-pyczRAw9Y8Rw-uXG3c/edit#gid=0"",""'Game 12'!S25""),IF(IMPORTRANGE(""https://docs.google.com/spreadsheets/d/1UrzyxmT40kDZwVrLMf"&amp;"1yyXfP-pyczRAw9Y8Rw-uXG3c/edit#gid=0"",""'Game 12'!J25"")=IMPORTRANGE(""https://docs.google.com/spreadsheets/d/1UrzyxmT40kDZwVrLMf1yyXfP-pyczRAw9Y8Rw-uXG3c/edit#gid=0"",""'Game 12'!S25""),IMPORTRANGE(""https://docs.google.com/spreadsheets/d/1UrzyxmT40kDZw"&amp;"VrLMf1yyXfP-pyczRAw9Y8Rw-uXG3c/edit#gid=0"",""'Game 12'!S25"")+50,IMPORTRANGE(""https://docs.google.com/spreadsheets/d/1UrzyxmT40kDZwVrLMf1yyXfP-pyczRAw9Y8Rw-uXG3c/edit#gid=0"",""'Game 12'!S25"")+100)))"),34.0)</f>
        <v>34</v>
      </c>
      <c r="O21" s="7">
        <f>IFERROR(__xludf.DUMMYFUNCTION("IF($A21=IMPORTRANGE(""https://docs.google.com/spreadsheets/d/1iyMhSYWifw-KGFtyeBpNxVZr4BhcV9hVZuShgJ9Ia0E/edit#gid=0"",""'Game 11'!B1""),IF(IMPORTRANGE(""https://docs.google.com/spreadsheets/d/1iyMhSYWifw-KGFtyeBpNxVZr4BhcV9hVZuShgJ9Ia0E/edit#gid=0"",""'G"&amp;"ame 11'!J25"")&gt;IMPORTRANGE(""https://docs.google.com/spreadsheets/d/1iyMhSYWifw-KGFtyeBpNxVZr4BhcV9hVZuShgJ9Ia0E/edit#gid=0"",""'Game 11'!S25""),IMPORTRANGE(""https://docs.google.com/spreadsheets/d/1iyMhSYWifw-KGFtyeBpNxVZr4BhcV9hVZuShgJ9Ia0E/edit#gid=0"""&amp;",""'Game 11'!J25"")+100,IF(IMPORTRANGE(""https://docs.google.com/spreadsheets/d/1iyMhSYWifw-KGFtyeBpNxVZr4BhcV9hVZuShgJ9Ia0E/edit#gid=0"",""'Game 11'!J25"")=IMPORTRANGE(""https://docs.google.com/spreadsheets/d/1iyMhSYWifw-KGFtyeBpNxVZr4BhcV9hVZuShgJ9Ia0E/"&amp;"edit#gid=0"",""'Game 11'!S25""),IMPORTRANGE(""https://docs.google.com/spreadsheets/d/1iyMhSYWifw-KGFtyeBpNxVZr4BhcV9hVZuShgJ9Ia0E/edit#gid=0"",""'Game 11'!J25"")+50,IMPORTRANGE(""https://docs.google.com/spreadsheets/d/1iyMhSYWifw-KGFtyeBpNxVZr4BhcV9hVZuSh"&amp;"gJ9Ia0E/edit#gid=0"",""'Game 11'!J25""))),IF(IMPORTRANGE(""https://docs.google.com/spreadsheets/d/1iyMhSYWifw-KGFtyeBpNxVZr4BhcV9hVZuShgJ9Ia0E/edit#gid=0"",""'Game 11'!J25"")&gt;IMPORTRANGE(""https://docs.google.com/spreadsheets/d/1iyMhSYWifw-KGFtyeBpNxVZr4B"&amp;"hcV9hVZuShgJ9Ia0E/edit#gid=0"",""'Game 11'!S25""),IMPORTRANGE(""https://docs.google.com/spreadsheets/d/1iyMhSYWifw-KGFtyeBpNxVZr4BhcV9hVZuShgJ9Ia0E/edit#gid=0"",""'Game 11'!S25""),IF(IMPORTRANGE(""https://docs.google.com/spreadsheets/d/1iyMhSYWifw-KGFtyeB"&amp;"pNxVZr4BhcV9hVZuShgJ9Ia0E/edit#gid=0"",""'Game 11'!J25"")=IMPORTRANGE(""https://docs.google.com/spreadsheets/d/1iyMhSYWifw-KGFtyeBpNxVZr4BhcV9hVZuShgJ9Ia0E/edit#gid=0"",""'Game 11'!S25""),IMPORTRANGE(""https://docs.google.com/spreadsheets/d/1iyMhSYWifw-KG"&amp;"FtyeBpNxVZr4BhcV9hVZuShgJ9Ia0E/edit#gid=0"",""'Game 11'!S25"")+50,IMPORTRANGE(""https://docs.google.com/spreadsheets/d/1iyMhSYWifw-KGFtyeBpNxVZr4BhcV9hVZuShgJ9Ia0E/edit#gid=0"",""'Game 11'!S25"")+100)))"),154.0)</f>
        <v>154</v>
      </c>
      <c r="P21" s="7">
        <f>IFERROR(__xludf.DUMMYFUNCTION("IF($A21=IMPORTRANGE(""https://docs.google.com/spreadsheets/d/1sSbIK-vvHsSY0LghLJ9gcnW8Hec_ITI2tFmpeqI999A/edit#gid=0"",""'Game 11'!B1""),IF(IMPORTRANGE(""https://docs.google.com/spreadsheets/d/1sSbIK-vvHsSY0LghLJ9gcnW8Hec_ITI2tFmpeqI999A/edit#gid=0"",""'G"&amp;"ame 11'!J25"")&gt;IMPORTRANGE(""https://docs.google.com/spreadsheets/d/1sSbIK-vvHsSY0LghLJ9gcnW8Hec_ITI2tFmpeqI999A/edit#gid=0"",""'Game 11'!S25""),IMPORTRANGE(""https://docs.google.com/spreadsheets/d/1sSbIK-vvHsSY0LghLJ9gcnW8Hec_ITI2tFmpeqI999A/edit#gid=0"""&amp;",""'Game 11'!J25"")+100,IF(IMPORTRANGE(""https://docs.google.com/spreadsheets/d/1sSbIK-vvHsSY0LghLJ9gcnW8Hec_ITI2tFmpeqI999A/edit#gid=0"",""'Game 11'!J25"")=IMPORTRANGE(""https://docs.google.com/spreadsheets/d/1sSbIK-vvHsSY0LghLJ9gcnW8Hec_ITI2tFmpeqI999A/"&amp;"edit#gid=0"",""'Game 11'!S25""),IMPORTRANGE(""https://docs.google.com/spreadsheets/d/1sSbIK-vvHsSY0LghLJ9gcnW8Hec_ITI2tFmpeqI999A/edit#gid=0"",""'Game 11'!J25"")+50,IMPORTRANGE(""https://docs.google.com/spreadsheets/d/1sSbIK-vvHsSY0LghLJ9gcnW8Hec_ITI2tFmp"&amp;"eqI999A/edit#gid=0"",""'Game 11'!J25""))),IF(IMPORTRANGE(""https://docs.google.com/spreadsheets/d/1sSbIK-vvHsSY0LghLJ9gcnW8Hec_ITI2tFmpeqI999A/edit#gid=0"",""'Game 11'!J25"")&gt;IMPORTRANGE(""https://docs.google.com/spreadsheets/d/1sSbIK-vvHsSY0LghLJ9gcnW8He"&amp;"c_ITI2tFmpeqI999A/edit#gid=0"",""'Game 11'!S25""),IMPORTRANGE(""https://docs.google.com/spreadsheets/d/1sSbIK-vvHsSY0LghLJ9gcnW8Hec_ITI2tFmpeqI999A/edit#gid=0"",""'Game 11'!S25""),IF(IMPORTRANGE(""https://docs.google.com/spreadsheets/d/1sSbIK-vvHsSY0LghLJ"&amp;"9gcnW8Hec_ITI2tFmpeqI999A/edit#gid=0"",""'Game 11'!J25"")=IMPORTRANGE(""https://docs.google.com/spreadsheets/d/1sSbIK-vvHsSY0LghLJ9gcnW8Hec_ITI2tFmpeqI999A/edit#gid=0"",""'Game 11'!S25""),IMPORTRANGE(""https://docs.google.com/spreadsheets/d/1sSbIK-vvHsSY0"&amp;"LghLJ9gcnW8Hec_ITI2tFmpeqI999A/edit#gid=0"",""'Game 11'!S25"")+50,IMPORTRANGE(""https://docs.google.com/spreadsheets/d/1sSbIK-vvHsSY0LghLJ9gcnW8Hec_ITI2tFmpeqI999A/edit#gid=0"",""'Game 11'!S25"")+100)))"),20.0)</f>
        <v>20</v>
      </c>
      <c r="Q21" s="37">
        <f t="shared" si="1"/>
        <v>996</v>
      </c>
      <c r="R21" s="37">
        <f t="shared" si="2"/>
        <v>17</v>
      </c>
    </row>
    <row r="22">
      <c r="A22" s="33" t="s">
        <v>263</v>
      </c>
      <c r="B22" s="34">
        <v>50.0</v>
      </c>
      <c r="C22" s="34">
        <v>34.0</v>
      </c>
      <c r="D22" s="34">
        <v>134.0</v>
      </c>
      <c r="E22" s="34">
        <v>156.0</v>
      </c>
      <c r="F22" s="34">
        <v>164.0</v>
      </c>
      <c r="G22" s="35">
        <f>IFERROR(__xludf.DUMMYFUNCTION("IF($A22=IMPORTRANGE(""https://docs.google.com/spreadsheets/d/16J5ie7OD1E99qGO9lMDm8w5Yls-v190B7DTolJ5TmFc/edit#gid=1981724582"",""'Game 1'!B1""),IF(IMPORTRANGE(""https://docs.google.com/spreadsheets/d/16J5ie7OD1E99qGO9lMDm8w5Yls-v190B7DTolJ5TmFc/edit#gid="&amp;"1981724582"",""'Game 1'!J25"")&gt;IMPORTRANGE(""https://docs.google.com/spreadsheets/d/16J5ie7OD1E99qGO9lMDm8w5Yls-v190B7DTolJ5TmFc/edit#gid=1981724582"",""'Game 1'!S25""),IMPORTRANGE(""https://docs.google.com/spreadsheets/d/16J5ie7OD1E99qGO9lMDm8w5Yls-v190B"&amp;"7DTolJ5TmFc/edit#gid=1981724582"",""'Game 1'!J25"")+100,IF(IMPORTRANGE(""https://docs.google.com/spreadsheets/d/16J5ie7OD1E99qGO9lMDm8w5Yls-v190B7DTolJ5TmFc/edit#gid=1981724582"",""'Game 1'!J25"")=IMPORTRANGE(""https://docs.google.com/spreadsheets/d/16J5i"&amp;"e7OD1E99qGO9lMDm8w5Yls-v190B7DTolJ5TmFc/edit#gid=1981724582"",""'Game 1'!S25""),IMPORTRANGE(""https://docs.google.com/spreadsheets/d/16J5ie7OD1E99qGO9lMDm8w5Yls-v190B7DTolJ5TmFc/edit#gid=1981724582"",""'Game 1'!J25"")+50,IMPORTRANGE(""https://docs.google."&amp;"com/spreadsheets/d/16J5ie7OD1E99qGO9lMDm8w5Yls-v190B7DTolJ5TmFc/edit#gid=1981724582"",""'Game 1'!J25""))),IF(IMPORTRANGE(""https://docs.google.com/spreadsheets/d/16J5ie7OD1E99qGO9lMDm8w5Yls-v190B7DTolJ5TmFc/edit#gid=1981724582"",""'Game 1'!J25"")&gt;IMPORTRA"&amp;"NGE(""https://docs.google.com/spreadsheets/d/16J5ie7OD1E99qGO9lMDm8w5Yls-v190B7DTolJ5TmFc/edit#gid=1981724582"",""'Game 1'!S25""),IMPORTRANGE(""https://docs.google.com/spreadsheets/d/16J5ie7OD1E99qGO9lMDm8w5Yls-v190B7DTolJ5TmFc/edit#gid=1981724582"",""'Ga"&amp;"me 1'!S25""),IF(IMPORTRANGE(""https://docs.google.com/spreadsheets/d/16J5ie7OD1E99qGO9lMDm8w5Yls-v190B7DTolJ5TmFc/edit#gid=1981724582"",""'Game 1'!J25"")=IMPORTRANGE(""https://docs.google.com/spreadsheets/d/16J5ie7OD1E99qGO9lMDm8w5Yls-v190B7DTolJ5TmFc/edi"&amp;"t#gid=1981724582"",""'Game 1'!S25""),IMPORTRANGE(""https://docs.google.com/spreadsheets/d/16J5ie7OD1E99qGO9lMDm8w5Yls-v190B7DTolJ5TmFc/edit#gid=1981724582"",""'Game 1'!S25"")+50,IMPORTRANGE(""https://docs.google.com/spreadsheets/d/16J5ie7OD1E99qGO9lMDm8w5"&amp;"Yls-v190B7DTolJ5TmFc/edit#gid=1981724582"",""'Game 1'!S25"")+100)))"),190.0)</f>
        <v>190</v>
      </c>
      <c r="H22" s="34">
        <v>36.0</v>
      </c>
      <c r="I22" s="5">
        <f>IFERROR(__xludf.DUMMYFUNCTION("IF($A22=IMPORTRANGE(""https://docs.google.com/spreadsheets/d/1CTYfdyRk_RFGM3I2iN9bKeD9zUPzEm1ajzml6VgwfIU/edit#gid=0"",""'Game 5'!B1""),IF(IMPORTRANGE(""https://docs.google.com/spreadsheets/d/1CTYfdyRk_RFGM3I2iN9bKeD9zUPzEm1ajzml6VgwfIU/edit#gid=0"",""'Ga"&amp;"me 5'!J25"")&gt;IMPORTRANGE(""https://docs.google.com/spreadsheets/d/1CTYfdyRk_RFGM3I2iN9bKeD9zUPzEm1ajzml6VgwfIU/edit#gid=0"",""'Game 5'!S25""),IMPORTRANGE(""https://docs.google.com/spreadsheets/d/1CTYfdyRk_RFGM3I2iN9bKeD9zUPzEm1ajzml6VgwfIU/edit#gid=0"","""&amp;"'Game 5'!J25"")+100,IF(IMPORTRANGE(""https://docs.google.com/spreadsheets/d/1CTYfdyRk_RFGM3I2iN9bKeD9zUPzEm1ajzml6VgwfIU/edit#gid=0"",""'Game 5'!J25"")=IMPORTRANGE(""https://docs.google.com/spreadsheets/d/1CTYfdyRk_RFGM3I2iN9bKeD9zUPzEm1ajzml6VgwfIU/edit#"&amp;"gid=0"",""'Game 5'!S25""),IMPORTRANGE(""https://docs.google.com/spreadsheets/d/1CTYfdyRk_RFGM3I2iN9bKeD9zUPzEm1ajzml6VgwfIU/edit#gid=0"",""'Game 5'!J25"")+50,IMPORTRANGE(""https://docs.google.com/spreadsheets/d/1CTYfdyRk_RFGM3I2iN9bKeD9zUPzEm1ajzml6VgwfIU"&amp;"/edit#gid=0"",""'Game 5'!J25""))),IF(IMPORTRANGE(""https://docs.google.com/spreadsheets/d/1CTYfdyRk_RFGM3I2iN9bKeD9zUPzEm1ajzml6VgwfIU/edit#gid=0"",""'Game 5'!J25"")&gt;IMPORTRANGE(""https://docs.google.com/spreadsheets/d/1CTYfdyRk_RFGM3I2iN9bKeD9zUPzEm1ajzm"&amp;"l6VgwfIU/edit#gid=0"",""'Game 5'!S25""),IMPORTRANGE(""https://docs.google.com/spreadsheets/d/1CTYfdyRk_RFGM3I2iN9bKeD9zUPzEm1ajzml6VgwfIU/edit#gid=0"",""'Game 5'!S25""),IF(IMPORTRANGE(""https://docs.google.com/spreadsheets/d/1CTYfdyRk_RFGM3I2iN9bKeD9zUPzE"&amp;"m1ajzml6VgwfIU/edit#gid=0"",""'Game 5'!J25"")=IMPORTRANGE(""https://docs.google.com/spreadsheets/d/1CTYfdyRk_RFGM3I2iN9bKeD9zUPzEm1ajzml6VgwfIU/edit#gid=0"",""'Game 5'!S25""),IMPORTRANGE(""https://docs.google.com/spreadsheets/d/1CTYfdyRk_RFGM3I2iN9bKeD9zU"&amp;"PzEm1ajzml6VgwfIU/edit#gid=0"",""'Game 5'!S25"")+50,IMPORTRANGE(""https://docs.google.com/spreadsheets/d/1CTYfdyRk_RFGM3I2iN9bKeD9zUPzEm1ajzml6VgwfIU/edit#gid=0"",""'Game 5'!S25"")+100)))"),158.0)</f>
        <v>158</v>
      </c>
      <c r="J22" s="5">
        <f>IFERROR(__xludf.DUMMYFUNCTION("IF($A22=IMPORTRANGE(""https://docs.google.com/spreadsheets/d/11NFkzOdQyW-OtxSDuGslNCgNjx7HUb2FU7KnlNnPMgY/edit#gid=0"",""'Game 5'!B1""),IF(IMPORTRANGE(""https://docs.google.com/spreadsheets/d/11NFkzOdQyW-OtxSDuGslNCgNjx7HUb2FU7KnlNnPMgY/edit#gid=0"",""'Ga"&amp;"me 5'!J25"")&gt;IMPORTRANGE(""https://docs.google.com/spreadsheets/d/11NFkzOdQyW-OtxSDuGslNCgNjx7HUb2FU7KnlNnPMgY/edit#gid=0"",""'Game 5'!S25""),IMPORTRANGE(""https://docs.google.com/spreadsheets/d/11NFkzOdQyW-OtxSDuGslNCgNjx7HUb2FU7KnlNnPMgY/edit#gid=0"","""&amp;"'Game 5'!J25"")+100,IF(IMPORTRANGE(""https://docs.google.com/spreadsheets/d/11NFkzOdQyW-OtxSDuGslNCgNjx7HUb2FU7KnlNnPMgY/edit#gid=0"",""'Game 5'!J25"")=IMPORTRANGE(""https://docs.google.com/spreadsheets/d/11NFkzOdQyW-OtxSDuGslNCgNjx7HUb2FU7KnlNnPMgY/edit#"&amp;"gid=0"",""'Game 5'!S25""),IMPORTRANGE(""https://docs.google.com/spreadsheets/d/11NFkzOdQyW-OtxSDuGslNCgNjx7HUb2FU7KnlNnPMgY/edit#gid=0"",""'Game 5'!J25"")+50,IMPORTRANGE(""https://docs.google.com/spreadsheets/d/11NFkzOdQyW-OtxSDuGslNCgNjx7HUb2FU7KnlNnPMgY"&amp;"/edit#gid=0"",""'Game 5'!J25""))),IF(IMPORTRANGE(""https://docs.google.com/spreadsheets/d/11NFkzOdQyW-OtxSDuGslNCgNjx7HUb2FU7KnlNnPMgY/edit#gid=0"",""'Game 5'!J25"")&gt;IMPORTRANGE(""https://docs.google.com/spreadsheets/d/11NFkzOdQyW-OtxSDuGslNCgNjx7HUb2FU7K"&amp;"nlNnPMgY/edit#gid=0"",""'Game 5'!S25""),IMPORTRANGE(""https://docs.google.com/spreadsheets/d/11NFkzOdQyW-OtxSDuGslNCgNjx7HUb2FU7KnlNnPMgY/edit#gid=0"",""'Game 5'!S25""),IF(IMPORTRANGE(""https://docs.google.com/spreadsheets/d/11NFkzOdQyW-OtxSDuGslNCgNjx7HU"&amp;"b2FU7KnlNnPMgY/edit#gid=0"",""'Game 5'!J25"")=IMPORTRANGE(""https://docs.google.com/spreadsheets/d/11NFkzOdQyW-OtxSDuGslNCgNjx7HUb2FU7KnlNnPMgY/edit#gid=0"",""'Game 5'!S25""),IMPORTRANGE(""https://docs.google.com/spreadsheets/d/11NFkzOdQyW-OtxSDuGslNCgNjx"&amp;"7HUb2FU7KnlNnPMgY/edit#gid=0"",""'Game 5'!S25"")+50,IMPORTRANGE(""https://docs.google.com/spreadsheets/d/11NFkzOdQyW-OtxSDuGslNCgNjx7HUb2FU7KnlNnPMgY/edit#gid=0"",""'Game 5'!S25"")+100)))"),160.0)</f>
        <v>160</v>
      </c>
      <c r="K22" s="5">
        <f>IFERROR(__xludf.DUMMYFUNCTION("IF($A22=IMPORTRANGE(""https://docs.google.com/spreadsheets/d/1CLg5-jaE4ta0-u4oE1qbBplQ5Mf3Oj9ONFgL0zJ7Ol4/edit#gid=0"",""'Game 5'!B1""),IF(IMPORTRANGE(""https://docs.google.com/spreadsheets/d/1CLg5-jaE4ta0-u4oE1qbBplQ5Mf3Oj9ONFgL0zJ7Ol4/edit#gid=0"",""'Ga"&amp;"me 5'!J25"")&gt;IMPORTRANGE(""https://docs.google.com/spreadsheets/d/1CLg5-jaE4ta0-u4oE1qbBplQ5Mf3Oj9ONFgL0zJ7Ol4/edit#gid=0"",""'Game 5'!S25""),IMPORTRANGE(""https://docs.google.com/spreadsheets/d/1CLg5-jaE4ta0-u4oE1qbBplQ5Mf3Oj9ONFgL0zJ7Ol4/edit#gid=0"","""&amp;"'Game 5'!J25"")+100,IF(IMPORTRANGE(""https://docs.google.com/spreadsheets/d/1CLg5-jaE4ta0-u4oE1qbBplQ5Mf3Oj9ONFgL0zJ7Ol4/edit#gid=0"",""'Game 5'!J25"")=IMPORTRANGE(""https://docs.google.com/spreadsheets/d/1CLg5-jaE4ta0-u4oE1qbBplQ5Mf3Oj9ONFgL0zJ7Ol4/edit#"&amp;"gid=0"",""'Game 5'!S25""),IMPORTRANGE(""https://docs.google.com/spreadsheets/d/1CLg5-jaE4ta0-u4oE1qbBplQ5Mf3Oj9ONFgL0zJ7Ol4/edit#gid=0"",""'Game 5'!J25"")+50,IMPORTRANGE(""https://docs.google.com/spreadsheets/d/1CLg5-jaE4ta0-u4oE1qbBplQ5Mf3Oj9ONFgL0zJ7Ol4"&amp;"/edit#gid=0"",""'Game 5'!J25""))),IF(IMPORTRANGE(""https://docs.google.com/spreadsheets/d/1CLg5-jaE4ta0-u4oE1qbBplQ5Mf3Oj9ONFgL0zJ7Ol4/edit#gid=0"",""'Game 5'!J25"")&gt;IMPORTRANGE(""https://docs.google.com/spreadsheets/d/1CLg5-jaE4ta0-u4oE1qbBplQ5Mf3Oj9ONFg"&amp;"L0zJ7Ol4/edit#gid=0"",""'Game 5'!S25""),IMPORTRANGE(""https://docs.google.com/spreadsheets/d/1CLg5-jaE4ta0-u4oE1qbBplQ5Mf3Oj9ONFgL0zJ7Ol4/edit#gid=0"",""'Game 5'!S25""),IF(IMPORTRANGE(""https://docs.google.com/spreadsheets/d/1CLg5-jaE4ta0-u4oE1qbBplQ5Mf3O"&amp;"j9ONFgL0zJ7Ol4/edit#gid=0"",""'Game 5'!J25"")=IMPORTRANGE(""https://docs.google.com/spreadsheets/d/1CLg5-jaE4ta0-u4oE1qbBplQ5Mf3Oj9ONFgL0zJ7Ol4/edit#gid=0"",""'Game 5'!S25""),IMPORTRANGE(""https://docs.google.com/spreadsheets/d/1CLg5-jaE4ta0-u4oE1qbBplQ5M"&amp;"f3Oj9ONFgL0zJ7Ol4/edit#gid=0"",""'Game 5'!S25"")+50,IMPORTRANGE(""https://docs.google.com/spreadsheets/d/1CLg5-jaE4ta0-u4oE1qbBplQ5Mf3Oj9ONFgL0zJ7Ol4/edit#gid=0"",""'Game 5'!S25"")+100)))"),158.0)</f>
        <v>158</v>
      </c>
      <c r="L22" s="5">
        <f>IFERROR(__xludf.DUMMYFUNCTION("IF($A22=IMPORTRANGE(""https://docs.google.com/spreadsheets/d/1CeexgK4KxWj3k_7nql_k8-RPxXMwTJyB4Q3vAASeDlA/edit#gid=0"",""'Game 5'!B1""),IF(IMPORTRANGE(""https://docs.google.com/spreadsheets/d/1CeexgK4KxWj3k_7nql_k8-RPxXMwTJyB4Q3vAASeDlA/edit#gid=0"",""'Ga"&amp;"me 5'!J25"")&gt;IMPORTRANGE(""https://docs.google.com/spreadsheets/d/1CeexgK4KxWj3k_7nql_k8-RPxXMwTJyB4Q3vAASeDlA/edit#gid=0"",""'Game 5'!S25""),IMPORTRANGE(""https://docs.google.com/spreadsheets/d/1CeexgK4KxWj3k_7nql_k8-RPxXMwTJyB4Q3vAASeDlA/edit#gid=0"","""&amp;"'Game 5'!J25"")+100,IF(IMPORTRANGE(""https://docs.google.com/spreadsheets/d/1CeexgK4KxWj3k_7nql_k8-RPxXMwTJyB4Q3vAASeDlA/edit#gid=0"",""'Game 5'!J25"")=IMPORTRANGE(""https://docs.google.com/spreadsheets/d/1CeexgK4KxWj3k_7nql_k8-RPxXMwTJyB4Q3vAASeDlA/edit#"&amp;"gid=0"",""'Game 5'!S25""),IMPORTRANGE(""https://docs.google.com/spreadsheets/d/1CeexgK4KxWj3k_7nql_k8-RPxXMwTJyB4Q3vAASeDlA/edit#gid=0"",""'Game 5'!J25"")+50,IMPORTRANGE(""https://docs.google.com/spreadsheets/d/1CeexgK4KxWj3k_7nql_k8-RPxXMwTJyB4Q3vAASeDlA"&amp;"/edit#gid=0"",""'Game 5'!J25""))),IF(IMPORTRANGE(""https://docs.google.com/spreadsheets/d/1CeexgK4KxWj3k_7nql_k8-RPxXMwTJyB4Q3vAASeDlA/edit#gid=0"",""'Game 5'!J25"")&gt;IMPORTRANGE(""https://docs.google.com/spreadsheets/d/1CeexgK4KxWj3k_7nql_k8-RPxXMwTJyB4Q3"&amp;"vAASeDlA/edit#gid=0"",""'Game 5'!S25""),IMPORTRANGE(""https://docs.google.com/spreadsheets/d/1CeexgK4KxWj3k_7nql_k8-RPxXMwTJyB4Q3vAASeDlA/edit#gid=0"",""'Game 5'!S25""),IF(IMPORTRANGE(""https://docs.google.com/spreadsheets/d/1CeexgK4KxWj3k_7nql_k8-RPxXMwT"&amp;"JyB4Q3vAASeDlA/edit#gid=0"",""'Game 5'!J25"")=IMPORTRANGE(""https://docs.google.com/spreadsheets/d/1CeexgK4KxWj3k_7nql_k8-RPxXMwTJyB4Q3vAASeDlA/edit#gid=0"",""'Game 5'!S25""),IMPORTRANGE(""https://docs.google.com/spreadsheets/d/1CeexgK4KxWj3k_7nql_k8-RPxX"&amp;"MwTJyB4Q3vAASeDlA/edit#gid=0"",""'Game 5'!S25"")+50,IMPORTRANGE(""https://docs.google.com/spreadsheets/d/1CeexgK4KxWj3k_7nql_k8-RPxXMwTJyB4Q3vAASeDlA/edit#gid=0"",""'Game 5'!S25"")+100)))"),168.0)</f>
        <v>168</v>
      </c>
      <c r="M22" s="5">
        <f>IFERROR(__xludf.DUMMYFUNCTION("IF($A22=IMPORTRANGE(""https://docs.google.com/spreadsheets/d/1MNwUNMjcwK6bEgCXwB73jpbK5gJAXS8ZMpbEMLJEP3E/edit#gid=0"",""'Game 5'!B1""),IF(IMPORTRANGE(""https://docs.google.com/spreadsheets/d/1MNwUNMjcwK6bEgCXwB73jpbK5gJAXS8ZMpbEMLJEP3E/edit#gid=0"",""'Ga"&amp;"me 5'!J25"")&gt;IMPORTRANGE(""https://docs.google.com/spreadsheets/d/1MNwUNMjcwK6bEgCXwB73jpbK5gJAXS8ZMpbEMLJEP3E/edit#gid=0"",""'Game 5'!S25""),IMPORTRANGE(""https://docs.google.com/spreadsheets/d/1MNwUNMjcwK6bEgCXwB73jpbK5gJAXS8ZMpbEMLJEP3E/edit#gid=0"","""&amp;"'Game 5'!J25"")+100,IF(IMPORTRANGE(""https://docs.google.com/spreadsheets/d/1MNwUNMjcwK6bEgCXwB73jpbK5gJAXS8ZMpbEMLJEP3E/edit#gid=0"",""'Game 5'!J25"")=IMPORTRANGE(""https://docs.google.com/spreadsheets/d/1MNwUNMjcwK6bEgCXwB73jpbK5gJAXS8ZMpbEMLJEP3E/edit#"&amp;"gid=0"",""'Game 5'!S25""),IMPORTRANGE(""https://docs.google.com/spreadsheets/d/1MNwUNMjcwK6bEgCXwB73jpbK5gJAXS8ZMpbEMLJEP3E/edit#gid=0"",""'Game 5'!J25"")+50,IMPORTRANGE(""https://docs.google.com/spreadsheets/d/1MNwUNMjcwK6bEgCXwB73jpbK5gJAXS8ZMpbEMLJEP3E"&amp;"/edit#gid=0"",""'Game 5'!J25""))),IF(IMPORTRANGE(""https://docs.google.com/spreadsheets/d/1MNwUNMjcwK6bEgCXwB73jpbK5gJAXS8ZMpbEMLJEP3E/edit#gid=0"",""'Game 5'!J25"")&gt;IMPORTRANGE(""https://docs.google.com/spreadsheets/d/1MNwUNMjcwK6bEgCXwB73jpbK5gJAXS8ZMpb"&amp;"EMLJEP3E/edit#gid=0"",""'Game 5'!S25""),IMPORTRANGE(""https://docs.google.com/spreadsheets/d/1MNwUNMjcwK6bEgCXwB73jpbK5gJAXS8ZMpbEMLJEP3E/edit#gid=0"",""'Game 5'!S25""),IF(IMPORTRANGE(""https://docs.google.com/spreadsheets/d/1MNwUNMjcwK6bEgCXwB73jpbK5gJAX"&amp;"S8ZMpbEMLJEP3E/edit#gid=0"",""'Game 5'!J25"")=IMPORTRANGE(""https://docs.google.com/spreadsheets/d/1MNwUNMjcwK6bEgCXwB73jpbK5gJAXS8ZMpbEMLJEP3E/edit#gid=0"",""'Game 5'!S25""),IMPORTRANGE(""https://docs.google.com/spreadsheets/d/1MNwUNMjcwK6bEgCXwB73jpbK5g"&amp;"JAXS8ZMpbEMLJEP3E/edit#gid=0"",""'Game 5'!S25"")+50,IMPORTRANGE(""https://docs.google.com/spreadsheets/d/1MNwUNMjcwK6bEgCXwB73jpbK5gJAXS8ZMpbEMLJEP3E/edit#gid=0"",""'Game 5'!S25"")+100)))"),138.0)</f>
        <v>138</v>
      </c>
      <c r="N22" s="5">
        <f>IFERROR(__xludf.DUMMYFUNCTION("IF($A22=IMPORTRANGE(""https://docs.google.com/spreadsheets/d/1UrzyxmT40kDZwVrLMf1yyXfP-pyczRAw9Y8Rw-uXG3c/edit#gid=0"",""'Game 5'!B1""),IF(IMPORTRANGE(""https://docs.google.com/spreadsheets/d/1UrzyxmT40kDZwVrLMf1yyXfP-pyczRAw9Y8Rw-uXG3c/edit#gid=0"",""'Ga"&amp;"me 5'!J25"")&gt;IMPORTRANGE(""https://docs.google.com/spreadsheets/d/1UrzyxmT40kDZwVrLMf1yyXfP-pyczRAw9Y8Rw-uXG3c/edit#gid=0"",""'Game 5'!S25""),IMPORTRANGE(""https://docs.google.com/spreadsheets/d/1UrzyxmT40kDZwVrLMf1yyXfP-pyczRAw9Y8Rw-uXG3c/edit#gid=0"","""&amp;"'Game 5'!J25"")+100,IF(IMPORTRANGE(""https://docs.google.com/spreadsheets/d/1UrzyxmT40kDZwVrLMf1yyXfP-pyczRAw9Y8Rw-uXG3c/edit#gid=0"",""'Game 5'!J25"")=IMPORTRANGE(""https://docs.google.com/spreadsheets/d/1UrzyxmT40kDZwVrLMf1yyXfP-pyczRAw9Y8Rw-uXG3c/edit#"&amp;"gid=0"",""'Game 5'!S25""),IMPORTRANGE(""https://docs.google.com/spreadsheets/d/1UrzyxmT40kDZwVrLMf1yyXfP-pyczRAw9Y8Rw-uXG3c/edit#gid=0"",""'Game 5'!J25"")+50,IMPORTRANGE(""https://docs.google.com/spreadsheets/d/1UrzyxmT40kDZwVrLMf1yyXfP-pyczRAw9Y8Rw-uXG3c"&amp;"/edit#gid=0"",""'Game 5'!J25""))),IF(IMPORTRANGE(""https://docs.google.com/spreadsheets/d/1UrzyxmT40kDZwVrLMf1yyXfP-pyczRAw9Y8Rw-uXG3c/edit#gid=0"",""'Game 5'!J25"")&gt;IMPORTRANGE(""https://docs.google.com/spreadsheets/d/1UrzyxmT40kDZwVrLMf1yyXfP-pyczRAw9Y8"&amp;"Rw-uXG3c/edit#gid=0"",""'Game 5'!S25""),IMPORTRANGE(""https://docs.google.com/spreadsheets/d/1UrzyxmT40kDZwVrLMf1yyXfP-pyczRAw9Y8Rw-uXG3c/edit#gid=0"",""'Game 5'!S25""),IF(IMPORTRANGE(""https://docs.google.com/spreadsheets/d/1UrzyxmT40kDZwVrLMf1yyXfP-pycz"&amp;"RAw9Y8Rw-uXG3c/edit#gid=0"",""'Game 5'!J25"")=IMPORTRANGE(""https://docs.google.com/spreadsheets/d/1UrzyxmT40kDZwVrLMf1yyXfP-pyczRAw9Y8Rw-uXG3c/edit#gid=0"",""'Game 5'!S25""),IMPORTRANGE(""https://docs.google.com/spreadsheets/d/1UrzyxmT40kDZwVrLMf1yyXfP-p"&amp;"yczRAw9Y8Rw-uXG3c/edit#gid=0"",""'Game 5'!S25"")+50,IMPORTRANGE(""https://docs.google.com/spreadsheets/d/1UrzyxmT40kDZwVrLMf1yyXfP-pyczRAw9Y8Rw-uXG3c/edit#gid=0"",""'Game 5'!S25"")+100)))"),144.0)</f>
        <v>144</v>
      </c>
      <c r="O22" s="5">
        <f>IFERROR(__xludf.DUMMYFUNCTION("IF($A22=IMPORTRANGE(""https://docs.google.com/spreadsheets/d/1iyMhSYWifw-KGFtyeBpNxVZr4BhcV9hVZuShgJ9Ia0E/edit#gid=0"",""'Game 5'!B1""),IF(IMPORTRANGE(""https://docs.google.com/spreadsheets/d/1iyMhSYWifw-KGFtyeBpNxVZr4BhcV9hVZuShgJ9Ia0E/edit#gid=0"",""'Ga"&amp;"me 5'!J25"")&gt;IMPORTRANGE(""https://docs.google.com/spreadsheets/d/1iyMhSYWifw-KGFtyeBpNxVZr4BhcV9hVZuShgJ9Ia0E/edit#gid=0"",""'Game 5'!S25""),IMPORTRANGE(""https://docs.google.com/spreadsheets/d/1iyMhSYWifw-KGFtyeBpNxVZr4BhcV9hVZuShgJ9Ia0E/edit#gid=0"","""&amp;"'Game 5'!J25"")+100,IF(IMPORTRANGE(""https://docs.google.com/spreadsheets/d/1iyMhSYWifw-KGFtyeBpNxVZr4BhcV9hVZuShgJ9Ia0E/edit#gid=0"",""'Game 5'!J25"")=IMPORTRANGE(""https://docs.google.com/spreadsheets/d/1iyMhSYWifw-KGFtyeBpNxVZr4BhcV9hVZuShgJ9Ia0E/edit#"&amp;"gid=0"",""'Game 5'!S25""),IMPORTRANGE(""https://docs.google.com/spreadsheets/d/1iyMhSYWifw-KGFtyeBpNxVZr4BhcV9hVZuShgJ9Ia0E/edit#gid=0"",""'Game 5'!J25"")+50,IMPORTRANGE(""https://docs.google.com/spreadsheets/d/1iyMhSYWifw-KGFtyeBpNxVZr4BhcV9hVZuShgJ9Ia0E"&amp;"/edit#gid=0"",""'Game 5'!J25""))),IF(IMPORTRANGE(""https://docs.google.com/spreadsheets/d/1iyMhSYWifw-KGFtyeBpNxVZr4BhcV9hVZuShgJ9Ia0E/edit#gid=0"",""'Game 5'!J25"")&gt;IMPORTRANGE(""https://docs.google.com/spreadsheets/d/1iyMhSYWifw-KGFtyeBpNxVZr4BhcV9hVZuS"&amp;"hgJ9Ia0E/edit#gid=0"",""'Game 5'!S25""),IMPORTRANGE(""https://docs.google.com/spreadsheets/d/1iyMhSYWifw-KGFtyeBpNxVZr4BhcV9hVZuShgJ9Ia0E/edit#gid=0"",""'Game 5'!S25""),IF(IMPORTRANGE(""https://docs.google.com/spreadsheets/d/1iyMhSYWifw-KGFtyeBpNxVZr4BhcV"&amp;"9hVZuShgJ9Ia0E/edit#gid=0"",""'Game 5'!J25"")=IMPORTRANGE(""https://docs.google.com/spreadsheets/d/1iyMhSYWifw-KGFtyeBpNxVZr4BhcV9hVZuShgJ9Ia0E/edit#gid=0"",""'Game 5'!S25""),IMPORTRANGE(""https://docs.google.com/spreadsheets/d/1iyMhSYWifw-KGFtyeBpNxVZr4B"&amp;"hcV9hVZuShgJ9Ia0E/edit#gid=0"",""'Game 5'!S25"")+50,IMPORTRANGE(""https://docs.google.com/spreadsheets/d/1iyMhSYWifw-KGFtyeBpNxVZr4BhcV9hVZuShgJ9Ia0E/edit#gid=0"",""'Game 5'!S25"")+100)))"),42.0)</f>
        <v>42</v>
      </c>
      <c r="P22" s="5">
        <f>IFERROR(__xludf.DUMMYFUNCTION("IF($A22=IMPORTRANGE(""https://docs.google.com/spreadsheets/d/1sSbIK-vvHsSY0LghLJ9gcnW8Hec_ITI2tFmpeqI999A/edit#gid=0"",""'Game 4'!B1""),IF(IMPORTRANGE(""https://docs.google.com/spreadsheets/d/1sSbIK-vvHsSY0LghLJ9gcnW8Hec_ITI2tFmpeqI999A/edit#gid=0"",""'Ga"&amp;"me 4'!J25"")&gt;IMPORTRANGE(""https://docs.google.com/spreadsheets/d/1sSbIK-vvHsSY0LghLJ9gcnW8Hec_ITI2tFmpeqI999A/edit#gid=0"",""'Game 4'!S25""),IMPORTRANGE(""https://docs.google.com/spreadsheets/d/1sSbIK-vvHsSY0LghLJ9gcnW8Hec_ITI2tFmpeqI999A/edit#gid=0"","""&amp;"'Game 4'!J25"")+100,IF(IMPORTRANGE(""https://docs.google.com/spreadsheets/d/1sSbIK-vvHsSY0LghLJ9gcnW8Hec_ITI2tFmpeqI999A/edit#gid=0"",""'Game 4'!J25"")=IMPORTRANGE(""https://docs.google.com/spreadsheets/d/1sSbIK-vvHsSY0LghLJ9gcnW8Hec_ITI2tFmpeqI999A/edit#"&amp;"gid=0"",""'Game 4'!S25""),IMPORTRANGE(""https://docs.google.com/spreadsheets/d/1sSbIK-vvHsSY0LghLJ9gcnW8Hec_ITI2tFmpeqI999A/edit#gid=0"",""'Game 4'!J25"")+50,IMPORTRANGE(""https://docs.google.com/spreadsheets/d/1sSbIK-vvHsSY0LghLJ9gcnW8Hec_ITI2tFmpeqI999A"&amp;"/edit#gid=0"",""'Game 4'!J25""))),IF(IMPORTRANGE(""https://docs.google.com/spreadsheets/d/1sSbIK-vvHsSY0LghLJ9gcnW8Hec_ITI2tFmpeqI999A/edit#gid=0"",""'Game 4'!J25"")&gt;IMPORTRANGE(""https://docs.google.com/spreadsheets/d/1sSbIK-vvHsSY0LghLJ9gcnW8Hec_ITI2tFm"&amp;"peqI999A/edit#gid=0"",""'Game 4'!S25""),IMPORTRANGE(""https://docs.google.com/spreadsheets/d/1sSbIK-vvHsSY0LghLJ9gcnW8Hec_ITI2tFmpeqI999A/edit#gid=0"",""'Game 4'!S25""),IF(IMPORTRANGE(""https://docs.google.com/spreadsheets/d/1sSbIK-vvHsSY0LghLJ9gcnW8Hec_I"&amp;"TI2tFmpeqI999A/edit#gid=0"",""'Game 4'!J25"")=IMPORTRANGE(""https://docs.google.com/spreadsheets/d/1sSbIK-vvHsSY0LghLJ9gcnW8Hec_ITI2tFmpeqI999A/edit#gid=0"",""'Game 4'!S25""),IMPORTRANGE(""https://docs.google.com/spreadsheets/d/1sSbIK-vvHsSY0LghLJ9gcnW8He"&amp;"c_ITI2tFmpeqI999A/edit#gid=0"",""'Game 4'!S25"")+50,IMPORTRANGE(""https://docs.google.com/spreadsheets/d/1sSbIK-vvHsSY0LghLJ9gcnW8Hec_ITI2tFmpeqI999A/edit#gid=0"",""'Game 4'!S25"")+100)))"),0.0)</f>
        <v>0</v>
      </c>
      <c r="Q22" s="35">
        <f t="shared" si="1"/>
        <v>1732</v>
      </c>
      <c r="R22" s="35">
        <f t="shared" si="2"/>
        <v>7</v>
      </c>
    </row>
    <row r="23">
      <c r="A23" s="32" t="s">
        <v>277</v>
      </c>
      <c r="B23" s="36">
        <v>24.0</v>
      </c>
      <c r="C23" s="36">
        <v>74.0</v>
      </c>
      <c r="D23" s="36">
        <v>28.0</v>
      </c>
      <c r="E23" s="36">
        <v>134.0</v>
      </c>
      <c r="F23" s="36">
        <v>22.0</v>
      </c>
      <c r="G23" s="37">
        <f>IFERROR(__xludf.DUMMYFUNCTION("IF($A23=IMPORTRANGE(""https://docs.google.com/spreadsheets/d/16J5ie7OD1E99qGO9lMDm8w5Yls-v190B7DTolJ5TmFc/edit#gid=1981724582"",""'Game 10'!B1""),IF(IMPORTRANGE(""https://docs.google.com/spreadsheets/d/16J5ie7OD1E99qGO9lMDm8w5Yls-v190B7DTolJ5TmFc/edit#gid"&amp;"=1981724582"",""'Game 10'!J25"")&gt;IMPORTRANGE(""https://docs.google.com/spreadsheets/d/16J5ie7OD1E99qGO9lMDm8w5Yls-v190B7DTolJ5TmFc/edit#gid=1981724582"",""'Game 10'!S25""),IMPORTRANGE(""https://docs.google.com/spreadsheets/d/16J5ie7OD1E99qGO9lMDm8w5Yls-v1"&amp;"90B7DTolJ5TmFc/edit#gid=1981724582"",""'Game 10'!J25"")+100,IF(IMPORTRANGE(""https://docs.google.com/spreadsheets/d/16J5ie7OD1E99qGO9lMDm8w5Yls-v190B7DTolJ5TmFc/edit#gid=1981724582"",""'Game 10'!J25"")=IMPORTRANGE(""https://docs.google.com/spreadsheets/d/"&amp;"16J5ie7OD1E99qGO9lMDm8w5Yls-v190B7DTolJ5TmFc/edit#gid=1981724582"",""'Game 10'!S25""),IMPORTRANGE(""https://docs.google.com/spreadsheets/d/16J5ie7OD1E99qGO9lMDm8w5Yls-v190B7DTolJ5TmFc/edit#gid=1981724582"",""'Game 10'!J25"")+50,IMPORTRANGE(""https://docs."&amp;"google.com/spreadsheets/d/16J5ie7OD1E99qGO9lMDm8w5Yls-v190B7DTolJ5TmFc/edit#gid=1981724582"",""'Game 10'!J25""))),IF(IMPORTRANGE(""https://docs.google.com/spreadsheets/d/16J5ie7OD1E99qGO9lMDm8w5Yls-v190B7DTolJ5TmFc/edit#gid=1981724582"",""'Game 10'!J25"")"&amp;"&gt;IMPORTRANGE(""https://docs.google.com/spreadsheets/d/16J5ie7OD1E99qGO9lMDm8w5Yls-v190B7DTolJ5TmFc/edit#gid=1981724582"",""'Game 10'!S25""),IMPORTRANGE(""https://docs.google.com/spreadsheets/d/16J5ie7OD1E99qGO9lMDm8w5Yls-v190B7DTolJ5TmFc/edit#gid=19817245"&amp;"82"",""'Game 10'!S25""),IF(IMPORTRANGE(""https://docs.google.com/spreadsheets/d/16J5ie7OD1E99qGO9lMDm8w5Yls-v190B7DTolJ5TmFc/edit#gid=1981724582"",""'Game 10'!J25"")=IMPORTRANGE(""https://docs.google.com/spreadsheets/d/16J5ie7OD1E99qGO9lMDm8w5Yls-v190B7DT"&amp;"olJ5TmFc/edit#gid=1981724582"",""'Game 10'!S25""),IMPORTRANGE(""https://docs.google.com/spreadsheets/d/16J5ie7OD1E99qGO9lMDm8w5Yls-v190B7DTolJ5TmFc/edit#gid=1981724582"",""'Game 10'!S25"")+50,IMPORTRANGE(""https://docs.google.com/spreadsheets/d/16J5ie7OD1"&amp;"E99qGO9lMDm8w5Yls-v190B7DTolJ5TmFc/edit#gid=1981724582"",""'Game 10'!S25"")+100)))"),34.0)</f>
        <v>34</v>
      </c>
      <c r="H23" s="36">
        <v>134.0</v>
      </c>
      <c r="I23" s="7">
        <f>IFERROR(__xludf.DUMMYFUNCTION("IF($A23=IMPORTRANGE(""https://docs.google.com/spreadsheets/d/1CTYfdyRk_RFGM3I2iN9bKeD9zUPzEm1ajzml6VgwfIU/edit#gid=0"",""'Game 11'!B1""),IF(IMPORTRANGE(""https://docs.google.com/spreadsheets/d/1CTYfdyRk_RFGM3I2iN9bKeD9zUPzEm1ajzml6VgwfIU/edit#gid=0"",""'G"&amp;"ame 11'!J25"")&gt;IMPORTRANGE(""https://docs.google.com/spreadsheets/d/1CTYfdyRk_RFGM3I2iN9bKeD9zUPzEm1ajzml6VgwfIU/edit#gid=0"",""'Game 11'!S25""),IMPORTRANGE(""https://docs.google.com/spreadsheets/d/1CTYfdyRk_RFGM3I2iN9bKeD9zUPzEm1ajzml6VgwfIU/edit#gid=0"""&amp;",""'Game 11'!J25"")+100,IF(IMPORTRANGE(""https://docs.google.com/spreadsheets/d/1CTYfdyRk_RFGM3I2iN9bKeD9zUPzEm1ajzml6VgwfIU/edit#gid=0"",""'Game 11'!J25"")=IMPORTRANGE(""https://docs.google.com/spreadsheets/d/1CTYfdyRk_RFGM3I2iN9bKeD9zUPzEm1ajzml6VgwfIU/"&amp;"edit#gid=0"",""'Game 11'!S25""),IMPORTRANGE(""https://docs.google.com/spreadsheets/d/1CTYfdyRk_RFGM3I2iN9bKeD9zUPzEm1ajzml6VgwfIU/edit#gid=0"",""'Game 11'!J25"")+50,IMPORTRANGE(""https://docs.google.com/spreadsheets/d/1CTYfdyRk_RFGM3I2iN9bKeD9zUPzEm1ajzml"&amp;"6VgwfIU/edit#gid=0"",""'Game 11'!J25""))),IF(IMPORTRANGE(""https://docs.google.com/spreadsheets/d/1CTYfdyRk_RFGM3I2iN9bKeD9zUPzEm1ajzml6VgwfIU/edit#gid=0"",""'Game 11'!J25"")&gt;IMPORTRANGE(""https://docs.google.com/spreadsheets/d/1CTYfdyRk_RFGM3I2iN9bKeD9zU"&amp;"PzEm1ajzml6VgwfIU/edit#gid=0"",""'Game 11'!S25""),IMPORTRANGE(""https://docs.google.com/spreadsheets/d/1CTYfdyRk_RFGM3I2iN9bKeD9zUPzEm1ajzml6VgwfIU/edit#gid=0"",""'Game 11'!S25""),IF(IMPORTRANGE(""https://docs.google.com/spreadsheets/d/1CTYfdyRk_RFGM3I2iN"&amp;"9bKeD9zUPzEm1ajzml6VgwfIU/edit#gid=0"",""'Game 11'!J25"")=IMPORTRANGE(""https://docs.google.com/spreadsheets/d/1CTYfdyRk_RFGM3I2iN9bKeD9zUPzEm1ajzml6VgwfIU/edit#gid=0"",""'Game 11'!S25""),IMPORTRANGE(""https://docs.google.com/spreadsheets/d/1CTYfdyRk_RFGM"&amp;"3I2iN9bKeD9zUPzEm1ajzml6VgwfIU/edit#gid=0"",""'Game 11'!S25"")+50,IMPORTRANGE(""https://docs.google.com/spreadsheets/d/1CTYfdyRk_RFGM3I2iN9bKeD9zUPzEm1ajzml6VgwfIU/edit#gid=0"",""'Game 11'!S25"")+100)))"),24.0)</f>
        <v>24</v>
      </c>
      <c r="J23" s="7">
        <f>IFERROR(__xludf.DUMMYFUNCTION("IF($A23=IMPORTRANGE(""https://docs.google.com/spreadsheets/d/11NFkzOdQyW-OtxSDuGslNCgNjx7HUb2FU7KnlNnPMgY/edit#gid=0"",""'Game 6'!B1""),IF(IMPORTRANGE(""https://docs.google.com/spreadsheets/d/11NFkzOdQyW-OtxSDuGslNCgNjx7HUb2FU7KnlNnPMgY/edit#gid=0"",""'Ga"&amp;"me 6'!J25"")&gt;IMPORTRANGE(""https://docs.google.com/spreadsheets/d/11NFkzOdQyW-OtxSDuGslNCgNjx7HUb2FU7KnlNnPMgY/edit#gid=0"",""'Game 6'!S25""),IMPORTRANGE(""https://docs.google.com/spreadsheets/d/11NFkzOdQyW-OtxSDuGslNCgNjx7HUb2FU7KnlNnPMgY/edit#gid=0"","""&amp;"'Game 6'!J25"")+100,IF(IMPORTRANGE(""https://docs.google.com/spreadsheets/d/11NFkzOdQyW-OtxSDuGslNCgNjx7HUb2FU7KnlNnPMgY/edit#gid=0"",""'Game 6'!J25"")=IMPORTRANGE(""https://docs.google.com/spreadsheets/d/11NFkzOdQyW-OtxSDuGslNCgNjx7HUb2FU7KnlNnPMgY/edit#"&amp;"gid=0"",""'Game 6'!S25""),IMPORTRANGE(""https://docs.google.com/spreadsheets/d/11NFkzOdQyW-OtxSDuGslNCgNjx7HUb2FU7KnlNnPMgY/edit#gid=0"",""'Game 6'!J25"")+50,IMPORTRANGE(""https://docs.google.com/spreadsheets/d/11NFkzOdQyW-OtxSDuGslNCgNjx7HUb2FU7KnlNnPMgY"&amp;"/edit#gid=0"",""'Game 6'!J25""))),IF(IMPORTRANGE(""https://docs.google.com/spreadsheets/d/11NFkzOdQyW-OtxSDuGslNCgNjx7HUb2FU7KnlNnPMgY/edit#gid=0"",""'Game 6'!J25"")&gt;IMPORTRANGE(""https://docs.google.com/spreadsheets/d/11NFkzOdQyW-OtxSDuGslNCgNjx7HUb2FU7K"&amp;"nlNnPMgY/edit#gid=0"",""'Game 6'!S25""),IMPORTRANGE(""https://docs.google.com/spreadsheets/d/11NFkzOdQyW-OtxSDuGslNCgNjx7HUb2FU7KnlNnPMgY/edit#gid=0"",""'Game 6'!S25""),IF(IMPORTRANGE(""https://docs.google.com/spreadsheets/d/11NFkzOdQyW-OtxSDuGslNCgNjx7HU"&amp;"b2FU7KnlNnPMgY/edit#gid=0"",""'Game 6'!J25"")=IMPORTRANGE(""https://docs.google.com/spreadsheets/d/11NFkzOdQyW-OtxSDuGslNCgNjx7HUb2FU7KnlNnPMgY/edit#gid=0"",""'Game 6'!S25""),IMPORTRANGE(""https://docs.google.com/spreadsheets/d/11NFkzOdQyW-OtxSDuGslNCgNjx"&amp;"7HUb2FU7KnlNnPMgY/edit#gid=0"",""'Game 6'!S25"")+50,IMPORTRANGE(""https://docs.google.com/spreadsheets/d/11NFkzOdQyW-OtxSDuGslNCgNjx7HUb2FU7KnlNnPMgY/edit#gid=0"",""'Game 6'!S25"")+100)))"),16.0)</f>
        <v>16</v>
      </c>
      <c r="K23" s="7">
        <f>IFERROR(__xludf.DUMMYFUNCTION("IF($A23=IMPORTRANGE(""https://docs.google.com/spreadsheets/d/1CLg5-jaE4ta0-u4oE1qbBplQ5Mf3Oj9ONFgL0zJ7Ol4/edit#gid=0"",""'Game 2'!B1""),IF(IMPORTRANGE(""https://docs.google.com/spreadsheets/d/1CLg5-jaE4ta0-u4oE1qbBplQ5Mf3Oj9ONFgL0zJ7Ol4/edit#gid=0"",""'Ga"&amp;"me 2'!J25"")&gt;IMPORTRANGE(""https://docs.google.com/spreadsheets/d/1CLg5-jaE4ta0-u4oE1qbBplQ5Mf3Oj9ONFgL0zJ7Ol4/edit#gid=0"",""'Game 2'!S25""),IMPORTRANGE(""https://docs.google.com/spreadsheets/d/1CLg5-jaE4ta0-u4oE1qbBplQ5Mf3Oj9ONFgL0zJ7Ol4/edit#gid=0"","""&amp;"'Game 2'!J25"")+100,IF(IMPORTRANGE(""https://docs.google.com/spreadsheets/d/1CLg5-jaE4ta0-u4oE1qbBplQ5Mf3Oj9ONFgL0zJ7Ol4/edit#gid=0"",""'Game 2'!J25"")=IMPORTRANGE(""https://docs.google.com/spreadsheets/d/1CLg5-jaE4ta0-u4oE1qbBplQ5Mf3Oj9ONFgL0zJ7Ol4/edit#"&amp;"gid=0"",""'Game 2'!S25""),IMPORTRANGE(""https://docs.google.com/spreadsheets/d/1CLg5-jaE4ta0-u4oE1qbBplQ5Mf3Oj9ONFgL0zJ7Ol4/edit#gid=0"",""'Game 2'!J25"")+50,IMPORTRANGE(""https://docs.google.com/spreadsheets/d/1CLg5-jaE4ta0-u4oE1qbBplQ5Mf3Oj9ONFgL0zJ7Ol4"&amp;"/edit#gid=0"",""'Game 2'!J25""))),IF(IMPORTRANGE(""https://docs.google.com/spreadsheets/d/1CLg5-jaE4ta0-u4oE1qbBplQ5Mf3Oj9ONFgL0zJ7Ol4/edit#gid=0"",""'Game 2'!J25"")&gt;IMPORTRANGE(""https://docs.google.com/spreadsheets/d/1CLg5-jaE4ta0-u4oE1qbBplQ5Mf3Oj9ONFg"&amp;"L0zJ7Ol4/edit#gid=0"",""'Game 2'!S25""),IMPORTRANGE(""https://docs.google.com/spreadsheets/d/1CLg5-jaE4ta0-u4oE1qbBplQ5Mf3Oj9ONFgL0zJ7Ol4/edit#gid=0"",""'Game 2'!S25""),IF(IMPORTRANGE(""https://docs.google.com/spreadsheets/d/1CLg5-jaE4ta0-u4oE1qbBplQ5Mf3O"&amp;"j9ONFgL0zJ7Ol4/edit#gid=0"",""'Game 2'!J25"")=IMPORTRANGE(""https://docs.google.com/spreadsheets/d/1CLg5-jaE4ta0-u4oE1qbBplQ5Mf3Oj9ONFgL0zJ7Ol4/edit#gid=0"",""'Game 2'!S25""),IMPORTRANGE(""https://docs.google.com/spreadsheets/d/1CLg5-jaE4ta0-u4oE1qbBplQ5M"&amp;"f3Oj9ONFgL0zJ7Ol4/edit#gid=0"",""'Game 2'!S25"")+50,IMPORTRANGE(""https://docs.google.com/spreadsheets/d/1CLg5-jaE4ta0-u4oE1qbBplQ5Mf3Oj9ONFgL0zJ7Ol4/edit#gid=0"",""'Game 2'!S25"")+100)))"),30.0)</f>
        <v>30</v>
      </c>
      <c r="L23" s="7">
        <f>IFERROR(__xludf.DUMMYFUNCTION("IF($A23=IMPORTRANGE(""https://docs.google.com/spreadsheets/d/1CeexgK4KxWj3k_7nql_k8-RPxXMwTJyB4Q3vAASeDlA/edit#gid=0"",""'Game 9'!B1""),IF(IMPORTRANGE(""https://docs.google.com/spreadsheets/d/1CeexgK4KxWj3k_7nql_k8-RPxXMwTJyB4Q3vAASeDlA/edit#gid=0"",""'Ga"&amp;"me 9'!J25"")&gt;IMPORTRANGE(""https://docs.google.com/spreadsheets/d/1CeexgK4KxWj3k_7nql_k8-RPxXMwTJyB4Q3vAASeDlA/edit#gid=0"",""'Game 9'!S25""),IMPORTRANGE(""https://docs.google.com/spreadsheets/d/1CeexgK4KxWj3k_7nql_k8-RPxXMwTJyB4Q3vAASeDlA/edit#gid=0"","""&amp;"'Game 9'!J25"")+100,IF(IMPORTRANGE(""https://docs.google.com/spreadsheets/d/1CeexgK4KxWj3k_7nql_k8-RPxXMwTJyB4Q3vAASeDlA/edit#gid=0"",""'Game 9'!J25"")=IMPORTRANGE(""https://docs.google.com/spreadsheets/d/1CeexgK4KxWj3k_7nql_k8-RPxXMwTJyB4Q3vAASeDlA/edit#"&amp;"gid=0"",""'Game 9'!S25""),IMPORTRANGE(""https://docs.google.com/spreadsheets/d/1CeexgK4KxWj3k_7nql_k8-RPxXMwTJyB4Q3vAASeDlA/edit#gid=0"",""'Game 9'!J25"")+50,IMPORTRANGE(""https://docs.google.com/spreadsheets/d/1CeexgK4KxWj3k_7nql_k8-RPxXMwTJyB4Q3vAASeDlA"&amp;"/edit#gid=0"",""'Game 9'!J25""))),IF(IMPORTRANGE(""https://docs.google.com/spreadsheets/d/1CeexgK4KxWj3k_7nql_k8-RPxXMwTJyB4Q3vAASeDlA/edit#gid=0"",""'Game 9'!J25"")&gt;IMPORTRANGE(""https://docs.google.com/spreadsheets/d/1CeexgK4KxWj3k_7nql_k8-RPxXMwTJyB4Q3"&amp;"vAASeDlA/edit#gid=0"",""'Game 9'!S25""),IMPORTRANGE(""https://docs.google.com/spreadsheets/d/1CeexgK4KxWj3k_7nql_k8-RPxXMwTJyB4Q3vAASeDlA/edit#gid=0"",""'Game 9'!S25""),IF(IMPORTRANGE(""https://docs.google.com/spreadsheets/d/1CeexgK4KxWj3k_7nql_k8-RPxXMwT"&amp;"JyB4Q3vAASeDlA/edit#gid=0"",""'Game 9'!J25"")=IMPORTRANGE(""https://docs.google.com/spreadsheets/d/1CeexgK4KxWj3k_7nql_k8-RPxXMwTJyB4Q3vAASeDlA/edit#gid=0"",""'Game 9'!S25""),IMPORTRANGE(""https://docs.google.com/spreadsheets/d/1CeexgK4KxWj3k_7nql_k8-RPxX"&amp;"MwTJyB4Q3vAASeDlA/edit#gid=0"",""'Game 9'!S25"")+50,IMPORTRANGE(""https://docs.google.com/spreadsheets/d/1CeexgK4KxWj3k_7nql_k8-RPxXMwTJyB4Q3vAASeDlA/edit#gid=0"",""'Game 9'!S25"")+100)))"),20.0)</f>
        <v>20</v>
      </c>
      <c r="M23" s="7">
        <f>IFERROR(__xludf.DUMMYFUNCTION("IF($A23=IMPORTRANGE(""https://docs.google.com/spreadsheets/d/1MNwUNMjcwK6bEgCXwB73jpbK5gJAXS8ZMpbEMLJEP3E/edit#gid=0"",""'Game 11'!B1""),IF(IMPORTRANGE(""https://docs.google.com/spreadsheets/d/1MNwUNMjcwK6bEgCXwB73jpbK5gJAXS8ZMpbEMLJEP3E/edit#gid=0"",""'G"&amp;"ame 11'!J25"")&gt;IMPORTRANGE(""https://docs.google.com/spreadsheets/d/1MNwUNMjcwK6bEgCXwB73jpbK5gJAXS8ZMpbEMLJEP3E/edit#gid=0"",""'Game 11'!S25""),IMPORTRANGE(""https://docs.google.com/spreadsheets/d/1MNwUNMjcwK6bEgCXwB73jpbK5gJAXS8ZMpbEMLJEP3E/edit#gid=0"""&amp;",""'Game 11'!J25"")+100,IF(IMPORTRANGE(""https://docs.google.com/spreadsheets/d/1MNwUNMjcwK6bEgCXwB73jpbK5gJAXS8ZMpbEMLJEP3E/edit#gid=0"",""'Game 11'!J25"")=IMPORTRANGE(""https://docs.google.com/spreadsheets/d/1MNwUNMjcwK6bEgCXwB73jpbK5gJAXS8ZMpbEMLJEP3E/"&amp;"edit#gid=0"",""'Game 11'!S25""),IMPORTRANGE(""https://docs.google.com/spreadsheets/d/1MNwUNMjcwK6bEgCXwB73jpbK5gJAXS8ZMpbEMLJEP3E/edit#gid=0"",""'Game 11'!J25"")+50,IMPORTRANGE(""https://docs.google.com/spreadsheets/d/1MNwUNMjcwK6bEgCXwB73jpbK5gJAXS8ZMpbE"&amp;"MLJEP3E/edit#gid=0"",""'Game 11'!J25""))),IF(IMPORTRANGE(""https://docs.google.com/spreadsheets/d/1MNwUNMjcwK6bEgCXwB73jpbK5gJAXS8ZMpbEMLJEP3E/edit#gid=0"",""'Game 11'!J25"")&gt;IMPORTRANGE(""https://docs.google.com/spreadsheets/d/1MNwUNMjcwK6bEgCXwB73jpbK5g"&amp;"JAXS8ZMpbEMLJEP3E/edit#gid=0"",""'Game 11'!S25""),IMPORTRANGE(""https://docs.google.com/spreadsheets/d/1MNwUNMjcwK6bEgCXwB73jpbK5gJAXS8ZMpbEMLJEP3E/edit#gid=0"",""'Game 11'!S25""),IF(IMPORTRANGE(""https://docs.google.com/spreadsheets/d/1MNwUNMjcwK6bEgCXwB"&amp;"73jpbK5gJAXS8ZMpbEMLJEP3E/edit#gid=0"",""'Game 11'!J25"")=IMPORTRANGE(""https://docs.google.com/spreadsheets/d/1MNwUNMjcwK6bEgCXwB73jpbK5gJAXS8ZMpbEMLJEP3E/edit#gid=0"",""'Game 11'!S25""),IMPORTRANGE(""https://docs.google.com/spreadsheets/d/1MNwUNMjcwK6bE"&amp;"gCXwB73jpbK5gJAXS8ZMpbEMLJEP3E/edit#gid=0"",""'Game 11'!S25"")+50,IMPORTRANGE(""https://docs.google.com/spreadsheets/d/1MNwUNMjcwK6bEgCXwB73jpbK5gJAXS8ZMpbEMLJEP3E/edit#gid=0"",""'Game 11'!S25"")+100)))"),156.0)</f>
        <v>156</v>
      </c>
      <c r="N23" s="7">
        <f>IFERROR(__xludf.DUMMYFUNCTION("IF($A23=IMPORTRANGE(""https://docs.google.com/spreadsheets/d/1UrzyxmT40kDZwVrLMf1yyXfP-pyczRAw9Y8Rw-uXG3c/edit#gid=0"",""'Game 10'!B1""),IF(IMPORTRANGE(""https://docs.google.com/spreadsheets/d/1UrzyxmT40kDZwVrLMf1yyXfP-pyczRAw9Y8Rw-uXG3c/edit#gid=0"",""'G"&amp;"ame 10'!J25"")&gt;IMPORTRANGE(""https://docs.google.com/spreadsheets/d/1UrzyxmT40kDZwVrLMf1yyXfP-pyczRAw9Y8Rw-uXG3c/edit#gid=0"",""'Game 10'!S25""),IMPORTRANGE(""https://docs.google.com/spreadsheets/d/1UrzyxmT40kDZwVrLMf1yyXfP-pyczRAw9Y8Rw-uXG3c/edit#gid=0"""&amp;",""'Game 10'!J25"")+100,IF(IMPORTRANGE(""https://docs.google.com/spreadsheets/d/1UrzyxmT40kDZwVrLMf1yyXfP-pyczRAw9Y8Rw-uXG3c/edit#gid=0"",""'Game 10'!J25"")=IMPORTRANGE(""https://docs.google.com/spreadsheets/d/1UrzyxmT40kDZwVrLMf1yyXfP-pyczRAw9Y8Rw-uXG3c/"&amp;"edit#gid=0"",""'Game 10'!S25""),IMPORTRANGE(""https://docs.google.com/spreadsheets/d/1UrzyxmT40kDZwVrLMf1yyXfP-pyczRAw9Y8Rw-uXG3c/edit#gid=0"",""'Game 10'!J25"")+50,IMPORTRANGE(""https://docs.google.com/spreadsheets/d/1UrzyxmT40kDZwVrLMf1yyXfP-pyczRAw9Y8R"&amp;"w-uXG3c/edit#gid=0"",""'Game 10'!J25""))),IF(IMPORTRANGE(""https://docs.google.com/spreadsheets/d/1UrzyxmT40kDZwVrLMf1yyXfP-pyczRAw9Y8Rw-uXG3c/edit#gid=0"",""'Game 10'!J25"")&gt;IMPORTRANGE(""https://docs.google.com/spreadsheets/d/1UrzyxmT40kDZwVrLMf1yyXfP-p"&amp;"yczRAw9Y8Rw-uXG3c/edit#gid=0"",""'Game 10'!S25""),IMPORTRANGE(""https://docs.google.com/spreadsheets/d/1UrzyxmT40kDZwVrLMf1yyXfP-pyczRAw9Y8Rw-uXG3c/edit#gid=0"",""'Game 10'!S25""),IF(IMPORTRANGE(""https://docs.google.com/spreadsheets/d/1UrzyxmT40kDZwVrLMf"&amp;"1yyXfP-pyczRAw9Y8Rw-uXG3c/edit#gid=0"",""'Game 10'!J25"")=IMPORTRANGE(""https://docs.google.com/spreadsheets/d/1UrzyxmT40kDZwVrLMf1yyXfP-pyczRAw9Y8Rw-uXG3c/edit#gid=0"",""'Game 10'!S25""),IMPORTRANGE(""https://docs.google.com/spreadsheets/d/1UrzyxmT40kDZw"&amp;"VrLMf1yyXfP-pyczRAw9Y8Rw-uXG3c/edit#gid=0"",""'Game 10'!S25"")+50,IMPORTRANGE(""https://docs.google.com/spreadsheets/d/1UrzyxmT40kDZwVrLMf1yyXfP-pyczRAw9Y8Rw-uXG3c/edit#gid=0"",""'Game 10'!S25"")+100)))"),156.0)</f>
        <v>156</v>
      </c>
      <c r="O23" s="7">
        <f>IFERROR(__xludf.DUMMYFUNCTION("IF($A23=IMPORTRANGE(""https://docs.google.com/spreadsheets/d/1iyMhSYWifw-KGFtyeBpNxVZr4BhcV9hVZuShgJ9Ia0E/edit#gid=0"",""'Game 10'!B1""),IF(IMPORTRANGE(""https://docs.google.com/spreadsheets/d/1iyMhSYWifw-KGFtyeBpNxVZr4BhcV9hVZuShgJ9Ia0E/edit#gid=0"",""'G"&amp;"ame 10'!J25"")&gt;IMPORTRANGE(""https://docs.google.com/spreadsheets/d/1iyMhSYWifw-KGFtyeBpNxVZr4BhcV9hVZuShgJ9Ia0E/edit#gid=0"",""'Game 10'!S25""),IMPORTRANGE(""https://docs.google.com/spreadsheets/d/1iyMhSYWifw-KGFtyeBpNxVZr4BhcV9hVZuShgJ9Ia0E/edit#gid=0"""&amp;",""'Game 10'!J25"")+100,IF(IMPORTRANGE(""https://docs.google.com/spreadsheets/d/1iyMhSYWifw-KGFtyeBpNxVZr4BhcV9hVZuShgJ9Ia0E/edit#gid=0"",""'Game 10'!J25"")=IMPORTRANGE(""https://docs.google.com/spreadsheets/d/1iyMhSYWifw-KGFtyeBpNxVZr4BhcV9hVZuShgJ9Ia0E/"&amp;"edit#gid=0"",""'Game 10'!S25""),IMPORTRANGE(""https://docs.google.com/spreadsheets/d/1iyMhSYWifw-KGFtyeBpNxVZr4BhcV9hVZuShgJ9Ia0E/edit#gid=0"",""'Game 10'!J25"")+50,IMPORTRANGE(""https://docs.google.com/spreadsheets/d/1iyMhSYWifw-KGFtyeBpNxVZr4BhcV9hVZuSh"&amp;"gJ9Ia0E/edit#gid=0"",""'Game 10'!J25""))),IF(IMPORTRANGE(""https://docs.google.com/spreadsheets/d/1iyMhSYWifw-KGFtyeBpNxVZr4BhcV9hVZuShgJ9Ia0E/edit#gid=0"",""'Game 10'!J25"")&gt;IMPORTRANGE(""https://docs.google.com/spreadsheets/d/1iyMhSYWifw-KGFtyeBpNxVZr4B"&amp;"hcV9hVZuShgJ9Ia0E/edit#gid=0"",""'Game 10'!S25""),IMPORTRANGE(""https://docs.google.com/spreadsheets/d/1iyMhSYWifw-KGFtyeBpNxVZr4BhcV9hVZuShgJ9Ia0E/edit#gid=0"",""'Game 10'!S25""),IF(IMPORTRANGE(""https://docs.google.com/spreadsheets/d/1iyMhSYWifw-KGFtyeB"&amp;"pNxVZr4BhcV9hVZuShgJ9Ia0E/edit#gid=0"",""'Game 10'!J25"")=IMPORTRANGE(""https://docs.google.com/spreadsheets/d/1iyMhSYWifw-KGFtyeBpNxVZr4BhcV9hVZuShgJ9Ia0E/edit#gid=0"",""'Game 10'!S25""),IMPORTRANGE(""https://docs.google.com/spreadsheets/d/1iyMhSYWifw-KG"&amp;"FtyeBpNxVZr4BhcV9hVZuShgJ9Ia0E/edit#gid=0"",""'Game 10'!S25"")+50,IMPORTRANGE(""https://docs.google.com/spreadsheets/d/1iyMhSYWifw-KGFtyeBpNxVZr4BhcV9hVZuShgJ9Ia0E/edit#gid=0"",""'Game 10'!S25"")+100)))"),126.0)</f>
        <v>126</v>
      </c>
      <c r="P23" s="7">
        <f>IFERROR(__xludf.DUMMYFUNCTION("IF($A23=IMPORTRANGE(""https://docs.google.com/spreadsheets/d/1sSbIK-vvHsSY0LghLJ9gcnW8Hec_ITI2tFmpeqI999A/edit#gid=0"",""'Game 8'!B1""),IF(IMPORTRANGE(""https://docs.google.com/spreadsheets/d/1sSbIK-vvHsSY0LghLJ9gcnW8Hec_ITI2tFmpeqI999A/edit#gid=0"",""'Ga"&amp;"me 8'!J25"")&gt;IMPORTRANGE(""https://docs.google.com/spreadsheets/d/1sSbIK-vvHsSY0LghLJ9gcnW8Hec_ITI2tFmpeqI999A/edit#gid=0"",""'Game 8'!S25""),IMPORTRANGE(""https://docs.google.com/spreadsheets/d/1sSbIK-vvHsSY0LghLJ9gcnW8Hec_ITI2tFmpeqI999A/edit#gid=0"","""&amp;"'Game 8'!J25"")+100,IF(IMPORTRANGE(""https://docs.google.com/spreadsheets/d/1sSbIK-vvHsSY0LghLJ9gcnW8Hec_ITI2tFmpeqI999A/edit#gid=0"",""'Game 8'!J25"")=IMPORTRANGE(""https://docs.google.com/spreadsheets/d/1sSbIK-vvHsSY0LghLJ9gcnW8Hec_ITI2tFmpeqI999A/edit#"&amp;"gid=0"",""'Game 8'!S25""),IMPORTRANGE(""https://docs.google.com/spreadsheets/d/1sSbIK-vvHsSY0LghLJ9gcnW8Hec_ITI2tFmpeqI999A/edit#gid=0"",""'Game 8'!J25"")+50,IMPORTRANGE(""https://docs.google.com/spreadsheets/d/1sSbIK-vvHsSY0LghLJ9gcnW8Hec_ITI2tFmpeqI999A"&amp;"/edit#gid=0"",""'Game 8'!J25""))),IF(IMPORTRANGE(""https://docs.google.com/spreadsheets/d/1sSbIK-vvHsSY0LghLJ9gcnW8Hec_ITI2tFmpeqI999A/edit#gid=0"",""'Game 8'!J25"")&gt;IMPORTRANGE(""https://docs.google.com/spreadsheets/d/1sSbIK-vvHsSY0LghLJ9gcnW8Hec_ITI2tFm"&amp;"peqI999A/edit#gid=0"",""'Game 8'!S25""),IMPORTRANGE(""https://docs.google.com/spreadsheets/d/1sSbIK-vvHsSY0LghLJ9gcnW8Hec_ITI2tFmpeqI999A/edit#gid=0"",""'Game 8'!S25""),IF(IMPORTRANGE(""https://docs.google.com/spreadsheets/d/1sSbIK-vvHsSY0LghLJ9gcnW8Hec_I"&amp;"TI2tFmpeqI999A/edit#gid=0"",""'Game 8'!J25"")=IMPORTRANGE(""https://docs.google.com/spreadsheets/d/1sSbIK-vvHsSY0LghLJ9gcnW8Hec_ITI2tFmpeqI999A/edit#gid=0"",""'Game 8'!S25""),IMPORTRANGE(""https://docs.google.com/spreadsheets/d/1sSbIK-vvHsSY0LghLJ9gcnW8He"&amp;"c_ITI2tFmpeqI999A/edit#gid=0"",""'Game 8'!S25"")+50,IMPORTRANGE(""https://docs.google.com/spreadsheets/d/1sSbIK-vvHsSY0LghLJ9gcnW8Hec_ITI2tFmpeqI999A/edit#gid=0"",""'Game 8'!S25"")+100)))"),10.0)</f>
        <v>10</v>
      </c>
      <c r="Q23" s="37">
        <f t="shared" si="1"/>
        <v>988</v>
      </c>
      <c r="R23" s="37">
        <f t="shared" si="2"/>
        <v>20</v>
      </c>
    </row>
    <row r="24">
      <c r="A24" s="33" t="s">
        <v>292</v>
      </c>
      <c r="B24" s="34">
        <v>192.0</v>
      </c>
      <c r="C24" s="34">
        <v>198.0</v>
      </c>
      <c r="D24" s="34">
        <v>192.0</v>
      </c>
      <c r="E24" s="34">
        <v>142.0</v>
      </c>
      <c r="F24" s="34">
        <v>204.0</v>
      </c>
      <c r="G24" s="35">
        <f>IFERROR(__xludf.DUMMYFUNCTION("IF($A24=IMPORTRANGE(""https://docs.google.com/spreadsheets/d/16J5ie7OD1E99qGO9lMDm8w5Yls-v190B7DTolJ5TmFc/edit#gid=1981724582"",""'Game 13'!B1""),IF(IMPORTRANGE(""https://docs.google.com/spreadsheets/d/16J5ie7OD1E99qGO9lMDm8w5Yls-v190B7DTolJ5TmFc/edit#gid"&amp;"=1981724582"",""'Game 13'!J25"")&gt;IMPORTRANGE(""https://docs.google.com/spreadsheets/d/16J5ie7OD1E99qGO9lMDm8w5Yls-v190B7DTolJ5TmFc/edit#gid=1981724582"",""'Game 13'!S25""),IMPORTRANGE(""https://docs.google.com/spreadsheets/d/16J5ie7OD1E99qGO9lMDm8w5Yls-v1"&amp;"90B7DTolJ5TmFc/edit#gid=1981724582"",""'Game 13'!J25"")+100,IF(IMPORTRANGE(""https://docs.google.com/spreadsheets/d/16J5ie7OD1E99qGO9lMDm8w5Yls-v190B7DTolJ5TmFc/edit#gid=1981724582"",""'Game 13'!J25"")=IMPORTRANGE(""https://docs.google.com/spreadsheets/d/"&amp;"16J5ie7OD1E99qGO9lMDm8w5Yls-v190B7DTolJ5TmFc/edit#gid=1981724582"",""'Game 13'!S25""),IMPORTRANGE(""https://docs.google.com/spreadsheets/d/16J5ie7OD1E99qGO9lMDm8w5Yls-v190B7DTolJ5TmFc/edit#gid=1981724582"",""'Game 13'!J25"")+50,IMPORTRANGE(""https://docs."&amp;"google.com/spreadsheets/d/16J5ie7OD1E99qGO9lMDm8w5Yls-v190B7DTolJ5TmFc/edit#gid=1981724582"",""'Game 13'!J25""))),IF(IMPORTRANGE(""https://docs.google.com/spreadsheets/d/16J5ie7OD1E99qGO9lMDm8w5Yls-v190B7DTolJ5TmFc/edit#gid=1981724582"",""'Game 13'!J25"")"&amp;"&gt;IMPORTRANGE(""https://docs.google.com/spreadsheets/d/16J5ie7OD1E99qGO9lMDm8w5Yls-v190B7DTolJ5TmFc/edit#gid=1981724582"",""'Game 13'!S25""),IMPORTRANGE(""https://docs.google.com/spreadsheets/d/16J5ie7OD1E99qGO9lMDm8w5Yls-v190B7DTolJ5TmFc/edit#gid=19817245"&amp;"82"",""'Game 13'!S25""),IF(IMPORTRANGE(""https://docs.google.com/spreadsheets/d/16J5ie7OD1E99qGO9lMDm8w5Yls-v190B7DTolJ5TmFc/edit#gid=1981724582"",""'Game 13'!J25"")=IMPORTRANGE(""https://docs.google.com/spreadsheets/d/16J5ie7OD1E99qGO9lMDm8w5Yls-v190B7DT"&amp;"olJ5TmFc/edit#gid=1981724582"",""'Game 13'!S25""),IMPORTRANGE(""https://docs.google.com/spreadsheets/d/16J5ie7OD1E99qGO9lMDm8w5Yls-v190B7DTolJ5TmFc/edit#gid=1981724582"",""'Game 13'!S25"")+50,IMPORTRANGE(""https://docs.google.com/spreadsheets/d/16J5ie7OD1"&amp;"E99qGO9lMDm8w5Yls-v190B7DTolJ5TmFc/edit#gid=1981724582"",""'Game 13'!S25"")+100)))"),246.0)</f>
        <v>246</v>
      </c>
      <c r="H24" s="34">
        <v>158.0</v>
      </c>
      <c r="I24" s="5">
        <f>IFERROR(__xludf.DUMMYFUNCTION("IF($A24=IMPORTRANGE(""https://docs.google.com/spreadsheets/d/1CTYfdyRk_RFGM3I2iN9bKeD9zUPzEm1ajzml6VgwfIU/edit#gid=0"",""'Game 10'!B1""),IF(IMPORTRANGE(""https://docs.google.com/spreadsheets/d/1CTYfdyRk_RFGM3I2iN9bKeD9zUPzEm1ajzml6VgwfIU/edit#gid=0"",""'G"&amp;"ame 10'!J25"")&gt;IMPORTRANGE(""https://docs.google.com/spreadsheets/d/1CTYfdyRk_RFGM3I2iN9bKeD9zUPzEm1ajzml6VgwfIU/edit#gid=0"",""'Game 10'!S25""),IMPORTRANGE(""https://docs.google.com/spreadsheets/d/1CTYfdyRk_RFGM3I2iN9bKeD9zUPzEm1ajzml6VgwfIU/edit#gid=0"""&amp;",""'Game 10'!J25"")+100,IF(IMPORTRANGE(""https://docs.google.com/spreadsheets/d/1CTYfdyRk_RFGM3I2iN9bKeD9zUPzEm1ajzml6VgwfIU/edit#gid=0"",""'Game 10'!J25"")=IMPORTRANGE(""https://docs.google.com/spreadsheets/d/1CTYfdyRk_RFGM3I2iN9bKeD9zUPzEm1ajzml6VgwfIU/"&amp;"edit#gid=0"",""'Game 10'!S25""),IMPORTRANGE(""https://docs.google.com/spreadsheets/d/1CTYfdyRk_RFGM3I2iN9bKeD9zUPzEm1ajzml6VgwfIU/edit#gid=0"",""'Game 10'!J25"")+50,IMPORTRANGE(""https://docs.google.com/spreadsheets/d/1CTYfdyRk_RFGM3I2iN9bKeD9zUPzEm1ajzml"&amp;"6VgwfIU/edit#gid=0"",""'Game 10'!J25""))),IF(IMPORTRANGE(""https://docs.google.com/spreadsheets/d/1CTYfdyRk_RFGM3I2iN9bKeD9zUPzEm1ajzml6VgwfIU/edit#gid=0"",""'Game 10'!J25"")&gt;IMPORTRANGE(""https://docs.google.com/spreadsheets/d/1CTYfdyRk_RFGM3I2iN9bKeD9zU"&amp;"PzEm1ajzml6VgwfIU/edit#gid=0"",""'Game 10'!S25""),IMPORTRANGE(""https://docs.google.com/spreadsheets/d/1CTYfdyRk_RFGM3I2iN9bKeD9zUPzEm1ajzml6VgwfIU/edit#gid=0"",""'Game 10'!S25""),IF(IMPORTRANGE(""https://docs.google.com/spreadsheets/d/1CTYfdyRk_RFGM3I2iN"&amp;"9bKeD9zUPzEm1ajzml6VgwfIU/edit#gid=0"",""'Game 10'!J25"")=IMPORTRANGE(""https://docs.google.com/spreadsheets/d/1CTYfdyRk_RFGM3I2iN9bKeD9zUPzEm1ajzml6VgwfIU/edit#gid=0"",""'Game 10'!S25""),IMPORTRANGE(""https://docs.google.com/spreadsheets/d/1CTYfdyRk_RFGM"&amp;"3I2iN9bKeD9zUPzEm1ajzml6VgwfIU/edit#gid=0"",""'Game 10'!S25"")+50,IMPORTRANGE(""https://docs.google.com/spreadsheets/d/1CTYfdyRk_RFGM3I2iN9bKeD9zUPzEm1ajzml6VgwfIU/edit#gid=0"",""'Game 10'!S25"")+100)))"),176.0)</f>
        <v>176</v>
      </c>
      <c r="J24" s="5">
        <f>IFERROR(__xludf.DUMMYFUNCTION("IF($A24=IMPORTRANGE(""https://docs.google.com/spreadsheets/d/11NFkzOdQyW-OtxSDuGslNCgNjx7HUb2FU7KnlNnPMgY/edit#gid=0"",""'Game 4'!B1""),IF(IMPORTRANGE(""https://docs.google.com/spreadsheets/d/11NFkzOdQyW-OtxSDuGslNCgNjx7HUb2FU7KnlNnPMgY/edit#gid=0"",""'Ga"&amp;"me 4'!J25"")&gt;IMPORTRANGE(""https://docs.google.com/spreadsheets/d/11NFkzOdQyW-OtxSDuGslNCgNjx7HUb2FU7KnlNnPMgY/edit#gid=0"",""'Game 4'!S25""),IMPORTRANGE(""https://docs.google.com/spreadsheets/d/11NFkzOdQyW-OtxSDuGslNCgNjx7HUb2FU7KnlNnPMgY/edit#gid=0"","""&amp;"'Game 4'!J25"")+100,IF(IMPORTRANGE(""https://docs.google.com/spreadsheets/d/11NFkzOdQyW-OtxSDuGslNCgNjx7HUb2FU7KnlNnPMgY/edit#gid=0"",""'Game 4'!J25"")=IMPORTRANGE(""https://docs.google.com/spreadsheets/d/11NFkzOdQyW-OtxSDuGslNCgNjx7HUb2FU7KnlNnPMgY/edit#"&amp;"gid=0"",""'Game 4'!S25""),IMPORTRANGE(""https://docs.google.com/spreadsheets/d/11NFkzOdQyW-OtxSDuGslNCgNjx7HUb2FU7KnlNnPMgY/edit#gid=0"",""'Game 4'!J25"")+50,IMPORTRANGE(""https://docs.google.com/spreadsheets/d/11NFkzOdQyW-OtxSDuGslNCgNjx7HUb2FU7KnlNnPMgY"&amp;"/edit#gid=0"",""'Game 4'!J25""))),IF(IMPORTRANGE(""https://docs.google.com/spreadsheets/d/11NFkzOdQyW-OtxSDuGslNCgNjx7HUb2FU7KnlNnPMgY/edit#gid=0"",""'Game 4'!J25"")&gt;IMPORTRANGE(""https://docs.google.com/spreadsheets/d/11NFkzOdQyW-OtxSDuGslNCgNjx7HUb2FU7K"&amp;"nlNnPMgY/edit#gid=0"",""'Game 4'!S25""),IMPORTRANGE(""https://docs.google.com/spreadsheets/d/11NFkzOdQyW-OtxSDuGslNCgNjx7HUb2FU7KnlNnPMgY/edit#gid=0"",""'Game 4'!S25""),IF(IMPORTRANGE(""https://docs.google.com/spreadsheets/d/11NFkzOdQyW-OtxSDuGslNCgNjx7HU"&amp;"b2FU7KnlNnPMgY/edit#gid=0"",""'Game 4'!J25"")=IMPORTRANGE(""https://docs.google.com/spreadsheets/d/11NFkzOdQyW-OtxSDuGslNCgNjx7HUb2FU7KnlNnPMgY/edit#gid=0"",""'Game 4'!S25""),IMPORTRANGE(""https://docs.google.com/spreadsheets/d/11NFkzOdQyW-OtxSDuGslNCgNjx"&amp;"7HUb2FU7KnlNnPMgY/edit#gid=0"",""'Game 4'!S25"")+50,IMPORTRANGE(""https://docs.google.com/spreadsheets/d/11NFkzOdQyW-OtxSDuGslNCgNjx7HUb2FU7KnlNnPMgY/edit#gid=0"",""'Game 4'!S25"")+100)))"),180.0)</f>
        <v>180</v>
      </c>
      <c r="K24" s="5">
        <f>IFERROR(__xludf.DUMMYFUNCTION("IF($A24=IMPORTRANGE(""https://docs.google.com/spreadsheets/d/1CLg5-jaE4ta0-u4oE1qbBplQ5Mf3Oj9ONFgL0zJ7Ol4/edit#gid=0"",""'Game 10'!B1""),IF(IMPORTRANGE(""https://docs.google.com/spreadsheets/d/1CLg5-jaE4ta0-u4oE1qbBplQ5Mf3Oj9ONFgL0zJ7Ol4/edit#gid=0"",""'G"&amp;"ame 10'!J25"")&gt;IMPORTRANGE(""https://docs.google.com/spreadsheets/d/1CLg5-jaE4ta0-u4oE1qbBplQ5Mf3Oj9ONFgL0zJ7Ol4/edit#gid=0"",""'Game 10'!S25""),IMPORTRANGE(""https://docs.google.com/spreadsheets/d/1CLg5-jaE4ta0-u4oE1qbBplQ5Mf3Oj9ONFgL0zJ7Ol4/edit#gid=0"""&amp;",""'Game 10'!J25"")+100,IF(IMPORTRANGE(""https://docs.google.com/spreadsheets/d/1CLg5-jaE4ta0-u4oE1qbBplQ5Mf3Oj9ONFgL0zJ7Ol4/edit#gid=0"",""'Game 10'!J25"")=IMPORTRANGE(""https://docs.google.com/spreadsheets/d/1CLg5-jaE4ta0-u4oE1qbBplQ5Mf3Oj9ONFgL0zJ7Ol4/"&amp;"edit#gid=0"",""'Game 10'!S25""),IMPORTRANGE(""https://docs.google.com/spreadsheets/d/1CLg5-jaE4ta0-u4oE1qbBplQ5Mf3Oj9ONFgL0zJ7Ol4/edit#gid=0"",""'Game 10'!J25"")+50,IMPORTRANGE(""https://docs.google.com/spreadsheets/d/1CLg5-jaE4ta0-u4oE1qbBplQ5Mf3Oj9ONFgL"&amp;"0zJ7Ol4/edit#gid=0"",""'Game 10'!J25""))),IF(IMPORTRANGE(""https://docs.google.com/spreadsheets/d/1CLg5-jaE4ta0-u4oE1qbBplQ5Mf3Oj9ONFgL0zJ7Ol4/edit#gid=0"",""'Game 10'!J25"")&gt;IMPORTRANGE(""https://docs.google.com/spreadsheets/d/1CLg5-jaE4ta0-u4oE1qbBplQ5M"&amp;"f3Oj9ONFgL0zJ7Ol4/edit#gid=0"",""'Game 10'!S25""),IMPORTRANGE(""https://docs.google.com/spreadsheets/d/1CLg5-jaE4ta0-u4oE1qbBplQ5Mf3Oj9ONFgL0zJ7Ol4/edit#gid=0"",""'Game 10'!S25""),IF(IMPORTRANGE(""https://docs.google.com/spreadsheets/d/1CLg5-jaE4ta0-u4oE1"&amp;"qbBplQ5Mf3Oj9ONFgL0zJ7Ol4/edit#gid=0"",""'Game 10'!J25"")=IMPORTRANGE(""https://docs.google.com/spreadsheets/d/1CLg5-jaE4ta0-u4oE1qbBplQ5Mf3Oj9ONFgL0zJ7Ol4/edit#gid=0"",""'Game 10'!S25""),IMPORTRANGE(""https://docs.google.com/spreadsheets/d/1CLg5-jaE4ta0-"&amp;"u4oE1qbBplQ5Mf3Oj9ONFgL0zJ7Ol4/edit#gid=0"",""'Game 10'!S25"")+50,IMPORTRANGE(""https://docs.google.com/spreadsheets/d/1CLg5-jaE4ta0-u4oE1qbBplQ5Mf3Oj9ONFgL0zJ7Ol4/edit#gid=0"",""'Game 10'!S25"")+100)))"),208.0)</f>
        <v>208</v>
      </c>
      <c r="L24" s="5">
        <f>IFERROR(__xludf.DUMMYFUNCTION("IF($A24=IMPORTRANGE(""https://docs.google.com/spreadsheets/d/1CeexgK4KxWj3k_7nql_k8-RPxXMwTJyB4Q3vAASeDlA/edit#gid=0"",""'Game 1'!B1""),IF(IMPORTRANGE(""https://docs.google.com/spreadsheets/d/1CeexgK4KxWj3k_7nql_k8-RPxXMwTJyB4Q3vAASeDlA/edit#gid=0"",""'Ga"&amp;"me 1'!J25"")&gt;IMPORTRANGE(""https://docs.google.com/spreadsheets/d/1CeexgK4KxWj3k_7nql_k8-RPxXMwTJyB4Q3vAASeDlA/edit#gid=0"",""'Game 1'!S25""),IMPORTRANGE(""https://docs.google.com/spreadsheets/d/1CeexgK4KxWj3k_7nql_k8-RPxXMwTJyB4Q3vAASeDlA/edit#gid=0"","""&amp;"'Game 1'!J25"")+100,IF(IMPORTRANGE(""https://docs.google.com/spreadsheets/d/1CeexgK4KxWj3k_7nql_k8-RPxXMwTJyB4Q3vAASeDlA/edit#gid=0"",""'Game 1'!J25"")=IMPORTRANGE(""https://docs.google.com/spreadsheets/d/1CeexgK4KxWj3k_7nql_k8-RPxXMwTJyB4Q3vAASeDlA/edit#"&amp;"gid=0"",""'Game 1'!S25""),IMPORTRANGE(""https://docs.google.com/spreadsheets/d/1CeexgK4KxWj3k_7nql_k8-RPxXMwTJyB4Q3vAASeDlA/edit#gid=0"",""'Game 1'!J25"")+50,IMPORTRANGE(""https://docs.google.com/spreadsheets/d/1CeexgK4KxWj3k_7nql_k8-RPxXMwTJyB4Q3vAASeDlA"&amp;"/edit#gid=0"",""'Game 1'!J25""))),IF(IMPORTRANGE(""https://docs.google.com/spreadsheets/d/1CeexgK4KxWj3k_7nql_k8-RPxXMwTJyB4Q3vAASeDlA/edit#gid=0"",""'Game 1'!J25"")&gt;IMPORTRANGE(""https://docs.google.com/spreadsheets/d/1CeexgK4KxWj3k_7nql_k8-RPxXMwTJyB4Q3"&amp;"vAASeDlA/edit#gid=0"",""'Game 1'!S25""),IMPORTRANGE(""https://docs.google.com/spreadsheets/d/1CeexgK4KxWj3k_7nql_k8-RPxXMwTJyB4Q3vAASeDlA/edit#gid=0"",""'Game 1'!S25""),IF(IMPORTRANGE(""https://docs.google.com/spreadsheets/d/1CeexgK4KxWj3k_7nql_k8-RPxXMwT"&amp;"JyB4Q3vAASeDlA/edit#gid=0"",""'Game 1'!J25"")=IMPORTRANGE(""https://docs.google.com/spreadsheets/d/1CeexgK4KxWj3k_7nql_k8-RPxXMwTJyB4Q3vAASeDlA/edit#gid=0"",""'Game 1'!S25""),IMPORTRANGE(""https://docs.google.com/spreadsheets/d/1CeexgK4KxWj3k_7nql_k8-RPxX"&amp;"MwTJyB4Q3vAASeDlA/edit#gid=0"",""'Game 1'!S25"")+50,IMPORTRANGE(""https://docs.google.com/spreadsheets/d/1CeexgK4KxWj3k_7nql_k8-RPxXMwTJyB4Q3vAASeDlA/edit#gid=0"",""'Game 1'!S25"")+100)))"),172.0)</f>
        <v>172</v>
      </c>
      <c r="M24" s="5">
        <f>IFERROR(__xludf.DUMMYFUNCTION("IF($A24=IMPORTRANGE(""https://docs.google.com/spreadsheets/d/1MNwUNMjcwK6bEgCXwB73jpbK5gJAXS8ZMpbEMLJEP3E/edit#gid=0"",""'Game 10'!B1""),IF(IMPORTRANGE(""https://docs.google.com/spreadsheets/d/1MNwUNMjcwK6bEgCXwB73jpbK5gJAXS8ZMpbEMLJEP3E/edit#gid=0"",""'G"&amp;"ame 10'!J25"")&gt;IMPORTRANGE(""https://docs.google.com/spreadsheets/d/1MNwUNMjcwK6bEgCXwB73jpbK5gJAXS8ZMpbEMLJEP3E/edit#gid=0"",""'Game 10'!S25""),IMPORTRANGE(""https://docs.google.com/spreadsheets/d/1MNwUNMjcwK6bEgCXwB73jpbK5gJAXS8ZMpbEMLJEP3E/edit#gid=0"""&amp;",""'Game 10'!J25"")+100,IF(IMPORTRANGE(""https://docs.google.com/spreadsheets/d/1MNwUNMjcwK6bEgCXwB73jpbK5gJAXS8ZMpbEMLJEP3E/edit#gid=0"",""'Game 10'!J25"")=IMPORTRANGE(""https://docs.google.com/spreadsheets/d/1MNwUNMjcwK6bEgCXwB73jpbK5gJAXS8ZMpbEMLJEP3E/"&amp;"edit#gid=0"",""'Game 10'!S25""),IMPORTRANGE(""https://docs.google.com/spreadsheets/d/1MNwUNMjcwK6bEgCXwB73jpbK5gJAXS8ZMpbEMLJEP3E/edit#gid=0"",""'Game 10'!J25"")+50,IMPORTRANGE(""https://docs.google.com/spreadsheets/d/1MNwUNMjcwK6bEgCXwB73jpbK5gJAXS8ZMpbE"&amp;"MLJEP3E/edit#gid=0"",""'Game 10'!J25""))),IF(IMPORTRANGE(""https://docs.google.com/spreadsheets/d/1MNwUNMjcwK6bEgCXwB73jpbK5gJAXS8ZMpbEMLJEP3E/edit#gid=0"",""'Game 10'!J25"")&gt;IMPORTRANGE(""https://docs.google.com/spreadsheets/d/1MNwUNMjcwK6bEgCXwB73jpbK5g"&amp;"JAXS8ZMpbEMLJEP3E/edit#gid=0"",""'Game 10'!S25""),IMPORTRANGE(""https://docs.google.com/spreadsheets/d/1MNwUNMjcwK6bEgCXwB73jpbK5gJAXS8ZMpbEMLJEP3E/edit#gid=0"",""'Game 10'!S25""),IF(IMPORTRANGE(""https://docs.google.com/spreadsheets/d/1MNwUNMjcwK6bEgCXwB"&amp;"73jpbK5gJAXS8ZMpbEMLJEP3E/edit#gid=0"",""'Game 10'!J25"")=IMPORTRANGE(""https://docs.google.com/spreadsheets/d/1MNwUNMjcwK6bEgCXwB73jpbK5gJAXS8ZMpbEMLJEP3E/edit#gid=0"",""'Game 10'!S25""),IMPORTRANGE(""https://docs.google.com/spreadsheets/d/1MNwUNMjcwK6bE"&amp;"gCXwB73jpbK5gJAXS8ZMpbEMLJEP3E/edit#gid=0"",""'Game 10'!S25"")+50,IMPORTRANGE(""https://docs.google.com/spreadsheets/d/1MNwUNMjcwK6bEgCXwB73jpbK5gJAXS8ZMpbEMLJEP3E/edit#gid=0"",""'Game 10'!S25"")+100)))"),194.0)</f>
        <v>194</v>
      </c>
      <c r="N24" s="5">
        <f>IFERROR(__xludf.DUMMYFUNCTION("IF($A24=IMPORTRANGE(""https://docs.google.com/spreadsheets/d/1UrzyxmT40kDZwVrLMf1yyXfP-pyczRAw9Y8Rw-uXG3c/edit#gid=0"",""'Game 7'!B1""),IF(IMPORTRANGE(""https://docs.google.com/spreadsheets/d/1UrzyxmT40kDZwVrLMf1yyXfP-pyczRAw9Y8Rw-uXG3c/edit#gid=0"",""'Ga"&amp;"me 7'!J25"")&gt;IMPORTRANGE(""https://docs.google.com/spreadsheets/d/1UrzyxmT40kDZwVrLMf1yyXfP-pyczRAw9Y8Rw-uXG3c/edit#gid=0"",""'Game 7'!S25""),IMPORTRANGE(""https://docs.google.com/spreadsheets/d/1UrzyxmT40kDZwVrLMf1yyXfP-pyczRAw9Y8Rw-uXG3c/edit#gid=0"","""&amp;"'Game 7'!J25"")+100,IF(IMPORTRANGE(""https://docs.google.com/spreadsheets/d/1UrzyxmT40kDZwVrLMf1yyXfP-pyczRAw9Y8Rw-uXG3c/edit#gid=0"",""'Game 7'!J25"")=IMPORTRANGE(""https://docs.google.com/spreadsheets/d/1UrzyxmT40kDZwVrLMf1yyXfP-pyczRAw9Y8Rw-uXG3c/edit#"&amp;"gid=0"",""'Game 7'!S25""),IMPORTRANGE(""https://docs.google.com/spreadsheets/d/1UrzyxmT40kDZwVrLMf1yyXfP-pyczRAw9Y8Rw-uXG3c/edit#gid=0"",""'Game 7'!J25"")+50,IMPORTRANGE(""https://docs.google.com/spreadsheets/d/1UrzyxmT40kDZwVrLMf1yyXfP-pyczRAw9Y8Rw-uXG3c"&amp;"/edit#gid=0"",""'Game 7'!J25""))),IF(IMPORTRANGE(""https://docs.google.com/spreadsheets/d/1UrzyxmT40kDZwVrLMf1yyXfP-pyczRAw9Y8Rw-uXG3c/edit#gid=0"",""'Game 7'!J25"")&gt;IMPORTRANGE(""https://docs.google.com/spreadsheets/d/1UrzyxmT40kDZwVrLMf1yyXfP-pyczRAw9Y8"&amp;"Rw-uXG3c/edit#gid=0"",""'Game 7'!S25""),IMPORTRANGE(""https://docs.google.com/spreadsheets/d/1UrzyxmT40kDZwVrLMf1yyXfP-pyczRAw9Y8Rw-uXG3c/edit#gid=0"",""'Game 7'!S25""),IF(IMPORTRANGE(""https://docs.google.com/spreadsheets/d/1UrzyxmT40kDZwVrLMf1yyXfP-pycz"&amp;"RAw9Y8Rw-uXG3c/edit#gid=0"",""'Game 7'!J25"")=IMPORTRANGE(""https://docs.google.com/spreadsheets/d/1UrzyxmT40kDZwVrLMf1yyXfP-pyczRAw9Y8Rw-uXG3c/edit#gid=0"",""'Game 7'!S25""),IMPORTRANGE(""https://docs.google.com/spreadsheets/d/1UrzyxmT40kDZwVrLMf1yyXfP-p"&amp;"yczRAw9Y8Rw-uXG3c/edit#gid=0"",""'Game 7'!S25"")+50,IMPORTRANGE(""https://docs.google.com/spreadsheets/d/1UrzyxmT40kDZwVrLMf1yyXfP-pyczRAw9Y8Rw-uXG3c/edit#gid=0"",""'Game 7'!S25"")+100)))"),222.0)</f>
        <v>222</v>
      </c>
      <c r="O24" s="5">
        <f>IFERROR(__xludf.DUMMYFUNCTION("IF($A24=IMPORTRANGE(""https://docs.google.com/spreadsheets/d/1iyMhSYWifw-KGFtyeBpNxVZr4BhcV9hVZuShgJ9Ia0E/edit#gid=0"",""'Game 9'!B1""),IF(IMPORTRANGE(""https://docs.google.com/spreadsheets/d/1iyMhSYWifw-KGFtyeBpNxVZr4BhcV9hVZuShgJ9Ia0E/edit#gid=0"",""'Ga"&amp;"me 9'!J25"")&gt;IMPORTRANGE(""https://docs.google.com/spreadsheets/d/1iyMhSYWifw-KGFtyeBpNxVZr4BhcV9hVZuShgJ9Ia0E/edit#gid=0"",""'Game 9'!S25""),IMPORTRANGE(""https://docs.google.com/spreadsheets/d/1iyMhSYWifw-KGFtyeBpNxVZr4BhcV9hVZuShgJ9Ia0E/edit#gid=0"","""&amp;"'Game 9'!J25"")+100,IF(IMPORTRANGE(""https://docs.google.com/spreadsheets/d/1iyMhSYWifw-KGFtyeBpNxVZr4BhcV9hVZuShgJ9Ia0E/edit#gid=0"",""'Game 9'!J25"")=IMPORTRANGE(""https://docs.google.com/spreadsheets/d/1iyMhSYWifw-KGFtyeBpNxVZr4BhcV9hVZuShgJ9Ia0E/edit#"&amp;"gid=0"",""'Game 9'!S25""),IMPORTRANGE(""https://docs.google.com/spreadsheets/d/1iyMhSYWifw-KGFtyeBpNxVZr4BhcV9hVZuShgJ9Ia0E/edit#gid=0"",""'Game 9'!J25"")+50,IMPORTRANGE(""https://docs.google.com/spreadsheets/d/1iyMhSYWifw-KGFtyeBpNxVZr4BhcV9hVZuShgJ9Ia0E"&amp;"/edit#gid=0"",""'Game 9'!J25""))),IF(IMPORTRANGE(""https://docs.google.com/spreadsheets/d/1iyMhSYWifw-KGFtyeBpNxVZr4BhcV9hVZuShgJ9Ia0E/edit#gid=0"",""'Game 9'!J25"")&gt;IMPORTRANGE(""https://docs.google.com/spreadsheets/d/1iyMhSYWifw-KGFtyeBpNxVZr4BhcV9hVZuS"&amp;"hgJ9Ia0E/edit#gid=0"",""'Game 9'!S25""),IMPORTRANGE(""https://docs.google.com/spreadsheets/d/1iyMhSYWifw-KGFtyeBpNxVZr4BhcV9hVZuShgJ9Ia0E/edit#gid=0"",""'Game 9'!S25""),IF(IMPORTRANGE(""https://docs.google.com/spreadsheets/d/1iyMhSYWifw-KGFtyeBpNxVZr4BhcV"&amp;"9hVZuShgJ9Ia0E/edit#gid=0"",""'Game 9'!J25"")=IMPORTRANGE(""https://docs.google.com/spreadsheets/d/1iyMhSYWifw-KGFtyeBpNxVZr4BhcV9hVZuShgJ9Ia0E/edit#gid=0"",""'Game 9'!S25""),IMPORTRANGE(""https://docs.google.com/spreadsheets/d/1iyMhSYWifw-KGFtyeBpNxVZr4B"&amp;"hcV9hVZuShgJ9Ia0E/edit#gid=0"",""'Game 9'!S25"")+50,IMPORTRANGE(""https://docs.google.com/spreadsheets/d/1iyMhSYWifw-KGFtyeBpNxVZr4BhcV9hVZuShgJ9Ia0E/edit#gid=0"",""'Game 9'!S25"")+100)))"),44.0)</f>
        <v>44</v>
      </c>
      <c r="P24" s="5">
        <f>IFERROR(__xludf.DUMMYFUNCTION("IF($A24=IMPORTRANGE(""https://docs.google.com/spreadsheets/d/1sSbIK-vvHsSY0LghLJ9gcnW8Hec_ITI2tFmpeqI999A/edit#gid=0"",""'Game 8'!B1""),IF(IMPORTRANGE(""https://docs.google.com/spreadsheets/d/1sSbIK-vvHsSY0LghLJ9gcnW8Hec_ITI2tFmpeqI999A/edit#gid=0"",""'Ga"&amp;"me 8'!J25"")&gt;IMPORTRANGE(""https://docs.google.com/spreadsheets/d/1sSbIK-vvHsSY0LghLJ9gcnW8Hec_ITI2tFmpeqI999A/edit#gid=0"",""'Game 8'!S25""),IMPORTRANGE(""https://docs.google.com/spreadsheets/d/1sSbIK-vvHsSY0LghLJ9gcnW8Hec_ITI2tFmpeqI999A/edit#gid=0"","""&amp;"'Game 8'!J25"")+100,IF(IMPORTRANGE(""https://docs.google.com/spreadsheets/d/1sSbIK-vvHsSY0LghLJ9gcnW8Hec_ITI2tFmpeqI999A/edit#gid=0"",""'Game 8'!J25"")=IMPORTRANGE(""https://docs.google.com/spreadsheets/d/1sSbIK-vvHsSY0LghLJ9gcnW8Hec_ITI2tFmpeqI999A/edit#"&amp;"gid=0"",""'Game 8'!S25""),IMPORTRANGE(""https://docs.google.com/spreadsheets/d/1sSbIK-vvHsSY0LghLJ9gcnW8Hec_ITI2tFmpeqI999A/edit#gid=0"",""'Game 8'!J25"")+50,IMPORTRANGE(""https://docs.google.com/spreadsheets/d/1sSbIK-vvHsSY0LghLJ9gcnW8Hec_ITI2tFmpeqI999A"&amp;"/edit#gid=0"",""'Game 8'!J25""))),IF(IMPORTRANGE(""https://docs.google.com/spreadsheets/d/1sSbIK-vvHsSY0LghLJ9gcnW8Hec_ITI2tFmpeqI999A/edit#gid=0"",""'Game 8'!J25"")&gt;IMPORTRANGE(""https://docs.google.com/spreadsheets/d/1sSbIK-vvHsSY0LghLJ9gcnW8Hec_ITI2tFm"&amp;"peqI999A/edit#gid=0"",""'Game 8'!S25""),IMPORTRANGE(""https://docs.google.com/spreadsheets/d/1sSbIK-vvHsSY0LghLJ9gcnW8Hec_ITI2tFmpeqI999A/edit#gid=0"",""'Game 8'!S25""),IF(IMPORTRANGE(""https://docs.google.com/spreadsheets/d/1sSbIK-vvHsSY0LghLJ9gcnW8Hec_I"&amp;"TI2tFmpeqI999A/edit#gid=0"",""'Game 8'!J25"")=IMPORTRANGE(""https://docs.google.com/spreadsheets/d/1sSbIK-vvHsSY0LghLJ9gcnW8Hec_ITI2tFmpeqI999A/edit#gid=0"",""'Game 8'!S25""),IMPORTRANGE(""https://docs.google.com/spreadsheets/d/1sSbIK-vvHsSY0LghLJ9gcnW8He"&amp;"c_ITI2tFmpeqI999A/edit#gid=0"",""'Game 8'!S25"")+50,IMPORTRANGE(""https://docs.google.com/spreadsheets/d/1sSbIK-vvHsSY0LghLJ9gcnW8Hec_ITI2tFmpeqI999A/edit#gid=0"",""'Game 8'!S25"")+100)))"),202.0)</f>
        <v>202</v>
      </c>
      <c r="Q24" s="35">
        <f t="shared" si="1"/>
        <v>2730</v>
      </c>
      <c r="R24" s="35">
        <f t="shared" si="2"/>
        <v>1</v>
      </c>
    </row>
    <row r="25">
      <c r="A25" s="32" t="s">
        <v>303</v>
      </c>
      <c r="B25" s="36">
        <v>190.0</v>
      </c>
      <c r="C25" s="36">
        <v>180.0</v>
      </c>
      <c r="D25" s="36">
        <v>136.0</v>
      </c>
      <c r="E25" s="36">
        <v>130.0</v>
      </c>
      <c r="F25" s="36">
        <v>174.0</v>
      </c>
      <c r="G25" s="37">
        <f>IFERROR(__xludf.DUMMYFUNCTION("IF($A25=IMPORTRANGE(""https://docs.google.com/spreadsheets/d/16J5ie7OD1E99qGO9lMDm8w5Yls-v190B7DTolJ5TmFc/edit#gid=1981724582"",""'Game 2'!B1""),IF(IMPORTRANGE(""https://docs.google.com/spreadsheets/d/16J5ie7OD1E99qGO9lMDm8w5Yls-v190B7DTolJ5TmFc/edit#gid="&amp;"1981724582"",""'Game 2'!J25"")&gt;IMPORTRANGE(""https://docs.google.com/spreadsheets/d/16J5ie7OD1E99qGO9lMDm8w5Yls-v190B7DTolJ5TmFc/edit#gid=1981724582"",""'Game 2'!S25""),IMPORTRANGE(""https://docs.google.com/spreadsheets/d/16J5ie7OD1E99qGO9lMDm8w5Yls-v190B"&amp;"7DTolJ5TmFc/edit#gid=1981724582"",""'Game 2'!J25"")+100,IF(IMPORTRANGE(""https://docs.google.com/spreadsheets/d/16J5ie7OD1E99qGO9lMDm8w5Yls-v190B7DTolJ5TmFc/edit#gid=1981724582"",""'Game 2'!J25"")=IMPORTRANGE(""https://docs.google.com/spreadsheets/d/16J5i"&amp;"e7OD1E99qGO9lMDm8w5Yls-v190B7DTolJ5TmFc/edit#gid=1981724582"",""'Game 2'!S25""),IMPORTRANGE(""https://docs.google.com/spreadsheets/d/16J5ie7OD1E99qGO9lMDm8w5Yls-v190B7DTolJ5TmFc/edit#gid=1981724582"",""'Game 2'!J25"")+50,IMPORTRANGE(""https://docs.google."&amp;"com/spreadsheets/d/16J5ie7OD1E99qGO9lMDm8w5Yls-v190B7DTolJ5TmFc/edit#gid=1981724582"",""'Game 2'!J25""))),IF(IMPORTRANGE(""https://docs.google.com/spreadsheets/d/16J5ie7OD1E99qGO9lMDm8w5Yls-v190B7DTolJ5TmFc/edit#gid=1981724582"",""'Game 2'!J25"")&gt;IMPORTRA"&amp;"NGE(""https://docs.google.com/spreadsheets/d/16J5ie7OD1E99qGO9lMDm8w5Yls-v190B7DTolJ5TmFc/edit#gid=1981724582"",""'Game 2'!S25""),IMPORTRANGE(""https://docs.google.com/spreadsheets/d/16J5ie7OD1E99qGO9lMDm8w5Yls-v190B7DTolJ5TmFc/edit#gid=1981724582"",""'Ga"&amp;"me 2'!S25""),IF(IMPORTRANGE(""https://docs.google.com/spreadsheets/d/16J5ie7OD1E99qGO9lMDm8w5Yls-v190B7DTolJ5TmFc/edit#gid=1981724582"",""'Game 2'!J25"")=IMPORTRANGE(""https://docs.google.com/spreadsheets/d/16J5ie7OD1E99qGO9lMDm8w5Yls-v190B7DTolJ5TmFc/edi"&amp;"t#gid=1981724582"",""'Game 2'!S25""),IMPORTRANGE(""https://docs.google.com/spreadsheets/d/16J5ie7OD1E99qGO9lMDm8w5Yls-v190B7DTolJ5TmFc/edit#gid=1981724582"",""'Game 2'!S25"")+50,IMPORTRANGE(""https://docs.google.com/spreadsheets/d/16J5ie7OD1E99qGO9lMDm8w5"&amp;"Yls-v190B7DTolJ5TmFc/edit#gid=1981724582"",""'Game 2'!S25"")+100)))"),194.0)</f>
        <v>194</v>
      </c>
      <c r="H25" s="36">
        <v>204.0</v>
      </c>
      <c r="I25" s="7">
        <f>IFERROR(__xludf.DUMMYFUNCTION("IF($A25=IMPORTRANGE(""https://docs.google.com/spreadsheets/d/1CTYfdyRk_RFGM3I2iN9bKeD9zUPzEm1ajzml6VgwfIU/edit#gid=0"",""'Game 6'!B1""),IF(IMPORTRANGE(""https://docs.google.com/spreadsheets/d/1CTYfdyRk_RFGM3I2iN9bKeD9zUPzEm1ajzml6VgwfIU/edit#gid=0"",""'Ga"&amp;"me 6'!J25"")&gt;IMPORTRANGE(""https://docs.google.com/spreadsheets/d/1CTYfdyRk_RFGM3I2iN9bKeD9zUPzEm1ajzml6VgwfIU/edit#gid=0"",""'Game 6'!S25""),IMPORTRANGE(""https://docs.google.com/spreadsheets/d/1CTYfdyRk_RFGM3I2iN9bKeD9zUPzEm1ajzml6VgwfIU/edit#gid=0"","""&amp;"'Game 6'!J25"")+100,IF(IMPORTRANGE(""https://docs.google.com/spreadsheets/d/1CTYfdyRk_RFGM3I2iN9bKeD9zUPzEm1ajzml6VgwfIU/edit#gid=0"",""'Game 6'!J25"")=IMPORTRANGE(""https://docs.google.com/spreadsheets/d/1CTYfdyRk_RFGM3I2iN9bKeD9zUPzEm1ajzml6VgwfIU/edit#"&amp;"gid=0"",""'Game 6'!S25""),IMPORTRANGE(""https://docs.google.com/spreadsheets/d/1CTYfdyRk_RFGM3I2iN9bKeD9zUPzEm1ajzml6VgwfIU/edit#gid=0"",""'Game 6'!J25"")+50,IMPORTRANGE(""https://docs.google.com/spreadsheets/d/1CTYfdyRk_RFGM3I2iN9bKeD9zUPzEm1ajzml6VgwfIU"&amp;"/edit#gid=0"",""'Game 6'!J25""))),IF(IMPORTRANGE(""https://docs.google.com/spreadsheets/d/1CTYfdyRk_RFGM3I2iN9bKeD9zUPzEm1ajzml6VgwfIU/edit#gid=0"",""'Game 6'!J25"")&gt;IMPORTRANGE(""https://docs.google.com/spreadsheets/d/1CTYfdyRk_RFGM3I2iN9bKeD9zUPzEm1ajzm"&amp;"l6VgwfIU/edit#gid=0"",""'Game 6'!S25""),IMPORTRANGE(""https://docs.google.com/spreadsheets/d/1CTYfdyRk_RFGM3I2iN9bKeD9zUPzEm1ajzml6VgwfIU/edit#gid=0"",""'Game 6'!S25""),IF(IMPORTRANGE(""https://docs.google.com/spreadsheets/d/1CTYfdyRk_RFGM3I2iN9bKeD9zUPzE"&amp;"m1ajzml6VgwfIU/edit#gid=0"",""'Game 6'!J25"")=IMPORTRANGE(""https://docs.google.com/spreadsheets/d/1CTYfdyRk_RFGM3I2iN9bKeD9zUPzEm1ajzml6VgwfIU/edit#gid=0"",""'Game 6'!S25""),IMPORTRANGE(""https://docs.google.com/spreadsheets/d/1CTYfdyRk_RFGM3I2iN9bKeD9zU"&amp;"PzEm1ajzml6VgwfIU/edit#gid=0"",""'Game 6'!S25"")+50,IMPORTRANGE(""https://docs.google.com/spreadsheets/d/1CTYfdyRk_RFGM3I2iN9bKeD9zUPzEm1ajzml6VgwfIU/edit#gid=0"",""'Game 6'!S25"")+100)))"),194.0)</f>
        <v>194</v>
      </c>
      <c r="J25" s="7">
        <f>IFERROR(__xludf.DUMMYFUNCTION("IF($A25=IMPORTRANGE(""https://docs.google.com/spreadsheets/d/11NFkzOdQyW-OtxSDuGslNCgNjx7HUb2FU7KnlNnPMgY/edit#gid=0"",""'Game 6'!B1""),IF(IMPORTRANGE(""https://docs.google.com/spreadsheets/d/11NFkzOdQyW-OtxSDuGslNCgNjx7HUb2FU7KnlNnPMgY/edit#gid=0"",""'Ga"&amp;"me 6'!J25"")&gt;IMPORTRANGE(""https://docs.google.com/spreadsheets/d/11NFkzOdQyW-OtxSDuGslNCgNjx7HUb2FU7KnlNnPMgY/edit#gid=0"",""'Game 6'!S25""),IMPORTRANGE(""https://docs.google.com/spreadsheets/d/11NFkzOdQyW-OtxSDuGslNCgNjx7HUb2FU7KnlNnPMgY/edit#gid=0"","""&amp;"'Game 6'!J25"")+100,IF(IMPORTRANGE(""https://docs.google.com/spreadsheets/d/11NFkzOdQyW-OtxSDuGslNCgNjx7HUb2FU7KnlNnPMgY/edit#gid=0"",""'Game 6'!J25"")=IMPORTRANGE(""https://docs.google.com/spreadsheets/d/11NFkzOdQyW-OtxSDuGslNCgNjx7HUb2FU7KnlNnPMgY/edit#"&amp;"gid=0"",""'Game 6'!S25""),IMPORTRANGE(""https://docs.google.com/spreadsheets/d/11NFkzOdQyW-OtxSDuGslNCgNjx7HUb2FU7KnlNnPMgY/edit#gid=0"",""'Game 6'!J25"")+50,IMPORTRANGE(""https://docs.google.com/spreadsheets/d/11NFkzOdQyW-OtxSDuGslNCgNjx7HUb2FU7KnlNnPMgY"&amp;"/edit#gid=0"",""'Game 6'!J25""))),IF(IMPORTRANGE(""https://docs.google.com/spreadsheets/d/11NFkzOdQyW-OtxSDuGslNCgNjx7HUb2FU7KnlNnPMgY/edit#gid=0"",""'Game 6'!J25"")&gt;IMPORTRANGE(""https://docs.google.com/spreadsheets/d/11NFkzOdQyW-OtxSDuGslNCgNjx7HUb2FU7K"&amp;"nlNnPMgY/edit#gid=0"",""'Game 6'!S25""),IMPORTRANGE(""https://docs.google.com/spreadsheets/d/11NFkzOdQyW-OtxSDuGslNCgNjx7HUb2FU7KnlNnPMgY/edit#gid=0"",""'Game 6'!S25""),IF(IMPORTRANGE(""https://docs.google.com/spreadsheets/d/11NFkzOdQyW-OtxSDuGslNCgNjx7HU"&amp;"b2FU7KnlNnPMgY/edit#gid=0"",""'Game 6'!J25"")=IMPORTRANGE(""https://docs.google.com/spreadsheets/d/11NFkzOdQyW-OtxSDuGslNCgNjx7HUb2FU7KnlNnPMgY/edit#gid=0"",""'Game 6'!S25""),IMPORTRANGE(""https://docs.google.com/spreadsheets/d/11NFkzOdQyW-OtxSDuGslNCgNjx"&amp;"7HUb2FU7KnlNnPMgY/edit#gid=0"",""'Game 6'!S25"")+50,IMPORTRANGE(""https://docs.google.com/spreadsheets/d/11NFkzOdQyW-OtxSDuGslNCgNjx7HUb2FU7KnlNnPMgY/edit#gid=0"",""'Game 6'!S25"")+100)))"),198.0)</f>
        <v>198</v>
      </c>
      <c r="K25" s="7">
        <f>IFERROR(__xludf.DUMMYFUNCTION("IF($A25=IMPORTRANGE(""https://docs.google.com/spreadsheets/d/1CLg5-jaE4ta0-u4oE1qbBplQ5Mf3Oj9ONFgL0zJ7Ol4/edit#gid=0"",""'Game 6'!B1""),IF(IMPORTRANGE(""https://docs.google.com/spreadsheets/d/1CLg5-jaE4ta0-u4oE1qbBplQ5Mf3Oj9ONFgL0zJ7Ol4/edit#gid=0"",""'Ga"&amp;"me 6'!J25"")&gt;IMPORTRANGE(""https://docs.google.com/spreadsheets/d/1CLg5-jaE4ta0-u4oE1qbBplQ5Mf3Oj9ONFgL0zJ7Ol4/edit#gid=0"",""'Game 6'!S25""),IMPORTRANGE(""https://docs.google.com/spreadsheets/d/1CLg5-jaE4ta0-u4oE1qbBplQ5Mf3Oj9ONFgL0zJ7Ol4/edit#gid=0"","""&amp;"'Game 6'!J25"")+100,IF(IMPORTRANGE(""https://docs.google.com/spreadsheets/d/1CLg5-jaE4ta0-u4oE1qbBplQ5Mf3Oj9ONFgL0zJ7Ol4/edit#gid=0"",""'Game 6'!J25"")=IMPORTRANGE(""https://docs.google.com/spreadsheets/d/1CLg5-jaE4ta0-u4oE1qbBplQ5Mf3Oj9ONFgL0zJ7Ol4/edit#"&amp;"gid=0"",""'Game 6'!S25""),IMPORTRANGE(""https://docs.google.com/spreadsheets/d/1CLg5-jaE4ta0-u4oE1qbBplQ5Mf3Oj9ONFgL0zJ7Ol4/edit#gid=0"",""'Game 6'!J25"")+50,IMPORTRANGE(""https://docs.google.com/spreadsheets/d/1CLg5-jaE4ta0-u4oE1qbBplQ5Mf3Oj9ONFgL0zJ7Ol4"&amp;"/edit#gid=0"",""'Game 6'!J25""))),IF(IMPORTRANGE(""https://docs.google.com/spreadsheets/d/1CLg5-jaE4ta0-u4oE1qbBplQ5Mf3Oj9ONFgL0zJ7Ol4/edit#gid=0"",""'Game 6'!J25"")&gt;IMPORTRANGE(""https://docs.google.com/spreadsheets/d/1CLg5-jaE4ta0-u4oE1qbBplQ5Mf3Oj9ONFg"&amp;"L0zJ7Ol4/edit#gid=0"",""'Game 6'!S25""),IMPORTRANGE(""https://docs.google.com/spreadsheets/d/1CLg5-jaE4ta0-u4oE1qbBplQ5Mf3Oj9ONFgL0zJ7Ol4/edit#gid=0"",""'Game 6'!S25""),IF(IMPORTRANGE(""https://docs.google.com/spreadsheets/d/1CLg5-jaE4ta0-u4oE1qbBplQ5Mf3O"&amp;"j9ONFgL0zJ7Ol4/edit#gid=0"",""'Game 6'!J25"")=IMPORTRANGE(""https://docs.google.com/spreadsheets/d/1CLg5-jaE4ta0-u4oE1qbBplQ5Mf3Oj9ONFgL0zJ7Ol4/edit#gid=0"",""'Game 6'!S25""),IMPORTRANGE(""https://docs.google.com/spreadsheets/d/1CLg5-jaE4ta0-u4oE1qbBplQ5M"&amp;"f3Oj9ONFgL0zJ7Ol4/edit#gid=0"",""'Game 6'!S25"")+50,IMPORTRANGE(""https://docs.google.com/spreadsheets/d/1CLg5-jaE4ta0-u4oE1qbBplQ5Mf3Oj9ONFgL0zJ7Ol4/edit#gid=0"",""'Game 6'!S25"")+100)))"),36.0)</f>
        <v>36</v>
      </c>
      <c r="L25" s="7">
        <f>IFERROR(__xludf.DUMMYFUNCTION("IF($A25=IMPORTRANGE(""https://docs.google.com/spreadsheets/d/1CeexgK4KxWj3k_7nql_k8-RPxXMwTJyB4Q3vAASeDlA/edit#gid=0"",""'Game 6'!B1""),IF(IMPORTRANGE(""https://docs.google.com/spreadsheets/d/1CeexgK4KxWj3k_7nql_k8-RPxXMwTJyB4Q3vAASeDlA/edit#gid=0"",""'Ga"&amp;"me 6'!J25"")&gt;IMPORTRANGE(""https://docs.google.com/spreadsheets/d/1CeexgK4KxWj3k_7nql_k8-RPxXMwTJyB4Q3vAASeDlA/edit#gid=0"",""'Game 6'!S25""),IMPORTRANGE(""https://docs.google.com/spreadsheets/d/1CeexgK4KxWj3k_7nql_k8-RPxXMwTJyB4Q3vAASeDlA/edit#gid=0"","""&amp;"'Game 6'!J25"")+100,IF(IMPORTRANGE(""https://docs.google.com/spreadsheets/d/1CeexgK4KxWj3k_7nql_k8-RPxXMwTJyB4Q3vAASeDlA/edit#gid=0"",""'Game 6'!J25"")=IMPORTRANGE(""https://docs.google.com/spreadsheets/d/1CeexgK4KxWj3k_7nql_k8-RPxXMwTJyB4Q3vAASeDlA/edit#"&amp;"gid=0"",""'Game 6'!S25""),IMPORTRANGE(""https://docs.google.com/spreadsheets/d/1CeexgK4KxWj3k_7nql_k8-RPxXMwTJyB4Q3vAASeDlA/edit#gid=0"",""'Game 6'!J25"")+50,IMPORTRANGE(""https://docs.google.com/spreadsheets/d/1CeexgK4KxWj3k_7nql_k8-RPxXMwTJyB4Q3vAASeDlA"&amp;"/edit#gid=0"",""'Game 6'!J25""))),IF(IMPORTRANGE(""https://docs.google.com/spreadsheets/d/1CeexgK4KxWj3k_7nql_k8-RPxXMwTJyB4Q3vAASeDlA/edit#gid=0"",""'Game 6'!J25"")&gt;IMPORTRANGE(""https://docs.google.com/spreadsheets/d/1CeexgK4KxWj3k_7nql_k8-RPxXMwTJyB4Q3"&amp;"vAASeDlA/edit#gid=0"",""'Game 6'!S25""),IMPORTRANGE(""https://docs.google.com/spreadsheets/d/1CeexgK4KxWj3k_7nql_k8-RPxXMwTJyB4Q3vAASeDlA/edit#gid=0"",""'Game 6'!S25""),IF(IMPORTRANGE(""https://docs.google.com/spreadsheets/d/1CeexgK4KxWj3k_7nql_k8-RPxXMwT"&amp;"JyB4Q3vAASeDlA/edit#gid=0"",""'Game 6'!J25"")=IMPORTRANGE(""https://docs.google.com/spreadsheets/d/1CeexgK4KxWj3k_7nql_k8-RPxXMwTJyB4Q3vAASeDlA/edit#gid=0"",""'Game 6'!S25""),IMPORTRANGE(""https://docs.google.com/spreadsheets/d/1CeexgK4KxWj3k_7nql_k8-RPxX"&amp;"MwTJyB4Q3vAASeDlA/edit#gid=0"",""'Game 6'!S25"")+50,IMPORTRANGE(""https://docs.google.com/spreadsheets/d/1CeexgK4KxWj3k_7nql_k8-RPxXMwTJyB4Q3vAASeDlA/edit#gid=0"",""'Game 6'!S25"")+100)))"),174.0)</f>
        <v>174</v>
      </c>
      <c r="M25" s="7">
        <f>IFERROR(__xludf.DUMMYFUNCTION("IF($A25=IMPORTRANGE(""https://docs.google.com/spreadsheets/d/1MNwUNMjcwK6bEgCXwB73jpbK5gJAXS8ZMpbEMLJEP3E/edit#gid=0"",""'Game 6'!B1""),IF(IMPORTRANGE(""https://docs.google.com/spreadsheets/d/1MNwUNMjcwK6bEgCXwB73jpbK5gJAXS8ZMpbEMLJEP3E/edit#gid=0"",""'Ga"&amp;"me 6'!J25"")&gt;IMPORTRANGE(""https://docs.google.com/spreadsheets/d/1MNwUNMjcwK6bEgCXwB73jpbK5gJAXS8ZMpbEMLJEP3E/edit#gid=0"",""'Game 6'!S25""),IMPORTRANGE(""https://docs.google.com/spreadsheets/d/1MNwUNMjcwK6bEgCXwB73jpbK5gJAXS8ZMpbEMLJEP3E/edit#gid=0"","""&amp;"'Game 6'!J25"")+100,IF(IMPORTRANGE(""https://docs.google.com/spreadsheets/d/1MNwUNMjcwK6bEgCXwB73jpbK5gJAXS8ZMpbEMLJEP3E/edit#gid=0"",""'Game 6'!J25"")=IMPORTRANGE(""https://docs.google.com/spreadsheets/d/1MNwUNMjcwK6bEgCXwB73jpbK5gJAXS8ZMpbEMLJEP3E/edit#"&amp;"gid=0"",""'Game 6'!S25""),IMPORTRANGE(""https://docs.google.com/spreadsheets/d/1MNwUNMjcwK6bEgCXwB73jpbK5gJAXS8ZMpbEMLJEP3E/edit#gid=0"",""'Game 6'!J25"")+50,IMPORTRANGE(""https://docs.google.com/spreadsheets/d/1MNwUNMjcwK6bEgCXwB73jpbK5gJAXS8ZMpbEMLJEP3E"&amp;"/edit#gid=0"",""'Game 6'!J25""))),IF(IMPORTRANGE(""https://docs.google.com/spreadsheets/d/1MNwUNMjcwK6bEgCXwB73jpbK5gJAXS8ZMpbEMLJEP3E/edit#gid=0"",""'Game 6'!J25"")&gt;IMPORTRANGE(""https://docs.google.com/spreadsheets/d/1MNwUNMjcwK6bEgCXwB73jpbK5gJAXS8ZMpb"&amp;"EMLJEP3E/edit#gid=0"",""'Game 6'!S25""),IMPORTRANGE(""https://docs.google.com/spreadsheets/d/1MNwUNMjcwK6bEgCXwB73jpbK5gJAXS8ZMpbEMLJEP3E/edit#gid=0"",""'Game 6'!S25""),IF(IMPORTRANGE(""https://docs.google.com/spreadsheets/d/1MNwUNMjcwK6bEgCXwB73jpbK5gJAX"&amp;"S8ZMpbEMLJEP3E/edit#gid=0"",""'Game 6'!J25"")=IMPORTRANGE(""https://docs.google.com/spreadsheets/d/1MNwUNMjcwK6bEgCXwB73jpbK5gJAXS8ZMpbEMLJEP3E/edit#gid=0"",""'Game 6'!S25""),IMPORTRANGE(""https://docs.google.com/spreadsheets/d/1MNwUNMjcwK6bEgCXwB73jpbK5g"&amp;"JAXS8ZMpbEMLJEP3E/edit#gid=0"",""'Game 6'!S25"")+50,IMPORTRANGE(""https://docs.google.com/spreadsheets/d/1MNwUNMjcwK6bEgCXwB73jpbK5gJAXS8ZMpbEMLJEP3E/edit#gid=0"",""'Game 6'!S25"")+100)))"),240.0)</f>
        <v>240</v>
      </c>
      <c r="N25" s="7">
        <f>IFERROR(__xludf.DUMMYFUNCTION("IF($A25=IMPORTRANGE(""https://docs.google.com/spreadsheets/d/1UrzyxmT40kDZwVrLMf1yyXfP-pyczRAw9Y8Rw-uXG3c/edit#gid=0"",""'Game 6'!B1""),IF(IMPORTRANGE(""https://docs.google.com/spreadsheets/d/1UrzyxmT40kDZwVrLMf1yyXfP-pyczRAw9Y8Rw-uXG3c/edit#gid=0"",""'Ga"&amp;"me 6'!J25"")&gt;IMPORTRANGE(""https://docs.google.com/spreadsheets/d/1UrzyxmT40kDZwVrLMf1yyXfP-pyczRAw9Y8Rw-uXG3c/edit#gid=0"",""'Game 6'!S25""),IMPORTRANGE(""https://docs.google.com/spreadsheets/d/1UrzyxmT40kDZwVrLMf1yyXfP-pyczRAw9Y8Rw-uXG3c/edit#gid=0"","""&amp;"'Game 6'!J25"")+100,IF(IMPORTRANGE(""https://docs.google.com/spreadsheets/d/1UrzyxmT40kDZwVrLMf1yyXfP-pyczRAw9Y8Rw-uXG3c/edit#gid=0"",""'Game 6'!J25"")=IMPORTRANGE(""https://docs.google.com/spreadsheets/d/1UrzyxmT40kDZwVrLMf1yyXfP-pyczRAw9Y8Rw-uXG3c/edit#"&amp;"gid=0"",""'Game 6'!S25""),IMPORTRANGE(""https://docs.google.com/spreadsheets/d/1UrzyxmT40kDZwVrLMf1yyXfP-pyczRAw9Y8Rw-uXG3c/edit#gid=0"",""'Game 6'!J25"")+50,IMPORTRANGE(""https://docs.google.com/spreadsheets/d/1UrzyxmT40kDZwVrLMf1yyXfP-pyczRAw9Y8Rw-uXG3c"&amp;"/edit#gid=0"",""'Game 6'!J25""))),IF(IMPORTRANGE(""https://docs.google.com/spreadsheets/d/1UrzyxmT40kDZwVrLMf1yyXfP-pyczRAw9Y8Rw-uXG3c/edit#gid=0"",""'Game 6'!J25"")&gt;IMPORTRANGE(""https://docs.google.com/spreadsheets/d/1UrzyxmT40kDZwVrLMf1yyXfP-pyczRAw9Y8"&amp;"Rw-uXG3c/edit#gid=0"",""'Game 6'!S25""),IMPORTRANGE(""https://docs.google.com/spreadsheets/d/1UrzyxmT40kDZwVrLMf1yyXfP-pyczRAw9Y8Rw-uXG3c/edit#gid=0"",""'Game 6'!S25""),IF(IMPORTRANGE(""https://docs.google.com/spreadsheets/d/1UrzyxmT40kDZwVrLMf1yyXfP-pycz"&amp;"RAw9Y8Rw-uXG3c/edit#gid=0"",""'Game 6'!J25"")=IMPORTRANGE(""https://docs.google.com/spreadsheets/d/1UrzyxmT40kDZwVrLMf1yyXfP-pyczRAw9Y8Rw-uXG3c/edit#gid=0"",""'Game 6'!S25""),IMPORTRANGE(""https://docs.google.com/spreadsheets/d/1UrzyxmT40kDZwVrLMf1yyXfP-p"&amp;"yczRAw9Y8Rw-uXG3c/edit#gid=0"",""'Game 6'!S25"")+50,IMPORTRANGE(""https://docs.google.com/spreadsheets/d/1UrzyxmT40kDZwVrLMf1yyXfP-pyczRAw9Y8Rw-uXG3c/edit#gid=0"",""'Game 6'!S25"")+100)))"),194.0)</f>
        <v>194</v>
      </c>
      <c r="O25" s="7">
        <f>IFERROR(__xludf.DUMMYFUNCTION("IF($A25=IMPORTRANGE(""https://docs.google.com/spreadsheets/d/1iyMhSYWifw-KGFtyeBpNxVZr4BhcV9hVZuShgJ9Ia0E/edit#gid=0"",""'Game 6'!B1""),IF(IMPORTRANGE(""https://docs.google.com/spreadsheets/d/1iyMhSYWifw-KGFtyeBpNxVZr4BhcV9hVZuShgJ9Ia0E/edit#gid=0"",""'Ga"&amp;"me 6'!J25"")&gt;IMPORTRANGE(""https://docs.google.com/spreadsheets/d/1iyMhSYWifw-KGFtyeBpNxVZr4BhcV9hVZuShgJ9Ia0E/edit#gid=0"",""'Game 6'!S25""),IMPORTRANGE(""https://docs.google.com/spreadsheets/d/1iyMhSYWifw-KGFtyeBpNxVZr4BhcV9hVZuShgJ9Ia0E/edit#gid=0"","""&amp;"'Game 6'!J25"")+100,IF(IMPORTRANGE(""https://docs.google.com/spreadsheets/d/1iyMhSYWifw-KGFtyeBpNxVZr4BhcV9hVZuShgJ9Ia0E/edit#gid=0"",""'Game 6'!J25"")=IMPORTRANGE(""https://docs.google.com/spreadsheets/d/1iyMhSYWifw-KGFtyeBpNxVZr4BhcV9hVZuShgJ9Ia0E/edit#"&amp;"gid=0"",""'Game 6'!S25""),IMPORTRANGE(""https://docs.google.com/spreadsheets/d/1iyMhSYWifw-KGFtyeBpNxVZr4BhcV9hVZuShgJ9Ia0E/edit#gid=0"",""'Game 6'!J25"")+50,IMPORTRANGE(""https://docs.google.com/spreadsheets/d/1iyMhSYWifw-KGFtyeBpNxVZr4BhcV9hVZuShgJ9Ia0E"&amp;"/edit#gid=0"",""'Game 6'!J25""))),IF(IMPORTRANGE(""https://docs.google.com/spreadsheets/d/1iyMhSYWifw-KGFtyeBpNxVZr4BhcV9hVZuShgJ9Ia0E/edit#gid=0"",""'Game 6'!J25"")&gt;IMPORTRANGE(""https://docs.google.com/spreadsheets/d/1iyMhSYWifw-KGFtyeBpNxVZr4BhcV9hVZuS"&amp;"hgJ9Ia0E/edit#gid=0"",""'Game 6'!S25""),IMPORTRANGE(""https://docs.google.com/spreadsheets/d/1iyMhSYWifw-KGFtyeBpNxVZr4BhcV9hVZuShgJ9Ia0E/edit#gid=0"",""'Game 6'!S25""),IF(IMPORTRANGE(""https://docs.google.com/spreadsheets/d/1iyMhSYWifw-KGFtyeBpNxVZr4BhcV"&amp;"9hVZuShgJ9Ia0E/edit#gid=0"",""'Game 6'!J25"")=IMPORTRANGE(""https://docs.google.com/spreadsheets/d/1iyMhSYWifw-KGFtyeBpNxVZr4BhcV9hVZuShgJ9Ia0E/edit#gid=0"",""'Game 6'!S25""),IMPORTRANGE(""https://docs.google.com/spreadsheets/d/1iyMhSYWifw-KGFtyeBpNxVZr4B"&amp;"hcV9hVZuShgJ9Ia0E/edit#gid=0"",""'Game 6'!S25"")+50,IMPORTRANGE(""https://docs.google.com/spreadsheets/d/1iyMhSYWifw-KGFtyeBpNxVZr4BhcV9hVZuShgJ9Ia0E/edit#gid=0"",""'Game 6'!S25"")+100)))"),170.0)</f>
        <v>170</v>
      </c>
      <c r="P25" s="7">
        <f>IFERROR(__xludf.DUMMYFUNCTION("IF($A25=IMPORTRANGE(""https://docs.google.com/spreadsheets/d/1sSbIK-vvHsSY0LghLJ9gcnW8Hec_ITI2tFmpeqI999A/edit#gid=0"",""'Game 3'!B1""),IF(IMPORTRANGE(""https://docs.google.com/spreadsheets/d/1sSbIK-vvHsSY0LghLJ9gcnW8Hec_ITI2tFmpeqI999A/edit#gid=0"",""'Ga"&amp;"me 3'!J25"")&gt;IMPORTRANGE(""https://docs.google.com/spreadsheets/d/1sSbIK-vvHsSY0LghLJ9gcnW8Hec_ITI2tFmpeqI999A/edit#gid=0"",""'Game 3'!S25""),IMPORTRANGE(""https://docs.google.com/spreadsheets/d/1sSbIK-vvHsSY0LghLJ9gcnW8Hec_ITI2tFmpeqI999A/edit#gid=0"","""&amp;"'Game 3'!J25"")+100,IF(IMPORTRANGE(""https://docs.google.com/spreadsheets/d/1sSbIK-vvHsSY0LghLJ9gcnW8Hec_ITI2tFmpeqI999A/edit#gid=0"",""'Game 3'!J25"")=IMPORTRANGE(""https://docs.google.com/spreadsheets/d/1sSbIK-vvHsSY0LghLJ9gcnW8Hec_ITI2tFmpeqI999A/edit#"&amp;"gid=0"",""'Game 3'!S25""),IMPORTRANGE(""https://docs.google.com/spreadsheets/d/1sSbIK-vvHsSY0LghLJ9gcnW8Hec_ITI2tFmpeqI999A/edit#gid=0"",""'Game 3'!J25"")+50,IMPORTRANGE(""https://docs.google.com/spreadsheets/d/1sSbIK-vvHsSY0LghLJ9gcnW8Hec_ITI2tFmpeqI999A"&amp;"/edit#gid=0"",""'Game 3'!J25""))),IF(IMPORTRANGE(""https://docs.google.com/spreadsheets/d/1sSbIK-vvHsSY0LghLJ9gcnW8Hec_ITI2tFmpeqI999A/edit#gid=0"",""'Game 3'!J25"")&gt;IMPORTRANGE(""https://docs.google.com/spreadsheets/d/1sSbIK-vvHsSY0LghLJ9gcnW8Hec_ITI2tFm"&amp;"peqI999A/edit#gid=0"",""'Game 3'!S25""),IMPORTRANGE(""https://docs.google.com/spreadsheets/d/1sSbIK-vvHsSY0LghLJ9gcnW8Hec_ITI2tFmpeqI999A/edit#gid=0"",""'Game 3'!S25""),IF(IMPORTRANGE(""https://docs.google.com/spreadsheets/d/1sSbIK-vvHsSY0LghLJ9gcnW8Hec_I"&amp;"TI2tFmpeqI999A/edit#gid=0"",""'Game 3'!J25"")=IMPORTRANGE(""https://docs.google.com/spreadsheets/d/1sSbIK-vvHsSY0LghLJ9gcnW8Hec_ITI2tFmpeqI999A/edit#gid=0"",""'Game 3'!S25""),IMPORTRANGE(""https://docs.google.com/spreadsheets/d/1sSbIK-vvHsSY0LghLJ9gcnW8He"&amp;"c_ITI2tFmpeqI999A/edit#gid=0"",""'Game 3'!S25"")+50,IMPORTRANGE(""https://docs.google.com/spreadsheets/d/1sSbIK-vvHsSY0LghLJ9gcnW8Hec_ITI2tFmpeqI999A/edit#gid=0"",""'Game 3'!S25"")+100)))"),142.0)</f>
        <v>142</v>
      </c>
      <c r="Q25" s="37">
        <f t="shared" si="1"/>
        <v>2556</v>
      </c>
      <c r="R25" s="37">
        <f t="shared" si="2"/>
        <v>3</v>
      </c>
    </row>
    <row r="26">
      <c r="A26" s="33" t="s">
        <v>318</v>
      </c>
      <c r="B26" s="34">
        <v>138.0</v>
      </c>
      <c r="C26" s="34">
        <v>74.0</v>
      </c>
      <c r="D26" s="34">
        <v>166.0</v>
      </c>
      <c r="E26" s="34">
        <v>12.0</v>
      </c>
      <c r="F26" s="34">
        <v>22.0</v>
      </c>
      <c r="G26" s="35">
        <f>IFERROR(__xludf.DUMMYFUNCTION("IF($A26=IMPORTRANGE(""https://docs.google.com/spreadsheets/d/16J5ie7OD1E99qGO9lMDm8w5Yls-v190B7DTolJ5TmFc/edit#gid=1981724582"",""'Game 11'!B1""),IF(IMPORTRANGE(""https://docs.google.com/spreadsheets/d/16J5ie7OD1E99qGO9lMDm8w5Yls-v190B7DTolJ5TmFc/edit#gid"&amp;"=1981724582"",""'Game 11'!J25"")&gt;IMPORTRANGE(""https://docs.google.com/spreadsheets/d/16J5ie7OD1E99qGO9lMDm8w5Yls-v190B7DTolJ5TmFc/edit#gid=1981724582"",""'Game 11'!S25""),IMPORTRANGE(""https://docs.google.com/spreadsheets/d/16J5ie7OD1E99qGO9lMDm8w5Yls-v1"&amp;"90B7DTolJ5TmFc/edit#gid=1981724582"",""'Game 11'!J25"")+100,IF(IMPORTRANGE(""https://docs.google.com/spreadsheets/d/16J5ie7OD1E99qGO9lMDm8w5Yls-v190B7DTolJ5TmFc/edit#gid=1981724582"",""'Game 11'!J25"")=IMPORTRANGE(""https://docs.google.com/spreadsheets/d/"&amp;"16J5ie7OD1E99qGO9lMDm8w5Yls-v190B7DTolJ5TmFc/edit#gid=1981724582"",""'Game 11'!S25""),IMPORTRANGE(""https://docs.google.com/spreadsheets/d/16J5ie7OD1E99qGO9lMDm8w5Yls-v190B7DTolJ5TmFc/edit#gid=1981724582"",""'Game 11'!J25"")+50,IMPORTRANGE(""https://docs."&amp;"google.com/spreadsheets/d/16J5ie7OD1E99qGO9lMDm8w5Yls-v190B7DTolJ5TmFc/edit#gid=1981724582"",""'Game 11'!J25""))),IF(IMPORTRANGE(""https://docs.google.com/spreadsheets/d/16J5ie7OD1E99qGO9lMDm8w5Yls-v190B7DTolJ5TmFc/edit#gid=1981724582"",""'Game 11'!J25"")"&amp;"&gt;IMPORTRANGE(""https://docs.google.com/spreadsheets/d/16J5ie7OD1E99qGO9lMDm8w5Yls-v190B7DTolJ5TmFc/edit#gid=1981724582"",""'Game 11'!S25""),IMPORTRANGE(""https://docs.google.com/spreadsheets/d/16J5ie7OD1E99qGO9lMDm8w5Yls-v190B7DTolJ5TmFc/edit#gid=19817245"&amp;"82"",""'Game 11'!S25""),IF(IMPORTRANGE(""https://docs.google.com/spreadsheets/d/16J5ie7OD1E99qGO9lMDm8w5Yls-v190B7DTolJ5TmFc/edit#gid=1981724582"",""'Game 11'!J25"")=IMPORTRANGE(""https://docs.google.com/spreadsheets/d/16J5ie7OD1E99qGO9lMDm8w5Yls-v190B7DT"&amp;"olJ5TmFc/edit#gid=1981724582"",""'Game 11'!S25""),IMPORTRANGE(""https://docs.google.com/spreadsheets/d/16J5ie7OD1E99qGO9lMDm8w5Yls-v190B7DTolJ5TmFc/edit#gid=1981724582"",""'Game 11'!S25"")+50,IMPORTRANGE(""https://docs.google.com/spreadsheets/d/16J5ie7OD1"&amp;"E99qGO9lMDm8w5Yls-v190B7DTolJ5TmFc/edit#gid=1981724582"",""'Game 11'!S25"")+100)))"),190.0)</f>
        <v>190</v>
      </c>
      <c r="H26" s="34">
        <v>144.0</v>
      </c>
      <c r="I26" s="5">
        <f>IFERROR(__xludf.DUMMYFUNCTION("IF($A26=IMPORTRANGE(""https://docs.google.com/spreadsheets/d/1CTYfdyRk_RFGM3I2iN9bKeD9zUPzEm1ajzml6VgwfIU/edit#gid=0"",""'Game 3'!B1""),IF(IMPORTRANGE(""https://docs.google.com/spreadsheets/d/1CTYfdyRk_RFGM3I2iN9bKeD9zUPzEm1ajzml6VgwfIU/edit#gid=0"",""'Ga"&amp;"me 3'!J25"")&gt;IMPORTRANGE(""https://docs.google.com/spreadsheets/d/1CTYfdyRk_RFGM3I2iN9bKeD9zUPzEm1ajzml6VgwfIU/edit#gid=0"",""'Game 3'!S25""),IMPORTRANGE(""https://docs.google.com/spreadsheets/d/1CTYfdyRk_RFGM3I2iN9bKeD9zUPzEm1ajzml6VgwfIU/edit#gid=0"","""&amp;"'Game 3'!J25"")+100,IF(IMPORTRANGE(""https://docs.google.com/spreadsheets/d/1CTYfdyRk_RFGM3I2iN9bKeD9zUPzEm1ajzml6VgwfIU/edit#gid=0"",""'Game 3'!J25"")=IMPORTRANGE(""https://docs.google.com/spreadsheets/d/1CTYfdyRk_RFGM3I2iN9bKeD9zUPzEm1ajzml6VgwfIU/edit#"&amp;"gid=0"",""'Game 3'!S25""),IMPORTRANGE(""https://docs.google.com/spreadsheets/d/1CTYfdyRk_RFGM3I2iN9bKeD9zUPzEm1ajzml6VgwfIU/edit#gid=0"",""'Game 3'!J25"")+50,IMPORTRANGE(""https://docs.google.com/spreadsheets/d/1CTYfdyRk_RFGM3I2iN9bKeD9zUPzEm1ajzml6VgwfIU"&amp;"/edit#gid=0"",""'Game 3'!J25""))),IF(IMPORTRANGE(""https://docs.google.com/spreadsheets/d/1CTYfdyRk_RFGM3I2iN9bKeD9zUPzEm1ajzml6VgwfIU/edit#gid=0"",""'Game 3'!J25"")&gt;IMPORTRANGE(""https://docs.google.com/spreadsheets/d/1CTYfdyRk_RFGM3I2iN9bKeD9zUPzEm1ajzm"&amp;"l6VgwfIU/edit#gid=0"",""'Game 3'!S25""),IMPORTRANGE(""https://docs.google.com/spreadsheets/d/1CTYfdyRk_RFGM3I2iN9bKeD9zUPzEm1ajzml6VgwfIU/edit#gid=0"",""'Game 3'!S25""),IF(IMPORTRANGE(""https://docs.google.com/spreadsheets/d/1CTYfdyRk_RFGM3I2iN9bKeD9zUPzE"&amp;"m1ajzml6VgwfIU/edit#gid=0"",""'Game 3'!J25"")=IMPORTRANGE(""https://docs.google.com/spreadsheets/d/1CTYfdyRk_RFGM3I2iN9bKeD9zUPzEm1ajzml6VgwfIU/edit#gid=0"",""'Game 3'!S25""),IMPORTRANGE(""https://docs.google.com/spreadsheets/d/1CTYfdyRk_RFGM3I2iN9bKeD9zU"&amp;"PzEm1ajzml6VgwfIU/edit#gid=0"",""'Game 3'!S25"")+50,IMPORTRANGE(""https://docs.google.com/spreadsheets/d/1CTYfdyRk_RFGM3I2iN9bKeD9zUPzEm1ajzml6VgwfIU/edit#gid=0"",""'Game 3'!S25"")+100)))"),38.0)</f>
        <v>38</v>
      </c>
      <c r="J26" s="5">
        <f>IFERROR(__xludf.DUMMYFUNCTION("IF($A26=IMPORTRANGE(""https://docs.google.com/spreadsheets/d/11NFkzOdQyW-OtxSDuGslNCgNjx7HUb2FU7KnlNnPMgY/edit#gid=0"",""'Game 13'!B1""),IF(IMPORTRANGE(""https://docs.google.com/spreadsheets/d/11NFkzOdQyW-OtxSDuGslNCgNjx7HUb2FU7KnlNnPMgY/edit#gid=0"",""'G"&amp;"ame 13'!J25"")&gt;IMPORTRANGE(""https://docs.google.com/spreadsheets/d/11NFkzOdQyW-OtxSDuGslNCgNjx7HUb2FU7KnlNnPMgY/edit#gid=0"",""'Game 13'!S25""),IMPORTRANGE(""https://docs.google.com/spreadsheets/d/11NFkzOdQyW-OtxSDuGslNCgNjx7HUb2FU7KnlNnPMgY/edit#gid=0"""&amp;",""'Game 13'!J25"")+100,IF(IMPORTRANGE(""https://docs.google.com/spreadsheets/d/11NFkzOdQyW-OtxSDuGslNCgNjx7HUb2FU7KnlNnPMgY/edit#gid=0"",""'Game 13'!J25"")=IMPORTRANGE(""https://docs.google.com/spreadsheets/d/11NFkzOdQyW-OtxSDuGslNCgNjx7HUb2FU7KnlNnPMgY/"&amp;"edit#gid=0"",""'Game 13'!S25""),IMPORTRANGE(""https://docs.google.com/spreadsheets/d/11NFkzOdQyW-OtxSDuGslNCgNjx7HUb2FU7KnlNnPMgY/edit#gid=0"",""'Game 13'!J25"")+50,IMPORTRANGE(""https://docs.google.com/spreadsheets/d/11NFkzOdQyW-OtxSDuGslNCgNjx7HUb2FU7Kn"&amp;"lNnPMgY/edit#gid=0"",""'Game 13'!J25""))),IF(IMPORTRANGE(""https://docs.google.com/spreadsheets/d/11NFkzOdQyW-OtxSDuGslNCgNjx7HUb2FU7KnlNnPMgY/edit#gid=0"",""'Game 13'!J25"")&gt;IMPORTRANGE(""https://docs.google.com/spreadsheets/d/11NFkzOdQyW-OtxSDuGslNCgNjx"&amp;"7HUb2FU7KnlNnPMgY/edit#gid=0"",""'Game 13'!S25""),IMPORTRANGE(""https://docs.google.com/spreadsheets/d/11NFkzOdQyW-OtxSDuGslNCgNjx7HUb2FU7KnlNnPMgY/edit#gid=0"",""'Game 13'!S25""),IF(IMPORTRANGE(""https://docs.google.com/spreadsheets/d/11NFkzOdQyW-OtxSDuG"&amp;"slNCgNjx7HUb2FU7KnlNnPMgY/edit#gid=0"",""'Game 13'!J25"")=IMPORTRANGE(""https://docs.google.com/spreadsheets/d/11NFkzOdQyW-OtxSDuGslNCgNjx7HUb2FU7KnlNnPMgY/edit#gid=0"",""'Game 13'!S25""),IMPORTRANGE(""https://docs.google.com/spreadsheets/d/11NFkzOdQyW-Ot"&amp;"xSDuGslNCgNjx7HUb2FU7KnlNnPMgY/edit#gid=0"",""'Game 13'!S25"")+50,IMPORTRANGE(""https://docs.google.com/spreadsheets/d/11NFkzOdQyW-OtxSDuGslNCgNjx7HUb2FU7KnlNnPMgY/edit#gid=0"",""'Game 13'!S25"")+100)))"),160.0)</f>
        <v>160</v>
      </c>
      <c r="K26" s="5">
        <f>IFERROR(__xludf.DUMMYFUNCTION("IF($A26=IMPORTRANGE(""https://docs.google.com/spreadsheets/d/1CLg5-jaE4ta0-u4oE1qbBplQ5Mf3Oj9ONFgL0zJ7Ol4/edit#gid=0"",""'Game 9'!B1""),IF(IMPORTRANGE(""https://docs.google.com/spreadsheets/d/1CLg5-jaE4ta0-u4oE1qbBplQ5Mf3Oj9ONFgL0zJ7Ol4/edit#gid=0"",""'Ga"&amp;"me 9'!J25"")&gt;IMPORTRANGE(""https://docs.google.com/spreadsheets/d/1CLg5-jaE4ta0-u4oE1qbBplQ5Mf3Oj9ONFgL0zJ7Ol4/edit#gid=0"",""'Game 9'!S25""),IMPORTRANGE(""https://docs.google.com/spreadsheets/d/1CLg5-jaE4ta0-u4oE1qbBplQ5Mf3Oj9ONFgL0zJ7Ol4/edit#gid=0"","""&amp;"'Game 9'!J25"")+100,IF(IMPORTRANGE(""https://docs.google.com/spreadsheets/d/1CLg5-jaE4ta0-u4oE1qbBplQ5Mf3Oj9ONFgL0zJ7Ol4/edit#gid=0"",""'Game 9'!J25"")=IMPORTRANGE(""https://docs.google.com/spreadsheets/d/1CLg5-jaE4ta0-u4oE1qbBplQ5Mf3Oj9ONFgL0zJ7Ol4/edit#"&amp;"gid=0"",""'Game 9'!S25""),IMPORTRANGE(""https://docs.google.com/spreadsheets/d/1CLg5-jaE4ta0-u4oE1qbBplQ5Mf3Oj9ONFgL0zJ7Ol4/edit#gid=0"",""'Game 9'!J25"")+50,IMPORTRANGE(""https://docs.google.com/spreadsheets/d/1CLg5-jaE4ta0-u4oE1qbBplQ5Mf3Oj9ONFgL0zJ7Ol4"&amp;"/edit#gid=0"",""'Game 9'!J25""))),IF(IMPORTRANGE(""https://docs.google.com/spreadsheets/d/1CLg5-jaE4ta0-u4oE1qbBplQ5Mf3Oj9ONFgL0zJ7Ol4/edit#gid=0"",""'Game 9'!J25"")&gt;IMPORTRANGE(""https://docs.google.com/spreadsheets/d/1CLg5-jaE4ta0-u4oE1qbBplQ5Mf3Oj9ONFg"&amp;"L0zJ7Ol4/edit#gid=0"",""'Game 9'!S25""),IMPORTRANGE(""https://docs.google.com/spreadsheets/d/1CLg5-jaE4ta0-u4oE1qbBplQ5Mf3Oj9ONFgL0zJ7Ol4/edit#gid=0"",""'Game 9'!S25""),IF(IMPORTRANGE(""https://docs.google.com/spreadsheets/d/1CLg5-jaE4ta0-u4oE1qbBplQ5Mf3O"&amp;"j9ONFgL0zJ7Ol4/edit#gid=0"",""'Game 9'!J25"")=IMPORTRANGE(""https://docs.google.com/spreadsheets/d/1CLg5-jaE4ta0-u4oE1qbBplQ5Mf3Oj9ONFgL0zJ7Ol4/edit#gid=0"",""'Game 9'!S25""),IMPORTRANGE(""https://docs.google.com/spreadsheets/d/1CLg5-jaE4ta0-u4oE1qbBplQ5M"&amp;"f3Oj9ONFgL0zJ7Ol4/edit#gid=0"",""'Game 9'!S25"")+50,IMPORTRANGE(""https://docs.google.com/spreadsheets/d/1CLg5-jaE4ta0-u4oE1qbBplQ5Mf3Oj9ONFgL0zJ7Ol4/edit#gid=0"",""'Game 9'!S25"")+100)))"),176.0)</f>
        <v>176</v>
      </c>
      <c r="L26" s="5">
        <f>IFERROR(__xludf.DUMMYFUNCTION("IF($A26=IMPORTRANGE(""https://docs.google.com/spreadsheets/d/1CeexgK4KxWj3k_7nql_k8-RPxXMwTJyB4Q3vAASeDlA/edit#gid=0"",""'Game 8'!B1""),IF(IMPORTRANGE(""https://docs.google.com/spreadsheets/d/1CeexgK4KxWj3k_7nql_k8-RPxXMwTJyB4Q3vAASeDlA/edit#gid=0"",""'Ga"&amp;"me 8'!J25"")&gt;IMPORTRANGE(""https://docs.google.com/spreadsheets/d/1CeexgK4KxWj3k_7nql_k8-RPxXMwTJyB4Q3vAASeDlA/edit#gid=0"",""'Game 8'!S25""),IMPORTRANGE(""https://docs.google.com/spreadsheets/d/1CeexgK4KxWj3k_7nql_k8-RPxXMwTJyB4Q3vAASeDlA/edit#gid=0"","""&amp;"'Game 8'!J25"")+100,IF(IMPORTRANGE(""https://docs.google.com/spreadsheets/d/1CeexgK4KxWj3k_7nql_k8-RPxXMwTJyB4Q3vAASeDlA/edit#gid=0"",""'Game 8'!J25"")=IMPORTRANGE(""https://docs.google.com/spreadsheets/d/1CeexgK4KxWj3k_7nql_k8-RPxXMwTJyB4Q3vAASeDlA/edit#"&amp;"gid=0"",""'Game 8'!S25""),IMPORTRANGE(""https://docs.google.com/spreadsheets/d/1CeexgK4KxWj3k_7nql_k8-RPxXMwTJyB4Q3vAASeDlA/edit#gid=0"",""'Game 8'!J25"")+50,IMPORTRANGE(""https://docs.google.com/spreadsheets/d/1CeexgK4KxWj3k_7nql_k8-RPxXMwTJyB4Q3vAASeDlA"&amp;"/edit#gid=0"",""'Game 8'!J25""))),IF(IMPORTRANGE(""https://docs.google.com/spreadsheets/d/1CeexgK4KxWj3k_7nql_k8-RPxXMwTJyB4Q3vAASeDlA/edit#gid=0"",""'Game 8'!J25"")&gt;IMPORTRANGE(""https://docs.google.com/spreadsheets/d/1CeexgK4KxWj3k_7nql_k8-RPxXMwTJyB4Q3"&amp;"vAASeDlA/edit#gid=0"",""'Game 8'!S25""),IMPORTRANGE(""https://docs.google.com/spreadsheets/d/1CeexgK4KxWj3k_7nql_k8-RPxXMwTJyB4Q3vAASeDlA/edit#gid=0"",""'Game 8'!S25""),IF(IMPORTRANGE(""https://docs.google.com/spreadsheets/d/1CeexgK4KxWj3k_7nql_k8-RPxXMwT"&amp;"JyB4Q3vAASeDlA/edit#gid=0"",""'Game 8'!J25"")=IMPORTRANGE(""https://docs.google.com/spreadsheets/d/1CeexgK4KxWj3k_7nql_k8-RPxXMwTJyB4Q3vAASeDlA/edit#gid=0"",""'Game 8'!S25""),IMPORTRANGE(""https://docs.google.com/spreadsheets/d/1CeexgK4KxWj3k_7nql_k8-RPxX"&amp;"MwTJyB4Q3vAASeDlA/edit#gid=0"",""'Game 8'!S25"")+50,IMPORTRANGE(""https://docs.google.com/spreadsheets/d/1CeexgK4KxWj3k_7nql_k8-RPxXMwTJyB4Q3vAASeDlA/edit#gid=0"",""'Game 8'!S25"")+100)))"),136.0)</f>
        <v>136</v>
      </c>
      <c r="M26" s="5">
        <f>IFERROR(__xludf.DUMMYFUNCTION("IF($A26=IMPORTRANGE(""https://docs.google.com/spreadsheets/d/1MNwUNMjcwK6bEgCXwB73jpbK5gJAXS8ZMpbEMLJEP3E/edit#gid=0"",""'Game 13'!B1""),IF(IMPORTRANGE(""https://docs.google.com/spreadsheets/d/1MNwUNMjcwK6bEgCXwB73jpbK5gJAXS8ZMpbEMLJEP3E/edit#gid=0"",""'G"&amp;"ame 13'!J25"")&gt;IMPORTRANGE(""https://docs.google.com/spreadsheets/d/1MNwUNMjcwK6bEgCXwB73jpbK5gJAXS8ZMpbEMLJEP3E/edit#gid=0"",""'Game 13'!S25""),IMPORTRANGE(""https://docs.google.com/spreadsheets/d/1MNwUNMjcwK6bEgCXwB73jpbK5gJAXS8ZMpbEMLJEP3E/edit#gid=0"""&amp;",""'Game 13'!J25"")+100,IF(IMPORTRANGE(""https://docs.google.com/spreadsheets/d/1MNwUNMjcwK6bEgCXwB73jpbK5gJAXS8ZMpbEMLJEP3E/edit#gid=0"",""'Game 13'!J25"")=IMPORTRANGE(""https://docs.google.com/spreadsheets/d/1MNwUNMjcwK6bEgCXwB73jpbK5gJAXS8ZMpbEMLJEP3E/"&amp;"edit#gid=0"",""'Game 13'!S25""),IMPORTRANGE(""https://docs.google.com/spreadsheets/d/1MNwUNMjcwK6bEgCXwB73jpbK5gJAXS8ZMpbEMLJEP3E/edit#gid=0"",""'Game 13'!J25"")+50,IMPORTRANGE(""https://docs.google.com/spreadsheets/d/1MNwUNMjcwK6bEgCXwB73jpbK5gJAXS8ZMpbE"&amp;"MLJEP3E/edit#gid=0"",""'Game 13'!J25""))),IF(IMPORTRANGE(""https://docs.google.com/spreadsheets/d/1MNwUNMjcwK6bEgCXwB73jpbK5gJAXS8ZMpbEMLJEP3E/edit#gid=0"",""'Game 13'!J25"")&gt;IMPORTRANGE(""https://docs.google.com/spreadsheets/d/1MNwUNMjcwK6bEgCXwB73jpbK5g"&amp;"JAXS8ZMpbEMLJEP3E/edit#gid=0"",""'Game 13'!S25""),IMPORTRANGE(""https://docs.google.com/spreadsheets/d/1MNwUNMjcwK6bEgCXwB73jpbK5gJAXS8ZMpbEMLJEP3E/edit#gid=0"",""'Game 13'!S25""),IF(IMPORTRANGE(""https://docs.google.com/spreadsheets/d/1MNwUNMjcwK6bEgCXwB"&amp;"73jpbK5gJAXS8ZMpbEMLJEP3E/edit#gid=0"",""'Game 13'!J25"")=IMPORTRANGE(""https://docs.google.com/spreadsheets/d/1MNwUNMjcwK6bEgCXwB73jpbK5gJAXS8ZMpbEMLJEP3E/edit#gid=0"",""'Game 13'!S25""),IMPORTRANGE(""https://docs.google.com/spreadsheets/d/1MNwUNMjcwK6bE"&amp;"gCXwB73jpbK5gJAXS8ZMpbEMLJEP3E/edit#gid=0"",""'Game 13'!S25"")+50,IMPORTRANGE(""https://docs.google.com/spreadsheets/d/1MNwUNMjcwK6bEgCXwB73jpbK5gJAXS8ZMpbEMLJEP3E/edit#gid=0"",""'Game 13'!S25"")+100)))"),158.0)</f>
        <v>158</v>
      </c>
      <c r="N26" s="5">
        <f>IFERROR(__xludf.DUMMYFUNCTION("IF($A26=IMPORTRANGE(""https://docs.google.com/spreadsheets/d/1UrzyxmT40kDZwVrLMf1yyXfP-pyczRAw9Y8Rw-uXG3c/edit#gid=0"",""'Game 9'!B1""),IF(IMPORTRANGE(""https://docs.google.com/spreadsheets/d/1UrzyxmT40kDZwVrLMf1yyXfP-pyczRAw9Y8Rw-uXG3c/edit#gid=0"",""'Ga"&amp;"me 9'!J25"")&gt;IMPORTRANGE(""https://docs.google.com/spreadsheets/d/1UrzyxmT40kDZwVrLMf1yyXfP-pyczRAw9Y8Rw-uXG3c/edit#gid=0"",""'Game 9'!S25""),IMPORTRANGE(""https://docs.google.com/spreadsheets/d/1UrzyxmT40kDZwVrLMf1yyXfP-pyczRAw9Y8Rw-uXG3c/edit#gid=0"","""&amp;"'Game 9'!J25"")+100,IF(IMPORTRANGE(""https://docs.google.com/spreadsheets/d/1UrzyxmT40kDZwVrLMf1yyXfP-pyczRAw9Y8Rw-uXG3c/edit#gid=0"",""'Game 9'!J25"")=IMPORTRANGE(""https://docs.google.com/spreadsheets/d/1UrzyxmT40kDZwVrLMf1yyXfP-pyczRAw9Y8Rw-uXG3c/edit#"&amp;"gid=0"",""'Game 9'!S25""),IMPORTRANGE(""https://docs.google.com/spreadsheets/d/1UrzyxmT40kDZwVrLMf1yyXfP-pyczRAw9Y8Rw-uXG3c/edit#gid=0"",""'Game 9'!J25"")+50,IMPORTRANGE(""https://docs.google.com/spreadsheets/d/1UrzyxmT40kDZwVrLMf1yyXfP-pyczRAw9Y8Rw-uXG3c"&amp;"/edit#gid=0"",""'Game 9'!J25""))),IF(IMPORTRANGE(""https://docs.google.com/spreadsheets/d/1UrzyxmT40kDZwVrLMf1yyXfP-pyczRAw9Y8Rw-uXG3c/edit#gid=0"",""'Game 9'!J25"")&gt;IMPORTRANGE(""https://docs.google.com/spreadsheets/d/1UrzyxmT40kDZwVrLMf1yyXfP-pyczRAw9Y8"&amp;"Rw-uXG3c/edit#gid=0"",""'Game 9'!S25""),IMPORTRANGE(""https://docs.google.com/spreadsheets/d/1UrzyxmT40kDZwVrLMf1yyXfP-pyczRAw9Y8Rw-uXG3c/edit#gid=0"",""'Game 9'!S25""),IF(IMPORTRANGE(""https://docs.google.com/spreadsheets/d/1UrzyxmT40kDZwVrLMf1yyXfP-pycz"&amp;"RAw9Y8Rw-uXG3c/edit#gid=0"",""'Game 9'!J25"")=IMPORTRANGE(""https://docs.google.com/spreadsheets/d/1UrzyxmT40kDZwVrLMf1yyXfP-pyczRAw9Y8Rw-uXG3c/edit#gid=0"",""'Game 9'!S25""),IMPORTRANGE(""https://docs.google.com/spreadsheets/d/1UrzyxmT40kDZwVrLMf1yyXfP-p"&amp;"yczRAw9Y8Rw-uXG3c/edit#gid=0"",""'Game 9'!S25"")+50,IMPORTRANGE(""https://docs.google.com/spreadsheets/d/1UrzyxmT40kDZwVrLMf1yyXfP-pyczRAw9Y8Rw-uXG3c/edit#gid=0"",""'Game 9'!S25"")+100)))"),12.0)</f>
        <v>12</v>
      </c>
      <c r="O26" s="5">
        <f>IFERROR(__xludf.DUMMYFUNCTION("IF($A26=IMPORTRANGE(""https://docs.google.com/spreadsheets/d/1iyMhSYWifw-KGFtyeBpNxVZr4BhcV9hVZuShgJ9Ia0E/edit#gid=0"",""'Game 12'!B1""),IF(IMPORTRANGE(""https://docs.google.com/spreadsheets/d/1iyMhSYWifw-KGFtyeBpNxVZr4BhcV9hVZuShgJ9Ia0E/edit#gid=0"",""'G"&amp;"ame 12'!J25"")&gt;IMPORTRANGE(""https://docs.google.com/spreadsheets/d/1iyMhSYWifw-KGFtyeBpNxVZr4BhcV9hVZuShgJ9Ia0E/edit#gid=0"",""'Game 12'!S25""),IMPORTRANGE(""https://docs.google.com/spreadsheets/d/1iyMhSYWifw-KGFtyeBpNxVZr4BhcV9hVZuShgJ9Ia0E/edit#gid=0"""&amp;",""'Game 12'!J25"")+100,IF(IMPORTRANGE(""https://docs.google.com/spreadsheets/d/1iyMhSYWifw-KGFtyeBpNxVZr4BhcV9hVZuShgJ9Ia0E/edit#gid=0"",""'Game 12'!J25"")=IMPORTRANGE(""https://docs.google.com/spreadsheets/d/1iyMhSYWifw-KGFtyeBpNxVZr4BhcV9hVZuShgJ9Ia0E/"&amp;"edit#gid=0"",""'Game 12'!S25""),IMPORTRANGE(""https://docs.google.com/spreadsheets/d/1iyMhSYWifw-KGFtyeBpNxVZr4BhcV9hVZuShgJ9Ia0E/edit#gid=0"",""'Game 12'!J25"")+50,IMPORTRANGE(""https://docs.google.com/spreadsheets/d/1iyMhSYWifw-KGFtyeBpNxVZr4BhcV9hVZuSh"&amp;"gJ9Ia0E/edit#gid=0"",""'Game 12'!J25""))),IF(IMPORTRANGE(""https://docs.google.com/spreadsheets/d/1iyMhSYWifw-KGFtyeBpNxVZr4BhcV9hVZuShgJ9Ia0E/edit#gid=0"",""'Game 12'!J25"")&gt;IMPORTRANGE(""https://docs.google.com/spreadsheets/d/1iyMhSYWifw-KGFtyeBpNxVZr4B"&amp;"hcV9hVZuShgJ9Ia0E/edit#gid=0"",""'Game 12'!S25""),IMPORTRANGE(""https://docs.google.com/spreadsheets/d/1iyMhSYWifw-KGFtyeBpNxVZr4BhcV9hVZuShgJ9Ia0E/edit#gid=0"",""'Game 12'!S25""),IF(IMPORTRANGE(""https://docs.google.com/spreadsheets/d/1iyMhSYWifw-KGFtyeB"&amp;"pNxVZr4BhcV9hVZuShgJ9Ia0E/edit#gid=0"",""'Game 12'!J25"")=IMPORTRANGE(""https://docs.google.com/spreadsheets/d/1iyMhSYWifw-KGFtyeBpNxVZr4BhcV9hVZuShgJ9Ia0E/edit#gid=0"",""'Game 12'!S25""),IMPORTRANGE(""https://docs.google.com/spreadsheets/d/1iyMhSYWifw-KG"&amp;"FtyeBpNxVZr4BhcV9hVZuShgJ9Ia0E/edit#gid=0"",""'Game 12'!S25"")+50,IMPORTRANGE(""https://docs.google.com/spreadsheets/d/1iyMhSYWifw-KGFtyeBpNxVZr4BhcV9hVZuShgJ9Ia0E/edit#gid=0"",""'Game 12'!S25"")+100)))"),202.0)</f>
        <v>202</v>
      </c>
      <c r="P26" s="5">
        <f>IFERROR(__xludf.DUMMYFUNCTION("IF($A26=IMPORTRANGE(""https://docs.google.com/spreadsheets/d/1sSbIK-vvHsSY0LghLJ9gcnW8Hec_ITI2tFmpeqI999A/edit#gid=0"",""'Game 13'!B1""),IF(IMPORTRANGE(""https://docs.google.com/spreadsheets/d/1sSbIK-vvHsSY0LghLJ9gcnW8Hec_ITI2tFmpeqI999A/edit#gid=0"",""'G"&amp;"ame 13'!J25"")&gt;IMPORTRANGE(""https://docs.google.com/spreadsheets/d/1sSbIK-vvHsSY0LghLJ9gcnW8Hec_ITI2tFmpeqI999A/edit#gid=0"",""'Game 13'!S25""),IMPORTRANGE(""https://docs.google.com/spreadsheets/d/1sSbIK-vvHsSY0LghLJ9gcnW8Hec_ITI2tFmpeqI999A/edit#gid=0"""&amp;",""'Game 13'!J25"")+100,IF(IMPORTRANGE(""https://docs.google.com/spreadsheets/d/1sSbIK-vvHsSY0LghLJ9gcnW8Hec_ITI2tFmpeqI999A/edit#gid=0"",""'Game 13'!J25"")=IMPORTRANGE(""https://docs.google.com/spreadsheets/d/1sSbIK-vvHsSY0LghLJ9gcnW8Hec_ITI2tFmpeqI999A/"&amp;"edit#gid=0"",""'Game 13'!S25""),IMPORTRANGE(""https://docs.google.com/spreadsheets/d/1sSbIK-vvHsSY0LghLJ9gcnW8Hec_ITI2tFmpeqI999A/edit#gid=0"",""'Game 13'!J25"")+50,IMPORTRANGE(""https://docs.google.com/spreadsheets/d/1sSbIK-vvHsSY0LghLJ9gcnW8Hec_ITI2tFmp"&amp;"eqI999A/edit#gid=0"",""'Game 13'!J25""))),IF(IMPORTRANGE(""https://docs.google.com/spreadsheets/d/1sSbIK-vvHsSY0LghLJ9gcnW8Hec_ITI2tFmpeqI999A/edit#gid=0"",""'Game 13'!J25"")&gt;IMPORTRANGE(""https://docs.google.com/spreadsheets/d/1sSbIK-vvHsSY0LghLJ9gcnW8He"&amp;"c_ITI2tFmpeqI999A/edit#gid=0"",""'Game 13'!S25""),IMPORTRANGE(""https://docs.google.com/spreadsheets/d/1sSbIK-vvHsSY0LghLJ9gcnW8Hec_ITI2tFmpeqI999A/edit#gid=0"",""'Game 13'!S25""),IF(IMPORTRANGE(""https://docs.google.com/spreadsheets/d/1sSbIK-vvHsSY0LghLJ"&amp;"9gcnW8Hec_ITI2tFmpeqI999A/edit#gid=0"",""'Game 13'!J25"")=IMPORTRANGE(""https://docs.google.com/spreadsheets/d/1sSbIK-vvHsSY0LghLJ9gcnW8Hec_ITI2tFmpeqI999A/edit#gid=0"",""'Game 13'!S25""),IMPORTRANGE(""https://docs.google.com/spreadsheets/d/1sSbIK-vvHsSY0"&amp;"LghLJ9gcnW8Hec_ITI2tFmpeqI999A/edit#gid=0"",""'Game 13'!S25"")+50,IMPORTRANGE(""https://docs.google.com/spreadsheets/d/1sSbIK-vvHsSY0LghLJ9gcnW8Hec_ITI2tFmpeqI999A/edit#gid=0"",""'Game 13'!S25"")+100)))"),178.0)</f>
        <v>178</v>
      </c>
      <c r="Q26" s="35">
        <f t="shared" si="1"/>
        <v>1806</v>
      </c>
      <c r="R26" s="35">
        <f t="shared" si="2"/>
        <v>6</v>
      </c>
    </row>
    <row r="27">
      <c r="A27" s="32" t="s">
        <v>328</v>
      </c>
      <c r="B27" s="36">
        <v>38.0</v>
      </c>
      <c r="C27" s="36">
        <v>156.0</v>
      </c>
      <c r="D27" s="36">
        <v>164.0</v>
      </c>
      <c r="E27" s="36">
        <v>130.0</v>
      </c>
      <c r="F27" s="36">
        <v>50.0</v>
      </c>
      <c r="G27" s="37">
        <f>IFERROR(__xludf.DUMMYFUNCTION("IF($A27=IMPORTRANGE(""https://docs.google.com/spreadsheets/d/16J5ie7OD1E99qGO9lMDm8w5Yls-v190B7DTolJ5TmFc/edit#gid=1981724582"",""'Game 2'!B1""),IF(IMPORTRANGE(""https://docs.google.com/spreadsheets/d/16J5ie7OD1E99qGO9lMDm8w5Yls-v190B7DTolJ5TmFc/edit#gid="&amp;"1981724582"",""'Game 2'!J25"")&gt;IMPORTRANGE(""https://docs.google.com/spreadsheets/d/16J5ie7OD1E99qGO9lMDm8w5Yls-v190B7DTolJ5TmFc/edit#gid=1981724582"",""'Game 2'!S25""),IMPORTRANGE(""https://docs.google.com/spreadsheets/d/16J5ie7OD1E99qGO9lMDm8w5Yls-v190B"&amp;"7DTolJ5TmFc/edit#gid=1981724582"",""'Game 2'!J25"")+100,IF(IMPORTRANGE(""https://docs.google.com/spreadsheets/d/16J5ie7OD1E99qGO9lMDm8w5Yls-v190B7DTolJ5TmFc/edit#gid=1981724582"",""'Game 2'!J25"")=IMPORTRANGE(""https://docs.google.com/spreadsheets/d/16J5i"&amp;"e7OD1E99qGO9lMDm8w5Yls-v190B7DTolJ5TmFc/edit#gid=1981724582"",""'Game 2'!S25""),IMPORTRANGE(""https://docs.google.com/spreadsheets/d/16J5ie7OD1E99qGO9lMDm8w5Yls-v190B7DTolJ5TmFc/edit#gid=1981724582"",""'Game 2'!J25"")+50,IMPORTRANGE(""https://docs.google."&amp;"com/spreadsheets/d/16J5ie7OD1E99qGO9lMDm8w5Yls-v190B7DTolJ5TmFc/edit#gid=1981724582"",""'Game 2'!J25""))),IF(IMPORTRANGE(""https://docs.google.com/spreadsheets/d/16J5ie7OD1E99qGO9lMDm8w5Yls-v190B7DTolJ5TmFc/edit#gid=1981724582"",""'Game 2'!J25"")&gt;IMPORTRA"&amp;"NGE(""https://docs.google.com/spreadsheets/d/16J5ie7OD1E99qGO9lMDm8w5Yls-v190B7DTolJ5TmFc/edit#gid=1981724582"",""'Game 2'!S25""),IMPORTRANGE(""https://docs.google.com/spreadsheets/d/16J5ie7OD1E99qGO9lMDm8w5Yls-v190B7DTolJ5TmFc/edit#gid=1981724582"",""'Ga"&amp;"me 2'!S25""),IF(IMPORTRANGE(""https://docs.google.com/spreadsheets/d/16J5ie7OD1E99qGO9lMDm8w5Yls-v190B7DTolJ5TmFc/edit#gid=1981724582"",""'Game 2'!J25"")=IMPORTRANGE(""https://docs.google.com/spreadsheets/d/16J5ie7OD1E99qGO9lMDm8w5Yls-v190B7DTolJ5TmFc/edi"&amp;"t#gid=1981724582"",""'Game 2'!S25""),IMPORTRANGE(""https://docs.google.com/spreadsheets/d/16J5ie7OD1E99qGO9lMDm8w5Yls-v190B7DTolJ5TmFc/edit#gid=1981724582"",""'Game 2'!S25"")+50,IMPORTRANGE(""https://docs.google.com/spreadsheets/d/16J5ie7OD1E99qGO9lMDm8w5"&amp;"Yls-v190B7DTolJ5TmFc/edit#gid=1981724582"",""'Game 2'!S25"")+100)))"),32.0)</f>
        <v>32</v>
      </c>
      <c r="H27" s="36">
        <v>48.0</v>
      </c>
      <c r="I27" s="7">
        <f>IFERROR(__xludf.DUMMYFUNCTION("IF($A27=IMPORTRANGE(""https://docs.google.com/spreadsheets/d/1CTYfdyRk_RFGM3I2iN9bKeD9zUPzEm1ajzml6VgwfIU/edit#gid=0"",""'Game 3'!B1""),IF(IMPORTRANGE(""https://docs.google.com/spreadsheets/d/1CTYfdyRk_RFGM3I2iN9bKeD9zUPzEm1ajzml6VgwfIU/edit#gid=0"",""'Ga"&amp;"me 3'!J25"")&gt;IMPORTRANGE(""https://docs.google.com/spreadsheets/d/1CTYfdyRk_RFGM3I2iN9bKeD9zUPzEm1ajzml6VgwfIU/edit#gid=0"",""'Game 3'!S25""),IMPORTRANGE(""https://docs.google.com/spreadsheets/d/1CTYfdyRk_RFGM3I2iN9bKeD9zUPzEm1ajzml6VgwfIU/edit#gid=0"","""&amp;"'Game 3'!J25"")+100,IF(IMPORTRANGE(""https://docs.google.com/spreadsheets/d/1CTYfdyRk_RFGM3I2iN9bKeD9zUPzEm1ajzml6VgwfIU/edit#gid=0"",""'Game 3'!J25"")=IMPORTRANGE(""https://docs.google.com/spreadsheets/d/1CTYfdyRk_RFGM3I2iN9bKeD9zUPzEm1ajzml6VgwfIU/edit#"&amp;"gid=0"",""'Game 3'!S25""),IMPORTRANGE(""https://docs.google.com/spreadsheets/d/1CTYfdyRk_RFGM3I2iN9bKeD9zUPzEm1ajzml6VgwfIU/edit#gid=0"",""'Game 3'!J25"")+50,IMPORTRANGE(""https://docs.google.com/spreadsheets/d/1CTYfdyRk_RFGM3I2iN9bKeD9zUPzEm1ajzml6VgwfIU"&amp;"/edit#gid=0"",""'Game 3'!J25""))),IF(IMPORTRANGE(""https://docs.google.com/spreadsheets/d/1CTYfdyRk_RFGM3I2iN9bKeD9zUPzEm1ajzml6VgwfIU/edit#gid=0"",""'Game 3'!J25"")&gt;IMPORTRANGE(""https://docs.google.com/spreadsheets/d/1CTYfdyRk_RFGM3I2iN9bKeD9zUPzEm1ajzm"&amp;"l6VgwfIU/edit#gid=0"",""'Game 3'!S25""),IMPORTRANGE(""https://docs.google.com/spreadsheets/d/1CTYfdyRk_RFGM3I2iN9bKeD9zUPzEm1ajzml6VgwfIU/edit#gid=0"",""'Game 3'!S25""),IF(IMPORTRANGE(""https://docs.google.com/spreadsheets/d/1CTYfdyRk_RFGM3I2iN9bKeD9zUPzE"&amp;"m1ajzml6VgwfIU/edit#gid=0"",""'Game 3'!J25"")=IMPORTRANGE(""https://docs.google.com/spreadsheets/d/1CTYfdyRk_RFGM3I2iN9bKeD9zUPzEm1ajzml6VgwfIU/edit#gid=0"",""'Game 3'!S25""),IMPORTRANGE(""https://docs.google.com/spreadsheets/d/1CTYfdyRk_RFGM3I2iN9bKeD9zU"&amp;"PzEm1ajzml6VgwfIU/edit#gid=0"",""'Game 3'!S25"")+50,IMPORTRANGE(""https://docs.google.com/spreadsheets/d/1CTYfdyRk_RFGM3I2iN9bKeD9zUPzEm1ajzml6VgwfIU/edit#gid=0"",""'Game 3'!S25"")+100)))"),148.0)</f>
        <v>148</v>
      </c>
      <c r="J27" s="7">
        <f>IFERROR(__xludf.DUMMYFUNCTION("IF($A27=IMPORTRANGE(""https://docs.google.com/spreadsheets/d/11NFkzOdQyW-OtxSDuGslNCgNjx7HUb2FU7KnlNnPMgY/edit#gid=0"",""'Game 3'!B1""),IF(IMPORTRANGE(""https://docs.google.com/spreadsheets/d/11NFkzOdQyW-OtxSDuGslNCgNjx7HUb2FU7KnlNnPMgY/edit#gid=0"",""'Ga"&amp;"me 3'!J25"")&gt;IMPORTRANGE(""https://docs.google.com/spreadsheets/d/11NFkzOdQyW-OtxSDuGslNCgNjx7HUb2FU7KnlNnPMgY/edit#gid=0"",""'Game 3'!S25""),IMPORTRANGE(""https://docs.google.com/spreadsheets/d/11NFkzOdQyW-OtxSDuGslNCgNjx7HUb2FU7KnlNnPMgY/edit#gid=0"","""&amp;"'Game 3'!J25"")+100,IF(IMPORTRANGE(""https://docs.google.com/spreadsheets/d/11NFkzOdQyW-OtxSDuGslNCgNjx7HUb2FU7KnlNnPMgY/edit#gid=0"",""'Game 3'!J25"")=IMPORTRANGE(""https://docs.google.com/spreadsheets/d/11NFkzOdQyW-OtxSDuGslNCgNjx7HUb2FU7KnlNnPMgY/edit#"&amp;"gid=0"",""'Game 3'!S25""),IMPORTRANGE(""https://docs.google.com/spreadsheets/d/11NFkzOdQyW-OtxSDuGslNCgNjx7HUb2FU7KnlNnPMgY/edit#gid=0"",""'Game 3'!J25"")+50,IMPORTRANGE(""https://docs.google.com/spreadsheets/d/11NFkzOdQyW-OtxSDuGslNCgNjx7HUb2FU7KnlNnPMgY"&amp;"/edit#gid=0"",""'Game 3'!J25""))),IF(IMPORTRANGE(""https://docs.google.com/spreadsheets/d/11NFkzOdQyW-OtxSDuGslNCgNjx7HUb2FU7KnlNnPMgY/edit#gid=0"",""'Game 3'!J25"")&gt;IMPORTRANGE(""https://docs.google.com/spreadsheets/d/11NFkzOdQyW-OtxSDuGslNCgNjx7HUb2FU7K"&amp;"nlNnPMgY/edit#gid=0"",""'Game 3'!S25""),IMPORTRANGE(""https://docs.google.com/spreadsheets/d/11NFkzOdQyW-OtxSDuGslNCgNjx7HUb2FU7KnlNnPMgY/edit#gid=0"",""'Game 3'!S25""),IF(IMPORTRANGE(""https://docs.google.com/spreadsheets/d/11NFkzOdQyW-OtxSDuGslNCgNjx7HU"&amp;"b2FU7KnlNnPMgY/edit#gid=0"",""'Game 3'!J25"")=IMPORTRANGE(""https://docs.google.com/spreadsheets/d/11NFkzOdQyW-OtxSDuGslNCgNjx7HUb2FU7KnlNnPMgY/edit#gid=0"",""'Game 3'!S25""),IMPORTRANGE(""https://docs.google.com/spreadsheets/d/11NFkzOdQyW-OtxSDuGslNCgNjx"&amp;"7HUb2FU7KnlNnPMgY/edit#gid=0"",""'Game 3'!S25"")+50,IMPORTRANGE(""https://docs.google.com/spreadsheets/d/11NFkzOdQyW-OtxSDuGslNCgNjx7HUb2FU7KnlNnPMgY/edit#gid=0"",""'Game 3'!S25"")+100)))"),26.0)</f>
        <v>26</v>
      </c>
      <c r="K27" s="7">
        <f>IFERROR(__xludf.DUMMYFUNCTION("IF($A27=IMPORTRANGE(""https://docs.google.com/spreadsheets/d/1CLg5-jaE4ta0-u4oE1qbBplQ5Mf3Oj9ONFgL0zJ7Ol4/edit#gid=0"",""'Game 3'!B1""),IF(IMPORTRANGE(""https://docs.google.com/spreadsheets/d/1CLg5-jaE4ta0-u4oE1qbBplQ5Mf3Oj9ONFgL0zJ7Ol4/edit#gid=0"",""'Ga"&amp;"me 3'!J25"")&gt;IMPORTRANGE(""https://docs.google.com/spreadsheets/d/1CLg5-jaE4ta0-u4oE1qbBplQ5Mf3Oj9ONFgL0zJ7Ol4/edit#gid=0"",""'Game 3'!S25""),IMPORTRANGE(""https://docs.google.com/spreadsheets/d/1CLg5-jaE4ta0-u4oE1qbBplQ5Mf3Oj9ONFgL0zJ7Ol4/edit#gid=0"","""&amp;"'Game 3'!J25"")+100,IF(IMPORTRANGE(""https://docs.google.com/spreadsheets/d/1CLg5-jaE4ta0-u4oE1qbBplQ5Mf3Oj9ONFgL0zJ7Ol4/edit#gid=0"",""'Game 3'!J25"")=IMPORTRANGE(""https://docs.google.com/spreadsheets/d/1CLg5-jaE4ta0-u4oE1qbBplQ5Mf3Oj9ONFgL0zJ7Ol4/edit#"&amp;"gid=0"",""'Game 3'!S25""),IMPORTRANGE(""https://docs.google.com/spreadsheets/d/1CLg5-jaE4ta0-u4oE1qbBplQ5Mf3Oj9ONFgL0zJ7Ol4/edit#gid=0"",""'Game 3'!J25"")+50,IMPORTRANGE(""https://docs.google.com/spreadsheets/d/1CLg5-jaE4ta0-u4oE1qbBplQ5Mf3Oj9ONFgL0zJ7Ol4"&amp;"/edit#gid=0"",""'Game 3'!J25""))),IF(IMPORTRANGE(""https://docs.google.com/spreadsheets/d/1CLg5-jaE4ta0-u4oE1qbBplQ5Mf3Oj9ONFgL0zJ7Ol4/edit#gid=0"",""'Game 3'!J25"")&gt;IMPORTRANGE(""https://docs.google.com/spreadsheets/d/1CLg5-jaE4ta0-u4oE1qbBplQ5Mf3Oj9ONFg"&amp;"L0zJ7Ol4/edit#gid=0"",""'Game 3'!S25""),IMPORTRANGE(""https://docs.google.com/spreadsheets/d/1CLg5-jaE4ta0-u4oE1qbBplQ5Mf3Oj9ONFgL0zJ7Ol4/edit#gid=0"",""'Game 3'!S25""),IF(IMPORTRANGE(""https://docs.google.com/spreadsheets/d/1CLg5-jaE4ta0-u4oE1qbBplQ5Mf3O"&amp;"j9ONFgL0zJ7Ol4/edit#gid=0"",""'Game 3'!J25"")=IMPORTRANGE(""https://docs.google.com/spreadsheets/d/1CLg5-jaE4ta0-u4oE1qbBplQ5Mf3Oj9ONFgL0zJ7Ol4/edit#gid=0"",""'Game 3'!S25""),IMPORTRANGE(""https://docs.google.com/spreadsheets/d/1CLg5-jaE4ta0-u4oE1qbBplQ5M"&amp;"f3Oj9ONFgL0zJ7Ol4/edit#gid=0"",""'Game 3'!S25"")+50,IMPORTRANGE(""https://docs.google.com/spreadsheets/d/1CLg5-jaE4ta0-u4oE1qbBplQ5Mf3Oj9ONFgL0zJ7Ol4/edit#gid=0"",""'Game 3'!S25"")+100)))"),162.0)</f>
        <v>162</v>
      </c>
      <c r="L27" s="7">
        <f>IFERROR(__xludf.DUMMYFUNCTION("IF($A27=IMPORTRANGE(""https://docs.google.com/spreadsheets/d/1CeexgK4KxWj3k_7nql_k8-RPxXMwTJyB4Q3vAASeDlA/edit#gid=0"",""'Game 3'!B1""),IF(IMPORTRANGE(""https://docs.google.com/spreadsheets/d/1CeexgK4KxWj3k_7nql_k8-RPxXMwTJyB4Q3vAASeDlA/edit#gid=0"",""'Ga"&amp;"me 3'!J25"")&gt;IMPORTRANGE(""https://docs.google.com/spreadsheets/d/1CeexgK4KxWj3k_7nql_k8-RPxXMwTJyB4Q3vAASeDlA/edit#gid=0"",""'Game 3'!S25""),IMPORTRANGE(""https://docs.google.com/spreadsheets/d/1CeexgK4KxWj3k_7nql_k8-RPxXMwTJyB4Q3vAASeDlA/edit#gid=0"","""&amp;"'Game 3'!J25"")+100,IF(IMPORTRANGE(""https://docs.google.com/spreadsheets/d/1CeexgK4KxWj3k_7nql_k8-RPxXMwTJyB4Q3vAASeDlA/edit#gid=0"",""'Game 3'!J25"")=IMPORTRANGE(""https://docs.google.com/spreadsheets/d/1CeexgK4KxWj3k_7nql_k8-RPxXMwTJyB4Q3vAASeDlA/edit#"&amp;"gid=0"",""'Game 3'!S25""),IMPORTRANGE(""https://docs.google.com/spreadsheets/d/1CeexgK4KxWj3k_7nql_k8-RPxXMwTJyB4Q3vAASeDlA/edit#gid=0"",""'Game 3'!J25"")+50,IMPORTRANGE(""https://docs.google.com/spreadsheets/d/1CeexgK4KxWj3k_7nql_k8-RPxXMwTJyB4Q3vAASeDlA"&amp;"/edit#gid=0"",""'Game 3'!J25""))),IF(IMPORTRANGE(""https://docs.google.com/spreadsheets/d/1CeexgK4KxWj3k_7nql_k8-RPxXMwTJyB4Q3vAASeDlA/edit#gid=0"",""'Game 3'!J25"")&gt;IMPORTRANGE(""https://docs.google.com/spreadsheets/d/1CeexgK4KxWj3k_7nql_k8-RPxXMwTJyB4Q3"&amp;"vAASeDlA/edit#gid=0"",""'Game 3'!S25""),IMPORTRANGE(""https://docs.google.com/spreadsheets/d/1CeexgK4KxWj3k_7nql_k8-RPxXMwTJyB4Q3vAASeDlA/edit#gid=0"",""'Game 3'!S25""),IF(IMPORTRANGE(""https://docs.google.com/spreadsheets/d/1CeexgK4KxWj3k_7nql_k8-RPxXMwT"&amp;"JyB4Q3vAASeDlA/edit#gid=0"",""'Game 3'!J25"")=IMPORTRANGE(""https://docs.google.com/spreadsheets/d/1CeexgK4KxWj3k_7nql_k8-RPxXMwTJyB4Q3vAASeDlA/edit#gid=0"",""'Game 3'!S25""),IMPORTRANGE(""https://docs.google.com/spreadsheets/d/1CeexgK4KxWj3k_7nql_k8-RPxX"&amp;"MwTJyB4Q3vAASeDlA/edit#gid=0"",""'Game 3'!S25"")+50,IMPORTRANGE(""https://docs.google.com/spreadsheets/d/1CeexgK4KxWj3k_7nql_k8-RPxXMwTJyB4Q3vAASeDlA/edit#gid=0"",""'Game 3'!S25"")+100)))"),152.0)</f>
        <v>152</v>
      </c>
      <c r="M27" s="7">
        <f>IFERROR(__xludf.DUMMYFUNCTION("IF($A27=IMPORTRANGE(""https://docs.google.com/spreadsheets/d/1MNwUNMjcwK6bEgCXwB73jpbK5gJAXS8ZMpbEMLJEP3E/edit#gid=0"",""'Game 3'!B1""),IF(IMPORTRANGE(""https://docs.google.com/spreadsheets/d/1MNwUNMjcwK6bEgCXwB73jpbK5gJAXS8ZMpbEMLJEP3E/edit#gid=0"",""'Ga"&amp;"me 3'!J25"")&gt;IMPORTRANGE(""https://docs.google.com/spreadsheets/d/1MNwUNMjcwK6bEgCXwB73jpbK5gJAXS8ZMpbEMLJEP3E/edit#gid=0"",""'Game 3'!S25""),IMPORTRANGE(""https://docs.google.com/spreadsheets/d/1MNwUNMjcwK6bEgCXwB73jpbK5gJAXS8ZMpbEMLJEP3E/edit#gid=0"","""&amp;"'Game 3'!J25"")+100,IF(IMPORTRANGE(""https://docs.google.com/spreadsheets/d/1MNwUNMjcwK6bEgCXwB73jpbK5gJAXS8ZMpbEMLJEP3E/edit#gid=0"",""'Game 3'!J25"")=IMPORTRANGE(""https://docs.google.com/spreadsheets/d/1MNwUNMjcwK6bEgCXwB73jpbK5gJAXS8ZMpbEMLJEP3E/edit#"&amp;"gid=0"",""'Game 3'!S25""),IMPORTRANGE(""https://docs.google.com/spreadsheets/d/1MNwUNMjcwK6bEgCXwB73jpbK5gJAXS8ZMpbEMLJEP3E/edit#gid=0"",""'Game 3'!J25"")+50,IMPORTRANGE(""https://docs.google.com/spreadsheets/d/1MNwUNMjcwK6bEgCXwB73jpbK5gJAXS8ZMpbEMLJEP3E"&amp;"/edit#gid=0"",""'Game 3'!J25""))),IF(IMPORTRANGE(""https://docs.google.com/spreadsheets/d/1MNwUNMjcwK6bEgCXwB73jpbK5gJAXS8ZMpbEMLJEP3E/edit#gid=0"",""'Game 3'!J25"")&gt;IMPORTRANGE(""https://docs.google.com/spreadsheets/d/1MNwUNMjcwK6bEgCXwB73jpbK5gJAXS8ZMpb"&amp;"EMLJEP3E/edit#gid=0"",""'Game 3'!S25""),IMPORTRANGE(""https://docs.google.com/spreadsheets/d/1MNwUNMjcwK6bEgCXwB73jpbK5gJAXS8ZMpbEMLJEP3E/edit#gid=0"",""'Game 3'!S25""),IF(IMPORTRANGE(""https://docs.google.com/spreadsheets/d/1MNwUNMjcwK6bEgCXwB73jpbK5gJAX"&amp;"S8ZMpbEMLJEP3E/edit#gid=0"",""'Game 3'!J25"")=IMPORTRANGE(""https://docs.google.com/spreadsheets/d/1MNwUNMjcwK6bEgCXwB73jpbK5gJAXS8ZMpbEMLJEP3E/edit#gid=0"",""'Game 3'!S25""),IMPORTRANGE(""https://docs.google.com/spreadsheets/d/1MNwUNMjcwK6bEgCXwB73jpbK5g"&amp;"JAXS8ZMpbEMLJEP3E/edit#gid=0"",""'Game 3'!S25"")+50,IMPORTRANGE(""https://docs.google.com/spreadsheets/d/1MNwUNMjcwK6bEgCXwB73jpbK5gJAXS8ZMpbEMLJEP3E/edit#gid=0"",""'Game 3'!S25"")+100)))"),0.0)</f>
        <v>0</v>
      </c>
      <c r="N27" s="7">
        <f>IFERROR(__xludf.DUMMYFUNCTION("IF($A27=IMPORTRANGE(""https://docs.google.com/spreadsheets/d/1UrzyxmT40kDZwVrLMf1yyXfP-pyczRAw9Y8Rw-uXG3c/edit#gid=0"",""'Game 3'!B1""),IF(IMPORTRANGE(""https://docs.google.com/spreadsheets/d/1UrzyxmT40kDZwVrLMf1yyXfP-pyczRAw9Y8Rw-uXG3c/edit#gid=0"",""'Ga"&amp;"me 3'!J25"")&gt;IMPORTRANGE(""https://docs.google.com/spreadsheets/d/1UrzyxmT40kDZwVrLMf1yyXfP-pyczRAw9Y8Rw-uXG3c/edit#gid=0"",""'Game 3'!S25""),IMPORTRANGE(""https://docs.google.com/spreadsheets/d/1UrzyxmT40kDZwVrLMf1yyXfP-pyczRAw9Y8Rw-uXG3c/edit#gid=0"","""&amp;"'Game 3'!J25"")+100,IF(IMPORTRANGE(""https://docs.google.com/spreadsheets/d/1UrzyxmT40kDZwVrLMf1yyXfP-pyczRAw9Y8Rw-uXG3c/edit#gid=0"",""'Game 3'!J25"")=IMPORTRANGE(""https://docs.google.com/spreadsheets/d/1UrzyxmT40kDZwVrLMf1yyXfP-pyczRAw9Y8Rw-uXG3c/edit#"&amp;"gid=0"",""'Game 3'!S25""),IMPORTRANGE(""https://docs.google.com/spreadsheets/d/1UrzyxmT40kDZwVrLMf1yyXfP-pyczRAw9Y8Rw-uXG3c/edit#gid=0"",""'Game 3'!J25"")+50,IMPORTRANGE(""https://docs.google.com/spreadsheets/d/1UrzyxmT40kDZwVrLMf1yyXfP-pyczRAw9Y8Rw-uXG3c"&amp;"/edit#gid=0"",""'Game 3'!J25""))),IF(IMPORTRANGE(""https://docs.google.com/spreadsheets/d/1UrzyxmT40kDZwVrLMf1yyXfP-pyczRAw9Y8Rw-uXG3c/edit#gid=0"",""'Game 3'!J25"")&gt;IMPORTRANGE(""https://docs.google.com/spreadsheets/d/1UrzyxmT40kDZwVrLMf1yyXfP-pyczRAw9Y8"&amp;"Rw-uXG3c/edit#gid=0"",""'Game 3'!S25""),IMPORTRANGE(""https://docs.google.com/spreadsheets/d/1UrzyxmT40kDZwVrLMf1yyXfP-pyczRAw9Y8Rw-uXG3c/edit#gid=0"",""'Game 3'!S25""),IF(IMPORTRANGE(""https://docs.google.com/spreadsheets/d/1UrzyxmT40kDZwVrLMf1yyXfP-pycz"&amp;"RAw9Y8Rw-uXG3c/edit#gid=0"",""'Game 3'!J25"")=IMPORTRANGE(""https://docs.google.com/spreadsheets/d/1UrzyxmT40kDZwVrLMf1yyXfP-pyczRAw9Y8Rw-uXG3c/edit#gid=0"",""'Game 3'!S25""),IMPORTRANGE(""https://docs.google.com/spreadsheets/d/1UrzyxmT40kDZwVrLMf1yyXfP-p"&amp;"yczRAw9Y8Rw-uXG3c/edit#gid=0"",""'Game 3'!S25"")+50,IMPORTRANGE(""https://docs.google.com/spreadsheets/d/1UrzyxmT40kDZwVrLMf1yyXfP-pyczRAw9Y8Rw-uXG3c/edit#gid=0"",""'Game 3'!S25"")+100)))"),150.0)</f>
        <v>150</v>
      </c>
      <c r="O27" s="7">
        <f>IFERROR(__xludf.DUMMYFUNCTION("IF($A27=IMPORTRANGE(""https://docs.google.com/spreadsheets/d/1iyMhSYWifw-KGFtyeBpNxVZr4BhcV9hVZuShgJ9Ia0E/edit#gid=0"",""'Game 3'!B1""),IF(IMPORTRANGE(""https://docs.google.com/spreadsheets/d/1iyMhSYWifw-KGFtyeBpNxVZr4BhcV9hVZuShgJ9Ia0E/edit#gid=0"",""'Ga"&amp;"me 3'!J25"")&gt;IMPORTRANGE(""https://docs.google.com/spreadsheets/d/1iyMhSYWifw-KGFtyeBpNxVZr4BhcV9hVZuShgJ9Ia0E/edit#gid=0"",""'Game 3'!S25""),IMPORTRANGE(""https://docs.google.com/spreadsheets/d/1iyMhSYWifw-KGFtyeBpNxVZr4BhcV9hVZuShgJ9Ia0E/edit#gid=0"","""&amp;"'Game 3'!J25"")+100,IF(IMPORTRANGE(""https://docs.google.com/spreadsheets/d/1iyMhSYWifw-KGFtyeBpNxVZr4BhcV9hVZuShgJ9Ia0E/edit#gid=0"",""'Game 3'!J25"")=IMPORTRANGE(""https://docs.google.com/spreadsheets/d/1iyMhSYWifw-KGFtyeBpNxVZr4BhcV9hVZuShgJ9Ia0E/edit#"&amp;"gid=0"",""'Game 3'!S25""),IMPORTRANGE(""https://docs.google.com/spreadsheets/d/1iyMhSYWifw-KGFtyeBpNxVZr4BhcV9hVZuShgJ9Ia0E/edit#gid=0"",""'Game 3'!J25"")+50,IMPORTRANGE(""https://docs.google.com/spreadsheets/d/1iyMhSYWifw-KGFtyeBpNxVZr4BhcV9hVZuShgJ9Ia0E"&amp;"/edit#gid=0"",""'Game 3'!J25""))),IF(IMPORTRANGE(""https://docs.google.com/spreadsheets/d/1iyMhSYWifw-KGFtyeBpNxVZr4BhcV9hVZuShgJ9Ia0E/edit#gid=0"",""'Game 3'!J25"")&gt;IMPORTRANGE(""https://docs.google.com/spreadsheets/d/1iyMhSYWifw-KGFtyeBpNxVZr4BhcV9hVZuS"&amp;"hgJ9Ia0E/edit#gid=0"",""'Game 3'!S25""),IMPORTRANGE(""https://docs.google.com/spreadsheets/d/1iyMhSYWifw-KGFtyeBpNxVZr4BhcV9hVZuShgJ9Ia0E/edit#gid=0"",""'Game 3'!S25""),IF(IMPORTRANGE(""https://docs.google.com/spreadsheets/d/1iyMhSYWifw-KGFtyeBpNxVZr4BhcV"&amp;"9hVZuShgJ9Ia0E/edit#gid=0"",""'Game 3'!J25"")=IMPORTRANGE(""https://docs.google.com/spreadsheets/d/1iyMhSYWifw-KGFtyeBpNxVZr4BhcV9hVZuShgJ9Ia0E/edit#gid=0"",""'Game 3'!S25""),IMPORTRANGE(""https://docs.google.com/spreadsheets/d/1iyMhSYWifw-KGFtyeBpNxVZr4B"&amp;"hcV9hVZuShgJ9Ia0E/edit#gid=0"",""'Game 3'!S25"")+50,IMPORTRANGE(""https://docs.google.com/spreadsheets/d/1iyMhSYWifw-KGFtyeBpNxVZr4BhcV9hVZuShgJ9Ia0E/edit#gid=0"",""'Game 3'!S25"")+100)))"),40.0)</f>
        <v>40</v>
      </c>
      <c r="P27" s="7">
        <f>IFERROR(__xludf.DUMMYFUNCTION("IF($A27=IMPORTRANGE(""https://docs.google.com/spreadsheets/d/1sSbIK-vvHsSY0LghLJ9gcnW8Hec_ITI2tFmpeqI999A/edit#gid=0"",""'Game 1'!B1""),IF(IMPORTRANGE(""https://docs.google.com/spreadsheets/d/1sSbIK-vvHsSY0LghLJ9gcnW8Hec_ITI2tFmpeqI999A/edit#gid=0"",""'Ga"&amp;"me 1'!J25"")&gt;IMPORTRANGE(""https://docs.google.com/spreadsheets/d/1sSbIK-vvHsSY0LghLJ9gcnW8Hec_ITI2tFmpeqI999A/edit#gid=0"",""'Game 1'!S25""),IMPORTRANGE(""https://docs.google.com/spreadsheets/d/1sSbIK-vvHsSY0LghLJ9gcnW8Hec_ITI2tFmpeqI999A/edit#gid=0"","""&amp;"'Game 1'!J25"")+100,IF(IMPORTRANGE(""https://docs.google.com/spreadsheets/d/1sSbIK-vvHsSY0LghLJ9gcnW8Hec_ITI2tFmpeqI999A/edit#gid=0"",""'Game 1'!J25"")=IMPORTRANGE(""https://docs.google.com/spreadsheets/d/1sSbIK-vvHsSY0LghLJ9gcnW8Hec_ITI2tFmpeqI999A/edit#"&amp;"gid=0"",""'Game 1'!S25""),IMPORTRANGE(""https://docs.google.com/spreadsheets/d/1sSbIK-vvHsSY0LghLJ9gcnW8Hec_ITI2tFmpeqI999A/edit#gid=0"",""'Game 1'!J25"")+50,IMPORTRANGE(""https://docs.google.com/spreadsheets/d/1sSbIK-vvHsSY0LghLJ9gcnW8Hec_ITI2tFmpeqI999A"&amp;"/edit#gid=0"",""'Game 1'!J25""))),IF(IMPORTRANGE(""https://docs.google.com/spreadsheets/d/1sSbIK-vvHsSY0LghLJ9gcnW8Hec_ITI2tFmpeqI999A/edit#gid=0"",""'Game 1'!J25"")&gt;IMPORTRANGE(""https://docs.google.com/spreadsheets/d/1sSbIK-vvHsSY0LghLJ9gcnW8Hec_ITI2tFm"&amp;"peqI999A/edit#gid=0"",""'Game 1'!S25""),IMPORTRANGE(""https://docs.google.com/spreadsheets/d/1sSbIK-vvHsSY0LghLJ9gcnW8Hec_ITI2tFmpeqI999A/edit#gid=0"",""'Game 1'!S25""),IF(IMPORTRANGE(""https://docs.google.com/spreadsheets/d/1sSbIK-vvHsSY0LghLJ9gcnW8Hec_I"&amp;"TI2tFmpeqI999A/edit#gid=0"",""'Game 1'!J25"")=IMPORTRANGE(""https://docs.google.com/spreadsheets/d/1sSbIK-vvHsSY0LghLJ9gcnW8Hec_ITI2tFmpeqI999A/edit#gid=0"",""'Game 1'!S25""),IMPORTRANGE(""https://docs.google.com/spreadsheets/d/1sSbIK-vvHsSY0LghLJ9gcnW8He"&amp;"c_ITI2tFmpeqI999A/edit#gid=0"",""'Game 1'!S25"")+50,IMPORTRANGE(""https://docs.google.com/spreadsheets/d/1sSbIK-vvHsSY0LghLJ9gcnW8Hec_ITI2tFmpeqI999A/edit#gid=0"",""'Game 1'!S25"")+100)))"),154.0)</f>
        <v>154</v>
      </c>
      <c r="Q27" s="37">
        <f t="shared" si="1"/>
        <v>1450</v>
      </c>
      <c r="R27" s="37">
        <f t="shared" si="2"/>
        <v>10</v>
      </c>
    </row>
    <row r="28">
      <c r="A28" s="33" t="s">
        <v>335</v>
      </c>
      <c r="B28" s="42">
        <f t="shared" ref="B28:Q28" si="3">ROUND(100*AVERAGE(B2:B27),0)/100-50</f>
        <v>37.54</v>
      </c>
      <c r="C28" s="42">
        <f t="shared" si="3"/>
        <v>48.54</v>
      </c>
      <c r="D28" s="42">
        <f t="shared" si="3"/>
        <v>35.31</v>
      </c>
      <c r="E28" s="42">
        <f t="shared" si="3"/>
        <v>25.69</v>
      </c>
      <c r="F28" s="42">
        <f t="shared" si="3"/>
        <v>45.38</v>
      </c>
      <c r="G28" s="42">
        <f t="shared" si="3"/>
        <v>55.31</v>
      </c>
      <c r="H28" s="42">
        <f t="shared" si="3"/>
        <v>39.38</v>
      </c>
      <c r="I28" s="42">
        <f t="shared" si="3"/>
        <v>37.92</v>
      </c>
      <c r="J28" s="42">
        <f t="shared" si="3"/>
        <v>43.38</v>
      </c>
      <c r="K28" s="42">
        <f t="shared" si="3"/>
        <v>50</v>
      </c>
      <c r="L28" s="42">
        <f t="shared" si="3"/>
        <v>42.92</v>
      </c>
      <c r="M28" s="42">
        <f t="shared" si="3"/>
        <v>45.54</v>
      </c>
      <c r="N28" s="42">
        <f t="shared" si="3"/>
        <v>41.69</v>
      </c>
      <c r="O28" s="42">
        <f t="shared" si="3"/>
        <v>45.77</v>
      </c>
      <c r="P28" s="42">
        <f t="shared" si="3"/>
        <v>45.77</v>
      </c>
      <c r="Q28" s="42">
        <f t="shared" si="3"/>
        <v>1340.15</v>
      </c>
      <c r="R28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16" width="9.88"/>
  </cols>
  <sheetData>
    <row r="1">
      <c r="A1" s="32" t="s">
        <v>333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2" t="s">
        <v>14</v>
      </c>
      <c r="O1" s="32" t="s">
        <v>15</v>
      </c>
      <c r="P1" s="32" t="s">
        <v>16</v>
      </c>
      <c r="Q1" s="32" t="s">
        <v>334</v>
      </c>
      <c r="R1" s="32" t="s">
        <v>22</v>
      </c>
    </row>
    <row r="2">
      <c r="A2" s="33" t="s">
        <v>35</v>
      </c>
      <c r="B2" s="34">
        <v>54.0</v>
      </c>
      <c r="C2" s="34">
        <v>186.0</v>
      </c>
      <c r="D2" s="34">
        <v>196.0</v>
      </c>
      <c r="E2" s="34">
        <v>228.0</v>
      </c>
      <c r="F2" s="34">
        <v>180.0</v>
      </c>
      <c r="G2" s="5">
        <f>IFERROR(__xludf.DUMMYFUNCTION("IF($A2=IMPORTRANGE(""https://docs.google.com/spreadsheets/d/19gjAD4NwTXl_QoKUuwHQ1cWG_S2BOW94pDcyFtPwheg/edit#gid=0"",""'Game 5'!B1""),IF(IMPORTRANGE(""https://docs.google.com/spreadsheets/d/19gjAD4NwTXl_QoKUuwHQ1cWG_S2BOW94pDcyFtPwheg/edit#gid=0"",""'Gam"&amp;"e 5'!J25"")&gt;IMPORTRANGE(""https://docs.google.com/spreadsheets/d/19gjAD4NwTXl_QoKUuwHQ1cWG_S2BOW94pDcyFtPwheg/edit#gid=0"",""'Game 5'!S25""),IMPORTRANGE(""https://docs.google.com/spreadsheets/d/19gjAD4NwTXl_QoKUuwHQ1cWG_S2BOW94pDcyFtPwheg/edit#gid=0"",""'"&amp;"Game 5'!J25"")+100,IF(IMPORTRANGE(""https://docs.google.com/spreadsheets/d/19gjAD4NwTXl_QoKUuwHQ1cWG_S2BOW94pDcyFtPwheg/edit#gid=0"",""'Game 5'!J25"")=IMPORTRANGE(""https://docs.google.com/spreadsheets/d/19gjAD4NwTXl_QoKUuwHQ1cWG_S2BOW94pDcyFtPwheg/edit#g"&amp;"id=0"",""'Game 5'!S25""),IMPORTRANGE(""https://docs.google.com/spreadsheets/d/19gjAD4NwTXl_QoKUuwHQ1cWG_S2BOW94pDcyFtPwheg/edit#gid=0"",""'Game 5'!J25"")+50,IMPORTRANGE(""https://docs.google.com/spreadsheets/d/19gjAD4NwTXl_QoKUuwHQ1cWG_S2BOW94pDcyFtPwheg/"&amp;"edit#gid=0"",""'Game 5'!J25""))),IF(IMPORTRANGE(""https://docs.google.com/spreadsheets/d/19gjAD4NwTXl_QoKUuwHQ1cWG_S2BOW94pDcyFtPwheg/edit#gid=0"",""'Game 5'!J25"")&gt;IMPORTRANGE(""https://docs.google.com/spreadsheets/d/19gjAD4NwTXl_QoKUuwHQ1cWG_S2BOW94pDcy"&amp;"FtPwheg/edit#gid=0"",""'Game 5'!S25""),IMPORTRANGE(""https://docs.google.com/spreadsheets/d/19gjAD4NwTXl_QoKUuwHQ1cWG_S2BOW94pDcyFtPwheg/edit#gid=0"",""'Game 5'!S25""),IF(IMPORTRANGE(""https://docs.google.com/spreadsheets/d/19gjAD4NwTXl_QoKUuwHQ1cWG_S2BOW"&amp;"94pDcyFtPwheg/edit#gid=0"",""'Game 5'!J25"")=IMPORTRANGE(""https://docs.google.com/spreadsheets/d/19gjAD4NwTXl_QoKUuwHQ1cWG_S2BOW94pDcyFtPwheg/edit#gid=0"",""'Game 5'!S25""),IMPORTRANGE(""https://docs.google.com/spreadsheets/d/19gjAD4NwTXl_QoKUuwHQ1cWG_S2"&amp;"BOW94pDcyFtPwheg/edit#gid=0"",""'Game 5'!S25"")+50,IMPORTRANGE(""https://docs.google.com/spreadsheets/d/19gjAD4NwTXl_QoKUuwHQ1cWG_S2BOW94pDcyFtPwheg/edit#gid=0"",""'Game 5'!S25"")+100)))"),54.0)</f>
        <v>54</v>
      </c>
      <c r="H2" s="5">
        <f>IFERROR(__xludf.DUMMYFUNCTION("IF($A2=IMPORTRANGE(""https://docs.google.com/spreadsheets/d/1l83w8bH-F1czkFOqsgQy6o8O33Jb4Pfg40W0ou2nk0k/edit#gid=0"",""'Game 3'!B1""),IF(IMPORTRANGE(""https://docs.google.com/spreadsheets/d/1l83w8bH-F1czkFOqsgQy6o8O33Jb4Pfg40W0ou2nk0k/edit#gid=0"",""'Gam"&amp;"e 3'!J25"")&gt;IMPORTRANGE(""https://docs.google.com/spreadsheets/d/1l83w8bH-F1czkFOqsgQy6o8O33Jb4Pfg40W0ou2nk0k/edit#gid=0"",""'Game 3'!S25""),IMPORTRANGE(""https://docs.google.com/spreadsheets/d/1l83w8bH-F1czkFOqsgQy6o8O33Jb4Pfg40W0ou2nk0k/edit#gid=0"",""'"&amp;"Game 3'!J25"")+100,IF(IMPORTRANGE(""https://docs.google.com/spreadsheets/d/1l83w8bH-F1czkFOqsgQy6o8O33Jb4Pfg40W0ou2nk0k/edit#gid=0"",""'Game 3'!J25"")=IMPORTRANGE(""https://docs.google.com/spreadsheets/d/1l83w8bH-F1czkFOqsgQy6o8O33Jb4Pfg40W0ou2nk0k/edit#g"&amp;"id=0"",""'Game 3'!S25""),IMPORTRANGE(""https://docs.google.com/spreadsheets/d/1l83w8bH-F1czkFOqsgQy6o8O33Jb4Pfg40W0ou2nk0k/edit#gid=0"",""'Game 3'!J25"")+50,IMPORTRANGE(""https://docs.google.com/spreadsheets/d/1l83w8bH-F1czkFOqsgQy6o8O33Jb4Pfg40W0ou2nk0k/"&amp;"edit#gid=0"",""'Game 3'!J25""))),IF(IMPORTRANGE(""https://docs.google.com/spreadsheets/d/1l83w8bH-F1czkFOqsgQy6o8O33Jb4Pfg40W0ou2nk0k/edit#gid=0"",""'Game 3'!J25"")&gt;IMPORTRANGE(""https://docs.google.com/spreadsheets/d/1l83w8bH-F1czkFOqsgQy6o8O33Jb4Pfg40W0"&amp;"ou2nk0k/edit#gid=0"",""'Game 3'!S25""),IMPORTRANGE(""https://docs.google.com/spreadsheets/d/1l83w8bH-F1czkFOqsgQy6o8O33Jb4Pfg40W0ou2nk0k/edit#gid=0"",""'Game 3'!S25""),IF(IMPORTRANGE(""https://docs.google.com/spreadsheets/d/1l83w8bH-F1czkFOqsgQy6o8O33Jb4P"&amp;"fg40W0ou2nk0k/edit#gid=0"",""'Game 3'!J25"")=IMPORTRANGE(""https://docs.google.com/spreadsheets/d/1l83w8bH-F1czkFOqsgQy6o8O33Jb4Pfg40W0ou2nk0k/edit#gid=0"",""'Game 3'!S25""),IMPORTRANGE(""https://docs.google.com/spreadsheets/d/1l83w8bH-F1czkFOqsgQy6o8O33J"&amp;"b4Pfg40W0ou2nk0k/edit#gid=0"",""'Game 3'!S25"")+50,IMPORTRANGE(""https://docs.google.com/spreadsheets/d/1l83w8bH-F1czkFOqsgQy6o8O33Jb4Pfg40W0ou2nk0k/edit#gid=0"",""'Game 3'!S25"")+100)))"),52.0)</f>
        <v>52</v>
      </c>
      <c r="I2" s="5">
        <f>IFERROR(__xludf.DUMMYFUNCTION("IF($A2=IMPORTRANGE(""https://docs.google.com/spreadsheets/d/15X-ub7GvrCQZ3UGgyogcjwYdxG-Ng8WHxzGSj1Z3eLw/edit#gid=0"",""'Game 9'!B1""),IF(IMPORTRANGE(""https://docs.google.com/spreadsheets/d/15X-ub7GvrCQZ3UGgyogcjwYdxG-Ng8WHxzGSj1Z3eLw/edit#gid=0"",""'Gam"&amp;"e 9'!J25"")&gt;IMPORTRANGE(""https://docs.google.com/spreadsheets/d/15X-ub7GvrCQZ3UGgyogcjwYdxG-Ng8WHxzGSj1Z3eLw/edit#gid=0"",""'Game 9'!S25""),IMPORTRANGE(""https://docs.google.com/spreadsheets/d/15X-ub7GvrCQZ3UGgyogcjwYdxG-Ng8WHxzGSj1Z3eLw/edit#gid=0"",""'"&amp;"Game 9'!J25"")+100,IF(IMPORTRANGE(""https://docs.google.com/spreadsheets/d/15X-ub7GvrCQZ3UGgyogcjwYdxG-Ng8WHxzGSj1Z3eLw/edit#gid=0"",""'Game 9'!J25"")=IMPORTRANGE(""https://docs.google.com/spreadsheets/d/15X-ub7GvrCQZ3UGgyogcjwYdxG-Ng8WHxzGSj1Z3eLw/edit#g"&amp;"id=0"",""'Game 9'!S25""),IMPORTRANGE(""https://docs.google.com/spreadsheets/d/15X-ub7GvrCQZ3UGgyogcjwYdxG-Ng8WHxzGSj1Z3eLw/edit#gid=0"",""'Game 9'!J25"")+50,IMPORTRANGE(""https://docs.google.com/spreadsheets/d/15X-ub7GvrCQZ3UGgyogcjwYdxG-Ng8WHxzGSj1Z3eLw/"&amp;"edit#gid=0"",""'Game 9'!J25""))),IF(IMPORTRANGE(""https://docs.google.com/spreadsheets/d/15X-ub7GvrCQZ3UGgyogcjwYdxG-Ng8WHxzGSj1Z3eLw/edit#gid=0"",""'Game 9'!J25"")&gt;IMPORTRANGE(""https://docs.google.com/spreadsheets/d/15X-ub7GvrCQZ3UGgyogcjwYdxG-Ng8WHxzGS"&amp;"j1Z3eLw/edit#gid=0"",""'Game 9'!S25""),IMPORTRANGE(""https://docs.google.com/spreadsheets/d/15X-ub7GvrCQZ3UGgyogcjwYdxG-Ng8WHxzGSj1Z3eLw/edit#gid=0"",""'Game 9'!S25""),IF(IMPORTRANGE(""https://docs.google.com/spreadsheets/d/15X-ub7GvrCQZ3UGgyogcjwYdxG-Ng8"&amp;"WHxzGSj1Z3eLw/edit#gid=0"",""'Game 9'!J25"")=IMPORTRANGE(""https://docs.google.com/spreadsheets/d/15X-ub7GvrCQZ3UGgyogcjwYdxG-Ng8WHxzGSj1Z3eLw/edit#gid=0"",""'Game 9'!S25""),IMPORTRANGE(""https://docs.google.com/spreadsheets/d/15X-ub7GvrCQZ3UGgyogcjwYdxG-"&amp;"Ng8WHxzGSj1Z3eLw/edit#gid=0"",""'Game 9'!S25"")+50,IMPORTRANGE(""https://docs.google.com/spreadsheets/d/15X-ub7GvrCQZ3UGgyogcjwYdxG-Ng8WHxzGSj1Z3eLw/edit#gid=0"",""'Game 9'!S25"")+100)))"),174.0)</f>
        <v>174</v>
      </c>
      <c r="J2" s="5">
        <f>IFERROR(__xludf.DUMMYFUNCTION("IF($A2=IMPORTRANGE(""https://docs.google.com/spreadsheets/d/194Bw3ABslPPhOOPvVoMzIk8sOQFICWBu2pydWdYMD-w/edit#gid=0"",""'Game 10'!B1""),IF(IMPORTRANGE(""https://docs.google.com/spreadsheets/d/194Bw3ABslPPhOOPvVoMzIk8sOQFICWBu2pydWdYMD-w/edit#gid=0"",""'Ga"&amp;"me 10'!J25"")&gt;IMPORTRANGE(""https://docs.google.com/spreadsheets/d/194Bw3ABslPPhOOPvVoMzIk8sOQFICWBu2pydWdYMD-w/edit#gid=0"",""'Game 10'!S25""),IMPORTRANGE(""https://docs.google.com/spreadsheets/d/194Bw3ABslPPhOOPvVoMzIk8sOQFICWBu2pydWdYMD-w/edit#gid=0"","&amp;"""'Game 10'!J25"")+100,IF(IMPORTRANGE(""https://docs.google.com/spreadsheets/d/194Bw3ABslPPhOOPvVoMzIk8sOQFICWBu2pydWdYMD-w/edit#gid=0"",""'Game 10'!J25"")=IMPORTRANGE(""https://docs.google.com/spreadsheets/d/194Bw3ABslPPhOOPvVoMzIk8sOQFICWBu2pydWdYMD-w/e"&amp;"dit#gid=0"",""'Game 10'!S25""),IMPORTRANGE(""https://docs.google.com/spreadsheets/d/194Bw3ABslPPhOOPvVoMzIk8sOQFICWBu2pydWdYMD-w/edit#gid=0"",""'Game 10'!J25"")+50,IMPORTRANGE(""https://docs.google.com/spreadsheets/d/194Bw3ABslPPhOOPvVoMzIk8sOQFICWBu2pydW"&amp;"dYMD-w/edit#gid=0"",""'Game 10'!J25""))),IF(IMPORTRANGE(""https://docs.google.com/spreadsheets/d/194Bw3ABslPPhOOPvVoMzIk8sOQFICWBu2pydWdYMD-w/edit#gid=0"",""'Game 10'!J25"")&gt;IMPORTRANGE(""https://docs.google.com/spreadsheets/d/194Bw3ABslPPhOOPvVoMzIk8sOQF"&amp;"ICWBu2pydWdYMD-w/edit#gid=0"",""'Game 10'!S25""),IMPORTRANGE(""https://docs.google.com/spreadsheets/d/194Bw3ABslPPhOOPvVoMzIk8sOQFICWBu2pydWdYMD-w/edit#gid=0"",""'Game 10'!S25""),IF(IMPORTRANGE(""https://docs.google.com/spreadsheets/d/194Bw3ABslPPhOOPvVoM"&amp;"zIk8sOQFICWBu2pydWdYMD-w/edit#gid=0"",""'Game 10'!J25"")=IMPORTRANGE(""https://docs.google.com/spreadsheets/d/194Bw3ABslPPhOOPvVoMzIk8sOQFICWBu2pydWdYMD-w/edit#gid=0"",""'Game 10'!S25""),IMPORTRANGE(""https://docs.google.com/spreadsheets/d/194Bw3ABslPPhOO"&amp;"PvVoMzIk8sOQFICWBu2pydWdYMD-w/edit#gid=0"",""'Game 10'!S25"")+50,IMPORTRANGE(""https://docs.google.com/spreadsheets/d/194Bw3ABslPPhOOPvVoMzIk8sOQFICWBu2pydWdYMD-w/edit#gid=0"",""'Game 10'!S25"")+100)))"),220.0)</f>
        <v>220</v>
      </c>
      <c r="K2" s="5">
        <f>IFERROR(__xludf.DUMMYFUNCTION("IF($A2=IMPORTRANGE(""https://docs.google.com/spreadsheets/d/1F2Bi6K_I1K9xRxY5qb-bNRo5m-Kw7udpF1OaTHhrxjs/edit#gid=0"",""'Game 6'!B1""),IF(IMPORTRANGE(""https://docs.google.com/spreadsheets/d/1F2Bi6K_I1K9xRxY5qb-bNRo5m-Kw7udpF1OaTHhrxjs/edit#gid=0"",""'Gam"&amp;"e 6'!J25"")&gt;IMPORTRANGE(""https://docs.google.com/spreadsheets/d/1F2Bi6K_I1K9xRxY5qb-bNRo5m-Kw7udpF1OaTHhrxjs/edit#gid=0"",""'Game 6'!S25""),IMPORTRANGE(""https://docs.google.com/spreadsheets/d/1F2Bi6K_I1K9xRxY5qb-bNRo5m-Kw7udpF1OaTHhrxjs/edit#gid=0"",""'"&amp;"Game 6'!J25"")+100,IF(IMPORTRANGE(""https://docs.google.com/spreadsheets/d/1F2Bi6K_I1K9xRxY5qb-bNRo5m-Kw7udpF1OaTHhrxjs/edit#gid=0"",""'Game 6'!J25"")=IMPORTRANGE(""https://docs.google.com/spreadsheets/d/1F2Bi6K_I1K9xRxY5qb-bNRo5m-Kw7udpF1OaTHhrxjs/edit#g"&amp;"id=0"",""'Game 6'!S25""),IMPORTRANGE(""https://docs.google.com/spreadsheets/d/1F2Bi6K_I1K9xRxY5qb-bNRo5m-Kw7udpF1OaTHhrxjs/edit#gid=0"",""'Game 6'!J25"")+50,IMPORTRANGE(""https://docs.google.com/spreadsheets/d/1F2Bi6K_I1K9xRxY5qb-bNRo5m-Kw7udpF1OaTHhrxjs/"&amp;"edit#gid=0"",""'Game 6'!J25""))),IF(IMPORTRANGE(""https://docs.google.com/spreadsheets/d/1F2Bi6K_I1K9xRxY5qb-bNRo5m-Kw7udpF1OaTHhrxjs/edit#gid=0"",""'Game 6'!J25"")&gt;IMPORTRANGE(""https://docs.google.com/spreadsheets/d/1F2Bi6K_I1K9xRxY5qb-bNRo5m-Kw7udpF1Oa"&amp;"THhrxjs/edit#gid=0"",""'Game 6'!S25""),IMPORTRANGE(""https://docs.google.com/spreadsheets/d/1F2Bi6K_I1K9xRxY5qb-bNRo5m-Kw7udpF1OaTHhrxjs/edit#gid=0"",""'Game 6'!S25""),IF(IMPORTRANGE(""https://docs.google.com/spreadsheets/d/1F2Bi6K_I1K9xRxY5qb-bNRo5m-Kw7u"&amp;"dpF1OaTHhrxjs/edit#gid=0"",""'Game 6'!J25"")=IMPORTRANGE(""https://docs.google.com/spreadsheets/d/1F2Bi6K_I1K9xRxY5qb-bNRo5m-Kw7udpF1OaTHhrxjs/edit#gid=0"",""'Game 6'!S25""),IMPORTRANGE(""https://docs.google.com/spreadsheets/d/1F2Bi6K_I1K9xRxY5qb-bNRo5m-K"&amp;"w7udpF1OaTHhrxjs/edit#gid=0"",""'Game 6'!S25"")+50,IMPORTRANGE(""https://docs.google.com/spreadsheets/d/1F2Bi6K_I1K9xRxY5qb-bNRo5m-Kw7udpF1OaTHhrxjs/edit#gid=0"",""'Game 6'!S25"")+100)))"),172.0)</f>
        <v>172</v>
      </c>
      <c r="L2" s="5">
        <f>IFERROR(__xludf.DUMMYFUNCTION("IF($A2=IMPORTRANGE(""https://docs.google.com/spreadsheets/d/1NDNgi_Ny4dRhc2A3UMIIkalN-V6EmsvxOfDzMRQlQ40/edit#gid=0"",""'Game 12'!B1""),IF(IMPORTRANGE(""https://docs.google.com/spreadsheets/d/1NDNgi_Ny4dRhc2A3UMIIkalN-V6EmsvxOfDzMRQlQ40/edit#gid=0"",""'Ga"&amp;"me 12'!J25"")&gt;IMPORTRANGE(""https://docs.google.com/spreadsheets/d/1NDNgi_Ny4dRhc2A3UMIIkalN-V6EmsvxOfDzMRQlQ40/edit#gid=0"",""'Game 12'!S25""),IMPORTRANGE(""https://docs.google.com/spreadsheets/d/1NDNgi_Ny4dRhc2A3UMIIkalN-V6EmsvxOfDzMRQlQ40/edit#gid=0"","&amp;"""'Game 12'!J25"")+100,IF(IMPORTRANGE(""https://docs.google.com/spreadsheets/d/1NDNgi_Ny4dRhc2A3UMIIkalN-V6EmsvxOfDzMRQlQ40/edit#gid=0"",""'Game 12'!J25"")=IMPORTRANGE(""https://docs.google.com/spreadsheets/d/1NDNgi_Ny4dRhc2A3UMIIkalN-V6EmsvxOfDzMRQlQ40/e"&amp;"dit#gid=0"",""'Game 12'!S25""),IMPORTRANGE(""https://docs.google.com/spreadsheets/d/1NDNgi_Ny4dRhc2A3UMIIkalN-V6EmsvxOfDzMRQlQ40/edit#gid=0"",""'Game 12'!J25"")+50,IMPORTRANGE(""https://docs.google.com/spreadsheets/d/1NDNgi_Ny4dRhc2A3UMIIkalN-V6EmsvxOfDzM"&amp;"RQlQ40/edit#gid=0"",""'Game 12'!J25""))),IF(IMPORTRANGE(""https://docs.google.com/spreadsheets/d/1NDNgi_Ny4dRhc2A3UMIIkalN-V6EmsvxOfDzMRQlQ40/edit#gid=0"",""'Game 12'!J25"")&gt;IMPORTRANGE(""https://docs.google.com/spreadsheets/d/1NDNgi_Ny4dRhc2A3UMIIkalN-V6"&amp;"EmsvxOfDzMRQlQ40/edit#gid=0"",""'Game 12'!S25""),IMPORTRANGE(""https://docs.google.com/spreadsheets/d/1NDNgi_Ny4dRhc2A3UMIIkalN-V6EmsvxOfDzMRQlQ40/edit#gid=0"",""'Game 12'!S25""),IF(IMPORTRANGE(""https://docs.google.com/spreadsheets/d/1NDNgi_Ny4dRhc2A3UMI"&amp;"IkalN-V6EmsvxOfDzMRQlQ40/edit#gid=0"",""'Game 12'!J25"")=IMPORTRANGE(""https://docs.google.com/spreadsheets/d/1NDNgi_Ny4dRhc2A3UMIIkalN-V6EmsvxOfDzMRQlQ40/edit#gid=0"",""'Game 12'!S25""),IMPORTRANGE(""https://docs.google.com/spreadsheets/d/1NDNgi_Ny4dRhc2"&amp;"A3UMIIkalN-V6EmsvxOfDzMRQlQ40/edit#gid=0"",""'Game 12'!S25"")+50,IMPORTRANGE(""https://docs.google.com/spreadsheets/d/1NDNgi_Ny4dRhc2A3UMIIkalN-V6EmsvxOfDzMRQlQ40/edit#gid=0"",""'Game 12'!S25"")+100)))"),194.0)</f>
        <v>194</v>
      </c>
      <c r="M2" s="5">
        <f>IFERROR(__xludf.DUMMYFUNCTION("IF($A2=IMPORTRANGE(""https://docs.google.com/spreadsheets/d/1UDYA3-RrkJNLa2ZLH1NnUjKyfCoiSODmgVL_Au_zt-Y/edit#gid=0"",""'Game 11'!B1""),IF(IMPORTRANGE(""https://docs.google.com/spreadsheets/d/1UDYA3-RrkJNLa2ZLH1NnUjKyfCoiSODmgVL_Au_zt-Y/edit#gid=0"",""'Ga"&amp;"me 11'!J25"")&gt;IMPORTRANGE(""https://docs.google.com/spreadsheets/d/1UDYA3-RrkJNLa2ZLH1NnUjKyfCoiSODmgVL_Au_zt-Y/edit#gid=0"",""'Game 11'!S25""),IMPORTRANGE(""https://docs.google.com/spreadsheets/d/1UDYA3-RrkJNLa2ZLH1NnUjKyfCoiSODmgVL_Au_zt-Y/edit#gid=0"","&amp;"""'Game 11'!J25"")+100,IF(IMPORTRANGE(""https://docs.google.com/spreadsheets/d/1UDYA3-RrkJNLa2ZLH1NnUjKyfCoiSODmgVL_Au_zt-Y/edit#gid=0"",""'Game 11'!J25"")=IMPORTRANGE(""https://docs.google.com/spreadsheets/d/1UDYA3-RrkJNLa2ZLH1NnUjKyfCoiSODmgVL_Au_zt-Y/e"&amp;"dit#gid=0"",""'Game 11'!S25""),IMPORTRANGE(""https://docs.google.com/spreadsheets/d/1UDYA3-RrkJNLa2ZLH1NnUjKyfCoiSODmgVL_Au_zt-Y/edit#gid=0"",""'Game 11'!J25"")+50,IMPORTRANGE(""https://docs.google.com/spreadsheets/d/1UDYA3-RrkJNLa2ZLH1NnUjKyfCoiSODmgVL_A"&amp;"u_zt-Y/edit#gid=0"",""'Game 11'!J25""))),IF(IMPORTRANGE(""https://docs.google.com/spreadsheets/d/1UDYA3-RrkJNLa2ZLH1NnUjKyfCoiSODmgVL_Au_zt-Y/edit#gid=0"",""'Game 11'!J25"")&gt;IMPORTRANGE(""https://docs.google.com/spreadsheets/d/1UDYA3-RrkJNLa2ZLH1NnUjKyfCo"&amp;"iSODmgVL_Au_zt-Y/edit#gid=0"",""'Game 11'!S25""),IMPORTRANGE(""https://docs.google.com/spreadsheets/d/1UDYA3-RrkJNLa2ZLH1NnUjKyfCoiSODmgVL_Au_zt-Y/edit#gid=0"",""'Game 11'!S25""),IF(IMPORTRANGE(""https://docs.google.com/spreadsheets/d/1UDYA3-RrkJNLa2ZLH1N"&amp;"nUjKyfCoiSODmgVL_Au_zt-Y/edit#gid=0"",""'Game 11'!J25"")=IMPORTRANGE(""https://docs.google.com/spreadsheets/d/1UDYA3-RrkJNLa2ZLH1NnUjKyfCoiSODmgVL_Au_zt-Y/edit#gid=0"",""'Game 11'!S25""),IMPORTRANGE(""https://docs.google.com/spreadsheets/d/1UDYA3-RrkJNLa2"&amp;"ZLH1NnUjKyfCoiSODmgVL_Au_zt-Y/edit#gid=0"",""'Game 11'!S25"")+50,IMPORTRANGE(""https://docs.google.com/spreadsheets/d/1UDYA3-RrkJNLa2ZLH1NnUjKyfCoiSODmgVL_Au_zt-Y/edit#gid=0"",""'Game 11'!S25"")+100)))"),292.0)</f>
        <v>292</v>
      </c>
      <c r="N2" s="5">
        <f>IFERROR(__xludf.DUMMYFUNCTION("IF($A2=IMPORTRANGE(""https://docs.google.com/spreadsheets/d/1fvo6H94Wcffp6c4N9g3JKCW6y2ZlijPxdOsNz7xdBhw/edit#gid=0"",""'Game 10'!B1""),IF(IMPORTRANGE(""https://docs.google.com/spreadsheets/d/1fvo6H94Wcffp6c4N9g3JKCW6y2ZlijPxdOsNz7xdBhw/edit#gid=0"",""'Ga"&amp;"me 10'!J25"")&gt;IMPORTRANGE(""https://docs.google.com/spreadsheets/d/1fvo6H94Wcffp6c4N9g3JKCW6y2ZlijPxdOsNz7xdBhw/edit#gid=0"",""'Game 10'!S25""),IMPORTRANGE(""https://docs.google.com/spreadsheets/d/1fvo6H94Wcffp6c4N9g3JKCW6y2ZlijPxdOsNz7xdBhw/edit#gid=0"","&amp;"""'Game 10'!J25"")+100,IF(IMPORTRANGE(""https://docs.google.com/spreadsheets/d/1fvo6H94Wcffp6c4N9g3JKCW6y2ZlijPxdOsNz7xdBhw/edit#gid=0"",""'Game 10'!J25"")=IMPORTRANGE(""https://docs.google.com/spreadsheets/d/1fvo6H94Wcffp6c4N9g3JKCW6y2ZlijPxdOsNz7xdBhw/e"&amp;"dit#gid=0"",""'Game 10'!S25""),IMPORTRANGE(""https://docs.google.com/spreadsheets/d/1fvo6H94Wcffp6c4N9g3JKCW6y2ZlijPxdOsNz7xdBhw/edit#gid=0"",""'Game 10'!J25"")+50,IMPORTRANGE(""https://docs.google.com/spreadsheets/d/1fvo6H94Wcffp6c4N9g3JKCW6y2ZlijPxdOsNz"&amp;"7xdBhw/edit#gid=0"",""'Game 10'!J25""))),IF(IMPORTRANGE(""https://docs.google.com/spreadsheets/d/1fvo6H94Wcffp6c4N9g3JKCW6y2ZlijPxdOsNz7xdBhw/edit#gid=0"",""'Game 10'!J25"")&gt;IMPORTRANGE(""https://docs.google.com/spreadsheets/d/1fvo6H94Wcffp6c4N9g3JKCW6y2Z"&amp;"lijPxdOsNz7xdBhw/edit#gid=0"",""'Game 10'!S25""),IMPORTRANGE(""https://docs.google.com/spreadsheets/d/1fvo6H94Wcffp6c4N9g3JKCW6y2ZlijPxdOsNz7xdBhw/edit#gid=0"",""'Game 10'!S25""),IF(IMPORTRANGE(""https://docs.google.com/spreadsheets/d/1fvo6H94Wcffp6c4N9g3"&amp;"JKCW6y2ZlijPxdOsNz7xdBhw/edit#gid=0"",""'Game 10'!J25"")=IMPORTRANGE(""https://docs.google.com/spreadsheets/d/1fvo6H94Wcffp6c4N9g3JKCW6y2ZlijPxdOsNz7xdBhw/edit#gid=0"",""'Game 10'!S25""),IMPORTRANGE(""https://docs.google.com/spreadsheets/d/1fvo6H94Wcffp6c"&amp;"4N9g3JKCW6y2ZlijPxdOsNz7xdBhw/edit#gid=0"",""'Game 10'!S25"")+50,IMPORTRANGE(""https://docs.google.com/spreadsheets/d/1fvo6H94Wcffp6c4N9g3JKCW6y2ZlijPxdOsNz7xdBhw/edit#gid=0"",""'Game 10'!S25"")+100)))"),66.0)</f>
        <v>66</v>
      </c>
      <c r="O2" s="5">
        <f>IFERROR(__xludf.DUMMYFUNCTION("IF($A2=IMPORTRANGE(""https://docs.google.com/spreadsheets/d/1wfQePArl-A-5QJe5xAufoOnzeNLVSoHCRcmpZ_FMdns/edit#gid=0"",""'Game 8'!B1""),IF(IMPORTRANGE(""https://docs.google.com/spreadsheets/d/1wfQePArl-A-5QJe5xAufoOnzeNLVSoHCRcmpZ_FMdns/edit#gid=0"",""'Gam"&amp;"e 8'!J25"")&gt;IMPORTRANGE(""https://docs.google.com/spreadsheets/d/1wfQePArl-A-5QJe5xAufoOnzeNLVSoHCRcmpZ_FMdns/edit#gid=0"",""'Game 8'!S25""),IMPORTRANGE(""https://docs.google.com/spreadsheets/d/1wfQePArl-A-5QJe5xAufoOnzeNLVSoHCRcmpZ_FMdns/edit#gid=0"",""'"&amp;"Game 8'!J25"")+100,IF(IMPORTRANGE(""https://docs.google.com/spreadsheets/d/1wfQePArl-A-5QJe5xAufoOnzeNLVSoHCRcmpZ_FMdns/edit#gid=0"",""'Game 8'!J25"")=IMPORTRANGE(""https://docs.google.com/spreadsheets/d/1wfQePArl-A-5QJe5xAufoOnzeNLVSoHCRcmpZ_FMdns/edit#g"&amp;"id=0"",""'Game 8'!S25""),IMPORTRANGE(""https://docs.google.com/spreadsheets/d/1wfQePArl-A-5QJe5xAufoOnzeNLVSoHCRcmpZ_FMdns/edit#gid=0"",""'Game 8'!J25"")+50,IMPORTRANGE(""https://docs.google.com/spreadsheets/d/1wfQePArl-A-5QJe5xAufoOnzeNLVSoHCRcmpZ_FMdns/"&amp;"edit#gid=0"",""'Game 8'!J25""))),IF(IMPORTRANGE(""https://docs.google.com/spreadsheets/d/1wfQePArl-A-5QJe5xAufoOnzeNLVSoHCRcmpZ_FMdns/edit#gid=0"",""'Game 8'!J25"")&gt;IMPORTRANGE(""https://docs.google.com/spreadsheets/d/1wfQePArl-A-5QJe5xAufoOnzeNLVSoHCRcmp"&amp;"Z_FMdns/edit#gid=0"",""'Game 8'!S25""),IMPORTRANGE(""https://docs.google.com/spreadsheets/d/1wfQePArl-A-5QJe5xAufoOnzeNLVSoHCRcmpZ_FMdns/edit#gid=0"",""'Game 8'!S25""),IF(IMPORTRANGE(""https://docs.google.com/spreadsheets/d/1wfQePArl-A-5QJe5xAufoOnzeNLVSo"&amp;"HCRcmpZ_FMdns/edit#gid=0"",""'Game 8'!J25"")=IMPORTRANGE(""https://docs.google.com/spreadsheets/d/1wfQePArl-A-5QJe5xAufoOnzeNLVSoHCRcmpZ_FMdns/edit#gid=0"",""'Game 8'!S25""),IMPORTRANGE(""https://docs.google.com/spreadsheets/d/1wfQePArl-A-5QJe5xAufoOnzeNL"&amp;"VSoHCRcmpZ_FMdns/edit#gid=0"",""'Game 8'!S25"")+50,IMPORTRANGE(""https://docs.google.com/spreadsheets/d/1wfQePArl-A-5QJe5xAufoOnzeNLVSoHCRcmpZ_FMdns/edit#gid=0"",""'Game 8'!S25"")+100)))"),216.0)</f>
        <v>216</v>
      </c>
      <c r="P2" s="5">
        <f>IFERROR(__xludf.DUMMYFUNCTION("IF($A2=IMPORTRANGE(""https://docs.google.com/spreadsheets/d/1wydNznS0hZhVh3oGSdiCZSsReuqMT7Xaw718ix58zAI/edit#gid=0"",""'Game 11'!B1""),IF(IMPORTRANGE(""https://docs.google.com/spreadsheets/d/1wydNznS0hZhVh3oGSdiCZSsReuqMT7Xaw718ix58zAI/edit#gid=0"",""'Ga"&amp;"me 11'!J25"")&gt;IMPORTRANGE(""https://docs.google.com/spreadsheets/d/1wydNznS0hZhVh3oGSdiCZSsReuqMT7Xaw718ix58zAI/edit#gid=0"",""'Game 11'!S25""),IMPORTRANGE(""https://docs.google.com/spreadsheets/d/1wydNznS0hZhVh3oGSdiCZSsReuqMT7Xaw718ix58zAI/edit#gid=0"","&amp;"""'Game 11'!J25"")+100,IF(IMPORTRANGE(""https://docs.google.com/spreadsheets/d/1wydNznS0hZhVh3oGSdiCZSsReuqMT7Xaw718ix58zAI/edit#gid=0"",""'Game 11'!J25"")=IMPORTRANGE(""https://docs.google.com/spreadsheets/d/1wydNznS0hZhVh3oGSdiCZSsReuqMT7Xaw718ix58zAI/e"&amp;"dit#gid=0"",""'Game 11'!S25""),IMPORTRANGE(""https://docs.google.com/spreadsheets/d/1wydNznS0hZhVh3oGSdiCZSsReuqMT7Xaw718ix58zAI/edit#gid=0"",""'Game 11'!J25"")+50,IMPORTRANGE(""https://docs.google.com/spreadsheets/d/1wydNznS0hZhVh3oGSdiCZSsReuqMT7Xaw718i"&amp;"x58zAI/edit#gid=0"",""'Game 11'!J25""))),IF(IMPORTRANGE(""https://docs.google.com/spreadsheets/d/1wydNznS0hZhVh3oGSdiCZSsReuqMT7Xaw718ix58zAI/edit#gid=0"",""'Game 11'!J25"")&gt;IMPORTRANGE(""https://docs.google.com/spreadsheets/d/1wydNznS0hZhVh3oGSdiCZSsReuq"&amp;"MT7Xaw718ix58zAI/edit#gid=0"",""'Game 11'!S25""),IMPORTRANGE(""https://docs.google.com/spreadsheets/d/1wydNznS0hZhVh3oGSdiCZSsReuqMT7Xaw718ix58zAI/edit#gid=0"",""'Game 11'!S25""),IF(IMPORTRANGE(""https://docs.google.com/spreadsheets/d/1wydNznS0hZhVh3oGSdi"&amp;"CZSsReuqMT7Xaw718ix58zAI/edit#gid=0"",""'Game 11'!J25"")=IMPORTRANGE(""https://docs.google.com/spreadsheets/d/1wydNznS0hZhVh3oGSdiCZSsReuqMT7Xaw718ix58zAI/edit#gid=0"",""'Game 11'!S25""),IMPORTRANGE(""https://docs.google.com/spreadsheets/d/1wydNznS0hZhVh3"&amp;"oGSdiCZSsReuqMT7Xaw718ix58zAI/edit#gid=0"",""'Game 11'!S25"")+50,IMPORTRANGE(""https://docs.google.com/spreadsheets/d/1wydNznS0hZhVh3oGSdiCZSsReuqMT7Xaw718ix58zAI/edit#gid=0"",""'Game 11'!S25"")+100)))"),192.0)</f>
        <v>192</v>
      </c>
      <c r="Q2" s="35">
        <f t="shared" ref="Q2:Q25" si="1">SUM(B2:P2)</f>
        <v>2476</v>
      </c>
      <c r="R2" s="35">
        <f t="shared" ref="R2:R25" si="2">RANK(Q2,$Q$2:$Q$25)</f>
        <v>6</v>
      </c>
    </row>
    <row r="3">
      <c r="A3" s="32" t="s">
        <v>48</v>
      </c>
      <c r="B3" s="36">
        <v>68.0</v>
      </c>
      <c r="C3" s="36">
        <v>14.0</v>
      </c>
      <c r="D3" s="36">
        <v>6.0</v>
      </c>
      <c r="E3" s="36">
        <v>30.0</v>
      </c>
      <c r="F3" s="36">
        <v>74.0</v>
      </c>
      <c r="G3" s="12">
        <f>IFERROR(__xludf.DUMMYFUNCTION("IF($A3=IMPORTRANGE(""https://docs.google.com/spreadsheets/d/19gjAD4NwTXl_QoKUuwHQ1cWG_S2BOW94pDcyFtPwheg/edit#gid=0"",""'Game 7'!B1""),IF(IMPORTRANGE(""https://docs.google.com/spreadsheets/d/19gjAD4NwTXl_QoKUuwHQ1cWG_S2BOW94pDcyFtPwheg/edit#gid=0"",""'Gam"&amp;"e 7'!J25"")&gt;IMPORTRANGE(""https://docs.google.com/spreadsheets/d/19gjAD4NwTXl_QoKUuwHQ1cWG_S2BOW94pDcyFtPwheg/edit#gid=0"",""'Game 7'!S25""),IMPORTRANGE(""https://docs.google.com/spreadsheets/d/19gjAD4NwTXl_QoKUuwHQ1cWG_S2BOW94pDcyFtPwheg/edit#gid=0"",""'"&amp;"Game 7'!J25"")+100,IF(IMPORTRANGE(""https://docs.google.com/spreadsheets/d/19gjAD4NwTXl_QoKUuwHQ1cWG_S2BOW94pDcyFtPwheg/edit#gid=0"",""'Game 7'!J25"")=IMPORTRANGE(""https://docs.google.com/spreadsheets/d/19gjAD4NwTXl_QoKUuwHQ1cWG_S2BOW94pDcyFtPwheg/edit#g"&amp;"id=0"",""'Game 7'!S25""),IMPORTRANGE(""https://docs.google.com/spreadsheets/d/19gjAD4NwTXl_QoKUuwHQ1cWG_S2BOW94pDcyFtPwheg/edit#gid=0"",""'Game 7'!J25"")+50,IMPORTRANGE(""https://docs.google.com/spreadsheets/d/19gjAD4NwTXl_QoKUuwHQ1cWG_S2BOW94pDcyFtPwheg/"&amp;"edit#gid=0"",""'Game 7'!J25""))),IF(IMPORTRANGE(""https://docs.google.com/spreadsheets/d/19gjAD4NwTXl_QoKUuwHQ1cWG_S2BOW94pDcyFtPwheg/edit#gid=0"",""'Game 7'!J25"")&gt;IMPORTRANGE(""https://docs.google.com/spreadsheets/d/19gjAD4NwTXl_QoKUuwHQ1cWG_S2BOW94pDcy"&amp;"FtPwheg/edit#gid=0"",""'Game 7'!S25""),IMPORTRANGE(""https://docs.google.com/spreadsheets/d/19gjAD4NwTXl_QoKUuwHQ1cWG_S2BOW94pDcyFtPwheg/edit#gid=0"",""'Game 7'!S25""),IF(IMPORTRANGE(""https://docs.google.com/spreadsheets/d/19gjAD4NwTXl_QoKUuwHQ1cWG_S2BOW"&amp;"94pDcyFtPwheg/edit#gid=0"",""'Game 7'!J25"")=IMPORTRANGE(""https://docs.google.com/spreadsheets/d/19gjAD4NwTXl_QoKUuwHQ1cWG_S2BOW94pDcyFtPwheg/edit#gid=0"",""'Game 7'!S25""),IMPORTRANGE(""https://docs.google.com/spreadsheets/d/19gjAD4NwTXl_QoKUuwHQ1cWG_S2"&amp;"BOW94pDcyFtPwheg/edit#gid=0"",""'Game 7'!S25"")+50,IMPORTRANGE(""https://docs.google.com/spreadsheets/d/19gjAD4NwTXl_QoKUuwHQ1cWG_S2BOW94pDcyFtPwheg/edit#gid=0"",""'Game 7'!S25"")+100)))"),8.0)</f>
        <v>8</v>
      </c>
      <c r="H3" s="12">
        <f>IFERROR(__xludf.DUMMYFUNCTION("IF($A3=IMPORTRANGE(""https://docs.google.com/spreadsheets/d/1l83w8bH-F1czkFOqsgQy6o8O33Jb4Pfg40W0ou2nk0k/edit#gid=0"",""'Game 11'!B1""),IF(IMPORTRANGE(""https://docs.google.com/spreadsheets/d/1l83w8bH-F1czkFOqsgQy6o8O33Jb4Pfg40W0ou2nk0k/edit#gid=0"",""'Ga"&amp;"me 11'!J25"")&gt;IMPORTRANGE(""https://docs.google.com/spreadsheets/d/1l83w8bH-F1czkFOqsgQy6o8O33Jb4Pfg40W0ou2nk0k/edit#gid=0"",""'Game 11'!S25""),IMPORTRANGE(""https://docs.google.com/spreadsheets/d/1l83w8bH-F1czkFOqsgQy6o8O33Jb4Pfg40W0ou2nk0k/edit#gid=0"","&amp;"""'Game 11'!J25"")+100,IF(IMPORTRANGE(""https://docs.google.com/spreadsheets/d/1l83w8bH-F1czkFOqsgQy6o8O33Jb4Pfg40W0ou2nk0k/edit#gid=0"",""'Game 11'!J25"")=IMPORTRANGE(""https://docs.google.com/spreadsheets/d/1l83w8bH-F1czkFOqsgQy6o8O33Jb4Pfg40W0ou2nk0k/e"&amp;"dit#gid=0"",""'Game 11'!S25""),IMPORTRANGE(""https://docs.google.com/spreadsheets/d/1l83w8bH-F1czkFOqsgQy6o8O33Jb4Pfg40W0ou2nk0k/edit#gid=0"",""'Game 11'!J25"")+50,IMPORTRANGE(""https://docs.google.com/spreadsheets/d/1l83w8bH-F1czkFOqsgQy6o8O33Jb4Pfg40W0o"&amp;"u2nk0k/edit#gid=0"",""'Game 11'!J25""))),IF(IMPORTRANGE(""https://docs.google.com/spreadsheets/d/1l83w8bH-F1czkFOqsgQy6o8O33Jb4Pfg40W0ou2nk0k/edit#gid=0"",""'Game 11'!J25"")&gt;IMPORTRANGE(""https://docs.google.com/spreadsheets/d/1l83w8bH-F1czkFOqsgQy6o8O33J"&amp;"b4Pfg40W0ou2nk0k/edit#gid=0"",""'Game 11'!S25""),IMPORTRANGE(""https://docs.google.com/spreadsheets/d/1l83w8bH-F1czkFOqsgQy6o8O33Jb4Pfg40W0ou2nk0k/edit#gid=0"",""'Game 11'!S25""),IF(IMPORTRANGE(""https://docs.google.com/spreadsheets/d/1l83w8bH-F1czkFOqsgQ"&amp;"y6o8O33Jb4Pfg40W0ou2nk0k/edit#gid=0"",""'Game 11'!J25"")=IMPORTRANGE(""https://docs.google.com/spreadsheets/d/1l83w8bH-F1czkFOqsgQy6o8O33Jb4Pfg40W0ou2nk0k/edit#gid=0"",""'Game 11'!S25""),IMPORTRANGE(""https://docs.google.com/spreadsheets/d/1l83w8bH-F1czkF"&amp;"OqsgQy6o8O33Jb4Pfg40W0ou2nk0k/edit#gid=0"",""'Game 11'!S25"")+50,IMPORTRANGE(""https://docs.google.com/spreadsheets/d/1l83w8bH-F1czkFOqsgQy6o8O33Jb4Pfg40W0ou2nk0k/edit#gid=0"",""'Game 11'!S25"")+100)))"),16.0)</f>
        <v>16</v>
      </c>
      <c r="I3" s="12">
        <f>IFERROR(__xludf.DUMMYFUNCTION("IF($A3=IMPORTRANGE(""https://docs.google.com/spreadsheets/d/15X-ub7GvrCQZ3UGgyogcjwYdxG-Ng8WHxzGSj1Z3eLw/edit#gid=0"",""'Game 9'!B1""),IF(IMPORTRANGE(""https://docs.google.com/spreadsheets/d/15X-ub7GvrCQZ3UGgyogcjwYdxG-Ng8WHxzGSj1Z3eLw/edit#gid=0"",""'Gam"&amp;"e 9'!J25"")&gt;IMPORTRANGE(""https://docs.google.com/spreadsheets/d/15X-ub7GvrCQZ3UGgyogcjwYdxG-Ng8WHxzGSj1Z3eLw/edit#gid=0"",""'Game 9'!S25""),IMPORTRANGE(""https://docs.google.com/spreadsheets/d/15X-ub7GvrCQZ3UGgyogcjwYdxG-Ng8WHxzGSj1Z3eLw/edit#gid=0"",""'"&amp;"Game 9'!J25"")+100,IF(IMPORTRANGE(""https://docs.google.com/spreadsheets/d/15X-ub7GvrCQZ3UGgyogcjwYdxG-Ng8WHxzGSj1Z3eLw/edit#gid=0"",""'Game 9'!J25"")=IMPORTRANGE(""https://docs.google.com/spreadsheets/d/15X-ub7GvrCQZ3UGgyogcjwYdxG-Ng8WHxzGSj1Z3eLw/edit#g"&amp;"id=0"",""'Game 9'!S25""),IMPORTRANGE(""https://docs.google.com/spreadsheets/d/15X-ub7GvrCQZ3UGgyogcjwYdxG-Ng8WHxzGSj1Z3eLw/edit#gid=0"",""'Game 9'!J25"")+50,IMPORTRANGE(""https://docs.google.com/spreadsheets/d/15X-ub7GvrCQZ3UGgyogcjwYdxG-Ng8WHxzGSj1Z3eLw/"&amp;"edit#gid=0"",""'Game 9'!J25""))),IF(IMPORTRANGE(""https://docs.google.com/spreadsheets/d/15X-ub7GvrCQZ3UGgyogcjwYdxG-Ng8WHxzGSj1Z3eLw/edit#gid=0"",""'Game 9'!J25"")&gt;IMPORTRANGE(""https://docs.google.com/spreadsheets/d/15X-ub7GvrCQZ3UGgyogcjwYdxG-Ng8WHxzGS"&amp;"j1Z3eLw/edit#gid=0"",""'Game 9'!S25""),IMPORTRANGE(""https://docs.google.com/spreadsheets/d/15X-ub7GvrCQZ3UGgyogcjwYdxG-Ng8WHxzGSj1Z3eLw/edit#gid=0"",""'Game 9'!S25""),IF(IMPORTRANGE(""https://docs.google.com/spreadsheets/d/15X-ub7GvrCQZ3UGgyogcjwYdxG-Ng8"&amp;"WHxzGSj1Z3eLw/edit#gid=0"",""'Game 9'!J25"")=IMPORTRANGE(""https://docs.google.com/spreadsheets/d/15X-ub7GvrCQZ3UGgyogcjwYdxG-Ng8WHxzGSj1Z3eLw/edit#gid=0"",""'Game 9'!S25""),IMPORTRANGE(""https://docs.google.com/spreadsheets/d/15X-ub7GvrCQZ3UGgyogcjwYdxG-"&amp;"Ng8WHxzGSj1Z3eLw/edit#gid=0"",""'Game 9'!S25"")+50,IMPORTRANGE(""https://docs.google.com/spreadsheets/d/15X-ub7GvrCQZ3UGgyogcjwYdxG-Ng8WHxzGSj1Z3eLw/edit#gid=0"",""'Game 9'!S25"")+100)))"),38.0)</f>
        <v>38</v>
      </c>
      <c r="J3" s="12">
        <f>IFERROR(__xludf.DUMMYFUNCTION("IF($A3=IMPORTRANGE(""https://docs.google.com/spreadsheets/d/194Bw3ABslPPhOOPvVoMzIk8sOQFICWBu2pydWdYMD-w/edit#gid=0"",""'Game 4'!B1""),IF(IMPORTRANGE(""https://docs.google.com/spreadsheets/d/194Bw3ABslPPhOOPvVoMzIk8sOQFICWBu2pydWdYMD-w/edit#gid=0"",""'Gam"&amp;"e 4'!J25"")&gt;IMPORTRANGE(""https://docs.google.com/spreadsheets/d/194Bw3ABslPPhOOPvVoMzIk8sOQFICWBu2pydWdYMD-w/edit#gid=0"",""'Game 4'!S25""),IMPORTRANGE(""https://docs.google.com/spreadsheets/d/194Bw3ABslPPhOOPvVoMzIk8sOQFICWBu2pydWdYMD-w/edit#gid=0"",""'"&amp;"Game 4'!J25"")+100,IF(IMPORTRANGE(""https://docs.google.com/spreadsheets/d/194Bw3ABslPPhOOPvVoMzIk8sOQFICWBu2pydWdYMD-w/edit#gid=0"",""'Game 4'!J25"")=IMPORTRANGE(""https://docs.google.com/spreadsheets/d/194Bw3ABslPPhOOPvVoMzIk8sOQFICWBu2pydWdYMD-w/edit#g"&amp;"id=0"",""'Game 4'!S25""),IMPORTRANGE(""https://docs.google.com/spreadsheets/d/194Bw3ABslPPhOOPvVoMzIk8sOQFICWBu2pydWdYMD-w/edit#gid=0"",""'Game 4'!J25"")+50,IMPORTRANGE(""https://docs.google.com/spreadsheets/d/194Bw3ABslPPhOOPvVoMzIk8sOQFICWBu2pydWdYMD-w/"&amp;"edit#gid=0"",""'Game 4'!J25""))),IF(IMPORTRANGE(""https://docs.google.com/spreadsheets/d/194Bw3ABslPPhOOPvVoMzIk8sOQFICWBu2pydWdYMD-w/edit#gid=0"",""'Game 4'!J25"")&gt;IMPORTRANGE(""https://docs.google.com/spreadsheets/d/194Bw3ABslPPhOOPvVoMzIk8sOQFICWBu2pyd"&amp;"WdYMD-w/edit#gid=0"",""'Game 4'!S25""),IMPORTRANGE(""https://docs.google.com/spreadsheets/d/194Bw3ABslPPhOOPvVoMzIk8sOQFICWBu2pydWdYMD-w/edit#gid=0"",""'Game 4'!S25""),IF(IMPORTRANGE(""https://docs.google.com/spreadsheets/d/194Bw3ABslPPhOOPvVoMzIk8sOQFICW"&amp;"Bu2pydWdYMD-w/edit#gid=0"",""'Game 4'!J25"")=IMPORTRANGE(""https://docs.google.com/spreadsheets/d/194Bw3ABslPPhOOPvVoMzIk8sOQFICWBu2pydWdYMD-w/edit#gid=0"",""'Game 4'!S25""),IMPORTRANGE(""https://docs.google.com/spreadsheets/d/194Bw3ABslPPhOOPvVoMzIk8sOQF"&amp;"ICWBu2pydWdYMD-w/edit#gid=0"",""'Game 4'!S25"")+50,IMPORTRANGE(""https://docs.google.com/spreadsheets/d/194Bw3ABslPPhOOPvVoMzIk8sOQFICWBu2pydWdYMD-w/edit#gid=0"",""'Game 4'!S25"")+100)))"),22.0)</f>
        <v>22</v>
      </c>
      <c r="K3" s="12">
        <f>IFERROR(__xludf.DUMMYFUNCTION("IF($A3=IMPORTRANGE(""https://docs.google.com/spreadsheets/d/1F2Bi6K_I1K9xRxY5qb-bNRo5m-Kw7udpF1OaTHhrxjs/edit#gid=0"",""'Game 1'!B1""),IF(IMPORTRANGE(""https://docs.google.com/spreadsheets/d/1F2Bi6K_I1K9xRxY5qb-bNRo5m-Kw7udpF1OaTHhrxjs/edit#gid=0"",""'Gam"&amp;"e 1'!J25"")&gt;IMPORTRANGE(""https://docs.google.com/spreadsheets/d/1F2Bi6K_I1K9xRxY5qb-bNRo5m-Kw7udpF1OaTHhrxjs/edit#gid=0"",""'Game 1'!S25""),IMPORTRANGE(""https://docs.google.com/spreadsheets/d/1F2Bi6K_I1K9xRxY5qb-bNRo5m-Kw7udpF1OaTHhrxjs/edit#gid=0"",""'"&amp;"Game 1'!J25"")+100,IF(IMPORTRANGE(""https://docs.google.com/spreadsheets/d/1F2Bi6K_I1K9xRxY5qb-bNRo5m-Kw7udpF1OaTHhrxjs/edit#gid=0"",""'Game 1'!J25"")=IMPORTRANGE(""https://docs.google.com/spreadsheets/d/1F2Bi6K_I1K9xRxY5qb-bNRo5m-Kw7udpF1OaTHhrxjs/edit#g"&amp;"id=0"",""'Game 1'!S25""),IMPORTRANGE(""https://docs.google.com/spreadsheets/d/1F2Bi6K_I1K9xRxY5qb-bNRo5m-Kw7udpF1OaTHhrxjs/edit#gid=0"",""'Game 1'!J25"")+50,IMPORTRANGE(""https://docs.google.com/spreadsheets/d/1F2Bi6K_I1K9xRxY5qb-bNRo5m-Kw7udpF1OaTHhrxjs/"&amp;"edit#gid=0"",""'Game 1'!J25""))),IF(IMPORTRANGE(""https://docs.google.com/spreadsheets/d/1F2Bi6K_I1K9xRxY5qb-bNRo5m-Kw7udpF1OaTHhrxjs/edit#gid=0"",""'Game 1'!J25"")&gt;IMPORTRANGE(""https://docs.google.com/spreadsheets/d/1F2Bi6K_I1K9xRxY5qb-bNRo5m-Kw7udpF1Oa"&amp;"THhrxjs/edit#gid=0"",""'Game 1'!S25""),IMPORTRANGE(""https://docs.google.com/spreadsheets/d/1F2Bi6K_I1K9xRxY5qb-bNRo5m-Kw7udpF1OaTHhrxjs/edit#gid=0"",""'Game 1'!S25""),IF(IMPORTRANGE(""https://docs.google.com/spreadsheets/d/1F2Bi6K_I1K9xRxY5qb-bNRo5m-Kw7u"&amp;"dpF1OaTHhrxjs/edit#gid=0"",""'Game 1'!J25"")=IMPORTRANGE(""https://docs.google.com/spreadsheets/d/1F2Bi6K_I1K9xRxY5qb-bNRo5m-Kw7udpF1OaTHhrxjs/edit#gid=0"",""'Game 1'!S25""),IMPORTRANGE(""https://docs.google.com/spreadsheets/d/1F2Bi6K_I1K9xRxY5qb-bNRo5m-K"&amp;"w7udpF1OaTHhrxjs/edit#gid=0"",""'Game 1'!S25"")+50,IMPORTRANGE(""https://docs.google.com/spreadsheets/d/1F2Bi6K_I1K9xRxY5qb-bNRo5m-Kw7udpF1OaTHhrxjs/edit#gid=0"",""'Game 1'!S25"")+100)))"),16.0)</f>
        <v>16</v>
      </c>
      <c r="L3" s="12">
        <f>IFERROR(__xludf.DUMMYFUNCTION("IF($A3=IMPORTRANGE(""https://docs.google.com/spreadsheets/d/1NDNgi_Ny4dRhc2A3UMIIkalN-V6EmsvxOfDzMRQlQ40/edit#gid=0"",""'Game 10'!B1""),IF(IMPORTRANGE(""https://docs.google.com/spreadsheets/d/1NDNgi_Ny4dRhc2A3UMIIkalN-V6EmsvxOfDzMRQlQ40/edit#gid=0"",""'Ga"&amp;"me 10'!J25"")&gt;IMPORTRANGE(""https://docs.google.com/spreadsheets/d/1NDNgi_Ny4dRhc2A3UMIIkalN-V6EmsvxOfDzMRQlQ40/edit#gid=0"",""'Game 10'!S25""),IMPORTRANGE(""https://docs.google.com/spreadsheets/d/1NDNgi_Ny4dRhc2A3UMIIkalN-V6EmsvxOfDzMRQlQ40/edit#gid=0"","&amp;"""'Game 10'!J25"")+100,IF(IMPORTRANGE(""https://docs.google.com/spreadsheets/d/1NDNgi_Ny4dRhc2A3UMIIkalN-V6EmsvxOfDzMRQlQ40/edit#gid=0"",""'Game 10'!J25"")=IMPORTRANGE(""https://docs.google.com/spreadsheets/d/1NDNgi_Ny4dRhc2A3UMIIkalN-V6EmsvxOfDzMRQlQ40/e"&amp;"dit#gid=0"",""'Game 10'!S25""),IMPORTRANGE(""https://docs.google.com/spreadsheets/d/1NDNgi_Ny4dRhc2A3UMIIkalN-V6EmsvxOfDzMRQlQ40/edit#gid=0"",""'Game 10'!J25"")+50,IMPORTRANGE(""https://docs.google.com/spreadsheets/d/1NDNgi_Ny4dRhc2A3UMIIkalN-V6EmsvxOfDzM"&amp;"RQlQ40/edit#gid=0"",""'Game 10'!J25""))),IF(IMPORTRANGE(""https://docs.google.com/spreadsheets/d/1NDNgi_Ny4dRhc2A3UMIIkalN-V6EmsvxOfDzMRQlQ40/edit#gid=0"",""'Game 10'!J25"")&gt;IMPORTRANGE(""https://docs.google.com/spreadsheets/d/1NDNgi_Ny4dRhc2A3UMIIkalN-V6"&amp;"EmsvxOfDzMRQlQ40/edit#gid=0"",""'Game 10'!S25""),IMPORTRANGE(""https://docs.google.com/spreadsheets/d/1NDNgi_Ny4dRhc2A3UMIIkalN-V6EmsvxOfDzMRQlQ40/edit#gid=0"",""'Game 10'!S25""),IF(IMPORTRANGE(""https://docs.google.com/spreadsheets/d/1NDNgi_Ny4dRhc2A3UMI"&amp;"IkalN-V6EmsvxOfDzMRQlQ40/edit#gid=0"",""'Game 10'!J25"")=IMPORTRANGE(""https://docs.google.com/spreadsheets/d/1NDNgi_Ny4dRhc2A3UMIIkalN-V6EmsvxOfDzMRQlQ40/edit#gid=0"",""'Game 10'!S25""),IMPORTRANGE(""https://docs.google.com/spreadsheets/d/1NDNgi_Ny4dRhc2"&amp;"A3UMIIkalN-V6EmsvxOfDzMRQlQ40/edit#gid=0"",""'Game 10'!S25"")+50,IMPORTRANGE(""https://docs.google.com/spreadsheets/d/1NDNgi_Ny4dRhc2A3UMIIkalN-V6EmsvxOfDzMRQlQ40/edit#gid=0"",""'Game 10'!S25"")+100)))"),16.0)</f>
        <v>16</v>
      </c>
      <c r="M3" s="12">
        <f>IFERROR(__xludf.DUMMYFUNCTION("IF($A3=IMPORTRANGE(""https://docs.google.com/spreadsheets/d/1UDYA3-RrkJNLa2ZLH1NnUjKyfCoiSODmgVL_Au_zt-Y/edit#gid=0"",""'Game 9'!B1""),IF(IMPORTRANGE(""https://docs.google.com/spreadsheets/d/1UDYA3-RrkJNLa2ZLH1NnUjKyfCoiSODmgVL_Au_zt-Y/edit#gid=0"",""'Gam"&amp;"e 9'!J25"")&gt;IMPORTRANGE(""https://docs.google.com/spreadsheets/d/1UDYA3-RrkJNLa2ZLH1NnUjKyfCoiSODmgVL_Au_zt-Y/edit#gid=0"",""'Game 9'!S25""),IMPORTRANGE(""https://docs.google.com/spreadsheets/d/1UDYA3-RrkJNLa2ZLH1NnUjKyfCoiSODmgVL_Au_zt-Y/edit#gid=0"",""'"&amp;"Game 9'!J25"")+100,IF(IMPORTRANGE(""https://docs.google.com/spreadsheets/d/1UDYA3-RrkJNLa2ZLH1NnUjKyfCoiSODmgVL_Au_zt-Y/edit#gid=0"",""'Game 9'!J25"")=IMPORTRANGE(""https://docs.google.com/spreadsheets/d/1UDYA3-RrkJNLa2ZLH1NnUjKyfCoiSODmgVL_Au_zt-Y/edit#g"&amp;"id=0"",""'Game 9'!S25""),IMPORTRANGE(""https://docs.google.com/spreadsheets/d/1UDYA3-RrkJNLa2ZLH1NnUjKyfCoiSODmgVL_Au_zt-Y/edit#gid=0"",""'Game 9'!J25"")+50,IMPORTRANGE(""https://docs.google.com/spreadsheets/d/1UDYA3-RrkJNLa2ZLH1NnUjKyfCoiSODmgVL_Au_zt-Y/"&amp;"edit#gid=0"",""'Game 9'!J25""))),IF(IMPORTRANGE(""https://docs.google.com/spreadsheets/d/1UDYA3-RrkJNLa2ZLH1NnUjKyfCoiSODmgVL_Au_zt-Y/edit#gid=0"",""'Game 9'!J25"")&gt;IMPORTRANGE(""https://docs.google.com/spreadsheets/d/1UDYA3-RrkJNLa2ZLH1NnUjKyfCoiSODmgVL_"&amp;"Au_zt-Y/edit#gid=0"",""'Game 9'!S25""),IMPORTRANGE(""https://docs.google.com/spreadsheets/d/1UDYA3-RrkJNLa2ZLH1NnUjKyfCoiSODmgVL_Au_zt-Y/edit#gid=0"",""'Game 9'!S25""),IF(IMPORTRANGE(""https://docs.google.com/spreadsheets/d/1UDYA3-RrkJNLa2ZLH1NnUjKyfCoiSO"&amp;"DmgVL_Au_zt-Y/edit#gid=0"",""'Game 9'!J25"")=IMPORTRANGE(""https://docs.google.com/spreadsheets/d/1UDYA3-RrkJNLa2ZLH1NnUjKyfCoiSODmgVL_Au_zt-Y/edit#gid=0"",""'Game 9'!S25""),IMPORTRANGE(""https://docs.google.com/spreadsheets/d/1UDYA3-RrkJNLa2ZLH1NnUjKyfCo"&amp;"iSODmgVL_Au_zt-Y/edit#gid=0"",""'Game 9'!S25"")+50,IMPORTRANGE(""https://docs.google.com/spreadsheets/d/1UDYA3-RrkJNLa2ZLH1NnUjKyfCoiSODmgVL_Au_zt-Y/edit#gid=0"",""'Game 9'!S25"")+100)))"),50.0)</f>
        <v>50</v>
      </c>
      <c r="N3" s="12">
        <f>IFERROR(__xludf.DUMMYFUNCTION("IF($A3=IMPORTRANGE(""https://docs.google.com/spreadsheets/d/1fvo6H94Wcffp6c4N9g3JKCW6y2ZlijPxdOsNz7xdBhw/edit#gid=0"",""'Game 9'!B1""),IF(IMPORTRANGE(""https://docs.google.com/spreadsheets/d/1fvo6H94Wcffp6c4N9g3JKCW6y2ZlijPxdOsNz7xdBhw/edit#gid=0"",""'Gam"&amp;"e 9'!J25"")&gt;IMPORTRANGE(""https://docs.google.com/spreadsheets/d/1fvo6H94Wcffp6c4N9g3JKCW6y2ZlijPxdOsNz7xdBhw/edit#gid=0"",""'Game 9'!S25""),IMPORTRANGE(""https://docs.google.com/spreadsheets/d/1fvo6H94Wcffp6c4N9g3JKCW6y2ZlijPxdOsNz7xdBhw/edit#gid=0"",""'"&amp;"Game 9'!J25"")+100,IF(IMPORTRANGE(""https://docs.google.com/spreadsheets/d/1fvo6H94Wcffp6c4N9g3JKCW6y2ZlijPxdOsNz7xdBhw/edit#gid=0"",""'Game 9'!J25"")=IMPORTRANGE(""https://docs.google.com/spreadsheets/d/1fvo6H94Wcffp6c4N9g3JKCW6y2ZlijPxdOsNz7xdBhw/edit#g"&amp;"id=0"",""'Game 9'!S25""),IMPORTRANGE(""https://docs.google.com/spreadsheets/d/1fvo6H94Wcffp6c4N9g3JKCW6y2ZlijPxdOsNz7xdBhw/edit#gid=0"",""'Game 9'!J25"")+50,IMPORTRANGE(""https://docs.google.com/spreadsheets/d/1fvo6H94Wcffp6c4N9g3JKCW6y2ZlijPxdOsNz7xdBhw/"&amp;"edit#gid=0"",""'Game 9'!J25""))),IF(IMPORTRANGE(""https://docs.google.com/spreadsheets/d/1fvo6H94Wcffp6c4N9g3JKCW6y2ZlijPxdOsNz7xdBhw/edit#gid=0"",""'Game 9'!J25"")&gt;IMPORTRANGE(""https://docs.google.com/spreadsheets/d/1fvo6H94Wcffp6c4N9g3JKCW6y2ZlijPxdOsN"&amp;"z7xdBhw/edit#gid=0"",""'Game 9'!S25""),IMPORTRANGE(""https://docs.google.com/spreadsheets/d/1fvo6H94Wcffp6c4N9g3JKCW6y2ZlijPxdOsNz7xdBhw/edit#gid=0"",""'Game 9'!S25""),IF(IMPORTRANGE(""https://docs.google.com/spreadsheets/d/1fvo6H94Wcffp6c4N9g3JKCW6y2Zlij"&amp;"PxdOsNz7xdBhw/edit#gid=0"",""'Game 9'!J25"")=IMPORTRANGE(""https://docs.google.com/spreadsheets/d/1fvo6H94Wcffp6c4N9g3JKCW6y2ZlijPxdOsNz7xdBhw/edit#gid=0"",""'Game 9'!S25""),IMPORTRANGE(""https://docs.google.com/spreadsheets/d/1fvo6H94Wcffp6c4N9g3JKCW6y2Z"&amp;"lijPxdOsNz7xdBhw/edit#gid=0"",""'Game 9'!S25"")+50,IMPORTRANGE(""https://docs.google.com/spreadsheets/d/1fvo6H94Wcffp6c4N9g3JKCW6y2ZlijPxdOsNz7xdBhw/edit#gid=0"",""'Game 9'!S25"")+100)))"),156.0)</f>
        <v>156</v>
      </c>
      <c r="O3" s="12">
        <f>IFERROR(__xludf.DUMMYFUNCTION("IF($A3=IMPORTRANGE(""https://docs.google.com/spreadsheets/d/1wfQePArl-A-5QJe5xAufoOnzeNLVSoHCRcmpZ_FMdns/edit#gid=0"",""'Game 5'!B1""),IF(IMPORTRANGE(""https://docs.google.com/spreadsheets/d/1wfQePArl-A-5QJe5xAufoOnzeNLVSoHCRcmpZ_FMdns/edit#gid=0"",""'Gam"&amp;"e 5'!J25"")&gt;IMPORTRANGE(""https://docs.google.com/spreadsheets/d/1wfQePArl-A-5QJe5xAufoOnzeNLVSoHCRcmpZ_FMdns/edit#gid=0"",""'Game 5'!S25""),IMPORTRANGE(""https://docs.google.com/spreadsheets/d/1wfQePArl-A-5QJe5xAufoOnzeNLVSoHCRcmpZ_FMdns/edit#gid=0"",""'"&amp;"Game 5'!J25"")+100,IF(IMPORTRANGE(""https://docs.google.com/spreadsheets/d/1wfQePArl-A-5QJe5xAufoOnzeNLVSoHCRcmpZ_FMdns/edit#gid=0"",""'Game 5'!J25"")=IMPORTRANGE(""https://docs.google.com/spreadsheets/d/1wfQePArl-A-5QJe5xAufoOnzeNLVSoHCRcmpZ_FMdns/edit#g"&amp;"id=0"",""'Game 5'!S25""),IMPORTRANGE(""https://docs.google.com/spreadsheets/d/1wfQePArl-A-5QJe5xAufoOnzeNLVSoHCRcmpZ_FMdns/edit#gid=0"",""'Game 5'!J25"")+50,IMPORTRANGE(""https://docs.google.com/spreadsheets/d/1wfQePArl-A-5QJe5xAufoOnzeNLVSoHCRcmpZ_FMdns/"&amp;"edit#gid=0"",""'Game 5'!J25""))),IF(IMPORTRANGE(""https://docs.google.com/spreadsheets/d/1wfQePArl-A-5QJe5xAufoOnzeNLVSoHCRcmpZ_FMdns/edit#gid=0"",""'Game 5'!J25"")&gt;IMPORTRANGE(""https://docs.google.com/spreadsheets/d/1wfQePArl-A-5QJe5xAufoOnzeNLVSoHCRcmp"&amp;"Z_FMdns/edit#gid=0"",""'Game 5'!S25""),IMPORTRANGE(""https://docs.google.com/spreadsheets/d/1wfQePArl-A-5QJe5xAufoOnzeNLVSoHCRcmpZ_FMdns/edit#gid=0"",""'Game 5'!S25""),IF(IMPORTRANGE(""https://docs.google.com/spreadsheets/d/1wfQePArl-A-5QJe5xAufoOnzeNLVSo"&amp;"HCRcmpZ_FMdns/edit#gid=0"",""'Game 5'!J25"")=IMPORTRANGE(""https://docs.google.com/spreadsheets/d/1wfQePArl-A-5QJe5xAufoOnzeNLVSoHCRcmpZ_FMdns/edit#gid=0"",""'Game 5'!S25""),IMPORTRANGE(""https://docs.google.com/spreadsheets/d/1wfQePArl-A-5QJe5xAufoOnzeNL"&amp;"VSoHCRcmpZ_FMdns/edit#gid=0"",""'Game 5'!S25"")+50,IMPORTRANGE(""https://docs.google.com/spreadsheets/d/1wfQePArl-A-5QJe5xAufoOnzeNLVSoHCRcmpZ_FMdns/edit#gid=0"",""'Game 5'!S25"")+100)))"),156.0)</f>
        <v>156</v>
      </c>
      <c r="P3" s="12">
        <f>IFERROR(__xludf.DUMMYFUNCTION("IF($A3=IMPORTRANGE(""https://docs.google.com/spreadsheets/d/1wydNznS0hZhVh3oGSdiCZSsReuqMT7Xaw718ix58zAI/edit#gid=0"",""'Game 5'!B1""),IF(IMPORTRANGE(""https://docs.google.com/spreadsheets/d/1wydNznS0hZhVh3oGSdiCZSsReuqMT7Xaw718ix58zAI/edit#gid=0"",""'Gam"&amp;"e 5'!J25"")&gt;IMPORTRANGE(""https://docs.google.com/spreadsheets/d/1wydNznS0hZhVh3oGSdiCZSsReuqMT7Xaw718ix58zAI/edit#gid=0"",""'Game 5'!S25""),IMPORTRANGE(""https://docs.google.com/spreadsheets/d/1wydNznS0hZhVh3oGSdiCZSsReuqMT7Xaw718ix58zAI/edit#gid=0"",""'"&amp;"Game 5'!J25"")+100,IF(IMPORTRANGE(""https://docs.google.com/spreadsheets/d/1wydNznS0hZhVh3oGSdiCZSsReuqMT7Xaw718ix58zAI/edit#gid=0"",""'Game 5'!J25"")=IMPORTRANGE(""https://docs.google.com/spreadsheets/d/1wydNznS0hZhVh3oGSdiCZSsReuqMT7Xaw718ix58zAI/edit#g"&amp;"id=0"",""'Game 5'!S25""),IMPORTRANGE(""https://docs.google.com/spreadsheets/d/1wydNznS0hZhVh3oGSdiCZSsReuqMT7Xaw718ix58zAI/edit#gid=0"",""'Game 5'!J25"")+50,IMPORTRANGE(""https://docs.google.com/spreadsheets/d/1wydNznS0hZhVh3oGSdiCZSsReuqMT7Xaw718ix58zAI/"&amp;"edit#gid=0"",""'Game 5'!J25""))),IF(IMPORTRANGE(""https://docs.google.com/spreadsheets/d/1wydNznS0hZhVh3oGSdiCZSsReuqMT7Xaw718ix58zAI/edit#gid=0"",""'Game 5'!J25"")&gt;IMPORTRANGE(""https://docs.google.com/spreadsheets/d/1wydNznS0hZhVh3oGSdiCZSsReuqMT7Xaw718"&amp;"ix58zAI/edit#gid=0"",""'Game 5'!S25""),IMPORTRANGE(""https://docs.google.com/spreadsheets/d/1wydNznS0hZhVh3oGSdiCZSsReuqMT7Xaw718ix58zAI/edit#gid=0"",""'Game 5'!S25""),IF(IMPORTRANGE(""https://docs.google.com/spreadsheets/d/1wydNznS0hZhVh3oGSdiCZSsReuqMT7"&amp;"Xaw718ix58zAI/edit#gid=0"",""'Game 5'!J25"")=IMPORTRANGE(""https://docs.google.com/spreadsheets/d/1wydNznS0hZhVh3oGSdiCZSsReuqMT7Xaw718ix58zAI/edit#gid=0"",""'Game 5'!S25""),IMPORTRANGE(""https://docs.google.com/spreadsheets/d/1wydNznS0hZhVh3oGSdiCZSsReuq"&amp;"MT7Xaw718ix58zAI/edit#gid=0"",""'Game 5'!S25"")+50,IMPORTRANGE(""https://docs.google.com/spreadsheets/d/1wydNznS0hZhVh3oGSdiCZSsReuqMT7Xaw718ix58zAI/edit#gid=0"",""'Game 5'!S25"")+100)))"),156.0)</f>
        <v>156</v>
      </c>
      <c r="Q3" s="37">
        <f t="shared" si="1"/>
        <v>826</v>
      </c>
      <c r="R3" s="37">
        <f t="shared" si="2"/>
        <v>20</v>
      </c>
    </row>
    <row r="4">
      <c r="A4" s="33" t="s">
        <v>61</v>
      </c>
      <c r="B4" s="34">
        <v>44.0</v>
      </c>
      <c r="C4" s="34">
        <v>62.0</v>
      </c>
      <c r="D4" s="34">
        <v>212.0</v>
      </c>
      <c r="E4" s="34">
        <v>36.0</v>
      </c>
      <c r="F4" s="34">
        <v>176.0</v>
      </c>
      <c r="G4" s="5">
        <f>IFERROR(__xludf.DUMMYFUNCTION("IF($A4=IMPORTRANGE(""https://docs.google.com/spreadsheets/d/19gjAD4NwTXl_QoKUuwHQ1cWG_S2BOW94pDcyFtPwheg/edit#gid=0"",""'Game 8'!B1""),IF(IMPORTRANGE(""https://docs.google.com/spreadsheets/d/19gjAD4NwTXl_QoKUuwHQ1cWG_S2BOW94pDcyFtPwheg/edit#gid=0"",""'Gam"&amp;"e 8'!J25"")&gt;IMPORTRANGE(""https://docs.google.com/spreadsheets/d/19gjAD4NwTXl_QoKUuwHQ1cWG_S2BOW94pDcyFtPwheg/edit#gid=0"",""'Game 8'!S25""),IMPORTRANGE(""https://docs.google.com/spreadsheets/d/19gjAD4NwTXl_QoKUuwHQ1cWG_S2BOW94pDcyFtPwheg/edit#gid=0"",""'"&amp;"Game 8'!J25"")+100,IF(IMPORTRANGE(""https://docs.google.com/spreadsheets/d/19gjAD4NwTXl_QoKUuwHQ1cWG_S2BOW94pDcyFtPwheg/edit#gid=0"",""'Game 8'!J25"")=IMPORTRANGE(""https://docs.google.com/spreadsheets/d/19gjAD4NwTXl_QoKUuwHQ1cWG_S2BOW94pDcyFtPwheg/edit#g"&amp;"id=0"",""'Game 8'!S25""),IMPORTRANGE(""https://docs.google.com/spreadsheets/d/19gjAD4NwTXl_QoKUuwHQ1cWG_S2BOW94pDcyFtPwheg/edit#gid=0"",""'Game 8'!J25"")+50,IMPORTRANGE(""https://docs.google.com/spreadsheets/d/19gjAD4NwTXl_QoKUuwHQ1cWG_S2BOW94pDcyFtPwheg/"&amp;"edit#gid=0"",""'Game 8'!J25""))),IF(IMPORTRANGE(""https://docs.google.com/spreadsheets/d/19gjAD4NwTXl_QoKUuwHQ1cWG_S2BOW94pDcyFtPwheg/edit#gid=0"",""'Game 8'!J25"")&gt;IMPORTRANGE(""https://docs.google.com/spreadsheets/d/19gjAD4NwTXl_QoKUuwHQ1cWG_S2BOW94pDcy"&amp;"FtPwheg/edit#gid=0"",""'Game 8'!S25""),IMPORTRANGE(""https://docs.google.com/spreadsheets/d/19gjAD4NwTXl_QoKUuwHQ1cWG_S2BOW94pDcyFtPwheg/edit#gid=0"",""'Game 8'!S25""),IF(IMPORTRANGE(""https://docs.google.com/spreadsheets/d/19gjAD4NwTXl_QoKUuwHQ1cWG_S2BOW"&amp;"94pDcyFtPwheg/edit#gid=0"",""'Game 8'!J25"")=IMPORTRANGE(""https://docs.google.com/spreadsheets/d/19gjAD4NwTXl_QoKUuwHQ1cWG_S2BOW94pDcyFtPwheg/edit#gid=0"",""'Game 8'!S25""),IMPORTRANGE(""https://docs.google.com/spreadsheets/d/19gjAD4NwTXl_QoKUuwHQ1cWG_S2"&amp;"BOW94pDcyFtPwheg/edit#gid=0"",""'Game 8'!S25"")+50,IMPORTRANGE(""https://docs.google.com/spreadsheets/d/19gjAD4NwTXl_QoKUuwHQ1cWG_S2BOW94pDcyFtPwheg/edit#gid=0"",""'Game 8'!S25"")+100)))"),170.0)</f>
        <v>170</v>
      </c>
      <c r="H4" s="5">
        <f>IFERROR(__xludf.DUMMYFUNCTION("IF($A4=IMPORTRANGE(""https://docs.google.com/spreadsheets/d/1l83w8bH-F1czkFOqsgQy6o8O33Jb4Pfg40W0ou2nk0k/edit#gid=0"",""'Game 11'!B1""),IF(IMPORTRANGE(""https://docs.google.com/spreadsheets/d/1l83w8bH-F1czkFOqsgQy6o8O33Jb4Pfg40W0ou2nk0k/edit#gid=0"",""'Ga"&amp;"me 11'!J25"")&gt;IMPORTRANGE(""https://docs.google.com/spreadsheets/d/1l83w8bH-F1czkFOqsgQy6o8O33Jb4Pfg40W0ou2nk0k/edit#gid=0"",""'Game 11'!S25""),IMPORTRANGE(""https://docs.google.com/spreadsheets/d/1l83w8bH-F1czkFOqsgQy6o8O33Jb4Pfg40W0ou2nk0k/edit#gid=0"","&amp;"""'Game 11'!J25"")+100,IF(IMPORTRANGE(""https://docs.google.com/spreadsheets/d/1l83w8bH-F1czkFOqsgQy6o8O33Jb4Pfg40W0ou2nk0k/edit#gid=0"",""'Game 11'!J25"")=IMPORTRANGE(""https://docs.google.com/spreadsheets/d/1l83w8bH-F1czkFOqsgQy6o8O33Jb4Pfg40W0ou2nk0k/e"&amp;"dit#gid=0"",""'Game 11'!S25""),IMPORTRANGE(""https://docs.google.com/spreadsheets/d/1l83w8bH-F1czkFOqsgQy6o8O33Jb4Pfg40W0ou2nk0k/edit#gid=0"",""'Game 11'!J25"")+50,IMPORTRANGE(""https://docs.google.com/spreadsheets/d/1l83w8bH-F1czkFOqsgQy6o8O33Jb4Pfg40W0o"&amp;"u2nk0k/edit#gid=0"",""'Game 11'!J25""))),IF(IMPORTRANGE(""https://docs.google.com/spreadsheets/d/1l83w8bH-F1czkFOqsgQy6o8O33Jb4Pfg40W0ou2nk0k/edit#gid=0"",""'Game 11'!J25"")&gt;IMPORTRANGE(""https://docs.google.com/spreadsheets/d/1l83w8bH-F1czkFOqsgQy6o8O33J"&amp;"b4Pfg40W0ou2nk0k/edit#gid=0"",""'Game 11'!S25""),IMPORTRANGE(""https://docs.google.com/spreadsheets/d/1l83w8bH-F1czkFOqsgQy6o8O33Jb4Pfg40W0ou2nk0k/edit#gid=0"",""'Game 11'!S25""),IF(IMPORTRANGE(""https://docs.google.com/spreadsheets/d/1l83w8bH-F1czkFOqsgQ"&amp;"y6o8O33Jb4Pfg40W0ou2nk0k/edit#gid=0"",""'Game 11'!J25"")=IMPORTRANGE(""https://docs.google.com/spreadsheets/d/1l83w8bH-F1czkFOqsgQy6o8O33Jb4Pfg40W0ou2nk0k/edit#gid=0"",""'Game 11'!S25""),IMPORTRANGE(""https://docs.google.com/spreadsheets/d/1l83w8bH-F1czkF"&amp;"OqsgQy6o8O33Jb4Pfg40W0ou2nk0k/edit#gid=0"",""'Game 11'!S25"")+50,IMPORTRANGE(""https://docs.google.com/spreadsheets/d/1l83w8bH-F1czkFOqsgQy6o8O33Jb4Pfg40W0ou2nk0k/edit#gid=0"",""'Game 11'!S25"")+100)))"),190.0)</f>
        <v>190</v>
      </c>
      <c r="I4" s="5">
        <f>IFERROR(__xludf.DUMMYFUNCTION("IF($A4=IMPORTRANGE(""https://docs.google.com/spreadsheets/d/15X-ub7GvrCQZ3UGgyogcjwYdxG-Ng8WHxzGSj1Z3eLw/edit#gid=0"",""'Game 8'!B1""),IF(IMPORTRANGE(""https://docs.google.com/spreadsheets/d/15X-ub7GvrCQZ3UGgyogcjwYdxG-Ng8WHxzGSj1Z3eLw/edit#gid=0"",""'Gam"&amp;"e 8'!J25"")&gt;IMPORTRANGE(""https://docs.google.com/spreadsheets/d/15X-ub7GvrCQZ3UGgyogcjwYdxG-Ng8WHxzGSj1Z3eLw/edit#gid=0"",""'Game 8'!S25""),IMPORTRANGE(""https://docs.google.com/spreadsheets/d/15X-ub7GvrCQZ3UGgyogcjwYdxG-Ng8WHxzGSj1Z3eLw/edit#gid=0"",""'"&amp;"Game 8'!J25"")+100,IF(IMPORTRANGE(""https://docs.google.com/spreadsheets/d/15X-ub7GvrCQZ3UGgyogcjwYdxG-Ng8WHxzGSj1Z3eLw/edit#gid=0"",""'Game 8'!J25"")=IMPORTRANGE(""https://docs.google.com/spreadsheets/d/15X-ub7GvrCQZ3UGgyogcjwYdxG-Ng8WHxzGSj1Z3eLw/edit#g"&amp;"id=0"",""'Game 8'!S25""),IMPORTRANGE(""https://docs.google.com/spreadsheets/d/15X-ub7GvrCQZ3UGgyogcjwYdxG-Ng8WHxzGSj1Z3eLw/edit#gid=0"",""'Game 8'!J25"")+50,IMPORTRANGE(""https://docs.google.com/spreadsheets/d/15X-ub7GvrCQZ3UGgyogcjwYdxG-Ng8WHxzGSj1Z3eLw/"&amp;"edit#gid=0"",""'Game 8'!J25""))),IF(IMPORTRANGE(""https://docs.google.com/spreadsheets/d/15X-ub7GvrCQZ3UGgyogcjwYdxG-Ng8WHxzGSj1Z3eLw/edit#gid=0"",""'Game 8'!J25"")&gt;IMPORTRANGE(""https://docs.google.com/spreadsheets/d/15X-ub7GvrCQZ3UGgyogcjwYdxG-Ng8WHxzGS"&amp;"j1Z3eLw/edit#gid=0"",""'Game 8'!S25""),IMPORTRANGE(""https://docs.google.com/spreadsheets/d/15X-ub7GvrCQZ3UGgyogcjwYdxG-Ng8WHxzGSj1Z3eLw/edit#gid=0"",""'Game 8'!S25""),IF(IMPORTRANGE(""https://docs.google.com/spreadsheets/d/15X-ub7GvrCQZ3UGgyogcjwYdxG-Ng8"&amp;"WHxzGSj1Z3eLw/edit#gid=0"",""'Game 8'!J25"")=IMPORTRANGE(""https://docs.google.com/spreadsheets/d/15X-ub7GvrCQZ3UGgyogcjwYdxG-Ng8WHxzGSj1Z3eLw/edit#gid=0"",""'Game 8'!S25""),IMPORTRANGE(""https://docs.google.com/spreadsheets/d/15X-ub7GvrCQZ3UGgyogcjwYdxG-"&amp;"Ng8WHxzGSj1Z3eLw/edit#gid=0"",""'Game 8'!S25"")+50,IMPORTRANGE(""https://docs.google.com/spreadsheets/d/15X-ub7GvrCQZ3UGgyogcjwYdxG-Ng8WHxzGSj1Z3eLw/edit#gid=0"",""'Game 8'!S25"")+100)))"),50.0)</f>
        <v>50</v>
      </c>
      <c r="J4" s="5">
        <f>IFERROR(__xludf.DUMMYFUNCTION("IF($A4=IMPORTRANGE(""https://docs.google.com/spreadsheets/d/194Bw3ABslPPhOOPvVoMzIk8sOQFICWBu2pydWdYMD-w/edit#gid=0"",""'Game 3'!B1""),IF(IMPORTRANGE(""https://docs.google.com/spreadsheets/d/194Bw3ABslPPhOOPvVoMzIk8sOQFICWBu2pydWdYMD-w/edit#gid=0"",""'Gam"&amp;"e 3'!J25"")&gt;IMPORTRANGE(""https://docs.google.com/spreadsheets/d/194Bw3ABslPPhOOPvVoMzIk8sOQFICWBu2pydWdYMD-w/edit#gid=0"",""'Game 3'!S25""),IMPORTRANGE(""https://docs.google.com/spreadsheets/d/194Bw3ABslPPhOOPvVoMzIk8sOQFICWBu2pydWdYMD-w/edit#gid=0"",""'"&amp;"Game 3'!J25"")+100,IF(IMPORTRANGE(""https://docs.google.com/spreadsheets/d/194Bw3ABslPPhOOPvVoMzIk8sOQFICWBu2pydWdYMD-w/edit#gid=0"",""'Game 3'!J25"")=IMPORTRANGE(""https://docs.google.com/spreadsheets/d/194Bw3ABslPPhOOPvVoMzIk8sOQFICWBu2pydWdYMD-w/edit#g"&amp;"id=0"",""'Game 3'!S25""),IMPORTRANGE(""https://docs.google.com/spreadsheets/d/194Bw3ABslPPhOOPvVoMzIk8sOQFICWBu2pydWdYMD-w/edit#gid=0"",""'Game 3'!J25"")+50,IMPORTRANGE(""https://docs.google.com/spreadsheets/d/194Bw3ABslPPhOOPvVoMzIk8sOQFICWBu2pydWdYMD-w/"&amp;"edit#gid=0"",""'Game 3'!J25""))),IF(IMPORTRANGE(""https://docs.google.com/spreadsheets/d/194Bw3ABslPPhOOPvVoMzIk8sOQFICWBu2pydWdYMD-w/edit#gid=0"",""'Game 3'!J25"")&gt;IMPORTRANGE(""https://docs.google.com/spreadsheets/d/194Bw3ABslPPhOOPvVoMzIk8sOQFICWBu2pyd"&amp;"WdYMD-w/edit#gid=0"",""'Game 3'!S25""),IMPORTRANGE(""https://docs.google.com/spreadsheets/d/194Bw3ABslPPhOOPvVoMzIk8sOQFICWBu2pydWdYMD-w/edit#gid=0"",""'Game 3'!S25""),IF(IMPORTRANGE(""https://docs.google.com/spreadsheets/d/194Bw3ABslPPhOOPvVoMzIk8sOQFICW"&amp;"Bu2pydWdYMD-w/edit#gid=0"",""'Game 3'!J25"")=IMPORTRANGE(""https://docs.google.com/spreadsheets/d/194Bw3ABslPPhOOPvVoMzIk8sOQFICWBu2pydWdYMD-w/edit#gid=0"",""'Game 3'!S25""),IMPORTRANGE(""https://docs.google.com/spreadsheets/d/194Bw3ABslPPhOOPvVoMzIk8sOQF"&amp;"ICWBu2pydWdYMD-w/edit#gid=0"",""'Game 3'!S25"")+50,IMPORTRANGE(""https://docs.google.com/spreadsheets/d/194Bw3ABslPPhOOPvVoMzIk8sOQFICWBu2pydWdYMD-w/edit#gid=0"",""'Game 3'!S25"")+100)))"),34.0)</f>
        <v>34</v>
      </c>
      <c r="K4" s="5">
        <f>IFERROR(__xludf.DUMMYFUNCTION("IF($A4=IMPORTRANGE(""https://docs.google.com/spreadsheets/d/1F2Bi6K_I1K9xRxY5qb-bNRo5m-Kw7udpF1OaTHhrxjs/edit#gid=0"",""'Game 8'!B1""),IF(IMPORTRANGE(""https://docs.google.com/spreadsheets/d/1F2Bi6K_I1K9xRxY5qb-bNRo5m-Kw7udpF1OaTHhrxjs/edit#gid=0"",""'Gam"&amp;"e 8'!J25"")&gt;IMPORTRANGE(""https://docs.google.com/spreadsheets/d/1F2Bi6K_I1K9xRxY5qb-bNRo5m-Kw7udpF1OaTHhrxjs/edit#gid=0"",""'Game 8'!S25""),IMPORTRANGE(""https://docs.google.com/spreadsheets/d/1F2Bi6K_I1K9xRxY5qb-bNRo5m-Kw7udpF1OaTHhrxjs/edit#gid=0"",""'"&amp;"Game 8'!J25"")+100,IF(IMPORTRANGE(""https://docs.google.com/spreadsheets/d/1F2Bi6K_I1K9xRxY5qb-bNRo5m-Kw7udpF1OaTHhrxjs/edit#gid=0"",""'Game 8'!J25"")=IMPORTRANGE(""https://docs.google.com/spreadsheets/d/1F2Bi6K_I1K9xRxY5qb-bNRo5m-Kw7udpF1OaTHhrxjs/edit#g"&amp;"id=0"",""'Game 8'!S25""),IMPORTRANGE(""https://docs.google.com/spreadsheets/d/1F2Bi6K_I1K9xRxY5qb-bNRo5m-Kw7udpF1OaTHhrxjs/edit#gid=0"",""'Game 8'!J25"")+50,IMPORTRANGE(""https://docs.google.com/spreadsheets/d/1F2Bi6K_I1K9xRxY5qb-bNRo5m-Kw7udpF1OaTHhrxjs/"&amp;"edit#gid=0"",""'Game 8'!J25""))),IF(IMPORTRANGE(""https://docs.google.com/spreadsheets/d/1F2Bi6K_I1K9xRxY5qb-bNRo5m-Kw7udpF1OaTHhrxjs/edit#gid=0"",""'Game 8'!J25"")&gt;IMPORTRANGE(""https://docs.google.com/spreadsheets/d/1F2Bi6K_I1K9xRxY5qb-bNRo5m-Kw7udpF1Oa"&amp;"THhrxjs/edit#gid=0"",""'Game 8'!S25""),IMPORTRANGE(""https://docs.google.com/spreadsheets/d/1F2Bi6K_I1K9xRxY5qb-bNRo5m-Kw7udpF1OaTHhrxjs/edit#gid=0"",""'Game 8'!S25""),IF(IMPORTRANGE(""https://docs.google.com/spreadsheets/d/1F2Bi6K_I1K9xRxY5qb-bNRo5m-Kw7u"&amp;"dpF1OaTHhrxjs/edit#gid=0"",""'Game 8'!J25"")=IMPORTRANGE(""https://docs.google.com/spreadsheets/d/1F2Bi6K_I1K9xRxY5qb-bNRo5m-Kw7udpF1OaTHhrxjs/edit#gid=0"",""'Game 8'!S25""),IMPORTRANGE(""https://docs.google.com/spreadsheets/d/1F2Bi6K_I1K9xRxY5qb-bNRo5m-K"&amp;"w7udpF1OaTHhrxjs/edit#gid=0"",""'Game 8'!S25"")+50,IMPORTRANGE(""https://docs.google.com/spreadsheets/d/1F2Bi6K_I1K9xRxY5qb-bNRo5m-Kw7udpF1OaTHhrxjs/edit#gid=0"",""'Game 8'!S25"")+100)))"),58.0)</f>
        <v>58</v>
      </c>
      <c r="L4" s="5">
        <f>IFERROR(__xludf.DUMMYFUNCTION("IF($A4=IMPORTRANGE(""https://docs.google.com/spreadsheets/d/1NDNgi_Ny4dRhc2A3UMIIkalN-V6EmsvxOfDzMRQlQ40/edit#gid=0"",""'Game 7'!B1""),IF(IMPORTRANGE(""https://docs.google.com/spreadsheets/d/1NDNgi_Ny4dRhc2A3UMIIkalN-V6EmsvxOfDzMRQlQ40/edit#gid=0"",""'Gam"&amp;"e 7'!J25"")&gt;IMPORTRANGE(""https://docs.google.com/spreadsheets/d/1NDNgi_Ny4dRhc2A3UMIIkalN-V6EmsvxOfDzMRQlQ40/edit#gid=0"",""'Game 7'!S25""),IMPORTRANGE(""https://docs.google.com/spreadsheets/d/1NDNgi_Ny4dRhc2A3UMIIkalN-V6EmsvxOfDzMRQlQ40/edit#gid=0"",""'"&amp;"Game 7'!J25"")+100,IF(IMPORTRANGE(""https://docs.google.com/spreadsheets/d/1NDNgi_Ny4dRhc2A3UMIIkalN-V6EmsvxOfDzMRQlQ40/edit#gid=0"",""'Game 7'!J25"")=IMPORTRANGE(""https://docs.google.com/spreadsheets/d/1NDNgi_Ny4dRhc2A3UMIIkalN-V6EmsvxOfDzMRQlQ40/edit#g"&amp;"id=0"",""'Game 7'!S25""),IMPORTRANGE(""https://docs.google.com/spreadsheets/d/1NDNgi_Ny4dRhc2A3UMIIkalN-V6EmsvxOfDzMRQlQ40/edit#gid=0"",""'Game 7'!J25"")+50,IMPORTRANGE(""https://docs.google.com/spreadsheets/d/1NDNgi_Ny4dRhc2A3UMIIkalN-V6EmsvxOfDzMRQlQ40/"&amp;"edit#gid=0"",""'Game 7'!J25""))),IF(IMPORTRANGE(""https://docs.google.com/spreadsheets/d/1NDNgi_Ny4dRhc2A3UMIIkalN-V6EmsvxOfDzMRQlQ40/edit#gid=0"",""'Game 7'!J25"")&gt;IMPORTRANGE(""https://docs.google.com/spreadsheets/d/1NDNgi_Ny4dRhc2A3UMIIkalN-V6EmsvxOfDz"&amp;"MRQlQ40/edit#gid=0"",""'Game 7'!S25""),IMPORTRANGE(""https://docs.google.com/spreadsheets/d/1NDNgi_Ny4dRhc2A3UMIIkalN-V6EmsvxOfDzMRQlQ40/edit#gid=0"",""'Game 7'!S25""),IF(IMPORTRANGE(""https://docs.google.com/spreadsheets/d/1NDNgi_Ny4dRhc2A3UMIIkalN-V6Ems"&amp;"vxOfDzMRQlQ40/edit#gid=0"",""'Game 7'!J25"")=IMPORTRANGE(""https://docs.google.com/spreadsheets/d/1NDNgi_Ny4dRhc2A3UMIIkalN-V6EmsvxOfDzMRQlQ40/edit#gid=0"",""'Game 7'!S25""),IMPORTRANGE(""https://docs.google.com/spreadsheets/d/1NDNgi_Ny4dRhc2A3UMIIkalN-V6"&amp;"EmsvxOfDzMRQlQ40/edit#gid=0"",""'Game 7'!S25"")+50,IMPORTRANGE(""https://docs.google.com/spreadsheets/d/1NDNgi_Ny4dRhc2A3UMIIkalN-V6EmsvxOfDzMRQlQ40/edit#gid=0"",""'Game 7'!S25"")+100)))"),152.0)</f>
        <v>152</v>
      </c>
      <c r="M4" s="5">
        <f>IFERROR(__xludf.DUMMYFUNCTION("IF($A4=IMPORTRANGE(""https://docs.google.com/spreadsheets/d/1UDYA3-RrkJNLa2ZLH1NnUjKyfCoiSODmgVL_Au_zt-Y/edit#gid=0"",""'Game 7'!B1""),IF(IMPORTRANGE(""https://docs.google.com/spreadsheets/d/1UDYA3-RrkJNLa2ZLH1NnUjKyfCoiSODmgVL_Au_zt-Y/edit#gid=0"",""'Gam"&amp;"e 7'!J25"")&gt;IMPORTRANGE(""https://docs.google.com/spreadsheets/d/1UDYA3-RrkJNLa2ZLH1NnUjKyfCoiSODmgVL_Au_zt-Y/edit#gid=0"",""'Game 7'!S25""),IMPORTRANGE(""https://docs.google.com/spreadsheets/d/1UDYA3-RrkJNLa2ZLH1NnUjKyfCoiSODmgVL_Au_zt-Y/edit#gid=0"",""'"&amp;"Game 7'!J25"")+100,IF(IMPORTRANGE(""https://docs.google.com/spreadsheets/d/1UDYA3-RrkJNLa2ZLH1NnUjKyfCoiSODmgVL_Au_zt-Y/edit#gid=0"",""'Game 7'!J25"")=IMPORTRANGE(""https://docs.google.com/spreadsheets/d/1UDYA3-RrkJNLa2ZLH1NnUjKyfCoiSODmgVL_Au_zt-Y/edit#g"&amp;"id=0"",""'Game 7'!S25""),IMPORTRANGE(""https://docs.google.com/spreadsheets/d/1UDYA3-RrkJNLa2ZLH1NnUjKyfCoiSODmgVL_Au_zt-Y/edit#gid=0"",""'Game 7'!J25"")+50,IMPORTRANGE(""https://docs.google.com/spreadsheets/d/1UDYA3-RrkJNLa2ZLH1NnUjKyfCoiSODmgVL_Au_zt-Y/"&amp;"edit#gid=0"",""'Game 7'!J25""))),IF(IMPORTRANGE(""https://docs.google.com/spreadsheets/d/1UDYA3-RrkJNLa2ZLH1NnUjKyfCoiSODmgVL_Au_zt-Y/edit#gid=0"",""'Game 7'!J25"")&gt;IMPORTRANGE(""https://docs.google.com/spreadsheets/d/1UDYA3-RrkJNLa2ZLH1NnUjKyfCoiSODmgVL_"&amp;"Au_zt-Y/edit#gid=0"",""'Game 7'!S25""),IMPORTRANGE(""https://docs.google.com/spreadsheets/d/1UDYA3-RrkJNLa2ZLH1NnUjKyfCoiSODmgVL_Au_zt-Y/edit#gid=0"",""'Game 7'!S25""),IF(IMPORTRANGE(""https://docs.google.com/spreadsheets/d/1UDYA3-RrkJNLa2ZLH1NnUjKyfCoiSO"&amp;"DmgVL_Au_zt-Y/edit#gid=0"",""'Game 7'!J25"")=IMPORTRANGE(""https://docs.google.com/spreadsheets/d/1UDYA3-RrkJNLa2ZLH1NnUjKyfCoiSODmgVL_Au_zt-Y/edit#gid=0"",""'Game 7'!S25""),IMPORTRANGE(""https://docs.google.com/spreadsheets/d/1UDYA3-RrkJNLa2ZLH1NnUjKyfCo"&amp;"iSODmgVL_Au_zt-Y/edit#gid=0"",""'Game 7'!S25"")+50,IMPORTRANGE(""https://docs.google.com/spreadsheets/d/1UDYA3-RrkJNLa2ZLH1NnUjKyfCoiSODmgVL_Au_zt-Y/edit#gid=0"",""'Game 7'!S25"")+100)))"),254.0)</f>
        <v>254</v>
      </c>
      <c r="N4" s="5">
        <f>IFERROR(__xludf.DUMMYFUNCTION("IF($A4=IMPORTRANGE(""https://docs.google.com/spreadsheets/d/1fvo6H94Wcffp6c4N9g3JKCW6y2ZlijPxdOsNz7xdBhw/edit#gid=0"",""'Game 7'!B1""),IF(IMPORTRANGE(""https://docs.google.com/spreadsheets/d/1fvo6H94Wcffp6c4N9g3JKCW6y2ZlijPxdOsNz7xdBhw/edit#gid=0"",""'Gam"&amp;"e 7'!J25"")&gt;IMPORTRANGE(""https://docs.google.com/spreadsheets/d/1fvo6H94Wcffp6c4N9g3JKCW6y2ZlijPxdOsNz7xdBhw/edit#gid=0"",""'Game 7'!S25""),IMPORTRANGE(""https://docs.google.com/spreadsheets/d/1fvo6H94Wcffp6c4N9g3JKCW6y2ZlijPxdOsNz7xdBhw/edit#gid=0"",""'"&amp;"Game 7'!J25"")+100,IF(IMPORTRANGE(""https://docs.google.com/spreadsheets/d/1fvo6H94Wcffp6c4N9g3JKCW6y2ZlijPxdOsNz7xdBhw/edit#gid=0"",""'Game 7'!J25"")=IMPORTRANGE(""https://docs.google.com/spreadsheets/d/1fvo6H94Wcffp6c4N9g3JKCW6y2ZlijPxdOsNz7xdBhw/edit#g"&amp;"id=0"",""'Game 7'!S25""),IMPORTRANGE(""https://docs.google.com/spreadsheets/d/1fvo6H94Wcffp6c4N9g3JKCW6y2ZlijPxdOsNz7xdBhw/edit#gid=0"",""'Game 7'!J25"")+50,IMPORTRANGE(""https://docs.google.com/spreadsheets/d/1fvo6H94Wcffp6c4N9g3JKCW6y2ZlijPxdOsNz7xdBhw/"&amp;"edit#gid=0"",""'Game 7'!J25""))),IF(IMPORTRANGE(""https://docs.google.com/spreadsheets/d/1fvo6H94Wcffp6c4N9g3JKCW6y2ZlijPxdOsNz7xdBhw/edit#gid=0"",""'Game 7'!J25"")&gt;IMPORTRANGE(""https://docs.google.com/spreadsheets/d/1fvo6H94Wcffp6c4N9g3JKCW6y2ZlijPxdOsN"&amp;"z7xdBhw/edit#gid=0"",""'Game 7'!S25""),IMPORTRANGE(""https://docs.google.com/spreadsheets/d/1fvo6H94Wcffp6c4N9g3JKCW6y2ZlijPxdOsNz7xdBhw/edit#gid=0"",""'Game 7'!S25""),IF(IMPORTRANGE(""https://docs.google.com/spreadsheets/d/1fvo6H94Wcffp6c4N9g3JKCW6y2Zlij"&amp;"PxdOsNz7xdBhw/edit#gid=0"",""'Game 7'!J25"")=IMPORTRANGE(""https://docs.google.com/spreadsheets/d/1fvo6H94Wcffp6c4N9g3JKCW6y2ZlijPxdOsNz7xdBhw/edit#gid=0"",""'Game 7'!S25""),IMPORTRANGE(""https://docs.google.com/spreadsheets/d/1fvo6H94Wcffp6c4N9g3JKCW6y2Z"&amp;"lijPxdOsNz7xdBhw/edit#gid=0"",""'Game 7'!S25"")+50,IMPORTRANGE(""https://docs.google.com/spreadsheets/d/1fvo6H94Wcffp6c4N9g3JKCW6y2ZlijPxdOsNz7xdBhw/edit#gid=0"",""'Game 7'!S25"")+100)))"),164.0)</f>
        <v>164</v>
      </c>
      <c r="O4" s="5">
        <f>IFERROR(__xludf.DUMMYFUNCTION("IF($A4=IMPORTRANGE(""https://docs.google.com/spreadsheets/d/1wfQePArl-A-5QJe5xAufoOnzeNLVSoHCRcmpZ_FMdns/edit#gid=0"",""'Game 8'!B1""),IF(IMPORTRANGE(""https://docs.google.com/spreadsheets/d/1wfQePArl-A-5QJe5xAufoOnzeNLVSoHCRcmpZ_FMdns/edit#gid=0"",""'Gam"&amp;"e 8'!J25"")&gt;IMPORTRANGE(""https://docs.google.com/spreadsheets/d/1wfQePArl-A-5QJe5xAufoOnzeNLVSoHCRcmpZ_FMdns/edit#gid=0"",""'Game 8'!S25""),IMPORTRANGE(""https://docs.google.com/spreadsheets/d/1wfQePArl-A-5QJe5xAufoOnzeNLVSoHCRcmpZ_FMdns/edit#gid=0"",""'"&amp;"Game 8'!J25"")+100,IF(IMPORTRANGE(""https://docs.google.com/spreadsheets/d/1wfQePArl-A-5QJe5xAufoOnzeNLVSoHCRcmpZ_FMdns/edit#gid=0"",""'Game 8'!J25"")=IMPORTRANGE(""https://docs.google.com/spreadsheets/d/1wfQePArl-A-5QJe5xAufoOnzeNLVSoHCRcmpZ_FMdns/edit#g"&amp;"id=0"",""'Game 8'!S25""),IMPORTRANGE(""https://docs.google.com/spreadsheets/d/1wfQePArl-A-5QJe5xAufoOnzeNLVSoHCRcmpZ_FMdns/edit#gid=0"",""'Game 8'!J25"")+50,IMPORTRANGE(""https://docs.google.com/spreadsheets/d/1wfQePArl-A-5QJe5xAufoOnzeNLVSoHCRcmpZ_FMdns/"&amp;"edit#gid=0"",""'Game 8'!J25""))),IF(IMPORTRANGE(""https://docs.google.com/spreadsheets/d/1wfQePArl-A-5QJe5xAufoOnzeNLVSoHCRcmpZ_FMdns/edit#gid=0"",""'Game 8'!J25"")&gt;IMPORTRANGE(""https://docs.google.com/spreadsheets/d/1wfQePArl-A-5QJe5xAufoOnzeNLVSoHCRcmp"&amp;"Z_FMdns/edit#gid=0"",""'Game 8'!S25""),IMPORTRANGE(""https://docs.google.com/spreadsheets/d/1wfQePArl-A-5QJe5xAufoOnzeNLVSoHCRcmpZ_FMdns/edit#gid=0"",""'Game 8'!S25""),IF(IMPORTRANGE(""https://docs.google.com/spreadsheets/d/1wfQePArl-A-5QJe5xAufoOnzeNLVSo"&amp;"HCRcmpZ_FMdns/edit#gid=0"",""'Game 8'!J25"")=IMPORTRANGE(""https://docs.google.com/spreadsheets/d/1wfQePArl-A-5QJe5xAufoOnzeNLVSoHCRcmpZ_FMdns/edit#gid=0"",""'Game 8'!S25""),IMPORTRANGE(""https://docs.google.com/spreadsheets/d/1wfQePArl-A-5QJe5xAufoOnzeNL"&amp;"VSoHCRcmpZ_FMdns/edit#gid=0"",""'Game 8'!S25"")+50,IMPORTRANGE(""https://docs.google.com/spreadsheets/d/1wfQePArl-A-5QJe5xAufoOnzeNLVSoHCRcmpZ_FMdns/edit#gid=0"",""'Game 8'!S25"")+100)))"),58.0)</f>
        <v>58</v>
      </c>
      <c r="P4" s="5">
        <f>IFERROR(__xludf.DUMMYFUNCTION("IF($A4=IMPORTRANGE(""https://docs.google.com/spreadsheets/d/1wydNznS0hZhVh3oGSdiCZSsReuqMT7Xaw718ix58zAI/edit#gid=0"",""'Game 8'!B1""),IF(IMPORTRANGE(""https://docs.google.com/spreadsheets/d/1wydNznS0hZhVh3oGSdiCZSsReuqMT7Xaw718ix58zAI/edit#gid=0"",""'Gam"&amp;"e 8'!J25"")&gt;IMPORTRANGE(""https://docs.google.com/spreadsheets/d/1wydNznS0hZhVh3oGSdiCZSsReuqMT7Xaw718ix58zAI/edit#gid=0"",""'Game 8'!S25""),IMPORTRANGE(""https://docs.google.com/spreadsheets/d/1wydNznS0hZhVh3oGSdiCZSsReuqMT7Xaw718ix58zAI/edit#gid=0"",""'"&amp;"Game 8'!J25"")+100,IF(IMPORTRANGE(""https://docs.google.com/spreadsheets/d/1wydNznS0hZhVh3oGSdiCZSsReuqMT7Xaw718ix58zAI/edit#gid=0"",""'Game 8'!J25"")=IMPORTRANGE(""https://docs.google.com/spreadsheets/d/1wydNznS0hZhVh3oGSdiCZSsReuqMT7Xaw718ix58zAI/edit#g"&amp;"id=0"",""'Game 8'!S25""),IMPORTRANGE(""https://docs.google.com/spreadsheets/d/1wydNznS0hZhVh3oGSdiCZSsReuqMT7Xaw718ix58zAI/edit#gid=0"",""'Game 8'!J25"")+50,IMPORTRANGE(""https://docs.google.com/spreadsheets/d/1wydNznS0hZhVh3oGSdiCZSsReuqMT7Xaw718ix58zAI/"&amp;"edit#gid=0"",""'Game 8'!J25""))),IF(IMPORTRANGE(""https://docs.google.com/spreadsheets/d/1wydNznS0hZhVh3oGSdiCZSsReuqMT7Xaw718ix58zAI/edit#gid=0"",""'Game 8'!J25"")&gt;IMPORTRANGE(""https://docs.google.com/spreadsheets/d/1wydNznS0hZhVh3oGSdiCZSsReuqMT7Xaw718"&amp;"ix58zAI/edit#gid=0"",""'Game 8'!S25""),IMPORTRANGE(""https://docs.google.com/spreadsheets/d/1wydNznS0hZhVh3oGSdiCZSsReuqMT7Xaw718ix58zAI/edit#gid=0"",""'Game 8'!S25""),IF(IMPORTRANGE(""https://docs.google.com/spreadsheets/d/1wydNznS0hZhVh3oGSdiCZSsReuqMT7"&amp;"Xaw718ix58zAI/edit#gid=0"",""'Game 8'!J25"")=IMPORTRANGE(""https://docs.google.com/spreadsheets/d/1wydNznS0hZhVh3oGSdiCZSsReuqMT7Xaw718ix58zAI/edit#gid=0"",""'Game 8'!S25""),IMPORTRANGE(""https://docs.google.com/spreadsheets/d/1wydNznS0hZhVh3oGSdiCZSsReuq"&amp;"MT7Xaw718ix58zAI/edit#gid=0"",""'Game 8'!S25"")+50,IMPORTRANGE(""https://docs.google.com/spreadsheets/d/1wydNznS0hZhVh3oGSdiCZSsReuqMT7Xaw718ix58zAI/edit#gid=0"",""'Game 8'!S25"")+100)))"),180.0)</f>
        <v>180</v>
      </c>
      <c r="Q4" s="35">
        <f t="shared" si="1"/>
        <v>1840</v>
      </c>
      <c r="R4" s="35">
        <f t="shared" si="2"/>
        <v>11</v>
      </c>
    </row>
    <row r="5">
      <c r="A5" s="32" t="s">
        <v>72</v>
      </c>
      <c r="B5" s="36">
        <v>184.0</v>
      </c>
      <c r="C5" s="36">
        <v>302.0</v>
      </c>
      <c r="D5" s="36">
        <v>216.0</v>
      </c>
      <c r="E5" s="36">
        <v>164.0</v>
      </c>
      <c r="F5" s="36">
        <v>170.0</v>
      </c>
      <c r="G5" s="12">
        <f>IFERROR(__xludf.DUMMYFUNCTION("IF($A5=IMPORTRANGE(""https://docs.google.com/spreadsheets/d/19gjAD4NwTXl_QoKUuwHQ1cWG_S2BOW94pDcyFtPwheg/edit#gid=0"",""'Game 9'!B1""),IF(IMPORTRANGE(""https://docs.google.com/spreadsheets/d/19gjAD4NwTXl_QoKUuwHQ1cWG_S2BOW94pDcyFtPwheg/edit#gid=0"",""'Gam"&amp;"e 9'!J25"")&gt;IMPORTRANGE(""https://docs.google.com/spreadsheets/d/19gjAD4NwTXl_QoKUuwHQ1cWG_S2BOW94pDcyFtPwheg/edit#gid=0"",""'Game 9'!S25""),IMPORTRANGE(""https://docs.google.com/spreadsheets/d/19gjAD4NwTXl_QoKUuwHQ1cWG_S2BOW94pDcyFtPwheg/edit#gid=0"",""'"&amp;"Game 9'!J25"")+100,IF(IMPORTRANGE(""https://docs.google.com/spreadsheets/d/19gjAD4NwTXl_QoKUuwHQ1cWG_S2BOW94pDcyFtPwheg/edit#gid=0"",""'Game 9'!J25"")=IMPORTRANGE(""https://docs.google.com/spreadsheets/d/19gjAD4NwTXl_QoKUuwHQ1cWG_S2BOW94pDcyFtPwheg/edit#g"&amp;"id=0"",""'Game 9'!S25""),IMPORTRANGE(""https://docs.google.com/spreadsheets/d/19gjAD4NwTXl_QoKUuwHQ1cWG_S2BOW94pDcyFtPwheg/edit#gid=0"",""'Game 9'!J25"")+50,IMPORTRANGE(""https://docs.google.com/spreadsheets/d/19gjAD4NwTXl_QoKUuwHQ1cWG_S2BOW94pDcyFtPwheg/"&amp;"edit#gid=0"",""'Game 9'!J25""))),IF(IMPORTRANGE(""https://docs.google.com/spreadsheets/d/19gjAD4NwTXl_QoKUuwHQ1cWG_S2BOW94pDcyFtPwheg/edit#gid=0"",""'Game 9'!J25"")&gt;IMPORTRANGE(""https://docs.google.com/spreadsheets/d/19gjAD4NwTXl_QoKUuwHQ1cWG_S2BOW94pDcy"&amp;"FtPwheg/edit#gid=0"",""'Game 9'!S25""),IMPORTRANGE(""https://docs.google.com/spreadsheets/d/19gjAD4NwTXl_QoKUuwHQ1cWG_S2BOW94pDcyFtPwheg/edit#gid=0"",""'Game 9'!S25""),IF(IMPORTRANGE(""https://docs.google.com/spreadsheets/d/19gjAD4NwTXl_QoKUuwHQ1cWG_S2BOW"&amp;"94pDcyFtPwheg/edit#gid=0"",""'Game 9'!J25"")=IMPORTRANGE(""https://docs.google.com/spreadsheets/d/19gjAD4NwTXl_QoKUuwHQ1cWG_S2BOW94pDcyFtPwheg/edit#gid=0"",""'Game 9'!S25""),IMPORTRANGE(""https://docs.google.com/spreadsheets/d/19gjAD4NwTXl_QoKUuwHQ1cWG_S2"&amp;"BOW94pDcyFtPwheg/edit#gid=0"",""'Game 9'!S25"")+50,IMPORTRANGE(""https://docs.google.com/spreadsheets/d/19gjAD4NwTXl_QoKUuwHQ1cWG_S2BOW94pDcyFtPwheg/edit#gid=0"",""'Game 9'!S25"")+100)))"),228.0)</f>
        <v>228</v>
      </c>
      <c r="H5" s="12">
        <f>IFERROR(__xludf.DUMMYFUNCTION("IF($A5=IMPORTRANGE(""https://docs.google.com/spreadsheets/d/1l83w8bH-F1czkFOqsgQy6o8O33Jb4Pfg40W0ou2nk0k/edit#gid=0"",""'Game 5'!B1""),IF(IMPORTRANGE(""https://docs.google.com/spreadsheets/d/1l83w8bH-F1czkFOqsgQy6o8O33Jb4Pfg40W0ou2nk0k/edit#gid=0"",""'Gam"&amp;"e 5'!J25"")&gt;IMPORTRANGE(""https://docs.google.com/spreadsheets/d/1l83w8bH-F1czkFOqsgQy6o8O33Jb4Pfg40W0ou2nk0k/edit#gid=0"",""'Game 5'!S25""),IMPORTRANGE(""https://docs.google.com/spreadsheets/d/1l83w8bH-F1czkFOqsgQy6o8O33Jb4Pfg40W0ou2nk0k/edit#gid=0"",""'"&amp;"Game 5'!J25"")+100,IF(IMPORTRANGE(""https://docs.google.com/spreadsheets/d/1l83w8bH-F1czkFOqsgQy6o8O33Jb4Pfg40W0ou2nk0k/edit#gid=0"",""'Game 5'!J25"")=IMPORTRANGE(""https://docs.google.com/spreadsheets/d/1l83w8bH-F1czkFOqsgQy6o8O33Jb4Pfg40W0ou2nk0k/edit#g"&amp;"id=0"",""'Game 5'!S25""),IMPORTRANGE(""https://docs.google.com/spreadsheets/d/1l83w8bH-F1czkFOqsgQy6o8O33Jb4Pfg40W0ou2nk0k/edit#gid=0"",""'Game 5'!J25"")+50,IMPORTRANGE(""https://docs.google.com/spreadsheets/d/1l83w8bH-F1czkFOqsgQy6o8O33Jb4Pfg40W0ou2nk0k/"&amp;"edit#gid=0"",""'Game 5'!J25""))),IF(IMPORTRANGE(""https://docs.google.com/spreadsheets/d/1l83w8bH-F1czkFOqsgQy6o8O33Jb4Pfg40W0ou2nk0k/edit#gid=0"",""'Game 5'!J25"")&gt;IMPORTRANGE(""https://docs.google.com/spreadsheets/d/1l83w8bH-F1czkFOqsgQy6o8O33Jb4Pfg40W0"&amp;"ou2nk0k/edit#gid=0"",""'Game 5'!S25""),IMPORTRANGE(""https://docs.google.com/spreadsheets/d/1l83w8bH-F1czkFOqsgQy6o8O33Jb4Pfg40W0ou2nk0k/edit#gid=0"",""'Game 5'!S25""),IF(IMPORTRANGE(""https://docs.google.com/spreadsheets/d/1l83w8bH-F1czkFOqsgQy6o8O33Jb4P"&amp;"fg40W0ou2nk0k/edit#gid=0"",""'Game 5'!J25"")=IMPORTRANGE(""https://docs.google.com/spreadsheets/d/1l83w8bH-F1czkFOqsgQy6o8O33Jb4Pfg40W0ou2nk0k/edit#gid=0"",""'Game 5'!S25""),IMPORTRANGE(""https://docs.google.com/spreadsheets/d/1l83w8bH-F1czkFOqsgQy6o8O33J"&amp;"b4Pfg40W0ou2nk0k/edit#gid=0"",""'Game 5'!S25"")+50,IMPORTRANGE(""https://docs.google.com/spreadsheets/d/1l83w8bH-F1czkFOqsgQy6o8O33Jb4Pfg40W0ou2nk0k/edit#gid=0"",""'Game 5'!S25"")+100)))"),178.0)</f>
        <v>178</v>
      </c>
      <c r="I5" s="12">
        <f>IFERROR(__xludf.DUMMYFUNCTION("IF($A5=IMPORTRANGE(""https://docs.google.com/spreadsheets/d/15X-ub7GvrCQZ3UGgyogcjwYdxG-Ng8WHxzGSj1Z3eLw/edit#gid=0"",""'Game 8'!B1""),IF(IMPORTRANGE(""https://docs.google.com/spreadsheets/d/15X-ub7GvrCQZ3UGgyogcjwYdxG-Ng8WHxzGSj1Z3eLw/edit#gid=0"",""'Gam"&amp;"e 8'!J25"")&gt;IMPORTRANGE(""https://docs.google.com/spreadsheets/d/15X-ub7GvrCQZ3UGgyogcjwYdxG-Ng8WHxzGSj1Z3eLw/edit#gid=0"",""'Game 8'!S25""),IMPORTRANGE(""https://docs.google.com/spreadsheets/d/15X-ub7GvrCQZ3UGgyogcjwYdxG-Ng8WHxzGSj1Z3eLw/edit#gid=0"",""'"&amp;"Game 8'!J25"")+100,IF(IMPORTRANGE(""https://docs.google.com/spreadsheets/d/15X-ub7GvrCQZ3UGgyogcjwYdxG-Ng8WHxzGSj1Z3eLw/edit#gid=0"",""'Game 8'!J25"")=IMPORTRANGE(""https://docs.google.com/spreadsheets/d/15X-ub7GvrCQZ3UGgyogcjwYdxG-Ng8WHxzGSj1Z3eLw/edit#g"&amp;"id=0"",""'Game 8'!S25""),IMPORTRANGE(""https://docs.google.com/spreadsheets/d/15X-ub7GvrCQZ3UGgyogcjwYdxG-Ng8WHxzGSj1Z3eLw/edit#gid=0"",""'Game 8'!J25"")+50,IMPORTRANGE(""https://docs.google.com/spreadsheets/d/15X-ub7GvrCQZ3UGgyogcjwYdxG-Ng8WHxzGSj1Z3eLw/"&amp;"edit#gid=0"",""'Game 8'!J25""))),IF(IMPORTRANGE(""https://docs.google.com/spreadsheets/d/15X-ub7GvrCQZ3UGgyogcjwYdxG-Ng8WHxzGSj1Z3eLw/edit#gid=0"",""'Game 8'!J25"")&gt;IMPORTRANGE(""https://docs.google.com/spreadsheets/d/15X-ub7GvrCQZ3UGgyogcjwYdxG-Ng8WHxzGS"&amp;"j1Z3eLw/edit#gid=0"",""'Game 8'!S25""),IMPORTRANGE(""https://docs.google.com/spreadsheets/d/15X-ub7GvrCQZ3UGgyogcjwYdxG-Ng8WHxzGSj1Z3eLw/edit#gid=0"",""'Game 8'!S25""),IF(IMPORTRANGE(""https://docs.google.com/spreadsheets/d/15X-ub7GvrCQZ3UGgyogcjwYdxG-Ng8"&amp;"WHxzGSj1Z3eLw/edit#gid=0"",""'Game 8'!J25"")=IMPORTRANGE(""https://docs.google.com/spreadsheets/d/15X-ub7GvrCQZ3UGgyogcjwYdxG-Ng8WHxzGSj1Z3eLw/edit#gid=0"",""'Game 8'!S25""),IMPORTRANGE(""https://docs.google.com/spreadsheets/d/15X-ub7GvrCQZ3UGgyogcjwYdxG-"&amp;"Ng8WHxzGSj1Z3eLw/edit#gid=0"",""'Game 8'!S25"")+50,IMPORTRANGE(""https://docs.google.com/spreadsheets/d/15X-ub7GvrCQZ3UGgyogcjwYdxG-Ng8WHxzGSj1Z3eLw/edit#gid=0"",""'Game 8'!S25"")+100)))"),208.0)</f>
        <v>208</v>
      </c>
      <c r="J5" s="12">
        <f>IFERROR(__xludf.DUMMYFUNCTION("IF($A5=IMPORTRANGE(""https://docs.google.com/spreadsheets/d/194Bw3ABslPPhOOPvVoMzIk8sOQFICWBu2pydWdYMD-w/edit#gid=0"",""'Game 6'!B1""),IF(IMPORTRANGE(""https://docs.google.com/spreadsheets/d/194Bw3ABslPPhOOPvVoMzIk8sOQFICWBu2pydWdYMD-w/edit#gid=0"",""'Gam"&amp;"e 6'!J25"")&gt;IMPORTRANGE(""https://docs.google.com/spreadsheets/d/194Bw3ABslPPhOOPvVoMzIk8sOQFICWBu2pydWdYMD-w/edit#gid=0"",""'Game 6'!S25""),IMPORTRANGE(""https://docs.google.com/spreadsheets/d/194Bw3ABslPPhOOPvVoMzIk8sOQFICWBu2pydWdYMD-w/edit#gid=0"",""'"&amp;"Game 6'!J25"")+100,IF(IMPORTRANGE(""https://docs.google.com/spreadsheets/d/194Bw3ABslPPhOOPvVoMzIk8sOQFICWBu2pydWdYMD-w/edit#gid=0"",""'Game 6'!J25"")=IMPORTRANGE(""https://docs.google.com/spreadsheets/d/194Bw3ABslPPhOOPvVoMzIk8sOQFICWBu2pydWdYMD-w/edit#g"&amp;"id=0"",""'Game 6'!S25""),IMPORTRANGE(""https://docs.google.com/spreadsheets/d/194Bw3ABslPPhOOPvVoMzIk8sOQFICWBu2pydWdYMD-w/edit#gid=0"",""'Game 6'!J25"")+50,IMPORTRANGE(""https://docs.google.com/spreadsheets/d/194Bw3ABslPPhOOPvVoMzIk8sOQFICWBu2pydWdYMD-w/"&amp;"edit#gid=0"",""'Game 6'!J25""))),IF(IMPORTRANGE(""https://docs.google.com/spreadsheets/d/194Bw3ABslPPhOOPvVoMzIk8sOQFICWBu2pydWdYMD-w/edit#gid=0"",""'Game 6'!J25"")&gt;IMPORTRANGE(""https://docs.google.com/spreadsheets/d/194Bw3ABslPPhOOPvVoMzIk8sOQFICWBu2pyd"&amp;"WdYMD-w/edit#gid=0"",""'Game 6'!S25""),IMPORTRANGE(""https://docs.google.com/spreadsheets/d/194Bw3ABslPPhOOPvVoMzIk8sOQFICWBu2pydWdYMD-w/edit#gid=0"",""'Game 6'!S25""),IF(IMPORTRANGE(""https://docs.google.com/spreadsheets/d/194Bw3ABslPPhOOPvVoMzIk8sOQFICW"&amp;"Bu2pydWdYMD-w/edit#gid=0"",""'Game 6'!J25"")=IMPORTRANGE(""https://docs.google.com/spreadsheets/d/194Bw3ABslPPhOOPvVoMzIk8sOQFICWBu2pydWdYMD-w/edit#gid=0"",""'Game 6'!S25""),IMPORTRANGE(""https://docs.google.com/spreadsheets/d/194Bw3ABslPPhOOPvVoMzIk8sOQF"&amp;"ICWBu2pydWdYMD-w/edit#gid=0"",""'Game 6'!S25"")+50,IMPORTRANGE(""https://docs.google.com/spreadsheets/d/194Bw3ABslPPhOOPvVoMzIk8sOQFICWBu2pydWdYMD-w/edit#gid=0"",""'Game 6'!S25"")+100)))"),174.0)</f>
        <v>174</v>
      </c>
      <c r="K5" s="12">
        <f>IFERROR(__xludf.DUMMYFUNCTION("IF($A5=IMPORTRANGE(""https://docs.google.com/spreadsheets/d/1F2Bi6K_I1K9xRxY5qb-bNRo5m-Kw7udpF1OaTHhrxjs/edit#gid=0"",""'Game 11'!B1""),IF(IMPORTRANGE(""https://docs.google.com/spreadsheets/d/1F2Bi6K_I1K9xRxY5qb-bNRo5m-Kw7udpF1OaTHhrxjs/edit#gid=0"",""'Ga"&amp;"me 11'!J25"")&gt;IMPORTRANGE(""https://docs.google.com/spreadsheets/d/1F2Bi6K_I1K9xRxY5qb-bNRo5m-Kw7udpF1OaTHhrxjs/edit#gid=0"",""'Game 11'!S25""),IMPORTRANGE(""https://docs.google.com/spreadsheets/d/1F2Bi6K_I1K9xRxY5qb-bNRo5m-Kw7udpF1OaTHhrxjs/edit#gid=0"","&amp;"""'Game 11'!J25"")+100,IF(IMPORTRANGE(""https://docs.google.com/spreadsheets/d/1F2Bi6K_I1K9xRxY5qb-bNRo5m-Kw7udpF1OaTHhrxjs/edit#gid=0"",""'Game 11'!J25"")=IMPORTRANGE(""https://docs.google.com/spreadsheets/d/1F2Bi6K_I1K9xRxY5qb-bNRo5m-Kw7udpF1OaTHhrxjs/e"&amp;"dit#gid=0"",""'Game 11'!S25""),IMPORTRANGE(""https://docs.google.com/spreadsheets/d/1F2Bi6K_I1K9xRxY5qb-bNRo5m-Kw7udpF1OaTHhrxjs/edit#gid=0"",""'Game 11'!J25"")+50,IMPORTRANGE(""https://docs.google.com/spreadsheets/d/1F2Bi6K_I1K9xRxY5qb-bNRo5m-Kw7udpF1OaT"&amp;"Hhrxjs/edit#gid=0"",""'Game 11'!J25""))),IF(IMPORTRANGE(""https://docs.google.com/spreadsheets/d/1F2Bi6K_I1K9xRxY5qb-bNRo5m-Kw7udpF1OaTHhrxjs/edit#gid=0"",""'Game 11'!J25"")&gt;IMPORTRANGE(""https://docs.google.com/spreadsheets/d/1F2Bi6K_I1K9xRxY5qb-bNRo5m-K"&amp;"w7udpF1OaTHhrxjs/edit#gid=0"",""'Game 11'!S25""),IMPORTRANGE(""https://docs.google.com/spreadsheets/d/1F2Bi6K_I1K9xRxY5qb-bNRo5m-Kw7udpF1OaTHhrxjs/edit#gid=0"",""'Game 11'!S25""),IF(IMPORTRANGE(""https://docs.google.com/spreadsheets/d/1F2Bi6K_I1K9xRxY5qb-"&amp;"bNRo5m-Kw7udpF1OaTHhrxjs/edit#gid=0"",""'Game 11'!J25"")=IMPORTRANGE(""https://docs.google.com/spreadsheets/d/1F2Bi6K_I1K9xRxY5qb-bNRo5m-Kw7udpF1OaTHhrxjs/edit#gid=0"",""'Game 11'!S25""),IMPORTRANGE(""https://docs.google.com/spreadsheets/d/1F2Bi6K_I1K9xRx"&amp;"Y5qb-bNRo5m-Kw7udpF1OaTHhrxjs/edit#gid=0"",""'Game 11'!S25"")+50,IMPORTRANGE(""https://docs.google.com/spreadsheets/d/1F2Bi6K_I1K9xRxY5qb-bNRo5m-Kw7udpF1OaTHhrxjs/edit#gid=0"",""'Game 11'!S25"")+100)))"),74.0)</f>
        <v>74</v>
      </c>
      <c r="L5" s="12">
        <f>IFERROR(__xludf.DUMMYFUNCTION("IF($A5=IMPORTRANGE(""https://docs.google.com/spreadsheets/d/1NDNgi_Ny4dRhc2A3UMIIkalN-V6EmsvxOfDzMRQlQ40/edit#gid=0"",""'Game 11'!B1""),IF(IMPORTRANGE(""https://docs.google.com/spreadsheets/d/1NDNgi_Ny4dRhc2A3UMIIkalN-V6EmsvxOfDzMRQlQ40/edit#gid=0"",""'Ga"&amp;"me 11'!J25"")&gt;IMPORTRANGE(""https://docs.google.com/spreadsheets/d/1NDNgi_Ny4dRhc2A3UMIIkalN-V6EmsvxOfDzMRQlQ40/edit#gid=0"",""'Game 11'!S25""),IMPORTRANGE(""https://docs.google.com/spreadsheets/d/1NDNgi_Ny4dRhc2A3UMIIkalN-V6EmsvxOfDzMRQlQ40/edit#gid=0"","&amp;"""'Game 11'!J25"")+100,IF(IMPORTRANGE(""https://docs.google.com/spreadsheets/d/1NDNgi_Ny4dRhc2A3UMIIkalN-V6EmsvxOfDzMRQlQ40/edit#gid=0"",""'Game 11'!J25"")=IMPORTRANGE(""https://docs.google.com/spreadsheets/d/1NDNgi_Ny4dRhc2A3UMIIkalN-V6EmsvxOfDzMRQlQ40/e"&amp;"dit#gid=0"",""'Game 11'!S25""),IMPORTRANGE(""https://docs.google.com/spreadsheets/d/1NDNgi_Ny4dRhc2A3UMIIkalN-V6EmsvxOfDzMRQlQ40/edit#gid=0"",""'Game 11'!J25"")+50,IMPORTRANGE(""https://docs.google.com/spreadsheets/d/1NDNgi_Ny4dRhc2A3UMIIkalN-V6EmsvxOfDzM"&amp;"RQlQ40/edit#gid=0"",""'Game 11'!J25""))),IF(IMPORTRANGE(""https://docs.google.com/spreadsheets/d/1NDNgi_Ny4dRhc2A3UMIIkalN-V6EmsvxOfDzMRQlQ40/edit#gid=0"",""'Game 11'!J25"")&gt;IMPORTRANGE(""https://docs.google.com/spreadsheets/d/1NDNgi_Ny4dRhc2A3UMIIkalN-V6"&amp;"EmsvxOfDzMRQlQ40/edit#gid=0"",""'Game 11'!S25""),IMPORTRANGE(""https://docs.google.com/spreadsheets/d/1NDNgi_Ny4dRhc2A3UMIIkalN-V6EmsvxOfDzMRQlQ40/edit#gid=0"",""'Game 11'!S25""),IF(IMPORTRANGE(""https://docs.google.com/spreadsheets/d/1NDNgi_Ny4dRhc2A3UMI"&amp;"IkalN-V6EmsvxOfDzMRQlQ40/edit#gid=0"",""'Game 11'!J25"")=IMPORTRANGE(""https://docs.google.com/spreadsheets/d/1NDNgi_Ny4dRhc2A3UMIIkalN-V6EmsvxOfDzMRQlQ40/edit#gid=0"",""'Game 11'!S25""),IMPORTRANGE(""https://docs.google.com/spreadsheets/d/1NDNgi_Ny4dRhc2"&amp;"A3UMIIkalN-V6EmsvxOfDzMRQlQ40/edit#gid=0"",""'Game 11'!S25"")+50,IMPORTRANGE(""https://docs.google.com/spreadsheets/d/1NDNgi_Ny4dRhc2A3UMIIkalN-V6EmsvxOfDzMRQlQ40/edit#gid=0"",""'Game 11'!S25"")+100)))"),184.0)</f>
        <v>184</v>
      </c>
      <c r="M5" s="12">
        <f>IFERROR(__xludf.DUMMYFUNCTION("IF($A5=IMPORTRANGE(""https://docs.google.com/spreadsheets/d/1UDYA3-RrkJNLa2ZLH1NnUjKyfCoiSODmgVL_Au_zt-Y/edit#gid=0"",""'Game 12'!B1""),IF(IMPORTRANGE(""https://docs.google.com/spreadsheets/d/1UDYA3-RrkJNLa2ZLH1NnUjKyfCoiSODmgVL_Au_zt-Y/edit#gid=0"",""'Ga"&amp;"me 12'!J25"")&gt;IMPORTRANGE(""https://docs.google.com/spreadsheets/d/1UDYA3-RrkJNLa2ZLH1NnUjKyfCoiSODmgVL_Au_zt-Y/edit#gid=0"",""'Game 12'!S25""),IMPORTRANGE(""https://docs.google.com/spreadsheets/d/1UDYA3-RrkJNLa2ZLH1NnUjKyfCoiSODmgVL_Au_zt-Y/edit#gid=0"","&amp;"""'Game 12'!J25"")+100,IF(IMPORTRANGE(""https://docs.google.com/spreadsheets/d/1UDYA3-RrkJNLa2ZLH1NnUjKyfCoiSODmgVL_Au_zt-Y/edit#gid=0"",""'Game 12'!J25"")=IMPORTRANGE(""https://docs.google.com/spreadsheets/d/1UDYA3-RrkJNLa2ZLH1NnUjKyfCoiSODmgVL_Au_zt-Y/e"&amp;"dit#gid=0"",""'Game 12'!S25""),IMPORTRANGE(""https://docs.google.com/spreadsheets/d/1UDYA3-RrkJNLa2ZLH1NnUjKyfCoiSODmgVL_Au_zt-Y/edit#gid=0"",""'Game 12'!J25"")+50,IMPORTRANGE(""https://docs.google.com/spreadsheets/d/1UDYA3-RrkJNLa2ZLH1NnUjKyfCoiSODmgVL_A"&amp;"u_zt-Y/edit#gid=0"",""'Game 12'!J25""))),IF(IMPORTRANGE(""https://docs.google.com/spreadsheets/d/1UDYA3-RrkJNLa2ZLH1NnUjKyfCoiSODmgVL_Au_zt-Y/edit#gid=0"",""'Game 12'!J25"")&gt;IMPORTRANGE(""https://docs.google.com/spreadsheets/d/1UDYA3-RrkJNLa2ZLH1NnUjKyfCo"&amp;"iSODmgVL_Au_zt-Y/edit#gid=0"",""'Game 12'!S25""),IMPORTRANGE(""https://docs.google.com/spreadsheets/d/1UDYA3-RrkJNLa2ZLH1NnUjKyfCoiSODmgVL_Au_zt-Y/edit#gid=0"",""'Game 12'!S25""),IF(IMPORTRANGE(""https://docs.google.com/spreadsheets/d/1UDYA3-RrkJNLa2ZLH1N"&amp;"nUjKyfCoiSODmgVL_Au_zt-Y/edit#gid=0"",""'Game 12'!J25"")=IMPORTRANGE(""https://docs.google.com/spreadsheets/d/1UDYA3-RrkJNLa2ZLH1NnUjKyfCoiSODmgVL_Au_zt-Y/edit#gid=0"",""'Game 12'!S25""),IMPORTRANGE(""https://docs.google.com/spreadsheets/d/1UDYA3-RrkJNLa2"&amp;"ZLH1NnUjKyfCoiSODmgVL_Au_zt-Y/edit#gid=0"",""'Game 12'!S25"")+50,IMPORTRANGE(""https://docs.google.com/spreadsheets/d/1UDYA3-RrkJNLa2ZLH1NnUjKyfCoiSODmgVL_Au_zt-Y/edit#gid=0"",""'Game 12'!S25"")+100)))"),220.0)</f>
        <v>220</v>
      </c>
      <c r="N5" s="12">
        <f>IFERROR(__xludf.DUMMYFUNCTION("IF($A5=IMPORTRANGE(""https://docs.google.com/spreadsheets/d/1fvo6H94Wcffp6c4N9g3JKCW6y2ZlijPxdOsNz7xdBhw/edit#gid=0"",""'Game 1'!B1""),IF(IMPORTRANGE(""https://docs.google.com/spreadsheets/d/1fvo6H94Wcffp6c4N9g3JKCW6y2ZlijPxdOsNz7xdBhw/edit#gid=0"",""'Gam"&amp;"e 1'!J25"")&gt;IMPORTRANGE(""https://docs.google.com/spreadsheets/d/1fvo6H94Wcffp6c4N9g3JKCW6y2ZlijPxdOsNz7xdBhw/edit#gid=0"",""'Game 1'!S25""),IMPORTRANGE(""https://docs.google.com/spreadsheets/d/1fvo6H94Wcffp6c4N9g3JKCW6y2ZlijPxdOsNz7xdBhw/edit#gid=0"",""'"&amp;"Game 1'!J25"")+100,IF(IMPORTRANGE(""https://docs.google.com/spreadsheets/d/1fvo6H94Wcffp6c4N9g3JKCW6y2ZlijPxdOsNz7xdBhw/edit#gid=0"",""'Game 1'!J25"")=IMPORTRANGE(""https://docs.google.com/spreadsheets/d/1fvo6H94Wcffp6c4N9g3JKCW6y2ZlijPxdOsNz7xdBhw/edit#g"&amp;"id=0"",""'Game 1'!S25""),IMPORTRANGE(""https://docs.google.com/spreadsheets/d/1fvo6H94Wcffp6c4N9g3JKCW6y2ZlijPxdOsNz7xdBhw/edit#gid=0"",""'Game 1'!J25"")+50,IMPORTRANGE(""https://docs.google.com/spreadsheets/d/1fvo6H94Wcffp6c4N9g3JKCW6y2ZlijPxdOsNz7xdBhw/"&amp;"edit#gid=0"",""'Game 1'!J25""))),IF(IMPORTRANGE(""https://docs.google.com/spreadsheets/d/1fvo6H94Wcffp6c4N9g3JKCW6y2ZlijPxdOsNz7xdBhw/edit#gid=0"",""'Game 1'!J25"")&gt;IMPORTRANGE(""https://docs.google.com/spreadsheets/d/1fvo6H94Wcffp6c4N9g3JKCW6y2ZlijPxdOsN"&amp;"z7xdBhw/edit#gid=0"",""'Game 1'!S25""),IMPORTRANGE(""https://docs.google.com/spreadsheets/d/1fvo6H94Wcffp6c4N9g3JKCW6y2ZlijPxdOsNz7xdBhw/edit#gid=0"",""'Game 1'!S25""),IF(IMPORTRANGE(""https://docs.google.com/spreadsheets/d/1fvo6H94Wcffp6c4N9g3JKCW6y2Zlij"&amp;"PxdOsNz7xdBhw/edit#gid=0"",""'Game 1'!J25"")=IMPORTRANGE(""https://docs.google.com/spreadsheets/d/1fvo6H94Wcffp6c4N9g3JKCW6y2ZlijPxdOsNz7xdBhw/edit#gid=0"",""'Game 1'!S25""),IMPORTRANGE(""https://docs.google.com/spreadsheets/d/1fvo6H94Wcffp6c4N9g3JKCW6y2Z"&amp;"lijPxdOsNz7xdBhw/edit#gid=0"",""'Game 1'!S25"")+50,IMPORTRANGE(""https://docs.google.com/spreadsheets/d/1fvo6H94Wcffp6c4N9g3JKCW6y2ZlijPxdOsNz7xdBhw/edit#gid=0"",""'Game 1'!S25"")+100)))"),246.0)</f>
        <v>246</v>
      </c>
      <c r="O5" s="12">
        <f>IFERROR(__xludf.DUMMYFUNCTION("IF($A5=IMPORTRANGE(""https://docs.google.com/spreadsheets/d/1wfQePArl-A-5QJe5xAufoOnzeNLVSoHCRcmpZ_FMdns/edit#gid=0"",""'Game 9'!B1""),IF(IMPORTRANGE(""https://docs.google.com/spreadsheets/d/1wfQePArl-A-5QJe5xAufoOnzeNLVSoHCRcmpZ_FMdns/edit#gid=0"",""'Gam"&amp;"e 9'!J25"")&gt;IMPORTRANGE(""https://docs.google.com/spreadsheets/d/1wfQePArl-A-5QJe5xAufoOnzeNLVSoHCRcmpZ_FMdns/edit#gid=0"",""'Game 9'!S25""),IMPORTRANGE(""https://docs.google.com/spreadsheets/d/1wfQePArl-A-5QJe5xAufoOnzeNLVSoHCRcmpZ_FMdns/edit#gid=0"",""'"&amp;"Game 9'!J25"")+100,IF(IMPORTRANGE(""https://docs.google.com/spreadsheets/d/1wfQePArl-A-5QJe5xAufoOnzeNLVSoHCRcmpZ_FMdns/edit#gid=0"",""'Game 9'!J25"")=IMPORTRANGE(""https://docs.google.com/spreadsheets/d/1wfQePArl-A-5QJe5xAufoOnzeNLVSoHCRcmpZ_FMdns/edit#g"&amp;"id=0"",""'Game 9'!S25""),IMPORTRANGE(""https://docs.google.com/spreadsheets/d/1wfQePArl-A-5QJe5xAufoOnzeNLVSoHCRcmpZ_FMdns/edit#gid=0"",""'Game 9'!J25"")+50,IMPORTRANGE(""https://docs.google.com/spreadsheets/d/1wfQePArl-A-5QJe5xAufoOnzeNLVSoHCRcmpZ_FMdns/"&amp;"edit#gid=0"",""'Game 9'!J25""))),IF(IMPORTRANGE(""https://docs.google.com/spreadsheets/d/1wfQePArl-A-5QJe5xAufoOnzeNLVSoHCRcmpZ_FMdns/edit#gid=0"",""'Game 9'!J25"")&gt;IMPORTRANGE(""https://docs.google.com/spreadsheets/d/1wfQePArl-A-5QJe5xAufoOnzeNLVSoHCRcmp"&amp;"Z_FMdns/edit#gid=0"",""'Game 9'!S25""),IMPORTRANGE(""https://docs.google.com/spreadsheets/d/1wfQePArl-A-5QJe5xAufoOnzeNLVSoHCRcmpZ_FMdns/edit#gid=0"",""'Game 9'!S25""),IF(IMPORTRANGE(""https://docs.google.com/spreadsheets/d/1wfQePArl-A-5QJe5xAufoOnzeNLVSo"&amp;"HCRcmpZ_FMdns/edit#gid=0"",""'Game 9'!J25"")=IMPORTRANGE(""https://docs.google.com/spreadsheets/d/1wfQePArl-A-5QJe5xAufoOnzeNLVSoHCRcmpZ_FMdns/edit#gid=0"",""'Game 9'!S25""),IMPORTRANGE(""https://docs.google.com/spreadsheets/d/1wfQePArl-A-5QJe5xAufoOnzeNL"&amp;"VSoHCRcmpZ_FMdns/edit#gid=0"",""'Game 9'!S25"")+50,IMPORTRANGE(""https://docs.google.com/spreadsheets/d/1wfQePArl-A-5QJe5xAufoOnzeNLVSoHCRcmpZ_FMdns/edit#gid=0"",""'Game 9'!S25"")+100)))"),220.0)</f>
        <v>220</v>
      </c>
      <c r="P5" s="12">
        <f>IFERROR(__xludf.DUMMYFUNCTION("IF($A5=IMPORTRANGE(""https://docs.google.com/spreadsheets/d/1wydNznS0hZhVh3oGSdiCZSsReuqMT7Xaw718ix58zAI/edit#gid=0"",""'Game 10'!B1""),IF(IMPORTRANGE(""https://docs.google.com/spreadsheets/d/1wydNznS0hZhVh3oGSdiCZSsReuqMT7Xaw718ix58zAI/edit#gid=0"",""'Ga"&amp;"me 10'!H25"")&gt;IMPORTRANGE(""https://docs.google.com/spreadsheets/d/1wydNznS0hZhVh3oGSdiCZSsReuqMT7Xaw718ix58zAI/edit#gid=0"",""'Game 10'!Q25""),IMPORTRANGE(""https://docs.google.com/spreadsheets/d/1wydNznS0hZhVh3oGSdiCZSsReuqMT7Xaw718ix58zAI/edit#gid=0"","&amp;"""'Game 10'!H25"")+100,IF(IMPORTRANGE(""https://docs.google.com/spreadsheets/d/1wydNznS0hZhVh3oGSdiCZSsReuqMT7Xaw718ix58zAI/edit#gid=0"",""'Game 10'!H25"")=IMPORTRANGE(""https://docs.google.com/spreadsheets/d/1wydNznS0hZhVh3oGSdiCZSsReuqMT7Xaw718ix58zAI/e"&amp;"dit#gid=0"",""'Game 10'!Q25""),IMPORTRANGE(""https://docs.google.com/spreadsheets/d/1wydNznS0hZhVh3oGSdiCZSsReuqMT7Xaw718ix58zAI/edit#gid=0"",""'Game 10'!H25"")+50,IMPORTRANGE(""https://docs.google.com/spreadsheets/d/1wydNznS0hZhVh3oGSdiCZSsReuqMT7Xaw718i"&amp;"x58zAI/edit#gid=0"",""'Game 10'!H25""))),IF(IMPORTRANGE(""https://docs.google.com/spreadsheets/d/1wydNznS0hZhVh3oGSdiCZSsReuqMT7Xaw718ix58zAI/edit#gid=0"",""'Game 10'!H25"")&gt;IMPORTRANGE(""https://docs.google.com/spreadsheets/d/1wydNznS0hZhVh3oGSdiCZSsReuq"&amp;"MT7Xaw718ix58zAI/edit#gid=0"",""'Game 10'!Q25""),IMPORTRANGE(""https://docs.google.com/spreadsheets/d/1wydNznS0hZhVh3oGSdiCZSsReuqMT7Xaw718ix58zAI/edit#gid=0"",""'Game 10'!Q25""),IF(IMPORTRANGE(""https://docs.google.com/spreadsheets/d/1wydNznS0hZhVh3oGSdi"&amp;"CZSsReuqMT7Xaw718ix58zAI/edit#gid=0"",""'Game 10'!H25"")=IMPORTRANGE(""https://docs.google.com/spreadsheets/d/1wydNznS0hZhVh3oGSdiCZSsReuqMT7Xaw718ix58zAI/edit#gid=0"",""'Game 10'!Q25""),IMPORTRANGE(""https://docs.google.com/spreadsheets/d/1wydNznS0hZhVh3"&amp;"oGSdiCZSsReuqMT7Xaw718ix58zAI/edit#gid=0"",""'Game 10'!Q25"")+50,IMPORTRANGE(""https://docs.google.com/spreadsheets/d/1wydNznS0hZhVh3oGSdiCZSsReuqMT7Xaw718ix58zAI/edit#gid=0"",""'Game 10'!Q25"")+100)))"),226.0)</f>
        <v>226</v>
      </c>
      <c r="Q5" s="37">
        <f t="shared" si="1"/>
        <v>2994</v>
      </c>
      <c r="R5" s="37">
        <f t="shared" si="2"/>
        <v>4</v>
      </c>
    </row>
    <row r="6">
      <c r="A6" s="33" t="s">
        <v>84</v>
      </c>
      <c r="B6" s="34">
        <v>32.0</v>
      </c>
      <c r="C6" s="34">
        <v>32.0</v>
      </c>
      <c r="D6" s="34">
        <v>200.0</v>
      </c>
      <c r="E6" s="34">
        <v>60.0</v>
      </c>
      <c r="F6" s="34">
        <v>42.0</v>
      </c>
      <c r="G6" s="5">
        <f>IFERROR(__xludf.DUMMYFUNCTION("IF($A6=IMPORTRANGE(""https://docs.google.com/spreadsheets/d/19gjAD4NwTXl_QoKUuwHQ1cWG_S2BOW94pDcyFtPwheg/edit#gid=0"",""'Game 4'!B1""),IF(IMPORTRANGE(""https://docs.google.com/spreadsheets/d/19gjAD4NwTXl_QoKUuwHQ1cWG_S2BOW94pDcyFtPwheg/edit#gid=0"",""'Gam"&amp;"e 4'!J25"")&gt;IMPORTRANGE(""https://docs.google.com/spreadsheets/d/19gjAD4NwTXl_QoKUuwHQ1cWG_S2BOW94pDcyFtPwheg/edit#gid=0"",""'Game 4'!S25""),IMPORTRANGE(""https://docs.google.com/spreadsheets/d/19gjAD4NwTXl_QoKUuwHQ1cWG_S2BOW94pDcyFtPwheg/edit#gid=0"",""'"&amp;"Game 4'!J25"")+100,IF(IMPORTRANGE(""https://docs.google.com/spreadsheets/d/19gjAD4NwTXl_QoKUuwHQ1cWG_S2BOW94pDcyFtPwheg/edit#gid=0"",""'Game 4'!J25"")=IMPORTRANGE(""https://docs.google.com/spreadsheets/d/19gjAD4NwTXl_QoKUuwHQ1cWG_S2BOW94pDcyFtPwheg/edit#g"&amp;"id=0"",""'Game 4'!S25""),IMPORTRANGE(""https://docs.google.com/spreadsheets/d/19gjAD4NwTXl_QoKUuwHQ1cWG_S2BOW94pDcyFtPwheg/edit#gid=0"",""'Game 4'!J25"")+50,IMPORTRANGE(""https://docs.google.com/spreadsheets/d/19gjAD4NwTXl_QoKUuwHQ1cWG_S2BOW94pDcyFtPwheg/"&amp;"edit#gid=0"",""'Game 4'!J25""))),IF(IMPORTRANGE(""https://docs.google.com/spreadsheets/d/19gjAD4NwTXl_QoKUuwHQ1cWG_S2BOW94pDcyFtPwheg/edit#gid=0"",""'Game 4'!J25"")&gt;IMPORTRANGE(""https://docs.google.com/spreadsheets/d/19gjAD4NwTXl_QoKUuwHQ1cWG_S2BOW94pDcy"&amp;"FtPwheg/edit#gid=0"",""'Game 4'!S25""),IMPORTRANGE(""https://docs.google.com/spreadsheets/d/19gjAD4NwTXl_QoKUuwHQ1cWG_S2BOW94pDcyFtPwheg/edit#gid=0"",""'Game 4'!S25""),IF(IMPORTRANGE(""https://docs.google.com/spreadsheets/d/19gjAD4NwTXl_QoKUuwHQ1cWG_S2BOW"&amp;"94pDcyFtPwheg/edit#gid=0"",""'Game 4'!J25"")=IMPORTRANGE(""https://docs.google.com/spreadsheets/d/19gjAD4NwTXl_QoKUuwHQ1cWG_S2BOW94pDcyFtPwheg/edit#gid=0"",""'Game 4'!S25""),IMPORTRANGE(""https://docs.google.com/spreadsheets/d/19gjAD4NwTXl_QoKUuwHQ1cWG_S2"&amp;"BOW94pDcyFtPwheg/edit#gid=0"",""'Game 4'!S25"")+50,IMPORTRANGE(""https://docs.google.com/spreadsheets/d/19gjAD4NwTXl_QoKUuwHQ1cWG_S2BOW94pDcyFtPwheg/edit#gid=0"",""'Game 4'!S25"")+100)))"),40.0)</f>
        <v>40</v>
      </c>
      <c r="H6" s="5">
        <f>IFERROR(__xludf.DUMMYFUNCTION("IF($A6=IMPORTRANGE(""https://docs.google.com/spreadsheets/d/1l83w8bH-F1czkFOqsgQy6o8O33Jb4Pfg40W0ou2nk0k/edit#gid=0"",""'Game 1'!B1""),IF(IMPORTRANGE(""https://docs.google.com/spreadsheets/d/1l83w8bH-F1czkFOqsgQy6o8O33Jb4Pfg40W0ou2nk0k/edit#gid=0"",""'Gam"&amp;"e 1'!J25"")&gt;IMPORTRANGE(""https://docs.google.com/spreadsheets/d/1l83w8bH-F1czkFOqsgQy6o8O33Jb4Pfg40W0ou2nk0k/edit#gid=0"",""'Game 1'!S25""),IMPORTRANGE(""https://docs.google.com/spreadsheets/d/1l83w8bH-F1czkFOqsgQy6o8O33Jb4Pfg40W0ou2nk0k/edit#gid=0"",""'"&amp;"Game 1'!J25"")+100,IF(IMPORTRANGE(""https://docs.google.com/spreadsheets/d/1l83w8bH-F1czkFOqsgQy6o8O33Jb4Pfg40W0ou2nk0k/edit#gid=0"",""'Game 1'!J25"")=IMPORTRANGE(""https://docs.google.com/spreadsheets/d/1l83w8bH-F1czkFOqsgQy6o8O33Jb4Pfg40W0ou2nk0k/edit#g"&amp;"id=0"",""'Game 1'!S25""),IMPORTRANGE(""https://docs.google.com/spreadsheets/d/1l83w8bH-F1czkFOqsgQy6o8O33Jb4Pfg40W0ou2nk0k/edit#gid=0"",""'Game 1'!J25"")+50,IMPORTRANGE(""https://docs.google.com/spreadsheets/d/1l83w8bH-F1czkFOqsgQy6o8O33Jb4Pfg40W0ou2nk0k/"&amp;"edit#gid=0"",""'Game 1'!J25""))),IF(IMPORTRANGE(""https://docs.google.com/spreadsheets/d/1l83w8bH-F1czkFOqsgQy6o8O33Jb4Pfg40W0ou2nk0k/edit#gid=0"",""'Game 1'!J25"")&gt;IMPORTRANGE(""https://docs.google.com/spreadsheets/d/1l83w8bH-F1czkFOqsgQy6o8O33Jb4Pfg40W0"&amp;"ou2nk0k/edit#gid=0"",""'Game 1'!S25""),IMPORTRANGE(""https://docs.google.com/spreadsheets/d/1l83w8bH-F1czkFOqsgQy6o8O33Jb4Pfg40W0ou2nk0k/edit#gid=0"",""'Game 1'!S25""),IF(IMPORTRANGE(""https://docs.google.com/spreadsheets/d/1l83w8bH-F1czkFOqsgQy6o8O33Jb4P"&amp;"fg40W0ou2nk0k/edit#gid=0"",""'Game 1'!J25"")=IMPORTRANGE(""https://docs.google.com/spreadsheets/d/1l83w8bH-F1czkFOqsgQy6o8O33Jb4Pfg40W0ou2nk0k/edit#gid=0"",""'Game 1'!S25""),IMPORTRANGE(""https://docs.google.com/spreadsheets/d/1l83w8bH-F1czkFOqsgQy6o8O33J"&amp;"b4Pfg40W0ou2nk0k/edit#gid=0"",""'Game 1'!S25"")+50,IMPORTRANGE(""https://docs.google.com/spreadsheets/d/1l83w8bH-F1czkFOqsgQy6o8O33Jb4Pfg40W0ou2nk0k/edit#gid=0"",""'Game 1'!S25"")+100)))"),168.0)</f>
        <v>168</v>
      </c>
      <c r="I6" s="5">
        <f>IFERROR(__xludf.DUMMYFUNCTION("IF($A6=IMPORTRANGE(""https://docs.google.com/spreadsheets/d/15X-ub7GvrCQZ3UGgyogcjwYdxG-Ng8WHxzGSj1Z3eLw/edit#gid=0"",""'Game 4'!B1""),IF(IMPORTRANGE(""https://docs.google.com/spreadsheets/d/15X-ub7GvrCQZ3UGgyogcjwYdxG-Ng8WHxzGSj1Z3eLw/edit#gid=0"",""'Gam"&amp;"e 4'!J25"")&gt;IMPORTRANGE(""https://docs.google.com/spreadsheets/d/15X-ub7GvrCQZ3UGgyogcjwYdxG-Ng8WHxzGSj1Z3eLw/edit#gid=0"",""'Game 4'!S25""),IMPORTRANGE(""https://docs.google.com/spreadsheets/d/15X-ub7GvrCQZ3UGgyogcjwYdxG-Ng8WHxzGSj1Z3eLw/edit#gid=0"",""'"&amp;"Game 4'!J25"")+100,IF(IMPORTRANGE(""https://docs.google.com/spreadsheets/d/15X-ub7GvrCQZ3UGgyogcjwYdxG-Ng8WHxzGSj1Z3eLw/edit#gid=0"",""'Game 4'!J25"")=IMPORTRANGE(""https://docs.google.com/spreadsheets/d/15X-ub7GvrCQZ3UGgyogcjwYdxG-Ng8WHxzGSj1Z3eLw/edit#g"&amp;"id=0"",""'Game 4'!S25""),IMPORTRANGE(""https://docs.google.com/spreadsheets/d/15X-ub7GvrCQZ3UGgyogcjwYdxG-Ng8WHxzGSj1Z3eLw/edit#gid=0"",""'Game 4'!J25"")+50,IMPORTRANGE(""https://docs.google.com/spreadsheets/d/15X-ub7GvrCQZ3UGgyogcjwYdxG-Ng8WHxzGSj1Z3eLw/"&amp;"edit#gid=0"",""'Game 4'!J25""))),IF(IMPORTRANGE(""https://docs.google.com/spreadsheets/d/15X-ub7GvrCQZ3UGgyogcjwYdxG-Ng8WHxzGSj1Z3eLw/edit#gid=0"",""'Game 4'!J25"")&gt;IMPORTRANGE(""https://docs.google.com/spreadsheets/d/15X-ub7GvrCQZ3UGgyogcjwYdxG-Ng8WHxzGS"&amp;"j1Z3eLw/edit#gid=0"",""'Game 4'!S25""),IMPORTRANGE(""https://docs.google.com/spreadsheets/d/15X-ub7GvrCQZ3UGgyogcjwYdxG-Ng8WHxzGSj1Z3eLw/edit#gid=0"",""'Game 4'!S25""),IF(IMPORTRANGE(""https://docs.google.com/spreadsheets/d/15X-ub7GvrCQZ3UGgyogcjwYdxG-Ng8"&amp;"WHxzGSj1Z3eLw/edit#gid=0"",""'Game 4'!J25"")=IMPORTRANGE(""https://docs.google.com/spreadsheets/d/15X-ub7GvrCQZ3UGgyogcjwYdxG-Ng8WHxzGSj1Z3eLw/edit#gid=0"",""'Game 4'!S25""),IMPORTRANGE(""https://docs.google.com/spreadsheets/d/15X-ub7GvrCQZ3UGgyogcjwYdxG-"&amp;"Ng8WHxzGSj1Z3eLw/edit#gid=0"",""'Game 4'!S25"")+50,IMPORTRANGE(""https://docs.google.com/spreadsheets/d/15X-ub7GvrCQZ3UGgyogcjwYdxG-Ng8WHxzGSj1Z3eLw/edit#gid=0"",""'Game 4'!S25"")+100)))"),8.0)</f>
        <v>8</v>
      </c>
      <c r="J6" s="5">
        <f>IFERROR(__xludf.DUMMYFUNCTION("IF($A6=IMPORTRANGE(""https://docs.google.com/spreadsheets/d/194Bw3ABslPPhOOPvVoMzIk8sOQFICWBu2pydWdYMD-w/edit#gid=0"",""'Game 4'!B1""),IF(IMPORTRANGE(""https://docs.google.com/spreadsheets/d/194Bw3ABslPPhOOPvVoMzIk8sOQFICWBu2pydWdYMD-w/edit#gid=0"",""'Gam"&amp;"e 4'!J25"")&gt;IMPORTRANGE(""https://docs.google.com/spreadsheets/d/194Bw3ABslPPhOOPvVoMzIk8sOQFICWBu2pydWdYMD-w/edit#gid=0"",""'Game 4'!S25""),IMPORTRANGE(""https://docs.google.com/spreadsheets/d/194Bw3ABslPPhOOPvVoMzIk8sOQFICWBu2pydWdYMD-w/edit#gid=0"",""'"&amp;"Game 4'!J25"")+100,IF(IMPORTRANGE(""https://docs.google.com/spreadsheets/d/194Bw3ABslPPhOOPvVoMzIk8sOQFICWBu2pydWdYMD-w/edit#gid=0"",""'Game 4'!J25"")=IMPORTRANGE(""https://docs.google.com/spreadsheets/d/194Bw3ABslPPhOOPvVoMzIk8sOQFICWBu2pydWdYMD-w/edit#g"&amp;"id=0"",""'Game 4'!S25""),IMPORTRANGE(""https://docs.google.com/spreadsheets/d/194Bw3ABslPPhOOPvVoMzIk8sOQFICWBu2pydWdYMD-w/edit#gid=0"",""'Game 4'!J25"")+50,IMPORTRANGE(""https://docs.google.com/spreadsheets/d/194Bw3ABslPPhOOPvVoMzIk8sOQFICWBu2pydWdYMD-w/"&amp;"edit#gid=0"",""'Game 4'!J25""))),IF(IMPORTRANGE(""https://docs.google.com/spreadsheets/d/194Bw3ABslPPhOOPvVoMzIk8sOQFICWBu2pydWdYMD-w/edit#gid=0"",""'Game 4'!J25"")&gt;IMPORTRANGE(""https://docs.google.com/spreadsheets/d/194Bw3ABslPPhOOPvVoMzIk8sOQFICWBu2pyd"&amp;"WdYMD-w/edit#gid=0"",""'Game 4'!S25""),IMPORTRANGE(""https://docs.google.com/spreadsheets/d/194Bw3ABslPPhOOPvVoMzIk8sOQFICWBu2pydWdYMD-w/edit#gid=0"",""'Game 4'!S25""),IF(IMPORTRANGE(""https://docs.google.com/spreadsheets/d/194Bw3ABslPPhOOPvVoMzIk8sOQFICW"&amp;"Bu2pydWdYMD-w/edit#gid=0"",""'Game 4'!J25"")=IMPORTRANGE(""https://docs.google.com/spreadsheets/d/194Bw3ABslPPhOOPvVoMzIk8sOQFICWBu2pydWdYMD-w/edit#gid=0"",""'Game 4'!S25""),IMPORTRANGE(""https://docs.google.com/spreadsheets/d/194Bw3ABslPPhOOPvVoMzIk8sOQF"&amp;"ICWBu2pydWdYMD-w/edit#gid=0"",""'Game 4'!S25"")+50,IMPORTRANGE(""https://docs.google.com/spreadsheets/d/194Bw3ABslPPhOOPvVoMzIk8sOQFICWBu2pydWdYMD-w/edit#gid=0"",""'Game 4'!S25"")+100)))"),148.0)</f>
        <v>148</v>
      </c>
      <c r="K6" s="5">
        <f>IFERROR(__xludf.DUMMYFUNCTION("IF($A6=IMPORTRANGE(""https://docs.google.com/spreadsheets/d/1F2Bi6K_I1K9xRxY5qb-bNRo5m-Kw7udpF1OaTHhrxjs/edit#gid=0"",""'Game 4'!B1""),IF(IMPORTRANGE(""https://docs.google.com/spreadsheets/d/1F2Bi6K_I1K9xRxY5qb-bNRo5m-Kw7udpF1OaTHhrxjs/edit#gid=0"",""'Gam"&amp;"e 4'!J25"")&gt;IMPORTRANGE(""https://docs.google.com/spreadsheets/d/1F2Bi6K_I1K9xRxY5qb-bNRo5m-Kw7udpF1OaTHhrxjs/edit#gid=0"",""'Game 4'!S25""),IMPORTRANGE(""https://docs.google.com/spreadsheets/d/1F2Bi6K_I1K9xRxY5qb-bNRo5m-Kw7udpF1OaTHhrxjs/edit#gid=0"",""'"&amp;"Game 4'!J25"")+100,IF(IMPORTRANGE(""https://docs.google.com/spreadsheets/d/1F2Bi6K_I1K9xRxY5qb-bNRo5m-Kw7udpF1OaTHhrxjs/edit#gid=0"",""'Game 4'!J25"")=IMPORTRANGE(""https://docs.google.com/spreadsheets/d/1F2Bi6K_I1K9xRxY5qb-bNRo5m-Kw7udpF1OaTHhrxjs/edit#g"&amp;"id=0"",""'Game 4'!S25""),IMPORTRANGE(""https://docs.google.com/spreadsheets/d/1F2Bi6K_I1K9xRxY5qb-bNRo5m-Kw7udpF1OaTHhrxjs/edit#gid=0"",""'Game 4'!J25"")+50,IMPORTRANGE(""https://docs.google.com/spreadsheets/d/1F2Bi6K_I1K9xRxY5qb-bNRo5m-Kw7udpF1OaTHhrxjs/"&amp;"edit#gid=0"",""'Game 4'!J25""))),IF(IMPORTRANGE(""https://docs.google.com/spreadsheets/d/1F2Bi6K_I1K9xRxY5qb-bNRo5m-Kw7udpF1OaTHhrxjs/edit#gid=0"",""'Game 4'!J25"")&gt;IMPORTRANGE(""https://docs.google.com/spreadsheets/d/1F2Bi6K_I1K9xRxY5qb-bNRo5m-Kw7udpF1Oa"&amp;"THhrxjs/edit#gid=0"",""'Game 4'!S25""),IMPORTRANGE(""https://docs.google.com/spreadsheets/d/1F2Bi6K_I1K9xRxY5qb-bNRo5m-Kw7udpF1OaTHhrxjs/edit#gid=0"",""'Game 4'!S25""),IF(IMPORTRANGE(""https://docs.google.com/spreadsheets/d/1F2Bi6K_I1K9xRxY5qb-bNRo5m-Kw7u"&amp;"dpF1OaTHhrxjs/edit#gid=0"",""'Game 4'!J25"")=IMPORTRANGE(""https://docs.google.com/spreadsheets/d/1F2Bi6K_I1K9xRxY5qb-bNRo5m-Kw7udpF1OaTHhrxjs/edit#gid=0"",""'Game 4'!S25""),IMPORTRANGE(""https://docs.google.com/spreadsheets/d/1F2Bi6K_I1K9xRxY5qb-bNRo5m-K"&amp;"w7udpF1OaTHhrxjs/edit#gid=0"",""'Game 4'!S25"")+50,IMPORTRANGE(""https://docs.google.com/spreadsheets/d/1F2Bi6K_I1K9xRxY5qb-bNRo5m-Kw7udpF1OaTHhrxjs/edit#gid=0"",""'Game 4'!S25"")+100)))"),178.0)</f>
        <v>178</v>
      </c>
      <c r="L6" s="5">
        <f>IFERROR(__xludf.DUMMYFUNCTION("IF($A6=IMPORTRANGE(""https://docs.google.com/spreadsheets/d/1NDNgi_Ny4dRhc2A3UMIIkalN-V6EmsvxOfDzMRQlQ40/edit#gid=0"",""'Game 4'!B1""),IF(IMPORTRANGE(""https://docs.google.com/spreadsheets/d/1NDNgi_Ny4dRhc2A3UMIIkalN-V6EmsvxOfDzMRQlQ40/edit#gid=0"",""'Gam"&amp;"e 4'!J25"")&gt;IMPORTRANGE(""https://docs.google.com/spreadsheets/d/1NDNgi_Ny4dRhc2A3UMIIkalN-V6EmsvxOfDzMRQlQ40/edit#gid=0"",""'Game 4'!S25""),IMPORTRANGE(""https://docs.google.com/spreadsheets/d/1NDNgi_Ny4dRhc2A3UMIIkalN-V6EmsvxOfDzMRQlQ40/edit#gid=0"",""'"&amp;"Game 4'!J25"")+100,IF(IMPORTRANGE(""https://docs.google.com/spreadsheets/d/1NDNgi_Ny4dRhc2A3UMIIkalN-V6EmsvxOfDzMRQlQ40/edit#gid=0"",""'Game 4'!J25"")=IMPORTRANGE(""https://docs.google.com/spreadsheets/d/1NDNgi_Ny4dRhc2A3UMIIkalN-V6EmsvxOfDzMRQlQ40/edit#g"&amp;"id=0"",""'Game 4'!S25""),IMPORTRANGE(""https://docs.google.com/spreadsheets/d/1NDNgi_Ny4dRhc2A3UMIIkalN-V6EmsvxOfDzMRQlQ40/edit#gid=0"",""'Game 4'!J25"")+50,IMPORTRANGE(""https://docs.google.com/spreadsheets/d/1NDNgi_Ny4dRhc2A3UMIIkalN-V6EmsvxOfDzMRQlQ40/"&amp;"edit#gid=0"",""'Game 4'!J25""))),IF(IMPORTRANGE(""https://docs.google.com/spreadsheets/d/1NDNgi_Ny4dRhc2A3UMIIkalN-V6EmsvxOfDzMRQlQ40/edit#gid=0"",""'Game 4'!J25"")&gt;IMPORTRANGE(""https://docs.google.com/spreadsheets/d/1NDNgi_Ny4dRhc2A3UMIIkalN-V6EmsvxOfDz"&amp;"MRQlQ40/edit#gid=0"",""'Game 4'!S25""),IMPORTRANGE(""https://docs.google.com/spreadsheets/d/1NDNgi_Ny4dRhc2A3UMIIkalN-V6EmsvxOfDzMRQlQ40/edit#gid=0"",""'Game 4'!S25""),IF(IMPORTRANGE(""https://docs.google.com/spreadsheets/d/1NDNgi_Ny4dRhc2A3UMIIkalN-V6Ems"&amp;"vxOfDzMRQlQ40/edit#gid=0"",""'Game 4'!J25"")=IMPORTRANGE(""https://docs.google.com/spreadsheets/d/1NDNgi_Ny4dRhc2A3UMIIkalN-V6EmsvxOfDzMRQlQ40/edit#gid=0"",""'Game 4'!S25""),IMPORTRANGE(""https://docs.google.com/spreadsheets/d/1NDNgi_Ny4dRhc2A3UMIIkalN-V6"&amp;"EmsvxOfDzMRQlQ40/edit#gid=0"",""'Game 4'!S25"")+50,IMPORTRANGE(""https://docs.google.com/spreadsheets/d/1NDNgi_Ny4dRhc2A3UMIIkalN-V6EmsvxOfDzMRQlQ40/edit#gid=0"",""'Game 4'!S25"")+100)))"),38.0)</f>
        <v>38</v>
      </c>
      <c r="M6" s="5">
        <f>IFERROR(__xludf.DUMMYFUNCTION("IF($A6=IMPORTRANGE(""https://docs.google.com/spreadsheets/d/1UDYA3-RrkJNLa2ZLH1NnUjKyfCoiSODmgVL_Au_zt-Y/edit#gid=0"",""'Game 3'!B1""),IF(IMPORTRANGE(""https://docs.google.com/spreadsheets/d/1UDYA3-RrkJNLa2ZLH1NnUjKyfCoiSODmgVL_Au_zt-Y/edit#gid=0"",""'Gam"&amp;"e 3'!J25"")&gt;IMPORTRANGE(""https://docs.google.com/spreadsheets/d/1UDYA3-RrkJNLa2ZLH1NnUjKyfCoiSODmgVL_Au_zt-Y/edit#gid=0"",""'Game 3'!S25""),IMPORTRANGE(""https://docs.google.com/spreadsheets/d/1UDYA3-RrkJNLa2ZLH1NnUjKyfCoiSODmgVL_Au_zt-Y/edit#gid=0"",""'"&amp;"Game 3'!J25"")+100,IF(IMPORTRANGE(""https://docs.google.com/spreadsheets/d/1UDYA3-RrkJNLa2ZLH1NnUjKyfCoiSODmgVL_Au_zt-Y/edit#gid=0"",""'Game 3'!J25"")=IMPORTRANGE(""https://docs.google.com/spreadsheets/d/1UDYA3-RrkJNLa2ZLH1NnUjKyfCoiSODmgVL_Au_zt-Y/edit#g"&amp;"id=0"",""'Game 3'!S25""),IMPORTRANGE(""https://docs.google.com/spreadsheets/d/1UDYA3-RrkJNLa2ZLH1NnUjKyfCoiSODmgVL_Au_zt-Y/edit#gid=0"",""'Game 3'!J25"")+50,IMPORTRANGE(""https://docs.google.com/spreadsheets/d/1UDYA3-RrkJNLa2ZLH1NnUjKyfCoiSODmgVL_Au_zt-Y/"&amp;"edit#gid=0"",""'Game 3'!J25""))),IF(IMPORTRANGE(""https://docs.google.com/spreadsheets/d/1UDYA3-RrkJNLa2ZLH1NnUjKyfCoiSODmgVL_Au_zt-Y/edit#gid=0"",""'Game 3'!J25"")&gt;IMPORTRANGE(""https://docs.google.com/spreadsheets/d/1UDYA3-RrkJNLa2ZLH1NnUjKyfCoiSODmgVL_"&amp;"Au_zt-Y/edit#gid=0"",""'Game 3'!S25""),IMPORTRANGE(""https://docs.google.com/spreadsheets/d/1UDYA3-RrkJNLa2ZLH1NnUjKyfCoiSODmgVL_Au_zt-Y/edit#gid=0"",""'Game 3'!S25""),IF(IMPORTRANGE(""https://docs.google.com/spreadsheets/d/1UDYA3-RrkJNLa2ZLH1NnUjKyfCoiSO"&amp;"DmgVL_Au_zt-Y/edit#gid=0"",""'Game 3'!J25"")=IMPORTRANGE(""https://docs.google.com/spreadsheets/d/1UDYA3-RrkJNLa2ZLH1NnUjKyfCoiSODmgVL_Au_zt-Y/edit#gid=0"",""'Game 3'!S25""),IMPORTRANGE(""https://docs.google.com/spreadsheets/d/1UDYA3-RrkJNLa2ZLH1NnUjKyfCo"&amp;"iSODmgVL_Au_zt-Y/edit#gid=0"",""'Game 3'!S25"")+50,IMPORTRANGE(""https://docs.google.com/spreadsheets/d/1UDYA3-RrkJNLa2ZLH1NnUjKyfCoiSODmgVL_Au_zt-Y/edit#gid=0"",""'Game 3'!S25"")+100)))"),60.0)</f>
        <v>60</v>
      </c>
      <c r="N6" s="5">
        <f>IFERROR(__xludf.DUMMYFUNCTION("IF($A6=IMPORTRANGE(""https://docs.google.com/spreadsheets/d/1fvo6H94Wcffp6c4N9g3JKCW6y2ZlijPxdOsNz7xdBhw/edit#gid=0"",""'Game 4'!B1""),IF(IMPORTRANGE(""https://docs.google.com/spreadsheets/d/1fvo6H94Wcffp6c4N9g3JKCW6y2ZlijPxdOsNz7xdBhw/edit#gid=0"",""'Gam"&amp;"e 4'!J25"")&gt;IMPORTRANGE(""https://docs.google.com/spreadsheets/d/1fvo6H94Wcffp6c4N9g3JKCW6y2ZlijPxdOsNz7xdBhw/edit#gid=0"",""'Game 4'!S25""),IMPORTRANGE(""https://docs.google.com/spreadsheets/d/1fvo6H94Wcffp6c4N9g3JKCW6y2ZlijPxdOsNz7xdBhw/edit#gid=0"",""'"&amp;"Game 4'!J25"")+100,IF(IMPORTRANGE(""https://docs.google.com/spreadsheets/d/1fvo6H94Wcffp6c4N9g3JKCW6y2ZlijPxdOsNz7xdBhw/edit#gid=0"",""'Game 4'!J25"")=IMPORTRANGE(""https://docs.google.com/spreadsheets/d/1fvo6H94Wcffp6c4N9g3JKCW6y2ZlijPxdOsNz7xdBhw/edit#g"&amp;"id=0"",""'Game 4'!S25""),IMPORTRANGE(""https://docs.google.com/spreadsheets/d/1fvo6H94Wcffp6c4N9g3JKCW6y2ZlijPxdOsNz7xdBhw/edit#gid=0"",""'Game 4'!J25"")+50,IMPORTRANGE(""https://docs.google.com/spreadsheets/d/1fvo6H94Wcffp6c4N9g3JKCW6y2ZlijPxdOsNz7xdBhw/"&amp;"edit#gid=0"",""'Game 4'!J25""))),IF(IMPORTRANGE(""https://docs.google.com/spreadsheets/d/1fvo6H94Wcffp6c4N9g3JKCW6y2ZlijPxdOsNz7xdBhw/edit#gid=0"",""'Game 4'!J25"")&gt;IMPORTRANGE(""https://docs.google.com/spreadsheets/d/1fvo6H94Wcffp6c4N9g3JKCW6y2ZlijPxdOsN"&amp;"z7xdBhw/edit#gid=0"",""'Game 4'!S25""),IMPORTRANGE(""https://docs.google.com/spreadsheets/d/1fvo6H94Wcffp6c4N9g3JKCW6y2ZlijPxdOsNz7xdBhw/edit#gid=0"",""'Game 4'!S25""),IF(IMPORTRANGE(""https://docs.google.com/spreadsheets/d/1fvo6H94Wcffp6c4N9g3JKCW6y2Zlij"&amp;"PxdOsNz7xdBhw/edit#gid=0"",""'Game 4'!J25"")=IMPORTRANGE(""https://docs.google.com/spreadsheets/d/1fvo6H94Wcffp6c4N9g3JKCW6y2ZlijPxdOsNz7xdBhw/edit#gid=0"",""'Game 4'!S25""),IMPORTRANGE(""https://docs.google.com/spreadsheets/d/1fvo6H94Wcffp6c4N9g3JKCW6y2Z"&amp;"lijPxdOsNz7xdBhw/edit#gid=0"",""'Game 4'!S25"")+50,IMPORTRANGE(""https://docs.google.com/spreadsheets/d/1fvo6H94Wcffp6c4N9g3JKCW6y2ZlijPxdOsNz7xdBhw/edit#gid=0"",""'Game 4'!S25"")+100)))"),50.0)</f>
        <v>50</v>
      </c>
      <c r="O6" s="5">
        <f>IFERROR(__xludf.DUMMYFUNCTION("IF($A6=IMPORTRANGE(""https://docs.google.com/spreadsheets/d/1wfQePArl-A-5QJe5xAufoOnzeNLVSoHCRcmpZ_FMdns/edit#gid=0"",""'Game 1'!B1""),IF(IMPORTRANGE(""https://docs.google.com/spreadsheets/d/1wfQePArl-A-5QJe5xAufoOnzeNLVSoHCRcmpZ_FMdns/edit#gid=0"",""'Gam"&amp;"e 1'!J25"")&gt;IMPORTRANGE(""https://docs.google.com/spreadsheets/d/1wfQePArl-A-5QJe5xAufoOnzeNLVSoHCRcmpZ_FMdns/edit#gid=0"",""'Game 1'!S25""),IMPORTRANGE(""https://docs.google.com/spreadsheets/d/1wfQePArl-A-5QJe5xAufoOnzeNLVSoHCRcmpZ_FMdns/edit#gid=0"",""'"&amp;"Game 1'!J25"")+100,IF(IMPORTRANGE(""https://docs.google.com/spreadsheets/d/1wfQePArl-A-5QJe5xAufoOnzeNLVSoHCRcmpZ_FMdns/edit#gid=0"",""'Game 1'!J25"")=IMPORTRANGE(""https://docs.google.com/spreadsheets/d/1wfQePArl-A-5QJe5xAufoOnzeNLVSoHCRcmpZ_FMdns/edit#g"&amp;"id=0"",""'Game 1'!S25""),IMPORTRANGE(""https://docs.google.com/spreadsheets/d/1wfQePArl-A-5QJe5xAufoOnzeNLVSoHCRcmpZ_FMdns/edit#gid=0"",""'Game 1'!J25"")+50,IMPORTRANGE(""https://docs.google.com/spreadsheets/d/1wfQePArl-A-5QJe5xAufoOnzeNLVSoHCRcmpZ_FMdns/"&amp;"edit#gid=0"",""'Game 1'!J25""))),IF(IMPORTRANGE(""https://docs.google.com/spreadsheets/d/1wfQePArl-A-5QJe5xAufoOnzeNLVSoHCRcmpZ_FMdns/edit#gid=0"",""'Game 1'!J25"")&gt;IMPORTRANGE(""https://docs.google.com/spreadsheets/d/1wfQePArl-A-5QJe5xAufoOnzeNLVSoHCRcmp"&amp;"Z_FMdns/edit#gid=0"",""'Game 1'!S25""),IMPORTRANGE(""https://docs.google.com/spreadsheets/d/1wfQePArl-A-5QJe5xAufoOnzeNLVSoHCRcmpZ_FMdns/edit#gid=0"",""'Game 1'!S25""),IF(IMPORTRANGE(""https://docs.google.com/spreadsheets/d/1wfQePArl-A-5QJe5xAufoOnzeNLVSo"&amp;"HCRcmpZ_FMdns/edit#gid=0"",""'Game 1'!J25"")=IMPORTRANGE(""https://docs.google.com/spreadsheets/d/1wfQePArl-A-5QJe5xAufoOnzeNLVSoHCRcmpZ_FMdns/edit#gid=0"",""'Game 1'!S25""),IMPORTRANGE(""https://docs.google.com/spreadsheets/d/1wfQePArl-A-5QJe5xAufoOnzeNL"&amp;"VSoHCRcmpZ_FMdns/edit#gid=0"",""'Game 1'!S25"")+50,IMPORTRANGE(""https://docs.google.com/spreadsheets/d/1wfQePArl-A-5QJe5xAufoOnzeNLVSoHCRcmpZ_FMdns/edit#gid=0"",""'Game 1'!S25"")+100)))"),42.0)</f>
        <v>42</v>
      </c>
      <c r="P6" s="5">
        <f>IFERROR(__xludf.DUMMYFUNCTION("IF($A6=IMPORTRANGE(""https://docs.google.com/spreadsheets/d/1wydNznS0hZhVh3oGSdiCZSsReuqMT7Xaw718ix58zAI/edit#gid=0"",""'Game 4'!B1""),IF(IMPORTRANGE(""https://docs.google.com/spreadsheets/d/1wydNznS0hZhVh3oGSdiCZSsReuqMT7Xaw718ix58zAI/edit#gid=0"",""'Gam"&amp;"e 4'!J25"")&gt;IMPORTRANGE(""https://docs.google.com/spreadsheets/d/1wydNznS0hZhVh3oGSdiCZSsReuqMT7Xaw718ix58zAI/edit#gid=0"",""'Game 4'!S25""),IMPORTRANGE(""https://docs.google.com/spreadsheets/d/1wydNznS0hZhVh3oGSdiCZSsReuqMT7Xaw718ix58zAI/edit#gid=0"",""'"&amp;"Game 4'!J25"")+100,IF(IMPORTRANGE(""https://docs.google.com/spreadsheets/d/1wydNznS0hZhVh3oGSdiCZSsReuqMT7Xaw718ix58zAI/edit#gid=0"",""'Game 4'!J25"")=IMPORTRANGE(""https://docs.google.com/spreadsheets/d/1wydNznS0hZhVh3oGSdiCZSsReuqMT7Xaw718ix58zAI/edit#g"&amp;"id=0"",""'Game 4'!S25""),IMPORTRANGE(""https://docs.google.com/spreadsheets/d/1wydNznS0hZhVh3oGSdiCZSsReuqMT7Xaw718ix58zAI/edit#gid=0"",""'Game 4'!J25"")+50,IMPORTRANGE(""https://docs.google.com/spreadsheets/d/1wydNznS0hZhVh3oGSdiCZSsReuqMT7Xaw718ix58zAI/"&amp;"edit#gid=0"",""'Game 4'!J25""))),IF(IMPORTRANGE(""https://docs.google.com/spreadsheets/d/1wydNznS0hZhVh3oGSdiCZSsReuqMT7Xaw718ix58zAI/edit#gid=0"",""'Game 4'!J25"")&gt;IMPORTRANGE(""https://docs.google.com/spreadsheets/d/1wydNznS0hZhVh3oGSdiCZSsReuqMT7Xaw718"&amp;"ix58zAI/edit#gid=0"",""'Game 4'!S25""),IMPORTRANGE(""https://docs.google.com/spreadsheets/d/1wydNznS0hZhVh3oGSdiCZSsReuqMT7Xaw718ix58zAI/edit#gid=0"",""'Game 4'!S25""),IF(IMPORTRANGE(""https://docs.google.com/spreadsheets/d/1wydNznS0hZhVh3oGSdiCZSsReuqMT7"&amp;"Xaw718ix58zAI/edit#gid=0"",""'Game 4'!J25"")=IMPORTRANGE(""https://docs.google.com/spreadsheets/d/1wydNznS0hZhVh3oGSdiCZSsReuqMT7Xaw718ix58zAI/edit#gid=0"",""'Game 4'!S25""),IMPORTRANGE(""https://docs.google.com/spreadsheets/d/1wydNznS0hZhVh3oGSdiCZSsReuq"&amp;"MT7Xaw718ix58zAI/edit#gid=0"",""'Game 4'!S25"")+50,IMPORTRANGE(""https://docs.google.com/spreadsheets/d/1wydNznS0hZhVh3oGSdiCZSsReuqMT7Xaw718ix58zAI/edit#gid=0"",""'Game 4'!S25"")+100)))"),166.0)</f>
        <v>166</v>
      </c>
      <c r="Q6" s="35">
        <f t="shared" si="1"/>
        <v>1264</v>
      </c>
      <c r="R6" s="35">
        <f t="shared" si="2"/>
        <v>18</v>
      </c>
    </row>
    <row r="7">
      <c r="A7" s="32" t="s">
        <v>97</v>
      </c>
      <c r="B7" s="36">
        <v>26.0</v>
      </c>
      <c r="C7" s="36">
        <v>24.0</v>
      </c>
      <c r="D7" s="36">
        <v>30.0</v>
      </c>
      <c r="E7" s="36">
        <v>26.0</v>
      </c>
      <c r="F7" s="36">
        <v>28.0</v>
      </c>
      <c r="G7" s="12">
        <f>IFERROR(__xludf.DUMMYFUNCTION("IF($A7=IMPORTRANGE(""https://docs.google.com/spreadsheets/d/19gjAD4NwTXl_QoKUuwHQ1cWG_S2BOW94pDcyFtPwheg/edit#gid=0"",""'Game 2'!B1""),IF(IMPORTRANGE(""https://docs.google.com/spreadsheets/d/19gjAD4NwTXl_QoKUuwHQ1cWG_S2BOW94pDcyFtPwheg/edit#gid=0"",""'Gam"&amp;"e 2'!J25"")&gt;IMPORTRANGE(""https://docs.google.com/spreadsheets/d/19gjAD4NwTXl_QoKUuwHQ1cWG_S2BOW94pDcyFtPwheg/edit#gid=0"",""'Game 2'!S25""),IMPORTRANGE(""https://docs.google.com/spreadsheets/d/19gjAD4NwTXl_QoKUuwHQ1cWG_S2BOW94pDcyFtPwheg/edit#gid=0"",""'"&amp;"Game 2'!J25"")+100,IF(IMPORTRANGE(""https://docs.google.com/spreadsheets/d/19gjAD4NwTXl_QoKUuwHQ1cWG_S2BOW94pDcyFtPwheg/edit#gid=0"",""'Game 2'!J25"")=IMPORTRANGE(""https://docs.google.com/spreadsheets/d/19gjAD4NwTXl_QoKUuwHQ1cWG_S2BOW94pDcyFtPwheg/edit#g"&amp;"id=0"",""'Game 2'!S25""),IMPORTRANGE(""https://docs.google.com/spreadsheets/d/19gjAD4NwTXl_QoKUuwHQ1cWG_S2BOW94pDcyFtPwheg/edit#gid=0"",""'Game 2'!J25"")+50,IMPORTRANGE(""https://docs.google.com/spreadsheets/d/19gjAD4NwTXl_QoKUuwHQ1cWG_S2BOW94pDcyFtPwheg/"&amp;"edit#gid=0"",""'Game 2'!J25""))),IF(IMPORTRANGE(""https://docs.google.com/spreadsheets/d/19gjAD4NwTXl_QoKUuwHQ1cWG_S2BOW94pDcyFtPwheg/edit#gid=0"",""'Game 2'!J25"")&gt;IMPORTRANGE(""https://docs.google.com/spreadsheets/d/19gjAD4NwTXl_QoKUuwHQ1cWG_S2BOW94pDcy"&amp;"FtPwheg/edit#gid=0"",""'Game 2'!S25""),IMPORTRANGE(""https://docs.google.com/spreadsheets/d/19gjAD4NwTXl_QoKUuwHQ1cWG_S2BOW94pDcyFtPwheg/edit#gid=0"",""'Game 2'!S25""),IF(IMPORTRANGE(""https://docs.google.com/spreadsheets/d/19gjAD4NwTXl_QoKUuwHQ1cWG_S2BOW"&amp;"94pDcyFtPwheg/edit#gid=0"",""'Game 2'!J25"")=IMPORTRANGE(""https://docs.google.com/spreadsheets/d/19gjAD4NwTXl_QoKUuwHQ1cWG_S2BOW94pDcyFtPwheg/edit#gid=0"",""'Game 2'!S25""),IMPORTRANGE(""https://docs.google.com/spreadsheets/d/19gjAD4NwTXl_QoKUuwHQ1cWG_S2"&amp;"BOW94pDcyFtPwheg/edit#gid=0"",""'Game 2'!S25"")+50,IMPORTRANGE(""https://docs.google.com/spreadsheets/d/19gjAD4NwTXl_QoKUuwHQ1cWG_S2BOW94pDcyFtPwheg/edit#gid=0"",""'Game 2'!S25"")+100)))"),36.0)</f>
        <v>36</v>
      </c>
      <c r="H7" s="12">
        <f>IFERROR(__xludf.DUMMYFUNCTION("IF($A7=IMPORTRANGE(""https://docs.google.com/spreadsheets/d/1l83w8bH-F1czkFOqsgQy6o8O33Jb4Pfg40W0ou2nk0k/edit#gid=0"",""'Game 1'!B1""),IF(IMPORTRANGE(""https://docs.google.com/spreadsheets/d/1l83w8bH-F1czkFOqsgQy6o8O33Jb4Pfg40W0ou2nk0k/edit#gid=0"",""'Gam"&amp;"e 1'!J25"")&gt;IMPORTRANGE(""https://docs.google.com/spreadsheets/d/1l83w8bH-F1czkFOqsgQy6o8O33Jb4Pfg40W0ou2nk0k/edit#gid=0"",""'Game 1'!S25""),IMPORTRANGE(""https://docs.google.com/spreadsheets/d/1l83w8bH-F1czkFOqsgQy6o8O33Jb4Pfg40W0ou2nk0k/edit#gid=0"",""'"&amp;"Game 1'!J25"")+100,IF(IMPORTRANGE(""https://docs.google.com/spreadsheets/d/1l83w8bH-F1czkFOqsgQy6o8O33Jb4Pfg40W0ou2nk0k/edit#gid=0"",""'Game 1'!J25"")=IMPORTRANGE(""https://docs.google.com/spreadsheets/d/1l83w8bH-F1czkFOqsgQy6o8O33Jb4Pfg40W0ou2nk0k/edit#g"&amp;"id=0"",""'Game 1'!S25""),IMPORTRANGE(""https://docs.google.com/spreadsheets/d/1l83w8bH-F1czkFOqsgQy6o8O33Jb4Pfg40W0ou2nk0k/edit#gid=0"",""'Game 1'!J25"")+50,IMPORTRANGE(""https://docs.google.com/spreadsheets/d/1l83w8bH-F1czkFOqsgQy6o8O33Jb4Pfg40W0ou2nk0k/"&amp;"edit#gid=0"",""'Game 1'!J25""))),IF(IMPORTRANGE(""https://docs.google.com/spreadsheets/d/1l83w8bH-F1czkFOqsgQy6o8O33Jb4Pfg40W0ou2nk0k/edit#gid=0"",""'Game 1'!J25"")&gt;IMPORTRANGE(""https://docs.google.com/spreadsheets/d/1l83w8bH-F1czkFOqsgQy6o8O33Jb4Pfg40W0"&amp;"ou2nk0k/edit#gid=0"",""'Game 1'!S25""),IMPORTRANGE(""https://docs.google.com/spreadsheets/d/1l83w8bH-F1czkFOqsgQy6o8O33Jb4Pfg40W0ou2nk0k/edit#gid=0"",""'Game 1'!S25""),IF(IMPORTRANGE(""https://docs.google.com/spreadsheets/d/1l83w8bH-F1czkFOqsgQy6o8O33Jb4P"&amp;"fg40W0ou2nk0k/edit#gid=0"",""'Game 1'!J25"")=IMPORTRANGE(""https://docs.google.com/spreadsheets/d/1l83w8bH-F1czkFOqsgQy6o8O33Jb4Pfg40W0ou2nk0k/edit#gid=0"",""'Game 1'!S25""),IMPORTRANGE(""https://docs.google.com/spreadsheets/d/1l83w8bH-F1czkFOqsgQy6o8O33J"&amp;"b4Pfg40W0ou2nk0k/edit#gid=0"",""'Game 1'!S25"")+50,IMPORTRANGE(""https://docs.google.com/spreadsheets/d/1l83w8bH-F1czkFOqsgQy6o8O33Jb4Pfg40W0ou2nk0k/edit#gid=0"",""'Game 1'!S25"")+100)))"),20.0)</f>
        <v>20</v>
      </c>
      <c r="I7" s="12">
        <f>IFERROR(__xludf.DUMMYFUNCTION("IF($A7=IMPORTRANGE(""https://docs.google.com/spreadsheets/d/15X-ub7GvrCQZ3UGgyogcjwYdxG-Ng8WHxzGSj1Z3eLw/edit#gid=0"",""'Game 2'!B1""),IF(IMPORTRANGE(""https://docs.google.com/spreadsheets/d/15X-ub7GvrCQZ3UGgyogcjwYdxG-Ng8WHxzGSj1Z3eLw/edit#gid=0"",""'Gam"&amp;"e 2'!J25"")&gt;IMPORTRANGE(""https://docs.google.com/spreadsheets/d/15X-ub7GvrCQZ3UGgyogcjwYdxG-Ng8WHxzGSj1Z3eLw/edit#gid=0"",""'Game 2'!S25""),IMPORTRANGE(""https://docs.google.com/spreadsheets/d/15X-ub7GvrCQZ3UGgyogcjwYdxG-Ng8WHxzGSj1Z3eLw/edit#gid=0"",""'"&amp;"Game 2'!J25"")+100,IF(IMPORTRANGE(""https://docs.google.com/spreadsheets/d/15X-ub7GvrCQZ3UGgyogcjwYdxG-Ng8WHxzGSj1Z3eLw/edit#gid=0"",""'Game 2'!J25"")=IMPORTRANGE(""https://docs.google.com/spreadsheets/d/15X-ub7GvrCQZ3UGgyogcjwYdxG-Ng8WHxzGSj1Z3eLw/edit#g"&amp;"id=0"",""'Game 2'!S25""),IMPORTRANGE(""https://docs.google.com/spreadsheets/d/15X-ub7GvrCQZ3UGgyogcjwYdxG-Ng8WHxzGSj1Z3eLw/edit#gid=0"",""'Game 2'!J25"")+50,IMPORTRANGE(""https://docs.google.com/spreadsheets/d/15X-ub7GvrCQZ3UGgyogcjwYdxG-Ng8WHxzGSj1Z3eLw/"&amp;"edit#gid=0"",""'Game 2'!J25""))),IF(IMPORTRANGE(""https://docs.google.com/spreadsheets/d/15X-ub7GvrCQZ3UGgyogcjwYdxG-Ng8WHxzGSj1Z3eLw/edit#gid=0"",""'Game 2'!J25"")&gt;IMPORTRANGE(""https://docs.google.com/spreadsheets/d/15X-ub7GvrCQZ3UGgyogcjwYdxG-Ng8WHxzGS"&amp;"j1Z3eLw/edit#gid=0"",""'Game 2'!S25""),IMPORTRANGE(""https://docs.google.com/spreadsheets/d/15X-ub7GvrCQZ3UGgyogcjwYdxG-Ng8WHxzGSj1Z3eLw/edit#gid=0"",""'Game 2'!S25""),IF(IMPORTRANGE(""https://docs.google.com/spreadsheets/d/15X-ub7GvrCQZ3UGgyogcjwYdxG-Ng8"&amp;"WHxzGSj1Z3eLw/edit#gid=0"",""'Game 2'!J25"")=IMPORTRANGE(""https://docs.google.com/spreadsheets/d/15X-ub7GvrCQZ3UGgyogcjwYdxG-Ng8WHxzGSj1Z3eLw/edit#gid=0"",""'Game 2'!S25""),IMPORTRANGE(""https://docs.google.com/spreadsheets/d/15X-ub7GvrCQZ3UGgyogcjwYdxG-"&amp;"Ng8WHxzGSj1Z3eLw/edit#gid=0"",""'Game 2'!S25"")+50,IMPORTRANGE(""https://docs.google.com/spreadsheets/d/15X-ub7GvrCQZ3UGgyogcjwYdxG-Ng8WHxzGSj1Z3eLw/edit#gid=0"",""'Game 2'!S25"")+100)))"),34.0)</f>
        <v>34</v>
      </c>
      <c r="J7" s="12">
        <f>IFERROR(__xludf.DUMMYFUNCTION("IF($A7=IMPORTRANGE(""https://docs.google.com/spreadsheets/d/194Bw3ABslPPhOOPvVoMzIk8sOQFICWBu2pydWdYMD-w/edit#gid=0"",""'Game 2'!B1""),IF(IMPORTRANGE(""https://docs.google.com/spreadsheets/d/194Bw3ABslPPhOOPvVoMzIk8sOQFICWBu2pydWdYMD-w/edit#gid=0"",""'Gam"&amp;"e 2'!J25"")&gt;IMPORTRANGE(""https://docs.google.com/spreadsheets/d/194Bw3ABslPPhOOPvVoMzIk8sOQFICWBu2pydWdYMD-w/edit#gid=0"",""'Game 2'!S25""),IMPORTRANGE(""https://docs.google.com/spreadsheets/d/194Bw3ABslPPhOOPvVoMzIk8sOQFICWBu2pydWdYMD-w/edit#gid=0"",""'"&amp;"Game 2'!J25"")+100,IF(IMPORTRANGE(""https://docs.google.com/spreadsheets/d/194Bw3ABslPPhOOPvVoMzIk8sOQFICWBu2pydWdYMD-w/edit#gid=0"",""'Game 2'!J25"")=IMPORTRANGE(""https://docs.google.com/spreadsheets/d/194Bw3ABslPPhOOPvVoMzIk8sOQFICWBu2pydWdYMD-w/edit#g"&amp;"id=0"",""'Game 2'!S25""),IMPORTRANGE(""https://docs.google.com/spreadsheets/d/194Bw3ABslPPhOOPvVoMzIk8sOQFICWBu2pydWdYMD-w/edit#gid=0"",""'Game 2'!J25"")+50,IMPORTRANGE(""https://docs.google.com/spreadsheets/d/194Bw3ABslPPhOOPvVoMzIk8sOQFICWBu2pydWdYMD-w/"&amp;"edit#gid=0"",""'Game 2'!J25""))),IF(IMPORTRANGE(""https://docs.google.com/spreadsheets/d/194Bw3ABslPPhOOPvVoMzIk8sOQFICWBu2pydWdYMD-w/edit#gid=0"",""'Game 2'!J25"")&gt;IMPORTRANGE(""https://docs.google.com/spreadsheets/d/194Bw3ABslPPhOOPvVoMzIk8sOQFICWBu2pyd"&amp;"WdYMD-w/edit#gid=0"",""'Game 2'!S25""),IMPORTRANGE(""https://docs.google.com/spreadsheets/d/194Bw3ABslPPhOOPvVoMzIk8sOQFICWBu2pydWdYMD-w/edit#gid=0"",""'Game 2'!S25""),IF(IMPORTRANGE(""https://docs.google.com/spreadsheets/d/194Bw3ABslPPhOOPvVoMzIk8sOQFICW"&amp;"Bu2pydWdYMD-w/edit#gid=0"",""'Game 2'!J25"")=IMPORTRANGE(""https://docs.google.com/spreadsheets/d/194Bw3ABslPPhOOPvVoMzIk8sOQFICWBu2pydWdYMD-w/edit#gid=0"",""'Game 2'!S25""),IMPORTRANGE(""https://docs.google.com/spreadsheets/d/194Bw3ABslPPhOOPvVoMzIk8sOQF"&amp;"ICWBu2pydWdYMD-w/edit#gid=0"",""'Game 2'!S25"")+50,IMPORTRANGE(""https://docs.google.com/spreadsheets/d/194Bw3ABslPPhOOPvVoMzIk8sOQFICWBu2pydWdYMD-w/edit#gid=0"",""'Game 2'!S25"")+100)))"),4.0)</f>
        <v>4</v>
      </c>
      <c r="K7" s="12">
        <f>IFERROR(__xludf.DUMMYFUNCTION("IF($A7=IMPORTRANGE(""https://docs.google.com/spreadsheets/d/1F2Bi6K_I1K9xRxY5qb-bNRo5m-Kw7udpF1OaTHhrxjs/edit#gid=0"",""'Game 2'!B1""),IF(IMPORTRANGE(""https://docs.google.com/spreadsheets/d/1F2Bi6K_I1K9xRxY5qb-bNRo5m-Kw7udpF1OaTHhrxjs/edit#gid=0"",""'Gam"&amp;"e 2'!J25"")&gt;IMPORTRANGE(""https://docs.google.com/spreadsheets/d/1F2Bi6K_I1K9xRxY5qb-bNRo5m-Kw7udpF1OaTHhrxjs/edit#gid=0"",""'Game 2'!S25""),IMPORTRANGE(""https://docs.google.com/spreadsheets/d/1F2Bi6K_I1K9xRxY5qb-bNRo5m-Kw7udpF1OaTHhrxjs/edit#gid=0"",""'"&amp;"Game 2'!J25"")+100,IF(IMPORTRANGE(""https://docs.google.com/spreadsheets/d/1F2Bi6K_I1K9xRxY5qb-bNRo5m-Kw7udpF1OaTHhrxjs/edit#gid=0"",""'Game 2'!J25"")=IMPORTRANGE(""https://docs.google.com/spreadsheets/d/1F2Bi6K_I1K9xRxY5qb-bNRo5m-Kw7udpF1OaTHhrxjs/edit#g"&amp;"id=0"",""'Game 2'!S25""),IMPORTRANGE(""https://docs.google.com/spreadsheets/d/1F2Bi6K_I1K9xRxY5qb-bNRo5m-Kw7udpF1OaTHhrxjs/edit#gid=0"",""'Game 2'!J25"")+50,IMPORTRANGE(""https://docs.google.com/spreadsheets/d/1F2Bi6K_I1K9xRxY5qb-bNRo5m-Kw7udpF1OaTHhrxjs/"&amp;"edit#gid=0"",""'Game 2'!J25""))),IF(IMPORTRANGE(""https://docs.google.com/spreadsheets/d/1F2Bi6K_I1K9xRxY5qb-bNRo5m-Kw7udpF1OaTHhrxjs/edit#gid=0"",""'Game 2'!J25"")&gt;IMPORTRANGE(""https://docs.google.com/spreadsheets/d/1F2Bi6K_I1K9xRxY5qb-bNRo5m-Kw7udpF1Oa"&amp;"THhrxjs/edit#gid=0"",""'Game 2'!S25""),IMPORTRANGE(""https://docs.google.com/spreadsheets/d/1F2Bi6K_I1K9xRxY5qb-bNRo5m-Kw7udpF1OaTHhrxjs/edit#gid=0"",""'Game 2'!S25""),IF(IMPORTRANGE(""https://docs.google.com/spreadsheets/d/1F2Bi6K_I1K9xRxY5qb-bNRo5m-Kw7u"&amp;"dpF1OaTHhrxjs/edit#gid=0"",""'Game 2'!J25"")=IMPORTRANGE(""https://docs.google.com/spreadsheets/d/1F2Bi6K_I1K9xRxY5qb-bNRo5m-Kw7udpF1OaTHhrxjs/edit#gid=0"",""'Game 2'!S25""),IMPORTRANGE(""https://docs.google.com/spreadsheets/d/1F2Bi6K_I1K9xRxY5qb-bNRo5m-K"&amp;"w7udpF1OaTHhrxjs/edit#gid=0"",""'Game 2'!S25"")+50,IMPORTRANGE(""https://docs.google.com/spreadsheets/d/1F2Bi6K_I1K9xRxY5qb-bNRo5m-Kw7udpF1OaTHhrxjs/edit#gid=0"",""'Game 2'!S25"")+100)))"),24.0)</f>
        <v>24</v>
      </c>
      <c r="L7" s="12">
        <f>IFERROR(__xludf.DUMMYFUNCTION("IF($A7=IMPORTRANGE(""https://docs.google.com/spreadsheets/d/1NDNgi_Ny4dRhc2A3UMIIkalN-V6EmsvxOfDzMRQlQ40/edit#gid=0"",""'Game 2'!B1""),IF(IMPORTRANGE(""https://docs.google.com/spreadsheets/d/1NDNgi_Ny4dRhc2A3UMIIkalN-V6EmsvxOfDzMRQlQ40/edit#gid=0"",""'Gam"&amp;"e 2'!J25"")&gt;IMPORTRANGE(""https://docs.google.com/spreadsheets/d/1NDNgi_Ny4dRhc2A3UMIIkalN-V6EmsvxOfDzMRQlQ40/edit#gid=0"",""'Game 2'!S25""),IMPORTRANGE(""https://docs.google.com/spreadsheets/d/1NDNgi_Ny4dRhc2A3UMIIkalN-V6EmsvxOfDzMRQlQ40/edit#gid=0"",""'"&amp;"Game 2'!J25"")+100,IF(IMPORTRANGE(""https://docs.google.com/spreadsheets/d/1NDNgi_Ny4dRhc2A3UMIIkalN-V6EmsvxOfDzMRQlQ40/edit#gid=0"",""'Game 2'!J25"")=IMPORTRANGE(""https://docs.google.com/spreadsheets/d/1NDNgi_Ny4dRhc2A3UMIIkalN-V6EmsvxOfDzMRQlQ40/edit#g"&amp;"id=0"",""'Game 2'!S25""),IMPORTRANGE(""https://docs.google.com/spreadsheets/d/1NDNgi_Ny4dRhc2A3UMIIkalN-V6EmsvxOfDzMRQlQ40/edit#gid=0"",""'Game 2'!J25"")+50,IMPORTRANGE(""https://docs.google.com/spreadsheets/d/1NDNgi_Ny4dRhc2A3UMIIkalN-V6EmsvxOfDzMRQlQ40/"&amp;"edit#gid=0"",""'Game 2'!J25""))),IF(IMPORTRANGE(""https://docs.google.com/spreadsheets/d/1NDNgi_Ny4dRhc2A3UMIIkalN-V6EmsvxOfDzMRQlQ40/edit#gid=0"",""'Game 2'!J25"")&gt;IMPORTRANGE(""https://docs.google.com/spreadsheets/d/1NDNgi_Ny4dRhc2A3UMIIkalN-V6EmsvxOfDz"&amp;"MRQlQ40/edit#gid=0"",""'Game 2'!S25""),IMPORTRANGE(""https://docs.google.com/spreadsheets/d/1NDNgi_Ny4dRhc2A3UMIIkalN-V6EmsvxOfDzMRQlQ40/edit#gid=0"",""'Game 2'!S25""),IF(IMPORTRANGE(""https://docs.google.com/spreadsheets/d/1NDNgi_Ny4dRhc2A3UMIIkalN-V6Ems"&amp;"vxOfDzMRQlQ40/edit#gid=0"",""'Game 2'!J25"")=IMPORTRANGE(""https://docs.google.com/spreadsheets/d/1NDNgi_Ny4dRhc2A3UMIIkalN-V6EmsvxOfDzMRQlQ40/edit#gid=0"",""'Game 2'!S25""),IMPORTRANGE(""https://docs.google.com/spreadsheets/d/1NDNgi_Ny4dRhc2A3UMIIkalN-V6"&amp;"EmsvxOfDzMRQlQ40/edit#gid=0"",""'Game 2'!S25"")+50,IMPORTRANGE(""https://docs.google.com/spreadsheets/d/1NDNgi_Ny4dRhc2A3UMIIkalN-V6EmsvxOfDzMRQlQ40/edit#gid=0"",""'Game 2'!S25"")+100)))"),4.0)</f>
        <v>4</v>
      </c>
      <c r="M7" s="12">
        <f>IFERROR(__xludf.DUMMYFUNCTION("IF($A7=IMPORTRANGE(""https://docs.google.com/spreadsheets/d/1UDYA3-RrkJNLa2ZLH1NnUjKyfCoiSODmgVL_Au_zt-Y/edit#gid=0"",""'Game 2'!B1""),IF(IMPORTRANGE(""https://docs.google.com/spreadsheets/d/1UDYA3-RrkJNLa2ZLH1NnUjKyfCoiSODmgVL_Au_zt-Y/edit#gid=0"",""'Gam"&amp;"e 2'!J25"")&gt;IMPORTRANGE(""https://docs.google.com/spreadsheets/d/1UDYA3-RrkJNLa2ZLH1NnUjKyfCoiSODmgVL_Au_zt-Y/edit#gid=0"",""'Game 2'!S25""),IMPORTRANGE(""https://docs.google.com/spreadsheets/d/1UDYA3-RrkJNLa2ZLH1NnUjKyfCoiSODmgVL_Au_zt-Y/edit#gid=0"",""'"&amp;"Game 2'!J25"")+100,IF(IMPORTRANGE(""https://docs.google.com/spreadsheets/d/1UDYA3-RrkJNLa2ZLH1NnUjKyfCoiSODmgVL_Au_zt-Y/edit#gid=0"",""'Game 2'!J25"")=IMPORTRANGE(""https://docs.google.com/spreadsheets/d/1UDYA3-RrkJNLa2ZLH1NnUjKyfCoiSODmgVL_Au_zt-Y/edit#g"&amp;"id=0"",""'Game 2'!S25""),IMPORTRANGE(""https://docs.google.com/spreadsheets/d/1UDYA3-RrkJNLa2ZLH1NnUjKyfCoiSODmgVL_Au_zt-Y/edit#gid=0"",""'Game 2'!J25"")+50,IMPORTRANGE(""https://docs.google.com/spreadsheets/d/1UDYA3-RrkJNLa2ZLH1NnUjKyfCoiSODmgVL_Au_zt-Y/"&amp;"edit#gid=0"",""'Game 2'!J25""))),IF(IMPORTRANGE(""https://docs.google.com/spreadsheets/d/1UDYA3-RrkJNLa2ZLH1NnUjKyfCoiSODmgVL_Au_zt-Y/edit#gid=0"",""'Game 2'!J25"")&gt;IMPORTRANGE(""https://docs.google.com/spreadsheets/d/1UDYA3-RrkJNLa2ZLH1NnUjKyfCoiSODmgVL_"&amp;"Au_zt-Y/edit#gid=0"",""'Game 2'!S25""),IMPORTRANGE(""https://docs.google.com/spreadsheets/d/1UDYA3-RrkJNLa2ZLH1NnUjKyfCoiSODmgVL_Au_zt-Y/edit#gid=0"",""'Game 2'!S25""),IF(IMPORTRANGE(""https://docs.google.com/spreadsheets/d/1UDYA3-RrkJNLa2ZLH1NnUjKyfCoiSO"&amp;"DmgVL_Au_zt-Y/edit#gid=0"",""'Game 2'!J25"")=IMPORTRANGE(""https://docs.google.com/spreadsheets/d/1UDYA3-RrkJNLa2ZLH1NnUjKyfCoiSODmgVL_Au_zt-Y/edit#gid=0"",""'Game 2'!S25""),IMPORTRANGE(""https://docs.google.com/spreadsheets/d/1UDYA3-RrkJNLa2ZLH1NnUjKyfCo"&amp;"iSODmgVL_Au_zt-Y/edit#gid=0"",""'Game 2'!S25"")+50,IMPORTRANGE(""https://docs.google.com/spreadsheets/d/1UDYA3-RrkJNLa2ZLH1NnUjKyfCoiSODmgVL_Au_zt-Y/edit#gid=0"",""'Game 2'!S25"")+100)))"),32.0)</f>
        <v>32</v>
      </c>
      <c r="N7" s="12">
        <f>IFERROR(__xludf.DUMMYFUNCTION("IF($A7=IMPORTRANGE(""https://docs.google.com/spreadsheets/d/1fvo6H94Wcffp6c4N9g3JKCW6y2ZlijPxdOsNz7xdBhw/edit#gid=0"",""'Game 2'!B1""),IF(IMPORTRANGE(""https://docs.google.com/spreadsheets/d/1fvo6H94Wcffp6c4N9g3JKCW6y2ZlijPxdOsNz7xdBhw/edit#gid=0"",""'Gam"&amp;"e 2'!J25"")&gt;IMPORTRANGE(""https://docs.google.com/spreadsheets/d/1fvo6H94Wcffp6c4N9g3JKCW6y2ZlijPxdOsNz7xdBhw/edit#gid=0"",""'Game 2'!S25""),IMPORTRANGE(""https://docs.google.com/spreadsheets/d/1fvo6H94Wcffp6c4N9g3JKCW6y2ZlijPxdOsNz7xdBhw/edit#gid=0"",""'"&amp;"Game 2'!J25"")+100,IF(IMPORTRANGE(""https://docs.google.com/spreadsheets/d/1fvo6H94Wcffp6c4N9g3JKCW6y2ZlijPxdOsNz7xdBhw/edit#gid=0"",""'Game 2'!J25"")=IMPORTRANGE(""https://docs.google.com/spreadsheets/d/1fvo6H94Wcffp6c4N9g3JKCW6y2ZlijPxdOsNz7xdBhw/edit#g"&amp;"id=0"",""'Game 2'!S25""),IMPORTRANGE(""https://docs.google.com/spreadsheets/d/1fvo6H94Wcffp6c4N9g3JKCW6y2ZlijPxdOsNz7xdBhw/edit#gid=0"",""'Game 2'!J25"")+50,IMPORTRANGE(""https://docs.google.com/spreadsheets/d/1fvo6H94Wcffp6c4N9g3JKCW6y2ZlijPxdOsNz7xdBhw/"&amp;"edit#gid=0"",""'Game 2'!J25""))),IF(IMPORTRANGE(""https://docs.google.com/spreadsheets/d/1fvo6H94Wcffp6c4N9g3JKCW6y2ZlijPxdOsNz7xdBhw/edit#gid=0"",""'Game 2'!J25"")&gt;IMPORTRANGE(""https://docs.google.com/spreadsheets/d/1fvo6H94Wcffp6c4N9g3JKCW6y2ZlijPxdOsN"&amp;"z7xdBhw/edit#gid=0"",""'Game 2'!S25""),IMPORTRANGE(""https://docs.google.com/spreadsheets/d/1fvo6H94Wcffp6c4N9g3JKCW6y2ZlijPxdOsNz7xdBhw/edit#gid=0"",""'Game 2'!S25""),IF(IMPORTRANGE(""https://docs.google.com/spreadsheets/d/1fvo6H94Wcffp6c4N9g3JKCW6y2Zlij"&amp;"PxdOsNz7xdBhw/edit#gid=0"",""'Game 2'!J25"")=IMPORTRANGE(""https://docs.google.com/spreadsheets/d/1fvo6H94Wcffp6c4N9g3JKCW6y2ZlijPxdOsNz7xdBhw/edit#gid=0"",""'Game 2'!S25""),IMPORTRANGE(""https://docs.google.com/spreadsheets/d/1fvo6H94Wcffp6c4N9g3JKCW6y2Z"&amp;"lijPxdOsNz7xdBhw/edit#gid=0"",""'Game 2'!S25"")+50,IMPORTRANGE(""https://docs.google.com/spreadsheets/d/1fvo6H94Wcffp6c4N9g3JKCW6y2ZlijPxdOsNz7xdBhw/edit#gid=0"",""'Game 2'!S25"")+100)))"),16.0)</f>
        <v>16</v>
      </c>
      <c r="O7" s="12">
        <f>IFERROR(__xludf.DUMMYFUNCTION("IF($A7=IMPORTRANGE(""https://docs.google.com/spreadsheets/d/1wfQePArl-A-5QJe5xAufoOnzeNLVSoHCRcmpZ_FMdns/edit#gid=0"",""'Game 2'!B1""),IF(IMPORTRANGE(""https://docs.google.com/spreadsheets/d/1wfQePArl-A-5QJe5xAufoOnzeNLVSoHCRcmpZ_FMdns/edit#gid=0"",""'Gam"&amp;"e 2'!J25"")&gt;IMPORTRANGE(""https://docs.google.com/spreadsheets/d/1wfQePArl-A-5QJe5xAufoOnzeNLVSoHCRcmpZ_FMdns/edit#gid=0"",""'Game 2'!S25""),IMPORTRANGE(""https://docs.google.com/spreadsheets/d/1wfQePArl-A-5QJe5xAufoOnzeNLVSoHCRcmpZ_FMdns/edit#gid=0"",""'"&amp;"Game 2'!J25"")+100,IF(IMPORTRANGE(""https://docs.google.com/spreadsheets/d/1wfQePArl-A-5QJe5xAufoOnzeNLVSoHCRcmpZ_FMdns/edit#gid=0"",""'Game 2'!J25"")=IMPORTRANGE(""https://docs.google.com/spreadsheets/d/1wfQePArl-A-5QJe5xAufoOnzeNLVSoHCRcmpZ_FMdns/edit#g"&amp;"id=0"",""'Game 2'!S25""),IMPORTRANGE(""https://docs.google.com/spreadsheets/d/1wfQePArl-A-5QJe5xAufoOnzeNLVSoHCRcmpZ_FMdns/edit#gid=0"",""'Game 2'!J25"")+50,IMPORTRANGE(""https://docs.google.com/spreadsheets/d/1wfQePArl-A-5QJe5xAufoOnzeNLVSoHCRcmpZ_FMdns/"&amp;"edit#gid=0"",""'Game 2'!J25""))),IF(IMPORTRANGE(""https://docs.google.com/spreadsheets/d/1wfQePArl-A-5QJe5xAufoOnzeNLVSoHCRcmpZ_FMdns/edit#gid=0"",""'Game 2'!J25"")&gt;IMPORTRANGE(""https://docs.google.com/spreadsheets/d/1wfQePArl-A-5QJe5xAufoOnzeNLVSoHCRcmp"&amp;"Z_FMdns/edit#gid=0"",""'Game 2'!S25""),IMPORTRANGE(""https://docs.google.com/spreadsheets/d/1wfQePArl-A-5QJe5xAufoOnzeNLVSoHCRcmpZ_FMdns/edit#gid=0"",""'Game 2'!S25""),IF(IMPORTRANGE(""https://docs.google.com/spreadsheets/d/1wfQePArl-A-5QJe5xAufoOnzeNLVSo"&amp;"HCRcmpZ_FMdns/edit#gid=0"",""'Game 2'!J25"")=IMPORTRANGE(""https://docs.google.com/spreadsheets/d/1wfQePArl-A-5QJe5xAufoOnzeNLVSoHCRcmpZ_FMdns/edit#gid=0"",""'Game 2'!S25""),IMPORTRANGE(""https://docs.google.com/spreadsheets/d/1wfQePArl-A-5QJe5xAufoOnzeNL"&amp;"VSoHCRcmpZ_FMdns/edit#gid=0"",""'Game 2'!S25"")+50,IMPORTRANGE(""https://docs.google.com/spreadsheets/d/1wfQePArl-A-5QJe5xAufoOnzeNLVSoHCRcmpZ_FMdns/edit#gid=0"",""'Game 2'!S25"")+100)))"),12.0)</f>
        <v>12</v>
      </c>
      <c r="P7" s="12">
        <f>IFERROR(__xludf.DUMMYFUNCTION("IF($A7=IMPORTRANGE(""https://docs.google.com/spreadsheets/d/1wydNznS0hZhVh3oGSdiCZSsReuqMT7Xaw718ix58zAI/edit#gid=0"",""'Game 2'!B1""),IF(IMPORTRANGE(""https://docs.google.com/spreadsheets/d/1wydNznS0hZhVh3oGSdiCZSsReuqMT7Xaw718ix58zAI/edit#gid=0"",""'Gam"&amp;"e 2'!J25"")&gt;IMPORTRANGE(""https://docs.google.com/spreadsheets/d/1wydNznS0hZhVh3oGSdiCZSsReuqMT7Xaw718ix58zAI/edit#gid=0"",""'Game 2'!S25""),IMPORTRANGE(""https://docs.google.com/spreadsheets/d/1wydNznS0hZhVh3oGSdiCZSsReuqMT7Xaw718ix58zAI/edit#gid=0"",""'"&amp;"Game 2'!J25"")+100,IF(IMPORTRANGE(""https://docs.google.com/spreadsheets/d/1wydNznS0hZhVh3oGSdiCZSsReuqMT7Xaw718ix58zAI/edit#gid=0"",""'Game 2'!J25"")=IMPORTRANGE(""https://docs.google.com/spreadsheets/d/1wydNznS0hZhVh3oGSdiCZSsReuqMT7Xaw718ix58zAI/edit#g"&amp;"id=0"",""'Game 2'!S25""),IMPORTRANGE(""https://docs.google.com/spreadsheets/d/1wydNznS0hZhVh3oGSdiCZSsReuqMT7Xaw718ix58zAI/edit#gid=0"",""'Game 2'!J25"")+50,IMPORTRANGE(""https://docs.google.com/spreadsheets/d/1wydNznS0hZhVh3oGSdiCZSsReuqMT7Xaw718ix58zAI/"&amp;"edit#gid=0"",""'Game 2'!J25""))),IF(IMPORTRANGE(""https://docs.google.com/spreadsheets/d/1wydNznS0hZhVh3oGSdiCZSsReuqMT7Xaw718ix58zAI/edit#gid=0"",""'Game 2'!J25"")&gt;IMPORTRANGE(""https://docs.google.com/spreadsheets/d/1wydNznS0hZhVh3oGSdiCZSsReuqMT7Xaw718"&amp;"ix58zAI/edit#gid=0"",""'Game 2'!S25""),IMPORTRANGE(""https://docs.google.com/spreadsheets/d/1wydNznS0hZhVh3oGSdiCZSsReuqMT7Xaw718ix58zAI/edit#gid=0"",""'Game 2'!S25""),IF(IMPORTRANGE(""https://docs.google.com/spreadsheets/d/1wydNznS0hZhVh3oGSdiCZSsReuqMT7"&amp;"Xaw718ix58zAI/edit#gid=0"",""'Game 2'!J25"")=IMPORTRANGE(""https://docs.google.com/spreadsheets/d/1wydNznS0hZhVh3oGSdiCZSsReuqMT7Xaw718ix58zAI/edit#gid=0"",""'Game 2'!S25""),IMPORTRANGE(""https://docs.google.com/spreadsheets/d/1wydNznS0hZhVh3oGSdiCZSsReuq"&amp;"MT7Xaw718ix58zAI/edit#gid=0"",""'Game 2'!S25"")+50,IMPORTRANGE(""https://docs.google.com/spreadsheets/d/1wydNznS0hZhVh3oGSdiCZSsReuqMT7Xaw718ix58zAI/edit#gid=0"",""'Game 2'!S25"")+100)))"),160.0)</f>
        <v>160</v>
      </c>
      <c r="Q7" s="37">
        <f t="shared" si="1"/>
        <v>476</v>
      </c>
      <c r="R7" s="37">
        <f t="shared" si="2"/>
        <v>22</v>
      </c>
    </row>
    <row r="8">
      <c r="A8" s="33" t="s">
        <v>108</v>
      </c>
      <c r="B8" s="34">
        <v>28.0</v>
      </c>
      <c r="C8" s="34">
        <v>-4.0</v>
      </c>
      <c r="D8" s="34">
        <v>64.0</v>
      </c>
      <c r="E8" s="34">
        <v>4.0</v>
      </c>
      <c r="F8" s="34">
        <v>8.0</v>
      </c>
      <c r="G8" s="5">
        <f>IFERROR(__xludf.DUMMYFUNCTION("IF($A8=IMPORTRANGE(""https://docs.google.com/spreadsheets/d/19gjAD4NwTXl_QoKUuwHQ1cWG_S2BOW94pDcyFtPwheg/edit#gid=0"",""'Game 6'!B1""),IF(IMPORTRANGE(""https://docs.google.com/spreadsheets/d/19gjAD4NwTXl_QoKUuwHQ1cWG_S2BOW94pDcyFtPwheg/edit#gid=0"",""'Gam"&amp;"e 6'!J25"")&gt;IMPORTRANGE(""https://docs.google.com/spreadsheets/d/19gjAD4NwTXl_QoKUuwHQ1cWG_S2BOW94pDcyFtPwheg/edit#gid=0"",""'Game 6'!S25""),IMPORTRANGE(""https://docs.google.com/spreadsheets/d/19gjAD4NwTXl_QoKUuwHQ1cWG_S2BOW94pDcyFtPwheg/edit#gid=0"",""'"&amp;"Game 6'!J25"")+100,IF(IMPORTRANGE(""https://docs.google.com/spreadsheets/d/19gjAD4NwTXl_QoKUuwHQ1cWG_S2BOW94pDcyFtPwheg/edit#gid=0"",""'Game 6'!J25"")=IMPORTRANGE(""https://docs.google.com/spreadsheets/d/19gjAD4NwTXl_QoKUuwHQ1cWG_S2BOW94pDcyFtPwheg/edit#g"&amp;"id=0"",""'Game 6'!S25""),IMPORTRANGE(""https://docs.google.com/spreadsheets/d/19gjAD4NwTXl_QoKUuwHQ1cWG_S2BOW94pDcyFtPwheg/edit#gid=0"",""'Game 6'!J25"")+50,IMPORTRANGE(""https://docs.google.com/spreadsheets/d/19gjAD4NwTXl_QoKUuwHQ1cWG_S2BOW94pDcyFtPwheg/"&amp;"edit#gid=0"",""'Game 6'!J25""))),IF(IMPORTRANGE(""https://docs.google.com/spreadsheets/d/19gjAD4NwTXl_QoKUuwHQ1cWG_S2BOW94pDcyFtPwheg/edit#gid=0"",""'Game 6'!J25"")&gt;IMPORTRANGE(""https://docs.google.com/spreadsheets/d/19gjAD4NwTXl_QoKUuwHQ1cWG_S2BOW94pDcy"&amp;"FtPwheg/edit#gid=0"",""'Game 6'!S25""),IMPORTRANGE(""https://docs.google.com/spreadsheets/d/19gjAD4NwTXl_QoKUuwHQ1cWG_S2BOW94pDcyFtPwheg/edit#gid=0"",""'Game 6'!S25""),IF(IMPORTRANGE(""https://docs.google.com/spreadsheets/d/19gjAD4NwTXl_QoKUuwHQ1cWG_S2BOW"&amp;"94pDcyFtPwheg/edit#gid=0"",""'Game 6'!J25"")=IMPORTRANGE(""https://docs.google.com/spreadsheets/d/19gjAD4NwTXl_QoKUuwHQ1cWG_S2BOW94pDcyFtPwheg/edit#gid=0"",""'Game 6'!S25""),IMPORTRANGE(""https://docs.google.com/spreadsheets/d/19gjAD4NwTXl_QoKUuwHQ1cWG_S2"&amp;"BOW94pDcyFtPwheg/edit#gid=0"",""'Game 6'!S25"")+50,IMPORTRANGE(""https://docs.google.com/spreadsheets/d/19gjAD4NwTXl_QoKUuwHQ1cWG_S2BOW94pDcyFtPwheg/edit#gid=0"",""'Game 6'!S25"")+100)))"),36.0)</f>
        <v>36</v>
      </c>
      <c r="H8" s="5">
        <f>IFERROR(__xludf.DUMMYFUNCTION("IF($A8=IMPORTRANGE(""https://docs.google.com/spreadsheets/d/1l83w8bH-F1czkFOqsgQy6o8O33Jb4Pfg40W0ou2nk0k/edit#gid=0"",""'Game 12'!B1""),IF(IMPORTRANGE(""https://docs.google.com/spreadsheets/d/1l83w8bH-F1czkFOqsgQy6o8O33Jb4Pfg40W0ou2nk0k/edit#gid=0"",""'Ga"&amp;"me 12'!J25"")&gt;IMPORTRANGE(""https://docs.google.com/spreadsheets/d/1l83w8bH-F1czkFOqsgQy6o8O33Jb4Pfg40W0ou2nk0k/edit#gid=0"",""'Game 12'!S25""),IMPORTRANGE(""https://docs.google.com/spreadsheets/d/1l83w8bH-F1czkFOqsgQy6o8O33Jb4Pfg40W0ou2nk0k/edit#gid=0"","&amp;"""'Game 12'!J25"")+100,IF(IMPORTRANGE(""https://docs.google.com/spreadsheets/d/1l83w8bH-F1czkFOqsgQy6o8O33Jb4Pfg40W0ou2nk0k/edit#gid=0"",""'Game 12'!J25"")=IMPORTRANGE(""https://docs.google.com/spreadsheets/d/1l83w8bH-F1czkFOqsgQy6o8O33Jb4Pfg40W0ou2nk0k/e"&amp;"dit#gid=0"",""'Game 12'!S25""),IMPORTRANGE(""https://docs.google.com/spreadsheets/d/1l83w8bH-F1czkFOqsgQy6o8O33Jb4Pfg40W0ou2nk0k/edit#gid=0"",""'Game 12'!J25"")+50,IMPORTRANGE(""https://docs.google.com/spreadsheets/d/1l83w8bH-F1czkFOqsgQy6o8O33Jb4Pfg40W0o"&amp;"u2nk0k/edit#gid=0"",""'Game 12'!J25""))),IF(IMPORTRANGE(""https://docs.google.com/spreadsheets/d/1l83w8bH-F1czkFOqsgQy6o8O33Jb4Pfg40W0ou2nk0k/edit#gid=0"",""'Game 12'!J25"")&gt;IMPORTRANGE(""https://docs.google.com/spreadsheets/d/1l83w8bH-F1czkFOqsgQy6o8O33J"&amp;"b4Pfg40W0ou2nk0k/edit#gid=0"",""'Game 12'!S25""),IMPORTRANGE(""https://docs.google.com/spreadsheets/d/1l83w8bH-F1czkFOqsgQy6o8O33Jb4Pfg40W0ou2nk0k/edit#gid=0"",""'Game 12'!S25""),IF(IMPORTRANGE(""https://docs.google.com/spreadsheets/d/1l83w8bH-F1czkFOqsgQ"&amp;"y6o8O33Jb4Pfg40W0ou2nk0k/edit#gid=0"",""'Game 12'!J25"")=IMPORTRANGE(""https://docs.google.com/spreadsheets/d/1l83w8bH-F1czkFOqsgQy6o8O33Jb4Pfg40W0ou2nk0k/edit#gid=0"",""'Game 12'!S25""),IMPORTRANGE(""https://docs.google.com/spreadsheets/d/1l83w8bH-F1czkF"&amp;"OqsgQy6o8O33Jb4Pfg40W0ou2nk0k/edit#gid=0"",""'Game 12'!S25"")+50,IMPORTRANGE(""https://docs.google.com/spreadsheets/d/1l83w8bH-F1czkFOqsgQy6o8O33Jb4Pfg40W0ou2nk0k/edit#gid=0"",""'Game 12'!S25"")+100)))"),20.0)</f>
        <v>20</v>
      </c>
      <c r="I8" s="5">
        <f>IFERROR(__xludf.DUMMYFUNCTION("IF($A8=IMPORTRANGE(""https://docs.google.com/spreadsheets/d/15X-ub7GvrCQZ3UGgyogcjwYdxG-Ng8WHxzGSj1Z3eLw/edit#gid=0"",""'Game 10'!B1""),IF(IMPORTRANGE(""https://docs.google.com/spreadsheets/d/15X-ub7GvrCQZ3UGgyogcjwYdxG-Ng8WHxzGSj1Z3eLw/edit#gid=0"",""'Ga"&amp;"me 10'!J25"")&gt;IMPORTRANGE(""https://docs.google.com/spreadsheets/d/15X-ub7GvrCQZ3UGgyogcjwYdxG-Ng8WHxzGSj1Z3eLw/edit#gid=0"",""'Game 10'!S25""),IMPORTRANGE(""https://docs.google.com/spreadsheets/d/15X-ub7GvrCQZ3UGgyogcjwYdxG-Ng8WHxzGSj1Z3eLw/edit#gid=0"","&amp;"""'Game 10'!J25"")+100,IF(IMPORTRANGE(""https://docs.google.com/spreadsheets/d/15X-ub7GvrCQZ3UGgyogcjwYdxG-Ng8WHxzGSj1Z3eLw/edit#gid=0"",""'Game 10'!J25"")=IMPORTRANGE(""https://docs.google.com/spreadsheets/d/15X-ub7GvrCQZ3UGgyogcjwYdxG-Ng8WHxzGSj1Z3eLw/e"&amp;"dit#gid=0"",""'Game 10'!S25""),IMPORTRANGE(""https://docs.google.com/spreadsheets/d/15X-ub7GvrCQZ3UGgyogcjwYdxG-Ng8WHxzGSj1Z3eLw/edit#gid=0"",""'Game 10'!J25"")+50,IMPORTRANGE(""https://docs.google.com/spreadsheets/d/15X-ub7GvrCQZ3UGgyogcjwYdxG-Ng8WHxzGSj"&amp;"1Z3eLw/edit#gid=0"",""'Game 10'!J25""))),IF(IMPORTRANGE(""https://docs.google.com/spreadsheets/d/15X-ub7GvrCQZ3UGgyogcjwYdxG-Ng8WHxzGSj1Z3eLw/edit#gid=0"",""'Game 10'!J25"")&gt;IMPORTRANGE(""https://docs.google.com/spreadsheets/d/15X-ub7GvrCQZ3UGgyogcjwYdxG-"&amp;"Ng8WHxzGSj1Z3eLw/edit#gid=0"",""'Game 10'!S25""),IMPORTRANGE(""https://docs.google.com/spreadsheets/d/15X-ub7GvrCQZ3UGgyogcjwYdxG-Ng8WHxzGSj1Z3eLw/edit#gid=0"",""'Game 10'!S25""),IF(IMPORTRANGE(""https://docs.google.com/spreadsheets/d/15X-ub7GvrCQZ3UGgyog"&amp;"cjwYdxG-Ng8WHxzGSj1Z3eLw/edit#gid=0"",""'Game 10'!J25"")=IMPORTRANGE(""https://docs.google.com/spreadsheets/d/15X-ub7GvrCQZ3UGgyogcjwYdxG-Ng8WHxzGSj1Z3eLw/edit#gid=0"",""'Game 10'!S25""),IMPORTRANGE(""https://docs.google.com/spreadsheets/d/15X-ub7GvrCQZ3U"&amp;"GgyogcjwYdxG-Ng8WHxzGSj1Z3eLw/edit#gid=0"",""'Game 10'!S25"")+50,IMPORTRANGE(""https://docs.google.com/spreadsheets/d/15X-ub7GvrCQZ3UGgyogcjwYdxG-Ng8WHxzGSj1Z3eLw/edit#gid=0"",""'Game 10'!S25"")+100)))"),12.0)</f>
        <v>12</v>
      </c>
      <c r="J8" s="5">
        <f>IFERROR(__xludf.DUMMYFUNCTION("IF($A8=IMPORTRANGE(""https://docs.google.com/spreadsheets/d/194Bw3ABslPPhOOPvVoMzIk8sOQFICWBu2pydWdYMD-w/edit#gid=0"",""'Game 7'!B1""),IF(IMPORTRANGE(""https://docs.google.com/spreadsheets/d/194Bw3ABslPPhOOPvVoMzIk8sOQFICWBu2pydWdYMD-w/edit#gid=0"",""'Gam"&amp;"e 7'!J25"")&gt;IMPORTRANGE(""https://docs.google.com/spreadsheets/d/194Bw3ABslPPhOOPvVoMzIk8sOQFICWBu2pydWdYMD-w/edit#gid=0"",""'Game 7'!S25""),IMPORTRANGE(""https://docs.google.com/spreadsheets/d/194Bw3ABslPPhOOPvVoMzIk8sOQFICWBu2pydWdYMD-w/edit#gid=0"",""'"&amp;"Game 7'!J25"")+100,IF(IMPORTRANGE(""https://docs.google.com/spreadsheets/d/194Bw3ABslPPhOOPvVoMzIk8sOQFICWBu2pydWdYMD-w/edit#gid=0"",""'Game 7'!J25"")=IMPORTRANGE(""https://docs.google.com/spreadsheets/d/194Bw3ABslPPhOOPvVoMzIk8sOQFICWBu2pydWdYMD-w/edit#g"&amp;"id=0"",""'Game 7'!S25""),IMPORTRANGE(""https://docs.google.com/spreadsheets/d/194Bw3ABslPPhOOPvVoMzIk8sOQFICWBu2pydWdYMD-w/edit#gid=0"",""'Game 7'!J25"")+50,IMPORTRANGE(""https://docs.google.com/spreadsheets/d/194Bw3ABslPPhOOPvVoMzIk8sOQFICWBu2pydWdYMD-w/"&amp;"edit#gid=0"",""'Game 7'!J25""))),IF(IMPORTRANGE(""https://docs.google.com/spreadsheets/d/194Bw3ABslPPhOOPvVoMzIk8sOQFICWBu2pydWdYMD-w/edit#gid=0"",""'Game 7'!J25"")&gt;IMPORTRANGE(""https://docs.google.com/spreadsheets/d/194Bw3ABslPPhOOPvVoMzIk8sOQFICWBu2pyd"&amp;"WdYMD-w/edit#gid=0"",""'Game 7'!S25""),IMPORTRANGE(""https://docs.google.com/spreadsheets/d/194Bw3ABslPPhOOPvVoMzIk8sOQFICWBu2pydWdYMD-w/edit#gid=0"",""'Game 7'!S25""),IF(IMPORTRANGE(""https://docs.google.com/spreadsheets/d/194Bw3ABslPPhOOPvVoMzIk8sOQFICW"&amp;"Bu2pydWdYMD-w/edit#gid=0"",""'Game 7'!J25"")=IMPORTRANGE(""https://docs.google.com/spreadsheets/d/194Bw3ABslPPhOOPvVoMzIk8sOQFICWBu2pydWdYMD-w/edit#gid=0"",""'Game 7'!S25""),IMPORTRANGE(""https://docs.google.com/spreadsheets/d/194Bw3ABslPPhOOPvVoMzIk8sOQF"&amp;"ICWBu2pydWdYMD-w/edit#gid=0"",""'Game 7'!S25"")+50,IMPORTRANGE(""https://docs.google.com/spreadsheets/d/194Bw3ABslPPhOOPvVoMzIk8sOQFICWBu2pydWdYMD-w/edit#gid=0"",""'Game 7'!S25"")+100)))"),26.0)</f>
        <v>26</v>
      </c>
      <c r="K8" s="5">
        <f>IFERROR(__xludf.DUMMYFUNCTION("IF($A8=IMPORTRANGE(""https://docs.google.com/spreadsheets/d/1F2Bi6K_I1K9xRxY5qb-bNRo5m-Kw7udpF1OaTHhrxjs/edit#gid=0"",""'Game 10'!B1""),IF(IMPORTRANGE(""https://docs.google.com/spreadsheets/d/1F2Bi6K_I1K9xRxY5qb-bNRo5m-Kw7udpF1OaTHhrxjs/edit#gid=0"",""'Ga"&amp;"me 10'!J25"")&gt;IMPORTRANGE(""https://docs.google.com/spreadsheets/d/1F2Bi6K_I1K9xRxY5qb-bNRo5m-Kw7udpF1OaTHhrxjs/edit#gid=0"",""'Game 10'!S25""),IMPORTRANGE(""https://docs.google.com/spreadsheets/d/1F2Bi6K_I1K9xRxY5qb-bNRo5m-Kw7udpF1OaTHhrxjs/edit#gid=0"","&amp;"""'Game 10'!J25"")+100,IF(IMPORTRANGE(""https://docs.google.com/spreadsheets/d/1F2Bi6K_I1K9xRxY5qb-bNRo5m-Kw7udpF1OaTHhrxjs/edit#gid=0"",""'Game 10'!J25"")=IMPORTRANGE(""https://docs.google.com/spreadsheets/d/1F2Bi6K_I1K9xRxY5qb-bNRo5m-Kw7udpF1OaTHhrxjs/e"&amp;"dit#gid=0"",""'Game 10'!S25""),IMPORTRANGE(""https://docs.google.com/spreadsheets/d/1F2Bi6K_I1K9xRxY5qb-bNRo5m-Kw7udpF1OaTHhrxjs/edit#gid=0"",""'Game 10'!J25"")+50,IMPORTRANGE(""https://docs.google.com/spreadsheets/d/1F2Bi6K_I1K9xRxY5qb-bNRo5m-Kw7udpF1OaT"&amp;"Hhrxjs/edit#gid=0"",""'Game 10'!J25""))),IF(IMPORTRANGE(""https://docs.google.com/spreadsheets/d/1F2Bi6K_I1K9xRxY5qb-bNRo5m-Kw7udpF1OaTHhrxjs/edit#gid=0"",""'Game 10'!J25"")&gt;IMPORTRANGE(""https://docs.google.com/spreadsheets/d/1F2Bi6K_I1K9xRxY5qb-bNRo5m-K"&amp;"w7udpF1OaTHhrxjs/edit#gid=0"",""'Game 10'!S25""),IMPORTRANGE(""https://docs.google.com/spreadsheets/d/1F2Bi6K_I1K9xRxY5qb-bNRo5m-Kw7udpF1OaTHhrxjs/edit#gid=0"",""'Game 10'!S25""),IF(IMPORTRANGE(""https://docs.google.com/spreadsheets/d/1F2Bi6K_I1K9xRxY5qb-"&amp;"bNRo5m-Kw7udpF1OaTHhrxjs/edit#gid=0"",""'Game 10'!J25"")=IMPORTRANGE(""https://docs.google.com/spreadsheets/d/1F2Bi6K_I1K9xRxY5qb-bNRo5m-Kw7udpF1OaTHhrxjs/edit#gid=0"",""'Game 10'!S25""),IMPORTRANGE(""https://docs.google.com/spreadsheets/d/1F2Bi6K_I1K9xRx"&amp;"Y5qb-bNRo5m-Kw7udpF1OaTHhrxjs/edit#gid=0"",""'Game 10'!S25"")+50,IMPORTRANGE(""https://docs.google.com/spreadsheets/d/1F2Bi6K_I1K9xRxY5qb-bNRo5m-Kw7udpF1OaTHhrxjs/edit#gid=0"",""'Game 10'!S25"")+100)))"),36.0)</f>
        <v>36</v>
      </c>
      <c r="L8" s="5">
        <f>IFERROR(__xludf.DUMMYFUNCTION("IF($A8=IMPORTRANGE(""https://docs.google.com/spreadsheets/d/1NDNgi_Ny4dRhc2A3UMIIkalN-V6EmsvxOfDzMRQlQ40/edit#gid=0"",""'Game 9'!B1""),IF(IMPORTRANGE(""https://docs.google.com/spreadsheets/d/1NDNgi_Ny4dRhc2A3UMIIkalN-V6EmsvxOfDzMRQlQ40/edit#gid=0"",""'Gam"&amp;"e 9'!J25"")&gt;IMPORTRANGE(""https://docs.google.com/spreadsheets/d/1NDNgi_Ny4dRhc2A3UMIIkalN-V6EmsvxOfDzMRQlQ40/edit#gid=0"",""'Game 9'!S25""),IMPORTRANGE(""https://docs.google.com/spreadsheets/d/1NDNgi_Ny4dRhc2A3UMIIkalN-V6EmsvxOfDzMRQlQ40/edit#gid=0"",""'"&amp;"Game 9'!J25"")+100,IF(IMPORTRANGE(""https://docs.google.com/spreadsheets/d/1NDNgi_Ny4dRhc2A3UMIIkalN-V6EmsvxOfDzMRQlQ40/edit#gid=0"",""'Game 9'!J25"")=IMPORTRANGE(""https://docs.google.com/spreadsheets/d/1NDNgi_Ny4dRhc2A3UMIIkalN-V6EmsvxOfDzMRQlQ40/edit#g"&amp;"id=0"",""'Game 9'!S25""),IMPORTRANGE(""https://docs.google.com/spreadsheets/d/1NDNgi_Ny4dRhc2A3UMIIkalN-V6EmsvxOfDzMRQlQ40/edit#gid=0"",""'Game 9'!J25"")+50,IMPORTRANGE(""https://docs.google.com/spreadsheets/d/1NDNgi_Ny4dRhc2A3UMIIkalN-V6EmsvxOfDzMRQlQ40/"&amp;"edit#gid=0"",""'Game 9'!J25""))),IF(IMPORTRANGE(""https://docs.google.com/spreadsheets/d/1NDNgi_Ny4dRhc2A3UMIIkalN-V6EmsvxOfDzMRQlQ40/edit#gid=0"",""'Game 9'!J25"")&gt;IMPORTRANGE(""https://docs.google.com/spreadsheets/d/1NDNgi_Ny4dRhc2A3UMIIkalN-V6EmsvxOfDz"&amp;"MRQlQ40/edit#gid=0"",""'Game 9'!S25""),IMPORTRANGE(""https://docs.google.com/spreadsheets/d/1NDNgi_Ny4dRhc2A3UMIIkalN-V6EmsvxOfDzMRQlQ40/edit#gid=0"",""'Game 9'!S25""),IF(IMPORTRANGE(""https://docs.google.com/spreadsheets/d/1NDNgi_Ny4dRhc2A3UMIIkalN-V6Ems"&amp;"vxOfDzMRQlQ40/edit#gid=0"",""'Game 9'!J25"")=IMPORTRANGE(""https://docs.google.com/spreadsheets/d/1NDNgi_Ny4dRhc2A3UMIIkalN-V6EmsvxOfDzMRQlQ40/edit#gid=0"",""'Game 9'!S25""),IMPORTRANGE(""https://docs.google.com/spreadsheets/d/1NDNgi_Ny4dRhc2A3UMIIkalN-V6"&amp;"EmsvxOfDzMRQlQ40/edit#gid=0"",""'Game 9'!S25"")+50,IMPORTRANGE(""https://docs.google.com/spreadsheets/d/1NDNgi_Ny4dRhc2A3UMIIkalN-V6EmsvxOfDzMRQlQ40/edit#gid=0"",""'Game 9'!S25"")+100)))"),40.0)</f>
        <v>40</v>
      </c>
      <c r="M8" s="5">
        <f>IFERROR(__xludf.DUMMYFUNCTION("IF($A8=IMPORTRANGE(""https://docs.google.com/spreadsheets/d/1UDYA3-RrkJNLa2ZLH1NnUjKyfCoiSODmgVL_Au_zt-Y/edit#gid=0"",""'Game 7'!B1""),IF(IMPORTRANGE(""https://docs.google.com/spreadsheets/d/1UDYA3-RrkJNLa2ZLH1NnUjKyfCoiSODmgVL_Au_zt-Y/edit#gid=0"",""'Gam"&amp;"e 7'!J25"")&gt;IMPORTRANGE(""https://docs.google.com/spreadsheets/d/1UDYA3-RrkJNLa2ZLH1NnUjKyfCoiSODmgVL_Au_zt-Y/edit#gid=0"",""'Game 7'!S25""),IMPORTRANGE(""https://docs.google.com/spreadsheets/d/1UDYA3-RrkJNLa2ZLH1NnUjKyfCoiSODmgVL_Au_zt-Y/edit#gid=0"",""'"&amp;"Game 7'!J25"")+100,IF(IMPORTRANGE(""https://docs.google.com/spreadsheets/d/1UDYA3-RrkJNLa2ZLH1NnUjKyfCoiSODmgVL_Au_zt-Y/edit#gid=0"",""'Game 7'!J25"")=IMPORTRANGE(""https://docs.google.com/spreadsheets/d/1UDYA3-RrkJNLa2ZLH1NnUjKyfCoiSODmgVL_Au_zt-Y/edit#g"&amp;"id=0"",""'Game 7'!S25""),IMPORTRANGE(""https://docs.google.com/spreadsheets/d/1UDYA3-RrkJNLa2ZLH1NnUjKyfCoiSODmgVL_Au_zt-Y/edit#gid=0"",""'Game 7'!J25"")+50,IMPORTRANGE(""https://docs.google.com/spreadsheets/d/1UDYA3-RrkJNLa2ZLH1NnUjKyfCoiSODmgVL_Au_zt-Y/"&amp;"edit#gid=0"",""'Game 7'!J25""))),IF(IMPORTRANGE(""https://docs.google.com/spreadsheets/d/1UDYA3-RrkJNLa2ZLH1NnUjKyfCoiSODmgVL_Au_zt-Y/edit#gid=0"",""'Game 7'!J25"")&gt;IMPORTRANGE(""https://docs.google.com/spreadsheets/d/1UDYA3-RrkJNLa2ZLH1NnUjKyfCoiSODmgVL_"&amp;"Au_zt-Y/edit#gid=0"",""'Game 7'!S25""),IMPORTRANGE(""https://docs.google.com/spreadsheets/d/1UDYA3-RrkJNLa2ZLH1NnUjKyfCoiSODmgVL_Au_zt-Y/edit#gid=0"",""'Game 7'!S25""),IF(IMPORTRANGE(""https://docs.google.com/spreadsheets/d/1UDYA3-RrkJNLa2ZLH1NnUjKyfCoiSO"&amp;"DmgVL_Au_zt-Y/edit#gid=0"",""'Game 7'!J25"")=IMPORTRANGE(""https://docs.google.com/spreadsheets/d/1UDYA3-RrkJNLa2ZLH1NnUjKyfCoiSODmgVL_Au_zt-Y/edit#gid=0"",""'Game 7'!S25""),IMPORTRANGE(""https://docs.google.com/spreadsheets/d/1UDYA3-RrkJNLa2ZLH1NnUjKyfCo"&amp;"iSODmgVL_Au_zt-Y/edit#gid=0"",""'Game 7'!S25"")+50,IMPORTRANGE(""https://docs.google.com/spreadsheets/d/1UDYA3-RrkJNLa2ZLH1NnUjKyfCoiSODmgVL_Au_zt-Y/edit#gid=0"",""'Game 7'!S25"")+100)))"),28.0)</f>
        <v>28</v>
      </c>
      <c r="N8" s="5">
        <f>IFERROR(__xludf.DUMMYFUNCTION("IF($A8=IMPORTRANGE(""https://docs.google.com/spreadsheets/d/1fvo6H94Wcffp6c4N9g3JKCW6y2ZlijPxdOsNz7xdBhw/edit#gid=0"",""'Game 9'!B1""),IF(IMPORTRANGE(""https://docs.google.com/spreadsheets/d/1fvo6H94Wcffp6c4N9g3JKCW6y2ZlijPxdOsNz7xdBhw/edit#gid=0"",""'Gam"&amp;"e 9'!J25"")&gt;IMPORTRANGE(""https://docs.google.com/spreadsheets/d/1fvo6H94Wcffp6c4N9g3JKCW6y2ZlijPxdOsNz7xdBhw/edit#gid=0"",""'Game 9'!S25""),IMPORTRANGE(""https://docs.google.com/spreadsheets/d/1fvo6H94Wcffp6c4N9g3JKCW6y2ZlijPxdOsNz7xdBhw/edit#gid=0"",""'"&amp;"Game 9'!J25"")+100,IF(IMPORTRANGE(""https://docs.google.com/spreadsheets/d/1fvo6H94Wcffp6c4N9g3JKCW6y2ZlijPxdOsNz7xdBhw/edit#gid=0"",""'Game 9'!J25"")=IMPORTRANGE(""https://docs.google.com/spreadsheets/d/1fvo6H94Wcffp6c4N9g3JKCW6y2ZlijPxdOsNz7xdBhw/edit#g"&amp;"id=0"",""'Game 9'!S25""),IMPORTRANGE(""https://docs.google.com/spreadsheets/d/1fvo6H94Wcffp6c4N9g3JKCW6y2ZlijPxdOsNz7xdBhw/edit#gid=0"",""'Game 9'!J25"")+50,IMPORTRANGE(""https://docs.google.com/spreadsheets/d/1fvo6H94Wcffp6c4N9g3JKCW6y2ZlijPxdOsNz7xdBhw/"&amp;"edit#gid=0"",""'Game 9'!J25""))),IF(IMPORTRANGE(""https://docs.google.com/spreadsheets/d/1fvo6H94Wcffp6c4N9g3JKCW6y2ZlijPxdOsNz7xdBhw/edit#gid=0"",""'Game 9'!J25"")&gt;IMPORTRANGE(""https://docs.google.com/spreadsheets/d/1fvo6H94Wcffp6c4N9g3JKCW6y2ZlijPxdOsN"&amp;"z7xdBhw/edit#gid=0"",""'Game 9'!S25""),IMPORTRANGE(""https://docs.google.com/spreadsheets/d/1fvo6H94Wcffp6c4N9g3JKCW6y2ZlijPxdOsNz7xdBhw/edit#gid=0"",""'Game 9'!S25""),IF(IMPORTRANGE(""https://docs.google.com/spreadsheets/d/1fvo6H94Wcffp6c4N9g3JKCW6y2Zlij"&amp;"PxdOsNz7xdBhw/edit#gid=0"",""'Game 9'!J25"")=IMPORTRANGE(""https://docs.google.com/spreadsheets/d/1fvo6H94Wcffp6c4N9g3JKCW6y2ZlijPxdOsNz7xdBhw/edit#gid=0"",""'Game 9'!S25""),IMPORTRANGE(""https://docs.google.com/spreadsheets/d/1fvo6H94Wcffp6c4N9g3JKCW6y2Z"&amp;"lijPxdOsNz7xdBhw/edit#gid=0"",""'Game 9'!S25"")+50,IMPORTRANGE(""https://docs.google.com/spreadsheets/d/1fvo6H94Wcffp6c4N9g3JKCW6y2ZlijPxdOsNz7xdBhw/edit#gid=0"",""'Game 9'!S25"")+100)))"),50.0)</f>
        <v>50</v>
      </c>
      <c r="O8" s="5">
        <f>IFERROR(__xludf.DUMMYFUNCTION("IF($A8=IMPORTRANGE(""https://docs.google.com/spreadsheets/d/1wfQePArl-A-5QJe5xAufoOnzeNLVSoHCRcmpZ_FMdns/edit#gid=0"",""'Game 3'!B1""),IF(IMPORTRANGE(""https://docs.google.com/spreadsheets/d/1wfQePArl-A-5QJe5xAufoOnzeNLVSoHCRcmpZ_FMdns/edit#gid=0"",""'Gam"&amp;"e 3'!J25"")&gt;IMPORTRANGE(""https://docs.google.com/spreadsheets/d/1wfQePArl-A-5QJe5xAufoOnzeNLVSoHCRcmpZ_FMdns/edit#gid=0"",""'Game 3'!S25""),IMPORTRANGE(""https://docs.google.com/spreadsheets/d/1wfQePArl-A-5QJe5xAufoOnzeNLVSoHCRcmpZ_FMdns/edit#gid=0"",""'"&amp;"Game 3'!J25"")+100,IF(IMPORTRANGE(""https://docs.google.com/spreadsheets/d/1wfQePArl-A-5QJe5xAufoOnzeNLVSoHCRcmpZ_FMdns/edit#gid=0"",""'Game 3'!J25"")=IMPORTRANGE(""https://docs.google.com/spreadsheets/d/1wfQePArl-A-5QJe5xAufoOnzeNLVSoHCRcmpZ_FMdns/edit#g"&amp;"id=0"",""'Game 3'!S25""),IMPORTRANGE(""https://docs.google.com/spreadsheets/d/1wfQePArl-A-5QJe5xAufoOnzeNLVSoHCRcmpZ_FMdns/edit#gid=0"",""'Game 3'!J25"")+50,IMPORTRANGE(""https://docs.google.com/spreadsheets/d/1wfQePArl-A-5QJe5xAufoOnzeNLVSoHCRcmpZ_FMdns/"&amp;"edit#gid=0"",""'Game 3'!J25""))),IF(IMPORTRANGE(""https://docs.google.com/spreadsheets/d/1wfQePArl-A-5QJe5xAufoOnzeNLVSoHCRcmpZ_FMdns/edit#gid=0"",""'Game 3'!J25"")&gt;IMPORTRANGE(""https://docs.google.com/spreadsheets/d/1wfQePArl-A-5QJe5xAufoOnzeNLVSoHCRcmp"&amp;"Z_FMdns/edit#gid=0"",""'Game 3'!S25""),IMPORTRANGE(""https://docs.google.com/spreadsheets/d/1wfQePArl-A-5QJe5xAufoOnzeNLVSoHCRcmpZ_FMdns/edit#gid=0"",""'Game 3'!S25""),IF(IMPORTRANGE(""https://docs.google.com/spreadsheets/d/1wfQePArl-A-5QJe5xAufoOnzeNLVSo"&amp;"HCRcmpZ_FMdns/edit#gid=0"",""'Game 3'!J25"")=IMPORTRANGE(""https://docs.google.com/spreadsheets/d/1wfQePArl-A-5QJe5xAufoOnzeNLVSoHCRcmpZ_FMdns/edit#gid=0"",""'Game 3'!S25""),IMPORTRANGE(""https://docs.google.com/spreadsheets/d/1wfQePArl-A-5QJe5xAufoOnzeNL"&amp;"VSoHCRcmpZ_FMdns/edit#gid=0"",""'Game 3'!S25"")+50,IMPORTRANGE(""https://docs.google.com/spreadsheets/d/1wfQePArl-A-5QJe5xAufoOnzeNLVSoHCRcmpZ_FMdns/edit#gid=0"",""'Game 3'!S25"")+100)))"),18.0)</f>
        <v>18</v>
      </c>
      <c r="P8" s="5">
        <f>IFERROR(__xludf.DUMMYFUNCTION("IF($A8=IMPORTRANGE(""https://docs.google.com/spreadsheets/d/1wydNznS0hZhVh3oGSdiCZSsReuqMT7Xaw718ix58zAI/edit#gid=0"",""'Game 2'!B1""),IF(IMPORTRANGE(""https://docs.google.com/spreadsheets/d/1wydNznS0hZhVh3oGSdiCZSsReuqMT7Xaw718ix58zAI/edit#gid=0"",""'Gam"&amp;"e 2'!J25"")&gt;IMPORTRANGE(""https://docs.google.com/spreadsheets/d/1wydNznS0hZhVh3oGSdiCZSsReuqMT7Xaw718ix58zAI/edit#gid=0"",""'Game 2'!S25""),IMPORTRANGE(""https://docs.google.com/spreadsheets/d/1wydNznS0hZhVh3oGSdiCZSsReuqMT7Xaw718ix58zAI/edit#gid=0"",""'"&amp;"Game 2'!J25"")+100,IF(IMPORTRANGE(""https://docs.google.com/spreadsheets/d/1wydNznS0hZhVh3oGSdiCZSsReuqMT7Xaw718ix58zAI/edit#gid=0"",""'Game 2'!J25"")=IMPORTRANGE(""https://docs.google.com/spreadsheets/d/1wydNznS0hZhVh3oGSdiCZSsReuqMT7Xaw718ix58zAI/edit#g"&amp;"id=0"",""'Game 2'!S25""),IMPORTRANGE(""https://docs.google.com/spreadsheets/d/1wydNznS0hZhVh3oGSdiCZSsReuqMT7Xaw718ix58zAI/edit#gid=0"",""'Game 2'!J25"")+50,IMPORTRANGE(""https://docs.google.com/spreadsheets/d/1wydNznS0hZhVh3oGSdiCZSsReuqMT7Xaw718ix58zAI/"&amp;"edit#gid=0"",""'Game 2'!J25""))),IF(IMPORTRANGE(""https://docs.google.com/spreadsheets/d/1wydNznS0hZhVh3oGSdiCZSsReuqMT7Xaw718ix58zAI/edit#gid=0"",""'Game 2'!J25"")&gt;IMPORTRANGE(""https://docs.google.com/spreadsheets/d/1wydNznS0hZhVh3oGSdiCZSsReuqMT7Xaw718"&amp;"ix58zAI/edit#gid=0"",""'Game 2'!S25""),IMPORTRANGE(""https://docs.google.com/spreadsheets/d/1wydNznS0hZhVh3oGSdiCZSsReuqMT7Xaw718ix58zAI/edit#gid=0"",""'Game 2'!S25""),IF(IMPORTRANGE(""https://docs.google.com/spreadsheets/d/1wydNznS0hZhVh3oGSdiCZSsReuqMT7"&amp;"Xaw718ix58zAI/edit#gid=0"",""'Game 2'!J25"")=IMPORTRANGE(""https://docs.google.com/spreadsheets/d/1wydNznS0hZhVh3oGSdiCZSsReuqMT7Xaw718ix58zAI/edit#gid=0"",""'Game 2'!S25""),IMPORTRANGE(""https://docs.google.com/spreadsheets/d/1wydNznS0hZhVh3oGSdiCZSsReuq"&amp;"MT7Xaw718ix58zAI/edit#gid=0"",""'Game 2'!S25"")+50,IMPORTRANGE(""https://docs.google.com/spreadsheets/d/1wydNznS0hZhVh3oGSdiCZSsReuqMT7Xaw718ix58zAI/edit#gid=0"",""'Game 2'!S25"")+100)))"),26.0)</f>
        <v>26</v>
      </c>
      <c r="Q8" s="35">
        <f t="shared" si="1"/>
        <v>392</v>
      </c>
      <c r="R8" s="35">
        <f t="shared" si="2"/>
        <v>24</v>
      </c>
    </row>
    <row r="9">
      <c r="A9" s="32" t="s">
        <v>120</v>
      </c>
      <c r="B9" s="36">
        <v>194.0</v>
      </c>
      <c r="C9" s="36">
        <v>40.0</v>
      </c>
      <c r="D9" s="36">
        <v>56.0</v>
      </c>
      <c r="E9" s="36">
        <v>28.0</v>
      </c>
      <c r="F9" s="36">
        <v>174.0</v>
      </c>
      <c r="G9" s="12">
        <f>IFERROR(__xludf.DUMMYFUNCTION("IF($A9=IMPORTRANGE(""https://docs.google.com/spreadsheets/d/19gjAD4NwTXl_QoKUuwHQ1cWG_S2BOW94pDcyFtPwheg/edit#gid=0"",""'Game 11'!B1""),IF(IMPORTRANGE(""https://docs.google.com/spreadsheets/d/19gjAD4NwTXl_QoKUuwHQ1cWG_S2BOW94pDcyFtPwheg/edit#gid=0"",""'Ga"&amp;"me 11'!J25"")&gt;IMPORTRANGE(""https://docs.google.com/spreadsheets/d/19gjAD4NwTXl_QoKUuwHQ1cWG_S2BOW94pDcyFtPwheg/edit#gid=0"",""'Game 11'!S25""),IMPORTRANGE(""https://docs.google.com/spreadsheets/d/19gjAD4NwTXl_QoKUuwHQ1cWG_S2BOW94pDcyFtPwheg/edit#gid=0"","&amp;"""'Game 11'!J25"")+100,IF(IMPORTRANGE(""https://docs.google.com/spreadsheets/d/19gjAD4NwTXl_QoKUuwHQ1cWG_S2BOW94pDcyFtPwheg/edit#gid=0"",""'Game 11'!J25"")=IMPORTRANGE(""https://docs.google.com/spreadsheets/d/19gjAD4NwTXl_QoKUuwHQ1cWG_S2BOW94pDcyFtPwheg/e"&amp;"dit#gid=0"",""'Game 11'!S25""),IMPORTRANGE(""https://docs.google.com/spreadsheets/d/19gjAD4NwTXl_QoKUuwHQ1cWG_S2BOW94pDcyFtPwheg/edit#gid=0"",""'Game 11'!J25"")+50,IMPORTRANGE(""https://docs.google.com/spreadsheets/d/19gjAD4NwTXl_QoKUuwHQ1cWG_S2BOW94pDcyF"&amp;"tPwheg/edit#gid=0"",""'Game 11'!J25""))),IF(IMPORTRANGE(""https://docs.google.com/spreadsheets/d/19gjAD4NwTXl_QoKUuwHQ1cWG_S2BOW94pDcyFtPwheg/edit#gid=0"",""'Game 11'!J25"")&gt;IMPORTRANGE(""https://docs.google.com/spreadsheets/d/19gjAD4NwTXl_QoKUuwHQ1cWG_S2"&amp;"BOW94pDcyFtPwheg/edit#gid=0"",""'Game 11'!S25""),IMPORTRANGE(""https://docs.google.com/spreadsheets/d/19gjAD4NwTXl_QoKUuwHQ1cWG_S2BOW94pDcyFtPwheg/edit#gid=0"",""'Game 11'!S25""),IF(IMPORTRANGE(""https://docs.google.com/spreadsheets/d/19gjAD4NwTXl_QoKUuwH"&amp;"Q1cWG_S2BOW94pDcyFtPwheg/edit#gid=0"",""'Game 11'!J25"")=IMPORTRANGE(""https://docs.google.com/spreadsheets/d/19gjAD4NwTXl_QoKUuwHQ1cWG_S2BOW94pDcyFtPwheg/edit#gid=0"",""'Game 11'!S25""),IMPORTRANGE(""https://docs.google.com/spreadsheets/d/19gjAD4NwTXl_Qo"&amp;"KUuwHQ1cWG_S2BOW94pDcyFtPwheg/edit#gid=0"",""'Game 11'!S25"")+50,IMPORTRANGE(""https://docs.google.com/spreadsheets/d/19gjAD4NwTXl_QoKUuwHQ1cWG_S2BOW94pDcyFtPwheg/edit#gid=0"",""'Game 11'!S25"")+100)))"),42.0)</f>
        <v>42</v>
      </c>
      <c r="H9" s="12">
        <f>IFERROR(__xludf.DUMMYFUNCTION("IF($A9=IMPORTRANGE(""https://docs.google.com/spreadsheets/d/1l83w8bH-F1czkFOqsgQy6o8O33Jb4Pfg40W0ou2nk0k/edit#gid=0"",""'Game 8'!B1""),IF(IMPORTRANGE(""https://docs.google.com/spreadsheets/d/1l83w8bH-F1czkFOqsgQy6o8O33Jb4Pfg40W0ou2nk0k/edit#gid=0"",""'Gam"&amp;"e 8'!J25"")&gt;IMPORTRANGE(""https://docs.google.com/spreadsheets/d/1l83w8bH-F1czkFOqsgQy6o8O33Jb4Pfg40W0ou2nk0k/edit#gid=0"",""'Game 8'!S25""),IMPORTRANGE(""https://docs.google.com/spreadsheets/d/1l83w8bH-F1czkFOqsgQy6o8O33Jb4Pfg40W0ou2nk0k/edit#gid=0"",""'"&amp;"Game 8'!J25"")+100,IF(IMPORTRANGE(""https://docs.google.com/spreadsheets/d/1l83w8bH-F1czkFOqsgQy6o8O33Jb4Pfg40W0ou2nk0k/edit#gid=0"",""'Game 8'!J25"")=IMPORTRANGE(""https://docs.google.com/spreadsheets/d/1l83w8bH-F1czkFOqsgQy6o8O33Jb4Pfg40W0ou2nk0k/edit#g"&amp;"id=0"",""'Game 8'!S25""),IMPORTRANGE(""https://docs.google.com/spreadsheets/d/1l83w8bH-F1czkFOqsgQy6o8O33Jb4Pfg40W0ou2nk0k/edit#gid=0"",""'Game 8'!J25"")+50,IMPORTRANGE(""https://docs.google.com/spreadsheets/d/1l83w8bH-F1czkFOqsgQy6o8O33Jb4Pfg40W0ou2nk0k/"&amp;"edit#gid=0"",""'Game 8'!J25""))),IF(IMPORTRANGE(""https://docs.google.com/spreadsheets/d/1l83w8bH-F1czkFOqsgQy6o8O33Jb4Pfg40W0ou2nk0k/edit#gid=0"",""'Game 8'!J25"")&gt;IMPORTRANGE(""https://docs.google.com/spreadsheets/d/1l83w8bH-F1czkFOqsgQy6o8O33Jb4Pfg40W0"&amp;"ou2nk0k/edit#gid=0"",""'Game 8'!S25""),IMPORTRANGE(""https://docs.google.com/spreadsheets/d/1l83w8bH-F1czkFOqsgQy6o8O33Jb4Pfg40W0ou2nk0k/edit#gid=0"",""'Game 8'!S25""),IF(IMPORTRANGE(""https://docs.google.com/spreadsheets/d/1l83w8bH-F1czkFOqsgQy6o8O33Jb4P"&amp;"fg40W0ou2nk0k/edit#gid=0"",""'Game 8'!J25"")=IMPORTRANGE(""https://docs.google.com/spreadsheets/d/1l83w8bH-F1czkFOqsgQy6o8O33Jb4Pfg40W0ou2nk0k/edit#gid=0"",""'Game 8'!S25""),IMPORTRANGE(""https://docs.google.com/spreadsheets/d/1l83w8bH-F1czkFOqsgQy6o8O33J"&amp;"b4Pfg40W0ou2nk0k/edit#gid=0"",""'Game 8'!S25"")+50,IMPORTRANGE(""https://docs.google.com/spreadsheets/d/1l83w8bH-F1czkFOqsgQy6o8O33Jb4Pfg40W0ou2nk0k/edit#gid=0"",""'Game 8'!S25"")+100)))"),196.0)</f>
        <v>196</v>
      </c>
      <c r="I9" s="12">
        <f>IFERROR(__xludf.DUMMYFUNCTION("IF($A9=IMPORTRANGE(""https://docs.google.com/spreadsheets/d/15X-ub7GvrCQZ3UGgyogcjwYdxG-Ng8WHxzGSj1Z3eLw/edit#gid=0"",""'Game 5'!B1""),IF(IMPORTRANGE(""https://docs.google.com/spreadsheets/d/15X-ub7GvrCQZ3UGgyogcjwYdxG-Ng8WHxzGSj1Z3eLw/edit#gid=0"",""'Gam"&amp;"e 5'!J25"")&gt;IMPORTRANGE(""https://docs.google.com/spreadsheets/d/15X-ub7GvrCQZ3UGgyogcjwYdxG-Ng8WHxzGSj1Z3eLw/edit#gid=0"",""'Game 5'!S25""),IMPORTRANGE(""https://docs.google.com/spreadsheets/d/15X-ub7GvrCQZ3UGgyogcjwYdxG-Ng8WHxzGSj1Z3eLw/edit#gid=0"",""'"&amp;"Game 5'!J25"")+100,IF(IMPORTRANGE(""https://docs.google.com/spreadsheets/d/15X-ub7GvrCQZ3UGgyogcjwYdxG-Ng8WHxzGSj1Z3eLw/edit#gid=0"",""'Game 5'!J25"")=IMPORTRANGE(""https://docs.google.com/spreadsheets/d/15X-ub7GvrCQZ3UGgyogcjwYdxG-Ng8WHxzGSj1Z3eLw/edit#g"&amp;"id=0"",""'Game 5'!S25""),IMPORTRANGE(""https://docs.google.com/spreadsheets/d/15X-ub7GvrCQZ3UGgyogcjwYdxG-Ng8WHxzGSj1Z3eLw/edit#gid=0"",""'Game 5'!J25"")+50,IMPORTRANGE(""https://docs.google.com/spreadsheets/d/15X-ub7GvrCQZ3UGgyogcjwYdxG-Ng8WHxzGSj1Z3eLw/"&amp;"edit#gid=0"",""'Game 5'!J25""))),IF(IMPORTRANGE(""https://docs.google.com/spreadsheets/d/15X-ub7GvrCQZ3UGgyogcjwYdxG-Ng8WHxzGSj1Z3eLw/edit#gid=0"",""'Game 5'!J25"")&gt;IMPORTRANGE(""https://docs.google.com/spreadsheets/d/15X-ub7GvrCQZ3UGgyogcjwYdxG-Ng8WHxzGS"&amp;"j1Z3eLw/edit#gid=0"",""'Game 5'!S25""),IMPORTRANGE(""https://docs.google.com/spreadsheets/d/15X-ub7GvrCQZ3UGgyogcjwYdxG-Ng8WHxzGSj1Z3eLw/edit#gid=0"",""'Game 5'!S25""),IF(IMPORTRANGE(""https://docs.google.com/spreadsheets/d/15X-ub7GvrCQZ3UGgyogcjwYdxG-Ng8"&amp;"WHxzGSj1Z3eLw/edit#gid=0"",""'Game 5'!J25"")=IMPORTRANGE(""https://docs.google.com/spreadsheets/d/15X-ub7GvrCQZ3UGgyogcjwYdxG-Ng8WHxzGSj1Z3eLw/edit#gid=0"",""'Game 5'!S25""),IMPORTRANGE(""https://docs.google.com/spreadsheets/d/15X-ub7GvrCQZ3UGgyogcjwYdxG-"&amp;"Ng8WHxzGSj1Z3eLw/edit#gid=0"",""'Game 5'!S25"")+50,IMPORTRANGE(""https://docs.google.com/spreadsheets/d/15X-ub7GvrCQZ3UGgyogcjwYdxG-Ng8WHxzGSj1Z3eLw/edit#gid=0"",""'Game 5'!S25"")+100)))"),48.0)</f>
        <v>48</v>
      </c>
      <c r="J9" s="12">
        <f>IFERROR(__xludf.DUMMYFUNCTION("IF($A9=IMPORTRANGE(""https://docs.google.com/spreadsheets/d/194Bw3ABslPPhOOPvVoMzIk8sOQFICWBu2pydWdYMD-w/edit#gid=0"",""'Game 12'!B1""),IF(IMPORTRANGE(""https://docs.google.com/spreadsheets/d/194Bw3ABslPPhOOPvVoMzIk8sOQFICWBu2pydWdYMD-w/edit#gid=0"",""'Ga"&amp;"me 12'!J25"")&gt;IMPORTRANGE(""https://docs.google.com/spreadsheets/d/194Bw3ABslPPhOOPvVoMzIk8sOQFICWBu2pydWdYMD-w/edit#gid=0"",""'Game 12'!S25""),IMPORTRANGE(""https://docs.google.com/spreadsheets/d/194Bw3ABslPPhOOPvVoMzIk8sOQFICWBu2pydWdYMD-w/edit#gid=0"","&amp;"""'Game 12'!J25"")+100,IF(IMPORTRANGE(""https://docs.google.com/spreadsheets/d/194Bw3ABslPPhOOPvVoMzIk8sOQFICWBu2pydWdYMD-w/edit#gid=0"",""'Game 12'!J25"")=IMPORTRANGE(""https://docs.google.com/spreadsheets/d/194Bw3ABslPPhOOPvVoMzIk8sOQFICWBu2pydWdYMD-w/e"&amp;"dit#gid=0"",""'Game 12'!S25""),IMPORTRANGE(""https://docs.google.com/spreadsheets/d/194Bw3ABslPPhOOPvVoMzIk8sOQFICWBu2pydWdYMD-w/edit#gid=0"",""'Game 12'!J25"")+50,IMPORTRANGE(""https://docs.google.com/spreadsheets/d/194Bw3ABslPPhOOPvVoMzIk8sOQFICWBu2pydW"&amp;"dYMD-w/edit#gid=0"",""'Game 12'!J25""))),IF(IMPORTRANGE(""https://docs.google.com/spreadsheets/d/194Bw3ABslPPhOOPvVoMzIk8sOQFICWBu2pydWdYMD-w/edit#gid=0"",""'Game 12'!J25"")&gt;IMPORTRANGE(""https://docs.google.com/spreadsheets/d/194Bw3ABslPPhOOPvVoMzIk8sOQF"&amp;"ICWBu2pydWdYMD-w/edit#gid=0"",""'Game 12'!S25""),IMPORTRANGE(""https://docs.google.com/spreadsheets/d/194Bw3ABslPPhOOPvVoMzIk8sOQFICWBu2pydWdYMD-w/edit#gid=0"",""'Game 12'!S25""),IF(IMPORTRANGE(""https://docs.google.com/spreadsheets/d/194Bw3ABslPPhOOPvVoM"&amp;"zIk8sOQFICWBu2pydWdYMD-w/edit#gid=0"",""'Game 12'!J25"")=IMPORTRANGE(""https://docs.google.com/spreadsheets/d/194Bw3ABslPPhOOPvVoMzIk8sOQFICWBu2pydWdYMD-w/edit#gid=0"",""'Game 12'!S25""),IMPORTRANGE(""https://docs.google.com/spreadsheets/d/194Bw3ABslPPhOO"&amp;"PvVoMzIk8sOQFICWBu2pydWdYMD-w/edit#gid=0"",""'Game 12'!S25"")+50,IMPORTRANGE(""https://docs.google.com/spreadsheets/d/194Bw3ABslPPhOOPvVoMzIk8sOQFICWBu2pydWdYMD-w/edit#gid=0"",""'Game 12'!S25"")+100)))"),40.0)</f>
        <v>40</v>
      </c>
      <c r="K9" s="12">
        <f>IFERROR(__xludf.DUMMYFUNCTION("IF($A9=IMPORTRANGE(""https://docs.google.com/spreadsheets/d/1F2Bi6K_I1K9xRxY5qb-bNRo5m-Kw7udpF1OaTHhrxjs/edit#gid=0"",""'Game 12'!B1""),IF(IMPORTRANGE(""https://docs.google.com/spreadsheets/d/1F2Bi6K_I1K9xRxY5qb-bNRo5m-Kw7udpF1OaTHhrxjs/edit#gid=0"",""'Ga"&amp;"me 12'!J25"")&gt;IMPORTRANGE(""https://docs.google.com/spreadsheets/d/1F2Bi6K_I1K9xRxY5qb-bNRo5m-Kw7udpF1OaTHhrxjs/edit#gid=0"",""'Game 12'!S25""),IMPORTRANGE(""https://docs.google.com/spreadsheets/d/1F2Bi6K_I1K9xRxY5qb-bNRo5m-Kw7udpF1OaTHhrxjs/edit#gid=0"","&amp;"""'Game 12'!J25"")+100,IF(IMPORTRANGE(""https://docs.google.com/spreadsheets/d/1F2Bi6K_I1K9xRxY5qb-bNRo5m-Kw7udpF1OaTHhrxjs/edit#gid=0"",""'Game 12'!J25"")=IMPORTRANGE(""https://docs.google.com/spreadsheets/d/1F2Bi6K_I1K9xRxY5qb-bNRo5m-Kw7udpF1OaTHhrxjs/e"&amp;"dit#gid=0"",""'Game 12'!S25""),IMPORTRANGE(""https://docs.google.com/spreadsheets/d/1F2Bi6K_I1K9xRxY5qb-bNRo5m-Kw7udpF1OaTHhrxjs/edit#gid=0"",""'Game 12'!J25"")+50,IMPORTRANGE(""https://docs.google.com/spreadsheets/d/1F2Bi6K_I1K9xRxY5qb-bNRo5m-Kw7udpF1OaT"&amp;"Hhrxjs/edit#gid=0"",""'Game 12'!J25""))),IF(IMPORTRANGE(""https://docs.google.com/spreadsheets/d/1F2Bi6K_I1K9xRxY5qb-bNRo5m-Kw7udpF1OaTHhrxjs/edit#gid=0"",""'Game 12'!J25"")&gt;IMPORTRANGE(""https://docs.google.com/spreadsheets/d/1F2Bi6K_I1K9xRxY5qb-bNRo5m-K"&amp;"w7udpF1OaTHhrxjs/edit#gid=0"",""'Game 12'!S25""),IMPORTRANGE(""https://docs.google.com/spreadsheets/d/1F2Bi6K_I1K9xRxY5qb-bNRo5m-Kw7udpF1OaTHhrxjs/edit#gid=0"",""'Game 12'!S25""),IF(IMPORTRANGE(""https://docs.google.com/spreadsheets/d/1F2Bi6K_I1K9xRxY5qb-"&amp;"bNRo5m-Kw7udpF1OaTHhrxjs/edit#gid=0"",""'Game 12'!J25"")=IMPORTRANGE(""https://docs.google.com/spreadsheets/d/1F2Bi6K_I1K9xRxY5qb-bNRo5m-Kw7udpF1OaTHhrxjs/edit#gid=0"",""'Game 12'!S25""),IMPORTRANGE(""https://docs.google.com/spreadsheets/d/1F2Bi6K_I1K9xRx"&amp;"Y5qb-bNRo5m-Kw7udpF1OaTHhrxjs/edit#gid=0"",""'Game 12'!S25"")+50,IMPORTRANGE(""https://docs.google.com/spreadsheets/d/1F2Bi6K_I1K9xRxY5qb-bNRo5m-Kw7udpF1OaTHhrxjs/edit#gid=0"",""'Game 12'!S25"")+100)))"),186.0)</f>
        <v>186</v>
      </c>
      <c r="L9" s="12">
        <f>IFERROR(__xludf.DUMMYFUNCTION("IF($A9=IMPORTRANGE(""https://docs.google.com/spreadsheets/d/1NDNgi_Ny4dRhc2A3UMIIkalN-V6EmsvxOfDzMRQlQ40/edit#gid=0"",""'Game 3'!B1""),IF(IMPORTRANGE(""https://docs.google.com/spreadsheets/d/1NDNgi_Ny4dRhc2A3UMIIkalN-V6EmsvxOfDzMRQlQ40/edit#gid=0"",""'Gam"&amp;"e 3'!J25"")&gt;IMPORTRANGE(""https://docs.google.com/spreadsheets/d/1NDNgi_Ny4dRhc2A3UMIIkalN-V6EmsvxOfDzMRQlQ40/edit#gid=0"",""'Game 3'!S25""),IMPORTRANGE(""https://docs.google.com/spreadsheets/d/1NDNgi_Ny4dRhc2A3UMIIkalN-V6EmsvxOfDzMRQlQ40/edit#gid=0"",""'"&amp;"Game 3'!J25"")+100,IF(IMPORTRANGE(""https://docs.google.com/spreadsheets/d/1NDNgi_Ny4dRhc2A3UMIIkalN-V6EmsvxOfDzMRQlQ40/edit#gid=0"",""'Game 3'!J25"")=IMPORTRANGE(""https://docs.google.com/spreadsheets/d/1NDNgi_Ny4dRhc2A3UMIIkalN-V6EmsvxOfDzMRQlQ40/edit#g"&amp;"id=0"",""'Game 3'!S25""),IMPORTRANGE(""https://docs.google.com/spreadsheets/d/1NDNgi_Ny4dRhc2A3UMIIkalN-V6EmsvxOfDzMRQlQ40/edit#gid=0"",""'Game 3'!J25"")+50,IMPORTRANGE(""https://docs.google.com/spreadsheets/d/1NDNgi_Ny4dRhc2A3UMIIkalN-V6EmsvxOfDzMRQlQ40/"&amp;"edit#gid=0"",""'Game 3'!J25""))),IF(IMPORTRANGE(""https://docs.google.com/spreadsheets/d/1NDNgi_Ny4dRhc2A3UMIIkalN-V6EmsvxOfDzMRQlQ40/edit#gid=0"",""'Game 3'!J25"")&gt;IMPORTRANGE(""https://docs.google.com/spreadsheets/d/1NDNgi_Ny4dRhc2A3UMIIkalN-V6EmsvxOfDz"&amp;"MRQlQ40/edit#gid=0"",""'Game 3'!S25""),IMPORTRANGE(""https://docs.google.com/spreadsheets/d/1NDNgi_Ny4dRhc2A3UMIIkalN-V6EmsvxOfDzMRQlQ40/edit#gid=0"",""'Game 3'!S25""),IF(IMPORTRANGE(""https://docs.google.com/spreadsheets/d/1NDNgi_Ny4dRhc2A3UMIIkalN-V6Ems"&amp;"vxOfDzMRQlQ40/edit#gid=0"",""'Game 3'!J25"")=IMPORTRANGE(""https://docs.google.com/spreadsheets/d/1NDNgi_Ny4dRhc2A3UMIIkalN-V6EmsvxOfDzMRQlQ40/edit#gid=0"",""'Game 3'!S25""),IMPORTRANGE(""https://docs.google.com/spreadsheets/d/1NDNgi_Ny4dRhc2A3UMIIkalN-V6"&amp;"EmsvxOfDzMRQlQ40/edit#gid=0"",""'Game 3'!S25"")+50,IMPORTRANGE(""https://docs.google.com/spreadsheets/d/1NDNgi_Ny4dRhc2A3UMIIkalN-V6EmsvxOfDzMRQlQ40/edit#gid=0"",""'Game 3'!S25"")+100)))"),18.0)</f>
        <v>18</v>
      </c>
      <c r="M9" s="12">
        <f>IFERROR(__xludf.DUMMYFUNCTION("IF($A9=IMPORTRANGE(""https://docs.google.com/spreadsheets/d/1UDYA3-RrkJNLa2ZLH1NnUjKyfCoiSODmgVL_Au_zt-Y/edit#gid=0"",""'Game 10'!B1""),IF(IMPORTRANGE(""https://docs.google.com/spreadsheets/d/1UDYA3-RrkJNLa2ZLH1NnUjKyfCoiSODmgVL_Au_zt-Y/edit#gid=0"",""'Ga"&amp;"me 10'!J25"")&gt;IMPORTRANGE(""https://docs.google.com/spreadsheets/d/1UDYA3-RrkJNLa2ZLH1NnUjKyfCoiSODmgVL_Au_zt-Y/edit#gid=0"",""'Game 10'!S25""),IMPORTRANGE(""https://docs.google.com/spreadsheets/d/1UDYA3-RrkJNLa2ZLH1NnUjKyfCoiSODmgVL_Au_zt-Y/edit#gid=0"","&amp;"""'Game 10'!J25"")+100,IF(IMPORTRANGE(""https://docs.google.com/spreadsheets/d/1UDYA3-RrkJNLa2ZLH1NnUjKyfCoiSODmgVL_Au_zt-Y/edit#gid=0"",""'Game 10'!J25"")=IMPORTRANGE(""https://docs.google.com/spreadsheets/d/1UDYA3-RrkJNLa2ZLH1NnUjKyfCoiSODmgVL_Au_zt-Y/e"&amp;"dit#gid=0"",""'Game 10'!S25""),IMPORTRANGE(""https://docs.google.com/spreadsheets/d/1UDYA3-RrkJNLa2ZLH1NnUjKyfCoiSODmgVL_Au_zt-Y/edit#gid=0"",""'Game 10'!J25"")+50,IMPORTRANGE(""https://docs.google.com/spreadsheets/d/1UDYA3-RrkJNLa2ZLH1NnUjKyfCoiSODmgVL_A"&amp;"u_zt-Y/edit#gid=0"",""'Game 10'!J25""))),IF(IMPORTRANGE(""https://docs.google.com/spreadsheets/d/1UDYA3-RrkJNLa2ZLH1NnUjKyfCoiSODmgVL_Au_zt-Y/edit#gid=0"",""'Game 10'!J25"")&gt;IMPORTRANGE(""https://docs.google.com/spreadsheets/d/1UDYA3-RrkJNLa2ZLH1NnUjKyfCo"&amp;"iSODmgVL_Au_zt-Y/edit#gid=0"",""'Game 10'!S25""),IMPORTRANGE(""https://docs.google.com/spreadsheets/d/1UDYA3-RrkJNLa2ZLH1NnUjKyfCoiSODmgVL_Au_zt-Y/edit#gid=0"",""'Game 10'!S25""),IF(IMPORTRANGE(""https://docs.google.com/spreadsheets/d/1UDYA3-RrkJNLa2ZLH1N"&amp;"nUjKyfCoiSODmgVL_Au_zt-Y/edit#gid=0"",""'Game 10'!J25"")=IMPORTRANGE(""https://docs.google.com/spreadsheets/d/1UDYA3-RrkJNLa2ZLH1NnUjKyfCoiSODmgVL_Au_zt-Y/edit#gid=0"",""'Game 10'!S25""),IMPORTRANGE(""https://docs.google.com/spreadsheets/d/1UDYA3-RrkJNLa2"&amp;"ZLH1NnUjKyfCoiSODmgVL_Au_zt-Y/edit#gid=0"",""'Game 10'!S25"")+50,IMPORTRANGE(""https://docs.google.com/spreadsheets/d/1UDYA3-RrkJNLa2ZLH1NnUjKyfCoiSODmgVL_Au_zt-Y/edit#gid=0"",""'Game 10'!S25"")+100)))"),48.0)</f>
        <v>48</v>
      </c>
      <c r="N9" s="12">
        <f>IFERROR(__xludf.DUMMYFUNCTION("IF($A9=IMPORTRANGE(""https://docs.google.com/spreadsheets/d/1fvo6H94Wcffp6c4N9g3JKCW6y2ZlijPxdOsNz7xdBhw/edit#gid=0"",""'Game 12'!B1""),IF(IMPORTRANGE(""https://docs.google.com/spreadsheets/d/1fvo6H94Wcffp6c4N9g3JKCW6y2ZlijPxdOsNz7xdBhw/edit#gid=0"",""'Ga"&amp;"me 12'!J25"")&gt;IMPORTRANGE(""https://docs.google.com/spreadsheets/d/1fvo6H94Wcffp6c4N9g3JKCW6y2ZlijPxdOsNz7xdBhw/edit#gid=0"",""'Game 12'!S25""),IMPORTRANGE(""https://docs.google.com/spreadsheets/d/1fvo6H94Wcffp6c4N9g3JKCW6y2ZlijPxdOsNz7xdBhw/edit#gid=0"","&amp;"""'Game 12'!J25"")+100,IF(IMPORTRANGE(""https://docs.google.com/spreadsheets/d/1fvo6H94Wcffp6c4N9g3JKCW6y2ZlijPxdOsNz7xdBhw/edit#gid=0"",""'Game 12'!J25"")=IMPORTRANGE(""https://docs.google.com/spreadsheets/d/1fvo6H94Wcffp6c4N9g3JKCW6y2ZlijPxdOsNz7xdBhw/e"&amp;"dit#gid=0"",""'Game 12'!S25""),IMPORTRANGE(""https://docs.google.com/spreadsheets/d/1fvo6H94Wcffp6c4N9g3JKCW6y2ZlijPxdOsNz7xdBhw/edit#gid=0"",""'Game 12'!J25"")+50,IMPORTRANGE(""https://docs.google.com/spreadsheets/d/1fvo6H94Wcffp6c4N9g3JKCW6y2ZlijPxdOsNz"&amp;"7xdBhw/edit#gid=0"",""'Game 12'!J25""))),IF(IMPORTRANGE(""https://docs.google.com/spreadsheets/d/1fvo6H94Wcffp6c4N9g3JKCW6y2ZlijPxdOsNz7xdBhw/edit#gid=0"",""'Game 12'!J25"")&gt;IMPORTRANGE(""https://docs.google.com/spreadsheets/d/1fvo6H94Wcffp6c4N9g3JKCW6y2Z"&amp;"lijPxdOsNz7xdBhw/edit#gid=0"",""'Game 12'!S25""),IMPORTRANGE(""https://docs.google.com/spreadsheets/d/1fvo6H94Wcffp6c4N9g3JKCW6y2ZlijPxdOsNz7xdBhw/edit#gid=0"",""'Game 12'!S25""),IF(IMPORTRANGE(""https://docs.google.com/spreadsheets/d/1fvo6H94Wcffp6c4N9g3"&amp;"JKCW6y2ZlijPxdOsNz7xdBhw/edit#gid=0"",""'Game 12'!J25"")=IMPORTRANGE(""https://docs.google.com/spreadsheets/d/1fvo6H94Wcffp6c4N9g3JKCW6y2ZlijPxdOsNz7xdBhw/edit#gid=0"",""'Game 12'!S25""),IMPORTRANGE(""https://docs.google.com/spreadsheets/d/1fvo6H94Wcffp6c"&amp;"4N9g3JKCW6y2ZlijPxdOsNz7xdBhw/edit#gid=0"",""'Game 12'!S25"")+50,IMPORTRANGE(""https://docs.google.com/spreadsheets/d/1fvo6H94Wcffp6c4N9g3JKCW6y2ZlijPxdOsNz7xdBhw/edit#gid=0"",""'Game 12'!S25"")+100)))"),34.0)</f>
        <v>34</v>
      </c>
      <c r="O9" s="12">
        <f>IFERROR(__xludf.DUMMYFUNCTION("IF($A9=IMPORTRANGE(""https://docs.google.com/spreadsheets/d/1wfQePArl-A-5QJe5xAufoOnzeNLVSoHCRcmpZ_FMdns/edit#gid=0"",""'Game 2'!B1""),IF(IMPORTRANGE(""https://docs.google.com/spreadsheets/d/1wfQePArl-A-5QJe5xAufoOnzeNLVSoHCRcmpZ_FMdns/edit#gid=0"",""'Gam"&amp;"e 2'!J25"")&gt;IMPORTRANGE(""https://docs.google.com/spreadsheets/d/1wfQePArl-A-5QJe5xAufoOnzeNLVSoHCRcmpZ_FMdns/edit#gid=0"",""'Game 2'!S25""),IMPORTRANGE(""https://docs.google.com/spreadsheets/d/1wfQePArl-A-5QJe5xAufoOnzeNLVSoHCRcmpZ_FMdns/edit#gid=0"",""'"&amp;"Game 2'!J25"")+100,IF(IMPORTRANGE(""https://docs.google.com/spreadsheets/d/1wfQePArl-A-5QJe5xAufoOnzeNLVSoHCRcmpZ_FMdns/edit#gid=0"",""'Game 2'!J25"")=IMPORTRANGE(""https://docs.google.com/spreadsheets/d/1wfQePArl-A-5QJe5xAufoOnzeNLVSoHCRcmpZ_FMdns/edit#g"&amp;"id=0"",""'Game 2'!S25""),IMPORTRANGE(""https://docs.google.com/spreadsheets/d/1wfQePArl-A-5QJe5xAufoOnzeNLVSoHCRcmpZ_FMdns/edit#gid=0"",""'Game 2'!J25"")+50,IMPORTRANGE(""https://docs.google.com/spreadsheets/d/1wfQePArl-A-5QJe5xAufoOnzeNLVSoHCRcmpZ_FMdns/"&amp;"edit#gid=0"",""'Game 2'!J25""))),IF(IMPORTRANGE(""https://docs.google.com/spreadsheets/d/1wfQePArl-A-5QJe5xAufoOnzeNLVSoHCRcmpZ_FMdns/edit#gid=0"",""'Game 2'!J25"")&gt;IMPORTRANGE(""https://docs.google.com/spreadsheets/d/1wfQePArl-A-5QJe5xAufoOnzeNLVSoHCRcmp"&amp;"Z_FMdns/edit#gid=0"",""'Game 2'!S25""),IMPORTRANGE(""https://docs.google.com/spreadsheets/d/1wfQePArl-A-5QJe5xAufoOnzeNLVSoHCRcmpZ_FMdns/edit#gid=0"",""'Game 2'!S25""),IF(IMPORTRANGE(""https://docs.google.com/spreadsheets/d/1wfQePArl-A-5QJe5xAufoOnzeNLVSo"&amp;"HCRcmpZ_FMdns/edit#gid=0"",""'Game 2'!J25"")=IMPORTRANGE(""https://docs.google.com/spreadsheets/d/1wfQePArl-A-5QJe5xAufoOnzeNLVSoHCRcmpZ_FMdns/edit#gid=0"",""'Game 2'!S25""),IMPORTRANGE(""https://docs.google.com/spreadsheets/d/1wfQePArl-A-5QJe5xAufoOnzeNL"&amp;"VSoHCRcmpZ_FMdns/edit#gid=0"",""'Game 2'!S25"")+50,IMPORTRANGE(""https://docs.google.com/spreadsheets/d/1wfQePArl-A-5QJe5xAufoOnzeNLVSoHCRcmpZ_FMdns/edit#gid=0"",""'Game 2'!S25"")+100)))"),204.0)</f>
        <v>204</v>
      </c>
      <c r="P9" s="12">
        <f>IFERROR(__xludf.DUMMYFUNCTION("IF($A9=IMPORTRANGE(""https://docs.google.com/spreadsheets/d/1wydNznS0hZhVh3oGSdiCZSsReuqMT7Xaw718ix58zAI/edit#gid=0"",""'Game 4'!B1""),IF(IMPORTRANGE(""https://docs.google.com/spreadsheets/d/1wydNznS0hZhVh3oGSdiCZSsReuqMT7Xaw718ix58zAI/edit#gid=0"",""'Gam"&amp;"e 4'!J25"")&gt;IMPORTRANGE(""https://docs.google.com/spreadsheets/d/1wydNznS0hZhVh3oGSdiCZSsReuqMT7Xaw718ix58zAI/edit#gid=0"",""'Game 4'!S25""),IMPORTRANGE(""https://docs.google.com/spreadsheets/d/1wydNznS0hZhVh3oGSdiCZSsReuqMT7Xaw718ix58zAI/edit#gid=0"",""'"&amp;"Game 4'!J25"")+100,IF(IMPORTRANGE(""https://docs.google.com/spreadsheets/d/1wydNznS0hZhVh3oGSdiCZSsReuqMT7Xaw718ix58zAI/edit#gid=0"",""'Game 4'!J25"")=IMPORTRANGE(""https://docs.google.com/spreadsheets/d/1wydNznS0hZhVh3oGSdiCZSsReuqMT7Xaw718ix58zAI/edit#g"&amp;"id=0"",""'Game 4'!S25""),IMPORTRANGE(""https://docs.google.com/spreadsheets/d/1wydNznS0hZhVh3oGSdiCZSsReuqMT7Xaw718ix58zAI/edit#gid=0"",""'Game 4'!J25"")+50,IMPORTRANGE(""https://docs.google.com/spreadsheets/d/1wydNznS0hZhVh3oGSdiCZSsReuqMT7Xaw718ix58zAI/"&amp;"edit#gid=0"",""'Game 4'!J25""))),IF(IMPORTRANGE(""https://docs.google.com/spreadsheets/d/1wydNznS0hZhVh3oGSdiCZSsReuqMT7Xaw718ix58zAI/edit#gid=0"",""'Game 4'!J25"")&gt;IMPORTRANGE(""https://docs.google.com/spreadsheets/d/1wydNznS0hZhVh3oGSdiCZSsReuqMT7Xaw718"&amp;"ix58zAI/edit#gid=0"",""'Game 4'!S25""),IMPORTRANGE(""https://docs.google.com/spreadsheets/d/1wydNznS0hZhVh3oGSdiCZSsReuqMT7Xaw718ix58zAI/edit#gid=0"",""'Game 4'!S25""),IF(IMPORTRANGE(""https://docs.google.com/spreadsheets/d/1wydNznS0hZhVh3oGSdiCZSsReuqMT7"&amp;"Xaw718ix58zAI/edit#gid=0"",""'Game 4'!J25"")=IMPORTRANGE(""https://docs.google.com/spreadsheets/d/1wydNznS0hZhVh3oGSdiCZSsReuqMT7Xaw718ix58zAI/edit#gid=0"",""'Game 4'!S25""),IMPORTRANGE(""https://docs.google.com/spreadsheets/d/1wydNznS0hZhVh3oGSdiCZSsReuq"&amp;"MT7Xaw718ix58zAI/edit#gid=0"",""'Game 4'!S25"")+50,IMPORTRANGE(""https://docs.google.com/spreadsheets/d/1wydNznS0hZhVh3oGSdiCZSsReuqMT7Xaw718ix58zAI/edit#gid=0"",""'Game 4'!S25"")+100)))"),60.0)</f>
        <v>60</v>
      </c>
      <c r="Q9" s="37">
        <f t="shared" si="1"/>
        <v>1368</v>
      </c>
      <c r="R9" s="37">
        <f t="shared" si="2"/>
        <v>15</v>
      </c>
    </row>
    <row r="10">
      <c r="A10" s="33" t="s">
        <v>131</v>
      </c>
      <c r="B10" s="34">
        <v>32.0</v>
      </c>
      <c r="C10" s="34">
        <v>86.0</v>
      </c>
      <c r="D10" s="34">
        <v>52.0</v>
      </c>
      <c r="E10" s="34">
        <v>158.0</v>
      </c>
      <c r="F10" s="34">
        <v>188.0</v>
      </c>
      <c r="G10" s="5">
        <f>IFERROR(__xludf.DUMMYFUNCTION("IF($A10=IMPORTRANGE(""https://docs.google.com/spreadsheets/d/19gjAD4NwTXl_QoKUuwHQ1cWG_S2BOW94pDcyFtPwheg/edit#gid=0"",""'Game 12'!B1""),IF(IMPORTRANGE(""https://docs.google.com/spreadsheets/d/19gjAD4NwTXl_QoKUuwHQ1cWG_S2BOW94pDcyFtPwheg/edit#gid=0"",""'G"&amp;"ame 12'!J25"")&gt;IMPORTRANGE(""https://docs.google.com/spreadsheets/d/19gjAD4NwTXl_QoKUuwHQ1cWG_S2BOW94pDcyFtPwheg/edit#gid=0"",""'Game 12'!S25""),IMPORTRANGE(""https://docs.google.com/spreadsheets/d/19gjAD4NwTXl_QoKUuwHQ1cWG_S2BOW94pDcyFtPwheg/edit#gid=0"""&amp;",""'Game 12'!J25"")+100,IF(IMPORTRANGE(""https://docs.google.com/spreadsheets/d/19gjAD4NwTXl_QoKUuwHQ1cWG_S2BOW94pDcyFtPwheg/edit#gid=0"",""'Game 12'!J25"")=IMPORTRANGE(""https://docs.google.com/spreadsheets/d/19gjAD4NwTXl_QoKUuwHQ1cWG_S2BOW94pDcyFtPwheg/"&amp;"edit#gid=0"",""'Game 12'!S25""),IMPORTRANGE(""https://docs.google.com/spreadsheets/d/19gjAD4NwTXl_QoKUuwHQ1cWG_S2BOW94pDcyFtPwheg/edit#gid=0"",""'Game 12'!J25"")+50,IMPORTRANGE(""https://docs.google.com/spreadsheets/d/19gjAD4NwTXl_QoKUuwHQ1cWG_S2BOW94pDcy"&amp;"FtPwheg/edit#gid=0"",""'Game 12'!J25""))),IF(IMPORTRANGE(""https://docs.google.com/spreadsheets/d/19gjAD4NwTXl_QoKUuwHQ1cWG_S2BOW94pDcyFtPwheg/edit#gid=0"",""'Game 12'!J25"")&gt;IMPORTRANGE(""https://docs.google.com/spreadsheets/d/19gjAD4NwTXl_QoKUuwHQ1cWG_S"&amp;"2BOW94pDcyFtPwheg/edit#gid=0"",""'Game 12'!S25""),IMPORTRANGE(""https://docs.google.com/spreadsheets/d/19gjAD4NwTXl_QoKUuwHQ1cWG_S2BOW94pDcyFtPwheg/edit#gid=0"",""'Game 12'!S25""),IF(IMPORTRANGE(""https://docs.google.com/spreadsheets/d/19gjAD4NwTXl_QoKUuw"&amp;"HQ1cWG_S2BOW94pDcyFtPwheg/edit#gid=0"",""'Game 12'!J25"")=IMPORTRANGE(""https://docs.google.com/spreadsheets/d/19gjAD4NwTXl_QoKUuwHQ1cWG_S2BOW94pDcyFtPwheg/edit#gid=0"",""'Game 12'!S25""),IMPORTRANGE(""https://docs.google.com/spreadsheets/d/19gjAD4NwTXl_Q"&amp;"oKUuwHQ1cWG_S2BOW94pDcyFtPwheg/edit#gid=0"",""'Game 12'!S25"")+50,IMPORTRANGE(""https://docs.google.com/spreadsheets/d/19gjAD4NwTXl_QoKUuwHQ1cWG_S2BOW94pDcyFtPwheg/edit#gid=0"",""'Game 12'!S25"")+100)))"),256.0)</f>
        <v>256</v>
      </c>
      <c r="H10" s="5">
        <f>IFERROR(__xludf.DUMMYFUNCTION("IF($A10=IMPORTRANGE(""https://docs.google.com/spreadsheets/d/1l83w8bH-F1czkFOqsgQy6o8O33Jb4Pfg40W0ou2nk0k/edit#gid=0"",""'Game 7'!B1""),IF(IMPORTRANGE(""https://docs.google.com/spreadsheets/d/1l83w8bH-F1czkFOqsgQy6o8O33Jb4Pfg40W0ou2nk0k/edit#gid=0"",""'Ga"&amp;"me 7'!J25"")&gt;IMPORTRANGE(""https://docs.google.com/spreadsheets/d/1l83w8bH-F1czkFOqsgQy6o8O33Jb4Pfg40W0ou2nk0k/edit#gid=0"",""'Game 7'!S25""),IMPORTRANGE(""https://docs.google.com/spreadsheets/d/1l83w8bH-F1czkFOqsgQy6o8O33Jb4Pfg40W0ou2nk0k/edit#gid=0"","""&amp;"'Game 7'!J25"")+100,IF(IMPORTRANGE(""https://docs.google.com/spreadsheets/d/1l83w8bH-F1czkFOqsgQy6o8O33Jb4Pfg40W0ou2nk0k/edit#gid=0"",""'Game 7'!J25"")=IMPORTRANGE(""https://docs.google.com/spreadsheets/d/1l83w8bH-F1czkFOqsgQy6o8O33Jb4Pfg40W0ou2nk0k/edit#"&amp;"gid=0"",""'Game 7'!S25""),IMPORTRANGE(""https://docs.google.com/spreadsheets/d/1l83w8bH-F1czkFOqsgQy6o8O33Jb4Pfg40W0ou2nk0k/edit#gid=0"",""'Game 7'!J25"")+50,IMPORTRANGE(""https://docs.google.com/spreadsheets/d/1l83w8bH-F1czkFOqsgQy6o8O33Jb4Pfg40W0ou2nk0k"&amp;"/edit#gid=0"",""'Game 7'!J25""))),IF(IMPORTRANGE(""https://docs.google.com/spreadsheets/d/1l83w8bH-F1czkFOqsgQy6o8O33Jb4Pfg40W0ou2nk0k/edit#gid=0"",""'Game 7'!J25"")&gt;IMPORTRANGE(""https://docs.google.com/spreadsheets/d/1l83w8bH-F1czkFOqsgQy6o8O33Jb4Pfg40W"&amp;"0ou2nk0k/edit#gid=0"",""'Game 7'!S25""),IMPORTRANGE(""https://docs.google.com/spreadsheets/d/1l83w8bH-F1czkFOqsgQy6o8O33Jb4Pfg40W0ou2nk0k/edit#gid=0"",""'Game 7'!S25""),IF(IMPORTRANGE(""https://docs.google.com/spreadsheets/d/1l83w8bH-F1czkFOqsgQy6o8O33Jb4"&amp;"Pfg40W0ou2nk0k/edit#gid=0"",""'Game 7'!J25"")=IMPORTRANGE(""https://docs.google.com/spreadsheets/d/1l83w8bH-F1czkFOqsgQy6o8O33Jb4Pfg40W0ou2nk0k/edit#gid=0"",""'Game 7'!S25""),IMPORTRANGE(""https://docs.google.com/spreadsheets/d/1l83w8bH-F1czkFOqsgQy6o8O33"&amp;"Jb4Pfg40W0ou2nk0k/edit#gid=0"",""'Game 7'!S25"")+50,IMPORTRANGE(""https://docs.google.com/spreadsheets/d/1l83w8bH-F1czkFOqsgQy6o8O33Jb4Pfg40W0ou2nk0k/edit#gid=0"",""'Game 7'!S25"")+100)))"),44.0)</f>
        <v>44</v>
      </c>
      <c r="I10" s="5">
        <f>IFERROR(__xludf.DUMMYFUNCTION("IF($A10=IMPORTRANGE(""https://docs.google.com/spreadsheets/d/15X-ub7GvrCQZ3UGgyogcjwYdxG-Ng8WHxzGSj1Z3eLw/edit#gid=0"",""'Game 7'!B1""),IF(IMPORTRANGE(""https://docs.google.com/spreadsheets/d/15X-ub7GvrCQZ3UGgyogcjwYdxG-Ng8WHxzGSj1Z3eLw/edit#gid=0"",""'Ga"&amp;"me 7'!J25"")&gt;IMPORTRANGE(""https://docs.google.com/spreadsheets/d/15X-ub7GvrCQZ3UGgyogcjwYdxG-Ng8WHxzGSj1Z3eLw/edit#gid=0"",""'Game 7'!S25""),IMPORTRANGE(""https://docs.google.com/spreadsheets/d/15X-ub7GvrCQZ3UGgyogcjwYdxG-Ng8WHxzGSj1Z3eLw/edit#gid=0"","""&amp;"'Game 7'!J25"")+100,IF(IMPORTRANGE(""https://docs.google.com/spreadsheets/d/15X-ub7GvrCQZ3UGgyogcjwYdxG-Ng8WHxzGSj1Z3eLw/edit#gid=0"",""'Game 7'!J25"")=IMPORTRANGE(""https://docs.google.com/spreadsheets/d/15X-ub7GvrCQZ3UGgyogcjwYdxG-Ng8WHxzGSj1Z3eLw/edit#"&amp;"gid=0"",""'Game 7'!S25""),IMPORTRANGE(""https://docs.google.com/spreadsheets/d/15X-ub7GvrCQZ3UGgyogcjwYdxG-Ng8WHxzGSj1Z3eLw/edit#gid=0"",""'Game 7'!J25"")+50,IMPORTRANGE(""https://docs.google.com/spreadsheets/d/15X-ub7GvrCQZ3UGgyogcjwYdxG-Ng8WHxzGSj1Z3eLw"&amp;"/edit#gid=0"",""'Game 7'!J25""))),IF(IMPORTRANGE(""https://docs.google.com/spreadsheets/d/15X-ub7GvrCQZ3UGgyogcjwYdxG-Ng8WHxzGSj1Z3eLw/edit#gid=0"",""'Game 7'!J25"")&gt;IMPORTRANGE(""https://docs.google.com/spreadsheets/d/15X-ub7GvrCQZ3UGgyogcjwYdxG-Ng8WHxzG"&amp;"Sj1Z3eLw/edit#gid=0"",""'Game 7'!S25""),IMPORTRANGE(""https://docs.google.com/spreadsheets/d/15X-ub7GvrCQZ3UGgyogcjwYdxG-Ng8WHxzGSj1Z3eLw/edit#gid=0"",""'Game 7'!S25""),IF(IMPORTRANGE(""https://docs.google.com/spreadsheets/d/15X-ub7GvrCQZ3UGgyogcjwYdxG-Ng"&amp;"8WHxzGSj1Z3eLw/edit#gid=0"",""'Game 7'!J25"")=IMPORTRANGE(""https://docs.google.com/spreadsheets/d/15X-ub7GvrCQZ3UGgyogcjwYdxG-Ng8WHxzGSj1Z3eLw/edit#gid=0"",""'Game 7'!S25""),IMPORTRANGE(""https://docs.google.com/spreadsheets/d/15X-ub7GvrCQZ3UGgyogcjwYdxG"&amp;"-Ng8WHxzGSj1Z3eLw/edit#gid=0"",""'Game 7'!S25"")+50,IMPORTRANGE(""https://docs.google.com/spreadsheets/d/15X-ub7GvrCQZ3UGgyogcjwYdxG-Ng8WHxzGSj1Z3eLw/edit#gid=0"",""'Game 7'!S25"")+100)))"),190.0)</f>
        <v>190</v>
      </c>
      <c r="J10" s="5">
        <f>IFERROR(__xludf.DUMMYFUNCTION("IF($A10=IMPORTRANGE(""https://docs.google.com/spreadsheets/d/194Bw3ABslPPhOOPvVoMzIk8sOQFICWBu2pydWdYMD-w/edit#gid=0"",""'Game 2'!B1""),IF(IMPORTRANGE(""https://docs.google.com/spreadsheets/d/194Bw3ABslPPhOOPvVoMzIk8sOQFICWBu2pydWdYMD-w/edit#gid=0"",""'Ga"&amp;"me 2'!J25"")&gt;IMPORTRANGE(""https://docs.google.com/spreadsheets/d/194Bw3ABslPPhOOPvVoMzIk8sOQFICWBu2pydWdYMD-w/edit#gid=0"",""'Game 2'!S25""),IMPORTRANGE(""https://docs.google.com/spreadsheets/d/194Bw3ABslPPhOOPvVoMzIk8sOQFICWBu2pydWdYMD-w/edit#gid=0"","""&amp;"'Game 2'!J25"")+100,IF(IMPORTRANGE(""https://docs.google.com/spreadsheets/d/194Bw3ABslPPhOOPvVoMzIk8sOQFICWBu2pydWdYMD-w/edit#gid=0"",""'Game 2'!J25"")=IMPORTRANGE(""https://docs.google.com/spreadsheets/d/194Bw3ABslPPhOOPvVoMzIk8sOQFICWBu2pydWdYMD-w/edit#"&amp;"gid=0"",""'Game 2'!S25""),IMPORTRANGE(""https://docs.google.com/spreadsheets/d/194Bw3ABslPPhOOPvVoMzIk8sOQFICWBu2pydWdYMD-w/edit#gid=0"",""'Game 2'!J25"")+50,IMPORTRANGE(""https://docs.google.com/spreadsheets/d/194Bw3ABslPPhOOPvVoMzIk8sOQFICWBu2pydWdYMD-w"&amp;"/edit#gid=0"",""'Game 2'!J25""))),IF(IMPORTRANGE(""https://docs.google.com/spreadsheets/d/194Bw3ABslPPhOOPvVoMzIk8sOQFICWBu2pydWdYMD-w/edit#gid=0"",""'Game 2'!J25"")&gt;IMPORTRANGE(""https://docs.google.com/spreadsheets/d/194Bw3ABslPPhOOPvVoMzIk8sOQFICWBu2py"&amp;"dWdYMD-w/edit#gid=0"",""'Game 2'!S25""),IMPORTRANGE(""https://docs.google.com/spreadsheets/d/194Bw3ABslPPhOOPvVoMzIk8sOQFICWBu2pydWdYMD-w/edit#gid=0"",""'Game 2'!S25""),IF(IMPORTRANGE(""https://docs.google.com/spreadsheets/d/194Bw3ABslPPhOOPvVoMzIk8sOQFIC"&amp;"WBu2pydWdYMD-w/edit#gid=0"",""'Game 2'!J25"")=IMPORTRANGE(""https://docs.google.com/spreadsheets/d/194Bw3ABslPPhOOPvVoMzIk8sOQFICWBu2pydWdYMD-w/edit#gid=0"",""'Game 2'!S25""),IMPORTRANGE(""https://docs.google.com/spreadsheets/d/194Bw3ABslPPhOOPvVoMzIk8sOQ"&amp;"FICWBu2pydWdYMD-w/edit#gid=0"",""'Game 2'!S25"")+50,IMPORTRANGE(""https://docs.google.com/spreadsheets/d/194Bw3ABslPPhOOPvVoMzIk8sOQFICWBu2pydWdYMD-w/edit#gid=0"",""'Game 2'!S25"")+100)))"),238.0)</f>
        <v>238</v>
      </c>
      <c r="K10" s="5">
        <f>IFERROR(__xludf.DUMMYFUNCTION("IF($A10=IMPORTRANGE(""https://docs.google.com/spreadsheets/d/1F2Bi6K_I1K9xRxY5qb-bNRo5m-Kw7udpF1OaTHhrxjs/edit#gid=0"",""'Game 8'!B1""),IF(IMPORTRANGE(""https://docs.google.com/spreadsheets/d/1F2Bi6K_I1K9xRxY5qb-bNRo5m-Kw7udpF1OaTHhrxjs/edit#gid=0"",""'Ga"&amp;"me 8'!J25"")&gt;IMPORTRANGE(""https://docs.google.com/spreadsheets/d/1F2Bi6K_I1K9xRxY5qb-bNRo5m-Kw7udpF1OaTHhrxjs/edit#gid=0"",""'Game 8'!S25""),IMPORTRANGE(""https://docs.google.com/spreadsheets/d/1F2Bi6K_I1K9xRxY5qb-bNRo5m-Kw7udpF1OaTHhrxjs/edit#gid=0"","""&amp;"'Game 8'!J25"")+100,IF(IMPORTRANGE(""https://docs.google.com/spreadsheets/d/1F2Bi6K_I1K9xRxY5qb-bNRo5m-Kw7udpF1OaTHhrxjs/edit#gid=0"",""'Game 8'!J25"")=IMPORTRANGE(""https://docs.google.com/spreadsheets/d/1F2Bi6K_I1K9xRxY5qb-bNRo5m-Kw7udpF1OaTHhrxjs/edit#"&amp;"gid=0"",""'Game 8'!S25""),IMPORTRANGE(""https://docs.google.com/spreadsheets/d/1F2Bi6K_I1K9xRxY5qb-bNRo5m-Kw7udpF1OaTHhrxjs/edit#gid=0"",""'Game 8'!J25"")+50,IMPORTRANGE(""https://docs.google.com/spreadsheets/d/1F2Bi6K_I1K9xRxY5qb-bNRo5m-Kw7udpF1OaTHhrxjs"&amp;"/edit#gid=0"",""'Game 8'!J25""))),IF(IMPORTRANGE(""https://docs.google.com/spreadsheets/d/1F2Bi6K_I1K9xRxY5qb-bNRo5m-Kw7udpF1OaTHhrxjs/edit#gid=0"",""'Game 8'!J25"")&gt;IMPORTRANGE(""https://docs.google.com/spreadsheets/d/1F2Bi6K_I1K9xRxY5qb-bNRo5m-Kw7udpF1O"&amp;"aTHhrxjs/edit#gid=0"",""'Game 8'!S25""),IMPORTRANGE(""https://docs.google.com/spreadsheets/d/1F2Bi6K_I1K9xRxY5qb-bNRo5m-Kw7udpF1OaTHhrxjs/edit#gid=0"",""'Game 8'!S25""),IF(IMPORTRANGE(""https://docs.google.com/spreadsheets/d/1F2Bi6K_I1K9xRxY5qb-bNRo5m-Kw7"&amp;"udpF1OaTHhrxjs/edit#gid=0"",""'Game 8'!J25"")=IMPORTRANGE(""https://docs.google.com/spreadsheets/d/1F2Bi6K_I1K9xRxY5qb-bNRo5m-Kw7udpF1OaTHhrxjs/edit#gid=0"",""'Game 8'!S25""),IMPORTRANGE(""https://docs.google.com/spreadsheets/d/1F2Bi6K_I1K9xRxY5qb-bNRo5m-"&amp;"Kw7udpF1OaTHhrxjs/edit#gid=0"",""'Game 8'!S25"")+50,IMPORTRANGE(""https://docs.google.com/spreadsheets/d/1F2Bi6K_I1K9xRxY5qb-bNRo5m-Kw7udpF1OaTHhrxjs/edit#gid=0"",""'Game 8'!S25"")+100)))"),218.0)</f>
        <v>218</v>
      </c>
      <c r="L10" s="5">
        <f>IFERROR(__xludf.DUMMYFUNCTION("IF($A10=IMPORTRANGE(""https://docs.google.com/spreadsheets/d/1NDNgi_Ny4dRhc2A3UMIIkalN-V6EmsvxOfDzMRQlQ40/edit#gid=0"",""'Game 6'!B1""),IF(IMPORTRANGE(""https://docs.google.com/spreadsheets/d/1NDNgi_Ny4dRhc2A3UMIIkalN-V6EmsvxOfDzMRQlQ40/edit#gid=0"",""'Ga"&amp;"me 6'!J25"")&gt;IMPORTRANGE(""https://docs.google.com/spreadsheets/d/1NDNgi_Ny4dRhc2A3UMIIkalN-V6EmsvxOfDzMRQlQ40/edit#gid=0"",""'Game 6'!S25""),IMPORTRANGE(""https://docs.google.com/spreadsheets/d/1NDNgi_Ny4dRhc2A3UMIIkalN-V6EmsvxOfDzMRQlQ40/edit#gid=0"","""&amp;"'Game 6'!J25"")+100,IF(IMPORTRANGE(""https://docs.google.com/spreadsheets/d/1NDNgi_Ny4dRhc2A3UMIIkalN-V6EmsvxOfDzMRQlQ40/edit#gid=0"",""'Game 6'!J25"")=IMPORTRANGE(""https://docs.google.com/spreadsheets/d/1NDNgi_Ny4dRhc2A3UMIIkalN-V6EmsvxOfDzMRQlQ40/edit#"&amp;"gid=0"",""'Game 6'!S25""),IMPORTRANGE(""https://docs.google.com/spreadsheets/d/1NDNgi_Ny4dRhc2A3UMIIkalN-V6EmsvxOfDzMRQlQ40/edit#gid=0"",""'Game 6'!J25"")+50,IMPORTRANGE(""https://docs.google.com/spreadsheets/d/1NDNgi_Ny4dRhc2A3UMIIkalN-V6EmsvxOfDzMRQlQ40"&amp;"/edit#gid=0"",""'Game 6'!J25""))),IF(IMPORTRANGE(""https://docs.google.com/spreadsheets/d/1NDNgi_Ny4dRhc2A3UMIIkalN-V6EmsvxOfDzMRQlQ40/edit#gid=0"",""'Game 6'!J25"")&gt;IMPORTRANGE(""https://docs.google.com/spreadsheets/d/1NDNgi_Ny4dRhc2A3UMIIkalN-V6EmsvxOfD"&amp;"zMRQlQ40/edit#gid=0"",""'Game 6'!S25""),IMPORTRANGE(""https://docs.google.com/spreadsheets/d/1NDNgi_Ny4dRhc2A3UMIIkalN-V6EmsvxOfDzMRQlQ40/edit#gid=0"",""'Game 6'!S25""),IF(IMPORTRANGE(""https://docs.google.com/spreadsheets/d/1NDNgi_Ny4dRhc2A3UMIIkalN-V6Em"&amp;"svxOfDzMRQlQ40/edit#gid=0"",""'Game 6'!J25"")=IMPORTRANGE(""https://docs.google.com/spreadsheets/d/1NDNgi_Ny4dRhc2A3UMIIkalN-V6EmsvxOfDzMRQlQ40/edit#gid=0"",""'Game 6'!S25""),IMPORTRANGE(""https://docs.google.com/spreadsheets/d/1NDNgi_Ny4dRhc2A3UMIIkalN-V"&amp;"6EmsvxOfDzMRQlQ40/edit#gid=0"",""'Game 6'!S25"")+50,IMPORTRANGE(""https://docs.google.com/spreadsheets/d/1NDNgi_Ny4dRhc2A3UMIIkalN-V6EmsvxOfDzMRQlQ40/edit#gid=0"",""'Game 6'!S25"")+100)))"),200.0)</f>
        <v>200</v>
      </c>
      <c r="M10" s="5">
        <f>IFERROR(__xludf.DUMMYFUNCTION("IF($A10=IMPORTRANGE(""https://docs.google.com/spreadsheets/d/1UDYA3-RrkJNLa2ZLH1NnUjKyfCoiSODmgVL_Au_zt-Y/edit#gid=0"",""'Game 10'!B1""),IF(IMPORTRANGE(""https://docs.google.com/spreadsheets/d/1UDYA3-RrkJNLa2ZLH1NnUjKyfCoiSODmgVL_Au_zt-Y/edit#gid=0"",""'G"&amp;"ame 10'!J25"")&gt;IMPORTRANGE(""https://docs.google.com/spreadsheets/d/1UDYA3-RrkJNLa2ZLH1NnUjKyfCoiSODmgVL_Au_zt-Y/edit#gid=0"",""'Game 10'!S25""),IMPORTRANGE(""https://docs.google.com/spreadsheets/d/1UDYA3-RrkJNLa2ZLH1NnUjKyfCoiSODmgVL_Au_zt-Y/edit#gid=0"""&amp;",""'Game 10'!J25"")+100,IF(IMPORTRANGE(""https://docs.google.com/spreadsheets/d/1UDYA3-RrkJNLa2ZLH1NnUjKyfCoiSODmgVL_Au_zt-Y/edit#gid=0"",""'Game 10'!J25"")=IMPORTRANGE(""https://docs.google.com/spreadsheets/d/1UDYA3-RrkJNLa2ZLH1NnUjKyfCoiSODmgVL_Au_zt-Y/"&amp;"edit#gid=0"",""'Game 10'!S25""),IMPORTRANGE(""https://docs.google.com/spreadsheets/d/1UDYA3-RrkJNLa2ZLH1NnUjKyfCoiSODmgVL_Au_zt-Y/edit#gid=0"",""'Game 10'!J25"")+50,IMPORTRANGE(""https://docs.google.com/spreadsheets/d/1UDYA3-RrkJNLa2ZLH1NnUjKyfCoiSODmgVL_"&amp;"Au_zt-Y/edit#gid=0"",""'Game 10'!J25""))),IF(IMPORTRANGE(""https://docs.google.com/spreadsheets/d/1UDYA3-RrkJNLa2ZLH1NnUjKyfCoiSODmgVL_Au_zt-Y/edit#gid=0"",""'Game 10'!J25"")&gt;IMPORTRANGE(""https://docs.google.com/spreadsheets/d/1UDYA3-RrkJNLa2ZLH1NnUjKyfC"&amp;"oiSODmgVL_Au_zt-Y/edit#gid=0"",""'Game 10'!S25""),IMPORTRANGE(""https://docs.google.com/spreadsheets/d/1UDYA3-RrkJNLa2ZLH1NnUjKyfCoiSODmgVL_Au_zt-Y/edit#gid=0"",""'Game 10'!S25""),IF(IMPORTRANGE(""https://docs.google.com/spreadsheets/d/1UDYA3-RrkJNLa2ZLH1"&amp;"NnUjKyfCoiSODmgVL_Au_zt-Y/edit#gid=0"",""'Game 10'!J25"")=IMPORTRANGE(""https://docs.google.com/spreadsheets/d/1UDYA3-RrkJNLa2ZLH1NnUjKyfCoiSODmgVL_Au_zt-Y/edit#gid=0"",""'Game 10'!S25""),IMPORTRANGE(""https://docs.google.com/spreadsheets/d/1UDYA3-RrkJNLa"&amp;"2ZLH1NnUjKyfCoiSODmgVL_Au_zt-Y/edit#gid=0"",""'Game 10'!S25"")+50,IMPORTRANGE(""https://docs.google.com/spreadsheets/d/1UDYA3-RrkJNLa2ZLH1NnUjKyfCoiSODmgVL_Au_zt-Y/edit#gid=0"",""'Game 10'!S25"")+100)))"),286.0)</f>
        <v>286</v>
      </c>
      <c r="N10" s="5">
        <f>IFERROR(__xludf.DUMMYFUNCTION("IF($A10=IMPORTRANGE(""https://docs.google.com/spreadsheets/d/1fvo6H94Wcffp6c4N9g3JKCW6y2ZlijPxdOsNz7xdBhw/edit#gid=0"",""'Game 11'!B1""),IF(IMPORTRANGE(""https://docs.google.com/spreadsheets/d/1fvo6H94Wcffp6c4N9g3JKCW6y2ZlijPxdOsNz7xdBhw/edit#gid=0"",""'G"&amp;"ame 11'!J25"")&gt;IMPORTRANGE(""https://docs.google.com/spreadsheets/d/1fvo6H94Wcffp6c4N9g3JKCW6y2ZlijPxdOsNz7xdBhw/edit#gid=0"",""'Game 11'!S25""),IMPORTRANGE(""https://docs.google.com/spreadsheets/d/1fvo6H94Wcffp6c4N9g3JKCW6y2ZlijPxdOsNz7xdBhw/edit#gid=0"""&amp;",""'Game 11'!J25"")+100,IF(IMPORTRANGE(""https://docs.google.com/spreadsheets/d/1fvo6H94Wcffp6c4N9g3JKCW6y2ZlijPxdOsNz7xdBhw/edit#gid=0"",""'Game 11'!J25"")=IMPORTRANGE(""https://docs.google.com/spreadsheets/d/1fvo6H94Wcffp6c4N9g3JKCW6y2ZlijPxdOsNz7xdBhw/"&amp;"edit#gid=0"",""'Game 11'!S25""),IMPORTRANGE(""https://docs.google.com/spreadsheets/d/1fvo6H94Wcffp6c4N9g3JKCW6y2ZlijPxdOsNz7xdBhw/edit#gid=0"",""'Game 11'!J25"")+50,IMPORTRANGE(""https://docs.google.com/spreadsheets/d/1fvo6H94Wcffp6c4N9g3JKCW6y2ZlijPxdOsN"&amp;"z7xdBhw/edit#gid=0"",""'Game 11'!J25""))),IF(IMPORTRANGE(""https://docs.google.com/spreadsheets/d/1fvo6H94Wcffp6c4N9g3JKCW6y2ZlijPxdOsNz7xdBhw/edit#gid=0"",""'Game 11'!J25"")&gt;IMPORTRANGE(""https://docs.google.com/spreadsheets/d/1fvo6H94Wcffp6c4N9g3JKCW6y2"&amp;"ZlijPxdOsNz7xdBhw/edit#gid=0"",""'Game 11'!S25""),IMPORTRANGE(""https://docs.google.com/spreadsheets/d/1fvo6H94Wcffp6c4N9g3JKCW6y2ZlijPxdOsNz7xdBhw/edit#gid=0"",""'Game 11'!S25""),IF(IMPORTRANGE(""https://docs.google.com/spreadsheets/d/1fvo6H94Wcffp6c4N9g"&amp;"3JKCW6y2ZlijPxdOsNz7xdBhw/edit#gid=0"",""'Game 11'!J25"")=IMPORTRANGE(""https://docs.google.com/spreadsheets/d/1fvo6H94Wcffp6c4N9g3JKCW6y2ZlijPxdOsNz7xdBhw/edit#gid=0"",""'Game 11'!S25""),IMPORTRANGE(""https://docs.google.com/spreadsheets/d/1fvo6H94Wcffp6"&amp;"c4N9g3JKCW6y2ZlijPxdOsNz7xdBhw/edit#gid=0"",""'Game 11'!S25"")+50,IMPORTRANGE(""https://docs.google.com/spreadsheets/d/1fvo6H94Wcffp6c4N9g3JKCW6y2ZlijPxdOsNz7xdBhw/edit#gid=0"",""'Game 11'!S25"")+100)))"),216.0)</f>
        <v>216</v>
      </c>
      <c r="O10" s="5">
        <f>IFERROR(__xludf.DUMMYFUNCTION("IF($A10=IMPORTRANGE(""https://docs.google.com/spreadsheets/d/1wfQePArl-A-5QJe5xAufoOnzeNLVSoHCRcmpZ_FMdns/edit#gid=0"",""'Game 12'!B1""),IF(IMPORTRANGE(""https://docs.google.com/spreadsheets/d/1wfQePArl-A-5QJe5xAufoOnzeNLVSoHCRcmpZ_FMdns/edit#gid=0"",""'G"&amp;"ame 12'!J25"")&gt;IMPORTRANGE(""https://docs.google.com/spreadsheets/d/1wfQePArl-A-5QJe5xAufoOnzeNLVSoHCRcmpZ_FMdns/edit#gid=0"",""'Game 12'!S25""),IMPORTRANGE(""https://docs.google.com/spreadsheets/d/1wfQePArl-A-5QJe5xAufoOnzeNLVSoHCRcmpZ_FMdns/edit#gid=0"""&amp;",""'Game 12'!J25"")+100,IF(IMPORTRANGE(""https://docs.google.com/spreadsheets/d/1wfQePArl-A-5QJe5xAufoOnzeNLVSoHCRcmpZ_FMdns/edit#gid=0"",""'Game 12'!J25"")=IMPORTRANGE(""https://docs.google.com/spreadsheets/d/1wfQePArl-A-5QJe5xAufoOnzeNLVSoHCRcmpZ_FMdns/"&amp;"edit#gid=0"",""'Game 12'!S25""),IMPORTRANGE(""https://docs.google.com/spreadsheets/d/1wfQePArl-A-5QJe5xAufoOnzeNLVSoHCRcmpZ_FMdns/edit#gid=0"",""'Game 12'!J25"")+50,IMPORTRANGE(""https://docs.google.com/spreadsheets/d/1wfQePArl-A-5QJe5xAufoOnzeNLVSoHCRcmp"&amp;"Z_FMdns/edit#gid=0"",""'Game 12'!J25""))),IF(IMPORTRANGE(""https://docs.google.com/spreadsheets/d/1wfQePArl-A-5QJe5xAufoOnzeNLVSoHCRcmpZ_FMdns/edit#gid=0"",""'Game 12'!J25"")&gt;IMPORTRANGE(""https://docs.google.com/spreadsheets/d/1wfQePArl-A-5QJe5xAufoOnzeN"&amp;"LVSoHCRcmpZ_FMdns/edit#gid=0"",""'Game 12'!S25""),IMPORTRANGE(""https://docs.google.com/spreadsheets/d/1wfQePArl-A-5QJe5xAufoOnzeNLVSoHCRcmpZ_FMdns/edit#gid=0"",""'Game 12'!S25""),IF(IMPORTRANGE(""https://docs.google.com/spreadsheets/d/1wfQePArl-A-5QJe5xA"&amp;"ufoOnzeNLVSoHCRcmpZ_FMdns/edit#gid=0"",""'Game 12'!J25"")=IMPORTRANGE(""https://docs.google.com/spreadsheets/d/1wfQePArl-A-5QJe5xAufoOnzeNLVSoHCRcmpZ_FMdns/edit#gid=0"",""'Game 12'!S25""),IMPORTRANGE(""https://docs.google.com/spreadsheets/d/1wfQePArl-A-5Q"&amp;"Je5xAufoOnzeNLVSoHCRcmpZ_FMdns/edit#gid=0"",""'Game 12'!S25"")+50,IMPORTRANGE(""https://docs.google.com/spreadsheets/d/1wfQePArl-A-5QJe5xAufoOnzeNLVSoHCRcmpZ_FMdns/edit#gid=0"",""'Game 12'!S25"")+100)))"),186.0)</f>
        <v>186</v>
      </c>
      <c r="P10" s="5">
        <f>IFERROR(__xludf.DUMMYFUNCTION("IF($A10=IMPORTRANGE(""https://docs.google.com/spreadsheets/d/1wydNznS0hZhVh3oGSdiCZSsReuqMT7Xaw718ix58zAI/edit#gid=0"",""'Game 10'!B1""),IF(IMPORTRANGE(""https://docs.google.com/spreadsheets/d/1wydNznS0hZhVh3oGSdiCZSsReuqMT7Xaw718ix58zAI/edit#gid=0"",""'G"&amp;"ame 10'!H25"")&gt;IMPORTRANGE(""https://docs.google.com/spreadsheets/d/1wydNznS0hZhVh3oGSdiCZSsReuqMT7Xaw718ix58zAI/edit#gid=0"",""'Game 10'!Q25""),IMPORTRANGE(""https://docs.google.com/spreadsheets/d/1wydNznS0hZhVh3oGSdiCZSsReuqMT7Xaw718ix58zAI/edit#gid=0"""&amp;",""'Game 10'!H25"")+100,IF(IMPORTRANGE(""https://docs.google.com/spreadsheets/d/1wydNznS0hZhVh3oGSdiCZSsReuqMT7Xaw718ix58zAI/edit#gid=0"",""'Game 10'!H25"")=IMPORTRANGE(""https://docs.google.com/spreadsheets/d/1wydNznS0hZhVh3oGSdiCZSsReuqMT7Xaw718ix58zAI/"&amp;"edit#gid=0"",""'Game 10'!Q25""),IMPORTRANGE(""https://docs.google.com/spreadsheets/d/1wydNznS0hZhVh3oGSdiCZSsReuqMT7Xaw718ix58zAI/edit#gid=0"",""'Game 10'!H25"")+50,IMPORTRANGE(""https://docs.google.com/spreadsheets/d/1wydNznS0hZhVh3oGSdiCZSsReuqMT7Xaw718"&amp;"ix58zAI/edit#gid=0"",""'Game 10'!H25""))),IF(IMPORTRANGE(""https://docs.google.com/spreadsheets/d/1wydNznS0hZhVh3oGSdiCZSsReuqMT7Xaw718ix58zAI/edit#gid=0"",""'Game 10'!H25"")&gt;IMPORTRANGE(""https://docs.google.com/spreadsheets/d/1wydNznS0hZhVh3oGSdiCZSsReu"&amp;"qMT7Xaw718ix58zAI/edit#gid=0"",""'Game 10'!Q25""),IMPORTRANGE(""https://docs.google.com/spreadsheets/d/1wydNznS0hZhVh3oGSdiCZSsReuqMT7Xaw718ix58zAI/edit#gid=0"",""'Game 10'!Q25""),IF(IMPORTRANGE(""https://docs.google.com/spreadsheets/d/1wydNznS0hZhVh3oGSd"&amp;"iCZSsReuqMT7Xaw718ix58zAI/edit#gid=0"",""'Game 10'!H25"")=IMPORTRANGE(""https://docs.google.com/spreadsheets/d/1wydNznS0hZhVh3oGSdiCZSsReuqMT7Xaw718ix58zAI/edit#gid=0"",""'Game 10'!Q25""),IMPORTRANGE(""https://docs.google.com/spreadsheets/d/1wydNznS0hZhVh"&amp;"3oGSdiCZSsReuqMT7Xaw718ix58zAI/edit#gid=0"",""'Game 10'!Q25"")+50,IMPORTRANGE(""https://docs.google.com/spreadsheets/d/1wydNznS0hZhVh3oGSdiCZSsReuqMT7Xaw718ix58zAI/edit#gid=0"",""'Game 10'!Q25"")+100)))"),60.0)</f>
        <v>60</v>
      </c>
      <c r="Q10" s="35">
        <f t="shared" si="1"/>
        <v>2410</v>
      </c>
      <c r="R10" s="35">
        <f t="shared" si="2"/>
        <v>7</v>
      </c>
    </row>
    <row r="11">
      <c r="A11" s="32" t="s">
        <v>151</v>
      </c>
      <c r="B11" s="36">
        <v>246.0</v>
      </c>
      <c r="C11" s="36">
        <v>276.0</v>
      </c>
      <c r="D11" s="36">
        <v>226.0</v>
      </c>
      <c r="E11" s="36">
        <v>256.0</v>
      </c>
      <c r="F11" s="36">
        <v>56.0</v>
      </c>
      <c r="G11" s="12">
        <f>IFERROR(__xludf.DUMMYFUNCTION("IF($A11=IMPORTRANGE(""https://docs.google.com/spreadsheets/d/19gjAD4NwTXl_QoKUuwHQ1cWG_S2BOW94pDcyFtPwheg/edit#gid=0"",""'Game 7'!B1""),IF(IMPORTRANGE(""https://docs.google.com/spreadsheets/d/19gjAD4NwTXl_QoKUuwHQ1cWG_S2BOW94pDcyFtPwheg/edit#gid=0"",""'Ga"&amp;"me 7'!J25"")&gt;IMPORTRANGE(""https://docs.google.com/spreadsheets/d/19gjAD4NwTXl_QoKUuwHQ1cWG_S2BOW94pDcyFtPwheg/edit#gid=0"",""'Game 7'!S25""),IMPORTRANGE(""https://docs.google.com/spreadsheets/d/19gjAD4NwTXl_QoKUuwHQ1cWG_S2BOW94pDcyFtPwheg/edit#gid=0"","""&amp;"'Game 7'!J25"")+100,IF(IMPORTRANGE(""https://docs.google.com/spreadsheets/d/19gjAD4NwTXl_QoKUuwHQ1cWG_S2BOW94pDcyFtPwheg/edit#gid=0"",""'Game 7'!J25"")=IMPORTRANGE(""https://docs.google.com/spreadsheets/d/19gjAD4NwTXl_QoKUuwHQ1cWG_S2BOW94pDcyFtPwheg/edit#"&amp;"gid=0"",""'Game 7'!S25""),IMPORTRANGE(""https://docs.google.com/spreadsheets/d/19gjAD4NwTXl_QoKUuwHQ1cWG_S2BOW94pDcyFtPwheg/edit#gid=0"",""'Game 7'!J25"")+50,IMPORTRANGE(""https://docs.google.com/spreadsheets/d/19gjAD4NwTXl_QoKUuwHQ1cWG_S2BOW94pDcyFtPwheg"&amp;"/edit#gid=0"",""'Game 7'!J25""))),IF(IMPORTRANGE(""https://docs.google.com/spreadsheets/d/19gjAD4NwTXl_QoKUuwHQ1cWG_S2BOW94pDcyFtPwheg/edit#gid=0"",""'Game 7'!J25"")&gt;IMPORTRANGE(""https://docs.google.com/spreadsheets/d/19gjAD4NwTXl_QoKUuwHQ1cWG_S2BOW94pDc"&amp;"yFtPwheg/edit#gid=0"",""'Game 7'!S25""),IMPORTRANGE(""https://docs.google.com/spreadsheets/d/19gjAD4NwTXl_QoKUuwHQ1cWG_S2BOW94pDcyFtPwheg/edit#gid=0"",""'Game 7'!S25""),IF(IMPORTRANGE(""https://docs.google.com/spreadsheets/d/19gjAD4NwTXl_QoKUuwHQ1cWG_S2BO"&amp;"W94pDcyFtPwheg/edit#gid=0"",""'Game 7'!J25"")=IMPORTRANGE(""https://docs.google.com/spreadsheets/d/19gjAD4NwTXl_QoKUuwHQ1cWG_S2BOW94pDcyFtPwheg/edit#gid=0"",""'Game 7'!S25""),IMPORTRANGE(""https://docs.google.com/spreadsheets/d/19gjAD4NwTXl_QoKUuwHQ1cWG_S"&amp;"2BOW94pDcyFtPwheg/edit#gid=0"",""'Game 7'!S25"")+50,IMPORTRANGE(""https://docs.google.com/spreadsheets/d/19gjAD4NwTXl_QoKUuwHQ1cWG_S2BOW94pDcyFtPwheg/edit#gid=0"",""'Game 7'!S25"")+100)))"),232.0)</f>
        <v>232</v>
      </c>
      <c r="H11" s="12">
        <f>IFERROR(__xludf.DUMMYFUNCTION("IF($A11=IMPORTRANGE(""https://docs.google.com/spreadsheets/d/1l83w8bH-F1czkFOqsgQy6o8O33Jb4Pfg40W0ou2nk0k/edit#gid=0"",""'Game 3'!B1""),IF(IMPORTRANGE(""https://docs.google.com/spreadsheets/d/1l83w8bH-F1czkFOqsgQy6o8O33Jb4Pfg40W0ou2nk0k/edit#gid=0"",""'Ga"&amp;"me 3'!J25"")&gt;IMPORTRANGE(""https://docs.google.com/spreadsheets/d/1l83w8bH-F1czkFOqsgQy6o8O33Jb4Pfg40W0ou2nk0k/edit#gid=0"",""'Game 3'!S25""),IMPORTRANGE(""https://docs.google.com/spreadsheets/d/1l83w8bH-F1czkFOqsgQy6o8O33Jb4Pfg40W0ou2nk0k/edit#gid=0"","""&amp;"'Game 3'!J25"")+100,IF(IMPORTRANGE(""https://docs.google.com/spreadsheets/d/1l83w8bH-F1czkFOqsgQy6o8O33Jb4Pfg40W0ou2nk0k/edit#gid=0"",""'Game 3'!J25"")=IMPORTRANGE(""https://docs.google.com/spreadsheets/d/1l83w8bH-F1czkFOqsgQy6o8O33Jb4Pfg40W0ou2nk0k/edit#"&amp;"gid=0"",""'Game 3'!S25""),IMPORTRANGE(""https://docs.google.com/spreadsheets/d/1l83w8bH-F1czkFOqsgQy6o8O33Jb4Pfg40W0ou2nk0k/edit#gid=0"",""'Game 3'!J25"")+50,IMPORTRANGE(""https://docs.google.com/spreadsheets/d/1l83w8bH-F1czkFOqsgQy6o8O33Jb4Pfg40W0ou2nk0k"&amp;"/edit#gid=0"",""'Game 3'!J25""))),IF(IMPORTRANGE(""https://docs.google.com/spreadsheets/d/1l83w8bH-F1czkFOqsgQy6o8O33Jb4Pfg40W0ou2nk0k/edit#gid=0"",""'Game 3'!J25"")&gt;IMPORTRANGE(""https://docs.google.com/spreadsheets/d/1l83w8bH-F1czkFOqsgQy6o8O33Jb4Pfg40W"&amp;"0ou2nk0k/edit#gid=0"",""'Game 3'!S25""),IMPORTRANGE(""https://docs.google.com/spreadsheets/d/1l83w8bH-F1czkFOqsgQy6o8O33Jb4Pfg40W0ou2nk0k/edit#gid=0"",""'Game 3'!S25""),IF(IMPORTRANGE(""https://docs.google.com/spreadsheets/d/1l83w8bH-F1czkFOqsgQy6o8O33Jb4"&amp;"Pfg40W0ou2nk0k/edit#gid=0"",""'Game 3'!J25"")=IMPORTRANGE(""https://docs.google.com/spreadsheets/d/1l83w8bH-F1czkFOqsgQy6o8O33Jb4Pfg40W0ou2nk0k/edit#gid=0"",""'Game 3'!S25""),IMPORTRANGE(""https://docs.google.com/spreadsheets/d/1l83w8bH-F1czkFOqsgQy6o8O33"&amp;"Jb4Pfg40W0ou2nk0k/edit#gid=0"",""'Game 3'!S25"")+50,IMPORTRANGE(""https://docs.google.com/spreadsheets/d/1l83w8bH-F1czkFOqsgQy6o8O33Jb4Pfg40W0ou2nk0k/edit#gid=0"",""'Game 3'!S25"")+100)))"),206.0)</f>
        <v>206</v>
      </c>
      <c r="I11" s="12">
        <f>IFERROR(__xludf.DUMMYFUNCTION("IF($A11=IMPORTRANGE(""https://docs.google.com/spreadsheets/d/15X-ub7GvrCQZ3UGgyogcjwYdxG-Ng8WHxzGSj1Z3eLw/edit#gid=0"",""'Game 1'!B1""),IF(IMPORTRANGE(""https://docs.google.com/spreadsheets/d/15X-ub7GvrCQZ3UGgyogcjwYdxG-Ng8WHxzGSj1Z3eLw/edit#gid=0"",""'Ga"&amp;"me 1'!J25"")&gt;IMPORTRANGE(""https://docs.google.com/spreadsheets/d/15X-ub7GvrCQZ3UGgyogcjwYdxG-Ng8WHxzGSj1Z3eLw/edit#gid=0"",""'Game 1'!S25""),IMPORTRANGE(""https://docs.google.com/spreadsheets/d/15X-ub7GvrCQZ3UGgyogcjwYdxG-Ng8WHxzGSj1Z3eLw/edit#gid=0"","""&amp;"'Game 1'!J25"")+100,IF(IMPORTRANGE(""https://docs.google.com/spreadsheets/d/15X-ub7GvrCQZ3UGgyogcjwYdxG-Ng8WHxzGSj1Z3eLw/edit#gid=0"",""'Game 1'!J25"")=IMPORTRANGE(""https://docs.google.com/spreadsheets/d/15X-ub7GvrCQZ3UGgyogcjwYdxG-Ng8WHxzGSj1Z3eLw/edit#"&amp;"gid=0"",""'Game 1'!S25""),IMPORTRANGE(""https://docs.google.com/spreadsheets/d/15X-ub7GvrCQZ3UGgyogcjwYdxG-Ng8WHxzGSj1Z3eLw/edit#gid=0"",""'Game 1'!J25"")+50,IMPORTRANGE(""https://docs.google.com/spreadsheets/d/15X-ub7GvrCQZ3UGgyogcjwYdxG-Ng8WHxzGSj1Z3eLw"&amp;"/edit#gid=0"",""'Game 1'!J25""))),IF(IMPORTRANGE(""https://docs.google.com/spreadsheets/d/15X-ub7GvrCQZ3UGgyogcjwYdxG-Ng8WHxzGSj1Z3eLw/edit#gid=0"",""'Game 1'!J25"")&gt;IMPORTRANGE(""https://docs.google.com/spreadsheets/d/15X-ub7GvrCQZ3UGgyogcjwYdxG-Ng8WHxzG"&amp;"Sj1Z3eLw/edit#gid=0"",""'Game 1'!S25""),IMPORTRANGE(""https://docs.google.com/spreadsheets/d/15X-ub7GvrCQZ3UGgyogcjwYdxG-Ng8WHxzGSj1Z3eLw/edit#gid=0"",""'Game 1'!S25""),IF(IMPORTRANGE(""https://docs.google.com/spreadsheets/d/15X-ub7GvrCQZ3UGgyogcjwYdxG-Ng"&amp;"8WHxzGSj1Z3eLw/edit#gid=0"",""'Game 1'!J25"")=IMPORTRANGE(""https://docs.google.com/spreadsheets/d/15X-ub7GvrCQZ3UGgyogcjwYdxG-Ng8WHxzGSj1Z3eLw/edit#gid=0"",""'Game 1'!S25""),IMPORTRANGE(""https://docs.google.com/spreadsheets/d/15X-ub7GvrCQZ3UGgyogcjwYdxG"&amp;"-Ng8WHxzGSj1Z3eLw/edit#gid=0"",""'Game 1'!S25"")+50,IMPORTRANGE(""https://docs.google.com/spreadsheets/d/15X-ub7GvrCQZ3UGgyogcjwYdxG-Ng8WHxzGSj1Z3eLw/edit#gid=0"",""'Game 1'!S25"")+100)))"),178.0)</f>
        <v>178</v>
      </c>
      <c r="J11" s="12">
        <f>IFERROR(__xludf.DUMMYFUNCTION("IF($A11=IMPORTRANGE(""https://docs.google.com/spreadsheets/d/194Bw3ABslPPhOOPvVoMzIk8sOQFICWBu2pydWdYMD-w/edit#gid=0"",""'Game 5'!B1""),IF(IMPORTRANGE(""https://docs.google.com/spreadsheets/d/194Bw3ABslPPhOOPvVoMzIk8sOQFICWBu2pydWdYMD-w/edit#gid=0"",""'Ga"&amp;"me 5'!J25"")&gt;IMPORTRANGE(""https://docs.google.com/spreadsheets/d/194Bw3ABslPPhOOPvVoMzIk8sOQFICWBu2pydWdYMD-w/edit#gid=0"",""'Game 5'!S25""),IMPORTRANGE(""https://docs.google.com/spreadsheets/d/194Bw3ABslPPhOOPvVoMzIk8sOQFICWBu2pydWdYMD-w/edit#gid=0"","""&amp;"'Game 5'!J25"")+100,IF(IMPORTRANGE(""https://docs.google.com/spreadsheets/d/194Bw3ABslPPhOOPvVoMzIk8sOQFICWBu2pydWdYMD-w/edit#gid=0"",""'Game 5'!J25"")=IMPORTRANGE(""https://docs.google.com/spreadsheets/d/194Bw3ABslPPhOOPvVoMzIk8sOQFICWBu2pydWdYMD-w/edit#"&amp;"gid=0"",""'Game 5'!S25""),IMPORTRANGE(""https://docs.google.com/spreadsheets/d/194Bw3ABslPPhOOPvVoMzIk8sOQFICWBu2pydWdYMD-w/edit#gid=0"",""'Game 5'!J25"")+50,IMPORTRANGE(""https://docs.google.com/spreadsheets/d/194Bw3ABslPPhOOPvVoMzIk8sOQFICWBu2pydWdYMD-w"&amp;"/edit#gid=0"",""'Game 5'!J25""))),IF(IMPORTRANGE(""https://docs.google.com/spreadsheets/d/194Bw3ABslPPhOOPvVoMzIk8sOQFICWBu2pydWdYMD-w/edit#gid=0"",""'Game 5'!J25"")&gt;IMPORTRANGE(""https://docs.google.com/spreadsheets/d/194Bw3ABslPPhOOPvVoMzIk8sOQFICWBu2py"&amp;"dWdYMD-w/edit#gid=0"",""'Game 5'!S25""),IMPORTRANGE(""https://docs.google.com/spreadsheets/d/194Bw3ABslPPhOOPvVoMzIk8sOQFICWBu2pydWdYMD-w/edit#gid=0"",""'Game 5'!S25""),IF(IMPORTRANGE(""https://docs.google.com/spreadsheets/d/194Bw3ABslPPhOOPvVoMzIk8sOQFIC"&amp;"WBu2pydWdYMD-w/edit#gid=0"",""'Game 5'!J25"")=IMPORTRANGE(""https://docs.google.com/spreadsheets/d/194Bw3ABslPPhOOPvVoMzIk8sOQFICWBu2pydWdYMD-w/edit#gid=0"",""'Game 5'!S25""),IMPORTRANGE(""https://docs.google.com/spreadsheets/d/194Bw3ABslPPhOOPvVoMzIk8sOQ"&amp;"FICWBu2pydWdYMD-w/edit#gid=0"",""'Game 5'!S25"")+50,IMPORTRANGE(""https://docs.google.com/spreadsheets/d/194Bw3ABslPPhOOPvVoMzIk8sOQFICWBu2pydWdYMD-w/edit#gid=0"",""'Game 5'!S25"")+100)))"),186.0)</f>
        <v>186</v>
      </c>
      <c r="K11" s="12">
        <f>IFERROR(__xludf.DUMMYFUNCTION("IF($A11=IMPORTRANGE(""https://docs.google.com/spreadsheets/d/1F2Bi6K_I1K9xRxY5qb-bNRo5m-Kw7udpF1OaTHhrxjs/edit#gid=0"",""'Game 4'!B1""),IF(IMPORTRANGE(""https://docs.google.com/spreadsheets/d/1F2Bi6K_I1K9xRxY5qb-bNRo5m-Kw7udpF1OaTHhrxjs/edit#gid=0"",""'Ga"&amp;"me 4'!J25"")&gt;IMPORTRANGE(""https://docs.google.com/spreadsheets/d/1F2Bi6K_I1K9xRxY5qb-bNRo5m-Kw7udpF1OaTHhrxjs/edit#gid=0"",""'Game 4'!S25""),IMPORTRANGE(""https://docs.google.com/spreadsheets/d/1F2Bi6K_I1K9xRxY5qb-bNRo5m-Kw7udpF1OaTHhrxjs/edit#gid=0"","""&amp;"'Game 4'!J25"")+100,IF(IMPORTRANGE(""https://docs.google.com/spreadsheets/d/1F2Bi6K_I1K9xRxY5qb-bNRo5m-Kw7udpF1OaTHhrxjs/edit#gid=0"",""'Game 4'!J25"")=IMPORTRANGE(""https://docs.google.com/spreadsheets/d/1F2Bi6K_I1K9xRxY5qb-bNRo5m-Kw7udpF1OaTHhrxjs/edit#"&amp;"gid=0"",""'Game 4'!S25""),IMPORTRANGE(""https://docs.google.com/spreadsheets/d/1F2Bi6K_I1K9xRxY5qb-bNRo5m-Kw7udpF1OaTHhrxjs/edit#gid=0"",""'Game 4'!J25"")+50,IMPORTRANGE(""https://docs.google.com/spreadsheets/d/1F2Bi6K_I1K9xRxY5qb-bNRo5m-Kw7udpF1OaTHhrxjs"&amp;"/edit#gid=0"",""'Game 4'!J25""))),IF(IMPORTRANGE(""https://docs.google.com/spreadsheets/d/1F2Bi6K_I1K9xRxY5qb-bNRo5m-Kw7udpF1OaTHhrxjs/edit#gid=0"",""'Game 4'!J25"")&gt;IMPORTRANGE(""https://docs.google.com/spreadsheets/d/1F2Bi6K_I1K9xRxY5qb-bNRo5m-Kw7udpF1O"&amp;"aTHhrxjs/edit#gid=0"",""'Game 4'!S25""),IMPORTRANGE(""https://docs.google.com/spreadsheets/d/1F2Bi6K_I1K9xRxY5qb-bNRo5m-Kw7udpF1OaTHhrxjs/edit#gid=0"",""'Game 4'!S25""),IF(IMPORTRANGE(""https://docs.google.com/spreadsheets/d/1F2Bi6K_I1K9xRxY5qb-bNRo5m-Kw7"&amp;"udpF1OaTHhrxjs/edit#gid=0"",""'Game 4'!J25"")=IMPORTRANGE(""https://docs.google.com/spreadsheets/d/1F2Bi6K_I1K9xRxY5qb-bNRo5m-Kw7udpF1OaTHhrxjs/edit#gid=0"",""'Game 4'!S25""),IMPORTRANGE(""https://docs.google.com/spreadsheets/d/1F2Bi6K_I1K9xRxY5qb-bNRo5m-"&amp;"Kw7udpF1OaTHhrxjs/edit#gid=0"",""'Game 4'!S25"")+50,IMPORTRANGE(""https://docs.google.com/spreadsheets/d/1F2Bi6K_I1K9xRxY5qb-bNRo5m-Kw7udpF1OaTHhrxjs/edit#gid=0"",""'Game 4'!S25"")+100)))"),56.0)</f>
        <v>56</v>
      </c>
      <c r="L11" s="12">
        <f>IFERROR(__xludf.DUMMYFUNCTION("IF($A11=IMPORTRANGE(""https://docs.google.com/spreadsheets/d/1NDNgi_Ny4dRhc2A3UMIIkalN-V6EmsvxOfDzMRQlQ40/edit#gid=0"",""'Game 2'!B1""),IF(IMPORTRANGE(""https://docs.google.com/spreadsheets/d/1NDNgi_Ny4dRhc2A3UMIIkalN-V6EmsvxOfDzMRQlQ40/edit#gid=0"",""'Ga"&amp;"me 2'!J25"")&gt;IMPORTRANGE(""https://docs.google.com/spreadsheets/d/1NDNgi_Ny4dRhc2A3UMIIkalN-V6EmsvxOfDzMRQlQ40/edit#gid=0"",""'Game 2'!S25""),IMPORTRANGE(""https://docs.google.com/spreadsheets/d/1NDNgi_Ny4dRhc2A3UMIIkalN-V6EmsvxOfDzMRQlQ40/edit#gid=0"","""&amp;"'Game 2'!J25"")+100,IF(IMPORTRANGE(""https://docs.google.com/spreadsheets/d/1NDNgi_Ny4dRhc2A3UMIIkalN-V6EmsvxOfDzMRQlQ40/edit#gid=0"",""'Game 2'!J25"")=IMPORTRANGE(""https://docs.google.com/spreadsheets/d/1NDNgi_Ny4dRhc2A3UMIIkalN-V6EmsvxOfDzMRQlQ40/edit#"&amp;"gid=0"",""'Game 2'!S25""),IMPORTRANGE(""https://docs.google.com/spreadsheets/d/1NDNgi_Ny4dRhc2A3UMIIkalN-V6EmsvxOfDzMRQlQ40/edit#gid=0"",""'Game 2'!J25"")+50,IMPORTRANGE(""https://docs.google.com/spreadsheets/d/1NDNgi_Ny4dRhc2A3UMIIkalN-V6EmsvxOfDzMRQlQ40"&amp;"/edit#gid=0"",""'Game 2'!J25""))),IF(IMPORTRANGE(""https://docs.google.com/spreadsheets/d/1NDNgi_Ny4dRhc2A3UMIIkalN-V6EmsvxOfDzMRQlQ40/edit#gid=0"",""'Game 2'!J25"")&gt;IMPORTRANGE(""https://docs.google.com/spreadsheets/d/1NDNgi_Ny4dRhc2A3UMIIkalN-V6EmsvxOfD"&amp;"zMRQlQ40/edit#gid=0"",""'Game 2'!S25""),IMPORTRANGE(""https://docs.google.com/spreadsheets/d/1NDNgi_Ny4dRhc2A3UMIIkalN-V6EmsvxOfDzMRQlQ40/edit#gid=0"",""'Game 2'!S25""),IF(IMPORTRANGE(""https://docs.google.com/spreadsheets/d/1NDNgi_Ny4dRhc2A3UMIIkalN-V6Em"&amp;"svxOfDzMRQlQ40/edit#gid=0"",""'Game 2'!J25"")=IMPORTRANGE(""https://docs.google.com/spreadsheets/d/1NDNgi_Ny4dRhc2A3UMIIkalN-V6EmsvxOfDzMRQlQ40/edit#gid=0"",""'Game 2'!S25""),IMPORTRANGE(""https://docs.google.com/spreadsheets/d/1NDNgi_Ny4dRhc2A3UMIIkalN-V"&amp;"6EmsvxOfDzMRQlQ40/edit#gid=0"",""'Game 2'!S25"")+50,IMPORTRANGE(""https://docs.google.com/spreadsheets/d/1NDNgi_Ny4dRhc2A3UMIIkalN-V6EmsvxOfDzMRQlQ40/edit#gid=0"",""'Game 2'!S25"")+100)))"),250.0)</f>
        <v>250</v>
      </c>
      <c r="M11" s="12">
        <f>IFERROR(__xludf.DUMMYFUNCTION("IF($A11=IMPORTRANGE(""https://docs.google.com/spreadsheets/d/1UDYA3-RrkJNLa2ZLH1NnUjKyfCoiSODmgVL_Au_zt-Y/edit#gid=0"",""'Game 6'!B1""),IF(IMPORTRANGE(""https://docs.google.com/spreadsheets/d/1UDYA3-RrkJNLa2ZLH1NnUjKyfCoiSODmgVL_Au_zt-Y/edit#gid=0"",""'Ga"&amp;"me 6'!J25"")&gt;IMPORTRANGE(""https://docs.google.com/spreadsheets/d/1UDYA3-RrkJNLa2ZLH1NnUjKyfCoiSODmgVL_Au_zt-Y/edit#gid=0"",""'Game 6'!S25""),IMPORTRANGE(""https://docs.google.com/spreadsheets/d/1UDYA3-RrkJNLa2ZLH1NnUjKyfCoiSODmgVL_Au_zt-Y/edit#gid=0"","""&amp;"'Game 6'!J25"")+100,IF(IMPORTRANGE(""https://docs.google.com/spreadsheets/d/1UDYA3-RrkJNLa2ZLH1NnUjKyfCoiSODmgVL_Au_zt-Y/edit#gid=0"",""'Game 6'!J25"")=IMPORTRANGE(""https://docs.google.com/spreadsheets/d/1UDYA3-RrkJNLa2ZLH1NnUjKyfCoiSODmgVL_Au_zt-Y/edit#"&amp;"gid=0"",""'Game 6'!S25""),IMPORTRANGE(""https://docs.google.com/spreadsheets/d/1UDYA3-RrkJNLa2ZLH1NnUjKyfCoiSODmgVL_Au_zt-Y/edit#gid=0"",""'Game 6'!J25"")+50,IMPORTRANGE(""https://docs.google.com/spreadsheets/d/1UDYA3-RrkJNLa2ZLH1NnUjKyfCoiSODmgVL_Au_zt-Y"&amp;"/edit#gid=0"",""'Game 6'!J25""))),IF(IMPORTRANGE(""https://docs.google.com/spreadsheets/d/1UDYA3-RrkJNLa2ZLH1NnUjKyfCoiSODmgVL_Au_zt-Y/edit#gid=0"",""'Game 6'!J25"")&gt;IMPORTRANGE(""https://docs.google.com/spreadsheets/d/1UDYA3-RrkJNLa2ZLH1NnUjKyfCoiSODmgVL"&amp;"_Au_zt-Y/edit#gid=0"",""'Game 6'!S25""),IMPORTRANGE(""https://docs.google.com/spreadsheets/d/1UDYA3-RrkJNLa2ZLH1NnUjKyfCoiSODmgVL_Au_zt-Y/edit#gid=0"",""'Game 6'!S25""),IF(IMPORTRANGE(""https://docs.google.com/spreadsheets/d/1UDYA3-RrkJNLa2ZLH1NnUjKyfCoiS"&amp;"ODmgVL_Au_zt-Y/edit#gid=0"",""'Game 6'!J25"")=IMPORTRANGE(""https://docs.google.com/spreadsheets/d/1UDYA3-RrkJNLa2ZLH1NnUjKyfCoiSODmgVL_Au_zt-Y/edit#gid=0"",""'Game 6'!S25""),IMPORTRANGE(""https://docs.google.com/spreadsheets/d/1UDYA3-RrkJNLa2ZLH1NnUjKyfC"&amp;"oiSODmgVL_Au_zt-Y/edit#gid=0"",""'Game 6'!S25"")+50,IMPORTRANGE(""https://docs.google.com/spreadsheets/d/1UDYA3-RrkJNLa2ZLH1NnUjKyfCoiSODmgVL_Au_zt-Y/edit#gid=0"",""'Game 6'!S25"")+100)))"),310.0)</f>
        <v>310</v>
      </c>
      <c r="N11" s="12">
        <f>IFERROR(__xludf.DUMMYFUNCTION("IF($A11=IMPORTRANGE(""https://docs.google.com/spreadsheets/d/1fvo6H94Wcffp6c4N9g3JKCW6y2ZlijPxdOsNz7xdBhw/edit#gid=0"",""'Game 6'!B1""),IF(IMPORTRANGE(""https://docs.google.com/spreadsheets/d/1fvo6H94Wcffp6c4N9g3JKCW6y2ZlijPxdOsNz7xdBhw/edit#gid=0"",""'Ga"&amp;"me 6'!J25"")&gt;IMPORTRANGE(""https://docs.google.com/spreadsheets/d/1fvo6H94Wcffp6c4N9g3JKCW6y2ZlijPxdOsNz7xdBhw/edit#gid=0"",""'Game 6'!S25""),IMPORTRANGE(""https://docs.google.com/spreadsheets/d/1fvo6H94Wcffp6c4N9g3JKCW6y2ZlijPxdOsNz7xdBhw/edit#gid=0"","""&amp;"'Game 6'!J25"")+100,IF(IMPORTRANGE(""https://docs.google.com/spreadsheets/d/1fvo6H94Wcffp6c4N9g3JKCW6y2ZlijPxdOsNz7xdBhw/edit#gid=0"",""'Game 6'!J25"")=IMPORTRANGE(""https://docs.google.com/spreadsheets/d/1fvo6H94Wcffp6c4N9g3JKCW6y2ZlijPxdOsNz7xdBhw/edit#"&amp;"gid=0"",""'Game 6'!S25""),IMPORTRANGE(""https://docs.google.com/spreadsheets/d/1fvo6H94Wcffp6c4N9g3JKCW6y2ZlijPxdOsNz7xdBhw/edit#gid=0"",""'Game 6'!J25"")+50,IMPORTRANGE(""https://docs.google.com/spreadsheets/d/1fvo6H94Wcffp6c4N9g3JKCW6y2ZlijPxdOsNz7xdBhw"&amp;"/edit#gid=0"",""'Game 6'!J25""))),IF(IMPORTRANGE(""https://docs.google.com/spreadsheets/d/1fvo6H94Wcffp6c4N9g3JKCW6y2ZlijPxdOsNz7xdBhw/edit#gid=0"",""'Game 6'!J25"")&gt;IMPORTRANGE(""https://docs.google.com/spreadsheets/d/1fvo6H94Wcffp6c4N9g3JKCW6y2ZlijPxdOs"&amp;"Nz7xdBhw/edit#gid=0"",""'Game 6'!S25""),IMPORTRANGE(""https://docs.google.com/spreadsheets/d/1fvo6H94Wcffp6c4N9g3JKCW6y2ZlijPxdOsNz7xdBhw/edit#gid=0"",""'Game 6'!S25""),IF(IMPORTRANGE(""https://docs.google.com/spreadsheets/d/1fvo6H94Wcffp6c4N9g3JKCW6y2Zli"&amp;"jPxdOsNz7xdBhw/edit#gid=0"",""'Game 6'!J25"")=IMPORTRANGE(""https://docs.google.com/spreadsheets/d/1fvo6H94Wcffp6c4N9g3JKCW6y2ZlijPxdOsNz7xdBhw/edit#gid=0"",""'Game 6'!S25""),IMPORTRANGE(""https://docs.google.com/spreadsheets/d/1fvo6H94Wcffp6c4N9g3JKCW6y2"&amp;"ZlijPxdOsNz7xdBhw/edit#gid=0"",""'Game 6'!S25"")+50,IMPORTRANGE(""https://docs.google.com/spreadsheets/d/1fvo6H94Wcffp6c4N9g3JKCW6y2ZlijPxdOsNz7xdBhw/edit#gid=0"",""'Game 6'!S25"")+100)))"),222.0)</f>
        <v>222</v>
      </c>
      <c r="O11" s="12">
        <f>IFERROR(__xludf.DUMMYFUNCTION("IF($A11=IMPORTRANGE(""https://docs.google.com/spreadsheets/d/1wfQePArl-A-5QJe5xAufoOnzeNLVSoHCRcmpZ_FMdns/edit#gid=0"",""'Game 6'!B1""),IF(IMPORTRANGE(""https://docs.google.com/spreadsheets/d/1wfQePArl-A-5QJe5xAufoOnzeNLVSoHCRcmpZ_FMdns/edit#gid=0"",""'Ga"&amp;"me 6'!J25"")&gt;IMPORTRANGE(""https://docs.google.com/spreadsheets/d/1wfQePArl-A-5QJe5xAufoOnzeNLVSoHCRcmpZ_FMdns/edit#gid=0"",""'Game 6'!S25""),IMPORTRANGE(""https://docs.google.com/spreadsheets/d/1wfQePArl-A-5QJe5xAufoOnzeNLVSoHCRcmpZ_FMdns/edit#gid=0"","""&amp;"'Game 6'!J25"")+100,IF(IMPORTRANGE(""https://docs.google.com/spreadsheets/d/1wfQePArl-A-5QJe5xAufoOnzeNLVSoHCRcmpZ_FMdns/edit#gid=0"",""'Game 6'!J25"")=IMPORTRANGE(""https://docs.google.com/spreadsheets/d/1wfQePArl-A-5QJe5xAufoOnzeNLVSoHCRcmpZ_FMdns/edit#"&amp;"gid=0"",""'Game 6'!S25""),IMPORTRANGE(""https://docs.google.com/spreadsheets/d/1wfQePArl-A-5QJe5xAufoOnzeNLVSoHCRcmpZ_FMdns/edit#gid=0"",""'Game 6'!J25"")+50,IMPORTRANGE(""https://docs.google.com/spreadsheets/d/1wfQePArl-A-5QJe5xAufoOnzeNLVSoHCRcmpZ_FMdns"&amp;"/edit#gid=0"",""'Game 6'!J25""))),IF(IMPORTRANGE(""https://docs.google.com/spreadsheets/d/1wfQePArl-A-5QJe5xAufoOnzeNLVSoHCRcmpZ_FMdns/edit#gid=0"",""'Game 6'!J25"")&gt;IMPORTRANGE(""https://docs.google.com/spreadsheets/d/1wfQePArl-A-5QJe5xAufoOnzeNLVSoHCRcm"&amp;"pZ_FMdns/edit#gid=0"",""'Game 6'!S25""),IMPORTRANGE(""https://docs.google.com/spreadsheets/d/1wfQePArl-A-5QJe5xAufoOnzeNLVSoHCRcmpZ_FMdns/edit#gid=0"",""'Game 6'!S25""),IF(IMPORTRANGE(""https://docs.google.com/spreadsheets/d/1wfQePArl-A-5QJe5xAufoOnzeNLVS"&amp;"oHCRcmpZ_FMdns/edit#gid=0"",""'Game 6'!J25"")=IMPORTRANGE(""https://docs.google.com/spreadsheets/d/1wfQePArl-A-5QJe5xAufoOnzeNLVSoHCRcmpZ_FMdns/edit#gid=0"",""'Game 6'!S25""),IMPORTRANGE(""https://docs.google.com/spreadsheets/d/1wfQePArl-A-5QJe5xAufoOnzeN"&amp;"LVSoHCRcmpZ_FMdns/edit#gid=0"",""'Game 6'!S25"")+50,IMPORTRANGE(""https://docs.google.com/spreadsheets/d/1wfQePArl-A-5QJe5xAufoOnzeNLVSoHCRcmpZ_FMdns/edit#gid=0"",""'Game 6'!S25"")+100)))"),150.0)</f>
        <v>150</v>
      </c>
      <c r="P11" s="12">
        <f>IFERROR(__xludf.DUMMYFUNCTION("IF($A11=IMPORTRANGE(""https://docs.google.com/spreadsheets/d/1wydNznS0hZhVh3oGSdiCZSsReuqMT7Xaw718ix58zAI/edit#gid=0"",""'Game 7'!B1""),IF(IMPORTRANGE(""https://docs.google.com/spreadsheets/d/1wydNznS0hZhVh3oGSdiCZSsReuqMT7Xaw718ix58zAI/edit#gid=0"",""'Ga"&amp;"me 7'!J25"")&gt;IMPORTRANGE(""https://docs.google.com/spreadsheets/d/1wydNznS0hZhVh3oGSdiCZSsReuqMT7Xaw718ix58zAI/edit#gid=0"",""'Game 7'!S25""),IMPORTRANGE(""https://docs.google.com/spreadsheets/d/1wydNznS0hZhVh3oGSdiCZSsReuqMT7Xaw718ix58zAI/edit#gid=0"","""&amp;"'Game 7'!J25"")+100,IF(IMPORTRANGE(""https://docs.google.com/spreadsheets/d/1wydNznS0hZhVh3oGSdiCZSsReuqMT7Xaw718ix58zAI/edit#gid=0"",""'Game 7'!J25"")=IMPORTRANGE(""https://docs.google.com/spreadsheets/d/1wydNznS0hZhVh3oGSdiCZSsReuqMT7Xaw718ix58zAI/edit#"&amp;"gid=0"",""'Game 7'!S25""),IMPORTRANGE(""https://docs.google.com/spreadsheets/d/1wydNznS0hZhVh3oGSdiCZSsReuqMT7Xaw718ix58zAI/edit#gid=0"",""'Game 7'!J25"")+50,IMPORTRANGE(""https://docs.google.com/spreadsheets/d/1wydNznS0hZhVh3oGSdiCZSsReuqMT7Xaw718ix58zAI"&amp;"/edit#gid=0"",""'Game 7'!J25""))),IF(IMPORTRANGE(""https://docs.google.com/spreadsheets/d/1wydNznS0hZhVh3oGSdiCZSsReuqMT7Xaw718ix58zAI/edit#gid=0"",""'Game 7'!J25"")&gt;IMPORTRANGE(""https://docs.google.com/spreadsheets/d/1wydNznS0hZhVh3oGSdiCZSsReuqMT7Xaw71"&amp;"8ix58zAI/edit#gid=0"",""'Game 7'!S25""),IMPORTRANGE(""https://docs.google.com/spreadsheets/d/1wydNznS0hZhVh3oGSdiCZSsReuqMT7Xaw718ix58zAI/edit#gid=0"",""'Game 7'!S25""),IF(IMPORTRANGE(""https://docs.google.com/spreadsheets/d/1wydNznS0hZhVh3oGSdiCZSsReuqMT"&amp;"7Xaw718ix58zAI/edit#gid=0"",""'Game 7'!J25"")=IMPORTRANGE(""https://docs.google.com/spreadsheets/d/1wydNznS0hZhVh3oGSdiCZSsReuqMT7Xaw718ix58zAI/edit#gid=0"",""'Game 7'!S25""),IMPORTRANGE(""https://docs.google.com/spreadsheets/d/1wydNznS0hZhVh3oGSdiCZSsReu"&amp;"qMT7Xaw718ix58zAI/edit#gid=0"",""'Game 7'!S25"")+50,IMPORTRANGE(""https://docs.google.com/spreadsheets/d/1wydNznS0hZhVh3oGSdiCZSsReuqMT7Xaw718ix58zAI/edit#gid=0"",""'Game 7'!S25"")+100)))"),248.0)</f>
        <v>248</v>
      </c>
      <c r="Q11" s="37">
        <f t="shared" si="1"/>
        <v>3098</v>
      </c>
      <c r="R11" s="37">
        <f t="shared" si="2"/>
        <v>2</v>
      </c>
    </row>
    <row r="12">
      <c r="A12" s="33" t="s">
        <v>24</v>
      </c>
      <c r="B12" s="34">
        <v>174.0</v>
      </c>
      <c r="C12" s="34">
        <v>180.0</v>
      </c>
      <c r="D12" s="34">
        <v>86.0</v>
      </c>
      <c r="E12" s="34">
        <v>34.0</v>
      </c>
      <c r="F12" s="34">
        <v>8.0</v>
      </c>
      <c r="G12" s="5">
        <f>IFERROR(__xludf.DUMMYFUNCTION("IF($A12=IMPORTRANGE(""https://docs.google.com/spreadsheets/d/19gjAD4NwTXl_QoKUuwHQ1cWG_S2BOW94pDcyFtPwheg/edit#gid=0"",""'Game 1'!B1""),IF(IMPORTRANGE(""https://docs.google.com/spreadsheets/d/19gjAD4NwTXl_QoKUuwHQ1cWG_S2BOW94pDcyFtPwheg/edit#gid=0"",""'Ga"&amp;"me 1'!J25"")&gt;IMPORTRANGE(""https://docs.google.com/spreadsheets/d/19gjAD4NwTXl_QoKUuwHQ1cWG_S2BOW94pDcyFtPwheg/edit#gid=0"",""'Game 1'!S25""),IMPORTRANGE(""https://docs.google.com/spreadsheets/d/19gjAD4NwTXl_QoKUuwHQ1cWG_S2BOW94pDcyFtPwheg/edit#gid=0"","""&amp;"'Game 1'!J25"")+100,IF(IMPORTRANGE(""https://docs.google.com/spreadsheets/d/19gjAD4NwTXl_QoKUuwHQ1cWG_S2BOW94pDcyFtPwheg/edit#gid=0"",""'Game 1'!J25"")=IMPORTRANGE(""https://docs.google.com/spreadsheets/d/19gjAD4NwTXl_QoKUuwHQ1cWG_S2BOW94pDcyFtPwheg/edit#"&amp;"gid=0"",""'Game 1'!S25""),IMPORTRANGE(""https://docs.google.com/spreadsheets/d/19gjAD4NwTXl_QoKUuwHQ1cWG_S2BOW94pDcyFtPwheg/edit#gid=0"",""'Game 1'!J25"")+50,IMPORTRANGE(""https://docs.google.com/spreadsheets/d/19gjAD4NwTXl_QoKUuwHQ1cWG_S2BOW94pDcyFtPwheg"&amp;"/edit#gid=0"",""'Game 1'!J25""))),IF(IMPORTRANGE(""https://docs.google.com/spreadsheets/d/19gjAD4NwTXl_QoKUuwHQ1cWG_S2BOW94pDcyFtPwheg/edit#gid=0"",""'Game 1'!J25"")&gt;IMPORTRANGE(""https://docs.google.com/spreadsheets/d/19gjAD4NwTXl_QoKUuwHQ1cWG_S2BOW94pDc"&amp;"yFtPwheg/edit#gid=0"",""'Game 1'!S25""),IMPORTRANGE(""https://docs.google.com/spreadsheets/d/19gjAD4NwTXl_QoKUuwHQ1cWG_S2BOW94pDcyFtPwheg/edit#gid=0"",""'Game 1'!S25""),IF(IMPORTRANGE(""https://docs.google.com/spreadsheets/d/19gjAD4NwTXl_QoKUuwHQ1cWG_S2BO"&amp;"W94pDcyFtPwheg/edit#gid=0"",""'Game 1'!J25"")=IMPORTRANGE(""https://docs.google.com/spreadsheets/d/19gjAD4NwTXl_QoKUuwHQ1cWG_S2BOW94pDcyFtPwheg/edit#gid=0"",""'Game 1'!S25""),IMPORTRANGE(""https://docs.google.com/spreadsheets/d/19gjAD4NwTXl_QoKUuwHQ1cWG_S"&amp;"2BOW94pDcyFtPwheg/edit#gid=0"",""'Game 1'!S25"")+50,IMPORTRANGE(""https://docs.google.com/spreadsheets/d/19gjAD4NwTXl_QoKUuwHQ1cWG_S2BOW94pDcyFtPwheg/edit#gid=0"",""'Game 1'!S25"")+100)))"),34.0)</f>
        <v>34</v>
      </c>
      <c r="H12" s="5">
        <f>IFERROR(__xludf.DUMMYFUNCTION("IF($A12=IMPORTRANGE(""https://docs.google.com/spreadsheets/d/1l83w8bH-F1czkFOqsgQy6o8O33Jb4Pfg40W0ou2nk0k/edit#gid=0"",""'Game 8'!B1""),IF(IMPORTRANGE(""https://docs.google.com/spreadsheets/d/1l83w8bH-F1czkFOqsgQy6o8O33Jb4Pfg40W0ou2nk0k/edit#gid=0"",""'Ga"&amp;"me 8'!J25"")&gt;IMPORTRANGE(""https://docs.google.com/spreadsheets/d/1l83w8bH-F1czkFOqsgQy6o8O33Jb4Pfg40W0ou2nk0k/edit#gid=0"",""'Game 8'!S25""),IMPORTRANGE(""https://docs.google.com/spreadsheets/d/1l83w8bH-F1czkFOqsgQy6o8O33Jb4Pfg40W0ou2nk0k/edit#gid=0"","""&amp;"'Game 8'!J25"")+100,IF(IMPORTRANGE(""https://docs.google.com/spreadsheets/d/1l83w8bH-F1czkFOqsgQy6o8O33Jb4Pfg40W0ou2nk0k/edit#gid=0"",""'Game 8'!J25"")=IMPORTRANGE(""https://docs.google.com/spreadsheets/d/1l83w8bH-F1czkFOqsgQy6o8O33Jb4Pfg40W0ou2nk0k/edit#"&amp;"gid=0"",""'Game 8'!S25""),IMPORTRANGE(""https://docs.google.com/spreadsheets/d/1l83w8bH-F1czkFOqsgQy6o8O33Jb4Pfg40W0ou2nk0k/edit#gid=0"",""'Game 8'!J25"")+50,IMPORTRANGE(""https://docs.google.com/spreadsheets/d/1l83w8bH-F1czkFOqsgQy6o8O33Jb4Pfg40W0ou2nk0k"&amp;"/edit#gid=0"",""'Game 8'!J25""))),IF(IMPORTRANGE(""https://docs.google.com/spreadsheets/d/1l83w8bH-F1czkFOqsgQy6o8O33Jb4Pfg40W0ou2nk0k/edit#gid=0"",""'Game 8'!J25"")&gt;IMPORTRANGE(""https://docs.google.com/spreadsheets/d/1l83w8bH-F1czkFOqsgQy6o8O33Jb4Pfg40W"&amp;"0ou2nk0k/edit#gid=0"",""'Game 8'!S25""),IMPORTRANGE(""https://docs.google.com/spreadsheets/d/1l83w8bH-F1czkFOqsgQy6o8O33Jb4Pfg40W0ou2nk0k/edit#gid=0"",""'Game 8'!S25""),IF(IMPORTRANGE(""https://docs.google.com/spreadsheets/d/1l83w8bH-F1czkFOqsgQy6o8O33Jb4"&amp;"Pfg40W0ou2nk0k/edit#gid=0"",""'Game 8'!J25"")=IMPORTRANGE(""https://docs.google.com/spreadsheets/d/1l83w8bH-F1czkFOqsgQy6o8O33Jb4Pfg40W0ou2nk0k/edit#gid=0"",""'Game 8'!S25""),IMPORTRANGE(""https://docs.google.com/spreadsheets/d/1l83w8bH-F1czkFOqsgQy6o8O33"&amp;"Jb4Pfg40W0ou2nk0k/edit#gid=0"",""'Game 8'!S25"")+50,IMPORTRANGE(""https://docs.google.com/spreadsheets/d/1l83w8bH-F1czkFOqsgQy6o8O33Jb4Pfg40W0ou2nk0k/edit#gid=0"",""'Game 8'!S25"")+100)))"),60.0)</f>
        <v>60</v>
      </c>
      <c r="I12" s="5">
        <f>IFERROR(__xludf.DUMMYFUNCTION("IF($A12=IMPORTRANGE(""https://docs.google.com/spreadsheets/d/15X-ub7GvrCQZ3UGgyogcjwYdxG-Ng8WHxzGSj1Z3eLw/edit#gid=0"",""'Game 1'!B1""),IF(IMPORTRANGE(""https://docs.google.com/spreadsheets/d/15X-ub7GvrCQZ3UGgyogcjwYdxG-Ng8WHxzGSj1Z3eLw/edit#gid=0"",""'Ga"&amp;"me 1'!J25"")&gt;IMPORTRANGE(""https://docs.google.com/spreadsheets/d/15X-ub7GvrCQZ3UGgyogcjwYdxG-Ng8WHxzGSj1Z3eLw/edit#gid=0"",""'Game 1'!S25""),IMPORTRANGE(""https://docs.google.com/spreadsheets/d/15X-ub7GvrCQZ3UGgyogcjwYdxG-Ng8WHxzGSj1Z3eLw/edit#gid=0"","""&amp;"'Game 1'!J25"")+100,IF(IMPORTRANGE(""https://docs.google.com/spreadsheets/d/15X-ub7GvrCQZ3UGgyogcjwYdxG-Ng8WHxzGSj1Z3eLw/edit#gid=0"",""'Game 1'!J25"")=IMPORTRANGE(""https://docs.google.com/spreadsheets/d/15X-ub7GvrCQZ3UGgyogcjwYdxG-Ng8WHxzGSj1Z3eLw/edit#"&amp;"gid=0"",""'Game 1'!S25""),IMPORTRANGE(""https://docs.google.com/spreadsheets/d/15X-ub7GvrCQZ3UGgyogcjwYdxG-Ng8WHxzGSj1Z3eLw/edit#gid=0"",""'Game 1'!J25"")+50,IMPORTRANGE(""https://docs.google.com/spreadsheets/d/15X-ub7GvrCQZ3UGgyogcjwYdxG-Ng8WHxzGSj1Z3eLw"&amp;"/edit#gid=0"",""'Game 1'!J25""))),IF(IMPORTRANGE(""https://docs.google.com/spreadsheets/d/15X-ub7GvrCQZ3UGgyogcjwYdxG-Ng8WHxzGSj1Z3eLw/edit#gid=0"",""'Game 1'!J25"")&gt;IMPORTRANGE(""https://docs.google.com/spreadsheets/d/15X-ub7GvrCQZ3UGgyogcjwYdxG-Ng8WHxzG"&amp;"Sj1Z3eLw/edit#gid=0"",""'Game 1'!S25""),IMPORTRANGE(""https://docs.google.com/spreadsheets/d/15X-ub7GvrCQZ3UGgyogcjwYdxG-Ng8WHxzGSj1Z3eLw/edit#gid=0"",""'Game 1'!S25""),IF(IMPORTRANGE(""https://docs.google.com/spreadsheets/d/15X-ub7GvrCQZ3UGgyogcjwYdxG-Ng"&amp;"8WHxzGSj1Z3eLw/edit#gid=0"",""'Game 1'!J25"")=IMPORTRANGE(""https://docs.google.com/spreadsheets/d/15X-ub7GvrCQZ3UGgyogcjwYdxG-Ng8WHxzGSj1Z3eLw/edit#gid=0"",""'Game 1'!S25""),IMPORTRANGE(""https://docs.google.com/spreadsheets/d/15X-ub7GvrCQZ3UGgyogcjwYdxG"&amp;"-Ng8WHxzGSj1Z3eLw/edit#gid=0"",""'Game 1'!S25"")+50,IMPORTRANGE(""https://docs.google.com/spreadsheets/d/15X-ub7GvrCQZ3UGgyogcjwYdxG-Ng8WHxzGSj1Z3eLw/edit#gid=0"",""'Game 1'!S25"")+100)))"),46.0)</f>
        <v>46</v>
      </c>
      <c r="J12" s="5">
        <f>IFERROR(__xludf.DUMMYFUNCTION("IF($A12=IMPORTRANGE(""https://docs.google.com/spreadsheets/d/194Bw3ABslPPhOOPvVoMzIk8sOQFICWBu2pydWdYMD-w/edit#gid=0"",""'Game 1'!B1""),IF(IMPORTRANGE(""https://docs.google.com/spreadsheets/d/194Bw3ABslPPhOOPvVoMzIk8sOQFICWBu2pydWdYMD-w/edit#gid=0"",""'Ga"&amp;"me 1'!J25"")&gt;IMPORTRANGE(""https://docs.google.com/spreadsheets/d/194Bw3ABslPPhOOPvVoMzIk8sOQFICWBu2pydWdYMD-w/edit#gid=0"",""'Game 1'!S25""),IMPORTRANGE(""https://docs.google.com/spreadsheets/d/194Bw3ABslPPhOOPvVoMzIk8sOQFICWBu2pydWdYMD-w/edit#gid=0"","""&amp;"'Game 1'!J25"")+100,IF(IMPORTRANGE(""https://docs.google.com/spreadsheets/d/194Bw3ABslPPhOOPvVoMzIk8sOQFICWBu2pydWdYMD-w/edit#gid=0"",""'Game 1'!J25"")=IMPORTRANGE(""https://docs.google.com/spreadsheets/d/194Bw3ABslPPhOOPvVoMzIk8sOQFICWBu2pydWdYMD-w/edit#"&amp;"gid=0"",""'Game 1'!S25""),IMPORTRANGE(""https://docs.google.com/spreadsheets/d/194Bw3ABslPPhOOPvVoMzIk8sOQFICWBu2pydWdYMD-w/edit#gid=0"",""'Game 1'!J25"")+50,IMPORTRANGE(""https://docs.google.com/spreadsheets/d/194Bw3ABslPPhOOPvVoMzIk8sOQFICWBu2pydWdYMD-w"&amp;"/edit#gid=0"",""'Game 1'!J25""))),IF(IMPORTRANGE(""https://docs.google.com/spreadsheets/d/194Bw3ABslPPhOOPvVoMzIk8sOQFICWBu2pydWdYMD-w/edit#gid=0"",""'Game 1'!J25"")&gt;IMPORTRANGE(""https://docs.google.com/spreadsheets/d/194Bw3ABslPPhOOPvVoMzIk8sOQFICWBu2py"&amp;"dWdYMD-w/edit#gid=0"",""'Game 1'!S25""),IMPORTRANGE(""https://docs.google.com/spreadsheets/d/194Bw3ABslPPhOOPvVoMzIk8sOQFICWBu2pydWdYMD-w/edit#gid=0"",""'Game 1'!S25""),IF(IMPORTRANGE(""https://docs.google.com/spreadsheets/d/194Bw3ABslPPhOOPvVoMzIk8sOQFIC"&amp;"WBu2pydWdYMD-w/edit#gid=0"",""'Game 1'!J25"")=IMPORTRANGE(""https://docs.google.com/spreadsheets/d/194Bw3ABslPPhOOPvVoMzIk8sOQFICWBu2pydWdYMD-w/edit#gid=0"",""'Game 1'!S25""),IMPORTRANGE(""https://docs.google.com/spreadsheets/d/194Bw3ABslPPhOOPvVoMzIk8sOQ"&amp;"FICWBu2pydWdYMD-w/edit#gid=0"",""'Game 1'!S25"")+50,IMPORTRANGE(""https://docs.google.com/spreadsheets/d/194Bw3ABslPPhOOPvVoMzIk8sOQFICWBu2pydWdYMD-w/edit#gid=0"",""'Game 1'!S25"")+100)))"),174.0)</f>
        <v>174</v>
      </c>
      <c r="K12" s="5">
        <f>IFERROR(__xludf.DUMMYFUNCTION("IF($A12=IMPORTRANGE(""https://docs.google.com/spreadsheets/d/1F2Bi6K_I1K9xRxY5qb-bNRo5m-Kw7udpF1OaTHhrxjs/edit#gid=0"",""'Game 1'!B1""),IF(IMPORTRANGE(""https://docs.google.com/spreadsheets/d/1F2Bi6K_I1K9xRxY5qb-bNRo5m-Kw7udpF1OaTHhrxjs/edit#gid=0"",""'Ga"&amp;"me 1'!J25"")&gt;IMPORTRANGE(""https://docs.google.com/spreadsheets/d/1F2Bi6K_I1K9xRxY5qb-bNRo5m-Kw7udpF1OaTHhrxjs/edit#gid=0"",""'Game 1'!S25""),IMPORTRANGE(""https://docs.google.com/spreadsheets/d/1F2Bi6K_I1K9xRxY5qb-bNRo5m-Kw7udpF1OaTHhrxjs/edit#gid=0"","""&amp;"'Game 1'!J25"")+100,IF(IMPORTRANGE(""https://docs.google.com/spreadsheets/d/1F2Bi6K_I1K9xRxY5qb-bNRo5m-Kw7udpF1OaTHhrxjs/edit#gid=0"",""'Game 1'!J25"")=IMPORTRANGE(""https://docs.google.com/spreadsheets/d/1F2Bi6K_I1K9xRxY5qb-bNRo5m-Kw7udpF1OaTHhrxjs/edit#"&amp;"gid=0"",""'Game 1'!S25""),IMPORTRANGE(""https://docs.google.com/spreadsheets/d/1F2Bi6K_I1K9xRxY5qb-bNRo5m-Kw7udpF1OaTHhrxjs/edit#gid=0"",""'Game 1'!J25"")+50,IMPORTRANGE(""https://docs.google.com/spreadsheets/d/1F2Bi6K_I1K9xRxY5qb-bNRo5m-Kw7udpF1OaTHhrxjs"&amp;"/edit#gid=0"",""'Game 1'!J25""))),IF(IMPORTRANGE(""https://docs.google.com/spreadsheets/d/1F2Bi6K_I1K9xRxY5qb-bNRo5m-Kw7udpF1OaTHhrxjs/edit#gid=0"",""'Game 1'!J25"")&gt;IMPORTRANGE(""https://docs.google.com/spreadsheets/d/1F2Bi6K_I1K9xRxY5qb-bNRo5m-Kw7udpF1O"&amp;"aTHhrxjs/edit#gid=0"",""'Game 1'!S25""),IMPORTRANGE(""https://docs.google.com/spreadsheets/d/1F2Bi6K_I1K9xRxY5qb-bNRo5m-Kw7udpF1OaTHhrxjs/edit#gid=0"",""'Game 1'!S25""),IF(IMPORTRANGE(""https://docs.google.com/spreadsheets/d/1F2Bi6K_I1K9xRxY5qb-bNRo5m-Kw7"&amp;"udpF1OaTHhrxjs/edit#gid=0"",""'Game 1'!J25"")=IMPORTRANGE(""https://docs.google.com/spreadsheets/d/1F2Bi6K_I1K9xRxY5qb-bNRo5m-Kw7udpF1OaTHhrxjs/edit#gid=0"",""'Game 1'!S25""),IMPORTRANGE(""https://docs.google.com/spreadsheets/d/1F2Bi6K_I1K9xRxY5qb-bNRo5m-"&amp;"Kw7udpF1OaTHhrxjs/edit#gid=0"",""'Game 1'!S25"")+50,IMPORTRANGE(""https://docs.google.com/spreadsheets/d/1F2Bi6K_I1K9xRxY5qb-bNRo5m-Kw7udpF1OaTHhrxjs/edit#gid=0"",""'Game 1'!S25"")+100)))"),148.0)</f>
        <v>148</v>
      </c>
      <c r="L12" s="5">
        <f>IFERROR(__xludf.DUMMYFUNCTION("IF($A12=IMPORTRANGE(""https://docs.google.com/spreadsheets/d/1NDNgi_Ny4dRhc2A3UMIIkalN-V6EmsvxOfDzMRQlQ40/edit#gid=0"",""'Game 1'!B1""),IF(IMPORTRANGE(""https://docs.google.com/spreadsheets/d/1NDNgi_Ny4dRhc2A3UMIIkalN-V6EmsvxOfDzMRQlQ40/edit#gid=0"",""'Ga"&amp;"me 1'!J25"")&gt;IMPORTRANGE(""https://docs.google.com/spreadsheets/d/1NDNgi_Ny4dRhc2A3UMIIkalN-V6EmsvxOfDzMRQlQ40/edit#gid=0"",""'Game 1'!S25""),IMPORTRANGE(""https://docs.google.com/spreadsheets/d/1NDNgi_Ny4dRhc2A3UMIIkalN-V6EmsvxOfDzMRQlQ40/edit#gid=0"","""&amp;"'Game 1'!J25"")+100,IF(IMPORTRANGE(""https://docs.google.com/spreadsheets/d/1NDNgi_Ny4dRhc2A3UMIIkalN-V6EmsvxOfDzMRQlQ40/edit#gid=0"",""'Game 1'!J25"")=IMPORTRANGE(""https://docs.google.com/spreadsheets/d/1NDNgi_Ny4dRhc2A3UMIIkalN-V6EmsvxOfDzMRQlQ40/edit#"&amp;"gid=0"",""'Game 1'!S25""),IMPORTRANGE(""https://docs.google.com/spreadsheets/d/1NDNgi_Ny4dRhc2A3UMIIkalN-V6EmsvxOfDzMRQlQ40/edit#gid=0"",""'Game 1'!J25"")+50,IMPORTRANGE(""https://docs.google.com/spreadsheets/d/1NDNgi_Ny4dRhc2A3UMIIkalN-V6EmsvxOfDzMRQlQ40"&amp;"/edit#gid=0"",""'Game 1'!J25""))),IF(IMPORTRANGE(""https://docs.google.com/spreadsheets/d/1NDNgi_Ny4dRhc2A3UMIIkalN-V6EmsvxOfDzMRQlQ40/edit#gid=0"",""'Game 1'!J25"")&gt;IMPORTRANGE(""https://docs.google.com/spreadsheets/d/1NDNgi_Ny4dRhc2A3UMIIkalN-V6EmsvxOfD"&amp;"zMRQlQ40/edit#gid=0"",""'Game 1'!S25""),IMPORTRANGE(""https://docs.google.com/spreadsheets/d/1NDNgi_Ny4dRhc2A3UMIIkalN-V6EmsvxOfDzMRQlQ40/edit#gid=0"",""'Game 1'!S25""),IF(IMPORTRANGE(""https://docs.google.com/spreadsheets/d/1NDNgi_Ny4dRhc2A3UMIIkalN-V6Em"&amp;"svxOfDzMRQlQ40/edit#gid=0"",""'Game 1'!J25"")=IMPORTRANGE(""https://docs.google.com/spreadsheets/d/1NDNgi_Ny4dRhc2A3UMIIkalN-V6EmsvxOfDzMRQlQ40/edit#gid=0"",""'Game 1'!S25""),IMPORTRANGE(""https://docs.google.com/spreadsheets/d/1NDNgi_Ny4dRhc2A3UMIIkalN-V"&amp;"6EmsvxOfDzMRQlQ40/edit#gid=0"",""'Game 1'!S25"")+50,IMPORTRANGE(""https://docs.google.com/spreadsheets/d/1NDNgi_Ny4dRhc2A3UMIIkalN-V6EmsvxOfDzMRQlQ40/edit#gid=0"",""'Game 1'!S25"")+100)))"),152.0)</f>
        <v>152</v>
      </c>
      <c r="M12" s="5">
        <f>IFERROR(__xludf.DUMMYFUNCTION("IF($A12=IMPORTRANGE(""https://docs.google.com/spreadsheets/d/1UDYA3-RrkJNLa2ZLH1NnUjKyfCoiSODmgVL_Au_zt-Y/edit#gid=0"",""'Game 1'!B1""),IF(IMPORTRANGE(""https://docs.google.com/spreadsheets/d/1UDYA3-RrkJNLa2ZLH1NnUjKyfCoiSODmgVL_Au_zt-Y/edit#gid=0"",""'Ga"&amp;"me 1'!J25"")&gt;IMPORTRANGE(""https://docs.google.com/spreadsheets/d/1UDYA3-RrkJNLa2ZLH1NnUjKyfCoiSODmgVL_Au_zt-Y/edit#gid=0"",""'Game 1'!S25""),IMPORTRANGE(""https://docs.google.com/spreadsheets/d/1UDYA3-RrkJNLa2ZLH1NnUjKyfCoiSODmgVL_Au_zt-Y/edit#gid=0"","""&amp;"'Game 1'!J25"")+100,IF(IMPORTRANGE(""https://docs.google.com/spreadsheets/d/1UDYA3-RrkJNLa2ZLH1NnUjKyfCoiSODmgVL_Au_zt-Y/edit#gid=0"",""'Game 1'!J25"")=IMPORTRANGE(""https://docs.google.com/spreadsheets/d/1UDYA3-RrkJNLa2ZLH1NnUjKyfCoiSODmgVL_Au_zt-Y/edit#"&amp;"gid=0"",""'Game 1'!S25""),IMPORTRANGE(""https://docs.google.com/spreadsheets/d/1UDYA3-RrkJNLa2ZLH1NnUjKyfCoiSODmgVL_Au_zt-Y/edit#gid=0"",""'Game 1'!J25"")+50,IMPORTRANGE(""https://docs.google.com/spreadsheets/d/1UDYA3-RrkJNLa2ZLH1NnUjKyfCoiSODmgVL_Au_zt-Y"&amp;"/edit#gid=0"",""'Game 1'!J25""))),IF(IMPORTRANGE(""https://docs.google.com/spreadsheets/d/1UDYA3-RrkJNLa2ZLH1NnUjKyfCoiSODmgVL_Au_zt-Y/edit#gid=0"",""'Game 1'!J25"")&gt;IMPORTRANGE(""https://docs.google.com/spreadsheets/d/1UDYA3-RrkJNLa2ZLH1NnUjKyfCoiSODmgVL"&amp;"_Au_zt-Y/edit#gid=0"",""'Game 1'!S25""),IMPORTRANGE(""https://docs.google.com/spreadsheets/d/1UDYA3-RrkJNLa2ZLH1NnUjKyfCoiSODmgVL_Au_zt-Y/edit#gid=0"",""'Game 1'!S25""),IF(IMPORTRANGE(""https://docs.google.com/spreadsheets/d/1UDYA3-RrkJNLa2ZLH1NnUjKyfCoiS"&amp;"ODmgVL_Au_zt-Y/edit#gid=0"",""'Game 1'!J25"")=IMPORTRANGE(""https://docs.google.com/spreadsheets/d/1UDYA3-RrkJNLa2ZLH1NnUjKyfCoiSODmgVL_Au_zt-Y/edit#gid=0"",""'Game 1'!S25""),IMPORTRANGE(""https://docs.google.com/spreadsheets/d/1UDYA3-RrkJNLa2ZLH1NnUjKyfC"&amp;"oiSODmgVL_Au_zt-Y/edit#gid=0"",""'Game 1'!S25"")+50,IMPORTRANGE(""https://docs.google.com/spreadsheets/d/1UDYA3-RrkJNLa2ZLH1NnUjKyfCoiSODmgVL_Au_zt-Y/edit#gid=0"",""'Game 1'!S25"")+100)))"),60.0)</f>
        <v>60</v>
      </c>
      <c r="N12" s="5">
        <f>IFERROR(__xludf.DUMMYFUNCTION("IF($A12=IMPORTRANGE(""https://docs.google.com/spreadsheets/d/1fvo6H94Wcffp6c4N9g3JKCW6y2ZlijPxdOsNz7xdBhw/edit#gid=0"",""'Game 1'!B1""),IF(IMPORTRANGE(""https://docs.google.com/spreadsheets/d/1fvo6H94Wcffp6c4N9g3JKCW6y2ZlijPxdOsNz7xdBhw/edit#gid=0"",""'Ga"&amp;"me 1'!J25"")&gt;IMPORTRANGE(""https://docs.google.com/spreadsheets/d/1fvo6H94Wcffp6c4N9g3JKCW6y2ZlijPxdOsNz7xdBhw/edit#gid=0"",""'Game 1'!S25""),IMPORTRANGE(""https://docs.google.com/spreadsheets/d/1fvo6H94Wcffp6c4N9g3JKCW6y2ZlijPxdOsNz7xdBhw/edit#gid=0"","""&amp;"'Game 1'!J25"")+100,IF(IMPORTRANGE(""https://docs.google.com/spreadsheets/d/1fvo6H94Wcffp6c4N9g3JKCW6y2ZlijPxdOsNz7xdBhw/edit#gid=0"",""'Game 1'!J25"")=IMPORTRANGE(""https://docs.google.com/spreadsheets/d/1fvo6H94Wcffp6c4N9g3JKCW6y2ZlijPxdOsNz7xdBhw/edit#"&amp;"gid=0"",""'Game 1'!S25""),IMPORTRANGE(""https://docs.google.com/spreadsheets/d/1fvo6H94Wcffp6c4N9g3JKCW6y2ZlijPxdOsNz7xdBhw/edit#gid=0"",""'Game 1'!J25"")+50,IMPORTRANGE(""https://docs.google.com/spreadsheets/d/1fvo6H94Wcffp6c4N9g3JKCW6y2ZlijPxdOsNz7xdBhw"&amp;"/edit#gid=0"",""'Game 1'!J25""))),IF(IMPORTRANGE(""https://docs.google.com/spreadsheets/d/1fvo6H94Wcffp6c4N9g3JKCW6y2ZlijPxdOsNz7xdBhw/edit#gid=0"",""'Game 1'!J25"")&gt;IMPORTRANGE(""https://docs.google.com/spreadsheets/d/1fvo6H94Wcffp6c4N9g3JKCW6y2ZlijPxdOs"&amp;"Nz7xdBhw/edit#gid=0"",""'Game 1'!S25""),IMPORTRANGE(""https://docs.google.com/spreadsheets/d/1fvo6H94Wcffp6c4N9g3JKCW6y2ZlijPxdOsNz7xdBhw/edit#gid=0"",""'Game 1'!S25""),IF(IMPORTRANGE(""https://docs.google.com/spreadsheets/d/1fvo6H94Wcffp6c4N9g3JKCW6y2Zli"&amp;"jPxdOsNz7xdBhw/edit#gid=0"",""'Game 1'!J25"")=IMPORTRANGE(""https://docs.google.com/spreadsheets/d/1fvo6H94Wcffp6c4N9g3JKCW6y2ZlijPxdOsNz7xdBhw/edit#gid=0"",""'Game 1'!S25""),IMPORTRANGE(""https://docs.google.com/spreadsheets/d/1fvo6H94Wcffp6c4N9g3JKCW6y2"&amp;"ZlijPxdOsNz7xdBhw/edit#gid=0"",""'Game 1'!S25"")+50,IMPORTRANGE(""https://docs.google.com/spreadsheets/d/1fvo6H94Wcffp6c4N9g3JKCW6y2ZlijPxdOsNz7xdBhw/edit#gid=0"",""'Game 1'!S25"")+100)))"),36.0)</f>
        <v>36</v>
      </c>
      <c r="O12" s="5">
        <f>IFERROR(__xludf.DUMMYFUNCTION("IF($A12=IMPORTRANGE(""https://docs.google.com/spreadsheets/d/1wfQePArl-A-5QJe5xAufoOnzeNLVSoHCRcmpZ_FMdns/edit#gid=0"",""'Game 1'!B1""),IF(IMPORTRANGE(""https://docs.google.com/spreadsheets/d/1wfQePArl-A-5QJe5xAufoOnzeNLVSoHCRcmpZ_FMdns/edit#gid=0"",""'Ga"&amp;"me 1'!J25"")&gt;IMPORTRANGE(""https://docs.google.com/spreadsheets/d/1wfQePArl-A-5QJe5xAufoOnzeNLVSoHCRcmpZ_FMdns/edit#gid=0"",""'Game 1'!S25""),IMPORTRANGE(""https://docs.google.com/spreadsheets/d/1wfQePArl-A-5QJe5xAufoOnzeNLVSoHCRcmpZ_FMdns/edit#gid=0"","""&amp;"'Game 1'!J25"")+100,IF(IMPORTRANGE(""https://docs.google.com/spreadsheets/d/1wfQePArl-A-5QJe5xAufoOnzeNLVSoHCRcmpZ_FMdns/edit#gid=0"",""'Game 1'!J25"")=IMPORTRANGE(""https://docs.google.com/spreadsheets/d/1wfQePArl-A-5QJe5xAufoOnzeNLVSoHCRcmpZ_FMdns/edit#"&amp;"gid=0"",""'Game 1'!S25""),IMPORTRANGE(""https://docs.google.com/spreadsheets/d/1wfQePArl-A-5QJe5xAufoOnzeNLVSoHCRcmpZ_FMdns/edit#gid=0"",""'Game 1'!J25"")+50,IMPORTRANGE(""https://docs.google.com/spreadsheets/d/1wfQePArl-A-5QJe5xAufoOnzeNLVSoHCRcmpZ_FMdns"&amp;"/edit#gid=0"",""'Game 1'!J25""))),IF(IMPORTRANGE(""https://docs.google.com/spreadsheets/d/1wfQePArl-A-5QJe5xAufoOnzeNLVSoHCRcmpZ_FMdns/edit#gid=0"",""'Game 1'!J25"")&gt;IMPORTRANGE(""https://docs.google.com/spreadsheets/d/1wfQePArl-A-5QJe5xAufoOnzeNLVSoHCRcm"&amp;"pZ_FMdns/edit#gid=0"",""'Game 1'!S25""),IMPORTRANGE(""https://docs.google.com/spreadsheets/d/1wfQePArl-A-5QJe5xAufoOnzeNLVSoHCRcmpZ_FMdns/edit#gid=0"",""'Game 1'!S25""),IF(IMPORTRANGE(""https://docs.google.com/spreadsheets/d/1wfQePArl-A-5QJe5xAufoOnzeNLVS"&amp;"oHCRcmpZ_FMdns/edit#gid=0"",""'Game 1'!J25"")=IMPORTRANGE(""https://docs.google.com/spreadsheets/d/1wfQePArl-A-5QJe5xAufoOnzeNLVSoHCRcmpZ_FMdns/edit#gid=0"",""'Game 1'!S25""),IMPORTRANGE(""https://docs.google.com/spreadsheets/d/1wfQePArl-A-5QJe5xAufoOnzeN"&amp;"LVSoHCRcmpZ_FMdns/edit#gid=0"",""'Game 1'!S25"")+50,IMPORTRANGE(""https://docs.google.com/spreadsheets/d/1wfQePArl-A-5QJe5xAufoOnzeNLVSoHCRcmpZ_FMdns/edit#gid=0"",""'Game 1'!S25"")+100)))"),172.0)</f>
        <v>172</v>
      </c>
      <c r="P12" s="5">
        <f>IFERROR(__xludf.DUMMYFUNCTION("IF($A12=IMPORTRANGE(""https://docs.google.com/spreadsheets/d/1wydNznS0hZhVh3oGSdiCZSsReuqMT7Xaw718ix58zAI/edit#gid=0"",""'Game 1'!B1""),IF(IMPORTRANGE(""https://docs.google.com/spreadsheets/d/1wydNznS0hZhVh3oGSdiCZSsReuqMT7Xaw718ix58zAI/edit#gid=0"",""'Ga"&amp;"me 1'!J25"")&gt;IMPORTRANGE(""https://docs.google.com/spreadsheets/d/1wydNznS0hZhVh3oGSdiCZSsReuqMT7Xaw718ix58zAI/edit#gid=0"",""'Game 1'!S25""),IMPORTRANGE(""https://docs.google.com/spreadsheets/d/1wydNznS0hZhVh3oGSdiCZSsReuqMT7Xaw718ix58zAI/edit#gid=0"","""&amp;"'Game 1'!J25"")+100,IF(IMPORTRANGE(""https://docs.google.com/spreadsheets/d/1wydNznS0hZhVh3oGSdiCZSsReuqMT7Xaw718ix58zAI/edit#gid=0"",""'Game 1'!J25"")=IMPORTRANGE(""https://docs.google.com/spreadsheets/d/1wydNznS0hZhVh3oGSdiCZSsReuqMT7Xaw718ix58zAI/edit#"&amp;"gid=0"",""'Game 1'!S25""),IMPORTRANGE(""https://docs.google.com/spreadsheets/d/1wydNznS0hZhVh3oGSdiCZSsReuqMT7Xaw718ix58zAI/edit#gid=0"",""'Game 1'!J25"")+50,IMPORTRANGE(""https://docs.google.com/spreadsheets/d/1wydNznS0hZhVh3oGSdiCZSsReuqMT7Xaw718ix58zAI"&amp;"/edit#gid=0"",""'Game 1'!J25""))),IF(IMPORTRANGE(""https://docs.google.com/spreadsheets/d/1wydNznS0hZhVh3oGSdiCZSsReuqMT7Xaw718ix58zAI/edit#gid=0"",""'Game 1'!J25"")&gt;IMPORTRANGE(""https://docs.google.com/spreadsheets/d/1wydNznS0hZhVh3oGSdiCZSsReuqMT7Xaw71"&amp;"8ix58zAI/edit#gid=0"",""'Game 1'!S25""),IMPORTRANGE(""https://docs.google.com/spreadsheets/d/1wydNznS0hZhVh3oGSdiCZSsReuqMT7Xaw718ix58zAI/edit#gid=0"",""'Game 1'!S25""),IF(IMPORTRANGE(""https://docs.google.com/spreadsheets/d/1wydNznS0hZhVh3oGSdiCZSsReuqMT"&amp;"7Xaw718ix58zAI/edit#gid=0"",""'Game 1'!J25"")=IMPORTRANGE(""https://docs.google.com/spreadsheets/d/1wydNznS0hZhVh3oGSdiCZSsReuqMT7Xaw718ix58zAI/edit#gid=0"",""'Game 1'!S25""),IMPORTRANGE(""https://docs.google.com/spreadsheets/d/1wydNznS0hZhVh3oGSdiCZSsReu"&amp;"qMT7Xaw718ix58zAI/edit#gid=0"",""'Game 1'!S25"")+50,IMPORTRANGE(""https://docs.google.com/spreadsheets/d/1wydNznS0hZhVh3oGSdiCZSsReuqMT7Xaw718ix58zAI/edit#gid=0"",""'Game 1'!S25"")+100)))"),76.0)</f>
        <v>76</v>
      </c>
      <c r="Q12" s="35">
        <f t="shared" si="1"/>
        <v>1440</v>
      </c>
      <c r="R12" s="35">
        <f t="shared" si="2"/>
        <v>14</v>
      </c>
    </row>
    <row r="13">
      <c r="A13" s="32" t="s">
        <v>166</v>
      </c>
      <c r="B13" s="36">
        <v>204.0</v>
      </c>
      <c r="C13" s="36">
        <v>270.0</v>
      </c>
      <c r="D13" s="36">
        <v>212.0</v>
      </c>
      <c r="E13" s="36">
        <v>198.0</v>
      </c>
      <c r="F13" s="36">
        <v>224.0</v>
      </c>
      <c r="G13" s="12">
        <f>IFERROR(__xludf.DUMMYFUNCTION("IF($A13=IMPORTRANGE(""https://docs.google.com/spreadsheets/d/19gjAD4NwTXl_QoKUuwHQ1cWG_S2BOW94pDcyFtPwheg/edit#gid=0"",""'Game 3'!B1""),IF(IMPORTRANGE(""https://docs.google.com/spreadsheets/d/19gjAD4NwTXl_QoKUuwHQ1cWG_S2BOW94pDcyFtPwheg/edit#gid=0"",""'Ga"&amp;"me 3'!J25"")&gt;IMPORTRANGE(""https://docs.google.com/spreadsheets/d/19gjAD4NwTXl_QoKUuwHQ1cWG_S2BOW94pDcyFtPwheg/edit#gid=0"",""'Game 3'!S25""),IMPORTRANGE(""https://docs.google.com/spreadsheets/d/19gjAD4NwTXl_QoKUuwHQ1cWG_S2BOW94pDcyFtPwheg/edit#gid=0"","""&amp;"'Game 3'!J25"")+100,IF(IMPORTRANGE(""https://docs.google.com/spreadsheets/d/19gjAD4NwTXl_QoKUuwHQ1cWG_S2BOW94pDcyFtPwheg/edit#gid=0"",""'Game 3'!J25"")=IMPORTRANGE(""https://docs.google.com/spreadsheets/d/19gjAD4NwTXl_QoKUuwHQ1cWG_S2BOW94pDcyFtPwheg/edit#"&amp;"gid=0"",""'Game 3'!S25""),IMPORTRANGE(""https://docs.google.com/spreadsheets/d/19gjAD4NwTXl_QoKUuwHQ1cWG_S2BOW94pDcyFtPwheg/edit#gid=0"",""'Game 3'!J25"")+50,IMPORTRANGE(""https://docs.google.com/spreadsheets/d/19gjAD4NwTXl_QoKUuwHQ1cWG_S2BOW94pDcyFtPwheg"&amp;"/edit#gid=0"",""'Game 3'!J25""))),IF(IMPORTRANGE(""https://docs.google.com/spreadsheets/d/19gjAD4NwTXl_QoKUuwHQ1cWG_S2BOW94pDcyFtPwheg/edit#gid=0"",""'Game 3'!J25"")&gt;IMPORTRANGE(""https://docs.google.com/spreadsheets/d/19gjAD4NwTXl_QoKUuwHQ1cWG_S2BOW94pDc"&amp;"yFtPwheg/edit#gid=0"",""'Game 3'!S25""),IMPORTRANGE(""https://docs.google.com/spreadsheets/d/19gjAD4NwTXl_QoKUuwHQ1cWG_S2BOW94pDcyFtPwheg/edit#gid=0"",""'Game 3'!S25""),IF(IMPORTRANGE(""https://docs.google.com/spreadsheets/d/19gjAD4NwTXl_QoKUuwHQ1cWG_S2BO"&amp;"W94pDcyFtPwheg/edit#gid=0"",""'Game 3'!J25"")=IMPORTRANGE(""https://docs.google.com/spreadsheets/d/19gjAD4NwTXl_QoKUuwHQ1cWG_S2BOW94pDcyFtPwheg/edit#gid=0"",""'Game 3'!S25""),IMPORTRANGE(""https://docs.google.com/spreadsheets/d/19gjAD4NwTXl_QoKUuwHQ1cWG_S"&amp;"2BOW94pDcyFtPwheg/edit#gid=0"",""'Game 3'!S25"")+50,IMPORTRANGE(""https://docs.google.com/spreadsheets/d/19gjAD4NwTXl_QoKUuwHQ1cWG_S2BOW94pDcyFtPwheg/edit#gid=0"",""'Game 3'!S25"")+100)))"),46.0)</f>
        <v>46</v>
      </c>
      <c r="H13" s="12">
        <f>IFERROR(__xludf.DUMMYFUNCTION("IF($A13=IMPORTRANGE(""https://docs.google.com/spreadsheets/d/1l83w8bH-F1czkFOqsgQy6o8O33Jb4Pfg40W0ou2nk0k/edit#gid=0"",""'Game 4'!B1""),IF(IMPORTRANGE(""https://docs.google.com/spreadsheets/d/1l83w8bH-F1czkFOqsgQy6o8O33Jb4Pfg40W0ou2nk0k/edit#gid=0"",""'Ga"&amp;"me 4'!J25"")&gt;IMPORTRANGE(""https://docs.google.com/spreadsheets/d/1l83w8bH-F1czkFOqsgQy6o8O33Jb4Pfg40W0ou2nk0k/edit#gid=0"",""'Game 4'!S25""),IMPORTRANGE(""https://docs.google.com/spreadsheets/d/1l83w8bH-F1czkFOqsgQy6o8O33Jb4Pfg40W0ou2nk0k/edit#gid=0"","""&amp;"'Game 4'!J25"")+100,IF(IMPORTRANGE(""https://docs.google.com/spreadsheets/d/1l83w8bH-F1czkFOqsgQy6o8O33Jb4Pfg40W0ou2nk0k/edit#gid=0"",""'Game 4'!J25"")=IMPORTRANGE(""https://docs.google.com/spreadsheets/d/1l83w8bH-F1czkFOqsgQy6o8O33Jb4Pfg40W0ou2nk0k/edit#"&amp;"gid=0"",""'Game 4'!S25""),IMPORTRANGE(""https://docs.google.com/spreadsheets/d/1l83w8bH-F1czkFOqsgQy6o8O33Jb4Pfg40W0ou2nk0k/edit#gid=0"",""'Game 4'!J25"")+50,IMPORTRANGE(""https://docs.google.com/spreadsheets/d/1l83w8bH-F1czkFOqsgQy6o8O33Jb4Pfg40W0ou2nk0k"&amp;"/edit#gid=0"",""'Game 4'!J25""))),IF(IMPORTRANGE(""https://docs.google.com/spreadsheets/d/1l83w8bH-F1czkFOqsgQy6o8O33Jb4Pfg40W0ou2nk0k/edit#gid=0"",""'Game 4'!J25"")&gt;IMPORTRANGE(""https://docs.google.com/spreadsheets/d/1l83w8bH-F1czkFOqsgQy6o8O33Jb4Pfg40W"&amp;"0ou2nk0k/edit#gid=0"",""'Game 4'!S25""),IMPORTRANGE(""https://docs.google.com/spreadsheets/d/1l83w8bH-F1czkFOqsgQy6o8O33Jb4Pfg40W0ou2nk0k/edit#gid=0"",""'Game 4'!S25""),IF(IMPORTRANGE(""https://docs.google.com/spreadsheets/d/1l83w8bH-F1czkFOqsgQy6o8O33Jb4"&amp;"Pfg40W0ou2nk0k/edit#gid=0"",""'Game 4'!J25"")=IMPORTRANGE(""https://docs.google.com/spreadsheets/d/1l83w8bH-F1czkFOqsgQy6o8O33Jb4Pfg40W0ou2nk0k/edit#gid=0"",""'Game 4'!S25""),IMPORTRANGE(""https://docs.google.com/spreadsheets/d/1l83w8bH-F1czkFOqsgQy6o8O33"&amp;"Jb4Pfg40W0ou2nk0k/edit#gid=0"",""'Game 4'!S25"")+50,IMPORTRANGE(""https://docs.google.com/spreadsheets/d/1l83w8bH-F1czkFOqsgQy6o8O33Jb4Pfg40W0ou2nk0k/edit#gid=0"",""'Game 4'!S25"")+100)))"),56.0)</f>
        <v>56</v>
      </c>
      <c r="I13" s="12">
        <f>IFERROR(__xludf.DUMMYFUNCTION("IF($A13=IMPORTRANGE(""https://docs.google.com/spreadsheets/d/15X-ub7GvrCQZ3UGgyogcjwYdxG-Ng8WHxzGSj1Z3eLw/edit#gid=0"",""'Game 3'!B1""),IF(IMPORTRANGE(""https://docs.google.com/spreadsheets/d/15X-ub7GvrCQZ3UGgyogcjwYdxG-Ng8WHxzGSj1Z3eLw/edit#gid=0"",""'Ga"&amp;"me 3'!J25"")&gt;IMPORTRANGE(""https://docs.google.com/spreadsheets/d/15X-ub7GvrCQZ3UGgyogcjwYdxG-Ng8WHxzGSj1Z3eLw/edit#gid=0"",""'Game 3'!S25""),IMPORTRANGE(""https://docs.google.com/spreadsheets/d/15X-ub7GvrCQZ3UGgyogcjwYdxG-Ng8WHxzGSj1Z3eLw/edit#gid=0"","""&amp;"'Game 3'!J25"")+100,IF(IMPORTRANGE(""https://docs.google.com/spreadsheets/d/15X-ub7GvrCQZ3UGgyogcjwYdxG-Ng8WHxzGSj1Z3eLw/edit#gid=0"",""'Game 3'!J25"")=IMPORTRANGE(""https://docs.google.com/spreadsheets/d/15X-ub7GvrCQZ3UGgyogcjwYdxG-Ng8WHxzGSj1Z3eLw/edit#"&amp;"gid=0"",""'Game 3'!S25""),IMPORTRANGE(""https://docs.google.com/spreadsheets/d/15X-ub7GvrCQZ3UGgyogcjwYdxG-Ng8WHxzGSj1Z3eLw/edit#gid=0"",""'Game 3'!J25"")+50,IMPORTRANGE(""https://docs.google.com/spreadsheets/d/15X-ub7GvrCQZ3UGgyogcjwYdxG-Ng8WHxzGSj1Z3eLw"&amp;"/edit#gid=0"",""'Game 3'!J25""))),IF(IMPORTRANGE(""https://docs.google.com/spreadsheets/d/15X-ub7GvrCQZ3UGgyogcjwYdxG-Ng8WHxzGSj1Z3eLw/edit#gid=0"",""'Game 3'!J25"")&gt;IMPORTRANGE(""https://docs.google.com/spreadsheets/d/15X-ub7GvrCQZ3UGgyogcjwYdxG-Ng8WHxzG"&amp;"Sj1Z3eLw/edit#gid=0"",""'Game 3'!S25""),IMPORTRANGE(""https://docs.google.com/spreadsheets/d/15X-ub7GvrCQZ3UGgyogcjwYdxG-Ng8WHxzGSj1Z3eLw/edit#gid=0"",""'Game 3'!S25""),IF(IMPORTRANGE(""https://docs.google.com/spreadsheets/d/15X-ub7GvrCQZ3UGgyogcjwYdxG-Ng"&amp;"8WHxzGSj1Z3eLw/edit#gid=0"",""'Game 3'!J25"")=IMPORTRANGE(""https://docs.google.com/spreadsheets/d/15X-ub7GvrCQZ3UGgyogcjwYdxG-Ng8WHxzGSj1Z3eLw/edit#gid=0"",""'Game 3'!S25""),IMPORTRANGE(""https://docs.google.com/spreadsheets/d/15X-ub7GvrCQZ3UGgyogcjwYdxG"&amp;"-Ng8WHxzGSj1Z3eLw/edit#gid=0"",""'Game 3'!S25"")+50,IMPORTRANGE(""https://docs.google.com/spreadsheets/d/15X-ub7GvrCQZ3UGgyogcjwYdxG-Ng8WHxzGSj1Z3eLw/edit#gid=0"",""'Game 3'!S25"")+100)))"),28.0)</f>
        <v>28</v>
      </c>
      <c r="J13" s="12">
        <f>IFERROR(__xludf.DUMMYFUNCTION("IF($A13=IMPORTRANGE(""https://docs.google.com/spreadsheets/d/194Bw3ABslPPhOOPvVoMzIk8sOQFICWBu2pydWdYMD-w/edit#gid=0"",""'Game 3'!B1""),IF(IMPORTRANGE(""https://docs.google.com/spreadsheets/d/194Bw3ABslPPhOOPvVoMzIk8sOQFICWBu2pydWdYMD-w/edit#gid=0"",""'Ga"&amp;"me 3'!J25"")&gt;IMPORTRANGE(""https://docs.google.com/spreadsheets/d/194Bw3ABslPPhOOPvVoMzIk8sOQFICWBu2pydWdYMD-w/edit#gid=0"",""'Game 3'!S25""),IMPORTRANGE(""https://docs.google.com/spreadsheets/d/194Bw3ABslPPhOOPvVoMzIk8sOQFICWBu2pydWdYMD-w/edit#gid=0"","""&amp;"'Game 3'!J25"")+100,IF(IMPORTRANGE(""https://docs.google.com/spreadsheets/d/194Bw3ABslPPhOOPvVoMzIk8sOQFICWBu2pydWdYMD-w/edit#gid=0"",""'Game 3'!J25"")=IMPORTRANGE(""https://docs.google.com/spreadsheets/d/194Bw3ABslPPhOOPvVoMzIk8sOQFICWBu2pydWdYMD-w/edit#"&amp;"gid=0"",""'Game 3'!S25""),IMPORTRANGE(""https://docs.google.com/spreadsheets/d/194Bw3ABslPPhOOPvVoMzIk8sOQFICWBu2pydWdYMD-w/edit#gid=0"",""'Game 3'!J25"")+50,IMPORTRANGE(""https://docs.google.com/spreadsheets/d/194Bw3ABslPPhOOPvVoMzIk8sOQFICWBu2pydWdYMD-w"&amp;"/edit#gid=0"",""'Game 3'!J25""))),IF(IMPORTRANGE(""https://docs.google.com/spreadsheets/d/194Bw3ABslPPhOOPvVoMzIk8sOQFICWBu2pydWdYMD-w/edit#gid=0"",""'Game 3'!J25"")&gt;IMPORTRANGE(""https://docs.google.com/spreadsheets/d/194Bw3ABslPPhOOPvVoMzIk8sOQFICWBu2py"&amp;"dWdYMD-w/edit#gid=0"",""'Game 3'!S25""),IMPORTRANGE(""https://docs.google.com/spreadsheets/d/194Bw3ABslPPhOOPvVoMzIk8sOQFICWBu2pydWdYMD-w/edit#gid=0"",""'Game 3'!S25""),IF(IMPORTRANGE(""https://docs.google.com/spreadsheets/d/194Bw3ABslPPhOOPvVoMzIk8sOQFIC"&amp;"WBu2pydWdYMD-w/edit#gid=0"",""'Game 3'!J25"")=IMPORTRANGE(""https://docs.google.com/spreadsheets/d/194Bw3ABslPPhOOPvVoMzIk8sOQFICWBu2pydWdYMD-w/edit#gid=0"",""'Game 3'!S25""),IMPORTRANGE(""https://docs.google.com/spreadsheets/d/194Bw3ABslPPhOOPvVoMzIk8sOQ"&amp;"FICWBu2pydWdYMD-w/edit#gid=0"",""'Game 3'!S25"")+50,IMPORTRANGE(""https://docs.google.com/spreadsheets/d/194Bw3ABslPPhOOPvVoMzIk8sOQFICWBu2pydWdYMD-w/edit#gid=0"",""'Game 3'!S25"")+100)))"),246.0)</f>
        <v>246</v>
      </c>
      <c r="K13" s="12">
        <f>IFERROR(__xludf.DUMMYFUNCTION("IF($A13=IMPORTRANGE(""https://docs.google.com/spreadsheets/d/1F2Bi6K_I1K9xRxY5qb-bNRo5m-Kw7udpF1OaTHhrxjs/edit#gid=0"",""'Game 3'!B1""),IF(IMPORTRANGE(""https://docs.google.com/spreadsheets/d/1F2Bi6K_I1K9xRxY5qb-bNRo5m-Kw7udpF1OaTHhrxjs/edit#gid=0"",""'Ga"&amp;"me 3'!J25"")&gt;IMPORTRANGE(""https://docs.google.com/spreadsheets/d/1F2Bi6K_I1K9xRxY5qb-bNRo5m-Kw7udpF1OaTHhrxjs/edit#gid=0"",""'Game 3'!S25""),IMPORTRANGE(""https://docs.google.com/spreadsheets/d/1F2Bi6K_I1K9xRxY5qb-bNRo5m-Kw7udpF1OaTHhrxjs/edit#gid=0"","""&amp;"'Game 3'!J25"")+100,IF(IMPORTRANGE(""https://docs.google.com/spreadsheets/d/1F2Bi6K_I1K9xRxY5qb-bNRo5m-Kw7udpF1OaTHhrxjs/edit#gid=0"",""'Game 3'!J25"")=IMPORTRANGE(""https://docs.google.com/spreadsheets/d/1F2Bi6K_I1K9xRxY5qb-bNRo5m-Kw7udpF1OaTHhrxjs/edit#"&amp;"gid=0"",""'Game 3'!S25""),IMPORTRANGE(""https://docs.google.com/spreadsheets/d/1F2Bi6K_I1K9xRxY5qb-bNRo5m-Kw7udpF1OaTHhrxjs/edit#gid=0"",""'Game 3'!J25"")+50,IMPORTRANGE(""https://docs.google.com/spreadsheets/d/1F2Bi6K_I1K9xRxY5qb-bNRo5m-Kw7udpF1OaTHhrxjs"&amp;"/edit#gid=0"",""'Game 3'!J25""))),IF(IMPORTRANGE(""https://docs.google.com/spreadsheets/d/1F2Bi6K_I1K9xRxY5qb-bNRo5m-Kw7udpF1OaTHhrxjs/edit#gid=0"",""'Game 3'!J25"")&gt;IMPORTRANGE(""https://docs.google.com/spreadsheets/d/1F2Bi6K_I1K9xRxY5qb-bNRo5m-Kw7udpF1O"&amp;"aTHhrxjs/edit#gid=0"",""'Game 3'!S25""),IMPORTRANGE(""https://docs.google.com/spreadsheets/d/1F2Bi6K_I1K9xRxY5qb-bNRo5m-Kw7udpF1OaTHhrxjs/edit#gid=0"",""'Game 3'!S25""),IF(IMPORTRANGE(""https://docs.google.com/spreadsheets/d/1F2Bi6K_I1K9xRxY5qb-bNRo5m-Kw7"&amp;"udpF1OaTHhrxjs/edit#gid=0"",""'Game 3'!J25"")=IMPORTRANGE(""https://docs.google.com/spreadsheets/d/1F2Bi6K_I1K9xRxY5qb-bNRo5m-Kw7udpF1OaTHhrxjs/edit#gid=0"",""'Game 3'!S25""),IMPORTRANGE(""https://docs.google.com/spreadsheets/d/1F2Bi6K_I1K9xRxY5qb-bNRo5m-"&amp;"Kw7udpF1OaTHhrxjs/edit#gid=0"",""'Game 3'!S25"")+50,IMPORTRANGE(""https://docs.google.com/spreadsheets/d/1F2Bi6K_I1K9xRxY5qb-bNRo5m-Kw7udpF1OaTHhrxjs/edit#gid=0"",""'Game 3'!S25"")+100)))"),180.0)</f>
        <v>180</v>
      </c>
      <c r="L13" s="12">
        <f>IFERROR(__xludf.DUMMYFUNCTION("IF($A13=IMPORTRANGE(""https://docs.google.com/spreadsheets/d/1NDNgi_Ny4dRhc2A3UMIIkalN-V6EmsvxOfDzMRQlQ40/edit#gid=0"",""'Game 3'!B1""),IF(IMPORTRANGE(""https://docs.google.com/spreadsheets/d/1NDNgi_Ny4dRhc2A3UMIIkalN-V6EmsvxOfDzMRQlQ40/edit#gid=0"",""'Ga"&amp;"me 3'!J25"")&gt;IMPORTRANGE(""https://docs.google.com/spreadsheets/d/1NDNgi_Ny4dRhc2A3UMIIkalN-V6EmsvxOfDzMRQlQ40/edit#gid=0"",""'Game 3'!S25""),IMPORTRANGE(""https://docs.google.com/spreadsheets/d/1NDNgi_Ny4dRhc2A3UMIIkalN-V6EmsvxOfDzMRQlQ40/edit#gid=0"","""&amp;"'Game 3'!J25"")+100,IF(IMPORTRANGE(""https://docs.google.com/spreadsheets/d/1NDNgi_Ny4dRhc2A3UMIIkalN-V6EmsvxOfDzMRQlQ40/edit#gid=0"",""'Game 3'!J25"")=IMPORTRANGE(""https://docs.google.com/spreadsheets/d/1NDNgi_Ny4dRhc2A3UMIIkalN-V6EmsvxOfDzMRQlQ40/edit#"&amp;"gid=0"",""'Game 3'!S25""),IMPORTRANGE(""https://docs.google.com/spreadsheets/d/1NDNgi_Ny4dRhc2A3UMIIkalN-V6EmsvxOfDzMRQlQ40/edit#gid=0"",""'Game 3'!J25"")+50,IMPORTRANGE(""https://docs.google.com/spreadsheets/d/1NDNgi_Ny4dRhc2A3UMIIkalN-V6EmsvxOfDzMRQlQ40"&amp;"/edit#gid=0"",""'Game 3'!J25""))),IF(IMPORTRANGE(""https://docs.google.com/spreadsheets/d/1NDNgi_Ny4dRhc2A3UMIIkalN-V6EmsvxOfDzMRQlQ40/edit#gid=0"",""'Game 3'!J25"")&gt;IMPORTRANGE(""https://docs.google.com/spreadsheets/d/1NDNgi_Ny4dRhc2A3UMIIkalN-V6EmsvxOfD"&amp;"zMRQlQ40/edit#gid=0"",""'Game 3'!S25""),IMPORTRANGE(""https://docs.google.com/spreadsheets/d/1NDNgi_Ny4dRhc2A3UMIIkalN-V6EmsvxOfDzMRQlQ40/edit#gid=0"",""'Game 3'!S25""),IF(IMPORTRANGE(""https://docs.google.com/spreadsheets/d/1NDNgi_Ny4dRhc2A3UMIIkalN-V6Em"&amp;"svxOfDzMRQlQ40/edit#gid=0"",""'Game 3'!J25"")=IMPORTRANGE(""https://docs.google.com/spreadsheets/d/1NDNgi_Ny4dRhc2A3UMIIkalN-V6EmsvxOfDzMRQlQ40/edit#gid=0"",""'Game 3'!S25""),IMPORTRANGE(""https://docs.google.com/spreadsheets/d/1NDNgi_Ny4dRhc2A3UMIIkalN-V"&amp;"6EmsvxOfDzMRQlQ40/edit#gid=0"",""'Game 3'!S25"")+50,IMPORTRANGE(""https://docs.google.com/spreadsheets/d/1NDNgi_Ny4dRhc2A3UMIIkalN-V6EmsvxOfDzMRQlQ40/edit#gid=0"",""'Game 3'!S25"")+100)))"),186.0)</f>
        <v>186</v>
      </c>
      <c r="M13" s="12">
        <f>IFERROR(__xludf.DUMMYFUNCTION("IF($A13=IMPORTRANGE(""https://docs.google.com/spreadsheets/d/1UDYA3-RrkJNLa2ZLH1NnUjKyfCoiSODmgVL_Au_zt-Y/edit#gid=0"",""'Game 2'!B1""),IF(IMPORTRANGE(""https://docs.google.com/spreadsheets/d/1UDYA3-RrkJNLa2ZLH1NnUjKyfCoiSODmgVL_Au_zt-Y/edit#gid=0"",""'Ga"&amp;"me 2'!J25"")&gt;IMPORTRANGE(""https://docs.google.com/spreadsheets/d/1UDYA3-RrkJNLa2ZLH1NnUjKyfCoiSODmgVL_Au_zt-Y/edit#gid=0"",""'Game 2'!S25""),IMPORTRANGE(""https://docs.google.com/spreadsheets/d/1UDYA3-RrkJNLa2ZLH1NnUjKyfCoiSODmgVL_Au_zt-Y/edit#gid=0"","""&amp;"'Game 2'!J25"")+100,IF(IMPORTRANGE(""https://docs.google.com/spreadsheets/d/1UDYA3-RrkJNLa2ZLH1NnUjKyfCoiSODmgVL_Au_zt-Y/edit#gid=0"",""'Game 2'!J25"")=IMPORTRANGE(""https://docs.google.com/spreadsheets/d/1UDYA3-RrkJNLa2ZLH1NnUjKyfCoiSODmgVL_Au_zt-Y/edit#"&amp;"gid=0"",""'Game 2'!S25""),IMPORTRANGE(""https://docs.google.com/spreadsheets/d/1UDYA3-RrkJNLa2ZLH1NnUjKyfCoiSODmgVL_Au_zt-Y/edit#gid=0"",""'Game 2'!J25"")+50,IMPORTRANGE(""https://docs.google.com/spreadsheets/d/1UDYA3-RrkJNLa2ZLH1NnUjKyfCoiSODmgVL_Au_zt-Y"&amp;"/edit#gid=0"",""'Game 2'!J25""))),IF(IMPORTRANGE(""https://docs.google.com/spreadsheets/d/1UDYA3-RrkJNLa2ZLH1NnUjKyfCoiSODmgVL_Au_zt-Y/edit#gid=0"",""'Game 2'!J25"")&gt;IMPORTRANGE(""https://docs.google.com/spreadsheets/d/1UDYA3-RrkJNLa2ZLH1NnUjKyfCoiSODmgVL"&amp;"_Au_zt-Y/edit#gid=0"",""'Game 2'!S25""),IMPORTRANGE(""https://docs.google.com/spreadsheets/d/1UDYA3-RrkJNLa2ZLH1NnUjKyfCoiSODmgVL_Au_zt-Y/edit#gid=0"",""'Game 2'!S25""),IF(IMPORTRANGE(""https://docs.google.com/spreadsheets/d/1UDYA3-RrkJNLa2ZLH1NnUjKyfCoiS"&amp;"ODmgVL_Au_zt-Y/edit#gid=0"",""'Game 2'!J25"")=IMPORTRANGE(""https://docs.google.com/spreadsheets/d/1UDYA3-RrkJNLa2ZLH1NnUjKyfCoiSODmgVL_Au_zt-Y/edit#gid=0"",""'Game 2'!S25""),IMPORTRANGE(""https://docs.google.com/spreadsheets/d/1UDYA3-RrkJNLa2ZLH1NnUjKyfC"&amp;"oiSODmgVL_Au_zt-Y/edit#gid=0"",""'Game 2'!S25"")+50,IMPORTRANGE(""https://docs.google.com/spreadsheets/d/1UDYA3-RrkJNLa2ZLH1NnUjKyfCoiSODmgVL_Au_zt-Y/edit#gid=0"",""'Game 2'!S25"")+100)))"),274.0)</f>
        <v>274</v>
      </c>
      <c r="N13" s="12">
        <f>IFERROR(__xludf.DUMMYFUNCTION("IF($A13=IMPORTRANGE(""https://docs.google.com/spreadsheets/d/1fvo6H94Wcffp6c4N9g3JKCW6y2ZlijPxdOsNz7xdBhw/edit#gid=0"",""'Game 3'!B1""),IF(IMPORTRANGE(""https://docs.google.com/spreadsheets/d/1fvo6H94Wcffp6c4N9g3JKCW6y2ZlijPxdOsNz7xdBhw/edit#gid=0"",""'Ga"&amp;"me 3'!J25"")&gt;IMPORTRANGE(""https://docs.google.com/spreadsheets/d/1fvo6H94Wcffp6c4N9g3JKCW6y2ZlijPxdOsNz7xdBhw/edit#gid=0"",""'Game 3'!S25""),IMPORTRANGE(""https://docs.google.com/spreadsheets/d/1fvo6H94Wcffp6c4N9g3JKCW6y2ZlijPxdOsNz7xdBhw/edit#gid=0"","""&amp;"'Game 3'!J25"")+100,IF(IMPORTRANGE(""https://docs.google.com/spreadsheets/d/1fvo6H94Wcffp6c4N9g3JKCW6y2ZlijPxdOsNz7xdBhw/edit#gid=0"",""'Game 3'!J25"")=IMPORTRANGE(""https://docs.google.com/spreadsheets/d/1fvo6H94Wcffp6c4N9g3JKCW6y2ZlijPxdOsNz7xdBhw/edit#"&amp;"gid=0"",""'Game 3'!S25""),IMPORTRANGE(""https://docs.google.com/spreadsheets/d/1fvo6H94Wcffp6c4N9g3JKCW6y2ZlijPxdOsNz7xdBhw/edit#gid=0"",""'Game 3'!J25"")+50,IMPORTRANGE(""https://docs.google.com/spreadsheets/d/1fvo6H94Wcffp6c4N9g3JKCW6y2ZlijPxdOsNz7xdBhw"&amp;"/edit#gid=0"",""'Game 3'!J25""))),IF(IMPORTRANGE(""https://docs.google.com/spreadsheets/d/1fvo6H94Wcffp6c4N9g3JKCW6y2ZlijPxdOsNz7xdBhw/edit#gid=0"",""'Game 3'!J25"")&gt;IMPORTRANGE(""https://docs.google.com/spreadsheets/d/1fvo6H94Wcffp6c4N9g3JKCW6y2ZlijPxdOs"&amp;"Nz7xdBhw/edit#gid=0"",""'Game 3'!S25""),IMPORTRANGE(""https://docs.google.com/spreadsheets/d/1fvo6H94Wcffp6c4N9g3JKCW6y2ZlijPxdOsNz7xdBhw/edit#gid=0"",""'Game 3'!S25""),IF(IMPORTRANGE(""https://docs.google.com/spreadsheets/d/1fvo6H94Wcffp6c4N9g3JKCW6y2Zli"&amp;"jPxdOsNz7xdBhw/edit#gid=0"",""'Game 3'!J25"")=IMPORTRANGE(""https://docs.google.com/spreadsheets/d/1fvo6H94Wcffp6c4N9g3JKCW6y2ZlijPxdOsNz7xdBhw/edit#gid=0"",""'Game 3'!S25""),IMPORTRANGE(""https://docs.google.com/spreadsheets/d/1fvo6H94Wcffp6c4N9g3JKCW6y2"&amp;"ZlijPxdOsNz7xdBhw/edit#gid=0"",""'Game 3'!S25"")+50,IMPORTRANGE(""https://docs.google.com/spreadsheets/d/1fvo6H94Wcffp6c4N9g3JKCW6y2ZlijPxdOsNz7xdBhw/edit#gid=0"",""'Game 3'!S25"")+100)))"),202.0)</f>
        <v>202</v>
      </c>
      <c r="O13" s="12">
        <f>IFERROR(__xludf.DUMMYFUNCTION("IF($A13=IMPORTRANGE(""https://docs.google.com/spreadsheets/d/1wfQePArl-A-5QJe5xAufoOnzeNLVSoHCRcmpZ_FMdns/edit#gid=0"",""'Game 3'!B1""),IF(IMPORTRANGE(""https://docs.google.com/spreadsheets/d/1wfQePArl-A-5QJe5xAufoOnzeNLVSoHCRcmpZ_FMdns/edit#gid=0"",""'Ga"&amp;"me 3'!J25"")&gt;IMPORTRANGE(""https://docs.google.com/spreadsheets/d/1wfQePArl-A-5QJe5xAufoOnzeNLVSoHCRcmpZ_FMdns/edit#gid=0"",""'Game 3'!S25""),IMPORTRANGE(""https://docs.google.com/spreadsheets/d/1wfQePArl-A-5QJe5xAufoOnzeNLVSoHCRcmpZ_FMdns/edit#gid=0"","""&amp;"'Game 3'!J25"")+100,IF(IMPORTRANGE(""https://docs.google.com/spreadsheets/d/1wfQePArl-A-5QJe5xAufoOnzeNLVSoHCRcmpZ_FMdns/edit#gid=0"",""'Game 3'!J25"")=IMPORTRANGE(""https://docs.google.com/spreadsheets/d/1wfQePArl-A-5QJe5xAufoOnzeNLVSoHCRcmpZ_FMdns/edit#"&amp;"gid=0"",""'Game 3'!S25""),IMPORTRANGE(""https://docs.google.com/spreadsheets/d/1wfQePArl-A-5QJe5xAufoOnzeNLVSoHCRcmpZ_FMdns/edit#gid=0"",""'Game 3'!J25"")+50,IMPORTRANGE(""https://docs.google.com/spreadsheets/d/1wfQePArl-A-5QJe5xAufoOnzeNLVSoHCRcmpZ_FMdns"&amp;"/edit#gid=0"",""'Game 3'!J25""))),IF(IMPORTRANGE(""https://docs.google.com/spreadsheets/d/1wfQePArl-A-5QJe5xAufoOnzeNLVSoHCRcmpZ_FMdns/edit#gid=0"",""'Game 3'!J25"")&gt;IMPORTRANGE(""https://docs.google.com/spreadsheets/d/1wfQePArl-A-5QJe5xAufoOnzeNLVSoHCRcm"&amp;"pZ_FMdns/edit#gid=0"",""'Game 3'!S25""),IMPORTRANGE(""https://docs.google.com/spreadsheets/d/1wfQePArl-A-5QJe5xAufoOnzeNLVSoHCRcmpZ_FMdns/edit#gid=0"",""'Game 3'!S25""),IF(IMPORTRANGE(""https://docs.google.com/spreadsheets/d/1wfQePArl-A-5QJe5xAufoOnzeNLVS"&amp;"oHCRcmpZ_FMdns/edit#gid=0"",""'Game 3'!J25"")=IMPORTRANGE(""https://docs.google.com/spreadsheets/d/1wfQePArl-A-5QJe5xAufoOnzeNLVSoHCRcmpZ_FMdns/edit#gid=0"",""'Game 3'!S25""),IMPORTRANGE(""https://docs.google.com/spreadsheets/d/1wfQePArl-A-5QJe5xAufoOnzeN"&amp;"LVSoHCRcmpZ_FMdns/edit#gid=0"",""'Game 3'!S25"")+50,IMPORTRANGE(""https://docs.google.com/spreadsheets/d/1wfQePArl-A-5QJe5xAufoOnzeNLVSoHCRcmpZ_FMdns/edit#gid=0"",""'Game 3'!S25"")+100)))"),242.0)</f>
        <v>242</v>
      </c>
      <c r="P13" s="12">
        <f>IFERROR(__xludf.DUMMYFUNCTION("IF($A13=IMPORTRANGE(""https://docs.google.com/spreadsheets/d/1wydNznS0hZhVh3oGSdiCZSsReuqMT7Xaw718ix58zAI/edit#gid=0"",""'Game 3'!B1""),IF(IMPORTRANGE(""https://docs.google.com/spreadsheets/d/1wydNznS0hZhVh3oGSdiCZSsReuqMT7Xaw718ix58zAI/edit#gid=0"",""'Ga"&amp;"me 3'!J25"")&gt;IMPORTRANGE(""https://docs.google.com/spreadsheets/d/1wydNznS0hZhVh3oGSdiCZSsReuqMT7Xaw718ix58zAI/edit#gid=0"",""'Game 3'!S25""),IMPORTRANGE(""https://docs.google.com/spreadsheets/d/1wydNznS0hZhVh3oGSdiCZSsReuqMT7Xaw718ix58zAI/edit#gid=0"","""&amp;"'Game 3'!J25"")+100,IF(IMPORTRANGE(""https://docs.google.com/spreadsheets/d/1wydNznS0hZhVh3oGSdiCZSsReuqMT7Xaw718ix58zAI/edit#gid=0"",""'Game 3'!J25"")=IMPORTRANGE(""https://docs.google.com/spreadsheets/d/1wydNznS0hZhVh3oGSdiCZSsReuqMT7Xaw718ix58zAI/edit#"&amp;"gid=0"",""'Game 3'!S25""),IMPORTRANGE(""https://docs.google.com/spreadsheets/d/1wydNznS0hZhVh3oGSdiCZSsReuqMT7Xaw718ix58zAI/edit#gid=0"",""'Game 3'!J25"")+50,IMPORTRANGE(""https://docs.google.com/spreadsheets/d/1wydNznS0hZhVh3oGSdiCZSsReuqMT7Xaw718ix58zAI"&amp;"/edit#gid=0"",""'Game 3'!J25""))),IF(IMPORTRANGE(""https://docs.google.com/spreadsheets/d/1wydNznS0hZhVh3oGSdiCZSsReuqMT7Xaw718ix58zAI/edit#gid=0"",""'Game 3'!J25"")&gt;IMPORTRANGE(""https://docs.google.com/spreadsheets/d/1wydNznS0hZhVh3oGSdiCZSsReuqMT7Xaw71"&amp;"8ix58zAI/edit#gid=0"",""'Game 3'!S25""),IMPORTRANGE(""https://docs.google.com/spreadsheets/d/1wydNznS0hZhVh3oGSdiCZSsReuqMT7Xaw718ix58zAI/edit#gid=0"",""'Game 3'!S25""),IF(IMPORTRANGE(""https://docs.google.com/spreadsheets/d/1wydNznS0hZhVh3oGSdiCZSsReuqMT"&amp;"7Xaw718ix58zAI/edit#gid=0"",""'Game 3'!J25"")=IMPORTRANGE(""https://docs.google.com/spreadsheets/d/1wydNznS0hZhVh3oGSdiCZSsReuqMT7Xaw718ix58zAI/edit#gid=0"",""'Game 3'!S25""),IMPORTRANGE(""https://docs.google.com/spreadsheets/d/1wydNznS0hZhVh3oGSdiCZSsReu"&amp;"qMT7Xaw718ix58zAI/edit#gid=0"",""'Game 3'!S25"")+50,IMPORTRANGE(""https://docs.google.com/spreadsheets/d/1wydNznS0hZhVh3oGSdiCZSsReuqMT7Xaw718ix58zAI/edit#gid=0"",""'Game 3'!S25"")+100)))"),210.0)</f>
        <v>210</v>
      </c>
      <c r="Q13" s="37">
        <f t="shared" si="1"/>
        <v>2778</v>
      </c>
      <c r="R13" s="37">
        <f t="shared" si="2"/>
        <v>5</v>
      </c>
    </row>
    <row r="14">
      <c r="A14" s="33" t="s">
        <v>176</v>
      </c>
      <c r="B14" s="34">
        <v>182.0</v>
      </c>
      <c r="C14" s="34">
        <v>50.0</v>
      </c>
      <c r="D14" s="34">
        <v>214.0</v>
      </c>
      <c r="E14" s="34">
        <v>194.0</v>
      </c>
      <c r="F14" s="34">
        <v>36.0</v>
      </c>
      <c r="G14" s="5">
        <f>IFERROR(__xludf.DUMMYFUNCTION("IF($A14=IMPORTRANGE(""https://docs.google.com/spreadsheets/d/19gjAD4NwTXl_QoKUuwHQ1cWG_S2BOW94pDcyFtPwheg/edit#gid=0"",""'Game 3'!B1""),IF(IMPORTRANGE(""https://docs.google.com/spreadsheets/d/19gjAD4NwTXl_QoKUuwHQ1cWG_S2BOW94pDcyFtPwheg/edit#gid=0"",""'Ga"&amp;"me 3'!J25"")&gt;IMPORTRANGE(""https://docs.google.com/spreadsheets/d/19gjAD4NwTXl_QoKUuwHQ1cWG_S2BOW94pDcyFtPwheg/edit#gid=0"",""'Game 3'!S25""),IMPORTRANGE(""https://docs.google.com/spreadsheets/d/19gjAD4NwTXl_QoKUuwHQ1cWG_S2BOW94pDcyFtPwheg/edit#gid=0"","""&amp;"'Game 3'!J25"")+100,IF(IMPORTRANGE(""https://docs.google.com/spreadsheets/d/19gjAD4NwTXl_QoKUuwHQ1cWG_S2BOW94pDcyFtPwheg/edit#gid=0"",""'Game 3'!J25"")=IMPORTRANGE(""https://docs.google.com/spreadsheets/d/19gjAD4NwTXl_QoKUuwHQ1cWG_S2BOW94pDcyFtPwheg/edit#"&amp;"gid=0"",""'Game 3'!S25""),IMPORTRANGE(""https://docs.google.com/spreadsheets/d/19gjAD4NwTXl_QoKUuwHQ1cWG_S2BOW94pDcyFtPwheg/edit#gid=0"",""'Game 3'!J25"")+50,IMPORTRANGE(""https://docs.google.com/spreadsheets/d/19gjAD4NwTXl_QoKUuwHQ1cWG_S2BOW94pDcyFtPwheg"&amp;"/edit#gid=0"",""'Game 3'!J25""))),IF(IMPORTRANGE(""https://docs.google.com/spreadsheets/d/19gjAD4NwTXl_QoKUuwHQ1cWG_S2BOW94pDcyFtPwheg/edit#gid=0"",""'Game 3'!J25"")&gt;IMPORTRANGE(""https://docs.google.com/spreadsheets/d/19gjAD4NwTXl_QoKUuwHQ1cWG_S2BOW94pDc"&amp;"yFtPwheg/edit#gid=0"",""'Game 3'!S25""),IMPORTRANGE(""https://docs.google.com/spreadsheets/d/19gjAD4NwTXl_QoKUuwHQ1cWG_S2BOW94pDcyFtPwheg/edit#gid=0"",""'Game 3'!S25""),IF(IMPORTRANGE(""https://docs.google.com/spreadsheets/d/19gjAD4NwTXl_QoKUuwHQ1cWG_S2BO"&amp;"W94pDcyFtPwheg/edit#gid=0"",""'Game 3'!J25"")=IMPORTRANGE(""https://docs.google.com/spreadsheets/d/19gjAD4NwTXl_QoKUuwHQ1cWG_S2BOW94pDcyFtPwheg/edit#gid=0"",""'Game 3'!S25""),IMPORTRANGE(""https://docs.google.com/spreadsheets/d/19gjAD4NwTXl_QoKUuwHQ1cWG_S"&amp;"2BOW94pDcyFtPwheg/edit#gid=0"",""'Game 3'!S25"")+50,IMPORTRANGE(""https://docs.google.com/spreadsheets/d/19gjAD4NwTXl_QoKUuwHQ1cWG_S2BOW94pDcyFtPwheg/edit#gid=0"",""'Game 3'!S25"")+100)))"),188.0)</f>
        <v>188</v>
      </c>
      <c r="H14" s="5">
        <f>IFERROR(__xludf.DUMMYFUNCTION("IF($A14=IMPORTRANGE(""https://docs.google.com/spreadsheets/d/1l83w8bH-F1czkFOqsgQy6o8O33Jb4Pfg40W0ou2nk0k/edit#gid=0"",""'Game 10'!B1""),IF(IMPORTRANGE(""https://docs.google.com/spreadsheets/d/1l83w8bH-F1czkFOqsgQy6o8O33Jb4Pfg40W0ou2nk0k/edit#gid=0"",""'G"&amp;"ame 10'!J25"")&gt;IMPORTRANGE(""https://docs.google.com/spreadsheets/d/1l83w8bH-F1czkFOqsgQy6o8O33Jb4Pfg40W0ou2nk0k/edit#gid=0"",""'Game 10'!S25""),IMPORTRANGE(""https://docs.google.com/spreadsheets/d/1l83w8bH-F1czkFOqsgQy6o8O33Jb4Pfg40W0ou2nk0k/edit#gid=0"""&amp;",""'Game 10'!J25"")+100,IF(IMPORTRANGE(""https://docs.google.com/spreadsheets/d/1l83w8bH-F1czkFOqsgQy6o8O33Jb4Pfg40W0ou2nk0k/edit#gid=0"",""'Game 10'!J25"")=IMPORTRANGE(""https://docs.google.com/spreadsheets/d/1l83w8bH-F1czkFOqsgQy6o8O33Jb4Pfg40W0ou2nk0k/"&amp;"edit#gid=0"",""'Game 10'!S25""),IMPORTRANGE(""https://docs.google.com/spreadsheets/d/1l83w8bH-F1czkFOqsgQy6o8O33Jb4Pfg40W0ou2nk0k/edit#gid=0"",""'Game 10'!J25"")+50,IMPORTRANGE(""https://docs.google.com/spreadsheets/d/1l83w8bH-F1czkFOqsgQy6o8O33Jb4Pfg40W0"&amp;"ou2nk0k/edit#gid=0"",""'Game 10'!J25""))),IF(IMPORTRANGE(""https://docs.google.com/spreadsheets/d/1l83w8bH-F1czkFOqsgQy6o8O33Jb4Pfg40W0ou2nk0k/edit#gid=0"",""'Game 10'!J25"")&gt;IMPORTRANGE(""https://docs.google.com/spreadsheets/d/1l83w8bH-F1czkFOqsgQy6o8O33"&amp;"Jb4Pfg40W0ou2nk0k/edit#gid=0"",""'Game 10'!S25""),IMPORTRANGE(""https://docs.google.com/spreadsheets/d/1l83w8bH-F1czkFOqsgQy6o8O33Jb4Pfg40W0ou2nk0k/edit#gid=0"",""'Game 10'!S25""),IF(IMPORTRANGE(""https://docs.google.com/spreadsheets/d/1l83w8bH-F1czkFOqsg"&amp;"Qy6o8O33Jb4Pfg40W0ou2nk0k/edit#gid=0"",""'Game 10'!J25"")=IMPORTRANGE(""https://docs.google.com/spreadsheets/d/1l83w8bH-F1czkFOqsgQy6o8O33Jb4Pfg40W0ou2nk0k/edit#gid=0"",""'Game 10'!S25""),IMPORTRANGE(""https://docs.google.com/spreadsheets/d/1l83w8bH-F1czk"&amp;"FOqsgQy6o8O33Jb4Pfg40W0ou2nk0k/edit#gid=0"",""'Game 10'!S25"")+50,IMPORTRANGE(""https://docs.google.com/spreadsheets/d/1l83w8bH-F1czkFOqsgQy6o8O33Jb4Pfg40W0ou2nk0k/edit#gid=0"",""'Game 10'!S25"")+100)))"),178.0)</f>
        <v>178</v>
      </c>
      <c r="I14" s="5">
        <f>IFERROR(__xludf.DUMMYFUNCTION("IF($A14=IMPORTRANGE(""https://docs.google.com/spreadsheets/d/15X-ub7GvrCQZ3UGgyogcjwYdxG-Ng8WHxzGSj1Z3eLw/edit#gid=0"",""'Game 11'!B1""),IF(IMPORTRANGE(""https://docs.google.com/spreadsheets/d/15X-ub7GvrCQZ3UGgyogcjwYdxG-Ng8WHxzGSj1Z3eLw/edit#gid=0"",""'G"&amp;"ame 11'!J25"")&gt;IMPORTRANGE(""https://docs.google.com/spreadsheets/d/15X-ub7GvrCQZ3UGgyogcjwYdxG-Ng8WHxzGSj1Z3eLw/edit#gid=0"",""'Game 11'!S25""),IMPORTRANGE(""https://docs.google.com/spreadsheets/d/15X-ub7GvrCQZ3UGgyogcjwYdxG-Ng8WHxzGSj1Z3eLw/edit#gid=0"""&amp;",""'Game 11'!J25"")+100,IF(IMPORTRANGE(""https://docs.google.com/spreadsheets/d/15X-ub7GvrCQZ3UGgyogcjwYdxG-Ng8WHxzGSj1Z3eLw/edit#gid=0"",""'Game 11'!J25"")=IMPORTRANGE(""https://docs.google.com/spreadsheets/d/15X-ub7GvrCQZ3UGgyogcjwYdxG-Ng8WHxzGSj1Z3eLw/"&amp;"edit#gid=0"",""'Game 11'!S25""),IMPORTRANGE(""https://docs.google.com/spreadsheets/d/15X-ub7GvrCQZ3UGgyogcjwYdxG-Ng8WHxzGSj1Z3eLw/edit#gid=0"",""'Game 11'!J25"")+50,IMPORTRANGE(""https://docs.google.com/spreadsheets/d/15X-ub7GvrCQZ3UGgyogcjwYdxG-Ng8WHxzGS"&amp;"j1Z3eLw/edit#gid=0"",""'Game 11'!J25""))),IF(IMPORTRANGE(""https://docs.google.com/spreadsheets/d/15X-ub7GvrCQZ3UGgyogcjwYdxG-Ng8WHxzGSj1Z3eLw/edit#gid=0"",""'Game 11'!J25"")&gt;IMPORTRANGE(""https://docs.google.com/spreadsheets/d/15X-ub7GvrCQZ3UGgyogcjwYdxG"&amp;"-Ng8WHxzGSj1Z3eLw/edit#gid=0"",""'Game 11'!S25""),IMPORTRANGE(""https://docs.google.com/spreadsheets/d/15X-ub7GvrCQZ3UGgyogcjwYdxG-Ng8WHxzGSj1Z3eLw/edit#gid=0"",""'Game 11'!S25""),IF(IMPORTRANGE(""https://docs.google.com/spreadsheets/d/15X-ub7GvrCQZ3UGgyo"&amp;"gcjwYdxG-Ng8WHxzGSj1Z3eLw/edit#gid=0"",""'Game 11'!J25"")=IMPORTRANGE(""https://docs.google.com/spreadsheets/d/15X-ub7GvrCQZ3UGgyogcjwYdxG-Ng8WHxzGSj1Z3eLw/edit#gid=0"",""'Game 11'!S25""),IMPORTRANGE(""https://docs.google.com/spreadsheets/d/15X-ub7GvrCQZ3"&amp;"UGgyogcjwYdxG-Ng8WHxzGSj1Z3eLw/edit#gid=0"",""'Game 11'!S25"")+50,IMPORTRANGE(""https://docs.google.com/spreadsheets/d/15X-ub7GvrCQZ3UGgyogcjwYdxG-Ng8WHxzGSj1Z3eLw/edit#gid=0"",""'Game 11'!S25"")+100)))"),148.0)</f>
        <v>148</v>
      </c>
      <c r="J14" s="5">
        <f>IFERROR(__xludf.DUMMYFUNCTION("IF($A14=IMPORTRANGE(""https://docs.google.com/spreadsheets/d/194Bw3ABslPPhOOPvVoMzIk8sOQFICWBu2pydWdYMD-w/edit#gid=0"",""'Game 12'!B1""),IF(IMPORTRANGE(""https://docs.google.com/spreadsheets/d/194Bw3ABslPPhOOPvVoMzIk8sOQFICWBu2pydWdYMD-w/edit#gid=0"",""'G"&amp;"ame 12'!J25"")&gt;IMPORTRANGE(""https://docs.google.com/spreadsheets/d/194Bw3ABslPPhOOPvVoMzIk8sOQFICWBu2pydWdYMD-w/edit#gid=0"",""'Game 12'!S25""),IMPORTRANGE(""https://docs.google.com/spreadsheets/d/194Bw3ABslPPhOOPvVoMzIk8sOQFICWBu2pydWdYMD-w/edit#gid=0"""&amp;",""'Game 12'!J25"")+100,IF(IMPORTRANGE(""https://docs.google.com/spreadsheets/d/194Bw3ABslPPhOOPvVoMzIk8sOQFICWBu2pydWdYMD-w/edit#gid=0"",""'Game 12'!J25"")=IMPORTRANGE(""https://docs.google.com/spreadsheets/d/194Bw3ABslPPhOOPvVoMzIk8sOQFICWBu2pydWdYMD-w/"&amp;"edit#gid=0"",""'Game 12'!S25""),IMPORTRANGE(""https://docs.google.com/spreadsheets/d/194Bw3ABslPPhOOPvVoMzIk8sOQFICWBu2pydWdYMD-w/edit#gid=0"",""'Game 12'!J25"")+50,IMPORTRANGE(""https://docs.google.com/spreadsheets/d/194Bw3ABslPPhOOPvVoMzIk8sOQFICWBu2pyd"&amp;"WdYMD-w/edit#gid=0"",""'Game 12'!J25""))),IF(IMPORTRANGE(""https://docs.google.com/spreadsheets/d/194Bw3ABslPPhOOPvVoMzIk8sOQFICWBu2pydWdYMD-w/edit#gid=0"",""'Game 12'!J25"")&gt;IMPORTRANGE(""https://docs.google.com/spreadsheets/d/194Bw3ABslPPhOOPvVoMzIk8sOQ"&amp;"FICWBu2pydWdYMD-w/edit#gid=0"",""'Game 12'!S25""),IMPORTRANGE(""https://docs.google.com/spreadsheets/d/194Bw3ABslPPhOOPvVoMzIk8sOQFICWBu2pydWdYMD-w/edit#gid=0"",""'Game 12'!S25""),IF(IMPORTRANGE(""https://docs.google.com/spreadsheets/d/194Bw3ABslPPhOOPvVo"&amp;"MzIk8sOQFICWBu2pydWdYMD-w/edit#gid=0"",""'Game 12'!J25"")=IMPORTRANGE(""https://docs.google.com/spreadsheets/d/194Bw3ABslPPhOOPvVoMzIk8sOQFICWBu2pydWdYMD-w/edit#gid=0"",""'Game 12'!S25""),IMPORTRANGE(""https://docs.google.com/spreadsheets/d/194Bw3ABslPPhO"&amp;"OPvVoMzIk8sOQFICWBu2pydWdYMD-w/edit#gid=0"",""'Game 12'!S25"")+50,IMPORTRANGE(""https://docs.google.com/spreadsheets/d/194Bw3ABslPPhOOPvVoMzIk8sOQFICWBu2pydWdYMD-w/edit#gid=0"",""'Game 12'!S25"")+100)))"),186.0)</f>
        <v>186</v>
      </c>
      <c r="K14" s="5">
        <f>IFERROR(__xludf.DUMMYFUNCTION("IF($A14=IMPORTRANGE(""https://docs.google.com/spreadsheets/d/1F2Bi6K_I1K9xRxY5qb-bNRo5m-Kw7udpF1OaTHhrxjs/edit#gid=0"",""'Game 10'!B1""),IF(IMPORTRANGE(""https://docs.google.com/spreadsheets/d/1F2Bi6K_I1K9xRxY5qb-bNRo5m-Kw7udpF1OaTHhrxjs/edit#gid=0"",""'G"&amp;"ame 10'!J25"")&gt;IMPORTRANGE(""https://docs.google.com/spreadsheets/d/1F2Bi6K_I1K9xRxY5qb-bNRo5m-Kw7udpF1OaTHhrxjs/edit#gid=0"",""'Game 10'!S25""),IMPORTRANGE(""https://docs.google.com/spreadsheets/d/1F2Bi6K_I1K9xRxY5qb-bNRo5m-Kw7udpF1OaTHhrxjs/edit#gid=0"""&amp;",""'Game 10'!J25"")+100,IF(IMPORTRANGE(""https://docs.google.com/spreadsheets/d/1F2Bi6K_I1K9xRxY5qb-bNRo5m-Kw7udpF1OaTHhrxjs/edit#gid=0"",""'Game 10'!J25"")=IMPORTRANGE(""https://docs.google.com/spreadsheets/d/1F2Bi6K_I1K9xRxY5qb-bNRo5m-Kw7udpF1OaTHhrxjs/"&amp;"edit#gid=0"",""'Game 10'!S25""),IMPORTRANGE(""https://docs.google.com/spreadsheets/d/1F2Bi6K_I1K9xRxY5qb-bNRo5m-Kw7udpF1OaTHhrxjs/edit#gid=0"",""'Game 10'!J25"")+50,IMPORTRANGE(""https://docs.google.com/spreadsheets/d/1F2Bi6K_I1K9xRxY5qb-bNRo5m-Kw7udpF1Oa"&amp;"THhrxjs/edit#gid=0"",""'Game 10'!J25""))),IF(IMPORTRANGE(""https://docs.google.com/spreadsheets/d/1F2Bi6K_I1K9xRxY5qb-bNRo5m-Kw7udpF1OaTHhrxjs/edit#gid=0"",""'Game 10'!J25"")&gt;IMPORTRANGE(""https://docs.google.com/spreadsheets/d/1F2Bi6K_I1K9xRxY5qb-bNRo5m-"&amp;"Kw7udpF1OaTHhrxjs/edit#gid=0"",""'Game 10'!S25""),IMPORTRANGE(""https://docs.google.com/spreadsheets/d/1F2Bi6K_I1K9xRxY5qb-bNRo5m-Kw7udpF1OaTHhrxjs/edit#gid=0"",""'Game 10'!S25""),IF(IMPORTRANGE(""https://docs.google.com/spreadsheets/d/1F2Bi6K_I1K9xRxY5qb"&amp;"-bNRo5m-Kw7udpF1OaTHhrxjs/edit#gid=0"",""'Game 10'!J25"")=IMPORTRANGE(""https://docs.google.com/spreadsheets/d/1F2Bi6K_I1K9xRxY5qb-bNRo5m-Kw7udpF1OaTHhrxjs/edit#gid=0"",""'Game 10'!S25""),IMPORTRANGE(""https://docs.google.com/spreadsheets/d/1F2Bi6K_I1K9xR"&amp;"xY5qb-bNRo5m-Kw7udpF1OaTHhrxjs/edit#gid=0"",""'Game 10'!S25"")+50,IMPORTRANGE(""https://docs.google.com/spreadsheets/d/1F2Bi6K_I1K9xRxY5qb-bNRo5m-Kw7udpF1OaTHhrxjs/edit#gid=0"",""'Game 10'!S25"")+100)))"),184.0)</f>
        <v>184</v>
      </c>
      <c r="L14" s="5">
        <f>IFERROR(__xludf.DUMMYFUNCTION("IF($A14=IMPORTRANGE(""https://docs.google.com/spreadsheets/d/1NDNgi_Ny4dRhc2A3UMIIkalN-V6EmsvxOfDzMRQlQ40/edit#gid=0"",""'Game 12'!B1""),IF(IMPORTRANGE(""https://docs.google.com/spreadsheets/d/1NDNgi_Ny4dRhc2A3UMIIkalN-V6EmsvxOfDzMRQlQ40/edit#gid=0"",""'G"&amp;"ame 12'!J25"")&gt;IMPORTRANGE(""https://docs.google.com/spreadsheets/d/1NDNgi_Ny4dRhc2A3UMIIkalN-V6EmsvxOfDzMRQlQ40/edit#gid=0"",""'Game 12'!S25""),IMPORTRANGE(""https://docs.google.com/spreadsheets/d/1NDNgi_Ny4dRhc2A3UMIIkalN-V6EmsvxOfDzMRQlQ40/edit#gid=0"""&amp;",""'Game 12'!J25"")+100,IF(IMPORTRANGE(""https://docs.google.com/spreadsheets/d/1NDNgi_Ny4dRhc2A3UMIIkalN-V6EmsvxOfDzMRQlQ40/edit#gid=0"",""'Game 12'!J25"")=IMPORTRANGE(""https://docs.google.com/spreadsheets/d/1NDNgi_Ny4dRhc2A3UMIIkalN-V6EmsvxOfDzMRQlQ40/"&amp;"edit#gid=0"",""'Game 12'!S25""),IMPORTRANGE(""https://docs.google.com/spreadsheets/d/1NDNgi_Ny4dRhc2A3UMIIkalN-V6EmsvxOfDzMRQlQ40/edit#gid=0"",""'Game 12'!J25"")+50,IMPORTRANGE(""https://docs.google.com/spreadsheets/d/1NDNgi_Ny4dRhc2A3UMIIkalN-V6EmsvxOfDz"&amp;"MRQlQ40/edit#gid=0"",""'Game 12'!J25""))),IF(IMPORTRANGE(""https://docs.google.com/spreadsheets/d/1NDNgi_Ny4dRhc2A3UMIIkalN-V6EmsvxOfDzMRQlQ40/edit#gid=0"",""'Game 12'!J25"")&gt;IMPORTRANGE(""https://docs.google.com/spreadsheets/d/1NDNgi_Ny4dRhc2A3UMIIkalN-V"&amp;"6EmsvxOfDzMRQlQ40/edit#gid=0"",""'Game 12'!S25""),IMPORTRANGE(""https://docs.google.com/spreadsheets/d/1NDNgi_Ny4dRhc2A3UMIIkalN-V6EmsvxOfDzMRQlQ40/edit#gid=0"",""'Game 12'!S25""),IF(IMPORTRANGE(""https://docs.google.com/spreadsheets/d/1NDNgi_Ny4dRhc2A3UM"&amp;"IIkalN-V6EmsvxOfDzMRQlQ40/edit#gid=0"",""'Game 12'!J25"")=IMPORTRANGE(""https://docs.google.com/spreadsheets/d/1NDNgi_Ny4dRhc2A3UMIIkalN-V6EmsvxOfDzMRQlQ40/edit#gid=0"",""'Game 12'!S25""),IMPORTRANGE(""https://docs.google.com/spreadsheets/d/1NDNgi_Ny4dRhc"&amp;"2A3UMIIkalN-V6EmsvxOfDzMRQlQ40/edit#gid=0"",""'Game 12'!S25"")+50,IMPORTRANGE(""https://docs.google.com/spreadsheets/d/1NDNgi_Ny4dRhc2A3UMIIkalN-V6EmsvxOfDzMRQlQ40/edit#gid=0"",""'Game 12'!S25"")+100)))"),22.0)</f>
        <v>22</v>
      </c>
      <c r="M14" s="5">
        <f>IFERROR(__xludf.DUMMYFUNCTION("IF($A14=IMPORTRANGE(""https://docs.google.com/spreadsheets/d/1UDYA3-RrkJNLa2ZLH1NnUjKyfCoiSODmgVL_Au_zt-Y/edit#gid=0"",""'Game 4'!B1""),IF(IMPORTRANGE(""https://docs.google.com/spreadsheets/d/1UDYA3-RrkJNLa2ZLH1NnUjKyfCoiSODmgVL_Au_zt-Y/edit#gid=0"",""'Ga"&amp;"me 4'!J25"")&gt;IMPORTRANGE(""https://docs.google.com/spreadsheets/d/1UDYA3-RrkJNLa2ZLH1NnUjKyfCoiSODmgVL_Au_zt-Y/edit#gid=0"",""'Game 4'!S25""),IMPORTRANGE(""https://docs.google.com/spreadsheets/d/1UDYA3-RrkJNLa2ZLH1NnUjKyfCoiSODmgVL_Au_zt-Y/edit#gid=0"","""&amp;"'Game 4'!J25"")+100,IF(IMPORTRANGE(""https://docs.google.com/spreadsheets/d/1UDYA3-RrkJNLa2ZLH1NnUjKyfCoiSODmgVL_Au_zt-Y/edit#gid=0"",""'Game 4'!J25"")=IMPORTRANGE(""https://docs.google.com/spreadsheets/d/1UDYA3-RrkJNLa2ZLH1NnUjKyfCoiSODmgVL_Au_zt-Y/edit#"&amp;"gid=0"",""'Game 4'!S25""),IMPORTRANGE(""https://docs.google.com/spreadsheets/d/1UDYA3-RrkJNLa2ZLH1NnUjKyfCoiSODmgVL_Au_zt-Y/edit#gid=0"",""'Game 4'!J25"")+50,IMPORTRANGE(""https://docs.google.com/spreadsheets/d/1UDYA3-RrkJNLa2ZLH1NnUjKyfCoiSODmgVL_Au_zt-Y"&amp;"/edit#gid=0"",""'Game 4'!J25""))),IF(IMPORTRANGE(""https://docs.google.com/spreadsheets/d/1UDYA3-RrkJNLa2ZLH1NnUjKyfCoiSODmgVL_Au_zt-Y/edit#gid=0"",""'Game 4'!J25"")&gt;IMPORTRANGE(""https://docs.google.com/spreadsheets/d/1UDYA3-RrkJNLa2ZLH1NnUjKyfCoiSODmgVL"&amp;"_Au_zt-Y/edit#gid=0"",""'Game 4'!S25""),IMPORTRANGE(""https://docs.google.com/spreadsheets/d/1UDYA3-RrkJNLa2ZLH1NnUjKyfCoiSODmgVL_Au_zt-Y/edit#gid=0"",""'Game 4'!S25""),IF(IMPORTRANGE(""https://docs.google.com/spreadsheets/d/1UDYA3-RrkJNLa2ZLH1NnUjKyfCoiS"&amp;"ODmgVL_Au_zt-Y/edit#gid=0"",""'Game 4'!J25"")=IMPORTRANGE(""https://docs.google.com/spreadsheets/d/1UDYA3-RrkJNLa2ZLH1NnUjKyfCoiSODmgVL_Au_zt-Y/edit#gid=0"",""'Game 4'!S25""),IMPORTRANGE(""https://docs.google.com/spreadsheets/d/1UDYA3-RrkJNLa2ZLH1NnUjKyfC"&amp;"oiSODmgVL_Au_zt-Y/edit#gid=0"",""'Game 4'!S25"")+50,IMPORTRANGE(""https://docs.google.com/spreadsheets/d/1UDYA3-RrkJNLa2ZLH1NnUjKyfCoiSODmgVL_Au_zt-Y/edit#gid=0"",""'Game 4'!S25"")+100)))"),260.0)</f>
        <v>260</v>
      </c>
      <c r="N14" s="5">
        <f>IFERROR(__xludf.DUMMYFUNCTION("IF($A14=IMPORTRANGE(""https://docs.google.com/spreadsheets/d/1fvo6H94Wcffp6c4N9g3JKCW6y2ZlijPxdOsNz7xdBhw/edit#gid=0"",""'Game 5'!B1""),IF(IMPORTRANGE(""https://docs.google.com/spreadsheets/d/1fvo6H94Wcffp6c4N9g3JKCW6y2ZlijPxdOsNz7xdBhw/edit#gid=0"",""'Ga"&amp;"me 5'!J25"")&gt;IMPORTRANGE(""https://docs.google.com/spreadsheets/d/1fvo6H94Wcffp6c4N9g3JKCW6y2ZlijPxdOsNz7xdBhw/edit#gid=0"",""'Game 5'!S25""),IMPORTRANGE(""https://docs.google.com/spreadsheets/d/1fvo6H94Wcffp6c4N9g3JKCW6y2ZlijPxdOsNz7xdBhw/edit#gid=0"","""&amp;"'Game 5'!J25"")+100,IF(IMPORTRANGE(""https://docs.google.com/spreadsheets/d/1fvo6H94Wcffp6c4N9g3JKCW6y2ZlijPxdOsNz7xdBhw/edit#gid=0"",""'Game 5'!J25"")=IMPORTRANGE(""https://docs.google.com/spreadsheets/d/1fvo6H94Wcffp6c4N9g3JKCW6y2ZlijPxdOsNz7xdBhw/edit#"&amp;"gid=0"",""'Game 5'!S25""),IMPORTRANGE(""https://docs.google.com/spreadsheets/d/1fvo6H94Wcffp6c4N9g3JKCW6y2ZlijPxdOsNz7xdBhw/edit#gid=0"",""'Game 5'!J25"")+50,IMPORTRANGE(""https://docs.google.com/spreadsheets/d/1fvo6H94Wcffp6c4N9g3JKCW6y2ZlijPxdOsNz7xdBhw"&amp;"/edit#gid=0"",""'Game 5'!J25""))),IF(IMPORTRANGE(""https://docs.google.com/spreadsheets/d/1fvo6H94Wcffp6c4N9g3JKCW6y2ZlijPxdOsNz7xdBhw/edit#gid=0"",""'Game 5'!J25"")&gt;IMPORTRANGE(""https://docs.google.com/spreadsheets/d/1fvo6H94Wcffp6c4N9g3JKCW6y2ZlijPxdOs"&amp;"Nz7xdBhw/edit#gid=0"",""'Game 5'!S25""),IMPORTRANGE(""https://docs.google.com/spreadsheets/d/1fvo6H94Wcffp6c4N9g3JKCW6y2ZlijPxdOsNz7xdBhw/edit#gid=0"",""'Game 5'!S25""),IF(IMPORTRANGE(""https://docs.google.com/spreadsheets/d/1fvo6H94Wcffp6c4N9g3JKCW6y2Zli"&amp;"jPxdOsNz7xdBhw/edit#gid=0"",""'Game 5'!J25"")=IMPORTRANGE(""https://docs.google.com/spreadsheets/d/1fvo6H94Wcffp6c4N9g3JKCW6y2ZlijPxdOsNz7xdBhw/edit#gid=0"",""'Game 5'!S25""),IMPORTRANGE(""https://docs.google.com/spreadsheets/d/1fvo6H94Wcffp6c4N9g3JKCW6y2"&amp;"ZlijPxdOsNz7xdBhw/edit#gid=0"",""'Game 5'!S25"")+50,IMPORTRANGE(""https://docs.google.com/spreadsheets/d/1fvo6H94Wcffp6c4N9g3JKCW6y2ZlijPxdOsNz7xdBhw/edit#gid=0"",""'Game 5'!S25"")+100)))"),200.0)</f>
        <v>200</v>
      </c>
      <c r="O14" s="5">
        <f>IFERROR(__xludf.DUMMYFUNCTION("IF($A14=IMPORTRANGE(""https://docs.google.com/spreadsheets/d/1wfQePArl-A-5QJe5xAufoOnzeNLVSoHCRcmpZ_FMdns/edit#gid=0"",""'Game 12'!B1""),IF(IMPORTRANGE(""https://docs.google.com/spreadsheets/d/1wfQePArl-A-5QJe5xAufoOnzeNLVSoHCRcmpZ_FMdns/edit#gid=0"",""'G"&amp;"ame 12'!J25"")&gt;IMPORTRANGE(""https://docs.google.com/spreadsheets/d/1wfQePArl-A-5QJe5xAufoOnzeNLVSoHCRcmpZ_FMdns/edit#gid=0"",""'Game 12'!S25""),IMPORTRANGE(""https://docs.google.com/spreadsheets/d/1wfQePArl-A-5QJe5xAufoOnzeNLVSoHCRcmpZ_FMdns/edit#gid=0"""&amp;",""'Game 12'!J25"")+100,IF(IMPORTRANGE(""https://docs.google.com/spreadsheets/d/1wfQePArl-A-5QJe5xAufoOnzeNLVSoHCRcmpZ_FMdns/edit#gid=0"",""'Game 12'!J25"")=IMPORTRANGE(""https://docs.google.com/spreadsheets/d/1wfQePArl-A-5QJe5xAufoOnzeNLVSoHCRcmpZ_FMdns/"&amp;"edit#gid=0"",""'Game 12'!S25""),IMPORTRANGE(""https://docs.google.com/spreadsheets/d/1wfQePArl-A-5QJe5xAufoOnzeNLVSoHCRcmpZ_FMdns/edit#gid=0"",""'Game 12'!J25"")+50,IMPORTRANGE(""https://docs.google.com/spreadsheets/d/1wfQePArl-A-5QJe5xAufoOnzeNLVSoHCRcmp"&amp;"Z_FMdns/edit#gid=0"",""'Game 12'!J25""))),IF(IMPORTRANGE(""https://docs.google.com/spreadsheets/d/1wfQePArl-A-5QJe5xAufoOnzeNLVSoHCRcmpZ_FMdns/edit#gid=0"",""'Game 12'!J25"")&gt;IMPORTRANGE(""https://docs.google.com/spreadsheets/d/1wfQePArl-A-5QJe5xAufoOnzeN"&amp;"LVSoHCRcmpZ_FMdns/edit#gid=0"",""'Game 12'!S25""),IMPORTRANGE(""https://docs.google.com/spreadsheets/d/1wfQePArl-A-5QJe5xAufoOnzeNLVSoHCRcmpZ_FMdns/edit#gid=0"",""'Game 12'!S25""),IF(IMPORTRANGE(""https://docs.google.com/spreadsheets/d/1wfQePArl-A-5QJe5xA"&amp;"ufoOnzeNLVSoHCRcmpZ_FMdns/edit#gid=0"",""'Game 12'!J25"")=IMPORTRANGE(""https://docs.google.com/spreadsheets/d/1wfQePArl-A-5QJe5xAufoOnzeNLVSoHCRcmpZ_FMdns/edit#gid=0"",""'Game 12'!S25""),IMPORTRANGE(""https://docs.google.com/spreadsheets/d/1wfQePArl-A-5Q"&amp;"Je5xAufoOnzeNLVSoHCRcmpZ_FMdns/edit#gid=0"",""'Game 12'!S25"")+50,IMPORTRANGE(""https://docs.google.com/spreadsheets/d/1wfQePArl-A-5QJe5xAufoOnzeNLVSoHCRcmpZ_FMdns/edit#gid=0"",""'Game 12'!S25"")+100)))"),78.0)</f>
        <v>78</v>
      </c>
      <c r="P14" s="5">
        <f>IFERROR(__xludf.DUMMYFUNCTION("IF($A14=IMPORTRANGE(""https://docs.google.com/spreadsheets/d/1wydNznS0hZhVh3oGSdiCZSsReuqMT7Xaw718ix58zAI/edit#gid=0"",""'Game 7'!B1""),IF(IMPORTRANGE(""https://docs.google.com/spreadsheets/d/1wydNznS0hZhVh3oGSdiCZSsReuqMT7Xaw718ix58zAI/edit#gid=0"",""'Ga"&amp;"me 7'!J25"")&gt;IMPORTRANGE(""https://docs.google.com/spreadsheets/d/1wydNznS0hZhVh3oGSdiCZSsReuqMT7Xaw718ix58zAI/edit#gid=0"",""'Game 7'!S25""),IMPORTRANGE(""https://docs.google.com/spreadsheets/d/1wydNznS0hZhVh3oGSdiCZSsReuqMT7Xaw718ix58zAI/edit#gid=0"","""&amp;"'Game 7'!J25"")+100,IF(IMPORTRANGE(""https://docs.google.com/spreadsheets/d/1wydNznS0hZhVh3oGSdiCZSsReuqMT7Xaw718ix58zAI/edit#gid=0"",""'Game 7'!J25"")=IMPORTRANGE(""https://docs.google.com/spreadsheets/d/1wydNznS0hZhVh3oGSdiCZSsReuqMT7Xaw718ix58zAI/edit#"&amp;"gid=0"",""'Game 7'!S25""),IMPORTRANGE(""https://docs.google.com/spreadsheets/d/1wydNznS0hZhVh3oGSdiCZSsReuqMT7Xaw718ix58zAI/edit#gid=0"",""'Game 7'!J25"")+50,IMPORTRANGE(""https://docs.google.com/spreadsheets/d/1wydNznS0hZhVh3oGSdiCZSsReuqMT7Xaw718ix58zAI"&amp;"/edit#gid=0"",""'Game 7'!J25""))),IF(IMPORTRANGE(""https://docs.google.com/spreadsheets/d/1wydNznS0hZhVh3oGSdiCZSsReuqMT7Xaw718ix58zAI/edit#gid=0"",""'Game 7'!J25"")&gt;IMPORTRANGE(""https://docs.google.com/spreadsheets/d/1wydNznS0hZhVh3oGSdiCZSsReuqMT7Xaw71"&amp;"8ix58zAI/edit#gid=0"",""'Game 7'!S25""),IMPORTRANGE(""https://docs.google.com/spreadsheets/d/1wydNznS0hZhVh3oGSdiCZSsReuqMT7Xaw718ix58zAI/edit#gid=0"",""'Game 7'!S25""),IF(IMPORTRANGE(""https://docs.google.com/spreadsheets/d/1wydNznS0hZhVh3oGSdiCZSsReuqMT"&amp;"7Xaw718ix58zAI/edit#gid=0"",""'Game 7'!J25"")=IMPORTRANGE(""https://docs.google.com/spreadsheets/d/1wydNznS0hZhVh3oGSdiCZSsReuqMT7Xaw718ix58zAI/edit#gid=0"",""'Game 7'!S25""),IMPORTRANGE(""https://docs.google.com/spreadsheets/d/1wydNznS0hZhVh3oGSdiCZSsReu"&amp;"qMT7Xaw718ix58zAI/edit#gid=0"",""'Game 7'!S25"")+50,IMPORTRANGE(""https://docs.google.com/spreadsheets/d/1wydNznS0hZhVh3oGSdiCZSsReuqMT7Xaw718ix58zAI/edit#gid=0"",""'Game 7'!S25"")+100)))"),60.0)</f>
        <v>60</v>
      </c>
      <c r="Q14" s="35">
        <f t="shared" si="1"/>
        <v>2180</v>
      </c>
      <c r="R14" s="35">
        <f t="shared" si="2"/>
        <v>9</v>
      </c>
    </row>
    <row r="15">
      <c r="A15" s="32" t="s">
        <v>188</v>
      </c>
      <c r="B15" s="36">
        <v>34.0</v>
      </c>
      <c r="C15" s="36">
        <v>250.0</v>
      </c>
      <c r="D15" s="36">
        <v>12.0</v>
      </c>
      <c r="E15" s="36">
        <v>164.0</v>
      </c>
      <c r="F15" s="36">
        <v>168.0</v>
      </c>
      <c r="G15" s="12">
        <f>IFERROR(__xludf.DUMMYFUNCTION("IF($A15=IMPORTRANGE(""https://docs.google.com/spreadsheets/d/19gjAD4NwTXl_QoKUuwHQ1cWG_S2BOW94pDcyFtPwheg/edit#gid=0"",""'Game 10'!B1""),IF(IMPORTRANGE(""https://docs.google.com/spreadsheets/d/19gjAD4NwTXl_QoKUuwHQ1cWG_S2BOW94pDcyFtPwheg/edit#gid=0"",""'G"&amp;"ame 10'!J25"")&gt;IMPORTRANGE(""https://docs.google.com/spreadsheets/d/19gjAD4NwTXl_QoKUuwHQ1cWG_S2BOW94pDcyFtPwheg/edit#gid=0"",""'Game 10'!S25""),IMPORTRANGE(""https://docs.google.com/spreadsheets/d/19gjAD4NwTXl_QoKUuwHQ1cWG_S2BOW94pDcyFtPwheg/edit#gid=0"""&amp;",""'Game 10'!J25"")+100,IF(IMPORTRANGE(""https://docs.google.com/spreadsheets/d/19gjAD4NwTXl_QoKUuwHQ1cWG_S2BOW94pDcyFtPwheg/edit#gid=0"",""'Game 10'!J25"")=IMPORTRANGE(""https://docs.google.com/spreadsheets/d/19gjAD4NwTXl_QoKUuwHQ1cWG_S2BOW94pDcyFtPwheg/"&amp;"edit#gid=0"",""'Game 10'!S25""),IMPORTRANGE(""https://docs.google.com/spreadsheets/d/19gjAD4NwTXl_QoKUuwHQ1cWG_S2BOW94pDcyFtPwheg/edit#gid=0"",""'Game 10'!J25"")+50,IMPORTRANGE(""https://docs.google.com/spreadsheets/d/19gjAD4NwTXl_QoKUuwHQ1cWG_S2BOW94pDcy"&amp;"FtPwheg/edit#gid=0"",""'Game 10'!J25""))),IF(IMPORTRANGE(""https://docs.google.com/spreadsheets/d/19gjAD4NwTXl_QoKUuwHQ1cWG_S2BOW94pDcyFtPwheg/edit#gid=0"",""'Game 10'!J25"")&gt;IMPORTRANGE(""https://docs.google.com/spreadsheets/d/19gjAD4NwTXl_QoKUuwHQ1cWG_S"&amp;"2BOW94pDcyFtPwheg/edit#gid=0"",""'Game 10'!S25""),IMPORTRANGE(""https://docs.google.com/spreadsheets/d/19gjAD4NwTXl_QoKUuwHQ1cWG_S2BOW94pDcyFtPwheg/edit#gid=0"",""'Game 10'!S25""),IF(IMPORTRANGE(""https://docs.google.com/spreadsheets/d/19gjAD4NwTXl_QoKUuw"&amp;"HQ1cWG_S2BOW94pDcyFtPwheg/edit#gid=0"",""'Game 10'!J25"")=IMPORTRANGE(""https://docs.google.com/spreadsheets/d/19gjAD4NwTXl_QoKUuwHQ1cWG_S2BOW94pDcyFtPwheg/edit#gid=0"",""'Game 10'!S25""),IMPORTRANGE(""https://docs.google.com/spreadsheets/d/19gjAD4NwTXl_Q"&amp;"oKUuwHQ1cWG_S2BOW94pDcyFtPwheg/edit#gid=0"",""'Game 10'!S25"")+50,IMPORTRANGE(""https://docs.google.com/spreadsheets/d/19gjAD4NwTXl_QoKUuwHQ1cWG_S2BOW94pDcyFtPwheg/edit#gid=0"",""'Game 10'!S25"")+100)))"),12.0)</f>
        <v>12</v>
      </c>
      <c r="H15" s="12">
        <f>IFERROR(__xludf.DUMMYFUNCTION("IF($A15=IMPORTRANGE(""https://docs.google.com/spreadsheets/d/1l83w8bH-F1czkFOqsgQy6o8O33Jb4Pfg40W0ou2nk0k/edit#gid=0"",""'Game 12'!B1""),IF(IMPORTRANGE(""https://docs.google.com/spreadsheets/d/1l83w8bH-F1czkFOqsgQy6o8O33Jb4Pfg40W0ou2nk0k/edit#gid=0"",""'G"&amp;"ame 12'!J25"")&gt;IMPORTRANGE(""https://docs.google.com/spreadsheets/d/1l83w8bH-F1czkFOqsgQy6o8O33Jb4Pfg40W0ou2nk0k/edit#gid=0"",""'Game 12'!S25""),IMPORTRANGE(""https://docs.google.com/spreadsheets/d/1l83w8bH-F1czkFOqsgQy6o8O33Jb4Pfg40W0ou2nk0k/edit#gid=0"""&amp;",""'Game 12'!J25"")+100,IF(IMPORTRANGE(""https://docs.google.com/spreadsheets/d/1l83w8bH-F1czkFOqsgQy6o8O33Jb4Pfg40W0ou2nk0k/edit#gid=0"",""'Game 12'!J25"")=IMPORTRANGE(""https://docs.google.com/spreadsheets/d/1l83w8bH-F1czkFOqsgQy6o8O33Jb4Pfg40W0ou2nk0k/"&amp;"edit#gid=0"",""'Game 12'!S25""),IMPORTRANGE(""https://docs.google.com/spreadsheets/d/1l83w8bH-F1czkFOqsgQy6o8O33Jb4Pfg40W0ou2nk0k/edit#gid=0"",""'Game 12'!J25"")+50,IMPORTRANGE(""https://docs.google.com/spreadsheets/d/1l83w8bH-F1czkFOqsgQy6o8O33Jb4Pfg40W0"&amp;"ou2nk0k/edit#gid=0"",""'Game 12'!J25""))),IF(IMPORTRANGE(""https://docs.google.com/spreadsheets/d/1l83w8bH-F1czkFOqsgQy6o8O33Jb4Pfg40W0ou2nk0k/edit#gid=0"",""'Game 12'!J25"")&gt;IMPORTRANGE(""https://docs.google.com/spreadsheets/d/1l83w8bH-F1czkFOqsgQy6o8O33"&amp;"Jb4Pfg40W0ou2nk0k/edit#gid=0"",""'Game 12'!S25""),IMPORTRANGE(""https://docs.google.com/spreadsheets/d/1l83w8bH-F1czkFOqsgQy6o8O33Jb4Pfg40W0ou2nk0k/edit#gid=0"",""'Game 12'!S25""),IF(IMPORTRANGE(""https://docs.google.com/spreadsheets/d/1l83w8bH-F1czkFOqsg"&amp;"Qy6o8O33Jb4Pfg40W0ou2nk0k/edit#gid=0"",""'Game 12'!J25"")=IMPORTRANGE(""https://docs.google.com/spreadsheets/d/1l83w8bH-F1czkFOqsgQy6o8O33Jb4Pfg40W0ou2nk0k/edit#gid=0"",""'Game 12'!S25""),IMPORTRANGE(""https://docs.google.com/spreadsheets/d/1l83w8bH-F1czk"&amp;"FOqsgQy6o8O33Jb4Pfg40W0ou2nk0k/edit#gid=0"",""'Game 12'!S25"")+50,IMPORTRANGE(""https://docs.google.com/spreadsheets/d/1l83w8bH-F1czkFOqsgQy6o8O33Jb4Pfg40W0ou2nk0k/edit#gid=0"",""'Game 12'!S25"")+100)))"),164.0)</f>
        <v>164</v>
      </c>
      <c r="I15" s="12">
        <f>IFERROR(__xludf.DUMMYFUNCTION("IF($A15=IMPORTRANGE(""https://docs.google.com/spreadsheets/d/15X-ub7GvrCQZ3UGgyogcjwYdxG-Ng8WHxzGSj1Z3eLw/edit#gid=0"",""'Game 11'!B1""),IF(IMPORTRANGE(""https://docs.google.com/spreadsheets/d/15X-ub7GvrCQZ3UGgyogcjwYdxG-Ng8WHxzGSj1Z3eLw/edit#gid=0"",""'G"&amp;"ame 11'!J25"")&gt;IMPORTRANGE(""https://docs.google.com/spreadsheets/d/15X-ub7GvrCQZ3UGgyogcjwYdxG-Ng8WHxzGSj1Z3eLw/edit#gid=0"",""'Game 11'!S25""),IMPORTRANGE(""https://docs.google.com/spreadsheets/d/15X-ub7GvrCQZ3UGgyogcjwYdxG-Ng8WHxzGSj1Z3eLw/edit#gid=0"""&amp;",""'Game 11'!J25"")+100,IF(IMPORTRANGE(""https://docs.google.com/spreadsheets/d/15X-ub7GvrCQZ3UGgyogcjwYdxG-Ng8WHxzGSj1Z3eLw/edit#gid=0"",""'Game 11'!J25"")=IMPORTRANGE(""https://docs.google.com/spreadsheets/d/15X-ub7GvrCQZ3UGgyogcjwYdxG-Ng8WHxzGSj1Z3eLw/"&amp;"edit#gid=0"",""'Game 11'!S25""),IMPORTRANGE(""https://docs.google.com/spreadsheets/d/15X-ub7GvrCQZ3UGgyogcjwYdxG-Ng8WHxzGSj1Z3eLw/edit#gid=0"",""'Game 11'!J25"")+50,IMPORTRANGE(""https://docs.google.com/spreadsheets/d/15X-ub7GvrCQZ3UGgyogcjwYdxG-Ng8WHxzGS"&amp;"j1Z3eLw/edit#gid=0"",""'Game 11'!J25""))),IF(IMPORTRANGE(""https://docs.google.com/spreadsheets/d/15X-ub7GvrCQZ3UGgyogcjwYdxG-Ng8WHxzGSj1Z3eLw/edit#gid=0"",""'Game 11'!J25"")&gt;IMPORTRANGE(""https://docs.google.com/spreadsheets/d/15X-ub7GvrCQZ3UGgyogcjwYdxG"&amp;"-Ng8WHxzGSj1Z3eLw/edit#gid=0"",""'Game 11'!S25""),IMPORTRANGE(""https://docs.google.com/spreadsheets/d/15X-ub7GvrCQZ3UGgyogcjwYdxG-Ng8WHxzGSj1Z3eLw/edit#gid=0"",""'Game 11'!S25""),IF(IMPORTRANGE(""https://docs.google.com/spreadsheets/d/15X-ub7GvrCQZ3UGgyo"&amp;"gcjwYdxG-Ng8WHxzGSj1Z3eLw/edit#gid=0"",""'Game 11'!J25"")=IMPORTRANGE(""https://docs.google.com/spreadsheets/d/15X-ub7GvrCQZ3UGgyogcjwYdxG-Ng8WHxzGSj1Z3eLw/edit#gid=0"",""'Game 11'!S25""),IMPORTRANGE(""https://docs.google.com/spreadsheets/d/15X-ub7GvrCQZ3"&amp;"UGgyogcjwYdxG-Ng8WHxzGSj1Z3eLw/edit#gid=0"",""'Game 11'!S25"")+50,IMPORTRANGE(""https://docs.google.com/spreadsheets/d/15X-ub7GvrCQZ3UGgyogcjwYdxG-Ng8WHxzGSj1Z3eLw/edit#gid=0"",""'Game 11'!S25"")+100)))"),26.0)</f>
        <v>26</v>
      </c>
      <c r="J15" s="12">
        <f>IFERROR(__xludf.DUMMYFUNCTION("IF($A15=IMPORTRANGE(""https://docs.google.com/spreadsheets/d/194Bw3ABslPPhOOPvVoMzIk8sOQFICWBu2pydWdYMD-w/edit#gid=0"",""'Game 11'!B1""),IF(IMPORTRANGE(""https://docs.google.com/spreadsheets/d/194Bw3ABslPPhOOPvVoMzIk8sOQFICWBu2pydWdYMD-w/edit#gid=0"",""'G"&amp;"ame 11'!J25"")&gt;IMPORTRANGE(""https://docs.google.com/spreadsheets/d/194Bw3ABslPPhOOPvVoMzIk8sOQFICWBu2pydWdYMD-w/edit#gid=0"",""'Game 11'!S25""),IMPORTRANGE(""https://docs.google.com/spreadsheets/d/194Bw3ABslPPhOOPvVoMzIk8sOQFICWBu2pydWdYMD-w/edit#gid=0"""&amp;",""'Game 11'!J25"")+100,IF(IMPORTRANGE(""https://docs.google.com/spreadsheets/d/194Bw3ABslPPhOOPvVoMzIk8sOQFICWBu2pydWdYMD-w/edit#gid=0"",""'Game 11'!J25"")=IMPORTRANGE(""https://docs.google.com/spreadsheets/d/194Bw3ABslPPhOOPvVoMzIk8sOQFICWBu2pydWdYMD-w/"&amp;"edit#gid=0"",""'Game 11'!S25""),IMPORTRANGE(""https://docs.google.com/spreadsheets/d/194Bw3ABslPPhOOPvVoMzIk8sOQFICWBu2pydWdYMD-w/edit#gid=0"",""'Game 11'!J25"")+50,IMPORTRANGE(""https://docs.google.com/spreadsheets/d/194Bw3ABslPPhOOPvVoMzIk8sOQFICWBu2pyd"&amp;"WdYMD-w/edit#gid=0"",""'Game 11'!J25""))),IF(IMPORTRANGE(""https://docs.google.com/spreadsheets/d/194Bw3ABslPPhOOPvVoMzIk8sOQFICWBu2pydWdYMD-w/edit#gid=0"",""'Game 11'!J25"")&gt;IMPORTRANGE(""https://docs.google.com/spreadsheets/d/194Bw3ABslPPhOOPvVoMzIk8sOQ"&amp;"FICWBu2pydWdYMD-w/edit#gid=0"",""'Game 11'!S25""),IMPORTRANGE(""https://docs.google.com/spreadsheets/d/194Bw3ABslPPhOOPvVoMzIk8sOQFICWBu2pydWdYMD-w/edit#gid=0"",""'Game 11'!S25""),IF(IMPORTRANGE(""https://docs.google.com/spreadsheets/d/194Bw3ABslPPhOOPvVo"&amp;"MzIk8sOQFICWBu2pydWdYMD-w/edit#gid=0"",""'Game 11'!J25"")=IMPORTRANGE(""https://docs.google.com/spreadsheets/d/194Bw3ABslPPhOOPvVoMzIk8sOQFICWBu2pydWdYMD-w/edit#gid=0"",""'Game 11'!S25""),IMPORTRANGE(""https://docs.google.com/spreadsheets/d/194Bw3ABslPPhO"&amp;"OPvVoMzIk8sOQFICWBu2pydWdYMD-w/edit#gid=0"",""'Game 11'!S25"")+50,IMPORTRANGE(""https://docs.google.com/spreadsheets/d/194Bw3ABslPPhOOPvVoMzIk8sOQFICWBu2pydWdYMD-w/edit#gid=0"",""'Game 11'!S25"")+100)))"),180.0)</f>
        <v>180</v>
      </c>
      <c r="K15" s="12">
        <f>IFERROR(__xludf.DUMMYFUNCTION("IF($A15=IMPORTRANGE(""https://docs.google.com/spreadsheets/d/1F2Bi6K_I1K9xRxY5qb-bNRo5m-Kw7udpF1OaTHhrxjs/edit#gid=0"",""'Game 12'!B1""),IF(IMPORTRANGE(""https://docs.google.com/spreadsheets/d/1F2Bi6K_I1K9xRxY5qb-bNRo5m-Kw7udpF1OaTHhrxjs/edit#gid=0"",""'G"&amp;"ame 12'!J25"")&gt;IMPORTRANGE(""https://docs.google.com/spreadsheets/d/1F2Bi6K_I1K9xRxY5qb-bNRo5m-Kw7udpF1OaTHhrxjs/edit#gid=0"",""'Game 12'!S25""),IMPORTRANGE(""https://docs.google.com/spreadsheets/d/1F2Bi6K_I1K9xRxY5qb-bNRo5m-Kw7udpF1OaTHhrxjs/edit#gid=0"""&amp;",""'Game 12'!J25"")+100,IF(IMPORTRANGE(""https://docs.google.com/spreadsheets/d/1F2Bi6K_I1K9xRxY5qb-bNRo5m-Kw7udpF1OaTHhrxjs/edit#gid=0"",""'Game 12'!J25"")=IMPORTRANGE(""https://docs.google.com/spreadsheets/d/1F2Bi6K_I1K9xRxY5qb-bNRo5m-Kw7udpF1OaTHhrxjs/"&amp;"edit#gid=0"",""'Game 12'!S25""),IMPORTRANGE(""https://docs.google.com/spreadsheets/d/1F2Bi6K_I1K9xRxY5qb-bNRo5m-Kw7udpF1OaTHhrxjs/edit#gid=0"",""'Game 12'!J25"")+50,IMPORTRANGE(""https://docs.google.com/spreadsheets/d/1F2Bi6K_I1K9xRxY5qb-bNRo5m-Kw7udpF1Oa"&amp;"THhrxjs/edit#gid=0"",""'Game 12'!J25""))),IF(IMPORTRANGE(""https://docs.google.com/spreadsheets/d/1F2Bi6K_I1K9xRxY5qb-bNRo5m-Kw7udpF1OaTHhrxjs/edit#gid=0"",""'Game 12'!J25"")&gt;IMPORTRANGE(""https://docs.google.com/spreadsheets/d/1F2Bi6K_I1K9xRxY5qb-bNRo5m-"&amp;"Kw7udpF1OaTHhrxjs/edit#gid=0"",""'Game 12'!S25""),IMPORTRANGE(""https://docs.google.com/spreadsheets/d/1F2Bi6K_I1K9xRxY5qb-bNRo5m-Kw7udpF1OaTHhrxjs/edit#gid=0"",""'Game 12'!S25""),IF(IMPORTRANGE(""https://docs.google.com/spreadsheets/d/1F2Bi6K_I1K9xRxY5qb"&amp;"-bNRo5m-Kw7udpF1OaTHhrxjs/edit#gid=0"",""'Game 12'!J25"")=IMPORTRANGE(""https://docs.google.com/spreadsheets/d/1F2Bi6K_I1K9xRxY5qb-bNRo5m-Kw7udpF1OaTHhrxjs/edit#gid=0"",""'Game 12'!S25""),IMPORTRANGE(""https://docs.google.com/spreadsheets/d/1F2Bi6K_I1K9xR"&amp;"xY5qb-bNRo5m-Kw7udpF1OaTHhrxjs/edit#gid=0"",""'Game 12'!S25"")+50,IMPORTRANGE(""https://docs.google.com/spreadsheets/d/1F2Bi6K_I1K9xRxY5qb-bNRo5m-Kw7udpF1OaTHhrxjs/edit#gid=0"",""'Game 12'!S25"")+100)))"),44.0)</f>
        <v>44</v>
      </c>
      <c r="L15" s="12">
        <f>IFERROR(__xludf.DUMMYFUNCTION("IF($A15=IMPORTRANGE(""https://docs.google.com/spreadsheets/d/1NDNgi_Ny4dRhc2A3UMIIkalN-V6EmsvxOfDzMRQlQ40/edit#gid=0"",""'Game 5'!B1""),IF(IMPORTRANGE(""https://docs.google.com/spreadsheets/d/1NDNgi_Ny4dRhc2A3UMIIkalN-V6EmsvxOfDzMRQlQ40/edit#gid=0"",""'Ga"&amp;"me 5'!J25"")&gt;IMPORTRANGE(""https://docs.google.com/spreadsheets/d/1NDNgi_Ny4dRhc2A3UMIIkalN-V6EmsvxOfDzMRQlQ40/edit#gid=0"",""'Game 5'!S25""),IMPORTRANGE(""https://docs.google.com/spreadsheets/d/1NDNgi_Ny4dRhc2A3UMIIkalN-V6EmsvxOfDzMRQlQ40/edit#gid=0"","""&amp;"'Game 5'!J25"")+100,IF(IMPORTRANGE(""https://docs.google.com/spreadsheets/d/1NDNgi_Ny4dRhc2A3UMIIkalN-V6EmsvxOfDzMRQlQ40/edit#gid=0"",""'Game 5'!J25"")=IMPORTRANGE(""https://docs.google.com/spreadsheets/d/1NDNgi_Ny4dRhc2A3UMIIkalN-V6EmsvxOfDzMRQlQ40/edit#"&amp;"gid=0"",""'Game 5'!S25""),IMPORTRANGE(""https://docs.google.com/spreadsheets/d/1NDNgi_Ny4dRhc2A3UMIIkalN-V6EmsvxOfDzMRQlQ40/edit#gid=0"",""'Game 5'!J25"")+50,IMPORTRANGE(""https://docs.google.com/spreadsheets/d/1NDNgi_Ny4dRhc2A3UMIIkalN-V6EmsvxOfDzMRQlQ40"&amp;"/edit#gid=0"",""'Game 5'!J25""))),IF(IMPORTRANGE(""https://docs.google.com/spreadsheets/d/1NDNgi_Ny4dRhc2A3UMIIkalN-V6EmsvxOfDzMRQlQ40/edit#gid=0"",""'Game 5'!J25"")&gt;IMPORTRANGE(""https://docs.google.com/spreadsheets/d/1NDNgi_Ny4dRhc2A3UMIIkalN-V6EmsvxOfD"&amp;"zMRQlQ40/edit#gid=0"",""'Game 5'!S25""),IMPORTRANGE(""https://docs.google.com/spreadsheets/d/1NDNgi_Ny4dRhc2A3UMIIkalN-V6EmsvxOfDzMRQlQ40/edit#gid=0"",""'Game 5'!S25""),IF(IMPORTRANGE(""https://docs.google.com/spreadsheets/d/1NDNgi_Ny4dRhc2A3UMIIkalN-V6Em"&amp;"svxOfDzMRQlQ40/edit#gid=0"",""'Game 5'!J25"")=IMPORTRANGE(""https://docs.google.com/spreadsheets/d/1NDNgi_Ny4dRhc2A3UMIIkalN-V6EmsvxOfDzMRQlQ40/edit#gid=0"",""'Game 5'!S25""),IMPORTRANGE(""https://docs.google.com/spreadsheets/d/1NDNgi_Ny4dRhc2A3UMIIkalN-V"&amp;"6EmsvxOfDzMRQlQ40/edit#gid=0"",""'Game 5'!S25"")+50,IMPORTRANGE(""https://docs.google.com/spreadsheets/d/1NDNgi_Ny4dRhc2A3UMIIkalN-V6EmsvxOfDzMRQlQ40/edit#gid=0"",""'Game 5'!S25"")+100)))"),8.0)</f>
        <v>8</v>
      </c>
      <c r="M15" s="12">
        <f>IFERROR(__xludf.DUMMYFUNCTION("IF($A15=IMPORTRANGE(""https://docs.google.com/spreadsheets/d/1UDYA3-RrkJNLa2ZLH1NnUjKyfCoiSODmgVL_Au_zt-Y/edit#gid=0"",""'Game 11'!B1""),IF(IMPORTRANGE(""https://docs.google.com/spreadsheets/d/1UDYA3-RrkJNLa2ZLH1NnUjKyfCoiSODmgVL_Au_zt-Y/edit#gid=0"",""'G"&amp;"ame 11'!J25"")&gt;IMPORTRANGE(""https://docs.google.com/spreadsheets/d/1UDYA3-RrkJNLa2ZLH1NnUjKyfCoiSODmgVL_Au_zt-Y/edit#gid=0"",""'Game 11'!S25""),IMPORTRANGE(""https://docs.google.com/spreadsheets/d/1UDYA3-RrkJNLa2ZLH1NnUjKyfCoiSODmgVL_Au_zt-Y/edit#gid=0"""&amp;",""'Game 11'!J25"")+100,IF(IMPORTRANGE(""https://docs.google.com/spreadsheets/d/1UDYA3-RrkJNLa2ZLH1NnUjKyfCoiSODmgVL_Au_zt-Y/edit#gid=0"",""'Game 11'!J25"")=IMPORTRANGE(""https://docs.google.com/spreadsheets/d/1UDYA3-RrkJNLa2ZLH1NnUjKyfCoiSODmgVL_Au_zt-Y/"&amp;"edit#gid=0"",""'Game 11'!S25""),IMPORTRANGE(""https://docs.google.com/spreadsheets/d/1UDYA3-RrkJNLa2ZLH1NnUjKyfCoiSODmgVL_Au_zt-Y/edit#gid=0"",""'Game 11'!J25"")+50,IMPORTRANGE(""https://docs.google.com/spreadsheets/d/1UDYA3-RrkJNLa2ZLH1NnUjKyfCoiSODmgVL_"&amp;"Au_zt-Y/edit#gid=0"",""'Game 11'!J25""))),IF(IMPORTRANGE(""https://docs.google.com/spreadsheets/d/1UDYA3-RrkJNLa2ZLH1NnUjKyfCoiSODmgVL_Au_zt-Y/edit#gid=0"",""'Game 11'!J25"")&gt;IMPORTRANGE(""https://docs.google.com/spreadsheets/d/1UDYA3-RrkJNLa2ZLH1NnUjKyfC"&amp;"oiSODmgVL_Au_zt-Y/edit#gid=0"",""'Game 11'!S25""),IMPORTRANGE(""https://docs.google.com/spreadsheets/d/1UDYA3-RrkJNLa2ZLH1NnUjKyfCoiSODmgVL_Au_zt-Y/edit#gid=0"",""'Game 11'!S25""),IF(IMPORTRANGE(""https://docs.google.com/spreadsheets/d/1UDYA3-RrkJNLa2ZLH1"&amp;"NnUjKyfCoiSODmgVL_Au_zt-Y/edit#gid=0"",""'Game 11'!J25"")=IMPORTRANGE(""https://docs.google.com/spreadsheets/d/1UDYA3-RrkJNLa2ZLH1NnUjKyfCoiSODmgVL_Au_zt-Y/edit#gid=0"",""'Game 11'!S25""),IMPORTRANGE(""https://docs.google.com/spreadsheets/d/1UDYA3-RrkJNLa"&amp;"2ZLH1NnUjKyfCoiSODmgVL_Au_zt-Y/edit#gid=0"",""'Game 11'!S25"")+50,IMPORTRANGE(""https://docs.google.com/spreadsheets/d/1UDYA3-RrkJNLa2ZLH1NnUjKyfCoiSODmgVL_Au_zt-Y/edit#gid=0"",""'Game 11'!S25"")+100)))"),46.0)</f>
        <v>46</v>
      </c>
      <c r="N15" s="12">
        <f>IFERROR(__xludf.DUMMYFUNCTION("IF($A15=IMPORTRANGE(""https://docs.google.com/spreadsheets/d/1UDYA3-RrkJNLa2ZLH1NnUjKyfCoiSODmgVL_Au_zt-Y/edit#gid=0"",""'Game 11'!B1""),IF(IMPORTRANGE(""https://docs.google.com/spreadsheets/d/1UDYA3-RrkJNLa2ZLH1NnUjKyfCoiSODmgVL_Au_zt-Y/edit#gid=0"",""'G"&amp;"ame 11'!J25"")&gt;IMPORTRANGE(""https://docs.google.com/spreadsheets/d/1UDYA3-RrkJNLa2ZLH1NnUjKyfCoiSODmgVL_Au_zt-Y/edit#gid=0"",""'Game 11'!S25""),IMPORTRANGE(""https://docs.google.com/spreadsheets/d/1UDYA3-RrkJNLa2ZLH1NnUjKyfCoiSODmgVL_Au_zt-Y/edit#gid=0"""&amp;",""'Game 11'!J25"")+100,IF(IMPORTRANGE(""https://docs.google.com/spreadsheets/d/1UDYA3-RrkJNLa2ZLH1NnUjKyfCoiSODmgVL_Au_zt-Y/edit#gid=0"",""'Game 11'!J25"")=IMPORTRANGE(""https://docs.google.com/spreadsheets/d/1UDYA3-RrkJNLa2ZLH1NnUjKyfCoiSODmgVL_Au_zt-Y/"&amp;"edit#gid=0"",""'Game 11'!S25""),IMPORTRANGE(""https://docs.google.com/spreadsheets/d/1UDYA3-RrkJNLa2ZLH1NnUjKyfCoiSODmgVL_Au_zt-Y/edit#gid=0"",""'Game 11'!J25"")+50,IMPORTRANGE(""https://docs.google.com/spreadsheets/d/1UDYA3-RrkJNLa2ZLH1NnUjKyfCoiSODmgVL_"&amp;"Au_zt-Y/edit#gid=0"",""'Game 11'!J25""))),IF(IMPORTRANGE(""https://docs.google.com/spreadsheets/d/1UDYA3-RrkJNLa2ZLH1NnUjKyfCoiSODmgVL_Au_zt-Y/edit#gid=0"",""'Game 11'!J25"")&gt;IMPORTRANGE(""https://docs.google.com/spreadsheets/d/1UDYA3-RrkJNLa2ZLH1NnUjKyfC"&amp;"oiSODmgVL_Au_zt-Y/edit#gid=0"",""'Game 11'!S25""),IMPORTRANGE(""https://docs.google.com/spreadsheets/d/1UDYA3-RrkJNLa2ZLH1NnUjKyfCoiSODmgVL_Au_zt-Y/edit#gid=0"",""'Game 11'!S25""),IF(IMPORTRANGE(""https://docs.google.com/spreadsheets/d/1UDYA3-RrkJNLa2ZLH1"&amp;"NnUjKyfCoiSODmgVL_Au_zt-Y/edit#gid=0"",""'Game 11'!J25"")=IMPORTRANGE(""https://docs.google.com/spreadsheets/d/1UDYA3-RrkJNLa2ZLH1NnUjKyfCoiSODmgVL_Au_zt-Y/edit#gid=0"",""'Game 11'!S25""),IMPORTRANGE(""https://docs.google.com/spreadsheets/d/1UDYA3-RrkJNLa"&amp;"2ZLH1NnUjKyfCoiSODmgVL_Au_zt-Y/edit#gid=0"",""'Game 11'!S25"")+50,IMPORTRANGE(""https://docs.google.com/spreadsheets/d/1UDYA3-RrkJNLa2ZLH1NnUjKyfCoiSODmgVL_Au_zt-Y/edit#gid=0"",""'Game 11'!S25"")+100)))"),46.0)</f>
        <v>46</v>
      </c>
      <c r="O15" s="12">
        <f>IFERROR(__xludf.DUMMYFUNCTION("IF($A15=IMPORTRANGE(""https://docs.google.com/spreadsheets/d/1wfQePArl-A-5QJe5xAufoOnzeNLVSoHCRcmpZ_FMdns/edit#gid=0"",""'Game 10'!B1""),IF(IMPORTRANGE(""https://docs.google.com/spreadsheets/d/1wfQePArl-A-5QJe5xAufoOnzeNLVSoHCRcmpZ_FMdns/edit#gid=0"",""'G"&amp;"ame 10'!J25"")&gt;IMPORTRANGE(""https://docs.google.com/spreadsheets/d/1wfQePArl-A-5QJe5xAufoOnzeNLVSoHCRcmpZ_FMdns/edit#gid=0"",""'Game 10'!S25""),IMPORTRANGE(""https://docs.google.com/spreadsheets/d/1wfQePArl-A-5QJe5xAufoOnzeNLVSoHCRcmpZ_FMdns/edit#gid=0"""&amp;",""'Game 10'!J25"")+100,IF(IMPORTRANGE(""https://docs.google.com/spreadsheets/d/1wfQePArl-A-5QJe5xAufoOnzeNLVSoHCRcmpZ_FMdns/edit#gid=0"",""'Game 10'!J25"")=IMPORTRANGE(""https://docs.google.com/spreadsheets/d/1wfQePArl-A-5QJe5xAufoOnzeNLVSoHCRcmpZ_FMdns/"&amp;"edit#gid=0"",""'Game 10'!S25""),IMPORTRANGE(""https://docs.google.com/spreadsheets/d/1wfQePArl-A-5QJe5xAufoOnzeNLVSoHCRcmpZ_FMdns/edit#gid=0"",""'Game 10'!J25"")+50,IMPORTRANGE(""https://docs.google.com/spreadsheets/d/1wfQePArl-A-5QJe5xAufoOnzeNLVSoHCRcmp"&amp;"Z_FMdns/edit#gid=0"",""'Game 10'!J25""))),IF(IMPORTRANGE(""https://docs.google.com/spreadsheets/d/1wfQePArl-A-5QJe5xAufoOnzeNLVSoHCRcmpZ_FMdns/edit#gid=0"",""'Game 10'!J25"")&gt;IMPORTRANGE(""https://docs.google.com/spreadsheets/d/1wfQePArl-A-5QJe5xAufoOnzeN"&amp;"LVSoHCRcmpZ_FMdns/edit#gid=0"",""'Game 10'!S25""),IMPORTRANGE(""https://docs.google.com/spreadsheets/d/1wfQePArl-A-5QJe5xAufoOnzeNLVSoHCRcmpZ_FMdns/edit#gid=0"",""'Game 10'!S25""),IF(IMPORTRANGE(""https://docs.google.com/spreadsheets/d/1wfQePArl-A-5QJe5xA"&amp;"ufoOnzeNLVSoHCRcmpZ_FMdns/edit#gid=0"",""'Game 10'!J25"")=IMPORTRANGE(""https://docs.google.com/spreadsheets/d/1wfQePArl-A-5QJe5xAufoOnzeNLVSoHCRcmpZ_FMdns/edit#gid=0"",""'Game 10'!S25""),IMPORTRANGE(""https://docs.google.com/spreadsheets/d/1wfQePArl-A-5Q"&amp;"Je5xAufoOnzeNLVSoHCRcmpZ_FMdns/edit#gid=0"",""'Game 10'!S25"")+50,IMPORTRANGE(""https://docs.google.com/spreadsheets/d/1wfQePArl-A-5QJe5xAufoOnzeNLVSoHCRcmpZ_FMdns/edit#gid=0"",""'Game 10'!S25"")+100)))"),176.0)</f>
        <v>176</v>
      </c>
      <c r="P15" s="12">
        <f>IFERROR(__xludf.DUMMYFUNCTION("IF($A15=IMPORTRANGE(""https://docs.google.com/spreadsheets/d/1wydNznS0hZhVh3oGSdiCZSsReuqMT7Xaw718ix58zAI/edit#gid=0"",""'Game 9'!B1""),IF(IMPORTRANGE(""https://docs.google.com/spreadsheets/d/1wydNznS0hZhVh3oGSdiCZSsReuqMT7Xaw718ix58zAI/edit#gid=0"",""'Ga"&amp;"me 9'!J25"")&gt;IMPORTRANGE(""https://docs.google.com/spreadsheets/d/1wydNznS0hZhVh3oGSdiCZSsReuqMT7Xaw718ix58zAI/edit#gid=0"",""'Game 9'!S25""),IMPORTRANGE(""https://docs.google.com/spreadsheets/d/1wydNznS0hZhVh3oGSdiCZSsReuqMT7Xaw718ix58zAI/edit#gid=0"","""&amp;"'Game 9'!J25"")+100,IF(IMPORTRANGE(""https://docs.google.com/spreadsheets/d/1wydNznS0hZhVh3oGSdiCZSsReuqMT7Xaw718ix58zAI/edit#gid=0"",""'Game 9'!J25"")=IMPORTRANGE(""https://docs.google.com/spreadsheets/d/1wydNznS0hZhVh3oGSdiCZSsReuqMT7Xaw718ix58zAI/edit#"&amp;"gid=0"",""'Game 9'!S25""),IMPORTRANGE(""https://docs.google.com/spreadsheets/d/1wydNznS0hZhVh3oGSdiCZSsReuqMT7Xaw718ix58zAI/edit#gid=0"",""'Game 9'!J25"")+50,IMPORTRANGE(""https://docs.google.com/spreadsheets/d/1wydNznS0hZhVh3oGSdiCZSsReuqMT7Xaw718ix58zAI"&amp;"/edit#gid=0"",""'Game 9'!J25""))),IF(IMPORTRANGE(""https://docs.google.com/spreadsheets/d/1wydNznS0hZhVh3oGSdiCZSsReuqMT7Xaw718ix58zAI/edit#gid=0"",""'Game 9'!J25"")&gt;IMPORTRANGE(""https://docs.google.com/spreadsheets/d/1wydNznS0hZhVh3oGSdiCZSsReuqMT7Xaw71"&amp;"8ix58zAI/edit#gid=0"",""'Game 9'!S25""),IMPORTRANGE(""https://docs.google.com/spreadsheets/d/1wydNznS0hZhVh3oGSdiCZSsReuqMT7Xaw718ix58zAI/edit#gid=0"",""'Game 9'!S25""),IF(IMPORTRANGE(""https://docs.google.com/spreadsheets/d/1wydNznS0hZhVh3oGSdiCZSsReuqMT"&amp;"7Xaw718ix58zAI/edit#gid=0"",""'Game 9'!J25"")=IMPORTRANGE(""https://docs.google.com/spreadsheets/d/1wydNznS0hZhVh3oGSdiCZSsReuqMT7Xaw718ix58zAI/edit#gid=0"",""'Game 9'!S25""),IMPORTRANGE(""https://docs.google.com/spreadsheets/d/1wydNznS0hZhVh3oGSdiCZSsReu"&amp;"qMT7Xaw718ix58zAI/edit#gid=0"",""'Game 9'!S25"")+50,IMPORTRANGE(""https://docs.google.com/spreadsheets/d/1wydNznS0hZhVh3oGSdiCZSsReuqMT7Xaw718ix58zAI/edit#gid=0"",""'Game 9'!S25"")+100)))"),24.0)</f>
        <v>24</v>
      </c>
      <c r="Q15" s="37">
        <f t="shared" si="1"/>
        <v>1354</v>
      </c>
      <c r="R15" s="37">
        <f t="shared" si="2"/>
        <v>16</v>
      </c>
    </row>
    <row r="16">
      <c r="A16" s="33" t="s">
        <v>200</v>
      </c>
      <c r="B16" s="34">
        <v>170.0</v>
      </c>
      <c r="C16" s="34">
        <v>24.0</v>
      </c>
      <c r="D16" s="34">
        <v>26.0</v>
      </c>
      <c r="E16" s="34">
        <v>6.0</v>
      </c>
      <c r="F16" s="34">
        <v>44.0</v>
      </c>
      <c r="G16" s="5">
        <f>IFERROR(__xludf.DUMMYFUNCTION("IF($A16=IMPORTRANGE(""https://docs.google.com/spreadsheets/d/19gjAD4NwTXl_QoKUuwHQ1cWG_S2BOW94pDcyFtPwheg/edit#gid=0"",""'Game 11'!B1""),IF(IMPORTRANGE(""https://docs.google.com/spreadsheets/d/19gjAD4NwTXl_QoKUuwHQ1cWG_S2BOW94pDcyFtPwheg/edit#gid=0"",""'G"&amp;"ame 11'!J25"")&gt;IMPORTRANGE(""https://docs.google.com/spreadsheets/d/19gjAD4NwTXl_QoKUuwHQ1cWG_S2BOW94pDcyFtPwheg/edit#gid=0"",""'Game 11'!S25""),IMPORTRANGE(""https://docs.google.com/spreadsheets/d/19gjAD4NwTXl_QoKUuwHQ1cWG_S2BOW94pDcyFtPwheg/edit#gid=0"""&amp;",""'Game 11'!J25"")+100,IF(IMPORTRANGE(""https://docs.google.com/spreadsheets/d/19gjAD4NwTXl_QoKUuwHQ1cWG_S2BOW94pDcyFtPwheg/edit#gid=0"",""'Game 11'!J25"")=IMPORTRANGE(""https://docs.google.com/spreadsheets/d/19gjAD4NwTXl_QoKUuwHQ1cWG_S2BOW94pDcyFtPwheg/"&amp;"edit#gid=0"",""'Game 11'!S25""),IMPORTRANGE(""https://docs.google.com/spreadsheets/d/19gjAD4NwTXl_QoKUuwHQ1cWG_S2BOW94pDcyFtPwheg/edit#gid=0"",""'Game 11'!J25"")+50,IMPORTRANGE(""https://docs.google.com/spreadsheets/d/19gjAD4NwTXl_QoKUuwHQ1cWG_S2BOW94pDcy"&amp;"FtPwheg/edit#gid=0"",""'Game 11'!J25""))),IF(IMPORTRANGE(""https://docs.google.com/spreadsheets/d/19gjAD4NwTXl_QoKUuwHQ1cWG_S2BOW94pDcyFtPwheg/edit#gid=0"",""'Game 11'!J25"")&gt;IMPORTRANGE(""https://docs.google.com/spreadsheets/d/19gjAD4NwTXl_QoKUuwHQ1cWG_S"&amp;"2BOW94pDcyFtPwheg/edit#gid=0"",""'Game 11'!S25""),IMPORTRANGE(""https://docs.google.com/spreadsheets/d/19gjAD4NwTXl_QoKUuwHQ1cWG_S2BOW94pDcyFtPwheg/edit#gid=0"",""'Game 11'!S25""),IF(IMPORTRANGE(""https://docs.google.com/spreadsheets/d/19gjAD4NwTXl_QoKUuw"&amp;"HQ1cWG_S2BOW94pDcyFtPwheg/edit#gid=0"",""'Game 11'!J25"")=IMPORTRANGE(""https://docs.google.com/spreadsheets/d/19gjAD4NwTXl_QoKUuwHQ1cWG_S2BOW94pDcyFtPwheg/edit#gid=0"",""'Game 11'!S25""),IMPORTRANGE(""https://docs.google.com/spreadsheets/d/19gjAD4NwTXl_Q"&amp;"oKUuwHQ1cWG_S2BOW94pDcyFtPwheg/edit#gid=0"",""'Game 11'!S25"")+50,IMPORTRANGE(""https://docs.google.com/spreadsheets/d/19gjAD4NwTXl_QoKUuwHQ1cWG_S2BOW94pDcyFtPwheg/edit#gid=0"",""'Game 11'!S25"")+100)))"),180.0)</f>
        <v>180</v>
      </c>
      <c r="H16" s="5">
        <f>IFERROR(__xludf.DUMMYFUNCTION("IF($A16=IMPORTRANGE(""https://docs.google.com/spreadsheets/d/1l83w8bH-F1czkFOqsgQy6o8O33Jb4Pfg40W0ou2nk0k/edit#gid=0"",""'Game 9'!B1""),IF(IMPORTRANGE(""https://docs.google.com/spreadsheets/d/1l83w8bH-F1czkFOqsgQy6o8O33Jb4Pfg40W0ou2nk0k/edit#gid=0"",""'Ga"&amp;"me 9'!J25"")&gt;IMPORTRANGE(""https://docs.google.com/spreadsheets/d/1l83w8bH-F1czkFOqsgQy6o8O33Jb4Pfg40W0ou2nk0k/edit#gid=0"",""'Game 9'!S25""),IMPORTRANGE(""https://docs.google.com/spreadsheets/d/1l83w8bH-F1czkFOqsgQy6o8O33Jb4Pfg40W0ou2nk0k/edit#gid=0"","""&amp;"'Game 9'!J25"")+100,IF(IMPORTRANGE(""https://docs.google.com/spreadsheets/d/1l83w8bH-F1czkFOqsgQy6o8O33Jb4Pfg40W0ou2nk0k/edit#gid=0"",""'Game 9'!J25"")=IMPORTRANGE(""https://docs.google.com/spreadsheets/d/1l83w8bH-F1czkFOqsgQy6o8O33Jb4Pfg40W0ou2nk0k/edit#"&amp;"gid=0"",""'Game 9'!S25""),IMPORTRANGE(""https://docs.google.com/spreadsheets/d/1l83w8bH-F1czkFOqsgQy6o8O33Jb4Pfg40W0ou2nk0k/edit#gid=0"",""'Game 9'!J25"")+50,IMPORTRANGE(""https://docs.google.com/spreadsheets/d/1l83w8bH-F1czkFOqsgQy6o8O33Jb4Pfg40W0ou2nk0k"&amp;"/edit#gid=0"",""'Game 9'!J25""))),IF(IMPORTRANGE(""https://docs.google.com/spreadsheets/d/1l83w8bH-F1czkFOqsgQy6o8O33Jb4Pfg40W0ou2nk0k/edit#gid=0"",""'Game 9'!J25"")&gt;IMPORTRANGE(""https://docs.google.com/spreadsheets/d/1l83w8bH-F1czkFOqsgQy6o8O33Jb4Pfg40W"&amp;"0ou2nk0k/edit#gid=0"",""'Game 9'!S25""),IMPORTRANGE(""https://docs.google.com/spreadsheets/d/1l83w8bH-F1czkFOqsgQy6o8O33Jb4Pfg40W0ou2nk0k/edit#gid=0"",""'Game 9'!S25""),IF(IMPORTRANGE(""https://docs.google.com/spreadsheets/d/1l83w8bH-F1czkFOqsgQy6o8O33Jb4"&amp;"Pfg40W0ou2nk0k/edit#gid=0"",""'Game 9'!J25"")=IMPORTRANGE(""https://docs.google.com/spreadsheets/d/1l83w8bH-F1czkFOqsgQy6o8O33Jb4Pfg40W0ou2nk0k/edit#gid=0"",""'Game 9'!S25""),IMPORTRANGE(""https://docs.google.com/spreadsheets/d/1l83w8bH-F1czkFOqsgQy6o8O33"&amp;"Jb4Pfg40W0ou2nk0k/edit#gid=0"",""'Game 9'!S25"")+50,IMPORTRANGE(""https://docs.google.com/spreadsheets/d/1l83w8bH-F1czkFOqsgQy6o8O33Jb4Pfg40W0ou2nk0k/edit#gid=0"",""'Game 9'!S25"")+100)))"),24.0)</f>
        <v>24</v>
      </c>
      <c r="I16" s="5">
        <f>IFERROR(__xludf.DUMMYFUNCTION("IF($A16=IMPORTRANGE(""https://docs.google.com/spreadsheets/d/15X-ub7GvrCQZ3UGgyogcjwYdxG-Ng8WHxzGSj1Z3eLw/edit#gid=0"",""'Game 12'!B1""),IF(IMPORTRANGE(""https://docs.google.com/spreadsheets/d/15X-ub7GvrCQZ3UGgyogcjwYdxG-Ng8WHxzGSj1Z3eLw/edit#gid=0"",""'G"&amp;"ame 12'!J25"")&gt;IMPORTRANGE(""https://docs.google.com/spreadsheets/d/15X-ub7GvrCQZ3UGgyogcjwYdxG-Ng8WHxzGSj1Z3eLw/edit#gid=0"",""'Game 12'!S25""),IMPORTRANGE(""https://docs.google.com/spreadsheets/d/15X-ub7GvrCQZ3UGgyogcjwYdxG-Ng8WHxzGSj1Z3eLw/edit#gid=0"""&amp;",""'Game 12'!J25"")+100,IF(IMPORTRANGE(""https://docs.google.com/spreadsheets/d/15X-ub7GvrCQZ3UGgyogcjwYdxG-Ng8WHxzGSj1Z3eLw/edit#gid=0"",""'Game 12'!J25"")=IMPORTRANGE(""https://docs.google.com/spreadsheets/d/15X-ub7GvrCQZ3UGgyogcjwYdxG-Ng8WHxzGSj1Z3eLw/"&amp;"edit#gid=0"",""'Game 12'!S25""),IMPORTRANGE(""https://docs.google.com/spreadsheets/d/15X-ub7GvrCQZ3UGgyogcjwYdxG-Ng8WHxzGSj1Z3eLw/edit#gid=0"",""'Game 12'!J25"")+50,IMPORTRANGE(""https://docs.google.com/spreadsheets/d/15X-ub7GvrCQZ3UGgyogcjwYdxG-Ng8WHxzGS"&amp;"j1Z3eLw/edit#gid=0"",""'Game 12'!J25""))),IF(IMPORTRANGE(""https://docs.google.com/spreadsheets/d/15X-ub7GvrCQZ3UGgyogcjwYdxG-Ng8WHxzGSj1Z3eLw/edit#gid=0"",""'Game 12'!J25"")&gt;IMPORTRANGE(""https://docs.google.com/spreadsheets/d/15X-ub7GvrCQZ3UGgyogcjwYdxG"&amp;"-Ng8WHxzGSj1Z3eLw/edit#gid=0"",""'Game 12'!S25""),IMPORTRANGE(""https://docs.google.com/spreadsheets/d/15X-ub7GvrCQZ3UGgyogcjwYdxG-Ng8WHxzGSj1Z3eLw/edit#gid=0"",""'Game 12'!S25""),IF(IMPORTRANGE(""https://docs.google.com/spreadsheets/d/15X-ub7GvrCQZ3UGgyo"&amp;"gcjwYdxG-Ng8WHxzGSj1Z3eLw/edit#gid=0"",""'Game 12'!J25"")=IMPORTRANGE(""https://docs.google.com/spreadsheets/d/15X-ub7GvrCQZ3UGgyogcjwYdxG-Ng8WHxzGSj1Z3eLw/edit#gid=0"",""'Game 12'!S25""),IMPORTRANGE(""https://docs.google.com/spreadsheets/d/15X-ub7GvrCQZ3"&amp;"UGgyogcjwYdxG-Ng8WHxzGSj1Z3eLw/edit#gid=0"",""'Game 12'!S25"")+50,IMPORTRANGE(""https://docs.google.com/spreadsheets/d/15X-ub7GvrCQZ3UGgyogcjwYdxG-Ng8WHxzGSj1Z3eLw/edit#gid=0"",""'Game 12'!S25"")+100)))"),142.0)</f>
        <v>142</v>
      </c>
      <c r="J16" s="5">
        <f>IFERROR(__xludf.DUMMYFUNCTION("IF($A16=IMPORTRANGE(""https://docs.google.com/spreadsheets/d/194Bw3ABslPPhOOPvVoMzIk8sOQFICWBu2pydWdYMD-w/edit#gid=0"",""'Game 11'!B1""),IF(IMPORTRANGE(""https://docs.google.com/spreadsheets/d/194Bw3ABslPPhOOPvVoMzIk8sOQFICWBu2pydWdYMD-w/edit#gid=0"",""'G"&amp;"ame 11'!J25"")&gt;IMPORTRANGE(""https://docs.google.com/spreadsheets/d/194Bw3ABslPPhOOPvVoMzIk8sOQFICWBu2pydWdYMD-w/edit#gid=0"",""'Game 11'!S25""),IMPORTRANGE(""https://docs.google.com/spreadsheets/d/194Bw3ABslPPhOOPvVoMzIk8sOQFICWBu2pydWdYMD-w/edit#gid=0"""&amp;",""'Game 11'!J25"")+100,IF(IMPORTRANGE(""https://docs.google.com/spreadsheets/d/194Bw3ABslPPhOOPvVoMzIk8sOQFICWBu2pydWdYMD-w/edit#gid=0"",""'Game 11'!J25"")=IMPORTRANGE(""https://docs.google.com/spreadsheets/d/194Bw3ABslPPhOOPvVoMzIk8sOQFICWBu2pydWdYMD-w/"&amp;"edit#gid=0"",""'Game 11'!S25""),IMPORTRANGE(""https://docs.google.com/spreadsheets/d/194Bw3ABslPPhOOPvVoMzIk8sOQFICWBu2pydWdYMD-w/edit#gid=0"",""'Game 11'!J25"")+50,IMPORTRANGE(""https://docs.google.com/spreadsheets/d/194Bw3ABslPPhOOPvVoMzIk8sOQFICWBu2pyd"&amp;"WdYMD-w/edit#gid=0"",""'Game 11'!J25""))),IF(IMPORTRANGE(""https://docs.google.com/spreadsheets/d/194Bw3ABslPPhOOPvVoMzIk8sOQFICWBu2pydWdYMD-w/edit#gid=0"",""'Game 11'!J25"")&gt;IMPORTRANGE(""https://docs.google.com/spreadsheets/d/194Bw3ABslPPhOOPvVoMzIk8sOQ"&amp;"FICWBu2pydWdYMD-w/edit#gid=0"",""'Game 11'!S25""),IMPORTRANGE(""https://docs.google.com/spreadsheets/d/194Bw3ABslPPhOOPvVoMzIk8sOQFICWBu2pydWdYMD-w/edit#gid=0"",""'Game 11'!S25""),IF(IMPORTRANGE(""https://docs.google.com/spreadsheets/d/194Bw3ABslPPhOOPvVo"&amp;"MzIk8sOQFICWBu2pydWdYMD-w/edit#gid=0"",""'Game 11'!J25"")=IMPORTRANGE(""https://docs.google.com/spreadsheets/d/194Bw3ABslPPhOOPvVoMzIk8sOQFICWBu2pydWdYMD-w/edit#gid=0"",""'Game 11'!S25""),IMPORTRANGE(""https://docs.google.com/spreadsheets/d/194Bw3ABslPPhO"&amp;"OPvVoMzIk8sOQFICWBu2pydWdYMD-w/edit#gid=0"",""'Game 11'!S25"")+50,IMPORTRANGE(""https://docs.google.com/spreadsheets/d/194Bw3ABslPPhOOPvVoMzIk8sOQFICWBu2pydWdYMD-w/edit#gid=0"",""'Game 11'!S25"")+100)))"),74.0)</f>
        <v>74</v>
      </c>
      <c r="K16" s="5">
        <f>IFERROR(__xludf.DUMMYFUNCTION("IF($A16=IMPORTRANGE(""https://docs.google.com/spreadsheets/d/1F2Bi6K_I1K9xRxY5qb-bNRo5m-Kw7udpF1OaTHhrxjs/edit#gid=0"",""'Game 7'!B1""),IF(IMPORTRANGE(""https://docs.google.com/spreadsheets/d/1F2Bi6K_I1K9xRxY5qb-bNRo5m-Kw7udpF1OaTHhrxjs/edit#gid=0"",""'Ga"&amp;"me 7'!J25"")&gt;IMPORTRANGE(""https://docs.google.com/spreadsheets/d/1F2Bi6K_I1K9xRxY5qb-bNRo5m-Kw7udpF1OaTHhrxjs/edit#gid=0"",""'Game 7'!S25""),IMPORTRANGE(""https://docs.google.com/spreadsheets/d/1F2Bi6K_I1K9xRxY5qb-bNRo5m-Kw7udpF1OaTHhrxjs/edit#gid=0"","""&amp;"'Game 7'!J25"")+100,IF(IMPORTRANGE(""https://docs.google.com/spreadsheets/d/1F2Bi6K_I1K9xRxY5qb-bNRo5m-Kw7udpF1OaTHhrxjs/edit#gid=0"",""'Game 7'!J25"")=IMPORTRANGE(""https://docs.google.com/spreadsheets/d/1F2Bi6K_I1K9xRxY5qb-bNRo5m-Kw7udpF1OaTHhrxjs/edit#"&amp;"gid=0"",""'Game 7'!S25""),IMPORTRANGE(""https://docs.google.com/spreadsheets/d/1F2Bi6K_I1K9xRxY5qb-bNRo5m-Kw7udpF1OaTHhrxjs/edit#gid=0"",""'Game 7'!J25"")+50,IMPORTRANGE(""https://docs.google.com/spreadsheets/d/1F2Bi6K_I1K9xRxY5qb-bNRo5m-Kw7udpF1OaTHhrxjs"&amp;"/edit#gid=0"",""'Game 7'!J25""))),IF(IMPORTRANGE(""https://docs.google.com/spreadsheets/d/1F2Bi6K_I1K9xRxY5qb-bNRo5m-Kw7udpF1OaTHhrxjs/edit#gid=0"",""'Game 7'!J25"")&gt;IMPORTRANGE(""https://docs.google.com/spreadsheets/d/1F2Bi6K_I1K9xRxY5qb-bNRo5m-Kw7udpF1O"&amp;"aTHhrxjs/edit#gid=0"",""'Game 7'!S25""),IMPORTRANGE(""https://docs.google.com/spreadsheets/d/1F2Bi6K_I1K9xRxY5qb-bNRo5m-Kw7udpF1OaTHhrxjs/edit#gid=0"",""'Game 7'!S25""),IF(IMPORTRANGE(""https://docs.google.com/spreadsheets/d/1F2Bi6K_I1K9xRxY5qb-bNRo5m-Kw7"&amp;"udpF1OaTHhrxjs/edit#gid=0"",""'Game 7'!J25"")=IMPORTRANGE(""https://docs.google.com/spreadsheets/d/1F2Bi6K_I1K9xRxY5qb-bNRo5m-Kw7udpF1OaTHhrxjs/edit#gid=0"",""'Game 7'!S25""),IMPORTRANGE(""https://docs.google.com/spreadsheets/d/1F2Bi6K_I1K9xRxY5qb-bNRo5m-"&amp;"Kw7udpF1OaTHhrxjs/edit#gid=0"",""'Game 7'!S25"")+50,IMPORTRANGE(""https://docs.google.com/spreadsheets/d/1F2Bi6K_I1K9xRxY5qb-bNRo5m-Kw7udpF1OaTHhrxjs/edit#gid=0"",""'Game 7'!S25"")+100)))"),4.0)</f>
        <v>4</v>
      </c>
      <c r="L16" s="5">
        <f>IFERROR(__xludf.DUMMYFUNCTION("IF($A16=IMPORTRANGE(""https://docs.google.com/spreadsheets/d/1NDNgi_Ny4dRhc2A3UMIIkalN-V6EmsvxOfDzMRQlQ40/edit#gid=0"",""'Game 1'!B1""),IF(IMPORTRANGE(""https://docs.google.com/spreadsheets/d/1NDNgi_Ny4dRhc2A3UMIIkalN-V6EmsvxOfDzMRQlQ40/edit#gid=0"",""'Ga"&amp;"me 1'!J25"")&gt;IMPORTRANGE(""https://docs.google.com/spreadsheets/d/1NDNgi_Ny4dRhc2A3UMIIkalN-V6EmsvxOfDzMRQlQ40/edit#gid=0"",""'Game 1'!S25""),IMPORTRANGE(""https://docs.google.com/spreadsheets/d/1NDNgi_Ny4dRhc2A3UMIIkalN-V6EmsvxOfDzMRQlQ40/edit#gid=0"","""&amp;"'Game 1'!J25"")+100,IF(IMPORTRANGE(""https://docs.google.com/spreadsheets/d/1NDNgi_Ny4dRhc2A3UMIIkalN-V6EmsvxOfDzMRQlQ40/edit#gid=0"",""'Game 1'!J25"")=IMPORTRANGE(""https://docs.google.com/spreadsheets/d/1NDNgi_Ny4dRhc2A3UMIIkalN-V6EmsvxOfDzMRQlQ40/edit#"&amp;"gid=0"",""'Game 1'!S25""),IMPORTRANGE(""https://docs.google.com/spreadsheets/d/1NDNgi_Ny4dRhc2A3UMIIkalN-V6EmsvxOfDzMRQlQ40/edit#gid=0"",""'Game 1'!J25"")+50,IMPORTRANGE(""https://docs.google.com/spreadsheets/d/1NDNgi_Ny4dRhc2A3UMIIkalN-V6EmsvxOfDzMRQlQ40"&amp;"/edit#gid=0"",""'Game 1'!J25""))),IF(IMPORTRANGE(""https://docs.google.com/spreadsheets/d/1NDNgi_Ny4dRhc2A3UMIIkalN-V6EmsvxOfDzMRQlQ40/edit#gid=0"",""'Game 1'!J25"")&gt;IMPORTRANGE(""https://docs.google.com/spreadsheets/d/1NDNgi_Ny4dRhc2A3UMIIkalN-V6EmsvxOfD"&amp;"zMRQlQ40/edit#gid=0"",""'Game 1'!S25""),IMPORTRANGE(""https://docs.google.com/spreadsheets/d/1NDNgi_Ny4dRhc2A3UMIIkalN-V6EmsvxOfDzMRQlQ40/edit#gid=0"",""'Game 1'!S25""),IF(IMPORTRANGE(""https://docs.google.com/spreadsheets/d/1NDNgi_Ny4dRhc2A3UMIIkalN-V6Em"&amp;"svxOfDzMRQlQ40/edit#gid=0"",""'Game 1'!J25"")=IMPORTRANGE(""https://docs.google.com/spreadsheets/d/1NDNgi_Ny4dRhc2A3UMIIkalN-V6EmsvxOfDzMRQlQ40/edit#gid=0"",""'Game 1'!S25""),IMPORTRANGE(""https://docs.google.com/spreadsheets/d/1NDNgi_Ny4dRhc2A3UMIIkalN-V"&amp;"6EmsvxOfDzMRQlQ40/edit#gid=0"",""'Game 1'!S25"")+50,IMPORTRANGE(""https://docs.google.com/spreadsheets/d/1NDNgi_Ny4dRhc2A3UMIIkalN-V6EmsvxOfDzMRQlQ40/edit#gid=0"",""'Game 1'!S25"")+100)))"),12.0)</f>
        <v>12</v>
      </c>
      <c r="M16" s="5">
        <f>IFERROR(__xludf.DUMMYFUNCTION("IF($A16=IMPORTRANGE(""https://docs.google.com/spreadsheets/d/1UDYA3-RrkJNLa2ZLH1NnUjKyfCoiSODmgVL_Au_zt-Y/edit#gid=0"",""'Game 9'!B1""),IF(IMPORTRANGE(""https://docs.google.com/spreadsheets/d/1UDYA3-RrkJNLa2ZLH1NnUjKyfCoiSODmgVL_Au_zt-Y/edit#gid=0"",""'Ga"&amp;"me 9'!J25"")&gt;IMPORTRANGE(""https://docs.google.com/spreadsheets/d/1UDYA3-RrkJNLa2ZLH1NnUjKyfCoiSODmgVL_Au_zt-Y/edit#gid=0"",""'Game 9'!S25""),IMPORTRANGE(""https://docs.google.com/spreadsheets/d/1UDYA3-RrkJNLa2ZLH1NnUjKyfCoiSODmgVL_Au_zt-Y/edit#gid=0"","""&amp;"'Game 9'!J25"")+100,IF(IMPORTRANGE(""https://docs.google.com/spreadsheets/d/1UDYA3-RrkJNLa2ZLH1NnUjKyfCoiSODmgVL_Au_zt-Y/edit#gid=0"",""'Game 9'!J25"")=IMPORTRANGE(""https://docs.google.com/spreadsheets/d/1UDYA3-RrkJNLa2ZLH1NnUjKyfCoiSODmgVL_Au_zt-Y/edit#"&amp;"gid=0"",""'Game 9'!S25""),IMPORTRANGE(""https://docs.google.com/spreadsheets/d/1UDYA3-RrkJNLa2ZLH1NnUjKyfCoiSODmgVL_Au_zt-Y/edit#gid=0"",""'Game 9'!J25"")+50,IMPORTRANGE(""https://docs.google.com/spreadsheets/d/1UDYA3-RrkJNLa2ZLH1NnUjKyfCoiSODmgVL_Au_zt-Y"&amp;"/edit#gid=0"",""'Game 9'!J25""))),IF(IMPORTRANGE(""https://docs.google.com/spreadsheets/d/1UDYA3-RrkJNLa2ZLH1NnUjKyfCoiSODmgVL_Au_zt-Y/edit#gid=0"",""'Game 9'!J25"")&gt;IMPORTRANGE(""https://docs.google.com/spreadsheets/d/1UDYA3-RrkJNLa2ZLH1NnUjKyfCoiSODmgVL"&amp;"_Au_zt-Y/edit#gid=0"",""'Game 9'!S25""),IMPORTRANGE(""https://docs.google.com/spreadsheets/d/1UDYA3-RrkJNLa2ZLH1NnUjKyfCoiSODmgVL_Au_zt-Y/edit#gid=0"",""'Game 9'!S25""),IF(IMPORTRANGE(""https://docs.google.com/spreadsheets/d/1UDYA3-RrkJNLa2ZLH1NnUjKyfCoiS"&amp;"ODmgVL_Au_zt-Y/edit#gid=0"",""'Game 9'!J25"")=IMPORTRANGE(""https://docs.google.com/spreadsheets/d/1UDYA3-RrkJNLa2ZLH1NnUjKyfCoiSODmgVL_Au_zt-Y/edit#gid=0"",""'Game 9'!S25""),IMPORTRANGE(""https://docs.google.com/spreadsheets/d/1UDYA3-RrkJNLa2ZLH1NnUjKyfC"&amp;"oiSODmgVL_Au_zt-Y/edit#gid=0"",""'Game 9'!S25"")+50,IMPORTRANGE(""https://docs.google.com/spreadsheets/d/1UDYA3-RrkJNLa2ZLH1NnUjKyfCoiSODmgVL_Au_zt-Y/edit#gid=0"",""'Game 9'!S25"")+100)))"),194.0)</f>
        <v>194</v>
      </c>
      <c r="N16" s="5">
        <f>IFERROR(__xludf.DUMMYFUNCTION("IF($A16=IMPORTRANGE(""https://docs.google.com/spreadsheets/d/1fvo6H94Wcffp6c4N9g3JKCW6y2ZlijPxdOsNz7xdBhw/edit#gid=0"",""'Game 7'!B1""),IF(IMPORTRANGE(""https://docs.google.com/spreadsheets/d/1fvo6H94Wcffp6c4N9g3JKCW6y2ZlijPxdOsNz7xdBhw/edit#gid=0"",""'Ga"&amp;"me 7'!J25"")&gt;IMPORTRANGE(""https://docs.google.com/spreadsheets/d/1fvo6H94Wcffp6c4N9g3JKCW6y2ZlijPxdOsNz7xdBhw/edit#gid=0"",""'Game 7'!S25""),IMPORTRANGE(""https://docs.google.com/spreadsheets/d/1fvo6H94Wcffp6c4N9g3JKCW6y2ZlijPxdOsNz7xdBhw/edit#gid=0"","""&amp;"'Game 7'!J25"")+100,IF(IMPORTRANGE(""https://docs.google.com/spreadsheets/d/1fvo6H94Wcffp6c4N9g3JKCW6y2ZlijPxdOsNz7xdBhw/edit#gid=0"",""'Game 7'!J25"")=IMPORTRANGE(""https://docs.google.com/spreadsheets/d/1fvo6H94Wcffp6c4N9g3JKCW6y2ZlijPxdOsNz7xdBhw/edit#"&amp;"gid=0"",""'Game 7'!S25""),IMPORTRANGE(""https://docs.google.com/spreadsheets/d/1fvo6H94Wcffp6c4N9g3JKCW6y2ZlijPxdOsNz7xdBhw/edit#gid=0"",""'Game 7'!J25"")+50,IMPORTRANGE(""https://docs.google.com/spreadsheets/d/1fvo6H94Wcffp6c4N9g3JKCW6y2ZlijPxdOsNz7xdBhw"&amp;"/edit#gid=0"",""'Game 7'!J25""))),IF(IMPORTRANGE(""https://docs.google.com/spreadsheets/d/1fvo6H94Wcffp6c4N9g3JKCW6y2ZlijPxdOsNz7xdBhw/edit#gid=0"",""'Game 7'!J25"")&gt;IMPORTRANGE(""https://docs.google.com/spreadsheets/d/1fvo6H94Wcffp6c4N9g3JKCW6y2ZlijPxdOs"&amp;"Nz7xdBhw/edit#gid=0"",""'Game 7'!S25""),IMPORTRANGE(""https://docs.google.com/spreadsheets/d/1fvo6H94Wcffp6c4N9g3JKCW6y2ZlijPxdOsNz7xdBhw/edit#gid=0"",""'Game 7'!S25""),IF(IMPORTRANGE(""https://docs.google.com/spreadsheets/d/1fvo6H94Wcffp6c4N9g3JKCW6y2Zli"&amp;"jPxdOsNz7xdBhw/edit#gid=0"",""'Game 7'!J25"")=IMPORTRANGE(""https://docs.google.com/spreadsheets/d/1fvo6H94Wcffp6c4N9g3JKCW6y2ZlijPxdOsNz7xdBhw/edit#gid=0"",""'Game 7'!S25""),IMPORTRANGE(""https://docs.google.com/spreadsheets/d/1fvo6H94Wcffp6c4N9g3JKCW6y2"&amp;"ZlijPxdOsNz7xdBhw/edit#gid=0"",""'Game 7'!S25"")+50,IMPORTRANGE(""https://docs.google.com/spreadsheets/d/1fvo6H94Wcffp6c4N9g3JKCW6y2ZlijPxdOsNz7xdBhw/edit#gid=0"",""'Game 7'!S25"")+100)))"),52.0)</f>
        <v>52</v>
      </c>
      <c r="O16" s="5">
        <f>IFERROR(__xludf.DUMMYFUNCTION("IF($A16=IMPORTRANGE(""https://docs.google.com/spreadsheets/d/1wfQePArl-A-5QJe5xAufoOnzeNLVSoHCRcmpZ_FMdns/edit#gid=0"",""'Game 11'!B1""),IF(IMPORTRANGE(""https://docs.google.com/spreadsheets/d/1wfQePArl-A-5QJe5xAufoOnzeNLVSoHCRcmpZ_FMdns/edit#gid=0"",""'G"&amp;"ame 11'!J25"")&gt;IMPORTRANGE(""https://docs.google.com/spreadsheets/d/1wfQePArl-A-5QJe5xAufoOnzeNLVSoHCRcmpZ_FMdns/edit#gid=0"",""'Game 11'!S25""),IMPORTRANGE(""https://docs.google.com/spreadsheets/d/1wfQePArl-A-5QJe5xAufoOnzeNLVSoHCRcmpZ_FMdns/edit#gid=0"""&amp;",""'Game 11'!J25"")+100,IF(IMPORTRANGE(""https://docs.google.com/spreadsheets/d/1wfQePArl-A-5QJe5xAufoOnzeNLVSoHCRcmpZ_FMdns/edit#gid=0"",""'Game 11'!J25"")=IMPORTRANGE(""https://docs.google.com/spreadsheets/d/1wfQePArl-A-5QJe5xAufoOnzeNLVSoHCRcmpZ_FMdns/"&amp;"edit#gid=0"",""'Game 11'!S25""),IMPORTRANGE(""https://docs.google.com/spreadsheets/d/1wfQePArl-A-5QJe5xAufoOnzeNLVSoHCRcmpZ_FMdns/edit#gid=0"",""'Game 11'!J25"")+50,IMPORTRANGE(""https://docs.google.com/spreadsheets/d/1wfQePArl-A-5QJe5xAufoOnzeNLVSoHCRcmp"&amp;"Z_FMdns/edit#gid=0"",""'Game 11'!J25""))),IF(IMPORTRANGE(""https://docs.google.com/spreadsheets/d/1wfQePArl-A-5QJe5xAufoOnzeNLVSoHCRcmpZ_FMdns/edit#gid=0"",""'Game 11'!J25"")&gt;IMPORTRANGE(""https://docs.google.com/spreadsheets/d/1wfQePArl-A-5QJe5xAufoOnzeN"&amp;"LVSoHCRcmpZ_FMdns/edit#gid=0"",""'Game 11'!S25""),IMPORTRANGE(""https://docs.google.com/spreadsheets/d/1wfQePArl-A-5QJe5xAufoOnzeNLVSoHCRcmpZ_FMdns/edit#gid=0"",""'Game 11'!S25""),IF(IMPORTRANGE(""https://docs.google.com/spreadsheets/d/1wfQePArl-A-5QJe5xA"&amp;"ufoOnzeNLVSoHCRcmpZ_FMdns/edit#gid=0"",""'Game 11'!J25"")=IMPORTRANGE(""https://docs.google.com/spreadsheets/d/1wfQePArl-A-5QJe5xAufoOnzeNLVSoHCRcmpZ_FMdns/edit#gid=0"",""'Game 11'!S25""),IMPORTRANGE(""https://docs.google.com/spreadsheets/d/1wfQePArl-A-5Q"&amp;"Je5xAufoOnzeNLVSoHCRcmpZ_FMdns/edit#gid=0"",""'Game 11'!S25"")+50,IMPORTRANGE(""https://docs.google.com/spreadsheets/d/1wfQePArl-A-5QJe5xAufoOnzeNLVSoHCRcmpZ_FMdns/edit#gid=0"",""'Game 11'!S25"")+100)))"),44.0)</f>
        <v>44</v>
      </c>
      <c r="P16" s="5">
        <f>IFERROR(__xludf.DUMMYFUNCTION("IF($A16=IMPORTRANGE(""https://docs.google.com/spreadsheets/d/1wydNznS0hZhVh3oGSdiCZSsReuqMT7Xaw718ix58zAI/edit#gid=0"",""'Game 6'!B1""),IF(IMPORTRANGE(""https://docs.google.com/spreadsheets/d/1wydNznS0hZhVh3oGSdiCZSsReuqMT7Xaw718ix58zAI/edit#gid=0"",""'Ga"&amp;"me 6'!J25"")&gt;IMPORTRANGE(""https://docs.google.com/spreadsheets/d/1wydNznS0hZhVh3oGSdiCZSsReuqMT7Xaw718ix58zAI/edit#gid=0"",""'Game 6'!S25""),IMPORTRANGE(""https://docs.google.com/spreadsheets/d/1wydNznS0hZhVh3oGSdiCZSsReuqMT7Xaw718ix58zAI/edit#gid=0"","""&amp;"'Game 6'!J25"")+100,IF(IMPORTRANGE(""https://docs.google.com/spreadsheets/d/1wydNznS0hZhVh3oGSdiCZSsReuqMT7Xaw718ix58zAI/edit#gid=0"",""'Game 6'!J25"")=IMPORTRANGE(""https://docs.google.com/spreadsheets/d/1wydNznS0hZhVh3oGSdiCZSsReuqMT7Xaw718ix58zAI/edit#"&amp;"gid=0"",""'Game 6'!S25""),IMPORTRANGE(""https://docs.google.com/spreadsheets/d/1wydNznS0hZhVh3oGSdiCZSsReuqMT7Xaw718ix58zAI/edit#gid=0"",""'Game 6'!J25"")+50,IMPORTRANGE(""https://docs.google.com/spreadsheets/d/1wydNznS0hZhVh3oGSdiCZSsReuqMT7Xaw718ix58zAI"&amp;"/edit#gid=0"",""'Game 6'!J25""))),IF(IMPORTRANGE(""https://docs.google.com/spreadsheets/d/1wydNznS0hZhVh3oGSdiCZSsReuqMT7Xaw718ix58zAI/edit#gid=0"",""'Game 6'!J25"")&gt;IMPORTRANGE(""https://docs.google.com/spreadsheets/d/1wydNznS0hZhVh3oGSdiCZSsReuqMT7Xaw71"&amp;"8ix58zAI/edit#gid=0"",""'Game 6'!S25""),IMPORTRANGE(""https://docs.google.com/spreadsheets/d/1wydNznS0hZhVh3oGSdiCZSsReuqMT7Xaw718ix58zAI/edit#gid=0"",""'Game 6'!S25""),IF(IMPORTRANGE(""https://docs.google.com/spreadsheets/d/1wydNznS0hZhVh3oGSdiCZSsReuqMT"&amp;"7Xaw718ix58zAI/edit#gid=0"",""'Game 6'!J25"")=IMPORTRANGE(""https://docs.google.com/spreadsheets/d/1wydNznS0hZhVh3oGSdiCZSsReuqMT7Xaw718ix58zAI/edit#gid=0"",""'Game 6'!S25""),IMPORTRANGE(""https://docs.google.com/spreadsheets/d/1wydNznS0hZhVh3oGSdiCZSsReu"&amp;"qMT7Xaw718ix58zAI/edit#gid=0"",""'Game 6'!S25"")+50,IMPORTRANGE(""https://docs.google.com/spreadsheets/d/1wydNznS0hZhVh3oGSdiCZSsReuqMT7Xaw718ix58zAI/edit#gid=0"",""'Game 6'!S25"")+100)))"),40.0)</f>
        <v>40</v>
      </c>
      <c r="Q16" s="35">
        <f t="shared" si="1"/>
        <v>1036</v>
      </c>
      <c r="R16" s="35">
        <f t="shared" si="2"/>
        <v>19</v>
      </c>
    </row>
    <row r="17">
      <c r="A17" s="32" t="s">
        <v>210</v>
      </c>
      <c r="B17" s="36">
        <v>50.0</v>
      </c>
      <c r="C17" s="36">
        <v>246.0</v>
      </c>
      <c r="D17" s="36">
        <v>34.0</v>
      </c>
      <c r="E17" s="36">
        <v>92.0</v>
      </c>
      <c r="F17" s="36">
        <v>78.0</v>
      </c>
      <c r="G17" s="12">
        <f>IFERROR(__xludf.DUMMYFUNCTION("IF($A17=IMPORTRANGE(""https://docs.google.com/spreadsheets/d/19gjAD4NwTXl_QoKUuwHQ1cWG_S2BOW94pDcyFtPwheg/edit#gid=0"",""'Game 2'!B1""),IF(IMPORTRANGE(""https://docs.google.com/spreadsheets/d/19gjAD4NwTXl_QoKUuwHQ1cWG_S2BOW94pDcyFtPwheg/edit#gid=0"",""'Ga"&amp;"me 2'!J25"")&gt;IMPORTRANGE(""https://docs.google.com/spreadsheets/d/19gjAD4NwTXl_QoKUuwHQ1cWG_S2BOW94pDcyFtPwheg/edit#gid=0"",""'Game 2'!S25""),IMPORTRANGE(""https://docs.google.com/spreadsheets/d/19gjAD4NwTXl_QoKUuwHQ1cWG_S2BOW94pDcyFtPwheg/edit#gid=0"","""&amp;"'Game 2'!J25"")+100,IF(IMPORTRANGE(""https://docs.google.com/spreadsheets/d/19gjAD4NwTXl_QoKUuwHQ1cWG_S2BOW94pDcyFtPwheg/edit#gid=0"",""'Game 2'!J25"")=IMPORTRANGE(""https://docs.google.com/spreadsheets/d/19gjAD4NwTXl_QoKUuwHQ1cWG_S2BOW94pDcyFtPwheg/edit#"&amp;"gid=0"",""'Game 2'!S25""),IMPORTRANGE(""https://docs.google.com/spreadsheets/d/19gjAD4NwTXl_QoKUuwHQ1cWG_S2BOW94pDcyFtPwheg/edit#gid=0"",""'Game 2'!J25"")+50,IMPORTRANGE(""https://docs.google.com/spreadsheets/d/19gjAD4NwTXl_QoKUuwHQ1cWG_S2BOW94pDcyFtPwheg"&amp;"/edit#gid=0"",""'Game 2'!J25""))),IF(IMPORTRANGE(""https://docs.google.com/spreadsheets/d/19gjAD4NwTXl_QoKUuwHQ1cWG_S2BOW94pDcyFtPwheg/edit#gid=0"",""'Game 2'!J25"")&gt;IMPORTRANGE(""https://docs.google.com/spreadsheets/d/19gjAD4NwTXl_QoKUuwHQ1cWG_S2BOW94pDc"&amp;"yFtPwheg/edit#gid=0"",""'Game 2'!S25""),IMPORTRANGE(""https://docs.google.com/spreadsheets/d/19gjAD4NwTXl_QoKUuwHQ1cWG_S2BOW94pDcyFtPwheg/edit#gid=0"",""'Game 2'!S25""),IF(IMPORTRANGE(""https://docs.google.com/spreadsheets/d/19gjAD4NwTXl_QoKUuwHQ1cWG_S2BO"&amp;"W94pDcyFtPwheg/edit#gid=0"",""'Game 2'!J25"")=IMPORTRANGE(""https://docs.google.com/spreadsheets/d/19gjAD4NwTXl_QoKUuwHQ1cWG_S2BOW94pDcyFtPwheg/edit#gid=0"",""'Game 2'!S25""),IMPORTRANGE(""https://docs.google.com/spreadsheets/d/19gjAD4NwTXl_QoKUuwHQ1cWG_S"&amp;"2BOW94pDcyFtPwheg/edit#gid=0"",""'Game 2'!S25"")+50,IMPORTRANGE(""https://docs.google.com/spreadsheets/d/19gjAD4NwTXl_QoKUuwHQ1cWG_S2BOW94pDcyFtPwheg/edit#gid=0"",""'Game 2'!S25"")+100)))"),186.0)</f>
        <v>186</v>
      </c>
      <c r="H17" s="12">
        <f>IFERROR(__xludf.DUMMYFUNCTION("IF($A17=IMPORTRANGE(""https://docs.google.com/spreadsheets/d/1l83w8bH-F1czkFOqsgQy6o8O33Jb4Pfg40W0ou2nk0k/edit#gid=0"",""'Game 6'!B1""),IF(IMPORTRANGE(""https://docs.google.com/spreadsheets/d/1l83w8bH-F1czkFOqsgQy6o8O33Jb4Pfg40W0ou2nk0k/edit#gid=0"",""'Ga"&amp;"me 6'!J25"")&gt;IMPORTRANGE(""https://docs.google.com/spreadsheets/d/1l83w8bH-F1czkFOqsgQy6o8O33Jb4Pfg40W0ou2nk0k/edit#gid=0"",""'Game 6'!S25""),IMPORTRANGE(""https://docs.google.com/spreadsheets/d/1l83w8bH-F1czkFOqsgQy6o8O33Jb4Pfg40W0ou2nk0k/edit#gid=0"","""&amp;"'Game 6'!J25"")+100,IF(IMPORTRANGE(""https://docs.google.com/spreadsheets/d/1l83w8bH-F1czkFOqsgQy6o8O33Jb4Pfg40W0ou2nk0k/edit#gid=0"",""'Game 6'!J25"")=IMPORTRANGE(""https://docs.google.com/spreadsheets/d/1l83w8bH-F1czkFOqsgQy6o8O33Jb4Pfg40W0ou2nk0k/edit#"&amp;"gid=0"",""'Game 6'!S25""),IMPORTRANGE(""https://docs.google.com/spreadsheets/d/1l83w8bH-F1czkFOqsgQy6o8O33Jb4Pfg40W0ou2nk0k/edit#gid=0"",""'Game 6'!J25"")+50,IMPORTRANGE(""https://docs.google.com/spreadsheets/d/1l83w8bH-F1czkFOqsgQy6o8O33Jb4Pfg40W0ou2nk0k"&amp;"/edit#gid=0"",""'Game 6'!J25""))),IF(IMPORTRANGE(""https://docs.google.com/spreadsheets/d/1l83w8bH-F1czkFOqsgQy6o8O33Jb4Pfg40W0ou2nk0k/edit#gid=0"",""'Game 6'!J25"")&gt;IMPORTRANGE(""https://docs.google.com/spreadsheets/d/1l83w8bH-F1czkFOqsgQy6o8O33Jb4Pfg40W"&amp;"0ou2nk0k/edit#gid=0"",""'Game 6'!S25""),IMPORTRANGE(""https://docs.google.com/spreadsheets/d/1l83w8bH-F1czkFOqsgQy6o8O33Jb4Pfg40W0ou2nk0k/edit#gid=0"",""'Game 6'!S25""),IF(IMPORTRANGE(""https://docs.google.com/spreadsheets/d/1l83w8bH-F1czkFOqsgQy6o8O33Jb4"&amp;"Pfg40W0ou2nk0k/edit#gid=0"",""'Game 6'!J25"")=IMPORTRANGE(""https://docs.google.com/spreadsheets/d/1l83w8bH-F1czkFOqsgQy6o8O33Jb4Pfg40W0ou2nk0k/edit#gid=0"",""'Game 6'!S25""),IMPORTRANGE(""https://docs.google.com/spreadsheets/d/1l83w8bH-F1czkFOqsgQy6o8O33"&amp;"Jb4Pfg40W0ou2nk0k/edit#gid=0"",""'Game 6'!S25"")+50,IMPORTRANGE(""https://docs.google.com/spreadsheets/d/1l83w8bH-F1czkFOqsgQy6o8O33Jb4Pfg40W0ou2nk0k/edit#gid=0"",""'Game 6'!S25"")+100)))"),172.0)</f>
        <v>172</v>
      </c>
      <c r="I17" s="12">
        <f>IFERROR(__xludf.DUMMYFUNCTION("IF($A17=IMPORTRANGE(""https://docs.google.com/spreadsheets/d/15X-ub7GvrCQZ3UGgyogcjwYdxG-Ng8WHxzGSj1Z3eLw/edit#gid=0"",""'Game 7'!B1""),IF(IMPORTRANGE(""https://docs.google.com/spreadsheets/d/15X-ub7GvrCQZ3UGgyogcjwYdxG-Ng8WHxzGSj1Z3eLw/edit#gid=0"",""'Ga"&amp;"me 7'!J25"")&gt;IMPORTRANGE(""https://docs.google.com/spreadsheets/d/15X-ub7GvrCQZ3UGgyogcjwYdxG-Ng8WHxzGSj1Z3eLw/edit#gid=0"",""'Game 7'!S25""),IMPORTRANGE(""https://docs.google.com/spreadsheets/d/15X-ub7GvrCQZ3UGgyogcjwYdxG-Ng8WHxzGSj1Z3eLw/edit#gid=0"","""&amp;"'Game 7'!J25"")+100,IF(IMPORTRANGE(""https://docs.google.com/spreadsheets/d/15X-ub7GvrCQZ3UGgyogcjwYdxG-Ng8WHxzGSj1Z3eLw/edit#gid=0"",""'Game 7'!J25"")=IMPORTRANGE(""https://docs.google.com/spreadsheets/d/15X-ub7GvrCQZ3UGgyogcjwYdxG-Ng8WHxzGSj1Z3eLw/edit#"&amp;"gid=0"",""'Game 7'!S25""),IMPORTRANGE(""https://docs.google.com/spreadsheets/d/15X-ub7GvrCQZ3UGgyogcjwYdxG-Ng8WHxzGSj1Z3eLw/edit#gid=0"",""'Game 7'!J25"")+50,IMPORTRANGE(""https://docs.google.com/spreadsheets/d/15X-ub7GvrCQZ3UGgyogcjwYdxG-Ng8WHxzGSj1Z3eLw"&amp;"/edit#gid=0"",""'Game 7'!J25""))),IF(IMPORTRANGE(""https://docs.google.com/spreadsheets/d/15X-ub7GvrCQZ3UGgyogcjwYdxG-Ng8WHxzGSj1Z3eLw/edit#gid=0"",""'Game 7'!J25"")&gt;IMPORTRANGE(""https://docs.google.com/spreadsheets/d/15X-ub7GvrCQZ3UGgyogcjwYdxG-Ng8WHxzG"&amp;"Sj1Z3eLw/edit#gid=0"",""'Game 7'!S25""),IMPORTRANGE(""https://docs.google.com/spreadsheets/d/15X-ub7GvrCQZ3UGgyogcjwYdxG-Ng8WHxzGSj1Z3eLw/edit#gid=0"",""'Game 7'!S25""),IF(IMPORTRANGE(""https://docs.google.com/spreadsheets/d/15X-ub7GvrCQZ3UGgyogcjwYdxG-Ng"&amp;"8WHxzGSj1Z3eLw/edit#gid=0"",""'Game 7'!J25"")=IMPORTRANGE(""https://docs.google.com/spreadsheets/d/15X-ub7GvrCQZ3UGgyogcjwYdxG-Ng8WHxzGSj1Z3eLw/edit#gid=0"",""'Game 7'!S25""),IMPORTRANGE(""https://docs.google.com/spreadsheets/d/15X-ub7GvrCQZ3UGgyogcjwYdxG"&amp;"-Ng8WHxzGSj1Z3eLw/edit#gid=0"",""'Game 7'!S25"")+50,IMPORTRANGE(""https://docs.google.com/spreadsheets/d/15X-ub7GvrCQZ3UGgyogcjwYdxG-Ng8WHxzGSj1Z3eLw/edit#gid=0"",""'Game 7'!S25"")+100)))"),62.0)</f>
        <v>62</v>
      </c>
      <c r="J17" s="12">
        <f>IFERROR(__xludf.DUMMYFUNCTION("IF($A17=IMPORTRANGE(""https://docs.google.com/spreadsheets/d/194Bw3ABslPPhOOPvVoMzIk8sOQFICWBu2pydWdYMD-w/edit#gid=0"",""'Game 8'!B1""),IF(IMPORTRANGE(""https://docs.google.com/spreadsheets/d/194Bw3ABslPPhOOPvVoMzIk8sOQFICWBu2pydWdYMD-w/edit#gid=0"",""'Ga"&amp;"me 8'!J25"")&gt;IMPORTRANGE(""https://docs.google.com/spreadsheets/d/194Bw3ABslPPhOOPvVoMzIk8sOQFICWBu2pydWdYMD-w/edit#gid=0"",""'Game 8'!S25""),IMPORTRANGE(""https://docs.google.com/spreadsheets/d/194Bw3ABslPPhOOPvVoMzIk8sOQFICWBu2pydWdYMD-w/edit#gid=0"","""&amp;"'Game 8'!J25"")+100,IF(IMPORTRANGE(""https://docs.google.com/spreadsheets/d/194Bw3ABslPPhOOPvVoMzIk8sOQFICWBu2pydWdYMD-w/edit#gid=0"",""'Game 8'!J25"")=IMPORTRANGE(""https://docs.google.com/spreadsheets/d/194Bw3ABslPPhOOPvVoMzIk8sOQFICWBu2pydWdYMD-w/edit#"&amp;"gid=0"",""'Game 8'!S25""),IMPORTRANGE(""https://docs.google.com/spreadsheets/d/194Bw3ABslPPhOOPvVoMzIk8sOQFICWBu2pydWdYMD-w/edit#gid=0"",""'Game 8'!J25"")+50,IMPORTRANGE(""https://docs.google.com/spreadsheets/d/194Bw3ABslPPhOOPvVoMzIk8sOQFICWBu2pydWdYMD-w"&amp;"/edit#gid=0"",""'Game 8'!J25""))),IF(IMPORTRANGE(""https://docs.google.com/spreadsheets/d/194Bw3ABslPPhOOPvVoMzIk8sOQFICWBu2pydWdYMD-w/edit#gid=0"",""'Game 8'!J25"")&gt;IMPORTRANGE(""https://docs.google.com/spreadsheets/d/194Bw3ABslPPhOOPvVoMzIk8sOQFICWBu2py"&amp;"dWdYMD-w/edit#gid=0"",""'Game 8'!S25""),IMPORTRANGE(""https://docs.google.com/spreadsheets/d/194Bw3ABslPPhOOPvVoMzIk8sOQFICWBu2pydWdYMD-w/edit#gid=0"",""'Game 8'!S25""),IF(IMPORTRANGE(""https://docs.google.com/spreadsheets/d/194Bw3ABslPPhOOPvVoMzIk8sOQFIC"&amp;"WBu2pydWdYMD-w/edit#gid=0"",""'Game 8'!J25"")=IMPORTRANGE(""https://docs.google.com/spreadsheets/d/194Bw3ABslPPhOOPvVoMzIk8sOQFICWBu2pydWdYMD-w/edit#gid=0"",""'Game 8'!S25""),IMPORTRANGE(""https://docs.google.com/spreadsheets/d/194Bw3ABslPPhOOPvVoMzIk8sOQ"&amp;"FICWBu2pydWdYMD-w/edit#gid=0"",""'Game 8'!S25"")+50,IMPORTRANGE(""https://docs.google.com/spreadsheets/d/194Bw3ABslPPhOOPvVoMzIk8sOQFICWBu2pydWdYMD-w/edit#gid=0"",""'Game 8'!S25"")+100)))"),40.0)</f>
        <v>40</v>
      </c>
      <c r="K17" s="12">
        <f>IFERROR(__xludf.DUMMYFUNCTION("IF($A17=IMPORTRANGE(""https://docs.google.com/spreadsheets/d/1F2Bi6K_I1K9xRxY5qb-bNRo5m-Kw7udpF1OaTHhrxjs/edit#gid=0"",""'Game 7'!B1""),IF(IMPORTRANGE(""https://docs.google.com/spreadsheets/d/1F2Bi6K_I1K9xRxY5qb-bNRo5m-Kw7udpF1OaTHhrxjs/edit#gid=0"",""'Ga"&amp;"me 7'!J25"")&gt;IMPORTRANGE(""https://docs.google.com/spreadsheets/d/1F2Bi6K_I1K9xRxY5qb-bNRo5m-Kw7udpF1OaTHhrxjs/edit#gid=0"",""'Game 7'!S25""),IMPORTRANGE(""https://docs.google.com/spreadsheets/d/1F2Bi6K_I1K9xRxY5qb-bNRo5m-Kw7udpF1OaTHhrxjs/edit#gid=0"","""&amp;"'Game 7'!J25"")+100,IF(IMPORTRANGE(""https://docs.google.com/spreadsheets/d/1F2Bi6K_I1K9xRxY5qb-bNRo5m-Kw7udpF1OaTHhrxjs/edit#gid=0"",""'Game 7'!J25"")=IMPORTRANGE(""https://docs.google.com/spreadsheets/d/1F2Bi6K_I1K9xRxY5qb-bNRo5m-Kw7udpF1OaTHhrxjs/edit#"&amp;"gid=0"",""'Game 7'!S25""),IMPORTRANGE(""https://docs.google.com/spreadsheets/d/1F2Bi6K_I1K9xRxY5qb-bNRo5m-Kw7udpF1OaTHhrxjs/edit#gid=0"",""'Game 7'!J25"")+50,IMPORTRANGE(""https://docs.google.com/spreadsheets/d/1F2Bi6K_I1K9xRxY5qb-bNRo5m-Kw7udpF1OaTHhrxjs"&amp;"/edit#gid=0"",""'Game 7'!J25""))),IF(IMPORTRANGE(""https://docs.google.com/spreadsheets/d/1F2Bi6K_I1K9xRxY5qb-bNRo5m-Kw7udpF1OaTHhrxjs/edit#gid=0"",""'Game 7'!J25"")&gt;IMPORTRANGE(""https://docs.google.com/spreadsheets/d/1F2Bi6K_I1K9xRxY5qb-bNRo5m-Kw7udpF1O"&amp;"aTHhrxjs/edit#gid=0"",""'Game 7'!S25""),IMPORTRANGE(""https://docs.google.com/spreadsheets/d/1F2Bi6K_I1K9xRxY5qb-bNRo5m-Kw7udpF1OaTHhrxjs/edit#gid=0"",""'Game 7'!S25""),IF(IMPORTRANGE(""https://docs.google.com/spreadsheets/d/1F2Bi6K_I1K9xRxY5qb-bNRo5m-Kw7"&amp;"udpF1OaTHhrxjs/edit#gid=0"",""'Game 7'!J25"")=IMPORTRANGE(""https://docs.google.com/spreadsheets/d/1F2Bi6K_I1K9xRxY5qb-bNRo5m-Kw7udpF1OaTHhrxjs/edit#gid=0"",""'Game 7'!S25""),IMPORTRANGE(""https://docs.google.com/spreadsheets/d/1F2Bi6K_I1K9xRxY5qb-bNRo5m-"&amp;"Kw7udpF1OaTHhrxjs/edit#gid=0"",""'Game 7'!S25"")+50,IMPORTRANGE(""https://docs.google.com/spreadsheets/d/1F2Bi6K_I1K9xRxY5qb-bNRo5m-Kw7udpF1OaTHhrxjs/edit#gid=0"",""'Game 7'!S25"")+100)))"),204.0)</f>
        <v>204</v>
      </c>
      <c r="L17" s="12">
        <f>IFERROR(__xludf.DUMMYFUNCTION("IF($A17=IMPORTRANGE(""https://docs.google.com/spreadsheets/d/1NDNgi_Ny4dRhc2A3UMIIkalN-V6EmsvxOfDzMRQlQ40/edit#gid=0"",""'Game 7'!B1""),IF(IMPORTRANGE(""https://docs.google.com/spreadsheets/d/1NDNgi_Ny4dRhc2A3UMIIkalN-V6EmsvxOfDzMRQlQ40/edit#gid=0"",""'Ga"&amp;"me 7'!J25"")&gt;IMPORTRANGE(""https://docs.google.com/spreadsheets/d/1NDNgi_Ny4dRhc2A3UMIIkalN-V6EmsvxOfDzMRQlQ40/edit#gid=0"",""'Game 7'!S25""),IMPORTRANGE(""https://docs.google.com/spreadsheets/d/1NDNgi_Ny4dRhc2A3UMIIkalN-V6EmsvxOfDzMRQlQ40/edit#gid=0"","""&amp;"'Game 7'!J25"")+100,IF(IMPORTRANGE(""https://docs.google.com/spreadsheets/d/1NDNgi_Ny4dRhc2A3UMIIkalN-V6EmsvxOfDzMRQlQ40/edit#gid=0"",""'Game 7'!J25"")=IMPORTRANGE(""https://docs.google.com/spreadsheets/d/1NDNgi_Ny4dRhc2A3UMIIkalN-V6EmsvxOfDzMRQlQ40/edit#"&amp;"gid=0"",""'Game 7'!S25""),IMPORTRANGE(""https://docs.google.com/spreadsheets/d/1NDNgi_Ny4dRhc2A3UMIIkalN-V6EmsvxOfDzMRQlQ40/edit#gid=0"",""'Game 7'!J25"")+50,IMPORTRANGE(""https://docs.google.com/spreadsheets/d/1NDNgi_Ny4dRhc2A3UMIIkalN-V6EmsvxOfDzMRQlQ40"&amp;"/edit#gid=0"",""'Game 7'!J25""))),IF(IMPORTRANGE(""https://docs.google.com/spreadsheets/d/1NDNgi_Ny4dRhc2A3UMIIkalN-V6EmsvxOfDzMRQlQ40/edit#gid=0"",""'Game 7'!J25"")&gt;IMPORTRANGE(""https://docs.google.com/spreadsheets/d/1NDNgi_Ny4dRhc2A3UMIIkalN-V6EmsvxOfD"&amp;"zMRQlQ40/edit#gid=0"",""'Game 7'!S25""),IMPORTRANGE(""https://docs.google.com/spreadsheets/d/1NDNgi_Ny4dRhc2A3UMIIkalN-V6EmsvxOfDzMRQlQ40/edit#gid=0"",""'Game 7'!S25""),IF(IMPORTRANGE(""https://docs.google.com/spreadsheets/d/1NDNgi_Ny4dRhc2A3UMIIkalN-V6Em"&amp;"svxOfDzMRQlQ40/edit#gid=0"",""'Game 7'!J25"")=IMPORTRANGE(""https://docs.google.com/spreadsheets/d/1NDNgi_Ny4dRhc2A3UMIIkalN-V6EmsvxOfDzMRQlQ40/edit#gid=0"",""'Game 7'!S25""),IMPORTRANGE(""https://docs.google.com/spreadsheets/d/1NDNgi_Ny4dRhc2A3UMIIkalN-V"&amp;"6EmsvxOfDzMRQlQ40/edit#gid=0"",""'Game 7'!S25"")+50,IMPORTRANGE(""https://docs.google.com/spreadsheets/d/1NDNgi_Ny4dRhc2A3UMIIkalN-V6EmsvxOfDzMRQlQ40/edit#gid=0"",""'Game 7'!S25"")+100)))"),46.0)</f>
        <v>46</v>
      </c>
      <c r="M17" s="12">
        <f>IFERROR(__xludf.DUMMYFUNCTION("IF($A17=IMPORTRANGE(""https://docs.google.com/spreadsheets/d/1UDYA3-RrkJNLa2ZLH1NnUjKyfCoiSODmgVL_Au_zt-Y/edit#gid=0"",""'Game 3'!B1""),IF(IMPORTRANGE(""https://docs.google.com/spreadsheets/d/1UDYA3-RrkJNLa2ZLH1NnUjKyfCoiSODmgVL_Au_zt-Y/edit#gid=0"",""'Ga"&amp;"me 3'!J25"")&gt;IMPORTRANGE(""https://docs.google.com/spreadsheets/d/1UDYA3-RrkJNLa2ZLH1NnUjKyfCoiSODmgVL_Au_zt-Y/edit#gid=0"",""'Game 3'!S25""),IMPORTRANGE(""https://docs.google.com/spreadsheets/d/1UDYA3-RrkJNLa2ZLH1NnUjKyfCoiSODmgVL_Au_zt-Y/edit#gid=0"","""&amp;"'Game 3'!J25"")+100,IF(IMPORTRANGE(""https://docs.google.com/spreadsheets/d/1UDYA3-RrkJNLa2ZLH1NnUjKyfCoiSODmgVL_Au_zt-Y/edit#gid=0"",""'Game 3'!J25"")=IMPORTRANGE(""https://docs.google.com/spreadsheets/d/1UDYA3-RrkJNLa2ZLH1NnUjKyfCoiSODmgVL_Au_zt-Y/edit#"&amp;"gid=0"",""'Game 3'!S25""),IMPORTRANGE(""https://docs.google.com/spreadsheets/d/1UDYA3-RrkJNLa2ZLH1NnUjKyfCoiSODmgVL_Au_zt-Y/edit#gid=0"",""'Game 3'!J25"")+50,IMPORTRANGE(""https://docs.google.com/spreadsheets/d/1UDYA3-RrkJNLa2ZLH1NnUjKyfCoiSODmgVL_Au_zt-Y"&amp;"/edit#gid=0"",""'Game 3'!J25""))),IF(IMPORTRANGE(""https://docs.google.com/spreadsheets/d/1UDYA3-RrkJNLa2ZLH1NnUjKyfCoiSODmgVL_Au_zt-Y/edit#gid=0"",""'Game 3'!J25"")&gt;IMPORTRANGE(""https://docs.google.com/spreadsheets/d/1UDYA3-RrkJNLa2ZLH1NnUjKyfCoiSODmgVL"&amp;"_Au_zt-Y/edit#gid=0"",""'Game 3'!S25""),IMPORTRANGE(""https://docs.google.com/spreadsheets/d/1UDYA3-RrkJNLa2ZLH1NnUjKyfCoiSODmgVL_Au_zt-Y/edit#gid=0"",""'Game 3'!S25""),IF(IMPORTRANGE(""https://docs.google.com/spreadsheets/d/1UDYA3-RrkJNLa2ZLH1NnUjKyfCoiS"&amp;"ODmgVL_Au_zt-Y/edit#gid=0"",""'Game 3'!J25"")=IMPORTRANGE(""https://docs.google.com/spreadsheets/d/1UDYA3-RrkJNLa2ZLH1NnUjKyfCoiSODmgVL_Au_zt-Y/edit#gid=0"",""'Game 3'!S25""),IMPORTRANGE(""https://docs.google.com/spreadsheets/d/1UDYA3-RrkJNLa2ZLH1NnUjKyfC"&amp;"oiSODmgVL_Au_zt-Y/edit#gid=0"",""'Game 3'!S25"")+50,IMPORTRANGE(""https://docs.google.com/spreadsheets/d/1UDYA3-RrkJNLa2ZLH1NnUjKyfCoiSODmgVL_Au_zt-Y/edit#gid=0"",""'Game 3'!S25"")+100)))"),226.0)</f>
        <v>226</v>
      </c>
      <c r="N17" s="12">
        <f>IFERROR(__xludf.DUMMYFUNCTION("IF($A17=IMPORTRANGE(""https://docs.google.com/spreadsheets/d/1fvo6H94Wcffp6c4N9g3JKCW6y2ZlijPxdOsNz7xdBhw/edit#gid=0"",""'Game 3'!B1""),IF(IMPORTRANGE(""https://docs.google.com/spreadsheets/d/1fvo6H94Wcffp6c4N9g3JKCW6y2ZlijPxdOsNz7xdBhw/edit#gid=0"",""'Ga"&amp;"me 3'!J25"")&gt;IMPORTRANGE(""https://docs.google.com/spreadsheets/d/1fvo6H94Wcffp6c4N9g3JKCW6y2ZlijPxdOsNz7xdBhw/edit#gid=0"",""'Game 3'!S25""),IMPORTRANGE(""https://docs.google.com/spreadsheets/d/1fvo6H94Wcffp6c4N9g3JKCW6y2ZlijPxdOsNz7xdBhw/edit#gid=0"","""&amp;"'Game 3'!J25"")+100,IF(IMPORTRANGE(""https://docs.google.com/spreadsheets/d/1fvo6H94Wcffp6c4N9g3JKCW6y2ZlijPxdOsNz7xdBhw/edit#gid=0"",""'Game 3'!J25"")=IMPORTRANGE(""https://docs.google.com/spreadsheets/d/1fvo6H94Wcffp6c4N9g3JKCW6y2ZlijPxdOsNz7xdBhw/edit#"&amp;"gid=0"",""'Game 3'!S25""),IMPORTRANGE(""https://docs.google.com/spreadsheets/d/1fvo6H94Wcffp6c4N9g3JKCW6y2ZlijPxdOsNz7xdBhw/edit#gid=0"",""'Game 3'!J25"")+50,IMPORTRANGE(""https://docs.google.com/spreadsheets/d/1fvo6H94Wcffp6c4N9g3JKCW6y2ZlijPxdOsNz7xdBhw"&amp;"/edit#gid=0"",""'Game 3'!J25""))),IF(IMPORTRANGE(""https://docs.google.com/spreadsheets/d/1fvo6H94Wcffp6c4N9g3JKCW6y2ZlijPxdOsNz7xdBhw/edit#gid=0"",""'Game 3'!J25"")&gt;IMPORTRANGE(""https://docs.google.com/spreadsheets/d/1fvo6H94Wcffp6c4N9g3JKCW6y2ZlijPxdOs"&amp;"Nz7xdBhw/edit#gid=0"",""'Game 3'!S25""),IMPORTRANGE(""https://docs.google.com/spreadsheets/d/1fvo6H94Wcffp6c4N9g3JKCW6y2ZlijPxdOsNz7xdBhw/edit#gid=0"",""'Game 3'!S25""),IF(IMPORTRANGE(""https://docs.google.com/spreadsheets/d/1fvo6H94Wcffp6c4N9g3JKCW6y2Zli"&amp;"jPxdOsNz7xdBhw/edit#gid=0"",""'Game 3'!J25"")=IMPORTRANGE(""https://docs.google.com/spreadsheets/d/1fvo6H94Wcffp6c4N9g3JKCW6y2ZlijPxdOsNz7xdBhw/edit#gid=0"",""'Game 3'!S25""),IMPORTRANGE(""https://docs.google.com/spreadsheets/d/1fvo6H94Wcffp6c4N9g3JKCW6y2"&amp;"ZlijPxdOsNz7xdBhw/edit#gid=0"",""'Game 3'!S25"")+50,IMPORTRANGE(""https://docs.google.com/spreadsheets/d/1fvo6H94Wcffp6c4N9g3JKCW6y2ZlijPxdOsNz7xdBhw/edit#gid=0"",""'Game 3'!S25"")+100)))"),80.0)</f>
        <v>80</v>
      </c>
      <c r="O17" s="12">
        <f>IFERROR(__xludf.DUMMYFUNCTION("IF($A17=IMPORTRANGE(""https://docs.google.com/spreadsheets/d/1wfQePArl-A-5QJe5xAufoOnzeNLVSoHCRcmpZ_FMdns/edit#gid=0"",""'Game 7'!B1""),IF(IMPORTRANGE(""https://docs.google.com/spreadsheets/d/1wfQePArl-A-5QJe5xAufoOnzeNLVSoHCRcmpZ_FMdns/edit#gid=0"",""'Ga"&amp;"me 7'!J25"")&gt;IMPORTRANGE(""https://docs.google.com/spreadsheets/d/1wfQePArl-A-5QJe5xAufoOnzeNLVSoHCRcmpZ_FMdns/edit#gid=0"",""'Game 7'!S25""),IMPORTRANGE(""https://docs.google.com/spreadsheets/d/1wfQePArl-A-5QJe5xAufoOnzeNLVSoHCRcmpZ_FMdns/edit#gid=0"","""&amp;"'Game 7'!J25"")+100,IF(IMPORTRANGE(""https://docs.google.com/spreadsheets/d/1wfQePArl-A-5QJe5xAufoOnzeNLVSoHCRcmpZ_FMdns/edit#gid=0"",""'Game 7'!J25"")=IMPORTRANGE(""https://docs.google.com/spreadsheets/d/1wfQePArl-A-5QJe5xAufoOnzeNLVSoHCRcmpZ_FMdns/edit#"&amp;"gid=0"",""'Game 7'!S25""),IMPORTRANGE(""https://docs.google.com/spreadsheets/d/1wfQePArl-A-5QJe5xAufoOnzeNLVSoHCRcmpZ_FMdns/edit#gid=0"",""'Game 7'!J25"")+50,IMPORTRANGE(""https://docs.google.com/spreadsheets/d/1wfQePArl-A-5QJe5xAufoOnzeNLVSoHCRcmpZ_FMdns"&amp;"/edit#gid=0"",""'Game 7'!J25""))),IF(IMPORTRANGE(""https://docs.google.com/spreadsheets/d/1wfQePArl-A-5QJe5xAufoOnzeNLVSoHCRcmpZ_FMdns/edit#gid=0"",""'Game 7'!J25"")&gt;IMPORTRANGE(""https://docs.google.com/spreadsheets/d/1wfQePArl-A-5QJe5xAufoOnzeNLVSoHCRcm"&amp;"pZ_FMdns/edit#gid=0"",""'Game 7'!S25""),IMPORTRANGE(""https://docs.google.com/spreadsheets/d/1wfQePArl-A-5QJe5xAufoOnzeNLVSoHCRcmpZ_FMdns/edit#gid=0"",""'Game 7'!S25""),IF(IMPORTRANGE(""https://docs.google.com/spreadsheets/d/1wfQePArl-A-5QJe5xAufoOnzeNLVS"&amp;"oHCRcmpZ_FMdns/edit#gid=0"",""'Game 7'!J25"")=IMPORTRANGE(""https://docs.google.com/spreadsheets/d/1wfQePArl-A-5QJe5xAufoOnzeNLVSoHCRcmpZ_FMdns/edit#gid=0"",""'Game 7'!S25""),IMPORTRANGE(""https://docs.google.com/spreadsheets/d/1wfQePArl-A-5QJe5xAufoOnzeN"&amp;"LVSoHCRcmpZ_FMdns/edit#gid=0"",""'Game 7'!S25"")+50,IMPORTRANGE(""https://docs.google.com/spreadsheets/d/1wfQePArl-A-5QJe5xAufoOnzeNLVSoHCRcmpZ_FMdns/edit#gid=0"",""'Game 7'!S25"")+100)))"),48.0)</f>
        <v>48</v>
      </c>
      <c r="P17" s="12">
        <f>IFERROR(__xludf.DUMMYFUNCTION("IF($A17=IMPORTRANGE(""https://docs.google.com/spreadsheets/d/1wydNznS0hZhVh3oGSdiCZSsReuqMT7Xaw718ix58zAI/edit#gid=0"",""'Game 1'!B1""),IF(IMPORTRANGE(""https://docs.google.com/spreadsheets/d/1wydNznS0hZhVh3oGSdiCZSsReuqMT7Xaw718ix58zAI/edit#gid=0"",""'Ga"&amp;"me 1'!J25"")&gt;IMPORTRANGE(""https://docs.google.com/spreadsheets/d/1wydNznS0hZhVh3oGSdiCZSsReuqMT7Xaw718ix58zAI/edit#gid=0"",""'Game 1'!S25""),IMPORTRANGE(""https://docs.google.com/spreadsheets/d/1wydNznS0hZhVh3oGSdiCZSsReuqMT7Xaw718ix58zAI/edit#gid=0"","""&amp;"'Game 1'!J25"")+100,IF(IMPORTRANGE(""https://docs.google.com/spreadsheets/d/1wydNznS0hZhVh3oGSdiCZSsReuqMT7Xaw718ix58zAI/edit#gid=0"",""'Game 1'!J25"")=IMPORTRANGE(""https://docs.google.com/spreadsheets/d/1wydNznS0hZhVh3oGSdiCZSsReuqMT7Xaw718ix58zAI/edit#"&amp;"gid=0"",""'Game 1'!S25""),IMPORTRANGE(""https://docs.google.com/spreadsheets/d/1wydNznS0hZhVh3oGSdiCZSsReuqMT7Xaw718ix58zAI/edit#gid=0"",""'Game 1'!J25"")+50,IMPORTRANGE(""https://docs.google.com/spreadsheets/d/1wydNznS0hZhVh3oGSdiCZSsReuqMT7Xaw718ix58zAI"&amp;"/edit#gid=0"",""'Game 1'!J25""))),IF(IMPORTRANGE(""https://docs.google.com/spreadsheets/d/1wydNznS0hZhVh3oGSdiCZSsReuqMT7Xaw718ix58zAI/edit#gid=0"",""'Game 1'!J25"")&gt;IMPORTRANGE(""https://docs.google.com/spreadsheets/d/1wydNznS0hZhVh3oGSdiCZSsReuqMT7Xaw71"&amp;"8ix58zAI/edit#gid=0"",""'Game 1'!S25""),IMPORTRANGE(""https://docs.google.com/spreadsheets/d/1wydNznS0hZhVh3oGSdiCZSsReuqMT7Xaw718ix58zAI/edit#gid=0"",""'Game 1'!S25""),IF(IMPORTRANGE(""https://docs.google.com/spreadsheets/d/1wydNznS0hZhVh3oGSdiCZSsReuqMT"&amp;"7Xaw718ix58zAI/edit#gid=0"",""'Game 1'!J25"")=IMPORTRANGE(""https://docs.google.com/spreadsheets/d/1wydNznS0hZhVh3oGSdiCZSsReuqMT7Xaw718ix58zAI/edit#gid=0"",""'Game 1'!S25""),IMPORTRANGE(""https://docs.google.com/spreadsheets/d/1wydNznS0hZhVh3oGSdiCZSsReu"&amp;"qMT7Xaw718ix58zAI/edit#gid=0"",""'Game 1'!S25"")+50,IMPORTRANGE(""https://docs.google.com/spreadsheets/d/1wydNznS0hZhVh3oGSdiCZSsReuqMT7Xaw718ix58zAI/edit#gid=0"",""'Game 1'!S25"")+100)))"),200.0)</f>
        <v>200</v>
      </c>
      <c r="Q17" s="37">
        <f t="shared" si="1"/>
        <v>1764</v>
      </c>
      <c r="R17" s="37">
        <f t="shared" si="2"/>
        <v>12</v>
      </c>
    </row>
    <row r="18">
      <c r="A18" s="33" t="s">
        <v>223</v>
      </c>
      <c r="B18" s="34">
        <v>218.0</v>
      </c>
      <c r="C18" s="34">
        <v>252.0</v>
      </c>
      <c r="D18" s="34">
        <v>186.0</v>
      </c>
      <c r="E18" s="34">
        <v>198.0</v>
      </c>
      <c r="F18" s="34">
        <v>180.0</v>
      </c>
      <c r="G18" s="5">
        <f>IFERROR(__xludf.DUMMYFUNCTION("IF($A18=IMPORTRANGE(""https://docs.google.com/spreadsheets/d/19gjAD4NwTXl_QoKUuwHQ1cWG_S2BOW94pDcyFtPwheg/edit#gid=0"",""'Game 4'!B1""),IF(IMPORTRANGE(""https://docs.google.com/spreadsheets/d/19gjAD4NwTXl_QoKUuwHQ1cWG_S2BOW94pDcyFtPwheg/edit#gid=0"",""'Ga"&amp;"me 4'!J25"")&gt;IMPORTRANGE(""https://docs.google.com/spreadsheets/d/19gjAD4NwTXl_QoKUuwHQ1cWG_S2BOW94pDcyFtPwheg/edit#gid=0"",""'Game 4'!S25""),IMPORTRANGE(""https://docs.google.com/spreadsheets/d/19gjAD4NwTXl_QoKUuwHQ1cWG_S2BOW94pDcyFtPwheg/edit#gid=0"","""&amp;"'Game 4'!J25"")+100,IF(IMPORTRANGE(""https://docs.google.com/spreadsheets/d/19gjAD4NwTXl_QoKUuwHQ1cWG_S2BOW94pDcyFtPwheg/edit#gid=0"",""'Game 4'!J25"")=IMPORTRANGE(""https://docs.google.com/spreadsheets/d/19gjAD4NwTXl_QoKUuwHQ1cWG_S2BOW94pDcyFtPwheg/edit#"&amp;"gid=0"",""'Game 4'!S25""),IMPORTRANGE(""https://docs.google.com/spreadsheets/d/19gjAD4NwTXl_QoKUuwHQ1cWG_S2BOW94pDcyFtPwheg/edit#gid=0"",""'Game 4'!J25"")+50,IMPORTRANGE(""https://docs.google.com/spreadsheets/d/19gjAD4NwTXl_QoKUuwHQ1cWG_S2BOW94pDcyFtPwheg"&amp;"/edit#gid=0"",""'Game 4'!J25""))),IF(IMPORTRANGE(""https://docs.google.com/spreadsheets/d/19gjAD4NwTXl_QoKUuwHQ1cWG_S2BOW94pDcyFtPwheg/edit#gid=0"",""'Game 4'!J25"")&gt;IMPORTRANGE(""https://docs.google.com/spreadsheets/d/19gjAD4NwTXl_QoKUuwHQ1cWG_S2BOW94pDc"&amp;"yFtPwheg/edit#gid=0"",""'Game 4'!S25""),IMPORTRANGE(""https://docs.google.com/spreadsheets/d/19gjAD4NwTXl_QoKUuwHQ1cWG_S2BOW94pDcyFtPwheg/edit#gid=0"",""'Game 4'!S25""),IF(IMPORTRANGE(""https://docs.google.com/spreadsheets/d/19gjAD4NwTXl_QoKUuwHQ1cWG_S2BO"&amp;"W94pDcyFtPwheg/edit#gid=0"",""'Game 4'!J25"")=IMPORTRANGE(""https://docs.google.com/spreadsheets/d/19gjAD4NwTXl_QoKUuwHQ1cWG_S2BOW94pDcyFtPwheg/edit#gid=0"",""'Game 4'!S25""),IMPORTRANGE(""https://docs.google.com/spreadsheets/d/19gjAD4NwTXl_QoKUuwHQ1cWG_S"&amp;"2BOW94pDcyFtPwheg/edit#gid=0"",""'Game 4'!S25"")+50,IMPORTRANGE(""https://docs.google.com/spreadsheets/d/19gjAD4NwTXl_QoKUuwHQ1cWG_S2BOW94pDcyFtPwheg/edit#gid=0"",""'Game 4'!S25"")+100)))"),220.0)</f>
        <v>220</v>
      </c>
      <c r="H18" s="5">
        <f>IFERROR(__xludf.DUMMYFUNCTION("IF($A18=IMPORTRANGE(""https://docs.google.com/spreadsheets/d/1l83w8bH-F1czkFOqsgQy6o8O33Jb4Pfg40W0ou2nk0k/edit#gid=0"",""'Game 2'!B1""),IF(IMPORTRANGE(""https://docs.google.com/spreadsheets/d/1l83w8bH-F1czkFOqsgQy6o8O33Jb4Pfg40W0ou2nk0k/edit#gid=0"",""'Ga"&amp;"me 2'!J25"")&gt;IMPORTRANGE(""https://docs.google.com/spreadsheets/d/1l83w8bH-F1czkFOqsgQy6o8O33Jb4Pfg40W0ou2nk0k/edit#gid=0"",""'Game 2'!S25""),IMPORTRANGE(""https://docs.google.com/spreadsheets/d/1l83w8bH-F1czkFOqsgQy6o8O33Jb4Pfg40W0ou2nk0k/edit#gid=0"","""&amp;"'Game 2'!J25"")+100,IF(IMPORTRANGE(""https://docs.google.com/spreadsheets/d/1l83w8bH-F1czkFOqsgQy6o8O33Jb4Pfg40W0ou2nk0k/edit#gid=0"",""'Game 2'!J25"")=IMPORTRANGE(""https://docs.google.com/spreadsheets/d/1l83w8bH-F1czkFOqsgQy6o8O33Jb4Pfg40W0ou2nk0k/edit#"&amp;"gid=0"",""'Game 2'!S25""),IMPORTRANGE(""https://docs.google.com/spreadsheets/d/1l83w8bH-F1czkFOqsgQy6o8O33Jb4Pfg40W0ou2nk0k/edit#gid=0"",""'Game 2'!J25"")+50,IMPORTRANGE(""https://docs.google.com/spreadsheets/d/1l83w8bH-F1czkFOqsgQy6o8O33Jb4Pfg40W0ou2nk0k"&amp;"/edit#gid=0"",""'Game 2'!J25""))),IF(IMPORTRANGE(""https://docs.google.com/spreadsheets/d/1l83w8bH-F1czkFOqsgQy6o8O33Jb4Pfg40W0ou2nk0k/edit#gid=0"",""'Game 2'!J25"")&gt;IMPORTRANGE(""https://docs.google.com/spreadsheets/d/1l83w8bH-F1czkFOqsgQy6o8O33Jb4Pfg40W"&amp;"0ou2nk0k/edit#gid=0"",""'Game 2'!S25""),IMPORTRANGE(""https://docs.google.com/spreadsheets/d/1l83w8bH-F1czkFOqsgQy6o8O33Jb4Pfg40W0ou2nk0k/edit#gid=0"",""'Game 2'!S25""),IF(IMPORTRANGE(""https://docs.google.com/spreadsheets/d/1l83w8bH-F1czkFOqsgQy6o8O33Jb4"&amp;"Pfg40W0ou2nk0k/edit#gid=0"",""'Game 2'!J25"")=IMPORTRANGE(""https://docs.google.com/spreadsheets/d/1l83w8bH-F1czkFOqsgQy6o8O33Jb4Pfg40W0ou2nk0k/edit#gid=0"",""'Game 2'!S25""),IMPORTRANGE(""https://docs.google.com/spreadsheets/d/1l83w8bH-F1czkFOqsgQy6o8O33"&amp;"Jb4Pfg40W0ou2nk0k/edit#gid=0"",""'Game 2'!S25"")+50,IMPORTRANGE(""https://docs.google.com/spreadsheets/d/1l83w8bH-F1czkFOqsgQy6o8O33Jb4Pfg40W0ou2nk0k/edit#gid=0"",""'Game 2'!S25"")+100)))"),234.0)</f>
        <v>234</v>
      </c>
      <c r="I18" s="5">
        <f>IFERROR(__xludf.DUMMYFUNCTION("IF($A18=IMPORTRANGE(""https://docs.google.com/spreadsheets/d/15X-ub7GvrCQZ3UGgyogcjwYdxG-Ng8WHxzGSj1Z3eLw/edit#gid=0"",""'Game 2'!B1""),IF(IMPORTRANGE(""https://docs.google.com/spreadsheets/d/15X-ub7GvrCQZ3UGgyogcjwYdxG-Ng8WHxzGSj1Z3eLw/edit#gid=0"",""'Ga"&amp;"me 2'!J25"")&gt;IMPORTRANGE(""https://docs.google.com/spreadsheets/d/15X-ub7GvrCQZ3UGgyogcjwYdxG-Ng8WHxzGSj1Z3eLw/edit#gid=0"",""'Game 2'!S25""),IMPORTRANGE(""https://docs.google.com/spreadsheets/d/15X-ub7GvrCQZ3UGgyogcjwYdxG-Ng8WHxzGSj1Z3eLw/edit#gid=0"","""&amp;"'Game 2'!J25"")+100,IF(IMPORTRANGE(""https://docs.google.com/spreadsheets/d/15X-ub7GvrCQZ3UGgyogcjwYdxG-Ng8WHxzGSj1Z3eLw/edit#gid=0"",""'Game 2'!J25"")=IMPORTRANGE(""https://docs.google.com/spreadsheets/d/15X-ub7GvrCQZ3UGgyogcjwYdxG-Ng8WHxzGSj1Z3eLw/edit#"&amp;"gid=0"",""'Game 2'!S25""),IMPORTRANGE(""https://docs.google.com/spreadsheets/d/15X-ub7GvrCQZ3UGgyogcjwYdxG-Ng8WHxzGSj1Z3eLw/edit#gid=0"",""'Game 2'!J25"")+50,IMPORTRANGE(""https://docs.google.com/spreadsheets/d/15X-ub7GvrCQZ3UGgyogcjwYdxG-Ng8WHxzGSj1Z3eLw"&amp;"/edit#gid=0"",""'Game 2'!J25""))),IF(IMPORTRANGE(""https://docs.google.com/spreadsheets/d/15X-ub7GvrCQZ3UGgyogcjwYdxG-Ng8WHxzGSj1Z3eLw/edit#gid=0"",""'Game 2'!J25"")&gt;IMPORTRANGE(""https://docs.google.com/spreadsheets/d/15X-ub7GvrCQZ3UGgyogcjwYdxG-Ng8WHxzG"&amp;"Sj1Z3eLw/edit#gid=0"",""'Game 2'!S25""),IMPORTRANGE(""https://docs.google.com/spreadsheets/d/15X-ub7GvrCQZ3UGgyogcjwYdxG-Ng8WHxzGSj1Z3eLw/edit#gid=0"",""'Game 2'!S25""),IF(IMPORTRANGE(""https://docs.google.com/spreadsheets/d/15X-ub7GvrCQZ3UGgyogcjwYdxG-Ng"&amp;"8WHxzGSj1Z3eLw/edit#gid=0"",""'Game 2'!J25"")=IMPORTRANGE(""https://docs.google.com/spreadsheets/d/15X-ub7GvrCQZ3UGgyogcjwYdxG-Ng8WHxzGSj1Z3eLw/edit#gid=0"",""'Game 2'!S25""),IMPORTRANGE(""https://docs.google.com/spreadsheets/d/15X-ub7GvrCQZ3UGgyogcjwYdxG"&amp;"-Ng8WHxzGSj1Z3eLw/edit#gid=0"",""'Game 2'!S25"")+50,IMPORTRANGE(""https://docs.google.com/spreadsheets/d/15X-ub7GvrCQZ3UGgyogcjwYdxG-Ng8WHxzGSj1Z3eLw/edit#gid=0"",""'Game 2'!S25"")+100)))"),156.0)</f>
        <v>156</v>
      </c>
      <c r="J18" s="5">
        <f>IFERROR(__xludf.DUMMYFUNCTION("IF($A18=IMPORTRANGE(""https://docs.google.com/spreadsheets/d/194Bw3ABslPPhOOPvVoMzIk8sOQFICWBu2pydWdYMD-w/edit#gid=0"",""'Game 5'!B1""),IF(IMPORTRANGE(""https://docs.google.com/spreadsheets/d/194Bw3ABslPPhOOPvVoMzIk8sOQFICWBu2pydWdYMD-w/edit#gid=0"",""'Ga"&amp;"me 5'!J25"")&gt;IMPORTRANGE(""https://docs.google.com/spreadsheets/d/194Bw3ABslPPhOOPvVoMzIk8sOQFICWBu2pydWdYMD-w/edit#gid=0"",""'Game 5'!S25""),IMPORTRANGE(""https://docs.google.com/spreadsheets/d/194Bw3ABslPPhOOPvVoMzIk8sOQFICWBu2pydWdYMD-w/edit#gid=0"","""&amp;"'Game 5'!J25"")+100,IF(IMPORTRANGE(""https://docs.google.com/spreadsheets/d/194Bw3ABslPPhOOPvVoMzIk8sOQFICWBu2pydWdYMD-w/edit#gid=0"",""'Game 5'!J25"")=IMPORTRANGE(""https://docs.google.com/spreadsheets/d/194Bw3ABslPPhOOPvVoMzIk8sOQFICWBu2pydWdYMD-w/edit#"&amp;"gid=0"",""'Game 5'!S25""),IMPORTRANGE(""https://docs.google.com/spreadsheets/d/194Bw3ABslPPhOOPvVoMzIk8sOQFICWBu2pydWdYMD-w/edit#gid=0"",""'Game 5'!J25"")+50,IMPORTRANGE(""https://docs.google.com/spreadsheets/d/194Bw3ABslPPhOOPvVoMzIk8sOQFICWBu2pydWdYMD-w"&amp;"/edit#gid=0"",""'Game 5'!J25""))),IF(IMPORTRANGE(""https://docs.google.com/spreadsheets/d/194Bw3ABslPPhOOPvVoMzIk8sOQFICWBu2pydWdYMD-w/edit#gid=0"",""'Game 5'!J25"")&gt;IMPORTRANGE(""https://docs.google.com/spreadsheets/d/194Bw3ABslPPhOOPvVoMzIk8sOQFICWBu2py"&amp;"dWdYMD-w/edit#gid=0"",""'Game 5'!S25""),IMPORTRANGE(""https://docs.google.com/spreadsheets/d/194Bw3ABslPPhOOPvVoMzIk8sOQFICWBu2pydWdYMD-w/edit#gid=0"",""'Game 5'!S25""),IF(IMPORTRANGE(""https://docs.google.com/spreadsheets/d/194Bw3ABslPPhOOPvVoMzIk8sOQFIC"&amp;"WBu2pydWdYMD-w/edit#gid=0"",""'Game 5'!J25"")=IMPORTRANGE(""https://docs.google.com/spreadsheets/d/194Bw3ABslPPhOOPvVoMzIk8sOQFICWBu2pydWdYMD-w/edit#gid=0"",""'Game 5'!S25""),IMPORTRANGE(""https://docs.google.com/spreadsheets/d/194Bw3ABslPPhOOPvVoMzIk8sOQ"&amp;"FICWBu2pydWdYMD-w/edit#gid=0"",""'Game 5'!S25"")+50,IMPORTRANGE(""https://docs.google.com/spreadsheets/d/194Bw3ABslPPhOOPvVoMzIk8sOQFICWBu2pydWdYMD-w/edit#gid=0"",""'Game 5'!S25"")+100)))"),50.0)</f>
        <v>50</v>
      </c>
      <c r="K18" s="5">
        <f>IFERROR(__xludf.DUMMYFUNCTION("IF($A18=IMPORTRANGE(""https://docs.google.com/spreadsheets/d/1F2Bi6K_I1K9xRxY5qb-bNRo5m-Kw7udpF1OaTHhrxjs/edit#gid=0"",""'Game 9'!B1""),IF(IMPORTRANGE(""https://docs.google.com/spreadsheets/d/1F2Bi6K_I1K9xRxY5qb-bNRo5m-Kw7udpF1OaTHhrxjs/edit#gid=0"",""'Ga"&amp;"me 9'!J25"")&gt;IMPORTRANGE(""https://docs.google.com/spreadsheets/d/1F2Bi6K_I1K9xRxY5qb-bNRo5m-Kw7udpF1OaTHhrxjs/edit#gid=0"",""'Game 9'!S25""),IMPORTRANGE(""https://docs.google.com/spreadsheets/d/1F2Bi6K_I1K9xRxY5qb-bNRo5m-Kw7udpF1OaTHhrxjs/edit#gid=0"","""&amp;"'Game 9'!J25"")+100,IF(IMPORTRANGE(""https://docs.google.com/spreadsheets/d/1F2Bi6K_I1K9xRxY5qb-bNRo5m-Kw7udpF1OaTHhrxjs/edit#gid=0"",""'Game 9'!J25"")=IMPORTRANGE(""https://docs.google.com/spreadsheets/d/1F2Bi6K_I1K9xRxY5qb-bNRo5m-Kw7udpF1OaTHhrxjs/edit#"&amp;"gid=0"",""'Game 9'!S25""),IMPORTRANGE(""https://docs.google.com/spreadsheets/d/1F2Bi6K_I1K9xRxY5qb-bNRo5m-Kw7udpF1OaTHhrxjs/edit#gid=0"",""'Game 9'!J25"")+50,IMPORTRANGE(""https://docs.google.com/spreadsheets/d/1F2Bi6K_I1K9xRxY5qb-bNRo5m-Kw7udpF1OaTHhrxjs"&amp;"/edit#gid=0"",""'Game 9'!J25""))),IF(IMPORTRANGE(""https://docs.google.com/spreadsheets/d/1F2Bi6K_I1K9xRxY5qb-bNRo5m-Kw7udpF1OaTHhrxjs/edit#gid=0"",""'Game 9'!J25"")&gt;IMPORTRANGE(""https://docs.google.com/spreadsheets/d/1F2Bi6K_I1K9xRxY5qb-bNRo5m-Kw7udpF1O"&amp;"aTHhrxjs/edit#gid=0"",""'Game 9'!S25""),IMPORTRANGE(""https://docs.google.com/spreadsheets/d/1F2Bi6K_I1K9xRxY5qb-bNRo5m-Kw7udpF1OaTHhrxjs/edit#gid=0"",""'Game 9'!S25""),IF(IMPORTRANGE(""https://docs.google.com/spreadsheets/d/1F2Bi6K_I1K9xRxY5qb-bNRo5m-Kw7"&amp;"udpF1OaTHhrxjs/edit#gid=0"",""'Game 9'!J25"")=IMPORTRANGE(""https://docs.google.com/spreadsheets/d/1F2Bi6K_I1K9xRxY5qb-bNRo5m-Kw7udpF1OaTHhrxjs/edit#gid=0"",""'Game 9'!S25""),IMPORTRANGE(""https://docs.google.com/spreadsheets/d/1F2Bi6K_I1K9xRxY5qb-bNRo5m-"&amp;"Kw7udpF1OaTHhrxjs/edit#gid=0"",""'Game 9'!S25"")+50,IMPORTRANGE(""https://docs.google.com/spreadsheets/d/1F2Bi6K_I1K9xRxY5qb-bNRo5m-Kw7udpF1OaTHhrxjs/edit#gid=0"",""'Game 9'!S25"")+100)))"),172.0)</f>
        <v>172</v>
      </c>
      <c r="L18" s="5">
        <f>IFERROR(__xludf.DUMMYFUNCTION("IF($A18=IMPORTRANGE(""https://docs.google.com/spreadsheets/d/1NDNgi_Ny4dRhc2A3UMIIkalN-V6EmsvxOfDzMRQlQ40/edit#gid=0"",""'Game 8'!B1""),IF(IMPORTRANGE(""https://docs.google.com/spreadsheets/d/1NDNgi_Ny4dRhc2A3UMIIkalN-V6EmsvxOfDzMRQlQ40/edit#gid=0"",""'Ga"&amp;"me 8'!J25"")&gt;IMPORTRANGE(""https://docs.google.com/spreadsheets/d/1NDNgi_Ny4dRhc2A3UMIIkalN-V6EmsvxOfDzMRQlQ40/edit#gid=0"",""'Game 8'!S25""),IMPORTRANGE(""https://docs.google.com/spreadsheets/d/1NDNgi_Ny4dRhc2A3UMIIkalN-V6EmsvxOfDzMRQlQ40/edit#gid=0"","""&amp;"'Game 8'!J25"")+100,IF(IMPORTRANGE(""https://docs.google.com/spreadsheets/d/1NDNgi_Ny4dRhc2A3UMIIkalN-V6EmsvxOfDzMRQlQ40/edit#gid=0"",""'Game 8'!J25"")=IMPORTRANGE(""https://docs.google.com/spreadsheets/d/1NDNgi_Ny4dRhc2A3UMIIkalN-V6EmsvxOfDzMRQlQ40/edit#"&amp;"gid=0"",""'Game 8'!S25""),IMPORTRANGE(""https://docs.google.com/spreadsheets/d/1NDNgi_Ny4dRhc2A3UMIIkalN-V6EmsvxOfDzMRQlQ40/edit#gid=0"",""'Game 8'!J25"")+50,IMPORTRANGE(""https://docs.google.com/spreadsheets/d/1NDNgi_Ny4dRhc2A3UMIIkalN-V6EmsvxOfDzMRQlQ40"&amp;"/edit#gid=0"",""'Game 8'!J25""))),IF(IMPORTRANGE(""https://docs.google.com/spreadsheets/d/1NDNgi_Ny4dRhc2A3UMIIkalN-V6EmsvxOfDzMRQlQ40/edit#gid=0"",""'Game 8'!J25"")&gt;IMPORTRANGE(""https://docs.google.com/spreadsheets/d/1NDNgi_Ny4dRhc2A3UMIIkalN-V6EmsvxOfD"&amp;"zMRQlQ40/edit#gid=0"",""'Game 8'!S25""),IMPORTRANGE(""https://docs.google.com/spreadsheets/d/1NDNgi_Ny4dRhc2A3UMIIkalN-V6EmsvxOfDzMRQlQ40/edit#gid=0"",""'Game 8'!S25""),IF(IMPORTRANGE(""https://docs.google.com/spreadsheets/d/1NDNgi_Ny4dRhc2A3UMIIkalN-V6Em"&amp;"svxOfDzMRQlQ40/edit#gid=0"",""'Game 8'!J25"")=IMPORTRANGE(""https://docs.google.com/spreadsheets/d/1NDNgi_Ny4dRhc2A3UMIIkalN-V6EmsvxOfDzMRQlQ40/edit#gid=0"",""'Game 8'!S25""),IMPORTRANGE(""https://docs.google.com/spreadsheets/d/1NDNgi_Ny4dRhc2A3UMIIkalN-V"&amp;"6EmsvxOfDzMRQlQ40/edit#gid=0"",""'Game 8'!S25"")+50,IMPORTRANGE(""https://docs.google.com/spreadsheets/d/1NDNgi_Ny4dRhc2A3UMIIkalN-V6EmsvxOfDzMRQlQ40/edit#gid=0"",""'Game 8'!S25"")+100)))"),36.0)</f>
        <v>36</v>
      </c>
      <c r="M18" s="5">
        <f>IFERROR(__xludf.DUMMYFUNCTION("IF($A18=IMPORTRANGE(""https://docs.google.com/spreadsheets/d/1UDYA3-RrkJNLa2ZLH1NnUjKyfCoiSODmgVL_Au_zt-Y/edit#gid=0"",""'Game 12'!B1""),IF(IMPORTRANGE(""https://docs.google.com/spreadsheets/d/1UDYA3-RrkJNLa2ZLH1NnUjKyfCoiSODmgVL_Au_zt-Y/edit#gid=0"",""'G"&amp;"ame 12'!J25"")&gt;IMPORTRANGE(""https://docs.google.com/spreadsheets/d/1UDYA3-RrkJNLa2ZLH1NnUjKyfCoiSODmgVL_Au_zt-Y/edit#gid=0"",""'Game 12'!S25""),IMPORTRANGE(""https://docs.google.com/spreadsheets/d/1UDYA3-RrkJNLa2ZLH1NnUjKyfCoiSODmgVL_Au_zt-Y/edit#gid=0"""&amp;",""'Game 12'!J25"")+100,IF(IMPORTRANGE(""https://docs.google.com/spreadsheets/d/1UDYA3-RrkJNLa2ZLH1NnUjKyfCoiSODmgVL_Au_zt-Y/edit#gid=0"",""'Game 12'!J25"")=IMPORTRANGE(""https://docs.google.com/spreadsheets/d/1UDYA3-RrkJNLa2ZLH1NnUjKyfCoiSODmgVL_Au_zt-Y/"&amp;"edit#gid=0"",""'Game 12'!S25""),IMPORTRANGE(""https://docs.google.com/spreadsheets/d/1UDYA3-RrkJNLa2ZLH1NnUjKyfCoiSODmgVL_Au_zt-Y/edit#gid=0"",""'Game 12'!J25"")+50,IMPORTRANGE(""https://docs.google.com/spreadsheets/d/1UDYA3-RrkJNLa2ZLH1NnUjKyfCoiSODmgVL_"&amp;"Au_zt-Y/edit#gid=0"",""'Game 12'!J25""))),IF(IMPORTRANGE(""https://docs.google.com/spreadsheets/d/1UDYA3-RrkJNLa2ZLH1NnUjKyfCoiSODmgVL_Au_zt-Y/edit#gid=0"",""'Game 12'!J25"")&gt;IMPORTRANGE(""https://docs.google.com/spreadsheets/d/1UDYA3-RrkJNLa2ZLH1NnUjKyfC"&amp;"oiSODmgVL_Au_zt-Y/edit#gid=0"",""'Game 12'!S25""),IMPORTRANGE(""https://docs.google.com/spreadsheets/d/1UDYA3-RrkJNLa2ZLH1NnUjKyfCoiSODmgVL_Au_zt-Y/edit#gid=0"",""'Game 12'!S25""),IF(IMPORTRANGE(""https://docs.google.com/spreadsheets/d/1UDYA3-RrkJNLa2ZLH1"&amp;"NnUjKyfCoiSODmgVL_Au_zt-Y/edit#gid=0"",""'Game 12'!J25"")=IMPORTRANGE(""https://docs.google.com/spreadsheets/d/1UDYA3-RrkJNLa2ZLH1NnUjKyfCoiSODmgVL_Au_zt-Y/edit#gid=0"",""'Game 12'!S25""),IMPORTRANGE(""https://docs.google.com/spreadsheets/d/1UDYA3-RrkJNLa"&amp;"2ZLH1NnUjKyfCoiSODmgVL_Au_zt-Y/edit#gid=0"",""'Game 12'!S25"")+50,IMPORTRANGE(""https://docs.google.com/spreadsheets/d/1UDYA3-RrkJNLa2ZLH1NnUjKyfCoiSODmgVL_Au_zt-Y/edit#gid=0"",""'Game 12'!S25"")+100)))"),80.0)</f>
        <v>80</v>
      </c>
      <c r="N18" s="5">
        <f>IFERROR(__xludf.DUMMYFUNCTION("IF($A18=IMPORTRANGE(""https://docs.google.com/spreadsheets/d/1fvo6H94Wcffp6c4N9g3JKCW6y2ZlijPxdOsNz7xdBhw/edit#gid=0"",""'Game 12'!B1""),IF(IMPORTRANGE(""https://docs.google.com/spreadsheets/d/1fvo6H94Wcffp6c4N9g3JKCW6y2ZlijPxdOsNz7xdBhw/edit#gid=0"",""'G"&amp;"ame 12'!J25"")&gt;IMPORTRANGE(""https://docs.google.com/spreadsheets/d/1fvo6H94Wcffp6c4N9g3JKCW6y2ZlijPxdOsNz7xdBhw/edit#gid=0"",""'Game 12'!S25""),IMPORTRANGE(""https://docs.google.com/spreadsheets/d/1fvo6H94Wcffp6c4N9g3JKCW6y2ZlijPxdOsNz7xdBhw/edit#gid=0"""&amp;",""'Game 12'!J25"")+100,IF(IMPORTRANGE(""https://docs.google.com/spreadsheets/d/1fvo6H94Wcffp6c4N9g3JKCW6y2ZlijPxdOsNz7xdBhw/edit#gid=0"",""'Game 12'!J25"")=IMPORTRANGE(""https://docs.google.com/spreadsheets/d/1fvo6H94Wcffp6c4N9g3JKCW6y2ZlijPxdOsNz7xdBhw/"&amp;"edit#gid=0"",""'Game 12'!S25""),IMPORTRANGE(""https://docs.google.com/spreadsheets/d/1fvo6H94Wcffp6c4N9g3JKCW6y2ZlijPxdOsNz7xdBhw/edit#gid=0"",""'Game 12'!J25"")+50,IMPORTRANGE(""https://docs.google.com/spreadsheets/d/1fvo6H94Wcffp6c4N9g3JKCW6y2ZlijPxdOsN"&amp;"z7xdBhw/edit#gid=0"",""'Game 12'!J25""))),IF(IMPORTRANGE(""https://docs.google.com/spreadsheets/d/1fvo6H94Wcffp6c4N9g3JKCW6y2ZlijPxdOsNz7xdBhw/edit#gid=0"",""'Game 12'!J25"")&gt;IMPORTRANGE(""https://docs.google.com/spreadsheets/d/1fvo6H94Wcffp6c4N9g3JKCW6y2"&amp;"ZlijPxdOsNz7xdBhw/edit#gid=0"",""'Game 12'!S25""),IMPORTRANGE(""https://docs.google.com/spreadsheets/d/1fvo6H94Wcffp6c4N9g3JKCW6y2ZlijPxdOsNz7xdBhw/edit#gid=0"",""'Game 12'!S25""),IF(IMPORTRANGE(""https://docs.google.com/spreadsheets/d/1fvo6H94Wcffp6c4N9g"&amp;"3JKCW6y2ZlijPxdOsNz7xdBhw/edit#gid=0"",""'Game 12'!J25"")=IMPORTRANGE(""https://docs.google.com/spreadsheets/d/1fvo6H94Wcffp6c4N9g3JKCW6y2ZlijPxdOsNz7xdBhw/edit#gid=0"",""'Game 12'!S25""),IMPORTRANGE(""https://docs.google.com/spreadsheets/d/1fvo6H94Wcffp6"&amp;"c4N9g3JKCW6y2ZlijPxdOsNz7xdBhw/edit#gid=0"",""'Game 12'!S25"")+50,IMPORTRANGE(""https://docs.google.com/spreadsheets/d/1fvo6H94Wcffp6c4N9g3JKCW6y2ZlijPxdOsNz7xdBhw/edit#gid=0"",""'Game 12'!S25"")+100)))"),196.0)</f>
        <v>196</v>
      </c>
      <c r="O18" s="5">
        <f>IFERROR(__xludf.DUMMYFUNCTION("IF($A18=IMPORTRANGE(""https://docs.google.com/spreadsheets/d/1wfQePArl-A-5QJe5xAufoOnzeNLVSoHCRcmpZ_FMdns/edit#gid=0"",""'Game 11'!B1""),IF(IMPORTRANGE(""https://docs.google.com/spreadsheets/d/1wfQePArl-A-5QJe5xAufoOnzeNLVSoHCRcmpZ_FMdns/edit#gid=0"",""'G"&amp;"ame 11'!J25"")&gt;IMPORTRANGE(""https://docs.google.com/spreadsheets/d/1wfQePArl-A-5QJe5xAufoOnzeNLVSoHCRcmpZ_FMdns/edit#gid=0"",""'Game 11'!S25""),IMPORTRANGE(""https://docs.google.com/spreadsheets/d/1wfQePArl-A-5QJe5xAufoOnzeNLVSoHCRcmpZ_FMdns/edit#gid=0"""&amp;",""'Game 11'!J25"")+100,IF(IMPORTRANGE(""https://docs.google.com/spreadsheets/d/1wfQePArl-A-5QJe5xAufoOnzeNLVSoHCRcmpZ_FMdns/edit#gid=0"",""'Game 11'!J25"")=IMPORTRANGE(""https://docs.google.com/spreadsheets/d/1wfQePArl-A-5QJe5xAufoOnzeNLVSoHCRcmpZ_FMdns/"&amp;"edit#gid=0"",""'Game 11'!S25""),IMPORTRANGE(""https://docs.google.com/spreadsheets/d/1wfQePArl-A-5QJe5xAufoOnzeNLVSoHCRcmpZ_FMdns/edit#gid=0"",""'Game 11'!J25"")+50,IMPORTRANGE(""https://docs.google.com/spreadsheets/d/1wfQePArl-A-5QJe5xAufoOnzeNLVSoHCRcmp"&amp;"Z_FMdns/edit#gid=0"",""'Game 11'!J25""))),IF(IMPORTRANGE(""https://docs.google.com/spreadsheets/d/1wfQePArl-A-5QJe5xAufoOnzeNLVSoHCRcmpZ_FMdns/edit#gid=0"",""'Game 11'!J25"")&gt;IMPORTRANGE(""https://docs.google.com/spreadsheets/d/1wfQePArl-A-5QJe5xAufoOnzeN"&amp;"LVSoHCRcmpZ_FMdns/edit#gid=0"",""'Game 11'!S25""),IMPORTRANGE(""https://docs.google.com/spreadsheets/d/1wfQePArl-A-5QJe5xAufoOnzeNLVSoHCRcmpZ_FMdns/edit#gid=0"",""'Game 11'!S25""),IF(IMPORTRANGE(""https://docs.google.com/spreadsheets/d/1wfQePArl-A-5QJe5xA"&amp;"ufoOnzeNLVSoHCRcmpZ_FMdns/edit#gid=0"",""'Game 11'!J25"")=IMPORTRANGE(""https://docs.google.com/spreadsheets/d/1wfQePArl-A-5QJe5xAufoOnzeNLVSoHCRcmpZ_FMdns/edit#gid=0"",""'Game 11'!S25""),IMPORTRANGE(""https://docs.google.com/spreadsheets/d/1wfQePArl-A-5Q"&amp;"Je5xAufoOnzeNLVSoHCRcmpZ_FMdns/edit#gid=0"",""'Game 11'!S25"")+50,IMPORTRANGE(""https://docs.google.com/spreadsheets/d/1wfQePArl-A-5QJe5xAufoOnzeNLVSoHCRcmpZ_FMdns/edit#gid=0"",""'Game 11'!S25"")+100)))"),178.0)</f>
        <v>178</v>
      </c>
      <c r="P18" s="5">
        <f>IFERROR(__xludf.DUMMYFUNCTION("IF($A18=IMPORTRANGE(""https://docs.google.com/spreadsheets/d/1wydNznS0hZhVh3oGSdiCZSsReuqMT7Xaw718ix58zAI/edit#gid=0"",""'Game 3'!B1""),IF(IMPORTRANGE(""https://docs.google.com/spreadsheets/d/1wydNznS0hZhVh3oGSdiCZSsReuqMT7Xaw718ix58zAI/edit#gid=0"",""'Ga"&amp;"me 3'!J25"")&gt;IMPORTRANGE(""https://docs.google.com/spreadsheets/d/1wydNznS0hZhVh3oGSdiCZSsReuqMT7Xaw718ix58zAI/edit#gid=0"",""'Game 3'!S25""),IMPORTRANGE(""https://docs.google.com/spreadsheets/d/1wydNznS0hZhVh3oGSdiCZSsReuqMT7Xaw718ix58zAI/edit#gid=0"","""&amp;"'Game 3'!J25"")+100,IF(IMPORTRANGE(""https://docs.google.com/spreadsheets/d/1wydNznS0hZhVh3oGSdiCZSsReuqMT7Xaw718ix58zAI/edit#gid=0"",""'Game 3'!J25"")=IMPORTRANGE(""https://docs.google.com/spreadsheets/d/1wydNznS0hZhVh3oGSdiCZSsReuqMT7Xaw718ix58zAI/edit#"&amp;"gid=0"",""'Game 3'!S25""),IMPORTRANGE(""https://docs.google.com/spreadsheets/d/1wydNznS0hZhVh3oGSdiCZSsReuqMT7Xaw718ix58zAI/edit#gid=0"",""'Game 3'!J25"")+50,IMPORTRANGE(""https://docs.google.com/spreadsheets/d/1wydNznS0hZhVh3oGSdiCZSsReuqMT7Xaw718ix58zAI"&amp;"/edit#gid=0"",""'Game 3'!J25""))),IF(IMPORTRANGE(""https://docs.google.com/spreadsheets/d/1wydNznS0hZhVh3oGSdiCZSsReuqMT7Xaw718ix58zAI/edit#gid=0"",""'Game 3'!J25"")&gt;IMPORTRANGE(""https://docs.google.com/spreadsheets/d/1wydNznS0hZhVh3oGSdiCZSsReuqMT7Xaw71"&amp;"8ix58zAI/edit#gid=0"",""'Game 3'!S25""),IMPORTRANGE(""https://docs.google.com/spreadsheets/d/1wydNznS0hZhVh3oGSdiCZSsReuqMT7Xaw718ix58zAI/edit#gid=0"",""'Game 3'!S25""),IF(IMPORTRANGE(""https://docs.google.com/spreadsheets/d/1wydNznS0hZhVh3oGSdiCZSsReuqMT"&amp;"7Xaw718ix58zAI/edit#gid=0"",""'Game 3'!J25"")=IMPORTRANGE(""https://docs.google.com/spreadsheets/d/1wydNznS0hZhVh3oGSdiCZSsReuqMT7Xaw718ix58zAI/edit#gid=0"",""'Game 3'!S25""),IMPORTRANGE(""https://docs.google.com/spreadsheets/d/1wydNznS0hZhVh3oGSdiCZSsReu"&amp;"qMT7Xaw718ix58zAI/edit#gid=0"",""'Game 3'!S25"")+50,IMPORTRANGE(""https://docs.google.com/spreadsheets/d/1wydNznS0hZhVh3oGSdiCZSsReuqMT7Xaw718ix58zAI/edit#gid=0"",""'Game 3'!S25"")+100)))"),54.0)</f>
        <v>54</v>
      </c>
      <c r="Q18" s="35">
        <f t="shared" si="1"/>
        <v>2410</v>
      </c>
      <c r="R18" s="35">
        <f t="shared" si="2"/>
        <v>7</v>
      </c>
    </row>
    <row r="19">
      <c r="A19" s="32" t="s">
        <v>235</v>
      </c>
      <c r="B19" s="36">
        <v>12.0</v>
      </c>
      <c r="C19" s="36">
        <v>44.0</v>
      </c>
      <c r="D19" s="36">
        <v>176.0</v>
      </c>
      <c r="E19" s="36">
        <v>16.0</v>
      </c>
      <c r="F19" s="36">
        <v>26.0</v>
      </c>
      <c r="G19" s="12">
        <f>IFERROR(__xludf.DUMMYFUNCTION("IF($A19=IMPORTRANGE(""https://docs.google.com/spreadsheets/d/19gjAD4NwTXl_QoKUuwHQ1cWG_S2BOW94pDcyFtPwheg/edit#gid=0"",""'Game 6'!B1""),IF(IMPORTRANGE(""https://docs.google.com/spreadsheets/d/19gjAD4NwTXl_QoKUuwHQ1cWG_S2BOW94pDcyFtPwheg/edit#gid=0"",""'Ga"&amp;"me 6'!J25"")&gt;IMPORTRANGE(""https://docs.google.com/spreadsheets/d/19gjAD4NwTXl_QoKUuwHQ1cWG_S2BOW94pDcyFtPwheg/edit#gid=0"",""'Game 6'!S25""),IMPORTRANGE(""https://docs.google.com/spreadsheets/d/19gjAD4NwTXl_QoKUuwHQ1cWG_S2BOW94pDcyFtPwheg/edit#gid=0"","""&amp;"'Game 6'!J25"")+100,IF(IMPORTRANGE(""https://docs.google.com/spreadsheets/d/19gjAD4NwTXl_QoKUuwHQ1cWG_S2BOW94pDcyFtPwheg/edit#gid=0"",""'Game 6'!J25"")=IMPORTRANGE(""https://docs.google.com/spreadsheets/d/19gjAD4NwTXl_QoKUuwHQ1cWG_S2BOW94pDcyFtPwheg/edit#"&amp;"gid=0"",""'Game 6'!S25""),IMPORTRANGE(""https://docs.google.com/spreadsheets/d/19gjAD4NwTXl_QoKUuwHQ1cWG_S2BOW94pDcyFtPwheg/edit#gid=0"",""'Game 6'!J25"")+50,IMPORTRANGE(""https://docs.google.com/spreadsheets/d/19gjAD4NwTXl_QoKUuwHQ1cWG_S2BOW94pDcyFtPwheg"&amp;"/edit#gid=0"",""'Game 6'!J25""))),IF(IMPORTRANGE(""https://docs.google.com/spreadsheets/d/19gjAD4NwTXl_QoKUuwHQ1cWG_S2BOW94pDcyFtPwheg/edit#gid=0"",""'Game 6'!J25"")&gt;IMPORTRANGE(""https://docs.google.com/spreadsheets/d/19gjAD4NwTXl_QoKUuwHQ1cWG_S2BOW94pDc"&amp;"yFtPwheg/edit#gid=0"",""'Game 6'!S25""),IMPORTRANGE(""https://docs.google.com/spreadsheets/d/19gjAD4NwTXl_QoKUuwHQ1cWG_S2BOW94pDcyFtPwheg/edit#gid=0"",""'Game 6'!S25""),IF(IMPORTRANGE(""https://docs.google.com/spreadsheets/d/19gjAD4NwTXl_QoKUuwHQ1cWG_S2BO"&amp;"W94pDcyFtPwheg/edit#gid=0"",""'Game 6'!J25"")=IMPORTRANGE(""https://docs.google.com/spreadsheets/d/19gjAD4NwTXl_QoKUuwHQ1cWG_S2BOW94pDcyFtPwheg/edit#gid=0"",""'Game 6'!S25""),IMPORTRANGE(""https://docs.google.com/spreadsheets/d/19gjAD4NwTXl_QoKUuwHQ1cWG_S"&amp;"2BOW94pDcyFtPwheg/edit#gid=0"",""'Game 6'!S25"")+50,IMPORTRANGE(""https://docs.google.com/spreadsheets/d/19gjAD4NwTXl_QoKUuwHQ1cWG_S2BOW94pDcyFtPwheg/edit#gid=0"",""'Game 6'!S25"")+100)))"),156.0)</f>
        <v>156</v>
      </c>
      <c r="H19" s="12">
        <f>IFERROR(__xludf.DUMMYFUNCTION("IF($A19=IMPORTRANGE(""https://docs.google.com/spreadsheets/d/1l83w8bH-F1czkFOqsgQy6o8O33Jb4Pfg40W0ou2nk0k/edit#gid=0"",""'Game 2'!B1""),IF(IMPORTRANGE(""https://docs.google.com/spreadsheets/d/1l83w8bH-F1czkFOqsgQy6o8O33Jb4Pfg40W0ou2nk0k/edit#gid=0"",""'Ga"&amp;"me 2'!J25"")&gt;IMPORTRANGE(""https://docs.google.com/spreadsheets/d/1l83w8bH-F1czkFOqsgQy6o8O33Jb4Pfg40W0ou2nk0k/edit#gid=0"",""'Game 2'!S25""),IMPORTRANGE(""https://docs.google.com/spreadsheets/d/1l83w8bH-F1czkFOqsgQy6o8O33Jb4Pfg40W0ou2nk0k/edit#gid=0"","""&amp;"'Game 2'!J25"")+100,IF(IMPORTRANGE(""https://docs.google.com/spreadsheets/d/1l83w8bH-F1czkFOqsgQy6o8O33Jb4Pfg40W0ou2nk0k/edit#gid=0"",""'Game 2'!J25"")=IMPORTRANGE(""https://docs.google.com/spreadsheets/d/1l83w8bH-F1czkFOqsgQy6o8O33Jb4Pfg40W0ou2nk0k/edit#"&amp;"gid=0"",""'Game 2'!S25""),IMPORTRANGE(""https://docs.google.com/spreadsheets/d/1l83w8bH-F1czkFOqsgQy6o8O33Jb4Pfg40W0ou2nk0k/edit#gid=0"",""'Game 2'!J25"")+50,IMPORTRANGE(""https://docs.google.com/spreadsheets/d/1l83w8bH-F1czkFOqsgQy6o8O33Jb4Pfg40W0ou2nk0k"&amp;"/edit#gid=0"",""'Game 2'!J25""))),IF(IMPORTRANGE(""https://docs.google.com/spreadsheets/d/1l83w8bH-F1czkFOqsgQy6o8O33Jb4Pfg40W0ou2nk0k/edit#gid=0"",""'Game 2'!J25"")&gt;IMPORTRANGE(""https://docs.google.com/spreadsheets/d/1l83w8bH-F1czkFOqsgQy6o8O33Jb4Pfg40W"&amp;"0ou2nk0k/edit#gid=0"",""'Game 2'!S25""),IMPORTRANGE(""https://docs.google.com/spreadsheets/d/1l83w8bH-F1czkFOqsgQy6o8O33Jb4Pfg40W0ou2nk0k/edit#gid=0"",""'Game 2'!S25""),IF(IMPORTRANGE(""https://docs.google.com/spreadsheets/d/1l83w8bH-F1czkFOqsgQy6o8O33Jb4"&amp;"Pfg40W0ou2nk0k/edit#gid=0"",""'Game 2'!J25"")=IMPORTRANGE(""https://docs.google.com/spreadsheets/d/1l83w8bH-F1czkFOqsgQy6o8O33Jb4Pfg40W0ou2nk0k/edit#gid=0"",""'Game 2'!S25""),IMPORTRANGE(""https://docs.google.com/spreadsheets/d/1l83w8bH-F1czkFOqsgQy6o8O33"&amp;"Jb4Pfg40W0ou2nk0k/edit#gid=0"",""'Game 2'!S25"")+50,IMPORTRANGE(""https://docs.google.com/spreadsheets/d/1l83w8bH-F1czkFOqsgQy6o8O33Jb4Pfg40W0ou2nk0k/edit#gid=0"",""'Game 2'!S25"")+100)))"),0.0)</f>
        <v>0</v>
      </c>
      <c r="I19" s="12">
        <f>IFERROR(__xludf.DUMMYFUNCTION("IF($A19=IMPORTRANGE(""https://docs.google.com/spreadsheets/d/15X-ub7GvrCQZ3UGgyogcjwYdxG-Ng8WHxzGSj1Z3eLw/edit#gid=0"",""'Game 6'!B1""),IF(IMPORTRANGE(""https://docs.google.com/spreadsheets/d/15X-ub7GvrCQZ3UGgyogcjwYdxG-Ng8WHxzGSj1Z3eLw/edit#gid=0"",""'Ga"&amp;"me 6'!J25"")&gt;IMPORTRANGE(""https://docs.google.com/spreadsheets/d/15X-ub7GvrCQZ3UGgyogcjwYdxG-Ng8WHxzGSj1Z3eLw/edit#gid=0"",""'Game 6'!S25""),IMPORTRANGE(""https://docs.google.com/spreadsheets/d/15X-ub7GvrCQZ3UGgyogcjwYdxG-Ng8WHxzGSj1Z3eLw/edit#gid=0"","""&amp;"'Game 6'!J25"")+100,IF(IMPORTRANGE(""https://docs.google.com/spreadsheets/d/15X-ub7GvrCQZ3UGgyogcjwYdxG-Ng8WHxzGSj1Z3eLw/edit#gid=0"",""'Game 6'!J25"")=IMPORTRANGE(""https://docs.google.com/spreadsheets/d/15X-ub7GvrCQZ3UGgyogcjwYdxG-Ng8WHxzGSj1Z3eLw/edit#"&amp;"gid=0"",""'Game 6'!S25""),IMPORTRANGE(""https://docs.google.com/spreadsheets/d/15X-ub7GvrCQZ3UGgyogcjwYdxG-Ng8WHxzGSj1Z3eLw/edit#gid=0"",""'Game 6'!J25"")+50,IMPORTRANGE(""https://docs.google.com/spreadsheets/d/15X-ub7GvrCQZ3UGgyogcjwYdxG-Ng8WHxzGSj1Z3eLw"&amp;"/edit#gid=0"",""'Game 6'!J25""))),IF(IMPORTRANGE(""https://docs.google.com/spreadsheets/d/15X-ub7GvrCQZ3UGgyogcjwYdxG-Ng8WHxzGSj1Z3eLw/edit#gid=0"",""'Game 6'!J25"")&gt;IMPORTRANGE(""https://docs.google.com/spreadsheets/d/15X-ub7GvrCQZ3UGgyogcjwYdxG-Ng8WHxzG"&amp;"Sj1Z3eLw/edit#gid=0"",""'Game 6'!S25""),IMPORTRANGE(""https://docs.google.com/spreadsheets/d/15X-ub7GvrCQZ3UGgyogcjwYdxG-Ng8WHxzGSj1Z3eLw/edit#gid=0"",""'Game 6'!S25""),IF(IMPORTRANGE(""https://docs.google.com/spreadsheets/d/15X-ub7GvrCQZ3UGgyogcjwYdxG-Ng"&amp;"8WHxzGSj1Z3eLw/edit#gid=0"",""'Game 6'!J25"")=IMPORTRANGE(""https://docs.google.com/spreadsheets/d/15X-ub7GvrCQZ3UGgyogcjwYdxG-Ng8WHxzGSj1Z3eLw/edit#gid=0"",""'Game 6'!S25""),IMPORTRANGE(""https://docs.google.com/spreadsheets/d/15X-ub7GvrCQZ3UGgyogcjwYdxG"&amp;"-Ng8WHxzGSj1Z3eLw/edit#gid=0"",""'Game 6'!S25"")+50,IMPORTRANGE(""https://docs.google.com/spreadsheets/d/15X-ub7GvrCQZ3UGgyogcjwYdxG-Ng8WHxzGSj1Z3eLw/edit#gid=0"",""'Game 6'!S25"")+100)))"),12.0)</f>
        <v>12</v>
      </c>
      <c r="J19" s="12">
        <f>IFERROR(__xludf.DUMMYFUNCTION("IF($A19=IMPORTRANGE(""https://docs.google.com/spreadsheets/d/194Bw3ABslPPhOOPvVoMzIk8sOQFICWBu2pydWdYMD-w/edit#gid=0"",""'Game 6'!B1""),IF(IMPORTRANGE(""https://docs.google.com/spreadsheets/d/194Bw3ABslPPhOOPvVoMzIk8sOQFICWBu2pydWdYMD-w/edit#gid=0"",""'Ga"&amp;"me 6'!J25"")&gt;IMPORTRANGE(""https://docs.google.com/spreadsheets/d/194Bw3ABslPPhOOPvVoMzIk8sOQFICWBu2pydWdYMD-w/edit#gid=0"",""'Game 6'!S25""),IMPORTRANGE(""https://docs.google.com/spreadsheets/d/194Bw3ABslPPhOOPvVoMzIk8sOQFICWBu2pydWdYMD-w/edit#gid=0"","""&amp;"'Game 6'!J25"")+100,IF(IMPORTRANGE(""https://docs.google.com/spreadsheets/d/194Bw3ABslPPhOOPvVoMzIk8sOQFICWBu2pydWdYMD-w/edit#gid=0"",""'Game 6'!J25"")=IMPORTRANGE(""https://docs.google.com/spreadsheets/d/194Bw3ABslPPhOOPvVoMzIk8sOQFICWBu2pydWdYMD-w/edit#"&amp;"gid=0"",""'Game 6'!S25""),IMPORTRANGE(""https://docs.google.com/spreadsheets/d/194Bw3ABslPPhOOPvVoMzIk8sOQFICWBu2pydWdYMD-w/edit#gid=0"",""'Game 6'!J25"")+50,IMPORTRANGE(""https://docs.google.com/spreadsheets/d/194Bw3ABslPPhOOPvVoMzIk8sOQFICWBu2pydWdYMD-w"&amp;"/edit#gid=0"",""'Game 6'!J25""))),IF(IMPORTRANGE(""https://docs.google.com/spreadsheets/d/194Bw3ABslPPhOOPvVoMzIk8sOQFICWBu2pydWdYMD-w/edit#gid=0"",""'Game 6'!J25"")&gt;IMPORTRANGE(""https://docs.google.com/spreadsheets/d/194Bw3ABslPPhOOPvVoMzIk8sOQFICWBu2py"&amp;"dWdYMD-w/edit#gid=0"",""'Game 6'!S25""),IMPORTRANGE(""https://docs.google.com/spreadsheets/d/194Bw3ABslPPhOOPvVoMzIk8sOQFICWBu2pydWdYMD-w/edit#gid=0"",""'Game 6'!S25""),IF(IMPORTRANGE(""https://docs.google.com/spreadsheets/d/194Bw3ABslPPhOOPvVoMzIk8sOQFIC"&amp;"WBu2pydWdYMD-w/edit#gid=0"",""'Game 6'!J25"")=IMPORTRANGE(""https://docs.google.com/spreadsheets/d/194Bw3ABslPPhOOPvVoMzIk8sOQFICWBu2pydWdYMD-w/edit#gid=0"",""'Game 6'!S25""),IMPORTRANGE(""https://docs.google.com/spreadsheets/d/194Bw3ABslPPhOOPvVoMzIk8sOQ"&amp;"FICWBu2pydWdYMD-w/edit#gid=0"",""'Game 6'!S25"")+50,IMPORTRANGE(""https://docs.google.com/spreadsheets/d/194Bw3ABslPPhOOPvVoMzIk8sOQFICWBu2pydWdYMD-w/edit#gid=0"",""'Game 6'!S25"")+100)))"),46.0)</f>
        <v>46</v>
      </c>
      <c r="K19" s="12">
        <f>IFERROR(__xludf.DUMMYFUNCTION("IF($A19=IMPORTRANGE(""https://docs.google.com/spreadsheets/d/1F2Bi6K_I1K9xRxY5qb-bNRo5m-Kw7udpF1OaTHhrxjs/edit#gid=0"",""'Game 6'!B1""),IF(IMPORTRANGE(""https://docs.google.com/spreadsheets/d/1F2Bi6K_I1K9xRxY5qb-bNRo5m-Kw7udpF1OaTHhrxjs/edit#gid=0"",""'Ga"&amp;"me 6'!J25"")&gt;IMPORTRANGE(""https://docs.google.com/spreadsheets/d/1F2Bi6K_I1K9xRxY5qb-bNRo5m-Kw7udpF1OaTHhrxjs/edit#gid=0"",""'Game 6'!S25""),IMPORTRANGE(""https://docs.google.com/spreadsheets/d/1F2Bi6K_I1K9xRxY5qb-bNRo5m-Kw7udpF1OaTHhrxjs/edit#gid=0"","""&amp;"'Game 6'!J25"")+100,IF(IMPORTRANGE(""https://docs.google.com/spreadsheets/d/1F2Bi6K_I1K9xRxY5qb-bNRo5m-Kw7udpF1OaTHhrxjs/edit#gid=0"",""'Game 6'!J25"")=IMPORTRANGE(""https://docs.google.com/spreadsheets/d/1F2Bi6K_I1K9xRxY5qb-bNRo5m-Kw7udpF1OaTHhrxjs/edit#"&amp;"gid=0"",""'Game 6'!S25""),IMPORTRANGE(""https://docs.google.com/spreadsheets/d/1F2Bi6K_I1K9xRxY5qb-bNRo5m-Kw7udpF1OaTHhrxjs/edit#gid=0"",""'Game 6'!J25"")+50,IMPORTRANGE(""https://docs.google.com/spreadsheets/d/1F2Bi6K_I1K9xRxY5qb-bNRo5m-Kw7udpF1OaTHhrxjs"&amp;"/edit#gid=0"",""'Game 6'!J25""))),IF(IMPORTRANGE(""https://docs.google.com/spreadsheets/d/1F2Bi6K_I1K9xRxY5qb-bNRo5m-Kw7udpF1OaTHhrxjs/edit#gid=0"",""'Game 6'!J25"")&gt;IMPORTRANGE(""https://docs.google.com/spreadsheets/d/1F2Bi6K_I1K9xRxY5qb-bNRo5m-Kw7udpF1O"&amp;"aTHhrxjs/edit#gid=0"",""'Game 6'!S25""),IMPORTRANGE(""https://docs.google.com/spreadsheets/d/1F2Bi6K_I1K9xRxY5qb-bNRo5m-Kw7udpF1OaTHhrxjs/edit#gid=0"",""'Game 6'!S25""),IF(IMPORTRANGE(""https://docs.google.com/spreadsheets/d/1F2Bi6K_I1K9xRxY5qb-bNRo5m-Kw7"&amp;"udpF1OaTHhrxjs/edit#gid=0"",""'Game 6'!J25"")=IMPORTRANGE(""https://docs.google.com/spreadsheets/d/1F2Bi6K_I1K9xRxY5qb-bNRo5m-Kw7udpF1OaTHhrxjs/edit#gid=0"",""'Game 6'!S25""),IMPORTRANGE(""https://docs.google.com/spreadsheets/d/1F2Bi6K_I1K9xRxY5qb-bNRo5m-"&amp;"Kw7udpF1OaTHhrxjs/edit#gid=0"",""'Game 6'!S25"")+50,IMPORTRANGE(""https://docs.google.com/spreadsheets/d/1F2Bi6K_I1K9xRxY5qb-bNRo5m-Kw7udpF1OaTHhrxjs/edit#gid=0"",""'Game 6'!S25"")+100)))"),22.0)</f>
        <v>22</v>
      </c>
      <c r="L19" s="12">
        <f>IFERROR(__xludf.DUMMYFUNCTION("IF($A19=IMPORTRANGE(""https://docs.google.com/spreadsheets/d/1NDNgi_Ny4dRhc2A3UMIIkalN-V6EmsvxOfDzMRQlQ40/edit#gid=0"",""'Game 6'!B1""),IF(IMPORTRANGE(""https://docs.google.com/spreadsheets/d/1NDNgi_Ny4dRhc2A3UMIIkalN-V6EmsvxOfDzMRQlQ40/edit#gid=0"",""'Ga"&amp;"me 6'!J25"")&gt;IMPORTRANGE(""https://docs.google.com/spreadsheets/d/1NDNgi_Ny4dRhc2A3UMIIkalN-V6EmsvxOfDzMRQlQ40/edit#gid=0"",""'Game 6'!S25""),IMPORTRANGE(""https://docs.google.com/spreadsheets/d/1NDNgi_Ny4dRhc2A3UMIIkalN-V6EmsvxOfDzMRQlQ40/edit#gid=0"","""&amp;"'Game 6'!J25"")+100,IF(IMPORTRANGE(""https://docs.google.com/spreadsheets/d/1NDNgi_Ny4dRhc2A3UMIIkalN-V6EmsvxOfDzMRQlQ40/edit#gid=0"",""'Game 6'!J25"")=IMPORTRANGE(""https://docs.google.com/spreadsheets/d/1NDNgi_Ny4dRhc2A3UMIIkalN-V6EmsvxOfDzMRQlQ40/edit#"&amp;"gid=0"",""'Game 6'!S25""),IMPORTRANGE(""https://docs.google.com/spreadsheets/d/1NDNgi_Ny4dRhc2A3UMIIkalN-V6EmsvxOfDzMRQlQ40/edit#gid=0"",""'Game 6'!J25"")+50,IMPORTRANGE(""https://docs.google.com/spreadsheets/d/1NDNgi_Ny4dRhc2A3UMIIkalN-V6EmsvxOfDzMRQlQ40"&amp;"/edit#gid=0"",""'Game 6'!J25""))),IF(IMPORTRANGE(""https://docs.google.com/spreadsheets/d/1NDNgi_Ny4dRhc2A3UMIIkalN-V6EmsvxOfDzMRQlQ40/edit#gid=0"",""'Game 6'!J25"")&gt;IMPORTRANGE(""https://docs.google.com/spreadsheets/d/1NDNgi_Ny4dRhc2A3UMIIkalN-V6EmsvxOfD"&amp;"zMRQlQ40/edit#gid=0"",""'Game 6'!S25""),IMPORTRANGE(""https://docs.google.com/spreadsheets/d/1NDNgi_Ny4dRhc2A3UMIIkalN-V6EmsvxOfDzMRQlQ40/edit#gid=0"",""'Game 6'!S25""),IF(IMPORTRANGE(""https://docs.google.com/spreadsheets/d/1NDNgi_Ny4dRhc2A3UMIIkalN-V6Em"&amp;"svxOfDzMRQlQ40/edit#gid=0"",""'Game 6'!J25"")=IMPORTRANGE(""https://docs.google.com/spreadsheets/d/1NDNgi_Ny4dRhc2A3UMIIkalN-V6EmsvxOfDzMRQlQ40/edit#gid=0"",""'Game 6'!S25""),IMPORTRANGE(""https://docs.google.com/spreadsheets/d/1NDNgi_Ny4dRhc2A3UMIIkalN-V"&amp;"6EmsvxOfDzMRQlQ40/edit#gid=0"",""'Game 6'!S25"")+50,IMPORTRANGE(""https://docs.google.com/spreadsheets/d/1NDNgi_Ny4dRhc2A3UMIIkalN-V6EmsvxOfDzMRQlQ40/edit#gid=0"",""'Game 6'!S25"")+100)))"),14.0)</f>
        <v>14</v>
      </c>
      <c r="M19" s="12">
        <f>IFERROR(__xludf.DUMMYFUNCTION("IF($A19=IMPORTRANGE(""https://docs.google.com/spreadsheets/d/1UDYA3-RrkJNLa2ZLH1NnUjKyfCoiSODmgVL_Au_zt-Y/edit#gid=0"",""'Game 5'!B1""),IF(IMPORTRANGE(""https://docs.google.com/spreadsheets/d/1UDYA3-RrkJNLa2ZLH1NnUjKyfCoiSODmgVL_Au_zt-Y/edit#gid=0"",""'Ga"&amp;"me 5'!J25"")&gt;IMPORTRANGE(""https://docs.google.com/spreadsheets/d/1UDYA3-RrkJNLa2ZLH1NnUjKyfCoiSODmgVL_Au_zt-Y/edit#gid=0"",""'Game 5'!S25""),IMPORTRANGE(""https://docs.google.com/spreadsheets/d/1UDYA3-RrkJNLa2ZLH1NnUjKyfCoiSODmgVL_Au_zt-Y/edit#gid=0"","""&amp;"'Game 5'!J25"")+100,IF(IMPORTRANGE(""https://docs.google.com/spreadsheets/d/1UDYA3-RrkJNLa2ZLH1NnUjKyfCoiSODmgVL_Au_zt-Y/edit#gid=0"",""'Game 5'!J25"")=IMPORTRANGE(""https://docs.google.com/spreadsheets/d/1UDYA3-RrkJNLa2ZLH1NnUjKyfCoiSODmgVL_Au_zt-Y/edit#"&amp;"gid=0"",""'Game 5'!S25""),IMPORTRANGE(""https://docs.google.com/spreadsheets/d/1UDYA3-RrkJNLa2ZLH1NnUjKyfCoiSODmgVL_Au_zt-Y/edit#gid=0"",""'Game 5'!J25"")+50,IMPORTRANGE(""https://docs.google.com/spreadsheets/d/1UDYA3-RrkJNLa2ZLH1NnUjKyfCoiSODmgVL_Au_zt-Y"&amp;"/edit#gid=0"",""'Game 5'!J25""))),IF(IMPORTRANGE(""https://docs.google.com/spreadsheets/d/1UDYA3-RrkJNLa2ZLH1NnUjKyfCoiSODmgVL_Au_zt-Y/edit#gid=0"",""'Game 5'!J25"")&gt;IMPORTRANGE(""https://docs.google.com/spreadsheets/d/1UDYA3-RrkJNLa2ZLH1NnUjKyfCoiSODmgVL"&amp;"_Au_zt-Y/edit#gid=0"",""'Game 5'!S25""),IMPORTRANGE(""https://docs.google.com/spreadsheets/d/1UDYA3-RrkJNLa2ZLH1NnUjKyfCoiSODmgVL_Au_zt-Y/edit#gid=0"",""'Game 5'!S25""),IF(IMPORTRANGE(""https://docs.google.com/spreadsheets/d/1UDYA3-RrkJNLa2ZLH1NnUjKyfCoiS"&amp;"ODmgVL_Au_zt-Y/edit#gid=0"",""'Game 5'!J25"")=IMPORTRANGE(""https://docs.google.com/spreadsheets/d/1UDYA3-RrkJNLa2ZLH1NnUjKyfCoiSODmgVL_Au_zt-Y/edit#gid=0"",""'Game 5'!S25""),IMPORTRANGE(""https://docs.google.com/spreadsheets/d/1UDYA3-RrkJNLa2ZLH1NnUjKyfC"&amp;"oiSODmgVL_Au_zt-Y/edit#gid=0"",""'Game 5'!S25"")+50,IMPORTRANGE(""https://docs.google.com/spreadsheets/d/1UDYA3-RrkJNLa2ZLH1NnUjKyfCoiSODmgVL_Au_zt-Y/edit#gid=0"",""'Game 5'!S25"")+100)))"),26.0)</f>
        <v>26</v>
      </c>
      <c r="N19" s="12">
        <f>IFERROR(__xludf.DUMMYFUNCTION("IF($A19=IMPORTRANGE(""https://docs.google.com/spreadsheets/d/1fvo6H94Wcffp6c4N9g3JKCW6y2ZlijPxdOsNz7xdBhw/edit#gid=0"",""'Game 5'!B1""),IF(IMPORTRANGE(""https://docs.google.com/spreadsheets/d/1fvo6H94Wcffp6c4N9g3JKCW6y2ZlijPxdOsNz7xdBhw/edit#gid=0"",""'Ga"&amp;"me 5'!J25"")&gt;IMPORTRANGE(""https://docs.google.com/spreadsheets/d/1fvo6H94Wcffp6c4N9g3JKCW6y2ZlijPxdOsNz7xdBhw/edit#gid=0"",""'Game 5'!S25""),IMPORTRANGE(""https://docs.google.com/spreadsheets/d/1fvo6H94Wcffp6c4N9g3JKCW6y2ZlijPxdOsNz7xdBhw/edit#gid=0"","""&amp;"'Game 5'!J25"")+100,IF(IMPORTRANGE(""https://docs.google.com/spreadsheets/d/1fvo6H94Wcffp6c4N9g3JKCW6y2ZlijPxdOsNz7xdBhw/edit#gid=0"",""'Game 5'!J25"")=IMPORTRANGE(""https://docs.google.com/spreadsheets/d/1fvo6H94Wcffp6c4N9g3JKCW6y2ZlijPxdOsNz7xdBhw/edit#"&amp;"gid=0"",""'Game 5'!S25""),IMPORTRANGE(""https://docs.google.com/spreadsheets/d/1fvo6H94Wcffp6c4N9g3JKCW6y2ZlijPxdOsNz7xdBhw/edit#gid=0"",""'Game 5'!J25"")+50,IMPORTRANGE(""https://docs.google.com/spreadsheets/d/1fvo6H94Wcffp6c4N9g3JKCW6y2ZlijPxdOsNz7xdBhw"&amp;"/edit#gid=0"",""'Game 5'!J25""))),IF(IMPORTRANGE(""https://docs.google.com/spreadsheets/d/1fvo6H94Wcffp6c4N9g3JKCW6y2ZlijPxdOsNz7xdBhw/edit#gid=0"",""'Game 5'!J25"")&gt;IMPORTRANGE(""https://docs.google.com/spreadsheets/d/1fvo6H94Wcffp6c4N9g3JKCW6y2ZlijPxdOs"&amp;"Nz7xdBhw/edit#gid=0"",""'Game 5'!S25""),IMPORTRANGE(""https://docs.google.com/spreadsheets/d/1fvo6H94Wcffp6c4N9g3JKCW6y2ZlijPxdOsNz7xdBhw/edit#gid=0"",""'Game 5'!S25""),IF(IMPORTRANGE(""https://docs.google.com/spreadsheets/d/1fvo6H94Wcffp6c4N9g3JKCW6y2Zli"&amp;"jPxdOsNz7xdBhw/edit#gid=0"",""'Game 5'!J25"")=IMPORTRANGE(""https://docs.google.com/spreadsheets/d/1fvo6H94Wcffp6c4N9g3JKCW6y2ZlijPxdOsNz7xdBhw/edit#gid=0"",""'Game 5'!S25""),IMPORTRANGE(""https://docs.google.com/spreadsheets/d/1fvo6H94Wcffp6c4N9g3JKCW6y2"&amp;"ZlijPxdOsNz7xdBhw/edit#gid=0"",""'Game 5'!S25"")+50,IMPORTRANGE(""https://docs.google.com/spreadsheets/d/1fvo6H94Wcffp6c4N9g3JKCW6y2ZlijPxdOsNz7xdBhw/edit#gid=0"",""'Game 5'!S25"")+100)))"),24.0)</f>
        <v>24</v>
      </c>
      <c r="O19" s="12">
        <f>IFERROR(__xludf.DUMMYFUNCTION("IF($A19=IMPORTRANGE(""https://docs.google.com/spreadsheets/d/1wfQePArl-A-5QJe5xAufoOnzeNLVSoHCRcmpZ_FMdns/edit#gid=0"",""'Game 5'!B1""),IF(IMPORTRANGE(""https://docs.google.com/spreadsheets/d/1wfQePArl-A-5QJe5xAufoOnzeNLVSoHCRcmpZ_FMdns/edit#gid=0"",""'Ga"&amp;"me 5'!J25"")&gt;IMPORTRANGE(""https://docs.google.com/spreadsheets/d/1wfQePArl-A-5QJe5xAufoOnzeNLVSoHCRcmpZ_FMdns/edit#gid=0"",""'Game 5'!S25""),IMPORTRANGE(""https://docs.google.com/spreadsheets/d/1wfQePArl-A-5QJe5xAufoOnzeNLVSoHCRcmpZ_FMdns/edit#gid=0"","""&amp;"'Game 5'!J25"")+100,IF(IMPORTRANGE(""https://docs.google.com/spreadsheets/d/1wfQePArl-A-5QJe5xAufoOnzeNLVSoHCRcmpZ_FMdns/edit#gid=0"",""'Game 5'!J25"")=IMPORTRANGE(""https://docs.google.com/spreadsheets/d/1wfQePArl-A-5QJe5xAufoOnzeNLVSoHCRcmpZ_FMdns/edit#"&amp;"gid=0"",""'Game 5'!S25""),IMPORTRANGE(""https://docs.google.com/spreadsheets/d/1wfQePArl-A-5QJe5xAufoOnzeNLVSoHCRcmpZ_FMdns/edit#gid=0"",""'Game 5'!J25"")+50,IMPORTRANGE(""https://docs.google.com/spreadsheets/d/1wfQePArl-A-5QJe5xAufoOnzeNLVSoHCRcmpZ_FMdns"&amp;"/edit#gid=0"",""'Game 5'!J25""))),IF(IMPORTRANGE(""https://docs.google.com/spreadsheets/d/1wfQePArl-A-5QJe5xAufoOnzeNLVSoHCRcmpZ_FMdns/edit#gid=0"",""'Game 5'!J25"")&gt;IMPORTRANGE(""https://docs.google.com/spreadsheets/d/1wfQePArl-A-5QJe5xAufoOnzeNLVSoHCRcm"&amp;"pZ_FMdns/edit#gid=0"",""'Game 5'!S25""),IMPORTRANGE(""https://docs.google.com/spreadsheets/d/1wfQePArl-A-5QJe5xAufoOnzeNLVSoHCRcmpZ_FMdns/edit#gid=0"",""'Game 5'!S25""),IF(IMPORTRANGE(""https://docs.google.com/spreadsheets/d/1wfQePArl-A-5QJe5xAufoOnzeNLVS"&amp;"oHCRcmpZ_FMdns/edit#gid=0"",""'Game 5'!J25"")=IMPORTRANGE(""https://docs.google.com/spreadsheets/d/1wfQePArl-A-5QJe5xAufoOnzeNLVSoHCRcmpZ_FMdns/edit#gid=0"",""'Game 5'!S25""),IMPORTRANGE(""https://docs.google.com/spreadsheets/d/1wfQePArl-A-5QJe5xAufoOnzeN"&amp;"LVSoHCRcmpZ_FMdns/edit#gid=0"",""'Game 5'!S25"")+50,IMPORTRANGE(""https://docs.google.com/spreadsheets/d/1wfQePArl-A-5QJe5xAufoOnzeNLVSoHCRcmpZ_FMdns/edit#gid=0"",""'Game 5'!S25"")+100)))"),36.0)</f>
        <v>36</v>
      </c>
      <c r="P19" s="12">
        <f>IFERROR(__xludf.DUMMYFUNCTION("IF($A19=IMPORTRANGE(""https://docs.google.com/spreadsheets/d/1wydNznS0hZhVh3oGSdiCZSsReuqMT7Xaw718ix58zAI/edit#gid=0"",""'Game 6'!B1""),IF(IMPORTRANGE(""https://docs.google.com/spreadsheets/d/1wydNznS0hZhVh3oGSdiCZSsReuqMT7Xaw718ix58zAI/edit#gid=0"",""'Ga"&amp;"me 6'!J25"")&gt;IMPORTRANGE(""https://docs.google.com/spreadsheets/d/1wydNznS0hZhVh3oGSdiCZSsReuqMT7Xaw718ix58zAI/edit#gid=0"",""'Game 6'!S25""),IMPORTRANGE(""https://docs.google.com/spreadsheets/d/1wydNznS0hZhVh3oGSdiCZSsReuqMT7Xaw718ix58zAI/edit#gid=0"","""&amp;"'Game 6'!J25"")+100,IF(IMPORTRANGE(""https://docs.google.com/spreadsheets/d/1wydNznS0hZhVh3oGSdiCZSsReuqMT7Xaw718ix58zAI/edit#gid=0"",""'Game 6'!J25"")=IMPORTRANGE(""https://docs.google.com/spreadsheets/d/1wydNznS0hZhVh3oGSdiCZSsReuqMT7Xaw718ix58zAI/edit#"&amp;"gid=0"",""'Game 6'!S25""),IMPORTRANGE(""https://docs.google.com/spreadsheets/d/1wydNznS0hZhVh3oGSdiCZSsReuqMT7Xaw718ix58zAI/edit#gid=0"",""'Game 6'!J25"")+50,IMPORTRANGE(""https://docs.google.com/spreadsheets/d/1wydNznS0hZhVh3oGSdiCZSsReuqMT7Xaw718ix58zAI"&amp;"/edit#gid=0"",""'Game 6'!J25""))),IF(IMPORTRANGE(""https://docs.google.com/spreadsheets/d/1wydNznS0hZhVh3oGSdiCZSsReuqMT7Xaw718ix58zAI/edit#gid=0"",""'Game 6'!J25"")&gt;IMPORTRANGE(""https://docs.google.com/spreadsheets/d/1wydNznS0hZhVh3oGSdiCZSsReuqMT7Xaw71"&amp;"8ix58zAI/edit#gid=0"",""'Game 6'!S25""),IMPORTRANGE(""https://docs.google.com/spreadsheets/d/1wydNznS0hZhVh3oGSdiCZSsReuqMT7Xaw718ix58zAI/edit#gid=0"",""'Game 6'!S25""),IF(IMPORTRANGE(""https://docs.google.com/spreadsheets/d/1wydNznS0hZhVh3oGSdiCZSsReuqMT"&amp;"7Xaw718ix58zAI/edit#gid=0"",""'Game 6'!J25"")=IMPORTRANGE(""https://docs.google.com/spreadsheets/d/1wydNznS0hZhVh3oGSdiCZSsReuqMT7Xaw718ix58zAI/edit#gid=0"",""'Game 6'!S25""),IMPORTRANGE(""https://docs.google.com/spreadsheets/d/1wydNznS0hZhVh3oGSdiCZSsReu"&amp;"qMT7Xaw718ix58zAI/edit#gid=0"",""'Game 6'!S25"")+50,IMPORTRANGE(""https://docs.google.com/spreadsheets/d/1wydNznS0hZhVh3oGSdiCZSsReuqMT7Xaw718ix58zAI/edit#gid=0"",""'Game 6'!S25"")+100)))"),142.0)</f>
        <v>142</v>
      </c>
      <c r="Q19" s="37">
        <f t="shared" si="1"/>
        <v>752</v>
      </c>
      <c r="R19" s="37">
        <f t="shared" si="2"/>
        <v>21</v>
      </c>
    </row>
    <row r="20">
      <c r="A20" s="33" t="s">
        <v>248</v>
      </c>
      <c r="B20" s="34">
        <v>56.0</v>
      </c>
      <c r="C20" s="34">
        <v>224.0</v>
      </c>
      <c r="D20" s="34">
        <v>82.0</v>
      </c>
      <c r="E20" s="34">
        <v>178.0</v>
      </c>
      <c r="F20" s="34">
        <v>52.0</v>
      </c>
      <c r="G20" s="5">
        <f>IFERROR(__xludf.DUMMYFUNCTION("IF($A20=IMPORTRANGE(""https://docs.google.com/spreadsheets/d/19gjAD4NwTXl_QoKUuwHQ1cWG_S2BOW94pDcyFtPwheg/edit#gid=0"",""'Game 8'!B1""),IF(IMPORTRANGE(""https://docs.google.com/spreadsheets/d/19gjAD4NwTXl_QoKUuwHQ1cWG_S2BOW94pDcyFtPwheg/edit#gid=0"",""'Ga"&amp;"me 8'!J25"")&gt;IMPORTRANGE(""https://docs.google.com/spreadsheets/d/19gjAD4NwTXl_QoKUuwHQ1cWG_S2BOW94pDcyFtPwheg/edit#gid=0"",""'Game 8'!S25""),IMPORTRANGE(""https://docs.google.com/spreadsheets/d/19gjAD4NwTXl_QoKUuwHQ1cWG_S2BOW94pDcyFtPwheg/edit#gid=0"","""&amp;"'Game 8'!J25"")+100,IF(IMPORTRANGE(""https://docs.google.com/spreadsheets/d/19gjAD4NwTXl_QoKUuwHQ1cWG_S2BOW94pDcyFtPwheg/edit#gid=0"",""'Game 8'!J25"")=IMPORTRANGE(""https://docs.google.com/spreadsheets/d/19gjAD4NwTXl_QoKUuwHQ1cWG_S2BOW94pDcyFtPwheg/edit#"&amp;"gid=0"",""'Game 8'!S25""),IMPORTRANGE(""https://docs.google.com/spreadsheets/d/19gjAD4NwTXl_QoKUuwHQ1cWG_S2BOW94pDcyFtPwheg/edit#gid=0"",""'Game 8'!J25"")+50,IMPORTRANGE(""https://docs.google.com/spreadsheets/d/19gjAD4NwTXl_QoKUuwHQ1cWG_S2BOW94pDcyFtPwheg"&amp;"/edit#gid=0"",""'Game 8'!J25""))),IF(IMPORTRANGE(""https://docs.google.com/spreadsheets/d/19gjAD4NwTXl_QoKUuwHQ1cWG_S2BOW94pDcyFtPwheg/edit#gid=0"",""'Game 8'!J25"")&gt;IMPORTRANGE(""https://docs.google.com/spreadsheets/d/19gjAD4NwTXl_QoKUuwHQ1cWG_S2BOW94pDc"&amp;"yFtPwheg/edit#gid=0"",""'Game 8'!S25""),IMPORTRANGE(""https://docs.google.com/spreadsheets/d/19gjAD4NwTXl_QoKUuwHQ1cWG_S2BOW94pDcyFtPwheg/edit#gid=0"",""'Game 8'!S25""),IF(IMPORTRANGE(""https://docs.google.com/spreadsheets/d/19gjAD4NwTXl_QoKUuwHQ1cWG_S2BO"&amp;"W94pDcyFtPwheg/edit#gid=0"",""'Game 8'!J25"")=IMPORTRANGE(""https://docs.google.com/spreadsheets/d/19gjAD4NwTXl_QoKUuwHQ1cWG_S2BOW94pDcyFtPwheg/edit#gid=0"",""'Game 8'!S25""),IMPORTRANGE(""https://docs.google.com/spreadsheets/d/19gjAD4NwTXl_QoKUuwHQ1cWG_S"&amp;"2BOW94pDcyFtPwheg/edit#gid=0"",""'Game 8'!S25"")+50,IMPORTRANGE(""https://docs.google.com/spreadsheets/d/19gjAD4NwTXl_QoKUuwHQ1cWG_S2BOW94pDcyFtPwheg/edit#gid=0"",""'Game 8'!S25"")+100)))"),68.0)</f>
        <v>68</v>
      </c>
      <c r="H20" s="5">
        <f>IFERROR(__xludf.DUMMYFUNCTION("IF($A20=IMPORTRANGE(""https://docs.google.com/spreadsheets/d/1l83w8bH-F1czkFOqsgQy6o8O33Jb4Pfg40W0ou2nk0k/edit#gid=0"",""'Game 4'!B1""),IF(IMPORTRANGE(""https://docs.google.com/spreadsheets/d/1l83w8bH-F1czkFOqsgQy6o8O33Jb4Pfg40W0ou2nk0k/edit#gid=0"",""'Ga"&amp;"me 4'!J25"")&gt;IMPORTRANGE(""https://docs.google.com/spreadsheets/d/1l83w8bH-F1czkFOqsgQy6o8O33Jb4Pfg40W0ou2nk0k/edit#gid=0"",""'Game 4'!S25""),IMPORTRANGE(""https://docs.google.com/spreadsheets/d/1l83w8bH-F1czkFOqsgQy6o8O33Jb4Pfg40W0ou2nk0k/edit#gid=0"","""&amp;"'Game 4'!J25"")+100,IF(IMPORTRANGE(""https://docs.google.com/spreadsheets/d/1l83w8bH-F1czkFOqsgQy6o8O33Jb4Pfg40W0ou2nk0k/edit#gid=0"",""'Game 4'!J25"")=IMPORTRANGE(""https://docs.google.com/spreadsheets/d/1l83w8bH-F1czkFOqsgQy6o8O33Jb4Pfg40W0ou2nk0k/edit#"&amp;"gid=0"",""'Game 4'!S25""),IMPORTRANGE(""https://docs.google.com/spreadsheets/d/1l83w8bH-F1czkFOqsgQy6o8O33Jb4Pfg40W0ou2nk0k/edit#gid=0"",""'Game 4'!J25"")+50,IMPORTRANGE(""https://docs.google.com/spreadsheets/d/1l83w8bH-F1czkFOqsgQy6o8O33Jb4Pfg40W0ou2nk0k"&amp;"/edit#gid=0"",""'Game 4'!J25""))),IF(IMPORTRANGE(""https://docs.google.com/spreadsheets/d/1l83w8bH-F1czkFOqsgQy6o8O33Jb4Pfg40W0ou2nk0k/edit#gid=0"",""'Game 4'!J25"")&gt;IMPORTRANGE(""https://docs.google.com/spreadsheets/d/1l83w8bH-F1czkFOqsgQy6o8O33Jb4Pfg40W"&amp;"0ou2nk0k/edit#gid=0"",""'Game 4'!S25""),IMPORTRANGE(""https://docs.google.com/spreadsheets/d/1l83w8bH-F1czkFOqsgQy6o8O33Jb4Pfg40W0ou2nk0k/edit#gid=0"",""'Game 4'!S25""),IF(IMPORTRANGE(""https://docs.google.com/spreadsheets/d/1l83w8bH-F1czkFOqsgQy6o8O33Jb4"&amp;"Pfg40W0ou2nk0k/edit#gid=0"",""'Game 4'!J25"")=IMPORTRANGE(""https://docs.google.com/spreadsheets/d/1l83w8bH-F1czkFOqsgQy6o8O33Jb4Pfg40W0ou2nk0k/edit#gid=0"",""'Game 4'!S25""),IMPORTRANGE(""https://docs.google.com/spreadsheets/d/1l83w8bH-F1czkFOqsgQy6o8O33"&amp;"Jb4Pfg40W0ou2nk0k/edit#gid=0"",""'Game 4'!S25"")+50,IMPORTRANGE(""https://docs.google.com/spreadsheets/d/1l83w8bH-F1czkFOqsgQy6o8O33Jb4Pfg40W0ou2nk0k/edit#gid=0"",""'Game 4'!S25"")+100)))"),162.0)</f>
        <v>162</v>
      </c>
      <c r="I20" s="5">
        <f>IFERROR(__xludf.DUMMYFUNCTION("IF($A20=IMPORTRANGE(""https://docs.google.com/spreadsheets/d/15X-ub7GvrCQZ3UGgyogcjwYdxG-Ng8WHxzGSj1Z3eLw/edit#gid=0"",""'Game 10'!B1""),IF(IMPORTRANGE(""https://docs.google.com/spreadsheets/d/15X-ub7GvrCQZ3UGgyogcjwYdxG-Ng8WHxzGSj1Z3eLw/edit#gid=0"",""'G"&amp;"ame 10'!J25"")&gt;IMPORTRANGE(""https://docs.google.com/spreadsheets/d/15X-ub7GvrCQZ3UGgyogcjwYdxG-Ng8WHxzGSj1Z3eLw/edit#gid=0"",""'Game 10'!S25""),IMPORTRANGE(""https://docs.google.com/spreadsheets/d/15X-ub7GvrCQZ3UGgyogcjwYdxG-Ng8WHxzGSj1Z3eLw/edit#gid=0"""&amp;",""'Game 10'!J25"")+100,IF(IMPORTRANGE(""https://docs.google.com/spreadsheets/d/15X-ub7GvrCQZ3UGgyogcjwYdxG-Ng8WHxzGSj1Z3eLw/edit#gid=0"",""'Game 10'!J25"")=IMPORTRANGE(""https://docs.google.com/spreadsheets/d/15X-ub7GvrCQZ3UGgyogcjwYdxG-Ng8WHxzGSj1Z3eLw/"&amp;"edit#gid=0"",""'Game 10'!S25""),IMPORTRANGE(""https://docs.google.com/spreadsheets/d/15X-ub7GvrCQZ3UGgyogcjwYdxG-Ng8WHxzGSj1Z3eLw/edit#gid=0"",""'Game 10'!J25"")+50,IMPORTRANGE(""https://docs.google.com/spreadsheets/d/15X-ub7GvrCQZ3UGgyogcjwYdxG-Ng8WHxzGS"&amp;"j1Z3eLw/edit#gid=0"",""'Game 10'!J25""))),IF(IMPORTRANGE(""https://docs.google.com/spreadsheets/d/15X-ub7GvrCQZ3UGgyogcjwYdxG-Ng8WHxzGSj1Z3eLw/edit#gid=0"",""'Game 10'!J25"")&gt;IMPORTRANGE(""https://docs.google.com/spreadsheets/d/15X-ub7GvrCQZ3UGgyogcjwYdxG"&amp;"-Ng8WHxzGSj1Z3eLw/edit#gid=0"",""'Game 10'!S25""),IMPORTRANGE(""https://docs.google.com/spreadsheets/d/15X-ub7GvrCQZ3UGgyogcjwYdxG-Ng8WHxzGSj1Z3eLw/edit#gid=0"",""'Game 10'!S25""),IF(IMPORTRANGE(""https://docs.google.com/spreadsheets/d/15X-ub7GvrCQZ3UGgyo"&amp;"gcjwYdxG-Ng8WHxzGSj1Z3eLw/edit#gid=0"",""'Game 10'!J25"")=IMPORTRANGE(""https://docs.google.com/spreadsheets/d/15X-ub7GvrCQZ3UGgyogcjwYdxG-Ng8WHxzGSj1Z3eLw/edit#gid=0"",""'Game 10'!S25""),IMPORTRANGE(""https://docs.google.com/spreadsheets/d/15X-ub7GvrCQZ3"&amp;"UGgyogcjwYdxG-Ng8WHxzGSj1Z3eLw/edit#gid=0"",""'Game 10'!S25"")+50,IMPORTRANGE(""https://docs.google.com/spreadsheets/d/15X-ub7GvrCQZ3UGgyogcjwYdxG-Ng8WHxzGSj1Z3eLw/edit#gid=0"",""'Game 10'!S25"")+100)))"),196.0)</f>
        <v>196</v>
      </c>
      <c r="J20" s="5">
        <f>IFERROR(__xludf.DUMMYFUNCTION("IF($A20=IMPORTRANGE(""https://docs.google.com/spreadsheets/d/194Bw3ABslPPhOOPvVoMzIk8sOQFICWBu2pydWdYMD-w/edit#gid=0"",""'Game 8'!B1""),IF(IMPORTRANGE(""https://docs.google.com/spreadsheets/d/194Bw3ABslPPhOOPvVoMzIk8sOQFICWBu2pydWdYMD-w/edit#gid=0"",""'Ga"&amp;"me 8'!J25"")&gt;IMPORTRANGE(""https://docs.google.com/spreadsheets/d/194Bw3ABslPPhOOPvVoMzIk8sOQFICWBu2pydWdYMD-w/edit#gid=0"",""'Game 8'!S25""),IMPORTRANGE(""https://docs.google.com/spreadsheets/d/194Bw3ABslPPhOOPvVoMzIk8sOQFICWBu2pydWdYMD-w/edit#gid=0"","""&amp;"'Game 8'!J25"")+100,IF(IMPORTRANGE(""https://docs.google.com/spreadsheets/d/194Bw3ABslPPhOOPvVoMzIk8sOQFICWBu2pydWdYMD-w/edit#gid=0"",""'Game 8'!J25"")=IMPORTRANGE(""https://docs.google.com/spreadsheets/d/194Bw3ABslPPhOOPvVoMzIk8sOQFICWBu2pydWdYMD-w/edit#"&amp;"gid=0"",""'Game 8'!S25""),IMPORTRANGE(""https://docs.google.com/spreadsheets/d/194Bw3ABslPPhOOPvVoMzIk8sOQFICWBu2pydWdYMD-w/edit#gid=0"",""'Game 8'!J25"")+50,IMPORTRANGE(""https://docs.google.com/spreadsheets/d/194Bw3ABslPPhOOPvVoMzIk8sOQFICWBu2pydWdYMD-w"&amp;"/edit#gid=0"",""'Game 8'!J25""))),IF(IMPORTRANGE(""https://docs.google.com/spreadsheets/d/194Bw3ABslPPhOOPvVoMzIk8sOQFICWBu2pydWdYMD-w/edit#gid=0"",""'Game 8'!J25"")&gt;IMPORTRANGE(""https://docs.google.com/spreadsheets/d/194Bw3ABslPPhOOPvVoMzIk8sOQFICWBu2py"&amp;"dWdYMD-w/edit#gid=0"",""'Game 8'!S25""),IMPORTRANGE(""https://docs.google.com/spreadsheets/d/194Bw3ABslPPhOOPvVoMzIk8sOQFICWBu2pydWdYMD-w/edit#gid=0"",""'Game 8'!S25""),IF(IMPORTRANGE(""https://docs.google.com/spreadsheets/d/194Bw3ABslPPhOOPvVoMzIk8sOQFIC"&amp;"WBu2pydWdYMD-w/edit#gid=0"",""'Game 8'!J25"")=IMPORTRANGE(""https://docs.google.com/spreadsheets/d/194Bw3ABslPPhOOPvVoMzIk8sOQFICWBu2pydWdYMD-w/edit#gid=0"",""'Game 8'!S25""),IMPORTRANGE(""https://docs.google.com/spreadsheets/d/194Bw3ABslPPhOOPvVoMzIk8sOQ"&amp;"FICWBu2pydWdYMD-w/edit#gid=0"",""'Game 8'!S25"")+50,IMPORTRANGE(""https://docs.google.com/spreadsheets/d/194Bw3ABslPPhOOPvVoMzIk8sOQFICWBu2pydWdYMD-w/edit#gid=0"",""'Game 8'!S25"")+100)))"),188.0)</f>
        <v>188</v>
      </c>
      <c r="K20" s="5">
        <f>IFERROR(__xludf.DUMMYFUNCTION("IF($A20=IMPORTRANGE(""https://docs.google.com/spreadsheets/d/1F2Bi6K_I1K9xRxY5qb-bNRo5m-Kw7udpF1OaTHhrxjs/edit#gid=0"",""'Game 2'!B1""),IF(IMPORTRANGE(""https://docs.google.com/spreadsheets/d/1F2Bi6K_I1K9xRxY5qb-bNRo5m-Kw7udpF1OaTHhrxjs/edit#gid=0"",""'Ga"&amp;"me 2'!J25"")&gt;IMPORTRANGE(""https://docs.google.com/spreadsheets/d/1F2Bi6K_I1K9xRxY5qb-bNRo5m-Kw7udpF1OaTHhrxjs/edit#gid=0"",""'Game 2'!S25""),IMPORTRANGE(""https://docs.google.com/spreadsheets/d/1F2Bi6K_I1K9xRxY5qb-bNRo5m-Kw7udpF1OaTHhrxjs/edit#gid=0"","""&amp;"'Game 2'!J25"")+100,IF(IMPORTRANGE(""https://docs.google.com/spreadsheets/d/1F2Bi6K_I1K9xRxY5qb-bNRo5m-Kw7udpF1OaTHhrxjs/edit#gid=0"",""'Game 2'!J25"")=IMPORTRANGE(""https://docs.google.com/spreadsheets/d/1F2Bi6K_I1K9xRxY5qb-bNRo5m-Kw7udpF1OaTHhrxjs/edit#"&amp;"gid=0"",""'Game 2'!S25""),IMPORTRANGE(""https://docs.google.com/spreadsheets/d/1F2Bi6K_I1K9xRxY5qb-bNRo5m-Kw7udpF1OaTHhrxjs/edit#gid=0"",""'Game 2'!J25"")+50,IMPORTRANGE(""https://docs.google.com/spreadsheets/d/1F2Bi6K_I1K9xRxY5qb-bNRo5m-Kw7udpF1OaTHhrxjs"&amp;"/edit#gid=0"",""'Game 2'!J25""))),IF(IMPORTRANGE(""https://docs.google.com/spreadsheets/d/1F2Bi6K_I1K9xRxY5qb-bNRo5m-Kw7udpF1OaTHhrxjs/edit#gid=0"",""'Game 2'!J25"")&gt;IMPORTRANGE(""https://docs.google.com/spreadsheets/d/1F2Bi6K_I1K9xRxY5qb-bNRo5m-Kw7udpF1O"&amp;"aTHhrxjs/edit#gid=0"",""'Game 2'!S25""),IMPORTRANGE(""https://docs.google.com/spreadsheets/d/1F2Bi6K_I1K9xRxY5qb-bNRo5m-Kw7udpF1OaTHhrxjs/edit#gid=0"",""'Game 2'!S25""),IF(IMPORTRANGE(""https://docs.google.com/spreadsheets/d/1F2Bi6K_I1K9xRxY5qb-bNRo5m-Kw7"&amp;"udpF1OaTHhrxjs/edit#gid=0"",""'Game 2'!J25"")=IMPORTRANGE(""https://docs.google.com/spreadsheets/d/1F2Bi6K_I1K9xRxY5qb-bNRo5m-Kw7udpF1OaTHhrxjs/edit#gid=0"",""'Game 2'!S25""),IMPORTRANGE(""https://docs.google.com/spreadsheets/d/1F2Bi6K_I1K9xRxY5qb-bNRo5m-"&amp;"Kw7udpF1OaTHhrxjs/edit#gid=0"",""'Game 2'!S25"")+50,IMPORTRANGE(""https://docs.google.com/spreadsheets/d/1F2Bi6K_I1K9xRxY5qb-bNRo5m-Kw7udpF1OaTHhrxjs/edit#gid=0"",""'Game 2'!S25"")+100)))"),186.0)</f>
        <v>186</v>
      </c>
      <c r="L20" s="5">
        <f>IFERROR(__xludf.DUMMYFUNCTION("IF($A20=IMPORTRANGE(""https://docs.google.com/spreadsheets/d/1NDNgi_Ny4dRhc2A3UMIIkalN-V6EmsvxOfDzMRQlQ40/edit#gid=0"",""'Game 4'!B1""),IF(IMPORTRANGE(""https://docs.google.com/spreadsheets/d/1NDNgi_Ny4dRhc2A3UMIIkalN-V6EmsvxOfDzMRQlQ40/edit#gid=0"",""'Ga"&amp;"me 4'!J25"")&gt;IMPORTRANGE(""https://docs.google.com/spreadsheets/d/1NDNgi_Ny4dRhc2A3UMIIkalN-V6EmsvxOfDzMRQlQ40/edit#gid=0"",""'Game 4'!S25""),IMPORTRANGE(""https://docs.google.com/spreadsheets/d/1NDNgi_Ny4dRhc2A3UMIIkalN-V6EmsvxOfDzMRQlQ40/edit#gid=0"","""&amp;"'Game 4'!J25"")+100,IF(IMPORTRANGE(""https://docs.google.com/spreadsheets/d/1NDNgi_Ny4dRhc2A3UMIIkalN-V6EmsvxOfDzMRQlQ40/edit#gid=0"",""'Game 4'!J25"")=IMPORTRANGE(""https://docs.google.com/spreadsheets/d/1NDNgi_Ny4dRhc2A3UMIIkalN-V6EmsvxOfDzMRQlQ40/edit#"&amp;"gid=0"",""'Game 4'!S25""),IMPORTRANGE(""https://docs.google.com/spreadsheets/d/1NDNgi_Ny4dRhc2A3UMIIkalN-V6EmsvxOfDzMRQlQ40/edit#gid=0"",""'Game 4'!J25"")+50,IMPORTRANGE(""https://docs.google.com/spreadsheets/d/1NDNgi_Ny4dRhc2A3UMIIkalN-V6EmsvxOfDzMRQlQ40"&amp;"/edit#gid=0"",""'Game 4'!J25""))),IF(IMPORTRANGE(""https://docs.google.com/spreadsheets/d/1NDNgi_Ny4dRhc2A3UMIIkalN-V6EmsvxOfDzMRQlQ40/edit#gid=0"",""'Game 4'!J25"")&gt;IMPORTRANGE(""https://docs.google.com/spreadsheets/d/1NDNgi_Ny4dRhc2A3UMIIkalN-V6EmsvxOfD"&amp;"zMRQlQ40/edit#gid=0"",""'Game 4'!S25""),IMPORTRANGE(""https://docs.google.com/spreadsheets/d/1NDNgi_Ny4dRhc2A3UMIIkalN-V6EmsvxOfDzMRQlQ40/edit#gid=0"",""'Game 4'!S25""),IF(IMPORTRANGE(""https://docs.google.com/spreadsheets/d/1NDNgi_Ny4dRhc2A3UMIIkalN-V6Em"&amp;"svxOfDzMRQlQ40/edit#gid=0"",""'Game 4'!J25"")=IMPORTRANGE(""https://docs.google.com/spreadsheets/d/1NDNgi_Ny4dRhc2A3UMIIkalN-V6EmsvxOfDzMRQlQ40/edit#gid=0"",""'Game 4'!S25""),IMPORTRANGE(""https://docs.google.com/spreadsheets/d/1NDNgi_Ny4dRhc2A3UMIIkalN-V"&amp;"6EmsvxOfDzMRQlQ40/edit#gid=0"",""'Game 4'!S25"")+50,IMPORTRANGE(""https://docs.google.com/spreadsheets/d/1NDNgi_Ny4dRhc2A3UMIIkalN-V6EmsvxOfDzMRQlQ40/edit#gid=0"",""'Game 4'!S25"")+100)))"),166.0)</f>
        <v>166</v>
      </c>
      <c r="M20" s="5">
        <f>IFERROR(__xludf.DUMMYFUNCTION("IF($A20=IMPORTRANGE(""https://docs.google.com/spreadsheets/d/1UDYA3-RrkJNLa2ZLH1NnUjKyfCoiSODmgVL_Au_zt-Y/edit#gid=0"",""'Game 1'!B1""),IF(IMPORTRANGE(""https://docs.google.com/spreadsheets/d/1UDYA3-RrkJNLa2ZLH1NnUjKyfCoiSODmgVL_Au_zt-Y/edit#gid=0"",""'Ga"&amp;"me 1'!J25"")&gt;IMPORTRANGE(""https://docs.google.com/spreadsheets/d/1UDYA3-RrkJNLa2ZLH1NnUjKyfCoiSODmgVL_Au_zt-Y/edit#gid=0"",""'Game 1'!S25""),IMPORTRANGE(""https://docs.google.com/spreadsheets/d/1UDYA3-RrkJNLa2ZLH1NnUjKyfCoiSODmgVL_Au_zt-Y/edit#gid=0"","""&amp;"'Game 1'!J25"")+100,IF(IMPORTRANGE(""https://docs.google.com/spreadsheets/d/1UDYA3-RrkJNLa2ZLH1NnUjKyfCoiSODmgVL_Au_zt-Y/edit#gid=0"",""'Game 1'!J25"")=IMPORTRANGE(""https://docs.google.com/spreadsheets/d/1UDYA3-RrkJNLa2ZLH1NnUjKyfCoiSODmgVL_Au_zt-Y/edit#"&amp;"gid=0"",""'Game 1'!S25""),IMPORTRANGE(""https://docs.google.com/spreadsheets/d/1UDYA3-RrkJNLa2ZLH1NnUjKyfCoiSODmgVL_Au_zt-Y/edit#gid=0"",""'Game 1'!J25"")+50,IMPORTRANGE(""https://docs.google.com/spreadsheets/d/1UDYA3-RrkJNLa2ZLH1NnUjKyfCoiSODmgVL_Au_zt-Y"&amp;"/edit#gid=0"",""'Game 1'!J25""))),IF(IMPORTRANGE(""https://docs.google.com/spreadsheets/d/1UDYA3-RrkJNLa2ZLH1NnUjKyfCoiSODmgVL_Au_zt-Y/edit#gid=0"",""'Game 1'!J25"")&gt;IMPORTRANGE(""https://docs.google.com/spreadsheets/d/1UDYA3-RrkJNLa2ZLH1NnUjKyfCoiSODmgVL"&amp;"_Au_zt-Y/edit#gid=0"",""'Game 1'!S25""),IMPORTRANGE(""https://docs.google.com/spreadsheets/d/1UDYA3-RrkJNLa2ZLH1NnUjKyfCoiSODmgVL_Au_zt-Y/edit#gid=0"",""'Game 1'!S25""),IF(IMPORTRANGE(""https://docs.google.com/spreadsheets/d/1UDYA3-RrkJNLa2ZLH1NnUjKyfCoiS"&amp;"ODmgVL_Au_zt-Y/edit#gid=0"",""'Game 1'!J25"")=IMPORTRANGE(""https://docs.google.com/spreadsheets/d/1UDYA3-RrkJNLa2ZLH1NnUjKyfCoiSODmgVL_Au_zt-Y/edit#gid=0"",""'Game 1'!S25""),IMPORTRANGE(""https://docs.google.com/spreadsheets/d/1UDYA3-RrkJNLa2ZLH1NnUjKyfC"&amp;"oiSODmgVL_Au_zt-Y/edit#gid=0"",""'Game 1'!S25"")+50,IMPORTRANGE(""https://docs.google.com/spreadsheets/d/1UDYA3-RrkJNLa2ZLH1NnUjKyfCoiSODmgVL_Au_zt-Y/edit#gid=0"",""'Game 1'!S25"")+100)))"),188.0)</f>
        <v>188</v>
      </c>
      <c r="N20" s="5">
        <f>IFERROR(__xludf.DUMMYFUNCTION("IF($A20=IMPORTRANGE(""https://docs.google.com/spreadsheets/d/1fvo6H94Wcffp6c4N9g3JKCW6y2ZlijPxdOsNz7xdBhw/edit#gid=0"",""'Game 10'!B1""),IF(IMPORTRANGE(""https://docs.google.com/spreadsheets/d/1fvo6H94Wcffp6c4N9g3JKCW6y2ZlijPxdOsNz7xdBhw/edit#gid=0"",""'G"&amp;"ame 10'!J25"")&gt;IMPORTRANGE(""https://docs.google.com/spreadsheets/d/1fvo6H94Wcffp6c4N9g3JKCW6y2ZlijPxdOsNz7xdBhw/edit#gid=0"",""'Game 10'!S25""),IMPORTRANGE(""https://docs.google.com/spreadsheets/d/1fvo6H94Wcffp6c4N9g3JKCW6y2ZlijPxdOsNz7xdBhw/edit#gid=0"""&amp;",""'Game 10'!J25"")+100,IF(IMPORTRANGE(""https://docs.google.com/spreadsheets/d/1fvo6H94Wcffp6c4N9g3JKCW6y2ZlijPxdOsNz7xdBhw/edit#gid=0"",""'Game 10'!J25"")=IMPORTRANGE(""https://docs.google.com/spreadsheets/d/1fvo6H94Wcffp6c4N9g3JKCW6y2ZlijPxdOsNz7xdBhw/"&amp;"edit#gid=0"",""'Game 10'!S25""),IMPORTRANGE(""https://docs.google.com/spreadsheets/d/1fvo6H94Wcffp6c4N9g3JKCW6y2ZlijPxdOsNz7xdBhw/edit#gid=0"",""'Game 10'!J25"")+50,IMPORTRANGE(""https://docs.google.com/spreadsheets/d/1fvo6H94Wcffp6c4N9g3JKCW6y2ZlijPxdOsN"&amp;"z7xdBhw/edit#gid=0"",""'Game 10'!J25""))),IF(IMPORTRANGE(""https://docs.google.com/spreadsheets/d/1fvo6H94Wcffp6c4N9g3JKCW6y2ZlijPxdOsNz7xdBhw/edit#gid=0"",""'Game 10'!J25"")&gt;IMPORTRANGE(""https://docs.google.com/spreadsheets/d/1fvo6H94Wcffp6c4N9g3JKCW6y2"&amp;"ZlijPxdOsNz7xdBhw/edit#gid=0"",""'Game 10'!S25""),IMPORTRANGE(""https://docs.google.com/spreadsheets/d/1fvo6H94Wcffp6c4N9g3JKCW6y2ZlijPxdOsNz7xdBhw/edit#gid=0"",""'Game 10'!S25""),IF(IMPORTRANGE(""https://docs.google.com/spreadsheets/d/1fvo6H94Wcffp6c4N9g"&amp;"3JKCW6y2ZlijPxdOsNz7xdBhw/edit#gid=0"",""'Game 10'!J25"")=IMPORTRANGE(""https://docs.google.com/spreadsheets/d/1fvo6H94Wcffp6c4N9g3JKCW6y2ZlijPxdOsNz7xdBhw/edit#gid=0"",""'Game 10'!S25""),IMPORTRANGE(""https://docs.google.com/spreadsheets/d/1fvo6H94Wcffp6"&amp;"c4N9g3JKCW6y2ZlijPxdOsNz7xdBhw/edit#gid=0"",""'Game 10'!S25"")+50,IMPORTRANGE(""https://docs.google.com/spreadsheets/d/1fvo6H94Wcffp6c4N9g3JKCW6y2ZlijPxdOsNz7xdBhw/edit#gid=0"",""'Game 10'!S25"")+100)))"),200.0)</f>
        <v>200</v>
      </c>
      <c r="O20" s="5">
        <f>IFERROR(__xludf.DUMMYFUNCTION("IF($A20=IMPORTRANGE(""https://docs.google.com/spreadsheets/d/1wfQePArl-A-5QJe5xAufoOnzeNLVSoHCRcmpZ_FMdns/edit#gid=0"",""'Game 6'!B1""),IF(IMPORTRANGE(""https://docs.google.com/spreadsheets/d/1wfQePArl-A-5QJe5xAufoOnzeNLVSoHCRcmpZ_FMdns/edit#gid=0"",""'Ga"&amp;"me 6'!J25"")&gt;IMPORTRANGE(""https://docs.google.com/spreadsheets/d/1wfQePArl-A-5QJe5xAufoOnzeNLVSoHCRcmpZ_FMdns/edit#gid=0"",""'Game 6'!S25""),IMPORTRANGE(""https://docs.google.com/spreadsheets/d/1wfQePArl-A-5QJe5xAufoOnzeNLVSoHCRcmpZ_FMdns/edit#gid=0"","""&amp;"'Game 6'!J25"")+100,IF(IMPORTRANGE(""https://docs.google.com/spreadsheets/d/1wfQePArl-A-5QJe5xAufoOnzeNLVSoHCRcmpZ_FMdns/edit#gid=0"",""'Game 6'!J25"")=IMPORTRANGE(""https://docs.google.com/spreadsheets/d/1wfQePArl-A-5QJe5xAufoOnzeNLVSoHCRcmpZ_FMdns/edit#"&amp;"gid=0"",""'Game 6'!S25""),IMPORTRANGE(""https://docs.google.com/spreadsheets/d/1wfQePArl-A-5QJe5xAufoOnzeNLVSoHCRcmpZ_FMdns/edit#gid=0"",""'Game 6'!J25"")+50,IMPORTRANGE(""https://docs.google.com/spreadsheets/d/1wfQePArl-A-5QJe5xAufoOnzeNLVSoHCRcmpZ_FMdns"&amp;"/edit#gid=0"",""'Game 6'!J25""))),IF(IMPORTRANGE(""https://docs.google.com/spreadsheets/d/1wfQePArl-A-5QJe5xAufoOnzeNLVSoHCRcmpZ_FMdns/edit#gid=0"",""'Game 6'!J25"")&gt;IMPORTRANGE(""https://docs.google.com/spreadsheets/d/1wfQePArl-A-5QJe5xAufoOnzeNLVSoHCRcm"&amp;"pZ_FMdns/edit#gid=0"",""'Game 6'!S25""),IMPORTRANGE(""https://docs.google.com/spreadsheets/d/1wfQePArl-A-5QJe5xAufoOnzeNLVSoHCRcmpZ_FMdns/edit#gid=0"",""'Game 6'!S25""),IF(IMPORTRANGE(""https://docs.google.com/spreadsheets/d/1wfQePArl-A-5QJe5xAufoOnzeNLVS"&amp;"oHCRcmpZ_FMdns/edit#gid=0"",""'Game 6'!J25"")=IMPORTRANGE(""https://docs.google.com/spreadsheets/d/1wfQePArl-A-5QJe5xAufoOnzeNLVSoHCRcmpZ_FMdns/edit#gid=0"",""'Game 6'!S25""),IMPORTRANGE(""https://docs.google.com/spreadsheets/d/1wfQePArl-A-5QJe5xAufoOnzeN"&amp;"LVSoHCRcmpZ_FMdns/edit#gid=0"",""'Game 6'!S25"")+50,IMPORTRANGE(""https://docs.google.com/spreadsheets/d/1wfQePArl-A-5QJe5xAufoOnzeNLVSoHCRcmpZ_FMdns/edit#gid=0"",""'Game 6'!S25"")+100)))"),150.0)</f>
        <v>150</v>
      </c>
      <c r="P20" s="5">
        <f>IFERROR(__xludf.DUMMYFUNCTION("IF($A20=IMPORTRANGE(""https://docs.google.com/spreadsheets/d/1wydNznS0hZhVh3oGSdiCZSsReuqMT7Xaw718ix58zAI/edit#gid=0"",""'Game 12'!B1""),IF(IMPORTRANGE(""https://docs.google.com/spreadsheets/d/1wydNznS0hZhVh3oGSdiCZSsReuqMT7Xaw718ix58zAI/edit#gid=0"",""'G"&amp;"ame 12'!J25"")&gt;IMPORTRANGE(""https://docs.google.com/spreadsheets/d/1wydNznS0hZhVh3oGSdiCZSsReuqMT7Xaw718ix58zAI/edit#gid=0"",""'Game 12'!S25""),IMPORTRANGE(""https://docs.google.com/spreadsheets/d/1wydNznS0hZhVh3oGSdiCZSsReuqMT7Xaw718ix58zAI/edit#gid=0"""&amp;",""'Game 12'!J25"")+100,IF(IMPORTRANGE(""https://docs.google.com/spreadsheets/d/1wydNznS0hZhVh3oGSdiCZSsReuqMT7Xaw718ix58zAI/edit#gid=0"",""'Game 12'!J25"")=IMPORTRANGE(""https://docs.google.com/spreadsheets/d/1wydNznS0hZhVh3oGSdiCZSsReuqMT7Xaw718ix58zAI/"&amp;"edit#gid=0"",""'Game 12'!S25""),IMPORTRANGE(""https://docs.google.com/spreadsheets/d/1wydNznS0hZhVh3oGSdiCZSsReuqMT7Xaw718ix58zAI/edit#gid=0"",""'Game 12'!J25"")+50,IMPORTRANGE(""https://docs.google.com/spreadsheets/d/1wydNznS0hZhVh3oGSdiCZSsReuqMT7Xaw718"&amp;"ix58zAI/edit#gid=0"",""'Game 12'!J25""))),IF(IMPORTRANGE(""https://docs.google.com/spreadsheets/d/1wydNznS0hZhVh3oGSdiCZSsReuqMT7Xaw718ix58zAI/edit#gid=0"",""'Game 12'!J25"")&gt;IMPORTRANGE(""https://docs.google.com/spreadsheets/d/1wydNznS0hZhVh3oGSdiCZSsReu"&amp;"qMT7Xaw718ix58zAI/edit#gid=0"",""'Game 12'!S25""),IMPORTRANGE(""https://docs.google.com/spreadsheets/d/1wydNznS0hZhVh3oGSdiCZSsReuqMT7Xaw718ix58zAI/edit#gid=0"",""'Game 12'!S25""),IF(IMPORTRANGE(""https://docs.google.com/spreadsheets/d/1wydNznS0hZhVh3oGSd"&amp;"iCZSsReuqMT7Xaw718ix58zAI/edit#gid=0"",""'Game 12'!J25"")=IMPORTRANGE(""https://docs.google.com/spreadsheets/d/1wydNznS0hZhVh3oGSdiCZSsReuqMT7Xaw718ix58zAI/edit#gid=0"",""'Game 12'!S25""),IMPORTRANGE(""https://docs.google.com/spreadsheets/d/1wydNznS0hZhVh"&amp;"3oGSdiCZSsReuqMT7Xaw718ix58zAI/edit#gid=0"",""'Game 12'!S25"")+50,IMPORTRANGE(""https://docs.google.com/spreadsheets/d/1wydNznS0hZhVh3oGSdiCZSsReuqMT7Xaw718ix58zAI/edit#gid=0"",""'Game 12'!S25"")+100)))"),16.0)</f>
        <v>16</v>
      </c>
      <c r="Q20" s="35">
        <f t="shared" si="1"/>
        <v>2112</v>
      </c>
      <c r="R20" s="35">
        <f t="shared" si="2"/>
        <v>10</v>
      </c>
    </row>
    <row r="21">
      <c r="A21" s="32" t="s">
        <v>261</v>
      </c>
      <c r="B21" s="36">
        <v>224.0</v>
      </c>
      <c r="C21" s="36">
        <v>242.0</v>
      </c>
      <c r="D21" s="36">
        <v>252.0</v>
      </c>
      <c r="E21" s="36">
        <v>218.0</v>
      </c>
      <c r="F21" s="36">
        <v>236.0</v>
      </c>
      <c r="G21" s="12">
        <f>IFERROR(__xludf.DUMMYFUNCTION("IF($A21=IMPORTRANGE(""https://docs.google.com/spreadsheets/d/19gjAD4NwTXl_QoKUuwHQ1cWG_S2BOW94pDcyFtPwheg/edit#gid=0"",""'Game 10'!B1""),IF(IMPORTRANGE(""https://docs.google.com/spreadsheets/d/19gjAD4NwTXl_QoKUuwHQ1cWG_S2BOW94pDcyFtPwheg/edit#gid=0"",""'G"&amp;"ame 10'!J25"")&gt;IMPORTRANGE(""https://docs.google.com/spreadsheets/d/19gjAD4NwTXl_QoKUuwHQ1cWG_S2BOW94pDcyFtPwheg/edit#gid=0"",""'Game 10'!S25""),IMPORTRANGE(""https://docs.google.com/spreadsheets/d/19gjAD4NwTXl_QoKUuwHQ1cWG_S2BOW94pDcyFtPwheg/edit#gid=0"""&amp;",""'Game 10'!J25"")+100,IF(IMPORTRANGE(""https://docs.google.com/spreadsheets/d/19gjAD4NwTXl_QoKUuwHQ1cWG_S2BOW94pDcyFtPwheg/edit#gid=0"",""'Game 10'!J25"")=IMPORTRANGE(""https://docs.google.com/spreadsheets/d/19gjAD4NwTXl_QoKUuwHQ1cWG_S2BOW94pDcyFtPwheg/"&amp;"edit#gid=0"",""'Game 10'!S25""),IMPORTRANGE(""https://docs.google.com/spreadsheets/d/19gjAD4NwTXl_QoKUuwHQ1cWG_S2BOW94pDcyFtPwheg/edit#gid=0"",""'Game 10'!J25"")+50,IMPORTRANGE(""https://docs.google.com/spreadsheets/d/19gjAD4NwTXl_QoKUuwHQ1cWG_S2BOW94pDcy"&amp;"FtPwheg/edit#gid=0"",""'Game 10'!J25""))),IF(IMPORTRANGE(""https://docs.google.com/spreadsheets/d/19gjAD4NwTXl_QoKUuwHQ1cWG_S2BOW94pDcyFtPwheg/edit#gid=0"",""'Game 10'!J25"")&gt;IMPORTRANGE(""https://docs.google.com/spreadsheets/d/19gjAD4NwTXl_QoKUuwHQ1cWG_S"&amp;"2BOW94pDcyFtPwheg/edit#gid=0"",""'Game 10'!S25""),IMPORTRANGE(""https://docs.google.com/spreadsheets/d/19gjAD4NwTXl_QoKUuwHQ1cWG_S2BOW94pDcyFtPwheg/edit#gid=0"",""'Game 10'!S25""),IF(IMPORTRANGE(""https://docs.google.com/spreadsheets/d/19gjAD4NwTXl_QoKUuw"&amp;"HQ1cWG_S2BOW94pDcyFtPwheg/edit#gid=0"",""'Game 10'!J25"")=IMPORTRANGE(""https://docs.google.com/spreadsheets/d/19gjAD4NwTXl_QoKUuwHQ1cWG_S2BOW94pDcyFtPwheg/edit#gid=0"",""'Game 10'!S25""),IMPORTRANGE(""https://docs.google.com/spreadsheets/d/19gjAD4NwTXl_Q"&amp;"oKUuwHQ1cWG_S2BOW94pDcyFtPwheg/edit#gid=0"",""'Game 10'!S25"")+50,IMPORTRANGE(""https://docs.google.com/spreadsheets/d/19gjAD4NwTXl_QoKUuwHQ1cWG_S2BOW94pDcyFtPwheg/edit#gid=0"",""'Game 10'!S25"")+100)))"),244.0)</f>
        <v>244</v>
      </c>
      <c r="H21" s="12">
        <f>IFERROR(__xludf.DUMMYFUNCTION("IF($A21=IMPORTRANGE(""https://docs.google.com/spreadsheets/d/1l83w8bH-F1czkFOqsgQy6o8O33Jb4Pfg40W0ou2nk0k/edit#gid=0"",""'Game 9'!B1""),IF(IMPORTRANGE(""https://docs.google.com/spreadsheets/d/1l83w8bH-F1czkFOqsgQy6o8O33Jb4Pfg40W0ou2nk0k/edit#gid=0"",""'Ga"&amp;"me 9'!J25"")&gt;IMPORTRANGE(""https://docs.google.com/spreadsheets/d/1l83w8bH-F1czkFOqsgQy6o8O33Jb4Pfg40W0ou2nk0k/edit#gid=0"",""'Game 9'!S25""),IMPORTRANGE(""https://docs.google.com/spreadsheets/d/1l83w8bH-F1czkFOqsgQy6o8O33Jb4Pfg40W0ou2nk0k/edit#gid=0"","""&amp;"'Game 9'!J25"")+100,IF(IMPORTRANGE(""https://docs.google.com/spreadsheets/d/1l83w8bH-F1czkFOqsgQy6o8O33Jb4Pfg40W0ou2nk0k/edit#gid=0"",""'Game 9'!J25"")=IMPORTRANGE(""https://docs.google.com/spreadsheets/d/1l83w8bH-F1czkFOqsgQy6o8O33Jb4Pfg40W0ou2nk0k/edit#"&amp;"gid=0"",""'Game 9'!S25""),IMPORTRANGE(""https://docs.google.com/spreadsheets/d/1l83w8bH-F1czkFOqsgQy6o8O33Jb4Pfg40W0ou2nk0k/edit#gid=0"",""'Game 9'!J25"")+50,IMPORTRANGE(""https://docs.google.com/spreadsheets/d/1l83w8bH-F1czkFOqsgQy6o8O33Jb4Pfg40W0ou2nk0k"&amp;"/edit#gid=0"",""'Game 9'!J25""))),IF(IMPORTRANGE(""https://docs.google.com/spreadsheets/d/1l83w8bH-F1czkFOqsgQy6o8O33Jb4Pfg40W0ou2nk0k/edit#gid=0"",""'Game 9'!J25"")&gt;IMPORTRANGE(""https://docs.google.com/spreadsheets/d/1l83w8bH-F1czkFOqsgQy6o8O33Jb4Pfg40W"&amp;"0ou2nk0k/edit#gid=0"",""'Game 9'!S25""),IMPORTRANGE(""https://docs.google.com/spreadsheets/d/1l83w8bH-F1czkFOqsgQy6o8O33Jb4Pfg40W0ou2nk0k/edit#gid=0"",""'Game 9'!S25""),IF(IMPORTRANGE(""https://docs.google.com/spreadsheets/d/1l83w8bH-F1czkFOqsgQy6o8O33Jb4"&amp;"Pfg40W0ou2nk0k/edit#gid=0"",""'Game 9'!J25"")=IMPORTRANGE(""https://docs.google.com/spreadsheets/d/1l83w8bH-F1czkFOqsgQy6o8O33Jb4Pfg40W0ou2nk0k/edit#gid=0"",""'Game 9'!S25""),IMPORTRANGE(""https://docs.google.com/spreadsheets/d/1l83w8bH-F1czkFOqsgQy6o8O33"&amp;"Jb4Pfg40W0ou2nk0k/edit#gid=0"",""'Game 9'!S25"")+50,IMPORTRANGE(""https://docs.google.com/spreadsheets/d/1l83w8bH-F1czkFOqsgQy6o8O33Jb4Pfg40W0ou2nk0k/edit#gid=0"",""'Game 9'!S25"")+100)))"),196.0)</f>
        <v>196</v>
      </c>
      <c r="I21" s="12">
        <f>IFERROR(__xludf.DUMMYFUNCTION("IF($A21=IMPORTRANGE(""https://docs.google.com/spreadsheets/d/15X-ub7GvrCQZ3UGgyogcjwYdxG-Ng8WHxzGSj1Z3eLw/edit#gid=0"",""'Game 6'!B1""),IF(IMPORTRANGE(""https://docs.google.com/spreadsheets/d/15X-ub7GvrCQZ3UGgyogcjwYdxG-Ng8WHxzGSj1Z3eLw/edit#gid=0"",""'Ga"&amp;"me 6'!J25"")&gt;IMPORTRANGE(""https://docs.google.com/spreadsheets/d/15X-ub7GvrCQZ3UGgyogcjwYdxG-Ng8WHxzGSj1Z3eLw/edit#gid=0"",""'Game 6'!S25""),IMPORTRANGE(""https://docs.google.com/spreadsheets/d/15X-ub7GvrCQZ3UGgyogcjwYdxG-Ng8WHxzGSj1Z3eLw/edit#gid=0"","""&amp;"'Game 6'!J25"")+100,IF(IMPORTRANGE(""https://docs.google.com/spreadsheets/d/15X-ub7GvrCQZ3UGgyogcjwYdxG-Ng8WHxzGSj1Z3eLw/edit#gid=0"",""'Game 6'!J25"")=IMPORTRANGE(""https://docs.google.com/spreadsheets/d/15X-ub7GvrCQZ3UGgyogcjwYdxG-Ng8WHxzGSj1Z3eLw/edit#"&amp;"gid=0"",""'Game 6'!S25""),IMPORTRANGE(""https://docs.google.com/spreadsheets/d/15X-ub7GvrCQZ3UGgyogcjwYdxG-Ng8WHxzGSj1Z3eLw/edit#gid=0"",""'Game 6'!J25"")+50,IMPORTRANGE(""https://docs.google.com/spreadsheets/d/15X-ub7GvrCQZ3UGgyogcjwYdxG-Ng8WHxzGSj1Z3eLw"&amp;"/edit#gid=0"",""'Game 6'!J25""))),IF(IMPORTRANGE(""https://docs.google.com/spreadsheets/d/15X-ub7GvrCQZ3UGgyogcjwYdxG-Ng8WHxzGSj1Z3eLw/edit#gid=0"",""'Game 6'!J25"")&gt;IMPORTRANGE(""https://docs.google.com/spreadsheets/d/15X-ub7GvrCQZ3UGgyogcjwYdxG-Ng8WHxzG"&amp;"Sj1Z3eLw/edit#gid=0"",""'Game 6'!S25""),IMPORTRANGE(""https://docs.google.com/spreadsheets/d/15X-ub7GvrCQZ3UGgyogcjwYdxG-Ng8WHxzGSj1Z3eLw/edit#gid=0"",""'Game 6'!S25""),IF(IMPORTRANGE(""https://docs.google.com/spreadsheets/d/15X-ub7GvrCQZ3UGgyogcjwYdxG-Ng"&amp;"8WHxzGSj1Z3eLw/edit#gid=0"",""'Game 6'!J25"")=IMPORTRANGE(""https://docs.google.com/spreadsheets/d/15X-ub7GvrCQZ3UGgyogcjwYdxG-Ng8WHxzGSj1Z3eLw/edit#gid=0"",""'Game 6'!S25""),IMPORTRANGE(""https://docs.google.com/spreadsheets/d/15X-ub7GvrCQZ3UGgyogcjwYdxG"&amp;"-Ng8WHxzGSj1Z3eLw/edit#gid=0"",""'Game 6'!S25"")+50,IMPORTRANGE(""https://docs.google.com/spreadsheets/d/15X-ub7GvrCQZ3UGgyogcjwYdxG-Ng8WHxzGSj1Z3eLw/edit#gid=0"",""'Game 6'!S25"")+100)))"),196.0)</f>
        <v>196</v>
      </c>
      <c r="J21" s="12">
        <f>IFERROR(__xludf.DUMMYFUNCTION("IF($A21=IMPORTRANGE(""https://docs.google.com/spreadsheets/d/194Bw3ABslPPhOOPvVoMzIk8sOQFICWBu2pydWdYMD-w/edit#gid=0"",""'Game 9'!B1""),IF(IMPORTRANGE(""https://docs.google.com/spreadsheets/d/194Bw3ABslPPhOOPvVoMzIk8sOQFICWBu2pydWdYMD-w/edit#gid=0"",""'Ga"&amp;"me 9'!J25"")&gt;IMPORTRANGE(""https://docs.google.com/spreadsheets/d/194Bw3ABslPPhOOPvVoMzIk8sOQFICWBu2pydWdYMD-w/edit#gid=0"",""'Game 9'!S25""),IMPORTRANGE(""https://docs.google.com/spreadsheets/d/194Bw3ABslPPhOOPvVoMzIk8sOQFICWBu2pydWdYMD-w/edit#gid=0"","""&amp;"'Game 9'!J25"")+100,IF(IMPORTRANGE(""https://docs.google.com/spreadsheets/d/194Bw3ABslPPhOOPvVoMzIk8sOQFICWBu2pydWdYMD-w/edit#gid=0"",""'Game 9'!J25"")=IMPORTRANGE(""https://docs.google.com/spreadsheets/d/194Bw3ABslPPhOOPvVoMzIk8sOQFICWBu2pydWdYMD-w/edit#"&amp;"gid=0"",""'Game 9'!S25""),IMPORTRANGE(""https://docs.google.com/spreadsheets/d/194Bw3ABslPPhOOPvVoMzIk8sOQFICWBu2pydWdYMD-w/edit#gid=0"",""'Game 9'!J25"")+50,IMPORTRANGE(""https://docs.google.com/spreadsheets/d/194Bw3ABslPPhOOPvVoMzIk8sOQFICWBu2pydWdYMD-w"&amp;"/edit#gid=0"",""'Game 9'!J25""))),IF(IMPORTRANGE(""https://docs.google.com/spreadsheets/d/194Bw3ABslPPhOOPvVoMzIk8sOQFICWBu2pydWdYMD-w/edit#gid=0"",""'Game 9'!J25"")&gt;IMPORTRANGE(""https://docs.google.com/spreadsheets/d/194Bw3ABslPPhOOPvVoMzIk8sOQFICWBu2py"&amp;"dWdYMD-w/edit#gid=0"",""'Game 9'!S25""),IMPORTRANGE(""https://docs.google.com/spreadsheets/d/194Bw3ABslPPhOOPvVoMzIk8sOQFICWBu2pydWdYMD-w/edit#gid=0"",""'Game 9'!S25""),IF(IMPORTRANGE(""https://docs.google.com/spreadsheets/d/194Bw3ABslPPhOOPvVoMzIk8sOQFIC"&amp;"WBu2pydWdYMD-w/edit#gid=0"",""'Game 9'!J25"")=IMPORTRANGE(""https://docs.google.com/spreadsheets/d/194Bw3ABslPPhOOPvVoMzIk8sOQFICWBu2pydWdYMD-w/edit#gid=0"",""'Game 9'!S25""),IMPORTRANGE(""https://docs.google.com/spreadsheets/d/194Bw3ABslPPhOOPvVoMzIk8sOQ"&amp;"FICWBu2pydWdYMD-w/edit#gid=0"",""'Game 9'!S25"")+50,IMPORTRANGE(""https://docs.google.com/spreadsheets/d/194Bw3ABslPPhOOPvVoMzIk8sOQFICWBu2pydWdYMD-w/edit#gid=0"",""'Game 9'!S25"")+100)))"),72.0)</f>
        <v>72</v>
      </c>
      <c r="K21" s="12">
        <f>IFERROR(__xludf.DUMMYFUNCTION("IF($A21=IMPORTRANGE(""https://docs.google.com/spreadsheets/d/1F2Bi6K_I1K9xRxY5qb-bNRo5m-Kw7udpF1OaTHhrxjs/edit#gid=0"",""'Game 5'!B1""),IF(IMPORTRANGE(""https://docs.google.com/spreadsheets/d/1F2Bi6K_I1K9xRxY5qb-bNRo5m-Kw7udpF1OaTHhrxjs/edit#gid=0"",""'Ga"&amp;"me 5'!J25"")&gt;IMPORTRANGE(""https://docs.google.com/spreadsheets/d/1F2Bi6K_I1K9xRxY5qb-bNRo5m-Kw7udpF1OaTHhrxjs/edit#gid=0"",""'Game 5'!S25""),IMPORTRANGE(""https://docs.google.com/spreadsheets/d/1F2Bi6K_I1K9xRxY5qb-bNRo5m-Kw7udpF1OaTHhrxjs/edit#gid=0"","""&amp;"'Game 5'!J25"")+100,IF(IMPORTRANGE(""https://docs.google.com/spreadsheets/d/1F2Bi6K_I1K9xRxY5qb-bNRo5m-Kw7udpF1OaTHhrxjs/edit#gid=0"",""'Game 5'!J25"")=IMPORTRANGE(""https://docs.google.com/spreadsheets/d/1F2Bi6K_I1K9xRxY5qb-bNRo5m-Kw7udpF1OaTHhrxjs/edit#"&amp;"gid=0"",""'Game 5'!S25""),IMPORTRANGE(""https://docs.google.com/spreadsheets/d/1F2Bi6K_I1K9xRxY5qb-bNRo5m-Kw7udpF1OaTHhrxjs/edit#gid=0"",""'Game 5'!J25"")+50,IMPORTRANGE(""https://docs.google.com/spreadsheets/d/1F2Bi6K_I1K9xRxY5qb-bNRo5m-Kw7udpF1OaTHhrxjs"&amp;"/edit#gid=0"",""'Game 5'!J25""))),IF(IMPORTRANGE(""https://docs.google.com/spreadsheets/d/1F2Bi6K_I1K9xRxY5qb-bNRo5m-Kw7udpF1OaTHhrxjs/edit#gid=0"",""'Game 5'!J25"")&gt;IMPORTRANGE(""https://docs.google.com/spreadsheets/d/1F2Bi6K_I1K9xRxY5qb-bNRo5m-Kw7udpF1O"&amp;"aTHhrxjs/edit#gid=0"",""'Game 5'!S25""),IMPORTRANGE(""https://docs.google.com/spreadsheets/d/1F2Bi6K_I1K9xRxY5qb-bNRo5m-Kw7udpF1OaTHhrxjs/edit#gid=0"",""'Game 5'!S25""),IF(IMPORTRANGE(""https://docs.google.com/spreadsheets/d/1F2Bi6K_I1K9xRxY5qb-bNRo5m-Kw7"&amp;"udpF1OaTHhrxjs/edit#gid=0"",""'Game 5'!J25"")=IMPORTRANGE(""https://docs.google.com/spreadsheets/d/1F2Bi6K_I1K9xRxY5qb-bNRo5m-Kw7udpF1OaTHhrxjs/edit#gid=0"",""'Game 5'!S25""),IMPORTRANGE(""https://docs.google.com/spreadsheets/d/1F2Bi6K_I1K9xRxY5qb-bNRo5m-"&amp;"Kw7udpF1OaTHhrxjs/edit#gid=0"",""'Game 5'!S25"")+50,IMPORTRANGE(""https://docs.google.com/spreadsheets/d/1F2Bi6K_I1K9xRxY5qb-bNRo5m-Kw7udpF1OaTHhrxjs/edit#gid=0"",""'Game 5'!S25"")+100)))"),228.0)</f>
        <v>228</v>
      </c>
      <c r="L21" s="12">
        <f>IFERROR(__xludf.DUMMYFUNCTION("IF($A21=IMPORTRANGE(""https://docs.google.com/spreadsheets/d/1NDNgi_Ny4dRhc2A3UMIIkalN-V6EmsvxOfDzMRQlQ40/edit#gid=0"",""'Game 10'!B1""),IF(IMPORTRANGE(""https://docs.google.com/spreadsheets/d/1NDNgi_Ny4dRhc2A3UMIIkalN-V6EmsvxOfDzMRQlQ40/edit#gid=0"",""'G"&amp;"ame 10'!J25"")&gt;IMPORTRANGE(""https://docs.google.com/spreadsheets/d/1NDNgi_Ny4dRhc2A3UMIIkalN-V6EmsvxOfDzMRQlQ40/edit#gid=0"",""'Game 10'!S25""),IMPORTRANGE(""https://docs.google.com/spreadsheets/d/1NDNgi_Ny4dRhc2A3UMIIkalN-V6EmsvxOfDzMRQlQ40/edit#gid=0"""&amp;",""'Game 10'!J25"")+100,IF(IMPORTRANGE(""https://docs.google.com/spreadsheets/d/1NDNgi_Ny4dRhc2A3UMIIkalN-V6EmsvxOfDzMRQlQ40/edit#gid=0"",""'Game 10'!J25"")=IMPORTRANGE(""https://docs.google.com/spreadsheets/d/1NDNgi_Ny4dRhc2A3UMIIkalN-V6EmsvxOfDzMRQlQ40/"&amp;"edit#gid=0"",""'Game 10'!S25""),IMPORTRANGE(""https://docs.google.com/spreadsheets/d/1NDNgi_Ny4dRhc2A3UMIIkalN-V6EmsvxOfDzMRQlQ40/edit#gid=0"",""'Game 10'!J25"")+50,IMPORTRANGE(""https://docs.google.com/spreadsheets/d/1NDNgi_Ny4dRhc2A3UMIIkalN-V6EmsvxOfDz"&amp;"MRQlQ40/edit#gid=0"",""'Game 10'!J25""))),IF(IMPORTRANGE(""https://docs.google.com/spreadsheets/d/1NDNgi_Ny4dRhc2A3UMIIkalN-V6EmsvxOfDzMRQlQ40/edit#gid=0"",""'Game 10'!J25"")&gt;IMPORTRANGE(""https://docs.google.com/spreadsheets/d/1NDNgi_Ny4dRhc2A3UMIIkalN-V"&amp;"6EmsvxOfDzMRQlQ40/edit#gid=0"",""'Game 10'!S25""),IMPORTRANGE(""https://docs.google.com/spreadsheets/d/1NDNgi_Ny4dRhc2A3UMIIkalN-V6EmsvxOfDzMRQlQ40/edit#gid=0"",""'Game 10'!S25""),IF(IMPORTRANGE(""https://docs.google.com/spreadsheets/d/1NDNgi_Ny4dRhc2A3UM"&amp;"IIkalN-V6EmsvxOfDzMRQlQ40/edit#gid=0"",""'Game 10'!J25"")=IMPORTRANGE(""https://docs.google.com/spreadsheets/d/1NDNgi_Ny4dRhc2A3UMIIkalN-V6EmsvxOfDzMRQlQ40/edit#gid=0"",""'Game 10'!S25""),IMPORTRANGE(""https://docs.google.com/spreadsheets/d/1NDNgi_Ny4dRhc"&amp;"2A3UMIIkalN-V6EmsvxOfDzMRQlQ40/edit#gid=0"",""'Game 10'!S25"")+50,IMPORTRANGE(""https://docs.google.com/spreadsheets/d/1NDNgi_Ny4dRhc2A3UMIIkalN-V6EmsvxOfDzMRQlQ40/edit#gid=0"",""'Game 10'!S25"")+100)))"),210.0)</f>
        <v>210</v>
      </c>
      <c r="M21" s="12">
        <f>IFERROR(__xludf.DUMMYFUNCTION("IF($A21=IMPORTRANGE(""https://docs.google.com/spreadsheets/d/1UDYA3-RrkJNLa2ZLH1NnUjKyfCoiSODmgVL_Au_zt-Y/edit#gid=0"",""'Game 8'!B1""),IF(IMPORTRANGE(""https://docs.google.com/spreadsheets/d/1UDYA3-RrkJNLa2ZLH1NnUjKyfCoiSODmgVL_Au_zt-Y/edit#gid=0"",""'Ga"&amp;"me 8'!J25"")&gt;IMPORTRANGE(""https://docs.google.com/spreadsheets/d/1UDYA3-RrkJNLa2ZLH1NnUjKyfCoiSODmgVL_Au_zt-Y/edit#gid=0"",""'Game 8'!S25""),IMPORTRANGE(""https://docs.google.com/spreadsheets/d/1UDYA3-RrkJNLa2ZLH1NnUjKyfCoiSODmgVL_Au_zt-Y/edit#gid=0"","""&amp;"'Game 8'!J25"")+100,IF(IMPORTRANGE(""https://docs.google.com/spreadsheets/d/1UDYA3-RrkJNLa2ZLH1NnUjKyfCoiSODmgVL_Au_zt-Y/edit#gid=0"",""'Game 8'!J25"")=IMPORTRANGE(""https://docs.google.com/spreadsheets/d/1UDYA3-RrkJNLa2ZLH1NnUjKyfCoiSODmgVL_Au_zt-Y/edit#"&amp;"gid=0"",""'Game 8'!S25""),IMPORTRANGE(""https://docs.google.com/spreadsheets/d/1UDYA3-RrkJNLa2ZLH1NnUjKyfCoiSODmgVL_Au_zt-Y/edit#gid=0"",""'Game 8'!J25"")+50,IMPORTRANGE(""https://docs.google.com/spreadsheets/d/1UDYA3-RrkJNLa2ZLH1NnUjKyfCoiSODmgVL_Au_zt-Y"&amp;"/edit#gid=0"",""'Game 8'!J25""))),IF(IMPORTRANGE(""https://docs.google.com/spreadsheets/d/1UDYA3-RrkJNLa2ZLH1NnUjKyfCoiSODmgVL_Au_zt-Y/edit#gid=0"",""'Game 8'!J25"")&gt;IMPORTRANGE(""https://docs.google.com/spreadsheets/d/1UDYA3-RrkJNLa2ZLH1NnUjKyfCoiSODmgVL"&amp;"_Au_zt-Y/edit#gid=0"",""'Game 8'!S25""),IMPORTRANGE(""https://docs.google.com/spreadsheets/d/1UDYA3-RrkJNLa2ZLH1NnUjKyfCoiSODmgVL_Au_zt-Y/edit#gid=0"",""'Game 8'!S25""),IF(IMPORTRANGE(""https://docs.google.com/spreadsheets/d/1UDYA3-RrkJNLa2ZLH1NnUjKyfCoiS"&amp;"ODmgVL_Au_zt-Y/edit#gid=0"",""'Game 8'!J25"")=IMPORTRANGE(""https://docs.google.com/spreadsheets/d/1UDYA3-RrkJNLa2ZLH1NnUjKyfCoiSODmgVL_Au_zt-Y/edit#gid=0"",""'Game 8'!S25""),IMPORTRANGE(""https://docs.google.com/spreadsheets/d/1UDYA3-RrkJNLa2ZLH1NnUjKyfC"&amp;"oiSODmgVL_Au_zt-Y/edit#gid=0"",""'Game 8'!S25"")+50,IMPORTRANGE(""https://docs.google.com/spreadsheets/d/1UDYA3-RrkJNLa2ZLH1NnUjKyfCoiSODmgVL_Au_zt-Y/edit#gid=0"",""'Game 8'!S25"")+100)))"),236.0)</f>
        <v>236</v>
      </c>
      <c r="N21" s="12">
        <f>IFERROR(__xludf.DUMMYFUNCTION("IF($A21=IMPORTRANGE(""https://docs.google.com/spreadsheets/d/1fvo6H94Wcffp6c4N9g3JKCW6y2ZlijPxdOsNz7xdBhw/edit#gid=0"",""'Game 2'!B1""),IF(IMPORTRANGE(""https://docs.google.com/spreadsheets/d/1fvo6H94Wcffp6c4N9g3JKCW6y2ZlijPxdOsNz7xdBhw/edit#gid=0"",""'Ga"&amp;"me 2'!J25"")&gt;IMPORTRANGE(""https://docs.google.com/spreadsheets/d/1fvo6H94Wcffp6c4N9g3JKCW6y2ZlijPxdOsNz7xdBhw/edit#gid=0"",""'Game 2'!S25""),IMPORTRANGE(""https://docs.google.com/spreadsheets/d/1fvo6H94Wcffp6c4N9g3JKCW6y2ZlijPxdOsNz7xdBhw/edit#gid=0"","""&amp;"'Game 2'!J25"")+100,IF(IMPORTRANGE(""https://docs.google.com/spreadsheets/d/1fvo6H94Wcffp6c4N9g3JKCW6y2ZlijPxdOsNz7xdBhw/edit#gid=0"",""'Game 2'!J25"")=IMPORTRANGE(""https://docs.google.com/spreadsheets/d/1fvo6H94Wcffp6c4N9g3JKCW6y2ZlijPxdOsNz7xdBhw/edit#"&amp;"gid=0"",""'Game 2'!S25""),IMPORTRANGE(""https://docs.google.com/spreadsheets/d/1fvo6H94Wcffp6c4N9g3JKCW6y2ZlijPxdOsNz7xdBhw/edit#gid=0"",""'Game 2'!J25"")+50,IMPORTRANGE(""https://docs.google.com/spreadsheets/d/1fvo6H94Wcffp6c4N9g3JKCW6y2ZlijPxdOsNz7xdBhw"&amp;"/edit#gid=0"",""'Game 2'!J25""))),IF(IMPORTRANGE(""https://docs.google.com/spreadsheets/d/1fvo6H94Wcffp6c4N9g3JKCW6y2ZlijPxdOsNz7xdBhw/edit#gid=0"",""'Game 2'!J25"")&gt;IMPORTRANGE(""https://docs.google.com/spreadsheets/d/1fvo6H94Wcffp6c4N9g3JKCW6y2ZlijPxdOs"&amp;"Nz7xdBhw/edit#gid=0"",""'Game 2'!S25""),IMPORTRANGE(""https://docs.google.com/spreadsheets/d/1fvo6H94Wcffp6c4N9g3JKCW6y2ZlijPxdOsNz7xdBhw/edit#gid=0"",""'Game 2'!S25""),IF(IMPORTRANGE(""https://docs.google.com/spreadsheets/d/1fvo6H94Wcffp6c4N9g3JKCW6y2Zli"&amp;"jPxdOsNz7xdBhw/edit#gid=0"",""'Game 2'!J25"")=IMPORTRANGE(""https://docs.google.com/spreadsheets/d/1fvo6H94Wcffp6c4N9g3JKCW6y2ZlijPxdOsNz7xdBhw/edit#gid=0"",""'Game 2'!S25""),IMPORTRANGE(""https://docs.google.com/spreadsheets/d/1fvo6H94Wcffp6c4N9g3JKCW6y2"&amp;"ZlijPxdOsNz7xdBhw/edit#gid=0"",""'Game 2'!S25"")+50,IMPORTRANGE(""https://docs.google.com/spreadsheets/d/1fvo6H94Wcffp6c4N9g3JKCW6y2ZlijPxdOsNz7xdBhw/edit#gid=0"",""'Game 2'!S25"")+100)))"),236.0)</f>
        <v>236</v>
      </c>
      <c r="O21" s="12">
        <f>IFERROR(__xludf.DUMMYFUNCTION("IF($A21=IMPORTRANGE(""https://docs.google.com/spreadsheets/d/1wfQePArl-A-5QJe5xAufoOnzeNLVSoHCRcmpZ_FMdns/edit#gid=0"",""'Game 9'!B1""),IF(IMPORTRANGE(""https://docs.google.com/spreadsheets/d/1wfQePArl-A-5QJe5xAufoOnzeNLVSoHCRcmpZ_FMdns/edit#gid=0"",""'Ga"&amp;"me 9'!J25"")&gt;IMPORTRANGE(""https://docs.google.com/spreadsheets/d/1wfQePArl-A-5QJe5xAufoOnzeNLVSoHCRcmpZ_FMdns/edit#gid=0"",""'Game 9'!S25""),IMPORTRANGE(""https://docs.google.com/spreadsheets/d/1wfQePArl-A-5QJe5xAufoOnzeNLVSoHCRcmpZ_FMdns/edit#gid=0"","""&amp;"'Game 9'!J25"")+100,IF(IMPORTRANGE(""https://docs.google.com/spreadsheets/d/1wfQePArl-A-5QJe5xAufoOnzeNLVSoHCRcmpZ_FMdns/edit#gid=0"",""'Game 9'!J25"")=IMPORTRANGE(""https://docs.google.com/spreadsheets/d/1wfQePArl-A-5QJe5xAufoOnzeNLVSoHCRcmpZ_FMdns/edit#"&amp;"gid=0"",""'Game 9'!S25""),IMPORTRANGE(""https://docs.google.com/spreadsheets/d/1wfQePArl-A-5QJe5xAufoOnzeNLVSoHCRcmpZ_FMdns/edit#gid=0"",""'Game 9'!J25"")+50,IMPORTRANGE(""https://docs.google.com/spreadsheets/d/1wfQePArl-A-5QJe5xAufoOnzeNLVSoHCRcmpZ_FMdns"&amp;"/edit#gid=0"",""'Game 9'!J25""))),IF(IMPORTRANGE(""https://docs.google.com/spreadsheets/d/1wfQePArl-A-5QJe5xAufoOnzeNLVSoHCRcmpZ_FMdns/edit#gid=0"",""'Game 9'!J25"")&gt;IMPORTRANGE(""https://docs.google.com/spreadsheets/d/1wfQePArl-A-5QJe5xAufoOnzeNLVSoHCRcm"&amp;"pZ_FMdns/edit#gid=0"",""'Game 9'!S25""),IMPORTRANGE(""https://docs.google.com/spreadsheets/d/1wfQePArl-A-5QJe5xAufoOnzeNLVSoHCRcmpZ_FMdns/edit#gid=0"",""'Game 9'!S25""),IF(IMPORTRANGE(""https://docs.google.com/spreadsheets/d/1wfQePArl-A-5QJe5xAufoOnzeNLVS"&amp;"oHCRcmpZ_FMdns/edit#gid=0"",""'Game 9'!J25"")=IMPORTRANGE(""https://docs.google.com/spreadsheets/d/1wfQePArl-A-5QJe5xAufoOnzeNLVSoHCRcmpZ_FMdns/edit#gid=0"",""'Game 9'!S25""),IMPORTRANGE(""https://docs.google.com/spreadsheets/d/1wfQePArl-A-5QJe5xAufoOnzeN"&amp;"LVSoHCRcmpZ_FMdns/edit#gid=0"",""'Game 9'!S25"")+50,IMPORTRANGE(""https://docs.google.com/spreadsheets/d/1wfQePArl-A-5QJe5xAufoOnzeNLVSoHCRcmpZ_FMdns/edit#gid=0"",""'Game 9'!S25"")+100)))"),62.0)</f>
        <v>62</v>
      </c>
      <c r="P21" s="12">
        <f>IFERROR(__xludf.DUMMYFUNCTION("IF($A21=IMPORTRANGE(""https://docs.google.com/spreadsheets/d/1wydNznS0hZhVh3oGSdiCZSsReuqMT7Xaw718ix58zAI/edit#gid=0"",""'Game 12'!B1""),IF(IMPORTRANGE(""https://docs.google.com/spreadsheets/d/1wydNznS0hZhVh3oGSdiCZSsReuqMT7Xaw718ix58zAI/edit#gid=0"",""'G"&amp;"ame 12'!J25"")&gt;IMPORTRANGE(""https://docs.google.com/spreadsheets/d/1wydNznS0hZhVh3oGSdiCZSsReuqMT7Xaw718ix58zAI/edit#gid=0"",""'Game 12'!S25""),IMPORTRANGE(""https://docs.google.com/spreadsheets/d/1wydNznS0hZhVh3oGSdiCZSsReuqMT7Xaw718ix58zAI/edit#gid=0"""&amp;",""'Game 12'!J25"")+100,IF(IMPORTRANGE(""https://docs.google.com/spreadsheets/d/1wydNznS0hZhVh3oGSdiCZSsReuqMT7Xaw718ix58zAI/edit#gid=0"",""'Game 12'!J25"")=IMPORTRANGE(""https://docs.google.com/spreadsheets/d/1wydNznS0hZhVh3oGSdiCZSsReuqMT7Xaw718ix58zAI/"&amp;"edit#gid=0"",""'Game 12'!S25""),IMPORTRANGE(""https://docs.google.com/spreadsheets/d/1wydNznS0hZhVh3oGSdiCZSsReuqMT7Xaw718ix58zAI/edit#gid=0"",""'Game 12'!J25"")+50,IMPORTRANGE(""https://docs.google.com/spreadsheets/d/1wydNznS0hZhVh3oGSdiCZSsReuqMT7Xaw718"&amp;"ix58zAI/edit#gid=0"",""'Game 12'!J25""))),IF(IMPORTRANGE(""https://docs.google.com/spreadsheets/d/1wydNznS0hZhVh3oGSdiCZSsReuqMT7Xaw718ix58zAI/edit#gid=0"",""'Game 12'!J25"")&gt;IMPORTRANGE(""https://docs.google.com/spreadsheets/d/1wydNznS0hZhVh3oGSdiCZSsReu"&amp;"qMT7Xaw718ix58zAI/edit#gid=0"",""'Game 12'!S25""),IMPORTRANGE(""https://docs.google.com/spreadsheets/d/1wydNznS0hZhVh3oGSdiCZSsReuqMT7Xaw718ix58zAI/edit#gid=0"",""'Game 12'!S25""),IF(IMPORTRANGE(""https://docs.google.com/spreadsheets/d/1wydNznS0hZhVh3oGSd"&amp;"iCZSsReuqMT7Xaw718ix58zAI/edit#gid=0"",""'Game 12'!J25"")=IMPORTRANGE(""https://docs.google.com/spreadsheets/d/1wydNznS0hZhVh3oGSdiCZSsReuqMT7Xaw718ix58zAI/edit#gid=0"",""'Game 12'!S25""),IMPORTRANGE(""https://docs.google.com/spreadsheets/d/1wydNznS0hZhVh"&amp;"3oGSdiCZSsReuqMT7Xaw718ix58zAI/edit#gid=0"",""'Game 12'!S25"")+50,IMPORTRANGE(""https://docs.google.com/spreadsheets/d/1wydNznS0hZhVh3oGSdiCZSsReuqMT7Xaw718ix58zAI/edit#gid=0"",""'Game 12'!S25"")+100)))"),194.0)</f>
        <v>194</v>
      </c>
      <c r="Q21" s="37">
        <f t="shared" si="1"/>
        <v>3046</v>
      </c>
      <c r="R21" s="37">
        <f t="shared" si="2"/>
        <v>3</v>
      </c>
    </row>
    <row r="22">
      <c r="A22" s="33" t="s">
        <v>272</v>
      </c>
      <c r="B22" s="34">
        <v>262.0</v>
      </c>
      <c r="C22" s="34">
        <v>254.0</v>
      </c>
      <c r="D22" s="34">
        <v>200.0</v>
      </c>
      <c r="E22" s="34">
        <v>208.0</v>
      </c>
      <c r="F22" s="34">
        <v>194.0</v>
      </c>
      <c r="G22" s="5">
        <f>IFERROR(__xludf.DUMMYFUNCTION("IF($A22=IMPORTRANGE(""https://docs.google.com/spreadsheets/d/19gjAD4NwTXl_QoKUuwHQ1cWG_S2BOW94pDcyFtPwheg/edit#gid=0"",""'Game 1'!B1""),IF(IMPORTRANGE(""https://docs.google.com/spreadsheets/d/19gjAD4NwTXl_QoKUuwHQ1cWG_S2BOW94pDcyFtPwheg/edit#gid=0"",""'Ga"&amp;"me 1'!J25"")&gt;IMPORTRANGE(""https://docs.google.com/spreadsheets/d/19gjAD4NwTXl_QoKUuwHQ1cWG_S2BOW94pDcyFtPwheg/edit#gid=0"",""'Game 1'!S25""),IMPORTRANGE(""https://docs.google.com/spreadsheets/d/19gjAD4NwTXl_QoKUuwHQ1cWG_S2BOW94pDcyFtPwheg/edit#gid=0"","""&amp;"'Game 1'!J25"")+100,IF(IMPORTRANGE(""https://docs.google.com/spreadsheets/d/19gjAD4NwTXl_QoKUuwHQ1cWG_S2BOW94pDcyFtPwheg/edit#gid=0"",""'Game 1'!J25"")=IMPORTRANGE(""https://docs.google.com/spreadsheets/d/19gjAD4NwTXl_QoKUuwHQ1cWG_S2BOW94pDcyFtPwheg/edit#"&amp;"gid=0"",""'Game 1'!S25""),IMPORTRANGE(""https://docs.google.com/spreadsheets/d/19gjAD4NwTXl_QoKUuwHQ1cWG_S2BOW94pDcyFtPwheg/edit#gid=0"",""'Game 1'!J25"")+50,IMPORTRANGE(""https://docs.google.com/spreadsheets/d/19gjAD4NwTXl_QoKUuwHQ1cWG_S2BOW94pDcyFtPwheg"&amp;"/edit#gid=0"",""'Game 1'!J25""))),IF(IMPORTRANGE(""https://docs.google.com/spreadsheets/d/19gjAD4NwTXl_QoKUuwHQ1cWG_S2BOW94pDcyFtPwheg/edit#gid=0"",""'Game 1'!J25"")&gt;IMPORTRANGE(""https://docs.google.com/spreadsheets/d/19gjAD4NwTXl_QoKUuwHQ1cWG_S2BOW94pDc"&amp;"yFtPwheg/edit#gid=0"",""'Game 1'!S25""),IMPORTRANGE(""https://docs.google.com/spreadsheets/d/19gjAD4NwTXl_QoKUuwHQ1cWG_S2BOW94pDcyFtPwheg/edit#gid=0"",""'Game 1'!S25""),IF(IMPORTRANGE(""https://docs.google.com/spreadsheets/d/19gjAD4NwTXl_QoKUuwHQ1cWG_S2BO"&amp;"W94pDcyFtPwheg/edit#gid=0"",""'Game 1'!J25"")=IMPORTRANGE(""https://docs.google.com/spreadsheets/d/19gjAD4NwTXl_QoKUuwHQ1cWG_S2BOW94pDcyFtPwheg/edit#gid=0"",""'Game 1'!S25""),IMPORTRANGE(""https://docs.google.com/spreadsheets/d/19gjAD4NwTXl_QoKUuwHQ1cWG_S"&amp;"2BOW94pDcyFtPwheg/edit#gid=0"",""'Game 1'!S25"")+50,IMPORTRANGE(""https://docs.google.com/spreadsheets/d/19gjAD4NwTXl_QoKUuwHQ1cWG_S2BOW94pDcyFtPwheg/edit#gid=0"",""'Game 1'!S25"")+100)))"),256.0)</f>
        <v>256</v>
      </c>
      <c r="H22" s="5">
        <f>IFERROR(__xludf.DUMMYFUNCTION("IF($A22=IMPORTRANGE(""https://docs.google.com/spreadsheets/d/1l83w8bH-F1czkFOqsgQy6o8O33Jb4Pfg40W0ou2nk0k/edit#gid=0"",""'Game 7'!B1""),IF(IMPORTRANGE(""https://docs.google.com/spreadsheets/d/1l83w8bH-F1czkFOqsgQy6o8O33Jb4Pfg40W0ou2nk0k/edit#gid=0"",""'Ga"&amp;"me 7'!J25"")&gt;IMPORTRANGE(""https://docs.google.com/spreadsheets/d/1l83w8bH-F1czkFOqsgQy6o8O33Jb4Pfg40W0ou2nk0k/edit#gid=0"",""'Game 7'!S25""),IMPORTRANGE(""https://docs.google.com/spreadsheets/d/1l83w8bH-F1czkFOqsgQy6o8O33Jb4Pfg40W0ou2nk0k/edit#gid=0"","""&amp;"'Game 7'!J25"")+100,IF(IMPORTRANGE(""https://docs.google.com/spreadsheets/d/1l83w8bH-F1czkFOqsgQy6o8O33Jb4Pfg40W0ou2nk0k/edit#gid=0"",""'Game 7'!J25"")=IMPORTRANGE(""https://docs.google.com/spreadsheets/d/1l83w8bH-F1czkFOqsgQy6o8O33Jb4Pfg40W0ou2nk0k/edit#"&amp;"gid=0"",""'Game 7'!S25""),IMPORTRANGE(""https://docs.google.com/spreadsheets/d/1l83w8bH-F1czkFOqsgQy6o8O33Jb4Pfg40W0ou2nk0k/edit#gid=0"",""'Game 7'!J25"")+50,IMPORTRANGE(""https://docs.google.com/spreadsheets/d/1l83w8bH-F1czkFOqsgQy6o8O33Jb4Pfg40W0ou2nk0k"&amp;"/edit#gid=0"",""'Game 7'!J25""))),IF(IMPORTRANGE(""https://docs.google.com/spreadsheets/d/1l83w8bH-F1czkFOqsgQy6o8O33Jb4Pfg40W0ou2nk0k/edit#gid=0"",""'Game 7'!J25"")&gt;IMPORTRANGE(""https://docs.google.com/spreadsheets/d/1l83w8bH-F1czkFOqsgQy6o8O33Jb4Pfg40W"&amp;"0ou2nk0k/edit#gid=0"",""'Game 7'!S25""),IMPORTRANGE(""https://docs.google.com/spreadsheets/d/1l83w8bH-F1czkFOqsgQy6o8O33Jb4Pfg40W0ou2nk0k/edit#gid=0"",""'Game 7'!S25""),IF(IMPORTRANGE(""https://docs.google.com/spreadsheets/d/1l83w8bH-F1czkFOqsgQy6o8O33Jb4"&amp;"Pfg40W0ou2nk0k/edit#gid=0"",""'Game 7'!J25"")=IMPORTRANGE(""https://docs.google.com/spreadsheets/d/1l83w8bH-F1czkFOqsgQy6o8O33Jb4Pfg40W0ou2nk0k/edit#gid=0"",""'Game 7'!S25""),IMPORTRANGE(""https://docs.google.com/spreadsheets/d/1l83w8bH-F1czkFOqsgQy6o8O33"&amp;"Jb4Pfg40W0ou2nk0k/edit#gid=0"",""'Game 7'!S25"")+50,IMPORTRANGE(""https://docs.google.com/spreadsheets/d/1l83w8bH-F1czkFOqsgQy6o8O33Jb4Pfg40W0ou2nk0k/edit#gid=0"",""'Game 7'!S25"")+100)))"),196.0)</f>
        <v>196</v>
      </c>
      <c r="I22" s="5">
        <f>IFERROR(__xludf.DUMMYFUNCTION("IF($A22=IMPORTRANGE(""https://docs.google.com/spreadsheets/d/15X-ub7GvrCQZ3UGgyogcjwYdxG-Ng8WHxzGSj1Z3eLw/edit#gid=0"",""'Game 3'!B1""),IF(IMPORTRANGE(""https://docs.google.com/spreadsheets/d/15X-ub7GvrCQZ3UGgyogcjwYdxG-Ng8WHxzGSj1Z3eLw/edit#gid=0"",""'Ga"&amp;"me 3'!J25"")&gt;IMPORTRANGE(""https://docs.google.com/spreadsheets/d/15X-ub7GvrCQZ3UGgyogcjwYdxG-Ng8WHxzGSj1Z3eLw/edit#gid=0"",""'Game 3'!S25""),IMPORTRANGE(""https://docs.google.com/spreadsheets/d/15X-ub7GvrCQZ3UGgyogcjwYdxG-Ng8WHxzGSj1Z3eLw/edit#gid=0"","""&amp;"'Game 3'!J25"")+100,IF(IMPORTRANGE(""https://docs.google.com/spreadsheets/d/15X-ub7GvrCQZ3UGgyogcjwYdxG-Ng8WHxzGSj1Z3eLw/edit#gid=0"",""'Game 3'!J25"")=IMPORTRANGE(""https://docs.google.com/spreadsheets/d/15X-ub7GvrCQZ3UGgyogcjwYdxG-Ng8WHxzGSj1Z3eLw/edit#"&amp;"gid=0"",""'Game 3'!S25""),IMPORTRANGE(""https://docs.google.com/spreadsheets/d/15X-ub7GvrCQZ3UGgyogcjwYdxG-Ng8WHxzGSj1Z3eLw/edit#gid=0"",""'Game 3'!J25"")+50,IMPORTRANGE(""https://docs.google.com/spreadsheets/d/15X-ub7GvrCQZ3UGgyogcjwYdxG-Ng8WHxzGSj1Z3eLw"&amp;"/edit#gid=0"",""'Game 3'!J25""))),IF(IMPORTRANGE(""https://docs.google.com/spreadsheets/d/15X-ub7GvrCQZ3UGgyogcjwYdxG-Ng8WHxzGSj1Z3eLw/edit#gid=0"",""'Game 3'!J25"")&gt;IMPORTRANGE(""https://docs.google.com/spreadsheets/d/15X-ub7GvrCQZ3UGgyogcjwYdxG-Ng8WHxzG"&amp;"Sj1Z3eLw/edit#gid=0"",""'Game 3'!S25""),IMPORTRANGE(""https://docs.google.com/spreadsheets/d/15X-ub7GvrCQZ3UGgyogcjwYdxG-Ng8WHxzGSj1Z3eLw/edit#gid=0"",""'Game 3'!S25""),IF(IMPORTRANGE(""https://docs.google.com/spreadsheets/d/15X-ub7GvrCQZ3UGgyogcjwYdxG-Ng"&amp;"8WHxzGSj1Z3eLw/edit#gid=0"",""'Game 3'!J25"")=IMPORTRANGE(""https://docs.google.com/spreadsheets/d/15X-ub7GvrCQZ3UGgyogcjwYdxG-Ng8WHxzGSj1Z3eLw/edit#gid=0"",""'Game 3'!S25""),IMPORTRANGE(""https://docs.google.com/spreadsheets/d/15X-ub7GvrCQZ3UGgyogcjwYdxG"&amp;"-Ng8WHxzGSj1Z3eLw/edit#gid=0"",""'Game 3'!S25"")+50,IMPORTRANGE(""https://docs.google.com/spreadsheets/d/15X-ub7GvrCQZ3UGgyogcjwYdxG-Ng8WHxzGSj1Z3eLw/edit#gid=0"",""'Game 3'!S25"")+100)))"),216.0)</f>
        <v>216</v>
      </c>
      <c r="J22" s="5">
        <f>IFERROR(__xludf.DUMMYFUNCTION("IF($A22=IMPORTRANGE(""https://docs.google.com/spreadsheets/d/194Bw3ABslPPhOOPvVoMzIk8sOQFICWBu2pydWdYMD-w/edit#gid=0"",""'Game 9'!B1""),IF(IMPORTRANGE(""https://docs.google.com/spreadsheets/d/194Bw3ABslPPhOOPvVoMzIk8sOQFICWBu2pydWdYMD-w/edit#gid=0"",""'Ga"&amp;"me 9'!J25"")&gt;IMPORTRANGE(""https://docs.google.com/spreadsheets/d/194Bw3ABslPPhOOPvVoMzIk8sOQFICWBu2pydWdYMD-w/edit#gid=0"",""'Game 9'!S25""),IMPORTRANGE(""https://docs.google.com/spreadsheets/d/194Bw3ABslPPhOOPvVoMzIk8sOQFICWBu2pydWdYMD-w/edit#gid=0"","""&amp;"'Game 9'!J25"")+100,IF(IMPORTRANGE(""https://docs.google.com/spreadsheets/d/194Bw3ABslPPhOOPvVoMzIk8sOQFICWBu2pydWdYMD-w/edit#gid=0"",""'Game 9'!J25"")=IMPORTRANGE(""https://docs.google.com/spreadsheets/d/194Bw3ABslPPhOOPvVoMzIk8sOQFICWBu2pydWdYMD-w/edit#"&amp;"gid=0"",""'Game 9'!S25""),IMPORTRANGE(""https://docs.google.com/spreadsheets/d/194Bw3ABslPPhOOPvVoMzIk8sOQFICWBu2pydWdYMD-w/edit#gid=0"",""'Game 9'!J25"")+50,IMPORTRANGE(""https://docs.google.com/spreadsheets/d/194Bw3ABslPPhOOPvVoMzIk8sOQFICWBu2pydWdYMD-w"&amp;"/edit#gid=0"",""'Game 9'!J25""))),IF(IMPORTRANGE(""https://docs.google.com/spreadsheets/d/194Bw3ABslPPhOOPvVoMzIk8sOQFICWBu2pydWdYMD-w/edit#gid=0"",""'Game 9'!J25"")&gt;IMPORTRANGE(""https://docs.google.com/spreadsheets/d/194Bw3ABslPPhOOPvVoMzIk8sOQFICWBu2py"&amp;"dWdYMD-w/edit#gid=0"",""'Game 9'!S25""),IMPORTRANGE(""https://docs.google.com/spreadsheets/d/194Bw3ABslPPhOOPvVoMzIk8sOQFICWBu2pydWdYMD-w/edit#gid=0"",""'Game 9'!S25""),IF(IMPORTRANGE(""https://docs.google.com/spreadsheets/d/194Bw3ABslPPhOOPvVoMzIk8sOQFIC"&amp;"WBu2pydWdYMD-w/edit#gid=0"",""'Game 9'!J25"")=IMPORTRANGE(""https://docs.google.com/spreadsheets/d/194Bw3ABslPPhOOPvVoMzIk8sOQFICWBu2pydWdYMD-w/edit#gid=0"",""'Game 9'!S25""),IMPORTRANGE(""https://docs.google.com/spreadsheets/d/194Bw3ABslPPhOOPvVoMzIk8sOQ"&amp;"FICWBu2pydWdYMD-w/edit#gid=0"",""'Game 9'!S25"")+50,IMPORTRANGE(""https://docs.google.com/spreadsheets/d/194Bw3ABslPPhOOPvVoMzIk8sOQFICWBu2pydWdYMD-w/edit#gid=0"",""'Game 9'!S25"")+100)))"),220.0)</f>
        <v>220</v>
      </c>
      <c r="K22" s="5">
        <f>IFERROR(__xludf.DUMMYFUNCTION("IF($A22=IMPORTRANGE(""https://docs.google.com/spreadsheets/d/1F2Bi6K_I1K9xRxY5qb-bNRo5m-Kw7udpF1OaTHhrxjs/edit#gid=0"",""'Game 11'!B1""),IF(IMPORTRANGE(""https://docs.google.com/spreadsheets/d/1F2Bi6K_I1K9xRxY5qb-bNRo5m-Kw7udpF1OaTHhrxjs/edit#gid=0"",""'G"&amp;"ame 11'!J25"")&gt;IMPORTRANGE(""https://docs.google.com/spreadsheets/d/1F2Bi6K_I1K9xRxY5qb-bNRo5m-Kw7udpF1OaTHhrxjs/edit#gid=0"",""'Game 11'!S25""),IMPORTRANGE(""https://docs.google.com/spreadsheets/d/1F2Bi6K_I1K9xRxY5qb-bNRo5m-Kw7udpF1OaTHhrxjs/edit#gid=0"""&amp;",""'Game 11'!J25"")+100,IF(IMPORTRANGE(""https://docs.google.com/spreadsheets/d/1F2Bi6K_I1K9xRxY5qb-bNRo5m-Kw7udpF1OaTHhrxjs/edit#gid=0"",""'Game 11'!J25"")=IMPORTRANGE(""https://docs.google.com/spreadsheets/d/1F2Bi6K_I1K9xRxY5qb-bNRo5m-Kw7udpF1OaTHhrxjs/"&amp;"edit#gid=0"",""'Game 11'!S25""),IMPORTRANGE(""https://docs.google.com/spreadsheets/d/1F2Bi6K_I1K9xRxY5qb-bNRo5m-Kw7udpF1OaTHhrxjs/edit#gid=0"",""'Game 11'!J25"")+50,IMPORTRANGE(""https://docs.google.com/spreadsheets/d/1F2Bi6K_I1K9xRxY5qb-bNRo5m-Kw7udpF1Oa"&amp;"THhrxjs/edit#gid=0"",""'Game 11'!J25""))),IF(IMPORTRANGE(""https://docs.google.com/spreadsheets/d/1F2Bi6K_I1K9xRxY5qb-bNRo5m-Kw7udpF1OaTHhrxjs/edit#gid=0"",""'Game 11'!J25"")&gt;IMPORTRANGE(""https://docs.google.com/spreadsheets/d/1F2Bi6K_I1K9xRxY5qb-bNRo5m-"&amp;"Kw7udpF1OaTHhrxjs/edit#gid=0"",""'Game 11'!S25""),IMPORTRANGE(""https://docs.google.com/spreadsheets/d/1F2Bi6K_I1K9xRxY5qb-bNRo5m-Kw7udpF1OaTHhrxjs/edit#gid=0"",""'Game 11'!S25""),IF(IMPORTRANGE(""https://docs.google.com/spreadsheets/d/1F2Bi6K_I1K9xRxY5qb"&amp;"-bNRo5m-Kw7udpF1OaTHhrxjs/edit#gid=0"",""'Game 11'!J25"")=IMPORTRANGE(""https://docs.google.com/spreadsheets/d/1F2Bi6K_I1K9xRxY5qb-bNRo5m-Kw7udpF1OaTHhrxjs/edit#gid=0"",""'Game 11'!S25""),IMPORTRANGE(""https://docs.google.com/spreadsheets/d/1F2Bi6K_I1K9xR"&amp;"xY5qb-bNRo5m-Kw7udpF1OaTHhrxjs/edit#gid=0"",""'Game 11'!S25"")+50,IMPORTRANGE(""https://docs.google.com/spreadsheets/d/1F2Bi6K_I1K9xRxY5qb-bNRo5m-Kw7udpF1OaTHhrxjs/edit#gid=0"",""'Game 11'!S25"")+100)))"),216.0)</f>
        <v>216</v>
      </c>
      <c r="L22" s="5">
        <f>IFERROR(__xludf.DUMMYFUNCTION("IF($A22=IMPORTRANGE(""https://docs.google.com/spreadsheets/d/1NDNgi_Ny4dRhc2A3UMIIkalN-V6EmsvxOfDzMRQlQ40/edit#gid=0"",""'Game 8'!B1""),IF(IMPORTRANGE(""https://docs.google.com/spreadsheets/d/1NDNgi_Ny4dRhc2A3UMIIkalN-V6EmsvxOfDzMRQlQ40/edit#gid=0"",""'Ga"&amp;"me 8'!J25"")&gt;IMPORTRANGE(""https://docs.google.com/spreadsheets/d/1NDNgi_Ny4dRhc2A3UMIIkalN-V6EmsvxOfDzMRQlQ40/edit#gid=0"",""'Game 8'!S25""),IMPORTRANGE(""https://docs.google.com/spreadsheets/d/1NDNgi_Ny4dRhc2A3UMIIkalN-V6EmsvxOfDzMRQlQ40/edit#gid=0"","""&amp;"'Game 8'!J25"")+100,IF(IMPORTRANGE(""https://docs.google.com/spreadsheets/d/1NDNgi_Ny4dRhc2A3UMIIkalN-V6EmsvxOfDzMRQlQ40/edit#gid=0"",""'Game 8'!J25"")=IMPORTRANGE(""https://docs.google.com/spreadsheets/d/1NDNgi_Ny4dRhc2A3UMIIkalN-V6EmsvxOfDzMRQlQ40/edit#"&amp;"gid=0"",""'Game 8'!S25""),IMPORTRANGE(""https://docs.google.com/spreadsheets/d/1NDNgi_Ny4dRhc2A3UMIIkalN-V6EmsvxOfDzMRQlQ40/edit#gid=0"",""'Game 8'!J25"")+50,IMPORTRANGE(""https://docs.google.com/spreadsheets/d/1NDNgi_Ny4dRhc2A3UMIIkalN-V6EmsvxOfDzMRQlQ40"&amp;"/edit#gid=0"",""'Game 8'!J25""))),IF(IMPORTRANGE(""https://docs.google.com/spreadsheets/d/1NDNgi_Ny4dRhc2A3UMIIkalN-V6EmsvxOfDzMRQlQ40/edit#gid=0"",""'Game 8'!J25"")&gt;IMPORTRANGE(""https://docs.google.com/spreadsheets/d/1NDNgi_Ny4dRhc2A3UMIIkalN-V6EmsvxOfD"&amp;"zMRQlQ40/edit#gid=0"",""'Game 8'!S25""),IMPORTRANGE(""https://docs.google.com/spreadsheets/d/1NDNgi_Ny4dRhc2A3UMIIkalN-V6EmsvxOfDzMRQlQ40/edit#gid=0"",""'Game 8'!S25""),IF(IMPORTRANGE(""https://docs.google.com/spreadsheets/d/1NDNgi_Ny4dRhc2A3UMIIkalN-V6Em"&amp;"svxOfDzMRQlQ40/edit#gid=0"",""'Game 8'!J25"")=IMPORTRANGE(""https://docs.google.com/spreadsheets/d/1NDNgi_Ny4dRhc2A3UMIIkalN-V6EmsvxOfDzMRQlQ40/edit#gid=0"",""'Game 8'!S25""),IMPORTRANGE(""https://docs.google.com/spreadsheets/d/1NDNgi_Ny4dRhc2A3UMIIkalN-V"&amp;"6EmsvxOfDzMRQlQ40/edit#gid=0"",""'Game 8'!S25"")+50,IMPORTRANGE(""https://docs.google.com/spreadsheets/d/1NDNgi_Ny4dRhc2A3UMIIkalN-V6EmsvxOfDzMRQlQ40/edit#gid=0"",""'Game 8'!S25"")+100)))"),206.0)</f>
        <v>206</v>
      </c>
      <c r="M22" s="5">
        <f>IFERROR(__xludf.DUMMYFUNCTION("IF($A22=IMPORTRANGE(""https://docs.google.com/spreadsheets/d/1UDYA3-RrkJNLa2ZLH1NnUjKyfCoiSODmgVL_Au_zt-Y/edit#gid=0"",""'Game 5'!B1""),IF(IMPORTRANGE(""https://docs.google.com/spreadsheets/d/1UDYA3-RrkJNLa2ZLH1NnUjKyfCoiSODmgVL_Au_zt-Y/edit#gid=0"",""'Ga"&amp;"me 5'!J25"")&gt;IMPORTRANGE(""https://docs.google.com/spreadsheets/d/1UDYA3-RrkJNLa2ZLH1NnUjKyfCoiSODmgVL_Au_zt-Y/edit#gid=0"",""'Game 5'!S25""),IMPORTRANGE(""https://docs.google.com/spreadsheets/d/1UDYA3-RrkJNLa2ZLH1NnUjKyfCoiSODmgVL_Au_zt-Y/edit#gid=0"","""&amp;"'Game 5'!J25"")+100,IF(IMPORTRANGE(""https://docs.google.com/spreadsheets/d/1UDYA3-RrkJNLa2ZLH1NnUjKyfCoiSODmgVL_Au_zt-Y/edit#gid=0"",""'Game 5'!J25"")=IMPORTRANGE(""https://docs.google.com/spreadsheets/d/1UDYA3-RrkJNLa2ZLH1NnUjKyfCoiSODmgVL_Au_zt-Y/edit#"&amp;"gid=0"",""'Game 5'!S25""),IMPORTRANGE(""https://docs.google.com/spreadsheets/d/1UDYA3-RrkJNLa2ZLH1NnUjKyfCoiSODmgVL_Au_zt-Y/edit#gid=0"",""'Game 5'!J25"")+50,IMPORTRANGE(""https://docs.google.com/spreadsheets/d/1UDYA3-RrkJNLa2ZLH1NnUjKyfCoiSODmgVL_Au_zt-Y"&amp;"/edit#gid=0"",""'Game 5'!J25""))),IF(IMPORTRANGE(""https://docs.google.com/spreadsheets/d/1UDYA3-RrkJNLa2ZLH1NnUjKyfCoiSODmgVL_Au_zt-Y/edit#gid=0"",""'Game 5'!J25"")&gt;IMPORTRANGE(""https://docs.google.com/spreadsheets/d/1UDYA3-RrkJNLa2ZLH1NnUjKyfCoiSODmgVL"&amp;"_Au_zt-Y/edit#gid=0"",""'Game 5'!S25""),IMPORTRANGE(""https://docs.google.com/spreadsheets/d/1UDYA3-RrkJNLa2ZLH1NnUjKyfCoiSODmgVL_Au_zt-Y/edit#gid=0"",""'Game 5'!S25""),IF(IMPORTRANGE(""https://docs.google.com/spreadsheets/d/1UDYA3-RrkJNLa2ZLH1NnUjKyfCoiS"&amp;"ODmgVL_Au_zt-Y/edit#gid=0"",""'Game 5'!J25"")=IMPORTRANGE(""https://docs.google.com/spreadsheets/d/1UDYA3-RrkJNLa2ZLH1NnUjKyfCoiSODmgVL_Au_zt-Y/edit#gid=0"",""'Game 5'!S25""),IMPORTRANGE(""https://docs.google.com/spreadsheets/d/1UDYA3-RrkJNLa2ZLH1NnUjKyfC"&amp;"oiSODmgVL_Au_zt-Y/edit#gid=0"",""'Game 5'!S25"")+50,IMPORTRANGE(""https://docs.google.com/spreadsheets/d/1UDYA3-RrkJNLa2ZLH1NnUjKyfCoiSODmgVL_Au_zt-Y/edit#gid=0"",""'Game 5'!S25"")+100)))"),280.0)</f>
        <v>280</v>
      </c>
      <c r="N22" s="5">
        <f>IFERROR(__xludf.DUMMYFUNCTION("IF($A22=IMPORTRANGE(""https://docs.google.com/spreadsheets/d/1fvo6H94Wcffp6c4N9g3JKCW6y2ZlijPxdOsNz7xdBhw/edit#gid=0"",""'Game 6'!B1""),IF(IMPORTRANGE(""https://docs.google.com/spreadsheets/d/1fvo6H94Wcffp6c4N9g3JKCW6y2ZlijPxdOsNz7xdBhw/edit#gid=0"",""'Ga"&amp;"me 6'!J25"")&gt;IMPORTRANGE(""https://docs.google.com/spreadsheets/d/1fvo6H94Wcffp6c4N9g3JKCW6y2ZlijPxdOsNz7xdBhw/edit#gid=0"",""'Game 6'!S25""),IMPORTRANGE(""https://docs.google.com/spreadsheets/d/1fvo6H94Wcffp6c4N9g3JKCW6y2ZlijPxdOsNz7xdBhw/edit#gid=0"","""&amp;"'Game 6'!J25"")+100,IF(IMPORTRANGE(""https://docs.google.com/spreadsheets/d/1fvo6H94Wcffp6c4N9g3JKCW6y2ZlijPxdOsNz7xdBhw/edit#gid=0"",""'Game 6'!J25"")=IMPORTRANGE(""https://docs.google.com/spreadsheets/d/1fvo6H94Wcffp6c4N9g3JKCW6y2ZlijPxdOsNz7xdBhw/edit#"&amp;"gid=0"",""'Game 6'!S25""),IMPORTRANGE(""https://docs.google.com/spreadsheets/d/1fvo6H94Wcffp6c4N9g3JKCW6y2ZlijPxdOsNz7xdBhw/edit#gid=0"",""'Game 6'!J25"")+50,IMPORTRANGE(""https://docs.google.com/spreadsheets/d/1fvo6H94Wcffp6c4N9g3JKCW6y2ZlijPxdOsNz7xdBhw"&amp;"/edit#gid=0"",""'Game 6'!J25""))),IF(IMPORTRANGE(""https://docs.google.com/spreadsheets/d/1fvo6H94Wcffp6c4N9g3JKCW6y2ZlijPxdOsNz7xdBhw/edit#gid=0"",""'Game 6'!J25"")&gt;IMPORTRANGE(""https://docs.google.com/spreadsheets/d/1fvo6H94Wcffp6c4N9g3JKCW6y2ZlijPxdOs"&amp;"Nz7xdBhw/edit#gid=0"",""'Game 6'!S25""),IMPORTRANGE(""https://docs.google.com/spreadsheets/d/1fvo6H94Wcffp6c4N9g3JKCW6y2ZlijPxdOsNz7xdBhw/edit#gid=0"",""'Game 6'!S25""),IF(IMPORTRANGE(""https://docs.google.com/spreadsheets/d/1fvo6H94Wcffp6c4N9g3JKCW6y2Zli"&amp;"jPxdOsNz7xdBhw/edit#gid=0"",""'Game 6'!J25"")=IMPORTRANGE(""https://docs.google.com/spreadsheets/d/1fvo6H94Wcffp6c4N9g3JKCW6y2ZlijPxdOsNz7xdBhw/edit#gid=0"",""'Game 6'!S25""),IMPORTRANGE(""https://docs.google.com/spreadsheets/d/1fvo6H94Wcffp6c4N9g3JKCW6y2"&amp;"ZlijPxdOsNz7xdBhw/edit#gid=0"",""'Game 6'!S25"")+50,IMPORTRANGE(""https://docs.google.com/spreadsheets/d/1fvo6H94Wcffp6c4N9g3JKCW6y2ZlijPxdOsNz7xdBhw/edit#gid=0"",""'Game 6'!S25"")+100)))"),60.0)</f>
        <v>60</v>
      </c>
      <c r="O22" s="5">
        <f>IFERROR(__xludf.DUMMYFUNCTION("IF($A22=IMPORTRANGE(""https://docs.google.com/spreadsheets/d/1wfQePArl-A-5QJe5xAufoOnzeNLVSoHCRcmpZ_FMdns/edit#gid=0"",""'Game 7'!B1""),IF(IMPORTRANGE(""https://docs.google.com/spreadsheets/d/1wfQePArl-A-5QJe5xAufoOnzeNLVSoHCRcmpZ_FMdns/edit#gid=0"",""'Ga"&amp;"me 7'!J25"")&gt;IMPORTRANGE(""https://docs.google.com/spreadsheets/d/1wfQePArl-A-5QJe5xAufoOnzeNLVSoHCRcmpZ_FMdns/edit#gid=0"",""'Game 7'!S25""),IMPORTRANGE(""https://docs.google.com/spreadsheets/d/1wfQePArl-A-5QJe5xAufoOnzeNLVSoHCRcmpZ_FMdns/edit#gid=0"","""&amp;"'Game 7'!J25"")+100,IF(IMPORTRANGE(""https://docs.google.com/spreadsheets/d/1wfQePArl-A-5QJe5xAufoOnzeNLVSoHCRcmpZ_FMdns/edit#gid=0"",""'Game 7'!J25"")=IMPORTRANGE(""https://docs.google.com/spreadsheets/d/1wfQePArl-A-5QJe5xAufoOnzeNLVSoHCRcmpZ_FMdns/edit#"&amp;"gid=0"",""'Game 7'!S25""),IMPORTRANGE(""https://docs.google.com/spreadsheets/d/1wfQePArl-A-5QJe5xAufoOnzeNLVSoHCRcmpZ_FMdns/edit#gid=0"",""'Game 7'!J25"")+50,IMPORTRANGE(""https://docs.google.com/spreadsheets/d/1wfQePArl-A-5QJe5xAufoOnzeNLVSoHCRcmpZ_FMdns"&amp;"/edit#gid=0"",""'Game 7'!J25""))),IF(IMPORTRANGE(""https://docs.google.com/spreadsheets/d/1wfQePArl-A-5QJe5xAufoOnzeNLVSoHCRcmpZ_FMdns/edit#gid=0"",""'Game 7'!J25"")&gt;IMPORTRANGE(""https://docs.google.com/spreadsheets/d/1wfQePArl-A-5QJe5xAufoOnzeNLVSoHCRcm"&amp;"pZ_FMdns/edit#gid=0"",""'Game 7'!S25""),IMPORTRANGE(""https://docs.google.com/spreadsheets/d/1wfQePArl-A-5QJe5xAufoOnzeNLVSoHCRcmpZ_FMdns/edit#gid=0"",""'Game 7'!S25""),IF(IMPORTRANGE(""https://docs.google.com/spreadsheets/d/1wfQePArl-A-5QJe5xAufoOnzeNLVS"&amp;"oHCRcmpZ_FMdns/edit#gid=0"",""'Game 7'!J25"")=IMPORTRANGE(""https://docs.google.com/spreadsheets/d/1wfQePArl-A-5QJe5xAufoOnzeNLVSoHCRcmpZ_FMdns/edit#gid=0"",""'Game 7'!S25""),IMPORTRANGE(""https://docs.google.com/spreadsheets/d/1wfQePArl-A-5QJe5xAufoOnzeN"&amp;"LVSoHCRcmpZ_FMdns/edit#gid=0"",""'Game 7'!S25"")+50,IMPORTRANGE(""https://docs.google.com/spreadsheets/d/1wfQePArl-A-5QJe5xAufoOnzeNLVSoHCRcmpZ_FMdns/edit#gid=0"",""'Game 7'!S25"")+100)))"),266.0)</f>
        <v>266</v>
      </c>
      <c r="P22" s="5">
        <f>IFERROR(__xludf.DUMMYFUNCTION("IF($A22=IMPORTRANGE(""https://docs.google.com/spreadsheets/d/1wydNznS0hZhVh3oGSdiCZSsReuqMT7Xaw718ix58zAI/edit#gid=0"",""'Game 11'!B1""),IF(IMPORTRANGE(""https://docs.google.com/spreadsheets/d/1wydNznS0hZhVh3oGSdiCZSsReuqMT7Xaw718ix58zAI/edit#gid=0"",""'G"&amp;"ame 11'!J25"")&gt;IMPORTRANGE(""https://docs.google.com/spreadsheets/d/1wydNznS0hZhVh3oGSdiCZSsReuqMT7Xaw718ix58zAI/edit#gid=0"",""'Game 11'!S25""),IMPORTRANGE(""https://docs.google.com/spreadsheets/d/1wydNznS0hZhVh3oGSdiCZSsReuqMT7Xaw718ix58zAI/edit#gid=0"""&amp;",""'Game 11'!J25"")+100,IF(IMPORTRANGE(""https://docs.google.com/spreadsheets/d/1wydNznS0hZhVh3oGSdiCZSsReuqMT7Xaw718ix58zAI/edit#gid=0"",""'Game 11'!J25"")=IMPORTRANGE(""https://docs.google.com/spreadsheets/d/1wydNznS0hZhVh3oGSdiCZSsReuqMT7Xaw718ix58zAI/"&amp;"edit#gid=0"",""'Game 11'!S25""),IMPORTRANGE(""https://docs.google.com/spreadsheets/d/1wydNznS0hZhVh3oGSdiCZSsReuqMT7Xaw718ix58zAI/edit#gid=0"",""'Game 11'!J25"")+50,IMPORTRANGE(""https://docs.google.com/spreadsheets/d/1wydNznS0hZhVh3oGSdiCZSsReuqMT7Xaw718"&amp;"ix58zAI/edit#gid=0"",""'Game 11'!J25""))),IF(IMPORTRANGE(""https://docs.google.com/spreadsheets/d/1wydNznS0hZhVh3oGSdiCZSsReuqMT7Xaw718ix58zAI/edit#gid=0"",""'Game 11'!J25"")&gt;IMPORTRANGE(""https://docs.google.com/spreadsheets/d/1wydNznS0hZhVh3oGSdiCZSsReu"&amp;"qMT7Xaw718ix58zAI/edit#gid=0"",""'Game 11'!S25""),IMPORTRANGE(""https://docs.google.com/spreadsheets/d/1wydNznS0hZhVh3oGSdiCZSsReuqMT7Xaw718ix58zAI/edit#gid=0"",""'Game 11'!S25""),IF(IMPORTRANGE(""https://docs.google.com/spreadsheets/d/1wydNznS0hZhVh3oGSd"&amp;"iCZSsReuqMT7Xaw718ix58zAI/edit#gid=0"",""'Game 11'!J25"")=IMPORTRANGE(""https://docs.google.com/spreadsheets/d/1wydNznS0hZhVh3oGSdiCZSsReuqMT7Xaw718ix58zAI/edit#gid=0"",""'Game 11'!S25""),IMPORTRANGE(""https://docs.google.com/spreadsheets/d/1wydNznS0hZhVh"&amp;"3oGSdiCZSsReuqMT7Xaw718ix58zAI/edit#gid=0"",""'Game 11'!S25"")+50,IMPORTRANGE(""https://docs.google.com/spreadsheets/d/1wydNznS0hZhVh3oGSdiCZSsReuqMT7Xaw718ix58zAI/edit#gid=0"",""'Game 11'!S25"")+100)))"),88.0)</f>
        <v>88</v>
      </c>
      <c r="Q22" s="35">
        <f t="shared" si="1"/>
        <v>3122</v>
      </c>
      <c r="R22" s="35">
        <f t="shared" si="2"/>
        <v>1</v>
      </c>
    </row>
    <row r="23">
      <c r="A23" s="32" t="s">
        <v>285</v>
      </c>
      <c r="B23" s="36">
        <v>30.0</v>
      </c>
      <c r="C23" s="36">
        <v>12.0</v>
      </c>
      <c r="D23" s="36">
        <v>4.0</v>
      </c>
      <c r="E23" s="36">
        <v>32.0</v>
      </c>
      <c r="F23" s="36">
        <v>74.0</v>
      </c>
      <c r="G23" s="12">
        <f>IFERROR(__xludf.DUMMYFUNCTION("IF($A23=IMPORTRANGE(""https://docs.google.com/spreadsheets/d/19gjAD4NwTXl_QoKUuwHQ1cWG_S2BOW94pDcyFtPwheg/edit#gid=0"",""'Game 12'!B1""),IF(IMPORTRANGE(""https://docs.google.com/spreadsheets/d/19gjAD4NwTXl_QoKUuwHQ1cWG_S2BOW94pDcyFtPwheg/edit#gid=0"",""'G"&amp;"ame 12'!J25"")&gt;IMPORTRANGE(""https://docs.google.com/spreadsheets/d/19gjAD4NwTXl_QoKUuwHQ1cWG_S2BOW94pDcyFtPwheg/edit#gid=0"",""'Game 12'!S25""),IMPORTRANGE(""https://docs.google.com/spreadsheets/d/19gjAD4NwTXl_QoKUuwHQ1cWG_S2BOW94pDcyFtPwheg/edit#gid=0"""&amp;",""'Game 12'!J25"")+100,IF(IMPORTRANGE(""https://docs.google.com/spreadsheets/d/19gjAD4NwTXl_QoKUuwHQ1cWG_S2BOW94pDcyFtPwheg/edit#gid=0"",""'Game 12'!J25"")=IMPORTRANGE(""https://docs.google.com/spreadsheets/d/19gjAD4NwTXl_QoKUuwHQ1cWG_S2BOW94pDcyFtPwheg/"&amp;"edit#gid=0"",""'Game 12'!S25""),IMPORTRANGE(""https://docs.google.com/spreadsheets/d/19gjAD4NwTXl_QoKUuwHQ1cWG_S2BOW94pDcyFtPwheg/edit#gid=0"",""'Game 12'!J25"")+50,IMPORTRANGE(""https://docs.google.com/spreadsheets/d/19gjAD4NwTXl_QoKUuwHQ1cWG_S2BOW94pDcy"&amp;"FtPwheg/edit#gid=0"",""'Game 12'!J25""))),IF(IMPORTRANGE(""https://docs.google.com/spreadsheets/d/19gjAD4NwTXl_QoKUuwHQ1cWG_S2BOW94pDcyFtPwheg/edit#gid=0"",""'Game 12'!J25"")&gt;IMPORTRANGE(""https://docs.google.com/spreadsheets/d/19gjAD4NwTXl_QoKUuwHQ1cWG_S"&amp;"2BOW94pDcyFtPwheg/edit#gid=0"",""'Game 12'!S25""),IMPORTRANGE(""https://docs.google.com/spreadsheets/d/19gjAD4NwTXl_QoKUuwHQ1cWG_S2BOW94pDcyFtPwheg/edit#gid=0"",""'Game 12'!S25""),IF(IMPORTRANGE(""https://docs.google.com/spreadsheets/d/19gjAD4NwTXl_QoKUuw"&amp;"HQ1cWG_S2BOW94pDcyFtPwheg/edit#gid=0"",""'Game 12'!J25"")=IMPORTRANGE(""https://docs.google.com/spreadsheets/d/19gjAD4NwTXl_QoKUuwHQ1cWG_S2BOW94pDcyFtPwheg/edit#gid=0"",""'Game 12'!S25""),IMPORTRANGE(""https://docs.google.com/spreadsheets/d/19gjAD4NwTXl_Q"&amp;"oKUuwHQ1cWG_S2BOW94pDcyFtPwheg/edit#gid=0"",""'Game 12'!S25"")+50,IMPORTRANGE(""https://docs.google.com/spreadsheets/d/19gjAD4NwTXl_QoKUuwHQ1cWG_S2BOW94pDcyFtPwheg/edit#gid=0"",""'Game 12'!S25"")+100)))"),18.0)</f>
        <v>18</v>
      </c>
      <c r="H23" s="12">
        <f>IFERROR(__xludf.DUMMYFUNCTION("IF($A23=IMPORTRANGE(""https://docs.google.com/spreadsheets/d/1l83w8bH-F1czkFOqsgQy6o8O33Jb4Pfg40W0ou2nk0k/edit#gid=0"",""'Game 10'!B1""),IF(IMPORTRANGE(""https://docs.google.com/spreadsheets/d/1l83w8bH-F1czkFOqsgQy6o8O33Jb4Pfg40W0ou2nk0k/edit#gid=0"",""'G"&amp;"ame 10'!J25"")&gt;IMPORTRANGE(""https://docs.google.com/spreadsheets/d/1l83w8bH-F1czkFOqsgQy6o8O33Jb4Pfg40W0ou2nk0k/edit#gid=0"",""'Game 10'!S25""),IMPORTRANGE(""https://docs.google.com/spreadsheets/d/1l83w8bH-F1czkFOqsgQy6o8O33Jb4Pfg40W0ou2nk0k/edit#gid=0"""&amp;",""'Game 10'!J25"")+100,IF(IMPORTRANGE(""https://docs.google.com/spreadsheets/d/1l83w8bH-F1czkFOqsgQy6o8O33Jb4Pfg40W0ou2nk0k/edit#gid=0"",""'Game 10'!J25"")=IMPORTRANGE(""https://docs.google.com/spreadsheets/d/1l83w8bH-F1czkFOqsgQy6o8O33Jb4Pfg40W0ou2nk0k/"&amp;"edit#gid=0"",""'Game 10'!S25""),IMPORTRANGE(""https://docs.google.com/spreadsheets/d/1l83w8bH-F1czkFOqsgQy6o8O33Jb4Pfg40W0ou2nk0k/edit#gid=0"",""'Game 10'!J25"")+50,IMPORTRANGE(""https://docs.google.com/spreadsheets/d/1l83w8bH-F1czkFOqsgQy6o8O33Jb4Pfg40W0"&amp;"ou2nk0k/edit#gid=0"",""'Game 10'!J25""))),IF(IMPORTRANGE(""https://docs.google.com/spreadsheets/d/1l83w8bH-F1czkFOqsgQy6o8O33Jb4Pfg40W0ou2nk0k/edit#gid=0"",""'Game 10'!J25"")&gt;IMPORTRANGE(""https://docs.google.com/spreadsheets/d/1l83w8bH-F1czkFOqsgQy6o8O33"&amp;"Jb4Pfg40W0ou2nk0k/edit#gid=0"",""'Game 10'!S25""),IMPORTRANGE(""https://docs.google.com/spreadsheets/d/1l83w8bH-F1czkFOqsgQy6o8O33Jb4Pfg40W0ou2nk0k/edit#gid=0"",""'Game 10'!S25""),IF(IMPORTRANGE(""https://docs.google.com/spreadsheets/d/1l83w8bH-F1czkFOqsg"&amp;"Qy6o8O33Jb4Pfg40W0ou2nk0k/edit#gid=0"",""'Game 10'!J25"")=IMPORTRANGE(""https://docs.google.com/spreadsheets/d/1l83w8bH-F1czkFOqsgQy6o8O33Jb4Pfg40W0ou2nk0k/edit#gid=0"",""'Game 10'!S25""),IMPORTRANGE(""https://docs.google.com/spreadsheets/d/1l83w8bH-F1czk"&amp;"FOqsgQy6o8O33Jb4Pfg40W0ou2nk0k/edit#gid=0"",""'Game 10'!S25"")+50,IMPORTRANGE(""https://docs.google.com/spreadsheets/d/1l83w8bH-F1czkFOqsgQy6o8O33Jb4Pfg40W0ou2nk0k/edit#gid=0"",""'Game 10'!S25"")+100)))"),36.0)</f>
        <v>36</v>
      </c>
      <c r="I23" s="12">
        <f>IFERROR(__xludf.DUMMYFUNCTION("IF($A23=IMPORTRANGE(""https://docs.google.com/spreadsheets/d/15X-ub7GvrCQZ3UGgyogcjwYdxG-Ng8WHxzGSj1Z3eLw/edit#gid=0"",""'Game 12'!B1""),IF(IMPORTRANGE(""https://docs.google.com/spreadsheets/d/15X-ub7GvrCQZ3UGgyogcjwYdxG-Ng8WHxzGSj1Z3eLw/edit#gid=0"",""'G"&amp;"ame 12'!J25"")&gt;IMPORTRANGE(""https://docs.google.com/spreadsheets/d/15X-ub7GvrCQZ3UGgyogcjwYdxG-Ng8WHxzGSj1Z3eLw/edit#gid=0"",""'Game 12'!S25""),IMPORTRANGE(""https://docs.google.com/spreadsheets/d/15X-ub7GvrCQZ3UGgyogcjwYdxG-Ng8WHxzGSj1Z3eLw/edit#gid=0"""&amp;",""'Game 12'!J25"")+100,IF(IMPORTRANGE(""https://docs.google.com/spreadsheets/d/15X-ub7GvrCQZ3UGgyogcjwYdxG-Ng8WHxzGSj1Z3eLw/edit#gid=0"",""'Game 12'!J25"")=IMPORTRANGE(""https://docs.google.com/spreadsheets/d/15X-ub7GvrCQZ3UGgyogcjwYdxG-Ng8WHxzGSj1Z3eLw/"&amp;"edit#gid=0"",""'Game 12'!S25""),IMPORTRANGE(""https://docs.google.com/spreadsheets/d/15X-ub7GvrCQZ3UGgyogcjwYdxG-Ng8WHxzGSj1Z3eLw/edit#gid=0"",""'Game 12'!J25"")+50,IMPORTRANGE(""https://docs.google.com/spreadsheets/d/15X-ub7GvrCQZ3UGgyogcjwYdxG-Ng8WHxzGS"&amp;"j1Z3eLw/edit#gid=0"",""'Game 12'!J25""))),IF(IMPORTRANGE(""https://docs.google.com/spreadsheets/d/15X-ub7GvrCQZ3UGgyogcjwYdxG-Ng8WHxzGSj1Z3eLw/edit#gid=0"",""'Game 12'!J25"")&gt;IMPORTRANGE(""https://docs.google.com/spreadsheets/d/15X-ub7GvrCQZ3UGgyogcjwYdxG"&amp;"-Ng8WHxzGSj1Z3eLw/edit#gid=0"",""'Game 12'!S25""),IMPORTRANGE(""https://docs.google.com/spreadsheets/d/15X-ub7GvrCQZ3UGgyogcjwYdxG-Ng8WHxzGSj1Z3eLw/edit#gid=0"",""'Game 12'!S25""),IF(IMPORTRANGE(""https://docs.google.com/spreadsheets/d/15X-ub7GvrCQZ3UGgyo"&amp;"gcjwYdxG-Ng8WHxzGSj1Z3eLw/edit#gid=0"",""'Game 12'!J25"")=IMPORTRANGE(""https://docs.google.com/spreadsheets/d/15X-ub7GvrCQZ3UGgyogcjwYdxG-Ng8WHxzGSj1Z3eLw/edit#gid=0"",""'Game 12'!S25""),IMPORTRANGE(""https://docs.google.com/spreadsheets/d/15X-ub7GvrCQZ3"&amp;"UGgyogcjwYdxG-Ng8WHxzGSj1Z3eLw/edit#gid=0"",""'Game 12'!S25"")+50,IMPORTRANGE(""https://docs.google.com/spreadsheets/d/15X-ub7GvrCQZ3UGgyogcjwYdxG-Ng8WHxzGSj1Z3eLw/edit#gid=0"",""'Game 12'!S25"")+100)))"),30.0)</f>
        <v>30</v>
      </c>
      <c r="J23" s="12">
        <f>IFERROR(__xludf.DUMMYFUNCTION("IF($A23=IMPORTRANGE(""https://docs.google.com/spreadsheets/d/194Bw3ABslPPhOOPvVoMzIk8sOQFICWBu2pydWdYMD-w/edit#gid=0"",""'Game 10'!B1""),IF(IMPORTRANGE(""https://docs.google.com/spreadsheets/d/194Bw3ABslPPhOOPvVoMzIk8sOQFICWBu2pydWdYMD-w/edit#gid=0"",""'G"&amp;"ame 10'!J25"")&gt;IMPORTRANGE(""https://docs.google.com/spreadsheets/d/194Bw3ABslPPhOOPvVoMzIk8sOQFICWBu2pydWdYMD-w/edit#gid=0"",""'Game 10'!S25""),IMPORTRANGE(""https://docs.google.com/spreadsheets/d/194Bw3ABslPPhOOPvVoMzIk8sOQFICWBu2pydWdYMD-w/edit#gid=0"""&amp;",""'Game 10'!J25"")+100,IF(IMPORTRANGE(""https://docs.google.com/spreadsheets/d/194Bw3ABslPPhOOPvVoMzIk8sOQFICWBu2pydWdYMD-w/edit#gid=0"",""'Game 10'!J25"")=IMPORTRANGE(""https://docs.google.com/spreadsheets/d/194Bw3ABslPPhOOPvVoMzIk8sOQFICWBu2pydWdYMD-w/"&amp;"edit#gid=0"",""'Game 10'!S25""),IMPORTRANGE(""https://docs.google.com/spreadsheets/d/194Bw3ABslPPhOOPvVoMzIk8sOQFICWBu2pydWdYMD-w/edit#gid=0"",""'Game 10'!J25"")+50,IMPORTRANGE(""https://docs.google.com/spreadsheets/d/194Bw3ABslPPhOOPvVoMzIk8sOQFICWBu2pyd"&amp;"WdYMD-w/edit#gid=0"",""'Game 10'!J25""))),IF(IMPORTRANGE(""https://docs.google.com/spreadsheets/d/194Bw3ABslPPhOOPvVoMzIk8sOQFICWBu2pydWdYMD-w/edit#gid=0"",""'Game 10'!J25"")&gt;IMPORTRANGE(""https://docs.google.com/spreadsheets/d/194Bw3ABslPPhOOPvVoMzIk8sOQ"&amp;"FICWBu2pydWdYMD-w/edit#gid=0"",""'Game 10'!S25""),IMPORTRANGE(""https://docs.google.com/spreadsheets/d/194Bw3ABslPPhOOPvVoMzIk8sOQFICWBu2pydWdYMD-w/edit#gid=0"",""'Game 10'!S25""),IF(IMPORTRANGE(""https://docs.google.com/spreadsheets/d/194Bw3ABslPPhOOPvVo"&amp;"MzIk8sOQFICWBu2pydWdYMD-w/edit#gid=0"",""'Game 10'!J25"")=IMPORTRANGE(""https://docs.google.com/spreadsheets/d/194Bw3ABslPPhOOPvVoMzIk8sOQFICWBu2pydWdYMD-w/edit#gid=0"",""'Game 10'!S25""),IMPORTRANGE(""https://docs.google.com/spreadsheets/d/194Bw3ABslPPhO"&amp;"OPvVoMzIk8sOQFICWBu2pydWdYMD-w/edit#gid=0"",""'Game 10'!S25"")+50,IMPORTRANGE(""https://docs.google.com/spreadsheets/d/194Bw3ABslPPhOOPvVoMzIk8sOQFICWBu2pydWdYMD-w/edit#gid=0"",""'Game 10'!S25"")+100)))"),36.0)</f>
        <v>36</v>
      </c>
      <c r="K23" s="12">
        <f>IFERROR(__xludf.DUMMYFUNCTION("IF($A23=IMPORTRANGE(""https://docs.google.com/spreadsheets/d/1F2Bi6K_I1K9xRxY5qb-bNRo5m-Kw7udpF1OaTHhrxjs/edit#gid=0"",""'Game 3'!B1""),IF(IMPORTRANGE(""https://docs.google.com/spreadsheets/d/1F2Bi6K_I1K9xRxY5qb-bNRo5m-Kw7udpF1OaTHhrxjs/edit#gid=0"",""'Ga"&amp;"me 3'!J25"")&gt;IMPORTRANGE(""https://docs.google.com/spreadsheets/d/1F2Bi6K_I1K9xRxY5qb-bNRo5m-Kw7udpF1OaTHhrxjs/edit#gid=0"",""'Game 3'!S25""),IMPORTRANGE(""https://docs.google.com/spreadsheets/d/1F2Bi6K_I1K9xRxY5qb-bNRo5m-Kw7udpF1OaTHhrxjs/edit#gid=0"","""&amp;"'Game 3'!J25"")+100,IF(IMPORTRANGE(""https://docs.google.com/spreadsheets/d/1F2Bi6K_I1K9xRxY5qb-bNRo5m-Kw7udpF1OaTHhrxjs/edit#gid=0"",""'Game 3'!J25"")=IMPORTRANGE(""https://docs.google.com/spreadsheets/d/1F2Bi6K_I1K9xRxY5qb-bNRo5m-Kw7udpF1OaTHhrxjs/edit#"&amp;"gid=0"",""'Game 3'!S25""),IMPORTRANGE(""https://docs.google.com/spreadsheets/d/1F2Bi6K_I1K9xRxY5qb-bNRo5m-Kw7udpF1OaTHhrxjs/edit#gid=0"",""'Game 3'!J25"")+50,IMPORTRANGE(""https://docs.google.com/spreadsheets/d/1F2Bi6K_I1K9xRxY5qb-bNRo5m-Kw7udpF1OaTHhrxjs"&amp;"/edit#gid=0"",""'Game 3'!J25""))),IF(IMPORTRANGE(""https://docs.google.com/spreadsheets/d/1F2Bi6K_I1K9xRxY5qb-bNRo5m-Kw7udpF1OaTHhrxjs/edit#gid=0"",""'Game 3'!J25"")&gt;IMPORTRANGE(""https://docs.google.com/spreadsheets/d/1F2Bi6K_I1K9xRxY5qb-bNRo5m-Kw7udpF1O"&amp;"aTHhrxjs/edit#gid=0"",""'Game 3'!S25""),IMPORTRANGE(""https://docs.google.com/spreadsheets/d/1F2Bi6K_I1K9xRxY5qb-bNRo5m-Kw7udpF1OaTHhrxjs/edit#gid=0"",""'Game 3'!S25""),IF(IMPORTRANGE(""https://docs.google.com/spreadsheets/d/1F2Bi6K_I1K9xRxY5qb-bNRo5m-Kw7"&amp;"udpF1OaTHhrxjs/edit#gid=0"",""'Game 3'!J25"")=IMPORTRANGE(""https://docs.google.com/spreadsheets/d/1F2Bi6K_I1K9xRxY5qb-bNRo5m-Kw7udpF1OaTHhrxjs/edit#gid=0"",""'Game 3'!S25""),IMPORTRANGE(""https://docs.google.com/spreadsheets/d/1F2Bi6K_I1K9xRxY5qb-bNRo5m-"&amp;"Kw7udpF1OaTHhrxjs/edit#gid=0"",""'Game 3'!S25"")+50,IMPORTRANGE(""https://docs.google.com/spreadsheets/d/1F2Bi6K_I1K9xRxY5qb-bNRo5m-Kw7udpF1OaTHhrxjs/edit#gid=0"",""'Game 3'!S25"")+100)))"),22.0)</f>
        <v>22</v>
      </c>
      <c r="L23" s="12">
        <f>IFERROR(__xludf.DUMMYFUNCTION("IF($A23=IMPORTRANGE(""https://docs.google.com/spreadsheets/d/1NDNgi_Ny4dRhc2A3UMIIkalN-V6EmsvxOfDzMRQlQ40/edit#gid=0"",""'Game 11'!B1""),IF(IMPORTRANGE(""https://docs.google.com/spreadsheets/d/1NDNgi_Ny4dRhc2A3UMIIkalN-V6EmsvxOfDzMRQlQ40/edit#gid=0"",""'G"&amp;"ame 11'!J25"")&gt;IMPORTRANGE(""https://docs.google.com/spreadsheets/d/1NDNgi_Ny4dRhc2A3UMIIkalN-V6EmsvxOfDzMRQlQ40/edit#gid=0"",""'Game 11'!S25""),IMPORTRANGE(""https://docs.google.com/spreadsheets/d/1NDNgi_Ny4dRhc2A3UMIIkalN-V6EmsvxOfDzMRQlQ40/edit#gid=0"""&amp;",""'Game 11'!J25"")+100,IF(IMPORTRANGE(""https://docs.google.com/spreadsheets/d/1NDNgi_Ny4dRhc2A3UMIIkalN-V6EmsvxOfDzMRQlQ40/edit#gid=0"",""'Game 11'!J25"")=IMPORTRANGE(""https://docs.google.com/spreadsheets/d/1NDNgi_Ny4dRhc2A3UMIIkalN-V6EmsvxOfDzMRQlQ40/"&amp;"edit#gid=0"",""'Game 11'!S25""),IMPORTRANGE(""https://docs.google.com/spreadsheets/d/1NDNgi_Ny4dRhc2A3UMIIkalN-V6EmsvxOfDzMRQlQ40/edit#gid=0"",""'Game 11'!J25"")+50,IMPORTRANGE(""https://docs.google.com/spreadsheets/d/1NDNgi_Ny4dRhc2A3UMIIkalN-V6EmsvxOfDz"&amp;"MRQlQ40/edit#gid=0"",""'Game 11'!J25""))),IF(IMPORTRANGE(""https://docs.google.com/spreadsheets/d/1NDNgi_Ny4dRhc2A3UMIIkalN-V6EmsvxOfDzMRQlQ40/edit#gid=0"",""'Game 11'!J25"")&gt;IMPORTRANGE(""https://docs.google.com/spreadsheets/d/1NDNgi_Ny4dRhc2A3UMIIkalN-V"&amp;"6EmsvxOfDzMRQlQ40/edit#gid=0"",""'Game 11'!S25""),IMPORTRANGE(""https://docs.google.com/spreadsheets/d/1NDNgi_Ny4dRhc2A3UMIIkalN-V6EmsvxOfDzMRQlQ40/edit#gid=0"",""'Game 11'!S25""),IF(IMPORTRANGE(""https://docs.google.com/spreadsheets/d/1NDNgi_Ny4dRhc2A3UM"&amp;"IIkalN-V6EmsvxOfDzMRQlQ40/edit#gid=0"",""'Game 11'!J25"")=IMPORTRANGE(""https://docs.google.com/spreadsheets/d/1NDNgi_Ny4dRhc2A3UMIIkalN-V6EmsvxOfDzMRQlQ40/edit#gid=0"",""'Game 11'!S25""),IMPORTRANGE(""https://docs.google.com/spreadsheets/d/1NDNgi_Ny4dRhc"&amp;"2A3UMIIkalN-V6EmsvxOfDzMRQlQ40/edit#gid=0"",""'Game 11'!S25"")+50,IMPORTRANGE(""https://docs.google.com/spreadsheets/d/1NDNgi_Ny4dRhc2A3UMIIkalN-V6EmsvxOfDzMRQlQ40/edit#gid=0"",""'Game 11'!S25"")+100)))"),12.0)</f>
        <v>12</v>
      </c>
      <c r="M23" s="12">
        <f>IFERROR(__xludf.DUMMYFUNCTION("IF($A23=IMPORTRANGE(""https://docs.google.com/spreadsheets/d/1UDYA3-RrkJNLa2ZLH1NnUjKyfCoiSODmgVL_Au_zt-Y/edit#gid=0"",""'Game 6'!B1""),IF(IMPORTRANGE(""https://docs.google.com/spreadsheets/d/1UDYA3-RrkJNLa2ZLH1NnUjKyfCoiSODmgVL_Au_zt-Y/edit#gid=0"",""'Ga"&amp;"me 6'!J25"")&gt;IMPORTRANGE(""https://docs.google.com/spreadsheets/d/1UDYA3-RrkJNLa2ZLH1NnUjKyfCoiSODmgVL_Au_zt-Y/edit#gid=0"",""'Game 6'!S25""),IMPORTRANGE(""https://docs.google.com/spreadsheets/d/1UDYA3-RrkJNLa2ZLH1NnUjKyfCoiSODmgVL_Au_zt-Y/edit#gid=0"","""&amp;"'Game 6'!J25"")+100,IF(IMPORTRANGE(""https://docs.google.com/spreadsheets/d/1UDYA3-RrkJNLa2ZLH1NnUjKyfCoiSODmgVL_Au_zt-Y/edit#gid=0"",""'Game 6'!J25"")=IMPORTRANGE(""https://docs.google.com/spreadsheets/d/1UDYA3-RrkJNLa2ZLH1NnUjKyfCoiSODmgVL_Au_zt-Y/edit#"&amp;"gid=0"",""'Game 6'!S25""),IMPORTRANGE(""https://docs.google.com/spreadsheets/d/1UDYA3-RrkJNLa2ZLH1NnUjKyfCoiSODmgVL_Au_zt-Y/edit#gid=0"",""'Game 6'!J25"")+50,IMPORTRANGE(""https://docs.google.com/spreadsheets/d/1UDYA3-RrkJNLa2ZLH1NnUjKyfCoiSODmgVL_Au_zt-Y"&amp;"/edit#gid=0"",""'Game 6'!J25""))),IF(IMPORTRANGE(""https://docs.google.com/spreadsheets/d/1UDYA3-RrkJNLa2ZLH1NnUjKyfCoiSODmgVL_Au_zt-Y/edit#gid=0"",""'Game 6'!J25"")&gt;IMPORTRANGE(""https://docs.google.com/spreadsheets/d/1UDYA3-RrkJNLa2ZLH1NnUjKyfCoiSODmgVL"&amp;"_Au_zt-Y/edit#gid=0"",""'Game 6'!S25""),IMPORTRANGE(""https://docs.google.com/spreadsheets/d/1UDYA3-RrkJNLa2ZLH1NnUjKyfCoiSODmgVL_Au_zt-Y/edit#gid=0"",""'Game 6'!S25""),IF(IMPORTRANGE(""https://docs.google.com/spreadsheets/d/1UDYA3-RrkJNLa2ZLH1NnUjKyfCoiS"&amp;"ODmgVL_Au_zt-Y/edit#gid=0"",""'Game 6'!J25"")=IMPORTRANGE(""https://docs.google.com/spreadsheets/d/1UDYA3-RrkJNLa2ZLH1NnUjKyfCoiSODmgVL_Au_zt-Y/edit#gid=0"",""'Game 6'!S25""),IMPORTRANGE(""https://docs.google.com/spreadsheets/d/1UDYA3-RrkJNLa2ZLH1NnUjKyfC"&amp;"oiSODmgVL_Au_zt-Y/edit#gid=0"",""'Game 6'!S25"")+50,IMPORTRANGE(""https://docs.google.com/spreadsheets/d/1UDYA3-RrkJNLa2ZLH1NnUjKyfCoiSODmgVL_Au_zt-Y/edit#gid=0"",""'Game 6'!S25"")+100)))"),28.0)</f>
        <v>28</v>
      </c>
      <c r="N23" s="12">
        <f>IFERROR(__xludf.DUMMYFUNCTION("IF($A23=IMPORTRANGE(""https://docs.google.com/spreadsheets/d/1fvo6H94Wcffp6c4N9g3JKCW6y2ZlijPxdOsNz7xdBhw/edit#gid=0"",""'Game 8'!B1""),IF(IMPORTRANGE(""https://docs.google.com/spreadsheets/d/1fvo6H94Wcffp6c4N9g3JKCW6y2ZlijPxdOsNz7xdBhw/edit#gid=0"",""'Ga"&amp;"me 8'!J25"")&gt;IMPORTRANGE(""https://docs.google.com/spreadsheets/d/1fvo6H94Wcffp6c4N9g3JKCW6y2ZlijPxdOsNz7xdBhw/edit#gid=0"",""'Game 8'!S25""),IMPORTRANGE(""https://docs.google.com/spreadsheets/d/1fvo6H94Wcffp6c4N9g3JKCW6y2ZlijPxdOsNz7xdBhw/edit#gid=0"","""&amp;"'Game 8'!J25"")+100,IF(IMPORTRANGE(""https://docs.google.com/spreadsheets/d/1fvo6H94Wcffp6c4N9g3JKCW6y2ZlijPxdOsNz7xdBhw/edit#gid=0"",""'Game 8'!J25"")=IMPORTRANGE(""https://docs.google.com/spreadsheets/d/1fvo6H94Wcffp6c4N9g3JKCW6y2ZlijPxdOsNz7xdBhw/edit#"&amp;"gid=0"",""'Game 8'!S25""),IMPORTRANGE(""https://docs.google.com/spreadsheets/d/1fvo6H94Wcffp6c4N9g3JKCW6y2ZlijPxdOsNz7xdBhw/edit#gid=0"",""'Game 8'!J25"")+50,IMPORTRANGE(""https://docs.google.com/spreadsheets/d/1fvo6H94Wcffp6c4N9g3JKCW6y2ZlijPxdOsNz7xdBhw"&amp;"/edit#gid=0"",""'Game 8'!J25""))),IF(IMPORTRANGE(""https://docs.google.com/spreadsheets/d/1fvo6H94Wcffp6c4N9g3JKCW6y2ZlijPxdOsNz7xdBhw/edit#gid=0"",""'Game 8'!J25"")&gt;IMPORTRANGE(""https://docs.google.com/spreadsheets/d/1fvo6H94Wcffp6c4N9g3JKCW6y2ZlijPxdOs"&amp;"Nz7xdBhw/edit#gid=0"",""'Game 8'!S25""),IMPORTRANGE(""https://docs.google.com/spreadsheets/d/1fvo6H94Wcffp6c4N9g3JKCW6y2ZlijPxdOsNz7xdBhw/edit#gid=0"",""'Game 8'!S25""),IF(IMPORTRANGE(""https://docs.google.com/spreadsheets/d/1fvo6H94Wcffp6c4N9g3JKCW6y2Zli"&amp;"jPxdOsNz7xdBhw/edit#gid=0"",""'Game 8'!J25"")=IMPORTRANGE(""https://docs.google.com/spreadsheets/d/1fvo6H94Wcffp6c4N9g3JKCW6y2ZlijPxdOsNz7xdBhw/edit#gid=0"",""'Game 8'!S25""),IMPORTRANGE(""https://docs.google.com/spreadsheets/d/1fvo6H94Wcffp6c4N9g3JKCW6y2"&amp;"ZlijPxdOsNz7xdBhw/edit#gid=0"",""'Game 8'!S25"")+50,IMPORTRANGE(""https://docs.google.com/spreadsheets/d/1fvo6H94Wcffp6c4N9g3JKCW6y2ZlijPxdOsNz7xdBhw/edit#gid=0"",""'Game 8'!S25"")+100)))"),26.0)</f>
        <v>26</v>
      </c>
      <c r="O23" s="12">
        <f>IFERROR(__xludf.DUMMYFUNCTION("IF($A23=IMPORTRANGE(""https://docs.google.com/spreadsheets/d/1wfQePArl-A-5QJe5xAufoOnzeNLVSoHCRcmpZ_FMdns/edit#gid=0"",""'Game 10'!B1""),IF(IMPORTRANGE(""https://docs.google.com/spreadsheets/d/1wfQePArl-A-5QJe5xAufoOnzeNLVSoHCRcmpZ_FMdns/edit#gid=0"",""'G"&amp;"ame 10'!J25"")&gt;IMPORTRANGE(""https://docs.google.com/spreadsheets/d/1wfQePArl-A-5QJe5xAufoOnzeNLVSoHCRcmpZ_FMdns/edit#gid=0"",""'Game 10'!S25""),IMPORTRANGE(""https://docs.google.com/spreadsheets/d/1wfQePArl-A-5QJe5xAufoOnzeNLVSoHCRcmpZ_FMdns/edit#gid=0"""&amp;",""'Game 10'!J25"")+100,IF(IMPORTRANGE(""https://docs.google.com/spreadsheets/d/1wfQePArl-A-5QJe5xAufoOnzeNLVSoHCRcmpZ_FMdns/edit#gid=0"",""'Game 10'!J25"")=IMPORTRANGE(""https://docs.google.com/spreadsheets/d/1wfQePArl-A-5QJe5xAufoOnzeNLVSoHCRcmpZ_FMdns/"&amp;"edit#gid=0"",""'Game 10'!S25""),IMPORTRANGE(""https://docs.google.com/spreadsheets/d/1wfQePArl-A-5QJe5xAufoOnzeNLVSoHCRcmpZ_FMdns/edit#gid=0"",""'Game 10'!J25"")+50,IMPORTRANGE(""https://docs.google.com/spreadsheets/d/1wfQePArl-A-5QJe5xAufoOnzeNLVSoHCRcmp"&amp;"Z_FMdns/edit#gid=0"",""'Game 10'!J25""))),IF(IMPORTRANGE(""https://docs.google.com/spreadsheets/d/1wfQePArl-A-5QJe5xAufoOnzeNLVSoHCRcmpZ_FMdns/edit#gid=0"",""'Game 10'!J25"")&gt;IMPORTRANGE(""https://docs.google.com/spreadsheets/d/1wfQePArl-A-5QJe5xAufoOnzeN"&amp;"LVSoHCRcmpZ_FMdns/edit#gid=0"",""'Game 10'!S25""),IMPORTRANGE(""https://docs.google.com/spreadsheets/d/1wfQePArl-A-5QJe5xAufoOnzeNLVSoHCRcmpZ_FMdns/edit#gid=0"",""'Game 10'!S25""),IF(IMPORTRANGE(""https://docs.google.com/spreadsheets/d/1wfQePArl-A-5QJe5xA"&amp;"ufoOnzeNLVSoHCRcmpZ_FMdns/edit#gid=0"",""'Game 10'!J25"")=IMPORTRANGE(""https://docs.google.com/spreadsheets/d/1wfQePArl-A-5QJe5xAufoOnzeNLVSoHCRcmpZ_FMdns/edit#gid=0"",""'Game 10'!S25""),IMPORTRANGE(""https://docs.google.com/spreadsheets/d/1wfQePArl-A-5Q"&amp;"Je5xAufoOnzeNLVSoHCRcmpZ_FMdns/edit#gid=0"",""'Game 10'!S25"")+50,IMPORTRANGE(""https://docs.google.com/spreadsheets/d/1wfQePArl-A-5QJe5xAufoOnzeNLVSoHCRcmpZ_FMdns/edit#gid=0"",""'Game 10'!S25"")+100)))"),30.0)</f>
        <v>30</v>
      </c>
      <c r="P23" s="12">
        <f>IFERROR(__xludf.DUMMYFUNCTION("IF($A23=IMPORTRANGE(""https://docs.google.com/spreadsheets/d/1wydNznS0hZhVh3oGSdiCZSsReuqMT7Xaw718ix58zAI/edit#gid=0"",""'Game 8'!B1""),IF(IMPORTRANGE(""https://docs.google.com/spreadsheets/d/1wydNznS0hZhVh3oGSdiCZSsReuqMT7Xaw718ix58zAI/edit#gid=0"",""'Ga"&amp;"me 8'!J25"")&gt;IMPORTRANGE(""https://docs.google.com/spreadsheets/d/1wydNznS0hZhVh3oGSdiCZSsReuqMT7Xaw718ix58zAI/edit#gid=0"",""'Game 8'!S25""),IMPORTRANGE(""https://docs.google.com/spreadsheets/d/1wydNznS0hZhVh3oGSdiCZSsReuqMT7Xaw718ix58zAI/edit#gid=0"","""&amp;"'Game 8'!J25"")+100,IF(IMPORTRANGE(""https://docs.google.com/spreadsheets/d/1wydNznS0hZhVh3oGSdiCZSsReuqMT7Xaw718ix58zAI/edit#gid=0"",""'Game 8'!J25"")=IMPORTRANGE(""https://docs.google.com/spreadsheets/d/1wydNznS0hZhVh3oGSdiCZSsReuqMT7Xaw718ix58zAI/edit#"&amp;"gid=0"",""'Game 8'!S25""),IMPORTRANGE(""https://docs.google.com/spreadsheets/d/1wydNznS0hZhVh3oGSdiCZSsReuqMT7Xaw718ix58zAI/edit#gid=0"",""'Game 8'!J25"")+50,IMPORTRANGE(""https://docs.google.com/spreadsheets/d/1wydNznS0hZhVh3oGSdiCZSsReuqMT7Xaw718ix58zAI"&amp;"/edit#gid=0"",""'Game 8'!J25""))),IF(IMPORTRANGE(""https://docs.google.com/spreadsheets/d/1wydNznS0hZhVh3oGSdiCZSsReuqMT7Xaw718ix58zAI/edit#gid=0"",""'Game 8'!J25"")&gt;IMPORTRANGE(""https://docs.google.com/spreadsheets/d/1wydNznS0hZhVh3oGSdiCZSsReuqMT7Xaw71"&amp;"8ix58zAI/edit#gid=0"",""'Game 8'!S25""),IMPORTRANGE(""https://docs.google.com/spreadsheets/d/1wydNznS0hZhVh3oGSdiCZSsReuqMT7Xaw718ix58zAI/edit#gid=0"",""'Game 8'!S25""),IF(IMPORTRANGE(""https://docs.google.com/spreadsheets/d/1wydNznS0hZhVh3oGSdiCZSsReuqMT"&amp;"7Xaw718ix58zAI/edit#gid=0"",""'Game 8'!J25"")=IMPORTRANGE(""https://docs.google.com/spreadsheets/d/1wydNznS0hZhVh3oGSdiCZSsReuqMT7Xaw718ix58zAI/edit#gid=0"",""'Game 8'!S25""),IMPORTRANGE(""https://docs.google.com/spreadsheets/d/1wydNznS0hZhVh3oGSdiCZSsReu"&amp;"qMT7Xaw718ix58zAI/edit#gid=0"",""'Game 8'!S25"")+50,IMPORTRANGE(""https://docs.google.com/spreadsheets/d/1wydNznS0hZhVh3oGSdiCZSsReuqMT7Xaw718ix58zAI/edit#gid=0"",""'Game 8'!S25"")+100)))"),30.0)</f>
        <v>30</v>
      </c>
      <c r="Q23" s="37">
        <f t="shared" si="1"/>
        <v>420</v>
      </c>
      <c r="R23" s="37">
        <f t="shared" si="2"/>
        <v>23</v>
      </c>
    </row>
    <row r="24">
      <c r="A24" s="33" t="s">
        <v>299</v>
      </c>
      <c r="B24" s="34">
        <v>164.0</v>
      </c>
      <c r="C24" s="34">
        <v>28.0</v>
      </c>
      <c r="D24" s="34">
        <v>44.0</v>
      </c>
      <c r="E24" s="34">
        <v>184.0</v>
      </c>
      <c r="F24" s="34">
        <v>180.0</v>
      </c>
      <c r="G24" s="5">
        <f>IFERROR(__xludf.DUMMYFUNCTION("IF($A24=IMPORTRANGE(""https://docs.google.com/spreadsheets/d/19gjAD4NwTXl_QoKUuwHQ1cWG_S2BOW94pDcyFtPwheg/edit#gid=0"",""'Game 9'!B1""),IF(IMPORTRANGE(""https://docs.google.com/spreadsheets/d/19gjAD4NwTXl_QoKUuwHQ1cWG_S2BOW94pDcyFtPwheg/edit#gid=0"",""'Ga"&amp;"me 9'!J25"")&gt;IMPORTRANGE(""https://docs.google.com/spreadsheets/d/19gjAD4NwTXl_QoKUuwHQ1cWG_S2BOW94pDcyFtPwheg/edit#gid=0"",""'Game 9'!S25""),IMPORTRANGE(""https://docs.google.com/spreadsheets/d/19gjAD4NwTXl_QoKUuwHQ1cWG_S2BOW94pDcyFtPwheg/edit#gid=0"","""&amp;"'Game 9'!J25"")+100,IF(IMPORTRANGE(""https://docs.google.com/spreadsheets/d/19gjAD4NwTXl_QoKUuwHQ1cWG_S2BOW94pDcyFtPwheg/edit#gid=0"",""'Game 9'!J25"")=IMPORTRANGE(""https://docs.google.com/spreadsheets/d/19gjAD4NwTXl_QoKUuwHQ1cWG_S2BOW94pDcyFtPwheg/edit#"&amp;"gid=0"",""'Game 9'!S25""),IMPORTRANGE(""https://docs.google.com/spreadsheets/d/19gjAD4NwTXl_QoKUuwHQ1cWG_S2BOW94pDcyFtPwheg/edit#gid=0"",""'Game 9'!J25"")+50,IMPORTRANGE(""https://docs.google.com/spreadsheets/d/19gjAD4NwTXl_QoKUuwHQ1cWG_S2BOW94pDcyFtPwheg"&amp;"/edit#gid=0"",""'Game 9'!J25""))),IF(IMPORTRANGE(""https://docs.google.com/spreadsheets/d/19gjAD4NwTXl_QoKUuwHQ1cWG_S2BOW94pDcyFtPwheg/edit#gid=0"",""'Game 9'!J25"")&gt;IMPORTRANGE(""https://docs.google.com/spreadsheets/d/19gjAD4NwTXl_QoKUuwHQ1cWG_S2BOW94pDc"&amp;"yFtPwheg/edit#gid=0"",""'Game 9'!S25""),IMPORTRANGE(""https://docs.google.com/spreadsheets/d/19gjAD4NwTXl_QoKUuwHQ1cWG_S2BOW94pDcyFtPwheg/edit#gid=0"",""'Game 9'!S25""),IF(IMPORTRANGE(""https://docs.google.com/spreadsheets/d/19gjAD4NwTXl_QoKUuwHQ1cWG_S2BO"&amp;"W94pDcyFtPwheg/edit#gid=0"",""'Game 9'!J25"")=IMPORTRANGE(""https://docs.google.com/spreadsheets/d/19gjAD4NwTXl_QoKUuwHQ1cWG_S2BOW94pDcyFtPwheg/edit#gid=0"",""'Game 9'!S25""),IMPORTRANGE(""https://docs.google.com/spreadsheets/d/19gjAD4NwTXl_QoKUuwHQ1cWG_S"&amp;"2BOW94pDcyFtPwheg/edit#gid=0"",""'Game 9'!S25"")+50,IMPORTRANGE(""https://docs.google.com/spreadsheets/d/19gjAD4NwTXl_QoKUuwHQ1cWG_S2BOW94pDcyFtPwheg/edit#gid=0"",""'Game 9'!S25"")+100)))"),64.0)</f>
        <v>64</v>
      </c>
      <c r="H24" s="5">
        <f>IFERROR(__xludf.DUMMYFUNCTION("IF($A24=IMPORTRANGE(""https://docs.google.com/spreadsheets/d/1l83w8bH-F1czkFOqsgQy6o8O33Jb4Pfg40W0ou2nk0k/edit#gid=0"",""'Game 6'!B1""),IF(IMPORTRANGE(""https://docs.google.com/spreadsheets/d/1l83w8bH-F1czkFOqsgQy6o8O33Jb4Pfg40W0ou2nk0k/edit#gid=0"",""'Ga"&amp;"me 6'!J25"")&gt;IMPORTRANGE(""https://docs.google.com/spreadsheets/d/1l83w8bH-F1czkFOqsgQy6o8O33Jb4Pfg40W0ou2nk0k/edit#gid=0"",""'Game 6'!S25""),IMPORTRANGE(""https://docs.google.com/spreadsheets/d/1l83w8bH-F1czkFOqsgQy6o8O33Jb4Pfg40W0ou2nk0k/edit#gid=0"","""&amp;"'Game 6'!J25"")+100,IF(IMPORTRANGE(""https://docs.google.com/spreadsheets/d/1l83w8bH-F1czkFOqsgQy6o8O33Jb4Pfg40W0ou2nk0k/edit#gid=0"",""'Game 6'!J25"")=IMPORTRANGE(""https://docs.google.com/spreadsheets/d/1l83w8bH-F1czkFOqsgQy6o8O33Jb4Pfg40W0ou2nk0k/edit#"&amp;"gid=0"",""'Game 6'!S25""),IMPORTRANGE(""https://docs.google.com/spreadsheets/d/1l83w8bH-F1czkFOqsgQy6o8O33Jb4Pfg40W0ou2nk0k/edit#gid=0"",""'Game 6'!J25"")+50,IMPORTRANGE(""https://docs.google.com/spreadsheets/d/1l83w8bH-F1czkFOqsgQy6o8O33Jb4Pfg40W0ou2nk0k"&amp;"/edit#gid=0"",""'Game 6'!J25""))),IF(IMPORTRANGE(""https://docs.google.com/spreadsheets/d/1l83w8bH-F1czkFOqsgQy6o8O33Jb4Pfg40W0ou2nk0k/edit#gid=0"",""'Game 6'!J25"")&gt;IMPORTRANGE(""https://docs.google.com/spreadsheets/d/1l83w8bH-F1czkFOqsgQy6o8O33Jb4Pfg40W"&amp;"0ou2nk0k/edit#gid=0"",""'Game 6'!S25""),IMPORTRANGE(""https://docs.google.com/spreadsheets/d/1l83w8bH-F1czkFOqsgQy6o8O33Jb4Pfg40W0ou2nk0k/edit#gid=0"",""'Game 6'!S25""),IF(IMPORTRANGE(""https://docs.google.com/spreadsheets/d/1l83w8bH-F1czkFOqsgQy6o8O33Jb4"&amp;"Pfg40W0ou2nk0k/edit#gid=0"",""'Game 6'!J25"")=IMPORTRANGE(""https://docs.google.com/spreadsheets/d/1l83w8bH-F1czkFOqsgQy6o8O33Jb4Pfg40W0ou2nk0k/edit#gid=0"",""'Game 6'!S25""),IMPORTRANGE(""https://docs.google.com/spreadsheets/d/1l83w8bH-F1czkFOqsgQy6o8O33"&amp;"Jb4Pfg40W0ou2nk0k/edit#gid=0"",""'Game 6'!S25"")+50,IMPORTRANGE(""https://docs.google.com/spreadsheets/d/1l83w8bH-F1czkFOqsgQy6o8O33Jb4Pfg40W0ou2nk0k/edit#gid=0"",""'Game 6'!S25"")+100)))"),54.0)</f>
        <v>54</v>
      </c>
      <c r="I24" s="5">
        <f>IFERROR(__xludf.DUMMYFUNCTION("IF($A24=IMPORTRANGE(""https://docs.google.com/spreadsheets/d/15X-ub7GvrCQZ3UGgyogcjwYdxG-Ng8WHxzGSj1Z3eLw/edit#gid=0"",""'Game 4'!B1""),IF(IMPORTRANGE(""https://docs.google.com/spreadsheets/d/15X-ub7GvrCQZ3UGgyogcjwYdxG-Ng8WHxzGSj1Z3eLw/edit#gid=0"",""'Ga"&amp;"me 4'!J25"")&gt;IMPORTRANGE(""https://docs.google.com/spreadsheets/d/15X-ub7GvrCQZ3UGgyogcjwYdxG-Ng8WHxzGSj1Z3eLw/edit#gid=0"",""'Game 4'!S25""),IMPORTRANGE(""https://docs.google.com/spreadsheets/d/15X-ub7GvrCQZ3UGgyogcjwYdxG-Ng8WHxzGSj1Z3eLw/edit#gid=0"","""&amp;"'Game 4'!J25"")+100,IF(IMPORTRANGE(""https://docs.google.com/spreadsheets/d/15X-ub7GvrCQZ3UGgyogcjwYdxG-Ng8WHxzGSj1Z3eLw/edit#gid=0"",""'Game 4'!J25"")=IMPORTRANGE(""https://docs.google.com/spreadsheets/d/15X-ub7GvrCQZ3UGgyogcjwYdxG-Ng8WHxzGSj1Z3eLw/edit#"&amp;"gid=0"",""'Game 4'!S25""),IMPORTRANGE(""https://docs.google.com/spreadsheets/d/15X-ub7GvrCQZ3UGgyogcjwYdxG-Ng8WHxzGSj1Z3eLw/edit#gid=0"",""'Game 4'!J25"")+50,IMPORTRANGE(""https://docs.google.com/spreadsheets/d/15X-ub7GvrCQZ3UGgyogcjwYdxG-Ng8WHxzGSj1Z3eLw"&amp;"/edit#gid=0"",""'Game 4'!J25""))),IF(IMPORTRANGE(""https://docs.google.com/spreadsheets/d/15X-ub7GvrCQZ3UGgyogcjwYdxG-Ng8WHxzGSj1Z3eLw/edit#gid=0"",""'Game 4'!J25"")&gt;IMPORTRANGE(""https://docs.google.com/spreadsheets/d/15X-ub7GvrCQZ3UGgyogcjwYdxG-Ng8WHxzG"&amp;"Sj1Z3eLw/edit#gid=0"",""'Game 4'!S25""),IMPORTRANGE(""https://docs.google.com/spreadsheets/d/15X-ub7GvrCQZ3UGgyogcjwYdxG-Ng8WHxzGSj1Z3eLw/edit#gid=0"",""'Game 4'!S25""),IF(IMPORTRANGE(""https://docs.google.com/spreadsheets/d/15X-ub7GvrCQZ3UGgyogcjwYdxG-Ng"&amp;"8WHxzGSj1Z3eLw/edit#gid=0"",""'Game 4'!J25"")=IMPORTRANGE(""https://docs.google.com/spreadsheets/d/15X-ub7GvrCQZ3UGgyogcjwYdxG-Ng8WHxzGSj1Z3eLw/edit#gid=0"",""'Game 4'!S25""),IMPORTRANGE(""https://docs.google.com/spreadsheets/d/15X-ub7GvrCQZ3UGgyogcjwYdxG"&amp;"-Ng8WHxzGSj1Z3eLw/edit#gid=0"",""'Game 4'!S25"")+50,IMPORTRANGE(""https://docs.google.com/spreadsheets/d/15X-ub7GvrCQZ3UGgyogcjwYdxG-Ng8WHxzGSj1Z3eLw/edit#gid=0"",""'Game 4'!S25"")+100)))"),176.0)</f>
        <v>176</v>
      </c>
      <c r="J24" s="5">
        <f>IFERROR(__xludf.DUMMYFUNCTION("IF($A24=IMPORTRANGE(""https://docs.google.com/spreadsheets/d/194Bw3ABslPPhOOPvVoMzIk8sOQFICWBu2pydWdYMD-w/edit#gid=0"",""'Game 1'!B1""),IF(IMPORTRANGE(""https://docs.google.com/spreadsheets/d/194Bw3ABslPPhOOPvVoMzIk8sOQFICWBu2pydWdYMD-w/edit#gid=0"",""'Ga"&amp;"me 1'!J25"")&gt;IMPORTRANGE(""https://docs.google.com/spreadsheets/d/194Bw3ABslPPhOOPvVoMzIk8sOQFICWBu2pydWdYMD-w/edit#gid=0"",""'Game 1'!S25""),IMPORTRANGE(""https://docs.google.com/spreadsheets/d/194Bw3ABslPPhOOPvVoMzIk8sOQFICWBu2pydWdYMD-w/edit#gid=0"","""&amp;"'Game 1'!J25"")+100,IF(IMPORTRANGE(""https://docs.google.com/spreadsheets/d/194Bw3ABslPPhOOPvVoMzIk8sOQFICWBu2pydWdYMD-w/edit#gid=0"",""'Game 1'!J25"")=IMPORTRANGE(""https://docs.google.com/spreadsheets/d/194Bw3ABslPPhOOPvVoMzIk8sOQFICWBu2pydWdYMD-w/edit#"&amp;"gid=0"",""'Game 1'!S25""),IMPORTRANGE(""https://docs.google.com/spreadsheets/d/194Bw3ABslPPhOOPvVoMzIk8sOQFICWBu2pydWdYMD-w/edit#gid=0"",""'Game 1'!J25"")+50,IMPORTRANGE(""https://docs.google.com/spreadsheets/d/194Bw3ABslPPhOOPvVoMzIk8sOQFICWBu2pydWdYMD-w"&amp;"/edit#gid=0"",""'Game 1'!J25""))),IF(IMPORTRANGE(""https://docs.google.com/spreadsheets/d/194Bw3ABslPPhOOPvVoMzIk8sOQFICWBu2pydWdYMD-w/edit#gid=0"",""'Game 1'!J25"")&gt;IMPORTRANGE(""https://docs.google.com/spreadsheets/d/194Bw3ABslPPhOOPvVoMzIk8sOQFICWBu2py"&amp;"dWdYMD-w/edit#gid=0"",""'Game 1'!S25""),IMPORTRANGE(""https://docs.google.com/spreadsheets/d/194Bw3ABslPPhOOPvVoMzIk8sOQFICWBu2pydWdYMD-w/edit#gid=0"",""'Game 1'!S25""),IF(IMPORTRANGE(""https://docs.google.com/spreadsheets/d/194Bw3ABslPPhOOPvVoMzIk8sOQFIC"&amp;"WBu2pydWdYMD-w/edit#gid=0"",""'Game 1'!J25"")=IMPORTRANGE(""https://docs.google.com/spreadsheets/d/194Bw3ABslPPhOOPvVoMzIk8sOQFICWBu2pydWdYMD-w/edit#gid=0"",""'Game 1'!S25""),IMPORTRANGE(""https://docs.google.com/spreadsheets/d/194Bw3ABslPPhOOPvVoMzIk8sOQ"&amp;"FICWBu2pydWdYMD-w/edit#gid=0"",""'Game 1'!S25"")+50,IMPORTRANGE(""https://docs.google.com/spreadsheets/d/194Bw3ABslPPhOOPvVoMzIk8sOQFICWBu2pydWdYMD-w/edit#gid=0"",""'Game 1'!S25"")+100)))"),50.0)</f>
        <v>50</v>
      </c>
      <c r="K24" s="5">
        <f>IFERROR(__xludf.DUMMYFUNCTION("IF($A24=IMPORTRANGE(""https://docs.google.com/spreadsheets/d/1F2Bi6K_I1K9xRxY5qb-bNRo5m-Kw7udpF1OaTHhrxjs/edit#gid=0"",""'Game 9'!B1""),IF(IMPORTRANGE(""https://docs.google.com/spreadsheets/d/1F2Bi6K_I1K9xRxY5qb-bNRo5m-Kw7udpF1OaTHhrxjs/edit#gid=0"",""'Ga"&amp;"me 9'!J25"")&gt;IMPORTRANGE(""https://docs.google.com/spreadsheets/d/1F2Bi6K_I1K9xRxY5qb-bNRo5m-Kw7udpF1OaTHhrxjs/edit#gid=0"",""'Game 9'!S25""),IMPORTRANGE(""https://docs.google.com/spreadsheets/d/1F2Bi6K_I1K9xRxY5qb-bNRo5m-Kw7udpF1OaTHhrxjs/edit#gid=0"","""&amp;"'Game 9'!J25"")+100,IF(IMPORTRANGE(""https://docs.google.com/spreadsheets/d/1F2Bi6K_I1K9xRxY5qb-bNRo5m-Kw7udpF1OaTHhrxjs/edit#gid=0"",""'Game 9'!J25"")=IMPORTRANGE(""https://docs.google.com/spreadsheets/d/1F2Bi6K_I1K9xRxY5qb-bNRo5m-Kw7udpF1OaTHhrxjs/edit#"&amp;"gid=0"",""'Game 9'!S25""),IMPORTRANGE(""https://docs.google.com/spreadsheets/d/1F2Bi6K_I1K9xRxY5qb-bNRo5m-Kw7udpF1OaTHhrxjs/edit#gid=0"",""'Game 9'!J25"")+50,IMPORTRANGE(""https://docs.google.com/spreadsheets/d/1F2Bi6K_I1K9xRxY5qb-bNRo5m-Kw7udpF1OaTHhrxjs"&amp;"/edit#gid=0"",""'Game 9'!J25""))),IF(IMPORTRANGE(""https://docs.google.com/spreadsheets/d/1F2Bi6K_I1K9xRxY5qb-bNRo5m-Kw7udpF1OaTHhrxjs/edit#gid=0"",""'Game 9'!J25"")&gt;IMPORTRANGE(""https://docs.google.com/spreadsheets/d/1F2Bi6K_I1K9xRxY5qb-bNRo5m-Kw7udpF1O"&amp;"aTHhrxjs/edit#gid=0"",""'Game 9'!S25""),IMPORTRANGE(""https://docs.google.com/spreadsheets/d/1F2Bi6K_I1K9xRxY5qb-bNRo5m-Kw7udpF1OaTHhrxjs/edit#gid=0"",""'Game 9'!S25""),IF(IMPORTRANGE(""https://docs.google.com/spreadsheets/d/1F2Bi6K_I1K9xRxY5qb-bNRo5m-Kw7"&amp;"udpF1OaTHhrxjs/edit#gid=0"",""'Game 9'!J25"")=IMPORTRANGE(""https://docs.google.com/spreadsheets/d/1F2Bi6K_I1K9xRxY5qb-bNRo5m-Kw7udpF1OaTHhrxjs/edit#gid=0"",""'Game 9'!S25""),IMPORTRANGE(""https://docs.google.com/spreadsheets/d/1F2Bi6K_I1K9xRxY5qb-bNRo5m-"&amp;"Kw7udpF1OaTHhrxjs/edit#gid=0"",""'Game 9'!S25"")+50,IMPORTRANGE(""https://docs.google.com/spreadsheets/d/1F2Bi6K_I1K9xRxY5qb-bNRo5m-Kw7udpF1OaTHhrxjs/edit#gid=0"",""'Game 9'!S25"")+100)))"),62.0)</f>
        <v>62</v>
      </c>
      <c r="L24" s="5">
        <f>IFERROR(__xludf.DUMMYFUNCTION("IF($A24=IMPORTRANGE(""https://docs.google.com/spreadsheets/d/1NDNgi_Ny4dRhc2A3UMIIkalN-V6EmsvxOfDzMRQlQ40/edit#gid=0"",""'Game 9'!B1""),IF(IMPORTRANGE(""https://docs.google.com/spreadsheets/d/1NDNgi_Ny4dRhc2A3UMIIkalN-V6EmsvxOfDzMRQlQ40/edit#gid=0"",""'Ga"&amp;"me 9'!J25"")&gt;IMPORTRANGE(""https://docs.google.com/spreadsheets/d/1NDNgi_Ny4dRhc2A3UMIIkalN-V6EmsvxOfDzMRQlQ40/edit#gid=0"",""'Game 9'!S25""),IMPORTRANGE(""https://docs.google.com/spreadsheets/d/1NDNgi_Ny4dRhc2A3UMIIkalN-V6EmsvxOfDzMRQlQ40/edit#gid=0"","""&amp;"'Game 9'!J25"")+100,IF(IMPORTRANGE(""https://docs.google.com/spreadsheets/d/1NDNgi_Ny4dRhc2A3UMIIkalN-V6EmsvxOfDzMRQlQ40/edit#gid=0"",""'Game 9'!J25"")=IMPORTRANGE(""https://docs.google.com/spreadsheets/d/1NDNgi_Ny4dRhc2A3UMIIkalN-V6EmsvxOfDzMRQlQ40/edit#"&amp;"gid=0"",""'Game 9'!S25""),IMPORTRANGE(""https://docs.google.com/spreadsheets/d/1NDNgi_Ny4dRhc2A3UMIIkalN-V6EmsvxOfDzMRQlQ40/edit#gid=0"",""'Game 9'!J25"")+50,IMPORTRANGE(""https://docs.google.com/spreadsheets/d/1NDNgi_Ny4dRhc2A3UMIIkalN-V6EmsvxOfDzMRQlQ40"&amp;"/edit#gid=0"",""'Game 9'!J25""))),IF(IMPORTRANGE(""https://docs.google.com/spreadsheets/d/1NDNgi_Ny4dRhc2A3UMIIkalN-V6EmsvxOfDzMRQlQ40/edit#gid=0"",""'Game 9'!J25"")&gt;IMPORTRANGE(""https://docs.google.com/spreadsheets/d/1NDNgi_Ny4dRhc2A3UMIIkalN-V6EmsvxOfD"&amp;"zMRQlQ40/edit#gid=0"",""'Game 9'!S25""),IMPORTRANGE(""https://docs.google.com/spreadsheets/d/1NDNgi_Ny4dRhc2A3UMIIkalN-V6EmsvxOfDzMRQlQ40/edit#gid=0"",""'Game 9'!S25""),IF(IMPORTRANGE(""https://docs.google.com/spreadsheets/d/1NDNgi_Ny4dRhc2A3UMIIkalN-V6Em"&amp;"svxOfDzMRQlQ40/edit#gid=0"",""'Game 9'!J25"")=IMPORTRANGE(""https://docs.google.com/spreadsheets/d/1NDNgi_Ny4dRhc2A3UMIIkalN-V6EmsvxOfDzMRQlQ40/edit#gid=0"",""'Game 9'!S25""),IMPORTRANGE(""https://docs.google.com/spreadsheets/d/1NDNgi_Ny4dRhc2A3UMIIkalN-V"&amp;"6EmsvxOfDzMRQlQ40/edit#gid=0"",""'Game 9'!S25"")+50,IMPORTRANGE(""https://docs.google.com/spreadsheets/d/1NDNgi_Ny4dRhc2A3UMIIkalN-V6EmsvxOfDzMRQlQ40/edit#gid=0"",""'Game 9'!S25"")+100)))"),186.0)</f>
        <v>186</v>
      </c>
      <c r="M24" s="5">
        <f>IFERROR(__xludf.DUMMYFUNCTION("IF($A24=IMPORTRANGE(""https://docs.google.com/spreadsheets/d/1UDYA3-RrkJNLa2ZLH1NnUjKyfCoiSODmgVL_Au_zt-Y/edit#gid=0"",""'Game 8'!B1""),IF(IMPORTRANGE(""https://docs.google.com/spreadsheets/d/1UDYA3-RrkJNLa2ZLH1NnUjKyfCoiSODmgVL_Au_zt-Y/edit#gid=0"",""'Ga"&amp;"me 8'!J25"")&gt;IMPORTRANGE(""https://docs.google.com/spreadsheets/d/1UDYA3-RrkJNLa2ZLH1NnUjKyfCoiSODmgVL_Au_zt-Y/edit#gid=0"",""'Game 8'!S25""),IMPORTRANGE(""https://docs.google.com/spreadsheets/d/1UDYA3-RrkJNLa2ZLH1NnUjKyfCoiSODmgVL_Au_zt-Y/edit#gid=0"","""&amp;"'Game 8'!J25"")+100,IF(IMPORTRANGE(""https://docs.google.com/spreadsheets/d/1UDYA3-RrkJNLa2ZLH1NnUjKyfCoiSODmgVL_Au_zt-Y/edit#gid=0"",""'Game 8'!J25"")=IMPORTRANGE(""https://docs.google.com/spreadsheets/d/1UDYA3-RrkJNLa2ZLH1NnUjKyfCoiSODmgVL_Au_zt-Y/edit#"&amp;"gid=0"",""'Game 8'!S25""),IMPORTRANGE(""https://docs.google.com/spreadsheets/d/1UDYA3-RrkJNLa2ZLH1NnUjKyfCoiSODmgVL_Au_zt-Y/edit#gid=0"",""'Game 8'!J25"")+50,IMPORTRANGE(""https://docs.google.com/spreadsheets/d/1UDYA3-RrkJNLa2ZLH1NnUjKyfCoiSODmgVL_Au_zt-Y"&amp;"/edit#gid=0"",""'Game 8'!J25""))),IF(IMPORTRANGE(""https://docs.google.com/spreadsheets/d/1UDYA3-RrkJNLa2ZLH1NnUjKyfCoiSODmgVL_Au_zt-Y/edit#gid=0"",""'Game 8'!J25"")&gt;IMPORTRANGE(""https://docs.google.com/spreadsheets/d/1UDYA3-RrkJNLa2ZLH1NnUjKyfCoiSODmgVL"&amp;"_Au_zt-Y/edit#gid=0"",""'Game 8'!S25""),IMPORTRANGE(""https://docs.google.com/spreadsheets/d/1UDYA3-RrkJNLa2ZLH1NnUjKyfCoiSODmgVL_Au_zt-Y/edit#gid=0"",""'Game 8'!S25""),IF(IMPORTRANGE(""https://docs.google.com/spreadsheets/d/1UDYA3-RrkJNLa2ZLH1NnUjKyfCoiS"&amp;"ODmgVL_Au_zt-Y/edit#gid=0"",""'Game 8'!J25"")=IMPORTRANGE(""https://docs.google.com/spreadsheets/d/1UDYA3-RrkJNLa2ZLH1NnUjKyfCoiSODmgVL_Au_zt-Y/edit#gid=0"",""'Game 8'!S25""),IMPORTRANGE(""https://docs.google.com/spreadsheets/d/1UDYA3-RrkJNLa2ZLH1NnUjKyfC"&amp;"oiSODmgVL_Au_zt-Y/edit#gid=0"",""'Game 8'!S25"")+50,IMPORTRANGE(""https://docs.google.com/spreadsheets/d/1UDYA3-RrkJNLa2ZLH1NnUjKyfCoiSODmgVL_Au_zt-Y/edit#gid=0"",""'Game 8'!S25"")+100)))"),40.0)</f>
        <v>40</v>
      </c>
      <c r="N24" s="5">
        <f>IFERROR(__xludf.DUMMYFUNCTION("IF($A24=IMPORTRANGE(""https://docs.google.com/spreadsheets/d/1fvo6H94Wcffp6c4N9g3JKCW6y2ZlijPxdOsNz7xdBhw/edit#gid=0"",""'Game 8'!B1""),IF(IMPORTRANGE(""https://docs.google.com/spreadsheets/d/1fvo6H94Wcffp6c4N9g3JKCW6y2ZlijPxdOsNz7xdBhw/edit#gid=0"",""'Ga"&amp;"me 8'!J25"")&gt;IMPORTRANGE(""https://docs.google.com/spreadsheets/d/1fvo6H94Wcffp6c4N9g3JKCW6y2ZlijPxdOsNz7xdBhw/edit#gid=0"",""'Game 8'!S25""),IMPORTRANGE(""https://docs.google.com/spreadsheets/d/1fvo6H94Wcffp6c4N9g3JKCW6y2ZlijPxdOsNz7xdBhw/edit#gid=0"","""&amp;"'Game 8'!J25"")+100,IF(IMPORTRANGE(""https://docs.google.com/spreadsheets/d/1fvo6H94Wcffp6c4N9g3JKCW6y2ZlijPxdOsNz7xdBhw/edit#gid=0"",""'Game 8'!J25"")=IMPORTRANGE(""https://docs.google.com/spreadsheets/d/1fvo6H94Wcffp6c4N9g3JKCW6y2ZlijPxdOsNz7xdBhw/edit#"&amp;"gid=0"",""'Game 8'!S25""),IMPORTRANGE(""https://docs.google.com/spreadsheets/d/1fvo6H94Wcffp6c4N9g3JKCW6y2ZlijPxdOsNz7xdBhw/edit#gid=0"",""'Game 8'!J25"")+50,IMPORTRANGE(""https://docs.google.com/spreadsheets/d/1fvo6H94Wcffp6c4N9g3JKCW6y2ZlijPxdOsNz7xdBhw"&amp;"/edit#gid=0"",""'Game 8'!J25""))),IF(IMPORTRANGE(""https://docs.google.com/spreadsheets/d/1fvo6H94Wcffp6c4N9g3JKCW6y2ZlijPxdOsNz7xdBhw/edit#gid=0"",""'Game 8'!J25"")&gt;IMPORTRANGE(""https://docs.google.com/spreadsheets/d/1fvo6H94Wcffp6c4N9g3JKCW6y2ZlijPxdOs"&amp;"Nz7xdBhw/edit#gid=0"",""'Game 8'!S25""),IMPORTRANGE(""https://docs.google.com/spreadsheets/d/1fvo6H94Wcffp6c4N9g3JKCW6y2ZlijPxdOsNz7xdBhw/edit#gid=0"",""'Game 8'!S25""),IF(IMPORTRANGE(""https://docs.google.com/spreadsheets/d/1fvo6H94Wcffp6c4N9g3JKCW6y2Zli"&amp;"jPxdOsNz7xdBhw/edit#gid=0"",""'Game 8'!J25"")=IMPORTRANGE(""https://docs.google.com/spreadsheets/d/1fvo6H94Wcffp6c4N9g3JKCW6y2ZlijPxdOsNz7xdBhw/edit#gid=0"",""'Game 8'!S25""),IMPORTRANGE(""https://docs.google.com/spreadsheets/d/1fvo6H94Wcffp6c4N9g3JKCW6y2"&amp;"ZlijPxdOsNz7xdBhw/edit#gid=0"",""'Game 8'!S25"")+50,IMPORTRANGE(""https://docs.google.com/spreadsheets/d/1fvo6H94Wcffp6c4N9g3JKCW6y2ZlijPxdOsNz7xdBhw/edit#gid=0"",""'Game 8'!S25"")+100)))"),172.0)</f>
        <v>172</v>
      </c>
      <c r="O24" s="5">
        <f>IFERROR(__xludf.DUMMYFUNCTION("IF($A24=IMPORTRANGE(""https://docs.google.com/spreadsheets/d/1wfQePArl-A-5QJe5xAufoOnzeNLVSoHCRcmpZ_FMdns/edit#gid=0"",""'Game 4'!B1""),IF(IMPORTRANGE(""https://docs.google.com/spreadsheets/d/1wfQePArl-A-5QJe5xAufoOnzeNLVSoHCRcmpZ_FMdns/edit#gid=0"",""'Ga"&amp;"me 4'!J25"")&gt;IMPORTRANGE(""https://docs.google.com/spreadsheets/d/1wfQePArl-A-5QJe5xAufoOnzeNLVSoHCRcmpZ_FMdns/edit#gid=0"",""'Game 4'!S25""),IMPORTRANGE(""https://docs.google.com/spreadsheets/d/1wfQePArl-A-5QJe5xAufoOnzeNLVSoHCRcmpZ_FMdns/edit#gid=0"","""&amp;"'Game 4'!J25"")+100,IF(IMPORTRANGE(""https://docs.google.com/spreadsheets/d/1wfQePArl-A-5QJe5xAufoOnzeNLVSoHCRcmpZ_FMdns/edit#gid=0"",""'Game 4'!J25"")=IMPORTRANGE(""https://docs.google.com/spreadsheets/d/1wfQePArl-A-5QJe5xAufoOnzeNLVSoHCRcmpZ_FMdns/edit#"&amp;"gid=0"",""'Game 4'!S25""),IMPORTRANGE(""https://docs.google.com/spreadsheets/d/1wfQePArl-A-5QJe5xAufoOnzeNLVSoHCRcmpZ_FMdns/edit#gid=0"",""'Game 4'!J25"")+50,IMPORTRANGE(""https://docs.google.com/spreadsheets/d/1wfQePArl-A-5QJe5xAufoOnzeNLVSoHCRcmpZ_FMdns"&amp;"/edit#gid=0"",""'Game 4'!J25""))),IF(IMPORTRANGE(""https://docs.google.com/spreadsheets/d/1wfQePArl-A-5QJe5xAufoOnzeNLVSoHCRcmpZ_FMdns/edit#gid=0"",""'Game 4'!J25"")&gt;IMPORTRANGE(""https://docs.google.com/spreadsheets/d/1wfQePArl-A-5QJe5xAufoOnzeNLVSoHCRcm"&amp;"pZ_FMdns/edit#gid=0"",""'Game 4'!S25""),IMPORTRANGE(""https://docs.google.com/spreadsheets/d/1wfQePArl-A-5QJe5xAufoOnzeNLVSoHCRcmpZ_FMdns/edit#gid=0"",""'Game 4'!S25""),IF(IMPORTRANGE(""https://docs.google.com/spreadsheets/d/1wfQePArl-A-5QJe5xAufoOnzeNLVS"&amp;"oHCRcmpZ_FMdns/edit#gid=0"",""'Game 4'!J25"")=IMPORTRANGE(""https://docs.google.com/spreadsheets/d/1wfQePArl-A-5QJe5xAufoOnzeNLVSoHCRcmpZ_FMdns/edit#gid=0"",""'Game 4'!S25""),IMPORTRANGE(""https://docs.google.com/spreadsheets/d/1wfQePArl-A-5QJe5xAufoOnzeN"&amp;"LVSoHCRcmpZ_FMdns/edit#gid=0"",""'Game 4'!S25"")+50,IMPORTRANGE(""https://docs.google.com/spreadsheets/d/1wfQePArl-A-5QJe5xAufoOnzeNLVSoHCRcmpZ_FMdns/edit#gid=0"",""'Game 4'!S25"")+100)))"),182.0)</f>
        <v>182</v>
      </c>
      <c r="P24" s="5">
        <f>IFERROR(__xludf.DUMMYFUNCTION("IF($A24=IMPORTRANGE(""https://docs.google.com/spreadsheets/d/1wydNznS0hZhVh3oGSdiCZSsReuqMT7Xaw718ix58zAI/edit#gid=0"",""'Game 9'!B1""),IF(IMPORTRANGE(""https://docs.google.com/spreadsheets/d/1wydNznS0hZhVh3oGSdiCZSsReuqMT7Xaw718ix58zAI/edit#gid=0"",""'Ga"&amp;"me 9'!J25"")&gt;IMPORTRANGE(""https://docs.google.com/spreadsheets/d/1wydNznS0hZhVh3oGSdiCZSsReuqMT7Xaw718ix58zAI/edit#gid=0"",""'Game 9'!S25""),IMPORTRANGE(""https://docs.google.com/spreadsheets/d/1wydNznS0hZhVh3oGSdiCZSsReuqMT7Xaw718ix58zAI/edit#gid=0"","""&amp;"'Game 9'!J25"")+100,IF(IMPORTRANGE(""https://docs.google.com/spreadsheets/d/1wydNznS0hZhVh3oGSdiCZSsReuqMT7Xaw718ix58zAI/edit#gid=0"",""'Game 9'!J25"")=IMPORTRANGE(""https://docs.google.com/spreadsheets/d/1wydNznS0hZhVh3oGSdiCZSsReuqMT7Xaw718ix58zAI/edit#"&amp;"gid=0"",""'Game 9'!S25""),IMPORTRANGE(""https://docs.google.com/spreadsheets/d/1wydNznS0hZhVh3oGSdiCZSsReuqMT7Xaw718ix58zAI/edit#gid=0"",""'Game 9'!J25"")+50,IMPORTRANGE(""https://docs.google.com/spreadsheets/d/1wydNznS0hZhVh3oGSdiCZSsReuqMT7Xaw718ix58zAI"&amp;"/edit#gid=0"",""'Game 9'!J25""))),IF(IMPORTRANGE(""https://docs.google.com/spreadsheets/d/1wydNznS0hZhVh3oGSdiCZSsReuqMT7Xaw718ix58zAI/edit#gid=0"",""'Game 9'!J25"")&gt;IMPORTRANGE(""https://docs.google.com/spreadsheets/d/1wydNznS0hZhVh3oGSdiCZSsReuqMT7Xaw71"&amp;"8ix58zAI/edit#gid=0"",""'Game 9'!S25""),IMPORTRANGE(""https://docs.google.com/spreadsheets/d/1wydNznS0hZhVh3oGSdiCZSsReuqMT7Xaw718ix58zAI/edit#gid=0"",""'Game 9'!S25""),IF(IMPORTRANGE(""https://docs.google.com/spreadsheets/d/1wydNznS0hZhVh3oGSdiCZSsReuqMT"&amp;"7Xaw718ix58zAI/edit#gid=0"",""'Game 9'!J25"")=IMPORTRANGE(""https://docs.google.com/spreadsheets/d/1wydNznS0hZhVh3oGSdiCZSsReuqMT7Xaw718ix58zAI/edit#gid=0"",""'Game 9'!S25""),IMPORTRANGE(""https://docs.google.com/spreadsheets/d/1wydNznS0hZhVh3oGSdiCZSsReu"&amp;"qMT7Xaw718ix58zAI/edit#gid=0"",""'Game 9'!S25"")+50,IMPORTRANGE(""https://docs.google.com/spreadsheets/d/1wydNznS0hZhVh3oGSdiCZSsReuqMT7Xaw718ix58zAI/edit#gid=0"",""'Game 9'!S25"")+100)))"),172.0)</f>
        <v>172</v>
      </c>
      <c r="Q24" s="35">
        <f t="shared" si="1"/>
        <v>1758</v>
      </c>
      <c r="R24" s="35">
        <f t="shared" si="2"/>
        <v>13</v>
      </c>
    </row>
    <row r="25">
      <c r="A25" s="32" t="s">
        <v>309</v>
      </c>
      <c r="B25" s="36">
        <v>172.0</v>
      </c>
      <c r="C25" s="36">
        <v>8.0</v>
      </c>
      <c r="D25" s="36">
        <v>168.0</v>
      </c>
      <c r="E25" s="36">
        <v>20.0</v>
      </c>
      <c r="F25" s="36">
        <v>18.0</v>
      </c>
      <c r="G25" s="12">
        <f>IFERROR(__xludf.DUMMYFUNCTION("IF($A25=IMPORTRANGE(""https://docs.google.com/spreadsheets/d/19gjAD4NwTXl_QoKUuwHQ1cWG_S2BOW94pDcyFtPwheg/edit#gid=0"",""'Game 5'!B1""),IF(IMPORTRANGE(""https://docs.google.com/spreadsheets/d/19gjAD4NwTXl_QoKUuwHQ1cWG_S2BOW94pDcyFtPwheg/edit#gid=0"",""'Ga"&amp;"me 5'!J25"")&gt;IMPORTRANGE(""https://docs.google.com/spreadsheets/d/19gjAD4NwTXl_QoKUuwHQ1cWG_S2BOW94pDcyFtPwheg/edit#gid=0"",""'Game 5'!S25""),IMPORTRANGE(""https://docs.google.com/spreadsheets/d/19gjAD4NwTXl_QoKUuwHQ1cWG_S2BOW94pDcyFtPwheg/edit#gid=0"","""&amp;"'Game 5'!J25"")+100,IF(IMPORTRANGE(""https://docs.google.com/spreadsheets/d/19gjAD4NwTXl_QoKUuwHQ1cWG_S2BOW94pDcyFtPwheg/edit#gid=0"",""'Game 5'!J25"")=IMPORTRANGE(""https://docs.google.com/spreadsheets/d/19gjAD4NwTXl_QoKUuwHQ1cWG_S2BOW94pDcyFtPwheg/edit#"&amp;"gid=0"",""'Game 5'!S25""),IMPORTRANGE(""https://docs.google.com/spreadsheets/d/19gjAD4NwTXl_QoKUuwHQ1cWG_S2BOW94pDcyFtPwheg/edit#gid=0"",""'Game 5'!J25"")+50,IMPORTRANGE(""https://docs.google.com/spreadsheets/d/19gjAD4NwTXl_QoKUuwHQ1cWG_S2BOW94pDcyFtPwheg"&amp;"/edit#gid=0"",""'Game 5'!J25""))),IF(IMPORTRANGE(""https://docs.google.com/spreadsheets/d/19gjAD4NwTXl_QoKUuwHQ1cWG_S2BOW94pDcyFtPwheg/edit#gid=0"",""'Game 5'!J25"")&gt;IMPORTRANGE(""https://docs.google.com/spreadsheets/d/19gjAD4NwTXl_QoKUuwHQ1cWG_S2BOW94pDc"&amp;"yFtPwheg/edit#gid=0"",""'Game 5'!S25""),IMPORTRANGE(""https://docs.google.com/spreadsheets/d/19gjAD4NwTXl_QoKUuwHQ1cWG_S2BOW94pDcyFtPwheg/edit#gid=0"",""'Game 5'!S25""),IF(IMPORTRANGE(""https://docs.google.com/spreadsheets/d/19gjAD4NwTXl_QoKUuwHQ1cWG_S2BO"&amp;"W94pDcyFtPwheg/edit#gid=0"",""'Game 5'!J25"")=IMPORTRANGE(""https://docs.google.com/spreadsheets/d/19gjAD4NwTXl_QoKUuwHQ1cWG_S2BOW94pDcyFtPwheg/edit#gid=0"",""'Game 5'!S25""),IMPORTRANGE(""https://docs.google.com/spreadsheets/d/19gjAD4NwTXl_QoKUuwHQ1cWG_S"&amp;"2BOW94pDcyFtPwheg/edit#gid=0"",""'Game 5'!S25"")+50,IMPORTRANGE(""https://docs.google.com/spreadsheets/d/19gjAD4NwTXl_QoKUuwHQ1cWG_S2BOW94pDcyFtPwheg/edit#gid=0"",""'Game 5'!S25"")+100)))"),164.0)</f>
        <v>164</v>
      </c>
      <c r="H25" s="12">
        <f>IFERROR(__xludf.DUMMYFUNCTION("IF($A25=IMPORTRANGE(""https://docs.google.com/spreadsheets/d/1l83w8bH-F1czkFOqsgQy6o8O33Jb4Pfg40W0ou2nk0k/edit#gid=0"",""'Game 5'!B1""),IF(IMPORTRANGE(""https://docs.google.com/spreadsheets/d/1l83w8bH-F1czkFOqsgQy6o8O33Jb4Pfg40W0ou2nk0k/edit#gid=0"",""'Ga"&amp;"me 5'!J25"")&gt;IMPORTRANGE(""https://docs.google.com/spreadsheets/d/1l83w8bH-F1czkFOqsgQy6o8O33Jb4Pfg40W0ou2nk0k/edit#gid=0"",""'Game 5'!S25""),IMPORTRANGE(""https://docs.google.com/spreadsheets/d/1l83w8bH-F1czkFOqsgQy6o8O33Jb4Pfg40W0ou2nk0k/edit#gid=0"","""&amp;"'Game 5'!J25"")+100,IF(IMPORTRANGE(""https://docs.google.com/spreadsheets/d/1l83w8bH-F1czkFOqsgQy6o8O33Jb4Pfg40W0ou2nk0k/edit#gid=0"",""'Game 5'!J25"")=IMPORTRANGE(""https://docs.google.com/spreadsheets/d/1l83w8bH-F1czkFOqsgQy6o8O33Jb4Pfg40W0ou2nk0k/edit#"&amp;"gid=0"",""'Game 5'!S25""),IMPORTRANGE(""https://docs.google.com/spreadsheets/d/1l83w8bH-F1czkFOqsgQy6o8O33Jb4Pfg40W0ou2nk0k/edit#gid=0"",""'Game 5'!J25"")+50,IMPORTRANGE(""https://docs.google.com/spreadsheets/d/1l83w8bH-F1czkFOqsgQy6o8O33Jb4Pfg40W0ou2nk0k"&amp;"/edit#gid=0"",""'Game 5'!J25""))),IF(IMPORTRANGE(""https://docs.google.com/spreadsheets/d/1l83w8bH-F1czkFOqsgQy6o8O33Jb4Pfg40W0ou2nk0k/edit#gid=0"",""'Game 5'!J25"")&gt;IMPORTRANGE(""https://docs.google.com/spreadsheets/d/1l83w8bH-F1czkFOqsgQy6o8O33Jb4Pfg40W"&amp;"0ou2nk0k/edit#gid=0"",""'Game 5'!S25""),IMPORTRANGE(""https://docs.google.com/spreadsheets/d/1l83w8bH-F1czkFOqsgQy6o8O33Jb4Pfg40W0ou2nk0k/edit#gid=0"",""'Game 5'!S25""),IF(IMPORTRANGE(""https://docs.google.com/spreadsheets/d/1l83w8bH-F1czkFOqsgQy6o8O33Jb4"&amp;"Pfg40W0ou2nk0k/edit#gid=0"",""'Game 5'!J25"")=IMPORTRANGE(""https://docs.google.com/spreadsheets/d/1l83w8bH-F1czkFOqsgQy6o8O33Jb4Pfg40W0ou2nk0k/edit#gid=0"",""'Game 5'!S25""),IMPORTRANGE(""https://docs.google.com/spreadsheets/d/1l83w8bH-F1czkFOqsgQy6o8O33"&amp;"Jb4Pfg40W0ou2nk0k/edit#gid=0"",""'Game 5'!S25"")+50,IMPORTRANGE(""https://docs.google.com/spreadsheets/d/1l83w8bH-F1czkFOqsgQy6o8O33Jb4Pfg40W0ou2nk0k/edit#gid=0"",""'Game 5'!S25"")+100)))"),54.0)</f>
        <v>54</v>
      </c>
      <c r="I25" s="12">
        <f>IFERROR(__xludf.DUMMYFUNCTION("IF($A25=IMPORTRANGE(""https://docs.google.com/spreadsheets/d/15X-ub7GvrCQZ3UGgyogcjwYdxG-Ng8WHxzGSj1Z3eLw/edit#gid=0"",""'Game 5'!B1""),IF(IMPORTRANGE(""https://docs.google.com/spreadsheets/d/15X-ub7GvrCQZ3UGgyogcjwYdxG-Ng8WHxzGSj1Z3eLw/edit#gid=0"",""'Ga"&amp;"me 5'!J25"")&gt;IMPORTRANGE(""https://docs.google.com/spreadsheets/d/15X-ub7GvrCQZ3UGgyogcjwYdxG-Ng8WHxzGSj1Z3eLw/edit#gid=0"",""'Game 5'!S25""),IMPORTRANGE(""https://docs.google.com/spreadsheets/d/15X-ub7GvrCQZ3UGgyogcjwYdxG-Ng8WHxzGSj1Z3eLw/edit#gid=0"","""&amp;"'Game 5'!J25"")+100,IF(IMPORTRANGE(""https://docs.google.com/spreadsheets/d/15X-ub7GvrCQZ3UGgyogcjwYdxG-Ng8WHxzGSj1Z3eLw/edit#gid=0"",""'Game 5'!J25"")=IMPORTRANGE(""https://docs.google.com/spreadsheets/d/15X-ub7GvrCQZ3UGgyogcjwYdxG-Ng8WHxzGSj1Z3eLw/edit#"&amp;"gid=0"",""'Game 5'!S25""),IMPORTRANGE(""https://docs.google.com/spreadsheets/d/15X-ub7GvrCQZ3UGgyogcjwYdxG-Ng8WHxzGSj1Z3eLw/edit#gid=0"",""'Game 5'!J25"")+50,IMPORTRANGE(""https://docs.google.com/spreadsheets/d/15X-ub7GvrCQZ3UGgyogcjwYdxG-Ng8WHxzGSj1Z3eLw"&amp;"/edit#gid=0"",""'Game 5'!J25""))),IF(IMPORTRANGE(""https://docs.google.com/spreadsheets/d/15X-ub7GvrCQZ3UGgyogcjwYdxG-Ng8WHxzGSj1Z3eLw/edit#gid=0"",""'Game 5'!J25"")&gt;IMPORTRANGE(""https://docs.google.com/spreadsheets/d/15X-ub7GvrCQZ3UGgyogcjwYdxG-Ng8WHxzG"&amp;"Sj1Z3eLw/edit#gid=0"",""'Game 5'!S25""),IMPORTRANGE(""https://docs.google.com/spreadsheets/d/15X-ub7GvrCQZ3UGgyogcjwYdxG-Ng8WHxzGSj1Z3eLw/edit#gid=0"",""'Game 5'!S25""),IF(IMPORTRANGE(""https://docs.google.com/spreadsheets/d/15X-ub7GvrCQZ3UGgyogcjwYdxG-Ng"&amp;"8WHxzGSj1Z3eLw/edit#gid=0"",""'Game 5'!J25"")=IMPORTRANGE(""https://docs.google.com/spreadsheets/d/15X-ub7GvrCQZ3UGgyogcjwYdxG-Ng8WHxzGSj1Z3eLw/edit#gid=0"",""'Game 5'!S25""),IMPORTRANGE(""https://docs.google.com/spreadsheets/d/15X-ub7GvrCQZ3UGgyogcjwYdxG"&amp;"-Ng8WHxzGSj1Z3eLw/edit#gid=0"",""'Game 5'!S25"")+50,IMPORTRANGE(""https://docs.google.com/spreadsheets/d/15X-ub7GvrCQZ3UGgyogcjwYdxG-Ng8WHxzGSj1Z3eLw/edit#gid=0"",""'Game 5'!S25"")+100)))"),150.0)</f>
        <v>150</v>
      </c>
      <c r="J25" s="12">
        <f>IFERROR(__xludf.DUMMYFUNCTION("IF($A25=IMPORTRANGE(""https://docs.google.com/spreadsheets/d/194Bw3ABslPPhOOPvVoMzIk8sOQFICWBu2pydWdYMD-w/edit#gid=0"",""'Game 7'!B1""),IF(IMPORTRANGE(""https://docs.google.com/spreadsheets/d/194Bw3ABslPPhOOPvVoMzIk8sOQFICWBu2pydWdYMD-w/edit#gid=0"",""'Ga"&amp;"me 7'!J25"")&gt;IMPORTRANGE(""https://docs.google.com/spreadsheets/d/194Bw3ABslPPhOOPvVoMzIk8sOQFICWBu2pydWdYMD-w/edit#gid=0"",""'Game 7'!S25""),IMPORTRANGE(""https://docs.google.com/spreadsheets/d/194Bw3ABslPPhOOPvVoMzIk8sOQFICWBu2pydWdYMD-w/edit#gid=0"","""&amp;"'Game 7'!J25"")+100,IF(IMPORTRANGE(""https://docs.google.com/spreadsheets/d/194Bw3ABslPPhOOPvVoMzIk8sOQFICWBu2pydWdYMD-w/edit#gid=0"",""'Game 7'!J25"")=IMPORTRANGE(""https://docs.google.com/spreadsheets/d/194Bw3ABslPPhOOPvVoMzIk8sOQFICWBu2pydWdYMD-w/edit#"&amp;"gid=0"",""'Game 7'!S25""),IMPORTRANGE(""https://docs.google.com/spreadsheets/d/194Bw3ABslPPhOOPvVoMzIk8sOQFICWBu2pydWdYMD-w/edit#gid=0"",""'Game 7'!J25"")+50,IMPORTRANGE(""https://docs.google.com/spreadsheets/d/194Bw3ABslPPhOOPvVoMzIk8sOQFICWBu2pydWdYMD-w"&amp;"/edit#gid=0"",""'Game 7'!J25""))),IF(IMPORTRANGE(""https://docs.google.com/spreadsheets/d/194Bw3ABslPPhOOPvVoMzIk8sOQFICWBu2pydWdYMD-w/edit#gid=0"",""'Game 7'!J25"")&gt;IMPORTRANGE(""https://docs.google.com/spreadsheets/d/194Bw3ABslPPhOOPvVoMzIk8sOQFICWBu2py"&amp;"dWdYMD-w/edit#gid=0"",""'Game 7'!S25""),IMPORTRANGE(""https://docs.google.com/spreadsheets/d/194Bw3ABslPPhOOPvVoMzIk8sOQFICWBu2pydWdYMD-w/edit#gid=0"",""'Game 7'!S25""),IF(IMPORTRANGE(""https://docs.google.com/spreadsheets/d/194Bw3ABslPPhOOPvVoMzIk8sOQFIC"&amp;"WBu2pydWdYMD-w/edit#gid=0"",""'Game 7'!J25"")=IMPORTRANGE(""https://docs.google.com/spreadsheets/d/194Bw3ABslPPhOOPvVoMzIk8sOQFICWBu2pydWdYMD-w/edit#gid=0"",""'Game 7'!S25""),IMPORTRANGE(""https://docs.google.com/spreadsheets/d/194Bw3ABslPPhOOPvVoMzIk8sOQ"&amp;"FICWBu2pydWdYMD-w/edit#gid=0"",""'Game 7'!S25"")+50,IMPORTRANGE(""https://docs.google.com/spreadsheets/d/194Bw3ABslPPhOOPvVoMzIk8sOQFICWBu2pydWdYMD-w/edit#gid=0"",""'Game 7'!S25"")+100)))"),150.0)</f>
        <v>150</v>
      </c>
      <c r="K25" s="12">
        <f>IFERROR(__xludf.DUMMYFUNCTION("IF($A25=IMPORTRANGE(""https://docs.google.com/spreadsheets/d/1F2Bi6K_I1K9xRxY5qb-bNRo5m-Kw7udpF1OaTHhrxjs/edit#gid=0"",""'Game 5'!B1""),IF(IMPORTRANGE(""https://docs.google.com/spreadsheets/d/1F2Bi6K_I1K9xRxY5qb-bNRo5m-Kw7udpF1OaTHhrxjs/edit#gid=0"",""'Ga"&amp;"me 5'!J25"")&gt;IMPORTRANGE(""https://docs.google.com/spreadsheets/d/1F2Bi6K_I1K9xRxY5qb-bNRo5m-Kw7udpF1OaTHhrxjs/edit#gid=0"",""'Game 5'!S25""),IMPORTRANGE(""https://docs.google.com/spreadsheets/d/1F2Bi6K_I1K9xRxY5qb-bNRo5m-Kw7udpF1OaTHhrxjs/edit#gid=0"","""&amp;"'Game 5'!J25"")+100,IF(IMPORTRANGE(""https://docs.google.com/spreadsheets/d/1F2Bi6K_I1K9xRxY5qb-bNRo5m-Kw7udpF1OaTHhrxjs/edit#gid=0"",""'Game 5'!J25"")=IMPORTRANGE(""https://docs.google.com/spreadsheets/d/1F2Bi6K_I1K9xRxY5qb-bNRo5m-Kw7udpF1OaTHhrxjs/edit#"&amp;"gid=0"",""'Game 5'!S25""),IMPORTRANGE(""https://docs.google.com/spreadsheets/d/1F2Bi6K_I1K9xRxY5qb-bNRo5m-Kw7udpF1OaTHhrxjs/edit#gid=0"",""'Game 5'!J25"")+50,IMPORTRANGE(""https://docs.google.com/spreadsheets/d/1F2Bi6K_I1K9xRxY5qb-bNRo5m-Kw7udpF1OaTHhrxjs"&amp;"/edit#gid=0"",""'Game 5'!J25""))),IF(IMPORTRANGE(""https://docs.google.com/spreadsheets/d/1F2Bi6K_I1K9xRxY5qb-bNRo5m-Kw7udpF1OaTHhrxjs/edit#gid=0"",""'Game 5'!J25"")&gt;IMPORTRANGE(""https://docs.google.com/spreadsheets/d/1F2Bi6K_I1K9xRxY5qb-bNRo5m-Kw7udpF1O"&amp;"aTHhrxjs/edit#gid=0"",""'Game 5'!S25""),IMPORTRANGE(""https://docs.google.com/spreadsheets/d/1F2Bi6K_I1K9xRxY5qb-bNRo5m-Kw7udpF1OaTHhrxjs/edit#gid=0"",""'Game 5'!S25""),IF(IMPORTRANGE(""https://docs.google.com/spreadsheets/d/1F2Bi6K_I1K9xRxY5qb-bNRo5m-Kw7"&amp;"udpF1OaTHhrxjs/edit#gid=0"",""'Game 5'!J25"")=IMPORTRANGE(""https://docs.google.com/spreadsheets/d/1F2Bi6K_I1K9xRxY5qb-bNRo5m-Kw7udpF1OaTHhrxjs/edit#gid=0"",""'Game 5'!S25""),IMPORTRANGE(""https://docs.google.com/spreadsheets/d/1F2Bi6K_I1K9xRxY5qb-bNRo5m-"&amp;"Kw7udpF1OaTHhrxjs/edit#gid=0"",""'Game 5'!S25"")+50,IMPORTRANGE(""https://docs.google.com/spreadsheets/d/1F2Bi6K_I1K9xRxY5qb-bNRo5m-Kw7udpF1OaTHhrxjs/edit#gid=0"",""'Game 5'!S25"")+100)))"),0.0)</f>
        <v>0</v>
      </c>
      <c r="L25" s="12">
        <f>IFERROR(__xludf.DUMMYFUNCTION("IF($A25=IMPORTRANGE(""https://docs.google.com/spreadsheets/d/1NDNgi_Ny4dRhc2A3UMIIkalN-V6EmsvxOfDzMRQlQ40/edit#gid=0"",""'Game 5'!B1""),IF(IMPORTRANGE(""https://docs.google.com/spreadsheets/d/1NDNgi_Ny4dRhc2A3UMIIkalN-V6EmsvxOfDzMRQlQ40/edit#gid=0"",""'Ga"&amp;"me 5'!J25"")&gt;IMPORTRANGE(""https://docs.google.com/spreadsheets/d/1NDNgi_Ny4dRhc2A3UMIIkalN-V6EmsvxOfDzMRQlQ40/edit#gid=0"",""'Game 5'!S25""),IMPORTRANGE(""https://docs.google.com/spreadsheets/d/1NDNgi_Ny4dRhc2A3UMIIkalN-V6EmsvxOfDzMRQlQ40/edit#gid=0"","""&amp;"'Game 5'!J25"")+100,IF(IMPORTRANGE(""https://docs.google.com/spreadsheets/d/1NDNgi_Ny4dRhc2A3UMIIkalN-V6EmsvxOfDzMRQlQ40/edit#gid=0"",""'Game 5'!J25"")=IMPORTRANGE(""https://docs.google.com/spreadsheets/d/1NDNgi_Ny4dRhc2A3UMIIkalN-V6EmsvxOfDzMRQlQ40/edit#"&amp;"gid=0"",""'Game 5'!S25""),IMPORTRANGE(""https://docs.google.com/spreadsheets/d/1NDNgi_Ny4dRhc2A3UMIIkalN-V6EmsvxOfDzMRQlQ40/edit#gid=0"",""'Game 5'!J25"")+50,IMPORTRANGE(""https://docs.google.com/spreadsheets/d/1NDNgi_Ny4dRhc2A3UMIIkalN-V6EmsvxOfDzMRQlQ40"&amp;"/edit#gid=0"",""'Game 5'!J25""))),IF(IMPORTRANGE(""https://docs.google.com/spreadsheets/d/1NDNgi_Ny4dRhc2A3UMIIkalN-V6EmsvxOfDzMRQlQ40/edit#gid=0"",""'Game 5'!J25"")&gt;IMPORTRANGE(""https://docs.google.com/spreadsheets/d/1NDNgi_Ny4dRhc2A3UMIIkalN-V6EmsvxOfD"&amp;"zMRQlQ40/edit#gid=0"",""'Game 5'!S25""),IMPORTRANGE(""https://docs.google.com/spreadsheets/d/1NDNgi_Ny4dRhc2A3UMIIkalN-V6EmsvxOfDzMRQlQ40/edit#gid=0"",""'Game 5'!S25""),IF(IMPORTRANGE(""https://docs.google.com/spreadsheets/d/1NDNgi_Ny4dRhc2A3UMIIkalN-V6Em"&amp;"svxOfDzMRQlQ40/edit#gid=0"",""'Game 5'!J25"")=IMPORTRANGE(""https://docs.google.com/spreadsheets/d/1NDNgi_Ny4dRhc2A3UMIIkalN-V6EmsvxOfDzMRQlQ40/edit#gid=0"",""'Game 5'!S25""),IMPORTRANGE(""https://docs.google.com/spreadsheets/d/1NDNgi_Ny4dRhc2A3UMIIkalN-V"&amp;"6EmsvxOfDzMRQlQ40/edit#gid=0"",""'Game 5'!S25"")+50,IMPORTRANGE(""https://docs.google.com/spreadsheets/d/1NDNgi_Ny4dRhc2A3UMIIkalN-V6EmsvxOfDzMRQlQ40/edit#gid=0"",""'Game 5'!S25"")+100)))"),164.0)</f>
        <v>164</v>
      </c>
      <c r="M25" s="12">
        <f>IFERROR(__xludf.DUMMYFUNCTION("IF($A25=IMPORTRANGE(""https://docs.google.com/spreadsheets/d/1UDYA3-RrkJNLa2ZLH1NnUjKyfCoiSODmgVL_Au_zt-Y/edit#gid=0"",""'Game 4'!B1""),IF(IMPORTRANGE(""https://docs.google.com/spreadsheets/d/1UDYA3-RrkJNLa2ZLH1NnUjKyfCoiSODmgVL_Au_zt-Y/edit#gid=0"",""'Ga"&amp;"me 4'!J25"")&gt;IMPORTRANGE(""https://docs.google.com/spreadsheets/d/1UDYA3-RrkJNLa2ZLH1NnUjKyfCoiSODmgVL_Au_zt-Y/edit#gid=0"",""'Game 4'!S25""),IMPORTRANGE(""https://docs.google.com/spreadsheets/d/1UDYA3-RrkJNLa2ZLH1NnUjKyfCoiSODmgVL_Au_zt-Y/edit#gid=0"","""&amp;"'Game 4'!J25"")+100,IF(IMPORTRANGE(""https://docs.google.com/spreadsheets/d/1UDYA3-RrkJNLa2ZLH1NnUjKyfCoiSODmgVL_Au_zt-Y/edit#gid=0"",""'Game 4'!J25"")=IMPORTRANGE(""https://docs.google.com/spreadsheets/d/1UDYA3-RrkJNLa2ZLH1NnUjKyfCoiSODmgVL_Au_zt-Y/edit#"&amp;"gid=0"",""'Game 4'!S25""),IMPORTRANGE(""https://docs.google.com/spreadsheets/d/1UDYA3-RrkJNLa2ZLH1NnUjKyfCoiSODmgVL_Au_zt-Y/edit#gid=0"",""'Game 4'!J25"")+50,IMPORTRANGE(""https://docs.google.com/spreadsheets/d/1UDYA3-RrkJNLa2ZLH1NnUjKyfCoiSODmgVL_Au_zt-Y"&amp;"/edit#gid=0"",""'Game 4'!J25""))),IF(IMPORTRANGE(""https://docs.google.com/spreadsheets/d/1UDYA3-RrkJNLa2ZLH1NnUjKyfCoiSODmgVL_Au_zt-Y/edit#gid=0"",""'Game 4'!J25"")&gt;IMPORTRANGE(""https://docs.google.com/spreadsheets/d/1UDYA3-RrkJNLa2ZLH1NnUjKyfCoiSODmgVL"&amp;"_Au_zt-Y/edit#gid=0"",""'Game 4'!S25""),IMPORTRANGE(""https://docs.google.com/spreadsheets/d/1UDYA3-RrkJNLa2ZLH1NnUjKyfCoiSODmgVL_Au_zt-Y/edit#gid=0"",""'Game 4'!S25""),IF(IMPORTRANGE(""https://docs.google.com/spreadsheets/d/1UDYA3-RrkJNLa2ZLH1NnUjKyfCoiS"&amp;"ODmgVL_Au_zt-Y/edit#gid=0"",""'Game 4'!J25"")=IMPORTRANGE(""https://docs.google.com/spreadsheets/d/1UDYA3-RrkJNLa2ZLH1NnUjKyfCoiSODmgVL_Au_zt-Y/edit#gid=0"",""'Game 4'!S25""),IMPORTRANGE(""https://docs.google.com/spreadsheets/d/1UDYA3-RrkJNLa2ZLH1NnUjKyfC"&amp;"oiSODmgVL_Au_zt-Y/edit#gid=0"",""'Game 4'!S25"")+50,IMPORTRANGE(""https://docs.google.com/spreadsheets/d/1UDYA3-RrkJNLa2ZLH1NnUjKyfCoiSODmgVL_Au_zt-Y/edit#gid=0"",""'Game 4'!S25"")+100)))"),16.0)</f>
        <v>16</v>
      </c>
      <c r="N25" s="12">
        <f>IFERROR(__xludf.DUMMYFUNCTION("IF($A25=IMPORTRANGE(""https://docs.google.com/spreadsheets/d/1fvo6H94Wcffp6c4N9g3JKCW6y2ZlijPxdOsNz7xdBhw/edit#gid=0"",""'Game 4'!B1""),IF(IMPORTRANGE(""https://docs.google.com/spreadsheets/d/1fvo6H94Wcffp6c4N9g3JKCW6y2ZlijPxdOsNz7xdBhw/edit#gid=0"",""'Ga"&amp;"me 4'!J25"")&gt;IMPORTRANGE(""https://docs.google.com/spreadsheets/d/1fvo6H94Wcffp6c4N9g3JKCW6y2ZlijPxdOsNz7xdBhw/edit#gid=0"",""'Game 4'!S25""),IMPORTRANGE(""https://docs.google.com/spreadsheets/d/1fvo6H94Wcffp6c4N9g3JKCW6y2ZlijPxdOsNz7xdBhw/edit#gid=0"","""&amp;"'Game 4'!J25"")+100,IF(IMPORTRANGE(""https://docs.google.com/spreadsheets/d/1fvo6H94Wcffp6c4N9g3JKCW6y2ZlijPxdOsNz7xdBhw/edit#gid=0"",""'Game 4'!J25"")=IMPORTRANGE(""https://docs.google.com/spreadsheets/d/1fvo6H94Wcffp6c4N9g3JKCW6y2ZlijPxdOsNz7xdBhw/edit#"&amp;"gid=0"",""'Game 4'!S25""),IMPORTRANGE(""https://docs.google.com/spreadsheets/d/1fvo6H94Wcffp6c4N9g3JKCW6y2ZlijPxdOsNz7xdBhw/edit#gid=0"",""'Game 4'!J25"")+50,IMPORTRANGE(""https://docs.google.com/spreadsheets/d/1fvo6H94Wcffp6c4N9g3JKCW6y2ZlijPxdOsNz7xdBhw"&amp;"/edit#gid=0"",""'Game 4'!J25""))),IF(IMPORTRANGE(""https://docs.google.com/spreadsheets/d/1fvo6H94Wcffp6c4N9g3JKCW6y2ZlijPxdOsNz7xdBhw/edit#gid=0"",""'Game 4'!J25"")&gt;IMPORTRANGE(""https://docs.google.com/spreadsheets/d/1fvo6H94Wcffp6c4N9g3JKCW6y2ZlijPxdOs"&amp;"Nz7xdBhw/edit#gid=0"",""'Game 4'!S25""),IMPORTRANGE(""https://docs.google.com/spreadsheets/d/1fvo6H94Wcffp6c4N9g3JKCW6y2ZlijPxdOsNz7xdBhw/edit#gid=0"",""'Game 4'!S25""),IF(IMPORTRANGE(""https://docs.google.com/spreadsheets/d/1fvo6H94Wcffp6c4N9g3JKCW6y2Zli"&amp;"jPxdOsNz7xdBhw/edit#gid=0"",""'Game 4'!J25"")=IMPORTRANGE(""https://docs.google.com/spreadsheets/d/1fvo6H94Wcffp6c4N9g3JKCW6y2ZlijPxdOsNz7xdBhw/edit#gid=0"",""'Game 4'!S25""),IMPORTRANGE(""https://docs.google.com/spreadsheets/d/1fvo6H94Wcffp6c4N9g3JKCW6y2"&amp;"ZlijPxdOsNz7xdBhw/edit#gid=0"",""'Game 4'!S25"")+50,IMPORTRANGE(""https://docs.google.com/spreadsheets/d/1fvo6H94Wcffp6c4N9g3JKCW6y2ZlijPxdOsNz7xdBhw/edit#gid=0"",""'Game 4'!S25"")+100)))"),158.0)</f>
        <v>158</v>
      </c>
      <c r="O25" s="12">
        <f>IFERROR(__xludf.DUMMYFUNCTION("IF($A25=IMPORTRANGE(""https://docs.google.com/spreadsheets/d/1wfQePArl-A-5QJe5xAufoOnzeNLVSoHCRcmpZ_FMdns/edit#gid=0"",""'Game 4'!B1""),IF(IMPORTRANGE(""https://docs.google.com/spreadsheets/d/1wfQePArl-A-5QJe5xAufoOnzeNLVSoHCRcmpZ_FMdns/edit#gid=0"",""'Ga"&amp;"me 4'!J25"")&gt;IMPORTRANGE(""https://docs.google.com/spreadsheets/d/1wfQePArl-A-5QJe5xAufoOnzeNLVSoHCRcmpZ_FMdns/edit#gid=0"",""'Game 4'!S25""),IMPORTRANGE(""https://docs.google.com/spreadsheets/d/1wfQePArl-A-5QJe5xAufoOnzeNLVSoHCRcmpZ_FMdns/edit#gid=0"","""&amp;"'Game 4'!J25"")+100,IF(IMPORTRANGE(""https://docs.google.com/spreadsheets/d/1wfQePArl-A-5QJe5xAufoOnzeNLVSoHCRcmpZ_FMdns/edit#gid=0"",""'Game 4'!J25"")=IMPORTRANGE(""https://docs.google.com/spreadsheets/d/1wfQePArl-A-5QJe5xAufoOnzeNLVSoHCRcmpZ_FMdns/edit#"&amp;"gid=0"",""'Game 4'!S25""),IMPORTRANGE(""https://docs.google.com/spreadsheets/d/1wfQePArl-A-5QJe5xAufoOnzeNLVSoHCRcmpZ_FMdns/edit#gid=0"",""'Game 4'!J25"")+50,IMPORTRANGE(""https://docs.google.com/spreadsheets/d/1wfQePArl-A-5QJe5xAufoOnzeNLVSoHCRcmpZ_FMdns"&amp;"/edit#gid=0"",""'Game 4'!J25""))),IF(IMPORTRANGE(""https://docs.google.com/spreadsheets/d/1wfQePArl-A-5QJe5xAufoOnzeNLVSoHCRcmpZ_FMdns/edit#gid=0"",""'Game 4'!J25"")&gt;IMPORTRANGE(""https://docs.google.com/spreadsheets/d/1wfQePArl-A-5QJe5xAufoOnzeNLVSoHCRcm"&amp;"pZ_FMdns/edit#gid=0"",""'Game 4'!S25""),IMPORTRANGE(""https://docs.google.com/spreadsheets/d/1wfQePArl-A-5QJe5xAufoOnzeNLVSoHCRcmpZ_FMdns/edit#gid=0"",""'Game 4'!S25""),IF(IMPORTRANGE(""https://docs.google.com/spreadsheets/d/1wfQePArl-A-5QJe5xAufoOnzeNLVS"&amp;"oHCRcmpZ_FMdns/edit#gid=0"",""'Game 4'!J25"")=IMPORTRANGE(""https://docs.google.com/spreadsheets/d/1wfQePArl-A-5QJe5xAufoOnzeNLVSoHCRcmpZ_FMdns/edit#gid=0"",""'Game 4'!S25""),IMPORTRANGE(""https://docs.google.com/spreadsheets/d/1wfQePArl-A-5QJe5xAufoOnzeN"&amp;"LVSoHCRcmpZ_FMdns/edit#gid=0"",""'Game 4'!S25"")+50,IMPORTRANGE(""https://docs.google.com/spreadsheets/d/1wfQePArl-A-5QJe5xAufoOnzeNLVSoHCRcmpZ_FMdns/edit#gid=0"",""'Game 4'!S25"")+100)))"),66.0)</f>
        <v>66</v>
      </c>
      <c r="P25" s="12">
        <f>IFERROR(__xludf.DUMMYFUNCTION("IF($A25=IMPORTRANGE(""https://docs.google.com/spreadsheets/d/1wydNznS0hZhVh3oGSdiCZSsReuqMT7Xaw718ix58zAI/edit#gid=0"",""'Game 5'!B1""),IF(IMPORTRANGE(""https://docs.google.com/spreadsheets/d/1wydNznS0hZhVh3oGSdiCZSsReuqMT7Xaw718ix58zAI/edit#gid=0"",""'Ga"&amp;"me 5'!J25"")&gt;IMPORTRANGE(""https://docs.google.com/spreadsheets/d/1wydNznS0hZhVh3oGSdiCZSsReuqMT7Xaw718ix58zAI/edit#gid=0"",""'Game 5'!S25""),IMPORTRANGE(""https://docs.google.com/spreadsheets/d/1wydNznS0hZhVh3oGSdiCZSsReuqMT7Xaw718ix58zAI/edit#gid=0"","""&amp;"'Game 5'!J25"")+100,IF(IMPORTRANGE(""https://docs.google.com/spreadsheets/d/1wydNznS0hZhVh3oGSdiCZSsReuqMT7Xaw718ix58zAI/edit#gid=0"",""'Game 5'!J25"")=IMPORTRANGE(""https://docs.google.com/spreadsheets/d/1wydNznS0hZhVh3oGSdiCZSsReuqMT7Xaw718ix58zAI/edit#"&amp;"gid=0"",""'Game 5'!S25""),IMPORTRANGE(""https://docs.google.com/spreadsheets/d/1wydNznS0hZhVh3oGSdiCZSsReuqMT7Xaw718ix58zAI/edit#gid=0"",""'Game 5'!J25"")+50,IMPORTRANGE(""https://docs.google.com/spreadsheets/d/1wydNznS0hZhVh3oGSdiCZSsReuqMT7Xaw718ix58zAI"&amp;"/edit#gid=0"",""'Game 5'!J25""))),IF(IMPORTRANGE(""https://docs.google.com/spreadsheets/d/1wydNznS0hZhVh3oGSdiCZSsReuqMT7Xaw718ix58zAI/edit#gid=0"",""'Game 5'!J25"")&gt;IMPORTRANGE(""https://docs.google.com/spreadsheets/d/1wydNznS0hZhVh3oGSdiCZSsReuqMT7Xaw71"&amp;"8ix58zAI/edit#gid=0"",""'Game 5'!S25""),IMPORTRANGE(""https://docs.google.com/spreadsheets/d/1wydNznS0hZhVh3oGSdiCZSsReuqMT7Xaw718ix58zAI/edit#gid=0"",""'Game 5'!S25""),IF(IMPORTRANGE(""https://docs.google.com/spreadsheets/d/1wydNznS0hZhVh3oGSdiCZSsReuqMT"&amp;"7Xaw718ix58zAI/edit#gid=0"",""'Game 5'!J25"")=IMPORTRANGE(""https://docs.google.com/spreadsheets/d/1wydNznS0hZhVh3oGSdiCZSsReuqMT7Xaw718ix58zAI/edit#gid=0"",""'Game 5'!S25""),IMPORTRANGE(""https://docs.google.com/spreadsheets/d/1wydNznS0hZhVh3oGSdiCZSsReu"&amp;"qMT7Xaw718ix58zAI/edit#gid=0"",""'Game 5'!S25"")+50,IMPORTRANGE(""https://docs.google.com/spreadsheets/d/1wydNznS0hZhVh3oGSdiCZSsReuqMT7Xaw718ix58zAI/edit#gid=0"",""'Game 5'!S25"")+100)))"),30.0)</f>
        <v>30</v>
      </c>
      <c r="Q25" s="37">
        <f t="shared" si="1"/>
        <v>1338</v>
      </c>
      <c r="R25" s="37">
        <f t="shared" si="2"/>
        <v>17</v>
      </c>
    </row>
    <row r="26">
      <c r="A26" s="33" t="s">
        <v>335</v>
      </c>
      <c r="B26" s="33">
        <f t="shared" ref="B26:Q26" si="3">ROUND(100*AVERAGE(B2:B25),0)/100-50</f>
        <v>69.17</v>
      </c>
      <c r="C26" s="33">
        <f t="shared" si="3"/>
        <v>79.25</v>
      </c>
      <c r="D26" s="33">
        <f t="shared" si="3"/>
        <v>73.08</v>
      </c>
      <c r="E26" s="33">
        <f t="shared" si="3"/>
        <v>63.83</v>
      </c>
      <c r="F26" s="33">
        <f t="shared" si="3"/>
        <v>58.92</v>
      </c>
      <c r="G26" s="33">
        <f t="shared" si="3"/>
        <v>72.42</v>
      </c>
      <c r="H26" s="33">
        <f t="shared" si="3"/>
        <v>61.5</v>
      </c>
      <c r="I26" s="33">
        <f t="shared" si="3"/>
        <v>55.17</v>
      </c>
      <c r="J26" s="33">
        <f t="shared" si="3"/>
        <v>66.83</v>
      </c>
      <c r="K26" s="33">
        <f t="shared" si="3"/>
        <v>62.08</v>
      </c>
      <c r="L26" s="33">
        <f t="shared" si="3"/>
        <v>54.83</v>
      </c>
      <c r="M26" s="33">
        <f t="shared" si="3"/>
        <v>97.25</v>
      </c>
      <c r="N26" s="33">
        <f t="shared" si="3"/>
        <v>71.17</v>
      </c>
      <c r="O26" s="33">
        <f t="shared" si="3"/>
        <v>74.67</v>
      </c>
      <c r="P26" s="33">
        <f t="shared" si="3"/>
        <v>67.08</v>
      </c>
      <c r="Q26" s="33">
        <f t="shared" si="3"/>
        <v>1727.25</v>
      </c>
      <c r="R26" s="4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16" width="9.88"/>
  </cols>
  <sheetData>
    <row r="1">
      <c r="A1" s="32" t="s">
        <v>333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2" t="s">
        <v>14</v>
      </c>
      <c r="O1" s="32" t="s">
        <v>15</v>
      </c>
      <c r="P1" s="32" t="s">
        <v>16</v>
      </c>
      <c r="Q1" s="32" t="s">
        <v>334</v>
      </c>
      <c r="R1" s="32" t="s">
        <v>22</v>
      </c>
    </row>
    <row r="2">
      <c r="A2" s="38" t="str">
        <f t="array" ref="A2:R27">sort(TeamStand!A2:R27, 18, TRUE)</f>
        <v>Centennial</v>
      </c>
      <c r="B2" s="39">
        <v>150.0</v>
      </c>
      <c r="C2" s="39">
        <v>246.0</v>
      </c>
      <c r="D2" s="39">
        <v>30.0</v>
      </c>
      <c r="E2" s="39">
        <v>142.0</v>
      </c>
      <c r="F2" s="40">
        <v>198.0</v>
      </c>
      <c r="G2" s="40">
        <v>232.0</v>
      </c>
      <c r="H2" s="40">
        <v>152.0</v>
      </c>
      <c r="I2" s="40">
        <v>156.0</v>
      </c>
      <c r="J2" s="40">
        <v>192.0</v>
      </c>
      <c r="K2" s="40">
        <v>196.0</v>
      </c>
      <c r="L2" s="40">
        <v>208.0</v>
      </c>
      <c r="M2" s="40">
        <v>206.0</v>
      </c>
      <c r="N2" s="40">
        <v>190.0</v>
      </c>
      <c r="O2" s="40">
        <v>214.0</v>
      </c>
      <c r="P2" s="40">
        <v>218.0</v>
      </c>
      <c r="Q2" s="40">
        <v>2730.0</v>
      </c>
      <c r="R2" s="40">
        <v>1.0</v>
      </c>
    </row>
    <row r="3">
      <c r="A3" s="38" t="s">
        <v>292</v>
      </c>
      <c r="B3" s="39">
        <v>192.0</v>
      </c>
      <c r="C3" s="39">
        <v>198.0</v>
      </c>
      <c r="D3" s="39">
        <v>192.0</v>
      </c>
      <c r="E3" s="39">
        <v>142.0</v>
      </c>
      <c r="F3" s="40">
        <v>204.0</v>
      </c>
      <c r="G3" s="40">
        <v>246.0</v>
      </c>
      <c r="H3" s="40">
        <v>158.0</v>
      </c>
      <c r="I3" s="40">
        <v>176.0</v>
      </c>
      <c r="J3" s="40">
        <v>180.0</v>
      </c>
      <c r="K3" s="40">
        <v>208.0</v>
      </c>
      <c r="L3" s="40">
        <v>172.0</v>
      </c>
      <c r="M3" s="40">
        <v>194.0</v>
      </c>
      <c r="N3" s="40">
        <v>222.0</v>
      </c>
      <c r="O3" s="40">
        <v>44.0</v>
      </c>
      <c r="P3" s="40">
        <v>202.0</v>
      </c>
      <c r="Q3" s="40">
        <v>2730.0</v>
      </c>
      <c r="R3" s="40">
        <v>1.0</v>
      </c>
    </row>
    <row r="4">
      <c r="A4" s="38" t="s">
        <v>303</v>
      </c>
      <c r="B4" s="39">
        <v>190.0</v>
      </c>
      <c r="C4" s="39">
        <v>180.0</v>
      </c>
      <c r="D4" s="39">
        <v>136.0</v>
      </c>
      <c r="E4" s="40">
        <v>130.0</v>
      </c>
      <c r="F4" s="40">
        <v>174.0</v>
      </c>
      <c r="G4" s="40">
        <v>194.0</v>
      </c>
      <c r="H4" s="40">
        <v>204.0</v>
      </c>
      <c r="I4" s="40">
        <v>194.0</v>
      </c>
      <c r="J4" s="40">
        <v>198.0</v>
      </c>
      <c r="K4" s="40">
        <v>36.0</v>
      </c>
      <c r="L4" s="40">
        <v>174.0</v>
      </c>
      <c r="M4" s="40">
        <v>240.0</v>
      </c>
      <c r="N4" s="40">
        <v>194.0</v>
      </c>
      <c r="O4" s="40">
        <v>170.0</v>
      </c>
      <c r="P4" s="40">
        <v>142.0</v>
      </c>
      <c r="Q4" s="40">
        <v>2556.0</v>
      </c>
      <c r="R4" s="40">
        <v>3.0</v>
      </c>
    </row>
    <row r="5">
      <c r="A5" s="38" t="s">
        <v>33</v>
      </c>
      <c r="B5" s="39">
        <v>168.0</v>
      </c>
      <c r="C5" s="39">
        <v>176.0</v>
      </c>
      <c r="D5" s="39">
        <v>150.0</v>
      </c>
      <c r="E5" s="39">
        <v>12.0</v>
      </c>
      <c r="F5" s="40">
        <v>178.0</v>
      </c>
      <c r="G5" s="40">
        <v>204.0</v>
      </c>
      <c r="H5" s="40">
        <v>148.0</v>
      </c>
      <c r="I5" s="40">
        <v>166.0</v>
      </c>
      <c r="J5" s="40">
        <v>198.0</v>
      </c>
      <c r="K5" s="40">
        <v>210.0</v>
      </c>
      <c r="L5" s="40">
        <v>220.0</v>
      </c>
      <c r="M5" s="40">
        <v>22.0</v>
      </c>
      <c r="N5" s="40">
        <v>160.0</v>
      </c>
      <c r="O5" s="40">
        <v>36.0</v>
      </c>
      <c r="P5" s="40">
        <v>180.0</v>
      </c>
      <c r="Q5" s="40">
        <v>2228.0</v>
      </c>
      <c r="R5" s="40">
        <v>4.0</v>
      </c>
    </row>
    <row r="6">
      <c r="A6" s="38" t="s">
        <v>162</v>
      </c>
      <c r="B6" s="39">
        <v>134.0</v>
      </c>
      <c r="C6" s="39">
        <v>172.0</v>
      </c>
      <c r="D6" s="39">
        <v>146.0</v>
      </c>
      <c r="E6" s="39">
        <v>116.0</v>
      </c>
      <c r="F6" s="40">
        <v>60.0</v>
      </c>
      <c r="G6" s="40">
        <v>184.0</v>
      </c>
      <c r="H6" s="40">
        <v>150.0</v>
      </c>
      <c r="I6" s="40">
        <v>12.0</v>
      </c>
      <c r="J6" s="40">
        <v>188.0</v>
      </c>
      <c r="K6" s="40">
        <v>170.0</v>
      </c>
      <c r="L6" s="40">
        <v>42.0</v>
      </c>
      <c r="M6" s="40">
        <v>138.0</v>
      </c>
      <c r="N6" s="40">
        <v>34.0</v>
      </c>
      <c r="O6" s="40">
        <v>168.0</v>
      </c>
      <c r="P6" s="40">
        <v>190.0</v>
      </c>
      <c r="Q6" s="40">
        <v>1904.0</v>
      </c>
      <c r="R6" s="40">
        <v>5.0</v>
      </c>
    </row>
    <row r="7">
      <c r="A7" s="38" t="s">
        <v>318</v>
      </c>
      <c r="B7" s="39">
        <v>138.0</v>
      </c>
      <c r="C7" s="39">
        <v>74.0</v>
      </c>
      <c r="D7" s="39">
        <v>166.0</v>
      </c>
      <c r="E7" s="39">
        <v>12.0</v>
      </c>
      <c r="F7" s="40">
        <v>22.0</v>
      </c>
      <c r="G7" s="40">
        <v>190.0</v>
      </c>
      <c r="H7" s="40">
        <v>144.0</v>
      </c>
      <c r="I7" s="40">
        <v>38.0</v>
      </c>
      <c r="J7" s="40">
        <v>160.0</v>
      </c>
      <c r="K7" s="40">
        <v>176.0</v>
      </c>
      <c r="L7" s="40">
        <v>136.0</v>
      </c>
      <c r="M7" s="40">
        <v>158.0</v>
      </c>
      <c r="N7" s="40">
        <v>12.0</v>
      </c>
      <c r="O7" s="40">
        <v>202.0</v>
      </c>
      <c r="P7" s="40">
        <v>178.0</v>
      </c>
      <c r="Q7" s="40">
        <v>1806.0</v>
      </c>
      <c r="R7" s="40">
        <v>6.0</v>
      </c>
    </row>
    <row r="8">
      <c r="A8" s="38" t="s">
        <v>263</v>
      </c>
      <c r="B8" s="39">
        <v>50.0</v>
      </c>
      <c r="C8" s="39">
        <v>34.0</v>
      </c>
      <c r="D8" s="39">
        <v>134.0</v>
      </c>
      <c r="E8" s="39">
        <v>156.0</v>
      </c>
      <c r="F8" s="40">
        <v>164.0</v>
      </c>
      <c r="G8" s="40">
        <v>190.0</v>
      </c>
      <c r="H8" s="40">
        <v>36.0</v>
      </c>
      <c r="I8" s="40">
        <v>158.0</v>
      </c>
      <c r="J8" s="40">
        <v>160.0</v>
      </c>
      <c r="K8" s="40">
        <v>158.0</v>
      </c>
      <c r="L8" s="40">
        <v>168.0</v>
      </c>
      <c r="M8" s="40">
        <v>138.0</v>
      </c>
      <c r="N8" s="40">
        <v>144.0</v>
      </c>
      <c r="O8" s="40">
        <v>42.0</v>
      </c>
      <c r="P8" s="40">
        <v>0.0</v>
      </c>
      <c r="Q8" s="40">
        <v>1732.0</v>
      </c>
      <c r="R8" s="40">
        <v>7.0</v>
      </c>
    </row>
    <row r="9">
      <c r="A9" s="38" t="s">
        <v>136</v>
      </c>
      <c r="B9" s="39">
        <v>34.0</v>
      </c>
      <c r="C9" s="39">
        <v>36.0</v>
      </c>
      <c r="D9" s="39">
        <v>26.0</v>
      </c>
      <c r="E9" s="39">
        <v>130.0</v>
      </c>
      <c r="F9" s="40">
        <v>24.0</v>
      </c>
      <c r="G9" s="40">
        <v>166.0</v>
      </c>
      <c r="H9" s="40">
        <v>140.0</v>
      </c>
      <c r="I9" s="40">
        <v>138.0</v>
      </c>
      <c r="J9" s="40">
        <v>30.0</v>
      </c>
      <c r="K9" s="40">
        <v>150.0</v>
      </c>
      <c r="L9" s="40">
        <v>30.0</v>
      </c>
      <c r="M9" s="40">
        <v>156.0</v>
      </c>
      <c r="N9" s="40">
        <v>148.0</v>
      </c>
      <c r="O9" s="40">
        <v>142.0</v>
      </c>
      <c r="P9" s="40">
        <v>182.0</v>
      </c>
      <c r="Q9" s="40">
        <v>1532.0</v>
      </c>
      <c r="R9" s="40">
        <v>8.0</v>
      </c>
    </row>
    <row r="10">
      <c r="A10" s="33" t="s">
        <v>125</v>
      </c>
      <c r="B10" s="34">
        <v>140.0</v>
      </c>
      <c r="C10" s="34">
        <v>-8.0</v>
      </c>
      <c r="D10" s="34">
        <v>144.0</v>
      </c>
      <c r="E10" s="34">
        <v>16.0</v>
      </c>
      <c r="F10" s="35">
        <v>160.0</v>
      </c>
      <c r="G10" s="35">
        <v>164.0</v>
      </c>
      <c r="H10" s="35">
        <v>150.0</v>
      </c>
      <c r="I10" s="35">
        <v>180.0</v>
      </c>
      <c r="J10" s="35">
        <v>138.0</v>
      </c>
      <c r="K10" s="35">
        <v>56.0</v>
      </c>
      <c r="L10" s="35">
        <v>134.0</v>
      </c>
      <c r="M10" s="35">
        <v>148.0</v>
      </c>
      <c r="N10" s="35">
        <v>16.0</v>
      </c>
      <c r="O10" s="35">
        <v>50.0</v>
      </c>
      <c r="P10" s="35">
        <v>30.0</v>
      </c>
      <c r="Q10" s="35">
        <v>1518.0</v>
      </c>
      <c r="R10" s="35">
        <v>9.0</v>
      </c>
    </row>
    <row r="11">
      <c r="A11" s="32" t="s">
        <v>328</v>
      </c>
      <c r="B11" s="36">
        <v>38.0</v>
      </c>
      <c r="C11" s="36">
        <v>156.0</v>
      </c>
      <c r="D11" s="36">
        <v>164.0</v>
      </c>
      <c r="E11" s="36">
        <v>130.0</v>
      </c>
      <c r="F11" s="37">
        <v>50.0</v>
      </c>
      <c r="G11" s="37">
        <v>32.0</v>
      </c>
      <c r="H11" s="37">
        <v>48.0</v>
      </c>
      <c r="I11" s="37">
        <v>148.0</v>
      </c>
      <c r="J11" s="37">
        <v>26.0</v>
      </c>
      <c r="K11" s="37">
        <v>162.0</v>
      </c>
      <c r="L11" s="37">
        <v>152.0</v>
      </c>
      <c r="M11" s="37">
        <v>0.0</v>
      </c>
      <c r="N11" s="37">
        <v>150.0</v>
      </c>
      <c r="O11" s="37">
        <v>40.0</v>
      </c>
      <c r="P11" s="37">
        <v>154.0</v>
      </c>
      <c r="Q11" s="37">
        <v>1450.0</v>
      </c>
      <c r="R11" s="37">
        <v>10.0</v>
      </c>
    </row>
    <row r="12">
      <c r="A12" s="33" t="s">
        <v>174</v>
      </c>
      <c r="B12" s="34">
        <v>144.0</v>
      </c>
      <c r="C12" s="34">
        <v>12.0</v>
      </c>
      <c r="D12" s="34">
        <v>146.0</v>
      </c>
      <c r="E12" s="34">
        <v>134.0</v>
      </c>
      <c r="F12" s="35">
        <v>28.0</v>
      </c>
      <c r="G12" s="35">
        <v>162.0</v>
      </c>
      <c r="H12" s="35">
        <v>32.0</v>
      </c>
      <c r="I12" s="35">
        <v>10.0</v>
      </c>
      <c r="J12" s="35">
        <v>156.0</v>
      </c>
      <c r="K12" s="35">
        <v>16.0</v>
      </c>
      <c r="L12" s="35">
        <v>166.0</v>
      </c>
      <c r="M12" s="35">
        <v>36.0</v>
      </c>
      <c r="N12" s="35">
        <v>138.0</v>
      </c>
      <c r="O12" s="35">
        <v>26.0</v>
      </c>
      <c r="P12" s="35">
        <v>158.0</v>
      </c>
      <c r="Q12" s="35">
        <v>1364.0</v>
      </c>
      <c r="R12" s="35">
        <v>11.0</v>
      </c>
    </row>
    <row r="13">
      <c r="A13" s="32" t="s">
        <v>19</v>
      </c>
      <c r="B13" s="36">
        <v>34.0</v>
      </c>
      <c r="C13" s="36">
        <v>176.0</v>
      </c>
      <c r="D13" s="36">
        <v>130.0</v>
      </c>
      <c r="E13" s="36">
        <v>16.0</v>
      </c>
      <c r="F13" s="37">
        <v>8.0</v>
      </c>
      <c r="G13" s="37">
        <v>154.0</v>
      </c>
      <c r="H13" s="37">
        <v>162.0</v>
      </c>
      <c r="I13" s="37">
        <v>80.0</v>
      </c>
      <c r="J13" s="37">
        <v>142.0</v>
      </c>
      <c r="K13" s="37">
        <v>144.0</v>
      </c>
      <c r="L13" s="37">
        <v>30.0</v>
      </c>
      <c r="M13" s="37">
        <v>166.0</v>
      </c>
      <c r="N13" s="37">
        <v>34.0</v>
      </c>
      <c r="O13" s="37">
        <v>40.0</v>
      </c>
      <c r="P13" s="37">
        <v>22.0</v>
      </c>
      <c r="Q13" s="37">
        <v>1338.0</v>
      </c>
      <c r="R13" s="37">
        <v>12.0</v>
      </c>
    </row>
    <row r="14">
      <c r="A14" s="33" t="s">
        <v>91</v>
      </c>
      <c r="B14" s="34">
        <v>30.0</v>
      </c>
      <c r="C14" s="34">
        <v>100.0</v>
      </c>
      <c r="D14" s="34">
        <v>134.0</v>
      </c>
      <c r="E14" s="34">
        <v>26.0</v>
      </c>
      <c r="F14" s="35">
        <v>150.0</v>
      </c>
      <c r="G14" s="35">
        <v>20.0</v>
      </c>
      <c r="H14" s="35">
        <v>30.0</v>
      </c>
      <c r="I14" s="35">
        <v>32.0</v>
      </c>
      <c r="J14" s="35">
        <v>128.0</v>
      </c>
      <c r="K14" s="35">
        <v>146.0</v>
      </c>
      <c r="L14" s="35">
        <v>138.0</v>
      </c>
      <c r="M14" s="35">
        <v>30.0</v>
      </c>
      <c r="N14" s="35">
        <v>162.0</v>
      </c>
      <c r="O14" s="35">
        <v>154.0</v>
      </c>
      <c r="P14" s="35">
        <v>32.0</v>
      </c>
      <c r="Q14" s="35">
        <v>1312.0</v>
      </c>
      <c r="R14" s="35">
        <v>13.0</v>
      </c>
    </row>
    <row r="15">
      <c r="A15" s="32" t="s">
        <v>55</v>
      </c>
      <c r="B15" s="36">
        <v>138.0</v>
      </c>
      <c r="C15" s="36">
        <v>70.0</v>
      </c>
      <c r="D15" s="36">
        <v>26.0</v>
      </c>
      <c r="E15" s="36">
        <v>40.0</v>
      </c>
      <c r="F15" s="37">
        <v>38.0</v>
      </c>
      <c r="G15" s="37">
        <v>36.0</v>
      </c>
      <c r="H15" s="37">
        <v>48.0</v>
      </c>
      <c r="I15" s="37">
        <v>138.0</v>
      </c>
      <c r="J15" s="37">
        <v>132.0</v>
      </c>
      <c r="K15" s="37">
        <v>180.0</v>
      </c>
      <c r="L15" s="37">
        <v>32.0</v>
      </c>
      <c r="M15" s="37">
        <v>26.0</v>
      </c>
      <c r="N15" s="37">
        <v>42.0</v>
      </c>
      <c r="O15" s="37">
        <v>164.0</v>
      </c>
      <c r="P15" s="37">
        <v>156.0</v>
      </c>
      <c r="Q15" s="37">
        <v>1266.0</v>
      </c>
      <c r="R15" s="37">
        <v>14.0</v>
      </c>
    </row>
    <row r="16">
      <c r="A16" s="33" t="s">
        <v>114</v>
      </c>
      <c r="B16" s="34">
        <v>134.0</v>
      </c>
      <c r="C16" s="34">
        <v>178.0</v>
      </c>
      <c r="D16" s="34">
        <v>48.0</v>
      </c>
      <c r="E16" s="35">
        <v>126.0</v>
      </c>
      <c r="F16" s="35">
        <v>164.0</v>
      </c>
      <c r="G16" s="35">
        <v>12.0</v>
      </c>
      <c r="H16" s="35">
        <v>18.0</v>
      </c>
      <c r="I16" s="35">
        <v>80.0</v>
      </c>
      <c r="J16" s="35">
        <v>30.0</v>
      </c>
      <c r="K16" s="35">
        <v>26.0</v>
      </c>
      <c r="L16" s="35">
        <v>44.0</v>
      </c>
      <c r="M16" s="35">
        <v>36.0</v>
      </c>
      <c r="N16" s="35">
        <v>152.0</v>
      </c>
      <c r="O16" s="35">
        <v>170.0</v>
      </c>
      <c r="P16" s="35">
        <v>40.0</v>
      </c>
      <c r="Q16" s="35">
        <v>1258.0</v>
      </c>
      <c r="R16" s="35">
        <v>15.0</v>
      </c>
    </row>
    <row r="17">
      <c r="A17" s="32" t="s">
        <v>79</v>
      </c>
      <c r="B17" s="36">
        <v>12.0</v>
      </c>
      <c r="C17" s="36">
        <v>62.0</v>
      </c>
      <c r="D17" s="36">
        <v>24.0</v>
      </c>
      <c r="E17" s="36">
        <v>26.0</v>
      </c>
      <c r="F17" s="37">
        <v>144.0</v>
      </c>
      <c r="G17" s="37">
        <v>30.0</v>
      </c>
      <c r="H17" s="37">
        <v>22.0</v>
      </c>
      <c r="I17" s="37">
        <v>156.0</v>
      </c>
      <c r="J17" s="37">
        <v>168.0</v>
      </c>
      <c r="K17" s="37">
        <v>68.0</v>
      </c>
      <c r="L17" s="37">
        <v>32.0</v>
      </c>
      <c r="M17" s="37">
        <v>154.0</v>
      </c>
      <c r="N17" s="37">
        <v>44.0</v>
      </c>
      <c r="O17" s="37">
        <v>178.0</v>
      </c>
      <c r="P17" s="37">
        <v>34.0</v>
      </c>
      <c r="Q17" s="37">
        <v>1154.0</v>
      </c>
      <c r="R17" s="37">
        <v>16.0</v>
      </c>
    </row>
    <row r="18">
      <c r="A18" s="33" t="s">
        <v>149</v>
      </c>
      <c r="B18" s="34">
        <v>126.0</v>
      </c>
      <c r="C18" s="34">
        <v>26.0</v>
      </c>
      <c r="D18" s="34">
        <v>20.0</v>
      </c>
      <c r="E18" s="34">
        <v>134.0</v>
      </c>
      <c r="F18" s="35">
        <v>138.0</v>
      </c>
      <c r="G18" s="35">
        <v>32.0</v>
      </c>
      <c r="H18" s="35">
        <v>-4.0</v>
      </c>
      <c r="I18" s="35">
        <v>12.0</v>
      </c>
      <c r="J18" s="35">
        <v>12.0</v>
      </c>
      <c r="K18" s="35">
        <v>174.0</v>
      </c>
      <c r="L18" s="35">
        <v>134.0</v>
      </c>
      <c r="M18" s="35">
        <v>20.0</v>
      </c>
      <c r="N18" s="35">
        <v>12.0</v>
      </c>
      <c r="O18" s="35">
        <v>16.0</v>
      </c>
      <c r="P18" s="35">
        <v>144.0</v>
      </c>
      <c r="Q18" s="35">
        <v>996.0</v>
      </c>
      <c r="R18" s="35">
        <v>17.0</v>
      </c>
    </row>
    <row r="19">
      <c r="A19" s="32" t="s">
        <v>240</v>
      </c>
      <c r="B19" s="36">
        <v>30.0</v>
      </c>
      <c r="C19" s="36">
        <v>4.0</v>
      </c>
      <c r="D19" s="36">
        <v>-4.0</v>
      </c>
      <c r="E19" s="36">
        <v>130.0</v>
      </c>
      <c r="F19" s="37">
        <v>158.0</v>
      </c>
      <c r="G19" s="37">
        <v>8.0</v>
      </c>
      <c r="H19" s="37">
        <v>138.0</v>
      </c>
      <c r="I19" s="37">
        <v>24.0</v>
      </c>
      <c r="J19" s="37">
        <v>26.0</v>
      </c>
      <c r="K19" s="37">
        <v>36.0</v>
      </c>
      <c r="L19" s="37">
        <v>20.0</v>
      </c>
      <c r="M19" s="37">
        <v>134.0</v>
      </c>
      <c r="N19" s="37">
        <v>18.0</v>
      </c>
      <c r="O19" s="37">
        <v>134.0</v>
      </c>
      <c r="P19" s="37">
        <v>140.0</v>
      </c>
      <c r="Q19" s="37">
        <v>996.0</v>
      </c>
      <c r="R19" s="37">
        <v>17.0</v>
      </c>
    </row>
    <row r="20">
      <c r="A20" s="33" t="s">
        <v>251</v>
      </c>
      <c r="B20" s="34">
        <v>20.0</v>
      </c>
      <c r="C20" s="34">
        <v>164.0</v>
      </c>
      <c r="D20" s="34">
        <v>12.0</v>
      </c>
      <c r="E20" s="34">
        <v>20.0</v>
      </c>
      <c r="F20" s="35">
        <v>166.0</v>
      </c>
      <c r="G20" s="35">
        <v>44.0</v>
      </c>
      <c r="H20" s="35">
        <v>40.0</v>
      </c>
      <c r="I20" s="35">
        <v>144.0</v>
      </c>
      <c r="J20" s="35">
        <v>44.0</v>
      </c>
      <c r="K20" s="35">
        <v>30.0</v>
      </c>
      <c r="L20" s="35">
        <v>54.0</v>
      </c>
      <c r="M20" s="35">
        <v>50.0</v>
      </c>
      <c r="N20" s="35">
        <v>34.0</v>
      </c>
      <c r="O20" s="35">
        <v>154.0</v>
      </c>
      <c r="P20" s="35">
        <v>20.0</v>
      </c>
      <c r="Q20" s="35">
        <v>996.0</v>
      </c>
      <c r="R20" s="35">
        <v>17.0</v>
      </c>
    </row>
    <row r="21">
      <c r="A21" s="32" t="s">
        <v>277</v>
      </c>
      <c r="B21" s="36">
        <v>24.0</v>
      </c>
      <c r="C21" s="36">
        <v>74.0</v>
      </c>
      <c r="D21" s="36">
        <v>28.0</v>
      </c>
      <c r="E21" s="36">
        <v>134.0</v>
      </c>
      <c r="F21" s="37">
        <v>22.0</v>
      </c>
      <c r="G21" s="37">
        <v>34.0</v>
      </c>
      <c r="H21" s="37">
        <v>134.0</v>
      </c>
      <c r="I21" s="37">
        <v>24.0</v>
      </c>
      <c r="J21" s="37">
        <v>16.0</v>
      </c>
      <c r="K21" s="37">
        <v>30.0</v>
      </c>
      <c r="L21" s="37">
        <v>20.0</v>
      </c>
      <c r="M21" s="37">
        <v>156.0</v>
      </c>
      <c r="N21" s="37">
        <v>156.0</v>
      </c>
      <c r="O21" s="37">
        <v>126.0</v>
      </c>
      <c r="P21" s="37">
        <v>10.0</v>
      </c>
      <c r="Q21" s="37">
        <v>988.0</v>
      </c>
      <c r="R21" s="37">
        <v>20.0</v>
      </c>
    </row>
    <row r="22">
      <c r="A22" s="33" t="s">
        <v>213</v>
      </c>
      <c r="B22" s="34">
        <v>28.0</v>
      </c>
      <c r="C22" s="34">
        <v>20.0</v>
      </c>
      <c r="D22" s="34">
        <v>26.0</v>
      </c>
      <c r="E22" s="34">
        <v>4.0</v>
      </c>
      <c r="F22" s="35">
        <v>30.0</v>
      </c>
      <c r="G22" s="35">
        <v>194.0</v>
      </c>
      <c r="H22" s="35">
        <v>164.0</v>
      </c>
      <c r="I22" s="35">
        <v>30.0</v>
      </c>
      <c r="J22" s="35">
        <v>20.0</v>
      </c>
      <c r="K22" s="35">
        <v>34.0</v>
      </c>
      <c r="L22" s="35">
        <v>26.0</v>
      </c>
      <c r="M22" s="35">
        <v>44.0</v>
      </c>
      <c r="N22" s="35">
        <v>152.0</v>
      </c>
      <c r="O22" s="35">
        <v>30.0</v>
      </c>
      <c r="P22" s="35">
        <v>150.0</v>
      </c>
      <c r="Q22" s="35">
        <v>952.0</v>
      </c>
      <c r="R22" s="35">
        <v>21.0</v>
      </c>
    </row>
    <row r="23">
      <c r="A23" s="32" t="s">
        <v>198</v>
      </c>
      <c r="B23" s="36">
        <v>16.0</v>
      </c>
      <c r="C23" s="36">
        <v>142.0</v>
      </c>
      <c r="D23" s="36">
        <v>4.0</v>
      </c>
      <c r="E23" s="36">
        <v>24.0</v>
      </c>
      <c r="F23" s="37">
        <v>8.0</v>
      </c>
      <c r="G23" s="37">
        <v>28.0</v>
      </c>
      <c r="H23" s="37">
        <v>26.0</v>
      </c>
      <c r="I23" s="37">
        <v>44.0</v>
      </c>
      <c r="J23" s="37">
        <v>24.0</v>
      </c>
      <c r="K23" s="37">
        <v>22.0</v>
      </c>
      <c r="L23" s="37">
        <v>148.0</v>
      </c>
      <c r="M23" s="37">
        <v>130.0</v>
      </c>
      <c r="N23" s="37">
        <v>138.0</v>
      </c>
      <c r="O23" s="37">
        <v>144.0</v>
      </c>
      <c r="P23" s="37">
        <v>38.0</v>
      </c>
      <c r="Q23" s="37">
        <v>936.0</v>
      </c>
      <c r="R23" s="37">
        <v>22.0</v>
      </c>
    </row>
    <row r="24">
      <c r="A24" s="33" t="s">
        <v>186</v>
      </c>
      <c r="B24" s="34">
        <v>8.0</v>
      </c>
      <c r="C24" s="34">
        <v>146.0</v>
      </c>
      <c r="D24" s="34">
        <v>138.0</v>
      </c>
      <c r="E24" s="34">
        <v>14.0</v>
      </c>
      <c r="F24" s="35">
        <v>48.0</v>
      </c>
      <c r="G24" s="35">
        <v>148.0</v>
      </c>
      <c r="H24" s="35">
        <v>26.0</v>
      </c>
      <c r="I24" s="35">
        <v>130.0</v>
      </c>
      <c r="J24" s="35">
        <v>20.0</v>
      </c>
      <c r="K24" s="35">
        <v>40.0</v>
      </c>
      <c r="L24" s="35">
        <v>124.0</v>
      </c>
      <c r="M24" s="35">
        <v>36.0</v>
      </c>
      <c r="N24" s="35">
        <v>8.0</v>
      </c>
      <c r="O24" s="35">
        <v>8.0</v>
      </c>
      <c r="P24" s="35">
        <v>30.0</v>
      </c>
      <c r="Q24" s="35">
        <v>924.0</v>
      </c>
      <c r="R24" s="35">
        <v>23.0</v>
      </c>
    </row>
    <row r="25">
      <c r="A25" s="32" t="s">
        <v>44</v>
      </c>
      <c r="B25" s="36">
        <v>142.0</v>
      </c>
      <c r="C25" s="36">
        <v>4.0</v>
      </c>
      <c r="D25" s="36">
        <v>140.0</v>
      </c>
      <c r="E25" s="36">
        <v>128.0</v>
      </c>
      <c r="F25" s="37">
        <v>0.0</v>
      </c>
      <c r="G25" s="37">
        <v>0.0</v>
      </c>
      <c r="H25" s="37">
        <v>8.0</v>
      </c>
      <c r="I25" s="37">
        <v>4.0</v>
      </c>
      <c r="J25" s="37">
        <v>8.0</v>
      </c>
      <c r="K25" s="37">
        <v>116.0</v>
      </c>
      <c r="L25" s="37">
        <v>0.0</v>
      </c>
      <c r="M25" s="37">
        <v>16.0</v>
      </c>
      <c r="N25" s="37">
        <v>8.0</v>
      </c>
      <c r="O25" s="37">
        <v>8.0</v>
      </c>
      <c r="P25" s="37">
        <v>20.0</v>
      </c>
      <c r="Q25" s="37">
        <v>602.0</v>
      </c>
      <c r="R25" s="37">
        <v>24.0</v>
      </c>
    </row>
    <row r="26">
      <c r="A26" s="33" t="s">
        <v>225</v>
      </c>
      <c r="B26" s="34">
        <v>144.0</v>
      </c>
      <c r="C26" s="34">
        <v>100.0</v>
      </c>
      <c r="D26" s="34">
        <v>26.0</v>
      </c>
      <c r="E26" s="34">
        <v>12.0</v>
      </c>
      <c r="F26" s="35">
        <v>128.0</v>
      </c>
      <c r="G26" s="35">
        <v>22.0</v>
      </c>
      <c r="H26" s="35">
        <v>26.0</v>
      </c>
      <c r="I26" s="35">
        <v>12.0</v>
      </c>
      <c r="J26" s="35">
        <v>12.0</v>
      </c>
      <c r="K26" s="35">
        <v>4.0</v>
      </c>
      <c r="L26" s="35">
        <v>8.0</v>
      </c>
      <c r="M26" s="35">
        <v>34.0</v>
      </c>
      <c r="N26" s="35">
        <v>12.0</v>
      </c>
      <c r="O26" s="35">
        <v>18.0</v>
      </c>
      <c r="P26" s="35">
        <v>12.0</v>
      </c>
      <c r="Q26" s="35">
        <v>570.0</v>
      </c>
      <c r="R26" s="35">
        <v>25.0</v>
      </c>
    </row>
    <row r="27">
      <c r="A27" s="32" t="s">
        <v>101</v>
      </c>
      <c r="B27" s="36">
        <v>12.0</v>
      </c>
      <c r="C27" s="36">
        <v>20.0</v>
      </c>
      <c r="D27" s="36">
        <v>32.0</v>
      </c>
      <c r="E27" s="36">
        <v>14.0</v>
      </c>
      <c r="F27" s="37">
        <v>16.0</v>
      </c>
      <c r="G27" s="37">
        <v>12.0</v>
      </c>
      <c r="H27" s="37">
        <v>124.0</v>
      </c>
      <c r="I27" s="37">
        <v>0.0</v>
      </c>
      <c r="J27" s="37">
        <v>20.0</v>
      </c>
      <c r="K27" s="37">
        <v>12.0</v>
      </c>
      <c r="L27" s="37">
        <v>4.0</v>
      </c>
      <c r="M27" s="37">
        <v>16.0</v>
      </c>
      <c r="N27" s="37">
        <v>4.0</v>
      </c>
      <c r="O27" s="37">
        <v>12.0</v>
      </c>
      <c r="P27" s="37">
        <v>8.0</v>
      </c>
      <c r="Q27" s="37">
        <v>306.0</v>
      </c>
      <c r="R27" s="37">
        <v>26.0</v>
      </c>
    </row>
  </sheetData>
  <customSheetViews>
    <customSheetView guid="{6969A205-23C7-43C3-A484-34C1E8400D07}" filter="1" showAutoFilter="1">
      <autoFilter ref="$A$1:$R$27"/>
    </customSheetView>
  </customSheetView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5"/>
    <col customWidth="1" min="2" max="16" width="9.88"/>
  </cols>
  <sheetData>
    <row r="1">
      <c r="A1" s="32" t="s">
        <v>333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  <c r="I1" s="32" t="s">
        <v>9</v>
      </c>
      <c r="J1" s="32" t="s">
        <v>10</v>
      </c>
      <c r="K1" s="32" t="s">
        <v>11</v>
      </c>
      <c r="L1" s="32" t="s">
        <v>12</v>
      </c>
      <c r="M1" s="32" t="s">
        <v>13</v>
      </c>
      <c r="N1" s="32" t="s">
        <v>14</v>
      </c>
      <c r="O1" s="32" t="s">
        <v>15</v>
      </c>
      <c r="P1" s="32" t="s">
        <v>16</v>
      </c>
      <c r="Q1" s="32" t="s">
        <v>334</v>
      </c>
      <c r="R1" s="32" t="s">
        <v>22</v>
      </c>
    </row>
    <row r="2">
      <c r="A2" s="41" t="str">
        <f t="array" ref="A2:R25">sort(TeamComp!A2:R25, 18, TRUE)</f>
        <v>North Hollywood A</v>
      </c>
      <c r="B2" s="39">
        <v>262.0</v>
      </c>
      <c r="C2" s="39">
        <v>254.0</v>
      </c>
      <c r="D2" s="39">
        <v>200.0</v>
      </c>
      <c r="E2" s="39">
        <v>208.0</v>
      </c>
      <c r="F2" s="40">
        <v>194.0</v>
      </c>
      <c r="G2" s="40">
        <v>256.0</v>
      </c>
      <c r="H2" s="40">
        <v>196.0</v>
      </c>
      <c r="I2" s="40">
        <v>216.0</v>
      </c>
      <c r="J2" s="40">
        <v>220.0</v>
      </c>
      <c r="K2" s="40">
        <v>216.0</v>
      </c>
      <c r="L2" s="40">
        <v>206.0</v>
      </c>
      <c r="M2" s="40">
        <v>280.0</v>
      </c>
      <c r="N2" s="40">
        <v>60.0</v>
      </c>
      <c r="O2" s="40">
        <v>266.0</v>
      </c>
      <c r="P2" s="40">
        <v>88.0</v>
      </c>
      <c r="Q2" s="40">
        <v>3122.0</v>
      </c>
      <c r="R2" s="40">
        <v>1.0</v>
      </c>
    </row>
    <row r="3">
      <c r="A3" s="38" t="s">
        <v>151</v>
      </c>
      <c r="B3" s="39">
        <v>246.0</v>
      </c>
      <c r="C3" s="39">
        <v>276.0</v>
      </c>
      <c r="D3" s="39">
        <v>226.0</v>
      </c>
      <c r="E3" s="39">
        <v>256.0</v>
      </c>
      <c r="F3" s="40">
        <v>56.0</v>
      </c>
      <c r="G3" s="40">
        <v>232.0</v>
      </c>
      <c r="H3" s="40">
        <v>206.0</v>
      </c>
      <c r="I3" s="40">
        <v>178.0</v>
      </c>
      <c r="J3" s="40">
        <v>186.0</v>
      </c>
      <c r="K3" s="40">
        <v>56.0</v>
      </c>
      <c r="L3" s="40">
        <v>250.0</v>
      </c>
      <c r="M3" s="40">
        <v>310.0</v>
      </c>
      <c r="N3" s="40">
        <v>222.0</v>
      </c>
      <c r="O3" s="40">
        <v>150.0</v>
      </c>
      <c r="P3" s="40">
        <v>248.0</v>
      </c>
      <c r="Q3" s="40">
        <v>3098.0</v>
      </c>
      <c r="R3" s="40">
        <v>2.0</v>
      </c>
    </row>
    <row r="4">
      <c r="A4" s="38" t="s">
        <v>261</v>
      </c>
      <c r="B4" s="39">
        <v>224.0</v>
      </c>
      <c r="C4" s="39">
        <v>242.0</v>
      </c>
      <c r="D4" s="39">
        <v>252.0</v>
      </c>
      <c r="E4" s="39">
        <v>218.0</v>
      </c>
      <c r="F4" s="40">
        <v>236.0</v>
      </c>
      <c r="G4" s="40">
        <v>244.0</v>
      </c>
      <c r="H4" s="40">
        <v>196.0</v>
      </c>
      <c r="I4" s="40">
        <v>196.0</v>
      </c>
      <c r="J4" s="40">
        <v>72.0</v>
      </c>
      <c r="K4" s="40">
        <v>228.0</v>
      </c>
      <c r="L4" s="40">
        <v>210.0</v>
      </c>
      <c r="M4" s="40">
        <v>236.0</v>
      </c>
      <c r="N4" s="40">
        <v>236.0</v>
      </c>
      <c r="O4" s="40">
        <v>62.0</v>
      </c>
      <c r="P4" s="40">
        <v>194.0</v>
      </c>
      <c r="Q4" s="40">
        <v>3046.0</v>
      </c>
      <c r="R4" s="40">
        <v>3.0</v>
      </c>
    </row>
    <row r="5">
      <c r="A5" s="38" t="s">
        <v>72</v>
      </c>
      <c r="B5" s="39">
        <v>184.0</v>
      </c>
      <c r="C5" s="39">
        <v>302.0</v>
      </c>
      <c r="D5" s="39">
        <v>216.0</v>
      </c>
      <c r="E5" s="39">
        <v>164.0</v>
      </c>
      <c r="F5" s="40">
        <v>170.0</v>
      </c>
      <c r="G5" s="40">
        <v>228.0</v>
      </c>
      <c r="H5" s="40">
        <v>178.0</v>
      </c>
      <c r="I5" s="40">
        <v>208.0</v>
      </c>
      <c r="J5" s="40">
        <v>174.0</v>
      </c>
      <c r="K5" s="40">
        <v>74.0</v>
      </c>
      <c r="L5" s="40">
        <v>184.0</v>
      </c>
      <c r="M5" s="40">
        <v>220.0</v>
      </c>
      <c r="N5" s="40">
        <v>246.0</v>
      </c>
      <c r="O5" s="40">
        <v>220.0</v>
      </c>
      <c r="P5" s="40">
        <v>226.0</v>
      </c>
      <c r="Q5" s="40">
        <v>2994.0</v>
      </c>
      <c r="R5" s="40">
        <v>4.0</v>
      </c>
    </row>
    <row r="6">
      <c r="A6" s="38" t="s">
        <v>166</v>
      </c>
      <c r="B6" s="39">
        <v>204.0</v>
      </c>
      <c r="C6" s="39">
        <v>270.0</v>
      </c>
      <c r="D6" s="39">
        <v>212.0</v>
      </c>
      <c r="E6" s="39">
        <v>198.0</v>
      </c>
      <c r="F6" s="40">
        <v>224.0</v>
      </c>
      <c r="G6" s="40">
        <v>46.0</v>
      </c>
      <c r="H6" s="40">
        <v>56.0</v>
      </c>
      <c r="I6" s="40">
        <v>28.0</v>
      </c>
      <c r="J6" s="40">
        <v>246.0</v>
      </c>
      <c r="K6" s="40">
        <v>180.0</v>
      </c>
      <c r="L6" s="40">
        <v>186.0</v>
      </c>
      <c r="M6" s="40">
        <v>274.0</v>
      </c>
      <c r="N6" s="40">
        <v>202.0</v>
      </c>
      <c r="O6" s="40">
        <v>242.0</v>
      </c>
      <c r="P6" s="40">
        <v>210.0</v>
      </c>
      <c r="Q6" s="40">
        <v>2778.0</v>
      </c>
      <c r="R6" s="40">
        <v>5.0</v>
      </c>
    </row>
    <row r="7">
      <c r="A7" s="38" t="s">
        <v>35</v>
      </c>
      <c r="B7" s="39">
        <v>54.0</v>
      </c>
      <c r="C7" s="39">
        <v>186.0</v>
      </c>
      <c r="D7" s="39">
        <v>196.0</v>
      </c>
      <c r="E7" s="39">
        <v>228.0</v>
      </c>
      <c r="F7" s="40">
        <v>180.0</v>
      </c>
      <c r="G7" s="40">
        <v>54.0</v>
      </c>
      <c r="H7" s="40">
        <v>52.0</v>
      </c>
      <c r="I7" s="40">
        <v>174.0</v>
      </c>
      <c r="J7" s="40">
        <v>220.0</v>
      </c>
      <c r="K7" s="40">
        <v>172.0</v>
      </c>
      <c r="L7" s="40">
        <v>194.0</v>
      </c>
      <c r="M7" s="40">
        <v>292.0</v>
      </c>
      <c r="N7" s="40">
        <v>66.0</v>
      </c>
      <c r="O7" s="40">
        <v>216.0</v>
      </c>
      <c r="P7" s="40">
        <v>192.0</v>
      </c>
      <c r="Q7" s="40">
        <v>2476.0</v>
      </c>
      <c r="R7" s="40">
        <v>6.0</v>
      </c>
    </row>
    <row r="8">
      <c r="A8" s="38" t="s">
        <v>131</v>
      </c>
      <c r="B8" s="39">
        <v>32.0</v>
      </c>
      <c r="C8" s="39">
        <v>86.0</v>
      </c>
      <c r="D8" s="39">
        <v>52.0</v>
      </c>
      <c r="E8" s="39">
        <v>158.0</v>
      </c>
      <c r="F8" s="40">
        <v>188.0</v>
      </c>
      <c r="G8" s="40">
        <v>256.0</v>
      </c>
      <c r="H8" s="40">
        <v>44.0</v>
      </c>
      <c r="I8" s="40">
        <v>190.0</v>
      </c>
      <c r="J8" s="40">
        <v>238.0</v>
      </c>
      <c r="K8" s="40">
        <v>218.0</v>
      </c>
      <c r="L8" s="40">
        <v>200.0</v>
      </c>
      <c r="M8" s="40">
        <v>286.0</v>
      </c>
      <c r="N8" s="40">
        <v>216.0</v>
      </c>
      <c r="O8" s="40">
        <v>186.0</v>
      </c>
      <c r="P8" s="40">
        <v>60.0</v>
      </c>
      <c r="Q8" s="40">
        <v>2410.0</v>
      </c>
      <c r="R8" s="40">
        <v>7.0</v>
      </c>
    </row>
    <row r="9">
      <c r="A9" s="38" t="s">
        <v>223</v>
      </c>
      <c r="B9" s="39">
        <v>218.0</v>
      </c>
      <c r="C9" s="39">
        <v>252.0</v>
      </c>
      <c r="D9" s="39">
        <v>186.0</v>
      </c>
      <c r="E9" s="39">
        <v>198.0</v>
      </c>
      <c r="F9" s="40">
        <v>180.0</v>
      </c>
      <c r="G9" s="40">
        <v>220.0</v>
      </c>
      <c r="H9" s="40">
        <v>234.0</v>
      </c>
      <c r="I9" s="40">
        <v>156.0</v>
      </c>
      <c r="J9" s="40">
        <v>50.0</v>
      </c>
      <c r="K9" s="40">
        <v>172.0</v>
      </c>
      <c r="L9" s="40">
        <v>36.0</v>
      </c>
      <c r="M9" s="40">
        <v>80.0</v>
      </c>
      <c r="N9" s="40">
        <v>196.0</v>
      </c>
      <c r="O9" s="40">
        <v>178.0</v>
      </c>
      <c r="P9" s="39">
        <v>54.0</v>
      </c>
      <c r="Q9" s="40">
        <v>2410.0</v>
      </c>
      <c r="R9" s="40">
        <v>7.0</v>
      </c>
    </row>
    <row r="10">
      <c r="A10" s="33" t="s">
        <v>176</v>
      </c>
      <c r="B10" s="34">
        <v>182.0</v>
      </c>
      <c r="C10" s="34">
        <v>50.0</v>
      </c>
      <c r="D10" s="34">
        <v>214.0</v>
      </c>
      <c r="E10" s="34">
        <v>194.0</v>
      </c>
      <c r="F10" s="35">
        <v>36.0</v>
      </c>
      <c r="G10" s="35">
        <v>188.0</v>
      </c>
      <c r="H10" s="35">
        <v>178.0</v>
      </c>
      <c r="I10" s="35">
        <v>148.0</v>
      </c>
      <c r="J10" s="35">
        <v>186.0</v>
      </c>
      <c r="K10" s="35">
        <v>184.0</v>
      </c>
      <c r="L10" s="35">
        <v>22.0</v>
      </c>
      <c r="M10" s="35">
        <v>260.0</v>
      </c>
      <c r="N10" s="35">
        <v>200.0</v>
      </c>
      <c r="O10" s="35">
        <v>78.0</v>
      </c>
      <c r="P10" s="35">
        <v>60.0</v>
      </c>
      <c r="Q10" s="35">
        <v>2180.0</v>
      </c>
      <c r="R10" s="35">
        <v>9.0</v>
      </c>
    </row>
    <row r="11">
      <c r="A11" s="32" t="s">
        <v>248</v>
      </c>
      <c r="B11" s="36">
        <v>56.0</v>
      </c>
      <c r="C11" s="36">
        <v>224.0</v>
      </c>
      <c r="D11" s="36">
        <v>82.0</v>
      </c>
      <c r="E11" s="36">
        <v>178.0</v>
      </c>
      <c r="F11" s="37">
        <v>52.0</v>
      </c>
      <c r="G11" s="37">
        <v>68.0</v>
      </c>
      <c r="H11" s="37">
        <v>162.0</v>
      </c>
      <c r="I11" s="37">
        <v>196.0</v>
      </c>
      <c r="J11" s="37">
        <v>188.0</v>
      </c>
      <c r="K11" s="37">
        <v>186.0</v>
      </c>
      <c r="L11" s="37">
        <v>166.0</v>
      </c>
      <c r="M11" s="37">
        <v>188.0</v>
      </c>
      <c r="N11" s="37">
        <v>200.0</v>
      </c>
      <c r="O11" s="37">
        <v>150.0</v>
      </c>
      <c r="P11" s="37">
        <v>16.0</v>
      </c>
      <c r="Q11" s="37">
        <v>2112.0</v>
      </c>
      <c r="R11" s="37">
        <v>10.0</v>
      </c>
    </row>
    <row r="12">
      <c r="A12" s="33" t="s">
        <v>61</v>
      </c>
      <c r="B12" s="34">
        <v>44.0</v>
      </c>
      <c r="C12" s="34">
        <v>62.0</v>
      </c>
      <c r="D12" s="34">
        <v>212.0</v>
      </c>
      <c r="E12" s="34">
        <v>36.0</v>
      </c>
      <c r="F12" s="35">
        <v>176.0</v>
      </c>
      <c r="G12" s="35">
        <v>170.0</v>
      </c>
      <c r="H12" s="35">
        <v>190.0</v>
      </c>
      <c r="I12" s="35">
        <v>50.0</v>
      </c>
      <c r="J12" s="35">
        <v>34.0</v>
      </c>
      <c r="K12" s="35">
        <v>58.0</v>
      </c>
      <c r="L12" s="35">
        <v>152.0</v>
      </c>
      <c r="M12" s="35">
        <v>254.0</v>
      </c>
      <c r="N12" s="35">
        <v>164.0</v>
      </c>
      <c r="O12" s="35">
        <v>58.0</v>
      </c>
      <c r="P12" s="35">
        <v>180.0</v>
      </c>
      <c r="Q12" s="35">
        <v>1840.0</v>
      </c>
      <c r="R12" s="35">
        <v>11.0</v>
      </c>
    </row>
    <row r="13">
      <c r="A13" s="32" t="s">
        <v>210</v>
      </c>
      <c r="B13" s="36">
        <v>50.0</v>
      </c>
      <c r="C13" s="36">
        <v>246.0</v>
      </c>
      <c r="D13" s="36">
        <v>34.0</v>
      </c>
      <c r="E13" s="36">
        <v>92.0</v>
      </c>
      <c r="F13" s="37">
        <v>78.0</v>
      </c>
      <c r="G13" s="37">
        <v>186.0</v>
      </c>
      <c r="H13" s="37">
        <v>172.0</v>
      </c>
      <c r="I13" s="37">
        <v>62.0</v>
      </c>
      <c r="J13" s="37">
        <v>40.0</v>
      </c>
      <c r="K13" s="37">
        <v>204.0</v>
      </c>
      <c r="L13" s="37">
        <v>46.0</v>
      </c>
      <c r="M13" s="37">
        <v>226.0</v>
      </c>
      <c r="N13" s="37">
        <v>80.0</v>
      </c>
      <c r="O13" s="37">
        <v>48.0</v>
      </c>
      <c r="P13" s="37">
        <v>200.0</v>
      </c>
      <c r="Q13" s="37">
        <v>1764.0</v>
      </c>
      <c r="R13" s="37">
        <v>12.0</v>
      </c>
    </row>
    <row r="14">
      <c r="A14" s="33" t="s">
        <v>299</v>
      </c>
      <c r="B14" s="34">
        <v>164.0</v>
      </c>
      <c r="C14" s="34">
        <v>28.0</v>
      </c>
      <c r="D14" s="34">
        <v>44.0</v>
      </c>
      <c r="E14" s="34">
        <v>184.0</v>
      </c>
      <c r="F14" s="35">
        <v>180.0</v>
      </c>
      <c r="G14" s="35">
        <v>64.0</v>
      </c>
      <c r="H14" s="35">
        <v>54.0</v>
      </c>
      <c r="I14" s="35">
        <v>176.0</v>
      </c>
      <c r="J14" s="35">
        <v>50.0</v>
      </c>
      <c r="K14" s="35">
        <v>62.0</v>
      </c>
      <c r="L14" s="35">
        <v>186.0</v>
      </c>
      <c r="M14" s="35">
        <v>40.0</v>
      </c>
      <c r="N14" s="35">
        <v>172.0</v>
      </c>
      <c r="O14" s="35">
        <v>182.0</v>
      </c>
      <c r="P14" s="35">
        <v>172.0</v>
      </c>
      <c r="Q14" s="35">
        <v>1758.0</v>
      </c>
      <c r="R14" s="35">
        <v>13.0</v>
      </c>
    </row>
    <row r="15">
      <c r="A15" s="32" t="s">
        <v>24</v>
      </c>
      <c r="B15" s="36">
        <v>174.0</v>
      </c>
      <c r="C15" s="36">
        <v>180.0</v>
      </c>
      <c r="D15" s="36">
        <v>86.0</v>
      </c>
      <c r="E15" s="36">
        <v>34.0</v>
      </c>
      <c r="F15" s="37">
        <v>8.0</v>
      </c>
      <c r="G15" s="37">
        <v>34.0</v>
      </c>
      <c r="H15" s="37">
        <v>60.0</v>
      </c>
      <c r="I15" s="37">
        <v>46.0</v>
      </c>
      <c r="J15" s="37">
        <v>174.0</v>
      </c>
      <c r="K15" s="37">
        <v>148.0</v>
      </c>
      <c r="L15" s="37">
        <v>152.0</v>
      </c>
      <c r="M15" s="37">
        <v>60.0</v>
      </c>
      <c r="N15" s="37">
        <v>36.0</v>
      </c>
      <c r="O15" s="37">
        <v>172.0</v>
      </c>
      <c r="P15" s="37">
        <v>76.0</v>
      </c>
      <c r="Q15" s="37">
        <v>1440.0</v>
      </c>
      <c r="R15" s="37">
        <v>14.0</v>
      </c>
    </row>
    <row r="16">
      <c r="A16" s="33" t="s">
        <v>120</v>
      </c>
      <c r="B16" s="34">
        <v>194.0</v>
      </c>
      <c r="C16" s="34">
        <v>40.0</v>
      </c>
      <c r="D16" s="34">
        <v>56.0</v>
      </c>
      <c r="E16" s="34">
        <v>28.0</v>
      </c>
      <c r="F16" s="35">
        <v>174.0</v>
      </c>
      <c r="G16" s="35">
        <v>42.0</v>
      </c>
      <c r="H16" s="35">
        <v>196.0</v>
      </c>
      <c r="I16" s="35">
        <v>48.0</v>
      </c>
      <c r="J16" s="35">
        <v>40.0</v>
      </c>
      <c r="K16" s="35">
        <v>186.0</v>
      </c>
      <c r="L16" s="35">
        <v>18.0</v>
      </c>
      <c r="M16" s="35">
        <v>48.0</v>
      </c>
      <c r="N16" s="35">
        <v>34.0</v>
      </c>
      <c r="O16" s="35">
        <v>204.0</v>
      </c>
      <c r="P16" s="35">
        <v>60.0</v>
      </c>
      <c r="Q16" s="35">
        <v>1368.0</v>
      </c>
      <c r="R16" s="35">
        <v>15.0</v>
      </c>
    </row>
    <row r="17">
      <c r="A17" s="32" t="s">
        <v>188</v>
      </c>
      <c r="B17" s="36">
        <v>34.0</v>
      </c>
      <c r="C17" s="36">
        <v>250.0</v>
      </c>
      <c r="D17" s="36">
        <v>12.0</v>
      </c>
      <c r="E17" s="36">
        <v>164.0</v>
      </c>
      <c r="F17" s="37">
        <v>168.0</v>
      </c>
      <c r="G17" s="37">
        <v>12.0</v>
      </c>
      <c r="H17" s="37">
        <v>164.0</v>
      </c>
      <c r="I17" s="37">
        <v>26.0</v>
      </c>
      <c r="J17" s="37">
        <v>180.0</v>
      </c>
      <c r="K17" s="37">
        <v>44.0</v>
      </c>
      <c r="L17" s="37">
        <v>8.0</v>
      </c>
      <c r="M17" s="37">
        <v>46.0</v>
      </c>
      <c r="N17" s="37">
        <v>46.0</v>
      </c>
      <c r="O17" s="37">
        <v>176.0</v>
      </c>
      <c r="P17" s="37">
        <v>24.0</v>
      </c>
      <c r="Q17" s="37">
        <v>1354.0</v>
      </c>
      <c r="R17" s="37">
        <v>16.0</v>
      </c>
    </row>
    <row r="18">
      <c r="A18" s="33" t="s">
        <v>309</v>
      </c>
      <c r="B18" s="34">
        <v>172.0</v>
      </c>
      <c r="C18" s="34">
        <v>8.0</v>
      </c>
      <c r="D18" s="34">
        <v>168.0</v>
      </c>
      <c r="E18" s="34">
        <v>20.0</v>
      </c>
      <c r="F18" s="35">
        <v>18.0</v>
      </c>
      <c r="G18" s="35">
        <v>164.0</v>
      </c>
      <c r="H18" s="35">
        <v>54.0</v>
      </c>
      <c r="I18" s="35">
        <v>150.0</v>
      </c>
      <c r="J18" s="35">
        <v>150.0</v>
      </c>
      <c r="K18" s="35">
        <v>0.0</v>
      </c>
      <c r="L18" s="35">
        <v>164.0</v>
      </c>
      <c r="M18" s="35">
        <v>16.0</v>
      </c>
      <c r="N18" s="35">
        <v>158.0</v>
      </c>
      <c r="O18" s="35">
        <v>66.0</v>
      </c>
      <c r="P18" s="35">
        <v>30.0</v>
      </c>
      <c r="Q18" s="35">
        <v>1338.0</v>
      </c>
      <c r="R18" s="35">
        <v>17.0</v>
      </c>
    </row>
    <row r="19">
      <c r="A19" s="32" t="s">
        <v>84</v>
      </c>
      <c r="B19" s="36">
        <v>32.0</v>
      </c>
      <c r="C19" s="36">
        <v>32.0</v>
      </c>
      <c r="D19" s="36">
        <v>200.0</v>
      </c>
      <c r="E19" s="36">
        <v>60.0</v>
      </c>
      <c r="F19" s="37">
        <v>42.0</v>
      </c>
      <c r="G19" s="37">
        <v>40.0</v>
      </c>
      <c r="H19" s="37">
        <v>168.0</v>
      </c>
      <c r="I19" s="37">
        <v>8.0</v>
      </c>
      <c r="J19" s="37">
        <v>148.0</v>
      </c>
      <c r="K19" s="37">
        <v>178.0</v>
      </c>
      <c r="L19" s="37">
        <v>38.0</v>
      </c>
      <c r="M19" s="37">
        <v>60.0</v>
      </c>
      <c r="N19" s="37">
        <v>50.0</v>
      </c>
      <c r="O19" s="37">
        <v>42.0</v>
      </c>
      <c r="P19" s="37">
        <v>166.0</v>
      </c>
      <c r="Q19" s="37">
        <v>1264.0</v>
      </c>
      <c r="R19" s="37">
        <v>18.0</v>
      </c>
    </row>
    <row r="20">
      <c r="A20" s="33" t="s">
        <v>200</v>
      </c>
      <c r="B20" s="34">
        <v>170.0</v>
      </c>
      <c r="C20" s="34">
        <v>24.0</v>
      </c>
      <c r="D20" s="34">
        <v>26.0</v>
      </c>
      <c r="E20" s="34">
        <v>6.0</v>
      </c>
      <c r="F20" s="35">
        <v>44.0</v>
      </c>
      <c r="G20" s="35">
        <v>180.0</v>
      </c>
      <c r="H20" s="35">
        <v>24.0</v>
      </c>
      <c r="I20" s="35">
        <v>142.0</v>
      </c>
      <c r="J20" s="35">
        <v>74.0</v>
      </c>
      <c r="K20" s="35">
        <v>4.0</v>
      </c>
      <c r="L20" s="35">
        <v>12.0</v>
      </c>
      <c r="M20" s="35">
        <v>194.0</v>
      </c>
      <c r="N20" s="35">
        <v>52.0</v>
      </c>
      <c r="O20" s="35">
        <v>44.0</v>
      </c>
      <c r="P20" s="35">
        <v>40.0</v>
      </c>
      <c r="Q20" s="35">
        <v>1036.0</v>
      </c>
      <c r="R20" s="35">
        <v>19.0</v>
      </c>
    </row>
    <row r="21">
      <c r="A21" s="32" t="s">
        <v>48</v>
      </c>
      <c r="B21" s="36">
        <v>68.0</v>
      </c>
      <c r="C21" s="36">
        <v>14.0</v>
      </c>
      <c r="D21" s="36">
        <v>6.0</v>
      </c>
      <c r="E21" s="36">
        <v>30.0</v>
      </c>
      <c r="F21" s="37">
        <v>74.0</v>
      </c>
      <c r="G21" s="37">
        <v>8.0</v>
      </c>
      <c r="H21" s="37">
        <v>16.0</v>
      </c>
      <c r="I21" s="37">
        <v>38.0</v>
      </c>
      <c r="J21" s="37">
        <v>22.0</v>
      </c>
      <c r="K21" s="37">
        <v>16.0</v>
      </c>
      <c r="L21" s="37">
        <v>16.0</v>
      </c>
      <c r="M21" s="37">
        <v>50.0</v>
      </c>
      <c r="N21" s="37">
        <v>156.0</v>
      </c>
      <c r="O21" s="37">
        <v>156.0</v>
      </c>
      <c r="P21" s="37">
        <v>156.0</v>
      </c>
      <c r="Q21" s="37">
        <v>826.0</v>
      </c>
      <c r="R21" s="37">
        <v>20.0</v>
      </c>
    </row>
    <row r="22">
      <c r="A22" s="33" t="s">
        <v>235</v>
      </c>
      <c r="B22" s="34">
        <v>12.0</v>
      </c>
      <c r="C22" s="34">
        <v>44.0</v>
      </c>
      <c r="D22" s="34">
        <v>176.0</v>
      </c>
      <c r="E22" s="34">
        <v>16.0</v>
      </c>
      <c r="F22" s="35">
        <v>26.0</v>
      </c>
      <c r="G22" s="35">
        <v>156.0</v>
      </c>
      <c r="H22" s="35">
        <v>0.0</v>
      </c>
      <c r="I22" s="35">
        <v>12.0</v>
      </c>
      <c r="J22" s="35">
        <v>46.0</v>
      </c>
      <c r="K22" s="35">
        <v>22.0</v>
      </c>
      <c r="L22" s="35">
        <v>14.0</v>
      </c>
      <c r="M22" s="35">
        <v>26.0</v>
      </c>
      <c r="N22" s="35">
        <v>24.0</v>
      </c>
      <c r="O22" s="35">
        <v>36.0</v>
      </c>
      <c r="P22" s="35">
        <v>142.0</v>
      </c>
      <c r="Q22" s="35">
        <v>752.0</v>
      </c>
      <c r="R22" s="35">
        <v>21.0</v>
      </c>
    </row>
    <row r="23">
      <c r="A23" s="32" t="s">
        <v>97</v>
      </c>
      <c r="B23" s="36">
        <v>26.0</v>
      </c>
      <c r="C23" s="36">
        <v>24.0</v>
      </c>
      <c r="D23" s="36">
        <v>30.0</v>
      </c>
      <c r="E23" s="36">
        <v>26.0</v>
      </c>
      <c r="F23" s="37">
        <v>28.0</v>
      </c>
      <c r="G23" s="37">
        <v>36.0</v>
      </c>
      <c r="H23" s="37">
        <v>20.0</v>
      </c>
      <c r="I23" s="37">
        <v>34.0</v>
      </c>
      <c r="J23" s="37">
        <v>4.0</v>
      </c>
      <c r="K23" s="37">
        <v>24.0</v>
      </c>
      <c r="L23" s="37">
        <v>4.0</v>
      </c>
      <c r="M23" s="37">
        <v>32.0</v>
      </c>
      <c r="N23" s="37">
        <v>16.0</v>
      </c>
      <c r="O23" s="37">
        <v>12.0</v>
      </c>
      <c r="P23" s="37">
        <v>160.0</v>
      </c>
      <c r="Q23" s="37">
        <v>476.0</v>
      </c>
      <c r="R23" s="37">
        <v>22.0</v>
      </c>
    </row>
    <row r="24">
      <c r="A24" s="33" t="s">
        <v>285</v>
      </c>
      <c r="B24" s="34">
        <v>30.0</v>
      </c>
      <c r="C24" s="34">
        <v>12.0</v>
      </c>
      <c r="D24" s="34">
        <v>4.0</v>
      </c>
      <c r="E24" s="34">
        <v>32.0</v>
      </c>
      <c r="F24" s="35">
        <v>74.0</v>
      </c>
      <c r="G24" s="35">
        <v>18.0</v>
      </c>
      <c r="H24" s="35">
        <v>36.0</v>
      </c>
      <c r="I24" s="35">
        <v>30.0</v>
      </c>
      <c r="J24" s="35">
        <v>36.0</v>
      </c>
      <c r="K24" s="35">
        <v>22.0</v>
      </c>
      <c r="L24" s="35">
        <v>12.0</v>
      </c>
      <c r="M24" s="35">
        <v>28.0</v>
      </c>
      <c r="N24" s="35">
        <v>26.0</v>
      </c>
      <c r="O24" s="35">
        <v>30.0</v>
      </c>
      <c r="P24" s="35">
        <v>30.0</v>
      </c>
      <c r="Q24" s="35">
        <v>420.0</v>
      </c>
      <c r="R24" s="35">
        <v>23.0</v>
      </c>
    </row>
    <row r="25">
      <c r="A25" s="32" t="s">
        <v>108</v>
      </c>
      <c r="B25" s="36">
        <v>28.0</v>
      </c>
      <c r="C25" s="36">
        <v>-4.0</v>
      </c>
      <c r="D25" s="36">
        <v>64.0</v>
      </c>
      <c r="E25" s="36">
        <v>4.0</v>
      </c>
      <c r="F25" s="37">
        <v>8.0</v>
      </c>
      <c r="G25" s="37">
        <v>36.0</v>
      </c>
      <c r="H25" s="37">
        <v>20.0</v>
      </c>
      <c r="I25" s="37">
        <v>12.0</v>
      </c>
      <c r="J25" s="37">
        <v>26.0</v>
      </c>
      <c r="K25" s="37">
        <v>36.0</v>
      </c>
      <c r="L25" s="37">
        <v>40.0</v>
      </c>
      <c r="M25" s="37">
        <v>28.0</v>
      </c>
      <c r="N25" s="37">
        <v>50.0</v>
      </c>
      <c r="O25" s="37">
        <v>18.0</v>
      </c>
      <c r="P25" s="37">
        <v>26.0</v>
      </c>
      <c r="Q25" s="37">
        <v>392.0</v>
      </c>
      <c r="R25" s="37">
        <v>24.0</v>
      </c>
    </row>
  </sheetData>
  <drawing r:id="rId1"/>
</worksheet>
</file>