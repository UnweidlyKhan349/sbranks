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ble Elimination" sheetId="1" r:id="rId5"/>
    <sheet state="hidden" name="Seeding" sheetId="2" r:id="rId6"/>
    <sheet state="hidden" name="RR Schedule" sheetId="3" r:id="rId7"/>
    <sheet state="visible" name="Round Robin" sheetId="4" r:id="rId8"/>
  </sheets>
  <definedNames/>
  <calcPr/>
</workbook>
</file>

<file path=xl/sharedStrings.xml><?xml version="1.0" encoding="utf-8"?>
<sst xmlns="http://schemas.openxmlformats.org/spreadsheetml/2006/main" count="109" uniqueCount="33">
  <si>
    <t>ROUND 1</t>
  </si>
  <si>
    <t>Winners Bracket</t>
  </si>
  <si>
    <t>Losers Bracket</t>
  </si>
  <si>
    <t>Division</t>
  </si>
  <si>
    <t>Name</t>
  </si>
  <si>
    <t>Avg. Score</t>
  </si>
  <si>
    <t>Seed</t>
  </si>
  <si>
    <t>Einstein</t>
  </si>
  <si>
    <t>University</t>
  </si>
  <si>
    <t>Blair A</t>
  </si>
  <si>
    <t>Bohr</t>
  </si>
  <si>
    <t>NoHo</t>
  </si>
  <si>
    <t>Goodall</t>
  </si>
  <si>
    <t>Enloe B</t>
  </si>
  <si>
    <t>12:15-1:00 PM</t>
  </si>
  <si>
    <t>Franklin</t>
  </si>
  <si>
    <t>Mira Loma</t>
  </si>
  <si>
    <t>Brookfield</t>
  </si>
  <si>
    <t>Curie</t>
  </si>
  <si>
    <t>MSJ</t>
  </si>
  <si>
    <t>Interlake B</t>
  </si>
  <si>
    <t>Centennial</t>
  </si>
  <si>
    <t>Lexington A</t>
  </si>
  <si>
    <t>Ampere</t>
  </si>
  <si>
    <t>Dulles</t>
  </si>
  <si>
    <t>Darwin</t>
  </si>
  <si>
    <t>Davidson</t>
  </si>
  <si>
    <t>16 teams</t>
  </si>
  <si>
    <t>Tesla STEM</t>
  </si>
  <si>
    <t>Interlake A</t>
  </si>
  <si>
    <t>Hawking</t>
  </si>
  <si>
    <t>NCSSM A</t>
  </si>
  <si>
    <t>Lexington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</si>
</sst>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$&quot;#,##0"/>
  </numFmts>
  <fonts count="25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theme="1"/>
      <name val="Asap"/>
    </font>
    <font/>
    <font>
      <b/>
      <sz val="12.0"/>
      <color theme="1"/>
      <name val="Asap"/>
    </font>
    <font>
      <sz val="14.0"/>
      <color theme="1"/>
      <name val="Asap"/>
    </font>
    <font>
      <sz val="14.0"/>
      <color theme="1"/>
      <name val="Calibri"/>
    </font>
    <font>
      <sz val="12.0"/>
      <color theme="1"/>
      <name val="Asap"/>
    </font>
    <font>
      <b/>
      <sz val="16.0"/>
      <color theme="1"/>
      <name val="Asap"/>
    </font>
    <font>
      <sz val="18.0"/>
      <color theme="1"/>
      <name val="Asap"/>
    </font>
    <font>
      <i/>
      <sz val="12.0"/>
      <color theme="1"/>
      <name val="Asap"/>
    </font>
    <font>
      <sz val="10.0"/>
      <color theme="1"/>
      <name val="Asap"/>
    </font>
    <font>
      <sz val="9.0"/>
      <color theme="1"/>
      <name val="Asap"/>
    </font>
    <font>
      <color theme="1"/>
      <name val="Arial"/>
    </font>
    <font>
      <b/>
      <sz val="10.0"/>
      <color theme="1"/>
      <name val="Asap"/>
    </font>
    <font>
      <sz val="12.0"/>
      <color rgb="FF000000"/>
      <name val="Asap"/>
    </font>
    <font>
      <sz val="12.0"/>
      <color rgb="FFE06666"/>
      <name val="Asap"/>
    </font>
    <font>
      <sz val="10.0"/>
      <color rgb="FF000000"/>
      <name val="Asap"/>
    </font>
    <font>
      <b/>
      <sz val="18.0"/>
      <color rgb="FF000000"/>
      <name val="Asap"/>
    </font>
    <font>
      <b/>
      <color rgb="FF000000"/>
      <name val="Arial"/>
      <scheme val="minor"/>
    </font>
    <font>
      <color rgb="FF000000"/>
      <name val="Asap"/>
    </font>
    <font>
      <sz val="16.0"/>
      <color rgb="FF000000"/>
      <name val="Asap"/>
    </font>
    <font>
      <sz val="12.0"/>
      <color rgb="FFF4CCCC"/>
      <name val="Asap"/>
    </font>
    <font>
      <sz val="12.0"/>
      <color rgb="FFFFFFFF"/>
      <name val="Asap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8CAC5"/>
        <bgColor rgb="FFF8CAC5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53">
    <border/>
    <border>
      <right style="double">
        <color rgb="FF000000"/>
      </right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D9D9D9"/>
      </right>
      <top style="double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double">
        <color rgb="FF000000"/>
      </top>
      <bottom style="thin">
        <color rgb="FF000000"/>
      </bottom>
    </border>
    <border>
      <left style="thin">
        <color rgb="FFD9D9D9"/>
      </left>
      <top style="double">
        <color rgb="FF000000"/>
      </top>
      <bottom style="thin">
        <color rgb="FF000000"/>
      </bottom>
    </border>
    <border>
      <left style="thin">
        <color rgb="FFD9D9D9"/>
      </left>
      <right style="double">
        <color rgb="FF000000"/>
      </right>
      <top style="double">
        <color rgb="FF000000"/>
      </top>
      <bottom style="thin">
        <color rgb="FF000000"/>
      </bottom>
    </border>
    <border>
      <bottom style="double">
        <color rgb="FF000000"/>
      </bottom>
    </border>
    <border>
      <left style="double">
        <color rgb="FF000000"/>
      </lef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bottom style="thin">
        <color rgb="FFB7B7B7"/>
      </bottom>
    </border>
    <border>
      <right style="thin">
        <color rgb="FF000000"/>
      </right>
      <bottom style="double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double">
        <color rgb="FF000000"/>
      </right>
      <bottom style="thin">
        <color rgb="FFB7B7B7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thin">
        <color rgb="FFB7B7B7"/>
      </bottom>
    </border>
    <border>
      <left style="double">
        <color rgb="FF000000"/>
      </left>
      <right style="thin">
        <color rgb="FF000000"/>
      </right>
    </border>
    <border>
      <right style="thin">
        <color rgb="FF000000"/>
      </right>
    </border>
    <border>
      <top style="double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double">
        <color rgb="FF000000"/>
      </top>
    </border>
    <border>
      <right style="double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FFFFFF"/>
      </bottom>
    </border>
    <border>
      <bottom style="thin">
        <color rgb="FFFFFFFF"/>
      </bottom>
    </border>
    <border>
      <right style="double">
        <color rgb="FF000000"/>
      </right>
      <bottom style="thin">
        <color rgb="FFFFFFFF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B7B7B7"/>
      </bottom>
    </border>
    <border>
      <right style="thin">
        <color rgb="FFCCCCCC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hair">
        <color rgb="FFB7B7B7"/>
      </right>
      <top style="thin">
        <color rgb="FFB7B7B7"/>
      </top>
      <bottom style="thin">
        <color rgb="FFB7B7B7"/>
      </bottom>
    </border>
    <border>
      <left style="hair">
        <color rgb="FFCCCCCC"/>
      </left>
      <right style="thin">
        <color rgb="FFCCCCCC"/>
      </right>
      <bottom style="thin">
        <color rgb="FFB7B7B7"/>
      </bottom>
    </border>
    <border>
      <left style="hair">
        <color rgb="FFCCCCCC"/>
      </left>
      <bottom style="thin">
        <color rgb="FFB7B7B7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thin">
        <color rgb="FFB7B7B7"/>
      </top>
      <bottom style="double">
        <color rgb="FF000000"/>
      </bottom>
    </border>
    <border>
      <left style="thin">
        <color rgb="FF000000"/>
      </left>
      <right style="thin">
        <color rgb="FFB7B7B7"/>
      </right>
      <bottom style="double">
        <color rgb="FF000000"/>
      </bottom>
    </border>
    <border>
      <left style="thin">
        <color rgb="FFB7B7B7"/>
      </left>
      <right style="thin">
        <color rgb="FFB7B7B7"/>
      </right>
      <bottom style="double">
        <color rgb="FF000000"/>
      </bottom>
    </border>
    <border>
      <right style="hair">
        <color rgb="FFB7B7B7"/>
      </right>
      <top style="thin">
        <color rgb="FFCCCCCC"/>
      </top>
    </border>
    <border>
      <left style="hair">
        <color rgb="FFCCCCCC"/>
      </left>
      <right style="thin">
        <color rgb="FFCCCCCC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double">
        <color rgb="FF000000"/>
      </right>
      <bottom style="double">
        <color rgb="FF000000"/>
      </bottom>
    </border>
    <border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B7B7B7"/>
      </top>
      <bottom style="thin">
        <color rgb="FFB7B7B7"/>
      </bottom>
    </border>
    <border>
      <left style="hair">
        <color rgb="FFCCCCCC"/>
      </left>
      <top style="thin">
        <color rgb="FFB7B7B7"/>
      </top>
      <bottom style="thin">
        <color rgb="FFB7B7B7"/>
      </bottom>
    </border>
    <border>
      <left style="thin">
        <color rgb="FFCCCCCC"/>
      </left>
      <right style="hair">
        <color rgb="FFB7B7B7"/>
      </right>
      <top style="thin">
        <color rgb="FFCCCCCC"/>
      </top>
    </border>
    <border>
      <left style="hair">
        <color rgb="FFCCCCCC"/>
      </left>
      <right style="thin">
        <color rgb="FFCCCCCC"/>
      </right>
      <top style="thin">
        <color rgb="FFB7B7B7"/>
      </top>
    </border>
    <border>
      <top style="thin">
        <color rgb="FFB7B7B7"/>
      </top>
    </border>
    <border>
      <right style="thin">
        <color rgb="FFCCCCCC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1" fillId="0" fontId="3" numFmtId="0" xfId="0" applyBorder="1" applyFont="1"/>
    <xf borderId="0" fillId="0" fontId="1" numFmtId="0" xfId="0" applyAlignment="1" applyFont="1">
      <alignment horizontal="center"/>
    </xf>
    <xf borderId="2" fillId="0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/>
    </xf>
    <xf borderId="3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6" fillId="0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0" fontId="6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 shrinkToFit="0" vertical="bottom" wrapText="0"/>
    </xf>
    <xf borderId="7" fillId="0" fontId="9" numFmtId="0" xfId="0" applyAlignment="1" applyBorder="1" applyFont="1">
      <alignment readingOrder="0"/>
    </xf>
    <xf borderId="0" fillId="0" fontId="6" numFmtId="0" xfId="0" applyAlignment="1" applyFont="1">
      <alignment horizontal="center"/>
    </xf>
    <xf borderId="0" fillId="0" fontId="5" numFmtId="0" xfId="0" applyAlignment="1" applyFont="1">
      <alignment shrinkToFit="0" wrapText="0"/>
    </xf>
    <xf borderId="7" fillId="0" fontId="3" numFmtId="0" xfId="0" applyBorder="1" applyFont="1"/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horizontal="left" shrinkToFit="0" wrapText="0"/>
    </xf>
    <xf borderId="8" fillId="0" fontId="4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 shrinkToFit="0" vertical="center" wrapText="0"/>
    </xf>
    <xf borderId="9" fillId="0" fontId="7" numFmtId="0" xfId="0" applyAlignment="1" applyBorder="1" applyFont="1">
      <alignment readingOrder="0" shrinkToFit="0" vertical="bottom" wrapText="0"/>
    </xf>
    <xf borderId="10" fillId="0" fontId="3" numFmtId="0" xfId="0" applyBorder="1" applyFont="1"/>
    <xf borderId="11" fillId="0" fontId="7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12" fillId="0" fontId="7" numFmtId="0" xfId="0" applyAlignment="1" applyBorder="1" applyFont="1">
      <alignment readingOrder="0" shrinkToFit="0" vertical="bottom" wrapText="0"/>
    </xf>
    <xf borderId="0" fillId="0" fontId="7" numFmtId="0" xfId="0" applyFont="1"/>
    <xf borderId="0" fillId="0" fontId="11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2" fillId="0" fontId="13" numFmtId="0" xfId="0" applyAlignment="1" applyBorder="1" applyFont="1">
      <alignment vertical="bottom"/>
    </xf>
    <xf borderId="0" fillId="0" fontId="7" numFmtId="1" xfId="0" applyFont="1" applyNumberFormat="1"/>
    <xf borderId="13" fillId="0" fontId="4" numFmtId="0" xfId="0" applyAlignment="1" applyBorder="1" applyFont="1">
      <alignment horizontal="center" vertical="bottom"/>
    </xf>
    <xf borderId="0" fillId="0" fontId="7" numFmtId="49" xfId="0" applyFont="1" applyNumberFormat="1"/>
    <xf borderId="14" fillId="0" fontId="4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1" numFmtId="0" xfId="0" applyAlignment="1" applyFont="1">
      <alignment shrinkToFit="0" wrapText="0"/>
    </xf>
    <xf borderId="15" fillId="0" fontId="4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 shrinkToFit="0" wrapText="0"/>
    </xf>
    <xf borderId="16" fillId="0" fontId="4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left" readingOrder="0" vertical="bottom"/>
    </xf>
    <xf borderId="0" fillId="0" fontId="11" numFmtId="0" xfId="0" applyAlignment="1" applyFont="1">
      <alignment horizontal="left" shrinkToFit="0" wrapText="0"/>
    </xf>
    <xf borderId="17" fillId="0" fontId="4" numFmtId="0" xfId="0" applyAlignment="1" applyBorder="1" applyFont="1">
      <alignment horizontal="center" vertical="bottom"/>
    </xf>
    <xf borderId="0" fillId="0" fontId="7" numFmtId="1" xfId="0" applyAlignment="1" applyFont="1" applyNumberFormat="1">
      <alignment vertical="bottom"/>
    </xf>
    <xf borderId="0" fillId="2" fontId="11" numFmtId="0" xfId="0" applyAlignment="1" applyFill="1" applyFont="1">
      <alignment horizontal="left" readingOrder="0" shrinkToFit="0" wrapText="0"/>
    </xf>
    <xf borderId="0" fillId="0" fontId="7" numFmtId="49" xfId="0" applyAlignment="1" applyFont="1" applyNumberFormat="1">
      <alignment vertical="bottom"/>
    </xf>
    <xf borderId="0" fillId="0" fontId="6" numFmtId="164" xfId="0" applyAlignment="1" applyFont="1" applyNumberFormat="1">
      <alignment horizontal="center" readingOrder="0" vertical="bottom"/>
    </xf>
    <xf borderId="0" fillId="3" fontId="11" numFmtId="0" xfId="0" applyAlignment="1" applyFill="1" applyFont="1">
      <alignment horizontal="center" readingOrder="0" shrinkToFit="0" wrapText="0"/>
    </xf>
    <xf borderId="0" fillId="0" fontId="7" numFmtId="0" xfId="0" applyAlignment="1" applyFont="1">
      <alignment readingOrder="0" vertical="bottom"/>
    </xf>
    <xf borderId="0" fillId="0" fontId="14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readingOrder="0" vertical="bottom"/>
    </xf>
    <xf borderId="0" fillId="4" fontId="16" numFmtId="0" xfId="0" applyAlignment="1" applyFill="1" applyFont="1">
      <alignment horizontal="center" readingOrder="0" shrinkToFit="0" vertical="center" wrapText="0"/>
    </xf>
    <xf borderId="18" fillId="0" fontId="7" numFmtId="0" xfId="0" applyAlignment="1" applyBorder="1" applyFont="1">
      <alignment horizontal="center" vertical="bottom"/>
    </xf>
    <xf borderId="0" fillId="2" fontId="11" numFmtId="0" xfId="0" applyAlignment="1" applyFill="1" applyFont="1">
      <alignment readingOrder="0" shrinkToFit="0" wrapText="0"/>
    </xf>
    <xf borderId="19" fillId="2" fontId="7" numFmtId="0" xfId="0" applyBorder="1" applyFill="1" applyFont="1"/>
    <xf borderId="19" fillId="0" fontId="3" numFmtId="0" xfId="0" applyBorder="1" applyFont="1"/>
    <xf borderId="0" fillId="0" fontId="11" numFmtId="0" xfId="0" applyAlignment="1" applyFont="1">
      <alignment horizontal="center" readingOrder="0" shrinkToFit="0" wrapText="0"/>
    </xf>
    <xf borderId="20" fillId="0" fontId="7" numFmtId="0" xfId="0" applyAlignment="1" applyBorder="1" applyFont="1">
      <alignment horizontal="center" vertical="bottom"/>
    </xf>
    <xf borderId="21" fillId="0" fontId="7" numFmtId="0" xfId="0" applyAlignment="1" applyBorder="1" applyFont="1">
      <alignment horizontal="center" vertical="bottom"/>
    </xf>
    <xf borderId="22" fillId="0" fontId="3" numFmtId="0" xfId="0" applyBorder="1" applyFont="1"/>
    <xf borderId="23" fillId="0" fontId="7" numFmtId="0" xfId="0" applyAlignment="1" applyBorder="1" applyFont="1">
      <alignment horizontal="center" vertical="bottom"/>
    </xf>
    <xf borderId="0" fillId="3" fontId="11" numFmtId="0" xfId="0" applyAlignment="1" applyFill="1" applyFont="1">
      <alignment horizontal="center" shrinkToFit="0" wrapText="0"/>
    </xf>
    <xf borderId="0" fillId="0" fontId="15" numFmtId="0" xfId="0" applyAlignment="1" applyFont="1">
      <alignment readingOrder="0"/>
    </xf>
    <xf borderId="24" fillId="0" fontId="7" numFmtId="0" xfId="0" applyAlignment="1" applyBorder="1" applyFont="1">
      <alignment horizontal="center" readingOrder="0"/>
    </xf>
    <xf borderId="25" fillId="0" fontId="7" numFmtId="0" xfId="0" applyAlignment="1" applyBorder="1" applyFont="1">
      <alignment readingOrder="0"/>
    </xf>
    <xf borderId="25" fillId="0" fontId="3" numFmtId="0" xfId="0" applyBorder="1" applyFont="1"/>
    <xf borderId="18" fillId="0" fontId="7" numFmtId="0" xfId="0" applyAlignment="1" applyBorder="1" applyFont="1">
      <alignment horizontal="center" vertical="bottom"/>
    </xf>
    <xf borderId="0" fillId="0" fontId="17" numFmtId="0" xfId="0" applyAlignment="1" applyFont="1">
      <alignment shrinkToFit="0" wrapText="0"/>
    </xf>
    <xf borderId="0" fillId="0" fontId="17" numFmtId="0" xfId="0" applyAlignment="1" applyFont="1">
      <alignment horizontal="left" shrinkToFit="0" wrapText="0"/>
    </xf>
    <xf borderId="26" fillId="0" fontId="7" numFmtId="0" xfId="0" applyAlignment="1" applyBorder="1" applyFont="1">
      <alignment horizontal="center" vertical="bottom"/>
    </xf>
    <xf borderId="27" fillId="0" fontId="7" numFmtId="0" xfId="0" applyAlignment="1" applyBorder="1" applyFont="1">
      <alignment horizontal="center" vertical="bottom"/>
    </xf>
    <xf borderId="0" fillId="2" fontId="7" numFmtId="0" xfId="0" applyFill="1" applyFont="1"/>
    <xf borderId="28" fillId="0" fontId="7" numFmtId="0" xfId="0" applyAlignment="1" applyBorder="1" applyFont="1">
      <alignment horizontal="center" vertical="bottom"/>
    </xf>
    <xf borderId="25" fillId="0" fontId="7" numFmtId="0" xfId="0" applyAlignment="1" applyBorder="1" applyFont="1">
      <alignment horizontal="center" readingOrder="0"/>
    </xf>
    <xf borderId="25" fillId="0" fontId="7" numFmtId="1" xfId="0" applyAlignment="1" applyBorder="1" applyFont="1" applyNumberFormat="1">
      <alignment horizontal="center" readingOrder="0"/>
    </xf>
    <xf borderId="25" fillId="0" fontId="7" numFmtId="49" xfId="0" applyAlignment="1" applyBorder="1" applyFont="1" applyNumberFormat="1">
      <alignment horizontal="center" readingOrder="0"/>
    </xf>
    <xf borderId="1" fillId="2" fontId="7" numFmtId="0" xfId="0" applyBorder="1" applyFill="1" applyFont="1"/>
    <xf borderId="29" fillId="0" fontId="7" numFmtId="0" xfId="0" applyAlignment="1" applyBorder="1" applyFont="1">
      <alignment horizontal="center" vertical="bottom"/>
    </xf>
    <xf borderId="18" fillId="5" fontId="15" numFmtId="0" xfId="0" applyAlignment="1" applyBorder="1" applyFill="1" applyFont="1">
      <alignment horizontal="left"/>
    </xf>
    <xf borderId="0" fillId="0" fontId="7" numFmtId="0" xfId="0" applyAlignment="1" applyFont="1">
      <alignment horizontal="center" vertical="bottom"/>
    </xf>
    <xf borderId="0" fillId="0" fontId="18" numFmtId="0" xfId="0" applyAlignment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vertical="bottom"/>
    </xf>
    <xf borderId="30" fillId="6" fontId="7" numFmtId="0" xfId="0" applyAlignment="1" applyBorder="1" applyFill="1" applyFont="1">
      <alignment horizontal="center" readingOrder="0"/>
    </xf>
    <xf borderId="31" fillId="0" fontId="3" numFmtId="0" xfId="0" applyBorder="1" applyFont="1"/>
    <xf borderId="0" fillId="0" fontId="19" numFmtId="165" xfId="0" applyFont="1" applyNumberFormat="1"/>
    <xf borderId="32" fillId="0" fontId="7" numFmtId="0" xfId="0" applyAlignment="1" applyBorder="1" applyFont="1">
      <alignment readingOrder="0"/>
    </xf>
    <xf borderId="33" fillId="0" fontId="7" numFmtId="0" xfId="0" applyAlignment="1" applyBorder="1" applyFont="1">
      <alignment readingOrder="0"/>
    </xf>
    <xf borderId="0" fillId="5" fontId="20" numFmtId="0" xfId="0" applyAlignment="1" applyFill="1" applyFont="1">
      <alignment readingOrder="0" shrinkToFit="0" wrapText="0"/>
    </xf>
    <xf borderId="34" fillId="0" fontId="7" numFmtId="0" xfId="0" applyAlignment="1" applyBorder="1" applyFont="1">
      <alignment readingOrder="0"/>
    </xf>
    <xf borderId="0" fillId="0" fontId="7" numFmtId="1" xfId="0" applyAlignment="1" applyFont="1" applyNumberFormat="1">
      <alignment horizontal="center"/>
    </xf>
    <xf borderId="35" fillId="0" fontId="4" numFmtId="0" xfId="0" applyAlignment="1" applyBorder="1" applyFont="1">
      <alignment horizontal="center" vertical="bottom"/>
    </xf>
    <xf borderId="0" fillId="5" fontId="15" numFmtId="0" xfId="0" applyAlignment="1" applyFill="1" applyFont="1">
      <alignment horizontal="center"/>
    </xf>
    <xf borderId="10" fillId="0" fontId="7" numFmtId="0" xfId="0" applyAlignment="1" applyBorder="1" applyFont="1">
      <alignment horizontal="center" vertical="bottom"/>
    </xf>
    <xf borderId="0" fillId="5" fontId="15" numFmtId="164" xfId="0" applyAlignment="1" applyFill="1" applyFont="1" applyNumberFormat="1">
      <alignment horizontal="center"/>
    </xf>
    <xf borderId="36" fillId="0" fontId="7" numFmtId="0" xfId="0" applyAlignment="1" applyBorder="1" applyFont="1">
      <alignment horizontal="center" vertical="bottom"/>
    </xf>
    <xf borderId="0" fillId="2" fontId="17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horizontal="center"/>
    </xf>
    <xf borderId="7" fillId="0" fontId="7" numFmtId="0" xfId="0" applyAlignment="1" applyBorder="1" applyFont="1">
      <alignment horizontal="center" vertical="bottom"/>
    </xf>
    <xf borderId="0" fillId="0" fontId="7" numFmtId="164" xfId="0" applyAlignment="1" applyFont="1" applyNumberFormat="1">
      <alignment horizontal="center"/>
    </xf>
    <xf borderId="37" fillId="0" fontId="7" numFmtId="0" xfId="0" applyAlignment="1" applyBorder="1" applyFont="1">
      <alignment horizontal="center" vertical="bottom"/>
    </xf>
    <xf borderId="0" fillId="0" fontId="7" numFmtId="49" xfId="0" applyAlignment="1" applyFont="1" applyNumberFormat="1">
      <alignment horizontal="center" readingOrder="0"/>
    </xf>
    <xf borderId="0" fillId="0" fontId="21" numFmtId="0" xfId="0" applyAlignment="1" applyFont="1">
      <alignment readingOrder="0" shrinkToFit="0" vertical="center" wrapText="1"/>
    </xf>
    <xf borderId="1" fillId="2" fontId="22" numFmtId="0" xfId="0" applyAlignment="1" applyBorder="1" applyFill="1" applyFont="1">
      <alignment shrinkToFit="0" wrapText="0"/>
    </xf>
    <xf borderId="38" fillId="0" fontId="4" numFmtId="0" xfId="0" applyAlignment="1" applyBorder="1" applyFont="1">
      <alignment horizontal="center" readingOrder="0" vertical="bottom"/>
    </xf>
    <xf borderId="0" fillId="0" fontId="23" numFmtId="0" xfId="0" applyFont="1"/>
    <xf borderId="0" fillId="0" fontId="11" numFmtId="0" xfId="0" applyAlignment="1" applyFont="1">
      <alignment readingOrder="0" shrinkToFit="0" wrapText="0"/>
    </xf>
    <xf borderId="39" fillId="0" fontId="7" numFmtId="0" xfId="0" applyAlignment="1" applyBorder="1" applyFont="1">
      <alignment readingOrder="0" shrinkToFit="0" vertical="bottom" wrapText="0"/>
    </xf>
    <xf borderId="0" fillId="5" fontId="24" numFmtId="0" xfId="0" applyAlignment="1" applyFill="1" applyFont="1">
      <alignment readingOrder="0"/>
    </xf>
    <xf borderId="40" fillId="0" fontId="7" numFmtId="0" xfId="0" applyAlignment="1" applyBorder="1" applyFont="1">
      <alignment readingOrder="0" shrinkToFit="0" vertical="bottom" wrapText="0"/>
    </xf>
    <xf borderId="18" fillId="0" fontId="7" numFmtId="0" xfId="0" applyAlignment="1" applyBorder="1" applyFont="1">
      <alignment readingOrder="0"/>
    </xf>
    <xf borderId="41" fillId="0" fontId="7" numFmtId="0" xfId="0" applyAlignment="1" applyBorder="1" applyFont="1">
      <alignment readingOrder="0"/>
    </xf>
    <xf borderId="42" fillId="0" fontId="7" numFmtId="0" xfId="0" applyAlignment="1" applyBorder="1" applyFont="1">
      <alignment readingOrder="0"/>
    </xf>
    <xf borderId="43" fillId="0" fontId="7" numFmtId="0" xfId="0" applyAlignment="1" applyBorder="1" applyFont="1">
      <alignment readingOrder="0" shrinkToFit="0" vertical="bottom" wrapText="0"/>
    </xf>
    <xf borderId="44" fillId="6" fontId="7" numFmtId="0" xfId="0" applyAlignment="1" applyBorder="1" applyFill="1" applyFont="1">
      <alignment horizontal="center" readingOrder="0"/>
    </xf>
    <xf borderId="45" fillId="0" fontId="3" numFmtId="0" xfId="0" applyBorder="1" applyFont="1"/>
    <xf borderId="19" fillId="0" fontId="7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7" numFmtId="0" xfId="0" applyAlignment="1" applyFont="1">
      <alignment readingOrder="0" shrinkToFit="0" vertical="bottom" wrapText="0"/>
    </xf>
    <xf borderId="46" fillId="0" fontId="7" numFmtId="0" xfId="0" applyAlignment="1" applyBorder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5" fontId="15" numFmtId="1" xfId="0" applyAlignment="1" applyFill="1" applyFont="1" applyNumberFormat="1">
      <alignment horizontal="center"/>
    </xf>
    <xf borderId="0" fillId="0" fontId="13" numFmtId="0" xfId="0" applyAlignment="1" applyFont="1">
      <alignment vertical="bottom"/>
    </xf>
    <xf borderId="0" fillId="2" fontId="11" numFmtId="0" xfId="0" applyAlignment="1" applyFill="1" applyFont="1">
      <alignment shrinkToFit="0" wrapText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47" fillId="0" fontId="7" numFmtId="0" xfId="0" applyAlignment="1" applyBorder="1" applyFont="1">
      <alignment readingOrder="0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48" fillId="0" fontId="7" numFmtId="0" xfId="0" applyAlignment="1" applyBorder="1" applyFont="1">
      <alignment readingOrder="0"/>
    </xf>
    <xf borderId="49" fillId="6" fontId="7" numFmtId="0" xfId="0" applyAlignment="1" applyBorder="1" applyFill="1" applyFont="1">
      <alignment horizontal="center" readingOrder="0"/>
    </xf>
    <xf borderId="50" fillId="0" fontId="3" numFmtId="0" xfId="0" applyBorder="1" applyFont="1"/>
    <xf borderId="51" fillId="6" fontId="7" numFmtId="0" xfId="0" applyAlignment="1" applyBorder="1" applyFill="1" applyFont="1">
      <alignment horizontal="center" readingOrder="0"/>
    </xf>
    <xf borderId="52" fillId="0" fontId="3" numFmtId="0" xfId="0" applyBorder="1" applyFont="1"/>
    <xf borderId="0" fillId="0" fontId="7" numFmtId="49" xfId="0" applyAlignment="1" applyFont="1" applyNumberFormat="1">
      <alignment horizontal="center"/>
    </xf>
    <xf borderId="7" fillId="2" fontId="7" numFmtId="0" xfId="0" applyBorder="1" applyFill="1" applyFont="1"/>
    <xf borderId="37" fillId="0" fontId="3" numFmtId="0" xfId="0" applyBorder="1" applyFont="1"/>
    <xf borderId="0" fillId="0" fontId="7" numFmtId="1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13"/>
    <col customWidth="1" min="2" max="2" width="3.88"/>
    <col customWidth="1" min="3" max="3" width="15.13"/>
    <col customWidth="1" min="4" max="4" width="3.88"/>
    <col customWidth="1" min="5" max="5" width="15.13"/>
    <col customWidth="1" min="6" max="6" width="3.88"/>
    <col customWidth="1" min="7" max="7" width="15.13"/>
    <col customWidth="1" min="8" max="8" width="3.88"/>
    <col customWidth="1" min="9" max="9" width="15.13"/>
    <col customWidth="1" min="10" max="10" width="3.88"/>
    <col customWidth="1" min="11" max="11" width="15.13"/>
    <col customWidth="1" min="12" max="12" width="3.88"/>
    <col customWidth="1" min="13" max="13" width="15.13"/>
    <col customWidth="1" min="14" max="15" width="3.88"/>
    <col customWidth="1" min="16" max="16" width="15.13"/>
    <col customWidth="1" min="17" max="17" width="12.63"/>
  </cols>
  <sheetData>
    <row r="1" ht="22.5" customHeight="1">
      <c r="A1" s="2" t="s">
        <v>0</v>
      </c>
      <c r="B1" s="3"/>
      <c r="C1" s="2" t="str">
        <f>IFERROR(__xludf.DUMMYFUNCTION("importrange(""https://docs.google.com/spreadsheets/d/1qbWUGs-f13yWCb4pUdbfC4bFEWp7uHjaIKQE8O6-kM0/edit#gid=1828297607"",""DE!C:R"")"),"ROUND 2")</f>
        <v>ROUND 2</v>
      </c>
      <c r="D1" s="3"/>
      <c r="E1" s="2" t="str">
        <f>IFERROR(__xludf.DUMMYFUNCTION("""COMPUTED_VALUE"""),"ROUND 3")</f>
        <v>ROUND 3</v>
      </c>
      <c r="F1" s="3"/>
      <c r="G1" s="2" t="str">
        <f>IFERROR(__xludf.DUMMYFUNCTION("""COMPUTED_VALUE"""),"ROUND 4")</f>
        <v>ROUND 4</v>
      </c>
      <c r="H1" s="3"/>
      <c r="I1" s="2" t="str">
        <f>IFERROR(__xludf.DUMMYFUNCTION("""COMPUTED_VALUE"""),"ROUND 5")</f>
        <v>ROUND 5</v>
      </c>
      <c r="J1" s="3"/>
      <c r="K1" s="2" t="str">
        <f>IFERROR(__xludf.DUMMYFUNCTION("""COMPUTED_VALUE"""),"ROUND 6")</f>
        <v>ROUND 6</v>
      </c>
      <c r="L1" s="3"/>
      <c r="M1" s="2" t="str">
        <f>IFERROR(__xludf.DUMMYFUNCTION("""COMPUTED_VALUE"""),"FINALS")</f>
        <v>FINALS</v>
      </c>
      <c r="O1" s="3"/>
      <c r="P1" s="18"/>
      <c r="Q1" s="21"/>
      <c r="R1" s="18"/>
      <c r="S1" s="18"/>
      <c r="T1" s="18"/>
      <c r="U1" s="18"/>
      <c r="V1" s="18"/>
    </row>
    <row r="2" ht="22.5" customHeight="1">
      <c r="A2" s="23" t="s">
        <v>14</v>
      </c>
      <c r="B2" s="3"/>
      <c r="C2" s="23" t="str">
        <f>IFERROR(__xludf.DUMMYFUNCTION("""COMPUTED_VALUE"""),"1:00-1:45 PM")</f>
        <v>1:00-1:45 PM</v>
      </c>
      <c r="D2" s="3"/>
      <c r="E2" s="23" t="str">
        <f>IFERROR(__xludf.DUMMYFUNCTION("""COMPUTED_VALUE"""),"1:45-2:30 PM")</f>
        <v>1:45-2:30 PM</v>
      </c>
      <c r="F2" s="3"/>
      <c r="G2" s="23" t="str">
        <f>IFERROR(__xludf.DUMMYFUNCTION("""COMPUTED_VALUE"""),"2:30-3:15 PM")</f>
        <v>2:30-3:15 PM</v>
      </c>
      <c r="H2" s="3"/>
      <c r="I2" s="23" t="str">
        <f>IFERROR(__xludf.DUMMYFUNCTION("""COMPUTED_VALUE"""),"3:15-4:00 PM")</f>
        <v>3:15-4:00 PM</v>
      </c>
      <c r="J2" s="3"/>
      <c r="K2" s="23" t="str">
        <f>IFERROR(__xludf.DUMMYFUNCTION("""COMPUTED_VALUE"""),"4:00-4:45 PM")</f>
        <v>4:00-4:45 PM</v>
      </c>
      <c r="L2" s="3"/>
      <c r="M2" s="23" t="str">
        <f>IFERROR(__xludf.DUMMYFUNCTION("""COMPUTED_VALUE"""),"4:45-6:15 PM")</f>
        <v>4:45-6:15 PM</v>
      </c>
      <c r="O2" s="3"/>
      <c r="P2" s="33"/>
      <c r="Q2" s="21"/>
      <c r="R2" s="18"/>
      <c r="S2" s="18"/>
      <c r="T2" s="18"/>
      <c r="U2" s="18"/>
      <c r="V2" s="18"/>
    </row>
    <row r="3" ht="15.0" customHeight="1">
      <c r="A3" s="34" t="s">
        <v>27</v>
      </c>
      <c r="B3" s="3"/>
      <c r="C3" s="34" t="str">
        <f>IFERROR(__xludf.DUMMYFUNCTION("""COMPUTED_VALUE"""),"12 teams (8 playing)")</f>
        <v>12 teams (8 playing)</v>
      </c>
      <c r="D3" s="3"/>
      <c r="E3" s="34" t="str">
        <f>IFERROR(__xludf.DUMMYFUNCTION("""COMPUTED_VALUE"""),"8 teams")</f>
        <v>8 teams</v>
      </c>
      <c r="F3" s="3"/>
      <c r="G3" s="34" t="str">
        <f>IFERROR(__xludf.DUMMYFUNCTION("""COMPUTED_VALUE"""),"6 teams (4 playing)")</f>
        <v>6 teams (4 playing)</v>
      </c>
      <c r="H3" s="3"/>
      <c r="I3" s="34" t="str">
        <f>IFERROR(__xludf.DUMMYFUNCTION("""COMPUTED_VALUE"""),"4 teams")</f>
        <v>4 teams</v>
      </c>
      <c r="J3" s="3"/>
      <c r="K3" s="34" t="str">
        <f>IFERROR(__xludf.DUMMYFUNCTION("""COMPUTED_VALUE"""),"3 teams (2 playing)")</f>
        <v>3 teams (2 playing)</v>
      </c>
      <c r="L3" s="3"/>
      <c r="M3" s="34" t="str">
        <f>IFERROR(__xludf.DUMMYFUNCTION("""COMPUTED_VALUE"""),"2 teams")</f>
        <v>2 teams</v>
      </c>
      <c r="O3" s="3"/>
      <c r="P3" s="18"/>
      <c r="Q3" s="21"/>
      <c r="R3" s="18"/>
      <c r="S3" s="18"/>
      <c r="T3" s="18"/>
      <c r="U3" s="18"/>
      <c r="V3" s="18"/>
    </row>
    <row r="4" ht="18.75" customHeight="1">
      <c r="A4" s="43"/>
      <c r="B4" s="45"/>
      <c r="C4" s="43"/>
      <c r="D4" s="45"/>
      <c r="E4" s="43"/>
      <c r="F4" s="45"/>
      <c r="G4" s="43"/>
      <c r="H4" s="45"/>
      <c r="I4" s="43"/>
      <c r="J4" s="45"/>
      <c r="K4" s="43"/>
      <c r="L4" s="45"/>
      <c r="M4" s="43"/>
      <c r="N4" s="45"/>
      <c r="O4" s="45"/>
      <c r="P4" s="43"/>
      <c r="Q4" s="48"/>
      <c r="R4" s="43"/>
      <c r="S4" s="43"/>
      <c r="T4" s="43"/>
      <c r="U4" s="43"/>
      <c r="V4" s="43"/>
    </row>
    <row r="5" ht="18.75" customHeight="1">
      <c r="A5" s="51" t="s">
        <v>8</v>
      </c>
      <c r="B5" s="54">
        <v>120.0</v>
      </c>
      <c r="C5" s="43"/>
      <c r="D5" s="45"/>
      <c r="E5" s="43"/>
      <c r="F5" s="45"/>
      <c r="G5" s="43"/>
      <c r="H5" s="45"/>
      <c r="I5" s="43"/>
      <c r="J5" s="45"/>
      <c r="K5" s="43"/>
      <c r="L5" s="45"/>
      <c r="M5" s="43"/>
      <c r="N5" s="45"/>
      <c r="O5" s="45"/>
      <c r="P5" s="43"/>
      <c r="Q5" s="48"/>
      <c r="R5" s="43"/>
      <c r="S5" s="43"/>
      <c r="T5" s="43"/>
      <c r="U5" s="43"/>
      <c r="V5" s="43"/>
    </row>
    <row r="6" ht="18.75" customHeight="1">
      <c r="A6" s="56" t="s">
        <v>23</v>
      </c>
      <c r="B6" s="54"/>
      <c r="C6" s="58" t="str">
        <f>IFERROR(__xludf.DUMMYFUNCTION("""COMPUTED_VALUE"""),"BYE")</f>
        <v>BYE</v>
      </c>
      <c r="D6" s="58"/>
      <c r="E6" s="60" t="str">
        <f>IFERROR(__xludf.DUMMYFUNCTION("""COMPUTED_VALUE"""),"University")</f>
        <v>University</v>
      </c>
      <c r="F6" s="54">
        <f>IFERROR(__xludf.DUMMYFUNCTION("""COMPUTED_VALUE"""),94.0)</f>
        <v>94</v>
      </c>
      <c r="G6" s="63"/>
      <c r="H6" s="45"/>
      <c r="I6" s="63"/>
      <c r="J6" s="45"/>
      <c r="K6" s="63"/>
      <c r="L6" s="45"/>
      <c r="M6" s="63"/>
      <c r="N6" s="45"/>
      <c r="O6" s="45"/>
      <c r="P6" s="43"/>
      <c r="Q6" s="48"/>
      <c r="R6" s="43"/>
      <c r="S6" s="43"/>
      <c r="T6" s="43"/>
      <c r="U6" s="43"/>
      <c r="V6" s="43"/>
    </row>
    <row r="7" ht="18.75" customHeight="1">
      <c r="A7" s="51" t="s">
        <v>31</v>
      </c>
      <c r="B7" s="54">
        <v>26.0</v>
      </c>
      <c r="C7" s="43"/>
      <c r="D7" s="45"/>
      <c r="E7" s="56" t="str">
        <f>IFERROR(__xludf.DUMMYFUNCTION("""COMPUTED_VALUE"""),"Ampere")</f>
        <v>Ampere</v>
      </c>
      <c r="F7" s="68"/>
      <c r="G7" s="43"/>
      <c r="H7" s="45"/>
      <c r="I7" s="43"/>
      <c r="J7" s="45"/>
      <c r="K7" s="43"/>
      <c r="L7" s="45"/>
      <c r="M7" s="43"/>
      <c r="N7" s="45"/>
      <c r="O7" s="45"/>
      <c r="P7" s="43"/>
      <c r="Q7" s="48"/>
      <c r="R7" s="43"/>
      <c r="S7" s="43"/>
      <c r="T7" s="43"/>
      <c r="U7" s="43"/>
      <c r="V7" s="43"/>
    </row>
    <row r="8" ht="18.75" customHeight="1">
      <c r="A8" s="43"/>
      <c r="B8" s="45"/>
      <c r="C8" s="43"/>
      <c r="D8" s="45"/>
      <c r="F8" s="68"/>
      <c r="G8" s="58" t="str">
        <f>IFERROR(__xludf.DUMMYFUNCTION("""COMPUTED_VALUE"""),"BYE")</f>
        <v>BYE</v>
      </c>
      <c r="H8" s="58"/>
      <c r="I8" s="60" t="str">
        <f>IFERROR(__xludf.DUMMYFUNCTION("""COMPUTED_VALUE"""),"Centennial")</f>
        <v>Centennial</v>
      </c>
      <c r="J8" s="54">
        <f>IFERROR(__xludf.DUMMYFUNCTION("""COMPUTED_VALUE"""),72.0)</f>
        <v>72</v>
      </c>
      <c r="K8" s="43"/>
      <c r="L8" s="45"/>
      <c r="M8" s="43"/>
      <c r="N8" s="45"/>
      <c r="O8" s="45"/>
      <c r="P8" s="43"/>
      <c r="Q8" s="48"/>
      <c r="R8" s="43"/>
      <c r="S8" s="43"/>
      <c r="T8" s="43"/>
      <c r="U8" s="43"/>
      <c r="V8" s="43"/>
    </row>
    <row r="9" ht="18.75" customHeight="1">
      <c r="A9" s="51" t="s">
        <v>19</v>
      </c>
      <c r="B9" s="54">
        <v>68.0</v>
      </c>
      <c r="C9" s="43"/>
      <c r="D9" s="45"/>
      <c r="F9" s="68"/>
      <c r="G9" s="43"/>
      <c r="H9" s="45"/>
      <c r="I9" s="56" t="str">
        <f>IFERROR(__xludf.DUMMYFUNCTION("""COMPUTED_VALUE"""),"Ampere")</f>
        <v>Ampere</v>
      </c>
      <c r="J9" s="68"/>
      <c r="K9" s="43"/>
      <c r="L9" s="45"/>
      <c r="M9" s="43"/>
      <c r="N9" s="45"/>
      <c r="O9" s="45"/>
      <c r="P9" s="43"/>
      <c r="Q9" s="48"/>
      <c r="R9" s="43"/>
      <c r="S9" s="43"/>
      <c r="T9" s="43"/>
      <c r="U9" s="43"/>
      <c r="V9" s="43"/>
    </row>
    <row r="10" ht="18.75" customHeight="1">
      <c r="A10" s="56" t="s">
        <v>10</v>
      </c>
      <c r="B10" s="54"/>
      <c r="C10" s="58" t="str">
        <f>IFERROR(__xludf.DUMMYFUNCTION("""COMPUTED_VALUE"""),"BYE")</f>
        <v>BYE</v>
      </c>
      <c r="D10" s="58"/>
      <c r="E10" s="60" t="str">
        <f>IFERROR(__xludf.DUMMYFUNCTION("""COMPUTED_VALUE"""),"Centennial")</f>
        <v>Centennial</v>
      </c>
      <c r="F10" s="54">
        <f>IFERROR(__xludf.DUMMYFUNCTION("""COMPUTED_VALUE"""),112.0)</f>
        <v>112</v>
      </c>
      <c r="G10" s="63"/>
      <c r="H10" s="45"/>
      <c r="J10" s="68"/>
      <c r="K10" s="63"/>
      <c r="L10" s="45"/>
      <c r="M10" s="63"/>
      <c r="N10" s="45"/>
      <c r="O10" s="45"/>
      <c r="P10" s="43"/>
      <c r="Q10" s="48"/>
      <c r="R10" s="43"/>
      <c r="S10" s="43"/>
      <c r="T10" s="43"/>
      <c r="U10" s="43"/>
      <c r="V10" s="43"/>
    </row>
    <row r="11" ht="18.75" customHeight="1">
      <c r="A11" s="51" t="s">
        <v>21</v>
      </c>
      <c r="B11" s="54">
        <v>80.0</v>
      </c>
      <c r="C11" s="43"/>
      <c r="D11" s="45"/>
      <c r="E11" s="43"/>
      <c r="F11" s="45"/>
      <c r="G11" s="43"/>
      <c r="H11" s="45"/>
      <c r="J11" s="68"/>
      <c r="K11" s="43"/>
      <c r="L11" s="45"/>
      <c r="M11" s="43"/>
      <c r="N11" s="45"/>
      <c r="O11" s="45"/>
      <c r="P11" s="74"/>
      <c r="Q11" s="75"/>
      <c r="R11" s="74"/>
      <c r="S11" s="43"/>
      <c r="T11" s="43"/>
      <c r="U11" s="43"/>
      <c r="V11" s="43"/>
    </row>
    <row r="12" ht="18.75" customHeight="1">
      <c r="A12" s="43"/>
      <c r="B12" s="45"/>
      <c r="C12" s="43"/>
      <c r="D12" s="45"/>
      <c r="E12" s="63"/>
      <c r="F12" s="45"/>
      <c r="G12" s="43"/>
      <c r="H12" s="45"/>
      <c r="J12" s="68"/>
      <c r="K12" s="58" t="str">
        <f>IFERROR(__xludf.DUMMYFUNCTION("""COMPUTED_VALUE"""),"BYE")</f>
        <v>BYE</v>
      </c>
      <c r="L12" s="58"/>
      <c r="M12" s="60" t="str">
        <f>IFERROR(__xludf.DUMMYFUNCTION("""COMPUTED_VALUE"""),"NoHo")</f>
        <v>NoHo</v>
      </c>
      <c r="N12" s="54">
        <f>IFERROR(__xludf.DUMMYFUNCTION("""COMPUTED_VALUE"""),48.0)</f>
        <v>48</v>
      </c>
      <c r="O12" s="54">
        <f>IFERROR(__xludf.DUMMYFUNCTION("""COMPUTED_VALUE"""),80.0)</f>
        <v>80</v>
      </c>
      <c r="P12" s="74"/>
      <c r="Q12" s="75"/>
      <c r="R12" s="74"/>
      <c r="S12" s="43"/>
      <c r="T12" s="43"/>
      <c r="U12" s="43"/>
      <c r="V12" s="43"/>
    </row>
    <row r="13" ht="18.75" customHeight="1">
      <c r="A13" s="51" t="s">
        <v>11</v>
      </c>
      <c r="B13" s="54">
        <v>118.0</v>
      </c>
      <c r="C13" s="43"/>
      <c r="D13" s="45"/>
      <c r="E13" s="43"/>
      <c r="F13" s="45"/>
      <c r="G13" s="43"/>
      <c r="H13" s="45"/>
      <c r="J13" s="68"/>
      <c r="K13" s="43"/>
      <c r="L13" s="45"/>
      <c r="M13" s="56" t="str">
        <f>IFERROR(__xludf.DUMMYFUNCTION("""COMPUTED_VALUE"""),"Webinar")</f>
        <v>Webinar</v>
      </c>
      <c r="N13" s="68"/>
      <c r="O13" s="68"/>
      <c r="P13" s="74"/>
      <c r="Q13" s="75"/>
      <c r="R13" s="74"/>
      <c r="S13" s="43"/>
      <c r="T13" s="43"/>
      <c r="U13" s="43"/>
      <c r="V13" s="43"/>
    </row>
    <row r="14" ht="18.75" customHeight="1">
      <c r="A14" s="56" t="s">
        <v>18</v>
      </c>
      <c r="B14" s="54"/>
      <c r="C14" s="58" t="str">
        <f>IFERROR(__xludf.DUMMYFUNCTION("""COMPUTED_VALUE"""),"BYE")</f>
        <v>BYE</v>
      </c>
      <c r="D14" s="58"/>
      <c r="E14" s="60" t="str">
        <f>IFERROR(__xludf.DUMMYFUNCTION("""COMPUTED_VALUE"""),"NoHo")</f>
        <v>NoHo</v>
      </c>
      <c r="F14" s="54">
        <f>IFERROR(__xludf.DUMMYFUNCTION("""COMPUTED_VALUE"""),140.0)</f>
        <v>140</v>
      </c>
      <c r="G14" s="63"/>
      <c r="H14" s="45"/>
      <c r="J14" s="68"/>
      <c r="K14" s="63"/>
      <c r="L14" s="45"/>
      <c r="N14" s="68"/>
      <c r="O14" s="68"/>
      <c r="P14" s="74"/>
      <c r="Q14" s="75"/>
      <c r="R14" s="74"/>
      <c r="S14" s="43"/>
      <c r="T14" s="43"/>
      <c r="U14" s="43"/>
      <c r="V14" s="43"/>
    </row>
    <row r="15" ht="18.75" customHeight="1">
      <c r="A15" s="51" t="s">
        <v>28</v>
      </c>
      <c r="B15" s="54">
        <v>46.0</v>
      </c>
      <c r="C15" s="43"/>
      <c r="D15" s="45"/>
      <c r="E15" s="56" t="str">
        <f>IFERROR(__xludf.DUMMYFUNCTION("""COMPUTED_VALUE"""),"Curie")</f>
        <v>Curie</v>
      </c>
      <c r="F15" s="68"/>
      <c r="G15" s="43"/>
      <c r="H15" s="45"/>
      <c r="J15" s="68"/>
      <c r="K15" s="43"/>
      <c r="L15" s="45"/>
      <c r="N15" s="68"/>
      <c r="O15" s="68"/>
      <c r="P15" s="74"/>
      <c r="Q15" s="87"/>
      <c r="R15" s="74"/>
      <c r="S15" s="43"/>
      <c r="T15" s="43"/>
      <c r="U15" s="43"/>
      <c r="V15" s="43"/>
    </row>
    <row r="16" ht="18.75" customHeight="1">
      <c r="A16" s="48"/>
      <c r="B16" s="45"/>
      <c r="C16" s="43"/>
      <c r="D16" s="45"/>
      <c r="F16" s="68"/>
      <c r="G16" s="58" t="str">
        <f>IFERROR(__xludf.DUMMYFUNCTION("""COMPUTED_VALUE"""),"BYE")</f>
        <v>BYE</v>
      </c>
      <c r="H16" s="58"/>
      <c r="I16" s="60" t="str">
        <f>IFERROR(__xludf.DUMMYFUNCTION("""COMPUTED_VALUE"""),"NoHo")</f>
        <v>NoHo</v>
      </c>
      <c r="J16" s="54">
        <f>IFERROR(__xludf.DUMMYFUNCTION("""COMPUTED_VALUE"""),130.0)</f>
        <v>130</v>
      </c>
      <c r="K16" s="43"/>
      <c r="L16" s="45"/>
      <c r="N16" s="68"/>
      <c r="O16" s="68"/>
      <c r="P16" s="74"/>
      <c r="Q16" s="91"/>
      <c r="R16" s="74"/>
      <c r="S16" s="43"/>
      <c r="T16" s="43"/>
      <c r="U16" s="43"/>
      <c r="V16" s="43"/>
    </row>
    <row r="17" ht="18.75" customHeight="1">
      <c r="A17" s="51" t="s">
        <v>16</v>
      </c>
      <c r="B17" s="54">
        <v>62.0</v>
      </c>
      <c r="C17" s="43"/>
      <c r="D17" s="45"/>
      <c r="F17" s="68"/>
      <c r="G17" s="43"/>
      <c r="H17" s="45"/>
      <c r="I17" s="43"/>
      <c r="J17" s="45"/>
      <c r="K17" s="43"/>
      <c r="L17" s="45"/>
      <c r="N17" s="68"/>
      <c r="O17" s="68"/>
      <c r="P17" s="74"/>
      <c r="Q17" s="87"/>
      <c r="R17" s="94"/>
      <c r="S17" s="43"/>
      <c r="T17" s="43"/>
      <c r="U17" s="43"/>
      <c r="V17" s="43"/>
    </row>
    <row r="18" ht="18.75" customHeight="1">
      <c r="A18" s="56" t="s">
        <v>25</v>
      </c>
      <c r="B18" s="54"/>
      <c r="C18" s="58" t="str">
        <f>IFERROR(__xludf.DUMMYFUNCTION("""COMPUTED_VALUE"""),"BYE")</f>
        <v>BYE</v>
      </c>
      <c r="D18" s="58"/>
      <c r="E18" s="60" t="str">
        <f>IFERROR(__xludf.DUMMYFUNCTION("""COMPUTED_VALUE"""),"Dulles")</f>
        <v>Dulles</v>
      </c>
      <c r="F18" s="54">
        <f>IFERROR(__xludf.DUMMYFUNCTION("""COMPUTED_VALUE"""),62.0)</f>
        <v>62</v>
      </c>
      <c r="G18" s="63"/>
      <c r="H18" s="45"/>
      <c r="I18" s="63"/>
      <c r="J18" s="45"/>
      <c r="K18" s="63"/>
      <c r="L18" s="45"/>
      <c r="N18" s="68"/>
      <c r="O18" s="68"/>
      <c r="P18" s="102" t="str">
        <f>IFERROR(__xludf.DUMMYFUNCTION("""COMPUTED_VALUE"""),"NoHo")</f>
        <v>NoHo</v>
      </c>
      <c r="Q18" s="87"/>
      <c r="R18" s="74"/>
      <c r="S18" s="43"/>
      <c r="T18" s="43"/>
      <c r="U18" s="43"/>
      <c r="V18" s="43"/>
    </row>
    <row r="19" ht="18.75" customHeight="1">
      <c r="A19" s="51" t="s">
        <v>24</v>
      </c>
      <c r="B19" s="54">
        <v>92.0</v>
      </c>
      <c r="C19" s="43"/>
      <c r="D19" s="45"/>
      <c r="E19" s="43"/>
      <c r="F19" s="45"/>
      <c r="G19" s="43"/>
      <c r="H19" s="45"/>
      <c r="I19" s="43"/>
      <c r="J19" s="45"/>
      <c r="K19" s="43"/>
      <c r="L19" s="45"/>
      <c r="N19" s="68"/>
      <c r="O19" s="68"/>
      <c r="P19" s="108"/>
      <c r="Q19" s="91"/>
      <c r="R19" s="74"/>
      <c r="S19" s="43"/>
      <c r="T19" s="43"/>
      <c r="U19" s="43"/>
      <c r="V19" s="43"/>
    </row>
    <row r="20" ht="18.75" customHeight="1">
      <c r="A20" s="43"/>
      <c r="B20" s="45"/>
      <c r="C20" s="43"/>
      <c r="D20" s="45"/>
      <c r="E20" s="43"/>
      <c r="F20" s="45"/>
      <c r="G20" s="43"/>
      <c r="H20" s="45"/>
      <c r="I20" s="43"/>
      <c r="J20" s="45"/>
      <c r="K20" s="112"/>
      <c r="L20" s="63"/>
      <c r="N20" s="68"/>
      <c r="O20" s="68"/>
      <c r="P20" s="74"/>
      <c r="Q20" s="87"/>
      <c r="R20" s="74"/>
      <c r="S20" s="43"/>
      <c r="T20" s="43"/>
      <c r="U20" s="43"/>
      <c r="V20" s="43"/>
    </row>
    <row r="21" ht="18.75" customHeight="1">
      <c r="A21" s="43"/>
      <c r="B21" s="45"/>
      <c r="C21" s="43"/>
      <c r="D21" s="45"/>
      <c r="E21" s="43"/>
      <c r="F21" s="45"/>
      <c r="G21" s="43"/>
      <c r="H21" s="45"/>
      <c r="I21" s="43"/>
      <c r="J21" s="45"/>
      <c r="K21" s="60" t="str">
        <f>IFERROR(__xludf.DUMMYFUNCTION("""COMPUTED_VALUE"""),"Centennial")</f>
        <v>Centennial</v>
      </c>
      <c r="L21" s="54">
        <f>IFERROR(__xludf.DUMMYFUNCTION("""COMPUTED_VALUE"""),74.0)</f>
        <v>74</v>
      </c>
      <c r="N21" s="68"/>
      <c r="O21" s="68"/>
      <c r="P21" s="74"/>
      <c r="Q21" s="87"/>
      <c r="R21" s="74"/>
      <c r="S21" s="43"/>
      <c r="T21" s="43"/>
      <c r="U21" s="43"/>
      <c r="V21" s="43"/>
    </row>
    <row r="22" ht="18.75" customHeight="1">
      <c r="A22" s="43"/>
      <c r="B22" s="45"/>
      <c r="C22" s="60" t="str">
        <f>IFERROR(__xludf.DUMMYFUNCTION("""COMPUTED_VALUE"""),"NCSSM A")</f>
        <v>NCSSM A</v>
      </c>
      <c r="D22" s="54">
        <f>IFERROR(__xludf.DUMMYFUNCTION("""COMPUTED_VALUE"""),40.0)</f>
        <v>40</v>
      </c>
      <c r="E22" s="43"/>
      <c r="F22" s="45"/>
      <c r="G22" s="60" t="str">
        <f>IFERROR(__xludf.DUMMYFUNCTION("""COMPUTED_VALUE"""),"Dulles")</f>
        <v>Dulles</v>
      </c>
      <c r="H22" s="54">
        <f>IFERROR(__xludf.DUMMYFUNCTION("""COMPUTED_VALUE"""),82.0)</f>
        <v>82</v>
      </c>
      <c r="I22" s="43"/>
      <c r="J22" s="45"/>
      <c r="K22" s="56" t="str">
        <f>IFERROR(__xludf.DUMMYFUNCTION("""COMPUTED_VALUE"""),"Webinar")</f>
        <v>Webinar</v>
      </c>
      <c r="L22" s="68"/>
      <c r="N22" s="68"/>
      <c r="O22" s="68"/>
      <c r="P22" s="74"/>
      <c r="Q22" s="75"/>
      <c r="R22" s="74"/>
      <c r="S22" s="43"/>
      <c r="T22" s="43"/>
      <c r="U22" s="43"/>
      <c r="V22" s="43"/>
    </row>
    <row r="23" ht="18.75" customHeight="1">
      <c r="A23" s="43"/>
      <c r="B23" s="45"/>
      <c r="C23" s="56" t="str">
        <f>IFERROR(__xludf.DUMMYFUNCTION("""COMPUTED_VALUE"""),"Ampere")</f>
        <v>Ampere</v>
      </c>
      <c r="D23" s="54"/>
      <c r="E23" s="43"/>
      <c r="F23" s="45"/>
      <c r="G23" s="56" t="str">
        <f>IFERROR(__xludf.DUMMYFUNCTION("""COMPUTED_VALUE"""),"Ampere")</f>
        <v>Ampere</v>
      </c>
      <c r="H23" s="68"/>
      <c r="I23" s="43"/>
      <c r="J23" s="45"/>
      <c r="L23" s="68"/>
      <c r="N23" s="68"/>
      <c r="O23" s="68"/>
      <c r="P23" s="74"/>
      <c r="Q23" s="75"/>
      <c r="R23" s="74"/>
      <c r="S23" s="43"/>
      <c r="T23" s="43"/>
      <c r="U23" s="43"/>
      <c r="V23" s="43"/>
    </row>
    <row r="24" ht="18.75" customHeight="1">
      <c r="A24" s="51" t="s">
        <v>9</v>
      </c>
      <c r="B24" s="54">
        <v>80.0</v>
      </c>
      <c r="D24" s="54"/>
      <c r="E24" s="129" t="str">
        <f>IFERROR(__xludf.DUMMYFUNCTION("""COMPUTED_VALUE"""),"Blair A")</f>
        <v>Blair A</v>
      </c>
      <c r="F24" s="54">
        <f>IFERROR(__xludf.DUMMYFUNCTION("""COMPUTED_VALUE"""),82.0)</f>
        <v>82</v>
      </c>
      <c r="H24" s="68"/>
      <c r="I24" s="129" t="str">
        <f>IFERROR(__xludf.DUMMYFUNCTION("""COMPUTED_VALUE"""),"Dulles")</f>
        <v>Dulles</v>
      </c>
      <c r="J24" s="54">
        <f>IFERROR(__xludf.DUMMYFUNCTION("""COMPUTED_VALUE"""),64.0)</f>
        <v>64</v>
      </c>
      <c r="L24" s="68"/>
      <c r="N24" s="68"/>
      <c r="O24" s="68"/>
      <c r="P24" s="74"/>
      <c r="Q24" s="75"/>
      <c r="R24" s="74"/>
      <c r="S24" s="43"/>
      <c r="T24" s="43"/>
      <c r="U24" s="43"/>
      <c r="V24" s="43"/>
    </row>
    <row r="25" ht="18.75" customHeight="1">
      <c r="A25" s="56" t="s">
        <v>7</v>
      </c>
      <c r="B25" s="54"/>
      <c r="C25" s="129" t="str">
        <f>IFERROR(__xludf.DUMMYFUNCTION("""COMPUTED_VALUE"""),"Blair A")</f>
        <v>Blair A</v>
      </c>
      <c r="D25" s="54">
        <f>IFERROR(__xludf.DUMMYFUNCTION("""COMPUTED_VALUE"""),142.0)</f>
        <v>142</v>
      </c>
      <c r="E25" s="56" t="str">
        <f>IFERROR(__xludf.DUMMYFUNCTION("""COMPUTED_VALUE"""),"Einstein")</f>
        <v>Einstein</v>
      </c>
      <c r="F25" s="68"/>
      <c r="H25" s="68"/>
      <c r="I25" s="56" t="str">
        <f>IFERROR(__xludf.DUMMYFUNCTION("""COMPUTED_VALUE"""),"Curie")</f>
        <v>Curie</v>
      </c>
      <c r="J25" s="54"/>
      <c r="L25" s="68"/>
      <c r="M25" s="129" t="str">
        <f>IFERROR(__xludf.DUMMYFUNCTION("""COMPUTED_VALUE"""),"Centennial")</f>
        <v>Centennial</v>
      </c>
      <c r="N25" s="54">
        <f>IFERROR(__xludf.DUMMYFUNCTION("""COMPUTED_VALUE"""),80.0)</f>
        <v>80</v>
      </c>
      <c r="O25" s="54">
        <f>IFERROR(__xludf.DUMMYFUNCTION("""COMPUTED_VALUE"""),30.0)</f>
        <v>30</v>
      </c>
      <c r="P25" s="74"/>
      <c r="Q25" s="75"/>
      <c r="R25" s="74"/>
      <c r="S25" s="43"/>
      <c r="T25" s="43"/>
      <c r="U25" s="43"/>
      <c r="V25" s="43"/>
    </row>
    <row r="26" ht="18.75" customHeight="1">
      <c r="A26" s="51" t="s">
        <v>32</v>
      </c>
      <c r="B26" s="54">
        <v>56.0</v>
      </c>
      <c r="C26" s="43"/>
      <c r="D26" s="45"/>
      <c r="F26" s="68"/>
      <c r="G26" s="129" t="str">
        <f>IFERROR(__xludf.DUMMYFUNCTION("""COMPUTED_VALUE"""),"Blair A")</f>
        <v>Blair A</v>
      </c>
      <c r="H26" s="54">
        <f>IFERROR(__xludf.DUMMYFUNCTION("""COMPUTED_VALUE"""),70.0)</f>
        <v>70</v>
      </c>
      <c r="J26" s="54"/>
      <c r="L26" s="68"/>
      <c r="M26" s="43"/>
      <c r="N26" s="45"/>
      <c r="O26" s="45"/>
      <c r="P26" s="74"/>
      <c r="Q26" s="75"/>
      <c r="R26" s="74"/>
      <c r="S26" s="43"/>
      <c r="T26" s="43"/>
      <c r="U26" s="43"/>
      <c r="V26" s="43"/>
    </row>
    <row r="27" ht="18.75" customHeight="1">
      <c r="A27" s="43"/>
      <c r="B27" s="45"/>
      <c r="C27" s="112"/>
      <c r="D27" s="63"/>
      <c r="F27" s="68"/>
      <c r="G27" s="43"/>
      <c r="H27" s="45"/>
      <c r="J27" s="54"/>
      <c r="L27" s="68"/>
      <c r="M27" s="43"/>
      <c r="N27" s="45"/>
      <c r="O27" s="45"/>
      <c r="P27" s="74"/>
      <c r="Q27" s="75"/>
      <c r="R27" s="74"/>
      <c r="S27" s="43"/>
      <c r="T27" s="43"/>
      <c r="U27" s="43"/>
      <c r="V27" s="43"/>
    </row>
    <row r="28" ht="18.75" customHeight="1">
      <c r="A28" s="112"/>
      <c r="B28" s="63"/>
      <c r="C28" s="60" t="str">
        <f>IFERROR(__xludf.DUMMYFUNCTION("""COMPUTED_VALUE"""),"MSJ")</f>
        <v>MSJ</v>
      </c>
      <c r="D28" s="54">
        <f>IFERROR(__xludf.DUMMYFUNCTION("""COMPUTED_VALUE"""),78.0)</f>
        <v>78</v>
      </c>
      <c r="F28" s="68"/>
      <c r="G28" s="43"/>
      <c r="H28" s="45"/>
      <c r="J28" s="54"/>
      <c r="L28" s="68"/>
      <c r="M28" s="43"/>
      <c r="N28" s="45"/>
      <c r="O28" s="45"/>
      <c r="P28" s="74"/>
      <c r="Q28" s="75"/>
      <c r="R28" s="74"/>
      <c r="S28" s="43"/>
      <c r="T28" s="43"/>
      <c r="U28" s="43"/>
      <c r="V28" s="43"/>
    </row>
    <row r="29" ht="18.75" customHeight="1">
      <c r="A29" s="63"/>
      <c r="B29" s="63"/>
      <c r="C29" s="56" t="str">
        <f>IFERROR(__xludf.DUMMYFUNCTION("""COMPUTED_VALUE"""),"Curie")</f>
        <v>Curie</v>
      </c>
      <c r="D29" s="54"/>
      <c r="F29" s="68"/>
      <c r="G29" s="43"/>
      <c r="H29" s="45"/>
      <c r="J29" s="54"/>
      <c r="L29" s="68"/>
      <c r="M29" s="43"/>
      <c r="N29" s="45"/>
      <c r="O29" s="45"/>
      <c r="P29" s="74"/>
      <c r="Q29" s="75"/>
      <c r="R29" s="74"/>
      <c r="S29" s="43"/>
      <c r="T29" s="43"/>
      <c r="U29" s="43"/>
      <c r="V29" s="43"/>
    </row>
    <row r="30" ht="18.75" customHeight="1">
      <c r="A30" s="51" t="s">
        <v>20</v>
      </c>
      <c r="B30" s="54">
        <v>68.0</v>
      </c>
      <c r="D30" s="54"/>
      <c r="E30" s="129" t="str">
        <f>IFERROR(__xludf.DUMMYFUNCTION("""COMPUTED_VALUE"""),"MSJ")</f>
        <v>MSJ</v>
      </c>
      <c r="F30" s="54">
        <f>IFERROR(__xludf.DUMMYFUNCTION("""COMPUTED_VALUE"""),48.0)</f>
        <v>48</v>
      </c>
      <c r="G30" s="112"/>
      <c r="H30" s="63"/>
      <c r="J30" s="54"/>
      <c r="K30" s="129" t="str">
        <f>IFERROR(__xludf.DUMMYFUNCTION("""COMPUTED_VALUE"""),"Mira Loma")</f>
        <v>Mira Loma</v>
      </c>
      <c r="L30" s="54">
        <f>IFERROR(__xludf.DUMMYFUNCTION("""COMPUTED_VALUE"""),72.0)</f>
        <v>72</v>
      </c>
      <c r="M30" s="43"/>
      <c r="N30" s="45"/>
      <c r="O30" s="45"/>
      <c r="P30" s="43"/>
      <c r="Q30" s="48"/>
      <c r="R30" s="43"/>
      <c r="S30" s="43"/>
      <c r="T30" s="43"/>
      <c r="U30" s="43"/>
      <c r="V30" s="43"/>
    </row>
    <row r="31" ht="18.75" customHeight="1">
      <c r="A31" s="56" t="s">
        <v>15</v>
      </c>
      <c r="B31" s="54"/>
      <c r="C31" s="129" t="str">
        <f>IFERROR(__xludf.DUMMYFUNCTION("""COMPUTED_VALUE"""),"Lexington A")</f>
        <v>Lexington A</v>
      </c>
      <c r="D31" s="54">
        <f>IFERROR(__xludf.DUMMYFUNCTION("""COMPUTED_VALUE"""),76.0)</f>
        <v>76</v>
      </c>
      <c r="E31" s="112"/>
      <c r="F31" s="63"/>
      <c r="G31" s="63"/>
      <c r="H31" s="45"/>
      <c r="J31" s="54"/>
      <c r="K31" s="43"/>
      <c r="L31" s="45"/>
      <c r="M31" s="43"/>
      <c r="N31" s="45"/>
      <c r="O31" s="45"/>
      <c r="P31" s="43"/>
      <c r="Q31" s="48"/>
      <c r="R31" s="43"/>
      <c r="S31" s="43"/>
      <c r="T31" s="43"/>
      <c r="U31" s="43"/>
      <c r="V31" s="43"/>
    </row>
    <row r="32" ht="18.75" customHeight="1">
      <c r="A32" s="51" t="s">
        <v>22</v>
      </c>
      <c r="B32" s="54">
        <v>122.0</v>
      </c>
      <c r="C32" s="43"/>
      <c r="D32" s="45"/>
      <c r="E32" s="63"/>
      <c r="F32" s="45"/>
      <c r="G32" s="112"/>
      <c r="H32" s="63"/>
      <c r="J32" s="54"/>
      <c r="K32" s="43"/>
      <c r="L32" s="45"/>
      <c r="M32" s="43"/>
      <c r="N32" s="45"/>
      <c r="O32" s="45"/>
      <c r="P32" s="43"/>
      <c r="Q32" s="48"/>
      <c r="R32" s="43"/>
      <c r="S32" s="43"/>
      <c r="T32" s="43"/>
      <c r="U32" s="43"/>
      <c r="V32" s="43"/>
    </row>
    <row r="33" ht="18.75" customHeight="1">
      <c r="A33" s="43"/>
      <c r="B33" s="45"/>
      <c r="C33" s="112"/>
      <c r="D33" s="63"/>
      <c r="E33" s="43"/>
      <c r="F33" s="45"/>
      <c r="G33" s="43"/>
      <c r="H33" s="45"/>
      <c r="J33" s="54"/>
      <c r="K33" s="43"/>
      <c r="L33" s="45"/>
      <c r="M33" s="43"/>
      <c r="N33" s="45"/>
      <c r="O33" s="45"/>
      <c r="P33" s="43"/>
      <c r="Q33" s="48"/>
      <c r="R33" s="43"/>
      <c r="S33" s="43"/>
      <c r="T33" s="43"/>
      <c r="U33" s="43"/>
      <c r="V33" s="43"/>
    </row>
    <row r="34" ht="18.75" customHeight="1">
      <c r="A34" s="112"/>
      <c r="B34" s="63"/>
      <c r="C34" s="60" t="str">
        <f>IFERROR(__xludf.DUMMYFUNCTION("""COMPUTED_VALUE"""),"Tesla STEM")</f>
        <v>Tesla STEM</v>
      </c>
      <c r="D34" s="54">
        <f>IFERROR(__xludf.DUMMYFUNCTION("""COMPUTED_VALUE"""),100.0)</f>
        <v>100</v>
      </c>
      <c r="E34" s="112"/>
      <c r="F34" s="63"/>
      <c r="G34" s="60" t="str">
        <f>IFERROR(__xludf.DUMMYFUNCTION("""COMPUTED_VALUE"""),"University")</f>
        <v>University</v>
      </c>
      <c r="H34" s="54">
        <f>IFERROR(__xludf.DUMMYFUNCTION("""COMPUTED_VALUE"""),72.0)</f>
        <v>72</v>
      </c>
      <c r="J34" s="54"/>
      <c r="K34" s="43"/>
      <c r="L34" s="45"/>
      <c r="M34" s="43"/>
      <c r="N34" s="45"/>
      <c r="O34" s="45"/>
      <c r="P34" s="43"/>
      <c r="Q34" s="48"/>
      <c r="R34" s="43"/>
      <c r="S34" s="43"/>
      <c r="T34" s="43"/>
      <c r="U34" s="43"/>
      <c r="V34" s="43"/>
    </row>
    <row r="35" ht="18.75" customHeight="1">
      <c r="A35" s="63"/>
      <c r="B35" s="63"/>
      <c r="C35" s="56" t="str">
        <f>IFERROR(__xludf.DUMMYFUNCTION("""COMPUTED_VALUE"""),"Einstein")</f>
        <v>Einstein</v>
      </c>
      <c r="D35" s="54"/>
      <c r="E35" s="43"/>
      <c r="F35" s="45"/>
      <c r="G35" s="56" t="str">
        <f>IFERROR(__xludf.DUMMYFUNCTION("""COMPUTED_VALUE"""),"Curie")</f>
        <v>Curie</v>
      </c>
      <c r="H35" s="68"/>
      <c r="J35" s="54"/>
      <c r="K35" s="43"/>
      <c r="L35" s="45"/>
      <c r="M35" s="43"/>
      <c r="N35" s="45"/>
      <c r="O35" s="45"/>
      <c r="P35" s="43"/>
      <c r="Q35" s="48"/>
      <c r="R35" s="43"/>
      <c r="S35" s="43"/>
      <c r="T35" s="43"/>
      <c r="U35" s="43"/>
      <c r="V35" s="43"/>
    </row>
    <row r="36" ht="18.75" customHeight="1">
      <c r="A36" s="51" t="s">
        <v>13</v>
      </c>
      <c r="B36" s="54">
        <v>102.0</v>
      </c>
      <c r="D36" s="54"/>
      <c r="E36" s="129" t="str">
        <f>IFERROR(__xludf.DUMMYFUNCTION("""COMPUTED_VALUE"""),"Tesla STEM")</f>
        <v>Tesla STEM</v>
      </c>
      <c r="F36" s="54">
        <f>IFERROR(__xludf.DUMMYFUNCTION("""COMPUTED_VALUE"""),54.0)</f>
        <v>54</v>
      </c>
      <c r="H36" s="68"/>
      <c r="I36" s="129" t="str">
        <f>IFERROR(__xludf.DUMMYFUNCTION("""COMPUTED_VALUE"""),"Mira Loma")</f>
        <v>Mira Loma</v>
      </c>
      <c r="J36" s="54">
        <f>IFERROR(__xludf.DUMMYFUNCTION("""COMPUTED_VALUE"""),112.0)</f>
        <v>112</v>
      </c>
      <c r="K36" s="43"/>
      <c r="L36" s="45"/>
      <c r="M36" s="43"/>
      <c r="N36" s="45"/>
      <c r="O36" s="45"/>
      <c r="P36" s="43"/>
      <c r="Q36" s="48"/>
      <c r="R36" s="43"/>
      <c r="S36" s="43"/>
      <c r="T36" s="43"/>
      <c r="U36" s="43"/>
      <c r="V36" s="43"/>
    </row>
    <row r="37" ht="18.75" customHeight="1">
      <c r="A37" s="56" t="s">
        <v>12</v>
      </c>
      <c r="B37" s="54"/>
      <c r="C37" s="129" t="str">
        <f>IFERROR(__xludf.DUMMYFUNCTION("""COMPUTED_VALUE"""),"Enloe B")</f>
        <v>Enloe B</v>
      </c>
      <c r="D37" s="54">
        <f>IFERROR(__xludf.DUMMYFUNCTION("""COMPUTED_VALUE"""),38.0)</f>
        <v>38</v>
      </c>
      <c r="E37" s="56" t="str">
        <f>IFERROR(__xludf.DUMMYFUNCTION("""COMPUTED_VALUE"""),"Goodall")</f>
        <v>Goodall</v>
      </c>
      <c r="F37" s="68"/>
      <c r="H37" s="68"/>
      <c r="I37" s="43"/>
      <c r="J37" s="45"/>
      <c r="K37" s="43"/>
      <c r="L37" s="45"/>
      <c r="M37" s="43"/>
      <c r="N37" s="45"/>
      <c r="O37" s="45"/>
      <c r="P37" s="43"/>
      <c r="Q37" s="48"/>
      <c r="R37" s="43"/>
      <c r="S37" s="43"/>
      <c r="T37" s="43"/>
      <c r="U37" s="43"/>
      <c r="V37" s="43"/>
    </row>
    <row r="38" ht="18.75" customHeight="1">
      <c r="A38" s="51" t="s">
        <v>29</v>
      </c>
      <c r="B38" s="54">
        <v>50.0</v>
      </c>
      <c r="C38" s="43"/>
      <c r="D38" s="45"/>
      <c r="F38" s="68"/>
      <c r="G38" s="129" t="str">
        <f>IFERROR(__xludf.DUMMYFUNCTION("""COMPUTED_VALUE"""),"Mira Loma")</f>
        <v>Mira Loma</v>
      </c>
      <c r="H38" s="54">
        <f>IFERROR(__xludf.DUMMYFUNCTION("""COMPUTED_VALUE"""),84.0)</f>
        <v>84</v>
      </c>
      <c r="I38" s="43"/>
      <c r="J38" s="45"/>
      <c r="K38" s="43"/>
      <c r="L38" s="45"/>
      <c r="M38" s="43"/>
      <c r="N38" s="45"/>
      <c r="O38" s="45"/>
      <c r="P38" s="43"/>
      <c r="Q38" s="48"/>
      <c r="R38" s="43"/>
      <c r="S38" s="43"/>
      <c r="T38" s="43"/>
      <c r="U38" s="43"/>
      <c r="V38" s="43"/>
    </row>
    <row r="39" ht="18.75" customHeight="1">
      <c r="A39" s="43"/>
      <c r="B39" s="45"/>
      <c r="C39" s="43"/>
      <c r="D39" s="45"/>
      <c r="F39" s="68"/>
      <c r="G39" s="43"/>
      <c r="H39" s="45"/>
      <c r="I39" s="43"/>
      <c r="J39" s="45"/>
      <c r="K39" s="43"/>
      <c r="L39" s="45"/>
      <c r="M39" s="43"/>
      <c r="N39" s="45"/>
      <c r="O39" s="45"/>
      <c r="P39" s="43"/>
      <c r="Q39" s="48"/>
      <c r="R39" s="43"/>
      <c r="S39" s="43"/>
      <c r="T39" s="43"/>
      <c r="U39" s="43"/>
      <c r="V39" s="43"/>
    </row>
    <row r="40" ht="18.75" customHeight="1">
      <c r="A40" s="43"/>
      <c r="B40" s="45"/>
      <c r="C40" s="60" t="str">
        <f>IFERROR(__xludf.DUMMYFUNCTION("""COMPUTED_VALUE"""),"Mira Loma")</f>
        <v>Mira Loma</v>
      </c>
      <c r="D40" s="54">
        <f>IFERROR(__xludf.DUMMYFUNCTION("""COMPUTED_VALUE"""),118.0)</f>
        <v>118</v>
      </c>
      <c r="F40" s="68"/>
      <c r="G40" s="43"/>
      <c r="H40" s="45"/>
      <c r="I40" s="43"/>
      <c r="J40" s="45"/>
      <c r="K40" s="43"/>
      <c r="L40" s="45"/>
      <c r="M40" s="43"/>
      <c r="N40" s="45"/>
      <c r="O40" s="45"/>
      <c r="P40" s="43"/>
      <c r="Q40" s="48"/>
      <c r="R40" s="43"/>
      <c r="S40" s="43"/>
      <c r="T40" s="43"/>
      <c r="U40" s="43"/>
      <c r="V40" s="43"/>
    </row>
    <row r="41" ht="18.75" customHeight="1">
      <c r="A41" s="43"/>
      <c r="B41" s="45"/>
      <c r="C41" s="56" t="str">
        <f>IFERROR(__xludf.DUMMYFUNCTION("""COMPUTED_VALUE"""),"Goodall")</f>
        <v>Goodall</v>
      </c>
      <c r="D41" s="54"/>
      <c r="F41" s="68"/>
      <c r="G41" s="43"/>
      <c r="H41" s="45"/>
      <c r="I41" s="43"/>
      <c r="J41" s="45"/>
      <c r="K41" s="43"/>
      <c r="L41" s="45"/>
      <c r="M41" s="43"/>
      <c r="N41" s="45"/>
      <c r="O41" s="45"/>
      <c r="P41" s="43"/>
      <c r="Q41" s="48"/>
      <c r="R41" s="43"/>
      <c r="S41" s="43"/>
      <c r="T41" s="43"/>
      <c r="U41" s="43"/>
      <c r="V41" s="43"/>
    </row>
    <row r="42" ht="18.75" customHeight="1">
      <c r="A42" s="51" t="s">
        <v>17</v>
      </c>
      <c r="B42" s="54">
        <v>82.0</v>
      </c>
      <c r="D42" s="54"/>
      <c r="E42" s="129" t="str">
        <f>IFERROR(__xludf.DUMMYFUNCTION("""COMPUTED_VALUE"""),"Mira Loma")</f>
        <v>Mira Loma</v>
      </c>
      <c r="F42" s="54">
        <f>IFERROR(__xludf.DUMMYFUNCTION("""COMPUTED_VALUE"""),94.0)</f>
        <v>94</v>
      </c>
      <c r="G42" s="43"/>
      <c r="H42" s="45"/>
      <c r="I42" s="43"/>
      <c r="J42" s="45"/>
      <c r="K42" s="43"/>
      <c r="L42" s="45"/>
      <c r="M42" s="43"/>
      <c r="N42" s="45"/>
      <c r="O42" s="45"/>
      <c r="P42" s="43"/>
      <c r="Q42" s="48"/>
      <c r="R42" s="43"/>
      <c r="S42" s="43"/>
      <c r="T42" s="43"/>
      <c r="U42" s="43"/>
      <c r="V42" s="43"/>
    </row>
    <row r="43" ht="18.75" customHeight="1">
      <c r="A43" s="56" t="s">
        <v>30</v>
      </c>
      <c r="B43" s="54"/>
      <c r="C43" s="129" t="str">
        <f>IFERROR(__xludf.DUMMYFUNCTION("""COMPUTED_VALUE"""),"Brookfield")</f>
        <v>Brookfield</v>
      </c>
      <c r="D43" s="54">
        <f>IFERROR(__xludf.DUMMYFUNCTION("""COMPUTED_VALUE"""),100.0)</f>
        <v>100</v>
      </c>
      <c r="E43" s="43"/>
      <c r="F43" s="45"/>
      <c r="G43" s="43"/>
      <c r="H43" s="45"/>
      <c r="I43" s="43"/>
      <c r="J43" s="45"/>
      <c r="K43" s="43"/>
      <c r="L43" s="45"/>
      <c r="M43" s="43"/>
      <c r="N43" s="45"/>
      <c r="O43" s="45"/>
      <c r="P43" s="43"/>
      <c r="Q43" s="48"/>
      <c r="R43" s="43"/>
      <c r="S43" s="43"/>
      <c r="T43" s="43"/>
      <c r="U43" s="43"/>
      <c r="V43" s="43"/>
    </row>
    <row r="44" ht="18.75" customHeight="1">
      <c r="A44" s="51" t="s">
        <v>26</v>
      </c>
      <c r="B44" s="54">
        <v>80.0</v>
      </c>
      <c r="C44" s="43"/>
      <c r="D44" s="45"/>
      <c r="E44" s="43"/>
      <c r="F44" s="45"/>
      <c r="G44" s="43"/>
      <c r="H44" s="45"/>
      <c r="I44" s="43"/>
      <c r="J44" s="45"/>
      <c r="K44" s="43"/>
      <c r="L44" s="45"/>
      <c r="M44" s="43"/>
      <c r="N44" s="45"/>
      <c r="O44" s="45"/>
      <c r="P44" s="43"/>
      <c r="Q44" s="48"/>
      <c r="R44" s="43"/>
      <c r="S44" s="43"/>
      <c r="T44" s="43"/>
      <c r="U44" s="43"/>
      <c r="V44" s="43"/>
    </row>
    <row r="45" ht="18.75" customHeight="1">
      <c r="A45" s="43"/>
      <c r="B45" s="45"/>
      <c r="C45" s="43"/>
      <c r="D45" s="45"/>
      <c r="E45" s="43"/>
      <c r="F45" s="45"/>
      <c r="G45" s="43"/>
      <c r="H45" s="45"/>
      <c r="I45" s="43"/>
      <c r="J45" s="45"/>
      <c r="K45" s="43"/>
      <c r="L45" s="45"/>
      <c r="M45" s="43"/>
      <c r="N45" s="45"/>
      <c r="O45" s="45"/>
      <c r="P45" s="43"/>
      <c r="Q45" s="48"/>
      <c r="R45" s="43"/>
      <c r="S45" s="43"/>
      <c r="T45" s="43"/>
      <c r="U45" s="43"/>
      <c r="V45" s="43"/>
    </row>
    <row r="46" ht="18.75" customHeight="1">
      <c r="A46" s="43"/>
      <c r="B46" s="45"/>
      <c r="C46" s="43"/>
      <c r="D46" s="45"/>
      <c r="E46" s="43"/>
      <c r="F46" s="45"/>
      <c r="G46" s="43"/>
      <c r="H46" s="45"/>
      <c r="I46" s="43"/>
      <c r="J46" s="45"/>
      <c r="K46" s="43"/>
      <c r="L46" s="45"/>
      <c r="M46" s="43"/>
      <c r="N46" s="45"/>
      <c r="O46" s="45"/>
      <c r="P46" s="43"/>
      <c r="Q46" s="48"/>
      <c r="R46" s="43"/>
      <c r="S46" s="43"/>
      <c r="T46" s="43"/>
      <c r="U46" s="43"/>
      <c r="V46" s="43"/>
    </row>
    <row r="47">
      <c r="A47" s="43"/>
      <c r="B47" s="45"/>
      <c r="C47" s="43"/>
      <c r="D47" s="45"/>
      <c r="E47" s="43"/>
      <c r="F47" s="45"/>
      <c r="G47" s="43"/>
      <c r="H47" s="45"/>
      <c r="I47" s="43"/>
      <c r="J47" s="45"/>
      <c r="K47" s="43"/>
      <c r="L47" s="45"/>
      <c r="M47" s="43"/>
      <c r="N47" s="45"/>
      <c r="O47" s="45"/>
      <c r="P47" s="43"/>
      <c r="Q47" s="48"/>
      <c r="R47" s="43"/>
      <c r="S47" s="43"/>
      <c r="T47" s="43"/>
      <c r="U47" s="43"/>
      <c r="V47" s="43"/>
    </row>
    <row r="48">
      <c r="A48" s="43"/>
      <c r="B48" s="45"/>
      <c r="C48" s="43"/>
      <c r="D48" s="45"/>
      <c r="E48" s="43"/>
      <c r="F48" s="45"/>
      <c r="G48" s="43"/>
      <c r="H48" s="45"/>
      <c r="I48" s="43"/>
      <c r="J48" s="45"/>
      <c r="K48" s="43"/>
      <c r="L48" s="45"/>
      <c r="M48" s="43"/>
      <c r="N48" s="45"/>
      <c r="O48" s="45"/>
      <c r="P48" s="43"/>
      <c r="Q48" s="48"/>
      <c r="R48" s="43"/>
      <c r="S48" s="43"/>
      <c r="T48" s="43"/>
      <c r="U48" s="43"/>
      <c r="V48" s="43"/>
    </row>
    <row r="49">
      <c r="A49" s="43"/>
      <c r="B49" s="45"/>
      <c r="C49" s="43"/>
      <c r="D49" s="45"/>
      <c r="E49" s="43"/>
      <c r="F49" s="45"/>
      <c r="G49" s="43"/>
      <c r="H49" s="45"/>
      <c r="I49" s="43"/>
      <c r="J49" s="45"/>
      <c r="K49" s="43"/>
      <c r="L49" s="45"/>
      <c r="M49" s="43"/>
      <c r="N49" s="45"/>
      <c r="O49" s="45"/>
      <c r="P49" s="43"/>
      <c r="Q49" s="48"/>
      <c r="R49" s="43"/>
      <c r="S49" s="43"/>
      <c r="T49" s="43"/>
      <c r="U49" s="43"/>
      <c r="V49" s="43"/>
    </row>
    <row r="50">
      <c r="A50" s="43"/>
      <c r="B50" s="45"/>
      <c r="C50" s="43"/>
      <c r="D50" s="45"/>
      <c r="E50" s="43"/>
      <c r="F50" s="45"/>
      <c r="G50" s="43"/>
      <c r="H50" s="45"/>
      <c r="I50" s="43"/>
      <c r="J50" s="45"/>
      <c r="K50" s="43"/>
      <c r="L50" s="45"/>
      <c r="M50" s="43"/>
      <c r="N50" s="45"/>
      <c r="O50" s="45"/>
      <c r="P50" s="43"/>
      <c r="Q50" s="48"/>
      <c r="R50" s="43"/>
      <c r="S50" s="43"/>
      <c r="T50" s="43"/>
      <c r="U50" s="43"/>
      <c r="V50" s="43"/>
    </row>
    <row r="51">
      <c r="A51" s="43"/>
      <c r="B51" s="45"/>
      <c r="C51" s="43"/>
      <c r="D51" s="45"/>
      <c r="E51" s="43"/>
      <c r="F51" s="45"/>
      <c r="G51" s="43"/>
      <c r="H51" s="45"/>
      <c r="I51" s="43"/>
      <c r="J51" s="45"/>
      <c r="K51" s="43"/>
      <c r="L51" s="45"/>
      <c r="M51" s="43"/>
      <c r="N51" s="45"/>
      <c r="O51" s="45"/>
      <c r="P51" s="43"/>
      <c r="Q51" s="48"/>
      <c r="R51" s="43"/>
      <c r="S51" s="43"/>
      <c r="T51" s="43"/>
      <c r="U51" s="43"/>
      <c r="V51" s="43"/>
    </row>
    <row r="52">
      <c r="A52" s="43"/>
      <c r="B52" s="45"/>
      <c r="C52" s="43"/>
      <c r="D52" s="45"/>
      <c r="E52" s="43"/>
      <c r="F52" s="45"/>
      <c r="G52" s="43"/>
      <c r="H52" s="45"/>
      <c r="I52" s="43"/>
      <c r="J52" s="45"/>
      <c r="K52" s="43"/>
      <c r="L52" s="45"/>
      <c r="M52" s="43"/>
      <c r="N52" s="45"/>
      <c r="O52" s="45"/>
      <c r="P52" s="43"/>
      <c r="Q52" s="48"/>
      <c r="R52" s="43"/>
      <c r="S52" s="43"/>
      <c r="T52" s="43"/>
      <c r="U52" s="43"/>
      <c r="V52" s="43"/>
    </row>
    <row r="53">
      <c r="A53" s="43"/>
      <c r="B53" s="45"/>
      <c r="C53" s="43"/>
      <c r="D53" s="45"/>
      <c r="E53" s="43"/>
      <c r="F53" s="45"/>
      <c r="G53" s="43"/>
      <c r="H53" s="45"/>
      <c r="I53" s="43"/>
      <c r="J53" s="45"/>
      <c r="K53" s="43"/>
      <c r="L53" s="45"/>
      <c r="M53" s="43"/>
      <c r="N53" s="45"/>
      <c r="O53" s="45"/>
      <c r="P53" s="43"/>
      <c r="Q53" s="48"/>
      <c r="R53" s="43"/>
      <c r="S53" s="43"/>
      <c r="T53" s="43"/>
      <c r="U53" s="43"/>
      <c r="V53" s="43"/>
    </row>
    <row r="54">
      <c r="A54" s="43"/>
      <c r="B54" s="45"/>
      <c r="C54" s="43"/>
      <c r="D54" s="45"/>
      <c r="E54" s="43"/>
      <c r="F54" s="45"/>
      <c r="G54" s="43"/>
      <c r="H54" s="45"/>
      <c r="I54" s="43"/>
      <c r="J54" s="45"/>
      <c r="K54" s="43"/>
      <c r="L54" s="45"/>
      <c r="M54" s="43"/>
      <c r="N54" s="45"/>
      <c r="O54" s="45"/>
      <c r="P54" s="43"/>
      <c r="Q54" s="48"/>
      <c r="R54" s="43"/>
      <c r="S54" s="43"/>
      <c r="T54" s="43"/>
      <c r="U54" s="43"/>
      <c r="V54" s="43"/>
    </row>
    <row r="55">
      <c r="A55" s="43"/>
      <c r="B55" s="45"/>
      <c r="C55" s="43"/>
      <c r="D55" s="45"/>
      <c r="E55" s="43"/>
      <c r="F55" s="45"/>
      <c r="G55" s="43"/>
      <c r="H55" s="45"/>
      <c r="I55" s="43"/>
      <c r="J55" s="45"/>
      <c r="K55" s="43"/>
      <c r="L55" s="45"/>
      <c r="M55" s="43"/>
      <c r="N55" s="45"/>
      <c r="O55" s="45"/>
      <c r="P55" s="43"/>
      <c r="Q55" s="48"/>
      <c r="R55" s="43"/>
      <c r="S55" s="43"/>
      <c r="T55" s="43"/>
      <c r="U55" s="43"/>
      <c r="V55" s="43"/>
    </row>
    <row r="56">
      <c r="A56" s="43"/>
      <c r="B56" s="45"/>
      <c r="C56" s="43"/>
      <c r="D56" s="45"/>
      <c r="E56" s="43"/>
      <c r="F56" s="45"/>
      <c r="G56" s="43"/>
      <c r="H56" s="45"/>
      <c r="I56" s="43"/>
      <c r="J56" s="45"/>
      <c r="K56" s="43"/>
      <c r="L56" s="45"/>
      <c r="M56" s="43"/>
      <c r="N56" s="45"/>
      <c r="O56" s="45"/>
      <c r="P56" s="43"/>
      <c r="Q56" s="48"/>
      <c r="R56" s="43"/>
      <c r="S56" s="43"/>
      <c r="T56" s="43"/>
      <c r="U56" s="43"/>
      <c r="V56" s="43"/>
    </row>
    <row r="57">
      <c r="A57" s="43"/>
      <c r="B57" s="45"/>
      <c r="C57" s="43"/>
      <c r="D57" s="45"/>
      <c r="E57" s="43"/>
      <c r="F57" s="45"/>
      <c r="G57" s="43"/>
      <c r="H57" s="45"/>
      <c r="I57" s="43"/>
      <c r="J57" s="45"/>
      <c r="K57" s="43"/>
      <c r="L57" s="45"/>
      <c r="M57" s="43"/>
      <c r="N57" s="45"/>
      <c r="O57" s="45"/>
      <c r="P57" s="43"/>
      <c r="Q57" s="48"/>
      <c r="R57" s="43"/>
      <c r="S57" s="43"/>
      <c r="T57" s="43"/>
      <c r="U57" s="43"/>
      <c r="V57" s="43"/>
    </row>
    <row r="58">
      <c r="A58" s="43"/>
      <c r="B58" s="45"/>
      <c r="C58" s="43"/>
      <c r="D58" s="45"/>
      <c r="E58" s="43"/>
      <c r="F58" s="45"/>
      <c r="G58" s="43"/>
      <c r="H58" s="45"/>
      <c r="I58" s="43"/>
      <c r="J58" s="45"/>
      <c r="K58" s="43"/>
      <c r="L58" s="45"/>
      <c r="M58" s="43"/>
      <c r="N58" s="45"/>
      <c r="O58" s="45"/>
      <c r="P58" s="43"/>
      <c r="Q58" s="48"/>
      <c r="R58" s="43"/>
      <c r="S58" s="43"/>
      <c r="T58" s="43"/>
      <c r="U58" s="43"/>
      <c r="V58" s="43"/>
    </row>
    <row r="59">
      <c r="A59" s="43"/>
      <c r="B59" s="45"/>
      <c r="C59" s="43"/>
      <c r="D59" s="45"/>
      <c r="E59" s="43"/>
      <c r="F59" s="45"/>
      <c r="G59" s="43"/>
      <c r="H59" s="45"/>
      <c r="I59" s="43"/>
      <c r="J59" s="45"/>
      <c r="K59" s="43"/>
      <c r="L59" s="45"/>
      <c r="M59" s="43"/>
      <c r="N59" s="45"/>
      <c r="O59" s="45"/>
      <c r="P59" s="43"/>
      <c r="Q59" s="48"/>
      <c r="R59" s="43"/>
      <c r="S59" s="43"/>
      <c r="T59" s="43"/>
      <c r="U59" s="43"/>
      <c r="V59" s="43"/>
    </row>
    <row r="60">
      <c r="A60" s="43"/>
      <c r="B60" s="45"/>
      <c r="C60" s="43"/>
      <c r="D60" s="45"/>
      <c r="E60" s="43"/>
      <c r="F60" s="45"/>
      <c r="G60" s="43"/>
      <c r="H60" s="45"/>
      <c r="I60" s="43"/>
      <c r="J60" s="45"/>
      <c r="K60" s="43"/>
      <c r="L60" s="45"/>
      <c r="M60" s="43"/>
      <c r="N60" s="45"/>
      <c r="O60" s="45"/>
      <c r="P60" s="43"/>
      <c r="Q60" s="48"/>
      <c r="R60" s="43"/>
      <c r="S60" s="43"/>
      <c r="T60" s="43"/>
      <c r="U60" s="43"/>
      <c r="V60" s="43"/>
    </row>
    <row r="61">
      <c r="A61" s="43"/>
      <c r="B61" s="45"/>
      <c r="C61" s="43"/>
      <c r="D61" s="45"/>
      <c r="E61" s="43"/>
      <c r="F61" s="45"/>
      <c r="G61" s="43"/>
      <c r="H61" s="45"/>
      <c r="I61" s="43"/>
      <c r="J61" s="45"/>
      <c r="K61" s="43"/>
      <c r="L61" s="45"/>
      <c r="M61" s="43"/>
      <c r="N61" s="45"/>
      <c r="O61" s="45"/>
      <c r="P61" s="43"/>
      <c r="Q61" s="48"/>
      <c r="R61" s="43"/>
      <c r="S61" s="43"/>
      <c r="T61" s="43"/>
      <c r="U61" s="43"/>
      <c r="V61" s="43"/>
    </row>
    <row r="62">
      <c r="A62" s="43"/>
      <c r="B62" s="45"/>
      <c r="C62" s="43"/>
      <c r="D62" s="45"/>
      <c r="E62" s="43"/>
      <c r="F62" s="45"/>
      <c r="G62" s="43"/>
      <c r="H62" s="45"/>
      <c r="I62" s="43"/>
      <c r="J62" s="45"/>
      <c r="K62" s="43"/>
      <c r="L62" s="45"/>
      <c r="M62" s="43"/>
      <c r="N62" s="45"/>
      <c r="O62" s="45"/>
      <c r="P62" s="43"/>
      <c r="Q62" s="48"/>
      <c r="R62" s="43"/>
      <c r="S62" s="43"/>
      <c r="T62" s="43"/>
      <c r="U62" s="43"/>
      <c r="V62" s="43"/>
    </row>
  </sheetData>
  <mergeCells count="35">
    <mergeCell ref="A1:B1"/>
    <mergeCell ref="C1:D1"/>
    <mergeCell ref="E1:F1"/>
    <mergeCell ref="G1:H1"/>
    <mergeCell ref="I1:J1"/>
    <mergeCell ref="K1:L1"/>
    <mergeCell ref="M1:O1"/>
    <mergeCell ref="A2:B2"/>
    <mergeCell ref="C2:D2"/>
    <mergeCell ref="E2:F2"/>
    <mergeCell ref="G2:H2"/>
    <mergeCell ref="I2:J2"/>
    <mergeCell ref="K2:L2"/>
    <mergeCell ref="M2:O2"/>
    <mergeCell ref="A3:B3"/>
    <mergeCell ref="C3:D3"/>
    <mergeCell ref="E3:F3"/>
    <mergeCell ref="G3:H3"/>
    <mergeCell ref="K3:L3"/>
    <mergeCell ref="M3:O3"/>
    <mergeCell ref="E7:E9"/>
    <mergeCell ref="I9:I15"/>
    <mergeCell ref="I25:I35"/>
    <mergeCell ref="C29:C30"/>
    <mergeCell ref="C35:C36"/>
    <mergeCell ref="G35:G37"/>
    <mergeCell ref="E37:E41"/>
    <mergeCell ref="C41:C42"/>
    <mergeCell ref="I3:J3"/>
    <mergeCell ref="M13:M24"/>
    <mergeCell ref="E15:E17"/>
    <mergeCell ref="K22:K29"/>
    <mergeCell ref="C23:C24"/>
    <mergeCell ref="G23:G25"/>
    <mergeCell ref="E25:E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3" width="21.75"/>
    <col customWidth="1" min="5" max="6" width="6.38"/>
    <col customWidth="1" min="7" max="8" width="18.88"/>
    <col customWidth="1" min="10" max="11" width="6.38"/>
  </cols>
  <sheetData>
    <row r="1" ht="30.0" customHeight="1">
      <c r="A1" s="1"/>
      <c r="B1" s="1" t="s">
        <v>1</v>
      </c>
      <c r="F1" s="1"/>
      <c r="G1" s="1" t="s">
        <v>2</v>
      </c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1"/>
      <c r="B2" s="1" t="s">
        <v>3</v>
      </c>
      <c r="C2" s="1" t="s">
        <v>4</v>
      </c>
      <c r="D2" s="1" t="s">
        <v>5</v>
      </c>
      <c r="E2" s="1" t="s">
        <v>6</v>
      </c>
      <c r="F2" s="1"/>
      <c r="G2" s="1" t="s">
        <v>3</v>
      </c>
      <c r="H2" s="1" t="s">
        <v>4</v>
      </c>
      <c r="I2" s="1" t="s">
        <v>5</v>
      </c>
      <c r="J2" s="1" t="s">
        <v>6</v>
      </c>
      <c r="K2" s="4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12"/>
      <c r="B3" s="12" t="s">
        <v>7</v>
      </c>
      <c r="C3" s="12" t="s">
        <v>8</v>
      </c>
      <c r="D3" s="14">
        <v>188.4</v>
      </c>
      <c r="E3" s="12">
        <v>1.0</v>
      </c>
      <c r="F3" s="17"/>
      <c r="G3" s="12" t="s">
        <v>7</v>
      </c>
      <c r="H3" s="12" t="s">
        <v>9</v>
      </c>
      <c r="I3" s="14">
        <v>164.4</v>
      </c>
      <c r="J3" s="12">
        <v>9.0</v>
      </c>
      <c r="K3" s="17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12"/>
      <c r="B4" s="12" t="s">
        <v>10</v>
      </c>
      <c r="C4" s="12" t="s">
        <v>11</v>
      </c>
      <c r="D4" s="14">
        <v>170.8</v>
      </c>
      <c r="E4" s="12">
        <v>2.0</v>
      </c>
      <c r="F4" s="17"/>
      <c r="G4" s="12" t="s">
        <v>12</v>
      </c>
      <c r="H4" s="12" t="s">
        <v>13</v>
      </c>
      <c r="I4" s="14">
        <v>130.0</v>
      </c>
      <c r="J4" s="12">
        <v>10.0</v>
      </c>
      <c r="K4" s="17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2"/>
      <c r="B5" s="12" t="s">
        <v>15</v>
      </c>
      <c r="C5" s="12" t="s">
        <v>16</v>
      </c>
      <c r="D5" s="14">
        <v>161.6</v>
      </c>
      <c r="E5" s="12">
        <v>3.0</v>
      </c>
      <c r="F5" s="17"/>
      <c r="G5" s="12" t="s">
        <v>15</v>
      </c>
      <c r="H5" s="12" t="s">
        <v>17</v>
      </c>
      <c r="I5" s="14">
        <v>129.6</v>
      </c>
      <c r="J5" s="12">
        <v>11.0</v>
      </c>
      <c r="K5" s="17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2"/>
      <c r="B6" s="12" t="s">
        <v>18</v>
      </c>
      <c r="C6" s="12" t="s">
        <v>19</v>
      </c>
      <c r="D6" s="14">
        <v>158.0</v>
      </c>
      <c r="E6" s="12">
        <v>4.0</v>
      </c>
      <c r="F6" s="17"/>
      <c r="G6" s="12" t="s">
        <v>10</v>
      </c>
      <c r="H6" s="12" t="s">
        <v>20</v>
      </c>
      <c r="I6" s="14">
        <v>122.4</v>
      </c>
      <c r="J6" s="12">
        <v>12.0</v>
      </c>
      <c r="K6" s="17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2"/>
      <c r="B7" s="12" t="s">
        <v>12</v>
      </c>
      <c r="C7" s="12" t="s">
        <v>21</v>
      </c>
      <c r="D7" s="14">
        <v>138.4</v>
      </c>
      <c r="E7" s="12">
        <v>5.0</v>
      </c>
      <c r="F7" s="17"/>
      <c r="G7" s="12" t="s">
        <v>18</v>
      </c>
      <c r="H7" s="12" t="s">
        <v>22</v>
      </c>
      <c r="I7" s="14">
        <v>122.4</v>
      </c>
      <c r="J7" s="12">
        <v>13.0</v>
      </c>
      <c r="K7" s="17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2"/>
      <c r="B8" s="12" t="s">
        <v>23</v>
      </c>
      <c r="C8" s="12" t="s">
        <v>24</v>
      </c>
      <c r="D8" s="14">
        <v>137.2</v>
      </c>
      <c r="E8" s="12">
        <v>6.0</v>
      </c>
      <c r="F8" s="17"/>
      <c r="G8" s="12" t="s">
        <v>25</v>
      </c>
      <c r="H8" s="12" t="s">
        <v>26</v>
      </c>
      <c r="I8" s="14">
        <v>120.0</v>
      </c>
      <c r="J8" s="12">
        <v>14.0</v>
      </c>
      <c r="K8" s="17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12"/>
      <c r="B9" s="12" t="s">
        <v>25</v>
      </c>
      <c r="C9" s="12" t="s">
        <v>28</v>
      </c>
      <c r="D9" s="14">
        <v>132.4</v>
      </c>
      <c r="E9" s="12">
        <v>7.0</v>
      </c>
      <c r="F9" s="17"/>
      <c r="G9" s="12" t="s">
        <v>23</v>
      </c>
      <c r="H9" s="12" t="s">
        <v>29</v>
      </c>
      <c r="I9" s="14">
        <v>116.4</v>
      </c>
      <c r="J9" s="12">
        <v>15.0</v>
      </c>
      <c r="K9" s="17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12"/>
      <c r="B10" s="12" t="s">
        <v>30</v>
      </c>
      <c r="C10" s="12" t="s">
        <v>31</v>
      </c>
      <c r="D10" s="14">
        <v>114.8</v>
      </c>
      <c r="E10" s="12">
        <v>8.0</v>
      </c>
      <c r="F10" s="17"/>
      <c r="G10" s="12" t="s">
        <v>30</v>
      </c>
      <c r="H10" s="12" t="s">
        <v>32</v>
      </c>
      <c r="I10" s="14">
        <v>106.0</v>
      </c>
      <c r="J10" s="12">
        <v>16.0</v>
      </c>
      <c r="K10" s="17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ht="30.0" customHeight="1">
      <c r="A12" s="12"/>
      <c r="B12" s="1" t="s">
        <v>1</v>
      </c>
      <c r="E12" s="1"/>
      <c r="F12" s="1"/>
      <c r="G12" s="1" t="s">
        <v>2</v>
      </c>
      <c r="J12" s="1"/>
      <c r="K12" s="17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17"/>
      <c r="B13" s="1" t="s">
        <v>3</v>
      </c>
      <c r="C13" s="1" t="s">
        <v>4</v>
      </c>
      <c r="D13" s="1" t="s">
        <v>5</v>
      </c>
      <c r="E13" s="1"/>
      <c r="F13" s="1"/>
      <c r="G13" s="1" t="s">
        <v>3</v>
      </c>
      <c r="H13" s="1" t="s">
        <v>4</v>
      </c>
      <c r="I13" s="1" t="s">
        <v>5</v>
      </c>
      <c r="J13" s="1"/>
      <c r="K13" s="17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17"/>
      <c r="B14" s="12" t="s">
        <v>23</v>
      </c>
      <c r="C14" s="12" t="s">
        <v>24</v>
      </c>
      <c r="D14" s="53">
        <v>137.2</v>
      </c>
      <c r="E14" s="12"/>
      <c r="F14" s="17"/>
      <c r="G14" s="12" t="s">
        <v>23</v>
      </c>
      <c r="H14" s="12" t="s">
        <v>29</v>
      </c>
      <c r="I14" s="12">
        <v>116.4</v>
      </c>
      <c r="J14" s="17"/>
      <c r="K14" s="17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>
      <c r="A15" s="17"/>
      <c r="B15" s="12" t="s">
        <v>10</v>
      </c>
      <c r="C15" s="12" t="s">
        <v>11</v>
      </c>
      <c r="D15" s="53">
        <v>170.8</v>
      </c>
      <c r="E15" s="17"/>
      <c r="F15" s="17"/>
      <c r="G15" s="12" t="s">
        <v>10</v>
      </c>
      <c r="H15" s="12" t="s">
        <v>20</v>
      </c>
      <c r="I15" s="12">
        <v>122.4</v>
      </c>
      <c r="J15" s="17"/>
      <c r="K15" s="17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17"/>
      <c r="B16" s="12" t="s">
        <v>18</v>
      </c>
      <c r="C16" s="12" t="s">
        <v>19</v>
      </c>
      <c r="D16" s="53">
        <v>158.0</v>
      </c>
      <c r="E16" s="17"/>
      <c r="F16" s="17"/>
      <c r="G16" s="12" t="s">
        <v>18</v>
      </c>
      <c r="H16" s="12" t="s">
        <v>22</v>
      </c>
      <c r="I16" s="12">
        <v>122.4</v>
      </c>
      <c r="J16" s="17"/>
      <c r="K16" s="17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>
      <c r="A17" s="17"/>
      <c r="B17" s="12" t="s">
        <v>25</v>
      </c>
      <c r="C17" s="12" t="s">
        <v>28</v>
      </c>
      <c r="D17" s="53">
        <v>132.4</v>
      </c>
      <c r="E17" s="17"/>
      <c r="F17" s="17"/>
      <c r="G17" s="12" t="s">
        <v>25</v>
      </c>
      <c r="H17" s="12" t="s">
        <v>26</v>
      </c>
      <c r="I17" s="12">
        <v>120.0</v>
      </c>
      <c r="J17" s="17"/>
      <c r="K17" s="17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17"/>
      <c r="B18" s="12" t="s">
        <v>7</v>
      </c>
      <c r="C18" s="12" t="s">
        <v>8</v>
      </c>
      <c r="D18" s="53">
        <v>188.4</v>
      </c>
      <c r="E18" s="17"/>
      <c r="F18" s="17"/>
      <c r="G18" s="12" t="s">
        <v>7</v>
      </c>
      <c r="H18" s="12" t="s">
        <v>9</v>
      </c>
      <c r="I18" s="12">
        <v>164.4</v>
      </c>
      <c r="J18" s="17"/>
      <c r="K18" s="17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>
      <c r="A19" s="17"/>
      <c r="B19" s="12" t="s">
        <v>15</v>
      </c>
      <c r="C19" s="12" t="s">
        <v>16</v>
      </c>
      <c r="D19" s="53">
        <v>161.6</v>
      </c>
      <c r="E19" s="17"/>
      <c r="F19" s="17"/>
      <c r="G19" s="12" t="s">
        <v>15</v>
      </c>
      <c r="H19" s="12" t="s">
        <v>17</v>
      </c>
      <c r="I19" s="12">
        <v>129.6</v>
      </c>
      <c r="J19" s="17"/>
      <c r="K19" s="17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>
      <c r="A20" s="17"/>
      <c r="B20" s="12" t="s">
        <v>12</v>
      </c>
      <c r="C20" s="12" t="s">
        <v>21</v>
      </c>
      <c r="D20" s="53">
        <v>138.4</v>
      </c>
      <c r="E20" s="17"/>
      <c r="F20" s="17"/>
      <c r="G20" s="12" t="s">
        <v>12</v>
      </c>
      <c r="H20" s="12" t="s">
        <v>13</v>
      </c>
      <c r="I20" s="12">
        <v>130.0</v>
      </c>
      <c r="J20" s="17"/>
      <c r="K20" s="17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>
      <c r="A21" s="17"/>
      <c r="B21" s="12" t="s">
        <v>30</v>
      </c>
      <c r="C21" s="12" t="s">
        <v>31</v>
      </c>
      <c r="D21" s="53">
        <v>114.8</v>
      </c>
      <c r="E21" s="17"/>
      <c r="F21" s="17"/>
      <c r="G21" s="12" t="s">
        <v>30</v>
      </c>
      <c r="H21" s="12" t="s">
        <v>32</v>
      </c>
      <c r="I21" s="12">
        <v>106.0</v>
      </c>
      <c r="J21" s="17"/>
      <c r="K21" s="17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</sheetData>
  <mergeCells count="4">
    <mergeCell ref="B1:E1"/>
    <mergeCell ref="G1:J1"/>
    <mergeCell ref="B12:D12"/>
    <mergeCell ref="G12:I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63"/>
    <col customWidth="1" min="2" max="7" width="16.38"/>
    <col customWidth="1" min="8" max="8" width="6.38"/>
    <col customWidth="1" min="9" max="9" width="10.13"/>
    <col customWidth="1" min="10" max="10" width="12.63"/>
    <col customWidth="1" min="11" max="13" width="8.88"/>
    <col customWidth="1" min="14" max="14" width="12.63"/>
  </cols>
  <sheetData>
    <row r="1" ht="22.5" customHeight="1">
      <c r="A1" s="5" t="str">
        <f>IFERROR(__xludf.DUMMYFUNCTION("importrange(""https://docs.google.com/spreadsheets/d/1qbWUGs-f13yWCb4pUdbfC4bFEWp7uHjaIKQE8O6-kM0/edit#gid=1086772390"",""'RR Schedule'!A:N"")"),"")</f>
        <v/>
      </c>
      <c r="B1" s="7">
        <f>IFERROR(__xludf.DUMMYFUNCTION("""COMPUTED_VALUE"""),1.0)</f>
        <v>1</v>
      </c>
      <c r="C1" s="8">
        <f>IFERROR(__xludf.DUMMYFUNCTION("""COMPUTED_VALUE"""),2.0)</f>
        <v>2</v>
      </c>
      <c r="D1" s="8">
        <f>IFERROR(__xludf.DUMMYFUNCTION("""COMPUTED_VALUE"""),3.0)</f>
        <v>3</v>
      </c>
      <c r="E1" s="8">
        <f>IFERROR(__xludf.DUMMYFUNCTION("""COMPUTED_VALUE"""),4.0)</f>
        <v>4</v>
      </c>
      <c r="F1" s="9">
        <f>IFERROR(__xludf.DUMMYFUNCTION("""COMPUTED_VALUE"""),5.0)</f>
        <v>5</v>
      </c>
      <c r="G1" s="11">
        <f>IFERROR(__xludf.DUMMYFUNCTION("""COMPUTED_VALUE"""),6.0)</f>
        <v>6</v>
      </c>
      <c r="H1" s="13"/>
      <c r="I1" s="15" t="str">
        <f>IFERROR(__xludf.DUMMYFUNCTION("""COMPUTED_VALUE"""),"Schedule: (All times in Pacific Time)")</f>
        <v>Schedule: (All times in Pacific Time)</v>
      </c>
      <c r="N1" s="20"/>
    </row>
    <row r="2" ht="22.5" customHeight="1">
      <c r="A2" s="22" t="str">
        <f>IFERROR(__xludf.DUMMYFUNCTION("""COMPUTED_VALUE"""),"Ampere")</f>
        <v>Ampere</v>
      </c>
      <c r="B2" s="24" t="str">
        <f>IFERROR(__xludf.DUMMYFUNCTION("""COMPUTED_VALUE"""),"Collierville")</f>
        <v>Collierville</v>
      </c>
      <c r="C2" s="26" t="str">
        <f>IFERROR(__xludf.DUMMYFUNCTION("""COMPUTED_VALUE"""),"Dulles")</f>
        <v>Dulles</v>
      </c>
      <c r="D2" s="26" t="str">
        <f>IFERROR(__xludf.DUMMYFUNCTION("""COMPUTED_VALUE"""),"Interlake A")</f>
        <v>Interlake A</v>
      </c>
      <c r="E2" s="26" t="str">
        <f>IFERROR(__xludf.DUMMYFUNCTION("""COMPUTED_VALUE"""),"RMHS")</f>
        <v>RMHS</v>
      </c>
      <c r="F2" s="26" t="str">
        <f>IFERROR(__xludf.DUMMYFUNCTION("""COMPUTED_VALUE"""),"Venice")</f>
        <v>Venice</v>
      </c>
      <c r="G2" s="30" t="str">
        <f>IFERROR(__xludf.DUMMYFUNCTION("""COMPUTED_VALUE"""),"Wayzata")</f>
        <v>Wayzata</v>
      </c>
      <c r="H2" s="13"/>
      <c r="N2" s="32"/>
    </row>
    <row r="3" ht="22.5" customHeight="1">
      <c r="A3" s="22" t="str">
        <f>IFERROR(__xludf.DUMMYFUNCTION("""COMPUTED_VALUE"""),"Bohr")</f>
        <v>Bohr</v>
      </c>
      <c r="B3" s="24" t="str">
        <f>IFERROR(__xludf.DUMMYFUNCTION("""COMPUTED_VALUE"""),"Canyon Crest")</f>
        <v>Canyon Crest</v>
      </c>
      <c r="C3" s="26" t="str">
        <f>IFERROR(__xludf.DUMMYFUNCTION("""COMPUTED_VALUE"""),"Interlake B")</f>
        <v>Interlake B</v>
      </c>
      <c r="D3" s="26" t="str">
        <f>IFERROR(__xludf.DUMMYFUNCTION("""COMPUTED_VALUE"""),"Naperville North")</f>
        <v>Naperville North</v>
      </c>
      <c r="E3" s="26" t="str">
        <f>IFERROR(__xludf.DUMMYFUNCTION("""COMPUTED_VALUE"""),"NoHo")</f>
        <v>NoHo</v>
      </c>
      <c r="F3" s="26" t="str">
        <f>IFERROR(__xludf.DUMMYFUNCTION("""COMPUTED_VALUE"""),"Seven Lakes")</f>
        <v>Seven Lakes</v>
      </c>
      <c r="G3" s="30" t="str">
        <f>IFERROR(__xludf.DUMMYFUNCTION("""COMPUTED_VALUE"""),"Westminster")</f>
        <v>Westminster</v>
      </c>
      <c r="H3" s="13"/>
      <c r="I3" s="35"/>
      <c r="J3" s="37" t="str">
        <f>IFERROR(__xludf.DUMMYFUNCTION("""COMPUTED_VALUE"""),"Time")</f>
        <v>Time</v>
      </c>
      <c r="K3" s="39" t="str">
        <f>IFERROR(__xludf.DUMMYFUNCTION("""COMPUTED_VALUE"""),"Room 1")</f>
        <v>Room 1</v>
      </c>
      <c r="L3" s="39" t="str">
        <f>IFERROR(__xludf.DUMMYFUNCTION("""COMPUTED_VALUE"""),"Room 2")</f>
        <v>Room 2</v>
      </c>
      <c r="M3" s="44" t="str">
        <f>IFERROR(__xludf.DUMMYFUNCTION("""COMPUTED_VALUE"""),"Room 3")</f>
        <v>Room 3</v>
      </c>
      <c r="N3" s="32"/>
    </row>
    <row r="4" ht="22.5" customHeight="1">
      <c r="A4" s="46" t="str">
        <f>IFERROR(__xludf.DUMMYFUNCTION("""COMPUTED_VALUE"""),"Curie")</f>
        <v>Curie</v>
      </c>
      <c r="B4" s="24" t="str">
        <f>IFERROR(__xludf.DUMMYFUNCTION("""COMPUTED_VALUE"""),"Ladue")</f>
        <v>Ladue</v>
      </c>
      <c r="C4" s="26" t="str">
        <f>IFERROR(__xludf.DUMMYFUNCTION("""COMPUTED_VALUE"""),"Lexington A")</f>
        <v>Lexington A</v>
      </c>
      <c r="D4" s="26" t="str">
        <f>IFERROR(__xludf.DUMMYFUNCTION("""COMPUTED_VALUE"""),"Middleton")</f>
        <v>Middleton</v>
      </c>
      <c r="E4" s="26" t="str">
        <f>IFERROR(__xludf.DUMMYFUNCTION("""COMPUTED_VALUE"""),"MSJ")</f>
        <v>MSJ</v>
      </c>
      <c r="F4" s="26" t="str">
        <f>IFERROR(__xludf.DUMMYFUNCTION("""COMPUTED_VALUE"""),"MSMS")</f>
        <v>MSMS</v>
      </c>
      <c r="G4" s="30" t="str">
        <f>IFERROR(__xludf.DUMMYFUNCTION("""COMPUTED_VALUE"""),"Niskayuna")</f>
        <v>Niskayuna</v>
      </c>
      <c r="H4" s="13"/>
      <c r="I4" s="49" t="str">
        <f>IFERROR(__xludf.DUMMYFUNCTION("""COMPUTED_VALUE"""),"Round 1")</f>
        <v>Round 1</v>
      </c>
      <c r="J4" s="59" t="str">
        <f>IFERROR(__xludf.DUMMYFUNCTION("""COMPUTED_VALUE"""),"8:00-8:40")</f>
        <v>8:00-8:40</v>
      </c>
      <c r="K4" s="64" t="str">
        <f>IFERROR(__xludf.DUMMYFUNCTION("""COMPUTED_VALUE"""),"1 vs 2")</f>
        <v>1 vs 2</v>
      </c>
      <c r="L4" s="65" t="str">
        <f>IFERROR(__xludf.DUMMYFUNCTION("""COMPUTED_VALUE"""),"4 vs 5")</f>
        <v>4 vs 5</v>
      </c>
      <c r="M4" s="67" t="str">
        <f>IFERROR(__xludf.DUMMYFUNCTION("""COMPUTED_VALUE"""),"3 vs 6")</f>
        <v>3 vs 6</v>
      </c>
      <c r="N4" s="32"/>
    </row>
    <row r="5" ht="22.5" customHeight="1">
      <c r="A5" s="22" t="str">
        <f>IFERROR(__xludf.DUMMYFUNCTION("""COMPUTED_VALUE"""),"Darwin")</f>
        <v>Darwin</v>
      </c>
      <c r="B5" s="24" t="str">
        <f>IFERROR(__xludf.DUMMYFUNCTION("""COMPUTED_VALUE"""),"Blair C")</f>
        <v>Blair C</v>
      </c>
      <c r="C5" s="26" t="str">
        <f>IFERROR(__xludf.DUMMYFUNCTION("""COMPUTED_VALUE"""),"Buchholz A")</f>
        <v>Buchholz A</v>
      </c>
      <c r="D5" s="26" t="str">
        <f>IFERROR(__xludf.DUMMYFUNCTION("""COMPUTED_VALUE"""),"Cupertino")</f>
        <v>Cupertino</v>
      </c>
      <c r="E5" s="26" t="str">
        <f>IFERROR(__xludf.DUMMYFUNCTION("""COMPUTED_VALUE"""),"Davidson")</f>
        <v>Davidson</v>
      </c>
      <c r="F5" s="26" t="str">
        <f>IFERROR(__xludf.DUMMYFUNCTION("""COMPUTED_VALUE"""),"NCSSM B")</f>
        <v>NCSSM B</v>
      </c>
      <c r="G5" s="30" t="str">
        <f>IFERROR(__xludf.DUMMYFUNCTION("""COMPUTED_VALUE"""),"Tesla STEM")</f>
        <v>Tesla STEM</v>
      </c>
      <c r="H5" s="31"/>
      <c r="I5" s="49" t="str">
        <f>IFERROR(__xludf.DUMMYFUNCTION("""COMPUTED_VALUE"""),"Round 2")</f>
        <v>Round 2</v>
      </c>
      <c r="J5" s="73" t="str">
        <f>IFERROR(__xludf.DUMMYFUNCTION("""COMPUTED_VALUE"""),"8:40-9:20")</f>
        <v>8:40-9:20</v>
      </c>
      <c r="K5" s="76" t="str">
        <f>IFERROR(__xludf.DUMMYFUNCTION("""COMPUTED_VALUE"""),"3 vs 4")</f>
        <v>3 vs 4</v>
      </c>
      <c r="L5" s="77" t="str">
        <f>IFERROR(__xludf.DUMMYFUNCTION("""COMPUTED_VALUE"""),"1 vs 6")</f>
        <v>1 vs 6</v>
      </c>
      <c r="M5" s="79" t="str">
        <f>IFERROR(__xludf.DUMMYFUNCTION("""COMPUTED_VALUE"""),"2 vs 5")</f>
        <v>2 vs 5</v>
      </c>
      <c r="N5" s="32"/>
    </row>
    <row r="6" ht="22.5" customHeight="1">
      <c r="A6" s="46" t="str">
        <f>IFERROR(__xludf.DUMMYFUNCTION("""COMPUTED_VALUE"""),"Einstein")</f>
        <v>Einstein</v>
      </c>
      <c r="B6" s="24" t="str">
        <f>IFERROR(__xludf.DUMMYFUNCTION("""COMPUTED_VALUE"""),"Blair A")</f>
        <v>Blair A</v>
      </c>
      <c r="C6" s="26" t="str">
        <f>IFERROR(__xludf.DUMMYFUNCTION("""COMPUTED_VALUE"""),"Buchholz B")</f>
        <v>Buchholz B</v>
      </c>
      <c r="D6" s="26" t="str">
        <f>IFERROR(__xludf.DUMMYFUNCTION("""COMPUTED_VALUE"""),"Green Hope")</f>
        <v>Green Hope</v>
      </c>
      <c r="E6" s="26" t="str">
        <f>IFERROR(__xludf.DUMMYFUNCTION("""COMPUTED_VALUE"""),"Lynbrook")</f>
        <v>Lynbrook</v>
      </c>
      <c r="F6" s="26" t="str">
        <f>IFERROR(__xludf.DUMMYFUNCTION("""COMPUTED_VALUE"""),"Pullman")</f>
        <v>Pullman</v>
      </c>
      <c r="G6" s="30" t="str">
        <f>IFERROR(__xludf.DUMMYFUNCTION("""COMPUTED_VALUE"""),"University")</f>
        <v>University</v>
      </c>
      <c r="H6" s="31"/>
      <c r="I6" s="49" t="str">
        <f>IFERROR(__xludf.DUMMYFUNCTION("""COMPUTED_VALUE"""),"Round 3")</f>
        <v>Round 3</v>
      </c>
      <c r="J6" s="73" t="str">
        <f>IFERROR(__xludf.DUMMYFUNCTION("""COMPUTED_VALUE"""),"9:20-10:00")</f>
        <v>9:20-10:00</v>
      </c>
      <c r="K6" s="84" t="str">
        <f>IFERROR(__xludf.DUMMYFUNCTION("""COMPUTED_VALUE"""),"4 vs 6")</f>
        <v>4 vs 6</v>
      </c>
      <c r="L6" s="86" t="str">
        <f>IFERROR(__xludf.DUMMYFUNCTION("""COMPUTED_VALUE"""),"2 vs 3")</f>
        <v>2 vs 3</v>
      </c>
      <c r="M6" s="88" t="str">
        <f>IFERROR(__xludf.DUMMYFUNCTION("""COMPUTED_VALUE"""),"1 vs 5")</f>
        <v>1 vs 5</v>
      </c>
      <c r="N6" s="32"/>
    </row>
    <row r="7" ht="22.5" customHeight="1">
      <c r="A7" s="22" t="str">
        <f>IFERROR(__xludf.DUMMYFUNCTION("""COMPUTED_VALUE"""),"Franklin")</f>
        <v>Franklin</v>
      </c>
      <c r="B7" s="24" t="str">
        <f>IFERROR(__xludf.DUMMYFUNCTION("""COMPUTED_VALUE"""),"ASFA")</f>
        <v>ASFA</v>
      </c>
      <c r="C7" s="26" t="str">
        <f>IFERROR(__xludf.DUMMYFUNCTION("""COMPUTED_VALUE"""),"Blair B")</f>
        <v>Blair B</v>
      </c>
      <c r="D7" s="26" t="str">
        <f>IFERROR(__xludf.DUMMYFUNCTION("""COMPUTED_VALUE"""),"Brookfield")</f>
        <v>Brookfield</v>
      </c>
      <c r="E7" s="26" t="str">
        <f>IFERROR(__xludf.DUMMYFUNCTION("""COMPUTED_VALUE"""),"Enloe A")</f>
        <v>Enloe A</v>
      </c>
      <c r="F7" s="26" t="str">
        <f>IFERROR(__xludf.DUMMYFUNCTION("""COMPUTED_VALUE"""),"Mira Loma")</f>
        <v>Mira Loma</v>
      </c>
      <c r="G7" s="30" t="str">
        <f>IFERROR(__xludf.DUMMYFUNCTION("""COMPUTED_VALUE"""),"Troy")</f>
        <v>Troy</v>
      </c>
      <c r="H7" s="31"/>
      <c r="I7" s="49" t="str">
        <f>IFERROR(__xludf.DUMMYFUNCTION("""COMPUTED_VALUE"""),"Round 4")</f>
        <v>Round 4</v>
      </c>
      <c r="J7" s="73" t="str">
        <f>IFERROR(__xludf.DUMMYFUNCTION("""COMPUTED_VALUE"""),"10:00-10:40")</f>
        <v>10:00-10:40</v>
      </c>
      <c r="K7" s="84" t="str">
        <f>IFERROR(__xludf.DUMMYFUNCTION("""COMPUTED_VALUE"""),"3 vs 5")</f>
        <v>3 vs 5</v>
      </c>
      <c r="L7" s="86" t="str">
        <f>IFERROR(__xludf.DUMMYFUNCTION("""COMPUTED_VALUE"""),"1 vs 4")</f>
        <v>1 vs 4</v>
      </c>
      <c r="M7" s="88" t="str">
        <f>IFERROR(__xludf.DUMMYFUNCTION("""COMPUTED_VALUE"""),"2 vs 6")</f>
        <v>2 vs 6</v>
      </c>
      <c r="N7" s="32"/>
    </row>
    <row r="8" ht="22.5" customHeight="1">
      <c r="A8" s="46" t="str">
        <f>IFERROR(__xludf.DUMMYFUNCTION("""COMPUTED_VALUE"""),"Goodall")</f>
        <v>Goodall</v>
      </c>
      <c r="B8" s="24" t="str">
        <f>IFERROR(__xludf.DUMMYFUNCTION("""COMPUTED_VALUE"""),"Centennial")</f>
        <v>Centennial</v>
      </c>
      <c r="C8" s="26" t="str">
        <f>IFERROR(__xludf.DUMMYFUNCTION("""COMPUTED_VALUE"""),"Enloe B")</f>
        <v>Enloe B</v>
      </c>
      <c r="D8" s="26" t="str">
        <f>IFERROR(__xludf.DUMMYFUNCTION("""COMPUTED_VALUE"""),"Iolani")</f>
        <v>Iolani</v>
      </c>
      <c r="E8" s="26" t="str">
        <f>IFERROR(__xludf.DUMMYFUNCTION("""COMPUTED_VALUE"""),"Lakeside")</f>
        <v>Lakeside</v>
      </c>
      <c r="F8" s="26" t="str">
        <f>IFERROR(__xludf.DUMMYFUNCTION("""COMPUTED_VALUE"""),"PRISMS")</f>
        <v>PRISMS</v>
      </c>
      <c r="G8" s="30" t="str">
        <f>IFERROR(__xludf.DUMMYFUNCTION("""COMPUTED_VALUE"""),"WWPN")</f>
        <v>WWPN</v>
      </c>
      <c r="H8" s="31"/>
      <c r="I8" s="97" t="str">
        <f>IFERROR(__xludf.DUMMYFUNCTION("""COMPUTED_VALUE"""),"Round 5")</f>
        <v>Round 5</v>
      </c>
      <c r="J8" s="99" t="str">
        <f>IFERROR(__xludf.DUMMYFUNCTION("""COMPUTED_VALUE"""),"10:40-11:20")</f>
        <v>10:40-11:20</v>
      </c>
      <c r="K8" s="101" t="str">
        <f>IFERROR(__xludf.DUMMYFUNCTION("""COMPUTED_VALUE"""),"2 vs 4")</f>
        <v>2 vs 4</v>
      </c>
      <c r="L8" s="104" t="str">
        <f>IFERROR(__xludf.DUMMYFUNCTION("""COMPUTED_VALUE"""),"5 vs 6")</f>
        <v>5 vs 6</v>
      </c>
      <c r="M8" s="106" t="str">
        <f>IFERROR(__xludf.DUMMYFUNCTION("""COMPUTED_VALUE"""),"1 vs 3")</f>
        <v>1 vs 3</v>
      </c>
      <c r="N8" s="13"/>
    </row>
    <row r="9" ht="22.5" customHeight="1">
      <c r="A9" s="110" t="str">
        <f>IFERROR(__xludf.DUMMYFUNCTION("""COMPUTED_VALUE"""),"Hawking")</f>
        <v>Hawking</v>
      </c>
      <c r="B9" s="113" t="str">
        <f>IFERROR(__xludf.DUMMYFUNCTION("""COMPUTED_VALUE"""),"AHS Broward")</f>
        <v>AHS Broward</v>
      </c>
      <c r="C9" s="115" t="str">
        <f>IFERROR(__xludf.DUMMYFUNCTION("""COMPUTED_VALUE"""),"JP Stevens")</f>
        <v>JP Stevens</v>
      </c>
      <c r="D9" s="115" t="str">
        <f>IFERROR(__xludf.DUMMYFUNCTION("""COMPUTED_VALUE"""),"Lexington B")</f>
        <v>Lexington B</v>
      </c>
      <c r="E9" s="115" t="str">
        <f>IFERROR(__xludf.DUMMYFUNCTION("""COMPUTED_VALUE"""),"NCSSM A")</f>
        <v>NCSSM A</v>
      </c>
      <c r="F9" s="115" t="str">
        <f>IFERROR(__xludf.DUMMYFUNCTION("""COMPUTED_VALUE"""),"NoHo B")</f>
        <v>NoHo B</v>
      </c>
      <c r="G9" s="119" t="str">
        <f>IFERROR(__xludf.DUMMYFUNCTION("""COMPUTED_VALUE"""),"Shen")</f>
        <v>Shen</v>
      </c>
      <c r="H9" s="31"/>
      <c r="I9" s="122"/>
      <c r="J9" s="122"/>
      <c r="K9" s="122"/>
      <c r="L9" s="122"/>
      <c r="M9" s="122"/>
      <c r="N9" s="13"/>
    </row>
    <row r="10" ht="22.5" customHeight="1">
      <c r="A10" s="123"/>
      <c r="B10" s="124"/>
      <c r="C10" s="124"/>
      <c r="D10" s="124"/>
      <c r="E10" s="124"/>
      <c r="F10" s="124"/>
      <c r="G10" s="124"/>
      <c r="H10" s="13"/>
      <c r="I10" s="15"/>
      <c r="N10" s="13"/>
    </row>
    <row r="11" ht="22.5" customHeight="1">
      <c r="A11" s="123"/>
      <c r="B11" s="126"/>
      <c r="C11" s="124"/>
      <c r="D11" s="124"/>
      <c r="E11" s="124"/>
      <c r="F11" s="124"/>
      <c r="G11" s="124"/>
      <c r="H11" s="13"/>
      <c r="I11" s="128"/>
      <c r="J11" s="130"/>
      <c r="K11" s="130"/>
      <c r="L11" s="130"/>
      <c r="M11" s="123"/>
      <c r="N11" s="13"/>
    </row>
    <row r="12" ht="22.5" customHeight="1">
      <c r="A12" s="123"/>
      <c r="B12" s="124"/>
      <c r="C12" s="124"/>
      <c r="D12" s="124"/>
      <c r="E12" s="124"/>
      <c r="F12" s="124"/>
      <c r="G12" s="124"/>
      <c r="H12" s="13"/>
      <c r="I12" s="131"/>
      <c r="J12" s="20"/>
      <c r="K12" s="20"/>
      <c r="L12" s="20"/>
      <c r="M12" s="132"/>
      <c r="N12" s="13"/>
    </row>
    <row r="13" ht="22.5" customHeight="1">
      <c r="A13" s="123"/>
      <c r="B13" s="124"/>
      <c r="C13" s="124"/>
      <c r="D13" s="124"/>
      <c r="E13" s="124"/>
      <c r="F13" s="124"/>
      <c r="G13" s="124"/>
      <c r="H13" s="13"/>
      <c r="I13" s="131"/>
      <c r="J13" s="86"/>
      <c r="K13" s="86"/>
      <c r="L13" s="86"/>
      <c r="M13" s="132"/>
      <c r="N13" s="13"/>
    </row>
    <row r="14" ht="22.5" customHeight="1">
      <c r="A14" s="123"/>
      <c r="B14" s="124"/>
      <c r="C14" s="124"/>
      <c r="D14" s="124"/>
      <c r="E14" s="124"/>
      <c r="F14" s="124"/>
      <c r="G14" s="124"/>
      <c r="H14" s="13"/>
      <c r="I14" s="131"/>
      <c r="J14" s="86"/>
      <c r="K14" s="132"/>
      <c r="L14" s="132"/>
      <c r="M14" s="132"/>
      <c r="N14" s="13"/>
    </row>
    <row r="15" ht="22.5" customHeight="1">
      <c r="A15" s="123"/>
      <c r="B15" s="124"/>
      <c r="C15" s="124"/>
      <c r="D15" s="124"/>
      <c r="E15" s="124"/>
      <c r="F15" s="124"/>
      <c r="G15" s="124"/>
      <c r="H15" s="13"/>
      <c r="I15" s="131"/>
      <c r="J15" s="86"/>
      <c r="K15" s="86"/>
      <c r="L15" s="86"/>
      <c r="M15" s="132"/>
      <c r="N15" s="13"/>
    </row>
    <row r="16" ht="22.5" customHeight="1">
      <c r="A16" s="123"/>
      <c r="B16" s="124"/>
      <c r="C16" s="124"/>
      <c r="D16" s="124"/>
      <c r="E16" s="124"/>
      <c r="F16" s="124"/>
      <c r="G16" s="124"/>
      <c r="H16" s="13"/>
      <c r="I16" s="131"/>
      <c r="J16" s="86"/>
      <c r="K16" s="86"/>
      <c r="L16" s="132"/>
      <c r="M16" s="132"/>
      <c r="N16" s="13"/>
    </row>
    <row r="17" ht="22.5" customHeight="1">
      <c r="A17" s="123"/>
      <c r="B17" s="124"/>
      <c r="C17" s="124"/>
      <c r="D17" s="124"/>
      <c r="E17" s="124"/>
      <c r="F17" s="124"/>
      <c r="G17" s="124"/>
      <c r="H17" s="13"/>
      <c r="I17" s="13"/>
      <c r="J17" s="134"/>
      <c r="K17" s="134"/>
      <c r="L17" s="134"/>
      <c r="M17" s="135"/>
      <c r="N17" s="13"/>
    </row>
  </sheetData>
  <mergeCells count="2">
    <mergeCell ref="I1:M2"/>
    <mergeCell ref="I10:M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0"/>
    <col customWidth="1" min="2" max="2" width="6.38"/>
    <col customWidth="1" min="3" max="3" width="3.25"/>
    <col customWidth="1" min="4" max="4" width="6.38"/>
    <col customWidth="1" min="5" max="5" width="3.25"/>
    <col customWidth="1" min="6" max="6" width="6.38"/>
    <col customWidth="1" min="7" max="7" width="3.25"/>
    <col customWidth="1" min="8" max="8" width="6.38"/>
    <col customWidth="1" min="9" max="9" width="3.25"/>
    <col customWidth="1" min="10" max="10" width="6.38"/>
    <col customWidth="1" min="11" max="11" width="3.25"/>
    <col customWidth="1" min="12" max="12" width="6.38"/>
    <col customWidth="1" min="13" max="14" width="3.25"/>
    <col customWidth="1" min="15" max="17" width="5.13"/>
    <col customWidth="1" min="18" max="18" width="9.63"/>
    <col customWidth="1" min="19" max="19" width="6.38"/>
    <col customWidth="1" min="20" max="20" width="10.25"/>
    <col customWidth="1" min="21" max="21" width="6.38"/>
    <col customWidth="1" min="22" max="22" width="3.25"/>
    <col customWidth="1" min="33" max="33" width="16.75"/>
  </cols>
  <sheetData>
    <row r="1" ht="27.75" customHeight="1">
      <c r="A1" s="16" t="str">
        <f>IFERROR(__xludf.DUMMYFUNCTION("importrange(""https://docs.google.com/spreadsheets/d/1qbWUGs-f13yWCb4pUdbfC4bFEWp7uHjaIKQE8O6-kM0/edit#gid=1828297607"",""RR!A:V"")"),"Each row shows a team's scores and results. The column name is the team they played against.")</f>
        <v>Each row shows a team's scores and results. The column name is the team they played against.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25"/>
      <c r="X1" s="27"/>
      <c r="Y1" s="27"/>
      <c r="Z1" s="27"/>
      <c r="AA1" s="28"/>
      <c r="AB1" s="29"/>
      <c r="AC1" s="29"/>
      <c r="AD1" s="29"/>
      <c r="AE1" s="31"/>
      <c r="AF1" s="28"/>
      <c r="AG1" s="29"/>
      <c r="AH1" s="29"/>
      <c r="AI1" s="31"/>
      <c r="AJ1" s="31"/>
      <c r="AK1" s="31"/>
      <c r="AL1" s="31"/>
      <c r="AM1" s="31"/>
      <c r="AN1" s="31"/>
      <c r="AO1" s="31"/>
      <c r="AP1" s="31"/>
      <c r="AQ1" s="31"/>
      <c r="AR1" s="31"/>
    </row>
    <row r="2" ht="18.75" customHeight="1">
      <c r="A2" s="29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6"/>
      <c r="S2" s="31"/>
      <c r="T2" s="31"/>
      <c r="U2" s="38"/>
      <c r="V2" s="31"/>
      <c r="W2" s="28"/>
      <c r="X2" s="28"/>
      <c r="Y2" s="28"/>
      <c r="Z2" s="28"/>
      <c r="AA2" s="40"/>
      <c r="AB2" s="41"/>
      <c r="AC2" s="41"/>
      <c r="AD2" s="41"/>
      <c r="AE2" s="42"/>
      <c r="AF2" s="40"/>
      <c r="AG2" s="41"/>
      <c r="AH2" s="41"/>
      <c r="AI2" s="31"/>
      <c r="AJ2" s="29"/>
      <c r="AK2" s="31"/>
      <c r="AL2" s="29"/>
      <c r="AM2" s="31"/>
      <c r="AN2" s="31"/>
      <c r="AO2" s="31"/>
      <c r="AP2" s="31"/>
      <c r="AQ2" s="31"/>
      <c r="AR2" s="31"/>
    </row>
    <row r="3" ht="18.75" customHeight="1">
      <c r="A3" s="47" t="str">
        <f>IFERROR(__xludf.DUMMYFUNCTION("""COMPUTED_VALUE"""),"Ampere")</f>
        <v>Ampere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50"/>
      <c r="S3" s="13"/>
      <c r="T3" s="13"/>
      <c r="U3" s="52"/>
      <c r="V3" s="13"/>
      <c r="W3" s="13"/>
      <c r="X3" s="13"/>
      <c r="Y3" s="13"/>
      <c r="Z3" s="13"/>
      <c r="AA3" s="13"/>
      <c r="AB3" s="13"/>
      <c r="AC3" s="55"/>
      <c r="AD3" s="55"/>
      <c r="AE3" s="13"/>
      <c r="AF3" s="55"/>
      <c r="AG3" s="13"/>
      <c r="AH3" s="57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ht="18.75" customHeight="1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6"/>
      <c r="W4" s="31"/>
      <c r="X4" s="31"/>
      <c r="Y4" s="31"/>
      <c r="Z4" s="31"/>
      <c r="AA4" s="31"/>
      <c r="AB4" s="13"/>
      <c r="AC4" s="29"/>
      <c r="AD4" s="29"/>
      <c r="AE4" s="31"/>
      <c r="AF4" s="29"/>
      <c r="AG4" s="31"/>
      <c r="AH4" s="69"/>
      <c r="AI4" s="31"/>
      <c r="AJ4" s="31"/>
      <c r="AK4" s="31"/>
      <c r="AL4" s="31"/>
      <c r="AM4" s="31"/>
      <c r="AN4" s="31"/>
      <c r="AO4" s="31"/>
      <c r="AP4" s="31"/>
      <c r="AQ4" s="31"/>
      <c r="AR4" s="31"/>
    </row>
    <row r="5" ht="18.75" customHeight="1">
      <c r="A5" s="70" t="str">
        <f>IFERROR(__xludf.DUMMYFUNCTION("""COMPUTED_VALUE"""),"Team")</f>
        <v>Team</v>
      </c>
      <c r="B5" s="29" t="str">
        <f>IFERROR(__xludf.DUMMYFUNCTION("""COMPUTED_VALUE"""),"Collierville")</f>
        <v>Collierville</v>
      </c>
      <c r="D5" s="71" t="str">
        <f>IFERROR(__xludf.DUMMYFUNCTION("""COMPUTED_VALUE"""),"Dulles")</f>
        <v>Dulles</v>
      </c>
      <c r="E5" s="72"/>
      <c r="F5" s="71" t="str">
        <f>IFERROR(__xludf.DUMMYFUNCTION("""COMPUTED_VALUE"""),"Interlake A")</f>
        <v>Interlake A</v>
      </c>
      <c r="G5" s="72"/>
      <c r="H5" s="71" t="str">
        <f>IFERROR(__xludf.DUMMYFUNCTION("""COMPUTED_VALUE"""),"RMHS")</f>
        <v>RMHS</v>
      </c>
      <c r="I5" s="72"/>
      <c r="J5" s="71" t="str">
        <f>IFERROR(__xludf.DUMMYFUNCTION("""COMPUTED_VALUE"""),"Venice")</f>
        <v>Venice</v>
      </c>
      <c r="K5" s="72"/>
      <c r="L5" s="71" t="str">
        <f>IFERROR(__xludf.DUMMYFUNCTION("""COMPUTED_VALUE"""),"Wayzata")</f>
        <v>Wayzata</v>
      </c>
      <c r="M5" s="72"/>
      <c r="N5" s="78"/>
      <c r="O5" s="80" t="str">
        <f>IFERROR(__xludf.DUMMYFUNCTION("""COMPUTED_VALUE"""),"W")</f>
        <v>W</v>
      </c>
      <c r="P5" s="80" t="str">
        <f>IFERROR(__xludf.DUMMYFUNCTION("""COMPUTED_VALUE"""),"T")</f>
        <v>T</v>
      </c>
      <c r="Q5" s="80" t="str">
        <f>IFERROR(__xludf.DUMMYFUNCTION("""COMPUTED_VALUE"""),"L")</f>
        <v>L</v>
      </c>
      <c r="R5" s="81" t="str">
        <f>IFERROR(__xludf.DUMMYFUNCTION("""COMPUTED_VALUE"""),"W/L Score")</f>
        <v>W/L Score</v>
      </c>
      <c r="S5" s="80" t="str">
        <f>IFERROR(__xludf.DUMMYFUNCTION("""COMPUTED_VALUE"""),"Points")</f>
        <v>Points</v>
      </c>
      <c r="T5" s="80" t="str">
        <f>IFERROR(__xludf.DUMMYFUNCTION("""COMPUTED_VALUE"""),"Average")</f>
        <v>Average</v>
      </c>
      <c r="U5" s="82" t="str">
        <f>IFERROR(__xludf.DUMMYFUNCTION("""COMPUTED_VALUE"""),"Rank")</f>
        <v>Rank</v>
      </c>
      <c r="V5" s="83"/>
      <c r="W5" s="31"/>
      <c r="X5" s="31"/>
      <c r="Y5" s="31"/>
      <c r="Z5" s="31"/>
      <c r="AA5" s="31"/>
      <c r="AB5" s="13"/>
      <c r="AC5" s="29"/>
      <c r="AD5" s="29"/>
      <c r="AE5" s="31"/>
      <c r="AF5" s="29"/>
      <c r="AG5" s="31"/>
      <c r="AH5" s="69"/>
      <c r="AI5" s="31"/>
      <c r="AJ5" s="31"/>
      <c r="AK5" s="31"/>
      <c r="AL5" s="31"/>
      <c r="AM5" s="31"/>
      <c r="AN5" s="31"/>
      <c r="AO5" s="31"/>
      <c r="AP5" s="31"/>
      <c r="AQ5" s="31"/>
      <c r="AR5" s="31"/>
    </row>
    <row r="6" ht="18.75" customHeight="1">
      <c r="A6" s="85" t="str">
        <f>IFERROR(__xludf.DUMMYFUNCTION("""COMPUTED_VALUE"""),"Collierville")</f>
        <v>Collierville</v>
      </c>
      <c r="B6" s="89"/>
      <c r="C6" s="90"/>
      <c r="D6" s="92">
        <f>IFERROR(__xludf.DUMMYFUNCTION("""COMPUTED_VALUE"""),100.0)</f>
        <v>100</v>
      </c>
      <c r="E6" s="93" t="str">
        <f>IFERROR(__xludf.DUMMYFUNCTION("""COMPUTED_VALUE"""),"L")</f>
        <v>L</v>
      </c>
      <c r="F6" s="92">
        <f>IFERROR(__xludf.DUMMYFUNCTION("""COMPUTED_VALUE"""),30.0)</f>
        <v>30</v>
      </c>
      <c r="G6" s="93" t="str">
        <f>IFERROR(__xludf.DUMMYFUNCTION("""COMPUTED_VALUE"""),"L")</f>
        <v>L</v>
      </c>
      <c r="H6" s="92">
        <f>IFERROR(__xludf.DUMMYFUNCTION("""COMPUTED_VALUE"""),84.0)</f>
        <v>84</v>
      </c>
      <c r="I6" s="93" t="str">
        <f>IFERROR(__xludf.DUMMYFUNCTION("""COMPUTED_VALUE"""),"T")</f>
        <v>T</v>
      </c>
      <c r="J6" s="92">
        <f>IFERROR(__xludf.DUMMYFUNCTION("""COMPUTED_VALUE"""),20.0)</f>
        <v>20</v>
      </c>
      <c r="K6" s="95" t="str">
        <f>IFERROR(__xludf.DUMMYFUNCTION("""COMPUTED_VALUE"""),"L")</f>
        <v>L</v>
      </c>
      <c r="L6" s="92">
        <f>IFERROR(__xludf.DUMMYFUNCTION("""COMPUTED_VALUE"""),54.0)</f>
        <v>54</v>
      </c>
      <c r="M6" s="95" t="str">
        <f>IFERROR(__xludf.DUMMYFUNCTION("""COMPUTED_VALUE"""),"L")</f>
        <v>L</v>
      </c>
      <c r="O6" s="96">
        <f>IFERROR(__xludf.DUMMYFUNCTION("""COMPUTED_VALUE"""),0.0)</f>
        <v>0</v>
      </c>
      <c r="P6" s="98">
        <f>IFERROR(__xludf.DUMMYFUNCTION("""COMPUTED_VALUE"""),1.0)</f>
        <v>1</v>
      </c>
      <c r="Q6" s="98">
        <f>IFERROR(__xludf.DUMMYFUNCTION("""COMPUTED_VALUE"""),4.0)</f>
        <v>4</v>
      </c>
      <c r="R6" s="100">
        <f>IFERROR(__xludf.DUMMYFUNCTION("""COMPUTED_VALUE"""),0.5)</f>
        <v>0.5</v>
      </c>
      <c r="S6" s="103">
        <f>IFERROR(__xludf.DUMMYFUNCTION("""COMPUTED_VALUE"""),288.0)</f>
        <v>288</v>
      </c>
      <c r="T6" s="105">
        <f>IFERROR(__xludf.DUMMYFUNCTION("""COMPUTED_VALUE"""),57.6)</f>
        <v>57.6</v>
      </c>
      <c r="U6" s="107" t="str">
        <f>IFERROR(__xludf.DUMMYFUNCTION("""COMPUTED_VALUE"""),"6")</f>
        <v>6</v>
      </c>
      <c r="V6" s="109" t="str">
        <f>IFERROR(__xludf.DUMMYFUNCTION("""COMPUTED_VALUE"""),"Collierville")</f>
        <v>Collierville</v>
      </c>
      <c r="W6" s="111"/>
      <c r="X6" s="31"/>
      <c r="Y6" s="31"/>
      <c r="Z6" s="31"/>
      <c r="AA6" s="31"/>
      <c r="AB6" s="13"/>
      <c r="AC6" s="29"/>
      <c r="AD6" s="29"/>
      <c r="AE6" s="31"/>
      <c r="AF6" s="29"/>
      <c r="AG6" s="31"/>
      <c r="AH6" s="69"/>
      <c r="AI6" s="114"/>
      <c r="AJ6" s="31"/>
      <c r="AK6" s="31"/>
      <c r="AL6" s="31"/>
      <c r="AM6" s="31"/>
      <c r="AN6" s="31"/>
      <c r="AO6" s="31"/>
      <c r="AP6" s="31"/>
      <c r="AQ6" s="31"/>
      <c r="AR6" s="31"/>
    </row>
    <row r="7" ht="18.75" customHeight="1">
      <c r="A7" s="116" t="str">
        <f>IFERROR(__xludf.DUMMYFUNCTION("""COMPUTED_VALUE"""),"Dulles")</f>
        <v>Dulles</v>
      </c>
      <c r="B7" s="117">
        <f>IFERROR(__xludf.DUMMYFUNCTION("""COMPUTED_VALUE"""),118.0)</f>
        <v>118</v>
      </c>
      <c r="C7" s="118" t="str">
        <f>IFERROR(__xludf.DUMMYFUNCTION("""COMPUTED_VALUE"""),"W")</f>
        <v>W</v>
      </c>
      <c r="D7" s="120"/>
      <c r="E7" s="121"/>
      <c r="F7" s="92">
        <f>IFERROR(__xludf.DUMMYFUNCTION("""COMPUTED_VALUE"""),162.0)</f>
        <v>162</v>
      </c>
      <c r="G7" s="118" t="str">
        <f>IFERROR(__xludf.DUMMYFUNCTION("""COMPUTED_VALUE"""),"W")</f>
        <v>W</v>
      </c>
      <c r="H7" s="92">
        <f>IFERROR(__xludf.DUMMYFUNCTION("""COMPUTED_VALUE"""),134.0)</f>
        <v>134</v>
      </c>
      <c r="I7" s="118" t="str">
        <f>IFERROR(__xludf.DUMMYFUNCTION("""COMPUTED_VALUE"""),"W")</f>
        <v>W</v>
      </c>
      <c r="J7" s="92">
        <f>IFERROR(__xludf.DUMMYFUNCTION("""COMPUTED_VALUE"""),160.0)</f>
        <v>160</v>
      </c>
      <c r="K7" s="125" t="str">
        <f>IFERROR(__xludf.DUMMYFUNCTION("""COMPUTED_VALUE"""),"W")</f>
        <v>W</v>
      </c>
      <c r="L7" s="92">
        <f>IFERROR(__xludf.DUMMYFUNCTION("""COMPUTED_VALUE"""),112.0)</f>
        <v>112</v>
      </c>
      <c r="M7" s="95" t="str">
        <f>IFERROR(__xludf.DUMMYFUNCTION("""COMPUTED_VALUE"""),"W")</f>
        <v>W</v>
      </c>
      <c r="O7" s="96">
        <f>IFERROR(__xludf.DUMMYFUNCTION("""COMPUTED_VALUE"""),5.0)</f>
        <v>5</v>
      </c>
      <c r="P7" s="98">
        <f>IFERROR(__xludf.DUMMYFUNCTION("""COMPUTED_VALUE"""),0.0)</f>
        <v>0</v>
      </c>
      <c r="Q7" s="98">
        <f>IFERROR(__xludf.DUMMYFUNCTION("""COMPUTED_VALUE"""),0.0)</f>
        <v>0</v>
      </c>
      <c r="R7" s="127">
        <f>IFERROR(__xludf.DUMMYFUNCTION("""COMPUTED_VALUE"""),5.0)</f>
        <v>5</v>
      </c>
      <c r="S7" s="103">
        <f>IFERROR(__xludf.DUMMYFUNCTION("""COMPUTED_VALUE"""),686.0)</f>
        <v>686</v>
      </c>
      <c r="T7" s="105">
        <f>IFERROR(__xludf.DUMMYFUNCTION("""COMPUTED_VALUE"""),137.2)</f>
        <v>137.2</v>
      </c>
      <c r="U7" s="107" t="str">
        <f>IFERROR(__xludf.DUMMYFUNCTION("""COMPUTED_VALUE"""),"1")</f>
        <v>1</v>
      </c>
      <c r="V7" s="109" t="str">
        <f>IFERROR(__xludf.DUMMYFUNCTION("""COMPUTED_VALUE"""),"Dulles")</f>
        <v>Dulles</v>
      </c>
      <c r="W7" s="111"/>
      <c r="X7" s="31"/>
      <c r="Y7" s="31"/>
      <c r="Z7" s="31"/>
      <c r="AA7" s="31"/>
      <c r="AB7" s="13"/>
      <c r="AC7" s="29"/>
      <c r="AD7" s="29"/>
      <c r="AE7" s="31"/>
      <c r="AF7" s="29"/>
      <c r="AG7" s="31"/>
      <c r="AH7" s="69"/>
      <c r="AI7" s="31"/>
      <c r="AJ7" s="31"/>
      <c r="AK7" s="31"/>
      <c r="AL7" s="31"/>
      <c r="AM7" s="31"/>
      <c r="AN7" s="31"/>
      <c r="AO7" s="31"/>
      <c r="AP7" s="31"/>
      <c r="AQ7" s="31"/>
      <c r="AR7" s="31"/>
    </row>
    <row r="8" ht="18.75" customHeight="1">
      <c r="A8" s="116" t="str">
        <f>IFERROR(__xludf.DUMMYFUNCTION("""COMPUTED_VALUE"""),"Interlake A")</f>
        <v>Interlake A</v>
      </c>
      <c r="B8" s="117">
        <f>IFERROR(__xludf.DUMMYFUNCTION("""COMPUTED_VALUE"""),118.0)</f>
        <v>118</v>
      </c>
      <c r="C8" s="118" t="str">
        <f>IFERROR(__xludf.DUMMYFUNCTION("""COMPUTED_VALUE"""),"W")</f>
        <v>W</v>
      </c>
      <c r="D8" s="133">
        <f>IFERROR(__xludf.DUMMYFUNCTION("""COMPUTED_VALUE"""),94.0)</f>
        <v>94</v>
      </c>
      <c r="E8" s="118" t="str">
        <f>IFERROR(__xludf.DUMMYFUNCTION("""COMPUTED_VALUE"""),"L")</f>
        <v>L</v>
      </c>
      <c r="F8" s="120"/>
      <c r="G8" s="121"/>
      <c r="H8" s="92">
        <f>IFERROR(__xludf.DUMMYFUNCTION("""COMPUTED_VALUE"""),112.0)</f>
        <v>112</v>
      </c>
      <c r="I8" s="118" t="str">
        <f>IFERROR(__xludf.DUMMYFUNCTION("""COMPUTED_VALUE"""),"W")</f>
        <v>W</v>
      </c>
      <c r="J8" s="92">
        <f>IFERROR(__xludf.DUMMYFUNCTION("""COMPUTED_VALUE"""),164.0)</f>
        <v>164</v>
      </c>
      <c r="K8" s="125" t="str">
        <f>IFERROR(__xludf.DUMMYFUNCTION("""COMPUTED_VALUE"""),"W")</f>
        <v>W</v>
      </c>
      <c r="L8" s="92">
        <f>IFERROR(__xludf.DUMMYFUNCTION("""COMPUTED_VALUE"""),94.0)</f>
        <v>94</v>
      </c>
      <c r="M8" s="95" t="str">
        <f>IFERROR(__xludf.DUMMYFUNCTION("""COMPUTED_VALUE"""),"L")</f>
        <v>L</v>
      </c>
      <c r="O8" s="96">
        <f>IFERROR(__xludf.DUMMYFUNCTION("""COMPUTED_VALUE"""),3.0)</f>
        <v>3</v>
      </c>
      <c r="P8" s="98">
        <f>IFERROR(__xludf.DUMMYFUNCTION("""COMPUTED_VALUE"""),0.0)</f>
        <v>0</v>
      </c>
      <c r="Q8" s="98">
        <f>IFERROR(__xludf.DUMMYFUNCTION("""COMPUTED_VALUE"""),2.0)</f>
        <v>2</v>
      </c>
      <c r="R8" s="127">
        <f>IFERROR(__xludf.DUMMYFUNCTION("""COMPUTED_VALUE"""),3.0)</f>
        <v>3</v>
      </c>
      <c r="S8" s="103">
        <f>IFERROR(__xludf.DUMMYFUNCTION("""COMPUTED_VALUE"""),582.0)</f>
        <v>582</v>
      </c>
      <c r="T8" s="105">
        <f>IFERROR(__xludf.DUMMYFUNCTION("""COMPUTED_VALUE"""),116.4)</f>
        <v>116.4</v>
      </c>
      <c r="U8" s="107" t="str">
        <f>IFERROR(__xludf.DUMMYFUNCTION("""COMPUTED_VALUE"""),"2")</f>
        <v>2</v>
      </c>
      <c r="V8" s="109" t="str">
        <f>IFERROR(__xludf.DUMMYFUNCTION("""COMPUTED_VALUE"""),"Interlake A")</f>
        <v>Interlake A</v>
      </c>
      <c r="W8" s="111"/>
      <c r="X8" s="31"/>
      <c r="Y8" s="31"/>
      <c r="Z8" s="31"/>
      <c r="AA8" s="31"/>
      <c r="AB8" s="13"/>
      <c r="AC8" s="29"/>
      <c r="AD8" s="29"/>
      <c r="AE8" s="31"/>
      <c r="AF8" s="29"/>
      <c r="AG8" s="31"/>
      <c r="AH8" s="69"/>
      <c r="AI8" s="31"/>
      <c r="AJ8" s="31"/>
      <c r="AK8" s="31"/>
      <c r="AL8" s="31"/>
      <c r="AM8" s="31"/>
      <c r="AN8" s="31"/>
      <c r="AO8" s="31"/>
      <c r="AP8" s="31"/>
      <c r="AQ8" s="31"/>
      <c r="AR8" s="31"/>
    </row>
    <row r="9" ht="18.75" customHeight="1">
      <c r="A9" s="116" t="str">
        <f>IFERROR(__xludf.DUMMYFUNCTION("""COMPUTED_VALUE"""),"RMHS")</f>
        <v>RMHS</v>
      </c>
      <c r="B9" s="117">
        <f>IFERROR(__xludf.DUMMYFUNCTION("""COMPUTED_VALUE"""),84.0)</f>
        <v>84</v>
      </c>
      <c r="C9" s="118" t="str">
        <f>IFERROR(__xludf.DUMMYFUNCTION("""COMPUTED_VALUE"""),"T")</f>
        <v>T</v>
      </c>
      <c r="D9" s="133">
        <f>IFERROR(__xludf.DUMMYFUNCTION("""COMPUTED_VALUE"""),36.0)</f>
        <v>36</v>
      </c>
      <c r="E9" s="118" t="str">
        <f>IFERROR(__xludf.DUMMYFUNCTION("""COMPUTED_VALUE"""),"L")</f>
        <v>L</v>
      </c>
      <c r="F9" s="133">
        <f>IFERROR(__xludf.DUMMYFUNCTION("""COMPUTED_VALUE"""),100.0)</f>
        <v>100</v>
      </c>
      <c r="G9" s="118" t="str">
        <f>IFERROR(__xludf.DUMMYFUNCTION("""COMPUTED_VALUE"""),"L")</f>
        <v>L</v>
      </c>
      <c r="H9" s="120"/>
      <c r="I9" s="121"/>
      <c r="J9" s="92">
        <f>IFERROR(__xludf.DUMMYFUNCTION("""COMPUTED_VALUE"""),96.0)</f>
        <v>96</v>
      </c>
      <c r="K9" s="125" t="str">
        <f>IFERROR(__xludf.DUMMYFUNCTION("""COMPUTED_VALUE"""),"L")</f>
        <v>L</v>
      </c>
      <c r="L9" s="92">
        <f>IFERROR(__xludf.DUMMYFUNCTION("""COMPUTED_VALUE"""),24.0)</f>
        <v>24</v>
      </c>
      <c r="M9" s="95" t="str">
        <f>IFERROR(__xludf.DUMMYFUNCTION("""COMPUTED_VALUE"""),"L")</f>
        <v>L</v>
      </c>
      <c r="O9" s="96">
        <f>IFERROR(__xludf.DUMMYFUNCTION("""COMPUTED_VALUE"""),0.0)</f>
        <v>0</v>
      </c>
      <c r="P9" s="98">
        <f>IFERROR(__xludf.DUMMYFUNCTION("""COMPUTED_VALUE"""),1.0)</f>
        <v>1</v>
      </c>
      <c r="Q9" s="98">
        <f>IFERROR(__xludf.DUMMYFUNCTION("""COMPUTED_VALUE"""),4.0)</f>
        <v>4</v>
      </c>
      <c r="R9" s="100">
        <f>IFERROR(__xludf.DUMMYFUNCTION("""COMPUTED_VALUE"""),0.5)</f>
        <v>0.5</v>
      </c>
      <c r="S9" s="103">
        <f>IFERROR(__xludf.DUMMYFUNCTION("""COMPUTED_VALUE"""),340.0)</f>
        <v>340</v>
      </c>
      <c r="T9" s="105">
        <f>IFERROR(__xludf.DUMMYFUNCTION("""COMPUTED_VALUE"""),68.0)</f>
        <v>68</v>
      </c>
      <c r="U9" s="107" t="str">
        <f>IFERROR(__xludf.DUMMYFUNCTION("""COMPUTED_VALUE"""),"5")</f>
        <v>5</v>
      </c>
      <c r="V9" s="109" t="str">
        <f>IFERROR(__xludf.DUMMYFUNCTION("""COMPUTED_VALUE"""),"RMHS")</f>
        <v>RMHS</v>
      </c>
      <c r="W9" s="111"/>
      <c r="X9" s="31"/>
      <c r="Y9" s="31"/>
      <c r="Z9" s="31"/>
      <c r="AA9" s="31"/>
      <c r="AB9" s="13"/>
      <c r="AC9" s="29"/>
      <c r="AD9" s="29"/>
      <c r="AE9" s="31"/>
      <c r="AF9" s="29"/>
      <c r="AG9" s="31"/>
      <c r="AH9" s="69"/>
      <c r="AI9" s="31"/>
      <c r="AJ9" s="31"/>
      <c r="AK9" s="31"/>
      <c r="AL9" s="31"/>
      <c r="AM9" s="31"/>
      <c r="AN9" s="31"/>
      <c r="AO9" s="31"/>
      <c r="AP9" s="31"/>
      <c r="AQ9" s="31"/>
      <c r="AR9" s="31"/>
    </row>
    <row r="10" ht="18.75" customHeight="1">
      <c r="A10" s="116" t="str">
        <f>IFERROR(__xludf.DUMMYFUNCTION("""COMPUTED_VALUE"""),"Venice")</f>
        <v>Venice</v>
      </c>
      <c r="B10" s="117">
        <f>IFERROR(__xludf.DUMMYFUNCTION("""COMPUTED_VALUE"""),144.0)</f>
        <v>144</v>
      </c>
      <c r="C10" s="136" t="str">
        <f>IFERROR(__xludf.DUMMYFUNCTION("""COMPUTED_VALUE"""),"W")</f>
        <v>W</v>
      </c>
      <c r="D10" s="133">
        <f>IFERROR(__xludf.DUMMYFUNCTION("""COMPUTED_VALUE"""),62.0)</f>
        <v>62</v>
      </c>
      <c r="E10" s="136" t="str">
        <f>IFERROR(__xludf.DUMMYFUNCTION("""COMPUTED_VALUE"""),"L")</f>
        <v>L</v>
      </c>
      <c r="F10" s="133">
        <f>IFERROR(__xludf.DUMMYFUNCTION("""COMPUTED_VALUE"""),62.0)</f>
        <v>62</v>
      </c>
      <c r="G10" s="136" t="str">
        <f>IFERROR(__xludf.DUMMYFUNCTION("""COMPUTED_VALUE"""),"L")</f>
        <v>L</v>
      </c>
      <c r="H10" s="133">
        <f>IFERROR(__xludf.DUMMYFUNCTION("""COMPUTED_VALUE"""),134.0)</f>
        <v>134</v>
      </c>
      <c r="I10" s="136" t="str">
        <f>IFERROR(__xludf.DUMMYFUNCTION("""COMPUTED_VALUE"""),"W")</f>
        <v>W</v>
      </c>
      <c r="J10" s="137"/>
      <c r="K10" s="138"/>
      <c r="L10" s="92">
        <f>IFERROR(__xludf.DUMMYFUNCTION("""COMPUTED_VALUE"""),128.0)</f>
        <v>128</v>
      </c>
      <c r="M10" s="95" t="str">
        <f>IFERROR(__xludf.DUMMYFUNCTION("""COMPUTED_VALUE"""),"W")</f>
        <v>W</v>
      </c>
      <c r="O10" s="96">
        <f>IFERROR(__xludf.DUMMYFUNCTION("""COMPUTED_VALUE"""),3.0)</f>
        <v>3</v>
      </c>
      <c r="P10" s="98">
        <f>IFERROR(__xludf.DUMMYFUNCTION("""COMPUTED_VALUE"""),0.0)</f>
        <v>0</v>
      </c>
      <c r="Q10" s="98">
        <f>IFERROR(__xludf.DUMMYFUNCTION("""COMPUTED_VALUE"""),2.0)</f>
        <v>2</v>
      </c>
      <c r="R10" s="127">
        <f>IFERROR(__xludf.DUMMYFUNCTION("""COMPUTED_VALUE"""),3.0)</f>
        <v>3</v>
      </c>
      <c r="S10" s="103">
        <f>IFERROR(__xludf.DUMMYFUNCTION("""COMPUTED_VALUE"""),530.0)</f>
        <v>530</v>
      </c>
      <c r="T10" s="105">
        <f>IFERROR(__xludf.DUMMYFUNCTION("""COMPUTED_VALUE"""),106.0)</f>
        <v>106</v>
      </c>
      <c r="U10" s="107" t="str">
        <f>IFERROR(__xludf.DUMMYFUNCTION("""COMPUTED_VALUE"""),"3")</f>
        <v>3</v>
      </c>
      <c r="V10" s="109" t="str">
        <f>IFERROR(__xludf.DUMMYFUNCTION("""COMPUTED_VALUE"""),"Venice")</f>
        <v>Venice</v>
      </c>
      <c r="W10" s="111"/>
      <c r="X10" s="31"/>
      <c r="Y10" s="31"/>
      <c r="Z10" s="31"/>
      <c r="AA10" s="31"/>
      <c r="AB10" s="13"/>
      <c r="AC10" s="29"/>
      <c r="AD10" s="29"/>
      <c r="AE10" s="31"/>
      <c r="AF10" s="29"/>
      <c r="AG10" s="31"/>
      <c r="AH10" s="69"/>
      <c r="AI10" s="31"/>
      <c r="AJ10" s="31"/>
      <c r="AK10" s="31"/>
      <c r="AL10" s="31"/>
      <c r="AM10" s="31"/>
      <c r="AN10" s="31"/>
      <c r="AO10" s="31"/>
      <c r="AP10" s="31"/>
      <c r="AQ10" s="31"/>
      <c r="AR10" s="31"/>
    </row>
    <row r="11" ht="18.75" customHeight="1">
      <c r="A11" s="116" t="str">
        <f>IFERROR(__xludf.DUMMYFUNCTION("""COMPUTED_VALUE"""),"Wayzata")</f>
        <v>Wayzata</v>
      </c>
      <c r="B11" s="117">
        <f>IFERROR(__xludf.DUMMYFUNCTION("""COMPUTED_VALUE"""),118.0)</f>
        <v>118</v>
      </c>
      <c r="C11" s="136" t="str">
        <f>IFERROR(__xludf.DUMMYFUNCTION("""COMPUTED_VALUE"""),"W")</f>
        <v>W</v>
      </c>
      <c r="D11" s="133">
        <f>IFERROR(__xludf.DUMMYFUNCTION("""COMPUTED_VALUE"""),110.0)</f>
        <v>110</v>
      </c>
      <c r="E11" s="136" t="str">
        <f>IFERROR(__xludf.DUMMYFUNCTION("""COMPUTED_VALUE"""),"L")</f>
        <v>L</v>
      </c>
      <c r="F11" s="133">
        <f>IFERROR(__xludf.DUMMYFUNCTION("""COMPUTED_VALUE"""),118.0)</f>
        <v>118</v>
      </c>
      <c r="G11" s="118" t="str">
        <f>IFERROR(__xludf.DUMMYFUNCTION("""COMPUTED_VALUE"""),"W")</f>
        <v>W</v>
      </c>
      <c r="H11" s="133">
        <f>IFERROR(__xludf.DUMMYFUNCTION("""COMPUTED_VALUE"""),80.0)</f>
        <v>80</v>
      </c>
      <c r="I11" s="136" t="str">
        <f>IFERROR(__xludf.DUMMYFUNCTION("""COMPUTED_VALUE"""),"W")</f>
        <v>W</v>
      </c>
      <c r="J11" s="133">
        <f>IFERROR(__xludf.DUMMYFUNCTION("""COMPUTED_VALUE"""),34.0)</f>
        <v>34</v>
      </c>
      <c r="K11" s="136" t="str">
        <f>IFERROR(__xludf.DUMMYFUNCTION("""COMPUTED_VALUE"""),"L")</f>
        <v>L</v>
      </c>
      <c r="L11" s="139"/>
      <c r="M11" s="140"/>
      <c r="N11" s="78"/>
      <c r="O11" s="96">
        <f>IFERROR(__xludf.DUMMYFUNCTION("""COMPUTED_VALUE"""),3.0)</f>
        <v>3</v>
      </c>
      <c r="P11" s="98">
        <f>IFERROR(__xludf.DUMMYFUNCTION("""COMPUTED_VALUE"""),0.0)</f>
        <v>0</v>
      </c>
      <c r="Q11" s="98">
        <f>IFERROR(__xludf.DUMMYFUNCTION("""COMPUTED_VALUE"""),2.0)</f>
        <v>2</v>
      </c>
      <c r="R11" s="127">
        <f>IFERROR(__xludf.DUMMYFUNCTION("""COMPUTED_VALUE"""),3.0)</f>
        <v>3</v>
      </c>
      <c r="S11" s="103">
        <f>IFERROR(__xludf.DUMMYFUNCTION("""COMPUTED_VALUE"""),460.0)</f>
        <v>460</v>
      </c>
      <c r="T11" s="105">
        <f>IFERROR(__xludf.DUMMYFUNCTION("""COMPUTED_VALUE"""),92.0)</f>
        <v>92</v>
      </c>
      <c r="U11" s="141" t="str">
        <f>IFERROR(__xludf.DUMMYFUNCTION("""COMPUTED_VALUE"""),"4")</f>
        <v>4</v>
      </c>
      <c r="V11" s="109" t="str">
        <f>IFERROR(__xludf.DUMMYFUNCTION("""COMPUTED_VALUE"""),"Wayzata")</f>
        <v>Wayzata</v>
      </c>
      <c r="W11" s="111"/>
      <c r="X11" s="31"/>
      <c r="Y11" s="31"/>
      <c r="Z11" s="31"/>
      <c r="AA11" s="31"/>
      <c r="AB11" s="41"/>
      <c r="AC11" s="29"/>
      <c r="AD11" s="29"/>
      <c r="AE11" s="31"/>
      <c r="AF11" s="29"/>
      <c r="AG11" s="31"/>
      <c r="AH11" s="69"/>
      <c r="AI11" s="31"/>
      <c r="AJ11" s="31"/>
      <c r="AK11" s="31"/>
      <c r="AL11" s="31"/>
      <c r="AM11" s="31"/>
      <c r="AN11" s="31"/>
      <c r="AO11" s="31"/>
      <c r="AP11" s="31"/>
      <c r="AQ11" s="31"/>
      <c r="AR11" s="31"/>
    </row>
    <row r="12" ht="18.75" customHeight="1">
      <c r="A12" s="142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43"/>
      <c r="W12" s="31"/>
      <c r="X12" s="31"/>
      <c r="Y12" s="31"/>
      <c r="Z12" s="31"/>
      <c r="AA12" s="31"/>
      <c r="AB12" s="13"/>
      <c r="AC12" s="29"/>
      <c r="AD12" s="29"/>
      <c r="AE12" s="31"/>
      <c r="AF12" s="29"/>
      <c r="AG12" s="31"/>
      <c r="AH12" s="69"/>
      <c r="AI12" s="31"/>
      <c r="AJ12" s="31"/>
      <c r="AK12" s="31"/>
      <c r="AL12" s="31"/>
      <c r="AM12" s="31"/>
      <c r="AN12" s="31"/>
      <c r="AO12" s="31"/>
      <c r="AP12" s="31"/>
      <c r="AQ12" s="31"/>
      <c r="AR12" s="31"/>
    </row>
    <row r="13" ht="18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6"/>
      <c r="S13" s="31"/>
      <c r="T13" s="31"/>
      <c r="U13" s="38"/>
      <c r="V13" s="31"/>
      <c r="W13" s="31"/>
      <c r="X13" s="31"/>
      <c r="Y13" s="31"/>
      <c r="Z13" s="31"/>
      <c r="AA13" s="31"/>
      <c r="AB13" s="13"/>
      <c r="AC13" s="29"/>
      <c r="AD13" s="29"/>
      <c r="AE13" s="31"/>
      <c r="AF13" s="29"/>
      <c r="AG13" s="31"/>
      <c r="AH13" s="69"/>
      <c r="AI13" s="31"/>
      <c r="AJ13" s="31"/>
      <c r="AK13" s="31"/>
      <c r="AL13" s="31"/>
      <c r="AM13" s="31"/>
      <c r="AN13" s="31"/>
      <c r="AO13" s="31"/>
      <c r="AP13" s="31"/>
      <c r="AQ13" s="31"/>
      <c r="AR13" s="31"/>
    </row>
    <row r="14" ht="18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144"/>
      <c r="S14" s="31"/>
      <c r="T14" s="31"/>
      <c r="U14" s="38"/>
      <c r="V14" s="31"/>
      <c r="W14" s="31"/>
      <c r="X14" s="31"/>
      <c r="Y14" s="31"/>
      <c r="Z14" s="31"/>
      <c r="AA14" s="31"/>
      <c r="AB14" s="41"/>
      <c r="AC14" s="29"/>
      <c r="AD14" s="29"/>
      <c r="AE14" s="31"/>
      <c r="AF14" s="29"/>
      <c r="AG14" s="31"/>
      <c r="AH14" s="69"/>
      <c r="AI14" s="31"/>
      <c r="AJ14" s="31"/>
      <c r="AK14" s="31"/>
      <c r="AL14" s="31"/>
      <c r="AM14" s="31"/>
      <c r="AN14" s="31"/>
      <c r="AO14" s="31"/>
      <c r="AP14" s="31"/>
      <c r="AQ14" s="31"/>
      <c r="AR14" s="31"/>
    </row>
    <row r="15" ht="18.75" customHeight="1">
      <c r="A15" s="47" t="str">
        <f>IFERROR(__xludf.DUMMYFUNCTION("""COMPUTED_VALUE"""),"Bohr")</f>
        <v>Bohr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50"/>
      <c r="S15" s="13"/>
      <c r="T15" s="13"/>
      <c r="U15" s="52"/>
      <c r="V15" s="13"/>
      <c r="W15" s="31"/>
      <c r="X15" s="31"/>
      <c r="Y15" s="31"/>
      <c r="Z15" s="31"/>
      <c r="AA15" s="31"/>
      <c r="AB15" s="41"/>
      <c r="AC15" s="29"/>
      <c r="AD15" s="29"/>
      <c r="AE15" s="31"/>
      <c r="AF15" s="29"/>
      <c r="AG15" s="31"/>
      <c r="AH15" s="69"/>
      <c r="AI15" s="31"/>
      <c r="AJ15" s="31"/>
      <c r="AK15" s="31"/>
      <c r="AL15" s="31"/>
      <c r="AM15" s="31"/>
      <c r="AN15" s="31"/>
      <c r="AO15" s="31"/>
      <c r="AP15" s="31"/>
      <c r="AQ15" s="31"/>
      <c r="AR15" s="31"/>
    </row>
    <row r="16" ht="18.75" customHeight="1">
      <c r="A16" s="61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6"/>
      <c r="W16" s="31"/>
      <c r="X16" s="31"/>
      <c r="Y16" s="31"/>
      <c r="Z16" s="31"/>
      <c r="AA16" s="31"/>
      <c r="AB16" s="41"/>
      <c r="AC16" s="29"/>
      <c r="AD16" s="29"/>
      <c r="AE16" s="31"/>
      <c r="AF16" s="29"/>
      <c r="AG16" s="31"/>
      <c r="AH16" s="69"/>
      <c r="AI16" s="31"/>
      <c r="AJ16" s="31"/>
      <c r="AK16" s="31"/>
      <c r="AL16" s="31"/>
      <c r="AM16" s="31"/>
      <c r="AN16" s="31"/>
      <c r="AO16" s="31"/>
      <c r="AP16" s="31"/>
      <c r="AQ16" s="31"/>
      <c r="AR16" s="31"/>
    </row>
    <row r="17" ht="18.75" customHeight="1">
      <c r="A17" s="70" t="str">
        <f>IFERROR(__xludf.DUMMYFUNCTION("""COMPUTED_VALUE"""),"Team")</f>
        <v>Team</v>
      </c>
      <c r="B17" s="29" t="str">
        <f>IFERROR(__xludf.DUMMYFUNCTION("""COMPUTED_VALUE"""),"Canyon Crest")</f>
        <v>Canyon Crest</v>
      </c>
      <c r="D17" s="71" t="str">
        <f>IFERROR(__xludf.DUMMYFUNCTION("""COMPUTED_VALUE"""),"Interlake B")</f>
        <v>Interlake B</v>
      </c>
      <c r="E17" s="72"/>
      <c r="F17" s="71" t="str">
        <f>IFERROR(__xludf.DUMMYFUNCTION("""COMPUTED_VALUE"""),"Naperville North")</f>
        <v>Naperville North</v>
      </c>
      <c r="G17" s="72"/>
      <c r="H17" s="71" t="str">
        <f>IFERROR(__xludf.DUMMYFUNCTION("""COMPUTED_VALUE"""),"NoHo")</f>
        <v>NoHo</v>
      </c>
      <c r="I17" s="72"/>
      <c r="J17" s="71" t="str">
        <f>IFERROR(__xludf.DUMMYFUNCTION("""COMPUTED_VALUE"""),"Seven Lakes")</f>
        <v>Seven Lakes</v>
      </c>
      <c r="K17" s="72"/>
      <c r="L17" s="71" t="str">
        <f>IFERROR(__xludf.DUMMYFUNCTION("""COMPUTED_VALUE"""),"Westminster")</f>
        <v>Westminster</v>
      </c>
      <c r="M17" s="72"/>
      <c r="N17" s="78"/>
      <c r="O17" s="80" t="str">
        <f>IFERROR(__xludf.DUMMYFUNCTION("""COMPUTED_VALUE"""),"W")</f>
        <v>W</v>
      </c>
      <c r="P17" s="80" t="str">
        <f>IFERROR(__xludf.DUMMYFUNCTION("""COMPUTED_VALUE"""),"T")</f>
        <v>T</v>
      </c>
      <c r="Q17" s="80" t="str">
        <f>IFERROR(__xludf.DUMMYFUNCTION("""COMPUTED_VALUE"""),"L")</f>
        <v>L</v>
      </c>
      <c r="R17" s="81" t="str">
        <f>IFERROR(__xludf.DUMMYFUNCTION("""COMPUTED_VALUE"""),"W/L Score")</f>
        <v>W/L Score</v>
      </c>
      <c r="S17" s="80" t="str">
        <f>IFERROR(__xludf.DUMMYFUNCTION("""COMPUTED_VALUE"""),"Points")</f>
        <v>Points</v>
      </c>
      <c r="T17" s="80" t="str">
        <f>IFERROR(__xludf.DUMMYFUNCTION("""COMPUTED_VALUE"""),"Average")</f>
        <v>Average</v>
      </c>
      <c r="U17" s="82" t="str">
        <f>IFERROR(__xludf.DUMMYFUNCTION("""COMPUTED_VALUE"""),"Rank")</f>
        <v>Rank</v>
      </c>
      <c r="V17" s="83"/>
      <c r="W17" s="31"/>
      <c r="X17" s="31"/>
      <c r="Y17" s="31"/>
      <c r="Z17" s="31"/>
      <c r="AA17" s="31"/>
      <c r="AB17" s="41"/>
      <c r="AC17" s="29"/>
      <c r="AD17" s="29"/>
      <c r="AE17" s="31"/>
      <c r="AF17" s="29"/>
      <c r="AG17" s="31"/>
      <c r="AH17" s="69"/>
      <c r="AI17" s="31"/>
      <c r="AJ17" s="31"/>
      <c r="AK17" s="31"/>
      <c r="AL17" s="31"/>
      <c r="AM17" s="31"/>
      <c r="AN17" s="31"/>
      <c r="AO17" s="31"/>
      <c r="AP17" s="31"/>
      <c r="AQ17" s="31"/>
      <c r="AR17" s="31"/>
    </row>
    <row r="18" ht="18.75" customHeight="1">
      <c r="A18" s="85" t="str">
        <f>IFERROR(__xludf.DUMMYFUNCTION("""COMPUTED_VALUE"""),"Canyon Crest")</f>
        <v>Canyon Crest</v>
      </c>
      <c r="B18" s="89"/>
      <c r="C18" s="90"/>
      <c r="D18" s="92">
        <f>IFERROR(__xludf.DUMMYFUNCTION("""COMPUTED_VALUE"""),32.0)</f>
        <v>32</v>
      </c>
      <c r="E18" s="93" t="str">
        <f>IFERROR(__xludf.DUMMYFUNCTION("""COMPUTED_VALUE"""),"L")</f>
        <v>L</v>
      </c>
      <c r="F18" s="92">
        <f>IFERROR(__xludf.DUMMYFUNCTION("""COMPUTED_VALUE"""),20.0)</f>
        <v>20</v>
      </c>
      <c r="G18" s="93" t="str">
        <f>IFERROR(__xludf.DUMMYFUNCTION("""COMPUTED_VALUE"""),"L")</f>
        <v>L</v>
      </c>
      <c r="H18" s="92">
        <f>IFERROR(__xludf.DUMMYFUNCTION("""COMPUTED_VALUE"""),34.0)</f>
        <v>34</v>
      </c>
      <c r="I18" s="93" t="str">
        <f>IFERROR(__xludf.DUMMYFUNCTION("""COMPUTED_VALUE"""),"L")</f>
        <v>L</v>
      </c>
      <c r="J18" s="92">
        <f>IFERROR(__xludf.DUMMYFUNCTION("""COMPUTED_VALUE"""),78.0)</f>
        <v>78</v>
      </c>
      <c r="K18" s="95" t="str">
        <f>IFERROR(__xludf.DUMMYFUNCTION("""COMPUTED_VALUE"""),"L")</f>
        <v>L</v>
      </c>
      <c r="L18" s="92">
        <f>IFERROR(__xludf.DUMMYFUNCTION("""COMPUTED_VALUE"""),108.0)</f>
        <v>108</v>
      </c>
      <c r="M18" s="95" t="str">
        <f>IFERROR(__xludf.DUMMYFUNCTION("""COMPUTED_VALUE"""),"L")</f>
        <v>L</v>
      </c>
      <c r="O18" s="96">
        <f>IFERROR(__xludf.DUMMYFUNCTION("""COMPUTED_VALUE"""),0.0)</f>
        <v>0</v>
      </c>
      <c r="P18" s="98">
        <f>IFERROR(__xludf.DUMMYFUNCTION("""COMPUTED_VALUE"""),0.0)</f>
        <v>0</v>
      </c>
      <c r="Q18" s="98">
        <f>IFERROR(__xludf.DUMMYFUNCTION("""COMPUTED_VALUE"""),5.0)</f>
        <v>5</v>
      </c>
      <c r="R18" s="127">
        <f>IFERROR(__xludf.DUMMYFUNCTION("""COMPUTED_VALUE"""),0.0)</f>
        <v>0</v>
      </c>
      <c r="S18" s="103">
        <f>IFERROR(__xludf.DUMMYFUNCTION("""COMPUTED_VALUE"""),272.0)</f>
        <v>272</v>
      </c>
      <c r="T18" s="105">
        <f>IFERROR(__xludf.DUMMYFUNCTION("""COMPUTED_VALUE"""),54.4)</f>
        <v>54.4</v>
      </c>
      <c r="U18" s="107" t="str">
        <f>IFERROR(__xludf.DUMMYFUNCTION("""COMPUTED_VALUE"""),"6")</f>
        <v>6</v>
      </c>
      <c r="V18" s="109" t="str">
        <f>IFERROR(__xludf.DUMMYFUNCTION("""COMPUTED_VALUE"""),"Canyon Crest")</f>
        <v>Canyon Crest</v>
      </c>
      <c r="W18" s="111"/>
      <c r="X18" s="31"/>
      <c r="Y18" s="31"/>
      <c r="Z18" s="31"/>
      <c r="AA18" s="31"/>
      <c r="AB18" s="13"/>
      <c r="AC18" s="29"/>
      <c r="AD18" s="29"/>
      <c r="AE18" s="31"/>
      <c r="AF18" s="29"/>
      <c r="AG18" s="31"/>
      <c r="AH18" s="69"/>
      <c r="AI18" s="31"/>
      <c r="AJ18" s="31"/>
      <c r="AK18" s="31"/>
      <c r="AL18" s="31"/>
      <c r="AM18" s="31"/>
      <c r="AN18" s="31"/>
      <c r="AO18" s="31"/>
      <c r="AP18" s="31"/>
      <c r="AQ18" s="31"/>
      <c r="AR18" s="31"/>
    </row>
    <row r="19" ht="18.75" customHeight="1">
      <c r="A19" s="116" t="str">
        <f>IFERROR(__xludf.DUMMYFUNCTION("""COMPUTED_VALUE"""),"Interlake B")</f>
        <v>Interlake B</v>
      </c>
      <c r="B19" s="117">
        <f>IFERROR(__xludf.DUMMYFUNCTION("""COMPUTED_VALUE"""),198.0)</f>
        <v>198</v>
      </c>
      <c r="C19" s="118" t="str">
        <f>IFERROR(__xludf.DUMMYFUNCTION("""COMPUTED_VALUE"""),"W")</f>
        <v>W</v>
      </c>
      <c r="D19" s="120"/>
      <c r="E19" s="121"/>
      <c r="F19" s="92">
        <f>IFERROR(__xludf.DUMMYFUNCTION("""COMPUTED_VALUE"""),152.0)</f>
        <v>152</v>
      </c>
      <c r="G19" s="118" t="str">
        <f>IFERROR(__xludf.DUMMYFUNCTION("""COMPUTED_VALUE"""),"W")</f>
        <v>W</v>
      </c>
      <c r="H19" s="92">
        <f>IFERROR(__xludf.DUMMYFUNCTION("""COMPUTED_VALUE"""),64.0)</f>
        <v>64</v>
      </c>
      <c r="I19" s="118" t="str">
        <f>IFERROR(__xludf.DUMMYFUNCTION("""COMPUTED_VALUE"""),"L")</f>
        <v>L</v>
      </c>
      <c r="J19" s="92">
        <f>IFERROR(__xludf.DUMMYFUNCTION("""COMPUTED_VALUE"""),116.0)</f>
        <v>116</v>
      </c>
      <c r="K19" s="125" t="str">
        <f>IFERROR(__xludf.DUMMYFUNCTION("""COMPUTED_VALUE"""),"W")</f>
        <v>W</v>
      </c>
      <c r="L19" s="92">
        <f>IFERROR(__xludf.DUMMYFUNCTION("""COMPUTED_VALUE"""),82.0)</f>
        <v>82</v>
      </c>
      <c r="M19" s="95" t="str">
        <f>IFERROR(__xludf.DUMMYFUNCTION("""COMPUTED_VALUE"""),"L")</f>
        <v>L</v>
      </c>
      <c r="O19" s="96">
        <f>IFERROR(__xludf.DUMMYFUNCTION("""COMPUTED_VALUE"""),3.0)</f>
        <v>3</v>
      </c>
      <c r="P19" s="98">
        <f>IFERROR(__xludf.DUMMYFUNCTION("""COMPUTED_VALUE"""),0.0)</f>
        <v>0</v>
      </c>
      <c r="Q19" s="98">
        <f>IFERROR(__xludf.DUMMYFUNCTION("""COMPUTED_VALUE"""),2.0)</f>
        <v>2</v>
      </c>
      <c r="R19" s="127">
        <f>IFERROR(__xludf.DUMMYFUNCTION("""COMPUTED_VALUE"""),3.0)</f>
        <v>3</v>
      </c>
      <c r="S19" s="103">
        <f>IFERROR(__xludf.DUMMYFUNCTION("""COMPUTED_VALUE"""),612.0)</f>
        <v>612</v>
      </c>
      <c r="T19" s="105">
        <f>IFERROR(__xludf.DUMMYFUNCTION("""COMPUTED_VALUE"""),122.4)</f>
        <v>122.4</v>
      </c>
      <c r="U19" s="107" t="str">
        <f>IFERROR(__xludf.DUMMYFUNCTION("""COMPUTED_VALUE"""),"2")</f>
        <v>2</v>
      </c>
      <c r="V19" s="109" t="str">
        <f>IFERROR(__xludf.DUMMYFUNCTION("""COMPUTED_VALUE"""),"Interlake B")</f>
        <v>Interlake B</v>
      </c>
      <c r="W19" s="111"/>
      <c r="X19" s="31"/>
      <c r="Y19" s="31"/>
      <c r="Z19" s="31"/>
      <c r="AA19" s="31"/>
      <c r="AB19" s="31"/>
      <c r="AC19" s="29"/>
      <c r="AD19" s="29"/>
      <c r="AE19" s="31"/>
      <c r="AF19" s="29"/>
      <c r="AG19" s="31"/>
      <c r="AH19" s="69"/>
      <c r="AI19" s="31"/>
      <c r="AJ19" s="31"/>
      <c r="AK19" s="31"/>
      <c r="AL19" s="31"/>
      <c r="AM19" s="31"/>
      <c r="AN19" s="31"/>
      <c r="AO19" s="31"/>
      <c r="AP19" s="31"/>
      <c r="AQ19" s="31"/>
      <c r="AR19" s="31"/>
    </row>
    <row r="20" ht="18.75" customHeight="1">
      <c r="A20" s="116" t="str">
        <f>IFERROR(__xludf.DUMMYFUNCTION("""COMPUTED_VALUE"""),"Naperville North")</f>
        <v>Naperville North</v>
      </c>
      <c r="B20" s="117">
        <f>IFERROR(__xludf.DUMMYFUNCTION("""COMPUTED_VALUE"""),66.0)</f>
        <v>66</v>
      </c>
      <c r="C20" s="118" t="str">
        <f>IFERROR(__xludf.DUMMYFUNCTION("""COMPUTED_VALUE"""),"W")</f>
        <v>W</v>
      </c>
      <c r="D20" s="133">
        <f>IFERROR(__xludf.DUMMYFUNCTION("""COMPUTED_VALUE"""),58.0)</f>
        <v>58</v>
      </c>
      <c r="E20" s="118" t="str">
        <f>IFERROR(__xludf.DUMMYFUNCTION("""COMPUTED_VALUE"""),"L")</f>
        <v>L</v>
      </c>
      <c r="F20" s="120"/>
      <c r="G20" s="121"/>
      <c r="H20" s="92">
        <f>IFERROR(__xludf.DUMMYFUNCTION("""COMPUTED_VALUE"""),46.0)</f>
        <v>46</v>
      </c>
      <c r="I20" s="118" t="str">
        <f>IFERROR(__xludf.DUMMYFUNCTION("""COMPUTED_VALUE"""),"L")</f>
        <v>L</v>
      </c>
      <c r="J20" s="92">
        <f>IFERROR(__xludf.DUMMYFUNCTION("""COMPUTED_VALUE"""),88.0)</f>
        <v>88</v>
      </c>
      <c r="K20" s="125" t="str">
        <f>IFERROR(__xludf.DUMMYFUNCTION("""COMPUTED_VALUE"""),"L")</f>
        <v>L</v>
      </c>
      <c r="L20" s="92">
        <f>IFERROR(__xludf.DUMMYFUNCTION("""COMPUTED_VALUE"""),94.0)</f>
        <v>94</v>
      </c>
      <c r="M20" s="95" t="str">
        <f>IFERROR(__xludf.DUMMYFUNCTION("""COMPUTED_VALUE"""),"L")</f>
        <v>L</v>
      </c>
      <c r="O20" s="96">
        <f>IFERROR(__xludf.DUMMYFUNCTION("""COMPUTED_VALUE"""),1.0)</f>
        <v>1</v>
      </c>
      <c r="P20" s="98">
        <f>IFERROR(__xludf.DUMMYFUNCTION("""COMPUTED_VALUE"""),0.0)</f>
        <v>0</v>
      </c>
      <c r="Q20" s="98">
        <f>IFERROR(__xludf.DUMMYFUNCTION("""COMPUTED_VALUE"""),4.0)</f>
        <v>4</v>
      </c>
      <c r="R20" s="127">
        <f>IFERROR(__xludf.DUMMYFUNCTION("""COMPUTED_VALUE"""),1.0)</f>
        <v>1</v>
      </c>
      <c r="S20" s="103">
        <f>IFERROR(__xludf.DUMMYFUNCTION("""COMPUTED_VALUE"""),352.0)</f>
        <v>352</v>
      </c>
      <c r="T20" s="105">
        <f>IFERROR(__xludf.DUMMYFUNCTION("""COMPUTED_VALUE"""),70.4)</f>
        <v>70.4</v>
      </c>
      <c r="U20" s="107" t="str">
        <f>IFERROR(__xludf.DUMMYFUNCTION("""COMPUTED_VALUE"""),"5")</f>
        <v>5</v>
      </c>
      <c r="V20" s="109" t="str">
        <f>IFERROR(__xludf.DUMMYFUNCTION("""COMPUTED_VALUE"""),"Naperville North")</f>
        <v>Naperville North</v>
      </c>
      <c r="W20" s="111"/>
      <c r="X20" s="31"/>
      <c r="Y20" s="31"/>
      <c r="Z20" s="31"/>
      <c r="AA20" s="31"/>
      <c r="AB20" s="31"/>
      <c r="AC20" s="29"/>
      <c r="AD20" s="29"/>
      <c r="AE20" s="31"/>
      <c r="AF20" s="29"/>
      <c r="AG20" s="31"/>
      <c r="AH20" s="69"/>
      <c r="AI20" s="31"/>
      <c r="AJ20" s="31"/>
      <c r="AK20" s="31"/>
      <c r="AL20" s="31"/>
      <c r="AM20" s="31"/>
      <c r="AN20" s="31"/>
      <c r="AO20" s="31"/>
      <c r="AP20" s="31"/>
      <c r="AQ20" s="31"/>
      <c r="AR20" s="31"/>
    </row>
    <row r="21" ht="18.75" customHeight="1">
      <c r="A21" s="116" t="str">
        <f>IFERROR(__xludf.DUMMYFUNCTION("""COMPUTED_VALUE"""),"NoHo")</f>
        <v>NoHo</v>
      </c>
      <c r="B21" s="117">
        <f>IFERROR(__xludf.DUMMYFUNCTION("""COMPUTED_VALUE"""),160.0)</f>
        <v>160</v>
      </c>
      <c r="C21" s="118" t="str">
        <f>IFERROR(__xludf.DUMMYFUNCTION("""COMPUTED_VALUE"""),"W")</f>
        <v>W</v>
      </c>
      <c r="D21" s="133">
        <f>IFERROR(__xludf.DUMMYFUNCTION("""COMPUTED_VALUE"""),90.0)</f>
        <v>90</v>
      </c>
      <c r="E21" s="118" t="str">
        <f>IFERROR(__xludf.DUMMYFUNCTION("""COMPUTED_VALUE"""),"W")</f>
        <v>W</v>
      </c>
      <c r="F21" s="133">
        <f>IFERROR(__xludf.DUMMYFUNCTION("""COMPUTED_VALUE"""),232.0)</f>
        <v>232</v>
      </c>
      <c r="G21" s="118" t="str">
        <f>IFERROR(__xludf.DUMMYFUNCTION("""COMPUTED_VALUE"""),"W")</f>
        <v>W</v>
      </c>
      <c r="H21" s="120"/>
      <c r="I21" s="121"/>
      <c r="J21" s="92">
        <f>IFERROR(__xludf.DUMMYFUNCTION("""COMPUTED_VALUE"""),202.0)</f>
        <v>202</v>
      </c>
      <c r="K21" s="125" t="str">
        <f>IFERROR(__xludf.DUMMYFUNCTION("""COMPUTED_VALUE"""),"W")</f>
        <v>W</v>
      </c>
      <c r="L21" s="92">
        <f>IFERROR(__xludf.DUMMYFUNCTION("""COMPUTED_VALUE"""),170.0)</f>
        <v>170</v>
      </c>
      <c r="M21" s="95" t="str">
        <f>IFERROR(__xludf.DUMMYFUNCTION("""COMPUTED_VALUE"""),"W")</f>
        <v>W</v>
      </c>
      <c r="O21" s="96">
        <f>IFERROR(__xludf.DUMMYFUNCTION("""COMPUTED_VALUE"""),5.0)</f>
        <v>5</v>
      </c>
      <c r="P21" s="98">
        <f>IFERROR(__xludf.DUMMYFUNCTION("""COMPUTED_VALUE"""),0.0)</f>
        <v>0</v>
      </c>
      <c r="Q21" s="98">
        <f>IFERROR(__xludf.DUMMYFUNCTION("""COMPUTED_VALUE"""),0.0)</f>
        <v>0</v>
      </c>
      <c r="R21" s="127">
        <f>IFERROR(__xludf.DUMMYFUNCTION("""COMPUTED_VALUE"""),5.0)</f>
        <v>5</v>
      </c>
      <c r="S21" s="103">
        <f>IFERROR(__xludf.DUMMYFUNCTION("""COMPUTED_VALUE"""),854.0)</f>
        <v>854</v>
      </c>
      <c r="T21" s="105">
        <f>IFERROR(__xludf.DUMMYFUNCTION("""COMPUTED_VALUE"""),170.8)</f>
        <v>170.8</v>
      </c>
      <c r="U21" s="107" t="str">
        <f>IFERROR(__xludf.DUMMYFUNCTION("""COMPUTED_VALUE"""),"1")</f>
        <v>1</v>
      </c>
      <c r="V21" s="109" t="str">
        <f>IFERROR(__xludf.DUMMYFUNCTION("""COMPUTED_VALUE"""),"NoHo")</f>
        <v>NoHo</v>
      </c>
      <c r="W21" s="111"/>
      <c r="X21" s="31"/>
      <c r="Y21" s="31"/>
      <c r="Z21" s="31"/>
      <c r="AA21" s="31"/>
      <c r="AB21" s="31"/>
      <c r="AC21" s="29"/>
      <c r="AD21" s="29"/>
      <c r="AE21" s="31"/>
      <c r="AF21" s="29"/>
      <c r="AG21" s="31"/>
      <c r="AH21" s="69"/>
      <c r="AI21" s="31"/>
      <c r="AJ21" s="31"/>
      <c r="AK21" s="31"/>
      <c r="AL21" s="31"/>
      <c r="AM21" s="31"/>
      <c r="AN21" s="31"/>
      <c r="AO21" s="31"/>
      <c r="AP21" s="31"/>
      <c r="AQ21" s="31"/>
      <c r="AR21" s="31"/>
    </row>
    <row r="22" ht="18.75" customHeight="1">
      <c r="A22" s="116" t="str">
        <f>IFERROR(__xludf.DUMMYFUNCTION("""COMPUTED_VALUE"""),"Seven Lakes")</f>
        <v>Seven Lakes</v>
      </c>
      <c r="B22" s="117">
        <f>IFERROR(__xludf.DUMMYFUNCTION("""COMPUTED_VALUE"""),86.0)</f>
        <v>86</v>
      </c>
      <c r="C22" s="136" t="str">
        <f>IFERROR(__xludf.DUMMYFUNCTION("""COMPUTED_VALUE"""),"W")</f>
        <v>W</v>
      </c>
      <c r="D22" s="133">
        <f>IFERROR(__xludf.DUMMYFUNCTION("""COMPUTED_VALUE"""),104.0)</f>
        <v>104</v>
      </c>
      <c r="E22" s="136" t="str">
        <f>IFERROR(__xludf.DUMMYFUNCTION("""COMPUTED_VALUE"""),"L")</f>
        <v>L</v>
      </c>
      <c r="F22" s="133">
        <f>IFERROR(__xludf.DUMMYFUNCTION("""COMPUTED_VALUE"""),96.0)</f>
        <v>96</v>
      </c>
      <c r="G22" s="136" t="str">
        <f>IFERROR(__xludf.DUMMYFUNCTION("""COMPUTED_VALUE"""),"W")</f>
        <v>W</v>
      </c>
      <c r="H22" s="133">
        <f>IFERROR(__xludf.DUMMYFUNCTION("""COMPUTED_VALUE"""),56.0)</f>
        <v>56</v>
      </c>
      <c r="I22" s="136" t="str">
        <f>IFERROR(__xludf.DUMMYFUNCTION("""COMPUTED_VALUE"""),"L")</f>
        <v>L</v>
      </c>
      <c r="J22" s="137"/>
      <c r="K22" s="138"/>
      <c r="L22" s="92">
        <f>IFERROR(__xludf.DUMMYFUNCTION("""COMPUTED_VALUE"""),146.0)</f>
        <v>146</v>
      </c>
      <c r="M22" s="95" t="str">
        <f>IFERROR(__xludf.DUMMYFUNCTION("""COMPUTED_VALUE"""),"W")</f>
        <v>W</v>
      </c>
      <c r="O22" s="96">
        <f>IFERROR(__xludf.DUMMYFUNCTION("""COMPUTED_VALUE"""),3.0)</f>
        <v>3</v>
      </c>
      <c r="P22" s="98">
        <f>IFERROR(__xludf.DUMMYFUNCTION("""COMPUTED_VALUE"""),0.0)</f>
        <v>0</v>
      </c>
      <c r="Q22" s="98">
        <f>IFERROR(__xludf.DUMMYFUNCTION("""COMPUTED_VALUE"""),2.0)</f>
        <v>2</v>
      </c>
      <c r="R22" s="127">
        <f>IFERROR(__xludf.DUMMYFUNCTION("""COMPUTED_VALUE"""),3.0)</f>
        <v>3</v>
      </c>
      <c r="S22" s="103">
        <f>IFERROR(__xludf.DUMMYFUNCTION("""COMPUTED_VALUE"""),488.0)</f>
        <v>488</v>
      </c>
      <c r="T22" s="105">
        <f>IFERROR(__xludf.DUMMYFUNCTION("""COMPUTED_VALUE"""),97.6)</f>
        <v>97.6</v>
      </c>
      <c r="U22" s="107" t="str">
        <f>IFERROR(__xludf.DUMMYFUNCTION("""COMPUTED_VALUE"""),"4")</f>
        <v>4</v>
      </c>
      <c r="V22" s="109" t="str">
        <f>IFERROR(__xludf.DUMMYFUNCTION("""COMPUTED_VALUE"""),"Seven Lakes")</f>
        <v>Seven Lakes</v>
      </c>
      <c r="W22" s="111"/>
      <c r="X22" s="31"/>
      <c r="Y22" s="31"/>
      <c r="Z22" s="31"/>
      <c r="AA22" s="31"/>
      <c r="AB22" s="31"/>
      <c r="AC22" s="29"/>
      <c r="AD22" s="29"/>
      <c r="AE22" s="31"/>
      <c r="AF22" s="29"/>
      <c r="AG22" s="31"/>
      <c r="AH22" s="69"/>
      <c r="AI22" s="31"/>
      <c r="AJ22" s="31"/>
      <c r="AK22" s="31"/>
      <c r="AL22" s="31"/>
      <c r="AM22" s="31"/>
      <c r="AN22" s="31"/>
      <c r="AO22" s="31"/>
      <c r="AP22" s="31"/>
      <c r="AQ22" s="31"/>
      <c r="AR22" s="31"/>
    </row>
    <row r="23" ht="18.75" customHeight="1">
      <c r="A23" s="116" t="str">
        <f>IFERROR(__xludf.DUMMYFUNCTION("""COMPUTED_VALUE"""),"Westminster")</f>
        <v>Westminster</v>
      </c>
      <c r="B23" s="117">
        <f>IFERROR(__xludf.DUMMYFUNCTION("""COMPUTED_VALUE"""),156.0)</f>
        <v>156</v>
      </c>
      <c r="C23" s="136" t="str">
        <f>IFERROR(__xludf.DUMMYFUNCTION("""COMPUTED_VALUE"""),"W")</f>
        <v>W</v>
      </c>
      <c r="D23" s="133">
        <f>IFERROR(__xludf.DUMMYFUNCTION("""COMPUTED_VALUE"""),102.0)</f>
        <v>102</v>
      </c>
      <c r="E23" s="136" t="str">
        <f>IFERROR(__xludf.DUMMYFUNCTION("""COMPUTED_VALUE"""),"W")</f>
        <v>W</v>
      </c>
      <c r="F23" s="133">
        <f>IFERROR(__xludf.DUMMYFUNCTION("""COMPUTED_VALUE"""),142.0)</f>
        <v>142</v>
      </c>
      <c r="G23" s="118" t="str">
        <f>IFERROR(__xludf.DUMMYFUNCTION("""COMPUTED_VALUE"""),"W")</f>
        <v>W</v>
      </c>
      <c r="H23" s="133">
        <f>IFERROR(__xludf.DUMMYFUNCTION("""COMPUTED_VALUE"""),62.0)</f>
        <v>62</v>
      </c>
      <c r="I23" s="136" t="str">
        <f>IFERROR(__xludf.DUMMYFUNCTION("""COMPUTED_VALUE"""),"L")</f>
        <v>L</v>
      </c>
      <c r="J23" s="133">
        <f>IFERROR(__xludf.DUMMYFUNCTION("""COMPUTED_VALUE"""),104.0)</f>
        <v>104</v>
      </c>
      <c r="K23" s="136" t="str">
        <f>IFERROR(__xludf.DUMMYFUNCTION("""COMPUTED_VALUE"""),"L")</f>
        <v>L</v>
      </c>
      <c r="L23" s="139"/>
      <c r="M23" s="140"/>
      <c r="N23" s="78"/>
      <c r="O23" s="96">
        <f>IFERROR(__xludf.DUMMYFUNCTION("""COMPUTED_VALUE"""),3.0)</f>
        <v>3</v>
      </c>
      <c r="P23" s="98">
        <f>IFERROR(__xludf.DUMMYFUNCTION("""COMPUTED_VALUE"""),0.0)</f>
        <v>0</v>
      </c>
      <c r="Q23" s="98">
        <f>IFERROR(__xludf.DUMMYFUNCTION("""COMPUTED_VALUE"""),2.0)</f>
        <v>2</v>
      </c>
      <c r="R23" s="127">
        <f>IFERROR(__xludf.DUMMYFUNCTION("""COMPUTED_VALUE"""),3.0)</f>
        <v>3</v>
      </c>
      <c r="S23" s="103">
        <f>IFERROR(__xludf.DUMMYFUNCTION("""COMPUTED_VALUE"""),566.0)</f>
        <v>566</v>
      </c>
      <c r="T23" s="105">
        <f>IFERROR(__xludf.DUMMYFUNCTION("""COMPUTED_VALUE"""),113.2)</f>
        <v>113.2</v>
      </c>
      <c r="U23" s="141" t="str">
        <f>IFERROR(__xludf.DUMMYFUNCTION("""COMPUTED_VALUE"""),"3")</f>
        <v>3</v>
      </c>
      <c r="V23" s="109" t="str">
        <f>IFERROR(__xludf.DUMMYFUNCTION("""COMPUTED_VALUE"""),"Westminster")</f>
        <v>Westminster</v>
      </c>
      <c r="W23" s="111"/>
      <c r="X23" s="31"/>
      <c r="Y23" s="29"/>
      <c r="Z23" s="29"/>
      <c r="AA23" s="31"/>
      <c r="AB23" s="31"/>
      <c r="AC23" s="29"/>
      <c r="AD23" s="29"/>
      <c r="AE23" s="31"/>
      <c r="AF23" s="29"/>
      <c r="AG23" s="31"/>
      <c r="AH23" s="69"/>
      <c r="AI23" s="31"/>
      <c r="AJ23" s="31"/>
      <c r="AK23" s="31"/>
      <c r="AL23" s="31"/>
      <c r="AM23" s="31"/>
      <c r="AN23" s="31"/>
      <c r="AO23" s="31"/>
      <c r="AP23" s="31"/>
      <c r="AQ23" s="31"/>
      <c r="AR23" s="31"/>
    </row>
    <row r="24" ht="18.75" customHeight="1">
      <c r="A24" s="14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43"/>
      <c r="W24" s="31"/>
      <c r="X24" s="31"/>
      <c r="Y24" s="31"/>
      <c r="Z24" s="31"/>
      <c r="AA24" s="31"/>
      <c r="AB24" s="31"/>
      <c r="AC24" s="29"/>
      <c r="AD24" s="29"/>
      <c r="AE24" s="31"/>
      <c r="AF24" s="29"/>
      <c r="AG24" s="31"/>
      <c r="AH24" s="69"/>
      <c r="AI24" s="31"/>
      <c r="AJ24" s="31"/>
      <c r="AK24" s="31"/>
      <c r="AL24" s="31"/>
      <c r="AM24" s="31"/>
      <c r="AN24" s="31"/>
      <c r="AO24" s="31"/>
      <c r="AP24" s="31"/>
      <c r="AQ24" s="31"/>
      <c r="AR24" s="31"/>
    </row>
    <row r="25" ht="18.75" customHeight="1">
      <c r="A25" s="29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144"/>
      <c r="S25" s="31"/>
      <c r="T25" s="31"/>
      <c r="U25" s="38"/>
      <c r="V25" s="31"/>
      <c r="W25" s="31"/>
      <c r="X25" s="31"/>
      <c r="Y25" s="31"/>
      <c r="Z25" s="31"/>
      <c r="AA25" s="31"/>
      <c r="AB25" s="31"/>
      <c r="AC25" s="29"/>
      <c r="AD25" s="29"/>
      <c r="AE25" s="31"/>
      <c r="AF25" s="29"/>
      <c r="AG25" s="31"/>
      <c r="AH25" s="69"/>
      <c r="AI25" s="31"/>
      <c r="AJ25" s="31"/>
      <c r="AK25" s="31"/>
      <c r="AL25" s="31"/>
      <c r="AM25" s="31"/>
      <c r="AN25" s="31"/>
      <c r="AO25" s="31"/>
      <c r="AP25" s="31"/>
      <c r="AQ25" s="31"/>
      <c r="AR25" s="31"/>
    </row>
    <row r="26" ht="18.75" customHeight="1">
      <c r="A26" s="29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144"/>
      <c r="S26" s="31"/>
      <c r="T26" s="31"/>
      <c r="U26" s="38"/>
      <c r="V26" s="31"/>
      <c r="W26" s="31"/>
      <c r="X26" s="31"/>
      <c r="Y26" s="31"/>
      <c r="Z26" s="31"/>
      <c r="AA26" s="31"/>
      <c r="AB26" s="31"/>
      <c r="AC26" s="29"/>
      <c r="AD26" s="29"/>
      <c r="AE26" s="31"/>
      <c r="AF26" s="29"/>
      <c r="AG26" s="31"/>
      <c r="AH26" s="69"/>
      <c r="AI26" s="31"/>
      <c r="AJ26" s="31"/>
      <c r="AK26" s="31"/>
      <c r="AL26" s="31"/>
      <c r="AM26" s="31"/>
      <c r="AN26" s="31"/>
      <c r="AO26" s="31"/>
      <c r="AP26" s="31"/>
      <c r="AQ26" s="31"/>
      <c r="AR26" s="31"/>
    </row>
    <row r="27" ht="18.75" customHeight="1">
      <c r="A27" s="47" t="str">
        <f>IFERROR(__xludf.DUMMYFUNCTION("""COMPUTED_VALUE"""),"Curie")</f>
        <v>Curie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50"/>
      <c r="S27" s="13"/>
      <c r="T27" s="13"/>
      <c r="U27" s="52"/>
      <c r="V27" s="13"/>
      <c r="W27" s="31"/>
      <c r="X27" s="31"/>
      <c r="Y27" s="31"/>
      <c r="Z27" s="31"/>
      <c r="AA27" s="31"/>
      <c r="AB27" s="31"/>
      <c r="AC27" s="29"/>
      <c r="AD27" s="29"/>
      <c r="AE27" s="31"/>
      <c r="AF27" s="29"/>
      <c r="AG27" s="31"/>
      <c r="AH27" s="69"/>
      <c r="AI27" s="31"/>
      <c r="AJ27" s="31"/>
      <c r="AK27" s="31"/>
      <c r="AL27" s="31"/>
      <c r="AM27" s="31"/>
      <c r="AN27" s="31"/>
      <c r="AO27" s="31"/>
      <c r="AP27" s="31"/>
      <c r="AQ27" s="31"/>
      <c r="AR27" s="31"/>
    </row>
    <row r="28" ht="18.75" customHeight="1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6"/>
      <c r="W28" s="31"/>
      <c r="X28" s="31"/>
      <c r="Y28" s="31"/>
      <c r="Z28" s="31"/>
      <c r="AA28" s="31"/>
      <c r="AB28" s="31"/>
      <c r="AC28" s="29"/>
      <c r="AD28" s="29"/>
      <c r="AE28" s="31"/>
      <c r="AF28" s="29"/>
      <c r="AG28" s="31"/>
      <c r="AH28" s="69"/>
      <c r="AI28" s="31"/>
      <c r="AJ28" s="31"/>
      <c r="AK28" s="31"/>
      <c r="AL28" s="31"/>
      <c r="AM28" s="31"/>
      <c r="AN28" s="31"/>
      <c r="AO28" s="31"/>
      <c r="AP28" s="31"/>
      <c r="AQ28" s="31"/>
      <c r="AR28" s="31"/>
    </row>
    <row r="29" ht="18.75" customHeight="1">
      <c r="A29" s="70" t="str">
        <f>IFERROR(__xludf.DUMMYFUNCTION("""COMPUTED_VALUE"""),"Team")</f>
        <v>Team</v>
      </c>
      <c r="B29" s="29" t="str">
        <f>IFERROR(__xludf.DUMMYFUNCTION("""COMPUTED_VALUE"""),"Ladue")</f>
        <v>Ladue</v>
      </c>
      <c r="D29" s="71" t="str">
        <f>IFERROR(__xludf.DUMMYFUNCTION("""COMPUTED_VALUE"""),"Lexington A")</f>
        <v>Lexington A</v>
      </c>
      <c r="E29" s="72"/>
      <c r="F29" s="71" t="str">
        <f>IFERROR(__xludf.DUMMYFUNCTION("""COMPUTED_VALUE"""),"Middleton")</f>
        <v>Middleton</v>
      </c>
      <c r="G29" s="72"/>
      <c r="H29" s="71" t="str">
        <f>IFERROR(__xludf.DUMMYFUNCTION("""COMPUTED_VALUE"""),"MSJ")</f>
        <v>MSJ</v>
      </c>
      <c r="I29" s="72"/>
      <c r="J29" s="71" t="str">
        <f>IFERROR(__xludf.DUMMYFUNCTION("""COMPUTED_VALUE"""),"MSMS")</f>
        <v>MSMS</v>
      </c>
      <c r="K29" s="72"/>
      <c r="L29" s="71" t="str">
        <f>IFERROR(__xludf.DUMMYFUNCTION("""COMPUTED_VALUE"""),"Niskayuna")</f>
        <v>Niskayuna</v>
      </c>
      <c r="M29" s="72"/>
      <c r="N29" s="78"/>
      <c r="O29" s="80" t="str">
        <f>IFERROR(__xludf.DUMMYFUNCTION("""COMPUTED_VALUE"""),"W")</f>
        <v>W</v>
      </c>
      <c r="P29" s="80" t="str">
        <f>IFERROR(__xludf.DUMMYFUNCTION("""COMPUTED_VALUE"""),"T")</f>
        <v>T</v>
      </c>
      <c r="Q29" s="80" t="str">
        <f>IFERROR(__xludf.DUMMYFUNCTION("""COMPUTED_VALUE"""),"L")</f>
        <v>L</v>
      </c>
      <c r="R29" s="81" t="str">
        <f>IFERROR(__xludf.DUMMYFUNCTION("""COMPUTED_VALUE"""),"W/L Score")</f>
        <v>W/L Score</v>
      </c>
      <c r="S29" s="80" t="str">
        <f>IFERROR(__xludf.DUMMYFUNCTION("""COMPUTED_VALUE"""),"Points")</f>
        <v>Points</v>
      </c>
      <c r="T29" s="80" t="str">
        <f>IFERROR(__xludf.DUMMYFUNCTION("""COMPUTED_VALUE"""),"Average")</f>
        <v>Average</v>
      </c>
      <c r="U29" s="82" t="str">
        <f>IFERROR(__xludf.DUMMYFUNCTION("""COMPUTED_VALUE"""),"Rank")</f>
        <v>Rank</v>
      </c>
      <c r="V29" s="83"/>
      <c r="W29" s="31"/>
      <c r="X29" s="31"/>
      <c r="Y29" s="31"/>
      <c r="Z29" s="31"/>
      <c r="AA29" s="31"/>
      <c r="AB29" s="31"/>
      <c r="AC29" s="29"/>
      <c r="AD29" s="29"/>
      <c r="AE29" s="31"/>
      <c r="AF29" s="29"/>
      <c r="AG29" s="31"/>
      <c r="AH29" s="69"/>
      <c r="AI29" s="31"/>
      <c r="AJ29" s="31"/>
      <c r="AK29" s="31"/>
      <c r="AL29" s="31"/>
      <c r="AM29" s="31"/>
      <c r="AN29" s="31"/>
      <c r="AO29" s="31"/>
      <c r="AP29" s="31"/>
      <c r="AQ29" s="31"/>
      <c r="AR29" s="31"/>
    </row>
    <row r="30" ht="18.75" customHeight="1">
      <c r="A30" s="85" t="str">
        <f>IFERROR(__xludf.DUMMYFUNCTION("""COMPUTED_VALUE"""),"Ladue")</f>
        <v>Ladue</v>
      </c>
      <c r="B30" s="89"/>
      <c r="C30" s="90"/>
      <c r="D30" s="92">
        <f>IFERROR(__xludf.DUMMYFUNCTION("""COMPUTED_VALUE"""),112.0)</f>
        <v>112</v>
      </c>
      <c r="E30" s="93" t="str">
        <f>IFERROR(__xludf.DUMMYFUNCTION("""COMPUTED_VALUE"""),"L")</f>
        <v>L</v>
      </c>
      <c r="F30" s="92">
        <f>IFERROR(__xludf.DUMMYFUNCTION("""COMPUTED_VALUE"""),52.0)</f>
        <v>52</v>
      </c>
      <c r="G30" s="93" t="str">
        <f>IFERROR(__xludf.DUMMYFUNCTION("""COMPUTED_VALUE"""),"L")</f>
        <v>L</v>
      </c>
      <c r="H30" s="92">
        <f>IFERROR(__xludf.DUMMYFUNCTION("""COMPUTED_VALUE"""),88.0)</f>
        <v>88</v>
      </c>
      <c r="I30" s="93" t="str">
        <f>IFERROR(__xludf.DUMMYFUNCTION("""COMPUTED_VALUE"""),"L")</f>
        <v>L</v>
      </c>
      <c r="J30" s="92">
        <f>IFERROR(__xludf.DUMMYFUNCTION("""COMPUTED_VALUE"""),142.0)</f>
        <v>142</v>
      </c>
      <c r="K30" s="95" t="str">
        <f>IFERROR(__xludf.DUMMYFUNCTION("""COMPUTED_VALUE"""),"W")</f>
        <v>W</v>
      </c>
      <c r="L30" s="92">
        <f>IFERROR(__xludf.DUMMYFUNCTION("""COMPUTED_VALUE"""),114.0)</f>
        <v>114</v>
      </c>
      <c r="M30" s="95" t="str">
        <f>IFERROR(__xludf.DUMMYFUNCTION("""COMPUTED_VALUE"""),"W")</f>
        <v>W</v>
      </c>
      <c r="O30" s="96">
        <f>IFERROR(__xludf.DUMMYFUNCTION("""COMPUTED_VALUE"""),2.0)</f>
        <v>2</v>
      </c>
      <c r="P30" s="98">
        <f>IFERROR(__xludf.DUMMYFUNCTION("""COMPUTED_VALUE"""),0.0)</f>
        <v>0</v>
      </c>
      <c r="Q30" s="98">
        <f>IFERROR(__xludf.DUMMYFUNCTION("""COMPUTED_VALUE"""),3.0)</f>
        <v>3</v>
      </c>
      <c r="R30" s="127">
        <f>IFERROR(__xludf.DUMMYFUNCTION("""COMPUTED_VALUE"""),2.0)</f>
        <v>2</v>
      </c>
      <c r="S30" s="103">
        <f>IFERROR(__xludf.DUMMYFUNCTION("""COMPUTED_VALUE"""),508.0)</f>
        <v>508</v>
      </c>
      <c r="T30" s="105">
        <f>IFERROR(__xludf.DUMMYFUNCTION("""COMPUTED_VALUE"""),101.6)</f>
        <v>101.6</v>
      </c>
      <c r="U30" s="107" t="str">
        <f>IFERROR(__xludf.DUMMYFUNCTION("""COMPUTED_VALUE"""),"4")</f>
        <v>4</v>
      </c>
      <c r="V30" s="109" t="str">
        <f>IFERROR(__xludf.DUMMYFUNCTION("""COMPUTED_VALUE"""),"Ladue")</f>
        <v>Ladue</v>
      </c>
      <c r="W30" s="111"/>
      <c r="X30" s="31"/>
      <c r="Y30" s="31"/>
      <c r="Z30" s="31"/>
      <c r="AA30" s="31"/>
      <c r="AB30" s="31"/>
      <c r="AC30" s="29"/>
      <c r="AD30" s="29"/>
      <c r="AE30" s="31"/>
      <c r="AF30" s="29"/>
      <c r="AG30" s="31"/>
      <c r="AH30" s="69"/>
      <c r="AI30" s="31"/>
      <c r="AJ30" s="31"/>
      <c r="AK30" s="31"/>
      <c r="AL30" s="31"/>
      <c r="AM30" s="31"/>
      <c r="AN30" s="31"/>
      <c r="AO30" s="31"/>
      <c r="AP30" s="31"/>
      <c r="AQ30" s="31"/>
      <c r="AR30" s="31"/>
    </row>
    <row r="31" ht="18.75" customHeight="1">
      <c r="A31" s="116" t="str">
        <f>IFERROR(__xludf.DUMMYFUNCTION("""COMPUTED_VALUE"""),"Lexington A")</f>
        <v>Lexington A</v>
      </c>
      <c r="B31" s="117">
        <f>IFERROR(__xludf.DUMMYFUNCTION("""COMPUTED_VALUE"""),124.0)</f>
        <v>124</v>
      </c>
      <c r="C31" s="118" t="str">
        <f>IFERROR(__xludf.DUMMYFUNCTION("""COMPUTED_VALUE"""),"W")</f>
        <v>W</v>
      </c>
      <c r="D31" s="120"/>
      <c r="E31" s="121"/>
      <c r="F31" s="92">
        <f>IFERROR(__xludf.DUMMYFUNCTION("""COMPUTED_VALUE"""),80.0)</f>
        <v>80</v>
      </c>
      <c r="G31" s="118" t="str">
        <f>IFERROR(__xludf.DUMMYFUNCTION("""COMPUTED_VALUE"""),"L")</f>
        <v>L</v>
      </c>
      <c r="H31" s="92">
        <f>IFERROR(__xludf.DUMMYFUNCTION("""COMPUTED_VALUE"""),106.0)</f>
        <v>106</v>
      </c>
      <c r="I31" s="118" t="str">
        <f>IFERROR(__xludf.DUMMYFUNCTION("""COMPUTED_VALUE"""),"W")</f>
        <v>W</v>
      </c>
      <c r="J31" s="92">
        <f>IFERROR(__xludf.DUMMYFUNCTION("""COMPUTED_VALUE"""),166.0)</f>
        <v>166</v>
      </c>
      <c r="K31" s="125" t="str">
        <f>IFERROR(__xludf.DUMMYFUNCTION("""COMPUTED_VALUE"""),"W")</f>
        <v>W</v>
      </c>
      <c r="L31" s="92">
        <f>IFERROR(__xludf.DUMMYFUNCTION("""COMPUTED_VALUE"""),136.0)</f>
        <v>136</v>
      </c>
      <c r="M31" s="95" t="str">
        <f>IFERROR(__xludf.DUMMYFUNCTION("""COMPUTED_VALUE"""),"W")</f>
        <v>W</v>
      </c>
      <c r="O31" s="96">
        <f>IFERROR(__xludf.DUMMYFUNCTION("""COMPUTED_VALUE"""),4.0)</f>
        <v>4</v>
      </c>
      <c r="P31" s="98">
        <f>IFERROR(__xludf.DUMMYFUNCTION("""COMPUTED_VALUE"""),0.0)</f>
        <v>0</v>
      </c>
      <c r="Q31" s="98">
        <f>IFERROR(__xludf.DUMMYFUNCTION("""COMPUTED_VALUE"""),1.0)</f>
        <v>1</v>
      </c>
      <c r="R31" s="127">
        <f>IFERROR(__xludf.DUMMYFUNCTION("""COMPUTED_VALUE"""),4.0)</f>
        <v>4</v>
      </c>
      <c r="S31" s="103">
        <f>IFERROR(__xludf.DUMMYFUNCTION("""COMPUTED_VALUE"""),612.0)</f>
        <v>612</v>
      </c>
      <c r="T31" s="105">
        <f>IFERROR(__xludf.DUMMYFUNCTION("""COMPUTED_VALUE"""),122.4)</f>
        <v>122.4</v>
      </c>
      <c r="U31" s="107" t="str">
        <f>IFERROR(__xludf.DUMMYFUNCTION("""COMPUTED_VALUE"""),"2")</f>
        <v>2</v>
      </c>
      <c r="V31" s="109" t="str">
        <f>IFERROR(__xludf.DUMMYFUNCTION("""COMPUTED_VALUE"""),"Lexington A")</f>
        <v>Lexington A</v>
      </c>
      <c r="W31" s="111"/>
      <c r="X31" s="31"/>
      <c r="Y31" s="31"/>
      <c r="Z31" s="31"/>
      <c r="AA31" s="31"/>
      <c r="AB31" s="31"/>
      <c r="AC31" s="29"/>
      <c r="AD31" s="29"/>
      <c r="AE31" s="31"/>
      <c r="AF31" s="29"/>
      <c r="AG31" s="31"/>
      <c r="AH31" s="69"/>
      <c r="AI31" s="31"/>
      <c r="AJ31" s="31"/>
      <c r="AK31" s="31"/>
      <c r="AL31" s="31"/>
      <c r="AM31" s="31"/>
      <c r="AN31" s="31"/>
      <c r="AO31" s="31"/>
      <c r="AP31" s="31"/>
      <c r="AQ31" s="31"/>
      <c r="AR31" s="31"/>
    </row>
    <row r="32" ht="18.75" customHeight="1">
      <c r="A32" s="116" t="str">
        <f>IFERROR(__xludf.DUMMYFUNCTION("""COMPUTED_VALUE"""),"Middleton")</f>
        <v>Middleton</v>
      </c>
      <c r="B32" s="117">
        <f>IFERROR(__xludf.DUMMYFUNCTION("""COMPUTED_VALUE"""),84.0)</f>
        <v>84</v>
      </c>
      <c r="C32" s="118" t="str">
        <f>IFERROR(__xludf.DUMMYFUNCTION("""COMPUTED_VALUE"""),"W")</f>
        <v>W</v>
      </c>
      <c r="D32" s="133">
        <f>IFERROR(__xludf.DUMMYFUNCTION("""COMPUTED_VALUE"""),120.0)</f>
        <v>120</v>
      </c>
      <c r="E32" s="118" t="str">
        <f>IFERROR(__xludf.DUMMYFUNCTION("""COMPUTED_VALUE"""),"W")</f>
        <v>W</v>
      </c>
      <c r="F32" s="120"/>
      <c r="G32" s="121"/>
      <c r="H32" s="92">
        <f>IFERROR(__xludf.DUMMYFUNCTION("""COMPUTED_VALUE"""),86.0)</f>
        <v>86</v>
      </c>
      <c r="I32" s="118" t="str">
        <f>IFERROR(__xludf.DUMMYFUNCTION("""COMPUTED_VALUE"""),"L")</f>
        <v>L</v>
      </c>
      <c r="J32" s="92">
        <f>IFERROR(__xludf.DUMMYFUNCTION("""COMPUTED_VALUE"""),168.0)</f>
        <v>168</v>
      </c>
      <c r="K32" s="125" t="str">
        <f>IFERROR(__xludf.DUMMYFUNCTION("""COMPUTED_VALUE"""),"W")</f>
        <v>W</v>
      </c>
      <c r="L32" s="92">
        <f>IFERROR(__xludf.DUMMYFUNCTION("""COMPUTED_VALUE"""),132.0)</f>
        <v>132</v>
      </c>
      <c r="M32" s="95" t="str">
        <f>IFERROR(__xludf.DUMMYFUNCTION("""COMPUTED_VALUE"""),"W")</f>
        <v>W</v>
      </c>
      <c r="O32" s="96">
        <f>IFERROR(__xludf.DUMMYFUNCTION("""COMPUTED_VALUE"""),4.0)</f>
        <v>4</v>
      </c>
      <c r="P32" s="98">
        <f>IFERROR(__xludf.DUMMYFUNCTION("""COMPUTED_VALUE"""),0.0)</f>
        <v>0</v>
      </c>
      <c r="Q32" s="98">
        <f>IFERROR(__xludf.DUMMYFUNCTION("""COMPUTED_VALUE"""),1.0)</f>
        <v>1</v>
      </c>
      <c r="R32" s="127">
        <f>IFERROR(__xludf.DUMMYFUNCTION("""COMPUTED_VALUE"""),4.0)</f>
        <v>4</v>
      </c>
      <c r="S32" s="103">
        <f>IFERROR(__xludf.DUMMYFUNCTION("""COMPUTED_VALUE"""),590.0)</f>
        <v>590</v>
      </c>
      <c r="T32" s="105">
        <f>IFERROR(__xludf.DUMMYFUNCTION("""COMPUTED_VALUE"""),118.0)</f>
        <v>118</v>
      </c>
      <c r="U32" s="107" t="str">
        <f>IFERROR(__xludf.DUMMYFUNCTION("""COMPUTED_VALUE"""),"3")</f>
        <v>3</v>
      </c>
      <c r="V32" s="109" t="str">
        <f>IFERROR(__xludf.DUMMYFUNCTION("""COMPUTED_VALUE"""),"Middleton")</f>
        <v>Middleton</v>
      </c>
      <c r="W32" s="111"/>
      <c r="X32" s="31"/>
      <c r="Y32" s="31"/>
      <c r="Z32" s="31"/>
      <c r="AA32" s="31"/>
      <c r="AB32" s="31"/>
      <c r="AC32" s="29"/>
      <c r="AD32" s="29"/>
      <c r="AE32" s="31"/>
      <c r="AF32" s="29"/>
      <c r="AG32" s="31"/>
      <c r="AH32" s="69"/>
      <c r="AI32" s="31"/>
      <c r="AJ32" s="31"/>
      <c r="AK32" s="31"/>
      <c r="AL32" s="31"/>
      <c r="AM32" s="31"/>
      <c r="AN32" s="31"/>
      <c r="AO32" s="31"/>
      <c r="AP32" s="31"/>
      <c r="AQ32" s="31"/>
      <c r="AR32" s="31"/>
    </row>
    <row r="33" ht="18.75" customHeight="1">
      <c r="A33" s="116" t="str">
        <f>IFERROR(__xludf.DUMMYFUNCTION("""COMPUTED_VALUE"""),"MSJ")</f>
        <v>MSJ</v>
      </c>
      <c r="B33" s="117">
        <f>IFERROR(__xludf.DUMMYFUNCTION("""COMPUTED_VALUE"""),132.0)</f>
        <v>132</v>
      </c>
      <c r="C33" s="118" t="str">
        <f>IFERROR(__xludf.DUMMYFUNCTION("""COMPUTED_VALUE"""),"W")</f>
        <v>W</v>
      </c>
      <c r="D33" s="133">
        <f>IFERROR(__xludf.DUMMYFUNCTION("""COMPUTED_VALUE"""),92.0)</f>
        <v>92</v>
      </c>
      <c r="E33" s="118" t="str">
        <f>IFERROR(__xludf.DUMMYFUNCTION("""COMPUTED_VALUE"""),"L")</f>
        <v>L</v>
      </c>
      <c r="F33" s="133">
        <f>IFERROR(__xludf.DUMMYFUNCTION("""COMPUTED_VALUE"""),170.0)</f>
        <v>170</v>
      </c>
      <c r="G33" s="118" t="str">
        <f>IFERROR(__xludf.DUMMYFUNCTION("""COMPUTED_VALUE"""),"W")</f>
        <v>W</v>
      </c>
      <c r="H33" s="120"/>
      <c r="I33" s="121"/>
      <c r="J33" s="92">
        <f>IFERROR(__xludf.DUMMYFUNCTION("""COMPUTED_VALUE"""),258.0)</f>
        <v>258</v>
      </c>
      <c r="K33" s="125" t="str">
        <f>IFERROR(__xludf.DUMMYFUNCTION("""COMPUTED_VALUE"""),"W")</f>
        <v>W</v>
      </c>
      <c r="L33" s="92">
        <f>IFERROR(__xludf.DUMMYFUNCTION("""COMPUTED_VALUE"""),138.0)</f>
        <v>138</v>
      </c>
      <c r="M33" s="95" t="str">
        <f>IFERROR(__xludf.DUMMYFUNCTION("""COMPUTED_VALUE"""),"W")</f>
        <v>W</v>
      </c>
      <c r="O33" s="96">
        <f>IFERROR(__xludf.DUMMYFUNCTION("""COMPUTED_VALUE"""),4.0)</f>
        <v>4</v>
      </c>
      <c r="P33" s="98">
        <f>IFERROR(__xludf.DUMMYFUNCTION("""COMPUTED_VALUE"""),0.0)</f>
        <v>0</v>
      </c>
      <c r="Q33" s="98">
        <f>IFERROR(__xludf.DUMMYFUNCTION("""COMPUTED_VALUE"""),1.0)</f>
        <v>1</v>
      </c>
      <c r="R33" s="127">
        <f>IFERROR(__xludf.DUMMYFUNCTION("""COMPUTED_VALUE"""),4.0)</f>
        <v>4</v>
      </c>
      <c r="S33" s="103">
        <f>IFERROR(__xludf.DUMMYFUNCTION("""COMPUTED_VALUE"""),790.0)</f>
        <v>790</v>
      </c>
      <c r="T33" s="105">
        <f>IFERROR(__xludf.DUMMYFUNCTION("""COMPUTED_VALUE"""),158.0)</f>
        <v>158</v>
      </c>
      <c r="U33" s="107" t="str">
        <f>IFERROR(__xludf.DUMMYFUNCTION("""COMPUTED_VALUE"""),"1")</f>
        <v>1</v>
      </c>
      <c r="V33" s="109" t="str">
        <f>IFERROR(__xludf.DUMMYFUNCTION("""COMPUTED_VALUE"""),"MSJ")</f>
        <v>MSJ</v>
      </c>
      <c r="W33" s="111"/>
      <c r="X33" s="31"/>
      <c r="Y33" s="31"/>
      <c r="Z33" s="31"/>
      <c r="AA33" s="31"/>
      <c r="AB33" s="31"/>
      <c r="AC33" s="29"/>
      <c r="AD33" s="29"/>
      <c r="AE33" s="31"/>
      <c r="AF33" s="29"/>
      <c r="AG33" s="31"/>
      <c r="AH33" s="69"/>
      <c r="AI33" s="31"/>
      <c r="AJ33" s="31"/>
      <c r="AK33" s="31"/>
      <c r="AL33" s="31"/>
      <c r="AM33" s="31"/>
      <c r="AN33" s="31"/>
      <c r="AO33" s="31"/>
      <c r="AP33" s="31"/>
      <c r="AQ33" s="31"/>
      <c r="AR33" s="31"/>
    </row>
    <row r="34" ht="18.75" customHeight="1">
      <c r="A34" s="116" t="str">
        <f>IFERROR(__xludf.DUMMYFUNCTION("""COMPUTED_VALUE"""),"MSMS")</f>
        <v>MSMS</v>
      </c>
      <c r="B34" s="117">
        <f>IFERROR(__xludf.DUMMYFUNCTION("""COMPUTED_VALUE"""),0.0)</f>
        <v>0</v>
      </c>
      <c r="C34" s="136" t="str">
        <f>IFERROR(__xludf.DUMMYFUNCTION("""COMPUTED_VALUE"""),"L")</f>
        <v>L</v>
      </c>
      <c r="D34" s="133">
        <f>IFERROR(__xludf.DUMMYFUNCTION("""COMPUTED_VALUE"""),0.0)</f>
        <v>0</v>
      </c>
      <c r="E34" s="136" t="str">
        <f>IFERROR(__xludf.DUMMYFUNCTION("""COMPUTED_VALUE"""),"L")</f>
        <v>L</v>
      </c>
      <c r="F34" s="133">
        <f>IFERROR(__xludf.DUMMYFUNCTION("""COMPUTED_VALUE"""),0.0)</f>
        <v>0</v>
      </c>
      <c r="G34" s="136" t="str">
        <f>IFERROR(__xludf.DUMMYFUNCTION("""COMPUTED_VALUE"""),"L")</f>
        <v>L</v>
      </c>
      <c r="H34" s="133">
        <f>IFERROR(__xludf.DUMMYFUNCTION("""COMPUTED_VALUE"""),0.0)</f>
        <v>0</v>
      </c>
      <c r="I34" s="136" t="str">
        <f>IFERROR(__xludf.DUMMYFUNCTION("""COMPUTED_VALUE"""),"L")</f>
        <v>L</v>
      </c>
      <c r="J34" s="137"/>
      <c r="K34" s="138"/>
      <c r="L34" s="92">
        <f>IFERROR(__xludf.DUMMYFUNCTION("""COMPUTED_VALUE"""),4.0)</f>
        <v>4</v>
      </c>
      <c r="M34" s="95" t="str">
        <f>IFERROR(__xludf.DUMMYFUNCTION("""COMPUTED_VALUE"""),"L")</f>
        <v>L</v>
      </c>
      <c r="O34" s="96">
        <f>IFERROR(__xludf.DUMMYFUNCTION("""COMPUTED_VALUE"""),0.0)</f>
        <v>0</v>
      </c>
      <c r="P34" s="98">
        <f>IFERROR(__xludf.DUMMYFUNCTION("""COMPUTED_VALUE"""),0.0)</f>
        <v>0</v>
      </c>
      <c r="Q34" s="98">
        <f>IFERROR(__xludf.DUMMYFUNCTION("""COMPUTED_VALUE"""),5.0)</f>
        <v>5</v>
      </c>
      <c r="R34" s="127">
        <f>IFERROR(__xludf.DUMMYFUNCTION("""COMPUTED_VALUE"""),0.0)</f>
        <v>0</v>
      </c>
      <c r="S34" s="103">
        <f>IFERROR(__xludf.DUMMYFUNCTION("""COMPUTED_VALUE"""),4.0)</f>
        <v>4</v>
      </c>
      <c r="T34" s="105">
        <f>IFERROR(__xludf.DUMMYFUNCTION("""COMPUTED_VALUE"""),0.8)</f>
        <v>0.8</v>
      </c>
      <c r="U34" s="107" t="str">
        <f>IFERROR(__xludf.DUMMYFUNCTION("""COMPUTED_VALUE"""),"6")</f>
        <v>6</v>
      </c>
      <c r="V34" s="109" t="str">
        <f>IFERROR(__xludf.DUMMYFUNCTION("""COMPUTED_VALUE"""),"MSMS")</f>
        <v>MSMS</v>
      </c>
      <c r="W34" s="111"/>
      <c r="X34" s="31"/>
      <c r="Y34" s="31"/>
      <c r="Z34" s="31"/>
      <c r="AA34" s="31"/>
      <c r="AB34" s="31"/>
      <c r="AC34" s="29"/>
      <c r="AD34" s="29"/>
      <c r="AE34" s="31"/>
      <c r="AF34" s="29"/>
      <c r="AG34" s="31"/>
      <c r="AH34" s="69"/>
      <c r="AI34" s="31"/>
      <c r="AJ34" s="31"/>
      <c r="AK34" s="31"/>
      <c r="AL34" s="31"/>
      <c r="AM34" s="31"/>
      <c r="AN34" s="31"/>
      <c r="AO34" s="31"/>
      <c r="AP34" s="31"/>
      <c r="AQ34" s="31"/>
      <c r="AR34" s="31"/>
    </row>
    <row r="35" ht="18.75" customHeight="1">
      <c r="A35" s="116" t="str">
        <f>IFERROR(__xludf.DUMMYFUNCTION("""COMPUTED_VALUE"""),"Niskayuna")</f>
        <v>Niskayuna</v>
      </c>
      <c r="B35" s="117">
        <f>IFERROR(__xludf.DUMMYFUNCTION("""COMPUTED_VALUE"""),86.0)</f>
        <v>86</v>
      </c>
      <c r="C35" s="136" t="str">
        <f>IFERROR(__xludf.DUMMYFUNCTION("""COMPUTED_VALUE"""),"L")</f>
        <v>L</v>
      </c>
      <c r="D35" s="133">
        <f>IFERROR(__xludf.DUMMYFUNCTION("""COMPUTED_VALUE"""),66.0)</f>
        <v>66</v>
      </c>
      <c r="E35" s="136" t="str">
        <f>IFERROR(__xludf.DUMMYFUNCTION("""COMPUTED_VALUE"""),"L")</f>
        <v>L</v>
      </c>
      <c r="F35" s="133">
        <f>IFERROR(__xludf.DUMMYFUNCTION("""COMPUTED_VALUE"""),58.0)</f>
        <v>58</v>
      </c>
      <c r="G35" s="118" t="str">
        <f>IFERROR(__xludf.DUMMYFUNCTION("""COMPUTED_VALUE"""),"L")</f>
        <v>L</v>
      </c>
      <c r="H35" s="133">
        <f>IFERROR(__xludf.DUMMYFUNCTION("""COMPUTED_VALUE"""),24.0)</f>
        <v>24</v>
      </c>
      <c r="I35" s="136" t="str">
        <f>IFERROR(__xludf.DUMMYFUNCTION("""COMPUTED_VALUE"""),"L")</f>
        <v>L</v>
      </c>
      <c r="J35" s="133">
        <f>IFERROR(__xludf.DUMMYFUNCTION("""COMPUTED_VALUE"""),52.0)</f>
        <v>52</v>
      </c>
      <c r="K35" s="136" t="str">
        <f>IFERROR(__xludf.DUMMYFUNCTION("""COMPUTED_VALUE"""),"W")</f>
        <v>W</v>
      </c>
      <c r="L35" s="139"/>
      <c r="M35" s="140"/>
      <c r="N35" s="78"/>
      <c r="O35" s="96">
        <f>IFERROR(__xludf.DUMMYFUNCTION("""COMPUTED_VALUE"""),1.0)</f>
        <v>1</v>
      </c>
      <c r="P35" s="98">
        <f>IFERROR(__xludf.DUMMYFUNCTION("""COMPUTED_VALUE"""),0.0)</f>
        <v>0</v>
      </c>
      <c r="Q35" s="98">
        <f>IFERROR(__xludf.DUMMYFUNCTION("""COMPUTED_VALUE"""),4.0)</f>
        <v>4</v>
      </c>
      <c r="R35" s="127">
        <f>IFERROR(__xludf.DUMMYFUNCTION("""COMPUTED_VALUE"""),1.0)</f>
        <v>1</v>
      </c>
      <c r="S35" s="103">
        <f>IFERROR(__xludf.DUMMYFUNCTION("""COMPUTED_VALUE"""),286.0)</f>
        <v>286</v>
      </c>
      <c r="T35" s="105">
        <f>IFERROR(__xludf.DUMMYFUNCTION("""COMPUTED_VALUE"""),57.2)</f>
        <v>57.2</v>
      </c>
      <c r="U35" s="141" t="str">
        <f>IFERROR(__xludf.DUMMYFUNCTION("""COMPUTED_VALUE"""),"5")</f>
        <v>5</v>
      </c>
      <c r="V35" s="109" t="str">
        <f>IFERROR(__xludf.DUMMYFUNCTION("""COMPUTED_VALUE"""),"Niskayuna")</f>
        <v>Niskayuna</v>
      </c>
      <c r="W35" s="111"/>
      <c r="X35" s="31"/>
      <c r="Y35" s="31"/>
      <c r="Z35" s="31"/>
      <c r="AA35" s="31"/>
      <c r="AB35" s="31"/>
      <c r="AC35" s="29"/>
      <c r="AD35" s="29"/>
      <c r="AE35" s="31"/>
      <c r="AF35" s="29"/>
      <c r="AG35" s="31"/>
      <c r="AH35" s="69"/>
      <c r="AI35" s="31"/>
      <c r="AJ35" s="31"/>
      <c r="AK35" s="31"/>
      <c r="AL35" s="31"/>
      <c r="AM35" s="31"/>
      <c r="AN35" s="31"/>
      <c r="AO35" s="31"/>
      <c r="AP35" s="31"/>
      <c r="AQ35" s="31"/>
      <c r="AR35" s="31"/>
    </row>
    <row r="36" ht="18.75" customHeight="1">
      <c r="A36" s="142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43"/>
      <c r="W36" s="31"/>
      <c r="X36" s="31"/>
      <c r="Y36" s="31"/>
      <c r="Z36" s="31"/>
      <c r="AA36" s="31"/>
      <c r="AB36" s="31"/>
      <c r="AC36" s="29"/>
      <c r="AD36" s="29"/>
      <c r="AE36" s="31"/>
      <c r="AF36" s="29"/>
      <c r="AG36" s="31"/>
      <c r="AH36" s="69"/>
      <c r="AI36" s="31"/>
      <c r="AJ36" s="31"/>
      <c r="AK36" s="31"/>
      <c r="AL36" s="31"/>
      <c r="AM36" s="31"/>
      <c r="AN36" s="31"/>
      <c r="AO36" s="31"/>
      <c r="AP36" s="31"/>
      <c r="AQ36" s="31"/>
      <c r="AR36" s="31"/>
    </row>
    <row r="37" ht="18.75" customHeight="1">
      <c r="A37" s="29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144"/>
      <c r="S37" s="31"/>
      <c r="T37" s="31"/>
      <c r="U37" s="38"/>
      <c r="V37" s="31"/>
      <c r="W37" s="31"/>
      <c r="X37" s="31"/>
      <c r="Y37" s="31"/>
      <c r="Z37" s="31"/>
      <c r="AA37" s="31"/>
      <c r="AB37" s="31"/>
      <c r="AC37" s="29"/>
      <c r="AD37" s="29"/>
      <c r="AE37" s="31"/>
      <c r="AF37" s="29"/>
      <c r="AG37" s="31"/>
      <c r="AH37" s="69"/>
      <c r="AI37" s="31"/>
      <c r="AJ37" s="31"/>
      <c r="AK37" s="31"/>
      <c r="AL37" s="31"/>
      <c r="AM37" s="31"/>
      <c r="AN37" s="31"/>
      <c r="AO37" s="31"/>
      <c r="AP37" s="31"/>
      <c r="AQ37" s="31"/>
      <c r="AR37" s="31"/>
    </row>
    <row r="38" ht="18.75" customHeight="1">
      <c r="A38" s="29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144"/>
      <c r="S38" s="31"/>
      <c r="T38" s="31"/>
      <c r="U38" s="38"/>
      <c r="V38" s="31"/>
      <c r="W38" s="31"/>
      <c r="X38" s="31"/>
      <c r="Y38" s="31"/>
      <c r="Z38" s="31"/>
      <c r="AA38" s="31"/>
      <c r="AB38" s="31"/>
      <c r="AC38" s="29"/>
      <c r="AD38" s="29"/>
      <c r="AE38" s="31"/>
      <c r="AF38" s="29"/>
      <c r="AG38" s="31"/>
      <c r="AH38" s="69"/>
      <c r="AI38" s="31"/>
      <c r="AJ38" s="31"/>
      <c r="AK38" s="31"/>
      <c r="AL38" s="31"/>
      <c r="AM38" s="31"/>
      <c r="AN38" s="31"/>
      <c r="AO38" s="31"/>
      <c r="AP38" s="31"/>
      <c r="AQ38" s="31"/>
      <c r="AR38" s="31"/>
    </row>
    <row r="39" ht="18.75" customHeight="1">
      <c r="A39" s="47" t="str">
        <f>IFERROR(__xludf.DUMMYFUNCTION("""COMPUTED_VALUE"""),"Darwin")</f>
        <v>Darwin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50"/>
      <c r="S39" s="13"/>
      <c r="T39" s="13"/>
      <c r="U39" s="52"/>
      <c r="V39" s="13"/>
      <c r="W39" s="31"/>
      <c r="X39" s="31"/>
      <c r="Y39" s="31"/>
      <c r="Z39" s="31"/>
      <c r="AA39" s="31"/>
      <c r="AB39" s="31"/>
      <c r="AC39" s="29"/>
      <c r="AD39" s="29"/>
      <c r="AE39" s="31"/>
      <c r="AF39" s="29"/>
      <c r="AG39" s="31"/>
      <c r="AH39" s="69"/>
      <c r="AI39" s="31"/>
      <c r="AJ39" s="31"/>
      <c r="AK39" s="31"/>
      <c r="AL39" s="31"/>
      <c r="AM39" s="31"/>
      <c r="AN39" s="31"/>
      <c r="AO39" s="31"/>
      <c r="AP39" s="31"/>
      <c r="AQ39" s="31"/>
      <c r="AR39" s="31"/>
    </row>
    <row r="40" ht="18.75" customHeight="1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6"/>
      <c r="W40" s="31"/>
      <c r="X40" s="31"/>
      <c r="Y40" s="31"/>
      <c r="Z40" s="31"/>
      <c r="AA40" s="31"/>
      <c r="AB40" s="31"/>
      <c r="AC40" s="29"/>
      <c r="AD40" s="29"/>
      <c r="AE40" s="31"/>
      <c r="AF40" s="29"/>
      <c r="AG40" s="31"/>
      <c r="AH40" s="69"/>
      <c r="AI40" s="31"/>
      <c r="AJ40" s="31"/>
      <c r="AK40" s="31"/>
      <c r="AL40" s="31"/>
      <c r="AM40" s="31"/>
      <c r="AN40" s="31"/>
      <c r="AO40" s="31"/>
      <c r="AP40" s="31"/>
      <c r="AQ40" s="31"/>
      <c r="AR40" s="31"/>
    </row>
    <row r="41" ht="18.75" customHeight="1">
      <c r="A41" s="70" t="str">
        <f>IFERROR(__xludf.DUMMYFUNCTION("""COMPUTED_VALUE"""),"Team")</f>
        <v>Team</v>
      </c>
      <c r="B41" s="29" t="str">
        <f>IFERROR(__xludf.DUMMYFUNCTION("""COMPUTED_VALUE"""),"Blair C")</f>
        <v>Blair C</v>
      </c>
      <c r="D41" s="71" t="str">
        <f>IFERROR(__xludf.DUMMYFUNCTION("""COMPUTED_VALUE"""),"Buchholz A")</f>
        <v>Buchholz A</v>
      </c>
      <c r="E41" s="72"/>
      <c r="F41" s="71" t="str">
        <f>IFERROR(__xludf.DUMMYFUNCTION("""COMPUTED_VALUE"""),"Cupertino")</f>
        <v>Cupertino</v>
      </c>
      <c r="G41" s="72"/>
      <c r="H41" s="71" t="str">
        <f>IFERROR(__xludf.DUMMYFUNCTION("""COMPUTED_VALUE"""),"Davidson")</f>
        <v>Davidson</v>
      </c>
      <c r="I41" s="72"/>
      <c r="J41" s="71" t="str">
        <f>IFERROR(__xludf.DUMMYFUNCTION("""COMPUTED_VALUE"""),"NCSSM B")</f>
        <v>NCSSM B</v>
      </c>
      <c r="K41" s="72"/>
      <c r="L41" s="71" t="str">
        <f>IFERROR(__xludf.DUMMYFUNCTION("""COMPUTED_VALUE"""),"Tesla STEM")</f>
        <v>Tesla STEM</v>
      </c>
      <c r="M41" s="72"/>
      <c r="N41" s="78"/>
      <c r="O41" s="80" t="str">
        <f>IFERROR(__xludf.DUMMYFUNCTION("""COMPUTED_VALUE"""),"W")</f>
        <v>W</v>
      </c>
      <c r="P41" s="80" t="str">
        <f>IFERROR(__xludf.DUMMYFUNCTION("""COMPUTED_VALUE"""),"T")</f>
        <v>T</v>
      </c>
      <c r="Q41" s="80" t="str">
        <f>IFERROR(__xludf.DUMMYFUNCTION("""COMPUTED_VALUE"""),"L")</f>
        <v>L</v>
      </c>
      <c r="R41" s="81" t="str">
        <f>IFERROR(__xludf.DUMMYFUNCTION("""COMPUTED_VALUE"""),"W/L Score")</f>
        <v>W/L Score</v>
      </c>
      <c r="S41" s="80" t="str">
        <f>IFERROR(__xludf.DUMMYFUNCTION("""COMPUTED_VALUE"""),"Points")</f>
        <v>Points</v>
      </c>
      <c r="T41" s="80" t="str">
        <f>IFERROR(__xludf.DUMMYFUNCTION("""COMPUTED_VALUE"""),"Average")</f>
        <v>Average</v>
      </c>
      <c r="U41" s="82" t="str">
        <f>IFERROR(__xludf.DUMMYFUNCTION("""COMPUTED_VALUE"""),"Rank")</f>
        <v>Rank</v>
      </c>
      <c r="V41" s="83"/>
      <c r="W41" s="31"/>
      <c r="X41" s="31"/>
      <c r="Y41" s="31"/>
      <c r="Z41" s="31"/>
      <c r="AA41" s="31"/>
      <c r="AB41" s="31"/>
      <c r="AC41" s="29"/>
      <c r="AD41" s="29"/>
      <c r="AE41" s="31"/>
      <c r="AF41" s="29"/>
      <c r="AG41" s="31"/>
      <c r="AH41" s="69"/>
      <c r="AI41" s="31"/>
      <c r="AJ41" s="31"/>
      <c r="AK41" s="31"/>
      <c r="AL41" s="31"/>
      <c r="AM41" s="31"/>
      <c r="AN41" s="31"/>
      <c r="AO41" s="31"/>
      <c r="AP41" s="31"/>
      <c r="AQ41" s="31"/>
      <c r="AR41" s="31"/>
    </row>
    <row r="42" ht="18.75" customHeight="1">
      <c r="A42" s="85" t="str">
        <f>IFERROR(__xludf.DUMMYFUNCTION("""COMPUTED_VALUE"""),"Blair C")</f>
        <v>Blair C</v>
      </c>
      <c r="B42" s="89"/>
      <c r="C42" s="90"/>
      <c r="D42" s="92">
        <f>IFERROR(__xludf.DUMMYFUNCTION("""COMPUTED_VALUE"""),52.0)</f>
        <v>52</v>
      </c>
      <c r="E42" s="93" t="str">
        <f>IFERROR(__xludf.DUMMYFUNCTION("""COMPUTED_VALUE"""),"L")</f>
        <v>L</v>
      </c>
      <c r="F42" s="92">
        <f>IFERROR(__xludf.DUMMYFUNCTION("""COMPUTED_VALUE"""),62.0)</f>
        <v>62</v>
      </c>
      <c r="G42" s="93" t="str">
        <f>IFERROR(__xludf.DUMMYFUNCTION("""COMPUTED_VALUE"""),"W")</f>
        <v>W</v>
      </c>
      <c r="H42" s="92">
        <f>IFERROR(__xludf.DUMMYFUNCTION("""COMPUTED_VALUE"""),68.0)</f>
        <v>68</v>
      </c>
      <c r="I42" s="93" t="str">
        <f>IFERROR(__xludf.DUMMYFUNCTION("""COMPUTED_VALUE"""),"L")</f>
        <v>L</v>
      </c>
      <c r="J42" s="92">
        <f>IFERROR(__xludf.DUMMYFUNCTION("""COMPUTED_VALUE"""),56.0)</f>
        <v>56</v>
      </c>
      <c r="K42" s="95" t="str">
        <f>IFERROR(__xludf.DUMMYFUNCTION("""COMPUTED_VALUE"""),"W")</f>
        <v>W</v>
      </c>
      <c r="L42" s="92">
        <f>IFERROR(__xludf.DUMMYFUNCTION("""COMPUTED_VALUE"""),74.0)</f>
        <v>74</v>
      </c>
      <c r="M42" s="95" t="str">
        <f>IFERROR(__xludf.DUMMYFUNCTION("""COMPUTED_VALUE"""),"L")</f>
        <v>L</v>
      </c>
      <c r="O42" s="96">
        <f>IFERROR(__xludf.DUMMYFUNCTION("""COMPUTED_VALUE"""),2.0)</f>
        <v>2</v>
      </c>
      <c r="P42" s="98">
        <f>IFERROR(__xludf.DUMMYFUNCTION("""COMPUTED_VALUE"""),0.0)</f>
        <v>0</v>
      </c>
      <c r="Q42" s="98">
        <f>IFERROR(__xludf.DUMMYFUNCTION("""COMPUTED_VALUE"""),3.0)</f>
        <v>3</v>
      </c>
      <c r="R42" s="127">
        <f>IFERROR(__xludf.DUMMYFUNCTION("""COMPUTED_VALUE"""),2.0)</f>
        <v>2</v>
      </c>
      <c r="S42" s="103">
        <f>IFERROR(__xludf.DUMMYFUNCTION("""COMPUTED_VALUE"""),312.0)</f>
        <v>312</v>
      </c>
      <c r="T42" s="105">
        <f>IFERROR(__xludf.DUMMYFUNCTION("""COMPUTED_VALUE"""),62.4)</f>
        <v>62.4</v>
      </c>
      <c r="U42" s="107" t="str">
        <f>IFERROR(__xludf.DUMMYFUNCTION("""COMPUTED_VALUE"""),"5")</f>
        <v>5</v>
      </c>
      <c r="V42" s="109" t="str">
        <f>IFERROR(__xludf.DUMMYFUNCTION("""COMPUTED_VALUE"""),"Blair C")</f>
        <v>Blair C</v>
      </c>
      <c r="W42" s="111"/>
      <c r="X42" s="31"/>
      <c r="Y42" s="31"/>
      <c r="Z42" s="31"/>
      <c r="AA42" s="31"/>
      <c r="AB42" s="31"/>
      <c r="AC42" s="29"/>
      <c r="AD42" s="29"/>
      <c r="AE42" s="31"/>
      <c r="AF42" s="29"/>
      <c r="AG42" s="31"/>
      <c r="AH42" s="69"/>
      <c r="AI42" s="31"/>
      <c r="AJ42" s="31"/>
      <c r="AK42" s="31"/>
      <c r="AL42" s="31"/>
      <c r="AM42" s="31"/>
      <c r="AN42" s="31"/>
      <c r="AO42" s="31"/>
      <c r="AP42" s="31"/>
      <c r="AQ42" s="31"/>
      <c r="AR42" s="31"/>
    </row>
    <row r="43" ht="18.75" customHeight="1">
      <c r="A43" s="116" t="str">
        <f>IFERROR(__xludf.DUMMYFUNCTION("""COMPUTED_VALUE"""),"Buchholz A")</f>
        <v>Buchholz A</v>
      </c>
      <c r="B43" s="117">
        <f>IFERROR(__xludf.DUMMYFUNCTION("""COMPUTED_VALUE"""),156.0)</f>
        <v>156</v>
      </c>
      <c r="C43" s="118" t="str">
        <f>IFERROR(__xludf.DUMMYFUNCTION("""COMPUTED_VALUE"""),"W")</f>
        <v>W</v>
      </c>
      <c r="D43" s="120"/>
      <c r="E43" s="121"/>
      <c r="F43" s="92">
        <f>IFERROR(__xludf.DUMMYFUNCTION("""COMPUTED_VALUE"""),98.0)</f>
        <v>98</v>
      </c>
      <c r="G43" s="118" t="str">
        <f>IFERROR(__xludf.DUMMYFUNCTION("""COMPUTED_VALUE"""),"L")</f>
        <v>L</v>
      </c>
      <c r="H43" s="92">
        <f>IFERROR(__xludf.DUMMYFUNCTION("""COMPUTED_VALUE"""),58.0)</f>
        <v>58</v>
      </c>
      <c r="I43" s="118" t="str">
        <f>IFERROR(__xludf.DUMMYFUNCTION("""COMPUTED_VALUE"""),"L")</f>
        <v>L</v>
      </c>
      <c r="J43" s="92">
        <f>IFERROR(__xludf.DUMMYFUNCTION("""COMPUTED_VALUE"""),210.0)</f>
        <v>210</v>
      </c>
      <c r="K43" s="125" t="str">
        <f>IFERROR(__xludf.DUMMYFUNCTION("""COMPUTED_VALUE"""),"W")</f>
        <v>W</v>
      </c>
      <c r="L43" s="92">
        <f>IFERROR(__xludf.DUMMYFUNCTION("""COMPUTED_VALUE"""),108.0)</f>
        <v>108</v>
      </c>
      <c r="M43" s="95" t="str">
        <f>IFERROR(__xludf.DUMMYFUNCTION("""COMPUTED_VALUE"""),"L")</f>
        <v>L</v>
      </c>
      <c r="O43" s="96">
        <f>IFERROR(__xludf.DUMMYFUNCTION("""COMPUTED_VALUE"""),2.0)</f>
        <v>2</v>
      </c>
      <c r="P43" s="98">
        <f>IFERROR(__xludf.DUMMYFUNCTION("""COMPUTED_VALUE"""),0.0)</f>
        <v>0</v>
      </c>
      <c r="Q43" s="98">
        <f>IFERROR(__xludf.DUMMYFUNCTION("""COMPUTED_VALUE"""),3.0)</f>
        <v>3</v>
      </c>
      <c r="R43" s="127">
        <f>IFERROR(__xludf.DUMMYFUNCTION("""COMPUTED_VALUE"""),2.0)</f>
        <v>2</v>
      </c>
      <c r="S43" s="103">
        <f>IFERROR(__xludf.DUMMYFUNCTION("""COMPUTED_VALUE"""),630.0)</f>
        <v>630</v>
      </c>
      <c r="T43" s="105">
        <f>IFERROR(__xludf.DUMMYFUNCTION("""COMPUTED_VALUE"""),126.0)</f>
        <v>126</v>
      </c>
      <c r="U43" s="107" t="str">
        <f>IFERROR(__xludf.DUMMYFUNCTION("""COMPUTED_VALUE"""),"3")</f>
        <v>3</v>
      </c>
      <c r="V43" s="109" t="str">
        <f>IFERROR(__xludf.DUMMYFUNCTION("""COMPUTED_VALUE"""),"Buchholz A")</f>
        <v>Buchholz A</v>
      </c>
      <c r="W43" s="111"/>
      <c r="X43" s="31"/>
      <c r="Y43" s="31"/>
      <c r="Z43" s="31"/>
      <c r="AA43" s="31"/>
      <c r="AB43" s="31"/>
      <c r="AC43" s="29"/>
      <c r="AD43" s="29"/>
      <c r="AE43" s="31"/>
      <c r="AF43" s="29"/>
      <c r="AG43" s="31"/>
      <c r="AH43" s="69"/>
      <c r="AI43" s="31"/>
      <c r="AJ43" s="31"/>
      <c r="AK43" s="31"/>
      <c r="AL43" s="31"/>
      <c r="AM43" s="31"/>
      <c r="AN43" s="31"/>
      <c r="AO43" s="31"/>
      <c r="AP43" s="31"/>
      <c r="AQ43" s="31"/>
      <c r="AR43" s="31"/>
    </row>
    <row r="44" ht="18.75" customHeight="1">
      <c r="A44" s="116" t="str">
        <f>IFERROR(__xludf.DUMMYFUNCTION("""COMPUTED_VALUE"""),"Cupertino")</f>
        <v>Cupertino</v>
      </c>
      <c r="B44" s="117">
        <f>IFERROR(__xludf.DUMMYFUNCTION("""COMPUTED_VALUE"""),58.0)</f>
        <v>58</v>
      </c>
      <c r="C44" s="118" t="str">
        <f>IFERROR(__xludf.DUMMYFUNCTION("""COMPUTED_VALUE"""),"L")</f>
        <v>L</v>
      </c>
      <c r="D44" s="133">
        <f>IFERROR(__xludf.DUMMYFUNCTION("""COMPUTED_VALUE"""),130.0)</f>
        <v>130</v>
      </c>
      <c r="E44" s="118" t="str">
        <f>IFERROR(__xludf.DUMMYFUNCTION("""COMPUTED_VALUE"""),"W")</f>
        <v>W</v>
      </c>
      <c r="F44" s="120"/>
      <c r="G44" s="121"/>
      <c r="H44" s="92">
        <f>IFERROR(__xludf.DUMMYFUNCTION("""COMPUTED_VALUE"""),110.0)</f>
        <v>110</v>
      </c>
      <c r="I44" s="118" t="str">
        <f>IFERROR(__xludf.DUMMYFUNCTION("""COMPUTED_VALUE"""),"L")</f>
        <v>L</v>
      </c>
      <c r="J44" s="92">
        <f>IFERROR(__xludf.DUMMYFUNCTION("""COMPUTED_VALUE"""),130.0)</f>
        <v>130</v>
      </c>
      <c r="K44" s="125" t="str">
        <f>IFERROR(__xludf.DUMMYFUNCTION("""COMPUTED_VALUE"""),"W")</f>
        <v>W</v>
      </c>
      <c r="L44" s="92">
        <f>IFERROR(__xludf.DUMMYFUNCTION("""COMPUTED_VALUE"""),116.0)</f>
        <v>116</v>
      </c>
      <c r="M44" s="95" t="str">
        <f>IFERROR(__xludf.DUMMYFUNCTION("""COMPUTED_VALUE"""),"L")</f>
        <v>L</v>
      </c>
      <c r="O44" s="96">
        <f>IFERROR(__xludf.DUMMYFUNCTION("""COMPUTED_VALUE"""),2.0)</f>
        <v>2</v>
      </c>
      <c r="P44" s="98">
        <f>IFERROR(__xludf.DUMMYFUNCTION("""COMPUTED_VALUE"""),0.0)</f>
        <v>0</v>
      </c>
      <c r="Q44" s="98">
        <f>IFERROR(__xludf.DUMMYFUNCTION("""COMPUTED_VALUE"""),3.0)</f>
        <v>3</v>
      </c>
      <c r="R44" s="127">
        <f>IFERROR(__xludf.DUMMYFUNCTION("""COMPUTED_VALUE"""),2.0)</f>
        <v>2</v>
      </c>
      <c r="S44" s="103">
        <f>IFERROR(__xludf.DUMMYFUNCTION("""COMPUTED_VALUE"""),544.0)</f>
        <v>544</v>
      </c>
      <c r="T44" s="105">
        <f>IFERROR(__xludf.DUMMYFUNCTION("""COMPUTED_VALUE"""),108.8)</f>
        <v>108.8</v>
      </c>
      <c r="U44" s="107" t="str">
        <f>IFERROR(__xludf.DUMMYFUNCTION("""COMPUTED_VALUE"""),"4")</f>
        <v>4</v>
      </c>
      <c r="V44" s="109" t="str">
        <f>IFERROR(__xludf.DUMMYFUNCTION("""COMPUTED_VALUE"""),"Cupertino")</f>
        <v>Cupertino</v>
      </c>
      <c r="W44" s="111"/>
      <c r="X44" s="31"/>
      <c r="Y44" s="31"/>
      <c r="Z44" s="31"/>
      <c r="AA44" s="31"/>
      <c r="AB44" s="31"/>
      <c r="AC44" s="29"/>
      <c r="AD44" s="29"/>
      <c r="AE44" s="31"/>
      <c r="AF44" s="29"/>
      <c r="AG44" s="31"/>
      <c r="AH44" s="69"/>
      <c r="AI44" s="31"/>
      <c r="AJ44" s="31"/>
      <c r="AK44" s="31"/>
      <c r="AL44" s="31"/>
      <c r="AM44" s="31"/>
      <c r="AN44" s="31"/>
      <c r="AO44" s="31"/>
      <c r="AP44" s="31"/>
      <c r="AQ44" s="31"/>
      <c r="AR44" s="31"/>
    </row>
    <row r="45" ht="18.75" customHeight="1">
      <c r="A45" s="116" t="str">
        <f>IFERROR(__xludf.DUMMYFUNCTION("""COMPUTED_VALUE"""),"Davidson")</f>
        <v>Davidson</v>
      </c>
      <c r="B45" s="117">
        <f>IFERROR(__xludf.DUMMYFUNCTION("""COMPUTED_VALUE"""),102.0)</f>
        <v>102</v>
      </c>
      <c r="C45" s="118" t="str">
        <f>IFERROR(__xludf.DUMMYFUNCTION("""COMPUTED_VALUE"""),"W")</f>
        <v>W</v>
      </c>
      <c r="D45" s="133">
        <f>IFERROR(__xludf.DUMMYFUNCTION("""COMPUTED_VALUE"""),120.0)</f>
        <v>120</v>
      </c>
      <c r="E45" s="118" t="str">
        <f>IFERROR(__xludf.DUMMYFUNCTION("""COMPUTED_VALUE"""),"W")</f>
        <v>W</v>
      </c>
      <c r="F45" s="133">
        <f>IFERROR(__xludf.DUMMYFUNCTION("""COMPUTED_VALUE"""),128.0)</f>
        <v>128</v>
      </c>
      <c r="G45" s="118" t="str">
        <f>IFERROR(__xludf.DUMMYFUNCTION("""COMPUTED_VALUE"""),"W")</f>
        <v>W</v>
      </c>
      <c r="H45" s="120"/>
      <c r="I45" s="121"/>
      <c r="J45" s="92">
        <f>IFERROR(__xludf.DUMMYFUNCTION("""COMPUTED_VALUE"""),184.0)</f>
        <v>184</v>
      </c>
      <c r="K45" s="125" t="str">
        <f>IFERROR(__xludf.DUMMYFUNCTION("""COMPUTED_VALUE"""),"W")</f>
        <v>W</v>
      </c>
      <c r="L45" s="92">
        <f>IFERROR(__xludf.DUMMYFUNCTION("""COMPUTED_VALUE"""),66.0)</f>
        <v>66</v>
      </c>
      <c r="M45" s="95" t="str">
        <f>IFERROR(__xludf.DUMMYFUNCTION("""COMPUTED_VALUE"""),"L")</f>
        <v>L</v>
      </c>
      <c r="O45" s="96">
        <f>IFERROR(__xludf.DUMMYFUNCTION("""COMPUTED_VALUE"""),4.0)</f>
        <v>4</v>
      </c>
      <c r="P45" s="98">
        <f>IFERROR(__xludf.DUMMYFUNCTION("""COMPUTED_VALUE"""),0.0)</f>
        <v>0</v>
      </c>
      <c r="Q45" s="98">
        <f>IFERROR(__xludf.DUMMYFUNCTION("""COMPUTED_VALUE"""),1.0)</f>
        <v>1</v>
      </c>
      <c r="R45" s="127">
        <f>IFERROR(__xludf.DUMMYFUNCTION("""COMPUTED_VALUE"""),4.0)</f>
        <v>4</v>
      </c>
      <c r="S45" s="103">
        <f>IFERROR(__xludf.DUMMYFUNCTION("""COMPUTED_VALUE"""),600.0)</f>
        <v>600</v>
      </c>
      <c r="T45" s="105">
        <f>IFERROR(__xludf.DUMMYFUNCTION("""COMPUTED_VALUE"""),120.0)</f>
        <v>120</v>
      </c>
      <c r="U45" s="107" t="str">
        <f>IFERROR(__xludf.DUMMYFUNCTION("""COMPUTED_VALUE"""),"2")</f>
        <v>2</v>
      </c>
      <c r="V45" s="109" t="str">
        <f>IFERROR(__xludf.DUMMYFUNCTION("""COMPUTED_VALUE"""),"Davidson")</f>
        <v>Davidson</v>
      </c>
      <c r="W45" s="111"/>
      <c r="X45" s="31"/>
      <c r="Y45" s="31"/>
      <c r="Z45" s="31"/>
      <c r="AA45" s="31"/>
      <c r="AB45" s="31"/>
      <c r="AC45" s="29"/>
      <c r="AD45" s="29"/>
      <c r="AE45" s="31"/>
      <c r="AF45" s="29"/>
      <c r="AG45" s="31"/>
      <c r="AH45" s="69"/>
      <c r="AI45" s="31"/>
      <c r="AJ45" s="31"/>
      <c r="AK45" s="31"/>
      <c r="AL45" s="31"/>
      <c r="AM45" s="31"/>
      <c r="AN45" s="31"/>
      <c r="AO45" s="31"/>
      <c r="AP45" s="31"/>
      <c r="AQ45" s="31"/>
      <c r="AR45" s="31"/>
    </row>
    <row r="46" ht="18.75" customHeight="1">
      <c r="A46" s="116" t="str">
        <f>IFERROR(__xludf.DUMMYFUNCTION("""COMPUTED_VALUE"""),"NCSSM B")</f>
        <v>NCSSM B</v>
      </c>
      <c r="B46" s="117">
        <f>IFERROR(__xludf.DUMMYFUNCTION("""COMPUTED_VALUE"""),52.0)</f>
        <v>52</v>
      </c>
      <c r="C46" s="136" t="str">
        <f>IFERROR(__xludf.DUMMYFUNCTION("""COMPUTED_VALUE"""),"L")</f>
        <v>L</v>
      </c>
      <c r="D46" s="133">
        <f>IFERROR(__xludf.DUMMYFUNCTION("""COMPUTED_VALUE"""),50.0)</f>
        <v>50</v>
      </c>
      <c r="E46" s="136" t="str">
        <f>IFERROR(__xludf.DUMMYFUNCTION("""COMPUTED_VALUE"""),"L")</f>
        <v>L</v>
      </c>
      <c r="F46" s="133">
        <f>IFERROR(__xludf.DUMMYFUNCTION("""COMPUTED_VALUE"""),22.0)</f>
        <v>22</v>
      </c>
      <c r="G46" s="136" t="str">
        <f>IFERROR(__xludf.DUMMYFUNCTION("""COMPUTED_VALUE"""),"L")</f>
        <v>L</v>
      </c>
      <c r="H46" s="133">
        <f>IFERROR(__xludf.DUMMYFUNCTION("""COMPUTED_VALUE"""),66.0)</f>
        <v>66</v>
      </c>
      <c r="I46" s="136" t="str">
        <f>IFERROR(__xludf.DUMMYFUNCTION("""COMPUTED_VALUE"""),"L")</f>
        <v>L</v>
      </c>
      <c r="J46" s="137"/>
      <c r="K46" s="138"/>
      <c r="L46" s="92">
        <f>IFERROR(__xludf.DUMMYFUNCTION("""COMPUTED_VALUE"""),76.0)</f>
        <v>76</v>
      </c>
      <c r="M46" s="95" t="str">
        <f>IFERROR(__xludf.DUMMYFUNCTION("""COMPUTED_VALUE"""),"L")</f>
        <v>L</v>
      </c>
      <c r="O46" s="96">
        <f>IFERROR(__xludf.DUMMYFUNCTION("""COMPUTED_VALUE"""),0.0)</f>
        <v>0</v>
      </c>
      <c r="P46" s="98">
        <f>IFERROR(__xludf.DUMMYFUNCTION("""COMPUTED_VALUE"""),0.0)</f>
        <v>0</v>
      </c>
      <c r="Q46" s="98">
        <f>IFERROR(__xludf.DUMMYFUNCTION("""COMPUTED_VALUE"""),5.0)</f>
        <v>5</v>
      </c>
      <c r="R46" s="127">
        <f>IFERROR(__xludf.DUMMYFUNCTION("""COMPUTED_VALUE"""),0.0)</f>
        <v>0</v>
      </c>
      <c r="S46" s="103">
        <f>IFERROR(__xludf.DUMMYFUNCTION("""COMPUTED_VALUE"""),266.0)</f>
        <v>266</v>
      </c>
      <c r="T46" s="105">
        <f>IFERROR(__xludf.DUMMYFUNCTION("""COMPUTED_VALUE"""),53.2)</f>
        <v>53.2</v>
      </c>
      <c r="U46" s="107" t="str">
        <f>IFERROR(__xludf.DUMMYFUNCTION("""COMPUTED_VALUE"""),"6")</f>
        <v>6</v>
      </c>
      <c r="V46" s="109" t="str">
        <f>IFERROR(__xludf.DUMMYFUNCTION("""COMPUTED_VALUE"""),"NCSSM B")</f>
        <v>NCSSM B</v>
      </c>
      <c r="W46" s="111"/>
      <c r="X46" s="31"/>
      <c r="Y46" s="31"/>
      <c r="Z46" s="31"/>
      <c r="AA46" s="31"/>
      <c r="AB46" s="31"/>
      <c r="AC46" s="29"/>
      <c r="AD46" s="29"/>
      <c r="AE46" s="31"/>
      <c r="AF46" s="29"/>
      <c r="AG46" s="31"/>
      <c r="AH46" s="69"/>
      <c r="AI46" s="31"/>
      <c r="AJ46" s="31"/>
      <c r="AK46" s="31"/>
      <c r="AL46" s="31"/>
      <c r="AM46" s="31"/>
      <c r="AN46" s="31"/>
      <c r="AO46" s="31"/>
      <c r="AP46" s="31"/>
      <c r="AQ46" s="31"/>
      <c r="AR46" s="31"/>
    </row>
    <row r="47" ht="18.75" customHeight="1">
      <c r="A47" s="116" t="str">
        <f>IFERROR(__xludf.DUMMYFUNCTION("""COMPUTED_VALUE"""),"Tesla STEM")</f>
        <v>Tesla STEM</v>
      </c>
      <c r="B47" s="117">
        <f>IFERROR(__xludf.DUMMYFUNCTION("""COMPUTED_VALUE"""),172.0)</f>
        <v>172</v>
      </c>
      <c r="C47" s="136" t="str">
        <f>IFERROR(__xludf.DUMMYFUNCTION("""COMPUTED_VALUE"""),"W")</f>
        <v>W</v>
      </c>
      <c r="D47" s="133">
        <f>IFERROR(__xludf.DUMMYFUNCTION("""COMPUTED_VALUE"""),132.0)</f>
        <v>132</v>
      </c>
      <c r="E47" s="136" t="str">
        <f>IFERROR(__xludf.DUMMYFUNCTION("""COMPUTED_VALUE"""),"W")</f>
        <v>W</v>
      </c>
      <c r="F47" s="133">
        <f>IFERROR(__xludf.DUMMYFUNCTION("""COMPUTED_VALUE"""),126.0)</f>
        <v>126</v>
      </c>
      <c r="G47" s="118" t="str">
        <f>IFERROR(__xludf.DUMMYFUNCTION("""COMPUTED_VALUE"""),"W")</f>
        <v>W</v>
      </c>
      <c r="H47" s="133">
        <f>IFERROR(__xludf.DUMMYFUNCTION("""COMPUTED_VALUE"""),148.0)</f>
        <v>148</v>
      </c>
      <c r="I47" s="136" t="str">
        <f>IFERROR(__xludf.DUMMYFUNCTION("""COMPUTED_VALUE"""),"W")</f>
        <v>W</v>
      </c>
      <c r="J47" s="133">
        <f>IFERROR(__xludf.DUMMYFUNCTION("""COMPUTED_VALUE"""),84.0)</f>
        <v>84</v>
      </c>
      <c r="K47" s="136" t="str">
        <f>IFERROR(__xludf.DUMMYFUNCTION("""COMPUTED_VALUE"""),"W")</f>
        <v>W</v>
      </c>
      <c r="L47" s="139"/>
      <c r="M47" s="140"/>
      <c r="N47" s="78"/>
      <c r="O47" s="96">
        <f>IFERROR(__xludf.DUMMYFUNCTION("""COMPUTED_VALUE"""),5.0)</f>
        <v>5</v>
      </c>
      <c r="P47" s="98">
        <f>IFERROR(__xludf.DUMMYFUNCTION("""COMPUTED_VALUE"""),0.0)</f>
        <v>0</v>
      </c>
      <c r="Q47" s="98">
        <f>IFERROR(__xludf.DUMMYFUNCTION("""COMPUTED_VALUE"""),0.0)</f>
        <v>0</v>
      </c>
      <c r="R47" s="127">
        <f>IFERROR(__xludf.DUMMYFUNCTION("""COMPUTED_VALUE"""),5.0)</f>
        <v>5</v>
      </c>
      <c r="S47" s="103">
        <f>IFERROR(__xludf.DUMMYFUNCTION("""COMPUTED_VALUE"""),662.0)</f>
        <v>662</v>
      </c>
      <c r="T47" s="105">
        <f>IFERROR(__xludf.DUMMYFUNCTION("""COMPUTED_VALUE"""),132.4)</f>
        <v>132.4</v>
      </c>
      <c r="U47" s="141" t="str">
        <f>IFERROR(__xludf.DUMMYFUNCTION("""COMPUTED_VALUE"""),"1")</f>
        <v>1</v>
      </c>
      <c r="V47" s="109" t="str">
        <f>IFERROR(__xludf.DUMMYFUNCTION("""COMPUTED_VALUE"""),"Tesla STEM")</f>
        <v>Tesla STEM</v>
      </c>
      <c r="W47" s="111"/>
      <c r="X47" s="31"/>
      <c r="Y47" s="31"/>
      <c r="Z47" s="31"/>
      <c r="AA47" s="31"/>
      <c r="AB47" s="31"/>
      <c r="AC47" s="29"/>
      <c r="AD47" s="29"/>
      <c r="AE47" s="31"/>
      <c r="AF47" s="29"/>
      <c r="AG47" s="31"/>
      <c r="AH47" s="69"/>
      <c r="AI47" s="31"/>
      <c r="AJ47" s="31"/>
      <c r="AK47" s="31"/>
      <c r="AL47" s="31"/>
      <c r="AM47" s="31"/>
      <c r="AN47" s="31"/>
      <c r="AO47" s="31"/>
      <c r="AP47" s="31"/>
      <c r="AQ47" s="31"/>
      <c r="AR47" s="31"/>
    </row>
    <row r="48" ht="18.75" customHeight="1">
      <c r="A48" s="142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43"/>
      <c r="W48" s="31"/>
      <c r="X48" s="31"/>
      <c r="Y48" s="31"/>
      <c r="Z48" s="31"/>
      <c r="AA48" s="31"/>
      <c r="AB48" s="31"/>
      <c r="AC48" s="29"/>
      <c r="AD48" s="29"/>
      <c r="AE48" s="31"/>
      <c r="AF48" s="29"/>
      <c r="AG48" s="31"/>
      <c r="AH48" s="69"/>
      <c r="AI48" s="31"/>
      <c r="AJ48" s="31"/>
      <c r="AK48" s="31"/>
      <c r="AL48" s="31"/>
      <c r="AM48" s="31"/>
      <c r="AN48" s="31"/>
      <c r="AO48" s="31"/>
      <c r="AP48" s="31"/>
      <c r="AQ48" s="31"/>
      <c r="AR48" s="31"/>
    </row>
    <row r="49" ht="18.75" customHeight="1">
      <c r="A49" s="29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144"/>
      <c r="S49" s="31"/>
      <c r="T49" s="31"/>
      <c r="U49" s="38"/>
      <c r="V49" s="31"/>
      <c r="W49" s="31"/>
      <c r="X49" s="31"/>
      <c r="Y49" s="31"/>
      <c r="Z49" s="31"/>
      <c r="AA49" s="31"/>
      <c r="AB49" s="31"/>
      <c r="AC49" s="29"/>
      <c r="AD49" s="29"/>
      <c r="AE49" s="31"/>
      <c r="AF49" s="29"/>
      <c r="AG49" s="31"/>
      <c r="AH49" s="69"/>
      <c r="AI49" s="31"/>
      <c r="AJ49" s="31"/>
      <c r="AK49" s="31"/>
      <c r="AL49" s="31"/>
      <c r="AM49" s="31"/>
      <c r="AN49" s="31"/>
      <c r="AO49" s="31"/>
      <c r="AP49" s="31"/>
      <c r="AQ49" s="31"/>
      <c r="AR49" s="31"/>
    </row>
    <row r="50" ht="18.75" customHeight="1">
      <c r="A50" s="29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144"/>
      <c r="S50" s="31"/>
      <c r="T50" s="31"/>
      <c r="U50" s="38"/>
      <c r="V50" s="31"/>
      <c r="W50" s="31"/>
      <c r="X50" s="31"/>
      <c r="Y50" s="31"/>
      <c r="Z50" s="31"/>
      <c r="AA50" s="31"/>
      <c r="AB50" s="31"/>
      <c r="AC50" s="29"/>
      <c r="AD50" s="29"/>
      <c r="AE50" s="31"/>
      <c r="AF50" s="29"/>
      <c r="AG50" s="31"/>
      <c r="AH50" s="69"/>
      <c r="AI50" s="31"/>
      <c r="AJ50" s="31"/>
      <c r="AK50" s="31"/>
      <c r="AL50" s="31"/>
      <c r="AM50" s="31"/>
      <c r="AN50" s="31"/>
      <c r="AO50" s="31"/>
      <c r="AP50" s="31"/>
      <c r="AQ50" s="31"/>
      <c r="AR50" s="31"/>
    </row>
    <row r="51" ht="18.75" customHeight="1">
      <c r="A51" s="47" t="str">
        <f>IFERROR(__xludf.DUMMYFUNCTION("""COMPUTED_VALUE"""),"Einstein")</f>
        <v>Einstein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50"/>
      <c r="S51" s="13"/>
      <c r="T51" s="13"/>
      <c r="U51" s="52"/>
      <c r="V51" s="13"/>
      <c r="W51" s="31"/>
      <c r="X51" s="31"/>
      <c r="Y51" s="31"/>
      <c r="Z51" s="31"/>
      <c r="AA51" s="31"/>
      <c r="AB51" s="31"/>
      <c r="AC51" s="29"/>
      <c r="AD51" s="29"/>
      <c r="AE51" s="31"/>
      <c r="AF51" s="29"/>
      <c r="AG51" s="31"/>
      <c r="AH51" s="69"/>
      <c r="AI51" s="31"/>
      <c r="AJ51" s="31"/>
      <c r="AK51" s="31"/>
      <c r="AL51" s="31"/>
      <c r="AM51" s="31"/>
      <c r="AN51" s="31"/>
      <c r="AO51" s="31"/>
      <c r="AP51" s="31"/>
      <c r="AQ51" s="31"/>
      <c r="AR51" s="31"/>
    </row>
    <row r="52" ht="18.75" customHeight="1">
      <c r="A52" s="61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6"/>
      <c r="W52" s="31"/>
      <c r="X52" s="31"/>
      <c r="Y52" s="31"/>
      <c r="Z52" s="31"/>
      <c r="AA52" s="31"/>
      <c r="AB52" s="31"/>
      <c r="AC52" s="29"/>
      <c r="AD52" s="29"/>
      <c r="AE52" s="31"/>
      <c r="AF52" s="29"/>
      <c r="AG52" s="31"/>
      <c r="AH52" s="69"/>
      <c r="AI52" s="31"/>
      <c r="AJ52" s="31"/>
      <c r="AK52" s="31"/>
      <c r="AL52" s="31"/>
      <c r="AM52" s="31"/>
      <c r="AN52" s="31"/>
      <c r="AO52" s="31"/>
      <c r="AP52" s="31"/>
      <c r="AQ52" s="31"/>
      <c r="AR52" s="31"/>
    </row>
    <row r="53" ht="18.75" customHeight="1">
      <c r="A53" s="70" t="str">
        <f>IFERROR(__xludf.DUMMYFUNCTION("""COMPUTED_VALUE"""),"Team")</f>
        <v>Team</v>
      </c>
      <c r="B53" s="29" t="str">
        <f>IFERROR(__xludf.DUMMYFUNCTION("""COMPUTED_VALUE"""),"Blair A")</f>
        <v>Blair A</v>
      </c>
      <c r="D53" s="71" t="str">
        <f>IFERROR(__xludf.DUMMYFUNCTION("""COMPUTED_VALUE"""),"Buchholz B")</f>
        <v>Buchholz B</v>
      </c>
      <c r="E53" s="72"/>
      <c r="F53" s="71" t="str">
        <f>IFERROR(__xludf.DUMMYFUNCTION("""COMPUTED_VALUE"""),"Green Hope")</f>
        <v>Green Hope</v>
      </c>
      <c r="G53" s="72"/>
      <c r="H53" s="71" t="str">
        <f>IFERROR(__xludf.DUMMYFUNCTION("""COMPUTED_VALUE"""),"Lynbrook")</f>
        <v>Lynbrook</v>
      </c>
      <c r="I53" s="72"/>
      <c r="J53" s="71" t="str">
        <f>IFERROR(__xludf.DUMMYFUNCTION("""COMPUTED_VALUE"""),"Pullman")</f>
        <v>Pullman</v>
      </c>
      <c r="K53" s="72"/>
      <c r="L53" s="71" t="str">
        <f>IFERROR(__xludf.DUMMYFUNCTION("""COMPUTED_VALUE"""),"University")</f>
        <v>University</v>
      </c>
      <c r="M53" s="72"/>
      <c r="N53" s="78"/>
      <c r="O53" s="80" t="str">
        <f>IFERROR(__xludf.DUMMYFUNCTION("""COMPUTED_VALUE"""),"W")</f>
        <v>W</v>
      </c>
      <c r="P53" s="80" t="str">
        <f>IFERROR(__xludf.DUMMYFUNCTION("""COMPUTED_VALUE"""),"T")</f>
        <v>T</v>
      </c>
      <c r="Q53" s="80" t="str">
        <f>IFERROR(__xludf.DUMMYFUNCTION("""COMPUTED_VALUE"""),"L")</f>
        <v>L</v>
      </c>
      <c r="R53" s="81" t="str">
        <f>IFERROR(__xludf.DUMMYFUNCTION("""COMPUTED_VALUE"""),"W/L Score")</f>
        <v>W/L Score</v>
      </c>
      <c r="S53" s="80" t="str">
        <f>IFERROR(__xludf.DUMMYFUNCTION("""COMPUTED_VALUE"""),"Points")</f>
        <v>Points</v>
      </c>
      <c r="T53" s="80" t="str">
        <f>IFERROR(__xludf.DUMMYFUNCTION("""COMPUTED_VALUE"""),"Average")</f>
        <v>Average</v>
      </c>
      <c r="U53" s="82" t="str">
        <f>IFERROR(__xludf.DUMMYFUNCTION("""COMPUTED_VALUE"""),"Rank")</f>
        <v>Rank</v>
      </c>
      <c r="V53" s="83"/>
      <c r="W53" s="31"/>
      <c r="X53" s="31"/>
      <c r="Y53" s="31"/>
      <c r="Z53" s="31"/>
      <c r="AA53" s="31"/>
      <c r="AB53" s="31"/>
      <c r="AC53" s="29"/>
      <c r="AD53" s="29"/>
      <c r="AE53" s="31"/>
      <c r="AF53" s="29"/>
      <c r="AG53" s="31"/>
      <c r="AH53" s="69"/>
      <c r="AI53" s="31"/>
      <c r="AJ53" s="31"/>
      <c r="AK53" s="31"/>
      <c r="AL53" s="31"/>
      <c r="AM53" s="31"/>
      <c r="AN53" s="31"/>
      <c r="AO53" s="31"/>
      <c r="AP53" s="31"/>
      <c r="AQ53" s="31"/>
      <c r="AR53" s="31"/>
    </row>
    <row r="54" ht="18.75" customHeight="1">
      <c r="A54" s="85" t="str">
        <f>IFERROR(__xludf.DUMMYFUNCTION("""COMPUTED_VALUE"""),"Blair A")</f>
        <v>Blair A</v>
      </c>
      <c r="B54" s="89"/>
      <c r="C54" s="90"/>
      <c r="D54" s="92">
        <f>IFERROR(__xludf.DUMMYFUNCTION("""COMPUTED_VALUE"""),216.0)</f>
        <v>216</v>
      </c>
      <c r="E54" s="93" t="str">
        <f>IFERROR(__xludf.DUMMYFUNCTION("""COMPUTED_VALUE"""),"W")</f>
        <v>W</v>
      </c>
      <c r="F54" s="92">
        <f>IFERROR(__xludf.DUMMYFUNCTION("""COMPUTED_VALUE"""),122.0)</f>
        <v>122</v>
      </c>
      <c r="G54" s="93" t="str">
        <f>IFERROR(__xludf.DUMMYFUNCTION("""COMPUTED_VALUE"""),"W")</f>
        <v>W</v>
      </c>
      <c r="H54" s="92">
        <f>IFERROR(__xludf.DUMMYFUNCTION("""COMPUTED_VALUE"""),154.0)</f>
        <v>154</v>
      </c>
      <c r="I54" s="93" t="str">
        <f>IFERROR(__xludf.DUMMYFUNCTION("""COMPUTED_VALUE"""),"W")</f>
        <v>W</v>
      </c>
      <c r="J54" s="92">
        <f>IFERROR(__xludf.DUMMYFUNCTION("""COMPUTED_VALUE"""),206.0)</f>
        <v>206</v>
      </c>
      <c r="K54" s="95" t="str">
        <f>IFERROR(__xludf.DUMMYFUNCTION("""COMPUTED_VALUE"""),"W")</f>
        <v>W</v>
      </c>
      <c r="L54" s="92">
        <f>IFERROR(__xludf.DUMMYFUNCTION("""COMPUTED_VALUE"""),124.0)</f>
        <v>124</v>
      </c>
      <c r="M54" s="95" t="str">
        <f>IFERROR(__xludf.DUMMYFUNCTION("""COMPUTED_VALUE"""),"L")</f>
        <v>L</v>
      </c>
      <c r="O54" s="96">
        <f>IFERROR(__xludf.DUMMYFUNCTION("""COMPUTED_VALUE"""),4.0)</f>
        <v>4</v>
      </c>
      <c r="P54" s="98">
        <f>IFERROR(__xludf.DUMMYFUNCTION("""COMPUTED_VALUE"""),0.0)</f>
        <v>0</v>
      </c>
      <c r="Q54" s="98">
        <f>IFERROR(__xludf.DUMMYFUNCTION("""COMPUTED_VALUE"""),1.0)</f>
        <v>1</v>
      </c>
      <c r="R54" s="127">
        <f>IFERROR(__xludf.DUMMYFUNCTION("""COMPUTED_VALUE"""),4.0)</f>
        <v>4</v>
      </c>
      <c r="S54" s="103">
        <f>IFERROR(__xludf.DUMMYFUNCTION("""COMPUTED_VALUE"""),822.0)</f>
        <v>822</v>
      </c>
      <c r="T54" s="105">
        <f>IFERROR(__xludf.DUMMYFUNCTION("""COMPUTED_VALUE"""),164.4)</f>
        <v>164.4</v>
      </c>
      <c r="U54" s="107" t="str">
        <f>IFERROR(__xludf.DUMMYFUNCTION("""COMPUTED_VALUE"""),"2")</f>
        <v>2</v>
      </c>
      <c r="V54" s="109" t="str">
        <f>IFERROR(__xludf.DUMMYFUNCTION("""COMPUTED_VALUE"""),"Blair A")</f>
        <v>Blair A</v>
      </c>
      <c r="W54" s="111"/>
      <c r="X54" s="31"/>
      <c r="Y54" s="31"/>
      <c r="Z54" s="31"/>
      <c r="AA54" s="31"/>
      <c r="AB54" s="31"/>
      <c r="AC54" s="29"/>
      <c r="AD54" s="29"/>
      <c r="AE54" s="31"/>
      <c r="AF54" s="29"/>
      <c r="AG54" s="31"/>
      <c r="AH54" s="69"/>
      <c r="AI54" s="31"/>
      <c r="AJ54" s="31"/>
      <c r="AK54" s="31"/>
      <c r="AL54" s="31"/>
      <c r="AM54" s="31"/>
      <c r="AN54" s="31"/>
      <c r="AO54" s="31"/>
      <c r="AP54" s="31"/>
      <c r="AQ54" s="31"/>
      <c r="AR54" s="31"/>
    </row>
    <row r="55" ht="18.75" customHeight="1">
      <c r="A55" s="116" t="str">
        <f>IFERROR(__xludf.DUMMYFUNCTION("""COMPUTED_VALUE"""),"Buchholz B")</f>
        <v>Buchholz B</v>
      </c>
      <c r="B55" s="117">
        <f>IFERROR(__xludf.DUMMYFUNCTION("""COMPUTED_VALUE"""),62.0)</f>
        <v>62</v>
      </c>
      <c r="C55" s="118" t="str">
        <f>IFERROR(__xludf.DUMMYFUNCTION("""COMPUTED_VALUE"""),"L")</f>
        <v>L</v>
      </c>
      <c r="D55" s="120"/>
      <c r="E55" s="121"/>
      <c r="F55" s="92">
        <f>IFERROR(__xludf.DUMMYFUNCTION("""COMPUTED_VALUE"""),66.0)</f>
        <v>66</v>
      </c>
      <c r="G55" s="118" t="str">
        <f>IFERROR(__xludf.DUMMYFUNCTION("""COMPUTED_VALUE"""),"L")</f>
        <v>L</v>
      </c>
      <c r="H55" s="92">
        <f>IFERROR(__xludf.DUMMYFUNCTION("""COMPUTED_VALUE"""),56.0)</f>
        <v>56</v>
      </c>
      <c r="I55" s="118" t="str">
        <f>IFERROR(__xludf.DUMMYFUNCTION("""COMPUTED_VALUE"""),"L")</f>
        <v>L</v>
      </c>
      <c r="J55" s="92">
        <f>IFERROR(__xludf.DUMMYFUNCTION("""COMPUTED_VALUE"""),126.0)</f>
        <v>126</v>
      </c>
      <c r="K55" s="125" t="str">
        <f>IFERROR(__xludf.DUMMYFUNCTION("""COMPUTED_VALUE"""),"W")</f>
        <v>W</v>
      </c>
      <c r="L55" s="92">
        <f>IFERROR(__xludf.DUMMYFUNCTION("""COMPUTED_VALUE"""),24.0)</f>
        <v>24</v>
      </c>
      <c r="M55" s="95" t="str">
        <f>IFERROR(__xludf.DUMMYFUNCTION("""COMPUTED_VALUE"""),"L")</f>
        <v>L</v>
      </c>
      <c r="O55" s="96">
        <f>IFERROR(__xludf.DUMMYFUNCTION("""COMPUTED_VALUE"""),1.0)</f>
        <v>1</v>
      </c>
      <c r="P55" s="98">
        <f>IFERROR(__xludf.DUMMYFUNCTION("""COMPUTED_VALUE"""),0.0)</f>
        <v>0</v>
      </c>
      <c r="Q55" s="98">
        <f>IFERROR(__xludf.DUMMYFUNCTION("""COMPUTED_VALUE"""),4.0)</f>
        <v>4</v>
      </c>
      <c r="R55" s="127">
        <f>IFERROR(__xludf.DUMMYFUNCTION("""COMPUTED_VALUE"""),1.0)</f>
        <v>1</v>
      </c>
      <c r="S55" s="103">
        <f>IFERROR(__xludf.DUMMYFUNCTION("""COMPUTED_VALUE"""),334.0)</f>
        <v>334</v>
      </c>
      <c r="T55" s="105">
        <f>IFERROR(__xludf.DUMMYFUNCTION("""COMPUTED_VALUE"""),66.8)</f>
        <v>66.8</v>
      </c>
      <c r="U55" s="107" t="str">
        <f>IFERROR(__xludf.DUMMYFUNCTION("""COMPUTED_VALUE"""),"5")</f>
        <v>5</v>
      </c>
      <c r="V55" s="109" t="str">
        <f>IFERROR(__xludf.DUMMYFUNCTION("""COMPUTED_VALUE"""),"Buchholz B")</f>
        <v>Buchholz B</v>
      </c>
      <c r="W55" s="111"/>
      <c r="X55" s="31"/>
      <c r="Y55" s="31"/>
      <c r="Z55" s="31"/>
      <c r="AA55" s="31"/>
      <c r="AB55" s="31"/>
      <c r="AC55" s="29"/>
      <c r="AD55" s="29"/>
      <c r="AE55" s="31"/>
      <c r="AF55" s="29"/>
      <c r="AG55" s="31"/>
      <c r="AH55" s="69"/>
      <c r="AI55" s="31"/>
      <c r="AJ55" s="31"/>
      <c r="AK55" s="31"/>
      <c r="AL55" s="31"/>
      <c r="AM55" s="31"/>
      <c r="AN55" s="31"/>
      <c r="AO55" s="31"/>
      <c r="AP55" s="31"/>
      <c r="AQ55" s="31"/>
      <c r="AR55" s="31"/>
    </row>
    <row r="56" ht="18.75" customHeight="1">
      <c r="A56" s="116" t="str">
        <f>IFERROR(__xludf.DUMMYFUNCTION("""COMPUTED_VALUE"""),"Green Hope")</f>
        <v>Green Hope</v>
      </c>
      <c r="B56" s="117">
        <f>IFERROR(__xludf.DUMMYFUNCTION("""COMPUTED_VALUE"""),52.0)</f>
        <v>52</v>
      </c>
      <c r="C56" s="118" t="str">
        <f>IFERROR(__xludf.DUMMYFUNCTION("""COMPUTED_VALUE"""),"L")</f>
        <v>L</v>
      </c>
      <c r="D56" s="133">
        <f>IFERROR(__xludf.DUMMYFUNCTION("""COMPUTED_VALUE"""),100.0)</f>
        <v>100</v>
      </c>
      <c r="E56" s="118" t="str">
        <f>IFERROR(__xludf.DUMMYFUNCTION("""COMPUTED_VALUE"""),"W")</f>
        <v>W</v>
      </c>
      <c r="F56" s="120"/>
      <c r="G56" s="121"/>
      <c r="H56" s="92">
        <f>IFERROR(__xludf.DUMMYFUNCTION("""COMPUTED_VALUE"""),72.0)</f>
        <v>72</v>
      </c>
      <c r="I56" s="118" t="str">
        <f>IFERROR(__xludf.DUMMYFUNCTION("""COMPUTED_VALUE"""),"L")</f>
        <v>L</v>
      </c>
      <c r="J56" s="92">
        <f>IFERROR(__xludf.DUMMYFUNCTION("""COMPUTED_VALUE"""),92.0)</f>
        <v>92</v>
      </c>
      <c r="K56" s="125" t="str">
        <f>IFERROR(__xludf.DUMMYFUNCTION("""COMPUTED_VALUE"""),"W")</f>
        <v>W</v>
      </c>
      <c r="L56" s="92">
        <f>IFERROR(__xludf.DUMMYFUNCTION("""COMPUTED_VALUE"""),76.0)</f>
        <v>76</v>
      </c>
      <c r="M56" s="95" t="str">
        <f>IFERROR(__xludf.DUMMYFUNCTION("""COMPUTED_VALUE"""),"L")</f>
        <v>L</v>
      </c>
      <c r="O56" s="96">
        <f>IFERROR(__xludf.DUMMYFUNCTION("""COMPUTED_VALUE"""),2.0)</f>
        <v>2</v>
      </c>
      <c r="P56" s="98">
        <f>IFERROR(__xludf.DUMMYFUNCTION("""COMPUTED_VALUE"""),0.0)</f>
        <v>0</v>
      </c>
      <c r="Q56" s="98">
        <f>IFERROR(__xludf.DUMMYFUNCTION("""COMPUTED_VALUE"""),3.0)</f>
        <v>3</v>
      </c>
      <c r="R56" s="127">
        <f>IFERROR(__xludf.DUMMYFUNCTION("""COMPUTED_VALUE"""),2.0)</f>
        <v>2</v>
      </c>
      <c r="S56" s="103">
        <f>IFERROR(__xludf.DUMMYFUNCTION("""COMPUTED_VALUE"""),392.0)</f>
        <v>392</v>
      </c>
      <c r="T56" s="105">
        <f>IFERROR(__xludf.DUMMYFUNCTION("""COMPUTED_VALUE"""),78.4)</f>
        <v>78.4</v>
      </c>
      <c r="U56" s="107" t="str">
        <f>IFERROR(__xludf.DUMMYFUNCTION("""COMPUTED_VALUE"""),"4")</f>
        <v>4</v>
      </c>
      <c r="V56" s="109" t="str">
        <f>IFERROR(__xludf.DUMMYFUNCTION("""COMPUTED_VALUE"""),"Green Hope")</f>
        <v>Green Hope</v>
      </c>
      <c r="W56" s="111"/>
      <c r="X56" s="31"/>
      <c r="Y56" s="31"/>
      <c r="Z56" s="31"/>
      <c r="AA56" s="31"/>
      <c r="AB56" s="31"/>
      <c r="AC56" s="29"/>
      <c r="AD56" s="29"/>
      <c r="AE56" s="31"/>
      <c r="AF56" s="29"/>
      <c r="AG56" s="31"/>
      <c r="AH56" s="69"/>
      <c r="AI56" s="31"/>
      <c r="AJ56" s="31"/>
      <c r="AK56" s="31"/>
      <c r="AL56" s="31"/>
      <c r="AM56" s="31"/>
      <c r="AN56" s="31"/>
      <c r="AO56" s="31"/>
      <c r="AP56" s="31"/>
      <c r="AQ56" s="31"/>
      <c r="AR56" s="31"/>
    </row>
    <row r="57" ht="18.75" customHeight="1">
      <c r="A57" s="116" t="str">
        <f>IFERROR(__xludf.DUMMYFUNCTION("""COMPUTED_VALUE"""),"Lynbrook")</f>
        <v>Lynbrook</v>
      </c>
      <c r="B57" s="117">
        <f>IFERROR(__xludf.DUMMYFUNCTION("""COMPUTED_VALUE"""),104.0)</f>
        <v>104</v>
      </c>
      <c r="C57" s="118" t="str">
        <f>IFERROR(__xludf.DUMMYFUNCTION("""COMPUTED_VALUE"""),"L")</f>
        <v>L</v>
      </c>
      <c r="D57" s="133">
        <f>IFERROR(__xludf.DUMMYFUNCTION("""COMPUTED_VALUE"""),98.0)</f>
        <v>98</v>
      </c>
      <c r="E57" s="118" t="str">
        <f>IFERROR(__xludf.DUMMYFUNCTION("""COMPUTED_VALUE"""),"W")</f>
        <v>W</v>
      </c>
      <c r="F57" s="133">
        <f>IFERROR(__xludf.DUMMYFUNCTION("""COMPUTED_VALUE"""),156.0)</f>
        <v>156</v>
      </c>
      <c r="G57" s="118" t="str">
        <f>IFERROR(__xludf.DUMMYFUNCTION("""COMPUTED_VALUE"""),"W")</f>
        <v>W</v>
      </c>
      <c r="H57" s="120"/>
      <c r="I57" s="121"/>
      <c r="J57" s="92">
        <f>IFERROR(__xludf.DUMMYFUNCTION("""COMPUTED_VALUE"""),174.0)</f>
        <v>174</v>
      </c>
      <c r="K57" s="125" t="str">
        <f>IFERROR(__xludf.DUMMYFUNCTION("""COMPUTED_VALUE"""),"W")</f>
        <v>W</v>
      </c>
      <c r="L57" s="92">
        <f>IFERROR(__xludf.DUMMYFUNCTION("""COMPUTED_VALUE"""),88.0)</f>
        <v>88</v>
      </c>
      <c r="M57" s="95" t="str">
        <f>IFERROR(__xludf.DUMMYFUNCTION("""COMPUTED_VALUE"""),"L")</f>
        <v>L</v>
      </c>
      <c r="O57" s="96">
        <f>IFERROR(__xludf.DUMMYFUNCTION("""COMPUTED_VALUE"""),3.0)</f>
        <v>3</v>
      </c>
      <c r="P57" s="98">
        <f>IFERROR(__xludf.DUMMYFUNCTION("""COMPUTED_VALUE"""),0.0)</f>
        <v>0</v>
      </c>
      <c r="Q57" s="98">
        <f>IFERROR(__xludf.DUMMYFUNCTION("""COMPUTED_VALUE"""),2.0)</f>
        <v>2</v>
      </c>
      <c r="R57" s="127">
        <f>IFERROR(__xludf.DUMMYFUNCTION("""COMPUTED_VALUE"""),3.0)</f>
        <v>3</v>
      </c>
      <c r="S57" s="103">
        <f>IFERROR(__xludf.DUMMYFUNCTION("""COMPUTED_VALUE"""),620.0)</f>
        <v>620</v>
      </c>
      <c r="T57" s="105">
        <f>IFERROR(__xludf.DUMMYFUNCTION("""COMPUTED_VALUE"""),124.0)</f>
        <v>124</v>
      </c>
      <c r="U57" s="107" t="str">
        <f>IFERROR(__xludf.DUMMYFUNCTION("""COMPUTED_VALUE"""),"3")</f>
        <v>3</v>
      </c>
      <c r="V57" s="109" t="str">
        <f>IFERROR(__xludf.DUMMYFUNCTION("""COMPUTED_VALUE"""),"Lynbrook")</f>
        <v>Lynbrook</v>
      </c>
      <c r="W57" s="111"/>
      <c r="X57" s="31"/>
      <c r="Y57" s="31"/>
      <c r="Z57" s="31"/>
      <c r="AA57" s="31"/>
      <c r="AB57" s="31"/>
      <c r="AC57" s="29"/>
      <c r="AD57" s="29"/>
      <c r="AE57" s="31"/>
      <c r="AF57" s="29"/>
      <c r="AG57" s="31"/>
      <c r="AH57" s="69"/>
      <c r="AI57" s="31"/>
      <c r="AJ57" s="31"/>
      <c r="AK57" s="31"/>
      <c r="AL57" s="31"/>
      <c r="AM57" s="31"/>
      <c r="AN57" s="31"/>
      <c r="AO57" s="31"/>
      <c r="AP57" s="31"/>
      <c r="AQ57" s="31"/>
      <c r="AR57" s="31"/>
    </row>
    <row r="58" ht="18.75" customHeight="1">
      <c r="A58" s="116" t="str">
        <f>IFERROR(__xludf.DUMMYFUNCTION("""COMPUTED_VALUE"""),"Pullman")</f>
        <v>Pullman</v>
      </c>
      <c r="B58" s="117">
        <f>IFERROR(__xludf.DUMMYFUNCTION("""COMPUTED_VALUE"""),54.0)</f>
        <v>54</v>
      </c>
      <c r="C58" s="136" t="str">
        <f>IFERROR(__xludf.DUMMYFUNCTION("""COMPUTED_VALUE"""),"L")</f>
        <v>L</v>
      </c>
      <c r="D58" s="133">
        <f>IFERROR(__xludf.DUMMYFUNCTION("""COMPUTED_VALUE"""),62.0)</f>
        <v>62</v>
      </c>
      <c r="E58" s="136" t="str">
        <f>IFERROR(__xludf.DUMMYFUNCTION("""COMPUTED_VALUE"""),"L")</f>
        <v>L</v>
      </c>
      <c r="F58" s="133">
        <f>IFERROR(__xludf.DUMMYFUNCTION("""COMPUTED_VALUE"""),66.0)</f>
        <v>66</v>
      </c>
      <c r="G58" s="136" t="str">
        <f>IFERROR(__xludf.DUMMYFUNCTION("""COMPUTED_VALUE"""),"L")</f>
        <v>L</v>
      </c>
      <c r="H58" s="133">
        <f>IFERROR(__xludf.DUMMYFUNCTION("""COMPUTED_VALUE"""),76.0)</f>
        <v>76</v>
      </c>
      <c r="I58" s="136" t="str">
        <f>IFERROR(__xludf.DUMMYFUNCTION("""COMPUTED_VALUE"""),"L")</f>
        <v>L</v>
      </c>
      <c r="J58" s="137"/>
      <c r="K58" s="138"/>
      <c r="L58" s="92">
        <f>IFERROR(__xludf.DUMMYFUNCTION("""COMPUTED_VALUE"""),44.0)</f>
        <v>44</v>
      </c>
      <c r="M58" s="95" t="str">
        <f>IFERROR(__xludf.DUMMYFUNCTION("""COMPUTED_VALUE"""),"L")</f>
        <v>L</v>
      </c>
      <c r="O58" s="96">
        <f>IFERROR(__xludf.DUMMYFUNCTION("""COMPUTED_VALUE"""),0.0)</f>
        <v>0</v>
      </c>
      <c r="P58" s="98">
        <f>IFERROR(__xludf.DUMMYFUNCTION("""COMPUTED_VALUE"""),0.0)</f>
        <v>0</v>
      </c>
      <c r="Q58" s="98">
        <f>IFERROR(__xludf.DUMMYFUNCTION("""COMPUTED_VALUE"""),5.0)</f>
        <v>5</v>
      </c>
      <c r="R58" s="127">
        <f>IFERROR(__xludf.DUMMYFUNCTION("""COMPUTED_VALUE"""),0.0)</f>
        <v>0</v>
      </c>
      <c r="S58" s="103">
        <f>IFERROR(__xludf.DUMMYFUNCTION("""COMPUTED_VALUE"""),302.0)</f>
        <v>302</v>
      </c>
      <c r="T58" s="105">
        <f>IFERROR(__xludf.DUMMYFUNCTION("""COMPUTED_VALUE"""),60.4)</f>
        <v>60.4</v>
      </c>
      <c r="U58" s="107" t="str">
        <f>IFERROR(__xludf.DUMMYFUNCTION("""COMPUTED_VALUE"""),"6")</f>
        <v>6</v>
      </c>
      <c r="V58" s="109" t="str">
        <f>IFERROR(__xludf.DUMMYFUNCTION("""COMPUTED_VALUE"""),"Pullman")</f>
        <v>Pullman</v>
      </c>
      <c r="W58" s="111"/>
      <c r="X58" s="31"/>
      <c r="Y58" s="31"/>
      <c r="Z58" s="31"/>
      <c r="AA58" s="31"/>
      <c r="AB58" s="31"/>
      <c r="AC58" s="29"/>
      <c r="AD58" s="29"/>
      <c r="AE58" s="31"/>
      <c r="AF58" s="29"/>
      <c r="AG58" s="31"/>
      <c r="AH58" s="69"/>
      <c r="AI58" s="31"/>
      <c r="AJ58" s="31"/>
      <c r="AK58" s="31"/>
      <c r="AL58" s="31"/>
      <c r="AM58" s="31"/>
      <c r="AN58" s="31"/>
      <c r="AO58" s="31"/>
      <c r="AP58" s="31"/>
      <c r="AQ58" s="31"/>
      <c r="AR58" s="31"/>
    </row>
    <row r="59" ht="18.75" customHeight="1">
      <c r="A59" s="116" t="str">
        <f>IFERROR(__xludf.DUMMYFUNCTION("""COMPUTED_VALUE"""),"University")</f>
        <v>University</v>
      </c>
      <c r="B59" s="117">
        <f>IFERROR(__xludf.DUMMYFUNCTION("""COMPUTED_VALUE"""),190.0)</f>
        <v>190</v>
      </c>
      <c r="C59" s="136" t="str">
        <f>IFERROR(__xludf.DUMMYFUNCTION("""COMPUTED_VALUE"""),"W")</f>
        <v>W</v>
      </c>
      <c r="D59" s="133">
        <f>IFERROR(__xludf.DUMMYFUNCTION("""COMPUTED_VALUE"""),234.0)</f>
        <v>234</v>
      </c>
      <c r="E59" s="136" t="str">
        <f>IFERROR(__xludf.DUMMYFUNCTION("""COMPUTED_VALUE"""),"W")</f>
        <v>W</v>
      </c>
      <c r="F59" s="133">
        <f>IFERROR(__xludf.DUMMYFUNCTION("""COMPUTED_VALUE"""),156.0)</f>
        <v>156</v>
      </c>
      <c r="G59" s="118" t="str">
        <f>IFERROR(__xludf.DUMMYFUNCTION("""COMPUTED_VALUE"""),"W")</f>
        <v>W</v>
      </c>
      <c r="H59" s="133">
        <f>IFERROR(__xludf.DUMMYFUNCTION("""COMPUTED_VALUE"""),182.0)</f>
        <v>182</v>
      </c>
      <c r="I59" s="136" t="str">
        <f>IFERROR(__xludf.DUMMYFUNCTION("""COMPUTED_VALUE"""),"W")</f>
        <v>W</v>
      </c>
      <c r="J59" s="133">
        <f>IFERROR(__xludf.DUMMYFUNCTION("""COMPUTED_VALUE"""),180.0)</f>
        <v>180</v>
      </c>
      <c r="K59" s="136" t="str">
        <f>IFERROR(__xludf.DUMMYFUNCTION("""COMPUTED_VALUE"""),"W")</f>
        <v>W</v>
      </c>
      <c r="L59" s="139"/>
      <c r="M59" s="140"/>
      <c r="N59" s="78"/>
      <c r="O59" s="96">
        <f>IFERROR(__xludf.DUMMYFUNCTION("""COMPUTED_VALUE"""),5.0)</f>
        <v>5</v>
      </c>
      <c r="P59" s="98">
        <f>IFERROR(__xludf.DUMMYFUNCTION("""COMPUTED_VALUE"""),0.0)</f>
        <v>0</v>
      </c>
      <c r="Q59" s="98">
        <f>IFERROR(__xludf.DUMMYFUNCTION("""COMPUTED_VALUE"""),0.0)</f>
        <v>0</v>
      </c>
      <c r="R59" s="127">
        <f>IFERROR(__xludf.DUMMYFUNCTION("""COMPUTED_VALUE"""),5.0)</f>
        <v>5</v>
      </c>
      <c r="S59" s="103">
        <f>IFERROR(__xludf.DUMMYFUNCTION("""COMPUTED_VALUE"""),942.0)</f>
        <v>942</v>
      </c>
      <c r="T59" s="105">
        <f>IFERROR(__xludf.DUMMYFUNCTION("""COMPUTED_VALUE"""),188.4)</f>
        <v>188.4</v>
      </c>
      <c r="U59" s="141" t="str">
        <f>IFERROR(__xludf.DUMMYFUNCTION("""COMPUTED_VALUE"""),"1")</f>
        <v>1</v>
      </c>
      <c r="V59" s="109" t="str">
        <f>IFERROR(__xludf.DUMMYFUNCTION("""COMPUTED_VALUE"""),"University")</f>
        <v>University</v>
      </c>
      <c r="W59" s="111"/>
      <c r="X59" s="31"/>
      <c r="Y59" s="31"/>
      <c r="Z59" s="31"/>
      <c r="AA59" s="31"/>
      <c r="AB59" s="31"/>
      <c r="AC59" s="29"/>
      <c r="AD59" s="29"/>
      <c r="AE59" s="31"/>
      <c r="AF59" s="29"/>
      <c r="AG59" s="31"/>
      <c r="AH59" s="69"/>
      <c r="AI59" s="31"/>
      <c r="AJ59" s="31"/>
      <c r="AK59" s="31"/>
      <c r="AL59" s="31"/>
      <c r="AM59" s="31"/>
      <c r="AN59" s="31"/>
      <c r="AO59" s="31"/>
      <c r="AP59" s="31"/>
      <c r="AQ59" s="31"/>
      <c r="AR59" s="31"/>
    </row>
    <row r="60" ht="18.75" customHeight="1">
      <c r="A60" s="142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43"/>
      <c r="W60" s="31"/>
      <c r="X60" s="31"/>
      <c r="Y60" s="31"/>
      <c r="Z60" s="31"/>
      <c r="AA60" s="31"/>
      <c r="AB60" s="31"/>
      <c r="AC60" s="29"/>
      <c r="AD60" s="29"/>
      <c r="AE60" s="31"/>
      <c r="AF60" s="29"/>
      <c r="AG60" s="31"/>
      <c r="AH60" s="69"/>
      <c r="AI60" s="31"/>
      <c r="AJ60" s="31"/>
      <c r="AK60" s="31"/>
      <c r="AL60" s="31"/>
      <c r="AM60" s="31"/>
      <c r="AN60" s="31"/>
      <c r="AO60" s="31"/>
      <c r="AP60" s="31"/>
      <c r="AQ60" s="31"/>
      <c r="AR60" s="31"/>
    </row>
    <row r="61" ht="18.75" customHeight="1">
      <c r="A61" s="29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144"/>
      <c r="S61" s="31"/>
      <c r="T61" s="31"/>
      <c r="U61" s="38"/>
      <c r="V61" s="31"/>
      <c r="W61" s="31"/>
      <c r="X61" s="31"/>
      <c r="Y61" s="31"/>
      <c r="Z61" s="31"/>
      <c r="AA61" s="31"/>
      <c r="AB61" s="31"/>
      <c r="AC61" s="29"/>
      <c r="AD61" s="29"/>
      <c r="AE61" s="31"/>
      <c r="AF61" s="29"/>
      <c r="AG61" s="31"/>
      <c r="AH61" s="69"/>
      <c r="AI61" s="31"/>
      <c r="AJ61" s="31"/>
      <c r="AK61" s="31"/>
      <c r="AL61" s="31"/>
      <c r="AM61" s="31"/>
      <c r="AN61" s="31"/>
      <c r="AO61" s="31"/>
      <c r="AP61" s="31"/>
      <c r="AQ61" s="31"/>
      <c r="AR61" s="31"/>
    </row>
    <row r="62" ht="18.75" customHeight="1">
      <c r="A62" s="29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144"/>
      <c r="S62" s="31"/>
      <c r="T62" s="31"/>
      <c r="U62" s="38"/>
      <c r="V62" s="31"/>
      <c r="W62" s="31"/>
      <c r="X62" s="31"/>
      <c r="Y62" s="31"/>
      <c r="Z62" s="31"/>
      <c r="AA62" s="31"/>
      <c r="AB62" s="31"/>
      <c r="AC62" s="29"/>
      <c r="AD62" s="29"/>
      <c r="AE62" s="31"/>
      <c r="AF62" s="29"/>
      <c r="AG62" s="31"/>
      <c r="AH62" s="69"/>
      <c r="AI62" s="31"/>
      <c r="AJ62" s="31"/>
      <c r="AK62" s="31"/>
      <c r="AL62" s="31"/>
      <c r="AM62" s="31"/>
      <c r="AN62" s="31"/>
      <c r="AO62" s="31"/>
      <c r="AP62" s="31"/>
      <c r="AQ62" s="31"/>
      <c r="AR62" s="31"/>
    </row>
    <row r="63" ht="18.75" customHeight="1">
      <c r="A63" s="47" t="str">
        <f>IFERROR(__xludf.DUMMYFUNCTION("""COMPUTED_VALUE"""),"Franklin")</f>
        <v>Franklin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50"/>
      <c r="S63" s="13"/>
      <c r="T63" s="13"/>
      <c r="U63" s="52"/>
      <c r="V63" s="13"/>
      <c r="W63" s="31"/>
      <c r="X63" s="31"/>
      <c r="Y63" s="31"/>
      <c r="Z63" s="31"/>
      <c r="AA63" s="31"/>
      <c r="AB63" s="31"/>
      <c r="AC63" s="29"/>
      <c r="AD63" s="29"/>
      <c r="AE63" s="31"/>
      <c r="AF63" s="29"/>
      <c r="AG63" s="31"/>
      <c r="AH63" s="69"/>
      <c r="AI63" s="31"/>
      <c r="AJ63" s="31"/>
      <c r="AK63" s="31"/>
      <c r="AL63" s="31"/>
      <c r="AM63" s="31"/>
      <c r="AN63" s="31"/>
      <c r="AO63" s="31"/>
      <c r="AP63" s="31"/>
      <c r="AQ63" s="31"/>
      <c r="AR63" s="31"/>
    </row>
    <row r="64" ht="18.75" customHeight="1">
      <c r="A64" s="61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6"/>
      <c r="W64" s="31"/>
      <c r="X64" s="31"/>
      <c r="Y64" s="31"/>
      <c r="Z64" s="31"/>
      <c r="AA64" s="31"/>
      <c r="AB64" s="31"/>
      <c r="AC64" s="29"/>
      <c r="AD64" s="29"/>
      <c r="AE64" s="31"/>
      <c r="AF64" s="29"/>
      <c r="AG64" s="31"/>
      <c r="AH64" s="69"/>
      <c r="AI64" s="31"/>
      <c r="AJ64" s="31"/>
      <c r="AK64" s="31"/>
      <c r="AL64" s="31"/>
      <c r="AM64" s="31"/>
      <c r="AN64" s="31"/>
      <c r="AO64" s="31"/>
      <c r="AP64" s="31"/>
      <c r="AQ64" s="31"/>
      <c r="AR64" s="31"/>
    </row>
    <row r="65" ht="18.75" customHeight="1">
      <c r="A65" s="70" t="str">
        <f>IFERROR(__xludf.DUMMYFUNCTION("""COMPUTED_VALUE"""),"Team")</f>
        <v>Team</v>
      </c>
      <c r="B65" s="29" t="str">
        <f>IFERROR(__xludf.DUMMYFUNCTION("""COMPUTED_VALUE"""),"ASFA")</f>
        <v>ASFA</v>
      </c>
      <c r="D65" s="71" t="str">
        <f>IFERROR(__xludf.DUMMYFUNCTION("""COMPUTED_VALUE"""),"Blair B")</f>
        <v>Blair B</v>
      </c>
      <c r="E65" s="72"/>
      <c r="F65" s="71" t="str">
        <f>IFERROR(__xludf.DUMMYFUNCTION("""COMPUTED_VALUE"""),"Brookfield")</f>
        <v>Brookfield</v>
      </c>
      <c r="G65" s="72"/>
      <c r="H65" s="71" t="str">
        <f>IFERROR(__xludf.DUMMYFUNCTION("""COMPUTED_VALUE"""),"Enloe A")</f>
        <v>Enloe A</v>
      </c>
      <c r="I65" s="72"/>
      <c r="J65" s="71" t="str">
        <f>IFERROR(__xludf.DUMMYFUNCTION("""COMPUTED_VALUE"""),"Mira Loma")</f>
        <v>Mira Loma</v>
      </c>
      <c r="K65" s="72"/>
      <c r="L65" s="71" t="str">
        <f>IFERROR(__xludf.DUMMYFUNCTION("""COMPUTED_VALUE"""),"Troy")</f>
        <v>Troy</v>
      </c>
      <c r="M65" s="72"/>
      <c r="N65" s="78"/>
      <c r="O65" s="80" t="str">
        <f>IFERROR(__xludf.DUMMYFUNCTION("""COMPUTED_VALUE"""),"W")</f>
        <v>W</v>
      </c>
      <c r="P65" s="80" t="str">
        <f>IFERROR(__xludf.DUMMYFUNCTION("""COMPUTED_VALUE"""),"T")</f>
        <v>T</v>
      </c>
      <c r="Q65" s="80" t="str">
        <f>IFERROR(__xludf.DUMMYFUNCTION("""COMPUTED_VALUE"""),"L")</f>
        <v>L</v>
      </c>
      <c r="R65" s="81" t="str">
        <f>IFERROR(__xludf.DUMMYFUNCTION("""COMPUTED_VALUE"""),"W/L Score")</f>
        <v>W/L Score</v>
      </c>
      <c r="S65" s="80" t="str">
        <f>IFERROR(__xludf.DUMMYFUNCTION("""COMPUTED_VALUE"""),"Points")</f>
        <v>Points</v>
      </c>
      <c r="T65" s="80" t="str">
        <f>IFERROR(__xludf.DUMMYFUNCTION("""COMPUTED_VALUE"""),"Average")</f>
        <v>Average</v>
      </c>
      <c r="U65" s="82" t="str">
        <f>IFERROR(__xludf.DUMMYFUNCTION("""COMPUTED_VALUE"""),"Rank")</f>
        <v>Rank</v>
      </c>
      <c r="V65" s="83"/>
      <c r="W65" s="31"/>
      <c r="X65" s="31"/>
      <c r="Y65" s="31"/>
      <c r="Z65" s="31"/>
      <c r="AA65" s="31"/>
      <c r="AB65" s="31"/>
      <c r="AC65" s="29"/>
      <c r="AD65" s="29"/>
      <c r="AE65" s="31"/>
      <c r="AF65" s="29"/>
      <c r="AG65" s="31"/>
      <c r="AH65" s="69"/>
      <c r="AI65" s="31"/>
      <c r="AJ65" s="31"/>
      <c r="AK65" s="31"/>
      <c r="AL65" s="31"/>
      <c r="AM65" s="31"/>
      <c r="AN65" s="31"/>
      <c r="AO65" s="31"/>
      <c r="AP65" s="31"/>
      <c r="AQ65" s="31"/>
      <c r="AR65" s="31"/>
    </row>
    <row r="66" ht="18.75" customHeight="1">
      <c r="A66" s="85" t="str">
        <f>IFERROR(__xludf.DUMMYFUNCTION("""COMPUTED_VALUE"""),"ASFA")</f>
        <v>ASFA</v>
      </c>
      <c r="B66" s="89"/>
      <c r="C66" s="90"/>
      <c r="D66" s="92">
        <f>IFERROR(__xludf.DUMMYFUNCTION("""COMPUTED_VALUE"""),126.0)</f>
        <v>126</v>
      </c>
      <c r="E66" s="93" t="str">
        <f>IFERROR(__xludf.DUMMYFUNCTION("""COMPUTED_VALUE"""),"W")</f>
        <v>W</v>
      </c>
      <c r="F66" s="92">
        <f>IFERROR(__xludf.DUMMYFUNCTION("""COMPUTED_VALUE"""),74.0)</f>
        <v>74</v>
      </c>
      <c r="G66" s="93" t="str">
        <f>IFERROR(__xludf.DUMMYFUNCTION("""COMPUTED_VALUE"""),"L")</f>
        <v>L</v>
      </c>
      <c r="H66" s="92">
        <f>IFERROR(__xludf.DUMMYFUNCTION("""COMPUTED_VALUE"""),102.0)</f>
        <v>102</v>
      </c>
      <c r="I66" s="93" t="str">
        <f>IFERROR(__xludf.DUMMYFUNCTION("""COMPUTED_VALUE"""),"L")</f>
        <v>L</v>
      </c>
      <c r="J66" s="92">
        <f>IFERROR(__xludf.DUMMYFUNCTION("""COMPUTED_VALUE"""),38.0)</f>
        <v>38</v>
      </c>
      <c r="K66" s="95" t="str">
        <f>IFERROR(__xludf.DUMMYFUNCTION("""COMPUTED_VALUE"""),"L")</f>
        <v>L</v>
      </c>
      <c r="L66" s="92">
        <f>IFERROR(__xludf.DUMMYFUNCTION("""COMPUTED_VALUE"""),126.0)</f>
        <v>126</v>
      </c>
      <c r="M66" s="95" t="str">
        <f>IFERROR(__xludf.DUMMYFUNCTION("""COMPUTED_VALUE"""),"W")</f>
        <v>W</v>
      </c>
      <c r="O66" s="96">
        <f>IFERROR(__xludf.DUMMYFUNCTION("""COMPUTED_VALUE"""),2.0)</f>
        <v>2</v>
      </c>
      <c r="P66" s="98">
        <f>IFERROR(__xludf.DUMMYFUNCTION("""COMPUTED_VALUE"""),0.0)</f>
        <v>0</v>
      </c>
      <c r="Q66" s="98">
        <f>IFERROR(__xludf.DUMMYFUNCTION("""COMPUTED_VALUE"""),3.0)</f>
        <v>3</v>
      </c>
      <c r="R66" s="127">
        <f>IFERROR(__xludf.DUMMYFUNCTION("""COMPUTED_VALUE"""),2.0)</f>
        <v>2</v>
      </c>
      <c r="S66" s="103">
        <f>IFERROR(__xludf.DUMMYFUNCTION("""COMPUTED_VALUE"""),466.0)</f>
        <v>466</v>
      </c>
      <c r="T66" s="105">
        <f>IFERROR(__xludf.DUMMYFUNCTION("""COMPUTED_VALUE"""),93.2)</f>
        <v>93.2</v>
      </c>
      <c r="U66" s="107" t="str">
        <f>IFERROR(__xludf.DUMMYFUNCTION("""COMPUTED_VALUE"""),"4")</f>
        <v>4</v>
      </c>
      <c r="V66" s="109" t="str">
        <f>IFERROR(__xludf.DUMMYFUNCTION("""COMPUTED_VALUE"""),"ASFA")</f>
        <v>ASFA</v>
      </c>
      <c r="W66" s="111"/>
      <c r="X66" s="31"/>
      <c r="Y66" s="31"/>
      <c r="Z66" s="31"/>
      <c r="AA66" s="31"/>
      <c r="AB66" s="31"/>
      <c r="AC66" s="29"/>
      <c r="AD66" s="29"/>
      <c r="AE66" s="31"/>
      <c r="AF66" s="29"/>
      <c r="AG66" s="31"/>
      <c r="AH66" s="69"/>
      <c r="AI66" s="31"/>
      <c r="AJ66" s="31"/>
      <c r="AK66" s="31"/>
      <c r="AL66" s="31"/>
      <c r="AM66" s="31"/>
      <c r="AN66" s="31"/>
      <c r="AO66" s="31"/>
      <c r="AP66" s="31"/>
      <c r="AQ66" s="31"/>
      <c r="AR66" s="31"/>
    </row>
    <row r="67" ht="18.75" customHeight="1">
      <c r="A67" s="116" t="str">
        <f>IFERROR(__xludf.DUMMYFUNCTION("""COMPUTED_VALUE"""),"Blair B")</f>
        <v>Blair B</v>
      </c>
      <c r="B67" s="117">
        <f>IFERROR(__xludf.DUMMYFUNCTION("""COMPUTED_VALUE"""),54.0)</f>
        <v>54</v>
      </c>
      <c r="C67" s="118" t="str">
        <f>IFERROR(__xludf.DUMMYFUNCTION("""COMPUTED_VALUE"""),"L")</f>
        <v>L</v>
      </c>
      <c r="D67" s="120"/>
      <c r="E67" s="121"/>
      <c r="F67" s="92">
        <f>IFERROR(__xludf.DUMMYFUNCTION("""COMPUTED_VALUE"""),0.0)</f>
        <v>0</v>
      </c>
      <c r="G67" s="118" t="str">
        <f>IFERROR(__xludf.DUMMYFUNCTION("""COMPUTED_VALUE"""),"L")</f>
        <v>L</v>
      </c>
      <c r="H67" s="92">
        <f>IFERROR(__xludf.DUMMYFUNCTION("""COMPUTED_VALUE"""),12.0)</f>
        <v>12</v>
      </c>
      <c r="I67" s="118" t="str">
        <f>IFERROR(__xludf.DUMMYFUNCTION("""COMPUTED_VALUE"""),"L")</f>
        <v>L</v>
      </c>
      <c r="J67" s="92">
        <f>IFERROR(__xludf.DUMMYFUNCTION("""COMPUTED_VALUE"""),0.0)</f>
        <v>0</v>
      </c>
      <c r="K67" s="125" t="str">
        <f>IFERROR(__xludf.DUMMYFUNCTION("""COMPUTED_VALUE"""),"L")</f>
        <v>L</v>
      </c>
      <c r="L67" s="92">
        <f>IFERROR(__xludf.DUMMYFUNCTION("""COMPUTED_VALUE"""),8.0)</f>
        <v>8</v>
      </c>
      <c r="M67" s="95" t="str">
        <f>IFERROR(__xludf.DUMMYFUNCTION("""COMPUTED_VALUE"""),"L")</f>
        <v>L</v>
      </c>
      <c r="O67" s="96">
        <f>IFERROR(__xludf.DUMMYFUNCTION("""COMPUTED_VALUE"""),0.0)</f>
        <v>0</v>
      </c>
      <c r="P67" s="98">
        <f>IFERROR(__xludf.DUMMYFUNCTION("""COMPUTED_VALUE"""),0.0)</f>
        <v>0</v>
      </c>
      <c r="Q67" s="98">
        <f>IFERROR(__xludf.DUMMYFUNCTION("""COMPUTED_VALUE"""),5.0)</f>
        <v>5</v>
      </c>
      <c r="R67" s="127">
        <f>IFERROR(__xludf.DUMMYFUNCTION("""COMPUTED_VALUE"""),0.0)</f>
        <v>0</v>
      </c>
      <c r="S67" s="103">
        <f>IFERROR(__xludf.DUMMYFUNCTION("""COMPUTED_VALUE"""),74.0)</f>
        <v>74</v>
      </c>
      <c r="T67" s="105">
        <f>IFERROR(__xludf.DUMMYFUNCTION("""COMPUTED_VALUE"""),14.8)</f>
        <v>14.8</v>
      </c>
      <c r="U67" s="107" t="str">
        <f>IFERROR(__xludf.DUMMYFUNCTION("""COMPUTED_VALUE"""),"6")</f>
        <v>6</v>
      </c>
      <c r="V67" s="109" t="str">
        <f>IFERROR(__xludf.DUMMYFUNCTION("""COMPUTED_VALUE"""),"Blair B")</f>
        <v>Blair B</v>
      </c>
      <c r="W67" s="111"/>
      <c r="X67" s="31"/>
      <c r="Y67" s="31"/>
      <c r="Z67" s="31"/>
      <c r="AA67" s="31"/>
      <c r="AB67" s="31"/>
      <c r="AC67" s="29"/>
      <c r="AD67" s="29"/>
      <c r="AE67" s="31"/>
      <c r="AF67" s="29"/>
      <c r="AG67" s="31"/>
      <c r="AH67" s="69"/>
      <c r="AI67" s="31"/>
      <c r="AJ67" s="31"/>
      <c r="AK67" s="31"/>
      <c r="AL67" s="31"/>
      <c r="AM67" s="31"/>
      <c r="AN67" s="31"/>
      <c r="AO67" s="31"/>
      <c r="AP67" s="31"/>
      <c r="AQ67" s="31"/>
      <c r="AR67" s="31"/>
    </row>
    <row r="68" ht="18.75" customHeight="1">
      <c r="A68" s="116" t="str">
        <f>IFERROR(__xludf.DUMMYFUNCTION("""COMPUTED_VALUE"""),"Brookfield")</f>
        <v>Brookfield</v>
      </c>
      <c r="B68" s="117">
        <f>IFERROR(__xludf.DUMMYFUNCTION("""COMPUTED_VALUE"""),122.0)</f>
        <v>122</v>
      </c>
      <c r="C68" s="118" t="str">
        <f>IFERROR(__xludf.DUMMYFUNCTION("""COMPUTED_VALUE"""),"W")</f>
        <v>W</v>
      </c>
      <c r="D68" s="133">
        <f>IFERROR(__xludf.DUMMYFUNCTION("""COMPUTED_VALUE"""),148.0)</f>
        <v>148</v>
      </c>
      <c r="E68" s="118" t="str">
        <f>IFERROR(__xludf.DUMMYFUNCTION("""COMPUTED_VALUE"""),"W")</f>
        <v>W</v>
      </c>
      <c r="F68" s="120"/>
      <c r="G68" s="121"/>
      <c r="H68" s="92">
        <f>IFERROR(__xludf.DUMMYFUNCTION("""COMPUTED_VALUE"""),142.0)</f>
        <v>142</v>
      </c>
      <c r="I68" s="118" t="str">
        <f>IFERROR(__xludf.DUMMYFUNCTION("""COMPUTED_VALUE"""),"W")</f>
        <v>W</v>
      </c>
      <c r="J68" s="92">
        <f>IFERROR(__xludf.DUMMYFUNCTION("""COMPUTED_VALUE"""),86.0)</f>
        <v>86</v>
      </c>
      <c r="K68" s="125" t="str">
        <f>IFERROR(__xludf.DUMMYFUNCTION("""COMPUTED_VALUE"""),"L")</f>
        <v>L</v>
      </c>
      <c r="L68" s="92">
        <f>IFERROR(__xludf.DUMMYFUNCTION("""COMPUTED_VALUE"""),150.0)</f>
        <v>150</v>
      </c>
      <c r="M68" s="95" t="str">
        <f>IFERROR(__xludf.DUMMYFUNCTION("""COMPUTED_VALUE"""),"W")</f>
        <v>W</v>
      </c>
      <c r="O68" s="96">
        <f>IFERROR(__xludf.DUMMYFUNCTION("""COMPUTED_VALUE"""),4.0)</f>
        <v>4</v>
      </c>
      <c r="P68" s="98">
        <f>IFERROR(__xludf.DUMMYFUNCTION("""COMPUTED_VALUE"""),0.0)</f>
        <v>0</v>
      </c>
      <c r="Q68" s="98">
        <f>IFERROR(__xludf.DUMMYFUNCTION("""COMPUTED_VALUE"""),1.0)</f>
        <v>1</v>
      </c>
      <c r="R68" s="127">
        <f>IFERROR(__xludf.DUMMYFUNCTION("""COMPUTED_VALUE"""),4.0)</f>
        <v>4</v>
      </c>
      <c r="S68" s="103">
        <f>IFERROR(__xludf.DUMMYFUNCTION("""COMPUTED_VALUE"""),648.0)</f>
        <v>648</v>
      </c>
      <c r="T68" s="105">
        <f>IFERROR(__xludf.DUMMYFUNCTION("""COMPUTED_VALUE"""),129.6)</f>
        <v>129.6</v>
      </c>
      <c r="U68" s="107" t="str">
        <f>IFERROR(__xludf.DUMMYFUNCTION("""COMPUTED_VALUE"""),"2")</f>
        <v>2</v>
      </c>
      <c r="V68" s="109" t="str">
        <f>IFERROR(__xludf.DUMMYFUNCTION("""COMPUTED_VALUE"""),"Brookfield")</f>
        <v>Brookfield</v>
      </c>
      <c r="W68" s="111"/>
      <c r="X68" s="31"/>
      <c r="Y68" s="31"/>
      <c r="Z68" s="31"/>
      <c r="AA68" s="31"/>
      <c r="AB68" s="31"/>
      <c r="AC68" s="29"/>
      <c r="AD68" s="29"/>
      <c r="AE68" s="31"/>
      <c r="AF68" s="29"/>
      <c r="AG68" s="31"/>
      <c r="AH68" s="69"/>
      <c r="AI68" s="31"/>
      <c r="AJ68" s="31"/>
      <c r="AK68" s="31"/>
      <c r="AL68" s="31"/>
      <c r="AM68" s="31"/>
      <c r="AN68" s="31"/>
      <c r="AO68" s="31"/>
      <c r="AP68" s="31"/>
      <c r="AQ68" s="31"/>
      <c r="AR68" s="31"/>
    </row>
    <row r="69" ht="18.75" customHeight="1">
      <c r="A69" s="116" t="str">
        <f>IFERROR(__xludf.DUMMYFUNCTION("""COMPUTED_VALUE"""),"Enloe A")</f>
        <v>Enloe A</v>
      </c>
      <c r="B69" s="117">
        <f>IFERROR(__xludf.DUMMYFUNCTION("""COMPUTED_VALUE"""),118.0)</f>
        <v>118</v>
      </c>
      <c r="C69" s="118" t="str">
        <f>IFERROR(__xludf.DUMMYFUNCTION("""COMPUTED_VALUE"""),"W")</f>
        <v>W</v>
      </c>
      <c r="D69" s="133">
        <f>IFERROR(__xludf.DUMMYFUNCTION("""COMPUTED_VALUE"""),132.0)</f>
        <v>132</v>
      </c>
      <c r="E69" s="118" t="str">
        <f>IFERROR(__xludf.DUMMYFUNCTION("""COMPUTED_VALUE"""),"W")</f>
        <v>W</v>
      </c>
      <c r="F69" s="133">
        <f>IFERROR(__xludf.DUMMYFUNCTION("""COMPUTED_VALUE"""),122.0)</f>
        <v>122</v>
      </c>
      <c r="G69" s="118" t="str">
        <f>IFERROR(__xludf.DUMMYFUNCTION("""COMPUTED_VALUE"""),"L")</f>
        <v>L</v>
      </c>
      <c r="H69" s="120"/>
      <c r="I69" s="121"/>
      <c r="J69" s="92">
        <f>IFERROR(__xludf.DUMMYFUNCTION("""COMPUTED_VALUE"""),138.0)</f>
        <v>138</v>
      </c>
      <c r="K69" s="125" t="str">
        <f>IFERROR(__xludf.DUMMYFUNCTION("""COMPUTED_VALUE"""),"T")</f>
        <v>T</v>
      </c>
      <c r="L69" s="92">
        <f>IFERROR(__xludf.DUMMYFUNCTION("""COMPUTED_VALUE"""),200.0)</f>
        <v>200</v>
      </c>
      <c r="M69" s="95" t="str">
        <f>IFERROR(__xludf.DUMMYFUNCTION("""COMPUTED_VALUE"""),"W")</f>
        <v>W</v>
      </c>
      <c r="O69" s="96">
        <f>IFERROR(__xludf.DUMMYFUNCTION("""COMPUTED_VALUE"""),3.0)</f>
        <v>3</v>
      </c>
      <c r="P69" s="98">
        <f>IFERROR(__xludf.DUMMYFUNCTION("""COMPUTED_VALUE"""),1.0)</f>
        <v>1</v>
      </c>
      <c r="Q69" s="98">
        <f>IFERROR(__xludf.DUMMYFUNCTION("""COMPUTED_VALUE"""),1.0)</f>
        <v>1</v>
      </c>
      <c r="R69" s="100">
        <f>IFERROR(__xludf.DUMMYFUNCTION("""COMPUTED_VALUE"""),3.5)</f>
        <v>3.5</v>
      </c>
      <c r="S69" s="103">
        <f>IFERROR(__xludf.DUMMYFUNCTION("""COMPUTED_VALUE"""),710.0)</f>
        <v>710</v>
      </c>
      <c r="T69" s="105">
        <f>IFERROR(__xludf.DUMMYFUNCTION("""COMPUTED_VALUE"""),142.0)</f>
        <v>142</v>
      </c>
      <c r="U69" s="107" t="str">
        <f>IFERROR(__xludf.DUMMYFUNCTION("""COMPUTED_VALUE"""),"3")</f>
        <v>3</v>
      </c>
      <c r="V69" s="109" t="str">
        <f>IFERROR(__xludf.DUMMYFUNCTION("""COMPUTED_VALUE"""),"Enloe A")</f>
        <v>Enloe A</v>
      </c>
      <c r="W69" s="111"/>
      <c r="X69" s="31"/>
      <c r="Y69" s="31"/>
      <c r="Z69" s="31"/>
      <c r="AA69" s="31"/>
      <c r="AB69" s="31"/>
      <c r="AC69" s="29"/>
      <c r="AD69" s="29"/>
      <c r="AE69" s="31"/>
      <c r="AF69" s="29"/>
      <c r="AG69" s="31"/>
      <c r="AH69" s="69"/>
      <c r="AI69" s="31"/>
      <c r="AJ69" s="31"/>
      <c r="AK69" s="31"/>
      <c r="AL69" s="31"/>
      <c r="AM69" s="31"/>
      <c r="AN69" s="31"/>
      <c r="AO69" s="31"/>
      <c r="AP69" s="31"/>
      <c r="AQ69" s="31"/>
      <c r="AR69" s="31"/>
    </row>
    <row r="70" ht="18.75" customHeight="1">
      <c r="A70" s="116" t="str">
        <f>IFERROR(__xludf.DUMMYFUNCTION("""COMPUTED_VALUE"""),"Mira Loma")</f>
        <v>Mira Loma</v>
      </c>
      <c r="B70" s="117">
        <f>IFERROR(__xludf.DUMMYFUNCTION("""COMPUTED_VALUE"""),144.0)</f>
        <v>144</v>
      </c>
      <c r="C70" s="136" t="str">
        <f>IFERROR(__xludf.DUMMYFUNCTION("""COMPUTED_VALUE"""),"W")</f>
        <v>W</v>
      </c>
      <c r="D70" s="133">
        <f>IFERROR(__xludf.DUMMYFUNCTION("""COMPUTED_VALUE"""),230.0)</f>
        <v>230</v>
      </c>
      <c r="E70" s="136" t="str">
        <f>IFERROR(__xludf.DUMMYFUNCTION("""COMPUTED_VALUE"""),"W")</f>
        <v>W</v>
      </c>
      <c r="F70" s="133">
        <f>IFERROR(__xludf.DUMMYFUNCTION("""COMPUTED_VALUE"""),134.0)</f>
        <v>134</v>
      </c>
      <c r="G70" s="136" t="str">
        <f>IFERROR(__xludf.DUMMYFUNCTION("""COMPUTED_VALUE"""),"W")</f>
        <v>W</v>
      </c>
      <c r="H70" s="133">
        <f>IFERROR(__xludf.DUMMYFUNCTION("""COMPUTED_VALUE"""),138.0)</f>
        <v>138</v>
      </c>
      <c r="I70" s="136" t="str">
        <f>IFERROR(__xludf.DUMMYFUNCTION("""COMPUTED_VALUE"""),"T")</f>
        <v>T</v>
      </c>
      <c r="J70" s="137"/>
      <c r="K70" s="138"/>
      <c r="L70" s="92">
        <f>IFERROR(__xludf.DUMMYFUNCTION("""COMPUTED_VALUE"""),162.0)</f>
        <v>162</v>
      </c>
      <c r="M70" s="95" t="str">
        <f>IFERROR(__xludf.DUMMYFUNCTION("""COMPUTED_VALUE"""),"W")</f>
        <v>W</v>
      </c>
      <c r="O70" s="96">
        <f>IFERROR(__xludf.DUMMYFUNCTION("""COMPUTED_VALUE"""),4.0)</f>
        <v>4</v>
      </c>
      <c r="P70" s="98">
        <f>IFERROR(__xludf.DUMMYFUNCTION("""COMPUTED_VALUE"""),1.0)</f>
        <v>1</v>
      </c>
      <c r="Q70" s="98">
        <f>IFERROR(__xludf.DUMMYFUNCTION("""COMPUTED_VALUE"""),0.0)</f>
        <v>0</v>
      </c>
      <c r="R70" s="100">
        <f>IFERROR(__xludf.DUMMYFUNCTION("""COMPUTED_VALUE"""),4.5)</f>
        <v>4.5</v>
      </c>
      <c r="S70" s="103">
        <f>IFERROR(__xludf.DUMMYFUNCTION("""COMPUTED_VALUE"""),808.0)</f>
        <v>808</v>
      </c>
      <c r="T70" s="105">
        <f>IFERROR(__xludf.DUMMYFUNCTION("""COMPUTED_VALUE"""),161.6)</f>
        <v>161.6</v>
      </c>
      <c r="U70" s="107" t="str">
        <f>IFERROR(__xludf.DUMMYFUNCTION("""COMPUTED_VALUE"""),"1")</f>
        <v>1</v>
      </c>
      <c r="V70" s="109" t="str">
        <f>IFERROR(__xludf.DUMMYFUNCTION("""COMPUTED_VALUE"""),"Mira Loma")</f>
        <v>Mira Loma</v>
      </c>
      <c r="W70" s="111"/>
      <c r="X70" s="31"/>
      <c r="Y70" s="31"/>
      <c r="Z70" s="31"/>
      <c r="AA70" s="31"/>
      <c r="AB70" s="31"/>
      <c r="AC70" s="29"/>
      <c r="AD70" s="29"/>
      <c r="AE70" s="31"/>
      <c r="AF70" s="29"/>
      <c r="AG70" s="31"/>
      <c r="AH70" s="69"/>
      <c r="AI70" s="31"/>
      <c r="AJ70" s="31"/>
      <c r="AK70" s="31"/>
      <c r="AL70" s="31"/>
      <c r="AM70" s="31"/>
      <c r="AN70" s="31"/>
      <c r="AO70" s="31"/>
      <c r="AP70" s="31"/>
      <c r="AQ70" s="31"/>
      <c r="AR70" s="31"/>
    </row>
    <row r="71" ht="18.75" customHeight="1">
      <c r="A71" s="116" t="str">
        <f>IFERROR(__xludf.DUMMYFUNCTION("""COMPUTED_VALUE"""),"Troy")</f>
        <v>Troy</v>
      </c>
      <c r="B71" s="117">
        <f>IFERROR(__xludf.DUMMYFUNCTION("""COMPUTED_VALUE"""),102.0)</f>
        <v>102</v>
      </c>
      <c r="C71" s="136" t="str">
        <f>IFERROR(__xludf.DUMMYFUNCTION("""COMPUTED_VALUE"""),"L")</f>
        <v>L</v>
      </c>
      <c r="D71" s="133">
        <f>IFERROR(__xludf.DUMMYFUNCTION("""COMPUTED_VALUE"""),112.0)</f>
        <v>112</v>
      </c>
      <c r="E71" s="136" t="str">
        <f>IFERROR(__xludf.DUMMYFUNCTION("""COMPUTED_VALUE"""),"W")</f>
        <v>W</v>
      </c>
      <c r="F71" s="133">
        <f>IFERROR(__xludf.DUMMYFUNCTION("""COMPUTED_VALUE"""),86.0)</f>
        <v>86</v>
      </c>
      <c r="G71" s="118" t="str">
        <f>IFERROR(__xludf.DUMMYFUNCTION("""COMPUTED_VALUE"""),"L")</f>
        <v>L</v>
      </c>
      <c r="H71" s="133">
        <f>IFERROR(__xludf.DUMMYFUNCTION("""COMPUTED_VALUE"""),30.0)</f>
        <v>30</v>
      </c>
      <c r="I71" s="136" t="str">
        <f>IFERROR(__xludf.DUMMYFUNCTION("""COMPUTED_VALUE"""),"L")</f>
        <v>L</v>
      </c>
      <c r="J71" s="133">
        <f>IFERROR(__xludf.DUMMYFUNCTION("""COMPUTED_VALUE"""),82.0)</f>
        <v>82</v>
      </c>
      <c r="K71" s="136" t="str">
        <f>IFERROR(__xludf.DUMMYFUNCTION("""COMPUTED_VALUE"""),"L")</f>
        <v>L</v>
      </c>
      <c r="L71" s="139"/>
      <c r="M71" s="140"/>
      <c r="N71" s="78"/>
      <c r="O71" s="96">
        <f>IFERROR(__xludf.DUMMYFUNCTION("""COMPUTED_VALUE"""),1.0)</f>
        <v>1</v>
      </c>
      <c r="P71" s="98">
        <f>IFERROR(__xludf.DUMMYFUNCTION("""COMPUTED_VALUE"""),0.0)</f>
        <v>0</v>
      </c>
      <c r="Q71" s="98">
        <f>IFERROR(__xludf.DUMMYFUNCTION("""COMPUTED_VALUE"""),4.0)</f>
        <v>4</v>
      </c>
      <c r="R71" s="127">
        <f>IFERROR(__xludf.DUMMYFUNCTION("""COMPUTED_VALUE"""),1.0)</f>
        <v>1</v>
      </c>
      <c r="S71" s="103">
        <f>IFERROR(__xludf.DUMMYFUNCTION("""COMPUTED_VALUE"""),412.0)</f>
        <v>412</v>
      </c>
      <c r="T71" s="105">
        <f>IFERROR(__xludf.DUMMYFUNCTION("""COMPUTED_VALUE"""),82.4)</f>
        <v>82.4</v>
      </c>
      <c r="U71" s="141" t="str">
        <f>IFERROR(__xludf.DUMMYFUNCTION("""COMPUTED_VALUE"""),"5")</f>
        <v>5</v>
      </c>
      <c r="V71" s="109" t="str">
        <f>IFERROR(__xludf.DUMMYFUNCTION("""COMPUTED_VALUE"""),"Troy")</f>
        <v>Troy</v>
      </c>
      <c r="W71" s="111"/>
      <c r="X71" s="31"/>
      <c r="Y71" s="31"/>
      <c r="Z71" s="31"/>
      <c r="AA71" s="31"/>
      <c r="AB71" s="31"/>
      <c r="AC71" s="29"/>
      <c r="AD71" s="29"/>
      <c r="AE71" s="31"/>
      <c r="AF71" s="29"/>
      <c r="AG71" s="31"/>
      <c r="AH71" s="69"/>
      <c r="AI71" s="31"/>
      <c r="AJ71" s="31"/>
      <c r="AK71" s="31"/>
      <c r="AL71" s="31"/>
      <c r="AM71" s="31"/>
      <c r="AN71" s="31"/>
      <c r="AO71" s="31"/>
      <c r="AP71" s="31"/>
      <c r="AQ71" s="31"/>
      <c r="AR71" s="31"/>
    </row>
    <row r="72" ht="18.75" customHeight="1">
      <c r="A72" s="142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43"/>
      <c r="W72" s="31"/>
      <c r="X72" s="31"/>
      <c r="Y72" s="31"/>
      <c r="Z72" s="31"/>
      <c r="AA72" s="31"/>
      <c r="AB72" s="31"/>
      <c r="AC72" s="29"/>
      <c r="AD72" s="29"/>
      <c r="AE72" s="31"/>
      <c r="AF72" s="29"/>
      <c r="AG72" s="31"/>
      <c r="AH72" s="69"/>
      <c r="AI72" s="31"/>
      <c r="AJ72" s="31"/>
      <c r="AK72" s="31"/>
      <c r="AL72" s="31"/>
      <c r="AM72" s="31"/>
      <c r="AN72" s="31"/>
      <c r="AO72" s="31"/>
      <c r="AP72" s="31"/>
      <c r="AQ72" s="31"/>
      <c r="AR72" s="31"/>
    </row>
    <row r="73" ht="18.75" customHeight="1">
      <c r="A73" s="29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144"/>
      <c r="S73" s="31"/>
      <c r="T73" s="31"/>
      <c r="U73" s="38"/>
      <c r="V73" s="31"/>
      <c r="W73" s="31"/>
      <c r="X73" s="31"/>
      <c r="Y73" s="31"/>
      <c r="Z73" s="31"/>
      <c r="AA73" s="31"/>
      <c r="AB73" s="31"/>
      <c r="AC73" s="29"/>
      <c r="AD73" s="29"/>
      <c r="AE73" s="31"/>
      <c r="AF73" s="29"/>
      <c r="AG73" s="31"/>
      <c r="AH73" s="69"/>
      <c r="AI73" s="31"/>
      <c r="AJ73" s="31"/>
      <c r="AK73" s="31"/>
      <c r="AL73" s="31"/>
      <c r="AM73" s="31"/>
      <c r="AN73" s="31"/>
      <c r="AO73" s="31"/>
      <c r="AP73" s="31"/>
      <c r="AQ73" s="31"/>
      <c r="AR73" s="31"/>
    </row>
    <row r="74" ht="18.75" customHeight="1">
      <c r="A74" s="29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144"/>
      <c r="S74" s="31"/>
      <c r="T74" s="31"/>
      <c r="U74" s="38"/>
      <c r="V74" s="31"/>
      <c r="W74" s="31"/>
      <c r="X74" s="31"/>
      <c r="Y74" s="31"/>
      <c r="Z74" s="31"/>
      <c r="AA74" s="31"/>
      <c r="AB74" s="31"/>
      <c r="AC74" s="29"/>
      <c r="AD74" s="29"/>
      <c r="AE74" s="31"/>
      <c r="AF74" s="29"/>
      <c r="AG74" s="31"/>
      <c r="AH74" s="69"/>
      <c r="AI74" s="31"/>
      <c r="AJ74" s="31"/>
      <c r="AK74" s="31"/>
      <c r="AL74" s="31"/>
      <c r="AM74" s="31"/>
      <c r="AN74" s="31"/>
      <c r="AO74" s="31"/>
      <c r="AP74" s="31"/>
      <c r="AQ74" s="31"/>
      <c r="AR74" s="31"/>
    </row>
    <row r="75" ht="18.75" customHeight="1">
      <c r="A75" s="47" t="str">
        <f>IFERROR(__xludf.DUMMYFUNCTION("""COMPUTED_VALUE"""),"Goodall")</f>
        <v>Goodall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50"/>
      <c r="S75" s="13"/>
      <c r="T75" s="13"/>
      <c r="U75" s="52"/>
      <c r="V75" s="13"/>
      <c r="W75" s="31"/>
      <c r="X75" s="31"/>
      <c r="Y75" s="31"/>
      <c r="Z75" s="31"/>
      <c r="AA75" s="31"/>
      <c r="AB75" s="31"/>
      <c r="AC75" s="29"/>
      <c r="AD75" s="29"/>
      <c r="AE75" s="31"/>
      <c r="AF75" s="29"/>
      <c r="AG75" s="31"/>
      <c r="AH75" s="69"/>
      <c r="AI75" s="31"/>
      <c r="AJ75" s="31"/>
      <c r="AK75" s="31"/>
      <c r="AL75" s="31"/>
      <c r="AM75" s="31"/>
      <c r="AN75" s="31"/>
      <c r="AO75" s="31"/>
      <c r="AP75" s="31"/>
      <c r="AQ75" s="31"/>
      <c r="AR75" s="31"/>
    </row>
    <row r="76" ht="18.75" customHeight="1">
      <c r="A76" s="61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6"/>
      <c r="W76" s="31"/>
      <c r="X76" s="31"/>
      <c r="Y76" s="31"/>
      <c r="Z76" s="31"/>
      <c r="AA76" s="31"/>
      <c r="AB76" s="31"/>
      <c r="AC76" s="29"/>
      <c r="AD76" s="29"/>
      <c r="AE76" s="31"/>
      <c r="AF76" s="29"/>
      <c r="AG76" s="31"/>
      <c r="AH76" s="69"/>
      <c r="AI76" s="31"/>
      <c r="AJ76" s="31"/>
      <c r="AK76" s="31"/>
      <c r="AL76" s="31"/>
      <c r="AM76" s="31"/>
      <c r="AN76" s="31"/>
      <c r="AO76" s="31"/>
      <c r="AP76" s="31"/>
      <c r="AQ76" s="31"/>
      <c r="AR76" s="31"/>
    </row>
    <row r="77" ht="18.75" customHeight="1">
      <c r="A77" s="70" t="str">
        <f>IFERROR(__xludf.DUMMYFUNCTION("""COMPUTED_VALUE"""),"Team")</f>
        <v>Team</v>
      </c>
      <c r="B77" s="29" t="str">
        <f>IFERROR(__xludf.DUMMYFUNCTION("""COMPUTED_VALUE"""),"Centennial")</f>
        <v>Centennial</v>
      </c>
      <c r="D77" s="71" t="str">
        <f>IFERROR(__xludf.DUMMYFUNCTION("""COMPUTED_VALUE"""),"Enloe B")</f>
        <v>Enloe B</v>
      </c>
      <c r="E77" s="72"/>
      <c r="F77" s="71" t="str">
        <f>IFERROR(__xludf.DUMMYFUNCTION("""COMPUTED_VALUE"""),"Iolani")</f>
        <v>Iolani</v>
      </c>
      <c r="G77" s="72"/>
      <c r="H77" s="71" t="str">
        <f>IFERROR(__xludf.DUMMYFUNCTION("""COMPUTED_VALUE"""),"Lakeside")</f>
        <v>Lakeside</v>
      </c>
      <c r="I77" s="72"/>
      <c r="J77" s="71" t="str">
        <f>IFERROR(__xludf.DUMMYFUNCTION("""COMPUTED_VALUE"""),"PRISMS")</f>
        <v>PRISMS</v>
      </c>
      <c r="K77" s="72"/>
      <c r="L77" s="71" t="str">
        <f>IFERROR(__xludf.DUMMYFUNCTION("""COMPUTED_VALUE"""),"WWPN")</f>
        <v>WWPN</v>
      </c>
      <c r="M77" s="72"/>
      <c r="N77" s="78"/>
      <c r="O77" s="80" t="str">
        <f>IFERROR(__xludf.DUMMYFUNCTION("""COMPUTED_VALUE"""),"W")</f>
        <v>W</v>
      </c>
      <c r="P77" s="80" t="str">
        <f>IFERROR(__xludf.DUMMYFUNCTION("""COMPUTED_VALUE"""),"T")</f>
        <v>T</v>
      </c>
      <c r="Q77" s="80" t="str">
        <f>IFERROR(__xludf.DUMMYFUNCTION("""COMPUTED_VALUE"""),"L")</f>
        <v>L</v>
      </c>
      <c r="R77" s="81" t="str">
        <f>IFERROR(__xludf.DUMMYFUNCTION("""COMPUTED_VALUE"""),"W/L Score")</f>
        <v>W/L Score</v>
      </c>
      <c r="S77" s="80" t="str">
        <f>IFERROR(__xludf.DUMMYFUNCTION("""COMPUTED_VALUE"""),"Points")</f>
        <v>Points</v>
      </c>
      <c r="T77" s="80" t="str">
        <f>IFERROR(__xludf.DUMMYFUNCTION("""COMPUTED_VALUE"""),"Average")</f>
        <v>Average</v>
      </c>
      <c r="U77" s="82" t="str">
        <f>IFERROR(__xludf.DUMMYFUNCTION("""COMPUTED_VALUE"""),"Rank")</f>
        <v>Rank</v>
      </c>
      <c r="V77" s="83"/>
      <c r="W77" s="31"/>
      <c r="X77" s="31"/>
      <c r="Y77" s="31"/>
      <c r="Z77" s="31"/>
      <c r="AA77" s="31"/>
      <c r="AB77" s="31"/>
      <c r="AC77" s="29"/>
      <c r="AD77" s="29"/>
      <c r="AE77" s="31"/>
      <c r="AF77" s="29"/>
      <c r="AG77" s="31"/>
      <c r="AH77" s="69"/>
      <c r="AI77" s="31"/>
      <c r="AJ77" s="31"/>
      <c r="AK77" s="31"/>
      <c r="AL77" s="31"/>
      <c r="AM77" s="31"/>
      <c r="AN77" s="31"/>
      <c r="AO77" s="31"/>
      <c r="AP77" s="31"/>
      <c r="AQ77" s="31"/>
      <c r="AR77" s="31"/>
    </row>
    <row r="78" ht="18.75" customHeight="1">
      <c r="A78" s="85" t="str">
        <f>IFERROR(__xludf.DUMMYFUNCTION("""COMPUTED_VALUE"""),"Centennial")</f>
        <v>Centennial</v>
      </c>
      <c r="B78" s="89"/>
      <c r="C78" s="90"/>
      <c r="D78" s="92">
        <f>IFERROR(__xludf.DUMMYFUNCTION("""COMPUTED_VALUE"""),160.0)</f>
        <v>160</v>
      </c>
      <c r="E78" s="93" t="str">
        <f>IFERROR(__xludf.DUMMYFUNCTION("""COMPUTED_VALUE"""),"W")</f>
        <v>W</v>
      </c>
      <c r="F78" s="92">
        <f>IFERROR(__xludf.DUMMYFUNCTION("""COMPUTED_VALUE"""),146.0)</f>
        <v>146</v>
      </c>
      <c r="G78" s="93" t="str">
        <f>IFERROR(__xludf.DUMMYFUNCTION("""COMPUTED_VALUE"""),"W")</f>
        <v>W</v>
      </c>
      <c r="H78" s="92">
        <f>IFERROR(__xludf.DUMMYFUNCTION("""COMPUTED_VALUE"""),132.0)</f>
        <v>132</v>
      </c>
      <c r="I78" s="93" t="str">
        <f>IFERROR(__xludf.DUMMYFUNCTION("""COMPUTED_VALUE"""),"W")</f>
        <v>W</v>
      </c>
      <c r="J78" s="92">
        <f>IFERROR(__xludf.DUMMYFUNCTION("""COMPUTED_VALUE"""),122.0)</f>
        <v>122</v>
      </c>
      <c r="K78" s="95" t="str">
        <f>IFERROR(__xludf.DUMMYFUNCTION("""COMPUTED_VALUE"""),"W")</f>
        <v>W</v>
      </c>
      <c r="L78" s="92">
        <f>IFERROR(__xludf.DUMMYFUNCTION("""COMPUTED_VALUE"""),132.0)</f>
        <v>132</v>
      </c>
      <c r="M78" s="95" t="str">
        <f>IFERROR(__xludf.DUMMYFUNCTION("""COMPUTED_VALUE"""),"W")</f>
        <v>W</v>
      </c>
      <c r="O78" s="96">
        <f>IFERROR(__xludf.DUMMYFUNCTION("""COMPUTED_VALUE"""),5.0)</f>
        <v>5</v>
      </c>
      <c r="P78" s="98">
        <f>IFERROR(__xludf.DUMMYFUNCTION("""COMPUTED_VALUE"""),0.0)</f>
        <v>0</v>
      </c>
      <c r="Q78" s="98">
        <f>IFERROR(__xludf.DUMMYFUNCTION("""COMPUTED_VALUE"""),0.0)</f>
        <v>0</v>
      </c>
      <c r="R78" s="127">
        <f>IFERROR(__xludf.DUMMYFUNCTION("""COMPUTED_VALUE"""),5.0)</f>
        <v>5</v>
      </c>
      <c r="S78" s="103">
        <f>IFERROR(__xludf.DUMMYFUNCTION("""COMPUTED_VALUE"""),692.0)</f>
        <v>692</v>
      </c>
      <c r="T78" s="105">
        <f>IFERROR(__xludf.DUMMYFUNCTION("""COMPUTED_VALUE"""),138.4)</f>
        <v>138.4</v>
      </c>
      <c r="U78" s="107" t="str">
        <f>IFERROR(__xludf.DUMMYFUNCTION("""COMPUTED_VALUE"""),"1")</f>
        <v>1</v>
      </c>
      <c r="V78" s="109" t="str">
        <f>IFERROR(__xludf.DUMMYFUNCTION("""COMPUTED_VALUE"""),"Centennial")</f>
        <v>Centennial</v>
      </c>
      <c r="W78" s="111"/>
      <c r="X78" s="31"/>
      <c r="Y78" s="31"/>
      <c r="Z78" s="31"/>
      <c r="AA78" s="31"/>
      <c r="AB78" s="31"/>
      <c r="AC78" s="29"/>
      <c r="AD78" s="29"/>
      <c r="AE78" s="31"/>
      <c r="AF78" s="29"/>
      <c r="AG78" s="31"/>
      <c r="AH78" s="69"/>
      <c r="AI78" s="31"/>
      <c r="AJ78" s="31"/>
      <c r="AK78" s="31"/>
      <c r="AL78" s="31"/>
      <c r="AM78" s="31"/>
      <c r="AN78" s="31"/>
      <c r="AO78" s="31"/>
      <c r="AP78" s="31"/>
      <c r="AQ78" s="31"/>
      <c r="AR78" s="31"/>
    </row>
    <row r="79" ht="18.75" customHeight="1">
      <c r="A79" s="116" t="str">
        <f>IFERROR(__xludf.DUMMYFUNCTION("""COMPUTED_VALUE"""),"Enloe B")</f>
        <v>Enloe B</v>
      </c>
      <c r="B79" s="117">
        <f>IFERROR(__xludf.DUMMYFUNCTION("""COMPUTED_VALUE"""),88.0)</f>
        <v>88</v>
      </c>
      <c r="C79" s="118" t="str">
        <f>IFERROR(__xludf.DUMMYFUNCTION("""COMPUTED_VALUE"""),"L")</f>
        <v>L</v>
      </c>
      <c r="D79" s="120"/>
      <c r="E79" s="121"/>
      <c r="F79" s="92">
        <f>IFERROR(__xludf.DUMMYFUNCTION("""COMPUTED_VALUE"""),134.0)</f>
        <v>134</v>
      </c>
      <c r="G79" s="118" t="str">
        <f>IFERROR(__xludf.DUMMYFUNCTION("""COMPUTED_VALUE"""),"W")</f>
        <v>W</v>
      </c>
      <c r="H79" s="92">
        <f>IFERROR(__xludf.DUMMYFUNCTION("""COMPUTED_VALUE"""),130.0)</f>
        <v>130</v>
      </c>
      <c r="I79" s="118" t="str">
        <f>IFERROR(__xludf.DUMMYFUNCTION("""COMPUTED_VALUE"""),"W")</f>
        <v>W</v>
      </c>
      <c r="J79" s="92">
        <f>IFERROR(__xludf.DUMMYFUNCTION("""COMPUTED_VALUE"""),168.0)</f>
        <v>168</v>
      </c>
      <c r="K79" s="125" t="str">
        <f>IFERROR(__xludf.DUMMYFUNCTION("""COMPUTED_VALUE"""),"W")</f>
        <v>W</v>
      </c>
      <c r="L79" s="92">
        <f>IFERROR(__xludf.DUMMYFUNCTION("""COMPUTED_VALUE"""),130.0)</f>
        <v>130</v>
      </c>
      <c r="M79" s="95" t="str">
        <f>IFERROR(__xludf.DUMMYFUNCTION("""COMPUTED_VALUE"""),"W")</f>
        <v>W</v>
      </c>
      <c r="O79" s="96">
        <f>IFERROR(__xludf.DUMMYFUNCTION("""COMPUTED_VALUE"""),4.0)</f>
        <v>4</v>
      </c>
      <c r="P79" s="98">
        <f>IFERROR(__xludf.DUMMYFUNCTION("""COMPUTED_VALUE"""),0.0)</f>
        <v>0</v>
      </c>
      <c r="Q79" s="98">
        <f>IFERROR(__xludf.DUMMYFUNCTION("""COMPUTED_VALUE"""),1.0)</f>
        <v>1</v>
      </c>
      <c r="R79" s="127">
        <f>IFERROR(__xludf.DUMMYFUNCTION("""COMPUTED_VALUE"""),4.0)</f>
        <v>4</v>
      </c>
      <c r="S79" s="103">
        <f>IFERROR(__xludf.DUMMYFUNCTION("""COMPUTED_VALUE"""),650.0)</f>
        <v>650</v>
      </c>
      <c r="T79" s="105">
        <f>IFERROR(__xludf.DUMMYFUNCTION("""COMPUTED_VALUE"""),130.0)</f>
        <v>130</v>
      </c>
      <c r="U79" s="107" t="str">
        <f>IFERROR(__xludf.DUMMYFUNCTION("""COMPUTED_VALUE"""),"2")</f>
        <v>2</v>
      </c>
      <c r="V79" s="109" t="str">
        <f>IFERROR(__xludf.DUMMYFUNCTION("""COMPUTED_VALUE"""),"Enloe B")</f>
        <v>Enloe B</v>
      </c>
      <c r="W79" s="111"/>
      <c r="X79" s="31"/>
      <c r="Y79" s="31"/>
      <c r="Z79" s="31"/>
      <c r="AA79" s="31"/>
      <c r="AB79" s="31"/>
      <c r="AC79" s="29"/>
      <c r="AD79" s="29"/>
      <c r="AE79" s="31"/>
      <c r="AF79" s="29"/>
      <c r="AG79" s="31"/>
      <c r="AH79" s="69"/>
      <c r="AI79" s="31"/>
      <c r="AJ79" s="31"/>
      <c r="AK79" s="31"/>
      <c r="AL79" s="31"/>
      <c r="AM79" s="31"/>
      <c r="AN79" s="31"/>
      <c r="AO79" s="31"/>
      <c r="AP79" s="31"/>
      <c r="AQ79" s="31"/>
      <c r="AR79" s="31"/>
    </row>
    <row r="80" ht="18.75" customHeight="1">
      <c r="A80" s="116" t="str">
        <f>IFERROR(__xludf.DUMMYFUNCTION("""COMPUTED_VALUE"""),"Iolani")</f>
        <v>Iolani</v>
      </c>
      <c r="B80" s="117">
        <f>IFERROR(__xludf.DUMMYFUNCTION("""COMPUTED_VALUE"""),46.0)</f>
        <v>46</v>
      </c>
      <c r="C80" s="118" t="str">
        <f>IFERROR(__xludf.DUMMYFUNCTION("""COMPUTED_VALUE"""),"L")</f>
        <v>L</v>
      </c>
      <c r="D80" s="133">
        <f>IFERROR(__xludf.DUMMYFUNCTION("""COMPUTED_VALUE"""),64.0)</f>
        <v>64</v>
      </c>
      <c r="E80" s="118" t="str">
        <f>IFERROR(__xludf.DUMMYFUNCTION("""COMPUTED_VALUE"""),"L")</f>
        <v>L</v>
      </c>
      <c r="F80" s="120"/>
      <c r="G80" s="121"/>
      <c r="H80" s="92">
        <f>IFERROR(__xludf.DUMMYFUNCTION("""COMPUTED_VALUE"""),92.0)</f>
        <v>92</v>
      </c>
      <c r="I80" s="118" t="str">
        <f>IFERROR(__xludf.DUMMYFUNCTION("""COMPUTED_VALUE"""),"L")</f>
        <v>L</v>
      </c>
      <c r="J80" s="92">
        <f>IFERROR(__xludf.DUMMYFUNCTION("""COMPUTED_VALUE"""),102.0)</f>
        <v>102</v>
      </c>
      <c r="K80" s="125" t="str">
        <f>IFERROR(__xludf.DUMMYFUNCTION("""COMPUTED_VALUE"""),"W")</f>
        <v>W</v>
      </c>
      <c r="L80" s="92">
        <f>IFERROR(__xludf.DUMMYFUNCTION("""COMPUTED_VALUE"""),174.0)</f>
        <v>174</v>
      </c>
      <c r="M80" s="95" t="str">
        <f>IFERROR(__xludf.DUMMYFUNCTION("""COMPUTED_VALUE"""),"W")</f>
        <v>W</v>
      </c>
      <c r="O80" s="96">
        <f>IFERROR(__xludf.DUMMYFUNCTION("""COMPUTED_VALUE"""),2.0)</f>
        <v>2</v>
      </c>
      <c r="P80" s="98">
        <f>IFERROR(__xludf.DUMMYFUNCTION("""COMPUTED_VALUE"""),0.0)</f>
        <v>0</v>
      </c>
      <c r="Q80" s="98">
        <f>IFERROR(__xludf.DUMMYFUNCTION("""COMPUTED_VALUE"""),3.0)</f>
        <v>3</v>
      </c>
      <c r="R80" s="127">
        <f>IFERROR(__xludf.DUMMYFUNCTION("""COMPUTED_VALUE"""),2.0)</f>
        <v>2</v>
      </c>
      <c r="S80" s="103">
        <f>IFERROR(__xludf.DUMMYFUNCTION("""COMPUTED_VALUE"""),478.0)</f>
        <v>478</v>
      </c>
      <c r="T80" s="105">
        <f>IFERROR(__xludf.DUMMYFUNCTION("""COMPUTED_VALUE"""),95.6)</f>
        <v>95.6</v>
      </c>
      <c r="U80" s="107" t="str">
        <f>IFERROR(__xludf.DUMMYFUNCTION("""COMPUTED_VALUE"""),"4")</f>
        <v>4</v>
      </c>
      <c r="V80" s="109" t="str">
        <f>IFERROR(__xludf.DUMMYFUNCTION("""COMPUTED_VALUE"""),"Iolani")</f>
        <v>Iolani</v>
      </c>
      <c r="W80" s="111"/>
      <c r="X80" s="31"/>
      <c r="Y80" s="31"/>
      <c r="Z80" s="31"/>
      <c r="AA80" s="31"/>
      <c r="AB80" s="31"/>
      <c r="AC80" s="29"/>
      <c r="AD80" s="29"/>
      <c r="AE80" s="31"/>
      <c r="AF80" s="29"/>
      <c r="AG80" s="31"/>
      <c r="AH80" s="69"/>
      <c r="AI80" s="31"/>
      <c r="AJ80" s="31"/>
      <c r="AK80" s="31"/>
      <c r="AL80" s="31"/>
      <c r="AM80" s="31"/>
      <c r="AN80" s="31"/>
      <c r="AO80" s="31"/>
      <c r="AP80" s="31"/>
      <c r="AQ80" s="31"/>
      <c r="AR80" s="31"/>
    </row>
    <row r="81" ht="18.75" customHeight="1">
      <c r="A81" s="116" t="str">
        <f>IFERROR(__xludf.DUMMYFUNCTION("""COMPUTED_VALUE"""),"Lakeside")</f>
        <v>Lakeside</v>
      </c>
      <c r="B81" s="117">
        <f>IFERROR(__xludf.DUMMYFUNCTION("""COMPUTED_VALUE"""),90.0)</f>
        <v>90</v>
      </c>
      <c r="C81" s="118" t="str">
        <f>IFERROR(__xludf.DUMMYFUNCTION("""COMPUTED_VALUE"""),"L")</f>
        <v>L</v>
      </c>
      <c r="D81" s="133">
        <f>IFERROR(__xludf.DUMMYFUNCTION("""COMPUTED_VALUE"""),100.0)</f>
        <v>100</v>
      </c>
      <c r="E81" s="118" t="str">
        <f>IFERROR(__xludf.DUMMYFUNCTION("""COMPUTED_VALUE"""),"L")</f>
        <v>L</v>
      </c>
      <c r="F81" s="133">
        <f>IFERROR(__xludf.DUMMYFUNCTION("""COMPUTED_VALUE"""),142.0)</f>
        <v>142</v>
      </c>
      <c r="G81" s="118" t="str">
        <f>IFERROR(__xludf.DUMMYFUNCTION("""COMPUTED_VALUE"""),"W")</f>
        <v>W</v>
      </c>
      <c r="H81" s="120"/>
      <c r="I81" s="121"/>
      <c r="J81" s="92">
        <f>IFERROR(__xludf.DUMMYFUNCTION("""COMPUTED_VALUE"""),196.0)</f>
        <v>196</v>
      </c>
      <c r="K81" s="125" t="str">
        <f>IFERROR(__xludf.DUMMYFUNCTION("""COMPUTED_VALUE"""),"W")</f>
        <v>W</v>
      </c>
      <c r="L81" s="92">
        <f>IFERROR(__xludf.DUMMYFUNCTION("""COMPUTED_VALUE"""),56.0)</f>
        <v>56</v>
      </c>
      <c r="M81" s="95" t="str">
        <f>IFERROR(__xludf.DUMMYFUNCTION("""COMPUTED_VALUE"""),"L")</f>
        <v>L</v>
      </c>
      <c r="O81" s="96">
        <f>IFERROR(__xludf.DUMMYFUNCTION("""COMPUTED_VALUE"""),2.0)</f>
        <v>2</v>
      </c>
      <c r="P81" s="98">
        <f>IFERROR(__xludf.DUMMYFUNCTION("""COMPUTED_VALUE"""),0.0)</f>
        <v>0</v>
      </c>
      <c r="Q81" s="98">
        <f>IFERROR(__xludf.DUMMYFUNCTION("""COMPUTED_VALUE"""),3.0)</f>
        <v>3</v>
      </c>
      <c r="R81" s="127">
        <f>IFERROR(__xludf.DUMMYFUNCTION("""COMPUTED_VALUE"""),2.0)</f>
        <v>2</v>
      </c>
      <c r="S81" s="103">
        <f>IFERROR(__xludf.DUMMYFUNCTION("""COMPUTED_VALUE"""),584.0)</f>
        <v>584</v>
      </c>
      <c r="T81" s="105">
        <f>IFERROR(__xludf.DUMMYFUNCTION("""COMPUTED_VALUE"""),116.8)</f>
        <v>116.8</v>
      </c>
      <c r="U81" s="107" t="str">
        <f>IFERROR(__xludf.DUMMYFUNCTION("""COMPUTED_VALUE"""),"3")</f>
        <v>3</v>
      </c>
      <c r="V81" s="109" t="str">
        <f>IFERROR(__xludf.DUMMYFUNCTION("""COMPUTED_VALUE"""),"Lakeside")</f>
        <v>Lakeside</v>
      </c>
      <c r="W81" s="111"/>
      <c r="X81" s="31"/>
      <c r="Y81" s="31"/>
      <c r="Z81" s="31"/>
      <c r="AA81" s="31"/>
      <c r="AB81" s="31"/>
      <c r="AC81" s="29"/>
      <c r="AD81" s="29"/>
      <c r="AE81" s="31"/>
      <c r="AF81" s="29"/>
      <c r="AG81" s="31"/>
      <c r="AH81" s="69"/>
      <c r="AI81" s="31"/>
      <c r="AJ81" s="31"/>
      <c r="AK81" s="31"/>
      <c r="AL81" s="31"/>
      <c r="AM81" s="31"/>
      <c r="AN81" s="31"/>
      <c r="AO81" s="31"/>
      <c r="AP81" s="31"/>
      <c r="AQ81" s="31"/>
      <c r="AR81" s="31"/>
    </row>
    <row r="82" ht="18.75" customHeight="1">
      <c r="A82" s="116" t="str">
        <f>IFERROR(__xludf.DUMMYFUNCTION("""COMPUTED_VALUE"""),"PRISMS")</f>
        <v>PRISMS</v>
      </c>
      <c r="B82" s="117">
        <f>IFERROR(__xludf.DUMMYFUNCTION("""COMPUTED_VALUE"""),48.0)</f>
        <v>48</v>
      </c>
      <c r="C82" s="136" t="str">
        <f>IFERROR(__xludf.DUMMYFUNCTION("""COMPUTED_VALUE"""),"L")</f>
        <v>L</v>
      </c>
      <c r="D82" s="133">
        <f>IFERROR(__xludf.DUMMYFUNCTION("""COMPUTED_VALUE"""),40.0)</f>
        <v>40</v>
      </c>
      <c r="E82" s="136" t="str">
        <f>IFERROR(__xludf.DUMMYFUNCTION("""COMPUTED_VALUE"""),"L")</f>
        <v>L</v>
      </c>
      <c r="F82" s="133">
        <f>IFERROR(__xludf.DUMMYFUNCTION("""COMPUTED_VALUE"""),40.0)</f>
        <v>40</v>
      </c>
      <c r="G82" s="136" t="str">
        <f>IFERROR(__xludf.DUMMYFUNCTION("""COMPUTED_VALUE"""),"L")</f>
        <v>L</v>
      </c>
      <c r="H82" s="133">
        <f>IFERROR(__xludf.DUMMYFUNCTION("""COMPUTED_VALUE"""),44.0)</f>
        <v>44</v>
      </c>
      <c r="I82" s="136" t="str">
        <f>IFERROR(__xludf.DUMMYFUNCTION("""COMPUTED_VALUE"""),"L")</f>
        <v>L</v>
      </c>
      <c r="J82" s="137"/>
      <c r="K82" s="138"/>
      <c r="L82" s="92">
        <f>IFERROR(__xludf.DUMMYFUNCTION("""COMPUTED_VALUE"""),42.0)</f>
        <v>42</v>
      </c>
      <c r="M82" s="95" t="str">
        <f>IFERROR(__xludf.DUMMYFUNCTION("""COMPUTED_VALUE"""),"L")</f>
        <v>L</v>
      </c>
      <c r="O82" s="96">
        <f>IFERROR(__xludf.DUMMYFUNCTION("""COMPUTED_VALUE"""),0.0)</f>
        <v>0</v>
      </c>
      <c r="P82" s="98">
        <f>IFERROR(__xludf.DUMMYFUNCTION("""COMPUTED_VALUE"""),0.0)</f>
        <v>0</v>
      </c>
      <c r="Q82" s="98">
        <f>IFERROR(__xludf.DUMMYFUNCTION("""COMPUTED_VALUE"""),5.0)</f>
        <v>5</v>
      </c>
      <c r="R82" s="127">
        <f>IFERROR(__xludf.DUMMYFUNCTION("""COMPUTED_VALUE"""),0.0)</f>
        <v>0</v>
      </c>
      <c r="S82" s="103">
        <f>IFERROR(__xludf.DUMMYFUNCTION("""COMPUTED_VALUE"""),214.0)</f>
        <v>214</v>
      </c>
      <c r="T82" s="105">
        <f>IFERROR(__xludf.DUMMYFUNCTION("""COMPUTED_VALUE"""),42.8)</f>
        <v>42.8</v>
      </c>
      <c r="U82" s="107" t="str">
        <f>IFERROR(__xludf.DUMMYFUNCTION("""COMPUTED_VALUE"""),"6")</f>
        <v>6</v>
      </c>
      <c r="V82" s="109" t="str">
        <f>IFERROR(__xludf.DUMMYFUNCTION("""COMPUTED_VALUE"""),"PRISMS")</f>
        <v>PRISMS</v>
      </c>
      <c r="W82" s="111"/>
      <c r="X82" s="31"/>
      <c r="Y82" s="31"/>
      <c r="Z82" s="31"/>
      <c r="AA82" s="31"/>
      <c r="AB82" s="31"/>
      <c r="AC82" s="29"/>
      <c r="AD82" s="29"/>
      <c r="AE82" s="31"/>
      <c r="AF82" s="29"/>
      <c r="AG82" s="31"/>
      <c r="AH82" s="69"/>
      <c r="AI82" s="31"/>
      <c r="AJ82" s="31"/>
      <c r="AK82" s="31"/>
      <c r="AL82" s="31"/>
      <c r="AM82" s="31"/>
      <c r="AN82" s="31"/>
      <c r="AO82" s="31"/>
      <c r="AP82" s="31"/>
      <c r="AQ82" s="31"/>
      <c r="AR82" s="31"/>
    </row>
    <row r="83" ht="18.75" customHeight="1">
      <c r="A83" s="116" t="str">
        <f>IFERROR(__xludf.DUMMYFUNCTION("""COMPUTED_VALUE"""),"WWPN")</f>
        <v>WWPN</v>
      </c>
      <c r="B83" s="117">
        <f>IFERROR(__xludf.DUMMYFUNCTION("""COMPUTED_VALUE"""),82.0)</f>
        <v>82</v>
      </c>
      <c r="C83" s="136" t="str">
        <f>IFERROR(__xludf.DUMMYFUNCTION("""COMPUTED_VALUE"""),"L")</f>
        <v>L</v>
      </c>
      <c r="D83" s="133">
        <f>IFERROR(__xludf.DUMMYFUNCTION("""COMPUTED_VALUE"""),68.0)</f>
        <v>68</v>
      </c>
      <c r="E83" s="136" t="str">
        <f>IFERROR(__xludf.DUMMYFUNCTION("""COMPUTED_VALUE"""),"L")</f>
        <v>L</v>
      </c>
      <c r="F83" s="133">
        <f>IFERROR(__xludf.DUMMYFUNCTION("""COMPUTED_VALUE"""),92.0)</f>
        <v>92</v>
      </c>
      <c r="G83" s="118" t="str">
        <f>IFERROR(__xludf.DUMMYFUNCTION("""COMPUTED_VALUE"""),"L")</f>
        <v>L</v>
      </c>
      <c r="H83" s="133">
        <f>IFERROR(__xludf.DUMMYFUNCTION("""COMPUTED_VALUE"""),106.0)</f>
        <v>106</v>
      </c>
      <c r="I83" s="136" t="str">
        <f>IFERROR(__xludf.DUMMYFUNCTION("""COMPUTED_VALUE"""),"W")</f>
        <v>W</v>
      </c>
      <c r="J83" s="133">
        <f>IFERROR(__xludf.DUMMYFUNCTION("""COMPUTED_VALUE"""),116.0)</f>
        <v>116</v>
      </c>
      <c r="K83" s="136" t="str">
        <f>IFERROR(__xludf.DUMMYFUNCTION("""COMPUTED_VALUE"""),"W")</f>
        <v>W</v>
      </c>
      <c r="L83" s="139"/>
      <c r="M83" s="140"/>
      <c r="N83" s="78"/>
      <c r="O83" s="96">
        <f>IFERROR(__xludf.DUMMYFUNCTION("""COMPUTED_VALUE"""),2.0)</f>
        <v>2</v>
      </c>
      <c r="P83" s="98">
        <f>IFERROR(__xludf.DUMMYFUNCTION("""COMPUTED_VALUE"""),0.0)</f>
        <v>0</v>
      </c>
      <c r="Q83" s="98">
        <f>IFERROR(__xludf.DUMMYFUNCTION("""COMPUTED_VALUE"""),3.0)</f>
        <v>3</v>
      </c>
      <c r="R83" s="127">
        <f>IFERROR(__xludf.DUMMYFUNCTION("""COMPUTED_VALUE"""),2.0)</f>
        <v>2</v>
      </c>
      <c r="S83" s="103">
        <f>IFERROR(__xludf.DUMMYFUNCTION("""COMPUTED_VALUE"""),464.0)</f>
        <v>464</v>
      </c>
      <c r="T83" s="105">
        <f>IFERROR(__xludf.DUMMYFUNCTION("""COMPUTED_VALUE"""),92.8)</f>
        <v>92.8</v>
      </c>
      <c r="U83" s="141" t="str">
        <f>IFERROR(__xludf.DUMMYFUNCTION("""COMPUTED_VALUE"""),"5")</f>
        <v>5</v>
      </c>
      <c r="V83" s="109" t="str">
        <f>IFERROR(__xludf.DUMMYFUNCTION("""COMPUTED_VALUE"""),"WWPN")</f>
        <v>WWPN</v>
      </c>
      <c r="W83" s="111"/>
      <c r="X83" s="31"/>
      <c r="Y83" s="31"/>
      <c r="Z83" s="31"/>
      <c r="AA83" s="31"/>
      <c r="AB83" s="31"/>
      <c r="AC83" s="29"/>
      <c r="AD83" s="29"/>
      <c r="AE83" s="31"/>
      <c r="AF83" s="29"/>
      <c r="AG83" s="31"/>
      <c r="AH83" s="69"/>
      <c r="AI83" s="31"/>
      <c r="AJ83" s="31"/>
      <c r="AK83" s="31"/>
      <c r="AL83" s="31"/>
      <c r="AM83" s="31"/>
      <c r="AN83" s="31"/>
      <c r="AO83" s="31"/>
      <c r="AP83" s="31"/>
      <c r="AQ83" s="31"/>
      <c r="AR83" s="31"/>
    </row>
    <row r="84" ht="18.75" customHeight="1">
      <c r="A84" s="142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43"/>
      <c r="W84" s="31"/>
      <c r="X84" s="31"/>
      <c r="Y84" s="31"/>
      <c r="Z84" s="31"/>
      <c r="AA84" s="31"/>
      <c r="AB84" s="31"/>
      <c r="AC84" s="29"/>
      <c r="AD84" s="29"/>
      <c r="AE84" s="31"/>
      <c r="AF84" s="29"/>
      <c r="AG84" s="31"/>
      <c r="AH84" s="69"/>
      <c r="AI84" s="31"/>
      <c r="AJ84" s="31"/>
      <c r="AK84" s="31"/>
      <c r="AL84" s="31"/>
      <c r="AM84" s="31"/>
      <c r="AN84" s="31"/>
      <c r="AO84" s="31"/>
      <c r="AP84" s="31"/>
      <c r="AQ84" s="31"/>
      <c r="AR84" s="31"/>
    </row>
    <row r="85" ht="18.75" customHeight="1">
      <c r="A85" s="29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144"/>
      <c r="S85" s="31"/>
      <c r="T85" s="31"/>
      <c r="U85" s="38"/>
      <c r="V85" s="31"/>
      <c r="W85" s="31"/>
      <c r="X85" s="31"/>
      <c r="Y85" s="31"/>
      <c r="Z85" s="31"/>
      <c r="AA85" s="31"/>
      <c r="AB85" s="31"/>
      <c r="AC85" s="29"/>
      <c r="AD85" s="29"/>
      <c r="AE85" s="31"/>
      <c r="AF85" s="29"/>
      <c r="AG85" s="31"/>
      <c r="AH85" s="69"/>
      <c r="AI85" s="31"/>
      <c r="AJ85" s="31"/>
      <c r="AK85" s="31"/>
      <c r="AL85" s="31"/>
      <c r="AM85" s="31"/>
      <c r="AN85" s="31"/>
      <c r="AO85" s="31"/>
      <c r="AP85" s="31"/>
      <c r="AQ85" s="31"/>
      <c r="AR85" s="31"/>
    </row>
    <row r="86" ht="18.75" customHeight="1">
      <c r="A86" s="29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144"/>
      <c r="S86" s="31"/>
      <c r="T86" s="31"/>
      <c r="U86" s="38"/>
      <c r="V86" s="31"/>
      <c r="W86" s="31"/>
      <c r="X86" s="31"/>
      <c r="Y86" s="31"/>
      <c r="Z86" s="31"/>
      <c r="AA86" s="31"/>
      <c r="AB86" s="31"/>
      <c r="AC86" s="29"/>
      <c r="AD86" s="29"/>
      <c r="AE86" s="31"/>
      <c r="AF86" s="29"/>
      <c r="AG86" s="31"/>
      <c r="AH86" s="69"/>
      <c r="AI86" s="31"/>
      <c r="AJ86" s="31"/>
      <c r="AK86" s="31"/>
      <c r="AL86" s="31"/>
      <c r="AM86" s="31"/>
      <c r="AN86" s="31"/>
      <c r="AO86" s="31"/>
      <c r="AP86" s="31"/>
      <c r="AQ86" s="31"/>
      <c r="AR86" s="31"/>
    </row>
    <row r="87" ht="18.75" customHeight="1">
      <c r="A87" s="47" t="str">
        <f>IFERROR(__xludf.DUMMYFUNCTION("""COMPUTED_VALUE"""),"Hawking")</f>
        <v>Hawking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50"/>
      <c r="S87" s="13"/>
      <c r="T87" s="13"/>
      <c r="U87" s="52"/>
      <c r="V87" s="13"/>
      <c r="W87" s="31"/>
      <c r="X87" s="31"/>
      <c r="Y87" s="31"/>
      <c r="Z87" s="31"/>
      <c r="AA87" s="31"/>
      <c r="AB87" s="31"/>
      <c r="AC87" s="29"/>
      <c r="AD87" s="29"/>
      <c r="AE87" s="31"/>
      <c r="AF87" s="29"/>
      <c r="AG87" s="31"/>
      <c r="AH87" s="69"/>
      <c r="AI87" s="31"/>
      <c r="AJ87" s="31"/>
      <c r="AK87" s="31"/>
      <c r="AL87" s="31"/>
      <c r="AM87" s="31"/>
      <c r="AN87" s="31"/>
      <c r="AO87" s="31"/>
      <c r="AP87" s="31"/>
      <c r="AQ87" s="31"/>
      <c r="AR87" s="31"/>
    </row>
    <row r="88" ht="18.75" customHeight="1">
      <c r="A88" s="61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6"/>
      <c r="W88" s="31"/>
      <c r="X88" s="31"/>
      <c r="Y88" s="31"/>
      <c r="Z88" s="31"/>
      <c r="AA88" s="31"/>
      <c r="AB88" s="31"/>
      <c r="AC88" s="29"/>
      <c r="AD88" s="29"/>
      <c r="AE88" s="31"/>
      <c r="AF88" s="29"/>
      <c r="AG88" s="31"/>
      <c r="AH88" s="69"/>
      <c r="AI88" s="31"/>
      <c r="AJ88" s="31"/>
      <c r="AK88" s="31"/>
      <c r="AL88" s="31"/>
      <c r="AM88" s="31"/>
      <c r="AN88" s="31"/>
      <c r="AO88" s="31"/>
      <c r="AP88" s="31"/>
      <c r="AQ88" s="31"/>
      <c r="AR88" s="31"/>
    </row>
    <row r="89" ht="18.75" customHeight="1">
      <c r="A89" s="70" t="str">
        <f>IFERROR(__xludf.DUMMYFUNCTION("""COMPUTED_VALUE"""),"Team")</f>
        <v>Team</v>
      </c>
      <c r="B89" s="29" t="str">
        <f>IFERROR(__xludf.DUMMYFUNCTION("""COMPUTED_VALUE"""),"AHS Broward")</f>
        <v>AHS Broward</v>
      </c>
      <c r="D89" s="71" t="str">
        <f>IFERROR(__xludf.DUMMYFUNCTION("""COMPUTED_VALUE"""),"JP Stevens")</f>
        <v>JP Stevens</v>
      </c>
      <c r="E89" s="72"/>
      <c r="F89" s="71" t="str">
        <f>IFERROR(__xludf.DUMMYFUNCTION("""COMPUTED_VALUE"""),"Lexington B")</f>
        <v>Lexington B</v>
      </c>
      <c r="G89" s="72"/>
      <c r="H89" s="71" t="str">
        <f>IFERROR(__xludf.DUMMYFUNCTION("""COMPUTED_VALUE"""),"NCSSM A")</f>
        <v>NCSSM A</v>
      </c>
      <c r="I89" s="72"/>
      <c r="J89" s="71" t="str">
        <f>IFERROR(__xludf.DUMMYFUNCTION("""COMPUTED_VALUE"""),"NoHo B")</f>
        <v>NoHo B</v>
      </c>
      <c r="K89" s="72"/>
      <c r="L89" s="71" t="str">
        <f>IFERROR(__xludf.DUMMYFUNCTION("""COMPUTED_VALUE"""),"Shen")</f>
        <v>Shen</v>
      </c>
      <c r="M89" s="72"/>
      <c r="N89" s="78"/>
      <c r="O89" s="80" t="str">
        <f>IFERROR(__xludf.DUMMYFUNCTION("""COMPUTED_VALUE"""),"W")</f>
        <v>W</v>
      </c>
      <c r="P89" s="80" t="str">
        <f>IFERROR(__xludf.DUMMYFUNCTION("""COMPUTED_VALUE"""),"T")</f>
        <v>T</v>
      </c>
      <c r="Q89" s="80" t="str">
        <f>IFERROR(__xludf.DUMMYFUNCTION("""COMPUTED_VALUE"""),"L")</f>
        <v>L</v>
      </c>
      <c r="R89" s="81" t="str">
        <f>IFERROR(__xludf.DUMMYFUNCTION("""COMPUTED_VALUE"""),"W/L Score")</f>
        <v>W/L Score</v>
      </c>
      <c r="S89" s="80" t="str">
        <f>IFERROR(__xludf.DUMMYFUNCTION("""COMPUTED_VALUE"""),"Points")</f>
        <v>Points</v>
      </c>
      <c r="T89" s="80" t="str">
        <f>IFERROR(__xludf.DUMMYFUNCTION("""COMPUTED_VALUE"""),"Average")</f>
        <v>Average</v>
      </c>
      <c r="U89" s="82" t="str">
        <f>IFERROR(__xludf.DUMMYFUNCTION("""COMPUTED_VALUE"""),"Rank")</f>
        <v>Rank</v>
      </c>
      <c r="V89" s="83"/>
      <c r="W89" s="31"/>
      <c r="X89" s="31"/>
      <c r="Y89" s="31"/>
      <c r="Z89" s="31"/>
      <c r="AA89" s="31"/>
      <c r="AB89" s="31"/>
      <c r="AC89" s="29"/>
      <c r="AD89" s="29"/>
      <c r="AE89" s="31"/>
      <c r="AF89" s="29"/>
      <c r="AG89" s="31"/>
      <c r="AH89" s="69"/>
      <c r="AI89" s="31"/>
      <c r="AJ89" s="31"/>
      <c r="AK89" s="31"/>
      <c r="AL89" s="31"/>
      <c r="AM89" s="31"/>
      <c r="AN89" s="31"/>
      <c r="AO89" s="31"/>
      <c r="AP89" s="31"/>
      <c r="AQ89" s="31"/>
      <c r="AR89" s="31"/>
    </row>
    <row r="90" ht="18.75" customHeight="1">
      <c r="A90" s="85" t="str">
        <f>IFERROR(__xludf.DUMMYFUNCTION("""COMPUTED_VALUE"""),"AHS Broward")</f>
        <v>AHS Broward</v>
      </c>
      <c r="B90" s="89"/>
      <c r="C90" s="90"/>
      <c r="D90" s="92">
        <f>IFERROR(__xludf.DUMMYFUNCTION("""COMPUTED_VALUE"""),178.0)</f>
        <v>178</v>
      </c>
      <c r="E90" s="93" t="str">
        <f>IFERROR(__xludf.DUMMYFUNCTION("""COMPUTED_VALUE"""),"W")</f>
        <v>W</v>
      </c>
      <c r="F90" s="92">
        <f>IFERROR(__xludf.DUMMYFUNCTION("""COMPUTED_VALUE"""),30.0)</f>
        <v>30</v>
      </c>
      <c r="G90" s="93" t="str">
        <f>IFERROR(__xludf.DUMMYFUNCTION("""COMPUTED_VALUE"""),"L")</f>
        <v>L</v>
      </c>
      <c r="H90" s="92">
        <f>IFERROR(__xludf.DUMMYFUNCTION("""COMPUTED_VALUE"""),52.0)</f>
        <v>52</v>
      </c>
      <c r="I90" s="93" t="str">
        <f>IFERROR(__xludf.DUMMYFUNCTION("""COMPUTED_VALUE"""),"L")</f>
        <v>L</v>
      </c>
      <c r="J90" s="92">
        <f>IFERROR(__xludf.DUMMYFUNCTION("""COMPUTED_VALUE"""),96.0)</f>
        <v>96</v>
      </c>
      <c r="K90" s="95" t="str">
        <f>IFERROR(__xludf.DUMMYFUNCTION("""COMPUTED_VALUE"""),"L")</f>
        <v>L</v>
      </c>
      <c r="L90" s="92">
        <f>IFERROR(__xludf.DUMMYFUNCTION("""COMPUTED_VALUE"""),162.0)</f>
        <v>162</v>
      </c>
      <c r="M90" s="95" t="str">
        <f>IFERROR(__xludf.DUMMYFUNCTION("""COMPUTED_VALUE"""),"W")</f>
        <v>W</v>
      </c>
      <c r="O90" s="96">
        <f>IFERROR(__xludf.DUMMYFUNCTION("""COMPUTED_VALUE"""),2.0)</f>
        <v>2</v>
      </c>
      <c r="P90" s="98">
        <f>IFERROR(__xludf.DUMMYFUNCTION("""COMPUTED_VALUE"""),0.0)</f>
        <v>0</v>
      </c>
      <c r="Q90" s="98">
        <f>IFERROR(__xludf.DUMMYFUNCTION("""COMPUTED_VALUE"""),3.0)</f>
        <v>3</v>
      </c>
      <c r="R90" s="127">
        <f>IFERROR(__xludf.DUMMYFUNCTION("""COMPUTED_VALUE"""),2.0)</f>
        <v>2</v>
      </c>
      <c r="S90" s="103">
        <f>IFERROR(__xludf.DUMMYFUNCTION("""COMPUTED_VALUE"""),518.0)</f>
        <v>518</v>
      </c>
      <c r="T90" s="105">
        <f>IFERROR(__xludf.DUMMYFUNCTION("""COMPUTED_VALUE"""),103.6)</f>
        <v>103.6</v>
      </c>
      <c r="U90" s="107" t="str">
        <f>IFERROR(__xludf.DUMMYFUNCTION("""COMPUTED_VALUE"""),"3")</f>
        <v>3</v>
      </c>
      <c r="V90" s="109" t="str">
        <f>IFERROR(__xludf.DUMMYFUNCTION("""COMPUTED_VALUE"""),"AHS Broward")</f>
        <v>AHS Broward</v>
      </c>
      <c r="W90" s="111"/>
      <c r="X90" s="31"/>
      <c r="Y90" s="31"/>
      <c r="Z90" s="31"/>
      <c r="AA90" s="31"/>
      <c r="AB90" s="31"/>
      <c r="AC90" s="29"/>
      <c r="AD90" s="29"/>
      <c r="AE90" s="31"/>
      <c r="AF90" s="29"/>
      <c r="AG90" s="31"/>
      <c r="AH90" s="69"/>
      <c r="AI90" s="31"/>
      <c r="AJ90" s="31"/>
      <c r="AK90" s="31"/>
      <c r="AL90" s="31"/>
      <c r="AM90" s="31"/>
      <c r="AN90" s="31"/>
      <c r="AO90" s="31"/>
      <c r="AP90" s="31"/>
      <c r="AQ90" s="31"/>
      <c r="AR90" s="31"/>
    </row>
    <row r="91" ht="18.75" customHeight="1">
      <c r="A91" s="116" t="str">
        <f>IFERROR(__xludf.DUMMYFUNCTION("""COMPUTED_VALUE"""),"JP Stevens")</f>
        <v>JP Stevens</v>
      </c>
      <c r="B91" s="117">
        <f>IFERROR(__xludf.DUMMYFUNCTION("""COMPUTED_VALUE"""),22.0)</f>
        <v>22</v>
      </c>
      <c r="C91" s="118" t="str">
        <f>IFERROR(__xludf.DUMMYFUNCTION("""COMPUTED_VALUE"""),"L")</f>
        <v>L</v>
      </c>
      <c r="D91" s="120"/>
      <c r="E91" s="121"/>
      <c r="F91" s="92">
        <f>IFERROR(__xludf.DUMMYFUNCTION("""COMPUTED_VALUE"""),20.0)</f>
        <v>20</v>
      </c>
      <c r="G91" s="118" t="str">
        <f>IFERROR(__xludf.DUMMYFUNCTION("""COMPUTED_VALUE"""),"L")</f>
        <v>L</v>
      </c>
      <c r="H91" s="92">
        <f>IFERROR(__xludf.DUMMYFUNCTION("""COMPUTED_VALUE"""),16.0)</f>
        <v>16</v>
      </c>
      <c r="I91" s="118" t="str">
        <f>IFERROR(__xludf.DUMMYFUNCTION("""COMPUTED_VALUE"""),"L")</f>
        <v>L</v>
      </c>
      <c r="J91" s="92">
        <f>IFERROR(__xludf.DUMMYFUNCTION("""COMPUTED_VALUE"""),26.0)</f>
        <v>26</v>
      </c>
      <c r="K91" s="125" t="str">
        <f>IFERROR(__xludf.DUMMYFUNCTION("""COMPUTED_VALUE"""),"L")</f>
        <v>L</v>
      </c>
      <c r="L91" s="92">
        <f>IFERROR(__xludf.DUMMYFUNCTION("""COMPUTED_VALUE"""),48.0)</f>
        <v>48</v>
      </c>
      <c r="M91" s="95" t="str">
        <f>IFERROR(__xludf.DUMMYFUNCTION("""COMPUTED_VALUE"""),"L")</f>
        <v>L</v>
      </c>
      <c r="O91" s="96">
        <f>IFERROR(__xludf.DUMMYFUNCTION("""COMPUTED_VALUE"""),0.0)</f>
        <v>0</v>
      </c>
      <c r="P91" s="98">
        <f>IFERROR(__xludf.DUMMYFUNCTION("""COMPUTED_VALUE"""),0.0)</f>
        <v>0</v>
      </c>
      <c r="Q91" s="98">
        <f>IFERROR(__xludf.DUMMYFUNCTION("""COMPUTED_VALUE"""),5.0)</f>
        <v>5</v>
      </c>
      <c r="R91" s="127">
        <f>IFERROR(__xludf.DUMMYFUNCTION("""COMPUTED_VALUE"""),0.0)</f>
        <v>0</v>
      </c>
      <c r="S91" s="103">
        <f>IFERROR(__xludf.DUMMYFUNCTION("""COMPUTED_VALUE"""),132.0)</f>
        <v>132</v>
      </c>
      <c r="T91" s="105">
        <f>IFERROR(__xludf.DUMMYFUNCTION("""COMPUTED_VALUE"""),26.4)</f>
        <v>26.4</v>
      </c>
      <c r="U91" s="107" t="str">
        <f>IFERROR(__xludf.DUMMYFUNCTION("""COMPUTED_VALUE"""),"6")</f>
        <v>6</v>
      </c>
      <c r="V91" s="109" t="str">
        <f>IFERROR(__xludf.DUMMYFUNCTION("""COMPUTED_VALUE"""),"JP Stevens")</f>
        <v>JP Stevens</v>
      </c>
      <c r="W91" s="111"/>
      <c r="X91" s="31"/>
      <c r="Y91" s="31"/>
      <c r="Z91" s="31"/>
      <c r="AA91" s="31"/>
      <c r="AB91" s="31"/>
      <c r="AC91" s="29"/>
      <c r="AD91" s="29"/>
      <c r="AE91" s="31"/>
      <c r="AF91" s="29"/>
      <c r="AG91" s="31"/>
      <c r="AH91" s="69"/>
      <c r="AI91" s="31"/>
      <c r="AJ91" s="31"/>
      <c r="AK91" s="31"/>
      <c r="AL91" s="31"/>
      <c r="AM91" s="31"/>
      <c r="AN91" s="31"/>
      <c r="AO91" s="31"/>
      <c r="AP91" s="31"/>
      <c r="AQ91" s="31"/>
      <c r="AR91" s="31"/>
    </row>
    <row r="92" ht="18.75" customHeight="1">
      <c r="A92" s="116" t="str">
        <f>IFERROR(__xludf.DUMMYFUNCTION("""COMPUTED_VALUE"""),"Lexington B")</f>
        <v>Lexington B</v>
      </c>
      <c r="B92" s="117">
        <f>IFERROR(__xludf.DUMMYFUNCTION("""COMPUTED_VALUE"""),94.0)</f>
        <v>94</v>
      </c>
      <c r="C92" s="118" t="str">
        <f>IFERROR(__xludf.DUMMYFUNCTION("""COMPUTED_VALUE"""),"W")</f>
        <v>W</v>
      </c>
      <c r="D92" s="133">
        <f>IFERROR(__xludf.DUMMYFUNCTION("""COMPUTED_VALUE"""),100.0)</f>
        <v>100</v>
      </c>
      <c r="E92" s="118" t="str">
        <f>IFERROR(__xludf.DUMMYFUNCTION("""COMPUTED_VALUE"""),"W")</f>
        <v>W</v>
      </c>
      <c r="F92" s="120"/>
      <c r="G92" s="121"/>
      <c r="H92" s="92">
        <f>IFERROR(__xludf.DUMMYFUNCTION("""COMPUTED_VALUE"""),84.0)</f>
        <v>84</v>
      </c>
      <c r="I92" s="118" t="str">
        <f>IFERROR(__xludf.DUMMYFUNCTION("""COMPUTED_VALUE"""),"L")</f>
        <v>L</v>
      </c>
      <c r="J92" s="92">
        <f>IFERROR(__xludf.DUMMYFUNCTION("""COMPUTED_VALUE"""),90.0)</f>
        <v>90</v>
      </c>
      <c r="K92" s="125" t="str">
        <f>IFERROR(__xludf.DUMMYFUNCTION("""COMPUTED_VALUE"""),"W")</f>
        <v>W</v>
      </c>
      <c r="L92" s="92">
        <f>IFERROR(__xludf.DUMMYFUNCTION("""COMPUTED_VALUE"""),162.0)</f>
        <v>162</v>
      </c>
      <c r="M92" s="95" t="str">
        <f>IFERROR(__xludf.DUMMYFUNCTION("""COMPUTED_VALUE"""),"W")</f>
        <v>W</v>
      </c>
      <c r="O92" s="96">
        <f>IFERROR(__xludf.DUMMYFUNCTION("""COMPUTED_VALUE"""),4.0)</f>
        <v>4</v>
      </c>
      <c r="P92" s="98">
        <f>IFERROR(__xludf.DUMMYFUNCTION("""COMPUTED_VALUE"""),0.0)</f>
        <v>0</v>
      </c>
      <c r="Q92" s="98">
        <f>IFERROR(__xludf.DUMMYFUNCTION("""COMPUTED_VALUE"""),1.0)</f>
        <v>1</v>
      </c>
      <c r="R92" s="127">
        <f>IFERROR(__xludf.DUMMYFUNCTION("""COMPUTED_VALUE"""),4.0)</f>
        <v>4</v>
      </c>
      <c r="S92" s="103">
        <f>IFERROR(__xludf.DUMMYFUNCTION("""COMPUTED_VALUE"""),530.0)</f>
        <v>530</v>
      </c>
      <c r="T92" s="105">
        <f>IFERROR(__xludf.DUMMYFUNCTION("""COMPUTED_VALUE"""),106.0)</f>
        <v>106</v>
      </c>
      <c r="U92" s="107" t="str">
        <f>IFERROR(__xludf.DUMMYFUNCTION("""COMPUTED_VALUE"""),"2")</f>
        <v>2</v>
      </c>
      <c r="V92" s="109" t="str">
        <f>IFERROR(__xludf.DUMMYFUNCTION("""COMPUTED_VALUE"""),"Lexington B")</f>
        <v>Lexington B</v>
      </c>
      <c r="W92" s="111"/>
      <c r="X92" s="31"/>
      <c r="Y92" s="31"/>
      <c r="Z92" s="31"/>
      <c r="AA92" s="31"/>
      <c r="AB92" s="31"/>
      <c r="AC92" s="29"/>
      <c r="AD92" s="29"/>
      <c r="AE92" s="31"/>
      <c r="AF92" s="29"/>
      <c r="AG92" s="31"/>
      <c r="AH92" s="69"/>
      <c r="AI92" s="31"/>
      <c r="AJ92" s="31"/>
      <c r="AK92" s="31"/>
      <c r="AL92" s="31"/>
      <c r="AM92" s="31"/>
      <c r="AN92" s="31"/>
      <c r="AO92" s="31"/>
      <c r="AP92" s="31"/>
      <c r="AQ92" s="31"/>
      <c r="AR92" s="31"/>
    </row>
    <row r="93" ht="18.75" customHeight="1">
      <c r="A93" s="116" t="str">
        <f>IFERROR(__xludf.DUMMYFUNCTION("""COMPUTED_VALUE"""),"NCSSM A")</f>
        <v>NCSSM A</v>
      </c>
      <c r="B93" s="117">
        <f>IFERROR(__xludf.DUMMYFUNCTION("""COMPUTED_VALUE"""),98.0)</f>
        <v>98</v>
      </c>
      <c r="C93" s="118" t="str">
        <f>IFERROR(__xludf.DUMMYFUNCTION("""COMPUTED_VALUE"""),"W")</f>
        <v>W</v>
      </c>
      <c r="D93" s="133">
        <f>IFERROR(__xludf.DUMMYFUNCTION("""COMPUTED_VALUE"""),80.0)</f>
        <v>80</v>
      </c>
      <c r="E93" s="118" t="str">
        <f>IFERROR(__xludf.DUMMYFUNCTION("""COMPUTED_VALUE"""),"W")</f>
        <v>W</v>
      </c>
      <c r="F93" s="133">
        <f>IFERROR(__xludf.DUMMYFUNCTION("""COMPUTED_VALUE"""),128.0)</f>
        <v>128</v>
      </c>
      <c r="G93" s="118" t="str">
        <f>IFERROR(__xludf.DUMMYFUNCTION("""COMPUTED_VALUE"""),"W")</f>
        <v>W</v>
      </c>
      <c r="H93" s="120"/>
      <c r="I93" s="121"/>
      <c r="J93" s="92">
        <f>IFERROR(__xludf.DUMMYFUNCTION("""COMPUTED_VALUE"""),154.0)</f>
        <v>154</v>
      </c>
      <c r="K93" s="125" t="str">
        <f>IFERROR(__xludf.DUMMYFUNCTION("""COMPUTED_VALUE"""),"W")</f>
        <v>W</v>
      </c>
      <c r="L93" s="92">
        <f>IFERROR(__xludf.DUMMYFUNCTION("""COMPUTED_VALUE"""),114.0)</f>
        <v>114</v>
      </c>
      <c r="M93" s="95" t="str">
        <f>IFERROR(__xludf.DUMMYFUNCTION("""COMPUTED_VALUE"""),"W")</f>
        <v>W</v>
      </c>
      <c r="O93" s="96">
        <f>IFERROR(__xludf.DUMMYFUNCTION("""COMPUTED_VALUE"""),5.0)</f>
        <v>5</v>
      </c>
      <c r="P93" s="98">
        <f>IFERROR(__xludf.DUMMYFUNCTION("""COMPUTED_VALUE"""),0.0)</f>
        <v>0</v>
      </c>
      <c r="Q93" s="98">
        <f>IFERROR(__xludf.DUMMYFUNCTION("""COMPUTED_VALUE"""),0.0)</f>
        <v>0</v>
      </c>
      <c r="R93" s="127">
        <f>IFERROR(__xludf.DUMMYFUNCTION("""COMPUTED_VALUE"""),5.0)</f>
        <v>5</v>
      </c>
      <c r="S93" s="103">
        <f>IFERROR(__xludf.DUMMYFUNCTION("""COMPUTED_VALUE"""),574.0)</f>
        <v>574</v>
      </c>
      <c r="T93" s="105">
        <f>IFERROR(__xludf.DUMMYFUNCTION("""COMPUTED_VALUE"""),114.8)</f>
        <v>114.8</v>
      </c>
      <c r="U93" s="107" t="str">
        <f>IFERROR(__xludf.DUMMYFUNCTION("""COMPUTED_VALUE"""),"1")</f>
        <v>1</v>
      </c>
      <c r="V93" s="109" t="str">
        <f>IFERROR(__xludf.DUMMYFUNCTION("""COMPUTED_VALUE"""),"NCSSM A")</f>
        <v>NCSSM A</v>
      </c>
      <c r="W93" s="111"/>
      <c r="X93" s="31"/>
      <c r="Y93" s="31"/>
      <c r="Z93" s="31"/>
      <c r="AA93" s="31"/>
      <c r="AB93" s="31"/>
      <c r="AC93" s="29"/>
      <c r="AD93" s="29"/>
      <c r="AE93" s="31"/>
      <c r="AF93" s="29"/>
      <c r="AG93" s="31"/>
      <c r="AH93" s="69"/>
      <c r="AI93" s="31"/>
      <c r="AJ93" s="31"/>
      <c r="AK93" s="31"/>
      <c r="AL93" s="31"/>
      <c r="AM93" s="31"/>
      <c r="AN93" s="31"/>
      <c r="AO93" s="31"/>
      <c r="AP93" s="31"/>
      <c r="AQ93" s="31"/>
      <c r="AR93" s="31"/>
    </row>
    <row r="94" ht="18.75" customHeight="1">
      <c r="A94" s="116" t="str">
        <f>IFERROR(__xludf.DUMMYFUNCTION("""COMPUTED_VALUE"""),"NoHo B")</f>
        <v>NoHo B</v>
      </c>
      <c r="B94" s="117">
        <f>IFERROR(__xludf.DUMMYFUNCTION("""COMPUTED_VALUE"""),100.0)</f>
        <v>100</v>
      </c>
      <c r="C94" s="136" t="str">
        <f>IFERROR(__xludf.DUMMYFUNCTION("""COMPUTED_VALUE"""),"W")</f>
        <v>W</v>
      </c>
      <c r="D94" s="133">
        <f>IFERROR(__xludf.DUMMYFUNCTION("""COMPUTED_VALUE"""),130.0)</f>
        <v>130</v>
      </c>
      <c r="E94" s="136" t="str">
        <f>IFERROR(__xludf.DUMMYFUNCTION("""COMPUTED_VALUE"""),"W")</f>
        <v>W</v>
      </c>
      <c r="F94" s="133">
        <f>IFERROR(__xludf.DUMMYFUNCTION("""COMPUTED_VALUE"""),62.0)</f>
        <v>62</v>
      </c>
      <c r="G94" s="136" t="str">
        <f>IFERROR(__xludf.DUMMYFUNCTION("""COMPUTED_VALUE"""),"L")</f>
        <v>L</v>
      </c>
      <c r="H94" s="133">
        <f>IFERROR(__xludf.DUMMYFUNCTION("""COMPUTED_VALUE"""),76.0)</f>
        <v>76</v>
      </c>
      <c r="I94" s="136" t="str">
        <f>IFERROR(__xludf.DUMMYFUNCTION("""COMPUTED_VALUE"""),"L")</f>
        <v>L</v>
      </c>
      <c r="J94" s="137"/>
      <c r="K94" s="138"/>
      <c r="L94" s="92">
        <f>IFERROR(__xludf.DUMMYFUNCTION("""COMPUTED_VALUE"""),42.0)</f>
        <v>42</v>
      </c>
      <c r="M94" s="95" t="str">
        <f>IFERROR(__xludf.DUMMYFUNCTION("""COMPUTED_VALUE"""),"L")</f>
        <v>L</v>
      </c>
      <c r="O94" s="96">
        <f>IFERROR(__xludf.DUMMYFUNCTION("""COMPUTED_VALUE"""),2.0)</f>
        <v>2</v>
      </c>
      <c r="P94" s="98">
        <f>IFERROR(__xludf.DUMMYFUNCTION("""COMPUTED_VALUE"""),0.0)</f>
        <v>0</v>
      </c>
      <c r="Q94" s="98">
        <f>IFERROR(__xludf.DUMMYFUNCTION("""COMPUTED_VALUE"""),3.0)</f>
        <v>3</v>
      </c>
      <c r="R94" s="127">
        <f>IFERROR(__xludf.DUMMYFUNCTION("""COMPUTED_VALUE"""),2.0)</f>
        <v>2</v>
      </c>
      <c r="S94" s="103">
        <f>IFERROR(__xludf.DUMMYFUNCTION("""COMPUTED_VALUE"""),410.0)</f>
        <v>410</v>
      </c>
      <c r="T94" s="105">
        <f>IFERROR(__xludf.DUMMYFUNCTION("""COMPUTED_VALUE"""),82.0)</f>
        <v>82</v>
      </c>
      <c r="U94" s="107" t="str">
        <f>IFERROR(__xludf.DUMMYFUNCTION("""COMPUTED_VALUE"""),"5")</f>
        <v>5</v>
      </c>
      <c r="V94" s="109" t="str">
        <f>IFERROR(__xludf.DUMMYFUNCTION("""COMPUTED_VALUE"""),"NoHo B")</f>
        <v>NoHo B</v>
      </c>
      <c r="W94" s="111"/>
      <c r="X94" s="31"/>
      <c r="Y94" s="31"/>
      <c r="Z94" s="31"/>
      <c r="AA94" s="31"/>
      <c r="AB94" s="31"/>
      <c r="AC94" s="29"/>
      <c r="AD94" s="29"/>
      <c r="AE94" s="31"/>
      <c r="AF94" s="29"/>
      <c r="AG94" s="31"/>
      <c r="AH94" s="69"/>
      <c r="AI94" s="31"/>
      <c r="AJ94" s="31"/>
      <c r="AK94" s="31"/>
      <c r="AL94" s="31"/>
      <c r="AM94" s="31"/>
      <c r="AN94" s="31"/>
      <c r="AO94" s="31"/>
      <c r="AP94" s="31"/>
      <c r="AQ94" s="31"/>
      <c r="AR94" s="31"/>
    </row>
    <row r="95" ht="18.75" customHeight="1">
      <c r="A95" s="116" t="str">
        <f>IFERROR(__xludf.DUMMYFUNCTION("""COMPUTED_VALUE"""),"Shen")</f>
        <v>Shen</v>
      </c>
      <c r="B95" s="117">
        <f>IFERROR(__xludf.DUMMYFUNCTION("""COMPUTED_VALUE"""),78.0)</f>
        <v>78</v>
      </c>
      <c r="C95" s="136" t="str">
        <f>IFERROR(__xludf.DUMMYFUNCTION("""COMPUTED_VALUE"""),"L")</f>
        <v>L</v>
      </c>
      <c r="D95" s="133">
        <f>IFERROR(__xludf.DUMMYFUNCTION("""COMPUTED_VALUE"""),144.0)</f>
        <v>144</v>
      </c>
      <c r="E95" s="136" t="str">
        <f>IFERROR(__xludf.DUMMYFUNCTION("""COMPUTED_VALUE"""),"W")</f>
        <v>W</v>
      </c>
      <c r="F95" s="133">
        <f>IFERROR(__xludf.DUMMYFUNCTION("""COMPUTED_VALUE"""),76.0)</f>
        <v>76</v>
      </c>
      <c r="G95" s="118" t="str">
        <f>IFERROR(__xludf.DUMMYFUNCTION("""COMPUTED_VALUE"""),"L")</f>
        <v>L</v>
      </c>
      <c r="H95" s="133">
        <f>IFERROR(__xludf.DUMMYFUNCTION("""COMPUTED_VALUE"""),76.0)</f>
        <v>76</v>
      </c>
      <c r="I95" s="136" t="str">
        <f>IFERROR(__xludf.DUMMYFUNCTION("""COMPUTED_VALUE"""),"L")</f>
        <v>L</v>
      </c>
      <c r="J95" s="133">
        <f>IFERROR(__xludf.DUMMYFUNCTION("""COMPUTED_VALUE"""),104.0)</f>
        <v>104</v>
      </c>
      <c r="K95" s="136" t="str">
        <f>IFERROR(__xludf.DUMMYFUNCTION("""COMPUTED_VALUE"""),"W")</f>
        <v>W</v>
      </c>
      <c r="L95" s="139"/>
      <c r="M95" s="140"/>
      <c r="N95" s="78"/>
      <c r="O95" s="96">
        <f>IFERROR(__xludf.DUMMYFUNCTION("""COMPUTED_VALUE"""),2.0)</f>
        <v>2</v>
      </c>
      <c r="P95" s="98">
        <f>IFERROR(__xludf.DUMMYFUNCTION("""COMPUTED_VALUE"""),0.0)</f>
        <v>0</v>
      </c>
      <c r="Q95" s="98">
        <f>IFERROR(__xludf.DUMMYFUNCTION("""COMPUTED_VALUE"""),3.0)</f>
        <v>3</v>
      </c>
      <c r="R95" s="127">
        <f>IFERROR(__xludf.DUMMYFUNCTION("""COMPUTED_VALUE"""),2.0)</f>
        <v>2</v>
      </c>
      <c r="S95" s="103">
        <f>IFERROR(__xludf.DUMMYFUNCTION("""COMPUTED_VALUE"""),478.0)</f>
        <v>478</v>
      </c>
      <c r="T95" s="105">
        <f>IFERROR(__xludf.DUMMYFUNCTION("""COMPUTED_VALUE"""),95.6)</f>
        <v>95.6</v>
      </c>
      <c r="U95" s="141" t="str">
        <f>IFERROR(__xludf.DUMMYFUNCTION("""COMPUTED_VALUE"""),"4")</f>
        <v>4</v>
      </c>
      <c r="V95" s="109" t="str">
        <f>IFERROR(__xludf.DUMMYFUNCTION("""COMPUTED_VALUE"""),"Shen")</f>
        <v>Shen</v>
      </c>
      <c r="W95" s="111"/>
      <c r="X95" s="31"/>
      <c r="Y95" s="31"/>
      <c r="Z95" s="31"/>
      <c r="AA95" s="31"/>
      <c r="AB95" s="31"/>
      <c r="AC95" s="29"/>
      <c r="AD95" s="29"/>
      <c r="AE95" s="31"/>
      <c r="AF95" s="29"/>
      <c r="AG95" s="31"/>
      <c r="AH95" s="69"/>
      <c r="AI95" s="31"/>
      <c r="AJ95" s="31"/>
      <c r="AK95" s="31"/>
      <c r="AL95" s="31"/>
      <c r="AM95" s="31"/>
      <c r="AN95" s="31"/>
      <c r="AO95" s="31"/>
      <c r="AP95" s="31"/>
      <c r="AQ95" s="31"/>
      <c r="AR95" s="31"/>
    </row>
    <row r="96" ht="18.75" customHeight="1">
      <c r="A96" s="142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43"/>
      <c r="W96" s="31"/>
      <c r="X96" s="31"/>
      <c r="Y96" s="31"/>
      <c r="Z96" s="31"/>
      <c r="AA96" s="31"/>
      <c r="AB96" s="31"/>
      <c r="AC96" s="29"/>
      <c r="AD96" s="29"/>
      <c r="AE96" s="31"/>
      <c r="AF96" s="29"/>
      <c r="AG96" s="31"/>
      <c r="AH96" s="69"/>
      <c r="AI96" s="31"/>
      <c r="AJ96" s="31"/>
      <c r="AK96" s="31"/>
      <c r="AL96" s="31"/>
      <c r="AM96" s="31"/>
      <c r="AN96" s="31"/>
      <c r="AO96" s="31"/>
      <c r="AP96" s="31"/>
      <c r="AQ96" s="31"/>
      <c r="AR96" s="31"/>
    </row>
    <row r="97" ht="18.75" customHeight="1">
      <c r="A97" s="29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144"/>
      <c r="S97" s="31"/>
      <c r="T97" s="31"/>
      <c r="U97" s="38"/>
      <c r="V97" s="31"/>
      <c r="W97" s="31"/>
      <c r="X97" s="31"/>
      <c r="Y97" s="31"/>
      <c r="Z97" s="31"/>
      <c r="AA97" s="31"/>
      <c r="AB97" s="31"/>
      <c r="AC97" s="29"/>
      <c r="AD97" s="29"/>
      <c r="AE97" s="31"/>
      <c r="AF97" s="29"/>
      <c r="AG97" s="31"/>
      <c r="AH97" s="69"/>
      <c r="AI97" s="31"/>
      <c r="AJ97" s="31"/>
      <c r="AK97" s="31"/>
      <c r="AL97" s="31"/>
      <c r="AM97" s="31"/>
      <c r="AN97" s="31"/>
      <c r="AO97" s="31"/>
      <c r="AP97" s="31"/>
      <c r="AQ97" s="31"/>
      <c r="AR97" s="31"/>
    </row>
    <row r="98" ht="18.75" customHeight="1">
      <c r="A98" s="29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144"/>
      <c r="S98" s="31"/>
      <c r="T98" s="31"/>
      <c r="U98" s="38"/>
      <c r="V98" s="31"/>
      <c r="W98" s="31"/>
      <c r="X98" s="31"/>
      <c r="Y98" s="31"/>
      <c r="Z98" s="31"/>
      <c r="AA98" s="31"/>
      <c r="AB98" s="31"/>
      <c r="AC98" s="29"/>
      <c r="AD98" s="29"/>
      <c r="AE98" s="31"/>
      <c r="AF98" s="29"/>
      <c r="AG98" s="31"/>
      <c r="AH98" s="69"/>
      <c r="AI98" s="31"/>
      <c r="AJ98" s="31"/>
      <c r="AK98" s="31"/>
      <c r="AL98" s="31"/>
      <c r="AM98" s="31"/>
      <c r="AN98" s="31"/>
      <c r="AO98" s="31"/>
      <c r="AP98" s="31"/>
      <c r="AQ98" s="31"/>
      <c r="AR98" s="31"/>
    </row>
    <row r="99" ht="18.75" customHeight="1">
      <c r="A99" s="29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144"/>
      <c r="S99" s="31"/>
      <c r="T99" s="31"/>
      <c r="U99" s="38"/>
      <c r="V99" s="31"/>
      <c r="W99" s="31"/>
      <c r="X99" s="31"/>
      <c r="Y99" s="31"/>
      <c r="Z99" s="31"/>
      <c r="AA99" s="31"/>
      <c r="AB99" s="31"/>
      <c r="AC99" s="29"/>
      <c r="AD99" s="29"/>
      <c r="AE99" s="31"/>
      <c r="AF99" s="29"/>
      <c r="AG99" s="31"/>
      <c r="AH99" s="69"/>
      <c r="AI99" s="31"/>
      <c r="AJ99" s="31"/>
      <c r="AK99" s="31"/>
      <c r="AL99" s="31"/>
      <c r="AM99" s="31"/>
      <c r="AN99" s="31"/>
      <c r="AO99" s="31"/>
      <c r="AP99" s="31"/>
      <c r="AQ99" s="31"/>
      <c r="AR99" s="31"/>
    </row>
    <row r="100" ht="18.75" customHeight="1">
      <c r="A100" s="29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144"/>
      <c r="S100" s="31"/>
      <c r="T100" s="31"/>
      <c r="U100" s="38"/>
      <c r="V100" s="31"/>
      <c r="W100" s="31"/>
      <c r="X100" s="31"/>
      <c r="Y100" s="31"/>
      <c r="Z100" s="31"/>
      <c r="AA100" s="31"/>
      <c r="AB100" s="31"/>
      <c r="AC100" s="29"/>
      <c r="AD100" s="29"/>
      <c r="AE100" s="31"/>
      <c r="AF100" s="29"/>
      <c r="AG100" s="31"/>
      <c r="AH100" s="69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</row>
    <row r="101" ht="18.75" customHeight="1">
      <c r="A101" s="29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144"/>
      <c r="S101" s="31"/>
      <c r="T101" s="31"/>
      <c r="U101" s="38"/>
      <c r="V101" s="31"/>
      <c r="W101" s="31"/>
      <c r="X101" s="31"/>
      <c r="Y101" s="31"/>
      <c r="Z101" s="31"/>
      <c r="AA101" s="31"/>
      <c r="AB101" s="31"/>
      <c r="AC101" s="29"/>
      <c r="AD101" s="29"/>
      <c r="AE101" s="31"/>
      <c r="AF101" s="29"/>
      <c r="AG101" s="31"/>
      <c r="AH101" s="69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</row>
    <row r="102" ht="18.75" customHeight="1">
      <c r="A102" s="29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144"/>
      <c r="S102" s="31"/>
      <c r="T102" s="31"/>
      <c r="U102" s="38"/>
      <c r="V102" s="31"/>
      <c r="W102" s="31"/>
      <c r="X102" s="31"/>
      <c r="Y102" s="31"/>
      <c r="Z102" s="31"/>
      <c r="AA102" s="31"/>
      <c r="AB102" s="31"/>
      <c r="AC102" s="29"/>
      <c r="AD102" s="29"/>
      <c r="AE102" s="31"/>
      <c r="AF102" s="29"/>
      <c r="AG102" s="31"/>
      <c r="AH102" s="69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</row>
    <row r="103" ht="18.75" customHeight="1">
      <c r="A103" s="29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144"/>
      <c r="S103" s="31"/>
      <c r="T103" s="31"/>
      <c r="U103" s="38"/>
      <c r="V103" s="31"/>
      <c r="W103" s="31"/>
      <c r="X103" s="31"/>
      <c r="Y103" s="31"/>
      <c r="Z103" s="31"/>
      <c r="AA103" s="31"/>
      <c r="AB103" s="31"/>
      <c r="AC103" s="29"/>
      <c r="AD103" s="29"/>
      <c r="AE103" s="31"/>
      <c r="AF103" s="29"/>
      <c r="AG103" s="31"/>
      <c r="AH103" s="69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</row>
    <row r="104" ht="18.75" customHeight="1">
      <c r="A104" s="29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144"/>
      <c r="S104" s="31"/>
      <c r="T104" s="31"/>
      <c r="U104" s="38"/>
      <c r="V104" s="31"/>
      <c r="W104" s="31"/>
      <c r="X104" s="31"/>
      <c r="Y104" s="31"/>
      <c r="Z104" s="31"/>
      <c r="AA104" s="31"/>
      <c r="AB104" s="31"/>
      <c r="AC104" s="29"/>
      <c r="AD104" s="29"/>
      <c r="AE104" s="31"/>
      <c r="AF104" s="29"/>
      <c r="AG104" s="31"/>
      <c r="AH104" s="69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</row>
    <row r="105" ht="18.75" customHeight="1">
      <c r="A105" s="29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144"/>
      <c r="S105" s="31"/>
      <c r="T105" s="31"/>
      <c r="U105" s="38"/>
      <c r="V105" s="31"/>
      <c r="W105" s="31"/>
      <c r="X105" s="31"/>
      <c r="Y105" s="31"/>
      <c r="Z105" s="31"/>
      <c r="AA105" s="31"/>
      <c r="AB105" s="31"/>
      <c r="AC105" s="29"/>
      <c r="AD105" s="29"/>
      <c r="AE105" s="31"/>
      <c r="AF105" s="29"/>
      <c r="AG105" s="31"/>
      <c r="AH105" s="69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</row>
    <row r="106" ht="18.75" customHeight="1">
      <c r="A106" s="29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144"/>
      <c r="S106" s="31"/>
      <c r="T106" s="31"/>
      <c r="U106" s="38"/>
      <c r="V106" s="31"/>
      <c r="W106" s="31"/>
      <c r="X106" s="31"/>
      <c r="Y106" s="31"/>
      <c r="Z106" s="31"/>
      <c r="AA106" s="31"/>
      <c r="AB106" s="31"/>
      <c r="AC106" s="29"/>
      <c r="AD106" s="29"/>
      <c r="AE106" s="31"/>
      <c r="AF106" s="29"/>
      <c r="AG106" s="31"/>
      <c r="AH106" s="69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</row>
    <row r="107" ht="18.75" customHeight="1">
      <c r="A107" s="29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144"/>
      <c r="S107" s="31"/>
      <c r="T107" s="31"/>
      <c r="U107" s="38"/>
      <c r="V107" s="31"/>
      <c r="W107" s="31"/>
      <c r="X107" s="31"/>
      <c r="Y107" s="31"/>
      <c r="Z107" s="31"/>
      <c r="AA107" s="31"/>
      <c r="AB107" s="31"/>
      <c r="AC107" s="29"/>
      <c r="AD107" s="29"/>
      <c r="AE107" s="31"/>
      <c r="AF107" s="29"/>
      <c r="AG107" s="31"/>
      <c r="AH107" s="69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</row>
    <row r="108" ht="18.75" customHeight="1">
      <c r="A108" s="29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144"/>
      <c r="S108" s="31"/>
      <c r="T108" s="31"/>
      <c r="U108" s="38"/>
      <c r="V108" s="31"/>
      <c r="W108" s="31"/>
      <c r="X108" s="31"/>
      <c r="Y108" s="31"/>
      <c r="Z108" s="31"/>
      <c r="AA108" s="31"/>
      <c r="AB108" s="31"/>
      <c r="AC108" s="29"/>
      <c r="AD108" s="29"/>
      <c r="AE108" s="31"/>
      <c r="AF108" s="29"/>
      <c r="AG108" s="31"/>
      <c r="AH108" s="69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</row>
    <row r="109" ht="18.75" customHeight="1">
      <c r="A109" s="29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144"/>
      <c r="S109" s="31"/>
      <c r="T109" s="31"/>
      <c r="U109" s="38"/>
      <c r="V109" s="31"/>
      <c r="W109" s="31"/>
      <c r="X109" s="31"/>
      <c r="Y109" s="31"/>
      <c r="Z109" s="31"/>
      <c r="AA109" s="31"/>
      <c r="AB109" s="31"/>
      <c r="AC109" s="29"/>
      <c r="AD109" s="29"/>
      <c r="AE109" s="31"/>
      <c r="AF109" s="29"/>
      <c r="AG109" s="31"/>
      <c r="AH109" s="69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</row>
    <row r="110" ht="18.75" customHeight="1">
      <c r="A110" s="29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144"/>
      <c r="S110" s="31"/>
      <c r="T110" s="31"/>
      <c r="U110" s="38"/>
      <c r="V110" s="31"/>
      <c r="W110" s="31"/>
      <c r="X110" s="31"/>
      <c r="Y110" s="31"/>
      <c r="Z110" s="31"/>
      <c r="AA110" s="31"/>
      <c r="AB110" s="31"/>
      <c r="AC110" s="29"/>
      <c r="AD110" s="29"/>
      <c r="AE110" s="31"/>
      <c r="AF110" s="29"/>
      <c r="AG110" s="31"/>
      <c r="AH110" s="69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</row>
    <row r="111" ht="18.75" customHeight="1">
      <c r="A111" s="29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144"/>
      <c r="S111" s="31"/>
      <c r="T111" s="31"/>
      <c r="U111" s="38"/>
      <c r="V111" s="31"/>
      <c r="W111" s="31"/>
      <c r="X111" s="31"/>
      <c r="Y111" s="31"/>
      <c r="Z111" s="31"/>
      <c r="AA111" s="31"/>
      <c r="AB111" s="31"/>
      <c r="AC111" s="29"/>
      <c r="AD111" s="29"/>
      <c r="AE111" s="31"/>
      <c r="AF111" s="29"/>
      <c r="AG111" s="31"/>
      <c r="AH111" s="69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</row>
    <row r="112" ht="18.75" customHeight="1">
      <c r="A112" s="29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144"/>
      <c r="S112" s="31"/>
      <c r="T112" s="31"/>
      <c r="U112" s="38"/>
      <c r="V112" s="31"/>
      <c r="W112" s="31"/>
      <c r="X112" s="31"/>
      <c r="Y112" s="31"/>
      <c r="Z112" s="31"/>
      <c r="AA112" s="31"/>
      <c r="AB112" s="31"/>
      <c r="AC112" s="29"/>
      <c r="AD112" s="29"/>
      <c r="AE112" s="31"/>
      <c r="AF112" s="29"/>
      <c r="AG112" s="31"/>
      <c r="AH112" s="69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</row>
    <row r="113" ht="18.75" customHeight="1">
      <c r="A113" s="29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144"/>
      <c r="S113" s="31"/>
      <c r="T113" s="31"/>
      <c r="U113" s="38"/>
      <c r="V113" s="31"/>
      <c r="W113" s="31"/>
      <c r="X113" s="31"/>
      <c r="Y113" s="31"/>
      <c r="Z113" s="31"/>
      <c r="AA113" s="31"/>
      <c r="AB113" s="31"/>
      <c r="AC113" s="29"/>
      <c r="AD113" s="29"/>
      <c r="AE113" s="31"/>
      <c r="AF113" s="29"/>
      <c r="AG113" s="31"/>
      <c r="AH113" s="69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</row>
    <row r="114" ht="18.75" customHeight="1">
      <c r="A114" s="29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144"/>
      <c r="S114" s="31"/>
      <c r="T114" s="31"/>
      <c r="U114" s="38"/>
      <c r="V114" s="31"/>
      <c r="W114" s="31"/>
      <c r="X114" s="31"/>
      <c r="Y114" s="31"/>
      <c r="Z114" s="31"/>
      <c r="AA114" s="31"/>
      <c r="AB114" s="31"/>
      <c r="AC114" s="29"/>
      <c r="AD114" s="29"/>
      <c r="AE114" s="31"/>
      <c r="AF114" s="29"/>
      <c r="AG114" s="31"/>
      <c r="AH114" s="69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</row>
    <row r="115" ht="18.75" customHeight="1">
      <c r="A115" s="29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144"/>
      <c r="S115" s="31"/>
      <c r="T115" s="31"/>
      <c r="U115" s="38"/>
      <c r="V115" s="31"/>
      <c r="W115" s="31"/>
      <c r="X115" s="31"/>
      <c r="Y115" s="31"/>
      <c r="Z115" s="31"/>
      <c r="AA115" s="31"/>
      <c r="AB115" s="31"/>
      <c r="AC115" s="29"/>
      <c r="AD115" s="29"/>
      <c r="AE115" s="31"/>
      <c r="AF115" s="29"/>
      <c r="AG115" s="31"/>
      <c r="AH115" s="69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</row>
    <row r="116" ht="18.75" customHeight="1">
      <c r="A116" s="29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144"/>
      <c r="S116" s="31"/>
      <c r="T116" s="31"/>
      <c r="U116" s="38"/>
      <c r="V116" s="31"/>
      <c r="W116" s="31"/>
      <c r="X116" s="31"/>
      <c r="Y116" s="31"/>
      <c r="Z116" s="31"/>
      <c r="AA116" s="31"/>
      <c r="AB116" s="31"/>
      <c r="AC116" s="29"/>
      <c r="AD116" s="29"/>
      <c r="AE116" s="31"/>
      <c r="AF116" s="29"/>
      <c r="AG116" s="31"/>
      <c r="AH116" s="69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</row>
    <row r="117" ht="18.75" customHeight="1">
      <c r="A117" s="29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144"/>
      <c r="S117" s="31"/>
      <c r="T117" s="31"/>
      <c r="U117" s="38"/>
      <c r="V117" s="31"/>
      <c r="W117" s="31"/>
      <c r="X117" s="31"/>
      <c r="Y117" s="31"/>
      <c r="Z117" s="31"/>
      <c r="AA117" s="31"/>
      <c r="AB117" s="31"/>
      <c r="AC117" s="29"/>
      <c r="AD117" s="29"/>
      <c r="AE117" s="31"/>
      <c r="AF117" s="29"/>
      <c r="AG117" s="31"/>
      <c r="AH117" s="69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</row>
    <row r="118" ht="18.75" customHeight="1">
      <c r="A118" s="29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144"/>
      <c r="S118" s="31"/>
      <c r="T118" s="31"/>
      <c r="U118" s="38"/>
      <c r="V118" s="31"/>
      <c r="W118" s="31"/>
      <c r="X118" s="31"/>
      <c r="Y118" s="31"/>
      <c r="Z118" s="31"/>
      <c r="AA118" s="31"/>
      <c r="AB118" s="31"/>
      <c r="AC118" s="29"/>
      <c r="AD118" s="29"/>
      <c r="AE118" s="31"/>
      <c r="AF118" s="29"/>
      <c r="AG118" s="31"/>
      <c r="AH118" s="69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</row>
    <row r="119" ht="18.75" customHeight="1">
      <c r="A119" s="29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144"/>
      <c r="S119" s="31"/>
      <c r="T119" s="31"/>
      <c r="U119" s="38"/>
      <c r="V119" s="31"/>
      <c r="W119" s="31"/>
      <c r="X119" s="31"/>
      <c r="Y119" s="31"/>
      <c r="Z119" s="31"/>
      <c r="AA119" s="31"/>
      <c r="AB119" s="31"/>
      <c r="AC119" s="29"/>
      <c r="AD119" s="29"/>
      <c r="AE119" s="31"/>
      <c r="AF119" s="29"/>
      <c r="AG119" s="31"/>
      <c r="AH119" s="69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</row>
    <row r="120" ht="18.75" customHeight="1">
      <c r="A120" s="29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144"/>
      <c r="S120" s="31"/>
      <c r="T120" s="31"/>
      <c r="U120" s="38"/>
      <c r="V120" s="31"/>
      <c r="W120" s="31"/>
      <c r="X120" s="31"/>
      <c r="Y120" s="31"/>
      <c r="Z120" s="31"/>
      <c r="AA120" s="31"/>
      <c r="AB120" s="31"/>
      <c r="AC120" s="29"/>
      <c r="AD120" s="29"/>
      <c r="AE120" s="31"/>
      <c r="AF120" s="29"/>
      <c r="AG120" s="31"/>
      <c r="AH120" s="69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</row>
    <row r="121" ht="18.75" customHeight="1">
      <c r="A121" s="29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144"/>
      <c r="S121" s="31"/>
      <c r="T121" s="31"/>
      <c r="U121" s="38"/>
      <c r="V121" s="31"/>
      <c r="W121" s="31"/>
      <c r="X121" s="31"/>
      <c r="Y121" s="31"/>
      <c r="Z121" s="31"/>
      <c r="AA121" s="31"/>
      <c r="AB121" s="31"/>
      <c r="AC121" s="29"/>
      <c r="AD121" s="29"/>
      <c r="AE121" s="31"/>
      <c r="AF121" s="29"/>
      <c r="AG121" s="31"/>
      <c r="AH121" s="69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</row>
    <row r="122" ht="18.75" customHeight="1">
      <c r="A122" s="29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144"/>
      <c r="S122" s="31"/>
      <c r="T122" s="31"/>
      <c r="U122" s="38"/>
      <c r="V122" s="31"/>
      <c r="W122" s="31"/>
      <c r="X122" s="31"/>
      <c r="Y122" s="31"/>
      <c r="Z122" s="31"/>
      <c r="AA122" s="31"/>
      <c r="AB122" s="31"/>
      <c r="AC122" s="29"/>
      <c r="AD122" s="29"/>
      <c r="AE122" s="31"/>
      <c r="AF122" s="29"/>
      <c r="AG122" s="31"/>
      <c r="AH122" s="69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</row>
    <row r="123" ht="18.75" customHeight="1">
      <c r="A123" s="29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144"/>
      <c r="S123" s="31"/>
      <c r="T123" s="31"/>
      <c r="U123" s="38"/>
      <c r="V123" s="31"/>
      <c r="W123" s="31"/>
      <c r="X123" s="31"/>
      <c r="Y123" s="31"/>
      <c r="Z123" s="31"/>
      <c r="AA123" s="31"/>
      <c r="AB123" s="31"/>
      <c r="AC123" s="29"/>
      <c r="AD123" s="29"/>
      <c r="AE123" s="31"/>
      <c r="AF123" s="29"/>
      <c r="AG123" s="31"/>
      <c r="AH123" s="69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</row>
    <row r="124" ht="18.75" customHeight="1">
      <c r="A124" s="29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144"/>
      <c r="S124" s="31"/>
      <c r="T124" s="31"/>
      <c r="U124" s="38"/>
      <c r="V124" s="31"/>
      <c r="W124" s="31"/>
      <c r="X124" s="31"/>
      <c r="Y124" s="31"/>
      <c r="Z124" s="31"/>
      <c r="AA124" s="31"/>
      <c r="AB124" s="31"/>
      <c r="AC124" s="29"/>
      <c r="AD124" s="29"/>
      <c r="AE124" s="31"/>
      <c r="AF124" s="29"/>
      <c r="AG124" s="31"/>
      <c r="AH124" s="69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</row>
    <row r="125" ht="18.75" customHeight="1">
      <c r="A125" s="29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144"/>
      <c r="S125" s="31"/>
      <c r="T125" s="31"/>
      <c r="U125" s="38"/>
      <c r="V125" s="31"/>
      <c r="W125" s="31"/>
      <c r="X125" s="31"/>
      <c r="Y125" s="31"/>
      <c r="Z125" s="31"/>
      <c r="AA125" s="31"/>
      <c r="AB125" s="31"/>
      <c r="AC125" s="29"/>
      <c r="AD125" s="29"/>
      <c r="AE125" s="31"/>
      <c r="AF125" s="29"/>
      <c r="AG125" s="31"/>
      <c r="AH125" s="69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</row>
    <row r="126" ht="18.75" customHeight="1">
      <c r="A126" s="29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144"/>
      <c r="S126" s="31"/>
      <c r="T126" s="31"/>
      <c r="U126" s="38"/>
      <c r="V126" s="31"/>
      <c r="W126" s="31"/>
      <c r="X126" s="31"/>
      <c r="Y126" s="31"/>
      <c r="Z126" s="31"/>
      <c r="AA126" s="31"/>
      <c r="AB126" s="31"/>
      <c r="AC126" s="29"/>
      <c r="AD126" s="29"/>
      <c r="AE126" s="31"/>
      <c r="AF126" s="29"/>
      <c r="AG126" s="31"/>
      <c r="AH126" s="69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</row>
    <row r="127" ht="18.75" customHeight="1">
      <c r="A127" s="29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144"/>
      <c r="S127" s="31"/>
      <c r="T127" s="31"/>
      <c r="U127" s="38"/>
      <c r="V127" s="31"/>
      <c r="W127" s="31"/>
      <c r="X127" s="31"/>
      <c r="Y127" s="31"/>
      <c r="Z127" s="31"/>
      <c r="AA127" s="31"/>
      <c r="AB127" s="31"/>
      <c r="AC127" s="29"/>
      <c r="AD127" s="29"/>
      <c r="AE127" s="31"/>
      <c r="AF127" s="29"/>
      <c r="AG127" s="31"/>
      <c r="AH127" s="69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</row>
    <row r="128" ht="18.75" customHeight="1">
      <c r="A128" s="29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144"/>
      <c r="S128" s="31"/>
      <c r="T128" s="31"/>
      <c r="U128" s="38"/>
      <c r="V128" s="31"/>
      <c r="W128" s="31"/>
      <c r="X128" s="31"/>
      <c r="Y128" s="31"/>
      <c r="Z128" s="31"/>
      <c r="AA128" s="31"/>
      <c r="AB128" s="31"/>
      <c r="AC128" s="29"/>
      <c r="AD128" s="29"/>
      <c r="AE128" s="31"/>
      <c r="AF128" s="29"/>
      <c r="AG128" s="31"/>
      <c r="AH128" s="69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</row>
    <row r="129" ht="18.75" customHeight="1">
      <c r="A129" s="29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144"/>
      <c r="S129" s="31"/>
      <c r="T129" s="31"/>
      <c r="U129" s="38"/>
      <c r="V129" s="31"/>
      <c r="W129" s="31"/>
      <c r="X129" s="31"/>
      <c r="Y129" s="31"/>
      <c r="Z129" s="31"/>
      <c r="AA129" s="31"/>
      <c r="AB129" s="31"/>
      <c r="AC129" s="29"/>
      <c r="AD129" s="29"/>
      <c r="AE129" s="31"/>
      <c r="AF129" s="29"/>
      <c r="AG129" s="31"/>
      <c r="AH129" s="69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</row>
    <row r="130" ht="18.75" customHeight="1">
      <c r="A130" s="29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144"/>
      <c r="S130" s="31"/>
      <c r="T130" s="31"/>
      <c r="U130" s="38"/>
      <c r="V130" s="31"/>
      <c r="W130" s="31"/>
      <c r="X130" s="31"/>
      <c r="Y130" s="31"/>
      <c r="Z130" s="31"/>
      <c r="AA130" s="31"/>
      <c r="AB130" s="31"/>
      <c r="AC130" s="29"/>
      <c r="AD130" s="29"/>
      <c r="AE130" s="31"/>
      <c r="AF130" s="29"/>
      <c r="AG130" s="31"/>
      <c r="AH130" s="69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</row>
    <row r="131" ht="18.75" customHeight="1">
      <c r="A131" s="29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144"/>
      <c r="S131" s="31"/>
      <c r="T131" s="31"/>
      <c r="U131" s="38"/>
      <c r="V131" s="31"/>
      <c r="W131" s="31"/>
      <c r="X131" s="31"/>
      <c r="Y131" s="31"/>
      <c r="Z131" s="31"/>
      <c r="AA131" s="31"/>
      <c r="AB131" s="31"/>
      <c r="AC131" s="29"/>
      <c r="AD131" s="29"/>
      <c r="AE131" s="31"/>
      <c r="AF131" s="29"/>
      <c r="AG131" s="31"/>
      <c r="AH131" s="69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</row>
    <row r="132" ht="18.75" customHeight="1">
      <c r="A132" s="29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144"/>
      <c r="S132" s="31"/>
      <c r="T132" s="31"/>
      <c r="U132" s="38"/>
      <c r="V132" s="31"/>
      <c r="W132" s="31"/>
      <c r="X132" s="31"/>
      <c r="Y132" s="31"/>
      <c r="Z132" s="31"/>
      <c r="AA132" s="31"/>
      <c r="AB132" s="31"/>
      <c r="AC132" s="29"/>
      <c r="AD132" s="29"/>
      <c r="AE132" s="31"/>
      <c r="AF132" s="29"/>
      <c r="AG132" s="31"/>
      <c r="AH132" s="69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</row>
    <row r="133" ht="18.75" customHeight="1">
      <c r="A133" s="29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144"/>
      <c r="S133" s="31"/>
      <c r="T133" s="31"/>
      <c r="U133" s="38"/>
      <c r="V133" s="31"/>
      <c r="W133" s="31"/>
      <c r="X133" s="31"/>
      <c r="Y133" s="31"/>
      <c r="Z133" s="31"/>
      <c r="AA133" s="31"/>
      <c r="AB133" s="31"/>
      <c r="AC133" s="29"/>
      <c r="AD133" s="29"/>
      <c r="AE133" s="31"/>
      <c r="AF133" s="29"/>
      <c r="AG133" s="31"/>
      <c r="AH133" s="69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</row>
    <row r="134" ht="18.75" customHeight="1">
      <c r="A134" s="29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144"/>
      <c r="S134" s="31"/>
      <c r="T134" s="31"/>
      <c r="U134" s="38"/>
      <c r="V134" s="31"/>
      <c r="W134" s="31"/>
      <c r="X134" s="31"/>
      <c r="Y134" s="31"/>
      <c r="Z134" s="31"/>
      <c r="AA134" s="31"/>
      <c r="AB134" s="31"/>
      <c r="AC134" s="29"/>
      <c r="AD134" s="29"/>
      <c r="AE134" s="31"/>
      <c r="AF134" s="29"/>
      <c r="AG134" s="31"/>
      <c r="AH134" s="69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</row>
    <row r="135" ht="18.75" customHeight="1">
      <c r="A135" s="29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144"/>
      <c r="S135" s="31"/>
      <c r="T135" s="31"/>
      <c r="U135" s="38"/>
      <c r="V135" s="31"/>
      <c r="W135" s="31"/>
      <c r="X135" s="31"/>
      <c r="Y135" s="31"/>
      <c r="Z135" s="31"/>
      <c r="AA135" s="31"/>
      <c r="AB135" s="31"/>
      <c r="AC135" s="29"/>
      <c r="AD135" s="29"/>
      <c r="AE135" s="31"/>
      <c r="AF135" s="29"/>
      <c r="AG135" s="31"/>
      <c r="AH135" s="69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</row>
    <row r="136" ht="18.75" customHeight="1">
      <c r="A136" s="29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144"/>
      <c r="S136" s="31"/>
      <c r="T136" s="31"/>
      <c r="U136" s="38"/>
      <c r="V136" s="31"/>
      <c r="W136" s="31"/>
      <c r="X136" s="31"/>
      <c r="Y136" s="31"/>
      <c r="Z136" s="31"/>
      <c r="AA136" s="31"/>
      <c r="AB136" s="31"/>
      <c r="AC136" s="29"/>
      <c r="AD136" s="29"/>
      <c r="AE136" s="31"/>
      <c r="AF136" s="29"/>
      <c r="AG136" s="31"/>
      <c r="AH136" s="69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</row>
    <row r="137" ht="18.75" customHeight="1">
      <c r="A137" s="29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144"/>
      <c r="S137" s="31"/>
      <c r="T137" s="31"/>
      <c r="U137" s="38"/>
      <c r="V137" s="31"/>
      <c r="W137" s="31"/>
      <c r="X137" s="31"/>
      <c r="Y137" s="31"/>
      <c r="Z137" s="31"/>
      <c r="AA137" s="31"/>
      <c r="AB137" s="31"/>
      <c r="AC137" s="29"/>
      <c r="AD137" s="29"/>
      <c r="AE137" s="31"/>
      <c r="AF137" s="29"/>
      <c r="AG137" s="31"/>
      <c r="AH137" s="69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</row>
    <row r="138" ht="18.75" customHeight="1">
      <c r="A138" s="29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144"/>
      <c r="S138" s="31"/>
      <c r="T138" s="31"/>
      <c r="U138" s="38"/>
      <c r="V138" s="31"/>
      <c r="W138" s="31"/>
      <c r="X138" s="31"/>
      <c r="Y138" s="31"/>
      <c r="Z138" s="31"/>
      <c r="AA138" s="31"/>
      <c r="AB138" s="31"/>
      <c r="AC138" s="29"/>
      <c r="AD138" s="29"/>
      <c r="AE138" s="31"/>
      <c r="AF138" s="29"/>
      <c r="AG138" s="31"/>
      <c r="AH138" s="69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</row>
    <row r="139" ht="18.75" customHeight="1">
      <c r="A139" s="29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144"/>
      <c r="S139" s="31"/>
      <c r="T139" s="31"/>
      <c r="U139" s="38"/>
      <c r="V139" s="31"/>
      <c r="W139" s="31"/>
      <c r="X139" s="31"/>
      <c r="Y139" s="31"/>
      <c r="Z139" s="31"/>
      <c r="AA139" s="31"/>
      <c r="AB139" s="31"/>
      <c r="AC139" s="29"/>
      <c r="AD139" s="29"/>
      <c r="AE139" s="31"/>
      <c r="AF139" s="29"/>
      <c r="AG139" s="31"/>
      <c r="AH139" s="69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</row>
    <row r="140" ht="18.75" customHeight="1">
      <c r="A140" s="29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144"/>
      <c r="S140" s="31"/>
      <c r="T140" s="31"/>
      <c r="U140" s="38"/>
      <c r="V140" s="31"/>
      <c r="W140" s="31"/>
      <c r="X140" s="31"/>
      <c r="Y140" s="31"/>
      <c r="Z140" s="31"/>
      <c r="AA140" s="31"/>
      <c r="AB140" s="31"/>
      <c r="AC140" s="29"/>
      <c r="AD140" s="29"/>
      <c r="AE140" s="31"/>
      <c r="AF140" s="29"/>
      <c r="AG140" s="31"/>
      <c r="AH140" s="69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</row>
    <row r="141" ht="18.75" customHeight="1">
      <c r="A141" s="29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144"/>
      <c r="S141" s="31"/>
      <c r="T141" s="31"/>
      <c r="U141" s="38"/>
      <c r="V141" s="31"/>
      <c r="W141" s="31"/>
      <c r="X141" s="31"/>
      <c r="Y141" s="31"/>
      <c r="Z141" s="31"/>
      <c r="AA141" s="31"/>
      <c r="AB141" s="31"/>
      <c r="AC141" s="29"/>
      <c r="AD141" s="29"/>
      <c r="AE141" s="31"/>
      <c r="AF141" s="29"/>
      <c r="AG141" s="31"/>
      <c r="AH141" s="69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</row>
    <row r="142" ht="18.75" customHeight="1">
      <c r="A142" s="29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144"/>
      <c r="S142" s="31"/>
      <c r="T142" s="31"/>
      <c r="U142" s="38"/>
      <c r="V142" s="31"/>
      <c r="W142" s="31"/>
      <c r="X142" s="31"/>
      <c r="Y142" s="31"/>
      <c r="Z142" s="31"/>
      <c r="AA142" s="31"/>
      <c r="AB142" s="31"/>
      <c r="AC142" s="29"/>
      <c r="AD142" s="29"/>
      <c r="AE142" s="31"/>
      <c r="AF142" s="29"/>
      <c r="AG142" s="31"/>
      <c r="AH142" s="69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</row>
    <row r="143" ht="18.75" customHeight="1">
      <c r="A143" s="29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144"/>
      <c r="S143" s="31"/>
      <c r="T143" s="31"/>
      <c r="U143" s="38"/>
      <c r="V143" s="31"/>
      <c r="W143" s="31"/>
      <c r="X143" s="31"/>
      <c r="Y143" s="31"/>
      <c r="Z143" s="31"/>
      <c r="AA143" s="31"/>
      <c r="AB143" s="31"/>
      <c r="AC143" s="29"/>
      <c r="AD143" s="29"/>
      <c r="AE143" s="31"/>
      <c r="AF143" s="29"/>
      <c r="AG143" s="31"/>
      <c r="AH143" s="69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</row>
    <row r="144" ht="18.75" customHeight="1">
      <c r="A144" s="29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144"/>
      <c r="S144" s="31"/>
      <c r="T144" s="31"/>
      <c r="U144" s="38"/>
      <c r="V144" s="31"/>
      <c r="W144" s="31"/>
      <c r="X144" s="31"/>
      <c r="Y144" s="31"/>
      <c r="Z144" s="31"/>
      <c r="AA144" s="31"/>
      <c r="AB144" s="31"/>
      <c r="AC144" s="29"/>
      <c r="AD144" s="29"/>
      <c r="AE144" s="31"/>
      <c r="AF144" s="29"/>
      <c r="AG144" s="31"/>
      <c r="AH144" s="69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</row>
    <row r="145" ht="18.75" customHeight="1">
      <c r="A145" s="29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144"/>
      <c r="S145" s="31"/>
      <c r="T145" s="31"/>
      <c r="U145" s="38"/>
      <c r="V145" s="31"/>
      <c r="W145" s="31"/>
      <c r="X145" s="31"/>
      <c r="Y145" s="31"/>
      <c r="Z145" s="31"/>
      <c r="AA145" s="31"/>
      <c r="AB145" s="31"/>
      <c r="AC145" s="29"/>
      <c r="AD145" s="29"/>
      <c r="AE145" s="31"/>
      <c r="AF145" s="29"/>
      <c r="AG145" s="31"/>
      <c r="AH145" s="69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</row>
    <row r="146" ht="18.75" customHeight="1">
      <c r="A146" s="29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144"/>
      <c r="S146" s="31"/>
      <c r="T146" s="31"/>
      <c r="U146" s="38"/>
      <c r="V146" s="31"/>
      <c r="W146" s="31"/>
      <c r="X146" s="31"/>
      <c r="Y146" s="31"/>
      <c r="Z146" s="31"/>
      <c r="AA146" s="31"/>
      <c r="AB146" s="31"/>
      <c r="AC146" s="29"/>
      <c r="AD146" s="29"/>
      <c r="AE146" s="31"/>
      <c r="AF146" s="29"/>
      <c r="AG146" s="31"/>
      <c r="AH146" s="69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</row>
    <row r="147" ht="18.75" customHeight="1">
      <c r="A147" s="29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144"/>
      <c r="S147" s="31"/>
      <c r="T147" s="31"/>
      <c r="U147" s="38"/>
      <c r="V147" s="31"/>
      <c r="W147" s="31"/>
      <c r="X147" s="31"/>
      <c r="Y147" s="31"/>
      <c r="Z147" s="31"/>
      <c r="AA147" s="31"/>
      <c r="AB147" s="31"/>
      <c r="AC147" s="29"/>
      <c r="AD147" s="29"/>
      <c r="AE147" s="31"/>
      <c r="AF147" s="29"/>
      <c r="AG147" s="31"/>
      <c r="AH147" s="69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</row>
    <row r="148" ht="18.75" customHeight="1">
      <c r="A148" s="29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144"/>
      <c r="S148" s="31"/>
      <c r="T148" s="31"/>
      <c r="U148" s="38"/>
      <c r="V148" s="31"/>
      <c r="W148" s="31"/>
      <c r="X148" s="31"/>
      <c r="Y148" s="31"/>
      <c r="Z148" s="31"/>
      <c r="AA148" s="31"/>
      <c r="AB148" s="31"/>
      <c r="AC148" s="29"/>
      <c r="AD148" s="29"/>
      <c r="AE148" s="31"/>
      <c r="AF148" s="29"/>
      <c r="AG148" s="31"/>
      <c r="AH148" s="69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</row>
    <row r="149" ht="18.75" customHeight="1">
      <c r="A149" s="29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144"/>
      <c r="S149" s="31"/>
      <c r="T149" s="31"/>
      <c r="U149" s="38"/>
      <c r="V149" s="31"/>
      <c r="W149" s="31"/>
      <c r="X149" s="31"/>
      <c r="Y149" s="31"/>
      <c r="Z149" s="31"/>
      <c r="AA149" s="31"/>
      <c r="AB149" s="31"/>
      <c r="AC149" s="29"/>
      <c r="AD149" s="29"/>
      <c r="AE149" s="31"/>
      <c r="AF149" s="29"/>
      <c r="AG149" s="31"/>
      <c r="AH149" s="69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</row>
    <row r="150" ht="18.75" customHeight="1">
      <c r="A150" s="29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144"/>
      <c r="S150" s="31"/>
      <c r="T150" s="31"/>
      <c r="U150" s="38"/>
      <c r="V150" s="31"/>
      <c r="W150" s="31"/>
      <c r="X150" s="31"/>
      <c r="Y150" s="31"/>
      <c r="Z150" s="31"/>
      <c r="AA150" s="31"/>
      <c r="AB150" s="31"/>
      <c r="AC150" s="29"/>
      <c r="AD150" s="29"/>
      <c r="AE150" s="31"/>
      <c r="AF150" s="29"/>
      <c r="AG150" s="31"/>
      <c r="AH150" s="69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</row>
    <row r="151" ht="18.75" customHeight="1">
      <c r="A151" s="29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144"/>
      <c r="S151" s="31"/>
      <c r="T151" s="31"/>
      <c r="U151" s="38"/>
      <c r="V151" s="31"/>
      <c r="W151" s="31"/>
      <c r="X151" s="31"/>
      <c r="Y151" s="31"/>
      <c r="Z151" s="31"/>
      <c r="AA151" s="31"/>
      <c r="AB151" s="31"/>
      <c r="AC151" s="29"/>
      <c r="AD151" s="29"/>
      <c r="AE151" s="31"/>
      <c r="AF151" s="29"/>
      <c r="AG151" s="31"/>
      <c r="AH151" s="69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</row>
    <row r="152" ht="18.75" customHeight="1">
      <c r="A152" s="29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144"/>
      <c r="S152" s="31"/>
      <c r="T152" s="31"/>
      <c r="U152" s="38"/>
      <c r="V152" s="31"/>
      <c r="W152" s="31"/>
      <c r="X152" s="31"/>
      <c r="Y152" s="31"/>
      <c r="Z152" s="31"/>
      <c r="AA152" s="31"/>
      <c r="AB152" s="31"/>
      <c r="AC152" s="29"/>
      <c r="AD152" s="29"/>
      <c r="AE152" s="31"/>
      <c r="AF152" s="29"/>
      <c r="AG152" s="31"/>
      <c r="AH152" s="69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</row>
    <row r="153" ht="18.75" customHeight="1">
      <c r="A153" s="29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144"/>
      <c r="S153" s="31"/>
      <c r="T153" s="31"/>
      <c r="U153" s="38"/>
      <c r="V153" s="31"/>
      <c r="W153" s="31"/>
      <c r="X153" s="31"/>
      <c r="Y153" s="31"/>
      <c r="Z153" s="31"/>
      <c r="AA153" s="31"/>
      <c r="AB153" s="31"/>
      <c r="AC153" s="29"/>
      <c r="AD153" s="29"/>
      <c r="AE153" s="31"/>
      <c r="AF153" s="29"/>
      <c r="AG153" s="31"/>
      <c r="AH153" s="69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</row>
    <row r="154" ht="18.75" customHeight="1">
      <c r="A154" s="29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144"/>
      <c r="S154" s="31"/>
      <c r="T154" s="31"/>
      <c r="U154" s="38"/>
      <c r="V154" s="31"/>
      <c r="W154" s="31"/>
      <c r="X154" s="31"/>
      <c r="Y154" s="31"/>
      <c r="Z154" s="31"/>
      <c r="AA154" s="31"/>
      <c r="AB154" s="31"/>
      <c r="AC154" s="29"/>
      <c r="AD154" s="29"/>
      <c r="AE154" s="31"/>
      <c r="AF154" s="29"/>
      <c r="AG154" s="31"/>
      <c r="AH154" s="69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</row>
    <row r="155" ht="18.75" customHeight="1">
      <c r="A155" s="29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144"/>
      <c r="S155" s="31"/>
      <c r="T155" s="31"/>
      <c r="U155" s="38"/>
      <c r="V155" s="31"/>
      <c r="W155" s="31"/>
      <c r="X155" s="31"/>
      <c r="Y155" s="31"/>
      <c r="Z155" s="31"/>
      <c r="AA155" s="31"/>
      <c r="AB155" s="31"/>
      <c r="AC155" s="29"/>
      <c r="AD155" s="29"/>
      <c r="AE155" s="31"/>
      <c r="AF155" s="29"/>
      <c r="AG155" s="31"/>
      <c r="AH155" s="69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</row>
    <row r="156" ht="18.75" customHeight="1">
      <c r="A156" s="29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144"/>
      <c r="S156" s="31"/>
      <c r="T156" s="31"/>
      <c r="U156" s="38"/>
      <c r="V156" s="31"/>
      <c r="W156" s="31"/>
      <c r="X156" s="31"/>
      <c r="Y156" s="31"/>
      <c r="Z156" s="31"/>
      <c r="AA156" s="31"/>
      <c r="AB156" s="31"/>
      <c r="AC156" s="29"/>
      <c r="AD156" s="29"/>
      <c r="AE156" s="31"/>
      <c r="AF156" s="29"/>
      <c r="AG156" s="31"/>
      <c r="AH156" s="69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</row>
    <row r="157" ht="18.75" customHeight="1">
      <c r="A157" s="29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144"/>
      <c r="S157" s="31"/>
      <c r="T157" s="31"/>
      <c r="U157" s="38"/>
      <c r="V157" s="31"/>
      <c r="W157" s="31"/>
      <c r="X157" s="31"/>
      <c r="Y157" s="31"/>
      <c r="Z157" s="31"/>
      <c r="AA157" s="31"/>
      <c r="AB157" s="31"/>
      <c r="AC157" s="29"/>
      <c r="AD157" s="29"/>
      <c r="AE157" s="31"/>
      <c r="AF157" s="29"/>
      <c r="AG157" s="31"/>
      <c r="AH157" s="69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</row>
    <row r="158" ht="18.75" customHeight="1">
      <c r="A158" s="29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144"/>
      <c r="S158" s="31"/>
      <c r="T158" s="31"/>
      <c r="U158" s="38"/>
      <c r="V158" s="31"/>
      <c r="W158" s="31"/>
      <c r="X158" s="31"/>
      <c r="Y158" s="31"/>
      <c r="Z158" s="31"/>
      <c r="AA158" s="31"/>
      <c r="AB158" s="31"/>
      <c r="AC158" s="29"/>
      <c r="AD158" s="29"/>
      <c r="AE158" s="31"/>
      <c r="AF158" s="29"/>
      <c r="AG158" s="31"/>
      <c r="AH158" s="69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</row>
    <row r="159" ht="18.75" customHeight="1">
      <c r="A159" s="29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144"/>
      <c r="S159" s="31"/>
      <c r="T159" s="31"/>
      <c r="U159" s="38"/>
      <c r="V159" s="31"/>
      <c r="W159" s="31"/>
      <c r="X159" s="31"/>
      <c r="Y159" s="31"/>
      <c r="Z159" s="31"/>
      <c r="AA159" s="31"/>
      <c r="AB159" s="31"/>
      <c r="AC159" s="29"/>
      <c r="AD159" s="29"/>
      <c r="AE159" s="31"/>
      <c r="AF159" s="29"/>
      <c r="AG159" s="31"/>
      <c r="AH159" s="69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</row>
    <row r="160" ht="18.75" customHeight="1">
      <c r="A160" s="29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144"/>
      <c r="S160" s="31"/>
      <c r="T160" s="31"/>
      <c r="U160" s="38"/>
      <c r="V160" s="31"/>
      <c r="W160" s="31"/>
      <c r="X160" s="31"/>
      <c r="Y160" s="31"/>
      <c r="Z160" s="31"/>
      <c r="AA160" s="31"/>
      <c r="AB160" s="31"/>
      <c r="AC160" s="29"/>
      <c r="AD160" s="29"/>
      <c r="AE160" s="31"/>
      <c r="AF160" s="29"/>
      <c r="AG160" s="31"/>
      <c r="AH160" s="69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</row>
    <row r="161" ht="18.75" customHeight="1">
      <c r="A161" s="29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144"/>
      <c r="S161" s="31"/>
      <c r="T161" s="31"/>
      <c r="U161" s="38"/>
      <c r="V161" s="31"/>
      <c r="W161" s="31"/>
      <c r="X161" s="31"/>
      <c r="Y161" s="31"/>
      <c r="Z161" s="31"/>
      <c r="AA161" s="31"/>
      <c r="AB161" s="31"/>
      <c r="AC161" s="29"/>
      <c r="AD161" s="29"/>
      <c r="AE161" s="31"/>
      <c r="AF161" s="29"/>
      <c r="AG161" s="31"/>
      <c r="AH161" s="69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</row>
    <row r="162" ht="18.75" customHeight="1">
      <c r="A162" s="29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144"/>
      <c r="S162" s="31"/>
      <c r="T162" s="31"/>
      <c r="U162" s="38"/>
      <c r="V162" s="31"/>
      <c r="W162" s="31"/>
      <c r="X162" s="31"/>
      <c r="Y162" s="31"/>
      <c r="Z162" s="31"/>
      <c r="AA162" s="31"/>
      <c r="AB162" s="31"/>
      <c r="AC162" s="29"/>
      <c r="AD162" s="29"/>
      <c r="AE162" s="31"/>
      <c r="AF162" s="29"/>
      <c r="AG162" s="31"/>
      <c r="AH162" s="69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</row>
    <row r="163" ht="18.75" customHeight="1">
      <c r="A163" s="29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144"/>
      <c r="S163" s="31"/>
      <c r="T163" s="31"/>
      <c r="U163" s="38"/>
      <c r="V163" s="31"/>
      <c r="W163" s="31"/>
      <c r="X163" s="31"/>
      <c r="Y163" s="31"/>
      <c r="Z163" s="31"/>
      <c r="AA163" s="31"/>
      <c r="AB163" s="31"/>
      <c r="AC163" s="29"/>
      <c r="AD163" s="29"/>
      <c r="AE163" s="31"/>
      <c r="AF163" s="29"/>
      <c r="AG163" s="31"/>
      <c r="AH163" s="69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</row>
    <row r="164" ht="18.75" customHeight="1">
      <c r="A164" s="29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144"/>
      <c r="S164" s="31"/>
      <c r="T164" s="31"/>
      <c r="U164" s="38"/>
      <c r="V164" s="31"/>
      <c r="W164" s="31"/>
      <c r="X164" s="31"/>
      <c r="Y164" s="31"/>
      <c r="Z164" s="31"/>
      <c r="AA164" s="31"/>
      <c r="AB164" s="31"/>
      <c r="AC164" s="29"/>
      <c r="AD164" s="29"/>
      <c r="AE164" s="31"/>
      <c r="AF164" s="29"/>
      <c r="AG164" s="31"/>
      <c r="AH164" s="69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</row>
    <row r="165" ht="18.75" customHeight="1">
      <c r="A165" s="29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144"/>
      <c r="S165" s="31"/>
      <c r="T165" s="31"/>
      <c r="U165" s="38"/>
      <c r="V165" s="31"/>
      <c r="W165" s="31"/>
      <c r="X165" s="31"/>
      <c r="Y165" s="31"/>
      <c r="Z165" s="31"/>
      <c r="AA165" s="31"/>
      <c r="AB165" s="31"/>
      <c r="AC165" s="29"/>
      <c r="AD165" s="29"/>
      <c r="AE165" s="31"/>
      <c r="AF165" s="29"/>
      <c r="AG165" s="31"/>
      <c r="AH165" s="69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</row>
    <row r="166" ht="18.75" customHeight="1">
      <c r="A166" s="29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144"/>
      <c r="S166" s="31"/>
      <c r="T166" s="31"/>
      <c r="U166" s="38"/>
      <c r="V166" s="31"/>
      <c r="W166" s="31"/>
      <c r="X166" s="31"/>
      <c r="Y166" s="31"/>
      <c r="Z166" s="31"/>
      <c r="AA166" s="31"/>
      <c r="AB166" s="31"/>
      <c r="AC166" s="29"/>
      <c r="AD166" s="29"/>
      <c r="AE166" s="31"/>
      <c r="AF166" s="29"/>
      <c r="AG166" s="31"/>
      <c r="AH166" s="69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</row>
    <row r="167" ht="18.75" customHeight="1">
      <c r="A167" s="29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144"/>
      <c r="S167" s="31"/>
      <c r="T167" s="31"/>
      <c r="U167" s="38"/>
      <c r="V167" s="31"/>
      <c r="W167" s="31"/>
      <c r="X167" s="31"/>
      <c r="Y167" s="31"/>
      <c r="Z167" s="31"/>
      <c r="AA167" s="31"/>
      <c r="AB167" s="31"/>
      <c r="AC167" s="29"/>
      <c r="AD167" s="29"/>
      <c r="AE167" s="31"/>
      <c r="AF167" s="29"/>
      <c r="AG167" s="31"/>
      <c r="AH167" s="69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</row>
    <row r="168" ht="18.75" customHeight="1">
      <c r="A168" s="29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144"/>
      <c r="S168" s="31"/>
      <c r="T168" s="31"/>
      <c r="U168" s="38"/>
      <c r="V168" s="31"/>
      <c r="W168" s="31"/>
      <c r="X168" s="31"/>
      <c r="Y168" s="31"/>
      <c r="Z168" s="31"/>
      <c r="AA168" s="31"/>
      <c r="AB168" s="31"/>
      <c r="AC168" s="29"/>
      <c r="AD168" s="29"/>
      <c r="AE168" s="31"/>
      <c r="AF168" s="29"/>
      <c r="AG168" s="31"/>
      <c r="AH168" s="69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</row>
    <row r="169" ht="18.75" customHeight="1">
      <c r="A169" s="29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144"/>
      <c r="S169" s="31"/>
      <c r="T169" s="31"/>
      <c r="U169" s="38"/>
      <c r="V169" s="31"/>
      <c r="W169" s="31"/>
      <c r="X169" s="31"/>
      <c r="Y169" s="31"/>
      <c r="Z169" s="31"/>
      <c r="AA169" s="31"/>
      <c r="AB169" s="31"/>
      <c r="AC169" s="29"/>
      <c r="AD169" s="29"/>
      <c r="AE169" s="31"/>
      <c r="AF169" s="29"/>
      <c r="AG169" s="31"/>
      <c r="AH169" s="69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</row>
    <row r="170" ht="18.75" customHeight="1">
      <c r="A170" s="29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144"/>
      <c r="S170" s="31"/>
      <c r="T170" s="31"/>
      <c r="U170" s="38"/>
      <c r="V170" s="31"/>
      <c r="W170" s="31"/>
      <c r="X170" s="31"/>
      <c r="Y170" s="31"/>
      <c r="Z170" s="31"/>
      <c r="AA170" s="31"/>
      <c r="AB170" s="31"/>
      <c r="AC170" s="29"/>
      <c r="AD170" s="29"/>
      <c r="AE170" s="31"/>
      <c r="AF170" s="29"/>
      <c r="AG170" s="31"/>
      <c r="AH170" s="69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</row>
    <row r="171" ht="18.75" customHeight="1">
      <c r="A171" s="29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144"/>
      <c r="S171" s="31"/>
      <c r="T171" s="31"/>
      <c r="U171" s="38"/>
      <c r="V171" s="31"/>
      <c r="W171" s="31"/>
      <c r="X171" s="31"/>
      <c r="Y171" s="31"/>
      <c r="Z171" s="31"/>
      <c r="AA171" s="31"/>
      <c r="AB171" s="31"/>
      <c r="AC171" s="29"/>
      <c r="AD171" s="29"/>
      <c r="AE171" s="31"/>
      <c r="AF171" s="29"/>
      <c r="AG171" s="31"/>
      <c r="AH171" s="69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</row>
    <row r="172" ht="18.75" customHeight="1">
      <c r="A172" s="29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144"/>
      <c r="S172" s="31"/>
      <c r="T172" s="31"/>
      <c r="U172" s="38"/>
      <c r="V172" s="31"/>
      <c r="W172" s="31"/>
      <c r="X172" s="31"/>
      <c r="Y172" s="31"/>
      <c r="Z172" s="31"/>
      <c r="AA172" s="31"/>
      <c r="AB172" s="31"/>
      <c r="AC172" s="29"/>
      <c r="AD172" s="29"/>
      <c r="AE172" s="31"/>
      <c r="AF172" s="29"/>
      <c r="AG172" s="31"/>
      <c r="AH172" s="69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</row>
    <row r="173" ht="18.75" customHeight="1">
      <c r="A173" s="29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144"/>
      <c r="S173" s="31"/>
      <c r="T173" s="31"/>
      <c r="U173" s="38"/>
      <c r="V173" s="31"/>
      <c r="W173" s="31"/>
      <c r="X173" s="31"/>
      <c r="Y173" s="31"/>
      <c r="Z173" s="31"/>
      <c r="AA173" s="31"/>
      <c r="AB173" s="31"/>
      <c r="AC173" s="29"/>
      <c r="AD173" s="29"/>
      <c r="AE173" s="31"/>
      <c r="AF173" s="29"/>
      <c r="AG173" s="31"/>
      <c r="AH173" s="69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</row>
    <row r="174" ht="18.75" customHeight="1">
      <c r="A174" s="29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144"/>
      <c r="S174" s="31"/>
      <c r="T174" s="31"/>
      <c r="U174" s="38"/>
      <c r="V174" s="31"/>
      <c r="W174" s="31"/>
      <c r="X174" s="31"/>
      <c r="Y174" s="31"/>
      <c r="Z174" s="31"/>
      <c r="AA174" s="31"/>
      <c r="AB174" s="31"/>
      <c r="AC174" s="29"/>
      <c r="AD174" s="29"/>
      <c r="AE174" s="31"/>
      <c r="AF174" s="29"/>
      <c r="AG174" s="31"/>
      <c r="AH174" s="69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</row>
    <row r="175" ht="18.75" customHeight="1">
      <c r="A175" s="29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144"/>
      <c r="S175" s="31"/>
      <c r="T175" s="31"/>
      <c r="U175" s="38"/>
      <c r="V175" s="31"/>
      <c r="W175" s="31"/>
      <c r="X175" s="31"/>
      <c r="Y175" s="31"/>
      <c r="Z175" s="31"/>
      <c r="AA175" s="31"/>
      <c r="AB175" s="31"/>
      <c r="AC175" s="29"/>
      <c r="AD175" s="29"/>
      <c r="AE175" s="31"/>
      <c r="AF175" s="29"/>
      <c r="AG175" s="31"/>
      <c r="AH175" s="69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</row>
    <row r="176" ht="18.75" customHeight="1">
      <c r="A176" s="29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144"/>
      <c r="S176" s="31"/>
      <c r="T176" s="31"/>
      <c r="U176" s="38"/>
      <c r="V176" s="31"/>
      <c r="W176" s="31"/>
      <c r="X176" s="31"/>
      <c r="Y176" s="31"/>
      <c r="Z176" s="31"/>
      <c r="AA176" s="31"/>
      <c r="AB176" s="31"/>
      <c r="AC176" s="29"/>
      <c r="AD176" s="29"/>
      <c r="AE176" s="31"/>
      <c r="AF176" s="29"/>
      <c r="AG176" s="31"/>
      <c r="AH176" s="69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</row>
    <row r="177" ht="18.75" customHeight="1">
      <c r="A177" s="29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144"/>
      <c r="S177" s="31"/>
      <c r="T177" s="31"/>
      <c r="U177" s="38"/>
      <c r="V177" s="31"/>
      <c r="W177" s="31"/>
      <c r="X177" s="31"/>
      <c r="Y177" s="31"/>
      <c r="Z177" s="31"/>
      <c r="AA177" s="31"/>
      <c r="AB177" s="31"/>
      <c r="AC177" s="29"/>
      <c r="AD177" s="29"/>
      <c r="AE177" s="31"/>
      <c r="AF177" s="29"/>
      <c r="AG177" s="31"/>
      <c r="AH177" s="69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</row>
    <row r="178" ht="18.75" customHeight="1">
      <c r="A178" s="29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144"/>
      <c r="S178" s="31"/>
      <c r="T178" s="31"/>
      <c r="U178" s="38"/>
      <c r="V178" s="31"/>
      <c r="W178" s="31"/>
      <c r="X178" s="31"/>
      <c r="Y178" s="31"/>
      <c r="Z178" s="31"/>
      <c r="AA178" s="31"/>
      <c r="AB178" s="31"/>
      <c r="AC178" s="29"/>
      <c r="AD178" s="29"/>
      <c r="AE178" s="31"/>
      <c r="AF178" s="29"/>
      <c r="AG178" s="31"/>
      <c r="AH178" s="69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</row>
    <row r="179" ht="18.75" customHeight="1">
      <c r="A179" s="29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144"/>
      <c r="S179" s="31"/>
      <c r="T179" s="31"/>
      <c r="U179" s="38"/>
      <c r="V179" s="31"/>
      <c r="W179" s="31"/>
      <c r="X179" s="31"/>
      <c r="Y179" s="31"/>
      <c r="Z179" s="31"/>
      <c r="AA179" s="31"/>
      <c r="AB179" s="31"/>
      <c r="AC179" s="29"/>
      <c r="AD179" s="29"/>
      <c r="AE179" s="31"/>
      <c r="AF179" s="29"/>
      <c r="AG179" s="31"/>
      <c r="AH179" s="69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</row>
    <row r="180" ht="18.75" customHeight="1">
      <c r="A180" s="29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144"/>
      <c r="S180" s="31"/>
      <c r="T180" s="31"/>
      <c r="U180" s="38"/>
      <c r="V180" s="31"/>
      <c r="W180" s="31"/>
      <c r="X180" s="31"/>
      <c r="Y180" s="31"/>
      <c r="Z180" s="31"/>
      <c r="AA180" s="31"/>
      <c r="AB180" s="31"/>
      <c r="AC180" s="29"/>
      <c r="AD180" s="29"/>
      <c r="AE180" s="31"/>
      <c r="AF180" s="29"/>
      <c r="AG180" s="31"/>
      <c r="AH180" s="69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</row>
    <row r="181" ht="18.75" customHeight="1">
      <c r="A181" s="29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144"/>
      <c r="S181" s="31"/>
      <c r="T181" s="31"/>
      <c r="U181" s="38"/>
      <c r="V181" s="31"/>
      <c r="W181" s="31"/>
      <c r="X181" s="31"/>
      <c r="Y181" s="31"/>
      <c r="Z181" s="31"/>
      <c r="AA181" s="31"/>
      <c r="AB181" s="31"/>
      <c r="AC181" s="29"/>
      <c r="AD181" s="29"/>
      <c r="AE181" s="31"/>
      <c r="AF181" s="29"/>
      <c r="AG181" s="31"/>
      <c r="AH181" s="69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</row>
    <row r="182" ht="18.75" customHeight="1">
      <c r="A182" s="29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144"/>
      <c r="S182" s="31"/>
      <c r="T182" s="31"/>
      <c r="U182" s="38"/>
      <c r="V182" s="31"/>
      <c r="W182" s="31"/>
      <c r="X182" s="31"/>
      <c r="Y182" s="31"/>
      <c r="Z182" s="31"/>
      <c r="AA182" s="31"/>
      <c r="AB182" s="31"/>
      <c r="AC182" s="29"/>
      <c r="AD182" s="29"/>
      <c r="AE182" s="31"/>
      <c r="AF182" s="29"/>
      <c r="AG182" s="31"/>
      <c r="AH182" s="69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</row>
    <row r="183" ht="18.75" customHeight="1">
      <c r="A183" s="29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144"/>
      <c r="S183" s="31"/>
      <c r="T183" s="31"/>
      <c r="U183" s="38"/>
      <c r="V183" s="31"/>
      <c r="W183" s="31"/>
      <c r="X183" s="31"/>
      <c r="Y183" s="31"/>
      <c r="Z183" s="31"/>
      <c r="AA183" s="31"/>
      <c r="AB183" s="31"/>
      <c r="AC183" s="29"/>
      <c r="AD183" s="29"/>
      <c r="AE183" s="31"/>
      <c r="AF183" s="29"/>
      <c r="AG183" s="31"/>
      <c r="AH183" s="69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</row>
    <row r="184" ht="18.75" customHeight="1">
      <c r="A184" s="29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144"/>
      <c r="S184" s="31"/>
      <c r="T184" s="31"/>
      <c r="U184" s="38"/>
      <c r="V184" s="31"/>
      <c r="W184" s="31"/>
      <c r="X184" s="31"/>
      <c r="Y184" s="31"/>
      <c r="Z184" s="31"/>
      <c r="AA184" s="31"/>
      <c r="AB184" s="31"/>
      <c r="AC184" s="29"/>
      <c r="AD184" s="29"/>
      <c r="AE184" s="31"/>
      <c r="AF184" s="29"/>
      <c r="AG184" s="31"/>
      <c r="AH184" s="69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</row>
    <row r="185" ht="18.75" customHeight="1">
      <c r="A185" s="29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144"/>
      <c r="S185" s="31"/>
      <c r="T185" s="31"/>
      <c r="U185" s="38"/>
      <c r="V185" s="31"/>
      <c r="W185" s="31"/>
      <c r="X185" s="31"/>
      <c r="Y185" s="31"/>
      <c r="Z185" s="31"/>
      <c r="AA185" s="31"/>
      <c r="AB185" s="31"/>
      <c r="AC185" s="29"/>
      <c r="AD185" s="29"/>
      <c r="AE185" s="31"/>
      <c r="AF185" s="29"/>
      <c r="AG185" s="31"/>
      <c r="AH185" s="69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</row>
    <row r="186" ht="18.75" customHeight="1">
      <c r="A186" s="29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144"/>
      <c r="S186" s="31"/>
      <c r="T186" s="31"/>
      <c r="U186" s="38"/>
      <c r="V186" s="31"/>
      <c r="W186" s="31"/>
      <c r="X186" s="31"/>
      <c r="Y186" s="31"/>
      <c r="Z186" s="31"/>
      <c r="AA186" s="31"/>
      <c r="AB186" s="31"/>
      <c r="AC186" s="29"/>
      <c r="AD186" s="29"/>
      <c r="AE186" s="31"/>
      <c r="AF186" s="29"/>
      <c r="AG186" s="31"/>
      <c r="AH186" s="69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</row>
    <row r="187" ht="18.75" customHeight="1">
      <c r="A187" s="29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144"/>
      <c r="S187" s="31"/>
      <c r="T187" s="31"/>
      <c r="U187" s="38"/>
      <c r="V187" s="31"/>
      <c r="W187" s="31"/>
      <c r="X187" s="31"/>
      <c r="Y187" s="31"/>
      <c r="Z187" s="31"/>
      <c r="AA187" s="31"/>
      <c r="AB187" s="31"/>
      <c r="AC187" s="29"/>
      <c r="AD187" s="29"/>
      <c r="AE187" s="31"/>
      <c r="AF187" s="29"/>
      <c r="AG187" s="31"/>
      <c r="AH187" s="69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</row>
    <row r="188" ht="18.75" customHeight="1">
      <c r="A188" s="29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144"/>
      <c r="S188" s="31"/>
      <c r="T188" s="31"/>
      <c r="U188" s="38"/>
      <c r="V188" s="31"/>
      <c r="W188" s="31"/>
      <c r="X188" s="31"/>
      <c r="Y188" s="31"/>
      <c r="Z188" s="31"/>
      <c r="AA188" s="31"/>
      <c r="AB188" s="31"/>
      <c r="AC188" s="29"/>
      <c r="AD188" s="29"/>
      <c r="AE188" s="31"/>
      <c r="AF188" s="29"/>
      <c r="AG188" s="31"/>
      <c r="AH188" s="69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</row>
    <row r="189" ht="18.75" customHeight="1">
      <c r="A189" s="29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144"/>
      <c r="S189" s="31"/>
      <c r="T189" s="31"/>
      <c r="U189" s="38"/>
      <c r="V189" s="31"/>
      <c r="W189" s="31"/>
      <c r="X189" s="31"/>
      <c r="Y189" s="31"/>
      <c r="Z189" s="31"/>
      <c r="AA189" s="31"/>
      <c r="AB189" s="31"/>
      <c r="AC189" s="29"/>
      <c r="AD189" s="29"/>
      <c r="AE189" s="31"/>
      <c r="AF189" s="29"/>
      <c r="AG189" s="31"/>
      <c r="AH189" s="69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</row>
    <row r="190" ht="18.75" customHeight="1">
      <c r="A190" s="29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144"/>
      <c r="S190" s="31"/>
      <c r="T190" s="31"/>
      <c r="U190" s="38"/>
      <c r="V190" s="31"/>
      <c r="W190" s="31"/>
      <c r="X190" s="31"/>
      <c r="Y190" s="31"/>
      <c r="Z190" s="31"/>
      <c r="AA190" s="31"/>
      <c r="AB190" s="31"/>
      <c r="AC190" s="29"/>
      <c r="AD190" s="29"/>
      <c r="AE190" s="31"/>
      <c r="AF190" s="29"/>
      <c r="AG190" s="31"/>
      <c r="AH190" s="69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</row>
    <row r="191" ht="18.75" customHeight="1">
      <c r="A191" s="29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144"/>
      <c r="S191" s="31"/>
      <c r="T191" s="31"/>
      <c r="U191" s="38"/>
      <c r="V191" s="31"/>
      <c r="W191" s="31"/>
      <c r="X191" s="31"/>
      <c r="Y191" s="31"/>
      <c r="Z191" s="31"/>
      <c r="AA191" s="31"/>
      <c r="AB191" s="31"/>
      <c r="AC191" s="29"/>
      <c r="AD191" s="29"/>
      <c r="AE191" s="31"/>
      <c r="AF191" s="29"/>
      <c r="AG191" s="31"/>
      <c r="AH191" s="69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</row>
    <row r="192" ht="18.75" customHeight="1">
      <c r="A192" s="29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144"/>
      <c r="S192" s="31"/>
      <c r="T192" s="31"/>
      <c r="U192" s="38"/>
      <c r="V192" s="31"/>
      <c r="W192" s="31"/>
      <c r="X192" s="31"/>
      <c r="Y192" s="31"/>
      <c r="Z192" s="31"/>
      <c r="AA192" s="31"/>
      <c r="AB192" s="31"/>
      <c r="AC192" s="29"/>
      <c r="AD192" s="29"/>
      <c r="AE192" s="31"/>
      <c r="AF192" s="29"/>
      <c r="AG192" s="31"/>
      <c r="AH192" s="69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</row>
    <row r="193" ht="18.75" customHeight="1">
      <c r="A193" s="29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144"/>
      <c r="S193" s="31"/>
      <c r="T193" s="31"/>
      <c r="U193" s="38"/>
      <c r="V193" s="31"/>
      <c r="W193" s="31"/>
      <c r="X193" s="31"/>
      <c r="Y193" s="31"/>
      <c r="Z193" s="31"/>
      <c r="AA193" s="31"/>
      <c r="AB193" s="31"/>
      <c r="AC193" s="29"/>
      <c r="AD193" s="29"/>
      <c r="AE193" s="31"/>
      <c r="AF193" s="29"/>
      <c r="AG193" s="31"/>
      <c r="AH193" s="69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</row>
    <row r="194" ht="18.75" customHeight="1">
      <c r="A194" s="29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144"/>
      <c r="S194" s="31"/>
      <c r="T194" s="31"/>
      <c r="U194" s="38"/>
      <c r="V194" s="31"/>
      <c r="W194" s="31"/>
      <c r="X194" s="31"/>
      <c r="Y194" s="31"/>
      <c r="Z194" s="31"/>
      <c r="AA194" s="31"/>
      <c r="AB194" s="31"/>
      <c r="AC194" s="29"/>
      <c r="AD194" s="29"/>
      <c r="AE194" s="31"/>
      <c r="AF194" s="29"/>
      <c r="AG194" s="31"/>
      <c r="AH194" s="69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</row>
    <row r="195" ht="18.75" customHeight="1">
      <c r="A195" s="29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144"/>
      <c r="S195" s="31"/>
      <c r="T195" s="31"/>
      <c r="U195" s="38"/>
      <c r="V195" s="31"/>
      <c r="W195" s="31"/>
      <c r="X195" s="31"/>
      <c r="Y195" s="31"/>
      <c r="Z195" s="31"/>
      <c r="AA195" s="31"/>
      <c r="AB195" s="31"/>
      <c r="AC195" s="29"/>
      <c r="AD195" s="29"/>
      <c r="AE195" s="31"/>
      <c r="AF195" s="29"/>
      <c r="AG195" s="31"/>
      <c r="AH195" s="69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</row>
    <row r="196" ht="18.75" customHeight="1">
      <c r="A196" s="29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144"/>
      <c r="S196" s="31"/>
      <c r="T196" s="31"/>
      <c r="U196" s="38"/>
      <c r="V196" s="31"/>
      <c r="W196" s="31"/>
      <c r="X196" s="31"/>
      <c r="Y196" s="31"/>
      <c r="Z196" s="31"/>
      <c r="AA196" s="31"/>
      <c r="AB196" s="31"/>
      <c r="AC196" s="29"/>
      <c r="AD196" s="29"/>
      <c r="AE196" s="31"/>
      <c r="AF196" s="29"/>
      <c r="AG196" s="31"/>
      <c r="AH196" s="69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</row>
    <row r="197" ht="18.75" customHeight="1">
      <c r="A197" s="29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144"/>
      <c r="S197" s="31"/>
      <c r="T197" s="31"/>
      <c r="U197" s="38"/>
      <c r="V197" s="31"/>
      <c r="W197" s="31"/>
      <c r="X197" s="31"/>
      <c r="Y197" s="31"/>
      <c r="Z197" s="31"/>
      <c r="AA197" s="31"/>
      <c r="AB197" s="31"/>
      <c r="AC197" s="29"/>
      <c r="AD197" s="29"/>
      <c r="AE197" s="31"/>
      <c r="AF197" s="29"/>
      <c r="AG197" s="31"/>
      <c r="AH197" s="69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</row>
    <row r="198" ht="18.75" customHeight="1">
      <c r="A198" s="29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144"/>
      <c r="S198" s="31"/>
      <c r="T198" s="31"/>
      <c r="U198" s="38"/>
      <c r="V198" s="31"/>
      <c r="W198" s="31"/>
      <c r="X198" s="31"/>
      <c r="Y198" s="31"/>
      <c r="Z198" s="31"/>
      <c r="AA198" s="31"/>
      <c r="AB198" s="31"/>
      <c r="AC198" s="29"/>
      <c r="AD198" s="29"/>
      <c r="AE198" s="31"/>
      <c r="AF198" s="29"/>
      <c r="AG198" s="31"/>
      <c r="AH198" s="69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</row>
    <row r="199" ht="18.75" customHeight="1">
      <c r="A199" s="29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144"/>
      <c r="S199" s="31"/>
      <c r="T199" s="31"/>
      <c r="U199" s="38"/>
      <c r="V199" s="31"/>
      <c r="W199" s="31"/>
      <c r="X199" s="31"/>
      <c r="Y199" s="31"/>
      <c r="Z199" s="31"/>
      <c r="AA199" s="31"/>
      <c r="AB199" s="31"/>
      <c r="AC199" s="29"/>
      <c r="AD199" s="29"/>
      <c r="AE199" s="31"/>
      <c r="AF199" s="29"/>
      <c r="AG199" s="31"/>
      <c r="AH199" s="69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</row>
    <row r="200" ht="18.75" customHeight="1">
      <c r="A200" s="29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144"/>
      <c r="S200" s="31"/>
      <c r="T200" s="31"/>
      <c r="U200" s="38"/>
      <c r="V200" s="31"/>
      <c r="W200" s="31"/>
      <c r="X200" s="31"/>
      <c r="Y200" s="31"/>
      <c r="Z200" s="31"/>
      <c r="AA200" s="31"/>
      <c r="AB200" s="31"/>
      <c r="AC200" s="29"/>
      <c r="AD200" s="29"/>
      <c r="AE200" s="31"/>
      <c r="AF200" s="29"/>
      <c r="AG200" s="31"/>
      <c r="AH200" s="69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</row>
    <row r="201" ht="18.75" customHeight="1">
      <c r="A201" s="29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144"/>
      <c r="S201" s="31"/>
      <c r="T201" s="31"/>
      <c r="U201" s="38"/>
      <c r="V201" s="31"/>
      <c r="W201" s="31"/>
      <c r="X201" s="31"/>
      <c r="Y201" s="31"/>
      <c r="Z201" s="31"/>
      <c r="AA201" s="31"/>
      <c r="AB201" s="31"/>
      <c r="AC201" s="29"/>
      <c r="AD201" s="29"/>
      <c r="AE201" s="31"/>
      <c r="AF201" s="29"/>
      <c r="AG201" s="31"/>
      <c r="AH201" s="69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</row>
    <row r="202" ht="18.75" customHeight="1">
      <c r="A202" s="29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144"/>
      <c r="S202" s="31"/>
      <c r="T202" s="31"/>
      <c r="U202" s="38"/>
      <c r="V202" s="31"/>
      <c r="W202" s="31"/>
      <c r="X202" s="31"/>
      <c r="Y202" s="31"/>
      <c r="Z202" s="31"/>
      <c r="AA202" s="31"/>
      <c r="AB202" s="31"/>
      <c r="AC202" s="29"/>
      <c r="AD202" s="29"/>
      <c r="AE202" s="31"/>
      <c r="AF202" s="29"/>
      <c r="AG202" s="31"/>
      <c r="AH202" s="69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</row>
    <row r="203" ht="18.75" customHeight="1">
      <c r="A203" s="29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144"/>
      <c r="S203" s="31"/>
      <c r="T203" s="31"/>
      <c r="U203" s="38"/>
      <c r="V203" s="31"/>
      <c r="W203" s="31"/>
      <c r="X203" s="31"/>
      <c r="Y203" s="31"/>
      <c r="Z203" s="31"/>
      <c r="AA203" s="31"/>
      <c r="AB203" s="31"/>
      <c r="AC203" s="29"/>
      <c r="AD203" s="29"/>
      <c r="AE203" s="31"/>
      <c r="AF203" s="29"/>
      <c r="AG203" s="31"/>
      <c r="AH203" s="69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</row>
    <row r="204" ht="18.75" customHeight="1">
      <c r="A204" s="29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144"/>
      <c r="S204" s="31"/>
      <c r="T204" s="31"/>
      <c r="U204" s="38"/>
      <c r="V204" s="31"/>
      <c r="W204" s="31"/>
      <c r="X204" s="31"/>
      <c r="Y204" s="31"/>
      <c r="Z204" s="31"/>
      <c r="AA204" s="31"/>
      <c r="AB204" s="31"/>
      <c r="AC204" s="29"/>
      <c r="AD204" s="29"/>
      <c r="AE204" s="31"/>
      <c r="AF204" s="29"/>
      <c r="AG204" s="31"/>
      <c r="AH204" s="69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</row>
  </sheetData>
  <mergeCells count="129">
    <mergeCell ref="D31:E31"/>
    <mergeCell ref="F32:G32"/>
    <mergeCell ref="A36:V36"/>
    <mergeCell ref="A40:V40"/>
    <mergeCell ref="B41:C41"/>
    <mergeCell ref="D41:E41"/>
    <mergeCell ref="F41:G41"/>
    <mergeCell ref="J53:K53"/>
    <mergeCell ref="L53:M53"/>
    <mergeCell ref="L41:M41"/>
    <mergeCell ref="A48:V48"/>
    <mergeCell ref="A52:V52"/>
    <mergeCell ref="B53:C53"/>
    <mergeCell ref="D53:E53"/>
    <mergeCell ref="F53:G53"/>
    <mergeCell ref="H53:I53"/>
    <mergeCell ref="A60:V60"/>
    <mergeCell ref="A64:V64"/>
    <mergeCell ref="B65:C65"/>
    <mergeCell ref="D65:E65"/>
    <mergeCell ref="F65:G65"/>
    <mergeCell ref="H65:I65"/>
    <mergeCell ref="J65:K65"/>
    <mergeCell ref="J77:K77"/>
    <mergeCell ref="L77:M77"/>
    <mergeCell ref="L65:M65"/>
    <mergeCell ref="A72:V72"/>
    <mergeCell ref="A76:V76"/>
    <mergeCell ref="B77:C77"/>
    <mergeCell ref="D77:E77"/>
    <mergeCell ref="F77:G77"/>
    <mergeCell ref="H77:I77"/>
    <mergeCell ref="L89:M89"/>
    <mergeCell ref="A96:V96"/>
    <mergeCell ref="A84:V84"/>
    <mergeCell ref="A88:V88"/>
    <mergeCell ref="B89:C89"/>
    <mergeCell ref="D89:E89"/>
    <mergeCell ref="F89:G89"/>
    <mergeCell ref="H89:I89"/>
    <mergeCell ref="J89:K89"/>
    <mergeCell ref="A1:W1"/>
    <mergeCell ref="A3:C3"/>
    <mergeCell ref="A4:V4"/>
    <mergeCell ref="B5:C5"/>
    <mergeCell ref="F5:G5"/>
    <mergeCell ref="H5:I5"/>
    <mergeCell ref="B6:C6"/>
    <mergeCell ref="H9:I9"/>
    <mergeCell ref="H17:I17"/>
    <mergeCell ref="J17:K17"/>
    <mergeCell ref="L17:M17"/>
    <mergeCell ref="N17:N22"/>
    <mergeCell ref="H21:I21"/>
    <mergeCell ref="J22:K22"/>
    <mergeCell ref="L23:M23"/>
    <mergeCell ref="J5:K5"/>
    <mergeCell ref="L5:M5"/>
    <mergeCell ref="N5:N10"/>
    <mergeCell ref="J10:K10"/>
    <mergeCell ref="L11:M11"/>
    <mergeCell ref="A12:V12"/>
    <mergeCell ref="A16:V16"/>
    <mergeCell ref="D17:E17"/>
    <mergeCell ref="D19:E19"/>
    <mergeCell ref="F20:G20"/>
    <mergeCell ref="A24:V24"/>
    <mergeCell ref="A28:V28"/>
    <mergeCell ref="D5:E5"/>
    <mergeCell ref="D7:E7"/>
    <mergeCell ref="F8:G8"/>
    <mergeCell ref="A15:C15"/>
    <mergeCell ref="B17:C17"/>
    <mergeCell ref="F17:G17"/>
    <mergeCell ref="B18:C18"/>
    <mergeCell ref="B29:C29"/>
    <mergeCell ref="B30:C30"/>
    <mergeCell ref="H41:I41"/>
    <mergeCell ref="J41:K41"/>
    <mergeCell ref="A39:C39"/>
    <mergeCell ref="B42:C42"/>
    <mergeCell ref="D43:E43"/>
    <mergeCell ref="F44:G44"/>
    <mergeCell ref="A51:C51"/>
    <mergeCell ref="D55:E55"/>
    <mergeCell ref="F56:G56"/>
    <mergeCell ref="B54:C54"/>
    <mergeCell ref="A63:C63"/>
    <mergeCell ref="B66:C66"/>
    <mergeCell ref="D67:E67"/>
    <mergeCell ref="F68:G68"/>
    <mergeCell ref="A75:C75"/>
    <mergeCell ref="B78:C78"/>
    <mergeCell ref="A27:C27"/>
    <mergeCell ref="D29:E29"/>
    <mergeCell ref="F29:G29"/>
    <mergeCell ref="H29:I29"/>
    <mergeCell ref="J29:K29"/>
    <mergeCell ref="L29:M29"/>
    <mergeCell ref="N29:N34"/>
    <mergeCell ref="H45:I45"/>
    <mergeCell ref="H57:I57"/>
    <mergeCell ref="H69:I69"/>
    <mergeCell ref="H33:I33"/>
    <mergeCell ref="J34:K34"/>
    <mergeCell ref="L35:M35"/>
    <mergeCell ref="N41:N46"/>
    <mergeCell ref="J46:K46"/>
    <mergeCell ref="L47:M47"/>
    <mergeCell ref="N53:N58"/>
    <mergeCell ref="D79:E79"/>
    <mergeCell ref="F80:G80"/>
    <mergeCell ref="H81:I81"/>
    <mergeCell ref="N77:N82"/>
    <mergeCell ref="N89:N94"/>
    <mergeCell ref="J58:K58"/>
    <mergeCell ref="L59:M59"/>
    <mergeCell ref="N65:N70"/>
    <mergeCell ref="J70:K70"/>
    <mergeCell ref="L71:M71"/>
    <mergeCell ref="J82:K82"/>
    <mergeCell ref="L83:M83"/>
    <mergeCell ref="A87:C87"/>
    <mergeCell ref="B90:C90"/>
    <mergeCell ref="D91:E91"/>
    <mergeCell ref="F92:G92"/>
    <mergeCell ref="H93:I93"/>
    <mergeCell ref="J94:K94"/>
    <mergeCell ref="L95:M95"/>
  </mergeCells>
  <conditionalFormatting sqref="D6:E6 F6:G7 H6:I8 J6:K9 L6:M11 C7:C11 E8:E11 G9:G11 I10:I11 K11 D18:E18 F18:G19 H18:I20 J18:K21 L18:M23 C19:C23 E20:E23 G21:G23 I22:I23 K23 D30:E30 F30:G31 H30:I32 J30:K33 L30:M35 C31:C35 E32:E35 G33:G35 I34:I35 K35 D42:E42 F42:G43 H42:I44 J42:K45 L42:M47 C43:C47 E44:E47 G45:G47 I46:I47 K47 D54:E54 F54:G55 H54:I56 J54:K57 L54:M59 C55:C59 E56:E59 G57:G59 I58:I59 K59 D66:E66 F66:G67 H66:I68 J66:K69 L66:M71 C67:C71 E68:E71 G69:G71 I70:I71 K71 D78:E78 F78:G79 H78:I80 J78:K81 L78:M83 C79:C83 E80:E83 G81:G83 I82:I83 K83 D90:E90 F90:G91 H90:I92 J90:K93 L90:M95 C91:C95 E92:E95 G93:G95 I94:I95 K95">
    <cfRule type="cellIs" dxfId="0" priority="1" operator="equal">
      <formula>"W"</formula>
    </cfRule>
  </conditionalFormatting>
  <conditionalFormatting sqref="D6:E6 F6:G7 H6:I8 J6:K9 L6:M11 C7:C11 E8:E11 G9:G11 I10:I11 K11 D18:E18 F18:G19 H18:I20 J18:K21 L18:M23 C19:C23 E20:E23 G21:G23 I22:I23 K23 D30:E30 F30:G31 H30:I32 J30:K33 L30:M35 C31:C35 E32:E35 G33:G35 I34:I35 K35 D42:E42 F42:G43 H42:I44 J42:K45 L42:M47 C43:C47 E44:E47 G45:G47 I46:I47 K47 D54:E54 F54:G55 H54:I56 J54:K57 L54:M59 C55:C59 E56:E59 G57:G59 I58:I59 K59 D66:E66 F66:G67 H66:I68 J66:K69 L66:M71 C67:C71 E68:E71 G69:G71 I70:I71 K71 D78:E78 F78:G79 H78:I80 J78:K81 L78:M83 C79:C83 E80:E83 G81:G83 I82:I83 K83 D90:E90 F90:G91 H90:I92 J90:K93 L90:M95 C91:C95 E92:E95 G93:G95 I94:I95 K95">
    <cfRule type="cellIs" dxfId="1" priority="2" operator="equal">
      <formula>"T"</formula>
    </cfRule>
  </conditionalFormatting>
  <conditionalFormatting sqref="D6:E6 F6:G7 H6:I8 J6:K9 L6:M11 C7:C11 E8:E11 G9:G11 I10:I11 K11 D18:E18 F18:G19 H18:I20 J18:K21 L18:M23 C19:C23 E20:E23 G21:G23 I22:I23 K23 D30:E30 F30:G31 H30:I32 J30:K33 L30:M35 C31:C35 E32:E35 G33:G35 I34:I35 K35 D42:E42 F42:G43 H42:I44 J42:K45 L42:M47 C43:C47 E44:E47 G45:G47 I46:I47 K47 D54:E54 F54:G55 H54:I56 J54:K57 L54:M59 C55:C59 E56:E59 G57:G59 I58:I59 K59 D66:E66 F66:G67 H66:I68 J66:K69 L66:M71 C67:C71 E68:E71 G69:G71 I70:I71 K71 D78:E78 F78:G79 H78:I80 J78:K81 L78:M83 C79:C83 E80:E83 G81:G83 I82:I83 K83 D90:E90 F90:G91 H90:I92 J90:K93 L90:M95 C91:C95 E92:E95 G93:G95 I94:I95 K95">
    <cfRule type="cellIs" dxfId="2" priority="3" operator="equal">
      <formula>"L"</formula>
    </cfRule>
  </conditionalFormatting>
  <conditionalFormatting sqref="U1:U204">
    <cfRule type="cellIs" dxfId="3" priority="4" operator="equal">
      <formula>1</formula>
    </cfRule>
  </conditionalFormatting>
  <conditionalFormatting sqref="U1:U204">
    <cfRule type="cellIs" dxfId="4" priority="5" operator="equal">
      <formula>2</formula>
    </cfRule>
  </conditionalFormatting>
  <drawing r:id="rId1"/>
</worksheet>
</file>