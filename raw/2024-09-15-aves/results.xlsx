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List" sheetId="1" r:id="rId5"/>
    <sheet state="visible" name="RR Pairings and Schedule" sheetId="2" r:id="rId6"/>
    <sheet state="visible" name="LiveScoresheet" sheetId="3" r:id="rId7"/>
    <sheet state="visible" name="DE Seeding" sheetId="4" r:id="rId8"/>
    <sheet state="visible" name="DE Bracket" sheetId="5" r:id="rId9"/>
    <sheet state="visible" name="Important Links" sheetId="6" r:id="rId10"/>
    <sheet state="visible" name="Individual PPG" sheetId="7" r:id="rId11"/>
    <sheet state="visible" name="Individual Math PPG" sheetId="8" r:id="rId12"/>
    <sheet state="visible" name="Individual Biology PPG" sheetId="9" r:id="rId13"/>
    <sheet state="visible" name="Individual Physics PPG" sheetId="10" r:id="rId14"/>
    <sheet state="visible" name="Individual ESS PPG" sheetId="11" r:id="rId15"/>
    <sheet state="visible" name="Individual Chemistry PPG" sheetId="12" r:id="rId16"/>
  </sheets>
  <definedNames>
    <definedName name="Group2">LiveScoresheet!$J$6:$O$11</definedName>
  </definedNames>
  <calcPr/>
</workbook>
</file>

<file path=xl/sharedStrings.xml><?xml version="1.0" encoding="utf-8"?>
<sst xmlns="http://schemas.openxmlformats.org/spreadsheetml/2006/main" count="2973" uniqueCount="757">
  <si>
    <t>RR Live Scoresheet</t>
  </si>
  <si>
    <t>DE Seeding</t>
  </si>
  <si>
    <t>RR Pairings and Schedule</t>
  </si>
  <si>
    <r>
      <rPr>
        <rFont val="Source Sans Pro"/>
        <b/>
        <color theme="1"/>
        <sz val="15.0"/>
      </rPr>
      <t>RR 1</t>
    </r>
    <r>
      <rPr>
        <rFont val="Source Sans Pro"/>
        <b val="0"/>
        <color theme="1"/>
        <sz val="15.0"/>
      </rPr>
      <t xml:space="preserve">: 8:05-9:00 AM </t>
    </r>
  </si>
  <si>
    <t>Teams</t>
  </si>
  <si>
    <t>Code</t>
  </si>
  <si>
    <r>
      <rPr>
        <rFont val="Source Sans Pro"/>
        <b/>
        <color theme="1"/>
        <sz val="15.0"/>
      </rPr>
      <t>RR 2</t>
    </r>
    <r>
      <rPr>
        <rFont val="Source Sans Pro"/>
        <b val="0"/>
        <color theme="1"/>
        <sz val="15.0"/>
      </rPr>
      <t>: 9:00-9:40 AM</t>
    </r>
  </si>
  <si>
    <t>School</t>
  </si>
  <si>
    <t>DE Score</t>
  </si>
  <si>
    <r>
      <rPr>
        <rFont val="Source Sans Pro"/>
        <b/>
        <color theme="1"/>
        <sz val="15.0"/>
      </rPr>
      <t>RR 3</t>
    </r>
    <r>
      <rPr>
        <rFont val="Source Sans Pro"/>
        <b val="0"/>
        <color theme="1"/>
        <sz val="15.0"/>
      </rPr>
      <t>: 9:40-10:20 AM</t>
    </r>
  </si>
  <si>
    <t>Team</t>
  </si>
  <si>
    <t>Total Points</t>
  </si>
  <si>
    <t>Roster</t>
  </si>
  <si>
    <t>Games Won</t>
  </si>
  <si>
    <r>
      <rPr>
        <rFont val="Source Sans Pro"/>
        <b/>
        <color theme="1"/>
        <sz val="15.0"/>
      </rPr>
      <t>RR 4</t>
    </r>
    <r>
      <rPr>
        <rFont val="Source Sans Pro"/>
        <b val="0"/>
        <color theme="1"/>
        <sz val="15.0"/>
      </rPr>
      <t>: 10:20-11:00 AM</t>
    </r>
  </si>
  <si>
    <t>A1</t>
  </si>
  <si>
    <t>D3</t>
  </si>
  <si>
    <r>
      <rPr>
        <rFont val="Source Sans Pro"/>
        <b/>
        <color theme="1"/>
        <sz val="15.0"/>
      </rPr>
      <t>RR 5</t>
    </r>
    <r>
      <rPr>
        <rFont val="Source Sans Pro"/>
        <b val="0"/>
        <color theme="1"/>
        <sz val="15.0"/>
      </rPr>
      <t>: 11:00-11:40 AM</t>
    </r>
  </si>
  <si>
    <t>RR Pairings</t>
  </si>
  <si>
    <t>Alabama School of Fine Arts 2</t>
  </si>
  <si>
    <t>Montgomery Blair</t>
  </si>
  <si>
    <t>Advik S, Michael M, Shreyas K, Raymond L, Skylar B</t>
  </si>
  <si>
    <t>Schedule (Times in PDT)</t>
  </si>
  <si>
    <t>A2</t>
  </si>
  <si>
    <t>Lynbrook 1</t>
  </si>
  <si>
    <t>Avadavats</t>
  </si>
  <si>
    <t>Sohil R, Selena Y, Jianyu W, Thomas W</t>
  </si>
  <si>
    <t>A3</t>
  </si>
  <si>
    <t>California HS</t>
  </si>
  <si>
    <t>Vladislav K, Jishnu B, Vihaan T, Lucas C</t>
  </si>
  <si>
    <t>A4</t>
  </si>
  <si>
    <t>Canyon Crest Academy 2</t>
  </si>
  <si>
    <t>Ishank K, Dennis S, Kaden S, Shail B</t>
  </si>
  <si>
    <t>A5</t>
  </si>
  <si>
    <t>North Hollywood 2</t>
  </si>
  <si>
    <t>Charlotte C, Ilinca S, Nathaniel O, Soureesh T, Patrick L</t>
  </si>
  <si>
    <t>A6</t>
  </si>
  <si>
    <t>Middleton</t>
  </si>
  <si>
    <t>Owen W, Harry J, Ray F, Arjun S, Li Y</t>
  </si>
  <si>
    <t>Bellbirds</t>
  </si>
  <si>
    <t>B1</t>
  </si>
  <si>
    <t>TIME</t>
  </si>
  <si>
    <t>Niskayuna</t>
  </si>
  <si>
    <t>ROUND</t>
  </si>
  <si>
    <t>Mihir K, Arjun R, Daniel Y, Aarush I, Andrew Z</t>
  </si>
  <si>
    <t>B2</t>
  </si>
  <si>
    <t>Interlake 1</t>
  </si>
  <si>
    <t>Daniel L, Aryan A, Evan W, Devesh A</t>
  </si>
  <si>
    <t>B3</t>
  </si>
  <si>
    <t>Iolani High School 2</t>
  </si>
  <si>
    <t>Keisuke K, Min S, Alex C, Donovan H, Chloe S</t>
  </si>
  <si>
    <t>B4</t>
  </si>
  <si>
    <t>Arnold O. Beckman High School</t>
  </si>
  <si>
    <t>Diego P, Rayan M, Derrick C, Reza H</t>
  </si>
  <si>
    <t>B5</t>
  </si>
  <si>
    <t>The Frazer School 1</t>
  </si>
  <si>
    <t>James J, Michael W, Ajay S, Abhiram P, Anish P</t>
  </si>
  <si>
    <t>B6</t>
  </si>
  <si>
    <t>Clovis North</t>
  </si>
  <si>
    <t>Justin D, Henry K, Kendric H, Renard W</t>
  </si>
  <si>
    <t>C1</t>
  </si>
  <si>
    <t>Ward Melville Senior High 1</t>
  </si>
  <si>
    <t>Harry G, Sean S, Jason Y</t>
  </si>
  <si>
    <t>C2</t>
  </si>
  <si>
    <t>West Windsor-Plainsboro NORTH 1</t>
  </si>
  <si>
    <t>Aldric B, Rithik G, Aprameya T, Krutharth V</t>
  </si>
  <si>
    <t>C3</t>
  </si>
  <si>
    <t>Mission San Jose 2</t>
  </si>
  <si>
    <t>Advai S, Aravind M, Rajorshi C, Hank S, Arnav G</t>
  </si>
  <si>
    <t>C4</t>
  </si>
  <si>
    <t>ROOM</t>
  </si>
  <si>
    <t>BASIS Chandler 2</t>
  </si>
  <si>
    <t>Sam B, Vivan P, Tarun S, Divit B, Abhiram C</t>
  </si>
  <si>
    <t>C5</t>
  </si>
  <si>
    <t>North Hollywood 3</t>
  </si>
  <si>
    <t>Rowan W, Harold O, Minghao G, Kavya M, Kensuke O</t>
  </si>
  <si>
    <t>C6</t>
  </si>
  <si>
    <t>Alabama School of Fine Arts 1</t>
  </si>
  <si>
    <t>RR1</t>
  </si>
  <si>
    <t>McNair S, Akhil B, Albert C, William P, Kevin Q</t>
  </si>
  <si>
    <t>D1</t>
  </si>
  <si>
    <t>RR2</t>
  </si>
  <si>
    <t>Interlake 2</t>
  </si>
  <si>
    <t>RR3</t>
  </si>
  <si>
    <t>RR4</t>
  </si>
  <si>
    <t>Aryan N, Anagha R, Sarvesh R, Krishay S, Richard H</t>
  </si>
  <si>
    <t>D2</t>
  </si>
  <si>
    <t>Princeton High School</t>
  </si>
  <si>
    <t>RR5</t>
  </si>
  <si>
    <t>Josh H, Gavin M, Rohan S, Amelie H, Aaron W</t>
  </si>
  <si>
    <t>7:45 - 8:00 a.m. PDT</t>
  </si>
  <si>
    <t>Yunyi L, Katherine W, Kian D, Evan Z, Gugan T</t>
  </si>
  <si>
    <t>D4</t>
  </si>
  <si>
    <t>Canyon Crest Academy 1</t>
  </si>
  <si>
    <t>Flora J, Austin X, Sean Y, Jason Y</t>
  </si>
  <si>
    <t>D5</t>
  </si>
  <si>
    <t>Foothill 1</t>
  </si>
  <si>
    <t xml:space="preserve"> OPENING CEREMONY</t>
  </si>
  <si>
    <t>Athithan E, Bhagirath B, Jake N, Shashank V, Brandon K</t>
  </si>
  <si>
    <t>D6</t>
  </si>
  <si>
    <t>Arcadia 2</t>
  </si>
  <si>
    <t>Anika J, Paxton L, Austin Z, Pruthwi V, Yingchi X</t>
  </si>
  <si>
    <t>E1</t>
  </si>
  <si>
    <t>Ward Melville Senior High 2</t>
  </si>
  <si>
    <t>Gabrielle W, Victoria Y, Jane T</t>
  </si>
  <si>
    <t>E2</t>
  </si>
  <si>
    <t>Avadavats-1</t>
  </si>
  <si>
    <t>Iolani High School 1</t>
  </si>
  <si>
    <t>Ryan E, Owen B, Hong Jin K, Jeremy C, Logan L</t>
  </si>
  <si>
    <t>E3</t>
  </si>
  <si>
    <t>A1 — A2</t>
  </si>
  <si>
    <t>Troy High School</t>
  </si>
  <si>
    <t>A4— A5</t>
  </si>
  <si>
    <t>A2 — A3</t>
  </si>
  <si>
    <t>Aditya P, Aaryan M, Liran Z, Gordon W, Cynthia K</t>
  </si>
  <si>
    <t>A1 — A5</t>
  </si>
  <si>
    <t>E4</t>
  </si>
  <si>
    <t>BASIS Chandler 1</t>
  </si>
  <si>
    <t>A3 — A4</t>
  </si>
  <si>
    <t>Varyan J, Arnav S, Karthikeya K, Nihar B, Shireen A</t>
  </si>
  <si>
    <t>E5</t>
  </si>
  <si>
    <t>TJHSST</t>
  </si>
  <si>
    <t>Aaryan S, Rishabh K, Patrick S, Avnith V</t>
  </si>
  <si>
    <t>E6</t>
  </si>
  <si>
    <t>The Frazer School 2</t>
  </si>
  <si>
    <t>Tony L, Jaganesh R, Isabella M, Gavin X, Luke X</t>
  </si>
  <si>
    <t>F1</t>
  </si>
  <si>
    <t>Avadavats-2</t>
  </si>
  <si>
    <t>West Windsor-Plainsboro SOUTH 2</t>
  </si>
  <si>
    <t>Likhith M, Rishi P, Abhi A, Bhavesh D, Monish K</t>
  </si>
  <si>
    <t>F2</t>
  </si>
  <si>
    <t>Arcadia 1</t>
  </si>
  <si>
    <t>Max K, Ethan W, Kevin W, Lucas X</t>
  </si>
  <si>
    <t>F3</t>
  </si>
  <si>
    <t>A3 — A5</t>
  </si>
  <si>
    <t>Mission San Jose 1</t>
  </si>
  <si>
    <t>A1 — A3</t>
  </si>
  <si>
    <t>A5 — A6</t>
  </si>
  <si>
    <t>Advaith M, Theenash S, Roshan A, Anish A, Rutvik A</t>
  </si>
  <si>
    <t>A2 — A4</t>
  </si>
  <si>
    <t>F4</t>
  </si>
  <si>
    <t>A1 — A6</t>
  </si>
  <si>
    <t>North Hollywood 1</t>
  </si>
  <si>
    <t>Suzuko O, Connor Z, Connor C, Tinwin H, Charles H</t>
  </si>
  <si>
    <t>F5</t>
  </si>
  <si>
    <t>8:05 - 9:00 a.m. PDT</t>
  </si>
  <si>
    <t>Foothill 2</t>
  </si>
  <si>
    <t>Harini P, Aahana B, Sreekar S, Sahana V, Abhee S</t>
  </si>
  <si>
    <t>F6</t>
  </si>
  <si>
    <t>American High School</t>
  </si>
  <si>
    <t>Stavya G, Amaan M, Nikhil S, Vishruth D, Arnava B</t>
  </si>
  <si>
    <t>G1</t>
  </si>
  <si>
    <t>Rickards</t>
  </si>
  <si>
    <t>Terry L, Ashvin S, Vibav T, Vaneesha S, Jonathan G</t>
  </si>
  <si>
    <t>G2</t>
  </si>
  <si>
    <t>Lakeside</t>
  </si>
  <si>
    <t>Vishnu M, Rohan D, William W, Daniel W,  Emma L</t>
  </si>
  <si>
    <t xml:space="preserve"> Round Robin 1</t>
  </si>
  <si>
    <t>G3</t>
  </si>
  <si>
    <t>East Brunswick</t>
  </si>
  <si>
    <t>Veer S, Elizabeth C, Jonathan L, Carina C</t>
  </si>
  <si>
    <t>G4</t>
  </si>
  <si>
    <t>West Windsor-Plainsboro SOUTH 1</t>
  </si>
  <si>
    <t>Sanjay O, Divit M, Dhairya M, Jason M, Arjun D</t>
  </si>
  <si>
    <t>Avadavats-3</t>
  </si>
  <si>
    <t>G5</t>
  </si>
  <si>
    <t>Palo Alto 1</t>
  </si>
  <si>
    <t>Inhoo C, Forrest C, Nathan J, Jeremy Y, Jonathan Y</t>
  </si>
  <si>
    <t>G6</t>
  </si>
  <si>
    <t>Lynbrook 2</t>
  </si>
  <si>
    <t>A4 — A6</t>
  </si>
  <si>
    <t>Evan L, Chaas K, Shripriya K, Matthew Y, Kush G</t>
  </si>
  <si>
    <t>A2 — A6</t>
  </si>
  <si>
    <t>A1 — A4</t>
  </si>
  <si>
    <t>A3 — A6</t>
  </si>
  <si>
    <t>A2 — A5</t>
  </si>
  <si>
    <t>9:00 - 9:40 a.m. PDT</t>
  </si>
  <si>
    <t xml:space="preserve"> Round Robin 2</t>
  </si>
  <si>
    <t>9:40 - 10:20 a.m. PDT</t>
  </si>
  <si>
    <t xml:space="preserve"> Round Robin 3</t>
  </si>
  <si>
    <t>Bellbirds-1</t>
  </si>
  <si>
    <t>B1 — B2</t>
  </si>
  <si>
    <t>B4— B5</t>
  </si>
  <si>
    <t>B2 — B3</t>
  </si>
  <si>
    <t>B1 — B5</t>
  </si>
  <si>
    <t>B3 — B4</t>
  </si>
  <si>
    <t>Bellbirds-2</t>
  </si>
  <si>
    <t>B3 — B5</t>
  </si>
  <si>
    <t>B1 — B3</t>
  </si>
  <si>
    <t>B5 — B6</t>
  </si>
  <si>
    <t>B2 — B4</t>
  </si>
  <si>
    <t>B1 — B6</t>
  </si>
  <si>
    <t>10:20 - 11:00 a.m. PDT</t>
  </si>
  <si>
    <t>DE 1: 12:20 - 1:00 pm PDT</t>
  </si>
  <si>
    <t xml:space="preserve"> Round Robin 4</t>
  </si>
  <si>
    <t>Bellbirds-3</t>
  </si>
  <si>
    <t>B4 — B6</t>
  </si>
  <si>
    <t>B2 — B6</t>
  </si>
  <si>
    <t>B1 — B4</t>
  </si>
  <si>
    <t>B3 — B6</t>
  </si>
  <si>
    <t>B2 — B5</t>
  </si>
  <si>
    <t>11:00 - 11:40 a.m. PDT</t>
  </si>
  <si>
    <t xml:space="preserve"> Round Robin 5</t>
  </si>
  <si>
    <t>DE 2: 1:00 - 1:40 p.m. PDT</t>
  </si>
  <si>
    <t>Condors</t>
  </si>
  <si>
    <t>DE 3: 1:40 - 2:20 p.m. PDT</t>
  </si>
  <si>
    <t>11:40 - 12:20 p.m. PDT</t>
  </si>
  <si>
    <t xml:space="preserve"> LUNCH BREAK</t>
  </si>
  <si>
    <t>DE 4: 2:20 - 2:50 p.m. PDT</t>
  </si>
  <si>
    <t>Condors-1</t>
  </si>
  <si>
    <t>C1 — C2</t>
  </si>
  <si>
    <t>C4— C5</t>
  </si>
  <si>
    <t>C2 — C3</t>
  </si>
  <si>
    <t>C1 — C5</t>
  </si>
  <si>
    <t>C3 — C4</t>
  </si>
  <si>
    <t>Condors-2</t>
  </si>
  <si>
    <t>C3 — C5</t>
  </si>
  <si>
    <t>C1 — C3</t>
  </si>
  <si>
    <t>DE 5: 2:50 - 3:20 p.m. PDT</t>
  </si>
  <si>
    <t>C5 — C6</t>
  </si>
  <si>
    <t>C2 — C4</t>
  </si>
  <si>
    <t>C1 — C6</t>
  </si>
  <si>
    <t>Semis: 3:30 - 4:00 p.m. PDT</t>
  </si>
  <si>
    <t>12:20 - 1:00 p.m. PDT</t>
  </si>
  <si>
    <t>Finals 1 &amp; 2: 4:00 - 4:30 p.m. PDT + 4:30 - 5:00 p.m. PDT</t>
  </si>
  <si>
    <t xml:space="preserve"> Double Elimination 1 (top 16)</t>
  </si>
  <si>
    <t>Condors-3</t>
  </si>
  <si>
    <t>C4 — C6</t>
  </si>
  <si>
    <t>C2 — C6</t>
  </si>
  <si>
    <t>C1 — C4</t>
  </si>
  <si>
    <t>C3 — C6</t>
  </si>
  <si>
    <t>C2 — C5</t>
  </si>
  <si>
    <t>1:00 - 1:40 p.m. PDT</t>
  </si>
  <si>
    <t xml:space="preserve"> Double Elimination 2 (top 12)</t>
  </si>
  <si>
    <t>Dovekies</t>
  </si>
  <si>
    <t>1:40 - 2:20 p.m. PDT</t>
  </si>
  <si>
    <t xml:space="preserve"> Double Elimination 3 (top 8)</t>
  </si>
  <si>
    <t>Dovekies-1</t>
  </si>
  <si>
    <t>D1 — D2</t>
  </si>
  <si>
    <t>D4— D5</t>
  </si>
  <si>
    <t>D2 — D3</t>
  </si>
  <si>
    <t>D1 — D5</t>
  </si>
  <si>
    <t>D3 — D4</t>
  </si>
  <si>
    <t>Dovekies-2</t>
  </si>
  <si>
    <t>D3 — D5</t>
  </si>
  <si>
    <t>D1 — D3</t>
  </si>
  <si>
    <t>D5 — D6</t>
  </si>
  <si>
    <t>D2 — D4</t>
  </si>
  <si>
    <t>D1 — D6</t>
  </si>
  <si>
    <t>2:20 - 2:50 p.m. PDT</t>
  </si>
  <si>
    <t xml:space="preserve"> Double Elimination 4 (top 6)</t>
  </si>
  <si>
    <t>Dovekies-3</t>
  </si>
  <si>
    <t>D4 — D6</t>
  </si>
  <si>
    <t>D2 — D6</t>
  </si>
  <si>
    <t>D1 — D4</t>
  </si>
  <si>
    <t>D3 — D6</t>
  </si>
  <si>
    <t>D2 — D5</t>
  </si>
  <si>
    <t>Avadavats-4 (Game 1)</t>
  </si>
  <si>
    <t>2:50 - 3:20 p.m. PDT</t>
  </si>
  <si>
    <t xml:space="preserve"> Double Elimination 5 (top 4)</t>
  </si>
  <si>
    <t>BYE</t>
  </si>
  <si>
    <t>Egrets</t>
  </si>
  <si>
    <t>3:20 - 3:30 p.m. PDT</t>
  </si>
  <si>
    <r>
      <rPr>
        <rFont val="Source Sans Pro"/>
        <color rgb="FF000000"/>
        <sz val="14.0"/>
      </rPr>
      <t xml:space="preserve"> </t>
    </r>
    <r>
      <rPr>
        <rFont val="Source Sans Pro"/>
        <b/>
        <color rgb="FF000000"/>
        <sz val="14.0"/>
      </rPr>
      <t>BREAK</t>
    </r>
  </si>
  <si>
    <t>Egrets-1</t>
  </si>
  <si>
    <t>E1 — E2</t>
  </si>
  <si>
    <t>E4— E5</t>
  </si>
  <si>
    <t>E2 — E3</t>
  </si>
  <si>
    <t>E1 — E5</t>
  </si>
  <si>
    <t>E3 — E4</t>
  </si>
  <si>
    <t>Egrets-2</t>
  </si>
  <si>
    <t>E3 — E5</t>
  </si>
  <si>
    <t>E1 — E3</t>
  </si>
  <si>
    <t>E5 — E6</t>
  </si>
  <si>
    <t>E2 — E4</t>
  </si>
  <si>
    <t>E1 — E6</t>
  </si>
  <si>
    <t>3:30 - 4:00 p.m. PDT</t>
  </si>
  <si>
    <t>Avadavats-4 (Game 13)</t>
  </si>
  <si>
    <t xml:space="preserve"> Double Elimination 6 (top 3)</t>
  </si>
  <si>
    <t>Egrets-3</t>
  </si>
  <si>
    <t>E4 — E6</t>
  </si>
  <si>
    <t>E2 — E6</t>
  </si>
  <si>
    <t>E1 — E4</t>
  </si>
  <si>
    <t>E3 — E6</t>
  </si>
  <si>
    <t>E2 — E5</t>
  </si>
  <si>
    <t>4:00 - 4:30 p.m. PDT</t>
  </si>
  <si>
    <t xml:space="preserve"> Double Elimination 7 (top 2)</t>
  </si>
  <si>
    <t>Bellbirds-4 (Game 2)</t>
  </si>
  <si>
    <t>Frigatebirds</t>
  </si>
  <si>
    <t>4:30 - 5:00 p.m. PDT</t>
  </si>
  <si>
    <t>Game-1 stage (Game 19)</t>
  </si>
  <si>
    <t xml:space="preserve"> Double Elimination 8 (if necessary)</t>
  </si>
  <si>
    <t>Frigatebirds-1</t>
  </si>
  <si>
    <t>F1 — F2</t>
  </si>
  <si>
    <t>F4— F5</t>
  </si>
  <si>
    <t>F2 — F3</t>
  </si>
  <si>
    <t>F1 — F5</t>
  </si>
  <si>
    <t>F3 — F4</t>
  </si>
  <si>
    <t>Frigatebirds-2</t>
  </si>
  <si>
    <t>F3 — F5</t>
  </si>
  <si>
    <t>F1 — F3</t>
  </si>
  <si>
    <t>F5 — F6</t>
  </si>
  <si>
    <t>F2 — F4</t>
  </si>
  <si>
    <t>F1 — F6</t>
  </si>
  <si>
    <t>5:00 - 5:20 p.m. PDT</t>
  </si>
  <si>
    <t xml:space="preserve"> CLOSING CEREMONY</t>
  </si>
  <si>
    <t>Frigatebirds-3</t>
  </si>
  <si>
    <t>F4 — F6</t>
  </si>
  <si>
    <t>F2 — F6</t>
  </si>
  <si>
    <t>F1 — F4</t>
  </si>
  <si>
    <t>F3 — F6</t>
  </si>
  <si>
    <t>F2 — F5</t>
  </si>
  <si>
    <t>Condors-4 (Game 3)</t>
  </si>
  <si>
    <t>Godwits</t>
  </si>
  <si>
    <t>Bellbirds-4 (Game 14)</t>
  </si>
  <si>
    <t>Dovekies-4 (Game 4)</t>
  </si>
  <si>
    <t>Godwits-1</t>
  </si>
  <si>
    <t>G1 — G2</t>
  </si>
  <si>
    <t>G4— G5</t>
  </si>
  <si>
    <t>G2 — G3</t>
  </si>
  <si>
    <t>G1 — G5</t>
  </si>
  <si>
    <t>G3 — G4</t>
  </si>
  <si>
    <t>Godwits-2</t>
  </si>
  <si>
    <t>G3 — G5</t>
  </si>
  <si>
    <t>G1 — G3</t>
  </si>
  <si>
    <t>G5 — G6</t>
  </si>
  <si>
    <t>G2 — G4</t>
  </si>
  <si>
    <t>G1 — G6</t>
  </si>
  <si>
    <t>Game-1 stage (Game 22 &amp; 23)</t>
  </si>
  <si>
    <t>Godwits-3</t>
  </si>
  <si>
    <t>G4 — G6</t>
  </si>
  <si>
    <t>G2 — G6</t>
  </si>
  <si>
    <t>G1 — G4</t>
  </si>
  <si>
    <t>G3 — G6</t>
  </si>
  <si>
    <t>G2 — G5</t>
  </si>
  <si>
    <t>Avadavats-4 (Game 9)</t>
  </si>
  <si>
    <t>Game-1 stage (Game 17)</t>
  </si>
  <si>
    <t>Important Links</t>
  </si>
  <si>
    <t>Game-1 stage (Game 21)</t>
  </si>
  <si>
    <t>Name</t>
  </si>
  <si>
    <t>Link</t>
  </si>
  <si>
    <t>Egrets-4 (Game 5)</t>
  </si>
  <si>
    <t>Discord</t>
  </si>
  <si>
    <t>https://discord.gg/ZJu46DnfUs</t>
  </si>
  <si>
    <t>Condors-4 (Game 15)</t>
  </si>
  <si>
    <t>Interlake</t>
  </si>
  <si>
    <t>Information Document</t>
  </si>
  <si>
    <t>https://docs.google.com/document/d/1fBPjaD-dok4lehYii5-8SFxsdCHK2atXiQrQJKdG9U8/edit</t>
  </si>
  <si>
    <t>Bellbirds-4 (Game 10)</t>
  </si>
  <si>
    <t>Game-2 stage (Game 20)</t>
  </si>
  <si>
    <t>Frigatebirds-4 (Game 6)</t>
  </si>
  <si>
    <t>Moderators Only:</t>
  </si>
  <si>
    <t>Moderator Assignments</t>
  </si>
  <si>
    <t>https://docs.google.com/spreadsheets/d/1FSaRT-7xWzb8B6Iho5j50towzhvuoikjyvC02klXpm4/edit?gid=0#gid=0</t>
  </si>
  <si>
    <t>Condors-4 (Game 11)</t>
  </si>
  <si>
    <t>Game-2 stage (Game 18)</t>
  </si>
  <si>
    <t>Godwits-4 (Game 7)</t>
  </si>
  <si>
    <t>Dovekies-4 (Game 16)</t>
  </si>
  <si>
    <t>Dovekies-4 (Game 12)</t>
  </si>
  <si>
    <t>Hornbills-4 (Game 8)</t>
  </si>
  <si>
    <t>Qs Played</t>
  </si>
  <si>
    <t>PPG</t>
  </si>
  <si>
    <t>Math Qs Played</t>
  </si>
  <si>
    <t>Math PPG</t>
  </si>
  <si>
    <t>Biology Qs Played</t>
  </si>
  <si>
    <t>Biology PPG</t>
  </si>
  <si>
    <t>Physics Qs Played</t>
  </si>
  <si>
    <t>Physics PPG</t>
  </si>
  <si>
    <t>ESS Qs Played</t>
  </si>
  <si>
    <t>ESS PPG</t>
  </si>
  <si>
    <t>Chem Qs Played</t>
  </si>
  <si>
    <t>Chemistry PPG</t>
  </si>
  <si>
    <t>ForrestC 96 33.3 20 9.6 20 2.4 19 9.26 19 5.05 18 7.11</t>
  </si>
  <si>
    <t>ForrestC</t>
  </si>
  <si>
    <t>VishnuM 93 26.7 20 7.2 19 5.89 18 2.67 18 8.89 18 1.78</t>
  </si>
  <si>
    <t>VishnuM</t>
  </si>
  <si>
    <t>YunyiL 90 24 19 3.37 19 1.68 18 8.89 17 2.82 17 7.53</t>
  </si>
  <si>
    <t>YunyiL</t>
  </si>
  <si>
    <t>RyanE 100 24 20 2.4 20 3.2 20 7.2 20 6.4 20 4.8</t>
  </si>
  <si>
    <t>RyanE</t>
  </si>
  <si>
    <t>MichaelW 98 22.9 20 8 20 -0.8 20 4.8 19 7.58 19 3.37</t>
  </si>
  <si>
    <t>MichaelW</t>
  </si>
  <si>
    <t>SuzukoO 98 22.9 20 0 20 11.2 20 3.2 19 6.74 19 1.68</t>
  </si>
  <si>
    <t>AldricB</t>
  </si>
  <si>
    <t>ConnorZ 98 22 20 2.4 20 0 20 6.4 19 5.05 19 8.42</t>
  </si>
  <si>
    <t>DanielL</t>
  </si>
  <si>
    <t>HarryJ 95 21.1 20 2.4 20 0 19 3.37 18 8 18 8</t>
  </si>
  <si>
    <t>SuzukoO</t>
  </si>
  <si>
    <t>HarryG 91 21.1 19 5.89 19 2.53 18 8 18 0 17 4.71</t>
  </si>
  <si>
    <t>ConnorZ</t>
  </si>
  <si>
    <t>DanielL 90 20.4 20 3.2 18 0 18 5.33 17 4.71 17 7.53</t>
  </si>
  <si>
    <t>HarryJ</t>
  </si>
  <si>
    <t>AldricB 93 19.8 19 0.842 18 3.56 19 4.21 19 5.89 18 5.33</t>
  </si>
  <si>
    <t>HarryG</t>
  </si>
  <si>
    <t>MihirK 60 18.7 12 2.67 12 5.33 12 4 12 4 12 2.67</t>
  </si>
  <si>
    <t>AaryanS</t>
  </si>
  <si>
    <t>VaryanJ 100 18.4 20 0.8 20 4.8 20 1.6 20 6.4 20 4.8</t>
  </si>
  <si>
    <t>MihirK</t>
  </si>
  <si>
    <t>AkhilB 92 18.3 20 0 19 4.21 18 4.44 18 8 17 1.88</t>
  </si>
  <si>
    <t>AkhilB</t>
  </si>
  <si>
    <t>TheenashS 99 17 20 0 20 9.6 20 1.6 20 -0.8 19 6.74</t>
  </si>
  <si>
    <t>TheenashS</t>
  </si>
  <si>
    <t>AdityaP 100 16.8 20 3.2 20 4 20 4 20 2.4 20 3.2</t>
  </si>
  <si>
    <t>AdityaP</t>
  </si>
  <si>
    <t>SelenaY 98 16.3 20 1.6 20 11.2 20 0 19 3.37 19 0</t>
  </si>
  <si>
    <t>SelenaY</t>
  </si>
  <si>
    <t>TonyL 100 16 20 8 20 0 20 4 20 1.6 20 2.4</t>
  </si>
  <si>
    <t>KrutharthV</t>
  </si>
  <si>
    <t>KianD 97 15.7 20 2.4 20 8.8 19 0.842 19 1.68 19 1.68</t>
  </si>
  <si>
    <t>TonyL</t>
  </si>
  <si>
    <t>JianyuW 98 14.7 20 0 20 0 20 4 19 4.21 19 6.74</t>
  </si>
  <si>
    <t>EvanZ 77 10.4 16 10 16 0 15 -1.07 15 1.07 15 0</t>
  </si>
  <si>
    <t>KianD</t>
  </si>
  <si>
    <t>EvanZ</t>
  </si>
  <si>
    <t>RohanD 93 14.6 20 4 19 0.842 18 5.33 18 4.44 18 0</t>
  </si>
  <si>
    <t>JianyuW</t>
  </si>
  <si>
    <t>AravindM 66 14.5 15 3.2 14 6.86 13 1.23 12 1.33 12 1.33</t>
  </si>
  <si>
    <t>RohanD</t>
  </si>
  <si>
    <t>KeisukeK 100 10.4 20 8.8 20 0 20 1.6 20 0 20 0</t>
  </si>
  <si>
    <t>KeisukeK</t>
  </si>
  <si>
    <t>AdvaiS 89 14.4 19 0 18 0.889 18 2.67 17 9.41 17 1.88</t>
  </si>
  <si>
    <t>AravindM</t>
  </si>
  <si>
    <t>AjayS 98 13.9 20 0.8 20 8.8 20 0.8 19 0 19 3.37</t>
  </si>
  <si>
    <t>AdvaiS</t>
  </si>
  <si>
    <t>RohanS 81 13.8 18 3.56 17 0.941 16 4 15 5.33 15 0</t>
  </si>
  <si>
    <t>RohanS</t>
  </si>
  <si>
    <t>SohilR</t>
  </si>
  <si>
    <t>KrutharthV 35 13.7 8 2 7 11.4 7 0 6 0 7 0</t>
  </si>
  <si>
    <t>AnaghaR</t>
  </si>
  <si>
    <t>SohilR 98 13.1 20 7.2 20 0 20 2.4 19 1.68 19 1.68</t>
  </si>
  <si>
    <t>AnaghaR 76 13.7 16 3 15 2.13 15 4.27 15 1.07 15 3.2</t>
  </si>
  <si>
    <t>AustinX</t>
  </si>
  <si>
    <t>PatrickL 87 9.2 17 6.59 18 0 18 2.67 17 0 17 0</t>
  </si>
  <si>
    <t>PatrickL</t>
  </si>
  <si>
    <t>EvanW 90 13.3 20 1.6 18 10.7 18 0.889 17 0 17 0</t>
  </si>
  <si>
    <t>RishabhK</t>
  </si>
  <si>
    <t>AthithanE 99 6.46 20 5.6 20 0 20 1.6 20 -0.8 19 0</t>
  </si>
  <si>
    <t>JustinD 96 13.3 20 3.2 19 2.53 19 0 19 0 19 7.58</t>
  </si>
  <si>
    <t>JustinD</t>
  </si>
  <si>
    <t>AustinX 103 11.7 21 5.33 21 0.762 21 0.762 20 2.4 20 2.4</t>
  </si>
  <si>
    <t>ShireenA 12 13.3 3 0 3 5.33 2 0 2 0 2 8</t>
  </si>
  <si>
    <t>VaryanJ</t>
  </si>
  <si>
    <t>AaronW 56 10 12 5.33 12 0 12 2.67 10 0 10 1.6</t>
  </si>
  <si>
    <t>AthithanE</t>
  </si>
  <si>
    <t>ArnavS 100 10.4 20 4.8 20 0.8 20 0.8 20 0.8 20 3.2</t>
  </si>
  <si>
    <t>AaronW</t>
  </si>
  <si>
    <t>ArjunR 98 13.1 20 4 20 0 20 3.2 19 2.53 19 3.37</t>
  </si>
  <si>
    <t>ArjunR</t>
  </si>
  <si>
    <t>AshvinS 99 6.46 20 4.8 20 0 20 1.6 20 0 19 0</t>
  </si>
  <si>
    <t>AshvinS</t>
  </si>
  <si>
    <t>DhairyaM 31 12.9 7 0 7 11.4 6 0 6 0 5 0</t>
  </si>
  <si>
    <t>AjayS</t>
  </si>
  <si>
    <t>OwenB 100 12.8 20 2.4 20 1.6 20 4 20 0 20 4.8</t>
  </si>
  <si>
    <t>DhairyaM</t>
  </si>
  <si>
    <t>ArjunD 64 12.5 12 1.33 13 11.1 14 0 14 0 11 0</t>
  </si>
  <si>
    <t>EvanW</t>
  </si>
  <si>
    <t>MinghaoG 71 10.1 16 4 14 3.43 14 1.14 14 0 13 1.23</t>
  </si>
  <si>
    <t>AprameyaT</t>
  </si>
  <si>
    <t>KarthikeyaK 100 12 20 1.6 20 7.2 20 1.6 20 0.8 20 0.8</t>
  </si>
  <si>
    <t>EthanW 98 8.98 20 4 20 0.8 21 0.762 19 0.842 18 2.67</t>
  </si>
  <si>
    <t>OwenB</t>
  </si>
  <si>
    <t>MinghaoG</t>
  </si>
  <si>
    <t>AlbertC 37 8.65 8 4 8 2 7 2.29 7 0 7 0</t>
  </si>
  <si>
    <t>AlbertC</t>
  </si>
  <si>
    <t>ArjunD</t>
  </si>
  <si>
    <t>LikhithM 67 5.97 13 3.69 13 0 14 2.29 14 0 13 0</t>
  </si>
  <si>
    <t>EthanW</t>
  </si>
  <si>
    <t>McNairS 92 11.3 20 1.6 19 4.21 18 0.889 18 0 17 4.71</t>
  </si>
  <si>
    <t>SeanY</t>
  </si>
  <si>
    <t>HankS 58 4.14 13 3.69 13 0 12 0 10 0 10 0</t>
  </si>
  <si>
    <t>ChaasK 78 11.3 16 3 16 0 16 0 15 7.47 15 1.07</t>
  </si>
  <si>
    <t>McNairS</t>
  </si>
  <si>
    <t>OwenW 95 10.9 20 0 20 8 19 0 18 0.889 18 1.78</t>
  </si>
  <si>
    <t>ChaasK</t>
  </si>
  <si>
    <t>ArjunS 63 2.54 13 3.69 13 0 13 -1.23 12 0 12 0</t>
  </si>
  <si>
    <t>ArjunS</t>
  </si>
  <si>
    <t>RishiP 99 10.5 20 0 20 4.8 20 0 20 4 19 1.68</t>
  </si>
  <si>
    <t>OwenW</t>
  </si>
  <si>
    <t>HankS</t>
  </si>
  <si>
    <t>AbheeS 99 10.5 20 3.2 20 2.4 20 0.8 20 2.4 19 1.68</t>
  </si>
  <si>
    <t>RishiP</t>
  </si>
  <si>
    <t>LikhithM</t>
  </si>
  <si>
    <t>VibavT 99 10.5 20 0.8 20 6.4 20 1.6 20 1.6 19 0</t>
  </si>
  <si>
    <t>AbheeS</t>
  </si>
  <si>
    <t>VibavT</t>
  </si>
  <si>
    <t>AdvikS</t>
  </si>
  <si>
    <t>PatrickS</t>
  </si>
  <si>
    <t>RayanM</t>
  </si>
  <si>
    <t>SeanY 103 10.1 21 0.762 21 4.57 21 0.762 20 0 20 4</t>
  </si>
  <si>
    <t>RayanM 98 8.98 20 3.2 20 0.8 20 4 19 0.842 19 0</t>
  </si>
  <si>
    <t>SanjayO 92 9.57 19 0 19 0 19 4.21 19 0 16 6</t>
  </si>
  <si>
    <t>SanjayO</t>
  </si>
  <si>
    <t>KevinQ 43 7.44 10 3.2 9 1.78 8 0 8 0 8 2</t>
  </si>
  <si>
    <t>KevinQ</t>
  </si>
  <si>
    <t>StavyaG 95 9.26 20 0 20 5.6 20 0 18 1.78 17 1.88</t>
  </si>
  <si>
    <t>StavyaG</t>
  </si>
  <si>
    <t>AdvikS 99 4.04 20 3.2 20 0 20 -0.8 20 1.6 19 0</t>
  </si>
  <si>
    <t>KadenS 98 8.98 21 3.05 21 0.762 20 3.2 18 0.889 18 0.889</t>
  </si>
  <si>
    <t>JonathanL 97 9.07 20 0.8 20 0.8 20 3.2 19 0.842 18 3.56</t>
  </si>
  <si>
    <t>JonathanL</t>
  </si>
  <si>
    <t>KadenS</t>
  </si>
  <si>
    <t>ShripriyaK 89 8.99 19 2.53 18 5.33 18 0.889 17 -0.941 17 0.941</t>
  </si>
  <si>
    <t>KarthikeyaK</t>
  </si>
  <si>
    <t>ShripriyaK</t>
  </si>
  <si>
    <t>CharlotteC 98 8.98 20 0.8 20 1.6 20 1.6 19 5.89 19 -0.842</t>
  </si>
  <si>
    <t>CharlotteC</t>
  </si>
  <si>
    <t>MaxK 98 8.98 20 0 21 3.05 20 0.8 19 5.05 18 0</t>
  </si>
  <si>
    <t>RoshanA 99 8.89 20 0 20 0.8 20 -0.8 20 7.2 19 1.68</t>
  </si>
  <si>
    <t>MaxK</t>
  </si>
  <si>
    <t>EvanL 82 8.78 17 0.941 16 0 17 1.88 16 0 16 6</t>
  </si>
  <si>
    <t>RoshanA</t>
  </si>
  <si>
    <t>EvanL</t>
  </si>
  <si>
    <t>LukeX 48 8.33 9 0 9 3.56 10 3.2 10 0 10 1.6</t>
  </si>
  <si>
    <t>RithikG</t>
  </si>
  <si>
    <t>JakeN 77 8.31 15 0 15 0 16 1 16 0 15 7.47</t>
  </si>
  <si>
    <t>LukeX</t>
  </si>
  <si>
    <t>SkylarB 99 8.08 20 -0.8 20 4 20 0 20 0.8 19 4.21</t>
  </si>
  <si>
    <t>JakeN</t>
  </si>
  <si>
    <t>TerryL 99 8.08 20 0 20 2.4 20 0 20 0 19 5.89</t>
  </si>
  <si>
    <t>SkylarB</t>
  </si>
  <si>
    <t>VivanP</t>
  </si>
  <si>
    <t>AaryanM 100 8 20 1.6 20 5.6 20 -0.8 20 0.8 20 0.8</t>
  </si>
  <si>
    <t>TerryL</t>
  </si>
  <si>
    <t>JasonY[WM] 91 7.91 19 0.842 19 0 18 0 18 7.11 17 0</t>
  </si>
  <si>
    <t>VivanP 97 7.42 20 2.4 20 3.2 19 0 19 1.68 19 0</t>
  </si>
  <si>
    <t>AaryanM</t>
  </si>
  <si>
    <t>RenardW 96 7.5 20 0 19 5.89 19 0 19 1.68 19 0</t>
  </si>
  <si>
    <t>JasonY</t>
  </si>
  <si>
    <t>AustinZ 100 6.4 20 2.4 20 0 20 2.4 20 0 20 1.6</t>
  </si>
  <si>
    <t>AustinZ</t>
  </si>
  <si>
    <t>RenardW</t>
  </si>
  <si>
    <t>AdvaithM 99 0.808 20 2.4 20 0 20 -1.6 20 0 19 0</t>
  </si>
  <si>
    <t>DonovanH 32 5 7 2.29 7 0 6 0 6 2.67 6 0</t>
  </si>
  <si>
    <t>GavinM 76 7.37 16 0 15 1.07 14 0 15 0 16 6</t>
  </si>
  <si>
    <t>AprameyaT 36 4.44 7 2.29 7 0 7 0 7 2.29 8 0</t>
  </si>
  <si>
    <t>AdvaithM</t>
  </si>
  <si>
    <t>WilliamW 76 7.37 16 0 15 0 15 0 15 0 15 7.47</t>
  </si>
  <si>
    <t>GavinM</t>
  </si>
  <si>
    <t>MonishK 32 2.5 7 2.29 7 0 6 0 6 0 6 0</t>
  </si>
  <si>
    <t>DanielY 98 7.35 20 0 20 7.2 20 0 19 0 19 0</t>
  </si>
  <si>
    <t>WilliamW</t>
  </si>
  <si>
    <t>LiranZ 100 7.2 20 1.6 20 0.8 20 0 20 0 20 4.8</t>
  </si>
  <si>
    <t>AnishA 38 2.11 7 2.29 7 0 8 0 8 0 8 0</t>
  </si>
  <si>
    <t>DanielY</t>
  </si>
  <si>
    <t>DonovanH</t>
  </si>
  <si>
    <t>DeveshA 90 7.11 20 0 18 0.889 18 0 17 5.65 17 0.941</t>
  </si>
  <si>
    <t>FloraJ</t>
  </si>
  <si>
    <t>RaymondL 70 2.29 15 2.13 14 0 14 0 14 0 13 0</t>
  </si>
  <si>
    <t>MonishK</t>
  </si>
  <si>
    <t>JasonY[CCA] 103 6.99 21 0.762 21 0 21 0.762 20 1.6 20 4</t>
  </si>
  <si>
    <t>LiranZ</t>
  </si>
  <si>
    <t>AnishA</t>
  </si>
  <si>
    <t>AbhiramP 82 6.83 17 -0.941 17 1.88 16 1 16 5 16 0</t>
  </si>
  <si>
    <t>AbhiramP</t>
  </si>
  <si>
    <t>HongJinK 88 3.64 17 1.88 17 0 18 1.78 18 0 18 0</t>
  </si>
  <si>
    <t>RaymondL</t>
  </si>
  <si>
    <t>IshankK 98 6.53 21 0.762 21 3.05 20 0.8 18 1.78 18 0</t>
  </si>
  <si>
    <t>IshankK</t>
  </si>
  <si>
    <t>NiharB 88 2.73 17 1.88 17 0 18 0.889 18 0 18 0</t>
  </si>
  <si>
    <t>HongJinK</t>
  </si>
  <si>
    <t>ArnavG 74 6.49 15 0 14 3.43 15 -1.07 15 0 15 4.27</t>
  </si>
  <si>
    <t>ArnavG</t>
  </si>
  <si>
    <t>LucasC 99 6.46 20 0 20 4 20 0 20 0.8 19 1.68</t>
  </si>
  <si>
    <t>RithikG 94 5.96 19 1.68 18 0.889 18 1.78 20 1.6 19 0</t>
  </si>
  <si>
    <t>LucasC</t>
  </si>
  <si>
    <t>AryanA</t>
  </si>
  <si>
    <t>TarunS</t>
  </si>
  <si>
    <t>JamesJ 88 6.36 18 0 18 0 18 0 17 0 17 6.59</t>
  </si>
  <si>
    <t>JamesJ</t>
  </si>
  <si>
    <t>FloraJ 103 6.21 21 -0.762 21 2.29 21 0.762 20 4 20 0</t>
  </si>
  <si>
    <t>AnishP</t>
  </si>
  <si>
    <t>AnishP 26 6.15 5 0 5 0 6 5.33 5 0 5 0</t>
  </si>
  <si>
    <t>BrandonK</t>
  </si>
  <si>
    <t>BrandonK 39 6.15 8 0 8 0 8 2 8 2 7 2.29</t>
  </si>
  <si>
    <t>AmaanM</t>
  </si>
  <si>
    <t>SreekarS</t>
  </si>
  <si>
    <t>TarunS 47 5.11 10 1.6 10 0 9 0 9 0 9 3.56</t>
  </si>
  <si>
    <t>AvnithV</t>
  </si>
  <si>
    <t>VihaanT</t>
  </si>
  <si>
    <t>AryanA 90 4.44 20 1.6 18 0.889 18 0 17 0 17 1.88</t>
  </si>
  <si>
    <t>LiY</t>
  </si>
  <si>
    <t>SreekarS 81 5.93 16 0 16 0 16 3 16 3 17 0</t>
  </si>
  <si>
    <t>DeveshA</t>
  </si>
  <si>
    <t>AmaanM 95 4.21 20 1.6 20 0 20 1.6 18 0 17 0.941</t>
  </si>
  <si>
    <t>VaneeshaS</t>
  </si>
  <si>
    <t>VihaanT 99 5.66 20 0.8 20 0 20 2.4 20 1.6 19 0.842</t>
  </si>
  <si>
    <t>LiY 49 1.63 11 1.45 11 0 9 0 9 0 9 0</t>
  </si>
  <si>
    <t>CharlesH</t>
  </si>
  <si>
    <t>VaneeshaS 59 2.71 12 1.33 12 0 12 1.33 12 0 11 0</t>
  </si>
  <si>
    <t>AndrewZ</t>
  </si>
  <si>
    <t>SamB</t>
  </si>
  <si>
    <t>CharlesH 67 1.19 13 1.23 14 0 14 0 13 0 13 0</t>
  </si>
  <si>
    <t>KensukeO</t>
  </si>
  <si>
    <t>SamB 97 4.95 20 0.8 20 0.8 19 2.53 19 0 19 0.842</t>
  </si>
  <si>
    <t>KatherineW</t>
  </si>
  <si>
    <t>KensukeO 72 4.44 16 1 15 0 14 0 14 2.29 13 1.23</t>
  </si>
  <si>
    <t>KrishayS</t>
  </si>
  <si>
    <t>KatherineW 81 4.94 15 0 17 1.88 17 0 16 3 16 0</t>
  </si>
  <si>
    <t>ShireenA</t>
  </si>
  <si>
    <t>ShashankV 82 4.88 17 0 17 0 16 0 16 5 16 0</t>
  </si>
  <si>
    <t>ShashankV</t>
  </si>
  <si>
    <t>ChloeS 88 4.55 17 0 17 1.88 18 0 18 1.78 18 0.889</t>
  </si>
  <si>
    <t>ChloeS</t>
  </si>
  <si>
    <t>AndrewZ 78 4.1 16 1 16 0 16 2 15 0 15 1.07</t>
  </si>
  <si>
    <t>RichardH</t>
  </si>
  <si>
    <t>KrishayS 76 3.16 16 1 15 0 15 0 15 2.13 15 0</t>
  </si>
  <si>
    <t>VishruthD</t>
  </si>
  <si>
    <t>VeerS</t>
  </si>
  <si>
    <t>RichardH 76 3.16 16 1 15 0 15 1.07 15 0 15 1.07</t>
  </si>
  <si>
    <t>MichaelM</t>
  </si>
  <si>
    <t>VeerS 79 1.01 16 1 16 0 16 0 16 1 15 -1.07</t>
  </si>
  <si>
    <t>VishruthD 56 4.29 12 0 12 1.33 12 0 10 0 10 3.2</t>
  </si>
  <si>
    <t>KushG 80 4 17 0.941 17 0 16 3 15 0 15 0</t>
  </si>
  <si>
    <t>KushG</t>
  </si>
  <si>
    <t>RowanW</t>
  </si>
  <si>
    <t>MichaelM 88 3.64 17 0.941 18 1.78 18 0 18 0 17 0.941</t>
  </si>
  <si>
    <t>ShailB</t>
  </si>
  <si>
    <t>RowanW 78 4.1 18 0.889 16 1 15 1.07 15 -1.07 14 2.29</t>
  </si>
  <si>
    <t>ConnorC</t>
  </si>
  <si>
    <t>KevinW</t>
  </si>
  <si>
    <t>ConnorC 89 1.8 18 0.889 18 0 18 0 17 0.941 18 0</t>
  </si>
  <si>
    <t>ShailB 98 4.08 21 0.762 21 0.762 20 2.4 18 0 18 0</t>
  </si>
  <si>
    <t>NiharB</t>
  </si>
  <si>
    <t>SeanS</t>
  </si>
  <si>
    <t>KevinW 98 4.08 20 0.8 20 0 20 0 20 0 18 3.56</t>
  </si>
  <si>
    <t>JishnuB</t>
  </si>
  <si>
    <t>SeanS 91 2.64 19 0.842 19 0 18 0 18 0.889 17 0.941</t>
  </si>
  <si>
    <t>JishnuB 99 4.04 20 0.8 20 1.6 20 0.8 20 0 19 0.842</t>
  </si>
  <si>
    <t>YingchiX 100 4 20 0 20 4 20 0 20 0 20 0</t>
  </si>
  <si>
    <t>DiegoP</t>
  </si>
  <si>
    <t>YingchiX</t>
  </si>
  <si>
    <t>VictoriaY 100 4 20 0.8 20 0.8 20 0.8 20 0 20 1.6</t>
  </si>
  <si>
    <t>VictoriaY</t>
  </si>
  <si>
    <t>RutvikA 61 3.93 13 0 13 0 12 4 12 0 11 0</t>
  </si>
  <si>
    <t>ArnavS</t>
  </si>
  <si>
    <t>AnikaJ</t>
  </si>
  <si>
    <t>RutvikA</t>
  </si>
  <si>
    <t>GabrielleW</t>
  </si>
  <si>
    <t>JoshH 45 3.56 10 0 9 5.33 8 0 9 -1.78 9 0</t>
  </si>
  <si>
    <t>KendricH 96 3.33 20 0 19 0 19 1.68 19 1.68 19 0</t>
  </si>
  <si>
    <t>JoshH</t>
  </si>
  <si>
    <t>LucasX</t>
  </si>
  <si>
    <t>KendricH</t>
  </si>
  <si>
    <t>DiegoP 98 2.45 20 0.8 20 0 20 -0.8 19 0 19 2.53</t>
  </si>
  <si>
    <t>HariniP</t>
  </si>
  <si>
    <t>AnikaJ 100 2.4 20 0.8 20 0 20 0 20 1.6 20 0</t>
  </si>
  <si>
    <t>RayF 78 3.08 16 0 16 0 16 2 15 1.07 15 0</t>
  </si>
  <si>
    <t>GabrielleW 100 1.6 20 0.8 20 0 20 0 20 0.8 20 0</t>
  </si>
  <si>
    <t>CarinaC</t>
  </si>
  <si>
    <t>CarinaC 97 0.825 20 0.8 20 0 20 0 19 0 18 0</t>
  </si>
  <si>
    <t>RayF</t>
  </si>
  <si>
    <t>LucasX 98 0.816 20 0.8 20 0 20 0 19 0 19 0</t>
  </si>
  <si>
    <t>HariniP 99 0.808 20 0.8 20 0 20 -0.8 20 0 19 0.842</t>
  </si>
  <si>
    <t>ShreyasK</t>
  </si>
  <si>
    <t>ThomasW 98 2.45 20 0 20 0 20 0.8 19 1.68 19 0</t>
  </si>
  <si>
    <t>DennisS 98 2.45 21 0 21 0.762 20 0 18 0 18 1.78</t>
  </si>
  <si>
    <t>ThomasW</t>
  </si>
  <si>
    <t>DennisS</t>
  </si>
  <si>
    <t>BhagirathB 99 2.42 20 0 20 3.2 20 0 20 0 19 -0.842</t>
  </si>
  <si>
    <t>VladislavK</t>
  </si>
  <si>
    <t>BhaveshD 99 2.42 20 0 20 0 20 2.4 20 0 19 0</t>
  </si>
  <si>
    <t>IlincaS</t>
  </si>
  <si>
    <t>BhagirathB</t>
  </si>
  <si>
    <t>NathanielO</t>
  </si>
  <si>
    <t>BhaveshD</t>
  </si>
  <si>
    <t>SoureeshT</t>
  </si>
  <si>
    <t>JonathanY 70 2.29 15 0 15 0 14 0 13 2.46 13 0</t>
  </si>
  <si>
    <t>NathanJ 75 2.13 15 0 16 0 15 1.07 15 1.07 14 0</t>
  </si>
  <si>
    <t>NathanielO 78 2.05 16 0 16 2 16 0 15 0 15 0</t>
  </si>
  <si>
    <t>JonathanY</t>
  </si>
  <si>
    <t>AlexC 80 2 16 0 16 0 16 0 16 1 16 1</t>
  </si>
  <si>
    <t>NathanJ</t>
  </si>
  <si>
    <t>AryanN 80 2 16 0 16 -1 16 0 16 0 16 3</t>
  </si>
  <si>
    <t>AlexC</t>
  </si>
  <si>
    <t>MinS</t>
  </si>
  <si>
    <t>SahanaV 89 1.8 18 0 18 0.889 18 0 18 0.889 17 0</t>
  </si>
  <si>
    <t>DerrickC</t>
  </si>
  <si>
    <t>JaganeshR 91 1.76 19 0 18 0 18 0 18 1.78 18 0</t>
  </si>
  <si>
    <t>AryanN</t>
  </si>
  <si>
    <t>RezaH</t>
  </si>
  <si>
    <t>ClarkB 92 1.74 20 0 19 0.842 18 0 18 0 17 0.941</t>
  </si>
  <si>
    <t>NikhilS 95 1.68 20 0 20 0 20 0 18 0.889 17 0.941</t>
  </si>
  <si>
    <t>SahanaV</t>
  </si>
  <si>
    <t>JaganeshR</t>
  </si>
  <si>
    <t>HenryK</t>
  </si>
  <si>
    <t>GuganT 49 1.63 10 0 10 0 9 1.78 10 0 10 0</t>
  </si>
  <si>
    <t>ClarkB</t>
  </si>
  <si>
    <t>MinS 100 1.6 20 0 20 0 20 0.8 20 0 20 0.8</t>
  </si>
  <si>
    <t>PaxtonL 100 1.6 20 0 20 0 20 0 20 0 20 1.6</t>
  </si>
  <si>
    <t>NikhilS</t>
  </si>
  <si>
    <t>JeremyC 61 1.31 12 0 13 1.23 12 0 12 0 12 0</t>
  </si>
  <si>
    <t>GuganT</t>
  </si>
  <si>
    <t>DivitB 70 1.14 14 0 14 0 14 1.14 14 0 14 0</t>
  </si>
  <si>
    <t>PaxtonL</t>
  </si>
  <si>
    <t>RajorshiC</t>
  </si>
  <si>
    <t>SarveshR 76 1.05 16 0 15 1.07 15 0 15 0 15 0</t>
  </si>
  <si>
    <t>DivitB</t>
  </si>
  <si>
    <t>JeremyC</t>
  </si>
  <si>
    <t>HaroldO</t>
  </si>
  <si>
    <t>JeremyY 79 1.01 17 -0.941 16 1 15 0 16 1 15 0</t>
  </si>
  <si>
    <t>KavyaM</t>
  </si>
  <si>
    <t>EmmaL 85 0.941 19 0 18 0.889 16 0 16 0 16 0</t>
  </si>
  <si>
    <t>DerrickC 90 0.889 19 0 19 0.842 18 0 17 0 17 0</t>
  </si>
  <si>
    <t>SarveshR</t>
  </si>
  <si>
    <t>HenryK 96 0.833 20 0 19 0 19 -0.842 19 1.68 19 0</t>
  </si>
  <si>
    <t>JeremyY</t>
  </si>
  <si>
    <t>AmelieH</t>
  </si>
  <si>
    <t>ElizabethC 97 0.825 20 0 20 0 20 0 19 0.842 18 0</t>
  </si>
  <si>
    <t>EmmaL</t>
  </si>
  <si>
    <t>VladislavK 99 0.808 20 0 20 0 20 0 20 0 19 0.842</t>
  </si>
  <si>
    <t>AbhiA 99 0.808 20 0 20 0 20 0 20 0 19 0.842</t>
  </si>
  <si>
    <t>ElizabethC</t>
  </si>
  <si>
    <t>JaneT 100 0.8 20 0 20 0 20 0 20 0.8 20 0</t>
  </si>
  <si>
    <t>GordonW 100 0.8 20 0 20 0.8 20 0 20 0 20 0</t>
  </si>
  <si>
    <t>AbhiA</t>
  </si>
  <si>
    <t>IlincaS 67 0 13 0 14 0 14 0 13 0 13 0</t>
  </si>
  <si>
    <t>SoureeshT 62 0 14 0 12 0 12 0 12 0 12 0</t>
  </si>
  <si>
    <t>RajorshiC 72 0 15 0 14 0 15 0 14 0 14 0</t>
  </si>
  <si>
    <t>JaneT</t>
  </si>
  <si>
    <t>PruthwiV</t>
  </si>
  <si>
    <t>HaroldO 72 0 16 0 15 0 14 0 14 0 13 0</t>
  </si>
  <si>
    <t>GordonW</t>
  </si>
  <si>
    <t>KavyaM 59 0 14 0 12 0 11 0 11 0 11 0</t>
  </si>
  <si>
    <t>LoganL</t>
  </si>
  <si>
    <t>AmelieH 52 0 12 0 11 -1.45 10 1.6 9 0 10 0</t>
  </si>
  <si>
    <t>CynthiaK</t>
  </si>
  <si>
    <t>PruthwiV 0 0 0 0 0 0 0 0 0 0 0 0</t>
  </si>
  <si>
    <t>LoganL 51 0 11 0 10 0 10 0 10 0 10 0</t>
  </si>
  <si>
    <t>CynthiaK 20 0 4 0 4 0 4 0 4 0 4 0</t>
  </si>
  <si>
    <t>IsabellaM 72 0 15 0 15 0 14 0 14 0 14 0</t>
  </si>
  <si>
    <t>GavinX</t>
  </si>
  <si>
    <t>TinwinH 40 0 9 0 8 0 8 0 8 0 7 0</t>
  </si>
  <si>
    <t>IsabellaM</t>
  </si>
  <si>
    <t>AahanaB 38 0 8 0 8 0 8 0 8 0 6 0</t>
  </si>
  <si>
    <t>ArnavaB 0 0 0 0 0 0 0 0 0 0 0 0</t>
  </si>
  <si>
    <t>JonathanG 40 0 8 0 8 0 8 0 8 0 8 0</t>
  </si>
  <si>
    <t>DanielW 25 0 5 0 5 0 5 0 5 0 5 0</t>
  </si>
  <si>
    <t>TinwinH</t>
  </si>
  <si>
    <t>DivitM 92 0 19 -0.842 19 0 19 0.842 19 0 16 0</t>
  </si>
  <si>
    <t>AahanaB</t>
  </si>
  <si>
    <t>InhooC 67 0 13 0 14 0 14 0 14 0 12 0</t>
  </si>
  <si>
    <t>ArnavaB</t>
  </si>
  <si>
    <t>RezaH 98 -0.816 20 0 20 -0.8 20 -0.8 19 0 19 0.842</t>
  </si>
  <si>
    <t>JonathanG</t>
  </si>
  <si>
    <t>GavinX 89 -0.899 17 0 18 -0.889 18 0 18 0 18 0</t>
  </si>
  <si>
    <t>DanielW</t>
  </si>
  <si>
    <t>AbhiramC 77 -1.04 16 -1 16 0 15 0 15 0 15 0</t>
  </si>
  <si>
    <t>DivitM</t>
  </si>
  <si>
    <t>AarushI 58 -1.38 12 -1.33 12 1.33 12 -1.33 11 0 11 0</t>
  </si>
  <si>
    <t>InhooC</t>
  </si>
  <si>
    <t>JasonM 92 -1.74 19 0 19 0 19 -1.68 19 0 16 0</t>
  </si>
  <si>
    <t>MatthewY 27 -2.96 7 0 5 0 5 -3.2 5 0 5 0</t>
  </si>
  <si>
    <t>ShreyasK 40 -4 8 0 8 0 8 0 8 -2 8 -2</t>
  </si>
  <si>
    <t>AbhiramC</t>
  </si>
  <si>
    <t>AarushI</t>
  </si>
  <si>
    <t>JasonM</t>
  </si>
  <si>
    <t>MatthewY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</si>
</sst>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b/>
      <sz val="36.0"/>
      <color rgb="FFFFD142"/>
      <name val="Source Sans Pro"/>
    </font>
    <font>
      <b/>
      <sz val="64.0"/>
      <color rgb="FFFFD142"/>
      <name val="Source Sans Pro"/>
    </font>
    <font>
      <b/>
      <sz val="15.0"/>
      <color theme="1"/>
      <name val="Source Sans Pro"/>
    </font>
    <font/>
    <font>
      <color theme="1"/>
      <name val="Source Sans Pro"/>
    </font>
    <font>
      <sz val="11.0"/>
      <color theme="1"/>
      <name val="Source Sans Pro"/>
    </font>
    <font>
      <b/>
      <sz val="25.0"/>
      <color rgb="FFFFD142"/>
      <name val="Source Sans Pro"/>
    </font>
    <font>
      <b/>
      <sz val="13.0"/>
      <color rgb="FFFFD142"/>
      <name val="Source Sans Pro"/>
    </font>
    <font>
      <b/>
      <sz val="26.0"/>
      <color rgb="FFFFD142"/>
      <name val="Source Sans Pro"/>
    </font>
    <font>
      <b/>
      <sz val="18.0"/>
      <color theme="1"/>
      <name val="Source Sans Pro"/>
    </font>
    <font>
      <b/>
      <sz val="11.0"/>
      <color theme="1"/>
      <name val="Source Sans Pro"/>
    </font>
    <font>
      <sz val="14.0"/>
      <color theme="1"/>
      <name val="Source Sans Pro"/>
    </font>
    <font>
      <b/>
      <sz val="14.0"/>
      <color theme="1"/>
      <name val="Source Sans Pro"/>
    </font>
    <font>
      <sz val="14.0"/>
      <color rgb="FF000000"/>
      <name val="Source Sans Pro"/>
    </font>
    <font>
      <color rgb="FF7A00CB"/>
      <name val="Source Sans Pro"/>
    </font>
    <font>
      <sz val="11.0"/>
      <color theme="1"/>
      <name val="Arial"/>
      <scheme val="minor"/>
    </font>
    <font>
      <sz val="15.0"/>
      <color theme="1"/>
      <name val="Source Sans Pro"/>
    </font>
    <font>
      <sz val="15.0"/>
      <color rgb="FF000000"/>
      <name val="Source Sans Pro"/>
    </font>
    <font>
      <b/>
      <sz val="14.0"/>
      <color rgb="FF000000"/>
      <name val="Source Sans Pro"/>
    </font>
    <font>
      <b/>
      <sz val="15.0"/>
      <color rgb="FFFFD142"/>
      <name val="Source Sans Pro"/>
    </font>
    <font>
      <color rgb="FF000000"/>
      <name val="Source Sans Pro"/>
    </font>
    <font>
      <color rgb="FFFFFFFF"/>
      <name val="Source Sans Pro"/>
    </font>
    <font>
      <b/>
      <color rgb="FF000000"/>
      <name val="Source Sans Pro"/>
    </font>
    <font>
      <b/>
      <color theme="1"/>
      <name val="Source Sans Pro"/>
    </font>
    <font>
      <color rgb="FFFFFFFF"/>
      <name val="Arial"/>
    </font>
    <font>
      <color theme="1"/>
      <name val="Arial"/>
    </font>
    <font>
      <b/>
      <color rgb="FFFFFFFF"/>
      <name val="Source Sans Pro"/>
    </font>
    <font>
      <b/>
      <color rgb="FFFFD142"/>
      <name val="Source Sans Pro"/>
    </font>
    <font>
      <sz val="11.0"/>
      <color rgb="FF000000"/>
      <name val="Source Sans Pro"/>
    </font>
    <font>
      <b/>
      <sz val="12.0"/>
      <color rgb="FF000000"/>
      <name val="Source Sans Pro"/>
    </font>
    <font>
      <b/>
      <sz val="12.0"/>
      <color rgb="FFEFEFEF"/>
      <name val="Source Sans Pro"/>
    </font>
    <font>
      <sz val="12.0"/>
      <color theme="1"/>
      <name val="Source Sans Pro"/>
    </font>
    <font>
      <u/>
      <sz val="12.0"/>
      <color rgb="FF0000FF"/>
      <name val="Source Sans Pro"/>
    </font>
    <font>
      <color rgb="FFFFFFFF"/>
      <name val="Arial"/>
      <scheme val="minor"/>
    </font>
    <font>
      <u/>
      <sz val="12.0"/>
      <color rgb="FF0000FF"/>
      <name val="Source Sans Pro"/>
    </font>
    <font>
      <u/>
      <sz val="12.0"/>
      <color rgb="FF1155CC"/>
      <name val="Source Sans Pro"/>
    </font>
    <font>
      <u/>
      <sz val="12.0"/>
      <color rgb="FF1155CC"/>
      <name val="Source Sans Pro"/>
    </font>
    <font>
      <sz val="12.0"/>
      <color rgb="FF000000"/>
      <name val="Source Sans Pro"/>
    </font>
    <font>
      <color theme="1"/>
      <name val="Arial"/>
      <scheme val="minor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A00CB"/>
        <bgColor rgb="FF7A00CB"/>
      </patternFill>
    </fill>
    <fill>
      <patternFill patternType="solid">
        <fgColor rgb="FFEFEFEF"/>
        <bgColor rgb="FFEFEFEF"/>
      </patternFill>
    </fill>
    <fill>
      <patternFill patternType="solid">
        <fgColor rgb="FFFFD142"/>
        <bgColor rgb="FFFFD142"/>
      </patternFill>
    </fill>
    <fill>
      <patternFill patternType="solid">
        <fgColor rgb="FFD9D9D9"/>
        <bgColor rgb="FFD9D9D9"/>
      </patternFill>
    </fill>
  </fills>
  <borders count="27">
    <border/>
    <border>
      <left style="medium">
        <color rgb="FF000000"/>
      </left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horizontal="center" readingOrder="0" vertical="bottom"/>
    </xf>
    <xf borderId="2" fillId="0" fontId="4" numFmtId="0" xfId="0" applyBorder="1" applyFont="1"/>
    <xf borderId="3" fillId="0" fontId="3" numFmtId="0" xfId="0" applyAlignment="1" applyBorder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2" fillId="0" fontId="3" numFmtId="0" xfId="0" applyAlignment="1" applyBorder="1" applyFont="1">
      <alignment horizontal="right" readingOrder="0" vertical="bottom"/>
    </xf>
    <xf borderId="1" fillId="0" fontId="6" numFmtId="0" xfId="0" applyAlignment="1" applyBorder="1" applyFont="1">
      <alignment readingOrder="0" shrinkToFit="0" vertical="bottom" wrapText="0"/>
    </xf>
    <xf borderId="4" fillId="2" fontId="7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readingOrder="0" shrinkToFit="0" vertical="bottom" wrapText="0"/>
    </xf>
    <xf borderId="5" fillId="0" fontId="4" numFmtId="0" xfId="0" applyBorder="1" applyFont="1"/>
    <xf borderId="6" fillId="0" fontId="4" numFmtId="0" xfId="0" applyBorder="1" applyFont="1"/>
    <xf borderId="0" fillId="0" fontId="8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4" fillId="2" fontId="9" numFmtId="0" xfId="0" applyAlignment="1" applyBorder="1" applyFill="1" applyFont="1">
      <alignment horizontal="center" readingOrder="0" vertical="bottom"/>
    </xf>
    <xf borderId="7" fillId="0" fontId="4" numFmtId="0" xfId="0" applyBorder="1" applyFont="1"/>
    <xf borderId="3" fillId="2" fontId="8" numFmtId="0" xfId="0" applyAlignment="1" applyBorder="1" applyFill="1" applyFont="1">
      <alignment horizontal="center" readingOrder="0" vertical="bottom"/>
    </xf>
    <xf borderId="8" fillId="0" fontId="4" numFmtId="0" xfId="0" applyBorder="1" applyFont="1"/>
    <xf borderId="9" fillId="0" fontId="4" numFmtId="0" xfId="0" applyBorder="1" applyFont="1"/>
    <xf borderId="0" fillId="0" fontId="6" numFmtId="0" xfId="0" applyAlignment="1" applyFont="1">
      <alignment horizontal="center" vertical="bottom"/>
    </xf>
    <xf borderId="10" fillId="0" fontId="4" numFmtId="0" xfId="0" applyBorder="1" applyFont="1"/>
    <xf borderId="0" fillId="0" fontId="6" numFmtId="0" xfId="0" applyAlignment="1" applyFont="1">
      <alignment horizontal="center" readingOrder="0" vertical="bottom"/>
    </xf>
    <xf borderId="1" fillId="3" fontId="6" numFmtId="0" xfId="0" applyAlignment="1" applyBorder="1" applyFill="1" applyFont="1">
      <alignment readingOrder="0" shrinkToFit="0" vertical="bottom" wrapText="0"/>
    </xf>
    <xf borderId="4" fillId="0" fontId="10" numFmtId="0" xfId="0" applyAlignment="1" applyBorder="1" applyFont="1">
      <alignment horizontal="center" readingOrder="0" vertical="bottom"/>
    </xf>
    <xf borderId="11" fillId="0" fontId="4" numFmtId="0" xfId="0" applyBorder="1" applyFont="1"/>
    <xf borderId="0" fillId="3" fontId="6" numFmtId="0" xfId="0" applyAlignment="1" applyFill="1" applyFont="1">
      <alignment readingOrder="0" shrinkToFit="0" vertical="bottom" wrapText="0"/>
    </xf>
    <xf borderId="0" fillId="3" fontId="6" numFmtId="0" xfId="0" applyAlignment="1" applyFill="1" applyFont="1">
      <alignment readingOrder="0"/>
    </xf>
    <xf borderId="12" fillId="0" fontId="10" numFmtId="0" xfId="0" applyAlignment="1" applyBorder="1" applyFont="1">
      <alignment horizontal="center" readingOrder="0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6" numFmtId="0" xfId="0" applyAlignment="1" applyBorder="1" applyFont="1">
      <alignment vertical="bottom"/>
    </xf>
    <xf borderId="14" fillId="0" fontId="11" numFmtId="0" xfId="0" applyAlignment="1" applyBorder="1" applyFont="1">
      <alignment horizontal="center" readingOrder="0" vertical="bottom"/>
    </xf>
    <xf borderId="16" fillId="0" fontId="11" numFmtId="0" xfId="0" applyAlignment="1" applyBorder="1" applyFont="1">
      <alignment horizontal="center" readingOrder="0" vertical="bottom"/>
    </xf>
    <xf borderId="17" fillId="0" fontId="11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19" fillId="0" fontId="4" numFmtId="0" xfId="0" applyBorder="1" applyFont="1"/>
    <xf borderId="0" fillId="0" fontId="13" numFmtId="0" xfId="0" applyAlignment="1" applyFont="1">
      <alignment horizontal="left" readingOrder="0" vertical="bottom"/>
    </xf>
    <xf borderId="20" fillId="0" fontId="4" numFmtId="0" xfId="0" applyBorder="1" applyFont="1"/>
    <xf borderId="19" fillId="0" fontId="6" numFmtId="0" xfId="0" applyAlignment="1" applyBorder="1" applyFont="1">
      <alignment horizontal="center" readingOrder="0" vertical="bottom"/>
    </xf>
    <xf borderId="20" fillId="0" fontId="6" numFmtId="0" xfId="0" applyAlignment="1" applyBorder="1" applyFont="1">
      <alignment horizontal="center" readingOrder="0" vertical="bottom"/>
    </xf>
    <xf borderId="1" fillId="0" fontId="4" numFmtId="0" xfId="0" applyBorder="1" applyFont="1"/>
    <xf borderId="16" fillId="0" fontId="11" numFmtId="0" xfId="0" applyAlignment="1" applyBorder="1" applyFont="1">
      <alignment horizontal="center" vertical="bottom"/>
    </xf>
    <xf borderId="21" fillId="0" fontId="6" numFmtId="0" xfId="0" applyAlignment="1" applyBorder="1" applyFont="1">
      <alignment horizontal="center" readingOrder="0" vertical="bottom"/>
    </xf>
    <xf borderId="1" fillId="0" fontId="12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left" readingOrder="0" vertical="bottom"/>
    </xf>
    <xf borderId="22" fillId="0" fontId="6" numFmtId="0" xfId="0" applyAlignment="1" applyBorder="1" applyFont="1">
      <alignment horizontal="center" readingOrder="0" vertical="bottom"/>
    </xf>
    <xf borderId="8" fillId="0" fontId="6" numFmtId="0" xfId="0" applyAlignment="1" applyBorder="1" applyFont="1">
      <alignment horizontal="center" readingOrder="0" vertical="bottom"/>
    </xf>
    <xf borderId="17" fillId="0" fontId="11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readingOrder="0" vertical="bottom"/>
    </xf>
    <xf borderId="0" fillId="0" fontId="15" numFmtId="0" xfId="0" applyAlignment="1" applyFont="1">
      <alignment vertical="bottom"/>
    </xf>
    <xf borderId="18" fillId="0" fontId="6" numFmtId="0" xfId="0" applyAlignment="1" applyBorder="1" applyFont="1">
      <alignment vertical="bottom"/>
    </xf>
    <xf borderId="0" fillId="0" fontId="16" numFmtId="0" xfId="0" applyFont="1"/>
    <xf borderId="3" fillId="0" fontId="17" numFmtId="0" xfId="0" applyAlignment="1" applyBorder="1" applyFont="1">
      <alignment readingOrder="0"/>
    </xf>
    <xf borderId="19" fillId="0" fontId="11" numFmtId="0" xfId="0" applyAlignment="1" applyBorder="1" applyFont="1">
      <alignment horizontal="center" readingOrder="0" vertical="bottom"/>
    </xf>
    <xf borderId="2" fillId="0" fontId="18" numFmtId="0" xfId="0" applyAlignment="1" applyBorder="1" applyFont="1">
      <alignment horizontal="left" readingOrder="0"/>
    </xf>
    <xf borderId="0" fillId="2" fontId="5" numFmtId="0" xfId="0" applyAlignment="1" applyFill="1" applyFont="1">
      <alignment vertical="bottom"/>
    </xf>
    <xf borderId="2" fillId="0" fontId="17" numFmtId="0" xfId="0" applyAlignment="1" applyBorder="1" applyFont="1">
      <alignment readingOrder="0"/>
    </xf>
    <xf borderId="0" fillId="0" fontId="19" numFmtId="0" xfId="0" applyAlignment="1" applyFont="1">
      <alignment horizontal="left" readingOrder="0" vertical="bottom"/>
    </xf>
    <xf borderId="10" fillId="0" fontId="17" numFmtId="0" xfId="0" applyBorder="1" applyFont="1"/>
    <xf borderId="1" fillId="0" fontId="12" numFmtId="0" xfId="0" applyAlignment="1" applyBorder="1" applyFont="1">
      <alignment horizontal="center" vertical="bottom"/>
    </xf>
    <xf borderId="2" fillId="0" fontId="5" numFmtId="0" xfId="0" applyBorder="1" applyFont="1"/>
    <xf borderId="10" fillId="0" fontId="5" numFmtId="0" xfId="0" applyBorder="1" applyFont="1"/>
    <xf borderId="0" fillId="0" fontId="20" numFmtId="0" xfId="0" applyAlignment="1" applyFont="1">
      <alignment horizontal="left" readingOrder="0" vertical="bottom"/>
    </xf>
    <xf borderId="0" fillId="0" fontId="5" numFmtId="0" xfId="0" applyFont="1"/>
    <xf borderId="0" fillId="0" fontId="5" numFmtId="0" xfId="0" applyAlignment="1" applyFont="1">
      <alignment horizontal="center" readingOrder="0" vertical="bottom"/>
    </xf>
    <xf borderId="21" fillId="0" fontId="11" numFmtId="0" xfId="0" applyAlignment="1" applyBorder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4" fontId="21" numFmtId="0" xfId="0" applyAlignment="1" applyFill="1" applyFont="1">
      <alignment horizontal="center" readingOrder="0" vertical="bottom"/>
    </xf>
    <xf borderId="0" fillId="2" fontId="22" numFmtId="0" xfId="0" applyAlignment="1" applyFill="1" applyFont="1">
      <alignment horizontal="center" readingOrder="0" vertical="bottom"/>
    </xf>
    <xf borderId="0" fillId="0" fontId="23" numFmtId="0" xfId="0" applyAlignment="1" applyFont="1">
      <alignment horizontal="center" readingOrder="0" vertical="bottom"/>
    </xf>
    <xf borderId="0" fillId="2" fontId="22" numFmtId="0" xfId="0" applyAlignment="1" applyFill="1" applyFont="1">
      <alignment horizontal="center" vertical="bottom"/>
    </xf>
    <xf borderId="0" fillId="5" fontId="24" numFmtId="0" xfId="0" applyAlignment="1" applyFill="1" applyFont="1">
      <alignment horizontal="center" readingOrder="0" vertical="bottom"/>
    </xf>
    <xf borderId="0" fillId="5" fontId="5" numFmtId="0" xfId="0" applyAlignment="1" applyFill="1" applyFont="1">
      <alignment horizontal="center" vertical="bottom"/>
    </xf>
    <xf borderId="0" fillId="4" fontId="5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/>
    </xf>
    <xf borderId="0" fillId="2" fontId="25" numFmtId="0" xfId="0" applyAlignment="1" applyFill="1" applyFont="1">
      <alignment horizontal="center" readingOrder="0" vertical="bottom"/>
    </xf>
    <xf borderId="0" fillId="0" fontId="26" numFmtId="0" xfId="0" applyAlignment="1" applyFont="1">
      <alignment vertical="bottom"/>
    </xf>
    <xf borderId="0" fillId="2" fontId="25" numFmtId="0" xfId="0" applyAlignment="1" applyFill="1" applyFont="1">
      <alignment horizontal="center" vertical="bottom"/>
    </xf>
    <xf borderId="0" fillId="0" fontId="21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0" fillId="0" fontId="24" numFmtId="0" xfId="0" applyAlignment="1" applyFont="1">
      <alignment horizontal="center" readingOrder="0" vertical="bottom"/>
    </xf>
    <xf borderId="0" fillId="5" fontId="26" numFmtId="0" xfId="0" applyAlignment="1" applyFill="1" applyFont="1">
      <alignment vertical="bottom"/>
    </xf>
    <xf borderId="0" fillId="2" fontId="25" numFmtId="0" xfId="0" applyAlignment="1" applyFill="1" applyFont="1">
      <alignment readingOrder="0" vertical="bottom"/>
    </xf>
    <xf borderId="0" fillId="2" fontId="26" numFmtId="0" xfId="0" applyAlignment="1" applyFill="1" applyFont="1">
      <alignment vertical="bottom"/>
    </xf>
    <xf borderId="0" fillId="0" fontId="8" numFmtId="0" xfId="0" applyAlignment="1" applyFont="1">
      <alignment horizontal="center" vertical="bottom"/>
    </xf>
    <xf borderId="0" fillId="0" fontId="25" numFmtId="0" xfId="0" applyAlignment="1" applyFont="1">
      <alignment horizontal="center" vertical="bottom"/>
    </xf>
    <xf borderId="0" fillId="0" fontId="26" numFmtId="0" xfId="0" applyAlignment="1" applyFont="1">
      <alignment vertical="bottom"/>
    </xf>
    <xf borderId="1" fillId="0" fontId="12" numFmtId="0" xfId="0" applyAlignment="1" applyBorder="1" applyFont="1">
      <alignment horizontal="center" vertical="bottom"/>
    </xf>
    <xf borderId="0" fillId="5" fontId="24" numFmtId="0" xfId="0" applyAlignment="1" applyFill="1" applyFont="1">
      <alignment horizontal="center" readingOrder="0"/>
    </xf>
    <xf borderId="0" fillId="5" fontId="5" numFmtId="0" xfId="0" applyFill="1" applyFont="1"/>
    <xf borderId="0" fillId="4" fontId="5" numFmtId="0" xfId="0" applyAlignment="1" applyFill="1" applyFont="1">
      <alignment horizontal="center" readingOrder="0"/>
    </xf>
    <xf borderId="0" fillId="2" fontId="27" numFmtId="0" xfId="0" applyAlignment="1" applyFill="1" applyFont="1">
      <alignment horizontal="center" readingOrder="0"/>
    </xf>
    <xf borderId="0" fillId="2" fontId="28" numFmtId="0" xfId="0" applyAlignment="1" applyFill="1" applyFont="1">
      <alignment horizontal="center"/>
    </xf>
    <xf borderId="22" fillId="0" fontId="4" numFmtId="0" xfId="0" applyBorder="1" applyFont="1"/>
    <xf borderId="0" fillId="0" fontId="29" numFmtId="0" xfId="0" applyAlignment="1" applyFont="1">
      <alignment horizontal="left"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horizontal="center" vertical="bottom"/>
    </xf>
    <xf borderId="0" fillId="0" fontId="22" numFmtId="0" xfId="0" applyAlignment="1" applyFont="1">
      <alignment horizontal="center"/>
    </xf>
    <xf borderId="0" fillId="2" fontId="22" numFmtId="0" xfId="0" applyAlignment="1" applyFill="1" applyFont="1">
      <alignment readingOrder="0"/>
    </xf>
    <xf borderId="0" fillId="0" fontId="24" numFmtId="0" xfId="0" applyAlignment="1" applyFont="1">
      <alignment horizontal="center" readingOrder="0"/>
    </xf>
    <xf borderId="0" fillId="2" fontId="22" numFmtId="0" xfId="0" applyFill="1" applyFont="1"/>
    <xf borderId="0" fillId="0" fontId="31" numFmtId="0" xfId="0" applyAlignment="1" applyFont="1">
      <alignment horizontal="center" vertical="bottom"/>
    </xf>
    <xf borderId="0" fillId="2" fontId="22" numFmtId="0" xfId="0" applyAlignment="1" applyFill="1" applyFont="1">
      <alignment horizontal="center" readingOrder="0"/>
    </xf>
    <xf borderId="0" fillId="2" fontId="5" numFmtId="0" xfId="0" applyFill="1" applyFont="1"/>
    <xf borderId="0" fillId="2" fontId="22" numFmtId="0" xfId="0" applyAlignment="1" applyFill="1" applyFont="1">
      <alignment horizontal="center"/>
    </xf>
    <xf borderId="3" fillId="0" fontId="3" numFmtId="0" xfId="0" applyAlignment="1" applyBorder="1" applyFont="1">
      <alignment horizontal="left" readingOrder="0" vertical="bottom"/>
    </xf>
    <xf borderId="2" fillId="0" fontId="3" numFmtId="0" xfId="0" applyAlignment="1" applyBorder="1" applyFont="1">
      <alignment horizontal="left" readingOrder="0" vertical="bottom"/>
    </xf>
    <xf borderId="1" fillId="0" fontId="32" numFmtId="0" xfId="0" applyAlignment="1" applyBorder="1" applyFont="1">
      <alignment readingOrder="0" shrinkToFit="0" vertical="bottom" wrapText="0"/>
    </xf>
    <xf borderId="0" fillId="2" fontId="27" numFmtId="0" xfId="0" applyAlignment="1" applyFill="1" applyFont="1">
      <alignment horizontal="center" vertical="bottom"/>
    </xf>
    <xf borderId="0" fillId="0" fontId="33" numFmtId="0" xfId="0" applyAlignment="1" applyFont="1">
      <alignment readingOrder="0" shrinkToFit="0" vertical="bottom" wrapText="0"/>
    </xf>
    <xf borderId="23" fillId="0" fontId="11" numFmtId="0" xfId="0" applyAlignment="1" applyBorder="1" applyFont="1">
      <alignment horizontal="center" readingOrder="0" vertical="bottom"/>
    </xf>
    <xf borderId="0" fillId="0" fontId="3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34" numFmtId="0" xfId="0" applyAlignment="1" applyFont="1">
      <alignment horizontal="center"/>
    </xf>
    <xf borderId="0" fillId="0" fontId="24" numFmtId="0" xfId="0" applyAlignment="1" applyFont="1">
      <alignment horizontal="center" vertical="bottom"/>
    </xf>
    <xf borderId="0" fillId="0" fontId="35" numFmtId="0" xfId="0" applyAlignment="1" applyFont="1">
      <alignment readingOrder="0" shrinkToFit="0" vertical="bottom" wrapText="0"/>
    </xf>
    <xf borderId="9" fillId="2" fontId="5" numFmtId="0" xfId="0" applyAlignment="1" applyBorder="1" applyFill="1" applyFont="1">
      <alignment vertical="bottom"/>
    </xf>
    <xf borderId="0" fillId="0" fontId="27" numFmtId="0" xfId="0" applyAlignment="1" applyFont="1">
      <alignment horizontal="center" vertical="bottom"/>
    </xf>
    <xf borderId="1" fillId="0" fontId="32" numFmtId="0" xfId="0" applyAlignment="1" applyBorder="1" applyFont="1">
      <alignment shrinkToFit="0" vertical="bottom" wrapText="0"/>
    </xf>
    <xf borderId="0" fillId="0" fontId="36" numFmtId="0" xfId="0" applyAlignment="1" applyFont="1">
      <alignment shrinkToFit="0" vertical="bottom" wrapText="0"/>
    </xf>
    <xf borderId="0" fillId="0" fontId="37" numFmtId="0" xfId="0" applyAlignment="1" applyFont="1">
      <alignment shrinkToFit="0" vertical="bottom" wrapText="0"/>
    </xf>
    <xf borderId="0" fillId="0" fontId="38" numFmtId="0" xfId="0" applyAlignment="1" applyFont="1">
      <alignment horizontal="left" readingOrder="0"/>
    </xf>
    <xf borderId="0" fillId="0" fontId="32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vertical="bottom"/>
    </xf>
    <xf borderId="0" fillId="0" fontId="26" numFmtId="0" xfId="0" applyAlignment="1" applyFont="1">
      <alignment readingOrder="0" vertical="bottom"/>
    </xf>
    <xf borderId="0" fillId="0" fontId="26" numFmtId="0" xfId="0" applyAlignment="1" applyFont="1">
      <alignment horizontal="right" readingOrder="0" vertical="bottom"/>
    </xf>
    <xf borderId="4" fillId="2" fontId="8" numFmtId="0" xfId="0" applyAlignment="1" applyBorder="1" applyFill="1" applyFont="1">
      <alignment horizontal="center" readingOrder="0" vertical="bottom"/>
    </xf>
    <xf borderId="24" fillId="0" fontId="6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0" fillId="0" fontId="16" numFmtId="0" xfId="0" applyAlignment="1" applyFont="1">
      <alignment horizontal="right"/>
    </xf>
    <xf borderId="25" fillId="0" fontId="6" numFmtId="0" xfId="0" applyAlignment="1" applyBorder="1" applyFont="1">
      <alignment readingOrder="0" shrinkToFit="0" vertical="bottom" wrapText="0"/>
    </xf>
    <xf borderId="26" fillId="0" fontId="6" numFmtId="0" xfId="0" applyAlignment="1" applyBorder="1" applyFont="1">
      <alignment readingOrder="0" shrinkToFit="0" vertical="bottom" wrapText="0"/>
    </xf>
    <xf borderId="26" fillId="0" fontId="16" numFmtId="0" xfId="0" applyBorder="1" applyFont="1"/>
    <xf borderId="0" fillId="0" fontId="1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00000"/>
      </font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iscord.gg/ZJu46DnfUs" TargetMode="External"/><Relationship Id="rId2" Type="http://schemas.openxmlformats.org/officeDocument/2006/relationships/hyperlink" Target="https://docs.google.com/document/d/1fBPjaD-dok4lehYii5-8SFxsdCHK2atXiQrQJKdG9U8/edit" TargetMode="External"/><Relationship Id="rId3" Type="http://schemas.openxmlformats.org/officeDocument/2006/relationships/hyperlink" Target="https://docs.google.com/spreadsheets/d/1FSaRT-7xWzb8B6Iho5j50towzhvuoikjyvC02klXpm4/edit?gid=0" TargetMode="Externa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45.13"/>
    <col customWidth="1" min="3" max="3" width="101.13"/>
  </cols>
  <sheetData>
    <row r="1" ht="108.0" customHeight="1">
      <c r="A1" s="2" t="s">
        <v>4</v>
      </c>
    </row>
    <row r="2">
      <c r="A2" s="5" t="s">
        <v>5</v>
      </c>
      <c r="B2" s="3" t="s">
        <v>10</v>
      </c>
      <c r="C2" s="3" t="s">
        <v>12</v>
      </c>
    </row>
    <row r="3">
      <c r="A3" s="9" t="s">
        <v>15</v>
      </c>
      <c r="B3" s="11" t="s">
        <v>19</v>
      </c>
      <c r="C3" s="15" t="s">
        <v>21</v>
      </c>
    </row>
    <row r="4">
      <c r="A4" s="9" t="s">
        <v>23</v>
      </c>
      <c r="B4" s="11" t="s">
        <v>24</v>
      </c>
      <c r="C4" s="15" t="s">
        <v>26</v>
      </c>
    </row>
    <row r="5">
      <c r="A5" s="9" t="s">
        <v>27</v>
      </c>
      <c r="B5" s="11" t="s">
        <v>28</v>
      </c>
      <c r="C5" s="15" t="s">
        <v>29</v>
      </c>
    </row>
    <row r="6">
      <c r="A6" s="9" t="s">
        <v>30</v>
      </c>
      <c r="B6" s="11" t="s">
        <v>31</v>
      </c>
      <c r="C6" s="15" t="s">
        <v>32</v>
      </c>
    </row>
    <row r="7">
      <c r="A7" s="9" t="s">
        <v>33</v>
      </c>
      <c r="B7" s="11" t="s">
        <v>34</v>
      </c>
      <c r="C7" s="15" t="s">
        <v>35</v>
      </c>
    </row>
    <row r="8">
      <c r="A8" s="9" t="s">
        <v>36</v>
      </c>
      <c r="B8" s="11" t="s">
        <v>37</v>
      </c>
      <c r="C8" s="15" t="s">
        <v>38</v>
      </c>
    </row>
    <row r="9">
      <c r="A9" s="24" t="s">
        <v>40</v>
      </c>
      <c r="B9" s="27" t="s">
        <v>42</v>
      </c>
      <c r="C9" s="28" t="s">
        <v>44</v>
      </c>
    </row>
    <row r="10">
      <c r="A10" s="24" t="s">
        <v>45</v>
      </c>
      <c r="B10" s="27" t="s">
        <v>46</v>
      </c>
      <c r="C10" s="28" t="s">
        <v>47</v>
      </c>
    </row>
    <row r="11">
      <c r="A11" s="24" t="s">
        <v>48</v>
      </c>
      <c r="B11" s="27" t="s">
        <v>49</v>
      </c>
      <c r="C11" s="28" t="s">
        <v>50</v>
      </c>
    </row>
    <row r="12">
      <c r="A12" s="24" t="s">
        <v>51</v>
      </c>
      <c r="B12" s="27" t="s">
        <v>52</v>
      </c>
      <c r="C12" s="28" t="s">
        <v>53</v>
      </c>
    </row>
    <row r="13">
      <c r="A13" s="24" t="s">
        <v>54</v>
      </c>
      <c r="B13" s="27" t="s">
        <v>55</v>
      </c>
      <c r="C13" s="28" t="s">
        <v>56</v>
      </c>
    </row>
    <row r="14">
      <c r="A14" s="24" t="s">
        <v>57</v>
      </c>
      <c r="B14" s="27" t="s">
        <v>58</v>
      </c>
      <c r="C14" s="28" t="s">
        <v>59</v>
      </c>
    </row>
    <row r="15">
      <c r="A15" s="9" t="s">
        <v>60</v>
      </c>
      <c r="B15" s="11" t="s">
        <v>61</v>
      </c>
      <c r="C15" s="15" t="s">
        <v>62</v>
      </c>
    </row>
    <row r="16">
      <c r="A16" s="9" t="s">
        <v>63</v>
      </c>
      <c r="B16" s="11" t="s">
        <v>64</v>
      </c>
      <c r="C16" s="15" t="s">
        <v>65</v>
      </c>
    </row>
    <row r="17">
      <c r="A17" s="9" t="s">
        <v>66</v>
      </c>
      <c r="B17" s="11" t="s">
        <v>67</v>
      </c>
      <c r="C17" s="15" t="s">
        <v>68</v>
      </c>
    </row>
    <row r="18">
      <c r="A18" s="9" t="s">
        <v>69</v>
      </c>
      <c r="B18" s="11" t="s">
        <v>71</v>
      </c>
      <c r="C18" s="15" t="s">
        <v>72</v>
      </c>
    </row>
    <row r="19">
      <c r="A19" s="9" t="s">
        <v>73</v>
      </c>
      <c r="B19" s="11" t="s">
        <v>74</v>
      </c>
      <c r="C19" s="15" t="s">
        <v>75</v>
      </c>
    </row>
    <row r="20">
      <c r="A20" s="9" t="s">
        <v>76</v>
      </c>
      <c r="B20" s="11" t="s">
        <v>77</v>
      </c>
      <c r="C20" s="15" t="s">
        <v>79</v>
      </c>
    </row>
    <row r="21">
      <c r="A21" s="24" t="s">
        <v>80</v>
      </c>
      <c r="B21" s="27" t="s">
        <v>82</v>
      </c>
      <c r="C21" s="28" t="s">
        <v>85</v>
      </c>
    </row>
    <row r="22">
      <c r="A22" s="24" t="s">
        <v>86</v>
      </c>
      <c r="B22" s="27" t="s">
        <v>87</v>
      </c>
      <c r="C22" s="28" t="s">
        <v>89</v>
      </c>
    </row>
    <row r="23">
      <c r="A23" s="24" t="s">
        <v>16</v>
      </c>
      <c r="B23" s="27" t="s">
        <v>20</v>
      </c>
      <c r="C23" s="28" t="s">
        <v>91</v>
      </c>
    </row>
    <row r="24">
      <c r="A24" s="24" t="s">
        <v>92</v>
      </c>
      <c r="B24" s="27" t="s">
        <v>93</v>
      </c>
      <c r="C24" s="28" t="s">
        <v>94</v>
      </c>
    </row>
    <row r="25">
      <c r="A25" s="24" t="s">
        <v>95</v>
      </c>
      <c r="B25" s="27" t="s">
        <v>96</v>
      </c>
      <c r="C25" s="28" t="s">
        <v>98</v>
      </c>
    </row>
    <row r="26">
      <c r="A26" s="24" t="s">
        <v>99</v>
      </c>
      <c r="B26" s="27" t="s">
        <v>100</v>
      </c>
      <c r="C26" s="28" t="s">
        <v>101</v>
      </c>
    </row>
    <row r="27">
      <c r="A27" s="9" t="s">
        <v>102</v>
      </c>
      <c r="B27" s="11" t="s">
        <v>103</v>
      </c>
      <c r="C27" s="15" t="s">
        <v>104</v>
      </c>
    </row>
    <row r="28">
      <c r="A28" s="9" t="s">
        <v>105</v>
      </c>
      <c r="B28" s="11" t="s">
        <v>107</v>
      </c>
      <c r="C28" s="15" t="s">
        <v>108</v>
      </c>
    </row>
    <row r="29">
      <c r="A29" s="9" t="s">
        <v>109</v>
      </c>
      <c r="B29" s="11" t="s">
        <v>111</v>
      </c>
      <c r="C29" s="15" t="s">
        <v>114</v>
      </c>
    </row>
    <row r="30">
      <c r="A30" s="9" t="s">
        <v>116</v>
      </c>
      <c r="B30" s="11" t="s">
        <v>117</v>
      </c>
      <c r="C30" s="15" t="s">
        <v>119</v>
      </c>
    </row>
    <row r="31">
      <c r="A31" s="9" t="s">
        <v>120</v>
      </c>
      <c r="B31" s="11" t="s">
        <v>121</v>
      </c>
      <c r="C31" s="15" t="s">
        <v>122</v>
      </c>
    </row>
    <row r="32">
      <c r="A32" s="9" t="s">
        <v>123</v>
      </c>
      <c r="B32" s="11" t="s">
        <v>124</v>
      </c>
      <c r="C32" s="15" t="s">
        <v>125</v>
      </c>
    </row>
    <row r="33">
      <c r="A33" s="24" t="s">
        <v>126</v>
      </c>
      <c r="B33" s="27" t="s">
        <v>128</v>
      </c>
      <c r="C33" s="28" t="s">
        <v>129</v>
      </c>
    </row>
    <row r="34">
      <c r="A34" s="24" t="s">
        <v>130</v>
      </c>
      <c r="B34" s="27" t="s">
        <v>131</v>
      </c>
      <c r="C34" s="28" t="s">
        <v>132</v>
      </c>
    </row>
    <row r="35">
      <c r="A35" s="24" t="s">
        <v>133</v>
      </c>
      <c r="B35" s="27" t="s">
        <v>135</v>
      </c>
      <c r="C35" s="28" t="s">
        <v>138</v>
      </c>
    </row>
    <row r="36">
      <c r="A36" s="24" t="s">
        <v>140</v>
      </c>
      <c r="B36" s="27" t="s">
        <v>142</v>
      </c>
      <c r="C36" s="28" t="s">
        <v>143</v>
      </c>
    </row>
    <row r="37">
      <c r="A37" s="24" t="s">
        <v>144</v>
      </c>
      <c r="B37" s="27" t="s">
        <v>146</v>
      </c>
      <c r="C37" s="28" t="s">
        <v>147</v>
      </c>
    </row>
    <row r="38">
      <c r="A38" s="24" t="s">
        <v>148</v>
      </c>
      <c r="B38" s="27" t="s">
        <v>149</v>
      </c>
      <c r="C38" s="28" t="s">
        <v>150</v>
      </c>
    </row>
    <row r="39">
      <c r="A39" s="9" t="s">
        <v>151</v>
      </c>
      <c r="B39" s="11" t="s">
        <v>152</v>
      </c>
      <c r="C39" s="15" t="s">
        <v>153</v>
      </c>
    </row>
    <row r="40">
      <c r="A40" s="9" t="s">
        <v>154</v>
      </c>
      <c r="B40" s="11" t="s">
        <v>155</v>
      </c>
      <c r="C40" s="15" t="s">
        <v>156</v>
      </c>
    </row>
    <row r="41">
      <c r="A41" s="9" t="s">
        <v>158</v>
      </c>
      <c r="B41" s="11" t="s">
        <v>159</v>
      </c>
      <c r="C41" s="15" t="s">
        <v>160</v>
      </c>
    </row>
    <row r="42">
      <c r="A42" s="9" t="s">
        <v>161</v>
      </c>
      <c r="B42" s="11" t="s">
        <v>162</v>
      </c>
      <c r="C42" s="15" t="s">
        <v>163</v>
      </c>
    </row>
    <row r="43">
      <c r="A43" s="9" t="s">
        <v>165</v>
      </c>
      <c r="B43" s="11" t="s">
        <v>166</v>
      </c>
      <c r="C43" s="15" t="s">
        <v>167</v>
      </c>
    </row>
    <row r="44">
      <c r="A44" s="9" t="s">
        <v>168</v>
      </c>
      <c r="B44" s="11" t="s">
        <v>169</v>
      </c>
      <c r="C44" s="15" t="s">
        <v>171</v>
      </c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3.63"/>
  </cols>
  <sheetData>
    <row r="1" ht="76.5" customHeight="1">
      <c r="A1" s="1" t="s">
        <v>2</v>
      </c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>
      <c r="A3" s="10" t="s">
        <v>18</v>
      </c>
      <c r="B3" s="12"/>
      <c r="C3" s="12"/>
      <c r="D3" s="12"/>
      <c r="E3" s="12"/>
      <c r="F3" s="13"/>
      <c r="G3" s="14"/>
      <c r="H3" s="16" t="s">
        <v>22</v>
      </c>
      <c r="I3" s="12"/>
      <c r="J3" s="12"/>
      <c r="K3" s="12"/>
      <c r="L3" s="12"/>
      <c r="M3" s="12"/>
      <c r="N3" s="12"/>
      <c r="O3" s="13"/>
    </row>
    <row r="4">
      <c r="A4" s="17"/>
      <c r="B4" s="19"/>
      <c r="C4" s="19"/>
      <c r="D4" s="19"/>
      <c r="E4" s="19"/>
      <c r="F4" s="20"/>
      <c r="G4" s="21"/>
      <c r="H4" s="17"/>
      <c r="I4" s="19"/>
      <c r="J4" s="19"/>
      <c r="K4" s="19"/>
      <c r="L4" s="19"/>
      <c r="M4" s="19"/>
      <c r="N4" s="19"/>
      <c r="O4" s="20"/>
    </row>
    <row r="5">
      <c r="A5" s="14"/>
      <c r="B5" s="14"/>
      <c r="C5" s="14"/>
      <c r="D5" s="14"/>
      <c r="E5" s="14"/>
      <c r="F5" s="14"/>
      <c r="G5" s="23"/>
      <c r="H5" s="25" t="s">
        <v>41</v>
      </c>
      <c r="I5" s="26"/>
      <c r="J5" s="29" t="s">
        <v>43</v>
      </c>
      <c r="K5" s="12"/>
      <c r="L5" s="12"/>
      <c r="M5" s="12"/>
      <c r="N5" s="12"/>
      <c r="O5" s="13"/>
    </row>
    <row r="6">
      <c r="A6" s="18" t="s">
        <v>25</v>
      </c>
      <c r="B6" s="4"/>
      <c r="C6" s="4"/>
      <c r="D6" s="4"/>
      <c r="E6" s="4"/>
      <c r="F6" s="22"/>
      <c r="G6" s="23"/>
      <c r="H6" s="30"/>
      <c r="I6" s="31"/>
      <c r="J6" s="32"/>
      <c r="K6" s="33"/>
      <c r="L6" s="33"/>
      <c r="M6" s="33"/>
      <c r="N6" s="33"/>
      <c r="O6" s="34"/>
    </row>
    <row r="7">
      <c r="A7" s="36" t="s">
        <v>70</v>
      </c>
      <c r="B7" s="37" t="s">
        <v>78</v>
      </c>
      <c r="C7" s="37" t="s">
        <v>81</v>
      </c>
      <c r="D7" s="37" t="s">
        <v>83</v>
      </c>
      <c r="E7" s="37" t="s">
        <v>84</v>
      </c>
      <c r="F7" s="38" t="s">
        <v>88</v>
      </c>
      <c r="G7" s="23"/>
      <c r="H7" s="39" t="s">
        <v>90</v>
      </c>
      <c r="I7" s="40"/>
      <c r="J7" s="41" t="s">
        <v>97</v>
      </c>
      <c r="O7" s="42"/>
    </row>
    <row r="8">
      <c r="A8" s="43" t="s">
        <v>106</v>
      </c>
      <c r="B8" s="23" t="s">
        <v>110</v>
      </c>
      <c r="C8" s="23" t="s">
        <v>112</v>
      </c>
      <c r="D8" s="23" t="s">
        <v>113</v>
      </c>
      <c r="E8" s="23" t="s">
        <v>115</v>
      </c>
      <c r="F8" s="44" t="s">
        <v>118</v>
      </c>
      <c r="G8" s="7"/>
      <c r="H8" s="45"/>
      <c r="I8" s="40"/>
      <c r="O8" s="42"/>
    </row>
    <row r="9">
      <c r="A9" s="47" t="s">
        <v>127</v>
      </c>
      <c r="B9" s="23" t="s">
        <v>134</v>
      </c>
      <c r="C9" s="23" t="s">
        <v>136</v>
      </c>
      <c r="D9" s="23" t="s">
        <v>137</v>
      </c>
      <c r="E9" s="23" t="s">
        <v>139</v>
      </c>
      <c r="F9" s="44" t="s">
        <v>141</v>
      </c>
      <c r="G9" s="14"/>
      <c r="H9" s="48" t="s">
        <v>145</v>
      </c>
      <c r="I9" s="40"/>
      <c r="J9" s="49" t="s">
        <v>157</v>
      </c>
      <c r="O9" s="42"/>
    </row>
    <row r="10">
      <c r="A10" s="50" t="s">
        <v>164</v>
      </c>
      <c r="B10" s="51" t="s">
        <v>170</v>
      </c>
      <c r="C10" s="51" t="s">
        <v>172</v>
      </c>
      <c r="D10" s="51" t="s">
        <v>173</v>
      </c>
      <c r="E10" s="51" t="s">
        <v>174</v>
      </c>
      <c r="F10" s="53" t="s">
        <v>175</v>
      </c>
      <c r="G10" s="21"/>
      <c r="H10" s="45"/>
      <c r="I10" s="40"/>
      <c r="O10" s="42"/>
    </row>
    <row r="11">
      <c r="A11" s="7"/>
      <c r="B11" s="7"/>
      <c r="C11" s="7"/>
      <c r="D11" s="7"/>
      <c r="E11" s="54"/>
      <c r="F11" s="7"/>
      <c r="G11" s="23"/>
      <c r="H11" s="48" t="s">
        <v>176</v>
      </c>
      <c r="I11" s="40"/>
      <c r="J11" s="49" t="s">
        <v>177</v>
      </c>
      <c r="O11" s="42"/>
    </row>
    <row r="12">
      <c r="A12" s="18" t="s">
        <v>39</v>
      </c>
      <c r="B12" s="4"/>
      <c r="C12" s="4"/>
      <c r="D12" s="4"/>
      <c r="E12" s="4"/>
      <c r="F12" s="22"/>
      <c r="G12" s="23"/>
      <c r="H12" s="45"/>
      <c r="I12" s="40"/>
      <c r="O12" s="42"/>
    </row>
    <row r="13">
      <c r="A13" s="36" t="s">
        <v>70</v>
      </c>
      <c r="B13" s="37" t="s">
        <v>78</v>
      </c>
      <c r="C13" s="37" t="s">
        <v>81</v>
      </c>
      <c r="D13" s="37" t="s">
        <v>83</v>
      </c>
      <c r="E13" s="37" t="s">
        <v>84</v>
      </c>
      <c r="F13" s="38" t="s">
        <v>88</v>
      </c>
      <c r="G13" s="23"/>
      <c r="H13" s="48" t="s">
        <v>178</v>
      </c>
      <c r="I13" s="40"/>
      <c r="J13" s="49" t="s">
        <v>179</v>
      </c>
      <c r="O13" s="42"/>
    </row>
    <row r="14">
      <c r="A14" s="43" t="s">
        <v>180</v>
      </c>
      <c r="B14" s="23" t="s">
        <v>181</v>
      </c>
      <c r="C14" s="23" t="s">
        <v>182</v>
      </c>
      <c r="D14" s="23" t="s">
        <v>183</v>
      </c>
      <c r="E14" s="23" t="s">
        <v>184</v>
      </c>
      <c r="F14" s="44" t="s">
        <v>185</v>
      </c>
      <c r="G14" s="23"/>
      <c r="H14" s="45"/>
      <c r="I14" s="40"/>
      <c r="O14" s="42"/>
    </row>
    <row r="15">
      <c r="A15" s="47" t="s">
        <v>186</v>
      </c>
      <c r="B15" s="23" t="s">
        <v>187</v>
      </c>
      <c r="C15" s="23" t="s">
        <v>188</v>
      </c>
      <c r="D15" s="23" t="s">
        <v>189</v>
      </c>
      <c r="E15" s="23" t="s">
        <v>190</v>
      </c>
      <c r="F15" s="44" t="s">
        <v>191</v>
      </c>
      <c r="G15" s="23"/>
      <c r="H15" s="48" t="s">
        <v>192</v>
      </c>
      <c r="I15" s="40"/>
      <c r="J15" s="49" t="s">
        <v>194</v>
      </c>
      <c r="O15" s="42"/>
    </row>
    <row r="16">
      <c r="A16" s="50" t="s">
        <v>195</v>
      </c>
      <c r="B16" s="51" t="s">
        <v>196</v>
      </c>
      <c r="C16" s="51" t="s">
        <v>197</v>
      </c>
      <c r="D16" s="51" t="s">
        <v>198</v>
      </c>
      <c r="E16" s="51" t="s">
        <v>199</v>
      </c>
      <c r="F16" s="53" t="s">
        <v>200</v>
      </c>
      <c r="G16" s="7"/>
      <c r="H16" s="45"/>
      <c r="I16" s="40"/>
      <c r="O16" s="42"/>
    </row>
    <row r="17">
      <c r="A17" s="23"/>
      <c r="B17" s="23"/>
      <c r="C17" s="23"/>
      <c r="D17" s="23"/>
      <c r="E17" s="7"/>
      <c r="F17" s="23"/>
      <c r="G17" s="7"/>
      <c r="H17" s="48" t="s">
        <v>201</v>
      </c>
      <c r="I17" s="40"/>
      <c r="J17" s="49" t="s">
        <v>202</v>
      </c>
      <c r="O17" s="42"/>
    </row>
    <row r="18">
      <c r="A18" s="18" t="s">
        <v>204</v>
      </c>
      <c r="B18" s="4"/>
      <c r="C18" s="4"/>
      <c r="D18" s="4"/>
      <c r="E18" s="4"/>
      <c r="F18" s="22"/>
      <c r="G18" s="14"/>
      <c r="H18" s="45"/>
      <c r="I18" s="40"/>
      <c r="O18" s="42"/>
    </row>
    <row r="19">
      <c r="A19" s="36" t="s">
        <v>70</v>
      </c>
      <c r="B19" s="37" t="s">
        <v>78</v>
      </c>
      <c r="C19" s="37" t="s">
        <v>81</v>
      </c>
      <c r="D19" s="37" t="s">
        <v>83</v>
      </c>
      <c r="E19" s="37" t="s">
        <v>84</v>
      </c>
      <c r="F19" s="38" t="s">
        <v>88</v>
      </c>
      <c r="G19" s="21"/>
      <c r="H19" s="48" t="s">
        <v>206</v>
      </c>
      <c r="I19" s="40"/>
      <c r="J19" s="62" t="s">
        <v>207</v>
      </c>
      <c r="O19" s="42"/>
    </row>
    <row r="20">
      <c r="A20" s="43" t="s">
        <v>209</v>
      </c>
      <c r="B20" s="23" t="s">
        <v>210</v>
      </c>
      <c r="C20" s="23" t="s">
        <v>211</v>
      </c>
      <c r="D20" s="23" t="s">
        <v>212</v>
      </c>
      <c r="E20" s="23" t="s">
        <v>213</v>
      </c>
      <c r="F20" s="44" t="s">
        <v>214</v>
      </c>
      <c r="G20" s="23"/>
      <c r="H20" s="45"/>
      <c r="I20" s="40"/>
      <c r="O20" s="42"/>
    </row>
    <row r="21">
      <c r="A21" s="47" t="s">
        <v>215</v>
      </c>
      <c r="B21" s="23" t="s">
        <v>216</v>
      </c>
      <c r="C21" s="23" t="s">
        <v>217</v>
      </c>
      <c r="D21" s="23" t="s">
        <v>219</v>
      </c>
      <c r="E21" s="23" t="s">
        <v>220</v>
      </c>
      <c r="F21" s="44" t="s">
        <v>221</v>
      </c>
      <c r="G21" s="23"/>
      <c r="H21" s="64" t="s">
        <v>223</v>
      </c>
      <c r="I21" s="40"/>
      <c r="J21" s="49" t="s">
        <v>225</v>
      </c>
      <c r="O21" s="42"/>
    </row>
    <row r="22">
      <c r="A22" s="50" t="s">
        <v>226</v>
      </c>
      <c r="B22" s="51" t="s">
        <v>227</v>
      </c>
      <c r="C22" s="51" t="s">
        <v>228</v>
      </c>
      <c r="D22" s="51" t="s">
        <v>229</v>
      </c>
      <c r="E22" s="51" t="s">
        <v>230</v>
      </c>
      <c r="F22" s="53" t="s">
        <v>231</v>
      </c>
      <c r="G22" s="23"/>
      <c r="H22" s="45"/>
      <c r="I22" s="40"/>
      <c r="O22" s="42"/>
    </row>
    <row r="23">
      <c r="A23" s="23"/>
      <c r="B23" s="7"/>
      <c r="C23" s="23"/>
      <c r="D23" s="23"/>
      <c r="E23" s="23"/>
      <c r="F23" s="23"/>
      <c r="G23" s="23"/>
      <c r="H23" s="64" t="s">
        <v>232</v>
      </c>
      <c r="I23" s="40"/>
      <c r="J23" s="49" t="s">
        <v>233</v>
      </c>
      <c r="O23" s="42"/>
    </row>
    <row r="24">
      <c r="A24" s="18" t="s">
        <v>234</v>
      </c>
      <c r="B24" s="4"/>
      <c r="C24" s="4"/>
      <c r="D24" s="4"/>
      <c r="E24" s="4"/>
      <c r="F24" s="22"/>
      <c r="G24" s="23"/>
      <c r="H24" s="45"/>
      <c r="I24" s="40"/>
      <c r="O24" s="42"/>
    </row>
    <row r="25">
      <c r="A25" s="36" t="s">
        <v>70</v>
      </c>
      <c r="B25" s="37" t="s">
        <v>78</v>
      </c>
      <c r="C25" s="37" t="s">
        <v>81</v>
      </c>
      <c r="D25" s="37" t="s">
        <v>83</v>
      </c>
      <c r="E25" s="37" t="s">
        <v>84</v>
      </c>
      <c r="F25" s="38" t="s">
        <v>88</v>
      </c>
      <c r="G25" s="7"/>
      <c r="H25" s="64" t="s">
        <v>235</v>
      </c>
      <c r="I25" s="40"/>
      <c r="J25" s="49" t="s">
        <v>236</v>
      </c>
      <c r="O25" s="42"/>
    </row>
    <row r="26">
      <c r="A26" s="43" t="s">
        <v>237</v>
      </c>
      <c r="B26" s="23" t="s">
        <v>238</v>
      </c>
      <c r="C26" s="23" t="s">
        <v>239</v>
      </c>
      <c r="D26" s="23" t="s">
        <v>240</v>
      </c>
      <c r="E26" s="23" t="s">
        <v>241</v>
      </c>
      <c r="F26" s="44" t="s">
        <v>242</v>
      </c>
      <c r="G26" s="7"/>
      <c r="H26" s="45"/>
      <c r="I26" s="40"/>
      <c r="O26" s="42"/>
    </row>
    <row r="27">
      <c r="A27" s="47" t="s">
        <v>243</v>
      </c>
      <c r="B27" s="23" t="s">
        <v>244</v>
      </c>
      <c r="C27" s="23" t="s">
        <v>245</v>
      </c>
      <c r="D27" s="23" t="s">
        <v>246</v>
      </c>
      <c r="E27" s="23" t="s">
        <v>247</v>
      </c>
      <c r="F27" s="44" t="s">
        <v>248</v>
      </c>
      <c r="G27" s="14"/>
      <c r="H27" s="64" t="s">
        <v>249</v>
      </c>
      <c r="I27" s="40"/>
      <c r="J27" s="49" t="s">
        <v>250</v>
      </c>
      <c r="O27" s="42"/>
    </row>
    <row r="28">
      <c r="A28" s="50" t="s">
        <v>251</v>
      </c>
      <c r="B28" s="51" t="s">
        <v>252</v>
      </c>
      <c r="C28" s="51" t="s">
        <v>253</v>
      </c>
      <c r="D28" s="51" t="s">
        <v>254</v>
      </c>
      <c r="E28" s="51" t="s">
        <v>255</v>
      </c>
      <c r="F28" s="53" t="s">
        <v>256</v>
      </c>
      <c r="G28" s="21"/>
      <c r="H28" s="45"/>
      <c r="I28" s="40"/>
      <c r="O28" s="42"/>
    </row>
    <row r="29">
      <c r="A29" s="7"/>
      <c r="B29" s="7"/>
      <c r="C29" s="7"/>
      <c r="D29" s="7"/>
      <c r="E29" s="7"/>
      <c r="F29" s="7"/>
      <c r="G29" s="23"/>
      <c r="H29" s="64" t="s">
        <v>258</v>
      </c>
      <c r="I29" s="40"/>
      <c r="J29" s="49" t="s">
        <v>259</v>
      </c>
      <c r="O29" s="42"/>
    </row>
    <row r="30">
      <c r="A30" s="18" t="s">
        <v>261</v>
      </c>
      <c r="B30" s="4"/>
      <c r="C30" s="4"/>
      <c r="D30" s="4"/>
      <c r="E30" s="4"/>
      <c r="F30" s="22"/>
      <c r="G30" s="23"/>
      <c r="H30" s="45"/>
      <c r="I30" s="40"/>
      <c r="O30" s="42"/>
    </row>
    <row r="31">
      <c r="A31" s="36" t="s">
        <v>70</v>
      </c>
      <c r="B31" s="37" t="s">
        <v>78</v>
      </c>
      <c r="C31" s="37" t="s">
        <v>81</v>
      </c>
      <c r="D31" s="37" t="s">
        <v>83</v>
      </c>
      <c r="E31" s="37" t="s">
        <v>84</v>
      </c>
      <c r="F31" s="38" t="s">
        <v>88</v>
      </c>
      <c r="G31" s="23"/>
      <c r="H31" s="64" t="s">
        <v>262</v>
      </c>
      <c r="I31" s="40"/>
      <c r="J31" s="49" t="s">
        <v>263</v>
      </c>
      <c r="O31" s="42"/>
    </row>
    <row r="32">
      <c r="A32" s="43" t="s">
        <v>264</v>
      </c>
      <c r="B32" s="23" t="s">
        <v>265</v>
      </c>
      <c r="C32" s="23" t="s">
        <v>266</v>
      </c>
      <c r="D32" s="23" t="s">
        <v>267</v>
      </c>
      <c r="E32" s="23" t="s">
        <v>268</v>
      </c>
      <c r="F32" s="44" t="s">
        <v>269</v>
      </c>
      <c r="G32" s="23"/>
      <c r="H32" s="45"/>
      <c r="I32" s="40"/>
      <c r="O32" s="42"/>
    </row>
    <row r="33">
      <c r="A33" s="47" t="s">
        <v>270</v>
      </c>
      <c r="B33" s="23" t="s">
        <v>271</v>
      </c>
      <c r="C33" s="23" t="s">
        <v>272</v>
      </c>
      <c r="D33" s="23" t="s">
        <v>273</v>
      </c>
      <c r="E33" s="23" t="s">
        <v>274</v>
      </c>
      <c r="F33" s="44" t="s">
        <v>275</v>
      </c>
      <c r="G33" s="23"/>
      <c r="H33" s="64" t="s">
        <v>276</v>
      </c>
      <c r="I33" s="40"/>
      <c r="J33" s="49" t="s">
        <v>278</v>
      </c>
      <c r="O33" s="42"/>
    </row>
    <row r="34">
      <c r="A34" s="50" t="s">
        <v>279</v>
      </c>
      <c r="B34" s="51" t="s">
        <v>280</v>
      </c>
      <c r="C34" s="51" t="s">
        <v>281</v>
      </c>
      <c r="D34" s="51" t="s">
        <v>282</v>
      </c>
      <c r="E34" s="51" t="s">
        <v>283</v>
      </c>
      <c r="F34" s="53" t="s">
        <v>284</v>
      </c>
      <c r="G34" s="7"/>
      <c r="H34" s="45"/>
      <c r="I34" s="40"/>
      <c r="O34" s="42"/>
    </row>
    <row r="35">
      <c r="A35" s="23"/>
      <c r="B35" s="23"/>
      <c r="C35" s="23"/>
      <c r="D35" s="23"/>
      <c r="E35" s="7"/>
      <c r="F35" s="23"/>
      <c r="G35" s="7"/>
      <c r="H35" s="64" t="s">
        <v>285</v>
      </c>
      <c r="I35" s="40"/>
      <c r="J35" s="49" t="s">
        <v>286</v>
      </c>
      <c r="O35" s="42"/>
    </row>
    <row r="36">
      <c r="A36" s="18" t="s">
        <v>288</v>
      </c>
      <c r="B36" s="4"/>
      <c r="C36" s="4"/>
      <c r="D36" s="4"/>
      <c r="E36" s="4"/>
      <c r="F36" s="22"/>
      <c r="G36" s="89"/>
      <c r="H36" s="45"/>
      <c r="I36" s="40"/>
      <c r="O36" s="42"/>
    </row>
    <row r="37">
      <c r="A37" s="36" t="s">
        <v>70</v>
      </c>
      <c r="B37" s="37" t="s">
        <v>78</v>
      </c>
      <c r="C37" s="37" t="s">
        <v>81</v>
      </c>
      <c r="D37" s="37" t="s">
        <v>83</v>
      </c>
      <c r="E37" s="37" t="s">
        <v>84</v>
      </c>
      <c r="F37" s="38" t="s">
        <v>88</v>
      </c>
      <c r="G37" s="21"/>
      <c r="H37" s="92" t="s">
        <v>289</v>
      </c>
      <c r="I37" s="40"/>
      <c r="J37" s="49" t="s">
        <v>291</v>
      </c>
      <c r="O37" s="42"/>
    </row>
    <row r="38">
      <c r="A38" s="43" t="s">
        <v>292</v>
      </c>
      <c r="B38" s="23" t="s">
        <v>293</v>
      </c>
      <c r="C38" s="23" t="s">
        <v>294</v>
      </c>
      <c r="D38" s="23" t="s">
        <v>295</v>
      </c>
      <c r="E38" s="23" t="s">
        <v>296</v>
      </c>
      <c r="F38" s="44" t="s">
        <v>297</v>
      </c>
      <c r="G38" s="21"/>
      <c r="H38" s="45"/>
      <c r="I38" s="40"/>
      <c r="O38" s="42"/>
    </row>
    <row r="39">
      <c r="A39" s="47" t="s">
        <v>298</v>
      </c>
      <c r="B39" s="23" t="s">
        <v>299</v>
      </c>
      <c r="C39" s="23" t="s">
        <v>300</v>
      </c>
      <c r="D39" s="23" t="s">
        <v>301</v>
      </c>
      <c r="E39" s="23" t="s">
        <v>302</v>
      </c>
      <c r="F39" s="44" t="s">
        <v>303</v>
      </c>
      <c r="G39" s="21"/>
      <c r="H39" s="92" t="s">
        <v>304</v>
      </c>
      <c r="I39" s="40"/>
      <c r="J39" s="62" t="s">
        <v>305</v>
      </c>
      <c r="O39" s="42"/>
    </row>
    <row r="40">
      <c r="A40" s="50" t="s">
        <v>306</v>
      </c>
      <c r="B40" s="51" t="s">
        <v>307</v>
      </c>
      <c r="C40" s="51" t="s">
        <v>308</v>
      </c>
      <c r="D40" s="51" t="s">
        <v>309</v>
      </c>
      <c r="E40" s="51" t="s">
        <v>310</v>
      </c>
      <c r="F40" s="53" t="s">
        <v>311</v>
      </c>
      <c r="G40" s="21"/>
      <c r="H40" s="17"/>
      <c r="I40" s="98"/>
      <c r="J40" s="19"/>
      <c r="K40" s="19"/>
      <c r="L40" s="19"/>
      <c r="M40" s="19"/>
      <c r="N40" s="19"/>
      <c r="O40" s="20"/>
    </row>
    <row r="41">
      <c r="A41" s="21"/>
      <c r="B41" s="7"/>
      <c r="C41" s="21"/>
      <c r="D41" s="21"/>
      <c r="E41" s="21"/>
      <c r="F41" s="21"/>
      <c r="G41" s="21"/>
      <c r="H41" s="21"/>
      <c r="I41" s="21"/>
      <c r="J41" s="99"/>
      <c r="K41" s="99"/>
      <c r="L41" s="99"/>
      <c r="M41" s="99"/>
      <c r="N41" s="99"/>
      <c r="O41" s="99"/>
    </row>
    <row r="42">
      <c r="A42" s="18" t="s">
        <v>313</v>
      </c>
      <c r="B42" s="4"/>
      <c r="C42" s="4"/>
      <c r="D42" s="4"/>
      <c r="E42" s="4"/>
      <c r="F42" s="22"/>
      <c r="G42" s="21"/>
      <c r="H42" s="21"/>
      <c r="I42" s="21"/>
      <c r="J42" s="99"/>
      <c r="K42" s="99"/>
      <c r="L42" s="99"/>
      <c r="M42" s="99"/>
      <c r="N42" s="99"/>
      <c r="O42" s="99"/>
    </row>
    <row r="43">
      <c r="A43" s="36" t="s">
        <v>70</v>
      </c>
      <c r="B43" s="37" t="s">
        <v>78</v>
      </c>
      <c r="C43" s="37" t="s">
        <v>81</v>
      </c>
      <c r="D43" s="37" t="s">
        <v>83</v>
      </c>
      <c r="E43" s="37" t="s">
        <v>84</v>
      </c>
      <c r="F43" s="38" t="s">
        <v>88</v>
      </c>
      <c r="G43" s="7"/>
      <c r="H43" s="21"/>
      <c r="I43" s="21"/>
      <c r="J43" s="100"/>
      <c r="K43" s="100"/>
      <c r="L43" s="100"/>
      <c r="M43" s="100"/>
      <c r="N43" s="100"/>
      <c r="O43" s="100"/>
    </row>
    <row r="44">
      <c r="A44" s="43" t="s">
        <v>316</v>
      </c>
      <c r="B44" s="23" t="s">
        <v>317</v>
      </c>
      <c r="C44" s="23" t="s">
        <v>318</v>
      </c>
      <c r="D44" s="23" t="s">
        <v>319</v>
      </c>
      <c r="E44" s="23" t="s">
        <v>320</v>
      </c>
      <c r="F44" s="44" t="s">
        <v>321</v>
      </c>
      <c r="G44" s="7"/>
      <c r="H44" s="7"/>
      <c r="I44" s="7"/>
      <c r="J44" s="83"/>
      <c r="K44" s="83"/>
      <c r="L44" s="83"/>
      <c r="M44" s="83"/>
      <c r="N44" s="83"/>
      <c r="O44" s="101"/>
    </row>
    <row r="45">
      <c r="A45" s="47" t="s">
        <v>322</v>
      </c>
      <c r="B45" s="23" t="s">
        <v>323</v>
      </c>
      <c r="C45" s="23" t="s">
        <v>324</v>
      </c>
      <c r="D45" s="23" t="s">
        <v>325</v>
      </c>
      <c r="E45" s="23" t="s">
        <v>326</v>
      </c>
      <c r="F45" s="44" t="s">
        <v>327</v>
      </c>
      <c r="G45" s="89"/>
      <c r="H45" s="89"/>
      <c r="I45" s="7"/>
      <c r="J45" s="83"/>
      <c r="K45" s="83"/>
      <c r="L45" s="83"/>
      <c r="M45" s="83"/>
      <c r="N45" s="83"/>
      <c r="O45" s="101"/>
    </row>
    <row r="46">
      <c r="A46" s="50" t="s">
        <v>329</v>
      </c>
      <c r="B46" s="51" t="s">
        <v>330</v>
      </c>
      <c r="C46" s="51" t="s">
        <v>331</v>
      </c>
      <c r="D46" s="51" t="s">
        <v>332</v>
      </c>
      <c r="E46" s="51" t="s">
        <v>333</v>
      </c>
      <c r="F46" s="53" t="s">
        <v>334</v>
      </c>
      <c r="G46" s="21"/>
      <c r="H46" s="21"/>
      <c r="I46" s="7"/>
      <c r="J46" s="7"/>
      <c r="K46" s="7"/>
      <c r="L46" s="7"/>
      <c r="M46" s="7"/>
      <c r="N46" s="7"/>
      <c r="O46" s="106"/>
    </row>
    <row r="47">
      <c r="A47" s="21"/>
      <c r="B47" s="7"/>
      <c r="C47" s="21"/>
      <c r="D47" s="21"/>
      <c r="E47" s="21"/>
      <c r="F47" s="21"/>
      <c r="G47" s="21"/>
      <c r="H47" s="21"/>
      <c r="I47" s="7"/>
      <c r="J47" s="7"/>
      <c r="K47" s="7"/>
      <c r="L47" s="7"/>
      <c r="M47" s="7"/>
      <c r="N47" s="7"/>
      <c r="O47" s="106"/>
    </row>
  </sheetData>
  <mergeCells count="46">
    <mergeCell ref="A1:O1"/>
    <mergeCell ref="A3:F4"/>
    <mergeCell ref="H3:O4"/>
    <mergeCell ref="H5:I6"/>
    <mergeCell ref="J5:O6"/>
    <mergeCell ref="A6:F6"/>
    <mergeCell ref="J7:O8"/>
    <mergeCell ref="H7:I8"/>
    <mergeCell ref="H9:I10"/>
    <mergeCell ref="J9:O10"/>
    <mergeCell ref="H11:I12"/>
    <mergeCell ref="J11:O12"/>
    <mergeCell ref="A12:F12"/>
    <mergeCell ref="J13:O14"/>
    <mergeCell ref="H13:I14"/>
    <mergeCell ref="H15:I16"/>
    <mergeCell ref="J15:O16"/>
    <mergeCell ref="H17:I18"/>
    <mergeCell ref="J17:O18"/>
    <mergeCell ref="A18:F18"/>
    <mergeCell ref="J19:O20"/>
    <mergeCell ref="H19:I20"/>
    <mergeCell ref="H21:I22"/>
    <mergeCell ref="J21:O22"/>
    <mergeCell ref="H23:I24"/>
    <mergeCell ref="J23:O24"/>
    <mergeCell ref="A24:F24"/>
    <mergeCell ref="J25:O26"/>
    <mergeCell ref="H25:I26"/>
    <mergeCell ref="H27:I28"/>
    <mergeCell ref="J27:O28"/>
    <mergeCell ref="H29:I30"/>
    <mergeCell ref="J29:O30"/>
    <mergeCell ref="A30:F30"/>
    <mergeCell ref="J31:O32"/>
    <mergeCell ref="H37:I38"/>
    <mergeCell ref="H39:I40"/>
    <mergeCell ref="J39:O40"/>
    <mergeCell ref="A42:F42"/>
    <mergeCell ref="H31:I32"/>
    <mergeCell ref="H33:I34"/>
    <mergeCell ref="J33:O34"/>
    <mergeCell ref="H35:I36"/>
    <mergeCell ref="J35:O36"/>
    <mergeCell ref="A36:F36"/>
    <mergeCell ref="J37:O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 ht="76.5" customHeight="1">
      <c r="A1" s="1" t="s">
        <v>0</v>
      </c>
    </row>
    <row r="2">
      <c r="A2" s="3" t="s">
        <v>3</v>
      </c>
      <c r="B2" s="4"/>
      <c r="C2" s="4"/>
      <c r="D2" s="3" t="s">
        <v>6</v>
      </c>
      <c r="E2" s="4"/>
      <c r="F2" s="4"/>
      <c r="G2" s="3" t="s">
        <v>9</v>
      </c>
      <c r="H2" s="4"/>
      <c r="I2" s="4"/>
      <c r="J2" s="3" t="s">
        <v>14</v>
      </c>
      <c r="K2" s="4"/>
      <c r="L2" s="4"/>
      <c r="M2" s="3" t="s">
        <v>17</v>
      </c>
      <c r="N2" s="4"/>
      <c r="O2" s="4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>
      <c r="A4" s="18" t="s">
        <v>25</v>
      </c>
      <c r="B4" s="4"/>
      <c r="C4" s="4"/>
      <c r="D4" s="4"/>
      <c r="E4" s="4"/>
      <c r="F4" s="4"/>
      <c r="G4" s="22"/>
      <c r="H4" s="7"/>
      <c r="I4" s="18" t="s">
        <v>39</v>
      </c>
      <c r="J4" s="4"/>
      <c r="K4" s="4"/>
      <c r="L4" s="4"/>
      <c r="M4" s="4"/>
      <c r="N4" s="4"/>
      <c r="O4" s="22"/>
    </row>
    <row r="5">
      <c r="A5" s="35">
        <f>SUM(B6:G11)</f>
        <v>2486</v>
      </c>
      <c r="B5" s="37" t="str">
        <f t="array" ref="B5">INDEX(A6,0)</f>
        <v>A1</v>
      </c>
      <c r="C5" s="37" t="str">
        <f t="array" ref="C5">INDEX(A7,0)</f>
        <v>A2</v>
      </c>
      <c r="D5" s="46" t="str">
        <f t="array" ref="D5">INDEX(A8,0)</f>
        <v>A3</v>
      </c>
      <c r="E5" s="46" t="str">
        <f t="array" ref="E5">INDEX(A9,0)</f>
        <v>A4</v>
      </c>
      <c r="F5" s="46" t="str">
        <f t="array" ref="F5">INDEX(A10,0)</f>
        <v>A5</v>
      </c>
      <c r="G5" s="52" t="str">
        <f t="array" ref="G5">INDEX(A11,0)</f>
        <v>A6</v>
      </c>
      <c r="H5" s="7"/>
      <c r="I5" s="55">
        <f>SUM(J6:O11)</f>
        <v>2744</v>
      </c>
      <c r="J5" s="37" t="str">
        <f t="array" ref="J5">INDEX(I6,0)</f>
        <v>B1</v>
      </c>
      <c r="K5" s="46" t="str">
        <f t="array" ref="K5">INDEX(I7,0)</f>
        <v>B2</v>
      </c>
      <c r="L5" s="46" t="str">
        <f t="array" ref="L5">INDEX(I8,0)</f>
        <v>B3</v>
      </c>
      <c r="M5" s="46" t="str">
        <f t="array" ref="M5">INDEX(I9,0)</f>
        <v>B4</v>
      </c>
      <c r="N5" s="46" t="str">
        <f t="array" ref="N5">INDEX(I10,0)</f>
        <v>B5</v>
      </c>
      <c r="O5" s="52" t="str">
        <f t="array" ref="O5">INDEX(I11,0)</f>
        <v>B6</v>
      </c>
    </row>
    <row r="6">
      <c r="A6" s="58" t="s">
        <v>15</v>
      </c>
      <c r="B6" s="60"/>
      <c r="C6" s="23">
        <f>IFERROR(__xludf.DUMMYFUNCTION("IMPORTRANGE(""https://docs.google.com/spreadsheets/d/13_UcftIhRFc8Wdh5sQ-JghNmvplAeKYrOfyqerMoP4E/edit?gid=2010738230#gid=2010738230"",""A1 vs A2!K24"")"),44.0)</f>
        <v>44</v>
      </c>
      <c r="D6" s="23">
        <f>IFERROR(__xludf.DUMMYFUNCTION("IMPORTRANGE(""https://docs.google.com/spreadsheets/d/1iErVLlc1_s37p2bIQGBV-ueQhrFErR8_rQgkEu4dw_A/edit?gid=1105689284#gid=1105689284"",""A1 vs A3!K24"")"),76.0)</f>
        <v>76</v>
      </c>
      <c r="E6" s="23">
        <f>IFERROR(__xludf.DUMMYFUNCTION("IMPORTRANGE(""https://docs.google.com/spreadsheets/d/1gvVcUWK0DrU9Prr-pNKoq3-2DQjDQ1i9v2BBpB5lu8o/edit?gid=1105689284#gid=1105689284"",""A1 vs A4!K24"")"),34.0)</f>
        <v>34</v>
      </c>
      <c r="F6" s="23">
        <f>IFERROR(__xludf.DUMMYFUNCTION("IMPORTRANGE(""https://docs.google.com/spreadsheets/d/1ZyVAgyLL_HCFyUsFR06BNJrd3d8klI6YuciQugxLR6o/edit?gid=1105689284#gid=1105689284"",""A1 vs A5!K24"")"),56.0)</f>
        <v>56</v>
      </c>
      <c r="G6" s="44">
        <f>IFERROR(__xludf.DUMMYFUNCTION("IMPORTRANGE(""https://docs.google.com/spreadsheets/d/1Iv6yZlS3FQWzzgGpdJyYBvJdrkdMPqx_bl527u5CA1U/edit?gid=1105689284#gid=1105689284"",""A1 vs A6!K24"")"),16.0)</f>
        <v>16</v>
      </c>
      <c r="H6" s="7"/>
      <c r="I6" s="70" t="s">
        <v>40</v>
      </c>
      <c r="J6" s="60"/>
      <c r="K6" s="23">
        <f>IFERROR(__xludf.DUMMYFUNCTION("IMPORTRANGE(""https://docs.google.com/spreadsheets/d/13_UcftIhRFc8Wdh5sQ-JghNmvplAeKYrOfyqerMoP4E/edit?gid=2010738230#gid=2010738230"",""B1 vs B2!K24"")"),120.0)</f>
        <v>120</v>
      </c>
      <c r="L6" s="23">
        <f>IFERROR(__xludf.DUMMYFUNCTION("IMPORTRANGE(""https://docs.google.com/spreadsheets/d/1iErVLlc1_s37p2bIQGBV-ueQhrFErR8_rQgkEu4dw_A/edit?gid=1105689284#gid=1105689284"",""B1 vs B3!K24"")"),138.0)</f>
        <v>138</v>
      </c>
      <c r="M6" s="23">
        <f>IFERROR(__xludf.DUMMYFUNCTION("IMPORTRANGE(""https://docs.google.com/spreadsheets/d/1gvVcUWK0DrU9Prr-pNKoq3-2DQjDQ1i9v2BBpB5lu8o/edit?gid=1105689284#gid=1105689284"",""B1 vs B4!K24"")"),70.0)</f>
        <v>70</v>
      </c>
      <c r="N6" s="23">
        <f>IFERROR(__xludf.DUMMYFUNCTION("IMPORTRANGE(""https://docs.google.com/spreadsheets/d/1ZyVAgyLL_HCFyUsFR06BNJrd3d8klI6YuciQugxLR6o/edit?gid=1105689284#gid=1105689284"",""B1 vs B5!K24"")"),116.0)</f>
        <v>116</v>
      </c>
      <c r="O6" s="44">
        <f>IFERROR(__xludf.DUMMYFUNCTION("IMPORTRANGE(""https://docs.google.com/spreadsheets/d/1Iv6yZlS3FQWzzgGpdJyYBvJdrkdMPqx_bl527u5CA1U/edit?gid=1105689284#gid=1105689284"",""B1 vs B6!K24"")"),116.0)</f>
        <v>116</v>
      </c>
    </row>
    <row r="7">
      <c r="A7" s="70" t="s">
        <v>23</v>
      </c>
      <c r="B7" s="79">
        <f>IFERROR(__xludf.DUMMYFUNCTION("IMPORTRANGE(""https://docs.google.com/spreadsheets/d/13_UcftIhRFc8Wdh5sQ-JghNmvplAeKYrOfyqerMoP4E/edit?gid=2010738230#gid=2010738230"",""A1 vs A2!T24"")"),186.0)</f>
        <v>186</v>
      </c>
      <c r="C7" s="60"/>
      <c r="D7" s="23">
        <f>IFERROR(__xludf.DUMMYFUNCTION("IMPORTRANGE(""https://docs.google.com/spreadsheets/d/1gvVcUWK0DrU9Prr-pNKoq3-2DQjDQ1i9v2BBpB5lu8o/edit?gid=1105689284#gid=1105689284"",""A2 vs A3!K24"")"),156.0)</f>
        <v>156</v>
      </c>
      <c r="E7" s="23">
        <f>IFERROR(__xludf.DUMMYFUNCTION("IMPORTRANGE(""https://docs.google.com/spreadsheets/d/1ZyVAgyLL_HCFyUsFR06BNJrd3d8klI6YuciQugxLR6o/edit?gid=1105689284#gid=1105689284"",""A2 vs A4!K24"")"),162.0)</f>
        <v>162</v>
      </c>
      <c r="F7" s="23">
        <f>IFERROR(__xludf.DUMMYFUNCTION("IMPORTRANGE(""https://docs.google.com/spreadsheets/d/1Iv6yZlS3FQWzzgGpdJyYBvJdrkdMPqx_bl527u5CA1U/edit?gid=1105689284#gid=1105689284"",""A2 vs A5!K24"")"),208.0)</f>
        <v>208</v>
      </c>
      <c r="G7" s="44">
        <f>IFERROR(__xludf.DUMMYFUNCTION("IMPORTRANGE(""https://docs.google.com/spreadsheets/d/1iErVLlc1_s37p2bIQGBV-ueQhrFErR8_rQgkEu4dw_A/edit?gid=1105689284#gid=1105689284"",""A2 vs A6!K24"")"),152.0)</f>
        <v>152</v>
      </c>
      <c r="H7" s="7"/>
      <c r="I7" s="70" t="s">
        <v>45</v>
      </c>
      <c r="J7" s="79">
        <f>IFERROR(__xludf.DUMMYFUNCTION("IMPORTRANGE(""https://docs.google.com/spreadsheets/d/13_UcftIhRFc8Wdh5sQ-JghNmvplAeKYrOfyqerMoP4E/edit?gid=2010738230#gid=2010738230"",""B1 vs B2!T24"")"),128.0)</f>
        <v>128</v>
      </c>
      <c r="K7" s="60"/>
      <c r="L7" s="23">
        <f>IFERROR(__xludf.DUMMYFUNCTION("IMPORTRANGE(""https://docs.google.com/spreadsheets/d/1gvVcUWK0DrU9Prr-pNKoq3-2DQjDQ1i9v2BBpB5lu8o/edit?gid=1105689284#gid=1105689284"",""B2 vs B3!K24"")"),140.0)</f>
        <v>140</v>
      </c>
      <c r="M7" s="23">
        <f>IFERROR(__xludf.DUMMYFUNCTION("IMPORTRANGE(""https://docs.google.com/spreadsheets/d/1ZyVAgyLL_HCFyUsFR06BNJrd3d8klI6YuciQugxLR6o/edit?gid=1105689284#gid=1105689284"",""B2 vs B4!K24"")"),146.0)</f>
        <v>146</v>
      </c>
      <c r="N7" s="23">
        <f>IFERROR(__xludf.DUMMYFUNCTION("IMPORTRANGE(""https://docs.google.com/spreadsheets/d/1Iv6yZlS3FQWzzgGpdJyYBvJdrkdMPqx_bl527u5CA1U/edit?gid=1105689284#gid=1105689284"",""B2 vs B5!K24"")"),62.0)</f>
        <v>62</v>
      </c>
      <c r="O7" s="44">
        <f>IFERROR(__xludf.DUMMYFUNCTION("IMPORTRANGE(""https://docs.google.com/spreadsheets/d/1iErVLlc1_s37p2bIQGBV-ueQhrFErR8_rQgkEu4dw_A/edit?gid=1105689284#gid=1105689284"",""B2 vs B6!K24"")"),106.0)</f>
        <v>106</v>
      </c>
    </row>
    <row r="8">
      <c r="A8" s="58" t="s">
        <v>27</v>
      </c>
      <c r="B8" s="23">
        <f>IFERROR(__xludf.DUMMYFUNCTION("IMPORTRANGE(""https://docs.google.com/spreadsheets/d/1iErVLlc1_s37p2bIQGBV-ueQhrFErR8_rQgkEu4dw_A/edit?gid=1105689284#gid=1105689284"",""A1 vs A3!T24"")"),44.0)</f>
        <v>44</v>
      </c>
      <c r="C8" s="23">
        <f>IFERROR(__xludf.DUMMYFUNCTION("IMPORTRANGE(""https://docs.google.com/spreadsheets/d/1gvVcUWK0DrU9Prr-pNKoq3-2DQjDQ1i9v2BBpB5lu8o/edit?gid=1105689284#gid=1105689284"",""A2 vs A3!T24"")"),34.0)</f>
        <v>34</v>
      </c>
      <c r="D8" s="60"/>
      <c r="E8" s="23">
        <f>IFERROR(__xludf.DUMMYFUNCTION("IMPORTRANGE(""https://docs.google.com/spreadsheets/d/1Iv6yZlS3FQWzzgGpdJyYBvJdrkdMPqx_bl527u5CA1U/edit?gid=1105689284#gid=1105689284"",""A3 vs A4!K24"")"),36.0)</f>
        <v>36</v>
      </c>
      <c r="F8" s="23">
        <f>IFERROR(__xludf.DUMMYFUNCTION("IMPORTRANGE(""https://docs.google.com/spreadsheets/d/13_UcftIhRFc8Wdh5sQ-JghNmvplAeKYrOfyqerMoP4E/edit?gid=2010738230#gid=2010738230"",""A3 vs A5!K24"")"),34.0)</f>
        <v>34</v>
      </c>
      <c r="G8" s="44">
        <f>IFERROR(__xludf.DUMMYFUNCTION("IMPORTRANGE(""https://docs.google.com/spreadsheets/d/1ZyVAgyLL_HCFyUsFR06BNJrd3d8klI6YuciQugxLR6o/edit?gid=1105689284#gid=1105689284"",""A3 vs A6!K24"")"),30.0)</f>
        <v>30</v>
      </c>
      <c r="H8" s="7"/>
      <c r="I8" s="70" t="s">
        <v>48</v>
      </c>
      <c r="J8" s="23">
        <f>IFERROR(__xludf.DUMMYFUNCTION("IMPORTRANGE(""https://docs.google.com/spreadsheets/d/1iErVLlc1_s37p2bIQGBV-ueQhrFErR8_rQgkEu4dw_A/edit?gid=1105689284#gid=1105689284"",""B1 vs B3!T24"")"),92.0)</f>
        <v>92</v>
      </c>
      <c r="K8" s="23">
        <f>IFERROR(__xludf.DUMMYFUNCTION("IMPORTRANGE(""https://docs.google.com/spreadsheets/d/1gvVcUWK0DrU9Prr-pNKoq3-2DQjDQ1i9v2BBpB5lu8o/edit?gid=1105689284#gid=1105689284"",""B2 vs B3!T24"")"),22.0)</f>
        <v>22</v>
      </c>
      <c r="L8" s="60"/>
      <c r="M8" s="23">
        <f>IFERROR(__xludf.DUMMYFUNCTION("IMPORTRANGE(""https://docs.google.com/spreadsheets/d/1Iv6yZlS3FQWzzgGpdJyYBvJdrkdMPqx_bl527u5CA1U/edit?gid=1105689284#gid=1105689284"",""B3 vs B4!K24"")"),66.0)</f>
        <v>66</v>
      </c>
      <c r="N8" s="23">
        <f>IFERROR(__xludf.DUMMYFUNCTION("IMPORTRANGE(""https://docs.google.com/spreadsheets/d/13_UcftIhRFc8Wdh5sQ-JghNmvplAeKYrOfyqerMoP4E/edit?gid=2010738230#gid=2010738230"",""B3 vs B5!K24"")"),50.0)</f>
        <v>50</v>
      </c>
      <c r="O8" s="44">
        <f>IFERROR(__xludf.DUMMYFUNCTION("IMPORTRANGE(""https://docs.google.com/spreadsheets/d/1ZyVAgyLL_HCFyUsFR06BNJrd3d8klI6YuciQugxLR6o/edit?gid=1105689284#gid=1105689284"",""B3 vs B6!K24"")"),54.0)</f>
        <v>54</v>
      </c>
    </row>
    <row r="9">
      <c r="A9" s="70" t="s">
        <v>30</v>
      </c>
      <c r="B9" s="23">
        <f>IFERROR(__xludf.DUMMYFUNCTION("IMPORTRANGE(""https://docs.google.com/spreadsheets/d/1gvVcUWK0DrU9Prr-pNKoq3-2DQjDQ1i9v2BBpB5lu8o/edit?gid=1105689284#gid=1105689284"",""A1 vs A4!T24"")"),60.0)</f>
        <v>60</v>
      </c>
      <c r="C9" s="23">
        <f>IFERROR(__xludf.DUMMYFUNCTION("IMPORTRANGE(""https://docs.google.com/spreadsheets/d/1ZyVAgyLL_HCFyUsFR06BNJrd3d8klI6YuciQugxLR6o/edit?gid=1105689284#gid=1105689284"",""A2 vs A4!T24"")"),16.0)</f>
        <v>16</v>
      </c>
      <c r="D9" s="23">
        <f>IFERROR(__xludf.DUMMYFUNCTION("IMPORTRANGE(""https://docs.google.com/spreadsheets/d/1Iv6yZlS3FQWzzgGpdJyYBvJdrkdMPqx_bl527u5CA1U/edit?gid=1105689284#gid=1105689284"",""A3 vs A4!T24"")"),62.0)</f>
        <v>62</v>
      </c>
      <c r="E9" s="60"/>
      <c r="F9" s="23">
        <f>IFERROR(__xludf.DUMMYFUNCTION("IMPORTRANGE(""https://docs.google.com/spreadsheets/d/1iErVLlc1_s37p2bIQGBV-ueQhrFErR8_rQgkEu4dw_A/edit?gid=1105689284#gid=1105689284"",""A4 vs A5!K24"")"),90.0)</f>
        <v>90</v>
      </c>
      <c r="G9" s="44">
        <f>IFERROR(__xludf.DUMMYFUNCTION("IMPORTRANGE(""https://docs.google.com/spreadsheets/d/13_UcftIhRFc8Wdh5sQ-JghNmvplAeKYrOfyqerMoP4E/edit?gid=2010738230#gid=2010738230"",""A4 vs A6!K24"")"),90.0)</f>
        <v>90</v>
      </c>
      <c r="H9" s="7"/>
      <c r="I9" s="70" t="s">
        <v>51</v>
      </c>
      <c r="J9" s="23">
        <f>IFERROR(__xludf.DUMMYFUNCTION("IMPORTRANGE(""https://docs.google.com/spreadsheets/d/1gvVcUWK0DrU9Prr-pNKoq3-2DQjDQ1i9v2BBpB5lu8o/edit?gid=1105689284#gid=1105689284"",""B1 vs B4!T24"")"),42.0)</f>
        <v>42</v>
      </c>
      <c r="K9" s="23">
        <f>IFERROR(__xludf.DUMMYFUNCTION("IMPORTRANGE(""https://docs.google.com/spreadsheets/d/1ZyVAgyLL_HCFyUsFR06BNJrd3d8klI6YuciQugxLR6o/edit?gid=1105689284#gid=1105689284"",""B2 vs B4!T24"")"),16.0)</f>
        <v>16</v>
      </c>
      <c r="L9" s="23">
        <f>IFERROR(__xludf.DUMMYFUNCTION("IMPORTRANGE(""https://docs.google.com/spreadsheets/d/1Iv6yZlS3FQWzzgGpdJyYBvJdrkdMPqx_bl527u5CA1U/edit?gid=1105689284#gid=1105689284"",""B3 vs B4!T24"")"),20.0)</f>
        <v>20</v>
      </c>
      <c r="M9" s="60"/>
      <c r="N9" s="23">
        <f>IFERROR(__xludf.DUMMYFUNCTION("IMPORTRANGE(""https://docs.google.com/spreadsheets/d/1iErVLlc1_s37p2bIQGBV-ueQhrFErR8_rQgkEu4dw_A/edit?gid=1105689284#gid=1105689284"",""B4 vs B5!K24"")"),12.0)</f>
        <v>12</v>
      </c>
      <c r="O9" s="44">
        <f>IFERROR(__xludf.DUMMYFUNCTION("IMPORTRANGE(""https://docs.google.com/spreadsheets/d/13_UcftIhRFc8Wdh5sQ-JghNmvplAeKYrOfyqerMoP4E/edit?gid=2010738230#gid=2010738230"",""B4 vs B6!K24"")"),40.0)</f>
        <v>40</v>
      </c>
    </row>
    <row r="10">
      <c r="A10" s="70" t="s">
        <v>33</v>
      </c>
      <c r="B10" s="23">
        <f>IFERROR(__xludf.DUMMYFUNCTION("IMPORTRANGE(""https://docs.google.com/spreadsheets/d/1ZyVAgyLL_HCFyUsFR06BNJrd3d8klI6YuciQugxLR6o/edit?gid=1105689284#gid=1105689284"",""A1 vs A5!T24"")"),38.0)</f>
        <v>38</v>
      </c>
      <c r="C10" s="23">
        <f>IFERROR(__xludf.DUMMYFUNCTION("IMPORTRANGE(""https://docs.google.com/spreadsheets/d/1Iv6yZlS3FQWzzgGpdJyYBvJdrkdMPqx_bl527u5CA1U/edit?gid=1105689284#gid=1105689284"",""A2 vs A5!T24"")"),22.0)</f>
        <v>22</v>
      </c>
      <c r="D10" s="23">
        <f>IFERROR(__xludf.DUMMYFUNCTION("IMPORTRANGE(""https://docs.google.com/spreadsheets/d/13_UcftIhRFc8Wdh5sQ-JghNmvplAeKYrOfyqerMoP4E/edit?gid=2010738230#gid=2010738230"",""A3 vs A5!T24"")"),128.0)</f>
        <v>128</v>
      </c>
      <c r="E10" s="23">
        <f>IFERROR(__xludf.DUMMYFUNCTION("IMPORTRANGE(""https://docs.google.com/spreadsheets/d/1iErVLlc1_s37p2bIQGBV-ueQhrFErR8_rQgkEu4dw_A/edit?gid=1105689284#gid=1105689284"",""A4 vs A5!T24"")"),48.0)</f>
        <v>48</v>
      </c>
      <c r="F10" s="60"/>
      <c r="G10" s="44">
        <f>IFERROR(__xludf.DUMMYFUNCTION("IMPORTRANGE(""https://docs.google.com/spreadsheets/d/1gvVcUWK0DrU9Prr-pNKoq3-2DQjDQ1i9v2BBpB5lu8o/edit?gid=1105689284#gid=1105689284"",""A5 vs A6!K24"")"),20.0)</f>
        <v>20</v>
      </c>
      <c r="H10" s="7"/>
      <c r="I10" s="70" t="s">
        <v>54</v>
      </c>
      <c r="J10" s="23">
        <f>IFERROR(__xludf.DUMMYFUNCTION("IMPORTRANGE(""https://docs.google.com/spreadsheets/d/1ZyVAgyLL_HCFyUsFR06BNJrd3d8klI6YuciQugxLR6o/edit?gid=1105689284#gid=1105689284"",""B1 vs B5!T24"")"),94.0)</f>
        <v>94</v>
      </c>
      <c r="K10" s="23">
        <f>IFERROR(__xludf.DUMMYFUNCTION("IMPORTRANGE(""https://docs.google.com/spreadsheets/d/1Iv6yZlS3FQWzzgGpdJyYBvJdrkdMPqx_bl527u5CA1U/edit?gid=1105689284#gid=1105689284"",""B2 vs B5!T24"")"),144.0)</f>
        <v>144</v>
      </c>
      <c r="L10" s="23">
        <f>IFERROR(__xludf.DUMMYFUNCTION("IMPORTRANGE(""https://docs.google.com/spreadsheets/d/13_UcftIhRFc8Wdh5sQ-JghNmvplAeKYrOfyqerMoP4E/edit?gid=2010738230#gid=2010738230"",""B3 vs B5!T24"")"),208.0)</f>
        <v>208</v>
      </c>
      <c r="M10" s="23">
        <f>IFERROR(__xludf.DUMMYFUNCTION("IMPORTRANGE(""https://docs.google.com/spreadsheets/d/1iErVLlc1_s37p2bIQGBV-ueQhrFErR8_rQgkEu4dw_A/edit?gid=1105689284#gid=1105689284"",""B4 vs B5!T24"")"),226.0)</f>
        <v>226</v>
      </c>
      <c r="N10" s="60"/>
      <c r="O10" s="44">
        <f>IFERROR(__xludf.DUMMYFUNCTION("IMPORTRANGE(""https://docs.google.com/spreadsheets/d/1gvVcUWK0DrU9Prr-pNKoq3-2DQjDQ1i9v2BBpB5lu8o/edit?gid=1105689284#gid=1105689284"",""B5 vs B6!K24"")"),190.0)</f>
        <v>190</v>
      </c>
    </row>
    <row r="11">
      <c r="A11" s="115" t="s">
        <v>36</v>
      </c>
      <c r="B11" s="51">
        <f>IFERROR(__xludf.DUMMYFUNCTION("IMPORTRANGE(""https://docs.google.com/spreadsheets/d/1Iv6yZlS3FQWzzgGpdJyYBvJdrkdMPqx_bl527u5CA1U/edit?gid=1105689284#gid=1105689284"",""A1 vs A6!T24"")"),132.0)</f>
        <v>132</v>
      </c>
      <c r="C11" s="51">
        <f>IFERROR(__xludf.DUMMYFUNCTION("IMPORTRANGE(""https://docs.google.com/spreadsheets/d/1iErVLlc1_s37p2bIQGBV-ueQhrFErR8_rQgkEu4dw_A/edit?gid=1105689284#gid=1105689284"",""A2 vs A6!T24"")"),76.0)</f>
        <v>76</v>
      </c>
      <c r="D11" s="51">
        <f>IFERROR(__xludf.DUMMYFUNCTION("IMPORTRANGE(""https://docs.google.com/spreadsheets/d/1ZyVAgyLL_HCFyUsFR06BNJrd3d8klI6YuciQugxLR6o/edit?gid=1105689284#gid=1105689284"",""A3 vs A6!T24"")"),142.0)</f>
        <v>142</v>
      </c>
      <c r="E11" s="51">
        <f>IFERROR(__xludf.DUMMYFUNCTION("IMPORTRANGE(""https://docs.google.com/spreadsheets/d/13_UcftIhRFc8Wdh5sQ-JghNmvplAeKYrOfyqerMoP4E/edit?gid=2010738230#gid=2010738230"",""A4 vs A6!T24"")"),120.0)</f>
        <v>120</v>
      </c>
      <c r="F11" s="51">
        <f>IFERROR(__xludf.DUMMYFUNCTION("IMPORTRANGE(""https://docs.google.com/spreadsheets/d/1gvVcUWK0DrU9Prr-pNKoq3-2DQjDQ1i9v2BBpB5lu8o/edit?gid=1105689284#gid=1105689284"",""A5 vs A6!T24"")"),174.0)</f>
        <v>174</v>
      </c>
      <c r="G11" s="122"/>
      <c r="H11" s="7"/>
      <c r="I11" s="115" t="s">
        <v>57</v>
      </c>
      <c r="J11" s="51">
        <f>IFERROR(__xludf.DUMMYFUNCTION("IMPORTRANGE(""https://docs.google.com/spreadsheets/d/1Iv6yZlS3FQWzzgGpdJyYBvJdrkdMPqx_bl527u5CA1U/edit?gid=1105689284#gid=1105689284"",""B1 vs B6!T24"")"),22.0)</f>
        <v>22</v>
      </c>
      <c r="K11" s="51">
        <f>IFERROR(__xludf.DUMMYFUNCTION("IMPORTRANGE(""https://docs.google.com/spreadsheets/d/1iErVLlc1_s37p2bIQGBV-ueQhrFErR8_rQgkEu4dw_A/edit?gid=1105689284#gid=1105689284"",""B2 vs B6!T24"")"),62.0)</f>
        <v>62</v>
      </c>
      <c r="L11" s="51">
        <f>IFERROR(__xludf.DUMMYFUNCTION("IMPORTRANGE(""https://docs.google.com/spreadsheets/d/1ZyVAgyLL_HCFyUsFR06BNJrd3d8klI6YuciQugxLR6o/edit?gid=1105689284#gid=1105689284"",""B3 vs B6!T24"")"),60.0)</f>
        <v>60</v>
      </c>
      <c r="M11" s="51">
        <f>IFERROR(__xludf.DUMMYFUNCTION("IMPORTRANGE(""https://docs.google.com/spreadsheets/d/13_UcftIhRFc8Wdh5sQ-JghNmvplAeKYrOfyqerMoP4E/edit?gid=2010738230#gid=2010738230"",""B4 vs B6!T24"")"),136.0)</f>
        <v>136</v>
      </c>
      <c r="N11" s="51">
        <f>IFERROR(__xludf.DUMMYFUNCTION("IMPORTRANGE(""https://docs.google.com/spreadsheets/d/1gvVcUWK0DrU9Prr-pNKoq3-2DQjDQ1i9v2BBpB5lu8o/edit?gid=1105689284#gid=1105689284"",""B5 vs B6!T24"")"),46.0)</f>
        <v>46</v>
      </c>
      <c r="O11" s="122"/>
    </row>
    <row r="12">
      <c r="A12" s="7"/>
      <c r="B12" s="7"/>
      <c r="C12" s="7"/>
      <c r="D12" s="7"/>
      <c r="E12" s="54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>
      <c r="A13" s="18" t="s">
        <v>204</v>
      </c>
      <c r="B13" s="4"/>
      <c r="C13" s="4"/>
      <c r="D13" s="4"/>
      <c r="E13" s="4"/>
      <c r="F13" s="4"/>
      <c r="G13" s="22"/>
      <c r="H13" s="7"/>
      <c r="I13" s="18" t="s">
        <v>234</v>
      </c>
      <c r="J13" s="4"/>
      <c r="K13" s="4"/>
      <c r="L13" s="4"/>
      <c r="M13" s="4"/>
      <c r="N13" s="4"/>
      <c r="O13" s="22"/>
    </row>
    <row r="14">
      <c r="A14" s="55">
        <f>SUM(B15:G20)</f>
        <v>2540</v>
      </c>
      <c r="B14" s="46" t="str">
        <f t="array" ref="B14">INDEX(A15,0)</f>
        <v>C1</v>
      </c>
      <c r="C14" s="46" t="str">
        <f t="array" ref="C14">INDEX(A16,0)</f>
        <v>C2</v>
      </c>
      <c r="D14" s="46" t="str">
        <f t="array" ref="D14">INDEX(A17,0)</f>
        <v>C3</v>
      </c>
      <c r="E14" s="46" t="str">
        <f t="array" ref="E14">INDEX(A18,0)</f>
        <v>C4</v>
      </c>
      <c r="F14" s="46" t="str">
        <f t="array" ref="F14">INDEX(A19,0)</f>
        <v>C5</v>
      </c>
      <c r="G14" s="52" t="str">
        <f t="array" ref="G14">INDEX(A20,0)</f>
        <v>C6</v>
      </c>
      <c r="H14" s="7"/>
      <c r="I14" s="55">
        <f>SUM(J15:O20)</f>
        <v>2738</v>
      </c>
      <c r="J14" s="46" t="str">
        <f t="array" ref="J14">INDEX(I15,0)</f>
        <v>D1</v>
      </c>
      <c r="K14" s="46" t="str">
        <f t="array" ref="K14">INDEX(I16,0)</f>
        <v>D2</v>
      </c>
      <c r="L14" s="46" t="str">
        <f t="array" ref="L14">INDEX(I17,0)</f>
        <v>D3</v>
      </c>
      <c r="M14" s="46" t="str">
        <f t="array" ref="M14">INDEX(I18,0)</f>
        <v>D4</v>
      </c>
      <c r="N14" s="46" t="str">
        <f t="array" ref="N14">INDEX(I19,0)</f>
        <v>D5</v>
      </c>
      <c r="O14" s="52" t="str">
        <f t="array" ref="O14">INDEX(I20,0)</f>
        <v>D6</v>
      </c>
    </row>
    <row r="15">
      <c r="A15" s="70" t="s">
        <v>60</v>
      </c>
      <c r="B15" s="60"/>
      <c r="C15" s="23">
        <f>IFERROR(__xludf.DUMMYFUNCTION("IMPORTRANGE(""https://docs.google.com/spreadsheets/d/13_UcftIhRFc8Wdh5sQ-JghNmvplAeKYrOfyqerMoP4E/edit?gid=2010738230#gid=2010738230"",""C1 vs C2!K24"")"),118.0)</f>
        <v>118</v>
      </c>
      <c r="D15" s="23">
        <f>IFERROR(__xludf.DUMMYFUNCTION("IMPORTRANGE(""https://docs.google.com/spreadsheets/d/1iErVLlc1_s37p2bIQGBV-ueQhrFErR8_rQgkEu4dw_A/edit?gid=1105689284#gid=1105689284"",""C1 vs C3!K24"")"),50.0)</f>
        <v>50</v>
      </c>
      <c r="E15" s="23">
        <f>IFERROR(__xludf.DUMMYFUNCTION("IMPORTRANGE(""https://docs.google.com/spreadsheets/d/1gvVcUWK0DrU9Prr-pNKoq3-2DQjDQ1i9v2BBpB5lu8o/edit?gid=1105689284#gid=1105689284"",""C1 vs C4!K24"")"),98.0)</f>
        <v>98</v>
      </c>
      <c r="F15" s="23">
        <f>IFERROR(__xludf.DUMMYFUNCTION("IMPORTRANGE(""https://docs.google.com/spreadsheets/d/1ZyVAgyLL_HCFyUsFR06BNJrd3d8klI6YuciQugxLR6o/edit?gid=1105689284#gid=1105689284"",""C1 vs C5!K24"")"),118.0)</f>
        <v>118</v>
      </c>
      <c r="G15" s="44">
        <f>IFERROR(__xludf.DUMMYFUNCTION("IMPORTRANGE(""https://docs.google.com/spreadsheets/d/1Iv6yZlS3FQWzzgGpdJyYBvJdrkdMPqx_bl527u5CA1U/edit?gid=1105689284#gid=1105689284"",""C1 vs C6!K24"")"),32.0)</f>
        <v>32</v>
      </c>
      <c r="H15" s="7"/>
      <c r="I15" s="70" t="s">
        <v>80</v>
      </c>
      <c r="J15" s="60"/>
      <c r="K15" s="23">
        <f>IFERROR(__xludf.DUMMYFUNCTION("IMPORTRANGE(""https://docs.google.com/spreadsheets/d/13_UcftIhRFc8Wdh5sQ-JghNmvplAeKYrOfyqerMoP4E/edit?gid=2010738230#gid=2010738230"",""D1 vs D2!K24"")"),58.0)</f>
        <v>58</v>
      </c>
      <c r="L15" s="23">
        <f>IFERROR(__xludf.DUMMYFUNCTION("IMPORTRANGE(""https://docs.google.com/spreadsheets/d/1iErVLlc1_s37p2bIQGBV-ueQhrFErR8_rQgkEu4dw_A/edit?gid=1105689284#gid=1105689284"",""D1 vs D3!K24"")"),38.0)</f>
        <v>38</v>
      </c>
      <c r="M15" s="23">
        <f>IFERROR(__xludf.DUMMYFUNCTION("IMPORTRANGE(""https://docs.google.com/spreadsheets/d/1gvVcUWK0DrU9Prr-pNKoq3-2DQjDQ1i9v2BBpB5lu8o/edit?gid=1105689284#gid=1105689284"",""D1 vs D4!K24"")"),36.0)</f>
        <v>36</v>
      </c>
      <c r="N15" s="23">
        <f>IFERROR(__xludf.DUMMYFUNCTION("IMPORTRANGE(""https://docs.google.com/spreadsheets/d/1ZyVAgyLL_HCFyUsFR06BNJrd3d8klI6YuciQugxLR6o/edit?gid=1105689284#gid=1105689284"",""D1 vs D5!K24"")"),34.0)</f>
        <v>34</v>
      </c>
      <c r="O15" s="44">
        <f>IFERROR(__xludf.DUMMYFUNCTION("IMPORTRANGE(""https://docs.google.com/spreadsheets/d/1Iv6yZlS3FQWzzgGpdJyYBvJdrkdMPqx_bl527u5CA1U/edit?gid=1105689284#gid=1105689284"",""D1 vs D6!K24"")"),52.0)</f>
        <v>52</v>
      </c>
    </row>
    <row r="16">
      <c r="A16" s="70" t="s">
        <v>63</v>
      </c>
      <c r="B16" s="79">
        <f>IFERROR(__xludf.DUMMYFUNCTION("IMPORTRANGE(""https://docs.google.com/spreadsheets/d/13_UcftIhRFc8Wdh5sQ-JghNmvplAeKYrOfyqerMoP4E/edit?gid=2010738230#gid=2010738230"",""C1 vs C2!T24"")"),148.0)</f>
        <v>148</v>
      </c>
      <c r="C16" s="60"/>
      <c r="D16" s="23">
        <f>IFERROR(__xludf.DUMMYFUNCTION("IMPORTRANGE(""https://docs.google.com/spreadsheets/d/1gvVcUWK0DrU9Prr-pNKoq3-2DQjDQ1i9v2BBpB5lu8o/edit?gid=1105689284#gid=1105689284"",""C2 vs C3!K24"")"),96.0)</f>
        <v>96</v>
      </c>
      <c r="E16" s="23">
        <f>IFERROR(__xludf.DUMMYFUNCTION("IMPORTRANGE(""https://docs.google.com/spreadsheets/d/1ZyVAgyLL_HCFyUsFR06BNJrd3d8klI6YuciQugxLR6o/edit?gid=1105689284#gid=1105689284"",""C2 vs C4!K24"")"),114.0)</f>
        <v>114</v>
      </c>
      <c r="F16" s="23">
        <f>IFERROR(__xludf.DUMMYFUNCTION("IMPORTRANGE(""https://docs.google.com/spreadsheets/d/1Iv6yZlS3FQWzzgGpdJyYBvJdrkdMPqx_bl527u5CA1U/edit?gid=1105689284#gid=1105689284"",""C2 vs C5!K24"")"),104.0)</f>
        <v>104</v>
      </c>
      <c r="G16" s="44">
        <f>IFERROR(__xludf.DUMMYFUNCTION("IMPORTRANGE(""https://docs.google.com/spreadsheets/d/1iErVLlc1_s37p2bIQGBV-ueQhrFErR8_rQgkEu4dw_A/edit?gid=1105689284#gid=1105689284"",""C2 vs C6!K24"")"),112.0)</f>
        <v>112</v>
      </c>
      <c r="H16" s="7"/>
      <c r="I16" s="70" t="s">
        <v>86</v>
      </c>
      <c r="J16" s="79">
        <f>IFERROR(__xludf.DUMMYFUNCTION("IMPORTRANGE(""https://docs.google.com/spreadsheets/d/13_UcftIhRFc8Wdh5sQ-JghNmvplAeKYrOfyqerMoP4E/edit?gid=2010738230#gid=2010738230"",""D1 vs D2!T24"")"),110.0)</f>
        <v>110</v>
      </c>
      <c r="K16" s="60"/>
      <c r="L16" s="23">
        <f>IFERROR(__xludf.DUMMYFUNCTION("IMPORTRANGE(""https://docs.google.com/spreadsheets/d/1gvVcUWK0DrU9Prr-pNKoq3-2DQjDQ1i9v2BBpB5lu8o/edit?gid=1105689284#gid=1105689284"",""D2 vs D3!K24"")"),20.0)</f>
        <v>20</v>
      </c>
      <c r="M16" s="23">
        <f>IFERROR(__xludf.DUMMYFUNCTION("IMPORTRANGE(""https://docs.google.com/spreadsheets/d/1ZyVAgyLL_HCFyUsFR06BNJrd3d8klI6YuciQugxLR6o/edit?gid=1105689284#gid=1105689284"",""D2 vs D4!K24"")"),58.0)</f>
        <v>58</v>
      </c>
      <c r="N16" s="23">
        <f>IFERROR(__xludf.DUMMYFUNCTION("IMPORTRANGE(""https://docs.google.com/spreadsheets/d/1Iv6yZlS3FQWzzgGpdJyYBvJdrkdMPqx_bl527u5CA1U/edit?gid=1105689284#gid=1105689284"",""D2 vs D5!K24"")"),34.0)</f>
        <v>34</v>
      </c>
      <c r="O16" s="44">
        <f>IFERROR(__xludf.DUMMYFUNCTION("IMPORTRANGE(""https://docs.google.com/spreadsheets/d/1iErVLlc1_s37p2bIQGBV-ueQhrFErR8_rQgkEu4dw_A/edit?gid=1105689284#gid=1105689284"",""D2 vs D6!K24"")"),104.0)</f>
        <v>104</v>
      </c>
    </row>
    <row r="17">
      <c r="A17" s="70" t="s">
        <v>66</v>
      </c>
      <c r="B17" s="23">
        <f>IFERROR(__xludf.DUMMYFUNCTION("IMPORTRANGE(""https://docs.google.com/spreadsheets/d/1iErVLlc1_s37p2bIQGBV-ueQhrFErR8_rQgkEu4dw_A/edit?gid=1105689284#gid=1105689284"",""C1 vs C3!T24"")"),138.0)</f>
        <v>138</v>
      </c>
      <c r="C17" s="23">
        <f>IFERROR(__xludf.DUMMYFUNCTION("IMPORTRANGE(""https://docs.google.com/spreadsheets/d/1gvVcUWK0DrU9Prr-pNKoq3-2DQjDQ1i9v2BBpB5lu8o/edit?gid=1105689284#gid=1105689284"",""C2 vs C3!T24"")"),66.0)</f>
        <v>66</v>
      </c>
      <c r="D17" s="60"/>
      <c r="E17" s="23">
        <f>IFERROR(__xludf.DUMMYFUNCTION("IMPORTRANGE(""https://docs.google.com/spreadsheets/d/1Iv6yZlS3FQWzzgGpdJyYBvJdrkdMPqx_bl527u5CA1U/edit?gid=1105689284#gid=1105689284"",""C3 vs C4!K24"")"),82.0)</f>
        <v>82</v>
      </c>
      <c r="F17" s="23">
        <f>IFERROR(__xludf.DUMMYFUNCTION("IMPORTRANGE(""https://docs.google.com/spreadsheets/d/13_UcftIhRFc8Wdh5sQ-JghNmvplAeKYrOfyqerMoP4E/edit?gid=2010738230#gid=2010738230"",""C3 vs C5!K24"")"),82.0)</f>
        <v>82</v>
      </c>
      <c r="G17" s="44">
        <f>IFERROR(__xludf.DUMMYFUNCTION("IMPORTRANGE(""https://docs.google.com/spreadsheets/d/1ZyVAgyLL_HCFyUsFR06BNJrd3d8klI6YuciQugxLR6o/edit?gid=1105689284#gid=1105689284"",""C3 vs C6!K24"")"),122.0)</f>
        <v>122</v>
      </c>
      <c r="H17" s="7"/>
      <c r="I17" s="70" t="s">
        <v>16</v>
      </c>
      <c r="J17" s="23">
        <f>IFERROR(__xludf.DUMMYFUNCTION("IMPORTRANGE(""https://docs.google.com/spreadsheets/d/1iErVLlc1_s37p2bIQGBV-ueQhrFErR8_rQgkEu4dw_A/edit?gid=1105689284#gid=1105689284"",""D1 vs D3!T24"")"),182.0)</f>
        <v>182</v>
      </c>
      <c r="K17" s="23">
        <f>IFERROR(__xludf.DUMMYFUNCTION("IMPORTRANGE(""https://docs.google.com/spreadsheets/d/1gvVcUWK0DrU9Prr-pNKoq3-2DQjDQ1i9v2BBpB5lu8o/edit?gid=1105689284#gid=1105689284"",""D2 vs D3!T24"")"),152.0)</f>
        <v>152</v>
      </c>
      <c r="L17" s="60"/>
      <c r="M17" s="23">
        <f>IFERROR(__xludf.DUMMYFUNCTION("IMPORTRANGE(""https://docs.google.com/spreadsheets/d/1Iv6yZlS3FQWzzgGpdJyYBvJdrkdMPqx_bl527u5CA1U/edit?gid=1105689284#gid=1105689284"",""D3 vs D4!K24"")"),132.0)</f>
        <v>132</v>
      </c>
      <c r="N17" s="23">
        <f>IFERROR(__xludf.DUMMYFUNCTION("IMPORTRANGE(""https://docs.google.com/spreadsheets/d/13_UcftIhRFc8Wdh5sQ-JghNmvplAeKYrOfyqerMoP4E/edit?gid=2010738230#gid=2010738230"",""D3 vs D5!K24"")"),190.0)</f>
        <v>190</v>
      </c>
      <c r="O17" s="44">
        <f>IFERROR(__xludf.DUMMYFUNCTION("IMPORTRANGE(""https://docs.google.com/spreadsheets/d/1ZyVAgyLL_HCFyUsFR06BNJrd3d8klI6YuciQugxLR6o/edit?gid=1105689284#gid=1105689284"",""D3 vs D6!K24"")"),260.0)</f>
        <v>260</v>
      </c>
    </row>
    <row r="18">
      <c r="A18" s="70" t="s">
        <v>69</v>
      </c>
      <c r="B18" s="23">
        <f>IFERROR(__xludf.DUMMYFUNCTION("IMPORTRANGE(""https://docs.google.com/spreadsheets/d/1gvVcUWK0DrU9Prr-pNKoq3-2DQjDQ1i9v2BBpB5lu8o/edit?gid=1105689284#gid=1105689284"",""C1 vs C4!T24"")"),36.0)</f>
        <v>36</v>
      </c>
      <c r="C18" s="23">
        <f>IFERROR(__xludf.DUMMYFUNCTION("IMPORTRANGE(""https://docs.google.com/spreadsheets/d/1ZyVAgyLL_HCFyUsFR06BNJrd3d8klI6YuciQugxLR6o/edit?gid=1105689284#gid=1105689284"",""C2 vs C4!T24"")"),16.0)</f>
        <v>16</v>
      </c>
      <c r="D18" s="23">
        <f>IFERROR(__xludf.DUMMYFUNCTION("IMPORTRANGE(""https://docs.google.com/spreadsheets/d/1Iv6yZlS3FQWzzgGpdJyYBvJdrkdMPqx_bl527u5CA1U/edit?gid=1105689284#gid=1105689284"",""C3 vs C4!T24"")"),30.0)</f>
        <v>30</v>
      </c>
      <c r="E18" s="60"/>
      <c r="F18" s="23">
        <f>IFERROR(__xludf.DUMMYFUNCTION("IMPORTRANGE(""https://docs.google.com/spreadsheets/d/1iErVLlc1_s37p2bIQGBV-ueQhrFErR8_rQgkEu4dw_A/edit?gid=1105689284#gid=1105689284"",""C4 vs C5!K24"")"),72.0)</f>
        <v>72</v>
      </c>
      <c r="G18" s="44">
        <f>IFERROR(__xludf.DUMMYFUNCTION("IMPORTRANGE(""https://docs.google.com/spreadsheets/d/13_UcftIhRFc8Wdh5sQ-JghNmvplAeKYrOfyqerMoP4E/edit?gid=2010738230#gid=2010738230"",""C4 vs C6!K24"")"),12.0)</f>
        <v>12</v>
      </c>
      <c r="H18" s="7"/>
      <c r="I18" s="70" t="s">
        <v>92</v>
      </c>
      <c r="J18" s="23">
        <f>IFERROR(__xludf.DUMMYFUNCTION("IMPORTRANGE(""https://docs.google.com/spreadsheets/d/1gvVcUWK0DrU9Prr-pNKoq3-2DQjDQ1i9v2BBpB5lu8o/edit?gid=1105689284#gid=1105689284"",""D1 vs D4!T24"")"),150.0)</f>
        <v>150</v>
      </c>
      <c r="K18" s="23">
        <f>IFERROR(__xludf.DUMMYFUNCTION("IMPORTRANGE(""https://docs.google.com/spreadsheets/d/1ZyVAgyLL_HCFyUsFR06BNJrd3d8klI6YuciQugxLR6o/edit?gid=1105689284#gid=1105689284"",""D2 vs D4!T24"")"),110.0)</f>
        <v>110</v>
      </c>
      <c r="L18" s="23">
        <f>IFERROR(__xludf.DUMMYFUNCTION("IMPORTRANGE(""https://docs.google.com/spreadsheets/d/1Iv6yZlS3FQWzzgGpdJyYBvJdrkdMPqx_bl527u5CA1U/edit?gid=1105689284#gid=1105689284"",""D3 vs D4!T24"")"),60.0)</f>
        <v>60</v>
      </c>
      <c r="M18" s="60"/>
      <c r="N18" s="23">
        <f>IFERROR(__xludf.DUMMYFUNCTION("IMPORTRANGE(""https://docs.google.com/spreadsheets/d/1iErVLlc1_s37p2bIQGBV-ueQhrFErR8_rQgkEu4dw_A/edit?gid=1105689284#gid=1105689284"",""D4 vs D5!K24"")"),130.0)</f>
        <v>130</v>
      </c>
      <c r="O18" s="44">
        <f>IFERROR(__xludf.DUMMYFUNCTION("IMPORTRANGE(""https://docs.google.com/spreadsheets/d/13_UcftIhRFc8Wdh5sQ-JghNmvplAeKYrOfyqerMoP4E/edit?gid=2010738230#gid=2010738230"",""D4 vs D6!K24"")"),166.0)</f>
        <v>166</v>
      </c>
    </row>
    <row r="19">
      <c r="A19" s="70" t="s">
        <v>73</v>
      </c>
      <c r="B19" s="23">
        <f>IFERROR(__xludf.DUMMYFUNCTION("IMPORTRANGE(""https://docs.google.com/spreadsheets/d/1ZyVAgyLL_HCFyUsFR06BNJrd3d8klI6YuciQugxLR6o/edit?gid=1105689284#gid=1105689284"",""C1 vs C5!T24"")"),40.0)</f>
        <v>40</v>
      </c>
      <c r="C19" s="23">
        <f>IFERROR(__xludf.DUMMYFUNCTION("IMPORTRANGE(""https://docs.google.com/spreadsheets/d/1Iv6yZlS3FQWzzgGpdJyYBvJdrkdMPqx_bl527u5CA1U/edit?gid=1105689284#gid=1105689284"",""C2 vs C5!T24"")"),26.0)</f>
        <v>26</v>
      </c>
      <c r="D19" s="23">
        <f>IFERROR(__xludf.DUMMYFUNCTION("IMPORTRANGE(""https://docs.google.com/spreadsheets/d/13_UcftIhRFc8Wdh5sQ-JghNmvplAeKYrOfyqerMoP4E/edit?gid=2010738230#gid=2010738230"",""C3 vs C5!T24"")"),106.0)</f>
        <v>106</v>
      </c>
      <c r="E19" s="23">
        <f>IFERROR(__xludf.DUMMYFUNCTION("IMPORTRANGE(""https://docs.google.com/spreadsheets/d/1iErVLlc1_s37p2bIQGBV-ueQhrFErR8_rQgkEu4dw_A/edit?gid=1105689284#gid=1105689284"",""C4 vs C5!T24"")"),82.0)</f>
        <v>82</v>
      </c>
      <c r="F19" s="60"/>
      <c r="G19" s="44">
        <f>IFERROR(__xludf.DUMMYFUNCTION("IMPORTRANGE(""https://docs.google.com/spreadsheets/d/1gvVcUWK0DrU9Prr-pNKoq3-2DQjDQ1i9v2BBpB5lu8o/edit?gid=1105689284#gid=1105689284"",""C5 vs C6!K24"")"),8.0)</f>
        <v>8</v>
      </c>
      <c r="H19" s="7"/>
      <c r="I19" s="70" t="s">
        <v>95</v>
      </c>
      <c r="J19" s="23">
        <f>IFERROR(__xludf.DUMMYFUNCTION("IMPORTRANGE(""https://docs.google.com/spreadsheets/d/1ZyVAgyLL_HCFyUsFR06BNJrd3d8klI6YuciQugxLR6o/edit?gid=1105689284#gid=1105689284"",""D1 vs D5!T24"")"),92.0)</f>
        <v>92</v>
      </c>
      <c r="K19" s="23">
        <f>IFERROR(__xludf.DUMMYFUNCTION("IMPORTRANGE(""https://docs.google.com/spreadsheets/d/1Iv6yZlS3FQWzzgGpdJyYBvJdrkdMPqx_bl527u5CA1U/edit?gid=1105689284#gid=1105689284"",""D2 vs D5!T24"")"),80.0)</f>
        <v>80</v>
      </c>
      <c r="L19" s="23">
        <f>IFERROR(__xludf.DUMMYFUNCTION("IMPORTRANGE(""https://docs.google.com/spreadsheets/d/13_UcftIhRFc8Wdh5sQ-JghNmvplAeKYrOfyqerMoP4E/edit?gid=2010738230#gid=2010738230"",""D3 vs D5!T24"")"),92.0)</f>
        <v>92</v>
      </c>
      <c r="M19" s="23">
        <f>IFERROR(__xludf.DUMMYFUNCTION("IMPORTRANGE(""https://docs.google.com/spreadsheets/d/1iErVLlc1_s37p2bIQGBV-ueQhrFErR8_rQgkEu4dw_A/edit?gid=1105689284#gid=1105689284"",""D4 vs D5!T24"")"),82.0)</f>
        <v>82</v>
      </c>
      <c r="N19" s="60"/>
      <c r="O19" s="44">
        <f>IFERROR(__xludf.DUMMYFUNCTION("IMPORTRANGE(""https://docs.google.com/spreadsheets/d/1gvVcUWK0DrU9Prr-pNKoq3-2DQjDQ1i9v2BBpB5lu8o/edit?gid=1105689284#gid=1105689284"",""D5 vs D6!K24"")"),114.0)</f>
        <v>114</v>
      </c>
    </row>
    <row r="20">
      <c r="A20" s="115" t="s">
        <v>76</v>
      </c>
      <c r="B20" s="51">
        <f>IFERROR(__xludf.DUMMYFUNCTION("IMPORTRANGE(""https://docs.google.com/spreadsheets/d/1Iv6yZlS3FQWzzgGpdJyYBvJdrkdMPqx_bl527u5CA1U/edit?gid=1105689284#gid=1105689284"",""C1 vs C6!T24"")"),102.0)</f>
        <v>102</v>
      </c>
      <c r="C20" s="51">
        <f>IFERROR(__xludf.DUMMYFUNCTION("IMPORTRANGE(""https://docs.google.com/spreadsheets/d/1iErVLlc1_s37p2bIQGBV-ueQhrFErR8_rQgkEu4dw_A/edit?gid=1105689284#gid=1105689284"",""C2 vs C6!T24"")"),112.0)</f>
        <v>112</v>
      </c>
      <c r="D20" s="51">
        <f>IFERROR(__xludf.DUMMYFUNCTION("IMPORTRANGE(""https://docs.google.com/spreadsheets/d/1ZyVAgyLL_HCFyUsFR06BNJrd3d8klI6YuciQugxLR6o/edit?gid=1105689284#gid=1105689284"",""C3 vs C6!T24"")"),58.0)</f>
        <v>58</v>
      </c>
      <c r="E20" s="51">
        <f>IFERROR(__xludf.DUMMYFUNCTION("IMPORTRANGE(""https://docs.google.com/spreadsheets/d/13_UcftIhRFc8Wdh5sQ-JghNmvplAeKYrOfyqerMoP4E/edit?gid=2010738230#gid=2010738230"",""C4 vs C6!T24"")"),218.0)</f>
        <v>218</v>
      </c>
      <c r="F20" s="51">
        <f>IFERROR(__xludf.DUMMYFUNCTION("IMPORTRANGE(""https://docs.google.com/spreadsheets/d/1gvVcUWK0DrU9Prr-pNKoq3-2DQjDQ1i9v2BBpB5lu8o/edit?gid=1105689284#gid=1105689284"",""C5 vs C6!T24"")"),142.0)</f>
        <v>142</v>
      </c>
      <c r="G20" s="122"/>
      <c r="H20" s="7"/>
      <c r="I20" s="115" t="s">
        <v>99</v>
      </c>
      <c r="J20" s="51">
        <f>IFERROR(__xludf.DUMMYFUNCTION("IMPORTRANGE(""https://docs.google.com/spreadsheets/d/1Iv6yZlS3FQWzzgGpdJyYBvJdrkdMPqx_bl527u5CA1U/edit?gid=1105689284#gid=1105689284"",""D1 vs D6!T24"")"),12.0)</f>
        <v>12</v>
      </c>
      <c r="K20" s="51">
        <f>IFERROR(__xludf.DUMMYFUNCTION("IMPORTRANGE(""https://docs.google.com/spreadsheets/d/1iErVLlc1_s37p2bIQGBV-ueQhrFErR8_rQgkEu4dw_A/edit?gid=1105689284#gid=1105689284"",""D2 vs D6!T24"")"),66.0)</f>
        <v>66</v>
      </c>
      <c r="L20" s="51">
        <f>IFERROR(__xludf.DUMMYFUNCTION("IMPORTRANGE(""https://docs.google.com/spreadsheets/d/1ZyVAgyLL_HCFyUsFR06BNJrd3d8klI6YuciQugxLR6o/edit?gid=1105689284#gid=1105689284"",""D3 vs D6!T24"")"),4.0)</f>
        <v>4</v>
      </c>
      <c r="M20" s="51">
        <f>IFERROR(__xludf.DUMMYFUNCTION("IMPORTRANGE(""https://docs.google.com/spreadsheets/d/13_UcftIhRFc8Wdh5sQ-JghNmvplAeKYrOfyqerMoP4E/edit?gid=2010738230#gid=2010738230"",""D4 vs D6!T24"")"),64.0)</f>
        <v>64</v>
      </c>
      <c r="N20" s="51">
        <f>IFERROR(__xludf.DUMMYFUNCTION("IMPORTRANGE(""https://docs.google.com/spreadsheets/d/1gvVcUWK0DrU9Prr-pNKoq3-2DQjDQ1i9v2BBpB5lu8o/edit?gid=1105689284#gid=1105689284"",""D5 vs D6!T24"")"),56.0)</f>
        <v>56</v>
      </c>
      <c r="O20" s="122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>
      <c r="A22" s="135" t="s">
        <v>261</v>
      </c>
      <c r="B22" s="12"/>
      <c r="C22" s="12"/>
      <c r="D22" s="12"/>
      <c r="E22" s="12"/>
      <c r="F22" s="12"/>
      <c r="G22" s="13"/>
      <c r="H22" s="7"/>
      <c r="I22" s="18" t="s">
        <v>288</v>
      </c>
      <c r="J22" s="4"/>
      <c r="K22" s="4"/>
      <c r="L22" s="4"/>
      <c r="M22" s="4"/>
      <c r="N22" s="4"/>
      <c r="O22" s="22"/>
    </row>
    <row r="23">
      <c r="A23" s="136">
        <f>SUM(B24:G29)</f>
        <v>2726</v>
      </c>
      <c r="B23" s="46" t="str">
        <f t="array" ref="B23">INDEX(A24,0)</f>
        <v>E1</v>
      </c>
      <c r="C23" s="46" t="str">
        <f t="array" ref="C23">INDEX(A25,0)</f>
        <v>E2</v>
      </c>
      <c r="D23" s="46" t="str">
        <f t="array" ref="D23">INDEX(A26,0)</f>
        <v>E3</v>
      </c>
      <c r="E23" s="46" t="str">
        <f t="array" ref="E23">INDEX(A27,0)</f>
        <v>E4</v>
      </c>
      <c r="F23" s="46" t="str">
        <f t="array" ref="F23">INDEX(A28,0)</f>
        <v>E5</v>
      </c>
      <c r="G23" s="52" t="str">
        <f t="array" ref="G23">INDEX(A29,0)</f>
        <v>E6</v>
      </c>
      <c r="H23" s="7"/>
      <c r="I23" s="137">
        <f>SUM(J24:O29)</f>
        <v>2878</v>
      </c>
      <c r="J23" s="46" t="str">
        <f t="array" ref="J23">INDEX(I24,0)</f>
        <v>F1</v>
      </c>
      <c r="K23" s="46" t="str">
        <f t="array" ref="K23">INDEX(I25,0)</f>
        <v>F2</v>
      </c>
      <c r="L23" s="46" t="str">
        <f t="array" ref="L23">INDEX(I26,0)</f>
        <v>F3</v>
      </c>
      <c r="M23" s="46" t="str">
        <f t="array" ref="M23">INDEX(I27,0)</f>
        <v>F4</v>
      </c>
      <c r="N23" s="46" t="str">
        <f t="array" ref="N23">INDEX(I28,0)</f>
        <v>F5</v>
      </c>
      <c r="O23" s="52" t="str">
        <f t="array" ref="O23">INDEX(I29,0)</f>
        <v>F6</v>
      </c>
    </row>
    <row r="24">
      <c r="A24" s="70" t="s">
        <v>102</v>
      </c>
      <c r="B24" s="60"/>
      <c r="C24" s="23">
        <f>IFERROR(__xludf.DUMMYFUNCTION("IMPORTRANGE(""https://docs.google.com/spreadsheets/d/13_UcftIhRFc8Wdh5sQ-JghNmvplAeKYrOfyqerMoP4E/edit?gid=2010738230#gid=2010738230"",""E1 vs E2!K24"")"),14.0)</f>
        <v>14</v>
      </c>
      <c r="D24" s="23">
        <f>IFERROR(__xludf.DUMMYFUNCTION("IMPORTRANGE(""https://docs.google.com/spreadsheets/d/1iErVLlc1_s37p2bIQGBV-ueQhrFErR8_rQgkEu4dw_A/edit?gid=1105689284#gid=1105689284"",""E1 vs E3!K24"")"),16.0)</f>
        <v>16</v>
      </c>
      <c r="E24" s="23">
        <f>IFERROR(__xludf.DUMMYFUNCTION("IMPORTRANGE(""https://docs.google.com/spreadsheets/d/1gvVcUWK0DrU9Prr-pNKoq3-2DQjDQ1i9v2BBpB5lu8o/edit?gid=1105689284#gid=1105689284"",""E1 vs E4!K24"")"),16.0)</f>
        <v>16</v>
      </c>
      <c r="F24" s="23">
        <f>IFERROR(__xludf.DUMMYFUNCTION("IMPORTRANGE(""https://docs.google.com/spreadsheets/d/1ZyVAgyLL_HCFyUsFR06BNJrd3d8klI6YuciQugxLR6o/edit?gid=1105689284#gid=1105689284"",""E1 vs E5!K24"")"),8.0)</f>
        <v>8</v>
      </c>
      <c r="G24" s="44">
        <f>IFERROR(__xludf.DUMMYFUNCTION("IMPORTRANGE(""https://docs.google.com/spreadsheets/d/1Iv6yZlS3FQWzzgGpdJyYBvJdrkdMPqx_bl527u5CA1U/edit?gid=1105689284#gid=1105689284"",""E1 vs E6!K24"")"),12.0)</f>
        <v>12</v>
      </c>
      <c r="H24" s="7"/>
      <c r="I24" s="70" t="s">
        <v>126</v>
      </c>
      <c r="J24" s="60"/>
      <c r="K24" s="23">
        <f>IFERROR(__xludf.DUMMYFUNCTION("IMPORTRANGE(""https://docs.google.com/spreadsheets/d/13_UcftIhRFc8Wdh5sQ-JghNmvplAeKYrOfyqerMoP4E/edit?gid=2010738230#gid=2010738230"",""F1 vs F2!K24"")"),90.0)</f>
        <v>90</v>
      </c>
      <c r="L24" s="23">
        <f>IFERROR(__xludf.DUMMYFUNCTION("IMPORTRANGE(""https://docs.google.com/spreadsheets/d/1iErVLlc1_s37p2bIQGBV-ueQhrFErR8_rQgkEu4dw_A/edit?gid=1105689284#gid=1105689284"",""F1 vs F3!K24"")"),70.0)</f>
        <v>70</v>
      </c>
      <c r="M24" s="23">
        <f>IFERROR(__xludf.DUMMYFUNCTION("IMPORTRANGE(""https://docs.google.com/spreadsheets/d/1gvVcUWK0DrU9Prr-pNKoq3-2DQjDQ1i9v2BBpB5lu8o/edit?gid=1105689284#gid=1105689284"",""F1 vs F4!K24"")"),64.0)</f>
        <v>64</v>
      </c>
      <c r="N24" s="23">
        <f>IFERROR(__xludf.DUMMYFUNCTION("IMPORTRANGE(""https://docs.google.com/spreadsheets/d/1ZyVAgyLL_HCFyUsFR06BNJrd3d8klI6YuciQugxLR6o/edit?gid=1105689284#gid=1105689284"",""F1 vs F5!K24"")"),50.0)</f>
        <v>50</v>
      </c>
      <c r="O24" s="44">
        <f>IFERROR(__xludf.DUMMYFUNCTION("IMPORTRANGE(""https://docs.google.com/spreadsheets/d/1Iv6yZlS3FQWzzgGpdJyYBvJdrkdMPqx_bl527u5CA1U/edit?gid=1105689284#gid=1105689284"",""F1 vs F6!K24"")"),28.0)</f>
        <v>28</v>
      </c>
    </row>
    <row r="25">
      <c r="A25" s="70" t="s">
        <v>105</v>
      </c>
      <c r="B25" s="79">
        <f>IFERROR(__xludf.DUMMYFUNCTION("IMPORTRANGE(""https://docs.google.com/spreadsheets/d/13_UcftIhRFc8Wdh5sQ-JghNmvplAeKYrOfyqerMoP4E/edit?gid=2010738230#gid=2010738230"",""E1 vs E2!T24"")"),246.0)</f>
        <v>246</v>
      </c>
      <c r="C25" s="60"/>
      <c r="D25" s="23">
        <f>IFERROR(__xludf.DUMMYFUNCTION("IMPORTRANGE(""https://docs.google.com/spreadsheets/d/1gvVcUWK0DrU9Prr-pNKoq3-2DQjDQ1i9v2BBpB5lu8o/edit?gid=1105689284#gid=1105689284"",""E2 vs E3!K24"")"),94.0)</f>
        <v>94</v>
      </c>
      <c r="E25" s="23">
        <f>IFERROR(__xludf.DUMMYFUNCTION("IMPORTRANGE(""https://docs.google.com/spreadsheets/d/1ZyVAgyLL_HCFyUsFR06BNJrd3d8klI6YuciQugxLR6o/edit?gid=1105689284#gid=1105689284"",""E2 vs E4!K24"")"),118.0)</f>
        <v>118</v>
      </c>
      <c r="F25" s="23">
        <f>IFERROR(__xludf.DUMMYFUNCTION("IMPORTRANGE(""https://docs.google.com/spreadsheets/d/1Iv6yZlS3FQWzzgGpdJyYBvJdrkdMPqx_bl527u5CA1U/edit?gid=1105689284#gid=1105689284"",""E2 vs E5!K24"")"),72.0)</f>
        <v>72</v>
      </c>
      <c r="G25" s="44">
        <f>IFERROR(__xludf.DUMMYFUNCTION("IMPORTRANGE(""https://docs.google.com/spreadsheets/d/1iErVLlc1_s37p2bIQGBV-ueQhrFErR8_rQgkEu4dw_A/edit?gid=1105689284#gid=1105689284"",""E2 vs E6!K24"")"),130.0)</f>
        <v>130</v>
      </c>
      <c r="H25" s="7"/>
      <c r="I25" s="70" t="s">
        <v>130</v>
      </c>
      <c r="J25" s="79">
        <f>IFERROR(__xludf.DUMMYFUNCTION("IMPORTRANGE(""https://docs.google.com/spreadsheets/d/13_UcftIhRFc8Wdh5sQ-JghNmvplAeKYrOfyqerMoP4E/edit?gid=2010738230#gid=2010738230"",""F1 vs F2!T24"")"),90.0)</f>
        <v>90</v>
      </c>
      <c r="K25" s="60"/>
      <c r="L25" s="23">
        <f>IFERROR(__xludf.DUMMYFUNCTION("IMPORTRANGE(""https://docs.google.com/spreadsheets/d/1gvVcUWK0DrU9Prr-pNKoq3-2DQjDQ1i9v2BBpB5lu8o/edit?gid=1105689284#gid=1105689284"",""F2 vs F3!K24"")"),58.0)</f>
        <v>58</v>
      </c>
      <c r="M25" s="23">
        <f>IFERROR(__xludf.DUMMYFUNCTION("IMPORTRANGE(""https://docs.google.com/spreadsheets/d/1ZyVAgyLL_HCFyUsFR06BNJrd3d8klI6YuciQugxLR6o/edit?gid=1105689284#gid=1105689284"",""F2 vs F4!K24"")"),46.0)</f>
        <v>46</v>
      </c>
      <c r="N25" s="23">
        <f>IFERROR(__xludf.DUMMYFUNCTION("IMPORTRANGE(""https://docs.google.com/spreadsheets/d/1Iv6yZlS3FQWzzgGpdJyYBvJdrkdMPqx_bl527u5CA1U/edit?gid=1105689284#gid=1105689284"",""F2 vs F5!K24"")"),66.0)</f>
        <v>66</v>
      </c>
      <c r="O25" s="44">
        <f>IFERROR(__xludf.DUMMYFUNCTION("IMPORTRANGE(""https://docs.google.com/spreadsheets/d/1iErVLlc1_s37p2bIQGBV-ueQhrFErR8_rQgkEu4dw_A/edit?gid=1105689284#gid=1105689284"",""F2 vs F6!K24"")"),94.0)</f>
        <v>94</v>
      </c>
    </row>
    <row r="26">
      <c r="A26" s="70" t="s">
        <v>109</v>
      </c>
      <c r="B26" s="23">
        <f>IFERROR(__xludf.DUMMYFUNCTION("IMPORTRANGE(""https://docs.google.com/spreadsheets/d/1iErVLlc1_s37p2bIQGBV-ueQhrFErR8_rQgkEu4dw_A/edit?gid=1105689284#gid=1105689284"",""E1 vs E3!T24"")"),162.0)</f>
        <v>162</v>
      </c>
      <c r="C26" s="23">
        <f>IFERROR(__xludf.DUMMYFUNCTION("IMPORTRANGE(""https://docs.google.com/spreadsheets/d/1gvVcUWK0DrU9Prr-pNKoq3-2DQjDQ1i9v2BBpB5lu8o/edit?gid=1105689284#gid=1105689284"",""E2 vs E3!T24"")"),90.0)</f>
        <v>90</v>
      </c>
      <c r="D26" s="60"/>
      <c r="E26" s="23">
        <f>IFERROR(__xludf.DUMMYFUNCTION("IMPORTRANGE(""https://docs.google.com/spreadsheets/d/1Iv6yZlS3FQWzzgGpdJyYBvJdrkdMPqx_bl527u5CA1U/edit?gid=1105689284#gid=1105689284"",""E3 vs E4!K24"")"),86.0)</f>
        <v>86</v>
      </c>
      <c r="F26" s="23">
        <f>IFERROR(__xludf.DUMMYFUNCTION("IMPORTRANGE(""https://docs.google.com/spreadsheets/d/13_UcftIhRFc8Wdh5sQ-JghNmvplAeKYrOfyqerMoP4E/edit?gid=2010738230#gid=2010738230"",""E3 vs E5!K24"")"),60.0)</f>
        <v>60</v>
      </c>
      <c r="G26" s="44">
        <f>IFERROR(__xludf.DUMMYFUNCTION("IMPORTRANGE(""https://docs.google.com/spreadsheets/d/1ZyVAgyLL_HCFyUsFR06BNJrd3d8klI6YuciQugxLR6o/edit?gid=1105689284#gid=1105689284"",""E3 vs E6!K24"")"),186.0)</f>
        <v>186</v>
      </c>
      <c r="H26" s="7"/>
      <c r="I26" s="70" t="s">
        <v>133</v>
      </c>
      <c r="J26" s="23">
        <f>IFERROR(__xludf.DUMMYFUNCTION("IMPORTRANGE(""https://docs.google.com/spreadsheets/d/1iErVLlc1_s37p2bIQGBV-ueQhrFErR8_rQgkEu4dw_A/edit?gid=1105689284#gid=1105689284"",""F1 vs F3!T24"")"),166.0)</f>
        <v>166</v>
      </c>
      <c r="K26" s="23">
        <f>IFERROR(__xludf.DUMMYFUNCTION("IMPORTRANGE(""https://docs.google.com/spreadsheets/d/1gvVcUWK0DrU9Prr-pNKoq3-2DQjDQ1i9v2BBpB5lu8o/edit?gid=1105689284#gid=1105689284"",""F2 vs F3!T24"")"),156.0)</f>
        <v>156</v>
      </c>
      <c r="L26" s="60"/>
      <c r="M26" s="23">
        <f>IFERROR(__xludf.DUMMYFUNCTION("IMPORTRANGE(""https://docs.google.com/spreadsheets/d/1Iv6yZlS3FQWzzgGpdJyYBvJdrkdMPqx_bl527u5CA1U/edit?gid=1105689284#gid=1105689284"",""F3 vs F4!K24"")"),124.0)</f>
        <v>124</v>
      </c>
      <c r="N26" s="23">
        <f>IFERROR(__xludf.DUMMYFUNCTION("IMPORTRANGE(""https://docs.google.com/spreadsheets/d/13_UcftIhRFc8Wdh5sQ-JghNmvplAeKYrOfyqerMoP4E/edit?gid=2010738230#gid=2010738230"",""F3 vs F5!K24"")"),166.0)</f>
        <v>166</v>
      </c>
      <c r="O26" s="44">
        <f>IFERROR(__xludf.DUMMYFUNCTION("IMPORTRANGE(""https://docs.google.com/spreadsheets/d/1ZyVAgyLL_HCFyUsFR06BNJrd3d8klI6YuciQugxLR6o/edit?gid=1105689284#gid=1105689284"",""F3 vs F6!K24"")"),138.0)</f>
        <v>138</v>
      </c>
    </row>
    <row r="27">
      <c r="A27" s="70" t="s">
        <v>116</v>
      </c>
      <c r="B27" s="23">
        <f>IFERROR(__xludf.DUMMYFUNCTION("IMPORTRANGE(""https://docs.google.com/spreadsheets/d/1gvVcUWK0DrU9Prr-pNKoq3-2DQjDQ1i9v2BBpB5lu8o/edit?gid=1105689284#gid=1105689284"",""E1 vs E4!T24"")"),78.0)</f>
        <v>78</v>
      </c>
      <c r="C27" s="23">
        <f>IFERROR(__xludf.DUMMYFUNCTION("IMPORTRANGE(""https://docs.google.com/spreadsheets/d/1ZyVAgyLL_HCFyUsFR06BNJrd3d8klI6YuciQugxLR6o/edit?gid=1105689284#gid=1105689284"",""E2 vs E4!T24"")"),76.0)</f>
        <v>76</v>
      </c>
      <c r="D27" s="23">
        <f>IFERROR(__xludf.DUMMYFUNCTION("IMPORTRANGE(""https://docs.google.com/spreadsheets/d/1Iv6yZlS3FQWzzgGpdJyYBvJdrkdMPqx_bl527u5CA1U/edit?gid=1105689284#gid=1105689284"",""E3 vs E4!T24"")"),72.0)</f>
        <v>72</v>
      </c>
      <c r="E27" s="60"/>
      <c r="F27" s="23">
        <f>IFERROR(__xludf.DUMMYFUNCTION("IMPORTRANGE(""https://docs.google.com/spreadsheets/d/1iErVLlc1_s37p2bIQGBV-ueQhrFErR8_rQgkEu4dw_A/edit?gid=1105689284#gid=1105689284"",""E4 vs E5!K24"")"),62.0)</f>
        <v>62</v>
      </c>
      <c r="G27" s="44">
        <f>IFERROR(__xludf.DUMMYFUNCTION("IMPORTRANGE(""https://docs.google.com/spreadsheets/d/13_UcftIhRFc8Wdh5sQ-JghNmvplAeKYrOfyqerMoP4E/edit?gid=2010738230#gid=2010738230"",""E4 vs E6!K24"")"),148.0)</f>
        <v>148</v>
      </c>
      <c r="H27" s="7"/>
      <c r="I27" s="70" t="s">
        <v>140</v>
      </c>
      <c r="J27" s="23">
        <f>IFERROR(__xludf.DUMMYFUNCTION("IMPORTRANGE(""https://docs.google.com/spreadsheets/d/1gvVcUWK0DrU9Prr-pNKoq3-2DQjDQ1i9v2BBpB5lu8o/edit?gid=1105689284#gid=1105689284"",""F1 vs F4!T24"")"),160.0)</f>
        <v>160</v>
      </c>
      <c r="K27" s="23">
        <f>IFERROR(__xludf.DUMMYFUNCTION("IMPORTRANGE(""https://docs.google.com/spreadsheets/d/1ZyVAgyLL_HCFyUsFR06BNJrd3d8klI6YuciQugxLR6o/edit?gid=1105689284#gid=1105689284"",""F2 vs F4!T24"")"),180.0)</f>
        <v>180</v>
      </c>
      <c r="L27" s="23">
        <f>IFERROR(__xludf.DUMMYFUNCTION("IMPORTRANGE(""https://docs.google.com/spreadsheets/d/1Iv6yZlS3FQWzzgGpdJyYBvJdrkdMPqx_bl527u5CA1U/edit?gid=1105689284#gid=1105689284"",""F3 vs F4!T24"")"),114.0)</f>
        <v>114</v>
      </c>
      <c r="M27" s="60"/>
      <c r="N27" s="23">
        <f>IFERROR(__xludf.DUMMYFUNCTION("IMPORTRANGE(""https://docs.google.com/spreadsheets/d/1iErVLlc1_s37p2bIQGBV-ueQhrFErR8_rQgkEu4dw_A/edit?gid=1105689284#gid=1105689284"",""F4 vs F5!K24"")"),174.0)</f>
        <v>174</v>
      </c>
      <c r="O27" s="44">
        <f>IFERROR(__xludf.DUMMYFUNCTION("IMPORTRANGE(""https://docs.google.com/spreadsheets/d/13_UcftIhRFc8Wdh5sQ-JghNmvplAeKYrOfyqerMoP4E/edit?gid=2010738230#gid=2010738230"",""F4 vs F6!K24"")"),220.0)</f>
        <v>220</v>
      </c>
    </row>
    <row r="28">
      <c r="A28" s="70" t="s">
        <v>120</v>
      </c>
      <c r="B28" s="23">
        <f>IFERROR(__xludf.DUMMYFUNCTION("IMPORTRANGE(""https://docs.google.com/spreadsheets/d/1ZyVAgyLL_HCFyUsFR06BNJrd3d8klI6YuciQugxLR6o/edit?gid=1105689284#gid=1105689284"",""E1 vs E5!T24"")"),126.0)</f>
        <v>126</v>
      </c>
      <c r="C28" s="23">
        <f>IFERROR(__xludf.DUMMYFUNCTION("IMPORTRANGE(""https://docs.google.com/spreadsheets/d/1Iv6yZlS3FQWzzgGpdJyYBvJdrkdMPqx_bl527u5CA1U/edit?gid=1105689284#gid=1105689284"",""E2 vs E5!T24"")"),106.0)</f>
        <v>106</v>
      </c>
      <c r="D28" s="23">
        <f>IFERROR(__xludf.DUMMYFUNCTION("IMPORTRANGE(""https://docs.google.com/spreadsheets/d/13_UcftIhRFc8Wdh5sQ-JghNmvplAeKYrOfyqerMoP4E/edit?gid=2010738230#gid=2010738230"",""E3 vs E5!T24"")"),190.0)</f>
        <v>190</v>
      </c>
      <c r="E28" s="23">
        <f>IFERROR(__xludf.DUMMYFUNCTION("IMPORTRANGE(""https://docs.google.com/spreadsheets/d/1iErVLlc1_s37p2bIQGBV-ueQhrFErR8_rQgkEu4dw_A/edit?gid=1105689284#gid=1105689284"",""E4 vs E5!T24"")"),152.0)</f>
        <v>152</v>
      </c>
      <c r="F28" s="60"/>
      <c r="G28" s="44">
        <f>IFERROR(__xludf.DUMMYFUNCTION("IMPORTRANGE(""https://docs.google.com/spreadsheets/d/1gvVcUWK0DrU9Prr-pNKoq3-2DQjDQ1i9v2BBpB5lu8o/edit?gid=1105689284#gid=1105689284"",""E5 vs E6!K24"")"),132.0)</f>
        <v>132</v>
      </c>
      <c r="H28" s="7"/>
      <c r="I28" s="70" t="s">
        <v>144</v>
      </c>
      <c r="J28" s="23">
        <f>IFERROR(__xludf.DUMMYFUNCTION("IMPORTRANGE(""https://docs.google.com/spreadsheets/d/1ZyVAgyLL_HCFyUsFR06BNJrd3d8klI6YuciQugxLR6o/edit?gid=1105689284#gid=1105689284"",""F1 vs F5!T24"")"),50.0)</f>
        <v>50</v>
      </c>
      <c r="K28" s="23">
        <f>IFERROR(__xludf.DUMMYFUNCTION("IMPORTRANGE(""https://docs.google.com/spreadsheets/d/1Iv6yZlS3FQWzzgGpdJyYBvJdrkdMPqx_bl527u5CA1U/edit?gid=1105689284#gid=1105689284"",""F2 vs F5!T24"")"),46.0)</f>
        <v>46</v>
      </c>
      <c r="L28" s="23">
        <f>IFERROR(__xludf.DUMMYFUNCTION("IMPORTRANGE(""https://docs.google.com/spreadsheets/d/13_UcftIhRFc8Wdh5sQ-JghNmvplAeKYrOfyqerMoP4E/edit?gid=2010738230#gid=2010738230"",""F3 vs F5!T24"")"),94.0)</f>
        <v>94</v>
      </c>
      <c r="M28" s="23">
        <f>IFERROR(__xludf.DUMMYFUNCTION("IMPORTRANGE(""https://docs.google.com/spreadsheets/d/1iErVLlc1_s37p2bIQGBV-ueQhrFErR8_rQgkEu4dw_A/edit?gid=1105689284#gid=1105689284"",""F4 vs F5!T24"")"),66.0)</f>
        <v>66</v>
      </c>
      <c r="N28" s="60"/>
      <c r="O28" s="44">
        <f>IFERROR(__xludf.DUMMYFUNCTION("IMPORTRANGE(""https://docs.google.com/spreadsheets/d/1gvVcUWK0DrU9Prr-pNKoq3-2DQjDQ1i9v2BBpB5lu8o/edit?gid=1105689284#gid=1105689284"",""F5 vs F6!K24"")"),38.0)</f>
        <v>38</v>
      </c>
    </row>
    <row r="29">
      <c r="A29" s="115" t="s">
        <v>123</v>
      </c>
      <c r="B29" s="51">
        <f>IFERROR(__xludf.DUMMYFUNCTION("IMPORTRANGE(""https://docs.google.com/spreadsheets/d/1Iv6yZlS3FQWzzgGpdJyYBvJdrkdMPqx_bl527u5CA1U/edit?gid=1105689284#gid=1105689284"",""E1 vs E6!T24"")"),44.0)</f>
        <v>44</v>
      </c>
      <c r="C29" s="51">
        <f>IFERROR(__xludf.DUMMYFUNCTION("IMPORTRANGE(""https://docs.google.com/spreadsheets/d/1iErVLlc1_s37p2bIQGBV-ueQhrFErR8_rQgkEu4dw_A/edit?gid=1105689284#gid=1105689284"",""E2 vs E6!T24"")"),76.0)</f>
        <v>76</v>
      </c>
      <c r="D29" s="51">
        <f>IFERROR(__xludf.DUMMYFUNCTION("IMPORTRANGE(""https://docs.google.com/spreadsheets/d/1ZyVAgyLL_HCFyUsFR06BNJrd3d8klI6YuciQugxLR6o/edit?gid=1105689284#gid=1105689284"",""E3 vs E6!T24"")"),42.0)</f>
        <v>42</v>
      </c>
      <c r="E29" s="51">
        <f>IFERROR(__xludf.DUMMYFUNCTION("IMPORTRANGE(""https://docs.google.com/spreadsheets/d/13_UcftIhRFc8Wdh5sQ-JghNmvplAeKYrOfyqerMoP4E/edit?gid=2010738230#gid=2010738230"",""E4 vs E6!T24"")"),72.0)</f>
        <v>72</v>
      </c>
      <c r="F29" s="51">
        <f>IFERROR(__xludf.DUMMYFUNCTION("IMPORTRANGE(""https://docs.google.com/spreadsheets/d/1gvVcUWK0DrU9Prr-pNKoq3-2DQjDQ1i9v2BBpB5lu8o/edit?gid=1105689284#gid=1105689284"",""E5 vs E6!T24"")"),40.0)</f>
        <v>40</v>
      </c>
      <c r="G29" s="122"/>
      <c r="H29" s="7"/>
      <c r="I29" s="115" t="s">
        <v>148</v>
      </c>
      <c r="J29" s="51">
        <f>IFERROR(__xludf.DUMMYFUNCTION("IMPORTRANGE(""https://docs.google.com/spreadsheets/d/1Iv6yZlS3FQWzzgGpdJyYBvJdrkdMPqx_bl527u5CA1U/edit?gid=1105689284#gid=1105689284"",""F1 vs F6!T24"")"),114.0)</f>
        <v>114</v>
      </c>
      <c r="K29" s="51">
        <f>IFERROR(__xludf.DUMMYFUNCTION("IMPORTRANGE(""https://docs.google.com/spreadsheets/d/1iErVLlc1_s37p2bIQGBV-ueQhrFErR8_rQgkEu4dw_A/edit?gid=1105689284#gid=1105689284"",""F2 vs F6!T24"")"),72.0)</f>
        <v>72</v>
      </c>
      <c r="L29" s="51">
        <f>IFERROR(__xludf.DUMMYFUNCTION("IMPORTRANGE(""https://docs.google.com/spreadsheets/d/1ZyVAgyLL_HCFyUsFR06BNJrd3d8klI6YuciQugxLR6o/edit?gid=1105689284#gid=1105689284"",""F3 vs F6!T24"")"),50.0)</f>
        <v>50</v>
      </c>
      <c r="M29" s="51">
        <f>IFERROR(__xludf.DUMMYFUNCTION("IMPORTRANGE(""https://docs.google.com/spreadsheets/d/13_UcftIhRFc8Wdh5sQ-JghNmvplAeKYrOfyqerMoP4E/edit?gid=2010738230#gid=2010738230"",""F4 vs F6!T24"")"),14.0)</f>
        <v>14</v>
      </c>
      <c r="N29" s="51">
        <f>IFERROR(__xludf.DUMMYFUNCTION("IMPORTRANGE(""https://docs.google.com/spreadsheets/d/1gvVcUWK0DrU9Prr-pNKoq3-2DQjDQ1i9v2BBpB5lu8o/edit?gid=1105689284#gid=1105689284"",""F5 vs F6!T24"")"),80.0)</f>
        <v>80</v>
      </c>
      <c r="O29" s="122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>
      <c r="A31" s="18" t="s">
        <v>313</v>
      </c>
      <c r="B31" s="4"/>
      <c r="C31" s="4"/>
      <c r="D31" s="4"/>
      <c r="E31" s="4"/>
      <c r="F31" s="4"/>
      <c r="G31" s="22"/>
      <c r="H31" s="7"/>
      <c r="I31" s="106"/>
      <c r="J31" s="106"/>
      <c r="K31" s="106"/>
      <c r="L31" s="106"/>
      <c r="M31" s="106"/>
      <c r="N31" s="106"/>
      <c r="O31" s="106"/>
    </row>
    <row r="32">
      <c r="A32" s="137">
        <f>SUM(B33:G38)</f>
        <v>2660</v>
      </c>
      <c r="B32" s="46" t="str">
        <f t="array" ref="B32">INDEX(A33,0)</f>
        <v>G1</v>
      </c>
      <c r="C32" s="46" t="str">
        <f t="array" ref="C32">INDEX(A34,0)</f>
        <v>G2</v>
      </c>
      <c r="D32" s="46" t="str">
        <f t="array" ref="D32">INDEX(A35,0)</f>
        <v>G3</v>
      </c>
      <c r="E32" s="46" t="str">
        <f t="array" ref="E32">INDEX(A36,0)</f>
        <v>G4</v>
      </c>
      <c r="F32" s="46" t="str">
        <f t="array" ref="F32">INDEX(A37,0)</f>
        <v>G5</v>
      </c>
      <c r="G32" s="52" t="str">
        <f t="array" ref="G32">INDEX(A38,0)</f>
        <v>G6</v>
      </c>
      <c r="H32" s="7"/>
      <c r="I32" s="106"/>
      <c r="J32" s="106"/>
      <c r="K32" s="106"/>
      <c r="L32" s="106"/>
      <c r="M32" s="106"/>
      <c r="N32" s="106"/>
      <c r="O32" s="106"/>
    </row>
    <row r="33">
      <c r="A33" s="70" t="s">
        <v>151</v>
      </c>
      <c r="B33" s="60"/>
      <c r="C33" s="23">
        <f>IFERROR(__xludf.DUMMYFUNCTION("IMPORTRANGE(""https://docs.google.com/spreadsheets/d/13_UcftIhRFc8Wdh5sQ-JghNmvplAeKYrOfyqerMoP4E/edit?gid=2010738230#gid=2010738230"",""G1 vs G2!K24"")"),130.0)</f>
        <v>130</v>
      </c>
      <c r="D33" s="23">
        <f>IFERROR(__xludf.DUMMYFUNCTION("IMPORTRANGE(""https://docs.google.com/spreadsheets/d/1iErVLlc1_s37p2bIQGBV-ueQhrFErR8_rQgkEu4dw_A/edit?gid=1105689284#gid=1105689284"",""G1 vs G3!K24"")"),146.0)</f>
        <v>146</v>
      </c>
      <c r="E33" s="23">
        <f>IFERROR(__xludf.DUMMYFUNCTION("IMPORTRANGE(""https://docs.google.com/spreadsheets/d/1gvVcUWK0DrU9Prr-pNKoq3-2DQjDQ1i9v2BBpB5lu8o/edit?gid=1105689284#gid=1105689284"",""G1 vs G4!K24"")"),60.0)</f>
        <v>60</v>
      </c>
      <c r="F33" s="23">
        <f>IFERROR(__xludf.DUMMYFUNCTION("IMPORTRANGE(""https://docs.google.com/spreadsheets/d/1ZyVAgyLL_HCFyUsFR06BNJrd3d8klI6YuciQugxLR6o/edit?gid=1105689284#gid=1105689284"",""G1 vs G5!K24"")"),36.0)</f>
        <v>36</v>
      </c>
      <c r="G33" s="44">
        <f>IFERROR(__xludf.DUMMYFUNCTION("IMPORTRANGE(""https://docs.google.com/spreadsheets/d/1Iv6yZlS3FQWzzgGpdJyYBvJdrkdMPqx_bl527u5CA1U/edit?gid=1105689284#gid=1105689284"",""G1 vs G6!K24"")"),100.0)</f>
        <v>100</v>
      </c>
      <c r="H33" s="7"/>
      <c r="I33" s="106"/>
      <c r="J33" s="106"/>
      <c r="K33" s="106"/>
      <c r="L33" s="106"/>
      <c r="M33" s="106"/>
      <c r="N33" s="106"/>
      <c r="O33" s="106"/>
    </row>
    <row r="34">
      <c r="A34" s="70" t="s">
        <v>154</v>
      </c>
      <c r="B34" s="79">
        <f>IFERROR(__xludf.DUMMYFUNCTION("IMPORTRANGE(""https://docs.google.com/spreadsheets/d/13_UcftIhRFc8Wdh5sQ-JghNmvplAeKYrOfyqerMoP4E/edit?gid=2010738230#gid=2010738230"",""G1 vs G2!T24"")"),138.0)</f>
        <v>138</v>
      </c>
      <c r="C34" s="60"/>
      <c r="D34" s="23">
        <f>IFERROR(__xludf.DUMMYFUNCTION("IMPORTRANGE(""https://docs.google.com/spreadsheets/d/1gvVcUWK0DrU9Prr-pNKoq3-2DQjDQ1i9v2BBpB5lu8o/edit?gid=1105689284#gid=1105689284"",""G2 vs G3!K24"")"),170.0)</f>
        <v>170</v>
      </c>
      <c r="E34" s="23">
        <f>IFERROR(__xludf.DUMMYFUNCTION("IMPORTRANGE(""https://docs.google.com/spreadsheets/d/1ZyVAgyLL_HCFyUsFR06BNJrd3d8klI6YuciQugxLR6o/edit?gid=1105689284#gid=1105689284"",""G2 vs G4!K24"")"),194.0)</f>
        <v>194</v>
      </c>
      <c r="F34" s="23">
        <f>IFERROR(__xludf.DUMMYFUNCTION("IMPORTRANGE(""https://docs.google.com/spreadsheets/d/1Iv6yZlS3FQWzzgGpdJyYBvJdrkdMPqx_bl527u5CA1U/edit?gid=1105689284#gid=1105689284"",""G2 vs G5!K24"")"),122.0)</f>
        <v>122</v>
      </c>
      <c r="G34" s="44">
        <f>IFERROR(__xludf.DUMMYFUNCTION("IMPORTRANGE(""https://docs.google.com/spreadsheets/d/1iErVLlc1_s37p2bIQGBV-ueQhrFErR8_rQgkEu4dw_A/edit?gid=1105689284#gid=1105689284"",""G2 vs G6!K24"")"),122.0)</f>
        <v>122</v>
      </c>
      <c r="H34" s="7"/>
      <c r="I34" s="106"/>
      <c r="J34" s="106"/>
      <c r="K34" s="106"/>
      <c r="L34" s="106"/>
      <c r="M34" s="106"/>
      <c r="N34" s="106"/>
      <c r="O34" s="106"/>
    </row>
    <row r="35">
      <c r="A35" s="70" t="s">
        <v>158</v>
      </c>
      <c r="B35" s="23">
        <f>IFERROR(__xludf.DUMMYFUNCTION("IMPORTRANGE(""https://docs.google.com/spreadsheets/d/1iErVLlc1_s37p2bIQGBV-ueQhrFErR8_rQgkEu4dw_A/edit?gid=1105689284#gid=1105689284"",""G1 vs G3!T24"")"),24.0)</f>
        <v>24</v>
      </c>
      <c r="C35" s="23">
        <f>IFERROR(__xludf.DUMMYFUNCTION("IMPORTRANGE(""https://docs.google.com/spreadsheets/d/1gvVcUWK0DrU9Prr-pNKoq3-2DQjDQ1i9v2BBpB5lu8o/edit?gid=1105689284#gid=1105689284"",""G2 vs G3!T24"")"),26.0)</f>
        <v>26</v>
      </c>
      <c r="D35" s="60"/>
      <c r="E35" s="23">
        <f>IFERROR(__xludf.DUMMYFUNCTION("IMPORTRANGE(""https://docs.google.com/spreadsheets/d/1Iv6yZlS3FQWzzgGpdJyYBvJdrkdMPqx_bl527u5CA1U/edit?gid=1105689284#gid=1105689284"",""G3 vs G4!K24"")"),48.0)</f>
        <v>48</v>
      </c>
      <c r="F35" s="23">
        <f>IFERROR(__xludf.DUMMYFUNCTION("IMPORTRANGE(""https://docs.google.com/spreadsheets/d/13_UcftIhRFc8Wdh5sQ-JghNmvplAeKYrOfyqerMoP4E/edit?gid=2010738230#gid=2010738230"",""G3 vs G5!K24"")"),36.0)</f>
        <v>36</v>
      </c>
      <c r="G35" s="44">
        <f>IFERROR(__xludf.DUMMYFUNCTION("IMPORTRANGE(""https://docs.google.com/spreadsheets/d/1ZyVAgyLL_HCFyUsFR06BNJrd3d8klI6YuciQugxLR6o/edit?gid=1105689284#gid=1105689284"",""G3 vs G6!K24"")"),18.0)</f>
        <v>18</v>
      </c>
      <c r="H35" s="7"/>
      <c r="I35" s="106"/>
      <c r="J35" s="106"/>
      <c r="K35" s="106"/>
      <c r="L35" s="106"/>
      <c r="M35" s="106"/>
      <c r="N35" s="106"/>
      <c r="O35" s="106"/>
    </row>
    <row r="36">
      <c r="A36" s="70" t="s">
        <v>161</v>
      </c>
      <c r="B36" s="23">
        <f>IFERROR(__xludf.DUMMYFUNCTION("IMPORTRANGE(""https://docs.google.com/spreadsheets/d/1gvVcUWK0DrU9Prr-pNKoq3-2DQjDQ1i9v2BBpB5lu8o/edit?gid=1105689284#gid=1105689284"",""G1 vs G4!T24"")"),80.0)</f>
        <v>80</v>
      </c>
      <c r="C36" s="23">
        <f>IFERROR(__xludf.DUMMYFUNCTION("IMPORTRANGE(""https://docs.google.com/spreadsheets/d/1ZyVAgyLL_HCFyUsFR06BNJrd3d8klI6YuciQugxLR6o/edit?gid=1105689284#gid=1105689284"",""G2 vs G4!T24"")"),46.0)</f>
        <v>46</v>
      </c>
      <c r="D36" s="23">
        <f>IFERROR(__xludf.DUMMYFUNCTION("IMPORTRANGE(""https://docs.google.com/spreadsheets/d/1Iv6yZlS3FQWzzgGpdJyYBvJdrkdMPqx_bl527u5CA1U/edit?gid=1105689284#gid=1105689284"",""G3 vs G4!T24"")"),72.0)</f>
        <v>72</v>
      </c>
      <c r="E36" s="60"/>
      <c r="F36" s="23">
        <f>IFERROR(__xludf.DUMMYFUNCTION("IMPORTRANGE(""https://docs.google.com/spreadsheets/d/1iErVLlc1_s37p2bIQGBV-ueQhrFErR8_rQgkEu4dw_A/edit?gid=1105689284#gid=1105689284"",""G4 vs G5!K24"")"),76.0)</f>
        <v>76</v>
      </c>
      <c r="G36" s="44">
        <f>IFERROR(__xludf.DUMMYFUNCTION("IMPORTRANGE(""https://docs.google.com/spreadsheets/d/13_UcftIhRFc8Wdh5sQ-JghNmvplAeKYrOfyqerMoP4E/edit?gid=2010738230#gid=2010738230"",""G4 vs G6!K24"")"),88.0)</f>
        <v>88</v>
      </c>
      <c r="H36" s="7"/>
      <c r="I36" s="106"/>
      <c r="J36" s="106"/>
      <c r="K36" s="106"/>
      <c r="L36" s="106"/>
      <c r="M36" s="106"/>
      <c r="N36" s="106"/>
      <c r="O36" s="106"/>
    </row>
    <row r="37">
      <c r="A37" s="70" t="s">
        <v>165</v>
      </c>
      <c r="B37" s="23">
        <f>IFERROR(__xludf.DUMMYFUNCTION("IMPORTRANGE(""https://docs.google.com/spreadsheets/d/1ZyVAgyLL_HCFyUsFR06BNJrd3d8klI6YuciQugxLR6o/edit?gid=1105689284#gid=1105689284"",""G1 vs G5!T24"")"),138.0)</f>
        <v>138</v>
      </c>
      <c r="C37" s="23">
        <f>IFERROR(__xludf.DUMMYFUNCTION("IMPORTRANGE(""https://docs.google.com/spreadsheets/d/1Iv6yZlS3FQWzzgGpdJyYBvJdrkdMPqx_bl527u5CA1U/edit?gid=1105689284#gid=1105689284"",""G2 vs G5!T24"")"),64.0)</f>
        <v>64</v>
      </c>
      <c r="D37" s="23">
        <f>IFERROR(__xludf.DUMMYFUNCTION("IMPORTRANGE(""https://docs.google.com/spreadsheets/d/13_UcftIhRFc8Wdh5sQ-JghNmvplAeKYrOfyqerMoP4E/edit?gid=2010738230#gid=2010738230"",""G3 vs G5!T24"")"),140.0)</f>
        <v>140</v>
      </c>
      <c r="E37" s="23">
        <f>IFERROR(__xludf.DUMMYFUNCTION("IMPORTRANGE(""https://docs.google.com/spreadsheets/d/1iErVLlc1_s37p2bIQGBV-ueQhrFErR8_rQgkEu4dw_A/edit?gid=1105689284#gid=1105689284"",""G4 vs G5!T24"")"),126.0)</f>
        <v>126</v>
      </c>
      <c r="F37" s="60"/>
      <c r="G37" s="44">
        <f>IFERROR(__xludf.DUMMYFUNCTION("IMPORTRANGE(""https://docs.google.com/spreadsheets/d/1gvVcUWK0DrU9Prr-pNKoq3-2DQjDQ1i9v2BBpB5lu8o/edit?gid=1105689284#gid=1105689284"",""G5 vs G6!K24"")"),76.0)</f>
        <v>76</v>
      </c>
      <c r="H37" s="7"/>
      <c r="I37" s="106"/>
      <c r="J37" s="106"/>
      <c r="K37" s="106"/>
      <c r="L37" s="106"/>
      <c r="M37" s="106"/>
      <c r="N37" s="106"/>
      <c r="O37" s="106"/>
    </row>
    <row r="38">
      <c r="A38" s="115" t="s">
        <v>168</v>
      </c>
      <c r="B38" s="51">
        <f>IFERROR(__xludf.DUMMYFUNCTION("IMPORTRANGE(""https://docs.google.com/spreadsheets/d/1Iv6yZlS3FQWzzgGpdJyYBvJdrkdMPqx_bl527u5CA1U/edit?gid=1105689284#gid=1105689284"",""G1 vs G6!T24"")"),58.0)</f>
        <v>58</v>
      </c>
      <c r="C38" s="51">
        <f>IFERROR(__xludf.DUMMYFUNCTION("IMPORTRANGE(""https://docs.google.com/spreadsheets/d/1iErVLlc1_s37p2bIQGBV-ueQhrFErR8_rQgkEu4dw_A/edit?gid=1105689284#gid=1105689284"",""G2 vs G6!T24"")"),60.0)</f>
        <v>60</v>
      </c>
      <c r="D38" s="51">
        <f>IFERROR(__xludf.DUMMYFUNCTION("IMPORTRANGE(""https://docs.google.com/spreadsheets/d/1ZyVAgyLL_HCFyUsFR06BNJrd3d8klI6YuciQugxLR6o/edit?gid=1105689284#gid=1105689284"",""G3 vs G6!T24"")"),102.0)</f>
        <v>102</v>
      </c>
      <c r="E38" s="51">
        <f>IFERROR(__xludf.DUMMYFUNCTION("IMPORTRANGE(""https://docs.google.com/spreadsheets/d/13_UcftIhRFc8Wdh5sQ-JghNmvplAeKYrOfyqerMoP4E/edit?gid=2010738230#gid=2010738230"",""G4 vs G6!T24"")"),92.0)</f>
        <v>92</v>
      </c>
      <c r="F38" s="51">
        <f>IFERROR(__xludf.DUMMYFUNCTION("IMPORTRANGE(""https://docs.google.com/spreadsheets/d/1gvVcUWK0DrU9Prr-pNKoq3-2DQjDQ1i9v2BBpB5lu8o/edit?gid=1105689284#gid=1105689284"",""G5 vs G6!T24"")"),72.0)</f>
        <v>72</v>
      </c>
      <c r="G38" s="122"/>
      <c r="H38" s="7"/>
      <c r="I38" s="106"/>
      <c r="J38" s="106"/>
      <c r="K38" s="106"/>
      <c r="L38" s="106"/>
      <c r="M38" s="106"/>
      <c r="N38" s="106"/>
      <c r="O38" s="106"/>
    </row>
  </sheetData>
  <mergeCells count="13">
    <mergeCell ref="A4:G4"/>
    <mergeCell ref="A13:G13"/>
    <mergeCell ref="I13:O13"/>
    <mergeCell ref="A22:G22"/>
    <mergeCell ref="I22:O22"/>
    <mergeCell ref="A31:G31"/>
    <mergeCell ref="A1:O1"/>
    <mergeCell ref="A2:C2"/>
    <mergeCell ref="D2:F2"/>
    <mergeCell ref="G2:I2"/>
    <mergeCell ref="J2:L2"/>
    <mergeCell ref="M2:O2"/>
    <mergeCell ref="I4:O4"/>
  </mergeCells>
  <conditionalFormatting sqref="B7">
    <cfRule type="cellIs" dxfId="0" priority="1" operator="greaterThan">
      <formula>C6</formula>
    </cfRule>
  </conditionalFormatting>
  <conditionalFormatting sqref="B7">
    <cfRule type="cellIs" dxfId="1" priority="2" operator="equal">
      <formula>C6</formula>
    </cfRule>
  </conditionalFormatting>
  <conditionalFormatting sqref="D6">
    <cfRule type="cellIs" dxfId="0" priority="3" operator="greaterThan">
      <formula>B8</formula>
    </cfRule>
  </conditionalFormatting>
  <conditionalFormatting sqref="C6">
    <cfRule type="cellIs" dxfId="0" priority="4" operator="greaterThan">
      <formula>B7</formula>
    </cfRule>
  </conditionalFormatting>
  <conditionalFormatting sqref="C6">
    <cfRule type="cellIs" dxfId="1" priority="5" operator="equal">
      <formula>B7</formula>
    </cfRule>
  </conditionalFormatting>
  <conditionalFormatting sqref="D6">
    <cfRule type="cellIs" dxfId="1" priority="6" operator="equal">
      <formula>B8</formula>
    </cfRule>
  </conditionalFormatting>
  <conditionalFormatting sqref="E6">
    <cfRule type="cellIs" dxfId="1" priority="7" operator="equal">
      <formula>B9</formula>
    </cfRule>
  </conditionalFormatting>
  <conditionalFormatting sqref="F6">
    <cfRule type="cellIs" dxfId="1" priority="8" operator="equal">
      <formula>B10</formula>
    </cfRule>
  </conditionalFormatting>
  <conditionalFormatting sqref="G6">
    <cfRule type="cellIs" dxfId="1" priority="9" operator="equal">
      <formula>B11</formula>
    </cfRule>
  </conditionalFormatting>
  <conditionalFormatting sqref="D7">
    <cfRule type="cellIs" dxfId="1" priority="10" operator="equal">
      <formula>C8</formula>
    </cfRule>
  </conditionalFormatting>
  <conditionalFormatting sqref="E7">
    <cfRule type="cellIs" dxfId="1" priority="11" operator="equal">
      <formula>C9</formula>
    </cfRule>
  </conditionalFormatting>
  <conditionalFormatting sqref="F7">
    <cfRule type="cellIs" dxfId="1" priority="12" operator="equal">
      <formula>C10</formula>
    </cfRule>
  </conditionalFormatting>
  <conditionalFormatting sqref="G7">
    <cfRule type="cellIs" dxfId="1" priority="13" operator="equal">
      <formula>C11</formula>
    </cfRule>
  </conditionalFormatting>
  <conditionalFormatting sqref="B8">
    <cfRule type="cellIs" dxfId="1" priority="14" operator="equal">
      <formula>D6</formula>
    </cfRule>
  </conditionalFormatting>
  <conditionalFormatting sqref="C8">
    <cfRule type="cellIs" dxfId="1" priority="15" operator="equal">
      <formula>D7</formula>
    </cfRule>
  </conditionalFormatting>
  <conditionalFormatting sqref="E8">
    <cfRule type="cellIs" dxfId="1" priority="16" operator="equal">
      <formula>D9</formula>
    </cfRule>
  </conditionalFormatting>
  <conditionalFormatting sqref="F8">
    <cfRule type="cellIs" dxfId="2" priority="17" operator="equal">
      <formula>D10</formula>
    </cfRule>
  </conditionalFormatting>
  <conditionalFormatting sqref="G8">
    <cfRule type="cellIs" dxfId="1" priority="18" operator="equal">
      <formula>D11</formula>
    </cfRule>
  </conditionalFormatting>
  <conditionalFormatting sqref="B9">
    <cfRule type="cellIs" dxfId="1" priority="19" operator="equal">
      <formula>E6</formula>
    </cfRule>
  </conditionalFormatting>
  <conditionalFormatting sqref="C9">
    <cfRule type="cellIs" dxfId="1" priority="20" operator="equal">
      <formula>E7</formula>
    </cfRule>
  </conditionalFormatting>
  <conditionalFormatting sqref="D9">
    <cfRule type="cellIs" dxfId="1" priority="21" operator="equal">
      <formula>E8</formula>
    </cfRule>
  </conditionalFormatting>
  <conditionalFormatting sqref="F9">
    <cfRule type="cellIs" dxfId="1" priority="22" operator="equal">
      <formula>E10</formula>
    </cfRule>
  </conditionalFormatting>
  <conditionalFormatting sqref="G9">
    <cfRule type="cellIs" dxfId="1" priority="23" operator="equal">
      <formula>E11</formula>
    </cfRule>
  </conditionalFormatting>
  <conditionalFormatting sqref="B10">
    <cfRule type="cellIs" dxfId="1" priority="24" operator="equal">
      <formula>F6</formula>
    </cfRule>
  </conditionalFormatting>
  <conditionalFormatting sqref="C10">
    <cfRule type="cellIs" dxfId="1" priority="25" operator="equal">
      <formula>F7</formula>
    </cfRule>
  </conditionalFormatting>
  <conditionalFormatting sqref="D10">
    <cfRule type="cellIs" dxfId="1" priority="26" operator="equal">
      <formula>F8</formula>
    </cfRule>
  </conditionalFormatting>
  <conditionalFormatting sqref="E10">
    <cfRule type="cellIs" dxfId="1" priority="27" operator="equal">
      <formula>F9</formula>
    </cfRule>
  </conditionalFormatting>
  <conditionalFormatting sqref="G10">
    <cfRule type="cellIs" dxfId="1" priority="28" operator="equal">
      <formula>F11</formula>
    </cfRule>
  </conditionalFormatting>
  <conditionalFormatting sqref="B11">
    <cfRule type="cellIs" dxfId="1" priority="29" operator="equal">
      <formula>G6</formula>
    </cfRule>
  </conditionalFormatting>
  <conditionalFormatting sqref="C11">
    <cfRule type="cellIs" dxfId="1" priority="30" operator="equal">
      <formula>G7</formula>
    </cfRule>
  </conditionalFormatting>
  <conditionalFormatting sqref="D11">
    <cfRule type="cellIs" dxfId="1" priority="31" operator="equal">
      <formula>G8</formula>
    </cfRule>
  </conditionalFormatting>
  <conditionalFormatting sqref="E11">
    <cfRule type="cellIs" dxfId="1" priority="32" operator="equal">
      <formula>G9</formula>
    </cfRule>
  </conditionalFormatting>
  <conditionalFormatting sqref="F11">
    <cfRule type="cellIs" dxfId="1" priority="33" operator="equal">
      <formula>G10</formula>
    </cfRule>
  </conditionalFormatting>
  <conditionalFormatting sqref="K6">
    <cfRule type="cellIs" dxfId="1" priority="34" operator="equal">
      <formula>J7</formula>
    </cfRule>
  </conditionalFormatting>
  <conditionalFormatting sqref="L6">
    <cfRule type="cellIs" dxfId="1" priority="35" operator="equal">
      <formula>J8</formula>
    </cfRule>
  </conditionalFormatting>
  <conditionalFormatting sqref="M6">
    <cfRule type="cellIs" dxfId="1" priority="36" operator="equal">
      <formula>J9</formula>
    </cfRule>
  </conditionalFormatting>
  <conditionalFormatting sqref="N6">
    <cfRule type="cellIs" dxfId="1" priority="37" operator="equal">
      <formula>J10</formula>
    </cfRule>
  </conditionalFormatting>
  <conditionalFormatting sqref="O6">
    <cfRule type="cellIs" dxfId="1" priority="38" operator="equal">
      <formula>J11</formula>
    </cfRule>
  </conditionalFormatting>
  <conditionalFormatting sqref="J7">
    <cfRule type="cellIs" dxfId="1" priority="39" operator="equal">
      <formula>K6</formula>
    </cfRule>
  </conditionalFormatting>
  <conditionalFormatting sqref="L7">
    <cfRule type="cellIs" dxfId="1" priority="40" operator="equal">
      <formula>K8</formula>
    </cfRule>
  </conditionalFormatting>
  <conditionalFormatting sqref="M7">
    <cfRule type="cellIs" dxfId="1" priority="41" operator="equal">
      <formula>K9</formula>
    </cfRule>
  </conditionalFormatting>
  <conditionalFormatting sqref="N7">
    <cfRule type="cellIs" dxfId="1" priority="42" operator="equal">
      <formula>K10</formula>
    </cfRule>
  </conditionalFormatting>
  <conditionalFormatting sqref="O7">
    <cfRule type="cellIs" dxfId="1" priority="43" operator="equal">
      <formula>K11</formula>
    </cfRule>
  </conditionalFormatting>
  <conditionalFormatting sqref="J8">
    <cfRule type="cellIs" dxfId="1" priority="44" operator="equal">
      <formula>L6</formula>
    </cfRule>
  </conditionalFormatting>
  <conditionalFormatting sqref="K8">
    <cfRule type="cellIs" dxfId="1" priority="45" operator="equal">
      <formula>L7</formula>
    </cfRule>
  </conditionalFormatting>
  <conditionalFormatting sqref="M8">
    <cfRule type="cellIs" dxfId="1" priority="46" operator="equal">
      <formula>L9</formula>
    </cfRule>
  </conditionalFormatting>
  <conditionalFormatting sqref="N8">
    <cfRule type="cellIs" dxfId="1" priority="47" operator="equal">
      <formula>L10</formula>
    </cfRule>
  </conditionalFormatting>
  <conditionalFormatting sqref="O8">
    <cfRule type="cellIs" dxfId="1" priority="48" operator="equal">
      <formula>L11</formula>
    </cfRule>
  </conditionalFormatting>
  <conditionalFormatting sqref="J9">
    <cfRule type="cellIs" dxfId="1" priority="49" operator="equal">
      <formula>M6</formula>
    </cfRule>
  </conditionalFormatting>
  <conditionalFormatting sqref="K9">
    <cfRule type="cellIs" dxfId="1" priority="50" operator="equal">
      <formula>M7</formula>
    </cfRule>
  </conditionalFormatting>
  <conditionalFormatting sqref="L9">
    <cfRule type="cellIs" dxfId="1" priority="51" operator="equal">
      <formula>M8</formula>
    </cfRule>
  </conditionalFormatting>
  <conditionalFormatting sqref="N9">
    <cfRule type="cellIs" dxfId="1" priority="52" operator="equal">
      <formula>M10</formula>
    </cfRule>
  </conditionalFormatting>
  <conditionalFormatting sqref="O9">
    <cfRule type="cellIs" dxfId="1" priority="53" operator="equal">
      <formula>M11</formula>
    </cfRule>
  </conditionalFormatting>
  <conditionalFormatting sqref="J10">
    <cfRule type="cellIs" dxfId="1" priority="54" operator="equal">
      <formula>N6</formula>
    </cfRule>
  </conditionalFormatting>
  <conditionalFormatting sqref="K10">
    <cfRule type="cellIs" dxfId="1" priority="55" operator="equal">
      <formula>N7</formula>
    </cfRule>
  </conditionalFormatting>
  <conditionalFormatting sqref="L10">
    <cfRule type="cellIs" dxfId="1" priority="56" operator="equal">
      <formula>N8</formula>
    </cfRule>
  </conditionalFormatting>
  <conditionalFormatting sqref="M10">
    <cfRule type="cellIs" dxfId="1" priority="57" operator="equal">
      <formula>N9</formula>
    </cfRule>
  </conditionalFormatting>
  <conditionalFormatting sqref="O10">
    <cfRule type="cellIs" dxfId="1" priority="58" operator="equal">
      <formula>N11</formula>
    </cfRule>
  </conditionalFormatting>
  <conditionalFormatting sqref="J11">
    <cfRule type="cellIs" dxfId="1" priority="59" operator="equal">
      <formula>O6</formula>
    </cfRule>
  </conditionalFormatting>
  <conditionalFormatting sqref="K11">
    <cfRule type="cellIs" dxfId="1" priority="60" operator="equal">
      <formula>O7</formula>
    </cfRule>
  </conditionalFormatting>
  <conditionalFormatting sqref="L11">
    <cfRule type="cellIs" dxfId="1" priority="61" operator="equal">
      <formula>O8</formula>
    </cfRule>
  </conditionalFormatting>
  <conditionalFormatting sqref="M11">
    <cfRule type="cellIs" dxfId="1" priority="62" operator="equal">
      <formula>O9</formula>
    </cfRule>
  </conditionalFormatting>
  <conditionalFormatting sqref="N11">
    <cfRule type="cellIs" dxfId="1" priority="63" operator="equal">
      <formula>O10</formula>
    </cfRule>
  </conditionalFormatting>
  <conditionalFormatting sqref="E6">
    <cfRule type="cellIs" dxfId="0" priority="64" operator="greaterThan">
      <formula>B9</formula>
    </cfRule>
  </conditionalFormatting>
  <conditionalFormatting sqref="F6">
    <cfRule type="cellIs" dxfId="0" priority="65" operator="greaterThan">
      <formula>B10</formula>
    </cfRule>
  </conditionalFormatting>
  <conditionalFormatting sqref="G6">
    <cfRule type="cellIs" dxfId="0" priority="66" operator="greaterThan">
      <formula>B11</formula>
    </cfRule>
  </conditionalFormatting>
  <conditionalFormatting sqref="D7">
    <cfRule type="cellIs" dxfId="0" priority="67" operator="greaterThan">
      <formula>C8</formula>
    </cfRule>
  </conditionalFormatting>
  <conditionalFormatting sqref="E7">
    <cfRule type="cellIs" dxfId="0" priority="68" operator="greaterThan">
      <formula>C9</formula>
    </cfRule>
  </conditionalFormatting>
  <conditionalFormatting sqref="F7">
    <cfRule type="cellIs" dxfId="0" priority="69" operator="greaterThan">
      <formula>C10</formula>
    </cfRule>
  </conditionalFormatting>
  <conditionalFormatting sqref="G7">
    <cfRule type="cellIs" dxfId="0" priority="70" operator="greaterThan">
      <formula>C11</formula>
    </cfRule>
  </conditionalFormatting>
  <conditionalFormatting sqref="B8">
    <cfRule type="cellIs" dxfId="0" priority="71" operator="greaterThan">
      <formula>D6</formula>
    </cfRule>
  </conditionalFormatting>
  <conditionalFormatting sqref="C8">
    <cfRule type="cellIs" dxfId="0" priority="72" operator="greaterThan">
      <formula>D7</formula>
    </cfRule>
  </conditionalFormatting>
  <conditionalFormatting sqref="E8">
    <cfRule type="cellIs" dxfId="0" priority="73" operator="greaterThan">
      <formula>D9</formula>
    </cfRule>
  </conditionalFormatting>
  <conditionalFormatting sqref="F8">
    <cfRule type="cellIs" dxfId="0" priority="74" operator="greaterThan">
      <formula>D10</formula>
    </cfRule>
  </conditionalFormatting>
  <conditionalFormatting sqref="G8">
    <cfRule type="cellIs" dxfId="0" priority="75" operator="greaterThan">
      <formula>D11</formula>
    </cfRule>
  </conditionalFormatting>
  <conditionalFormatting sqref="B9">
    <cfRule type="cellIs" dxfId="0" priority="76" operator="greaterThan">
      <formula>E6</formula>
    </cfRule>
  </conditionalFormatting>
  <conditionalFormatting sqref="C9">
    <cfRule type="cellIs" dxfId="0" priority="77" operator="greaterThan">
      <formula>E7</formula>
    </cfRule>
  </conditionalFormatting>
  <conditionalFormatting sqref="D9">
    <cfRule type="cellIs" dxfId="0" priority="78" operator="greaterThan">
      <formula>E8</formula>
    </cfRule>
  </conditionalFormatting>
  <conditionalFormatting sqref="F9">
    <cfRule type="cellIs" dxfId="0" priority="79" operator="greaterThan">
      <formula>E10</formula>
    </cfRule>
  </conditionalFormatting>
  <conditionalFormatting sqref="G9">
    <cfRule type="cellIs" dxfId="0" priority="80" operator="greaterThan">
      <formula>E11</formula>
    </cfRule>
  </conditionalFormatting>
  <conditionalFormatting sqref="B10">
    <cfRule type="cellIs" dxfId="0" priority="81" operator="greaterThan">
      <formula>F6</formula>
    </cfRule>
  </conditionalFormatting>
  <conditionalFormatting sqref="C10">
    <cfRule type="cellIs" dxfId="0" priority="82" operator="greaterThan">
      <formula>F7</formula>
    </cfRule>
  </conditionalFormatting>
  <conditionalFormatting sqref="D10">
    <cfRule type="cellIs" dxfId="0" priority="83" operator="greaterThan">
      <formula>F8</formula>
    </cfRule>
  </conditionalFormatting>
  <conditionalFormatting sqref="E10">
    <cfRule type="cellIs" dxfId="0" priority="84" operator="greaterThan">
      <formula>F9</formula>
    </cfRule>
  </conditionalFormatting>
  <conditionalFormatting sqref="G10">
    <cfRule type="cellIs" dxfId="0" priority="85" operator="greaterThan">
      <formula>F11</formula>
    </cfRule>
  </conditionalFormatting>
  <conditionalFormatting sqref="B11">
    <cfRule type="cellIs" dxfId="0" priority="86" operator="greaterThan">
      <formula>G6</formula>
    </cfRule>
  </conditionalFormatting>
  <conditionalFormatting sqref="C11">
    <cfRule type="cellIs" dxfId="0" priority="87" operator="greaterThan">
      <formula>G7</formula>
    </cfRule>
  </conditionalFormatting>
  <conditionalFormatting sqref="D11">
    <cfRule type="cellIs" dxfId="0" priority="88" operator="greaterThan">
      <formula>G8</formula>
    </cfRule>
  </conditionalFormatting>
  <conditionalFormatting sqref="E11">
    <cfRule type="cellIs" dxfId="0" priority="89" operator="greaterThan">
      <formula>G9</formula>
    </cfRule>
  </conditionalFormatting>
  <conditionalFormatting sqref="F11">
    <cfRule type="cellIs" dxfId="0" priority="90" operator="greaterThan">
      <formula>G10</formula>
    </cfRule>
  </conditionalFormatting>
  <conditionalFormatting sqref="K6">
    <cfRule type="cellIs" dxfId="0" priority="91" operator="greaterThan">
      <formula>J7</formula>
    </cfRule>
  </conditionalFormatting>
  <conditionalFormatting sqref="L6">
    <cfRule type="cellIs" dxfId="0" priority="92" operator="greaterThan">
      <formula>J8</formula>
    </cfRule>
  </conditionalFormatting>
  <conditionalFormatting sqref="M6">
    <cfRule type="cellIs" dxfId="0" priority="93" operator="greaterThan">
      <formula>J9</formula>
    </cfRule>
  </conditionalFormatting>
  <conditionalFormatting sqref="N6">
    <cfRule type="cellIs" dxfId="0" priority="94" operator="greaterThan">
      <formula>J10</formula>
    </cfRule>
  </conditionalFormatting>
  <conditionalFormatting sqref="O6">
    <cfRule type="cellIs" dxfId="0" priority="95" operator="greaterThan">
      <formula>J11</formula>
    </cfRule>
  </conditionalFormatting>
  <conditionalFormatting sqref="J7">
    <cfRule type="cellIs" dxfId="0" priority="96" operator="greaterThan">
      <formula>K6</formula>
    </cfRule>
  </conditionalFormatting>
  <conditionalFormatting sqref="L7">
    <cfRule type="cellIs" dxfId="0" priority="97" operator="greaterThan">
      <formula>K8</formula>
    </cfRule>
  </conditionalFormatting>
  <conditionalFormatting sqref="M7">
    <cfRule type="cellIs" dxfId="0" priority="98" operator="greaterThan">
      <formula>K9</formula>
    </cfRule>
  </conditionalFormatting>
  <conditionalFormatting sqref="N7">
    <cfRule type="cellIs" dxfId="0" priority="99" operator="greaterThan">
      <formula>K10</formula>
    </cfRule>
  </conditionalFormatting>
  <conditionalFormatting sqref="O7">
    <cfRule type="cellIs" dxfId="0" priority="100" operator="greaterThan">
      <formula>K11</formula>
    </cfRule>
  </conditionalFormatting>
  <conditionalFormatting sqref="J8">
    <cfRule type="cellIs" dxfId="0" priority="101" operator="greaterThan">
      <formula>L6</formula>
    </cfRule>
  </conditionalFormatting>
  <conditionalFormatting sqref="K8">
    <cfRule type="cellIs" dxfId="0" priority="102" operator="greaterThan">
      <formula>L7</formula>
    </cfRule>
  </conditionalFormatting>
  <conditionalFormatting sqref="M8">
    <cfRule type="cellIs" dxfId="0" priority="103" operator="greaterThan">
      <formula>L9</formula>
    </cfRule>
  </conditionalFormatting>
  <conditionalFormatting sqref="N8">
    <cfRule type="cellIs" dxfId="0" priority="104" operator="greaterThan">
      <formula>L10</formula>
    </cfRule>
  </conditionalFormatting>
  <conditionalFormatting sqref="O8">
    <cfRule type="cellIs" dxfId="0" priority="105" operator="greaterThan">
      <formula>L11</formula>
    </cfRule>
  </conditionalFormatting>
  <conditionalFormatting sqref="J9">
    <cfRule type="cellIs" dxfId="0" priority="106" operator="greaterThan">
      <formula>M6</formula>
    </cfRule>
  </conditionalFormatting>
  <conditionalFormatting sqref="K9">
    <cfRule type="cellIs" dxfId="0" priority="107" operator="greaterThan">
      <formula>M7</formula>
    </cfRule>
  </conditionalFormatting>
  <conditionalFormatting sqref="L9">
    <cfRule type="cellIs" dxfId="0" priority="108" operator="greaterThan">
      <formula>M8</formula>
    </cfRule>
  </conditionalFormatting>
  <conditionalFormatting sqref="N9">
    <cfRule type="cellIs" dxfId="0" priority="109" operator="greaterThan">
      <formula>M10</formula>
    </cfRule>
  </conditionalFormatting>
  <conditionalFormatting sqref="O9">
    <cfRule type="cellIs" dxfId="0" priority="110" operator="greaterThan">
      <formula>M11</formula>
    </cfRule>
  </conditionalFormatting>
  <conditionalFormatting sqref="J10">
    <cfRule type="cellIs" dxfId="0" priority="111" operator="greaterThan">
      <formula>N6</formula>
    </cfRule>
  </conditionalFormatting>
  <conditionalFormatting sqref="K10">
    <cfRule type="cellIs" dxfId="0" priority="112" operator="greaterThan">
      <formula>N7</formula>
    </cfRule>
  </conditionalFormatting>
  <conditionalFormatting sqref="L10">
    <cfRule type="cellIs" dxfId="0" priority="113" operator="greaterThan">
      <formula>N8</formula>
    </cfRule>
  </conditionalFormatting>
  <conditionalFormatting sqref="M10">
    <cfRule type="cellIs" dxfId="0" priority="114" operator="greaterThan">
      <formula>N9</formula>
    </cfRule>
  </conditionalFormatting>
  <conditionalFormatting sqref="O10">
    <cfRule type="cellIs" dxfId="0" priority="115" operator="greaterThan">
      <formula>N11</formula>
    </cfRule>
  </conditionalFormatting>
  <conditionalFormatting sqref="J11">
    <cfRule type="cellIs" dxfId="0" priority="116" operator="greaterThan">
      <formula>O6</formula>
    </cfRule>
  </conditionalFormatting>
  <conditionalFormatting sqref="K11">
    <cfRule type="cellIs" dxfId="0" priority="117" operator="greaterThan">
      <formula>O7</formula>
    </cfRule>
  </conditionalFormatting>
  <conditionalFormatting sqref="L11">
    <cfRule type="cellIs" dxfId="0" priority="118" operator="greaterThan">
      <formula>O8</formula>
    </cfRule>
  </conditionalFormatting>
  <conditionalFormatting sqref="M11">
    <cfRule type="cellIs" dxfId="0" priority="119" operator="greaterThan">
      <formula>O9</formula>
    </cfRule>
  </conditionalFormatting>
  <conditionalFormatting sqref="N11">
    <cfRule type="cellIs" dxfId="0" priority="120" operator="greaterThan">
      <formula>O10</formula>
    </cfRule>
  </conditionalFormatting>
  <conditionalFormatting sqref="C15">
    <cfRule type="cellIs" dxfId="1" priority="121" operator="equal">
      <formula>B16</formula>
    </cfRule>
  </conditionalFormatting>
  <conditionalFormatting sqref="D15">
    <cfRule type="cellIs" dxfId="1" priority="122" operator="equal">
      <formula>B17</formula>
    </cfRule>
  </conditionalFormatting>
  <conditionalFormatting sqref="E15">
    <cfRule type="cellIs" dxfId="1" priority="123" operator="equal">
      <formula>B18</formula>
    </cfRule>
  </conditionalFormatting>
  <conditionalFormatting sqref="F15">
    <cfRule type="cellIs" dxfId="1" priority="124" operator="equal">
      <formula>B19</formula>
    </cfRule>
  </conditionalFormatting>
  <conditionalFormatting sqref="G15">
    <cfRule type="cellIs" dxfId="1" priority="125" operator="equal">
      <formula>B20</formula>
    </cfRule>
  </conditionalFormatting>
  <conditionalFormatting sqref="B16">
    <cfRule type="cellIs" dxfId="1" priority="126" operator="equal">
      <formula>C15</formula>
    </cfRule>
  </conditionalFormatting>
  <conditionalFormatting sqref="D16">
    <cfRule type="cellIs" dxfId="1" priority="127" operator="equal">
      <formula>C17</formula>
    </cfRule>
  </conditionalFormatting>
  <conditionalFormatting sqref="E16">
    <cfRule type="cellIs" dxfId="1" priority="128" operator="equal">
      <formula>C18</formula>
    </cfRule>
  </conditionalFormatting>
  <conditionalFormatting sqref="B17">
    <cfRule type="cellIs" dxfId="1" priority="129" operator="equal">
      <formula>D15</formula>
    </cfRule>
  </conditionalFormatting>
  <conditionalFormatting sqref="C17">
    <cfRule type="cellIs" dxfId="1" priority="130" operator="equal">
      <formula>D16</formula>
    </cfRule>
  </conditionalFormatting>
  <conditionalFormatting sqref="C24">
    <cfRule type="cellIs" dxfId="2" priority="131" operator="equal">
      <formula>B25</formula>
    </cfRule>
  </conditionalFormatting>
  <conditionalFormatting sqref="D24">
    <cfRule type="cellIs" dxfId="1" priority="132" operator="equal">
      <formula>B26</formula>
    </cfRule>
  </conditionalFormatting>
  <conditionalFormatting sqref="E24">
    <cfRule type="cellIs" dxfId="1" priority="133" operator="equal">
      <formula>B27</formula>
    </cfRule>
  </conditionalFormatting>
  <conditionalFormatting sqref="F24">
    <cfRule type="cellIs" dxfId="1" priority="134" operator="equal">
      <formula>B28</formula>
    </cfRule>
  </conditionalFormatting>
  <conditionalFormatting sqref="G24">
    <cfRule type="cellIs" dxfId="1" priority="135" operator="equal">
      <formula>B29</formula>
    </cfRule>
  </conditionalFormatting>
  <conditionalFormatting sqref="B25">
    <cfRule type="cellIs" dxfId="1" priority="136" operator="equal">
      <formula>C24</formula>
    </cfRule>
  </conditionalFormatting>
  <conditionalFormatting sqref="D25">
    <cfRule type="cellIs" dxfId="1" priority="137" operator="equal">
      <formula>C26</formula>
    </cfRule>
  </conditionalFormatting>
  <conditionalFormatting sqref="E25">
    <cfRule type="cellIs" dxfId="1" priority="138" operator="equal">
      <formula>C27</formula>
    </cfRule>
  </conditionalFormatting>
  <conditionalFormatting sqref="F25">
    <cfRule type="cellIs" dxfId="1" priority="139" operator="equal">
      <formula>C28</formula>
    </cfRule>
  </conditionalFormatting>
  <conditionalFormatting sqref="G25">
    <cfRule type="cellIs" dxfId="1" priority="140" operator="equal">
      <formula>C29</formula>
    </cfRule>
  </conditionalFormatting>
  <conditionalFormatting sqref="B26">
    <cfRule type="cellIs" dxfId="1" priority="141" operator="equal">
      <formula>D24</formula>
    </cfRule>
  </conditionalFormatting>
  <conditionalFormatting sqref="C26">
    <cfRule type="cellIs" dxfId="1" priority="142" operator="equal">
      <formula>D25</formula>
    </cfRule>
  </conditionalFormatting>
  <conditionalFormatting sqref="E26">
    <cfRule type="cellIs" dxfId="1" priority="143" operator="equal">
      <formula>D27</formula>
    </cfRule>
  </conditionalFormatting>
  <conditionalFormatting sqref="F26">
    <cfRule type="cellIs" dxfId="1" priority="144" operator="equal">
      <formula>D28</formula>
    </cfRule>
  </conditionalFormatting>
  <conditionalFormatting sqref="G26">
    <cfRule type="cellIs" dxfId="1" priority="145" operator="equal">
      <formula>D29</formula>
    </cfRule>
  </conditionalFormatting>
  <conditionalFormatting sqref="B27">
    <cfRule type="cellIs" dxfId="1" priority="146" operator="equal">
      <formula>E24</formula>
    </cfRule>
  </conditionalFormatting>
  <conditionalFormatting sqref="C27">
    <cfRule type="cellIs" dxfId="1" priority="147" operator="equal">
      <formula>E25</formula>
    </cfRule>
  </conditionalFormatting>
  <conditionalFormatting sqref="D27">
    <cfRule type="cellIs" dxfId="1" priority="148" operator="equal">
      <formula>E26</formula>
    </cfRule>
  </conditionalFormatting>
  <conditionalFormatting sqref="F27">
    <cfRule type="cellIs" dxfId="1" priority="149" operator="equal">
      <formula>E28</formula>
    </cfRule>
  </conditionalFormatting>
  <conditionalFormatting sqref="G27">
    <cfRule type="cellIs" dxfId="1" priority="150" operator="equal">
      <formula>E29</formula>
    </cfRule>
  </conditionalFormatting>
  <conditionalFormatting sqref="B28">
    <cfRule type="cellIs" dxfId="1" priority="151" operator="equal">
      <formula>F24</formula>
    </cfRule>
  </conditionalFormatting>
  <conditionalFormatting sqref="C28">
    <cfRule type="cellIs" dxfId="1" priority="152" operator="equal">
      <formula>F25</formula>
    </cfRule>
  </conditionalFormatting>
  <conditionalFormatting sqref="D28">
    <cfRule type="cellIs" dxfId="1" priority="153" operator="equal">
      <formula>F26</formula>
    </cfRule>
  </conditionalFormatting>
  <conditionalFormatting sqref="E28">
    <cfRule type="cellIs" dxfId="1" priority="154" operator="equal">
      <formula>F27</formula>
    </cfRule>
  </conditionalFormatting>
  <conditionalFormatting sqref="G28">
    <cfRule type="cellIs" dxfId="1" priority="155" operator="equal">
      <formula>F29</formula>
    </cfRule>
  </conditionalFormatting>
  <conditionalFormatting sqref="B29">
    <cfRule type="cellIs" dxfId="1" priority="156" operator="equal">
      <formula>G24</formula>
    </cfRule>
  </conditionalFormatting>
  <conditionalFormatting sqref="C29">
    <cfRule type="cellIs" dxfId="1" priority="157" operator="equal">
      <formula>G25</formula>
    </cfRule>
  </conditionalFormatting>
  <conditionalFormatting sqref="D29">
    <cfRule type="cellIs" dxfId="1" priority="158" operator="equal">
      <formula>G26</formula>
    </cfRule>
  </conditionalFormatting>
  <conditionalFormatting sqref="E29">
    <cfRule type="cellIs" dxfId="1" priority="159" operator="equal">
      <formula>G27</formula>
    </cfRule>
  </conditionalFormatting>
  <conditionalFormatting sqref="F29">
    <cfRule type="cellIs" dxfId="1" priority="160" operator="equal">
      <formula>G28</formula>
    </cfRule>
  </conditionalFormatting>
  <conditionalFormatting sqref="F16">
    <cfRule type="cellIs" dxfId="1" priority="161" operator="equal">
      <formula>C19</formula>
    </cfRule>
  </conditionalFormatting>
  <conditionalFormatting sqref="G16">
    <cfRule type="cellIs" dxfId="1" priority="162" operator="equal">
      <formula>C20</formula>
    </cfRule>
  </conditionalFormatting>
  <conditionalFormatting sqref="E17">
    <cfRule type="cellIs" dxfId="1" priority="163" operator="equal">
      <formula>D18</formula>
    </cfRule>
  </conditionalFormatting>
  <conditionalFormatting sqref="F17">
    <cfRule type="cellIs" dxfId="1" priority="164" operator="equal">
      <formula>D19</formula>
    </cfRule>
  </conditionalFormatting>
  <conditionalFormatting sqref="G17">
    <cfRule type="cellIs" dxfId="1" priority="165" operator="equal">
      <formula>D20</formula>
    </cfRule>
  </conditionalFormatting>
  <conditionalFormatting sqref="B18">
    <cfRule type="cellIs" dxfId="1" priority="166" operator="equal">
      <formula>E15</formula>
    </cfRule>
  </conditionalFormatting>
  <conditionalFormatting sqref="C18">
    <cfRule type="cellIs" dxfId="1" priority="167" operator="equal">
      <formula>E16</formula>
    </cfRule>
  </conditionalFormatting>
  <conditionalFormatting sqref="D18">
    <cfRule type="cellIs" dxfId="1" priority="168" operator="equal">
      <formula>E17</formula>
    </cfRule>
  </conditionalFormatting>
  <conditionalFormatting sqref="F18">
    <cfRule type="cellIs" dxfId="1" priority="169" operator="equal">
      <formula>E19</formula>
    </cfRule>
  </conditionalFormatting>
  <conditionalFormatting sqref="G18">
    <cfRule type="cellIs" dxfId="1" priority="170" operator="equal">
      <formula>E20</formula>
    </cfRule>
  </conditionalFormatting>
  <conditionalFormatting sqref="B19">
    <cfRule type="cellIs" dxfId="1" priority="171" operator="equal">
      <formula>F15</formula>
    </cfRule>
  </conditionalFormatting>
  <conditionalFormatting sqref="C19">
    <cfRule type="cellIs" dxfId="1" priority="172" operator="equal">
      <formula>F16</formula>
    </cfRule>
  </conditionalFormatting>
  <conditionalFormatting sqref="D19">
    <cfRule type="cellIs" dxfId="1" priority="173" operator="equal">
      <formula>F17</formula>
    </cfRule>
  </conditionalFormatting>
  <conditionalFormatting sqref="E19">
    <cfRule type="cellIs" dxfId="1" priority="174" operator="equal">
      <formula>F18</formula>
    </cfRule>
  </conditionalFormatting>
  <conditionalFormatting sqref="G19">
    <cfRule type="cellIs" dxfId="1" priority="175" operator="equal">
      <formula>F20</formula>
    </cfRule>
  </conditionalFormatting>
  <conditionalFormatting sqref="B20">
    <cfRule type="cellIs" dxfId="1" priority="176" operator="equal">
      <formula>G15</formula>
    </cfRule>
  </conditionalFormatting>
  <conditionalFormatting sqref="C20">
    <cfRule type="cellIs" dxfId="1" priority="177" operator="equal">
      <formula>G16</formula>
    </cfRule>
  </conditionalFormatting>
  <conditionalFormatting sqref="D20">
    <cfRule type="cellIs" dxfId="1" priority="178" operator="equal">
      <formula>G17</formula>
    </cfRule>
  </conditionalFormatting>
  <conditionalFormatting sqref="E20">
    <cfRule type="cellIs" dxfId="1" priority="179" operator="equal">
      <formula>G18</formula>
    </cfRule>
  </conditionalFormatting>
  <conditionalFormatting sqref="F20">
    <cfRule type="cellIs" dxfId="1" priority="180" operator="equal">
      <formula>G19</formula>
    </cfRule>
  </conditionalFormatting>
  <conditionalFormatting sqref="C33">
    <cfRule type="cellIs" dxfId="1" priority="181" operator="equal">
      <formula>B34</formula>
    </cfRule>
  </conditionalFormatting>
  <conditionalFormatting sqref="D33">
    <cfRule type="cellIs" dxfId="1" priority="182" operator="equal">
      <formula>B35</formula>
    </cfRule>
  </conditionalFormatting>
  <conditionalFormatting sqref="E33">
    <cfRule type="cellIs" dxfId="1" priority="183" operator="equal">
      <formula>B36</formula>
    </cfRule>
  </conditionalFormatting>
  <conditionalFormatting sqref="F33">
    <cfRule type="cellIs" dxfId="1" priority="184" operator="equal">
      <formula>B37</formula>
    </cfRule>
  </conditionalFormatting>
  <conditionalFormatting sqref="G33">
    <cfRule type="cellIs" dxfId="1" priority="185" operator="equal">
      <formula>B38</formula>
    </cfRule>
  </conditionalFormatting>
  <conditionalFormatting sqref="B34">
    <cfRule type="cellIs" dxfId="1" priority="186" operator="equal">
      <formula>C33</formula>
    </cfRule>
  </conditionalFormatting>
  <conditionalFormatting sqref="D34">
    <cfRule type="cellIs" dxfId="1" priority="187" operator="equal">
      <formula>C35</formula>
    </cfRule>
  </conditionalFormatting>
  <conditionalFormatting sqref="E34">
    <cfRule type="cellIs" dxfId="1" priority="188" operator="equal">
      <formula>C36</formula>
    </cfRule>
  </conditionalFormatting>
  <conditionalFormatting sqref="F34">
    <cfRule type="cellIs" dxfId="1" priority="189" operator="equal">
      <formula>C37</formula>
    </cfRule>
  </conditionalFormatting>
  <conditionalFormatting sqref="G34">
    <cfRule type="cellIs" dxfId="1" priority="190" operator="equal">
      <formula>C38</formula>
    </cfRule>
  </conditionalFormatting>
  <conditionalFormatting sqref="B35">
    <cfRule type="cellIs" dxfId="1" priority="191" operator="equal">
      <formula>D33</formula>
    </cfRule>
  </conditionalFormatting>
  <conditionalFormatting sqref="C35">
    <cfRule type="cellIs" dxfId="1" priority="192" operator="equal">
      <formula>D34</formula>
    </cfRule>
  </conditionalFormatting>
  <conditionalFormatting sqref="E35">
    <cfRule type="cellIs" dxfId="1" priority="193" operator="equal">
      <formula>D36</formula>
    </cfRule>
  </conditionalFormatting>
  <conditionalFormatting sqref="F35">
    <cfRule type="cellIs" dxfId="1" priority="194" operator="equal">
      <formula>D37</formula>
    </cfRule>
  </conditionalFormatting>
  <conditionalFormatting sqref="G35">
    <cfRule type="cellIs" dxfId="1" priority="195" operator="equal">
      <formula>D38</formula>
    </cfRule>
  </conditionalFormatting>
  <conditionalFormatting sqref="B36">
    <cfRule type="cellIs" dxfId="1" priority="196" operator="equal">
      <formula>E33</formula>
    </cfRule>
  </conditionalFormatting>
  <conditionalFormatting sqref="C36">
    <cfRule type="cellIs" dxfId="1" priority="197" operator="equal">
      <formula>E34</formula>
    </cfRule>
  </conditionalFormatting>
  <conditionalFormatting sqref="D36">
    <cfRule type="cellIs" dxfId="1" priority="198" operator="equal">
      <formula>E35</formula>
    </cfRule>
  </conditionalFormatting>
  <conditionalFormatting sqref="F36">
    <cfRule type="cellIs" dxfId="1" priority="199" operator="equal">
      <formula>E37</formula>
    </cfRule>
  </conditionalFormatting>
  <conditionalFormatting sqref="G36">
    <cfRule type="cellIs" dxfId="1" priority="200" operator="equal">
      <formula>E38</formula>
    </cfRule>
  </conditionalFormatting>
  <conditionalFormatting sqref="B37">
    <cfRule type="cellIs" dxfId="1" priority="201" operator="equal">
      <formula>F33</formula>
    </cfRule>
  </conditionalFormatting>
  <conditionalFormatting sqref="C37">
    <cfRule type="cellIs" dxfId="1" priority="202" operator="equal">
      <formula>F34</formula>
    </cfRule>
  </conditionalFormatting>
  <conditionalFormatting sqref="D37">
    <cfRule type="cellIs" dxfId="1" priority="203" operator="equal">
      <formula>F35</formula>
    </cfRule>
  </conditionalFormatting>
  <conditionalFormatting sqref="E37">
    <cfRule type="cellIs" dxfId="1" priority="204" operator="equal">
      <formula>F36</formula>
    </cfRule>
  </conditionalFormatting>
  <conditionalFormatting sqref="G37">
    <cfRule type="cellIs" dxfId="1" priority="205" operator="equal">
      <formula>F38</formula>
    </cfRule>
  </conditionalFormatting>
  <conditionalFormatting sqref="B38">
    <cfRule type="cellIs" dxfId="1" priority="206" operator="equal">
      <formula>G33</formula>
    </cfRule>
  </conditionalFormatting>
  <conditionalFormatting sqref="C38">
    <cfRule type="cellIs" dxfId="1" priority="207" operator="equal">
      <formula>G34</formula>
    </cfRule>
  </conditionalFormatting>
  <conditionalFormatting sqref="D38">
    <cfRule type="cellIs" dxfId="1" priority="208" operator="equal">
      <formula>G35</formula>
    </cfRule>
  </conditionalFormatting>
  <conditionalFormatting sqref="E38">
    <cfRule type="cellIs" dxfId="1" priority="209" operator="equal">
      <formula>G36</formula>
    </cfRule>
  </conditionalFormatting>
  <conditionalFormatting sqref="F38">
    <cfRule type="cellIs" dxfId="1" priority="210" operator="equal">
      <formula>G37</formula>
    </cfRule>
  </conditionalFormatting>
  <conditionalFormatting sqref="K15">
    <cfRule type="cellIs" dxfId="1" priority="211" operator="equal">
      <formula>J16</formula>
    </cfRule>
  </conditionalFormatting>
  <conditionalFormatting sqref="L15">
    <cfRule type="cellIs" dxfId="1" priority="212" operator="equal">
      <formula>J17</formula>
    </cfRule>
  </conditionalFormatting>
  <conditionalFormatting sqref="M15">
    <cfRule type="cellIs" dxfId="1" priority="213" operator="equal">
      <formula>J18</formula>
    </cfRule>
  </conditionalFormatting>
  <conditionalFormatting sqref="N15">
    <cfRule type="cellIs" dxfId="1" priority="214" operator="equal">
      <formula>J19</formula>
    </cfRule>
  </conditionalFormatting>
  <conditionalFormatting sqref="O15">
    <cfRule type="cellIs" dxfId="1" priority="215" operator="equal">
      <formula>J20</formula>
    </cfRule>
  </conditionalFormatting>
  <conditionalFormatting sqref="J16">
    <cfRule type="cellIs" dxfId="1" priority="216" operator="equal">
      <formula>K15</formula>
    </cfRule>
  </conditionalFormatting>
  <conditionalFormatting sqref="L16">
    <cfRule type="cellIs" dxfId="1" priority="217" operator="equal">
      <formula>K17</formula>
    </cfRule>
  </conditionalFormatting>
  <conditionalFormatting sqref="M16">
    <cfRule type="cellIs" dxfId="1" priority="218" operator="equal">
      <formula>K18</formula>
    </cfRule>
  </conditionalFormatting>
  <conditionalFormatting sqref="N16">
    <cfRule type="cellIs" dxfId="1" priority="219" operator="equal">
      <formula>K19</formula>
    </cfRule>
  </conditionalFormatting>
  <conditionalFormatting sqref="O16">
    <cfRule type="cellIs" dxfId="1" priority="220" operator="equal">
      <formula>K20</formula>
    </cfRule>
  </conditionalFormatting>
  <conditionalFormatting sqref="J17">
    <cfRule type="cellIs" dxfId="1" priority="221" operator="equal">
      <formula>L15</formula>
    </cfRule>
  </conditionalFormatting>
  <conditionalFormatting sqref="K17">
    <cfRule type="cellIs" dxfId="1" priority="222" operator="equal">
      <formula>L16</formula>
    </cfRule>
  </conditionalFormatting>
  <conditionalFormatting sqref="M17">
    <cfRule type="cellIs" dxfId="1" priority="223" operator="equal">
      <formula>L18</formula>
    </cfRule>
  </conditionalFormatting>
  <conditionalFormatting sqref="N17">
    <cfRule type="cellIs" dxfId="1" priority="224" operator="equal">
      <formula>L19</formula>
    </cfRule>
  </conditionalFormatting>
  <conditionalFormatting sqref="O17">
    <cfRule type="cellIs" dxfId="1" priority="225" operator="equal">
      <formula>L20</formula>
    </cfRule>
  </conditionalFormatting>
  <conditionalFormatting sqref="J18">
    <cfRule type="cellIs" dxfId="1" priority="226" operator="equal">
      <formula>M15</formula>
    </cfRule>
  </conditionalFormatting>
  <conditionalFormatting sqref="K18">
    <cfRule type="cellIs" dxfId="1" priority="227" operator="equal">
      <formula>M16</formula>
    </cfRule>
  </conditionalFormatting>
  <conditionalFormatting sqref="L18">
    <cfRule type="cellIs" dxfId="1" priority="228" operator="equal">
      <formula>M17</formula>
    </cfRule>
  </conditionalFormatting>
  <conditionalFormatting sqref="N18">
    <cfRule type="cellIs" dxfId="1" priority="229" operator="equal">
      <formula>M19</formula>
    </cfRule>
  </conditionalFormatting>
  <conditionalFormatting sqref="O18">
    <cfRule type="cellIs" dxfId="1" priority="230" operator="equal">
      <formula>M20</formula>
    </cfRule>
  </conditionalFormatting>
  <conditionalFormatting sqref="J19">
    <cfRule type="cellIs" dxfId="1" priority="231" operator="equal">
      <formula>N15</formula>
    </cfRule>
  </conditionalFormatting>
  <conditionalFormatting sqref="K19">
    <cfRule type="cellIs" dxfId="1" priority="232" operator="equal">
      <formula>N16</formula>
    </cfRule>
  </conditionalFormatting>
  <conditionalFormatting sqref="L19">
    <cfRule type="cellIs" dxfId="1" priority="233" operator="equal">
      <formula>N17</formula>
    </cfRule>
  </conditionalFormatting>
  <conditionalFormatting sqref="M19">
    <cfRule type="cellIs" dxfId="1" priority="234" operator="equal">
      <formula>N18</formula>
    </cfRule>
  </conditionalFormatting>
  <conditionalFormatting sqref="O19">
    <cfRule type="cellIs" dxfId="1" priority="235" operator="equal">
      <formula>N20</formula>
    </cfRule>
  </conditionalFormatting>
  <conditionalFormatting sqref="J20">
    <cfRule type="cellIs" dxfId="1" priority="236" operator="equal">
      <formula>O15</formula>
    </cfRule>
  </conditionalFormatting>
  <conditionalFormatting sqref="K20">
    <cfRule type="cellIs" dxfId="1" priority="237" operator="equal">
      <formula>O16</formula>
    </cfRule>
  </conditionalFormatting>
  <conditionalFormatting sqref="L20">
    <cfRule type="cellIs" dxfId="1" priority="238" operator="equal">
      <formula>O17</formula>
    </cfRule>
  </conditionalFormatting>
  <conditionalFormatting sqref="M20">
    <cfRule type="cellIs" dxfId="1" priority="239" operator="equal">
      <formula>O18</formula>
    </cfRule>
  </conditionalFormatting>
  <conditionalFormatting sqref="N20">
    <cfRule type="cellIs" dxfId="1" priority="240" operator="equal">
      <formula>O19</formula>
    </cfRule>
  </conditionalFormatting>
  <conditionalFormatting sqref="K24">
    <cfRule type="cellIs" dxfId="1" priority="241" operator="equal">
      <formula>J25</formula>
    </cfRule>
  </conditionalFormatting>
  <conditionalFormatting sqref="L24">
    <cfRule type="cellIs" dxfId="1" priority="242" operator="equal">
      <formula>J26</formula>
    </cfRule>
  </conditionalFormatting>
  <conditionalFormatting sqref="M24">
    <cfRule type="cellIs" dxfId="1" priority="243" operator="equal">
      <formula>J27</formula>
    </cfRule>
  </conditionalFormatting>
  <conditionalFormatting sqref="N24">
    <cfRule type="cellIs" dxfId="1" priority="244" operator="equal">
      <formula>J28</formula>
    </cfRule>
  </conditionalFormatting>
  <conditionalFormatting sqref="O24">
    <cfRule type="cellIs" dxfId="1" priority="245" operator="equal">
      <formula>J29</formula>
    </cfRule>
  </conditionalFormatting>
  <conditionalFormatting sqref="J25">
    <cfRule type="cellIs" dxfId="1" priority="246" operator="equal">
      <formula>K24</formula>
    </cfRule>
  </conditionalFormatting>
  <conditionalFormatting sqref="L25">
    <cfRule type="cellIs" dxfId="1" priority="247" operator="equal">
      <formula>K26</formula>
    </cfRule>
  </conditionalFormatting>
  <conditionalFormatting sqref="M25">
    <cfRule type="cellIs" dxfId="1" priority="248" operator="equal">
      <formula>K27</formula>
    </cfRule>
  </conditionalFormatting>
  <conditionalFormatting sqref="N25">
    <cfRule type="cellIs" dxfId="1" priority="249" operator="equal">
      <formula>K28</formula>
    </cfRule>
  </conditionalFormatting>
  <conditionalFormatting sqref="O25">
    <cfRule type="cellIs" dxfId="1" priority="250" operator="equal">
      <formula>K29</formula>
    </cfRule>
  </conditionalFormatting>
  <conditionalFormatting sqref="J26">
    <cfRule type="cellIs" dxfId="1" priority="251" operator="equal">
      <formula>L24</formula>
    </cfRule>
  </conditionalFormatting>
  <conditionalFormatting sqref="K26">
    <cfRule type="cellIs" dxfId="1" priority="252" operator="equal">
      <formula>L25</formula>
    </cfRule>
  </conditionalFormatting>
  <conditionalFormatting sqref="M26">
    <cfRule type="cellIs" dxfId="1" priority="253" operator="equal">
      <formula>L27</formula>
    </cfRule>
  </conditionalFormatting>
  <conditionalFormatting sqref="N26">
    <cfRule type="cellIs" dxfId="1" priority="254" operator="equal">
      <formula>L28</formula>
    </cfRule>
  </conditionalFormatting>
  <conditionalFormatting sqref="O26">
    <cfRule type="cellIs" dxfId="1" priority="255" operator="equal">
      <formula>L29</formula>
    </cfRule>
  </conditionalFormatting>
  <conditionalFormatting sqref="J27">
    <cfRule type="cellIs" dxfId="1" priority="256" operator="equal">
      <formula>M24</formula>
    </cfRule>
  </conditionalFormatting>
  <conditionalFormatting sqref="K27">
    <cfRule type="cellIs" dxfId="1" priority="257" operator="equal">
      <formula>M25</formula>
    </cfRule>
  </conditionalFormatting>
  <conditionalFormatting sqref="L27">
    <cfRule type="cellIs" dxfId="1" priority="258" operator="equal">
      <formula>M26</formula>
    </cfRule>
  </conditionalFormatting>
  <conditionalFormatting sqref="N27">
    <cfRule type="cellIs" dxfId="1" priority="259" operator="equal">
      <formula>M28</formula>
    </cfRule>
  </conditionalFormatting>
  <conditionalFormatting sqref="O27">
    <cfRule type="cellIs" dxfId="1" priority="260" operator="equal">
      <formula>M29</formula>
    </cfRule>
  </conditionalFormatting>
  <conditionalFormatting sqref="J28">
    <cfRule type="cellIs" dxfId="1" priority="261" operator="equal">
      <formula>N24</formula>
    </cfRule>
  </conditionalFormatting>
  <conditionalFormatting sqref="K28">
    <cfRule type="cellIs" dxfId="1" priority="262" operator="equal">
      <formula>N25</formula>
    </cfRule>
  </conditionalFormatting>
  <conditionalFormatting sqref="L28">
    <cfRule type="cellIs" dxfId="1" priority="263" operator="equal">
      <formula>N26</formula>
    </cfRule>
  </conditionalFormatting>
  <conditionalFormatting sqref="M28">
    <cfRule type="cellIs" dxfId="1" priority="264" operator="equal">
      <formula>N27</formula>
    </cfRule>
  </conditionalFormatting>
  <conditionalFormatting sqref="O28">
    <cfRule type="cellIs" dxfId="1" priority="265" operator="equal">
      <formula>N29</formula>
    </cfRule>
  </conditionalFormatting>
  <conditionalFormatting sqref="J29">
    <cfRule type="cellIs" dxfId="1" priority="266" operator="equal">
      <formula>O24</formula>
    </cfRule>
  </conditionalFormatting>
  <conditionalFormatting sqref="K29">
    <cfRule type="cellIs" dxfId="1" priority="267" operator="equal">
      <formula>O25</formula>
    </cfRule>
  </conditionalFormatting>
  <conditionalFormatting sqref="L29">
    <cfRule type="cellIs" dxfId="1" priority="268" operator="equal">
      <formula>O26</formula>
    </cfRule>
  </conditionalFormatting>
  <conditionalFormatting sqref="M29">
    <cfRule type="cellIs" dxfId="1" priority="269" operator="equal">
      <formula>O27</formula>
    </cfRule>
  </conditionalFormatting>
  <conditionalFormatting sqref="N29">
    <cfRule type="cellIs" dxfId="1" priority="270" operator="equal">
      <formula>O28</formula>
    </cfRule>
  </conditionalFormatting>
  <conditionalFormatting sqref="C6">
    <cfRule type="cellIs" dxfId="3" priority="271" operator="lessThan">
      <formula>B7</formula>
    </cfRule>
  </conditionalFormatting>
  <conditionalFormatting sqref="D6">
    <cfRule type="cellIs" dxfId="3" priority="272" operator="lessThan">
      <formula>B8</formula>
    </cfRule>
  </conditionalFormatting>
  <conditionalFormatting sqref="E6">
    <cfRule type="cellIs" dxfId="3" priority="273" operator="lessThan">
      <formula>B9</formula>
    </cfRule>
  </conditionalFormatting>
  <conditionalFormatting sqref="F6">
    <cfRule type="cellIs" dxfId="3" priority="274" operator="lessThan">
      <formula>B10</formula>
    </cfRule>
  </conditionalFormatting>
  <conditionalFormatting sqref="G6">
    <cfRule type="cellIs" dxfId="3" priority="275" operator="lessThan">
      <formula>B11</formula>
    </cfRule>
  </conditionalFormatting>
  <conditionalFormatting sqref="B7">
    <cfRule type="cellIs" dxfId="3" priority="276" operator="lessThan">
      <formula>C6</formula>
    </cfRule>
  </conditionalFormatting>
  <conditionalFormatting sqref="D7">
    <cfRule type="cellIs" dxfId="3" priority="277" operator="lessThan">
      <formula>C8</formula>
    </cfRule>
  </conditionalFormatting>
  <conditionalFormatting sqref="E7">
    <cfRule type="cellIs" dxfId="3" priority="278" operator="lessThan">
      <formula>C9</formula>
    </cfRule>
  </conditionalFormatting>
  <conditionalFormatting sqref="F7">
    <cfRule type="cellIs" dxfId="3" priority="279" operator="lessThan">
      <formula>C10</formula>
    </cfRule>
  </conditionalFormatting>
  <conditionalFormatting sqref="G7">
    <cfRule type="cellIs" dxfId="3" priority="280" operator="lessThan">
      <formula>C11</formula>
    </cfRule>
  </conditionalFormatting>
  <conditionalFormatting sqref="B8">
    <cfRule type="cellIs" dxfId="3" priority="281" operator="lessThan">
      <formula>D6</formula>
    </cfRule>
  </conditionalFormatting>
  <conditionalFormatting sqref="C8">
    <cfRule type="cellIs" dxfId="3" priority="282" operator="lessThan">
      <formula>D7</formula>
    </cfRule>
  </conditionalFormatting>
  <conditionalFormatting sqref="E8">
    <cfRule type="cellIs" dxfId="3" priority="283" operator="lessThan">
      <formula>D9</formula>
    </cfRule>
  </conditionalFormatting>
  <conditionalFormatting sqref="F8">
    <cfRule type="cellIs" dxfId="3" priority="284" operator="lessThan">
      <formula>D10</formula>
    </cfRule>
  </conditionalFormatting>
  <conditionalFormatting sqref="G8">
    <cfRule type="cellIs" dxfId="3" priority="285" operator="lessThan">
      <formula>D11</formula>
    </cfRule>
  </conditionalFormatting>
  <conditionalFormatting sqref="B9">
    <cfRule type="cellIs" dxfId="3" priority="286" operator="lessThan">
      <formula>E6</formula>
    </cfRule>
  </conditionalFormatting>
  <conditionalFormatting sqref="C9">
    <cfRule type="cellIs" dxfId="3" priority="287" operator="lessThan">
      <formula>E7</formula>
    </cfRule>
  </conditionalFormatting>
  <conditionalFormatting sqref="D9">
    <cfRule type="cellIs" dxfId="3" priority="288" operator="lessThan">
      <formula>E8</formula>
    </cfRule>
  </conditionalFormatting>
  <conditionalFormatting sqref="F9">
    <cfRule type="cellIs" dxfId="3" priority="289" operator="lessThan">
      <formula>E10</formula>
    </cfRule>
  </conditionalFormatting>
  <conditionalFormatting sqref="G9">
    <cfRule type="cellIs" dxfId="3" priority="290" operator="lessThan">
      <formula>E11</formula>
    </cfRule>
  </conditionalFormatting>
  <conditionalFormatting sqref="B10">
    <cfRule type="cellIs" dxfId="3" priority="291" operator="lessThan">
      <formula>F6</formula>
    </cfRule>
  </conditionalFormatting>
  <conditionalFormatting sqref="C10">
    <cfRule type="cellIs" dxfId="3" priority="292" operator="lessThan">
      <formula>F7</formula>
    </cfRule>
  </conditionalFormatting>
  <conditionalFormatting sqref="D10">
    <cfRule type="cellIs" dxfId="3" priority="293" operator="lessThan">
      <formula>F8</formula>
    </cfRule>
  </conditionalFormatting>
  <conditionalFormatting sqref="E10">
    <cfRule type="cellIs" dxfId="3" priority="294" operator="lessThan">
      <formula>F9</formula>
    </cfRule>
  </conditionalFormatting>
  <conditionalFormatting sqref="G10">
    <cfRule type="cellIs" dxfId="3" priority="295" operator="lessThan">
      <formula>F11</formula>
    </cfRule>
  </conditionalFormatting>
  <conditionalFormatting sqref="B11">
    <cfRule type="cellIs" dxfId="3" priority="296" operator="lessThan">
      <formula>G6</formula>
    </cfRule>
  </conditionalFormatting>
  <conditionalFormatting sqref="C11">
    <cfRule type="cellIs" dxfId="3" priority="297" operator="lessThan">
      <formula>G7</formula>
    </cfRule>
  </conditionalFormatting>
  <conditionalFormatting sqref="D11">
    <cfRule type="cellIs" dxfId="3" priority="298" operator="lessThan">
      <formula>G8</formula>
    </cfRule>
  </conditionalFormatting>
  <conditionalFormatting sqref="E11">
    <cfRule type="cellIs" dxfId="3" priority="299" operator="lessThan">
      <formula>G9</formula>
    </cfRule>
  </conditionalFormatting>
  <conditionalFormatting sqref="F11">
    <cfRule type="cellIs" dxfId="3" priority="300" operator="lessThan">
      <formula>G10</formula>
    </cfRule>
  </conditionalFormatting>
  <conditionalFormatting sqref="C15">
    <cfRule type="cellIs" dxfId="3" priority="301" operator="lessThan">
      <formula>B16</formula>
    </cfRule>
  </conditionalFormatting>
  <conditionalFormatting sqref="D15">
    <cfRule type="cellIs" dxfId="3" priority="302" operator="lessThan">
      <formula>B17</formula>
    </cfRule>
  </conditionalFormatting>
  <conditionalFormatting sqref="E15">
    <cfRule type="cellIs" dxfId="3" priority="303" operator="lessThan">
      <formula>B18</formula>
    </cfRule>
  </conditionalFormatting>
  <conditionalFormatting sqref="F15">
    <cfRule type="cellIs" dxfId="3" priority="304" operator="lessThan">
      <formula>B19</formula>
    </cfRule>
  </conditionalFormatting>
  <conditionalFormatting sqref="G15">
    <cfRule type="cellIs" dxfId="3" priority="305" operator="lessThan">
      <formula>B20</formula>
    </cfRule>
  </conditionalFormatting>
  <conditionalFormatting sqref="B16">
    <cfRule type="cellIs" dxfId="3" priority="306" operator="lessThan">
      <formula>C15</formula>
    </cfRule>
  </conditionalFormatting>
  <conditionalFormatting sqref="D16">
    <cfRule type="cellIs" dxfId="3" priority="307" operator="lessThan">
      <formula>C17</formula>
    </cfRule>
  </conditionalFormatting>
  <conditionalFormatting sqref="E16">
    <cfRule type="cellIs" dxfId="3" priority="308" operator="lessThan">
      <formula>C18</formula>
    </cfRule>
  </conditionalFormatting>
  <conditionalFormatting sqref="F16">
    <cfRule type="cellIs" dxfId="3" priority="309" operator="lessThan">
      <formula>C19</formula>
    </cfRule>
  </conditionalFormatting>
  <conditionalFormatting sqref="G16">
    <cfRule type="cellIs" dxfId="3" priority="310" operator="lessThan">
      <formula>C20</formula>
    </cfRule>
  </conditionalFormatting>
  <conditionalFormatting sqref="B17">
    <cfRule type="cellIs" dxfId="3" priority="311" operator="lessThan">
      <formula>D15</formula>
    </cfRule>
  </conditionalFormatting>
  <conditionalFormatting sqref="C17">
    <cfRule type="cellIs" dxfId="3" priority="312" operator="lessThan">
      <formula>D16</formula>
    </cfRule>
  </conditionalFormatting>
  <conditionalFormatting sqref="E17">
    <cfRule type="cellIs" dxfId="3" priority="313" operator="lessThan">
      <formula>D18</formula>
    </cfRule>
  </conditionalFormatting>
  <conditionalFormatting sqref="F17">
    <cfRule type="cellIs" dxfId="3" priority="314" operator="lessThan">
      <formula>D19</formula>
    </cfRule>
  </conditionalFormatting>
  <conditionalFormatting sqref="G17">
    <cfRule type="cellIs" dxfId="3" priority="315" operator="lessThan">
      <formula>D20</formula>
    </cfRule>
  </conditionalFormatting>
  <conditionalFormatting sqref="B18">
    <cfRule type="cellIs" dxfId="3" priority="316" operator="lessThan">
      <formula>E15</formula>
    </cfRule>
  </conditionalFormatting>
  <conditionalFormatting sqref="C18">
    <cfRule type="cellIs" dxfId="3" priority="317" operator="lessThan">
      <formula>E16</formula>
    </cfRule>
  </conditionalFormatting>
  <conditionalFormatting sqref="D18">
    <cfRule type="cellIs" dxfId="3" priority="318" operator="lessThan">
      <formula>E17</formula>
    </cfRule>
  </conditionalFormatting>
  <conditionalFormatting sqref="F18">
    <cfRule type="cellIs" dxfId="3" priority="319" operator="lessThan">
      <formula>E19</formula>
    </cfRule>
  </conditionalFormatting>
  <conditionalFormatting sqref="G18">
    <cfRule type="cellIs" dxfId="3" priority="320" operator="lessThan">
      <formula>E20</formula>
    </cfRule>
  </conditionalFormatting>
  <conditionalFormatting sqref="B19">
    <cfRule type="cellIs" dxfId="3" priority="321" operator="lessThan">
      <formula>F15</formula>
    </cfRule>
  </conditionalFormatting>
  <conditionalFormatting sqref="C19">
    <cfRule type="cellIs" dxfId="3" priority="322" operator="lessThan">
      <formula>F16</formula>
    </cfRule>
  </conditionalFormatting>
  <conditionalFormatting sqref="D19">
    <cfRule type="cellIs" dxfId="3" priority="323" operator="lessThan">
      <formula>F17</formula>
    </cfRule>
  </conditionalFormatting>
  <conditionalFormatting sqref="E19">
    <cfRule type="cellIs" dxfId="3" priority="324" operator="lessThan">
      <formula>F18</formula>
    </cfRule>
  </conditionalFormatting>
  <conditionalFormatting sqref="G19">
    <cfRule type="cellIs" dxfId="3" priority="325" operator="lessThan">
      <formula>F20</formula>
    </cfRule>
  </conditionalFormatting>
  <conditionalFormatting sqref="B20">
    <cfRule type="cellIs" dxfId="3" priority="326" operator="lessThan">
      <formula>G15</formula>
    </cfRule>
  </conditionalFormatting>
  <conditionalFormatting sqref="C20">
    <cfRule type="cellIs" dxfId="3" priority="327" operator="lessThan">
      <formula>G16</formula>
    </cfRule>
  </conditionalFormatting>
  <conditionalFormatting sqref="D20">
    <cfRule type="cellIs" dxfId="3" priority="328" operator="lessThan">
      <formula>G17</formula>
    </cfRule>
  </conditionalFormatting>
  <conditionalFormatting sqref="E20">
    <cfRule type="cellIs" dxfId="3" priority="329" operator="lessThan">
      <formula>G18</formula>
    </cfRule>
  </conditionalFormatting>
  <conditionalFormatting sqref="F20">
    <cfRule type="cellIs" dxfId="3" priority="330" operator="lessThan">
      <formula>G19</formula>
    </cfRule>
  </conditionalFormatting>
  <conditionalFormatting sqref="C24">
    <cfRule type="cellIs" dxfId="3" priority="331" operator="lessThan">
      <formula>B25</formula>
    </cfRule>
  </conditionalFormatting>
  <conditionalFormatting sqref="D24">
    <cfRule type="cellIs" dxfId="3" priority="332" operator="lessThan">
      <formula>B26</formula>
    </cfRule>
  </conditionalFormatting>
  <conditionalFormatting sqref="E24">
    <cfRule type="cellIs" dxfId="3" priority="333" operator="lessThan">
      <formula>B27</formula>
    </cfRule>
  </conditionalFormatting>
  <conditionalFormatting sqref="F24">
    <cfRule type="cellIs" dxfId="3" priority="334" operator="lessThan">
      <formula>B28</formula>
    </cfRule>
  </conditionalFormatting>
  <conditionalFormatting sqref="G24">
    <cfRule type="cellIs" dxfId="3" priority="335" operator="lessThan">
      <formula>B29</formula>
    </cfRule>
  </conditionalFormatting>
  <conditionalFormatting sqref="B25">
    <cfRule type="cellIs" dxfId="3" priority="336" operator="lessThan">
      <formula>C24</formula>
    </cfRule>
  </conditionalFormatting>
  <conditionalFormatting sqref="D25">
    <cfRule type="cellIs" dxfId="3" priority="337" operator="lessThan">
      <formula>C26</formula>
    </cfRule>
  </conditionalFormatting>
  <conditionalFormatting sqref="E25">
    <cfRule type="cellIs" dxfId="3" priority="338" operator="lessThan">
      <formula>C27</formula>
    </cfRule>
  </conditionalFormatting>
  <conditionalFormatting sqref="F25">
    <cfRule type="cellIs" dxfId="3" priority="339" operator="lessThan">
      <formula>C28</formula>
    </cfRule>
  </conditionalFormatting>
  <conditionalFormatting sqref="G25">
    <cfRule type="cellIs" dxfId="3" priority="340" operator="lessThan">
      <formula>C29</formula>
    </cfRule>
  </conditionalFormatting>
  <conditionalFormatting sqref="B26">
    <cfRule type="cellIs" dxfId="3" priority="341" operator="lessThan">
      <formula>D24</formula>
    </cfRule>
  </conditionalFormatting>
  <conditionalFormatting sqref="C26">
    <cfRule type="cellIs" dxfId="3" priority="342" operator="lessThan">
      <formula>D25</formula>
    </cfRule>
  </conditionalFormatting>
  <conditionalFormatting sqref="E26">
    <cfRule type="cellIs" dxfId="3" priority="343" operator="lessThan">
      <formula>D27</formula>
    </cfRule>
  </conditionalFormatting>
  <conditionalFormatting sqref="F26">
    <cfRule type="cellIs" dxfId="3" priority="344" operator="lessThan">
      <formula>D28</formula>
    </cfRule>
  </conditionalFormatting>
  <conditionalFormatting sqref="G26">
    <cfRule type="cellIs" dxfId="3" priority="345" operator="lessThan">
      <formula>D29</formula>
    </cfRule>
  </conditionalFormatting>
  <conditionalFormatting sqref="B27">
    <cfRule type="cellIs" dxfId="3" priority="346" operator="lessThan">
      <formula>E24</formula>
    </cfRule>
  </conditionalFormatting>
  <conditionalFormatting sqref="C27">
    <cfRule type="cellIs" dxfId="3" priority="347" operator="lessThan">
      <formula>E25</formula>
    </cfRule>
  </conditionalFormatting>
  <conditionalFormatting sqref="D27">
    <cfRule type="cellIs" dxfId="3" priority="348" operator="lessThan">
      <formula>E26</formula>
    </cfRule>
  </conditionalFormatting>
  <conditionalFormatting sqref="F27">
    <cfRule type="cellIs" dxfId="3" priority="349" operator="lessThan">
      <formula>E28</formula>
    </cfRule>
  </conditionalFormatting>
  <conditionalFormatting sqref="G27">
    <cfRule type="cellIs" dxfId="3" priority="350" operator="lessThan">
      <formula>E29</formula>
    </cfRule>
  </conditionalFormatting>
  <conditionalFormatting sqref="B28">
    <cfRule type="cellIs" dxfId="3" priority="351" operator="lessThan">
      <formula>F24</formula>
    </cfRule>
  </conditionalFormatting>
  <conditionalFormatting sqref="C28">
    <cfRule type="cellIs" dxfId="3" priority="352" operator="lessThan">
      <formula>F25</formula>
    </cfRule>
  </conditionalFormatting>
  <conditionalFormatting sqref="D28">
    <cfRule type="cellIs" dxfId="3" priority="353" operator="lessThan">
      <formula>F26</formula>
    </cfRule>
  </conditionalFormatting>
  <conditionalFormatting sqref="E28">
    <cfRule type="cellIs" dxfId="3" priority="354" operator="lessThan">
      <formula>F27</formula>
    </cfRule>
  </conditionalFormatting>
  <conditionalFormatting sqref="G28">
    <cfRule type="cellIs" dxfId="3" priority="355" operator="lessThan">
      <formula>F29</formula>
    </cfRule>
  </conditionalFormatting>
  <conditionalFormatting sqref="B29">
    <cfRule type="cellIs" dxfId="3" priority="356" operator="lessThan">
      <formula>G24</formula>
    </cfRule>
  </conditionalFormatting>
  <conditionalFormatting sqref="C29">
    <cfRule type="cellIs" dxfId="3" priority="357" operator="lessThan">
      <formula>G25</formula>
    </cfRule>
  </conditionalFormatting>
  <conditionalFormatting sqref="D29">
    <cfRule type="cellIs" dxfId="3" priority="358" operator="lessThan">
      <formula>G26</formula>
    </cfRule>
  </conditionalFormatting>
  <conditionalFormatting sqref="E29">
    <cfRule type="cellIs" dxfId="3" priority="359" operator="lessThan">
      <formula>G27</formula>
    </cfRule>
  </conditionalFormatting>
  <conditionalFormatting sqref="F29">
    <cfRule type="cellIs" dxfId="3" priority="360" operator="lessThan">
      <formula>G28</formula>
    </cfRule>
  </conditionalFormatting>
  <conditionalFormatting sqref="C33">
    <cfRule type="cellIs" dxfId="3" priority="361" operator="lessThan">
      <formula>B34</formula>
    </cfRule>
  </conditionalFormatting>
  <conditionalFormatting sqref="D33">
    <cfRule type="cellIs" dxfId="3" priority="362" operator="lessThan">
      <formula>B35</formula>
    </cfRule>
  </conditionalFormatting>
  <conditionalFormatting sqref="E33">
    <cfRule type="cellIs" dxfId="3" priority="363" operator="lessThan">
      <formula>B36</formula>
    </cfRule>
  </conditionalFormatting>
  <conditionalFormatting sqref="F33">
    <cfRule type="cellIs" dxfId="3" priority="364" operator="lessThan">
      <formula>B37</formula>
    </cfRule>
  </conditionalFormatting>
  <conditionalFormatting sqref="G33">
    <cfRule type="cellIs" dxfId="3" priority="365" operator="lessThan">
      <formula>B38</formula>
    </cfRule>
  </conditionalFormatting>
  <conditionalFormatting sqref="B34">
    <cfRule type="cellIs" dxfId="3" priority="366" operator="lessThan">
      <formula>C33</formula>
    </cfRule>
  </conditionalFormatting>
  <conditionalFormatting sqref="D34">
    <cfRule type="cellIs" dxfId="3" priority="367" operator="lessThan">
      <formula>C35</formula>
    </cfRule>
  </conditionalFormatting>
  <conditionalFormatting sqref="E34">
    <cfRule type="cellIs" dxfId="3" priority="368" operator="lessThan">
      <formula>C36</formula>
    </cfRule>
  </conditionalFormatting>
  <conditionalFormatting sqref="F34">
    <cfRule type="cellIs" dxfId="3" priority="369" operator="lessThan">
      <formula>C37</formula>
    </cfRule>
  </conditionalFormatting>
  <conditionalFormatting sqref="G34">
    <cfRule type="cellIs" dxfId="3" priority="370" operator="equal">
      <formula>C38</formula>
    </cfRule>
  </conditionalFormatting>
  <conditionalFormatting sqref="B35">
    <cfRule type="cellIs" dxfId="3" priority="371" operator="lessThan">
      <formula>D33</formula>
    </cfRule>
  </conditionalFormatting>
  <conditionalFormatting sqref="C35">
    <cfRule type="cellIs" dxfId="3" priority="372" operator="lessThan">
      <formula>D34</formula>
    </cfRule>
  </conditionalFormatting>
  <conditionalFormatting sqref="E35">
    <cfRule type="cellIs" dxfId="3" priority="373" operator="lessThan">
      <formula>D36</formula>
    </cfRule>
  </conditionalFormatting>
  <conditionalFormatting sqref="F35">
    <cfRule type="cellIs" dxfId="3" priority="374" operator="lessThan">
      <formula>D37</formula>
    </cfRule>
  </conditionalFormatting>
  <conditionalFormatting sqref="G35">
    <cfRule type="cellIs" dxfId="3" priority="375" operator="lessThan">
      <formula>D38</formula>
    </cfRule>
  </conditionalFormatting>
  <conditionalFormatting sqref="B36">
    <cfRule type="cellIs" dxfId="3" priority="376" operator="lessThan">
      <formula>E33</formula>
    </cfRule>
  </conditionalFormatting>
  <conditionalFormatting sqref="C36">
    <cfRule type="cellIs" dxfId="3" priority="377" operator="lessThan">
      <formula>E34</formula>
    </cfRule>
  </conditionalFormatting>
  <conditionalFormatting sqref="D36">
    <cfRule type="cellIs" dxfId="3" priority="378" operator="lessThan">
      <formula>E35</formula>
    </cfRule>
  </conditionalFormatting>
  <conditionalFormatting sqref="F36">
    <cfRule type="cellIs" dxfId="3" priority="379" operator="lessThan">
      <formula>E37</formula>
    </cfRule>
  </conditionalFormatting>
  <conditionalFormatting sqref="G36">
    <cfRule type="cellIs" dxfId="3" priority="380" operator="lessThan">
      <formula>E38</formula>
    </cfRule>
  </conditionalFormatting>
  <conditionalFormatting sqref="B37">
    <cfRule type="cellIs" dxfId="3" priority="381" operator="lessThan">
      <formula>F33</formula>
    </cfRule>
  </conditionalFormatting>
  <conditionalFormatting sqref="C37">
    <cfRule type="cellIs" dxfId="3" priority="382" operator="lessThan">
      <formula>F34</formula>
    </cfRule>
  </conditionalFormatting>
  <conditionalFormatting sqref="D37">
    <cfRule type="cellIs" dxfId="3" priority="383" operator="lessThan">
      <formula>F35</formula>
    </cfRule>
  </conditionalFormatting>
  <conditionalFormatting sqref="E37">
    <cfRule type="cellIs" dxfId="3" priority="384" operator="lessThan">
      <formula>F36</formula>
    </cfRule>
  </conditionalFormatting>
  <conditionalFormatting sqref="G37">
    <cfRule type="cellIs" dxfId="3" priority="385" operator="lessThan">
      <formula>F38</formula>
    </cfRule>
  </conditionalFormatting>
  <conditionalFormatting sqref="B38">
    <cfRule type="cellIs" dxfId="3" priority="386" operator="lessThan">
      <formula>G33</formula>
    </cfRule>
  </conditionalFormatting>
  <conditionalFormatting sqref="C38">
    <cfRule type="cellIs" dxfId="3" priority="387" operator="lessThan">
      <formula>G34</formula>
    </cfRule>
  </conditionalFormatting>
  <conditionalFormatting sqref="D38">
    <cfRule type="cellIs" dxfId="3" priority="388" operator="lessThan">
      <formula>G35</formula>
    </cfRule>
  </conditionalFormatting>
  <conditionalFormatting sqref="E38">
    <cfRule type="cellIs" dxfId="3" priority="389" operator="lessThan">
      <formula>G36</formula>
    </cfRule>
  </conditionalFormatting>
  <conditionalFormatting sqref="F38">
    <cfRule type="cellIs" dxfId="3" priority="390" operator="lessThan">
      <formula>G37</formula>
    </cfRule>
  </conditionalFormatting>
  <conditionalFormatting sqref="K6">
    <cfRule type="cellIs" dxfId="3" priority="391" operator="lessThan">
      <formula>J7</formula>
    </cfRule>
  </conditionalFormatting>
  <conditionalFormatting sqref="L6">
    <cfRule type="cellIs" dxfId="3" priority="392" operator="lessThan">
      <formula>J8</formula>
    </cfRule>
  </conditionalFormatting>
  <conditionalFormatting sqref="M6">
    <cfRule type="cellIs" dxfId="3" priority="393" operator="lessThan">
      <formula>J9</formula>
    </cfRule>
  </conditionalFormatting>
  <conditionalFormatting sqref="N6">
    <cfRule type="cellIs" dxfId="3" priority="394" operator="lessThan">
      <formula>J10</formula>
    </cfRule>
  </conditionalFormatting>
  <conditionalFormatting sqref="O6">
    <cfRule type="cellIs" dxfId="3" priority="395" operator="lessThan">
      <formula>J11</formula>
    </cfRule>
  </conditionalFormatting>
  <conditionalFormatting sqref="J7">
    <cfRule type="cellIs" dxfId="3" priority="396" operator="lessThan">
      <formula>K6</formula>
    </cfRule>
  </conditionalFormatting>
  <conditionalFormatting sqref="L7">
    <cfRule type="cellIs" dxfId="3" priority="397" operator="lessThan">
      <formula>K8</formula>
    </cfRule>
  </conditionalFormatting>
  <conditionalFormatting sqref="M7">
    <cfRule type="cellIs" dxfId="3" priority="398" operator="lessThan">
      <formula>K9</formula>
    </cfRule>
  </conditionalFormatting>
  <conditionalFormatting sqref="N7">
    <cfRule type="cellIs" dxfId="3" priority="399" operator="lessThan">
      <formula>K10</formula>
    </cfRule>
  </conditionalFormatting>
  <conditionalFormatting sqref="O7">
    <cfRule type="cellIs" dxfId="3" priority="400" operator="lessThan">
      <formula>K11</formula>
    </cfRule>
  </conditionalFormatting>
  <conditionalFormatting sqref="J8">
    <cfRule type="cellIs" dxfId="3" priority="401" operator="lessThan">
      <formula>L6</formula>
    </cfRule>
  </conditionalFormatting>
  <conditionalFormatting sqref="K8">
    <cfRule type="cellIs" dxfId="3" priority="402" operator="lessThan">
      <formula>L7</formula>
    </cfRule>
  </conditionalFormatting>
  <conditionalFormatting sqref="M8">
    <cfRule type="cellIs" dxfId="3" priority="403" operator="lessThan">
      <formula>L9</formula>
    </cfRule>
  </conditionalFormatting>
  <conditionalFormatting sqref="N8">
    <cfRule type="cellIs" dxfId="3" priority="404" operator="lessThan">
      <formula>L10</formula>
    </cfRule>
  </conditionalFormatting>
  <conditionalFormatting sqref="O8">
    <cfRule type="cellIs" dxfId="3" priority="405" operator="lessThan">
      <formula>L11</formula>
    </cfRule>
  </conditionalFormatting>
  <conditionalFormatting sqref="J9">
    <cfRule type="cellIs" dxfId="3" priority="406" operator="lessThan">
      <formula>M6</formula>
    </cfRule>
  </conditionalFormatting>
  <conditionalFormatting sqref="K9">
    <cfRule type="cellIs" dxfId="3" priority="407" operator="lessThan">
      <formula>M7</formula>
    </cfRule>
  </conditionalFormatting>
  <conditionalFormatting sqref="L9">
    <cfRule type="cellIs" dxfId="3" priority="408" operator="lessThan">
      <formula>M8</formula>
    </cfRule>
  </conditionalFormatting>
  <conditionalFormatting sqref="N9">
    <cfRule type="cellIs" dxfId="3" priority="409" operator="lessThan">
      <formula>M10</formula>
    </cfRule>
  </conditionalFormatting>
  <conditionalFormatting sqref="O9">
    <cfRule type="cellIs" dxfId="3" priority="410" operator="lessThan">
      <formula>M11</formula>
    </cfRule>
  </conditionalFormatting>
  <conditionalFormatting sqref="J10">
    <cfRule type="cellIs" dxfId="3" priority="411" operator="lessThan">
      <formula>N6</formula>
    </cfRule>
  </conditionalFormatting>
  <conditionalFormatting sqref="K10">
    <cfRule type="cellIs" dxfId="3" priority="412" operator="lessThan">
      <formula>N7</formula>
    </cfRule>
  </conditionalFormatting>
  <conditionalFormatting sqref="L10">
    <cfRule type="cellIs" dxfId="3" priority="413" operator="lessThan">
      <formula>N8</formula>
    </cfRule>
  </conditionalFormatting>
  <conditionalFormatting sqref="M10">
    <cfRule type="cellIs" dxfId="3" priority="414" operator="lessThan">
      <formula>N9</formula>
    </cfRule>
  </conditionalFormatting>
  <conditionalFormatting sqref="O10">
    <cfRule type="cellIs" dxfId="3" priority="415" operator="lessThan">
      <formula>N11</formula>
    </cfRule>
  </conditionalFormatting>
  <conditionalFormatting sqref="J11">
    <cfRule type="cellIs" dxfId="3" priority="416" operator="lessThan">
      <formula>O6</formula>
    </cfRule>
  </conditionalFormatting>
  <conditionalFormatting sqref="K11">
    <cfRule type="cellIs" dxfId="3" priority="417" operator="lessThan">
      <formula>O7</formula>
    </cfRule>
  </conditionalFormatting>
  <conditionalFormatting sqref="L11">
    <cfRule type="cellIs" dxfId="3" priority="418" operator="lessThan">
      <formula>O8</formula>
    </cfRule>
  </conditionalFormatting>
  <conditionalFormatting sqref="M11">
    <cfRule type="cellIs" dxfId="3" priority="419" operator="lessThan">
      <formula>O9</formula>
    </cfRule>
  </conditionalFormatting>
  <conditionalFormatting sqref="N11">
    <cfRule type="cellIs" dxfId="3" priority="420" operator="lessThan">
      <formula>O10</formula>
    </cfRule>
  </conditionalFormatting>
  <conditionalFormatting sqref="K15">
    <cfRule type="cellIs" dxfId="3" priority="421" operator="lessThan">
      <formula>J16</formula>
    </cfRule>
  </conditionalFormatting>
  <conditionalFormatting sqref="L15">
    <cfRule type="cellIs" dxfId="3" priority="422" operator="lessThan">
      <formula>J17</formula>
    </cfRule>
  </conditionalFormatting>
  <conditionalFormatting sqref="M15">
    <cfRule type="cellIs" dxfId="3" priority="423" operator="lessThan">
      <formula>J18</formula>
    </cfRule>
  </conditionalFormatting>
  <conditionalFormatting sqref="N15">
    <cfRule type="cellIs" dxfId="3" priority="424" operator="lessThan">
      <formula>J19</formula>
    </cfRule>
  </conditionalFormatting>
  <conditionalFormatting sqref="O15">
    <cfRule type="cellIs" dxfId="3" priority="425" operator="lessThan">
      <formula>J20</formula>
    </cfRule>
  </conditionalFormatting>
  <conditionalFormatting sqref="J16">
    <cfRule type="cellIs" dxfId="3" priority="426" operator="lessThan">
      <formula>K15</formula>
    </cfRule>
  </conditionalFormatting>
  <conditionalFormatting sqref="L16">
    <cfRule type="cellIs" dxfId="3" priority="427" operator="lessThan">
      <formula>K17</formula>
    </cfRule>
  </conditionalFormatting>
  <conditionalFormatting sqref="M16">
    <cfRule type="cellIs" dxfId="3" priority="428" operator="lessThan">
      <formula>K18</formula>
    </cfRule>
  </conditionalFormatting>
  <conditionalFormatting sqref="N16">
    <cfRule type="cellIs" dxfId="3" priority="429" operator="lessThan">
      <formula>K19</formula>
    </cfRule>
  </conditionalFormatting>
  <conditionalFormatting sqref="O16">
    <cfRule type="cellIs" dxfId="3" priority="430" operator="lessThan">
      <formula>K20</formula>
    </cfRule>
  </conditionalFormatting>
  <conditionalFormatting sqref="J17">
    <cfRule type="cellIs" dxfId="3" priority="431" operator="lessThan">
      <formula>L15</formula>
    </cfRule>
  </conditionalFormatting>
  <conditionalFormatting sqref="K17">
    <cfRule type="cellIs" dxfId="3" priority="432" operator="lessThan">
      <formula>L16</formula>
    </cfRule>
  </conditionalFormatting>
  <conditionalFormatting sqref="M17">
    <cfRule type="cellIs" dxfId="3" priority="433" operator="lessThan">
      <formula>L18</formula>
    </cfRule>
  </conditionalFormatting>
  <conditionalFormatting sqref="N17">
    <cfRule type="cellIs" dxfId="3" priority="434" operator="lessThan">
      <formula>L19</formula>
    </cfRule>
  </conditionalFormatting>
  <conditionalFormatting sqref="O17">
    <cfRule type="cellIs" dxfId="3" priority="435" operator="lessThan">
      <formula>L20</formula>
    </cfRule>
  </conditionalFormatting>
  <conditionalFormatting sqref="J18">
    <cfRule type="cellIs" dxfId="3" priority="436" operator="lessThan">
      <formula>M15</formula>
    </cfRule>
  </conditionalFormatting>
  <conditionalFormatting sqref="K18">
    <cfRule type="cellIs" dxfId="3" priority="437" operator="lessThan">
      <formula>M16</formula>
    </cfRule>
  </conditionalFormatting>
  <conditionalFormatting sqref="L18">
    <cfRule type="cellIs" dxfId="3" priority="438" operator="lessThan">
      <formula>M17</formula>
    </cfRule>
  </conditionalFormatting>
  <conditionalFormatting sqref="N18">
    <cfRule type="cellIs" dxfId="3" priority="439" operator="lessThan">
      <formula>M19</formula>
    </cfRule>
  </conditionalFormatting>
  <conditionalFormatting sqref="O18">
    <cfRule type="cellIs" dxfId="3" priority="440" operator="lessThan">
      <formula>M20</formula>
    </cfRule>
  </conditionalFormatting>
  <conditionalFormatting sqref="J19">
    <cfRule type="cellIs" dxfId="3" priority="441" operator="lessThan">
      <formula>N15</formula>
    </cfRule>
  </conditionalFormatting>
  <conditionalFormatting sqref="K19">
    <cfRule type="cellIs" dxfId="3" priority="442" operator="lessThan">
      <formula>N16</formula>
    </cfRule>
  </conditionalFormatting>
  <conditionalFormatting sqref="L19">
    <cfRule type="cellIs" dxfId="3" priority="443" operator="lessThan">
      <formula>N17</formula>
    </cfRule>
  </conditionalFormatting>
  <conditionalFormatting sqref="M19">
    <cfRule type="cellIs" dxfId="3" priority="444" operator="lessThan">
      <formula>N18</formula>
    </cfRule>
  </conditionalFormatting>
  <conditionalFormatting sqref="O19">
    <cfRule type="cellIs" dxfId="3" priority="445" operator="lessThan">
      <formula>N20</formula>
    </cfRule>
  </conditionalFormatting>
  <conditionalFormatting sqref="J20">
    <cfRule type="cellIs" dxfId="3" priority="446" operator="lessThan">
      <formula>O15</formula>
    </cfRule>
  </conditionalFormatting>
  <conditionalFormatting sqref="K20">
    <cfRule type="cellIs" dxfId="3" priority="447" operator="lessThan">
      <formula>O16</formula>
    </cfRule>
  </conditionalFormatting>
  <conditionalFormatting sqref="L20">
    <cfRule type="cellIs" dxfId="3" priority="448" operator="lessThan">
      <formula>O17</formula>
    </cfRule>
  </conditionalFormatting>
  <conditionalFormatting sqref="M20">
    <cfRule type="cellIs" dxfId="3" priority="449" operator="lessThan">
      <formula>O18</formula>
    </cfRule>
  </conditionalFormatting>
  <conditionalFormatting sqref="N20">
    <cfRule type="cellIs" dxfId="3" priority="450" operator="lessThan">
      <formula>O19</formula>
    </cfRule>
  </conditionalFormatting>
  <conditionalFormatting sqref="K24">
    <cfRule type="cellIs" dxfId="3" priority="451" operator="lessThan">
      <formula>J25</formula>
    </cfRule>
  </conditionalFormatting>
  <conditionalFormatting sqref="L24">
    <cfRule type="cellIs" dxfId="3" priority="452" operator="lessThan">
      <formula>J26</formula>
    </cfRule>
  </conditionalFormatting>
  <conditionalFormatting sqref="M24">
    <cfRule type="cellIs" dxfId="3" priority="453" operator="lessThan">
      <formula>J27</formula>
    </cfRule>
  </conditionalFormatting>
  <conditionalFormatting sqref="N24">
    <cfRule type="cellIs" dxfId="3" priority="454" operator="lessThan">
      <formula>J28</formula>
    </cfRule>
  </conditionalFormatting>
  <conditionalFormatting sqref="O24">
    <cfRule type="cellIs" dxfId="3" priority="455" operator="lessThan">
      <formula>J29</formula>
    </cfRule>
  </conditionalFormatting>
  <conditionalFormatting sqref="J25">
    <cfRule type="cellIs" dxfId="3" priority="456" operator="lessThan">
      <formula>K24</formula>
    </cfRule>
  </conditionalFormatting>
  <conditionalFormatting sqref="L25">
    <cfRule type="cellIs" dxfId="3" priority="457" operator="lessThan">
      <formula>K26</formula>
    </cfRule>
  </conditionalFormatting>
  <conditionalFormatting sqref="M25">
    <cfRule type="cellIs" dxfId="3" priority="458" operator="lessThan">
      <formula>K27</formula>
    </cfRule>
  </conditionalFormatting>
  <conditionalFormatting sqref="N25">
    <cfRule type="cellIs" dxfId="3" priority="459" operator="lessThan">
      <formula>K28</formula>
    </cfRule>
  </conditionalFormatting>
  <conditionalFormatting sqref="O25">
    <cfRule type="cellIs" dxfId="3" priority="460" operator="lessThan">
      <formula>K29</formula>
    </cfRule>
  </conditionalFormatting>
  <conditionalFormatting sqref="J26">
    <cfRule type="cellIs" dxfId="3" priority="461" operator="lessThan">
      <formula>L24</formula>
    </cfRule>
  </conditionalFormatting>
  <conditionalFormatting sqref="K26">
    <cfRule type="cellIs" dxfId="3" priority="462" operator="lessThan">
      <formula>L25</formula>
    </cfRule>
  </conditionalFormatting>
  <conditionalFormatting sqref="M26">
    <cfRule type="cellIs" dxfId="3" priority="463" operator="lessThan">
      <formula>L27</formula>
    </cfRule>
  </conditionalFormatting>
  <conditionalFormatting sqref="N26">
    <cfRule type="cellIs" dxfId="3" priority="464" operator="lessThan">
      <formula>L28</formula>
    </cfRule>
  </conditionalFormatting>
  <conditionalFormatting sqref="O26">
    <cfRule type="cellIs" dxfId="3" priority="465" operator="lessThan">
      <formula>L29</formula>
    </cfRule>
  </conditionalFormatting>
  <conditionalFormatting sqref="J27">
    <cfRule type="cellIs" dxfId="3" priority="466" operator="lessThan">
      <formula>M24</formula>
    </cfRule>
  </conditionalFormatting>
  <conditionalFormatting sqref="K27">
    <cfRule type="cellIs" dxfId="3" priority="467" operator="lessThan">
      <formula>M25</formula>
    </cfRule>
  </conditionalFormatting>
  <conditionalFormatting sqref="L27">
    <cfRule type="cellIs" dxfId="3" priority="468" operator="lessThan">
      <formula>M26</formula>
    </cfRule>
  </conditionalFormatting>
  <conditionalFormatting sqref="N27">
    <cfRule type="cellIs" dxfId="3" priority="469" operator="lessThan">
      <formula>M28</formula>
    </cfRule>
  </conditionalFormatting>
  <conditionalFormatting sqref="O27">
    <cfRule type="cellIs" dxfId="3" priority="470" operator="lessThan">
      <formula>M29</formula>
    </cfRule>
  </conditionalFormatting>
  <conditionalFormatting sqref="J28">
    <cfRule type="cellIs" dxfId="3" priority="471" operator="lessThan">
      <formula>N24</formula>
    </cfRule>
  </conditionalFormatting>
  <conditionalFormatting sqref="K28">
    <cfRule type="cellIs" dxfId="3" priority="472" operator="lessThan">
      <formula>N25</formula>
    </cfRule>
  </conditionalFormatting>
  <conditionalFormatting sqref="L28">
    <cfRule type="cellIs" dxfId="3" priority="473" operator="lessThan">
      <formula>N26</formula>
    </cfRule>
  </conditionalFormatting>
  <conditionalFormatting sqref="M28">
    <cfRule type="cellIs" dxfId="3" priority="474" operator="lessThan">
      <formula>N27</formula>
    </cfRule>
  </conditionalFormatting>
  <conditionalFormatting sqref="O28">
    <cfRule type="cellIs" dxfId="3" priority="475" operator="lessThan">
      <formula>N29</formula>
    </cfRule>
  </conditionalFormatting>
  <conditionalFormatting sqref="J29">
    <cfRule type="cellIs" dxfId="3" priority="476" operator="lessThan">
      <formula>O24</formula>
    </cfRule>
  </conditionalFormatting>
  <conditionalFormatting sqref="K29">
    <cfRule type="cellIs" dxfId="3" priority="477" operator="lessThan">
      <formula>O25</formula>
    </cfRule>
  </conditionalFormatting>
  <conditionalFormatting sqref="L29">
    <cfRule type="cellIs" dxfId="3" priority="478" operator="lessThan">
      <formula>O26</formula>
    </cfRule>
  </conditionalFormatting>
  <conditionalFormatting sqref="M29">
    <cfRule type="cellIs" dxfId="3" priority="479" operator="lessThan">
      <formula>O27</formula>
    </cfRule>
  </conditionalFormatting>
  <conditionalFormatting sqref="N29">
    <cfRule type="cellIs" dxfId="3" priority="480" operator="lessThan">
      <formula>O28</formula>
    </cfRule>
  </conditionalFormatting>
  <conditionalFormatting sqref="C15">
    <cfRule type="cellIs" dxfId="0" priority="481" operator="greaterThan">
      <formula>B16</formula>
    </cfRule>
  </conditionalFormatting>
  <conditionalFormatting sqref="D15">
    <cfRule type="cellIs" dxfId="0" priority="482" operator="greaterThan">
      <formula>B17</formula>
    </cfRule>
  </conditionalFormatting>
  <conditionalFormatting sqref="E15">
    <cfRule type="cellIs" dxfId="0" priority="483" operator="greaterThan">
      <formula>B18</formula>
    </cfRule>
  </conditionalFormatting>
  <conditionalFormatting sqref="F15">
    <cfRule type="cellIs" dxfId="0" priority="484" operator="greaterThan">
      <formula>B19</formula>
    </cfRule>
  </conditionalFormatting>
  <conditionalFormatting sqref="G15">
    <cfRule type="cellIs" dxfId="0" priority="485" operator="greaterThan">
      <formula>B20</formula>
    </cfRule>
  </conditionalFormatting>
  <conditionalFormatting sqref="B16">
    <cfRule type="cellIs" dxfId="0" priority="486" operator="greaterThan">
      <formula>C15</formula>
    </cfRule>
  </conditionalFormatting>
  <conditionalFormatting sqref="D16">
    <cfRule type="cellIs" dxfId="0" priority="487" operator="greaterThan">
      <formula>C17</formula>
    </cfRule>
  </conditionalFormatting>
  <conditionalFormatting sqref="E16">
    <cfRule type="cellIs" dxfId="0" priority="488" operator="greaterThan">
      <formula>C18</formula>
    </cfRule>
  </conditionalFormatting>
  <conditionalFormatting sqref="F16">
    <cfRule type="cellIs" dxfId="0" priority="489" operator="greaterThan">
      <formula>C19</formula>
    </cfRule>
  </conditionalFormatting>
  <conditionalFormatting sqref="G16">
    <cfRule type="cellIs" dxfId="0" priority="490" operator="greaterThan">
      <formula>C20</formula>
    </cfRule>
  </conditionalFormatting>
  <conditionalFormatting sqref="B17">
    <cfRule type="cellIs" dxfId="0" priority="491" operator="greaterThan">
      <formula>D15</formula>
    </cfRule>
  </conditionalFormatting>
  <conditionalFormatting sqref="C17">
    <cfRule type="cellIs" dxfId="0" priority="492" operator="greaterThan">
      <formula>D16</formula>
    </cfRule>
  </conditionalFormatting>
  <conditionalFormatting sqref="E17">
    <cfRule type="cellIs" dxfId="0" priority="493" operator="greaterThan">
      <formula>D18</formula>
    </cfRule>
  </conditionalFormatting>
  <conditionalFormatting sqref="F17">
    <cfRule type="cellIs" dxfId="0" priority="494" operator="greaterThan">
      <formula>D19</formula>
    </cfRule>
  </conditionalFormatting>
  <conditionalFormatting sqref="G17">
    <cfRule type="cellIs" dxfId="0" priority="495" operator="greaterThan">
      <formula>D20</formula>
    </cfRule>
  </conditionalFormatting>
  <conditionalFormatting sqref="B18">
    <cfRule type="cellIs" dxfId="0" priority="496" operator="greaterThan">
      <formula>E15</formula>
    </cfRule>
  </conditionalFormatting>
  <conditionalFormatting sqref="C18">
    <cfRule type="cellIs" dxfId="0" priority="497" operator="greaterThan">
      <formula>E16</formula>
    </cfRule>
  </conditionalFormatting>
  <conditionalFormatting sqref="D18">
    <cfRule type="cellIs" dxfId="0" priority="498" operator="greaterThan">
      <formula>E17</formula>
    </cfRule>
  </conditionalFormatting>
  <conditionalFormatting sqref="F18">
    <cfRule type="cellIs" dxfId="0" priority="499" operator="greaterThan">
      <formula>E19</formula>
    </cfRule>
  </conditionalFormatting>
  <conditionalFormatting sqref="G18">
    <cfRule type="cellIs" dxfId="0" priority="500" operator="greaterThan">
      <formula>E20</formula>
    </cfRule>
  </conditionalFormatting>
  <conditionalFormatting sqref="B19">
    <cfRule type="cellIs" dxfId="0" priority="501" operator="greaterThan">
      <formula>F15</formula>
    </cfRule>
  </conditionalFormatting>
  <conditionalFormatting sqref="C19">
    <cfRule type="cellIs" dxfId="0" priority="502" operator="greaterThan">
      <formula>F16</formula>
    </cfRule>
  </conditionalFormatting>
  <conditionalFormatting sqref="D19">
    <cfRule type="cellIs" dxfId="0" priority="503" operator="greaterThan">
      <formula>F17</formula>
    </cfRule>
  </conditionalFormatting>
  <conditionalFormatting sqref="E19">
    <cfRule type="cellIs" dxfId="0" priority="504" operator="greaterThan">
      <formula>F18</formula>
    </cfRule>
  </conditionalFormatting>
  <conditionalFormatting sqref="G19">
    <cfRule type="cellIs" dxfId="0" priority="505" operator="greaterThan">
      <formula>F20</formula>
    </cfRule>
  </conditionalFormatting>
  <conditionalFormatting sqref="B20">
    <cfRule type="cellIs" dxfId="0" priority="506" operator="greaterThan">
      <formula>G15</formula>
    </cfRule>
  </conditionalFormatting>
  <conditionalFormatting sqref="C20">
    <cfRule type="cellIs" dxfId="0" priority="507" operator="greaterThan">
      <formula>G16</formula>
    </cfRule>
  </conditionalFormatting>
  <conditionalFormatting sqref="D20">
    <cfRule type="cellIs" dxfId="0" priority="508" operator="greaterThan">
      <formula>G17</formula>
    </cfRule>
  </conditionalFormatting>
  <conditionalFormatting sqref="E20">
    <cfRule type="cellIs" dxfId="0" priority="509" operator="greaterThan">
      <formula>G18</formula>
    </cfRule>
  </conditionalFormatting>
  <conditionalFormatting sqref="F20">
    <cfRule type="cellIs" dxfId="0" priority="510" operator="greaterThan">
      <formula>G19</formula>
    </cfRule>
  </conditionalFormatting>
  <conditionalFormatting sqref="K15">
    <cfRule type="cellIs" dxfId="0" priority="511" operator="greaterThan">
      <formula>J16</formula>
    </cfRule>
  </conditionalFormatting>
  <conditionalFormatting sqref="L15">
    <cfRule type="cellIs" dxfId="0" priority="512" operator="greaterThan">
      <formula>J17</formula>
    </cfRule>
  </conditionalFormatting>
  <conditionalFormatting sqref="M15">
    <cfRule type="cellIs" dxfId="0" priority="513" operator="greaterThan">
      <formula>J18</formula>
    </cfRule>
  </conditionalFormatting>
  <conditionalFormatting sqref="N15">
    <cfRule type="cellIs" dxfId="0" priority="514" operator="greaterThan">
      <formula>J19</formula>
    </cfRule>
  </conditionalFormatting>
  <conditionalFormatting sqref="O15">
    <cfRule type="cellIs" dxfId="0" priority="515" operator="greaterThan">
      <formula>J20</formula>
    </cfRule>
  </conditionalFormatting>
  <conditionalFormatting sqref="J16">
    <cfRule type="cellIs" dxfId="0" priority="516" operator="greaterThan">
      <formula>K15</formula>
    </cfRule>
  </conditionalFormatting>
  <conditionalFormatting sqref="L16">
    <cfRule type="cellIs" dxfId="0" priority="517" operator="greaterThan">
      <formula>K17</formula>
    </cfRule>
  </conditionalFormatting>
  <conditionalFormatting sqref="M16">
    <cfRule type="cellIs" dxfId="0" priority="518" operator="greaterThan">
      <formula>K18</formula>
    </cfRule>
  </conditionalFormatting>
  <conditionalFormatting sqref="N16">
    <cfRule type="cellIs" dxfId="0" priority="519" operator="greaterThan">
      <formula>K19</formula>
    </cfRule>
  </conditionalFormatting>
  <conditionalFormatting sqref="O16">
    <cfRule type="cellIs" dxfId="0" priority="520" operator="greaterThan">
      <formula>K20</formula>
    </cfRule>
  </conditionalFormatting>
  <conditionalFormatting sqref="J17">
    <cfRule type="cellIs" dxfId="0" priority="521" operator="greaterThan">
      <formula>L15</formula>
    </cfRule>
  </conditionalFormatting>
  <conditionalFormatting sqref="K17">
    <cfRule type="cellIs" dxfId="0" priority="522" operator="greaterThan">
      <formula>L16</formula>
    </cfRule>
  </conditionalFormatting>
  <conditionalFormatting sqref="M17">
    <cfRule type="cellIs" dxfId="0" priority="523" operator="greaterThan">
      <formula>L18</formula>
    </cfRule>
  </conditionalFormatting>
  <conditionalFormatting sqref="N17">
    <cfRule type="cellIs" dxfId="0" priority="524" operator="greaterThan">
      <formula>L19</formula>
    </cfRule>
  </conditionalFormatting>
  <conditionalFormatting sqref="O17">
    <cfRule type="cellIs" dxfId="0" priority="525" operator="greaterThan">
      <formula>L20</formula>
    </cfRule>
  </conditionalFormatting>
  <conditionalFormatting sqref="J18">
    <cfRule type="cellIs" dxfId="0" priority="526" operator="greaterThan">
      <formula>M15</formula>
    </cfRule>
  </conditionalFormatting>
  <conditionalFormatting sqref="K18">
    <cfRule type="cellIs" dxfId="0" priority="527" operator="greaterThan">
      <formula>M16</formula>
    </cfRule>
  </conditionalFormatting>
  <conditionalFormatting sqref="L18">
    <cfRule type="cellIs" dxfId="0" priority="528" operator="greaterThan">
      <formula>M17</formula>
    </cfRule>
  </conditionalFormatting>
  <conditionalFormatting sqref="N18">
    <cfRule type="cellIs" dxfId="0" priority="529" operator="greaterThan">
      <formula>M19</formula>
    </cfRule>
  </conditionalFormatting>
  <conditionalFormatting sqref="O18">
    <cfRule type="cellIs" dxfId="0" priority="530" operator="greaterThan">
      <formula>M20</formula>
    </cfRule>
  </conditionalFormatting>
  <conditionalFormatting sqref="J19">
    <cfRule type="cellIs" dxfId="0" priority="531" operator="greaterThan">
      <formula>N15</formula>
    </cfRule>
  </conditionalFormatting>
  <conditionalFormatting sqref="K19">
    <cfRule type="cellIs" dxfId="0" priority="532" operator="greaterThan">
      <formula>N16</formula>
    </cfRule>
  </conditionalFormatting>
  <conditionalFormatting sqref="L19">
    <cfRule type="cellIs" dxfId="0" priority="533" operator="greaterThan">
      <formula>N17</formula>
    </cfRule>
  </conditionalFormatting>
  <conditionalFormatting sqref="M19">
    <cfRule type="cellIs" dxfId="0" priority="534" operator="greaterThan">
      <formula>N18</formula>
    </cfRule>
  </conditionalFormatting>
  <conditionalFormatting sqref="O19">
    <cfRule type="cellIs" dxfId="0" priority="535" operator="greaterThan">
      <formula>N20</formula>
    </cfRule>
  </conditionalFormatting>
  <conditionalFormatting sqref="J20">
    <cfRule type="cellIs" dxfId="0" priority="536" operator="greaterThan">
      <formula>O15</formula>
    </cfRule>
  </conditionalFormatting>
  <conditionalFormatting sqref="K20">
    <cfRule type="cellIs" dxfId="0" priority="537" operator="greaterThan">
      <formula>O16</formula>
    </cfRule>
  </conditionalFormatting>
  <conditionalFormatting sqref="L20">
    <cfRule type="cellIs" dxfId="0" priority="538" operator="greaterThan">
      <formula>O17</formula>
    </cfRule>
  </conditionalFormatting>
  <conditionalFormatting sqref="M20">
    <cfRule type="cellIs" dxfId="0" priority="539" operator="greaterThan">
      <formula>O18</formula>
    </cfRule>
  </conditionalFormatting>
  <conditionalFormatting sqref="N20">
    <cfRule type="cellIs" dxfId="0" priority="540" operator="greaterThan">
      <formula>O19</formula>
    </cfRule>
  </conditionalFormatting>
  <conditionalFormatting sqref="C24">
    <cfRule type="cellIs" dxfId="0" priority="541" operator="greaterThan">
      <formula>B25</formula>
    </cfRule>
  </conditionalFormatting>
  <conditionalFormatting sqref="D24">
    <cfRule type="cellIs" dxfId="0" priority="542" operator="greaterThan">
      <formula>B26</formula>
    </cfRule>
  </conditionalFormatting>
  <conditionalFormatting sqref="E24">
    <cfRule type="cellIs" dxfId="0" priority="543" operator="greaterThan">
      <formula>B27</formula>
    </cfRule>
  </conditionalFormatting>
  <conditionalFormatting sqref="F24">
    <cfRule type="cellIs" dxfId="0" priority="544" operator="greaterThan">
      <formula>B28</formula>
    </cfRule>
  </conditionalFormatting>
  <conditionalFormatting sqref="G24">
    <cfRule type="cellIs" dxfId="0" priority="545" operator="greaterThan">
      <formula>B29</formula>
    </cfRule>
  </conditionalFormatting>
  <conditionalFormatting sqref="B25">
    <cfRule type="cellIs" dxfId="0" priority="546" operator="greaterThan">
      <formula>C24</formula>
    </cfRule>
  </conditionalFormatting>
  <conditionalFormatting sqref="D25">
    <cfRule type="cellIs" dxfId="0" priority="547" operator="greaterThan">
      <formula>C26</formula>
    </cfRule>
  </conditionalFormatting>
  <conditionalFormatting sqref="E25">
    <cfRule type="cellIs" dxfId="0" priority="548" operator="greaterThan">
      <formula>C27</formula>
    </cfRule>
  </conditionalFormatting>
  <conditionalFormatting sqref="F25">
    <cfRule type="cellIs" dxfId="0" priority="549" operator="greaterThan">
      <formula>C28</formula>
    </cfRule>
  </conditionalFormatting>
  <conditionalFormatting sqref="G25">
    <cfRule type="cellIs" dxfId="0" priority="550" operator="greaterThan">
      <formula>C29</formula>
    </cfRule>
  </conditionalFormatting>
  <conditionalFormatting sqref="B26">
    <cfRule type="cellIs" dxfId="0" priority="551" operator="greaterThan">
      <formula>D24</formula>
    </cfRule>
  </conditionalFormatting>
  <conditionalFormatting sqref="C26">
    <cfRule type="cellIs" dxfId="0" priority="552" operator="greaterThan">
      <formula>D25</formula>
    </cfRule>
  </conditionalFormatting>
  <conditionalFormatting sqref="E26">
    <cfRule type="cellIs" dxfId="0" priority="553" operator="greaterThan">
      <formula>D27</formula>
    </cfRule>
  </conditionalFormatting>
  <conditionalFormatting sqref="F26">
    <cfRule type="cellIs" dxfId="0" priority="554" operator="greaterThan">
      <formula>D28</formula>
    </cfRule>
  </conditionalFormatting>
  <conditionalFormatting sqref="G26">
    <cfRule type="cellIs" dxfId="0" priority="555" operator="greaterThan">
      <formula>D29</formula>
    </cfRule>
  </conditionalFormatting>
  <conditionalFormatting sqref="B27">
    <cfRule type="cellIs" dxfId="0" priority="556" operator="greaterThan">
      <formula>E24</formula>
    </cfRule>
  </conditionalFormatting>
  <conditionalFormatting sqref="C27">
    <cfRule type="cellIs" dxfId="0" priority="557" operator="greaterThan">
      <formula>E25</formula>
    </cfRule>
  </conditionalFormatting>
  <conditionalFormatting sqref="D27">
    <cfRule type="cellIs" dxfId="0" priority="558" operator="greaterThan">
      <formula>E26</formula>
    </cfRule>
  </conditionalFormatting>
  <conditionalFormatting sqref="F27">
    <cfRule type="cellIs" dxfId="0" priority="559" operator="greaterThan">
      <formula>E28</formula>
    </cfRule>
  </conditionalFormatting>
  <conditionalFormatting sqref="G27">
    <cfRule type="cellIs" dxfId="0" priority="560" operator="greaterThan">
      <formula>E29</formula>
    </cfRule>
  </conditionalFormatting>
  <conditionalFormatting sqref="B28">
    <cfRule type="cellIs" dxfId="0" priority="561" operator="greaterThan">
      <formula>F24</formula>
    </cfRule>
  </conditionalFormatting>
  <conditionalFormatting sqref="C28">
    <cfRule type="cellIs" dxfId="0" priority="562" operator="greaterThan">
      <formula>F25</formula>
    </cfRule>
  </conditionalFormatting>
  <conditionalFormatting sqref="D28">
    <cfRule type="cellIs" dxfId="0" priority="563" operator="greaterThan">
      <formula>F26</formula>
    </cfRule>
  </conditionalFormatting>
  <conditionalFormatting sqref="E28">
    <cfRule type="cellIs" dxfId="0" priority="564" operator="greaterThan">
      <formula>F27</formula>
    </cfRule>
  </conditionalFormatting>
  <conditionalFormatting sqref="G28">
    <cfRule type="cellIs" dxfId="0" priority="565" operator="greaterThan">
      <formula>F29</formula>
    </cfRule>
  </conditionalFormatting>
  <conditionalFormatting sqref="B29">
    <cfRule type="cellIs" dxfId="0" priority="566" operator="greaterThan">
      <formula>G24</formula>
    </cfRule>
  </conditionalFormatting>
  <conditionalFormatting sqref="C29">
    <cfRule type="cellIs" dxfId="0" priority="567" operator="greaterThan">
      <formula>G25</formula>
    </cfRule>
  </conditionalFormatting>
  <conditionalFormatting sqref="D29">
    <cfRule type="cellIs" dxfId="0" priority="568" operator="greaterThan">
      <formula>G26</formula>
    </cfRule>
  </conditionalFormatting>
  <conditionalFormatting sqref="E29">
    <cfRule type="cellIs" dxfId="0" priority="569" operator="greaterThan">
      <formula>G27</formula>
    </cfRule>
  </conditionalFormatting>
  <conditionalFormatting sqref="F29">
    <cfRule type="cellIs" dxfId="0" priority="570" operator="greaterThan">
      <formula>G28</formula>
    </cfRule>
  </conditionalFormatting>
  <conditionalFormatting sqref="K24">
    <cfRule type="cellIs" dxfId="0" priority="571" operator="greaterThan">
      <formula>J25</formula>
    </cfRule>
  </conditionalFormatting>
  <conditionalFormatting sqref="L24">
    <cfRule type="cellIs" dxfId="0" priority="572" operator="greaterThan">
      <formula>J26</formula>
    </cfRule>
  </conditionalFormatting>
  <conditionalFormatting sqref="M24">
    <cfRule type="cellIs" dxfId="0" priority="573" operator="greaterThan">
      <formula>J27</formula>
    </cfRule>
  </conditionalFormatting>
  <conditionalFormatting sqref="N24">
    <cfRule type="cellIs" dxfId="0" priority="574" operator="greaterThan">
      <formula>J28</formula>
    </cfRule>
  </conditionalFormatting>
  <conditionalFormatting sqref="O24">
    <cfRule type="cellIs" dxfId="0" priority="575" operator="greaterThan">
      <formula>J29</formula>
    </cfRule>
  </conditionalFormatting>
  <conditionalFormatting sqref="J25">
    <cfRule type="cellIs" dxfId="0" priority="576" operator="greaterThan">
      <formula>K24</formula>
    </cfRule>
  </conditionalFormatting>
  <conditionalFormatting sqref="L25">
    <cfRule type="cellIs" dxfId="0" priority="577" operator="greaterThan">
      <formula>K26</formula>
    </cfRule>
  </conditionalFormatting>
  <conditionalFormatting sqref="M25">
    <cfRule type="cellIs" dxfId="0" priority="578" operator="greaterThan">
      <formula>K27</formula>
    </cfRule>
  </conditionalFormatting>
  <conditionalFormatting sqref="N25">
    <cfRule type="cellIs" dxfId="0" priority="579" operator="greaterThan">
      <formula>K28</formula>
    </cfRule>
  </conditionalFormatting>
  <conditionalFormatting sqref="O25">
    <cfRule type="cellIs" dxfId="0" priority="580" operator="greaterThan">
      <formula>K29</formula>
    </cfRule>
  </conditionalFormatting>
  <conditionalFormatting sqref="J26">
    <cfRule type="cellIs" dxfId="0" priority="581" operator="greaterThan">
      <formula>L24</formula>
    </cfRule>
  </conditionalFormatting>
  <conditionalFormatting sqref="K26">
    <cfRule type="cellIs" dxfId="0" priority="582" operator="greaterThan">
      <formula>L25</formula>
    </cfRule>
  </conditionalFormatting>
  <conditionalFormatting sqref="M26">
    <cfRule type="cellIs" dxfId="0" priority="583" operator="greaterThan">
      <formula>L27</formula>
    </cfRule>
  </conditionalFormatting>
  <conditionalFormatting sqref="N26">
    <cfRule type="cellIs" dxfId="0" priority="584" operator="greaterThan">
      <formula>L28</formula>
    </cfRule>
  </conditionalFormatting>
  <conditionalFormatting sqref="O26">
    <cfRule type="cellIs" dxfId="0" priority="585" operator="greaterThan">
      <formula>L29</formula>
    </cfRule>
  </conditionalFormatting>
  <conditionalFormatting sqref="J27">
    <cfRule type="cellIs" dxfId="0" priority="586" operator="greaterThan">
      <formula>M24</formula>
    </cfRule>
  </conditionalFormatting>
  <conditionalFormatting sqref="K27">
    <cfRule type="cellIs" dxfId="0" priority="587" operator="greaterThan">
      <formula>M25</formula>
    </cfRule>
  </conditionalFormatting>
  <conditionalFormatting sqref="L27">
    <cfRule type="cellIs" dxfId="0" priority="588" operator="greaterThan">
      <formula>M26</formula>
    </cfRule>
  </conditionalFormatting>
  <conditionalFormatting sqref="N27">
    <cfRule type="cellIs" dxfId="0" priority="589" operator="greaterThan">
      <formula>M28</formula>
    </cfRule>
  </conditionalFormatting>
  <conditionalFormatting sqref="O27">
    <cfRule type="cellIs" dxfId="0" priority="590" operator="greaterThan">
      <formula>M29</formula>
    </cfRule>
  </conditionalFormatting>
  <conditionalFormatting sqref="J29">
    <cfRule type="cellIs" dxfId="0" priority="591" operator="greaterThan">
      <formula>O24</formula>
    </cfRule>
  </conditionalFormatting>
  <conditionalFormatting sqref="J28">
    <cfRule type="cellIs" dxfId="0" priority="592" operator="greaterThan">
      <formula>N24</formula>
    </cfRule>
  </conditionalFormatting>
  <conditionalFormatting sqref="K28">
    <cfRule type="cellIs" dxfId="0" priority="593" operator="greaterThan">
      <formula>N25</formula>
    </cfRule>
  </conditionalFormatting>
  <conditionalFormatting sqref="L28">
    <cfRule type="cellIs" dxfId="0" priority="594" operator="greaterThan">
      <formula>N26</formula>
    </cfRule>
  </conditionalFormatting>
  <conditionalFormatting sqref="M28">
    <cfRule type="cellIs" dxfId="0" priority="595" operator="greaterThan">
      <formula>N27</formula>
    </cfRule>
  </conditionalFormatting>
  <conditionalFormatting sqref="O28">
    <cfRule type="cellIs" dxfId="0" priority="596" operator="greaterThan">
      <formula>N29</formula>
    </cfRule>
  </conditionalFormatting>
  <conditionalFormatting sqref="K29">
    <cfRule type="cellIs" dxfId="0" priority="597" operator="greaterThan">
      <formula>O25</formula>
    </cfRule>
  </conditionalFormatting>
  <conditionalFormatting sqref="L29">
    <cfRule type="cellIs" dxfId="0" priority="598" operator="greaterThan">
      <formula>O26</formula>
    </cfRule>
  </conditionalFormatting>
  <conditionalFormatting sqref="M29">
    <cfRule type="cellIs" dxfId="0" priority="599" operator="greaterThan">
      <formula>O27</formula>
    </cfRule>
  </conditionalFormatting>
  <conditionalFormatting sqref="N29">
    <cfRule type="cellIs" dxfId="0" priority="600" operator="greaterThan">
      <formula>O28</formula>
    </cfRule>
  </conditionalFormatting>
  <conditionalFormatting sqref="C33">
    <cfRule type="cellIs" dxfId="0" priority="601" operator="greaterThan">
      <formula>B34</formula>
    </cfRule>
  </conditionalFormatting>
  <conditionalFormatting sqref="D33">
    <cfRule type="cellIs" dxfId="0" priority="602" operator="greaterThan">
      <formula>B35</formula>
    </cfRule>
  </conditionalFormatting>
  <conditionalFormatting sqref="E33">
    <cfRule type="cellIs" dxfId="0" priority="603" operator="greaterThan">
      <formula>B36</formula>
    </cfRule>
  </conditionalFormatting>
  <conditionalFormatting sqref="F33">
    <cfRule type="cellIs" dxfId="0" priority="604" operator="greaterThan">
      <formula>B37</formula>
    </cfRule>
  </conditionalFormatting>
  <conditionalFormatting sqref="G33">
    <cfRule type="cellIs" dxfId="0" priority="605" operator="greaterThan">
      <formula>B38</formula>
    </cfRule>
  </conditionalFormatting>
  <conditionalFormatting sqref="B34">
    <cfRule type="cellIs" dxfId="0" priority="606" operator="greaterThan">
      <formula>C33</formula>
    </cfRule>
  </conditionalFormatting>
  <conditionalFormatting sqref="D34">
    <cfRule type="cellIs" dxfId="0" priority="607" operator="greaterThan">
      <formula>C35</formula>
    </cfRule>
  </conditionalFormatting>
  <conditionalFormatting sqref="E34">
    <cfRule type="cellIs" dxfId="0" priority="608" operator="greaterThan">
      <formula>C36</formula>
    </cfRule>
  </conditionalFormatting>
  <conditionalFormatting sqref="F34">
    <cfRule type="cellIs" dxfId="0" priority="609" operator="greaterThan">
      <formula>C37</formula>
    </cfRule>
  </conditionalFormatting>
  <conditionalFormatting sqref="G34">
    <cfRule type="cellIs" dxfId="0" priority="610" operator="greaterThan">
      <formula>C38</formula>
    </cfRule>
  </conditionalFormatting>
  <conditionalFormatting sqref="B35">
    <cfRule type="cellIs" dxfId="0" priority="611" operator="greaterThan">
      <formula>D33</formula>
    </cfRule>
  </conditionalFormatting>
  <conditionalFormatting sqref="C35">
    <cfRule type="cellIs" dxfId="0" priority="612" operator="greaterThan">
      <formula>D34</formula>
    </cfRule>
  </conditionalFormatting>
  <conditionalFormatting sqref="E35">
    <cfRule type="cellIs" dxfId="0" priority="613" operator="greaterThan">
      <formula>D36</formula>
    </cfRule>
  </conditionalFormatting>
  <conditionalFormatting sqref="F35">
    <cfRule type="cellIs" dxfId="0" priority="614" operator="greaterThan">
      <formula>D37</formula>
    </cfRule>
  </conditionalFormatting>
  <conditionalFormatting sqref="G35">
    <cfRule type="cellIs" dxfId="0" priority="615" operator="greaterThan">
      <formula>D38</formula>
    </cfRule>
  </conditionalFormatting>
  <conditionalFormatting sqref="B36">
    <cfRule type="cellIs" dxfId="0" priority="616" operator="greaterThan">
      <formula>E33</formula>
    </cfRule>
  </conditionalFormatting>
  <conditionalFormatting sqref="C36">
    <cfRule type="cellIs" dxfId="0" priority="617" operator="greaterThan">
      <formula>E34</formula>
    </cfRule>
  </conditionalFormatting>
  <conditionalFormatting sqref="D36">
    <cfRule type="cellIs" dxfId="0" priority="618" operator="greaterThan">
      <formula>E35</formula>
    </cfRule>
  </conditionalFormatting>
  <conditionalFormatting sqref="F36">
    <cfRule type="cellIs" dxfId="0" priority="619" operator="greaterThan">
      <formula>E37</formula>
    </cfRule>
  </conditionalFormatting>
  <conditionalFormatting sqref="G36">
    <cfRule type="cellIs" dxfId="0" priority="620" operator="greaterThan">
      <formula>E38</formula>
    </cfRule>
  </conditionalFormatting>
  <conditionalFormatting sqref="B37">
    <cfRule type="cellIs" dxfId="0" priority="621" operator="greaterThan">
      <formula>F33</formula>
    </cfRule>
  </conditionalFormatting>
  <conditionalFormatting sqref="C37">
    <cfRule type="cellIs" dxfId="0" priority="622" operator="greaterThan">
      <formula>F34</formula>
    </cfRule>
  </conditionalFormatting>
  <conditionalFormatting sqref="D37">
    <cfRule type="cellIs" dxfId="0" priority="623" operator="greaterThan">
      <formula>F35</formula>
    </cfRule>
  </conditionalFormatting>
  <conditionalFormatting sqref="E37">
    <cfRule type="cellIs" dxfId="0" priority="624" operator="greaterThan">
      <formula>F36</formula>
    </cfRule>
  </conditionalFormatting>
  <conditionalFormatting sqref="G37">
    <cfRule type="cellIs" dxfId="0" priority="625" operator="greaterThan">
      <formula>F38</formula>
    </cfRule>
  </conditionalFormatting>
  <conditionalFormatting sqref="B38">
    <cfRule type="cellIs" dxfId="0" priority="626" operator="greaterThan">
      <formula>G33</formula>
    </cfRule>
  </conditionalFormatting>
  <conditionalFormatting sqref="C38">
    <cfRule type="cellIs" dxfId="0" priority="627" operator="greaterThan">
      <formula>G34</formula>
    </cfRule>
  </conditionalFormatting>
  <conditionalFormatting sqref="D38">
    <cfRule type="cellIs" dxfId="0" priority="628" operator="greaterThan">
      <formula>G35</formula>
    </cfRule>
  </conditionalFormatting>
  <conditionalFormatting sqref="E38">
    <cfRule type="cellIs" dxfId="0" priority="629" operator="greaterThan">
      <formula>G36</formula>
    </cfRule>
  </conditionalFormatting>
  <conditionalFormatting sqref="F38">
    <cfRule type="cellIs" dxfId="0" priority="630" operator="greaterThan">
      <formula>G37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8.63"/>
    <col customWidth="1" min="3" max="3" width="16.88"/>
    <col customWidth="1" min="4" max="5" width="18.5"/>
  </cols>
  <sheetData>
    <row r="1" ht="108.0" customHeight="1">
      <c r="A1" s="2" t="s">
        <v>1</v>
      </c>
    </row>
    <row r="2">
      <c r="A2" s="5" t="s">
        <v>5</v>
      </c>
      <c r="B2" s="3" t="s">
        <v>7</v>
      </c>
      <c r="C2" s="3" t="s">
        <v>8</v>
      </c>
      <c r="D2" s="3" t="s">
        <v>11</v>
      </c>
      <c r="E2" s="8" t="s">
        <v>13</v>
      </c>
    </row>
    <row r="3">
      <c r="A3" s="9" t="s">
        <v>16</v>
      </c>
      <c r="B3" s="11" t="s">
        <v>20</v>
      </c>
      <c r="C3" s="56">
        <f>SUM(LiveScoresheet!J17:O17) +LiveScoresheet!I14*0.0211+IF(LiveScoresheet!J17&gt;LiveScoresheet!L15, 100, MAX(LiveScoresheet!J17-LiveScoresheet!L15+50,0))+IF(LiveScoresheet!K17&gt;LiveScoresheet!L16, 100, MAX(LiveScoresheet!K17-LiveScoresheet!L16+50,0))+IF(LiveScoresheet!M17&gt;LiveScoresheet!L18, 100, MAX(LiveScoresheet!M17-LiveScoresheet!L18+50,0))+IF(LiveScoresheet!N17&gt;LiveScoresheet!L19, 100, MAX(LiveScoresheet!N17-LiveScoresheet!L19+50,0))+IF(LiveScoresheet!O17&gt;LiveScoresheet!L20, 100, MAX(LiveScoresheet!O17-LiveScoresheet!L20+50,0))</f>
        <v>1473.7718</v>
      </c>
      <c r="D3" s="56">
        <f>SUM(LiveScoresheet!J17:O17)</f>
        <v>916</v>
      </c>
      <c r="E3" s="56">
        <f>0+IF(LiveScoresheet!J17&gt;LiveScoresheet!L15, 1, 0)+IF(LiveScoresheet!K17&gt;LiveScoresheet!L16, 1, 0)+IF(LiveScoresheet!M17&gt;LiveScoresheet!L18, 1, 0)+IF(LiveScoresheet!N17&gt;LiveScoresheet!L19, 1, 0)+IF(LiveScoresheet!O17&gt;LiveScoresheet!L20, 1, 0)</f>
        <v>5</v>
      </c>
    </row>
    <row r="4">
      <c r="A4" s="9" t="s">
        <v>23</v>
      </c>
      <c r="B4" s="11" t="s">
        <v>24</v>
      </c>
      <c r="C4" s="56">
        <f>SUM(LiveScoresheet!B7:G7) +LiveScoresheet!A5*0.0211+IF(LiveScoresheet!B7&gt;LiveScoresheet!C6, 100, MAX(LiveScoresheet!B7-LiveScoresheet!C6+50,0))+IF(LiveScoresheet!D7&gt;LiveScoresheet!C8, 100, MAX(LiveScoresheet!D7-LiveScoresheet!C8+50,0))+IF(LiveScoresheet!E7&gt;LiveScoresheet!C9, 100, MAX(LiveScoresheet!E7-LiveScoresheet!C9+50,0))+IF(LiveScoresheet!F7&gt;LiveScoresheet!C10, 100, MAX(LiveScoresheet!F7-LiveScoresheet!C10+50,0))+IF(LiveScoresheet!G7&gt;LiveScoresheet!C11, 100, MAX(LiveScoresheet!G7-LiveScoresheet!C11+50,0))</f>
        <v>1416.4546</v>
      </c>
      <c r="D4" s="56">
        <f>SUM(LiveScoresheet!B7:G7)</f>
        <v>864</v>
      </c>
      <c r="E4" s="56">
        <f>0+IF(LiveScoresheet!B7&gt;LiveScoresheet!C6, 1, 0)+IF(LiveScoresheet!D7&gt;LiveScoresheet!C8, 1, 0)+IF(LiveScoresheet!E7&gt;LiveScoresheet!C9, 1, 0)+IF(LiveScoresheet!F7&gt;LiveScoresheet!C10, 1, 0)+IF(LiveScoresheet!G7&gt;LiveScoresheet!C11, 1, 0)</f>
        <v>5</v>
      </c>
    </row>
    <row r="5">
      <c r="A5" s="9" t="s">
        <v>140</v>
      </c>
      <c r="B5" s="11" t="s">
        <v>142</v>
      </c>
      <c r="C5" s="56">
        <f>SUM(LiveScoresheet!J27:O27) +LiveScoresheet!I23*0.0211+IF(LiveScoresheet!J27&gt;LiveScoresheet!M24, 100, MAX(LiveScoresheet!J27-LiveScoresheet!M24+50,0))+IF(LiveScoresheet!K27&gt;LiveScoresheet!M25, 100, MAX(LiveScoresheet!K27-LiveScoresheet!M25+50,0))+IF(LiveScoresheet!L27&gt;LiveScoresheet!M26, 100, MAX(LiveScoresheet!L27-LiveScoresheet!M26+50,0))+IF(LiveScoresheet!N27&gt;LiveScoresheet!M28, 100, MAX(LiveScoresheet!N27-LiveScoresheet!M28+50,0))+IF(LiveScoresheet!O27&gt;LiveScoresheet!M29, 100, MAX(LiveScoresheet!O27-LiveScoresheet!M29+50,0))</f>
        <v>1348.7258</v>
      </c>
      <c r="D5" s="56">
        <f>SUM(LiveScoresheet!J27:O27)</f>
        <v>848</v>
      </c>
      <c r="E5" s="56">
        <f>0+IF(LiveScoresheet!J27&gt;LiveScoresheet!M24, 1, 0)+IF(LiveScoresheet!K27&gt;LiveScoresheet!M25, 1, 0)+IF(LiveScoresheet!L27&gt;LiveScoresheet!M26, 1, 0)+IF(LiveScoresheet!N27&gt;LiveScoresheet!M28, 1, 0)+IF(LiveScoresheet!O27&gt;LiveScoresheet!M29, 1, 0)</f>
        <v>4</v>
      </c>
    </row>
    <row r="6">
      <c r="A6" s="9" t="s">
        <v>54</v>
      </c>
      <c r="B6" s="11" t="s">
        <v>55</v>
      </c>
      <c r="C6" s="56">
        <f>SUM(LiveScoresheet!J10:O10) +LiveScoresheet!I5*0.0211+IF(LiveScoresheet!J10&gt;LiveScoresheet!N6, 100, MAX(LiveScoresheet!J10-LiveScoresheet!N6+50,0))+IF(LiveScoresheet!K10&gt;LiveScoresheet!N7, 100, MAX(LiveScoresheet!K10-LiveScoresheet!N7+50,0))+IF(LiveScoresheet!L10&gt;LiveScoresheet!N8, 100, MAX(LiveScoresheet!L10-LiveScoresheet!N8+50,0))+IF(LiveScoresheet!M10&gt;LiveScoresheet!N9, 100, MAX(LiveScoresheet!M10-LiveScoresheet!N9+50,0))+IF(LiveScoresheet!O10&gt;LiveScoresheet!N11, 100, MAX(LiveScoresheet!O10-LiveScoresheet!N11+50,0))</f>
        <v>1347.8984</v>
      </c>
      <c r="D6" s="56">
        <f>SUM(LiveScoresheet!J10:O10)</f>
        <v>862</v>
      </c>
      <c r="E6" s="56">
        <f>0+IF(LiveScoresheet!J10&gt;LiveScoresheet!N6, 1, 0)+IF(LiveScoresheet!K10&gt;LiveScoresheet!N7, 1, 0)+IF(LiveScoresheet!L10&gt;LiveScoresheet!N8, 1, 0)+IF(LiveScoresheet!M10&gt;LiveScoresheet!N9, 1, 0)+IF(LiveScoresheet!O10&gt;LiveScoresheet!N11, 1, 0)</f>
        <v>4</v>
      </c>
    </row>
    <row r="7">
      <c r="A7" s="9" t="s">
        <v>133</v>
      </c>
      <c r="B7" s="11" t="s">
        <v>135</v>
      </c>
      <c r="C7" s="56">
        <f>SUM(LiveScoresheet!J26:O26) +LiveScoresheet!I23*0.0211+IF(LiveScoresheet!J26&gt;LiveScoresheet!L24, 100, MAX(LiveScoresheet!J26-LiveScoresheet!L24+50,0))+IF(LiveScoresheet!K26&gt;LiveScoresheet!L25, 100, MAX(LiveScoresheet!K26-LiveScoresheet!L25+50,0))+IF(LiveScoresheet!M26&gt;LiveScoresheet!L27, 100, MAX(LiveScoresheet!M26-LiveScoresheet!L27+50,0))+IF(LiveScoresheet!N26&gt;LiveScoresheet!L28, 100, MAX(LiveScoresheet!N26-LiveScoresheet!L28+50,0))+IF(LiveScoresheet!O26&gt;LiveScoresheet!L29, 100, MAX(LiveScoresheet!O26-LiveScoresheet!L29+50,0))</f>
        <v>1310.7258</v>
      </c>
      <c r="D7" s="56">
        <f>SUM(LiveScoresheet!J26:O26)</f>
        <v>750</v>
      </c>
      <c r="E7" s="56">
        <f>0+IF(LiveScoresheet!J26&gt;LiveScoresheet!L24, 1, 0)+IF(LiveScoresheet!K26&gt;LiveScoresheet!L25, 1, 0)+IF(LiveScoresheet!M26&gt;LiveScoresheet!L27, 1, 0)+IF(LiveScoresheet!N26&gt;LiveScoresheet!L28, 1, 0)+IF(LiveScoresheet!O26&gt;LiveScoresheet!L29, 1, 0)</f>
        <v>5</v>
      </c>
    </row>
    <row r="8">
      <c r="A8" s="9" t="s">
        <v>154</v>
      </c>
      <c r="B8" s="11" t="s">
        <v>155</v>
      </c>
      <c r="C8" s="56">
        <f>SUM(LiveScoresheet!B34:G34) +LiveScoresheet!A32*0.0211+IF(LiveScoresheet!B34&gt;LiveScoresheet!C33, 100, MAX(LiveScoresheet!B34-LiveScoresheet!C33+50,0))+IF(LiveScoresheet!D34&gt;LiveScoresheet!C35, 100, MAX(LiveScoresheet!D34-LiveScoresheet!C35+50,0))+IF(LiveScoresheet!E34&gt;LiveScoresheet!C36, 100, MAX(LiveScoresheet!E34-LiveScoresheet!C36+50,0))+IF(LiveScoresheet!F34&gt;LiveScoresheet!C37, 100, MAX(LiveScoresheet!F34-LiveScoresheet!C37+50,0))+IF(LiveScoresheet!G34&gt;LiveScoresheet!C38, 100, MAX(LiveScoresheet!G34-LiveScoresheet!C38+50,0))</f>
        <v>1302.126</v>
      </c>
      <c r="D8" s="56">
        <f>SUM(LiveScoresheet!B34:G34)</f>
        <v>746</v>
      </c>
      <c r="E8" s="56">
        <f>0+IF(LiveScoresheet!B34&gt;LiveScoresheet!C33, 1, 0)+IF(LiveScoresheet!D34&gt;LiveScoresheet!C35, 1, 0)+IF(LiveScoresheet!E34&gt;LiveScoresheet!C36, 1, 0)+IF(LiveScoresheet!F34&gt;LiveScoresheet!C37, 1, 0)+IF(LiveScoresheet!G34&gt;LiveScoresheet!C38, 1, 0)</f>
        <v>5</v>
      </c>
    </row>
    <row r="9">
      <c r="A9" s="9" t="s">
        <v>120</v>
      </c>
      <c r="B9" s="11" t="s">
        <v>121</v>
      </c>
      <c r="C9" s="56">
        <f>SUM(LiveScoresheet!B28:G28) +LiveScoresheet!A23*0.0211+IF(LiveScoresheet!B28&gt;LiveScoresheet!F24, 100, MAX(LiveScoresheet!B28-LiveScoresheet!F24+50,0))+IF(LiveScoresheet!C28&gt;LiveScoresheet!F25, 100, MAX(LiveScoresheet!C28-LiveScoresheet!F25+50,0))+IF(LiveScoresheet!D28&gt;LiveScoresheet!F16, 100, MAX(LiveScoresheet!D28-LiveScoresheet!F16+50,0))+IF(LiveScoresheet!E28&gt;LiveScoresheet!F27, 100, MAX(LiveScoresheet!E28-LiveScoresheet!F27+50,0))+IF(LiveScoresheet!G28&gt;LiveScoresheet!F29, 100, MAX(LiveScoresheet!G28-LiveScoresheet!F29+50,0))</f>
        <v>1263.5186</v>
      </c>
      <c r="D9" s="56">
        <f>SUM(LiveScoresheet!B28:G28)</f>
        <v>706</v>
      </c>
      <c r="E9" s="56">
        <f>0+IF(LiveScoresheet!B28&gt;LiveScoresheet!F24, 1, 0)+IF(LiveScoresheet!C28&gt;LiveScoresheet!F25, 1, 0)+IF(LiveScoresheet!D28&gt;LiveScoresheet!F26, 1, 0)+IF(LiveScoresheet!E28&gt;LiveScoresheet!F27, 1, 0)+IF(LiveScoresheet!G28&gt;LiveScoresheet!F29, 1, 0)</f>
        <v>5</v>
      </c>
    </row>
    <row r="10">
      <c r="A10" s="9" t="s">
        <v>105</v>
      </c>
      <c r="B10" s="11" t="s">
        <v>107</v>
      </c>
      <c r="C10" s="56">
        <f>SUM(LiveScoresheet!B25:G25) +LiveScoresheet!A23*0.0211+IF(LiveScoresheet!B25&gt;LiveScoresheet!C24, 100, MAX(LiveScoresheet!B25-LiveScoresheet!C24+50,0))+IF(LiveScoresheet!D25&gt;LiveScoresheet!C16, 100, MAX(LiveScoresheet!D25-LiveScoresheet!C16+50,0))+IF(LiveScoresheet!E25&gt;LiveScoresheet!C27, 100, MAX(LiveScoresheet!E25-LiveScoresheet!C27+50,0))+IF(LiveScoresheet!F25&gt;LiveScoresheet!C28, 100, MAX(LiveScoresheet!F25-LiveScoresheet!C28+50,0))+IF(LiveScoresheet!G25&gt;LiveScoresheet!C29, 100, MAX(LiveScoresheet!G25-LiveScoresheet!C29+50,0))</f>
        <v>1133.5186</v>
      </c>
      <c r="D10" s="138">
        <f>SUM(LiveScoresheet!B25:G25)</f>
        <v>660</v>
      </c>
      <c r="E10" s="56">
        <f>0+IF(LiveScoresheet!B25&gt;LiveScoresheet!C24, 1, 0)+IF(LiveScoresheet!D25&gt;LiveScoresheet!C26, 1, 0)+IF(LiveScoresheet!E25&gt;LiveScoresheet!C27, 1, 0)+IF(LiveScoresheet!F25&gt;LiveScoresheet!C28, 1, 0)+IF(LiveScoresheet!G25&gt;LiveScoresheet!C29, 1, 0)</f>
        <v>4</v>
      </c>
    </row>
    <row r="11">
      <c r="A11" s="9" t="s">
        <v>36</v>
      </c>
      <c r="B11" s="11" t="s">
        <v>37</v>
      </c>
      <c r="C11" s="56">
        <f>SUM(LiveScoresheet!B11:G11) +LiveScoresheet!A5*0.0211+IF(LiveScoresheet!B11&gt;LiveScoresheet!G6, 100, MAX(LiveScoresheet!B11-LiveScoresheet!G6+50,0))+IF(LiveScoresheet!C11&gt;LiveScoresheet!G7, 100, MAX(LiveScoresheet!C11-LiveScoresheet!G7+50,0))+IF(LiveScoresheet!D11&gt;LiveScoresheet!G8, 100, MAX(LiveScoresheet!D11-LiveScoresheet!G8+50,0))+IF(LiveScoresheet!E11&gt;LiveScoresheet!G9, 100, MAX(LiveScoresheet!E11-LiveScoresheet!G9+50,0))+IF(LiveScoresheet!F11&gt;LiveScoresheet!G10, 100, MAX(LiveScoresheet!F11-LiveScoresheet!G10+50,0))</f>
        <v>1096.4546</v>
      </c>
      <c r="D11" s="56">
        <f>SUM(LiveScoresheet!B11:G11)</f>
        <v>644</v>
      </c>
      <c r="E11" s="56">
        <f>0+IF(LiveScoresheet!B11&gt;LiveScoresheet!G6, 1, 0)+IF(LiveScoresheet!C11&gt;LiveScoresheet!G7, 1, 0)+IF(LiveScoresheet!D11&gt;LiveScoresheet!G8, 1, 0)+IF(LiveScoresheet!E11&gt;LiveScoresheet!G9, 1, 0)+IF(LiveScoresheet!F11&gt;LiveScoresheet!G10, 1, 0)</f>
        <v>4</v>
      </c>
    </row>
    <row r="12">
      <c r="A12" s="9" t="s">
        <v>63</v>
      </c>
      <c r="B12" s="11" t="s">
        <v>64</v>
      </c>
      <c r="C12" s="56">
        <f>SUM(LiveScoresheet!B16:G16) +LiveScoresheet!A14*0.0211+IF(LiveScoresheet!B16&gt;LiveScoresheet!C15, 100, MAX(LiveScoresheet!B16-LiveScoresheet!C15+50,0))+IF(LiveScoresheet!D16&gt;LiveScoresheet!C17, 100, MAX(LiveScoresheet!D16-LiveScoresheet!C17+50,0))+IF(LiveScoresheet!E16&gt;LiveScoresheet!C18, 100, MAX(LiveScoresheet!E16-LiveScoresheet!C18+50,0))+IF(LiveScoresheet!F16&gt;LiveScoresheet!C19, 100, MAX(LiveScoresheet!F16-LiveScoresheet!C19+50,0))+IF(LiveScoresheet!G16&gt;LiveScoresheet!C20, 100, MAX(LiveScoresheet!G16-LiveScoresheet!C20+50,0))</f>
        <v>1077.594</v>
      </c>
      <c r="D12" s="138">
        <f>SUM(LiveScoresheet!B16:G16)</f>
        <v>574</v>
      </c>
      <c r="E12" s="56">
        <f>0.5+IF(LiveScoresheet!B16&gt;LiveScoresheet!C15, 1, 0)+IF(LiveScoresheet!D16&gt;LiveScoresheet!C17, 1, 0)+IF(LiveScoresheet!E16&gt;LiveScoresheet!C18, 1, 0)+IF(LiveScoresheet!F16&gt;LiveScoresheet!C19, 1, 0)+IF(LiveScoresheet!G16&gt;LiveScoresheet!C20, 1, 0)</f>
        <v>4.5</v>
      </c>
    </row>
    <row r="13">
      <c r="A13" s="9" t="s">
        <v>92</v>
      </c>
      <c r="B13" s="11" t="s">
        <v>93</v>
      </c>
      <c r="C13" s="56">
        <f>SUM(LiveScoresheet!J18:O18) +LiveScoresheet!I14*0.0211+IF(LiveScoresheet!J18&gt;LiveScoresheet!M15, 100, MAX(LiveScoresheet!J18-LiveScoresheet!M15+50,0))+IF(LiveScoresheet!K18&gt;LiveScoresheet!M16, 100, MAX(LiveScoresheet!K18-LiveScoresheet!M16+50,0))+IF(LiveScoresheet!L18&gt;LiveScoresheet!M17, 100, MAX(LiveScoresheet!L18-LiveScoresheet!M17+50,0))+IF(LiveScoresheet!N18&gt;LiveScoresheet!M19, 100, MAX(LiveScoresheet!N18-LiveScoresheet!M19+50,0))+IF(LiveScoresheet!O18&gt;LiveScoresheet!M20, 100, MAX(LiveScoresheet!O18-LiveScoresheet!M20+50,0))</f>
        <v>1073.7718</v>
      </c>
      <c r="D13" s="56">
        <f>SUM(LiveScoresheet!J18:O18)</f>
        <v>616</v>
      </c>
      <c r="E13" s="56">
        <f>0+IF(LiveScoresheet!J18&gt;LiveScoresheet!M15, 1, 0)+IF(LiveScoresheet!K18&gt;LiveScoresheet!M16, 1, 0)+IF(LiveScoresheet!L18&gt;LiveScoresheet!M17, 1, 0)+IF(LiveScoresheet!N18&gt;LiveScoresheet!M19, 1, 0)+IF(LiveScoresheet!O18&gt;LiveScoresheet!M20, 1, 0)</f>
        <v>4</v>
      </c>
    </row>
    <row r="14">
      <c r="A14" s="9" t="s">
        <v>40</v>
      </c>
      <c r="B14" s="11" t="s">
        <v>42</v>
      </c>
      <c r="C14" s="56">
        <f>SUM(LiveScoresheet!J6:O6) +LiveScoresheet!I5*0.0211+IF(LiveScoresheet!K6&gt;LiveScoresheet!J7, 100, MAX(LiveScoresheet!K6-LiveScoresheet!J7+50,0))+IF(LiveScoresheet!L6&gt;LiveScoresheet!J8, 100, MAX(LiveScoresheet!L6-LiveScoresheet!J8+50,0))+IF(LiveScoresheet!M6&gt;LiveScoresheet!J9, 100, MAX(LiveScoresheet!M6-LiveScoresheet!J9+50,0))+IF(LiveScoresheet!N6&gt;LiveScoresheet!J10, 100, MAX(LiveScoresheet!N6-LiveScoresheet!J10+50,0))+IF(LiveScoresheet!O6&gt;LiveScoresheet!J11, 100, MAX(LiveScoresheet!O6-LiveScoresheet!J11+50,0))</f>
        <v>1059.8984</v>
      </c>
      <c r="D14" s="56">
        <f>SUM(LiveScoresheet!J6:O6)</f>
        <v>560</v>
      </c>
      <c r="E14" s="56">
        <f>0+IF(LiveScoresheet!K6&gt;LiveScoresheet!J7, 1, 0)+IF(LiveScoresheet!L6&gt;LiveScoresheet!J8, 1, 0)+IF(LiveScoresheet!M6&gt;LiveScoresheet!J9, 1, 0)+IF(LiveScoresheet!N6&gt;LiveScoresheet!J10, 1, 0)+IF(LiveScoresheet!O6&gt;LiveScoresheet!J11, 1, 0)</f>
        <v>4</v>
      </c>
    </row>
    <row r="15">
      <c r="A15" s="9" t="s">
        <v>45</v>
      </c>
      <c r="B15" s="11" t="s">
        <v>46</v>
      </c>
      <c r="C15" s="56">
        <f>SUM(LiveScoresheet!J7:O7) +LiveScoresheet!I5*0.0211+IF(LiveScoresheet!J7&gt;LiveScoresheet!K6, 100, MAX(LiveScoresheet!J7-LiveScoresheet!K6+50,0))+IF(LiveScoresheet!L7&gt;LiveScoresheet!K8, 100, MAX(LiveScoresheet!L7-LiveScoresheet!K8+50,0))+IF(LiveScoresheet!M7&gt;LiveScoresheet!K9, 100, MAX(LiveScoresheet!M7-LiveScoresheet!K9+50,0))+IF(LiveScoresheet!N7&gt;LiveScoresheet!K10, 100, MAX(LiveScoresheet!N7-LiveScoresheet!K10+50,0))+IF(LiveScoresheet!O7&gt;LiveScoresheet!K11, 100, MAX(LiveScoresheet!O7-LiveScoresheet!K11+50,0))</f>
        <v>1039.8984</v>
      </c>
      <c r="D15" s="56">
        <f>SUM(LiveScoresheet!J7:O7)</f>
        <v>582</v>
      </c>
      <c r="E15" s="56">
        <f>0+IF(LiveScoresheet!J7&gt;LiveScoresheet!K6, 1, 0)+IF(LiveScoresheet!L7&gt;LiveScoresheet!K8, 1, 0)+IF(LiveScoresheet!M7&gt;LiveScoresheet!K9, 1, 0)+IF(LiveScoresheet!N7&gt;LiveScoresheet!K10, 1, 0)+IF(LiveScoresheet!O7&gt;LiveScoresheet!K11, 1, 0)</f>
        <v>4</v>
      </c>
    </row>
    <row r="16">
      <c r="A16" s="9" t="s">
        <v>76</v>
      </c>
      <c r="B16" s="11" t="s">
        <v>77</v>
      </c>
      <c r="C16" s="56">
        <f>SUM(LiveScoresheet!B20:G20) +LiveScoresheet!A14*0.0211+IF(LiveScoresheet!B20&gt;LiveScoresheet!G15, 100, MAX(LiveScoresheet!B20-LiveScoresheet!G15+50,0))+IF(LiveScoresheet!C20&gt;LiveScoresheet!G16, 100, MAX(LiveScoresheet!C20-LiveScoresheet!G16+50,0))+IF(LiveScoresheet!D20&gt;LiveScoresheet!G17, 100, MAX(LiveScoresheet!D20-LiveScoresheet!G17+50,0))+IF(LiveScoresheet!E20&gt;LiveScoresheet!G18, 100, MAX(LiveScoresheet!E20-LiveScoresheet!G18+50,0))+IF(LiveScoresheet!F20&gt;LiveScoresheet!G19, 100, MAX(LiveScoresheet!F20-LiveScoresheet!G19+50,0))</f>
        <v>1035.594</v>
      </c>
      <c r="D16" s="56">
        <f>SUM(LiveScoresheet!B20:G20)</f>
        <v>632</v>
      </c>
      <c r="E16" s="56">
        <f>0.5+IF(LiveScoresheet!B20&gt;LiveScoresheet!G15, 1, 0)+IF(LiveScoresheet!C20&gt;LiveScoresheet!G16, 1, 0)+IF(LiveScoresheet!D20&gt;LiveScoresheet!G17, 1, 0)+IF(LiveScoresheet!E20&gt;LiveScoresheet!G18, 1, 0)+IF(LiveScoresheet!F20&gt;LiveScoresheet!G19, 1, 0)</f>
        <v>3.5</v>
      </c>
    </row>
    <row r="17">
      <c r="A17" s="9" t="s">
        <v>165</v>
      </c>
      <c r="B17" s="11" t="s">
        <v>166</v>
      </c>
      <c r="C17" s="56">
        <f>SUM(LiveScoresheet!B37:G37) +LiveScoresheet!A32*0.0211+IF(LiveScoresheet!B37&gt;LiveScoresheet!F33, 100, MAX(LiveScoresheet!B37-LiveScoresheet!F33+50,0))+IF(LiveScoresheet!C37&gt;LiveScoresheet!F34, 100, MAX(LiveScoresheet!C37-LiveScoresheet!F34+50,0))+IF(LiveScoresheet!D37&gt;LiveScoresheet!F35, 100, MAX(LiveScoresheet!D37-LiveScoresheet!F35+50,0))+IF(LiveScoresheet!E37&gt;LiveScoresheet!F36, 100, MAX(LiveScoresheet!E37-LiveScoresheet!F36+50,0))+IF(LiveScoresheet!G37&gt;LiveScoresheet!F38, 100, MAX(LiveScoresheet!G37-LiveScoresheet!F38+50,0))</f>
        <v>1000.126</v>
      </c>
      <c r="D17" s="56">
        <f>SUM(LiveScoresheet!B37:G37)</f>
        <v>544</v>
      </c>
      <c r="E17" s="56">
        <f>0+IF(LiveScoresheet!B37&gt;LiveScoresheet!F33, 1, 0)+IF(LiveScoresheet!C37&gt;LiveScoresheet!F34, 1, 0)+IF(LiveScoresheet!D37&gt;LiveScoresheet!F35, 1, 0)+IF(LiveScoresheet!E37&gt;LiveScoresheet!F36, 1, 0)+IF(LiveScoresheet!G37&gt;LiveScoresheet!F38, 1, 0)</f>
        <v>4</v>
      </c>
    </row>
    <row r="18">
      <c r="A18" s="139" t="s">
        <v>109</v>
      </c>
      <c r="B18" s="140" t="s">
        <v>111</v>
      </c>
      <c r="C18" s="141">
        <f>SUM(LiveScoresheet!B26:G26) +LiveScoresheet!A23*0.0211+IF(LiveScoresheet!B26&gt;LiveScoresheet!D24, 100, MAX(LiveScoresheet!B26-LiveScoresheet!D24+50,0))+IF(LiveScoresheet!C26&gt;LiveScoresheet!D25, 100, MAX(LiveScoresheet!C26-LiveScoresheet!D25+50,0))+IF(LiveScoresheet!E26&gt;LiveScoresheet!D27, 100, MAX(LiveScoresheet!E26-LiveScoresheet!D27+50,0))+IF(LiveScoresheet!F26&gt;LiveScoresheet!D28, 100, MAX(LiveScoresheet!F26-LiveScoresheet!D28+50,0))+IF(LiveScoresheet!G26&gt;LiveScoresheet!D29, 100, MAX(LiveScoresheet!G26-LiveScoresheet!D29+50,0))</f>
        <v>987.5186</v>
      </c>
      <c r="D18" s="141">
        <f>SUM(LiveScoresheet!B26:G26)</f>
        <v>584</v>
      </c>
      <c r="E18" s="141">
        <f>0+IF(LiveScoresheet!B26&gt;LiveScoresheet!D24, 1, 0)+IF(LiveScoresheet!C26&gt;LiveScoresheet!D25, 1, 0)+IF(LiveScoresheet!E26&gt;LiveScoresheet!D27, 1, 0)+IF(LiveScoresheet!F26&gt;LiveScoresheet!D28, 1, 0)+IF(LiveScoresheet!G26&gt;LiveScoresheet!D29, 1, 0)</f>
        <v>3</v>
      </c>
    </row>
    <row r="19">
      <c r="A19" s="9" t="s">
        <v>66</v>
      </c>
      <c r="B19" s="11" t="s">
        <v>67</v>
      </c>
      <c r="C19" s="56">
        <f>SUM(LiveScoresheet!B17:G17) +LiveScoresheet!A14*0.0211+IF(LiveScoresheet!B17&gt;LiveScoresheet!D15, 100, MAX(LiveScoresheet!B17-LiveScoresheet!D15+50,0))+IF(LiveScoresheet!C17&gt;LiveScoresheet!D16, 100, MAX(LiveScoresheet!C17-LiveScoresheet!D16+50,0))+IF(LiveScoresheet!E17&gt;LiveScoresheet!D18, 100, MAX(LiveScoresheet!E17-LiveScoresheet!D18+50,0))+IF(LiveScoresheet!F17&gt;LiveScoresheet!D19, 100, MAX(LiveScoresheet!F17-LiveScoresheet!D19+50,0))+IF(LiveScoresheet!G17&gt;LiveScoresheet!D20, 100, MAX(LiveScoresheet!G17-LiveScoresheet!D20+50,0))</f>
        <v>889.594</v>
      </c>
      <c r="D19" s="56">
        <f>SUM(LiveScoresheet!B17:G17)</f>
        <v>490</v>
      </c>
      <c r="E19" s="56">
        <f>0+IF(LiveScoresheet!B17&gt;LiveScoresheet!D15, 1, 0)+IF(LiveScoresheet!C17&gt;LiveScoresheet!D16, 1, 0)+IF(LiveScoresheet!E17&gt;LiveScoresheet!D18, 1, 0)+IF(LiveScoresheet!F17&gt;LiveScoresheet!D19, 1, 0)+IF(LiveScoresheet!G17&gt;LiveScoresheet!D20, 1, 0)</f>
        <v>3</v>
      </c>
    </row>
    <row r="20">
      <c r="A20" s="9" t="s">
        <v>95</v>
      </c>
      <c r="B20" s="11" t="s">
        <v>96</v>
      </c>
      <c r="C20" s="56">
        <f>SUM(LiveScoresheet!J19:O19) +LiveScoresheet!I14*0.0211+IF(LiveScoresheet!J19&gt;LiveScoresheet!N15, 100, MAX(LiveScoresheet!J19-LiveScoresheet!N15+50,0))+IF(LiveScoresheet!K19&gt;LiveScoresheet!N16, 100, MAX(LiveScoresheet!K19-LiveScoresheet!N16+50,0))+IF(LiveScoresheet!L19&gt;LiveScoresheet!N17, 100, MAX(LiveScoresheet!L19-LiveScoresheet!N17+50,0))+IF(LiveScoresheet!M19&gt;LiveScoresheet!N18, 100, MAX(LiveScoresheet!M19-LiveScoresheet!N18+50,0))+IF(LiveScoresheet!O19&gt;LiveScoresheet!N20, 100, MAX(LiveScoresheet!O19-LiveScoresheet!N20+50,0))</f>
        <v>819.7718</v>
      </c>
      <c r="D20" s="56">
        <f>SUM(LiveScoresheet!J19:O19)</f>
        <v>460</v>
      </c>
      <c r="E20" s="56">
        <f>0+IF(LiveScoresheet!J19&gt;LiveScoresheet!N15, 1, 0)+IF(LiveScoresheet!K19&gt;LiveScoresheet!N16, 1, 0)+IF(LiveScoresheet!L19&gt;LiveScoresheet!N17, 1, 0)+IF(LiveScoresheet!M19&gt;LiveScoresheet!N18, 1, 0)+IF(LiveScoresheet!O19&gt;LiveScoresheet!N20, 1, 0)</f>
        <v>3</v>
      </c>
    </row>
    <row r="21">
      <c r="A21" s="9" t="s">
        <v>151</v>
      </c>
      <c r="B21" s="11" t="s">
        <v>152</v>
      </c>
      <c r="C21" s="56">
        <f>SUM(LiveScoresheet!B33:G33) +LiveScoresheet!A32*0.0211+IF(LiveScoresheet!C33&gt;LiveScoresheet!B34, 100, MAX(LiveScoresheet!C33-LiveScoresheet!B34+50,0))+IF(LiveScoresheet!D33&gt;LiveScoresheet!B35, 100, MAX(LiveScoresheet!D33-LiveScoresheet!B35+50,0))+IF(LiveScoresheet!E33&gt;LiveScoresheet!B36, 100, MAX(LiveScoresheet!E33-LiveScoresheet!B36+50,0))+IF(LiveScoresheet!F33&gt;LiveScoresheet!B37, 100, MAX(LiveScoresheet!F33-LiveScoresheet!B37+50,0))+IF(LiveScoresheet!G33&gt;LiveScoresheet!B38, 100, MAX(LiveScoresheet!G33-LiveScoresheet!B38+50,0))</f>
        <v>800.126</v>
      </c>
      <c r="D21" s="56">
        <f>SUM(LiveScoresheet!B33:G33)</f>
        <v>472</v>
      </c>
      <c r="E21" s="56">
        <f>0+IF(LiveScoresheet!C33&gt;LiveScoresheet!B34, 1, 0)+IF(LiveScoresheet!D33&gt;LiveScoresheet!B35, 1, 0)+IF(LiveScoresheet!E33&gt;LiveScoresheet!B36, 1, 0)+IF(LiveScoresheet!F33&gt;LiveScoresheet!B37, 1, 0)+IF(LiveScoresheet!G33&gt;LiveScoresheet!B38, 1, 0)</f>
        <v>2</v>
      </c>
    </row>
    <row r="22">
      <c r="A22" s="9" t="s">
        <v>116</v>
      </c>
      <c r="B22" s="11" t="s">
        <v>117</v>
      </c>
      <c r="C22" s="56">
        <f>SUM(LiveScoresheet!B27:G27) +LiveScoresheet!A23*0.0211+IF(LiveScoresheet!B27&gt;LiveScoresheet!E24, 100, MAX(LiveScoresheet!B27-LiveScoresheet!E24+50,0))+IF(LiveScoresheet!C27&gt;LiveScoresheet!E25, 100, MAX(LiveScoresheet!C27-LiveScoresheet!E25+50,0))+IF(LiveScoresheet!D27&gt;LiveScoresheet!E16, 100, MAX(LiveScoresheet!D27-LiveScoresheet!E16+50,0))+IF(LiveScoresheet!F27&gt;LiveScoresheet!E28, 100, MAX(LiveScoresheet!F27-LiveScoresheet!E28+50,0))+IF(LiveScoresheet!G27&gt;LiveScoresheet!E29, 100, MAX(LiveScoresheet!G27-LiveScoresheet!E29+50,0))</f>
        <v>709.5186</v>
      </c>
      <c r="D22" s="56">
        <f>SUM(LiveScoresheet!B27:G27)</f>
        <v>436</v>
      </c>
      <c r="E22" s="56">
        <f>0+IF(LiveScoresheet!B27&gt;LiveScoresheet!E24, 1, 0)+IF(LiveScoresheet!C27&gt;LiveScoresheet!E25, 1, 0)+IF(LiveScoresheet!D27&gt;LiveScoresheet!E26, 1, 0)+IF(LiveScoresheet!F27&gt;LiveScoresheet!E28, 1, 0)+IF(LiveScoresheet!G27&gt;LiveScoresheet!E29, 1, 0)</f>
        <v>2</v>
      </c>
    </row>
    <row r="23">
      <c r="A23" s="9" t="s">
        <v>168</v>
      </c>
      <c r="B23" s="11" t="s">
        <v>169</v>
      </c>
      <c r="C23" s="56">
        <f>SUM(LiveScoresheet!B38:G38) +LiveScoresheet!A32*0.0211+IF(LiveScoresheet!B38&gt;LiveScoresheet!G33, 100, MAX(LiveScoresheet!B38-LiveScoresheet!G33+50,0))+IF(LiveScoresheet!C38&gt;LiveScoresheet!G34, 100, MAX(LiveScoresheet!C38-LiveScoresheet!G34+50,0))+IF(LiveScoresheet!D38&gt;LiveScoresheet!G35, 100, MAX(LiveScoresheet!D38-LiveScoresheet!G35+50,0))+IF(LiveScoresheet!E38&gt;LiveScoresheet!G36, 100, MAX(LiveScoresheet!E38-LiveScoresheet!G36+50,0))+IF(LiveScoresheet!F38&gt;LiveScoresheet!G37, 100, MAX(LiveScoresheet!F38-LiveScoresheet!G37+50,0))</f>
        <v>694.126</v>
      </c>
      <c r="D23" s="56">
        <f>SUM(LiveScoresheet!B38:G38)</f>
        <v>384</v>
      </c>
      <c r="E23" s="56">
        <f>0+IF(LiveScoresheet!B38&gt;LiveScoresheet!G33, 1, 0)+IF(LiveScoresheet!C38&gt;LiveScoresheet!G34, 1, 0)+IF(LiveScoresheet!D38&gt;LiveScoresheet!G35, 1, 0)+IF(LiveScoresheet!E38&gt;LiveScoresheet!G36, 1, 0)+IF(LiveScoresheet!F38&gt;LiveScoresheet!G37, 1, 0)</f>
        <v>2</v>
      </c>
    </row>
    <row r="24">
      <c r="A24" s="9" t="s">
        <v>30</v>
      </c>
      <c r="B24" s="11" t="s">
        <v>31</v>
      </c>
      <c r="C24" s="56">
        <f>SUM(LiveScoresheet!B9:G9) +LiveScoresheet!A5*0.0211+IF(LiveScoresheet!B9&gt;LiveScoresheet!E6, 100, MAX(LiveScoresheet!B9-LiveScoresheet!E6+50,0))+IF(LiveScoresheet!C9&gt;LiveScoresheet!E7, 100, MAX(LiveScoresheet!C9-LiveScoresheet!E7+50,0))+IF(LiveScoresheet!D9&gt;LiveScoresheet!E8, 100, MAX(LiveScoresheet!D9-LiveScoresheet!E8+50,0))+IF(LiveScoresheet!F9&gt;LiveScoresheet!E10, 100, MAX(LiveScoresheet!F9-LiveScoresheet!E10+50,0))+IF(LiveScoresheet!G9&gt;LiveScoresheet!E11, 100, MAX(LiveScoresheet!G9-LiveScoresheet!E11+50,0))</f>
        <v>690.4546</v>
      </c>
      <c r="D24" s="56">
        <f>SUM(LiveScoresheet!B9:G9)</f>
        <v>318</v>
      </c>
      <c r="E24" s="56">
        <f>0+IF(LiveScoresheet!B9&gt;LiveScoresheet!E6, 1, 0)+IF(LiveScoresheet!C9&gt;LiveScoresheet!E7, 1, 0)+IF(LiveScoresheet!D9&gt;LiveScoresheet!E8, 1, 0)+IF(LiveScoresheet!F9&gt;LiveScoresheet!E10, 1, 0)+IF(LiveScoresheet!G9&gt;LiveScoresheet!E11, 1, 0)</f>
        <v>3</v>
      </c>
    </row>
    <row r="25">
      <c r="A25" s="9" t="s">
        <v>60</v>
      </c>
      <c r="B25" s="11" t="s">
        <v>61</v>
      </c>
      <c r="C25" s="56">
        <f>SUM(LiveScoresheet!B15:G15) +LiveScoresheet!A14*0.0211+IF(LiveScoresheet!C15&gt;LiveScoresheet!B16, 100, MAX(LiveScoresheet!C15-LiveScoresheet!B16+50,0))+IF(LiveScoresheet!D15&gt;LiveScoresheet!B17, 100, MAX(LiveScoresheet!D15-LiveScoresheet!B17+50,0))+IF(LiveScoresheet!E15&gt;LiveScoresheet!B18, 100, MAX(LiveScoresheet!E15-LiveScoresheet!B18+50,0))+IF(LiveScoresheet!F15&gt;LiveScoresheet!B19, 100, MAX(LiveScoresheet!F15-LiveScoresheet!B19+50,0))+IF(LiveScoresheet!G15&gt;LiveScoresheet!B20, 100, MAX(LiveScoresheet!G15-LiveScoresheet!B20+50,0))</f>
        <v>689.594</v>
      </c>
      <c r="D25" s="56">
        <f>SUM(LiveScoresheet!B15:G15)</f>
        <v>416</v>
      </c>
      <c r="E25" s="56">
        <f>0+IF(LiveScoresheet!C15&gt;LiveScoresheet!B16, 1, 0)+IF(LiveScoresheet!D15&gt;LiveScoresheet!B17, 1, 0)+IF(LiveScoresheet!E15&gt;LiveScoresheet!B18, 1, 0)+IF(LiveScoresheet!F15&gt;LiveScoresheet!B19, 1, 0)+IF(LiveScoresheet!G15&gt;LiveScoresheet!B20, 1, 0)</f>
        <v>2</v>
      </c>
    </row>
    <row r="26">
      <c r="A26" s="9" t="s">
        <v>130</v>
      </c>
      <c r="B26" s="11" t="s">
        <v>131</v>
      </c>
      <c r="C26" s="56">
        <f>SUM(LiveScoresheet!J25:O25) +LiveScoresheet!I23*0.0211+IF(LiveScoresheet!J25&gt;LiveScoresheet!K24, 100, MAX(LiveScoresheet!J25-LiveScoresheet!K24+50,0))+IF(LiveScoresheet!L25&gt;LiveScoresheet!K26, 100, MAX(LiveScoresheet!L25-LiveScoresheet!K26+50,0))+IF(LiveScoresheet!M25&gt;LiveScoresheet!K27, 100, MAX(LiveScoresheet!M25-LiveScoresheet!K27+50,0))+IF(LiveScoresheet!N25&gt;LiveScoresheet!K28, 100, MAX(LiveScoresheet!N25-LiveScoresheet!K28+50,0))+IF(LiveScoresheet!O25&gt;LiveScoresheet!K29, 100, MAX(LiveScoresheet!O25-LiveScoresheet!K29+50,0))</f>
        <v>664.7258</v>
      </c>
      <c r="D26" s="56">
        <f>SUM(LiveScoresheet!J25:O25)</f>
        <v>354</v>
      </c>
      <c r="E26" s="56">
        <f>0.5+IF(LiveScoresheet!J25&gt;LiveScoresheet!K24, 1, 0)+IF(LiveScoresheet!L25&gt;LiveScoresheet!K26, 1, 0)+IF(LiveScoresheet!M25&gt;LiveScoresheet!K27, 1, 0)+IF(LiveScoresheet!N25&gt;LiveScoresheet!K28, 1, 0)+IF(LiveScoresheet!O25&gt;LiveScoresheet!K29, 1, 0)</f>
        <v>2.5</v>
      </c>
    </row>
    <row r="27">
      <c r="A27" s="9" t="s">
        <v>161</v>
      </c>
      <c r="B27" s="11" t="s">
        <v>162</v>
      </c>
      <c r="C27" s="56">
        <f>SUM(LiveScoresheet!B36:G36) +LiveScoresheet!A32*0.0211+IF(LiveScoresheet!B36&gt;LiveScoresheet!E33, 100, MAX(LiveScoresheet!B36-LiveScoresheet!E33+50,0))+IF(LiveScoresheet!C36&gt;LiveScoresheet!E34, 100, MAX(LiveScoresheet!C36-LiveScoresheet!E34+50,0))+IF(LiveScoresheet!D36&gt;LiveScoresheet!E35, 100, MAX(LiveScoresheet!D36-LiveScoresheet!E35+50,0))+IF(LiveScoresheet!F36&gt;LiveScoresheet!E37, 100, MAX(LiveScoresheet!F36-LiveScoresheet!E37+50,0))+IF(LiveScoresheet!G36&gt;LiveScoresheet!E38, 100, MAX(LiveScoresheet!G36-LiveScoresheet!E38+50,0))</f>
        <v>664.126</v>
      </c>
      <c r="D27" s="56">
        <f>SUM(LiveScoresheet!B36:G36)</f>
        <v>362</v>
      </c>
      <c r="E27" s="56">
        <f>1+IF(LiveScoresheet!B36&gt;LiveScoresheet!E33, 1, 0)+IF(LiveScoresheet!C36&gt;LiveScoresheet!E34, 1, 0)+IF(LiveScoresheet!D36&gt;LiveScoresheet!E35, 1, 0)+IF(LiveScoresheet!F36&gt;LiveScoresheet!E37, 1, 0)+IF(LiveScoresheet!G36&gt;LiveScoresheet!E38, 1, 0)</f>
        <v>3</v>
      </c>
    </row>
    <row r="28">
      <c r="A28" s="9" t="s">
        <v>148</v>
      </c>
      <c r="B28" s="11" t="s">
        <v>149</v>
      </c>
      <c r="C28" s="56">
        <f>SUM(LiveScoresheet!J29:O29) +LiveScoresheet!I23*0.0211+IF(LiveScoresheet!J29&gt;LiveScoresheet!O24, 100, MAX(LiveScoresheet!J29-LiveScoresheet!O24+50,0))+IF(LiveScoresheet!K29&gt;LiveScoresheet!O25, 100, MAX(LiveScoresheet!K29-LiveScoresheet!O25+50,0))+IF(LiveScoresheet!L29&gt;LiveScoresheet!O26, 100, MAX(LiveScoresheet!L29-LiveScoresheet!O26+50,0))+IF(LiveScoresheet!M29&gt;LiveScoresheet!O27, 100, MAX(LiveScoresheet!M29-LiveScoresheet!O27+50,0))+IF(LiveScoresheet!N29&gt;LiveScoresheet!O28, 100, MAX(LiveScoresheet!N29-LiveScoresheet!O28+50,0))</f>
        <v>618.7258</v>
      </c>
      <c r="D28" s="56">
        <f>SUM(LiveScoresheet!J29:O29)</f>
        <v>330</v>
      </c>
      <c r="E28" s="56">
        <f>0+IF(LiveScoresheet!J29&gt;LiveScoresheet!O24, 1, 0)+IF(LiveScoresheet!K29&gt;LiveScoresheet!O25, 1, 0)+IF(LiveScoresheet!L29&gt;LiveScoresheet!O26, 1, 0)+IF(LiveScoresheet!M29&gt;LiveScoresheet!O27, 1, 0)+IF(LiveScoresheet!N29&gt;LiveScoresheet!O28, 1, 0)</f>
        <v>2</v>
      </c>
    </row>
    <row r="29">
      <c r="A29" s="9" t="s">
        <v>57</v>
      </c>
      <c r="B29" s="11" t="s">
        <v>58</v>
      </c>
      <c r="C29" s="56">
        <f>SUM(LiveScoresheet!J11:O11) +LiveScoresheet!I5*0.0211+IF(LiveScoresheet!J11&gt;LiveScoresheet!O6, 100, MAX(LiveScoresheet!J11-LiveScoresheet!O6+50,0))+IF(LiveScoresheet!K11&gt;LiveScoresheet!O7, 100, MAX(LiveScoresheet!K11-LiveScoresheet!O7+50,0))+IF(LiveScoresheet!L11&gt;LiveScoresheet!O8, 100, MAX(LiveScoresheet!L11-LiveScoresheet!O8+50,0))+IF(LiveScoresheet!M11&gt;LiveScoresheet!O9, 100, MAX(LiveScoresheet!M11-LiveScoresheet!O9+50,0))+IF(LiveScoresheet!N11&gt;LiveScoresheet!O10, 100, MAX(LiveScoresheet!N11-LiveScoresheet!O10+50,0))</f>
        <v>589.8984</v>
      </c>
      <c r="D29" s="56">
        <f>SUM(LiveScoresheet!J11:O11)</f>
        <v>326</v>
      </c>
      <c r="E29" s="56">
        <f>0+IF(LiveScoresheet!J11&gt;LiveScoresheet!O6, 1, 0)+IF(LiveScoresheet!K11&gt;LiveScoresheet!O7, 1, 0)+IF(LiveScoresheet!L11&gt;LiveScoresheet!O8, 1, 0)+IF(LiveScoresheet!M11&gt;LiveScoresheet!O9, 1, 0)+IF(LiveScoresheet!N11&gt;LiveScoresheet!O10, 1, 0)</f>
        <v>2</v>
      </c>
    </row>
    <row r="30">
      <c r="A30" s="9" t="s">
        <v>86</v>
      </c>
      <c r="B30" s="11" t="s">
        <v>87</v>
      </c>
      <c r="C30" s="56">
        <f>SUM(LiveScoresheet!J16:O16) +LiveScoresheet!I14*0.0211+IF(LiveScoresheet!J16&gt;LiveScoresheet!K15, 100, MAX(LiveScoresheet!J16-LiveScoresheet!K15+50,0))+IF(LiveScoresheet!L16&gt;LiveScoresheet!K17, 100, MAX(LiveScoresheet!L16-LiveScoresheet!K17+50,0))+IF(LiveScoresheet!M16&gt;LiveScoresheet!K18, 100, MAX(LiveScoresheet!M16-LiveScoresheet!K18+50,0))+IF(LiveScoresheet!N16&gt;LiveScoresheet!K19, 100, MAX(LiveScoresheet!N16-LiveScoresheet!K19+50,0))+IF(LiveScoresheet!O16&gt;LiveScoresheet!K20, 100, MAX(LiveScoresheet!O16-LiveScoresheet!K20+50,0))</f>
        <v>587.7718</v>
      </c>
      <c r="D30" s="56">
        <f>SUM(LiveScoresheet!J16:O16)</f>
        <v>326</v>
      </c>
      <c r="E30" s="56">
        <f>0+IF(LiveScoresheet!J16&gt;LiveScoresheet!K15, 1, 0)+IF(LiveScoresheet!L16&gt;LiveScoresheet!K17, 1, 0)+IF(LiveScoresheet!M16&gt;LiveScoresheet!K18, 1, 0)+IF(LiveScoresheet!N16&gt;LiveScoresheet!K19, 1, 0)+IF(LiveScoresheet!O16&gt;LiveScoresheet!K20, 1, 0)</f>
        <v>2</v>
      </c>
    </row>
    <row r="31">
      <c r="A31" s="9" t="s">
        <v>15</v>
      </c>
      <c r="B31" s="11" t="s">
        <v>19</v>
      </c>
      <c r="C31" s="142">
        <f>SUM(LiveScoresheet!B6:G6) + IF(LiveScoresheet!C6&gt;LiveScoresheet!B7, 100, MAX(LiveScoresheet!C6-LiveScoresheet!B7+50,0))+IF(LiveScoresheet!D6&gt;LiveScoresheet!B8, 100, MAX(LiveScoresheet!D6-LiveScoresheet!B8+50,0))+IF(LiveScoresheet!E6&gt;LiveScoresheet!B9, 100, MAX(LiveScoresheet!E6-LiveScoresheet!B9+50,0))+IF(LiveScoresheet!F6&gt;LiveScoresheet!B10, 100, MAX(LiveScoresheet!F6-LiveScoresheet!B10+50,0))+IF(LiveScoresheet!G6&gt;LiveScoresheet!B11, 100, MAX(LiveScoresheet!G6-LiveScoresheet!B11+50,0))+LiveScoresheet!A5*0.0211</f>
        <v>502.4546</v>
      </c>
      <c r="D31" s="56">
        <f>SUM(LiveScoresheet!B6:G6)</f>
        <v>226</v>
      </c>
      <c r="E31" s="56">
        <f>0+IF(LiveScoresheet!C6&gt;LiveScoresheet!B7, 1, 0)+IF(LiveScoresheet!D6&gt;LiveScoresheet!B8, 1, 0)+IF(LiveScoresheet!E6&gt;LiveScoresheet!B9, 1, 0)+IF(LiveScoresheet!F6&gt;LiveScoresheet!B10, 1, 0)+IF(LiveScoresheet!G6&gt;LiveScoresheet!B11, 1, 0)</f>
        <v>2</v>
      </c>
    </row>
    <row r="32">
      <c r="A32" s="9" t="s">
        <v>73</v>
      </c>
      <c r="B32" s="11" t="s">
        <v>74</v>
      </c>
      <c r="C32" s="56">
        <f>SUM(LiveScoresheet!B19:G19) +LiveScoresheet!A14*0.0211+IF(LiveScoresheet!B19&gt;LiveScoresheet!F15, 100, MAX(LiveScoresheet!B19-LiveScoresheet!F15+50,0))+IF(LiveScoresheet!C19&gt;LiveScoresheet!F16, 100, MAX(LiveScoresheet!C19-LiveScoresheet!F16+50,0))+IF(LiveScoresheet!D19&gt;LiveScoresheet!F17, 100, MAX(LiveScoresheet!D19-LiveScoresheet!F17+50,0))+IF(LiveScoresheet!E19&gt;LiveScoresheet!F18, 100, MAX(LiveScoresheet!E19-LiveScoresheet!F18+50,0))+IF(LiveScoresheet!G19&gt;LiveScoresheet!F20, 100, MAX(LiveScoresheet!G19-LiveScoresheet!F20+50,0))</f>
        <v>515.594</v>
      </c>
      <c r="D32" s="56">
        <f>SUM(LiveScoresheet!B19:G19)</f>
        <v>262</v>
      </c>
      <c r="E32" s="56">
        <f>0+IF(LiveScoresheet!B19&gt;LiveScoresheet!F15, 1, 0)+IF(LiveScoresheet!C19&gt;LiveScoresheet!F16, 1, 0)+IF(LiveScoresheet!D19&gt;LiveScoresheet!F17, 1, 0)+IF(LiveScoresheet!E19&gt;LiveScoresheet!F18, 1, 0)+IF(LiveScoresheet!G19&gt;LiveScoresheet!F20, 1, 0)</f>
        <v>2</v>
      </c>
    </row>
    <row r="33">
      <c r="A33" s="9" t="s">
        <v>48</v>
      </c>
      <c r="B33" s="11" t="s">
        <v>49</v>
      </c>
      <c r="C33" s="56">
        <f>SUM(LiveScoresheet!J8:O8) +LiveScoresheet!I5*0.0211+IF(LiveScoresheet!J8&gt;LiveScoresheet!L6, 100, MAX(LiveScoresheet!J8-LiveScoresheet!L6+50,0))+IF(LiveScoresheet!K8&gt;LiveScoresheet!L7, 100, MAX(LiveScoresheet!K8-LiveScoresheet!L7+50,0))+IF(LiveScoresheet!M8&gt;LiveScoresheet!L9, 100, MAX(LiveScoresheet!M8-LiveScoresheet!L9+50,0))+IF(LiveScoresheet!N8&gt;LiveScoresheet!L10, 100, MAX(LiveScoresheet!N8-LiveScoresheet!L10+50,0))+IF(LiveScoresheet!O8&gt;LiveScoresheet!L11, 100, MAX(LiveScoresheet!O8-LiveScoresheet!L11+50,0))</f>
        <v>489.8984</v>
      </c>
      <c r="D33" s="56">
        <f>SUM(LiveScoresheet!J8:O8)</f>
        <v>284</v>
      </c>
      <c r="E33" s="56">
        <f>0+IF(LiveScoresheet!J8&gt;LiveScoresheet!L6, 1, 0)+IF(LiveScoresheet!K8&gt;LiveScoresheet!L7, 1, 0)+IF(LiveScoresheet!M8&gt;LiveScoresheet!L9, 1, 0)+IF(LiveScoresheet!N8&gt;LiveScoresheet!L10, 1, 0)+IF(LiveScoresheet!O8&gt;LiveScoresheet!L11, 1, 0)</f>
        <v>1</v>
      </c>
    </row>
    <row r="34">
      <c r="A34" s="9" t="s">
        <v>126</v>
      </c>
      <c r="B34" s="11" t="s">
        <v>128</v>
      </c>
      <c r="C34" s="56">
        <f>SUM(LiveScoresheet!J24:O24) +LiveScoresheet!I23*0.0211+IF(LiveScoresheet!K24&gt;LiveScoresheet!J25, 100, MAX(LiveScoresheet!K24-LiveScoresheet!J25+50,0))+IF(LiveScoresheet!L24&gt;LiveScoresheet!J26, 100, MAX(LiveScoresheet!L24-LiveScoresheet!J26+50,0))+IF(LiveScoresheet!M24&gt;LiveScoresheet!J27, 100, MAX(LiveScoresheet!M24-LiveScoresheet!J27+50,0))+IF(LiveScoresheet!N24&gt;LiveScoresheet!J28, 100, MAX(LiveScoresheet!N24-LiveScoresheet!J28+50,0))+IF(LiveScoresheet!O24&gt;LiveScoresheet!J29, 100, MAX(LiveScoresheet!O24-LiveScoresheet!J29+50,0))</f>
        <v>462.7258</v>
      </c>
      <c r="D34" s="56">
        <f>SUM(LiveScoresheet!J24:O24)</f>
        <v>302</v>
      </c>
      <c r="E34" s="56">
        <f>0+IF(LiveScoresheet!K24&gt;LiveScoresheet!J25, 1, 0)+IF(LiveScoresheet!L24&gt;LiveScoresheet!J26, 1, 0)+IF(LiveScoresheet!M24&gt;LiveScoresheet!J27, 1, 0)+IF(LiveScoresheet!N24&gt;LiveScoresheet!J28, 1, 0)+IF(LiveScoresheet!O24&gt;LiveScoresheet!J29, 1, 0)</f>
        <v>0</v>
      </c>
    </row>
    <row r="35">
      <c r="A35" s="9" t="s">
        <v>33</v>
      </c>
      <c r="B35" s="11" t="s">
        <v>34</v>
      </c>
      <c r="C35" s="56">
        <f>SUM(LiveScoresheet!B10:G10) +LiveScoresheet!A5*0.0211+IF(LiveScoresheet!B10&gt;LiveScoresheet!F6, 100, MAX(LiveScoresheet!B10-LiveScoresheet!F6+50,0))+IF(LiveScoresheet!C10&gt;LiveScoresheet!F7, 100, MAX(LiveScoresheet!C10-LiveScoresheet!F7+50,0))+IF(LiveScoresheet!D10&gt;LiveScoresheet!F8, 100, MAX(LiveScoresheet!D10-LiveScoresheet!F8+50,0))+IF(LiveScoresheet!E10&gt;LiveScoresheet!F9, 100, MAX(LiveScoresheet!E10-LiveScoresheet!F9+50,0))+IF(LiveScoresheet!G10&gt;LiveScoresheet!F11, 100, MAX(LiveScoresheet!G10-LiveScoresheet!F11+50,0))</f>
        <v>448.4546</v>
      </c>
      <c r="D35" s="56">
        <f>SUM(LiveScoresheet!B10:G10)</f>
        <v>256</v>
      </c>
      <c r="E35" s="56">
        <f>0+IF(LiveScoresheet!B10&gt;LiveScoresheet!F6, 1, 0)+IF(LiveScoresheet!C10&gt;LiveScoresheet!F7, 1, 0)+IF(LiveScoresheet!D10&gt;LiveScoresheet!F8, 1, 0)+IF(LiveScoresheet!E10&gt;LiveScoresheet!F9, 1, 0)+IF(LiveScoresheet!G10&gt;LiveScoresheet!F11, 1, 0)</f>
        <v>1</v>
      </c>
    </row>
    <row r="36">
      <c r="A36" s="9" t="s">
        <v>144</v>
      </c>
      <c r="B36" s="11" t="s">
        <v>146</v>
      </c>
      <c r="C36" s="56">
        <f>SUM(LiveScoresheet!J28:O28) +LiveScoresheet!I23*0.0211+IF(LiveScoresheet!J28&gt;LiveScoresheet!N24, 100, MAX(LiveScoresheet!J28-LiveScoresheet!N24+50,0))+IF(LiveScoresheet!K28&gt;LiveScoresheet!N25, 100, MAX(LiveScoresheet!K28-LiveScoresheet!N25+50,0))+IF(LiveScoresheet!L28&gt;LiveScoresheet!N26, 100, MAX(LiveScoresheet!L28-LiveScoresheet!N26+50,0))+IF(LiveScoresheet!M28&gt;LiveScoresheet!N27, 100, MAX(LiveScoresheet!M28-LiveScoresheet!N27+50,0))+IF(LiveScoresheet!O28&gt;LiveScoresheet!N29, 100, MAX(LiveScoresheet!O28-LiveScoresheet!N29+50,0))</f>
        <v>442.7258</v>
      </c>
      <c r="D36" s="56">
        <f>SUM(LiveScoresheet!J28:O28)</f>
        <v>294</v>
      </c>
      <c r="E36" s="56">
        <f>0.5+IF(LiveScoresheet!J28&gt;LiveScoresheet!N24, 1, 0)+IF(LiveScoresheet!K28&gt;LiveScoresheet!N25, 1, 0)+IF(LiveScoresheet!L28&gt;LiveScoresheet!N26, 1, 0)+IF(LiveScoresheet!M28&gt;LiveScoresheet!N27, 1, 0)+IF(LiveScoresheet!O28&gt;LiveScoresheet!N29, 1, 0)</f>
        <v>0.5</v>
      </c>
    </row>
    <row r="37">
      <c r="A37" s="9" t="s">
        <v>123</v>
      </c>
      <c r="B37" s="11" t="s">
        <v>124</v>
      </c>
      <c r="C37" s="56">
        <f>SUM(LiveScoresheet!B29:G29) +LiveScoresheet!A23*0.0211+IF(LiveScoresheet!B29&gt;LiveScoresheet!G24, 100, MAX(LiveScoresheet!B29-LiveScoresheet!G24+50,0))+IF(LiveScoresheet!C29&gt;LiveScoresheet!G25, 100, MAX(LiveScoresheet!C29-LiveScoresheet!G25+50,0))+IF(LiveScoresheet!D29&gt;LiveScoresheet!G16, 100, MAX(LiveScoresheet!D29-LiveScoresheet!G16+50,0))+IF(LiveScoresheet!E29&gt;LiveScoresheet!G27, 100, MAX(LiveScoresheet!E29-LiveScoresheet!G27+50,0))+IF(LiveScoresheet!F29&gt;LiveScoresheet!G28, 100, MAX(LiveScoresheet!F29-LiveScoresheet!G28+50,0))</f>
        <v>431.5186</v>
      </c>
      <c r="D37" s="56">
        <f>SUM(LiveScoresheet!B29:G29)</f>
        <v>274</v>
      </c>
      <c r="E37" s="56">
        <f>0+IF(LiveScoresheet!B29&gt;LiveScoresheet!G24, 1, 0)+IF(LiveScoresheet!C29&gt;LiveScoresheet!G25, 1, 0)+IF(LiveScoresheet!D29&gt;LiveScoresheet!G26, 1, 0)+IF(LiveScoresheet!E29&gt;LiveScoresheet!G27, 1, 0)+IF(LiveScoresheet!F29&gt;LiveScoresheet!G28, 1, 0)</f>
        <v>1</v>
      </c>
    </row>
    <row r="38">
      <c r="A38" s="9" t="s">
        <v>80</v>
      </c>
      <c r="B38" s="11" t="s">
        <v>82</v>
      </c>
      <c r="C38" s="56">
        <f>SUM(LiveScoresheet!J15:O15) +LiveScoresheet!I14*0.0211+IF(LiveScoresheet!K15&gt;LiveScoresheet!J16, 100, MAX(LiveScoresheet!K15-LiveScoresheet!J16+50,0))+IF(LiveScoresheet!L15&gt;LiveScoresheet!J17, 100, MAX(LiveScoresheet!L15-LiveScoresheet!J17+50,0))+IF(LiveScoresheet!M15&gt;LiveScoresheet!J18, 100, MAX(LiveScoresheet!M15-LiveScoresheet!J18+50,0))+IF(LiveScoresheet!N15&gt;LiveScoresheet!J19, 100, MAX(LiveScoresheet!N15-LiveScoresheet!J19+50,0))+IF(LiveScoresheet!O15&gt;LiveScoresheet!J20, 100, MAX(LiveScoresheet!O15-LiveScoresheet!J20+50,0))</f>
        <v>375.7718</v>
      </c>
      <c r="D38" s="56">
        <f>SUM(LiveScoresheet!J15:O15)</f>
        <v>218</v>
      </c>
      <c r="E38" s="56">
        <f>0+IF(LiveScoresheet!K15&gt;LiveScoresheet!J16, 1, 0)+IF(LiveScoresheet!L15&gt;LiveScoresheet!J17, 1, 0)+IF(LiveScoresheet!M15&gt;LiveScoresheet!J18, 1, 0)+IF(LiveScoresheet!N15&gt;LiveScoresheet!J19, 1, 0)+IF(LiveScoresheet!O15&gt;LiveScoresheet!J20, 1, 0)</f>
        <v>1</v>
      </c>
    </row>
    <row r="39">
      <c r="A39" s="9" t="s">
        <v>99</v>
      </c>
      <c r="B39" s="11" t="s">
        <v>100</v>
      </c>
      <c r="C39" s="56">
        <f>SUM(LiveScoresheet!J20:O20) +LiveScoresheet!I14*0.0211+IF(LiveScoresheet!J20&gt;LiveScoresheet!O15, 100, MAX(LiveScoresheet!J20-LiveScoresheet!O15+50,0))+IF(LiveScoresheet!K20&gt;LiveScoresheet!O16, 100, MAX(LiveScoresheet!K20-LiveScoresheet!O16+50,0))+IF(LiveScoresheet!L20&gt;LiveScoresheet!O17, 100, MAX(LiveScoresheet!L20-LiveScoresheet!O17+50,0))+IF(LiveScoresheet!M20&gt;LiveScoresheet!O18, 100, MAX(LiveScoresheet!M20-LiveScoresheet!O18+50,0))+IF(LiveScoresheet!N20&gt;LiveScoresheet!O19, 100, MAX(LiveScoresheet!N20-LiveScoresheet!O19+50,0))</f>
        <v>281.7718</v>
      </c>
      <c r="D39" s="56">
        <f>SUM(LiveScoresheet!J20:O20)</f>
        <v>202</v>
      </c>
      <c r="E39" s="56">
        <f>0+IF(LiveScoresheet!J20&gt;LiveScoresheet!O15, 1, 0)+IF(LiveScoresheet!K20&gt;LiveScoresheet!O16, 1, 0)+IF(LiveScoresheet!L20&gt;LiveScoresheet!O17, 1, 0)+IF(LiveScoresheet!M20&gt;LiveScoresheet!O18, 1, 0)+IF(LiveScoresheet!N20&gt;LiveScoresheet!O19, 1, 0)</f>
        <v>0</v>
      </c>
    </row>
    <row r="40">
      <c r="A40" s="9" t="s">
        <v>27</v>
      </c>
      <c r="B40" s="11" t="s">
        <v>28</v>
      </c>
      <c r="C40" s="56">
        <f>SUM(LiveScoresheet!B8:G8) +LiveScoresheet!A5*0.0211+IF(LiveScoresheet!B8&gt;LiveScoresheet!D6, 100, MAX(LiveScoresheet!B8-LiveScoresheet!D6+50,0))+IF(LiveScoresheet!C8&gt;LiveScoresheet!D7, 100, MAX(LiveScoresheet!C8-LiveScoresheet!D7+50,0))+IF(LiveScoresheet!E8&gt;LiveScoresheet!D9, 100, MAX(LiveScoresheet!E8-LiveScoresheet!D9+50,0))+IF(LiveScoresheet!F8&gt;LiveScoresheet!D10, 100, MAX(LiveScoresheet!F8-LiveScoresheet!D10+50,0))+IF(LiveScoresheet!G8&gt;LiveScoresheet!D11, 100, MAX(LiveScoresheet!G8-LiveScoresheet!D11+50,0))</f>
        <v>272.4546</v>
      </c>
      <c r="D40" s="56">
        <f>SUM(LiveScoresheet!B8:G8)</f>
        <v>178</v>
      </c>
      <c r="E40" s="56">
        <f>0+IF(LiveScoresheet!B8&gt;LiveScoresheet!D6, 1, 0)+IF(LiveScoresheet!C8&gt;LiveScoresheet!D7, 1, 0)+IF(LiveScoresheet!E8&gt;LiveScoresheet!D9, 1, 0)+IF(LiveScoresheet!F8&gt;LiveScoresheet!D10, 1, 0)+IF(LiveScoresheet!G8&gt;LiveScoresheet!D11, 1, 0)</f>
        <v>0</v>
      </c>
    </row>
    <row r="41">
      <c r="A41" s="9" t="s">
        <v>69</v>
      </c>
      <c r="B41" s="11" t="s">
        <v>71</v>
      </c>
      <c r="C41" s="56">
        <f>SUM(LiveScoresheet!B18:G18) +LiveScoresheet!A14*0.0211+IF(LiveScoresheet!B18&gt;LiveScoresheet!E15, 100, MAX(LiveScoresheet!B18-LiveScoresheet!E15+50,0))+IF(LiveScoresheet!C18&gt;LiveScoresheet!E16, 100, MAX(LiveScoresheet!C18-LiveScoresheet!E16+50,0))+IF(LiveScoresheet!D18&gt;LiveScoresheet!E17, 100, MAX(LiveScoresheet!D18-LiveScoresheet!E17+50,0))+IF(LiveScoresheet!F18&gt;LiveScoresheet!E19, 100, MAX(LiveScoresheet!F18-LiveScoresheet!E19+50,0))+IF(LiveScoresheet!G18&gt;LiveScoresheet!E20, 100, MAX(LiveScoresheet!G18-LiveScoresheet!E20+50,0))</f>
        <v>259.594</v>
      </c>
      <c r="D41" s="56">
        <f>SUM(LiveScoresheet!B18:G18)</f>
        <v>166</v>
      </c>
      <c r="E41" s="56">
        <f>0+IF(LiveScoresheet!B18&gt;LiveScoresheet!E15, 1, 0)+IF(LiveScoresheet!C18&gt;LiveScoresheet!E16, 1, 0)+IF(LiveScoresheet!D18&gt;LiveScoresheet!E17, 1, 0)+IF(LiveScoresheet!F18&gt;LiveScoresheet!E19, 1, 0)+IF(LiveScoresheet!G18&gt;LiveScoresheet!E20, 1, 0)</f>
        <v>0</v>
      </c>
    </row>
    <row r="42">
      <c r="A42" s="9" t="s">
        <v>158</v>
      </c>
      <c r="B42" s="11" t="s">
        <v>159</v>
      </c>
      <c r="C42" s="56">
        <f>SUM(LiveScoresheet!B35:G35) +LiveScoresheet!A32*0.0211+IF(LiveScoresheet!B35&gt;LiveScoresheet!D33, 100, MAX(LiveScoresheet!B35-LiveScoresheet!D33+50,0))+IF(LiveScoresheet!C35&gt;LiveScoresheet!D34, 100, MAX(LiveScoresheet!C35-LiveScoresheet!D34+50,0))+IF(LiveScoresheet!E35&gt;LiveScoresheet!D36, 100, MAX(LiveScoresheet!E35-LiveScoresheet!D36+50,0))+IF(LiveScoresheet!F35&gt;LiveScoresheet!D37, 100, MAX(LiveScoresheet!F35-LiveScoresheet!D37+50,0))+IF(LiveScoresheet!G35&gt;LiveScoresheet!D38, 100, MAX(LiveScoresheet!G35-LiveScoresheet!D38+50,0))</f>
        <v>234.126</v>
      </c>
      <c r="D42" s="56">
        <f>SUM(LiveScoresheet!B35:G35)</f>
        <v>152</v>
      </c>
      <c r="E42" s="56">
        <f>0+IF(LiveScoresheet!B35&gt;LiveScoresheet!D33, 1, 0)+IF(LiveScoresheet!C35&gt;LiveScoresheet!D34, 1, 0)+IF(LiveScoresheet!E35&gt;LiveScoresheet!D36, 1, 0)+IF(LiveScoresheet!F35&gt;LiveScoresheet!D37, 1, 0)+IF(LiveScoresheet!G35&gt;LiveScoresheet!D38, 1, 0)</f>
        <v>0</v>
      </c>
    </row>
    <row r="43">
      <c r="A43" s="9" t="s">
        <v>51</v>
      </c>
      <c r="B43" s="11" t="s">
        <v>52</v>
      </c>
      <c r="C43" s="56">
        <f>SUM(LiveScoresheet!J9:O9) +LiveScoresheet!I5*0.0211+IF(LiveScoresheet!J9&gt;LiveScoresheet!M6, 100, MAX(LiveScoresheet!J9-LiveScoresheet!M6+50,0))+IF(LiveScoresheet!K9&gt;LiveScoresheet!M7, 100, MAX(LiveScoresheet!K9-LiveScoresheet!M7+50,0))+IF(LiveScoresheet!L9&gt;LiveScoresheet!M8, 100, MAX(LiveScoresheet!L9-LiveScoresheet!M8+50,0))+IF(LiveScoresheet!N9&gt;LiveScoresheet!M10, 100, MAX(LiveScoresheet!N9-LiveScoresheet!M10+50,0))+IF(LiveScoresheet!O9&gt;LiveScoresheet!M11, 100, MAX(LiveScoresheet!O9-LiveScoresheet!M11+50,0))</f>
        <v>213.8984</v>
      </c>
      <c r="D43" s="56">
        <f>SUM(LiveScoresheet!J9:O9)</f>
        <v>130</v>
      </c>
      <c r="E43" s="56">
        <f>0+IF(LiveScoresheet!J9&gt;LiveScoresheet!M6, 1, 0)+IF(LiveScoresheet!K9&gt;LiveScoresheet!M7, 1, 0)+IF(LiveScoresheet!L9&gt;LiveScoresheet!M8, 1, 0)+IF(LiveScoresheet!N9&gt;LiveScoresheet!M10, 1, 0)+IF(LiveScoresheet!O9&gt;LiveScoresheet!M11, 1, 0)</f>
        <v>0</v>
      </c>
    </row>
    <row r="44">
      <c r="A44" s="9" t="s">
        <v>102</v>
      </c>
      <c r="B44" s="11" t="s">
        <v>103</v>
      </c>
      <c r="C44" s="56">
        <f>SUM(LiveScoresheet!B24:G24) +LiveScoresheet!A23*0.0211+IF(LiveScoresheet!C24&gt;LiveScoresheet!B25, 100, MAX(LiveScoresheet!C24-LiveScoresheet!B25+50,0))+IF(LiveScoresheet!D24&gt;LiveScoresheet!B16, 100, MAX(LiveScoresheet!D24-LiveScoresheet!B16+50,0))+IF(LiveScoresheet!E24&gt;LiveScoresheet!B27, 100, MAX(LiveScoresheet!E24-LiveScoresheet!B27+50,0))+IF(LiveScoresheet!F24&gt;LiveScoresheet!B28, 100, MAX(LiveScoresheet!F24-LiveScoresheet!B28+50,0))+IF(LiveScoresheet!G24&gt;LiveScoresheet!B29, 100, MAX(LiveScoresheet!G24-LiveScoresheet!B29+50,0))</f>
        <v>141.5186</v>
      </c>
      <c r="D44" s="56">
        <f>SUM(LiveScoresheet!B24:G24)</f>
        <v>66</v>
      </c>
      <c r="E44" s="56">
        <f>0+IF(LiveScoresheet!C24&gt;LiveScoresheet!B25, 1, 0)+IF(LiveScoresheet!D24&gt;LiveScoresheet!B26, 1, 0)+IF(LiveScoresheet!E24&gt;LiveScoresheet!B27, 1, 0)+IF(LiveScoresheet!F24&gt;LiveScoresheet!B28, 1, 0)+IF(LiveScoresheet!G24&gt;LiveScoresheet!B29, 1, 0)</f>
        <v>0</v>
      </c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13"/>
    <col customWidth="1" min="2" max="2" width="4.5"/>
    <col customWidth="1" min="3" max="3" width="25.13"/>
    <col customWidth="1" min="4" max="4" width="4.5"/>
    <col customWidth="1" min="5" max="5" width="25.13"/>
    <col customWidth="1" min="6" max="6" width="4.5"/>
    <col customWidth="1" min="7" max="7" width="25.13"/>
    <col customWidth="1" min="8" max="8" width="4.5"/>
    <col customWidth="1" min="9" max="9" width="25.13"/>
    <col customWidth="1" min="10" max="10" width="4.5"/>
    <col customWidth="1" min="11" max="11" width="25.13"/>
    <col customWidth="1" min="12" max="12" width="4.5"/>
    <col customWidth="1" min="13" max="13" width="25.13"/>
    <col customWidth="1" min="14" max="16" width="4.5"/>
  </cols>
  <sheetData>
    <row r="1">
      <c r="A1" s="57" t="s">
        <v>193</v>
      </c>
      <c r="B1" s="22"/>
      <c r="C1" s="59" t="s">
        <v>203</v>
      </c>
      <c r="D1" s="22"/>
      <c r="E1" s="61" t="s">
        <v>205</v>
      </c>
      <c r="F1" s="22"/>
      <c r="G1" s="61" t="s">
        <v>208</v>
      </c>
      <c r="H1" s="63"/>
      <c r="I1" s="61" t="s">
        <v>218</v>
      </c>
      <c r="J1" s="63"/>
      <c r="K1" s="61" t="s">
        <v>222</v>
      </c>
      <c r="L1" s="63"/>
      <c r="M1" s="61" t="s">
        <v>224</v>
      </c>
      <c r="N1" s="65"/>
      <c r="O1" s="65"/>
      <c r="P1" s="65"/>
      <c r="Q1" s="65"/>
      <c r="R1" s="66"/>
    </row>
    <row r="2">
      <c r="A2" s="67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</row>
    <row r="3">
      <c r="A3" s="69"/>
      <c r="B3" s="71"/>
      <c r="C3" s="7"/>
      <c r="D3" s="7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</row>
    <row r="4">
      <c r="A4" s="72" t="s">
        <v>20</v>
      </c>
      <c r="B4" s="73">
        <v>104.0</v>
      </c>
      <c r="C4" s="7"/>
      <c r="D4" s="7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</row>
    <row r="5">
      <c r="A5" s="74" t="s">
        <v>257</v>
      </c>
      <c r="B5" s="75"/>
      <c r="C5" s="76" t="s">
        <v>260</v>
      </c>
      <c r="D5" s="77"/>
      <c r="E5" s="78" t="s">
        <v>20</v>
      </c>
      <c r="F5" s="80">
        <v>104.0</v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</row>
    <row r="6">
      <c r="A6" s="72" t="s">
        <v>107</v>
      </c>
      <c r="B6" s="73">
        <v>48.0</v>
      </c>
      <c r="C6" s="7"/>
      <c r="D6" s="7"/>
      <c r="E6" s="81"/>
      <c r="F6" s="82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</row>
    <row r="7">
      <c r="A7" s="83"/>
      <c r="B7" s="84"/>
      <c r="C7" s="85"/>
      <c r="D7" s="7"/>
      <c r="E7" s="85" t="s">
        <v>277</v>
      </c>
      <c r="F7" s="82"/>
      <c r="G7" s="76" t="s">
        <v>260</v>
      </c>
      <c r="H7" s="86"/>
      <c r="I7" s="78" t="s">
        <v>20</v>
      </c>
      <c r="J7" s="87">
        <v>78.0</v>
      </c>
      <c r="K7" s="68"/>
      <c r="L7" s="68"/>
      <c r="M7" s="68"/>
      <c r="N7" s="68"/>
      <c r="O7" s="68"/>
      <c r="P7" s="68"/>
      <c r="Q7" s="68"/>
      <c r="R7" s="68"/>
    </row>
    <row r="8">
      <c r="A8" s="72" t="s">
        <v>55</v>
      </c>
      <c r="B8" s="73">
        <v>88.0</v>
      </c>
      <c r="C8" s="7"/>
      <c r="D8" s="7"/>
      <c r="E8" s="81"/>
      <c r="F8" s="82"/>
      <c r="G8" s="81"/>
      <c r="H8" s="81"/>
      <c r="I8" s="81"/>
      <c r="J8" s="88"/>
      <c r="K8" s="68"/>
      <c r="L8" s="68"/>
      <c r="M8" s="68"/>
      <c r="N8" s="68"/>
      <c r="O8" s="68"/>
      <c r="P8" s="68"/>
      <c r="Q8" s="68"/>
      <c r="R8" s="68"/>
    </row>
    <row r="9">
      <c r="A9" s="74" t="s">
        <v>287</v>
      </c>
      <c r="B9" s="75"/>
      <c r="C9" s="76" t="s">
        <v>260</v>
      </c>
      <c r="D9" s="77"/>
      <c r="E9" s="78" t="s">
        <v>135</v>
      </c>
      <c r="F9" s="80">
        <v>86.0</v>
      </c>
      <c r="G9" s="81"/>
      <c r="H9" s="81"/>
      <c r="I9" s="81"/>
      <c r="J9" s="88"/>
      <c r="K9" s="68"/>
      <c r="L9" s="68"/>
      <c r="M9" s="68"/>
      <c r="N9" s="68"/>
      <c r="O9" s="68"/>
      <c r="P9" s="68"/>
      <c r="Q9" s="68"/>
      <c r="R9" s="68"/>
    </row>
    <row r="10">
      <c r="A10" s="72" t="s">
        <v>135</v>
      </c>
      <c r="B10" s="73">
        <v>128.0</v>
      </c>
      <c r="C10" s="7"/>
      <c r="D10" s="7"/>
      <c r="E10" s="81"/>
      <c r="F10" s="90"/>
      <c r="G10" s="81"/>
      <c r="H10" s="81"/>
      <c r="I10" s="81"/>
      <c r="J10" s="88"/>
      <c r="K10" s="68"/>
      <c r="L10" s="68"/>
      <c r="M10" s="68"/>
      <c r="N10" s="68"/>
      <c r="O10" s="68"/>
      <c r="P10" s="68"/>
      <c r="Q10" s="68"/>
      <c r="R10" s="68"/>
    </row>
    <row r="11">
      <c r="A11" s="83"/>
      <c r="B11" s="84"/>
      <c r="C11" s="7"/>
      <c r="D11" s="7"/>
      <c r="E11" s="91"/>
      <c r="F11" s="90"/>
      <c r="G11" s="85"/>
      <c r="H11" s="81"/>
      <c r="I11" s="85" t="s">
        <v>290</v>
      </c>
      <c r="J11" s="88"/>
      <c r="K11" s="93" t="s">
        <v>260</v>
      </c>
      <c r="L11" s="94"/>
      <c r="M11" s="95" t="s">
        <v>20</v>
      </c>
      <c r="N11" s="96">
        <v>66.0</v>
      </c>
      <c r="O11" s="97"/>
      <c r="P11" s="68"/>
      <c r="Q11" s="68"/>
      <c r="R11" s="68"/>
    </row>
    <row r="12">
      <c r="A12" s="72" t="s">
        <v>24</v>
      </c>
      <c r="B12" s="73">
        <v>152.0</v>
      </c>
      <c r="C12" s="7"/>
      <c r="D12" s="7"/>
      <c r="E12" s="91"/>
      <c r="F12" s="90"/>
      <c r="G12" s="81"/>
      <c r="H12" s="81"/>
      <c r="I12" s="81"/>
      <c r="J12" s="88"/>
      <c r="K12" s="68"/>
      <c r="L12" s="68"/>
      <c r="M12" s="68"/>
      <c r="N12" s="97"/>
      <c r="O12" s="97"/>
      <c r="P12" s="68"/>
      <c r="Q12" s="68"/>
      <c r="R12" s="68"/>
    </row>
    <row r="13">
      <c r="A13" s="74" t="s">
        <v>312</v>
      </c>
      <c r="B13" s="75"/>
      <c r="C13" s="76" t="s">
        <v>260</v>
      </c>
      <c r="D13" s="77"/>
      <c r="E13" s="78" t="s">
        <v>24</v>
      </c>
      <c r="F13" s="80">
        <v>62.0</v>
      </c>
      <c r="G13" s="81"/>
      <c r="H13" s="81"/>
      <c r="I13" s="81"/>
      <c r="J13" s="88"/>
      <c r="K13" s="68"/>
      <c r="L13" s="68"/>
      <c r="M13" s="68"/>
      <c r="N13" s="97"/>
      <c r="O13" s="97"/>
      <c r="P13" s="68"/>
      <c r="Q13" s="68"/>
      <c r="R13" s="68"/>
    </row>
    <row r="14">
      <c r="A14" s="72" t="s">
        <v>121</v>
      </c>
      <c r="B14" s="73">
        <v>18.0</v>
      </c>
      <c r="C14" s="7"/>
      <c r="D14" s="7"/>
      <c r="E14" s="81"/>
      <c r="F14" s="82"/>
      <c r="G14" s="81"/>
      <c r="H14" s="81"/>
      <c r="I14" s="81"/>
      <c r="J14" s="88"/>
      <c r="K14" s="68"/>
      <c r="L14" s="68"/>
      <c r="M14" s="68"/>
      <c r="N14" s="97"/>
      <c r="O14" s="97"/>
      <c r="P14" s="68"/>
      <c r="Q14" s="68"/>
      <c r="R14" s="68"/>
    </row>
    <row r="15">
      <c r="A15" s="83"/>
      <c r="B15" s="84"/>
      <c r="C15" s="85"/>
      <c r="D15" s="7"/>
      <c r="E15" s="85" t="s">
        <v>314</v>
      </c>
      <c r="F15" s="82"/>
      <c r="G15" s="76" t="s">
        <v>260</v>
      </c>
      <c r="H15" s="86"/>
      <c r="I15" s="78" t="s">
        <v>142</v>
      </c>
      <c r="J15" s="87">
        <v>44.0</v>
      </c>
      <c r="K15" s="68"/>
      <c r="L15" s="68"/>
      <c r="M15" s="68"/>
      <c r="N15" s="97"/>
      <c r="O15" s="97"/>
      <c r="P15" s="68"/>
      <c r="Q15" s="68"/>
      <c r="R15" s="68"/>
    </row>
    <row r="16">
      <c r="A16" s="72" t="s">
        <v>142</v>
      </c>
      <c r="B16" s="73">
        <v>122.0</v>
      </c>
      <c r="C16" s="7"/>
      <c r="D16" s="7"/>
      <c r="E16" s="81"/>
      <c r="F16" s="82"/>
      <c r="G16" s="68"/>
      <c r="H16" s="68"/>
      <c r="I16" s="68"/>
      <c r="J16" s="68"/>
      <c r="K16" s="68"/>
      <c r="L16" s="68"/>
      <c r="M16" s="68"/>
      <c r="N16" s="97"/>
      <c r="O16" s="97"/>
      <c r="P16" s="68"/>
      <c r="Q16" s="68"/>
      <c r="R16" s="68"/>
    </row>
    <row r="17">
      <c r="A17" s="74" t="s">
        <v>315</v>
      </c>
      <c r="B17" s="75"/>
      <c r="C17" s="76" t="s">
        <v>260</v>
      </c>
      <c r="D17" s="77"/>
      <c r="E17" s="78" t="s">
        <v>142</v>
      </c>
      <c r="F17" s="80">
        <v>66.0</v>
      </c>
      <c r="G17" s="68"/>
      <c r="H17" s="68"/>
      <c r="I17" s="68"/>
      <c r="J17" s="68"/>
      <c r="K17" s="68"/>
      <c r="L17" s="68"/>
      <c r="M17" s="68"/>
      <c r="N17" s="97"/>
      <c r="O17" s="97"/>
      <c r="P17" s="68"/>
      <c r="Q17" s="68"/>
      <c r="R17" s="68"/>
    </row>
    <row r="18">
      <c r="A18" s="72" t="s">
        <v>155</v>
      </c>
      <c r="B18" s="73">
        <v>40.0</v>
      </c>
      <c r="C18" s="7"/>
      <c r="D18" s="7"/>
      <c r="E18" s="68"/>
      <c r="F18" s="102"/>
      <c r="G18" s="68"/>
      <c r="H18" s="68"/>
      <c r="I18" s="68"/>
      <c r="J18" s="68"/>
      <c r="K18" s="78" t="s">
        <v>142</v>
      </c>
      <c r="L18" s="103">
        <v>72.0</v>
      </c>
      <c r="M18" s="104" t="s">
        <v>328</v>
      </c>
      <c r="N18" s="97"/>
      <c r="O18" s="97"/>
      <c r="P18" s="68"/>
      <c r="Q18" s="68"/>
      <c r="R18" s="68"/>
    </row>
    <row r="19">
      <c r="A19" s="7"/>
      <c r="B19" s="84"/>
      <c r="C19" s="7"/>
      <c r="D19" s="7"/>
      <c r="E19" s="68"/>
      <c r="F19" s="102"/>
      <c r="G19" s="68"/>
      <c r="H19" s="68"/>
      <c r="I19" s="68"/>
      <c r="J19" s="68"/>
      <c r="K19" s="68"/>
      <c r="L19" s="105"/>
      <c r="M19" s="68"/>
      <c r="N19" s="97"/>
      <c r="O19" s="97"/>
      <c r="P19" s="68"/>
      <c r="Q19" s="68"/>
      <c r="R19" s="68"/>
    </row>
    <row r="20" ht="15.75" customHeight="1">
      <c r="A20" s="67"/>
      <c r="B20" s="84"/>
      <c r="C20" s="81"/>
      <c r="D20" s="81"/>
      <c r="E20" s="68"/>
      <c r="F20" s="102"/>
      <c r="G20" s="68"/>
      <c r="H20" s="68"/>
      <c r="I20" s="68"/>
      <c r="J20" s="68"/>
      <c r="K20" s="68"/>
      <c r="L20" s="105"/>
      <c r="M20" s="68"/>
      <c r="N20" s="97"/>
      <c r="O20" s="97"/>
      <c r="P20" s="68"/>
      <c r="Q20" s="68"/>
      <c r="R20" s="68"/>
    </row>
    <row r="21" ht="15.75" customHeight="1">
      <c r="A21" s="67"/>
      <c r="B21" s="84"/>
      <c r="C21" s="81"/>
      <c r="D21" s="81"/>
      <c r="E21" s="68"/>
      <c r="F21" s="102"/>
      <c r="G21" s="68"/>
      <c r="H21" s="68"/>
      <c r="I21" s="68"/>
      <c r="J21" s="68"/>
      <c r="K21" s="68"/>
      <c r="L21" s="105"/>
      <c r="M21" s="68"/>
      <c r="N21" s="97"/>
      <c r="O21" s="97"/>
      <c r="P21" s="68"/>
      <c r="Q21" s="68"/>
      <c r="R21" s="68"/>
    </row>
    <row r="22">
      <c r="A22" s="67"/>
      <c r="B22" s="84"/>
      <c r="C22" s="81"/>
      <c r="D22" s="81"/>
      <c r="E22" s="68"/>
      <c r="F22" s="102"/>
      <c r="G22" s="78" t="s">
        <v>135</v>
      </c>
      <c r="H22" s="107">
        <v>66.0</v>
      </c>
      <c r="I22" s="68"/>
      <c r="J22" s="68"/>
      <c r="K22" s="68"/>
      <c r="L22" s="105"/>
      <c r="M22" s="68"/>
      <c r="N22" s="97"/>
      <c r="O22" s="97"/>
      <c r="P22" s="68"/>
      <c r="Q22" s="68"/>
      <c r="R22" s="68"/>
    </row>
    <row r="23">
      <c r="A23" s="67"/>
      <c r="B23" s="84"/>
      <c r="C23" s="81"/>
      <c r="D23" s="81"/>
      <c r="E23" s="68"/>
      <c r="F23" s="102"/>
      <c r="G23" s="68"/>
      <c r="H23" s="108"/>
      <c r="I23" s="68"/>
      <c r="J23" s="68"/>
      <c r="K23" s="68"/>
      <c r="L23" s="105"/>
      <c r="M23" s="68"/>
      <c r="N23" s="97"/>
      <c r="O23" s="97"/>
      <c r="P23" s="68"/>
      <c r="Q23" s="68"/>
      <c r="R23" s="68"/>
    </row>
    <row r="24">
      <c r="A24" s="67"/>
      <c r="B24" s="84"/>
      <c r="C24" s="78" t="s">
        <v>107</v>
      </c>
      <c r="D24" s="80">
        <v>40.0</v>
      </c>
      <c r="E24" s="104"/>
      <c r="F24" s="102"/>
      <c r="G24" s="68"/>
      <c r="H24" s="108"/>
      <c r="I24" s="68"/>
      <c r="J24" s="68"/>
      <c r="K24" s="68"/>
      <c r="L24" s="105"/>
      <c r="M24" s="68"/>
      <c r="N24" s="97"/>
      <c r="O24" s="97"/>
      <c r="P24" s="68"/>
      <c r="Q24" s="68"/>
      <c r="R24" s="68"/>
    </row>
    <row r="25">
      <c r="A25" s="67"/>
      <c r="B25" s="84"/>
      <c r="C25" s="81"/>
      <c r="D25" s="82"/>
      <c r="E25" s="68"/>
      <c r="F25" s="102"/>
      <c r="G25" s="68"/>
      <c r="H25" s="108"/>
      <c r="I25" s="68"/>
      <c r="J25" s="68"/>
      <c r="K25" s="68"/>
      <c r="L25" s="105"/>
      <c r="M25" s="68"/>
      <c r="N25" s="97"/>
      <c r="O25" s="97"/>
      <c r="P25" s="68"/>
      <c r="Q25" s="68"/>
      <c r="R25" s="68"/>
    </row>
    <row r="26">
      <c r="A26" s="71"/>
      <c r="B26" s="84"/>
      <c r="C26" s="85" t="s">
        <v>335</v>
      </c>
      <c r="D26" s="82"/>
      <c r="E26" s="78" t="s">
        <v>37</v>
      </c>
      <c r="F26" s="107">
        <v>42.0</v>
      </c>
      <c r="G26" s="85" t="s">
        <v>336</v>
      </c>
      <c r="H26" s="108"/>
      <c r="I26" s="78" t="s">
        <v>135</v>
      </c>
      <c r="J26" s="103">
        <v>56.0</v>
      </c>
      <c r="K26" s="104" t="s">
        <v>338</v>
      </c>
      <c r="L26" s="105"/>
      <c r="M26" s="78" t="s">
        <v>135</v>
      </c>
      <c r="N26" s="96">
        <v>24.0</v>
      </c>
      <c r="O26" s="97"/>
      <c r="P26" s="68"/>
      <c r="Q26" s="68"/>
      <c r="R26" s="68"/>
    </row>
    <row r="27">
      <c r="A27" s="78" t="s">
        <v>37</v>
      </c>
      <c r="B27" s="73">
        <v>56.0</v>
      </c>
      <c r="C27" s="81"/>
      <c r="D27" s="82"/>
      <c r="E27" s="68"/>
      <c r="F27" s="109"/>
      <c r="G27" s="68"/>
      <c r="H27" s="108"/>
      <c r="I27" s="68"/>
      <c r="J27" s="105"/>
      <c r="K27" s="68"/>
      <c r="L27" s="105"/>
      <c r="M27" s="68"/>
      <c r="N27" s="68"/>
      <c r="O27" s="68"/>
      <c r="P27" s="68"/>
      <c r="Q27" s="68"/>
      <c r="R27" s="68"/>
    </row>
    <row r="28">
      <c r="A28" s="85" t="s">
        <v>341</v>
      </c>
      <c r="B28" s="75"/>
      <c r="C28" s="78" t="s">
        <v>37</v>
      </c>
      <c r="D28" s="80">
        <v>108.0</v>
      </c>
      <c r="E28" s="68"/>
      <c r="F28" s="109"/>
      <c r="G28" s="68"/>
      <c r="H28" s="108"/>
      <c r="I28" s="68"/>
      <c r="J28" s="105"/>
      <c r="K28" s="68"/>
      <c r="L28" s="105"/>
      <c r="M28" s="68"/>
      <c r="N28" s="68"/>
      <c r="O28" s="68"/>
      <c r="P28" s="68"/>
      <c r="Q28" s="68"/>
      <c r="R28" s="68"/>
    </row>
    <row r="29">
      <c r="A29" s="78" t="s">
        <v>111</v>
      </c>
      <c r="B29" s="73">
        <v>52.0</v>
      </c>
      <c r="C29" s="7"/>
      <c r="D29" s="84"/>
      <c r="E29" s="68"/>
      <c r="F29" s="109"/>
      <c r="G29" s="68"/>
      <c r="H29" s="108"/>
      <c r="I29" s="68"/>
      <c r="J29" s="105"/>
      <c r="K29" s="68"/>
      <c r="L29" s="105"/>
      <c r="M29" s="68"/>
      <c r="N29" s="68"/>
      <c r="O29" s="68"/>
      <c r="P29" s="68"/>
      <c r="Q29" s="68"/>
      <c r="R29" s="68"/>
    </row>
    <row r="30">
      <c r="A30" s="7"/>
      <c r="B30" s="84"/>
      <c r="C30" s="85"/>
      <c r="D30" s="84"/>
      <c r="E30" s="85" t="s">
        <v>344</v>
      </c>
      <c r="F30" s="109"/>
      <c r="G30" s="78" t="s">
        <v>345</v>
      </c>
      <c r="H30" s="107">
        <v>30.0</v>
      </c>
      <c r="J30" s="105"/>
      <c r="K30" s="68"/>
      <c r="L30" s="105"/>
      <c r="M30" s="68"/>
      <c r="N30" s="68"/>
      <c r="O30" s="68"/>
      <c r="P30" s="68"/>
      <c r="Q30" s="68"/>
      <c r="R30" s="68"/>
    </row>
    <row r="31">
      <c r="A31" s="69"/>
      <c r="B31" s="84"/>
      <c r="C31" s="81"/>
      <c r="D31" s="90"/>
      <c r="E31" s="68"/>
      <c r="F31" s="82"/>
      <c r="G31" s="81"/>
      <c r="H31" s="68"/>
      <c r="I31" s="68"/>
      <c r="J31" s="105"/>
      <c r="K31" s="68"/>
      <c r="L31" s="105"/>
      <c r="M31" s="68"/>
      <c r="N31" s="68"/>
      <c r="O31" s="68"/>
      <c r="P31" s="68"/>
      <c r="Q31" s="68"/>
      <c r="R31" s="68"/>
    </row>
    <row r="32">
      <c r="A32" s="69"/>
      <c r="B32" s="84"/>
      <c r="C32" s="78" t="s">
        <v>55</v>
      </c>
      <c r="D32" s="80">
        <v>50.0</v>
      </c>
      <c r="E32" s="104"/>
      <c r="F32" s="82"/>
      <c r="G32" s="81"/>
      <c r="H32" s="68"/>
      <c r="I32" s="68"/>
      <c r="J32" s="105"/>
      <c r="K32" s="68"/>
      <c r="L32" s="105"/>
      <c r="M32" s="68"/>
      <c r="N32" s="68"/>
      <c r="O32" s="68"/>
      <c r="P32" s="68"/>
      <c r="Q32" s="68"/>
      <c r="R32" s="68"/>
    </row>
    <row r="33">
      <c r="A33" s="69"/>
      <c r="B33" s="84"/>
      <c r="C33" s="81"/>
      <c r="D33" s="82"/>
      <c r="E33" s="68"/>
      <c r="F33" s="113"/>
      <c r="G33" s="81"/>
      <c r="H33" s="68"/>
      <c r="I33" s="68"/>
      <c r="J33" s="105"/>
      <c r="K33" s="68"/>
      <c r="L33" s="105"/>
      <c r="M33" s="68"/>
      <c r="N33" s="68"/>
      <c r="O33" s="68"/>
      <c r="P33" s="68"/>
      <c r="Q33" s="68"/>
      <c r="R33" s="68"/>
    </row>
    <row r="34">
      <c r="A34" s="85"/>
      <c r="B34" s="84"/>
      <c r="C34" s="85" t="s">
        <v>348</v>
      </c>
      <c r="D34" s="82"/>
      <c r="E34" s="78" t="s">
        <v>46</v>
      </c>
      <c r="F34" s="80">
        <v>104.0</v>
      </c>
      <c r="G34" s="81"/>
      <c r="H34" s="68"/>
      <c r="I34" s="104" t="s">
        <v>349</v>
      </c>
      <c r="J34" s="105"/>
      <c r="K34" s="78" t="s">
        <v>135</v>
      </c>
      <c r="L34" s="103">
        <v>86.0</v>
      </c>
      <c r="M34" s="68"/>
      <c r="N34" s="68"/>
      <c r="O34" s="68"/>
      <c r="P34" s="68"/>
      <c r="Q34" s="68"/>
      <c r="R34" s="68"/>
    </row>
    <row r="35">
      <c r="A35" s="78" t="s">
        <v>42</v>
      </c>
      <c r="B35" s="80">
        <v>30.0</v>
      </c>
      <c r="C35" s="81"/>
      <c r="D35" s="82"/>
      <c r="E35" s="68"/>
      <c r="F35" s="90"/>
      <c r="G35" s="81"/>
      <c r="H35" s="68"/>
      <c r="I35" s="68"/>
      <c r="J35" s="105"/>
      <c r="K35" s="68"/>
      <c r="L35" s="68"/>
      <c r="M35" s="68"/>
      <c r="N35" s="68"/>
      <c r="O35" s="68"/>
      <c r="P35" s="68"/>
      <c r="Q35" s="68"/>
      <c r="R35" s="68"/>
    </row>
    <row r="36">
      <c r="A36" s="85" t="s">
        <v>350</v>
      </c>
      <c r="B36" s="82"/>
      <c r="C36" s="78" t="s">
        <v>46</v>
      </c>
      <c r="D36" s="80">
        <v>138.0</v>
      </c>
      <c r="E36" s="68"/>
      <c r="F36" s="102"/>
      <c r="G36" s="68"/>
      <c r="H36" s="68"/>
      <c r="I36" s="68"/>
      <c r="J36" s="105"/>
      <c r="K36" s="68"/>
      <c r="L36" s="68"/>
      <c r="M36" s="68"/>
      <c r="N36" s="68"/>
      <c r="O36" s="68"/>
      <c r="P36" s="68"/>
      <c r="Q36" s="68"/>
      <c r="R36" s="68"/>
    </row>
    <row r="37">
      <c r="A37" s="78" t="s">
        <v>46</v>
      </c>
      <c r="B37" s="80">
        <v>138.0</v>
      </c>
      <c r="C37" s="71"/>
      <c r="D37" s="84"/>
      <c r="E37" s="68"/>
      <c r="F37" s="102"/>
      <c r="G37" s="68"/>
      <c r="H37" s="68"/>
      <c r="I37" s="68"/>
      <c r="J37" s="105"/>
      <c r="K37" s="68"/>
      <c r="L37" s="68"/>
      <c r="M37" s="68"/>
      <c r="N37" s="68"/>
      <c r="O37" s="68"/>
      <c r="P37" s="68"/>
      <c r="Q37" s="68"/>
      <c r="R37" s="68"/>
    </row>
    <row r="38">
      <c r="A38" s="91"/>
      <c r="B38" s="90"/>
      <c r="C38" s="7"/>
      <c r="D38" s="84"/>
      <c r="E38" s="68"/>
      <c r="F38" s="102"/>
      <c r="G38" s="78" t="s">
        <v>24</v>
      </c>
      <c r="H38" s="103">
        <v>44.0</v>
      </c>
      <c r="I38" s="68"/>
      <c r="J38" s="105"/>
      <c r="K38" s="68"/>
      <c r="L38" s="68"/>
      <c r="M38" s="68"/>
      <c r="N38" s="68"/>
      <c r="O38" s="68"/>
      <c r="P38" s="68"/>
      <c r="Q38" s="68"/>
      <c r="R38" s="68"/>
    </row>
    <row r="39">
      <c r="A39" s="118"/>
      <c r="B39" s="119"/>
      <c r="C39" s="85"/>
      <c r="D39" s="84"/>
      <c r="E39" s="68"/>
      <c r="F39" s="90"/>
      <c r="G39" s="68"/>
      <c r="H39" s="108"/>
      <c r="I39" s="68"/>
      <c r="J39" s="105"/>
      <c r="K39" s="68"/>
      <c r="L39" s="68"/>
      <c r="M39" s="68"/>
      <c r="N39" s="68"/>
      <c r="O39" s="68"/>
      <c r="P39" s="68"/>
      <c r="Q39" s="68"/>
      <c r="R39" s="68"/>
    </row>
    <row r="40">
      <c r="A40" s="120"/>
      <c r="B40" s="90"/>
      <c r="C40" s="78" t="s">
        <v>121</v>
      </c>
      <c r="D40" s="80">
        <v>110.0</v>
      </c>
      <c r="E40" s="104"/>
      <c r="F40" s="90"/>
      <c r="G40" s="68"/>
      <c r="H40" s="108"/>
      <c r="I40" s="68"/>
      <c r="J40" s="105"/>
      <c r="K40" s="68"/>
      <c r="L40" s="68"/>
      <c r="M40" s="68"/>
      <c r="N40" s="68"/>
      <c r="O40" s="68"/>
      <c r="P40" s="68"/>
      <c r="Q40" s="68"/>
      <c r="R40" s="68"/>
    </row>
    <row r="41">
      <c r="A41" s="118"/>
      <c r="B41" s="119"/>
      <c r="C41" s="81"/>
      <c r="D41" s="82"/>
      <c r="E41" s="68"/>
      <c r="F41" s="123"/>
      <c r="G41" s="68"/>
      <c r="H41" s="108"/>
      <c r="I41" s="68"/>
      <c r="J41" s="105"/>
      <c r="K41" s="68"/>
      <c r="L41" s="68"/>
      <c r="M41" s="68"/>
      <c r="N41" s="68"/>
      <c r="O41" s="68"/>
      <c r="P41" s="68"/>
      <c r="Q41" s="68"/>
      <c r="R41" s="68"/>
    </row>
    <row r="42">
      <c r="A42" s="91"/>
      <c r="B42" s="90"/>
      <c r="C42" s="85" t="s">
        <v>354</v>
      </c>
      <c r="D42" s="82"/>
      <c r="E42" s="78" t="s">
        <v>121</v>
      </c>
      <c r="F42" s="80">
        <v>28.0</v>
      </c>
      <c r="G42" s="85" t="s">
        <v>355</v>
      </c>
      <c r="H42" s="108"/>
      <c r="I42" s="78" t="s">
        <v>155</v>
      </c>
      <c r="J42" s="103">
        <v>42.0</v>
      </c>
      <c r="K42" s="68"/>
      <c r="L42" s="68"/>
      <c r="M42" s="68"/>
      <c r="N42" s="68"/>
      <c r="O42" s="68"/>
      <c r="P42" s="68"/>
      <c r="Q42" s="68"/>
      <c r="R42" s="68"/>
    </row>
    <row r="43">
      <c r="A43" s="78" t="s">
        <v>64</v>
      </c>
      <c r="B43" s="80">
        <v>62.0</v>
      </c>
      <c r="C43" s="81"/>
      <c r="D43" s="82"/>
      <c r="E43" s="68"/>
      <c r="F43" s="109"/>
      <c r="G43" s="68"/>
      <c r="H43" s="10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>
      <c r="A44" s="85" t="s">
        <v>356</v>
      </c>
      <c r="B44" s="82"/>
      <c r="C44" s="78" t="s">
        <v>64</v>
      </c>
      <c r="D44" s="80">
        <v>16.0</v>
      </c>
      <c r="E44" s="68"/>
      <c r="F44" s="109"/>
      <c r="G44" s="68"/>
      <c r="H44" s="108"/>
      <c r="I44" s="68"/>
      <c r="J44" s="68"/>
      <c r="K44" s="68"/>
      <c r="L44" s="68"/>
      <c r="M44" s="68"/>
      <c r="N44" s="68"/>
      <c r="O44" s="68"/>
      <c r="P44" s="68"/>
      <c r="Q44" s="68"/>
      <c r="R44" s="68"/>
    </row>
    <row r="45">
      <c r="A45" s="78" t="s">
        <v>166</v>
      </c>
      <c r="B45" s="80">
        <v>42.0</v>
      </c>
      <c r="C45" s="68"/>
      <c r="D45" s="102"/>
      <c r="E45" s="68"/>
      <c r="F45" s="109"/>
      <c r="G45" s="68"/>
      <c r="H45" s="108"/>
      <c r="I45" s="68"/>
      <c r="J45" s="68"/>
      <c r="K45" s="68"/>
      <c r="L45" s="68"/>
      <c r="M45" s="68"/>
      <c r="N45" s="68"/>
      <c r="O45" s="68"/>
      <c r="P45" s="68"/>
      <c r="Q45" s="68"/>
      <c r="R45" s="68"/>
    </row>
    <row r="46">
      <c r="A46" s="81"/>
      <c r="B46" s="90"/>
      <c r="C46" s="68"/>
      <c r="D46" s="102"/>
      <c r="E46" s="85" t="s">
        <v>357</v>
      </c>
      <c r="F46" s="109"/>
      <c r="G46" s="78" t="s">
        <v>155</v>
      </c>
      <c r="H46" s="103">
        <v>56.0</v>
      </c>
      <c r="I46" s="68"/>
      <c r="J46" s="68"/>
      <c r="K46" s="68"/>
      <c r="L46" s="68"/>
      <c r="M46" s="68"/>
      <c r="N46" s="68"/>
      <c r="O46" s="68"/>
      <c r="P46" s="68"/>
      <c r="Q46" s="68"/>
      <c r="R46" s="68"/>
    </row>
    <row r="47">
      <c r="A47" s="71"/>
      <c r="B47" s="90"/>
      <c r="C47" s="68"/>
      <c r="D47" s="102"/>
      <c r="E47" s="68"/>
      <c r="F47" s="82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</row>
    <row r="48">
      <c r="A48" s="120"/>
      <c r="B48" s="90"/>
      <c r="C48" s="78" t="s">
        <v>155</v>
      </c>
      <c r="D48" s="80">
        <v>128.0</v>
      </c>
      <c r="E48" s="104"/>
      <c r="F48" s="82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</row>
    <row r="49">
      <c r="A49" s="71"/>
      <c r="B49" s="90"/>
      <c r="C49" s="81"/>
      <c r="D49" s="82"/>
      <c r="E49" s="68"/>
      <c r="F49" s="113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</row>
    <row r="50">
      <c r="A50" s="68"/>
      <c r="B50" s="102"/>
      <c r="C50" s="85" t="s">
        <v>358</v>
      </c>
      <c r="D50" s="82"/>
      <c r="E50" s="78" t="s">
        <v>155</v>
      </c>
      <c r="F50" s="80">
        <v>56.0</v>
      </c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</row>
    <row r="51">
      <c r="A51" s="78" t="s">
        <v>93</v>
      </c>
      <c r="B51" s="80">
        <v>88.0</v>
      </c>
      <c r="C51" s="81"/>
      <c r="D51" s="82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</row>
    <row r="52">
      <c r="A52" s="85" t="s">
        <v>359</v>
      </c>
      <c r="B52" s="82"/>
      <c r="C52" s="78" t="s">
        <v>93</v>
      </c>
      <c r="D52" s="80">
        <v>50.0</v>
      </c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</row>
    <row r="53">
      <c r="A53" s="78" t="s">
        <v>77</v>
      </c>
      <c r="B53" s="80">
        <v>44.0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</row>
    <row r="54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</row>
  </sheetData>
  <mergeCells count="3">
    <mergeCell ref="A1:B1"/>
    <mergeCell ref="C1:D1"/>
    <mergeCell ref="E1:F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124.5"/>
  </cols>
  <sheetData>
    <row r="1" ht="108.0" customHeight="1">
      <c r="A1" s="2" t="s">
        <v>337</v>
      </c>
    </row>
    <row r="2">
      <c r="A2" s="110" t="s">
        <v>339</v>
      </c>
      <c r="B2" s="111" t="s">
        <v>340</v>
      </c>
    </row>
    <row r="3">
      <c r="A3" s="112" t="s">
        <v>342</v>
      </c>
      <c r="B3" s="114" t="s">
        <v>343</v>
      </c>
    </row>
    <row r="4">
      <c r="A4" s="112" t="s">
        <v>346</v>
      </c>
      <c r="B4" s="114" t="s">
        <v>347</v>
      </c>
    </row>
    <row r="5">
      <c r="A5" s="112"/>
      <c r="B5" s="116"/>
    </row>
    <row r="6">
      <c r="A6" s="117" t="s">
        <v>351</v>
      </c>
      <c r="B6" s="116"/>
    </row>
    <row r="7">
      <c r="A7" s="112" t="s">
        <v>352</v>
      </c>
      <c r="B7" s="121" t="s">
        <v>353</v>
      </c>
    </row>
    <row r="8">
      <c r="A8" s="124"/>
      <c r="B8" s="125"/>
    </row>
    <row r="9">
      <c r="A9" s="124"/>
      <c r="B9" s="125"/>
    </row>
    <row r="10">
      <c r="A10" s="124"/>
      <c r="B10" s="126"/>
    </row>
    <row r="11">
      <c r="A11" s="124"/>
      <c r="B11" s="126"/>
    </row>
    <row r="12">
      <c r="A12" s="124"/>
      <c r="B12" s="126"/>
    </row>
    <row r="13">
      <c r="A13" s="124"/>
      <c r="B13" s="81"/>
    </row>
    <row r="14">
      <c r="A14" s="124"/>
      <c r="B14" s="81"/>
    </row>
    <row r="15">
      <c r="A15" s="127"/>
      <c r="B15" s="128"/>
    </row>
    <row r="16">
      <c r="A16" s="112"/>
      <c r="B16" s="128"/>
    </row>
    <row r="17">
      <c r="A17" s="112"/>
      <c r="B17" s="128"/>
    </row>
    <row r="18">
      <c r="A18" s="9"/>
      <c r="B18" s="129"/>
    </row>
    <row r="19">
      <c r="A19" s="9"/>
      <c r="B19" s="129"/>
    </row>
    <row r="20">
      <c r="A20" s="9"/>
      <c r="B20" s="129"/>
    </row>
    <row r="21">
      <c r="A21" s="9"/>
      <c r="B21" s="129"/>
    </row>
    <row r="22">
      <c r="A22" s="9"/>
      <c r="B22" s="129"/>
    </row>
    <row r="23">
      <c r="A23" s="9"/>
      <c r="B23" s="129"/>
    </row>
    <row r="24">
      <c r="A24" s="9"/>
      <c r="B24" s="129"/>
    </row>
    <row r="25">
      <c r="A25" s="9"/>
      <c r="B25" s="129"/>
    </row>
    <row r="26">
      <c r="A26" s="9"/>
      <c r="B26" s="129"/>
    </row>
    <row r="27">
      <c r="A27" s="9"/>
      <c r="B27" s="129"/>
    </row>
    <row r="28">
      <c r="A28" s="9"/>
      <c r="B28" s="129"/>
    </row>
    <row r="29">
      <c r="A29" s="9"/>
      <c r="B29" s="129"/>
    </row>
    <row r="30">
      <c r="A30" s="9"/>
      <c r="B30" s="129"/>
    </row>
    <row r="31">
      <c r="A31" s="9"/>
      <c r="B31" s="129"/>
    </row>
    <row r="32">
      <c r="A32" s="9"/>
      <c r="B32" s="129"/>
    </row>
    <row r="33">
      <c r="A33" s="9"/>
      <c r="B33" s="129"/>
    </row>
    <row r="34">
      <c r="A34" s="9"/>
      <c r="B34" s="129"/>
    </row>
    <row r="35">
      <c r="A35" s="9"/>
      <c r="B35" s="129"/>
    </row>
    <row r="36">
      <c r="A36" s="9"/>
      <c r="B36" s="129"/>
    </row>
    <row r="37">
      <c r="A37" s="9"/>
      <c r="B37" s="129"/>
    </row>
    <row r="38">
      <c r="A38" s="9"/>
      <c r="B38" s="129"/>
    </row>
    <row r="39">
      <c r="A39" s="9"/>
      <c r="B39" s="129"/>
    </row>
    <row r="40">
      <c r="A40" s="9"/>
      <c r="B40" s="129"/>
    </row>
    <row r="41">
      <c r="A41" s="9"/>
      <c r="B41" s="129"/>
    </row>
    <row r="42">
      <c r="A42" s="9"/>
      <c r="B42" s="129"/>
    </row>
    <row r="43">
      <c r="A43" s="9"/>
      <c r="B43" s="129"/>
    </row>
    <row r="44">
      <c r="A44" s="9"/>
      <c r="B44" s="129"/>
    </row>
    <row r="45">
      <c r="A45" s="130"/>
      <c r="B45" s="129"/>
    </row>
    <row r="46">
      <c r="A46" s="130"/>
      <c r="B46" s="129"/>
    </row>
    <row r="47">
      <c r="A47" s="130"/>
      <c r="B47" s="129"/>
    </row>
    <row r="48">
      <c r="A48" s="130"/>
      <c r="B48" s="129"/>
    </row>
    <row r="49">
      <c r="A49" s="130"/>
      <c r="B49" s="129"/>
    </row>
    <row r="50">
      <c r="A50" s="130"/>
      <c r="B50" s="129"/>
    </row>
  </sheetData>
  <mergeCells count="1">
    <mergeCell ref="A1:B1"/>
  </mergeCells>
  <hyperlinks>
    <hyperlink r:id="rId1" ref="B3"/>
    <hyperlink r:id="rId2" ref="B4"/>
    <hyperlink r:id="rId3" location="gid=0" ref="B7"/>
  </hyperlinks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14" width="16.5"/>
  </cols>
  <sheetData>
    <row r="1">
      <c r="A1" s="131"/>
      <c r="B1" s="132" t="s">
        <v>339</v>
      </c>
      <c r="C1" s="132" t="s">
        <v>360</v>
      </c>
      <c r="D1" s="132" t="s">
        <v>361</v>
      </c>
      <c r="E1" s="132" t="s">
        <v>362</v>
      </c>
      <c r="F1" s="132" t="s">
        <v>363</v>
      </c>
      <c r="G1" s="132" t="s">
        <v>364</v>
      </c>
      <c r="H1" s="132" t="s">
        <v>365</v>
      </c>
      <c r="I1" s="132" t="s">
        <v>366</v>
      </c>
      <c r="J1" s="132" t="s">
        <v>367</v>
      </c>
      <c r="K1" s="132" t="s">
        <v>368</v>
      </c>
      <c r="L1" s="132" t="s">
        <v>369</v>
      </c>
      <c r="M1" s="132" t="s">
        <v>370</v>
      </c>
      <c r="N1" s="132" t="s">
        <v>371</v>
      </c>
    </row>
    <row r="2">
      <c r="A2" s="131" t="s">
        <v>372</v>
      </c>
      <c r="B2" s="133" t="s">
        <v>373</v>
      </c>
      <c r="C2" s="134">
        <v>96.0</v>
      </c>
      <c r="D2" s="134">
        <v>33.3</v>
      </c>
      <c r="E2" s="134">
        <v>20.0</v>
      </c>
      <c r="F2" s="134">
        <v>9.6</v>
      </c>
      <c r="G2" s="134">
        <v>20.0</v>
      </c>
      <c r="H2" s="134">
        <v>2.4</v>
      </c>
      <c r="I2" s="134">
        <v>19.0</v>
      </c>
      <c r="J2" s="134">
        <v>9.26</v>
      </c>
      <c r="K2" s="134">
        <v>19.0</v>
      </c>
      <c r="L2" s="134">
        <v>5.05</v>
      </c>
      <c r="M2" s="134">
        <v>18.0</v>
      </c>
      <c r="N2" s="134">
        <v>7.11</v>
      </c>
    </row>
    <row r="3">
      <c r="A3" s="131" t="s">
        <v>374</v>
      </c>
      <c r="B3" s="133" t="s">
        <v>375</v>
      </c>
      <c r="C3" s="134">
        <v>93.0</v>
      </c>
      <c r="D3" s="134">
        <v>26.7</v>
      </c>
      <c r="E3" s="134">
        <v>20.0</v>
      </c>
      <c r="F3" s="134">
        <v>7.2</v>
      </c>
      <c r="G3" s="134">
        <v>19.0</v>
      </c>
      <c r="H3" s="134">
        <v>5.89</v>
      </c>
      <c r="I3" s="134">
        <v>18.0</v>
      </c>
      <c r="J3" s="134">
        <v>2.67</v>
      </c>
      <c r="K3" s="134">
        <v>18.0</v>
      </c>
      <c r="L3" s="134">
        <v>8.89</v>
      </c>
      <c r="M3" s="134">
        <v>18.0</v>
      </c>
      <c r="N3" s="134">
        <v>1.78</v>
      </c>
    </row>
    <row r="4">
      <c r="A4" s="131" t="s">
        <v>376</v>
      </c>
      <c r="B4" s="133" t="s">
        <v>377</v>
      </c>
      <c r="C4" s="134">
        <v>90.0</v>
      </c>
      <c r="D4" s="134">
        <v>24.0</v>
      </c>
      <c r="E4" s="134">
        <v>19.0</v>
      </c>
      <c r="F4" s="134">
        <v>3.37</v>
      </c>
      <c r="G4" s="134">
        <v>19.0</v>
      </c>
      <c r="H4" s="134">
        <v>1.68</v>
      </c>
      <c r="I4" s="134">
        <v>18.0</v>
      </c>
      <c r="J4" s="134">
        <v>8.89</v>
      </c>
      <c r="K4" s="134">
        <v>17.0</v>
      </c>
      <c r="L4" s="134">
        <v>2.82</v>
      </c>
      <c r="M4" s="134">
        <v>17.0</v>
      </c>
      <c r="N4" s="134">
        <v>7.53</v>
      </c>
    </row>
    <row r="5">
      <c r="A5" s="131" t="s">
        <v>378</v>
      </c>
      <c r="B5" s="133" t="s">
        <v>379</v>
      </c>
      <c r="C5" s="134">
        <v>100.0</v>
      </c>
      <c r="D5" s="134">
        <v>24.0</v>
      </c>
      <c r="E5" s="134">
        <v>20.0</v>
      </c>
      <c r="F5" s="134">
        <v>2.4</v>
      </c>
      <c r="G5" s="134">
        <v>20.0</v>
      </c>
      <c r="H5" s="134">
        <v>3.2</v>
      </c>
      <c r="I5" s="134">
        <v>20.0</v>
      </c>
      <c r="J5" s="134">
        <v>7.2</v>
      </c>
      <c r="K5" s="134">
        <v>20.0</v>
      </c>
      <c r="L5" s="134">
        <v>6.4</v>
      </c>
      <c r="M5" s="134">
        <v>20.0</v>
      </c>
      <c r="N5" s="134">
        <v>4.8</v>
      </c>
    </row>
    <row r="6">
      <c r="A6" s="131" t="s">
        <v>380</v>
      </c>
      <c r="B6" s="133" t="s">
        <v>381</v>
      </c>
      <c r="C6" s="134">
        <v>98.0</v>
      </c>
      <c r="D6" s="134">
        <v>23.7</v>
      </c>
      <c r="E6" s="134">
        <v>20.0</v>
      </c>
      <c r="F6" s="134">
        <v>8.0</v>
      </c>
      <c r="G6" s="134">
        <v>20.0</v>
      </c>
      <c r="H6" s="134">
        <v>0.0</v>
      </c>
      <c r="I6" s="134">
        <v>20.0</v>
      </c>
      <c r="J6" s="134">
        <v>4.8</v>
      </c>
      <c r="K6" s="134">
        <v>19.0</v>
      </c>
      <c r="L6" s="134">
        <v>7.58</v>
      </c>
      <c r="M6" s="134">
        <v>19.0</v>
      </c>
      <c r="N6" s="134">
        <v>3.37</v>
      </c>
    </row>
    <row r="7">
      <c r="A7" s="131" t="s">
        <v>382</v>
      </c>
      <c r="B7" s="133" t="s">
        <v>383</v>
      </c>
      <c r="C7" s="134">
        <v>97.0</v>
      </c>
      <c r="D7" s="134">
        <v>23.1</v>
      </c>
      <c r="E7" s="134">
        <v>20.0</v>
      </c>
      <c r="F7" s="134">
        <v>0.0</v>
      </c>
      <c r="G7" s="134">
        <v>20.0</v>
      </c>
      <c r="H7" s="134">
        <v>6.4</v>
      </c>
      <c r="I7" s="134">
        <v>20.0</v>
      </c>
      <c r="J7" s="134">
        <v>4.0</v>
      </c>
      <c r="K7" s="134">
        <v>19.0</v>
      </c>
      <c r="L7" s="134">
        <v>5.89</v>
      </c>
      <c r="M7" s="134">
        <v>18.0</v>
      </c>
      <c r="N7" s="134">
        <v>7.11</v>
      </c>
    </row>
    <row r="8">
      <c r="A8" s="131" t="s">
        <v>384</v>
      </c>
      <c r="B8" s="133" t="s">
        <v>385</v>
      </c>
      <c r="C8" s="134">
        <v>94.0</v>
      </c>
      <c r="D8" s="134">
        <v>23.0</v>
      </c>
      <c r="E8" s="134">
        <v>20.0</v>
      </c>
      <c r="F8" s="134">
        <v>4.0</v>
      </c>
      <c r="G8" s="134">
        <v>19.0</v>
      </c>
      <c r="H8" s="134">
        <v>0.0</v>
      </c>
      <c r="I8" s="134">
        <v>19.0</v>
      </c>
      <c r="J8" s="134">
        <v>6.74</v>
      </c>
      <c r="K8" s="134">
        <v>18.0</v>
      </c>
      <c r="L8" s="134">
        <v>4.44</v>
      </c>
      <c r="M8" s="134">
        <v>18.0</v>
      </c>
      <c r="N8" s="134">
        <v>8.0</v>
      </c>
    </row>
    <row r="9">
      <c r="A9" s="131" t="s">
        <v>386</v>
      </c>
      <c r="B9" s="133" t="s">
        <v>387</v>
      </c>
      <c r="C9" s="134">
        <v>98.0</v>
      </c>
      <c r="D9" s="134">
        <v>22.9</v>
      </c>
      <c r="E9" s="134">
        <v>20.0</v>
      </c>
      <c r="F9" s="134">
        <v>0.0</v>
      </c>
      <c r="G9" s="134">
        <v>20.0</v>
      </c>
      <c r="H9" s="134">
        <v>11.2</v>
      </c>
      <c r="I9" s="134">
        <v>20.0</v>
      </c>
      <c r="J9" s="134">
        <v>3.2</v>
      </c>
      <c r="K9" s="134">
        <v>19.0</v>
      </c>
      <c r="L9" s="134">
        <v>6.74</v>
      </c>
      <c r="M9" s="134">
        <v>19.0</v>
      </c>
      <c r="N9" s="134">
        <v>1.68</v>
      </c>
    </row>
    <row r="10">
      <c r="A10" s="131" t="s">
        <v>388</v>
      </c>
      <c r="B10" s="133" t="s">
        <v>389</v>
      </c>
      <c r="C10" s="134">
        <v>98.0</v>
      </c>
      <c r="D10" s="134">
        <v>22.0</v>
      </c>
      <c r="E10" s="134">
        <v>20.0</v>
      </c>
      <c r="F10" s="134">
        <v>2.4</v>
      </c>
      <c r="G10" s="134">
        <v>20.0</v>
      </c>
      <c r="H10" s="134">
        <v>0.0</v>
      </c>
      <c r="I10" s="134">
        <v>20.0</v>
      </c>
      <c r="J10" s="134">
        <v>6.4</v>
      </c>
      <c r="K10" s="134">
        <v>19.0</v>
      </c>
      <c r="L10" s="134">
        <v>5.05</v>
      </c>
      <c r="M10" s="134">
        <v>19.0</v>
      </c>
      <c r="N10" s="134">
        <v>8.42</v>
      </c>
    </row>
    <row r="11">
      <c r="A11" s="131" t="s">
        <v>390</v>
      </c>
      <c r="B11" s="133" t="s">
        <v>391</v>
      </c>
      <c r="C11" s="134">
        <v>95.0</v>
      </c>
      <c r="D11" s="134">
        <v>21.1</v>
      </c>
      <c r="E11" s="134">
        <v>20.0</v>
      </c>
      <c r="F11" s="134">
        <v>2.4</v>
      </c>
      <c r="G11" s="134">
        <v>20.0</v>
      </c>
      <c r="H11" s="134">
        <v>0.0</v>
      </c>
      <c r="I11" s="134">
        <v>19.0</v>
      </c>
      <c r="J11" s="134">
        <v>3.37</v>
      </c>
      <c r="K11" s="134">
        <v>18.0</v>
      </c>
      <c r="L11" s="134">
        <v>8.0</v>
      </c>
      <c r="M11" s="134">
        <v>18.0</v>
      </c>
      <c r="N11" s="134">
        <v>8.0</v>
      </c>
    </row>
    <row r="12">
      <c r="A12" s="131" t="s">
        <v>392</v>
      </c>
      <c r="B12" s="133" t="s">
        <v>393</v>
      </c>
      <c r="C12" s="134">
        <v>91.0</v>
      </c>
      <c r="D12" s="134">
        <v>21.1</v>
      </c>
      <c r="E12" s="134">
        <v>19.0</v>
      </c>
      <c r="F12" s="134">
        <v>5.89</v>
      </c>
      <c r="G12" s="134">
        <v>19.0</v>
      </c>
      <c r="H12" s="134">
        <v>2.53</v>
      </c>
      <c r="I12" s="134">
        <v>18.0</v>
      </c>
      <c r="J12" s="134">
        <v>8.0</v>
      </c>
      <c r="K12" s="134">
        <v>18.0</v>
      </c>
      <c r="L12" s="134">
        <v>0.0</v>
      </c>
      <c r="M12" s="134">
        <v>17.0</v>
      </c>
      <c r="N12" s="134">
        <v>4.71</v>
      </c>
    </row>
    <row r="13">
      <c r="A13" s="131" t="s">
        <v>394</v>
      </c>
      <c r="B13" s="133" t="s">
        <v>395</v>
      </c>
      <c r="C13" s="134">
        <v>100.0</v>
      </c>
      <c r="D13" s="134">
        <v>20.0</v>
      </c>
      <c r="E13" s="134">
        <v>20.0</v>
      </c>
      <c r="F13" s="134">
        <v>0.0</v>
      </c>
      <c r="G13" s="134">
        <v>20.0</v>
      </c>
      <c r="H13" s="134">
        <v>4.0</v>
      </c>
      <c r="I13" s="134">
        <v>20.0</v>
      </c>
      <c r="J13" s="134">
        <v>4.0</v>
      </c>
      <c r="K13" s="134">
        <v>20.0</v>
      </c>
      <c r="L13" s="134">
        <v>6.4</v>
      </c>
      <c r="M13" s="134">
        <v>20.0</v>
      </c>
      <c r="N13" s="134">
        <v>5.6</v>
      </c>
    </row>
    <row r="14">
      <c r="A14" s="131" t="s">
        <v>396</v>
      </c>
      <c r="B14" s="133" t="s">
        <v>397</v>
      </c>
      <c r="C14" s="134">
        <v>60.0</v>
      </c>
      <c r="D14" s="134">
        <v>18.7</v>
      </c>
      <c r="E14" s="134">
        <v>12.0</v>
      </c>
      <c r="F14" s="134">
        <v>2.67</v>
      </c>
      <c r="G14" s="134">
        <v>12.0</v>
      </c>
      <c r="H14" s="134">
        <v>5.33</v>
      </c>
      <c r="I14" s="134">
        <v>12.0</v>
      </c>
      <c r="J14" s="134">
        <v>4.0</v>
      </c>
      <c r="K14" s="134">
        <v>12.0</v>
      </c>
      <c r="L14" s="134">
        <v>4.0</v>
      </c>
      <c r="M14" s="134">
        <v>12.0</v>
      </c>
      <c r="N14" s="134">
        <v>2.67</v>
      </c>
    </row>
    <row r="15">
      <c r="A15" s="131" t="s">
        <v>398</v>
      </c>
      <c r="B15" s="133" t="s">
        <v>399</v>
      </c>
      <c r="C15" s="134">
        <v>92.0</v>
      </c>
      <c r="D15" s="134">
        <v>18.3</v>
      </c>
      <c r="E15" s="134">
        <v>20.0</v>
      </c>
      <c r="F15" s="134">
        <v>0.0</v>
      </c>
      <c r="G15" s="134">
        <v>19.0</v>
      </c>
      <c r="H15" s="134">
        <v>4.21</v>
      </c>
      <c r="I15" s="134">
        <v>18.0</v>
      </c>
      <c r="J15" s="134">
        <v>4.44</v>
      </c>
      <c r="K15" s="134">
        <v>18.0</v>
      </c>
      <c r="L15" s="134">
        <v>8.0</v>
      </c>
      <c r="M15" s="134">
        <v>17.0</v>
      </c>
      <c r="N15" s="134">
        <v>1.88</v>
      </c>
    </row>
    <row r="16">
      <c r="A16" s="131" t="s">
        <v>400</v>
      </c>
      <c r="B16" s="133" t="s">
        <v>401</v>
      </c>
      <c r="C16" s="134">
        <v>99.0</v>
      </c>
      <c r="D16" s="134">
        <v>17.0</v>
      </c>
      <c r="E16" s="134">
        <v>20.0</v>
      </c>
      <c r="F16" s="134">
        <v>0.0</v>
      </c>
      <c r="G16" s="134">
        <v>20.0</v>
      </c>
      <c r="H16" s="134">
        <v>9.6</v>
      </c>
      <c r="I16" s="134">
        <v>20.0</v>
      </c>
      <c r="J16" s="134">
        <v>1.6</v>
      </c>
      <c r="K16" s="134">
        <v>20.0</v>
      </c>
      <c r="L16" s="134">
        <v>-0.8</v>
      </c>
      <c r="M16" s="134">
        <v>19.0</v>
      </c>
      <c r="N16" s="134">
        <v>6.74</v>
      </c>
    </row>
    <row r="17">
      <c r="A17" s="131" t="s">
        <v>402</v>
      </c>
      <c r="B17" s="133" t="s">
        <v>403</v>
      </c>
      <c r="C17" s="134">
        <v>100.0</v>
      </c>
      <c r="D17" s="134">
        <v>16.8</v>
      </c>
      <c r="E17" s="134">
        <v>20.0</v>
      </c>
      <c r="F17" s="134">
        <v>3.2</v>
      </c>
      <c r="G17" s="134">
        <v>20.0</v>
      </c>
      <c r="H17" s="134">
        <v>4.0</v>
      </c>
      <c r="I17" s="134">
        <v>20.0</v>
      </c>
      <c r="J17" s="134">
        <v>4.0</v>
      </c>
      <c r="K17" s="134">
        <v>20.0</v>
      </c>
      <c r="L17" s="134">
        <v>2.4</v>
      </c>
      <c r="M17" s="134">
        <v>20.0</v>
      </c>
      <c r="N17" s="134">
        <v>3.2</v>
      </c>
    </row>
    <row r="18">
      <c r="A18" s="131" t="s">
        <v>404</v>
      </c>
      <c r="B18" s="133" t="s">
        <v>405</v>
      </c>
      <c r="C18" s="134">
        <v>98.0</v>
      </c>
      <c r="D18" s="134">
        <v>16.3</v>
      </c>
      <c r="E18" s="134">
        <v>20.0</v>
      </c>
      <c r="F18" s="134">
        <v>1.6</v>
      </c>
      <c r="G18" s="134">
        <v>20.0</v>
      </c>
      <c r="H18" s="134">
        <v>11.2</v>
      </c>
      <c r="I18" s="134">
        <v>20.0</v>
      </c>
      <c r="J18" s="134">
        <v>0.0</v>
      </c>
      <c r="K18" s="134">
        <v>19.0</v>
      </c>
      <c r="L18" s="134">
        <v>3.37</v>
      </c>
      <c r="M18" s="134">
        <v>19.0</v>
      </c>
      <c r="N18" s="134">
        <v>0.0</v>
      </c>
    </row>
    <row r="19">
      <c r="A19" s="131" t="s">
        <v>406</v>
      </c>
      <c r="B19" s="133" t="s">
        <v>407</v>
      </c>
      <c r="C19" s="134">
        <v>20.0</v>
      </c>
      <c r="D19" s="134">
        <v>16.0</v>
      </c>
      <c r="E19" s="134">
        <v>4.0</v>
      </c>
      <c r="F19" s="134">
        <v>0.0</v>
      </c>
      <c r="G19" s="134">
        <v>4.0</v>
      </c>
      <c r="H19" s="134">
        <v>16.0</v>
      </c>
      <c r="I19" s="134">
        <v>4.0</v>
      </c>
      <c r="J19" s="134">
        <v>0.0</v>
      </c>
      <c r="K19" s="134">
        <v>4.0</v>
      </c>
      <c r="L19" s="134">
        <v>0.0</v>
      </c>
      <c r="M19" s="134">
        <v>4.0</v>
      </c>
      <c r="N19" s="134">
        <v>0.0</v>
      </c>
    </row>
    <row r="20">
      <c r="A20" s="131" t="s">
        <v>408</v>
      </c>
      <c r="B20" s="133" t="s">
        <v>409</v>
      </c>
      <c r="C20" s="134">
        <v>100.0</v>
      </c>
      <c r="D20" s="134">
        <v>16.0</v>
      </c>
      <c r="E20" s="134">
        <v>20.0</v>
      </c>
      <c r="F20" s="134">
        <v>8.0</v>
      </c>
      <c r="G20" s="134">
        <v>20.0</v>
      </c>
      <c r="H20" s="134">
        <v>0.0</v>
      </c>
      <c r="I20" s="134">
        <v>20.0</v>
      </c>
      <c r="J20" s="134">
        <v>4.0</v>
      </c>
      <c r="K20" s="134">
        <v>20.0</v>
      </c>
      <c r="L20" s="134">
        <v>1.6</v>
      </c>
      <c r="M20" s="134">
        <v>20.0</v>
      </c>
      <c r="N20" s="134">
        <v>2.4</v>
      </c>
    </row>
    <row r="21">
      <c r="A21" s="131" t="s">
        <v>410</v>
      </c>
      <c r="B21" s="133" t="s">
        <v>412</v>
      </c>
      <c r="C21" s="134">
        <v>97.0</v>
      </c>
      <c r="D21" s="134">
        <v>15.7</v>
      </c>
      <c r="E21" s="134">
        <v>20.0</v>
      </c>
      <c r="F21" s="134">
        <v>2.4</v>
      </c>
      <c r="G21" s="134">
        <v>20.0</v>
      </c>
      <c r="H21" s="134">
        <v>8.8</v>
      </c>
      <c r="I21" s="134">
        <v>19.0</v>
      </c>
      <c r="J21" s="134">
        <v>0.842</v>
      </c>
      <c r="K21" s="134">
        <v>19.0</v>
      </c>
      <c r="L21" s="134">
        <v>1.68</v>
      </c>
      <c r="M21" s="134">
        <v>19.0</v>
      </c>
      <c r="N21" s="134">
        <v>1.68</v>
      </c>
    </row>
    <row r="22">
      <c r="A22" s="131" t="s">
        <v>414</v>
      </c>
      <c r="B22" s="133" t="s">
        <v>415</v>
      </c>
      <c r="C22" s="134">
        <v>98.0</v>
      </c>
      <c r="D22" s="134">
        <v>14.7</v>
      </c>
      <c r="E22" s="134">
        <v>20.0</v>
      </c>
      <c r="F22" s="134">
        <v>0.0</v>
      </c>
      <c r="G22" s="134">
        <v>20.0</v>
      </c>
      <c r="H22" s="134">
        <v>0.0</v>
      </c>
      <c r="I22" s="134">
        <v>20.0</v>
      </c>
      <c r="J22" s="134">
        <v>4.0</v>
      </c>
      <c r="K22" s="134">
        <v>19.0</v>
      </c>
      <c r="L22" s="134">
        <v>4.21</v>
      </c>
      <c r="M22" s="134">
        <v>19.0</v>
      </c>
      <c r="N22" s="134">
        <v>6.74</v>
      </c>
    </row>
    <row r="23">
      <c r="A23" s="131" t="s">
        <v>416</v>
      </c>
      <c r="B23" s="133" t="s">
        <v>417</v>
      </c>
      <c r="C23" s="134">
        <v>93.0</v>
      </c>
      <c r="D23" s="134">
        <v>14.6</v>
      </c>
      <c r="E23" s="134">
        <v>20.0</v>
      </c>
      <c r="F23" s="134">
        <v>4.0</v>
      </c>
      <c r="G23" s="134">
        <v>19.0</v>
      </c>
      <c r="H23" s="134">
        <v>0.842</v>
      </c>
      <c r="I23" s="134">
        <v>18.0</v>
      </c>
      <c r="J23" s="134">
        <v>5.33</v>
      </c>
      <c r="K23" s="134">
        <v>18.0</v>
      </c>
      <c r="L23" s="134">
        <v>4.44</v>
      </c>
      <c r="M23" s="134">
        <v>18.0</v>
      </c>
      <c r="N23" s="134">
        <v>0.0</v>
      </c>
    </row>
    <row r="24">
      <c r="A24" s="131" t="s">
        <v>420</v>
      </c>
      <c r="B24" s="133" t="s">
        <v>421</v>
      </c>
      <c r="C24" s="134">
        <v>66.0</v>
      </c>
      <c r="D24" s="134">
        <v>14.5</v>
      </c>
      <c r="E24" s="134">
        <v>15.0</v>
      </c>
      <c r="F24" s="134">
        <v>3.2</v>
      </c>
      <c r="G24" s="134">
        <v>14.0</v>
      </c>
      <c r="H24" s="134">
        <v>6.86</v>
      </c>
      <c r="I24" s="134">
        <v>13.0</v>
      </c>
      <c r="J24" s="134">
        <v>1.23</v>
      </c>
      <c r="K24" s="134">
        <v>12.0</v>
      </c>
      <c r="L24" s="134">
        <v>1.33</v>
      </c>
      <c r="M24" s="134">
        <v>12.0</v>
      </c>
      <c r="N24" s="134">
        <v>1.33</v>
      </c>
    </row>
    <row r="25">
      <c r="A25" s="131" t="s">
        <v>422</v>
      </c>
      <c r="B25" s="133" t="s">
        <v>423</v>
      </c>
      <c r="C25" s="134">
        <v>89.0</v>
      </c>
      <c r="D25" s="134">
        <v>14.4</v>
      </c>
      <c r="E25" s="134">
        <v>19.0</v>
      </c>
      <c r="F25" s="134">
        <v>0.0</v>
      </c>
      <c r="G25" s="134">
        <v>18.0</v>
      </c>
      <c r="H25" s="134">
        <v>0.889</v>
      </c>
      <c r="I25" s="134">
        <v>18.0</v>
      </c>
      <c r="J25" s="134">
        <v>2.67</v>
      </c>
      <c r="K25" s="134">
        <v>17.0</v>
      </c>
      <c r="L25" s="134">
        <v>9.41</v>
      </c>
      <c r="M25" s="134">
        <v>17.0</v>
      </c>
      <c r="N25" s="134">
        <v>1.88</v>
      </c>
    </row>
    <row r="26">
      <c r="A26" s="91" t="s">
        <v>424</v>
      </c>
      <c r="B26" s="133" t="s">
        <v>425</v>
      </c>
      <c r="C26" s="134">
        <v>81.0</v>
      </c>
      <c r="D26" s="134">
        <v>13.8</v>
      </c>
      <c r="E26" s="134">
        <v>18.0</v>
      </c>
      <c r="F26" s="134">
        <v>3.56</v>
      </c>
      <c r="G26" s="134">
        <v>17.0</v>
      </c>
      <c r="H26" s="134">
        <v>0.941</v>
      </c>
      <c r="I26" s="134">
        <v>16.0</v>
      </c>
      <c r="J26" s="134">
        <v>4.0</v>
      </c>
      <c r="K26" s="134">
        <v>15.0</v>
      </c>
      <c r="L26" s="134">
        <v>5.33</v>
      </c>
      <c r="M26" s="134">
        <v>15.0</v>
      </c>
      <c r="N26" s="134">
        <v>0.0</v>
      </c>
    </row>
    <row r="27">
      <c r="A27" s="131" t="s">
        <v>427</v>
      </c>
      <c r="B27" s="133" t="s">
        <v>428</v>
      </c>
      <c r="C27" s="134">
        <v>76.0</v>
      </c>
      <c r="D27" s="134">
        <v>13.7</v>
      </c>
      <c r="E27" s="134">
        <v>16.0</v>
      </c>
      <c r="F27" s="134">
        <v>3.0</v>
      </c>
      <c r="G27" s="134">
        <v>15.0</v>
      </c>
      <c r="H27" s="134">
        <v>2.13</v>
      </c>
      <c r="I27" s="134">
        <v>15.0</v>
      </c>
      <c r="J27" s="134">
        <v>4.27</v>
      </c>
      <c r="K27" s="134">
        <v>15.0</v>
      </c>
      <c r="L27" s="134">
        <v>1.07</v>
      </c>
      <c r="M27" s="134">
        <v>15.0</v>
      </c>
      <c r="N27" s="134">
        <v>3.2</v>
      </c>
    </row>
    <row r="28">
      <c r="A28" s="131" t="s">
        <v>430</v>
      </c>
      <c r="B28" s="133" t="s">
        <v>431</v>
      </c>
      <c r="C28" s="134">
        <v>99.0</v>
      </c>
      <c r="D28" s="134">
        <v>13.7</v>
      </c>
      <c r="E28" s="134">
        <v>20.0</v>
      </c>
      <c r="F28" s="134">
        <v>6.4</v>
      </c>
      <c r="G28" s="134">
        <v>20.0</v>
      </c>
      <c r="H28" s="134">
        <v>2.4</v>
      </c>
      <c r="I28" s="134">
        <v>20.0</v>
      </c>
      <c r="J28" s="134">
        <v>3.2</v>
      </c>
      <c r="K28" s="134">
        <v>20.0</v>
      </c>
      <c r="L28" s="134">
        <v>0.0</v>
      </c>
      <c r="M28" s="134">
        <v>19.0</v>
      </c>
      <c r="N28" s="134">
        <v>1.68</v>
      </c>
    </row>
    <row r="29">
      <c r="A29" s="131" t="s">
        <v>434</v>
      </c>
      <c r="B29" s="133" t="s">
        <v>435</v>
      </c>
      <c r="C29" s="134">
        <v>100.0</v>
      </c>
      <c r="D29" s="134">
        <v>13.6</v>
      </c>
      <c r="E29" s="134">
        <v>20.0</v>
      </c>
      <c r="F29" s="134">
        <v>6.4</v>
      </c>
      <c r="G29" s="134">
        <v>20.0</v>
      </c>
      <c r="H29" s="134">
        <v>1.6</v>
      </c>
      <c r="I29" s="134">
        <v>20.0</v>
      </c>
      <c r="J29" s="134">
        <v>0.8</v>
      </c>
      <c r="K29" s="134">
        <v>20.0</v>
      </c>
      <c r="L29" s="134">
        <v>0.8</v>
      </c>
      <c r="M29" s="134">
        <v>20.0</v>
      </c>
      <c r="N29" s="134">
        <v>4.0</v>
      </c>
    </row>
    <row r="30">
      <c r="A30" s="131" t="s">
        <v>437</v>
      </c>
      <c r="B30" s="133" t="s">
        <v>438</v>
      </c>
      <c r="C30" s="134">
        <v>96.0</v>
      </c>
      <c r="D30" s="134">
        <v>13.3</v>
      </c>
      <c r="E30" s="134">
        <v>20.0</v>
      </c>
      <c r="F30" s="134">
        <v>3.2</v>
      </c>
      <c r="G30" s="134">
        <v>19.0</v>
      </c>
      <c r="H30" s="134">
        <v>2.53</v>
      </c>
      <c r="I30" s="134">
        <v>19.0</v>
      </c>
      <c r="J30" s="134">
        <v>0.0</v>
      </c>
      <c r="K30" s="134">
        <v>19.0</v>
      </c>
      <c r="L30" s="134">
        <v>0.0</v>
      </c>
      <c r="M30" s="134">
        <v>19.0</v>
      </c>
      <c r="N30" s="134">
        <v>7.58</v>
      </c>
    </row>
    <row r="31">
      <c r="A31" s="131" t="s">
        <v>440</v>
      </c>
      <c r="B31" s="133" t="s">
        <v>441</v>
      </c>
      <c r="C31" s="134">
        <v>90.0</v>
      </c>
      <c r="D31" s="134">
        <v>13.3</v>
      </c>
      <c r="E31" s="134">
        <v>18.0</v>
      </c>
      <c r="F31" s="134">
        <v>2.67</v>
      </c>
      <c r="G31" s="134">
        <v>18.0</v>
      </c>
      <c r="H31" s="134">
        <v>0.889</v>
      </c>
      <c r="I31" s="134">
        <v>18.0</v>
      </c>
      <c r="J31" s="134">
        <v>1.78</v>
      </c>
      <c r="K31" s="134">
        <v>18.0</v>
      </c>
      <c r="L31" s="134">
        <v>6.22</v>
      </c>
      <c r="M31" s="134">
        <v>18.0</v>
      </c>
      <c r="N31" s="134">
        <v>1.78</v>
      </c>
    </row>
    <row r="32">
      <c r="A32" s="131" t="s">
        <v>429</v>
      </c>
      <c r="B32" s="133" t="s">
        <v>426</v>
      </c>
      <c r="C32" s="134">
        <v>98.0</v>
      </c>
      <c r="D32" s="134">
        <v>13.1</v>
      </c>
      <c r="E32" s="134">
        <v>20.0</v>
      </c>
      <c r="F32" s="134">
        <v>7.2</v>
      </c>
      <c r="G32" s="134">
        <v>20.0</v>
      </c>
      <c r="H32" s="134">
        <v>0.0</v>
      </c>
      <c r="I32" s="134">
        <v>20.0</v>
      </c>
      <c r="J32" s="134">
        <v>2.4</v>
      </c>
      <c r="K32" s="134">
        <v>19.0</v>
      </c>
      <c r="L32" s="134">
        <v>1.68</v>
      </c>
      <c r="M32" s="134">
        <v>19.0</v>
      </c>
      <c r="N32" s="134">
        <v>1.68</v>
      </c>
    </row>
    <row r="33">
      <c r="A33" s="131" t="s">
        <v>446</v>
      </c>
      <c r="B33" s="133" t="s">
        <v>447</v>
      </c>
      <c r="C33" s="134">
        <v>98.0</v>
      </c>
      <c r="D33" s="134">
        <v>13.1</v>
      </c>
      <c r="E33" s="134">
        <v>20.0</v>
      </c>
      <c r="F33" s="134">
        <v>4.0</v>
      </c>
      <c r="G33" s="134">
        <v>20.0</v>
      </c>
      <c r="H33" s="134">
        <v>0.0</v>
      </c>
      <c r="I33" s="134">
        <v>20.0</v>
      </c>
      <c r="J33" s="134">
        <v>3.2</v>
      </c>
      <c r="K33" s="134">
        <v>19.0</v>
      </c>
      <c r="L33" s="134">
        <v>2.53</v>
      </c>
      <c r="M33" s="134">
        <v>19.0</v>
      </c>
      <c r="N33" s="134">
        <v>3.37</v>
      </c>
    </row>
    <row r="34">
      <c r="A34" s="131" t="s">
        <v>450</v>
      </c>
      <c r="B34" s="133" t="s">
        <v>451</v>
      </c>
      <c r="C34" s="134">
        <v>98.0</v>
      </c>
      <c r="D34" s="134">
        <v>13.1</v>
      </c>
      <c r="E34" s="134">
        <v>20.0</v>
      </c>
      <c r="F34" s="134">
        <v>0.8</v>
      </c>
      <c r="G34" s="134">
        <v>20.0</v>
      </c>
      <c r="H34" s="134">
        <v>8.0</v>
      </c>
      <c r="I34" s="134">
        <v>20.0</v>
      </c>
      <c r="J34" s="134">
        <v>0.8</v>
      </c>
      <c r="K34" s="134">
        <v>19.0</v>
      </c>
      <c r="L34" s="134">
        <v>0.0</v>
      </c>
      <c r="M34" s="134">
        <v>19.0</v>
      </c>
      <c r="N34" s="134">
        <v>3.37</v>
      </c>
    </row>
    <row r="35">
      <c r="A35" s="131" t="s">
        <v>452</v>
      </c>
      <c r="B35" s="133" t="s">
        <v>453</v>
      </c>
      <c r="C35" s="134">
        <v>31.0</v>
      </c>
      <c r="D35" s="134">
        <v>12.9</v>
      </c>
      <c r="E35" s="134">
        <v>7.0</v>
      </c>
      <c r="F35" s="134">
        <v>0.0</v>
      </c>
      <c r="G35" s="134">
        <v>7.0</v>
      </c>
      <c r="H35" s="134">
        <v>11.4</v>
      </c>
      <c r="I35" s="134">
        <v>6.0</v>
      </c>
      <c r="J35" s="134">
        <v>0.0</v>
      </c>
      <c r="K35" s="134">
        <v>6.0</v>
      </c>
      <c r="L35" s="134">
        <v>0.0</v>
      </c>
      <c r="M35" s="134">
        <v>5.0</v>
      </c>
      <c r="N35" s="134">
        <v>0.0</v>
      </c>
    </row>
    <row r="36">
      <c r="A36" s="131" t="s">
        <v>454</v>
      </c>
      <c r="B36" s="133" t="s">
        <v>455</v>
      </c>
      <c r="C36" s="134">
        <v>94.0</v>
      </c>
      <c r="D36" s="134">
        <v>12.8</v>
      </c>
      <c r="E36" s="134">
        <v>20.0</v>
      </c>
      <c r="F36" s="134">
        <v>0.0</v>
      </c>
      <c r="G36" s="134">
        <v>19.0</v>
      </c>
      <c r="H36" s="134">
        <v>11.8</v>
      </c>
      <c r="I36" s="134">
        <v>19.0</v>
      </c>
      <c r="J36" s="134">
        <v>0.842</v>
      </c>
      <c r="K36" s="134">
        <v>18.0</v>
      </c>
      <c r="L36" s="134">
        <v>0.0</v>
      </c>
      <c r="M36" s="134">
        <v>18.0</v>
      </c>
      <c r="N36" s="134">
        <v>0.0</v>
      </c>
    </row>
    <row r="37">
      <c r="A37" s="131" t="s">
        <v>458</v>
      </c>
      <c r="B37" s="133" t="s">
        <v>460</v>
      </c>
      <c r="C37" s="134">
        <v>100.0</v>
      </c>
      <c r="D37" s="134">
        <v>12.8</v>
      </c>
      <c r="E37" s="134">
        <v>20.0</v>
      </c>
      <c r="F37" s="134">
        <v>2.4</v>
      </c>
      <c r="G37" s="134">
        <v>20.0</v>
      </c>
      <c r="H37" s="134">
        <v>1.6</v>
      </c>
      <c r="I37" s="134">
        <v>20.0</v>
      </c>
      <c r="J37" s="134">
        <v>4.0</v>
      </c>
      <c r="K37" s="134">
        <v>20.0</v>
      </c>
      <c r="L37" s="134">
        <v>0.0</v>
      </c>
      <c r="M37" s="134">
        <v>20.0</v>
      </c>
      <c r="N37" s="134">
        <v>4.8</v>
      </c>
    </row>
    <row r="38">
      <c r="A38" s="131" t="s">
        <v>439</v>
      </c>
      <c r="B38" s="133" t="s">
        <v>464</v>
      </c>
      <c r="C38" s="134">
        <v>64.0</v>
      </c>
      <c r="D38" s="134">
        <v>12.5</v>
      </c>
      <c r="E38" s="134">
        <v>12.0</v>
      </c>
      <c r="F38" s="134">
        <v>1.33</v>
      </c>
      <c r="G38" s="134">
        <v>13.0</v>
      </c>
      <c r="H38" s="134">
        <v>11.1</v>
      </c>
      <c r="I38" s="134">
        <v>14.0</v>
      </c>
      <c r="J38" s="134">
        <v>0.0</v>
      </c>
      <c r="K38" s="134">
        <v>14.0</v>
      </c>
      <c r="L38" s="134">
        <v>0.0</v>
      </c>
      <c r="M38" s="134">
        <v>11.0</v>
      </c>
      <c r="N38" s="134">
        <v>0.0</v>
      </c>
    </row>
    <row r="39">
      <c r="A39" s="131" t="s">
        <v>467</v>
      </c>
      <c r="B39" s="133" t="s">
        <v>468</v>
      </c>
      <c r="C39" s="134">
        <v>99.0</v>
      </c>
      <c r="D39" s="134">
        <v>12.1</v>
      </c>
      <c r="E39" s="134">
        <v>20.0</v>
      </c>
      <c r="F39" s="134">
        <v>0.0</v>
      </c>
      <c r="G39" s="134">
        <v>20.0</v>
      </c>
      <c r="H39" s="134">
        <v>8.0</v>
      </c>
      <c r="I39" s="134">
        <v>20.0</v>
      </c>
      <c r="J39" s="134">
        <v>0.8</v>
      </c>
      <c r="K39" s="134">
        <v>20.0</v>
      </c>
      <c r="L39" s="134">
        <v>0.0</v>
      </c>
      <c r="M39" s="134">
        <v>19.0</v>
      </c>
      <c r="N39" s="134">
        <v>3.37</v>
      </c>
    </row>
    <row r="40">
      <c r="A40" s="131" t="s">
        <v>470</v>
      </c>
      <c r="B40" s="133" t="s">
        <v>471</v>
      </c>
      <c r="C40" s="134">
        <v>92.0</v>
      </c>
      <c r="D40" s="134">
        <v>11.3</v>
      </c>
      <c r="E40" s="134">
        <v>20.0</v>
      </c>
      <c r="F40" s="134">
        <v>1.6</v>
      </c>
      <c r="G40" s="134">
        <v>19.0</v>
      </c>
      <c r="H40" s="134">
        <v>4.21</v>
      </c>
      <c r="I40" s="134">
        <v>18.0</v>
      </c>
      <c r="J40" s="134">
        <v>0.889</v>
      </c>
      <c r="K40" s="134">
        <v>18.0</v>
      </c>
      <c r="L40" s="134">
        <v>0.0</v>
      </c>
      <c r="M40" s="134">
        <v>17.0</v>
      </c>
      <c r="N40" s="134">
        <v>4.71</v>
      </c>
    </row>
    <row r="41">
      <c r="A41" s="131" t="s">
        <v>472</v>
      </c>
      <c r="B41" s="133" t="s">
        <v>473</v>
      </c>
      <c r="C41" s="134">
        <v>78.0</v>
      </c>
      <c r="D41" s="134">
        <v>11.3</v>
      </c>
      <c r="E41" s="134">
        <v>16.0</v>
      </c>
      <c r="F41" s="134">
        <v>3.0</v>
      </c>
      <c r="G41" s="134">
        <v>16.0</v>
      </c>
      <c r="H41" s="134">
        <v>0.0</v>
      </c>
      <c r="I41" s="134">
        <v>16.0</v>
      </c>
      <c r="J41" s="134">
        <v>0.0</v>
      </c>
      <c r="K41" s="134">
        <v>15.0</v>
      </c>
      <c r="L41" s="134">
        <v>7.47</v>
      </c>
      <c r="M41" s="134">
        <v>15.0</v>
      </c>
      <c r="N41" s="134">
        <v>1.07</v>
      </c>
    </row>
    <row r="42">
      <c r="A42" s="131" t="s">
        <v>476</v>
      </c>
      <c r="B42" s="133" t="s">
        <v>477</v>
      </c>
      <c r="C42" s="134">
        <v>95.0</v>
      </c>
      <c r="D42" s="134">
        <v>10.9</v>
      </c>
      <c r="E42" s="134">
        <v>20.0</v>
      </c>
      <c r="F42" s="134">
        <v>0.0</v>
      </c>
      <c r="G42" s="134">
        <v>20.0</v>
      </c>
      <c r="H42" s="134">
        <v>8.0</v>
      </c>
      <c r="I42" s="134">
        <v>19.0</v>
      </c>
      <c r="J42" s="134">
        <v>0.0</v>
      </c>
      <c r="K42" s="134">
        <v>18.0</v>
      </c>
      <c r="L42" s="134">
        <v>0.889</v>
      </c>
      <c r="M42" s="134">
        <v>18.0</v>
      </c>
      <c r="N42" s="134">
        <v>1.78</v>
      </c>
    </row>
    <row r="43">
      <c r="A43" s="131" t="s">
        <v>479</v>
      </c>
      <c r="B43" s="133" t="s">
        <v>480</v>
      </c>
      <c r="C43" s="134">
        <v>99.0</v>
      </c>
      <c r="D43" s="134">
        <v>10.5</v>
      </c>
      <c r="E43" s="134">
        <v>20.0</v>
      </c>
      <c r="F43" s="134">
        <v>0.0</v>
      </c>
      <c r="G43" s="134">
        <v>20.0</v>
      </c>
      <c r="H43" s="134">
        <v>4.8</v>
      </c>
      <c r="I43" s="134">
        <v>20.0</v>
      </c>
      <c r="J43" s="134">
        <v>0.0</v>
      </c>
      <c r="K43" s="134">
        <v>20.0</v>
      </c>
      <c r="L43" s="134">
        <v>4.0</v>
      </c>
      <c r="M43" s="134">
        <v>19.0</v>
      </c>
      <c r="N43" s="134">
        <v>1.68</v>
      </c>
    </row>
    <row r="44">
      <c r="A44" s="131" t="s">
        <v>482</v>
      </c>
      <c r="B44" s="133" t="s">
        <v>483</v>
      </c>
      <c r="C44" s="134">
        <v>99.0</v>
      </c>
      <c r="D44" s="134">
        <v>10.5</v>
      </c>
      <c r="E44" s="134">
        <v>20.0</v>
      </c>
      <c r="F44" s="134">
        <v>3.2</v>
      </c>
      <c r="G44" s="134">
        <v>20.0</v>
      </c>
      <c r="H44" s="134">
        <v>2.4</v>
      </c>
      <c r="I44" s="134">
        <v>20.0</v>
      </c>
      <c r="J44" s="134">
        <v>0.8</v>
      </c>
      <c r="K44" s="134">
        <v>20.0</v>
      </c>
      <c r="L44" s="134">
        <v>2.4</v>
      </c>
      <c r="M44" s="134">
        <v>19.0</v>
      </c>
      <c r="N44" s="134">
        <v>1.68</v>
      </c>
    </row>
    <row r="45">
      <c r="A45" s="131" t="s">
        <v>418</v>
      </c>
      <c r="B45" s="133" t="s">
        <v>484</v>
      </c>
      <c r="C45" s="134">
        <v>99.0</v>
      </c>
      <c r="D45" s="134">
        <v>10.5</v>
      </c>
      <c r="E45" s="134">
        <v>20.0</v>
      </c>
      <c r="F45" s="134">
        <v>0.8</v>
      </c>
      <c r="G45" s="134">
        <v>20.0</v>
      </c>
      <c r="H45" s="134">
        <v>6.4</v>
      </c>
      <c r="I45" s="134">
        <v>20.0</v>
      </c>
      <c r="J45" s="134">
        <v>1.6</v>
      </c>
      <c r="K45" s="134">
        <v>20.0</v>
      </c>
      <c r="L45" s="134">
        <v>1.6</v>
      </c>
      <c r="M45" s="134">
        <v>19.0</v>
      </c>
      <c r="N45" s="134">
        <v>0.0</v>
      </c>
    </row>
    <row r="46">
      <c r="A46" s="131" t="s">
        <v>411</v>
      </c>
      <c r="B46" s="133" t="s">
        <v>419</v>
      </c>
      <c r="C46" s="134">
        <v>100.0</v>
      </c>
      <c r="D46" s="134">
        <v>10.4</v>
      </c>
      <c r="E46" s="134">
        <v>20.0</v>
      </c>
      <c r="F46" s="134">
        <v>8.8</v>
      </c>
      <c r="G46" s="134">
        <v>20.0</v>
      </c>
      <c r="H46" s="134">
        <v>0.0</v>
      </c>
      <c r="I46" s="134">
        <v>20.0</v>
      </c>
      <c r="J46" s="134">
        <v>1.6</v>
      </c>
      <c r="K46" s="134">
        <v>20.0</v>
      </c>
      <c r="L46" s="134">
        <v>0.0</v>
      </c>
      <c r="M46" s="134">
        <v>20.0</v>
      </c>
      <c r="N46" s="134">
        <v>0.0</v>
      </c>
    </row>
    <row r="47">
      <c r="A47" s="131" t="s">
        <v>444</v>
      </c>
      <c r="B47" s="133" t="s">
        <v>413</v>
      </c>
      <c r="C47" s="134">
        <v>77.0</v>
      </c>
      <c r="D47" s="134">
        <v>10.4</v>
      </c>
      <c r="E47" s="134">
        <v>16.0</v>
      </c>
      <c r="F47" s="134">
        <v>10.0</v>
      </c>
      <c r="G47" s="134">
        <v>16.0</v>
      </c>
      <c r="H47" s="134">
        <v>0.0</v>
      </c>
      <c r="I47" s="134">
        <v>15.0</v>
      </c>
      <c r="J47" s="134">
        <v>-1.07</v>
      </c>
      <c r="K47" s="134">
        <v>15.0</v>
      </c>
      <c r="L47" s="134">
        <v>1.07</v>
      </c>
      <c r="M47" s="134">
        <v>15.0</v>
      </c>
      <c r="N47" s="134">
        <v>0.0</v>
      </c>
    </row>
    <row r="48">
      <c r="A48" s="131" t="s">
        <v>456</v>
      </c>
      <c r="B48" s="133" t="s">
        <v>486</v>
      </c>
      <c r="C48" s="134">
        <v>100.0</v>
      </c>
      <c r="D48" s="134">
        <v>10.4</v>
      </c>
      <c r="E48" s="134">
        <v>20.0</v>
      </c>
      <c r="F48" s="134">
        <v>0.8</v>
      </c>
      <c r="G48" s="134">
        <v>20.0</v>
      </c>
      <c r="H48" s="134">
        <v>6.4</v>
      </c>
      <c r="I48" s="134">
        <v>20.0</v>
      </c>
      <c r="J48" s="134">
        <v>0.8</v>
      </c>
      <c r="K48" s="134">
        <v>20.0</v>
      </c>
      <c r="L48" s="134">
        <v>1.6</v>
      </c>
      <c r="M48" s="134">
        <v>20.0</v>
      </c>
      <c r="N48" s="134">
        <v>0.8</v>
      </c>
    </row>
    <row r="49">
      <c r="A49" s="131" t="s">
        <v>488</v>
      </c>
      <c r="B49" s="133" t="s">
        <v>461</v>
      </c>
      <c r="C49" s="134">
        <v>71.0</v>
      </c>
      <c r="D49" s="134">
        <v>10.1</v>
      </c>
      <c r="E49" s="134">
        <v>16.0</v>
      </c>
      <c r="F49" s="134">
        <v>4.0</v>
      </c>
      <c r="G49" s="134">
        <v>14.0</v>
      </c>
      <c r="H49" s="134">
        <v>3.43</v>
      </c>
      <c r="I49" s="134">
        <v>14.0</v>
      </c>
      <c r="J49" s="134">
        <v>1.14</v>
      </c>
      <c r="K49" s="134">
        <v>14.0</v>
      </c>
      <c r="L49" s="134">
        <v>0.0</v>
      </c>
      <c r="M49" s="134">
        <v>13.0</v>
      </c>
      <c r="N49" s="134">
        <v>1.23</v>
      </c>
    </row>
    <row r="50">
      <c r="A50" s="91" t="s">
        <v>442</v>
      </c>
      <c r="B50" s="133" t="s">
        <v>445</v>
      </c>
      <c r="C50" s="134">
        <v>56.0</v>
      </c>
      <c r="D50" s="134">
        <v>10.0</v>
      </c>
      <c r="E50" s="134">
        <v>12.0</v>
      </c>
      <c r="F50" s="134">
        <v>5.33</v>
      </c>
      <c r="G50" s="134">
        <v>12.0</v>
      </c>
      <c r="H50" s="134">
        <v>0.0</v>
      </c>
      <c r="I50" s="134">
        <v>12.0</v>
      </c>
      <c r="J50" s="134">
        <v>2.67</v>
      </c>
      <c r="K50" s="134">
        <v>10.0</v>
      </c>
      <c r="L50" s="134">
        <v>0.0</v>
      </c>
      <c r="M50" s="134">
        <v>10.0</v>
      </c>
      <c r="N50" s="134">
        <v>1.6</v>
      </c>
    </row>
    <row r="51">
      <c r="A51" s="131" t="s">
        <v>490</v>
      </c>
      <c r="B51" s="133" t="s">
        <v>491</v>
      </c>
      <c r="C51" s="134">
        <v>92.0</v>
      </c>
      <c r="D51" s="134">
        <v>9.57</v>
      </c>
      <c r="E51" s="134">
        <v>19.0</v>
      </c>
      <c r="F51" s="134">
        <v>0.0</v>
      </c>
      <c r="G51" s="134">
        <v>19.0</v>
      </c>
      <c r="H51" s="134">
        <v>0.0</v>
      </c>
      <c r="I51" s="134">
        <v>19.0</v>
      </c>
      <c r="J51" s="134">
        <v>4.21</v>
      </c>
      <c r="K51" s="134">
        <v>19.0</v>
      </c>
      <c r="L51" s="134">
        <v>0.0</v>
      </c>
      <c r="M51" s="134">
        <v>16.0</v>
      </c>
      <c r="N51" s="134">
        <v>6.0</v>
      </c>
    </row>
    <row r="52">
      <c r="A52" s="131" t="s">
        <v>494</v>
      </c>
      <c r="B52" s="133" t="s">
        <v>495</v>
      </c>
      <c r="C52" s="134">
        <v>95.0</v>
      </c>
      <c r="D52" s="134">
        <v>9.26</v>
      </c>
      <c r="E52" s="134">
        <v>20.0</v>
      </c>
      <c r="F52" s="134">
        <v>0.0</v>
      </c>
      <c r="G52" s="134">
        <v>20.0</v>
      </c>
      <c r="H52" s="134">
        <v>5.6</v>
      </c>
      <c r="I52" s="134">
        <v>20.0</v>
      </c>
      <c r="J52" s="134">
        <v>0.0</v>
      </c>
      <c r="K52" s="134">
        <v>18.0</v>
      </c>
      <c r="L52" s="134">
        <v>1.78</v>
      </c>
      <c r="M52" s="134">
        <v>17.0</v>
      </c>
      <c r="N52" s="134">
        <v>1.88</v>
      </c>
    </row>
    <row r="53">
      <c r="A53" s="131" t="s">
        <v>432</v>
      </c>
      <c r="B53" s="133" t="s">
        <v>433</v>
      </c>
      <c r="C53" s="134">
        <v>87.0</v>
      </c>
      <c r="D53" s="134">
        <v>9.2</v>
      </c>
      <c r="E53" s="134">
        <v>17.0</v>
      </c>
      <c r="F53" s="134">
        <v>6.59</v>
      </c>
      <c r="G53" s="134">
        <v>18.0</v>
      </c>
      <c r="H53" s="134">
        <v>0.0</v>
      </c>
      <c r="I53" s="134">
        <v>18.0</v>
      </c>
      <c r="J53" s="134">
        <v>2.67</v>
      </c>
      <c r="K53" s="134">
        <v>17.0</v>
      </c>
      <c r="L53" s="134">
        <v>0.0</v>
      </c>
      <c r="M53" s="134">
        <v>17.0</v>
      </c>
      <c r="N53" s="134">
        <v>0.0</v>
      </c>
    </row>
    <row r="54">
      <c r="A54" s="131" t="s">
        <v>498</v>
      </c>
      <c r="B54" s="133" t="s">
        <v>499</v>
      </c>
      <c r="C54" s="134">
        <v>97.0</v>
      </c>
      <c r="D54" s="134">
        <v>9.07</v>
      </c>
      <c r="E54" s="134">
        <v>20.0</v>
      </c>
      <c r="F54" s="134">
        <v>0.8</v>
      </c>
      <c r="G54" s="134">
        <v>20.0</v>
      </c>
      <c r="H54" s="134">
        <v>0.8</v>
      </c>
      <c r="I54" s="134">
        <v>20.0</v>
      </c>
      <c r="J54" s="134">
        <v>3.2</v>
      </c>
      <c r="K54" s="134">
        <v>19.0</v>
      </c>
      <c r="L54" s="134">
        <v>0.842</v>
      </c>
      <c r="M54" s="134">
        <v>18.0</v>
      </c>
      <c r="N54" s="134">
        <v>3.56</v>
      </c>
    </row>
    <row r="55">
      <c r="A55" s="131" t="s">
        <v>501</v>
      </c>
      <c r="B55" s="133" t="s">
        <v>502</v>
      </c>
      <c r="C55" s="134">
        <v>89.0</v>
      </c>
      <c r="D55" s="134">
        <v>8.99</v>
      </c>
      <c r="E55" s="134">
        <v>17.0</v>
      </c>
      <c r="F55" s="134">
        <v>0.941</v>
      </c>
      <c r="G55" s="134">
        <v>18.0</v>
      </c>
      <c r="H55" s="134">
        <v>4.44</v>
      </c>
      <c r="I55" s="134">
        <v>18.0</v>
      </c>
      <c r="J55" s="134">
        <v>2.67</v>
      </c>
      <c r="K55" s="134">
        <v>18.0</v>
      </c>
      <c r="L55" s="134">
        <v>0.0</v>
      </c>
      <c r="M55" s="134">
        <v>18.0</v>
      </c>
      <c r="N55" s="134">
        <v>0.889</v>
      </c>
    </row>
    <row r="56">
      <c r="A56" s="131" t="s">
        <v>497</v>
      </c>
      <c r="B56" s="133" t="s">
        <v>503</v>
      </c>
      <c r="C56" s="134">
        <v>89.0</v>
      </c>
      <c r="D56" s="134">
        <v>8.99</v>
      </c>
      <c r="E56" s="134">
        <v>19.0</v>
      </c>
      <c r="F56" s="134">
        <v>2.53</v>
      </c>
      <c r="G56" s="134">
        <v>18.0</v>
      </c>
      <c r="H56" s="134">
        <v>5.33</v>
      </c>
      <c r="I56" s="134">
        <v>18.0</v>
      </c>
      <c r="J56" s="134">
        <v>0.889</v>
      </c>
      <c r="K56" s="134">
        <v>17.0</v>
      </c>
      <c r="L56" s="134">
        <v>-0.941</v>
      </c>
      <c r="M56" s="134">
        <v>17.0</v>
      </c>
      <c r="N56" s="134">
        <v>0.941</v>
      </c>
    </row>
    <row r="57">
      <c r="A57" s="131" t="s">
        <v>504</v>
      </c>
      <c r="B57" s="133" t="s">
        <v>500</v>
      </c>
      <c r="C57" s="134">
        <v>98.0</v>
      </c>
      <c r="D57" s="134">
        <v>8.98</v>
      </c>
      <c r="E57" s="134">
        <v>21.0</v>
      </c>
      <c r="F57" s="134">
        <v>3.05</v>
      </c>
      <c r="G57" s="134">
        <v>21.0</v>
      </c>
      <c r="H57" s="134">
        <v>0.762</v>
      </c>
      <c r="I57" s="134">
        <v>20.0</v>
      </c>
      <c r="J57" s="134">
        <v>3.2</v>
      </c>
      <c r="K57" s="134">
        <v>18.0</v>
      </c>
      <c r="L57" s="134">
        <v>0.889</v>
      </c>
      <c r="M57" s="134">
        <v>18.0</v>
      </c>
      <c r="N57" s="134">
        <v>0.889</v>
      </c>
    </row>
    <row r="58">
      <c r="A58" s="131" t="s">
        <v>489</v>
      </c>
      <c r="B58" s="133" t="s">
        <v>505</v>
      </c>
      <c r="C58" s="134">
        <v>98.0</v>
      </c>
      <c r="D58" s="134">
        <v>8.98</v>
      </c>
      <c r="E58" s="134">
        <v>20.0</v>
      </c>
      <c r="F58" s="134">
        <v>0.8</v>
      </c>
      <c r="G58" s="134">
        <v>20.0</v>
      </c>
      <c r="H58" s="134">
        <v>1.6</v>
      </c>
      <c r="I58" s="134">
        <v>20.0</v>
      </c>
      <c r="J58" s="134">
        <v>1.6</v>
      </c>
      <c r="K58" s="134">
        <v>19.0</v>
      </c>
      <c r="L58" s="134">
        <v>5.89</v>
      </c>
      <c r="M58" s="134">
        <v>19.0</v>
      </c>
      <c r="N58" s="134">
        <v>-0.842</v>
      </c>
    </row>
    <row r="59">
      <c r="A59" s="131" t="s">
        <v>459</v>
      </c>
      <c r="B59" s="133" t="s">
        <v>487</v>
      </c>
      <c r="C59" s="134">
        <v>98.0</v>
      </c>
      <c r="D59" s="134">
        <v>8.98</v>
      </c>
      <c r="E59" s="134">
        <v>20.0</v>
      </c>
      <c r="F59" s="134">
        <v>3.2</v>
      </c>
      <c r="G59" s="134">
        <v>20.0</v>
      </c>
      <c r="H59" s="134">
        <v>0.8</v>
      </c>
      <c r="I59" s="134">
        <v>20.0</v>
      </c>
      <c r="J59" s="134">
        <v>4.0</v>
      </c>
      <c r="K59" s="134">
        <v>19.0</v>
      </c>
      <c r="L59" s="134">
        <v>0.842</v>
      </c>
      <c r="M59" s="134">
        <v>19.0</v>
      </c>
      <c r="N59" s="134">
        <v>0.0</v>
      </c>
    </row>
    <row r="60">
      <c r="A60" s="131" t="s">
        <v>506</v>
      </c>
      <c r="B60" s="133" t="s">
        <v>466</v>
      </c>
      <c r="C60" s="134">
        <v>98.0</v>
      </c>
      <c r="D60" s="134">
        <v>8.98</v>
      </c>
      <c r="E60" s="134">
        <v>20.0</v>
      </c>
      <c r="F60" s="134">
        <v>4.0</v>
      </c>
      <c r="G60" s="134">
        <v>20.0</v>
      </c>
      <c r="H60" s="134">
        <v>0.8</v>
      </c>
      <c r="I60" s="134">
        <v>21.0</v>
      </c>
      <c r="J60" s="134">
        <v>0.762</v>
      </c>
      <c r="K60" s="134">
        <v>19.0</v>
      </c>
      <c r="L60" s="134">
        <v>0.842</v>
      </c>
      <c r="M60" s="134">
        <v>18.0</v>
      </c>
      <c r="N60" s="134">
        <v>2.67</v>
      </c>
    </row>
    <row r="61">
      <c r="A61" s="131" t="s">
        <v>507</v>
      </c>
      <c r="B61" s="133" t="s">
        <v>508</v>
      </c>
      <c r="C61" s="134">
        <v>98.0</v>
      </c>
      <c r="D61" s="134">
        <v>8.98</v>
      </c>
      <c r="E61" s="134">
        <v>20.0</v>
      </c>
      <c r="F61" s="134">
        <v>0.0</v>
      </c>
      <c r="G61" s="134">
        <v>21.0</v>
      </c>
      <c r="H61" s="134">
        <v>3.05</v>
      </c>
      <c r="I61" s="134">
        <v>20.0</v>
      </c>
      <c r="J61" s="134">
        <v>0.8</v>
      </c>
      <c r="K61" s="134">
        <v>19.0</v>
      </c>
      <c r="L61" s="134">
        <v>5.05</v>
      </c>
      <c r="M61" s="134">
        <v>18.0</v>
      </c>
      <c r="N61" s="134">
        <v>0.0</v>
      </c>
    </row>
    <row r="62">
      <c r="A62" s="131" t="s">
        <v>509</v>
      </c>
      <c r="B62" s="133" t="s">
        <v>510</v>
      </c>
      <c r="C62" s="134">
        <v>99.0</v>
      </c>
      <c r="D62" s="134">
        <v>8.89</v>
      </c>
      <c r="E62" s="134">
        <v>20.0</v>
      </c>
      <c r="F62" s="134">
        <v>0.0</v>
      </c>
      <c r="G62" s="134">
        <v>20.0</v>
      </c>
      <c r="H62" s="134">
        <v>0.8</v>
      </c>
      <c r="I62" s="134">
        <v>20.0</v>
      </c>
      <c r="J62" s="134">
        <v>-0.8</v>
      </c>
      <c r="K62" s="134">
        <v>20.0</v>
      </c>
      <c r="L62" s="134">
        <v>7.2</v>
      </c>
      <c r="M62" s="134">
        <v>19.0</v>
      </c>
      <c r="N62" s="134">
        <v>1.68</v>
      </c>
    </row>
    <row r="63">
      <c r="A63" s="131" t="s">
        <v>462</v>
      </c>
      <c r="B63" s="133" t="s">
        <v>511</v>
      </c>
      <c r="C63" s="134">
        <v>82.0</v>
      </c>
      <c r="D63" s="134">
        <v>8.78</v>
      </c>
      <c r="E63" s="134">
        <v>17.0</v>
      </c>
      <c r="F63" s="134">
        <v>0.941</v>
      </c>
      <c r="G63" s="134">
        <v>16.0</v>
      </c>
      <c r="H63" s="134">
        <v>0.0</v>
      </c>
      <c r="I63" s="134">
        <v>17.0</v>
      </c>
      <c r="J63" s="134">
        <v>1.88</v>
      </c>
      <c r="K63" s="134">
        <v>16.0</v>
      </c>
      <c r="L63" s="134">
        <v>0.0</v>
      </c>
      <c r="M63" s="134">
        <v>16.0</v>
      </c>
      <c r="N63" s="134">
        <v>6.0</v>
      </c>
    </row>
    <row r="64">
      <c r="A64" s="131" t="s">
        <v>512</v>
      </c>
      <c r="B64" s="133" t="s">
        <v>463</v>
      </c>
      <c r="C64" s="134">
        <v>37.0</v>
      </c>
      <c r="D64" s="134">
        <v>8.65</v>
      </c>
      <c r="E64" s="134">
        <v>8.0</v>
      </c>
      <c r="F64" s="134">
        <v>4.0</v>
      </c>
      <c r="G64" s="134">
        <v>8.0</v>
      </c>
      <c r="H64" s="134">
        <v>2.0</v>
      </c>
      <c r="I64" s="134">
        <v>7.0</v>
      </c>
      <c r="J64" s="134">
        <v>2.29</v>
      </c>
      <c r="K64" s="134">
        <v>7.0</v>
      </c>
      <c r="L64" s="134">
        <v>0.0</v>
      </c>
      <c r="M64" s="134">
        <v>7.0</v>
      </c>
      <c r="N64" s="134">
        <v>0.0</v>
      </c>
    </row>
    <row r="65">
      <c r="A65" s="131" t="s">
        <v>514</v>
      </c>
      <c r="B65" s="133" t="s">
        <v>515</v>
      </c>
      <c r="C65" s="134">
        <v>48.0</v>
      </c>
      <c r="D65" s="134">
        <v>8.33</v>
      </c>
      <c r="E65" s="134">
        <v>9.0</v>
      </c>
      <c r="F65" s="134">
        <v>0.0</v>
      </c>
      <c r="G65" s="134">
        <v>9.0</v>
      </c>
      <c r="H65" s="134">
        <v>3.56</v>
      </c>
      <c r="I65" s="134">
        <v>10.0</v>
      </c>
      <c r="J65" s="134">
        <v>3.2</v>
      </c>
      <c r="K65" s="134">
        <v>10.0</v>
      </c>
      <c r="L65" s="134">
        <v>0.0</v>
      </c>
      <c r="M65" s="134">
        <v>10.0</v>
      </c>
      <c r="N65" s="134">
        <v>1.6</v>
      </c>
    </row>
    <row r="66">
      <c r="A66" s="131" t="s">
        <v>516</v>
      </c>
      <c r="B66" s="133" t="s">
        <v>517</v>
      </c>
      <c r="C66" s="134">
        <v>77.0</v>
      </c>
      <c r="D66" s="134">
        <v>8.31</v>
      </c>
      <c r="E66" s="134">
        <v>15.0</v>
      </c>
      <c r="F66" s="134">
        <v>0.0</v>
      </c>
      <c r="G66" s="134">
        <v>15.0</v>
      </c>
      <c r="H66" s="134">
        <v>0.0</v>
      </c>
      <c r="I66" s="134">
        <v>16.0</v>
      </c>
      <c r="J66" s="134">
        <v>1.0</v>
      </c>
      <c r="K66" s="134">
        <v>16.0</v>
      </c>
      <c r="L66" s="134">
        <v>0.0</v>
      </c>
      <c r="M66" s="134">
        <v>15.0</v>
      </c>
      <c r="N66" s="134">
        <v>7.47</v>
      </c>
    </row>
    <row r="67">
      <c r="A67" s="131" t="s">
        <v>518</v>
      </c>
      <c r="B67" s="133" t="s">
        <v>519</v>
      </c>
      <c r="C67" s="134">
        <v>99.0</v>
      </c>
      <c r="D67" s="134">
        <v>8.08</v>
      </c>
      <c r="E67" s="134">
        <v>20.0</v>
      </c>
      <c r="F67" s="134">
        <v>-0.8</v>
      </c>
      <c r="G67" s="134">
        <v>20.0</v>
      </c>
      <c r="H67" s="134">
        <v>4.0</v>
      </c>
      <c r="I67" s="134">
        <v>20.0</v>
      </c>
      <c r="J67" s="134">
        <v>0.0</v>
      </c>
      <c r="K67" s="134">
        <v>20.0</v>
      </c>
      <c r="L67" s="134">
        <v>0.8</v>
      </c>
      <c r="M67" s="134">
        <v>19.0</v>
      </c>
      <c r="N67" s="134">
        <v>4.21</v>
      </c>
    </row>
    <row r="68">
      <c r="A68" s="131" t="s">
        <v>521</v>
      </c>
      <c r="B68" s="133" t="s">
        <v>522</v>
      </c>
      <c r="C68" s="134">
        <v>99.0</v>
      </c>
      <c r="D68" s="134">
        <v>8.08</v>
      </c>
      <c r="E68" s="134">
        <v>20.0</v>
      </c>
      <c r="F68" s="134">
        <v>0.0</v>
      </c>
      <c r="G68" s="134">
        <v>20.0</v>
      </c>
      <c r="H68" s="134">
        <v>2.4</v>
      </c>
      <c r="I68" s="134">
        <v>20.0</v>
      </c>
      <c r="J68" s="134">
        <v>0.0</v>
      </c>
      <c r="K68" s="134">
        <v>20.0</v>
      </c>
      <c r="L68" s="134">
        <v>0.0</v>
      </c>
      <c r="M68" s="134">
        <v>19.0</v>
      </c>
      <c r="N68" s="134">
        <v>5.89</v>
      </c>
    </row>
    <row r="69">
      <c r="A69" s="131" t="s">
        <v>523</v>
      </c>
      <c r="B69" s="133" t="s">
        <v>525</v>
      </c>
      <c r="C69" s="134">
        <v>100.0</v>
      </c>
      <c r="D69" s="134">
        <v>8.0</v>
      </c>
      <c r="E69" s="134">
        <v>20.0</v>
      </c>
      <c r="F69" s="134">
        <v>1.6</v>
      </c>
      <c r="G69" s="134">
        <v>20.0</v>
      </c>
      <c r="H69" s="134">
        <v>5.6</v>
      </c>
      <c r="I69" s="134">
        <v>20.0</v>
      </c>
      <c r="J69" s="134">
        <v>-0.8</v>
      </c>
      <c r="K69" s="134">
        <v>20.0</v>
      </c>
      <c r="L69" s="134">
        <v>0.8</v>
      </c>
      <c r="M69" s="134">
        <v>20.0</v>
      </c>
      <c r="N69" s="134">
        <v>0.8</v>
      </c>
    </row>
    <row r="70">
      <c r="A70" s="131" t="s">
        <v>526</v>
      </c>
      <c r="B70" s="133" t="s">
        <v>527</v>
      </c>
      <c r="C70" s="134">
        <v>91.0</v>
      </c>
      <c r="D70" s="134">
        <v>7.91</v>
      </c>
      <c r="E70" s="134">
        <v>19.0</v>
      </c>
      <c r="F70" s="134">
        <v>0.842</v>
      </c>
      <c r="G70" s="134">
        <v>19.0</v>
      </c>
      <c r="H70" s="134">
        <v>0.0</v>
      </c>
      <c r="I70" s="134">
        <v>18.0</v>
      </c>
      <c r="J70" s="134">
        <v>0.0</v>
      </c>
      <c r="K70" s="134">
        <v>18.0</v>
      </c>
      <c r="L70" s="134">
        <v>7.11</v>
      </c>
      <c r="M70" s="134">
        <v>17.0</v>
      </c>
      <c r="N70" s="134">
        <v>0.0</v>
      </c>
    </row>
    <row r="71">
      <c r="A71" s="131" t="s">
        <v>492</v>
      </c>
      <c r="B71" s="133" t="s">
        <v>530</v>
      </c>
      <c r="C71" s="134">
        <v>96.0</v>
      </c>
      <c r="D71" s="134">
        <v>7.5</v>
      </c>
      <c r="E71" s="134">
        <v>20.0</v>
      </c>
      <c r="F71" s="134">
        <v>0.0</v>
      </c>
      <c r="G71" s="134">
        <v>19.0</v>
      </c>
      <c r="H71" s="134">
        <v>5.89</v>
      </c>
      <c r="I71" s="134">
        <v>19.0</v>
      </c>
      <c r="J71" s="134">
        <v>0.0</v>
      </c>
      <c r="K71" s="134">
        <v>19.0</v>
      </c>
      <c r="L71" s="134">
        <v>1.68</v>
      </c>
      <c r="M71" s="134">
        <v>19.0</v>
      </c>
      <c r="N71" s="134">
        <v>0.0</v>
      </c>
    </row>
    <row r="72">
      <c r="A72" s="131" t="s">
        <v>524</v>
      </c>
      <c r="B72" s="133" t="s">
        <v>493</v>
      </c>
      <c r="C72" s="134">
        <v>43.0</v>
      </c>
      <c r="D72" s="134">
        <v>7.44</v>
      </c>
      <c r="E72" s="134">
        <v>10.0</v>
      </c>
      <c r="F72" s="134">
        <v>3.2</v>
      </c>
      <c r="G72" s="134">
        <v>9.0</v>
      </c>
      <c r="H72" s="134">
        <v>1.78</v>
      </c>
      <c r="I72" s="134">
        <v>8.0</v>
      </c>
      <c r="J72" s="134">
        <v>0.0</v>
      </c>
      <c r="K72" s="134">
        <v>8.0</v>
      </c>
      <c r="L72" s="134">
        <v>0.0</v>
      </c>
      <c r="M72" s="134">
        <v>8.0</v>
      </c>
      <c r="N72" s="134">
        <v>2.0</v>
      </c>
    </row>
    <row r="73">
      <c r="A73" s="91" t="s">
        <v>533</v>
      </c>
      <c r="B73" s="133" t="s">
        <v>520</v>
      </c>
      <c r="C73" s="134">
        <v>97.0</v>
      </c>
      <c r="D73" s="134">
        <v>7.42</v>
      </c>
      <c r="E73" s="134">
        <v>20.0</v>
      </c>
      <c r="F73" s="134">
        <v>2.4</v>
      </c>
      <c r="G73" s="134">
        <v>20.0</v>
      </c>
      <c r="H73" s="134">
        <v>3.2</v>
      </c>
      <c r="I73" s="134">
        <v>19.0</v>
      </c>
      <c r="J73" s="134">
        <v>0.0</v>
      </c>
      <c r="K73" s="134">
        <v>19.0</v>
      </c>
      <c r="L73" s="134">
        <v>1.68</v>
      </c>
      <c r="M73" s="134">
        <v>19.0</v>
      </c>
      <c r="N73" s="134">
        <v>0.0</v>
      </c>
    </row>
    <row r="74">
      <c r="A74" s="131" t="s">
        <v>536</v>
      </c>
      <c r="B74" s="133" t="s">
        <v>537</v>
      </c>
      <c r="C74" s="134">
        <v>76.0</v>
      </c>
      <c r="D74" s="134">
        <v>7.37</v>
      </c>
      <c r="E74" s="134">
        <v>16.0</v>
      </c>
      <c r="F74" s="134">
        <v>0.0</v>
      </c>
      <c r="G74" s="134">
        <v>15.0</v>
      </c>
      <c r="H74" s="134">
        <v>1.07</v>
      </c>
      <c r="I74" s="134">
        <v>14.0</v>
      </c>
      <c r="J74" s="134">
        <v>0.0</v>
      </c>
      <c r="K74" s="134">
        <v>15.0</v>
      </c>
      <c r="L74" s="134">
        <v>0.0</v>
      </c>
      <c r="M74" s="134">
        <v>16.0</v>
      </c>
      <c r="N74" s="134">
        <v>6.0</v>
      </c>
    </row>
    <row r="75">
      <c r="A75" s="131" t="s">
        <v>539</v>
      </c>
      <c r="B75" s="133" t="s">
        <v>540</v>
      </c>
      <c r="C75" s="134">
        <v>76.0</v>
      </c>
      <c r="D75" s="134">
        <v>7.37</v>
      </c>
      <c r="E75" s="134">
        <v>16.0</v>
      </c>
      <c r="F75" s="134">
        <v>0.0</v>
      </c>
      <c r="G75" s="134">
        <v>15.0</v>
      </c>
      <c r="H75" s="134">
        <v>0.0</v>
      </c>
      <c r="I75" s="134">
        <v>15.0</v>
      </c>
      <c r="J75" s="134">
        <v>0.0</v>
      </c>
      <c r="K75" s="134">
        <v>15.0</v>
      </c>
      <c r="L75" s="134">
        <v>0.0</v>
      </c>
      <c r="M75" s="134">
        <v>15.0</v>
      </c>
      <c r="N75" s="134">
        <v>7.47</v>
      </c>
    </row>
    <row r="76">
      <c r="A76" s="131" t="s">
        <v>541</v>
      </c>
      <c r="B76" s="133" t="s">
        <v>543</v>
      </c>
      <c r="C76" s="134">
        <v>98.0</v>
      </c>
      <c r="D76" s="134">
        <v>7.35</v>
      </c>
      <c r="E76" s="134">
        <v>20.0</v>
      </c>
      <c r="F76" s="134">
        <v>0.0</v>
      </c>
      <c r="G76" s="134">
        <v>20.0</v>
      </c>
      <c r="H76" s="134">
        <v>7.2</v>
      </c>
      <c r="I76" s="134">
        <v>20.0</v>
      </c>
      <c r="J76" s="134">
        <v>0.0</v>
      </c>
      <c r="K76" s="134">
        <v>19.0</v>
      </c>
      <c r="L76" s="134">
        <v>0.0</v>
      </c>
      <c r="M76" s="134">
        <v>19.0</v>
      </c>
      <c r="N76" s="134">
        <v>0.0</v>
      </c>
    </row>
    <row r="77">
      <c r="A77" s="131" t="s">
        <v>545</v>
      </c>
      <c r="B77" s="133" t="s">
        <v>546</v>
      </c>
      <c r="C77" s="134">
        <v>99.0</v>
      </c>
      <c r="D77" s="134">
        <v>7.27</v>
      </c>
      <c r="E77" s="134">
        <v>20.0</v>
      </c>
      <c r="F77" s="134">
        <v>0.0</v>
      </c>
      <c r="G77" s="134">
        <v>20.0</v>
      </c>
      <c r="H77" s="134">
        <v>0.0</v>
      </c>
      <c r="I77" s="134">
        <v>20.0</v>
      </c>
      <c r="J77" s="134">
        <v>0.0</v>
      </c>
      <c r="K77" s="134">
        <v>20.0</v>
      </c>
      <c r="L77" s="134">
        <v>7.2</v>
      </c>
      <c r="M77" s="134">
        <v>19.0</v>
      </c>
      <c r="N77" s="134">
        <v>0.0</v>
      </c>
    </row>
    <row r="78">
      <c r="A78" s="131" t="s">
        <v>549</v>
      </c>
      <c r="B78" s="133" t="s">
        <v>550</v>
      </c>
      <c r="C78" s="134">
        <v>100.0</v>
      </c>
      <c r="D78" s="134">
        <v>7.2</v>
      </c>
      <c r="E78" s="134">
        <v>20.0</v>
      </c>
      <c r="F78" s="134">
        <v>1.6</v>
      </c>
      <c r="G78" s="134">
        <v>20.0</v>
      </c>
      <c r="H78" s="134">
        <v>0.8</v>
      </c>
      <c r="I78" s="134">
        <v>20.0</v>
      </c>
      <c r="J78" s="134">
        <v>0.0</v>
      </c>
      <c r="K78" s="134">
        <v>20.0</v>
      </c>
      <c r="L78" s="134">
        <v>0.0</v>
      </c>
      <c r="M78" s="134">
        <v>20.0</v>
      </c>
      <c r="N78" s="134">
        <v>4.8</v>
      </c>
    </row>
    <row r="79">
      <c r="A79" s="131" t="s">
        <v>552</v>
      </c>
      <c r="B79" s="133" t="s">
        <v>553</v>
      </c>
      <c r="C79" s="134">
        <v>82.0</v>
      </c>
      <c r="D79" s="134">
        <v>6.83</v>
      </c>
      <c r="E79" s="134">
        <v>17.0</v>
      </c>
      <c r="F79" s="134">
        <v>-0.941</v>
      </c>
      <c r="G79" s="134">
        <v>17.0</v>
      </c>
      <c r="H79" s="134">
        <v>1.88</v>
      </c>
      <c r="I79" s="134">
        <v>16.0</v>
      </c>
      <c r="J79" s="134">
        <v>1.0</v>
      </c>
      <c r="K79" s="134">
        <v>16.0</v>
      </c>
      <c r="L79" s="134">
        <v>5.0</v>
      </c>
      <c r="M79" s="134">
        <v>16.0</v>
      </c>
      <c r="N79" s="134">
        <v>0.0</v>
      </c>
    </row>
    <row r="80">
      <c r="A80" s="131" t="s">
        <v>556</v>
      </c>
      <c r="B80" s="133" t="s">
        <v>557</v>
      </c>
      <c r="C80" s="134">
        <v>98.0</v>
      </c>
      <c r="D80" s="134">
        <v>6.53</v>
      </c>
      <c r="E80" s="134">
        <v>21.0</v>
      </c>
      <c r="F80" s="134">
        <v>0.762</v>
      </c>
      <c r="G80" s="134">
        <v>21.0</v>
      </c>
      <c r="H80" s="134">
        <v>3.05</v>
      </c>
      <c r="I80" s="134">
        <v>20.0</v>
      </c>
      <c r="J80" s="134">
        <v>0.8</v>
      </c>
      <c r="K80" s="134">
        <v>18.0</v>
      </c>
      <c r="L80" s="134">
        <v>1.78</v>
      </c>
      <c r="M80" s="134">
        <v>18.0</v>
      </c>
      <c r="N80" s="134">
        <v>0.0</v>
      </c>
    </row>
    <row r="81">
      <c r="A81" s="131" t="s">
        <v>560</v>
      </c>
      <c r="B81" s="133" t="s">
        <v>561</v>
      </c>
      <c r="C81" s="134">
        <v>74.0</v>
      </c>
      <c r="D81" s="134">
        <v>6.49</v>
      </c>
      <c r="E81" s="134">
        <v>15.0</v>
      </c>
      <c r="F81" s="134">
        <v>0.0</v>
      </c>
      <c r="G81" s="134">
        <v>14.0</v>
      </c>
      <c r="H81" s="134">
        <v>3.43</v>
      </c>
      <c r="I81" s="134">
        <v>15.0</v>
      </c>
      <c r="J81" s="134">
        <v>-1.07</v>
      </c>
      <c r="K81" s="134">
        <v>15.0</v>
      </c>
      <c r="L81" s="134">
        <v>0.0</v>
      </c>
      <c r="M81" s="134">
        <v>15.0</v>
      </c>
      <c r="N81" s="134">
        <v>4.27</v>
      </c>
    </row>
    <row r="82">
      <c r="A82" s="131" t="s">
        <v>562</v>
      </c>
      <c r="B82" s="133" t="s">
        <v>564</v>
      </c>
      <c r="C82" s="134">
        <v>99.0</v>
      </c>
      <c r="D82" s="134">
        <v>6.46</v>
      </c>
      <c r="E82" s="134">
        <v>20.0</v>
      </c>
      <c r="F82" s="134">
        <v>0.0</v>
      </c>
      <c r="G82" s="134">
        <v>20.0</v>
      </c>
      <c r="H82" s="134">
        <v>4.0</v>
      </c>
      <c r="I82" s="134">
        <v>20.0</v>
      </c>
      <c r="J82" s="134">
        <v>0.0</v>
      </c>
      <c r="K82" s="134">
        <v>20.0</v>
      </c>
      <c r="L82" s="134">
        <v>0.8</v>
      </c>
      <c r="M82" s="134">
        <v>19.0</v>
      </c>
      <c r="N82" s="134">
        <v>1.68</v>
      </c>
    </row>
    <row r="83">
      <c r="A83" s="131" t="s">
        <v>436</v>
      </c>
      <c r="B83" s="133" t="s">
        <v>443</v>
      </c>
      <c r="C83" s="134">
        <v>99.0</v>
      </c>
      <c r="D83" s="134">
        <v>6.46</v>
      </c>
      <c r="E83" s="134">
        <v>20.0</v>
      </c>
      <c r="F83" s="134">
        <v>5.6</v>
      </c>
      <c r="G83" s="134">
        <v>20.0</v>
      </c>
      <c r="H83" s="134">
        <v>0.0</v>
      </c>
      <c r="I83" s="134">
        <v>20.0</v>
      </c>
      <c r="J83" s="134">
        <v>1.6</v>
      </c>
      <c r="K83" s="134">
        <v>20.0</v>
      </c>
      <c r="L83" s="134">
        <v>-0.8</v>
      </c>
      <c r="M83" s="134">
        <v>19.0</v>
      </c>
      <c r="N83" s="134">
        <v>0.0</v>
      </c>
    </row>
    <row r="84">
      <c r="A84" s="131" t="s">
        <v>448</v>
      </c>
      <c r="B84" s="133" t="s">
        <v>449</v>
      </c>
      <c r="C84" s="134">
        <v>99.0</v>
      </c>
      <c r="D84" s="134">
        <v>6.46</v>
      </c>
      <c r="E84" s="134">
        <v>20.0</v>
      </c>
      <c r="F84" s="134">
        <v>4.8</v>
      </c>
      <c r="G84" s="134">
        <v>20.0</v>
      </c>
      <c r="H84" s="134">
        <v>0.0</v>
      </c>
      <c r="I84" s="134">
        <v>20.0</v>
      </c>
      <c r="J84" s="134">
        <v>1.6</v>
      </c>
      <c r="K84" s="134">
        <v>20.0</v>
      </c>
      <c r="L84" s="134">
        <v>0.0</v>
      </c>
      <c r="M84" s="134">
        <v>19.0</v>
      </c>
      <c r="N84" s="134">
        <v>0.0</v>
      </c>
    </row>
    <row r="85">
      <c r="A85" s="131" t="s">
        <v>528</v>
      </c>
      <c r="B85" s="133" t="s">
        <v>529</v>
      </c>
      <c r="C85" s="134">
        <v>100.0</v>
      </c>
      <c r="D85" s="134">
        <v>6.4</v>
      </c>
      <c r="E85" s="134">
        <v>20.0</v>
      </c>
      <c r="F85" s="134">
        <v>2.4</v>
      </c>
      <c r="G85" s="134">
        <v>20.0</v>
      </c>
      <c r="H85" s="134">
        <v>0.0</v>
      </c>
      <c r="I85" s="134">
        <v>20.0</v>
      </c>
      <c r="J85" s="134">
        <v>2.4</v>
      </c>
      <c r="K85" s="134">
        <v>20.0</v>
      </c>
      <c r="L85" s="134">
        <v>0.0</v>
      </c>
      <c r="M85" s="134">
        <v>20.0</v>
      </c>
      <c r="N85" s="134">
        <v>1.6</v>
      </c>
    </row>
    <row r="86">
      <c r="A86" s="131" t="s">
        <v>567</v>
      </c>
      <c r="B86" s="133" t="s">
        <v>568</v>
      </c>
      <c r="C86" s="134">
        <v>88.0</v>
      </c>
      <c r="D86" s="134">
        <v>6.36</v>
      </c>
      <c r="E86" s="134">
        <v>18.0</v>
      </c>
      <c r="F86" s="134">
        <v>0.0</v>
      </c>
      <c r="G86" s="134">
        <v>18.0</v>
      </c>
      <c r="H86" s="134">
        <v>0.0</v>
      </c>
      <c r="I86" s="134">
        <v>18.0</v>
      </c>
      <c r="J86" s="134">
        <v>0.0</v>
      </c>
      <c r="K86" s="134">
        <v>17.0</v>
      </c>
      <c r="L86" s="134">
        <v>0.0</v>
      </c>
      <c r="M86" s="134">
        <v>17.0</v>
      </c>
      <c r="N86" s="134">
        <v>6.59</v>
      </c>
    </row>
    <row r="87">
      <c r="A87" s="131" t="s">
        <v>569</v>
      </c>
      <c r="B87" s="133" t="s">
        <v>570</v>
      </c>
      <c r="C87" s="134">
        <v>26.0</v>
      </c>
      <c r="D87" s="134">
        <v>6.15</v>
      </c>
      <c r="E87" s="134">
        <v>5.0</v>
      </c>
      <c r="F87" s="134">
        <v>0.0</v>
      </c>
      <c r="G87" s="134">
        <v>5.0</v>
      </c>
      <c r="H87" s="134">
        <v>0.0</v>
      </c>
      <c r="I87" s="134">
        <v>6.0</v>
      </c>
      <c r="J87" s="134">
        <v>5.33</v>
      </c>
      <c r="K87" s="134">
        <v>5.0</v>
      </c>
      <c r="L87" s="134">
        <v>0.0</v>
      </c>
      <c r="M87" s="134">
        <v>5.0</v>
      </c>
      <c r="N87" s="134">
        <v>0.0</v>
      </c>
    </row>
    <row r="88">
      <c r="A88" s="131" t="s">
        <v>571</v>
      </c>
      <c r="B88" s="133" t="s">
        <v>572</v>
      </c>
      <c r="C88" s="134">
        <v>39.0</v>
      </c>
      <c r="D88" s="134">
        <v>6.15</v>
      </c>
      <c r="E88" s="134">
        <v>8.0</v>
      </c>
      <c r="F88" s="134">
        <v>0.0</v>
      </c>
      <c r="G88" s="134">
        <v>8.0</v>
      </c>
      <c r="H88" s="134">
        <v>0.0</v>
      </c>
      <c r="I88" s="134">
        <v>8.0</v>
      </c>
      <c r="J88" s="134">
        <v>2.0</v>
      </c>
      <c r="K88" s="134">
        <v>8.0</v>
      </c>
      <c r="L88" s="134">
        <v>2.0</v>
      </c>
      <c r="M88" s="134">
        <v>7.0</v>
      </c>
      <c r="N88" s="134">
        <v>2.29</v>
      </c>
    </row>
    <row r="89">
      <c r="A89" s="131" t="s">
        <v>573</v>
      </c>
      <c r="B89" s="133" t="s">
        <v>481</v>
      </c>
      <c r="C89" s="134">
        <v>67.0</v>
      </c>
      <c r="D89" s="134">
        <v>5.97</v>
      </c>
      <c r="E89" s="134">
        <v>13.0</v>
      </c>
      <c r="F89" s="134">
        <v>3.69</v>
      </c>
      <c r="G89" s="134">
        <v>13.0</v>
      </c>
      <c r="H89" s="134">
        <v>0.0</v>
      </c>
      <c r="I89" s="134">
        <v>14.0</v>
      </c>
      <c r="J89" s="134">
        <v>2.29</v>
      </c>
      <c r="K89" s="134">
        <v>14.0</v>
      </c>
      <c r="L89" s="134">
        <v>0.0</v>
      </c>
      <c r="M89" s="134">
        <v>13.0</v>
      </c>
      <c r="N89" s="134">
        <v>0.0</v>
      </c>
    </row>
    <row r="90">
      <c r="A90" s="131" t="s">
        <v>465</v>
      </c>
      <c r="B90" s="133" t="s">
        <v>575</v>
      </c>
      <c r="C90" s="134">
        <v>81.0</v>
      </c>
      <c r="D90" s="134">
        <v>5.93</v>
      </c>
      <c r="E90" s="134">
        <v>16.0</v>
      </c>
      <c r="F90" s="134">
        <v>0.0</v>
      </c>
      <c r="G90" s="134">
        <v>16.0</v>
      </c>
      <c r="H90" s="134">
        <v>0.0</v>
      </c>
      <c r="I90" s="134">
        <v>16.0</v>
      </c>
      <c r="J90" s="134">
        <v>3.0</v>
      </c>
      <c r="K90" s="134">
        <v>16.0</v>
      </c>
      <c r="L90" s="134">
        <v>3.0</v>
      </c>
      <c r="M90" s="134">
        <v>17.0</v>
      </c>
      <c r="N90" s="134">
        <v>0.0</v>
      </c>
    </row>
    <row r="91">
      <c r="A91" s="131" t="s">
        <v>563</v>
      </c>
      <c r="B91" s="133" t="s">
        <v>578</v>
      </c>
      <c r="C91" s="134">
        <v>99.0</v>
      </c>
      <c r="D91" s="134">
        <v>5.66</v>
      </c>
      <c r="E91" s="134">
        <v>20.0</v>
      </c>
      <c r="F91" s="134">
        <v>0.8</v>
      </c>
      <c r="G91" s="134">
        <v>20.0</v>
      </c>
      <c r="H91" s="134">
        <v>0.0</v>
      </c>
      <c r="I91" s="134">
        <v>20.0</v>
      </c>
      <c r="J91" s="134">
        <v>2.4</v>
      </c>
      <c r="K91" s="134">
        <v>20.0</v>
      </c>
      <c r="L91" s="134">
        <v>1.6</v>
      </c>
      <c r="M91" s="134">
        <v>19.0</v>
      </c>
      <c r="N91" s="134">
        <v>0.842</v>
      </c>
    </row>
    <row r="92">
      <c r="A92" s="131" t="s">
        <v>581</v>
      </c>
      <c r="B92" s="133" t="s">
        <v>582</v>
      </c>
      <c r="C92" s="134">
        <v>94.0</v>
      </c>
      <c r="D92" s="134">
        <v>5.11</v>
      </c>
      <c r="E92" s="134">
        <v>20.0</v>
      </c>
      <c r="F92" s="134">
        <v>0.0</v>
      </c>
      <c r="G92" s="134">
        <v>19.0</v>
      </c>
      <c r="H92" s="134">
        <v>0.0</v>
      </c>
      <c r="I92" s="134">
        <v>19.0</v>
      </c>
      <c r="J92" s="134">
        <v>0.0</v>
      </c>
      <c r="K92" s="134">
        <v>18.0</v>
      </c>
      <c r="L92" s="134">
        <v>5.33</v>
      </c>
      <c r="M92" s="134">
        <v>18.0</v>
      </c>
      <c r="N92" s="134">
        <v>0.0</v>
      </c>
    </row>
    <row r="93">
      <c r="A93" s="131" t="s">
        <v>585</v>
      </c>
      <c r="B93" s="133" t="s">
        <v>566</v>
      </c>
      <c r="C93" s="134">
        <v>47.0</v>
      </c>
      <c r="D93" s="134">
        <v>5.11</v>
      </c>
      <c r="E93" s="134">
        <v>10.0</v>
      </c>
      <c r="F93" s="134">
        <v>1.6</v>
      </c>
      <c r="G93" s="134">
        <v>10.0</v>
      </c>
      <c r="H93" s="134">
        <v>0.0</v>
      </c>
      <c r="I93" s="134">
        <v>9.0</v>
      </c>
      <c r="J93" s="134">
        <v>0.0</v>
      </c>
      <c r="K93" s="134">
        <v>9.0</v>
      </c>
      <c r="L93" s="134">
        <v>0.0</v>
      </c>
      <c r="M93" s="134">
        <v>9.0</v>
      </c>
      <c r="N93" s="134">
        <v>3.56</v>
      </c>
    </row>
    <row r="94">
      <c r="A94" s="131" t="s">
        <v>576</v>
      </c>
      <c r="B94" s="133" t="s">
        <v>544</v>
      </c>
      <c r="C94" s="134">
        <v>32.0</v>
      </c>
      <c r="D94" s="134">
        <v>5.0</v>
      </c>
      <c r="E94" s="134">
        <v>7.0</v>
      </c>
      <c r="F94" s="134">
        <v>2.29</v>
      </c>
      <c r="G94" s="134">
        <v>7.0</v>
      </c>
      <c r="H94" s="134">
        <v>0.0</v>
      </c>
      <c r="I94" s="134">
        <v>6.0</v>
      </c>
      <c r="J94" s="134">
        <v>0.0</v>
      </c>
      <c r="K94" s="134">
        <v>6.0</v>
      </c>
      <c r="L94" s="134">
        <v>2.67</v>
      </c>
      <c r="M94" s="134">
        <v>6.0</v>
      </c>
      <c r="N94" s="134">
        <v>0.0</v>
      </c>
    </row>
    <row r="95">
      <c r="A95" s="131" t="s">
        <v>532</v>
      </c>
      <c r="B95" s="133" t="s">
        <v>590</v>
      </c>
      <c r="C95" s="134">
        <v>97.0</v>
      </c>
      <c r="D95" s="134">
        <v>4.95</v>
      </c>
      <c r="E95" s="134">
        <v>20.0</v>
      </c>
      <c r="F95" s="134">
        <v>0.8</v>
      </c>
      <c r="G95" s="134">
        <v>20.0</v>
      </c>
      <c r="H95" s="134">
        <v>0.8</v>
      </c>
      <c r="I95" s="134">
        <v>19.0</v>
      </c>
      <c r="J95" s="134">
        <v>2.53</v>
      </c>
      <c r="K95" s="134">
        <v>19.0</v>
      </c>
      <c r="L95" s="134">
        <v>0.0</v>
      </c>
      <c r="M95" s="134">
        <v>19.0</v>
      </c>
      <c r="N95" s="134">
        <v>0.842</v>
      </c>
    </row>
    <row r="96">
      <c r="A96" s="131" t="s">
        <v>593</v>
      </c>
      <c r="B96" s="133" t="s">
        <v>594</v>
      </c>
      <c r="C96" s="134">
        <v>81.0</v>
      </c>
      <c r="D96" s="134">
        <v>4.94</v>
      </c>
      <c r="E96" s="134">
        <v>15.0</v>
      </c>
      <c r="F96" s="134">
        <v>0.0</v>
      </c>
      <c r="G96" s="134">
        <v>17.0</v>
      </c>
      <c r="H96" s="134">
        <v>1.88</v>
      </c>
      <c r="I96" s="134">
        <v>17.0</v>
      </c>
      <c r="J96" s="134">
        <v>0.0</v>
      </c>
      <c r="K96" s="134">
        <v>16.0</v>
      </c>
      <c r="L96" s="134">
        <v>3.0</v>
      </c>
      <c r="M96" s="134">
        <v>16.0</v>
      </c>
      <c r="N96" s="134">
        <v>0.0</v>
      </c>
    </row>
    <row r="97">
      <c r="A97" s="131" t="s">
        <v>597</v>
      </c>
      <c r="B97" s="133" t="s">
        <v>598</v>
      </c>
      <c r="C97" s="134">
        <v>81.0</v>
      </c>
      <c r="D97" s="134">
        <v>4.94</v>
      </c>
      <c r="E97" s="134">
        <v>16.0</v>
      </c>
      <c r="F97" s="134">
        <v>0.0</v>
      </c>
      <c r="G97" s="134">
        <v>17.0</v>
      </c>
      <c r="H97" s="134">
        <v>1.88</v>
      </c>
      <c r="I97" s="134">
        <v>16.0</v>
      </c>
      <c r="J97" s="134">
        <v>0.0</v>
      </c>
      <c r="K97" s="134">
        <v>16.0</v>
      </c>
      <c r="L97" s="134">
        <v>0.0</v>
      </c>
      <c r="M97" s="134">
        <v>16.0</v>
      </c>
      <c r="N97" s="134">
        <v>3.0</v>
      </c>
    </row>
    <row r="98">
      <c r="A98" s="131" t="s">
        <v>599</v>
      </c>
      <c r="B98" s="133" t="s">
        <v>600</v>
      </c>
      <c r="C98" s="134">
        <v>82.0</v>
      </c>
      <c r="D98" s="134">
        <v>4.88</v>
      </c>
      <c r="E98" s="134">
        <v>17.0</v>
      </c>
      <c r="F98" s="134">
        <v>0.0</v>
      </c>
      <c r="G98" s="134">
        <v>17.0</v>
      </c>
      <c r="H98" s="134">
        <v>0.0</v>
      </c>
      <c r="I98" s="134">
        <v>16.0</v>
      </c>
      <c r="J98" s="134">
        <v>0.0</v>
      </c>
      <c r="K98" s="134">
        <v>16.0</v>
      </c>
      <c r="L98" s="134">
        <v>5.0</v>
      </c>
      <c r="M98" s="134">
        <v>16.0</v>
      </c>
      <c r="N98" s="134">
        <v>0.0</v>
      </c>
    </row>
    <row r="99">
      <c r="A99" s="131" t="s">
        <v>601</v>
      </c>
      <c r="B99" s="133" t="s">
        <v>602</v>
      </c>
      <c r="C99" s="134">
        <v>88.0</v>
      </c>
      <c r="D99" s="134">
        <v>4.55</v>
      </c>
      <c r="E99" s="134">
        <v>17.0</v>
      </c>
      <c r="F99" s="134">
        <v>0.0</v>
      </c>
      <c r="G99" s="134">
        <v>17.0</v>
      </c>
      <c r="H99" s="134">
        <v>1.88</v>
      </c>
      <c r="I99" s="134">
        <v>18.0</v>
      </c>
      <c r="J99" s="134">
        <v>0.0</v>
      </c>
      <c r="K99" s="134">
        <v>18.0</v>
      </c>
      <c r="L99" s="134">
        <v>1.78</v>
      </c>
      <c r="M99" s="134">
        <v>18.0</v>
      </c>
      <c r="N99" s="134">
        <v>0.889</v>
      </c>
    </row>
    <row r="100">
      <c r="A100" s="131" t="s">
        <v>579</v>
      </c>
      <c r="B100" s="133" t="s">
        <v>592</v>
      </c>
      <c r="C100" s="134">
        <v>72.0</v>
      </c>
      <c r="D100" s="134">
        <v>4.44</v>
      </c>
      <c r="E100" s="134">
        <v>16.0</v>
      </c>
      <c r="F100" s="134">
        <v>1.0</v>
      </c>
      <c r="G100" s="134">
        <v>15.0</v>
      </c>
      <c r="H100" s="134">
        <v>0.0</v>
      </c>
      <c r="I100" s="134">
        <v>14.0</v>
      </c>
      <c r="J100" s="134">
        <v>0.0</v>
      </c>
      <c r="K100" s="134">
        <v>14.0</v>
      </c>
      <c r="L100" s="134">
        <v>2.29</v>
      </c>
      <c r="M100" s="134">
        <v>13.0</v>
      </c>
      <c r="N100" s="134">
        <v>1.23</v>
      </c>
    </row>
    <row r="101">
      <c r="A101" s="131" t="s">
        <v>534</v>
      </c>
      <c r="B101" s="133" t="s">
        <v>606</v>
      </c>
      <c r="C101" s="134">
        <v>56.0</v>
      </c>
      <c r="D101" s="134">
        <v>4.29</v>
      </c>
      <c r="E101" s="134">
        <v>12.0</v>
      </c>
      <c r="F101" s="134">
        <v>0.0</v>
      </c>
      <c r="G101" s="134">
        <v>12.0</v>
      </c>
      <c r="H101" s="134">
        <v>1.33</v>
      </c>
      <c r="I101" s="134">
        <v>12.0</v>
      </c>
      <c r="J101" s="134">
        <v>0.0</v>
      </c>
      <c r="K101" s="134">
        <v>10.0</v>
      </c>
      <c r="L101" s="134">
        <v>0.0</v>
      </c>
      <c r="M101" s="134">
        <v>10.0</v>
      </c>
      <c r="N101" s="134">
        <v>3.2</v>
      </c>
    </row>
    <row r="102">
      <c r="A102" s="131" t="s">
        <v>595</v>
      </c>
      <c r="B102" s="133" t="s">
        <v>574</v>
      </c>
      <c r="C102" s="134">
        <v>95.0</v>
      </c>
      <c r="D102" s="134">
        <v>4.21</v>
      </c>
      <c r="E102" s="134">
        <v>20.0</v>
      </c>
      <c r="F102" s="134">
        <v>1.6</v>
      </c>
      <c r="G102" s="134">
        <v>20.0</v>
      </c>
      <c r="H102" s="134">
        <v>0.0</v>
      </c>
      <c r="I102" s="134">
        <v>20.0</v>
      </c>
      <c r="J102" s="134">
        <v>1.6</v>
      </c>
      <c r="K102" s="134">
        <v>18.0</v>
      </c>
      <c r="L102" s="134">
        <v>0.0</v>
      </c>
      <c r="M102" s="134">
        <v>17.0</v>
      </c>
      <c r="N102" s="134">
        <v>0.941</v>
      </c>
    </row>
    <row r="103">
      <c r="A103" s="131" t="s">
        <v>611</v>
      </c>
      <c r="B103" s="133" t="s">
        <v>478</v>
      </c>
      <c r="C103" s="134">
        <v>58.0</v>
      </c>
      <c r="D103" s="134">
        <v>4.14</v>
      </c>
      <c r="E103" s="134">
        <v>13.0</v>
      </c>
      <c r="F103" s="134">
        <v>3.69</v>
      </c>
      <c r="G103" s="134">
        <v>13.0</v>
      </c>
      <c r="H103" s="134">
        <v>0.0</v>
      </c>
      <c r="I103" s="134">
        <v>12.0</v>
      </c>
      <c r="J103" s="134">
        <v>0.0</v>
      </c>
      <c r="K103" s="134">
        <v>10.0</v>
      </c>
      <c r="L103" s="134">
        <v>0.0</v>
      </c>
      <c r="M103" s="134">
        <v>10.0</v>
      </c>
      <c r="N103" s="134">
        <v>0.0</v>
      </c>
    </row>
    <row r="104">
      <c r="A104" s="131" t="s">
        <v>583</v>
      </c>
      <c r="B104" s="133" t="s">
        <v>589</v>
      </c>
      <c r="C104" s="134">
        <v>78.0</v>
      </c>
      <c r="D104" s="134">
        <v>4.1</v>
      </c>
      <c r="E104" s="134">
        <v>16.0</v>
      </c>
      <c r="F104" s="134">
        <v>1.0</v>
      </c>
      <c r="G104" s="134">
        <v>16.0</v>
      </c>
      <c r="H104" s="134">
        <v>0.0</v>
      </c>
      <c r="I104" s="134">
        <v>16.0</v>
      </c>
      <c r="J104" s="134">
        <v>2.0</v>
      </c>
      <c r="K104" s="134">
        <v>15.0</v>
      </c>
      <c r="L104" s="134">
        <v>0.0</v>
      </c>
      <c r="M104" s="134">
        <v>15.0</v>
      </c>
      <c r="N104" s="134">
        <v>1.07</v>
      </c>
    </row>
    <row r="105">
      <c r="A105" s="131" t="s">
        <v>469</v>
      </c>
      <c r="B105" s="133" t="s">
        <v>614</v>
      </c>
      <c r="C105" s="134">
        <v>78.0</v>
      </c>
      <c r="D105" s="134">
        <v>4.1</v>
      </c>
      <c r="E105" s="134">
        <v>18.0</v>
      </c>
      <c r="F105" s="134">
        <v>0.889</v>
      </c>
      <c r="G105" s="134">
        <v>16.0</v>
      </c>
      <c r="H105" s="134">
        <v>1.0</v>
      </c>
      <c r="I105" s="134">
        <v>15.0</v>
      </c>
      <c r="J105" s="134">
        <v>1.07</v>
      </c>
      <c r="K105" s="134">
        <v>15.0</v>
      </c>
      <c r="L105" s="134">
        <v>-1.07</v>
      </c>
      <c r="M105" s="134">
        <v>14.0</v>
      </c>
      <c r="N105" s="134">
        <v>2.29</v>
      </c>
    </row>
    <row r="106">
      <c r="A106" s="131" t="s">
        <v>603</v>
      </c>
      <c r="B106" s="133" t="s">
        <v>616</v>
      </c>
      <c r="C106" s="134">
        <v>98.0</v>
      </c>
      <c r="D106" s="134">
        <v>4.08</v>
      </c>
      <c r="E106" s="134">
        <v>21.0</v>
      </c>
      <c r="F106" s="134">
        <v>0.762</v>
      </c>
      <c r="G106" s="134">
        <v>21.0</v>
      </c>
      <c r="H106" s="134">
        <v>0.762</v>
      </c>
      <c r="I106" s="134">
        <v>20.0</v>
      </c>
      <c r="J106" s="134">
        <v>2.4</v>
      </c>
      <c r="K106" s="134">
        <v>18.0</v>
      </c>
      <c r="L106" s="134">
        <v>0.0</v>
      </c>
      <c r="M106" s="134">
        <v>18.0</v>
      </c>
      <c r="N106" s="134">
        <v>0.0</v>
      </c>
    </row>
    <row r="107">
      <c r="A107" s="131" t="s">
        <v>617</v>
      </c>
      <c r="B107" s="133" t="s">
        <v>619</v>
      </c>
      <c r="C107" s="134">
        <v>98.0</v>
      </c>
      <c r="D107" s="134">
        <v>4.08</v>
      </c>
      <c r="E107" s="134">
        <v>20.0</v>
      </c>
      <c r="F107" s="134">
        <v>0.8</v>
      </c>
      <c r="G107" s="134">
        <v>20.0</v>
      </c>
      <c r="H107" s="134">
        <v>0.0</v>
      </c>
      <c r="I107" s="134">
        <v>20.0</v>
      </c>
      <c r="J107" s="134">
        <v>0.0</v>
      </c>
      <c r="K107" s="134">
        <v>20.0</v>
      </c>
      <c r="L107" s="134">
        <v>0.0</v>
      </c>
      <c r="M107" s="134">
        <v>18.0</v>
      </c>
      <c r="N107" s="134">
        <v>3.56</v>
      </c>
    </row>
    <row r="108">
      <c r="A108" s="131" t="s">
        <v>621</v>
      </c>
      <c r="B108" s="133" t="s">
        <v>622</v>
      </c>
      <c r="C108" s="134">
        <v>59.0</v>
      </c>
      <c r="D108" s="134">
        <v>4.07</v>
      </c>
      <c r="E108" s="134">
        <v>12.0</v>
      </c>
      <c r="F108" s="134">
        <v>0.0</v>
      </c>
      <c r="G108" s="134">
        <v>11.0</v>
      </c>
      <c r="H108" s="134">
        <v>2.91</v>
      </c>
      <c r="I108" s="134">
        <v>12.0</v>
      </c>
      <c r="J108" s="134">
        <v>0.0</v>
      </c>
      <c r="K108" s="134">
        <v>12.0</v>
      </c>
      <c r="L108" s="134">
        <v>1.33</v>
      </c>
      <c r="M108" s="134">
        <v>12.0</v>
      </c>
      <c r="N108" s="134">
        <v>0.0</v>
      </c>
    </row>
    <row r="109">
      <c r="A109" s="131" t="s">
        <v>624</v>
      </c>
      <c r="B109" s="133" t="s">
        <v>485</v>
      </c>
      <c r="C109" s="134">
        <v>99.0</v>
      </c>
      <c r="D109" s="134">
        <v>4.04</v>
      </c>
      <c r="E109" s="134">
        <v>20.0</v>
      </c>
      <c r="F109" s="134">
        <v>3.2</v>
      </c>
      <c r="G109" s="134">
        <v>20.0</v>
      </c>
      <c r="H109" s="134">
        <v>0.0</v>
      </c>
      <c r="I109" s="134">
        <v>20.0</v>
      </c>
      <c r="J109" s="134">
        <v>-0.8</v>
      </c>
      <c r="K109" s="134">
        <v>20.0</v>
      </c>
      <c r="L109" s="134">
        <v>1.6</v>
      </c>
      <c r="M109" s="134">
        <v>19.0</v>
      </c>
      <c r="N109" s="134">
        <v>0.0</v>
      </c>
    </row>
    <row r="110">
      <c r="A110" s="131" t="s">
        <v>496</v>
      </c>
      <c r="B110" s="133" t="s">
        <v>625</v>
      </c>
      <c r="C110" s="134">
        <v>99.0</v>
      </c>
      <c r="D110" s="134">
        <v>4.04</v>
      </c>
      <c r="E110" s="134">
        <v>20.0</v>
      </c>
      <c r="F110" s="134">
        <v>0.8</v>
      </c>
      <c r="G110" s="134">
        <v>20.0</v>
      </c>
      <c r="H110" s="134">
        <v>1.6</v>
      </c>
      <c r="I110" s="134">
        <v>20.0</v>
      </c>
      <c r="J110" s="134">
        <v>0.8</v>
      </c>
      <c r="K110" s="134">
        <v>20.0</v>
      </c>
      <c r="L110" s="134">
        <v>0.0</v>
      </c>
      <c r="M110" s="134">
        <v>19.0</v>
      </c>
      <c r="N110" s="134">
        <v>0.842</v>
      </c>
    </row>
    <row r="111">
      <c r="A111" s="131" t="s">
        <v>627</v>
      </c>
      <c r="B111" s="133" t="s">
        <v>457</v>
      </c>
      <c r="C111" s="134">
        <v>20.0</v>
      </c>
      <c r="D111" s="134">
        <v>4.0</v>
      </c>
      <c r="E111" s="134">
        <v>4.0</v>
      </c>
      <c r="F111" s="134">
        <v>4.0</v>
      </c>
      <c r="G111" s="134">
        <v>4.0</v>
      </c>
      <c r="H111" s="134">
        <v>0.0</v>
      </c>
      <c r="I111" s="134">
        <v>4.0</v>
      </c>
      <c r="J111" s="134">
        <v>0.0</v>
      </c>
      <c r="K111" s="134">
        <v>4.0</v>
      </c>
      <c r="L111" s="134">
        <v>0.0</v>
      </c>
      <c r="M111" s="134">
        <v>4.0</v>
      </c>
      <c r="N111" s="134">
        <v>0.0</v>
      </c>
    </row>
    <row r="112">
      <c r="A112" s="131" t="s">
        <v>628</v>
      </c>
      <c r="B112" s="133" t="s">
        <v>630</v>
      </c>
      <c r="C112" s="134">
        <v>100.0</v>
      </c>
      <c r="D112" s="134">
        <v>4.0</v>
      </c>
      <c r="E112" s="134">
        <v>20.0</v>
      </c>
      <c r="F112" s="134">
        <v>0.0</v>
      </c>
      <c r="G112" s="134">
        <v>20.0</v>
      </c>
      <c r="H112" s="134">
        <v>4.0</v>
      </c>
      <c r="I112" s="134">
        <v>20.0</v>
      </c>
      <c r="J112" s="134">
        <v>0.0</v>
      </c>
      <c r="K112" s="134">
        <v>20.0</v>
      </c>
      <c r="L112" s="134">
        <v>0.0</v>
      </c>
      <c r="M112" s="134">
        <v>20.0</v>
      </c>
      <c r="N112" s="134">
        <v>0.0</v>
      </c>
    </row>
    <row r="113">
      <c r="A113" s="131" t="s">
        <v>631</v>
      </c>
      <c r="B113" s="133" t="s">
        <v>632</v>
      </c>
      <c r="C113" s="134">
        <v>100.0</v>
      </c>
      <c r="D113" s="134">
        <v>4.0</v>
      </c>
      <c r="E113" s="134">
        <v>20.0</v>
      </c>
      <c r="F113" s="134">
        <v>0.8</v>
      </c>
      <c r="G113" s="134">
        <v>20.0</v>
      </c>
      <c r="H113" s="134">
        <v>0.8</v>
      </c>
      <c r="I113" s="134">
        <v>20.0</v>
      </c>
      <c r="J113" s="134">
        <v>0.8</v>
      </c>
      <c r="K113" s="134">
        <v>20.0</v>
      </c>
      <c r="L113" s="134">
        <v>0.0</v>
      </c>
      <c r="M113" s="134">
        <v>20.0</v>
      </c>
      <c r="N113" s="134">
        <v>1.6</v>
      </c>
    </row>
    <row r="114">
      <c r="A114" s="131" t="s">
        <v>612</v>
      </c>
      <c r="B114" s="133" t="s">
        <v>613</v>
      </c>
      <c r="C114" s="134">
        <v>80.0</v>
      </c>
      <c r="D114" s="134">
        <v>4.0</v>
      </c>
      <c r="E114" s="134">
        <v>17.0</v>
      </c>
      <c r="F114" s="134">
        <v>0.941</v>
      </c>
      <c r="G114" s="134">
        <v>17.0</v>
      </c>
      <c r="H114" s="134">
        <v>0.0</v>
      </c>
      <c r="I114" s="134">
        <v>16.0</v>
      </c>
      <c r="J114" s="134">
        <v>3.0</v>
      </c>
      <c r="K114" s="134">
        <v>15.0</v>
      </c>
      <c r="L114" s="134">
        <v>0.0</v>
      </c>
      <c r="M114" s="134">
        <v>15.0</v>
      </c>
      <c r="N114" s="134">
        <v>0.0</v>
      </c>
    </row>
    <row r="115">
      <c r="A115" s="131" t="s">
        <v>633</v>
      </c>
      <c r="B115" s="133" t="s">
        <v>634</v>
      </c>
      <c r="C115" s="134">
        <v>81.0</v>
      </c>
      <c r="D115" s="134">
        <v>3.95</v>
      </c>
      <c r="E115" s="134">
        <v>17.0</v>
      </c>
      <c r="F115" s="134">
        <v>0.0</v>
      </c>
      <c r="G115" s="134">
        <v>16.0</v>
      </c>
      <c r="H115" s="134">
        <v>1.0</v>
      </c>
      <c r="I115" s="134">
        <v>16.0</v>
      </c>
      <c r="J115" s="134">
        <v>1.0</v>
      </c>
      <c r="K115" s="134">
        <v>16.0</v>
      </c>
      <c r="L115" s="134">
        <v>1.0</v>
      </c>
      <c r="M115" s="134">
        <v>16.0</v>
      </c>
      <c r="N115" s="134">
        <v>1.0</v>
      </c>
    </row>
    <row r="116">
      <c r="A116" s="131" t="s">
        <v>615</v>
      </c>
      <c r="B116" s="133" t="s">
        <v>636</v>
      </c>
      <c r="C116" s="134">
        <v>61.0</v>
      </c>
      <c r="D116" s="134">
        <v>3.93</v>
      </c>
      <c r="E116" s="134">
        <v>13.0</v>
      </c>
      <c r="F116" s="134">
        <v>0.0</v>
      </c>
      <c r="G116" s="134">
        <v>13.0</v>
      </c>
      <c r="H116" s="134">
        <v>0.0</v>
      </c>
      <c r="I116" s="134">
        <v>12.0</v>
      </c>
      <c r="J116" s="134">
        <v>4.0</v>
      </c>
      <c r="K116" s="134">
        <v>12.0</v>
      </c>
      <c r="L116" s="134">
        <v>0.0</v>
      </c>
      <c r="M116" s="134">
        <v>11.0</v>
      </c>
      <c r="N116" s="134">
        <v>0.0</v>
      </c>
    </row>
    <row r="117">
      <c r="A117" s="131" t="s">
        <v>554</v>
      </c>
      <c r="B117" s="133" t="s">
        <v>609</v>
      </c>
      <c r="C117" s="134">
        <v>88.0</v>
      </c>
      <c r="D117" s="134">
        <v>3.64</v>
      </c>
      <c r="E117" s="134">
        <v>17.0</v>
      </c>
      <c r="F117" s="134">
        <v>0.941</v>
      </c>
      <c r="G117" s="134">
        <v>18.0</v>
      </c>
      <c r="H117" s="134">
        <v>1.78</v>
      </c>
      <c r="I117" s="134">
        <v>18.0</v>
      </c>
      <c r="J117" s="134">
        <v>0.0</v>
      </c>
      <c r="K117" s="134">
        <v>18.0</v>
      </c>
      <c r="L117" s="134">
        <v>0.0</v>
      </c>
      <c r="M117" s="134">
        <v>17.0</v>
      </c>
      <c r="N117" s="134">
        <v>0.941</v>
      </c>
    </row>
    <row r="118">
      <c r="A118" s="91" t="s">
        <v>638</v>
      </c>
      <c r="B118" s="133" t="s">
        <v>559</v>
      </c>
      <c r="C118" s="134">
        <v>88.0</v>
      </c>
      <c r="D118" s="134">
        <v>3.64</v>
      </c>
      <c r="E118" s="134">
        <v>17.0</v>
      </c>
      <c r="F118" s="134">
        <v>1.88</v>
      </c>
      <c r="G118" s="134">
        <v>17.0</v>
      </c>
      <c r="H118" s="134">
        <v>0.0</v>
      </c>
      <c r="I118" s="134">
        <v>18.0</v>
      </c>
      <c r="J118" s="134">
        <v>1.78</v>
      </c>
      <c r="K118" s="134">
        <v>18.0</v>
      </c>
      <c r="L118" s="134">
        <v>0.0</v>
      </c>
      <c r="M118" s="134">
        <v>18.0</v>
      </c>
      <c r="N118" s="134">
        <v>0.0</v>
      </c>
    </row>
    <row r="119">
      <c r="A119" s="131" t="s">
        <v>639</v>
      </c>
      <c r="B119" s="133" t="s">
        <v>640</v>
      </c>
      <c r="C119" s="134">
        <v>45.0</v>
      </c>
      <c r="D119" s="134">
        <v>3.56</v>
      </c>
      <c r="E119" s="134">
        <v>10.0</v>
      </c>
      <c r="F119" s="134">
        <v>0.0</v>
      </c>
      <c r="G119" s="134">
        <v>9.0</v>
      </c>
      <c r="H119" s="134">
        <v>5.33</v>
      </c>
      <c r="I119" s="134">
        <v>8.0</v>
      </c>
      <c r="J119" s="134">
        <v>0.0</v>
      </c>
      <c r="K119" s="134">
        <v>9.0</v>
      </c>
      <c r="L119" s="134">
        <v>-1.78</v>
      </c>
      <c r="M119" s="134">
        <v>9.0</v>
      </c>
      <c r="N119" s="134">
        <v>0.0</v>
      </c>
    </row>
    <row r="120">
      <c r="A120" s="131" t="s">
        <v>605</v>
      </c>
      <c r="B120" s="133" t="s">
        <v>642</v>
      </c>
      <c r="C120" s="134">
        <v>96.0</v>
      </c>
      <c r="D120" s="134">
        <v>3.33</v>
      </c>
      <c r="E120" s="134">
        <v>20.0</v>
      </c>
      <c r="F120" s="134">
        <v>0.0</v>
      </c>
      <c r="G120" s="134">
        <v>19.0</v>
      </c>
      <c r="H120" s="134">
        <v>0.0</v>
      </c>
      <c r="I120" s="134">
        <v>19.0</v>
      </c>
      <c r="J120" s="134">
        <v>1.68</v>
      </c>
      <c r="K120" s="134">
        <v>19.0</v>
      </c>
      <c r="L120" s="134">
        <v>1.68</v>
      </c>
      <c r="M120" s="134">
        <v>19.0</v>
      </c>
      <c r="N120" s="134">
        <v>0.0</v>
      </c>
    </row>
    <row r="121">
      <c r="A121" s="131" t="s">
        <v>608</v>
      </c>
      <c r="B121" s="133" t="s">
        <v>513</v>
      </c>
      <c r="C121" s="134">
        <v>97.0</v>
      </c>
      <c r="D121" s="134">
        <v>3.3</v>
      </c>
      <c r="E121" s="134">
        <v>20.0</v>
      </c>
      <c r="F121" s="134">
        <v>2.4</v>
      </c>
      <c r="G121" s="134">
        <v>20.0</v>
      </c>
      <c r="H121" s="134">
        <v>0.0</v>
      </c>
      <c r="I121" s="134">
        <v>20.0</v>
      </c>
      <c r="J121" s="134">
        <v>0.8</v>
      </c>
      <c r="K121" s="134">
        <v>19.0</v>
      </c>
      <c r="L121" s="134">
        <v>0.0</v>
      </c>
      <c r="M121" s="134">
        <v>18.0</v>
      </c>
      <c r="N121" s="134">
        <v>0.0</v>
      </c>
    </row>
    <row r="122">
      <c r="A122" s="131" t="s">
        <v>646</v>
      </c>
      <c r="B122" s="133" t="s">
        <v>596</v>
      </c>
      <c r="C122" s="134">
        <v>76.0</v>
      </c>
      <c r="D122" s="134">
        <v>3.16</v>
      </c>
      <c r="E122" s="134">
        <v>16.0</v>
      </c>
      <c r="F122" s="134">
        <v>1.0</v>
      </c>
      <c r="G122" s="134">
        <v>15.0</v>
      </c>
      <c r="H122" s="134">
        <v>0.0</v>
      </c>
      <c r="I122" s="134">
        <v>15.0</v>
      </c>
      <c r="J122" s="134">
        <v>0.0</v>
      </c>
      <c r="K122" s="134">
        <v>15.0</v>
      </c>
      <c r="L122" s="134">
        <v>2.13</v>
      </c>
      <c r="M122" s="134">
        <v>15.0</v>
      </c>
      <c r="N122" s="134">
        <v>0.0</v>
      </c>
    </row>
    <row r="123">
      <c r="A123" s="131" t="s">
        <v>558</v>
      </c>
      <c r="B123" s="133" t="s">
        <v>604</v>
      </c>
      <c r="C123" s="134">
        <v>76.0</v>
      </c>
      <c r="D123" s="134">
        <v>3.16</v>
      </c>
      <c r="E123" s="134">
        <v>16.0</v>
      </c>
      <c r="F123" s="134">
        <v>1.0</v>
      </c>
      <c r="G123" s="134">
        <v>15.0</v>
      </c>
      <c r="H123" s="134">
        <v>0.0</v>
      </c>
      <c r="I123" s="134">
        <v>15.0</v>
      </c>
      <c r="J123" s="134">
        <v>1.07</v>
      </c>
      <c r="K123" s="134">
        <v>15.0</v>
      </c>
      <c r="L123" s="134">
        <v>0.0</v>
      </c>
      <c r="M123" s="134">
        <v>15.0</v>
      </c>
      <c r="N123" s="134">
        <v>1.07</v>
      </c>
    </row>
    <row r="124">
      <c r="A124" s="131" t="s">
        <v>588</v>
      </c>
      <c r="B124" s="133" t="s">
        <v>650</v>
      </c>
      <c r="C124" s="134">
        <v>78.0</v>
      </c>
      <c r="D124" s="134">
        <v>3.08</v>
      </c>
      <c r="E124" s="134">
        <v>16.0</v>
      </c>
      <c r="F124" s="134">
        <v>0.0</v>
      </c>
      <c r="G124" s="134">
        <v>16.0</v>
      </c>
      <c r="H124" s="134">
        <v>0.0</v>
      </c>
      <c r="I124" s="134">
        <v>16.0</v>
      </c>
      <c r="J124" s="134">
        <v>2.0</v>
      </c>
      <c r="K124" s="134">
        <v>15.0</v>
      </c>
      <c r="L124" s="134">
        <v>1.07</v>
      </c>
      <c r="M124" s="134">
        <v>15.0</v>
      </c>
      <c r="N124" s="134">
        <v>0.0</v>
      </c>
    </row>
    <row r="125">
      <c r="A125" s="131" t="s">
        <v>626</v>
      </c>
      <c r="B125" s="133" t="s">
        <v>584</v>
      </c>
      <c r="C125" s="134">
        <v>59.0</v>
      </c>
      <c r="D125" s="134">
        <v>2.71</v>
      </c>
      <c r="E125" s="134">
        <v>12.0</v>
      </c>
      <c r="F125" s="134">
        <v>1.33</v>
      </c>
      <c r="G125" s="134">
        <v>12.0</v>
      </c>
      <c r="H125" s="134">
        <v>0.0</v>
      </c>
      <c r="I125" s="134">
        <v>12.0</v>
      </c>
      <c r="J125" s="134">
        <v>1.33</v>
      </c>
      <c r="K125" s="134">
        <v>12.0</v>
      </c>
      <c r="L125" s="134">
        <v>0.0</v>
      </c>
      <c r="M125" s="134">
        <v>11.0</v>
      </c>
      <c r="N125" s="134">
        <v>0.0</v>
      </c>
    </row>
    <row r="126">
      <c r="A126" s="131" t="s">
        <v>474</v>
      </c>
      <c r="B126" s="133" t="s">
        <v>623</v>
      </c>
      <c r="C126" s="134">
        <v>91.0</v>
      </c>
      <c r="D126" s="134">
        <v>2.64</v>
      </c>
      <c r="E126" s="134">
        <v>19.0</v>
      </c>
      <c r="F126" s="134">
        <v>0.842</v>
      </c>
      <c r="G126" s="134">
        <v>19.0</v>
      </c>
      <c r="H126" s="134">
        <v>0.0</v>
      </c>
      <c r="I126" s="134">
        <v>18.0</v>
      </c>
      <c r="J126" s="134">
        <v>0.0</v>
      </c>
      <c r="K126" s="134">
        <v>18.0</v>
      </c>
      <c r="L126" s="134">
        <v>0.889</v>
      </c>
      <c r="M126" s="134">
        <v>17.0</v>
      </c>
      <c r="N126" s="134">
        <v>0.941</v>
      </c>
    </row>
    <row r="127">
      <c r="A127" s="131" t="s">
        <v>538</v>
      </c>
      <c r="B127" s="133" t="s">
        <v>475</v>
      </c>
      <c r="C127" s="134">
        <v>63.0</v>
      </c>
      <c r="D127" s="134">
        <v>2.54</v>
      </c>
      <c r="E127" s="134">
        <v>13.0</v>
      </c>
      <c r="F127" s="134">
        <v>3.69</v>
      </c>
      <c r="G127" s="134">
        <v>13.0</v>
      </c>
      <c r="H127" s="134">
        <v>0.0</v>
      </c>
      <c r="I127" s="134">
        <v>13.0</v>
      </c>
      <c r="J127" s="134">
        <v>-1.23</v>
      </c>
      <c r="K127" s="134">
        <v>12.0</v>
      </c>
      <c r="L127" s="134">
        <v>0.0</v>
      </c>
      <c r="M127" s="134">
        <v>12.0</v>
      </c>
      <c r="N127" s="134">
        <v>0.0</v>
      </c>
    </row>
    <row r="128">
      <c r="A128" s="131" t="s">
        <v>654</v>
      </c>
      <c r="B128" s="133" t="s">
        <v>548</v>
      </c>
      <c r="C128" s="134">
        <v>32.0</v>
      </c>
      <c r="D128" s="134">
        <v>2.5</v>
      </c>
      <c r="E128" s="134">
        <v>7.0</v>
      </c>
      <c r="F128" s="134">
        <v>2.29</v>
      </c>
      <c r="G128" s="134">
        <v>7.0</v>
      </c>
      <c r="H128" s="134">
        <v>0.0</v>
      </c>
      <c r="I128" s="134">
        <v>6.0</v>
      </c>
      <c r="J128" s="134">
        <v>0.0</v>
      </c>
      <c r="K128" s="134">
        <v>6.0</v>
      </c>
      <c r="L128" s="134">
        <v>0.0</v>
      </c>
      <c r="M128" s="134">
        <v>6.0</v>
      </c>
      <c r="N128" s="134">
        <v>0.0</v>
      </c>
    </row>
    <row r="129">
      <c r="A129" s="131" t="s">
        <v>655</v>
      </c>
      <c r="B129" s="133" t="s">
        <v>656</v>
      </c>
      <c r="C129" s="134">
        <v>98.0</v>
      </c>
      <c r="D129" s="134">
        <v>2.45</v>
      </c>
      <c r="E129" s="134">
        <v>20.0</v>
      </c>
      <c r="F129" s="134">
        <v>0.0</v>
      </c>
      <c r="G129" s="134">
        <v>20.0</v>
      </c>
      <c r="H129" s="134">
        <v>0.0</v>
      </c>
      <c r="I129" s="134">
        <v>20.0</v>
      </c>
      <c r="J129" s="134">
        <v>0.8</v>
      </c>
      <c r="K129" s="134">
        <v>19.0</v>
      </c>
      <c r="L129" s="134">
        <v>1.68</v>
      </c>
      <c r="M129" s="134">
        <v>19.0</v>
      </c>
      <c r="N129" s="134">
        <v>0.0</v>
      </c>
    </row>
    <row r="130">
      <c r="A130" s="131" t="s">
        <v>643</v>
      </c>
      <c r="B130" s="133" t="s">
        <v>657</v>
      </c>
      <c r="C130" s="134">
        <v>98.0</v>
      </c>
      <c r="D130" s="134">
        <v>2.45</v>
      </c>
      <c r="E130" s="134">
        <v>21.0</v>
      </c>
      <c r="F130" s="134">
        <v>0.0</v>
      </c>
      <c r="G130" s="134">
        <v>21.0</v>
      </c>
      <c r="H130" s="134">
        <v>0.762</v>
      </c>
      <c r="I130" s="134">
        <v>20.0</v>
      </c>
      <c r="J130" s="134">
        <v>0.0</v>
      </c>
      <c r="K130" s="134">
        <v>18.0</v>
      </c>
      <c r="L130" s="134">
        <v>0.0</v>
      </c>
      <c r="M130" s="134">
        <v>18.0</v>
      </c>
      <c r="N130" s="134">
        <v>1.78</v>
      </c>
    </row>
    <row r="131">
      <c r="A131" s="131" t="s">
        <v>658</v>
      </c>
      <c r="B131" s="133" t="s">
        <v>629</v>
      </c>
      <c r="C131" s="134">
        <v>98.0</v>
      </c>
      <c r="D131" s="134">
        <v>2.45</v>
      </c>
      <c r="E131" s="134">
        <v>20.0</v>
      </c>
      <c r="F131" s="134">
        <v>0.8</v>
      </c>
      <c r="G131" s="134">
        <v>20.0</v>
      </c>
      <c r="H131" s="134">
        <v>0.0</v>
      </c>
      <c r="I131" s="134">
        <v>20.0</v>
      </c>
      <c r="J131" s="134">
        <v>-0.8</v>
      </c>
      <c r="K131" s="134">
        <v>19.0</v>
      </c>
      <c r="L131" s="134">
        <v>0.0</v>
      </c>
      <c r="M131" s="134">
        <v>19.0</v>
      </c>
      <c r="N131" s="134">
        <v>2.53</v>
      </c>
    </row>
    <row r="132">
      <c r="A132" s="131" t="s">
        <v>660</v>
      </c>
      <c r="B132" s="133" t="s">
        <v>527</v>
      </c>
      <c r="C132" s="134">
        <v>99.0</v>
      </c>
      <c r="D132" s="134">
        <v>2.42</v>
      </c>
      <c r="E132" s="134">
        <v>20.0</v>
      </c>
      <c r="F132" s="134">
        <v>0.8</v>
      </c>
      <c r="G132" s="134">
        <v>20.0</v>
      </c>
      <c r="H132" s="134">
        <v>0.0</v>
      </c>
      <c r="I132" s="134">
        <v>20.0</v>
      </c>
      <c r="J132" s="134">
        <v>-0.8</v>
      </c>
      <c r="K132" s="134">
        <v>20.0</v>
      </c>
      <c r="L132" s="134">
        <v>0.0</v>
      </c>
      <c r="M132" s="134">
        <v>19.0</v>
      </c>
      <c r="N132" s="134">
        <v>2.53</v>
      </c>
    </row>
    <row r="133">
      <c r="A133" s="131" t="s">
        <v>645</v>
      </c>
      <c r="B133" s="133" t="s">
        <v>662</v>
      </c>
      <c r="C133" s="134">
        <v>99.0</v>
      </c>
      <c r="D133" s="134">
        <v>2.42</v>
      </c>
      <c r="E133" s="134">
        <v>20.0</v>
      </c>
      <c r="F133" s="134">
        <v>0.0</v>
      </c>
      <c r="G133" s="134">
        <v>20.0</v>
      </c>
      <c r="H133" s="134">
        <v>3.2</v>
      </c>
      <c r="I133" s="134">
        <v>20.0</v>
      </c>
      <c r="J133" s="134">
        <v>0.0</v>
      </c>
      <c r="K133" s="134">
        <v>20.0</v>
      </c>
      <c r="L133" s="134">
        <v>0.0</v>
      </c>
      <c r="M133" s="134">
        <v>19.0</v>
      </c>
      <c r="N133" s="134">
        <v>-0.842</v>
      </c>
    </row>
    <row r="134">
      <c r="A134" s="131" t="s">
        <v>547</v>
      </c>
      <c r="B134" s="133" t="s">
        <v>664</v>
      </c>
      <c r="C134" s="134">
        <v>99.0</v>
      </c>
      <c r="D134" s="134">
        <v>2.42</v>
      </c>
      <c r="E134" s="134">
        <v>20.0</v>
      </c>
      <c r="F134" s="134">
        <v>0.0</v>
      </c>
      <c r="G134" s="134">
        <v>20.0</v>
      </c>
      <c r="H134" s="134">
        <v>0.0</v>
      </c>
      <c r="I134" s="134">
        <v>20.0</v>
      </c>
      <c r="J134" s="134">
        <v>2.4</v>
      </c>
      <c r="K134" s="134">
        <v>20.0</v>
      </c>
      <c r="L134" s="134">
        <v>0.0</v>
      </c>
      <c r="M134" s="134">
        <v>19.0</v>
      </c>
      <c r="N134" s="134">
        <v>0.0</v>
      </c>
    </row>
    <row r="135">
      <c r="A135" s="131" t="s">
        <v>666</v>
      </c>
      <c r="B135" s="133" t="s">
        <v>635</v>
      </c>
      <c r="C135" s="134">
        <v>100.0</v>
      </c>
      <c r="D135" s="134">
        <v>2.4</v>
      </c>
      <c r="E135" s="134">
        <v>20.0</v>
      </c>
      <c r="F135" s="134">
        <v>0.8</v>
      </c>
      <c r="G135" s="134">
        <v>20.0</v>
      </c>
      <c r="H135" s="134">
        <v>0.0</v>
      </c>
      <c r="I135" s="134">
        <v>20.0</v>
      </c>
      <c r="J135" s="134">
        <v>0.0</v>
      </c>
      <c r="K135" s="134">
        <v>20.0</v>
      </c>
      <c r="L135" s="134">
        <v>1.6</v>
      </c>
      <c r="M135" s="134">
        <v>20.0</v>
      </c>
      <c r="N135" s="134">
        <v>0.0</v>
      </c>
    </row>
    <row r="136">
      <c r="A136" s="131" t="s">
        <v>667</v>
      </c>
      <c r="B136" s="133" t="s">
        <v>577</v>
      </c>
      <c r="C136" s="134">
        <v>100.0</v>
      </c>
      <c r="D136" s="134">
        <v>2.4</v>
      </c>
      <c r="E136" s="134">
        <v>20.0</v>
      </c>
      <c r="F136" s="134">
        <v>1.6</v>
      </c>
      <c r="G136" s="134">
        <v>20.0</v>
      </c>
      <c r="H136" s="134">
        <v>0.0</v>
      </c>
      <c r="I136" s="134">
        <v>20.0</v>
      </c>
      <c r="J136" s="134">
        <v>0.8</v>
      </c>
      <c r="K136" s="134">
        <v>20.0</v>
      </c>
      <c r="L136" s="134">
        <v>0.0</v>
      </c>
      <c r="M136" s="134">
        <v>20.0</v>
      </c>
      <c r="N136" s="134">
        <v>0.0</v>
      </c>
    </row>
    <row r="137">
      <c r="A137" s="131" t="s">
        <v>542</v>
      </c>
      <c r="B137" s="133" t="s">
        <v>555</v>
      </c>
      <c r="C137" s="134">
        <v>70.0</v>
      </c>
      <c r="D137" s="134">
        <v>2.29</v>
      </c>
      <c r="E137" s="134">
        <v>15.0</v>
      </c>
      <c r="F137" s="134">
        <v>2.13</v>
      </c>
      <c r="G137" s="134">
        <v>14.0</v>
      </c>
      <c r="H137" s="134">
        <v>0.0</v>
      </c>
      <c r="I137" s="134">
        <v>14.0</v>
      </c>
      <c r="J137" s="134">
        <v>0.0</v>
      </c>
      <c r="K137" s="134">
        <v>14.0</v>
      </c>
      <c r="L137" s="134">
        <v>0.0</v>
      </c>
      <c r="M137" s="134">
        <v>13.0</v>
      </c>
      <c r="N137" s="134">
        <v>0.0</v>
      </c>
    </row>
    <row r="138">
      <c r="A138" s="131" t="s">
        <v>668</v>
      </c>
      <c r="B138" s="133" t="s">
        <v>669</v>
      </c>
      <c r="C138" s="134">
        <v>70.0</v>
      </c>
      <c r="D138" s="134">
        <v>2.29</v>
      </c>
      <c r="E138" s="134">
        <v>15.0</v>
      </c>
      <c r="F138" s="134">
        <v>0.0</v>
      </c>
      <c r="G138" s="134">
        <v>15.0</v>
      </c>
      <c r="H138" s="134">
        <v>0.0</v>
      </c>
      <c r="I138" s="134">
        <v>14.0</v>
      </c>
      <c r="J138" s="134">
        <v>0.0</v>
      </c>
      <c r="K138" s="134">
        <v>13.0</v>
      </c>
      <c r="L138" s="134">
        <v>2.46</v>
      </c>
      <c r="M138" s="134">
        <v>13.0</v>
      </c>
      <c r="N138" s="134">
        <v>0.0</v>
      </c>
    </row>
    <row r="139">
      <c r="A139" s="131" t="s">
        <v>670</v>
      </c>
      <c r="B139" s="133" t="s">
        <v>671</v>
      </c>
      <c r="C139" s="134">
        <v>75.0</v>
      </c>
      <c r="D139" s="134">
        <v>2.13</v>
      </c>
      <c r="E139" s="134">
        <v>15.0</v>
      </c>
      <c r="F139" s="134">
        <v>0.0</v>
      </c>
      <c r="G139" s="134">
        <v>16.0</v>
      </c>
      <c r="H139" s="134">
        <v>0.0</v>
      </c>
      <c r="I139" s="134">
        <v>15.0</v>
      </c>
      <c r="J139" s="134">
        <v>1.07</v>
      </c>
      <c r="K139" s="134">
        <v>15.0</v>
      </c>
      <c r="L139" s="134">
        <v>1.07</v>
      </c>
      <c r="M139" s="134">
        <v>14.0</v>
      </c>
      <c r="N139" s="134">
        <v>0.0</v>
      </c>
    </row>
    <row r="140">
      <c r="A140" s="131" t="s">
        <v>672</v>
      </c>
      <c r="B140" s="133" t="s">
        <v>551</v>
      </c>
      <c r="C140" s="134">
        <v>38.0</v>
      </c>
      <c r="D140" s="134">
        <v>2.11</v>
      </c>
      <c r="E140" s="134">
        <v>7.0</v>
      </c>
      <c r="F140" s="134">
        <v>2.29</v>
      </c>
      <c r="G140" s="134">
        <v>7.0</v>
      </c>
      <c r="H140" s="134">
        <v>0.0</v>
      </c>
      <c r="I140" s="134">
        <v>8.0</v>
      </c>
      <c r="J140" s="134">
        <v>0.0</v>
      </c>
      <c r="K140" s="134">
        <v>8.0</v>
      </c>
      <c r="L140" s="134">
        <v>0.0</v>
      </c>
      <c r="M140" s="134">
        <v>8.0</v>
      </c>
      <c r="N140" s="134">
        <v>0.0</v>
      </c>
    </row>
    <row r="141">
      <c r="A141" s="131" t="s">
        <v>620</v>
      </c>
      <c r="B141" s="133" t="s">
        <v>663</v>
      </c>
      <c r="C141" s="134">
        <v>78.0</v>
      </c>
      <c r="D141" s="134">
        <v>2.05</v>
      </c>
      <c r="E141" s="134">
        <v>16.0</v>
      </c>
      <c r="F141" s="134">
        <v>0.0</v>
      </c>
      <c r="G141" s="134">
        <v>16.0</v>
      </c>
      <c r="H141" s="134">
        <v>2.0</v>
      </c>
      <c r="I141" s="134">
        <v>16.0</v>
      </c>
      <c r="J141" s="134">
        <v>0.0</v>
      </c>
      <c r="K141" s="134">
        <v>15.0</v>
      </c>
      <c r="L141" s="134">
        <v>0.0</v>
      </c>
      <c r="M141" s="134">
        <v>15.0</v>
      </c>
      <c r="N141" s="134">
        <v>0.0</v>
      </c>
    </row>
    <row r="142">
      <c r="A142" s="131" t="s">
        <v>675</v>
      </c>
      <c r="B142" s="133" t="s">
        <v>673</v>
      </c>
      <c r="C142" s="134">
        <v>80.0</v>
      </c>
      <c r="D142" s="134">
        <v>2.0</v>
      </c>
      <c r="E142" s="134">
        <v>16.0</v>
      </c>
      <c r="F142" s="134">
        <v>0.0</v>
      </c>
      <c r="G142" s="134">
        <v>16.0</v>
      </c>
      <c r="H142" s="134">
        <v>0.0</v>
      </c>
      <c r="I142" s="134">
        <v>16.0</v>
      </c>
      <c r="J142" s="134">
        <v>0.0</v>
      </c>
      <c r="K142" s="134">
        <v>16.0</v>
      </c>
      <c r="L142" s="134">
        <v>1.0</v>
      </c>
      <c r="M142" s="134">
        <v>16.0</v>
      </c>
      <c r="N142" s="134">
        <v>1.0</v>
      </c>
    </row>
    <row r="143">
      <c r="A143" s="131" t="s">
        <v>677</v>
      </c>
      <c r="B143" s="133" t="s">
        <v>678</v>
      </c>
      <c r="C143" s="134">
        <v>80.0</v>
      </c>
      <c r="D143" s="134">
        <v>2.0</v>
      </c>
      <c r="E143" s="134">
        <v>16.0</v>
      </c>
      <c r="F143" s="134">
        <v>0.0</v>
      </c>
      <c r="G143" s="134">
        <v>16.0</v>
      </c>
      <c r="H143" s="134">
        <v>-1.0</v>
      </c>
      <c r="I143" s="134">
        <v>16.0</v>
      </c>
      <c r="J143" s="134">
        <v>0.0</v>
      </c>
      <c r="K143" s="134">
        <v>16.0</v>
      </c>
      <c r="L143" s="134">
        <v>0.0</v>
      </c>
      <c r="M143" s="134">
        <v>16.0</v>
      </c>
      <c r="N143" s="134">
        <v>3.0</v>
      </c>
    </row>
    <row r="144">
      <c r="A144" s="131" t="s">
        <v>680</v>
      </c>
      <c r="B144" s="133" t="s">
        <v>618</v>
      </c>
      <c r="C144" s="134">
        <v>89.0</v>
      </c>
      <c r="D144" s="134">
        <v>1.8</v>
      </c>
      <c r="E144" s="134">
        <v>18.0</v>
      </c>
      <c r="F144" s="134">
        <v>0.889</v>
      </c>
      <c r="G144" s="134">
        <v>18.0</v>
      </c>
      <c r="H144" s="134">
        <v>0.0</v>
      </c>
      <c r="I144" s="134">
        <v>18.0</v>
      </c>
      <c r="J144" s="134">
        <v>0.0</v>
      </c>
      <c r="K144" s="134">
        <v>17.0</v>
      </c>
      <c r="L144" s="134">
        <v>0.941</v>
      </c>
      <c r="M144" s="134">
        <v>18.0</v>
      </c>
      <c r="N144" s="134">
        <v>0.0</v>
      </c>
    </row>
    <row r="145">
      <c r="A145" s="131" t="s">
        <v>681</v>
      </c>
      <c r="B145" s="133" t="s">
        <v>682</v>
      </c>
      <c r="C145" s="134">
        <v>89.0</v>
      </c>
      <c r="D145" s="134">
        <v>1.8</v>
      </c>
      <c r="E145" s="134">
        <v>18.0</v>
      </c>
      <c r="F145" s="134">
        <v>0.0</v>
      </c>
      <c r="G145" s="134">
        <v>18.0</v>
      </c>
      <c r="H145" s="134">
        <v>0.889</v>
      </c>
      <c r="I145" s="134">
        <v>18.0</v>
      </c>
      <c r="J145" s="134">
        <v>0.0</v>
      </c>
      <c r="K145" s="134">
        <v>18.0</v>
      </c>
      <c r="L145" s="134">
        <v>0.889</v>
      </c>
      <c r="M145" s="134">
        <v>17.0</v>
      </c>
      <c r="N145" s="134">
        <v>0.0</v>
      </c>
    </row>
    <row r="146">
      <c r="A146" s="131" t="s">
        <v>586</v>
      </c>
      <c r="B146" s="133" t="s">
        <v>683</v>
      </c>
      <c r="C146" s="134">
        <v>91.0</v>
      </c>
      <c r="D146" s="134">
        <v>1.76</v>
      </c>
      <c r="E146" s="134">
        <v>19.0</v>
      </c>
      <c r="F146" s="134">
        <v>0.0</v>
      </c>
      <c r="G146" s="134">
        <v>18.0</v>
      </c>
      <c r="H146" s="134">
        <v>0.0</v>
      </c>
      <c r="I146" s="134">
        <v>18.0</v>
      </c>
      <c r="J146" s="134">
        <v>0.0</v>
      </c>
      <c r="K146" s="134">
        <v>18.0</v>
      </c>
      <c r="L146" s="134">
        <v>1.78</v>
      </c>
      <c r="M146" s="134">
        <v>18.0</v>
      </c>
      <c r="N146" s="134">
        <v>0.0</v>
      </c>
    </row>
    <row r="147">
      <c r="A147" s="131" t="s">
        <v>685</v>
      </c>
      <c r="B147" s="133" t="s">
        <v>686</v>
      </c>
      <c r="C147" s="134">
        <v>92.0</v>
      </c>
      <c r="D147" s="134">
        <v>1.74</v>
      </c>
      <c r="E147" s="134">
        <v>20.0</v>
      </c>
      <c r="F147" s="134">
        <v>0.0</v>
      </c>
      <c r="G147" s="134">
        <v>19.0</v>
      </c>
      <c r="H147" s="134">
        <v>0.842</v>
      </c>
      <c r="I147" s="134">
        <v>18.0</v>
      </c>
      <c r="J147" s="134">
        <v>0.0</v>
      </c>
      <c r="K147" s="134">
        <v>18.0</v>
      </c>
      <c r="L147" s="134">
        <v>0.0</v>
      </c>
      <c r="M147" s="134">
        <v>17.0</v>
      </c>
      <c r="N147" s="134">
        <v>0.941</v>
      </c>
    </row>
    <row r="148">
      <c r="A148" s="131" t="s">
        <v>687</v>
      </c>
      <c r="B148" s="133" t="s">
        <v>565</v>
      </c>
      <c r="C148" s="134">
        <v>94.0</v>
      </c>
      <c r="D148" s="134">
        <v>1.7</v>
      </c>
      <c r="E148" s="134">
        <v>20.0</v>
      </c>
      <c r="F148" s="134">
        <v>1.6</v>
      </c>
      <c r="G148" s="134">
        <v>19.0</v>
      </c>
      <c r="H148" s="134">
        <v>0.0</v>
      </c>
      <c r="I148" s="134">
        <v>19.0</v>
      </c>
      <c r="J148" s="134">
        <v>0.0</v>
      </c>
      <c r="K148" s="134">
        <v>18.0</v>
      </c>
      <c r="L148" s="134">
        <v>0.0</v>
      </c>
      <c r="M148" s="134">
        <v>18.0</v>
      </c>
      <c r="N148" s="134">
        <v>0.0</v>
      </c>
    </row>
    <row r="149">
      <c r="A149" s="131" t="s">
        <v>688</v>
      </c>
      <c r="B149" s="133" t="s">
        <v>689</v>
      </c>
      <c r="C149" s="134">
        <v>95.0</v>
      </c>
      <c r="D149" s="134">
        <v>1.68</v>
      </c>
      <c r="E149" s="134">
        <v>20.0</v>
      </c>
      <c r="F149" s="134">
        <v>0.0</v>
      </c>
      <c r="G149" s="134">
        <v>20.0</v>
      </c>
      <c r="H149" s="134">
        <v>0.0</v>
      </c>
      <c r="I149" s="134">
        <v>20.0</v>
      </c>
      <c r="J149" s="134">
        <v>0.0</v>
      </c>
      <c r="K149" s="134">
        <v>18.0</v>
      </c>
      <c r="L149" s="134">
        <v>0.889</v>
      </c>
      <c r="M149" s="134">
        <v>17.0</v>
      </c>
      <c r="N149" s="134">
        <v>0.941</v>
      </c>
    </row>
    <row r="150">
      <c r="A150" s="131" t="s">
        <v>647</v>
      </c>
      <c r="B150" s="133" t="s">
        <v>580</v>
      </c>
      <c r="C150" s="134">
        <v>49.0</v>
      </c>
      <c r="D150" s="134">
        <v>1.63</v>
      </c>
      <c r="E150" s="134">
        <v>11.0</v>
      </c>
      <c r="F150" s="134">
        <v>1.45</v>
      </c>
      <c r="G150" s="134">
        <v>11.0</v>
      </c>
      <c r="H150" s="134">
        <v>0.0</v>
      </c>
      <c r="I150" s="134">
        <v>9.0</v>
      </c>
      <c r="J150" s="134">
        <v>0.0</v>
      </c>
      <c r="K150" s="134">
        <v>9.0</v>
      </c>
      <c r="L150" s="134">
        <v>0.0</v>
      </c>
      <c r="M150" s="134">
        <v>9.0</v>
      </c>
      <c r="N150" s="134">
        <v>0.0</v>
      </c>
    </row>
    <row r="151">
      <c r="A151" s="131" t="s">
        <v>690</v>
      </c>
      <c r="B151" s="133" t="s">
        <v>691</v>
      </c>
      <c r="C151" s="134">
        <v>49.0</v>
      </c>
      <c r="D151" s="134">
        <v>1.63</v>
      </c>
      <c r="E151" s="134">
        <v>10.0</v>
      </c>
      <c r="F151" s="134">
        <v>0.0</v>
      </c>
      <c r="G151" s="134">
        <v>10.0</v>
      </c>
      <c r="H151" s="134">
        <v>0.0</v>
      </c>
      <c r="I151" s="134">
        <v>9.0</v>
      </c>
      <c r="J151" s="134">
        <v>1.78</v>
      </c>
      <c r="K151" s="134">
        <v>10.0</v>
      </c>
      <c r="L151" s="134">
        <v>0.0</v>
      </c>
      <c r="M151" s="134">
        <v>10.0</v>
      </c>
      <c r="N151" s="134">
        <v>0.0</v>
      </c>
    </row>
    <row r="152">
      <c r="A152" s="131" t="s">
        <v>591</v>
      </c>
      <c r="B152" s="133" t="s">
        <v>674</v>
      </c>
      <c r="C152" s="134">
        <v>100.0</v>
      </c>
      <c r="D152" s="134">
        <v>1.6</v>
      </c>
      <c r="E152" s="134">
        <v>20.0</v>
      </c>
      <c r="F152" s="134">
        <v>0.0</v>
      </c>
      <c r="G152" s="134">
        <v>20.0</v>
      </c>
      <c r="H152" s="134">
        <v>0.0</v>
      </c>
      <c r="I152" s="134">
        <v>20.0</v>
      </c>
      <c r="J152" s="134">
        <v>0.8</v>
      </c>
      <c r="K152" s="134">
        <v>20.0</v>
      </c>
      <c r="L152" s="134">
        <v>0.0</v>
      </c>
      <c r="M152" s="134">
        <v>20.0</v>
      </c>
      <c r="N152" s="134">
        <v>0.8</v>
      </c>
    </row>
    <row r="153">
      <c r="A153" s="131" t="s">
        <v>692</v>
      </c>
      <c r="B153" s="133" t="s">
        <v>693</v>
      </c>
      <c r="C153" s="134">
        <v>100.0</v>
      </c>
      <c r="D153" s="134">
        <v>1.6</v>
      </c>
      <c r="E153" s="134">
        <v>20.0</v>
      </c>
      <c r="F153" s="134">
        <v>0.0</v>
      </c>
      <c r="G153" s="134">
        <v>20.0</v>
      </c>
      <c r="H153" s="134">
        <v>0.0</v>
      </c>
      <c r="I153" s="134">
        <v>20.0</v>
      </c>
      <c r="J153" s="134">
        <v>0.0</v>
      </c>
      <c r="K153" s="134">
        <v>20.0</v>
      </c>
      <c r="L153" s="134">
        <v>0.0</v>
      </c>
      <c r="M153" s="134">
        <v>20.0</v>
      </c>
      <c r="N153" s="134">
        <v>1.6</v>
      </c>
    </row>
    <row r="154">
      <c r="A154" s="131" t="s">
        <v>695</v>
      </c>
      <c r="B154" s="133" t="s">
        <v>637</v>
      </c>
      <c r="C154" s="134">
        <v>100.0</v>
      </c>
      <c r="D154" s="134">
        <v>1.6</v>
      </c>
      <c r="E154" s="134">
        <v>20.0</v>
      </c>
      <c r="F154" s="134">
        <v>0.8</v>
      </c>
      <c r="G154" s="134">
        <v>20.0</v>
      </c>
      <c r="H154" s="134">
        <v>0.0</v>
      </c>
      <c r="I154" s="134">
        <v>20.0</v>
      </c>
      <c r="J154" s="134">
        <v>0.0</v>
      </c>
      <c r="K154" s="134">
        <v>20.0</v>
      </c>
      <c r="L154" s="134">
        <v>0.8</v>
      </c>
      <c r="M154" s="134">
        <v>20.0</v>
      </c>
      <c r="N154" s="134">
        <v>0.0</v>
      </c>
    </row>
    <row r="155">
      <c r="A155" s="131" t="s">
        <v>610</v>
      </c>
      <c r="B155" s="133" t="s">
        <v>697</v>
      </c>
      <c r="C155" s="134">
        <v>61.0</v>
      </c>
      <c r="D155" s="134">
        <v>1.31</v>
      </c>
      <c r="E155" s="134">
        <v>12.0</v>
      </c>
      <c r="F155" s="134">
        <v>0.0</v>
      </c>
      <c r="G155" s="134">
        <v>13.0</v>
      </c>
      <c r="H155" s="134">
        <v>1.23</v>
      </c>
      <c r="I155" s="134">
        <v>12.0</v>
      </c>
      <c r="J155" s="134">
        <v>0.0</v>
      </c>
      <c r="K155" s="134">
        <v>12.0</v>
      </c>
      <c r="L155" s="134">
        <v>0.0</v>
      </c>
      <c r="M155" s="134">
        <v>12.0</v>
      </c>
      <c r="N155" s="134">
        <v>0.0</v>
      </c>
    </row>
    <row r="156">
      <c r="A156" s="131" t="s">
        <v>699</v>
      </c>
      <c r="B156" s="133" t="s">
        <v>587</v>
      </c>
      <c r="C156" s="134">
        <v>67.0</v>
      </c>
      <c r="D156" s="134">
        <v>1.19</v>
      </c>
      <c r="E156" s="134">
        <v>13.0</v>
      </c>
      <c r="F156" s="134">
        <v>1.23</v>
      </c>
      <c r="G156" s="134">
        <v>14.0</v>
      </c>
      <c r="H156" s="134">
        <v>0.0</v>
      </c>
      <c r="I156" s="134">
        <v>14.0</v>
      </c>
      <c r="J156" s="134">
        <v>0.0</v>
      </c>
      <c r="K156" s="134">
        <v>13.0</v>
      </c>
      <c r="L156" s="134">
        <v>0.0</v>
      </c>
      <c r="M156" s="134">
        <v>13.0</v>
      </c>
      <c r="N156" s="134">
        <v>0.0</v>
      </c>
    </row>
    <row r="157">
      <c r="A157" s="131" t="s">
        <v>701</v>
      </c>
      <c r="B157" s="133" t="s">
        <v>696</v>
      </c>
      <c r="C157" s="134">
        <v>70.0</v>
      </c>
      <c r="D157" s="134">
        <v>1.14</v>
      </c>
      <c r="E157" s="134">
        <v>14.0</v>
      </c>
      <c r="F157" s="134">
        <v>0.0</v>
      </c>
      <c r="G157" s="134">
        <v>14.0</v>
      </c>
      <c r="H157" s="134">
        <v>0.0</v>
      </c>
      <c r="I157" s="134">
        <v>14.0</v>
      </c>
      <c r="J157" s="134">
        <v>1.14</v>
      </c>
      <c r="K157" s="134">
        <v>14.0</v>
      </c>
      <c r="L157" s="134">
        <v>0.0</v>
      </c>
      <c r="M157" s="134">
        <v>14.0</v>
      </c>
      <c r="N157" s="134">
        <v>0.0</v>
      </c>
    </row>
    <row r="158">
      <c r="A158" s="131" t="s">
        <v>702</v>
      </c>
      <c r="B158" s="133" t="s">
        <v>703</v>
      </c>
      <c r="C158" s="134">
        <v>76.0</v>
      </c>
      <c r="D158" s="134">
        <v>1.05</v>
      </c>
      <c r="E158" s="134">
        <v>16.0</v>
      </c>
      <c r="F158" s="134">
        <v>0.0</v>
      </c>
      <c r="G158" s="134">
        <v>15.0</v>
      </c>
      <c r="H158" s="134">
        <v>1.07</v>
      </c>
      <c r="I158" s="134">
        <v>15.0</v>
      </c>
      <c r="J158" s="134">
        <v>0.0</v>
      </c>
      <c r="K158" s="134">
        <v>15.0</v>
      </c>
      <c r="L158" s="134">
        <v>0.0</v>
      </c>
      <c r="M158" s="134">
        <v>15.0</v>
      </c>
      <c r="N158" s="134">
        <v>0.0</v>
      </c>
    </row>
    <row r="159">
      <c r="A159" s="131" t="s">
        <v>704</v>
      </c>
      <c r="B159" s="133" t="s">
        <v>607</v>
      </c>
      <c r="C159" s="134">
        <v>79.0</v>
      </c>
      <c r="D159" s="134">
        <v>1.01</v>
      </c>
      <c r="E159" s="134">
        <v>16.0</v>
      </c>
      <c r="F159" s="134">
        <v>1.0</v>
      </c>
      <c r="G159" s="134">
        <v>16.0</v>
      </c>
      <c r="H159" s="134">
        <v>0.0</v>
      </c>
      <c r="I159" s="134">
        <v>16.0</v>
      </c>
      <c r="J159" s="134">
        <v>0.0</v>
      </c>
      <c r="K159" s="134">
        <v>16.0</v>
      </c>
      <c r="L159" s="134">
        <v>1.0</v>
      </c>
      <c r="M159" s="134">
        <v>15.0</v>
      </c>
      <c r="N159" s="134">
        <v>-1.07</v>
      </c>
    </row>
    <row r="160">
      <c r="A160" s="131" t="s">
        <v>649</v>
      </c>
      <c r="B160" s="133" t="s">
        <v>705</v>
      </c>
      <c r="C160" s="134">
        <v>79.0</v>
      </c>
      <c r="D160" s="134">
        <v>1.01</v>
      </c>
      <c r="E160" s="134">
        <v>17.0</v>
      </c>
      <c r="F160" s="134">
        <v>-0.941</v>
      </c>
      <c r="G160" s="134">
        <v>16.0</v>
      </c>
      <c r="H160" s="134">
        <v>1.0</v>
      </c>
      <c r="I160" s="134">
        <v>15.0</v>
      </c>
      <c r="J160" s="134">
        <v>0.0</v>
      </c>
      <c r="K160" s="134">
        <v>16.0</v>
      </c>
      <c r="L160" s="134">
        <v>1.0</v>
      </c>
      <c r="M160" s="134">
        <v>15.0</v>
      </c>
      <c r="N160" s="134">
        <v>0.0</v>
      </c>
    </row>
    <row r="161">
      <c r="A161" s="131" t="s">
        <v>707</v>
      </c>
      <c r="B161" s="133" t="s">
        <v>708</v>
      </c>
      <c r="C161" s="134">
        <v>85.0</v>
      </c>
      <c r="D161" s="134">
        <v>0.941</v>
      </c>
      <c r="E161" s="134">
        <v>19.0</v>
      </c>
      <c r="F161" s="134">
        <v>0.0</v>
      </c>
      <c r="G161" s="134">
        <v>18.0</v>
      </c>
      <c r="H161" s="134">
        <v>0.889</v>
      </c>
      <c r="I161" s="134">
        <v>16.0</v>
      </c>
      <c r="J161" s="134">
        <v>0.0</v>
      </c>
      <c r="K161" s="134">
        <v>16.0</v>
      </c>
      <c r="L161" s="134">
        <v>0.0</v>
      </c>
      <c r="M161" s="134">
        <v>16.0</v>
      </c>
      <c r="N161" s="134">
        <v>0.0</v>
      </c>
    </row>
    <row r="162">
      <c r="A162" s="131" t="s">
        <v>651</v>
      </c>
      <c r="B162" s="133" t="s">
        <v>676</v>
      </c>
      <c r="C162" s="134">
        <v>90.0</v>
      </c>
      <c r="D162" s="134">
        <v>0.889</v>
      </c>
      <c r="E162" s="134">
        <v>19.0</v>
      </c>
      <c r="F162" s="134">
        <v>0.0</v>
      </c>
      <c r="G162" s="134">
        <v>19.0</v>
      </c>
      <c r="H162" s="134">
        <v>0.842</v>
      </c>
      <c r="I162" s="134">
        <v>18.0</v>
      </c>
      <c r="J162" s="134">
        <v>0.0</v>
      </c>
      <c r="K162" s="134">
        <v>17.0</v>
      </c>
      <c r="L162" s="134">
        <v>0.0</v>
      </c>
      <c r="M162" s="134">
        <v>17.0</v>
      </c>
      <c r="N162" s="134">
        <v>0.0</v>
      </c>
    </row>
    <row r="163">
      <c r="A163" s="131" t="s">
        <v>709</v>
      </c>
      <c r="B163" s="133" t="s">
        <v>684</v>
      </c>
      <c r="C163" s="134">
        <v>96.0</v>
      </c>
      <c r="D163" s="134">
        <v>0.833</v>
      </c>
      <c r="E163" s="134">
        <v>20.0</v>
      </c>
      <c r="F163" s="134">
        <v>0.0</v>
      </c>
      <c r="G163" s="134">
        <v>19.0</v>
      </c>
      <c r="H163" s="134">
        <v>0.0</v>
      </c>
      <c r="I163" s="134">
        <v>19.0</v>
      </c>
      <c r="J163" s="134">
        <v>-0.842</v>
      </c>
      <c r="K163" s="134">
        <v>19.0</v>
      </c>
      <c r="L163" s="134">
        <v>1.68</v>
      </c>
      <c r="M163" s="134">
        <v>19.0</v>
      </c>
      <c r="N163" s="134">
        <v>0.0</v>
      </c>
    </row>
    <row r="164">
      <c r="A164" s="131" t="s">
        <v>710</v>
      </c>
      <c r="B164" s="133" t="s">
        <v>648</v>
      </c>
      <c r="C164" s="134">
        <v>97.0</v>
      </c>
      <c r="D164" s="134">
        <v>0.825</v>
      </c>
      <c r="E164" s="134">
        <v>20.0</v>
      </c>
      <c r="F164" s="134">
        <v>0.8</v>
      </c>
      <c r="G164" s="134">
        <v>20.0</v>
      </c>
      <c r="H164" s="134">
        <v>0.0</v>
      </c>
      <c r="I164" s="134">
        <v>20.0</v>
      </c>
      <c r="J164" s="134">
        <v>0.0</v>
      </c>
      <c r="K164" s="134">
        <v>19.0</v>
      </c>
      <c r="L164" s="134">
        <v>0.0</v>
      </c>
      <c r="M164" s="134">
        <v>18.0</v>
      </c>
      <c r="N164" s="134">
        <v>0.0</v>
      </c>
    </row>
    <row r="165">
      <c r="A165" s="131" t="s">
        <v>531</v>
      </c>
      <c r="B165" s="133" t="s">
        <v>711</v>
      </c>
      <c r="C165" s="134">
        <v>97.0</v>
      </c>
      <c r="D165" s="134">
        <v>0.825</v>
      </c>
      <c r="E165" s="134">
        <v>20.0</v>
      </c>
      <c r="F165" s="134">
        <v>0.0</v>
      </c>
      <c r="G165" s="134">
        <v>20.0</v>
      </c>
      <c r="H165" s="134">
        <v>0.0</v>
      </c>
      <c r="I165" s="134">
        <v>20.0</v>
      </c>
      <c r="J165" s="134">
        <v>0.0</v>
      </c>
      <c r="K165" s="134">
        <v>19.0</v>
      </c>
      <c r="L165" s="134">
        <v>0.842</v>
      </c>
      <c r="M165" s="134">
        <v>18.0</v>
      </c>
      <c r="N165" s="134">
        <v>0.0</v>
      </c>
    </row>
    <row r="166">
      <c r="A166" s="131" t="s">
        <v>652</v>
      </c>
      <c r="B166" s="133" t="s">
        <v>641</v>
      </c>
      <c r="C166" s="134">
        <v>98.0</v>
      </c>
      <c r="D166" s="134">
        <v>0.816</v>
      </c>
      <c r="E166" s="134">
        <v>20.0</v>
      </c>
      <c r="F166" s="134">
        <v>0.8</v>
      </c>
      <c r="G166" s="134">
        <v>20.0</v>
      </c>
      <c r="H166" s="134">
        <v>0.0</v>
      </c>
      <c r="I166" s="134">
        <v>20.0</v>
      </c>
      <c r="J166" s="134">
        <v>0.0</v>
      </c>
      <c r="K166" s="134">
        <v>19.0</v>
      </c>
      <c r="L166" s="134">
        <v>0.0</v>
      </c>
      <c r="M166" s="134">
        <v>19.0</v>
      </c>
      <c r="N166" s="134">
        <v>0.0</v>
      </c>
    </row>
    <row r="167">
      <c r="A167" s="131" t="s">
        <v>712</v>
      </c>
      <c r="B167" s="133" t="s">
        <v>659</v>
      </c>
      <c r="C167" s="134">
        <v>99.0</v>
      </c>
      <c r="D167" s="134">
        <v>0.808</v>
      </c>
      <c r="E167" s="134">
        <v>20.0</v>
      </c>
      <c r="F167" s="134">
        <v>0.0</v>
      </c>
      <c r="G167" s="134">
        <v>20.0</v>
      </c>
      <c r="H167" s="134">
        <v>0.0</v>
      </c>
      <c r="I167" s="134">
        <v>20.0</v>
      </c>
      <c r="J167" s="134">
        <v>0.0</v>
      </c>
      <c r="K167" s="134">
        <v>20.0</v>
      </c>
      <c r="L167" s="134">
        <v>0.0</v>
      </c>
      <c r="M167" s="134">
        <v>19.0</v>
      </c>
      <c r="N167" s="134">
        <v>0.842</v>
      </c>
    </row>
    <row r="168">
      <c r="A168" s="131" t="s">
        <v>713</v>
      </c>
      <c r="B168" s="133" t="s">
        <v>714</v>
      </c>
      <c r="C168" s="134">
        <v>99.0</v>
      </c>
      <c r="D168" s="134">
        <v>0.808</v>
      </c>
      <c r="E168" s="134">
        <v>20.0</v>
      </c>
      <c r="F168" s="134">
        <v>0.0</v>
      </c>
      <c r="G168" s="134">
        <v>20.0</v>
      </c>
      <c r="H168" s="134">
        <v>0.0</v>
      </c>
      <c r="I168" s="134">
        <v>20.0</v>
      </c>
      <c r="J168" s="134">
        <v>0.0</v>
      </c>
      <c r="K168" s="134">
        <v>20.0</v>
      </c>
      <c r="L168" s="134">
        <v>0.0</v>
      </c>
      <c r="M168" s="134">
        <v>19.0</v>
      </c>
      <c r="N168" s="134">
        <v>0.842</v>
      </c>
    </row>
    <row r="169">
      <c r="A169" s="131" t="s">
        <v>715</v>
      </c>
      <c r="B169" s="133" t="s">
        <v>535</v>
      </c>
      <c r="C169" s="134">
        <v>99.0</v>
      </c>
      <c r="D169" s="134">
        <v>0.808</v>
      </c>
      <c r="E169" s="134">
        <v>20.0</v>
      </c>
      <c r="F169" s="134">
        <v>2.4</v>
      </c>
      <c r="G169" s="134">
        <v>20.0</v>
      </c>
      <c r="H169" s="134">
        <v>0.0</v>
      </c>
      <c r="I169" s="134">
        <v>20.0</v>
      </c>
      <c r="J169" s="134">
        <v>-1.6</v>
      </c>
      <c r="K169" s="134">
        <v>20.0</v>
      </c>
      <c r="L169" s="134">
        <v>0.0</v>
      </c>
      <c r="M169" s="134">
        <v>19.0</v>
      </c>
      <c r="N169" s="134">
        <v>0.0</v>
      </c>
    </row>
    <row r="170">
      <c r="A170" s="131" t="s">
        <v>716</v>
      </c>
      <c r="B170" s="133" t="s">
        <v>644</v>
      </c>
      <c r="C170" s="134">
        <v>99.0</v>
      </c>
      <c r="D170" s="134">
        <v>0.808</v>
      </c>
      <c r="E170" s="134">
        <v>20.0</v>
      </c>
      <c r="F170" s="134">
        <v>0.8</v>
      </c>
      <c r="G170" s="134">
        <v>20.0</v>
      </c>
      <c r="H170" s="134">
        <v>0.0</v>
      </c>
      <c r="I170" s="134">
        <v>20.0</v>
      </c>
      <c r="J170" s="134">
        <v>-0.8</v>
      </c>
      <c r="K170" s="134">
        <v>20.0</v>
      </c>
      <c r="L170" s="134">
        <v>0.0</v>
      </c>
      <c r="M170" s="134">
        <v>19.0</v>
      </c>
      <c r="N170" s="134">
        <v>0.842</v>
      </c>
    </row>
    <row r="171">
      <c r="A171" s="131" t="s">
        <v>717</v>
      </c>
      <c r="B171" s="133" t="s">
        <v>718</v>
      </c>
      <c r="C171" s="134">
        <v>100.0</v>
      </c>
      <c r="D171" s="134">
        <v>0.8</v>
      </c>
      <c r="E171" s="134">
        <v>20.0</v>
      </c>
      <c r="F171" s="134">
        <v>0.0</v>
      </c>
      <c r="G171" s="134">
        <v>20.0</v>
      </c>
      <c r="H171" s="134">
        <v>0.0</v>
      </c>
      <c r="I171" s="134">
        <v>20.0</v>
      </c>
      <c r="J171" s="134">
        <v>0.0</v>
      </c>
      <c r="K171" s="134">
        <v>20.0</v>
      </c>
      <c r="L171" s="134">
        <v>0.8</v>
      </c>
      <c r="M171" s="134">
        <v>20.0</v>
      </c>
      <c r="N171" s="134">
        <v>0.0</v>
      </c>
    </row>
    <row r="172">
      <c r="A172" s="131" t="s">
        <v>720</v>
      </c>
      <c r="B172" s="133" t="s">
        <v>721</v>
      </c>
      <c r="C172" s="134">
        <v>100.0</v>
      </c>
      <c r="D172" s="134">
        <v>0.8</v>
      </c>
      <c r="E172" s="134">
        <v>20.0</v>
      </c>
      <c r="F172" s="134">
        <v>0.0</v>
      </c>
      <c r="G172" s="134">
        <v>20.0</v>
      </c>
      <c r="H172" s="134">
        <v>0.8</v>
      </c>
      <c r="I172" s="134">
        <v>20.0</v>
      </c>
      <c r="J172" s="134">
        <v>0.0</v>
      </c>
      <c r="K172" s="134">
        <v>20.0</v>
      </c>
      <c r="L172" s="134">
        <v>0.0</v>
      </c>
      <c r="M172" s="134">
        <v>20.0</v>
      </c>
      <c r="N172" s="134">
        <v>0.0</v>
      </c>
    </row>
    <row r="173">
      <c r="A173" s="131" t="s">
        <v>722</v>
      </c>
      <c r="B173" s="133" t="s">
        <v>661</v>
      </c>
      <c r="C173" s="134">
        <v>67.0</v>
      </c>
      <c r="D173" s="134">
        <v>0.0</v>
      </c>
      <c r="E173" s="134">
        <v>13.0</v>
      </c>
      <c r="F173" s="134">
        <v>0.0</v>
      </c>
      <c r="G173" s="134">
        <v>14.0</v>
      </c>
      <c r="H173" s="134">
        <v>0.0</v>
      </c>
      <c r="I173" s="134">
        <v>14.0</v>
      </c>
      <c r="J173" s="134">
        <v>0.0</v>
      </c>
      <c r="K173" s="134">
        <v>13.0</v>
      </c>
      <c r="L173" s="134">
        <v>0.0</v>
      </c>
      <c r="M173" s="134">
        <v>13.0</v>
      </c>
      <c r="N173" s="134">
        <v>0.0</v>
      </c>
    </row>
    <row r="174">
      <c r="A174" s="91" t="s">
        <v>724</v>
      </c>
      <c r="B174" s="133" t="s">
        <v>665</v>
      </c>
      <c r="C174" s="134">
        <v>62.0</v>
      </c>
      <c r="D174" s="134">
        <v>0.0</v>
      </c>
      <c r="E174" s="134">
        <v>14.0</v>
      </c>
      <c r="F174" s="134">
        <v>0.0</v>
      </c>
      <c r="G174" s="134">
        <v>12.0</v>
      </c>
      <c r="H174" s="134">
        <v>0.0</v>
      </c>
      <c r="I174" s="134">
        <v>12.0</v>
      </c>
      <c r="J174" s="134">
        <v>0.0</v>
      </c>
      <c r="K174" s="134">
        <v>12.0</v>
      </c>
      <c r="L174" s="134">
        <v>0.0</v>
      </c>
      <c r="M174" s="134">
        <v>12.0</v>
      </c>
      <c r="N174" s="134">
        <v>0.0</v>
      </c>
    </row>
    <row r="175">
      <c r="A175" s="131" t="s">
        <v>726</v>
      </c>
      <c r="B175" s="133" t="s">
        <v>694</v>
      </c>
      <c r="C175" s="134">
        <v>72.0</v>
      </c>
      <c r="D175" s="134">
        <v>0.0</v>
      </c>
      <c r="E175" s="134">
        <v>15.0</v>
      </c>
      <c r="F175" s="134">
        <v>0.0</v>
      </c>
      <c r="G175" s="134">
        <v>14.0</v>
      </c>
      <c r="H175" s="134">
        <v>0.0</v>
      </c>
      <c r="I175" s="134">
        <v>15.0</v>
      </c>
      <c r="J175" s="134">
        <v>0.0</v>
      </c>
      <c r="K175" s="134">
        <v>14.0</v>
      </c>
      <c r="L175" s="134">
        <v>0.0</v>
      </c>
      <c r="M175" s="134">
        <v>14.0</v>
      </c>
      <c r="N175" s="134">
        <v>0.0</v>
      </c>
    </row>
    <row r="176">
      <c r="A176" s="131" t="s">
        <v>727</v>
      </c>
      <c r="B176" s="133" t="s">
        <v>698</v>
      </c>
      <c r="C176" s="134">
        <v>72.0</v>
      </c>
      <c r="D176" s="134">
        <v>0.0</v>
      </c>
      <c r="E176" s="134">
        <v>16.0</v>
      </c>
      <c r="F176" s="134">
        <v>0.0</v>
      </c>
      <c r="G176" s="134">
        <v>15.0</v>
      </c>
      <c r="H176" s="134">
        <v>0.0</v>
      </c>
      <c r="I176" s="134">
        <v>14.0</v>
      </c>
      <c r="J176" s="134">
        <v>0.0</v>
      </c>
      <c r="K176" s="134">
        <v>14.0</v>
      </c>
      <c r="L176" s="134">
        <v>0.0</v>
      </c>
      <c r="M176" s="134">
        <v>13.0</v>
      </c>
      <c r="N176" s="134">
        <v>0.0</v>
      </c>
    </row>
    <row r="177">
      <c r="A177" s="131" t="s">
        <v>728</v>
      </c>
      <c r="B177" s="133" t="s">
        <v>700</v>
      </c>
      <c r="C177" s="134">
        <v>59.0</v>
      </c>
      <c r="D177" s="134">
        <v>0.0</v>
      </c>
      <c r="E177" s="134">
        <v>14.0</v>
      </c>
      <c r="F177" s="134">
        <v>0.0</v>
      </c>
      <c r="G177" s="134">
        <v>12.0</v>
      </c>
      <c r="H177" s="134">
        <v>0.0</v>
      </c>
      <c r="I177" s="134">
        <v>11.0</v>
      </c>
      <c r="J177" s="134">
        <v>0.0</v>
      </c>
      <c r="K177" s="134">
        <v>11.0</v>
      </c>
      <c r="L177" s="134">
        <v>0.0</v>
      </c>
      <c r="M177" s="134">
        <v>11.0</v>
      </c>
      <c r="N177" s="134">
        <v>0.0</v>
      </c>
    </row>
    <row r="178">
      <c r="A178" s="131" t="s">
        <v>729</v>
      </c>
      <c r="B178" s="133" t="s">
        <v>706</v>
      </c>
      <c r="C178" s="134">
        <v>52.0</v>
      </c>
      <c r="D178" s="134">
        <v>0.0</v>
      </c>
      <c r="E178" s="134">
        <v>12.0</v>
      </c>
      <c r="F178" s="134">
        <v>0.0</v>
      </c>
      <c r="G178" s="134">
        <v>11.0</v>
      </c>
      <c r="H178" s="134">
        <v>-1.45</v>
      </c>
      <c r="I178" s="134">
        <v>10.0</v>
      </c>
      <c r="J178" s="134">
        <v>1.6</v>
      </c>
      <c r="K178" s="134">
        <v>9.0</v>
      </c>
      <c r="L178" s="134">
        <v>0.0</v>
      </c>
      <c r="M178" s="134">
        <v>10.0</v>
      </c>
      <c r="N178" s="134">
        <v>0.0</v>
      </c>
    </row>
    <row r="179">
      <c r="A179" s="131" t="s">
        <v>731</v>
      </c>
      <c r="B179" s="133" t="s">
        <v>719</v>
      </c>
      <c r="C179" s="134">
        <v>0.0</v>
      </c>
      <c r="D179" s="134">
        <v>0.0</v>
      </c>
      <c r="E179" s="134">
        <v>0.0</v>
      </c>
      <c r="F179" s="134">
        <v>0.0</v>
      </c>
      <c r="G179" s="134">
        <v>0.0</v>
      </c>
      <c r="H179" s="134">
        <v>0.0</v>
      </c>
      <c r="I179" s="134">
        <v>0.0</v>
      </c>
      <c r="J179" s="134">
        <v>0.0</v>
      </c>
      <c r="K179" s="134">
        <v>0.0</v>
      </c>
      <c r="L179" s="134">
        <v>0.0</v>
      </c>
      <c r="M179" s="134">
        <v>0.0</v>
      </c>
      <c r="N179" s="134">
        <v>0.0</v>
      </c>
    </row>
    <row r="180">
      <c r="A180" s="131" t="s">
        <v>733</v>
      </c>
      <c r="B180" s="133" t="s">
        <v>723</v>
      </c>
      <c r="C180" s="134">
        <v>51.0</v>
      </c>
      <c r="D180" s="134">
        <v>0.0</v>
      </c>
      <c r="E180" s="134">
        <v>11.0</v>
      </c>
      <c r="F180" s="134">
        <v>0.0</v>
      </c>
      <c r="G180" s="134">
        <v>10.0</v>
      </c>
      <c r="H180" s="134">
        <v>0.0</v>
      </c>
      <c r="I180" s="134">
        <v>10.0</v>
      </c>
      <c r="J180" s="134">
        <v>0.0</v>
      </c>
      <c r="K180" s="134">
        <v>10.0</v>
      </c>
      <c r="L180" s="134">
        <v>0.0</v>
      </c>
      <c r="M180" s="134">
        <v>10.0</v>
      </c>
      <c r="N180" s="134">
        <v>0.0</v>
      </c>
    </row>
    <row r="181">
      <c r="A181" s="131" t="s">
        <v>734</v>
      </c>
      <c r="B181" s="133" t="s">
        <v>725</v>
      </c>
      <c r="C181" s="134">
        <v>20.0</v>
      </c>
      <c r="D181" s="134">
        <v>0.0</v>
      </c>
      <c r="E181" s="134">
        <v>4.0</v>
      </c>
      <c r="F181" s="134">
        <v>0.0</v>
      </c>
      <c r="G181" s="134">
        <v>4.0</v>
      </c>
      <c r="H181" s="134">
        <v>0.0</v>
      </c>
      <c r="I181" s="134">
        <v>4.0</v>
      </c>
      <c r="J181" s="134">
        <v>0.0</v>
      </c>
      <c r="K181" s="134">
        <v>4.0</v>
      </c>
      <c r="L181" s="134">
        <v>0.0</v>
      </c>
      <c r="M181" s="134">
        <v>4.0</v>
      </c>
      <c r="N181" s="134">
        <v>0.0</v>
      </c>
    </row>
    <row r="182">
      <c r="A182" s="131" t="s">
        <v>735</v>
      </c>
      <c r="B182" s="133" t="s">
        <v>732</v>
      </c>
      <c r="C182" s="134">
        <v>72.0</v>
      </c>
      <c r="D182" s="134">
        <v>0.0</v>
      </c>
      <c r="E182" s="134">
        <v>15.0</v>
      </c>
      <c r="F182" s="134">
        <v>0.0</v>
      </c>
      <c r="G182" s="134">
        <v>15.0</v>
      </c>
      <c r="H182" s="134">
        <v>0.0</v>
      </c>
      <c r="I182" s="134">
        <v>14.0</v>
      </c>
      <c r="J182" s="134">
        <v>0.0</v>
      </c>
      <c r="K182" s="134">
        <v>14.0</v>
      </c>
      <c r="L182" s="134">
        <v>0.0</v>
      </c>
      <c r="M182" s="134">
        <v>14.0</v>
      </c>
      <c r="N182" s="134">
        <v>0.0</v>
      </c>
    </row>
    <row r="183">
      <c r="A183" s="131" t="s">
        <v>736</v>
      </c>
      <c r="B183" s="133" t="s">
        <v>737</v>
      </c>
      <c r="C183" s="134">
        <v>40.0</v>
      </c>
      <c r="D183" s="134">
        <v>0.0</v>
      </c>
      <c r="E183" s="134">
        <v>9.0</v>
      </c>
      <c r="F183" s="134">
        <v>0.0</v>
      </c>
      <c r="G183" s="134">
        <v>8.0</v>
      </c>
      <c r="H183" s="134">
        <v>0.0</v>
      </c>
      <c r="I183" s="134">
        <v>8.0</v>
      </c>
      <c r="J183" s="134">
        <v>0.0</v>
      </c>
      <c r="K183" s="134">
        <v>8.0</v>
      </c>
      <c r="L183" s="134">
        <v>0.0</v>
      </c>
      <c r="M183" s="134">
        <v>7.0</v>
      </c>
      <c r="N183" s="134">
        <v>0.0</v>
      </c>
    </row>
    <row r="184">
      <c r="A184" s="131" t="s">
        <v>738</v>
      </c>
      <c r="B184" s="133" t="s">
        <v>739</v>
      </c>
      <c r="C184" s="134">
        <v>38.0</v>
      </c>
      <c r="D184" s="134">
        <v>0.0</v>
      </c>
      <c r="E184" s="134">
        <v>8.0</v>
      </c>
      <c r="F184" s="134">
        <v>0.0</v>
      </c>
      <c r="G184" s="134">
        <v>8.0</v>
      </c>
      <c r="H184" s="134">
        <v>0.0</v>
      </c>
      <c r="I184" s="134">
        <v>8.0</v>
      </c>
      <c r="J184" s="134">
        <v>0.0</v>
      </c>
      <c r="K184" s="134">
        <v>8.0</v>
      </c>
      <c r="L184" s="134">
        <v>0.0</v>
      </c>
      <c r="M184" s="134">
        <v>6.0</v>
      </c>
      <c r="N184" s="134">
        <v>0.0</v>
      </c>
    </row>
    <row r="185">
      <c r="A185" s="131" t="s">
        <v>740</v>
      </c>
      <c r="B185" s="133" t="s">
        <v>741</v>
      </c>
      <c r="C185" s="134">
        <v>0.0</v>
      </c>
      <c r="D185" s="134">
        <v>0.0</v>
      </c>
      <c r="E185" s="134">
        <v>0.0</v>
      </c>
      <c r="F185" s="134">
        <v>0.0</v>
      </c>
      <c r="G185" s="134">
        <v>0.0</v>
      </c>
      <c r="H185" s="134">
        <v>0.0</v>
      </c>
      <c r="I185" s="134">
        <v>0.0</v>
      </c>
      <c r="J185" s="134">
        <v>0.0</v>
      </c>
      <c r="K185" s="134">
        <v>0.0</v>
      </c>
      <c r="L185" s="134">
        <v>0.0</v>
      </c>
      <c r="M185" s="134">
        <v>0.0</v>
      </c>
      <c r="N185" s="134">
        <v>0.0</v>
      </c>
    </row>
    <row r="186">
      <c r="A186" s="131" t="s">
        <v>742</v>
      </c>
      <c r="B186" s="133" t="s">
        <v>743</v>
      </c>
      <c r="C186" s="134">
        <v>40.0</v>
      </c>
      <c r="D186" s="134">
        <v>0.0</v>
      </c>
      <c r="E186" s="134">
        <v>8.0</v>
      </c>
      <c r="F186" s="134">
        <v>0.0</v>
      </c>
      <c r="G186" s="134">
        <v>8.0</v>
      </c>
      <c r="H186" s="134">
        <v>0.0</v>
      </c>
      <c r="I186" s="134">
        <v>8.0</v>
      </c>
      <c r="J186" s="134">
        <v>0.0</v>
      </c>
      <c r="K186" s="134">
        <v>8.0</v>
      </c>
      <c r="L186" s="134">
        <v>0.0</v>
      </c>
      <c r="M186" s="134">
        <v>8.0</v>
      </c>
      <c r="N186" s="134">
        <v>0.0</v>
      </c>
    </row>
    <row r="187">
      <c r="A187" s="131" t="s">
        <v>744</v>
      </c>
      <c r="B187" s="133" t="s">
        <v>745</v>
      </c>
      <c r="C187" s="134">
        <v>25.0</v>
      </c>
      <c r="D187" s="134">
        <v>0.0</v>
      </c>
      <c r="E187" s="134">
        <v>5.0</v>
      </c>
      <c r="F187" s="134">
        <v>0.0</v>
      </c>
      <c r="G187" s="134">
        <v>5.0</v>
      </c>
      <c r="H187" s="134">
        <v>0.0</v>
      </c>
      <c r="I187" s="134">
        <v>5.0</v>
      </c>
      <c r="J187" s="134">
        <v>0.0</v>
      </c>
      <c r="K187" s="134">
        <v>5.0</v>
      </c>
      <c r="L187" s="134">
        <v>0.0</v>
      </c>
      <c r="M187" s="134">
        <v>5.0</v>
      </c>
      <c r="N187" s="134">
        <v>0.0</v>
      </c>
    </row>
    <row r="188">
      <c r="A188" s="131" t="s">
        <v>746</v>
      </c>
      <c r="B188" s="133" t="s">
        <v>747</v>
      </c>
      <c r="C188" s="134">
        <v>92.0</v>
      </c>
      <c r="D188" s="134">
        <v>0.0</v>
      </c>
      <c r="E188" s="134">
        <v>19.0</v>
      </c>
      <c r="F188" s="134">
        <v>-0.842</v>
      </c>
      <c r="G188" s="134">
        <v>19.0</v>
      </c>
      <c r="H188" s="134">
        <v>0.0</v>
      </c>
      <c r="I188" s="134">
        <v>19.0</v>
      </c>
      <c r="J188" s="134">
        <v>0.842</v>
      </c>
      <c r="K188" s="134">
        <v>19.0</v>
      </c>
      <c r="L188" s="134">
        <v>0.0</v>
      </c>
      <c r="M188" s="134">
        <v>16.0</v>
      </c>
      <c r="N188" s="134">
        <v>0.0</v>
      </c>
    </row>
    <row r="189">
      <c r="A189" s="131" t="s">
        <v>748</v>
      </c>
      <c r="B189" s="133" t="s">
        <v>749</v>
      </c>
      <c r="C189" s="134">
        <v>67.0</v>
      </c>
      <c r="D189" s="134">
        <v>0.0</v>
      </c>
      <c r="E189" s="134">
        <v>13.0</v>
      </c>
      <c r="F189" s="134">
        <v>0.0</v>
      </c>
      <c r="G189" s="134">
        <v>14.0</v>
      </c>
      <c r="H189" s="134">
        <v>0.0</v>
      </c>
      <c r="I189" s="134">
        <v>14.0</v>
      </c>
      <c r="J189" s="134">
        <v>0.0</v>
      </c>
      <c r="K189" s="134">
        <v>14.0</v>
      </c>
      <c r="L189" s="134">
        <v>0.0</v>
      </c>
      <c r="M189" s="134">
        <v>12.0</v>
      </c>
      <c r="N189" s="134">
        <v>0.0</v>
      </c>
    </row>
    <row r="190">
      <c r="A190" s="131" t="s">
        <v>750</v>
      </c>
      <c r="B190" s="133" t="s">
        <v>679</v>
      </c>
      <c r="C190" s="134">
        <v>98.0</v>
      </c>
      <c r="D190" s="134">
        <v>-0.816</v>
      </c>
      <c r="E190" s="134">
        <v>20.0</v>
      </c>
      <c r="F190" s="134">
        <v>0.0</v>
      </c>
      <c r="G190" s="134">
        <v>20.0</v>
      </c>
      <c r="H190" s="134">
        <v>-0.8</v>
      </c>
      <c r="I190" s="134">
        <v>20.0</v>
      </c>
      <c r="J190" s="134">
        <v>-0.8</v>
      </c>
      <c r="K190" s="134">
        <v>19.0</v>
      </c>
      <c r="L190" s="134">
        <v>0.0</v>
      </c>
      <c r="M190" s="134">
        <v>19.0</v>
      </c>
      <c r="N190" s="134">
        <v>0.842</v>
      </c>
    </row>
    <row r="191">
      <c r="A191" s="131" t="s">
        <v>751</v>
      </c>
      <c r="B191" s="133" t="s">
        <v>730</v>
      </c>
      <c r="C191" s="134">
        <v>89.0</v>
      </c>
      <c r="D191" s="134">
        <v>-0.899</v>
      </c>
      <c r="E191" s="134">
        <v>17.0</v>
      </c>
      <c r="F191" s="134">
        <v>0.0</v>
      </c>
      <c r="G191" s="134">
        <v>18.0</v>
      </c>
      <c r="H191" s="134">
        <v>-0.889</v>
      </c>
      <c r="I191" s="134">
        <v>18.0</v>
      </c>
      <c r="J191" s="134">
        <v>0.0</v>
      </c>
      <c r="K191" s="134">
        <v>18.0</v>
      </c>
      <c r="L191" s="134">
        <v>0.0</v>
      </c>
      <c r="M191" s="134">
        <v>18.0</v>
      </c>
      <c r="N191" s="134">
        <v>0.0</v>
      </c>
    </row>
    <row r="192">
      <c r="A192" s="131" t="s">
        <v>752</v>
      </c>
      <c r="B192" s="133" t="s">
        <v>753</v>
      </c>
      <c r="C192" s="134">
        <v>77.0</v>
      </c>
      <c r="D192" s="134">
        <v>-1.04</v>
      </c>
      <c r="E192" s="134">
        <v>16.0</v>
      </c>
      <c r="F192" s="134">
        <v>-1.0</v>
      </c>
      <c r="G192" s="134">
        <v>16.0</v>
      </c>
      <c r="H192" s="134">
        <v>0.0</v>
      </c>
      <c r="I192" s="134">
        <v>15.0</v>
      </c>
      <c r="J192" s="134">
        <v>0.0</v>
      </c>
      <c r="K192" s="134">
        <v>15.0</v>
      </c>
      <c r="L192" s="134">
        <v>0.0</v>
      </c>
      <c r="M192" s="134">
        <v>15.0</v>
      </c>
      <c r="N192" s="134">
        <v>0.0</v>
      </c>
    </row>
    <row r="193">
      <c r="B193" s="133" t="s">
        <v>754</v>
      </c>
      <c r="C193" s="134">
        <v>58.0</v>
      </c>
      <c r="D193" s="134">
        <v>-1.38</v>
      </c>
      <c r="E193" s="134">
        <v>12.0</v>
      </c>
      <c r="F193" s="134">
        <v>-1.33</v>
      </c>
      <c r="G193" s="134">
        <v>12.0</v>
      </c>
      <c r="H193" s="134">
        <v>1.33</v>
      </c>
      <c r="I193" s="134">
        <v>12.0</v>
      </c>
      <c r="J193" s="134">
        <v>-1.33</v>
      </c>
      <c r="K193" s="134">
        <v>11.0</v>
      </c>
      <c r="L193" s="134">
        <v>0.0</v>
      </c>
      <c r="M193" s="134">
        <v>11.0</v>
      </c>
      <c r="N193" s="134">
        <v>0.0</v>
      </c>
    </row>
    <row r="194">
      <c r="B194" s="133" t="s">
        <v>755</v>
      </c>
      <c r="C194" s="134">
        <v>92.0</v>
      </c>
      <c r="D194" s="134">
        <v>-1.74</v>
      </c>
      <c r="E194" s="134">
        <v>19.0</v>
      </c>
      <c r="F194" s="134">
        <v>0.0</v>
      </c>
      <c r="G194" s="134">
        <v>19.0</v>
      </c>
      <c r="H194" s="134">
        <v>0.0</v>
      </c>
      <c r="I194" s="134">
        <v>19.0</v>
      </c>
      <c r="J194" s="134">
        <v>-1.68</v>
      </c>
      <c r="K194" s="134">
        <v>19.0</v>
      </c>
      <c r="L194" s="134">
        <v>0.0</v>
      </c>
      <c r="M194" s="134">
        <v>16.0</v>
      </c>
      <c r="N194" s="134">
        <v>0.0</v>
      </c>
    </row>
    <row r="195">
      <c r="B195" s="133" t="s">
        <v>756</v>
      </c>
      <c r="C195" s="134">
        <v>27.0</v>
      </c>
      <c r="D195" s="134">
        <v>-2.96</v>
      </c>
      <c r="E195" s="134">
        <v>7.0</v>
      </c>
      <c r="F195" s="134">
        <v>0.0</v>
      </c>
      <c r="G195" s="134">
        <v>5.0</v>
      </c>
      <c r="H195" s="134">
        <v>0.0</v>
      </c>
      <c r="I195" s="134">
        <v>5.0</v>
      </c>
      <c r="J195" s="134">
        <v>-3.2</v>
      </c>
      <c r="K195" s="134">
        <v>5.0</v>
      </c>
      <c r="L195" s="134">
        <v>0.0</v>
      </c>
      <c r="M195" s="134">
        <v>5.0</v>
      </c>
      <c r="N195" s="134">
        <v>0.0</v>
      </c>
    </row>
    <row r="196">
      <c r="B196" s="133" t="s">
        <v>653</v>
      </c>
      <c r="C196" s="134">
        <v>40.0</v>
      </c>
      <c r="D196" s="134">
        <v>-4.0</v>
      </c>
      <c r="E196" s="134">
        <v>8.0</v>
      </c>
      <c r="F196" s="134">
        <v>0.0</v>
      </c>
      <c r="G196" s="134">
        <v>8.0</v>
      </c>
      <c r="H196" s="134">
        <v>0.0</v>
      </c>
      <c r="I196" s="134">
        <v>8.0</v>
      </c>
      <c r="J196" s="134">
        <v>0.0</v>
      </c>
      <c r="K196" s="134">
        <v>8.0</v>
      </c>
      <c r="L196" s="134">
        <v>-2.0</v>
      </c>
      <c r="M196" s="134">
        <v>8.0</v>
      </c>
      <c r="N196" s="134">
        <v>-2.0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14" width="16.5"/>
  </cols>
  <sheetData>
    <row r="1">
      <c r="A1" s="131"/>
      <c r="B1" s="132" t="s">
        <v>339</v>
      </c>
      <c r="C1" s="132" t="s">
        <v>360</v>
      </c>
      <c r="D1" s="132" t="s">
        <v>361</v>
      </c>
      <c r="E1" s="132" t="s">
        <v>362</v>
      </c>
      <c r="F1" s="132" t="s">
        <v>363</v>
      </c>
      <c r="G1" s="132" t="s">
        <v>364</v>
      </c>
      <c r="H1" s="132" t="s">
        <v>365</v>
      </c>
      <c r="I1" s="132" t="s">
        <v>366</v>
      </c>
      <c r="J1" s="132" t="s">
        <v>367</v>
      </c>
      <c r="K1" s="132" t="s">
        <v>368</v>
      </c>
      <c r="L1" s="132" t="s">
        <v>369</v>
      </c>
      <c r="M1" s="132" t="s">
        <v>370</v>
      </c>
      <c r="N1" s="132" t="s">
        <v>371</v>
      </c>
    </row>
    <row r="2">
      <c r="A2" s="131" t="s">
        <v>411</v>
      </c>
      <c r="B2" s="133" t="s">
        <v>413</v>
      </c>
      <c r="C2" s="134">
        <v>77.0</v>
      </c>
      <c r="D2" s="134">
        <v>10.4</v>
      </c>
      <c r="E2" s="134">
        <v>16.0</v>
      </c>
      <c r="F2" s="134">
        <v>10.0</v>
      </c>
      <c r="G2" s="134">
        <v>16.0</v>
      </c>
      <c r="H2" s="134">
        <v>0.0</v>
      </c>
      <c r="I2" s="134">
        <v>15.0</v>
      </c>
      <c r="J2" s="134">
        <v>-1.07</v>
      </c>
      <c r="K2" s="134">
        <v>15.0</v>
      </c>
      <c r="L2" s="134">
        <v>1.07</v>
      </c>
      <c r="M2" s="134">
        <v>15.0</v>
      </c>
      <c r="N2" s="134">
        <v>0.0</v>
      </c>
    </row>
    <row r="3">
      <c r="A3" s="131" t="s">
        <v>372</v>
      </c>
      <c r="B3" s="133" t="s">
        <v>373</v>
      </c>
      <c r="C3" s="134">
        <v>96.0</v>
      </c>
      <c r="D3" s="134">
        <v>33.3</v>
      </c>
      <c r="E3" s="134">
        <v>20.0</v>
      </c>
      <c r="F3" s="134">
        <v>9.6</v>
      </c>
      <c r="G3" s="134">
        <v>20.0</v>
      </c>
      <c r="H3" s="134">
        <v>2.4</v>
      </c>
      <c r="I3" s="134">
        <v>19.0</v>
      </c>
      <c r="J3" s="134">
        <v>9.26</v>
      </c>
      <c r="K3" s="134">
        <v>19.0</v>
      </c>
      <c r="L3" s="134">
        <v>5.05</v>
      </c>
      <c r="M3" s="134">
        <v>18.0</v>
      </c>
      <c r="N3" s="134">
        <v>7.11</v>
      </c>
    </row>
    <row r="4">
      <c r="A4" s="131" t="s">
        <v>418</v>
      </c>
      <c r="B4" s="133" t="s">
        <v>419</v>
      </c>
      <c r="C4" s="134">
        <v>100.0</v>
      </c>
      <c r="D4" s="134">
        <v>10.4</v>
      </c>
      <c r="E4" s="134">
        <v>20.0</v>
      </c>
      <c r="F4" s="134">
        <v>8.8</v>
      </c>
      <c r="G4" s="134">
        <v>20.0</v>
      </c>
      <c r="H4" s="134">
        <v>0.0</v>
      </c>
      <c r="I4" s="134">
        <v>20.0</v>
      </c>
      <c r="J4" s="134">
        <v>1.6</v>
      </c>
      <c r="K4" s="134">
        <v>20.0</v>
      </c>
      <c r="L4" s="134">
        <v>0.0</v>
      </c>
      <c r="M4" s="134">
        <v>20.0</v>
      </c>
      <c r="N4" s="134">
        <v>0.0</v>
      </c>
    </row>
    <row r="5">
      <c r="A5" s="131" t="s">
        <v>380</v>
      </c>
      <c r="B5" s="133" t="s">
        <v>381</v>
      </c>
      <c r="C5" s="134">
        <v>98.0</v>
      </c>
      <c r="D5" s="134">
        <v>23.7</v>
      </c>
      <c r="E5" s="134">
        <v>20.0</v>
      </c>
      <c r="F5" s="134">
        <v>8.0</v>
      </c>
      <c r="G5" s="134">
        <v>20.0</v>
      </c>
      <c r="H5" s="134">
        <v>0.0</v>
      </c>
      <c r="I5" s="134">
        <v>20.0</v>
      </c>
      <c r="J5" s="134">
        <v>4.8</v>
      </c>
      <c r="K5" s="134">
        <v>19.0</v>
      </c>
      <c r="L5" s="134">
        <v>7.58</v>
      </c>
      <c r="M5" s="134">
        <v>19.0</v>
      </c>
      <c r="N5" s="134">
        <v>3.37</v>
      </c>
    </row>
    <row r="6">
      <c r="A6" s="131" t="s">
        <v>406</v>
      </c>
      <c r="B6" s="133" t="s">
        <v>409</v>
      </c>
      <c r="C6" s="134">
        <v>100.0</v>
      </c>
      <c r="D6" s="134">
        <v>16.0</v>
      </c>
      <c r="E6" s="134">
        <v>20.0</v>
      </c>
      <c r="F6" s="134">
        <v>8.0</v>
      </c>
      <c r="G6" s="134">
        <v>20.0</v>
      </c>
      <c r="H6" s="134">
        <v>0.0</v>
      </c>
      <c r="I6" s="134">
        <v>20.0</v>
      </c>
      <c r="J6" s="134">
        <v>4.0</v>
      </c>
      <c r="K6" s="134">
        <v>20.0</v>
      </c>
      <c r="L6" s="134">
        <v>1.6</v>
      </c>
      <c r="M6" s="134">
        <v>20.0</v>
      </c>
      <c r="N6" s="134">
        <v>2.4</v>
      </c>
    </row>
    <row r="7">
      <c r="A7" s="131" t="s">
        <v>374</v>
      </c>
      <c r="B7" s="133" t="s">
        <v>426</v>
      </c>
      <c r="C7" s="134">
        <v>98.0</v>
      </c>
      <c r="D7" s="134">
        <v>13.1</v>
      </c>
      <c r="E7" s="134">
        <v>20.0</v>
      </c>
      <c r="F7" s="134">
        <v>7.2</v>
      </c>
      <c r="G7" s="134">
        <v>20.0</v>
      </c>
      <c r="H7" s="134">
        <v>0.0</v>
      </c>
      <c r="I7" s="134">
        <v>20.0</v>
      </c>
      <c r="J7" s="134">
        <v>2.4</v>
      </c>
      <c r="K7" s="134">
        <v>19.0</v>
      </c>
      <c r="L7" s="134">
        <v>1.68</v>
      </c>
      <c r="M7" s="134">
        <v>19.0</v>
      </c>
      <c r="N7" s="134">
        <v>1.68</v>
      </c>
    </row>
    <row r="8">
      <c r="A8" s="131" t="s">
        <v>429</v>
      </c>
      <c r="B8" s="133" t="s">
        <v>375</v>
      </c>
      <c r="C8" s="134">
        <v>93.0</v>
      </c>
      <c r="D8" s="134">
        <v>26.7</v>
      </c>
      <c r="E8" s="134">
        <v>20.0</v>
      </c>
      <c r="F8" s="134">
        <v>7.2</v>
      </c>
      <c r="G8" s="134">
        <v>19.0</v>
      </c>
      <c r="H8" s="134">
        <v>5.89</v>
      </c>
      <c r="I8" s="134">
        <v>18.0</v>
      </c>
      <c r="J8" s="134">
        <v>2.67</v>
      </c>
      <c r="K8" s="134">
        <v>18.0</v>
      </c>
      <c r="L8" s="134">
        <v>8.89</v>
      </c>
      <c r="M8" s="134">
        <v>18.0</v>
      </c>
      <c r="N8" s="134">
        <v>1.78</v>
      </c>
    </row>
    <row r="9">
      <c r="A9" s="131" t="s">
        <v>432</v>
      </c>
      <c r="B9" s="133" t="s">
        <v>433</v>
      </c>
      <c r="C9" s="134">
        <v>87.0</v>
      </c>
      <c r="D9" s="134">
        <v>9.2</v>
      </c>
      <c r="E9" s="134">
        <v>17.0</v>
      </c>
      <c r="F9" s="134">
        <v>6.59</v>
      </c>
      <c r="G9" s="134">
        <v>18.0</v>
      </c>
      <c r="H9" s="134">
        <v>0.0</v>
      </c>
      <c r="I9" s="134">
        <v>18.0</v>
      </c>
      <c r="J9" s="134">
        <v>2.67</v>
      </c>
      <c r="K9" s="134">
        <v>17.0</v>
      </c>
      <c r="L9" s="134">
        <v>0.0</v>
      </c>
      <c r="M9" s="134">
        <v>17.0</v>
      </c>
      <c r="N9" s="134">
        <v>0.0</v>
      </c>
    </row>
    <row r="10">
      <c r="A10" s="131" t="s">
        <v>388</v>
      </c>
      <c r="B10" s="133" t="s">
        <v>431</v>
      </c>
      <c r="C10" s="134">
        <v>99.0</v>
      </c>
      <c r="D10" s="134">
        <v>13.7</v>
      </c>
      <c r="E10" s="134">
        <v>20.0</v>
      </c>
      <c r="F10" s="134">
        <v>6.4</v>
      </c>
      <c r="G10" s="134">
        <v>20.0</v>
      </c>
      <c r="H10" s="134">
        <v>2.4</v>
      </c>
      <c r="I10" s="134">
        <v>20.0</v>
      </c>
      <c r="J10" s="134">
        <v>3.2</v>
      </c>
      <c r="K10" s="134">
        <v>20.0</v>
      </c>
      <c r="L10" s="134">
        <v>0.0</v>
      </c>
      <c r="M10" s="134">
        <v>19.0</v>
      </c>
      <c r="N10" s="134">
        <v>1.68</v>
      </c>
    </row>
    <row r="11">
      <c r="A11" s="131" t="s">
        <v>436</v>
      </c>
      <c r="B11" s="133" t="s">
        <v>435</v>
      </c>
      <c r="C11" s="134">
        <v>100.0</v>
      </c>
      <c r="D11" s="134">
        <v>13.6</v>
      </c>
      <c r="E11" s="134">
        <v>20.0</v>
      </c>
      <c r="F11" s="134">
        <v>6.4</v>
      </c>
      <c r="G11" s="134">
        <v>20.0</v>
      </c>
      <c r="H11" s="134">
        <v>1.6</v>
      </c>
      <c r="I11" s="134">
        <v>20.0</v>
      </c>
      <c r="J11" s="134">
        <v>0.8</v>
      </c>
      <c r="K11" s="134">
        <v>20.0</v>
      </c>
      <c r="L11" s="134">
        <v>0.8</v>
      </c>
      <c r="M11" s="134">
        <v>20.0</v>
      </c>
      <c r="N11" s="134">
        <v>4.0</v>
      </c>
    </row>
    <row r="12">
      <c r="A12" s="131" t="s">
        <v>439</v>
      </c>
      <c r="B12" s="133" t="s">
        <v>393</v>
      </c>
      <c r="C12" s="134">
        <v>91.0</v>
      </c>
      <c r="D12" s="134">
        <v>21.1</v>
      </c>
      <c r="E12" s="134">
        <v>19.0</v>
      </c>
      <c r="F12" s="134">
        <v>5.89</v>
      </c>
      <c r="G12" s="134">
        <v>19.0</v>
      </c>
      <c r="H12" s="134">
        <v>2.53</v>
      </c>
      <c r="I12" s="134">
        <v>18.0</v>
      </c>
      <c r="J12" s="134">
        <v>8.0</v>
      </c>
      <c r="K12" s="134">
        <v>18.0</v>
      </c>
      <c r="L12" s="134">
        <v>0.0</v>
      </c>
      <c r="M12" s="134">
        <v>17.0</v>
      </c>
      <c r="N12" s="134">
        <v>4.71</v>
      </c>
    </row>
    <row r="13">
      <c r="A13" s="91" t="s">
        <v>442</v>
      </c>
      <c r="B13" s="133" t="s">
        <v>443</v>
      </c>
      <c r="C13" s="134">
        <v>99.0</v>
      </c>
      <c r="D13" s="134">
        <v>6.46</v>
      </c>
      <c r="E13" s="134">
        <v>20.0</v>
      </c>
      <c r="F13" s="134">
        <v>5.6</v>
      </c>
      <c r="G13" s="134">
        <v>20.0</v>
      </c>
      <c r="H13" s="134">
        <v>0.0</v>
      </c>
      <c r="I13" s="134">
        <v>20.0</v>
      </c>
      <c r="J13" s="134">
        <v>1.6</v>
      </c>
      <c r="K13" s="134">
        <v>20.0</v>
      </c>
      <c r="L13" s="134">
        <v>-0.8</v>
      </c>
      <c r="M13" s="134">
        <v>19.0</v>
      </c>
      <c r="N13" s="134">
        <v>0.0</v>
      </c>
    </row>
    <row r="14">
      <c r="A14" s="131" t="s">
        <v>444</v>
      </c>
      <c r="B14" s="133" t="s">
        <v>445</v>
      </c>
      <c r="C14" s="134">
        <v>56.0</v>
      </c>
      <c r="D14" s="134">
        <v>10.0</v>
      </c>
      <c r="E14" s="134">
        <v>12.0</v>
      </c>
      <c r="F14" s="134">
        <v>5.33</v>
      </c>
      <c r="G14" s="134">
        <v>12.0</v>
      </c>
      <c r="H14" s="134">
        <v>0.0</v>
      </c>
      <c r="I14" s="134">
        <v>12.0</v>
      </c>
      <c r="J14" s="134">
        <v>2.67</v>
      </c>
      <c r="K14" s="134">
        <v>10.0</v>
      </c>
      <c r="L14" s="134">
        <v>0.0</v>
      </c>
      <c r="M14" s="134">
        <v>10.0</v>
      </c>
      <c r="N14" s="134">
        <v>1.6</v>
      </c>
    </row>
    <row r="15">
      <c r="A15" s="131" t="s">
        <v>448</v>
      </c>
      <c r="B15" s="133" t="s">
        <v>449</v>
      </c>
      <c r="C15" s="134">
        <v>99.0</v>
      </c>
      <c r="D15" s="134">
        <v>6.46</v>
      </c>
      <c r="E15" s="134">
        <v>20.0</v>
      </c>
      <c r="F15" s="134">
        <v>4.8</v>
      </c>
      <c r="G15" s="134">
        <v>20.0</v>
      </c>
      <c r="H15" s="134">
        <v>0.0</v>
      </c>
      <c r="I15" s="134">
        <v>20.0</v>
      </c>
      <c r="J15" s="134">
        <v>1.6</v>
      </c>
      <c r="K15" s="134">
        <v>20.0</v>
      </c>
      <c r="L15" s="134">
        <v>0.0</v>
      </c>
      <c r="M15" s="134">
        <v>19.0</v>
      </c>
      <c r="N15" s="134">
        <v>0.0</v>
      </c>
    </row>
    <row r="16">
      <c r="A16" s="131" t="s">
        <v>414</v>
      </c>
      <c r="B16" s="133" t="s">
        <v>447</v>
      </c>
      <c r="C16" s="134">
        <v>98.0</v>
      </c>
      <c r="D16" s="134">
        <v>13.1</v>
      </c>
      <c r="E16" s="134">
        <v>20.0</v>
      </c>
      <c r="F16" s="134">
        <v>4.0</v>
      </c>
      <c r="G16" s="134">
        <v>20.0</v>
      </c>
      <c r="H16" s="134">
        <v>0.0</v>
      </c>
      <c r="I16" s="134">
        <v>20.0</v>
      </c>
      <c r="J16" s="134">
        <v>3.2</v>
      </c>
      <c r="K16" s="134">
        <v>19.0</v>
      </c>
      <c r="L16" s="134">
        <v>2.53</v>
      </c>
      <c r="M16" s="134">
        <v>19.0</v>
      </c>
      <c r="N16" s="134">
        <v>3.37</v>
      </c>
    </row>
    <row r="17">
      <c r="A17" s="131" t="s">
        <v>446</v>
      </c>
      <c r="B17" s="133" t="s">
        <v>385</v>
      </c>
      <c r="C17" s="134">
        <v>94.0</v>
      </c>
      <c r="D17" s="134">
        <v>23.0</v>
      </c>
      <c r="E17" s="134">
        <v>20.0</v>
      </c>
      <c r="F17" s="134">
        <v>4.0</v>
      </c>
      <c r="G17" s="134">
        <v>19.0</v>
      </c>
      <c r="H17" s="134">
        <v>0.0</v>
      </c>
      <c r="I17" s="134">
        <v>19.0</v>
      </c>
      <c r="J17" s="134">
        <v>6.74</v>
      </c>
      <c r="K17" s="134">
        <v>18.0</v>
      </c>
      <c r="L17" s="134">
        <v>4.44</v>
      </c>
      <c r="M17" s="134">
        <v>18.0</v>
      </c>
      <c r="N17" s="134">
        <v>8.0</v>
      </c>
    </row>
    <row r="18">
      <c r="A18" s="131" t="s">
        <v>456</v>
      </c>
      <c r="B18" s="133" t="s">
        <v>457</v>
      </c>
      <c r="C18" s="134">
        <v>20.0</v>
      </c>
      <c r="D18" s="134">
        <v>4.0</v>
      </c>
      <c r="E18" s="134">
        <v>4.0</v>
      </c>
      <c r="F18" s="134">
        <v>4.0</v>
      </c>
      <c r="G18" s="134">
        <v>4.0</v>
      </c>
      <c r="H18" s="134">
        <v>0.0</v>
      </c>
      <c r="I18" s="134">
        <v>4.0</v>
      </c>
      <c r="J18" s="134">
        <v>0.0</v>
      </c>
      <c r="K18" s="134">
        <v>4.0</v>
      </c>
      <c r="L18" s="134">
        <v>0.0</v>
      </c>
      <c r="M18" s="134">
        <v>4.0</v>
      </c>
      <c r="N18" s="134">
        <v>0.0</v>
      </c>
    </row>
    <row r="19">
      <c r="A19" s="131" t="s">
        <v>459</v>
      </c>
      <c r="B19" s="133" t="s">
        <v>461</v>
      </c>
      <c r="C19" s="134">
        <v>71.0</v>
      </c>
      <c r="D19" s="134">
        <v>10.1</v>
      </c>
      <c r="E19" s="134">
        <v>16.0</v>
      </c>
      <c r="F19" s="134">
        <v>4.0</v>
      </c>
      <c r="G19" s="134">
        <v>14.0</v>
      </c>
      <c r="H19" s="134">
        <v>3.43</v>
      </c>
      <c r="I19" s="134">
        <v>14.0</v>
      </c>
      <c r="J19" s="134">
        <v>1.14</v>
      </c>
      <c r="K19" s="134">
        <v>14.0</v>
      </c>
      <c r="L19" s="134">
        <v>0.0</v>
      </c>
      <c r="M19" s="134">
        <v>13.0</v>
      </c>
      <c r="N19" s="134">
        <v>1.23</v>
      </c>
    </row>
    <row r="20">
      <c r="A20" s="131" t="s">
        <v>462</v>
      </c>
      <c r="B20" s="133" t="s">
        <v>463</v>
      </c>
      <c r="C20" s="134">
        <v>37.0</v>
      </c>
      <c r="D20" s="134">
        <v>8.65</v>
      </c>
      <c r="E20" s="134">
        <v>8.0</v>
      </c>
      <c r="F20" s="134">
        <v>4.0</v>
      </c>
      <c r="G20" s="134">
        <v>8.0</v>
      </c>
      <c r="H20" s="134">
        <v>2.0</v>
      </c>
      <c r="I20" s="134">
        <v>7.0</v>
      </c>
      <c r="J20" s="134">
        <v>2.29</v>
      </c>
      <c r="K20" s="134">
        <v>7.0</v>
      </c>
      <c r="L20" s="134">
        <v>0.0</v>
      </c>
      <c r="M20" s="134">
        <v>7.0</v>
      </c>
      <c r="N20" s="134">
        <v>0.0</v>
      </c>
    </row>
    <row r="21">
      <c r="A21" s="131" t="s">
        <v>465</v>
      </c>
      <c r="B21" s="133" t="s">
        <v>466</v>
      </c>
      <c r="C21" s="134">
        <v>98.0</v>
      </c>
      <c r="D21" s="134">
        <v>8.98</v>
      </c>
      <c r="E21" s="134">
        <v>20.0</v>
      </c>
      <c r="F21" s="134">
        <v>4.0</v>
      </c>
      <c r="G21" s="134">
        <v>20.0</v>
      </c>
      <c r="H21" s="134">
        <v>0.8</v>
      </c>
      <c r="I21" s="134">
        <v>21.0</v>
      </c>
      <c r="J21" s="134">
        <v>0.762</v>
      </c>
      <c r="K21" s="134">
        <v>19.0</v>
      </c>
      <c r="L21" s="134">
        <v>0.842</v>
      </c>
      <c r="M21" s="134">
        <v>18.0</v>
      </c>
      <c r="N21" s="134">
        <v>2.67</v>
      </c>
    </row>
    <row r="22">
      <c r="A22" s="131" t="s">
        <v>469</v>
      </c>
      <c r="B22" s="133" t="s">
        <v>417</v>
      </c>
      <c r="C22" s="134">
        <v>93.0</v>
      </c>
      <c r="D22" s="134">
        <v>14.6</v>
      </c>
      <c r="E22" s="134">
        <v>20.0</v>
      </c>
      <c r="F22" s="134">
        <v>4.0</v>
      </c>
      <c r="G22" s="134">
        <v>19.0</v>
      </c>
      <c r="H22" s="134">
        <v>0.842</v>
      </c>
      <c r="I22" s="134">
        <v>18.0</v>
      </c>
      <c r="J22" s="134">
        <v>5.33</v>
      </c>
      <c r="K22" s="134">
        <v>18.0</v>
      </c>
      <c r="L22" s="134">
        <v>4.44</v>
      </c>
      <c r="M22" s="134">
        <v>18.0</v>
      </c>
      <c r="N22" s="134">
        <v>0.0</v>
      </c>
    </row>
    <row r="23">
      <c r="A23" s="131" t="s">
        <v>474</v>
      </c>
      <c r="B23" s="133" t="s">
        <v>475</v>
      </c>
      <c r="C23" s="134">
        <v>63.0</v>
      </c>
      <c r="D23" s="134">
        <v>2.54</v>
      </c>
      <c r="E23" s="134">
        <v>13.0</v>
      </c>
      <c r="F23" s="134">
        <v>3.69</v>
      </c>
      <c r="G23" s="134">
        <v>13.0</v>
      </c>
      <c r="H23" s="134">
        <v>0.0</v>
      </c>
      <c r="I23" s="134">
        <v>13.0</v>
      </c>
      <c r="J23" s="134">
        <v>-1.23</v>
      </c>
      <c r="K23" s="134">
        <v>12.0</v>
      </c>
      <c r="L23" s="134">
        <v>0.0</v>
      </c>
      <c r="M23" s="134">
        <v>12.0</v>
      </c>
      <c r="N23" s="134">
        <v>0.0</v>
      </c>
    </row>
    <row r="24">
      <c r="A24" s="91" t="s">
        <v>424</v>
      </c>
      <c r="B24" s="133" t="s">
        <v>478</v>
      </c>
      <c r="C24" s="134">
        <v>58.0</v>
      </c>
      <c r="D24" s="134">
        <v>4.14</v>
      </c>
      <c r="E24" s="134">
        <v>13.0</v>
      </c>
      <c r="F24" s="134">
        <v>3.69</v>
      </c>
      <c r="G24" s="134">
        <v>13.0</v>
      </c>
      <c r="H24" s="134">
        <v>0.0</v>
      </c>
      <c r="I24" s="134">
        <v>12.0</v>
      </c>
      <c r="J24" s="134">
        <v>0.0</v>
      </c>
      <c r="K24" s="134">
        <v>10.0</v>
      </c>
      <c r="L24" s="134">
        <v>0.0</v>
      </c>
      <c r="M24" s="134">
        <v>10.0</v>
      </c>
      <c r="N24" s="134">
        <v>0.0</v>
      </c>
    </row>
    <row r="25">
      <c r="A25" s="131" t="s">
        <v>376</v>
      </c>
      <c r="B25" s="133" t="s">
        <v>481</v>
      </c>
      <c r="C25" s="134">
        <v>67.0</v>
      </c>
      <c r="D25" s="134">
        <v>5.97</v>
      </c>
      <c r="E25" s="134">
        <v>13.0</v>
      </c>
      <c r="F25" s="134">
        <v>3.69</v>
      </c>
      <c r="G25" s="134">
        <v>13.0</v>
      </c>
      <c r="H25" s="134">
        <v>0.0</v>
      </c>
      <c r="I25" s="134">
        <v>14.0</v>
      </c>
      <c r="J25" s="134">
        <v>2.29</v>
      </c>
      <c r="K25" s="134">
        <v>14.0</v>
      </c>
      <c r="L25" s="134">
        <v>0.0</v>
      </c>
      <c r="M25" s="134">
        <v>13.0</v>
      </c>
      <c r="N25" s="134">
        <v>0.0</v>
      </c>
    </row>
    <row r="26">
      <c r="A26" s="131" t="s">
        <v>390</v>
      </c>
      <c r="B26" s="133" t="s">
        <v>425</v>
      </c>
      <c r="C26" s="134">
        <v>81.0</v>
      </c>
      <c r="D26" s="134">
        <v>13.8</v>
      </c>
      <c r="E26" s="134">
        <v>18.0</v>
      </c>
      <c r="F26" s="134">
        <v>3.56</v>
      </c>
      <c r="G26" s="134">
        <v>17.0</v>
      </c>
      <c r="H26" s="134">
        <v>0.941</v>
      </c>
      <c r="I26" s="134">
        <v>16.0</v>
      </c>
      <c r="J26" s="134">
        <v>4.0</v>
      </c>
      <c r="K26" s="134">
        <v>15.0</v>
      </c>
      <c r="L26" s="134">
        <v>5.33</v>
      </c>
      <c r="M26" s="134">
        <v>15.0</v>
      </c>
      <c r="N26" s="134">
        <v>0.0</v>
      </c>
    </row>
    <row r="27">
      <c r="A27" s="131" t="s">
        <v>402</v>
      </c>
      <c r="B27" s="133" t="s">
        <v>377</v>
      </c>
      <c r="C27" s="134">
        <v>90.0</v>
      </c>
      <c r="D27" s="134">
        <v>24.0</v>
      </c>
      <c r="E27" s="134">
        <v>19.0</v>
      </c>
      <c r="F27" s="134">
        <v>3.37</v>
      </c>
      <c r="G27" s="134">
        <v>19.0</v>
      </c>
      <c r="H27" s="134">
        <v>1.68</v>
      </c>
      <c r="I27" s="134">
        <v>18.0</v>
      </c>
      <c r="J27" s="134">
        <v>8.89</v>
      </c>
      <c r="K27" s="134">
        <v>17.0</v>
      </c>
      <c r="L27" s="134">
        <v>2.82</v>
      </c>
      <c r="M27" s="134">
        <v>17.0</v>
      </c>
      <c r="N27" s="134">
        <v>7.53</v>
      </c>
    </row>
    <row r="28">
      <c r="A28" s="131" t="s">
        <v>416</v>
      </c>
      <c r="B28" s="133" t="s">
        <v>485</v>
      </c>
      <c r="C28" s="134">
        <v>99.0</v>
      </c>
      <c r="D28" s="134">
        <v>4.04</v>
      </c>
      <c r="E28" s="134">
        <v>20.0</v>
      </c>
      <c r="F28" s="134">
        <v>3.2</v>
      </c>
      <c r="G28" s="134">
        <v>20.0</v>
      </c>
      <c r="H28" s="134">
        <v>0.0</v>
      </c>
      <c r="I28" s="134">
        <v>20.0</v>
      </c>
      <c r="J28" s="134">
        <v>-0.8</v>
      </c>
      <c r="K28" s="134">
        <v>20.0</v>
      </c>
      <c r="L28" s="134">
        <v>1.6</v>
      </c>
      <c r="M28" s="134">
        <v>19.0</v>
      </c>
      <c r="N28" s="134">
        <v>0.0</v>
      </c>
    </row>
    <row r="29">
      <c r="A29" s="131" t="s">
        <v>437</v>
      </c>
      <c r="B29" s="133" t="s">
        <v>487</v>
      </c>
      <c r="C29" s="134">
        <v>98.0</v>
      </c>
      <c r="D29" s="134">
        <v>8.98</v>
      </c>
      <c r="E29" s="134">
        <v>20.0</v>
      </c>
      <c r="F29" s="134">
        <v>3.2</v>
      </c>
      <c r="G29" s="134">
        <v>20.0</v>
      </c>
      <c r="H29" s="134">
        <v>0.8</v>
      </c>
      <c r="I29" s="134">
        <v>20.0</v>
      </c>
      <c r="J29" s="134">
        <v>4.0</v>
      </c>
      <c r="K29" s="134">
        <v>19.0</v>
      </c>
      <c r="L29" s="134">
        <v>0.842</v>
      </c>
      <c r="M29" s="134">
        <v>19.0</v>
      </c>
      <c r="N29" s="134">
        <v>0.0</v>
      </c>
    </row>
    <row r="30">
      <c r="A30" s="131" t="s">
        <v>479</v>
      </c>
      <c r="B30" s="133" t="s">
        <v>438</v>
      </c>
      <c r="C30" s="134">
        <v>96.0</v>
      </c>
      <c r="D30" s="134">
        <v>13.3</v>
      </c>
      <c r="E30" s="134">
        <v>20.0</v>
      </c>
      <c r="F30" s="134">
        <v>3.2</v>
      </c>
      <c r="G30" s="134">
        <v>19.0</v>
      </c>
      <c r="H30" s="134">
        <v>2.53</v>
      </c>
      <c r="I30" s="134">
        <v>19.0</v>
      </c>
      <c r="J30" s="134">
        <v>0.0</v>
      </c>
      <c r="K30" s="134">
        <v>19.0</v>
      </c>
      <c r="L30" s="134">
        <v>0.0</v>
      </c>
      <c r="M30" s="134">
        <v>19.0</v>
      </c>
      <c r="N30" s="134">
        <v>7.58</v>
      </c>
    </row>
    <row r="31">
      <c r="A31" s="131" t="s">
        <v>489</v>
      </c>
      <c r="B31" s="133" t="s">
        <v>421</v>
      </c>
      <c r="C31" s="134">
        <v>66.0</v>
      </c>
      <c r="D31" s="134">
        <v>14.5</v>
      </c>
      <c r="E31" s="134">
        <v>15.0</v>
      </c>
      <c r="F31" s="134">
        <v>3.2</v>
      </c>
      <c r="G31" s="134">
        <v>14.0</v>
      </c>
      <c r="H31" s="134">
        <v>6.86</v>
      </c>
      <c r="I31" s="134">
        <v>13.0</v>
      </c>
      <c r="J31" s="134">
        <v>1.23</v>
      </c>
      <c r="K31" s="134">
        <v>12.0</v>
      </c>
      <c r="L31" s="134">
        <v>1.33</v>
      </c>
      <c r="M31" s="134">
        <v>12.0</v>
      </c>
      <c r="N31" s="134">
        <v>1.33</v>
      </c>
    </row>
    <row r="32">
      <c r="A32" s="131" t="s">
        <v>492</v>
      </c>
      <c r="B32" s="133" t="s">
        <v>493</v>
      </c>
      <c r="C32" s="134">
        <v>43.0</v>
      </c>
      <c r="D32" s="134">
        <v>7.44</v>
      </c>
      <c r="E32" s="134">
        <v>10.0</v>
      </c>
      <c r="F32" s="134">
        <v>3.2</v>
      </c>
      <c r="G32" s="134">
        <v>9.0</v>
      </c>
      <c r="H32" s="134">
        <v>1.78</v>
      </c>
      <c r="I32" s="134">
        <v>8.0</v>
      </c>
      <c r="J32" s="134">
        <v>0.0</v>
      </c>
      <c r="K32" s="134">
        <v>8.0</v>
      </c>
      <c r="L32" s="134">
        <v>0.0</v>
      </c>
      <c r="M32" s="134">
        <v>8.0</v>
      </c>
      <c r="N32" s="134">
        <v>2.0</v>
      </c>
    </row>
    <row r="33">
      <c r="A33" s="131" t="s">
        <v>496</v>
      </c>
      <c r="B33" s="133" t="s">
        <v>403</v>
      </c>
      <c r="C33" s="134">
        <v>100.0</v>
      </c>
      <c r="D33" s="134">
        <v>16.8</v>
      </c>
      <c r="E33" s="134">
        <v>20.0</v>
      </c>
      <c r="F33" s="134">
        <v>3.2</v>
      </c>
      <c r="G33" s="134">
        <v>20.0</v>
      </c>
      <c r="H33" s="134">
        <v>4.0</v>
      </c>
      <c r="I33" s="134">
        <v>20.0</v>
      </c>
      <c r="J33" s="134">
        <v>4.0</v>
      </c>
      <c r="K33" s="134">
        <v>20.0</v>
      </c>
      <c r="L33" s="134">
        <v>2.4</v>
      </c>
      <c r="M33" s="134">
        <v>20.0</v>
      </c>
      <c r="N33" s="134">
        <v>3.2</v>
      </c>
    </row>
    <row r="34">
      <c r="A34" s="131" t="s">
        <v>497</v>
      </c>
      <c r="B34" s="133" t="s">
        <v>483</v>
      </c>
      <c r="C34" s="134">
        <v>99.0</v>
      </c>
      <c r="D34" s="134">
        <v>10.5</v>
      </c>
      <c r="E34" s="134">
        <v>20.0</v>
      </c>
      <c r="F34" s="134">
        <v>3.2</v>
      </c>
      <c r="G34" s="134">
        <v>20.0</v>
      </c>
      <c r="H34" s="134">
        <v>2.4</v>
      </c>
      <c r="I34" s="134">
        <v>20.0</v>
      </c>
      <c r="J34" s="134">
        <v>0.8</v>
      </c>
      <c r="K34" s="134">
        <v>20.0</v>
      </c>
      <c r="L34" s="134">
        <v>2.4</v>
      </c>
      <c r="M34" s="134">
        <v>19.0</v>
      </c>
      <c r="N34" s="134">
        <v>1.68</v>
      </c>
    </row>
    <row r="35">
      <c r="A35" s="131" t="s">
        <v>430</v>
      </c>
      <c r="B35" s="133" t="s">
        <v>500</v>
      </c>
      <c r="C35" s="134">
        <v>98.0</v>
      </c>
      <c r="D35" s="134">
        <v>8.98</v>
      </c>
      <c r="E35" s="134">
        <v>21.0</v>
      </c>
      <c r="F35" s="134">
        <v>3.05</v>
      </c>
      <c r="G35" s="134">
        <v>21.0</v>
      </c>
      <c r="H35" s="134">
        <v>0.762</v>
      </c>
      <c r="I35" s="134">
        <v>20.0</v>
      </c>
      <c r="J35" s="134">
        <v>3.2</v>
      </c>
      <c r="K35" s="134">
        <v>18.0</v>
      </c>
      <c r="L35" s="134">
        <v>0.889</v>
      </c>
      <c r="M35" s="134">
        <v>18.0</v>
      </c>
      <c r="N35" s="134">
        <v>0.889</v>
      </c>
    </row>
    <row r="36">
      <c r="A36" s="131" t="s">
        <v>470</v>
      </c>
      <c r="B36" s="133" t="s">
        <v>428</v>
      </c>
      <c r="C36" s="134">
        <v>76.0</v>
      </c>
      <c r="D36" s="134">
        <v>13.7</v>
      </c>
      <c r="E36" s="134">
        <v>16.0</v>
      </c>
      <c r="F36" s="134">
        <v>3.0</v>
      </c>
      <c r="G36" s="134">
        <v>15.0</v>
      </c>
      <c r="H36" s="134">
        <v>2.13</v>
      </c>
      <c r="I36" s="134">
        <v>15.0</v>
      </c>
      <c r="J36" s="134">
        <v>4.27</v>
      </c>
      <c r="K36" s="134">
        <v>15.0</v>
      </c>
      <c r="L36" s="134">
        <v>1.07</v>
      </c>
      <c r="M36" s="134">
        <v>15.0</v>
      </c>
      <c r="N36" s="134">
        <v>3.2</v>
      </c>
    </row>
    <row r="37">
      <c r="A37" s="131" t="s">
        <v>394</v>
      </c>
      <c r="B37" s="133" t="s">
        <v>473</v>
      </c>
      <c r="C37" s="134">
        <v>78.0</v>
      </c>
      <c r="D37" s="134">
        <v>11.3</v>
      </c>
      <c r="E37" s="134">
        <v>16.0</v>
      </c>
      <c r="F37" s="134">
        <v>3.0</v>
      </c>
      <c r="G37" s="134">
        <v>16.0</v>
      </c>
      <c r="H37" s="134">
        <v>0.0</v>
      </c>
      <c r="I37" s="134">
        <v>16.0</v>
      </c>
      <c r="J37" s="134">
        <v>0.0</v>
      </c>
      <c r="K37" s="134">
        <v>15.0</v>
      </c>
      <c r="L37" s="134">
        <v>7.47</v>
      </c>
      <c r="M37" s="134">
        <v>15.0</v>
      </c>
      <c r="N37" s="134">
        <v>1.07</v>
      </c>
    </row>
    <row r="38">
      <c r="A38" s="131" t="s">
        <v>501</v>
      </c>
      <c r="B38" s="133" t="s">
        <v>397</v>
      </c>
      <c r="C38" s="134">
        <v>60.0</v>
      </c>
      <c r="D38" s="134">
        <v>18.7</v>
      </c>
      <c r="E38" s="134">
        <v>12.0</v>
      </c>
      <c r="F38" s="134">
        <v>2.67</v>
      </c>
      <c r="G38" s="134">
        <v>12.0</v>
      </c>
      <c r="H38" s="134">
        <v>5.33</v>
      </c>
      <c r="I38" s="134">
        <v>12.0</v>
      </c>
      <c r="J38" s="134">
        <v>4.0</v>
      </c>
      <c r="K38" s="134">
        <v>12.0</v>
      </c>
      <c r="L38" s="134">
        <v>4.0</v>
      </c>
      <c r="M38" s="134">
        <v>12.0</v>
      </c>
      <c r="N38" s="134">
        <v>2.67</v>
      </c>
    </row>
    <row r="39">
      <c r="A39" s="131" t="s">
        <v>378</v>
      </c>
      <c r="B39" s="133" t="s">
        <v>441</v>
      </c>
      <c r="C39" s="134">
        <v>90.0</v>
      </c>
      <c r="D39" s="134">
        <v>13.3</v>
      </c>
      <c r="E39" s="134">
        <v>18.0</v>
      </c>
      <c r="F39" s="134">
        <v>2.67</v>
      </c>
      <c r="G39" s="134">
        <v>18.0</v>
      </c>
      <c r="H39" s="134">
        <v>0.889</v>
      </c>
      <c r="I39" s="134">
        <v>18.0</v>
      </c>
      <c r="J39" s="134">
        <v>1.78</v>
      </c>
      <c r="K39" s="134">
        <v>18.0</v>
      </c>
      <c r="L39" s="134">
        <v>6.22</v>
      </c>
      <c r="M39" s="134">
        <v>18.0</v>
      </c>
      <c r="N39" s="134">
        <v>1.78</v>
      </c>
    </row>
    <row r="40">
      <c r="A40" s="131" t="s">
        <v>384</v>
      </c>
      <c r="B40" s="133" t="s">
        <v>503</v>
      </c>
      <c r="C40" s="134">
        <v>89.0</v>
      </c>
      <c r="D40" s="134">
        <v>8.99</v>
      </c>
      <c r="E40" s="134">
        <v>19.0</v>
      </c>
      <c r="F40" s="134">
        <v>2.53</v>
      </c>
      <c r="G40" s="134">
        <v>18.0</v>
      </c>
      <c r="H40" s="134">
        <v>5.33</v>
      </c>
      <c r="I40" s="134">
        <v>18.0</v>
      </c>
      <c r="J40" s="134">
        <v>0.889</v>
      </c>
      <c r="K40" s="134">
        <v>17.0</v>
      </c>
      <c r="L40" s="134">
        <v>-0.941</v>
      </c>
      <c r="M40" s="134">
        <v>17.0</v>
      </c>
      <c r="N40" s="134">
        <v>0.941</v>
      </c>
    </row>
    <row r="41">
      <c r="A41" s="131" t="s">
        <v>386</v>
      </c>
      <c r="B41" s="133" t="s">
        <v>391</v>
      </c>
      <c r="C41" s="134">
        <v>95.0</v>
      </c>
      <c r="D41" s="134">
        <v>21.1</v>
      </c>
      <c r="E41" s="134">
        <v>20.0</v>
      </c>
      <c r="F41" s="134">
        <v>2.4</v>
      </c>
      <c r="G41" s="134">
        <v>20.0</v>
      </c>
      <c r="H41" s="134">
        <v>0.0</v>
      </c>
      <c r="I41" s="134">
        <v>19.0</v>
      </c>
      <c r="J41" s="134">
        <v>3.37</v>
      </c>
      <c r="K41" s="134">
        <v>18.0</v>
      </c>
      <c r="L41" s="134">
        <v>8.0</v>
      </c>
      <c r="M41" s="134">
        <v>18.0</v>
      </c>
      <c r="N41" s="134">
        <v>8.0</v>
      </c>
    </row>
    <row r="42">
      <c r="A42" s="131" t="s">
        <v>408</v>
      </c>
      <c r="B42" s="133" t="s">
        <v>513</v>
      </c>
      <c r="C42" s="134">
        <v>97.0</v>
      </c>
      <c r="D42" s="134">
        <v>3.3</v>
      </c>
      <c r="E42" s="134">
        <v>20.0</v>
      </c>
      <c r="F42" s="134">
        <v>2.4</v>
      </c>
      <c r="G42" s="134">
        <v>20.0</v>
      </c>
      <c r="H42" s="134">
        <v>0.0</v>
      </c>
      <c r="I42" s="134">
        <v>20.0</v>
      </c>
      <c r="J42" s="134">
        <v>0.8</v>
      </c>
      <c r="K42" s="134">
        <v>19.0</v>
      </c>
      <c r="L42" s="134">
        <v>0.0</v>
      </c>
      <c r="M42" s="134">
        <v>18.0</v>
      </c>
      <c r="N42" s="134">
        <v>0.0</v>
      </c>
    </row>
    <row r="43">
      <c r="A43" s="131" t="s">
        <v>452</v>
      </c>
      <c r="B43" s="133" t="s">
        <v>520</v>
      </c>
      <c r="C43" s="134">
        <v>97.0</v>
      </c>
      <c r="D43" s="134">
        <v>7.42</v>
      </c>
      <c r="E43" s="134">
        <v>20.0</v>
      </c>
      <c r="F43" s="134">
        <v>2.4</v>
      </c>
      <c r="G43" s="134">
        <v>20.0</v>
      </c>
      <c r="H43" s="134">
        <v>3.2</v>
      </c>
      <c r="I43" s="134">
        <v>19.0</v>
      </c>
      <c r="J43" s="134">
        <v>0.0</v>
      </c>
      <c r="K43" s="134">
        <v>19.0</v>
      </c>
      <c r="L43" s="134">
        <v>1.68</v>
      </c>
      <c r="M43" s="134">
        <v>19.0</v>
      </c>
      <c r="N43" s="134">
        <v>0.0</v>
      </c>
    </row>
    <row r="44">
      <c r="A44" s="131" t="s">
        <v>524</v>
      </c>
      <c r="B44" s="133" t="s">
        <v>412</v>
      </c>
      <c r="C44" s="134">
        <v>97.0</v>
      </c>
      <c r="D44" s="134">
        <v>15.7</v>
      </c>
      <c r="E44" s="134">
        <v>20.0</v>
      </c>
      <c r="F44" s="134">
        <v>2.4</v>
      </c>
      <c r="G44" s="134">
        <v>20.0</v>
      </c>
      <c r="H44" s="134">
        <v>8.8</v>
      </c>
      <c r="I44" s="134">
        <v>19.0</v>
      </c>
      <c r="J44" s="134">
        <v>0.842</v>
      </c>
      <c r="K44" s="134">
        <v>19.0</v>
      </c>
      <c r="L44" s="134">
        <v>1.68</v>
      </c>
      <c r="M44" s="134">
        <v>19.0</v>
      </c>
      <c r="N44" s="134">
        <v>1.68</v>
      </c>
    </row>
    <row r="45">
      <c r="A45" s="131" t="s">
        <v>528</v>
      </c>
      <c r="B45" s="133" t="s">
        <v>529</v>
      </c>
      <c r="C45" s="134">
        <v>100.0</v>
      </c>
      <c r="D45" s="134">
        <v>6.4</v>
      </c>
      <c r="E45" s="134">
        <v>20.0</v>
      </c>
      <c r="F45" s="134">
        <v>2.4</v>
      </c>
      <c r="G45" s="134">
        <v>20.0</v>
      </c>
      <c r="H45" s="134">
        <v>0.0</v>
      </c>
      <c r="I45" s="134">
        <v>20.0</v>
      </c>
      <c r="J45" s="134">
        <v>2.4</v>
      </c>
      <c r="K45" s="134">
        <v>20.0</v>
      </c>
      <c r="L45" s="134">
        <v>0.0</v>
      </c>
      <c r="M45" s="134">
        <v>20.0</v>
      </c>
      <c r="N45" s="134">
        <v>1.6</v>
      </c>
    </row>
    <row r="46">
      <c r="A46" s="131" t="s">
        <v>531</v>
      </c>
      <c r="B46" s="133" t="s">
        <v>460</v>
      </c>
      <c r="C46" s="134">
        <v>100.0</v>
      </c>
      <c r="D46" s="134">
        <v>12.8</v>
      </c>
      <c r="E46" s="134">
        <v>20.0</v>
      </c>
      <c r="F46" s="134">
        <v>2.4</v>
      </c>
      <c r="G46" s="134">
        <v>20.0</v>
      </c>
      <c r="H46" s="134">
        <v>1.6</v>
      </c>
      <c r="I46" s="134">
        <v>20.0</v>
      </c>
      <c r="J46" s="134">
        <v>4.0</v>
      </c>
      <c r="K46" s="134">
        <v>20.0</v>
      </c>
      <c r="L46" s="134">
        <v>0.0</v>
      </c>
      <c r="M46" s="134">
        <v>20.0</v>
      </c>
      <c r="N46" s="134">
        <v>4.8</v>
      </c>
    </row>
    <row r="47">
      <c r="A47" s="131" t="s">
        <v>532</v>
      </c>
      <c r="B47" s="133" t="s">
        <v>379</v>
      </c>
      <c r="C47" s="134">
        <v>100.0</v>
      </c>
      <c r="D47" s="134">
        <v>24.0</v>
      </c>
      <c r="E47" s="134">
        <v>20.0</v>
      </c>
      <c r="F47" s="134">
        <v>2.4</v>
      </c>
      <c r="G47" s="134">
        <v>20.0</v>
      </c>
      <c r="H47" s="134">
        <v>3.2</v>
      </c>
      <c r="I47" s="134">
        <v>20.0</v>
      </c>
      <c r="J47" s="134">
        <v>7.2</v>
      </c>
      <c r="K47" s="134">
        <v>20.0</v>
      </c>
      <c r="L47" s="134">
        <v>6.4</v>
      </c>
      <c r="M47" s="134">
        <v>20.0</v>
      </c>
      <c r="N47" s="134">
        <v>4.8</v>
      </c>
    </row>
    <row r="48">
      <c r="A48" s="131" t="s">
        <v>534</v>
      </c>
      <c r="B48" s="133" t="s">
        <v>535</v>
      </c>
      <c r="C48" s="134">
        <v>99.0</v>
      </c>
      <c r="D48" s="134">
        <v>0.808</v>
      </c>
      <c r="E48" s="134">
        <v>20.0</v>
      </c>
      <c r="F48" s="134">
        <v>2.4</v>
      </c>
      <c r="G48" s="134">
        <v>20.0</v>
      </c>
      <c r="H48" s="134">
        <v>0.0</v>
      </c>
      <c r="I48" s="134">
        <v>20.0</v>
      </c>
      <c r="J48" s="134">
        <v>-1.6</v>
      </c>
      <c r="K48" s="134">
        <v>20.0</v>
      </c>
      <c r="L48" s="134">
        <v>0.0</v>
      </c>
      <c r="M48" s="134">
        <v>19.0</v>
      </c>
      <c r="N48" s="134">
        <v>0.0</v>
      </c>
    </row>
    <row r="49">
      <c r="A49" s="131" t="s">
        <v>538</v>
      </c>
      <c r="B49" s="133" t="s">
        <v>389</v>
      </c>
      <c r="C49" s="134">
        <v>98.0</v>
      </c>
      <c r="D49" s="134">
        <v>22.0</v>
      </c>
      <c r="E49" s="134">
        <v>20.0</v>
      </c>
      <c r="F49" s="134">
        <v>2.4</v>
      </c>
      <c r="G49" s="134">
        <v>20.0</v>
      </c>
      <c r="H49" s="134">
        <v>0.0</v>
      </c>
      <c r="I49" s="134">
        <v>20.0</v>
      </c>
      <c r="J49" s="134">
        <v>6.4</v>
      </c>
      <c r="K49" s="134">
        <v>19.0</v>
      </c>
      <c r="L49" s="134">
        <v>5.05</v>
      </c>
      <c r="M49" s="134">
        <v>19.0</v>
      </c>
      <c r="N49" s="134">
        <v>8.42</v>
      </c>
    </row>
    <row r="50">
      <c r="A50" s="131" t="s">
        <v>542</v>
      </c>
      <c r="B50" s="133" t="s">
        <v>544</v>
      </c>
      <c r="C50" s="134">
        <v>32.0</v>
      </c>
      <c r="D50" s="134">
        <v>5.0</v>
      </c>
      <c r="E50" s="134">
        <v>7.0</v>
      </c>
      <c r="F50" s="134">
        <v>2.29</v>
      </c>
      <c r="G50" s="134">
        <v>7.0</v>
      </c>
      <c r="H50" s="134">
        <v>0.0</v>
      </c>
      <c r="I50" s="134">
        <v>6.0</v>
      </c>
      <c r="J50" s="134">
        <v>0.0</v>
      </c>
      <c r="K50" s="134">
        <v>6.0</v>
      </c>
      <c r="L50" s="134">
        <v>2.67</v>
      </c>
      <c r="M50" s="134">
        <v>6.0</v>
      </c>
      <c r="N50" s="134">
        <v>0.0</v>
      </c>
    </row>
    <row r="51">
      <c r="A51" s="131" t="s">
        <v>547</v>
      </c>
      <c r="B51" s="133" t="s">
        <v>548</v>
      </c>
      <c r="C51" s="134">
        <v>32.0</v>
      </c>
      <c r="D51" s="134">
        <v>2.5</v>
      </c>
      <c r="E51" s="134">
        <v>7.0</v>
      </c>
      <c r="F51" s="134">
        <v>2.29</v>
      </c>
      <c r="G51" s="134">
        <v>7.0</v>
      </c>
      <c r="H51" s="134">
        <v>0.0</v>
      </c>
      <c r="I51" s="134">
        <v>6.0</v>
      </c>
      <c r="J51" s="134">
        <v>0.0</v>
      </c>
      <c r="K51" s="134">
        <v>6.0</v>
      </c>
      <c r="L51" s="134">
        <v>0.0</v>
      </c>
      <c r="M51" s="134">
        <v>6.0</v>
      </c>
      <c r="N51" s="134">
        <v>0.0</v>
      </c>
    </row>
    <row r="52">
      <c r="A52" s="131" t="s">
        <v>427</v>
      </c>
      <c r="B52" s="133" t="s">
        <v>551</v>
      </c>
      <c r="C52" s="134">
        <v>38.0</v>
      </c>
      <c r="D52" s="134">
        <v>2.11</v>
      </c>
      <c r="E52" s="134">
        <v>7.0</v>
      </c>
      <c r="F52" s="134">
        <v>2.29</v>
      </c>
      <c r="G52" s="134">
        <v>7.0</v>
      </c>
      <c r="H52" s="134">
        <v>0.0</v>
      </c>
      <c r="I52" s="134">
        <v>8.0</v>
      </c>
      <c r="J52" s="134">
        <v>0.0</v>
      </c>
      <c r="K52" s="134">
        <v>8.0</v>
      </c>
      <c r="L52" s="134">
        <v>0.0</v>
      </c>
      <c r="M52" s="134">
        <v>8.0</v>
      </c>
      <c r="N52" s="134">
        <v>0.0</v>
      </c>
    </row>
    <row r="53">
      <c r="A53" s="131" t="s">
        <v>554</v>
      </c>
      <c r="B53" s="133" t="s">
        <v>555</v>
      </c>
      <c r="C53" s="134">
        <v>70.0</v>
      </c>
      <c r="D53" s="134">
        <v>2.29</v>
      </c>
      <c r="E53" s="134">
        <v>15.0</v>
      </c>
      <c r="F53" s="134">
        <v>2.13</v>
      </c>
      <c r="G53" s="134">
        <v>14.0</v>
      </c>
      <c r="H53" s="134">
        <v>0.0</v>
      </c>
      <c r="I53" s="134">
        <v>14.0</v>
      </c>
      <c r="J53" s="134">
        <v>0.0</v>
      </c>
      <c r="K53" s="134">
        <v>14.0</v>
      </c>
      <c r="L53" s="134">
        <v>0.0</v>
      </c>
      <c r="M53" s="134">
        <v>13.0</v>
      </c>
      <c r="N53" s="134">
        <v>0.0</v>
      </c>
    </row>
    <row r="54">
      <c r="A54" s="131" t="s">
        <v>558</v>
      </c>
      <c r="B54" s="133" t="s">
        <v>559</v>
      </c>
      <c r="C54" s="134">
        <v>88.0</v>
      </c>
      <c r="D54" s="134">
        <v>3.64</v>
      </c>
      <c r="E54" s="134">
        <v>17.0</v>
      </c>
      <c r="F54" s="134">
        <v>1.88</v>
      </c>
      <c r="G54" s="134">
        <v>17.0</v>
      </c>
      <c r="H54" s="134">
        <v>0.0</v>
      </c>
      <c r="I54" s="134">
        <v>18.0</v>
      </c>
      <c r="J54" s="134">
        <v>1.78</v>
      </c>
      <c r="K54" s="134">
        <v>18.0</v>
      </c>
      <c r="L54" s="134">
        <v>0.0</v>
      </c>
      <c r="M54" s="134">
        <v>18.0</v>
      </c>
      <c r="N54" s="134">
        <v>0.0</v>
      </c>
    </row>
    <row r="55">
      <c r="A55" s="131" t="s">
        <v>563</v>
      </c>
      <c r="B55" s="133" t="s">
        <v>405</v>
      </c>
      <c r="C55" s="134">
        <v>98.0</v>
      </c>
      <c r="D55" s="134">
        <v>16.3</v>
      </c>
      <c r="E55" s="134">
        <v>20.0</v>
      </c>
      <c r="F55" s="134">
        <v>1.6</v>
      </c>
      <c r="G55" s="134">
        <v>20.0</v>
      </c>
      <c r="H55" s="134">
        <v>11.2</v>
      </c>
      <c r="I55" s="134">
        <v>20.0</v>
      </c>
      <c r="J55" s="134">
        <v>0.0</v>
      </c>
      <c r="K55" s="134">
        <v>19.0</v>
      </c>
      <c r="L55" s="134">
        <v>3.37</v>
      </c>
      <c r="M55" s="134">
        <v>19.0</v>
      </c>
      <c r="N55" s="134">
        <v>0.0</v>
      </c>
    </row>
    <row r="56">
      <c r="A56" s="131" t="s">
        <v>404</v>
      </c>
      <c r="B56" s="133" t="s">
        <v>565</v>
      </c>
      <c r="C56" s="134">
        <v>94.0</v>
      </c>
      <c r="D56" s="134">
        <v>1.7</v>
      </c>
      <c r="E56" s="134">
        <v>20.0</v>
      </c>
      <c r="F56" s="134">
        <v>1.6</v>
      </c>
      <c r="G56" s="134">
        <v>19.0</v>
      </c>
      <c r="H56" s="134">
        <v>0.0</v>
      </c>
      <c r="I56" s="134">
        <v>19.0</v>
      </c>
      <c r="J56" s="134">
        <v>0.0</v>
      </c>
      <c r="K56" s="134">
        <v>18.0</v>
      </c>
      <c r="L56" s="134">
        <v>0.0</v>
      </c>
      <c r="M56" s="134">
        <v>18.0</v>
      </c>
      <c r="N56" s="134">
        <v>0.0</v>
      </c>
    </row>
    <row r="57">
      <c r="A57" s="131" t="s">
        <v>434</v>
      </c>
      <c r="B57" s="133" t="s">
        <v>566</v>
      </c>
      <c r="C57" s="134">
        <v>47.0</v>
      </c>
      <c r="D57" s="134">
        <v>5.11</v>
      </c>
      <c r="E57" s="134">
        <v>10.0</v>
      </c>
      <c r="F57" s="134">
        <v>1.6</v>
      </c>
      <c r="G57" s="134">
        <v>10.0</v>
      </c>
      <c r="H57" s="134">
        <v>0.0</v>
      </c>
      <c r="I57" s="134">
        <v>9.0</v>
      </c>
      <c r="J57" s="134">
        <v>0.0</v>
      </c>
      <c r="K57" s="134">
        <v>9.0</v>
      </c>
      <c r="L57" s="134">
        <v>0.0</v>
      </c>
      <c r="M57" s="134">
        <v>9.0</v>
      </c>
      <c r="N57" s="134">
        <v>3.56</v>
      </c>
    </row>
    <row r="58">
      <c r="A58" s="131" t="s">
        <v>458</v>
      </c>
      <c r="B58" s="133" t="s">
        <v>471</v>
      </c>
      <c r="C58" s="134">
        <v>92.0</v>
      </c>
      <c r="D58" s="134">
        <v>11.3</v>
      </c>
      <c r="E58" s="134">
        <v>20.0</v>
      </c>
      <c r="F58" s="134">
        <v>1.6</v>
      </c>
      <c r="G58" s="134">
        <v>19.0</v>
      </c>
      <c r="H58" s="134">
        <v>4.21</v>
      </c>
      <c r="I58" s="134">
        <v>18.0</v>
      </c>
      <c r="J58" s="134">
        <v>0.889</v>
      </c>
      <c r="K58" s="134">
        <v>18.0</v>
      </c>
      <c r="L58" s="134">
        <v>0.0</v>
      </c>
      <c r="M58" s="134">
        <v>17.0</v>
      </c>
      <c r="N58" s="134">
        <v>4.71</v>
      </c>
    </row>
    <row r="59">
      <c r="A59" s="131" t="s">
        <v>467</v>
      </c>
      <c r="B59" s="133" t="s">
        <v>525</v>
      </c>
      <c r="C59" s="134">
        <v>100.0</v>
      </c>
      <c r="D59" s="134">
        <v>8.0</v>
      </c>
      <c r="E59" s="134">
        <v>20.0</v>
      </c>
      <c r="F59" s="134">
        <v>1.6</v>
      </c>
      <c r="G59" s="134">
        <v>20.0</v>
      </c>
      <c r="H59" s="134">
        <v>5.6</v>
      </c>
      <c r="I59" s="134">
        <v>20.0</v>
      </c>
      <c r="J59" s="134">
        <v>-0.8</v>
      </c>
      <c r="K59" s="134">
        <v>20.0</v>
      </c>
      <c r="L59" s="134">
        <v>0.8</v>
      </c>
      <c r="M59" s="134">
        <v>20.0</v>
      </c>
      <c r="N59" s="134">
        <v>0.8</v>
      </c>
    </row>
    <row r="60">
      <c r="A60" s="131" t="s">
        <v>521</v>
      </c>
      <c r="B60" s="133" t="s">
        <v>550</v>
      </c>
      <c r="C60" s="134">
        <v>100.0</v>
      </c>
      <c r="D60" s="134">
        <v>7.2</v>
      </c>
      <c r="E60" s="134">
        <v>20.0</v>
      </c>
      <c r="F60" s="134">
        <v>1.6</v>
      </c>
      <c r="G60" s="134">
        <v>20.0</v>
      </c>
      <c r="H60" s="134">
        <v>0.8</v>
      </c>
      <c r="I60" s="134">
        <v>20.0</v>
      </c>
      <c r="J60" s="134">
        <v>0.0</v>
      </c>
      <c r="K60" s="134">
        <v>20.0</v>
      </c>
      <c r="L60" s="134">
        <v>0.0</v>
      </c>
      <c r="M60" s="134">
        <v>20.0</v>
      </c>
      <c r="N60" s="134">
        <v>4.8</v>
      </c>
    </row>
    <row r="61">
      <c r="A61" s="131" t="s">
        <v>541</v>
      </c>
      <c r="B61" s="133" t="s">
        <v>574</v>
      </c>
      <c r="C61" s="134">
        <v>95.0</v>
      </c>
      <c r="D61" s="134">
        <v>4.21</v>
      </c>
      <c r="E61" s="134">
        <v>20.0</v>
      </c>
      <c r="F61" s="134">
        <v>1.6</v>
      </c>
      <c r="G61" s="134">
        <v>20.0</v>
      </c>
      <c r="H61" s="134">
        <v>0.0</v>
      </c>
      <c r="I61" s="134">
        <v>20.0</v>
      </c>
      <c r="J61" s="134">
        <v>1.6</v>
      </c>
      <c r="K61" s="134">
        <v>18.0</v>
      </c>
      <c r="L61" s="134">
        <v>0.0</v>
      </c>
      <c r="M61" s="134">
        <v>17.0</v>
      </c>
      <c r="N61" s="134">
        <v>0.941</v>
      </c>
    </row>
    <row r="62">
      <c r="A62" s="131" t="s">
        <v>576</v>
      </c>
      <c r="B62" s="133" t="s">
        <v>577</v>
      </c>
      <c r="C62" s="134">
        <v>100.0</v>
      </c>
      <c r="D62" s="134">
        <v>2.4</v>
      </c>
      <c r="E62" s="134">
        <v>20.0</v>
      </c>
      <c r="F62" s="134">
        <v>1.6</v>
      </c>
      <c r="G62" s="134">
        <v>20.0</v>
      </c>
      <c r="H62" s="134">
        <v>0.0</v>
      </c>
      <c r="I62" s="134">
        <v>20.0</v>
      </c>
      <c r="J62" s="134">
        <v>0.8</v>
      </c>
      <c r="K62" s="134">
        <v>20.0</v>
      </c>
      <c r="L62" s="134">
        <v>0.0</v>
      </c>
      <c r="M62" s="134">
        <v>20.0</v>
      </c>
      <c r="N62" s="134">
        <v>0.0</v>
      </c>
    </row>
    <row r="63">
      <c r="A63" s="131" t="s">
        <v>579</v>
      </c>
      <c r="B63" s="133" t="s">
        <v>580</v>
      </c>
      <c r="C63" s="134">
        <v>49.0</v>
      </c>
      <c r="D63" s="134">
        <v>1.63</v>
      </c>
      <c r="E63" s="134">
        <v>11.0</v>
      </c>
      <c r="F63" s="134">
        <v>1.45</v>
      </c>
      <c r="G63" s="134">
        <v>11.0</v>
      </c>
      <c r="H63" s="134">
        <v>0.0</v>
      </c>
      <c r="I63" s="134">
        <v>9.0</v>
      </c>
      <c r="J63" s="134">
        <v>0.0</v>
      </c>
      <c r="K63" s="134">
        <v>9.0</v>
      </c>
      <c r="L63" s="134">
        <v>0.0</v>
      </c>
      <c r="M63" s="134">
        <v>9.0</v>
      </c>
      <c r="N63" s="134">
        <v>0.0</v>
      </c>
    </row>
    <row r="64">
      <c r="A64" s="131" t="s">
        <v>583</v>
      </c>
      <c r="B64" s="133" t="s">
        <v>584</v>
      </c>
      <c r="C64" s="134">
        <v>59.0</v>
      </c>
      <c r="D64" s="134">
        <v>2.71</v>
      </c>
      <c r="E64" s="134">
        <v>12.0</v>
      </c>
      <c r="F64" s="134">
        <v>1.33</v>
      </c>
      <c r="G64" s="134">
        <v>12.0</v>
      </c>
      <c r="H64" s="134">
        <v>0.0</v>
      </c>
      <c r="I64" s="134">
        <v>12.0</v>
      </c>
      <c r="J64" s="134">
        <v>1.33</v>
      </c>
      <c r="K64" s="134">
        <v>12.0</v>
      </c>
      <c r="L64" s="134">
        <v>0.0</v>
      </c>
      <c r="M64" s="134">
        <v>11.0</v>
      </c>
      <c r="N64" s="134">
        <v>0.0</v>
      </c>
    </row>
    <row r="65">
      <c r="A65" s="131" t="s">
        <v>586</v>
      </c>
      <c r="B65" s="133" t="s">
        <v>464</v>
      </c>
      <c r="C65" s="134">
        <v>64.0</v>
      </c>
      <c r="D65" s="134">
        <v>12.5</v>
      </c>
      <c r="E65" s="134">
        <v>12.0</v>
      </c>
      <c r="F65" s="134">
        <v>1.33</v>
      </c>
      <c r="G65" s="134">
        <v>13.0</v>
      </c>
      <c r="H65" s="134">
        <v>11.1</v>
      </c>
      <c r="I65" s="134">
        <v>14.0</v>
      </c>
      <c r="J65" s="134">
        <v>0.0</v>
      </c>
      <c r="K65" s="134">
        <v>14.0</v>
      </c>
      <c r="L65" s="134">
        <v>0.0</v>
      </c>
      <c r="M65" s="134">
        <v>11.0</v>
      </c>
      <c r="N65" s="134">
        <v>0.0</v>
      </c>
    </row>
    <row r="66">
      <c r="A66" s="131" t="s">
        <v>454</v>
      </c>
      <c r="B66" s="133" t="s">
        <v>587</v>
      </c>
      <c r="C66" s="134">
        <v>67.0</v>
      </c>
      <c r="D66" s="134">
        <v>1.19</v>
      </c>
      <c r="E66" s="134">
        <v>13.0</v>
      </c>
      <c r="F66" s="134">
        <v>1.23</v>
      </c>
      <c r="G66" s="134">
        <v>14.0</v>
      </c>
      <c r="H66" s="134">
        <v>0.0</v>
      </c>
      <c r="I66" s="134">
        <v>14.0</v>
      </c>
      <c r="J66" s="134">
        <v>0.0</v>
      </c>
      <c r="K66" s="134">
        <v>13.0</v>
      </c>
      <c r="L66" s="134">
        <v>0.0</v>
      </c>
      <c r="M66" s="134">
        <v>13.0</v>
      </c>
      <c r="N66" s="134">
        <v>0.0</v>
      </c>
    </row>
    <row r="67">
      <c r="A67" s="131" t="s">
        <v>588</v>
      </c>
      <c r="B67" s="133" t="s">
        <v>589</v>
      </c>
      <c r="C67" s="134">
        <v>78.0</v>
      </c>
      <c r="D67" s="134">
        <v>4.1</v>
      </c>
      <c r="E67" s="134">
        <v>16.0</v>
      </c>
      <c r="F67" s="134">
        <v>1.0</v>
      </c>
      <c r="G67" s="134">
        <v>16.0</v>
      </c>
      <c r="H67" s="134">
        <v>0.0</v>
      </c>
      <c r="I67" s="134">
        <v>16.0</v>
      </c>
      <c r="J67" s="134">
        <v>2.0</v>
      </c>
      <c r="K67" s="134">
        <v>15.0</v>
      </c>
      <c r="L67" s="134">
        <v>0.0</v>
      </c>
      <c r="M67" s="134">
        <v>15.0</v>
      </c>
      <c r="N67" s="134">
        <v>1.07</v>
      </c>
    </row>
    <row r="68">
      <c r="A68" s="131" t="s">
        <v>591</v>
      </c>
      <c r="B68" s="133" t="s">
        <v>592</v>
      </c>
      <c r="C68" s="134">
        <v>72.0</v>
      </c>
      <c r="D68" s="134">
        <v>4.44</v>
      </c>
      <c r="E68" s="134">
        <v>16.0</v>
      </c>
      <c r="F68" s="134">
        <v>1.0</v>
      </c>
      <c r="G68" s="134">
        <v>15.0</v>
      </c>
      <c r="H68" s="134">
        <v>0.0</v>
      </c>
      <c r="I68" s="134">
        <v>14.0</v>
      </c>
      <c r="J68" s="134">
        <v>0.0</v>
      </c>
      <c r="K68" s="134">
        <v>14.0</v>
      </c>
      <c r="L68" s="134">
        <v>2.29</v>
      </c>
      <c r="M68" s="134">
        <v>13.0</v>
      </c>
      <c r="N68" s="134">
        <v>1.23</v>
      </c>
    </row>
    <row r="69">
      <c r="A69" s="131" t="s">
        <v>595</v>
      </c>
      <c r="B69" s="133" t="s">
        <v>596</v>
      </c>
      <c r="C69" s="134">
        <v>76.0</v>
      </c>
      <c r="D69" s="134">
        <v>3.16</v>
      </c>
      <c r="E69" s="134">
        <v>16.0</v>
      </c>
      <c r="F69" s="134">
        <v>1.0</v>
      </c>
      <c r="G69" s="134">
        <v>15.0</v>
      </c>
      <c r="H69" s="134">
        <v>0.0</v>
      </c>
      <c r="I69" s="134">
        <v>15.0</v>
      </c>
      <c r="J69" s="134">
        <v>0.0</v>
      </c>
      <c r="K69" s="134">
        <v>15.0</v>
      </c>
      <c r="L69" s="134">
        <v>2.13</v>
      </c>
      <c r="M69" s="134">
        <v>15.0</v>
      </c>
      <c r="N69" s="134">
        <v>0.0</v>
      </c>
    </row>
    <row r="70">
      <c r="A70" s="131" t="s">
        <v>603</v>
      </c>
      <c r="B70" s="133" t="s">
        <v>604</v>
      </c>
      <c r="C70" s="134">
        <v>76.0</v>
      </c>
      <c r="D70" s="134">
        <v>3.16</v>
      </c>
      <c r="E70" s="134">
        <v>16.0</v>
      </c>
      <c r="F70" s="134">
        <v>1.0</v>
      </c>
      <c r="G70" s="134">
        <v>15.0</v>
      </c>
      <c r="H70" s="134">
        <v>0.0</v>
      </c>
      <c r="I70" s="134">
        <v>15.0</v>
      </c>
      <c r="J70" s="134">
        <v>1.07</v>
      </c>
      <c r="K70" s="134">
        <v>15.0</v>
      </c>
      <c r="L70" s="134">
        <v>0.0</v>
      </c>
      <c r="M70" s="134">
        <v>15.0</v>
      </c>
      <c r="N70" s="134">
        <v>1.07</v>
      </c>
    </row>
    <row r="71">
      <c r="A71" s="131" t="s">
        <v>605</v>
      </c>
      <c r="B71" s="133" t="s">
        <v>607</v>
      </c>
      <c r="C71" s="134">
        <v>79.0</v>
      </c>
      <c r="D71" s="134">
        <v>1.01</v>
      </c>
      <c r="E71" s="134">
        <v>16.0</v>
      </c>
      <c r="F71" s="134">
        <v>1.0</v>
      </c>
      <c r="G71" s="134">
        <v>16.0</v>
      </c>
      <c r="H71" s="134">
        <v>0.0</v>
      </c>
      <c r="I71" s="134">
        <v>16.0</v>
      </c>
      <c r="J71" s="134">
        <v>0.0</v>
      </c>
      <c r="K71" s="134">
        <v>16.0</v>
      </c>
      <c r="L71" s="134">
        <v>1.0</v>
      </c>
      <c r="M71" s="134">
        <v>15.0</v>
      </c>
      <c r="N71" s="134">
        <v>-1.07</v>
      </c>
    </row>
    <row r="72">
      <c r="A72" s="131" t="s">
        <v>608</v>
      </c>
      <c r="B72" s="133" t="s">
        <v>609</v>
      </c>
      <c r="C72" s="134">
        <v>88.0</v>
      </c>
      <c r="D72" s="134">
        <v>3.64</v>
      </c>
      <c r="E72" s="134">
        <v>17.0</v>
      </c>
      <c r="F72" s="134">
        <v>0.941</v>
      </c>
      <c r="G72" s="134">
        <v>18.0</v>
      </c>
      <c r="H72" s="134">
        <v>1.78</v>
      </c>
      <c r="I72" s="134">
        <v>18.0</v>
      </c>
      <c r="J72" s="134">
        <v>0.0</v>
      </c>
      <c r="K72" s="134">
        <v>18.0</v>
      </c>
      <c r="L72" s="134">
        <v>0.0</v>
      </c>
      <c r="M72" s="134">
        <v>17.0</v>
      </c>
      <c r="N72" s="134">
        <v>0.941</v>
      </c>
    </row>
    <row r="73">
      <c r="A73" s="131" t="s">
        <v>610</v>
      </c>
      <c r="B73" s="133" t="s">
        <v>502</v>
      </c>
      <c r="C73" s="134">
        <v>89.0</v>
      </c>
      <c r="D73" s="134">
        <v>8.99</v>
      </c>
      <c r="E73" s="134">
        <v>17.0</v>
      </c>
      <c r="F73" s="134">
        <v>0.941</v>
      </c>
      <c r="G73" s="134">
        <v>18.0</v>
      </c>
      <c r="H73" s="134">
        <v>4.44</v>
      </c>
      <c r="I73" s="134">
        <v>18.0</v>
      </c>
      <c r="J73" s="134">
        <v>2.67</v>
      </c>
      <c r="K73" s="134">
        <v>18.0</v>
      </c>
      <c r="L73" s="134">
        <v>0.0</v>
      </c>
      <c r="M73" s="134">
        <v>18.0</v>
      </c>
      <c r="N73" s="134">
        <v>0.889</v>
      </c>
    </row>
    <row r="74">
      <c r="A74" s="131" t="s">
        <v>509</v>
      </c>
      <c r="B74" s="133" t="s">
        <v>511</v>
      </c>
      <c r="C74" s="134">
        <v>82.0</v>
      </c>
      <c r="D74" s="134">
        <v>8.78</v>
      </c>
      <c r="E74" s="134">
        <v>17.0</v>
      </c>
      <c r="F74" s="134">
        <v>0.941</v>
      </c>
      <c r="G74" s="134">
        <v>16.0</v>
      </c>
      <c r="H74" s="134">
        <v>0.0</v>
      </c>
      <c r="I74" s="134">
        <v>17.0</v>
      </c>
      <c r="J74" s="134">
        <v>1.88</v>
      </c>
      <c r="K74" s="134">
        <v>16.0</v>
      </c>
      <c r="L74" s="134">
        <v>0.0</v>
      </c>
      <c r="M74" s="134">
        <v>16.0</v>
      </c>
      <c r="N74" s="134">
        <v>6.0</v>
      </c>
    </row>
    <row r="75">
      <c r="A75" s="131" t="s">
        <v>612</v>
      </c>
      <c r="B75" s="133" t="s">
        <v>613</v>
      </c>
      <c r="C75" s="134">
        <v>80.0</v>
      </c>
      <c r="D75" s="134">
        <v>4.0</v>
      </c>
      <c r="E75" s="134">
        <v>17.0</v>
      </c>
      <c r="F75" s="134">
        <v>0.941</v>
      </c>
      <c r="G75" s="134">
        <v>17.0</v>
      </c>
      <c r="H75" s="134">
        <v>0.0</v>
      </c>
      <c r="I75" s="134">
        <v>16.0</v>
      </c>
      <c r="J75" s="134">
        <v>3.0</v>
      </c>
      <c r="K75" s="134">
        <v>15.0</v>
      </c>
      <c r="L75" s="134">
        <v>0.0</v>
      </c>
      <c r="M75" s="134">
        <v>15.0</v>
      </c>
      <c r="N75" s="134">
        <v>0.0</v>
      </c>
    </row>
    <row r="76">
      <c r="A76" s="131" t="s">
        <v>615</v>
      </c>
      <c r="B76" s="133" t="s">
        <v>614</v>
      </c>
      <c r="C76" s="134">
        <v>78.0</v>
      </c>
      <c r="D76" s="134">
        <v>4.1</v>
      </c>
      <c r="E76" s="134">
        <v>18.0</v>
      </c>
      <c r="F76" s="134">
        <v>0.889</v>
      </c>
      <c r="G76" s="134">
        <v>16.0</v>
      </c>
      <c r="H76" s="134">
        <v>1.0</v>
      </c>
      <c r="I76" s="134">
        <v>15.0</v>
      </c>
      <c r="J76" s="134">
        <v>1.07</v>
      </c>
      <c r="K76" s="134">
        <v>15.0</v>
      </c>
      <c r="L76" s="134">
        <v>-1.07</v>
      </c>
      <c r="M76" s="134">
        <v>14.0</v>
      </c>
      <c r="N76" s="134">
        <v>2.29</v>
      </c>
    </row>
    <row r="77">
      <c r="A77" s="131" t="s">
        <v>617</v>
      </c>
      <c r="B77" s="133" t="s">
        <v>618</v>
      </c>
      <c r="C77" s="134">
        <v>89.0</v>
      </c>
      <c r="D77" s="134">
        <v>1.8</v>
      </c>
      <c r="E77" s="134">
        <v>18.0</v>
      </c>
      <c r="F77" s="134">
        <v>0.889</v>
      </c>
      <c r="G77" s="134">
        <v>18.0</v>
      </c>
      <c r="H77" s="134">
        <v>0.0</v>
      </c>
      <c r="I77" s="134">
        <v>18.0</v>
      </c>
      <c r="J77" s="134">
        <v>0.0</v>
      </c>
      <c r="K77" s="134">
        <v>17.0</v>
      </c>
      <c r="L77" s="134">
        <v>0.941</v>
      </c>
      <c r="M77" s="134">
        <v>18.0</v>
      </c>
      <c r="N77" s="134">
        <v>0.0</v>
      </c>
    </row>
    <row r="78">
      <c r="A78" s="131" t="s">
        <v>620</v>
      </c>
      <c r="B78" s="133" t="s">
        <v>527</v>
      </c>
      <c r="C78" s="134">
        <v>91.0</v>
      </c>
      <c r="D78" s="134">
        <v>7.91</v>
      </c>
      <c r="E78" s="134">
        <v>19.0</v>
      </c>
      <c r="F78" s="134">
        <v>0.842</v>
      </c>
      <c r="G78" s="134">
        <v>19.0</v>
      </c>
      <c r="H78" s="134">
        <v>0.0</v>
      </c>
      <c r="I78" s="134">
        <v>18.0</v>
      </c>
      <c r="J78" s="134">
        <v>0.0</v>
      </c>
      <c r="K78" s="134">
        <v>18.0</v>
      </c>
      <c r="L78" s="134">
        <v>7.11</v>
      </c>
      <c r="M78" s="134">
        <v>17.0</v>
      </c>
      <c r="N78" s="134">
        <v>0.0</v>
      </c>
    </row>
    <row r="79">
      <c r="A79" s="131" t="s">
        <v>392</v>
      </c>
      <c r="B79" s="133" t="s">
        <v>623</v>
      </c>
      <c r="C79" s="134">
        <v>91.0</v>
      </c>
      <c r="D79" s="134">
        <v>2.64</v>
      </c>
      <c r="E79" s="134">
        <v>19.0</v>
      </c>
      <c r="F79" s="134">
        <v>0.842</v>
      </c>
      <c r="G79" s="134">
        <v>19.0</v>
      </c>
      <c r="H79" s="134">
        <v>0.0</v>
      </c>
      <c r="I79" s="134">
        <v>18.0</v>
      </c>
      <c r="J79" s="134">
        <v>0.0</v>
      </c>
      <c r="K79" s="134">
        <v>18.0</v>
      </c>
      <c r="L79" s="134">
        <v>0.889</v>
      </c>
      <c r="M79" s="134">
        <v>17.0</v>
      </c>
      <c r="N79" s="134">
        <v>0.941</v>
      </c>
    </row>
    <row r="80">
      <c r="A80" s="131" t="s">
        <v>523</v>
      </c>
      <c r="B80" s="133" t="s">
        <v>625</v>
      </c>
      <c r="C80" s="134">
        <v>99.0</v>
      </c>
      <c r="D80" s="134">
        <v>4.04</v>
      </c>
      <c r="E80" s="134">
        <v>20.0</v>
      </c>
      <c r="F80" s="134">
        <v>0.8</v>
      </c>
      <c r="G80" s="134">
        <v>20.0</v>
      </c>
      <c r="H80" s="134">
        <v>1.6</v>
      </c>
      <c r="I80" s="134">
        <v>20.0</v>
      </c>
      <c r="J80" s="134">
        <v>0.8</v>
      </c>
      <c r="K80" s="134">
        <v>20.0</v>
      </c>
      <c r="L80" s="134">
        <v>0.0</v>
      </c>
      <c r="M80" s="134">
        <v>19.0</v>
      </c>
      <c r="N80" s="134">
        <v>0.842</v>
      </c>
    </row>
    <row r="81">
      <c r="A81" s="131" t="s">
        <v>626</v>
      </c>
      <c r="B81" s="133" t="s">
        <v>578</v>
      </c>
      <c r="C81" s="134">
        <v>99.0</v>
      </c>
      <c r="D81" s="134">
        <v>5.66</v>
      </c>
      <c r="E81" s="134">
        <v>20.0</v>
      </c>
      <c r="F81" s="134">
        <v>0.8</v>
      </c>
      <c r="G81" s="134">
        <v>20.0</v>
      </c>
      <c r="H81" s="134">
        <v>0.0</v>
      </c>
      <c r="I81" s="134">
        <v>20.0</v>
      </c>
      <c r="J81" s="134">
        <v>2.4</v>
      </c>
      <c r="K81" s="134">
        <v>20.0</v>
      </c>
      <c r="L81" s="134">
        <v>1.6</v>
      </c>
      <c r="M81" s="134">
        <v>19.0</v>
      </c>
      <c r="N81" s="134">
        <v>0.842</v>
      </c>
    </row>
    <row r="82">
      <c r="A82" s="131" t="s">
        <v>396</v>
      </c>
      <c r="B82" s="133" t="s">
        <v>505</v>
      </c>
      <c r="C82" s="134">
        <v>98.0</v>
      </c>
      <c r="D82" s="134">
        <v>8.98</v>
      </c>
      <c r="E82" s="134">
        <v>20.0</v>
      </c>
      <c r="F82" s="134">
        <v>0.8</v>
      </c>
      <c r="G82" s="134">
        <v>20.0</v>
      </c>
      <c r="H82" s="134">
        <v>1.6</v>
      </c>
      <c r="I82" s="134">
        <v>20.0</v>
      </c>
      <c r="J82" s="134">
        <v>1.6</v>
      </c>
      <c r="K82" s="134">
        <v>19.0</v>
      </c>
      <c r="L82" s="134">
        <v>5.89</v>
      </c>
      <c r="M82" s="134">
        <v>19.0</v>
      </c>
      <c r="N82" s="134">
        <v>-0.842</v>
      </c>
    </row>
    <row r="83">
      <c r="A83" s="131" t="s">
        <v>422</v>
      </c>
      <c r="B83" s="133" t="s">
        <v>629</v>
      </c>
      <c r="C83" s="134">
        <v>98.0</v>
      </c>
      <c r="D83" s="134">
        <v>2.45</v>
      </c>
      <c r="E83" s="134">
        <v>20.0</v>
      </c>
      <c r="F83" s="134">
        <v>0.8</v>
      </c>
      <c r="G83" s="134">
        <v>20.0</v>
      </c>
      <c r="H83" s="134">
        <v>0.0</v>
      </c>
      <c r="I83" s="134">
        <v>20.0</v>
      </c>
      <c r="J83" s="134">
        <v>-0.8</v>
      </c>
      <c r="K83" s="134">
        <v>19.0</v>
      </c>
      <c r="L83" s="134">
        <v>0.0</v>
      </c>
      <c r="M83" s="134">
        <v>19.0</v>
      </c>
      <c r="N83" s="134">
        <v>2.53</v>
      </c>
    </row>
    <row r="84">
      <c r="A84" s="131" t="s">
        <v>482</v>
      </c>
      <c r="B84" s="133" t="s">
        <v>451</v>
      </c>
      <c r="C84" s="134">
        <v>98.0</v>
      </c>
      <c r="D84" s="134">
        <v>13.1</v>
      </c>
      <c r="E84" s="134">
        <v>20.0</v>
      </c>
      <c r="F84" s="134">
        <v>0.8</v>
      </c>
      <c r="G84" s="134">
        <v>20.0</v>
      </c>
      <c r="H84" s="134">
        <v>8.0</v>
      </c>
      <c r="I84" s="134">
        <v>20.0</v>
      </c>
      <c r="J84" s="134">
        <v>0.8</v>
      </c>
      <c r="K84" s="134">
        <v>19.0</v>
      </c>
      <c r="L84" s="134">
        <v>0.0</v>
      </c>
      <c r="M84" s="134">
        <v>19.0</v>
      </c>
      <c r="N84" s="134">
        <v>3.37</v>
      </c>
    </row>
    <row r="85">
      <c r="A85" s="131" t="s">
        <v>498</v>
      </c>
      <c r="B85" s="133" t="s">
        <v>590</v>
      </c>
      <c r="C85" s="134">
        <v>97.0</v>
      </c>
      <c r="D85" s="134">
        <v>4.95</v>
      </c>
      <c r="E85" s="134">
        <v>20.0</v>
      </c>
      <c r="F85" s="134">
        <v>0.8</v>
      </c>
      <c r="G85" s="134">
        <v>20.0</v>
      </c>
      <c r="H85" s="134">
        <v>0.8</v>
      </c>
      <c r="I85" s="134">
        <v>19.0</v>
      </c>
      <c r="J85" s="134">
        <v>2.53</v>
      </c>
      <c r="K85" s="134">
        <v>19.0</v>
      </c>
      <c r="L85" s="134">
        <v>0.0</v>
      </c>
      <c r="M85" s="134">
        <v>19.0</v>
      </c>
      <c r="N85" s="134">
        <v>0.842</v>
      </c>
    </row>
    <row r="86">
      <c r="A86" s="131" t="s">
        <v>504</v>
      </c>
      <c r="B86" s="133" t="s">
        <v>527</v>
      </c>
      <c r="C86" s="134">
        <v>99.0</v>
      </c>
      <c r="D86" s="134">
        <v>2.42</v>
      </c>
      <c r="E86" s="134">
        <v>20.0</v>
      </c>
      <c r="F86" s="134">
        <v>0.8</v>
      </c>
      <c r="G86" s="134">
        <v>20.0</v>
      </c>
      <c r="H86" s="134">
        <v>0.0</v>
      </c>
      <c r="I86" s="134">
        <v>20.0</v>
      </c>
      <c r="J86" s="134">
        <v>-0.8</v>
      </c>
      <c r="K86" s="134">
        <v>20.0</v>
      </c>
      <c r="L86" s="134">
        <v>0.0</v>
      </c>
      <c r="M86" s="134">
        <v>19.0</v>
      </c>
      <c r="N86" s="134">
        <v>2.53</v>
      </c>
    </row>
    <row r="87">
      <c r="A87" s="131" t="s">
        <v>585</v>
      </c>
      <c r="B87" s="133" t="s">
        <v>635</v>
      </c>
      <c r="C87" s="134">
        <v>100.0</v>
      </c>
      <c r="D87" s="134">
        <v>2.4</v>
      </c>
      <c r="E87" s="134">
        <v>20.0</v>
      </c>
      <c r="F87" s="134">
        <v>0.8</v>
      </c>
      <c r="G87" s="134">
        <v>20.0</v>
      </c>
      <c r="H87" s="134">
        <v>0.0</v>
      </c>
      <c r="I87" s="134">
        <v>20.0</v>
      </c>
      <c r="J87" s="134">
        <v>0.0</v>
      </c>
      <c r="K87" s="134">
        <v>20.0</v>
      </c>
      <c r="L87" s="134">
        <v>1.6</v>
      </c>
      <c r="M87" s="134">
        <v>20.0</v>
      </c>
      <c r="N87" s="134">
        <v>0.0</v>
      </c>
    </row>
    <row r="88">
      <c r="A88" s="131" t="s">
        <v>593</v>
      </c>
      <c r="B88" s="133" t="s">
        <v>637</v>
      </c>
      <c r="C88" s="134">
        <v>100.0</v>
      </c>
      <c r="D88" s="134">
        <v>1.6</v>
      </c>
      <c r="E88" s="134">
        <v>20.0</v>
      </c>
      <c r="F88" s="134">
        <v>0.8</v>
      </c>
      <c r="G88" s="134">
        <v>20.0</v>
      </c>
      <c r="H88" s="134">
        <v>0.0</v>
      </c>
      <c r="I88" s="134">
        <v>20.0</v>
      </c>
      <c r="J88" s="134">
        <v>0.0</v>
      </c>
      <c r="K88" s="134">
        <v>20.0</v>
      </c>
      <c r="L88" s="134">
        <v>0.8</v>
      </c>
      <c r="M88" s="134">
        <v>20.0</v>
      </c>
      <c r="N88" s="134">
        <v>0.0</v>
      </c>
    </row>
    <row r="89">
      <c r="A89" s="131" t="s">
        <v>624</v>
      </c>
      <c r="B89" s="133" t="s">
        <v>632</v>
      </c>
      <c r="C89" s="134">
        <v>100.0</v>
      </c>
      <c r="D89" s="134">
        <v>4.0</v>
      </c>
      <c r="E89" s="134">
        <v>20.0</v>
      </c>
      <c r="F89" s="134">
        <v>0.8</v>
      </c>
      <c r="G89" s="134">
        <v>20.0</v>
      </c>
      <c r="H89" s="134">
        <v>0.8</v>
      </c>
      <c r="I89" s="134">
        <v>20.0</v>
      </c>
      <c r="J89" s="134">
        <v>0.8</v>
      </c>
      <c r="K89" s="134">
        <v>20.0</v>
      </c>
      <c r="L89" s="134">
        <v>0.0</v>
      </c>
      <c r="M89" s="134">
        <v>20.0</v>
      </c>
      <c r="N89" s="134">
        <v>1.6</v>
      </c>
    </row>
    <row r="90">
      <c r="A90" s="131" t="s">
        <v>627</v>
      </c>
      <c r="B90" s="133" t="s">
        <v>619</v>
      </c>
      <c r="C90" s="134">
        <v>98.0</v>
      </c>
      <c r="D90" s="134">
        <v>4.08</v>
      </c>
      <c r="E90" s="134">
        <v>20.0</v>
      </c>
      <c r="F90" s="134">
        <v>0.8</v>
      </c>
      <c r="G90" s="134">
        <v>20.0</v>
      </c>
      <c r="H90" s="134">
        <v>0.0</v>
      </c>
      <c r="I90" s="134">
        <v>20.0</v>
      </c>
      <c r="J90" s="134">
        <v>0.0</v>
      </c>
      <c r="K90" s="134">
        <v>20.0</v>
      </c>
      <c r="L90" s="134">
        <v>0.0</v>
      </c>
      <c r="M90" s="134">
        <v>18.0</v>
      </c>
      <c r="N90" s="134">
        <v>3.56</v>
      </c>
    </row>
    <row r="91">
      <c r="A91" s="131" t="s">
        <v>631</v>
      </c>
      <c r="B91" s="133" t="s">
        <v>641</v>
      </c>
      <c r="C91" s="134">
        <v>98.0</v>
      </c>
      <c r="D91" s="134">
        <v>0.816</v>
      </c>
      <c r="E91" s="134">
        <v>20.0</v>
      </c>
      <c r="F91" s="134">
        <v>0.8</v>
      </c>
      <c r="G91" s="134">
        <v>20.0</v>
      </c>
      <c r="H91" s="134">
        <v>0.0</v>
      </c>
      <c r="I91" s="134">
        <v>20.0</v>
      </c>
      <c r="J91" s="134">
        <v>0.0</v>
      </c>
      <c r="K91" s="134">
        <v>19.0</v>
      </c>
      <c r="L91" s="134">
        <v>0.0</v>
      </c>
      <c r="M91" s="134">
        <v>19.0</v>
      </c>
      <c r="N91" s="134">
        <v>0.0</v>
      </c>
    </row>
    <row r="92">
      <c r="A92" s="131" t="s">
        <v>643</v>
      </c>
      <c r="B92" s="133" t="s">
        <v>644</v>
      </c>
      <c r="C92" s="134">
        <v>99.0</v>
      </c>
      <c r="D92" s="134">
        <v>0.808</v>
      </c>
      <c r="E92" s="134">
        <v>20.0</v>
      </c>
      <c r="F92" s="134">
        <v>0.8</v>
      </c>
      <c r="G92" s="134">
        <v>20.0</v>
      </c>
      <c r="H92" s="134">
        <v>0.0</v>
      </c>
      <c r="I92" s="134">
        <v>20.0</v>
      </c>
      <c r="J92" s="134">
        <v>-0.8</v>
      </c>
      <c r="K92" s="134">
        <v>20.0</v>
      </c>
      <c r="L92" s="134">
        <v>0.0</v>
      </c>
      <c r="M92" s="134">
        <v>19.0</v>
      </c>
      <c r="N92" s="134">
        <v>0.842</v>
      </c>
    </row>
    <row r="93">
      <c r="A93" s="131" t="s">
        <v>645</v>
      </c>
      <c r="B93" s="133" t="s">
        <v>484</v>
      </c>
      <c r="C93" s="134">
        <v>99.0</v>
      </c>
      <c r="D93" s="134">
        <v>10.5</v>
      </c>
      <c r="E93" s="134">
        <v>20.0</v>
      </c>
      <c r="F93" s="134">
        <v>0.8</v>
      </c>
      <c r="G93" s="134">
        <v>20.0</v>
      </c>
      <c r="H93" s="134">
        <v>6.4</v>
      </c>
      <c r="I93" s="134">
        <v>20.0</v>
      </c>
      <c r="J93" s="134">
        <v>1.6</v>
      </c>
      <c r="K93" s="134">
        <v>20.0</v>
      </c>
      <c r="L93" s="134">
        <v>1.6</v>
      </c>
      <c r="M93" s="134">
        <v>19.0</v>
      </c>
      <c r="N93" s="134">
        <v>0.0</v>
      </c>
    </row>
    <row r="94">
      <c r="A94" s="131" t="s">
        <v>647</v>
      </c>
      <c r="B94" s="133" t="s">
        <v>648</v>
      </c>
      <c r="C94" s="134">
        <v>97.0</v>
      </c>
      <c r="D94" s="134">
        <v>0.825</v>
      </c>
      <c r="E94" s="134">
        <v>20.0</v>
      </c>
      <c r="F94" s="134">
        <v>0.8</v>
      </c>
      <c r="G94" s="134">
        <v>20.0</v>
      </c>
      <c r="H94" s="134">
        <v>0.0</v>
      </c>
      <c r="I94" s="134">
        <v>20.0</v>
      </c>
      <c r="J94" s="134">
        <v>0.0</v>
      </c>
      <c r="K94" s="134">
        <v>19.0</v>
      </c>
      <c r="L94" s="134">
        <v>0.0</v>
      </c>
      <c r="M94" s="134">
        <v>18.0</v>
      </c>
      <c r="N94" s="134">
        <v>0.0</v>
      </c>
    </row>
    <row r="95">
      <c r="A95" s="131" t="s">
        <v>649</v>
      </c>
      <c r="B95" s="133" t="s">
        <v>499</v>
      </c>
      <c r="C95" s="134">
        <v>97.0</v>
      </c>
      <c r="D95" s="134">
        <v>9.07</v>
      </c>
      <c r="E95" s="134">
        <v>20.0</v>
      </c>
      <c r="F95" s="134">
        <v>0.8</v>
      </c>
      <c r="G95" s="134">
        <v>20.0</v>
      </c>
      <c r="H95" s="134">
        <v>0.8</v>
      </c>
      <c r="I95" s="134">
        <v>20.0</v>
      </c>
      <c r="J95" s="134">
        <v>3.2</v>
      </c>
      <c r="K95" s="134">
        <v>19.0</v>
      </c>
      <c r="L95" s="134">
        <v>0.842</v>
      </c>
      <c r="M95" s="134">
        <v>18.0</v>
      </c>
      <c r="N95" s="134">
        <v>3.56</v>
      </c>
    </row>
    <row r="96">
      <c r="A96" s="131" t="s">
        <v>651</v>
      </c>
      <c r="B96" s="133" t="s">
        <v>486</v>
      </c>
      <c r="C96" s="134">
        <v>100.0</v>
      </c>
      <c r="D96" s="134">
        <v>10.4</v>
      </c>
      <c r="E96" s="134">
        <v>20.0</v>
      </c>
      <c r="F96" s="134">
        <v>0.8</v>
      </c>
      <c r="G96" s="134">
        <v>20.0</v>
      </c>
      <c r="H96" s="134">
        <v>6.4</v>
      </c>
      <c r="I96" s="134">
        <v>20.0</v>
      </c>
      <c r="J96" s="134">
        <v>0.8</v>
      </c>
      <c r="K96" s="134">
        <v>20.0</v>
      </c>
      <c r="L96" s="134">
        <v>1.6</v>
      </c>
      <c r="M96" s="134">
        <v>20.0</v>
      </c>
      <c r="N96" s="134">
        <v>0.8</v>
      </c>
    </row>
    <row r="97">
      <c r="A97" s="131" t="s">
        <v>652</v>
      </c>
      <c r="B97" s="133" t="s">
        <v>557</v>
      </c>
      <c r="C97" s="134">
        <v>98.0</v>
      </c>
      <c r="D97" s="134">
        <v>6.53</v>
      </c>
      <c r="E97" s="134">
        <v>21.0</v>
      </c>
      <c r="F97" s="134">
        <v>0.762</v>
      </c>
      <c r="G97" s="134">
        <v>21.0</v>
      </c>
      <c r="H97" s="134">
        <v>3.05</v>
      </c>
      <c r="I97" s="134">
        <v>20.0</v>
      </c>
      <c r="J97" s="134">
        <v>0.8</v>
      </c>
      <c r="K97" s="134">
        <v>18.0</v>
      </c>
      <c r="L97" s="134">
        <v>1.78</v>
      </c>
      <c r="M97" s="134">
        <v>18.0</v>
      </c>
      <c r="N97" s="134">
        <v>0.0</v>
      </c>
    </row>
    <row r="98">
      <c r="A98" s="131" t="s">
        <v>488</v>
      </c>
      <c r="B98" s="133" t="s">
        <v>616</v>
      </c>
      <c r="C98" s="134">
        <v>98.0</v>
      </c>
      <c r="D98" s="134">
        <v>4.08</v>
      </c>
      <c r="E98" s="134">
        <v>21.0</v>
      </c>
      <c r="F98" s="134">
        <v>0.762</v>
      </c>
      <c r="G98" s="134">
        <v>21.0</v>
      </c>
      <c r="H98" s="134">
        <v>0.762</v>
      </c>
      <c r="I98" s="134">
        <v>20.0</v>
      </c>
      <c r="J98" s="134">
        <v>2.4</v>
      </c>
      <c r="K98" s="134">
        <v>18.0</v>
      </c>
      <c r="L98" s="134">
        <v>0.0</v>
      </c>
      <c r="M98" s="134">
        <v>18.0</v>
      </c>
      <c r="N98" s="134">
        <v>0.0</v>
      </c>
    </row>
    <row r="99">
      <c r="A99" s="131" t="s">
        <v>549</v>
      </c>
      <c r="B99" s="133" t="s">
        <v>653</v>
      </c>
      <c r="C99" s="134">
        <v>40.0</v>
      </c>
      <c r="D99" s="134">
        <v>-4.0</v>
      </c>
      <c r="E99" s="134">
        <v>8.0</v>
      </c>
      <c r="F99" s="134">
        <v>0.0</v>
      </c>
      <c r="G99" s="134">
        <v>8.0</v>
      </c>
      <c r="H99" s="134">
        <v>0.0</v>
      </c>
      <c r="I99" s="134">
        <v>8.0</v>
      </c>
      <c r="J99" s="134">
        <v>0.0</v>
      </c>
      <c r="K99" s="134">
        <v>8.0</v>
      </c>
      <c r="L99" s="134">
        <v>-2.0</v>
      </c>
      <c r="M99" s="134">
        <v>8.0</v>
      </c>
      <c r="N99" s="134">
        <v>-2.0</v>
      </c>
    </row>
    <row r="100">
      <c r="A100" s="131" t="s">
        <v>556</v>
      </c>
      <c r="B100" s="133" t="s">
        <v>415</v>
      </c>
      <c r="C100" s="134">
        <v>98.0</v>
      </c>
      <c r="D100" s="134">
        <v>14.7</v>
      </c>
      <c r="E100" s="134">
        <v>20.0</v>
      </c>
      <c r="F100" s="134">
        <v>0.0</v>
      </c>
      <c r="G100" s="134">
        <v>20.0</v>
      </c>
      <c r="H100" s="134">
        <v>0.0</v>
      </c>
      <c r="I100" s="134">
        <v>20.0</v>
      </c>
      <c r="J100" s="134">
        <v>4.0</v>
      </c>
      <c r="K100" s="134">
        <v>19.0</v>
      </c>
      <c r="L100" s="134">
        <v>4.21</v>
      </c>
      <c r="M100" s="134">
        <v>19.0</v>
      </c>
      <c r="N100" s="134">
        <v>6.74</v>
      </c>
    </row>
    <row r="101">
      <c r="A101" s="131" t="s">
        <v>621</v>
      </c>
      <c r="B101" s="133" t="s">
        <v>656</v>
      </c>
      <c r="C101" s="134">
        <v>98.0</v>
      </c>
      <c r="D101" s="134">
        <v>2.45</v>
      </c>
      <c r="E101" s="134">
        <v>20.0</v>
      </c>
      <c r="F101" s="134">
        <v>0.0</v>
      </c>
      <c r="G101" s="134">
        <v>20.0</v>
      </c>
      <c r="H101" s="134">
        <v>0.0</v>
      </c>
      <c r="I101" s="134">
        <v>20.0</v>
      </c>
      <c r="J101" s="134">
        <v>0.8</v>
      </c>
      <c r="K101" s="134">
        <v>19.0</v>
      </c>
      <c r="L101" s="134">
        <v>1.68</v>
      </c>
      <c r="M101" s="134">
        <v>19.0</v>
      </c>
      <c r="N101" s="134">
        <v>0.0</v>
      </c>
    </row>
    <row r="102">
      <c r="A102" s="131" t="s">
        <v>382</v>
      </c>
      <c r="B102" s="133" t="s">
        <v>564</v>
      </c>
      <c r="C102" s="134">
        <v>99.0</v>
      </c>
      <c r="D102" s="134">
        <v>6.46</v>
      </c>
      <c r="E102" s="134">
        <v>20.0</v>
      </c>
      <c r="F102" s="134">
        <v>0.0</v>
      </c>
      <c r="G102" s="134">
        <v>20.0</v>
      </c>
      <c r="H102" s="134">
        <v>4.0</v>
      </c>
      <c r="I102" s="134">
        <v>20.0</v>
      </c>
      <c r="J102" s="134">
        <v>0.0</v>
      </c>
      <c r="K102" s="134">
        <v>20.0</v>
      </c>
      <c r="L102" s="134">
        <v>0.8</v>
      </c>
      <c r="M102" s="134">
        <v>19.0</v>
      </c>
      <c r="N102" s="134">
        <v>1.68</v>
      </c>
    </row>
    <row r="103">
      <c r="A103" s="131" t="s">
        <v>398</v>
      </c>
      <c r="B103" s="133" t="s">
        <v>659</v>
      </c>
      <c r="C103" s="134">
        <v>99.0</v>
      </c>
      <c r="D103" s="134">
        <v>0.808</v>
      </c>
      <c r="E103" s="134">
        <v>20.0</v>
      </c>
      <c r="F103" s="134">
        <v>0.0</v>
      </c>
      <c r="G103" s="134">
        <v>20.0</v>
      </c>
      <c r="H103" s="134">
        <v>0.0</v>
      </c>
      <c r="I103" s="134">
        <v>20.0</v>
      </c>
      <c r="J103" s="134">
        <v>0.0</v>
      </c>
      <c r="K103" s="134">
        <v>20.0</v>
      </c>
      <c r="L103" s="134">
        <v>0.0</v>
      </c>
      <c r="M103" s="134">
        <v>19.0</v>
      </c>
      <c r="N103" s="134">
        <v>0.842</v>
      </c>
    </row>
    <row r="104">
      <c r="A104" s="131" t="s">
        <v>400</v>
      </c>
      <c r="B104" s="133" t="s">
        <v>657</v>
      </c>
      <c r="C104" s="134">
        <v>98.0</v>
      </c>
      <c r="D104" s="134">
        <v>2.45</v>
      </c>
      <c r="E104" s="134">
        <v>21.0</v>
      </c>
      <c r="F104" s="134">
        <v>0.0</v>
      </c>
      <c r="G104" s="134">
        <v>21.0</v>
      </c>
      <c r="H104" s="134">
        <v>0.762</v>
      </c>
      <c r="I104" s="134">
        <v>20.0</v>
      </c>
      <c r="J104" s="134">
        <v>0.0</v>
      </c>
      <c r="K104" s="134">
        <v>18.0</v>
      </c>
      <c r="L104" s="134">
        <v>0.0</v>
      </c>
      <c r="M104" s="134">
        <v>18.0</v>
      </c>
      <c r="N104" s="134">
        <v>1.78</v>
      </c>
    </row>
    <row r="105">
      <c r="A105" s="131" t="s">
        <v>410</v>
      </c>
      <c r="B105" s="133" t="s">
        <v>661</v>
      </c>
      <c r="C105" s="134">
        <v>67.0</v>
      </c>
      <c r="D105" s="134">
        <v>0.0</v>
      </c>
      <c r="E105" s="134">
        <v>13.0</v>
      </c>
      <c r="F105" s="134">
        <v>0.0</v>
      </c>
      <c r="G105" s="134">
        <v>14.0</v>
      </c>
      <c r="H105" s="134">
        <v>0.0</v>
      </c>
      <c r="I105" s="134">
        <v>14.0</v>
      </c>
      <c r="J105" s="134">
        <v>0.0</v>
      </c>
      <c r="K105" s="134">
        <v>13.0</v>
      </c>
      <c r="L105" s="134">
        <v>0.0</v>
      </c>
      <c r="M105" s="134">
        <v>13.0</v>
      </c>
      <c r="N105" s="134">
        <v>0.0</v>
      </c>
    </row>
    <row r="106">
      <c r="A106" s="131" t="s">
        <v>420</v>
      </c>
      <c r="B106" s="133" t="s">
        <v>663</v>
      </c>
      <c r="C106" s="134">
        <v>78.0</v>
      </c>
      <c r="D106" s="134">
        <v>2.05</v>
      </c>
      <c r="E106" s="134">
        <v>16.0</v>
      </c>
      <c r="F106" s="134">
        <v>0.0</v>
      </c>
      <c r="G106" s="134">
        <v>16.0</v>
      </c>
      <c r="H106" s="134">
        <v>2.0</v>
      </c>
      <c r="I106" s="134">
        <v>16.0</v>
      </c>
      <c r="J106" s="134">
        <v>0.0</v>
      </c>
      <c r="K106" s="134">
        <v>15.0</v>
      </c>
      <c r="L106" s="134">
        <v>0.0</v>
      </c>
      <c r="M106" s="134">
        <v>15.0</v>
      </c>
      <c r="N106" s="134">
        <v>0.0</v>
      </c>
    </row>
    <row r="107">
      <c r="A107" s="131" t="s">
        <v>440</v>
      </c>
      <c r="B107" s="133" t="s">
        <v>665</v>
      </c>
      <c r="C107" s="134">
        <v>62.0</v>
      </c>
      <c r="D107" s="134">
        <v>0.0</v>
      </c>
      <c r="E107" s="134">
        <v>14.0</v>
      </c>
      <c r="F107" s="134">
        <v>0.0</v>
      </c>
      <c r="G107" s="134">
        <v>12.0</v>
      </c>
      <c r="H107" s="134">
        <v>0.0</v>
      </c>
      <c r="I107" s="134">
        <v>12.0</v>
      </c>
      <c r="J107" s="134">
        <v>0.0</v>
      </c>
      <c r="K107" s="134">
        <v>12.0</v>
      </c>
      <c r="L107" s="134">
        <v>0.0</v>
      </c>
      <c r="M107" s="134">
        <v>12.0</v>
      </c>
      <c r="N107" s="134">
        <v>0.0</v>
      </c>
    </row>
    <row r="108">
      <c r="A108" s="131" t="s">
        <v>450</v>
      </c>
      <c r="B108" s="133" t="s">
        <v>477</v>
      </c>
      <c r="C108" s="134">
        <v>95.0</v>
      </c>
      <c r="D108" s="134">
        <v>10.9</v>
      </c>
      <c r="E108" s="134">
        <v>20.0</v>
      </c>
      <c r="F108" s="134">
        <v>0.0</v>
      </c>
      <c r="G108" s="134">
        <v>20.0</v>
      </c>
      <c r="H108" s="134">
        <v>8.0</v>
      </c>
      <c r="I108" s="134">
        <v>19.0</v>
      </c>
      <c r="J108" s="134">
        <v>0.0</v>
      </c>
      <c r="K108" s="134">
        <v>18.0</v>
      </c>
      <c r="L108" s="134">
        <v>0.889</v>
      </c>
      <c r="M108" s="134">
        <v>18.0</v>
      </c>
      <c r="N108" s="134">
        <v>1.78</v>
      </c>
    </row>
    <row r="109">
      <c r="A109" s="131" t="s">
        <v>472</v>
      </c>
      <c r="B109" s="133" t="s">
        <v>650</v>
      </c>
      <c r="C109" s="134">
        <v>78.0</v>
      </c>
      <c r="D109" s="134">
        <v>3.08</v>
      </c>
      <c r="E109" s="134">
        <v>16.0</v>
      </c>
      <c r="F109" s="134">
        <v>0.0</v>
      </c>
      <c r="G109" s="134">
        <v>16.0</v>
      </c>
      <c r="H109" s="134">
        <v>0.0</v>
      </c>
      <c r="I109" s="134">
        <v>16.0</v>
      </c>
      <c r="J109" s="134">
        <v>2.0</v>
      </c>
      <c r="K109" s="134">
        <v>15.0</v>
      </c>
      <c r="L109" s="134">
        <v>1.07</v>
      </c>
      <c r="M109" s="134">
        <v>15.0</v>
      </c>
      <c r="N109" s="134">
        <v>0.0</v>
      </c>
    </row>
    <row r="110">
      <c r="A110" s="131" t="s">
        <v>476</v>
      </c>
      <c r="B110" s="133" t="s">
        <v>543</v>
      </c>
      <c r="C110" s="134">
        <v>98.0</v>
      </c>
      <c r="D110" s="134">
        <v>7.35</v>
      </c>
      <c r="E110" s="134">
        <v>20.0</v>
      </c>
      <c r="F110" s="134">
        <v>0.0</v>
      </c>
      <c r="G110" s="134">
        <v>20.0</v>
      </c>
      <c r="H110" s="134">
        <v>7.2</v>
      </c>
      <c r="I110" s="134">
        <v>20.0</v>
      </c>
      <c r="J110" s="134">
        <v>0.0</v>
      </c>
      <c r="K110" s="134">
        <v>19.0</v>
      </c>
      <c r="L110" s="134">
        <v>0.0</v>
      </c>
      <c r="M110" s="134">
        <v>19.0</v>
      </c>
      <c r="N110" s="134">
        <v>0.0</v>
      </c>
    </row>
    <row r="111">
      <c r="A111" s="131" t="s">
        <v>490</v>
      </c>
      <c r="B111" s="133" t="s">
        <v>582</v>
      </c>
      <c r="C111" s="134">
        <v>94.0</v>
      </c>
      <c r="D111" s="134">
        <v>5.11</v>
      </c>
      <c r="E111" s="134">
        <v>20.0</v>
      </c>
      <c r="F111" s="134">
        <v>0.0</v>
      </c>
      <c r="G111" s="134">
        <v>19.0</v>
      </c>
      <c r="H111" s="134">
        <v>0.0</v>
      </c>
      <c r="I111" s="134">
        <v>19.0</v>
      </c>
      <c r="J111" s="134">
        <v>0.0</v>
      </c>
      <c r="K111" s="134">
        <v>18.0</v>
      </c>
      <c r="L111" s="134">
        <v>5.33</v>
      </c>
      <c r="M111" s="134">
        <v>18.0</v>
      </c>
      <c r="N111" s="134">
        <v>0.0</v>
      </c>
    </row>
    <row r="112">
      <c r="A112" s="131" t="s">
        <v>494</v>
      </c>
      <c r="B112" s="133" t="s">
        <v>455</v>
      </c>
      <c r="C112" s="134">
        <v>94.0</v>
      </c>
      <c r="D112" s="134">
        <v>12.8</v>
      </c>
      <c r="E112" s="134">
        <v>20.0</v>
      </c>
      <c r="F112" s="134">
        <v>0.0</v>
      </c>
      <c r="G112" s="134">
        <v>19.0</v>
      </c>
      <c r="H112" s="134">
        <v>11.8</v>
      </c>
      <c r="I112" s="134">
        <v>19.0</v>
      </c>
      <c r="J112" s="134">
        <v>0.842</v>
      </c>
      <c r="K112" s="134">
        <v>18.0</v>
      </c>
      <c r="L112" s="134">
        <v>0.0</v>
      </c>
      <c r="M112" s="134">
        <v>18.0</v>
      </c>
      <c r="N112" s="134">
        <v>0.0</v>
      </c>
    </row>
    <row r="113">
      <c r="A113" s="131" t="s">
        <v>506</v>
      </c>
      <c r="B113" s="133" t="s">
        <v>673</v>
      </c>
      <c r="C113" s="134">
        <v>80.0</v>
      </c>
      <c r="D113" s="134">
        <v>2.0</v>
      </c>
      <c r="E113" s="134">
        <v>16.0</v>
      </c>
      <c r="F113" s="134">
        <v>0.0</v>
      </c>
      <c r="G113" s="134">
        <v>16.0</v>
      </c>
      <c r="H113" s="134">
        <v>0.0</v>
      </c>
      <c r="I113" s="134">
        <v>16.0</v>
      </c>
      <c r="J113" s="134">
        <v>0.0</v>
      </c>
      <c r="K113" s="134">
        <v>16.0</v>
      </c>
      <c r="L113" s="134">
        <v>1.0</v>
      </c>
      <c r="M113" s="134">
        <v>16.0</v>
      </c>
      <c r="N113" s="134">
        <v>1.0</v>
      </c>
    </row>
    <row r="114">
      <c r="A114" s="131" t="s">
        <v>507</v>
      </c>
      <c r="B114" s="133" t="s">
        <v>602</v>
      </c>
      <c r="C114" s="134">
        <v>88.0</v>
      </c>
      <c r="D114" s="134">
        <v>4.55</v>
      </c>
      <c r="E114" s="134">
        <v>17.0</v>
      </c>
      <c r="F114" s="134">
        <v>0.0</v>
      </c>
      <c r="G114" s="134">
        <v>17.0</v>
      </c>
      <c r="H114" s="134">
        <v>1.88</v>
      </c>
      <c r="I114" s="134">
        <v>18.0</v>
      </c>
      <c r="J114" s="134">
        <v>0.0</v>
      </c>
      <c r="K114" s="134">
        <v>18.0</v>
      </c>
      <c r="L114" s="134">
        <v>1.78</v>
      </c>
      <c r="M114" s="134">
        <v>18.0</v>
      </c>
      <c r="N114" s="134">
        <v>0.889</v>
      </c>
    </row>
    <row r="115">
      <c r="A115" s="131" t="s">
        <v>512</v>
      </c>
      <c r="B115" s="133" t="s">
        <v>674</v>
      </c>
      <c r="C115" s="134">
        <v>100.0</v>
      </c>
      <c r="D115" s="134">
        <v>1.6</v>
      </c>
      <c r="E115" s="134">
        <v>20.0</v>
      </c>
      <c r="F115" s="134">
        <v>0.0</v>
      </c>
      <c r="G115" s="134">
        <v>20.0</v>
      </c>
      <c r="H115" s="134">
        <v>0.0</v>
      </c>
      <c r="I115" s="134">
        <v>20.0</v>
      </c>
      <c r="J115" s="134">
        <v>0.8</v>
      </c>
      <c r="K115" s="134">
        <v>20.0</v>
      </c>
      <c r="L115" s="134">
        <v>0.0</v>
      </c>
      <c r="M115" s="134">
        <v>20.0</v>
      </c>
      <c r="N115" s="134">
        <v>0.8</v>
      </c>
    </row>
    <row r="116">
      <c r="A116" s="131" t="s">
        <v>514</v>
      </c>
      <c r="B116" s="133" t="s">
        <v>676</v>
      </c>
      <c r="C116" s="134">
        <v>90.0</v>
      </c>
      <c r="D116" s="134">
        <v>0.889</v>
      </c>
      <c r="E116" s="134">
        <v>19.0</v>
      </c>
      <c r="F116" s="134">
        <v>0.0</v>
      </c>
      <c r="G116" s="134">
        <v>19.0</v>
      </c>
      <c r="H116" s="134">
        <v>0.842</v>
      </c>
      <c r="I116" s="134">
        <v>18.0</v>
      </c>
      <c r="J116" s="134">
        <v>0.0</v>
      </c>
      <c r="K116" s="134">
        <v>17.0</v>
      </c>
      <c r="L116" s="134">
        <v>0.0</v>
      </c>
      <c r="M116" s="134">
        <v>17.0</v>
      </c>
      <c r="N116" s="134">
        <v>0.0</v>
      </c>
    </row>
    <row r="117">
      <c r="A117" s="131" t="s">
        <v>518</v>
      </c>
      <c r="B117" s="133" t="s">
        <v>679</v>
      </c>
      <c r="C117" s="134">
        <v>98.0</v>
      </c>
      <c r="D117" s="134">
        <v>-0.816</v>
      </c>
      <c r="E117" s="134">
        <v>20.0</v>
      </c>
      <c r="F117" s="134">
        <v>0.0</v>
      </c>
      <c r="G117" s="134">
        <v>20.0</v>
      </c>
      <c r="H117" s="134">
        <v>-0.8</v>
      </c>
      <c r="I117" s="134">
        <v>20.0</v>
      </c>
      <c r="J117" s="134">
        <v>-0.8</v>
      </c>
      <c r="K117" s="134">
        <v>19.0</v>
      </c>
      <c r="L117" s="134">
        <v>0.0</v>
      </c>
      <c r="M117" s="134">
        <v>19.0</v>
      </c>
      <c r="N117" s="134">
        <v>0.842</v>
      </c>
    </row>
    <row r="118">
      <c r="A118" s="131" t="s">
        <v>526</v>
      </c>
      <c r="B118" s="133" t="s">
        <v>570</v>
      </c>
      <c r="C118" s="134">
        <v>26.0</v>
      </c>
      <c r="D118" s="134">
        <v>6.15</v>
      </c>
      <c r="E118" s="134">
        <v>5.0</v>
      </c>
      <c r="F118" s="134">
        <v>0.0</v>
      </c>
      <c r="G118" s="134">
        <v>5.0</v>
      </c>
      <c r="H118" s="134">
        <v>0.0</v>
      </c>
      <c r="I118" s="134">
        <v>6.0</v>
      </c>
      <c r="J118" s="134">
        <v>5.33</v>
      </c>
      <c r="K118" s="134">
        <v>5.0</v>
      </c>
      <c r="L118" s="134">
        <v>0.0</v>
      </c>
      <c r="M118" s="134">
        <v>5.0</v>
      </c>
      <c r="N118" s="134">
        <v>0.0</v>
      </c>
    </row>
    <row r="119">
      <c r="A119" s="91" t="s">
        <v>533</v>
      </c>
      <c r="B119" s="133" t="s">
        <v>568</v>
      </c>
      <c r="C119" s="134">
        <v>88.0</v>
      </c>
      <c r="D119" s="134">
        <v>6.36</v>
      </c>
      <c r="E119" s="134">
        <v>18.0</v>
      </c>
      <c r="F119" s="134">
        <v>0.0</v>
      </c>
      <c r="G119" s="134">
        <v>18.0</v>
      </c>
      <c r="H119" s="134">
        <v>0.0</v>
      </c>
      <c r="I119" s="134">
        <v>18.0</v>
      </c>
      <c r="J119" s="134">
        <v>0.0</v>
      </c>
      <c r="K119" s="134">
        <v>17.0</v>
      </c>
      <c r="L119" s="134">
        <v>0.0</v>
      </c>
      <c r="M119" s="134">
        <v>17.0</v>
      </c>
      <c r="N119" s="134">
        <v>6.59</v>
      </c>
    </row>
    <row r="120">
      <c r="A120" s="131" t="s">
        <v>536</v>
      </c>
      <c r="B120" s="133" t="s">
        <v>684</v>
      </c>
      <c r="C120" s="134">
        <v>96.0</v>
      </c>
      <c r="D120" s="134">
        <v>0.833</v>
      </c>
      <c r="E120" s="134">
        <v>20.0</v>
      </c>
      <c r="F120" s="134">
        <v>0.0</v>
      </c>
      <c r="G120" s="134">
        <v>19.0</v>
      </c>
      <c r="H120" s="134">
        <v>0.0</v>
      </c>
      <c r="I120" s="134">
        <v>19.0</v>
      </c>
      <c r="J120" s="134">
        <v>-0.842</v>
      </c>
      <c r="K120" s="134">
        <v>19.0</v>
      </c>
      <c r="L120" s="134">
        <v>1.68</v>
      </c>
      <c r="M120" s="134">
        <v>19.0</v>
      </c>
      <c r="N120" s="134">
        <v>0.0</v>
      </c>
    </row>
    <row r="121">
      <c r="A121" s="131" t="s">
        <v>539</v>
      </c>
      <c r="B121" s="133" t="s">
        <v>642</v>
      </c>
      <c r="C121" s="134">
        <v>96.0</v>
      </c>
      <c r="D121" s="134">
        <v>3.33</v>
      </c>
      <c r="E121" s="134">
        <v>20.0</v>
      </c>
      <c r="F121" s="134">
        <v>0.0</v>
      </c>
      <c r="G121" s="134">
        <v>19.0</v>
      </c>
      <c r="H121" s="134">
        <v>0.0</v>
      </c>
      <c r="I121" s="134">
        <v>19.0</v>
      </c>
      <c r="J121" s="134">
        <v>1.68</v>
      </c>
      <c r="K121" s="134">
        <v>19.0</v>
      </c>
      <c r="L121" s="134">
        <v>1.68</v>
      </c>
      <c r="M121" s="134">
        <v>19.0</v>
      </c>
      <c r="N121" s="134">
        <v>0.0</v>
      </c>
    </row>
    <row r="122">
      <c r="A122" s="131" t="s">
        <v>545</v>
      </c>
      <c r="B122" s="133" t="s">
        <v>530</v>
      </c>
      <c r="C122" s="134">
        <v>96.0</v>
      </c>
      <c r="D122" s="134">
        <v>7.5</v>
      </c>
      <c r="E122" s="134">
        <v>20.0</v>
      </c>
      <c r="F122" s="134">
        <v>0.0</v>
      </c>
      <c r="G122" s="134">
        <v>19.0</v>
      </c>
      <c r="H122" s="134">
        <v>5.89</v>
      </c>
      <c r="I122" s="134">
        <v>19.0</v>
      </c>
      <c r="J122" s="134">
        <v>0.0</v>
      </c>
      <c r="K122" s="134">
        <v>19.0</v>
      </c>
      <c r="L122" s="134">
        <v>1.68</v>
      </c>
      <c r="M122" s="134">
        <v>19.0</v>
      </c>
      <c r="N122" s="134">
        <v>0.0</v>
      </c>
    </row>
    <row r="123">
      <c r="A123" s="131" t="s">
        <v>560</v>
      </c>
      <c r="B123" s="133" t="s">
        <v>383</v>
      </c>
      <c r="C123" s="134">
        <v>97.0</v>
      </c>
      <c r="D123" s="134">
        <v>23.1</v>
      </c>
      <c r="E123" s="134">
        <v>20.0</v>
      </c>
      <c r="F123" s="134">
        <v>0.0</v>
      </c>
      <c r="G123" s="134">
        <v>20.0</v>
      </c>
      <c r="H123" s="134">
        <v>6.4</v>
      </c>
      <c r="I123" s="134">
        <v>20.0</v>
      </c>
      <c r="J123" s="134">
        <v>4.0</v>
      </c>
      <c r="K123" s="134">
        <v>19.0</v>
      </c>
      <c r="L123" s="134">
        <v>5.89</v>
      </c>
      <c r="M123" s="134">
        <v>18.0</v>
      </c>
      <c r="N123" s="134">
        <v>7.11</v>
      </c>
    </row>
    <row r="124">
      <c r="A124" s="131" t="s">
        <v>562</v>
      </c>
      <c r="B124" s="133" t="s">
        <v>407</v>
      </c>
      <c r="C124" s="134">
        <v>20.0</v>
      </c>
      <c r="D124" s="134">
        <v>16.0</v>
      </c>
      <c r="E124" s="134">
        <v>4.0</v>
      </c>
      <c r="F124" s="134">
        <v>0.0</v>
      </c>
      <c r="G124" s="134">
        <v>4.0</v>
      </c>
      <c r="H124" s="134">
        <v>16.0</v>
      </c>
      <c r="I124" s="134">
        <v>4.0</v>
      </c>
      <c r="J124" s="134">
        <v>0.0</v>
      </c>
      <c r="K124" s="134">
        <v>4.0</v>
      </c>
      <c r="L124" s="134">
        <v>0.0</v>
      </c>
      <c r="M124" s="134">
        <v>4.0</v>
      </c>
      <c r="N124" s="134">
        <v>0.0</v>
      </c>
    </row>
    <row r="125">
      <c r="A125" s="131" t="s">
        <v>567</v>
      </c>
      <c r="B125" s="133" t="s">
        <v>423</v>
      </c>
      <c r="C125" s="134">
        <v>89.0</v>
      </c>
      <c r="D125" s="134">
        <v>14.4</v>
      </c>
      <c r="E125" s="134">
        <v>19.0</v>
      </c>
      <c r="F125" s="134">
        <v>0.0</v>
      </c>
      <c r="G125" s="134">
        <v>18.0</v>
      </c>
      <c r="H125" s="134">
        <v>0.889</v>
      </c>
      <c r="I125" s="134">
        <v>18.0</v>
      </c>
      <c r="J125" s="134">
        <v>2.67</v>
      </c>
      <c r="K125" s="134">
        <v>17.0</v>
      </c>
      <c r="L125" s="134">
        <v>9.41</v>
      </c>
      <c r="M125" s="134">
        <v>17.0</v>
      </c>
      <c r="N125" s="134">
        <v>1.88</v>
      </c>
    </row>
    <row r="126">
      <c r="A126" s="131" t="s">
        <v>571</v>
      </c>
      <c r="B126" s="133" t="s">
        <v>561</v>
      </c>
      <c r="C126" s="134">
        <v>74.0</v>
      </c>
      <c r="D126" s="134">
        <v>6.49</v>
      </c>
      <c r="E126" s="134">
        <v>15.0</v>
      </c>
      <c r="F126" s="134">
        <v>0.0</v>
      </c>
      <c r="G126" s="134">
        <v>14.0</v>
      </c>
      <c r="H126" s="134">
        <v>3.43</v>
      </c>
      <c r="I126" s="134">
        <v>15.0</v>
      </c>
      <c r="J126" s="134">
        <v>-1.07</v>
      </c>
      <c r="K126" s="134">
        <v>15.0</v>
      </c>
      <c r="L126" s="134">
        <v>0.0</v>
      </c>
      <c r="M126" s="134">
        <v>15.0</v>
      </c>
      <c r="N126" s="134">
        <v>4.27</v>
      </c>
    </row>
    <row r="127">
      <c r="A127" s="131" t="s">
        <v>573</v>
      </c>
      <c r="B127" s="133" t="s">
        <v>694</v>
      </c>
      <c r="C127" s="134">
        <v>72.0</v>
      </c>
      <c r="D127" s="134">
        <v>0.0</v>
      </c>
      <c r="E127" s="134">
        <v>15.0</v>
      </c>
      <c r="F127" s="134">
        <v>0.0</v>
      </c>
      <c r="G127" s="134">
        <v>14.0</v>
      </c>
      <c r="H127" s="134">
        <v>0.0</v>
      </c>
      <c r="I127" s="134">
        <v>15.0</v>
      </c>
      <c r="J127" s="134">
        <v>0.0</v>
      </c>
      <c r="K127" s="134">
        <v>14.0</v>
      </c>
      <c r="L127" s="134">
        <v>0.0</v>
      </c>
      <c r="M127" s="134">
        <v>14.0</v>
      </c>
      <c r="N127" s="134">
        <v>0.0</v>
      </c>
    </row>
    <row r="128">
      <c r="A128" s="131" t="s">
        <v>581</v>
      </c>
      <c r="B128" s="133" t="s">
        <v>696</v>
      </c>
      <c r="C128" s="134">
        <v>70.0</v>
      </c>
      <c r="D128" s="134">
        <v>1.14</v>
      </c>
      <c r="E128" s="134">
        <v>14.0</v>
      </c>
      <c r="F128" s="134">
        <v>0.0</v>
      </c>
      <c r="G128" s="134">
        <v>14.0</v>
      </c>
      <c r="H128" s="134">
        <v>0.0</v>
      </c>
      <c r="I128" s="134">
        <v>14.0</v>
      </c>
      <c r="J128" s="134">
        <v>1.14</v>
      </c>
      <c r="K128" s="134">
        <v>14.0</v>
      </c>
      <c r="L128" s="134">
        <v>0.0</v>
      </c>
      <c r="M128" s="134">
        <v>14.0</v>
      </c>
      <c r="N128" s="134">
        <v>0.0</v>
      </c>
    </row>
    <row r="129">
      <c r="A129" s="131" t="s">
        <v>597</v>
      </c>
      <c r="B129" s="133" t="s">
        <v>698</v>
      </c>
      <c r="C129" s="134">
        <v>72.0</v>
      </c>
      <c r="D129" s="134">
        <v>0.0</v>
      </c>
      <c r="E129" s="134">
        <v>16.0</v>
      </c>
      <c r="F129" s="134">
        <v>0.0</v>
      </c>
      <c r="G129" s="134">
        <v>15.0</v>
      </c>
      <c r="H129" s="134">
        <v>0.0</v>
      </c>
      <c r="I129" s="134">
        <v>14.0</v>
      </c>
      <c r="J129" s="134">
        <v>0.0</v>
      </c>
      <c r="K129" s="134">
        <v>14.0</v>
      </c>
      <c r="L129" s="134">
        <v>0.0</v>
      </c>
      <c r="M129" s="134">
        <v>13.0</v>
      </c>
      <c r="N129" s="134">
        <v>0.0</v>
      </c>
    </row>
    <row r="130">
      <c r="A130" s="131" t="s">
        <v>599</v>
      </c>
      <c r="B130" s="133" t="s">
        <v>700</v>
      </c>
      <c r="C130" s="134">
        <v>59.0</v>
      </c>
      <c r="D130" s="134">
        <v>0.0</v>
      </c>
      <c r="E130" s="134">
        <v>14.0</v>
      </c>
      <c r="F130" s="134">
        <v>0.0</v>
      </c>
      <c r="G130" s="134">
        <v>12.0</v>
      </c>
      <c r="H130" s="134">
        <v>0.0</v>
      </c>
      <c r="I130" s="134">
        <v>11.0</v>
      </c>
      <c r="J130" s="134">
        <v>0.0</v>
      </c>
      <c r="K130" s="134">
        <v>11.0</v>
      </c>
      <c r="L130" s="134">
        <v>0.0</v>
      </c>
      <c r="M130" s="134">
        <v>11.0</v>
      </c>
      <c r="N130" s="134">
        <v>0.0</v>
      </c>
    </row>
    <row r="131">
      <c r="A131" s="131" t="s">
        <v>601</v>
      </c>
      <c r="B131" s="133" t="s">
        <v>399</v>
      </c>
      <c r="C131" s="134">
        <v>92.0</v>
      </c>
      <c r="D131" s="134">
        <v>18.3</v>
      </c>
      <c r="E131" s="134">
        <v>20.0</v>
      </c>
      <c r="F131" s="134">
        <v>0.0</v>
      </c>
      <c r="G131" s="134">
        <v>19.0</v>
      </c>
      <c r="H131" s="134">
        <v>4.21</v>
      </c>
      <c r="I131" s="134">
        <v>18.0</v>
      </c>
      <c r="J131" s="134">
        <v>4.44</v>
      </c>
      <c r="K131" s="134">
        <v>18.0</v>
      </c>
      <c r="L131" s="134">
        <v>8.0</v>
      </c>
      <c r="M131" s="134">
        <v>17.0</v>
      </c>
      <c r="N131" s="134">
        <v>1.88</v>
      </c>
    </row>
    <row r="132">
      <c r="A132" s="131" t="s">
        <v>611</v>
      </c>
      <c r="B132" s="133" t="s">
        <v>686</v>
      </c>
      <c r="C132" s="134">
        <v>92.0</v>
      </c>
      <c r="D132" s="134">
        <v>1.74</v>
      </c>
      <c r="E132" s="134">
        <v>20.0</v>
      </c>
      <c r="F132" s="134">
        <v>0.0</v>
      </c>
      <c r="G132" s="134">
        <v>19.0</v>
      </c>
      <c r="H132" s="134">
        <v>0.842</v>
      </c>
      <c r="I132" s="134">
        <v>18.0</v>
      </c>
      <c r="J132" s="134">
        <v>0.0</v>
      </c>
      <c r="K132" s="134">
        <v>18.0</v>
      </c>
      <c r="L132" s="134">
        <v>0.0</v>
      </c>
      <c r="M132" s="134">
        <v>17.0</v>
      </c>
      <c r="N132" s="134">
        <v>0.941</v>
      </c>
    </row>
    <row r="133">
      <c r="A133" s="131" t="s">
        <v>628</v>
      </c>
      <c r="B133" s="133" t="s">
        <v>678</v>
      </c>
      <c r="C133" s="134">
        <v>80.0</v>
      </c>
      <c r="D133" s="134">
        <v>2.0</v>
      </c>
      <c r="E133" s="134">
        <v>16.0</v>
      </c>
      <c r="F133" s="134">
        <v>0.0</v>
      </c>
      <c r="G133" s="134">
        <v>16.0</v>
      </c>
      <c r="H133" s="134">
        <v>-1.0</v>
      </c>
      <c r="I133" s="134">
        <v>16.0</v>
      </c>
      <c r="J133" s="134">
        <v>0.0</v>
      </c>
      <c r="K133" s="134">
        <v>16.0</v>
      </c>
      <c r="L133" s="134">
        <v>0.0</v>
      </c>
      <c r="M133" s="134">
        <v>16.0</v>
      </c>
      <c r="N133" s="134">
        <v>3.0</v>
      </c>
    </row>
    <row r="134">
      <c r="A134" s="131" t="s">
        <v>633</v>
      </c>
      <c r="B134" s="133" t="s">
        <v>703</v>
      </c>
      <c r="C134" s="134">
        <v>76.0</v>
      </c>
      <c r="D134" s="134">
        <v>1.05</v>
      </c>
      <c r="E134" s="134">
        <v>16.0</v>
      </c>
      <c r="F134" s="134">
        <v>0.0</v>
      </c>
      <c r="G134" s="134">
        <v>15.0</v>
      </c>
      <c r="H134" s="134">
        <v>1.07</v>
      </c>
      <c r="I134" s="134">
        <v>15.0</v>
      </c>
      <c r="J134" s="134">
        <v>0.0</v>
      </c>
      <c r="K134" s="134">
        <v>15.0</v>
      </c>
      <c r="L134" s="134">
        <v>0.0</v>
      </c>
      <c r="M134" s="134">
        <v>15.0</v>
      </c>
      <c r="N134" s="134">
        <v>0.0</v>
      </c>
    </row>
    <row r="135">
      <c r="A135" s="91" t="s">
        <v>638</v>
      </c>
      <c r="B135" s="133" t="s">
        <v>706</v>
      </c>
      <c r="C135" s="134">
        <v>52.0</v>
      </c>
      <c r="D135" s="134">
        <v>0.0</v>
      </c>
      <c r="E135" s="134">
        <v>12.0</v>
      </c>
      <c r="F135" s="134">
        <v>0.0</v>
      </c>
      <c r="G135" s="134">
        <v>11.0</v>
      </c>
      <c r="H135" s="134">
        <v>-1.45</v>
      </c>
      <c r="I135" s="134">
        <v>10.0</v>
      </c>
      <c r="J135" s="134">
        <v>1.6</v>
      </c>
      <c r="K135" s="134">
        <v>9.0</v>
      </c>
      <c r="L135" s="134">
        <v>0.0</v>
      </c>
      <c r="M135" s="134">
        <v>10.0</v>
      </c>
      <c r="N135" s="134">
        <v>0.0</v>
      </c>
    </row>
    <row r="136">
      <c r="A136" s="131" t="s">
        <v>639</v>
      </c>
      <c r="B136" s="133" t="s">
        <v>537</v>
      </c>
      <c r="C136" s="134">
        <v>76.0</v>
      </c>
      <c r="D136" s="134">
        <v>7.37</v>
      </c>
      <c r="E136" s="134">
        <v>16.0</v>
      </c>
      <c r="F136" s="134">
        <v>0.0</v>
      </c>
      <c r="G136" s="134">
        <v>15.0</v>
      </c>
      <c r="H136" s="134">
        <v>1.07</v>
      </c>
      <c r="I136" s="134">
        <v>14.0</v>
      </c>
      <c r="J136" s="134">
        <v>0.0</v>
      </c>
      <c r="K136" s="134">
        <v>15.0</v>
      </c>
      <c r="L136" s="134">
        <v>0.0</v>
      </c>
      <c r="M136" s="134">
        <v>16.0</v>
      </c>
      <c r="N136" s="134">
        <v>6.0</v>
      </c>
    </row>
    <row r="137">
      <c r="A137" s="131" t="s">
        <v>646</v>
      </c>
      <c r="B137" s="133" t="s">
        <v>640</v>
      </c>
      <c r="C137" s="134">
        <v>45.0</v>
      </c>
      <c r="D137" s="134">
        <v>3.56</v>
      </c>
      <c r="E137" s="134">
        <v>10.0</v>
      </c>
      <c r="F137" s="134">
        <v>0.0</v>
      </c>
      <c r="G137" s="134">
        <v>9.0</v>
      </c>
      <c r="H137" s="134">
        <v>5.33</v>
      </c>
      <c r="I137" s="134">
        <v>8.0</v>
      </c>
      <c r="J137" s="134">
        <v>0.0</v>
      </c>
      <c r="K137" s="134">
        <v>9.0</v>
      </c>
      <c r="L137" s="134">
        <v>-1.78</v>
      </c>
      <c r="M137" s="134">
        <v>9.0</v>
      </c>
      <c r="N137" s="134">
        <v>0.0</v>
      </c>
    </row>
    <row r="138">
      <c r="A138" s="131" t="s">
        <v>654</v>
      </c>
      <c r="B138" s="133" t="s">
        <v>691</v>
      </c>
      <c r="C138" s="134">
        <v>49.0</v>
      </c>
      <c r="D138" s="134">
        <v>1.63</v>
      </c>
      <c r="E138" s="134">
        <v>10.0</v>
      </c>
      <c r="F138" s="134">
        <v>0.0</v>
      </c>
      <c r="G138" s="134">
        <v>10.0</v>
      </c>
      <c r="H138" s="134">
        <v>0.0</v>
      </c>
      <c r="I138" s="134">
        <v>9.0</v>
      </c>
      <c r="J138" s="134">
        <v>1.78</v>
      </c>
      <c r="K138" s="134">
        <v>10.0</v>
      </c>
      <c r="L138" s="134">
        <v>0.0</v>
      </c>
      <c r="M138" s="134">
        <v>10.0</v>
      </c>
      <c r="N138" s="134">
        <v>0.0</v>
      </c>
    </row>
    <row r="139">
      <c r="A139" s="131" t="s">
        <v>655</v>
      </c>
      <c r="B139" s="133" t="s">
        <v>594</v>
      </c>
      <c r="C139" s="134">
        <v>81.0</v>
      </c>
      <c r="D139" s="134">
        <v>4.94</v>
      </c>
      <c r="E139" s="134">
        <v>15.0</v>
      </c>
      <c r="F139" s="134">
        <v>0.0</v>
      </c>
      <c r="G139" s="134">
        <v>17.0</v>
      </c>
      <c r="H139" s="134">
        <v>1.88</v>
      </c>
      <c r="I139" s="134">
        <v>17.0</v>
      </c>
      <c r="J139" s="134">
        <v>0.0</v>
      </c>
      <c r="K139" s="134">
        <v>16.0</v>
      </c>
      <c r="L139" s="134">
        <v>3.0</v>
      </c>
      <c r="M139" s="134">
        <v>16.0</v>
      </c>
      <c r="N139" s="134">
        <v>0.0</v>
      </c>
    </row>
    <row r="140">
      <c r="A140" s="131" t="s">
        <v>658</v>
      </c>
      <c r="B140" s="133" t="s">
        <v>546</v>
      </c>
      <c r="C140" s="134">
        <v>99.0</v>
      </c>
      <c r="D140" s="134">
        <v>7.27</v>
      </c>
      <c r="E140" s="134">
        <v>20.0</v>
      </c>
      <c r="F140" s="134">
        <v>0.0</v>
      </c>
      <c r="G140" s="134">
        <v>20.0</v>
      </c>
      <c r="H140" s="134">
        <v>0.0</v>
      </c>
      <c r="I140" s="134">
        <v>20.0</v>
      </c>
      <c r="J140" s="134">
        <v>0.0</v>
      </c>
      <c r="K140" s="134">
        <v>20.0</v>
      </c>
      <c r="L140" s="134">
        <v>7.2</v>
      </c>
      <c r="M140" s="134">
        <v>19.0</v>
      </c>
      <c r="N140" s="134">
        <v>0.0</v>
      </c>
    </row>
    <row r="141">
      <c r="A141" s="131" t="s">
        <v>660</v>
      </c>
      <c r="B141" s="133" t="s">
        <v>468</v>
      </c>
      <c r="C141" s="134">
        <v>99.0</v>
      </c>
      <c r="D141" s="134">
        <v>12.1</v>
      </c>
      <c r="E141" s="134">
        <v>20.0</v>
      </c>
      <c r="F141" s="134">
        <v>0.0</v>
      </c>
      <c r="G141" s="134">
        <v>20.0</v>
      </c>
      <c r="H141" s="134">
        <v>8.0</v>
      </c>
      <c r="I141" s="134">
        <v>20.0</v>
      </c>
      <c r="J141" s="134">
        <v>0.8</v>
      </c>
      <c r="K141" s="134">
        <v>20.0</v>
      </c>
      <c r="L141" s="134">
        <v>0.0</v>
      </c>
      <c r="M141" s="134">
        <v>19.0</v>
      </c>
      <c r="N141" s="134">
        <v>3.37</v>
      </c>
    </row>
    <row r="142">
      <c r="A142" s="131" t="s">
        <v>666</v>
      </c>
      <c r="B142" s="133" t="s">
        <v>662</v>
      </c>
      <c r="C142" s="134">
        <v>99.0</v>
      </c>
      <c r="D142" s="134">
        <v>2.42</v>
      </c>
      <c r="E142" s="134">
        <v>20.0</v>
      </c>
      <c r="F142" s="134">
        <v>0.0</v>
      </c>
      <c r="G142" s="134">
        <v>20.0</v>
      </c>
      <c r="H142" s="134">
        <v>3.2</v>
      </c>
      <c r="I142" s="134">
        <v>20.0</v>
      </c>
      <c r="J142" s="134">
        <v>0.0</v>
      </c>
      <c r="K142" s="134">
        <v>20.0</v>
      </c>
      <c r="L142" s="134">
        <v>0.0</v>
      </c>
      <c r="M142" s="134">
        <v>19.0</v>
      </c>
      <c r="N142" s="134">
        <v>-0.842</v>
      </c>
    </row>
    <row r="143">
      <c r="A143" s="131" t="s">
        <v>667</v>
      </c>
      <c r="B143" s="133" t="s">
        <v>572</v>
      </c>
      <c r="C143" s="134">
        <v>39.0</v>
      </c>
      <c r="D143" s="134">
        <v>6.15</v>
      </c>
      <c r="E143" s="134">
        <v>8.0</v>
      </c>
      <c r="F143" s="134">
        <v>0.0</v>
      </c>
      <c r="G143" s="134">
        <v>8.0</v>
      </c>
      <c r="H143" s="134">
        <v>0.0</v>
      </c>
      <c r="I143" s="134">
        <v>8.0</v>
      </c>
      <c r="J143" s="134">
        <v>2.0</v>
      </c>
      <c r="K143" s="134">
        <v>8.0</v>
      </c>
      <c r="L143" s="134">
        <v>2.0</v>
      </c>
      <c r="M143" s="134">
        <v>7.0</v>
      </c>
      <c r="N143" s="134">
        <v>2.29</v>
      </c>
    </row>
    <row r="144">
      <c r="A144" s="131" t="s">
        <v>668</v>
      </c>
      <c r="B144" s="133" t="s">
        <v>517</v>
      </c>
      <c r="C144" s="134">
        <v>77.0</v>
      </c>
      <c r="D144" s="134">
        <v>8.31</v>
      </c>
      <c r="E144" s="134">
        <v>15.0</v>
      </c>
      <c r="F144" s="134">
        <v>0.0</v>
      </c>
      <c r="G144" s="134">
        <v>15.0</v>
      </c>
      <c r="H144" s="134">
        <v>0.0</v>
      </c>
      <c r="I144" s="134">
        <v>16.0</v>
      </c>
      <c r="J144" s="134">
        <v>1.0</v>
      </c>
      <c r="K144" s="134">
        <v>16.0</v>
      </c>
      <c r="L144" s="134">
        <v>0.0</v>
      </c>
      <c r="M144" s="134">
        <v>15.0</v>
      </c>
      <c r="N144" s="134">
        <v>7.47</v>
      </c>
    </row>
    <row r="145">
      <c r="A145" s="131" t="s">
        <v>670</v>
      </c>
      <c r="B145" s="133" t="s">
        <v>600</v>
      </c>
      <c r="C145" s="134">
        <v>82.0</v>
      </c>
      <c r="D145" s="134">
        <v>4.88</v>
      </c>
      <c r="E145" s="134">
        <v>17.0</v>
      </c>
      <c r="F145" s="134">
        <v>0.0</v>
      </c>
      <c r="G145" s="134">
        <v>17.0</v>
      </c>
      <c r="H145" s="134">
        <v>0.0</v>
      </c>
      <c r="I145" s="134">
        <v>16.0</v>
      </c>
      <c r="J145" s="134">
        <v>0.0</v>
      </c>
      <c r="K145" s="134">
        <v>16.0</v>
      </c>
      <c r="L145" s="134">
        <v>5.0</v>
      </c>
      <c r="M145" s="134">
        <v>16.0</v>
      </c>
      <c r="N145" s="134">
        <v>0.0</v>
      </c>
    </row>
    <row r="146">
      <c r="A146" s="131" t="s">
        <v>672</v>
      </c>
      <c r="B146" s="133" t="s">
        <v>693</v>
      </c>
      <c r="C146" s="134">
        <v>100.0</v>
      </c>
      <c r="D146" s="134">
        <v>1.6</v>
      </c>
      <c r="E146" s="134">
        <v>20.0</v>
      </c>
      <c r="F146" s="134">
        <v>0.0</v>
      </c>
      <c r="G146" s="134">
        <v>20.0</v>
      </c>
      <c r="H146" s="134">
        <v>0.0</v>
      </c>
      <c r="I146" s="134">
        <v>20.0</v>
      </c>
      <c r="J146" s="134">
        <v>0.0</v>
      </c>
      <c r="K146" s="134">
        <v>20.0</v>
      </c>
      <c r="L146" s="134">
        <v>0.0</v>
      </c>
      <c r="M146" s="134">
        <v>20.0</v>
      </c>
      <c r="N146" s="134">
        <v>1.6</v>
      </c>
    </row>
    <row r="147">
      <c r="A147" s="131" t="s">
        <v>675</v>
      </c>
      <c r="B147" s="133" t="s">
        <v>719</v>
      </c>
      <c r="C147" s="134">
        <v>0.0</v>
      </c>
      <c r="D147" s="134">
        <v>0.0</v>
      </c>
      <c r="E147" s="134">
        <v>0.0</v>
      </c>
      <c r="F147" s="134">
        <v>0.0</v>
      </c>
      <c r="G147" s="134">
        <v>0.0</v>
      </c>
      <c r="H147" s="134">
        <v>0.0</v>
      </c>
      <c r="I147" s="134">
        <v>0.0</v>
      </c>
      <c r="J147" s="134">
        <v>0.0</v>
      </c>
      <c r="K147" s="134">
        <v>0.0</v>
      </c>
      <c r="L147" s="134">
        <v>0.0</v>
      </c>
      <c r="M147" s="134">
        <v>0.0</v>
      </c>
      <c r="N147" s="134">
        <v>0.0</v>
      </c>
    </row>
    <row r="148">
      <c r="A148" s="131" t="s">
        <v>677</v>
      </c>
      <c r="B148" s="133" t="s">
        <v>630</v>
      </c>
      <c r="C148" s="134">
        <v>100.0</v>
      </c>
      <c r="D148" s="134">
        <v>4.0</v>
      </c>
      <c r="E148" s="134">
        <v>20.0</v>
      </c>
      <c r="F148" s="134">
        <v>0.0</v>
      </c>
      <c r="G148" s="134">
        <v>20.0</v>
      </c>
      <c r="H148" s="134">
        <v>4.0</v>
      </c>
      <c r="I148" s="134">
        <v>20.0</v>
      </c>
      <c r="J148" s="134">
        <v>0.0</v>
      </c>
      <c r="K148" s="134">
        <v>20.0</v>
      </c>
      <c r="L148" s="134">
        <v>0.0</v>
      </c>
      <c r="M148" s="134">
        <v>20.0</v>
      </c>
      <c r="N148" s="134">
        <v>0.0</v>
      </c>
    </row>
    <row r="149">
      <c r="A149" s="131" t="s">
        <v>680</v>
      </c>
      <c r="B149" s="133" t="s">
        <v>718</v>
      </c>
      <c r="C149" s="134">
        <v>100.0</v>
      </c>
      <c r="D149" s="134">
        <v>0.8</v>
      </c>
      <c r="E149" s="134">
        <v>20.0</v>
      </c>
      <c r="F149" s="134">
        <v>0.0</v>
      </c>
      <c r="G149" s="134">
        <v>20.0</v>
      </c>
      <c r="H149" s="134">
        <v>0.0</v>
      </c>
      <c r="I149" s="134">
        <v>20.0</v>
      </c>
      <c r="J149" s="134">
        <v>0.0</v>
      </c>
      <c r="K149" s="134">
        <v>20.0</v>
      </c>
      <c r="L149" s="134">
        <v>0.8</v>
      </c>
      <c r="M149" s="134">
        <v>20.0</v>
      </c>
      <c r="N149" s="134">
        <v>0.0</v>
      </c>
    </row>
    <row r="150">
      <c r="A150" s="131" t="s">
        <v>681</v>
      </c>
      <c r="B150" s="133" t="s">
        <v>697</v>
      </c>
      <c r="C150" s="134">
        <v>61.0</v>
      </c>
      <c r="D150" s="134">
        <v>1.31</v>
      </c>
      <c r="E150" s="134">
        <v>12.0</v>
      </c>
      <c r="F150" s="134">
        <v>0.0</v>
      </c>
      <c r="G150" s="134">
        <v>13.0</v>
      </c>
      <c r="H150" s="134">
        <v>1.23</v>
      </c>
      <c r="I150" s="134">
        <v>12.0</v>
      </c>
      <c r="J150" s="134">
        <v>0.0</v>
      </c>
      <c r="K150" s="134">
        <v>12.0</v>
      </c>
      <c r="L150" s="134">
        <v>0.0</v>
      </c>
      <c r="M150" s="134">
        <v>12.0</v>
      </c>
      <c r="N150" s="134">
        <v>0.0</v>
      </c>
    </row>
    <row r="151">
      <c r="A151" s="131" t="s">
        <v>685</v>
      </c>
      <c r="B151" s="133" t="s">
        <v>723</v>
      </c>
      <c r="C151" s="134">
        <v>51.0</v>
      </c>
      <c r="D151" s="134">
        <v>0.0</v>
      </c>
      <c r="E151" s="134">
        <v>11.0</v>
      </c>
      <c r="F151" s="134">
        <v>0.0</v>
      </c>
      <c r="G151" s="134">
        <v>10.0</v>
      </c>
      <c r="H151" s="134">
        <v>0.0</v>
      </c>
      <c r="I151" s="134">
        <v>10.0</v>
      </c>
      <c r="J151" s="134">
        <v>0.0</v>
      </c>
      <c r="K151" s="134">
        <v>10.0</v>
      </c>
      <c r="L151" s="134">
        <v>0.0</v>
      </c>
      <c r="M151" s="134">
        <v>10.0</v>
      </c>
      <c r="N151" s="134">
        <v>0.0</v>
      </c>
    </row>
    <row r="152">
      <c r="A152" s="131" t="s">
        <v>687</v>
      </c>
      <c r="B152" s="133" t="s">
        <v>725</v>
      </c>
      <c r="C152" s="134">
        <v>20.0</v>
      </c>
      <c r="D152" s="134">
        <v>0.0</v>
      </c>
      <c r="E152" s="134">
        <v>4.0</v>
      </c>
      <c r="F152" s="134">
        <v>0.0</v>
      </c>
      <c r="G152" s="134">
        <v>4.0</v>
      </c>
      <c r="H152" s="134">
        <v>0.0</v>
      </c>
      <c r="I152" s="134">
        <v>4.0</v>
      </c>
      <c r="J152" s="134">
        <v>0.0</v>
      </c>
      <c r="K152" s="134">
        <v>4.0</v>
      </c>
      <c r="L152" s="134">
        <v>0.0</v>
      </c>
      <c r="M152" s="134">
        <v>4.0</v>
      </c>
      <c r="N152" s="134">
        <v>0.0</v>
      </c>
    </row>
    <row r="153">
      <c r="A153" s="131" t="s">
        <v>688</v>
      </c>
      <c r="B153" s="133" t="s">
        <v>721</v>
      </c>
      <c r="C153" s="134">
        <v>100.0</v>
      </c>
      <c r="D153" s="134">
        <v>0.8</v>
      </c>
      <c r="E153" s="134">
        <v>20.0</v>
      </c>
      <c r="F153" s="134">
        <v>0.0</v>
      </c>
      <c r="G153" s="134">
        <v>20.0</v>
      </c>
      <c r="H153" s="134">
        <v>0.8</v>
      </c>
      <c r="I153" s="134">
        <v>20.0</v>
      </c>
      <c r="J153" s="134">
        <v>0.0</v>
      </c>
      <c r="K153" s="134">
        <v>20.0</v>
      </c>
      <c r="L153" s="134">
        <v>0.0</v>
      </c>
      <c r="M153" s="134">
        <v>20.0</v>
      </c>
      <c r="N153" s="134">
        <v>0.0</v>
      </c>
    </row>
    <row r="154">
      <c r="A154" s="131" t="s">
        <v>690</v>
      </c>
      <c r="B154" s="133" t="s">
        <v>634</v>
      </c>
      <c r="C154" s="134">
        <v>81.0</v>
      </c>
      <c r="D154" s="134">
        <v>3.95</v>
      </c>
      <c r="E154" s="134">
        <v>17.0</v>
      </c>
      <c r="F154" s="134">
        <v>0.0</v>
      </c>
      <c r="G154" s="134">
        <v>16.0</v>
      </c>
      <c r="H154" s="134">
        <v>1.0</v>
      </c>
      <c r="I154" s="134">
        <v>16.0</v>
      </c>
      <c r="J154" s="134">
        <v>1.0</v>
      </c>
      <c r="K154" s="134">
        <v>16.0</v>
      </c>
      <c r="L154" s="134">
        <v>1.0</v>
      </c>
      <c r="M154" s="134">
        <v>16.0</v>
      </c>
      <c r="N154" s="134">
        <v>1.0</v>
      </c>
    </row>
    <row r="155">
      <c r="A155" s="131" t="s">
        <v>692</v>
      </c>
      <c r="B155" s="133" t="s">
        <v>622</v>
      </c>
      <c r="C155" s="134">
        <v>59.0</v>
      </c>
      <c r="D155" s="134">
        <v>4.07</v>
      </c>
      <c r="E155" s="134">
        <v>12.0</v>
      </c>
      <c r="F155" s="134">
        <v>0.0</v>
      </c>
      <c r="G155" s="134">
        <v>11.0</v>
      </c>
      <c r="H155" s="134">
        <v>2.91</v>
      </c>
      <c r="I155" s="134">
        <v>12.0</v>
      </c>
      <c r="J155" s="134">
        <v>0.0</v>
      </c>
      <c r="K155" s="134">
        <v>12.0</v>
      </c>
      <c r="L155" s="134">
        <v>1.33</v>
      </c>
      <c r="M155" s="134">
        <v>12.0</v>
      </c>
      <c r="N155" s="134">
        <v>0.0</v>
      </c>
    </row>
    <row r="156">
      <c r="A156" s="131" t="s">
        <v>695</v>
      </c>
      <c r="B156" s="133" t="s">
        <v>598</v>
      </c>
      <c r="C156" s="134">
        <v>81.0</v>
      </c>
      <c r="D156" s="134">
        <v>4.94</v>
      </c>
      <c r="E156" s="134">
        <v>16.0</v>
      </c>
      <c r="F156" s="134">
        <v>0.0</v>
      </c>
      <c r="G156" s="134">
        <v>17.0</v>
      </c>
      <c r="H156" s="134">
        <v>1.88</v>
      </c>
      <c r="I156" s="134">
        <v>16.0</v>
      </c>
      <c r="J156" s="134">
        <v>0.0</v>
      </c>
      <c r="K156" s="134">
        <v>16.0</v>
      </c>
      <c r="L156" s="134">
        <v>0.0</v>
      </c>
      <c r="M156" s="134">
        <v>16.0</v>
      </c>
      <c r="N156" s="134">
        <v>3.0</v>
      </c>
    </row>
    <row r="157">
      <c r="A157" s="131" t="s">
        <v>701</v>
      </c>
      <c r="B157" s="133" t="s">
        <v>730</v>
      </c>
      <c r="C157" s="134">
        <v>89.0</v>
      </c>
      <c r="D157" s="134">
        <v>-0.899</v>
      </c>
      <c r="E157" s="134">
        <v>17.0</v>
      </c>
      <c r="F157" s="134">
        <v>0.0</v>
      </c>
      <c r="G157" s="134">
        <v>18.0</v>
      </c>
      <c r="H157" s="134">
        <v>-0.889</v>
      </c>
      <c r="I157" s="134">
        <v>18.0</v>
      </c>
      <c r="J157" s="134">
        <v>0.0</v>
      </c>
      <c r="K157" s="134">
        <v>18.0</v>
      </c>
      <c r="L157" s="134">
        <v>0.0</v>
      </c>
      <c r="M157" s="134">
        <v>18.0</v>
      </c>
      <c r="N157" s="134">
        <v>0.0</v>
      </c>
    </row>
    <row r="158">
      <c r="A158" s="131" t="s">
        <v>702</v>
      </c>
      <c r="B158" s="133" t="s">
        <v>732</v>
      </c>
      <c r="C158" s="134">
        <v>72.0</v>
      </c>
      <c r="D158" s="134">
        <v>0.0</v>
      </c>
      <c r="E158" s="134">
        <v>15.0</v>
      </c>
      <c r="F158" s="134">
        <v>0.0</v>
      </c>
      <c r="G158" s="134">
        <v>15.0</v>
      </c>
      <c r="H158" s="134">
        <v>0.0</v>
      </c>
      <c r="I158" s="134">
        <v>14.0</v>
      </c>
      <c r="J158" s="134">
        <v>0.0</v>
      </c>
      <c r="K158" s="134">
        <v>14.0</v>
      </c>
      <c r="L158" s="134">
        <v>0.0</v>
      </c>
      <c r="M158" s="134">
        <v>14.0</v>
      </c>
      <c r="N158" s="134">
        <v>0.0</v>
      </c>
    </row>
    <row r="159">
      <c r="A159" s="131" t="s">
        <v>704</v>
      </c>
      <c r="B159" s="133" t="s">
        <v>683</v>
      </c>
      <c r="C159" s="134">
        <v>91.0</v>
      </c>
      <c r="D159" s="134">
        <v>1.76</v>
      </c>
      <c r="E159" s="134">
        <v>19.0</v>
      </c>
      <c r="F159" s="134">
        <v>0.0</v>
      </c>
      <c r="G159" s="134">
        <v>18.0</v>
      </c>
      <c r="H159" s="134">
        <v>0.0</v>
      </c>
      <c r="I159" s="134">
        <v>18.0</v>
      </c>
      <c r="J159" s="134">
        <v>0.0</v>
      </c>
      <c r="K159" s="134">
        <v>18.0</v>
      </c>
      <c r="L159" s="134">
        <v>1.78</v>
      </c>
      <c r="M159" s="134">
        <v>18.0</v>
      </c>
      <c r="N159" s="134">
        <v>0.0</v>
      </c>
    </row>
    <row r="160">
      <c r="A160" s="131" t="s">
        <v>707</v>
      </c>
      <c r="B160" s="133" t="s">
        <v>515</v>
      </c>
      <c r="C160" s="134">
        <v>48.0</v>
      </c>
      <c r="D160" s="134">
        <v>8.33</v>
      </c>
      <c r="E160" s="134">
        <v>9.0</v>
      </c>
      <c r="F160" s="134">
        <v>0.0</v>
      </c>
      <c r="G160" s="134">
        <v>9.0</v>
      </c>
      <c r="H160" s="134">
        <v>3.56</v>
      </c>
      <c r="I160" s="134">
        <v>10.0</v>
      </c>
      <c r="J160" s="134">
        <v>3.2</v>
      </c>
      <c r="K160" s="134">
        <v>10.0</v>
      </c>
      <c r="L160" s="134">
        <v>0.0</v>
      </c>
      <c r="M160" s="134">
        <v>10.0</v>
      </c>
      <c r="N160" s="134">
        <v>1.6</v>
      </c>
    </row>
    <row r="161">
      <c r="A161" s="131" t="s">
        <v>709</v>
      </c>
      <c r="B161" s="133" t="s">
        <v>714</v>
      </c>
      <c r="C161" s="134">
        <v>99.0</v>
      </c>
      <c r="D161" s="134">
        <v>0.808</v>
      </c>
      <c r="E161" s="134">
        <v>20.0</v>
      </c>
      <c r="F161" s="134">
        <v>0.0</v>
      </c>
      <c r="G161" s="134">
        <v>20.0</v>
      </c>
      <c r="H161" s="134">
        <v>0.0</v>
      </c>
      <c r="I161" s="134">
        <v>20.0</v>
      </c>
      <c r="J161" s="134">
        <v>0.0</v>
      </c>
      <c r="K161" s="134">
        <v>20.0</v>
      </c>
      <c r="L161" s="134">
        <v>0.0</v>
      </c>
      <c r="M161" s="134">
        <v>19.0</v>
      </c>
      <c r="N161" s="134">
        <v>0.842</v>
      </c>
    </row>
    <row r="162">
      <c r="A162" s="131" t="s">
        <v>710</v>
      </c>
      <c r="B162" s="133" t="s">
        <v>664</v>
      </c>
      <c r="C162" s="134">
        <v>99.0</v>
      </c>
      <c r="D162" s="134">
        <v>2.42</v>
      </c>
      <c r="E162" s="134">
        <v>20.0</v>
      </c>
      <c r="F162" s="134">
        <v>0.0</v>
      </c>
      <c r="G162" s="134">
        <v>20.0</v>
      </c>
      <c r="H162" s="134">
        <v>0.0</v>
      </c>
      <c r="I162" s="134">
        <v>20.0</v>
      </c>
      <c r="J162" s="134">
        <v>2.4</v>
      </c>
      <c r="K162" s="134">
        <v>20.0</v>
      </c>
      <c r="L162" s="134">
        <v>0.0</v>
      </c>
      <c r="M162" s="134">
        <v>19.0</v>
      </c>
      <c r="N162" s="134">
        <v>0.0</v>
      </c>
    </row>
    <row r="163">
      <c r="A163" s="131" t="s">
        <v>712</v>
      </c>
      <c r="B163" s="133" t="s">
        <v>480</v>
      </c>
      <c r="C163" s="134">
        <v>99.0</v>
      </c>
      <c r="D163" s="134">
        <v>10.5</v>
      </c>
      <c r="E163" s="134">
        <v>20.0</v>
      </c>
      <c r="F163" s="134">
        <v>0.0</v>
      </c>
      <c r="G163" s="134">
        <v>20.0</v>
      </c>
      <c r="H163" s="134">
        <v>4.8</v>
      </c>
      <c r="I163" s="134">
        <v>20.0</v>
      </c>
      <c r="J163" s="134">
        <v>0.0</v>
      </c>
      <c r="K163" s="134">
        <v>20.0</v>
      </c>
      <c r="L163" s="134">
        <v>4.0</v>
      </c>
      <c r="M163" s="134">
        <v>19.0</v>
      </c>
      <c r="N163" s="134">
        <v>1.68</v>
      </c>
    </row>
    <row r="164">
      <c r="A164" s="131" t="s">
        <v>713</v>
      </c>
      <c r="B164" s="133" t="s">
        <v>508</v>
      </c>
      <c r="C164" s="134">
        <v>98.0</v>
      </c>
      <c r="D164" s="134">
        <v>8.98</v>
      </c>
      <c r="E164" s="134">
        <v>20.0</v>
      </c>
      <c r="F164" s="134">
        <v>0.0</v>
      </c>
      <c r="G164" s="134">
        <v>21.0</v>
      </c>
      <c r="H164" s="134">
        <v>3.05</v>
      </c>
      <c r="I164" s="134">
        <v>20.0</v>
      </c>
      <c r="J164" s="134">
        <v>0.8</v>
      </c>
      <c r="K164" s="134">
        <v>19.0</v>
      </c>
      <c r="L164" s="134">
        <v>5.05</v>
      </c>
      <c r="M164" s="134">
        <v>18.0</v>
      </c>
      <c r="N164" s="134">
        <v>0.0</v>
      </c>
    </row>
    <row r="165">
      <c r="A165" s="131" t="s">
        <v>715</v>
      </c>
      <c r="B165" s="133" t="s">
        <v>510</v>
      </c>
      <c r="C165" s="134">
        <v>99.0</v>
      </c>
      <c r="D165" s="134">
        <v>8.89</v>
      </c>
      <c r="E165" s="134">
        <v>20.0</v>
      </c>
      <c r="F165" s="134">
        <v>0.0</v>
      </c>
      <c r="G165" s="134">
        <v>20.0</v>
      </c>
      <c r="H165" s="134">
        <v>0.8</v>
      </c>
      <c r="I165" s="134">
        <v>20.0</v>
      </c>
      <c r="J165" s="134">
        <v>-0.8</v>
      </c>
      <c r="K165" s="134">
        <v>20.0</v>
      </c>
      <c r="L165" s="134">
        <v>7.2</v>
      </c>
      <c r="M165" s="134">
        <v>19.0</v>
      </c>
      <c r="N165" s="134">
        <v>1.68</v>
      </c>
    </row>
    <row r="166">
      <c r="A166" s="131" t="s">
        <v>716</v>
      </c>
      <c r="B166" s="133" t="s">
        <v>636</v>
      </c>
      <c r="C166" s="134">
        <v>61.0</v>
      </c>
      <c r="D166" s="134">
        <v>3.93</v>
      </c>
      <c r="E166" s="134">
        <v>13.0</v>
      </c>
      <c r="F166" s="134">
        <v>0.0</v>
      </c>
      <c r="G166" s="134">
        <v>13.0</v>
      </c>
      <c r="H166" s="134">
        <v>0.0</v>
      </c>
      <c r="I166" s="134">
        <v>12.0</v>
      </c>
      <c r="J166" s="134">
        <v>4.0</v>
      </c>
      <c r="K166" s="134">
        <v>12.0</v>
      </c>
      <c r="L166" s="134">
        <v>0.0</v>
      </c>
      <c r="M166" s="134">
        <v>11.0</v>
      </c>
      <c r="N166" s="134">
        <v>0.0</v>
      </c>
    </row>
    <row r="167">
      <c r="A167" s="131" t="s">
        <v>717</v>
      </c>
      <c r="B167" s="133" t="s">
        <v>401</v>
      </c>
      <c r="C167" s="134">
        <v>99.0</v>
      </c>
      <c r="D167" s="134">
        <v>17.0</v>
      </c>
      <c r="E167" s="134">
        <v>20.0</v>
      </c>
      <c r="F167" s="134">
        <v>0.0</v>
      </c>
      <c r="G167" s="134">
        <v>20.0</v>
      </c>
      <c r="H167" s="134">
        <v>9.6</v>
      </c>
      <c r="I167" s="134">
        <v>20.0</v>
      </c>
      <c r="J167" s="134">
        <v>1.6</v>
      </c>
      <c r="K167" s="134">
        <v>20.0</v>
      </c>
      <c r="L167" s="134">
        <v>-0.8</v>
      </c>
      <c r="M167" s="134">
        <v>19.0</v>
      </c>
      <c r="N167" s="134">
        <v>6.74</v>
      </c>
    </row>
    <row r="168">
      <c r="A168" s="131" t="s">
        <v>720</v>
      </c>
      <c r="B168" s="133" t="s">
        <v>387</v>
      </c>
      <c r="C168" s="134">
        <v>98.0</v>
      </c>
      <c r="D168" s="134">
        <v>22.9</v>
      </c>
      <c r="E168" s="134">
        <v>20.0</v>
      </c>
      <c r="F168" s="134">
        <v>0.0</v>
      </c>
      <c r="G168" s="134">
        <v>20.0</v>
      </c>
      <c r="H168" s="134">
        <v>11.2</v>
      </c>
      <c r="I168" s="134">
        <v>20.0</v>
      </c>
      <c r="J168" s="134">
        <v>3.2</v>
      </c>
      <c r="K168" s="134">
        <v>19.0</v>
      </c>
      <c r="L168" s="134">
        <v>6.74</v>
      </c>
      <c r="M168" s="134">
        <v>19.0</v>
      </c>
      <c r="N168" s="134">
        <v>1.68</v>
      </c>
    </row>
    <row r="169">
      <c r="A169" s="131" t="s">
        <v>722</v>
      </c>
      <c r="B169" s="133" t="s">
        <v>737</v>
      </c>
      <c r="C169" s="134">
        <v>40.0</v>
      </c>
      <c r="D169" s="134">
        <v>0.0</v>
      </c>
      <c r="E169" s="134">
        <v>9.0</v>
      </c>
      <c r="F169" s="134">
        <v>0.0</v>
      </c>
      <c r="G169" s="134">
        <v>8.0</v>
      </c>
      <c r="H169" s="134">
        <v>0.0</v>
      </c>
      <c r="I169" s="134">
        <v>8.0</v>
      </c>
      <c r="J169" s="134">
        <v>0.0</v>
      </c>
      <c r="K169" s="134">
        <v>8.0</v>
      </c>
      <c r="L169" s="134">
        <v>0.0</v>
      </c>
      <c r="M169" s="134">
        <v>7.0</v>
      </c>
      <c r="N169" s="134">
        <v>0.0</v>
      </c>
    </row>
    <row r="170">
      <c r="A170" s="91" t="s">
        <v>724</v>
      </c>
      <c r="B170" s="133" t="s">
        <v>739</v>
      </c>
      <c r="C170" s="134">
        <v>38.0</v>
      </c>
      <c r="D170" s="134">
        <v>0.0</v>
      </c>
      <c r="E170" s="134">
        <v>8.0</v>
      </c>
      <c r="F170" s="134">
        <v>0.0</v>
      </c>
      <c r="G170" s="134">
        <v>8.0</v>
      </c>
      <c r="H170" s="134">
        <v>0.0</v>
      </c>
      <c r="I170" s="134">
        <v>8.0</v>
      </c>
      <c r="J170" s="134">
        <v>0.0</v>
      </c>
      <c r="K170" s="134">
        <v>8.0</v>
      </c>
      <c r="L170" s="134">
        <v>0.0</v>
      </c>
      <c r="M170" s="134">
        <v>6.0</v>
      </c>
      <c r="N170" s="134">
        <v>0.0</v>
      </c>
    </row>
    <row r="171">
      <c r="A171" s="131" t="s">
        <v>726</v>
      </c>
      <c r="B171" s="133" t="s">
        <v>682</v>
      </c>
      <c r="C171" s="134">
        <v>89.0</v>
      </c>
      <c r="D171" s="134">
        <v>1.8</v>
      </c>
      <c r="E171" s="134">
        <v>18.0</v>
      </c>
      <c r="F171" s="134">
        <v>0.0</v>
      </c>
      <c r="G171" s="134">
        <v>18.0</v>
      </c>
      <c r="H171" s="134">
        <v>0.889</v>
      </c>
      <c r="I171" s="134">
        <v>18.0</v>
      </c>
      <c r="J171" s="134">
        <v>0.0</v>
      </c>
      <c r="K171" s="134">
        <v>18.0</v>
      </c>
      <c r="L171" s="134">
        <v>0.889</v>
      </c>
      <c r="M171" s="134">
        <v>17.0</v>
      </c>
      <c r="N171" s="134">
        <v>0.0</v>
      </c>
    </row>
    <row r="172">
      <c r="A172" s="131" t="s">
        <v>727</v>
      </c>
      <c r="B172" s="133" t="s">
        <v>575</v>
      </c>
      <c r="C172" s="134">
        <v>81.0</v>
      </c>
      <c r="D172" s="134">
        <v>5.93</v>
      </c>
      <c r="E172" s="134">
        <v>16.0</v>
      </c>
      <c r="F172" s="134">
        <v>0.0</v>
      </c>
      <c r="G172" s="134">
        <v>16.0</v>
      </c>
      <c r="H172" s="134">
        <v>0.0</v>
      </c>
      <c r="I172" s="134">
        <v>16.0</v>
      </c>
      <c r="J172" s="134">
        <v>3.0</v>
      </c>
      <c r="K172" s="134">
        <v>16.0</v>
      </c>
      <c r="L172" s="134">
        <v>3.0</v>
      </c>
      <c r="M172" s="134">
        <v>17.0</v>
      </c>
      <c r="N172" s="134">
        <v>0.0</v>
      </c>
    </row>
    <row r="173">
      <c r="A173" s="131" t="s">
        <v>728</v>
      </c>
      <c r="B173" s="133" t="s">
        <v>741</v>
      </c>
      <c r="C173" s="134">
        <v>0.0</v>
      </c>
      <c r="D173" s="134">
        <v>0.0</v>
      </c>
      <c r="E173" s="134">
        <v>0.0</v>
      </c>
      <c r="F173" s="134">
        <v>0.0</v>
      </c>
      <c r="G173" s="134">
        <v>0.0</v>
      </c>
      <c r="H173" s="134">
        <v>0.0</v>
      </c>
      <c r="I173" s="134">
        <v>0.0</v>
      </c>
      <c r="J173" s="134">
        <v>0.0</v>
      </c>
      <c r="K173" s="134">
        <v>0.0</v>
      </c>
      <c r="L173" s="134">
        <v>0.0</v>
      </c>
      <c r="M173" s="134">
        <v>0.0</v>
      </c>
      <c r="N173" s="134">
        <v>0.0</v>
      </c>
    </row>
    <row r="174">
      <c r="A174" s="131" t="s">
        <v>729</v>
      </c>
      <c r="B174" s="133" t="s">
        <v>689</v>
      </c>
      <c r="C174" s="134">
        <v>95.0</v>
      </c>
      <c r="D174" s="134">
        <v>1.68</v>
      </c>
      <c r="E174" s="134">
        <v>20.0</v>
      </c>
      <c r="F174" s="134">
        <v>0.0</v>
      </c>
      <c r="G174" s="134">
        <v>20.0</v>
      </c>
      <c r="H174" s="134">
        <v>0.0</v>
      </c>
      <c r="I174" s="134">
        <v>20.0</v>
      </c>
      <c r="J174" s="134">
        <v>0.0</v>
      </c>
      <c r="K174" s="134">
        <v>18.0</v>
      </c>
      <c r="L174" s="134">
        <v>0.889</v>
      </c>
      <c r="M174" s="134">
        <v>17.0</v>
      </c>
      <c r="N174" s="134">
        <v>0.941</v>
      </c>
    </row>
    <row r="175">
      <c r="A175" s="131" t="s">
        <v>731</v>
      </c>
      <c r="B175" s="133" t="s">
        <v>495</v>
      </c>
      <c r="C175" s="134">
        <v>95.0</v>
      </c>
      <c r="D175" s="134">
        <v>9.26</v>
      </c>
      <c r="E175" s="134">
        <v>20.0</v>
      </c>
      <c r="F175" s="134">
        <v>0.0</v>
      </c>
      <c r="G175" s="134">
        <v>20.0</v>
      </c>
      <c r="H175" s="134">
        <v>5.6</v>
      </c>
      <c r="I175" s="134">
        <v>20.0</v>
      </c>
      <c r="J175" s="134">
        <v>0.0</v>
      </c>
      <c r="K175" s="134">
        <v>18.0</v>
      </c>
      <c r="L175" s="134">
        <v>1.78</v>
      </c>
      <c r="M175" s="134">
        <v>17.0</v>
      </c>
      <c r="N175" s="134">
        <v>1.88</v>
      </c>
    </row>
    <row r="176">
      <c r="A176" s="131" t="s">
        <v>733</v>
      </c>
      <c r="B176" s="133" t="s">
        <v>606</v>
      </c>
      <c r="C176" s="134">
        <v>56.0</v>
      </c>
      <c r="D176" s="134">
        <v>4.29</v>
      </c>
      <c r="E176" s="134">
        <v>12.0</v>
      </c>
      <c r="F176" s="134">
        <v>0.0</v>
      </c>
      <c r="G176" s="134">
        <v>12.0</v>
      </c>
      <c r="H176" s="134">
        <v>1.33</v>
      </c>
      <c r="I176" s="134">
        <v>12.0</v>
      </c>
      <c r="J176" s="134">
        <v>0.0</v>
      </c>
      <c r="K176" s="134">
        <v>10.0</v>
      </c>
      <c r="L176" s="134">
        <v>0.0</v>
      </c>
      <c r="M176" s="134">
        <v>10.0</v>
      </c>
      <c r="N176" s="134">
        <v>3.2</v>
      </c>
    </row>
    <row r="177">
      <c r="A177" s="131" t="s">
        <v>734</v>
      </c>
      <c r="B177" s="133" t="s">
        <v>743</v>
      </c>
      <c r="C177" s="134">
        <v>40.0</v>
      </c>
      <c r="D177" s="134">
        <v>0.0</v>
      </c>
      <c r="E177" s="134">
        <v>8.0</v>
      </c>
      <c r="F177" s="134">
        <v>0.0</v>
      </c>
      <c r="G177" s="134">
        <v>8.0</v>
      </c>
      <c r="H177" s="134">
        <v>0.0</v>
      </c>
      <c r="I177" s="134">
        <v>8.0</v>
      </c>
      <c r="J177" s="134">
        <v>0.0</v>
      </c>
      <c r="K177" s="134">
        <v>8.0</v>
      </c>
      <c r="L177" s="134">
        <v>0.0</v>
      </c>
      <c r="M177" s="134">
        <v>8.0</v>
      </c>
      <c r="N177" s="134">
        <v>0.0</v>
      </c>
    </row>
    <row r="178">
      <c r="A178" s="131" t="s">
        <v>735</v>
      </c>
      <c r="B178" s="133" t="s">
        <v>522</v>
      </c>
      <c r="C178" s="134">
        <v>99.0</v>
      </c>
      <c r="D178" s="134">
        <v>8.08</v>
      </c>
      <c r="E178" s="134">
        <v>20.0</v>
      </c>
      <c r="F178" s="134">
        <v>0.0</v>
      </c>
      <c r="G178" s="134">
        <v>20.0</v>
      </c>
      <c r="H178" s="134">
        <v>2.4</v>
      </c>
      <c r="I178" s="134">
        <v>20.0</v>
      </c>
      <c r="J178" s="134">
        <v>0.0</v>
      </c>
      <c r="K178" s="134">
        <v>20.0</v>
      </c>
      <c r="L178" s="134">
        <v>0.0</v>
      </c>
      <c r="M178" s="134">
        <v>19.0</v>
      </c>
      <c r="N178" s="134">
        <v>5.89</v>
      </c>
    </row>
    <row r="179">
      <c r="A179" s="131" t="s">
        <v>736</v>
      </c>
      <c r="B179" s="133" t="s">
        <v>745</v>
      </c>
      <c r="C179" s="134">
        <v>25.0</v>
      </c>
      <c r="D179" s="134">
        <v>0.0</v>
      </c>
      <c r="E179" s="134">
        <v>5.0</v>
      </c>
      <c r="F179" s="134">
        <v>0.0</v>
      </c>
      <c r="G179" s="134">
        <v>5.0</v>
      </c>
      <c r="H179" s="134">
        <v>0.0</v>
      </c>
      <c r="I179" s="134">
        <v>5.0</v>
      </c>
      <c r="J179" s="134">
        <v>0.0</v>
      </c>
      <c r="K179" s="134">
        <v>5.0</v>
      </c>
      <c r="L179" s="134">
        <v>0.0</v>
      </c>
      <c r="M179" s="134">
        <v>5.0</v>
      </c>
      <c r="N179" s="134">
        <v>0.0</v>
      </c>
    </row>
    <row r="180">
      <c r="A180" s="131" t="s">
        <v>740</v>
      </c>
      <c r="B180" s="133" t="s">
        <v>708</v>
      </c>
      <c r="C180" s="134">
        <v>85.0</v>
      </c>
      <c r="D180" s="134">
        <v>0.941</v>
      </c>
      <c r="E180" s="134">
        <v>19.0</v>
      </c>
      <c r="F180" s="134">
        <v>0.0</v>
      </c>
      <c r="G180" s="134">
        <v>18.0</v>
      </c>
      <c r="H180" s="134">
        <v>0.889</v>
      </c>
      <c r="I180" s="134">
        <v>16.0</v>
      </c>
      <c r="J180" s="134">
        <v>0.0</v>
      </c>
      <c r="K180" s="134">
        <v>16.0</v>
      </c>
      <c r="L180" s="134">
        <v>0.0</v>
      </c>
      <c r="M180" s="134">
        <v>16.0</v>
      </c>
      <c r="N180" s="134">
        <v>0.0</v>
      </c>
    </row>
    <row r="181">
      <c r="A181" s="131" t="s">
        <v>742</v>
      </c>
      <c r="B181" s="133" t="s">
        <v>540</v>
      </c>
      <c r="C181" s="134">
        <v>76.0</v>
      </c>
      <c r="D181" s="134">
        <v>7.37</v>
      </c>
      <c r="E181" s="134">
        <v>16.0</v>
      </c>
      <c r="F181" s="134">
        <v>0.0</v>
      </c>
      <c r="G181" s="134">
        <v>15.0</v>
      </c>
      <c r="H181" s="134">
        <v>0.0</v>
      </c>
      <c r="I181" s="134">
        <v>15.0</v>
      </c>
      <c r="J181" s="134">
        <v>0.0</v>
      </c>
      <c r="K181" s="134">
        <v>15.0</v>
      </c>
      <c r="L181" s="134">
        <v>0.0</v>
      </c>
      <c r="M181" s="134">
        <v>15.0</v>
      </c>
      <c r="N181" s="134">
        <v>7.47</v>
      </c>
    </row>
    <row r="182">
      <c r="A182" s="131" t="s">
        <v>744</v>
      </c>
      <c r="B182" s="133" t="s">
        <v>711</v>
      </c>
      <c r="C182" s="134">
        <v>97.0</v>
      </c>
      <c r="D182" s="134">
        <v>0.825</v>
      </c>
      <c r="E182" s="134">
        <v>20.0</v>
      </c>
      <c r="F182" s="134">
        <v>0.0</v>
      </c>
      <c r="G182" s="134">
        <v>20.0</v>
      </c>
      <c r="H182" s="134">
        <v>0.0</v>
      </c>
      <c r="I182" s="134">
        <v>20.0</v>
      </c>
      <c r="J182" s="134">
        <v>0.0</v>
      </c>
      <c r="K182" s="134">
        <v>19.0</v>
      </c>
      <c r="L182" s="134">
        <v>0.842</v>
      </c>
      <c r="M182" s="134">
        <v>18.0</v>
      </c>
      <c r="N182" s="134">
        <v>0.0</v>
      </c>
    </row>
    <row r="183">
      <c r="A183" s="131" t="s">
        <v>750</v>
      </c>
      <c r="B183" s="133" t="s">
        <v>453</v>
      </c>
      <c r="C183" s="134">
        <v>31.0</v>
      </c>
      <c r="D183" s="134">
        <v>12.9</v>
      </c>
      <c r="E183" s="134">
        <v>7.0</v>
      </c>
      <c r="F183" s="134">
        <v>0.0</v>
      </c>
      <c r="G183" s="134">
        <v>7.0</v>
      </c>
      <c r="H183" s="134">
        <v>11.4</v>
      </c>
      <c r="I183" s="134">
        <v>6.0</v>
      </c>
      <c r="J183" s="134">
        <v>0.0</v>
      </c>
      <c r="K183" s="134">
        <v>6.0</v>
      </c>
      <c r="L183" s="134">
        <v>0.0</v>
      </c>
      <c r="M183" s="134">
        <v>5.0</v>
      </c>
      <c r="N183" s="134">
        <v>0.0</v>
      </c>
    </row>
    <row r="184">
      <c r="A184" s="131" t="s">
        <v>751</v>
      </c>
      <c r="B184" s="133" t="s">
        <v>755</v>
      </c>
      <c r="C184" s="134">
        <v>92.0</v>
      </c>
      <c r="D184" s="134">
        <v>-1.74</v>
      </c>
      <c r="E184" s="134">
        <v>19.0</v>
      </c>
      <c r="F184" s="134">
        <v>0.0</v>
      </c>
      <c r="G184" s="134">
        <v>19.0</v>
      </c>
      <c r="H184" s="134">
        <v>0.0</v>
      </c>
      <c r="I184" s="134">
        <v>19.0</v>
      </c>
      <c r="J184" s="134">
        <v>-1.68</v>
      </c>
      <c r="K184" s="134">
        <v>19.0</v>
      </c>
      <c r="L184" s="134">
        <v>0.0</v>
      </c>
      <c r="M184" s="134">
        <v>16.0</v>
      </c>
      <c r="N184" s="134">
        <v>0.0</v>
      </c>
    </row>
    <row r="185">
      <c r="A185" s="131" t="s">
        <v>752</v>
      </c>
      <c r="B185" s="133" t="s">
        <v>491</v>
      </c>
      <c r="C185" s="134">
        <v>92.0</v>
      </c>
      <c r="D185" s="134">
        <v>9.57</v>
      </c>
      <c r="E185" s="134">
        <v>19.0</v>
      </c>
      <c r="F185" s="134">
        <v>0.0</v>
      </c>
      <c r="G185" s="134">
        <v>19.0</v>
      </c>
      <c r="H185" s="134">
        <v>0.0</v>
      </c>
      <c r="I185" s="134">
        <v>19.0</v>
      </c>
      <c r="J185" s="134">
        <v>4.21</v>
      </c>
      <c r="K185" s="134">
        <v>19.0</v>
      </c>
      <c r="L185" s="134">
        <v>0.0</v>
      </c>
      <c r="M185" s="134">
        <v>16.0</v>
      </c>
      <c r="N185" s="134">
        <v>6.0</v>
      </c>
    </row>
    <row r="186">
      <c r="A186" s="131" t="s">
        <v>569</v>
      </c>
      <c r="B186" s="133" t="s">
        <v>749</v>
      </c>
      <c r="C186" s="134">
        <v>67.0</v>
      </c>
      <c r="D186" s="134">
        <v>0.0</v>
      </c>
      <c r="E186" s="134">
        <v>13.0</v>
      </c>
      <c r="F186" s="134">
        <v>0.0</v>
      </c>
      <c r="G186" s="134">
        <v>14.0</v>
      </c>
      <c r="H186" s="134">
        <v>0.0</v>
      </c>
      <c r="I186" s="134">
        <v>14.0</v>
      </c>
      <c r="J186" s="134">
        <v>0.0</v>
      </c>
      <c r="K186" s="134">
        <v>14.0</v>
      </c>
      <c r="L186" s="134">
        <v>0.0</v>
      </c>
      <c r="M186" s="134">
        <v>12.0</v>
      </c>
      <c r="N186" s="134">
        <v>0.0</v>
      </c>
    </row>
    <row r="187">
      <c r="A187" s="131" t="s">
        <v>516</v>
      </c>
      <c r="B187" s="133" t="s">
        <v>669</v>
      </c>
      <c r="C187" s="134">
        <v>70.0</v>
      </c>
      <c r="D187" s="134">
        <v>2.29</v>
      </c>
      <c r="E187" s="134">
        <v>15.0</v>
      </c>
      <c r="F187" s="134">
        <v>0.0</v>
      </c>
      <c r="G187" s="134">
        <v>15.0</v>
      </c>
      <c r="H187" s="134">
        <v>0.0</v>
      </c>
      <c r="I187" s="134">
        <v>14.0</v>
      </c>
      <c r="J187" s="134">
        <v>0.0</v>
      </c>
      <c r="K187" s="134">
        <v>13.0</v>
      </c>
      <c r="L187" s="134">
        <v>2.46</v>
      </c>
      <c r="M187" s="134">
        <v>13.0</v>
      </c>
      <c r="N187" s="134">
        <v>0.0</v>
      </c>
    </row>
    <row r="188">
      <c r="A188" s="131" t="s">
        <v>738</v>
      </c>
      <c r="B188" s="133" t="s">
        <v>671</v>
      </c>
      <c r="C188" s="134">
        <v>75.0</v>
      </c>
      <c r="D188" s="134">
        <v>2.13</v>
      </c>
      <c r="E188" s="134">
        <v>15.0</v>
      </c>
      <c r="F188" s="134">
        <v>0.0</v>
      </c>
      <c r="G188" s="134">
        <v>16.0</v>
      </c>
      <c r="H188" s="134">
        <v>0.0</v>
      </c>
      <c r="I188" s="134">
        <v>15.0</v>
      </c>
      <c r="J188" s="134">
        <v>1.07</v>
      </c>
      <c r="K188" s="134">
        <v>15.0</v>
      </c>
      <c r="L188" s="134">
        <v>1.07</v>
      </c>
      <c r="M188" s="134">
        <v>14.0</v>
      </c>
      <c r="N188" s="134">
        <v>0.0</v>
      </c>
    </row>
    <row r="189">
      <c r="A189" s="131" t="s">
        <v>552</v>
      </c>
      <c r="B189" s="133" t="s">
        <v>756</v>
      </c>
      <c r="C189" s="134">
        <v>27.0</v>
      </c>
      <c r="D189" s="134">
        <v>-2.96</v>
      </c>
      <c r="E189" s="134">
        <v>7.0</v>
      </c>
      <c r="F189" s="134">
        <v>0.0</v>
      </c>
      <c r="G189" s="134">
        <v>5.0</v>
      </c>
      <c r="H189" s="134">
        <v>0.0</v>
      </c>
      <c r="I189" s="134">
        <v>5.0</v>
      </c>
      <c r="J189" s="134">
        <v>-3.2</v>
      </c>
      <c r="K189" s="134">
        <v>5.0</v>
      </c>
      <c r="L189" s="134">
        <v>0.0</v>
      </c>
      <c r="M189" s="134">
        <v>5.0</v>
      </c>
      <c r="N189" s="134">
        <v>0.0</v>
      </c>
    </row>
    <row r="190">
      <c r="A190" s="131" t="s">
        <v>699</v>
      </c>
      <c r="B190" s="133" t="s">
        <v>395</v>
      </c>
      <c r="C190" s="134">
        <v>100.0</v>
      </c>
      <c r="D190" s="134">
        <v>20.0</v>
      </c>
      <c r="E190" s="134">
        <v>20.0</v>
      </c>
      <c r="F190" s="134">
        <v>0.0</v>
      </c>
      <c r="G190" s="134">
        <v>20.0</v>
      </c>
      <c r="H190" s="134">
        <v>4.0</v>
      </c>
      <c r="I190" s="134">
        <v>20.0</v>
      </c>
      <c r="J190" s="134">
        <v>4.0</v>
      </c>
      <c r="K190" s="134">
        <v>20.0</v>
      </c>
      <c r="L190" s="134">
        <v>6.4</v>
      </c>
      <c r="M190" s="134">
        <v>20.0</v>
      </c>
      <c r="N190" s="134">
        <v>5.6</v>
      </c>
    </row>
    <row r="191">
      <c r="A191" s="131" t="s">
        <v>746</v>
      </c>
      <c r="B191" s="133" t="s">
        <v>519</v>
      </c>
      <c r="C191" s="134">
        <v>99.0</v>
      </c>
      <c r="D191" s="134">
        <v>8.08</v>
      </c>
      <c r="E191" s="134">
        <v>20.0</v>
      </c>
      <c r="F191" s="134">
        <v>-0.8</v>
      </c>
      <c r="G191" s="134">
        <v>20.0</v>
      </c>
      <c r="H191" s="134">
        <v>4.0</v>
      </c>
      <c r="I191" s="134">
        <v>20.0</v>
      </c>
      <c r="J191" s="134">
        <v>0.0</v>
      </c>
      <c r="K191" s="134">
        <v>20.0</v>
      </c>
      <c r="L191" s="134">
        <v>0.8</v>
      </c>
      <c r="M191" s="134">
        <v>19.0</v>
      </c>
      <c r="N191" s="134">
        <v>4.21</v>
      </c>
    </row>
    <row r="192">
      <c r="A192" s="131" t="s">
        <v>748</v>
      </c>
      <c r="B192" s="133" t="s">
        <v>747</v>
      </c>
      <c r="C192" s="134">
        <v>92.0</v>
      </c>
      <c r="D192" s="134">
        <v>0.0</v>
      </c>
      <c r="E192" s="134">
        <v>19.0</v>
      </c>
      <c r="F192" s="134">
        <v>-0.842</v>
      </c>
      <c r="G192" s="134">
        <v>19.0</v>
      </c>
      <c r="H192" s="134">
        <v>0.0</v>
      </c>
      <c r="I192" s="134">
        <v>19.0</v>
      </c>
      <c r="J192" s="134">
        <v>0.842</v>
      </c>
      <c r="K192" s="134">
        <v>19.0</v>
      </c>
      <c r="L192" s="134">
        <v>0.0</v>
      </c>
      <c r="M192" s="134">
        <v>16.0</v>
      </c>
      <c r="N192" s="134">
        <v>0.0</v>
      </c>
    </row>
    <row r="193">
      <c r="B193" s="133" t="s">
        <v>553</v>
      </c>
      <c r="C193" s="134">
        <v>82.0</v>
      </c>
      <c r="D193" s="134">
        <v>6.83</v>
      </c>
      <c r="E193" s="134">
        <v>17.0</v>
      </c>
      <c r="F193" s="134">
        <v>-0.941</v>
      </c>
      <c r="G193" s="134">
        <v>17.0</v>
      </c>
      <c r="H193" s="134">
        <v>1.88</v>
      </c>
      <c r="I193" s="134">
        <v>16.0</v>
      </c>
      <c r="J193" s="134">
        <v>1.0</v>
      </c>
      <c r="K193" s="134">
        <v>16.0</v>
      </c>
      <c r="L193" s="134">
        <v>5.0</v>
      </c>
      <c r="M193" s="134">
        <v>16.0</v>
      </c>
      <c r="N193" s="134">
        <v>0.0</v>
      </c>
    </row>
    <row r="194">
      <c r="B194" s="133" t="s">
        <v>705</v>
      </c>
      <c r="C194" s="134">
        <v>79.0</v>
      </c>
      <c r="D194" s="134">
        <v>1.01</v>
      </c>
      <c r="E194" s="134">
        <v>17.0</v>
      </c>
      <c r="F194" s="134">
        <v>-0.941</v>
      </c>
      <c r="G194" s="134">
        <v>16.0</v>
      </c>
      <c r="H194" s="134">
        <v>1.0</v>
      </c>
      <c r="I194" s="134">
        <v>15.0</v>
      </c>
      <c r="J194" s="134">
        <v>0.0</v>
      </c>
      <c r="K194" s="134">
        <v>16.0</v>
      </c>
      <c r="L194" s="134">
        <v>1.0</v>
      </c>
      <c r="M194" s="134">
        <v>15.0</v>
      </c>
      <c r="N194" s="134">
        <v>0.0</v>
      </c>
    </row>
    <row r="195">
      <c r="B195" s="133" t="s">
        <v>753</v>
      </c>
      <c r="C195" s="134">
        <v>77.0</v>
      </c>
      <c r="D195" s="134">
        <v>-1.04</v>
      </c>
      <c r="E195" s="134">
        <v>16.0</v>
      </c>
      <c r="F195" s="134">
        <v>-1.0</v>
      </c>
      <c r="G195" s="134">
        <v>16.0</v>
      </c>
      <c r="H195" s="134">
        <v>0.0</v>
      </c>
      <c r="I195" s="134">
        <v>15.0</v>
      </c>
      <c r="J195" s="134">
        <v>0.0</v>
      </c>
      <c r="K195" s="134">
        <v>15.0</v>
      </c>
      <c r="L195" s="134">
        <v>0.0</v>
      </c>
      <c r="M195" s="134">
        <v>15.0</v>
      </c>
      <c r="N195" s="134">
        <v>0.0</v>
      </c>
    </row>
    <row r="196">
      <c r="B196" s="133" t="s">
        <v>754</v>
      </c>
      <c r="C196" s="134">
        <v>58.0</v>
      </c>
      <c r="D196" s="134">
        <v>-1.38</v>
      </c>
      <c r="E196" s="134">
        <v>12.0</v>
      </c>
      <c r="F196" s="134">
        <v>-1.33</v>
      </c>
      <c r="G196" s="134">
        <v>12.0</v>
      </c>
      <c r="H196" s="134">
        <v>1.33</v>
      </c>
      <c r="I196" s="134">
        <v>12.0</v>
      </c>
      <c r="J196" s="134">
        <v>-1.33</v>
      </c>
      <c r="K196" s="134">
        <v>11.0</v>
      </c>
      <c r="L196" s="134">
        <v>0.0</v>
      </c>
      <c r="M196" s="134">
        <v>11.0</v>
      </c>
      <c r="N196" s="134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14" width="16.5"/>
  </cols>
  <sheetData>
    <row r="1">
      <c r="A1" s="131"/>
      <c r="B1" s="132" t="s">
        <v>339</v>
      </c>
      <c r="C1" s="132" t="s">
        <v>360</v>
      </c>
      <c r="D1" s="132" t="s">
        <v>361</v>
      </c>
      <c r="E1" s="132" t="s">
        <v>362</v>
      </c>
      <c r="F1" s="132" t="s">
        <v>363</v>
      </c>
      <c r="G1" s="132" t="s">
        <v>364</v>
      </c>
      <c r="H1" s="132" t="s">
        <v>365</v>
      </c>
      <c r="I1" s="132" t="s">
        <v>366</v>
      </c>
      <c r="J1" s="132" t="s">
        <v>367</v>
      </c>
      <c r="K1" s="132" t="s">
        <v>368</v>
      </c>
      <c r="L1" s="132" t="s">
        <v>369</v>
      </c>
      <c r="M1" s="132" t="s">
        <v>370</v>
      </c>
      <c r="N1" s="132" t="s">
        <v>371</v>
      </c>
    </row>
    <row r="2">
      <c r="A2" s="131" t="s">
        <v>427</v>
      </c>
      <c r="B2" s="133" t="s">
        <v>407</v>
      </c>
      <c r="C2" s="134">
        <v>20.0</v>
      </c>
      <c r="D2" s="134">
        <v>16.0</v>
      </c>
      <c r="E2" s="134">
        <v>4.0</v>
      </c>
      <c r="F2" s="134">
        <v>0.0</v>
      </c>
      <c r="G2" s="134">
        <v>4.0</v>
      </c>
      <c r="H2" s="134">
        <v>16.0</v>
      </c>
      <c r="I2" s="134">
        <v>4.0</v>
      </c>
      <c r="J2" s="134">
        <v>0.0</v>
      </c>
      <c r="K2" s="134">
        <v>4.0</v>
      </c>
      <c r="L2" s="134">
        <v>0.0</v>
      </c>
      <c r="M2" s="134">
        <v>4.0</v>
      </c>
      <c r="N2" s="134">
        <v>0.0</v>
      </c>
    </row>
    <row r="3">
      <c r="A3" s="131" t="s">
        <v>450</v>
      </c>
      <c r="B3" s="133" t="s">
        <v>455</v>
      </c>
      <c r="C3" s="134">
        <v>94.0</v>
      </c>
      <c r="D3" s="134">
        <v>12.8</v>
      </c>
      <c r="E3" s="134">
        <v>20.0</v>
      </c>
      <c r="F3" s="134">
        <v>0.0</v>
      </c>
      <c r="G3" s="134">
        <v>19.0</v>
      </c>
      <c r="H3" s="134">
        <v>11.8</v>
      </c>
      <c r="I3" s="134">
        <v>19.0</v>
      </c>
      <c r="J3" s="134">
        <v>0.842</v>
      </c>
      <c r="K3" s="134">
        <v>18.0</v>
      </c>
      <c r="L3" s="134">
        <v>0.0</v>
      </c>
      <c r="M3" s="134">
        <v>18.0</v>
      </c>
      <c r="N3" s="134">
        <v>0.0</v>
      </c>
    </row>
    <row r="4">
      <c r="A4" s="131" t="s">
        <v>382</v>
      </c>
      <c r="B4" s="133" t="s">
        <v>453</v>
      </c>
      <c r="C4" s="134">
        <v>31.0</v>
      </c>
      <c r="D4" s="134">
        <v>12.9</v>
      </c>
      <c r="E4" s="134">
        <v>7.0</v>
      </c>
      <c r="F4" s="134">
        <v>0.0</v>
      </c>
      <c r="G4" s="134">
        <v>7.0</v>
      </c>
      <c r="H4" s="134">
        <v>11.4</v>
      </c>
      <c r="I4" s="134">
        <v>6.0</v>
      </c>
      <c r="J4" s="134">
        <v>0.0</v>
      </c>
      <c r="K4" s="134">
        <v>6.0</v>
      </c>
      <c r="L4" s="134">
        <v>0.0</v>
      </c>
      <c r="M4" s="134">
        <v>5.0</v>
      </c>
      <c r="N4" s="134">
        <v>0.0</v>
      </c>
    </row>
    <row r="5">
      <c r="A5" s="131" t="s">
        <v>404</v>
      </c>
      <c r="B5" s="133" t="s">
        <v>405</v>
      </c>
      <c r="C5" s="134">
        <v>98.0</v>
      </c>
      <c r="D5" s="134">
        <v>16.3</v>
      </c>
      <c r="E5" s="134">
        <v>20.0</v>
      </c>
      <c r="F5" s="134">
        <v>1.6</v>
      </c>
      <c r="G5" s="134">
        <v>20.0</v>
      </c>
      <c r="H5" s="134">
        <v>11.2</v>
      </c>
      <c r="I5" s="134">
        <v>20.0</v>
      </c>
      <c r="J5" s="134">
        <v>0.0</v>
      </c>
      <c r="K5" s="134">
        <v>19.0</v>
      </c>
      <c r="L5" s="134">
        <v>3.37</v>
      </c>
      <c r="M5" s="134">
        <v>19.0</v>
      </c>
      <c r="N5" s="134">
        <v>0.0</v>
      </c>
    </row>
    <row r="6">
      <c r="A6" s="131" t="s">
        <v>454</v>
      </c>
      <c r="B6" s="133" t="s">
        <v>387</v>
      </c>
      <c r="C6" s="134">
        <v>98.0</v>
      </c>
      <c r="D6" s="134">
        <v>22.9</v>
      </c>
      <c r="E6" s="134">
        <v>20.0</v>
      </c>
      <c r="F6" s="134">
        <v>0.0</v>
      </c>
      <c r="G6" s="134">
        <v>20.0</v>
      </c>
      <c r="H6" s="134">
        <v>11.2</v>
      </c>
      <c r="I6" s="134">
        <v>20.0</v>
      </c>
      <c r="J6" s="134">
        <v>3.2</v>
      </c>
      <c r="K6" s="134">
        <v>19.0</v>
      </c>
      <c r="L6" s="134">
        <v>6.74</v>
      </c>
      <c r="M6" s="134">
        <v>19.0</v>
      </c>
      <c r="N6" s="134">
        <v>1.68</v>
      </c>
    </row>
    <row r="7">
      <c r="A7" s="131" t="s">
        <v>434</v>
      </c>
      <c r="B7" s="133" t="s">
        <v>464</v>
      </c>
      <c r="C7" s="134">
        <v>64.0</v>
      </c>
      <c r="D7" s="134">
        <v>12.5</v>
      </c>
      <c r="E7" s="134">
        <v>12.0</v>
      </c>
      <c r="F7" s="134">
        <v>1.33</v>
      </c>
      <c r="G7" s="134">
        <v>13.0</v>
      </c>
      <c r="H7" s="134">
        <v>11.1</v>
      </c>
      <c r="I7" s="134">
        <v>14.0</v>
      </c>
      <c r="J7" s="134">
        <v>0.0</v>
      </c>
      <c r="K7" s="134">
        <v>14.0</v>
      </c>
      <c r="L7" s="134">
        <v>0.0</v>
      </c>
      <c r="M7" s="134">
        <v>11.0</v>
      </c>
      <c r="N7" s="134">
        <v>0.0</v>
      </c>
    </row>
    <row r="8">
      <c r="A8" s="131" t="s">
        <v>400</v>
      </c>
      <c r="B8" s="133" t="s">
        <v>401</v>
      </c>
      <c r="C8" s="134">
        <v>99.0</v>
      </c>
      <c r="D8" s="134">
        <v>17.0</v>
      </c>
      <c r="E8" s="134">
        <v>20.0</v>
      </c>
      <c r="F8" s="134">
        <v>0.0</v>
      </c>
      <c r="G8" s="134">
        <v>20.0</v>
      </c>
      <c r="H8" s="134">
        <v>9.6</v>
      </c>
      <c r="I8" s="134">
        <v>20.0</v>
      </c>
      <c r="J8" s="134">
        <v>1.6</v>
      </c>
      <c r="K8" s="134">
        <v>20.0</v>
      </c>
      <c r="L8" s="134">
        <v>-0.8</v>
      </c>
      <c r="M8" s="134">
        <v>19.0</v>
      </c>
      <c r="N8" s="134">
        <v>6.74</v>
      </c>
    </row>
    <row r="9">
      <c r="A9" s="131" t="s">
        <v>408</v>
      </c>
      <c r="B9" s="133" t="s">
        <v>412</v>
      </c>
      <c r="C9" s="134">
        <v>97.0</v>
      </c>
      <c r="D9" s="134">
        <v>15.7</v>
      </c>
      <c r="E9" s="134">
        <v>20.0</v>
      </c>
      <c r="F9" s="134">
        <v>2.4</v>
      </c>
      <c r="G9" s="134">
        <v>20.0</v>
      </c>
      <c r="H9" s="134">
        <v>8.8</v>
      </c>
      <c r="I9" s="134">
        <v>19.0</v>
      </c>
      <c r="J9" s="134">
        <v>0.842</v>
      </c>
      <c r="K9" s="134">
        <v>19.0</v>
      </c>
      <c r="L9" s="134">
        <v>1.68</v>
      </c>
      <c r="M9" s="134">
        <v>19.0</v>
      </c>
      <c r="N9" s="134">
        <v>1.68</v>
      </c>
    </row>
    <row r="10">
      <c r="A10" s="131" t="s">
        <v>422</v>
      </c>
      <c r="B10" s="133" t="s">
        <v>477</v>
      </c>
      <c r="C10" s="134">
        <v>95.0</v>
      </c>
      <c r="D10" s="134">
        <v>10.9</v>
      </c>
      <c r="E10" s="134">
        <v>20.0</v>
      </c>
      <c r="F10" s="134">
        <v>0.0</v>
      </c>
      <c r="G10" s="134">
        <v>20.0</v>
      </c>
      <c r="H10" s="134">
        <v>8.0</v>
      </c>
      <c r="I10" s="134">
        <v>19.0</v>
      </c>
      <c r="J10" s="134">
        <v>0.0</v>
      </c>
      <c r="K10" s="134">
        <v>18.0</v>
      </c>
      <c r="L10" s="134">
        <v>0.889</v>
      </c>
      <c r="M10" s="134">
        <v>18.0</v>
      </c>
      <c r="N10" s="134">
        <v>1.78</v>
      </c>
    </row>
    <row r="11">
      <c r="A11" s="131" t="s">
        <v>472</v>
      </c>
      <c r="B11" s="133" t="s">
        <v>451</v>
      </c>
      <c r="C11" s="134">
        <v>98.0</v>
      </c>
      <c r="D11" s="134">
        <v>13.1</v>
      </c>
      <c r="E11" s="134">
        <v>20.0</v>
      </c>
      <c r="F11" s="134">
        <v>0.8</v>
      </c>
      <c r="G11" s="134">
        <v>20.0</v>
      </c>
      <c r="H11" s="134">
        <v>8.0</v>
      </c>
      <c r="I11" s="134">
        <v>20.0</v>
      </c>
      <c r="J11" s="134">
        <v>0.8</v>
      </c>
      <c r="K11" s="134">
        <v>19.0</v>
      </c>
      <c r="L11" s="134">
        <v>0.0</v>
      </c>
      <c r="M11" s="134">
        <v>19.0</v>
      </c>
      <c r="N11" s="134">
        <v>3.37</v>
      </c>
    </row>
    <row r="12">
      <c r="A12" s="131" t="s">
        <v>458</v>
      </c>
      <c r="B12" s="133" t="s">
        <v>468</v>
      </c>
      <c r="C12" s="134">
        <v>99.0</v>
      </c>
      <c r="D12" s="134">
        <v>12.1</v>
      </c>
      <c r="E12" s="134">
        <v>20.0</v>
      </c>
      <c r="F12" s="134">
        <v>0.0</v>
      </c>
      <c r="G12" s="134">
        <v>20.0</v>
      </c>
      <c r="H12" s="134">
        <v>8.0</v>
      </c>
      <c r="I12" s="134">
        <v>20.0</v>
      </c>
      <c r="J12" s="134">
        <v>0.8</v>
      </c>
      <c r="K12" s="134">
        <v>20.0</v>
      </c>
      <c r="L12" s="134">
        <v>0.0</v>
      </c>
      <c r="M12" s="134">
        <v>19.0</v>
      </c>
      <c r="N12" s="134">
        <v>3.37</v>
      </c>
    </row>
    <row r="13">
      <c r="A13" s="131" t="s">
        <v>539</v>
      </c>
      <c r="B13" s="133" t="s">
        <v>543</v>
      </c>
      <c r="C13" s="134">
        <v>98.0</v>
      </c>
      <c r="D13" s="134">
        <v>7.35</v>
      </c>
      <c r="E13" s="134">
        <v>20.0</v>
      </c>
      <c r="F13" s="134">
        <v>0.0</v>
      </c>
      <c r="G13" s="134">
        <v>20.0</v>
      </c>
      <c r="H13" s="134">
        <v>7.2</v>
      </c>
      <c r="I13" s="134">
        <v>20.0</v>
      </c>
      <c r="J13" s="134">
        <v>0.0</v>
      </c>
      <c r="K13" s="134">
        <v>19.0</v>
      </c>
      <c r="L13" s="134">
        <v>0.0</v>
      </c>
      <c r="M13" s="134">
        <v>19.0</v>
      </c>
      <c r="N13" s="134">
        <v>0.0</v>
      </c>
    </row>
    <row r="14">
      <c r="A14" s="131" t="s">
        <v>416</v>
      </c>
      <c r="B14" s="133" t="s">
        <v>421</v>
      </c>
      <c r="C14" s="134">
        <v>66.0</v>
      </c>
      <c r="D14" s="134">
        <v>14.5</v>
      </c>
      <c r="E14" s="134">
        <v>15.0</v>
      </c>
      <c r="F14" s="134">
        <v>3.2</v>
      </c>
      <c r="G14" s="134">
        <v>14.0</v>
      </c>
      <c r="H14" s="134">
        <v>6.86</v>
      </c>
      <c r="I14" s="134">
        <v>13.0</v>
      </c>
      <c r="J14" s="134">
        <v>1.23</v>
      </c>
      <c r="K14" s="134">
        <v>12.0</v>
      </c>
      <c r="L14" s="134">
        <v>1.33</v>
      </c>
      <c r="M14" s="134">
        <v>12.0</v>
      </c>
      <c r="N14" s="134">
        <v>1.33</v>
      </c>
    </row>
    <row r="15">
      <c r="A15" s="131" t="s">
        <v>482</v>
      </c>
      <c r="B15" s="133" t="s">
        <v>383</v>
      </c>
      <c r="C15" s="134">
        <v>97.0</v>
      </c>
      <c r="D15" s="134">
        <v>23.1</v>
      </c>
      <c r="E15" s="134">
        <v>20.0</v>
      </c>
      <c r="F15" s="134">
        <v>0.0</v>
      </c>
      <c r="G15" s="134">
        <v>20.0</v>
      </c>
      <c r="H15" s="134">
        <v>6.4</v>
      </c>
      <c r="I15" s="134">
        <v>20.0</v>
      </c>
      <c r="J15" s="134">
        <v>4.0</v>
      </c>
      <c r="K15" s="134">
        <v>19.0</v>
      </c>
      <c r="L15" s="134">
        <v>5.89</v>
      </c>
      <c r="M15" s="134">
        <v>18.0</v>
      </c>
      <c r="N15" s="134">
        <v>7.11</v>
      </c>
    </row>
    <row r="16">
      <c r="A16" s="131" t="s">
        <v>374</v>
      </c>
      <c r="B16" s="133" t="s">
        <v>484</v>
      </c>
      <c r="C16" s="134">
        <v>99.0</v>
      </c>
      <c r="D16" s="134">
        <v>10.5</v>
      </c>
      <c r="E16" s="134">
        <v>20.0</v>
      </c>
      <c r="F16" s="134">
        <v>0.8</v>
      </c>
      <c r="G16" s="134">
        <v>20.0</v>
      </c>
      <c r="H16" s="134">
        <v>6.4</v>
      </c>
      <c r="I16" s="134">
        <v>20.0</v>
      </c>
      <c r="J16" s="134">
        <v>1.6</v>
      </c>
      <c r="K16" s="134">
        <v>20.0</v>
      </c>
      <c r="L16" s="134">
        <v>1.6</v>
      </c>
      <c r="M16" s="134">
        <v>19.0</v>
      </c>
      <c r="N16" s="134">
        <v>0.0</v>
      </c>
    </row>
    <row r="17">
      <c r="A17" s="131" t="s">
        <v>526</v>
      </c>
      <c r="B17" s="133" t="s">
        <v>486</v>
      </c>
      <c r="C17" s="134">
        <v>100.0</v>
      </c>
      <c r="D17" s="134">
        <v>10.4</v>
      </c>
      <c r="E17" s="134">
        <v>20.0</v>
      </c>
      <c r="F17" s="134">
        <v>0.8</v>
      </c>
      <c r="G17" s="134">
        <v>20.0</v>
      </c>
      <c r="H17" s="134">
        <v>6.4</v>
      </c>
      <c r="I17" s="134">
        <v>20.0</v>
      </c>
      <c r="J17" s="134">
        <v>0.8</v>
      </c>
      <c r="K17" s="134">
        <v>20.0</v>
      </c>
      <c r="L17" s="134">
        <v>1.6</v>
      </c>
      <c r="M17" s="134">
        <v>20.0</v>
      </c>
      <c r="N17" s="134">
        <v>0.8</v>
      </c>
    </row>
    <row r="18">
      <c r="A18" s="131" t="s">
        <v>494</v>
      </c>
      <c r="B18" s="133" t="s">
        <v>530</v>
      </c>
      <c r="C18" s="134">
        <v>96.0</v>
      </c>
      <c r="D18" s="134">
        <v>7.5</v>
      </c>
      <c r="E18" s="134">
        <v>20.0</v>
      </c>
      <c r="F18" s="134">
        <v>0.0</v>
      </c>
      <c r="G18" s="134">
        <v>19.0</v>
      </c>
      <c r="H18" s="134">
        <v>5.89</v>
      </c>
      <c r="I18" s="134">
        <v>19.0</v>
      </c>
      <c r="J18" s="134">
        <v>0.0</v>
      </c>
      <c r="K18" s="134">
        <v>19.0</v>
      </c>
      <c r="L18" s="134">
        <v>1.68</v>
      </c>
      <c r="M18" s="134">
        <v>19.0</v>
      </c>
      <c r="N18" s="134">
        <v>0.0</v>
      </c>
    </row>
    <row r="19">
      <c r="A19" s="131" t="s">
        <v>521</v>
      </c>
      <c r="B19" s="133" t="s">
        <v>375</v>
      </c>
      <c r="C19" s="134">
        <v>93.0</v>
      </c>
      <c r="D19" s="134">
        <v>26.7</v>
      </c>
      <c r="E19" s="134">
        <v>20.0</v>
      </c>
      <c r="F19" s="134">
        <v>7.2</v>
      </c>
      <c r="G19" s="134">
        <v>19.0</v>
      </c>
      <c r="H19" s="134">
        <v>5.89</v>
      </c>
      <c r="I19" s="134">
        <v>18.0</v>
      </c>
      <c r="J19" s="134">
        <v>2.67</v>
      </c>
      <c r="K19" s="134">
        <v>18.0</v>
      </c>
      <c r="L19" s="134">
        <v>8.89</v>
      </c>
      <c r="M19" s="134">
        <v>18.0</v>
      </c>
      <c r="N19" s="134">
        <v>1.78</v>
      </c>
    </row>
    <row r="20">
      <c r="A20" s="131" t="s">
        <v>394</v>
      </c>
      <c r="B20" s="133" t="s">
        <v>525</v>
      </c>
      <c r="C20" s="134">
        <v>100.0</v>
      </c>
      <c r="D20" s="134">
        <v>8.0</v>
      </c>
      <c r="E20" s="134">
        <v>20.0</v>
      </c>
      <c r="F20" s="134">
        <v>1.6</v>
      </c>
      <c r="G20" s="134">
        <v>20.0</v>
      </c>
      <c r="H20" s="134">
        <v>5.6</v>
      </c>
      <c r="I20" s="134">
        <v>20.0</v>
      </c>
      <c r="J20" s="134">
        <v>-0.8</v>
      </c>
      <c r="K20" s="134">
        <v>20.0</v>
      </c>
      <c r="L20" s="134">
        <v>0.8</v>
      </c>
      <c r="M20" s="134">
        <v>20.0</v>
      </c>
      <c r="N20" s="134">
        <v>0.8</v>
      </c>
    </row>
    <row r="21">
      <c r="A21" s="131" t="s">
        <v>440</v>
      </c>
      <c r="B21" s="133" t="s">
        <v>495</v>
      </c>
      <c r="C21" s="134">
        <v>95.0</v>
      </c>
      <c r="D21" s="134">
        <v>9.26</v>
      </c>
      <c r="E21" s="134">
        <v>20.0</v>
      </c>
      <c r="F21" s="134">
        <v>0.0</v>
      </c>
      <c r="G21" s="134">
        <v>20.0</v>
      </c>
      <c r="H21" s="134">
        <v>5.6</v>
      </c>
      <c r="I21" s="134">
        <v>20.0</v>
      </c>
      <c r="J21" s="134">
        <v>0.0</v>
      </c>
      <c r="K21" s="134">
        <v>18.0</v>
      </c>
      <c r="L21" s="134">
        <v>1.78</v>
      </c>
      <c r="M21" s="134">
        <v>17.0</v>
      </c>
      <c r="N21" s="134">
        <v>1.88</v>
      </c>
    </row>
    <row r="22">
      <c r="A22" s="131" t="s">
        <v>501</v>
      </c>
      <c r="B22" s="133" t="s">
        <v>397</v>
      </c>
      <c r="C22" s="134">
        <v>60.0</v>
      </c>
      <c r="D22" s="134">
        <v>18.7</v>
      </c>
      <c r="E22" s="134">
        <v>12.0</v>
      </c>
      <c r="F22" s="134">
        <v>2.67</v>
      </c>
      <c r="G22" s="134">
        <v>12.0</v>
      </c>
      <c r="H22" s="134">
        <v>5.33</v>
      </c>
      <c r="I22" s="134">
        <v>12.0</v>
      </c>
      <c r="J22" s="134">
        <v>4.0</v>
      </c>
      <c r="K22" s="134">
        <v>12.0</v>
      </c>
      <c r="L22" s="134">
        <v>4.0</v>
      </c>
      <c r="M22" s="134">
        <v>12.0</v>
      </c>
      <c r="N22" s="134">
        <v>2.67</v>
      </c>
    </row>
    <row r="23">
      <c r="A23" s="91" t="s">
        <v>638</v>
      </c>
      <c r="B23" s="133" t="s">
        <v>640</v>
      </c>
      <c r="C23" s="134">
        <v>45.0</v>
      </c>
      <c r="D23" s="134">
        <v>3.56</v>
      </c>
      <c r="E23" s="134">
        <v>10.0</v>
      </c>
      <c r="F23" s="134">
        <v>0.0</v>
      </c>
      <c r="G23" s="134">
        <v>9.0</v>
      </c>
      <c r="H23" s="134">
        <v>5.33</v>
      </c>
      <c r="I23" s="134">
        <v>8.0</v>
      </c>
      <c r="J23" s="134">
        <v>0.0</v>
      </c>
      <c r="K23" s="134">
        <v>9.0</v>
      </c>
      <c r="L23" s="134">
        <v>-1.78</v>
      </c>
      <c r="M23" s="134">
        <v>9.0</v>
      </c>
      <c r="N23" s="134">
        <v>0.0</v>
      </c>
    </row>
    <row r="24">
      <c r="A24" s="131" t="s">
        <v>396</v>
      </c>
      <c r="B24" s="133" t="s">
        <v>503</v>
      </c>
      <c r="C24" s="134">
        <v>89.0</v>
      </c>
      <c r="D24" s="134">
        <v>8.99</v>
      </c>
      <c r="E24" s="134">
        <v>19.0</v>
      </c>
      <c r="F24" s="134">
        <v>2.53</v>
      </c>
      <c r="G24" s="134">
        <v>18.0</v>
      </c>
      <c r="H24" s="134">
        <v>5.33</v>
      </c>
      <c r="I24" s="134">
        <v>18.0</v>
      </c>
      <c r="J24" s="134">
        <v>0.889</v>
      </c>
      <c r="K24" s="134">
        <v>17.0</v>
      </c>
      <c r="L24" s="134">
        <v>-0.941</v>
      </c>
      <c r="M24" s="134">
        <v>17.0</v>
      </c>
      <c r="N24" s="134">
        <v>0.941</v>
      </c>
    </row>
    <row r="25">
      <c r="A25" s="131" t="s">
        <v>476</v>
      </c>
      <c r="B25" s="133" t="s">
        <v>480</v>
      </c>
      <c r="C25" s="134">
        <v>99.0</v>
      </c>
      <c r="D25" s="134">
        <v>10.5</v>
      </c>
      <c r="E25" s="134">
        <v>20.0</v>
      </c>
      <c r="F25" s="134">
        <v>0.0</v>
      </c>
      <c r="G25" s="134">
        <v>20.0</v>
      </c>
      <c r="H25" s="134">
        <v>4.8</v>
      </c>
      <c r="I25" s="134">
        <v>20.0</v>
      </c>
      <c r="J25" s="134">
        <v>0.0</v>
      </c>
      <c r="K25" s="134">
        <v>20.0</v>
      </c>
      <c r="L25" s="134">
        <v>4.0</v>
      </c>
      <c r="M25" s="134">
        <v>19.0</v>
      </c>
      <c r="N25" s="134">
        <v>1.68</v>
      </c>
    </row>
    <row r="26">
      <c r="A26" s="131" t="s">
        <v>488</v>
      </c>
      <c r="B26" s="133" t="s">
        <v>502</v>
      </c>
      <c r="C26" s="134">
        <v>89.0</v>
      </c>
      <c r="D26" s="134">
        <v>8.99</v>
      </c>
      <c r="E26" s="134">
        <v>17.0</v>
      </c>
      <c r="F26" s="134">
        <v>0.941</v>
      </c>
      <c r="G26" s="134">
        <v>18.0</v>
      </c>
      <c r="H26" s="134">
        <v>4.44</v>
      </c>
      <c r="I26" s="134">
        <v>18.0</v>
      </c>
      <c r="J26" s="134">
        <v>2.67</v>
      </c>
      <c r="K26" s="134">
        <v>18.0</v>
      </c>
      <c r="L26" s="134">
        <v>0.0</v>
      </c>
      <c r="M26" s="134">
        <v>18.0</v>
      </c>
      <c r="N26" s="134">
        <v>0.889</v>
      </c>
    </row>
    <row r="27">
      <c r="A27" s="131" t="s">
        <v>398</v>
      </c>
      <c r="B27" s="133" t="s">
        <v>399</v>
      </c>
      <c r="C27" s="134">
        <v>92.0</v>
      </c>
      <c r="D27" s="134">
        <v>18.3</v>
      </c>
      <c r="E27" s="134">
        <v>20.0</v>
      </c>
      <c r="F27" s="134">
        <v>0.0</v>
      </c>
      <c r="G27" s="134">
        <v>19.0</v>
      </c>
      <c r="H27" s="134">
        <v>4.21</v>
      </c>
      <c r="I27" s="134">
        <v>18.0</v>
      </c>
      <c r="J27" s="134">
        <v>4.44</v>
      </c>
      <c r="K27" s="134">
        <v>18.0</v>
      </c>
      <c r="L27" s="134">
        <v>8.0</v>
      </c>
      <c r="M27" s="134">
        <v>17.0</v>
      </c>
      <c r="N27" s="134">
        <v>1.88</v>
      </c>
    </row>
    <row r="28">
      <c r="A28" s="131" t="s">
        <v>467</v>
      </c>
      <c r="B28" s="133" t="s">
        <v>471</v>
      </c>
      <c r="C28" s="134">
        <v>92.0</v>
      </c>
      <c r="D28" s="134">
        <v>11.3</v>
      </c>
      <c r="E28" s="134">
        <v>20.0</v>
      </c>
      <c r="F28" s="134">
        <v>1.6</v>
      </c>
      <c r="G28" s="134">
        <v>19.0</v>
      </c>
      <c r="H28" s="134">
        <v>4.21</v>
      </c>
      <c r="I28" s="134">
        <v>18.0</v>
      </c>
      <c r="J28" s="134">
        <v>0.889</v>
      </c>
      <c r="K28" s="134">
        <v>18.0</v>
      </c>
      <c r="L28" s="134">
        <v>0.0</v>
      </c>
      <c r="M28" s="134">
        <v>17.0</v>
      </c>
      <c r="N28" s="134">
        <v>4.71</v>
      </c>
    </row>
    <row r="29">
      <c r="A29" s="131" t="s">
        <v>402</v>
      </c>
      <c r="B29" s="133" t="s">
        <v>519</v>
      </c>
      <c r="C29" s="134">
        <v>99.0</v>
      </c>
      <c r="D29" s="134">
        <v>8.08</v>
      </c>
      <c r="E29" s="134">
        <v>20.0</v>
      </c>
      <c r="F29" s="134">
        <v>-0.8</v>
      </c>
      <c r="G29" s="134">
        <v>20.0</v>
      </c>
      <c r="H29" s="134">
        <v>4.0</v>
      </c>
      <c r="I29" s="134">
        <v>20.0</v>
      </c>
      <c r="J29" s="134">
        <v>0.0</v>
      </c>
      <c r="K29" s="134">
        <v>20.0</v>
      </c>
      <c r="L29" s="134">
        <v>0.8</v>
      </c>
      <c r="M29" s="134">
        <v>19.0</v>
      </c>
      <c r="N29" s="134">
        <v>4.21</v>
      </c>
    </row>
    <row r="30">
      <c r="A30" s="131" t="s">
        <v>516</v>
      </c>
      <c r="B30" s="133" t="s">
        <v>564</v>
      </c>
      <c r="C30" s="134">
        <v>99.0</v>
      </c>
      <c r="D30" s="134">
        <v>6.46</v>
      </c>
      <c r="E30" s="134">
        <v>20.0</v>
      </c>
      <c r="F30" s="134">
        <v>0.0</v>
      </c>
      <c r="G30" s="134">
        <v>20.0</v>
      </c>
      <c r="H30" s="134">
        <v>4.0</v>
      </c>
      <c r="I30" s="134">
        <v>20.0</v>
      </c>
      <c r="J30" s="134">
        <v>0.0</v>
      </c>
      <c r="K30" s="134">
        <v>20.0</v>
      </c>
      <c r="L30" s="134">
        <v>0.8</v>
      </c>
      <c r="M30" s="134">
        <v>19.0</v>
      </c>
      <c r="N30" s="134">
        <v>1.68</v>
      </c>
    </row>
    <row r="31">
      <c r="A31" s="131" t="s">
        <v>562</v>
      </c>
      <c r="B31" s="133" t="s">
        <v>630</v>
      </c>
      <c r="C31" s="134">
        <v>100.0</v>
      </c>
      <c r="D31" s="134">
        <v>4.0</v>
      </c>
      <c r="E31" s="134">
        <v>20.0</v>
      </c>
      <c r="F31" s="134">
        <v>0.0</v>
      </c>
      <c r="G31" s="134">
        <v>20.0</v>
      </c>
      <c r="H31" s="134">
        <v>4.0</v>
      </c>
      <c r="I31" s="134">
        <v>20.0</v>
      </c>
      <c r="J31" s="134">
        <v>0.0</v>
      </c>
      <c r="K31" s="134">
        <v>20.0</v>
      </c>
      <c r="L31" s="134">
        <v>0.0</v>
      </c>
      <c r="M31" s="134">
        <v>20.0</v>
      </c>
      <c r="N31" s="134">
        <v>0.0</v>
      </c>
    </row>
    <row r="32">
      <c r="A32" s="131" t="s">
        <v>628</v>
      </c>
      <c r="B32" s="133" t="s">
        <v>403</v>
      </c>
      <c r="C32" s="134">
        <v>100.0</v>
      </c>
      <c r="D32" s="134">
        <v>16.8</v>
      </c>
      <c r="E32" s="134">
        <v>20.0</v>
      </c>
      <c r="F32" s="134">
        <v>3.2</v>
      </c>
      <c r="G32" s="134">
        <v>20.0</v>
      </c>
      <c r="H32" s="134">
        <v>4.0</v>
      </c>
      <c r="I32" s="134">
        <v>20.0</v>
      </c>
      <c r="J32" s="134">
        <v>4.0</v>
      </c>
      <c r="K32" s="134">
        <v>20.0</v>
      </c>
      <c r="L32" s="134">
        <v>2.4</v>
      </c>
      <c r="M32" s="134">
        <v>20.0</v>
      </c>
      <c r="N32" s="134">
        <v>3.2</v>
      </c>
    </row>
    <row r="33">
      <c r="A33" s="131" t="s">
        <v>392</v>
      </c>
      <c r="B33" s="133" t="s">
        <v>395</v>
      </c>
      <c r="C33" s="134">
        <v>100.0</v>
      </c>
      <c r="D33" s="134">
        <v>20.0</v>
      </c>
      <c r="E33" s="134">
        <v>20.0</v>
      </c>
      <c r="F33" s="134">
        <v>0.0</v>
      </c>
      <c r="G33" s="134">
        <v>20.0</v>
      </c>
      <c r="H33" s="134">
        <v>4.0</v>
      </c>
      <c r="I33" s="134">
        <v>20.0</v>
      </c>
      <c r="J33" s="134">
        <v>4.0</v>
      </c>
      <c r="K33" s="134">
        <v>20.0</v>
      </c>
      <c r="L33" s="134">
        <v>6.4</v>
      </c>
      <c r="M33" s="134">
        <v>20.0</v>
      </c>
      <c r="N33" s="134">
        <v>5.6</v>
      </c>
    </row>
    <row r="34">
      <c r="A34" s="131" t="s">
        <v>512</v>
      </c>
      <c r="B34" s="133" t="s">
        <v>515</v>
      </c>
      <c r="C34" s="134">
        <v>48.0</v>
      </c>
      <c r="D34" s="134">
        <v>8.33</v>
      </c>
      <c r="E34" s="134">
        <v>9.0</v>
      </c>
      <c r="F34" s="134">
        <v>0.0</v>
      </c>
      <c r="G34" s="134">
        <v>9.0</v>
      </c>
      <c r="H34" s="134">
        <v>3.56</v>
      </c>
      <c r="I34" s="134">
        <v>10.0</v>
      </c>
      <c r="J34" s="134">
        <v>3.2</v>
      </c>
      <c r="K34" s="134">
        <v>10.0</v>
      </c>
      <c r="L34" s="134">
        <v>0.0</v>
      </c>
      <c r="M34" s="134">
        <v>10.0</v>
      </c>
      <c r="N34" s="134">
        <v>1.6</v>
      </c>
    </row>
    <row r="35">
      <c r="A35" s="131" t="s">
        <v>456</v>
      </c>
      <c r="B35" s="133" t="s">
        <v>561</v>
      </c>
      <c r="C35" s="134">
        <v>74.0</v>
      </c>
      <c r="D35" s="134">
        <v>6.49</v>
      </c>
      <c r="E35" s="134">
        <v>15.0</v>
      </c>
      <c r="F35" s="134">
        <v>0.0</v>
      </c>
      <c r="G35" s="134">
        <v>14.0</v>
      </c>
      <c r="H35" s="134">
        <v>3.43</v>
      </c>
      <c r="I35" s="134">
        <v>15.0</v>
      </c>
      <c r="J35" s="134">
        <v>-1.07</v>
      </c>
      <c r="K35" s="134">
        <v>15.0</v>
      </c>
      <c r="L35" s="134">
        <v>0.0</v>
      </c>
      <c r="M35" s="134">
        <v>15.0</v>
      </c>
      <c r="N35" s="134">
        <v>4.27</v>
      </c>
    </row>
    <row r="36">
      <c r="A36" s="131" t="s">
        <v>560</v>
      </c>
      <c r="B36" s="133" t="s">
        <v>461</v>
      </c>
      <c r="C36" s="134">
        <v>71.0</v>
      </c>
      <c r="D36" s="134">
        <v>10.1</v>
      </c>
      <c r="E36" s="134">
        <v>16.0</v>
      </c>
      <c r="F36" s="134">
        <v>4.0</v>
      </c>
      <c r="G36" s="134">
        <v>14.0</v>
      </c>
      <c r="H36" s="134">
        <v>3.43</v>
      </c>
      <c r="I36" s="134">
        <v>14.0</v>
      </c>
      <c r="J36" s="134">
        <v>1.14</v>
      </c>
      <c r="K36" s="134">
        <v>14.0</v>
      </c>
      <c r="L36" s="134">
        <v>0.0</v>
      </c>
      <c r="M36" s="134">
        <v>13.0</v>
      </c>
      <c r="N36" s="134">
        <v>1.23</v>
      </c>
    </row>
    <row r="37">
      <c r="A37" s="131" t="s">
        <v>378</v>
      </c>
      <c r="B37" s="133" t="s">
        <v>520</v>
      </c>
      <c r="C37" s="134">
        <v>97.0</v>
      </c>
      <c r="D37" s="134">
        <v>7.42</v>
      </c>
      <c r="E37" s="134">
        <v>20.0</v>
      </c>
      <c r="F37" s="134">
        <v>2.4</v>
      </c>
      <c r="G37" s="134">
        <v>20.0</v>
      </c>
      <c r="H37" s="134">
        <v>3.2</v>
      </c>
      <c r="I37" s="134">
        <v>19.0</v>
      </c>
      <c r="J37" s="134">
        <v>0.0</v>
      </c>
      <c r="K37" s="134">
        <v>19.0</v>
      </c>
      <c r="L37" s="134">
        <v>1.68</v>
      </c>
      <c r="M37" s="134">
        <v>19.0</v>
      </c>
      <c r="N37" s="134">
        <v>0.0</v>
      </c>
    </row>
    <row r="38">
      <c r="A38" s="131" t="s">
        <v>524</v>
      </c>
      <c r="B38" s="133" t="s">
        <v>662</v>
      </c>
      <c r="C38" s="134">
        <v>99.0</v>
      </c>
      <c r="D38" s="134">
        <v>2.42</v>
      </c>
      <c r="E38" s="134">
        <v>20.0</v>
      </c>
      <c r="F38" s="134">
        <v>0.0</v>
      </c>
      <c r="G38" s="134">
        <v>20.0</v>
      </c>
      <c r="H38" s="134">
        <v>3.2</v>
      </c>
      <c r="I38" s="134">
        <v>20.0</v>
      </c>
      <c r="J38" s="134">
        <v>0.0</v>
      </c>
      <c r="K38" s="134">
        <v>20.0</v>
      </c>
      <c r="L38" s="134">
        <v>0.0</v>
      </c>
      <c r="M38" s="134">
        <v>19.0</v>
      </c>
      <c r="N38" s="134">
        <v>-0.842</v>
      </c>
    </row>
    <row r="39">
      <c r="A39" s="131" t="s">
        <v>658</v>
      </c>
      <c r="B39" s="133" t="s">
        <v>379</v>
      </c>
      <c r="C39" s="134">
        <v>100.0</v>
      </c>
      <c r="D39" s="134">
        <v>24.0</v>
      </c>
      <c r="E39" s="134">
        <v>20.0</v>
      </c>
      <c r="F39" s="134">
        <v>2.4</v>
      </c>
      <c r="G39" s="134">
        <v>20.0</v>
      </c>
      <c r="H39" s="134">
        <v>3.2</v>
      </c>
      <c r="I39" s="134">
        <v>20.0</v>
      </c>
      <c r="J39" s="134">
        <v>7.2</v>
      </c>
      <c r="K39" s="134">
        <v>20.0</v>
      </c>
      <c r="L39" s="134">
        <v>6.4</v>
      </c>
      <c r="M39" s="134">
        <v>20.0</v>
      </c>
      <c r="N39" s="134">
        <v>4.8</v>
      </c>
    </row>
    <row r="40">
      <c r="A40" s="131" t="s">
        <v>506</v>
      </c>
      <c r="B40" s="133" t="s">
        <v>557</v>
      </c>
      <c r="C40" s="134">
        <v>98.0</v>
      </c>
      <c r="D40" s="134">
        <v>6.53</v>
      </c>
      <c r="E40" s="134">
        <v>21.0</v>
      </c>
      <c r="F40" s="134">
        <v>0.762</v>
      </c>
      <c r="G40" s="134">
        <v>21.0</v>
      </c>
      <c r="H40" s="134">
        <v>3.05</v>
      </c>
      <c r="I40" s="134">
        <v>20.0</v>
      </c>
      <c r="J40" s="134">
        <v>0.8</v>
      </c>
      <c r="K40" s="134">
        <v>18.0</v>
      </c>
      <c r="L40" s="134">
        <v>1.78</v>
      </c>
      <c r="M40" s="134">
        <v>18.0</v>
      </c>
      <c r="N40" s="134">
        <v>0.0</v>
      </c>
    </row>
    <row r="41">
      <c r="A41" s="131" t="s">
        <v>556</v>
      </c>
      <c r="B41" s="133" t="s">
        <v>508</v>
      </c>
      <c r="C41" s="134">
        <v>98.0</v>
      </c>
      <c r="D41" s="134">
        <v>8.98</v>
      </c>
      <c r="E41" s="134">
        <v>20.0</v>
      </c>
      <c r="F41" s="134">
        <v>0.0</v>
      </c>
      <c r="G41" s="134">
        <v>21.0</v>
      </c>
      <c r="H41" s="134">
        <v>3.05</v>
      </c>
      <c r="I41" s="134">
        <v>20.0</v>
      </c>
      <c r="J41" s="134">
        <v>0.8</v>
      </c>
      <c r="K41" s="134">
        <v>19.0</v>
      </c>
      <c r="L41" s="134">
        <v>5.05</v>
      </c>
      <c r="M41" s="134">
        <v>18.0</v>
      </c>
      <c r="N41" s="134">
        <v>0.0</v>
      </c>
    </row>
    <row r="42">
      <c r="A42" s="131" t="s">
        <v>388</v>
      </c>
      <c r="B42" s="133" t="s">
        <v>622</v>
      </c>
      <c r="C42" s="134">
        <v>59.0</v>
      </c>
      <c r="D42" s="134">
        <v>4.07</v>
      </c>
      <c r="E42" s="134">
        <v>12.0</v>
      </c>
      <c r="F42" s="134">
        <v>0.0</v>
      </c>
      <c r="G42" s="134">
        <v>11.0</v>
      </c>
      <c r="H42" s="134">
        <v>2.91</v>
      </c>
      <c r="I42" s="134">
        <v>12.0</v>
      </c>
      <c r="J42" s="134">
        <v>0.0</v>
      </c>
      <c r="K42" s="134">
        <v>12.0</v>
      </c>
      <c r="L42" s="134">
        <v>1.33</v>
      </c>
      <c r="M42" s="134">
        <v>12.0</v>
      </c>
      <c r="N42" s="134">
        <v>0.0</v>
      </c>
    </row>
    <row r="43">
      <c r="A43" s="131" t="s">
        <v>437</v>
      </c>
      <c r="B43" s="133" t="s">
        <v>438</v>
      </c>
      <c r="C43" s="134">
        <v>96.0</v>
      </c>
      <c r="D43" s="134">
        <v>13.3</v>
      </c>
      <c r="E43" s="134">
        <v>20.0</v>
      </c>
      <c r="F43" s="134">
        <v>3.2</v>
      </c>
      <c r="G43" s="134">
        <v>19.0</v>
      </c>
      <c r="H43" s="134">
        <v>2.53</v>
      </c>
      <c r="I43" s="134">
        <v>19.0</v>
      </c>
      <c r="J43" s="134">
        <v>0.0</v>
      </c>
      <c r="K43" s="134">
        <v>19.0</v>
      </c>
      <c r="L43" s="134">
        <v>0.0</v>
      </c>
      <c r="M43" s="134">
        <v>19.0</v>
      </c>
      <c r="N43" s="134">
        <v>7.58</v>
      </c>
    </row>
    <row r="44">
      <c r="A44" s="131" t="s">
        <v>372</v>
      </c>
      <c r="B44" s="133" t="s">
        <v>393</v>
      </c>
      <c r="C44" s="134">
        <v>91.0</v>
      </c>
      <c r="D44" s="134">
        <v>21.1</v>
      </c>
      <c r="E44" s="134">
        <v>19.0</v>
      </c>
      <c r="F44" s="134">
        <v>5.89</v>
      </c>
      <c r="G44" s="134">
        <v>19.0</v>
      </c>
      <c r="H44" s="134">
        <v>2.53</v>
      </c>
      <c r="I44" s="134">
        <v>18.0</v>
      </c>
      <c r="J44" s="134">
        <v>8.0</v>
      </c>
      <c r="K44" s="134">
        <v>18.0</v>
      </c>
      <c r="L44" s="134">
        <v>0.0</v>
      </c>
      <c r="M44" s="134">
        <v>17.0</v>
      </c>
      <c r="N44" s="134">
        <v>4.71</v>
      </c>
    </row>
    <row r="45">
      <c r="A45" s="131" t="s">
        <v>479</v>
      </c>
      <c r="B45" s="133" t="s">
        <v>431</v>
      </c>
      <c r="C45" s="134">
        <v>99.0</v>
      </c>
      <c r="D45" s="134">
        <v>13.7</v>
      </c>
      <c r="E45" s="134">
        <v>20.0</v>
      </c>
      <c r="F45" s="134">
        <v>6.4</v>
      </c>
      <c r="G45" s="134">
        <v>20.0</v>
      </c>
      <c r="H45" s="134">
        <v>2.4</v>
      </c>
      <c r="I45" s="134">
        <v>20.0</v>
      </c>
      <c r="J45" s="134">
        <v>3.2</v>
      </c>
      <c r="K45" s="134">
        <v>20.0</v>
      </c>
      <c r="L45" s="134">
        <v>0.0</v>
      </c>
      <c r="M45" s="134">
        <v>19.0</v>
      </c>
      <c r="N45" s="134">
        <v>1.68</v>
      </c>
    </row>
    <row r="46">
      <c r="A46" s="131" t="s">
        <v>518</v>
      </c>
      <c r="B46" s="133" t="s">
        <v>483</v>
      </c>
      <c r="C46" s="134">
        <v>99.0</v>
      </c>
      <c r="D46" s="134">
        <v>10.5</v>
      </c>
      <c r="E46" s="134">
        <v>20.0</v>
      </c>
      <c r="F46" s="134">
        <v>3.2</v>
      </c>
      <c r="G46" s="134">
        <v>20.0</v>
      </c>
      <c r="H46" s="134">
        <v>2.4</v>
      </c>
      <c r="I46" s="134">
        <v>20.0</v>
      </c>
      <c r="J46" s="134">
        <v>0.8</v>
      </c>
      <c r="K46" s="134">
        <v>20.0</v>
      </c>
      <c r="L46" s="134">
        <v>2.4</v>
      </c>
      <c r="M46" s="134">
        <v>19.0</v>
      </c>
      <c r="N46" s="134">
        <v>1.68</v>
      </c>
    </row>
    <row r="47">
      <c r="A47" s="131" t="s">
        <v>569</v>
      </c>
      <c r="B47" s="133" t="s">
        <v>522</v>
      </c>
      <c r="C47" s="134">
        <v>99.0</v>
      </c>
      <c r="D47" s="134">
        <v>8.08</v>
      </c>
      <c r="E47" s="134">
        <v>20.0</v>
      </c>
      <c r="F47" s="134">
        <v>0.0</v>
      </c>
      <c r="G47" s="134">
        <v>20.0</v>
      </c>
      <c r="H47" s="134">
        <v>2.4</v>
      </c>
      <c r="I47" s="134">
        <v>20.0</v>
      </c>
      <c r="J47" s="134">
        <v>0.0</v>
      </c>
      <c r="K47" s="134">
        <v>20.0</v>
      </c>
      <c r="L47" s="134">
        <v>0.0</v>
      </c>
      <c r="M47" s="134">
        <v>19.0</v>
      </c>
      <c r="N47" s="134">
        <v>5.89</v>
      </c>
    </row>
    <row r="48">
      <c r="A48" s="131" t="s">
        <v>430</v>
      </c>
      <c r="B48" s="133" t="s">
        <v>373</v>
      </c>
      <c r="C48" s="134">
        <v>96.0</v>
      </c>
      <c r="D48" s="134">
        <v>33.3</v>
      </c>
      <c r="E48" s="134">
        <v>20.0</v>
      </c>
      <c r="F48" s="134">
        <v>9.6</v>
      </c>
      <c r="G48" s="134">
        <v>20.0</v>
      </c>
      <c r="H48" s="134">
        <v>2.4</v>
      </c>
      <c r="I48" s="134">
        <v>19.0</v>
      </c>
      <c r="J48" s="134">
        <v>9.26</v>
      </c>
      <c r="K48" s="134">
        <v>19.0</v>
      </c>
      <c r="L48" s="134">
        <v>5.05</v>
      </c>
      <c r="M48" s="134">
        <v>18.0</v>
      </c>
      <c r="N48" s="134">
        <v>7.11</v>
      </c>
    </row>
    <row r="49">
      <c r="A49" s="131" t="s">
        <v>462</v>
      </c>
      <c r="B49" s="133" t="s">
        <v>428</v>
      </c>
      <c r="C49" s="134">
        <v>76.0</v>
      </c>
      <c r="D49" s="134">
        <v>13.7</v>
      </c>
      <c r="E49" s="134">
        <v>16.0</v>
      </c>
      <c r="F49" s="134">
        <v>3.0</v>
      </c>
      <c r="G49" s="134">
        <v>15.0</v>
      </c>
      <c r="H49" s="134">
        <v>2.13</v>
      </c>
      <c r="I49" s="134">
        <v>15.0</v>
      </c>
      <c r="J49" s="134">
        <v>4.27</v>
      </c>
      <c r="K49" s="134">
        <v>15.0</v>
      </c>
      <c r="L49" s="134">
        <v>1.07</v>
      </c>
      <c r="M49" s="134">
        <v>15.0</v>
      </c>
      <c r="N49" s="134">
        <v>3.2</v>
      </c>
    </row>
    <row r="50">
      <c r="A50" s="131" t="s">
        <v>668</v>
      </c>
      <c r="B50" s="133" t="s">
        <v>663</v>
      </c>
      <c r="C50" s="134">
        <v>78.0</v>
      </c>
      <c r="D50" s="134">
        <v>2.05</v>
      </c>
      <c r="E50" s="134">
        <v>16.0</v>
      </c>
      <c r="F50" s="134">
        <v>0.0</v>
      </c>
      <c r="G50" s="134">
        <v>16.0</v>
      </c>
      <c r="H50" s="134">
        <v>2.0</v>
      </c>
      <c r="I50" s="134">
        <v>16.0</v>
      </c>
      <c r="J50" s="134">
        <v>0.0</v>
      </c>
      <c r="K50" s="134">
        <v>15.0</v>
      </c>
      <c r="L50" s="134">
        <v>0.0</v>
      </c>
      <c r="M50" s="134">
        <v>15.0</v>
      </c>
      <c r="N50" s="134">
        <v>0.0</v>
      </c>
    </row>
    <row r="51">
      <c r="A51" s="131" t="s">
        <v>552</v>
      </c>
      <c r="B51" s="133" t="s">
        <v>463</v>
      </c>
      <c r="C51" s="134">
        <v>37.0</v>
      </c>
      <c r="D51" s="134">
        <v>8.65</v>
      </c>
      <c r="E51" s="134">
        <v>8.0</v>
      </c>
      <c r="F51" s="134">
        <v>4.0</v>
      </c>
      <c r="G51" s="134">
        <v>8.0</v>
      </c>
      <c r="H51" s="134">
        <v>2.0</v>
      </c>
      <c r="I51" s="134">
        <v>7.0</v>
      </c>
      <c r="J51" s="134">
        <v>2.29</v>
      </c>
      <c r="K51" s="134">
        <v>7.0</v>
      </c>
      <c r="L51" s="134">
        <v>0.0</v>
      </c>
      <c r="M51" s="134">
        <v>7.0</v>
      </c>
      <c r="N51" s="134">
        <v>0.0</v>
      </c>
    </row>
    <row r="52">
      <c r="A52" s="131" t="s">
        <v>597</v>
      </c>
      <c r="B52" s="133" t="s">
        <v>602</v>
      </c>
      <c r="C52" s="134">
        <v>88.0</v>
      </c>
      <c r="D52" s="134">
        <v>4.55</v>
      </c>
      <c r="E52" s="134">
        <v>17.0</v>
      </c>
      <c r="F52" s="134">
        <v>0.0</v>
      </c>
      <c r="G52" s="134">
        <v>17.0</v>
      </c>
      <c r="H52" s="134">
        <v>1.88</v>
      </c>
      <c r="I52" s="134">
        <v>18.0</v>
      </c>
      <c r="J52" s="134">
        <v>0.0</v>
      </c>
      <c r="K52" s="134">
        <v>18.0</v>
      </c>
      <c r="L52" s="134">
        <v>1.78</v>
      </c>
      <c r="M52" s="134">
        <v>18.0</v>
      </c>
      <c r="N52" s="134">
        <v>0.889</v>
      </c>
    </row>
    <row r="53">
      <c r="A53" s="131" t="s">
        <v>601</v>
      </c>
      <c r="B53" s="133" t="s">
        <v>553</v>
      </c>
      <c r="C53" s="134">
        <v>82.0</v>
      </c>
      <c r="D53" s="134">
        <v>6.83</v>
      </c>
      <c r="E53" s="134">
        <v>17.0</v>
      </c>
      <c r="F53" s="134">
        <v>-0.941</v>
      </c>
      <c r="G53" s="134">
        <v>17.0</v>
      </c>
      <c r="H53" s="134">
        <v>1.88</v>
      </c>
      <c r="I53" s="134">
        <v>16.0</v>
      </c>
      <c r="J53" s="134">
        <v>1.0</v>
      </c>
      <c r="K53" s="134">
        <v>16.0</v>
      </c>
      <c r="L53" s="134">
        <v>5.0</v>
      </c>
      <c r="M53" s="134">
        <v>16.0</v>
      </c>
      <c r="N53" s="134">
        <v>0.0</v>
      </c>
    </row>
    <row r="54">
      <c r="A54" s="131" t="s">
        <v>492</v>
      </c>
      <c r="B54" s="133" t="s">
        <v>594</v>
      </c>
      <c r="C54" s="134">
        <v>81.0</v>
      </c>
      <c r="D54" s="134">
        <v>4.94</v>
      </c>
      <c r="E54" s="134">
        <v>15.0</v>
      </c>
      <c r="F54" s="134">
        <v>0.0</v>
      </c>
      <c r="G54" s="134">
        <v>17.0</v>
      </c>
      <c r="H54" s="134">
        <v>1.88</v>
      </c>
      <c r="I54" s="134">
        <v>17.0</v>
      </c>
      <c r="J54" s="134">
        <v>0.0</v>
      </c>
      <c r="K54" s="134">
        <v>16.0</v>
      </c>
      <c r="L54" s="134">
        <v>3.0</v>
      </c>
      <c r="M54" s="134">
        <v>16.0</v>
      </c>
      <c r="N54" s="134">
        <v>0.0</v>
      </c>
    </row>
    <row r="55">
      <c r="A55" s="131" t="s">
        <v>615</v>
      </c>
      <c r="B55" s="133" t="s">
        <v>598</v>
      </c>
      <c r="C55" s="134">
        <v>81.0</v>
      </c>
      <c r="D55" s="134">
        <v>4.94</v>
      </c>
      <c r="E55" s="134">
        <v>16.0</v>
      </c>
      <c r="F55" s="134">
        <v>0.0</v>
      </c>
      <c r="G55" s="134">
        <v>17.0</v>
      </c>
      <c r="H55" s="134">
        <v>1.88</v>
      </c>
      <c r="I55" s="134">
        <v>16.0</v>
      </c>
      <c r="J55" s="134">
        <v>0.0</v>
      </c>
      <c r="K55" s="134">
        <v>16.0</v>
      </c>
      <c r="L55" s="134">
        <v>0.0</v>
      </c>
      <c r="M55" s="134">
        <v>16.0</v>
      </c>
      <c r="N55" s="134">
        <v>3.0</v>
      </c>
    </row>
    <row r="56">
      <c r="A56" s="131" t="s">
        <v>376</v>
      </c>
      <c r="B56" s="133" t="s">
        <v>609</v>
      </c>
      <c r="C56" s="134">
        <v>88.0</v>
      </c>
      <c r="D56" s="134">
        <v>3.64</v>
      </c>
      <c r="E56" s="134">
        <v>17.0</v>
      </c>
      <c r="F56" s="134">
        <v>0.941</v>
      </c>
      <c r="G56" s="134">
        <v>18.0</v>
      </c>
      <c r="H56" s="134">
        <v>1.78</v>
      </c>
      <c r="I56" s="134">
        <v>18.0</v>
      </c>
      <c r="J56" s="134">
        <v>0.0</v>
      </c>
      <c r="K56" s="134">
        <v>18.0</v>
      </c>
      <c r="L56" s="134">
        <v>0.0</v>
      </c>
      <c r="M56" s="134">
        <v>17.0</v>
      </c>
      <c r="N56" s="134">
        <v>0.941</v>
      </c>
    </row>
    <row r="57">
      <c r="A57" s="131" t="s">
        <v>452</v>
      </c>
      <c r="B57" s="133" t="s">
        <v>493</v>
      </c>
      <c r="C57" s="134">
        <v>43.0</v>
      </c>
      <c r="D57" s="134">
        <v>7.44</v>
      </c>
      <c r="E57" s="134">
        <v>10.0</v>
      </c>
      <c r="F57" s="134">
        <v>3.2</v>
      </c>
      <c r="G57" s="134">
        <v>9.0</v>
      </c>
      <c r="H57" s="134">
        <v>1.78</v>
      </c>
      <c r="I57" s="134">
        <v>8.0</v>
      </c>
      <c r="J57" s="134">
        <v>0.0</v>
      </c>
      <c r="K57" s="134">
        <v>8.0</v>
      </c>
      <c r="L57" s="134">
        <v>0.0</v>
      </c>
      <c r="M57" s="134">
        <v>8.0</v>
      </c>
      <c r="N57" s="134">
        <v>2.0</v>
      </c>
    </row>
    <row r="58">
      <c r="A58" s="131" t="s">
        <v>504</v>
      </c>
      <c r="B58" s="133" t="s">
        <v>377</v>
      </c>
      <c r="C58" s="134">
        <v>90.0</v>
      </c>
      <c r="D58" s="134">
        <v>24.0</v>
      </c>
      <c r="E58" s="134">
        <v>19.0</v>
      </c>
      <c r="F58" s="134">
        <v>3.37</v>
      </c>
      <c r="G58" s="134">
        <v>19.0</v>
      </c>
      <c r="H58" s="134">
        <v>1.68</v>
      </c>
      <c r="I58" s="134">
        <v>18.0</v>
      </c>
      <c r="J58" s="134">
        <v>8.89</v>
      </c>
      <c r="K58" s="134">
        <v>17.0</v>
      </c>
      <c r="L58" s="134">
        <v>2.82</v>
      </c>
      <c r="M58" s="134">
        <v>17.0</v>
      </c>
      <c r="N58" s="134">
        <v>7.53</v>
      </c>
    </row>
    <row r="59">
      <c r="A59" s="131" t="s">
        <v>627</v>
      </c>
      <c r="B59" s="133" t="s">
        <v>625</v>
      </c>
      <c r="C59" s="134">
        <v>99.0</v>
      </c>
      <c r="D59" s="134">
        <v>4.04</v>
      </c>
      <c r="E59" s="134">
        <v>20.0</v>
      </c>
      <c r="F59" s="134">
        <v>0.8</v>
      </c>
      <c r="G59" s="134">
        <v>20.0</v>
      </c>
      <c r="H59" s="134">
        <v>1.6</v>
      </c>
      <c r="I59" s="134">
        <v>20.0</v>
      </c>
      <c r="J59" s="134">
        <v>0.8</v>
      </c>
      <c r="K59" s="134">
        <v>20.0</v>
      </c>
      <c r="L59" s="134">
        <v>0.0</v>
      </c>
      <c r="M59" s="134">
        <v>19.0</v>
      </c>
      <c r="N59" s="134">
        <v>0.842</v>
      </c>
    </row>
    <row r="60">
      <c r="A60" s="131" t="s">
        <v>611</v>
      </c>
      <c r="B60" s="133" t="s">
        <v>505</v>
      </c>
      <c r="C60" s="134">
        <v>98.0</v>
      </c>
      <c r="D60" s="134">
        <v>8.98</v>
      </c>
      <c r="E60" s="134">
        <v>20.0</v>
      </c>
      <c r="F60" s="134">
        <v>0.8</v>
      </c>
      <c r="G60" s="134">
        <v>20.0</v>
      </c>
      <c r="H60" s="134">
        <v>1.6</v>
      </c>
      <c r="I60" s="134">
        <v>20.0</v>
      </c>
      <c r="J60" s="134">
        <v>1.6</v>
      </c>
      <c r="K60" s="134">
        <v>19.0</v>
      </c>
      <c r="L60" s="134">
        <v>5.89</v>
      </c>
      <c r="M60" s="134">
        <v>19.0</v>
      </c>
      <c r="N60" s="134">
        <v>-0.842</v>
      </c>
    </row>
    <row r="61">
      <c r="A61" s="131" t="s">
        <v>748</v>
      </c>
      <c r="B61" s="133" t="s">
        <v>460</v>
      </c>
      <c r="C61" s="134">
        <v>100.0</v>
      </c>
      <c r="D61" s="134">
        <v>12.8</v>
      </c>
      <c r="E61" s="134">
        <v>20.0</v>
      </c>
      <c r="F61" s="134">
        <v>2.4</v>
      </c>
      <c r="G61" s="134">
        <v>20.0</v>
      </c>
      <c r="H61" s="134">
        <v>1.6</v>
      </c>
      <c r="I61" s="134">
        <v>20.0</v>
      </c>
      <c r="J61" s="134">
        <v>4.0</v>
      </c>
      <c r="K61" s="134">
        <v>20.0</v>
      </c>
      <c r="L61" s="134">
        <v>0.0</v>
      </c>
      <c r="M61" s="134">
        <v>20.0</v>
      </c>
      <c r="N61" s="134">
        <v>4.8</v>
      </c>
    </row>
    <row r="62">
      <c r="A62" s="131" t="s">
        <v>690</v>
      </c>
      <c r="B62" s="133" t="s">
        <v>435</v>
      </c>
      <c r="C62" s="134">
        <v>100.0</v>
      </c>
      <c r="D62" s="134">
        <v>13.6</v>
      </c>
      <c r="E62" s="134">
        <v>20.0</v>
      </c>
      <c r="F62" s="134">
        <v>6.4</v>
      </c>
      <c r="G62" s="134">
        <v>20.0</v>
      </c>
      <c r="H62" s="134">
        <v>1.6</v>
      </c>
      <c r="I62" s="134">
        <v>20.0</v>
      </c>
      <c r="J62" s="134">
        <v>0.8</v>
      </c>
      <c r="K62" s="134">
        <v>20.0</v>
      </c>
      <c r="L62" s="134">
        <v>0.8</v>
      </c>
      <c r="M62" s="134">
        <v>20.0</v>
      </c>
      <c r="N62" s="134">
        <v>4.0</v>
      </c>
    </row>
    <row r="63">
      <c r="A63" s="91" t="s">
        <v>533</v>
      </c>
      <c r="B63" s="133" t="s">
        <v>754</v>
      </c>
      <c r="C63" s="134">
        <v>58.0</v>
      </c>
      <c r="D63" s="134">
        <v>-1.38</v>
      </c>
      <c r="E63" s="134">
        <v>12.0</v>
      </c>
      <c r="F63" s="134">
        <v>-1.33</v>
      </c>
      <c r="G63" s="134">
        <v>12.0</v>
      </c>
      <c r="H63" s="134">
        <v>1.33</v>
      </c>
      <c r="I63" s="134">
        <v>12.0</v>
      </c>
      <c r="J63" s="134">
        <v>-1.33</v>
      </c>
      <c r="K63" s="134">
        <v>11.0</v>
      </c>
      <c r="L63" s="134">
        <v>0.0</v>
      </c>
      <c r="M63" s="134">
        <v>11.0</v>
      </c>
      <c r="N63" s="134">
        <v>0.0</v>
      </c>
    </row>
    <row r="64">
      <c r="A64" s="131" t="s">
        <v>695</v>
      </c>
      <c r="B64" s="133" t="s">
        <v>606</v>
      </c>
      <c r="C64" s="134">
        <v>56.0</v>
      </c>
      <c r="D64" s="134">
        <v>4.29</v>
      </c>
      <c r="E64" s="134">
        <v>12.0</v>
      </c>
      <c r="F64" s="134">
        <v>0.0</v>
      </c>
      <c r="G64" s="134">
        <v>12.0</v>
      </c>
      <c r="H64" s="134">
        <v>1.33</v>
      </c>
      <c r="I64" s="134">
        <v>12.0</v>
      </c>
      <c r="J64" s="134">
        <v>0.0</v>
      </c>
      <c r="K64" s="134">
        <v>10.0</v>
      </c>
      <c r="L64" s="134">
        <v>0.0</v>
      </c>
      <c r="M64" s="134">
        <v>10.0</v>
      </c>
      <c r="N64" s="134">
        <v>3.2</v>
      </c>
    </row>
    <row r="65">
      <c r="A65" s="131" t="s">
        <v>617</v>
      </c>
      <c r="B65" s="133" t="s">
        <v>697</v>
      </c>
      <c r="C65" s="134">
        <v>61.0</v>
      </c>
      <c r="D65" s="134">
        <v>1.31</v>
      </c>
      <c r="E65" s="134">
        <v>12.0</v>
      </c>
      <c r="F65" s="134">
        <v>0.0</v>
      </c>
      <c r="G65" s="134">
        <v>13.0</v>
      </c>
      <c r="H65" s="134">
        <v>1.23</v>
      </c>
      <c r="I65" s="134">
        <v>12.0</v>
      </c>
      <c r="J65" s="134">
        <v>0.0</v>
      </c>
      <c r="K65" s="134">
        <v>12.0</v>
      </c>
      <c r="L65" s="134">
        <v>0.0</v>
      </c>
      <c r="M65" s="134">
        <v>12.0</v>
      </c>
      <c r="N65" s="134">
        <v>0.0</v>
      </c>
    </row>
    <row r="66">
      <c r="A66" s="131" t="s">
        <v>699</v>
      </c>
      <c r="B66" s="133" t="s">
        <v>703</v>
      </c>
      <c r="C66" s="134">
        <v>76.0</v>
      </c>
      <c r="D66" s="134">
        <v>1.05</v>
      </c>
      <c r="E66" s="134">
        <v>16.0</v>
      </c>
      <c r="F66" s="134">
        <v>0.0</v>
      </c>
      <c r="G66" s="134">
        <v>15.0</v>
      </c>
      <c r="H66" s="134">
        <v>1.07</v>
      </c>
      <c r="I66" s="134">
        <v>15.0</v>
      </c>
      <c r="J66" s="134">
        <v>0.0</v>
      </c>
      <c r="K66" s="134">
        <v>15.0</v>
      </c>
      <c r="L66" s="134">
        <v>0.0</v>
      </c>
      <c r="M66" s="134">
        <v>15.0</v>
      </c>
      <c r="N66" s="134">
        <v>0.0</v>
      </c>
    </row>
    <row r="67">
      <c r="A67" s="91" t="s">
        <v>424</v>
      </c>
      <c r="B67" s="133" t="s">
        <v>537</v>
      </c>
      <c r="C67" s="134">
        <v>76.0</v>
      </c>
      <c r="D67" s="134">
        <v>7.37</v>
      </c>
      <c r="E67" s="134">
        <v>16.0</v>
      </c>
      <c r="F67" s="134">
        <v>0.0</v>
      </c>
      <c r="G67" s="134">
        <v>15.0</v>
      </c>
      <c r="H67" s="134">
        <v>1.07</v>
      </c>
      <c r="I67" s="134">
        <v>14.0</v>
      </c>
      <c r="J67" s="134">
        <v>0.0</v>
      </c>
      <c r="K67" s="134">
        <v>15.0</v>
      </c>
      <c r="L67" s="134">
        <v>0.0</v>
      </c>
      <c r="M67" s="134">
        <v>16.0</v>
      </c>
      <c r="N67" s="134">
        <v>6.0</v>
      </c>
    </row>
    <row r="68">
      <c r="A68" s="131" t="s">
        <v>420</v>
      </c>
      <c r="B68" s="133" t="s">
        <v>614</v>
      </c>
      <c r="C68" s="134">
        <v>78.0</v>
      </c>
      <c r="D68" s="134">
        <v>4.1</v>
      </c>
      <c r="E68" s="134">
        <v>18.0</v>
      </c>
      <c r="F68" s="134">
        <v>0.889</v>
      </c>
      <c r="G68" s="134">
        <v>16.0</v>
      </c>
      <c r="H68" s="134">
        <v>1.0</v>
      </c>
      <c r="I68" s="134">
        <v>15.0</v>
      </c>
      <c r="J68" s="134">
        <v>1.07</v>
      </c>
      <c r="K68" s="134">
        <v>15.0</v>
      </c>
      <c r="L68" s="134">
        <v>-1.07</v>
      </c>
      <c r="M68" s="134">
        <v>14.0</v>
      </c>
      <c r="N68" s="134">
        <v>2.29</v>
      </c>
    </row>
    <row r="69">
      <c r="A69" s="131" t="s">
        <v>545</v>
      </c>
      <c r="B69" s="133" t="s">
        <v>634</v>
      </c>
      <c r="C69" s="134">
        <v>81.0</v>
      </c>
      <c r="D69" s="134">
        <v>3.95</v>
      </c>
      <c r="E69" s="134">
        <v>17.0</v>
      </c>
      <c r="F69" s="134">
        <v>0.0</v>
      </c>
      <c r="G69" s="134">
        <v>16.0</v>
      </c>
      <c r="H69" s="134">
        <v>1.0</v>
      </c>
      <c r="I69" s="134">
        <v>16.0</v>
      </c>
      <c r="J69" s="134">
        <v>1.0</v>
      </c>
      <c r="K69" s="134">
        <v>16.0</v>
      </c>
      <c r="L69" s="134">
        <v>1.0</v>
      </c>
      <c r="M69" s="134">
        <v>16.0</v>
      </c>
      <c r="N69" s="134">
        <v>1.0</v>
      </c>
    </row>
    <row r="70">
      <c r="A70" s="131" t="s">
        <v>563</v>
      </c>
      <c r="B70" s="133" t="s">
        <v>705</v>
      </c>
      <c r="C70" s="134">
        <v>79.0</v>
      </c>
      <c r="D70" s="134">
        <v>1.01</v>
      </c>
      <c r="E70" s="134">
        <v>17.0</v>
      </c>
      <c r="F70" s="134">
        <v>-0.941</v>
      </c>
      <c r="G70" s="134">
        <v>16.0</v>
      </c>
      <c r="H70" s="134">
        <v>1.0</v>
      </c>
      <c r="I70" s="134">
        <v>15.0</v>
      </c>
      <c r="J70" s="134">
        <v>0.0</v>
      </c>
      <c r="K70" s="134">
        <v>16.0</v>
      </c>
      <c r="L70" s="134">
        <v>1.0</v>
      </c>
      <c r="M70" s="134">
        <v>15.0</v>
      </c>
      <c r="N70" s="134">
        <v>0.0</v>
      </c>
    </row>
    <row r="71">
      <c r="A71" s="131" t="s">
        <v>579</v>
      </c>
      <c r="B71" s="133" t="s">
        <v>425</v>
      </c>
      <c r="C71" s="134">
        <v>81.0</v>
      </c>
      <c r="D71" s="134">
        <v>13.8</v>
      </c>
      <c r="E71" s="134">
        <v>18.0</v>
      </c>
      <c r="F71" s="134">
        <v>3.56</v>
      </c>
      <c r="G71" s="134">
        <v>17.0</v>
      </c>
      <c r="H71" s="134">
        <v>0.941</v>
      </c>
      <c r="I71" s="134">
        <v>16.0</v>
      </c>
      <c r="J71" s="134">
        <v>4.0</v>
      </c>
      <c r="K71" s="134">
        <v>15.0</v>
      </c>
      <c r="L71" s="134">
        <v>5.33</v>
      </c>
      <c r="M71" s="134">
        <v>15.0</v>
      </c>
      <c r="N71" s="134">
        <v>0.0</v>
      </c>
    </row>
    <row r="72">
      <c r="A72" s="131" t="s">
        <v>675</v>
      </c>
      <c r="B72" s="133" t="s">
        <v>423</v>
      </c>
      <c r="C72" s="134">
        <v>89.0</v>
      </c>
      <c r="D72" s="134">
        <v>14.4</v>
      </c>
      <c r="E72" s="134">
        <v>19.0</v>
      </c>
      <c r="F72" s="134">
        <v>0.0</v>
      </c>
      <c r="G72" s="134">
        <v>18.0</v>
      </c>
      <c r="H72" s="134">
        <v>0.889</v>
      </c>
      <c r="I72" s="134">
        <v>18.0</v>
      </c>
      <c r="J72" s="134">
        <v>2.67</v>
      </c>
      <c r="K72" s="134">
        <v>17.0</v>
      </c>
      <c r="L72" s="134">
        <v>9.41</v>
      </c>
      <c r="M72" s="134">
        <v>17.0</v>
      </c>
      <c r="N72" s="134">
        <v>1.88</v>
      </c>
    </row>
    <row r="73">
      <c r="A73" s="131" t="s">
        <v>701</v>
      </c>
      <c r="B73" s="133" t="s">
        <v>441</v>
      </c>
      <c r="C73" s="134">
        <v>90.0</v>
      </c>
      <c r="D73" s="134">
        <v>13.3</v>
      </c>
      <c r="E73" s="134">
        <v>18.0</v>
      </c>
      <c r="F73" s="134">
        <v>2.67</v>
      </c>
      <c r="G73" s="134">
        <v>18.0</v>
      </c>
      <c r="H73" s="134">
        <v>0.889</v>
      </c>
      <c r="I73" s="134">
        <v>18.0</v>
      </c>
      <c r="J73" s="134">
        <v>1.78</v>
      </c>
      <c r="K73" s="134">
        <v>18.0</v>
      </c>
      <c r="L73" s="134">
        <v>6.22</v>
      </c>
      <c r="M73" s="134">
        <v>18.0</v>
      </c>
      <c r="N73" s="134">
        <v>1.78</v>
      </c>
    </row>
    <row r="74">
      <c r="A74" s="131" t="s">
        <v>414</v>
      </c>
      <c r="B74" s="133" t="s">
        <v>682</v>
      </c>
      <c r="C74" s="134">
        <v>89.0</v>
      </c>
      <c r="D74" s="134">
        <v>1.8</v>
      </c>
      <c r="E74" s="134">
        <v>18.0</v>
      </c>
      <c r="F74" s="134">
        <v>0.0</v>
      </c>
      <c r="G74" s="134">
        <v>18.0</v>
      </c>
      <c r="H74" s="134">
        <v>0.889</v>
      </c>
      <c r="I74" s="134">
        <v>18.0</v>
      </c>
      <c r="J74" s="134">
        <v>0.0</v>
      </c>
      <c r="K74" s="134">
        <v>18.0</v>
      </c>
      <c r="L74" s="134">
        <v>0.889</v>
      </c>
      <c r="M74" s="134">
        <v>17.0</v>
      </c>
      <c r="N74" s="134">
        <v>0.0</v>
      </c>
    </row>
    <row r="75">
      <c r="A75" s="131" t="s">
        <v>680</v>
      </c>
      <c r="B75" s="133" t="s">
        <v>708</v>
      </c>
      <c r="C75" s="134">
        <v>85.0</v>
      </c>
      <c r="D75" s="134">
        <v>0.941</v>
      </c>
      <c r="E75" s="134">
        <v>19.0</v>
      </c>
      <c r="F75" s="134">
        <v>0.0</v>
      </c>
      <c r="G75" s="134">
        <v>18.0</v>
      </c>
      <c r="H75" s="134">
        <v>0.889</v>
      </c>
      <c r="I75" s="134">
        <v>16.0</v>
      </c>
      <c r="J75" s="134">
        <v>0.0</v>
      </c>
      <c r="K75" s="134">
        <v>16.0</v>
      </c>
      <c r="L75" s="134">
        <v>0.0</v>
      </c>
      <c r="M75" s="134">
        <v>16.0</v>
      </c>
      <c r="N75" s="134">
        <v>0.0</v>
      </c>
    </row>
    <row r="76">
      <c r="A76" s="131" t="s">
        <v>702</v>
      </c>
      <c r="B76" s="133" t="s">
        <v>676</v>
      </c>
      <c r="C76" s="134">
        <v>90.0</v>
      </c>
      <c r="D76" s="134">
        <v>0.889</v>
      </c>
      <c r="E76" s="134">
        <v>19.0</v>
      </c>
      <c r="F76" s="134">
        <v>0.0</v>
      </c>
      <c r="G76" s="134">
        <v>19.0</v>
      </c>
      <c r="H76" s="134">
        <v>0.842</v>
      </c>
      <c r="I76" s="134">
        <v>18.0</v>
      </c>
      <c r="J76" s="134">
        <v>0.0</v>
      </c>
      <c r="K76" s="134">
        <v>17.0</v>
      </c>
      <c r="L76" s="134">
        <v>0.0</v>
      </c>
      <c r="M76" s="134">
        <v>17.0</v>
      </c>
      <c r="N76" s="134">
        <v>0.0</v>
      </c>
    </row>
    <row r="77">
      <c r="A77" s="131" t="s">
        <v>444</v>
      </c>
      <c r="B77" s="133" t="s">
        <v>686</v>
      </c>
      <c r="C77" s="134">
        <v>92.0</v>
      </c>
      <c r="D77" s="134">
        <v>1.74</v>
      </c>
      <c r="E77" s="134">
        <v>20.0</v>
      </c>
      <c r="F77" s="134">
        <v>0.0</v>
      </c>
      <c r="G77" s="134">
        <v>19.0</v>
      </c>
      <c r="H77" s="134">
        <v>0.842</v>
      </c>
      <c r="I77" s="134">
        <v>18.0</v>
      </c>
      <c r="J77" s="134">
        <v>0.0</v>
      </c>
      <c r="K77" s="134">
        <v>18.0</v>
      </c>
      <c r="L77" s="134">
        <v>0.0</v>
      </c>
      <c r="M77" s="134">
        <v>17.0</v>
      </c>
      <c r="N77" s="134">
        <v>0.941</v>
      </c>
    </row>
    <row r="78">
      <c r="A78" s="131" t="s">
        <v>498</v>
      </c>
      <c r="B78" s="133" t="s">
        <v>417</v>
      </c>
      <c r="C78" s="134">
        <v>93.0</v>
      </c>
      <c r="D78" s="134">
        <v>14.6</v>
      </c>
      <c r="E78" s="134">
        <v>20.0</v>
      </c>
      <c r="F78" s="134">
        <v>4.0</v>
      </c>
      <c r="G78" s="134">
        <v>19.0</v>
      </c>
      <c r="H78" s="134">
        <v>0.842</v>
      </c>
      <c r="I78" s="134">
        <v>18.0</v>
      </c>
      <c r="J78" s="134">
        <v>5.33</v>
      </c>
      <c r="K78" s="134">
        <v>18.0</v>
      </c>
      <c r="L78" s="134">
        <v>4.44</v>
      </c>
      <c r="M78" s="134">
        <v>18.0</v>
      </c>
      <c r="N78" s="134">
        <v>0.0</v>
      </c>
    </row>
    <row r="79">
      <c r="A79" s="131" t="s">
        <v>489</v>
      </c>
      <c r="B79" s="133" t="s">
        <v>487</v>
      </c>
      <c r="C79" s="134">
        <v>98.0</v>
      </c>
      <c r="D79" s="134">
        <v>8.98</v>
      </c>
      <c r="E79" s="134">
        <v>20.0</v>
      </c>
      <c r="F79" s="134">
        <v>3.2</v>
      </c>
      <c r="G79" s="134">
        <v>20.0</v>
      </c>
      <c r="H79" s="134">
        <v>0.8</v>
      </c>
      <c r="I79" s="134">
        <v>20.0</v>
      </c>
      <c r="J79" s="134">
        <v>4.0</v>
      </c>
      <c r="K79" s="134">
        <v>19.0</v>
      </c>
      <c r="L79" s="134">
        <v>0.842</v>
      </c>
      <c r="M79" s="134">
        <v>19.0</v>
      </c>
      <c r="N79" s="134">
        <v>0.0</v>
      </c>
    </row>
    <row r="80">
      <c r="A80" s="131" t="s">
        <v>459</v>
      </c>
      <c r="B80" s="133" t="s">
        <v>590</v>
      </c>
      <c r="C80" s="134">
        <v>97.0</v>
      </c>
      <c r="D80" s="134">
        <v>4.95</v>
      </c>
      <c r="E80" s="134">
        <v>20.0</v>
      </c>
      <c r="F80" s="134">
        <v>0.8</v>
      </c>
      <c r="G80" s="134">
        <v>20.0</v>
      </c>
      <c r="H80" s="134">
        <v>0.8</v>
      </c>
      <c r="I80" s="134">
        <v>19.0</v>
      </c>
      <c r="J80" s="134">
        <v>2.53</v>
      </c>
      <c r="K80" s="134">
        <v>19.0</v>
      </c>
      <c r="L80" s="134">
        <v>0.0</v>
      </c>
      <c r="M80" s="134">
        <v>19.0</v>
      </c>
      <c r="N80" s="134">
        <v>0.842</v>
      </c>
    </row>
    <row r="81">
      <c r="A81" s="131" t="s">
        <v>507</v>
      </c>
      <c r="B81" s="133" t="s">
        <v>632</v>
      </c>
      <c r="C81" s="134">
        <v>100.0</v>
      </c>
      <c r="D81" s="134">
        <v>4.0</v>
      </c>
      <c r="E81" s="134">
        <v>20.0</v>
      </c>
      <c r="F81" s="134">
        <v>0.8</v>
      </c>
      <c r="G81" s="134">
        <v>20.0</v>
      </c>
      <c r="H81" s="134">
        <v>0.8</v>
      </c>
      <c r="I81" s="134">
        <v>20.0</v>
      </c>
      <c r="J81" s="134">
        <v>0.8</v>
      </c>
      <c r="K81" s="134">
        <v>20.0</v>
      </c>
      <c r="L81" s="134">
        <v>0.0</v>
      </c>
      <c r="M81" s="134">
        <v>20.0</v>
      </c>
      <c r="N81" s="134">
        <v>1.6</v>
      </c>
    </row>
    <row r="82">
      <c r="A82" s="131" t="s">
        <v>541</v>
      </c>
      <c r="B82" s="133" t="s">
        <v>721</v>
      </c>
      <c r="C82" s="134">
        <v>100.0</v>
      </c>
      <c r="D82" s="134">
        <v>0.8</v>
      </c>
      <c r="E82" s="134">
        <v>20.0</v>
      </c>
      <c r="F82" s="134">
        <v>0.0</v>
      </c>
      <c r="G82" s="134">
        <v>20.0</v>
      </c>
      <c r="H82" s="134">
        <v>0.8</v>
      </c>
      <c r="I82" s="134">
        <v>20.0</v>
      </c>
      <c r="J82" s="134">
        <v>0.0</v>
      </c>
      <c r="K82" s="134">
        <v>20.0</v>
      </c>
      <c r="L82" s="134">
        <v>0.0</v>
      </c>
      <c r="M82" s="134">
        <v>20.0</v>
      </c>
      <c r="N82" s="134">
        <v>0.0</v>
      </c>
    </row>
    <row r="83">
      <c r="A83" s="131" t="s">
        <v>593</v>
      </c>
      <c r="B83" s="133" t="s">
        <v>550</v>
      </c>
      <c r="C83" s="134">
        <v>100.0</v>
      </c>
      <c r="D83" s="134">
        <v>7.2</v>
      </c>
      <c r="E83" s="134">
        <v>20.0</v>
      </c>
      <c r="F83" s="134">
        <v>1.6</v>
      </c>
      <c r="G83" s="134">
        <v>20.0</v>
      </c>
      <c r="H83" s="134">
        <v>0.8</v>
      </c>
      <c r="I83" s="134">
        <v>20.0</v>
      </c>
      <c r="J83" s="134">
        <v>0.0</v>
      </c>
      <c r="K83" s="134">
        <v>20.0</v>
      </c>
      <c r="L83" s="134">
        <v>0.0</v>
      </c>
      <c r="M83" s="134">
        <v>20.0</v>
      </c>
      <c r="N83" s="134">
        <v>4.8</v>
      </c>
    </row>
    <row r="84">
      <c r="A84" s="131" t="s">
        <v>631</v>
      </c>
      <c r="B84" s="133" t="s">
        <v>466</v>
      </c>
      <c r="C84" s="134">
        <v>98.0</v>
      </c>
      <c r="D84" s="134">
        <v>8.98</v>
      </c>
      <c r="E84" s="134">
        <v>20.0</v>
      </c>
      <c r="F84" s="134">
        <v>4.0</v>
      </c>
      <c r="G84" s="134">
        <v>20.0</v>
      </c>
      <c r="H84" s="134">
        <v>0.8</v>
      </c>
      <c r="I84" s="134">
        <v>21.0</v>
      </c>
      <c r="J84" s="134">
        <v>0.762</v>
      </c>
      <c r="K84" s="134">
        <v>19.0</v>
      </c>
      <c r="L84" s="134">
        <v>0.842</v>
      </c>
      <c r="M84" s="134">
        <v>18.0</v>
      </c>
      <c r="N84" s="134">
        <v>2.67</v>
      </c>
    </row>
    <row r="85">
      <c r="A85" s="131" t="s">
        <v>713</v>
      </c>
      <c r="B85" s="133" t="s">
        <v>510</v>
      </c>
      <c r="C85" s="134">
        <v>99.0</v>
      </c>
      <c r="D85" s="134">
        <v>8.89</v>
      </c>
      <c r="E85" s="134">
        <v>20.0</v>
      </c>
      <c r="F85" s="134">
        <v>0.0</v>
      </c>
      <c r="G85" s="134">
        <v>20.0</v>
      </c>
      <c r="H85" s="134">
        <v>0.8</v>
      </c>
      <c r="I85" s="134">
        <v>20.0</v>
      </c>
      <c r="J85" s="134">
        <v>-0.8</v>
      </c>
      <c r="K85" s="134">
        <v>20.0</v>
      </c>
      <c r="L85" s="134">
        <v>7.2</v>
      </c>
      <c r="M85" s="134">
        <v>19.0</v>
      </c>
      <c r="N85" s="134">
        <v>1.68</v>
      </c>
    </row>
    <row r="86">
      <c r="A86" s="131" t="s">
        <v>439</v>
      </c>
      <c r="B86" s="133" t="s">
        <v>499</v>
      </c>
      <c r="C86" s="134">
        <v>97.0</v>
      </c>
      <c r="D86" s="134">
        <v>9.07</v>
      </c>
      <c r="E86" s="134">
        <v>20.0</v>
      </c>
      <c r="F86" s="134">
        <v>0.8</v>
      </c>
      <c r="G86" s="134">
        <v>20.0</v>
      </c>
      <c r="H86" s="134">
        <v>0.8</v>
      </c>
      <c r="I86" s="134">
        <v>20.0</v>
      </c>
      <c r="J86" s="134">
        <v>3.2</v>
      </c>
      <c r="K86" s="134">
        <v>19.0</v>
      </c>
      <c r="L86" s="134">
        <v>0.842</v>
      </c>
      <c r="M86" s="134">
        <v>18.0</v>
      </c>
      <c r="N86" s="134">
        <v>3.56</v>
      </c>
    </row>
    <row r="87">
      <c r="A87" s="131" t="s">
        <v>497</v>
      </c>
      <c r="B87" s="133" t="s">
        <v>657</v>
      </c>
      <c r="C87" s="134">
        <v>98.0</v>
      </c>
      <c r="D87" s="134">
        <v>2.45</v>
      </c>
      <c r="E87" s="134">
        <v>21.0</v>
      </c>
      <c r="F87" s="134">
        <v>0.0</v>
      </c>
      <c r="G87" s="134">
        <v>21.0</v>
      </c>
      <c r="H87" s="134">
        <v>0.762</v>
      </c>
      <c r="I87" s="134">
        <v>20.0</v>
      </c>
      <c r="J87" s="134">
        <v>0.0</v>
      </c>
      <c r="K87" s="134">
        <v>18.0</v>
      </c>
      <c r="L87" s="134">
        <v>0.0</v>
      </c>
      <c r="M87" s="134">
        <v>18.0</v>
      </c>
      <c r="N87" s="134">
        <v>1.78</v>
      </c>
    </row>
    <row r="88">
      <c r="A88" s="131" t="s">
        <v>621</v>
      </c>
      <c r="B88" s="133" t="s">
        <v>500</v>
      </c>
      <c r="C88" s="134">
        <v>98.0</v>
      </c>
      <c r="D88" s="134">
        <v>8.98</v>
      </c>
      <c r="E88" s="134">
        <v>21.0</v>
      </c>
      <c r="F88" s="134">
        <v>3.05</v>
      </c>
      <c r="G88" s="134">
        <v>21.0</v>
      </c>
      <c r="H88" s="134">
        <v>0.762</v>
      </c>
      <c r="I88" s="134">
        <v>20.0</v>
      </c>
      <c r="J88" s="134">
        <v>3.2</v>
      </c>
      <c r="K88" s="134">
        <v>18.0</v>
      </c>
      <c r="L88" s="134">
        <v>0.889</v>
      </c>
      <c r="M88" s="134">
        <v>18.0</v>
      </c>
      <c r="N88" s="134">
        <v>0.889</v>
      </c>
    </row>
    <row r="89">
      <c r="A89" s="131" t="s">
        <v>655</v>
      </c>
      <c r="B89" s="133" t="s">
        <v>616</v>
      </c>
      <c r="C89" s="134">
        <v>98.0</v>
      </c>
      <c r="D89" s="134">
        <v>4.08</v>
      </c>
      <c r="E89" s="134">
        <v>21.0</v>
      </c>
      <c r="F89" s="134">
        <v>0.762</v>
      </c>
      <c r="G89" s="134">
        <v>21.0</v>
      </c>
      <c r="H89" s="134">
        <v>0.762</v>
      </c>
      <c r="I89" s="134">
        <v>20.0</v>
      </c>
      <c r="J89" s="134">
        <v>2.4</v>
      </c>
      <c r="K89" s="134">
        <v>18.0</v>
      </c>
      <c r="L89" s="134">
        <v>0.0</v>
      </c>
      <c r="M89" s="134">
        <v>18.0</v>
      </c>
      <c r="N89" s="134">
        <v>0.0</v>
      </c>
    </row>
    <row r="90">
      <c r="A90" s="131" t="s">
        <v>384</v>
      </c>
      <c r="B90" s="133" t="s">
        <v>485</v>
      </c>
      <c r="C90" s="134">
        <v>99.0</v>
      </c>
      <c r="D90" s="134">
        <v>4.04</v>
      </c>
      <c r="E90" s="134">
        <v>20.0</v>
      </c>
      <c r="F90" s="134">
        <v>3.2</v>
      </c>
      <c r="G90" s="134">
        <v>20.0</v>
      </c>
      <c r="H90" s="134">
        <v>0.0</v>
      </c>
      <c r="I90" s="134">
        <v>20.0</v>
      </c>
      <c r="J90" s="134">
        <v>-0.8</v>
      </c>
      <c r="K90" s="134">
        <v>20.0</v>
      </c>
      <c r="L90" s="134">
        <v>1.6</v>
      </c>
      <c r="M90" s="134">
        <v>19.0</v>
      </c>
      <c r="N90" s="134">
        <v>0.0</v>
      </c>
    </row>
    <row r="91">
      <c r="A91" s="131" t="s">
        <v>386</v>
      </c>
      <c r="B91" s="133" t="s">
        <v>555</v>
      </c>
      <c r="C91" s="134">
        <v>70.0</v>
      </c>
      <c r="D91" s="134">
        <v>2.29</v>
      </c>
      <c r="E91" s="134">
        <v>15.0</v>
      </c>
      <c r="F91" s="134">
        <v>2.13</v>
      </c>
      <c r="G91" s="134">
        <v>14.0</v>
      </c>
      <c r="H91" s="134">
        <v>0.0</v>
      </c>
      <c r="I91" s="134">
        <v>14.0</v>
      </c>
      <c r="J91" s="134">
        <v>0.0</v>
      </c>
      <c r="K91" s="134">
        <v>14.0</v>
      </c>
      <c r="L91" s="134">
        <v>0.0</v>
      </c>
      <c r="M91" s="134">
        <v>13.0</v>
      </c>
      <c r="N91" s="134">
        <v>0.0</v>
      </c>
    </row>
    <row r="92">
      <c r="A92" s="131" t="s">
        <v>390</v>
      </c>
      <c r="B92" s="133" t="s">
        <v>653</v>
      </c>
      <c r="C92" s="134">
        <v>40.0</v>
      </c>
      <c r="D92" s="134">
        <v>-4.0</v>
      </c>
      <c r="E92" s="134">
        <v>8.0</v>
      </c>
      <c r="F92" s="134">
        <v>0.0</v>
      </c>
      <c r="G92" s="134">
        <v>8.0</v>
      </c>
      <c r="H92" s="134">
        <v>0.0</v>
      </c>
      <c r="I92" s="134">
        <v>8.0</v>
      </c>
      <c r="J92" s="134">
        <v>0.0</v>
      </c>
      <c r="K92" s="134">
        <v>8.0</v>
      </c>
      <c r="L92" s="134">
        <v>-2.0</v>
      </c>
      <c r="M92" s="134">
        <v>8.0</v>
      </c>
      <c r="N92" s="134">
        <v>-2.0</v>
      </c>
    </row>
    <row r="93">
      <c r="A93" s="131" t="s">
        <v>406</v>
      </c>
      <c r="B93" s="133" t="s">
        <v>415</v>
      </c>
      <c r="C93" s="134">
        <v>98.0</v>
      </c>
      <c r="D93" s="134">
        <v>14.7</v>
      </c>
      <c r="E93" s="134">
        <v>20.0</v>
      </c>
      <c r="F93" s="134">
        <v>0.0</v>
      </c>
      <c r="G93" s="134">
        <v>20.0</v>
      </c>
      <c r="H93" s="134">
        <v>0.0</v>
      </c>
      <c r="I93" s="134">
        <v>20.0</v>
      </c>
      <c r="J93" s="134">
        <v>4.0</v>
      </c>
      <c r="K93" s="134">
        <v>19.0</v>
      </c>
      <c r="L93" s="134">
        <v>4.21</v>
      </c>
      <c r="M93" s="134">
        <v>19.0</v>
      </c>
      <c r="N93" s="134">
        <v>6.74</v>
      </c>
    </row>
    <row r="94">
      <c r="A94" s="131" t="s">
        <v>410</v>
      </c>
      <c r="B94" s="133" t="s">
        <v>426</v>
      </c>
      <c r="C94" s="134">
        <v>98.0</v>
      </c>
      <c r="D94" s="134">
        <v>13.1</v>
      </c>
      <c r="E94" s="134">
        <v>20.0</v>
      </c>
      <c r="F94" s="134">
        <v>7.2</v>
      </c>
      <c r="G94" s="134">
        <v>20.0</v>
      </c>
      <c r="H94" s="134">
        <v>0.0</v>
      </c>
      <c r="I94" s="134">
        <v>20.0</v>
      </c>
      <c r="J94" s="134">
        <v>2.4</v>
      </c>
      <c r="K94" s="134">
        <v>19.0</v>
      </c>
      <c r="L94" s="134">
        <v>1.68</v>
      </c>
      <c r="M94" s="134">
        <v>19.0</v>
      </c>
      <c r="N94" s="134">
        <v>1.68</v>
      </c>
    </row>
    <row r="95">
      <c r="A95" s="131" t="s">
        <v>429</v>
      </c>
      <c r="B95" s="133" t="s">
        <v>656</v>
      </c>
      <c r="C95" s="134">
        <v>98.0</v>
      </c>
      <c r="D95" s="134">
        <v>2.45</v>
      </c>
      <c r="E95" s="134">
        <v>20.0</v>
      </c>
      <c r="F95" s="134">
        <v>0.0</v>
      </c>
      <c r="G95" s="134">
        <v>20.0</v>
      </c>
      <c r="H95" s="134">
        <v>0.0</v>
      </c>
      <c r="I95" s="134">
        <v>20.0</v>
      </c>
      <c r="J95" s="134">
        <v>0.8</v>
      </c>
      <c r="K95" s="134">
        <v>19.0</v>
      </c>
      <c r="L95" s="134">
        <v>1.68</v>
      </c>
      <c r="M95" s="134">
        <v>19.0</v>
      </c>
      <c r="N95" s="134">
        <v>0.0</v>
      </c>
    </row>
    <row r="96">
      <c r="A96" s="131" t="s">
        <v>446</v>
      </c>
      <c r="B96" s="133" t="s">
        <v>578</v>
      </c>
      <c r="C96" s="134">
        <v>99.0</v>
      </c>
      <c r="D96" s="134">
        <v>5.66</v>
      </c>
      <c r="E96" s="134">
        <v>20.0</v>
      </c>
      <c r="F96" s="134">
        <v>0.8</v>
      </c>
      <c r="G96" s="134">
        <v>20.0</v>
      </c>
      <c r="H96" s="134">
        <v>0.0</v>
      </c>
      <c r="I96" s="134">
        <v>20.0</v>
      </c>
      <c r="J96" s="134">
        <v>2.4</v>
      </c>
      <c r="K96" s="134">
        <v>20.0</v>
      </c>
      <c r="L96" s="134">
        <v>1.6</v>
      </c>
      <c r="M96" s="134">
        <v>19.0</v>
      </c>
      <c r="N96" s="134">
        <v>0.842</v>
      </c>
    </row>
    <row r="97">
      <c r="A97" s="131" t="s">
        <v>470</v>
      </c>
      <c r="B97" s="133" t="s">
        <v>659</v>
      </c>
      <c r="C97" s="134">
        <v>99.0</v>
      </c>
      <c r="D97" s="134">
        <v>0.808</v>
      </c>
      <c r="E97" s="134">
        <v>20.0</v>
      </c>
      <c r="F97" s="134">
        <v>0.0</v>
      </c>
      <c r="G97" s="134">
        <v>20.0</v>
      </c>
      <c r="H97" s="134">
        <v>0.0</v>
      </c>
      <c r="I97" s="134">
        <v>20.0</v>
      </c>
      <c r="J97" s="134">
        <v>0.0</v>
      </c>
      <c r="K97" s="134">
        <v>20.0</v>
      </c>
      <c r="L97" s="134">
        <v>0.0</v>
      </c>
      <c r="M97" s="134">
        <v>19.0</v>
      </c>
      <c r="N97" s="134">
        <v>0.842</v>
      </c>
    </row>
    <row r="98">
      <c r="A98" s="131" t="s">
        <v>418</v>
      </c>
      <c r="B98" s="133" t="s">
        <v>661</v>
      </c>
      <c r="C98" s="134">
        <v>67.0</v>
      </c>
      <c r="D98" s="134">
        <v>0.0</v>
      </c>
      <c r="E98" s="134">
        <v>13.0</v>
      </c>
      <c r="F98" s="134">
        <v>0.0</v>
      </c>
      <c r="G98" s="134">
        <v>14.0</v>
      </c>
      <c r="H98" s="134">
        <v>0.0</v>
      </c>
      <c r="I98" s="134">
        <v>14.0</v>
      </c>
      <c r="J98" s="134">
        <v>0.0</v>
      </c>
      <c r="K98" s="134">
        <v>13.0</v>
      </c>
      <c r="L98" s="134">
        <v>0.0</v>
      </c>
      <c r="M98" s="134">
        <v>13.0</v>
      </c>
      <c r="N98" s="134">
        <v>0.0</v>
      </c>
    </row>
    <row r="99">
      <c r="A99" s="131" t="s">
        <v>411</v>
      </c>
      <c r="B99" s="133" t="s">
        <v>433</v>
      </c>
      <c r="C99" s="134">
        <v>87.0</v>
      </c>
      <c r="D99" s="134">
        <v>9.2</v>
      </c>
      <c r="E99" s="134">
        <v>17.0</v>
      </c>
      <c r="F99" s="134">
        <v>6.59</v>
      </c>
      <c r="G99" s="134">
        <v>18.0</v>
      </c>
      <c r="H99" s="134">
        <v>0.0</v>
      </c>
      <c r="I99" s="134">
        <v>18.0</v>
      </c>
      <c r="J99" s="134">
        <v>2.67</v>
      </c>
      <c r="K99" s="134">
        <v>17.0</v>
      </c>
      <c r="L99" s="134">
        <v>0.0</v>
      </c>
      <c r="M99" s="134">
        <v>17.0</v>
      </c>
      <c r="N99" s="134">
        <v>0.0</v>
      </c>
    </row>
    <row r="100">
      <c r="A100" s="91" t="s">
        <v>442</v>
      </c>
      <c r="B100" s="133" t="s">
        <v>665</v>
      </c>
      <c r="C100" s="134">
        <v>62.0</v>
      </c>
      <c r="D100" s="134">
        <v>0.0</v>
      </c>
      <c r="E100" s="134">
        <v>14.0</v>
      </c>
      <c r="F100" s="134">
        <v>0.0</v>
      </c>
      <c r="G100" s="134">
        <v>12.0</v>
      </c>
      <c r="H100" s="134">
        <v>0.0</v>
      </c>
      <c r="I100" s="134">
        <v>12.0</v>
      </c>
      <c r="J100" s="134">
        <v>0.0</v>
      </c>
      <c r="K100" s="134">
        <v>12.0</v>
      </c>
      <c r="L100" s="134">
        <v>0.0</v>
      </c>
      <c r="M100" s="134">
        <v>12.0</v>
      </c>
      <c r="N100" s="134">
        <v>0.0</v>
      </c>
    </row>
    <row r="101">
      <c r="A101" s="131" t="s">
        <v>490</v>
      </c>
      <c r="B101" s="133" t="s">
        <v>475</v>
      </c>
      <c r="C101" s="134">
        <v>63.0</v>
      </c>
      <c r="D101" s="134">
        <v>2.54</v>
      </c>
      <c r="E101" s="134">
        <v>13.0</v>
      </c>
      <c r="F101" s="134">
        <v>3.69</v>
      </c>
      <c r="G101" s="134">
        <v>13.0</v>
      </c>
      <c r="H101" s="134">
        <v>0.0</v>
      </c>
      <c r="I101" s="134">
        <v>13.0</v>
      </c>
      <c r="J101" s="134">
        <v>-1.23</v>
      </c>
      <c r="K101" s="134">
        <v>12.0</v>
      </c>
      <c r="L101" s="134">
        <v>0.0</v>
      </c>
      <c r="M101" s="134">
        <v>12.0</v>
      </c>
      <c r="N101" s="134">
        <v>0.0</v>
      </c>
    </row>
    <row r="102">
      <c r="A102" s="131" t="s">
        <v>432</v>
      </c>
      <c r="B102" s="133" t="s">
        <v>391</v>
      </c>
      <c r="C102" s="134">
        <v>95.0</v>
      </c>
      <c r="D102" s="134">
        <v>21.1</v>
      </c>
      <c r="E102" s="134">
        <v>20.0</v>
      </c>
      <c r="F102" s="134">
        <v>2.4</v>
      </c>
      <c r="G102" s="134">
        <v>20.0</v>
      </c>
      <c r="H102" s="134">
        <v>0.0</v>
      </c>
      <c r="I102" s="134">
        <v>19.0</v>
      </c>
      <c r="J102" s="134">
        <v>3.37</v>
      </c>
      <c r="K102" s="134">
        <v>18.0</v>
      </c>
      <c r="L102" s="134">
        <v>8.0</v>
      </c>
      <c r="M102" s="134">
        <v>18.0</v>
      </c>
      <c r="N102" s="134">
        <v>8.0</v>
      </c>
    </row>
    <row r="103">
      <c r="A103" s="131" t="s">
        <v>509</v>
      </c>
      <c r="B103" s="133" t="s">
        <v>580</v>
      </c>
      <c r="C103" s="134">
        <v>49.0</v>
      </c>
      <c r="D103" s="134">
        <v>1.63</v>
      </c>
      <c r="E103" s="134">
        <v>11.0</v>
      </c>
      <c r="F103" s="134">
        <v>1.45</v>
      </c>
      <c r="G103" s="134">
        <v>11.0</v>
      </c>
      <c r="H103" s="134">
        <v>0.0</v>
      </c>
      <c r="I103" s="134">
        <v>9.0</v>
      </c>
      <c r="J103" s="134">
        <v>0.0</v>
      </c>
      <c r="K103" s="134">
        <v>9.0</v>
      </c>
      <c r="L103" s="134">
        <v>0.0</v>
      </c>
      <c r="M103" s="134">
        <v>9.0</v>
      </c>
      <c r="N103" s="134">
        <v>0.0</v>
      </c>
    </row>
    <row r="104">
      <c r="A104" s="131" t="s">
        <v>514</v>
      </c>
      <c r="B104" s="133" t="s">
        <v>650</v>
      </c>
      <c r="C104" s="134">
        <v>78.0</v>
      </c>
      <c r="D104" s="134">
        <v>3.08</v>
      </c>
      <c r="E104" s="134">
        <v>16.0</v>
      </c>
      <c r="F104" s="134">
        <v>0.0</v>
      </c>
      <c r="G104" s="134">
        <v>16.0</v>
      </c>
      <c r="H104" s="134">
        <v>0.0</v>
      </c>
      <c r="I104" s="134">
        <v>16.0</v>
      </c>
      <c r="J104" s="134">
        <v>2.0</v>
      </c>
      <c r="K104" s="134">
        <v>15.0</v>
      </c>
      <c r="L104" s="134">
        <v>1.07</v>
      </c>
      <c r="M104" s="134">
        <v>15.0</v>
      </c>
      <c r="N104" s="134">
        <v>0.0</v>
      </c>
    </row>
    <row r="105">
      <c r="A105" s="131" t="s">
        <v>523</v>
      </c>
      <c r="B105" s="133" t="s">
        <v>589</v>
      </c>
      <c r="C105" s="134">
        <v>78.0</v>
      </c>
      <c r="D105" s="134">
        <v>4.1</v>
      </c>
      <c r="E105" s="134">
        <v>16.0</v>
      </c>
      <c r="F105" s="134">
        <v>1.0</v>
      </c>
      <c r="G105" s="134">
        <v>16.0</v>
      </c>
      <c r="H105" s="134">
        <v>0.0</v>
      </c>
      <c r="I105" s="134">
        <v>16.0</v>
      </c>
      <c r="J105" s="134">
        <v>2.0</v>
      </c>
      <c r="K105" s="134">
        <v>15.0</v>
      </c>
      <c r="L105" s="134">
        <v>0.0</v>
      </c>
      <c r="M105" s="134">
        <v>15.0</v>
      </c>
      <c r="N105" s="134">
        <v>1.07</v>
      </c>
    </row>
    <row r="106">
      <c r="A106" s="131" t="s">
        <v>536</v>
      </c>
      <c r="B106" s="133" t="s">
        <v>447</v>
      </c>
      <c r="C106" s="134">
        <v>98.0</v>
      </c>
      <c r="D106" s="134">
        <v>13.1</v>
      </c>
      <c r="E106" s="134">
        <v>20.0</v>
      </c>
      <c r="F106" s="134">
        <v>4.0</v>
      </c>
      <c r="G106" s="134">
        <v>20.0</v>
      </c>
      <c r="H106" s="134">
        <v>0.0</v>
      </c>
      <c r="I106" s="134">
        <v>20.0</v>
      </c>
      <c r="J106" s="134">
        <v>3.2</v>
      </c>
      <c r="K106" s="134">
        <v>19.0</v>
      </c>
      <c r="L106" s="134">
        <v>2.53</v>
      </c>
      <c r="M106" s="134">
        <v>19.0</v>
      </c>
      <c r="N106" s="134">
        <v>3.37</v>
      </c>
    </row>
    <row r="107">
      <c r="A107" s="131" t="s">
        <v>549</v>
      </c>
      <c r="B107" s="133" t="s">
        <v>565</v>
      </c>
      <c r="C107" s="134">
        <v>94.0</v>
      </c>
      <c r="D107" s="134">
        <v>1.7</v>
      </c>
      <c r="E107" s="134">
        <v>20.0</v>
      </c>
      <c r="F107" s="134">
        <v>1.6</v>
      </c>
      <c r="G107" s="134">
        <v>19.0</v>
      </c>
      <c r="H107" s="134">
        <v>0.0</v>
      </c>
      <c r="I107" s="134">
        <v>19.0</v>
      </c>
      <c r="J107" s="134">
        <v>0.0</v>
      </c>
      <c r="K107" s="134">
        <v>18.0</v>
      </c>
      <c r="L107" s="134">
        <v>0.0</v>
      </c>
      <c r="M107" s="134">
        <v>18.0</v>
      </c>
      <c r="N107" s="134">
        <v>0.0</v>
      </c>
    </row>
    <row r="108">
      <c r="A108" s="131" t="s">
        <v>436</v>
      </c>
      <c r="B108" s="133" t="s">
        <v>385</v>
      </c>
      <c r="C108" s="134">
        <v>94.0</v>
      </c>
      <c r="D108" s="134">
        <v>23.0</v>
      </c>
      <c r="E108" s="134">
        <v>20.0</v>
      </c>
      <c r="F108" s="134">
        <v>4.0</v>
      </c>
      <c r="G108" s="134">
        <v>19.0</v>
      </c>
      <c r="H108" s="134">
        <v>0.0</v>
      </c>
      <c r="I108" s="134">
        <v>19.0</v>
      </c>
      <c r="J108" s="134">
        <v>6.74</v>
      </c>
      <c r="K108" s="134">
        <v>18.0</v>
      </c>
      <c r="L108" s="134">
        <v>4.44</v>
      </c>
      <c r="M108" s="134">
        <v>18.0</v>
      </c>
      <c r="N108" s="134">
        <v>8.0</v>
      </c>
    </row>
    <row r="109">
      <c r="A109" s="131" t="s">
        <v>448</v>
      </c>
      <c r="B109" s="133" t="s">
        <v>582</v>
      </c>
      <c r="C109" s="134">
        <v>94.0</v>
      </c>
      <c r="D109" s="134">
        <v>5.11</v>
      </c>
      <c r="E109" s="134">
        <v>20.0</v>
      </c>
      <c r="F109" s="134">
        <v>0.0</v>
      </c>
      <c r="G109" s="134">
        <v>19.0</v>
      </c>
      <c r="H109" s="134">
        <v>0.0</v>
      </c>
      <c r="I109" s="134">
        <v>19.0</v>
      </c>
      <c r="J109" s="134">
        <v>0.0</v>
      </c>
      <c r="K109" s="134">
        <v>18.0</v>
      </c>
      <c r="L109" s="134">
        <v>5.33</v>
      </c>
      <c r="M109" s="134">
        <v>18.0</v>
      </c>
      <c r="N109" s="134">
        <v>0.0</v>
      </c>
    </row>
    <row r="110">
      <c r="A110" s="131" t="s">
        <v>528</v>
      </c>
      <c r="B110" s="133" t="s">
        <v>673</v>
      </c>
      <c r="C110" s="134">
        <v>80.0</v>
      </c>
      <c r="D110" s="134">
        <v>2.0</v>
      </c>
      <c r="E110" s="134">
        <v>16.0</v>
      </c>
      <c r="F110" s="134">
        <v>0.0</v>
      </c>
      <c r="G110" s="134">
        <v>16.0</v>
      </c>
      <c r="H110" s="134">
        <v>0.0</v>
      </c>
      <c r="I110" s="134">
        <v>16.0</v>
      </c>
      <c r="J110" s="134">
        <v>0.0</v>
      </c>
      <c r="K110" s="134">
        <v>16.0</v>
      </c>
      <c r="L110" s="134">
        <v>1.0</v>
      </c>
      <c r="M110" s="134">
        <v>16.0</v>
      </c>
      <c r="N110" s="134">
        <v>1.0</v>
      </c>
    </row>
    <row r="111">
      <c r="A111" s="131" t="s">
        <v>567</v>
      </c>
      <c r="B111" s="133" t="s">
        <v>544</v>
      </c>
      <c r="C111" s="134">
        <v>32.0</v>
      </c>
      <c r="D111" s="134">
        <v>5.0</v>
      </c>
      <c r="E111" s="134">
        <v>7.0</v>
      </c>
      <c r="F111" s="134">
        <v>2.29</v>
      </c>
      <c r="G111" s="134">
        <v>7.0</v>
      </c>
      <c r="H111" s="134">
        <v>0.0</v>
      </c>
      <c r="I111" s="134">
        <v>6.0</v>
      </c>
      <c r="J111" s="134">
        <v>0.0</v>
      </c>
      <c r="K111" s="134">
        <v>6.0</v>
      </c>
      <c r="L111" s="134">
        <v>2.67</v>
      </c>
      <c r="M111" s="134">
        <v>6.0</v>
      </c>
      <c r="N111" s="134">
        <v>0.0</v>
      </c>
    </row>
    <row r="112">
      <c r="A112" s="131" t="s">
        <v>571</v>
      </c>
      <c r="B112" s="133" t="s">
        <v>419</v>
      </c>
      <c r="C112" s="134">
        <v>100.0</v>
      </c>
      <c r="D112" s="134">
        <v>10.4</v>
      </c>
      <c r="E112" s="134">
        <v>20.0</v>
      </c>
      <c r="F112" s="134">
        <v>8.8</v>
      </c>
      <c r="G112" s="134">
        <v>20.0</v>
      </c>
      <c r="H112" s="134">
        <v>0.0</v>
      </c>
      <c r="I112" s="134">
        <v>20.0</v>
      </c>
      <c r="J112" s="134">
        <v>1.6</v>
      </c>
      <c r="K112" s="134">
        <v>20.0</v>
      </c>
      <c r="L112" s="134">
        <v>0.0</v>
      </c>
      <c r="M112" s="134">
        <v>20.0</v>
      </c>
      <c r="N112" s="134">
        <v>0.0</v>
      </c>
    </row>
    <row r="113">
      <c r="A113" s="131" t="s">
        <v>573</v>
      </c>
      <c r="B113" s="133" t="s">
        <v>674</v>
      </c>
      <c r="C113" s="134">
        <v>100.0</v>
      </c>
      <c r="D113" s="134">
        <v>1.6</v>
      </c>
      <c r="E113" s="134">
        <v>20.0</v>
      </c>
      <c r="F113" s="134">
        <v>0.0</v>
      </c>
      <c r="G113" s="134">
        <v>20.0</v>
      </c>
      <c r="H113" s="134">
        <v>0.0</v>
      </c>
      <c r="I113" s="134">
        <v>20.0</v>
      </c>
      <c r="J113" s="134">
        <v>0.8</v>
      </c>
      <c r="K113" s="134">
        <v>20.0</v>
      </c>
      <c r="L113" s="134">
        <v>0.0</v>
      </c>
      <c r="M113" s="134">
        <v>20.0</v>
      </c>
      <c r="N113" s="134">
        <v>0.8</v>
      </c>
    </row>
    <row r="114">
      <c r="A114" s="131" t="s">
        <v>465</v>
      </c>
      <c r="B114" s="133" t="s">
        <v>629</v>
      </c>
      <c r="C114" s="134">
        <v>98.0</v>
      </c>
      <c r="D114" s="134">
        <v>2.45</v>
      </c>
      <c r="E114" s="134">
        <v>20.0</v>
      </c>
      <c r="F114" s="134">
        <v>0.8</v>
      </c>
      <c r="G114" s="134">
        <v>20.0</v>
      </c>
      <c r="H114" s="134">
        <v>0.0</v>
      </c>
      <c r="I114" s="134">
        <v>20.0</v>
      </c>
      <c r="J114" s="134">
        <v>-0.8</v>
      </c>
      <c r="K114" s="134">
        <v>19.0</v>
      </c>
      <c r="L114" s="134">
        <v>0.0</v>
      </c>
      <c r="M114" s="134">
        <v>19.0</v>
      </c>
      <c r="N114" s="134">
        <v>2.53</v>
      </c>
    </row>
    <row r="115">
      <c r="A115" s="131" t="s">
        <v>581</v>
      </c>
      <c r="B115" s="133" t="s">
        <v>570</v>
      </c>
      <c r="C115" s="134">
        <v>26.0</v>
      </c>
      <c r="D115" s="134">
        <v>6.15</v>
      </c>
      <c r="E115" s="134">
        <v>5.0</v>
      </c>
      <c r="F115" s="134">
        <v>0.0</v>
      </c>
      <c r="G115" s="134">
        <v>5.0</v>
      </c>
      <c r="H115" s="134">
        <v>0.0</v>
      </c>
      <c r="I115" s="134">
        <v>6.0</v>
      </c>
      <c r="J115" s="134">
        <v>5.33</v>
      </c>
      <c r="K115" s="134">
        <v>5.0</v>
      </c>
      <c r="L115" s="134">
        <v>0.0</v>
      </c>
      <c r="M115" s="134">
        <v>5.0</v>
      </c>
      <c r="N115" s="134">
        <v>0.0</v>
      </c>
    </row>
    <row r="116">
      <c r="A116" s="131" t="s">
        <v>585</v>
      </c>
      <c r="B116" s="133" t="s">
        <v>568</v>
      </c>
      <c r="C116" s="134">
        <v>88.0</v>
      </c>
      <c r="D116" s="134">
        <v>6.36</v>
      </c>
      <c r="E116" s="134">
        <v>18.0</v>
      </c>
      <c r="F116" s="134">
        <v>0.0</v>
      </c>
      <c r="G116" s="134">
        <v>18.0</v>
      </c>
      <c r="H116" s="134">
        <v>0.0</v>
      </c>
      <c r="I116" s="134">
        <v>18.0</v>
      </c>
      <c r="J116" s="134">
        <v>0.0</v>
      </c>
      <c r="K116" s="134">
        <v>17.0</v>
      </c>
      <c r="L116" s="134">
        <v>0.0</v>
      </c>
      <c r="M116" s="134">
        <v>17.0</v>
      </c>
      <c r="N116" s="134">
        <v>6.59</v>
      </c>
    </row>
    <row r="117">
      <c r="A117" s="131" t="s">
        <v>576</v>
      </c>
      <c r="B117" s="133" t="s">
        <v>381</v>
      </c>
      <c r="C117" s="134">
        <v>98.0</v>
      </c>
      <c r="D117" s="134">
        <v>23.7</v>
      </c>
      <c r="E117" s="134">
        <v>20.0</v>
      </c>
      <c r="F117" s="134">
        <v>8.0</v>
      </c>
      <c r="G117" s="134">
        <v>20.0</v>
      </c>
      <c r="H117" s="134">
        <v>0.0</v>
      </c>
      <c r="I117" s="134">
        <v>20.0</v>
      </c>
      <c r="J117" s="134">
        <v>4.8</v>
      </c>
      <c r="K117" s="134">
        <v>19.0</v>
      </c>
      <c r="L117" s="134">
        <v>7.58</v>
      </c>
      <c r="M117" s="134">
        <v>19.0</v>
      </c>
      <c r="N117" s="134">
        <v>3.37</v>
      </c>
    </row>
    <row r="118">
      <c r="A118" s="131" t="s">
        <v>532</v>
      </c>
      <c r="B118" s="133" t="s">
        <v>684</v>
      </c>
      <c r="C118" s="134">
        <v>96.0</v>
      </c>
      <c r="D118" s="134">
        <v>0.833</v>
      </c>
      <c r="E118" s="134">
        <v>20.0</v>
      </c>
      <c r="F118" s="134">
        <v>0.0</v>
      </c>
      <c r="G118" s="134">
        <v>19.0</v>
      </c>
      <c r="H118" s="134">
        <v>0.0</v>
      </c>
      <c r="I118" s="134">
        <v>19.0</v>
      </c>
      <c r="J118" s="134">
        <v>-0.842</v>
      </c>
      <c r="K118" s="134">
        <v>19.0</v>
      </c>
      <c r="L118" s="134">
        <v>1.68</v>
      </c>
      <c r="M118" s="134">
        <v>19.0</v>
      </c>
      <c r="N118" s="134">
        <v>0.0</v>
      </c>
    </row>
    <row r="119">
      <c r="A119" s="131" t="s">
        <v>599</v>
      </c>
      <c r="B119" s="133" t="s">
        <v>642</v>
      </c>
      <c r="C119" s="134">
        <v>96.0</v>
      </c>
      <c r="D119" s="134">
        <v>3.33</v>
      </c>
      <c r="E119" s="134">
        <v>20.0</v>
      </c>
      <c r="F119" s="134">
        <v>0.0</v>
      </c>
      <c r="G119" s="134">
        <v>19.0</v>
      </c>
      <c r="H119" s="134">
        <v>0.0</v>
      </c>
      <c r="I119" s="134">
        <v>19.0</v>
      </c>
      <c r="J119" s="134">
        <v>1.68</v>
      </c>
      <c r="K119" s="134">
        <v>19.0</v>
      </c>
      <c r="L119" s="134">
        <v>1.68</v>
      </c>
      <c r="M119" s="134">
        <v>19.0</v>
      </c>
      <c r="N119" s="134">
        <v>0.0</v>
      </c>
    </row>
    <row r="120">
      <c r="A120" s="131" t="s">
        <v>534</v>
      </c>
      <c r="B120" s="133" t="s">
        <v>527</v>
      </c>
      <c r="C120" s="134">
        <v>91.0</v>
      </c>
      <c r="D120" s="134">
        <v>7.91</v>
      </c>
      <c r="E120" s="134">
        <v>19.0</v>
      </c>
      <c r="F120" s="134">
        <v>0.842</v>
      </c>
      <c r="G120" s="134">
        <v>19.0</v>
      </c>
      <c r="H120" s="134">
        <v>0.0</v>
      </c>
      <c r="I120" s="134">
        <v>18.0</v>
      </c>
      <c r="J120" s="134">
        <v>0.0</v>
      </c>
      <c r="K120" s="134">
        <v>18.0</v>
      </c>
      <c r="L120" s="134">
        <v>7.11</v>
      </c>
      <c r="M120" s="134">
        <v>17.0</v>
      </c>
      <c r="N120" s="134">
        <v>0.0</v>
      </c>
    </row>
    <row r="121">
      <c r="A121" s="131" t="s">
        <v>595</v>
      </c>
      <c r="B121" s="133" t="s">
        <v>623</v>
      </c>
      <c r="C121" s="134">
        <v>91.0</v>
      </c>
      <c r="D121" s="134">
        <v>2.64</v>
      </c>
      <c r="E121" s="134">
        <v>19.0</v>
      </c>
      <c r="F121" s="134">
        <v>0.842</v>
      </c>
      <c r="G121" s="134">
        <v>19.0</v>
      </c>
      <c r="H121" s="134">
        <v>0.0</v>
      </c>
      <c r="I121" s="134">
        <v>18.0</v>
      </c>
      <c r="J121" s="134">
        <v>0.0</v>
      </c>
      <c r="K121" s="134">
        <v>18.0</v>
      </c>
      <c r="L121" s="134">
        <v>0.889</v>
      </c>
      <c r="M121" s="134">
        <v>17.0</v>
      </c>
      <c r="N121" s="134">
        <v>0.941</v>
      </c>
    </row>
    <row r="122">
      <c r="A122" s="131" t="s">
        <v>583</v>
      </c>
      <c r="B122" s="133" t="s">
        <v>457</v>
      </c>
      <c r="C122" s="134">
        <v>20.0</v>
      </c>
      <c r="D122" s="134">
        <v>4.0</v>
      </c>
      <c r="E122" s="134">
        <v>4.0</v>
      </c>
      <c r="F122" s="134">
        <v>4.0</v>
      </c>
      <c r="G122" s="134">
        <v>4.0</v>
      </c>
      <c r="H122" s="134">
        <v>0.0</v>
      </c>
      <c r="I122" s="134">
        <v>4.0</v>
      </c>
      <c r="J122" s="134">
        <v>0.0</v>
      </c>
      <c r="K122" s="134">
        <v>4.0</v>
      </c>
      <c r="L122" s="134">
        <v>0.0</v>
      </c>
      <c r="M122" s="134">
        <v>4.0</v>
      </c>
      <c r="N122" s="134">
        <v>0.0</v>
      </c>
    </row>
    <row r="123">
      <c r="A123" s="131" t="s">
        <v>469</v>
      </c>
      <c r="B123" s="133" t="s">
        <v>513</v>
      </c>
      <c r="C123" s="134">
        <v>97.0</v>
      </c>
      <c r="D123" s="134">
        <v>3.3</v>
      </c>
      <c r="E123" s="134">
        <v>20.0</v>
      </c>
      <c r="F123" s="134">
        <v>2.4</v>
      </c>
      <c r="G123" s="134">
        <v>20.0</v>
      </c>
      <c r="H123" s="134">
        <v>0.0</v>
      </c>
      <c r="I123" s="134">
        <v>20.0</v>
      </c>
      <c r="J123" s="134">
        <v>0.8</v>
      </c>
      <c r="K123" s="134">
        <v>19.0</v>
      </c>
      <c r="L123" s="134">
        <v>0.0</v>
      </c>
      <c r="M123" s="134">
        <v>18.0</v>
      </c>
      <c r="N123" s="134">
        <v>0.0</v>
      </c>
    </row>
    <row r="124">
      <c r="A124" s="131" t="s">
        <v>603</v>
      </c>
      <c r="B124" s="133" t="s">
        <v>478</v>
      </c>
      <c r="C124" s="134">
        <v>58.0</v>
      </c>
      <c r="D124" s="134">
        <v>4.14</v>
      </c>
      <c r="E124" s="134">
        <v>13.0</v>
      </c>
      <c r="F124" s="134">
        <v>3.69</v>
      </c>
      <c r="G124" s="134">
        <v>13.0</v>
      </c>
      <c r="H124" s="134">
        <v>0.0</v>
      </c>
      <c r="I124" s="134">
        <v>12.0</v>
      </c>
      <c r="J124" s="134">
        <v>0.0</v>
      </c>
      <c r="K124" s="134">
        <v>10.0</v>
      </c>
      <c r="L124" s="134">
        <v>0.0</v>
      </c>
      <c r="M124" s="134">
        <v>10.0</v>
      </c>
      <c r="N124" s="134">
        <v>0.0</v>
      </c>
    </row>
    <row r="125">
      <c r="A125" s="131" t="s">
        <v>624</v>
      </c>
      <c r="B125" s="133" t="s">
        <v>694</v>
      </c>
      <c r="C125" s="134">
        <v>72.0</v>
      </c>
      <c r="D125" s="134">
        <v>0.0</v>
      </c>
      <c r="E125" s="134">
        <v>15.0</v>
      </c>
      <c r="F125" s="134">
        <v>0.0</v>
      </c>
      <c r="G125" s="134">
        <v>14.0</v>
      </c>
      <c r="H125" s="134">
        <v>0.0</v>
      </c>
      <c r="I125" s="134">
        <v>15.0</v>
      </c>
      <c r="J125" s="134">
        <v>0.0</v>
      </c>
      <c r="K125" s="134">
        <v>14.0</v>
      </c>
      <c r="L125" s="134">
        <v>0.0</v>
      </c>
      <c r="M125" s="134">
        <v>14.0</v>
      </c>
      <c r="N125" s="134">
        <v>0.0</v>
      </c>
    </row>
    <row r="126">
      <c r="A126" s="131" t="s">
        <v>496</v>
      </c>
      <c r="B126" s="133" t="s">
        <v>753</v>
      </c>
      <c r="C126" s="134">
        <v>77.0</v>
      </c>
      <c r="D126" s="134">
        <v>-1.04</v>
      </c>
      <c r="E126" s="134">
        <v>16.0</v>
      </c>
      <c r="F126" s="134">
        <v>-1.0</v>
      </c>
      <c r="G126" s="134">
        <v>16.0</v>
      </c>
      <c r="H126" s="134">
        <v>0.0</v>
      </c>
      <c r="I126" s="134">
        <v>15.0</v>
      </c>
      <c r="J126" s="134">
        <v>0.0</v>
      </c>
      <c r="K126" s="134">
        <v>15.0</v>
      </c>
      <c r="L126" s="134">
        <v>0.0</v>
      </c>
      <c r="M126" s="134">
        <v>15.0</v>
      </c>
      <c r="N126" s="134">
        <v>0.0</v>
      </c>
    </row>
    <row r="127">
      <c r="A127" s="131" t="s">
        <v>612</v>
      </c>
      <c r="B127" s="133" t="s">
        <v>696</v>
      </c>
      <c r="C127" s="134">
        <v>70.0</v>
      </c>
      <c r="D127" s="134">
        <v>1.14</v>
      </c>
      <c r="E127" s="134">
        <v>14.0</v>
      </c>
      <c r="F127" s="134">
        <v>0.0</v>
      </c>
      <c r="G127" s="134">
        <v>14.0</v>
      </c>
      <c r="H127" s="134">
        <v>0.0</v>
      </c>
      <c r="I127" s="134">
        <v>14.0</v>
      </c>
      <c r="J127" s="134">
        <v>1.14</v>
      </c>
      <c r="K127" s="134">
        <v>14.0</v>
      </c>
      <c r="L127" s="134">
        <v>0.0</v>
      </c>
      <c r="M127" s="134">
        <v>14.0</v>
      </c>
      <c r="N127" s="134">
        <v>0.0</v>
      </c>
    </row>
    <row r="128">
      <c r="A128" s="131" t="s">
        <v>633</v>
      </c>
      <c r="B128" s="133" t="s">
        <v>566</v>
      </c>
      <c r="C128" s="134">
        <v>47.0</v>
      </c>
      <c r="D128" s="134">
        <v>5.11</v>
      </c>
      <c r="E128" s="134">
        <v>10.0</v>
      </c>
      <c r="F128" s="134">
        <v>1.6</v>
      </c>
      <c r="G128" s="134">
        <v>10.0</v>
      </c>
      <c r="H128" s="134">
        <v>0.0</v>
      </c>
      <c r="I128" s="134">
        <v>9.0</v>
      </c>
      <c r="J128" s="134">
        <v>0.0</v>
      </c>
      <c r="K128" s="134">
        <v>9.0</v>
      </c>
      <c r="L128" s="134">
        <v>0.0</v>
      </c>
      <c r="M128" s="134">
        <v>9.0</v>
      </c>
      <c r="N128" s="134">
        <v>3.56</v>
      </c>
    </row>
    <row r="129">
      <c r="A129" s="131" t="s">
        <v>554</v>
      </c>
      <c r="B129" s="133" t="s">
        <v>698</v>
      </c>
      <c r="C129" s="134">
        <v>72.0</v>
      </c>
      <c r="D129" s="134">
        <v>0.0</v>
      </c>
      <c r="E129" s="134">
        <v>16.0</v>
      </c>
      <c r="F129" s="134">
        <v>0.0</v>
      </c>
      <c r="G129" s="134">
        <v>15.0</v>
      </c>
      <c r="H129" s="134">
        <v>0.0</v>
      </c>
      <c r="I129" s="134">
        <v>14.0</v>
      </c>
      <c r="J129" s="134">
        <v>0.0</v>
      </c>
      <c r="K129" s="134">
        <v>14.0</v>
      </c>
      <c r="L129" s="134">
        <v>0.0</v>
      </c>
      <c r="M129" s="134">
        <v>13.0</v>
      </c>
      <c r="N129" s="134">
        <v>0.0</v>
      </c>
    </row>
    <row r="130">
      <c r="A130" s="131" t="s">
        <v>639</v>
      </c>
      <c r="B130" s="133" t="s">
        <v>700</v>
      </c>
      <c r="C130" s="134">
        <v>59.0</v>
      </c>
      <c r="D130" s="134">
        <v>0.0</v>
      </c>
      <c r="E130" s="134">
        <v>14.0</v>
      </c>
      <c r="F130" s="134">
        <v>0.0</v>
      </c>
      <c r="G130" s="134">
        <v>12.0</v>
      </c>
      <c r="H130" s="134">
        <v>0.0</v>
      </c>
      <c r="I130" s="134">
        <v>11.0</v>
      </c>
      <c r="J130" s="134">
        <v>0.0</v>
      </c>
      <c r="K130" s="134">
        <v>11.0</v>
      </c>
      <c r="L130" s="134">
        <v>0.0</v>
      </c>
      <c r="M130" s="134">
        <v>11.0</v>
      </c>
      <c r="N130" s="134">
        <v>0.0</v>
      </c>
    </row>
    <row r="131">
      <c r="A131" s="131" t="s">
        <v>605</v>
      </c>
      <c r="B131" s="133" t="s">
        <v>592</v>
      </c>
      <c r="C131" s="134">
        <v>72.0</v>
      </c>
      <c r="D131" s="134">
        <v>4.44</v>
      </c>
      <c r="E131" s="134">
        <v>16.0</v>
      </c>
      <c r="F131" s="134">
        <v>1.0</v>
      </c>
      <c r="G131" s="134">
        <v>15.0</v>
      </c>
      <c r="H131" s="134">
        <v>0.0</v>
      </c>
      <c r="I131" s="134">
        <v>14.0</v>
      </c>
      <c r="J131" s="134">
        <v>0.0</v>
      </c>
      <c r="K131" s="134">
        <v>14.0</v>
      </c>
      <c r="L131" s="134">
        <v>2.29</v>
      </c>
      <c r="M131" s="134">
        <v>13.0</v>
      </c>
      <c r="N131" s="134">
        <v>1.23</v>
      </c>
    </row>
    <row r="132">
      <c r="A132" s="131" t="s">
        <v>608</v>
      </c>
      <c r="B132" s="133" t="s">
        <v>596</v>
      </c>
      <c r="C132" s="134">
        <v>76.0</v>
      </c>
      <c r="D132" s="134">
        <v>3.16</v>
      </c>
      <c r="E132" s="134">
        <v>16.0</v>
      </c>
      <c r="F132" s="134">
        <v>1.0</v>
      </c>
      <c r="G132" s="134">
        <v>15.0</v>
      </c>
      <c r="H132" s="134">
        <v>0.0</v>
      </c>
      <c r="I132" s="134">
        <v>15.0</v>
      </c>
      <c r="J132" s="134">
        <v>0.0</v>
      </c>
      <c r="K132" s="134">
        <v>15.0</v>
      </c>
      <c r="L132" s="134">
        <v>2.13</v>
      </c>
      <c r="M132" s="134">
        <v>15.0</v>
      </c>
      <c r="N132" s="134">
        <v>0.0</v>
      </c>
    </row>
    <row r="133">
      <c r="A133" s="131" t="s">
        <v>646</v>
      </c>
      <c r="B133" s="133" t="s">
        <v>604</v>
      </c>
      <c r="C133" s="134">
        <v>76.0</v>
      </c>
      <c r="D133" s="134">
        <v>3.16</v>
      </c>
      <c r="E133" s="134">
        <v>16.0</v>
      </c>
      <c r="F133" s="134">
        <v>1.0</v>
      </c>
      <c r="G133" s="134">
        <v>15.0</v>
      </c>
      <c r="H133" s="134">
        <v>0.0</v>
      </c>
      <c r="I133" s="134">
        <v>15.0</v>
      </c>
      <c r="J133" s="134">
        <v>1.07</v>
      </c>
      <c r="K133" s="134">
        <v>15.0</v>
      </c>
      <c r="L133" s="134">
        <v>0.0</v>
      </c>
      <c r="M133" s="134">
        <v>15.0</v>
      </c>
      <c r="N133" s="134">
        <v>1.07</v>
      </c>
    </row>
    <row r="134">
      <c r="A134" s="131" t="s">
        <v>558</v>
      </c>
      <c r="B134" s="133" t="s">
        <v>445</v>
      </c>
      <c r="C134" s="134">
        <v>56.0</v>
      </c>
      <c r="D134" s="134">
        <v>10.0</v>
      </c>
      <c r="E134" s="134">
        <v>12.0</v>
      </c>
      <c r="F134" s="134">
        <v>5.33</v>
      </c>
      <c r="G134" s="134">
        <v>12.0</v>
      </c>
      <c r="H134" s="134">
        <v>0.0</v>
      </c>
      <c r="I134" s="134">
        <v>12.0</v>
      </c>
      <c r="J134" s="134">
        <v>2.67</v>
      </c>
      <c r="K134" s="134">
        <v>10.0</v>
      </c>
      <c r="L134" s="134">
        <v>0.0</v>
      </c>
      <c r="M134" s="134">
        <v>10.0</v>
      </c>
      <c r="N134" s="134">
        <v>1.6</v>
      </c>
    </row>
    <row r="135">
      <c r="A135" s="131" t="s">
        <v>588</v>
      </c>
      <c r="B135" s="133" t="s">
        <v>413</v>
      </c>
      <c r="C135" s="134">
        <v>77.0</v>
      </c>
      <c r="D135" s="134">
        <v>10.4</v>
      </c>
      <c r="E135" s="134">
        <v>16.0</v>
      </c>
      <c r="F135" s="134">
        <v>10.0</v>
      </c>
      <c r="G135" s="134">
        <v>16.0</v>
      </c>
      <c r="H135" s="134">
        <v>0.0</v>
      </c>
      <c r="I135" s="134">
        <v>15.0</v>
      </c>
      <c r="J135" s="134">
        <v>-1.07</v>
      </c>
      <c r="K135" s="134">
        <v>15.0</v>
      </c>
      <c r="L135" s="134">
        <v>1.07</v>
      </c>
      <c r="M135" s="134">
        <v>15.0</v>
      </c>
      <c r="N135" s="134">
        <v>0.0</v>
      </c>
    </row>
    <row r="136">
      <c r="A136" s="131" t="s">
        <v>626</v>
      </c>
      <c r="B136" s="133" t="s">
        <v>691</v>
      </c>
      <c r="C136" s="134">
        <v>49.0</v>
      </c>
      <c r="D136" s="134">
        <v>1.63</v>
      </c>
      <c r="E136" s="134">
        <v>10.0</v>
      </c>
      <c r="F136" s="134">
        <v>0.0</v>
      </c>
      <c r="G136" s="134">
        <v>10.0</v>
      </c>
      <c r="H136" s="134">
        <v>0.0</v>
      </c>
      <c r="I136" s="134">
        <v>9.0</v>
      </c>
      <c r="J136" s="134">
        <v>1.78</v>
      </c>
      <c r="K136" s="134">
        <v>10.0</v>
      </c>
      <c r="L136" s="134">
        <v>0.0</v>
      </c>
      <c r="M136" s="134">
        <v>10.0</v>
      </c>
      <c r="N136" s="134">
        <v>0.0</v>
      </c>
    </row>
    <row r="137">
      <c r="A137" s="131" t="s">
        <v>474</v>
      </c>
      <c r="B137" s="133" t="s">
        <v>546</v>
      </c>
      <c r="C137" s="134">
        <v>99.0</v>
      </c>
      <c r="D137" s="134">
        <v>7.27</v>
      </c>
      <c r="E137" s="134">
        <v>20.0</v>
      </c>
      <c r="F137" s="134">
        <v>0.0</v>
      </c>
      <c r="G137" s="134">
        <v>20.0</v>
      </c>
      <c r="H137" s="134">
        <v>0.0</v>
      </c>
      <c r="I137" s="134">
        <v>20.0</v>
      </c>
      <c r="J137" s="134">
        <v>0.0</v>
      </c>
      <c r="K137" s="134">
        <v>20.0</v>
      </c>
      <c r="L137" s="134">
        <v>7.2</v>
      </c>
      <c r="M137" s="134">
        <v>19.0</v>
      </c>
      <c r="N137" s="134">
        <v>0.0</v>
      </c>
    </row>
    <row r="138">
      <c r="A138" s="131" t="s">
        <v>538</v>
      </c>
      <c r="B138" s="133" t="s">
        <v>527</v>
      </c>
      <c r="C138" s="134">
        <v>99.0</v>
      </c>
      <c r="D138" s="134">
        <v>2.42</v>
      </c>
      <c r="E138" s="134">
        <v>20.0</v>
      </c>
      <c r="F138" s="134">
        <v>0.8</v>
      </c>
      <c r="G138" s="134">
        <v>20.0</v>
      </c>
      <c r="H138" s="134">
        <v>0.0</v>
      </c>
      <c r="I138" s="134">
        <v>20.0</v>
      </c>
      <c r="J138" s="134">
        <v>-0.8</v>
      </c>
      <c r="K138" s="134">
        <v>20.0</v>
      </c>
      <c r="L138" s="134">
        <v>0.0</v>
      </c>
      <c r="M138" s="134">
        <v>19.0</v>
      </c>
      <c r="N138" s="134">
        <v>2.53</v>
      </c>
    </row>
    <row r="139">
      <c r="A139" s="131" t="s">
        <v>654</v>
      </c>
      <c r="B139" s="133" t="s">
        <v>443</v>
      </c>
      <c r="C139" s="134">
        <v>99.0</v>
      </c>
      <c r="D139" s="134">
        <v>6.46</v>
      </c>
      <c r="E139" s="134">
        <v>20.0</v>
      </c>
      <c r="F139" s="134">
        <v>5.6</v>
      </c>
      <c r="G139" s="134">
        <v>20.0</v>
      </c>
      <c r="H139" s="134">
        <v>0.0</v>
      </c>
      <c r="I139" s="134">
        <v>20.0</v>
      </c>
      <c r="J139" s="134">
        <v>1.6</v>
      </c>
      <c r="K139" s="134">
        <v>20.0</v>
      </c>
      <c r="L139" s="134">
        <v>-0.8</v>
      </c>
      <c r="M139" s="134">
        <v>19.0</v>
      </c>
      <c r="N139" s="134">
        <v>0.0</v>
      </c>
    </row>
    <row r="140">
      <c r="A140" s="131" t="s">
        <v>643</v>
      </c>
      <c r="B140" s="133" t="s">
        <v>572</v>
      </c>
      <c r="C140" s="134">
        <v>39.0</v>
      </c>
      <c r="D140" s="134">
        <v>6.15</v>
      </c>
      <c r="E140" s="134">
        <v>8.0</v>
      </c>
      <c r="F140" s="134">
        <v>0.0</v>
      </c>
      <c r="G140" s="134">
        <v>8.0</v>
      </c>
      <c r="H140" s="134">
        <v>0.0</v>
      </c>
      <c r="I140" s="134">
        <v>8.0</v>
      </c>
      <c r="J140" s="134">
        <v>2.0</v>
      </c>
      <c r="K140" s="134">
        <v>8.0</v>
      </c>
      <c r="L140" s="134">
        <v>2.0</v>
      </c>
      <c r="M140" s="134">
        <v>7.0</v>
      </c>
      <c r="N140" s="134">
        <v>2.29</v>
      </c>
    </row>
    <row r="141">
      <c r="A141" s="131" t="s">
        <v>660</v>
      </c>
      <c r="B141" s="133" t="s">
        <v>517</v>
      </c>
      <c r="C141" s="134">
        <v>77.0</v>
      </c>
      <c r="D141" s="134">
        <v>8.31</v>
      </c>
      <c r="E141" s="134">
        <v>15.0</v>
      </c>
      <c r="F141" s="134">
        <v>0.0</v>
      </c>
      <c r="G141" s="134">
        <v>15.0</v>
      </c>
      <c r="H141" s="134">
        <v>0.0</v>
      </c>
      <c r="I141" s="134">
        <v>16.0</v>
      </c>
      <c r="J141" s="134">
        <v>1.0</v>
      </c>
      <c r="K141" s="134">
        <v>16.0</v>
      </c>
      <c r="L141" s="134">
        <v>0.0</v>
      </c>
      <c r="M141" s="134">
        <v>15.0</v>
      </c>
      <c r="N141" s="134">
        <v>7.47</v>
      </c>
    </row>
    <row r="142">
      <c r="A142" s="131" t="s">
        <v>645</v>
      </c>
      <c r="B142" s="133" t="s">
        <v>600</v>
      </c>
      <c r="C142" s="134">
        <v>82.0</v>
      </c>
      <c r="D142" s="134">
        <v>4.88</v>
      </c>
      <c r="E142" s="134">
        <v>17.0</v>
      </c>
      <c r="F142" s="134">
        <v>0.0</v>
      </c>
      <c r="G142" s="134">
        <v>17.0</v>
      </c>
      <c r="H142" s="134">
        <v>0.0</v>
      </c>
      <c r="I142" s="134">
        <v>16.0</v>
      </c>
      <c r="J142" s="134">
        <v>0.0</v>
      </c>
      <c r="K142" s="134">
        <v>16.0</v>
      </c>
      <c r="L142" s="134">
        <v>5.0</v>
      </c>
      <c r="M142" s="134">
        <v>16.0</v>
      </c>
      <c r="N142" s="134">
        <v>0.0</v>
      </c>
    </row>
    <row r="143">
      <c r="A143" s="131" t="s">
        <v>547</v>
      </c>
      <c r="B143" s="133" t="s">
        <v>635</v>
      </c>
      <c r="C143" s="134">
        <v>100.0</v>
      </c>
      <c r="D143" s="134">
        <v>2.4</v>
      </c>
      <c r="E143" s="134">
        <v>20.0</v>
      </c>
      <c r="F143" s="134">
        <v>0.8</v>
      </c>
      <c r="G143" s="134">
        <v>20.0</v>
      </c>
      <c r="H143" s="134">
        <v>0.0</v>
      </c>
      <c r="I143" s="134">
        <v>20.0</v>
      </c>
      <c r="J143" s="134">
        <v>0.0</v>
      </c>
      <c r="K143" s="134">
        <v>20.0</v>
      </c>
      <c r="L143" s="134">
        <v>1.6</v>
      </c>
      <c r="M143" s="134">
        <v>20.0</v>
      </c>
      <c r="N143" s="134">
        <v>0.0</v>
      </c>
    </row>
    <row r="144">
      <c r="A144" s="131" t="s">
        <v>666</v>
      </c>
      <c r="B144" s="133" t="s">
        <v>529</v>
      </c>
      <c r="C144" s="134">
        <v>100.0</v>
      </c>
      <c r="D144" s="134">
        <v>6.4</v>
      </c>
      <c r="E144" s="134">
        <v>20.0</v>
      </c>
      <c r="F144" s="134">
        <v>2.4</v>
      </c>
      <c r="G144" s="134">
        <v>20.0</v>
      </c>
      <c r="H144" s="134">
        <v>0.0</v>
      </c>
      <c r="I144" s="134">
        <v>20.0</v>
      </c>
      <c r="J144" s="134">
        <v>2.4</v>
      </c>
      <c r="K144" s="134">
        <v>20.0</v>
      </c>
      <c r="L144" s="134">
        <v>0.0</v>
      </c>
      <c r="M144" s="134">
        <v>20.0</v>
      </c>
      <c r="N144" s="134">
        <v>1.6</v>
      </c>
    </row>
    <row r="145">
      <c r="A145" s="131" t="s">
        <v>667</v>
      </c>
      <c r="B145" s="133" t="s">
        <v>693</v>
      </c>
      <c r="C145" s="134">
        <v>100.0</v>
      </c>
      <c r="D145" s="134">
        <v>1.6</v>
      </c>
      <c r="E145" s="134">
        <v>20.0</v>
      </c>
      <c r="F145" s="134">
        <v>0.0</v>
      </c>
      <c r="G145" s="134">
        <v>20.0</v>
      </c>
      <c r="H145" s="134">
        <v>0.0</v>
      </c>
      <c r="I145" s="134">
        <v>20.0</v>
      </c>
      <c r="J145" s="134">
        <v>0.0</v>
      </c>
      <c r="K145" s="134">
        <v>20.0</v>
      </c>
      <c r="L145" s="134">
        <v>0.0</v>
      </c>
      <c r="M145" s="134">
        <v>20.0</v>
      </c>
      <c r="N145" s="134">
        <v>1.6</v>
      </c>
    </row>
    <row r="146">
      <c r="A146" s="131" t="s">
        <v>542</v>
      </c>
      <c r="B146" s="133" t="s">
        <v>719</v>
      </c>
      <c r="C146" s="134">
        <v>0.0</v>
      </c>
      <c r="D146" s="134">
        <v>0.0</v>
      </c>
      <c r="E146" s="134">
        <v>0.0</v>
      </c>
      <c r="F146" s="134">
        <v>0.0</v>
      </c>
      <c r="G146" s="134">
        <v>0.0</v>
      </c>
      <c r="H146" s="134">
        <v>0.0</v>
      </c>
      <c r="I146" s="134">
        <v>0.0</v>
      </c>
      <c r="J146" s="134">
        <v>0.0</v>
      </c>
      <c r="K146" s="134">
        <v>0.0</v>
      </c>
      <c r="L146" s="134">
        <v>0.0</v>
      </c>
      <c r="M146" s="134">
        <v>0.0</v>
      </c>
      <c r="N146" s="134">
        <v>0.0</v>
      </c>
    </row>
    <row r="147">
      <c r="A147" s="131" t="s">
        <v>670</v>
      </c>
      <c r="B147" s="133" t="s">
        <v>637</v>
      </c>
      <c r="C147" s="134">
        <v>100.0</v>
      </c>
      <c r="D147" s="134">
        <v>1.6</v>
      </c>
      <c r="E147" s="134">
        <v>20.0</v>
      </c>
      <c r="F147" s="134">
        <v>0.8</v>
      </c>
      <c r="G147" s="134">
        <v>20.0</v>
      </c>
      <c r="H147" s="134">
        <v>0.0</v>
      </c>
      <c r="I147" s="134">
        <v>20.0</v>
      </c>
      <c r="J147" s="134">
        <v>0.0</v>
      </c>
      <c r="K147" s="134">
        <v>20.0</v>
      </c>
      <c r="L147" s="134">
        <v>0.8</v>
      </c>
      <c r="M147" s="134">
        <v>20.0</v>
      </c>
      <c r="N147" s="134">
        <v>0.0</v>
      </c>
    </row>
    <row r="148">
      <c r="A148" s="131" t="s">
        <v>620</v>
      </c>
      <c r="B148" s="133" t="s">
        <v>718</v>
      </c>
      <c r="C148" s="134">
        <v>100.0</v>
      </c>
      <c r="D148" s="134">
        <v>0.8</v>
      </c>
      <c r="E148" s="134">
        <v>20.0</v>
      </c>
      <c r="F148" s="134">
        <v>0.0</v>
      </c>
      <c r="G148" s="134">
        <v>20.0</v>
      </c>
      <c r="H148" s="134">
        <v>0.0</v>
      </c>
      <c r="I148" s="134">
        <v>20.0</v>
      </c>
      <c r="J148" s="134">
        <v>0.0</v>
      </c>
      <c r="K148" s="134">
        <v>20.0</v>
      </c>
      <c r="L148" s="134">
        <v>0.8</v>
      </c>
      <c r="M148" s="134">
        <v>20.0</v>
      </c>
      <c r="N148" s="134">
        <v>0.0</v>
      </c>
    </row>
    <row r="149">
      <c r="A149" s="131" t="s">
        <v>677</v>
      </c>
      <c r="B149" s="133" t="s">
        <v>559</v>
      </c>
      <c r="C149" s="134">
        <v>88.0</v>
      </c>
      <c r="D149" s="134">
        <v>3.64</v>
      </c>
      <c r="E149" s="134">
        <v>17.0</v>
      </c>
      <c r="F149" s="134">
        <v>1.88</v>
      </c>
      <c r="G149" s="134">
        <v>17.0</v>
      </c>
      <c r="H149" s="134">
        <v>0.0</v>
      </c>
      <c r="I149" s="134">
        <v>18.0</v>
      </c>
      <c r="J149" s="134">
        <v>1.78</v>
      </c>
      <c r="K149" s="134">
        <v>18.0</v>
      </c>
      <c r="L149" s="134">
        <v>0.0</v>
      </c>
      <c r="M149" s="134">
        <v>18.0</v>
      </c>
      <c r="N149" s="134">
        <v>0.0</v>
      </c>
    </row>
    <row r="150">
      <c r="A150" s="131" t="s">
        <v>681</v>
      </c>
      <c r="B150" s="133" t="s">
        <v>723</v>
      </c>
      <c r="C150" s="134">
        <v>51.0</v>
      </c>
      <c r="D150" s="134">
        <v>0.0</v>
      </c>
      <c r="E150" s="134">
        <v>11.0</v>
      </c>
      <c r="F150" s="134">
        <v>0.0</v>
      </c>
      <c r="G150" s="134">
        <v>10.0</v>
      </c>
      <c r="H150" s="134">
        <v>0.0</v>
      </c>
      <c r="I150" s="134">
        <v>10.0</v>
      </c>
      <c r="J150" s="134">
        <v>0.0</v>
      </c>
      <c r="K150" s="134">
        <v>10.0</v>
      </c>
      <c r="L150" s="134">
        <v>0.0</v>
      </c>
      <c r="M150" s="134">
        <v>10.0</v>
      </c>
      <c r="N150" s="134">
        <v>0.0</v>
      </c>
    </row>
    <row r="151">
      <c r="A151" s="131" t="s">
        <v>586</v>
      </c>
      <c r="B151" s="133" t="s">
        <v>725</v>
      </c>
      <c r="C151" s="134">
        <v>20.0</v>
      </c>
      <c r="D151" s="134">
        <v>0.0</v>
      </c>
      <c r="E151" s="134">
        <v>4.0</v>
      </c>
      <c r="F151" s="134">
        <v>0.0</v>
      </c>
      <c r="G151" s="134">
        <v>4.0</v>
      </c>
      <c r="H151" s="134">
        <v>0.0</v>
      </c>
      <c r="I151" s="134">
        <v>4.0</v>
      </c>
      <c r="J151" s="134">
        <v>0.0</v>
      </c>
      <c r="K151" s="134">
        <v>4.0</v>
      </c>
      <c r="L151" s="134">
        <v>0.0</v>
      </c>
      <c r="M151" s="134">
        <v>4.0</v>
      </c>
      <c r="N151" s="134">
        <v>0.0</v>
      </c>
    </row>
    <row r="152">
      <c r="A152" s="131" t="s">
        <v>685</v>
      </c>
      <c r="B152" s="133" t="s">
        <v>732</v>
      </c>
      <c r="C152" s="134">
        <v>72.0</v>
      </c>
      <c r="D152" s="134">
        <v>0.0</v>
      </c>
      <c r="E152" s="134">
        <v>15.0</v>
      </c>
      <c r="F152" s="134">
        <v>0.0</v>
      </c>
      <c r="G152" s="134">
        <v>15.0</v>
      </c>
      <c r="H152" s="134">
        <v>0.0</v>
      </c>
      <c r="I152" s="134">
        <v>14.0</v>
      </c>
      <c r="J152" s="134">
        <v>0.0</v>
      </c>
      <c r="K152" s="134">
        <v>14.0</v>
      </c>
      <c r="L152" s="134">
        <v>0.0</v>
      </c>
      <c r="M152" s="134">
        <v>14.0</v>
      </c>
      <c r="N152" s="134">
        <v>0.0</v>
      </c>
    </row>
    <row r="153">
      <c r="A153" s="131" t="s">
        <v>687</v>
      </c>
      <c r="B153" s="133" t="s">
        <v>683</v>
      </c>
      <c r="C153" s="134">
        <v>91.0</v>
      </c>
      <c r="D153" s="134">
        <v>1.76</v>
      </c>
      <c r="E153" s="134">
        <v>19.0</v>
      </c>
      <c r="F153" s="134">
        <v>0.0</v>
      </c>
      <c r="G153" s="134">
        <v>18.0</v>
      </c>
      <c r="H153" s="134">
        <v>0.0</v>
      </c>
      <c r="I153" s="134">
        <v>18.0</v>
      </c>
      <c r="J153" s="134">
        <v>0.0</v>
      </c>
      <c r="K153" s="134">
        <v>18.0</v>
      </c>
      <c r="L153" s="134">
        <v>1.78</v>
      </c>
      <c r="M153" s="134">
        <v>18.0</v>
      </c>
      <c r="N153" s="134">
        <v>0.0</v>
      </c>
    </row>
    <row r="154">
      <c r="A154" s="131" t="s">
        <v>688</v>
      </c>
      <c r="B154" s="133" t="s">
        <v>409</v>
      </c>
      <c r="C154" s="134">
        <v>100.0</v>
      </c>
      <c r="D154" s="134">
        <v>16.0</v>
      </c>
      <c r="E154" s="134">
        <v>20.0</v>
      </c>
      <c r="F154" s="134">
        <v>8.0</v>
      </c>
      <c r="G154" s="134">
        <v>20.0</v>
      </c>
      <c r="H154" s="134">
        <v>0.0</v>
      </c>
      <c r="I154" s="134">
        <v>20.0</v>
      </c>
      <c r="J154" s="134">
        <v>4.0</v>
      </c>
      <c r="K154" s="134">
        <v>20.0</v>
      </c>
      <c r="L154" s="134">
        <v>1.6</v>
      </c>
      <c r="M154" s="134">
        <v>20.0</v>
      </c>
      <c r="N154" s="134">
        <v>2.4</v>
      </c>
    </row>
    <row r="155">
      <c r="A155" s="131" t="s">
        <v>647</v>
      </c>
      <c r="B155" s="133" t="s">
        <v>714</v>
      </c>
      <c r="C155" s="134">
        <v>99.0</v>
      </c>
      <c r="D155" s="134">
        <v>0.808</v>
      </c>
      <c r="E155" s="134">
        <v>20.0</v>
      </c>
      <c r="F155" s="134">
        <v>0.0</v>
      </c>
      <c r="G155" s="134">
        <v>20.0</v>
      </c>
      <c r="H155" s="134">
        <v>0.0</v>
      </c>
      <c r="I155" s="134">
        <v>20.0</v>
      </c>
      <c r="J155" s="134">
        <v>0.0</v>
      </c>
      <c r="K155" s="134">
        <v>20.0</v>
      </c>
      <c r="L155" s="134">
        <v>0.0</v>
      </c>
      <c r="M155" s="134">
        <v>19.0</v>
      </c>
      <c r="N155" s="134">
        <v>0.842</v>
      </c>
    </row>
    <row r="156">
      <c r="A156" s="131" t="s">
        <v>591</v>
      </c>
      <c r="B156" s="133" t="s">
        <v>664</v>
      </c>
      <c r="C156" s="134">
        <v>99.0</v>
      </c>
      <c r="D156" s="134">
        <v>2.42</v>
      </c>
      <c r="E156" s="134">
        <v>20.0</v>
      </c>
      <c r="F156" s="134">
        <v>0.0</v>
      </c>
      <c r="G156" s="134">
        <v>20.0</v>
      </c>
      <c r="H156" s="134">
        <v>0.0</v>
      </c>
      <c r="I156" s="134">
        <v>20.0</v>
      </c>
      <c r="J156" s="134">
        <v>2.4</v>
      </c>
      <c r="K156" s="134">
        <v>20.0</v>
      </c>
      <c r="L156" s="134">
        <v>0.0</v>
      </c>
      <c r="M156" s="134">
        <v>19.0</v>
      </c>
      <c r="N156" s="134">
        <v>0.0</v>
      </c>
    </row>
    <row r="157">
      <c r="A157" s="131" t="s">
        <v>692</v>
      </c>
      <c r="B157" s="133" t="s">
        <v>481</v>
      </c>
      <c r="C157" s="134">
        <v>67.0</v>
      </c>
      <c r="D157" s="134">
        <v>5.97</v>
      </c>
      <c r="E157" s="134">
        <v>13.0</v>
      </c>
      <c r="F157" s="134">
        <v>3.69</v>
      </c>
      <c r="G157" s="134">
        <v>13.0</v>
      </c>
      <c r="H157" s="134">
        <v>0.0</v>
      </c>
      <c r="I157" s="134">
        <v>14.0</v>
      </c>
      <c r="J157" s="134">
        <v>2.29</v>
      </c>
      <c r="K157" s="134">
        <v>14.0</v>
      </c>
      <c r="L157" s="134">
        <v>0.0</v>
      </c>
      <c r="M157" s="134">
        <v>13.0</v>
      </c>
      <c r="N157" s="134">
        <v>0.0</v>
      </c>
    </row>
    <row r="158">
      <c r="A158" s="131" t="s">
        <v>610</v>
      </c>
      <c r="B158" s="133" t="s">
        <v>548</v>
      </c>
      <c r="C158" s="134">
        <v>32.0</v>
      </c>
      <c r="D158" s="134">
        <v>2.5</v>
      </c>
      <c r="E158" s="134">
        <v>7.0</v>
      </c>
      <c r="F158" s="134">
        <v>2.29</v>
      </c>
      <c r="G158" s="134">
        <v>7.0</v>
      </c>
      <c r="H158" s="134">
        <v>0.0</v>
      </c>
      <c r="I158" s="134">
        <v>6.0</v>
      </c>
      <c r="J158" s="134">
        <v>0.0</v>
      </c>
      <c r="K158" s="134">
        <v>6.0</v>
      </c>
      <c r="L158" s="134">
        <v>0.0</v>
      </c>
      <c r="M158" s="134">
        <v>6.0</v>
      </c>
      <c r="N158" s="134">
        <v>0.0</v>
      </c>
    </row>
    <row r="159">
      <c r="A159" s="131" t="s">
        <v>704</v>
      </c>
      <c r="B159" s="133" t="s">
        <v>619</v>
      </c>
      <c r="C159" s="134">
        <v>98.0</v>
      </c>
      <c r="D159" s="134">
        <v>4.08</v>
      </c>
      <c r="E159" s="134">
        <v>20.0</v>
      </c>
      <c r="F159" s="134">
        <v>0.8</v>
      </c>
      <c r="G159" s="134">
        <v>20.0</v>
      </c>
      <c r="H159" s="134">
        <v>0.0</v>
      </c>
      <c r="I159" s="134">
        <v>20.0</v>
      </c>
      <c r="J159" s="134">
        <v>0.0</v>
      </c>
      <c r="K159" s="134">
        <v>20.0</v>
      </c>
      <c r="L159" s="134">
        <v>0.0</v>
      </c>
      <c r="M159" s="134">
        <v>18.0</v>
      </c>
      <c r="N159" s="134">
        <v>3.56</v>
      </c>
    </row>
    <row r="160">
      <c r="A160" s="131" t="s">
        <v>649</v>
      </c>
      <c r="B160" s="133" t="s">
        <v>641</v>
      </c>
      <c r="C160" s="134">
        <v>98.0</v>
      </c>
      <c r="D160" s="134">
        <v>0.816</v>
      </c>
      <c r="E160" s="134">
        <v>20.0</v>
      </c>
      <c r="F160" s="134">
        <v>0.8</v>
      </c>
      <c r="G160" s="134">
        <v>20.0</v>
      </c>
      <c r="H160" s="134">
        <v>0.0</v>
      </c>
      <c r="I160" s="134">
        <v>20.0</v>
      </c>
      <c r="J160" s="134">
        <v>0.0</v>
      </c>
      <c r="K160" s="134">
        <v>19.0</v>
      </c>
      <c r="L160" s="134">
        <v>0.0</v>
      </c>
      <c r="M160" s="134">
        <v>19.0</v>
      </c>
      <c r="N160" s="134">
        <v>0.0</v>
      </c>
    </row>
    <row r="161">
      <c r="A161" s="131" t="s">
        <v>707</v>
      </c>
      <c r="B161" s="133" t="s">
        <v>535</v>
      </c>
      <c r="C161" s="134">
        <v>99.0</v>
      </c>
      <c r="D161" s="134">
        <v>0.808</v>
      </c>
      <c r="E161" s="134">
        <v>20.0</v>
      </c>
      <c r="F161" s="134">
        <v>2.4</v>
      </c>
      <c r="G161" s="134">
        <v>20.0</v>
      </c>
      <c r="H161" s="134">
        <v>0.0</v>
      </c>
      <c r="I161" s="134">
        <v>20.0</v>
      </c>
      <c r="J161" s="134">
        <v>-1.6</v>
      </c>
      <c r="K161" s="134">
        <v>20.0</v>
      </c>
      <c r="L161" s="134">
        <v>0.0</v>
      </c>
      <c r="M161" s="134">
        <v>19.0</v>
      </c>
      <c r="N161" s="134">
        <v>0.0</v>
      </c>
    </row>
    <row r="162">
      <c r="A162" s="131" t="s">
        <v>651</v>
      </c>
      <c r="B162" s="133" t="s">
        <v>551</v>
      </c>
      <c r="C162" s="134">
        <v>38.0</v>
      </c>
      <c r="D162" s="134">
        <v>2.11</v>
      </c>
      <c r="E162" s="134">
        <v>7.0</v>
      </c>
      <c r="F162" s="134">
        <v>2.29</v>
      </c>
      <c r="G162" s="134">
        <v>7.0</v>
      </c>
      <c r="H162" s="134">
        <v>0.0</v>
      </c>
      <c r="I162" s="134">
        <v>8.0</v>
      </c>
      <c r="J162" s="134">
        <v>0.0</v>
      </c>
      <c r="K162" s="134">
        <v>8.0</v>
      </c>
      <c r="L162" s="134">
        <v>0.0</v>
      </c>
      <c r="M162" s="134">
        <v>8.0</v>
      </c>
      <c r="N162" s="134">
        <v>0.0</v>
      </c>
    </row>
    <row r="163">
      <c r="A163" s="131" t="s">
        <v>709</v>
      </c>
      <c r="B163" s="133" t="s">
        <v>636</v>
      </c>
      <c r="C163" s="134">
        <v>61.0</v>
      </c>
      <c r="D163" s="134">
        <v>3.93</v>
      </c>
      <c r="E163" s="134">
        <v>13.0</v>
      </c>
      <c r="F163" s="134">
        <v>0.0</v>
      </c>
      <c r="G163" s="134">
        <v>13.0</v>
      </c>
      <c r="H163" s="134">
        <v>0.0</v>
      </c>
      <c r="I163" s="134">
        <v>12.0</v>
      </c>
      <c r="J163" s="134">
        <v>4.0</v>
      </c>
      <c r="K163" s="134">
        <v>12.0</v>
      </c>
      <c r="L163" s="134">
        <v>0.0</v>
      </c>
      <c r="M163" s="134">
        <v>11.0</v>
      </c>
      <c r="N163" s="134">
        <v>0.0</v>
      </c>
    </row>
    <row r="164">
      <c r="A164" s="131" t="s">
        <v>710</v>
      </c>
      <c r="B164" s="133" t="s">
        <v>587</v>
      </c>
      <c r="C164" s="134">
        <v>67.0</v>
      </c>
      <c r="D164" s="134">
        <v>1.19</v>
      </c>
      <c r="E164" s="134">
        <v>13.0</v>
      </c>
      <c r="F164" s="134">
        <v>1.23</v>
      </c>
      <c r="G164" s="134">
        <v>14.0</v>
      </c>
      <c r="H164" s="134">
        <v>0.0</v>
      </c>
      <c r="I164" s="134">
        <v>14.0</v>
      </c>
      <c r="J164" s="134">
        <v>0.0</v>
      </c>
      <c r="K164" s="134">
        <v>13.0</v>
      </c>
      <c r="L164" s="134">
        <v>0.0</v>
      </c>
      <c r="M164" s="134">
        <v>13.0</v>
      </c>
      <c r="N164" s="134">
        <v>0.0</v>
      </c>
    </row>
    <row r="165">
      <c r="A165" s="131" t="s">
        <v>531</v>
      </c>
      <c r="B165" s="133" t="s">
        <v>618</v>
      </c>
      <c r="C165" s="134">
        <v>89.0</v>
      </c>
      <c r="D165" s="134">
        <v>1.8</v>
      </c>
      <c r="E165" s="134">
        <v>18.0</v>
      </c>
      <c r="F165" s="134">
        <v>0.889</v>
      </c>
      <c r="G165" s="134">
        <v>18.0</v>
      </c>
      <c r="H165" s="134">
        <v>0.0</v>
      </c>
      <c r="I165" s="134">
        <v>18.0</v>
      </c>
      <c r="J165" s="134">
        <v>0.0</v>
      </c>
      <c r="K165" s="134">
        <v>17.0</v>
      </c>
      <c r="L165" s="134">
        <v>0.941</v>
      </c>
      <c r="M165" s="134">
        <v>18.0</v>
      </c>
      <c r="N165" s="134">
        <v>0.0</v>
      </c>
    </row>
    <row r="166">
      <c r="A166" s="131" t="s">
        <v>652</v>
      </c>
      <c r="B166" s="133" t="s">
        <v>389</v>
      </c>
      <c r="C166" s="134">
        <v>98.0</v>
      </c>
      <c r="D166" s="134">
        <v>22.0</v>
      </c>
      <c r="E166" s="134">
        <v>20.0</v>
      </c>
      <c r="F166" s="134">
        <v>2.4</v>
      </c>
      <c r="G166" s="134">
        <v>20.0</v>
      </c>
      <c r="H166" s="134">
        <v>0.0</v>
      </c>
      <c r="I166" s="134">
        <v>20.0</v>
      </c>
      <c r="J166" s="134">
        <v>6.4</v>
      </c>
      <c r="K166" s="134">
        <v>19.0</v>
      </c>
      <c r="L166" s="134">
        <v>5.05</v>
      </c>
      <c r="M166" s="134">
        <v>19.0</v>
      </c>
      <c r="N166" s="134">
        <v>8.42</v>
      </c>
    </row>
    <row r="167">
      <c r="A167" s="131" t="s">
        <v>712</v>
      </c>
      <c r="B167" s="133" t="s">
        <v>737</v>
      </c>
      <c r="C167" s="134">
        <v>40.0</v>
      </c>
      <c r="D167" s="134">
        <v>0.0</v>
      </c>
      <c r="E167" s="134">
        <v>9.0</v>
      </c>
      <c r="F167" s="134">
        <v>0.0</v>
      </c>
      <c r="G167" s="134">
        <v>8.0</v>
      </c>
      <c r="H167" s="134">
        <v>0.0</v>
      </c>
      <c r="I167" s="134">
        <v>8.0</v>
      </c>
      <c r="J167" s="134">
        <v>0.0</v>
      </c>
      <c r="K167" s="134">
        <v>8.0</v>
      </c>
      <c r="L167" s="134">
        <v>0.0</v>
      </c>
      <c r="M167" s="134">
        <v>7.0</v>
      </c>
      <c r="N167" s="134">
        <v>0.0</v>
      </c>
    </row>
    <row r="168">
      <c r="A168" s="131" t="s">
        <v>715</v>
      </c>
      <c r="B168" s="133" t="s">
        <v>739</v>
      </c>
      <c r="C168" s="134">
        <v>38.0</v>
      </c>
      <c r="D168" s="134">
        <v>0.0</v>
      </c>
      <c r="E168" s="134">
        <v>8.0</v>
      </c>
      <c r="F168" s="134">
        <v>0.0</v>
      </c>
      <c r="G168" s="134">
        <v>8.0</v>
      </c>
      <c r="H168" s="134">
        <v>0.0</v>
      </c>
      <c r="I168" s="134">
        <v>8.0</v>
      </c>
      <c r="J168" s="134">
        <v>0.0</v>
      </c>
      <c r="K168" s="134">
        <v>8.0</v>
      </c>
      <c r="L168" s="134">
        <v>0.0</v>
      </c>
      <c r="M168" s="134">
        <v>6.0</v>
      </c>
      <c r="N168" s="134">
        <v>0.0</v>
      </c>
    </row>
    <row r="169">
      <c r="A169" s="131" t="s">
        <v>716</v>
      </c>
      <c r="B169" s="133" t="s">
        <v>644</v>
      </c>
      <c r="C169" s="134">
        <v>99.0</v>
      </c>
      <c r="D169" s="134">
        <v>0.808</v>
      </c>
      <c r="E169" s="134">
        <v>20.0</v>
      </c>
      <c r="F169" s="134">
        <v>0.8</v>
      </c>
      <c r="G169" s="134">
        <v>20.0</v>
      </c>
      <c r="H169" s="134">
        <v>0.0</v>
      </c>
      <c r="I169" s="134">
        <v>20.0</v>
      </c>
      <c r="J169" s="134">
        <v>-0.8</v>
      </c>
      <c r="K169" s="134">
        <v>20.0</v>
      </c>
      <c r="L169" s="134">
        <v>0.0</v>
      </c>
      <c r="M169" s="134">
        <v>19.0</v>
      </c>
      <c r="N169" s="134">
        <v>0.842</v>
      </c>
    </row>
    <row r="170">
      <c r="A170" s="131" t="s">
        <v>717</v>
      </c>
      <c r="B170" s="133" t="s">
        <v>575</v>
      </c>
      <c r="C170" s="134">
        <v>81.0</v>
      </c>
      <c r="D170" s="134">
        <v>5.93</v>
      </c>
      <c r="E170" s="134">
        <v>16.0</v>
      </c>
      <c r="F170" s="134">
        <v>0.0</v>
      </c>
      <c r="G170" s="134">
        <v>16.0</v>
      </c>
      <c r="H170" s="134">
        <v>0.0</v>
      </c>
      <c r="I170" s="134">
        <v>16.0</v>
      </c>
      <c r="J170" s="134">
        <v>3.0</v>
      </c>
      <c r="K170" s="134">
        <v>16.0</v>
      </c>
      <c r="L170" s="134">
        <v>3.0</v>
      </c>
      <c r="M170" s="134">
        <v>17.0</v>
      </c>
      <c r="N170" s="134">
        <v>0.0</v>
      </c>
    </row>
    <row r="171">
      <c r="A171" s="131" t="s">
        <v>720</v>
      </c>
      <c r="B171" s="133" t="s">
        <v>574</v>
      </c>
      <c r="C171" s="134">
        <v>95.0</v>
      </c>
      <c r="D171" s="134">
        <v>4.21</v>
      </c>
      <c r="E171" s="134">
        <v>20.0</v>
      </c>
      <c r="F171" s="134">
        <v>1.6</v>
      </c>
      <c r="G171" s="134">
        <v>20.0</v>
      </c>
      <c r="H171" s="134">
        <v>0.0</v>
      </c>
      <c r="I171" s="134">
        <v>20.0</v>
      </c>
      <c r="J171" s="134">
        <v>1.6</v>
      </c>
      <c r="K171" s="134">
        <v>18.0</v>
      </c>
      <c r="L171" s="134">
        <v>0.0</v>
      </c>
      <c r="M171" s="134">
        <v>17.0</v>
      </c>
      <c r="N171" s="134">
        <v>0.941</v>
      </c>
    </row>
    <row r="172">
      <c r="A172" s="131" t="s">
        <v>722</v>
      </c>
      <c r="B172" s="133" t="s">
        <v>741</v>
      </c>
      <c r="C172" s="134">
        <v>0.0</v>
      </c>
      <c r="D172" s="134">
        <v>0.0</v>
      </c>
      <c r="E172" s="134">
        <v>0.0</v>
      </c>
      <c r="F172" s="134">
        <v>0.0</v>
      </c>
      <c r="G172" s="134">
        <v>0.0</v>
      </c>
      <c r="H172" s="134">
        <v>0.0</v>
      </c>
      <c r="I172" s="134">
        <v>0.0</v>
      </c>
      <c r="J172" s="134">
        <v>0.0</v>
      </c>
      <c r="K172" s="134">
        <v>0.0</v>
      </c>
      <c r="L172" s="134">
        <v>0.0</v>
      </c>
      <c r="M172" s="134">
        <v>0.0</v>
      </c>
      <c r="N172" s="134">
        <v>0.0</v>
      </c>
    </row>
    <row r="173">
      <c r="A173" s="131" t="s">
        <v>726</v>
      </c>
      <c r="B173" s="133" t="s">
        <v>689</v>
      </c>
      <c r="C173" s="134">
        <v>95.0</v>
      </c>
      <c r="D173" s="134">
        <v>1.68</v>
      </c>
      <c r="E173" s="134">
        <v>20.0</v>
      </c>
      <c r="F173" s="134">
        <v>0.0</v>
      </c>
      <c r="G173" s="134">
        <v>20.0</v>
      </c>
      <c r="H173" s="134">
        <v>0.0</v>
      </c>
      <c r="I173" s="134">
        <v>20.0</v>
      </c>
      <c r="J173" s="134">
        <v>0.0</v>
      </c>
      <c r="K173" s="134">
        <v>18.0</v>
      </c>
      <c r="L173" s="134">
        <v>0.889</v>
      </c>
      <c r="M173" s="134">
        <v>17.0</v>
      </c>
      <c r="N173" s="134">
        <v>0.941</v>
      </c>
    </row>
    <row r="174">
      <c r="A174" s="131" t="s">
        <v>727</v>
      </c>
      <c r="B174" s="133" t="s">
        <v>449</v>
      </c>
      <c r="C174" s="134">
        <v>99.0</v>
      </c>
      <c r="D174" s="134">
        <v>6.46</v>
      </c>
      <c r="E174" s="134">
        <v>20.0</v>
      </c>
      <c r="F174" s="134">
        <v>4.8</v>
      </c>
      <c r="G174" s="134">
        <v>20.0</v>
      </c>
      <c r="H174" s="134">
        <v>0.0</v>
      </c>
      <c r="I174" s="134">
        <v>20.0</v>
      </c>
      <c r="J174" s="134">
        <v>1.6</v>
      </c>
      <c r="K174" s="134">
        <v>20.0</v>
      </c>
      <c r="L174" s="134">
        <v>0.0</v>
      </c>
      <c r="M174" s="134">
        <v>19.0</v>
      </c>
      <c r="N174" s="134">
        <v>0.0</v>
      </c>
    </row>
    <row r="175">
      <c r="A175" s="131" t="s">
        <v>728</v>
      </c>
      <c r="B175" s="133" t="s">
        <v>743</v>
      </c>
      <c r="C175" s="134">
        <v>40.0</v>
      </c>
      <c r="D175" s="134">
        <v>0.0</v>
      </c>
      <c r="E175" s="134">
        <v>8.0</v>
      </c>
      <c r="F175" s="134">
        <v>0.0</v>
      </c>
      <c r="G175" s="134">
        <v>8.0</v>
      </c>
      <c r="H175" s="134">
        <v>0.0</v>
      </c>
      <c r="I175" s="134">
        <v>8.0</v>
      </c>
      <c r="J175" s="134">
        <v>0.0</v>
      </c>
      <c r="K175" s="134">
        <v>8.0</v>
      </c>
      <c r="L175" s="134">
        <v>0.0</v>
      </c>
      <c r="M175" s="134">
        <v>8.0</v>
      </c>
      <c r="N175" s="134">
        <v>0.0</v>
      </c>
    </row>
    <row r="176">
      <c r="A176" s="131" t="s">
        <v>729</v>
      </c>
      <c r="B176" s="133" t="s">
        <v>584</v>
      </c>
      <c r="C176" s="134">
        <v>59.0</v>
      </c>
      <c r="D176" s="134">
        <v>2.71</v>
      </c>
      <c r="E176" s="134">
        <v>12.0</v>
      </c>
      <c r="F176" s="134">
        <v>1.33</v>
      </c>
      <c r="G176" s="134">
        <v>12.0</v>
      </c>
      <c r="H176" s="134">
        <v>0.0</v>
      </c>
      <c r="I176" s="134">
        <v>12.0</v>
      </c>
      <c r="J176" s="134">
        <v>1.33</v>
      </c>
      <c r="K176" s="134">
        <v>12.0</v>
      </c>
      <c r="L176" s="134">
        <v>0.0</v>
      </c>
      <c r="M176" s="134">
        <v>11.0</v>
      </c>
      <c r="N176" s="134">
        <v>0.0</v>
      </c>
    </row>
    <row r="177">
      <c r="A177" s="131" t="s">
        <v>731</v>
      </c>
      <c r="B177" s="133" t="s">
        <v>745</v>
      </c>
      <c r="C177" s="134">
        <v>25.0</v>
      </c>
      <c r="D177" s="134">
        <v>0.0</v>
      </c>
      <c r="E177" s="134">
        <v>5.0</v>
      </c>
      <c r="F177" s="134">
        <v>0.0</v>
      </c>
      <c r="G177" s="134">
        <v>5.0</v>
      </c>
      <c r="H177" s="134">
        <v>0.0</v>
      </c>
      <c r="I177" s="134">
        <v>5.0</v>
      </c>
      <c r="J177" s="134">
        <v>0.0</v>
      </c>
      <c r="K177" s="134">
        <v>5.0</v>
      </c>
      <c r="L177" s="134">
        <v>0.0</v>
      </c>
      <c r="M177" s="134">
        <v>5.0</v>
      </c>
      <c r="N177" s="134">
        <v>0.0</v>
      </c>
    </row>
    <row r="178">
      <c r="A178" s="131" t="s">
        <v>733</v>
      </c>
      <c r="B178" s="133" t="s">
        <v>540</v>
      </c>
      <c r="C178" s="134">
        <v>76.0</v>
      </c>
      <c r="D178" s="134">
        <v>7.37</v>
      </c>
      <c r="E178" s="134">
        <v>16.0</v>
      </c>
      <c r="F178" s="134">
        <v>0.0</v>
      </c>
      <c r="G178" s="134">
        <v>15.0</v>
      </c>
      <c r="H178" s="134">
        <v>0.0</v>
      </c>
      <c r="I178" s="134">
        <v>15.0</v>
      </c>
      <c r="J178" s="134">
        <v>0.0</v>
      </c>
      <c r="K178" s="134">
        <v>15.0</v>
      </c>
      <c r="L178" s="134">
        <v>0.0</v>
      </c>
      <c r="M178" s="134">
        <v>15.0</v>
      </c>
      <c r="N178" s="134">
        <v>7.47</v>
      </c>
    </row>
    <row r="179">
      <c r="A179" s="131" t="s">
        <v>734</v>
      </c>
      <c r="B179" s="133" t="s">
        <v>648</v>
      </c>
      <c r="C179" s="134">
        <v>97.0</v>
      </c>
      <c r="D179" s="134">
        <v>0.825</v>
      </c>
      <c r="E179" s="134">
        <v>20.0</v>
      </c>
      <c r="F179" s="134">
        <v>0.8</v>
      </c>
      <c r="G179" s="134">
        <v>20.0</v>
      </c>
      <c r="H179" s="134">
        <v>0.0</v>
      </c>
      <c r="I179" s="134">
        <v>20.0</v>
      </c>
      <c r="J179" s="134">
        <v>0.0</v>
      </c>
      <c r="K179" s="134">
        <v>19.0</v>
      </c>
      <c r="L179" s="134">
        <v>0.0</v>
      </c>
      <c r="M179" s="134">
        <v>18.0</v>
      </c>
      <c r="N179" s="134">
        <v>0.0</v>
      </c>
    </row>
    <row r="180">
      <c r="A180" s="131" t="s">
        <v>735</v>
      </c>
      <c r="B180" s="133" t="s">
        <v>711</v>
      </c>
      <c r="C180" s="134">
        <v>97.0</v>
      </c>
      <c r="D180" s="134">
        <v>0.825</v>
      </c>
      <c r="E180" s="134">
        <v>20.0</v>
      </c>
      <c r="F180" s="134">
        <v>0.0</v>
      </c>
      <c r="G180" s="134">
        <v>20.0</v>
      </c>
      <c r="H180" s="134">
        <v>0.0</v>
      </c>
      <c r="I180" s="134">
        <v>20.0</v>
      </c>
      <c r="J180" s="134">
        <v>0.0</v>
      </c>
      <c r="K180" s="134">
        <v>19.0</v>
      </c>
      <c r="L180" s="134">
        <v>0.842</v>
      </c>
      <c r="M180" s="134">
        <v>18.0</v>
      </c>
      <c r="N180" s="134">
        <v>0.0</v>
      </c>
    </row>
    <row r="181">
      <c r="A181" s="131" t="s">
        <v>736</v>
      </c>
      <c r="B181" s="133" t="s">
        <v>607</v>
      </c>
      <c r="C181" s="134">
        <v>79.0</v>
      </c>
      <c r="D181" s="134">
        <v>1.01</v>
      </c>
      <c r="E181" s="134">
        <v>16.0</v>
      </c>
      <c r="F181" s="134">
        <v>1.0</v>
      </c>
      <c r="G181" s="134">
        <v>16.0</v>
      </c>
      <c r="H181" s="134">
        <v>0.0</v>
      </c>
      <c r="I181" s="134">
        <v>16.0</v>
      </c>
      <c r="J181" s="134">
        <v>0.0</v>
      </c>
      <c r="K181" s="134">
        <v>16.0</v>
      </c>
      <c r="L181" s="134">
        <v>1.0</v>
      </c>
      <c r="M181" s="134">
        <v>15.0</v>
      </c>
      <c r="N181" s="134">
        <v>-1.07</v>
      </c>
    </row>
    <row r="182">
      <c r="A182" s="131" t="s">
        <v>738</v>
      </c>
      <c r="B182" s="133" t="s">
        <v>747</v>
      </c>
      <c r="C182" s="134">
        <v>92.0</v>
      </c>
      <c r="D182" s="134">
        <v>0.0</v>
      </c>
      <c r="E182" s="134">
        <v>19.0</v>
      </c>
      <c r="F182" s="134">
        <v>-0.842</v>
      </c>
      <c r="G182" s="134">
        <v>19.0</v>
      </c>
      <c r="H182" s="134">
        <v>0.0</v>
      </c>
      <c r="I182" s="134">
        <v>19.0</v>
      </c>
      <c r="J182" s="134">
        <v>0.842</v>
      </c>
      <c r="K182" s="134">
        <v>19.0</v>
      </c>
      <c r="L182" s="134">
        <v>0.0</v>
      </c>
      <c r="M182" s="134">
        <v>16.0</v>
      </c>
      <c r="N182" s="134">
        <v>0.0</v>
      </c>
    </row>
    <row r="183">
      <c r="A183" s="131" t="s">
        <v>740</v>
      </c>
      <c r="B183" s="133" t="s">
        <v>755</v>
      </c>
      <c r="C183" s="134">
        <v>92.0</v>
      </c>
      <c r="D183" s="134">
        <v>-1.74</v>
      </c>
      <c r="E183" s="134">
        <v>19.0</v>
      </c>
      <c r="F183" s="134">
        <v>0.0</v>
      </c>
      <c r="G183" s="134">
        <v>19.0</v>
      </c>
      <c r="H183" s="134">
        <v>0.0</v>
      </c>
      <c r="I183" s="134">
        <v>19.0</v>
      </c>
      <c r="J183" s="134">
        <v>-1.68</v>
      </c>
      <c r="K183" s="134">
        <v>19.0</v>
      </c>
      <c r="L183" s="134">
        <v>0.0</v>
      </c>
      <c r="M183" s="134">
        <v>16.0</v>
      </c>
      <c r="N183" s="134">
        <v>0.0</v>
      </c>
    </row>
    <row r="184">
      <c r="A184" s="131" t="s">
        <v>746</v>
      </c>
      <c r="B184" s="133" t="s">
        <v>491</v>
      </c>
      <c r="C184" s="134">
        <v>92.0</v>
      </c>
      <c r="D184" s="134">
        <v>9.57</v>
      </c>
      <c r="E184" s="134">
        <v>19.0</v>
      </c>
      <c r="F184" s="134">
        <v>0.0</v>
      </c>
      <c r="G184" s="134">
        <v>19.0</v>
      </c>
      <c r="H184" s="134">
        <v>0.0</v>
      </c>
      <c r="I184" s="134">
        <v>19.0</v>
      </c>
      <c r="J184" s="134">
        <v>4.21</v>
      </c>
      <c r="K184" s="134">
        <v>19.0</v>
      </c>
      <c r="L184" s="134">
        <v>0.0</v>
      </c>
      <c r="M184" s="134">
        <v>16.0</v>
      </c>
      <c r="N184" s="134">
        <v>6.0</v>
      </c>
    </row>
    <row r="185">
      <c r="A185" s="131" t="s">
        <v>750</v>
      </c>
      <c r="B185" s="133" t="s">
        <v>749</v>
      </c>
      <c r="C185" s="134">
        <v>67.0</v>
      </c>
      <c r="D185" s="134">
        <v>0.0</v>
      </c>
      <c r="E185" s="134">
        <v>13.0</v>
      </c>
      <c r="F185" s="134">
        <v>0.0</v>
      </c>
      <c r="G185" s="134">
        <v>14.0</v>
      </c>
      <c r="H185" s="134">
        <v>0.0</v>
      </c>
      <c r="I185" s="134">
        <v>14.0</v>
      </c>
      <c r="J185" s="134">
        <v>0.0</v>
      </c>
      <c r="K185" s="134">
        <v>14.0</v>
      </c>
      <c r="L185" s="134">
        <v>0.0</v>
      </c>
      <c r="M185" s="134">
        <v>12.0</v>
      </c>
      <c r="N185" s="134">
        <v>0.0</v>
      </c>
    </row>
    <row r="186">
      <c r="A186" s="131" t="s">
        <v>751</v>
      </c>
      <c r="B186" s="133" t="s">
        <v>669</v>
      </c>
      <c r="C186" s="134">
        <v>70.0</v>
      </c>
      <c r="D186" s="134">
        <v>2.29</v>
      </c>
      <c r="E186" s="134">
        <v>15.0</v>
      </c>
      <c r="F186" s="134">
        <v>0.0</v>
      </c>
      <c r="G186" s="134">
        <v>15.0</v>
      </c>
      <c r="H186" s="134">
        <v>0.0</v>
      </c>
      <c r="I186" s="134">
        <v>14.0</v>
      </c>
      <c r="J186" s="134">
        <v>0.0</v>
      </c>
      <c r="K186" s="134">
        <v>13.0</v>
      </c>
      <c r="L186" s="134">
        <v>2.46</v>
      </c>
      <c r="M186" s="134">
        <v>13.0</v>
      </c>
      <c r="N186" s="134">
        <v>0.0</v>
      </c>
    </row>
    <row r="187">
      <c r="A187" s="131" t="s">
        <v>752</v>
      </c>
      <c r="B187" s="133" t="s">
        <v>671</v>
      </c>
      <c r="C187" s="134">
        <v>75.0</v>
      </c>
      <c r="D187" s="134">
        <v>2.13</v>
      </c>
      <c r="E187" s="134">
        <v>15.0</v>
      </c>
      <c r="F187" s="134">
        <v>0.0</v>
      </c>
      <c r="G187" s="134">
        <v>16.0</v>
      </c>
      <c r="H187" s="134">
        <v>0.0</v>
      </c>
      <c r="I187" s="134">
        <v>15.0</v>
      </c>
      <c r="J187" s="134">
        <v>1.07</v>
      </c>
      <c r="K187" s="134">
        <v>15.0</v>
      </c>
      <c r="L187" s="134">
        <v>1.07</v>
      </c>
      <c r="M187" s="134">
        <v>14.0</v>
      </c>
      <c r="N187" s="134">
        <v>0.0</v>
      </c>
    </row>
    <row r="188">
      <c r="A188" s="131" t="s">
        <v>380</v>
      </c>
      <c r="B188" s="133" t="s">
        <v>473</v>
      </c>
      <c r="C188" s="134">
        <v>78.0</v>
      </c>
      <c r="D188" s="134">
        <v>11.3</v>
      </c>
      <c r="E188" s="134">
        <v>16.0</v>
      </c>
      <c r="F188" s="134">
        <v>3.0</v>
      </c>
      <c r="G188" s="134">
        <v>16.0</v>
      </c>
      <c r="H188" s="134">
        <v>0.0</v>
      </c>
      <c r="I188" s="134">
        <v>16.0</v>
      </c>
      <c r="J188" s="134">
        <v>0.0</v>
      </c>
      <c r="K188" s="134">
        <v>15.0</v>
      </c>
      <c r="L188" s="134">
        <v>7.47</v>
      </c>
      <c r="M188" s="134">
        <v>15.0</v>
      </c>
      <c r="N188" s="134">
        <v>1.07</v>
      </c>
    </row>
    <row r="189">
      <c r="A189" s="131" t="s">
        <v>742</v>
      </c>
      <c r="B189" s="133" t="s">
        <v>511</v>
      </c>
      <c r="C189" s="134">
        <v>82.0</v>
      </c>
      <c r="D189" s="134">
        <v>8.78</v>
      </c>
      <c r="E189" s="134">
        <v>17.0</v>
      </c>
      <c r="F189" s="134">
        <v>0.941</v>
      </c>
      <c r="G189" s="134">
        <v>16.0</v>
      </c>
      <c r="H189" s="134">
        <v>0.0</v>
      </c>
      <c r="I189" s="134">
        <v>17.0</v>
      </c>
      <c r="J189" s="134">
        <v>1.88</v>
      </c>
      <c r="K189" s="134">
        <v>16.0</v>
      </c>
      <c r="L189" s="134">
        <v>0.0</v>
      </c>
      <c r="M189" s="134">
        <v>16.0</v>
      </c>
      <c r="N189" s="134">
        <v>6.0</v>
      </c>
    </row>
    <row r="190">
      <c r="A190" s="131" t="s">
        <v>744</v>
      </c>
      <c r="B190" s="133" t="s">
        <v>613</v>
      </c>
      <c r="C190" s="134">
        <v>80.0</v>
      </c>
      <c r="D190" s="134">
        <v>4.0</v>
      </c>
      <c r="E190" s="134">
        <v>17.0</v>
      </c>
      <c r="F190" s="134">
        <v>0.941</v>
      </c>
      <c r="G190" s="134">
        <v>17.0</v>
      </c>
      <c r="H190" s="134">
        <v>0.0</v>
      </c>
      <c r="I190" s="134">
        <v>16.0</v>
      </c>
      <c r="J190" s="134">
        <v>3.0</v>
      </c>
      <c r="K190" s="134">
        <v>15.0</v>
      </c>
      <c r="L190" s="134">
        <v>0.0</v>
      </c>
      <c r="M190" s="134">
        <v>15.0</v>
      </c>
      <c r="N190" s="134">
        <v>0.0</v>
      </c>
    </row>
    <row r="191">
      <c r="A191" s="131" t="s">
        <v>672</v>
      </c>
      <c r="B191" s="133" t="s">
        <v>756</v>
      </c>
      <c r="C191" s="134">
        <v>27.0</v>
      </c>
      <c r="D191" s="134">
        <v>-2.96</v>
      </c>
      <c r="E191" s="134">
        <v>7.0</v>
      </c>
      <c r="F191" s="134">
        <v>0.0</v>
      </c>
      <c r="G191" s="134">
        <v>5.0</v>
      </c>
      <c r="H191" s="134">
        <v>0.0</v>
      </c>
      <c r="I191" s="134">
        <v>5.0</v>
      </c>
      <c r="J191" s="134">
        <v>-3.2</v>
      </c>
      <c r="K191" s="134">
        <v>5.0</v>
      </c>
      <c r="L191" s="134">
        <v>0.0</v>
      </c>
      <c r="M191" s="134">
        <v>5.0</v>
      </c>
      <c r="N191" s="134">
        <v>0.0</v>
      </c>
    </row>
    <row r="192">
      <c r="A192" s="91" t="s">
        <v>724</v>
      </c>
      <c r="B192" s="133" t="s">
        <v>577</v>
      </c>
      <c r="C192" s="134">
        <v>100.0</v>
      </c>
      <c r="D192" s="134">
        <v>2.4</v>
      </c>
      <c r="E192" s="134">
        <v>20.0</v>
      </c>
      <c r="F192" s="134">
        <v>1.6</v>
      </c>
      <c r="G192" s="134">
        <v>20.0</v>
      </c>
      <c r="H192" s="134">
        <v>0.0</v>
      </c>
      <c r="I192" s="134">
        <v>20.0</v>
      </c>
      <c r="J192" s="134">
        <v>0.8</v>
      </c>
      <c r="K192" s="134">
        <v>20.0</v>
      </c>
      <c r="L192" s="134">
        <v>0.0</v>
      </c>
      <c r="M192" s="134">
        <v>20.0</v>
      </c>
      <c r="N192" s="134">
        <v>0.0</v>
      </c>
    </row>
    <row r="193">
      <c r="B193" s="133" t="s">
        <v>679</v>
      </c>
      <c r="C193" s="134">
        <v>98.0</v>
      </c>
      <c r="D193" s="134">
        <v>-0.816</v>
      </c>
      <c r="E193" s="134">
        <v>20.0</v>
      </c>
      <c r="F193" s="134">
        <v>0.0</v>
      </c>
      <c r="G193" s="134">
        <v>20.0</v>
      </c>
      <c r="H193" s="134">
        <v>-0.8</v>
      </c>
      <c r="I193" s="134">
        <v>20.0</v>
      </c>
      <c r="J193" s="134">
        <v>-0.8</v>
      </c>
      <c r="K193" s="134">
        <v>19.0</v>
      </c>
      <c r="L193" s="134">
        <v>0.0</v>
      </c>
      <c r="M193" s="134">
        <v>19.0</v>
      </c>
      <c r="N193" s="134">
        <v>0.842</v>
      </c>
    </row>
    <row r="194">
      <c r="B194" s="133" t="s">
        <v>730</v>
      </c>
      <c r="C194" s="134">
        <v>89.0</v>
      </c>
      <c r="D194" s="134">
        <v>-0.899</v>
      </c>
      <c r="E194" s="134">
        <v>17.0</v>
      </c>
      <c r="F194" s="134">
        <v>0.0</v>
      </c>
      <c r="G194" s="134">
        <v>18.0</v>
      </c>
      <c r="H194" s="134">
        <v>-0.889</v>
      </c>
      <c r="I194" s="134">
        <v>18.0</v>
      </c>
      <c r="J194" s="134">
        <v>0.0</v>
      </c>
      <c r="K194" s="134">
        <v>18.0</v>
      </c>
      <c r="L194" s="134">
        <v>0.0</v>
      </c>
      <c r="M194" s="134">
        <v>18.0</v>
      </c>
      <c r="N194" s="134">
        <v>0.0</v>
      </c>
    </row>
    <row r="195">
      <c r="B195" s="133" t="s">
        <v>678</v>
      </c>
      <c r="C195" s="134">
        <v>80.0</v>
      </c>
      <c r="D195" s="134">
        <v>2.0</v>
      </c>
      <c r="E195" s="134">
        <v>16.0</v>
      </c>
      <c r="F195" s="134">
        <v>0.0</v>
      </c>
      <c r="G195" s="134">
        <v>16.0</v>
      </c>
      <c r="H195" s="134">
        <v>-1.0</v>
      </c>
      <c r="I195" s="134">
        <v>16.0</v>
      </c>
      <c r="J195" s="134">
        <v>0.0</v>
      </c>
      <c r="K195" s="134">
        <v>16.0</v>
      </c>
      <c r="L195" s="134">
        <v>0.0</v>
      </c>
      <c r="M195" s="134">
        <v>16.0</v>
      </c>
      <c r="N195" s="134">
        <v>3.0</v>
      </c>
    </row>
    <row r="196">
      <c r="B196" s="133" t="s">
        <v>706</v>
      </c>
      <c r="C196" s="134">
        <v>52.0</v>
      </c>
      <c r="D196" s="134">
        <v>0.0</v>
      </c>
      <c r="E196" s="134">
        <v>12.0</v>
      </c>
      <c r="F196" s="134">
        <v>0.0</v>
      </c>
      <c r="G196" s="134">
        <v>11.0</v>
      </c>
      <c r="H196" s="134">
        <v>-1.45</v>
      </c>
      <c r="I196" s="134">
        <v>10.0</v>
      </c>
      <c r="J196" s="134">
        <v>1.6</v>
      </c>
      <c r="K196" s="134">
        <v>9.0</v>
      </c>
      <c r="L196" s="134">
        <v>0.0</v>
      </c>
      <c r="M196" s="134">
        <v>10.0</v>
      </c>
      <c r="N196" s="134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14" width="16.5"/>
  </cols>
  <sheetData>
    <row r="1">
      <c r="A1" s="131"/>
      <c r="B1" s="132" t="s">
        <v>339</v>
      </c>
      <c r="C1" s="132" t="s">
        <v>360</v>
      </c>
      <c r="D1" s="132" t="s">
        <v>361</v>
      </c>
      <c r="E1" s="132" t="s">
        <v>362</v>
      </c>
      <c r="F1" s="132" t="s">
        <v>363</v>
      </c>
      <c r="G1" s="132" t="s">
        <v>364</v>
      </c>
      <c r="H1" s="132" t="s">
        <v>365</v>
      </c>
      <c r="I1" s="132" t="s">
        <v>366</v>
      </c>
      <c r="J1" s="132" t="s">
        <v>367</v>
      </c>
      <c r="K1" s="132" t="s">
        <v>368</v>
      </c>
      <c r="L1" s="132" t="s">
        <v>369</v>
      </c>
      <c r="M1" s="132" t="s">
        <v>370</v>
      </c>
      <c r="N1" s="132" t="s">
        <v>371</v>
      </c>
    </row>
    <row r="2">
      <c r="A2" s="131" t="s">
        <v>372</v>
      </c>
      <c r="B2" s="133" t="s">
        <v>373</v>
      </c>
      <c r="C2" s="134">
        <v>96.0</v>
      </c>
      <c r="D2" s="134">
        <v>33.3</v>
      </c>
      <c r="E2" s="134">
        <v>20.0</v>
      </c>
      <c r="F2" s="134">
        <v>9.6</v>
      </c>
      <c r="G2" s="134">
        <v>20.0</v>
      </c>
      <c r="H2" s="134">
        <v>2.4</v>
      </c>
      <c r="I2" s="134">
        <v>19.0</v>
      </c>
      <c r="J2" s="134">
        <v>9.26</v>
      </c>
      <c r="K2" s="134">
        <v>19.0</v>
      </c>
      <c r="L2" s="134">
        <v>5.05</v>
      </c>
      <c r="M2" s="134">
        <v>18.0</v>
      </c>
      <c r="N2" s="134">
        <v>7.11</v>
      </c>
    </row>
    <row r="3">
      <c r="A3" s="131" t="s">
        <v>376</v>
      </c>
      <c r="B3" s="133" t="s">
        <v>377</v>
      </c>
      <c r="C3" s="134">
        <v>90.0</v>
      </c>
      <c r="D3" s="134">
        <v>24.0</v>
      </c>
      <c r="E3" s="134">
        <v>19.0</v>
      </c>
      <c r="F3" s="134">
        <v>3.37</v>
      </c>
      <c r="G3" s="134">
        <v>19.0</v>
      </c>
      <c r="H3" s="134">
        <v>1.68</v>
      </c>
      <c r="I3" s="134">
        <v>18.0</v>
      </c>
      <c r="J3" s="134">
        <v>8.89</v>
      </c>
      <c r="K3" s="134">
        <v>17.0</v>
      </c>
      <c r="L3" s="134">
        <v>2.82</v>
      </c>
      <c r="M3" s="134">
        <v>17.0</v>
      </c>
      <c r="N3" s="134">
        <v>7.53</v>
      </c>
    </row>
    <row r="4">
      <c r="A4" s="131" t="s">
        <v>388</v>
      </c>
      <c r="B4" s="133" t="s">
        <v>393</v>
      </c>
      <c r="C4" s="134">
        <v>91.0</v>
      </c>
      <c r="D4" s="134">
        <v>21.1</v>
      </c>
      <c r="E4" s="134">
        <v>19.0</v>
      </c>
      <c r="F4" s="134">
        <v>5.89</v>
      </c>
      <c r="G4" s="134">
        <v>19.0</v>
      </c>
      <c r="H4" s="134">
        <v>2.53</v>
      </c>
      <c r="I4" s="134">
        <v>18.0</v>
      </c>
      <c r="J4" s="134">
        <v>8.0</v>
      </c>
      <c r="K4" s="134">
        <v>18.0</v>
      </c>
      <c r="L4" s="134">
        <v>0.0</v>
      </c>
      <c r="M4" s="134">
        <v>17.0</v>
      </c>
      <c r="N4" s="134">
        <v>4.71</v>
      </c>
    </row>
    <row r="5">
      <c r="A5" s="131" t="s">
        <v>378</v>
      </c>
      <c r="B5" s="133" t="s">
        <v>379</v>
      </c>
      <c r="C5" s="134">
        <v>100.0</v>
      </c>
      <c r="D5" s="134">
        <v>24.0</v>
      </c>
      <c r="E5" s="134">
        <v>20.0</v>
      </c>
      <c r="F5" s="134">
        <v>2.4</v>
      </c>
      <c r="G5" s="134">
        <v>20.0</v>
      </c>
      <c r="H5" s="134">
        <v>3.2</v>
      </c>
      <c r="I5" s="134">
        <v>20.0</v>
      </c>
      <c r="J5" s="134">
        <v>7.2</v>
      </c>
      <c r="K5" s="134">
        <v>20.0</v>
      </c>
      <c r="L5" s="134">
        <v>6.4</v>
      </c>
      <c r="M5" s="134">
        <v>20.0</v>
      </c>
      <c r="N5" s="134">
        <v>4.8</v>
      </c>
    </row>
    <row r="6">
      <c r="A6" s="131" t="s">
        <v>384</v>
      </c>
      <c r="B6" s="133" t="s">
        <v>385</v>
      </c>
      <c r="C6" s="134">
        <v>94.0</v>
      </c>
      <c r="D6" s="134">
        <v>23.0</v>
      </c>
      <c r="E6" s="134">
        <v>20.0</v>
      </c>
      <c r="F6" s="134">
        <v>4.0</v>
      </c>
      <c r="G6" s="134">
        <v>19.0</v>
      </c>
      <c r="H6" s="134">
        <v>0.0</v>
      </c>
      <c r="I6" s="134">
        <v>19.0</v>
      </c>
      <c r="J6" s="134">
        <v>6.74</v>
      </c>
      <c r="K6" s="134">
        <v>18.0</v>
      </c>
      <c r="L6" s="134">
        <v>4.44</v>
      </c>
      <c r="M6" s="134">
        <v>18.0</v>
      </c>
      <c r="N6" s="134">
        <v>8.0</v>
      </c>
    </row>
    <row r="7">
      <c r="A7" s="131" t="s">
        <v>390</v>
      </c>
      <c r="B7" s="133" t="s">
        <v>389</v>
      </c>
      <c r="C7" s="134">
        <v>98.0</v>
      </c>
      <c r="D7" s="134">
        <v>22.0</v>
      </c>
      <c r="E7" s="134">
        <v>20.0</v>
      </c>
      <c r="F7" s="134">
        <v>2.4</v>
      </c>
      <c r="G7" s="134">
        <v>20.0</v>
      </c>
      <c r="H7" s="134">
        <v>0.0</v>
      </c>
      <c r="I7" s="134">
        <v>20.0</v>
      </c>
      <c r="J7" s="134">
        <v>6.4</v>
      </c>
      <c r="K7" s="134">
        <v>19.0</v>
      </c>
      <c r="L7" s="134">
        <v>5.05</v>
      </c>
      <c r="M7" s="134">
        <v>19.0</v>
      </c>
      <c r="N7" s="134">
        <v>8.42</v>
      </c>
    </row>
    <row r="8">
      <c r="A8" s="131" t="s">
        <v>414</v>
      </c>
      <c r="B8" s="133" t="s">
        <v>570</v>
      </c>
      <c r="C8" s="134">
        <v>26.0</v>
      </c>
      <c r="D8" s="134">
        <v>6.15</v>
      </c>
      <c r="E8" s="134">
        <v>5.0</v>
      </c>
      <c r="F8" s="134">
        <v>0.0</v>
      </c>
      <c r="G8" s="134">
        <v>5.0</v>
      </c>
      <c r="H8" s="134">
        <v>0.0</v>
      </c>
      <c r="I8" s="134">
        <v>6.0</v>
      </c>
      <c r="J8" s="134">
        <v>5.33</v>
      </c>
      <c r="K8" s="134">
        <v>5.0</v>
      </c>
      <c r="L8" s="134">
        <v>0.0</v>
      </c>
      <c r="M8" s="134">
        <v>5.0</v>
      </c>
      <c r="N8" s="134">
        <v>0.0</v>
      </c>
    </row>
    <row r="9">
      <c r="A9" s="131" t="s">
        <v>571</v>
      </c>
      <c r="B9" s="133" t="s">
        <v>417</v>
      </c>
      <c r="C9" s="134">
        <v>93.0</v>
      </c>
      <c r="D9" s="134">
        <v>14.6</v>
      </c>
      <c r="E9" s="134">
        <v>20.0</v>
      </c>
      <c r="F9" s="134">
        <v>4.0</v>
      </c>
      <c r="G9" s="134">
        <v>19.0</v>
      </c>
      <c r="H9" s="134">
        <v>0.842</v>
      </c>
      <c r="I9" s="134">
        <v>18.0</v>
      </c>
      <c r="J9" s="134">
        <v>5.33</v>
      </c>
      <c r="K9" s="134">
        <v>18.0</v>
      </c>
      <c r="L9" s="134">
        <v>4.44</v>
      </c>
      <c r="M9" s="134">
        <v>18.0</v>
      </c>
      <c r="N9" s="134">
        <v>0.0</v>
      </c>
    </row>
    <row r="10">
      <c r="A10" s="131" t="s">
        <v>380</v>
      </c>
      <c r="B10" s="133" t="s">
        <v>381</v>
      </c>
      <c r="C10" s="134">
        <v>98.0</v>
      </c>
      <c r="D10" s="134">
        <v>23.7</v>
      </c>
      <c r="E10" s="134">
        <v>20.0</v>
      </c>
      <c r="F10" s="134">
        <v>8.0</v>
      </c>
      <c r="G10" s="134">
        <v>20.0</v>
      </c>
      <c r="H10" s="134">
        <v>0.0</v>
      </c>
      <c r="I10" s="134">
        <v>20.0</v>
      </c>
      <c r="J10" s="134">
        <v>4.8</v>
      </c>
      <c r="K10" s="134">
        <v>19.0</v>
      </c>
      <c r="L10" s="134">
        <v>7.58</v>
      </c>
      <c r="M10" s="134">
        <v>19.0</v>
      </c>
      <c r="N10" s="134">
        <v>3.37</v>
      </c>
    </row>
    <row r="11">
      <c r="A11" s="131" t="s">
        <v>398</v>
      </c>
      <c r="B11" s="133" t="s">
        <v>399</v>
      </c>
      <c r="C11" s="134">
        <v>92.0</v>
      </c>
      <c r="D11" s="134">
        <v>18.3</v>
      </c>
      <c r="E11" s="134">
        <v>20.0</v>
      </c>
      <c r="F11" s="134">
        <v>0.0</v>
      </c>
      <c r="G11" s="134">
        <v>19.0</v>
      </c>
      <c r="H11" s="134">
        <v>4.21</v>
      </c>
      <c r="I11" s="134">
        <v>18.0</v>
      </c>
      <c r="J11" s="134">
        <v>4.44</v>
      </c>
      <c r="K11" s="134">
        <v>18.0</v>
      </c>
      <c r="L11" s="134">
        <v>8.0</v>
      </c>
      <c r="M11" s="134">
        <v>17.0</v>
      </c>
      <c r="N11" s="134">
        <v>1.88</v>
      </c>
    </row>
    <row r="12">
      <c r="A12" s="131" t="s">
        <v>430</v>
      </c>
      <c r="B12" s="133" t="s">
        <v>428</v>
      </c>
      <c r="C12" s="134">
        <v>76.0</v>
      </c>
      <c r="D12" s="134">
        <v>13.7</v>
      </c>
      <c r="E12" s="134">
        <v>16.0</v>
      </c>
      <c r="F12" s="134">
        <v>3.0</v>
      </c>
      <c r="G12" s="134">
        <v>15.0</v>
      </c>
      <c r="H12" s="134">
        <v>2.13</v>
      </c>
      <c r="I12" s="134">
        <v>15.0</v>
      </c>
      <c r="J12" s="134">
        <v>4.27</v>
      </c>
      <c r="K12" s="134">
        <v>15.0</v>
      </c>
      <c r="L12" s="134">
        <v>1.07</v>
      </c>
      <c r="M12" s="134">
        <v>15.0</v>
      </c>
      <c r="N12" s="134">
        <v>3.2</v>
      </c>
    </row>
    <row r="13">
      <c r="A13" s="131" t="s">
        <v>392</v>
      </c>
      <c r="B13" s="133" t="s">
        <v>491</v>
      </c>
      <c r="C13" s="134">
        <v>92.0</v>
      </c>
      <c r="D13" s="134">
        <v>9.57</v>
      </c>
      <c r="E13" s="134">
        <v>19.0</v>
      </c>
      <c r="F13" s="134">
        <v>0.0</v>
      </c>
      <c r="G13" s="134">
        <v>19.0</v>
      </c>
      <c r="H13" s="134">
        <v>0.0</v>
      </c>
      <c r="I13" s="134">
        <v>19.0</v>
      </c>
      <c r="J13" s="134">
        <v>4.21</v>
      </c>
      <c r="K13" s="134">
        <v>19.0</v>
      </c>
      <c r="L13" s="134">
        <v>0.0</v>
      </c>
      <c r="M13" s="134">
        <v>16.0</v>
      </c>
      <c r="N13" s="134">
        <v>6.0</v>
      </c>
    </row>
    <row r="14">
      <c r="A14" s="131" t="s">
        <v>490</v>
      </c>
      <c r="B14" s="133" t="s">
        <v>415</v>
      </c>
      <c r="C14" s="134">
        <v>98.0</v>
      </c>
      <c r="D14" s="134">
        <v>14.7</v>
      </c>
      <c r="E14" s="134">
        <v>20.0</v>
      </c>
      <c r="F14" s="134">
        <v>0.0</v>
      </c>
      <c r="G14" s="134">
        <v>20.0</v>
      </c>
      <c r="H14" s="134">
        <v>0.0</v>
      </c>
      <c r="I14" s="134">
        <v>20.0</v>
      </c>
      <c r="J14" s="134">
        <v>4.0</v>
      </c>
      <c r="K14" s="134">
        <v>19.0</v>
      </c>
      <c r="L14" s="134">
        <v>4.21</v>
      </c>
      <c r="M14" s="134">
        <v>19.0</v>
      </c>
      <c r="N14" s="134">
        <v>6.74</v>
      </c>
    </row>
    <row r="15">
      <c r="A15" s="131" t="s">
        <v>394</v>
      </c>
      <c r="B15" s="133" t="s">
        <v>397</v>
      </c>
      <c r="C15" s="134">
        <v>60.0</v>
      </c>
      <c r="D15" s="134">
        <v>18.7</v>
      </c>
      <c r="E15" s="134">
        <v>12.0</v>
      </c>
      <c r="F15" s="134">
        <v>2.67</v>
      </c>
      <c r="G15" s="134">
        <v>12.0</v>
      </c>
      <c r="H15" s="134">
        <v>5.33</v>
      </c>
      <c r="I15" s="134">
        <v>12.0</v>
      </c>
      <c r="J15" s="134">
        <v>4.0</v>
      </c>
      <c r="K15" s="134">
        <v>12.0</v>
      </c>
      <c r="L15" s="134">
        <v>4.0</v>
      </c>
      <c r="M15" s="134">
        <v>12.0</v>
      </c>
      <c r="N15" s="134">
        <v>2.67</v>
      </c>
    </row>
    <row r="16">
      <c r="A16" s="131" t="s">
        <v>402</v>
      </c>
      <c r="B16" s="133" t="s">
        <v>487</v>
      </c>
      <c r="C16" s="134">
        <v>98.0</v>
      </c>
      <c r="D16" s="134">
        <v>8.98</v>
      </c>
      <c r="E16" s="134">
        <v>20.0</v>
      </c>
      <c r="F16" s="134">
        <v>3.2</v>
      </c>
      <c r="G16" s="134">
        <v>20.0</v>
      </c>
      <c r="H16" s="134">
        <v>0.8</v>
      </c>
      <c r="I16" s="134">
        <v>20.0</v>
      </c>
      <c r="J16" s="134">
        <v>4.0</v>
      </c>
      <c r="K16" s="134">
        <v>19.0</v>
      </c>
      <c r="L16" s="134">
        <v>0.842</v>
      </c>
      <c r="M16" s="134">
        <v>19.0</v>
      </c>
      <c r="N16" s="134">
        <v>0.0</v>
      </c>
    </row>
    <row r="17">
      <c r="A17" s="131" t="s">
        <v>406</v>
      </c>
      <c r="B17" s="133" t="s">
        <v>383</v>
      </c>
      <c r="C17" s="134">
        <v>97.0</v>
      </c>
      <c r="D17" s="134">
        <v>23.1</v>
      </c>
      <c r="E17" s="134">
        <v>20.0</v>
      </c>
      <c r="F17" s="134">
        <v>0.0</v>
      </c>
      <c r="G17" s="134">
        <v>20.0</v>
      </c>
      <c r="H17" s="134">
        <v>6.4</v>
      </c>
      <c r="I17" s="134">
        <v>20.0</v>
      </c>
      <c r="J17" s="134">
        <v>4.0</v>
      </c>
      <c r="K17" s="134">
        <v>19.0</v>
      </c>
      <c r="L17" s="134">
        <v>5.89</v>
      </c>
      <c r="M17" s="134">
        <v>18.0</v>
      </c>
      <c r="N17" s="134">
        <v>7.11</v>
      </c>
    </row>
    <row r="18">
      <c r="A18" s="131" t="s">
        <v>410</v>
      </c>
      <c r="B18" s="133" t="s">
        <v>425</v>
      </c>
      <c r="C18" s="134">
        <v>81.0</v>
      </c>
      <c r="D18" s="134">
        <v>13.8</v>
      </c>
      <c r="E18" s="134">
        <v>18.0</v>
      </c>
      <c r="F18" s="134">
        <v>3.56</v>
      </c>
      <c r="G18" s="134">
        <v>17.0</v>
      </c>
      <c r="H18" s="134">
        <v>0.941</v>
      </c>
      <c r="I18" s="134">
        <v>16.0</v>
      </c>
      <c r="J18" s="134">
        <v>4.0</v>
      </c>
      <c r="K18" s="134">
        <v>15.0</v>
      </c>
      <c r="L18" s="134">
        <v>5.33</v>
      </c>
      <c r="M18" s="134">
        <v>15.0</v>
      </c>
      <c r="N18" s="134">
        <v>0.0</v>
      </c>
    </row>
    <row r="19">
      <c r="A19" s="91" t="s">
        <v>424</v>
      </c>
      <c r="B19" s="133" t="s">
        <v>460</v>
      </c>
      <c r="C19" s="134">
        <v>100.0</v>
      </c>
      <c r="D19" s="134">
        <v>12.8</v>
      </c>
      <c r="E19" s="134">
        <v>20.0</v>
      </c>
      <c r="F19" s="134">
        <v>2.4</v>
      </c>
      <c r="G19" s="134">
        <v>20.0</v>
      </c>
      <c r="H19" s="134">
        <v>1.6</v>
      </c>
      <c r="I19" s="134">
        <v>20.0</v>
      </c>
      <c r="J19" s="134">
        <v>4.0</v>
      </c>
      <c r="K19" s="134">
        <v>20.0</v>
      </c>
      <c r="L19" s="134">
        <v>0.0</v>
      </c>
      <c r="M19" s="134">
        <v>20.0</v>
      </c>
      <c r="N19" s="134">
        <v>4.8</v>
      </c>
    </row>
    <row r="20">
      <c r="A20" s="131" t="s">
        <v>452</v>
      </c>
      <c r="B20" s="133" t="s">
        <v>403</v>
      </c>
      <c r="C20" s="134">
        <v>100.0</v>
      </c>
      <c r="D20" s="134">
        <v>16.8</v>
      </c>
      <c r="E20" s="134">
        <v>20.0</v>
      </c>
      <c r="F20" s="134">
        <v>3.2</v>
      </c>
      <c r="G20" s="134">
        <v>20.0</v>
      </c>
      <c r="H20" s="134">
        <v>4.0</v>
      </c>
      <c r="I20" s="134">
        <v>20.0</v>
      </c>
      <c r="J20" s="134">
        <v>4.0</v>
      </c>
      <c r="K20" s="134">
        <v>20.0</v>
      </c>
      <c r="L20" s="134">
        <v>2.4</v>
      </c>
      <c r="M20" s="134">
        <v>20.0</v>
      </c>
      <c r="N20" s="134">
        <v>3.2</v>
      </c>
    </row>
    <row r="21">
      <c r="A21" s="131" t="s">
        <v>489</v>
      </c>
      <c r="B21" s="133" t="s">
        <v>409</v>
      </c>
      <c r="C21" s="134">
        <v>100.0</v>
      </c>
      <c r="D21" s="134">
        <v>16.0</v>
      </c>
      <c r="E21" s="134">
        <v>20.0</v>
      </c>
      <c r="F21" s="134">
        <v>8.0</v>
      </c>
      <c r="G21" s="134">
        <v>20.0</v>
      </c>
      <c r="H21" s="134">
        <v>0.0</v>
      </c>
      <c r="I21" s="134">
        <v>20.0</v>
      </c>
      <c r="J21" s="134">
        <v>4.0</v>
      </c>
      <c r="K21" s="134">
        <v>20.0</v>
      </c>
      <c r="L21" s="134">
        <v>1.6</v>
      </c>
      <c r="M21" s="134">
        <v>20.0</v>
      </c>
      <c r="N21" s="134">
        <v>2.4</v>
      </c>
    </row>
    <row r="22">
      <c r="A22" s="131" t="s">
        <v>633</v>
      </c>
      <c r="B22" s="133" t="s">
        <v>636</v>
      </c>
      <c r="C22" s="134">
        <v>61.0</v>
      </c>
      <c r="D22" s="134">
        <v>3.93</v>
      </c>
      <c r="E22" s="134">
        <v>13.0</v>
      </c>
      <c r="F22" s="134">
        <v>0.0</v>
      </c>
      <c r="G22" s="134">
        <v>13.0</v>
      </c>
      <c r="H22" s="134">
        <v>0.0</v>
      </c>
      <c r="I22" s="134">
        <v>12.0</v>
      </c>
      <c r="J22" s="134">
        <v>4.0</v>
      </c>
      <c r="K22" s="134">
        <v>12.0</v>
      </c>
      <c r="L22" s="134">
        <v>0.0</v>
      </c>
      <c r="M22" s="134">
        <v>11.0</v>
      </c>
      <c r="N22" s="134">
        <v>0.0</v>
      </c>
    </row>
    <row r="23">
      <c r="A23" s="131" t="s">
        <v>386</v>
      </c>
      <c r="B23" s="133" t="s">
        <v>395</v>
      </c>
      <c r="C23" s="134">
        <v>100.0</v>
      </c>
      <c r="D23" s="134">
        <v>20.0</v>
      </c>
      <c r="E23" s="134">
        <v>20.0</v>
      </c>
      <c r="F23" s="134">
        <v>0.0</v>
      </c>
      <c r="G23" s="134">
        <v>20.0</v>
      </c>
      <c r="H23" s="134">
        <v>4.0</v>
      </c>
      <c r="I23" s="134">
        <v>20.0</v>
      </c>
      <c r="J23" s="134">
        <v>4.0</v>
      </c>
      <c r="K23" s="134">
        <v>20.0</v>
      </c>
      <c r="L23" s="134">
        <v>6.4</v>
      </c>
      <c r="M23" s="134">
        <v>20.0</v>
      </c>
      <c r="N23" s="134">
        <v>5.6</v>
      </c>
    </row>
    <row r="24">
      <c r="A24" s="131" t="s">
        <v>382</v>
      </c>
      <c r="B24" s="133" t="s">
        <v>391</v>
      </c>
      <c r="C24" s="134">
        <v>95.0</v>
      </c>
      <c r="D24" s="134">
        <v>21.1</v>
      </c>
      <c r="E24" s="134">
        <v>20.0</v>
      </c>
      <c r="F24" s="134">
        <v>2.4</v>
      </c>
      <c r="G24" s="134">
        <v>20.0</v>
      </c>
      <c r="H24" s="134">
        <v>0.0</v>
      </c>
      <c r="I24" s="134">
        <v>19.0</v>
      </c>
      <c r="J24" s="134">
        <v>3.37</v>
      </c>
      <c r="K24" s="134">
        <v>18.0</v>
      </c>
      <c r="L24" s="134">
        <v>8.0</v>
      </c>
      <c r="M24" s="134">
        <v>18.0</v>
      </c>
      <c r="N24" s="134">
        <v>8.0</v>
      </c>
    </row>
    <row r="25">
      <c r="A25" s="131" t="s">
        <v>446</v>
      </c>
      <c r="B25" s="133" t="s">
        <v>500</v>
      </c>
      <c r="C25" s="134">
        <v>98.0</v>
      </c>
      <c r="D25" s="134">
        <v>8.98</v>
      </c>
      <c r="E25" s="134">
        <v>21.0</v>
      </c>
      <c r="F25" s="134">
        <v>3.05</v>
      </c>
      <c r="G25" s="134">
        <v>21.0</v>
      </c>
      <c r="H25" s="134">
        <v>0.762</v>
      </c>
      <c r="I25" s="134">
        <v>20.0</v>
      </c>
      <c r="J25" s="134">
        <v>3.2</v>
      </c>
      <c r="K25" s="134">
        <v>18.0</v>
      </c>
      <c r="L25" s="134">
        <v>0.889</v>
      </c>
      <c r="M25" s="134">
        <v>18.0</v>
      </c>
      <c r="N25" s="134">
        <v>0.889</v>
      </c>
    </row>
    <row r="26">
      <c r="A26" s="131" t="s">
        <v>498</v>
      </c>
      <c r="B26" s="133" t="s">
        <v>447</v>
      </c>
      <c r="C26" s="134">
        <v>98.0</v>
      </c>
      <c r="D26" s="134">
        <v>13.1</v>
      </c>
      <c r="E26" s="134">
        <v>20.0</v>
      </c>
      <c r="F26" s="134">
        <v>4.0</v>
      </c>
      <c r="G26" s="134">
        <v>20.0</v>
      </c>
      <c r="H26" s="134">
        <v>0.0</v>
      </c>
      <c r="I26" s="134">
        <v>20.0</v>
      </c>
      <c r="J26" s="134">
        <v>3.2</v>
      </c>
      <c r="K26" s="134">
        <v>19.0</v>
      </c>
      <c r="L26" s="134">
        <v>2.53</v>
      </c>
      <c r="M26" s="134">
        <v>19.0</v>
      </c>
      <c r="N26" s="134">
        <v>3.37</v>
      </c>
    </row>
    <row r="27">
      <c r="A27" s="131" t="s">
        <v>497</v>
      </c>
      <c r="B27" s="133" t="s">
        <v>431</v>
      </c>
      <c r="C27" s="134">
        <v>99.0</v>
      </c>
      <c r="D27" s="134">
        <v>13.7</v>
      </c>
      <c r="E27" s="134">
        <v>20.0</v>
      </c>
      <c r="F27" s="134">
        <v>6.4</v>
      </c>
      <c r="G27" s="134">
        <v>20.0</v>
      </c>
      <c r="H27" s="134">
        <v>2.4</v>
      </c>
      <c r="I27" s="134">
        <v>20.0</v>
      </c>
      <c r="J27" s="134">
        <v>3.2</v>
      </c>
      <c r="K27" s="134">
        <v>20.0</v>
      </c>
      <c r="L27" s="134">
        <v>0.0</v>
      </c>
      <c r="M27" s="134">
        <v>19.0</v>
      </c>
      <c r="N27" s="134">
        <v>1.68</v>
      </c>
    </row>
    <row r="28">
      <c r="A28" s="131" t="s">
        <v>512</v>
      </c>
      <c r="B28" s="133" t="s">
        <v>515</v>
      </c>
      <c r="C28" s="134">
        <v>48.0</v>
      </c>
      <c r="D28" s="134">
        <v>8.33</v>
      </c>
      <c r="E28" s="134">
        <v>9.0</v>
      </c>
      <c r="F28" s="134">
        <v>0.0</v>
      </c>
      <c r="G28" s="134">
        <v>9.0</v>
      </c>
      <c r="H28" s="134">
        <v>3.56</v>
      </c>
      <c r="I28" s="134">
        <v>10.0</v>
      </c>
      <c r="J28" s="134">
        <v>3.2</v>
      </c>
      <c r="K28" s="134">
        <v>10.0</v>
      </c>
      <c r="L28" s="134">
        <v>0.0</v>
      </c>
      <c r="M28" s="134">
        <v>10.0</v>
      </c>
      <c r="N28" s="134">
        <v>1.6</v>
      </c>
    </row>
    <row r="29">
      <c r="A29" s="131" t="s">
        <v>581</v>
      </c>
      <c r="B29" s="133" t="s">
        <v>387</v>
      </c>
      <c r="C29" s="134">
        <v>98.0</v>
      </c>
      <c r="D29" s="134">
        <v>22.9</v>
      </c>
      <c r="E29" s="134">
        <v>20.0</v>
      </c>
      <c r="F29" s="134">
        <v>0.0</v>
      </c>
      <c r="G29" s="134">
        <v>20.0</v>
      </c>
      <c r="H29" s="134">
        <v>11.2</v>
      </c>
      <c r="I29" s="134">
        <v>20.0</v>
      </c>
      <c r="J29" s="134">
        <v>3.2</v>
      </c>
      <c r="K29" s="134">
        <v>19.0</v>
      </c>
      <c r="L29" s="134">
        <v>6.74</v>
      </c>
      <c r="M29" s="134">
        <v>19.0</v>
      </c>
      <c r="N29" s="134">
        <v>1.68</v>
      </c>
    </row>
    <row r="30">
      <c r="A30" s="131" t="s">
        <v>612</v>
      </c>
      <c r="B30" s="133" t="s">
        <v>499</v>
      </c>
      <c r="C30" s="134">
        <v>97.0</v>
      </c>
      <c r="D30" s="134">
        <v>9.07</v>
      </c>
      <c r="E30" s="134">
        <v>20.0</v>
      </c>
      <c r="F30" s="134">
        <v>0.8</v>
      </c>
      <c r="G30" s="134">
        <v>20.0</v>
      </c>
      <c r="H30" s="134">
        <v>0.8</v>
      </c>
      <c r="I30" s="134">
        <v>20.0</v>
      </c>
      <c r="J30" s="134">
        <v>3.2</v>
      </c>
      <c r="K30" s="134">
        <v>19.0</v>
      </c>
      <c r="L30" s="134">
        <v>0.842</v>
      </c>
      <c r="M30" s="134">
        <v>18.0</v>
      </c>
      <c r="N30" s="134">
        <v>3.56</v>
      </c>
    </row>
    <row r="31">
      <c r="A31" s="131" t="s">
        <v>374</v>
      </c>
      <c r="B31" s="133" t="s">
        <v>575</v>
      </c>
      <c r="C31" s="134">
        <v>81.0</v>
      </c>
      <c r="D31" s="134">
        <v>5.93</v>
      </c>
      <c r="E31" s="134">
        <v>16.0</v>
      </c>
      <c r="F31" s="134">
        <v>0.0</v>
      </c>
      <c r="G31" s="134">
        <v>16.0</v>
      </c>
      <c r="H31" s="134">
        <v>0.0</v>
      </c>
      <c r="I31" s="134">
        <v>16.0</v>
      </c>
      <c r="J31" s="134">
        <v>3.0</v>
      </c>
      <c r="K31" s="134">
        <v>16.0</v>
      </c>
      <c r="L31" s="134">
        <v>3.0</v>
      </c>
      <c r="M31" s="134">
        <v>17.0</v>
      </c>
      <c r="N31" s="134">
        <v>0.0</v>
      </c>
    </row>
    <row r="32">
      <c r="A32" s="131" t="s">
        <v>420</v>
      </c>
      <c r="B32" s="133" t="s">
        <v>613</v>
      </c>
      <c r="C32" s="134">
        <v>80.0</v>
      </c>
      <c r="D32" s="134">
        <v>4.0</v>
      </c>
      <c r="E32" s="134">
        <v>17.0</v>
      </c>
      <c r="F32" s="134">
        <v>0.941</v>
      </c>
      <c r="G32" s="134">
        <v>17.0</v>
      </c>
      <c r="H32" s="134">
        <v>0.0</v>
      </c>
      <c r="I32" s="134">
        <v>16.0</v>
      </c>
      <c r="J32" s="134">
        <v>3.0</v>
      </c>
      <c r="K32" s="134">
        <v>15.0</v>
      </c>
      <c r="L32" s="134">
        <v>0.0</v>
      </c>
      <c r="M32" s="134">
        <v>15.0</v>
      </c>
      <c r="N32" s="134">
        <v>0.0</v>
      </c>
    </row>
    <row r="33">
      <c r="A33" s="91" t="s">
        <v>442</v>
      </c>
      <c r="B33" s="133" t="s">
        <v>433</v>
      </c>
      <c r="C33" s="134">
        <v>87.0</v>
      </c>
      <c r="D33" s="134">
        <v>9.2</v>
      </c>
      <c r="E33" s="134">
        <v>17.0</v>
      </c>
      <c r="F33" s="134">
        <v>6.59</v>
      </c>
      <c r="G33" s="134">
        <v>18.0</v>
      </c>
      <c r="H33" s="134">
        <v>0.0</v>
      </c>
      <c r="I33" s="134">
        <v>18.0</v>
      </c>
      <c r="J33" s="134">
        <v>2.67</v>
      </c>
      <c r="K33" s="134">
        <v>17.0</v>
      </c>
      <c r="L33" s="134">
        <v>0.0</v>
      </c>
      <c r="M33" s="134">
        <v>17.0</v>
      </c>
      <c r="N33" s="134">
        <v>0.0</v>
      </c>
    </row>
    <row r="34">
      <c r="A34" s="131" t="s">
        <v>432</v>
      </c>
      <c r="B34" s="133" t="s">
        <v>423</v>
      </c>
      <c r="C34" s="134">
        <v>89.0</v>
      </c>
      <c r="D34" s="134">
        <v>14.4</v>
      </c>
      <c r="E34" s="134">
        <v>19.0</v>
      </c>
      <c r="F34" s="134">
        <v>0.0</v>
      </c>
      <c r="G34" s="134">
        <v>18.0</v>
      </c>
      <c r="H34" s="134">
        <v>0.889</v>
      </c>
      <c r="I34" s="134">
        <v>18.0</v>
      </c>
      <c r="J34" s="134">
        <v>2.67</v>
      </c>
      <c r="K34" s="134">
        <v>17.0</v>
      </c>
      <c r="L34" s="134">
        <v>9.41</v>
      </c>
      <c r="M34" s="134">
        <v>17.0</v>
      </c>
      <c r="N34" s="134">
        <v>1.88</v>
      </c>
    </row>
    <row r="35">
      <c r="A35" s="131" t="s">
        <v>593</v>
      </c>
      <c r="B35" s="133" t="s">
        <v>445</v>
      </c>
      <c r="C35" s="134">
        <v>56.0</v>
      </c>
      <c r="D35" s="134">
        <v>10.0</v>
      </c>
      <c r="E35" s="134">
        <v>12.0</v>
      </c>
      <c r="F35" s="134">
        <v>5.33</v>
      </c>
      <c r="G35" s="134">
        <v>12.0</v>
      </c>
      <c r="H35" s="134">
        <v>0.0</v>
      </c>
      <c r="I35" s="134">
        <v>12.0</v>
      </c>
      <c r="J35" s="134">
        <v>2.67</v>
      </c>
      <c r="K35" s="134">
        <v>10.0</v>
      </c>
      <c r="L35" s="134">
        <v>0.0</v>
      </c>
      <c r="M35" s="134">
        <v>10.0</v>
      </c>
      <c r="N35" s="134">
        <v>1.6</v>
      </c>
    </row>
    <row r="36">
      <c r="A36" s="131" t="s">
        <v>429</v>
      </c>
      <c r="B36" s="133" t="s">
        <v>502</v>
      </c>
      <c r="C36" s="134">
        <v>89.0</v>
      </c>
      <c r="D36" s="134">
        <v>8.99</v>
      </c>
      <c r="E36" s="134">
        <v>17.0</v>
      </c>
      <c r="F36" s="134">
        <v>0.941</v>
      </c>
      <c r="G36" s="134">
        <v>18.0</v>
      </c>
      <c r="H36" s="134">
        <v>4.44</v>
      </c>
      <c r="I36" s="134">
        <v>18.0</v>
      </c>
      <c r="J36" s="134">
        <v>2.67</v>
      </c>
      <c r="K36" s="134">
        <v>18.0</v>
      </c>
      <c r="L36" s="134">
        <v>0.0</v>
      </c>
      <c r="M36" s="134">
        <v>18.0</v>
      </c>
      <c r="N36" s="134">
        <v>0.889</v>
      </c>
    </row>
    <row r="37">
      <c r="A37" s="131" t="s">
        <v>528</v>
      </c>
      <c r="B37" s="133" t="s">
        <v>375</v>
      </c>
      <c r="C37" s="134">
        <v>93.0</v>
      </c>
      <c r="D37" s="134">
        <v>26.7</v>
      </c>
      <c r="E37" s="134">
        <v>20.0</v>
      </c>
      <c r="F37" s="134">
        <v>7.2</v>
      </c>
      <c r="G37" s="134">
        <v>19.0</v>
      </c>
      <c r="H37" s="134">
        <v>5.89</v>
      </c>
      <c r="I37" s="134">
        <v>18.0</v>
      </c>
      <c r="J37" s="134">
        <v>2.67</v>
      </c>
      <c r="K37" s="134">
        <v>18.0</v>
      </c>
      <c r="L37" s="134">
        <v>8.89</v>
      </c>
      <c r="M37" s="134">
        <v>18.0</v>
      </c>
      <c r="N37" s="134">
        <v>1.78</v>
      </c>
    </row>
    <row r="38">
      <c r="A38" s="131" t="s">
        <v>585</v>
      </c>
      <c r="B38" s="133" t="s">
        <v>590</v>
      </c>
      <c r="C38" s="134">
        <v>97.0</v>
      </c>
      <c r="D38" s="134">
        <v>4.95</v>
      </c>
      <c r="E38" s="134">
        <v>20.0</v>
      </c>
      <c r="F38" s="134">
        <v>0.8</v>
      </c>
      <c r="G38" s="134">
        <v>20.0</v>
      </c>
      <c r="H38" s="134">
        <v>0.8</v>
      </c>
      <c r="I38" s="134">
        <v>19.0</v>
      </c>
      <c r="J38" s="134">
        <v>2.53</v>
      </c>
      <c r="K38" s="134">
        <v>19.0</v>
      </c>
      <c r="L38" s="134">
        <v>0.0</v>
      </c>
      <c r="M38" s="134">
        <v>19.0</v>
      </c>
      <c r="N38" s="134">
        <v>0.842</v>
      </c>
    </row>
    <row r="39">
      <c r="A39" s="131" t="s">
        <v>621</v>
      </c>
      <c r="B39" s="133" t="s">
        <v>426</v>
      </c>
      <c r="C39" s="134">
        <v>98.0</v>
      </c>
      <c r="D39" s="134">
        <v>13.1</v>
      </c>
      <c r="E39" s="134">
        <v>20.0</v>
      </c>
      <c r="F39" s="134">
        <v>7.2</v>
      </c>
      <c r="G39" s="134">
        <v>20.0</v>
      </c>
      <c r="H39" s="134">
        <v>0.0</v>
      </c>
      <c r="I39" s="134">
        <v>20.0</v>
      </c>
      <c r="J39" s="134">
        <v>2.4</v>
      </c>
      <c r="K39" s="134">
        <v>19.0</v>
      </c>
      <c r="L39" s="134">
        <v>1.68</v>
      </c>
      <c r="M39" s="134">
        <v>19.0</v>
      </c>
      <c r="N39" s="134">
        <v>1.68</v>
      </c>
    </row>
    <row r="40">
      <c r="A40" s="131" t="s">
        <v>660</v>
      </c>
      <c r="B40" s="133" t="s">
        <v>578</v>
      </c>
      <c r="C40" s="134">
        <v>99.0</v>
      </c>
      <c r="D40" s="134">
        <v>5.66</v>
      </c>
      <c r="E40" s="134">
        <v>20.0</v>
      </c>
      <c r="F40" s="134">
        <v>0.8</v>
      </c>
      <c r="G40" s="134">
        <v>20.0</v>
      </c>
      <c r="H40" s="134">
        <v>0.0</v>
      </c>
      <c r="I40" s="134">
        <v>20.0</v>
      </c>
      <c r="J40" s="134">
        <v>2.4</v>
      </c>
      <c r="K40" s="134">
        <v>20.0</v>
      </c>
      <c r="L40" s="134">
        <v>1.6</v>
      </c>
      <c r="M40" s="134">
        <v>19.0</v>
      </c>
      <c r="N40" s="134">
        <v>0.842</v>
      </c>
    </row>
    <row r="41">
      <c r="A41" s="131" t="s">
        <v>462</v>
      </c>
      <c r="B41" s="133" t="s">
        <v>616</v>
      </c>
      <c r="C41" s="134">
        <v>98.0</v>
      </c>
      <c r="D41" s="134">
        <v>4.08</v>
      </c>
      <c r="E41" s="134">
        <v>21.0</v>
      </c>
      <c r="F41" s="134">
        <v>0.762</v>
      </c>
      <c r="G41" s="134">
        <v>21.0</v>
      </c>
      <c r="H41" s="134">
        <v>0.762</v>
      </c>
      <c r="I41" s="134">
        <v>20.0</v>
      </c>
      <c r="J41" s="134">
        <v>2.4</v>
      </c>
      <c r="K41" s="134">
        <v>18.0</v>
      </c>
      <c r="L41" s="134">
        <v>0.0</v>
      </c>
      <c r="M41" s="134">
        <v>18.0</v>
      </c>
      <c r="N41" s="134">
        <v>0.0</v>
      </c>
    </row>
    <row r="42">
      <c r="A42" s="131" t="s">
        <v>465</v>
      </c>
      <c r="B42" s="133" t="s">
        <v>529</v>
      </c>
      <c r="C42" s="134">
        <v>100.0</v>
      </c>
      <c r="D42" s="134">
        <v>6.4</v>
      </c>
      <c r="E42" s="134">
        <v>20.0</v>
      </c>
      <c r="F42" s="134">
        <v>2.4</v>
      </c>
      <c r="G42" s="134">
        <v>20.0</v>
      </c>
      <c r="H42" s="134">
        <v>0.0</v>
      </c>
      <c r="I42" s="134">
        <v>20.0</v>
      </c>
      <c r="J42" s="134">
        <v>2.4</v>
      </c>
      <c r="K42" s="134">
        <v>20.0</v>
      </c>
      <c r="L42" s="134">
        <v>0.0</v>
      </c>
      <c r="M42" s="134">
        <v>20.0</v>
      </c>
      <c r="N42" s="134">
        <v>1.6</v>
      </c>
    </row>
    <row r="43">
      <c r="A43" s="131" t="s">
        <v>573</v>
      </c>
      <c r="B43" s="133" t="s">
        <v>664</v>
      </c>
      <c r="C43" s="134">
        <v>99.0</v>
      </c>
      <c r="D43" s="134">
        <v>2.42</v>
      </c>
      <c r="E43" s="134">
        <v>20.0</v>
      </c>
      <c r="F43" s="134">
        <v>0.0</v>
      </c>
      <c r="G43" s="134">
        <v>20.0</v>
      </c>
      <c r="H43" s="134">
        <v>0.0</v>
      </c>
      <c r="I43" s="134">
        <v>20.0</v>
      </c>
      <c r="J43" s="134">
        <v>2.4</v>
      </c>
      <c r="K43" s="134">
        <v>20.0</v>
      </c>
      <c r="L43" s="134">
        <v>0.0</v>
      </c>
      <c r="M43" s="134">
        <v>19.0</v>
      </c>
      <c r="N43" s="134">
        <v>0.0</v>
      </c>
    </row>
    <row r="44">
      <c r="A44" s="131" t="s">
        <v>603</v>
      </c>
      <c r="B44" s="133" t="s">
        <v>463</v>
      </c>
      <c r="C44" s="134">
        <v>37.0</v>
      </c>
      <c r="D44" s="134">
        <v>8.65</v>
      </c>
      <c r="E44" s="134">
        <v>8.0</v>
      </c>
      <c r="F44" s="134">
        <v>4.0</v>
      </c>
      <c r="G44" s="134">
        <v>8.0</v>
      </c>
      <c r="H44" s="134">
        <v>2.0</v>
      </c>
      <c r="I44" s="134">
        <v>7.0</v>
      </c>
      <c r="J44" s="134">
        <v>2.29</v>
      </c>
      <c r="K44" s="134">
        <v>7.0</v>
      </c>
      <c r="L44" s="134">
        <v>0.0</v>
      </c>
      <c r="M44" s="134">
        <v>7.0</v>
      </c>
      <c r="N44" s="134">
        <v>0.0</v>
      </c>
    </row>
    <row r="45">
      <c r="A45" s="131" t="s">
        <v>646</v>
      </c>
      <c r="B45" s="133" t="s">
        <v>481</v>
      </c>
      <c r="C45" s="134">
        <v>67.0</v>
      </c>
      <c r="D45" s="134">
        <v>5.97</v>
      </c>
      <c r="E45" s="134">
        <v>13.0</v>
      </c>
      <c r="F45" s="134">
        <v>3.69</v>
      </c>
      <c r="G45" s="134">
        <v>13.0</v>
      </c>
      <c r="H45" s="134">
        <v>0.0</v>
      </c>
      <c r="I45" s="134">
        <v>14.0</v>
      </c>
      <c r="J45" s="134">
        <v>2.29</v>
      </c>
      <c r="K45" s="134">
        <v>14.0</v>
      </c>
      <c r="L45" s="134">
        <v>0.0</v>
      </c>
      <c r="M45" s="134">
        <v>13.0</v>
      </c>
      <c r="N45" s="134">
        <v>0.0</v>
      </c>
    </row>
    <row r="46">
      <c r="A46" s="131" t="s">
        <v>509</v>
      </c>
      <c r="B46" s="133" t="s">
        <v>650</v>
      </c>
      <c r="C46" s="134">
        <v>78.0</v>
      </c>
      <c r="D46" s="134">
        <v>3.08</v>
      </c>
      <c r="E46" s="134">
        <v>16.0</v>
      </c>
      <c r="F46" s="134">
        <v>0.0</v>
      </c>
      <c r="G46" s="134">
        <v>16.0</v>
      </c>
      <c r="H46" s="134">
        <v>0.0</v>
      </c>
      <c r="I46" s="134">
        <v>16.0</v>
      </c>
      <c r="J46" s="134">
        <v>2.0</v>
      </c>
      <c r="K46" s="134">
        <v>15.0</v>
      </c>
      <c r="L46" s="134">
        <v>1.07</v>
      </c>
      <c r="M46" s="134">
        <v>15.0</v>
      </c>
      <c r="N46" s="134">
        <v>0.0</v>
      </c>
    </row>
    <row r="47">
      <c r="A47" s="131" t="s">
        <v>563</v>
      </c>
      <c r="B47" s="133" t="s">
        <v>589</v>
      </c>
      <c r="C47" s="134">
        <v>78.0</v>
      </c>
      <c r="D47" s="134">
        <v>4.1</v>
      </c>
      <c r="E47" s="134">
        <v>16.0</v>
      </c>
      <c r="F47" s="134">
        <v>1.0</v>
      </c>
      <c r="G47" s="134">
        <v>16.0</v>
      </c>
      <c r="H47" s="134">
        <v>0.0</v>
      </c>
      <c r="I47" s="134">
        <v>16.0</v>
      </c>
      <c r="J47" s="134">
        <v>2.0</v>
      </c>
      <c r="K47" s="134">
        <v>15.0</v>
      </c>
      <c r="L47" s="134">
        <v>0.0</v>
      </c>
      <c r="M47" s="134">
        <v>15.0</v>
      </c>
      <c r="N47" s="134">
        <v>1.07</v>
      </c>
    </row>
    <row r="48">
      <c r="A48" s="131" t="s">
        <v>554</v>
      </c>
      <c r="B48" s="133" t="s">
        <v>572</v>
      </c>
      <c r="C48" s="134">
        <v>39.0</v>
      </c>
      <c r="D48" s="134">
        <v>6.15</v>
      </c>
      <c r="E48" s="134">
        <v>8.0</v>
      </c>
      <c r="F48" s="134">
        <v>0.0</v>
      </c>
      <c r="G48" s="134">
        <v>8.0</v>
      </c>
      <c r="H48" s="134">
        <v>0.0</v>
      </c>
      <c r="I48" s="134">
        <v>8.0</v>
      </c>
      <c r="J48" s="134">
        <v>2.0</v>
      </c>
      <c r="K48" s="134">
        <v>8.0</v>
      </c>
      <c r="L48" s="134">
        <v>2.0</v>
      </c>
      <c r="M48" s="134">
        <v>7.0</v>
      </c>
      <c r="N48" s="134">
        <v>2.29</v>
      </c>
    </row>
    <row r="49">
      <c r="A49" s="131" t="s">
        <v>685</v>
      </c>
      <c r="B49" s="133" t="s">
        <v>511</v>
      </c>
      <c r="C49" s="134">
        <v>82.0</v>
      </c>
      <c r="D49" s="134">
        <v>8.78</v>
      </c>
      <c r="E49" s="134">
        <v>17.0</v>
      </c>
      <c r="F49" s="134">
        <v>0.941</v>
      </c>
      <c r="G49" s="134">
        <v>16.0</v>
      </c>
      <c r="H49" s="134">
        <v>0.0</v>
      </c>
      <c r="I49" s="134">
        <v>17.0</v>
      </c>
      <c r="J49" s="134">
        <v>1.88</v>
      </c>
      <c r="K49" s="134">
        <v>16.0</v>
      </c>
      <c r="L49" s="134">
        <v>0.0</v>
      </c>
      <c r="M49" s="134">
        <v>16.0</v>
      </c>
      <c r="N49" s="134">
        <v>6.0</v>
      </c>
    </row>
    <row r="50">
      <c r="A50" s="131" t="s">
        <v>639</v>
      </c>
      <c r="B50" s="133" t="s">
        <v>691</v>
      </c>
      <c r="C50" s="134">
        <v>49.0</v>
      </c>
      <c r="D50" s="134">
        <v>1.63</v>
      </c>
      <c r="E50" s="134">
        <v>10.0</v>
      </c>
      <c r="F50" s="134">
        <v>0.0</v>
      </c>
      <c r="G50" s="134">
        <v>10.0</v>
      </c>
      <c r="H50" s="134">
        <v>0.0</v>
      </c>
      <c r="I50" s="134">
        <v>9.0</v>
      </c>
      <c r="J50" s="134">
        <v>1.78</v>
      </c>
      <c r="K50" s="134">
        <v>10.0</v>
      </c>
      <c r="L50" s="134">
        <v>0.0</v>
      </c>
      <c r="M50" s="134">
        <v>10.0</v>
      </c>
      <c r="N50" s="134">
        <v>0.0</v>
      </c>
    </row>
    <row r="51">
      <c r="A51" s="131" t="s">
        <v>396</v>
      </c>
      <c r="B51" s="133" t="s">
        <v>559</v>
      </c>
      <c r="C51" s="134">
        <v>88.0</v>
      </c>
      <c r="D51" s="134">
        <v>3.64</v>
      </c>
      <c r="E51" s="134">
        <v>17.0</v>
      </c>
      <c r="F51" s="134">
        <v>1.88</v>
      </c>
      <c r="G51" s="134">
        <v>17.0</v>
      </c>
      <c r="H51" s="134">
        <v>0.0</v>
      </c>
      <c r="I51" s="134">
        <v>18.0</v>
      </c>
      <c r="J51" s="134">
        <v>1.78</v>
      </c>
      <c r="K51" s="134">
        <v>18.0</v>
      </c>
      <c r="L51" s="134">
        <v>0.0</v>
      </c>
      <c r="M51" s="134">
        <v>18.0</v>
      </c>
      <c r="N51" s="134">
        <v>0.0</v>
      </c>
    </row>
    <row r="52">
      <c r="A52" s="131" t="s">
        <v>400</v>
      </c>
      <c r="B52" s="133" t="s">
        <v>441</v>
      </c>
      <c r="C52" s="134">
        <v>90.0</v>
      </c>
      <c r="D52" s="134">
        <v>13.3</v>
      </c>
      <c r="E52" s="134">
        <v>18.0</v>
      </c>
      <c r="F52" s="134">
        <v>2.67</v>
      </c>
      <c r="G52" s="134">
        <v>18.0</v>
      </c>
      <c r="H52" s="134">
        <v>0.889</v>
      </c>
      <c r="I52" s="134">
        <v>18.0</v>
      </c>
      <c r="J52" s="134">
        <v>1.78</v>
      </c>
      <c r="K52" s="134">
        <v>18.0</v>
      </c>
      <c r="L52" s="134">
        <v>6.22</v>
      </c>
      <c r="M52" s="134">
        <v>18.0</v>
      </c>
      <c r="N52" s="134">
        <v>1.78</v>
      </c>
    </row>
    <row r="53">
      <c r="A53" s="131" t="s">
        <v>458</v>
      </c>
      <c r="B53" s="133" t="s">
        <v>642</v>
      </c>
      <c r="C53" s="134">
        <v>96.0</v>
      </c>
      <c r="D53" s="134">
        <v>3.33</v>
      </c>
      <c r="E53" s="134">
        <v>20.0</v>
      </c>
      <c r="F53" s="134">
        <v>0.0</v>
      </c>
      <c r="G53" s="134">
        <v>19.0</v>
      </c>
      <c r="H53" s="134">
        <v>0.0</v>
      </c>
      <c r="I53" s="134">
        <v>19.0</v>
      </c>
      <c r="J53" s="134">
        <v>1.68</v>
      </c>
      <c r="K53" s="134">
        <v>19.0</v>
      </c>
      <c r="L53" s="134">
        <v>1.68</v>
      </c>
      <c r="M53" s="134">
        <v>19.0</v>
      </c>
      <c r="N53" s="134">
        <v>0.0</v>
      </c>
    </row>
    <row r="54">
      <c r="A54" s="131" t="s">
        <v>482</v>
      </c>
      <c r="B54" s="133" t="s">
        <v>505</v>
      </c>
      <c r="C54" s="134">
        <v>98.0</v>
      </c>
      <c r="D54" s="134">
        <v>8.98</v>
      </c>
      <c r="E54" s="134">
        <v>20.0</v>
      </c>
      <c r="F54" s="134">
        <v>0.8</v>
      </c>
      <c r="G54" s="134">
        <v>20.0</v>
      </c>
      <c r="H54" s="134">
        <v>1.6</v>
      </c>
      <c r="I54" s="134">
        <v>20.0</v>
      </c>
      <c r="J54" s="134">
        <v>1.6</v>
      </c>
      <c r="K54" s="134">
        <v>19.0</v>
      </c>
      <c r="L54" s="134">
        <v>5.89</v>
      </c>
      <c r="M54" s="134">
        <v>19.0</v>
      </c>
      <c r="N54" s="134">
        <v>-0.842</v>
      </c>
    </row>
    <row r="55">
      <c r="A55" s="131" t="s">
        <v>418</v>
      </c>
      <c r="B55" s="133" t="s">
        <v>419</v>
      </c>
      <c r="C55" s="134">
        <v>100.0</v>
      </c>
      <c r="D55" s="134">
        <v>10.4</v>
      </c>
      <c r="E55" s="134">
        <v>20.0</v>
      </c>
      <c r="F55" s="134">
        <v>8.8</v>
      </c>
      <c r="G55" s="134">
        <v>20.0</v>
      </c>
      <c r="H55" s="134">
        <v>0.0</v>
      </c>
      <c r="I55" s="134">
        <v>20.0</v>
      </c>
      <c r="J55" s="134">
        <v>1.6</v>
      </c>
      <c r="K55" s="134">
        <v>20.0</v>
      </c>
      <c r="L55" s="134">
        <v>0.0</v>
      </c>
      <c r="M55" s="134">
        <v>20.0</v>
      </c>
      <c r="N55" s="134">
        <v>0.0</v>
      </c>
    </row>
    <row r="56">
      <c r="A56" s="131" t="s">
        <v>504</v>
      </c>
      <c r="B56" s="133" t="s">
        <v>706</v>
      </c>
      <c r="C56" s="134">
        <v>52.0</v>
      </c>
      <c r="D56" s="134">
        <v>0.0</v>
      </c>
      <c r="E56" s="134">
        <v>12.0</v>
      </c>
      <c r="F56" s="134">
        <v>0.0</v>
      </c>
      <c r="G56" s="134">
        <v>11.0</v>
      </c>
      <c r="H56" s="134">
        <v>-1.45</v>
      </c>
      <c r="I56" s="134">
        <v>10.0</v>
      </c>
      <c r="J56" s="134">
        <v>1.6</v>
      </c>
      <c r="K56" s="134">
        <v>9.0</v>
      </c>
      <c r="L56" s="134">
        <v>0.0</v>
      </c>
      <c r="M56" s="134">
        <v>10.0</v>
      </c>
      <c r="N56" s="134">
        <v>0.0</v>
      </c>
    </row>
    <row r="57">
      <c r="A57" s="131" t="s">
        <v>436</v>
      </c>
      <c r="B57" s="133" t="s">
        <v>443</v>
      </c>
      <c r="C57" s="134">
        <v>99.0</v>
      </c>
      <c r="D57" s="134">
        <v>6.46</v>
      </c>
      <c r="E57" s="134">
        <v>20.0</v>
      </c>
      <c r="F57" s="134">
        <v>5.6</v>
      </c>
      <c r="G57" s="134">
        <v>20.0</v>
      </c>
      <c r="H57" s="134">
        <v>0.0</v>
      </c>
      <c r="I57" s="134">
        <v>20.0</v>
      </c>
      <c r="J57" s="134">
        <v>1.6</v>
      </c>
      <c r="K57" s="134">
        <v>20.0</v>
      </c>
      <c r="L57" s="134">
        <v>-0.8</v>
      </c>
      <c r="M57" s="134">
        <v>19.0</v>
      </c>
      <c r="N57" s="134">
        <v>0.0</v>
      </c>
    </row>
    <row r="58">
      <c r="A58" s="131" t="s">
        <v>448</v>
      </c>
      <c r="B58" s="133" t="s">
        <v>401</v>
      </c>
      <c r="C58" s="134">
        <v>99.0</v>
      </c>
      <c r="D58" s="134">
        <v>17.0</v>
      </c>
      <c r="E58" s="134">
        <v>20.0</v>
      </c>
      <c r="F58" s="134">
        <v>0.0</v>
      </c>
      <c r="G58" s="134">
        <v>20.0</v>
      </c>
      <c r="H58" s="134">
        <v>9.6</v>
      </c>
      <c r="I58" s="134">
        <v>20.0</v>
      </c>
      <c r="J58" s="134">
        <v>1.6</v>
      </c>
      <c r="K58" s="134">
        <v>20.0</v>
      </c>
      <c r="L58" s="134">
        <v>-0.8</v>
      </c>
      <c r="M58" s="134">
        <v>19.0</v>
      </c>
      <c r="N58" s="134">
        <v>6.74</v>
      </c>
    </row>
    <row r="59">
      <c r="A59" s="131" t="s">
        <v>583</v>
      </c>
      <c r="B59" s="133" t="s">
        <v>574</v>
      </c>
      <c r="C59" s="134">
        <v>95.0</v>
      </c>
      <c r="D59" s="134">
        <v>4.21</v>
      </c>
      <c r="E59" s="134">
        <v>20.0</v>
      </c>
      <c r="F59" s="134">
        <v>1.6</v>
      </c>
      <c r="G59" s="134">
        <v>20.0</v>
      </c>
      <c r="H59" s="134">
        <v>0.0</v>
      </c>
      <c r="I59" s="134">
        <v>20.0</v>
      </c>
      <c r="J59" s="134">
        <v>1.6</v>
      </c>
      <c r="K59" s="134">
        <v>18.0</v>
      </c>
      <c r="L59" s="134">
        <v>0.0</v>
      </c>
      <c r="M59" s="134">
        <v>17.0</v>
      </c>
      <c r="N59" s="134">
        <v>0.941</v>
      </c>
    </row>
    <row r="60">
      <c r="A60" s="91" t="s">
        <v>724</v>
      </c>
      <c r="B60" s="133" t="s">
        <v>449</v>
      </c>
      <c r="C60" s="134">
        <v>99.0</v>
      </c>
      <c r="D60" s="134">
        <v>6.46</v>
      </c>
      <c r="E60" s="134">
        <v>20.0</v>
      </c>
      <c r="F60" s="134">
        <v>4.8</v>
      </c>
      <c r="G60" s="134">
        <v>20.0</v>
      </c>
      <c r="H60" s="134">
        <v>0.0</v>
      </c>
      <c r="I60" s="134">
        <v>20.0</v>
      </c>
      <c r="J60" s="134">
        <v>1.6</v>
      </c>
      <c r="K60" s="134">
        <v>20.0</v>
      </c>
      <c r="L60" s="134">
        <v>0.0</v>
      </c>
      <c r="M60" s="134">
        <v>19.0</v>
      </c>
      <c r="N60" s="134">
        <v>0.0</v>
      </c>
    </row>
    <row r="61">
      <c r="A61" s="131" t="s">
        <v>588</v>
      </c>
      <c r="B61" s="133" t="s">
        <v>484</v>
      </c>
      <c r="C61" s="134">
        <v>99.0</v>
      </c>
      <c r="D61" s="134">
        <v>10.5</v>
      </c>
      <c r="E61" s="134">
        <v>20.0</v>
      </c>
      <c r="F61" s="134">
        <v>0.8</v>
      </c>
      <c r="G61" s="134">
        <v>20.0</v>
      </c>
      <c r="H61" s="134">
        <v>6.4</v>
      </c>
      <c r="I61" s="134">
        <v>20.0</v>
      </c>
      <c r="J61" s="134">
        <v>1.6</v>
      </c>
      <c r="K61" s="134">
        <v>20.0</v>
      </c>
      <c r="L61" s="134">
        <v>1.6</v>
      </c>
      <c r="M61" s="134">
        <v>19.0</v>
      </c>
      <c r="N61" s="134">
        <v>0.0</v>
      </c>
    </row>
    <row r="62">
      <c r="A62" s="131" t="s">
        <v>416</v>
      </c>
      <c r="B62" s="133" t="s">
        <v>584</v>
      </c>
      <c r="C62" s="134">
        <v>59.0</v>
      </c>
      <c r="D62" s="134">
        <v>2.71</v>
      </c>
      <c r="E62" s="134">
        <v>12.0</v>
      </c>
      <c r="F62" s="134">
        <v>1.33</v>
      </c>
      <c r="G62" s="134">
        <v>12.0</v>
      </c>
      <c r="H62" s="134">
        <v>0.0</v>
      </c>
      <c r="I62" s="134">
        <v>12.0</v>
      </c>
      <c r="J62" s="134">
        <v>1.33</v>
      </c>
      <c r="K62" s="134">
        <v>12.0</v>
      </c>
      <c r="L62" s="134">
        <v>0.0</v>
      </c>
      <c r="M62" s="134">
        <v>11.0</v>
      </c>
      <c r="N62" s="134">
        <v>0.0</v>
      </c>
    </row>
    <row r="63">
      <c r="A63" s="131" t="s">
        <v>456</v>
      </c>
      <c r="B63" s="133" t="s">
        <v>421</v>
      </c>
      <c r="C63" s="134">
        <v>66.0</v>
      </c>
      <c r="D63" s="134">
        <v>14.5</v>
      </c>
      <c r="E63" s="134">
        <v>15.0</v>
      </c>
      <c r="F63" s="134">
        <v>3.2</v>
      </c>
      <c r="G63" s="134">
        <v>14.0</v>
      </c>
      <c r="H63" s="134">
        <v>6.86</v>
      </c>
      <c r="I63" s="134">
        <v>13.0</v>
      </c>
      <c r="J63" s="134">
        <v>1.23</v>
      </c>
      <c r="K63" s="134">
        <v>12.0</v>
      </c>
      <c r="L63" s="134">
        <v>1.33</v>
      </c>
      <c r="M63" s="134">
        <v>12.0</v>
      </c>
      <c r="N63" s="134">
        <v>1.33</v>
      </c>
    </row>
    <row r="64">
      <c r="A64" s="131" t="s">
        <v>692</v>
      </c>
      <c r="B64" s="133" t="s">
        <v>696</v>
      </c>
      <c r="C64" s="134">
        <v>70.0</v>
      </c>
      <c r="D64" s="134">
        <v>1.14</v>
      </c>
      <c r="E64" s="134">
        <v>14.0</v>
      </c>
      <c r="F64" s="134">
        <v>0.0</v>
      </c>
      <c r="G64" s="134">
        <v>14.0</v>
      </c>
      <c r="H64" s="134">
        <v>0.0</v>
      </c>
      <c r="I64" s="134">
        <v>14.0</v>
      </c>
      <c r="J64" s="134">
        <v>1.14</v>
      </c>
      <c r="K64" s="134">
        <v>14.0</v>
      </c>
      <c r="L64" s="134">
        <v>0.0</v>
      </c>
      <c r="M64" s="134">
        <v>14.0</v>
      </c>
      <c r="N64" s="134">
        <v>0.0</v>
      </c>
    </row>
    <row r="65">
      <c r="A65" s="131" t="s">
        <v>617</v>
      </c>
      <c r="B65" s="133" t="s">
        <v>461</v>
      </c>
      <c r="C65" s="134">
        <v>71.0</v>
      </c>
      <c r="D65" s="134">
        <v>10.1</v>
      </c>
      <c r="E65" s="134">
        <v>16.0</v>
      </c>
      <c r="F65" s="134">
        <v>4.0</v>
      </c>
      <c r="G65" s="134">
        <v>14.0</v>
      </c>
      <c r="H65" s="134">
        <v>3.43</v>
      </c>
      <c r="I65" s="134">
        <v>14.0</v>
      </c>
      <c r="J65" s="134">
        <v>1.14</v>
      </c>
      <c r="K65" s="134">
        <v>14.0</v>
      </c>
      <c r="L65" s="134">
        <v>0.0</v>
      </c>
      <c r="M65" s="134">
        <v>13.0</v>
      </c>
      <c r="N65" s="134">
        <v>1.23</v>
      </c>
    </row>
    <row r="66">
      <c r="A66" s="131" t="s">
        <v>608</v>
      </c>
      <c r="B66" s="133" t="s">
        <v>614</v>
      </c>
      <c r="C66" s="134">
        <v>78.0</v>
      </c>
      <c r="D66" s="134">
        <v>4.1</v>
      </c>
      <c r="E66" s="134">
        <v>18.0</v>
      </c>
      <c r="F66" s="134">
        <v>0.889</v>
      </c>
      <c r="G66" s="134">
        <v>16.0</v>
      </c>
      <c r="H66" s="134">
        <v>1.0</v>
      </c>
      <c r="I66" s="134">
        <v>15.0</v>
      </c>
      <c r="J66" s="134">
        <v>1.07</v>
      </c>
      <c r="K66" s="134">
        <v>15.0</v>
      </c>
      <c r="L66" s="134">
        <v>-1.07</v>
      </c>
      <c r="M66" s="134">
        <v>14.0</v>
      </c>
      <c r="N66" s="134">
        <v>2.29</v>
      </c>
    </row>
    <row r="67">
      <c r="A67" s="131" t="s">
        <v>667</v>
      </c>
      <c r="B67" s="133" t="s">
        <v>604</v>
      </c>
      <c r="C67" s="134">
        <v>76.0</v>
      </c>
      <c r="D67" s="134">
        <v>3.16</v>
      </c>
      <c r="E67" s="134">
        <v>16.0</v>
      </c>
      <c r="F67" s="134">
        <v>1.0</v>
      </c>
      <c r="G67" s="134">
        <v>15.0</v>
      </c>
      <c r="H67" s="134">
        <v>0.0</v>
      </c>
      <c r="I67" s="134">
        <v>15.0</v>
      </c>
      <c r="J67" s="134">
        <v>1.07</v>
      </c>
      <c r="K67" s="134">
        <v>15.0</v>
      </c>
      <c r="L67" s="134">
        <v>0.0</v>
      </c>
      <c r="M67" s="134">
        <v>15.0</v>
      </c>
      <c r="N67" s="134">
        <v>1.07</v>
      </c>
    </row>
    <row r="68">
      <c r="A68" s="131" t="s">
        <v>514</v>
      </c>
      <c r="B68" s="133" t="s">
        <v>671</v>
      </c>
      <c r="C68" s="134">
        <v>75.0</v>
      </c>
      <c r="D68" s="134">
        <v>2.13</v>
      </c>
      <c r="E68" s="134">
        <v>15.0</v>
      </c>
      <c r="F68" s="134">
        <v>0.0</v>
      </c>
      <c r="G68" s="134">
        <v>16.0</v>
      </c>
      <c r="H68" s="134">
        <v>0.0</v>
      </c>
      <c r="I68" s="134">
        <v>15.0</v>
      </c>
      <c r="J68" s="134">
        <v>1.07</v>
      </c>
      <c r="K68" s="134">
        <v>15.0</v>
      </c>
      <c r="L68" s="134">
        <v>1.07</v>
      </c>
      <c r="M68" s="134">
        <v>14.0</v>
      </c>
      <c r="N68" s="134">
        <v>0.0</v>
      </c>
    </row>
    <row r="69">
      <c r="A69" s="131" t="s">
        <v>552</v>
      </c>
      <c r="B69" s="133" t="s">
        <v>553</v>
      </c>
      <c r="C69" s="134">
        <v>82.0</v>
      </c>
      <c r="D69" s="134">
        <v>6.83</v>
      </c>
      <c r="E69" s="134">
        <v>17.0</v>
      </c>
      <c r="F69" s="134">
        <v>-0.941</v>
      </c>
      <c r="G69" s="134">
        <v>17.0</v>
      </c>
      <c r="H69" s="134">
        <v>1.88</v>
      </c>
      <c r="I69" s="134">
        <v>16.0</v>
      </c>
      <c r="J69" s="134">
        <v>1.0</v>
      </c>
      <c r="K69" s="134">
        <v>16.0</v>
      </c>
      <c r="L69" s="134">
        <v>5.0</v>
      </c>
      <c r="M69" s="134">
        <v>16.0</v>
      </c>
      <c r="N69" s="134">
        <v>0.0</v>
      </c>
    </row>
    <row r="70">
      <c r="A70" s="131" t="s">
        <v>434</v>
      </c>
      <c r="B70" s="133" t="s">
        <v>517</v>
      </c>
      <c r="C70" s="134">
        <v>77.0</v>
      </c>
      <c r="D70" s="134">
        <v>8.31</v>
      </c>
      <c r="E70" s="134">
        <v>15.0</v>
      </c>
      <c r="F70" s="134">
        <v>0.0</v>
      </c>
      <c r="G70" s="134">
        <v>15.0</v>
      </c>
      <c r="H70" s="134">
        <v>0.0</v>
      </c>
      <c r="I70" s="134">
        <v>16.0</v>
      </c>
      <c r="J70" s="134">
        <v>1.0</v>
      </c>
      <c r="K70" s="134">
        <v>16.0</v>
      </c>
      <c r="L70" s="134">
        <v>0.0</v>
      </c>
      <c r="M70" s="134">
        <v>15.0</v>
      </c>
      <c r="N70" s="134">
        <v>7.47</v>
      </c>
    </row>
    <row r="71">
      <c r="A71" s="131" t="s">
        <v>467</v>
      </c>
      <c r="B71" s="133" t="s">
        <v>634</v>
      </c>
      <c r="C71" s="134">
        <v>81.0</v>
      </c>
      <c r="D71" s="134">
        <v>3.95</v>
      </c>
      <c r="E71" s="134">
        <v>17.0</v>
      </c>
      <c r="F71" s="134">
        <v>0.0</v>
      </c>
      <c r="G71" s="134">
        <v>16.0</v>
      </c>
      <c r="H71" s="134">
        <v>1.0</v>
      </c>
      <c r="I71" s="134">
        <v>16.0</v>
      </c>
      <c r="J71" s="134">
        <v>1.0</v>
      </c>
      <c r="K71" s="134">
        <v>16.0</v>
      </c>
      <c r="L71" s="134">
        <v>1.0</v>
      </c>
      <c r="M71" s="134">
        <v>16.0</v>
      </c>
      <c r="N71" s="134">
        <v>1.0</v>
      </c>
    </row>
    <row r="72">
      <c r="A72" s="131" t="s">
        <v>501</v>
      </c>
      <c r="B72" s="133" t="s">
        <v>471</v>
      </c>
      <c r="C72" s="134">
        <v>92.0</v>
      </c>
      <c r="D72" s="134">
        <v>11.3</v>
      </c>
      <c r="E72" s="134">
        <v>20.0</v>
      </c>
      <c r="F72" s="134">
        <v>1.6</v>
      </c>
      <c r="G72" s="134">
        <v>19.0</v>
      </c>
      <c r="H72" s="134">
        <v>4.21</v>
      </c>
      <c r="I72" s="134">
        <v>18.0</v>
      </c>
      <c r="J72" s="134">
        <v>0.889</v>
      </c>
      <c r="K72" s="134">
        <v>18.0</v>
      </c>
      <c r="L72" s="134">
        <v>0.0</v>
      </c>
      <c r="M72" s="134">
        <v>17.0</v>
      </c>
      <c r="N72" s="134">
        <v>4.71</v>
      </c>
    </row>
    <row r="73">
      <c r="A73" s="131" t="s">
        <v>558</v>
      </c>
      <c r="B73" s="133" t="s">
        <v>503</v>
      </c>
      <c r="C73" s="134">
        <v>89.0</v>
      </c>
      <c r="D73" s="134">
        <v>8.99</v>
      </c>
      <c r="E73" s="134">
        <v>19.0</v>
      </c>
      <c r="F73" s="134">
        <v>2.53</v>
      </c>
      <c r="G73" s="134">
        <v>18.0</v>
      </c>
      <c r="H73" s="134">
        <v>5.33</v>
      </c>
      <c r="I73" s="134">
        <v>18.0</v>
      </c>
      <c r="J73" s="134">
        <v>0.889</v>
      </c>
      <c r="K73" s="134">
        <v>17.0</v>
      </c>
      <c r="L73" s="134">
        <v>-0.941</v>
      </c>
      <c r="M73" s="134">
        <v>17.0</v>
      </c>
      <c r="N73" s="134">
        <v>0.941</v>
      </c>
    </row>
    <row r="74">
      <c r="A74" s="131" t="s">
        <v>408</v>
      </c>
      <c r="B74" s="133" t="s">
        <v>455</v>
      </c>
      <c r="C74" s="134">
        <v>94.0</v>
      </c>
      <c r="D74" s="134">
        <v>12.8</v>
      </c>
      <c r="E74" s="134">
        <v>20.0</v>
      </c>
      <c r="F74" s="134">
        <v>0.0</v>
      </c>
      <c r="G74" s="134">
        <v>19.0</v>
      </c>
      <c r="H74" s="134">
        <v>11.8</v>
      </c>
      <c r="I74" s="134">
        <v>19.0</v>
      </c>
      <c r="J74" s="134">
        <v>0.842</v>
      </c>
      <c r="K74" s="134">
        <v>18.0</v>
      </c>
      <c r="L74" s="134">
        <v>0.0</v>
      </c>
      <c r="M74" s="134">
        <v>18.0</v>
      </c>
      <c r="N74" s="134">
        <v>0.0</v>
      </c>
    </row>
    <row r="75">
      <c r="A75" s="131" t="s">
        <v>738</v>
      </c>
      <c r="B75" s="133" t="s">
        <v>412</v>
      </c>
      <c r="C75" s="134">
        <v>97.0</v>
      </c>
      <c r="D75" s="134">
        <v>15.7</v>
      </c>
      <c r="E75" s="134">
        <v>20.0</v>
      </c>
      <c r="F75" s="134">
        <v>2.4</v>
      </c>
      <c r="G75" s="134">
        <v>20.0</v>
      </c>
      <c r="H75" s="134">
        <v>8.8</v>
      </c>
      <c r="I75" s="134">
        <v>19.0</v>
      </c>
      <c r="J75" s="134">
        <v>0.842</v>
      </c>
      <c r="K75" s="134">
        <v>19.0</v>
      </c>
      <c r="L75" s="134">
        <v>1.68</v>
      </c>
      <c r="M75" s="134">
        <v>19.0</v>
      </c>
      <c r="N75" s="134">
        <v>1.68</v>
      </c>
    </row>
    <row r="76">
      <c r="A76" s="131" t="s">
        <v>422</v>
      </c>
      <c r="B76" s="133" t="s">
        <v>747</v>
      </c>
      <c r="C76" s="134">
        <v>92.0</v>
      </c>
      <c r="D76" s="134">
        <v>0.0</v>
      </c>
      <c r="E76" s="134">
        <v>19.0</v>
      </c>
      <c r="F76" s="134">
        <v>-0.842</v>
      </c>
      <c r="G76" s="134">
        <v>19.0</v>
      </c>
      <c r="H76" s="134">
        <v>0.0</v>
      </c>
      <c r="I76" s="134">
        <v>19.0</v>
      </c>
      <c r="J76" s="134">
        <v>0.842</v>
      </c>
      <c r="K76" s="134">
        <v>19.0</v>
      </c>
      <c r="L76" s="134">
        <v>0.0</v>
      </c>
      <c r="M76" s="134">
        <v>16.0</v>
      </c>
      <c r="N76" s="134">
        <v>0.0</v>
      </c>
    </row>
    <row r="77">
      <c r="A77" s="131" t="s">
        <v>479</v>
      </c>
      <c r="B77" s="133" t="s">
        <v>656</v>
      </c>
      <c r="C77" s="134">
        <v>98.0</v>
      </c>
      <c r="D77" s="134">
        <v>2.45</v>
      </c>
      <c r="E77" s="134">
        <v>20.0</v>
      </c>
      <c r="F77" s="134">
        <v>0.0</v>
      </c>
      <c r="G77" s="134">
        <v>20.0</v>
      </c>
      <c r="H77" s="134">
        <v>0.0</v>
      </c>
      <c r="I77" s="134">
        <v>20.0</v>
      </c>
      <c r="J77" s="134">
        <v>0.8</v>
      </c>
      <c r="K77" s="134">
        <v>19.0</v>
      </c>
      <c r="L77" s="134">
        <v>1.68</v>
      </c>
      <c r="M77" s="134">
        <v>19.0</v>
      </c>
      <c r="N77" s="134">
        <v>0.0</v>
      </c>
    </row>
    <row r="78">
      <c r="A78" s="131" t="s">
        <v>444</v>
      </c>
      <c r="B78" s="133" t="s">
        <v>625</v>
      </c>
      <c r="C78" s="134">
        <v>99.0</v>
      </c>
      <c r="D78" s="134">
        <v>4.04</v>
      </c>
      <c r="E78" s="134">
        <v>20.0</v>
      </c>
      <c r="F78" s="134">
        <v>0.8</v>
      </c>
      <c r="G78" s="134">
        <v>20.0</v>
      </c>
      <c r="H78" s="134">
        <v>1.6</v>
      </c>
      <c r="I78" s="134">
        <v>20.0</v>
      </c>
      <c r="J78" s="134">
        <v>0.8</v>
      </c>
      <c r="K78" s="134">
        <v>20.0</v>
      </c>
      <c r="L78" s="134">
        <v>0.0</v>
      </c>
      <c r="M78" s="134">
        <v>19.0</v>
      </c>
      <c r="N78" s="134">
        <v>0.842</v>
      </c>
    </row>
    <row r="79">
      <c r="A79" s="131" t="s">
        <v>506</v>
      </c>
      <c r="B79" s="133" t="s">
        <v>557</v>
      </c>
      <c r="C79" s="134">
        <v>98.0</v>
      </c>
      <c r="D79" s="134">
        <v>6.53</v>
      </c>
      <c r="E79" s="134">
        <v>21.0</v>
      </c>
      <c r="F79" s="134">
        <v>0.762</v>
      </c>
      <c r="G79" s="134">
        <v>21.0</v>
      </c>
      <c r="H79" s="134">
        <v>3.05</v>
      </c>
      <c r="I79" s="134">
        <v>20.0</v>
      </c>
      <c r="J79" s="134">
        <v>0.8</v>
      </c>
      <c r="K79" s="134">
        <v>18.0</v>
      </c>
      <c r="L79" s="134">
        <v>1.78</v>
      </c>
      <c r="M79" s="134">
        <v>18.0</v>
      </c>
      <c r="N79" s="134">
        <v>0.0</v>
      </c>
    </row>
    <row r="80">
      <c r="A80" s="131" t="s">
        <v>556</v>
      </c>
      <c r="B80" s="133" t="s">
        <v>674</v>
      </c>
      <c r="C80" s="134">
        <v>100.0</v>
      </c>
      <c r="D80" s="134">
        <v>1.6</v>
      </c>
      <c r="E80" s="134">
        <v>20.0</v>
      </c>
      <c r="F80" s="134">
        <v>0.0</v>
      </c>
      <c r="G80" s="134">
        <v>20.0</v>
      </c>
      <c r="H80" s="134">
        <v>0.0</v>
      </c>
      <c r="I80" s="134">
        <v>20.0</v>
      </c>
      <c r="J80" s="134">
        <v>0.8</v>
      </c>
      <c r="K80" s="134">
        <v>20.0</v>
      </c>
      <c r="L80" s="134">
        <v>0.0</v>
      </c>
      <c r="M80" s="134">
        <v>20.0</v>
      </c>
      <c r="N80" s="134">
        <v>0.8</v>
      </c>
    </row>
    <row r="81">
      <c r="A81" s="131" t="s">
        <v>627</v>
      </c>
      <c r="B81" s="133" t="s">
        <v>451</v>
      </c>
      <c r="C81" s="134">
        <v>98.0</v>
      </c>
      <c r="D81" s="134">
        <v>13.1</v>
      </c>
      <c r="E81" s="134">
        <v>20.0</v>
      </c>
      <c r="F81" s="134">
        <v>0.8</v>
      </c>
      <c r="G81" s="134">
        <v>20.0</v>
      </c>
      <c r="H81" s="134">
        <v>8.0</v>
      </c>
      <c r="I81" s="134">
        <v>20.0</v>
      </c>
      <c r="J81" s="134">
        <v>0.8</v>
      </c>
      <c r="K81" s="134">
        <v>19.0</v>
      </c>
      <c r="L81" s="134">
        <v>0.0</v>
      </c>
      <c r="M81" s="134">
        <v>19.0</v>
      </c>
      <c r="N81" s="134">
        <v>3.37</v>
      </c>
    </row>
    <row r="82">
      <c r="A82" s="131" t="s">
        <v>631</v>
      </c>
      <c r="B82" s="133" t="s">
        <v>513</v>
      </c>
      <c r="C82" s="134">
        <v>97.0</v>
      </c>
      <c r="D82" s="134">
        <v>3.3</v>
      </c>
      <c r="E82" s="134">
        <v>20.0</v>
      </c>
      <c r="F82" s="134">
        <v>2.4</v>
      </c>
      <c r="G82" s="134">
        <v>20.0</v>
      </c>
      <c r="H82" s="134">
        <v>0.0</v>
      </c>
      <c r="I82" s="134">
        <v>20.0</v>
      </c>
      <c r="J82" s="134">
        <v>0.8</v>
      </c>
      <c r="K82" s="134">
        <v>19.0</v>
      </c>
      <c r="L82" s="134">
        <v>0.0</v>
      </c>
      <c r="M82" s="134">
        <v>18.0</v>
      </c>
      <c r="N82" s="134">
        <v>0.0</v>
      </c>
    </row>
    <row r="83">
      <c r="A83" s="131" t="s">
        <v>654</v>
      </c>
      <c r="B83" s="133" t="s">
        <v>468</v>
      </c>
      <c r="C83" s="134">
        <v>99.0</v>
      </c>
      <c r="D83" s="134">
        <v>12.1</v>
      </c>
      <c r="E83" s="134">
        <v>20.0</v>
      </c>
      <c r="F83" s="134">
        <v>0.0</v>
      </c>
      <c r="G83" s="134">
        <v>20.0</v>
      </c>
      <c r="H83" s="134">
        <v>8.0</v>
      </c>
      <c r="I83" s="134">
        <v>20.0</v>
      </c>
      <c r="J83" s="134">
        <v>0.8</v>
      </c>
      <c r="K83" s="134">
        <v>20.0</v>
      </c>
      <c r="L83" s="134">
        <v>0.0</v>
      </c>
      <c r="M83" s="134">
        <v>19.0</v>
      </c>
      <c r="N83" s="134">
        <v>3.37</v>
      </c>
    </row>
    <row r="84">
      <c r="A84" s="131" t="s">
        <v>687</v>
      </c>
      <c r="B84" s="133" t="s">
        <v>632</v>
      </c>
      <c r="C84" s="134">
        <v>100.0</v>
      </c>
      <c r="D84" s="134">
        <v>4.0</v>
      </c>
      <c r="E84" s="134">
        <v>20.0</v>
      </c>
      <c r="F84" s="134">
        <v>0.8</v>
      </c>
      <c r="G84" s="134">
        <v>20.0</v>
      </c>
      <c r="H84" s="134">
        <v>0.8</v>
      </c>
      <c r="I84" s="134">
        <v>20.0</v>
      </c>
      <c r="J84" s="134">
        <v>0.8</v>
      </c>
      <c r="K84" s="134">
        <v>20.0</v>
      </c>
      <c r="L84" s="134">
        <v>0.0</v>
      </c>
      <c r="M84" s="134">
        <v>20.0</v>
      </c>
      <c r="N84" s="134">
        <v>1.6</v>
      </c>
    </row>
    <row r="85">
      <c r="A85" s="131" t="s">
        <v>439</v>
      </c>
      <c r="B85" s="133" t="s">
        <v>508</v>
      </c>
      <c r="C85" s="134">
        <v>98.0</v>
      </c>
      <c r="D85" s="134">
        <v>8.98</v>
      </c>
      <c r="E85" s="134">
        <v>20.0</v>
      </c>
      <c r="F85" s="134">
        <v>0.0</v>
      </c>
      <c r="G85" s="134">
        <v>21.0</v>
      </c>
      <c r="H85" s="134">
        <v>3.05</v>
      </c>
      <c r="I85" s="134">
        <v>20.0</v>
      </c>
      <c r="J85" s="134">
        <v>0.8</v>
      </c>
      <c r="K85" s="134">
        <v>19.0</v>
      </c>
      <c r="L85" s="134">
        <v>5.05</v>
      </c>
      <c r="M85" s="134">
        <v>18.0</v>
      </c>
      <c r="N85" s="134">
        <v>0.0</v>
      </c>
    </row>
    <row r="86">
      <c r="A86" s="131" t="s">
        <v>488</v>
      </c>
      <c r="B86" s="133" t="s">
        <v>483</v>
      </c>
      <c r="C86" s="134">
        <v>99.0</v>
      </c>
      <c r="D86" s="134">
        <v>10.5</v>
      </c>
      <c r="E86" s="134">
        <v>20.0</v>
      </c>
      <c r="F86" s="134">
        <v>3.2</v>
      </c>
      <c r="G86" s="134">
        <v>20.0</v>
      </c>
      <c r="H86" s="134">
        <v>2.4</v>
      </c>
      <c r="I86" s="134">
        <v>20.0</v>
      </c>
      <c r="J86" s="134">
        <v>0.8</v>
      </c>
      <c r="K86" s="134">
        <v>20.0</v>
      </c>
      <c r="L86" s="134">
        <v>2.4</v>
      </c>
      <c r="M86" s="134">
        <v>19.0</v>
      </c>
      <c r="N86" s="134">
        <v>1.68</v>
      </c>
    </row>
    <row r="87">
      <c r="A87" s="131" t="s">
        <v>459</v>
      </c>
      <c r="B87" s="133" t="s">
        <v>577</v>
      </c>
      <c r="C87" s="134">
        <v>100.0</v>
      </c>
      <c r="D87" s="134">
        <v>2.4</v>
      </c>
      <c r="E87" s="134">
        <v>20.0</v>
      </c>
      <c r="F87" s="134">
        <v>1.6</v>
      </c>
      <c r="G87" s="134">
        <v>20.0</v>
      </c>
      <c r="H87" s="134">
        <v>0.0</v>
      </c>
      <c r="I87" s="134">
        <v>20.0</v>
      </c>
      <c r="J87" s="134">
        <v>0.8</v>
      </c>
      <c r="K87" s="134">
        <v>20.0</v>
      </c>
      <c r="L87" s="134">
        <v>0.0</v>
      </c>
      <c r="M87" s="134">
        <v>20.0</v>
      </c>
      <c r="N87" s="134">
        <v>0.0</v>
      </c>
    </row>
    <row r="88">
      <c r="A88" s="131" t="s">
        <v>549</v>
      </c>
      <c r="B88" s="133" t="s">
        <v>486</v>
      </c>
      <c r="C88" s="134">
        <v>100.0</v>
      </c>
      <c r="D88" s="134">
        <v>10.4</v>
      </c>
      <c r="E88" s="134">
        <v>20.0</v>
      </c>
      <c r="F88" s="134">
        <v>0.8</v>
      </c>
      <c r="G88" s="134">
        <v>20.0</v>
      </c>
      <c r="H88" s="134">
        <v>6.4</v>
      </c>
      <c r="I88" s="134">
        <v>20.0</v>
      </c>
      <c r="J88" s="134">
        <v>0.8</v>
      </c>
      <c r="K88" s="134">
        <v>20.0</v>
      </c>
      <c r="L88" s="134">
        <v>1.6</v>
      </c>
      <c r="M88" s="134">
        <v>20.0</v>
      </c>
      <c r="N88" s="134">
        <v>0.8</v>
      </c>
    </row>
    <row r="89">
      <c r="A89" s="131" t="s">
        <v>569</v>
      </c>
      <c r="B89" s="133" t="s">
        <v>435</v>
      </c>
      <c r="C89" s="134">
        <v>100.0</v>
      </c>
      <c r="D89" s="134">
        <v>13.6</v>
      </c>
      <c r="E89" s="134">
        <v>20.0</v>
      </c>
      <c r="F89" s="134">
        <v>6.4</v>
      </c>
      <c r="G89" s="134">
        <v>20.0</v>
      </c>
      <c r="H89" s="134">
        <v>1.6</v>
      </c>
      <c r="I89" s="134">
        <v>20.0</v>
      </c>
      <c r="J89" s="134">
        <v>0.8</v>
      </c>
      <c r="K89" s="134">
        <v>20.0</v>
      </c>
      <c r="L89" s="134">
        <v>0.8</v>
      </c>
      <c r="M89" s="134">
        <v>20.0</v>
      </c>
      <c r="N89" s="134">
        <v>4.0</v>
      </c>
    </row>
    <row r="90">
      <c r="A90" s="131" t="s">
        <v>404</v>
      </c>
      <c r="B90" s="133" t="s">
        <v>466</v>
      </c>
      <c r="C90" s="134">
        <v>98.0</v>
      </c>
      <c r="D90" s="134">
        <v>8.98</v>
      </c>
      <c r="E90" s="134">
        <v>20.0</v>
      </c>
      <c r="F90" s="134">
        <v>4.0</v>
      </c>
      <c r="G90" s="134">
        <v>20.0</v>
      </c>
      <c r="H90" s="134">
        <v>0.8</v>
      </c>
      <c r="I90" s="134">
        <v>21.0</v>
      </c>
      <c r="J90" s="134">
        <v>0.762</v>
      </c>
      <c r="K90" s="134">
        <v>19.0</v>
      </c>
      <c r="L90" s="134">
        <v>0.842</v>
      </c>
      <c r="M90" s="134">
        <v>18.0</v>
      </c>
      <c r="N90" s="134">
        <v>2.67</v>
      </c>
    </row>
    <row r="91">
      <c r="A91" s="131" t="s">
        <v>427</v>
      </c>
      <c r="B91" s="133" t="s">
        <v>609</v>
      </c>
      <c r="C91" s="134">
        <v>88.0</v>
      </c>
      <c r="D91" s="134">
        <v>3.64</v>
      </c>
      <c r="E91" s="134">
        <v>17.0</v>
      </c>
      <c r="F91" s="134">
        <v>0.941</v>
      </c>
      <c r="G91" s="134">
        <v>18.0</v>
      </c>
      <c r="H91" s="134">
        <v>1.78</v>
      </c>
      <c r="I91" s="134">
        <v>18.0</v>
      </c>
      <c r="J91" s="134">
        <v>0.0</v>
      </c>
      <c r="K91" s="134">
        <v>18.0</v>
      </c>
      <c r="L91" s="134">
        <v>0.0</v>
      </c>
      <c r="M91" s="134">
        <v>17.0</v>
      </c>
      <c r="N91" s="134">
        <v>0.941</v>
      </c>
    </row>
    <row r="92">
      <c r="A92" s="131" t="s">
        <v>437</v>
      </c>
      <c r="B92" s="133" t="s">
        <v>555</v>
      </c>
      <c r="C92" s="134">
        <v>70.0</v>
      </c>
      <c r="D92" s="134">
        <v>2.29</v>
      </c>
      <c r="E92" s="134">
        <v>15.0</v>
      </c>
      <c r="F92" s="134">
        <v>2.13</v>
      </c>
      <c r="G92" s="134">
        <v>14.0</v>
      </c>
      <c r="H92" s="134">
        <v>0.0</v>
      </c>
      <c r="I92" s="134">
        <v>14.0</v>
      </c>
      <c r="J92" s="134">
        <v>0.0</v>
      </c>
      <c r="K92" s="134">
        <v>14.0</v>
      </c>
      <c r="L92" s="134">
        <v>0.0</v>
      </c>
      <c r="M92" s="134">
        <v>13.0</v>
      </c>
      <c r="N92" s="134">
        <v>0.0</v>
      </c>
    </row>
    <row r="93">
      <c r="A93" s="131" t="s">
        <v>440</v>
      </c>
      <c r="B93" s="133" t="s">
        <v>653</v>
      </c>
      <c r="C93" s="134">
        <v>40.0</v>
      </c>
      <c r="D93" s="134">
        <v>-4.0</v>
      </c>
      <c r="E93" s="134">
        <v>8.0</v>
      </c>
      <c r="F93" s="134">
        <v>0.0</v>
      </c>
      <c r="G93" s="134">
        <v>8.0</v>
      </c>
      <c r="H93" s="134">
        <v>0.0</v>
      </c>
      <c r="I93" s="134">
        <v>8.0</v>
      </c>
      <c r="J93" s="134">
        <v>0.0</v>
      </c>
      <c r="K93" s="134">
        <v>8.0</v>
      </c>
      <c r="L93" s="134">
        <v>-2.0</v>
      </c>
      <c r="M93" s="134">
        <v>8.0</v>
      </c>
      <c r="N93" s="134">
        <v>-2.0</v>
      </c>
    </row>
    <row r="94">
      <c r="A94" s="131" t="s">
        <v>450</v>
      </c>
      <c r="B94" s="133" t="s">
        <v>519</v>
      </c>
      <c r="C94" s="134">
        <v>99.0</v>
      </c>
      <c r="D94" s="134">
        <v>8.08</v>
      </c>
      <c r="E94" s="134">
        <v>20.0</v>
      </c>
      <c r="F94" s="134">
        <v>-0.8</v>
      </c>
      <c r="G94" s="134">
        <v>20.0</v>
      </c>
      <c r="H94" s="134">
        <v>4.0</v>
      </c>
      <c r="I94" s="134">
        <v>20.0</v>
      </c>
      <c r="J94" s="134">
        <v>0.0</v>
      </c>
      <c r="K94" s="134">
        <v>20.0</v>
      </c>
      <c r="L94" s="134">
        <v>0.8</v>
      </c>
      <c r="M94" s="134">
        <v>19.0</v>
      </c>
      <c r="N94" s="134">
        <v>4.21</v>
      </c>
    </row>
    <row r="95">
      <c r="A95" s="131" t="s">
        <v>454</v>
      </c>
      <c r="B95" s="133" t="s">
        <v>405</v>
      </c>
      <c r="C95" s="134">
        <v>98.0</v>
      </c>
      <c r="D95" s="134">
        <v>16.3</v>
      </c>
      <c r="E95" s="134">
        <v>20.0</v>
      </c>
      <c r="F95" s="134">
        <v>1.6</v>
      </c>
      <c r="G95" s="134">
        <v>20.0</v>
      </c>
      <c r="H95" s="134">
        <v>11.2</v>
      </c>
      <c r="I95" s="134">
        <v>20.0</v>
      </c>
      <c r="J95" s="134">
        <v>0.0</v>
      </c>
      <c r="K95" s="134">
        <v>19.0</v>
      </c>
      <c r="L95" s="134">
        <v>3.37</v>
      </c>
      <c r="M95" s="134">
        <v>19.0</v>
      </c>
      <c r="N95" s="134">
        <v>0.0</v>
      </c>
    </row>
    <row r="96">
      <c r="A96" s="131" t="s">
        <v>470</v>
      </c>
      <c r="B96" s="133" t="s">
        <v>564</v>
      </c>
      <c r="C96" s="134">
        <v>99.0</v>
      </c>
      <c r="D96" s="134">
        <v>6.46</v>
      </c>
      <c r="E96" s="134">
        <v>20.0</v>
      </c>
      <c r="F96" s="134">
        <v>0.0</v>
      </c>
      <c r="G96" s="134">
        <v>20.0</v>
      </c>
      <c r="H96" s="134">
        <v>4.0</v>
      </c>
      <c r="I96" s="134">
        <v>20.0</v>
      </c>
      <c r="J96" s="134">
        <v>0.0</v>
      </c>
      <c r="K96" s="134">
        <v>20.0</v>
      </c>
      <c r="L96" s="134">
        <v>0.8</v>
      </c>
      <c r="M96" s="134">
        <v>19.0</v>
      </c>
      <c r="N96" s="134">
        <v>1.68</v>
      </c>
    </row>
    <row r="97">
      <c r="A97" s="131" t="s">
        <v>472</v>
      </c>
      <c r="B97" s="133" t="s">
        <v>659</v>
      </c>
      <c r="C97" s="134">
        <v>99.0</v>
      </c>
      <c r="D97" s="134">
        <v>0.808</v>
      </c>
      <c r="E97" s="134">
        <v>20.0</v>
      </c>
      <c r="F97" s="134">
        <v>0.0</v>
      </c>
      <c r="G97" s="134">
        <v>20.0</v>
      </c>
      <c r="H97" s="134">
        <v>0.0</v>
      </c>
      <c r="I97" s="134">
        <v>20.0</v>
      </c>
      <c r="J97" s="134">
        <v>0.0</v>
      </c>
      <c r="K97" s="134">
        <v>20.0</v>
      </c>
      <c r="L97" s="134">
        <v>0.0</v>
      </c>
      <c r="M97" s="134">
        <v>19.0</v>
      </c>
      <c r="N97" s="134">
        <v>0.842</v>
      </c>
    </row>
    <row r="98">
      <c r="A98" s="131" t="s">
        <v>476</v>
      </c>
      <c r="B98" s="133" t="s">
        <v>657</v>
      </c>
      <c r="C98" s="134">
        <v>98.0</v>
      </c>
      <c r="D98" s="134">
        <v>2.45</v>
      </c>
      <c r="E98" s="134">
        <v>21.0</v>
      </c>
      <c r="F98" s="134">
        <v>0.0</v>
      </c>
      <c r="G98" s="134">
        <v>21.0</v>
      </c>
      <c r="H98" s="134">
        <v>0.762</v>
      </c>
      <c r="I98" s="134">
        <v>20.0</v>
      </c>
      <c r="J98" s="134">
        <v>0.0</v>
      </c>
      <c r="K98" s="134">
        <v>18.0</v>
      </c>
      <c r="L98" s="134">
        <v>0.0</v>
      </c>
      <c r="M98" s="134">
        <v>18.0</v>
      </c>
      <c r="N98" s="134">
        <v>1.78</v>
      </c>
    </row>
    <row r="99">
      <c r="A99" s="131" t="s">
        <v>494</v>
      </c>
      <c r="B99" s="133" t="s">
        <v>661</v>
      </c>
      <c r="C99" s="134">
        <v>67.0</v>
      </c>
      <c r="D99" s="134">
        <v>0.0</v>
      </c>
      <c r="E99" s="134">
        <v>13.0</v>
      </c>
      <c r="F99" s="134">
        <v>0.0</v>
      </c>
      <c r="G99" s="134">
        <v>14.0</v>
      </c>
      <c r="H99" s="134">
        <v>0.0</v>
      </c>
      <c r="I99" s="134">
        <v>14.0</v>
      </c>
      <c r="J99" s="134">
        <v>0.0</v>
      </c>
      <c r="K99" s="134">
        <v>13.0</v>
      </c>
      <c r="L99" s="134">
        <v>0.0</v>
      </c>
      <c r="M99" s="134">
        <v>13.0</v>
      </c>
      <c r="N99" s="134">
        <v>0.0</v>
      </c>
    </row>
    <row r="100">
      <c r="A100" s="131" t="s">
        <v>516</v>
      </c>
      <c r="B100" s="133" t="s">
        <v>663</v>
      </c>
      <c r="C100" s="134">
        <v>78.0</v>
      </c>
      <c r="D100" s="134">
        <v>2.05</v>
      </c>
      <c r="E100" s="134">
        <v>16.0</v>
      </c>
      <c r="F100" s="134">
        <v>0.0</v>
      </c>
      <c r="G100" s="134">
        <v>16.0</v>
      </c>
      <c r="H100" s="134">
        <v>2.0</v>
      </c>
      <c r="I100" s="134">
        <v>16.0</v>
      </c>
      <c r="J100" s="134">
        <v>0.0</v>
      </c>
      <c r="K100" s="134">
        <v>15.0</v>
      </c>
      <c r="L100" s="134">
        <v>0.0</v>
      </c>
      <c r="M100" s="134">
        <v>15.0</v>
      </c>
      <c r="N100" s="134">
        <v>0.0</v>
      </c>
    </row>
    <row r="101">
      <c r="A101" s="131" t="s">
        <v>518</v>
      </c>
      <c r="B101" s="133" t="s">
        <v>665</v>
      </c>
      <c r="C101" s="134">
        <v>62.0</v>
      </c>
      <c r="D101" s="134">
        <v>0.0</v>
      </c>
      <c r="E101" s="134">
        <v>14.0</v>
      </c>
      <c r="F101" s="134">
        <v>0.0</v>
      </c>
      <c r="G101" s="134">
        <v>12.0</v>
      </c>
      <c r="H101" s="134">
        <v>0.0</v>
      </c>
      <c r="I101" s="134">
        <v>12.0</v>
      </c>
      <c r="J101" s="134">
        <v>0.0</v>
      </c>
      <c r="K101" s="134">
        <v>12.0</v>
      </c>
      <c r="L101" s="134">
        <v>0.0</v>
      </c>
      <c r="M101" s="134">
        <v>12.0</v>
      </c>
      <c r="N101" s="134">
        <v>0.0</v>
      </c>
    </row>
    <row r="102">
      <c r="A102" s="131" t="s">
        <v>523</v>
      </c>
      <c r="B102" s="133" t="s">
        <v>580</v>
      </c>
      <c r="C102" s="134">
        <v>49.0</v>
      </c>
      <c r="D102" s="134">
        <v>1.63</v>
      </c>
      <c r="E102" s="134">
        <v>11.0</v>
      </c>
      <c r="F102" s="134">
        <v>1.45</v>
      </c>
      <c r="G102" s="134">
        <v>11.0</v>
      </c>
      <c r="H102" s="134">
        <v>0.0</v>
      </c>
      <c r="I102" s="134">
        <v>9.0</v>
      </c>
      <c r="J102" s="134">
        <v>0.0</v>
      </c>
      <c r="K102" s="134">
        <v>9.0</v>
      </c>
      <c r="L102" s="134">
        <v>0.0</v>
      </c>
      <c r="M102" s="134">
        <v>9.0</v>
      </c>
      <c r="N102" s="134">
        <v>0.0</v>
      </c>
    </row>
    <row r="103">
      <c r="A103" s="131" t="s">
        <v>526</v>
      </c>
      <c r="B103" s="133" t="s">
        <v>477</v>
      </c>
      <c r="C103" s="134">
        <v>95.0</v>
      </c>
      <c r="D103" s="134">
        <v>10.9</v>
      </c>
      <c r="E103" s="134">
        <v>20.0</v>
      </c>
      <c r="F103" s="134">
        <v>0.0</v>
      </c>
      <c r="G103" s="134">
        <v>20.0</v>
      </c>
      <c r="H103" s="134">
        <v>8.0</v>
      </c>
      <c r="I103" s="134">
        <v>19.0</v>
      </c>
      <c r="J103" s="134">
        <v>0.0</v>
      </c>
      <c r="K103" s="134">
        <v>18.0</v>
      </c>
      <c r="L103" s="134">
        <v>0.889</v>
      </c>
      <c r="M103" s="134">
        <v>18.0</v>
      </c>
      <c r="N103" s="134">
        <v>1.78</v>
      </c>
    </row>
    <row r="104">
      <c r="A104" s="131" t="s">
        <v>492</v>
      </c>
      <c r="B104" s="133" t="s">
        <v>543</v>
      </c>
      <c r="C104" s="134">
        <v>98.0</v>
      </c>
      <c r="D104" s="134">
        <v>7.35</v>
      </c>
      <c r="E104" s="134">
        <v>20.0</v>
      </c>
      <c r="F104" s="134">
        <v>0.0</v>
      </c>
      <c r="G104" s="134">
        <v>20.0</v>
      </c>
      <c r="H104" s="134">
        <v>7.2</v>
      </c>
      <c r="I104" s="134">
        <v>20.0</v>
      </c>
      <c r="J104" s="134">
        <v>0.0</v>
      </c>
      <c r="K104" s="134">
        <v>19.0</v>
      </c>
      <c r="L104" s="134">
        <v>0.0</v>
      </c>
      <c r="M104" s="134">
        <v>19.0</v>
      </c>
      <c r="N104" s="134">
        <v>0.0</v>
      </c>
    </row>
    <row r="105">
      <c r="A105" s="131" t="s">
        <v>524</v>
      </c>
      <c r="B105" s="133" t="s">
        <v>565</v>
      </c>
      <c r="C105" s="134">
        <v>94.0</v>
      </c>
      <c r="D105" s="134">
        <v>1.7</v>
      </c>
      <c r="E105" s="134">
        <v>20.0</v>
      </c>
      <c r="F105" s="134">
        <v>1.6</v>
      </c>
      <c r="G105" s="134">
        <v>19.0</v>
      </c>
      <c r="H105" s="134">
        <v>0.0</v>
      </c>
      <c r="I105" s="134">
        <v>19.0</v>
      </c>
      <c r="J105" s="134">
        <v>0.0</v>
      </c>
      <c r="K105" s="134">
        <v>18.0</v>
      </c>
      <c r="L105" s="134">
        <v>0.0</v>
      </c>
      <c r="M105" s="134">
        <v>18.0</v>
      </c>
      <c r="N105" s="134">
        <v>0.0</v>
      </c>
    </row>
    <row r="106">
      <c r="A106" s="91" t="s">
        <v>533</v>
      </c>
      <c r="B106" s="133" t="s">
        <v>582</v>
      </c>
      <c r="C106" s="134">
        <v>94.0</v>
      </c>
      <c r="D106" s="134">
        <v>5.11</v>
      </c>
      <c r="E106" s="134">
        <v>20.0</v>
      </c>
      <c r="F106" s="134">
        <v>0.0</v>
      </c>
      <c r="G106" s="134">
        <v>19.0</v>
      </c>
      <c r="H106" s="134">
        <v>0.0</v>
      </c>
      <c r="I106" s="134">
        <v>19.0</v>
      </c>
      <c r="J106" s="134">
        <v>0.0</v>
      </c>
      <c r="K106" s="134">
        <v>18.0</v>
      </c>
      <c r="L106" s="134">
        <v>5.33</v>
      </c>
      <c r="M106" s="134">
        <v>18.0</v>
      </c>
      <c r="N106" s="134">
        <v>0.0</v>
      </c>
    </row>
    <row r="107">
      <c r="A107" s="131" t="s">
        <v>536</v>
      </c>
      <c r="B107" s="133" t="s">
        <v>673</v>
      </c>
      <c r="C107" s="134">
        <v>80.0</v>
      </c>
      <c r="D107" s="134">
        <v>2.0</v>
      </c>
      <c r="E107" s="134">
        <v>16.0</v>
      </c>
      <c r="F107" s="134">
        <v>0.0</v>
      </c>
      <c r="G107" s="134">
        <v>16.0</v>
      </c>
      <c r="H107" s="134">
        <v>0.0</v>
      </c>
      <c r="I107" s="134">
        <v>16.0</v>
      </c>
      <c r="J107" s="134">
        <v>0.0</v>
      </c>
      <c r="K107" s="134">
        <v>16.0</v>
      </c>
      <c r="L107" s="134">
        <v>1.0</v>
      </c>
      <c r="M107" s="134">
        <v>16.0</v>
      </c>
      <c r="N107" s="134">
        <v>1.0</v>
      </c>
    </row>
    <row r="108">
      <c r="A108" s="131" t="s">
        <v>539</v>
      </c>
      <c r="B108" s="133" t="s">
        <v>602</v>
      </c>
      <c r="C108" s="134">
        <v>88.0</v>
      </c>
      <c r="D108" s="134">
        <v>4.55</v>
      </c>
      <c r="E108" s="134">
        <v>17.0</v>
      </c>
      <c r="F108" s="134">
        <v>0.0</v>
      </c>
      <c r="G108" s="134">
        <v>17.0</v>
      </c>
      <c r="H108" s="134">
        <v>1.88</v>
      </c>
      <c r="I108" s="134">
        <v>18.0</v>
      </c>
      <c r="J108" s="134">
        <v>0.0</v>
      </c>
      <c r="K108" s="134">
        <v>18.0</v>
      </c>
      <c r="L108" s="134">
        <v>1.78</v>
      </c>
      <c r="M108" s="134">
        <v>18.0</v>
      </c>
      <c r="N108" s="134">
        <v>0.889</v>
      </c>
    </row>
    <row r="109">
      <c r="A109" s="131" t="s">
        <v>541</v>
      </c>
      <c r="B109" s="133" t="s">
        <v>544</v>
      </c>
      <c r="C109" s="134">
        <v>32.0</v>
      </c>
      <c r="D109" s="134">
        <v>5.0</v>
      </c>
      <c r="E109" s="134">
        <v>7.0</v>
      </c>
      <c r="F109" s="134">
        <v>2.29</v>
      </c>
      <c r="G109" s="134">
        <v>7.0</v>
      </c>
      <c r="H109" s="134">
        <v>0.0</v>
      </c>
      <c r="I109" s="134">
        <v>6.0</v>
      </c>
      <c r="J109" s="134">
        <v>0.0</v>
      </c>
      <c r="K109" s="134">
        <v>6.0</v>
      </c>
      <c r="L109" s="134">
        <v>2.67</v>
      </c>
      <c r="M109" s="134">
        <v>6.0</v>
      </c>
      <c r="N109" s="134">
        <v>0.0</v>
      </c>
    </row>
    <row r="110">
      <c r="A110" s="131" t="s">
        <v>545</v>
      </c>
      <c r="B110" s="133" t="s">
        <v>676</v>
      </c>
      <c r="C110" s="134">
        <v>90.0</v>
      </c>
      <c r="D110" s="134">
        <v>0.889</v>
      </c>
      <c r="E110" s="134">
        <v>19.0</v>
      </c>
      <c r="F110" s="134">
        <v>0.0</v>
      </c>
      <c r="G110" s="134">
        <v>19.0</v>
      </c>
      <c r="H110" s="134">
        <v>0.842</v>
      </c>
      <c r="I110" s="134">
        <v>18.0</v>
      </c>
      <c r="J110" s="134">
        <v>0.0</v>
      </c>
      <c r="K110" s="134">
        <v>17.0</v>
      </c>
      <c r="L110" s="134">
        <v>0.0</v>
      </c>
      <c r="M110" s="134">
        <v>17.0</v>
      </c>
      <c r="N110" s="134">
        <v>0.0</v>
      </c>
    </row>
    <row r="111">
      <c r="A111" s="131" t="s">
        <v>562</v>
      </c>
      <c r="B111" s="133" t="s">
        <v>568</v>
      </c>
      <c r="C111" s="134">
        <v>88.0</v>
      </c>
      <c r="D111" s="134">
        <v>6.36</v>
      </c>
      <c r="E111" s="134">
        <v>18.0</v>
      </c>
      <c r="F111" s="134">
        <v>0.0</v>
      </c>
      <c r="G111" s="134">
        <v>18.0</v>
      </c>
      <c r="H111" s="134">
        <v>0.0</v>
      </c>
      <c r="I111" s="134">
        <v>18.0</v>
      </c>
      <c r="J111" s="134">
        <v>0.0</v>
      </c>
      <c r="K111" s="134">
        <v>17.0</v>
      </c>
      <c r="L111" s="134">
        <v>0.0</v>
      </c>
      <c r="M111" s="134">
        <v>17.0</v>
      </c>
      <c r="N111" s="134">
        <v>6.59</v>
      </c>
    </row>
    <row r="112">
      <c r="A112" s="131" t="s">
        <v>567</v>
      </c>
      <c r="B112" s="133" t="s">
        <v>438</v>
      </c>
      <c r="C112" s="134">
        <v>96.0</v>
      </c>
      <c r="D112" s="134">
        <v>13.3</v>
      </c>
      <c r="E112" s="134">
        <v>20.0</v>
      </c>
      <c r="F112" s="134">
        <v>3.2</v>
      </c>
      <c r="G112" s="134">
        <v>19.0</v>
      </c>
      <c r="H112" s="134">
        <v>2.53</v>
      </c>
      <c r="I112" s="134">
        <v>19.0</v>
      </c>
      <c r="J112" s="134">
        <v>0.0</v>
      </c>
      <c r="K112" s="134">
        <v>19.0</v>
      </c>
      <c r="L112" s="134">
        <v>0.0</v>
      </c>
      <c r="M112" s="134">
        <v>19.0</v>
      </c>
      <c r="N112" s="134">
        <v>7.58</v>
      </c>
    </row>
    <row r="113">
      <c r="A113" s="131" t="s">
        <v>576</v>
      </c>
      <c r="B113" s="133" t="s">
        <v>530</v>
      </c>
      <c r="C113" s="134">
        <v>96.0</v>
      </c>
      <c r="D113" s="134">
        <v>7.5</v>
      </c>
      <c r="E113" s="134">
        <v>20.0</v>
      </c>
      <c r="F113" s="134">
        <v>0.0</v>
      </c>
      <c r="G113" s="134">
        <v>19.0</v>
      </c>
      <c r="H113" s="134">
        <v>5.89</v>
      </c>
      <c r="I113" s="134">
        <v>19.0</v>
      </c>
      <c r="J113" s="134">
        <v>0.0</v>
      </c>
      <c r="K113" s="134">
        <v>19.0</v>
      </c>
      <c r="L113" s="134">
        <v>1.68</v>
      </c>
      <c r="M113" s="134">
        <v>19.0</v>
      </c>
      <c r="N113" s="134">
        <v>0.0</v>
      </c>
    </row>
    <row r="114">
      <c r="A114" s="131" t="s">
        <v>532</v>
      </c>
      <c r="B114" s="133" t="s">
        <v>527</v>
      </c>
      <c r="C114" s="134">
        <v>91.0</v>
      </c>
      <c r="D114" s="134">
        <v>7.91</v>
      </c>
      <c r="E114" s="134">
        <v>19.0</v>
      </c>
      <c r="F114" s="134">
        <v>0.842</v>
      </c>
      <c r="G114" s="134">
        <v>19.0</v>
      </c>
      <c r="H114" s="134">
        <v>0.0</v>
      </c>
      <c r="I114" s="134">
        <v>18.0</v>
      </c>
      <c r="J114" s="134">
        <v>0.0</v>
      </c>
      <c r="K114" s="134">
        <v>18.0</v>
      </c>
      <c r="L114" s="134">
        <v>7.11</v>
      </c>
      <c r="M114" s="134">
        <v>17.0</v>
      </c>
      <c r="N114" s="134">
        <v>0.0</v>
      </c>
    </row>
    <row r="115">
      <c r="A115" s="131" t="s">
        <v>597</v>
      </c>
      <c r="B115" s="133" t="s">
        <v>623</v>
      </c>
      <c r="C115" s="134">
        <v>91.0</v>
      </c>
      <c r="D115" s="134">
        <v>2.64</v>
      </c>
      <c r="E115" s="134">
        <v>19.0</v>
      </c>
      <c r="F115" s="134">
        <v>0.842</v>
      </c>
      <c r="G115" s="134">
        <v>19.0</v>
      </c>
      <c r="H115" s="134">
        <v>0.0</v>
      </c>
      <c r="I115" s="134">
        <v>18.0</v>
      </c>
      <c r="J115" s="134">
        <v>0.0</v>
      </c>
      <c r="K115" s="134">
        <v>18.0</v>
      </c>
      <c r="L115" s="134">
        <v>0.889</v>
      </c>
      <c r="M115" s="134">
        <v>17.0</v>
      </c>
      <c r="N115" s="134">
        <v>0.941</v>
      </c>
    </row>
    <row r="116">
      <c r="A116" s="131" t="s">
        <v>599</v>
      </c>
      <c r="B116" s="133" t="s">
        <v>457</v>
      </c>
      <c r="C116" s="134">
        <v>20.0</v>
      </c>
      <c r="D116" s="134">
        <v>4.0</v>
      </c>
      <c r="E116" s="134">
        <v>4.0</v>
      </c>
      <c r="F116" s="134">
        <v>4.0</v>
      </c>
      <c r="G116" s="134">
        <v>4.0</v>
      </c>
      <c r="H116" s="134">
        <v>0.0</v>
      </c>
      <c r="I116" s="134">
        <v>4.0</v>
      </c>
      <c r="J116" s="134">
        <v>0.0</v>
      </c>
      <c r="K116" s="134">
        <v>4.0</v>
      </c>
      <c r="L116" s="134">
        <v>0.0</v>
      </c>
      <c r="M116" s="134">
        <v>4.0</v>
      </c>
      <c r="N116" s="134">
        <v>0.0</v>
      </c>
    </row>
    <row r="117">
      <c r="A117" s="131" t="s">
        <v>601</v>
      </c>
      <c r="B117" s="133" t="s">
        <v>407</v>
      </c>
      <c r="C117" s="134">
        <v>20.0</v>
      </c>
      <c r="D117" s="134">
        <v>16.0</v>
      </c>
      <c r="E117" s="134">
        <v>4.0</v>
      </c>
      <c r="F117" s="134">
        <v>0.0</v>
      </c>
      <c r="G117" s="134">
        <v>4.0</v>
      </c>
      <c r="H117" s="134">
        <v>16.0</v>
      </c>
      <c r="I117" s="134">
        <v>4.0</v>
      </c>
      <c r="J117" s="134">
        <v>0.0</v>
      </c>
      <c r="K117" s="134">
        <v>4.0</v>
      </c>
      <c r="L117" s="134">
        <v>0.0</v>
      </c>
      <c r="M117" s="134">
        <v>4.0</v>
      </c>
      <c r="N117" s="134">
        <v>0.0</v>
      </c>
    </row>
    <row r="118">
      <c r="A118" s="131" t="s">
        <v>579</v>
      </c>
      <c r="B118" s="133" t="s">
        <v>478</v>
      </c>
      <c r="C118" s="134">
        <v>58.0</v>
      </c>
      <c r="D118" s="134">
        <v>4.14</v>
      </c>
      <c r="E118" s="134">
        <v>13.0</v>
      </c>
      <c r="F118" s="134">
        <v>3.69</v>
      </c>
      <c r="G118" s="134">
        <v>13.0</v>
      </c>
      <c r="H118" s="134">
        <v>0.0</v>
      </c>
      <c r="I118" s="134">
        <v>12.0</v>
      </c>
      <c r="J118" s="134">
        <v>0.0</v>
      </c>
      <c r="K118" s="134">
        <v>10.0</v>
      </c>
      <c r="L118" s="134">
        <v>0.0</v>
      </c>
      <c r="M118" s="134">
        <v>10.0</v>
      </c>
      <c r="N118" s="134">
        <v>0.0</v>
      </c>
    </row>
    <row r="119">
      <c r="A119" s="131" t="s">
        <v>534</v>
      </c>
      <c r="B119" s="133" t="s">
        <v>694</v>
      </c>
      <c r="C119" s="134">
        <v>72.0</v>
      </c>
      <c r="D119" s="134">
        <v>0.0</v>
      </c>
      <c r="E119" s="134">
        <v>15.0</v>
      </c>
      <c r="F119" s="134">
        <v>0.0</v>
      </c>
      <c r="G119" s="134">
        <v>14.0</v>
      </c>
      <c r="H119" s="134">
        <v>0.0</v>
      </c>
      <c r="I119" s="134">
        <v>15.0</v>
      </c>
      <c r="J119" s="134">
        <v>0.0</v>
      </c>
      <c r="K119" s="134">
        <v>14.0</v>
      </c>
      <c r="L119" s="134">
        <v>0.0</v>
      </c>
      <c r="M119" s="134">
        <v>14.0</v>
      </c>
      <c r="N119" s="134">
        <v>0.0</v>
      </c>
    </row>
    <row r="120">
      <c r="A120" s="131" t="s">
        <v>595</v>
      </c>
      <c r="B120" s="133" t="s">
        <v>753</v>
      </c>
      <c r="C120" s="134">
        <v>77.0</v>
      </c>
      <c r="D120" s="134">
        <v>-1.04</v>
      </c>
      <c r="E120" s="134">
        <v>16.0</v>
      </c>
      <c r="F120" s="134">
        <v>-1.0</v>
      </c>
      <c r="G120" s="134">
        <v>16.0</v>
      </c>
      <c r="H120" s="134">
        <v>0.0</v>
      </c>
      <c r="I120" s="134">
        <v>15.0</v>
      </c>
      <c r="J120" s="134">
        <v>0.0</v>
      </c>
      <c r="K120" s="134">
        <v>15.0</v>
      </c>
      <c r="L120" s="134">
        <v>0.0</v>
      </c>
      <c r="M120" s="134">
        <v>15.0</v>
      </c>
      <c r="N120" s="134">
        <v>0.0</v>
      </c>
    </row>
    <row r="121">
      <c r="A121" s="131" t="s">
        <v>611</v>
      </c>
      <c r="B121" s="133" t="s">
        <v>566</v>
      </c>
      <c r="C121" s="134">
        <v>47.0</v>
      </c>
      <c r="D121" s="134">
        <v>5.11</v>
      </c>
      <c r="E121" s="134">
        <v>10.0</v>
      </c>
      <c r="F121" s="134">
        <v>1.6</v>
      </c>
      <c r="G121" s="134">
        <v>10.0</v>
      </c>
      <c r="H121" s="134">
        <v>0.0</v>
      </c>
      <c r="I121" s="134">
        <v>9.0</v>
      </c>
      <c r="J121" s="134">
        <v>0.0</v>
      </c>
      <c r="K121" s="134">
        <v>9.0</v>
      </c>
      <c r="L121" s="134">
        <v>0.0</v>
      </c>
      <c r="M121" s="134">
        <v>9.0</v>
      </c>
      <c r="N121" s="134">
        <v>3.56</v>
      </c>
    </row>
    <row r="122">
      <c r="A122" s="131" t="s">
        <v>469</v>
      </c>
      <c r="B122" s="133" t="s">
        <v>520</v>
      </c>
      <c r="C122" s="134">
        <v>97.0</v>
      </c>
      <c r="D122" s="134">
        <v>7.42</v>
      </c>
      <c r="E122" s="134">
        <v>20.0</v>
      </c>
      <c r="F122" s="134">
        <v>2.4</v>
      </c>
      <c r="G122" s="134">
        <v>20.0</v>
      </c>
      <c r="H122" s="134">
        <v>3.2</v>
      </c>
      <c r="I122" s="134">
        <v>19.0</v>
      </c>
      <c r="J122" s="134">
        <v>0.0</v>
      </c>
      <c r="K122" s="134">
        <v>19.0</v>
      </c>
      <c r="L122" s="134">
        <v>1.68</v>
      </c>
      <c r="M122" s="134">
        <v>19.0</v>
      </c>
      <c r="N122" s="134">
        <v>0.0</v>
      </c>
    </row>
    <row r="123">
      <c r="A123" s="131" t="s">
        <v>624</v>
      </c>
      <c r="B123" s="133" t="s">
        <v>698</v>
      </c>
      <c r="C123" s="134">
        <v>72.0</v>
      </c>
      <c r="D123" s="134">
        <v>0.0</v>
      </c>
      <c r="E123" s="134">
        <v>16.0</v>
      </c>
      <c r="F123" s="134">
        <v>0.0</v>
      </c>
      <c r="G123" s="134">
        <v>15.0</v>
      </c>
      <c r="H123" s="134">
        <v>0.0</v>
      </c>
      <c r="I123" s="134">
        <v>14.0</v>
      </c>
      <c r="J123" s="134">
        <v>0.0</v>
      </c>
      <c r="K123" s="134">
        <v>14.0</v>
      </c>
      <c r="L123" s="134">
        <v>0.0</v>
      </c>
      <c r="M123" s="134">
        <v>13.0</v>
      </c>
      <c r="N123" s="134">
        <v>0.0</v>
      </c>
    </row>
    <row r="124">
      <c r="A124" s="131" t="s">
        <v>628</v>
      </c>
      <c r="B124" s="133" t="s">
        <v>700</v>
      </c>
      <c r="C124" s="134">
        <v>59.0</v>
      </c>
      <c r="D124" s="134">
        <v>0.0</v>
      </c>
      <c r="E124" s="134">
        <v>14.0</v>
      </c>
      <c r="F124" s="134">
        <v>0.0</v>
      </c>
      <c r="G124" s="134">
        <v>12.0</v>
      </c>
      <c r="H124" s="134">
        <v>0.0</v>
      </c>
      <c r="I124" s="134">
        <v>11.0</v>
      </c>
      <c r="J124" s="134">
        <v>0.0</v>
      </c>
      <c r="K124" s="134">
        <v>11.0</v>
      </c>
      <c r="L124" s="134">
        <v>0.0</v>
      </c>
      <c r="M124" s="134">
        <v>11.0</v>
      </c>
      <c r="N124" s="134">
        <v>0.0</v>
      </c>
    </row>
    <row r="125">
      <c r="A125" s="131" t="s">
        <v>615</v>
      </c>
      <c r="B125" s="133" t="s">
        <v>592</v>
      </c>
      <c r="C125" s="134">
        <v>72.0</v>
      </c>
      <c r="D125" s="134">
        <v>4.44</v>
      </c>
      <c r="E125" s="134">
        <v>16.0</v>
      </c>
      <c r="F125" s="134">
        <v>1.0</v>
      </c>
      <c r="G125" s="134">
        <v>15.0</v>
      </c>
      <c r="H125" s="134">
        <v>0.0</v>
      </c>
      <c r="I125" s="134">
        <v>14.0</v>
      </c>
      <c r="J125" s="134">
        <v>0.0</v>
      </c>
      <c r="K125" s="134">
        <v>14.0</v>
      </c>
      <c r="L125" s="134">
        <v>2.29</v>
      </c>
      <c r="M125" s="134">
        <v>13.0</v>
      </c>
      <c r="N125" s="134">
        <v>1.23</v>
      </c>
    </row>
    <row r="126">
      <c r="A126" s="91" t="s">
        <v>638</v>
      </c>
      <c r="B126" s="133" t="s">
        <v>686</v>
      </c>
      <c r="C126" s="134">
        <v>92.0</v>
      </c>
      <c r="D126" s="134">
        <v>1.74</v>
      </c>
      <c r="E126" s="134">
        <v>20.0</v>
      </c>
      <c r="F126" s="134">
        <v>0.0</v>
      </c>
      <c r="G126" s="134">
        <v>19.0</v>
      </c>
      <c r="H126" s="134">
        <v>0.842</v>
      </c>
      <c r="I126" s="134">
        <v>18.0</v>
      </c>
      <c r="J126" s="134">
        <v>0.0</v>
      </c>
      <c r="K126" s="134">
        <v>18.0</v>
      </c>
      <c r="L126" s="134">
        <v>0.0</v>
      </c>
      <c r="M126" s="134">
        <v>17.0</v>
      </c>
      <c r="N126" s="134">
        <v>0.941</v>
      </c>
    </row>
    <row r="127">
      <c r="A127" s="131" t="s">
        <v>605</v>
      </c>
      <c r="B127" s="133" t="s">
        <v>493</v>
      </c>
      <c r="C127" s="134">
        <v>43.0</v>
      </c>
      <c r="D127" s="134">
        <v>7.44</v>
      </c>
      <c r="E127" s="134">
        <v>10.0</v>
      </c>
      <c r="F127" s="134">
        <v>3.2</v>
      </c>
      <c r="G127" s="134">
        <v>9.0</v>
      </c>
      <c r="H127" s="134">
        <v>1.78</v>
      </c>
      <c r="I127" s="134">
        <v>8.0</v>
      </c>
      <c r="J127" s="134">
        <v>0.0</v>
      </c>
      <c r="K127" s="134">
        <v>8.0</v>
      </c>
      <c r="L127" s="134">
        <v>0.0</v>
      </c>
      <c r="M127" s="134">
        <v>8.0</v>
      </c>
      <c r="N127" s="134">
        <v>2.0</v>
      </c>
    </row>
    <row r="128">
      <c r="A128" s="131" t="s">
        <v>626</v>
      </c>
      <c r="B128" s="133" t="s">
        <v>678</v>
      </c>
      <c r="C128" s="134">
        <v>80.0</v>
      </c>
      <c r="D128" s="134">
        <v>2.0</v>
      </c>
      <c r="E128" s="134">
        <v>16.0</v>
      </c>
      <c r="F128" s="134">
        <v>0.0</v>
      </c>
      <c r="G128" s="134">
        <v>16.0</v>
      </c>
      <c r="H128" s="134">
        <v>-1.0</v>
      </c>
      <c r="I128" s="134">
        <v>16.0</v>
      </c>
      <c r="J128" s="134">
        <v>0.0</v>
      </c>
      <c r="K128" s="134">
        <v>16.0</v>
      </c>
      <c r="L128" s="134">
        <v>0.0</v>
      </c>
      <c r="M128" s="134">
        <v>16.0</v>
      </c>
      <c r="N128" s="134">
        <v>3.0</v>
      </c>
    </row>
    <row r="129">
      <c r="A129" s="131" t="s">
        <v>538</v>
      </c>
      <c r="B129" s="133" t="s">
        <v>596</v>
      </c>
      <c r="C129" s="134">
        <v>76.0</v>
      </c>
      <c r="D129" s="134">
        <v>3.16</v>
      </c>
      <c r="E129" s="134">
        <v>16.0</v>
      </c>
      <c r="F129" s="134">
        <v>1.0</v>
      </c>
      <c r="G129" s="134">
        <v>15.0</v>
      </c>
      <c r="H129" s="134">
        <v>0.0</v>
      </c>
      <c r="I129" s="134">
        <v>15.0</v>
      </c>
      <c r="J129" s="134">
        <v>0.0</v>
      </c>
      <c r="K129" s="134">
        <v>15.0</v>
      </c>
      <c r="L129" s="134">
        <v>2.13</v>
      </c>
      <c r="M129" s="134">
        <v>15.0</v>
      </c>
      <c r="N129" s="134">
        <v>0.0</v>
      </c>
    </row>
    <row r="130">
      <c r="A130" s="131" t="s">
        <v>655</v>
      </c>
      <c r="B130" s="133" t="s">
        <v>703</v>
      </c>
      <c r="C130" s="134">
        <v>76.0</v>
      </c>
      <c r="D130" s="134">
        <v>1.05</v>
      </c>
      <c r="E130" s="134">
        <v>16.0</v>
      </c>
      <c r="F130" s="134">
        <v>0.0</v>
      </c>
      <c r="G130" s="134">
        <v>15.0</v>
      </c>
      <c r="H130" s="134">
        <v>1.07</v>
      </c>
      <c r="I130" s="134">
        <v>15.0</v>
      </c>
      <c r="J130" s="134">
        <v>0.0</v>
      </c>
      <c r="K130" s="134">
        <v>15.0</v>
      </c>
      <c r="L130" s="134">
        <v>0.0</v>
      </c>
      <c r="M130" s="134">
        <v>15.0</v>
      </c>
      <c r="N130" s="134">
        <v>0.0</v>
      </c>
    </row>
    <row r="131">
      <c r="A131" s="131" t="s">
        <v>658</v>
      </c>
      <c r="B131" s="133" t="s">
        <v>537</v>
      </c>
      <c r="C131" s="134">
        <v>76.0</v>
      </c>
      <c r="D131" s="134">
        <v>7.37</v>
      </c>
      <c r="E131" s="134">
        <v>16.0</v>
      </c>
      <c r="F131" s="134">
        <v>0.0</v>
      </c>
      <c r="G131" s="134">
        <v>15.0</v>
      </c>
      <c r="H131" s="134">
        <v>1.07</v>
      </c>
      <c r="I131" s="134">
        <v>14.0</v>
      </c>
      <c r="J131" s="134">
        <v>0.0</v>
      </c>
      <c r="K131" s="134">
        <v>15.0</v>
      </c>
      <c r="L131" s="134">
        <v>0.0</v>
      </c>
      <c r="M131" s="134">
        <v>16.0</v>
      </c>
      <c r="N131" s="134">
        <v>6.0</v>
      </c>
    </row>
    <row r="132">
      <c r="A132" s="131" t="s">
        <v>645</v>
      </c>
      <c r="B132" s="133" t="s">
        <v>640</v>
      </c>
      <c r="C132" s="134">
        <v>45.0</v>
      </c>
      <c r="D132" s="134">
        <v>3.56</v>
      </c>
      <c r="E132" s="134">
        <v>10.0</v>
      </c>
      <c r="F132" s="134">
        <v>0.0</v>
      </c>
      <c r="G132" s="134">
        <v>9.0</v>
      </c>
      <c r="H132" s="134">
        <v>5.33</v>
      </c>
      <c r="I132" s="134">
        <v>8.0</v>
      </c>
      <c r="J132" s="134">
        <v>0.0</v>
      </c>
      <c r="K132" s="134">
        <v>9.0</v>
      </c>
      <c r="L132" s="134">
        <v>-1.78</v>
      </c>
      <c r="M132" s="134">
        <v>9.0</v>
      </c>
      <c r="N132" s="134">
        <v>0.0</v>
      </c>
    </row>
    <row r="133">
      <c r="A133" s="131" t="s">
        <v>547</v>
      </c>
      <c r="B133" s="133" t="s">
        <v>594</v>
      </c>
      <c r="C133" s="134">
        <v>81.0</v>
      </c>
      <c r="D133" s="134">
        <v>4.94</v>
      </c>
      <c r="E133" s="134">
        <v>15.0</v>
      </c>
      <c r="F133" s="134">
        <v>0.0</v>
      </c>
      <c r="G133" s="134">
        <v>17.0</v>
      </c>
      <c r="H133" s="134">
        <v>1.88</v>
      </c>
      <c r="I133" s="134">
        <v>17.0</v>
      </c>
      <c r="J133" s="134">
        <v>0.0</v>
      </c>
      <c r="K133" s="134">
        <v>16.0</v>
      </c>
      <c r="L133" s="134">
        <v>3.0</v>
      </c>
      <c r="M133" s="134">
        <v>16.0</v>
      </c>
      <c r="N133" s="134">
        <v>0.0</v>
      </c>
    </row>
    <row r="134">
      <c r="A134" s="131" t="s">
        <v>666</v>
      </c>
      <c r="B134" s="133" t="s">
        <v>546</v>
      </c>
      <c r="C134" s="134">
        <v>99.0</v>
      </c>
      <c r="D134" s="134">
        <v>7.27</v>
      </c>
      <c r="E134" s="134">
        <v>20.0</v>
      </c>
      <c r="F134" s="134">
        <v>0.0</v>
      </c>
      <c r="G134" s="134">
        <v>20.0</v>
      </c>
      <c r="H134" s="134">
        <v>0.0</v>
      </c>
      <c r="I134" s="134">
        <v>20.0</v>
      </c>
      <c r="J134" s="134">
        <v>0.0</v>
      </c>
      <c r="K134" s="134">
        <v>20.0</v>
      </c>
      <c r="L134" s="134">
        <v>7.2</v>
      </c>
      <c r="M134" s="134">
        <v>19.0</v>
      </c>
      <c r="N134" s="134">
        <v>0.0</v>
      </c>
    </row>
    <row r="135">
      <c r="A135" s="131" t="s">
        <v>542</v>
      </c>
      <c r="B135" s="133" t="s">
        <v>662</v>
      </c>
      <c r="C135" s="134">
        <v>99.0</v>
      </c>
      <c r="D135" s="134">
        <v>2.42</v>
      </c>
      <c r="E135" s="134">
        <v>20.0</v>
      </c>
      <c r="F135" s="134">
        <v>0.0</v>
      </c>
      <c r="G135" s="134">
        <v>20.0</v>
      </c>
      <c r="H135" s="134">
        <v>3.2</v>
      </c>
      <c r="I135" s="134">
        <v>20.0</v>
      </c>
      <c r="J135" s="134">
        <v>0.0</v>
      </c>
      <c r="K135" s="134">
        <v>20.0</v>
      </c>
      <c r="L135" s="134">
        <v>0.0</v>
      </c>
      <c r="M135" s="134">
        <v>19.0</v>
      </c>
      <c r="N135" s="134">
        <v>-0.842</v>
      </c>
    </row>
    <row r="136">
      <c r="A136" s="131" t="s">
        <v>668</v>
      </c>
      <c r="B136" s="133" t="s">
        <v>600</v>
      </c>
      <c r="C136" s="134">
        <v>82.0</v>
      </c>
      <c r="D136" s="134">
        <v>4.88</v>
      </c>
      <c r="E136" s="134">
        <v>17.0</v>
      </c>
      <c r="F136" s="134">
        <v>0.0</v>
      </c>
      <c r="G136" s="134">
        <v>17.0</v>
      </c>
      <c r="H136" s="134">
        <v>0.0</v>
      </c>
      <c r="I136" s="134">
        <v>16.0</v>
      </c>
      <c r="J136" s="134">
        <v>0.0</v>
      </c>
      <c r="K136" s="134">
        <v>16.0</v>
      </c>
      <c r="L136" s="134">
        <v>5.0</v>
      </c>
      <c r="M136" s="134">
        <v>16.0</v>
      </c>
      <c r="N136" s="134">
        <v>0.0</v>
      </c>
    </row>
    <row r="137">
      <c r="A137" s="131" t="s">
        <v>670</v>
      </c>
      <c r="B137" s="133" t="s">
        <v>635</v>
      </c>
      <c r="C137" s="134">
        <v>100.0</v>
      </c>
      <c r="D137" s="134">
        <v>2.4</v>
      </c>
      <c r="E137" s="134">
        <v>20.0</v>
      </c>
      <c r="F137" s="134">
        <v>0.8</v>
      </c>
      <c r="G137" s="134">
        <v>20.0</v>
      </c>
      <c r="H137" s="134">
        <v>0.0</v>
      </c>
      <c r="I137" s="134">
        <v>20.0</v>
      </c>
      <c r="J137" s="134">
        <v>0.0</v>
      </c>
      <c r="K137" s="134">
        <v>20.0</v>
      </c>
      <c r="L137" s="134">
        <v>1.6</v>
      </c>
      <c r="M137" s="134">
        <v>20.0</v>
      </c>
      <c r="N137" s="134">
        <v>0.0</v>
      </c>
    </row>
    <row r="138">
      <c r="A138" s="131" t="s">
        <v>672</v>
      </c>
      <c r="B138" s="133" t="s">
        <v>693</v>
      </c>
      <c r="C138" s="134">
        <v>100.0</v>
      </c>
      <c r="D138" s="134">
        <v>1.6</v>
      </c>
      <c r="E138" s="134">
        <v>20.0</v>
      </c>
      <c r="F138" s="134">
        <v>0.0</v>
      </c>
      <c r="G138" s="134">
        <v>20.0</v>
      </c>
      <c r="H138" s="134">
        <v>0.0</v>
      </c>
      <c r="I138" s="134">
        <v>20.0</v>
      </c>
      <c r="J138" s="134">
        <v>0.0</v>
      </c>
      <c r="K138" s="134">
        <v>20.0</v>
      </c>
      <c r="L138" s="134">
        <v>0.0</v>
      </c>
      <c r="M138" s="134">
        <v>20.0</v>
      </c>
      <c r="N138" s="134">
        <v>1.6</v>
      </c>
    </row>
    <row r="139">
      <c r="A139" s="131" t="s">
        <v>620</v>
      </c>
      <c r="B139" s="133" t="s">
        <v>719</v>
      </c>
      <c r="C139" s="134">
        <v>0.0</v>
      </c>
      <c r="D139" s="134">
        <v>0.0</v>
      </c>
      <c r="E139" s="134">
        <v>0.0</v>
      </c>
      <c r="F139" s="134">
        <v>0.0</v>
      </c>
      <c r="G139" s="134">
        <v>0.0</v>
      </c>
      <c r="H139" s="134">
        <v>0.0</v>
      </c>
      <c r="I139" s="134">
        <v>0.0</v>
      </c>
      <c r="J139" s="134">
        <v>0.0</v>
      </c>
      <c r="K139" s="134">
        <v>0.0</v>
      </c>
      <c r="L139" s="134">
        <v>0.0</v>
      </c>
      <c r="M139" s="134">
        <v>0.0</v>
      </c>
      <c r="N139" s="134">
        <v>0.0</v>
      </c>
    </row>
    <row r="140">
      <c r="A140" s="131" t="s">
        <v>675</v>
      </c>
      <c r="B140" s="133" t="s">
        <v>630</v>
      </c>
      <c r="C140" s="134">
        <v>100.0</v>
      </c>
      <c r="D140" s="134">
        <v>4.0</v>
      </c>
      <c r="E140" s="134">
        <v>20.0</v>
      </c>
      <c r="F140" s="134">
        <v>0.0</v>
      </c>
      <c r="G140" s="134">
        <v>20.0</v>
      </c>
      <c r="H140" s="134">
        <v>4.0</v>
      </c>
      <c r="I140" s="134">
        <v>20.0</v>
      </c>
      <c r="J140" s="134">
        <v>0.0</v>
      </c>
      <c r="K140" s="134">
        <v>20.0</v>
      </c>
      <c r="L140" s="134">
        <v>0.0</v>
      </c>
      <c r="M140" s="134">
        <v>20.0</v>
      </c>
      <c r="N140" s="134">
        <v>0.0</v>
      </c>
    </row>
    <row r="141">
      <c r="A141" s="131" t="s">
        <v>677</v>
      </c>
      <c r="B141" s="133" t="s">
        <v>637</v>
      </c>
      <c r="C141" s="134">
        <v>100.0</v>
      </c>
      <c r="D141" s="134">
        <v>1.6</v>
      </c>
      <c r="E141" s="134">
        <v>20.0</v>
      </c>
      <c r="F141" s="134">
        <v>0.8</v>
      </c>
      <c r="G141" s="134">
        <v>20.0</v>
      </c>
      <c r="H141" s="134">
        <v>0.0</v>
      </c>
      <c r="I141" s="134">
        <v>20.0</v>
      </c>
      <c r="J141" s="134">
        <v>0.0</v>
      </c>
      <c r="K141" s="134">
        <v>20.0</v>
      </c>
      <c r="L141" s="134">
        <v>0.8</v>
      </c>
      <c r="M141" s="134">
        <v>20.0</v>
      </c>
      <c r="N141" s="134">
        <v>0.0</v>
      </c>
    </row>
    <row r="142">
      <c r="A142" s="131" t="s">
        <v>680</v>
      </c>
      <c r="B142" s="133" t="s">
        <v>718</v>
      </c>
      <c r="C142" s="134">
        <v>100.0</v>
      </c>
      <c r="D142" s="134">
        <v>0.8</v>
      </c>
      <c r="E142" s="134">
        <v>20.0</v>
      </c>
      <c r="F142" s="134">
        <v>0.0</v>
      </c>
      <c r="G142" s="134">
        <v>20.0</v>
      </c>
      <c r="H142" s="134">
        <v>0.0</v>
      </c>
      <c r="I142" s="134">
        <v>20.0</v>
      </c>
      <c r="J142" s="134">
        <v>0.0</v>
      </c>
      <c r="K142" s="134">
        <v>20.0</v>
      </c>
      <c r="L142" s="134">
        <v>0.8</v>
      </c>
      <c r="M142" s="134">
        <v>20.0</v>
      </c>
      <c r="N142" s="134">
        <v>0.0</v>
      </c>
    </row>
    <row r="143">
      <c r="A143" s="131" t="s">
        <v>681</v>
      </c>
      <c r="B143" s="133" t="s">
        <v>697</v>
      </c>
      <c r="C143" s="134">
        <v>61.0</v>
      </c>
      <c r="D143" s="134">
        <v>1.31</v>
      </c>
      <c r="E143" s="134">
        <v>12.0</v>
      </c>
      <c r="F143" s="134">
        <v>0.0</v>
      </c>
      <c r="G143" s="134">
        <v>13.0</v>
      </c>
      <c r="H143" s="134">
        <v>1.23</v>
      </c>
      <c r="I143" s="134">
        <v>12.0</v>
      </c>
      <c r="J143" s="134">
        <v>0.0</v>
      </c>
      <c r="K143" s="134">
        <v>12.0</v>
      </c>
      <c r="L143" s="134">
        <v>0.0</v>
      </c>
      <c r="M143" s="134">
        <v>12.0</v>
      </c>
      <c r="N143" s="134">
        <v>0.0</v>
      </c>
    </row>
    <row r="144">
      <c r="A144" s="131" t="s">
        <v>586</v>
      </c>
      <c r="B144" s="133" t="s">
        <v>723</v>
      </c>
      <c r="C144" s="134">
        <v>51.0</v>
      </c>
      <c r="D144" s="134">
        <v>0.0</v>
      </c>
      <c r="E144" s="134">
        <v>11.0</v>
      </c>
      <c r="F144" s="134">
        <v>0.0</v>
      </c>
      <c r="G144" s="134">
        <v>10.0</v>
      </c>
      <c r="H144" s="134">
        <v>0.0</v>
      </c>
      <c r="I144" s="134">
        <v>10.0</v>
      </c>
      <c r="J144" s="134">
        <v>0.0</v>
      </c>
      <c r="K144" s="134">
        <v>10.0</v>
      </c>
      <c r="L144" s="134">
        <v>0.0</v>
      </c>
      <c r="M144" s="134">
        <v>10.0</v>
      </c>
      <c r="N144" s="134">
        <v>0.0</v>
      </c>
    </row>
    <row r="145">
      <c r="A145" s="131" t="s">
        <v>688</v>
      </c>
      <c r="B145" s="133" t="s">
        <v>725</v>
      </c>
      <c r="C145" s="134">
        <v>20.0</v>
      </c>
      <c r="D145" s="134">
        <v>0.0</v>
      </c>
      <c r="E145" s="134">
        <v>4.0</v>
      </c>
      <c r="F145" s="134">
        <v>0.0</v>
      </c>
      <c r="G145" s="134">
        <v>4.0</v>
      </c>
      <c r="H145" s="134">
        <v>0.0</v>
      </c>
      <c r="I145" s="134">
        <v>4.0</v>
      </c>
      <c r="J145" s="134">
        <v>0.0</v>
      </c>
      <c r="K145" s="134">
        <v>4.0</v>
      </c>
      <c r="L145" s="134">
        <v>0.0</v>
      </c>
      <c r="M145" s="134">
        <v>4.0</v>
      </c>
      <c r="N145" s="134">
        <v>0.0</v>
      </c>
    </row>
    <row r="146">
      <c r="A146" s="131" t="s">
        <v>647</v>
      </c>
      <c r="B146" s="133" t="s">
        <v>721</v>
      </c>
      <c r="C146" s="134">
        <v>100.0</v>
      </c>
      <c r="D146" s="134">
        <v>0.8</v>
      </c>
      <c r="E146" s="134">
        <v>20.0</v>
      </c>
      <c r="F146" s="134">
        <v>0.0</v>
      </c>
      <c r="G146" s="134">
        <v>20.0</v>
      </c>
      <c r="H146" s="134">
        <v>0.8</v>
      </c>
      <c r="I146" s="134">
        <v>20.0</v>
      </c>
      <c r="J146" s="134">
        <v>0.0</v>
      </c>
      <c r="K146" s="134">
        <v>20.0</v>
      </c>
      <c r="L146" s="134">
        <v>0.0</v>
      </c>
      <c r="M146" s="134">
        <v>20.0</v>
      </c>
      <c r="N146" s="134">
        <v>0.0</v>
      </c>
    </row>
    <row r="147">
      <c r="A147" s="131" t="s">
        <v>690</v>
      </c>
      <c r="B147" s="133" t="s">
        <v>550</v>
      </c>
      <c r="C147" s="134">
        <v>100.0</v>
      </c>
      <c r="D147" s="134">
        <v>7.2</v>
      </c>
      <c r="E147" s="134">
        <v>20.0</v>
      </c>
      <c r="F147" s="134">
        <v>1.6</v>
      </c>
      <c r="G147" s="134">
        <v>20.0</v>
      </c>
      <c r="H147" s="134">
        <v>0.8</v>
      </c>
      <c r="I147" s="134">
        <v>20.0</v>
      </c>
      <c r="J147" s="134">
        <v>0.0</v>
      </c>
      <c r="K147" s="134">
        <v>20.0</v>
      </c>
      <c r="L147" s="134">
        <v>0.0</v>
      </c>
      <c r="M147" s="134">
        <v>20.0</v>
      </c>
      <c r="N147" s="134">
        <v>4.8</v>
      </c>
    </row>
    <row r="148">
      <c r="A148" s="131" t="s">
        <v>591</v>
      </c>
      <c r="B148" s="133" t="s">
        <v>622</v>
      </c>
      <c r="C148" s="134">
        <v>59.0</v>
      </c>
      <c r="D148" s="134">
        <v>4.07</v>
      </c>
      <c r="E148" s="134">
        <v>12.0</v>
      </c>
      <c r="F148" s="134">
        <v>0.0</v>
      </c>
      <c r="G148" s="134">
        <v>11.0</v>
      </c>
      <c r="H148" s="134">
        <v>2.91</v>
      </c>
      <c r="I148" s="134">
        <v>12.0</v>
      </c>
      <c r="J148" s="134">
        <v>0.0</v>
      </c>
      <c r="K148" s="134">
        <v>12.0</v>
      </c>
      <c r="L148" s="134">
        <v>1.33</v>
      </c>
      <c r="M148" s="134">
        <v>12.0</v>
      </c>
      <c r="N148" s="134">
        <v>0.0</v>
      </c>
    </row>
    <row r="149">
      <c r="A149" s="131" t="s">
        <v>695</v>
      </c>
      <c r="B149" s="133" t="s">
        <v>598</v>
      </c>
      <c r="C149" s="134">
        <v>81.0</v>
      </c>
      <c r="D149" s="134">
        <v>4.94</v>
      </c>
      <c r="E149" s="134">
        <v>16.0</v>
      </c>
      <c r="F149" s="134">
        <v>0.0</v>
      </c>
      <c r="G149" s="134">
        <v>17.0</v>
      </c>
      <c r="H149" s="134">
        <v>1.88</v>
      </c>
      <c r="I149" s="134">
        <v>16.0</v>
      </c>
      <c r="J149" s="134">
        <v>0.0</v>
      </c>
      <c r="K149" s="134">
        <v>16.0</v>
      </c>
      <c r="L149" s="134">
        <v>0.0</v>
      </c>
      <c r="M149" s="134">
        <v>16.0</v>
      </c>
      <c r="N149" s="134">
        <v>3.0</v>
      </c>
    </row>
    <row r="150">
      <c r="A150" s="131" t="s">
        <v>610</v>
      </c>
      <c r="B150" s="133" t="s">
        <v>730</v>
      </c>
      <c r="C150" s="134">
        <v>89.0</v>
      </c>
      <c r="D150" s="134">
        <v>-0.899</v>
      </c>
      <c r="E150" s="134">
        <v>17.0</v>
      </c>
      <c r="F150" s="134">
        <v>0.0</v>
      </c>
      <c r="G150" s="134">
        <v>18.0</v>
      </c>
      <c r="H150" s="134">
        <v>-0.889</v>
      </c>
      <c r="I150" s="134">
        <v>18.0</v>
      </c>
      <c r="J150" s="134">
        <v>0.0</v>
      </c>
      <c r="K150" s="134">
        <v>18.0</v>
      </c>
      <c r="L150" s="134">
        <v>0.0</v>
      </c>
      <c r="M150" s="134">
        <v>18.0</v>
      </c>
      <c r="N150" s="134">
        <v>0.0</v>
      </c>
    </row>
    <row r="151">
      <c r="A151" s="131" t="s">
        <v>699</v>
      </c>
      <c r="B151" s="133" t="s">
        <v>732</v>
      </c>
      <c r="C151" s="134">
        <v>72.0</v>
      </c>
      <c r="D151" s="134">
        <v>0.0</v>
      </c>
      <c r="E151" s="134">
        <v>15.0</v>
      </c>
      <c r="F151" s="134">
        <v>0.0</v>
      </c>
      <c r="G151" s="134">
        <v>15.0</v>
      </c>
      <c r="H151" s="134">
        <v>0.0</v>
      </c>
      <c r="I151" s="134">
        <v>14.0</v>
      </c>
      <c r="J151" s="134">
        <v>0.0</v>
      </c>
      <c r="K151" s="134">
        <v>14.0</v>
      </c>
      <c r="L151" s="134">
        <v>0.0</v>
      </c>
      <c r="M151" s="134">
        <v>14.0</v>
      </c>
      <c r="N151" s="134">
        <v>0.0</v>
      </c>
    </row>
    <row r="152">
      <c r="A152" s="131" t="s">
        <v>701</v>
      </c>
      <c r="B152" s="133" t="s">
        <v>683</v>
      </c>
      <c r="C152" s="134">
        <v>91.0</v>
      </c>
      <c r="D152" s="134">
        <v>1.76</v>
      </c>
      <c r="E152" s="134">
        <v>19.0</v>
      </c>
      <c r="F152" s="134">
        <v>0.0</v>
      </c>
      <c r="G152" s="134">
        <v>18.0</v>
      </c>
      <c r="H152" s="134">
        <v>0.0</v>
      </c>
      <c r="I152" s="134">
        <v>18.0</v>
      </c>
      <c r="J152" s="134">
        <v>0.0</v>
      </c>
      <c r="K152" s="134">
        <v>18.0</v>
      </c>
      <c r="L152" s="134">
        <v>1.78</v>
      </c>
      <c r="M152" s="134">
        <v>18.0</v>
      </c>
      <c r="N152" s="134">
        <v>0.0</v>
      </c>
    </row>
    <row r="153">
      <c r="A153" s="131" t="s">
        <v>702</v>
      </c>
      <c r="B153" s="133" t="s">
        <v>714</v>
      </c>
      <c r="C153" s="134">
        <v>99.0</v>
      </c>
      <c r="D153" s="134">
        <v>0.808</v>
      </c>
      <c r="E153" s="134">
        <v>20.0</v>
      </c>
      <c r="F153" s="134">
        <v>0.0</v>
      </c>
      <c r="G153" s="134">
        <v>20.0</v>
      </c>
      <c r="H153" s="134">
        <v>0.0</v>
      </c>
      <c r="I153" s="134">
        <v>20.0</v>
      </c>
      <c r="J153" s="134">
        <v>0.0</v>
      </c>
      <c r="K153" s="134">
        <v>20.0</v>
      </c>
      <c r="L153" s="134">
        <v>0.0</v>
      </c>
      <c r="M153" s="134">
        <v>19.0</v>
      </c>
      <c r="N153" s="134">
        <v>0.842</v>
      </c>
    </row>
    <row r="154">
      <c r="A154" s="131" t="s">
        <v>649</v>
      </c>
      <c r="B154" s="133" t="s">
        <v>548</v>
      </c>
      <c r="C154" s="134">
        <v>32.0</v>
      </c>
      <c r="D154" s="134">
        <v>2.5</v>
      </c>
      <c r="E154" s="134">
        <v>7.0</v>
      </c>
      <c r="F154" s="134">
        <v>2.29</v>
      </c>
      <c r="G154" s="134">
        <v>7.0</v>
      </c>
      <c r="H154" s="134">
        <v>0.0</v>
      </c>
      <c r="I154" s="134">
        <v>6.0</v>
      </c>
      <c r="J154" s="134">
        <v>0.0</v>
      </c>
      <c r="K154" s="134">
        <v>6.0</v>
      </c>
      <c r="L154" s="134">
        <v>0.0</v>
      </c>
      <c r="M154" s="134">
        <v>6.0</v>
      </c>
      <c r="N154" s="134">
        <v>0.0</v>
      </c>
    </row>
    <row r="155">
      <c r="A155" s="131" t="s">
        <v>707</v>
      </c>
      <c r="B155" s="133" t="s">
        <v>480</v>
      </c>
      <c r="C155" s="134">
        <v>99.0</v>
      </c>
      <c r="D155" s="134">
        <v>10.5</v>
      </c>
      <c r="E155" s="134">
        <v>20.0</v>
      </c>
      <c r="F155" s="134">
        <v>0.0</v>
      </c>
      <c r="G155" s="134">
        <v>20.0</v>
      </c>
      <c r="H155" s="134">
        <v>4.8</v>
      </c>
      <c r="I155" s="134">
        <v>20.0</v>
      </c>
      <c r="J155" s="134">
        <v>0.0</v>
      </c>
      <c r="K155" s="134">
        <v>20.0</v>
      </c>
      <c r="L155" s="134">
        <v>4.0</v>
      </c>
      <c r="M155" s="134">
        <v>19.0</v>
      </c>
      <c r="N155" s="134">
        <v>1.68</v>
      </c>
    </row>
    <row r="156">
      <c r="A156" s="131" t="s">
        <v>651</v>
      </c>
      <c r="B156" s="133" t="s">
        <v>619</v>
      </c>
      <c r="C156" s="134">
        <v>98.0</v>
      </c>
      <c r="D156" s="134">
        <v>4.08</v>
      </c>
      <c r="E156" s="134">
        <v>20.0</v>
      </c>
      <c r="F156" s="134">
        <v>0.8</v>
      </c>
      <c r="G156" s="134">
        <v>20.0</v>
      </c>
      <c r="H156" s="134">
        <v>0.0</v>
      </c>
      <c r="I156" s="134">
        <v>20.0</v>
      </c>
      <c r="J156" s="134">
        <v>0.0</v>
      </c>
      <c r="K156" s="134">
        <v>20.0</v>
      </c>
      <c r="L156" s="134">
        <v>0.0</v>
      </c>
      <c r="M156" s="134">
        <v>18.0</v>
      </c>
      <c r="N156" s="134">
        <v>3.56</v>
      </c>
    </row>
    <row r="157">
      <c r="A157" s="131" t="s">
        <v>709</v>
      </c>
      <c r="B157" s="133" t="s">
        <v>641</v>
      </c>
      <c r="C157" s="134">
        <v>98.0</v>
      </c>
      <c r="D157" s="134">
        <v>0.816</v>
      </c>
      <c r="E157" s="134">
        <v>20.0</v>
      </c>
      <c r="F157" s="134">
        <v>0.8</v>
      </c>
      <c r="G157" s="134">
        <v>20.0</v>
      </c>
      <c r="H157" s="134">
        <v>0.0</v>
      </c>
      <c r="I157" s="134">
        <v>20.0</v>
      </c>
      <c r="J157" s="134">
        <v>0.0</v>
      </c>
      <c r="K157" s="134">
        <v>19.0</v>
      </c>
      <c r="L157" s="134">
        <v>0.0</v>
      </c>
      <c r="M157" s="134">
        <v>19.0</v>
      </c>
      <c r="N157" s="134">
        <v>0.0</v>
      </c>
    </row>
    <row r="158">
      <c r="A158" s="131" t="s">
        <v>710</v>
      </c>
      <c r="B158" s="133" t="s">
        <v>551</v>
      </c>
      <c r="C158" s="134">
        <v>38.0</v>
      </c>
      <c r="D158" s="134">
        <v>2.11</v>
      </c>
      <c r="E158" s="134">
        <v>7.0</v>
      </c>
      <c r="F158" s="134">
        <v>2.29</v>
      </c>
      <c r="G158" s="134">
        <v>7.0</v>
      </c>
      <c r="H158" s="134">
        <v>0.0</v>
      </c>
      <c r="I158" s="134">
        <v>8.0</v>
      </c>
      <c r="J158" s="134">
        <v>0.0</v>
      </c>
      <c r="K158" s="134">
        <v>8.0</v>
      </c>
      <c r="L158" s="134">
        <v>0.0</v>
      </c>
      <c r="M158" s="134">
        <v>8.0</v>
      </c>
      <c r="N158" s="134">
        <v>0.0</v>
      </c>
    </row>
    <row r="159">
      <c r="A159" s="131" t="s">
        <v>712</v>
      </c>
      <c r="B159" s="133" t="s">
        <v>587</v>
      </c>
      <c r="C159" s="134">
        <v>67.0</v>
      </c>
      <c r="D159" s="134">
        <v>1.19</v>
      </c>
      <c r="E159" s="134">
        <v>13.0</v>
      </c>
      <c r="F159" s="134">
        <v>1.23</v>
      </c>
      <c r="G159" s="134">
        <v>14.0</v>
      </c>
      <c r="H159" s="134">
        <v>0.0</v>
      </c>
      <c r="I159" s="134">
        <v>14.0</v>
      </c>
      <c r="J159" s="134">
        <v>0.0</v>
      </c>
      <c r="K159" s="134">
        <v>13.0</v>
      </c>
      <c r="L159" s="134">
        <v>0.0</v>
      </c>
      <c r="M159" s="134">
        <v>13.0</v>
      </c>
      <c r="N159" s="134">
        <v>0.0</v>
      </c>
    </row>
    <row r="160">
      <c r="A160" s="131" t="s">
        <v>713</v>
      </c>
      <c r="B160" s="133" t="s">
        <v>618</v>
      </c>
      <c r="C160" s="134">
        <v>89.0</v>
      </c>
      <c r="D160" s="134">
        <v>1.8</v>
      </c>
      <c r="E160" s="134">
        <v>18.0</v>
      </c>
      <c r="F160" s="134">
        <v>0.889</v>
      </c>
      <c r="G160" s="134">
        <v>18.0</v>
      </c>
      <c r="H160" s="134">
        <v>0.0</v>
      </c>
      <c r="I160" s="134">
        <v>18.0</v>
      </c>
      <c r="J160" s="134">
        <v>0.0</v>
      </c>
      <c r="K160" s="134">
        <v>17.0</v>
      </c>
      <c r="L160" s="134">
        <v>0.941</v>
      </c>
      <c r="M160" s="134">
        <v>18.0</v>
      </c>
      <c r="N160" s="134">
        <v>0.0</v>
      </c>
    </row>
    <row r="161">
      <c r="A161" s="131" t="s">
        <v>715</v>
      </c>
      <c r="B161" s="133" t="s">
        <v>737</v>
      </c>
      <c r="C161" s="134">
        <v>40.0</v>
      </c>
      <c r="D161" s="134">
        <v>0.0</v>
      </c>
      <c r="E161" s="134">
        <v>9.0</v>
      </c>
      <c r="F161" s="134">
        <v>0.0</v>
      </c>
      <c r="G161" s="134">
        <v>8.0</v>
      </c>
      <c r="H161" s="134">
        <v>0.0</v>
      </c>
      <c r="I161" s="134">
        <v>8.0</v>
      </c>
      <c r="J161" s="134">
        <v>0.0</v>
      </c>
      <c r="K161" s="134">
        <v>8.0</v>
      </c>
      <c r="L161" s="134">
        <v>0.0</v>
      </c>
      <c r="M161" s="134">
        <v>7.0</v>
      </c>
      <c r="N161" s="134">
        <v>0.0</v>
      </c>
    </row>
    <row r="162">
      <c r="A162" s="131" t="s">
        <v>716</v>
      </c>
      <c r="B162" s="133" t="s">
        <v>739</v>
      </c>
      <c r="C162" s="134">
        <v>38.0</v>
      </c>
      <c r="D162" s="134">
        <v>0.0</v>
      </c>
      <c r="E162" s="134">
        <v>8.0</v>
      </c>
      <c r="F162" s="134">
        <v>0.0</v>
      </c>
      <c r="G162" s="134">
        <v>8.0</v>
      </c>
      <c r="H162" s="134">
        <v>0.0</v>
      </c>
      <c r="I162" s="134">
        <v>8.0</v>
      </c>
      <c r="J162" s="134">
        <v>0.0</v>
      </c>
      <c r="K162" s="134">
        <v>8.0</v>
      </c>
      <c r="L162" s="134">
        <v>0.0</v>
      </c>
      <c r="M162" s="134">
        <v>6.0</v>
      </c>
      <c r="N162" s="134">
        <v>0.0</v>
      </c>
    </row>
    <row r="163">
      <c r="A163" s="131" t="s">
        <v>717</v>
      </c>
      <c r="B163" s="133" t="s">
        <v>682</v>
      </c>
      <c r="C163" s="134">
        <v>89.0</v>
      </c>
      <c r="D163" s="134">
        <v>1.8</v>
      </c>
      <c r="E163" s="134">
        <v>18.0</v>
      </c>
      <c r="F163" s="134">
        <v>0.0</v>
      </c>
      <c r="G163" s="134">
        <v>18.0</v>
      </c>
      <c r="H163" s="134">
        <v>0.889</v>
      </c>
      <c r="I163" s="134">
        <v>18.0</v>
      </c>
      <c r="J163" s="134">
        <v>0.0</v>
      </c>
      <c r="K163" s="134">
        <v>18.0</v>
      </c>
      <c r="L163" s="134">
        <v>0.889</v>
      </c>
      <c r="M163" s="134">
        <v>17.0</v>
      </c>
      <c r="N163" s="134">
        <v>0.0</v>
      </c>
    </row>
    <row r="164">
      <c r="A164" s="131" t="s">
        <v>720</v>
      </c>
      <c r="B164" s="133" t="s">
        <v>741</v>
      </c>
      <c r="C164" s="134">
        <v>0.0</v>
      </c>
      <c r="D164" s="134">
        <v>0.0</v>
      </c>
      <c r="E164" s="134">
        <v>0.0</v>
      </c>
      <c r="F164" s="134">
        <v>0.0</v>
      </c>
      <c r="G164" s="134">
        <v>0.0</v>
      </c>
      <c r="H164" s="134">
        <v>0.0</v>
      </c>
      <c r="I164" s="134">
        <v>0.0</v>
      </c>
      <c r="J164" s="134">
        <v>0.0</v>
      </c>
      <c r="K164" s="134">
        <v>0.0</v>
      </c>
      <c r="L164" s="134">
        <v>0.0</v>
      </c>
      <c r="M164" s="134">
        <v>0.0</v>
      </c>
      <c r="N164" s="134">
        <v>0.0</v>
      </c>
    </row>
    <row r="165">
      <c r="A165" s="131" t="s">
        <v>722</v>
      </c>
      <c r="B165" s="133" t="s">
        <v>689</v>
      </c>
      <c r="C165" s="134">
        <v>95.0</v>
      </c>
      <c r="D165" s="134">
        <v>1.68</v>
      </c>
      <c r="E165" s="134">
        <v>20.0</v>
      </c>
      <c r="F165" s="134">
        <v>0.0</v>
      </c>
      <c r="G165" s="134">
        <v>20.0</v>
      </c>
      <c r="H165" s="134">
        <v>0.0</v>
      </c>
      <c r="I165" s="134">
        <v>20.0</v>
      </c>
      <c r="J165" s="134">
        <v>0.0</v>
      </c>
      <c r="K165" s="134">
        <v>18.0</v>
      </c>
      <c r="L165" s="134">
        <v>0.889</v>
      </c>
      <c r="M165" s="134">
        <v>17.0</v>
      </c>
      <c r="N165" s="134">
        <v>0.941</v>
      </c>
    </row>
    <row r="166">
      <c r="A166" s="131" t="s">
        <v>726</v>
      </c>
      <c r="B166" s="133" t="s">
        <v>495</v>
      </c>
      <c r="C166" s="134">
        <v>95.0</v>
      </c>
      <c r="D166" s="134">
        <v>9.26</v>
      </c>
      <c r="E166" s="134">
        <v>20.0</v>
      </c>
      <c r="F166" s="134">
        <v>0.0</v>
      </c>
      <c r="G166" s="134">
        <v>20.0</v>
      </c>
      <c r="H166" s="134">
        <v>5.6</v>
      </c>
      <c r="I166" s="134">
        <v>20.0</v>
      </c>
      <c r="J166" s="134">
        <v>0.0</v>
      </c>
      <c r="K166" s="134">
        <v>18.0</v>
      </c>
      <c r="L166" s="134">
        <v>1.78</v>
      </c>
      <c r="M166" s="134">
        <v>17.0</v>
      </c>
      <c r="N166" s="134">
        <v>1.88</v>
      </c>
    </row>
    <row r="167">
      <c r="A167" s="131" t="s">
        <v>727</v>
      </c>
      <c r="B167" s="133" t="s">
        <v>606</v>
      </c>
      <c r="C167" s="134">
        <v>56.0</v>
      </c>
      <c r="D167" s="134">
        <v>4.29</v>
      </c>
      <c r="E167" s="134">
        <v>12.0</v>
      </c>
      <c r="F167" s="134">
        <v>0.0</v>
      </c>
      <c r="G167" s="134">
        <v>12.0</v>
      </c>
      <c r="H167" s="134">
        <v>1.33</v>
      </c>
      <c r="I167" s="134">
        <v>12.0</v>
      </c>
      <c r="J167" s="134">
        <v>0.0</v>
      </c>
      <c r="K167" s="134">
        <v>10.0</v>
      </c>
      <c r="L167" s="134">
        <v>0.0</v>
      </c>
      <c r="M167" s="134">
        <v>10.0</v>
      </c>
      <c r="N167" s="134">
        <v>3.2</v>
      </c>
    </row>
    <row r="168">
      <c r="A168" s="131" t="s">
        <v>728</v>
      </c>
      <c r="B168" s="133" t="s">
        <v>743</v>
      </c>
      <c r="C168" s="134">
        <v>40.0</v>
      </c>
      <c r="D168" s="134">
        <v>0.0</v>
      </c>
      <c r="E168" s="134">
        <v>8.0</v>
      </c>
      <c r="F168" s="134">
        <v>0.0</v>
      </c>
      <c r="G168" s="134">
        <v>8.0</v>
      </c>
      <c r="H168" s="134">
        <v>0.0</v>
      </c>
      <c r="I168" s="134">
        <v>8.0</v>
      </c>
      <c r="J168" s="134">
        <v>0.0</v>
      </c>
      <c r="K168" s="134">
        <v>8.0</v>
      </c>
      <c r="L168" s="134">
        <v>0.0</v>
      </c>
      <c r="M168" s="134">
        <v>8.0</v>
      </c>
      <c r="N168" s="134">
        <v>0.0</v>
      </c>
    </row>
    <row r="169">
      <c r="A169" s="131" t="s">
        <v>729</v>
      </c>
      <c r="B169" s="133" t="s">
        <v>522</v>
      </c>
      <c r="C169" s="134">
        <v>99.0</v>
      </c>
      <c r="D169" s="134">
        <v>8.08</v>
      </c>
      <c r="E169" s="134">
        <v>20.0</v>
      </c>
      <c r="F169" s="134">
        <v>0.0</v>
      </c>
      <c r="G169" s="134">
        <v>20.0</v>
      </c>
      <c r="H169" s="134">
        <v>2.4</v>
      </c>
      <c r="I169" s="134">
        <v>20.0</v>
      </c>
      <c r="J169" s="134">
        <v>0.0</v>
      </c>
      <c r="K169" s="134">
        <v>20.0</v>
      </c>
      <c r="L169" s="134">
        <v>0.0</v>
      </c>
      <c r="M169" s="134">
        <v>19.0</v>
      </c>
      <c r="N169" s="134">
        <v>5.89</v>
      </c>
    </row>
    <row r="170">
      <c r="A170" s="131" t="s">
        <v>731</v>
      </c>
      <c r="B170" s="133" t="s">
        <v>745</v>
      </c>
      <c r="C170" s="134">
        <v>25.0</v>
      </c>
      <c r="D170" s="134">
        <v>0.0</v>
      </c>
      <c r="E170" s="134">
        <v>5.0</v>
      </c>
      <c r="F170" s="134">
        <v>0.0</v>
      </c>
      <c r="G170" s="134">
        <v>5.0</v>
      </c>
      <c r="H170" s="134">
        <v>0.0</v>
      </c>
      <c r="I170" s="134">
        <v>5.0</v>
      </c>
      <c r="J170" s="134">
        <v>0.0</v>
      </c>
      <c r="K170" s="134">
        <v>5.0</v>
      </c>
      <c r="L170" s="134">
        <v>0.0</v>
      </c>
      <c r="M170" s="134">
        <v>5.0</v>
      </c>
      <c r="N170" s="134">
        <v>0.0</v>
      </c>
    </row>
    <row r="171">
      <c r="A171" s="131" t="s">
        <v>733</v>
      </c>
      <c r="B171" s="133" t="s">
        <v>708</v>
      </c>
      <c r="C171" s="134">
        <v>85.0</v>
      </c>
      <c r="D171" s="134">
        <v>0.941</v>
      </c>
      <c r="E171" s="134">
        <v>19.0</v>
      </c>
      <c r="F171" s="134">
        <v>0.0</v>
      </c>
      <c r="G171" s="134">
        <v>18.0</v>
      </c>
      <c r="H171" s="134">
        <v>0.889</v>
      </c>
      <c r="I171" s="134">
        <v>16.0</v>
      </c>
      <c r="J171" s="134">
        <v>0.0</v>
      </c>
      <c r="K171" s="134">
        <v>16.0</v>
      </c>
      <c r="L171" s="134">
        <v>0.0</v>
      </c>
      <c r="M171" s="134">
        <v>16.0</v>
      </c>
      <c r="N171" s="134">
        <v>0.0</v>
      </c>
    </row>
    <row r="172">
      <c r="A172" s="131" t="s">
        <v>734</v>
      </c>
      <c r="B172" s="133" t="s">
        <v>540</v>
      </c>
      <c r="C172" s="134">
        <v>76.0</v>
      </c>
      <c r="D172" s="134">
        <v>7.37</v>
      </c>
      <c r="E172" s="134">
        <v>16.0</v>
      </c>
      <c r="F172" s="134">
        <v>0.0</v>
      </c>
      <c r="G172" s="134">
        <v>15.0</v>
      </c>
      <c r="H172" s="134">
        <v>0.0</v>
      </c>
      <c r="I172" s="134">
        <v>15.0</v>
      </c>
      <c r="J172" s="134">
        <v>0.0</v>
      </c>
      <c r="K172" s="134">
        <v>15.0</v>
      </c>
      <c r="L172" s="134">
        <v>0.0</v>
      </c>
      <c r="M172" s="134">
        <v>15.0</v>
      </c>
      <c r="N172" s="134">
        <v>7.47</v>
      </c>
    </row>
    <row r="173">
      <c r="A173" s="131" t="s">
        <v>735</v>
      </c>
      <c r="B173" s="133" t="s">
        <v>648</v>
      </c>
      <c r="C173" s="134">
        <v>97.0</v>
      </c>
      <c r="D173" s="134">
        <v>0.825</v>
      </c>
      <c r="E173" s="134">
        <v>20.0</v>
      </c>
      <c r="F173" s="134">
        <v>0.8</v>
      </c>
      <c r="G173" s="134">
        <v>20.0</v>
      </c>
      <c r="H173" s="134">
        <v>0.0</v>
      </c>
      <c r="I173" s="134">
        <v>20.0</v>
      </c>
      <c r="J173" s="134">
        <v>0.0</v>
      </c>
      <c r="K173" s="134">
        <v>19.0</v>
      </c>
      <c r="L173" s="134">
        <v>0.0</v>
      </c>
      <c r="M173" s="134">
        <v>18.0</v>
      </c>
      <c r="N173" s="134">
        <v>0.0</v>
      </c>
    </row>
    <row r="174">
      <c r="A174" s="131" t="s">
        <v>736</v>
      </c>
      <c r="B174" s="133" t="s">
        <v>711</v>
      </c>
      <c r="C174" s="134">
        <v>97.0</v>
      </c>
      <c r="D174" s="134">
        <v>0.825</v>
      </c>
      <c r="E174" s="134">
        <v>20.0</v>
      </c>
      <c r="F174" s="134">
        <v>0.0</v>
      </c>
      <c r="G174" s="134">
        <v>20.0</v>
      </c>
      <c r="H174" s="134">
        <v>0.0</v>
      </c>
      <c r="I174" s="134">
        <v>20.0</v>
      </c>
      <c r="J174" s="134">
        <v>0.0</v>
      </c>
      <c r="K174" s="134">
        <v>19.0</v>
      </c>
      <c r="L174" s="134">
        <v>0.842</v>
      </c>
      <c r="M174" s="134">
        <v>18.0</v>
      </c>
      <c r="N174" s="134">
        <v>0.0</v>
      </c>
    </row>
    <row r="175">
      <c r="A175" s="131" t="s">
        <v>740</v>
      </c>
      <c r="B175" s="133" t="s">
        <v>607</v>
      </c>
      <c r="C175" s="134">
        <v>79.0</v>
      </c>
      <c r="D175" s="134">
        <v>1.01</v>
      </c>
      <c r="E175" s="134">
        <v>16.0</v>
      </c>
      <c r="F175" s="134">
        <v>1.0</v>
      </c>
      <c r="G175" s="134">
        <v>16.0</v>
      </c>
      <c r="H175" s="134">
        <v>0.0</v>
      </c>
      <c r="I175" s="134">
        <v>16.0</v>
      </c>
      <c r="J175" s="134">
        <v>0.0</v>
      </c>
      <c r="K175" s="134">
        <v>16.0</v>
      </c>
      <c r="L175" s="134">
        <v>1.0</v>
      </c>
      <c r="M175" s="134">
        <v>15.0</v>
      </c>
      <c r="N175" s="134">
        <v>-1.07</v>
      </c>
    </row>
    <row r="176">
      <c r="A176" s="131" t="s">
        <v>744</v>
      </c>
      <c r="B176" s="133" t="s">
        <v>464</v>
      </c>
      <c r="C176" s="134">
        <v>64.0</v>
      </c>
      <c r="D176" s="134">
        <v>12.5</v>
      </c>
      <c r="E176" s="134">
        <v>12.0</v>
      </c>
      <c r="F176" s="134">
        <v>1.33</v>
      </c>
      <c r="G176" s="134">
        <v>13.0</v>
      </c>
      <c r="H176" s="134">
        <v>11.1</v>
      </c>
      <c r="I176" s="134">
        <v>14.0</v>
      </c>
      <c r="J176" s="134">
        <v>0.0</v>
      </c>
      <c r="K176" s="134">
        <v>14.0</v>
      </c>
      <c r="L176" s="134">
        <v>0.0</v>
      </c>
      <c r="M176" s="134">
        <v>11.0</v>
      </c>
      <c r="N176" s="134">
        <v>0.0</v>
      </c>
    </row>
    <row r="177">
      <c r="A177" s="131" t="s">
        <v>746</v>
      </c>
      <c r="B177" s="133" t="s">
        <v>453</v>
      </c>
      <c r="C177" s="134">
        <v>31.0</v>
      </c>
      <c r="D177" s="134">
        <v>12.9</v>
      </c>
      <c r="E177" s="134">
        <v>7.0</v>
      </c>
      <c r="F177" s="134">
        <v>0.0</v>
      </c>
      <c r="G177" s="134">
        <v>7.0</v>
      </c>
      <c r="H177" s="134">
        <v>11.4</v>
      </c>
      <c r="I177" s="134">
        <v>6.0</v>
      </c>
      <c r="J177" s="134">
        <v>0.0</v>
      </c>
      <c r="K177" s="134">
        <v>6.0</v>
      </c>
      <c r="L177" s="134">
        <v>0.0</v>
      </c>
      <c r="M177" s="134">
        <v>5.0</v>
      </c>
      <c r="N177" s="134">
        <v>0.0</v>
      </c>
    </row>
    <row r="178">
      <c r="A178" s="131" t="s">
        <v>752</v>
      </c>
      <c r="B178" s="133" t="s">
        <v>749</v>
      </c>
      <c r="C178" s="134">
        <v>67.0</v>
      </c>
      <c r="D178" s="134">
        <v>0.0</v>
      </c>
      <c r="E178" s="134">
        <v>13.0</v>
      </c>
      <c r="F178" s="134">
        <v>0.0</v>
      </c>
      <c r="G178" s="134">
        <v>14.0</v>
      </c>
      <c r="H178" s="134">
        <v>0.0</v>
      </c>
      <c r="I178" s="134">
        <v>14.0</v>
      </c>
      <c r="J178" s="134">
        <v>0.0</v>
      </c>
      <c r="K178" s="134">
        <v>14.0</v>
      </c>
      <c r="L178" s="134">
        <v>0.0</v>
      </c>
      <c r="M178" s="134">
        <v>12.0</v>
      </c>
      <c r="N178" s="134">
        <v>0.0</v>
      </c>
    </row>
    <row r="179">
      <c r="A179" s="131" t="s">
        <v>507</v>
      </c>
      <c r="B179" s="133" t="s">
        <v>705</v>
      </c>
      <c r="C179" s="134">
        <v>79.0</v>
      </c>
      <c r="D179" s="134">
        <v>1.01</v>
      </c>
      <c r="E179" s="134">
        <v>17.0</v>
      </c>
      <c r="F179" s="134">
        <v>-0.941</v>
      </c>
      <c r="G179" s="134">
        <v>16.0</v>
      </c>
      <c r="H179" s="134">
        <v>1.0</v>
      </c>
      <c r="I179" s="134">
        <v>15.0</v>
      </c>
      <c r="J179" s="134">
        <v>0.0</v>
      </c>
      <c r="K179" s="134">
        <v>16.0</v>
      </c>
      <c r="L179" s="134">
        <v>1.0</v>
      </c>
      <c r="M179" s="134">
        <v>15.0</v>
      </c>
      <c r="N179" s="134">
        <v>0.0</v>
      </c>
    </row>
    <row r="180">
      <c r="A180" s="131" t="s">
        <v>521</v>
      </c>
      <c r="B180" s="133" t="s">
        <v>669</v>
      </c>
      <c r="C180" s="134">
        <v>70.0</v>
      </c>
      <c r="D180" s="134">
        <v>2.29</v>
      </c>
      <c r="E180" s="134">
        <v>15.0</v>
      </c>
      <c r="F180" s="134">
        <v>0.0</v>
      </c>
      <c r="G180" s="134">
        <v>15.0</v>
      </c>
      <c r="H180" s="134">
        <v>0.0</v>
      </c>
      <c r="I180" s="134">
        <v>14.0</v>
      </c>
      <c r="J180" s="134">
        <v>0.0</v>
      </c>
      <c r="K180" s="134">
        <v>13.0</v>
      </c>
      <c r="L180" s="134">
        <v>2.46</v>
      </c>
      <c r="M180" s="134">
        <v>13.0</v>
      </c>
      <c r="N180" s="134">
        <v>0.0</v>
      </c>
    </row>
    <row r="181">
      <c r="A181" s="131" t="s">
        <v>496</v>
      </c>
      <c r="B181" s="133" t="s">
        <v>473</v>
      </c>
      <c r="C181" s="134">
        <v>78.0</v>
      </c>
      <c r="D181" s="134">
        <v>11.3</v>
      </c>
      <c r="E181" s="134">
        <v>16.0</v>
      </c>
      <c r="F181" s="134">
        <v>3.0</v>
      </c>
      <c r="G181" s="134">
        <v>16.0</v>
      </c>
      <c r="H181" s="134">
        <v>0.0</v>
      </c>
      <c r="I181" s="134">
        <v>16.0</v>
      </c>
      <c r="J181" s="134">
        <v>0.0</v>
      </c>
      <c r="K181" s="134">
        <v>15.0</v>
      </c>
      <c r="L181" s="134">
        <v>7.47</v>
      </c>
      <c r="M181" s="134">
        <v>15.0</v>
      </c>
      <c r="N181" s="134">
        <v>1.07</v>
      </c>
    </row>
    <row r="182">
      <c r="A182" s="131" t="s">
        <v>643</v>
      </c>
      <c r="B182" s="133" t="s">
        <v>485</v>
      </c>
      <c r="C182" s="134">
        <v>99.0</v>
      </c>
      <c r="D182" s="134">
        <v>4.04</v>
      </c>
      <c r="E182" s="134">
        <v>20.0</v>
      </c>
      <c r="F182" s="134">
        <v>3.2</v>
      </c>
      <c r="G182" s="134">
        <v>20.0</v>
      </c>
      <c r="H182" s="134">
        <v>0.0</v>
      </c>
      <c r="I182" s="134">
        <v>20.0</v>
      </c>
      <c r="J182" s="134">
        <v>-0.8</v>
      </c>
      <c r="K182" s="134">
        <v>20.0</v>
      </c>
      <c r="L182" s="134">
        <v>1.6</v>
      </c>
      <c r="M182" s="134">
        <v>19.0</v>
      </c>
      <c r="N182" s="134">
        <v>0.0</v>
      </c>
    </row>
    <row r="183">
      <c r="A183" s="131" t="s">
        <v>652</v>
      </c>
      <c r="B183" s="133" t="s">
        <v>629</v>
      </c>
      <c r="C183" s="134">
        <v>98.0</v>
      </c>
      <c r="D183" s="134">
        <v>2.45</v>
      </c>
      <c r="E183" s="134">
        <v>20.0</v>
      </c>
      <c r="F183" s="134">
        <v>0.8</v>
      </c>
      <c r="G183" s="134">
        <v>20.0</v>
      </c>
      <c r="H183" s="134">
        <v>0.0</v>
      </c>
      <c r="I183" s="134">
        <v>20.0</v>
      </c>
      <c r="J183" s="134">
        <v>-0.8</v>
      </c>
      <c r="K183" s="134">
        <v>19.0</v>
      </c>
      <c r="L183" s="134">
        <v>0.0</v>
      </c>
      <c r="M183" s="134">
        <v>19.0</v>
      </c>
      <c r="N183" s="134">
        <v>2.53</v>
      </c>
    </row>
    <row r="184">
      <c r="A184" s="131" t="s">
        <v>742</v>
      </c>
      <c r="B184" s="133" t="s">
        <v>679</v>
      </c>
      <c r="C184" s="134">
        <v>98.0</v>
      </c>
      <c r="D184" s="134">
        <v>-0.816</v>
      </c>
      <c r="E184" s="134">
        <v>20.0</v>
      </c>
      <c r="F184" s="134">
        <v>0.0</v>
      </c>
      <c r="G184" s="134">
        <v>20.0</v>
      </c>
      <c r="H184" s="134">
        <v>-0.8</v>
      </c>
      <c r="I184" s="134">
        <v>20.0</v>
      </c>
      <c r="J184" s="134">
        <v>-0.8</v>
      </c>
      <c r="K184" s="134">
        <v>19.0</v>
      </c>
      <c r="L184" s="134">
        <v>0.0</v>
      </c>
      <c r="M184" s="134">
        <v>19.0</v>
      </c>
      <c r="N184" s="134">
        <v>0.842</v>
      </c>
    </row>
    <row r="185">
      <c r="A185" s="131" t="s">
        <v>704</v>
      </c>
      <c r="B185" s="133" t="s">
        <v>527</v>
      </c>
      <c r="C185" s="134">
        <v>99.0</v>
      </c>
      <c r="D185" s="134">
        <v>2.42</v>
      </c>
      <c r="E185" s="134">
        <v>20.0</v>
      </c>
      <c r="F185" s="134">
        <v>0.8</v>
      </c>
      <c r="G185" s="134">
        <v>20.0</v>
      </c>
      <c r="H185" s="134">
        <v>0.0</v>
      </c>
      <c r="I185" s="134">
        <v>20.0</v>
      </c>
      <c r="J185" s="134">
        <v>-0.8</v>
      </c>
      <c r="K185" s="134">
        <v>20.0</v>
      </c>
      <c r="L185" s="134">
        <v>0.0</v>
      </c>
      <c r="M185" s="134">
        <v>19.0</v>
      </c>
      <c r="N185" s="134">
        <v>2.53</v>
      </c>
    </row>
    <row r="186">
      <c r="A186" s="131" t="s">
        <v>411</v>
      </c>
      <c r="B186" s="133" t="s">
        <v>525</v>
      </c>
      <c r="C186" s="134">
        <v>100.0</v>
      </c>
      <c r="D186" s="134">
        <v>8.0</v>
      </c>
      <c r="E186" s="134">
        <v>20.0</v>
      </c>
      <c r="F186" s="134">
        <v>1.6</v>
      </c>
      <c r="G186" s="134">
        <v>20.0</v>
      </c>
      <c r="H186" s="134">
        <v>5.6</v>
      </c>
      <c r="I186" s="134">
        <v>20.0</v>
      </c>
      <c r="J186" s="134">
        <v>-0.8</v>
      </c>
      <c r="K186" s="134">
        <v>20.0</v>
      </c>
      <c r="L186" s="134">
        <v>0.8</v>
      </c>
      <c r="M186" s="134">
        <v>20.0</v>
      </c>
      <c r="N186" s="134">
        <v>0.8</v>
      </c>
    </row>
    <row r="187">
      <c r="A187" s="131" t="s">
        <v>560</v>
      </c>
      <c r="B187" s="133" t="s">
        <v>510</v>
      </c>
      <c r="C187" s="134">
        <v>99.0</v>
      </c>
      <c r="D187" s="134">
        <v>8.89</v>
      </c>
      <c r="E187" s="134">
        <v>20.0</v>
      </c>
      <c r="F187" s="134">
        <v>0.0</v>
      </c>
      <c r="G187" s="134">
        <v>20.0</v>
      </c>
      <c r="H187" s="134">
        <v>0.8</v>
      </c>
      <c r="I187" s="134">
        <v>20.0</v>
      </c>
      <c r="J187" s="134">
        <v>-0.8</v>
      </c>
      <c r="K187" s="134">
        <v>20.0</v>
      </c>
      <c r="L187" s="134">
        <v>7.2</v>
      </c>
      <c r="M187" s="134">
        <v>19.0</v>
      </c>
      <c r="N187" s="134">
        <v>1.68</v>
      </c>
    </row>
    <row r="188">
      <c r="A188" s="131" t="s">
        <v>474</v>
      </c>
      <c r="B188" s="133" t="s">
        <v>644</v>
      </c>
      <c r="C188" s="134">
        <v>99.0</v>
      </c>
      <c r="D188" s="134">
        <v>0.808</v>
      </c>
      <c r="E188" s="134">
        <v>20.0</v>
      </c>
      <c r="F188" s="134">
        <v>0.8</v>
      </c>
      <c r="G188" s="134">
        <v>20.0</v>
      </c>
      <c r="H188" s="134">
        <v>0.0</v>
      </c>
      <c r="I188" s="134">
        <v>20.0</v>
      </c>
      <c r="J188" s="134">
        <v>-0.8</v>
      </c>
      <c r="K188" s="134">
        <v>20.0</v>
      </c>
      <c r="L188" s="134">
        <v>0.0</v>
      </c>
      <c r="M188" s="134">
        <v>19.0</v>
      </c>
      <c r="N188" s="134">
        <v>0.842</v>
      </c>
    </row>
    <row r="189">
      <c r="A189" s="131" t="s">
        <v>748</v>
      </c>
      <c r="B189" s="133" t="s">
        <v>684</v>
      </c>
      <c r="C189" s="134">
        <v>96.0</v>
      </c>
      <c r="D189" s="134">
        <v>0.833</v>
      </c>
      <c r="E189" s="134">
        <v>20.0</v>
      </c>
      <c r="F189" s="134">
        <v>0.0</v>
      </c>
      <c r="G189" s="134">
        <v>19.0</v>
      </c>
      <c r="H189" s="134">
        <v>0.0</v>
      </c>
      <c r="I189" s="134">
        <v>19.0</v>
      </c>
      <c r="J189" s="134">
        <v>-0.842</v>
      </c>
      <c r="K189" s="134">
        <v>19.0</v>
      </c>
      <c r="L189" s="134">
        <v>1.68</v>
      </c>
      <c r="M189" s="134">
        <v>19.0</v>
      </c>
      <c r="N189" s="134">
        <v>0.0</v>
      </c>
    </row>
    <row r="190">
      <c r="A190" s="131" t="s">
        <v>531</v>
      </c>
      <c r="B190" s="133" t="s">
        <v>561</v>
      </c>
      <c r="C190" s="134">
        <v>74.0</v>
      </c>
      <c r="D190" s="134">
        <v>6.49</v>
      </c>
      <c r="E190" s="134">
        <v>15.0</v>
      </c>
      <c r="F190" s="134">
        <v>0.0</v>
      </c>
      <c r="G190" s="134">
        <v>14.0</v>
      </c>
      <c r="H190" s="134">
        <v>3.43</v>
      </c>
      <c r="I190" s="134">
        <v>15.0</v>
      </c>
      <c r="J190" s="134">
        <v>-1.07</v>
      </c>
      <c r="K190" s="134">
        <v>15.0</v>
      </c>
      <c r="L190" s="134">
        <v>0.0</v>
      </c>
      <c r="M190" s="134">
        <v>15.0</v>
      </c>
      <c r="N190" s="134">
        <v>4.27</v>
      </c>
    </row>
    <row r="191">
      <c r="A191" s="131" t="s">
        <v>750</v>
      </c>
      <c r="B191" s="133" t="s">
        <v>413</v>
      </c>
      <c r="C191" s="134">
        <v>77.0</v>
      </c>
      <c r="D191" s="134">
        <v>10.4</v>
      </c>
      <c r="E191" s="134">
        <v>16.0</v>
      </c>
      <c r="F191" s="134">
        <v>10.0</v>
      </c>
      <c r="G191" s="134">
        <v>16.0</v>
      </c>
      <c r="H191" s="134">
        <v>0.0</v>
      </c>
      <c r="I191" s="134">
        <v>15.0</v>
      </c>
      <c r="J191" s="134">
        <v>-1.07</v>
      </c>
      <c r="K191" s="134">
        <v>15.0</v>
      </c>
      <c r="L191" s="134">
        <v>1.07</v>
      </c>
      <c r="M191" s="134">
        <v>15.0</v>
      </c>
      <c r="N191" s="134">
        <v>0.0</v>
      </c>
    </row>
    <row r="192">
      <c r="A192" s="131" t="s">
        <v>751</v>
      </c>
      <c r="B192" s="133" t="s">
        <v>475</v>
      </c>
      <c r="C192" s="134">
        <v>63.0</v>
      </c>
      <c r="D192" s="134">
        <v>2.54</v>
      </c>
      <c r="E192" s="134">
        <v>13.0</v>
      </c>
      <c r="F192" s="134">
        <v>3.69</v>
      </c>
      <c r="G192" s="134">
        <v>13.0</v>
      </c>
      <c r="H192" s="134">
        <v>0.0</v>
      </c>
      <c r="I192" s="134">
        <v>13.0</v>
      </c>
      <c r="J192" s="134">
        <v>-1.23</v>
      </c>
      <c r="K192" s="134">
        <v>12.0</v>
      </c>
      <c r="L192" s="134">
        <v>0.0</v>
      </c>
      <c r="M192" s="134">
        <v>12.0</v>
      </c>
      <c r="N192" s="134">
        <v>0.0</v>
      </c>
    </row>
    <row r="193">
      <c r="B193" s="133" t="s">
        <v>754</v>
      </c>
      <c r="C193" s="134">
        <v>58.0</v>
      </c>
      <c r="D193" s="134">
        <v>-1.38</v>
      </c>
      <c r="E193" s="134">
        <v>12.0</v>
      </c>
      <c r="F193" s="134">
        <v>-1.33</v>
      </c>
      <c r="G193" s="134">
        <v>12.0</v>
      </c>
      <c r="H193" s="134">
        <v>1.33</v>
      </c>
      <c r="I193" s="134">
        <v>12.0</v>
      </c>
      <c r="J193" s="134">
        <v>-1.33</v>
      </c>
      <c r="K193" s="134">
        <v>11.0</v>
      </c>
      <c r="L193" s="134">
        <v>0.0</v>
      </c>
      <c r="M193" s="134">
        <v>11.0</v>
      </c>
      <c r="N193" s="134">
        <v>0.0</v>
      </c>
    </row>
    <row r="194">
      <c r="B194" s="133" t="s">
        <v>535</v>
      </c>
      <c r="C194" s="134">
        <v>99.0</v>
      </c>
      <c r="D194" s="134">
        <v>0.808</v>
      </c>
      <c r="E194" s="134">
        <v>20.0</v>
      </c>
      <c r="F194" s="134">
        <v>2.4</v>
      </c>
      <c r="G194" s="134">
        <v>20.0</v>
      </c>
      <c r="H194" s="134">
        <v>0.0</v>
      </c>
      <c r="I194" s="134">
        <v>20.0</v>
      </c>
      <c r="J194" s="134">
        <v>-1.6</v>
      </c>
      <c r="K194" s="134">
        <v>20.0</v>
      </c>
      <c r="L194" s="134">
        <v>0.0</v>
      </c>
      <c r="M194" s="134">
        <v>19.0</v>
      </c>
      <c r="N194" s="134">
        <v>0.0</v>
      </c>
    </row>
    <row r="195">
      <c r="B195" s="133" t="s">
        <v>755</v>
      </c>
      <c r="C195" s="134">
        <v>92.0</v>
      </c>
      <c r="D195" s="134">
        <v>-1.74</v>
      </c>
      <c r="E195" s="134">
        <v>19.0</v>
      </c>
      <c r="F195" s="134">
        <v>0.0</v>
      </c>
      <c r="G195" s="134">
        <v>19.0</v>
      </c>
      <c r="H195" s="134">
        <v>0.0</v>
      </c>
      <c r="I195" s="134">
        <v>19.0</v>
      </c>
      <c r="J195" s="134">
        <v>-1.68</v>
      </c>
      <c r="K195" s="134">
        <v>19.0</v>
      </c>
      <c r="L195" s="134">
        <v>0.0</v>
      </c>
      <c r="M195" s="134">
        <v>16.0</v>
      </c>
      <c r="N195" s="134">
        <v>0.0</v>
      </c>
    </row>
    <row r="196">
      <c r="B196" s="133" t="s">
        <v>756</v>
      </c>
      <c r="C196" s="134">
        <v>27.0</v>
      </c>
      <c r="D196" s="134">
        <v>-2.96</v>
      </c>
      <c r="E196" s="134">
        <v>7.0</v>
      </c>
      <c r="F196" s="134">
        <v>0.0</v>
      </c>
      <c r="G196" s="134">
        <v>5.0</v>
      </c>
      <c r="H196" s="134">
        <v>0.0</v>
      </c>
      <c r="I196" s="134">
        <v>5.0</v>
      </c>
      <c r="J196" s="134">
        <v>-3.2</v>
      </c>
      <c r="K196" s="134">
        <v>5.0</v>
      </c>
      <c r="L196" s="134">
        <v>0.0</v>
      </c>
      <c r="M196" s="134">
        <v>5.0</v>
      </c>
      <c r="N196" s="134">
        <v>0.0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14" width="16.5"/>
  </cols>
  <sheetData>
    <row r="1">
      <c r="A1" s="131"/>
      <c r="B1" s="132" t="s">
        <v>339</v>
      </c>
      <c r="C1" s="132" t="s">
        <v>360</v>
      </c>
      <c r="D1" s="132" t="s">
        <v>361</v>
      </c>
      <c r="E1" s="132" t="s">
        <v>362</v>
      </c>
      <c r="F1" s="132" t="s">
        <v>363</v>
      </c>
      <c r="G1" s="132" t="s">
        <v>364</v>
      </c>
      <c r="H1" s="132" t="s">
        <v>365</v>
      </c>
      <c r="I1" s="132" t="s">
        <v>366</v>
      </c>
      <c r="J1" s="132" t="s">
        <v>367</v>
      </c>
      <c r="K1" s="132" t="s">
        <v>368</v>
      </c>
      <c r="L1" s="132" t="s">
        <v>369</v>
      </c>
      <c r="M1" s="132" t="s">
        <v>370</v>
      </c>
      <c r="N1" s="132" t="s">
        <v>371</v>
      </c>
    </row>
    <row r="2">
      <c r="A2" s="131" t="s">
        <v>420</v>
      </c>
      <c r="B2" s="133" t="s">
        <v>423</v>
      </c>
      <c r="C2" s="134">
        <v>89.0</v>
      </c>
      <c r="D2" s="134">
        <v>14.4</v>
      </c>
      <c r="E2" s="134">
        <v>19.0</v>
      </c>
      <c r="F2" s="134">
        <v>0.0</v>
      </c>
      <c r="G2" s="134">
        <v>18.0</v>
      </c>
      <c r="H2" s="134">
        <v>0.889</v>
      </c>
      <c r="I2" s="134">
        <v>18.0</v>
      </c>
      <c r="J2" s="134">
        <v>2.67</v>
      </c>
      <c r="K2" s="134">
        <v>17.0</v>
      </c>
      <c r="L2" s="134">
        <v>9.41</v>
      </c>
      <c r="M2" s="134">
        <v>17.0</v>
      </c>
      <c r="N2" s="134">
        <v>1.88</v>
      </c>
    </row>
    <row r="3">
      <c r="A3" s="131" t="s">
        <v>374</v>
      </c>
      <c r="B3" s="133" t="s">
        <v>375</v>
      </c>
      <c r="C3" s="134">
        <v>93.0</v>
      </c>
      <c r="D3" s="134">
        <v>26.7</v>
      </c>
      <c r="E3" s="134">
        <v>20.0</v>
      </c>
      <c r="F3" s="134">
        <v>7.2</v>
      </c>
      <c r="G3" s="134">
        <v>19.0</v>
      </c>
      <c r="H3" s="134">
        <v>5.89</v>
      </c>
      <c r="I3" s="134">
        <v>18.0</v>
      </c>
      <c r="J3" s="134">
        <v>2.67</v>
      </c>
      <c r="K3" s="134">
        <v>18.0</v>
      </c>
      <c r="L3" s="134">
        <v>8.89</v>
      </c>
      <c r="M3" s="134">
        <v>18.0</v>
      </c>
      <c r="N3" s="134">
        <v>1.78</v>
      </c>
    </row>
    <row r="4">
      <c r="A4" s="131" t="s">
        <v>386</v>
      </c>
      <c r="B4" s="133" t="s">
        <v>391</v>
      </c>
      <c r="C4" s="134">
        <v>95.0</v>
      </c>
      <c r="D4" s="134">
        <v>21.1</v>
      </c>
      <c r="E4" s="134">
        <v>20.0</v>
      </c>
      <c r="F4" s="134">
        <v>2.4</v>
      </c>
      <c r="G4" s="134">
        <v>20.0</v>
      </c>
      <c r="H4" s="134">
        <v>0.0</v>
      </c>
      <c r="I4" s="134">
        <v>19.0</v>
      </c>
      <c r="J4" s="134">
        <v>3.37</v>
      </c>
      <c r="K4" s="134">
        <v>18.0</v>
      </c>
      <c r="L4" s="134">
        <v>8.0</v>
      </c>
      <c r="M4" s="134">
        <v>18.0</v>
      </c>
      <c r="N4" s="134">
        <v>8.0</v>
      </c>
    </row>
    <row r="5">
      <c r="A5" s="131" t="s">
        <v>398</v>
      </c>
      <c r="B5" s="133" t="s">
        <v>399</v>
      </c>
      <c r="C5" s="134">
        <v>92.0</v>
      </c>
      <c r="D5" s="134">
        <v>18.3</v>
      </c>
      <c r="E5" s="134">
        <v>20.0</v>
      </c>
      <c r="F5" s="134">
        <v>0.0</v>
      </c>
      <c r="G5" s="134">
        <v>19.0</v>
      </c>
      <c r="H5" s="134">
        <v>4.21</v>
      </c>
      <c r="I5" s="134">
        <v>18.0</v>
      </c>
      <c r="J5" s="134">
        <v>4.44</v>
      </c>
      <c r="K5" s="134">
        <v>18.0</v>
      </c>
      <c r="L5" s="134">
        <v>8.0</v>
      </c>
      <c r="M5" s="134">
        <v>17.0</v>
      </c>
      <c r="N5" s="134">
        <v>1.88</v>
      </c>
    </row>
    <row r="6">
      <c r="A6" s="131" t="s">
        <v>380</v>
      </c>
      <c r="B6" s="133" t="s">
        <v>381</v>
      </c>
      <c r="C6" s="134">
        <v>98.0</v>
      </c>
      <c r="D6" s="134">
        <v>23.7</v>
      </c>
      <c r="E6" s="134">
        <v>20.0</v>
      </c>
      <c r="F6" s="134">
        <v>8.0</v>
      </c>
      <c r="G6" s="134">
        <v>20.0</v>
      </c>
      <c r="H6" s="134">
        <v>0.0</v>
      </c>
      <c r="I6" s="134">
        <v>20.0</v>
      </c>
      <c r="J6" s="134">
        <v>4.8</v>
      </c>
      <c r="K6" s="134">
        <v>19.0</v>
      </c>
      <c r="L6" s="134">
        <v>7.58</v>
      </c>
      <c r="M6" s="134">
        <v>19.0</v>
      </c>
      <c r="N6" s="134">
        <v>3.37</v>
      </c>
    </row>
    <row r="7">
      <c r="A7" s="131" t="s">
        <v>470</v>
      </c>
      <c r="B7" s="133" t="s">
        <v>473</v>
      </c>
      <c r="C7" s="134">
        <v>78.0</v>
      </c>
      <c r="D7" s="134">
        <v>11.3</v>
      </c>
      <c r="E7" s="134">
        <v>16.0</v>
      </c>
      <c r="F7" s="134">
        <v>3.0</v>
      </c>
      <c r="G7" s="134">
        <v>16.0</v>
      </c>
      <c r="H7" s="134">
        <v>0.0</v>
      </c>
      <c r="I7" s="134">
        <v>16.0</v>
      </c>
      <c r="J7" s="134">
        <v>0.0</v>
      </c>
      <c r="K7" s="134">
        <v>15.0</v>
      </c>
      <c r="L7" s="134">
        <v>7.47</v>
      </c>
      <c r="M7" s="134">
        <v>15.0</v>
      </c>
      <c r="N7" s="134">
        <v>1.07</v>
      </c>
    </row>
    <row r="8">
      <c r="A8" s="131" t="s">
        <v>507</v>
      </c>
      <c r="B8" s="133" t="s">
        <v>546</v>
      </c>
      <c r="C8" s="134">
        <v>99.0</v>
      </c>
      <c r="D8" s="134">
        <v>7.27</v>
      </c>
      <c r="E8" s="134">
        <v>20.0</v>
      </c>
      <c r="F8" s="134">
        <v>0.0</v>
      </c>
      <c r="G8" s="134">
        <v>20.0</v>
      </c>
      <c r="H8" s="134">
        <v>0.0</v>
      </c>
      <c r="I8" s="134">
        <v>20.0</v>
      </c>
      <c r="J8" s="134">
        <v>0.0</v>
      </c>
      <c r="K8" s="134">
        <v>20.0</v>
      </c>
      <c r="L8" s="134">
        <v>7.2</v>
      </c>
      <c r="M8" s="134">
        <v>19.0</v>
      </c>
      <c r="N8" s="134">
        <v>0.0</v>
      </c>
    </row>
    <row r="9">
      <c r="A9" s="131" t="s">
        <v>523</v>
      </c>
      <c r="B9" s="133" t="s">
        <v>510</v>
      </c>
      <c r="C9" s="134">
        <v>99.0</v>
      </c>
      <c r="D9" s="134">
        <v>8.89</v>
      </c>
      <c r="E9" s="134">
        <v>20.0</v>
      </c>
      <c r="F9" s="134">
        <v>0.0</v>
      </c>
      <c r="G9" s="134">
        <v>20.0</v>
      </c>
      <c r="H9" s="134">
        <v>0.8</v>
      </c>
      <c r="I9" s="134">
        <v>20.0</v>
      </c>
      <c r="J9" s="134">
        <v>-0.8</v>
      </c>
      <c r="K9" s="134">
        <v>20.0</v>
      </c>
      <c r="L9" s="134">
        <v>7.2</v>
      </c>
      <c r="M9" s="134">
        <v>19.0</v>
      </c>
      <c r="N9" s="134">
        <v>1.68</v>
      </c>
    </row>
    <row r="10">
      <c r="A10" s="131" t="s">
        <v>382</v>
      </c>
      <c r="B10" s="133" t="s">
        <v>527</v>
      </c>
      <c r="C10" s="134">
        <v>91.0</v>
      </c>
      <c r="D10" s="134">
        <v>7.91</v>
      </c>
      <c r="E10" s="134">
        <v>19.0</v>
      </c>
      <c r="F10" s="134">
        <v>0.842</v>
      </c>
      <c r="G10" s="134">
        <v>19.0</v>
      </c>
      <c r="H10" s="134">
        <v>0.0</v>
      </c>
      <c r="I10" s="134">
        <v>18.0</v>
      </c>
      <c r="J10" s="134">
        <v>0.0</v>
      </c>
      <c r="K10" s="134">
        <v>18.0</v>
      </c>
      <c r="L10" s="134">
        <v>7.11</v>
      </c>
      <c r="M10" s="134">
        <v>17.0</v>
      </c>
      <c r="N10" s="134">
        <v>0.0</v>
      </c>
    </row>
    <row r="11">
      <c r="A11" s="131" t="s">
        <v>378</v>
      </c>
      <c r="B11" s="133" t="s">
        <v>387</v>
      </c>
      <c r="C11" s="134">
        <v>98.0</v>
      </c>
      <c r="D11" s="134">
        <v>22.9</v>
      </c>
      <c r="E11" s="134">
        <v>20.0</v>
      </c>
      <c r="F11" s="134">
        <v>0.0</v>
      </c>
      <c r="G11" s="134">
        <v>20.0</v>
      </c>
      <c r="H11" s="134">
        <v>11.2</v>
      </c>
      <c r="I11" s="134">
        <v>20.0</v>
      </c>
      <c r="J11" s="134">
        <v>3.2</v>
      </c>
      <c r="K11" s="134">
        <v>19.0</v>
      </c>
      <c r="L11" s="134">
        <v>6.74</v>
      </c>
      <c r="M11" s="134">
        <v>19.0</v>
      </c>
      <c r="N11" s="134">
        <v>1.68</v>
      </c>
    </row>
    <row r="12">
      <c r="A12" s="131" t="s">
        <v>396</v>
      </c>
      <c r="B12" s="133" t="s">
        <v>379</v>
      </c>
      <c r="C12" s="134">
        <v>100.0</v>
      </c>
      <c r="D12" s="134">
        <v>24.0</v>
      </c>
      <c r="E12" s="134">
        <v>20.0</v>
      </c>
      <c r="F12" s="134">
        <v>2.4</v>
      </c>
      <c r="G12" s="134">
        <v>20.0</v>
      </c>
      <c r="H12" s="134">
        <v>3.2</v>
      </c>
      <c r="I12" s="134">
        <v>20.0</v>
      </c>
      <c r="J12" s="134">
        <v>7.2</v>
      </c>
      <c r="K12" s="134">
        <v>20.0</v>
      </c>
      <c r="L12" s="134">
        <v>6.4</v>
      </c>
      <c r="M12" s="134">
        <v>20.0</v>
      </c>
      <c r="N12" s="134">
        <v>4.8</v>
      </c>
    </row>
    <row r="13">
      <c r="A13" s="131" t="s">
        <v>392</v>
      </c>
      <c r="B13" s="133" t="s">
        <v>395</v>
      </c>
      <c r="C13" s="134">
        <v>100.0</v>
      </c>
      <c r="D13" s="134">
        <v>20.0</v>
      </c>
      <c r="E13" s="134">
        <v>20.0</v>
      </c>
      <c r="F13" s="134">
        <v>0.0</v>
      </c>
      <c r="G13" s="134">
        <v>20.0</v>
      </c>
      <c r="H13" s="134">
        <v>4.0</v>
      </c>
      <c r="I13" s="134">
        <v>20.0</v>
      </c>
      <c r="J13" s="134">
        <v>4.0</v>
      </c>
      <c r="K13" s="134">
        <v>20.0</v>
      </c>
      <c r="L13" s="134">
        <v>6.4</v>
      </c>
      <c r="M13" s="134">
        <v>20.0</v>
      </c>
      <c r="N13" s="134">
        <v>5.6</v>
      </c>
    </row>
    <row r="14">
      <c r="A14" s="131" t="s">
        <v>504</v>
      </c>
      <c r="B14" s="133" t="s">
        <v>441</v>
      </c>
      <c r="C14" s="134">
        <v>90.0</v>
      </c>
      <c r="D14" s="134">
        <v>13.3</v>
      </c>
      <c r="E14" s="134">
        <v>18.0</v>
      </c>
      <c r="F14" s="134">
        <v>2.67</v>
      </c>
      <c r="G14" s="134">
        <v>18.0</v>
      </c>
      <c r="H14" s="134">
        <v>0.889</v>
      </c>
      <c r="I14" s="134">
        <v>18.0</v>
      </c>
      <c r="J14" s="134">
        <v>1.78</v>
      </c>
      <c r="K14" s="134">
        <v>18.0</v>
      </c>
      <c r="L14" s="134">
        <v>6.22</v>
      </c>
      <c r="M14" s="134">
        <v>18.0</v>
      </c>
      <c r="N14" s="134">
        <v>1.78</v>
      </c>
    </row>
    <row r="15">
      <c r="A15" s="131" t="s">
        <v>545</v>
      </c>
      <c r="B15" s="133" t="s">
        <v>505</v>
      </c>
      <c r="C15" s="134">
        <v>98.0</v>
      </c>
      <c r="D15" s="134">
        <v>8.98</v>
      </c>
      <c r="E15" s="134">
        <v>20.0</v>
      </c>
      <c r="F15" s="134">
        <v>0.8</v>
      </c>
      <c r="G15" s="134">
        <v>20.0</v>
      </c>
      <c r="H15" s="134">
        <v>1.6</v>
      </c>
      <c r="I15" s="134">
        <v>20.0</v>
      </c>
      <c r="J15" s="134">
        <v>1.6</v>
      </c>
      <c r="K15" s="134">
        <v>19.0</v>
      </c>
      <c r="L15" s="134">
        <v>5.89</v>
      </c>
      <c r="M15" s="134">
        <v>19.0</v>
      </c>
      <c r="N15" s="134">
        <v>-0.842</v>
      </c>
    </row>
    <row r="16">
      <c r="A16" s="91" t="s">
        <v>424</v>
      </c>
      <c r="B16" s="133" t="s">
        <v>383</v>
      </c>
      <c r="C16" s="134">
        <v>97.0</v>
      </c>
      <c r="D16" s="134">
        <v>23.1</v>
      </c>
      <c r="E16" s="134">
        <v>20.0</v>
      </c>
      <c r="F16" s="134">
        <v>0.0</v>
      </c>
      <c r="G16" s="134">
        <v>20.0</v>
      </c>
      <c r="H16" s="134">
        <v>6.4</v>
      </c>
      <c r="I16" s="134">
        <v>20.0</v>
      </c>
      <c r="J16" s="134">
        <v>4.0</v>
      </c>
      <c r="K16" s="134">
        <v>19.0</v>
      </c>
      <c r="L16" s="134">
        <v>5.89</v>
      </c>
      <c r="M16" s="134">
        <v>18.0</v>
      </c>
      <c r="N16" s="134">
        <v>7.11</v>
      </c>
    </row>
    <row r="17">
      <c r="A17" s="131" t="s">
        <v>372</v>
      </c>
      <c r="B17" s="133" t="s">
        <v>582</v>
      </c>
      <c r="C17" s="134">
        <v>94.0</v>
      </c>
      <c r="D17" s="134">
        <v>5.11</v>
      </c>
      <c r="E17" s="134">
        <v>20.0</v>
      </c>
      <c r="F17" s="134">
        <v>0.0</v>
      </c>
      <c r="G17" s="134">
        <v>19.0</v>
      </c>
      <c r="H17" s="134">
        <v>0.0</v>
      </c>
      <c r="I17" s="134">
        <v>19.0</v>
      </c>
      <c r="J17" s="134">
        <v>0.0</v>
      </c>
      <c r="K17" s="134">
        <v>18.0</v>
      </c>
      <c r="L17" s="134">
        <v>5.33</v>
      </c>
      <c r="M17" s="134">
        <v>18.0</v>
      </c>
      <c r="N17" s="134">
        <v>0.0</v>
      </c>
    </row>
    <row r="18">
      <c r="A18" s="131" t="s">
        <v>384</v>
      </c>
      <c r="B18" s="133" t="s">
        <v>425</v>
      </c>
      <c r="C18" s="134">
        <v>81.0</v>
      </c>
      <c r="D18" s="134">
        <v>13.8</v>
      </c>
      <c r="E18" s="134">
        <v>18.0</v>
      </c>
      <c r="F18" s="134">
        <v>3.56</v>
      </c>
      <c r="G18" s="134">
        <v>17.0</v>
      </c>
      <c r="H18" s="134">
        <v>0.941</v>
      </c>
      <c r="I18" s="134">
        <v>16.0</v>
      </c>
      <c r="J18" s="134">
        <v>4.0</v>
      </c>
      <c r="K18" s="134">
        <v>15.0</v>
      </c>
      <c r="L18" s="134">
        <v>5.33</v>
      </c>
      <c r="M18" s="134">
        <v>15.0</v>
      </c>
      <c r="N18" s="134">
        <v>0.0</v>
      </c>
    </row>
    <row r="19">
      <c r="A19" s="131" t="s">
        <v>506</v>
      </c>
      <c r="B19" s="133" t="s">
        <v>508</v>
      </c>
      <c r="C19" s="134">
        <v>98.0</v>
      </c>
      <c r="D19" s="134">
        <v>8.98</v>
      </c>
      <c r="E19" s="134">
        <v>20.0</v>
      </c>
      <c r="F19" s="134">
        <v>0.0</v>
      </c>
      <c r="G19" s="134">
        <v>21.0</v>
      </c>
      <c r="H19" s="134">
        <v>3.05</v>
      </c>
      <c r="I19" s="134">
        <v>20.0</v>
      </c>
      <c r="J19" s="134">
        <v>0.8</v>
      </c>
      <c r="K19" s="134">
        <v>19.0</v>
      </c>
      <c r="L19" s="134">
        <v>5.05</v>
      </c>
      <c r="M19" s="134">
        <v>18.0</v>
      </c>
      <c r="N19" s="134">
        <v>0.0</v>
      </c>
    </row>
    <row r="20">
      <c r="A20" s="131" t="s">
        <v>552</v>
      </c>
      <c r="B20" s="133" t="s">
        <v>389</v>
      </c>
      <c r="C20" s="134">
        <v>98.0</v>
      </c>
      <c r="D20" s="134">
        <v>22.0</v>
      </c>
      <c r="E20" s="134">
        <v>20.0</v>
      </c>
      <c r="F20" s="134">
        <v>2.4</v>
      </c>
      <c r="G20" s="134">
        <v>20.0</v>
      </c>
      <c r="H20" s="134">
        <v>0.0</v>
      </c>
      <c r="I20" s="134">
        <v>20.0</v>
      </c>
      <c r="J20" s="134">
        <v>6.4</v>
      </c>
      <c r="K20" s="134">
        <v>19.0</v>
      </c>
      <c r="L20" s="134">
        <v>5.05</v>
      </c>
      <c r="M20" s="134">
        <v>19.0</v>
      </c>
      <c r="N20" s="134">
        <v>8.42</v>
      </c>
    </row>
    <row r="21">
      <c r="A21" s="131" t="s">
        <v>599</v>
      </c>
      <c r="B21" s="133" t="s">
        <v>373</v>
      </c>
      <c r="C21" s="134">
        <v>96.0</v>
      </c>
      <c r="D21" s="134">
        <v>33.3</v>
      </c>
      <c r="E21" s="134">
        <v>20.0</v>
      </c>
      <c r="F21" s="134">
        <v>9.6</v>
      </c>
      <c r="G21" s="134">
        <v>20.0</v>
      </c>
      <c r="H21" s="134">
        <v>2.4</v>
      </c>
      <c r="I21" s="134">
        <v>19.0</v>
      </c>
      <c r="J21" s="134">
        <v>9.26</v>
      </c>
      <c r="K21" s="134">
        <v>19.0</v>
      </c>
      <c r="L21" s="134">
        <v>5.05</v>
      </c>
      <c r="M21" s="134">
        <v>18.0</v>
      </c>
      <c r="N21" s="134">
        <v>7.11</v>
      </c>
    </row>
    <row r="22">
      <c r="A22" s="131" t="s">
        <v>390</v>
      </c>
      <c r="B22" s="133" t="s">
        <v>553</v>
      </c>
      <c r="C22" s="134">
        <v>82.0</v>
      </c>
      <c r="D22" s="134">
        <v>6.83</v>
      </c>
      <c r="E22" s="134">
        <v>17.0</v>
      </c>
      <c r="F22" s="134">
        <v>-0.941</v>
      </c>
      <c r="G22" s="134">
        <v>17.0</v>
      </c>
      <c r="H22" s="134">
        <v>1.88</v>
      </c>
      <c r="I22" s="134">
        <v>16.0</v>
      </c>
      <c r="J22" s="134">
        <v>1.0</v>
      </c>
      <c r="K22" s="134">
        <v>16.0</v>
      </c>
      <c r="L22" s="134">
        <v>5.0</v>
      </c>
      <c r="M22" s="134">
        <v>16.0</v>
      </c>
      <c r="N22" s="134">
        <v>0.0</v>
      </c>
    </row>
    <row r="23">
      <c r="A23" s="131" t="s">
        <v>414</v>
      </c>
      <c r="B23" s="133" t="s">
        <v>600</v>
      </c>
      <c r="C23" s="134">
        <v>82.0</v>
      </c>
      <c r="D23" s="134">
        <v>4.88</v>
      </c>
      <c r="E23" s="134">
        <v>17.0</v>
      </c>
      <c r="F23" s="134">
        <v>0.0</v>
      </c>
      <c r="G23" s="134">
        <v>17.0</v>
      </c>
      <c r="H23" s="134">
        <v>0.0</v>
      </c>
      <c r="I23" s="134">
        <v>16.0</v>
      </c>
      <c r="J23" s="134">
        <v>0.0</v>
      </c>
      <c r="K23" s="134">
        <v>16.0</v>
      </c>
      <c r="L23" s="134">
        <v>5.0</v>
      </c>
      <c r="M23" s="134">
        <v>16.0</v>
      </c>
      <c r="N23" s="134">
        <v>0.0</v>
      </c>
    </row>
    <row r="24">
      <c r="A24" s="131" t="s">
        <v>410</v>
      </c>
      <c r="B24" s="133" t="s">
        <v>385</v>
      </c>
      <c r="C24" s="134">
        <v>94.0</v>
      </c>
      <c r="D24" s="134">
        <v>23.0</v>
      </c>
      <c r="E24" s="134">
        <v>20.0</v>
      </c>
      <c r="F24" s="134">
        <v>4.0</v>
      </c>
      <c r="G24" s="134">
        <v>19.0</v>
      </c>
      <c r="H24" s="134">
        <v>0.0</v>
      </c>
      <c r="I24" s="134">
        <v>19.0</v>
      </c>
      <c r="J24" s="134">
        <v>6.74</v>
      </c>
      <c r="K24" s="134">
        <v>18.0</v>
      </c>
      <c r="L24" s="134">
        <v>4.44</v>
      </c>
      <c r="M24" s="134">
        <v>18.0</v>
      </c>
      <c r="N24" s="134">
        <v>8.0</v>
      </c>
    </row>
    <row r="25">
      <c r="A25" s="131" t="s">
        <v>394</v>
      </c>
      <c r="B25" s="133" t="s">
        <v>417</v>
      </c>
      <c r="C25" s="134">
        <v>93.0</v>
      </c>
      <c r="D25" s="134">
        <v>14.6</v>
      </c>
      <c r="E25" s="134">
        <v>20.0</v>
      </c>
      <c r="F25" s="134">
        <v>4.0</v>
      </c>
      <c r="G25" s="134">
        <v>19.0</v>
      </c>
      <c r="H25" s="134">
        <v>0.842</v>
      </c>
      <c r="I25" s="134">
        <v>18.0</v>
      </c>
      <c r="J25" s="134">
        <v>5.33</v>
      </c>
      <c r="K25" s="134">
        <v>18.0</v>
      </c>
      <c r="L25" s="134">
        <v>4.44</v>
      </c>
      <c r="M25" s="134">
        <v>18.0</v>
      </c>
      <c r="N25" s="134">
        <v>0.0</v>
      </c>
    </row>
    <row r="26">
      <c r="A26" s="131" t="s">
        <v>476</v>
      </c>
      <c r="B26" s="133" t="s">
        <v>415</v>
      </c>
      <c r="C26" s="134">
        <v>98.0</v>
      </c>
      <c r="D26" s="134">
        <v>14.7</v>
      </c>
      <c r="E26" s="134">
        <v>20.0</v>
      </c>
      <c r="F26" s="134">
        <v>0.0</v>
      </c>
      <c r="G26" s="134">
        <v>20.0</v>
      </c>
      <c r="H26" s="134">
        <v>0.0</v>
      </c>
      <c r="I26" s="134">
        <v>20.0</v>
      </c>
      <c r="J26" s="134">
        <v>4.0</v>
      </c>
      <c r="K26" s="134">
        <v>19.0</v>
      </c>
      <c r="L26" s="134">
        <v>4.21</v>
      </c>
      <c r="M26" s="134">
        <v>19.0</v>
      </c>
      <c r="N26" s="134">
        <v>6.74</v>
      </c>
    </row>
    <row r="27">
      <c r="A27" s="131" t="s">
        <v>569</v>
      </c>
      <c r="B27" s="133" t="s">
        <v>397</v>
      </c>
      <c r="C27" s="134">
        <v>60.0</v>
      </c>
      <c r="D27" s="134">
        <v>18.7</v>
      </c>
      <c r="E27" s="134">
        <v>12.0</v>
      </c>
      <c r="F27" s="134">
        <v>2.67</v>
      </c>
      <c r="G27" s="134">
        <v>12.0</v>
      </c>
      <c r="H27" s="134">
        <v>5.33</v>
      </c>
      <c r="I27" s="134">
        <v>12.0</v>
      </c>
      <c r="J27" s="134">
        <v>4.0</v>
      </c>
      <c r="K27" s="134">
        <v>12.0</v>
      </c>
      <c r="L27" s="134">
        <v>4.0</v>
      </c>
      <c r="M27" s="134">
        <v>12.0</v>
      </c>
      <c r="N27" s="134">
        <v>2.67</v>
      </c>
    </row>
    <row r="28">
      <c r="A28" s="131" t="s">
        <v>404</v>
      </c>
      <c r="B28" s="133" t="s">
        <v>480</v>
      </c>
      <c r="C28" s="134">
        <v>99.0</v>
      </c>
      <c r="D28" s="134">
        <v>10.5</v>
      </c>
      <c r="E28" s="134">
        <v>20.0</v>
      </c>
      <c r="F28" s="134">
        <v>0.0</v>
      </c>
      <c r="G28" s="134">
        <v>20.0</v>
      </c>
      <c r="H28" s="134">
        <v>4.8</v>
      </c>
      <c r="I28" s="134">
        <v>20.0</v>
      </c>
      <c r="J28" s="134">
        <v>0.0</v>
      </c>
      <c r="K28" s="134">
        <v>20.0</v>
      </c>
      <c r="L28" s="134">
        <v>4.0</v>
      </c>
      <c r="M28" s="134">
        <v>19.0</v>
      </c>
      <c r="N28" s="134">
        <v>1.68</v>
      </c>
    </row>
    <row r="29">
      <c r="A29" s="131" t="s">
        <v>581</v>
      </c>
      <c r="B29" s="133" t="s">
        <v>405</v>
      </c>
      <c r="C29" s="134">
        <v>98.0</v>
      </c>
      <c r="D29" s="134">
        <v>16.3</v>
      </c>
      <c r="E29" s="134">
        <v>20.0</v>
      </c>
      <c r="F29" s="134">
        <v>1.6</v>
      </c>
      <c r="G29" s="134">
        <v>20.0</v>
      </c>
      <c r="H29" s="134">
        <v>11.2</v>
      </c>
      <c r="I29" s="134">
        <v>20.0</v>
      </c>
      <c r="J29" s="134">
        <v>0.0</v>
      </c>
      <c r="K29" s="134">
        <v>19.0</v>
      </c>
      <c r="L29" s="134">
        <v>3.37</v>
      </c>
      <c r="M29" s="134">
        <v>19.0</v>
      </c>
      <c r="N29" s="134">
        <v>0.0</v>
      </c>
    </row>
    <row r="30">
      <c r="A30" s="131" t="s">
        <v>597</v>
      </c>
      <c r="B30" s="133" t="s">
        <v>594</v>
      </c>
      <c r="C30" s="134">
        <v>81.0</v>
      </c>
      <c r="D30" s="134">
        <v>4.94</v>
      </c>
      <c r="E30" s="134">
        <v>15.0</v>
      </c>
      <c r="F30" s="134">
        <v>0.0</v>
      </c>
      <c r="G30" s="134">
        <v>17.0</v>
      </c>
      <c r="H30" s="134">
        <v>1.88</v>
      </c>
      <c r="I30" s="134">
        <v>17.0</v>
      </c>
      <c r="J30" s="134">
        <v>0.0</v>
      </c>
      <c r="K30" s="134">
        <v>16.0</v>
      </c>
      <c r="L30" s="134">
        <v>3.0</v>
      </c>
      <c r="M30" s="134">
        <v>16.0</v>
      </c>
      <c r="N30" s="134">
        <v>0.0</v>
      </c>
    </row>
    <row r="31">
      <c r="A31" s="131" t="s">
        <v>376</v>
      </c>
      <c r="B31" s="133" t="s">
        <v>575</v>
      </c>
      <c r="C31" s="134">
        <v>81.0</v>
      </c>
      <c r="D31" s="134">
        <v>5.93</v>
      </c>
      <c r="E31" s="134">
        <v>16.0</v>
      </c>
      <c r="F31" s="134">
        <v>0.0</v>
      </c>
      <c r="G31" s="134">
        <v>16.0</v>
      </c>
      <c r="H31" s="134">
        <v>0.0</v>
      </c>
      <c r="I31" s="134">
        <v>16.0</v>
      </c>
      <c r="J31" s="134">
        <v>3.0</v>
      </c>
      <c r="K31" s="134">
        <v>16.0</v>
      </c>
      <c r="L31" s="134">
        <v>3.0</v>
      </c>
      <c r="M31" s="134">
        <v>17.0</v>
      </c>
      <c r="N31" s="134">
        <v>0.0</v>
      </c>
    </row>
    <row r="32">
      <c r="A32" s="131" t="s">
        <v>532</v>
      </c>
      <c r="B32" s="133" t="s">
        <v>377</v>
      </c>
      <c r="C32" s="134">
        <v>90.0</v>
      </c>
      <c r="D32" s="134">
        <v>24.0</v>
      </c>
      <c r="E32" s="134">
        <v>19.0</v>
      </c>
      <c r="F32" s="134">
        <v>3.37</v>
      </c>
      <c r="G32" s="134">
        <v>19.0</v>
      </c>
      <c r="H32" s="134">
        <v>1.68</v>
      </c>
      <c r="I32" s="134">
        <v>18.0</v>
      </c>
      <c r="J32" s="134">
        <v>8.89</v>
      </c>
      <c r="K32" s="134">
        <v>17.0</v>
      </c>
      <c r="L32" s="134">
        <v>2.82</v>
      </c>
      <c r="M32" s="134">
        <v>17.0</v>
      </c>
      <c r="N32" s="134">
        <v>7.53</v>
      </c>
    </row>
    <row r="33">
      <c r="A33" s="131" t="s">
        <v>446</v>
      </c>
      <c r="B33" s="133" t="s">
        <v>544</v>
      </c>
      <c r="C33" s="134">
        <v>32.0</v>
      </c>
      <c r="D33" s="134">
        <v>5.0</v>
      </c>
      <c r="E33" s="134">
        <v>7.0</v>
      </c>
      <c r="F33" s="134">
        <v>2.29</v>
      </c>
      <c r="G33" s="134">
        <v>7.0</v>
      </c>
      <c r="H33" s="134">
        <v>0.0</v>
      </c>
      <c r="I33" s="134">
        <v>6.0</v>
      </c>
      <c r="J33" s="134">
        <v>0.0</v>
      </c>
      <c r="K33" s="134">
        <v>6.0</v>
      </c>
      <c r="L33" s="134">
        <v>2.67</v>
      </c>
      <c r="M33" s="134">
        <v>6.0</v>
      </c>
      <c r="N33" s="134">
        <v>0.0</v>
      </c>
    </row>
    <row r="34">
      <c r="A34" s="131" t="s">
        <v>666</v>
      </c>
      <c r="B34" s="133" t="s">
        <v>447</v>
      </c>
      <c r="C34" s="134">
        <v>98.0</v>
      </c>
      <c r="D34" s="134">
        <v>13.1</v>
      </c>
      <c r="E34" s="134">
        <v>20.0</v>
      </c>
      <c r="F34" s="134">
        <v>4.0</v>
      </c>
      <c r="G34" s="134">
        <v>20.0</v>
      </c>
      <c r="H34" s="134">
        <v>0.0</v>
      </c>
      <c r="I34" s="134">
        <v>20.0</v>
      </c>
      <c r="J34" s="134">
        <v>3.2</v>
      </c>
      <c r="K34" s="134">
        <v>19.0</v>
      </c>
      <c r="L34" s="134">
        <v>2.53</v>
      </c>
      <c r="M34" s="134">
        <v>19.0</v>
      </c>
      <c r="N34" s="134">
        <v>3.37</v>
      </c>
    </row>
    <row r="35">
      <c r="A35" s="131" t="s">
        <v>402</v>
      </c>
      <c r="B35" s="133" t="s">
        <v>669</v>
      </c>
      <c r="C35" s="134">
        <v>70.0</v>
      </c>
      <c r="D35" s="134">
        <v>2.29</v>
      </c>
      <c r="E35" s="134">
        <v>15.0</v>
      </c>
      <c r="F35" s="134">
        <v>0.0</v>
      </c>
      <c r="G35" s="134">
        <v>15.0</v>
      </c>
      <c r="H35" s="134">
        <v>0.0</v>
      </c>
      <c r="I35" s="134">
        <v>14.0</v>
      </c>
      <c r="J35" s="134">
        <v>0.0</v>
      </c>
      <c r="K35" s="134">
        <v>13.0</v>
      </c>
      <c r="L35" s="134">
        <v>2.46</v>
      </c>
      <c r="M35" s="134">
        <v>13.0</v>
      </c>
      <c r="N35" s="134">
        <v>0.0</v>
      </c>
    </row>
    <row r="36">
      <c r="A36" s="131" t="s">
        <v>439</v>
      </c>
      <c r="B36" s="133" t="s">
        <v>403</v>
      </c>
      <c r="C36" s="134">
        <v>100.0</v>
      </c>
      <c r="D36" s="134">
        <v>16.8</v>
      </c>
      <c r="E36" s="134">
        <v>20.0</v>
      </c>
      <c r="F36" s="134">
        <v>3.2</v>
      </c>
      <c r="G36" s="134">
        <v>20.0</v>
      </c>
      <c r="H36" s="134">
        <v>4.0</v>
      </c>
      <c r="I36" s="134">
        <v>20.0</v>
      </c>
      <c r="J36" s="134">
        <v>4.0</v>
      </c>
      <c r="K36" s="134">
        <v>20.0</v>
      </c>
      <c r="L36" s="134">
        <v>2.4</v>
      </c>
      <c r="M36" s="134">
        <v>20.0</v>
      </c>
      <c r="N36" s="134">
        <v>3.2</v>
      </c>
    </row>
    <row r="37">
      <c r="A37" s="131" t="s">
        <v>479</v>
      </c>
      <c r="B37" s="133" t="s">
        <v>483</v>
      </c>
      <c r="C37" s="134">
        <v>99.0</v>
      </c>
      <c r="D37" s="134">
        <v>10.5</v>
      </c>
      <c r="E37" s="134">
        <v>20.0</v>
      </c>
      <c r="F37" s="134">
        <v>3.2</v>
      </c>
      <c r="G37" s="134">
        <v>20.0</v>
      </c>
      <c r="H37" s="134">
        <v>2.4</v>
      </c>
      <c r="I37" s="134">
        <v>20.0</v>
      </c>
      <c r="J37" s="134">
        <v>0.8</v>
      </c>
      <c r="K37" s="134">
        <v>20.0</v>
      </c>
      <c r="L37" s="134">
        <v>2.4</v>
      </c>
      <c r="M37" s="134">
        <v>19.0</v>
      </c>
      <c r="N37" s="134">
        <v>1.68</v>
      </c>
    </row>
    <row r="38">
      <c r="A38" s="131" t="s">
        <v>534</v>
      </c>
      <c r="B38" s="133" t="s">
        <v>592</v>
      </c>
      <c r="C38" s="134">
        <v>72.0</v>
      </c>
      <c r="D38" s="134">
        <v>4.44</v>
      </c>
      <c r="E38" s="134">
        <v>16.0</v>
      </c>
      <c r="F38" s="134">
        <v>1.0</v>
      </c>
      <c r="G38" s="134">
        <v>15.0</v>
      </c>
      <c r="H38" s="134">
        <v>0.0</v>
      </c>
      <c r="I38" s="134">
        <v>14.0</v>
      </c>
      <c r="J38" s="134">
        <v>0.0</v>
      </c>
      <c r="K38" s="134">
        <v>14.0</v>
      </c>
      <c r="L38" s="134">
        <v>2.29</v>
      </c>
      <c r="M38" s="134">
        <v>13.0</v>
      </c>
      <c r="N38" s="134">
        <v>1.23</v>
      </c>
    </row>
    <row r="39">
      <c r="A39" s="131" t="s">
        <v>595</v>
      </c>
      <c r="B39" s="133" t="s">
        <v>596</v>
      </c>
      <c r="C39" s="134">
        <v>76.0</v>
      </c>
      <c r="D39" s="134">
        <v>3.16</v>
      </c>
      <c r="E39" s="134">
        <v>16.0</v>
      </c>
      <c r="F39" s="134">
        <v>1.0</v>
      </c>
      <c r="G39" s="134">
        <v>15.0</v>
      </c>
      <c r="H39" s="134">
        <v>0.0</v>
      </c>
      <c r="I39" s="134">
        <v>15.0</v>
      </c>
      <c r="J39" s="134">
        <v>0.0</v>
      </c>
      <c r="K39" s="134">
        <v>15.0</v>
      </c>
      <c r="L39" s="134">
        <v>2.13</v>
      </c>
      <c r="M39" s="134">
        <v>15.0</v>
      </c>
      <c r="N39" s="134">
        <v>0.0</v>
      </c>
    </row>
    <row r="40">
      <c r="A40" s="131" t="s">
        <v>605</v>
      </c>
      <c r="B40" s="133" t="s">
        <v>572</v>
      </c>
      <c r="C40" s="134">
        <v>39.0</v>
      </c>
      <c r="D40" s="134">
        <v>6.15</v>
      </c>
      <c r="E40" s="134">
        <v>8.0</v>
      </c>
      <c r="F40" s="134">
        <v>0.0</v>
      </c>
      <c r="G40" s="134">
        <v>8.0</v>
      </c>
      <c r="H40" s="134">
        <v>0.0</v>
      </c>
      <c r="I40" s="134">
        <v>8.0</v>
      </c>
      <c r="J40" s="134">
        <v>2.0</v>
      </c>
      <c r="K40" s="134">
        <v>8.0</v>
      </c>
      <c r="L40" s="134">
        <v>2.0</v>
      </c>
      <c r="M40" s="134">
        <v>7.0</v>
      </c>
      <c r="N40" s="134">
        <v>2.29</v>
      </c>
    </row>
    <row r="41">
      <c r="A41" s="131" t="s">
        <v>573</v>
      </c>
      <c r="B41" s="133" t="s">
        <v>557</v>
      </c>
      <c r="C41" s="134">
        <v>98.0</v>
      </c>
      <c r="D41" s="134">
        <v>6.53</v>
      </c>
      <c r="E41" s="134">
        <v>21.0</v>
      </c>
      <c r="F41" s="134">
        <v>0.762</v>
      </c>
      <c r="G41" s="134">
        <v>21.0</v>
      </c>
      <c r="H41" s="134">
        <v>3.05</v>
      </c>
      <c r="I41" s="134">
        <v>20.0</v>
      </c>
      <c r="J41" s="134">
        <v>0.8</v>
      </c>
      <c r="K41" s="134">
        <v>18.0</v>
      </c>
      <c r="L41" s="134">
        <v>1.78</v>
      </c>
      <c r="M41" s="134">
        <v>18.0</v>
      </c>
      <c r="N41" s="134">
        <v>0.0</v>
      </c>
    </row>
    <row r="42">
      <c r="A42" s="131" t="s">
        <v>494</v>
      </c>
      <c r="B42" s="133" t="s">
        <v>602</v>
      </c>
      <c r="C42" s="134">
        <v>88.0</v>
      </c>
      <c r="D42" s="134">
        <v>4.55</v>
      </c>
      <c r="E42" s="134">
        <v>17.0</v>
      </c>
      <c r="F42" s="134">
        <v>0.0</v>
      </c>
      <c r="G42" s="134">
        <v>17.0</v>
      </c>
      <c r="H42" s="134">
        <v>1.88</v>
      </c>
      <c r="I42" s="134">
        <v>18.0</v>
      </c>
      <c r="J42" s="134">
        <v>0.0</v>
      </c>
      <c r="K42" s="134">
        <v>18.0</v>
      </c>
      <c r="L42" s="134">
        <v>1.78</v>
      </c>
      <c r="M42" s="134">
        <v>18.0</v>
      </c>
      <c r="N42" s="134">
        <v>0.889</v>
      </c>
    </row>
    <row r="43">
      <c r="A43" s="131" t="s">
        <v>556</v>
      </c>
      <c r="B43" s="133" t="s">
        <v>683</v>
      </c>
      <c r="C43" s="134">
        <v>91.0</v>
      </c>
      <c r="D43" s="134">
        <v>1.76</v>
      </c>
      <c r="E43" s="134">
        <v>19.0</v>
      </c>
      <c r="F43" s="134">
        <v>0.0</v>
      </c>
      <c r="G43" s="134">
        <v>18.0</v>
      </c>
      <c r="H43" s="134">
        <v>0.0</v>
      </c>
      <c r="I43" s="134">
        <v>18.0</v>
      </c>
      <c r="J43" s="134">
        <v>0.0</v>
      </c>
      <c r="K43" s="134">
        <v>18.0</v>
      </c>
      <c r="L43" s="134">
        <v>1.78</v>
      </c>
      <c r="M43" s="134">
        <v>18.0</v>
      </c>
      <c r="N43" s="134">
        <v>0.0</v>
      </c>
    </row>
    <row r="44">
      <c r="A44" s="131" t="s">
        <v>601</v>
      </c>
      <c r="B44" s="133" t="s">
        <v>495</v>
      </c>
      <c r="C44" s="134">
        <v>95.0</v>
      </c>
      <c r="D44" s="134">
        <v>9.26</v>
      </c>
      <c r="E44" s="134">
        <v>20.0</v>
      </c>
      <c r="F44" s="134">
        <v>0.0</v>
      </c>
      <c r="G44" s="134">
        <v>20.0</v>
      </c>
      <c r="H44" s="134">
        <v>5.6</v>
      </c>
      <c r="I44" s="134">
        <v>20.0</v>
      </c>
      <c r="J44" s="134">
        <v>0.0</v>
      </c>
      <c r="K44" s="134">
        <v>18.0</v>
      </c>
      <c r="L44" s="134">
        <v>1.78</v>
      </c>
      <c r="M44" s="134">
        <v>17.0</v>
      </c>
      <c r="N44" s="134">
        <v>1.88</v>
      </c>
    </row>
    <row r="45">
      <c r="A45" s="131" t="s">
        <v>677</v>
      </c>
      <c r="B45" s="133" t="s">
        <v>426</v>
      </c>
      <c r="C45" s="134">
        <v>98.0</v>
      </c>
      <c r="D45" s="134">
        <v>13.1</v>
      </c>
      <c r="E45" s="134">
        <v>20.0</v>
      </c>
      <c r="F45" s="134">
        <v>7.2</v>
      </c>
      <c r="G45" s="134">
        <v>20.0</v>
      </c>
      <c r="H45" s="134">
        <v>0.0</v>
      </c>
      <c r="I45" s="134">
        <v>20.0</v>
      </c>
      <c r="J45" s="134">
        <v>2.4</v>
      </c>
      <c r="K45" s="134">
        <v>19.0</v>
      </c>
      <c r="L45" s="134">
        <v>1.68</v>
      </c>
      <c r="M45" s="134">
        <v>19.0</v>
      </c>
      <c r="N45" s="134">
        <v>1.68</v>
      </c>
    </row>
    <row r="46">
      <c r="A46" s="131" t="s">
        <v>408</v>
      </c>
      <c r="B46" s="133" t="s">
        <v>656</v>
      </c>
      <c r="C46" s="134">
        <v>98.0</v>
      </c>
      <c r="D46" s="134">
        <v>2.45</v>
      </c>
      <c r="E46" s="134">
        <v>20.0</v>
      </c>
      <c r="F46" s="134">
        <v>0.0</v>
      </c>
      <c r="G46" s="134">
        <v>20.0</v>
      </c>
      <c r="H46" s="134">
        <v>0.0</v>
      </c>
      <c r="I46" s="134">
        <v>20.0</v>
      </c>
      <c r="J46" s="134">
        <v>0.8</v>
      </c>
      <c r="K46" s="134">
        <v>19.0</v>
      </c>
      <c r="L46" s="134">
        <v>1.68</v>
      </c>
      <c r="M46" s="134">
        <v>19.0</v>
      </c>
      <c r="N46" s="134">
        <v>0.0</v>
      </c>
    </row>
    <row r="47">
      <c r="A47" s="131" t="s">
        <v>429</v>
      </c>
      <c r="B47" s="133" t="s">
        <v>684</v>
      </c>
      <c r="C47" s="134">
        <v>96.0</v>
      </c>
      <c r="D47" s="134">
        <v>0.833</v>
      </c>
      <c r="E47" s="134">
        <v>20.0</v>
      </c>
      <c r="F47" s="134">
        <v>0.0</v>
      </c>
      <c r="G47" s="134">
        <v>19.0</v>
      </c>
      <c r="H47" s="134">
        <v>0.0</v>
      </c>
      <c r="I47" s="134">
        <v>19.0</v>
      </c>
      <c r="J47" s="134">
        <v>-0.842</v>
      </c>
      <c r="K47" s="134">
        <v>19.0</v>
      </c>
      <c r="L47" s="134">
        <v>1.68</v>
      </c>
      <c r="M47" s="134">
        <v>19.0</v>
      </c>
      <c r="N47" s="134">
        <v>0.0</v>
      </c>
    </row>
    <row r="48">
      <c r="A48" s="131" t="s">
        <v>526</v>
      </c>
      <c r="B48" s="133" t="s">
        <v>642</v>
      </c>
      <c r="C48" s="134">
        <v>96.0</v>
      </c>
      <c r="D48" s="134">
        <v>3.33</v>
      </c>
      <c r="E48" s="134">
        <v>20.0</v>
      </c>
      <c r="F48" s="134">
        <v>0.0</v>
      </c>
      <c r="G48" s="134">
        <v>19.0</v>
      </c>
      <c r="H48" s="134">
        <v>0.0</v>
      </c>
      <c r="I48" s="134">
        <v>19.0</v>
      </c>
      <c r="J48" s="134">
        <v>1.68</v>
      </c>
      <c r="K48" s="134">
        <v>19.0</v>
      </c>
      <c r="L48" s="134">
        <v>1.68</v>
      </c>
      <c r="M48" s="134">
        <v>19.0</v>
      </c>
      <c r="N48" s="134">
        <v>0.0</v>
      </c>
    </row>
    <row r="49">
      <c r="A49" s="131" t="s">
        <v>524</v>
      </c>
      <c r="B49" s="133" t="s">
        <v>530</v>
      </c>
      <c r="C49" s="134">
        <v>96.0</v>
      </c>
      <c r="D49" s="134">
        <v>7.5</v>
      </c>
      <c r="E49" s="134">
        <v>20.0</v>
      </c>
      <c r="F49" s="134">
        <v>0.0</v>
      </c>
      <c r="G49" s="134">
        <v>19.0</v>
      </c>
      <c r="H49" s="134">
        <v>5.89</v>
      </c>
      <c r="I49" s="134">
        <v>19.0</v>
      </c>
      <c r="J49" s="134">
        <v>0.0</v>
      </c>
      <c r="K49" s="134">
        <v>19.0</v>
      </c>
      <c r="L49" s="134">
        <v>1.68</v>
      </c>
      <c r="M49" s="134">
        <v>19.0</v>
      </c>
      <c r="N49" s="134">
        <v>0.0</v>
      </c>
    </row>
    <row r="50">
      <c r="A50" s="131" t="s">
        <v>639</v>
      </c>
      <c r="B50" s="133" t="s">
        <v>520</v>
      </c>
      <c r="C50" s="134">
        <v>97.0</v>
      </c>
      <c r="D50" s="134">
        <v>7.42</v>
      </c>
      <c r="E50" s="134">
        <v>20.0</v>
      </c>
      <c r="F50" s="134">
        <v>2.4</v>
      </c>
      <c r="G50" s="134">
        <v>20.0</v>
      </c>
      <c r="H50" s="134">
        <v>3.2</v>
      </c>
      <c r="I50" s="134">
        <v>19.0</v>
      </c>
      <c r="J50" s="134">
        <v>0.0</v>
      </c>
      <c r="K50" s="134">
        <v>19.0</v>
      </c>
      <c r="L50" s="134">
        <v>1.68</v>
      </c>
      <c r="M50" s="134">
        <v>19.0</v>
      </c>
      <c r="N50" s="134">
        <v>0.0</v>
      </c>
    </row>
    <row r="51">
      <c r="A51" s="131" t="s">
        <v>654</v>
      </c>
      <c r="B51" s="133" t="s">
        <v>412</v>
      </c>
      <c r="C51" s="134">
        <v>97.0</v>
      </c>
      <c r="D51" s="134">
        <v>15.7</v>
      </c>
      <c r="E51" s="134">
        <v>20.0</v>
      </c>
      <c r="F51" s="134">
        <v>2.4</v>
      </c>
      <c r="G51" s="134">
        <v>20.0</v>
      </c>
      <c r="H51" s="134">
        <v>8.8</v>
      </c>
      <c r="I51" s="134">
        <v>19.0</v>
      </c>
      <c r="J51" s="134">
        <v>0.842</v>
      </c>
      <c r="K51" s="134">
        <v>19.0</v>
      </c>
      <c r="L51" s="134">
        <v>1.68</v>
      </c>
      <c r="M51" s="134">
        <v>19.0</v>
      </c>
      <c r="N51" s="134">
        <v>1.68</v>
      </c>
    </row>
    <row r="52">
      <c r="A52" s="131" t="s">
        <v>704</v>
      </c>
      <c r="B52" s="133" t="s">
        <v>485</v>
      </c>
      <c r="C52" s="134">
        <v>99.0</v>
      </c>
      <c r="D52" s="134">
        <v>4.04</v>
      </c>
      <c r="E52" s="134">
        <v>20.0</v>
      </c>
      <c r="F52" s="134">
        <v>3.2</v>
      </c>
      <c r="G52" s="134">
        <v>20.0</v>
      </c>
      <c r="H52" s="134">
        <v>0.0</v>
      </c>
      <c r="I52" s="134">
        <v>20.0</v>
      </c>
      <c r="J52" s="134">
        <v>-0.8</v>
      </c>
      <c r="K52" s="134">
        <v>20.0</v>
      </c>
      <c r="L52" s="134">
        <v>1.6</v>
      </c>
      <c r="M52" s="134">
        <v>19.0</v>
      </c>
      <c r="N52" s="134">
        <v>0.0</v>
      </c>
    </row>
    <row r="53">
      <c r="A53" s="131" t="s">
        <v>406</v>
      </c>
      <c r="B53" s="133" t="s">
        <v>578</v>
      </c>
      <c r="C53" s="134">
        <v>99.0</v>
      </c>
      <c r="D53" s="134">
        <v>5.66</v>
      </c>
      <c r="E53" s="134">
        <v>20.0</v>
      </c>
      <c r="F53" s="134">
        <v>0.8</v>
      </c>
      <c r="G53" s="134">
        <v>20.0</v>
      </c>
      <c r="H53" s="134">
        <v>0.0</v>
      </c>
      <c r="I53" s="134">
        <v>20.0</v>
      </c>
      <c r="J53" s="134">
        <v>2.4</v>
      </c>
      <c r="K53" s="134">
        <v>20.0</v>
      </c>
      <c r="L53" s="134">
        <v>1.6</v>
      </c>
      <c r="M53" s="134">
        <v>19.0</v>
      </c>
      <c r="N53" s="134">
        <v>0.842</v>
      </c>
    </row>
    <row r="54">
      <c r="A54" s="131" t="s">
        <v>482</v>
      </c>
      <c r="B54" s="133" t="s">
        <v>635</v>
      </c>
      <c r="C54" s="134">
        <v>100.0</v>
      </c>
      <c r="D54" s="134">
        <v>2.4</v>
      </c>
      <c r="E54" s="134">
        <v>20.0</v>
      </c>
      <c r="F54" s="134">
        <v>0.8</v>
      </c>
      <c r="G54" s="134">
        <v>20.0</v>
      </c>
      <c r="H54" s="134">
        <v>0.0</v>
      </c>
      <c r="I54" s="134">
        <v>20.0</v>
      </c>
      <c r="J54" s="134">
        <v>0.0</v>
      </c>
      <c r="K54" s="134">
        <v>20.0</v>
      </c>
      <c r="L54" s="134">
        <v>1.6</v>
      </c>
      <c r="M54" s="134">
        <v>20.0</v>
      </c>
      <c r="N54" s="134">
        <v>0.0</v>
      </c>
    </row>
    <row r="55">
      <c r="A55" s="131" t="s">
        <v>549</v>
      </c>
      <c r="B55" s="133" t="s">
        <v>409</v>
      </c>
      <c r="C55" s="134">
        <v>100.0</v>
      </c>
      <c r="D55" s="134">
        <v>16.0</v>
      </c>
      <c r="E55" s="134">
        <v>20.0</v>
      </c>
      <c r="F55" s="134">
        <v>8.0</v>
      </c>
      <c r="G55" s="134">
        <v>20.0</v>
      </c>
      <c r="H55" s="134">
        <v>0.0</v>
      </c>
      <c r="I55" s="134">
        <v>20.0</v>
      </c>
      <c r="J55" s="134">
        <v>4.0</v>
      </c>
      <c r="K55" s="134">
        <v>20.0</v>
      </c>
      <c r="L55" s="134">
        <v>1.6</v>
      </c>
      <c r="M55" s="134">
        <v>20.0</v>
      </c>
      <c r="N55" s="134">
        <v>2.4</v>
      </c>
    </row>
    <row r="56">
      <c r="A56" s="131" t="s">
        <v>563</v>
      </c>
      <c r="B56" s="133" t="s">
        <v>484</v>
      </c>
      <c r="C56" s="134">
        <v>99.0</v>
      </c>
      <c r="D56" s="134">
        <v>10.5</v>
      </c>
      <c r="E56" s="134">
        <v>20.0</v>
      </c>
      <c r="F56" s="134">
        <v>0.8</v>
      </c>
      <c r="G56" s="134">
        <v>20.0</v>
      </c>
      <c r="H56" s="134">
        <v>6.4</v>
      </c>
      <c r="I56" s="134">
        <v>20.0</v>
      </c>
      <c r="J56" s="134">
        <v>1.6</v>
      </c>
      <c r="K56" s="134">
        <v>20.0</v>
      </c>
      <c r="L56" s="134">
        <v>1.6</v>
      </c>
      <c r="M56" s="134">
        <v>19.0</v>
      </c>
      <c r="N56" s="134">
        <v>0.0</v>
      </c>
    </row>
    <row r="57">
      <c r="A57" s="131" t="s">
        <v>585</v>
      </c>
      <c r="B57" s="133" t="s">
        <v>486</v>
      </c>
      <c r="C57" s="134">
        <v>100.0</v>
      </c>
      <c r="D57" s="134">
        <v>10.4</v>
      </c>
      <c r="E57" s="134">
        <v>20.0</v>
      </c>
      <c r="F57" s="134">
        <v>0.8</v>
      </c>
      <c r="G57" s="134">
        <v>20.0</v>
      </c>
      <c r="H57" s="134">
        <v>6.4</v>
      </c>
      <c r="I57" s="134">
        <v>20.0</v>
      </c>
      <c r="J57" s="134">
        <v>0.8</v>
      </c>
      <c r="K57" s="134">
        <v>20.0</v>
      </c>
      <c r="L57" s="134">
        <v>1.6</v>
      </c>
      <c r="M57" s="134">
        <v>20.0</v>
      </c>
      <c r="N57" s="134">
        <v>0.8</v>
      </c>
    </row>
    <row r="58">
      <c r="A58" s="131" t="s">
        <v>496</v>
      </c>
      <c r="B58" s="133" t="s">
        <v>421</v>
      </c>
      <c r="C58" s="134">
        <v>66.0</v>
      </c>
      <c r="D58" s="134">
        <v>14.5</v>
      </c>
      <c r="E58" s="134">
        <v>15.0</v>
      </c>
      <c r="F58" s="134">
        <v>3.2</v>
      </c>
      <c r="G58" s="134">
        <v>14.0</v>
      </c>
      <c r="H58" s="134">
        <v>6.86</v>
      </c>
      <c r="I58" s="134">
        <v>13.0</v>
      </c>
      <c r="J58" s="134">
        <v>1.23</v>
      </c>
      <c r="K58" s="134">
        <v>12.0</v>
      </c>
      <c r="L58" s="134">
        <v>1.33</v>
      </c>
      <c r="M58" s="134">
        <v>12.0</v>
      </c>
      <c r="N58" s="134">
        <v>1.33</v>
      </c>
    </row>
    <row r="59">
      <c r="A59" s="131" t="s">
        <v>645</v>
      </c>
      <c r="B59" s="133" t="s">
        <v>622</v>
      </c>
      <c r="C59" s="134">
        <v>59.0</v>
      </c>
      <c r="D59" s="134">
        <v>4.07</v>
      </c>
      <c r="E59" s="134">
        <v>12.0</v>
      </c>
      <c r="F59" s="134">
        <v>0.0</v>
      </c>
      <c r="G59" s="134">
        <v>11.0</v>
      </c>
      <c r="H59" s="134">
        <v>2.91</v>
      </c>
      <c r="I59" s="134">
        <v>12.0</v>
      </c>
      <c r="J59" s="134">
        <v>0.0</v>
      </c>
      <c r="K59" s="134">
        <v>12.0</v>
      </c>
      <c r="L59" s="134">
        <v>1.33</v>
      </c>
      <c r="M59" s="134">
        <v>12.0</v>
      </c>
      <c r="N59" s="134">
        <v>0.0</v>
      </c>
    </row>
    <row r="60">
      <c r="A60" s="131" t="s">
        <v>416</v>
      </c>
      <c r="B60" s="133" t="s">
        <v>650</v>
      </c>
      <c r="C60" s="134">
        <v>78.0</v>
      </c>
      <c r="D60" s="134">
        <v>3.08</v>
      </c>
      <c r="E60" s="134">
        <v>16.0</v>
      </c>
      <c r="F60" s="134">
        <v>0.0</v>
      </c>
      <c r="G60" s="134">
        <v>16.0</v>
      </c>
      <c r="H60" s="134">
        <v>0.0</v>
      </c>
      <c r="I60" s="134">
        <v>16.0</v>
      </c>
      <c r="J60" s="134">
        <v>2.0</v>
      </c>
      <c r="K60" s="134">
        <v>15.0</v>
      </c>
      <c r="L60" s="134">
        <v>1.07</v>
      </c>
      <c r="M60" s="134">
        <v>15.0</v>
      </c>
      <c r="N60" s="134">
        <v>0.0</v>
      </c>
    </row>
    <row r="61">
      <c r="A61" s="131" t="s">
        <v>430</v>
      </c>
      <c r="B61" s="133" t="s">
        <v>428</v>
      </c>
      <c r="C61" s="134">
        <v>76.0</v>
      </c>
      <c r="D61" s="134">
        <v>13.7</v>
      </c>
      <c r="E61" s="134">
        <v>16.0</v>
      </c>
      <c r="F61" s="134">
        <v>3.0</v>
      </c>
      <c r="G61" s="134">
        <v>15.0</v>
      </c>
      <c r="H61" s="134">
        <v>2.13</v>
      </c>
      <c r="I61" s="134">
        <v>15.0</v>
      </c>
      <c r="J61" s="134">
        <v>4.27</v>
      </c>
      <c r="K61" s="134">
        <v>15.0</v>
      </c>
      <c r="L61" s="134">
        <v>1.07</v>
      </c>
      <c r="M61" s="134">
        <v>15.0</v>
      </c>
      <c r="N61" s="134">
        <v>3.2</v>
      </c>
    </row>
    <row r="62">
      <c r="A62" s="131" t="s">
        <v>411</v>
      </c>
      <c r="B62" s="133" t="s">
        <v>413</v>
      </c>
      <c r="C62" s="134">
        <v>77.0</v>
      </c>
      <c r="D62" s="134">
        <v>10.4</v>
      </c>
      <c r="E62" s="134">
        <v>16.0</v>
      </c>
      <c r="F62" s="134">
        <v>10.0</v>
      </c>
      <c r="G62" s="134">
        <v>16.0</v>
      </c>
      <c r="H62" s="134">
        <v>0.0</v>
      </c>
      <c r="I62" s="134">
        <v>15.0</v>
      </c>
      <c r="J62" s="134">
        <v>-1.07</v>
      </c>
      <c r="K62" s="134">
        <v>15.0</v>
      </c>
      <c r="L62" s="134">
        <v>1.07</v>
      </c>
      <c r="M62" s="134">
        <v>15.0</v>
      </c>
      <c r="N62" s="134">
        <v>0.0</v>
      </c>
    </row>
    <row r="63">
      <c r="A63" s="131" t="s">
        <v>646</v>
      </c>
      <c r="B63" s="133" t="s">
        <v>671</v>
      </c>
      <c r="C63" s="134">
        <v>75.0</v>
      </c>
      <c r="D63" s="134">
        <v>2.13</v>
      </c>
      <c r="E63" s="134">
        <v>15.0</v>
      </c>
      <c r="F63" s="134">
        <v>0.0</v>
      </c>
      <c r="G63" s="134">
        <v>16.0</v>
      </c>
      <c r="H63" s="134">
        <v>0.0</v>
      </c>
      <c r="I63" s="134">
        <v>15.0</v>
      </c>
      <c r="J63" s="134">
        <v>1.07</v>
      </c>
      <c r="K63" s="134">
        <v>15.0</v>
      </c>
      <c r="L63" s="134">
        <v>1.07</v>
      </c>
      <c r="M63" s="134">
        <v>14.0</v>
      </c>
      <c r="N63" s="134">
        <v>0.0</v>
      </c>
    </row>
    <row r="64">
      <c r="A64" s="131" t="s">
        <v>667</v>
      </c>
      <c r="B64" s="133" t="s">
        <v>673</v>
      </c>
      <c r="C64" s="134">
        <v>80.0</v>
      </c>
      <c r="D64" s="134">
        <v>2.0</v>
      </c>
      <c r="E64" s="134">
        <v>16.0</v>
      </c>
      <c r="F64" s="134">
        <v>0.0</v>
      </c>
      <c r="G64" s="134">
        <v>16.0</v>
      </c>
      <c r="H64" s="134">
        <v>0.0</v>
      </c>
      <c r="I64" s="134">
        <v>16.0</v>
      </c>
      <c r="J64" s="134">
        <v>0.0</v>
      </c>
      <c r="K64" s="134">
        <v>16.0</v>
      </c>
      <c r="L64" s="134">
        <v>1.0</v>
      </c>
      <c r="M64" s="134">
        <v>16.0</v>
      </c>
      <c r="N64" s="134">
        <v>1.0</v>
      </c>
    </row>
    <row r="65">
      <c r="A65" s="131" t="s">
        <v>670</v>
      </c>
      <c r="B65" s="133" t="s">
        <v>634</v>
      </c>
      <c r="C65" s="134">
        <v>81.0</v>
      </c>
      <c r="D65" s="134">
        <v>3.95</v>
      </c>
      <c r="E65" s="134">
        <v>17.0</v>
      </c>
      <c r="F65" s="134">
        <v>0.0</v>
      </c>
      <c r="G65" s="134">
        <v>16.0</v>
      </c>
      <c r="H65" s="134">
        <v>1.0</v>
      </c>
      <c r="I65" s="134">
        <v>16.0</v>
      </c>
      <c r="J65" s="134">
        <v>1.0</v>
      </c>
      <c r="K65" s="134">
        <v>16.0</v>
      </c>
      <c r="L65" s="134">
        <v>1.0</v>
      </c>
      <c r="M65" s="134">
        <v>16.0</v>
      </c>
      <c r="N65" s="134">
        <v>1.0</v>
      </c>
    </row>
    <row r="66">
      <c r="A66" s="131" t="s">
        <v>610</v>
      </c>
      <c r="B66" s="133" t="s">
        <v>607</v>
      </c>
      <c r="C66" s="134">
        <v>79.0</v>
      </c>
      <c r="D66" s="134">
        <v>1.01</v>
      </c>
      <c r="E66" s="134">
        <v>16.0</v>
      </c>
      <c r="F66" s="134">
        <v>1.0</v>
      </c>
      <c r="G66" s="134">
        <v>16.0</v>
      </c>
      <c r="H66" s="134">
        <v>0.0</v>
      </c>
      <c r="I66" s="134">
        <v>16.0</v>
      </c>
      <c r="J66" s="134">
        <v>0.0</v>
      </c>
      <c r="K66" s="134">
        <v>16.0</v>
      </c>
      <c r="L66" s="134">
        <v>1.0</v>
      </c>
      <c r="M66" s="134">
        <v>15.0</v>
      </c>
      <c r="N66" s="134">
        <v>-1.07</v>
      </c>
    </row>
    <row r="67">
      <c r="A67" s="131" t="s">
        <v>699</v>
      </c>
      <c r="B67" s="133" t="s">
        <v>705</v>
      </c>
      <c r="C67" s="134">
        <v>79.0</v>
      </c>
      <c r="D67" s="134">
        <v>1.01</v>
      </c>
      <c r="E67" s="134">
        <v>17.0</v>
      </c>
      <c r="F67" s="134">
        <v>-0.941</v>
      </c>
      <c r="G67" s="134">
        <v>16.0</v>
      </c>
      <c r="H67" s="134">
        <v>1.0</v>
      </c>
      <c r="I67" s="134">
        <v>15.0</v>
      </c>
      <c r="J67" s="134">
        <v>0.0</v>
      </c>
      <c r="K67" s="134">
        <v>16.0</v>
      </c>
      <c r="L67" s="134">
        <v>1.0</v>
      </c>
      <c r="M67" s="134">
        <v>15.0</v>
      </c>
      <c r="N67" s="134">
        <v>0.0</v>
      </c>
    </row>
    <row r="68">
      <c r="A68" s="131" t="s">
        <v>620</v>
      </c>
      <c r="B68" s="133" t="s">
        <v>618</v>
      </c>
      <c r="C68" s="134">
        <v>89.0</v>
      </c>
      <c r="D68" s="134">
        <v>1.8</v>
      </c>
      <c r="E68" s="134">
        <v>18.0</v>
      </c>
      <c r="F68" s="134">
        <v>0.889</v>
      </c>
      <c r="G68" s="134">
        <v>18.0</v>
      </c>
      <c r="H68" s="134">
        <v>0.0</v>
      </c>
      <c r="I68" s="134">
        <v>18.0</v>
      </c>
      <c r="J68" s="134">
        <v>0.0</v>
      </c>
      <c r="K68" s="134">
        <v>17.0</v>
      </c>
      <c r="L68" s="134">
        <v>0.941</v>
      </c>
      <c r="M68" s="134">
        <v>18.0</v>
      </c>
      <c r="N68" s="134">
        <v>0.0</v>
      </c>
    </row>
    <row r="69">
      <c r="A69" s="131" t="s">
        <v>472</v>
      </c>
      <c r="B69" s="133" t="s">
        <v>500</v>
      </c>
      <c r="C69" s="134">
        <v>98.0</v>
      </c>
      <c r="D69" s="134">
        <v>8.98</v>
      </c>
      <c r="E69" s="134">
        <v>21.0</v>
      </c>
      <c r="F69" s="134">
        <v>3.05</v>
      </c>
      <c r="G69" s="134">
        <v>21.0</v>
      </c>
      <c r="H69" s="134">
        <v>0.762</v>
      </c>
      <c r="I69" s="134">
        <v>20.0</v>
      </c>
      <c r="J69" s="134">
        <v>3.2</v>
      </c>
      <c r="K69" s="134">
        <v>18.0</v>
      </c>
      <c r="L69" s="134">
        <v>0.889</v>
      </c>
      <c r="M69" s="134">
        <v>18.0</v>
      </c>
      <c r="N69" s="134">
        <v>0.889</v>
      </c>
    </row>
    <row r="70">
      <c r="A70" s="131" t="s">
        <v>497</v>
      </c>
      <c r="B70" s="133" t="s">
        <v>477</v>
      </c>
      <c r="C70" s="134">
        <v>95.0</v>
      </c>
      <c r="D70" s="134">
        <v>10.9</v>
      </c>
      <c r="E70" s="134">
        <v>20.0</v>
      </c>
      <c r="F70" s="134">
        <v>0.0</v>
      </c>
      <c r="G70" s="134">
        <v>20.0</v>
      </c>
      <c r="H70" s="134">
        <v>8.0</v>
      </c>
      <c r="I70" s="134">
        <v>19.0</v>
      </c>
      <c r="J70" s="134">
        <v>0.0</v>
      </c>
      <c r="K70" s="134">
        <v>18.0</v>
      </c>
      <c r="L70" s="134">
        <v>0.889</v>
      </c>
      <c r="M70" s="134">
        <v>18.0</v>
      </c>
      <c r="N70" s="134">
        <v>1.78</v>
      </c>
    </row>
    <row r="71">
      <c r="A71" s="131" t="s">
        <v>626</v>
      </c>
      <c r="B71" s="133" t="s">
        <v>623</v>
      </c>
      <c r="C71" s="134">
        <v>91.0</v>
      </c>
      <c r="D71" s="134">
        <v>2.64</v>
      </c>
      <c r="E71" s="134">
        <v>19.0</v>
      </c>
      <c r="F71" s="134">
        <v>0.842</v>
      </c>
      <c r="G71" s="134">
        <v>19.0</v>
      </c>
      <c r="H71" s="134">
        <v>0.0</v>
      </c>
      <c r="I71" s="134">
        <v>18.0</v>
      </c>
      <c r="J71" s="134">
        <v>0.0</v>
      </c>
      <c r="K71" s="134">
        <v>18.0</v>
      </c>
      <c r="L71" s="134">
        <v>0.889</v>
      </c>
      <c r="M71" s="134">
        <v>17.0</v>
      </c>
      <c r="N71" s="134">
        <v>0.941</v>
      </c>
    </row>
    <row r="72">
      <c r="A72" s="131" t="s">
        <v>675</v>
      </c>
      <c r="B72" s="133" t="s">
        <v>682</v>
      </c>
      <c r="C72" s="134">
        <v>89.0</v>
      </c>
      <c r="D72" s="134">
        <v>1.8</v>
      </c>
      <c r="E72" s="134">
        <v>18.0</v>
      </c>
      <c r="F72" s="134">
        <v>0.0</v>
      </c>
      <c r="G72" s="134">
        <v>18.0</v>
      </c>
      <c r="H72" s="134">
        <v>0.889</v>
      </c>
      <c r="I72" s="134">
        <v>18.0</v>
      </c>
      <c r="J72" s="134">
        <v>0.0</v>
      </c>
      <c r="K72" s="134">
        <v>18.0</v>
      </c>
      <c r="L72" s="134">
        <v>0.889</v>
      </c>
      <c r="M72" s="134">
        <v>17.0</v>
      </c>
      <c r="N72" s="134">
        <v>0.0</v>
      </c>
    </row>
    <row r="73">
      <c r="A73" s="131" t="s">
        <v>681</v>
      </c>
      <c r="B73" s="133" t="s">
        <v>689</v>
      </c>
      <c r="C73" s="134">
        <v>95.0</v>
      </c>
      <c r="D73" s="134">
        <v>1.68</v>
      </c>
      <c r="E73" s="134">
        <v>20.0</v>
      </c>
      <c r="F73" s="134">
        <v>0.0</v>
      </c>
      <c r="G73" s="134">
        <v>20.0</v>
      </c>
      <c r="H73" s="134">
        <v>0.0</v>
      </c>
      <c r="I73" s="134">
        <v>20.0</v>
      </c>
      <c r="J73" s="134">
        <v>0.0</v>
      </c>
      <c r="K73" s="134">
        <v>18.0</v>
      </c>
      <c r="L73" s="134">
        <v>0.889</v>
      </c>
      <c r="M73" s="134">
        <v>17.0</v>
      </c>
      <c r="N73" s="134">
        <v>0.941</v>
      </c>
    </row>
    <row r="74">
      <c r="A74" s="131" t="s">
        <v>498</v>
      </c>
      <c r="B74" s="133" t="s">
        <v>487</v>
      </c>
      <c r="C74" s="134">
        <v>98.0</v>
      </c>
      <c r="D74" s="134">
        <v>8.98</v>
      </c>
      <c r="E74" s="134">
        <v>20.0</v>
      </c>
      <c r="F74" s="134">
        <v>3.2</v>
      </c>
      <c r="G74" s="134">
        <v>20.0</v>
      </c>
      <c r="H74" s="134">
        <v>0.8</v>
      </c>
      <c r="I74" s="134">
        <v>20.0</v>
      </c>
      <c r="J74" s="134">
        <v>4.0</v>
      </c>
      <c r="K74" s="134">
        <v>19.0</v>
      </c>
      <c r="L74" s="134">
        <v>0.842</v>
      </c>
      <c r="M74" s="134">
        <v>19.0</v>
      </c>
      <c r="N74" s="134">
        <v>0.0</v>
      </c>
    </row>
    <row r="75">
      <c r="A75" s="131" t="s">
        <v>489</v>
      </c>
      <c r="B75" s="133" t="s">
        <v>466</v>
      </c>
      <c r="C75" s="134">
        <v>98.0</v>
      </c>
      <c r="D75" s="134">
        <v>8.98</v>
      </c>
      <c r="E75" s="134">
        <v>20.0</v>
      </c>
      <c r="F75" s="134">
        <v>4.0</v>
      </c>
      <c r="G75" s="134">
        <v>20.0</v>
      </c>
      <c r="H75" s="134">
        <v>0.8</v>
      </c>
      <c r="I75" s="134">
        <v>21.0</v>
      </c>
      <c r="J75" s="134">
        <v>0.762</v>
      </c>
      <c r="K75" s="134">
        <v>19.0</v>
      </c>
      <c r="L75" s="134">
        <v>0.842</v>
      </c>
      <c r="M75" s="134">
        <v>18.0</v>
      </c>
      <c r="N75" s="134">
        <v>2.67</v>
      </c>
    </row>
    <row r="76">
      <c r="A76" s="131" t="s">
        <v>459</v>
      </c>
      <c r="B76" s="133" t="s">
        <v>711</v>
      </c>
      <c r="C76" s="134">
        <v>97.0</v>
      </c>
      <c r="D76" s="134">
        <v>0.825</v>
      </c>
      <c r="E76" s="134">
        <v>20.0</v>
      </c>
      <c r="F76" s="134">
        <v>0.0</v>
      </c>
      <c r="G76" s="134">
        <v>20.0</v>
      </c>
      <c r="H76" s="134">
        <v>0.0</v>
      </c>
      <c r="I76" s="134">
        <v>20.0</v>
      </c>
      <c r="J76" s="134">
        <v>0.0</v>
      </c>
      <c r="K76" s="134">
        <v>19.0</v>
      </c>
      <c r="L76" s="134">
        <v>0.842</v>
      </c>
      <c r="M76" s="134">
        <v>18.0</v>
      </c>
      <c r="N76" s="134">
        <v>0.0</v>
      </c>
    </row>
    <row r="77">
      <c r="A77" s="131" t="s">
        <v>707</v>
      </c>
      <c r="B77" s="133" t="s">
        <v>499</v>
      </c>
      <c r="C77" s="134">
        <v>97.0</v>
      </c>
      <c r="D77" s="134">
        <v>9.07</v>
      </c>
      <c r="E77" s="134">
        <v>20.0</v>
      </c>
      <c r="F77" s="134">
        <v>0.8</v>
      </c>
      <c r="G77" s="134">
        <v>20.0</v>
      </c>
      <c r="H77" s="134">
        <v>0.8</v>
      </c>
      <c r="I77" s="134">
        <v>20.0</v>
      </c>
      <c r="J77" s="134">
        <v>3.2</v>
      </c>
      <c r="K77" s="134">
        <v>19.0</v>
      </c>
      <c r="L77" s="134">
        <v>0.842</v>
      </c>
      <c r="M77" s="134">
        <v>18.0</v>
      </c>
      <c r="N77" s="134">
        <v>3.56</v>
      </c>
    </row>
    <row r="78">
      <c r="A78" s="131" t="s">
        <v>458</v>
      </c>
      <c r="B78" s="133" t="s">
        <v>519</v>
      </c>
      <c r="C78" s="134">
        <v>99.0</v>
      </c>
      <c r="D78" s="134">
        <v>8.08</v>
      </c>
      <c r="E78" s="134">
        <v>20.0</v>
      </c>
      <c r="F78" s="134">
        <v>-0.8</v>
      </c>
      <c r="G78" s="134">
        <v>20.0</v>
      </c>
      <c r="H78" s="134">
        <v>4.0</v>
      </c>
      <c r="I78" s="134">
        <v>20.0</v>
      </c>
      <c r="J78" s="134">
        <v>0.0</v>
      </c>
      <c r="K78" s="134">
        <v>20.0</v>
      </c>
      <c r="L78" s="134">
        <v>0.8</v>
      </c>
      <c r="M78" s="134">
        <v>19.0</v>
      </c>
      <c r="N78" s="134">
        <v>4.21</v>
      </c>
    </row>
    <row r="79">
      <c r="A79" s="131" t="s">
        <v>444</v>
      </c>
      <c r="B79" s="133" t="s">
        <v>564</v>
      </c>
      <c r="C79" s="134">
        <v>99.0</v>
      </c>
      <c r="D79" s="134">
        <v>6.46</v>
      </c>
      <c r="E79" s="134">
        <v>20.0</v>
      </c>
      <c r="F79" s="134">
        <v>0.0</v>
      </c>
      <c r="G79" s="134">
        <v>20.0</v>
      </c>
      <c r="H79" s="134">
        <v>4.0</v>
      </c>
      <c r="I79" s="134">
        <v>20.0</v>
      </c>
      <c r="J79" s="134">
        <v>0.0</v>
      </c>
      <c r="K79" s="134">
        <v>20.0</v>
      </c>
      <c r="L79" s="134">
        <v>0.8</v>
      </c>
      <c r="M79" s="134">
        <v>19.0</v>
      </c>
      <c r="N79" s="134">
        <v>1.68</v>
      </c>
    </row>
    <row r="80">
      <c r="A80" s="131" t="s">
        <v>516</v>
      </c>
      <c r="B80" s="133" t="s">
        <v>637</v>
      </c>
      <c r="C80" s="134">
        <v>100.0</v>
      </c>
      <c r="D80" s="134">
        <v>1.6</v>
      </c>
      <c r="E80" s="134">
        <v>20.0</v>
      </c>
      <c r="F80" s="134">
        <v>0.8</v>
      </c>
      <c r="G80" s="134">
        <v>20.0</v>
      </c>
      <c r="H80" s="134">
        <v>0.0</v>
      </c>
      <c r="I80" s="134">
        <v>20.0</v>
      </c>
      <c r="J80" s="134">
        <v>0.0</v>
      </c>
      <c r="K80" s="134">
        <v>20.0</v>
      </c>
      <c r="L80" s="134">
        <v>0.8</v>
      </c>
      <c r="M80" s="134">
        <v>20.0</v>
      </c>
      <c r="N80" s="134">
        <v>0.0</v>
      </c>
    </row>
    <row r="81">
      <c r="A81" s="131" t="s">
        <v>521</v>
      </c>
      <c r="B81" s="133" t="s">
        <v>718</v>
      </c>
      <c r="C81" s="134">
        <v>100.0</v>
      </c>
      <c r="D81" s="134">
        <v>0.8</v>
      </c>
      <c r="E81" s="134">
        <v>20.0</v>
      </c>
      <c r="F81" s="134">
        <v>0.0</v>
      </c>
      <c r="G81" s="134">
        <v>20.0</v>
      </c>
      <c r="H81" s="134">
        <v>0.0</v>
      </c>
      <c r="I81" s="134">
        <v>20.0</v>
      </c>
      <c r="J81" s="134">
        <v>0.0</v>
      </c>
      <c r="K81" s="134">
        <v>20.0</v>
      </c>
      <c r="L81" s="134">
        <v>0.8</v>
      </c>
      <c r="M81" s="134">
        <v>20.0</v>
      </c>
      <c r="N81" s="134">
        <v>0.0</v>
      </c>
    </row>
    <row r="82">
      <c r="A82" s="131" t="s">
        <v>562</v>
      </c>
      <c r="B82" s="133" t="s">
        <v>525</v>
      </c>
      <c r="C82" s="134">
        <v>100.0</v>
      </c>
      <c r="D82" s="134">
        <v>8.0</v>
      </c>
      <c r="E82" s="134">
        <v>20.0</v>
      </c>
      <c r="F82" s="134">
        <v>1.6</v>
      </c>
      <c r="G82" s="134">
        <v>20.0</v>
      </c>
      <c r="H82" s="134">
        <v>5.6</v>
      </c>
      <c r="I82" s="134">
        <v>20.0</v>
      </c>
      <c r="J82" s="134">
        <v>-0.8</v>
      </c>
      <c r="K82" s="134">
        <v>20.0</v>
      </c>
      <c r="L82" s="134">
        <v>0.8</v>
      </c>
      <c r="M82" s="134">
        <v>20.0</v>
      </c>
      <c r="N82" s="134">
        <v>0.8</v>
      </c>
    </row>
    <row r="83">
      <c r="A83" s="131" t="s">
        <v>647</v>
      </c>
      <c r="B83" s="133" t="s">
        <v>435</v>
      </c>
      <c r="C83" s="134">
        <v>100.0</v>
      </c>
      <c r="D83" s="134">
        <v>13.6</v>
      </c>
      <c r="E83" s="134">
        <v>20.0</v>
      </c>
      <c r="F83" s="134">
        <v>6.4</v>
      </c>
      <c r="G83" s="134">
        <v>20.0</v>
      </c>
      <c r="H83" s="134">
        <v>1.6</v>
      </c>
      <c r="I83" s="134">
        <v>20.0</v>
      </c>
      <c r="J83" s="134">
        <v>0.8</v>
      </c>
      <c r="K83" s="134">
        <v>20.0</v>
      </c>
      <c r="L83" s="134">
        <v>0.8</v>
      </c>
      <c r="M83" s="134">
        <v>20.0</v>
      </c>
      <c r="N83" s="134">
        <v>4.0</v>
      </c>
    </row>
    <row r="84">
      <c r="A84" s="131" t="s">
        <v>712</v>
      </c>
      <c r="B84" s="133" t="s">
        <v>609</v>
      </c>
      <c r="C84" s="134">
        <v>88.0</v>
      </c>
      <c r="D84" s="134">
        <v>3.64</v>
      </c>
      <c r="E84" s="134">
        <v>17.0</v>
      </c>
      <c r="F84" s="134">
        <v>0.941</v>
      </c>
      <c r="G84" s="134">
        <v>18.0</v>
      </c>
      <c r="H84" s="134">
        <v>1.78</v>
      </c>
      <c r="I84" s="134">
        <v>18.0</v>
      </c>
      <c r="J84" s="134">
        <v>0.0</v>
      </c>
      <c r="K84" s="134">
        <v>18.0</v>
      </c>
      <c r="L84" s="134">
        <v>0.0</v>
      </c>
      <c r="M84" s="134">
        <v>17.0</v>
      </c>
      <c r="N84" s="134">
        <v>0.941</v>
      </c>
    </row>
    <row r="85">
      <c r="A85" s="131" t="s">
        <v>388</v>
      </c>
      <c r="B85" s="133" t="s">
        <v>555</v>
      </c>
      <c r="C85" s="134">
        <v>70.0</v>
      </c>
      <c r="D85" s="134">
        <v>2.29</v>
      </c>
      <c r="E85" s="134">
        <v>15.0</v>
      </c>
      <c r="F85" s="134">
        <v>2.13</v>
      </c>
      <c r="G85" s="134">
        <v>14.0</v>
      </c>
      <c r="H85" s="134">
        <v>0.0</v>
      </c>
      <c r="I85" s="134">
        <v>14.0</v>
      </c>
      <c r="J85" s="134">
        <v>0.0</v>
      </c>
      <c r="K85" s="134">
        <v>14.0</v>
      </c>
      <c r="L85" s="134">
        <v>0.0</v>
      </c>
      <c r="M85" s="134">
        <v>13.0</v>
      </c>
      <c r="N85" s="134">
        <v>0.0</v>
      </c>
    </row>
    <row r="86">
      <c r="A86" s="131" t="s">
        <v>422</v>
      </c>
      <c r="B86" s="133" t="s">
        <v>625</v>
      </c>
      <c r="C86" s="134">
        <v>99.0</v>
      </c>
      <c r="D86" s="134">
        <v>4.04</v>
      </c>
      <c r="E86" s="134">
        <v>20.0</v>
      </c>
      <c r="F86" s="134">
        <v>0.8</v>
      </c>
      <c r="G86" s="134">
        <v>20.0</v>
      </c>
      <c r="H86" s="134">
        <v>1.6</v>
      </c>
      <c r="I86" s="134">
        <v>20.0</v>
      </c>
      <c r="J86" s="134">
        <v>0.8</v>
      </c>
      <c r="K86" s="134">
        <v>20.0</v>
      </c>
      <c r="L86" s="134">
        <v>0.0</v>
      </c>
      <c r="M86" s="134">
        <v>19.0</v>
      </c>
      <c r="N86" s="134">
        <v>0.842</v>
      </c>
    </row>
    <row r="87">
      <c r="A87" s="131" t="s">
        <v>427</v>
      </c>
      <c r="B87" s="133" t="s">
        <v>659</v>
      </c>
      <c r="C87" s="134">
        <v>99.0</v>
      </c>
      <c r="D87" s="134">
        <v>0.808</v>
      </c>
      <c r="E87" s="134">
        <v>20.0</v>
      </c>
      <c r="F87" s="134">
        <v>0.0</v>
      </c>
      <c r="G87" s="134">
        <v>20.0</v>
      </c>
      <c r="H87" s="134">
        <v>0.0</v>
      </c>
      <c r="I87" s="134">
        <v>20.0</v>
      </c>
      <c r="J87" s="134">
        <v>0.0</v>
      </c>
      <c r="K87" s="134">
        <v>20.0</v>
      </c>
      <c r="L87" s="134">
        <v>0.0</v>
      </c>
      <c r="M87" s="134">
        <v>19.0</v>
      </c>
      <c r="N87" s="134">
        <v>0.842</v>
      </c>
    </row>
    <row r="88">
      <c r="A88" s="131" t="s">
        <v>434</v>
      </c>
      <c r="B88" s="133" t="s">
        <v>657</v>
      </c>
      <c r="C88" s="134">
        <v>98.0</v>
      </c>
      <c r="D88" s="134">
        <v>2.45</v>
      </c>
      <c r="E88" s="134">
        <v>21.0</v>
      </c>
      <c r="F88" s="134">
        <v>0.0</v>
      </c>
      <c r="G88" s="134">
        <v>21.0</v>
      </c>
      <c r="H88" s="134">
        <v>0.762</v>
      </c>
      <c r="I88" s="134">
        <v>20.0</v>
      </c>
      <c r="J88" s="134">
        <v>0.0</v>
      </c>
      <c r="K88" s="134">
        <v>18.0</v>
      </c>
      <c r="L88" s="134">
        <v>0.0</v>
      </c>
      <c r="M88" s="134">
        <v>18.0</v>
      </c>
      <c r="N88" s="134">
        <v>1.78</v>
      </c>
    </row>
    <row r="89">
      <c r="A89" s="131" t="s">
        <v>437</v>
      </c>
      <c r="B89" s="133" t="s">
        <v>616</v>
      </c>
      <c r="C89" s="134">
        <v>98.0</v>
      </c>
      <c r="D89" s="134">
        <v>4.08</v>
      </c>
      <c r="E89" s="134">
        <v>21.0</v>
      </c>
      <c r="F89" s="134">
        <v>0.762</v>
      </c>
      <c r="G89" s="134">
        <v>21.0</v>
      </c>
      <c r="H89" s="134">
        <v>0.762</v>
      </c>
      <c r="I89" s="134">
        <v>20.0</v>
      </c>
      <c r="J89" s="134">
        <v>2.4</v>
      </c>
      <c r="K89" s="134">
        <v>18.0</v>
      </c>
      <c r="L89" s="134">
        <v>0.0</v>
      </c>
      <c r="M89" s="134">
        <v>18.0</v>
      </c>
      <c r="N89" s="134">
        <v>0.0</v>
      </c>
    </row>
    <row r="90">
      <c r="A90" s="131" t="s">
        <v>440</v>
      </c>
      <c r="B90" s="133" t="s">
        <v>661</v>
      </c>
      <c r="C90" s="134">
        <v>67.0</v>
      </c>
      <c r="D90" s="134">
        <v>0.0</v>
      </c>
      <c r="E90" s="134">
        <v>13.0</v>
      </c>
      <c r="F90" s="134">
        <v>0.0</v>
      </c>
      <c r="G90" s="134">
        <v>14.0</v>
      </c>
      <c r="H90" s="134">
        <v>0.0</v>
      </c>
      <c r="I90" s="134">
        <v>14.0</v>
      </c>
      <c r="J90" s="134">
        <v>0.0</v>
      </c>
      <c r="K90" s="134">
        <v>13.0</v>
      </c>
      <c r="L90" s="134">
        <v>0.0</v>
      </c>
      <c r="M90" s="134">
        <v>13.0</v>
      </c>
      <c r="N90" s="134">
        <v>0.0</v>
      </c>
    </row>
    <row r="91">
      <c r="A91" s="131" t="s">
        <v>450</v>
      </c>
      <c r="B91" s="133" t="s">
        <v>663</v>
      </c>
      <c r="C91" s="134">
        <v>78.0</v>
      </c>
      <c r="D91" s="134">
        <v>2.05</v>
      </c>
      <c r="E91" s="134">
        <v>16.0</v>
      </c>
      <c r="F91" s="134">
        <v>0.0</v>
      </c>
      <c r="G91" s="134">
        <v>16.0</v>
      </c>
      <c r="H91" s="134">
        <v>2.0</v>
      </c>
      <c r="I91" s="134">
        <v>16.0</v>
      </c>
      <c r="J91" s="134">
        <v>0.0</v>
      </c>
      <c r="K91" s="134">
        <v>15.0</v>
      </c>
      <c r="L91" s="134">
        <v>0.0</v>
      </c>
      <c r="M91" s="134">
        <v>15.0</v>
      </c>
      <c r="N91" s="134">
        <v>0.0</v>
      </c>
    </row>
    <row r="92">
      <c r="A92" s="131" t="s">
        <v>452</v>
      </c>
      <c r="B92" s="133" t="s">
        <v>433</v>
      </c>
      <c r="C92" s="134">
        <v>87.0</v>
      </c>
      <c r="D92" s="134">
        <v>9.2</v>
      </c>
      <c r="E92" s="134">
        <v>17.0</v>
      </c>
      <c r="F92" s="134">
        <v>6.59</v>
      </c>
      <c r="G92" s="134">
        <v>18.0</v>
      </c>
      <c r="H92" s="134">
        <v>0.0</v>
      </c>
      <c r="I92" s="134">
        <v>18.0</v>
      </c>
      <c r="J92" s="134">
        <v>2.67</v>
      </c>
      <c r="K92" s="134">
        <v>17.0</v>
      </c>
      <c r="L92" s="134">
        <v>0.0</v>
      </c>
      <c r="M92" s="134">
        <v>17.0</v>
      </c>
      <c r="N92" s="134">
        <v>0.0</v>
      </c>
    </row>
    <row r="93">
      <c r="A93" s="131" t="s">
        <v>454</v>
      </c>
      <c r="B93" s="133" t="s">
        <v>665</v>
      </c>
      <c r="C93" s="134">
        <v>62.0</v>
      </c>
      <c r="D93" s="134">
        <v>0.0</v>
      </c>
      <c r="E93" s="134">
        <v>14.0</v>
      </c>
      <c r="F93" s="134">
        <v>0.0</v>
      </c>
      <c r="G93" s="134">
        <v>12.0</v>
      </c>
      <c r="H93" s="134">
        <v>0.0</v>
      </c>
      <c r="I93" s="134">
        <v>12.0</v>
      </c>
      <c r="J93" s="134">
        <v>0.0</v>
      </c>
      <c r="K93" s="134">
        <v>12.0</v>
      </c>
      <c r="L93" s="134">
        <v>0.0</v>
      </c>
      <c r="M93" s="134">
        <v>12.0</v>
      </c>
      <c r="N93" s="134">
        <v>0.0</v>
      </c>
    </row>
    <row r="94">
      <c r="A94" s="131" t="s">
        <v>467</v>
      </c>
      <c r="B94" s="133" t="s">
        <v>475</v>
      </c>
      <c r="C94" s="134">
        <v>63.0</v>
      </c>
      <c r="D94" s="134">
        <v>2.54</v>
      </c>
      <c r="E94" s="134">
        <v>13.0</v>
      </c>
      <c r="F94" s="134">
        <v>3.69</v>
      </c>
      <c r="G94" s="134">
        <v>13.0</v>
      </c>
      <c r="H94" s="134">
        <v>0.0</v>
      </c>
      <c r="I94" s="134">
        <v>13.0</v>
      </c>
      <c r="J94" s="134">
        <v>-1.23</v>
      </c>
      <c r="K94" s="134">
        <v>12.0</v>
      </c>
      <c r="L94" s="134">
        <v>0.0</v>
      </c>
      <c r="M94" s="134">
        <v>12.0</v>
      </c>
      <c r="N94" s="134">
        <v>0.0</v>
      </c>
    </row>
    <row r="95">
      <c r="A95" s="131" t="s">
        <v>418</v>
      </c>
      <c r="B95" s="133" t="s">
        <v>580</v>
      </c>
      <c r="C95" s="134">
        <v>49.0</v>
      </c>
      <c r="D95" s="134">
        <v>1.63</v>
      </c>
      <c r="E95" s="134">
        <v>11.0</v>
      </c>
      <c r="F95" s="134">
        <v>1.45</v>
      </c>
      <c r="G95" s="134">
        <v>11.0</v>
      </c>
      <c r="H95" s="134">
        <v>0.0</v>
      </c>
      <c r="I95" s="134">
        <v>9.0</v>
      </c>
      <c r="J95" s="134">
        <v>0.0</v>
      </c>
      <c r="K95" s="134">
        <v>9.0</v>
      </c>
      <c r="L95" s="134">
        <v>0.0</v>
      </c>
      <c r="M95" s="134">
        <v>9.0</v>
      </c>
      <c r="N95" s="134">
        <v>0.0</v>
      </c>
    </row>
    <row r="96">
      <c r="A96" s="131" t="s">
        <v>456</v>
      </c>
      <c r="B96" s="133" t="s">
        <v>754</v>
      </c>
      <c r="C96" s="134">
        <v>58.0</v>
      </c>
      <c r="D96" s="134">
        <v>-1.38</v>
      </c>
      <c r="E96" s="134">
        <v>12.0</v>
      </c>
      <c r="F96" s="134">
        <v>-1.33</v>
      </c>
      <c r="G96" s="134">
        <v>12.0</v>
      </c>
      <c r="H96" s="134">
        <v>1.33</v>
      </c>
      <c r="I96" s="134">
        <v>12.0</v>
      </c>
      <c r="J96" s="134">
        <v>-1.33</v>
      </c>
      <c r="K96" s="134">
        <v>11.0</v>
      </c>
      <c r="L96" s="134">
        <v>0.0</v>
      </c>
      <c r="M96" s="134">
        <v>11.0</v>
      </c>
      <c r="N96" s="134">
        <v>0.0</v>
      </c>
    </row>
    <row r="97">
      <c r="A97" s="131" t="s">
        <v>488</v>
      </c>
      <c r="B97" s="133" t="s">
        <v>589</v>
      </c>
      <c r="C97" s="134">
        <v>78.0</v>
      </c>
      <c r="D97" s="134">
        <v>4.1</v>
      </c>
      <c r="E97" s="134">
        <v>16.0</v>
      </c>
      <c r="F97" s="134">
        <v>1.0</v>
      </c>
      <c r="G97" s="134">
        <v>16.0</v>
      </c>
      <c r="H97" s="134">
        <v>0.0</v>
      </c>
      <c r="I97" s="134">
        <v>16.0</v>
      </c>
      <c r="J97" s="134">
        <v>2.0</v>
      </c>
      <c r="K97" s="134">
        <v>15.0</v>
      </c>
      <c r="L97" s="134">
        <v>0.0</v>
      </c>
      <c r="M97" s="134">
        <v>15.0</v>
      </c>
      <c r="N97" s="134">
        <v>1.07</v>
      </c>
    </row>
    <row r="98">
      <c r="A98" s="91" t="s">
        <v>442</v>
      </c>
      <c r="B98" s="133" t="s">
        <v>543</v>
      </c>
      <c r="C98" s="134">
        <v>98.0</v>
      </c>
      <c r="D98" s="134">
        <v>7.35</v>
      </c>
      <c r="E98" s="134">
        <v>20.0</v>
      </c>
      <c r="F98" s="134">
        <v>0.0</v>
      </c>
      <c r="G98" s="134">
        <v>20.0</v>
      </c>
      <c r="H98" s="134">
        <v>7.2</v>
      </c>
      <c r="I98" s="134">
        <v>20.0</v>
      </c>
      <c r="J98" s="134">
        <v>0.0</v>
      </c>
      <c r="K98" s="134">
        <v>19.0</v>
      </c>
      <c r="L98" s="134">
        <v>0.0</v>
      </c>
      <c r="M98" s="134">
        <v>19.0</v>
      </c>
      <c r="N98" s="134">
        <v>0.0</v>
      </c>
    </row>
    <row r="99">
      <c r="A99" s="131" t="s">
        <v>490</v>
      </c>
      <c r="B99" s="133" t="s">
        <v>565</v>
      </c>
      <c r="C99" s="134">
        <v>94.0</v>
      </c>
      <c r="D99" s="134">
        <v>1.7</v>
      </c>
      <c r="E99" s="134">
        <v>20.0</v>
      </c>
      <c r="F99" s="134">
        <v>1.6</v>
      </c>
      <c r="G99" s="134">
        <v>19.0</v>
      </c>
      <c r="H99" s="134">
        <v>0.0</v>
      </c>
      <c r="I99" s="134">
        <v>19.0</v>
      </c>
      <c r="J99" s="134">
        <v>0.0</v>
      </c>
      <c r="K99" s="134">
        <v>18.0</v>
      </c>
      <c r="L99" s="134">
        <v>0.0</v>
      </c>
      <c r="M99" s="134">
        <v>18.0</v>
      </c>
      <c r="N99" s="134">
        <v>0.0</v>
      </c>
    </row>
    <row r="100">
      <c r="A100" s="131" t="s">
        <v>432</v>
      </c>
      <c r="B100" s="133" t="s">
        <v>455</v>
      </c>
      <c r="C100" s="134">
        <v>94.0</v>
      </c>
      <c r="D100" s="134">
        <v>12.8</v>
      </c>
      <c r="E100" s="134">
        <v>20.0</v>
      </c>
      <c r="F100" s="134">
        <v>0.0</v>
      </c>
      <c r="G100" s="134">
        <v>19.0</v>
      </c>
      <c r="H100" s="134">
        <v>11.8</v>
      </c>
      <c r="I100" s="134">
        <v>19.0</v>
      </c>
      <c r="J100" s="134">
        <v>0.842</v>
      </c>
      <c r="K100" s="134">
        <v>18.0</v>
      </c>
      <c r="L100" s="134">
        <v>0.0</v>
      </c>
      <c r="M100" s="134">
        <v>18.0</v>
      </c>
      <c r="N100" s="134">
        <v>0.0</v>
      </c>
    </row>
    <row r="101">
      <c r="A101" s="131" t="s">
        <v>509</v>
      </c>
      <c r="B101" s="133" t="s">
        <v>419</v>
      </c>
      <c r="C101" s="134">
        <v>100.0</v>
      </c>
      <c r="D101" s="134">
        <v>10.4</v>
      </c>
      <c r="E101" s="134">
        <v>20.0</v>
      </c>
      <c r="F101" s="134">
        <v>8.8</v>
      </c>
      <c r="G101" s="134">
        <v>20.0</v>
      </c>
      <c r="H101" s="134">
        <v>0.0</v>
      </c>
      <c r="I101" s="134">
        <v>20.0</v>
      </c>
      <c r="J101" s="134">
        <v>1.6</v>
      </c>
      <c r="K101" s="134">
        <v>20.0</v>
      </c>
      <c r="L101" s="134">
        <v>0.0</v>
      </c>
      <c r="M101" s="134">
        <v>20.0</v>
      </c>
      <c r="N101" s="134">
        <v>0.0</v>
      </c>
    </row>
    <row r="102">
      <c r="A102" s="131" t="s">
        <v>462</v>
      </c>
      <c r="B102" s="133" t="s">
        <v>674</v>
      </c>
      <c r="C102" s="134">
        <v>100.0</v>
      </c>
      <c r="D102" s="134">
        <v>1.6</v>
      </c>
      <c r="E102" s="134">
        <v>20.0</v>
      </c>
      <c r="F102" s="134">
        <v>0.0</v>
      </c>
      <c r="G102" s="134">
        <v>20.0</v>
      </c>
      <c r="H102" s="134">
        <v>0.0</v>
      </c>
      <c r="I102" s="134">
        <v>20.0</v>
      </c>
      <c r="J102" s="134">
        <v>0.8</v>
      </c>
      <c r="K102" s="134">
        <v>20.0</v>
      </c>
      <c r="L102" s="134">
        <v>0.0</v>
      </c>
      <c r="M102" s="134">
        <v>20.0</v>
      </c>
      <c r="N102" s="134">
        <v>0.8</v>
      </c>
    </row>
    <row r="103">
      <c r="A103" s="131" t="s">
        <v>512</v>
      </c>
      <c r="B103" s="133" t="s">
        <v>676</v>
      </c>
      <c r="C103" s="134">
        <v>90.0</v>
      </c>
      <c r="D103" s="134">
        <v>0.889</v>
      </c>
      <c r="E103" s="134">
        <v>19.0</v>
      </c>
      <c r="F103" s="134">
        <v>0.0</v>
      </c>
      <c r="G103" s="134">
        <v>19.0</v>
      </c>
      <c r="H103" s="134">
        <v>0.842</v>
      </c>
      <c r="I103" s="134">
        <v>18.0</v>
      </c>
      <c r="J103" s="134">
        <v>0.0</v>
      </c>
      <c r="K103" s="134">
        <v>17.0</v>
      </c>
      <c r="L103" s="134">
        <v>0.0</v>
      </c>
      <c r="M103" s="134">
        <v>17.0</v>
      </c>
      <c r="N103" s="134">
        <v>0.0</v>
      </c>
    </row>
    <row r="104">
      <c r="A104" s="131" t="s">
        <v>514</v>
      </c>
      <c r="B104" s="133" t="s">
        <v>629</v>
      </c>
      <c r="C104" s="134">
        <v>98.0</v>
      </c>
      <c r="D104" s="134">
        <v>2.45</v>
      </c>
      <c r="E104" s="134">
        <v>20.0</v>
      </c>
      <c r="F104" s="134">
        <v>0.8</v>
      </c>
      <c r="G104" s="134">
        <v>20.0</v>
      </c>
      <c r="H104" s="134">
        <v>0.0</v>
      </c>
      <c r="I104" s="134">
        <v>20.0</v>
      </c>
      <c r="J104" s="134">
        <v>-0.8</v>
      </c>
      <c r="K104" s="134">
        <v>19.0</v>
      </c>
      <c r="L104" s="134">
        <v>0.0</v>
      </c>
      <c r="M104" s="134">
        <v>19.0</v>
      </c>
      <c r="N104" s="134">
        <v>2.53</v>
      </c>
    </row>
    <row r="105">
      <c r="A105" s="131" t="s">
        <v>518</v>
      </c>
      <c r="B105" s="133" t="s">
        <v>679</v>
      </c>
      <c r="C105" s="134">
        <v>98.0</v>
      </c>
      <c r="D105" s="134">
        <v>-0.816</v>
      </c>
      <c r="E105" s="134">
        <v>20.0</v>
      </c>
      <c r="F105" s="134">
        <v>0.0</v>
      </c>
      <c r="G105" s="134">
        <v>20.0</v>
      </c>
      <c r="H105" s="134">
        <v>-0.8</v>
      </c>
      <c r="I105" s="134">
        <v>20.0</v>
      </c>
      <c r="J105" s="134">
        <v>-0.8</v>
      </c>
      <c r="K105" s="134">
        <v>19.0</v>
      </c>
      <c r="L105" s="134">
        <v>0.0</v>
      </c>
      <c r="M105" s="134">
        <v>19.0</v>
      </c>
      <c r="N105" s="134">
        <v>0.842</v>
      </c>
    </row>
    <row r="106">
      <c r="A106" s="131" t="s">
        <v>492</v>
      </c>
      <c r="B106" s="133" t="s">
        <v>451</v>
      </c>
      <c r="C106" s="134">
        <v>98.0</v>
      </c>
      <c r="D106" s="134">
        <v>13.1</v>
      </c>
      <c r="E106" s="134">
        <v>20.0</v>
      </c>
      <c r="F106" s="134">
        <v>0.8</v>
      </c>
      <c r="G106" s="134">
        <v>20.0</v>
      </c>
      <c r="H106" s="134">
        <v>8.0</v>
      </c>
      <c r="I106" s="134">
        <v>20.0</v>
      </c>
      <c r="J106" s="134">
        <v>0.8</v>
      </c>
      <c r="K106" s="134">
        <v>19.0</v>
      </c>
      <c r="L106" s="134">
        <v>0.0</v>
      </c>
      <c r="M106" s="134">
        <v>19.0</v>
      </c>
      <c r="N106" s="134">
        <v>3.37</v>
      </c>
    </row>
    <row r="107">
      <c r="A107" s="91" t="s">
        <v>533</v>
      </c>
      <c r="B107" s="133" t="s">
        <v>570</v>
      </c>
      <c r="C107" s="134">
        <v>26.0</v>
      </c>
      <c r="D107" s="134">
        <v>6.15</v>
      </c>
      <c r="E107" s="134">
        <v>5.0</v>
      </c>
      <c r="F107" s="134">
        <v>0.0</v>
      </c>
      <c r="G107" s="134">
        <v>5.0</v>
      </c>
      <c r="H107" s="134">
        <v>0.0</v>
      </c>
      <c r="I107" s="134">
        <v>6.0</v>
      </c>
      <c r="J107" s="134">
        <v>5.33</v>
      </c>
      <c r="K107" s="134">
        <v>5.0</v>
      </c>
      <c r="L107" s="134">
        <v>0.0</v>
      </c>
      <c r="M107" s="134">
        <v>5.0</v>
      </c>
      <c r="N107" s="134">
        <v>0.0</v>
      </c>
    </row>
    <row r="108">
      <c r="A108" s="131" t="s">
        <v>536</v>
      </c>
      <c r="B108" s="133" t="s">
        <v>568</v>
      </c>
      <c r="C108" s="134">
        <v>88.0</v>
      </c>
      <c r="D108" s="134">
        <v>6.36</v>
      </c>
      <c r="E108" s="134">
        <v>18.0</v>
      </c>
      <c r="F108" s="134">
        <v>0.0</v>
      </c>
      <c r="G108" s="134">
        <v>18.0</v>
      </c>
      <c r="H108" s="134">
        <v>0.0</v>
      </c>
      <c r="I108" s="134">
        <v>18.0</v>
      </c>
      <c r="J108" s="134">
        <v>0.0</v>
      </c>
      <c r="K108" s="134">
        <v>17.0</v>
      </c>
      <c r="L108" s="134">
        <v>0.0</v>
      </c>
      <c r="M108" s="134">
        <v>17.0</v>
      </c>
      <c r="N108" s="134">
        <v>6.59</v>
      </c>
    </row>
    <row r="109">
      <c r="A109" s="131" t="s">
        <v>539</v>
      </c>
      <c r="B109" s="133" t="s">
        <v>438</v>
      </c>
      <c r="C109" s="134">
        <v>96.0</v>
      </c>
      <c r="D109" s="134">
        <v>13.3</v>
      </c>
      <c r="E109" s="134">
        <v>20.0</v>
      </c>
      <c r="F109" s="134">
        <v>3.2</v>
      </c>
      <c r="G109" s="134">
        <v>19.0</v>
      </c>
      <c r="H109" s="134">
        <v>2.53</v>
      </c>
      <c r="I109" s="134">
        <v>19.0</v>
      </c>
      <c r="J109" s="134">
        <v>0.0</v>
      </c>
      <c r="K109" s="134">
        <v>19.0</v>
      </c>
      <c r="L109" s="134">
        <v>0.0</v>
      </c>
      <c r="M109" s="134">
        <v>19.0</v>
      </c>
      <c r="N109" s="134">
        <v>7.58</v>
      </c>
    </row>
    <row r="110">
      <c r="A110" s="131" t="s">
        <v>541</v>
      </c>
      <c r="B110" s="133" t="s">
        <v>393</v>
      </c>
      <c r="C110" s="134">
        <v>91.0</v>
      </c>
      <c r="D110" s="134">
        <v>21.1</v>
      </c>
      <c r="E110" s="134">
        <v>19.0</v>
      </c>
      <c r="F110" s="134">
        <v>5.89</v>
      </c>
      <c r="G110" s="134">
        <v>19.0</v>
      </c>
      <c r="H110" s="134">
        <v>2.53</v>
      </c>
      <c r="I110" s="134">
        <v>18.0</v>
      </c>
      <c r="J110" s="134">
        <v>8.0</v>
      </c>
      <c r="K110" s="134">
        <v>18.0</v>
      </c>
      <c r="L110" s="134">
        <v>0.0</v>
      </c>
      <c r="M110" s="134">
        <v>17.0</v>
      </c>
      <c r="N110" s="134">
        <v>4.71</v>
      </c>
    </row>
    <row r="111">
      <c r="A111" s="131" t="s">
        <v>560</v>
      </c>
      <c r="B111" s="133" t="s">
        <v>457</v>
      </c>
      <c r="C111" s="134">
        <v>20.0</v>
      </c>
      <c r="D111" s="134">
        <v>4.0</v>
      </c>
      <c r="E111" s="134">
        <v>4.0</v>
      </c>
      <c r="F111" s="134">
        <v>4.0</v>
      </c>
      <c r="G111" s="134">
        <v>4.0</v>
      </c>
      <c r="H111" s="134">
        <v>0.0</v>
      </c>
      <c r="I111" s="134">
        <v>4.0</v>
      </c>
      <c r="J111" s="134">
        <v>0.0</v>
      </c>
      <c r="K111" s="134">
        <v>4.0</v>
      </c>
      <c r="L111" s="134">
        <v>0.0</v>
      </c>
      <c r="M111" s="134">
        <v>4.0</v>
      </c>
      <c r="N111" s="134">
        <v>0.0</v>
      </c>
    </row>
    <row r="112">
      <c r="A112" s="131" t="s">
        <v>448</v>
      </c>
      <c r="B112" s="133" t="s">
        <v>407</v>
      </c>
      <c r="C112" s="134">
        <v>20.0</v>
      </c>
      <c r="D112" s="134">
        <v>16.0</v>
      </c>
      <c r="E112" s="134">
        <v>4.0</v>
      </c>
      <c r="F112" s="134">
        <v>0.0</v>
      </c>
      <c r="G112" s="134">
        <v>4.0</v>
      </c>
      <c r="H112" s="134">
        <v>16.0</v>
      </c>
      <c r="I112" s="134">
        <v>4.0</v>
      </c>
      <c r="J112" s="134">
        <v>0.0</v>
      </c>
      <c r="K112" s="134">
        <v>4.0</v>
      </c>
      <c r="L112" s="134">
        <v>0.0</v>
      </c>
      <c r="M112" s="134">
        <v>4.0</v>
      </c>
      <c r="N112" s="134">
        <v>0.0</v>
      </c>
    </row>
    <row r="113">
      <c r="A113" s="131" t="s">
        <v>528</v>
      </c>
      <c r="B113" s="133" t="s">
        <v>513</v>
      </c>
      <c r="C113" s="134">
        <v>97.0</v>
      </c>
      <c r="D113" s="134">
        <v>3.3</v>
      </c>
      <c r="E113" s="134">
        <v>20.0</v>
      </c>
      <c r="F113" s="134">
        <v>2.4</v>
      </c>
      <c r="G113" s="134">
        <v>20.0</v>
      </c>
      <c r="H113" s="134">
        <v>0.0</v>
      </c>
      <c r="I113" s="134">
        <v>20.0</v>
      </c>
      <c r="J113" s="134">
        <v>0.8</v>
      </c>
      <c r="K113" s="134">
        <v>19.0</v>
      </c>
      <c r="L113" s="134">
        <v>0.0</v>
      </c>
      <c r="M113" s="134">
        <v>18.0</v>
      </c>
      <c r="N113" s="134">
        <v>0.0</v>
      </c>
    </row>
    <row r="114">
      <c r="A114" s="131" t="s">
        <v>567</v>
      </c>
      <c r="B114" s="133" t="s">
        <v>561</v>
      </c>
      <c r="C114" s="134">
        <v>74.0</v>
      </c>
      <c r="D114" s="134">
        <v>6.49</v>
      </c>
      <c r="E114" s="134">
        <v>15.0</v>
      </c>
      <c r="F114" s="134">
        <v>0.0</v>
      </c>
      <c r="G114" s="134">
        <v>14.0</v>
      </c>
      <c r="H114" s="134">
        <v>3.43</v>
      </c>
      <c r="I114" s="134">
        <v>15.0</v>
      </c>
      <c r="J114" s="134">
        <v>-1.07</v>
      </c>
      <c r="K114" s="134">
        <v>15.0</v>
      </c>
      <c r="L114" s="134">
        <v>0.0</v>
      </c>
      <c r="M114" s="134">
        <v>15.0</v>
      </c>
      <c r="N114" s="134">
        <v>4.27</v>
      </c>
    </row>
    <row r="115">
      <c r="A115" s="131" t="s">
        <v>571</v>
      </c>
      <c r="B115" s="133" t="s">
        <v>478</v>
      </c>
      <c r="C115" s="134">
        <v>58.0</v>
      </c>
      <c r="D115" s="134">
        <v>4.14</v>
      </c>
      <c r="E115" s="134">
        <v>13.0</v>
      </c>
      <c r="F115" s="134">
        <v>3.69</v>
      </c>
      <c r="G115" s="134">
        <v>13.0</v>
      </c>
      <c r="H115" s="134">
        <v>0.0</v>
      </c>
      <c r="I115" s="134">
        <v>12.0</v>
      </c>
      <c r="J115" s="134">
        <v>0.0</v>
      </c>
      <c r="K115" s="134">
        <v>10.0</v>
      </c>
      <c r="L115" s="134">
        <v>0.0</v>
      </c>
      <c r="M115" s="134">
        <v>10.0</v>
      </c>
      <c r="N115" s="134">
        <v>0.0</v>
      </c>
    </row>
    <row r="116">
      <c r="A116" s="131" t="s">
        <v>465</v>
      </c>
      <c r="B116" s="133" t="s">
        <v>694</v>
      </c>
      <c r="C116" s="134">
        <v>72.0</v>
      </c>
      <c r="D116" s="134">
        <v>0.0</v>
      </c>
      <c r="E116" s="134">
        <v>15.0</v>
      </c>
      <c r="F116" s="134">
        <v>0.0</v>
      </c>
      <c r="G116" s="134">
        <v>14.0</v>
      </c>
      <c r="H116" s="134">
        <v>0.0</v>
      </c>
      <c r="I116" s="134">
        <v>15.0</v>
      </c>
      <c r="J116" s="134">
        <v>0.0</v>
      </c>
      <c r="K116" s="134">
        <v>14.0</v>
      </c>
      <c r="L116" s="134">
        <v>0.0</v>
      </c>
      <c r="M116" s="134">
        <v>14.0</v>
      </c>
      <c r="N116" s="134">
        <v>0.0</v>
      </c>
    </row>
    <row r="117">
      <c r="A117" s="131" t="s">
        <v>576</v>
      </c>
      <c r="B117" s="133" t="s">
        <v>753</v>
      </c>
      <c r="C117" s="134">
        <v>77.0</v>
      </c>
      <c r="D117" s="134">
        <v>-1.04</v>
      </c>
      <c r="E117" s="134">
        <v>16.0</v>
      </c>
      <c r="F117" s="134">
        <v>-1.0</v>
      </c>
      <c r="G117" s="134">
        <v>16.0</v>
      </c>
      <c r="H117" s="134">
        <v>0.0</v>
      </c>
      <c r="I117" s="134">
        <v>15.0</v>
      </c>
      <c r="J117" s="134">
        <v>0.0</v>
      </c>
      <c r="K117" s="134">
        <v>15.0</v>
      </c>
      <c r="L117" s="134">
        <v>0.0</v>
      </c>
      <c r="M117" s="134">
        <v>15.0</v>
      </c>
      <c r="N117" s="134">
        <v>0.0</v>
      </c>
    </row>
    <row r="118">
      <c r="A118" s="131" t="s">
        <v>593</v>
      </c>
      <c r="B118" s="133" t="s">
        <v>696</v>
      </c>
      <c r="C118" s="134">
        <v>70.0</v>
      </c>
      <c r="D118" s="134">
        <v>1.14</v>
      </c>
      <c r="E118" s="134">
        <v>14.0</v>
      </c>
      <c r="F118" s="134">
        <v>0.0</v>
      </c>
      <c r="G118" s="134">
        <v>14.0</v>
      </c>
      <c r="H118" s="134">
        <v>0.0</v>
      </c>
      <c r="I118" s="134">
        <v>14.0</v>
      </c>
      <c r="J118" s="134">
        <v>1.14</v>
      </c>
      <c r="K118" s="134">
        <v>14.0</v>
      </c>
      <c r="L118" s="134">
        <v>0.0</v>
      </c>
      <c r="M118" s="134">
        <v>14.0</v>
      </c>
      <c r="N118" s="134">
        <v>0.0</v>
      </c>
    </row>
    <row r="119">
      <c r="A119" s="131" t="s">
        <v>579</v>
      </c>
      <c r="B119" s="133" t="s">
        <v>590</v>
      </c>
      <c r="C119" s="134">
        <v>97.0</v>
      </c>
      <c r="D119" s="134">
        <v>4.95</v>
      </c>
      <c r="E119" s="134">
        <v>20.0</v>
      </c>
      <c r="F119" s="134">
        <v>0.8</v>
      </c>
      <c r="G119" s="134">
        <v>20.0</v>
      </c>
      <c r="H119" s="134">
        <v>0.8</v>
      </c>
      <c r="I119" s="134">
        <v>19.0</v>
      </c>
      <c r="J119" s="134">
        <v>2.53</v>
      </c>
      <c r="K119" s="134">
        <v>19.0</v>
      </c>
      <c r="L119" s="134">
        <v>0.0</v>
      </c>
      <c r="M119" s="134">
        <v>19.0</v>
      </c>
      <c r="N119" s="134">
        <v>0.842</v>
      </c>
    </row>
    <row r="120">
      <c r="A120" s="131" t="s">
        <v>611</v>
      </c>
      <c r="B120" s="133" t="s">
        <v>566</v>
      </c>
      <c r="C120" s="134">
        <v>47.0</v>
      </c>
      <c r="D120" s="134">
        <v>5.11</v>
      </c>
      <c r="E120" s="134">
        <v>10.0</v>
      </c>
      <c r="F120" s="134">
        <v>1.6</v>
      </c>
      <c r="G120" s="134">
        <v>10.0</v>
      </c>
      <c r="H120" s="134">
        <v>0.0</v>
      </c>
      <c r="I120" s="134">
        <v>9.0</v>
      </c>
      <c r="J120" s="134">
        <v>0.0</v>
      </c>
      <c r="K120" s="134">
        <v>9.0</v>
      </c>
      <c r="L120" s="134">
        <v>0.0</v>
      </c>
      <c r="M120" s="134">
        <v>9.0</v>
      </c>
      <c r="N120" s="134">
        <v>3.56</v>
      </c>
    </row>
    <row r="121">
      <c r="A121" s="131" t="s">
        <v>583</v>
      </c>
      <c r="B121" s="133" t="s">
        <v>698</v>
      </c>
      <c r="C121" s="134">
        <v>72.0</v>
      </c>
      <c r="D121" s="134">
        <v>0.0</v>
      </c>
      <c r="E121" s="134">
        <v>16.0</v>
      </c>
      <c r="F121" s="134">
        <v>0.0</v>
      </c>
      <c r="G121" s="134">
        <v>15.0</v>
      </c>
      <c r="H121" s="134">
        <v>0.0</v>
      </c>
      <c r="I121" s="134">
        <v>14.0</v>
      </c>
      <c r="J121" s="134">
        <v>0.0</v>
      </c>
      <c r="K121" s="134">
        <v>14.0</v>
      </c>
      <c r="L121" s="134">
        <v>0.0</v>
      </c>
      <c r="M121" s="134">
        <v>13.0</v>
      </c>
      <c r="N121" s="134">
        <v>0.0</v>
      </c>
    </row>
    <row r="122">
      <c r="A122" s="131" t="s">
        <v>469</v>
      </c>
      <c r="B122" s="133" t="s">
        <v>700</v>
      </c>
      <c r="C122" s="134">
        <v>59.0</v>
      </c>
      <c r="D122" s="134">
        <v>0.0</v>
      </c>
      <c r="E122" s="134">
        <v>14.0</v>
      </c>
      <c r="F122" s="134">
        <v>0.0</v>
      </c>
      <c r="G122" s="134">
        <v>12.0</v>
      </c>
      <c r="H122" s="134">
        <v>0.0</v>
      </c>
      <c r="I122" s="134">
        <v>11.0</v>
      </c>
      <c r="J122" s="134">
        <v>0.0</v>
      </c>
      <c r="K122" s="134">
        <v>11.0</v>
      </c>
      <c r="L122" s="134">
        <v>0.0</v>
      </c>
      <c r="M122" s="134">
        <v>11.0</v>
      </c>
      <c r="N122" s="134">
        <v>0.0</v>
      </c>
    </row>
    <row r="123">
      <c r="A123" s="131" t="s">
        <v>603</v>
      </c>
      <c r="B123" s="133" t="s">
        <v>461</v>
      </c>
      <c r="C123" s="134">
        <v>71.0</v>
      </c>
      <c r="D123" s="134">
        <v>10.1</v>
      </c>
      <c r="E123" s="134">
        <v>16.0</v>
      </c>
      <c r="F123" s="134">
        <v>4.0</v>
      </c>
      <c r="G123" s="134">
        <v>14.0</v>
      </c>
      <c r="H123" s="134">
        <v>3.43</v>
      </c>
      <c r="I123" s="134">
        <v>14.0</v>
      </c>
      <c r="J123" s="134">
        <v>1.14</v>
      </c>
      <c r="K123" s="134">
        <v>14.0</v>
      </c>
      <c r="L123" s="134">
        <v>0.0</v>
      </c>
      <c r="M123" s="134">
        <v>13.0</v>
      </c>
      <c r="N123" s="134">
        <v>1.23</v>
      </c>
    </row>
    <row r="124">
      <c r="A124" s="131" t="s">
        <v>621</v>
      </c>
      <c r="B124" s="133" t="s">
        <v>463</v>
      </c>
      <c r="C124" s="134">
        <v>37.0</v>
      </c>
      <c r="D124" s="134">
        <v>8.65</v>
      </c>
      <c r="E124" s="134">
        <v>8.0</v>
      </c>
      <c r="F124" s="134">
        <v>4.0</v>
      </c>
      <c r="G124" s="134">
        <v>8.0</v>
      </c>
      <c r="H124" s="134">
        <v>2.0</v>
      </c>
      <c r="I124" s="134">
        <v>7.0</v>
      </c>
      <c r="J124" s="134">
        <v>2.29</v>
      </c>
      <c r="K124" s="134">
        <v>7.0</v>
      </c>
      <c r="L124" s="134">
        <v>0.0</v>
      </c>
      <c r="M124" s="134">
        <v>7.0</v>
      </c>
      <c r="N124" s="134">
        <v>0.0</v>
      </c>
    </row>
    <row r="125">
      <c r="A125" s="131" t="s">
        <v>624</v>
      </c>
      <c r="B125" s="133" t="s">
        <v>686</v>
      </c>
      <c r="C125" s="134">
        <v>92.0</v>
      </c>
      <c r="D125" s="134">
        <v>1.74</v>
      </c>
      <c r="E125" s="134">
        <v>20.0</v>
      </c>
      <c r="F125" s="134">
        <v>0.0</v>
      </c>
      <c r="G125" s="134">
        <v>19.0</v>
      </c>
      <c r="H125" s="134">
        <v>0.842</v>
      </c>
      <c r="I125" s="134">
        <v>18.0</v>
      </c>
      <c r="J125" s="134">
        <v>0.0</v>
      </c>
      <c r="K125" s="134">
        <v>18.0</v>
      </c>
      <c r="L125" s="134">
        <v>0.0</v>
      </c>
      <c r="M125" s="134">
        <v>17.0</v>
      </c>
      <c r="N125" s="134">
        <v>0.941</v>
      </c>
    </row>
    <row r="126">
      <c r="A126" s="131" t="s">
        <v>627</v>
      </c>
      <c r="B126" s="133" t="s">
        <v>493</v>
      </c>
      <c r="C126" s="134">
        <v>43.0</v>
      </c>
      <c r="D126" s="134">
        <v>7.44</v>
      </c>
      <c r="E126" s="134">
        <v>10.0</v>
      </c>
      <c r="F126" s="134">
        <v>3.2</v>
      </c>
      <c r="G126" s="134">
        <v>9.0</v>
      </c>
      <c r="H126" s="134">
        <v>1.78</v>
      </c>
      <c r="I126" s="134">
        <v>8.0</v>
      </c>
      <c r="J126" s="134">
        <v>0.0</v>
      </c>
      <c r="K126" s="134">
        <v>8.0</v>
      </c>
      <c r="L126" s="134">
        <v>0.0</v>
      </c>
      <c r="M126" s="134">
        <v>8.0</v>
      </c>
      <c r="N126" s="134">
        <v>2.0</v>
      </c>
    </row>
    <row r="127">
      <c r="A127" s="131" t="s">
        <v>628</v>
      </c>
      <c r="B127" s="133" t="s">
        <v>471</v>
      </c>
      <c r="C127" s="134">
        <v>92.0</v>
      </c>
      <c r="D127" s="134">
        <v>11.3</v>
      </c>
      <c r="E127" s="134">
        <v>20.0</v>
      </c>
      <c r="F127" s="134">
        <v>1.6</v>
      </c>
      <c r="G127" s="134">
        <v>19.0</v>
      </c>
      <c r="H127" s="134">
        <v>4.21</v>
      </c>
      <c r="I127" s="134">
        <v>18.0</v>
      </c>
      <c r="J127" s="134">
        <v>0.889</v>
      </c>
      <c r="K127" s="134">
        <v>18.0</v>
      </c>
      <c r="L127" s="134">
        <v>0.0</v>
      </c>
      <c r="M127" s="134">
        <v>17.0</v>
      </c>
      <c r="N127" s="134">
        <v>4.71</v>
      </c>
    </row>
    <row r="128">
      <c r="A128" s="131" t="s">
        <v>631</v>
      </c>
      <c r="B128" s="133" t="s">
        <v>678</v>
      </c>
      <c r="C128" s="134">
        <v>80.0</v>
      </c>
      <c r="D128" s="134">
        <v>2.0</v>
      </c>
      <c r="E128" s="134">
        <v>16.0</v>
      </c>
      <c r="F128" s="134">
        <v>0.0</v>
      </c>
      <c r="G128" s="134">
        <v>16.0</v>
      </c>
      <c r="H128" s="134">
        <v>-1.0</v>
      </c>
      <c r="I128" s="134">
        <v>16.0</v>
      </c>
      <c r="J128" s="134">
        <v>0.0</v>
      </c>
      <c r="K128" s="134">
        <v>16.0</v>
      </c>
      <c r="L128" s="134">
        <v>0.0</v>
      </c>
      <c r="M128" s="134">
        <v>16.0</v>
      </c>
      <c r="N128" s="134">
        <v>3.0</v>
      </c>
    </row>
    <row r="129">
      <c r="A129" s="131" t="s">
        <v>612</v>
      </c>
      <c r="B129" s="133" t="s">
        <v>604</v>
      </c>
      <c r="C129" s="134">
        <v>76.0</v>
      </c>
      <c r="D129" s="134">
        <v>3.16</v>
      </c>
      <c r="E129" s="134">
        <v>16.0</v>
      </c>
      <c r="F129" s="134">
        <v>1.0</v>
      </c>
      <c r="G129" s="134">
        <v>15.0</v>
      </c>
      <c r="H129" s="134">
        <v>0.0</v>
      </c>
      <c r="I129" s="134">
        <v>15.0</v>
      </c>
      <c r="J129" s="134">
        <v>1.07</v>
      </c>
      <c r="K129" s="134">
        <v>15.0</v>
      </c>
      <c r="L129" s="134">
        <v>0.0</v>
      </c>
      <c r="M129" s="134">
        <v>15.0</v>
      </c>
      <c r="N129" s="134">
        <v>1.07</v>
      </c>
    </row>
    <row r="130">
      <c r="A130" s="131" t="s">
        <v>633</v>
      </c>
      <c r="B130" s="133" t="s">
        <v>703</v>
      </c>
      <c r="C130" s="134">
        <v>76.0</v>
      </c>
      <c r="D130" s="134">
        <v>1.05</v>
      </c>
      <c r="E130" s="134">
        <v>16.0</v>
      </c>
      <c r="F130" s="134">
        <v>0.0</v>
      </c>
      <c r="G130" s="134">
        <v>15.0</v>
      </c>
      <c r="H130" s="134">
        <v>1.07</v>
      </c>
      <c r="I130" s="134">
        <v>15.0</v>
      </c>
      <c r="J130" s="134">
        <v>0.0</v>
      </c>
      <c r="K130" s="134">
        <v>15.0</v>
      </c>
      <c r="L130" s="134">
        <v>0.0</v>
      </c>
      <c r="M130" s="134">
        <v>15.0</v>
      </c>
      <c r="N130" s="134">
        <v>0.0</v>
      </c>
    </row>
    <row r="131">
      <c r="A131" s="131" t="s">
        <v>615</v>
      </c>
      <c r="B131" s="133" t="s">
        <v>445</v>
      </c>
      <c r="C131" s="134">
        <v>56.0</v>
      </c>
      <c r="D131" s="134">
        <v>10.0</v>
      </c>
      <c r="E131" s="134">
        <v>12.0</v>
      </c>
      <c r="F131" s="134">
        <v>5.33</v>
      </c>
      <c r="G131" s="134">
        <v>12.0</v>
      </c>
      <c r="H131" s="134">
        <v>0.0</v>
      </c>
      <c r="I131" s="134">
        <v>12.0</v>
      </c>
      <c r="J131" s="134">
        <v>2.67</v>
      </c>
      <c r="K131" s="134">
        <v>10.0</v>
      </c>
      <c r="L131" s="134">
        <v>0.0</v>
      </c>
      <c r="M131" s="134">
        <v>10.0</v>
      </c>
      <c r="N131" s="134">
        <v>1.6</v>
      </c>
    </row>
    <row r="132">
      <c r="A132" s="131" t="s">
        <v>554</v>
      </c>
      <c r="B132" s="133" t="s">
        <v>706</v>
      </c>
      <c r="C132" s="134">
        <v>52.0</v>
      </c>
      <c r="D132" s="134">
        <v>0.0</v>
      </c>
      <c r="E132" s="134">
        <v>12.0</v>
      </c>
      <c r="F132" s="134">
        <v>0.0</v>
      </c>
      <c r="G132" s="134">
        <v>11.0</v>
      </c>
      <c r="H132" s="134">
        <v>-1.45</v>
      </c>
      <c r="I132" s="134">
        <v>10.0</v>
      </c>
      <c r="J132" s="134">
        <v>1.6</v>
      </c>
      <c r="K132" s="134">
        <v>9.0</v>
      </c>
      <c r="L132" s="134">
        <v>0.0</v>
      </c>
      <c r="M132" s="134">
        <v>10.0</v>
      </c>
      <c r="N132" s="134">
        <v>0.0</v>
      </c>
    </row>
    <row r="133">
      <c r="A133" s="131" t="s">
        <v>608</v>
      </c>
      <c r="B133" s="133" t="s">
        <v>537</v>
      </c>
      <c r="C133" s="134">
        <v>76.0</v>
      </c>
      <c r="D133" s="134">
        <v>7.37</v>
      </c>
      <c r="E133" s="134">
        <v>16.0</v>
      </c>
      <c r="F133" s="134">
        <v>0.0</v>
      </c>
      <c r="G133" s="134">
        <v>15.0</v>
      </c>
      <c r="H133" s="134">
        <v>1.07</v>
      </c>
      <c r="I133" s="134">
        <v>14.0</v>
      </c>
      <c r="J133" s="134">
        <v>0.0</v>
      </c>
      <c r="K133" s="134">
        <v>15.0</v>
      </c>
      <c r="L133" s="134">
        <v>0.0</v>
      </c>
      <c r="M133" s="134">
        <v>16.0</v>
      </c>
      <c r="N133" s="134">
        <v>6.0</v>
      </c>
    </row>
    <row r="134">
      <c r="A134" s="131" t="s">
        <v>558</v>
      </c>
      <c r="B134" s="133" t="s">
        <v>691</v>
      </c>
      <c r="C134" s="134">
        <v>49.0</v>
      </c>
      <c r="D134" s="134">
        <v>1.63</v>
      </c>
      <c r="E134" s="134">
        <v>10.0</v>
      </c>
      <c r="F134" s="134">
        <v>0.0</v>
      </c>
      <c r="G134" s="134">
        <v>10.0</v>
      </c>
      <c r="H134" s="134">
        <v>0.0</v>
      </c>
      <c r="I134" s="134">
        <v>9.0</v>
      </c>
      <c r="J134" s="134">
        <v>1.78</v>
      </c>
      <c r="K134" s="134">
        <v>10.0</v>
      </c>
      <c r="L134" s="134">
        <v>0.0</v>
      </c>
      <c r="M134" s="134">
        <v>10.0</v>
      </c>
      <c r="N134" s="134">
        <v>0.0</v>
      </c>
    </row>
    <row r="135">
      <c r="A135" s="131" t="s">
        <v>588</v>
      </c>
      <c r="B135" s="133" t="s">
        <v>431</v>
      </c>
      <c r="C135" s="134">
        <v>99.0</v>
      </c>
      <c r="D135" s="134">
        <v>13.7</v>
      </c>
      <c r="E135" s="134">
        <v>20.0</v>
      </c>
      <c r="F135" s="134">
        <v>6.4</v>
      </c>
      <c r="G135" s="134">
        <v>20.0</v>
      </c>
      <c r="H135" s="134">
        <v>2.4</v>
      </c>
      <c r="I135" s="134">
        <v>20.0</v>
      </c>
      <c r="J135" s="134">
        <v>3.2</v>
      </c>
      <c r="K135" s="134">
        <v>20.0</v>
      </c>
      <c r="L135" s="134">
        <v>0.0</v>
      </c>
      <c r="M135" s="134">
        <v>19.0</v>
      </c>
      <c r="N135" s="134">
        <v>1.68</v>
      </c>
    </row>
    <row r="136">
      <c r="A136" s="131" t="s">
        <v>474</v>
      </c>
      <c r="B136" s="133" t="s">
        <v>527</v>
      </c>
      <c r="C136" s="134">
        <v>99.0</v>
      </c>
      <c r="D136" s="134">
        <v>2.42</v>
      </c>
      <c r="E136" s="134">
        <v>20.0</v>
      </c>
      <c r="F136" s="134">
        <v>0.8</v>
      </c>
      <c r="G136" s="134">
        <v>20.0</v>
      </c>
      <c r="H136" s="134">
        <v>0.0</v>
      </c>
      <c r="I136" s="134">
        <v>20.0</v>
      </c>
      <c r="J136" s="134">
        <v>-0.8</v>
      </c>
      <c r="K136" s="134">
        <v>20.0</v>
      </c>
      <c r="L136" s="134">
        <v>0.0</v>
      </c>
      <c r="M136" s="134">
        <v>19.0</v>
      </c>
      <c r="N136" s="134">
        <v>2.53</v>
      </c>
    </row>
    <row r="137">
      <c r="A137" s="131" t="s">
        <v>538</v>
      </c>
      <c r="B137" s="133" t="s">
        <v>468</v>
      </c>
      <c r="C137" s="134">
        <v>99.0</v>
      </c>
      <c r="D137" s="134">
        <v>12.1</v>
      </c>
      <c r="E137" s="134">
        <v>20.0</v>
      </c>
      <c r="F137" s="134">
        <v>0.0</v>
      </c>
      <c r="G137" s="134">
        <v>20.0</v>
      </c>
      <c r="H137" s="134">
        <v>8.0</v>
      </c>
      <c r="I137" s="134">
        <v>20.0</v>
      </c>
      <c r="J137" s="134">
        <v>0.8</v>
      </c>
      <c r="K137" s="134">
        <v>20.0</v>
      </c>
      <c r="L137" s="134">
        <v>0.0</v>
      </c>
      <c r="M137" s="134">
        <v>19.0</v>
      </c>
      <c r="N137" s="134">
        <v>3.37</v>
      </c>
    </row>
    <row r="138">
      <c r="A138" s="131" t="s">
        <v>655</v>
      </c>
      <c r="B138" s="133" t="s">
        <v>662</v>
      </c>
      <c r="C138" s="134">
        <v>99.0</v>
      </c>
      <c r="D138" s="134">
        <v>2.42</v>
      </c>
      <c r="E138" s="134">
        <v>20.0</v>
      </c>
      <c r="F138" s="134">
        <v>0.0</v>
      </c>
      <c r="G138" s="134">
        <v>20.0</v>
      </c>
      <c r="H138" s="134">
        <v>3.2</v>
      </c>
      <c r="I138" s="134">
        <v>20.0</v>
      </c>
      <c r="J138" s="134">
        <v>0.0</v>
      </c>
      <c r="K138" s="134">
        <v>20.0</v>
      </c>
      <c r="L138" s="134">
        <v>0.0</v>
      </c>
      <c r="M138" s="134">
        <v>19.0</v>
      </c>
      <c r="N138" s="134">
        <v>-0.842</v>
      </c>
    </row>
    <row r="139">
      <c r="A139" s="131" t="s">
        <v>643</v>
      </c>
      <c r="B139" s="133" t="s">
        <v>517</v>
      </c>
      <c r="C139" s="134">
        <v>77.0</v>
      </c>
      <c r="D139" s="134">
        <v>8.31</v>
      </c>
      <c r="E139" s="134">
        <v>15.0</v>
      </c>
      <c r="F139" s="134">
        <v>0.0</v>
      </c>
      <c r="G139" s="134">
        <v>15.0</v>
      </c>
      <c r="H139" s="134">
        <v>0.0</v>
      </c>
      <c r="I139" s="134">
        <v>16.0</v>
      </c>
      <c r="J139" s="134">
        <v>1.0</v>
      </c>
      <c r="K139" s="134">
        <v>16.0</v>
      </c>
      <c r="L139" s="134">
        <v>0.0</v>
      </c>
      <c r="M139" s="134">
        <v>15.0</v>
      </c>
      <c r="N139" s="134">
        <v>7.47</v>
      </c>
    </row>
    <row r="140">
      <c r="A140" s="131" t="s">
        <v>658</v>
      </c>
      <c r="B140" s="133" t="s">
        <v>529</v>
      </c>
      <c r="C140" s="134">
        <v>100.0</v>
      </c>
      <c r="D140" s="134">
        <v>6.4</v>
      </c>
      <c r="E140" s="134">
        <v>20.0</v>
      </c>
      <c r="F140" s="134">
        <v>2.4</v>
      </c>
      <c r="G140" s="134">
        <v>20.0</v>
      </c>
      <c r="H140" s="134">
        <v>0.0</v>
      </c>
      <c r="I140" s="134">
        <v>20.0</v>
      </c>
      <c r="J140" s="134">
        <v>2.4</v>
      </c>
      <c r="K140" s="134">
        <v>20.0</v>
      </c>
      <c r="L140" s="134">
        <v>0.0</v>
      </c>
      <c r="M140" s="134">
        <v>20.0</v>
      </c>
      <c r="N140" s="134">
        <v>1.6</v>
      </c>
    </row>
    <row r="141">
      <c r="A141" s="131" t="s">
        <v>660</v>
      </c>
      <c r="B141" s="133" t="s">
        <v>693</v>
      </c>
      <c r="C141" s="134">
        <v>100.0</v>
      </c>
      <c r="D141" s="134">
        <v>1.6</v>
      </c>
      <c r="E141" s="134">
        <v>20.0</v>
      </c>
      <c r="F141" s="134">
        <v>0.0</v>
      </c>
      <c r="G141" s="134">
        <v>20.0</v>
      </c>
      <c r="H141" s="134">
        <v>0.0</v>
      </c>
      <c r="I141" s="134">
        <v>20.0</v>
      </c>
      <c r="J141" s="134">
        <v>0.0</v>
      </c>
      <c r="K141" s="134">
        <v>20.0</v>
      </c>
      <c r="L141" s="134">
        <v>0.0</v>
      </c>
      <c r="M141" s="134">
        <v>20.0</v>
      </c>
      <c r="N141" s="134">
        <v>1.6</v>
      </c>
    </row>
    <row r="142">
      <c r="A142" s="131" t="s">
        <v>547</v>
      </c>
      <c r="B142" s="133" t="s">
        <v>719</v>
      </c>
      <c r="C142" s="134">
        <v>0.0</v>
      </c>
      <c r="D142" s="134">
        <v>0.0</v>
      </c>
      <c r="E142" s="134">
        <v>0.0</v>
      </c>
      <c r="F142" s="134">
        <v>0.0</v>
      </c>
      <c r="G142" s="134">
        <v>0.0</v>
      </c>
      <c r="H142" s="134">
        <v>0.0</v>
      </c>
      <c r="I142" s="134">
        <v>0.0</v>
      </c>
      <c r="J142" s="134">
        <v>0.0</v>
      </c>
      <c r="K142" s="134">
        <v>0.0</v>
      </c>
      <c r="L142" s="134">
        <v>0.0</v>
      </c>
      <c r="M142" s="134">
        <v>0.0</v>
      </c>
      <c r="N142" s="134">
        <v>0.0</v>
      </c>
    </row>
    <row r="143">
      <c r="A143" s="131" t="s">
        <v>542</v>
      </c>
      <c r="B143" s="133" t="s">
        <v>630</v>
      </c>
      <c r="C143" s="134">
        <v>100.0</v>
      </c>
      <c r="D143" s="134">
        <v>4.0</v>
      </c>
      <c r="E143" s="134">
        <v>20.0</v>
      </c>
      <c r="F143" s="134">
        <v>0.0</v>
      </c>
      <c r="G143" s="134">
        <v>20.0</v>
      </c>
      <c r="H143" s="134">
        <v>4.0</v>
      </c>
      <c r="I143" s="134">
        <v>20.0</v>
      </c>
      <c r="J143" s="134">
        <v>0.0</v>
      </c>
      <c r="K143" s="134">
        <v>20.0</v>
      </c>
      <c r="L143" s="134">
        <v>0.0</v>
      </c>
      <c r="M143" s="134">
        <v>20.0</v>
      </c>
      <c r="N143" s="134">
        <v>0.0</v>
      </c>
    </row>
    <row r="144">
      <c r="A144" s="131" t="s">
        <v>668</v>
      </c>
      <c r="B144" s="133" t="s">
        <v>632</v>
      </c>
      <c r="C144" s="134">
        <v>100.0</v>
      </c>
      <c r="D144" s="134">
        <v>4.0</v>
      </c>
      <c r="E144" s="134">
        <v>20.0</v>
      </c>
      <c r="F144" s="134">
        <v>0.8</v>
      </c>
      <c r="G144" s="134">
        <v>20.0</v>
      </c>
      <c r="H144" s="134">
        <v>0.8</v>
      </c>
      <c r="I144" s="134">
        <v>20.0</v>
      </c>
      <c r="J144" s="134">
        <v>0.8</v>
      </c>
      <c r="K144" s="134">
        <v>20.0</v>
      </c>
      <c r="L144" s="134">
        <v>0.0</v>
      </c>
      <c r="M144" s="134">
        <v>20.0</v>
      </c>
      <c r="N144" s="134">
        <v>1.6</v>
      </c>
    </row>
    <row r="145">
      <c r="A145" s="131" t="s">
        <v>672</v>
      </c>
      <c r="B145" s="133" t="s">
        <v>559</v>
      </c>
      <c r="C145" s="134">
        <v>88.0</v>
      </c>
      <c r="D145" s="134">
        <v>3.64</v>
      </c>
      <c r="E145" s="134">
        <v>17.0</v>
      </c>
      <c r="F145" s="134">
        <v>1.88</v>
      </c>
      <c r="G145" s="134">
        <v>17.0</v>
      </c>
      <c r="H145" s="134">
        <v>0.0</v>
      </c>
      <c r="I145" s="134">
        <v>18.0</v>
      </c>
      <c r="J145" s="134">
        <v>1.78</v>
      </c>
      <c r="K145" s="134">
        <v>18.0</v>
      </c>
      <c r="L145" s="134">
        <v>0.0</v>
      </c>
      <c r="M145" s="134">
        <v>18.0</v>
      </c>
      <c r="N145" s="134">
        <v>0.0</v>
      </c>
    </row>
    <row r="146">
      <c r="A146" s="131" t="s">
        <v>680</v>
      </c>
      <c r="B146" s="133" t="s">
        <v>697</v>
      </c>
      <c r="C146" s="134">
        <v>61.0</v>
      </c>
      <c r="D146" s="134">
        <v>1.31</v>
      </c>
      <c r="E146" s="134">
        <v>12.0</v>
      </c>
      <c r="F146" s="134">
        <v>0.0</v>
      </c>
      <c r="G146" s="134">
        <v>13.0</v>
      </c>
      <c r="H146" s="134">
        <v>1.23</v>
      </c>
      <c r="I146" s="134">
        <v>12.0</v>
      </c>
      <c r="J146" s="134">
        <v>0.0</v>
      </c>
      <c r="K146" s="134">
        <v>12.0</v>
      </c>
      <c r="L146" s="134">
        <v>0.0</v>
      </c>
      <c r="M146" s="134">
        <v>12.0</v>
      </c>
      <c r="N146" s="134">
        <v>0.0</v>
      </c>
    </row>
    <row r="147">
      <c r="A147" s="131" t="s">
        <v>586</v>
      </c>
      <c r="B147" s="133" t="s">
        <v>723</v>
      </c>
      <c r="C147" s="134">
        <v>51.0</v>
      </c>
      <c r="D147" s="134">
        <v>0.0</v>
      </c>
      <c r="E147" s="134">
        <v>11.0</v>
      </c>
      <c r="F147" s="134">
        <v>0.0</v>
      </c>
      <c r="G147" s="134">
        <v>10.0</v>
      </c>
      <c r="H147" s="134">
        <v>0.0</v>
      </c>
      <c r="I147" s="134">
        <v>10.0</v>
      </c>
      <c r="J147" s="134">
        <v>0.0</v>
      </c>
      <c r="K147" s="134">
        <v>10.0</v>
      </c>
      <c r="L147" s="134">
        <v>0.0</v>
      </c>
      <c r="M147" s="134">
        <v>10.0</v>
      </c>
      <c r="N147" s="134">
        <v>0.0</v>
      </c>
    </row>
    <row r="148">
      <c r="A148" s="131" t="s">
        <v>685</v>
      </c>
      <c r="B148" s="133" t="s">
        <v>460</v>
      </c>
      <c r="C148" s="134">
        <v>100.0</v>
      </c>
      <c r="D148" s="134">
        <v>12.8</v>
      </c>
      <c r="E148" s="134">
        <v>20.0</v>
      </c>
      <c r="F148" s="134">
        <v>2.4</v>
      </c>
      <c r="G148" s="134">
        <v>20.0</v>
      </c>
      <c r="H148" s="134">
        <v>1.6</v>
      </c>
      <c r="I148" s="134">
        <v>20.0</v>
      </c>
      <c r="J148" s="134">
        <v>4.0</v>
      </c>
      <c r="K148" s="134">
        <v>20.0</v>
      </c>
      <c r="L148" s="134">
        <v>0.0</v>
      </c>
      <c r="M148" s="134">
        <v>20.0</v>
      </c>
      <c r="N148" s="134">
        <v>4.8</v>
      </c>
    </row>
    <row r="149">
      <c r="A149" s="131" t="s">
        <v>687</v>
      </c>
      <c r="B149" s="133" t="s">
        <v>725</v>
      </c>
      <c r="C149" s="134">
        <v>20.0</v>
      </c>
      <c r="D149" s="134">
        <v>0.0</v>
      </c>
      <c r="E149" s="134">
        <v>4.0</v>
      </c>
      <c r="F149" s="134">
        <v>0.0</v>
      </c>
      <c r="G149" s="134">
        <v>4.0</v>
      </c>
      <c r="H149" s="134">
        <v>0.0</v>
      </c>
      <c r="I149" s="134">
        <v>4.0</v>
      </c>
      <c r="J149" s="134">
        <v>0.0</v>
      </c>
      <c r="K149" s="134">
        <v>4.0</v>
      </c>
      <c r="L149" s="134">
        <v>0.0</v>
      </c>
      <c r="M149" s="134">
        <v>4.0</v>
      </c>
      <c r="N149" s="134">
        <v>0.0</v>
      </c>
    </row>
    <row r="150">
      <c r="A150" s="131" t="s">
        <v>688</v>
      </c>
      <c r="B150" s="133" t="s">
        <v>721</v>
      </c>
      <c r="C150" s="134">
        <v>100.0</v>
      </c>
      <c r="D150" s="134">
        <v>0.8</v>
      </c>
      <c r="E150" s="134">
        <v>20.0</v>
      </c>
      <c r="F150" s="134">
        <v>0.0</v>
      </c>
      <c r="G150" s="134">
        <v>20.0</v>
      </c>
      <c r="H150" s="134">
        <v>0.8</v>
      </c>
      <c r="I150" s="134">
        <v>20.0</v>
      </c>
      <c r="J150" s="134">
        <v>0.0</v>
      </c>
      <c r="K150" s="134">
        <v>20.0</v>
      </c>
      <c r="L150" s="134">
        <v>0.0</v>
      </c>
      <c r="M150" s="134">
        <v>20.0</v>
      </c>
      <c r="N150" s="134">
        <v>0.0</v>
      </c>
    </row>
    <row r="151">
      <c r="A151" s="131" t="s">
        <v>690</v>
      </c>
      <c r="B151" s="133" t="s">
        <v>550</v>
      </c>
      <c r="C151" s="134">
        <v>100.0</v>
      </c>
      <c r="D151" s="134">
        <v>7.2</v>
      </c>
      <c r="E151" s="134">
        <v>20.0</v>
      </c>
      <c r="F151" s="134">
        <v>1.6</v>
      </c>
      <c r="G151" s="134">
        <v>20.0</v>
      </c>
      <c r="H151" s="134">
        <v>0.8</v>
      </c>
      <c r="I151" s="134">
        <v>20.0</v>
      </c>
      <c r="J151" s="134">
        <v>0.0</v>
      </c>
      <c r="K151" s="134">
        <v>20.0</v>
      </c>
      <c r="L151" s="134">
        <v>0.0</v>
      </c>
      <c r="M151" s="134">
        <v>20.0</v>
      </c>
      <c r="N151" s="134">
        <v>4.8</v>
      </c>
    </row>
    <row r="152">
      <c r="A152" s="131" t="s">
        <v>591</v>
      </c>
      <c r="B152" s="133" t="s">
        <v>502</v>
      </c>
      <c r="C152" s="134">
        <v>89.0</v>
      </c>
      <c r="D152" s="134">
        <v>8.99</v>
      </c>
      <c r="E152" s="134">
        <v>17.0</v>
      </c>
      <c r="F152" s="134">
        <v>0.941</v>
      </c>
      <c r="G152" s="134">
        <v>18.0</v>
      </c>
      <c r="H152" s="134">
        <v>4.44</v>
      </c>
      <c r="I152" s="134">
        <v>18.0</v>
      </c>
      <c r="J152" s="134">
        <v>2.67</v>
      </c>
      <c r="K152" s="134">
        <v>18.0</v>
      </c>
      <c r="L152" s="134">
        <v>0.0</v>
      </c>
      <c r="M152" s="134">
        <v>18.0</v>
      </c>
      <c r="N152" s="134">
        <v>0.889</v>
      </c>
    </row>
    <row r="153">
      <c r="A153" s="131" t="s">
        <v>692</v>
      </c>
      <c r="B153" s="133" t="s">
        <v>598</v>
      </c>
      <c r="C153" s="134">
        <v>81.0</v>
      </c>
      <c r="D153" s="134">
        <v>4.94</v>
      </c>
      <c r="E153" s="134">
        <v>16.0</v>
      </c>
      <c r="F153" s="134">
        <v>0.0</v>
      </c>
      <c r="G153" s="134">
        <v>17.0</v>
      </c>
      <c r="H153" s="134">
        <v>1.88</v>
      </c>
      <c r="I153" s="134">
        <v>16.0</v>
      </c>
      <c r="J153" s="134">
        <v>0.0</v>
      </c>
      <c r="K153" s="134">
        <v>16.0</v>
      </c>
      <c r="L153" s="134">
        <v>0.0</v>
      </c>
      <c r="M153" s="134">
        <v>16.0</v>
      </c>
      <c r="N153" s="134">
        <v>3.0</v>
      </c>
    </row>
    <row r="154">
      <c r="A154" s="131" t="s">
        <v>695</v>
      </c>
      <c r="B154" s="133" t="s">
        <v>730</v>
      </c>
      <c r="C154" s="134">
        <v>89.0</v>
      </c>
      <c r="D154" s="134">
        <v>-0.899</v>
      </c>
      <c r="E154" s="134">
        <v>17.0</v>
      </c>
      <c r="F154" s="134">
        <v>0.0</v>
      </c>
      <c r="G154" s="134">
        <v>18.0</v>
      </c>
      <c r="H154" s="134">
        <v>-0.889</v>
      </c>
      <c r="I154" s="134">
        <v>18.0</v>
      </c>
      <c r="J154" s="134">
        <v>0.0</v>
      </c>
      <c r="K154" s="134">
        <v>18.0</v>
      </c>
      <c r="L154" s="134">
        <v>0.0</v>
      </c>
      <c r="M154" s="134">
        <v>18.0</v>
      </c>
      <c r="N154" s="134">
        <v>0.0</v>
      </c>
    </row>
    <row r="155">
      <c r="A155" s="131" t="s">
        <v>701</v>
      </c>
      <c r="B155" s="133" t="s">
        <v>732</v>
      </c>
      <c r="C155" s="134">
        <v>72.0</v>
      </c>
      <c r="D155" s="134">
        <v>0.0</v>
      </c>
      <c r="E155" s="134">
        <v>15.0</v>
      </c>
      <c r="F155" s="134">
        <v>0.0</v>
      </c>
      <c r="G155" s="134">
        <v>15.0</v>
      </c>
      <c r="H155" s="134">
        <v>0.0</v>
      </c>
      <c r="I155" s="134">
        <v>14.0</v>
      </c>
      <c r="J155" s="134">
        <v>0.0</v>
      </c>
      <c r="K155" s="134">
        <v>14.0</v>
      </c>
      <c r="L155" s="134">
        <v>0.0</v>
      </c>
      <c r="M155" s="134">
        <v>14.0</v>
      </c>
      <c r="N155" s="134">
        <v>0.0</v>
      </c>
    </row>
    <row r="156">
      <c r="A156" s="131" t="s">
        <v>702</v>
      </c>
      <c r="B156" s="133" t="s">
        <v>515</v>
      </c>
      <c r="C156" s="134">
        <v>48.0</v>
      </c>
      <c r="D156" s="134">
        <v>8.33</v>
      </c>
      <c r="E156" s="134">
        <v>9.0</v>
      </c>
      <c r="F156" s="134">
        <v>0.0</v>
      </c>
      <c r="G156" s="134">
        <v>9.0</v>
      </c>
      <c r="H156" s="134">
        <v>3.56</v>
      </c>
      <c r="I156" s="134">
        <v>10.0</v>
      </c>
      <c r="J156" s="134">
        <v>3.2</v>
      </c>
      <c r="K156" s="134">
        <v>10.0</v>
      </c>
      <c r="L156" s="134">
        <v>0.0</v>
      </c>
      <c r="M156" s="134">
        <v>10.0</v>
      </c>
      <c r="N156" s="134">
        <v>1.6</v>
      </c>
    </row>
    <row r="157">
      <c r="A157" s="131" t="s">
        <v>649</v>
      </c>
      <c r="B157" s="133" t="s">
        <v>714</v>
      </c>
      <c r="C157" s="134">
        <v>99.0</v>
      </c>
      <c r="D157" s="134">
        <v>0.808</v>
      </c>
      <c r="E157" s="134">
        <v>20.0</v>
      </c>
      <c r="F157" s="134">
        <v>0.0</v>
      </c>
      <c r="G157" s="134">
        <v>20.0</v>
      </c>
      <c r="H157" s="134">
        <v>0.0</v>
      </c>
      <c r="I157" s="134">
        <v>20.0</v>
      </c>
      <c r="J157" s="134">
        <v>0.0</v>
      </c>
      <c r="K157" s="134">
        <v>20.0</v>
      </c>
      <c r="L157" s="134">
        <v>0.0</v>
      </c>
      <c r="M157" s="134">
        <v>19.0</v>
      </c>
      <c r="N157" s="134">
        <v>0.842</v>
      </c>
    </row>
    <row r="158">
      <c r="A158" s="131" t="s">
        <v>651</v>
      </c>
      <c r="B158" s="133" t="s">
        <v>664</v>
      </c>
      <c r="C158" s="134">
        <v>99.0</v>
      </c>
      <c r="D158" s="134">
        <v>2.42</v>
      </c>
      <c r="E158" s="134">
        <v>20.0</v>
      </c>
      <c r="F158" s="134">
        <v>0.0</v>
      </c>
      <c r="G158" s="134">
        <v>20.0</v>
      </c>
      <c r="H158" s="134">
        <v>0.0</v>
      </c>
      <c r="I158" s="134">
        <v>20.0</v>
      </c>
      <c r="J158" s="134">
        <v>2.4</v>
      </c>
      <c r="K158" s="134">
        <v>20.0</v>
      </c>
      <c r="L158" s="134">
        <v>0.0</v>
      </c>
      <c r="M158" s="134">
        <v>19.0</v>
      </c>
      <c r="N158" s="134">
        <v>0.0</v>
      </c>
    </row>
    <row r="159">
      <c r="A159" s="131" t="s">
        <v>709</v>
      </c>
      <c r="B159" s="133" t="s">
        <v>481</v>
      </c>
      <c r="C159" s="134">
        <v>67.0</v>
      </c>
      <c r="D159" s="134">
        <v>5.97</v>
      </c>
      <c r="E159" s="134">
        <v>13.0</v>
      </c>
      <c r="F159" s="134">
        <v>3.69</v>
      </c>
      <c r="G159" s="134">
        <v>13.0</v>
      </c>
      <c r="H159" s="134">
        <v>0.0</v>
      </c>
      <c r="I159" s="134">
        <v>14.0</v>
      </c>
      <c r="J159" s="134">
        <v>2.29</v>
      </c>
      <c r="K159" s="134">
        <v>14.0</v>
      </c>
      <c r="L159" s="134">
        <v>0.0</v>
      </c>
      <c r="M159" s="134">
        <v>13.0</v>
      </c>
      <c r="N159" s="134">
        <v>0.0</v>
      </c>
    </row>
    <row r="160">
      <c r="A160" s="131" t="s">
        <v>710</v>
      </c>
      <c r="B160" s="133" t="s">
        <v>548</v>
      </c>
      <c r="C160" s="134">
        <v>32.0</v>
      </c>
      <c r="D160" s="134">
        <v>2.5</v>
      </c>
      <c r="E160" s="134">
        <v>7.0</v>
      </c>
      <c r="F160" s="134">
        <v>2.29</v>
      </c>
      <c r="G160" s="134">
        <v>7.0</v>
      </c>
      <c r="H160" s="134">
        <v>0.0</v>
      </c>
      <c r="I160" s="134">
        <v>6.0</v>
      </c>
      <c r="J160" s="134">
        <v>0.0</v>
      </c>
      <c r="K160" s="134">
        <v>6.0</v>
      </c>
      <c r="L160" s="134">
        <v>0.0</v>
      </c>
      <c r="M160" s="134">
        <v>6.0</v>
      </c>
      <c r="N160" s="134">
        <v>0.0</v>
      </c>
    </row>
    <row r="161">
      <c r="A161" s="131" t="s">
        <v>531</v>
      </c>
      <c r="B161" s="133" t="s">
        <v>619</v>
      </c>
      <c r="C161" s="134">
        <v>98.0</v>
      </c>
      <c r="D161" s="134">
        <v>4.08</v>
      </c>
      <c r="E161" s="134">
        <v>20.0</v>
      </c>
      <c r="F161" s="134">
        <v>0.8</v>
      </c>
      <c r="G161" s="134">
        <v>20.0</v>
      </c>
      <c r="H161" s="134">
        <v>0.0</v>
      </c>
      <c r="I161" s="134">
        <v>20.0</v>
      </c>
      <c r="J161" s="134">
        <v>0.0</v>
      </c>
      <c r="K161" s="134">
        <v>20.0</v>
      </c>
      <c r="L161" s="134">
        <v>0.0</v>
      </c>
      <c r="M161" s="134">
        <v>18.0</v>
      </c>
      <c r="N161" s="134">
        <v>3.56</v>
      </c>
    </row>
    <row r="162">
      <c r="A162" s="131" t="s">
        <v>652</v>
      </c>
      <c r="B162" s="133" t="s">
        <v>641</v>
      </c>
      <c r="C162" s="134">
        <v>98.0</v>
      </c>
      <c r="D162" s="134">
        <v>0.816</v>
      </c>
      <c r="E162" s="134">
        <v>20.0</v>
      </c>
      <c r="F162" s="134">
        <v>0.8</v>
      </c>
      <c r="G162" s="134">
        <v>20.0</v>
      </c>
      <c r="H162" s="134">
        <v>0.0</v>
      </c>
      <c r="I162" s="134">
        <v>20.0</v>
      </c>
      <c r="J162" s="134">
        <v>0.0</v>
      </c>
      <c r="K162" s="134">
        <v>19.0</v>
      </c>
      <c r="L162" s="134">
        <v>0.0</v>
      </c>
      <c r="M162" s="134">
        <v>19.0</v>
      </c>
      <c r="N162" s="134">
        <v>0.0</v>
      </c>
    </row>
    <row r="163">
      <c r="A163" s="131" t="s">
        <v>713</v>
      </c>
      <c r="B163" s="133" t="s">
        <v>535</v>
      </c>
      <c r="C163" s="134">
        <v>99.0</v>
      </c>
      <c r="D163" s="134">
        <v>0.808</v>
      </c>
      <c r="E163" s="134">
        <v>20.0</v>
      </c>
      <c r="F163" s="134">
        <v>2.4</v>
      </c>
      <c r="G163" s="134">
        <v>20.0</v>
      </c>
      <c r="H163" s="134">
        <v>0.0</v>
      </c>
      <c r="I163" s="134">
        <v>20.0</v>
      </c>
      <c r="J163" s="134">
        <v>-1.6</v>
      </c>
      <c r="K163" s="134">
        <v>20.0</v>
      </c>
      <c r="L163" s="134">
        <v>0.0</v>
      </c>
      <c r="M163" s="134">
        <v>19.0</v>
      </c>
      <c r="N163" s="134">
        <v>0.0</v>
      </c>
    </row>
    <row r="164">
      <c r="A164" s="131" t="s">
        <v>715</v>
      </c>
      <c r="B164" s="133" t="s">
        <v>551</v>
      </c>
      <c r="C164" s="134">
        <v>38.0</v>
      </c>
      <c r="D164" s="134">
        <v>2.11</v>
      </c>
      <c r="E164" s="134">
        <v>7.0</v>
      </c>
      <c r="F164" s="134">
        <v>2.29</v>
      </c>
      <c r="G164" s="134">
        <v>7.0</v>
      </c>
      <c r="H164" s="134">
        <v>0.0</v>
      </c>
      <c r="I164" s="134">
        <v>8.0</v>
      </c>
      <c r="J164" s="134">
        <v>0.0</v>
      </c>
      <c r="K164" s="134">
        <v>8.0</v>
      </c>
      <c r="L164" s="134">
        <v>0.0</v>
      </c>
      <c r="M164" s="134">
        <v>8.0</v>
      </c>
      <c r="N164" s="134">
        <v>0.0</v>
      </c>
    </row>
    <row r="165">
      <c r="A165" s="131" t="s">
        <v>716</v>
      </c>
      <c r="B165" s="133" t="s">
        <v>636</v>
      </c>
      <c r="C165" s="134">
        <v>61.0</v>
      </c>
      <c r="D165" s="134">
        <v>3.93</v>
      </c>
      <c r="E165" s="134">
        <v>13.0</v>
      </c>
      <c r="F165" s="134">
        <v>0.0</v>
      </c>
      <c r="G165" s="134">
        <v>13.0</v>
      </c>
      <c r="H165" s="134">
        <v>0.0</v>
      </c>
      <c r="I165" s="134">
        <v>12.0</v>
      </c>
      <c r="J165" s="134">
        <v>4.0</v>
      </c>
      <c r="K165" s="134">
        <v>12.0</v>
      </c>
      <c r="L165" s="134">
        <v>0.0</v>
      </c>
      <c r="M165" s="134">
        <v>11.0</v>
      </c>
      <c r="N165" s="134">
        <v>0.0</v>
      </c>
    </row>
    <row r="166">
      <c r="A166" s="131" t="s">
        <v>717</v>
      </c>
      <c r="B166" s="133" t="s">
        <v>587</v>
      </c>
      <c r="C166" s="134">
        <v>67.0</v>
      </c>
      <c r="D166" s="134">
        <v>1.19</v>
      </c>
      <c r="E166" s="134">
        <v>13.0</v>
      </c>
      <c r="F166" s="134">
        <v>1.23</v>
      </c>
      <c r="G166" s="134">
        <v>14.0</v>
      </c>
      <c r="H166" s="134">
        <v>0.0</v>
      </c>
      <c r="I166" s="134">
        <v>14.0</v>
      </c>
      <c r="J166" s="134">
        <v>0.0</v>
      </c>
      <c r="K166" s="134">
        <v>13.0</v>
      </c>
      <c r="L166" s="134">
        <v>0.0</v>
      </c>
      <c r="M166" s="134">
        <v>13.0</v>
      </c>
      <c r="N166" s="134">
        <v>0.0</v>
      </c>
    </row>
    <row r="167">
      <c r="A167" s="131" t="s">
        <v>720</v>
      </c>
      <c r="B167" s="133" t="s">
        <v>737</v>
      </c>
      <c r="C167" s="134">
        <v>40.0</v>
      </c>
      <c r="D167" s="134">
        <v>0.0</v>
      </c>
      <c r="E167" s="134">
        <v>9.0</v>
      </c>
      <c r="F167" s="134">
        <v>0.0</v>
      </c>
      <c r="G167" s="134">
        <v>8.0</v>
      </c>
      <c r="H167" s="134">
        <v>0.0</v>
      </c>
      <c r="I167" s="134">
        <v>8.0</v>
      </c>
      <c r="J167" s="134">
        <v>0.0</v>
      </c>
      <c r="K167" s="134">
        <v>8.0</v>
      </c>
      <c r="L167" s="134">
        <v>0.0</v>
      </c>
      <c r="M167" s="134">
        <v>7.0</v>
      </c>
      <c r="N167" s="134">
        <v>0.0</v>
      </c>
    </row>
    <row r="168">
      <c r="A168" s="131" t="s">
        <v>722</v>
      </c>
      <c r="B168" s="133" t="s">
        <v>739</v>
      </c>
      <c r="C168" s="134">
        <v>38.0</v>
      </c>
      <c r="D168" s="134">
        <v>0.0</v>
      </c>
      <c r="E168" s="134">
        <v>8.0</v>
      </c>
      <c r="F168" s="134">
        <v>0.0</v>
      </c>
      <c r="G168" s="134">
        <v>8.0</v>
      </c>
      <c r="H168" s="134">
        <v>0.0</v>
      </c>
      <c r="I168" s="134">
        <v>8.0</v>
      </c>
      <c r="J168" s="134">
        <v>0.0</v>
      </c>
      <c r="K168" s="134">
        <v>8.0</v>
      </c>
      <c r="L168" s="134">
        <v>0.0</v>
      </c>
      <c r="M168" s="134">
        <v>6.0</v>
      </c>
      <c r="N168" s="134">
        <v>0.0</v>
      </c>
    </row>
    <row r="169">
      <c r="A169" s="91" t="s">
        <v>724</v>
      </c>
      <c r="B169" s="133" t="s">
        <v>644</v>
      </c>
      <c r="C169" s="134">
        <v>99.0</v>
      </c>
      <c r="D169" s="134">
        <v>0.808</v>
      </c>
      <c r="E169" s="134">
        <v>20.0</v>
      </c>
      <c r="F169" s="134">
        <v>0.8</v>
      </c>
      <c r="G169" s="134">
        <v>20.0</v>
      </c>
      <c r="H169" s="134">
        <v>0.0</v>
      </c>
      <c r="I169" s="134">
        <v>20.0</v>
      </c>
      <c r="J169" s="134">
        <v>-0.8</v>
      </c>
      <c r="K169" s="134">
        <v>20.0</v>
      </c>
      <c r="L169" s="134">
        <v>0.0</v>
      </c>
      <c r="M169" s="134">
        <v>19.0</v>
      </c>
      <c r="N169" s="134">
        <v>0.842</v>
      </c>
    </row>
    <row r="170">
      <c r="A170" s="131" t="s">
        <v>726</v>
      </c>
      <c r="B170" s="133" t="s">
        <v>574</v>
      </c>
      <c r="C170" s="134">
        <v>95.0</v>
      </c>
      <c r="D170" s="134">
        <v>4.21</v>
      </c>
      <c r="E170" s="134">
        <v>20.0</v>
      </c>
      <c r="F170" s="134">
        <v>1.6</v>
      </c>
      <c r="G170" s="134">
        <v>20.0</v>
      </c>
      <c r="H170" s="134">
        <v>0.0</v>
      </c>
      <c r="I170" s="134">
        <v>20.0</v>
      </c>
      <c r="J170" s="134">
        <v>1.6</v>
      </c>
      <c r="K170" s="134">
        <v>18.0</v>
      </c>
      <c r="L170" s="134">
        <v>0.0</v>
      </c>
      <c r="M170" s="134">
        <v>17.0</v>
      </c>
      <c r="N170" s="134">
        <v>0.941</v>
      </c>
    </row>
    <row r="171">
      <c r="A171" s="131" t="s">
        <v>727</v>
      </c>
      <c r="B171" s="133" t="s">
        <v>741</v>
      </c>
      <c r="C171" s="134">
        <v>0.0</v>
      </c>
      <c r="D171" s="134">
        <v>0.0</v>
      </c>
      <c r="E171" s="134">
        <v>0.0</v>
      </c>
      <c r="F171" s="134">
        <v>0.0</v>
      </c>
      <c r="G171" s="134">
        <v>0.0</v>
      </c>
      <c r="H171" s="134">
        <v>0.0</v>
      </c>
      <c r="I171" s="134">
        <v>0.0</v>
      </c>
      <c r="J171" s="134">
        <v>0.0</v>
      </c>
      <c r="K171" s="134">
        <v>0.0</v>
      </c>
      <c r="L171" s="134">
        <v>0.0</v>
      </c>
      <c r="M171" s="134">
        <v>0.0</v>
      </c>
      <c r="N171" s="134">
        <v>0.0</v>
      </c>
    </row>
    <row r="172">
      <c r="A172" s="131" t="s">
        <v>728</v>
      </c>
      <c r="B172" s="133" t="s">
        <v>606</v>
      </c>
      <c r="C172" s="134">
        <v>56.0</v>
      </c>
      <c r="D172" s="134">
        <v>4.29</v>
      </c>
      <c r="E172" s="134">
        <v>12.0</v>
      </c>
      <c r="F172" s="134">
        <v>0.0</v>
      </c>
      <c r="G172" s="134">
        <v>12.0</v>
      </c>
      <c r="H172" s="134">
        <v>1.33</v>
      </c>
      <c r="I172" s="134">
        <v>12.0</v>
      </c>
      <c r="J172" s="134">
        <v>0.0</v>
      </c>
      <c r="K172" s="134">
        <v>10.0</v>
      </c>
      <c r="L172" s="134">
        <v>0.0</v>
      </c>
      <c r="M172" s="134">
        <v>10.0</v>
      </c>
      <c r="N172" s="134">
        <v>3.2</v>
      </c>
    </row>
    <row r="173">
      <c r="A173" s="131" t="s">
        <v>729</v>
      </c>
      <c r="B173" s="133" t="s">
        <v>449</v>
      </c>
      <c r="C173" s="134">
        <v>99.0</v>
      </c>
      <c r="D173" s="134">
        <v>6.46</v>
      </c>
      <c r="E173" s="134">
        <v>20.0</v>
      </c>
      <c r="F173" s="134">
        <v>4.8</v>
      </c>
      <c r="G173" s="134">
        <v>20.0</v>
      </c>
      <c r="H173" s="134">
        <v>0.0</v>
      </c>
      <c r="I173" s="134">
        <v>20.0</v>
      </c>
      <c r="J173" s="134">
        <v>1.6</v>
      </c>
      <c r="K173" s="134">
        <v>20.0</v>
      </c>
      <c r="L173" s="134">
        <v>0.0</v>
      </c>
      <c r="M173" s="134">
        <v>19.0</v>
      </c>
      <c r="N173" s="134">
        <v>0.0</v>
      </c>
    </row>
    <row r="174">
      <c r="A174" s="131" t="s">
        <v>731</v>
      </c>
      <c r="B174" s="133" t="s">
        <v>743</v>
      </c>
      <c r="C174" s="134">
        <v>40.0</v>
      </c>
      <c r="D174" s="134">
        <v>0.0</v>
      </c>
      <c r="E174" s="134">
        <v>8.0</v>
      </c>
      <c r="F174" s="134">
        <v>0.0</v>
      </c>
      <c r="G174" s="134">
        <v>8.0</v>
      </c>
      <c r="H174" s="134">
        <v>0.0</v>
      </c>
      <c r="I174" s="134">
        <v>8.0</v>
      </c>
      <c r="J174" s="134">
        <v>0.0</v>
      </c>
      <c r="K174" s="134">
        <v>8.0</v>
      </c>
      <c r="L174" s="134">
        <v>0.0</v>
      </c>
      <c r="M174" s="134">
        <v>8.0</v>
      </c>
      <c r="N174" s="134">
        <v>0.0</v>
      </c>
    </row>
    <row r="175">
      <c r="A175" s="131" t="s">
        <v>733</v>
      </c>
      <c r="B175" s="133" t="s">
        <v>522</v>
      </c>
      <c r="C175" s="134">
        <v>99.0</v>
      </c>
      <c r="D175" s="134">
        <v>8.08</v>
      </c>
      <c r="E175" s="134">
        <v>20.0</v>
      </c>
      <c r="F175" s="134">
        <v>0.0</v>
      </c>
      <c r="G175" s="134">
        <v>20.0</v>
      </c>
      <c r="H175" s="134">
        <v>2.4</v>
      </c>
      <c r="I175" s="134">
        <v>20.0</v>
      </c>
      <c r="J175" s="134">
        <v>0.0</v>
      </c>
      <c r="K175" s="134">
        <v>20.0</v>
      </c>
      <c r="L175" s="134">
        <v>0.0</v>
      </c>
      <c r="M175" s="134">
        <v>19.0</v>
      </c>
      <c r="N175" s="134">
        <v>5.89</v>
      </c>
    </row>
    <row r="176">
      <c r="A176" s="131" t="s">
        <v>734</v>
      </c>
      <c r="B176" s="133" t="s">
        <v>584</v>
      </c>
      <c r="C176" s="134">
        <v>59.0</v>
      </c>
      <c r="D176" s="134">
        <v>2.71</v>
      </c>
      <c r="E176" s="134">
        <v>12.0</v>
      </c>
      <c r="F176" s="134">
        <v>1.33</v>
      </c>
      <c r="G176" s="134">
        <v>12.0</v>
      </c>
      <c r="H176" s="134">
        <v>0.0</v>
      </c>
      <c r="I176" s="134">
        <v>12.0</v>
      </c>
      <c r="J176" s="134">
        <v>1.33</v>
      </c>
      <c r="K176" s="134">
        <v>12.0</v>
      </c>
      <c r="L176" s="134">
        <v>0.0</v>
      </c>
      <c r="M176" s="134">
        <v>11.0</v>
      </c>
      <c r="N176" s="134">
        <v>0.0</v>
      </c>
    </row>
    <row r="177">
      <c r="A177" s="131" t="s">
        <v>735</v>
      </c>
      <c r="B177" s="133" t="s">
        <v>745</v>
      </c>
      <c r="C177" s="134">
        <v>25.0</v>
      </c>
      <c r="D177" s="134">
        <v>0.0</v>
      </c>
      <c r="E177" s="134">
        <v>5.0</v>
      </c>
      <c r="F177" s="134">
        <v>0.0</v>
      </c>
      <c r="G177" s="134">
        <v>5.0</v>
      </c>
      <c r="H177" s="134">
        <v>0.0</v>
      </c>
      <c r="I177" s="134">
        <v>5.0</v>
      </c>
      <c r="J177" s="134">
        <v>0.0</v>
      </c>
      <c r="K177" s="134">
        <v>5.0</v>
      </c>
      <c r="L177" s="134">
        <v>0.0</v>
      </c>
      <c r="M177" s="134">
        <v>5.0</v>
      </c>
      <c r="N177" s="134">
        <v>0.0</v>
      </c>
    </row>
    <row r="178">
      <c r="A178" s="131" t="s">
        <v>736</v>
      </c>
      <c r="B178" s="133" t="s">
        <v>708</v>
      </c>
      <c r="C178" s="134">
        <v>85.0</v>
      </c>
      <c r="D178" s="134">
        <v>0.941</v>
      </c>
      <c r="E178" s="134">
        <v>19.0</v>
      </c>
      <c r="F178" s="134">
        <v>0.0</v>
      </c>
      <c r="G178" s="134">
        <v>18.0</v>
      </c>
      <c r="H178" s="134">
        <v>0.889</v>
      </c>
      <c r="I178" s="134">
        <v>16.0</v>
      </c>
      <c r="J178" s="134">
        <v>0.0</v>
      </c>
      <c r="K178" s="134">
        <v>16.0</v>
      </c>
      <c r="L178" s="134">
        <v>0.0</v>
      </c>
      <c r="M178" s="134">
        <v>16.0</v>
      </c>
      <c r="N178" s="134">
        <v>0.0</v>
      </c>
    </row>
    <row r="179">
      <c r="A179" s="131" t="s">
        <v>738</v>
      </c>
      <c r="B179" s="133" t="s">
        <v>540</v>
      </c>
      <c r="C179" s="134">
        <v>76.0</v>
      </c>
      <c r="D179" s="134">
        <v>7.37</v>
      </c>
      <c r="E179" s="134">
        <v>16.0</v>
      </c>
      <c r="F179" s="134">
        <v>0.0</v>
      </c>
      <c r="G179" s="134">
        <v>15.0</v>
      </c>
      <c r="H179" s="134">
        <v>0.0</v>
      </c>
      <c r="I179" s="134">
        <v>15.0</v>
      </c>
      <c r="J179" s="134">
        <v>0.0</v>
      </c>
      <c r="K179" s="134">
        <v>15.0</v>
      </c>
      <c r="L179" s="134">
        <v>0.0</v>
      </c>
      <c r="M179" s="134">
        <v>15.0</v>
      </c>
      <c r="N179" s="134">
        <v>7.47</v>
      </c>
    </row>
    <row r="180">
      <c r="A180" s="131" t="s">
        <v>740</v>
      </c>
      <c r="B180" s="133" t="s">
        <v>648</v>
      </c>
      <c r="C180" s="134">
        <v>97.0</v>
      </c>
      <c r="D180" s="134">
        <v>0.825</v>
      </c>
      <c r="E180" s="134">
        <v>20.0</v>
      </c>
      <c r="F180" s="134">
        <v>0.8</v>
      </c>
      <c r="G180" s="134">
        <v>20.0</v>
      </c>
      <c r="H180" s="134">
        <v>0.0</v>
      </c>
      <c r="I180" s="134">
        <v>20.0</v>
      </c>
      <c r="J180" s="134">
        <v>0.0</v>
      </c>
      <c r="K180" s="134">
        <v>19.0</v>
      </c>
      <c r="L180" s="134">
        <v>0.0</v>
      </c>
      <c r="M180" s="134">
        <v>18.0</v>
      </c>
      <c r="N180" s="134">
        <v>0.0</v>
      </c>
    </row>
    <row r="181">
      <c r="A181" s="131" t="s">
        <v>742</v>
      </c>
      <c r="B181" s="133" t="s">
        <v>464</v>
      </c>
      <c r="C181" s="134">
        <v>64.0</v>
      </c>
      <c r="D181" s="134">
        <v>12.5</v>
      </c>
      <c r="E181" s="134">
        <v>12.0</v>
      </c>
      <c r="F181" s="134">
        <v>1.33</v>
      </c>
      <c r="G181" s="134">
        <v>13.0</v>
      </c>
      <c r="H181" s="134">
        <v>11.1</v>
      </c>
      <c r="I181" s="134">
        <v>14.0</v>
      </c>
      <c r="J181" s="134">
        <v>0.0</v>
      </c>
      <c r="K181" s="134">
        <v>14.0</v>
      </c>
      <c r="L181" s="134">
        <v>0.0</v>
      </c>
      <c r="M181" s="134">
        <v>11.0</v>
      </c>
      <c r="N181" s="134">
        <v>0.0</v>
      </c>
    </row>
    <row r="182">
      <c r="A182" s="131" t="s">
        <v>744</v>
      </c>
      <c r="B182" s="133" t="s">
        <v>453</v>
      </c>
      <c r="C182" s="134">
        <v>31.0</v>
      </c>
      <c r="D182" s="134">
        <v>12.9</v>
      </c>
      <c r="E182" s="134">
        <v>7.0</v>
      </c>
      <c r="F182" s="134">
        <v>0.0</v>
      </c>
      <c r="G182" s="134">
        <v>7.0</v>
      </c>
      <c r="H182" s="134">
        <v>11.4</v>
      </c>
      <c r="I182" s="134">
        <v>6.0</v>
      </c>
      <c r="J182" s="134">
        <v>0.0</v>
      </c>
      <c r="K182" s="134">
        <v>6.0</v>
      </c>
      <c r="L182" s="134">
        <v>0.0</v>
      </c>
      <c r="M182" s="134">
        <v>5.0</v>
      </c>
      <c r="N182" s="134">
        <v>0.0</v>
      </c>
    </row>
    <row r="183">
      <c r="A183" s="131" t="s">
        <v>746</v>
      </c>
      <c r="B183" s="133" t="s">
        <v>747</v>
      </c>
      <c r="C183" s="134">
        <v>92.0</v>
      </c>
      <c r="D183" s="134">
        <v>0.0</v>
      </c>
      <c r="E183" s="134">
        <v>19.0</v>
      </c>
      <c r="F183" s="134">
        <v>-0.842</v>
      </c>
      <c r="G183" s="134">
        <v>19.0</v>
      </c>
      <c r="H183" s="134">
        <v>0.0</v>
      </c>
      <c r="I183" s="134">
        <v>19.0</v>
      </c>
      <c r="J183" s="134">
        <v>0.842</v>
      </c>
      <c r="K183" s="134">
        <v>19.0</v>
      </c>
      <c r="L183" s="134">
        <v>0.0</v>
      </c>
      <c r="M183" s="134">
        <v>16.0</v>
      </c>
      <c r="N183" s="134">
        <v>0.0</v>
      </c>
    </row>
    <row r="184">
      <c r="A184" s="131" t="s">
        <v>748</v>
      </c>
      <c r="B184" s="133" t="s">
        <v>755</v>
      </c>
      <c r="C184" s="134">
        <v>92.0</v>
      </c>
      <c r="D184" s="134">
        <v>-1.74</v>
      </c>
      <c r="E184" s="134">
        <v>19.0</v>
      </c>
      <c r="F184" s="134">
        <v>0.0</v>
      </c>
      <c r="G184" s="134">
        <v>19.0</v>
      </c>
      <c r="H184" s="134">
        <v>0.0</v>
      </c>
      <c r="I184" s="134">
        <v>19.0</v>
      </c>
      <c r="J184" s="134">
        <v>-1.68</v>
      </c>
      <c r="K184" s="134">
        <v>19.0</v>
      </c>
      <c r="L184" s="134">
        <v>0.0</v>
      </c>
      <c r="M184" s="134">
        <v>16.0</v>
      </c>
      <c r="N184" s="134">
        <v>0.0</v>
      </c>
    </row>
    <row r="185">
      <c r="A185" s="131" t="s">
        <v>750</v>
      </c>
      <c r="B185" s="133" t="s">
        <v>491</v>
      </c>
      <c r="C185" s="134">
        <v>92.0</v>
      </c>
      <c r="D185" s="134">
        <v>9.57</v>
      </c>
      <c r="E185" s="134">
        <v>19.0</v>
      </c>
      <c r="F185" s="134">
        <v>0.0</v>
      </c>
      <c r="G185" s="134">
        <v>19.0</v>
      </c>
      <c r="H185" s="134">
        <v>0.0</v>
      </c>
      <c r="I185" s="134">
        <v>19.0</v>
      </c>
      <c r="J185" s="134">
        <v>4.21</v>
      </c>
      <c r="K185" s="134">
        <v>19.0</v>
      </c>
      <c r="L185" s="134">
        <v>0.0</v>
      </c>
      <c r="M185" s="134">
        <v>16.0</v>
      </c>
      <c r="N185" s="134">
        <v>6.0</v>
      </c>
    </row>
    <row r="186">
      <c r="A186" s="131" t="s">
        <v>751</v>
      </c>
      <c r="B186" s="133" t="s">
        <v>749</v>
      </c>
      <c r="C186" s="134">
        <v>67.0</v>
      </c>
      <c r="D186" s="134">
        <v>0.0</v>
      </c>
      <c r="E186" s="134">
        <v>13.0</v>
      </c>
      <c r="F186" s="134">
        <v>0.0</v>
      </c>
      <c r="G186" s="134">
        <v>14.0</v>
      </c>
      <c r="H186" s="134">
        <v>0.0</v>
      </c>
      <c r="I186" s="134">
        <v>14.0</v>
      </c>
      <c r="J186" s="134">
        <v>0.0</v>
      </c>
      <c r="K186" s="134">
        <v>14.0</v>
      </c>
      <c r="L186" s="134">
        <v>0.0</v>
      </c>
      <c r="M186" s="134">
        <v>12.0</v>
      </c>
      <c r="N186" s="134">
        <v>0.0</v>
      </c>
    </row>
    <row r="187">
      <c r="A187" s="131" t="s">
        <v>400</v>
      </c>
      <c r="B187" s="133" t="s">
        <v>511</v>
      </c>
      <c r="C187" s="134">
        <v>82.0</v>
      </c>
      <c r="D187" s="134">
        <v>8.78</v>
      </c>
      <c r="E187" s="134">
        <v>17.0</v>
      </c>
      <c r="F187" s="134">
        <v>0.941</v>
      </c>
      <c r="G187" s="134">
        <v>16.0</v>
      </c>
      <c r="H187" s="134">
        <v>0.0</v>
      </c>
      <c r="I187" s="134">
        <v>17.0</v>
      </c>
      <c r="J187" s="134">
        <v>1.88</v>
      </c>
      <c r="K187" s="134">
        <v>16.0</v>
      </c>
      <c r="L187" s="134">
        <v>0.0</v>
      </c>
      <c r="M187" s="134">
        <v>16.0</v>
      </c>
      <c r="N187" s="134">
        <v>6.0</v>
      </c>
    </row>
    <row r="188">
      <c r="A188" s="131" t="s">
        <v>436</v>
      </c>
      <c r="B188" s="133" t="s">
        <v>613</v>
      </c>
      <c r="C188" s="134">
        <v>80.0</v>
      </c>
      <c r="D188" s="134">
        <v>4.0</v>
      </c>
      <c r="E188" s="134">
        <v>17.0</v>
      </c>
      <c r="F188" s="134">
        <v>0.941</v>
      </c>
      <c r="G188" s="134">
        <v>17.0</v>
      </c>
      <c r="H188" s="134">
        <v>0.0</v>
      </c>
      <c r="I188" s="134">
        <v>16.0</v>
      </c>
      <c r="J188" s="134">
        <v>3.0</v>
      </c>
      <c r="K188" s="134">
        <v>15.0</v>
      </c>
      <c r="L188" s="134">
        <v>0.0</v>
      </c>
      <c r="M188" s="134">
        <v>15.0</v>
      </c>
      <c r="N188" s="134">
        <v>0.0</v>
      </c>
    </row>
    <row r="189">
      <c r="A189" s="131" t="s">
        <v>501</v>
      </c>
      <c r="B189" s="133" t="s">
        <v>756</v>
      </c>
      <c r="C189" s="134">
        <v>27.0</v>
      </c>
      <c r="D189" s="134">
        <v>-2.96</v>
      </c>
      <c r="E189" s="134">
        <v>7.0</v>
      </c>
      <c r="F189" s="134">
        <v>0.0</v>
      </c>
      <c r="G189" s="134">
        <v>5.0</v>
      </c>
      <c r="H189" s="134">
        <v>0.0</v>
      </c>
      <c r="I189" s="134">
        <v>5.0</v>
      </c>
      <c r="J189" s="134">
        <v>-3.2</v>
      </c>
      <c r="K189" s="134">
        <v>5.0</v>
      </c>
      <c r="L189" s="134">
        <v>0.0</v>
      </c>
      <c r="M189" s="134">
        <v>5.0</v>
      </c>
      <c r="N189" s="134">
        <v>0.0</v>
      </c>
    </row>
    <row r="190">
      <c r="A190" s="131" t="s">
        <v>617</v>
      </c>
      <c r="B190" s="133" t="s">
        <v>577</v>
      </c>
      <c r="C190" s="134">
        <v>100.0</v>
      </c>
      <c r="D190" s="134">
        <v>2.4</v>
      </c>
      <c r="E190" s="134">
        <v>20.0</v>
      </c>
      <c r="F190" s="134">
        <v>1.6</v>
      </c>
      <c r="G190" s="134">
        <v>20.0</v>
      </c>
      <c r="H190" s="134">
        <v>0.0</v>
      </c>
      <c r="I190" s="134">
        <v>20.0</v>
      </c>
      <c r="J190" s="134">
        <v>0.8</v>
      </c>
      <c r="K190" s="134">
        <v>20.0</v>
      </c>
      <c r="L190" s="134">
        <v>0.0</v>
      </c>
      <c r="M190" s="134">
        <v>20.0</v>
      </c>
      <c r="N190" s="134">
        <v>0.0</v>
      </c>
    </row>
    <row r="191">
      <c r="A191" s="91" t="s">
        <v>638</v>
      </c>
      <c r="B191" s="133" t="s">
        <v>443</v>
      </c>
      <c r="C191" s="134">
        <v>99.0</v>
      </c>
      <c r="D191" s="134">
        <v>6.46</v>
      </c>
      <c r="E191" s="134">
        <v>20.0</v>
      </c>
      <c r="F191" s="134">
        <v>5.6</v>
      </c>
      <c r="G191" s="134">
        <v>20.0</v>
      </c>
      <c r="H191" s="134">
        <v>0.0</v>
      </c>
      <c r="I191" s="134">
        <v>20.0</v>
      </c>
      <c r="J191" s="134">
        <v>1.6</v>
      </c>
      <c r="K191" s="134">
        <v>20.0</v>
      </c>
      <c r="L191" s="134">
        <v>-0.8</v>
      </c>
      <c r="M191" s="134">
        <v>19.0</v>
      </c>
      <c r="N191" s="134">
        <v>0.0</v>
      </c>
    </row>
    <row r="192">
      <c r="A192" s="131" t="s">
        <v>752</v>
      </c>
      <c r="B192" s="133" t="s">
        <v>401</v>
      </c>
      <c r="C192" s="134">
        <v>99.0</v>
      </c>
      <c r="D192" s="134">
        <v>17.0</v>
      </c>
      <c r="E192" s="134">
        <v>20.0</v>
      </c>
      <c r="F192" s="134">
        <v>0.0</v>
      </c>
      <c r="G192" s="134">
        <v>20.0</v>
      </c>
      <c r="H192" s="134">
        <v>9.6</v>
      </c>
      <c r="I192" s="134">
        <v>20.0</v>
      </c>
      <c r="J192" s="134">
        <v>1.6</v>
      </c>
      <c r="K192" s="134">
        <v>20.0</v>
      </c>
      <c r="L192" s="134">
        <v>-0.8</v>
      </c>
      <c r="M192" s="134">
        <v>19.0</v>
      </c>
      <c r="N192" s="134">
        <v>6.74</v>
      </c>
    </row>
    <row r="193">
      <c r="B193" s="133" t="s">
        <v>503</v>
      </c>
      <c r="C193" s="134">
        <v>89.0</v>
      </c>
      <c r="D193" s="134">
        <v>8.99</v>
      </c>
      <c r="E193" s="134">
        <v>19.0</v>
      </c>
      <c r="F193" s="134">
        <v>2.53</v>
      </c>
      <c r="G193" s="134">
        <v>18.0</v>
      </c>
      <c r="H193" s="134">
        <v>5.33</v>
      </c>
      <c r="I193" s="134">
        <v>18.0</v>
      </c>
      <c r="J193" s="134">
        <v>0.889</v>
      </c>
      <c r="K193" s="134">
        <v>17.0</v>
      </c>
      <c r="L193" s="134">
        <v>-0.941</v>
      </c>
      <c r="M193" s="134">
        <v>17.0</v>
      </c>
      <c r="N193" s="134">
        <v>0.941</v>
      </c>
    </row>
    <row r="194">
      <c r="B194" s="133" t="s">
        <v>614</v>
      </c>
      <c r="C194" s="134">
        <v>78.0</v>
      </c>
      <c r="D194" s="134">
        <v>4.1</v>
      </c>
      <c r="E194" s="134">
        <v>18.0</v>
      </c>
      <c r="F194" s="134">
        <v>0.889</v>
      </c>
      <c r="G194" s="134">
        <v>16.0</v>
      </c>
      <c r="H194" s="134">
        <v>1.0</v>
      </c>
      <c r="I194" s="134">
        <v>15.0</v>
      </c>
      <c r="J194" s="134">
        <v>1.07</v>
      </c>
      <c r="K194" s="134">
        <v>15.0</v>
      </c>
      <c r="L194" s="134">
        <v>-1.07</v>
      </c>
      <c r="M194" s="134">
        <v>14.0</v>
      </c>
      <c r="N194" s="134">
        <v>2.29</v>
      </c>
    </row>
    <row r="195">
      <c r="B195" s="133" t="s">
        <v>640</v>
      </c>
      <c r="C195" s="134">
        <v>45.0</v>
      </c>
      <c r="D195" s="134">
        <v>3.56</v>
      </c>
      <c r="E195" s="134">
        <v>10.0</v>
      </c>
      <c r="F195" s="134">
        <v>0.0</v>
      </c>
      <c r="G195" s="134">
        <v>9.0</v>
      </c>
      <c r="H195" s="134">
        <v>5.33</v>
      </c>
      <c r="I195" s="134">
        <v>8.0</v>
      </c>
      <c r="J195" s="134">
        <v>0.0</v>
      </c>
      <c r="K195" s="134">
        <v>9.0</v>
      </c>
      <c r="L195" s="134">
        <v>-1.78</v>
      </c>
      <c r="M195" s="134">
        <v>9.0</v>
      </c>
      <c r="N195" s="134">
        <v>0.0</v>
      </c>
    </row>
    <row r="196">
      <c r="B196" s="133" t="s">
        <v>653</v>
      </c>
      <c r="C196" s="134">
        <v>40.0</v>
      </c>
      <c r="D196" s="134">
        <v>-4.0</v>
      </c>
      <c r="E196" s="134">
        <v>8.0</v>
      </c>
      <c r="F196" s="134">
        <v>0.0</v>
      </c>
      <c r="G196" s="134">
        <v>8.0</v>
      </c>
      <c r="H196" s="134">
        <v>0.0</v>
      </c>
      <c r="I196" s="134">
        <v>8.0</v>
      </c>
      <c r="J196" s="134">
        <v>0.0</v>
      </c>
      <c r="K196" s="134">
        <v>8.0</v>
      </c>
      <c r="L196" s="134">
        <v>-2.0</v>
      </c>
      <c r="M196" s="134">
        <v>8.0</v>
      </c>
      <c r="N196" s="134">
        <v>-2.0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3" max="14" width="16.5"/>
  </cols>
  <sheetData>
    <row r="1">
      <c r="A1" s="131"/>
      <c r="B1" s="132" t="s">
        <v>339</v>
      </c>
      <c r="C1" s="132" t="s">
        <v>360</v>
      </c>
      <c r="D1" s="132" t="s">
        <v>361</v>
      </c>
      <c r="E1" s="132" t="s">
        <v>362</v>
      </c>
      <c r="F1" s="132" t="s">
        <v>363</v>
      </c>
      <c r="G1" s="132" t="s">
        <v>364</v>
      </c>
      <c r="H1" s="132" t="s">
        <v>365</v>
      </c>
      <c r="I1" s="132" t="s">
        <v>366</v>
      </c>
      <c r="J1" s="132" t="s">
        <v>367</v>
      </c>
      <c r="K1" s="132" t="s">
        <v>368</v>
      </c>
      <c r="L1" s="132" t="s">
        <v>369</v>
      </c>
      <c r="M1" s="132" t="s">
        <v>370</v>
      </c>
      <c r="N1" s="132" t="s">
        <v>371</v>
      </c>
    </row>
    <row r="2">
      <c r="A2" s="131" t="s">
        <v>384</v>
      </c>
      <c r="B2" s="133" t="s">
        <v>389</v>
      </c>
      <c r="C2" s="134">
        <v>98.0</v>
      </c>
      <c r="D2" s="134">
        <v>22.0</v>
      </c>
      <c r="E2" s="134">
        <v>20.0</v>
      </c>
      <c r="F2" s="134">
        <v>2.4</v>
      </c>
      <c r="G2" s="134">
        <v>20.0</v>
      </c>
      <c r="H2" s="134">
        <v>0.0</v>
      </c>
      <c r="I2" s="134">
        <v>20.0</v>
      </c>
      <c r="J2" s="134">
        <v>6.4</v>
      </c>
      <c r="K2" s="134">
        <v>19.0</v>
      </c>
      <c r="L2" s="134">
        <v>5.05</v>
      </c>
      <c r="M2" s="134">
        <v>19.0</v>
      </c>
      <c r="N2" s="134">
        <v>8.42</v>
      </c>
    </row>
    <row r="3">
      <c r="A3" s="131" t="s">
        <v>386</v>
      </c>
      <c r="B3" s="133" t="s">
        <v>391</v>
      </c>
      <c r="C3" s="134">
        <v>95.0</v>
      </c>
      <c r="D3" s="134">
        <v>21.1</v>
      </c>
      <c r="E3" s="134">
        <v>20.0</v>
      </c>
      <c r="F3" s="134">
        <v>2.4</v>
      </c>
      <c r="G3" s="134">
        <v>20.0</v>
      </c>
      <c r="H3" s="134">
        <v>0.0</v>
      </c>
      <c r="I3" s="134">
        <v>19.0</v>
      </c>
      <c r="J3" s="134">
        <v>3.37</v>
      </c>
      <c r="K3" s="134">
        <v>18.0</v>
      </c>
      <c r="L3" s="134">
        <v>8.0</v>
      </c>
      <c r="M3" s="134">
        <v>18.0</v>
      </c>
      <c r="N3" s="134">
        <v>8.0</v>
      </c>
    </row>
    <row r="4">
      <c r="A4" s="131" t="s">
        <v>440</v>
      </c>
      <c r="B4" s="133" t="s">
        <v>385</v>
      </c>
      <c r="C4" s="134">
        <v>94.0</v>
      </c>
      <c r="D4" s="134">
        <v>23.0</v>
      </c>
      <c r="E4" s="134">
        <v>20.0</v>
      </c>
      <c r="F4" s="134">
        <v>4.0</v>
      </c>
      <c r="G4" s="134">
        <v>19.0</v>
      </c>
      <c r="H4" s="134">
        <v>0.0</v>
      </c>
      <c r="I4" s="134">
        <v>19.0</v>
      </c>
      <c r="J4" s="134">
        <v>6.74</v>
      </c>
      <c r="K4" s="134">
        <v>18.0</v>
      </c>
      <c r="L4" s="134">
        <v>4.44</v>
      </c>
      <c r="M4" s="134">
        <v>18.0</v>
      </c>
      <c r="N4" s="134">
        <v>8.0</v>
      </c>
    </row>
    <row r="5">
      <c r="A5" s="131" t="s">
        <v>437</v>
      </c>
      <c r="B5" s="133" t="s">
        <v>438</v>
      </c>
      <c r="C5" s="134">
        <v>96.0</v>
      </c>
      <c r="D5" s="134">
        <v>13.3</v>
      </c>
      <c r="E5" s="134">
        <v>20.0</v>
      </c>
      <c r="F5" s="134">
        <v>3.2</v>
      </c>
      <c r="G5" s="134">
        <v>19.0</v>
      </c>
      <c r="H5" s="134">
        <v>2.53</v>
      </c>
      <c r="I5" s="134">
        <v>19.0</v>
      </c>
      <c r="J5" s="134">
        <v>0.0</v>
      </c>
      <c r="K5" s="134">
        <v>19.0</v>
      </c>
      <c r="L5" s="134">
        <v>0.0</v>
      </c>
      <c r="M5" s="134">
        <v>19.0</v>
      </c>
      <c r="N5" s="134">
        <v>7.58</v>
      </c>
    </row>
    <row r="6">
      <c r="A6" s="131" t="s">
        <v>376</v>
      </c>
      <c r="B6" s="133" t="s">
        <v>377</v>
      </c>
      <c r="C6" s="134">
        <v>90.0</v>
      </c>
      <c r="D6" s="134">
        <v>24.0</v>
      </c>
      <c r="E6" s="134">
        <v>19.0</v>
      </c>
      <c r="F6" s="134">
        <v>3.37</v>
      </c>
      <c r="G6" s="134">
        <v>19.0</v>
      </c>
      <c r="H6" s="134">
        <v>1.68</v>
      </c>
      <c r="I6" s="134">
        <v>18.0</v>
      </c>
      <c r="J6" s="134">
        <v>8.89</v>
      </c>
      <c r="K6" s="134">
        <v>17.0</v>
      </c>
      <c r="L6" s="134">
        <v>2.82</v>
      </c>
      <c r="M6" s="134">
        <v>17.0</v>
      </c>
      <c r="N6" s="134">
        <v>7.53</v>
      </c>
    </row>
    <row r="7">
      <c r="A7" s="131" t="s">
        <v>390</v>
      </c>
      <c r="B7" s="133" t="s">
        <v>517</v>
      </c>
      <c r="C7" s="134">
        <v>77.0</v>
      </c>
      <c r="D7" s="134">
        <v>8.31</v>
      </c>
      <c r="E7" s="134">
        <v>15.0</v>
      </c>
      <c r="F7" s="134">
        <v>0.0</v>
      </c>
      <c r="G7" s="134">
        <v>15.0</v>
      </c>
      <c r="H7" s="134">
        <v>0.0</v>
      </c>
      <c r="I7" s="134">
        <v>16.0</v>
      </c>
      <c r="J7" s="134">
        <v>1.0</v>
      </c>
      <c r="K7" s="134">
        <v>16.0</v>
      </c>
      <c r="L7" s="134">
        <v>0.0</v>
      </c>
      <c r="M7" s="134">
        <v>15.0</v>
      </c>
      <c r="N7" s="134">
        <v>7.47</v>
      </c>
    </row>
    <row r="8">
      <c r="A8" s="131" t="s">
        <v>514</v>
      </c>
      <c r="B8" s="133" t="s">
        <v>540</v>
      </c>
      <c r="C8" s="134">
        <v>76.0</v>
      </c>
      <c r="D8" s="134">
        <v>7.37</v>
      </c>
      <c r="E8" s="134">
        <v>16.0</v>
      </c>
      <c r="F8" s="134">
        <v>0.0</v>
      </c>
      <c r="G8" s="134">
        <v>15.0</v>
      </c>
      <c r="H8" s="134">
        <v>0.0</v>
      </c>
      <c r="I8" s="134">
        <v>15.0</v>
      </c>
      <c r="J8" s="134">
        <v>0.0</v>
      </c>
      <c r="K8" s="134">
        <v>15.0</v>
      </c>
      <c r="L8" s="134">
        <v>0.0</v>
      </c>
      <c r="M8" s="134">
        <v>15.0</v>
      </c>
      <c r="N8" s="134">
        <v>7.47</v>
      </c>
    </row>
    <row r="9">
      <c r="A9" s="131" t="s">
        <v>536</v>
      </c>
      <c r="B9" s="133" t="s">
        <v>383</v>
      </c>
      <c r="C9" s="134">
        <v>97.0</v>
      </c>
      <c r="D9" s="134">
        <v>23.1</v>
      </c>
      <c r="E9" s="134">
        <v>20.0</v>
      </c>
      <c r="F9" s="134">
        <v>0.0</v>
      </c>
      <c r="G9" s="134">
        <v>20.0</v>
      </c>
      <c r="H9" s="134">
        <v>6.4</v>
      </c>
      <c r="I9" s="134">
        <v>20.0</v>
      </c>
      <c r="J9" s="134">
        <v>4.0</v>
      </c>
      <c r="K9" s="134">
        <v>19.0</v>
      </c>
      <c r="L9" s="134">
        <v>5.89</v>
      </c>
      <c r="M9" s="134">
        <v>18.0</v>
      </c>
      <c r="N9" s="134">
        <v>7.11</v>
      </c>
    </row>
    <row r="10">
      <c r="A10" s="131" t="s">
        <v>372</v>
      </c>
      <c r="B10" s="133" t="s">
        <v>373</v>
      </c>
      <c r="C10" s="134">
        <v>96.0</v>
      </c>
      <c r="D10" s="134">
        <v>33.3</v>
      </c>
      <c r="E10" s="134">
        <v>20.0</v>
      </c>
      <c r="F10" s="134">
        <v>9.6</v>
      </c>
      <c r="G10" s="134">
        <v>20.0</v>
      </c>
      <c r="H10" s="134">
        <v>2.4</v>
      </c>
      <c r="I10" s="134">
        <v>19.0</v>
      </c>
      <c r="J10" s="134">
        <v>9.26</v>
      </c>
      <c r="K10" s="134">
        <v>19.0</v>
      </c>
      <c r="L10" s="134">
        <v>5.05</v>
      </c>
      <c r="M10" s="134">
        <v>18.0</v>
      </c>
      <c r="N10" s="134">
        <v>7.11</v>
      </c>
    </row>
    <row r="11">
      <c r="A11" s="131" t="s">
        <v>400</v>
      </c>
      <c r="B11" s="133" t="s">
        <v>415</v>
      </c>
      <c r="C11" s="134">
        <v>98.0</v>
      </c>
      <c r="D11" s="134">
        <v>14.7</v>
      </c>
      <c r="E11" s="134">
        <v>20.0</v>
      </c>
      <c r="F11" s="134">
        <v>0.0</v>
      </c>
      <c r="G11" s="134">
        <v>20.0</v>
      </c>
      <c r="H11" s="134">
        <v>0.0</v>
      </c>
      <c r="I11" s="134">
        <v>20.0</v>
      </c>
      <c r="J11" s="134">
        <v>4.0</v>
      </c>
      <c r="K11" s="134">
        <v>19.0</v>
      </c>
      <c r="L11" s="134">
        <v>4.21</v>
      </c>
      <c r="M11" s="134">
        <v>19.0</v>
      </c>
      <c r="N11" s="134">
        <v>6.74</v>
      </c>
    </row>
    <row r="12">
      <c r="A12" s="131" t="s">
        <v>410</v>
      </c>
      <c r="B12" s="133" t="s">
        <v>401</v>
      </c>
      <c r="C12" s="134">
        <v>99.0</v>
      </c>
      <c r="D12" s="134">
        <v>17.0</v>
      </c>
      <c r="E12" s="134">
        <v>20.0</v>
      </c>
      <c r="F12" s="134">
        <v>0.0</v>
      </c>
      <c r="G12" s="134">
        <v>20.0</v>
      </c>
      <c r="H12" s="134">
        <v>9.6</v>
      </c>
      <c r="I12" s="134">
        <v>20.0</v>
      </c>
      <c r="J12" s="134">
        <v>1.6</v>
      </c>
      <c r="K12" s="134">
        <v>20.0</v>
      </c>
      <c r="L12" s="134">
        <v>-0.8</v>
      </c>
      <c r="M12" s="134">
        <v>19.0</v>
      </c>
      <c r="N12" s="134">
        <v>6.74</v>
      </c>
    </row>
    <row r="13">
      <c r="A13" s="131" t="s">
        <v>567</v>
      </c>
      <c r="B13" s="133" t="s">
        <v>568</v>
      </c>
      <c r="C13" s="134">
        <v>88.0</v>
      </c>
      <c r="D13" s="134">
        <v>6.36</v>
      </c>
      <c r="E13" s="134">
        <v>18.0</v>
      </c>
      <c r="F13" s="134">
        <v>0.0</v>
      </c>
      <c r="G13" s="134">
        <v>18.0</v>
      </c>
      <c r="H13" s="134">
        <v>0.0</v>
      </c>
      <c r="I13" s="134">
        <v>18.0</v>
      </c>
      <c r="J13" s="134">
        <v>0.0</v>
      </c>
      <c r="K13" s="134">
        <v>17.0</v>
      </c>
      <c r="L13" s="134">
        <v>0.0</v>
      </c>
      <c r="M13" s="134">
        <v>17.0</v>
      </c>
      <c r="N13" s="134">
        <v>6.59</v>
      </c>
    </row>
    <row r="14">
      <c r="A14" s="131" t="s">
        <v>490</v>
      </c>
      <c r="B14" s="133" t="s">
        <v>537</v>
      </c>
      <c r="C14" s="134">
        <v>76.0</v>
      </c>
      <c r="D14" s="134">
        <v>7.37</v>
      </c>
      <c r="E14" s="134">
        <v>16.0</v>
      </c>
      <c r="F14" s="134">
        <v>0.0</v>
      </c>
      <c r="G14" s="134">
        <v>15.0</v>
      </c>
      <c r="H14" s="134">
        <v>1.07</v>
      </c>
      <c r="I14" s="134">
        <v>14.0</v>
      </c>
      <c r="J14" s="134">
        <v>0.0</v>
      </c>
      <c r="K14" s="134">
        <v>15.0</v>
      </c>
      <c r="L14" s="134">
        <v>0.0</v>
      </c>
      <c r="M14" s="134">
        <v>16.0</v>
      </c>
      <c r="N14" s="134">
        <v>6.0</v>
      </c>
    </row>
    <row r="15">
      <c r="A15" s="131" t="s">
        <v>509</v>
      </c>
      <c r="B15" s="133" t="s">
        <v>491</v>
      </c>
      <c r="C15" s="134">
        <v>92.0</v>
      </c>
      <c r="D15" s="134">
        <v>9.57</v>
      </c>
      <c r="E15" s="134">
        <v>19.0</v>
      </c>
      <c r="F15" s="134">
        <v>0.0</v>
      </c>
      <c r="G15" s="134">
        <v>19.0</v>
      </c>
      <c r="H15" s="134">
        <v>0.0</v>
      </c>
      <c r="I15" s="134">
        <v>19.0</v>
      </c>
      <c r="J15" s="134">
        <v>4.21</v>
      </c>
      <c r="K15" s="134">
        <v>19.0</v>
      </c>
      <c r="L15" s="134">
        <v>0.0</v>
      </c>
      <c r="M15" s="134">
        <v>16.0</v>
      </c>
      <c r="N15" s="134">
        <v>6.0</v>
      </c>
    </row>
    <row r="16">
      <c r="A16" s="91" t="s">
        <v>533</v>
      </c>
      <c r="B16" s="133" t="s">
        <v>511</v>
      </c>
      <c r="C16" s="134">
        <v>82.0</v>
      </c>
      <c r="D16" s="134">
        <v>8.78</v>
      </c>
      <c r="E16" s="134">
        <v>17.0</v>
      </c>
      <c r="F16" s="134">
        <v>0.941</v>
      </c>
      <c r="G16" s="134">
        <v>16.0</v>
      </c>
      <c r="H16" s="134">
        <v>0.0</v>
      </c>
      <c r="I16" s="134">
        <v>17.0</v>
      </c>
      <c r="J16" s="134">
        <v>1.88</v>
      </c>
      <c r="K16" s="134">
        <v>16.0</v>
      </c>
      <c r="L16" s="134">
        <v>0.0</v>
      </c>
      <c r="M16" s="134">
        <v>16.0</v>
      </c>
      <c r="N16" s="134">
        <v>6.0</v>
      </c>
    </row>
    <row r="17">
      <c r="A17" s="131" t="s">
        <v>518</v>
      </c>
      <c r="B17" s="133" t="s">
        <v>522</v>
      </c>
      <c r="C17" s="134">
        <v>99.0</v>
      </c>
      <c r="D17" s="134">
        <v>8.08</v>
      </c>
      <c r="E17" s="134">
        <v>20.0</v>
      </c>
      <c r="F17" s="134">
        <v>0.0</v>
      </c>
      <c r="G17" s="134">
        <v>20.0</v>
      </c>
      <c r="H17" s="134">
        <v>2.4</v>
      </c>
      <c r="I17" s="134">
        <v>20.0</v>
      </c>
      <c r="J17" s="134">
        <v>0.0</v>
      </c>
      <c r="K17" s="134">
        <v>20.0</v>
      </c>
      <c r="L17" s="134">
        <v>0.0</v>
      </c>
      <c r="M17" s="134">
        <v>19.0</v>
      </c>
      <c r="N17" s="134">
        <v>5.89</v>
      </c>
    </row>
    <row r="18">
      <c r="A18" s="131" t="s">
        <v>392</v>
      </c>
      <c r="B18" s="133" t="s">
        <v>395</v>
      </c>
      <c r="C18" s="134">
        <v>100.0</v>
      </c>
      <c r="D18" s="134">
        <v>20.0</v>
      </c>
      <c r="E18" s="134">
        <v>20.0</v>
      </c>
      <c r="F18" s="134">
        <v>0.0</v>
      </c>
      <c r="G18" s="134">
        <v>20.0</v>
      </c>
      <c r="H18" s="134">
        <v>4.0</v>
      </c>
      <c r="I18" s="134">
        <v>20.0</v>
      </c>
      <c r="J18" s="134">
        <v>4.0</v>
      </c>
      <c r="K18" s="134">
        <v>20.0</v>
      </c>
      <c r="L18" s="134">
        <v>6.4</v>
      </c>
      <c r="M18" s="134">
        <v>20.0</v>
      </c>
      <c r="N18" s="134">
        <v>5.6</v>
      </c>
    </row>
    <row r="19">
      <c r="A19" s="131" t="s">
        <v>378</v>
      </c>
      <c r="B19" s="133" t="s">
        <v>460</v>
      </c>
      <c r="C19" s="134">
        <v>100.0</v>
      </c>
      <c r="D19" s="134">
        <v>12.8</v>
      </c>
      <c r="E19" s="134">
        <v>20.0</v>
      </c>
      <c r="F19" s="134">
        <v>2.4</v>
      </c>
      <c r="G19" s="134">
        <v>20.0</v>
      </c>
      <c r="H19" s="134">
        <v>1.6</v>
      </c>
      <c r="I19" s="134">
        <v>20.0</v>
      </c>
      <c r="J19" s="134">
        <v>4.0</v>
      </c>
      <c r="K19" s="134">
        <v>20.0</v>
      </c>
      <c r="L19" s="134">
        <v>0.0</v>
      </c>
      <c r="M19" s="134">
        <v>20.0</v>
      </c>
      <c r="N19" s="134">
        <v>4.8</v>
      </c>
    </row>
    <row r="20">
      <c r="A20" s="131" t="s">
        <v>396</v>
      </c>
      <c r="B20" s="133" t="s">
        <v>379</v>
      </c>
      <c r="C20" s="134">
        <v>100.0</v>
      </c>
      <c r="D20" s="134">
        <v>24.0</v>
      </c>
      <c r="E20" s="134">
        <v>20.0</v>
      </c>
      <c r="F20" s="134">
        <v>2.4</v>
      </c>
      <c r="G20" s="134">
        <v>20.0</v>
      </c>
      <c r="H20" s="134">
        <v>3.2</v>
      </c>
      <c r="I20" s="134">
        <v>20.0</v>
      </c>
      <c r="J20" s="134">
        <v>7.2</v>
      </c>
      <c r="K20" s="134">
        <v>20.0</v>
      </c>
      <c r="L20" s="134">
        <v>6.4</v>
      </c>
      <c r="M20" s="134">
        <v>20.0</v>
      </c>
      <c r="N20" s="134">
        <v>4.8</v>
      </c>
    </row>
    <row r="21">
      <c r="A21" s="131" t="s">
        <v>452</v>
      </c>
      <c r="B21" s="133" t="s">
        <v>550</v>
      </c>
      <c r="C21" s="134">
        <v>100.0</v>
      </c>
      <c r="D21" s="134">
        <v>7.2</v>
      </c>
      <c r="E21" s="134">
        <v>20.0</v>
      </c>
      <c r="F21" s="134">
        <v>1.6</v>
      </c>
      <c r="G21" s="134">
        <v>20.0</v>
      </c>
      <c r="H21" s="134">
        <v>0.8</v>
      </c>
      <c r="I21" s="134">
        <v>20.0</v>
      </c>
      <c r="J21" s="134">
        <v>0.0</v>
      </c>
      <c r="K21" s="134">
        <v>20.0</v>
      </c>
      <c r="L21" s="134">
        <v>0.0</v>
      </c>
      <c r="M21" s="134">
        <v>20.0</v>
      </c>
      <c r="N21" s="134">
        <v>4.8</v>
      </c>
    </row>
    <row r="22">
      <c r="A22" s="131" t="s">
        <v>541</v>
      </c>
      <c r="B22" s="133" t="s">
        <v>393</v>
      </c>
      <c r="C22" s="134">
        <v>91.0</v>
      </c>
      <c r="D22" s="134">
        <v>21.1</v>
      </c>
      <c r="E22" s="134">
        <v>19.0</v>
      </c>
      <c r="F22" s="134">
        <v>5.89</v>
      </c>
      <c r="G22" s="134">
        <v>19.0</v>
      </c>
      <c r="H22" s="134">
        <v>2.53</v>
      </c>
      <c r="I22" s="134">
        <v>18.0</v>
      </c>
      <c r="J22" s="134">
        <v>8.0</v>
      </c>
      <c r="K22" s="134">
        <v>18.0</v>
      </c>
      <c r="L22" s="134">
        <v>0.0</v>
      </c>
      <c r="M22" s="134">
        <v>17.0</v>
      </c>
      <c r="N22" s="134">
        <v>4.71</v>
      </c>
    </row>
    <row r="23">
      <c r="A23" s="131" t="s">
        <v>388</v>
      </c>
      <c r="B23" s="133" t="s">
        <v>471</v>
      </c>
      <c r="C23" s="134">
        <v>92.0</v>
      </c>
      <c r="D23" s="134">
        <v>11.3</v>
      </c>
      <c r="E23" s="134">
        <v>20.0</v>
      </c>
      <c r="F23" s="134">
        <v>1.6</v>
      </c>
      <c r="G23" s="134">
        <v>19.0</v>
      </c>
      <c r="H23" s="134">
        <v>4.21</v>
      </c>
      <c r="I23" s="134">
        <v>18.0</v>
      </c>
      <c r="J23" s="134">
        <v>0.889</v>
      </c>
      <c r="K23" s="134">
        <v>18.0</v>
      </c>
      <c r="L23" s="134">
        <v>0.0</v>
      </c>
      <c r="M23" s="134">
        <v>17.0</v>
      </c>
      <c r="N23" s="134">
        <v>4.71</v>
      </c>
    </row>
    <row r="24">
      <c r="A24" s="131" t="s">
        <v>467</v>
      </c>
      <c r="B24" s="133" t="s">
        <v>561</v>
      </c>
      <c r="C24" s="134">
        <v>74.0</v>
      </c>
      <c r="D24" s="134">
        <v>6.49</v>
      </c>
      <c r="E24" s="134">
        <v>15.0</v>
      </c>
      <c r="F24" s="134">
        <v>0.0</v>
      </c>
      <c r="G24" s="134">
        <v>14.0</v>
      </c>
      <c r="H24" s="134">
        <v>3.43</v>
      </c>
      <c r="I24" s="134">
        <v>15.0</v>
      </c>
      <c r="J24" s="134">
        <v>-1.07</v>
      </c>
      <c r="K24" s="134">
        <v>15.0</v>
      </c>
      <c r="L24" s="134">
        <v>0.0</v>
      </c>
      <c r="M24" s="134">
        <v>15.0</v>
      </c>
      <c r="N24" s="134">
        <v>4.27</v>
      </c>
    </row>
    <row r="25">
      <c r="A25" s="131" t="s">
        <v>560</v>
      </c>
      <c r="B25" s="133" t="s">
        <v>519</v>
      </c>
      <c r="C25" s="134">
        <v>99.0</v>
      </c>
      <c r="D25" s="134">
        <v>8.08</v>
      </c>
      <c r="E25" s="134">
        <v>20.0</v>
      </c>
      <c r="F25" s="134">
        <v>-0.8</v>
      </c>
      <c r="G25" s="134">
        <v>20.0</v>
      </c>
      <c r="H25" s="134">
        <v>4.0</v>
      </c>
      <c r="I25" s="134">
        <v>20.0</v>
      </c>
      <c r="J25" s="134">
        <v>0.0</v>
      </c>
      <c r="K25" s="134">
        <v>20.0</v>
      </c>
      <c r="L25" s="134">
        <v>0.8</v>
      </c>
      <c r="M25" s="134">
        <v>19.0</v>
      </c>
      <c r="N25" s="134">
        <v>4.21</v>
      </c>
    </row>
    <row r="26">
      <c r="A26" s="131" t="s">
        <v>516</v>
      </c>
      <c r="B26" s="133" t="s">
        <v>435</v>
      </c>
      <c r="C26" s="134">
        <v>100.0</v>
      </c>
      <c r="D26" s="134">
        <v>13.6</v>
      </c>
      <c r="E26" s="134">
        <v>20.0</v>
      </c>
      <c r="F26" s="134">
        <v>6.4</v>
      </c>
      <c r="G26" s="134">
        <v>20.0</v>
      </c>
      <c r="H26" s="134">
        <v>1.6</v>
      </c>
      <c r="I26" s="134">
        <v>20.0</v>
      </c>
      <c r="J26" s="134">
        <v>0.8</v>
      </c>
      <c r="K26" s="134">
        <v>20.0</v>
      </c>
      <c r="L26" s="134">
        <v>0.8</v>
      </c>
      <c r="M26" s="134">
        <v>20.0</v>
      </c>
      <c r="N26" s="134">
        <v>4.0</v>
      </c>
    </row>
    <row r="27">
      <c r="A27" s="131" t="s">
        <v>488</v>
      </c>
      <c r="B27" s="133" t="s">
        <v>566</v>
      </c>
      <c r="C27" s="134">
        <v>47.0</v>
      </c>
      <c r="D27" s="134">
        <v>5.11</v>
      </c>
      <c r="E27" s="134">
        <v>10.0</v>
      </c>
      <c r="F27" s="134">
        <v>1.6</v>
      </c>
      <c r="G27" s="134">
        <v>10.0</v>
      </c>
      <c r="H27" s="134">
        <v>0.0</v>
      </c>
      <c r="I27" s="134">
        <v>9.0</v>
      </c>
      <c r="J27" s="134">
        <v>0.0</v>
      </c>
      <c r="K27" s="134">
        <v>9.0</v>
      </c>
      <c r="L27" s="134">
        <v>0.0</v>
      </c>
      <c r="M27" s="134">
        <v>9.0</v>
      </c>
      <c r="N27" s="134">
        <v>3.56</v>
      </c>
    </row>
    <row r="28">
      <c r="A28" s="131" t="s">
        <v>549</v>
      </c>
      <c r="B28" s="133" t="s">
        <v>619</v>
      </c>
      <c r="C28" s="134">
        <v>98.0</v>
      </c>
      <c r="D28" s="134">
        <v>4.08</v>
      </c>
      <c r="E28" s="134">
        <v>20.0</v>
      </c>
      <c r="F28" s="134">
        <v>0.8</v>
      </c>
      <c r="G28" s="134">
        <v>20.0</v>
      </c>
      <c r="H28" s="134">
        <v>0.0</v>
      </c>
      <c r="I28" s="134">
        <v>20.0</v>
      </c>
      <c r="J28" s="134">
        <v>0.0</v>
      </c>
      <c r="K28" s="134">
        <v>20.0</v>
      </c>
      <c r="L28" s="134">
        <v>0.0</v>
      </c>
      <c r="M28" s="134">
        <v>18.0</v>
      </c>
      <c r="N28" s="134">
        <v>3.56</v>
      </c>
    </row>
    <row r="29">
      <c r="A29" s="131" t="s">
        <v>498</v>
      </c>
      <c r="B29" s="133" t="s">
        <v>499</v>
      </c>
      <c r="C29" s="134">
        <v>97.0</v>
      </c>
      <c r="D29" s="134">
        <v>9.07</v>
      </c>
      <c r="E29" s="134">
        <v>20.0</v>
      </c>
      <c r="F29" s="134">
        <v>0.8</v>
      </c>
      <c r="G29" s="134">
        <v>20.0</v>
      </c>
      <c r="H29" s="134">
        <v>0.8</v>
      </c>
      <c r="I29" s="134">
        <v>20.0</v>
      </c>
      <c r="J29" s="134">
        <v>3.2</v>
      </c>
      <c r="K29" s="134">
        <v>19.0</v>
      </c>
      <c r="L29" s="134">
        <v>0.842</v>
      </c>
      <c r="M29" s="134">
        <v>18.0</v>
      </c>
      <c r="N29" s="134">
        <v>3.56</v>
      </c>
    </row>
    <row r="30">
      <c r="A30" s="131" t="s">
        <v>576</v>
      </c>
      <c r="B30" s="133" t="s">
        <v>447</v>
      </c>
      <c r="C30" s="134">
        <v>98.0</v>
      </c>
      <c r="D30" s="134">
        <v>13.1</v>
      </c>
      <c r="E30" s="134">
        <v>20.0</v>
      </c>
      <c r="F30" s="134">
        <v>4.0</v>
      </c>
      <c r="G30" s="134">
        <v>20.0</v>
      </c>
      <c r="H30" s="134">
        <v>0.0</v>
      </c>
      <c r="I30" s="134">
        <v>20.0</v>
      </c>
      <c r="J30" s="134">
        <v>3.2</v>
      </c>
      <c r="K30" s="134">
        <v>19.0</v>
      </c>
      <c r="L30" s="134">
        <v>2.53</v>
      </c>
      <c r="M30" s="134">
        <v>19.0</v>
      </c>
      <c r="N30" s="134">
        <v>3.37</v>
      </c>
    </row>
    <row r="31">
      <c r="A31" s="131" t="s">
        <v>624</v>
      </c>
      <c r="B31" s="133" t="s">
        <v>451</v>
      </c>
      <c r="C31" s="134">
        <v>98.0</v>
      </c>
      <c r="D31" s="134">
        <v>13.1</v>
      </c>
      <c r="E31" s="134">
        <v>20.0</v>
      </c>
      <c r="F31" s="134">
        <v>0.8</v>
      </c>
      <c r="G31" s="134">
        <v>20.0</v>
      </c>
      <c r="H31" s="134">
        <v>8.0</v>
      </c>
      <c r="I31" s="134">
        <v>20.0</v>
      </c>
      <c r="J31" s="134">
        <v>0.8</v>
      </c>
      <c r="K31" s="134">
        <v>19.0</v>
      </c>
      <c r="L31" s="134">
        <v>0.0</v>
      </c>
      <c r="M31" s="134">
        <v>19.0</v>
      </c>
      <c r="N31" s="134">
        <v>3.37</v>
      </c>
    </row>
    <row r="32">
      <c r="A32" s="131" t="s">
        <v>380</v>
      </c>
      <c r="B32" s="133" t="s">
        <v>381</v>
      </c>
      <c r="C32" s="134">
        <v>98.0</v>
      </c>
      <c r="D32" s="134">
        <v>23.7</v>
      </c>
      <c r="E32" s="134">
        <v>20.0</v>
      </c>
      <c r="F32" s="134">
        <v>8.0</v>
      </c>
      <c r="G32" s="134">
        <v>20.0</v>
      </c>
      <c r="H32" s="134">
        <v>0.0</v>
      </c>
      <c r="I32" s="134">
        <v>20.0</v>
      </c>
      <c r="J32" s="134">
        <v>4.8</v>
      </c>
      <c r="K32" s="134">
        <v>19.0</v>
      </c>
      <c r="L32" s="134">
        <v>7.58</v>
      </c>
      <c r="M32" s="134">
        <v>19.0</v>
      </c>
      <c r="N32" s="134">
        <v>3.37</v>
      </c>
    </row>
    <row r="33">
      <c r="A33" s="131" t="s">
        <v>422</v>
      </c>
      <c r="B33" s="133" t="s">
        <v>468</v>
      </c>
      <c r="C33" s="134">
        <v>99.0</v>
      </c>
      <c r="D33" s="134">
        <v>12.1</v>
      </c>
      <c r="E33" s="134">
        <v>20.0</v>
      </c>
      <c r="F33" s="134">
        <v>0.0</v>
      </c>
      <c r="G33" s="134">
        <v>20.0</v>
      </c>
      <c r="H33" s="134">
        <v>8.0</v>
      </c>
      <c r="I33" s="134">
        <v>20.0</v>
      </c>
      <c r="J33" s="134">
        <v>0.8</v>
      </c>
      <c r="K33" s="134">
        <v>20.0</v>
      </c>
      <c r="L33" s="134">
        <v>0.0</v>
      </c>
      <c r="M33" s="134">
        <v>19.0</v>
      </c>
      <c r="N33" s="134">
        <v>3.37</v>
      </c>
    </row>
    <row r="34">
      <c r="A34" s="131" t="s">
        <v>446</v>
      </c>
      <c r="B34" s="133" t="s">
        <v>428</v>
      </c>
      <c r="C34" s="134">
        <v>76.0</v>
      </c>
      <c r="D34" s="134">
        <v>13.7</v>
      </c>
      <c r="E34" s="134">
        <v>16.0</v>
      </c>
      <c r="F34" s="134">
        <v>3.0</v>
      </c>
      <c r="G34" s="134">
        <v>15.0</v>
      </c>
      <c r="H34" s="134">
        <v>2.13</v>
      </c>
      <c r="I34" s="134">
        <v>15.0</v>
      </c>
      <c r="J34" s="134">
        <v>4.27</v>
      </c>
      <c r="K34" s="134">
        <v>15.0</v>
      </c>
      <c r="L34" s="134">
        <v>1.07</v>
      </c>
      <c r="M34" s="134">
        <v>15.0</v>
      </c>
      <c r="N34" s="134">
        <v>3.2</v>
      </c>
    </row>
    <row r="35">
      <c r="A35" s="131" t="s">
        <v>402</v>
      </c>
      <c r="B35" s="133" t="s">
        <v>403</v>
      </c>
      <c r="C35" s="134">
        <v>100.0</v>
      </c>
      <c r="D35" s="134">
        <v>16.8</v>
      </c>
      <c r="E35" s="134">
        <v>20.0</v>
      </c>
      <c r="F35" s="134">
        <v>3.2</v>
      </c>
      <c r="G35" s="134">
        <v>20.0</v>
      </c>
      <c r="H35" s="134">
        <v>4.0</v>
      </c>
      <c r="I35" s="134">
        <v>20.0</v>
      </c>
      <c r="J35" s="134">
        <v>4.0</v>
      </c>
      <c r="K35" s="134">
        <v>20.0</v>
      </c>
      <c r="L35" s="134">
        <v>2.4</v>
      </c>
      <c r="M35" s="134">
        <v>20.0</v>
      </c>
      <c r="N35" s="134">
        <v>3.2</v>
      </c>
    </row>
    <row r="36">
      <c r="A36" s="131" t="s">
        <v>430</v>
      </c>
      <c r="B36" s="133" t="s">
        <v>606</v>
      </c>
      <c r="C36" s="134">
        <v>56.0</v>
      </c>
      <c r="D36" s="134">
        <v>4.29</v>
      </c>
      <c r="E36" s="134">
        <v>12.0</v>
      </c>
      <c r="F36" s="134">
        <v>0.0</v>
      </c>
      <c r="G36" s="134">
        <v>12.0</v>
      </c>
      <c r="H36" s="134">
        <v>1.33</v>
      </c>
      <c r="I36" s="134">
        <v>12.0</v>
      </c>
      <c r="J36" s="134">
        <v>0.0</v>
      </c>
      <c r="K36" s="134">
        <v>10.0</v>
      </c>
      <c r="L36" s="134">
        <v>0.0</v>
      </c>
      <c r="M36" s="134">
        <v>10.0</v>
      </c>
      <c r="N36" s="134">
        <v>3.2</v>
      </c>
    </row>
    <row r="37">
      <c r="A37" s="131" t="s">
        <v>444</v>
      </c>
      <c r="B37" s="133" t="s">
        <v>678</v>
      </c>
      <c r="C37" s="134">
        <v>80.0</v>
      </c>
      <c r="D37" s="134">
        <v>2.0</v>
      </c>
      <c r="E37" s="134">
        <v>16.0</v>
      </c>
      <c r="F37" s="134">
        <v>0.0</v>
      </c>
      <c r="G37" s="134">
        <v>16.0</v>
      </c>
      <c r="H37" s="134">
        <v>-1.0</v>
      </c>
      <c r="I37" s="134">
        <v>16.0</v>
      </c>
      <c r="J37" s="134">
        <v>0.0</v>
      </c>
      <c r="K37" s="134">
        <v>16.0</v>
      </c>
      <c r="L37" s="134">
        <v>0.0</v>
      </c>
      <c r="M37" s="134">
        <v>16.0</v>
      </c>
      <c r="N37" s="134">
        <v>3.0</v>
      </c>
    </row>
    <row r="38">
      <c r="A38" s="131" t="s">
        <v>611</v>
      </c>
      <c r="B38" s="133" t="s">
        <v>598</v>
      </c>
      <c r="C38" s="134">
        <v>81.0</v>
      </c>
      <c r="D38" s="134">
        <v>4.94</v>
      </c>
      <c r="E38" s="134">
        <v>16.0</v>
      </c>
      <c r="F38" s="134">
        <v>0.0</v>
      </c>
      <c r="G38" s="134">
        <v>17.0</v>
      </c>
      <c r="H38" s="134">
        <v>1.88</v>
      </c>
      <c r="I38" s="134">
        <v>16.0</v>
      </c>
      <c r="J38" s="134">
        <v>0.0</v>
      </c>
      <c r="K38" s="134">
        <v>16.0</v>
      </c>
      <c r="L38" s="134">
        <v>0.0</v>
      </c>
      <c r="M38" s="134">
        <v>16.0</v>
      </c>
      <c r="N38" s="134">
        <v>3.0</v>
      </c>
    </row>
    <row r="39">
      <c r="A39" s="131" t="s">
        <v>672</v>
      </c>
      <c r="B39" s="133" t="s">
        <v>397</v>
      </c>
      <c r="C39" s="134">
        <v>60.0</v>
      </c>
      <c r="D39" s="134">
        <v>18.7</v>
      </c>
      <c r="E39" s="134">
        <v>12.0</v>
      </c>
      <c r="F39" s="134">
        <v>2.67</v>
      </c>
      <c r="G39" s="134">
        <v>12.0</v>
      </c>
      <c r="H39" s="134">
        <v>5.33</v>
      </c>
      <c r="I39" s="134">
        <v>12.0</v>
      </c>
      <c r="J39" s="134">
        <v>4.0</v>
      </c>
      <c r="K39" s="134">
        <v>12.0</v>
      </c>
      <c r="L39" s="134">
        <v>4.0</v>
      </c>
      <c r="M39" s="134">
        <v>12.0</v>
      </c>
      <c r="N39" s="134">
        <v>2.67</v>
      </c>
    </row>
    <row r="40">
      <c r="A40" s="131" t="s">
        <v>394</v>
      </c>
      <c r="B40" s="133" t="s">
        <v>466</v>
      </c>
      <c r="C40" s="134">
        <v>98.0</v>
      </c>
      <c r="D40" s="134">
        <v>8.98</v>
      </c>
      <c r="E40" s="134">
        <v>20.0</v>
      </c>
      <c r="F40" s="134">
        <v>4.0</v>
      </c>
      <c r="G40" s="134">
        <v>20.0</v>
      </c>
      <c r="H40" s="134">
        <v>0.8</v>
      </c>
      <c r="I40" s="134">
        <v>21.0</v>
      </c>
      <c r="J40" s="134">
        <v>0.762</v>
      </c>
      <c r="K40" s="134">
        <v>19.0</v>
      </c>
      <c r="L40" s="134">
        <v>0.842</v>
      </c>
      <c r="M40" s="134">
        <v>18.0</v>
      </c>
      <c r="N40" s="134">
        <v>2.67</v>
      </c>
    </row>
    <row r="41">
      <c r="A41" s="131" t="s">
        <v>459</v>
      </c>
      <c r="B41" s="133" t="s">
        <v>629</v>
      </c>
      <c r="C41" s="134">
        <v>98.0</v>
      </c>
      <c r="D41" s="134">
        <v>2.45</v>
      </c>
      <c r="E41" s="134">
        <v>20.0</v>
      </c>
      <c r="F41" s="134">
        <v>0.8</v>
      </c>
      <c r="G41" s="134">
        <v>20.0</v>
      </c>
      <c r="H41" s="134">
        <v>0.0</v>
      </c>
      <c r="I41" s="134">
        <v>20.0</v>
      </c>
      <c r="J41" s="134">
        <v>-0.8</v>
      </c>
      <c r="K41" s="134">
        <v>19.0</v>
      </c>
      <c r="L41" s="134">
        <v>0.0</v>
      </c>
      <c r="M41" s="134">
        <v>19.0</v>
      </c>
      <c r="N41" s="134">
        <v>2.53</v>
      </c>
    </row>
    <row r="42">
      <c r="A42" s="131" t="s">
        <v>643</v>
      </c>
      <c r="B42" s="133" t="s">
        <v>527</v>
      </c>
      <c r="C42" s="134">
        <v>99.0</v>
      </c>
      <c r="D42" s="134">
        <v>2.42</v>
      </c>
      <c r="E42" s="134">
        <v>20.0</v>
      </c>
      <c r="F42" s="134">
        <v>0.8</v>
      </c>
      <c r="G42" s="134">
        <v>20.0</v>
      </c>
      <c r="H42" s="134">
        <v>0.0</v>
      </c>
      <c r="I42" s="134">
        <v>20.0</v>
      </c>
      <c r="J42" s="134">
        <v>-0.8</v>
      </c>
      <c r="K42" s="134">
        <v>20.0</v>
      </c>
      <c r="L42" s="134">
        <v>0.0</v>
      </c>
      <c r="M42" s="134">
        <v>19.0</v>
      </c>
      <c r="N42" s="134">
        <v>2.53</v>
      </c>
    </row>
    <row r="43">
      <c r="A43" s="131" t="s">
        <v>406</v>
      </c>
      <c r="B43" s="133" t="s">
        <v>409</v>
      </c>
      <c r="C43" s="134">
        <v>100.0</v>
      </c>
      <c r="D43" s="134">
        <v>16.0</v>
      </c>
      <c r="E43" s="134">
        <v>20.0</v>
      </c>
      <c r="F43" s="134">
        <v>8.0</v>
      </c>
      <c r="G43" s="134">
        <v>20.0</v>
      </c>
      <c r="H43" s="134">
        <v>0.0</v>
      </c>
      <c r="I43" s="134">
        <v>20.0</v>
      </c>
      <c r="J43" s="134">
        <v>4.0</v>
      </c>
      <c r="K43" s="134">
        <v>20.0</v>
      </c>
      <c r="L43" s="134">
        <v>1.6</v>
      </c>
      <c r="M43" s="134">
        <v>20.0</v>
      </c>
      <c r="N43" s="134">
        <v>2.4</v>
      </c>
    </row>
    <row r="44">
      <c r="A44" s="131" t="s">
        <v>439</v>
      </c>
      <c r="B44" s="133" t="s">
        <v>614</v>
      </c>
      <c r="C44" s="134">
        <v>78.0</v>
      </c>
      <c r="D44" s="134">
        <v>4.1</v>
      </c>
      <c r="E44" s="134">
        <v>18.0</v>
      </c>
      <c r="F44" s="134">
        <v>0.889</v>
      </c>
      <c r="G44" s="134">
        <v>16.0</v>
      </c>
      <c r="H44" s="134">
        <v>1.0</v>
      </c>
      <c r="I44" s="134">
        <v>15.0</v>
      </c>
      <c r="J44" s="134">
        <v>1.07</v>
      </c>
      <c r="K44" s="134">
        <v>15.0</v>
      </c>
      <c r="L44" s="134">
        <v>-1.07</v>
      </c>
      <c r="M44" s="134">
        <v>14.0</v>
      </c>
      <c r="N44" s="134">
        <v>2.29</v>
      </c>
    </row>
    <row r="45">
      <c r="A45" s="131" t="s">
        <v>573</v>
      </c>
      <c r="B45" s="133" t="s">
        <v>572</v>
      </c>
      <c r="C45" s="134">
        <v>39.0</v>
      </c>
      <c r="D45" s="134">
        <v>6.15</v>
      </c>
      <c r="E45" s="134">
        <v>8.0</v>
      </c>
      <c r="F45" s="134">
        <v>0.0</v>
      </c>
      <c r="G45" s="134">
        <v>8.0</v>
      </c>
      <c r="H45" s="134">
        <v>0.0</v>
      </c>
      <c r="I45" s="134">
        <v>8.0</v>
      </c>
      <c r="J45" s="134">
        <v>2.0</v>
      </c>
      <c r="K45" s="134">
        <v>8.0</v>
      </c>
      <c r="L45" s="134">
        <v>2.0</v>
      </c>
      <c r="M45" s="134">
        <v>7.0</v>
      </c>
      <c r="N45" s="134">
        <v>2.29</v>
      </c>
    </row>
    <row r="46">
      <c r="A46" s="131" t="s">
        <v>617</v>
      </c>
      <c r="B46" s="133" t="s">
        <v>493</v>
      </c>
      <c r="C46" s="134">
        <v>43.0</v>
      </c>
      <c r="D46" s="134">
        <v>7.44</v>
      </c>
      <c r="E46" s="134">
        <v>10.0</v>
      </c>
      <c r="F46" s="134">
        <v>3.2</v>
      </c>
      <c r="G46" s="134">
        <v>9.0</v>
      </c>
      <c r="H46" s="134">
        <v>1.78</v>
      </c>
      <c r="I46" s="134">
        <v>8.0</v>
      </c>
      <c r="J46" s="134">
        <v>0.0</v>
      </c>
      <c r="K46" s="134">
        <v>8.0</v>
      </c>
      <c r="L46" s="134">
        <v>0.0</v>
      </c>
      <c r="M46" s="134">
        <v>8.0</v>
      </c>
      <c r="N46" s="134">
        <v>2.0</v>
      </c>
    </row>
    <row r="47">
      <c r="A47" s="131" t="s">
        <v>492</v>
      </c>
      <c r="B47" s="133" t="s">
        <v>423</v>
      </c>
      <c r="C47" s="134">
        <v>89.0</v>
      </c>
      <c r="D47" s="134">
        <v>14.4</v>
      </c>
      <c r="E47" s="134">
        <v>19.0</v>
      </c>
      <c r="F47" s="134">
        <v>0.0</v>
      </c>
      <c r="G47" s="134">
        <v>18.0</v>
      </c>
      <c r="H47" s="134">
        <v>0.889</v>
      </c>
      <c r="I47" s="134">
        <v>18.0</v>
      </c>
      <c r="J47" s="134">
        <v>2.67</v>
      </c>
      <c r="K47" s="134">
        <v>17.0</v>
      </c>
      <c r="L47" s="134">
        <v>9.41</v>
      </c>
      <c r="M47" s="134">
        <v>17.0</v>
      </c>
      <c r="N47" s="134">
        <v>1.88</v>
      </c>
    </row>
    <row r="48">
      <c r="A48" s="131" t="s">
        <v>398</v>
      </c>
      <c r="B48" s="133" t="s">
        <v>399</v>
      </c>
      <c r="C48" s="134">
        <v>92.0</v>
      </c>
      <c r="D48" s="134">
        <v>18.3</v>
      </c>
      <c r="E48" s="134">
        <v>20.0</v>
      </c>
      <c r="F48" s="134">
        <v>0.0</v>
      </c>
      <c r="G48" s="134">
        <v>19.0</v>
      </c>
      <c r="H48" s="134">
        <v>4.21</v>
      </c>
      <c r="I48" s="134">
        <v>18.0</v>
      </c>
      <c r="J48" s="134">
        <v>4.44</v>
      </c>
      <c r="K48" s="134">
        <v>18.0</v>
      </c>
      <c r="L48" s="134">
        <v>8.0</v>
      </c>
      <c r="M48" s="134">
        <v>17.0</v>
      </c>
      <c r="N48" s="134">
        <v>1.88</v>
      </c>
    </row>
    <row r="49">
      <c r="A49" s="131" t="s">
        <v>420</v>
      </c>
      <c r="B49" s="133" t="s">
        <v>495</v>
      </c>
      <c r="C49" s="134">
        <v>95.0</v>
      </c>
      <c r="D49" s="134">
        <v>9.26</v>
      </c>
      <c r="E49" s="134">
        <v>20.0</v>
      </c>
      <c r="F49" s="134">
        <v>0.0</v>
      </c>
      <c r="G49" s="134">
        <v>20.0</v>
      </c>
      <c r="H49" s="134">
        <v>5.6</v>
      </c>
      <c r="I49" s="134">
        <v>20.0</v>
      </c>
      <c r="J49" s="134">
        <v>0.0</v>
      </c>
      <c r="K49" s="134">
        <v>18.0</v>
      </c>
      <c r="L49" s="134">
        <v>1.78</v>
      </c>
      <c r="M49" s="134">
        <v>17.0</v>
      </c>
      <c r="N49" s="134">
        <v>1.88</v>
      </c>
    </row>
    <row r="50">
      <c r="A50" s="131" t="s">
        <v>494</v>
      </c>
      <c r="B50" s="133" t="s">
        <v>657</v>
      </c>
      <c r="C50" s="134">
        <v>98.0</v>
      </c>
      <c r="D50" s="134">
        <v>2.45</v>
      </c>
      <c r="E50" s="134">
        <v>21.0</v>
      </c>
      <c r="F50" s="134">
        <v>0.0</v>
      </c>
      <c r="G50" s="134">
        <v>21.0</v>
      </c>
      <c r="H50" s="134">
        <v>0.762</v>
      </c>
      <c r="I50" s="134">
        <v>20.0</v>
      </c>
      <c r="J50" s="134">
        <v>0.0</v>
      </c>
      <c r="K50" s="134">
        <v>18.0</v>
      </c>
      <c r="L50" s="134">
        <v>0.0</v>
      </c>
      <c r="M50" s="134">
        <v>18.0</v>
      </c>
      <c r="N50" s="134">
        <v>1.78</v>
      </c>
    </row>
    <row r="51">
      <c r="A51" s="131" t="s">
        <v>579</v>
      </c>
      <c r="B51" s="133" t="s">
        <v>477</v>
      </c>
      <c r="C51" s="134">
        <v>95.0</v>
      </c>
      <c r="D51" s="134">
        <v>10.9</v>
      </c>
      <c r="E51" s="134">
        <v>20.0</v>
      </c>
      <c r="F51" s="134">
        <v>0.0</v>
      </c>
      <c r="G51" s="134">
        <v>20.0</v>
      </c>
      <c r="H51" s="134">
        <v>8.0</v>
      </c>
      <c r="I51" s="134">
        <v>19.0</v>
      </c>
      <c r="J51" s="134">
        <v>0.0</v>
      </c>
      <c r="K51" s="134">
        <v>18.0</v>
      </c>
      <c r="L51" s="134">
        <v>0.889</v>
      </c>
      <c r="M51" s="134">
        <v>18.0</v>
      </c>
      <c r="N51" s="134">
        <v>1.78</v>
      </c>
    </row>
    <row r="52">
      <c r="A52" s="131" t="s">
        <v>374</v>
      </c>
      <c r="B52" s="133" t="s">
        <v>441</v>
      </c>
      <c r="C52" s="134">
        <v>90.0</v>
      </c>
      <c r="D52" s="134">
        <v>13.3</v>
      </c>
      <c r="E52" s="134">
        <v>18.0</v>
      </c>
      <c r="F52" s="134">
        <v>2.67</v>
      </c>
      <c r="G52" s="134">
        <v>18.0</v>
      </c>
      <c r="H52" s="134">
        <v>0.889</v>
      </c>
      <c r="I52" s="134">
        <v>18.0</v>
      </c>
      <c r="J52" s="134">
        <v>1.78</v>
      </c>
      <c r="K52" s="134">
        <v>18.0</v>
      </c>
      <c r="L52" s="134">
        <v>6.22</v>
      </c>
      <c r="M52" s="134">
        <v>18.0</v>
      </c>
      <c r="N52" s="134">
        <v>1.78</v>
      </c>
    </row>
    <row r="53">
      <c r="A53" s="131" t="s">
        <v>472</v>
      </c>
      <c r="B53" s="133" t="s">
        <v>375</v>
      </c>
      <c r="C53" s="134">
        <v>93.0</v>
      </c>
      <c r="D53" s="134">
        <v>26.7</v>
      </c>
      <c r="E53" s="134">
        <v>20.0</v>
      </c>
      <c r="F53" s="134">
        <v>7.2</v>
      </c>
      <c r="G53" s="134">
        <v>19.0</v>
      </c>
      <c r="H53" s="134">
        <v>5.89</v>
      </c>
      <c r="I53" s="134">
        <v>18.0</v>
      </c>
      <c r="J53" s="134">
        <v>2.67</v>
      </c>
      <c r="K53" s="134">
        <v>18.0</v>
      </c>
      <c r="L53" s="134">
        <v>8.89</v>
      </c>
      <c r="M53" s="134">
        <v>18.0</v>
      </c>
      <c r="N53" s="134">
        <v>1.78</v>
      </c>
    </row>
    <row r="54">
      <c r="A54" s="131" t="s">
        <v>655</v>
      </c>
      <c r="B54" s="133" t="s">
        <v>426</v>
      </c>
      <c r="C54" s="134">
        <v>98.0</v>
      </c>
      <c r="D54" s="134">
        <v>13.1</v>
      </c>
      <c r="E54" s="134">
        <v>20.0</v>
      </c>
      <c r="F54" s="134">
        <v>7.2</v>
      </c>
      <c r="G54" s="134">
        <v>20.0</v>
      </c>
      <c r="H54" s="134">
        <v>0.0</v>
      </c>
      <c r="I54" s="134">
        <v>20.0</v>
      </c>
      <c r="J54" s="134">
        <v>2.4</v>
      </c>
      <c r="K54" s="134">
        <v>19.0</v>
      </c>
      <c r="L54" s="134">
        <v>1.68</v>
      </c>
      <c r="M54" s="134">
        <v>19.0</v>
      </c>
      <c r="N54" s="134">
        <v>1.68</v>
      </c>
    </row>
    <row r="55">
      <c r="A55" s="131" t="s">
        <v>382</v>
      </c>
      <c r="B55" s="133" t="s">
        <v>564</v>
      </c>
      <c r="C55" s="134">
        <v>99.0</v>
      </c>
      <c r="D55" s="134">
        <v>6.46</v>
      </c>
      <c r="E55" s="134">
        <v>20.0</v>
      </c>
      <c r="F55" s="134">
        <v>0.0</v>
      </c>
      <c r="G55" s="134">
        <v>20.0</v>
      </c>
      <c r="H55" s="134">
        <v>4.0</v>
      </c>
      <c r="I55" s="134">
        <v>20.0</v>
      </c>
      <c r="J55" s="134">
        <v>0.0</v>
      </c>
      <c r="K55" s="134">
        <v>20.0</v>
      </c>
      <c r="L55" s="134">
        <v>0.8</v>
      </c>
      <c r="M55" s="134">
        <v>19.0</v>
      </c>
      <c r="N55" s="134">
        <v>1.68</v>
      </c>
    </row>
    <row r="56">
      <c r="A56" s="131" t="s">
        <v>408</v>
      </c>
      <c r="B56" s="133" t="s">
        <v>412</v>
      </c>
      <c r="C56" s="134">
        <v>97.0</v>
      </c>
      <c r="D56" s="134">
        <v>15.7</v>
      </c>
      <c r="E56" s="134">
        <v>20.0</v>
      </c>
      <c r="F56" s="134">
        <v>2.4</v>
      </c>
      <c r="G56" s="134">
        <v>20.0</v>
      </c>
      <c r="H56" s="134">
        <v>8.8</v>
      </c>
      <c r="I56" s="134">
        <v>19.0</v>
      </c>
      <c r="J56" s="134">
        <v>0.842</v>
      </c>
      <c r="K56" s="134">
        <v>19.0</v>
      </c>
      <c r="L56" s="134">
        <v>1.68</v>
      </c>
      <c r="M56" s="134">
        <v>19.0</v>
      </c>
      <c r="N56" s="134">
        <v>1.68</v>
      </c>
    </row>
    <row r="57">
      <c r="A57" s="131" t="s">
        <v>429</v>
      </c>
      <c r="B57" s="133" t="s">
        <v>431</v>
      </c>
      <c r="C57" s="134">
        <v>99.0</v>
      </c>
      <c r="D57" s="134">
        <v>13.7</v>
      </c>
      <c r="E57" s="134">
        <v>20.0</v>
      </c>
      <c r="F57" s="134">
        <v>6.4</v>
      </c>
      <c r="G57" s="134">
        <v>20.0</v>
      </c>
      <c r="H57" s="134">
        <v>2.4</v>
      </c>
      <c r="I57" s="134">
        <v>20.0</v>
      </c>
      <c r="J57" s="134">
        <v>3.2</v>
      </c>
      <c r="K57" s="134">
        <v>20.0</v>
      </c>
      <c r="L57" s="134">
        <v>0.0</v>
      </c>
      <c r="M57" s="134">
        <v>19.0</v>
      </c>
      <c r="N57" s="134">
        <v>1.68</v>
      </c>
    </row>
    <row r="58">
      <c r="A58" s="131" t="s">
        <v>476</v>
      </c>
      <c r="B58" s="133" t="s">
        <v>480</v>
      </c>
      <c r="C58" s="134">
        <v>99.0</v>
      </c>
      <c r="D58" s="134">
        <v>10.5</v>
      </c>
      <c r="E58" s="134">
        <v>20.0</v>
      </c>
      <c r="F58" s="134">
        <v>0.0</v>
      </c>
      <c r="G58" s="134">
        <v>20.0</v>
      </c>
      <c r="H58" s="134">
        <v>4.8</v>
      </c>
      <c r="I58" s="134">
        <v>20.0</v>
      </c>
      <c r="J58" s="134">
        <v>0.0</v>
      </c>
      <c r="K58" s="134">
        <v>20.0</v>
      </c>
      <c r="L58" s="134">
        <v>4.0</v>
      </c>
      <c r="M58" s="134">
        <v>19.0</v>
      </c>
      <c r="N58" s="134">
        <v>1.68</v>
      </c>
    </row>
    <row r="59">
      <c r="A59" s="131" t="s">
        <v>479</v>
      </c>
      <c r="B59" s="133" t="s">
        <v>510</v>
      </c>
      <c r="C59" s="134">
        <v>99.0</v>
      </c>
      <c r="D59" s="134">
        <v>8.89</v>
      </c>
      <c r="E59" s="134">
        <v>20.0</v>
      </c>
      <c r="F59" s="134">
        <v>0.0</v>
      </c>
      <c r="G59" s="134">
        <v>20.0</v>
      </c>
      <c r="H59" s="134">
        <v>0.8</v>
      </c>
      <c r="I59" s="134">
        <v>20.0</v>
      </c>
      <c r="J59" s="134">
        <v>-0.8</v>
      </c>
      <c r="K59" s="134">
        <v>20.0</v>
      </c>
      <c r="L59" s="134">
        <v>7.2</v>
      </c>
      <c r="M59" s="134">
        <v>19.0</v>
      </c>
      <c r="N59" s="134">
        <v>1.68</v>
      </c>
    </row>
    <row r="60">
      <c r="A60" s="131" t="s">
        <v>507</v>
      </c>
      <c r="B60" s="133" t="s">
        <v>387</v>
      </c>
      <c r="C60" s="134">
        <v>98.0</v>
      </c>
      <c r="D60" s="134">
        <v>22.9</v>
      </c>
      <c r="E60" s="134">
        <v>20.0</v>
      </c>
      <c r="F60" s="134">
        <v>0.0</v>
      </c>
      <c r="G60" s="134">
        <v>20.0</v>
      </c>
      <c r="H60" s="134">
        <v>11.2</v>
      </c>
      <c r="I60" s="134">
        <v>20.0</v>
      </c>
      <c r="J60" s="134">
        <v>3.2</v>
      </c>
      <c r="K60" s="134">
        <v>19.0</v>
      </c>
      <c r="L60" s="134">
        <v>6.74</v>
      </c>
      <c r="M60" s="134">
        <v>19.0</v>
      </c>
      <c r="N60" s="134">
        <v>1.68</v>
      </c>
    </row>
    <row r="61">
      <c r="A61" s="131" t="s">
        <v>562</v>
      </c>
      <c r="B61" s="133" t="s">
        <v>483</v>
      </c>
      <c r="C61" s="134">
        <v>99.0</v>
      </c>
      <c r="D61" s="134">
        <v>10.5</v>
      </c>
      <c r="E61" s="134">
        <v>20.0</v>
      </c>
      <c r="F61" s="134">
        <v>3.2</v>
      </c>
      <c r="G61" s="134">
        <v>20.0</v>
      </c>
      <c r="H61" s="134">
        <v>2.4</v>
      </c>
      <c r="I61" s="134">
        <v>20.0</v>
      </c>
      <c r="J61" s="134">
        <v>0.8</v>
      </c>
      <c r="K61" s="134">
        <v>20.0</v>
      </c>
      <c r="L61" s="134">
        <v>2.4</v>
      </c>
      <c r="M61" s="134">
        <v>19.0</v>
      </c>
      <c r="N61" s="134">
        <v>1.68</v>
      </c>
    </row>
    <row r="62">
      <c r="A62" s="91" t="s">
        <v>442</v>
      </c>
      <c r="B62" s="133" t="s">
        <v>445</v>
      </c>
      <c r="C62" s="134">
        <v>56.0</v>
      </c>
      <c r="D62" s="134">
        <v>10.0</v>
      </c>
      <c r="E62" s="134">
        <v>12.0</v>
      </c>
      <c r="F62" s="134">
        <v>5.33</v>
      </c>
      <c r="G62" s="134">
        <v>12.0</v>
      </c>
      <c r="H62" s="134">
        <v>0.0</v>
      </c>
      <c r="I62" s="134">
        <v>12.0</v>
      </c>
      <c r="J62" s="134">
        <v>2.67</v>
      </c>
      <c r="K62" s="134">
        <v>10.0</v>
      </c>
      <c r="L62" s="134">
        <v>0.0</v>
      </c>
      <c r="M62" s="134">
        <v>10.0</v>
      </c>
      <c r="N62" s="134">
        <v>1.6</v>
      </c>
    </row>
    <row r="63">
      <c r="A63" s="131" t="s">
        <v>512</v>
      </c>
      <c r="B63" s="133" t="s">
        <v>529</v>
      </c>
      <c r="C63" s="134">
        <v>100.0</v>
      </c>
      <c r="D63" s="134">
        <v>6.4</v>
      </c>
      <c r="E63" s="134">
        <v>20.0</v>
      </c>
      <c r="F63" s="134">
        <v>2.4</v>
      </c>
      <c r="G63" s="134">
        <v>20.0</v>
      </c>
      <c r="H63" s="134">
        <v>0.0</v>
      </c>
      <c r="I63" s="134">
        <v>20.0</v>
      </c>
      <c r="J63" s="134">
        <v>2.4</v>
      </c>
      <c r="K63" s="134">
        <v>20.0</v>
      </c>
      <c r="L63" s="134">
        <v>0.0</v>
      </c>
      <c r="M63" s="134">
        <v>20.0</v>
      </c>
      <c r="N63" s="134">
        <v>1.6</v>
      </c>
    </row>
    <row r="64">
      <c r="A64" s="131" t="s">
        <v>528</v>
      </c>
      <c r="B64" s="133" t="s">
        <v>693</v>
      </c>
      <c r="C64" s="134">
        <v>100.0</v>
      </c>
      <c r="D64" s="134">
        <v>1.6</v>
      </c>
      <c r="E64" s="134">
        <v>20.0</v>
      </c>
      <c r="F64" s="134">
        <v>0.0</v>
      </c>
      <c r="G64" s="134">
        <v>20.0</v>
      </c>
      <c r="H64" s="134">
        <v>0.0</v>
      </c>
      <c r="I64" s="134">
        <v>20.0</v>
      </c>
      <c r="J64" s="134">
        <v>0.0</v>
      </c>
      <c r="K64" s="134">
        <v>20.0</v>
      </c>
      <c r="L64" s="134">
        <v>0.0</v>
      </c>
      <c r="M64" s="134">
        <v>20.0</v>
      </c>
      <c r="N64" s="134">
        <v>1.6</v>
      </c>
    </row>
    <row r="65">
      <c r="A65" s="131" t="s">
        <v>631</v>
      </c>
      <c r="B65" s="133" t="s">
        <v>632</v>
      </c>
      <c r="C65" s="134">
        <v>100.0</v>
      </c>
      <c r="D65" s="134">
        <v>4.0</v>
      </c>
      <c r="E65" s="134">
        <v>20.0</v>
      </c>
      <c r="F65" s="134">
        <v>0.8</v>
      </c>
      <c r="G65" s="134">
        <v>20.0</v>
      </c>
      <c r="H65" s="134">
        <v>0.8</v>
      </c>
      <c r="I65" s="134">
        <v>20.0</v>
      </c>
      <c r="J65" s="134">
        <v>0.8</v>
      </c>
      <c r="K65" s="134">
        <v>20.0</v>
      </c>
      <c r="L65" s="134">
        <v>0.0</v>
      </c>
      <c r="M65" s="134">
        <v>20.0</v>
      </c>
      <c r="N65" s="134">
        <v>1.6</v>
      </c>
    </row>
    <row r="66">
      <c r="A66" s="131" t="s">
        <v>688</v>
      </c>
      <c r="B66" s="133" t="s">
        <v>515</v>
      </c>
      <c r="C66" s="134">
        <v>48.0</v>
      </c>
      <c r="D66" s="134">
        <v>8.33</v>
      </c>
      <c r="E66" s="134">
        <v>9.0</v>
      </c>
      <c r="F66" s="134">
        <v>0.0</v>
      </c>
      <c r="G66" s="134">
        <v>9.0</v>
      </c>
      <c r="H66" s="134">
        <v>3.56</v>
      </c>
      <c r="I66" s="134">
        <v>10.0</v>
      </c>
      <c r="J66" s="134">
        <v>3.2</v>
      </c>
      <c r="K66" s="134">
        <v>10.0</v>
      </c>
      <c r="L66" s="134">
        <v>0.0</v>
      </c>
      <c r="M66" s="134">
        <v>10.0</v>
      </c>
      <c r="N66" s="134">
        <v>1.6</v>
      </c>
    </row>
    <row r="67">
      <c r="A67" s="131" t="s">
        <v>416</v>
      </c>
      <c r="B67" s="133" t="s">
        <v>421</v>
      </c>
      <c r="C67" s="134">
        <v>66.0</v>
      </c>
      <c r="D67" s="134">
        <v>14.5</v>
      </c>
      <c r="E67" s="134">
        <v>15.0</v>
      </c>
      <c r="F67" s="134">
        <v>3.2</v>
      </c>
      <c r="G67" s="134">
        <v>14.0</v>
      </c>
      <c r="H67" s="134">
        <v>6.86</v>
      </c>
      <c r="I67" s="134">
        <v>13.0</v>
      </c>
      <c r="J67" s="134">
        <v>1.23</v>
      </c>
      <c r="K67" s="134">
        <v>12.0</v>
      </c>
      <c r="L67" s="134">
        <v>1.33</v>
      </c>
      <c r="M67" s="134">
        <v>12.0</v>
      </c>
      <c r="N67" s="134">
        <v>1.33</v>
      </c>
    </row>
    <row r="68">
      <c r="A68" s="131" t="s">
        <v>456</v>
      </c>
      <c r="B68" s="133" t="s">
        <v>592</v>
      </c>
      <c r="C68" s="134">
        <v>72.0</v>
      </c>
      <c r="D68" s="134">
        <v>4.44</v>
      </c>
      <c r="E68" s="134">
        <v>16.0</v>
      </c>
      <c r="F68" s="134">
        <v>1.0</v>
      </c>
      <c r="G68" s="134">
        <v>15.0</v>
      </c>
      <c r="H68" s="134">
        <v>0.0</v>
      </c>
      <c r="I68" s="134">
        <v>14.0</v>
      </c>
      <c r="J68" s="134">
        <v>0.0</v>
      </c>
      <c r="K68" s="134">
        <v>14.0</v>
      </c>
      <c r="L68" s="134">
        <v>2.29</v>
      </c>
      <c r="M68" s="134">
        <v>13.0</v>
      </c>
      <c r="N68" s="134">
        <v>1.23</v>
      </c>
    </row>
    <row r="69">
      <c r="A69" s="131" t="s">
        <v>595</v>
      </c>
      <c r="B69" s="133" t="s">
        <v>461</v>
      </c>
      <c r="C69" s="134">
        <v>71.0</v>
      </c>
      <c r="D69" s="134">
        <v>10.1</v>
      </c>
      <c r="E69" s="134">
        <v>16.0</v>
      </c>
      <c r="F69" s="134">
        <v>4.0</v>
      </c>
      <c r="G69" s="134">
        <v>14.0</v>
      </c>
      <c r="H69" s="134">
        <v>3.43</v>
      </c>
      <c r="I69" s="134">
        <v>14.0</v>
      </c>
      <c r="J69" s="134">
        <v>1.14</v>
      </c>
      <c r="K69" s="134">
        <v>14.0</v>
      </c>
      <c r="L69" s="134">
        <v>0.0</v>
      </c>
      <c r="M69" s="134">
        <v>13.0</v>
      </c>
      <c r="N69" s="134">
        <v>1.23</v>
      </c>
    </row>
    <row r="70">
      <c r="A70" s="131" t="s">
        <v>470</v>
      </c>
      <c r="B70" s="133" t="s">
        <v>589</v>
      </c>
      <c r="C70" s="134">
        <v>78.0</v>
      </c>
      <c r="D70" s="134">
        <v>4.1</v>
      </c>
      <c r="E70" s="134">
        <v>16.0</v>
      </c>
      <c r="F70" s="134">
        <v>1.0</v>
      </c>
      <c r="G70" s="134">
        <v>16.0</v>
      </c>
      <c r="H70" s="134">
        <v>0.0</v>
      </c>
      <c r="I70" s="134">
        <v>16.0</v>
      </c>
      <c r="J70" s="134">
        <v>2.0</v>
      </c>
      <c r="K70" s="134">
        <v>15.0</v>
      </c>
      <c r="L70" s="134">
        <v>0.0</v>
      </c>
      <c r="M70" s="134">
        <v>15.0</v>
      </c>
      <c r="N70" s="134">
        <v>1.07</v>
      </c>
    </row>
    <row r="71">
      <c r="A71" s="131" t="s">
        <v>603</v>
      </c>
      <c r="B71" s="133" t="s">
        <v>604</v>
      </c>
      <c r="C71" s="134">
        <v>76.0</v>
      </c>
      <c r="D71" s="134">
        <v>3.16</v>
      </c>
      <c r="E71" s="134">
        <v>16.0</v>
      </c>
      <c r="F71" s="134">
        <v>1.0</v>
      </c>
      <c r="G71" s="134">
        <v>15.0</v>
      </c>
      <c r="H71" s="134">
        <v>0.0</v>
      </c>
      <c r="I71" s="134">
        <v>15.0</v>
      </c>
      <c r="J71" s="134">
        <v>1.07</v>
      </c>
      <c r="K71" s="134">
        <v>15.0</v>
      </c>
      <c r="L71" s="134">
        <v>0.0</v>
      </c>
      <c r="M71" s="134">
        <v>15.0</v>
      </c>
      <c r="N71" s="134">
        <v>1.07</v>
      </c>
    </row>
    <row r="72">
      <c r="A72" s="131" t="s">
        <v>608</v>
      </c>
      <c r="B72" s="133" t="s">
        <v>473</v>
      </c>
      <c r="C72" s="134">
        <v>78.0</v>
      </c>
      <c r="D72" s="134">
        <v>11.3</v>
      </c>
      <c r="E72" s="134">
        <v>16.0</v>
      </c>
      <c r="F72" s="134">
        <v>3.0</v>
      </c>
      <c r="G72" s="134">
        <v>16.0</v>
      </c>
      <c r="H72" s="134">
        <v>0.0</v>
      </c>
      <c r="I72" s="134">
        <v>16.0</v>
      </c>
      <c r="J72" s="134">
        <v>0.0</v>
      </c>
      <c r="K72" s="134">
        <v>15.0</v>
      </c>
      <c r="L72" s="134">
        <v>7.47</v>
      </c>
      <c r="M72" s="134">
        <v>15.0</v>
      </c>
      <c r="N72" s="134">
        <v>1.07</v>
      </c>
    </row>
    <row r="73">
      <c r="A73" s="131" t="s">
        <v>670</v>
      </c>
      <c r="B73" s="133" t="s">
        <v>673</v>
      </c>
      <c r="C73" s="134">
        <v>80.0</v>
      </c>
      <c r="D73" s="134">
        <v>2.0</v>
      </c>
      <c r="E73" s="134">
        <v>16.0</v>
      </c>
      <c r="F73" s="134">
        <v>0.0</v>
      </c>
      <c r="G73" s="134">
        <v>16.0</v>
      </c>
      <c r="H73" s="134">
        <v>0.0</v>
      </c>
      <c r="I73" s="134">
        <v>16.0</v>
      </c>
      <c r="J73" s="134">
        <v>0.0</v>
      </c>
      <c r="K73" s="134">
        <v>16.0</v>
      </c>
      <c r="L73" s="134">
        <v>1.0</v>
      </c>
      <c r="M73" s="134">
        <v>16.0</v>
      </c>
      <c r="N73" s="134">
        <v>1.0</v>
      </c>
    </row>
    <row r="74">
      <c r="A74" s="131" t="s">
        <v>501</v>
      </c>
      <c r="B74" s="133" t="s">
        <v>634</v>
      </c>
      <c r="C74" s="134">
        <v>81.0</v>
      </c>
      <c r="D74" s="134">
        <v>3.95</v>
      </c>
      <c r="E74" s="134">
        <v>17.0</v>
      </c>
      <c r="F74" s="134">
        <v>0.0</v>
      </c>
      <c r="G74" s="134">
        <v>16.0</v>
      </c>
      <c r="H74" s="134">
        <v>1.0</v>
      </c>
      <c r="I74" s="134">
        <v>16.0</v>
      </c>
      <c r="J74" s="134">
        <v>1.0</v>
      </c>
      <c r="K74" s="134">
        <v>16.0</v>
      </c>
      <c r="L74" s="134">
        <v>1.0</v>
      </c>
      <c r="M74" s="134">
        <v>16.0</v>
      </c>
      <c r="N74" s="134">
        <v>1.0</v>
      </c>
    </row>
    <row r="75">
      <c r="A75" s="131" t="s">
        <v>545</v>
      </c>
      <c r="B75" s="133" t="s">
        <v>609</v>
      </c>
      <c r="C75" s="134">
        <v>88.0</v>
      </c>
      <c r="D75" s="134">
        <v>3.64</v>
      </c>
      <c r="E75" s="134">
        <v>17.0</v>
      </c>
      <c r="F75" s="134">
        <v>0.941</v>
      </c>
      <c r="G75" s="134">
        <v>18.0</v>
      </c>
      <c r="H75" s="134">
        <v>1.78</v>
      </c>
      <c r="I75" s="134">
        <v>18.0</v>
      </c>
      <c r="J75" s="134">
        <v>0.0</v>
      </c>
      <c r="K75" s="134">
        <v>18.0</v>
      </c>
      <c r="L75" s="134">
        <v>0.0</v>
      </c>
      <c r="M75" s="134">
        <v>17.0</v>
      </c>
      <c r="N75" s="134">
        <v>0.941</v>
      </c>
    </row>
    <row r="76">
      <c r="A76" s="131" t="s">
        <v>583</v>
      </c>
      <c r="B76" s="133" t="s">
        <v>623</v>
      </c>
      <c r="C76" s="134">
        <v>91.0</v>
      </c>
      <c r="D76" s="134">
        <v>2.64</v>
      </c>
      <c r="E76" s="134">
        <v>19.0</v>
      </c>
      <c r="F76" s="134">
        <v>0.842</v>
      </c>
      <c r="G76" s="134">
        <v>19.0</v>
      </c>
      <c r="H76" s="134">
        <v>0.0</v>
      </c>
      <c r="I76" s="134">
        <v>18.0</v>
      </c>
      <c r="J76" s="134">
        <v>0.0</v>
      </c>
      <c r="K76" s="134">
        <v>18.0</v>
      </c>
      <c r="L76" s="134">
        <v>0.889</v>
      </c>
      <c r="M76" s="134">
        <v>17.0</v>
      </c>
      <c r="N76" s="134">
        <v>0.941</v>
      </c>
    </row>
    <row r="77">
      <c r="A77" s="131" t="s">
        <v>615</v>
      </c>
      <c r="B77" s="133" t="s">
        <v>686</v>
      </c>
      <c r="C77" s="134">
        <v>92.0</v>
      </c>
      <c r="D77" s="134">
        <v>1.74</v>
      </c>
      <c r="E77" s="134">
        <v>20.0</v>
      </c>
      <c r="F77" s="134">
        <v>0.0</v>
      </c>
      <c r="G77" s="134">
        <v>19.0</v>
      </c>
      <c r="H77" s="134">
        <v>0.842</v>
      </c>
      <c r="I77" s="134">
        <v>18.0</v>
      </c>
      <c r="J77" s="134">
        <v>0.0</v>
      </c>
      <c r="K77" s="134">
        <v>18.0</v>
      </c>
      <c r="L77" s="134">
        <v>0.0</v>
      </c>
      <c r="M77" s="134">
        <v>17.0</v>
      </c>
      <c r="N77" s="134">
        <v>0.941</v>
      </c>
    </row>
    <row r="78">
      <c r="A78" s="131" t="s">
        <v>626</v>
      </c>
      <c r="B78" s="133" t="s">
        <v>574</v>
      </c>
      <c r="C78" s="134">
        <v>95.0</v>
      </c>
      <c r="D78" s="134">
        <v>4.21</v>
      </c>
      <c r="E78" s="134">
        <v>20.0</v>
      </c>
      <c r="F78" s="134">
        <v>1.6</v>
      </c>
      <c r="G78" s="134">
        <v>20.0</v>
      </c>
      <c r="H78" s="134">
        <v>0.0</v>
      </c>
      <c r="I78" s="134">
        <v>20.0</v>
      </c>
      <c r="J78" s="134">
        <v>1.6</v>
      </c>
      <c r="K78" s="134">
        <v>18.0</v>
      </c>
      <c r="L78" s="134">
        <v>0.0</v>
      </c>
      <c r="M78" s="134">
        <v>17.0</v>
      </c>
      <c r="N78" s="134">
        <v>0.941</v>
      </c>
    </row>
    <row r="79">
      <c r="A79" s="131" t="s">
        <v>680</v>
      </c>
      <c r="B79" s="133" t="s">
        <v>689</v>
      </c>
      <c r="C79" s="134">
        <v>95.0</v>
      </c>
      <c r="D79" s="134">
        <v>1.68</v>
      </c>
      <c r="E79" s="134">
        <v>20.0</v>
      </c>
      <c r="F79" s="134">
        <v>0.0</v>
      </c>
      <c r="G79" s="134">
        <v>20.0</v>
      </c>
      <c r="H79" s="134">
        <v>0.0</v>
      </c>
      <c r="I79" s="134">
        <v>20.0</v>
      </c>
      <c r="J79" s="134">
        <v>0.0</v>
      </c>
      <c r="K79" s="134">
        <v>18.0</v>
      </c>
      <c r="L79" s="134">
        <v>0.889</v>
      </c>
      <c r="M79" s="134">
        <v>17.0</v>
      </c>
      <c r="N79" s="134">
        <v>0.941</v>
      </c>
    </row>
    <row r="80">
      <c r="A80" s="131" t="s">
        <v>681</v>
      </c>
      <c r="B80" s="133" t="s">
        <v>503</v>
      </c>
      <c r="C80" s="134">
        <v>89.0</v>
      </c>
      <c r="D80" s="134">
        <v>8.99</v>
      </c>
      <c r="E80" s="134">
        <v>19.0</v>
      </c>
      <c r="F80" s="134">
        <v>2.53</v>
      </c>
      <c r="G80" s="134">
        <v>18.0</v>
      </c>
      <c r="H80" s="134">
        <v>5.33</v>
      </c>
      <c r="I80" s="134">
        <v>18.0</v>
      </c>
      <c r="J80" s="134">
        <v>0.889</v>
      </c>
      <c r="K80" s="134">
        <v>17.0</v>
      </c>
      <c r="L80" s="134">
        <v>-0.941</v>
      </c>
      <c r="M80" s="134">
        <v>17.0</v>
      </c>
      <c r="N80" s="134">
        <v>0.941</v>
      </c>
    </row>
    <row r="81">
      <c r="A81" s="131" t="s">
        <v>497</v>
      </c>
      <c r="B81" s="133" t="s">
        <v>500</v>
      </c>
      <c r="C81" s="134">
        <v>98.0</v>
      </c>
      <c r="D81" s="134">
        <v>8.98</v>
      </c>
      <c r="E81" s="134">
        <v>21.0</v>
      </c>
      <c r="F81" s="134">
        <v>3.05</v>
      </c>
      <c r="G81" s="134">
        <v>21.0</v>
      </c>
      <c r="H81" s="134">
        <v>0.762</v>
      </c>
      <c r="I81" s="134">
        <v>20.0</v>
      </c>
      <c r="J81" s="134">
        <v>3.2</v>
      </c>
      <c r="K81" s="134">
        <v>18.0</v>
      </c>
      <c r="L81" s="134">
        <v>0.889</v>
      </c>
      <c r="M81" s="134">
        <v>18.0</v>
      </c>
      <c r="N81" s="134">
        <v>0.889</v>
      </c>
    </row>
    <row r="82">
      <c r="A82" s="131" t="s">
        <v>601</v>
      </c>
      <c r="B82" s="133" t="s">
        <v>602</v>
      </c>
      <c r="C82" s="134">
        <v>88.0</v>
      </c>
      <c r="D82" s="134">
        <v>4.55</v>
      </c>
      <c r="E82" s="134">
        <v>17.0</v>
      </c>
      <c r="F82" s="134">
        <v>0.0</v>
      </c>
      <c r="G82" s="134">
        <v>17.0</v>
      </c>
      <c r="H82" s="134">
        <v>1.88</v>
      </c>
      <c r="I82" s="134">
        <v>18.0</v>
      </c>
      <c r="J82" s="134">
        <v>0.0</v>
      </c>
      <c r="K82" s="134">
        <v>18.0</v>
      </c>
      <c r="L82" s="134">
        <v>1.78</v>
      </c>
      <c r="M82" s="134">
        <v>18.0</v>
      </c>
      <c r="N82" s="134">
        <v>0.889</v>
      </c>
    </row>
    <row r="83">
      <c r="A83" s="131" t="s">
        <v>585</v>
      </c>
      <c r="B83" s="133" t="s">
        <v>502</v>
      </c>
      <c r="C83" s="134">
        <v>89.0</v>
      </c>
      <c r="D83" s="134">
        <v>8.99</v>
      </c>
      <c r="E83" s="134">
        <v>17.0</v>
      </c>
      <c r="F83" s="134">
        <v>0.941</v>
      </c>
      <c r="G83" s="134">
        <v>18.0</v>
      </c>
      <c r="H83" s="134">
        <v>4.44</v>
      </c>
      <c r="I83" s="134">
        <v>18.0</v>
      </c>
      <c r="J83" s="134">
        <v>2.67</v>
      </c>
      <c r="K83" s="134">
        <v>18.0</v>
      </c>
      <c r="L83" s="134">
        <v>0.0</v>
      </c>
      <c r="M83" s="134">
        <v>18.0</v>
      </c>
      <c r="N83" s="134">
        <v>0.889</v>
      </c>
    </row>
    <row r="84">
      <c r="A84" s="131" t="s">
        <v>593</v>
      </c>
      <c r="B84" s="133" t="s">
        <v>625</v>
      </c>
      <c r="C84" s="134">
        <v>99.0</v>
      </c>
      <c r="D84" s="134">
        <v>4.04</v>
      </c>
      <c r="E84" s="134">
        <v>20.0</v>
      </c>
      <c r="F84" s="134">
        <v>0.8</v>
      </c>
      <c r="G84" s="134">
        <v>20.0</v>
      </c>
      <c r="H84" s="134">
        <v>1.6</v>
      </c>
      <c r="I84" s="134">
        <v>20.0</v>
      </c>
      <c r="J84" s="134">
        <v>0.8</v>
      </c>
      <c r="K84" s="134">
        <v>20.0</v>
      </c>
      <c r="L84" s="134">
        <v>0.0</v>
      </c>
      <c r="M84" s="134">
        <v>19.0</v>
      </c>
      <c r="N84" s="134">
        <v>0.842</v>
      </c>
    </row>
    <row r="85">
      <c r="A85" s="131" t="s">
        <v>627</v>
      </c>
      <c r="B85" s="133" t="s">
        <v>578</v>
      </c>
      <c r="C85" s="134">
        <v>99.0</v>
      </c>
      <c r="D85" s="134">
        <v>5.66</v>
      </c>
      <c r="E85" s="134">
        <v>20.0</v>
      </c>
      <c r="F85" s="134">
        <v>0.8</v>
      </c>
      <c r="G85" s="134">
        <v>20.0</v>
      </c>
      <c r="H85" s="134">
        <v>0.0</v>
      </c>
      <c r="I85" s="134">
        <v>20.0</v>
      </c>
      <c r="J85" s="134">
        <v>2.4</v>
      </c>
      <c r="K85" s="134">
        <v>20.0</v>
      </c>
      <c r="L85" s="134">
        <v>1.6</v>
      </c>
      <c r="M85" s="134">
        <v>19.0</v>
      </c>
      <c r="N85" s="134">
        <v>0.842</v>
      </c>
    </row>
    <row r="86">
      <c r="A86" s="131" t="s">
        <v>709</v>
      </c>
      <c r="B86" s="133" t="s">
        <v>659</v>
      </c>
      <c r="C86" s="134">
        <v>99.0</v>
      </c>
      <c r="D86" s="134">
        <v>0.808</v>
      </c>
      <c r="E86" s="134">
        <v>20.0</v>
      </c>
      <c r="F86" s="134">
        <v>0.0</v>
      </c>
      <c r="G86" s="134">
        <v>20.0</v>
      </c>
      <c r="H86" s="134">
        <v>0.0</v>
      </c>
      <c r="I86" s="134">
        <v>20.0</v>
      </c>
      <c r="J86" s="134">
        <v>0.0</v>
      </c>
      <c r="K86" s="134">
        <v>20.0</v>
      </c>
      <c r="L86" s="134">
        <v>0.0</v>
      </c>
      <c r="M86" s="134">
        <v>19.0</v>
      </c>
      <c r="N86" s="134">
        <v>0.842</v>
      </c>
    </row>
    <row r="87">
      <c r="A87" s="131" t="s">
        <v>710</v>
      </c>
      <c r="B87" s="133" t="s">
        <v>679</v>
      </c>
      <c r="C87" s="134">
        <v>98.0</v>
      </c>
      <c r="D87" s="134">
        <v>-0.816</v>
      </c>
      <c r="E87" s="134">
        <v>20.0</v>
      </c>
      <c r="F87" s="134">
        <v>0.0</v>
      </c>
      <c r="G87" s="134">
        <v>20.0</v>
      </c>
      <c r="H87" s="134">
        <v>-0.8</v>
      </c>
      <c r="I87" s="134">
        <v>20.0</v>
      </c>
      <c r="J87" s="134">
        <v>-0.8</v>
      </c>
      <c r="K87" s="134">
        <v>19.0</v>
      </c>
      <c r="L87" s="134">
        <v>0.0</v>
      </c>
      <c r="M87" s="134">
        <v>19.0</v>
      </c>
      <c r="N87" s="134">
        <v>0.842</v>
      </c>
    </row>
    <row r="88">
      <c r="A88" s="131" t="s">
        <v>652</v>
      </c>
      <c r="B88" s="133" t="s">
        <v>590</v>
      </c>
      <c r="C88" s="134">
        <v>97.0</v>
      </c>
      <c r="D88" s="134">
        <v>4.95</v>
      </c>
      <c r="E88" s="134">
        <v>20.0</v>
      </c>
      <c r="F88" s="134">
        <v>0.8</v>
      </c>
      <c r="G88" s="134">
        <v>20.0</v>
      </c>
      <c r="H88" s="134">
        <v>0.8</v>
      </c>
      <c r="I88" s="134">
        <v>19.0</v>
      </c>
      <c r="J88" s="134">
        <v>2.53</v>
      </c>
      <c r="K88" s="134">
        <v>19.0</v>
      </c>
      <c r="L88" s="134">
        <v>0.0</v>
      </c>
      <c r="M88" s="134">
        <v>19.0</v>
      </c>
      <c r="N88" s="134">
        <v>0.842</v>
      </c>
    </row>
    <row r="89">
      <c r="A89" s="131" t="s">
        <v>742</v>
      </c>
      <c r="B89" s="133" t="s">
        <v>714</v>
      </c>
      <c r="C89" s="134">
        <v>99.0</v>
      </c>
      <c r="D89" s="134">
        <v>0.808</v>
      </c>
      <c r="E89" s="134">
        <v>20.0</v>
      </c>
      <c r="F89" s="134">
        <v>0.0</v>
      </c>
      <c r="G89" s="134">
        <v>20.0</v>
      </c>
      <c r="H89" s="134">
        <v>0.0</v>
      </c>
      <c r="I89" s="134">
        <v>20.0</v>
      </c>
      <c r="J89" s="134">
        <v>0.0</v>
      </c>
      <c r="K89" s="134">
        <v>20.0</v>
      </c>
      <c r="L89" s="134">
        <v>0.0</v>
      </c>
      <c r="M89" s="134">
        <v>19.0</v>
      </c>
      <c r="N89" s="134">
        <v>0.842</v>
      </c>
    </row>
    <row r="90">
      <c r="A90" s="131" t="s">
        <v>458</v>
      </c>
      <c r="B90" s="133" t="s">
        <v>644</v>
      </c>
      <c r="C90" s="134">
        <v>99.0</v>
      </c>
      <c r="D90" s="134">
        <v>0.808</v>
      </c>
      <c r="E90" s="134">
        <v>20.0</v>
      </c>
      <c r="F90" s="134">
        <v>0.8</v>
      </c>
      <c r="G90" s="134">
        <v>20.0</v>
      </c>
      <c r="H90" s="134">
        <v>0.0</v>
      </c>
      <c r="I90" s="134">
        <v>20.0</v>
      </c>
      <c r="J90" s="134">
        <v>-0.8</v>
      </c>
      <c r="K90" s="134">
        <v>20.0</v>
      </c>
      <c r="L90" s="134">
        <v>0.0</v>
      </c>
      <c r="M90" s="134">
        <v>19.0</v>
      </c>
      <c r="N90" s="134">
        <v>0.842</v>
      </c>
    </row>
    <row r="91">
      <c r="A91" s="131" t="s">
        <v>521</v>
      </c>
      <c r="B91" s="133" t="s">
        <v>674</v>
      </c>
      <c r="C91" s="134">
        <v>100.0</v>
      </c>
      <c r="D91" s="134">
        <v>1.6</v>
      </c>
      <c r="E91" s="134">
        <v>20.0</v>
      </c>
      <c r="F91" s="134">
        <v>0.0</v>
      </c>
      <c r="G91" s="134">
        <v>20.0</v>
      </c>
      <c r="H91" s="134">
        <v>0.0</v>
      </c>
      <c r="I91" s="134">
        <v>20.0</v>
      </c>
      <c r="J91" s="134">
        <v>0.8</v>
      </c>
      <c r="K91" s="134">
        <v>20.0</v>
      </c>
      <c r="L91" s="134">
        <v>0.0</v>
      </c>
      <c r="M91" s="134">
        <v>20.0</v>
      </c>
      <c r="N91" s="134">
        <v>0.8</v>
      </c>
    </row>
    <row r="92">
      <c r="A92" s="131" t="s">
        <v>687</v>
      </c>
      <c r="B92" s="133" t="s">
        <v>525</v>
      </c>
      <c r="C92" s="134">
        <v>100.0</v>
      </c>
      <c r="D92" s="134">
        <v>8.0</v>
      </c>
      <c r="E92" s="134">
        <v>20.0</v>
      </c>
      <c r="F92" s="134">
        <v>1.6</v>
      </c>
      <c r="G92" s="134">
        <v>20.0</v>
      </c>
      <c r="H92" s="134">
        <v>5.6</v>
      </c>
      <c r="I92" s="134">
        <v>20.0</v>
      </c>
      <c r="J92" s="134">
        <v>-0.8</v>
      </c>
      <c r="K92" s="134">
        <v>20.0</v>
      </c>
      <c r="L92" s="134">
        <v>0.8</v>
      </c>
      <c r="M92" s="134">
        <v>20.0</v>
      </c>
      <c r="N92" s="134">
        <v>0.8</v>
      </c>
    </row>
    <row r="93">
      <c r="A93" s="131" t="s">
        <v>404</v>
      </c>
      <c r="B93" s="133" t="s">
        <v>486</v>
      </c>
      <c r="C93" s="134">
        <v>100.0</v>
      </c>
      <c r="D93" s="134">
        <v>10.4</v>
      </c>
      <c r="E93" s="134">
        <v>20.0</v>
      </c>
      <c r="F93" s="134">
        <v>0.8</v>
      </c>
      <c r="G93" s="134">
        <v>20.0</v>
      </c>
      <c r="H93" s="134">
        <v>6.4</v>
      </c>
      <c r="I93" s="134">
        <v>20.0</v>
      </c>
      <c r="J93" s="134">
        <v>0.8</v>
      </c>
      <c r="K93" s="134">
        <v>20.0</v>
      </c>
      <c r="L93" s="134">
        <v>1.6</v>
      </c>
      <c r="M93" s="134">
        <v>20.0</v>
      </c>
      <c r="N93" s="134">
        <v>0.8</v>
      </c>
    </row>
    <row r="94">
      <c r="A94" s="131" t="s">
        <v>414</v>
      </c>
      <c r="B94" s="133" t="s">
        <v>485</v>
      </c>
      <c r="C94" s="134">
        <v>99.0</v>
      </c>
      <c r="D94" s="134">
        <v>4.04</v>
      </c>
      <c r="E94" s="134">
        <v>20.0</v>
      </c>
      <c r="F94" s="134">
        <v>3.2</v>
      </c>
      <c r="G94" s="134">
        <v>20.0</v>
      </c>
      <c r="H94" s="134">
        <v>0.0</v>
      </c>
      <c r="I94" s="134">
        <v>20.0</v>
      </c>
      <c r="J94" s="134">
        <v>-0.8</v>
      </c>
      <c r="K94" s="134">
        <v>20.0</v>
      </c>
      <c r="L94" s="134">
        <v>1.6</v>
      </c>
      <c r="M94" s="134">
        <v>19.0</v>
      </c>
      <c r="N94" s="134">
        <v>0.0</v>
      </c>
    </row>
    <row r="95">
      <c r="A95" s="91" t="s">
        <v>424</v>
      </c>
      <c r="B95" s="133" t="s">
        <v>555</v>
      </c>
      <c r="C95" s="134">
        <v>70.0</v>
      </c>
      <c r="D95" s="134">
        <v>2.29</v>
      </c>
      <c r="E95" s="134">
        <v>15.0</v>
      </c>
      <c r="F95" s="134">
        <v>2.13</v>
      </c>
      <c r="G95" s="134">
        <v>14.0</v>
      </c>
      <c r="H95" s="134">
        <v>0.0</v>
      </c>
      <c r="I95" s="134">
        <v>14.0</v>
      </c>
      <c r="J95" s="134">
        <v>0.0</v>
      </c>
      <c r="K95" s="134">
        <v>14.0</v>
      </c>
      <c r="L95" s="134">
        <v>0.0</v>
      </c>
      <c r="M95" s="134">
        <v>13.0</v>
      </c>
      <c r="N95" s="134">
        <v>0.0</v>
      </c>
    </row>
    <row r="96">
      <c r="A96" s="131" t="s">
        <v>427</v>
      </c>
      <c r="B96" s="133" t="s">
        <v>405</v>
      </c>
      <c r="C96" s="134">
        <v>98.0</v>
      </c>
      <c r="D96" s="134">
        <v>16.3</v>
      </c>
      <c r="E96" s="134">
        <v>20.0</v>
      </c>
      <c r="F96" s="134">
        <v>1.6</v>
      </c>
      <c r="G96" s="134">
        <v>20.0</v>
      </c>
      <c r="H96" s="134">
        <v>11.2</v>
      </c>
      <c r="I96" s="134">
        <v>20.0</v>
      </c>
      <c r="J96" s="134">
        <v>0.0</v>
      </c>
      <c r="K96" s="134">
        <v>19.0</v>
      </c>
      <c r="L96" s="134">
        <v>3.37</v>
      </c>
      <c r="M96" s="134">
        <v>19.0</v>
      </c>
      <c r="N96" s="134">
        <v>0.0</v>
      </c>
    </row>
    <row r="97">
      <c r="A97" s="131" t="s">
        <v>434</v>
      </c>
      <c r="B97" s="133" t="s">
        <v>656</v>
      </c>
      <c r="C97" s="134">
        <v>98.0</v>
      </c>
      <c r="D97" s="134">
        <v>2.45</v>
      </c>
      <c r="E97" s="134">
        <v>20.0</v>
      </c>
      <c r="F97" s="134">
        <v>0.0</v>
      </c>
      <c r="G97" s="134">
        <v>20.0</v>
      </c>
      <c r="H97" s="134">
        <v>0.0</v>
      </c>
      <c r="I97" s="134">
        <v>20.0</v>
      </c>
      <c r="J97" s="134">
        <v>0.8</v>
      </c>
      <c r="K97" s="134">
        <v>19.0</v>
      </c>
      <c r="L97" s="134">
        <v>1.68</v>
      </c>
      <c r="M97" s="134">
        <v>19.0</v>
      </c>
      <c r="N97" s="134">
        <v>0.0</v>
      </c>
    </row>
    <row r="98">
      <c r="A98" s="131" t="s">
        <v>450</v>
      </c>
      <c r="B98" s="133" t="s">
        <v>557</v>
      </c>
      <c r="C98" s="134">
        <v>98.0</v>
      </c>
      <c r="D98" s="134">
        <v>6.53</v>
      </c>
      <c r="E98" s="134">
        <v>21.0</v>
      </c>
      <c r="F98" s="134">
        <v>0.762</v>
      </c>
      <c r="G98" s="134">
        <v>21.0</v>
      </c>
      <c r="H98" s="134">
        <v>3.05</v>
      </c>
      <c r="I98" s="134">
        <v>20.0</v>
      </c>
      <c r="J98" s="134">
        <v>0.8</v>
      </c>
      <c r="K98" s="134">
        <v>18.0</v>
      </c>
      <c r="L98" s="134">
        <v>1.78</v>
      </c>
      <c r="M98" s="134">
        <v>18.0</v>
      </c>
      <c r="N98" s="134">
        <v>0.0</v>
      </c>
    </row>
    <row r="99">
      <c r="A99" s="131" t="s">
        <v>454</v>
      </c>
      <c r="B99" s="133" t="s">
        <v>616</v>
      </c>
      <c r="C99" s="134">
        <v>98.0</v>
      </c>
      <c r="D99" s="134">
        <v>4.08</v>
      </c>
      <c r="E99" s="134">
        <v>21.0</v>
      </c>
      <c r="F99" s="134">
        <v>0.762</v>
      </c>
      <c r="G99" s="134">
        <v>21.0</v>
      </c>
      <c r="H99" s="134">
        <v>0.762</v>
      </c>
      <c r="I99" s="134">
        <v>20.0</v>
      </c>
      <c r="J99" s="134">
        <v>2.4</v>
      </c>
      <c r="K99" s="134">
        <v>18.0</v>
      </c>
      <c r="L99" s="134">
        <v>0.0</v>
      </c>
      <c r="M99" s="134">
        <v>18.0</v>
      </c>
      <c r="N99" s="134">
        <v>0.0</v>
      </c>
    </row>
    <row r="100">
      <c r="A100" s="131" t="s">
        <v>482</v>
      </c>
      <c r="B100" s="133" t="s">
        <v>661</v>
      </c>
      <c r="C100" s="134">
        <v>67.0</v>
      </c>
      <c r="D100" s="134">
        <v>0.0</v>
      </c>
      <c r="E100" s="134">
        <v>13.0</v>
      </c>
      <c r="F100" s="134">
        <v>0.0</v>
      </c>
      <c r="G100" s="134">
        <v>14.0</v>
      </c>
      <c r="H100" s="134">
        <v>0.0</v>
      </c>
      <c r="I100" s="134">
        <v>14.0</v>
      </c>
      <c r="J100" s="134">
        <v>0.0</v>
      </c>
      <c r="K100" s="134">
        <v>13.0</v>
      </c>
      <c r="L100" s="134">
        <v>0.0</v>
      </c>
      <c r="M100" s="134">
        <v>13.0</v>
      </c>
      <c r="N100" s="134">
        <v>0.0</v>
      </c>
    </row>
    <row r="101">
      <c r="A101" s="131" t="s">
        <v>418</v>
      </c>
      <c r="B101" s="133" t="s">
        <v>663</v>
      </c>
      <c r="C101" s="134">
        <v>78.0</v>
      </c>
      <c r="D101" s="134">
        <v>2.05</v>
      </c>
      <c r="E101" s="134">
        <v>16.0</v>
      </c>
      <c r="F101" s="134">
        <v>0.0</v>
      </c>
      <c r="G101" s="134">
        <v>16.0</v>
      </c>
      <c r="H101" s="134">
        <v>2.0</v>
      </c>
      <c r="I101" s="134">
        <v>16.0</v>
      </c>
      <c r="J101" s="134">
        <v>0.0</v>
      </c>
      <c r="K101" s="134">
        <v>15.0</v>
      </c>
      <c r="L101" s="134">
        <v>0.0</v>
      </c>
      <c r="M101" s="134">
        <v>15.0</v>
      </c>
      <c r="N101" s="134">
        <v>0.0</v>
      </c>
    </row>
    <row r="102">
      <c r="A102" s="131" t="s">
        <v>411</v>
      </c>
      <c r="B102" s="133" t="s">
        <v>433</v>
      </c>
      <c r="C102" s="134">
        <v>87.0</v>
      </c>
      <c r="D102" s="134">
        <v>9.2</v>
      </c>
      <c r="E102" s="134">
        <v>17.0</v>
      </c>
      <c r="F102" s="134">
        <v>6.59</v>
      </c>
      <c r="G102" s="134">
        <v>18.0</v>
      </c>
      <c r="H102" s="134">
        <v>0.0</v>
      </c>
      <c r="I102" s="134">
        <v>18.0</v>
      </c>
      <c r="J102" s="134">
        <v>2.67</v>
      </c>
      <c r="K102" s="134">
        <v>17.0</v>
      </c>
      <c r="L102" s="134">
        <v>0.0</v>
      </c>
      <c r="M102" s="134">
        <v>17.0</v>
      </c>
      <c r="N102" s="134">
        <v>0.0</v>
      </c>
    </row>
    <row r="103">
      <c r="A103" s="131" t="s">
        <v>432</v>
      </c>
      <c r="B103" s="133" t="s">
        <v>665</v>
      </c>
      <c r="C103" s="134">
        <v>62.0</v>
      </c>
      <c r="D103" s="134">
        <v>0.0</v>
      </c>
      <c r="E103" s="134">
        <v>14.0</v>
      </c>
      <c r="F103" s="134">
        <v>0.0</v>
      </c>
      <c r="G103" s="134">
        <v>12.0</v>
      </c>
      <c r="H103" s="134">
        <v>0.0</v>
      </c>
      <c r="I103" s="134">
        <v>12.0</v>
      </c>
      <c r="J103" s="134">
        <v>0.0</v>
      </c>
      <c r="K103" s="134">
        <v>12.0</v>
      </c>
      <c r="L103" s="134">
        <v>0.0</v>
      </c>
      <c r="M103" s="134">
        <v>12.0</v>
      </c>
      <c r="N103" s="134">
        <v>0.0</v>
      </c>
    </row>
    <row r="104">
      <c r="A104" s="131" t="s">
        <v>489</v>
      </c>
      <c r="B104" s="133" t="s">
        <v>475</v>
      </c>
      <c r="C104" s="134">
        <v>63.0</v>
      </c>
      <c r="D104" s="134">
        <v>2.54</v>
      </c>
      <c r="E104" s="134">
        <v>13.0</v>
      </c>
      <c r="F104" s="134">
        <v>3.69</v>
      </c>
      <c r="G104" s="134">
        <v>13.0</v>
      </c>
      <c r="H104" s="134">
        <v>0.0</v>
      </c>
      <c r="I104" s="134">
        <v>13.0</v>
      </c>
      <c r="J104" s="134">
        <v>-1.23</v>
      </c>
      <c r="K104" s="134">
        <v>12.0</v>
      </c>
      <c r="L104" s="134">
        <v>0.0</v>
      </c>
      <c r="M104" s="134">
        <v>12.0</v>
      </c>
      <c r="N104" s="134">
        <v>0.0</v>
      </c>
    </row>
    <row r="105">
      <c r="A105" s="131" t="s">
        <v>506</v>
      </c>
      <c r="B105" s="133" t="s">
        <v>580</v>
      </c>
      <c r="C105" s="134">
        <v>49.0</v>
      </c>
      <c r="D105" s="134">
        <v>1.63</v>
      </c>
      <c r="E105" s="134">
        <v>11.0</v>
      </c>
      <c r="F105" s="134">
        <v>1.45</v>
      </c>
      <c r="G105" s="134">
        <v>11.0</v>
      </c>
      <c r="H105" s="134">
        <v>0.0</v>
      </c>
      <c r="I105" s="134">
        <v>9.0</v>
      </c>
      <c r="J105" s="134">
        <v>0.0</v>
      </c>
      <c r="K105" s="134">
        <v>9.0</v>
      </c>
      <c r="L105" s="134">
        <v>0.0</v>
      </c>
      <c r="M105" s="134">
        <v>9.0</v>
      </c>
      <c r="N105" s="134">
        <v>0.0</v>
      </c>
    </row>
    <row r="106">
      <c r="A106" s="131" t="s">
        <v>462</v>
      </c>
      <c r="B106" s="133" t="s">
        <v>650</v>
      </c>
      <c r="C106" s="134">
        <v>78.0</v>
      </c>
      <c r="D106" s="134">
        <v>3.08</v>
      </c>
      <c r="E106" s="134">
        <v>16.0</v>
      </c>
      <c r="F106" s="134">
        <v>0.0</v>
      </c>
      <c r="G106" s="134">
        <v>16.0</v>
      </c>
      <c r="H106" s="134">
        <v>0.0</v>
      </c>
      <c r="I106" s="134">
        <v>16.0</v>
      </c>
      <c r="J106" s="134">
        <v>2.0</v>
      </c>
      <c r="K106" s="134">
        <v>15.0</v>
      </c>
      <c r="L106" s="134">
        <v>1.07</v>
      </c>
      <c r="M106" s="134">
        <v>15.0</v>
      </c>
      <c r="N106" s="134">
        <v>0.0</v>
      </c>
    </row>
    <row r="107">
      <c r="A107" s="131" t="s">
        <v>523</v>
      </c>
      <c r="B107" s="133" t="s">
        <v>754</v>
      </c>
      <c r="C107" s="134">
        <v>58.0</v>
      </c>
      <c r="D107" s="134">
        <v>-1.38</v>
      </c>
      <c r="E107" s="134">
        <v>12.0</v>
      </c>
      <c r="F107" s="134">
        <v>-1.33</v>
      </c>
      <c r="G107" s="134">
        <v>12.0</v>
      </c>
      <c r="H107" s="134">
        <v>1.33</v>
      </c>
      <c r="I107" s="134">
        <v>12.0</v>
      </c>
      <c r="J107" s="134">
        <v>-1.33</v>
      </c>
      <c r="K107" s="134">
        <v>11.0</v>
      </c>
      <c r="L107" s="134">
        <v>0.0</v>
      </c>
      <c r="M107" s="134">
        <v>11.0</v>
      </c>
      <c r="N107" s="134">
        <v>0.0</v>
      </c>
    </row>
    <row r="108">
      <c r="A108" s="131" t="s">
        <v>526</v>
      </c>
      <c r="B108" s="133" t="s">
        <v>543</v>
      </c>
      <c r="C108" s="134">
        <v>98.0</v>
      </c>
      <c r="D108" s="134">
        <v>7.35</v>
      </c>
      <c r="E108" s="134">
        <v>20.0</v>
      </c>
      <c r="F108" s="134">
        <v>0.0</v>
      </c>
      <c r="G108" s="134">
        <v>20.0</v>
      </c>
      <c r="H108" s="134">
        <v>7.2</v>
      </c>
      <c r="I108" s="134">
        <v>20.0</v>
      </c>
      <c r="J108" s="134">
        <v>0.0</v>
      </c>
      <c r="K108" s="134">
        <v>19.0</v>
      </c>
      <c r="L108" s="134">
        <v>0.0</v>
      </c>
      <c r="M108" s="134">
        <v>19.0</v>
      </c>
      <c r="N108" s="134">
        <v>0.0</v>
      </c>
    </row>
    <row r="109">
      <c r="A109" s="131" t="s">
        <v>524</v>
      </c>
      <c r="B109" s="133" t="s">
        <v>565</v>
      </c>
      <c r="C109" s="134">
        <v>94.0</v>
      </c>
      <c r="D109" s="134">
        <v>1.7</v>
      </c>
      <c r="E109" s="134">
        <v>20.0</v>
      </c>
      <c r="F109" s="134">
        <v>1.6</v>
      </c>
      <c r="G109" s="134">
        <v>19.0</v>
      </c>
      <c r="H109" s="134">
        <v>0.0</v>
      </c>
      <c r="I109" s="134">
        <v>19.0</v>
      </c>
      <c r="J109" s="134">
        <v>0.0</v>
      </c>
      <c r="K109" s="134">
        <v>18.0</v>
      </c>
      <c r="L109" s="134">
        <v>0.0</v>
      </c>
      <c r="M109" s="134">
        <v>18.0</v>
      </c>
      <c r="N109" s="134">
        <v>0.0</v>
      </c>
    </row>
    <row r="110">
      <c r="A110" s="131" t="s">
        <v>539</v>
      </c>
      <c r="B110" s="133" t="s">
        <v>582</v>
      </c>
      <c r="C110" s="134">
        <v>94.0</v>
      </c>
      <c r="D110" s="134">
        <v>5.11</v>
      </c>
      <c r="E110" s="134">
        <v>20.0</v>
      </c>
      <c r="F110" s="134">
        <v>0.0</v>
      </c>
      <c r="G110" s="134">
        <v>19.0</v>
      </c>
      <c r="H110" s="134">
        <v>0.0</v>
      </c>
      <c r="I110" s="134">
        <v>19.0</v>
      </c>
      <c r="J110" s="134">
        <v>0.0</v>
      </c>
      <c r="K110" s="134">
        <v>18.0</v>
      </c>
      <c r="L110" s="134">
        <v>5.33</v>
      </c>
      <c r="M110" s="134">
        <v>18.0</v>
      </c>
      <c r="N110" s="134">
        <v>0.0</v>
      </c>
    </row>
    <row r="111">
      <c r="A111" s="131" t="s">
        <v>552</v>
      </c>
      <c r="B111" s="133" t="s">
        <v>455</v>
      </c>
      <c r="C111" s="134">
        <v>94.0</v>
      </c>
      <c r="D111" s="134">
        <v>12.8</v>
      </c>
      <c r="E111" s="134">
        <v>20.0</v>
      </c>
      <c r="F111" s="134">
        <v>0.0</v>
      </c>
      <c r="G111" s="134">
        <v>19.0</v>
      </c>
      <c r="H111" s="134">
        <v>11.8</v>
      </c>
      <c r="I111" s="134">
        <v>19.0</v>
      </c>
      <c r="J111" s="134">
        <v>0.842</v>
      </c>
      <c r="K111" s="134">
        <v>18.0</v>
      </c>
      <c r="L111" s="134">
        <v>0.0</v>
      </c>
      <c r="M111" s="134">
        <v>18.0</v>
      </c>
      <c r="N111" s="134">
        <v>0.0</v>
      </c>
    </row>
    <row r="112">
      <c r="A112" s="131" t="s">
        <v>556</v>
      </c>
      <c r="B112" s="133" t="s">
        <v>544</v>
      </c>
      <c r="C112" s="134">
        <v>32.0</v>
      </c>
      <c r="D112" s="134">
        <v>5.0</v>
      </c>
      <c r="E112" s="134">
        <v>7.0</v>
      </c>
      <c r="F112" s="134">
        <v>2.29</v>
      </c>
      <c r="G112" s="134">
        <v>7.0</v>
      </c>
      <c r="H112" s="134">
        <v>0.0</v>
      </c>
      <c r="I112" s="134">
        <v>6.0</v>
      </c>
      <c r="J112" s="134">
        <v>0.0</v>
      </c>
      <c r="K112" s="134">
        <v>6.0</v>
      </c>
      <c r="L112" s="134">
        <v>2.67</v>
      </c>
      <c r="M112" s="134">
        <v>6.0</v>
      </c>
      <c r="N112" s="134">
        <v>0.0</v>
      </c>
    </row>
    <row r="113">
      <c r="A113" s="131" t="s">
        <v>436</v>
      </c>
      <c r="B113" s="133" t="s">
        <v>419</v>
      </c>
      <c r="C113" s="134">
        <v>100.0</v>
      </c>
      <c r="D113" s="134">
        <v>10.4</v>
      </c>
      <c r="E113" s="134">
        <v>20.0</v>
      </c>
      <c r="F113" s="134">
        <v>8.8</v>
      </c>
      <c r="G113" s="134">
        <v>20.0</v>
      </c>
      <c r="H113" s="134">
        <v>0.0</v>
      </c>
      <c r="I113" s="134">
        <v>20.0</v>
      </c>
      <c r="J113" s="134">
        <v>1.6</v>
      </c>
      <c r="K113" s="134">
        <v>20.0</v>
      </c>
      <c r="L113" s="134">
        <v>0.0</v>
      </c>
      <c r="M113" s="134">
        <v>20.0</v>
      </c>
      <c r="N113" s="134">
        <v>0.0</v>
      </c>
    </row>
    <row r="114">
      <c r="A114" s="131" t="s">
        <v>448</v>
      </c>
      <c r="B114" s="133" t="s">
        <v>676</v>
      </c>
      <c r="C114" s="134">
        <v>90.0</v>
      </c>
      <c r="D114" s="134">
        <v>0.889</v>
      </c>
      <c r="E114" s="134">
        <v>19.0</v>
      </c>
      <c r="F114" s="134">
        <v>0.0</v>
      </c>
      <c r="G114" s="134">
        <v>19.0</v>
      </c>
      <c r="H114" s="134">
        <v>0.842</v>
      </c>
      <c r="I114" s="134">
        <v>18.0</v>
      </c>
      <c r="J114" s="134">
        <v>0.0</v>
      </c>
      <c r="K114" s="134">
        <v>17.0</v>
      </c>
      <c r="L114" s="134">
        <v>0.0</v>
      </c>
      <c r="M114" s="134">
        <v>17.0</v>
      </c>
      <c r="N114" s="134">
        <v>0.0</v>
      </c>
    </row>
    <row r="115">
      <c r="A115" s="131" t="s">
        <v>569</v>
      </c>
      <c r="B115" s="133" t="s">
        <v>487</v>
      </c>
      <c r="C115" s="134">
        <v>98.0</v>
      </c>
      <c r="D115" s="134">
        <v>8.98</v>
      </c>
      <c r="E115" s="134">
        <v>20.0</v>
      </c>
      <c r="F115" s="134">
        <v>3.2</v>
      </c>
      <c r="G115" s="134">
        <v>20.0</v>
      </c>
      <c r="H115" s="134">
        <v>0.8</v>
      </c>
      <c r="I115" s="134">
        <v>20.0</v>
      </c>
      <c r="J115" s="134">
        <v>4.0</v>
      </c>
      <c r="K115" s="134">
        <v>19.0</v>
      </c>
      <c r="L115" s="134">
        <v>0.842</v>
      </c>
      <c r="M115" s="134">
        <v>19.0</v>
      </c>
      <c r="N115" s="134">
        <v>0.0</v>
      </c>
    </row>
    <row r="116">
      <c r="A116" s="131" t="s">
        <v>571</v>
      </c>
      <c r="B116" s="133" t="s">
        <v>553</v>
      </c>
      <c r="C116" s="134">
        <v>82.0</v>
      </c>
      <c r="D116" s="134">
        <v>6.83</v>
      </c>
      <c r="E116" s="134">
        <v>17.0</v>
      </c>
      <c r="F116" s="134">
        <v>-0.941</v>
      </c>
      <c r="G116" s="134">
        <v>17.0</v>
      </c>
      <c r="H116" s="134">
        <v>1.88</v>
      </c>
      <c r="I116" s="134">
        <v>16.0</v>
      </c>
      <c r="J116" s="134">
        <v>1.0</v>
      </c>
      <c r="K116" s="134">
        <v>16.0</v>
      </c>
      <c r="L116" s="134">
        <v>5.0</v>
      </c>
      <c r="M116" s="134">
        <v>16.0</v>
      </c>
      <c r="N116" s="134">
        <v>0.0</v>
      </c>
    </row>
    <row r="117">
      <c r="A117" s="131" t="s">
        <v>465</v>
      </c>
      <c r="B117" s="133" t="s">
        <v>570</v>
      </c>
      <c r="C117" s="134">
        <v>26.0</v>
      </c>
      <c r="D117" s="134">
        <v>6.15</v>
      </c>
      <c r="E117" s="134">
        <v>5.0</v>
      </c>
      <c r="F117" s="134">
        <v>0.0</v>
      </c>
      <c r="G117" s="134">
        <v>5.0</v>
      </c>
      <c r="H117" s="134">
        <v>0.0</v>
      </c>
      <c r="I117" s="134">
        <v>6.0</v>
      </c>
      <c r="J117" s="134">
        <v>5.33</v>
      </c>
      <c r="K117" s="134">
        <v>5.0</v>
      </c>
      <c r="L117" s="134">
        <v>0.0</v>
      </c>
      <c r="M117" s="134">
        <v>5.0</v>
      </c>
      <c r="N117" s="134">
        <v>0.0</v>
      </c>
    </row>
    <row r="118">
      <c r="A118" s="131" t="s">
        <v>563</v>
      </c>
      <c r="B118" s="133" t="s">
        <v>684</v>
      </c>
      <c r="C118" s="134">
        <v>96.0</v>
      </c>
      <c r="D118" s="134">
        <v>0.833</v>
      </c>
      <c r="E118" s="134">
        <v>20.0</v>
      </c>
      <c r="F118" s="134">
        <v>0.0</v>
      </c>
      <c r="G118" s="134">
        <v>19.0</v>
      </c>
      <c r="H118" s="134">
        <v>0.0</v>
      </c>
      <c r="I118" s="134">
        <v>19.0</v>
      </c>
      <c r="J118" s="134">
        <v>-0.842</v>
      </c>
      <c r="K118" s="134">
        <v>19.0</v>
      </c>
      <c r="L118" s="134">
        <v>1.68</v>
      </c>
      <c r="M118" s="134">
        <v>19.0</v>
      </c>
      <c r="N118" s="134">
        <v>0.0</v>
      </c>
    </row>
    <row r="119">
      <c r="A119" s="131" t="s">
        <v>581</v>
      </c>
      <c r="B119" s="133" t="s">
        <v>642</v>
      </c>
      <c r="C119" s="134">
        <v>96.0</v>
      </c>
      <c r="D119" s="134">
        <v>3.33</v>
      </c>
      <c r="E119" s="134">
        <v>20.0</v>
      </c>
      <c r="F119" s="134">
        <v>0.0</v>
      </c>
      <c r="G119" s="134">
        <v>19.0</v>
      </c>
      <c r="H119" s="134">
        <v>0.0</v>
      </c>
      <c r="I119" s="134">
        <v>19.0</v>
      </c>
      <c r="J119" s="134">
        <v>1.68</v>
      </c>
      <c r="K119" s="134">
        <v>19.0</v>
      </c>
      <c r="L119" s="134">
        <v>1.68</v>
      </c>
      <c r="M119" s="134">
        <v>19.0</v>
      </c>
      <c r="N119" s="134">
        <v>0.0</v>
      </c>
    </row>
    <row r="120">
      <c r="A120" s="131" t="s">
        <v>532</v>
      </c>
      <c r="B120" s="133" t="s">
        <v>530</v>
      </c>
      <c r="C120" s="134">
        <v>96.0</v>
      </c>
      <c r="D120" s="134">
        <v>7.5</v>
      </c>
      <c r="E120" s="134">
        <v>20.0</v>
      </c>
      <c r="F120" s="134">
        <v>0.0</v>
      </c>
      <c r="G120" s="134">
        <v>19.0</v>
      </c>
      <c r="H120" s="134">
        <v>5.89</v>
      </c>
      <c r="I120" s="134">
        <v>19.0</v>
      </c>
      <c r="J120" s="134">
        <v>0.0</v>
      </c>
      <c r="K120" s="134">
        <v>19.0</v>
      </c>
      <c r="L120" s="134">
        <v>1.68</v>
      </c>
      <c r="M120" s="134">
        <v>19.0</v>
      </c>
      <c r="N120" s="134">
        <v>0.0</v>
      </c>
    </row>
    <row r="121">
      <c r="A121" s="131" t="s">
        <v>597</v>
      </c>
      <c r="B121" s="133" t="s">
        <v>527</v>
      </c>
      <c r="C121" s="134">
        <v>91.0</v>
      </c>
      <c r="D121" s="134">
        <v>7.91</v>
      </c>
      <c r="E121" s="134">
        <v>19.0</v>
      </c>
      <c r="F121" s="134">
        <v>0.842</v>
      </c>
      <c r="G121" s="134">
        <v>19.0</v>
      </c>
      <c r="H121" s="134">
        <v>0.0</v>
      </c>
      <c r="I121" s="134">
        <v>18.0</v>
      </c>
      <c r="J121" s="134">
        <v>0.0</v>
      </c>
      <c r="K121" s="134">
        <v>18.0</v>
      </c>
      <c r="L121" s="134">
        <v>7.11</v>
      </c>
      <c r="M121" s="134">
        <v>17.0</v>
      </c>
      <c r="N121" s="134">
        <v>0.0</v>
      </c>
    </row>
    <row r="122">
      <c r="A122" s="131" t="s">
        <v>599</v>
      </c>
      <c r="B122" s="133" t="s">
        <v>457</v>
      </c>
      <c r="C122" s="134">
        <v>20.0</v>
      </c>
      <c r="D122" s="134">
        <v>4.0</v>
      </c>
      <c r="E122" s="134">
        <v>4.0</v>
      </c>
      <c r="F122" s="134">
        <v>4.0</v>
      </c>
      <c r="G122" s="134">
        <v>4.0</v>
      </c>
      <c r="H122" s="134">
        <v>0.0</v>
      </c>
      <c r="I122" s="134">
        <v>4.0</v>
      </c>
      <c r="J122" s="134">
        <v>0.0</v>
      </c>
      <c r="K122" s="134">
        <v>4.0</v>
      </c>
      <c r="L122" s="134">
        <v>0.0</v>
      </c>
      <c r="M122" s="134">
        <v>4.0</v>
      </c>
      <c r="N122" s="134">
        <v>0.0</v>
      </c>
    </row>
    <row r="123">
      <c r="A123" s="131" t="s">
        <v>534</v>
      </c>
      <c r="B123" s="133" t="s">
        <v>407</v>
      </c>
      <c r="C123" s="134">
        <v>20.0</v>
      </c>
      <c r="D123" s="134">
        <v>16.0</v>
      </c>
      <c r="E123" s="134">
        <v>4.0</v>
      </c>
      <c r="F123" s="134">
        <v>0.0</v>
      </c>
      <c r="G123" s="134">
        <v>4.0</v>
      </c>
      <c r="H123" s="134">
        <v>16.0</v>
      </c>
      <c r="I123" s="134">
        <v>4.0</v>
      </c>
      <c r="J123" s="134">
        <v>0.0</v>
      </c>
      <c r="K123" s="134">
        <v>4.0</v>
      </c>
      <c r="L123" s="134">
        <v>0.0</v>
      </c>
      <c r="M123" s="134">
        <v>4.0</v>
      </c>
      <c r="N123" s="134">
        <v>0.0</v>
      </c>
    </row>
    <row r="124">
      <c r="A124" s="131" t="s">
        <v>469</v>
      </c>
      <c r="B124" s="133" t="s">
        <v>513</v>
      </c>
      <c r="C124" s="134">
        <v>97.0</v>
      </c>
      <c r="D124" s="134">
        <v>3.3</v>
      </c>
      <c r="E124" s="134">
        <v>20.0</v>
      </c>
      <c r="F124" s="134">
        <v>2.4</v>
      </c>
      <c r="G124" s="134">
        <v>20.0</v>
      </c>
      <c r="H124" s="134">
        <v>0.0</v>
      </c>
      <c r="I124" s="134">
        <v>20.0</v>
      </c>
      <c r="J124" s="134">
        <v>0.8</v>
      </c>
      <c r="K124" s="134">
        <v>19.0</v>
      </c>
      <c r="L124" s="134">
        <v>0.0</v>
      </c>
      <c r="M124" s="134">
        <v>18.0</v>
      </c>
      <c r="N124" s="134">
        <v>0.0</v>
      </c>
    </row>
    <row r="125">
      <c r="A125" s="131" t="s">
        <v>621</v>
      </c>
      <c r="B125" s="133" t="s">
        <v>478</v>
      </c>
      <c r="C125" s="134">
        <v>58.0</v>
      </c>
      <c r="D125" s="134">
        <v>4.14</v>
      </c>
      <c r="E125" s="134">
        <v>13.0</v>
      </c>
      <c r="F125" s="134">
        <v>3.69</v>
      </c>
      <c r="G125" s="134">
        <v>13.0</v>
      </c>
      <c r="H125" s="134">
        <v>0.0</v>
      </c>
      <c r="I125" s="134">
        <v>12.0</v>
      </c>
      <c r="J125" s="134">
        <v>0.0</v>
      </c>
      <c r="K125" s="134">
        <v>10.0</v>
      </c>
      <c r="L125" s="134">
        <v>0.0</v>
      </c>
      <c r="M125" s="134">
        <v>10.0</v>
      </c>
      <c r="N125" s="134">
        <v>0.0</v>
      </c>
    </row>
    <row r="126">
      <c r="A126" s="131" t="s">
        <v>496</v>
      </c>
      <c r="B126" s="133" t="s">
        <v>694</v>
      </c>
      <c r="C126" s="134">
        <v>72.0</v>
      </c>
      <c r="D126" s="134">
        <v>0.0</v>
      </c>
      <c r="E126" s="134">
        <v>15.0</v>
      </c>
      <c r="F126" s="134">
        <v>0.0</v>
      </c>
      <c r="G126" s="134">
        <v>14.0</v>
      </c>
      <c r="H126" s="134">
        <v>0.0</v>
      </c>
      <c r="I126" s="134">
        <v>15.0</v>
      </c>
      <c r="J126" s="134">
        <v>0.0</v>
      </c>
      <c r="K126" s="134">
        <v>14.0</v>
      </c>
      <c r="L126" s="134">
        <v>0.0</v>
      </c>
      <c r="M126" s="134">
        <v>14.0</v>
      </c>
      <c r="N126" s="134">
        <v>0.0</v>
      </c>
    </row>
    <row r="127">
      <c r="A127" s="131" t="s">
        <v>628</v>
      </c>
      <c r="B127" s="133" t="s">
        <v>753</v>
      </c>
      <c r="C127" s="134">
        <v>77.0</v>
      </c>
      <c r="D127" s="134">
        <v>-1.04</v>
      </c>
      <c r="E127" s="134">
        <v>16.0</v>
      </c>
      <c r="F127" s="134">
        <v>-1.0</v>
      </c>
      <c r="G127" s="134">
        <v>16.0</v>
      </c>
      <c r="H127" s="134">
        <v>0.0</v>
      </c>
      <c r="I127" s="134">
        <v>15.0</v>
      </c>
      <c r="J127" s="134">
        <v>0.0</v>
      </c>
      <c r="K127" s="134">
        <v>15.0</v>
      </c>
      <c r="L127" s="134">
        <v>0.0</v>
      </c>
      <c r="M127" s="134">
        <v>15.0</v>
      </c>
      <c r="N127" s="134">
        <v>0.0</v>
      </c>
    </row>
    <row r="128">
      <c r="A128" s="131" t="s">
        <v>612</v>
      </c>
      <c r="B128" s="133" t="s">
        <v>696</v>
      </c>
      <c r="C128" s="134">
        <v>70.0</v>
      </c>
      <c r="D128" s="134">
        <v>1.14</v>
      </c>
      <c r="E128" s="134">
        <v>14.0</v>
      </c>
      <c r="F128" s="134">
        <v>0.0</v>
      </c>
      <c r="G128" s="134">
        <v>14.0</v>
      </c>
      <c r="H128" s="134">
        <v>0.0</v>
      </c>
      <c r="I128" s="134">
        <v>14.0</v>
      </c>
      <c r="J128" s="134">
        <v>1.14</v>
      </c>
      <c r="K128" s="134">
        <v>14.0</v>
      </c>
      <c r="L128" s="134">
        <v>0.0</v>
      </c>
      <c r="M128" s="134">
        <v>14.0</v>
      </c>
      <c r="N128" s="134">
        <v>0.0</v>
      </c>
    </row>
    <row r="129">
      <c r="A129" s="131" t="s">
        <v>633</v>
      </c>
      <c r="B129" s="133" t="s">
        <v>520</v>
      </c>
      <c r="C129" s="134">
        <v>97.0</v>
      </c>
      <c r="D129" s="134">
        <v>7.42</v>
      </c>
      <c r="E129" s="134">
        <v>20.0</v>
      </c>
      <c r="F129" s="134">
        <v>2.4</v>
      </c>
      <c r="G129" s="134">
        <v>20.0</v>
      </c>
      <c r="H129" s="134">
        <v>3.2</v>
      </c>
      <c r="I129" s="134">
        <v>19.0</v>
      </c>
      <c r="J129" s="134">
        <v>0.0</v>
      </c>
      <c r="K129" s="134">
        <v>19.0</v>
      </c>
      <c r="L129" s="134">
        <v>1.68</v>
      </c>
      <c r="M129" s="134">
        <v>19.0</v>
      </c>
      <c r="N129" s="134">
        <v>0.0</v>
      </c>
    </row>
    <row r="130">
      <c r="A130" s="131" t="s">
        <v>554</v>
      </c>
      <c r="B130" s="133" t="s">
        <v>698</v>
      </c>
      <c r="C130" s="134">
        <v>72.0</v>
      </c>
      <c r="D130" s="134">
        <v>0.0</v>
      </c>
      <c r="E130" s="134">
        <v>16.0</v>
      </c>
      <c r="F130" s="134">
        <v>0.0</v>
      </c>
      <c r="G130" s="134">
        <v>15.0</v>
      </c>
      <c r="H130" s="134">
        <v>0.0</v>
      </c>
      <c r="I130" s="134">
        <v>14.0</v>
      </c>
      <c r="J130" s="134">
        <v>0.0</v>
      </c>
      <c r="K130" s="134">
        <v>14.0</v>
      </c>
      <c r="L130" s="134">
        <v>0.0</v>
      </c>
      <c r="M130" s="134">
        <v>13.0</v>
      </c>
      <c r="N130" s="134">
        <v>0.0</v>
      </c>
    </row>
    <row r="131">
      <c r="A131" s="91" t="s">
        <v>638</v>
      </c>
      <c r="B131" s="133" t="s">
        <v>700</v>
      </c>
      <c r="C131" s="134">
        <v>59.0</v>
      </c>
      <c r="D131" s="134">
        <v>0.0</v>
      </c>
      <c r="E131" s="134">
        <v>14.0</v>
      </c>
      <c r="F131" s="134">
        <v>0.0</v>
      </c>
      <c r="G131" s="134">
        <v>12.0</v>
      </c>
      <c r="H131" s="134">
        <v>0.0</v>
      </c>
      <c r="I131" s="134">
        <v>11.0</v>
      </c>
      <c r="J131" s="134">
        <v>0.0</v>
      </c>
      <c r="K131" s="134">
        <v>11.0</v>
      </c>
      <c r="L131" s="134">
        <v>0.0</v>
      </c>
      <c r="M131" s="134">
        <v>11.0</v>
      </c>
      <c r="N131" s="134">
        <v>0.0</v>
      </c>
    </row>
    <row r="132">
      <c r="A132" s="131" t="s">
        <v>639</v>
      </c>
      <c r="B132" s="133" t="s">
        <v>463</v>
      </c>
      <c r="C132" s="134">
        <v>37.0</v>
      </c>
      <c r="D132" s="134">
        <v>8.65</v>
      </c>
      <c r="E132" s="134">
        <v>8.0</v>
      </c>
      <c r="F132" s="134">
        <v>4.0</v>
      </c>
      <c r="G132" s="134">
        <v>8.0</v>
      </c>
      <c r="H132" s="134">
        <v>2.0</v>
      </c>
      <c r="I132" s="134">
        <v>7.0</v>
      </c>
      <c r="J132" s="134">
        <v>2.29</v>
      </c>
      <c r="K132" s="134">
        <v>7.0</v>
      </c>
      <c r="L132" s="134">
        <v>0.0</v>
      </c>
      <c r="M132" s="134">
        <v>7.0</v>
      </c>
      <c r="N132" s="134">
        <v>0.0</v>
      </c>
    </row>
    <row r="133">
      <c r="A133" s="131" t="s">
        <v>605</v>
      </c>
      <c r="B133" s="133" t="s">
        <v>596</v>
      </c>
      <c r="C133" s="134">
        <v>76.0</v>
      </c>
      <c r="D133" s="134">
        <v>3.16</v>
      </c>
      <c r="E133" s="134">
        <v>16.0</v>
      </c>
      <c r="F133" s="134">
        <v>1.0</v>
      </c>
      <c r="G133" s="134">
        <v>15.0</v>
      </c>
      <c r="H133" s="134">
        <v>0.0</v>
      </c>
      <c r="I133" s="134">
        <v>15.0</v>
      </c>
      <c r="J133" s="134">
        <v>0.0</v>
      </c>
      <c r="K133" s="134">
        <v>15.0</v>
      </c>
      <c r="L133" s="134">
        <v>2.13</v>
      </c>
      <c r="M133" s="134">
        <v>15.0</v>
      </c>
      <c r="N133" s="134">
        <v>0.0</v>
      </c>
    </row>
    <row r="134">
      <c r="A134" s="131" t="s">
        <v>646</v>
      </c>
      <c r="B134" s="133" t="s">
        <v>703</v>
      </c>
      <c r="C134" s="134">
        <v>76.0</v>
      </c>
      <c r="D134" s="134">
        <v>1.05</v>
      </c>
      <c r="E134" s="134">
        <v>16.0</v>
      </c>
      <c r="F134" s="134">
        <v>0.0</v>
      </c>
      <c r="G134" s="134">
        <v>15.0</v>
      </c>
      <c r="H134" s="134">
        <v>1.07</v>
      </c>
      <c r="I134" s="134">
        <v>15.0</v>
      </c>
      <c r="J134" s="134">
        <v>0.0</v>
      </c>
      <c r="K134" s="134">
        <v>15.0</v>
      </c>
      <c r="L134" s="134">
        <v>0.0</v>
      </c>
      <c r="M134" s="134">
        <v>15.0</v>
      </c>
      <c r="N134" s="134">
        <v>0.0</v>
      </c>
    </row>
    <row r="135">
      <c r="A135" s="131" t="s">
        <v>558</v>
      </c>
      <c r="B135" s="133" t="s">
        <v>706</v>
      </c>
      <c r="C135" s="134">
        <v>52.0</v>
      </c>
      <c r="D135" s="134">
        <v>0.0</v>
      </c>
      <c r="E135" s="134">
        <v>12.0</v>
      </c>
      <c r="F135" s="134">
        <v>0.0</v>
      </c>
      <c r="G135" s="134">
        <v>11.0</v>
      </c>
      <c r="H135" s="134">
        <v>-1.45</v>
      </c>
      <c r="I135" s="134">
        <v>10.0</v>
      </c>
      <c r="J135" s="134">
        <v>1.6</v>
      </c>
      <c r="K135" s="134">
        <v>9.0</v>
      </c>
      <c r="L135" s="134">
        <v>0.0</v>
      </c>
      <c r="M135" s="134">
        <v>10.0</v>
      </c>
      <c r="N135" s="134">
        <v>0.0</v>
      </c>
    </row>
    <row r="136">
      <c r="A136" s="131" t="s">
        <v>588</v>
      </c>
      <c r="B136" s="133" t="s">
        <v>640</v>
      </c>
      <c r="C136" s="134">
        <v>45.0</v>
      </c>
      <c r="D136" s="134">
        <v>3.56</v>
      </c>
      <c r="E136" s="134">
        <v>10.0</v>
      </c>
      <c r="F136" s="134">
        <v>0.0</v>
      </c>
      <c r="G136" s="134">
        <v>9.0</v>
      </c>
      <c r="H136" s="134">
        <v>5.33</v>
      </c>
      <c r="I136" s="134">
        <v>8.0</v>
      </c>
      <c r="J136" s="134">
        <v>0.0</v>
      </c>
      <c r="K136" s="134">
        <v>9.0</v>
      </c>
      <c r="L136" s="134">
        <v>-1.78</v>
      </c>
      <c r="M136" s="134">
        <v>9.0</v>
      </c>
      <c r="N136" s="134">
        <v>0.0</v>
      </c>
    </row>
    <row r="137">
      <c r="A137" s="131" t="s">
        <v>474</v>
      </c>
      <c r="B137" s="133" t="s">
        <v>425</v>
      </c>
      <c r="C137" s="134">
        <v>81.0</v>
      </c>
      <c r="D137" s="134">
        <v>13.8</v>
      </c>
      <c r="E137" s="134">
        <v>18.0</v>
      </c>
      <c r="F137" s="134">
        <v>3.56</v>
      </c>
      <c r="G137" s="134">
        <v>17.0</v>
      </c>
      <c r="H137" s="134">
        <v>0.941</v>
      </c>
      <c r="I137" s="134">
        <v>16.0</v>
      </c>
      <c r="J137" s="134">
        <v>4.0</v>
      </c>
      <c r="K137" s="134">
        <v>15.0</v>
      </c>
      <c r="L137" s="134">
        <v>5.33</v>
      </c>
      <c r="M137" s="134">
        <v>15.0</v>
      </c>
      <c r="N137" s="134">
        <v>0.0</v>
      </c>
    </row>
    <row r="138">
      <c r="A138" s="131" t="s">
        <v>538</v>
      </c>
      <c r="B138" s="133" t="s">
        <v>413</v>
      </c>
      <c r="C138" s="134">
        <v>77.0</v>
      </c>
      <c r="D138" s="134">
        <v>10.4</v>
      </c>
      <c r="E138" s="134">
        <v>16.0</v>
      </c>
      <c r="F138" s="134">
        <v>10.0</v>
      </c>
      <c r="G138" s="134">
        <v>16.0</v>
      </c>
      <c r="H138" s="134">
        <v>0.0</v>
      </c>
      <c r="I138" s="134">
        <v>15.0</v>
      </c>
      <c r="J138" s="134">
        <v>-1.07</v>
      </c>
      <c r="K138" s="134">
        <v>15.0</v>
      </c>
      <c r="L138" s="134">
        <v>1.07</v>
      </c>
      <c r="M138" s="134">
        <v>15.0</v>
      </c>
      <c r="N138" s="134">
        <v>0.0</v>
      </c>
    </row>
    <row r="139">
      <c r="A139" s="131" t="s">
        <v>654</v>
      </c>
      <c r="B139" s="133" t="s">
        <v>691</v>
      </c>
      <c r="C139" s="134">
        <v>49.0</v>
      </c>
      <c r="D139" s="134">
        <v>1.63</v>
      </c>
      <c r="E139" s="134">
        <v>10.0</v>
      </c>
      <c r="F139" s="134">
        <v>0.0</v>
      </c>
      <c r="G139" s="134">
        <v>10.0</v>
      </c>
      <c r="H139" s="134">
        <v>0.0</v>
      </c>
      <c r="I139" s="134">
        <v>9.0</v>
      </c>
      <c r="J139" s="134">
        <v>1.78</v>
      </c>
      <c r="K139" s="134">
        <v>10.0</v>
      </c>
      <c r="L139" s="134">
        <v>0.0</v>
      </c>
      <c r="M139" s="134">
        <v>10.0</v>
      </c>
      <c r="N139" s="134">
        <v>0.0</v>
      </c>
    </row>
    <row r="140">
      <c r="A140" s="131" t="s">
        <v>660</v>
      </c>
      <c r="B140" s="133" t="s">
        <v>594</v>
      </c>
      <c r="C140" s="134">
        <v>81.0</v>
      </c>
      <c r="D140" s="134">
        <v>4.94</v>
      </c>
      <c r="E140" s="134">
        <v>15.0</v>
      </c>
      <c r="F140" s="134">
        <v>0.0</v>
      </c>
      <c r="G140" s="134">
        <v>17.0</v>
      </c>
      <c r="H140" s="134">
        <v>1.88</v>
      </c>
      <c r="I140" s="134">
        <v>17.0</v>
      </c>
      <c r="J140" s="134">
        <v>0.0</v>
      </c>
      <c r="K140" s="134">
        <v>16.0</v>
      </c>
      <c r="L140" s="134">
        <v>3.0</v>
      </c>
      <c r="M140" s="134">
        <v>16.0</v>
      </c>
      <c r="N140" s="134">
        <v>0.0</v>
      </c>
    </row>
    <row r="141">
      <c r="A141" s="131" t="s">
        <v>645</v>
      </c>
      <c r="B141" s="133" t="s">
        <v>546</v>
      </c>
      <c r="C141" s="134">
        <v>99.0</v>
      </c>
      <c r="D141" s="134">
        <v>7.27</v>
      </c>
      <c r="E141" s="134">
        <v>20.0</v>
      </c>
      <c r="F141" s="134">
        <v>0.0</v>
      </c>
      <c r="G141" s="134">
        <v>20.0</v>
      </c>
      <c r="H141" s="134">
        <v>0.0</v>
      </c>
      <c r="I141" s="134">
        <v>20.0</v>
      </c>
      <c r="J141" s="134">
        <v>0.0</v>
      </c>
      <c r="K141" s="134">
        <v>20.0</v>
      </c>
      <c r="L141" s="134">
        <v>7.2</v>
      </c>
      <c r="M141" s="134">
        <v>19.0</v>
      </c>
      <c r="N141" s="134">
        <v>0.0</v>
      </c>
    </row>
    <row r="142">
      <c r="A142" s="131" t="s">
        <v>547</v>
      </c>
      <c r="B142" s="133" t="s">
        <v>443</v>
      </c>
      <c r="C142" s="134">
        <v>99.0</v>
      </c>
      <c r="D142" s="134">
        <v>6.46</v>
      </c>
      <c r="E142" s="134">
        <v>20.0</v>
      </c>
      <c r="F142" s="134">
        <v>5.6</v>
      </c>
      <c r="G142" s="134">
        <v>20.0</v>
      </c>
      <c r="H142" s="134">
        <v>0.0</v>
      </c>
      <c r="I142" s="134">
        <v>20.0</v>
      </c>
      <c r="J142" s="134">
        <v>1.6</v>
      </c>
      <c r="K142" s="134">
        <v>20.0</v>
      </c>
      <c r="L142" s="134">
        <v>-0.8</v>
      </c>
      <c r="M142" s="134">
        <v>19.0</v>
      </c>
      <c r="N142" s="134">
        <v>0.0</v>
      </c>
    </row>
    <row r="143">
      <c r="A143" s="131" t="s">
        <v>666</v>
      </c>
      <c r="B143" s="133" t="s">
        <v>600</v>
      </c>
      <c r="C143" s="134">
        <v>82.0</v>
      </c>
      <c r="D143" s="134">
        <v>4.88</v>
      </c>
      <c r="E143" s="134">
        <v>17.0</v>
      </c>
      <c r="F143" s="134">
        <v>0.0</v>
      </c>
      <c r="G143" s="134">
        <v>17.0</v>
      </c>
      <c r="H143" s="134">
        <v>0.0</v>
      </c>
      <c r="I143" s="134">
        <v>16.0</v>
      </c>
      <c r="J143" s="134">
        <v>0.0</v>
      </c>
      <c r="K143" s="134">
        <v>16.0</v>
      </c>
      <c r="L143" s="134">
        <v>5.0</v>
      </c>
      <c r="M143" s="134">
        <v>16.0</v>
      </c>
      <c r="N143" s="134">
        <v>0.0</v>
      </c>
    </row>
    <row r="144">
      <c r="A144" s="131" t="s">
        <v>667</v>
      </c>
      <c r="B144" s="133" t="s">
        <v>635</v>
      </c>
      <c r="C144" s="134">
        <v>100.0</v>
      </c>
      <c r="D144" s="134">
        <v>2.4</v>
      </c>
      <c r="E144" s="134">
        <v>20.0</v>
      </c>
      <c r="F144" s="134">
        <v>0.8</v>
      </c>
      <c r="G144" s="134">
        <v>20.0</v>
      </c>
      <c r="H144" s="134">
        <v>0.0</v>
      </c>
      <c r="I144" s="134">
        <v>20.0</v>
      </c>
      <c r="J144" s="134">
        <v>0.0</v>
      </c>
      <c r="K144" s="134">
        <v>20.0</v>
      </c>
      <c r="L144" s="134">
        <v>1.6</v>
      </c>
      <c r="M144" s="134">
        <v>20.0</v>
      </c>
      <c r="N144" s="134">
        <v>0.0</v>
      </c>
    </row>
    <row r="145">
      <c r="A145" s="131" t="s">
        <v>542</v>
      </c>
      <c r="B145" s="133" t="s">
        <v>719</v>
      </c>
      <c r="C145" s="134">
        <v>0.0</v>
      </c>
      <c r="D145" s="134">
        <v>0.0</v>
      </c>
      <c r="E145" s="134">
        <v>0.0</v>
      </c>
      <c r="F145" s="134">
        <v>0.0</v>
      </c>
      <c r="G145" s="134">
        <v>0.0</v>
      </c>
      <c r="H145" s="134">
        <v>0.0</v>
      </c>
      <c r="I145" s="134">
        <v>0.0</v>
      </c>
      <c r="J145" s="134">
        <v>0.0</v>
      </c>
      <c r="K145" s="134">
        <v>0.0</v>
      </c>
      <c r="L145" s="134">
        <v>0.0</v>
      </c>
      <c r="M145" s="134">
        <v>0.0</v>
      </c>
      <c r="N145" s="134">
        <v>0.0</v>
      </c>
    </row>
    <row r="146">
      <c r="A146" s="131" t="s">
        <v>668</v>
      </c>
      <c r="B146" s="133" t="s">
        <v>630</v>
      </c>
      <c r="C146" s="134">
        <v>100.0</v>
      </c>
      <c r="D146" s="134">
        <v>4.0</v>
      </c>
      <c r="E146" s="134">
        <v>20.0</v>
      </c>
      <c r="F146" s="134">
        <v>0.0</v>
      </c>
      <c r="G146" s="134">
        <v>20.0</v>
      </c>
      <c r="H146" s="134">
        <v>4.0</v>
      </c>
      <c r="I146" s="134">
        <v>20.0</v>
      </c>
      <c r="J146" s="134">
        <v>0.0</v>
      </c>
      <c r="K146" s="134">
        <v>20.0</v>
      </c>
      <c r="L146" s="134">
        <v>0.0</v>
      </c>
      <c r="M146" s="134">
        <v>20.0</v>
      </c>
      <c r="N146" s="134">
        <v>0.0</v>
      </c>
    </row>
    <row r="147">
      <c r="A147" s="131" t="s">
        <v>620</v>
      </c>
      <c r="B147" s="133" t="s">
        <v>637</v>
      </c>
      <c r="C147" s="134">
        <v>100.0</v>
      </c>
      <c r="D147" s="134">
        <v>1.6</v>
      </c>
      <c r="E147" s="134">
        <v>20.0</v>
      </c>
      <c r="F147" s="134">
        <v>0.8</v>
      </c>
      <c r="G147" s="134">
        <v>20.0</v>
      </c>
      <c r="H147" s="134">
        <v>0.0</v>
      </c>
      <c r="I147" s="134">
        <v>20.0</v>
      </c>
      <c r="J147" s="134">
        <v>0.0</v>
      </c>
      <c r="K147" s="134">
        <v>20.0</v>
      </c>
      <c r="L147" s="134">
        <v>0.8</v>
      </c>
      <c r="M147" s="134">
        <v>20.0</v>
      </c>
      <c r="N147" s="134">
        <v>0.0</v>
      </c>
    </row>
    <row r="148">
      <c r="A148" s="131" t="s">
        <v>675</v>
      </c>
      <c r="B148" s="133" t="s">
        <v>718</v>
      </c>
      <c r="C148" s="134">
        <v>100.0</v>
      </c>
      <c r="D148" s="134">
        <v>0.8</v>
      </c>
      <c r="E148" s="134">
        <v>20.0</v>
      </c>
      <c r="F148" s="134">
        <v>0.0</v>
      </c>
      <c r="G148" s="134">
        <v>20.0</v>
      </c>
      <c r="H148" s="134">
        <v>0.0</v>
      </c>
      <c r="I148" s="134">
        <v>20.0</v>
      </c>
      <c r="J148" s="134">
        <v>0.0</v>
      </c>
      <c r="K148" s="134">
        <v>20.0</v>
      </c>
      <c r="L148" s="134">
        <v>0.8</v>
      </c>
      <c r="M148" s="134">
        <v>20.0</v>
      </c>
      <c r="N148" s="134">
        <v>0.0</v>
      </c>
    </row>
    <row r="149">
      <c r="A149" s="131" t="s">
        <v>677</v>
      </c>
      <c r="B149" s="133" t="s">
        <v>559</v>
      </c>
      <c r="C149" s="134">
        <v>88.0</v>
      </c>
      <c r="D149" s="134">
        <v>3.64</v>
      </c>
      <c r="E149" s="134">
        <v>17.0</v>
      </c>
      <c r="F149" s="134">
        <v>1.88</v>
      </c>
      <c r="G149" s="134">
        <v>17.0</v>
      </c>
      <c r="H149" s="134">
        <v>0.0</v>
      </c>
      <c r="I149" s="134">
        <v>18.0</v>
      </c>
      <c r="J149" s="134">
        <v>1.78</v>
      </c>
      <c r="K149" s="134">
        <v>18.0</v>
      </c>
      <c r="L149" s="134">
        <v>0.0</v>
      </c>
      <c r="M149" s="134">
        <v>18.0</v>
      </c>
      <c r="N149" s="134">
        <v>0.0</v>
      </c>
    </row>
    <row r="150">
      <c r="A150" s="131" t="s">
        <v>586</v>
      </c>
      <c r="B150" s="133" t="s">
        <v>697</v>
      </c>
      <c r="C150" s="134">
        <v>61.0</v>
      </c>
      <c r="D150" s="134">
        <v>1.31</v>
      </c>
      <c r="E150" s="134">
        <v>12.0</v>
      </c>
      <c r="F150" s="134">
        <v>0.0</v>
      </c>
      <c r="G150" s="134">
        <v>13.0</v>
      </c>
      <c r="H150" s="134">
        <v>1.23</v>
      </c>
      <c r="I150" s="134">
        <v>12.0</v>
      </c>
      <c r="J150" s="134">
        <v>0.0</v>
      </c>
      <c r="K150" s="134">
        <v>12.0</v>
      </c>
      <c r="L150" s="134">
        <v>0.0</v>
      </c>
      <c r="M150" s="134">
        <v>12.0</v>
      </c>
      <c r="N150" s="134">
        <v>0.0</v>
      </c>
    </row>
    <row r="151">
      <c r="A151" s="131" t="s">
        <v>685</v>
      </c>
      <c r="B151" s="133" t="s">
        <v>723</v>
      </c>
      <c r="C151" s="134">
        <v>51.0</v>
      </c>
      <c r="D151" s="134">
        <v>0.0</v>
      </c>
      <c r="E151" s="134">
        <v>11.0</v>
      </c>
      <c r="F151" s="134">
        <v>0.0</v>
      </c>
      <c r="G151" s="134">
        <v>10.0</v>
      </c>
      <c r="H151" s="134">
        <v>0.0</v>
      </c>
      <c r="I151" s="134">
        <v>10.0</v>
      </c>
      <c r="J151" s="134">
        <v>0.0</v>
      </c>
      <c r="K151" s="134">
        <v>10.0</v>
      </c>
      <c r="L151" s="134">
        <v>0.0</v>
      </c>
      <c r="M151" s="134">
        <v>10.0</v>
      </c>
      <c r="N151" s="134">
        <v>0.0</v>
      </c>
    </row>
    <row r="152">
      <c r="A152" s="131" t="s">
        <v>647</v>
      </c>
      <c r="B152" s="133" t="s">
        <v>725</v>
      </c>
      <c r="C152" s="134">
        <v>20.0</v>
      </c>
      <c r="D152" s="134">
        <v>0.0</v>
      </c>
      <c r="E152" s="134">
        <v>4.0</v>
      </c>
      <c r="F152" s="134">
        <v>0.0</v>
      </c>
      <c r="G152" s="134">
        <v>4.0</v>
      </c>
      <c r="H152" s="134">
        <v>0.0</v>
      </c>
      <c r="I152" s="134">
        <v>4.0</v>
      </c>
      <c r="J152" s="134">
        <v>0.0</v>
      </c>
      <c r="K152" s="134">
        <v>4.0</v>
      </c>
      <c r="L152" s="134">
        <v>0.0</v>
      </c>
      <c r="M152" s="134">
        <v>4.0</v>
      </c>
      <c r="N152" s="134">
        <v>0.0</v>
      </c>
    </row>
    <row r="153">
      <c r="A153" s="131" t="s">
        <v>690</v>
      </c>
      <c r="B153" s="133" t="s">
        <v>721</v>
      </c>
      <c r="C153" s="134">
        <v>100.0</v>
      </c>
      <c r="D153" s="134">
        <v>0.8</v>
      </c>
      <c r="E153" s="134">
        <v>20.0</v>
      </c>
      <c r="F153" s="134">
        <v>0.0</v>
      </c>
      <c r="G153" s="134">
        <v>20.0</v>
      </c>
      <c r="H153" s="134">
        <v>0.8</v>
      </c>
      <c r="I153" s="134">
        <v>20.0</v>
      </c>
      <c r="J153" s="134">
        <v>0.0</v>
      </c>
      <c r="K153" s="134">
        <v>20.0</v>
      </c>
      <c r="L153" s="134">
        <v>0.0</v>
      </c>
      <c r="M153" s="134">
        <v>20.0</v>
      </c>
      <c r="N153" s="134">
        <v>0.0</v>
      </c>
    </row>
    <row r="154">
      <c r="A154" s="131" t="s">
        <v>591</v>
      </c>
      <c r="B154" s="133" t="s">
        <v>622</v>
      </c>
      <c r="C154" s="134">
        <v>59.0</v>
      </c>
      <c r="D154" s="134">
        <v>4.07</v>
      </c>
      <c r="E154" s="134">
        <v>12.0</v>
      </c>
      <c r="F154" s="134">
        <v>0.0</v>
      </c>
      <c r="G154" s="134">
        <v>11.0</v>
      </c>
      <c r="H154" s="134">
        <v>2.91</v>
      </c>
      <c r="I154" s="134">
        <v>12.0</v>
      </c>
      <c r="J154" s="134">
        <v>0.0</v>
      </c>
      <c r="K154" s="134">
        <v>12.0</v>
      </c>
      <c r="L154" s="134">
        <v>1.33</v>
      </c>
      <c r="M154" s="134">
        <v>12.0</v>
      </c>
      <c r="N154" s="134">
        <v>0.0</v>
      </c>
    </row>
    <row r="155">
      <c r="A155" s="131" t="s">
        <v>692</v>
      </c>
      <c r="B155" s="133" t="s">
        <v>730</v>
      </c>
      <c r="C155" s="134">
        <v>89.0</v>
      </c>
      <c r="D155" s="134">
        <v>-0.899</v>
      </c>
      <c r="E155" s="134">
        <v>17.0</v>
      </c>
      <c r="F155" s="134">
        <v>0.0</v>
      </c>
      <c r="G155" s="134">
        <v>18.0</v>
      </c>
      <c r="H155" s="134">
        <v>-0.889</v>
      </c>
      <c r="I155" s="134">
        <v>18.0</v>
      </c>
      <c r="J155" s="134">
        <v>0.0</v>
      </c>
      <c r="K155" s="134">
        <v>18.0</v>
      </c>
      <c r="L155" s="134">
        <v>0.0</v>
      </c>
      <c r="M155" s="134">
        <v>18.0</v>
      </c>
      <c r="N155" s="134">
        <v>0.0</v>
      </c>
    </row>
    <row r="156">
      <c r="A156" s="131" t="s">
        <v>695</v>
      </c>
      <c r="B156" s="133" t="s">
        <v>732</v>
      </c>
      <c r="C156" s="134">
        <v>72.0</v>
      </c>
      <c r="D156" s="134">
        <v>0.0</v>
      </c>
      <c r="E156" s="134">
        <v>15.0</v>
      </c>
      <c r="F156" s="134">
        <v>0.0</v>
      </c>
      <c r="G156" s="134">
        <v>15.0</v>
      </c>
      <c r="H156" s="134">
        <v>0.0</v>
      </c>
      <c r="I156" s="134">
        <v>14.0</v>
      </c>
      <c r="J156" s="134">
        <v>0.0</v>
      </c>
      <c r="K156" s="134">
        <v>14.0</v>
      </c>
      <c r="L156" s="134">
        <v>0.0</v>
      </c>
      <c r="M156" s="134">
        <v>14.0</v>
      </c>
      <c r="N156" s="134">
        <v>0.0</v>
      </c>
    </row>
    <row r="157">
      <c r="A157" s="131" t="s">
        <v>699</v>
      </c>
      <c r="B157" s="133" t="s">
        <v>683</v>
      </c>
      <c r="C157" s="134">
        <v>91.0</v>
      </c>
      <c r="D157" s="134">
        <v>1.76</v>
      </c>
      <c r="E157" s="134">
        <v>19.0</v>
      </c>
      <c r="F157" s="134">
        <v>0.0</v>
      </c>
      <c r="G157" s="134">
        <v>18.0</v>
      </c>
      <c r="H157" s="134">
        <v>0.0</v>
      </c>
      <c r="I157" s="134">
        <v>18.0</v>
      </c>
      <c r="J157" s="134">
        <v>0.0</v>
      </c>
      <c r="K157" s="134">
        <v>18.0</v>
      </c>
      <c r="L157" s="134">
        <v>1.78</v>
      </c>
      <c r="M157" s="134">
        <v>18.0</v>
      </c>
      <c r="N157" s="134">
        <v>0.0</v>
      </c>
    </row>
    <row r="158">
      <c r="A158" s="131" t="s">
        <v>701</v>
      </c>
      <c r="B158" s="133" t="s">
        <v>664</v>
      </c>
      <c r="C158" s="134">
        <v>99.0</v>
      </c>
      <c r="D158" s="134">
        <v>2.42</v>
      </c>
      <c r="E158" s="134">
        <v>20.0</v>
      </c>
      <c r="F158" s="134">
        <v>0.0</v>
      </c>
      <c r="G158" s="134">
        <v>20.0</v>
      </c>
      <c r="H158" s="134">
        <v>0.0</v>
      </c>
      <c r="I158" s="134">
        <v>20.0</v>
      </c>
      <c r="J158" s="134">
        <v>2.4</v>
      </c>
      <c r="K158" s="134">
        <v>20.0</v>
      </c>
      <c r="L158" s="134">
        <v>0.0</v>
      </c>
      <c r="M158" s="134">
        <v>19.0</v>
      </c>
      <c r="N158" s="134">
        <v>0.0</v>
      </c>
    </row>
    <row r="159">
      <c r="A159" s="131" t="s">
        <v>702</v>
      </c>
      <c r="B159" s="133" t="s">
        <v>481</v>
      </c>
      <c r="C159" s="134">
        <v>67.0</v>
      </c>
      <c r="D159" s="134">
        <v>5.97</v>
      </c>
      <c r="E159" s="134">
        <v>13.0</v>
      </c>
      <c r="F159" s="134">
        <v>3.69</v>
      </c>
      <c r="G159" s="134">
        <v>13.0</v>
      </c>
      <c r="H159" s="134">
        <v>0.0</v>
      </c>
      <c r="I159" s="134">
        <v>14.0</v>
      </c>
      <c r="J159" s="134">
        <v>2.29</v>
      </c>
      <c r="K159" s="134">
        <v>14.0</v>
      </c>
      <c r="L159" s="134">
        <v>0.0</v>
      </c>
      <c r="M159" s="134">
        <v>13.0</v>
      </c>
      <c r="N159" s="134">
        <v>0.0</v>
      </c>
    </row>
    <row r="160">
      <c r="A160" s="131" t="s">
        <v>704</v>
      </c>
      <c r="B160" s="133" t="s">
        <v>548</v>
      </c>
      <c r="C160" s="134">
        <v>32.0</v>
      </c>
      <c r="D160" s="134">
        <v>2.5</v>
      </c>
      <c r="E160" s="134">
        <v>7.0</v>
      </c>
      <c r="F160" s="134">
        <v>2.29</v>
      </c>
      <c r="G160" s="134">
        <v>7.0</v>
      </c>
      <c r="H160" s="134">
        <v>0.0</v>
      </c>
      <c r="I160" s="134">
        <v>6.0</v>
      </c>
      <c r="J160" s="134">
        <v>0.0</v>
      </c>
      <c r="K160" s="134">
        <v>6.0</v>
      </c>
      <c r="L160" s="134">
        <v>0.0</v>
      </c>
      <c r="M160" s="134">
        <v>6.0</v>
      </c>
      <c r="N160" s="134">
        <v>0.0</v>
      </c>
    </row>
    <row r="161">
      <c r="A161" s="131" t="s">
        <v>649</v>
      </c>
      <c r="B161" s="133" t="s">
        <v>641</v>
      </c>
      <c r="C161" s="134">
        <v>98.0</v>
      </c>
      <c r="D161" s="134">
        <v>0.816</v>
      </c>
      <c r="E161" s="134">
        <v>20.0</v>
      </c>
      <c r="F161" s="134">
        <v>0.8</v>
      </c>
      <c r="G161" s="134">
        <v>20.0</v>
      </c>
      <c r="H161" s="134">
        <v>0.0</v>
      </c>
      <c r="I161" s="134">
        <v>20.0</v>
      </c>
      <c r="J161" s="134">
        <v>0.0</v>
      </c>
      <c r="K161" s="134">
        <v>19.0</v>
      </c>
      <c r="L161" s="134">
        <v>0.0</v>
      </c>
      <c r="M161" s="134">
        <v>19.0</v>
      </c>
      <c r="N161" s="134">
        <v>0.0</v>
      </c>
    </row>
    <row r="162">
      <c r="A162" s="131" t="s">
        <v>707</v>
      </c>
      <c r="B162" s="133" t="s">
        <v>508</v>
      </c>
      <c r="C162" s="134">
        <v>98.0</v>
      </c>
      <c r="D162" s="134">
        <v>8.98</v>
      </c>
      <c r="E162" s="134">
        <v>20.0</v>
      </c>
      <c r="F162" s="134">
        <v>0.0</v>
      </c>
      <c r="G162" s="134">
        <v>21.0</v>
      </c>
      <c r="H162" s="134">
        <v>3.05</v>
      </c>
      <c r="I162" s="134">
        <v>20.0</v>
      </c>
      <c r="J162" s="134">
        <v>0.8</v>
      </c>
      <c r="K162" s="134">
        <v>19.0</v>
      </c>
      <c r="L162" s="134">
        <v>5.05</v>
      </c>
      <c r="M162" s="134">
        <v>18.0</v>
      </c>
      <c r="N162" s="134">
        <v>0.0</v>
      </c>
    </row>
    <row r="163">
      <c r="A163" s="131" t="s">
        <v>651</v>
      </c>
      <c r="B163" s="133" t="s">
        <v>535</v>
      </c>
      <c r="C163" s="134">
        <v>99.0</v>
      </c>
      <c r="D163" s="134">
        <v>0.808</v>
      </c>
      <c r="E163" s="134">
        <v>20.0</v>
      </c>
      <c r="F163" s="134">
        <v>2.4</v>
      </c>
      <c r="G163" s="134">
        <v>20.0</v>
      </c>
      <c r="H163" s="134">
        <v>0.0</v>
      </c>
      <c r="I163" s="134">
        <v>20.0</v>
      </c>
      <c r="J163" s="134">
        <v>-1.6</v>
      </c>
      <c r="K163" s="134">
        <v>20.0</v>
      </c>
      <c r="L163" s="134">
        <v>0.0</v>
      </c>
      <c r="M163" s="134">
        <v>19.0</v>
      </c>
      <c r="N163" s="134">
        <v>0.0</v>
      </c>
    </row>
    <row r="164">
      <c r="A164" s="131" t="s">
        <v>531</v>
      </c>
      <c r="B164" s="133" t="s">
        <v>551</v>
      </c>
      <c r="C164" s="134">
        <v>38.0</v>
      </c>
      <c r="D164" s="134">
        <v>2.11</v>
      </c>
      <c r="E164" s="134">
        <v>7.0</v>
      </c>
      <c r="F164" s="134">
        <v>2.29</v>
      </c>
      <c r="G164" s="134">
        <v>7.0</v>
      </c>
      <c r="H164" s="134">
        <v>0.0</v>
      </c>
      <c r="I164" s="134">
        <v>8.0</v>
      </c>
      <c r="J164" s="134">
        <v>0.0</v>
      </c>
      <c r="K164" s="134">
        <v>8.0</v>
      </c>
      <c r="L164" s="134">
        <v>0.0</v>
      </c>
      <c r="M164" s="134">
        <v>8.0</v>
      </c>
      <c r="N164" s="134">
        <v>0.0</v>
      </c>
    </row>
    <row r="165">
      <c r="A165" s="131" t="s">
        <v>712</v>
      </c>
      <c r="B165" s="133" t="s">
        <v>636</v>
      </c>
      <c r="C165" s="134">
        <v>61.0</v>
      </c>
      <c r="D165" s="134">
        <v>3.93</v>
      </c>
      <c r="E165" s="134">
        <v>13.0</v>
      </c>
      <c r="F165" s="134">
        <v>0.0</v>
      </c>
      <c r="G165" s="134">
        <v>13.0</v>
      </c>
      <c r="H165" s="134">
        <v>0.0</v>
      </c>
      <c r="I165" s="134">
        <v>12.0</v>
      </c>
      <c r="J165" s="134">
        <v>4.0</v>
      </c>
      <c r="K165" s="134">
        <v>12.0</v>
      </c>
      <c r="L165" s="134">
        <v>0.0</v>
      </c>
      <c r="M165" s="134">
        <v>11.0</v>
      </c>
      <c r="N165" s="134">
        <v>0.0</v>
      </c>
    </row>
    <row r="166">
      <c r="A166" s="131" t="s">
        <v>713</v>
      </c>
      <c r="B166" s="133" t="s">
        <v>587</v>
      </c>
      <c r="C166" s="134">
        <v>67.0</v>
      </c>
      <c r="D166" s="134">
        <v>1.19</v>
      </c>
      <c r="E166" s="134">
        <v>13.0</v>
      </c>
      <c r="F166" s="134">
        <v>1.23</v>
      </c>
      <c r="G166" s="134">
        <v>14.0</v>
      </c>
      <c r="H166" s="134">
        <v>0.0</v>
      </c>
      <c r="I166" s="134">
        <v>14.0</v>
      </c>
      <c r="J166" s="134">
        <v>0.0</v>
      </c>
      <c r="K166" s="134">
        <v>13.0</v>
      </c>
      <c r="L166" s="134">
        <v>0.0</v>
      </c>
      <c r="M166" s="134">
        <v>13.0</v>
      </c>
      <c r="N166" s="134">
        <v>0.0</v>
      </c>
    </row>
    <row r="167">
      <c r="A167" s="131" t="s">
        <v>715</v>
      </c>
      <c r="B167" s="133" t="s">
        <v>618</v>
      </c>
      <c r="C167" s="134">
        <v>89.0</v>
      </c>
      <c r="D167" s="134">
        <v>1.8</v>
      </c>
      <c r="E167" s="134">
        <v>18.0</v>
      </c>
      <c r="F167" s="134">
        <v>0.889</v>
      </c>
      <c r="G167" s="134">
        <v>18.0</v>
      </c>
      <c r="H167" s="134">
        <v>0.0</v>
      </c>
      <c r="I167" s="134">
        <v>18.0</v>
      </c>
      <c r="J167" s="134">
        <v>0.0</v>
      </c>
      <c r="K167" s="134">
        <v>17.0</v>
      </c>
      <c r="L167" s="134">
        <v>0.941</v>
      </c>
      <c r="M167" s="134">
        <v>18.0</v>
      </c>
      <c r="N167" s="134">
        <v>0.0</v>
      </c>
    </row>
    <row r="168">
      <c r="A168" s="131" t="s">
        <v>716</v>
      </c>
      <c r="B168" s="133" t="s">
        <v>737</v>
      </c>
      <c r="C168" s="134">
        <v>40.0</v>
      </c>
      <c r="D168" s="134">
        <v>0.0</v>
      </c>
      <c r="E168" s="134">
        <v>9.0</v>
      </c>
      <c r="F168" s="134">
        <v>0.0</v>
      </c>
      <c r="G168" s="134">
        <v>8.0</v>
      </c>
      <c r="H168" s="134">
        <v>0.0</v>
      </c>
      <c r="I168" s="134">
        <v>8.0</v>
      </c>
      <c r="J168" s="134">
        <v>0.0</v>
      </c>
      <c r="K168" s="134">
        <v>8.0</v>
      </c>
      <c r="L168" s="134">
        <v>0.0</v>
      </c>
      <c r="M168" s="134">
        <v>7.0</v>
      </c>
      <c r="N168" s="134">
        <v>0.0</v>
      </c>
    </row>
    <row r="169">
      <c r="A169" s="131" t="s">
        <v>717</v>
      </c>
      <c r="B169" s="133" t="s">
        <v>739</v>
      </c>
      <c r="C169" s="134">
        <v>38.0</v>
      </c>
      <c r="D169" s="134">
        <v>0.0</v>
      </c>
      <c r="E169" s="134">
        <v>8.0</v>
      </c>
      <c r="F169" s="134">
        <v>0.0</v>
      </c>
      <c r="G169" s="134">
        <v>8.0</v>
      </c>
      <c r="H169" s="134">
        <v>0.0</v>
      </c>
      <c r="I169" s="134">
        <v>8.0</v>
      </c>
      <c r="J169" s="134">
        <v>0.0</v>
      </c>
      <c r="K169" s="134">
        <v>8.0</v>
      </c>
      <c r="L169" s="134">
        <v>0.0</v>
      </c>
      <c r="M169" s="134">
        <v>6.0</v>
      </c>
      <c r="N169" s="134">
        <v>0.0</v>
      </c>
    </row>
    <row r="170">
      <c r="A170" s="131" t="s">
        <v>720</v>
      </c>
      <c r="B170" s="133" t="s">
        <v>682</v>
      </c>
      <c r="C170" s="134">
        <v>89.0</v>
      </c>
      <c r="D170" s="134">
        <v>1.8</v>
      </c>
      <c r="E170" s="134">
        <v>18.0</v>
      </c>
      <c r="F170" s="134">
        <v>0.0</v>
      </c>
      <c r="G170" s="134">
        <v>18.0</v>
      </c>
      <c r="H170" s="134">
        <v>0.889</v>
      </c>
      <c r="I170" s="134">
        <v>18.0</v>
      </c>
      <c r="J170" s="134">
        <v>0.0</v>
      </c>
      <c r="K170" s="134">
        <v>18.0</v>
      </c>
      <c r="L170" s="134">
        <v>0.889</v>
      </c>
      <c r="M170" s="134">
        <v>17.0</v>
      </c>
      <c r="N170" s="134">
        <v>0.0</v>
      </c>
    </row>
    <row r="171">
      <c r="A171" s="131" t="s">
        <v>722</v>
      </c>
      <c r="B171" s="133" t="s">
        <v>575</v>
      </c>
      <c r="C171" s="134">
        <v>81.0</v>
      </c>
      <c r="D171" s="134">
        <v>5.93</v>
      </c>
      <c r="E171" s="134">
        <v>16.0</v>
      </c>
      <c r="F171" s="134">
        <v>0.0</v>
      </c>
      <c r="G171" s="134">
        <v>16.0</v>
      </c>
      <c r="H171" s="134">
        <v>0.0</v>
      </c>
      <c r="I171" s="134">
        <v>16.0</v>
      </c>
      <c r="J171" s="134">
        <v>3.0</v>
      </c>
      <c r="K171" s="134">
        <v>16.0</v>
      </c>
      <c r="L171" s="134">
        <v>3.0</v>
      </c>
      <c r="M171" s="134">
        <v>17.0</v>
      </c>
      <c r="N171" s="134">
        <v>0.0</v>
      </c>
    </row>
    <row r="172">
      <c r="A172" s="91" t="s">
        <v>724</v>
      </c>
      <c r="B172" s="133" t="s">
        <v>741</v>
      </c>
      <c r="C172" s="134">
        <v>0.0</v>
      </c>
      <c r="D172" s="134">
        <v>0.0</v>
      </c>
      <c r="E172" s="134">
        <v>0.0</v>
      </c>
      <c r="F172" s="134">
        <v>0.0</v>
      </c>
      <c r="G172" s="134">
        <v>0.0</v>
      </c>
      <c r="H172" s="134">
        <v>0.0</v>
      </c>
      <c r="I172" s="134">
        <v>0.0</v>
      </c>
      <c r="J172" s="134">
        <v>0.0</v>
      </c>
      <c r="K172" s="134">
        <v>0.0</v>
      </c>
      <c r="L172" s="134">
        <v>0.0</v>
      </c>
      <c r="M172" s="134">
        <v>0.0</v>
      </c>
      <c r="N172" s="134">
        <v>0.0</v>
      </c>
    </row>
    <row r="173">
      <c r="A173" s="131" t="s">
        <v>726</v>
      </c>
      <c r="B173" s="133" t="s">
        <v>449</v>
      </c>
      <c r="C173" s="134">
        <v>99.0</v>
      </c>
      <c r="D173" s="134">
        <v>6.46</v>
      </c>
      <c r="E173" s="134">
        <v>20.0</v>
      </c>
      <c r="F173" s="134">
        <v>4.8</v>
      </c>
      <c r="G173" s="134">
        <v>20.0</v>
      </c>
      <c r="H173" s="134">
        <v>0.0</v>
      </c>
      <c r="I173" s="134">
        <v>20.0</v>
      </c>
      <c r="J173" s="134">
        <v>1.6</v>
      </c>
      <c r="K173" s="134">
        <v>20.0</v>
      </c>
      <c r="L173" s="134">
        <v>0.0</v>
      </c>
      <c r="M173" s="134">
        <v>19.0</v>
      </c>
      <c r="N173" s="134">
        <v>0.0</v>
      </c>
    </row>
    <row r="174">
      <c r="A174" s="131" t="s">
        <v>727</v>
      </c>
      <c r="B174" s="133" t="s">
        <v>743</v>
      </c>
      <c r="C174" s="134">
        <v>40.0</v>
      </c>
      <c r="D174" s="134">
        <v>0.0</v>
      </c>
      <c r="E174" s="134">
        <v>8.0</v>
      </c>
      <c r="F174" s="134">
        <v>0.0</v>
      </c>
      <c r="G174" s="134">
        <v>8.0</v>
      </c>
      <c r="H174" s="134">
        <v>0.0</v>
      </c>
      <c r="I174" s="134">
        <v>8.0</v>
      </c>
      <c r="J174" s="134">
        <v>0.0</v>
      </c>
      <c r="K174" s="134">
        <v>8.0</v>
      </c>
      <c r="L174" s="134">
        <v>0.0</v>
      </c>
      <c r="M174" s="134">
        <v>8.0</v>
      </c>
      <c r="N174" s="134">
        <v>0.0</v>
      </c>
    </row>
    <row r="175">
      <c r="A175" s="131" t="s">
        <v>728</v>
      </c>
      <c r="B175" s="133" t="s">
        <v>584</v>
      </c>
      <c r="C175" s="134">
        <v>59.0</v>
      </c>
      <c r="D175" s="134">
        <v>2.71</v>
      </c>
      <c r="E175" s="134">
        <v>12.0</v>
      </c>
      <c r="F175" s="134">
        <v>1.33</v>
      </c>
      <c r="G175" s="134">
        <v>12.0</v>
      </c>
      <c r="H175" s="134">
        <v>0.0</v>
      </c>
      <c r="I175" s="134">
        <v>12.0</v>
      </c>
      <c r="J175" s="134">
        <v>1.33</v>
      </c>
      <c r="K175" s="134">
        <v>12.0</v>
      </c>
      <c r="L175" s="134">
        <v>0.0</v>
      </c>
      <c r="M175" s="134">
        <v>11.0</v>
      </c>
      <c r="N175" s="134">
        <v>0.0</v>
      </c>
    </row>
    <row r="176">
      <c r="A176" s="131" t="s">
        <v>729</v>
      </c>
      <c r="B176" s="133" t="s">
        <v>484</v>
      </c>
      <c r="C176" s="134">
        <v>99.0</v>
      </c>
      <c r="D176" s="134">
        <v>10.5</v>
      </c>
      <c r="E176" s="134">
        <v>20.0</v>
      </c>
      <c r="F176" s="134">
        <v>0.8</v>
      </c>
      <c r="G176" s="134">
        <v>20.0</v>
      </c>
      <c r="H176" s="134">
        <v>6.4</v>
      </c>
      <c r="I176" s="134">
        <v>20.0</v>
      </c>
      <c r="J176" s="134">
        <v>1.6</v>
      </c>
      <c r="K176" s="134">
        <v>20.0</v>
      </c>
      <c r="L176" s="134">
        <v>1.6</v>
      </c>
      <c r="M176" s="134">
        <v>19.0</v>
      </c>
      <c r="N176" s="134">
        <v>0.0</v>
      </c>
    </row>
    <row r="177">
      <c r="A177" s="131" t="s">
        <v>731</v>
      </c>
      <c r="B177" s="133" t="s">
        <v>745</v>
      </c>
      <c r="C177" s="134">
        <v>25.0</v>
      </c>
      <c r="D177" s="134">
        <v>0.0</v>
      </c>
      <c r="E177" s="134">
        <v>5.0</v>
      </c>
      <c r="F177" s="134">
        <v>0.0</v>
      </c>
      <c r="G177" s="134">
        <v>5.0</v>
      </c>
      <c r="H177" s="134">
        <v>0.0</v>
      </c>
      <c r="I177" s="134">
        <v>5.0</v>
      </c>
      <c r="J177" s="134">
        <v>0.0</v>
      </c>
      <c r="K177" s="134">
        <v>5.0</v>
      </c>
      <c r="L177" s="134">
        <v>0.0</v>
      </c>
      <c r="M177" s="134">
        <v>5.0</v>
      </c>
      <c r="N177" s="134">
        <v>0.0</v>
      </c>
    </row>
    <row r="178">
      <c r="A178" s="131" t="s">
        <v>733</v>
      </c>
      <c r="B178" s="133" t="s">
        <v>708</v>
      </c>
      <c r="C178" s="134">
        <v>85.0</v>
      </c>
      <c r="D178" s="134">
        <v>0.941</v>
      </c>
      <c r="E178" s="134">
        <v>19.0</v>
      </c>
      <c r="F178" s="134">
        <v>0.0</v>
      </c>
      <c r="G178" s="134">
        <v>18.0</v>
      </c>
      <c r="H178" s="134">
        <v>0.889</v>
      </c>
      <c r="I178" s="134">
        <v>16.0</v>
      </c>
      <c r="J178" s="134">
        <v>0.0</v>
      </c>
      <c r="K178" s="134">
        <v>16.0</v>
      </c>
      <c r="L178" s="134">
        <v>0.0</v>
      </c>
      <c r="M178" s="134">
        <v>16.0</v>
      </c>
      <c r="N178" s="134">
        <v>0.0</v>
      </c>
    </row>
    <row r="179">
      <c r="A179" s="131" t="s">
        <v>734</v>
      </c>
      <c r="B179" s="133" t="s">
        <v>417</v>
      </c>
      <c r="C179" s="134">
        <v>93.0</v>
      </c>
      <c r="D179" s="134">
        <v>14.6</v>
      </c>
      <c r="E179" s="134">
        <v>20.0</v>
      </c>
      <c r="F179" s="134">
        <v>4.0</v>
      </c>
      <c r="G179" s="134">
        <v>19.0</v>
      </c>
      <c r="H179" s="134">
        <v>0.842</v>
      </c>
      <c r="I179" s="134">
        <v>18.0</v>
      </c>
      <c r="J179" s="134">
        <v>5.33</v>
      </c>
      <c r="K179" s="134">
        <v>18.0</v>
      </c>
      <c r="L179" s="134">
        <v>4.44</v>
      </c>
      <c r="M179" s="134">
        <v>18.0</v>
      </c>
      <c r="N179" s="134">
        <v>0.0</v>
      </c>
    </row>
    <row r="180">
      <c r="A180" s="131" t="s">
        <v>735</v>
      </c>
      <c r="B180" s="133" t="s">
        <v>648</v>
      </c>
      <c r="C180" s="134">
        <v>97.0</v>
      </c>
      <c r="D180" s="134">
        <v>0.825</v>
      </c>
      <c r="E180" s="134">
        <v>20.0</v>
      </c>
      <c r="F180" s="134">
        <v>0.8</v>
      </c>
      <c r="G180" s="134">
        <v>20.0</v>
      </c>
      <c r="H180" s="134">
        <v>0.0</v>
      </c>
      <c r="I180" s="134">
        <v>20.0</v>
      </c>
      <c r="J180" s="134">
        <v>0.0</v>
      </c>
      <c r="K180" s="134">
        <v>19.0</v>
      </c>
      <c r="L180" s="134">
        <v>0.0</v>
      </c>
      <c r="M180" s="134">
        <v>18.0</v>
      </c>
      <c r="N180" s="134">
        <v>0.0</v>
      </c>
    </row>
    <row r="181">
      <c r="A181" s="131" t="s">
        <v>736</v>
      </c>
      <c r="B181" s="133" t="s">
        <v>711</v>
      </c>
      <c r="C181" s="134">
        <v>97.0</v>
      </c>
      <c r="D181" s="134">
        <v>0.825</v>
      </c>
      <c r="E181" s="134">
        <v>20.0</v>
      </c>
      <c r="F181" s="134">
        <v>0.0</v>
      </c>
      <c r="G181" s="134">
        <v>20.0</v>
      </c>
      <c r="H181" s="134">
        <v>0.0</v>
      </c>
      <c r="I181" s="134">
        <v>20.0</v>
      </c>
      <c r="J181" s="134">
        <v>0.0</v>
      </c>
      <c r="K181" s="134">
        <v>19.0</v>
      </c>
      <c r="L181" s="134">
        <v>0.842</v>
      </c>
      <c r="M181" s="134">
        <v>18.0</v>
      </c>
      <c r="N181" s="134">
        <v>0.0</v>
      </c>
    </row>
    <row r="182">
      <c r="A182" s="131" t="s">
        <v>738</v>
      </c>
      <c r="B182" s="133" t="s">
        <v>464</v>
      </c>
      <c r="C182" s="134">
        <v>64.0</v>
      </c>
      <c r="D182" s="134">
        <v>12.5</v>
      </c>
      <c r="E182" s="134">
        <v>12.0</v>
      </c>
      <c r="F182" s="134">
        <v>1.33</v>
      </c>
      <c r="G182" s="134">
        <v>13.0</v>
      </c>
      <c r="H182" s="134">
        <v>11.1</v>
      </c>
      <c r="I182" s="134">
        <v>14.0</v>
      </c>
      <c r="J182" s="134">
        <v>0.0</v>
      </c>
      <c r="K182" s="134">
        <v>14.0</v>
      </c>
      <c r="L182" s="134">
        <v>0.0</v>
      </c>
      <c r="M182" s="134">
        <v>11.0</v>
      </c>
      <c r="N182" s="134">
        <v>0.0</v>
      </c>
    </row>
    <row r="183">
      <c r="A183" s="131" t="s">
        <v>740</v>
      </c>
      <c r="B183" s="133" t="s">
        <v>453</v>
      </c>
      <c r="C183" s="134">
        <v>31.0</v>
      </c>
      <c r="D183" s="134">
        <v>12.9</v>
      </c>
      <c r="E183" s="134">
        <v>7.0</v>
      </c>
      <c r="F183" s="134">
        <v>0.0</v>
      </c>
      <c r="G183" s="134">
        <v>7.0</v>
      </c>
      <c r="H183" s="134">
        <v>11.4</v>
      </c>
      <c r="I183" s="134">
        <v>6.0</v>
      </c>
      <c r="J183" s="134">
        <v>0.0</v>
      </c>
      <c r="K183" s="134">
        <v>6.0</v>
      </c>
      <c r="L183" s="134">
        <v>0.0</v>
      </c>
      <c r="M183" s="134">
        <v>5.0</v>
      </c>
      <c r="N183" s="134">
        <v>0.0</v>
      </c>
    </row>
    <row r="184">
      <c r="A184" s="131" t="s">
        <v>744</v>
      </c>
      <c r="B184" s="133" t="s">
        <v>747</v>
      </c>
      <c r="C184" s="134">
        <v>92.0</v>
      </c>
      <c r="D184" s="134">
        <v>0.0</v>
      </c>
      <c r="E184" s="134">
        <v>19.0</v>
      </c>
      <c r="F184" s="134">
        <v>-0.842</v>
      </c>
      <c r="G184" s="134">
        <v>19.0</v>
      </c>
      <c r="H184" s="134">
        <v>0.0</v>
      </c>
      <c r="I184" s="134">
        <v>19.0</v>
      </c>
      <c r="J184" s="134">
        <v>0.842</v>
      </c>
      <c r="K184" s="134">
        <v>19.0</v>
      </c>
      <c r="L184" s="134">
        <v>0.0</v>
      </c>
      <c r="M184" s="134">
        <v>16.0</v>
      </c>
      <c r="N184" s="134">
        <v>0.0</v>
      </c>
    </row>
    <row r="185">
      <c r="A185" s="131" t="s">
        <v>746</v>
      </c>
      <c r="B185" s="133" t="s">
        <v>755</v>
      </c>
      <c r="C185" s="134">
        <v>92.0</v>
      </c>
      <c r="D185" s="134">
        <v>-1.74</v>
      </c>
      <c r="E185" s="134">
        <v>19.0</v>
      </c>
      <c r="F185" s="134">
        <v>0.0</v>
      </c>
      <c r="G185" s="134">
        <v>19.0</v>
      </c>
      <c r="H185" s="134">
        <v>0.0</v>
      </c>
      <c r="I185" s="134">
        <v>19.0</v>
      </c>
      <c r="J185" s="134">
        <v>-1.68</v>
      </c>
      <c r="K185" s="134">
        <v>19.0</v>
      </c>
      <c r="L185" s="134">
        <v>0.0</v>
      </c>
      <c r="M185" s="134">
        <v>16.0</v>
      </c>
      <c r="N185" s="134">
        <v>0.0</v>
      </c>
    </row>
    <row r="186">
      <c r="A186" s="131" t="s">
        <v>748</v>
      </c>
      <c r="B186" s="133" t="s">
        <v>749</v>
      </c>
      <c r="C186" s="134">
        <v>67.0</v>
      </c>
      <c r="D186" s="134">
        <v>0.0</v>
      </c>
      <c r="E186" s="134">
        <v>13.0</v>
      </c>
      <c r="F186" s="134">
        <v>0.0</v>
      </c>
      <c r="G186" s="134">
        <v>14.0</v>
      </c>
      <c r="H186" s="134">
        <v>0.0</v>
      </c>
      <c r="I186" s="134">
        <v>14.0</v>
      </c>
      <c r="J186" s="134">
        <v>0.0</v>
      </c>
      <c r="K186" s="134">
        <v>14.0</v>
      </c>
      <c r="L186" s="134">
        <v>0.0</v>
      </c>
      <c r="M186" s="134">
        <v>12.0</v>
      </c>
      <c r="N186" s="134">
        <v>0.0</v>
      </c>
    </row>
    <row r="187">
      <c r="A187" s="131" t="s">
        <v>750</v>
      </c>
      <c r="B187" s="133" t="s">
        <v>705</v>
      </c>
      <c r="C187" s="134">
        <v>79.0</v>
      </c>
      <c r="D187" s="134">
        <v>1.01</v>
      </c>
      <c r="E187" s="134">
        <v>17.0</v>
      </c>
      <c r="F187" s="134">
        <v>-0.941</v>
      </c>
      <c r="G187" s="134">
        <v>16.0</v>
      </c>
      <c r="H187" s="134">
        <v>1.0</v>
      </c>
      <c r="I187" s="134">
        <v>15.0</v>
      </c>
      <c r="J187" s="134">
        <v>0.0</v>
      </c>
      <c r="K187" s="134">
        <v>16.0</v>
      </c>
      <c r="L187" s="134">
        <v>1.0</v>
      </c>
      <c r="M187" s="134">
        <v>15.0</v>
      </c>
      <c r="N187" s="134">
        <v>0.0</v>
      </c>
    </row>
    <row r="188">
      <c r="A188" s="131" t="s">
        <v>751</v>
      </c>
      <c r="B188" s="133" t="s">
        <v>669</v>
      </c>
      <c r="C188" s="134">
        <v>70.0</v>
      </c>
      <c r="D188" s="134">
        <v>2.29</v>
      </c>
      <c r="E188" s="134">
        <v>15.0</v>
      </c>
      <c r="F188" s="134">
        <v>0.0</v>
      </c>
      <c r="G188" s="134">
        <v>15.0</v>
      </c>
      <c r="H188" s="134">
        <v>0.0</v>
      </c>
      <c r="I188" s="134">
        <v>14.0</v>
      </c>
      <c r="J188" s="134">
        <v>0.0</v>
      </c>
      <c r="K188" s="134">
        <v>13.0</v>
      </c>
      <c r="L188" s="134">
        <v>2.46</v>
      </c>
      <c r="M188" s="134">
        <v>13.0</v>
      </c>
      <c r="N188" s="134">
        <v>0.0</v>
      </c>
    </row>
    <row r="189">
      <c r="A189" s="131" t="s">
        <v>504</v>
      </c>
      <c r="B189" s="133" t="s">
        <v>671</v>
      </c>
      <c r="C189" s="134">
        <v>75.0</v>
      </c>
      <c r="D189" s="134">
        <v>2.13</v>
      </c>
      <c r="E189" s="134">
        <v>15.0</v>
      </c>
      <c r="F189" s="134">
        <v>0.0</v>
      </c>
      <c r="G189" s="134">
        <v>16.0</v>
      </c>
      <c r="H189" s="134">
        <v>0.0</v>
      </c>
      <c r="I189" s="134">
        <v>15.0</v>
      </c>
      <c r="J189" s="134">
        <v>1.07</v>
      </c>
      <c r="K189" s="134">
        <v>15.0</v>
      </c>
      <c r="L189" s="134">
        <v>1.07</v>
      </c>
      <c r="M189" s="134">
        <v>14.0</v>
      </c>
      <c r="N189" s="134">
        <v>0.0</v>
      </c>
    </row>
    <row r="190">
      <c r="A190" s="131" t="s">
        <v>658</v>
      </c>
      <c r="B190" s="133" t="s">
        <v>613</v>
      </c>
      <c r="C190" s="134">
        <v>80.0</v>
      </c>
      <c r="D190" s="134">
        <v>4.0</v>
      </c>
      <c r="E190" s="134">
        <v>17.0</v>
      </c>
      <c r="F190" s="134">
        <v>0.941</v>
      </c>
      <c r="G190" s="134">
        <v>17.0</v>
      </c>
      <c r="H190" s="134">
        <v>0.0</v>
      </c>
      <c r="I190" s="134">
        <v>16.0</v>
      </c>
      <c r="J190" s="134">
        <v>3.0</v>
      </c>
      <c r="K190" s="134">
        <v>15.0</v>
      </c>
      <c r="L190" s="134">
        <v>0.0</v>
      </c>
      <c r="M190" s="134">
        <v>15.0</v>
      </c>
      <c r="N190" s="134">
        <v>0.0</v>
      </c>
    </row>
    <row r="191">
      <c r="A191" s="131" t="s">
        <v>610</v>
      </c>
      <c r="B191" s="133" t="s">
        <v>756</v>
      </c>
      <c r="C191" s="134">
        <v>27.0</v>
      </c>
      <c r="D191" s="134">
        <v>-2.96</v>
      </c>
      <c r="E191" s="134">
        <v>7.0</v>
      </c>
      <c r="F191" s="134">
        <v>0.0</v>
      </c>
      <c r="G191" s="134">
        <v>5.0</v>
      </c>
      <c r="H191" s="134">
        <v>0.0</v>
      </c>
      <c r="I191" s="134">
        <v>5.0</v>
      </c>
      <c r="J191" s="134">
        <v>-3.2</v>
      </c>
      <c r="K191" s="134">
        <v>5.0</v>
      </c>
      <c r="L191" s="134">
        <v>0.0</v>
      </c>
      <c r="M191" s="134">
        <v>5.0</v>
      </c>
      <c r="N191" s="134">
        <v>0.0</v>
      </c>
    </row>
    <row r="192">
      <c r="A192" s="131" t="s">
        <v>752</v>
      </c>
      <c r="B192" s="133" t="s">
        <v>577</v>
      </c>
      <c r="C192" s="134">
        <v>100.0</v>
      </c>
      <c r="D192" s="134">
        <v>2.4</v>
      </c>
      <c r="E192" s="134">
        <v>20.0</v>
      </c>
      <c r="F192" s="134">
        <v>1.6</v>
      </c>
      <c r="G192" s="134">
        <v>20.0</v>
      </c>
      <c r="H192" s="134">
        <v>0.0</v>
      </c>
      <c r="I192" s="134">
        <v>20.0</v>
      </c>
      <c r="J192" s="134">
        <v>0.8</v>
      </c>
      <c r="K192" s="134">
        <v>20.0</v>
      </c>
      <c r="L192" s="134">
        <v>0.0</v>
      </c>
      <c r="M192" s="134">
        <v>20.0</v>
      </c>
      <c r="N192" s="134">
        <v>0.0</v>
      </c>
    </row>
    <row r="193">
      <c r="B193" s="133" t="s">
        <v>505</v>
      </c>
      <c r="C193" s="134">
        <v>98.0</v>
      </c>
      <c r="D193" s="134">
        <v>8.98</v>
      </c>
      <c r="E193" s="134">
        <v>20.0</v>
      </c>
      <c r="F193" s="134">
        <v>0.8</v>
      </c>
      <c r="G193" s="134">
        <v>20.0</v>
      </c>
      <c r="H193" s="134">
        <v>1.6</v>
      </c>
      <c r="I193" s="134">
        <v>20.0</v>
      </c>
      <c r="J193" s="134">
        <v>1.6</v>
      </c>
      <c r="K193" s="134">
        <v>19.0</v>
      </c>
      <c r="L193" s="134">
        <v>5.89</v>
      </c>
      <c r="M193" s="134">
        <v>19.0</v>
      </c>
      <c r="N193" s="134">
        <v>-0.842</v>
      </c>
    </row>
    <row r="194">
      <c r="B194" s="133" t="s">
        <v>662</v>
      </c>
      <c r="C194" s="134">
        <v>99.0</v>
      </c>
      <c r="D194" s="134">
        <v>2.42</v>
      </c>
      <c r="E194" s="134">
        <v>20.0</v>
      </c>
      <c r="F194" s="134">
        <v>0.0</v>
      </c>
      <c r="G194" s="134">
        <v>20.0</v>
      </c>
      <c r="H194" s="134">
        <v>3.2</v>
      </c>
      <c r="I194" s="134">
        <v>20.0</v>
      </c>
      <c r="J194" s="134">
        <v>0.0</v>
      </c>
      <c r="K194" s="134">
        <v>20.0</v>
      </c>
      <c r="L194" s="134">
        <v>0.0</v>
      </c>
      <c r="M194" s="134">
        <v>19.0</v>
      </c>
      <c r="N194" s="134">
        <v>-0.842</v>
      </c>
    </row>
    <row r="195">
      <c r="B195" s="133" t="s">
        <v>607</v>
      </c>
      <c r="C195" s="134">
        <v>79.0</v>
      </c>
      <c r="D195" s="134">
        <v>1.01</v>
      </c>
      <c r="E195" s="134">
        <v>16.0</v>
      </c>
      <c r="F195" s="134">
        <v>1.0</v>
      </c>
      <c r="G195" s="134">
        <v>16.0</v>
      </c>
      <c r="H195" s="134">
        <v>0.0</v>
      </c>
      <c r="I195" s="134">
        <v>16.0</v>
      </c>
      <c r="J195" s="134">
        <v>0.0</v>
      </c>
      <c r="K195" s="134">
        <v>16.0</v>
      </c>
      <c r="L195" s="134">
        <v>1.0</v>
      </c>
      <c r="M195" s="134">
        <v>15.0</v>
      </c>
      <c r="N195" s="134">
        <v>-1.07</v>
      </c>
    </row>
    <row r="196">
      <c r="B196" s="133" t="s">
        <v>653</v>
      </c>
      <c r="C196" s="134">
        <v>40.0</v>
      </c>
      <c r="D196" s="134">
        <v>-4.0</v>
      </c>
      <c r="E196" s="134">
        <v>8.0</v>
      </c>
      <c r="F196" s="134">
        <v>0.0</v>
      </c>
      <c r="G196" s="134">
        <v>8.0</v>
      </c>
      <c r="H196" s="134">
        <v>0.0</v>
      </c>
      <c r="I196" s="134">
        <v>8.0</v>
      </c>
      <c r="J196" s="134">
        <v>0.0</v>
      </c>
      <c r="K196" s="134">
        <v>8.0</v>
      </c>
      <c r="L196" s="134">
        <v>-2.0</v>
      </c>
      <c r="M196" s="134">
        <v>8.0</v>
      </c>
      <c r="N196" s="134">
        <v>-2.0</v>
      </c>
    </row>
  </sheetData>
  <drawing r:id="rId1"/>
</worksheet>
</file>