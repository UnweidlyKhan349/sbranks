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Schedule" sheetId="1" r:id="rId5"/>
    <sheet state="visible" name="Team Hub" sheetId="2" r:id="rId6"/>
    <sheet state="visible" name="Catstats Hub" sheetId="3" r:id="rId7"/>
    <sheet state="visible" name="League Scoreboard" sheetId="4" r:id="rId8"/>
    <sheet state="visible" name="League Phase Table" sheetId="5" r:id="rId9"/>
    <sheet state="visible" name="Playoff Groups" sheetId="6" r:id="rId10"/>
    <sheet state="visible" name="Playoff Scoring" sheetId="7" r:id="rId11"/>
    <sheet state="visible" name="Final Tournament Table" sheetId="8" r:id="rId12"/>
    <sheet state="hidden" name="Playoff Seeding" sheetId="9" r:id="rId13"/>
    <sheet state="hidden" name="Double Elimination Bracket" sheetId="10" r:id="rId14"/>
    <sheet state="visible" name="League Phase Overall Individual" sheetId="11" r:id="rId15"/>
    <sheet state="visible" name="League Phase Individual Biology" sheetId="12" r:id="rId16"/>
    <sheet state="visible" name="League Phase Individual Chemist" sheetId="13" r:id="rId17"/>
    <sheet state="visible" name="League Phase Individual Energy" sheetId="14" r:id="rId18"/>
    <sheet state="visible" name="League Phase Individual ESS" sheetId="15" r:id="rId19"/>
    <sheet state="visible" name="League Phase Individual Math" sheetId="16" r:id="rId20"/>
    <sheet state="visible" name="League Phase Individual Physics" sheetId="17" r:id="rId21"/>
    <sheet state="visible" name="Playoff Phase Overall Individua" sheetId="18" r:id="rId22"/>
    <sheet state="visible" name="Playoff Phase Individual Biolog" sheetId="19" r:id="rId23"/>
    <sheet state="visible" name="Playoff Phase Individual Chemis" sheetId="20" r:id="rId24"/>
    <sheet state="visible" name="Playoff Phase Individual Energy" sheetId="21" r:id="rId25"/>
    <sheet state="visible" name="Playoff Phase Individual ESS" sheetId="22" r:id="rId26"/>
    <sheet state="visible" name="Playoff Phase Individual Math" sheetId="23" r:id="rId27"/>
    <sheet state="visible" name="Playoff Phase Individual Physic" sheetId="24" r:id="rId28"/>
    <sheet state="visible" name="League Phase Team Overall" sheetId="25" r:id="rId29"/>
    <sheet state="visible" name="League Phase Team Biology" sheetId="26" r:id="rId30"/>
    <sheet state="visible" name="League Phase Team Chemistry" sheetId="27" r:id="rId31"/>
    <sheet state="visible" name="League Phase Team Energy" sheetId="28" r:id="rId32"/>
    <sheet state="visible" name="League Phase Team ESS" sheetId="29" r:id="rId33"/>
    <sheet state="visible" name="League Phase Team Math" sheetId="30" r:id="rId34"/>
    <sheet state="visible" name="League Phase Team Physics" sheetId="31" r:id="rId35"/>
    <sheet state="visible" name="Playoff Phase Team Overall" sheetId="32" r:id="rId36"/>
    <sheet state="visible" name="Playoff Phase Team Biology" sheetId="33" r:id="rId37"/>
    <sheet state="visible" name="Playoff Phase Team Chemistry" sheetId="34" r:id="rId38"/>
    <sheet state="visible" name="Playoff Phase Team Energy" sheetId="35" r:id="rId39"/>
    <sheet state="visible" name="Playoff Phase Team ESS" sheetId="36" r:id="rId40"/>
    <sheet state="visible" name="Playoff Phase Team Math" sheetId="37" r:id="rId41"/>
    <sheet state="visible" name="Playoff Phase Team Physics" sheetId="38" r:id="rId42"/>
    <sheet state="hidden" name="Team Chemistry Stats" sheetId="39" r:id="rId43"/>
  </sheets>
  <definedNames/>
  <calcPr/>
</workbook>
</file>

<file path=xl/sharedStrings.xml><?xml version="1.0" encoding="utf-8"?>
<sst xmlns="http://schemas.openxmlformats.org/spreadsheetml/2006/main" count="4304" uniqueCount="469">
  <si>
    <t>SMH League Cup - January 4, 2025</t>
  </si>
  <si>
    <t>Schedule</t>
  </si>
  <si>
    <t>Playoff Pairings</t>
  </si>
  <si>
    <t>all listed times are in pacific time (PT)</t>
  </si>
  <si>
    <t>Start Time</t>
  </si>
  <si>
    <t>End Time</t>
  </si>
  <si>
    <t>Description</t>
  </si>
  <si>
    <t>Room 1</t>
  </si>
  <si>
    <t>Room 2</t>
  </si>
  <si>
    <t>Bye</t>
  </si>
  <si>
    <t>Opening Ceremony + League Match 1</t>
  </si>
  <si>
    <t>PO1</t>
  </si>
  <si>
    <t>League Match 2</t>
  </si>
  <si>
    <t>PO2</t>
  </si>
  <si>
    <t>League Match 3</t>
  </si>
  <si>
    <t>PO3</t>
  </si>
  <si>
    <t>PO4</t>
  </si>
  <si>
    <t>Break</t>
  </si>
  <si>
    <t>PO5</t>
  </si>
  <si>
    <t>League Match 4</t>
  </si>
  <si>
    <t xml:space="preserve">For example, in RR3, the fourth team in each division (e.g. Albatross-4) would play in Room 2 against the fifth team in each division (e.g. Albatross-5). </t>
  </si>
  <si>
    <t>League Match 5</t>
  </si>
  <si>
    <t>League Match 6</t>
  </si>
  <si>
    <t>Important Links</t>
  </si>
  <si>
    <t>Halftime Show</t>
  </si>
  <si>
    <t>Playoff Match 1</t>
  </si>
  <si>
    <t>Playoff Match 2</t>
  </si>
  <si>
    <t>Discord server:</t>
  </si>
  <si>
    <t>https://discord.gg/N87yVFa3vM</t>
  </si>
  <si>
    <t>Playoff Match 3</t>
  </si>
  <si>
    <t>Official website:</t>
  </si>
  <si>
    <t>https://dannyridel44.wixsite.com/smClements024</t>
  </si>
  <si>
    <t>Playoff Match 4</t>
  </si>
  <si>
    <t>Information document:</t>
  </si>
  <si>
    <t>https://docs.google.com/document/d/1RRNL41UogzexBgWP4H1yVr-53sru8julP50ghC_3KJ0/edit?usp=sharing</t>
  </si>
  <si>
    <t>Playoff Match 5</t>
  </si>
  <si>
    <t>Closing Ceremony</t>
  </si>
  <si>
    <t>League Phase Team Hub</t>
  </si>
  <si>
    <t>the team code to the left of team name is the Home channel of each team; H - Home Game, A - Away Game (other team's Home channel)</t>
  </si>
  <si>
    <t>a-1</t>
  </si>
  <si>
    <t>Hunter</t>
  </si>
  <si>
    <t>a-2</t>
  </si>
  <si>
    <t>Palo Alto</t>
  </si>
  <si>
    <t>a-3</t>
  </si>
  <si>
    <t>Middleton</t>
  </si>
  <si>
    <t>Opponent</t>
  </si>
  <si>
    <t>For</t>
  </si>
  <si>
    <t>Against</t>
  </si>
  <si>
    <t>Difference</t>
  </si>
  <si>
    <t>Match 1</t>
  </si>
  <si>
    <t>Frazer</t>
  </si>
  <si>
    <t>A</t>
  </si>
  <si>
    <t>JP Stevens</t>
  </si>
  <si>
    <t>H</t>
  </si>
  <si>
    <t>Ward Melville</t>
  </si>
  <si>
    <t>Match 2</t>
  </si>
  <si>
    <t>ASFA</t>
  </si>
  <si>
    <t>Mira Loma</t>
  </si>
  <si>
    <t>PRISMS</t>
  </si>
  <si>
    <t>Match 3</t>
  </si>
  <si>
    <t>Stuyvesant</t>
  </si>
  <si>
    <t>Interlake</t>
  </si>
  <si>
    <t>Match 4</t>
  </si>
  <si>
    <t>Amador Valley</t>
  </si>
  <si>
    <t>Blair</t>
  </si>
  <si>
    <t>Clements</t>
  </si>
  <si>
    <t>Match 5</t>
  </si>
  <si>
    <t>Lakeside</t>
  </si>
  <si>
    <t>Match 6</t>
  </si>
  <si>
    <t>Winston Churchill</t>
  </si>
  <si>
    <t>League Total</t>
  </si>
  <si>
    <t>Playoff 1</t>
  </si>
  <si>
    <t>bye</t>
  </si>
  <si>
    <t>Playoff 2</t>
  </si>
  <si>
    <t>OCSA</t>
  </si>
  <si>
    <t>Saratoga</t>
  </si>
  <si>
    <t>Playoff 3</t>
  </si>
  <si>
    <t>Playoff 4</t>
  </si>
  <si>
    <t>Dulles</t>
  </si>
  <si>
    <t>Tokay</t>
  </si>
  <si>
    <t>Playoff 5</t>
  </si>
  <si>
    <t>University</t>
  </si>
  <si>
    <t>Lexington</t>
  </si>
  <si>
    <t>Playoff Total</t>
  </si>
  <si>
    <t>Grand Total</t>
  </si>
  <si>
    <t>c-1</t>
  </si>
  <si>
    <t>c-2</t>
  </si>
  <si>
    <t>c-3</t>
  </si>
  <si>
    <t>TJHSST</t>
  </si>
  <si>
    <t>Wayzata</t>
  </si>
  <si>
    <t>Missions San Jose</t>
  </si>
  <si>
    <t>Arcadia</t>
  </si>
  <si>
    <t>Foothill</t>
  </si>
  <si>
    <t>Lynbrook</t>
  </si>
  <si>
    <t>Canyon Crest</t>
  </si>
  <si>
    <t>MSJ</t>
  </si>
  <si>
    <t>d-1</t>
  </si>
  <si>
    <t>d-2</t>
  </si>
  <si>
    <t>d-3</t>
  </si>
  <si>
    <t>WWPS</t>
  </si>
  <si>
    <t>e-1</t>
  </si>
  <si>
    <t>e-2</t>
  </si>
  <si>
    <t>e-3</t>
  </si>
  <si>
    <t xml:space="preserve">Interlake </t>
  </si>
  <si>
    <t>f-1</t>
  </si>
  <si>
    <t>f-2</t>
  </si>
  <si>
    <t>Mission San Jose</t>
  </si>
  <si>
    <t>f-3</t>
  </si>
  <si>
    <t>h-1</t>
  </si>
  <si>
    <t>h-2</t>
  </si>
  <si>
    <t>h-3</t>
  </si>
  <si>
    <t>i-1</t>
  </si>
  <si>
    <t>i-2</t>
  </si>
  <si>
    <t>i-3</t>
  </si>
  <si>
    <t>p-1</t>
  </si>
  <si>
    <t>p-2</t>
  </si>
  <si>
    <t>p-3</t>
  </si>
  <si>
    <t>s-1</t>
  </si>
  <si>
    <t>s-2</t>
  </si>
  <si>
    <t>s-3</t>
  </si>
  <si>
    <t>w-1</t>
  </si>
  <si>
    <t>w-2</t>
  </si>
  <si>
    <t>w-3</t>
  </si>
  <si>
    <t>MIssion San Jose</t>
  </si>
  <si>
    <t>League Phase</t>
  </si>
  <si>
    <t xml:space="preserve">Playoff Phase </t>
  </si>
  <si>
    <t>League Team Overall</t>
  </si>
  <si>
    <t>League Individual Overall</t>
  </si>
  <si>
    <t>Playoff Phase Team Overall</t>
  </si>
  <si>
    <t>Playoff Individual Overall</t>
  </si>
  <si>
    <t>League Team Biology</t>
  </si>
  <si>
    <t>League Individual Biology</t>
  </si>
  <si>
    <t>Playoff Team Biology</t>
  </si>
  <si>
    <t>Playoff Individual Biology</t>
  </si>
  <si>
    <t>League Team Chemistry</t>
  </si>
  <si>
    <t>League Individual Chemistry</t>
  </si>
  <si>
    <t>Playoff Team Chemistry</t>
  </si>
  <si>
    <t>Playoff Individual Chemistry</t>
  </si>
  <si>
    <t>League Team Physics</t>
  </si>
  <si>
    <t>League Individual Physics</t>
  </si>
  <si>
    <t>Playoff Team Physics</t>
  </si>
  <si>
    <t>Playoff Individual Physics</t>
  </si>
  <si>
    <t>League Team Math</t>
  </si>
  <si>
    <t>League Individual Math</t>
  </si>
  <si>
    <t>Playoff Team Math</t>
  </si>
  <si>
    <t>Playoff Individual Math</t>
  </si>
  <si>
    <t>League Team ESS</t>
  </si>
  <si>
    <t>League Individual ESS</t>
  </si>
  <si>
    <t>Playoff Team ESS</t>
  </si>
  <si>
    <t>Playoff Individual ESS</t>
  </si>
  <si>
    <t>League Team Energy</t>
  </si>
  <si>
    <t>League Individual Energy</t>
  </si>
  <si>
    <t>Playoff Team Energy</t>
  </si>
  <si>
    <t>Playoff Individual Energy</t>
  </si>
  <si>
    <t>Use the hyperlink on the top left of each of these sheets to come back to the Cat Stats Hub!</t>
  </si>
  <si>
    <t>League Matchup Scoreboard</t>
  </si>
  <si>
    <t>the team listed on top is the Home team for all matches</t>
  </si>
  <si>
    <t>League Phase 1</t>
  </si>
  <si>
    <t>Home Team Avg:</t>
  </si>
  <si>
    <t>Away Team Avg:</t>
  </si>
  <si>
    <t>League Phase 2</t>
  </si>
  <si>
    <t>League Phase 3</t>
  </si>
  <si>
    <t>League Phase 4</t>
  </si>
  <si>
    <t>League Phase 5</t>
  </si>
  <si>
    <t>League Phase 6</t>
  </si>
  <si>
    <t>League Phase Table</t>
  </si>
  <si>
    <t>teams are ranked by league points, point difference, then median-buchholz scale</t>
  </si>
  <si>
    <t>School Name</t>
  </si>
  <si>
    <t>Wins</t>
  </si>
  <si>
    <t>Ties</t>
  </si>
  <si>
    <t>Losses</t>
  </si>
  <si>
    <t>Point Difference</t>
  </si>
  <si>
    <t>League Points</t>
  </si>
  <si>
    <t>Playoff Groups</t>
  </si>
  <si>
    <t>yay playoff groups</t>
  </si>
  <si>
    <t>albatross</t>
  </si>
  <si>
    <t>starlight</t>
  </si>
  <si>
    <t>champagne</t>
  </si>
  <si>
    <t>daylight</t>
  </si>
  <si>
    <t>exile</t>
  </si>
  <si>
    <t>fiction</t>
  </si>
  <si>
    <t>Churchill</t>
  </si>
  <si>
    <t>Playoff Scoring</t>
  </si>
  <si>
    <t>team scores are summed over a row, opponents' scores summed over a column</t>
  </si>
  <si>
    <t>Total</t>
  </si>
  <si>
    <t>Final Tournament Table</t>
  </si>
  <si>
    <t>Team Rank</t>
  </si>
  <si>
    <t>Team Name</t>
  </si>
  <si>
    <t>Raw Points</t>
  </si>
  <si>
    <t>Round Scores (in no particular order)</t>
  </si>
  <si>
    <t>WWPS 1</t>
  </si>
  <si>
    <t>CCA 2</t>
  </si>
  <si>
    <t>Clovis North</t>
  </si>
  <si>
    <t>Middleton 1</t>
  </si>
  <si>
    <t>TJHSST 1</t>
  </si>
  <si>
    <t>California</t>
  </si>
  <si>
    <t>Collierville 1</t>
  </si>
  <si>
    <t>Madison West 2</t>
  </si>
  <si>
    <t>Montgomery Blair 1</t>
  </si>
  <si>
    <t>'Iolani</t>
  </si>
  <si>
    <t>Temple City</t>
  </si>
  <si>
    <t>Oak Avenue 2</t>
  </si>
  <si>
    <t>Lynbrook 1</t>
  </si>
  <si>
    <t>Whitney Young</t>
  </si>
  <si>
    <t>Centennial</t>
  </si>
  <si>
    <t>Middleton 2</t>
  </si>
  <si>
    <t>Collierville 2</t>
  </si>
  <si>
    <t>MSJ 1</t>
  </si>
  <si>
    <t>Lynbrook 2</t>
  </si>
  <si>
    <t>Princeton Unified</t>
  </si>
  <si>
    <t>Frazer 1</t>
  </si>
  <si>
    <t>Montgomery Blair 2</t>
  </si>
  <si>
    <t>CCA 1</t>
  </si>
  <si>
    <t>Granada Hills</t>
  </si>
  <si>
    <t>Harvard Westlake</t>
  </si>
  <si>
    <t>Frazer 2</t>
  </si>
  <si>
    <t>Hunter College</t>
  </si>
  <si>
    <t>MSJ 2</t>
  </si>
  <si>
    <t>WWPN</t>
  </si>
  <si>
    <t>WWPS 2</t>
  </si>
  <si>
    <t>Madison West 1</t>
  </si>
  <si>
    <t>Oak Avenue 1</t>
  </si>
  <si>
    <t>TJHSST 2</t>
  </si>
  <si>
    <t>Niskayuna</t>
  </si>
  <si>
    <t>Hawken</t>
  </si>
  <si>
    <t>Choate Rosemary Hall</t>
  </si>
  <si>
    <t>DE1</t>
  </si>
  <si>
    <t>DE2</t>
  </si>
  <si>
    <t>DE3</t>
  </si>
  <si>
    <t>DE4</t>
  </si>
  <si>
    <t>DE5</t>
  </si>
  <si>
    <t>DE6</t>
  </si>
  <si>
    <t>FINALS BO3</t>
  </si>
  <si>
    <t>12:40-13:15 PT</t>
  </si>
  <si>
    <t>13:15-13:50 PT</t>
  </si>
  <si>
    <t>13:50-14:25 PT</t>
  </si>
  <si>
    <t>14:45-15:15 PT</t>
  </si>
  <si>
    <t>15:15-15:45 PT</t>
  </si>
  <si>
    <t>15:45-16:15 PT</t>
  </si>
  <si>
    <t>16:15-17:15 PT</t>
  </si>
  <si>
    <t xml:space="preserve">1st: </t>
  </si>
  <si>
    <t>2nd:</t>
  </si>
  <si>
    <t xml:space="preserve">3rd: </t>
  </si>
  <si>
    <t>AlbatrosInterlake</t>
  </si>
  <si>
    <t>4th:</t>
  </si>
  <si>
    <t>5-6th:</t>
  </si>
  <si>
    <t>Clements, Middleton 1</t>
  </si>
  <si>
    <t>AlbatrosWinston Churchill</t>
  </si>
  <si>
    <t>Cornelia Street</t>
  </si>
  <si>
    <t>Mods</t>
  </si>
  <si>
    <t>BottlWayzata</t>
  </si>
  <si>
    <t>Anurag S</t>
  </si>
  <si>
    <t>BottlDulles</t>
  </si>
  <si>
    <t>LC-1</t>
  </si>
  <si>
    <t>LA-1</t>
  </si>
  <si>
    <t>LB-2</t>
  </si>
  <si>
    <t>ChampagnWayzata</t>
  </si>
  <si>
    <t>LB-1</t>
  </si>
  <si>
    <t>Scott Street</t>
  </si>
  <si>
    <t>ChampagnDulles</t>
  </si>
  <si>
    <t>LA-2</t>
  </si>
  <si>
    <t>Daylight-1</t>
  </si>
  <si>
    <t>Daylight-2</t>
  </si>
  <si>
    <t>Catstats Hub</t>
  </si>
  <si>
    <t>gamesPlayed</t>
  </si>
  <si>
    <t>tuh</t>
  </si>
  <si>
    <t>buzzes</t>
  </si>
  <si>
    <t>ppg</t>
  </si>
  <si>
    <t>PP4TUH</t>
  </si>
  <si>
    <t>npg</t>
  </si>
  <si>
    <t>Total Negs</t>
  </si>
  <si>
    <t>accuracy</t>
  </si>
  <si>
    <t>Amador Valley rohan g [Amador Valley]</t>
  </si>
  <si>
    <t>Ward Melville harry g [Ward Melville]</t>
  </si>
  <si>
    <t>Frazer ajay s [Frazer]</t>
  </si>
  <si>
    <t>TJHSST aaryan s [TJHSST]</t>
  </si>
  <si>
    <t>OCSA james c [OCSA]</t>
  </si>
  <si>
    <t>Lakeside william w [Lakeside]</t>
  </si>
  <si>
    <t>Wayzata kevin q [Wayzata]</t>
  </si>
  <si>
    <t>ASFA akhil b [ASFA]</t>
  </si>
  <si>
    <t>Interlake rishabh v [Interlake]</t>
  </si>
  <si>
    <t>Canyon Crest austin x [Canyon Crest]</t>
  </si>
  <si>
    <t>Palo Alto andrew w [Palo Alto]</t>
  </si>
  <si>
    <t>Mira Loma aatreyo b [Mira Loma]</t>
  </si>
  <si>
    <t>University timothy c [University]</t>
  </si>
  <si>
    <t>Lynbrook sohil r [Lynbrook]</t>
  </si>
  <si>
    <t>Mira Loma tanay b [Mira Loma]</t>
  </si>
  <si>
    <t>Stuyvesant julien d [Stuyvesant]</t>
  </si>
  <si>
    <t>Foothill athithan e [Foothill]</t>
  </si>
  <si>
    <t>Lakeside rohan d [Lakeside]</t>
  </si>
  <si>
    <t>Lynbrook andrew l [Lynbrook]</t>
  </si>
  <si>
    <t>Arcadia ethan w [Arcadia]</t>
  </si>
  <si>
    <t>Dulles mahith g [Dulles]</t>
  </si>
  <si>
    <t>Mission San Jose advai s [Mission San Jose]</t>
  </si>
  <si>
    <t>WWPS sanjay o [WWPS]</t>
  </si>
  <si>
    <t>Lakeside daniel w [Lakeside]</t>
  </si>
  <si>
    <t>Blair chris w [Blair]</t>
  </si>
  <si>
    <t>Ward Melville anna x [Ward Melville]</t>
  </si>
  <si>
    <t>Tokay alexis e [Tokay]</t>
  </si>
  <si>
    <t>PRISMS josh s [PRISMS]</t>
  </si>
  <si>
    <t>Blair meghna s [Blair]</t>
  </si>
  <si>
    <t>TJHSST rishabh k [TJHSST]</t>
  </si>
  <si>
    <t>Saratoga alex g [Saratoga]</t>
  </si>
  <si>
    <t>Canyon Crest flora j [Canyon Crest]</t>
  </si>
  <si>
    <t>Interlake evan w [Interlake]</t>
  </si>
  <si>
    <t>Arcadia herrick w [Arcadia]</t>
  </si>
  <si>
    <t>Stuyvesant philip z [Stuyvesant]</t>
  </si>
  <si>
    <t>Interlake aryan a [Interlake]</t>
  </si>
  <si>
    <t>Clements alex s [Clements]</t>
  </si>
  <si>
    <t>Wayzata sophie c [Wayzata]</t>
  </si>
  <si>
    <t>Arcadia avani a [Arcadia]</t>
  </si>
  <si>
    <t>Lynbrook evan l [Lynbrook]</t>
  </si>
  <si>
    <t>Mission San Jose aravind m [Mission San Jose]</t>
  </si>
  <si>
    <t>Amador Valley gaurav g [Amador Valley]</t>
  </si>
  <si>
    <t>Wayzata yan-ru c [Wayzata]</t>
  </si>
  <si>
    <t>Hunter camille p [Hunter]</t>
  </si>
  <si>
    <t>Saratoga max r [Saratoga]</t>
  </si>
  <si>
    <t>Saratoga quinn g [Saratoga]</t>
  </si>
  <si>
    <t>Dulles ronuk g [Dulles]</t>
  </si>
  <si>
    <t>Frazer anish p [Frazer]</t>
  </si>
  <si>
    <t>Lynbrook ryan b [Lynbrook]</t>
  </si>
  <si>
    <t>Canyon Crest sean y [Canyon Crest]</t>
  </si>
  <si>
    <t>Ward Melville jason y [Ward Melville]</t>
  </si>
  <si>
    <t>JP Stevens krishna r [JP Stevens]</t>
  </si>
  <si>
    <t>Wayzata luyao y [Wayzata]</t>
  </si>
  <si>
    <t>ASFA albert c [ASFA]</t>
  </si>
  <si>
    <t>University angelina y [University]</t>
  </si>
  <si>
    <t>Palo Alto kevin p [Palo Alto]</t>
  </si>
  <si>
    <t>Hunter andres f [Hunter]</t>
  </si>
  <si>
    <t>Hunter gabe l [Hunter]</t>
  </si>
  <si>
    <t>Middleton aditya b [Middleton]</t>
  </si>
  <si>
    <t>Clements eric z [Clements]</t>
  </si>
  <si>
    <t>Clements shreyas c [Clements]</t>
  </si>
  <si>
    <t>OCSA olivia s [OCSA]</t>
  </si>
  <si>
    <t>PRISMS arun p [PRISMS]</t>
  </si>
  <si>
    <t>ASFA mcnair s [ASFA]</t>
  </si>
  <si>
    <t>PRISMS adi p [PRISMS]</t>
  </si>
  <si>
    <t>Mira Loma aryan m [Mira Loma]</t>
  </si>
  <si>
    <t>Ward Melville gunes s [Ward Melville]</t>
  </si>
  <si>
    <t>Amador Valley karthik a [Amador Valley]</t>
  </si>
  <si>
    <t>Frazer george p [Frazer]</t>
  </si>
  <si>
    <t>Frazer jimmy j [Frazer]</t>
  </si>
  <si>
    <t>Foothill jake n [Foothill]</t>
  </si>
  <si>
    <t>Winston Churchill ray g [Winston Churchill]</t>
  </si>
  <si>
    <t>Blair kevin f [Blair]</t>
  </si>
  <si>
    <t>Clements alexander f [Clements]</t>
  </si>
  <si>
    <t>WWPS abhinav a [WWPS]</t>
  </si>
  <si>
    <t>Canyon Crest jason y [Canyon Crest]</t>
  </si>
  <si>
    <t>Arcadia kevin w [Arcadia]</t>
  </si>
  <si>
    <t>Middleton arjun s [Middleton]</t>
  </si>
  <si>
    <t>Blair sam e [Blair]</t>
  </si>
  <si>
    <t>Lexington antony o [Lexington]</t>
  </si>
  <si>
    <t>Palo Alto claire s [Palo Alto]</t>
  </si>
  <si>
    <t>Saratoga warren c [Saratoga]</t>
  </si>
  <si>
    <t>Lakeside emma l [Lakeside]</t>
  </si>
  <si>
    <t>Foothill shashank v [Foothill]</t>
  </si>
  <si>
    <t>Amador Valley ritwik a [Amador Valley]</t>
  </si>
  <si>
    <t>Interlake carol g [Interlake]</t>
  </si>
  <si>
    <t>Wayzata warren w [Wayzata]</t>
  </si>
  <si>
    <t>Lexington simon z [Lexington]</t>
  </si>
  <si>
    <t>University stephanie y [University]</t>
  </si>
  <si>
    <t>JP Stevens piyush a [JP Stevens]</t>
  </si>
  <si>
    <t>University shloke k [University]</t>
  </si>
  <si>
    <t>TJHSST eshaan s [TJHSST]</t>
  </si>
  <si>
    <t>Winston Churchill beirui z [Winston Churchill]</t>
  </si>
  <si>
    <t>Arcadia maxwell k [Arcadia]</t>
  </si>
  <si>
    <t>Mission San Jose ishaan k [Mission San Jose]</t>
  </si>
  <si>
    <t>Dulles shlok p [Dulles]</t>
  </si>
  <si>
    <t>Hunter simone m [Hunter]</t>
  </si>
  <si>
    <t>TJHSST sophia g [TJHSST]</t>
  </si>
  <si>
    <t>Lexington ashray m [Lexington]</t>
  </si>
  <si>
    <t>Frazer jaganesh r [Frazer]</t>
  </si>
  <si>
    <t>OCSA elena h [OCSA]</t>
  </si>
  <si>
    <t>Mira Loma xin w [Mira Loma]</t>
  </si>
  <si>
    <t>Mira Loma nishanth k [Mira Loma]</t>
  </si>
  <si>
    <t>Dulles aditya p [Dulles]</t>
  </si>
  <si>
    <t>Tokay marinda h [Tokay]</t>
  </si>
  <si>
    <t>Palo Alto allie j [Palo Alto]</t>
  </si>
  <si>
    <t>Foothill brandon k [Foothill]</t>
  </si>
  <si>
    <t>OCSA henry k [OCSA]</t>
  </si>
  <si>
    <t>University sara y [University]</t>
  </si>
  <si>
    <t>JP Stevens sreehaas m [JP Stevens]</t>
  </si>
  <si>
    <t>WWPS dhairya m [WWPS]</t>
  </si>
  <si>
    <t>WWPS likhith m [WWPS]</t>
  </si>
  <si>
    <t>Stuyvesant cody c [Stuyvesant]</t>
  </si>
  <si>
    <t>Mission San Jose maxwell z [Mission San Jose]</t>
  </si>
  <si>
    <t>Winston Churchill allen c [Winston Churchill]</t>
  </si>
  <si>
    <t>JP Stevens achintya m [JP Stevens]</t>
  </si>
  <si>
    <t>Middleton kriti m [Middleton]</t>
  </si>
  <si>
    <t>Amador Valley srijon m [Amador Valley]</t>
  </si>
  <si>
    <t>Stuyvesant katherine c [Stuyvesant]</t>
  </si>
  <si>
    <t>Foothill bhagirath b [Foothill]</t>
  </si>
  <si>
    <t>JP Stevens haley v [JP Stevens]</t>
  </si>
  <si>
    <t>Lexington tejas t [Lexington]</t>
  </si>
  <si>
    <t>Palo Alto rasia y [Palo Alto]</t>
  </si>
  <si>
    <t>Saratoga arjun k [Saratoga]</t>
  </si>
  <si>
    <t>Dulles steve w [Dulles]</t>
  </si>
  <si>
    <t>Stuyvesant ayden j [Stuyvesant]</t>
  </si>
  <si>
    <t>Tokay inderjit s [Tokay]</t>
  </si>
  <si>
    <t>Blair emery q [Blair]</t>
  </si>
  <si>
    <t>e3 aryan m [Mira Loma]</t>
  </si>
  <si>
    <t>OCSA dane b [OCSA]</t>
  </si>
  <si>
    <t>Middleton elizabeth w [Middleton]</t>
  </si>
  <si>
    <t>PP3TUH</t>
  </si>
  <si>
    <t>Clements yale z [Clements]</t>
  </si>
  <si>
    <t>Canyon Crest haiyue m [Canyon Crest]</t>
  </si>
  <si>
    <t>Winston Churchill steven q [Winston Churchill]</t>
  </si>
  <si>
    <t>Ward Melville sean s [Ward Melville]</t>
  </si>
  <si>
    <t>ASFA william p [ASFA]</t>
  </si>
  <si>
    <t>Total Points</t>
  </si>
  <si>
    <t>bpg</t>
  </si>
  <si>
    <t>Total Bonuses</t>
  </si>
  <si>
    <t>name</t>
  </si>
  <si>
    <t>TUs Heard</t>
  </si>
  <si>
    <t>Buzzes</t>
  </si>
  <si>
    <t>Points</t>
  </si>
  <si>
    <t>PPG</t>
  </si>
  <si>
    <t>Negs</t>
  </si>
  <si>
    <t>NPG</t>
  </si>
  <si>
    <t>Bonus/Game</t>
  </si>
  <si>
    <t>Buzzing Accuracy</t>
  </si>
  <si>
    <t>c6 blair 1</t>
  </si>
  <si>
    <t>e2 lynbrook 2</t>
  </si>
  <si>
    <t>b3 middleton 1</t>
  </si>
  <si>
    <t>e4 msj 1</t>
  </si>
  <si>
    <t>a4 wwps 1</t>
  </si>
  <si>
    <t>g5 clements</t>
  </si>
  <si>
    <t>g2 msj 2</t>
  </si>
  <si>
    <t>c4 arcadia</t>
  </si>
  <si>
    <t>f6 granada</t>
  </si>
  <si>
    <t>a5 saratoga</t>
  </si>
  <si>
    <t>f3 wayzata</t>
  </si>
  <si>
    <t>h5 ward melville</t>
  </si>
  <si>
    <t>h3 tjhsst 2</t>
  </si>
  <si>
    <t>b5 tjhsst 1</t>
  </si>
  <si>
    <t>f1 cca 1</t>
  </si>
  <si>
    <t>e3 frazer 1</t>
  </si>
  <si>
    <t>a2 palo alto</t>
  </si>
  <si>
    <t>e5 princeton unified</t>
  </si>
  <si>
    <t>h6 lexington</t>
  </si>
  <si>
    <t>d2 lynbrook 1</t>
  </si>
  <si>
    <t>h4 hawken</t>
  </si>
  <si>
    <t>c5 temple city</t>
  </si>
  <si>
    <t>a6 cca 2</t>
  </si>
  <si>
    <t>b2 asfa</t>
  </si>
  <si>
    <t>g3 wwpn</t>
  </si>
  <si>
    <t>f2 frazer 2</t>
  </si>
  <si>
    <t>a1 clovis north</t>
  </si>
  <si>
    <t>c1 iolani</t>
  </si>
  <si>
    <t>b4 collierville 1</t>
  </si>
  <si>
    <t>d6 foothill</t>
  </si>
  <si>
    <t>g4 wwps 2</t>
  </si>
  <si>
    <t>h2 niskayuna</t>
  </si>
  <si>
    <t>d4 whitney young</t>
  </si>
  <si>
    <t>d3 collierville 2</t>
  </si>
  <si>
    <t>a3 tokay</t>
  </si>
  <si>
    <t>f4 harvard westlake</t>
  </si>
  <si>
    <t>d1 middleton 2</t>
  </si>
  <si>
    <t>h1 choate</t>
  </si>
  <si>
    <t>g1 madison west 1</t>
  </si>
  <si>
    <t>f5 hunter</t>
  </si>
  <si>
    <t>e6 montgomery blair 2</t>
  </si>
  <si>
    <t>d5 centennial</t>
  </si>
  <si>
    <t>b1 california</t>
  </si>
  <si>
    <t>g6 oak avenue 1</t>
  </si>
  <si>
    <t>c2 oak avenue 2</t>
  </si>
  <si>
    <t>e1 stuyvesant</t>
  </si>
  <si>
    <t>c3 amador valley</t>
  </si>
  <si>
    <t>b6 madison west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</si>
</sst>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0.0"/>
    <numFmt numFmtId="166" formatCode="0.0%"/>
  </numFmts>
  <fonts count="67">
    <font>
      <sz val="10.0"/>
      <color rgb="FF000000"/>
      <name val="Arial"/>
      <scheme val="minor"/>
    </font>
    <font>
      <color theme="1"/>
      <name val="Arial"/>
      <scheme val="minor"/>
    </font>
    <font>
      <sz val="50.0"/>
      <color theme="1"/>
      <name val="Titillium Web"/>
    </font>
    <font>
      <sz val="36.0"/>
      <color theme="1"/>
      <name val="Titillium Web"/>
    </font>
    <font>
      <sz val="30.0"/>
      <color theme="1"/>
      <name val="Rock Salt"/>
    </font>
    <font>
      <i/>
      <color theme="1"/>
      <name val="Titillium Web"/>
    </font>
    <font>
      <b/>
      <sz val="13.0"/>
      <color theme="1"/>
      <name val="Titillium Web"/>
    </font>
    <font>
      <color theme="1"/>
      <name val="Arial"/>
    </font>
    <font>
      <sz val="12.0"/>
      <color theme="1"/>
      <name val="Titillium Web"/>
    </font>
    <font>
      <sz val="13.0"/>
      <color theme="1"/>
      <name val="Titillium Web"/>
    </font>
    <font>
      <sz val="13.0"/>
      <color rgb="FF000000"/>
      <name val="Titillium Web"/>
    </font>
    <font>
      <color theme="1"/>
      <name val="Titillium Web"/>
    </font>
    <font>
      <u/>
      <sz val="13.0"/>
      <color rgb="FF1155CC"/>
      <name val="Titillium Web"/>
    </font>
    <font>
      <u/>
      <sz val="13.0"/>
      <color rgb="FF1155CC"/>
      <name val="Titillium Web"/>
    </font>
    <font>
      <u/>
      <sz val="13.0"/>
      <color rgb="FF1155CC"/>
      <name val="Titillium Web"/>
    </font>
    <font>
      <sz val="44.0"/>
      <color theme="1"/>
      <name val="Titillium Web"/>
    </font>
    <font>
      <i/>
      <sz val="12.0"/>
      <color theme="1"/>
      <name val="Titillium Web"/>
    </font>
    <font>
      <sz val="24.0"/>
      <color theme="1"/>
      <name val="Titillium Web"/>
    </font>
    <font>
      <sz val="24.0"/>
      <color rgb="FFF689A0"/>
      <name val="Titillium Web"/>
    </font>
    <font>
      <sz val="12.0"/>
      <color rgb="FFFFFFFF"/>
      <name val="Titillium Web"/>
    </font>
    <font>
      <b/>
      <sz val="26.0"/>
      <color theme="1"/>
      <name val="Titillium Web"/>
    </font>
    <font>
      <b/>
      <u/>
      <sz val="13.0"/>
      <color rgb="FF0000FF"/>
      <name val="Titillium Web"/>
    </font>
    <font>
      <u/>
      <sz val="13.0"/>
      <color rgb="FF0000FF"/>
      <name val="Titillium Web"/>
    </font>
    <font>
      <sz val="16.0"/>
      <color theme="1"/>
      <name val="Titillium Web"/>
    </font>
    <font>
      <sz val="12.0"/>
      <color theme="1"/>
      <name val="Arial"/>
      <scheme val="minor"/>
    </font>
    <font>
      <sz val="15.0"/>
      <color theme="1"/>
      <name val="Titillium Web"/>
    </font>
    <font>
      <b/>
      <sz val="25.0"/>
      <color theme="1"/>
      <name val="Titillium Web"/>
    </font>
    <font>
      <b/>
      <sz val="22.0"/>
      <color theme="1"/>
      <name val="Titillium Web"/>
    </font>
    <font>
      <sz val="14.0"/>
      <color theme="1"/>
      <name val="Arial"/>
      <scheme val="minor"/>
    </font>
    <font>
      <sz val="14.0"/>
      <color theme="1"/>
      <name val="Titillium Web"/>
    </font>
    <font>
      <b/>
      <sz val="14.0"/>
      <color theme="1"/>
      <name val="Titillium Web"/>
    </font>
    <font>
      <sz val="18.0"/>
      <color theme="1"/>
      <name val="Titillium Web"/>
    </font>
    <font>
      <sz val="48.0"/>
      <color theme="1"/>
      <name val="Titillium Web"/>
    </font>
    <font>
      <i/>
      <sz val="13.0"/>
      <color theme="1"/>
      <name val="Titillium Web"/>
    </font>
    <font>
      <b/>
      <sz val="15.0"/>
      <color theme="1"/>
      <name val="Titillium Web"/>
    </font>
    <font>
      <b/>
      <sz val="28.0"/>
      <color theme="1"/>
      <name val="IM Fell DW Pica"/>
    </font>
    <font>
      <sz val="23.0"/>
      <color theme="1"/>
      <name val="IM Fell DW Pica"/>
    </font>
    <font>
      <i/>
      <sz val="20.0"/>
      <color theme="1"/>
      <name val="IM Fell DW Pica"/>
    </font>
    <font>
      <b/>
      <sz val="23.0"/>
      <color theme="1"/>
      <name val="IM Fell DW Pica"/>
    </font>
    <font>
      <sz val="18.0"/>
      <color theme="1"/>
      <name val="IM Fell DW Pica"/>
    </font>
    <font>
      <b/>
      <sz val="15.0"/>
      <color theme="1"/>
      <name val="IM Fell DW Pica"/>
    </font>
    <font>
      <b/>
      <i/>
      <sz val="15.0"/>
      <color theme="1"/>
      <name val="IM Fell DW Pica"/>
    </font>
    <font>
      <b/>
      <sz val="14.0"/>
      <color theme="1"/>
      <name val="IM Fell DW Pica"/>
    </font>
    <font/>
    <font>
      <b/>
      <i/>
      <sz val="14.0"/>
      <color theme="1"/>
      <name val="IM Fell DW Pica"/>
    </font>
    <font>
      <b/>
      <sz val="13.0"/>
      <color theme="1"/>
      <name val="IM Fell DW Pica"/>
    </font>
    <font>
      <b/>
      <color theme="1"/>
      <name val="Titillium Web"/>
    </font>
    <font>
      <b/>
      <sz val="12.0"/>
      <color theme="1"/>
      <name val="Titillium Web"/>
    </font>
    <font>
      <b/>
      <i/>
      <sz val="12.0"/>
      <color theme="1"/>
      <name val="Titillium Web"/>
    </font>
    <font>
      <b/>
      <u/>
      <sz val="14.0"/>
      <color rgb="FF0000FF"/>
      <name val="IM Fell DW Pica"/>
    </font>
    <font>
      <b/>
      <sz val="13.0"/>
      <color rgb="FFB7B7B7"/>
      <name val="IM Fell DW Pica"/>
    </font>
    <font>
      <b/>
      <sz val="14.0"/>
      <color rgb="FF000000"/>
      <name val="IM Fell DW Pica"/>
    </font>
    <font>
      <sz val="12.0"/>
      <color rgb="FFB7B7B7"/>
      <name val="Titillium Web"/>
    </font>
    <font>
      <sz val="12.0"/>
      <color rgb="FF000000"/>
      <name val="Titillium Web"/>
    </font>
    <font>
      <color rgb="FFB7B7B7"/>
      <name val="Arial"/>
    </font>
    <font>
      <b/>
      <sz val="13.0"/>
      <color rgb="FFCCCCCC"/>
      <name val="IM Fell DW Pica"/>
    </font>
    <font>
      <sz val="12.0"/>
      <color rgb="FFCCCCCC"/>
      <name val="Titillium Web"/>
    </font>
    <font>
      <b/>
      <sz val="13.0"/>
      <color rgb="FF000000"/>
      <name val="IM Fell DW Pica"/>
    </font>
    <font>
      <sz val="13.0"/>
      <color rgb="FFCCCCCC"/>
      <name val="IM Fell DW Pica"/>
    </font>
    <font>
      <color rgb="FFCCCCCC"/>
      <name val="Arial"/>
    </font>
    <font>
      <sz val="14.0"/>
      <color rgb="FF000000"/>
      <name val="IM Fell DW Pica"/>
    </font>
    <font>
      <sz val="11.0"/>
      <color theme="1"/>
      <name val="Titillium Web"/>
    </font>
    <font>
      <sz val="11.0"/>
      <color rgb="FFCCCCCC"/>
      <name val="Titillium Web"/>
    </font>
    <font>
      <sz val="12.0"/>
      <color theme="1"/>
      <name val="IM Fell DW Pica"/>
    </font>
    <font>
      <sz val="12.0"/>
      <color rgb="FFB7B7B7"/>
      <name val="IM Fell DW Pica"/>
    </font>
    <font>
      <sz val="12.0"/>
      <color rgb="FF666666"/>
      <name val="IM Fell DW Pica"/>
    </font>
    <font>
      <sz val="12.0"/>
      <color rgb="FF666666"/>
      <name val="Titillium Web"/>
    </font>
  </fonts>
  <fills count="16">
    <fill>
      <patternFill patternType="none"/>
    </fill>
    <fill>
      <patternFill patternType="lightGray"/>
    </fill>
    <fill>
      <patternFill patternType="solid">
        <fgColor rgb="FFF689A0"/>
        <bgColor rgb="FFF689A0"/>
      </patternFill>
    </fill>
    <fill>
      <patternFill patternType="solid">
        <fgColor rgb="FFFFFFFF"/>
        <bgColor rgb="FFFFFFFF"/>
      </patternFill>
    </fill>
    <fill>
      <patternFill patternType="solid">
        <fgColor rgb="FFE8F1F8"/>
        <bgColor rgb="FFE8F1F8"/>
      </patternFill>
    </fill>
    <fill>
      <patternFill patternType="solid">
        <fgColor rgb="FFE0D9D7"/>
        <bgColor rgb="FFE0D9D7"/>
      </patternFill>
    </fill>
    <fill>
      <patternFill patternType="solid">
        <fgColor rgb="FFEDD3CD"/>
        <bgColor rgb="FFEDD3CD"/>
      </patternFill>
    </fill>
    <fill>
      <patternFill patternType="solid">
        <fgColor rgb="FFC7BB89"/>
        <bgColor rgb="FFC7BB89"/>
      </patternFill>
    </fill>
    <fill>
      <patternFill patternType="solid">
        <fgColor rgb="FFEBBED3"/>
        <bgColor rgb="FFEBBED3"/>
      </patternFill>
    </fill>
    <fill>
      <patternFill patternType="solid">
        <fgColor rgb="FFEBEBEB"/>
        <bgColor rgb="FFEBEBEB"/>
      </patternFill>
    </fill>
    <fill>
      <patternFill patternType="solid">
        <fgColor rgb="FFC1DBED"/>
        <bgColor rgb="FFC1DBED"/>
      </patternFill>
    </fill>
    <fill>
      <patternFill patternType="solid">
        <fgColor rgb="FFFFE2E8"/>
        <bgColor rgb="FFFFE2E8"/>
      </patternFill>
    </fill>
    <fill>
      <patternFill patternType="solid">
        <fgColor rgb="FFD9EAD3"/>
        <bgColor rgb="FFD9EAD3"/>
      </patternFill>
    </fill>
    <fill>
      <patternFill patternType="solid">
        <fgColor rgb="FFE7F1F9"/>
        <bgColor rgb="FFE7F1F9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</fills>
  <borders count="1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7" numFmtId="0" xfId="0" applyAlignment="1" applyFill="1" applyFont="1">
      <alignment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vertical="bottom"/>
    </xf>
    <xf borderId="1" fillId="3" fontId="7" numFmtId="164" xfId="0" applyAlignment="1" applyBorder="1" applyFill="1" applyFont="1" applyNumberFormat="1">
      <alignment vertical="bottom"/>
    </xf>
    <xf borderId="1" fillId="0" fontId="9" numFmtId="164" xfId="0" applyAlignment="1" applyBorder="1" applyFont="1" applyNumberFormat="1">
      <alignment vertical="bottom"/>
    </xf>
    <xf borderId="1" fillId="0" fontId="9" numFmtId="0" xfId="0" applyAlignment="1" applyBorder="1" applyFont="1">
      <alignment readingOrder="0" vertical="bottom"/>
    </xf>
    <xf borderId="0" fillId="0" fontId="9" numFmtId="20" xfId="0" applyAlignment="1" applyFont="1" applyNumberFormat="1">
      <alignment readingOrder="0"/>
    </xf>
    <xf borderId="0" fillId="0" fontId="9" numFmtId="0" xfId="0" applyAlignment="1" applyFont="1">
      <alignment readingOrder="0"/>
    </xf>
    <xf borderId="3" fillId="0" fontId="9" numFmtId="20" xfId="0" applyAlignment="1" applyBorder="1" applyFont="1" applyNumberFormat="1">
      <alignment horizontal="right" readingOrder="0" vertical="bottom"/>
    </xf>
    <xf borderId="0" fillId="3" fontId="9" numFmtId="0" xfId="0" applyAlignment="1" applyFill="1" applyFont="1">
      <alignment horizontal="center" readingOrder="0" vertical="bottom"/>
    </xf>
    <xf borderId="0" fillId="0" fontId="9" numFmtId="164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3" fontId="10" numFmtId="0" xfId="0" applyAlignment="1" applyFill="1" applyFont="1">
      <alignment horizontal="left" readingOrder="0"/>
    </xf>
    <xf borderId="0" fillId="0" fontId="9" numFmtId="164" xfId="0" applyAlignment="1" applyFont="1" applyNumberFormat="1">
      <alignment horizontal="right" readingOrder="0" vertical="bottom"/>
    </xf>
    <xf borderId="0" fillId="0" fontId="9" numFmtId="0" xfId="0" applyFont="1"/>
    <xf borderId="0" fillId="3" fontId="9" numFmtId="164" xfId="0" applyAlignment="1" applyFill="1" applyFont="1" applyNumberFormat="1">
      <alignment horizontal="center" vertical="bottom"/>
    </xf>
    <xf borderId="0" fillId="0" fontId="1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2" fontId="11" numFmtId="0" xfId="0" applyAlignment="1" applyFill="1" applyFont="1">
      <alignment vertical="center"/>
    </xf>
    <xf borderId="0" fillId="2" fontId="8" numFmtId="0" xfId="0" applyAlignment="1" applyFill="1" applyFont="1">
      <alignment vertical="center"/>
    </xf>
    <xf borderId="0" fillId="0" fontId="8" numFmtId="0" xfId="0" applyFont="1"/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2" fontId="8" numFmtId="0" xfId="0" applyAlignment="1" applyFill="1" applyFont="1">
      <alignment readingOrder="0" vertical="center"/>
    </xf>
    <xf borderId="0" fillId="2" fontId="11" numFmtId="0" xfId="0" applyAlignment="1" applyFill="1" applyFont="1">
      <alignment readingOrder="0" vertical="center"/>
    </xf>
    <xf borderId="0" fillId="2" fontId="8" numFmtId="0" xfId="0" applyFill="1" applyFont="1"/>
    <xf borderId="0" fillId="2" fontId="17" numFmtId="0" xfId="0" applyFill="1" applyFont="1"/>
    <xf borderId="0" fillId="0" fontId="17" numFmtId="0" xfId="0" applyFont="1"/>
    <xf borderId="0" fillId="0" fontId="18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2" fontId="19" numFmtId="0" xfId="0" applyFill="1" applyFont="1"/>
    <xf borderId="0" fillId="0" fontId="19" numFmtId="0" xfId="0" applyFont="1"/>
    <xf borderId="0" fillId="0" fontId="19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19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17" numFmtId="0" xfId="0" applyAlignment="1" applyFont="1">
      <alignment horizontal="center" readingOrder="0" shrinkToFit="0" wrapText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1" numFmtId="0" xfId="0" applyAlignment="1" applyFill="1" applyFont="1">
      <alignment vertical="center"/>
    </xf>
    <xf borderId="0" fillId="2" fontId="24" numFmtId="0" xfId="0" applyAlignment="1" applyFill="1" applyFont="1">
      <alignment vertical="center"/>
    </xf>
    <xf borderId="0" fillId="2" fontId="1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5" numFmtId="165" xfId="0" applyAlignment="1" applyFont="1" applyNumberFormat="1">
      <alignment horizontal="center" readingOrder="0" vertical="center"/>
    </xf>
    <xf borderId="0" fillId="2" fontId="28" numFmtId="0" xfId="0" applyAlignment="1" applyFill="1" applyFont="1">
      <alignment vertical="center"/>
    </xf>
    <xf borderId="0" fillId="0" fontId="29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right" vertical="center"/>
    </xf>
    <xf borderId="0" fillId="2" fontId="29" numFmtId="0" xfId="0" applyAlignment="1" applyFill="1" applyFont="1">
      <alignment horizontal="center" readingOrder="0" vertical="center"/>
    </xf>
    <xf borderId="0" fillId="2" fontId="29" numFmtId="0" xfId="0" applyAlignment="1" applyFill="1" applyFont="1">
      <alignment horizontal="center" vertical="center"/>
    </xf>
    <xf borderId="0" fillId="2" fontId="25" numFmtId="0" xfId="0" applyAlignment="1" applyFill="1" applyFont="1">
      <alignment horizontal="center" vertical="center"/>
    </xf>
    <xf borderId="0" fillId="2" fontId="31" numFmtId="0" xfId="0" applyAlignment="1" applyFill="1" applyFont="1">
      <alignment horizontal="center" vertical="center"/>
    </xf>
    <xf borderId="0" fillId="2" fontId="11" numFmtId="0" xfId="0" applyAlignment="1" applyFill="1" applyFont="1">
      <alignment horizontal="right" vertical="center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2" fontId="25" numFmtId="0" xfId="0" applyAlignment="1" applyFill="1" applyFont="1">
      <alignment horizontal="center" readingOrder="0" vertical="center"/>
    </xf>
    <xf borderId="0" fillId="2" fontId="31" numFmtId="0" xfId="0" applyAlignment="1" applyFill="1" applyFont="1">
      <alignment horizontal="center" readingOrder="0" vertical="center"/>
    </xf>
    <xf borderId="0" fillId="2" fontId="8" numFmtId="0" xfId="0" applyAlignment="1" applyFill="1" applyFont="1">
      <alignment horizontal="right"/>
    </xf>
    <xf borderId="0" fillId="2" fontId="11" numFmtId="0" xfId="0" applyFill="1" applyFont="1"/>
    <xf borderId="0" fillId="0" fontId="11" numFmtId="0" xfId="0" applyFont="1"/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bottom"/>
    </xf>
    <xf borderId="0" fillId="0" fontId="39" numFmtId="0" xfId="0" applyAlignment="1" applyFont="1">
      <alignment horizontal="center" readingOrder="0"/>
    </xf>
    <xf borderId="0" fillId="0" fontId="8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25" numFmtId="0" xfId="0" applyAlignment="1" applyFont="1">
      <alignment horizontal="center" readingOrder="0" vertical="bottom"/>
    </xf>
    <xf borderId="0" fillId="0" fontId="25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11" numFmtId="0" xfId="0" applyAlignment="1" applyFont="1">
      <alignment horizontal="right"/>
    </xf>
    <xf borderId="0" fillId="2" fontId="25" numFmtId="0" xfId="0" applyAlignment="1" applyFill="1" applyFont="1">
      <alignment horizontal="center"/>
    </xf>
    <xf borderId="0" fillId="2" fontId="31" numFmtId="0" xfId="0" applyAlignment="1" applyFill="1" applyFont="1">
      <alignment horizontal="center"/>
    </xf>
    <xf borderId="0" fillId="2" fontId="11" numFmtId="0" xfId="0" applyAlignment="1" applyFill="1" applyFont="1">
      <alignment horizontal="right"/>
    </xf>
    <xf borderId="0" fillId="0" fontId="16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2" fontId="28" numFmtId="0" xfId="0" applyFill="1" applyFont="1"/>
    <xf borderId="0" fillId="0" fontId="29" numFmtId="0" xfId="0" applyAlignment="1" applyFont="1">
      <alignment horizontal="center" readingOrder="0"/>
    </xf>
    <xf borderId="0" fillId="4" fontId="7" numFmtId="0" xfId="0" applyAlignment="1" applyFill="1" applyFont="1">
      <alignment vertical="bottom"/>
    </xf>
    <xf borderId="0" fillId="5" fontId="40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6" fontId="40" numFmtId="0" xfId="0" applyAlignment="1" applyFill="1" applyFont="1">
      <alignment horizontal="center" vertical="bottom"/>
    </xf>
    <xf borderId="0" fillId="7" fontId="41" numFmtId="0" xfId="0" applyAlignment="1" applyFill="1" applyFont="1">
      <alignment horizontal="center" vertical="bottom"/>
    </xf>
    <xf borderId="0" fillId="4" fontId="9" numFmtId="0" xfId="0" applyAlignment="1" applyFill="1" applyFont="1">
      <alignment horizontal="center" vertical="bottom"/>
    </xf>
    <xf borderId="0" fillId="4" fontId="9" numFmtId="0" xfId="0" applyAlignment="1" applyFill="1" applyFont="1">
      <alignment horizontal="center" vertical="bottom"/>
    </xf>
    <xf borderId="0" fillId="8" fontId="40" numFmtId="0" xfId="0" applyAlignment="1" applyFill="1" applyFont="1">
      <alignment horizontal="center" vertical="bottom"/>
    </xf>
    <xf borderId="0" fillId="9" fontId="41" numFmtId="0" xfId="0" applyAlignment="1" applyFill="1" applyFont="1">
      <alignment horizontal="center" vertical="bottom"/>
    </xf>
    <xf borderId="0" fillId="10" fontId="40" numFmtId="0" xfId="0" applyAlignment="1" applyFill="1" applyFont="1">
      <alignment horizontal="center" vertical="bottom"/>
    </xf>
    <xf borderId="0" fillId="4" fontId="9" numFmtId="0" xfId="0" applyAlignment="1" applyFill="1" applyFont="1">
      <alignment horizontal="center" readingOrder="0" vertical="bottom"/>
    </xf>
    <xf borderId="0" fillId="2" fontId="11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2" fontId="29" numFmtId="0" xfId="0" applyFill="1" applyFont="1"/>
    <xf borderId="4" fillId="5" fontId="42" numFmtId="0" xfId="0" applyAlignment="1" applyBorder="1" applyFill="1" applyFont="1">
      <alignment horizontal="center" readingOrder="0"/>
    </xf>
    <xf borderId="5" fillId="0" fontId="43" numFmtId="0" xfId="0" applyBorder="1" applyFont="1"/>
    <xf borderId="6" fillId="0" fontId="43" numFmtId="0" xfId="0" applyBorder="1" applyFont="1"/>
    <xf borderId="4" fillId="6" fontId="42" numFmtId="0" xfId="0" applyAlignment="1" applyBorder="1" applyFill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 vertical="bottom"/>
    </xf>
    <xf borderId="0" fillId="2" fontId="8" numFmtId="0" xfId="0" applyAlignment="1" applyFill="1" applyFont="1">
      <alignment horizontal="center"/>
    </xf>
    <xf borderId="8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horizontal="center" readingOrder="0" vertical="bottom"/>
    </xf>
    <xf borderId="10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2" fillId="2" fontId="8" numFmtId="0" xfId="0" applyAlignment="1" applyBorder="1" applyFill="1" applyFont="1">
      <alignment horizontal="center"/>
    </xf>
    <xf borderId="10" fillId="0" fontId="8" numFmtId="0" xfId="0" applyAlignment="1" applyBorder="1" applyFont="1">
      <alignment horizontal="center" readingOrder="0" vertical="bottom"/>
    </xf>
    <xf borderId="4" fillId="7" fontId="44" numFmtId="0" xfId="0" applyAlignment="1" applyBorder="1" applyFill="1" applyFont="1">
      <alignment horizontal="center" readingOrder="0"/>
    </xf>
    <xf borderId="4" fillId="8" fontId="42" numFmtId="0" xfId="0" applyAlignment="1" applyBorder="1" applyFill="1" applyFont="1">
      <alignment horizontal="center" readingOrder="0" vertical="bottom"/>
    </xf>
    <xf borderId="11" fillId="0" fontId="8" numFmtId="0" xfId="0" applyAlignment="1" applyBorder="1" applyFont="1">
      <alignment horizontal="center" vertical="bottom"/>
    </xf>
    <xf borderId="4" fillId="9" fontId="44" numFmtId="0" xfId="0" applyAlignment="1" applyBorder="1" applyFill="1" applyFont="1">
      <alignment horizontal="center" readingOrder="0"/>
    </xf>
    <xf borderId="4" fillId="10" fontId="45" numFmtId="0" xfId="0" applyAlignment="1" applyBorder="1" applyFill="1" applyFont="1">
      <alignment horizontal="center" readingOrder="0" vertical="bottom"/>
    </xf>
    <xf borderId="0" fillId="2" fontId="46" numFmtId="0" xfId="0" applyAlignment="1" applyFill="1" applyFont="1">
      <alignment vertical="center"/>
    </xf>
    <xf borderId="0" fillId="2" fontId="47" numFmtId="0" xfId="0" applyFill="1" applyFont="1"/>
    <xf borderId="0" fillId="2" fontId="46" numFmtId="0" xfId="0" applyFill="1" applyFont="1"/>
    <xf borderId="0" fillId="11" fontId="39" numFmtId="0" xfId="0" applyAlignment="1" applyFill="1" applyFont="1">
      <alignment horizontal="center" readingOrder="0"/>
    </xf>
    <xf borderId="0" fillId="0" fontId="8" numFmtId="0" xfId="0" applyAlignment="1" applyFont="1">
      <alignment horizontal="right" readingOrder="0" vertical="bottom"/>
    </xf>
    <xf borderId="0" fillId="0" fontId="30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0" fillId="0" fontId="46" numFmtId="0" xfId="0" applyFont="1"/>
    <xf borderId="0" fillId="2" fontId="25" numFmtId="0" xfId="0" applyAlignment="1" applyFill="1" applyFont="1">
      <alignment horizontal="center" readingOrder="0"/>
    </xf>
    <xf borderId="0" fillId="2" fontId="39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right" vertical="bottom"/>
    </xf>
    <xf borderId="0" fillId="2" fontId="6" numFmtId="0" xfId="0" applyAlignment="1" applyFill="1" applyFont="1">
      <alignment horizontal="center" readingOrder="0"/>
    </xf>
    <xf borderId="0" fillId="12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quotePrefix="1" borderId="0" fillId="0" fontId="8" numFmtId="0" xfId="0" applyAlignment="1" applyFont="1">
      <alignment horizontal="center" readingOrder="0" vertical="bottom"/>
    </xf>
    <xf borderId="0" fillId="3" fontId="8" numFmtId="0" xfId="0" applyAlignment="1" applyFill="1" applyFont="1">
      <alignment vertical="bottom"/>
    </xf>
    <xf borderId="0" fillId="0" fontId="48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0" fontId="4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1" fillId="4" fontId="8" numFmtId="0" xfId="0" applyAlignment="1" applyBorder="1" applyFill="1" applyFont="1">
      <alignment vertical="bottom"/>
    </xf>
    <xf borderId="1" fillId="0" fontId="8" numFmtId="0" xfId="0" applyAlignment="1" applyBorder="1" applyFont="1">
      <alignment readingOrder="0" vertical="bottom"/>
    </xf>
    <xf borderId="0" fillId="0" fontId="47" numFmtId="49" xfId="0" applyAlignment="1" applyFont="1" applyNumberFormat="1">
      <alignment readingOrder="0" vertical="bottom"/>
    </xf>
    <xf borderId="3" fillId="0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0" fillId="0" fontId="47" numFmtId="49" xfId="0" applyAlignment="1" applyFont="1" applyNumberFormat="1">
      <alignment horizontal="center" readingOrder="0" vertical="bottom"/>
    </xf>
    <xf borderId="1" fillId="13" fontId="8" numFmtId="0" xfId="0" applyAlignment="1" applyBorder="1" applyFill="1" applyFont="1">
      <alignment readingOrder="0" vertical="bottom"/>
    </xf>
    <xf borderId="0" fillId="0" fontId="8" numFmtId="20" xfId="0" applyAlignment="1" applyFont="1" applyNumberFormat="1">
      <alignment vertical="bottom"/>
    </xf>
    <xf borderId="0" fillId="0" fontId="47" numFmtId="49" xfId="0" applyAlignment="1" applyFont="1" applyNumberFormat="1">
      <alignment horizontal="center" vertical="bottom"/>
    </xf>
    <xf borderId="1" fillId="14" fontId="8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vertical="bottom"/>
    </xf>
    <xf borderId="12" fillId="0" fontId="8" numFmtId="0" xfId="0" applyAlignment="1" applyBorder="1" applyFont="1">
      <alignment readingOrder="0" vertical="bottom"/>
    </xf>
    <xf borderId="13" fillId="0" fontId="8" numFmtId="0" xfId="0" applyAlignment="1" applyBorder="1" applyFont="1">
      <alignment vertical="bottom"/>
    </xf>
    <xf borderId="1" fillId="4" fontId="8" numFmtId="0" xfId="0" applyAlignment="1" applyBorder="1" applyFill="1" applyFont="1">
      <alignment readingOrder="0" vertical="bottom"/>
    </xf>
    <xf borderId="0" fillId="0" fontId="8" numFmtId="49" xfId="0" applyAlignment="1" applyFont="1" applyNumberFormat="1">
      <alignment vertical="bottom"/>
    </xf>
    <xf borderId="1" fillId="15" fontId="8" numFmtId="0" xfId="0" applyAlignment="1" applyBorder="1" applyFill="1" applyFont="1">
      <alignment readingOrder="0" vertical="bottom"/>
    </xf>
    <xf borderId="12" fillId="0" fontId="8" numFmtId="0" xfId="0" applyAlignment="1" applyBorder="1" applyFont="1">
      <alignment vertical="bottom"/>
    </xf>
    <xf borderId="14" fillId="0" fontId="8" numFmtId="0" xfId="0" applyAlignment="1" applyBorder="1" applyFont="1">
      <alignment readingOrder="0" vertical="bottom"/>
    </xf>
    <xf borderId="1" fillId="7" fontId="8" numFmtId="0" xfId="0" applyAlignment="1" applyBorder="1" applyFill="1" applyFont="1">
      <alignment readingOrder="0" vertical="bottom"/>
    </xf>
    <xf borderId="3" fillId="0" fontId="8" numFmtId="49" xfId="0" applyAlignment="1" applyBorder="1" applyFont="1" applyNumberFormat="1">
      <alignment vertical="bottom"/>
    </xf>
    <xf borderId="1" fillId="12" fontId="8" numFmtId="0" xfId="0" applyAlignment="1" applyBorder="1" applyFill="1" applyFont="1">
      <alignment readingOrder="0" vertical="bottom"/>
    </xf>
    <xf borderId="2" fillId="0" fontId="8" numFmtId="0" xfId="0" applyAlignment="1" applyBorder="1" applyFont="1">
      <alignment vertical="bottom"/>
    </xf>
    <xf borderId="0" fillId="0" fontId="47" numFmtId="49" xfId="0" applyAlignment="1" applyFont="1" applyNumberFormat="1">
      <alignment vertical="bottom"/>
    </xf>
    <xf borderId="15" fillId="0" fontId="49" numFmtId="0" xfId="0" applyAlignment="1" applyBorder="1" applyFont="1">
      <alignment readingOrder="0" vertical="bottom"/>
    </xf>
    <xf borderId="15" fillId="0" fontId="42" numFmtId="0" xfId="0" applyAlignment="1" applyBorder="1" applyFont="1">
      <alignment vertical="bottom"/>
    </xf>
    <xf borderId="15" fillId="0" fontId="50" numFmtId="0" xfId="0" applyAlignment="1" applyBorder="1" applyFont="1">
      <alignment vertical="bottom"/>
    </xf>
    <xf borderId="15" fillId="0" fontId="51" numFmtId="165" xfId="0" applyAlignment="1" applyBorder="1" applyFont="1" applyNumberFormat="1">
      <alignment readingOrder="0" shrinkToFit="0" vertical="bottom" wrapText="0"/>
    </xf>
    <xf borderId="15" fillId="0" fontId="51" numFmtId="1" xfId="0" applyAlignment="1" applyBorder="1" applyFont="1" applyNumberFormat="1">
      <alignment readingOrder="0" shrinkToFit="0" vertical="bottom" wrapText="0"/>
    </xf>
    <xf borderId="15" fillId="0" fontId="42" numFmtId="166" xfId="0" applyAlignment="1" applyBorder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52" numFmtId="0" xfId="0" applyAlignment="1" applyFont="1">
      <alignment horizontal="right" vertical="bottom"/>
    </xf>
    <xf borderId="0" fillId="0" fontId="53" numFmtId="165" xfId="0" applyAlignment="1" applyFont="1" applyNumberFormat="1">
      <alignment horizontal="right" readingOrder="0" shrinkToFit="0" vertical="bottom" wrapText="0"/>
    </xf>
    <xf borderId="0" fillId="0" fontId="53" numFmtId="1" xfId="0" applyAlignment="1" applyFont="1" applyNumberFormat="1">
      <alignment horizontal="right" readingOrder="0" shrinkToFit="0" vertical="bottom" wrapText="0"/>
    </xf>
    <xf borderId="0" fillId="0" fontId="8" numFmtId="166" xfId="0" applyAlignment="1" applyFont="1" applyNumberFormat="1">
      <alignment horizontal="right" vertical="bottom"/>
    </xf>
    <xf borderId="0" fillId="0" fontId="7" numFmtId="166" xfId="0" applyAlignment="1" applyFont="1" applyNumberFormat="1">
      <alignment vertical="bottom"/>
    </xf>
    <xf borderId="0" fillId="0" fontId="54" numFmtId="166" xfId="0" applyAlignment="1" applyFont="1" applyNumberFormat="1">
      <alignment vertical="bottom"/>
    </xf>
    <xf borderId="15" fillId="0" fontId="51" numFmtId="0" xfId="0" applyAlignment="1" applyBorder="1" applyFont="1">
      <alignment readingOrder="0" shrinkToFit="0" vertical="bottom" wrapText="0"/>
    </xf>
    <xf borderId="15" fillId="0" fontId="55" numFmtId="0" xfId="0" applyAlignment="1" applyBorder="1" applyFont="1">
      <alignment readingOrder="0" shrinkToFit="0" vertical="bottom" wrapText="0"/>
    </xf>
    <xf borderId="15" fillId="0" fontId="51" numFmtId="1" xfId="0" applyAlignment="1" applyBorder="1" applyFont="1" applyNumberFormat="1">
      <alignment readingOrder="0" shrinkToFit="0" vertical="bottom" wrapText="0"/>
    </xf>
    <xf borderId="15" fillId="0" fontId="51" numFmtId="166" xfId="0" applyAlignment="1" applyBorder="1" applyFont="1" applyNumberFormat="1">
      <alignment readingOrder="0" shrinkToFit="0" vertical="bottom" wrapText="0"/>
    </xf>
    <xf borderId="0" fillId="0" fontId="53" numFmtId="0" xfId="0" applyAlignment="1" applyFont="1">
      <alignment horizontal="left" readingOrder="0" shrinkToFit="0" vertical="bottom" wrapText="0"/>
    </xf>
    <xf borderId="0" fillId="0" fontId="53" numFmtId="0" xfId="0" applyAlignment="1" applyFont="1">
      <alignment horizontal="right" readingOrder="0" shrinkToFit="0" vertical="bottom" wrapText="0"/>
    </xf>
    <xf borderId="0" fillId="0" fontId="56" numFmtId="0" xfId="0" applyAlignment="1" applyFont="1">
      <alignment horizontal="right" readingOrder="0" shrinkToFit="0" vertical="bottom" wrapText="0"/>
    </xf>
    <xf borderId="0" fillId="0" fontId="53" numFmtId="1" xfId="0" applyAlignment="1" applyFont="1" applyNumberFormat="1">
      <alignment horizontal="right" readingOrder="0" shrinkToFit="0" vertical="bottom" wrapText="0"/>
    </xf>
    <xf borderId="0" fillId="0" fontId="53" numFmtId="166" xfId="0" applyAlignment="1" applyFont="1" applyNumberFormat="1">
      <alignment horizontal="right" readingOrder="0" shrinkToFit="0" vertical="bottom" wrapText="0"/>
    </xf>
    <xf borderId="15" fillId="0" fontId="57" numFmtId="0" xfId="0" applyAlignment="1" applyBorder="1" applyFont="1">
      <alignment readingOrder="0" shrinkToFit="0" vertical="bottom" wrapText="0"/>
    </xf>
    <xf borderId="15" fillId="0" fontId="57" numFmtId="1" xfId="0" applyAlignment="1" applyBorder="1" applyFont="1" applyNumberFormat="1">
      <alignment readingOrder="0" shrinkToFit="0" vertical="bottom" wrapText="0"/>
    </xf>
    <xf borderId="15" fillId="0" fontId="57" numFmtId="166" xfId="0" applyAlignment="1" applyBorder="1" applyFont="1" applyNumberFormat="1">
      <alignment readingOrder="0" shrinkToFit="0" vertical="bottom" wrapText="0"/>
    </xf>
    <xf borderId="15" fillId="0" fontId="58" numFmtId="0" xfId="0" applyAlignment="1" applyBorder="1" applyFont="1">
      <alignment vertical="bottom"/>
    </xf>
    <xf borderId="0" fillId="0" fontId="56" numFmtId="0" xfId="0" applyAlignment="1" applyFont="1">
      <alignment horizontal="right" vertical="bottom"/>
    </xf>
    <xf borderId="0" fillId="0" fontId="59" numFmtId="0" xfId="0" applyAlignment="1" applyFont="1">
      <alignment vertical="bottom"/>
    </xf>
    <xf borderId="15" fillId="0" fontId="60" numFmtId="0" xfId="0" applyAlignment="1" applyBorder="1" applyFont="1">
      <alignment readingOrder="0" shrinkToFit="0" vertical="bottom" wrapText="0"/>
    </xf>
    <xf borderId="15" fillId="0" fontId="58" numFmtId="0" xfId="0" applyAlignment="1" applyBorder="1" applyFont="1">
      <alignment readingOrder="0" shrinkToFit="0" vertical="bottom" wrapText="0"/>
    </xf>
    <xf borderId="0" fillId="0" fontId="56" numFmtId="0" xfId="0" applyFont="1"/>
    <xf borderId="15" fillId="0" fontId="45" numFmtId="0" xfId="0" applyAlignment="1" applyBorder="1" applyFont="1">
      <alignment readingOrder="0"/>
    </xf>
    <xf borderId="15" fillId="0" fontId="45" numFmtId="166" xfId="0" applyAlignment="1" applyBorder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8" numFmtId="166" xfId="0" applyFont="1" applyNumberFormat="1"/>
    <xf borderId="15" fillId="0" fontId="42" numFmtId="1" xfId="0" applyAlignment="1" applyBorder="1" applyFont="1" applyNumberFormat="1">
      <alignment vertical="bottom"/>
    </xf>
    <xf borderId="0" fillId="0" fontId="8" numFmtId="0" xfId="0" applyAlignment="1" applyFont="1">
      <alignment horizontal="left" readingOrder="0" vertical="bottom"/>
    </xf>
    <xf borderId="0" fillId="0" fontId="8" numFmtId="1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left" vertical="bottom"/>
    </xf>
    <xf borderId="15" fillId="0" fontId="58" numFmtId="0" xfId="0" applyAlignment="1" applyBorder="1" applyFont="1">
      <alignment readingOrder="0" vertical="bottom"/>
    </xf>
    <xf borderId="0" fillId="0" fontId="56" numFmtId="0" xfId="0" applyAlignment="1" applyFont="1">
      <alignment horizontal="right" readingOrder="0" vertical="bottom"/>
    </xf>
    <xf borderId="0" fillId="0" fontId="61" numFmtId="166" xfId="0" applyAlignment="1" applyFont="1" applyNumberFormat="1">
      <alignment readingOrder="0" vertical="bottom"/>
    </xf>
    <xf borderId="0" fillId="0" fontId="62" numFmtId="166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readingOrder="0" vertical="bottom"/>
    </xf>
    <xf borderId="0" fillId="0" fontId="59" numFmtId="166" xfId="0" applyAlignment="1" applyFont="1" applyNumberFormat="1">
      <alignment readingOrder="0" vertical="bottom"/>
    </xf>
    <xf borderId="15" fillId="0" fontId="42" numFmtId="1" xfId="0" applyAlignment="1" applyBorder="1" applyFont="1" applyNumberFormat="1">
      <alignment vertical="bottom"/>
    </xf>
    <xf borderId="0" fillId="0" fontId="8" numFmtId="1" xfId="0" applyAlignment="1" applyFont="1" applyNumberFormat="1">
      <alignment horizontal="right" vertical="bottom"/>
    </xf>
    <xf borderId="0" fillId="0" fontId="53" numFmtId="166" xfId="0" applyAlignment="1" applyFont="1" applyNumberFormat="1">
      <alignment horizontal="right" shrinkToFit="0" vertical="bottom" wrapText="0"/>
    </xf>
    <xf borderId="0" fillId="0" fontId="56" numFmtId="166" xfId="0" applyAlignment="1" applyFont="1" applyNumberFormat="1">
      <alignment horizontal="right" shrinkToFit="0" vertical="bottom" wrapText="0"/>
    </xf>
    <xf borderId="15" fillId="0" fontId="45" numFmtId="3" xfId="0" applyAlignment="1" applyBorder="1" applyFont="1" applyNumberFormat="1">
      <alignment readingOrder="0"/>
    </xf>
    <xf borderId="0" fillId="0" fontId="8" numFmtId="3" xfId="0" applyAlignment="1" applyFont="1" applyNumberFormat="1">
      <alignment readingOrder="0"/>
    </xf>
    <xf borderId="0" fillId="0" fontId="29" numFmtId="166" xfId="0" applyAlignment="1" applyFont="1" applyNumberFormat="1">
      <alignment horizontal="center" readingOrder="0"/>
    </xf>
    <xf borderId="0" fillId="0" fontId="56" numFmtId="166" xfId="0" applyAlignment="1" applyFont="1" applyNumberFormat="1">
      <alignment horizontal="right" readingOrder="0" shrinkToFit="0" vertical="bottom" wrapText="0"/>
    </xf>
    <xf borderId="0" fillId="0" fontId="29" numFmtId="166" xfId="0" applyAlignment="1" applyFont="1" applyNumberFormat="1">
      <alignment horizontal="center"/>
    </xf>
    <xf borderId="0" fillId="0" fontId="8" numFmtId="3" xfId="0" applyFont="1" applyNumberFormat="1"/>
    <xf borderId="15" fillId="0" fontId="57" numFmtId="0" xfId="0" applyAlignment="1" applyBorder="1" applyFont="1">
      <alignment shrinkToFit="0" vertical="bottom" wrapText="0"/>
    </xf>
    <xf borderId="15" fillId="0" fontId="55" numFmtId="0" xfId="0" applyAlignment="1" applyBorder="1" applyFont="1">
      <alignment shrinkToFit="0" vertical="bottom" wrapText="0"/>
    </xf>
    <xf borderId="15" fillId="0" fontId="45" numFmtId="0" xfId="0" applyBorder="1" applyFont="1"/>
    <xf borderId="0" fillId="0" fontId="53" numFmtId="0" xfId="0" applyAlignment="1" applyFont="1">
      <alignment horizontal="right" shrinkToFit="0" vertical="bottom" wrapText="0"/>
    </xf>
    <xf borderId="0" fillId="0" fontId="56" numFmtId="0" xfId="0" applyAlignment="1" applyFont="1">
      <alignment horizontal="right" shrinkToFit="0" vertical="bottom" wrapText="0"/>
    </xf>
    <xf borderId="0" fillId="0" fontId="8" numFmtId="0" xfId="0" applyFont="1"/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65" numFmtId="0" xfId="0" applyAlignment="1" applyFont="1">
      <alignment readingOrder="0"/>
    </xf>
    <xf borderId="0" fillId="0" fontId="63" numFmtId="0" xfId="0" applyFont="1"/>
    <xf borderId="0" fillId="0" fontId="52" numFmtId="0" xfId="0" applyAlignment="1" applyFont="1">
      <alignment readingOrder="0"/>
    </xf>
    <xf borderId="0" fillId="0" fontId="66" numFmtId="0" xfId="0" applyAlignment="1" applyFont="1">
      <alignment readingOrder="0"/>
    </xf>
    <xf borderId="0" fillId="0" fontId="8" numFmtId="10" xfId="0" applyAlignment="1" applyFont="1" applyNumberFormat="1">
      <alignment readingOrder="0"/>
    </xf>
    <xf borderId="0" fillId="0" fontId="8" numFmtId="9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85725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66675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85725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47625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85725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47625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47625</xdr:rowOff>
    </xdr:from>
    <xdr:ext cx="6477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66675</xdr:rowOff>
    </xdr:from>
    <xdr:ext cx="59055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N87yVFa3vM" TargetMode="External"/><Relationship Id="rId2" Type="http://schemas.openxmlformats.org/officeDocument/2006/relationships/hyperlink" Target="https://dannyridel44.wixsite.com/smh-2024" TargetMode="External"/><Relationship Id="rId3" Type="http://schemas.openxmlformats.org/officeDocument/2006/relationships/hyperlink" Target="https://docs.google.com/document/d/1RRNL41UogzexBgWP4H1yVr-53sru8julP50ghC_3KJ0/edit?usp=shari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12.5"/>
    <col customWidth="1" min="4" max="4" width="60.0"/>
    <col customWidth="1" min="5" max="5" width="4.5"/>
    <col customWidth="1" min="6" max="6" width="5.13"/>
    <col customWidth="1" min="7" max="7" width="15.25"/>
    <col customWidth="1" min="8" max="8" width="12.63"/>
    <col customWidth="1" min="9" max="11" width="14.25"/>
    <col customWidth="1" min="12" max="12" width="5.25"/>
    <col customWidth="1" min="13" max="13" width="5.0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66.0" customHeight="1">
      <c r="A2" s="1"/>
      <c r="B2" s="2" t="s">
        <v>0</v>
      </c>
      <c r="M2" s="1"/>
    </row>
    <row r="3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54.75" customHeight="1">
      <c r="A4" s="1"/>
      <c r="B4" s="3" t="s">
        <v>1</v>
      </c>
      <c r="E4" s="1"/>
      <c r="F4" s="4" t="s">
        <v>2</v>
      </c>
      <c r="M4" s="1"/>
    </row>
    <row r="5">
      <c r="A5" s="1"/>
      <c r="B5" s="5" t="s">
        <v>3</v>
      </c>
      <c r="E5" s="1"/>
      <c r="F5" s="5" t="s">
        <v>3</v>
      </c>
      <c r="M5" s="1"/>
    </row>
    <row r="6">
      <c r="A6" s="1"/>
      <c r="B6" s="6"/>
      <c r="C6" s="6"/>
      <c r="D6" s="6"/>
      <c r="E6" s="1"/>
      <c r="G6" s="7"/>
      <c r="H6" s="8"/>
      <c r="I6" s="8"/>
      <c r="J6" s="8"/>
      <c r="M6" s="1"/>
    </row>
    <row r="7">
      <c r="A7" s="1"/>
      <c r="B7" s="9" t="s">
        <v>4</v>
      </c>
      <c r="C7" s="9" t="s">
        <v>5</v>
      </c>
      <c r="D7" s="9" t="s">
        <v>6</v>
      </c>
      <c r="E7" s="1"/>
      <c r="G7" s="10" t="s">
        <v>4</v>
      </c>
      <c r="H7" s="11"/>
      <c r="I7" s="12" t="s">
        <v>7</v>
      </c>
      <c r="J7" s="12" t="s">
        <v>8</v>
      </c>
      <c r="K7" s="13" t="s">
        <v>9</v>
      </c>
      <c r="M7" s="1"/>
    </row>
    <row r="8">
      <c r="A8" s="1"/>
      <c r="B8" s="14">
        <v>0.3645833333333333</v>
      </c>
      <c r="C8" s="14">
        <v>0.3958333333333333</v>
      </c>
      <c r="D8" s="15" t="s">
        <v>10</v>
      </c>
      <c r="E8" s="1"/>
      <c r="G8" s="16">
        <v>0.5520833333333334</v>
      </c>
      <c r="H8" s="17" t="s">
        <v>11</v>
      </c>
      <c r="I8" s="18">
        <v>45293.0</v>
      </c>
      <c r="J8" s="18">
        <v>45355.0</v>
      </c>
      <c r="K8" s="19">
        <v>5.0</v>
      </c>
      <c r="M8" s="1"/>
    </row>
    <row r="9">
      <c r="A9" s="1"/>
      <c r="B9" s="14">
        <v>0.3958333333333333</v>
      </c>
      <c r="C9" s="14">
        <v>0.4166666666666667</v>
      </c>
      <c r="D9" s="20" t="s">
        <v>12</v>
      </c>
      <c r="E9" s="1"/>
      <c r="G9" s="16">
        <v>0.5729166666666666</v>
      </c>
      <c r="H9" s="17" t="s">
        <v>13</v>
      </c>
      <c r="I9" s="18">
        <v>45327.0</v>
      </c>
      <c r="J9" s="21">
        <v>45295.0</v>
      </c>
      <c r="K9" s="19">
        <v>3.0</v>
      </c>
      <c r="M9" s="1"/>
    </row>
    <row r="10">
      <c r="A10" s="1"/>
      <c r="B10" s="14">
        <v>0.4166666666666667</v>
      </c>
      <c r="C10" s="14">
        <v>0.4375</v>
      </c>
      <c r="D10" s="20" t="s">
        <v>14</v>
      </c>
      <c r="E10" s="1"/>
      <c r="G10" s="16">
        <v>0.59375</v>
      </c>
      <c r="H10" s="17" t="s">
        <v>15</v>
      </c>
      <c r="I10" s="21">
        <v>45294.0</v>
      </c>
      <c r="J10" s="18">
        <v>45387.0</v>
      </c>
      <c r="K10" s="19">
        <v>2.0</v>
      </c>
      <c r="M10" s="1"/>
    </row>
    <row r="11">
      <c r="A11" s="1"/>
      <c r="B11" s="14"/>
      <c r="C11" s="14"/>
      <c r="D11" s="20"/>
      <c r="E11" s="1"/>
      <c r="G11" s="16">
        <v>0.6145833333333334</v>
      </c>
      <c r="H11" s="17" t="s">
        <v>16</v>
      </c>
      <c r="I11" s="18">
        <v>45326.0</v>
      </c>
      <c r="J11" s="21">
        <v>45356.0</v>
      </c>
      <c r="K11" s="19">
        <v>1.0</v>
      </c>
      <c r="M11" s="1"/>
    </row>
    <row r="12">
      <c r="A12" s="1"/>
      <c r="B12" s="14">
        <v>0.4375</v>
      </c>
      <c r="C12" s="14">
        <v>0.4583333333333333</v>
      </c>
      <c r="D12" s="20" t="s">
        <v>17</v>
      </c>
      <c r="E12" s="1"/>
      <c r="G12" s="16">
        <v>0.6354166666666666</v>
      </c>
      <c r="H12" s="17" t="s">
        <v>18</v>
      </c>
      <c r="I12" s="18">
        <v>45296.0</v>
      </c>
      <c r="J12" s="18">
        <v>45325.0</v>
      </c>
      <c r="K12" s="19">
        <v>4.0</v>
      </c>
      <c r="M12" s="1"/>
    </row>
    <row r="13">
      <c r="A13" s="1"/>
      <c r="B13" s="22"/>
      <c r="C13" s="22"/>
      <c r="D13" s="15"/>
      <c r="E13" s="1"/>
      <c r="G13" s="14"/>
      <c r="H13" s="23"/>
      <c r="I13" s="18"/>
      <c r="J13" s="18"/>
      <c r="K13" s="18"/>
      <c r="M13" s="1"/>
    </row>
    <row r="14">
      <c r="A14" s="1"/>
      <c r="B14" s="14">
        <v>0.4583333333333333</v>
      </c>
      <c r="C14" s="14">
        <v>0.4791666666666667</v>
      </c>
      <c r="D14" s="15" t="s">
        <v>19</v>
      </c>
      <c r="E14" s="1"/>
      <c r="G14" s="24" t="s">
        <v>20</v>
      </c>
      <c r="M14" s="1"/>
    </row>
    <row r="15">
      <c r="A15" s="1"/>
      <c r="B15" s="14">
        <v>0.4791666666666667</v>
      </c>
      <c r="C15" s="14">
        <v>0.5</v>
      </c>
      <c r="D15" s="15" t="s">
        <v>21</v>
      </c>
      <c r="E15" s="1"/>
      <c r="F15" s="25"/>
      <c r="L15" s="25"/>
      <c r="M15" s="1"/>
    </row>
    <row r="16">
      <c r="A16" s="1"/>
      <c r="B16" s="14">
        <v>0.5</v>
      </c>
      <c r="C16" s="14">
        <v>0.5208333333333334</v>
      </c>
      <c r="D16" s="15" t="s">
        <v>22</v>
      </c>
      <c r="E16" s="1"/>
      <c r="F16" s="25"/>
      <c r="G16" s="25"/>
      <c r="H16" s="25"/>
      <c r="I16" s="25"/>
      <c r="J16" s="25"/>
      <c r="K16" s="25"/>
      <c r="L16" s="25"/>
      <c r="M16" s="1"/>
    </row>
    <row r="17">
      <c r="A17" s="1"/>
      <c r="B17" s="14"/>
      <c r="C17" s="14"/>
      <c r="D17" s="15"/>
      <c r="E17" s="1"/>
      <c r="F17" s="1"/>
      <c r="M17" s="1"/>
    </row>
    <row r="18">
      <c r="A18" s="1"/>
      <c r="B18" s="14">
        <v>0.5208333333333334</v>
      </c>
      <c r="C18" s="14">
        <v>0.5416666666666666</v>
      </c>
      <c r="D18" s="15" t="s">
        <v>17</v>
      </c>
      <c r="E18" s="1"/>
      <c r="F18" s="26" t="s">
        <v>23</v>
      </c>
      <c r="M18" s="1"/>
    </row>
    <row r="19">
      <c r="A19" s="1"/>
      <c r="B19" s="14">
        <v>0.5416666666666666</v>
      </c>
      <c r="C19" s="14">
        <v>0.5520833333333334</v>
      </c>
      <c r="D19" s="15" t="s">
        <v>24</v>
      </c>
      <c r="E19" s="1"/>
      <c r="M19" s="1"/>
    </row>
    <row r="20">
      <c r="A20" s="1"/>
      <c r="B20" s="14"/>
      <c r="C20" s="14"/>
      <c r="D20" s="15"/>
      <c r="E20" s="1"/>
      <c r="M20" s="1"/>
    </row>
    <row r="21">
      <c r="A21" s="1"/>
      <c r="B21" s="14">
        <v>0.5520833333333334</v>
      </c>
      <c r="C21" s="14">
        <v>0.5729166666666666</v>
      </c>
      <c r="D21" s="15" t="s">
        <v>25</v>
      </c>
      <c r="E21" s="1"/>
      <c r="F21" s="27"/>
      <c r="G21" s="27"/>
      <c r="H21" s="27"/>
      <c r="I21" s="27"/>
      <c r="J21" s="27"/>
      <c r="K21" s="27"/>
      <c r="L21" s="27"/>
      <c r="M21" s="1"/>
    </row>
    <row r="22">
      <c r="A22" s="1"/>
      <c r="B22" s="14">
        <v>0.5729166666666666</v>
      </c>
      <c r="C22" s="14">
        <v>0.59375</v>
      </c>
      <c r="D22" s="15" t="s">
        <v>26</v>
      </c>
      <c r="E22" s="1"/>
      <c r="F22" s="27"/>
      <c r="G22" s="28" t="s">
        <v>27</v>
      </c>
      <c r="I22" s="29" t="s">
        <v>28</v>
      </c>
      <c r="J22" s="27"/>
      <c r="K22" s="27"/>
      <c r="L22" s="27"/>
      <c r="M22" s="1"/>
    </row>
    <row r="23">
      <c r="A23" s="1"/>
      <c r="B23" s="14">
        <v>0.59375</v>
      </c>
      <c r="C23" s="14">
        <v>0.6145833333333334</v>
      </c>
      <c r="D23" s="15" t="s">
        <v>29</v>
      </c>
      <c r="E23" s="1"/>
      <c r="F23" s="27"/>
      <c r="G23" s="28" t="s">
        <v>30</v>
      </c>
      <c r="I23" s="30" t="s">
        <v>31</v>
      </c>
      <c r="L23" s="27"/>
      <c r="M23" s="1"/>
    </row>
    <row r="24">
      <c r="A24" s="1"/>
      <c r="B24" s="14">
        <v>0.6145833333333334</v>
      </c>
      <c r="C24" s="14">
        <v>0.6354166666666666</v>
      </c>
      <c r="D24" s="15" t="s">
        <v>32</v>
      </c>
      <c r="E24" s="1"/>
      <c r="F24" s="27"/>
      <c r="G24" s="28" t="s">
        <v>33</v>
      </c>
      <c r="H24" s="27"/>
      <c r="I24" s="31" t="s">
        <v>34</v>
      </c>
      <c r="L24" s="27"/>
      <c r="M24" s="1"/>
    </row>
    <row r="25">
      <c r="A25" s="1"/>
      <c r="B25" s="14">
        <v>0.6354166666666666</v>
      </c>
      <c r="C25" s="14">
        <v>0.65625</v>
      </c>
      <c r="D25" s="15" t="s">
        <v>35</v>
      </c>
      <c r="E25" s="1"/>
      <c r="F25" s="27"/>
      <c r="G25" s="28"/>
      <c r="H25" s="27"/>
      <c r="L25" s="27"/>
      <c r="M25" s="1"/>
    </row>
    <row r="26">
      <c r="A26" s="1"/>
      <c r="B26" s="14"/>
      <c r="C26" s="14"/>
      <c r="D26" s="15"/>
      <c r="E26" s="1"/>
      <c r="G26" s="22"/>
      <c r="H26" s="22"/>
      <c r="M26" s="1"/>
    </row>
    <row r="27">
      <c r="A27" s="1"/>
      <c r="B27" s="14">
        <v>0.6770833333333334</v>
      </c>
      <c r="C27" s="14">
        <v>0.6875</v>
      </c>
      <c r="D27" s="15" t="s">
        <v>36</v>
      </c>
      <c r="E27" s="1"/>
      <c r="G27" s="15"/>
      <c r="H27" s="22"/>
      <c r="I27" s="32"/>
      <c r="M27" s="1"/>
    </row>
    <row r="28">
      <c r="A28" s="1"/>
      <c r="E28" s="1"/>
      <c r="M28" s="1"/>
    </row>
    <row r="29" ht="19.5" customHeight="1">
      <c r="A29" s="1"/>
      <c r="B29" s="1"/>
      <c r="E29" s="1"/>
      <c r="F29" s="1"/>
      <c r="M29" s="1"/>
    </row>
  </sheetData>
  <mergeCells count="15">
    <mergeCell ref="F18:L20"/>
    <mergeCell ref="G22:H22"/>
    <mergeCell ref="G23:H23"/>
    <mergeCell ref="I23:K23"/>
    <mergeCell ref="I24:K26"/>
    <mergeCell ref="I27:K27"/>
    <mergeCell ref="B29:D29"/>
    <mergeCell ref="F29:L29"/>
    <mergeCell ref="B2:L2"/>
    <mergeCell ref="B4:D4"/>
    <mergeCell ref="F4:L4"/>
    <mergeCell ref="B5:D5"/>
    <mergeCell ref="F5:L5"/>
    <mergeCell ref="G14:K15"/>
    <mergeCell ref="F17:L17"/>
  </mergeCells>
  <hyperlinks>
    <hyperlink r:id="rId1" ref="I22"/>
    <hyperlink r:id="rId2" ref="I23"/>
    <hyperlink r:id="rId3" ref="I2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13"/>
    <col customWidth="1" min="2" max="2" width="8.38"/>
    <col customWidth="1" min="4" max="4" width="16.5"/>
    <col customWidth="1" min="5" max="8" width="9.25"/>
    <col customWidth="1" min="12" max="15" width="9.25"/>
    <col customWidth="1" min="19" max="22" width="9.25"/>
    <col customWidth="1" min="23" max="23" width="8.38"/>
    <col customWidth="1" min="24" max="24" width="4.0"/>
    <col hidden="1" min="25" max="27" width="12.63"/>
  </cols>
  <sheetData>
    <row r="1">
      <c r="A1" s="33"/>
      <c r="B1" s="33"/>
      <c r="C1" s="34"/>
      <c r="D1" s="34"/>
      <c r="E1" s="34"/>
      <c r="F1" s="34"/>
      <c r="G1" s="34"/>
      <c r="H1" s="33"/>
      <c r="I1" s="33"/>
      <c r="J1" s="33"/>
      <c r="K1" s="33"/>
      <c r="L1" s="33"/>
      <c r="M1" s="34"/>
      <c r="N1" s="34"/>
      <c r="O1" s="33"/>
      <c r="P1" s="33"/>
      <c r="Q1" s="33"/>
      <c r="R1" s="33"/>
      <c r="S1" s="33"/>
      <c r="T1" s="34"/>
      <c r="U1" s="34"/>
      <c r="V1" s="33"/>
      <c r="W1" s="33"/>
      <c r="X1" s="33"/>
      <c r="Y1" s="35"/>
      <c r="Z1" s="35"/>
      <c r="AA1" s="35"/>
    </row>
    <row r="2" ht="63.0" customHeight="1">
      <c r="A2" s="33"/>
      <c r="B2" s="36" t="s">
        <v>37</v>
      </c>
      <c r="X2" s="33"/>
      <c r="Y2" s="35"/>
      <c r="Z2" s="35"/>
      <c r="AA2" s="35"/>
    </row>
    <row r="3">
      <c r="A3" s="33"/>
      <c r="B3" s="37" t="s">
        <v>38</v>
      </c>
      <c r="X3" s="33"/>
      <c r="Y3" s="35"/>
      <c r="Z3" s="35"/>
      <c r="AA3" s="35"/>
    </row>
    <row r="4">
      <c r="A4" s="33"/>
      <c r="B4" s="33"/>
      <c r="C4" s="38"/>
      <c r="D4" s="38"/>
      <c r="E4" s="38"/>
      <c r="F4" s="38"/>
      <c r="G4" s="38"/>
      <c r="H4" s="39"/>
      <c r="I4" s="40"/>
      <c r="J4" s="40"/>
      <c r="K4" s="40"/>
      <c r="L4" s="40"/>
      <c r="M4" s="40"/>
      <c r="N4" s="40"/>
      <c r="O4" s="33"/>
      <c r="P4" s="33"/>
      <c r="Q4" s="33"/>
      <c r="R4" s="33"/>
      <c r="S4" s="33"/>
      <c r="T4" s="34"/>
      <c r="U4" s="34"/>
      <c r="V4" s="33"/>
      <c r="W4" s="33"/>
      <c r="X4" s="33"/>
      <c r="Y4" s="35"/>
      <c r="Z4" s="35"/>
      <c r="AA4" s="35"/>
    </row>
    <row r="5">
      <c r="A5" s="40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40"/>
      <c r="Y5" s="35"/>
      <c r="Z5" s="35"/>
      <c r="AA5" s="35"/>
    </row>
    <row r="6">
      <c r="A6" s="41"/>
      <c r="B6" s="42"/>
      <c r="C6" s="43" t="s">
        <v>39</v>
      </c>
      <c r="D6" s="44" t="s">
        <v>40</v>
      </c>
      <c r="I6" s="42"/>
      <c r="J6" s="43" t="s">
        <v>41</v>
      </c>
      <c r="K6" s="44" t="s">
        <v>42</v>
      </c>
      <c r="P6" s="42"/>
      <c r="Q6" s="43" t="s">
        <v>43</v>
      </c>
      <c r="R6" s="44" t="s">
        <v>44</v>
      </c>
      <c r="W6" s="42"/>
      <c r="X6" s="41"/>
      <c r="Y6" s="42"/>
      <c r="Z6" s="42"/>
      <c r="AA6" s="42"/>
    </row>
    <row r="7">
      <c r="A7" s="40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40"/>
      <c r="Y7" s="35"/>
      <c r="Z7" s="35"/>
      <c r="AA7" s="35"/>
    </row>
    <row r="8">
      <c r="A8" s="40"/>
      <c r="B8" s="35"/>
      <c r="C8" s="45"/>
      <c r="D8" s="45" t="s">
        <v>45</v>
      </c>
      <c r="E8" s="45"/>
      <c r="F8" s="45" t="s">
        <v>46</v>
      </c>
      <c r="G8" s="45" t="s">
        <v>47</v>
      </c>
      <c r="H8" s="45" t="s">
        <v>48</v>
      </c>
      <c r="I8" s="35"/>
      <c r="J8" s="45"/>
      <c r="K8" s="45" t="s">
        <v>45</v>
      </c>
      <c r="L8" s="45"/>
      <c r="M8" s="45" t="s">
        <v>46</v>
      </c>
      <c r="N8" s="45" t="s">
        <v>47</v>
      </c>
      <c r="O8" s="45" t="s">
        <v>48</v>
      </c>
      <c r="P8" s="35"/>
      <c r="Q8" s="45"/>
      <c r="R8" s="45" t="s">
        <v>45</v>
      </c>
      <c r="S8" s="45"/>
      <c r="T8" s="45" t="s">
        <v>46</v>
      </c>
      <c r="U8" s="45" t="s">
        <v>47</v>
      </c>
      <c r="V8" s="45" t="s">
        <v>48</v>
      </c>
      <c r="W8" s="35"/>
      <c r="X8" s="40"/>
      <c r="Y8" s="35"/>
      <c r="Z8" s="35"/>
      <c r="AA8" s="35"/>
    </row>
    <row r="9">
      <c r="A9" s="40"/>
      <c r="B9" s="35"/>
      <c r="C9" s="45" t="s">
        <v>49</v>
      </c>
      <c r="D9" s="45" t="s">
        <v>50</v>
      </c>
      <c r="E9" s="45" t="s">
        <v>51</v>
      </c>
      <c r="F9" s="45">
        <f>'League Scoreboard'!E10</f>
        <v>94</v>
      </c>
      <c r="G9" s="35">
        <f>'League Scoreboard'!E8</f>
        <v>178</v>
      </c>
      <c r="H9" s="35">
        <f>F9-G9</f>
        <v>-84</v>
      </c>
      <c r="I9" s="35"/>
      <c r="J9" s="45" t="s">
        <v>49</v>
      </c>
      <c r="K9" s="45" t="s">
        <v>52</v>
      </c>
      <c r="L9" s="45" t="s">
        <v>53</v>
      </c>
      <c r="M9" s="45">
        <f>'League Scoreboard'!I8</f>
        <v>140</v>
      </c>
      <c r="N9" s="35">
        <f>'League Scoreboard'!I10</f>
        <v>90</v>
      </c>
      <c r="O9" s="35">
        <f>M9-N9</f>
        <v>50</v>
      </c>
      <c r="P9" s="35"/>
      <c r="Q9" s="45" t="s">
        <v>49</v>
      </c>
      <c r="R9" s="45" t="s">
        <v>54</v>
      </c>
      <c r="S9" s="45" t="s">
        <v>53</v>
      </c>
      <c r="T9" s="45">
        <f>'League Scoreboard'!M8</f>
        <v>4</v>
      </c>
      <c r="U9" s="35">
        <f>'League Scoreboard'!M10</f>
        <v>256</v>
      </c>
      <c r="V9" s="35">
        <f>T9-U9</f>
        <v>-252</v>
      </c>
      <c r="W9" s="35"/>
      <c r="X9" s="40"/>
      <c r="Y9" s="35"/>
      <c r="Z9" s="35"/>
      <c r="AA9" s="35"/>
    </row>
    <row r="10">
      <c r="A10" s="40"/>
      <c r="B10" s="35"/>
      <c r="C10" s="45"/>
      <c r="D10" s="35"/>
      <c r="E10" s="45"/>
      <c r="F10" s="45"/>
      <c r="G10" s="35"/>
      <c r="H10" s="35"/>
      <c r="I10" s="35"/>
      <c r="J10" s="45"/>
      <c r="K10" s="35"/>
      <c r="L10" s="45"/>
      <c r="M10" s="45"/>
      <c r="N10" s="35"/>
      <c r="O10" s="35"/>
      <c r="P10" s="35"/>
      <c r="Q10" s="45"/>
      <c r="R10" s="35"/>
      <c r="S10" s="45"/>
      <c r="T10" s="45"/>
      <c r="U10" s="35"/>
      <c r="V10" s="35"/>
      <c r="W10" s="35"/>
      <c r="X10" s="40"/>
      <c r="Y10" s="35"/>
      <c r="Z10" s="35"/>
      <c r="AA10" s="35"/>
    </row>
    <row r="11">
      <c r="A11" s="40"/>
      <c r="B11" s="35"/>
      <c r="C11" s="45" t="s">
        <v>55</v>
      </c>
      <c r="D11" s="45" t="s">
        <v>56</v>
      </c>
      <c r="E11" s="45" t="s">
        <v>53</v>
      </c>
      <c r="F11" s="35">
        <f>'League Scoreboard'!E22</f>
        <v>60</v>
      </c>
      <c r="G11" s="35">
        <f>'League Scoreboard'!E24</f>
        <v>180</v>
      </c>
      <c r="H11" s="35">
        <f>F11-G11</f>
        <v>-120</v>
      </c>
      <c r="I11" s="35"/>
      <c r="J11" s="45" t="s">
        <v>55</v>
      </c>
      <c r="K11" s="45" t="s">
        <v>57</v>
      </c>
      <c r="L11" s="45" t="s">
        <v>53</v>
      </c>
      <c r="M11" s="45">
        <f>'League Scoreboard'!E26</f>
        <v>106</v>
      </c>
      <c r="N11" s="45">
        <f>'League Scoreboard'!E28</f>
        <v>102</v>
      </c>
      <c r="O11" s="35">
        <f>M11-N11</f>
        <v>4</v>
      </c>
      <c r="P11" s="35"/>
      <c r="Q11" s="45" t="s">
        <v>55</v>
      </c>
      <c r="R11" s="45" t="s">
        <v>58</v>
      </c>
      <c r="S11" s="45" t="s">
        <v>51</v>
      </c>
      <c r="T11" s="35">
        <f>'League Scoreboard'!E32</f>
        <v>128</v>
      </c>
      <c r="U11" s="35">
        <f>'League Scoreboard'!E30</f>
        <v>88</v>
      </c>
      <c r="V11" s="35">
        <f>T11-U11</f>
        <v>40</v>
      </c>
      <c r="W11" s="35"/>
      <c r="X11" s="40"/>
      <c r="Y11" s="35"/>
      <c r="Z11" s="35"/>
      <c r="AA11" s="35"/>
    </row>
    <row r="12">
      <c r="A12" s="40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40"/>
      <c r="Y12" s="35"/>
      <c r="Z12" s="35"/>
      <c r="AA12" s="35"/>
    </row>
    <row r="13">
      <c r="A13" s="40"/>
      <c r="B13" s="35"/>
      <c r="C13" s="45" t="s">
        <v>59</v>
      </c>
      <c r="D13" s="45" t="s">
        <v>60</v>
      </c>
      <c r="E13" s="45" t="s">
        <v>53</v>
      </c>
      <c r="F13" s="35">
        <f>'League Scoreboard'!E36</f>
        <v>130</v>
      </c>
      <c r="G13" s="35">
        <f>'League Scoreboard'!E38</f>
        <v>138</v>
      </c>
      <c r="H13" s="35">
        <f>F13-G13</f>
        <v>-8</v>
      </c>
      <c r="I13" s="35"/>
      <c r="J13" s="45" t="s">
        <v>59</v>
      </c>
      <c r="K13" s="45" t="s">
        <v>61</v>
      </c>
      <c r="L13" s="45" t="s">
        <v>53</v>
      </c>
      <c r="M13" s="35">
        <f>'League Scoreboard'!E40</f>
        <v>150</v>
      </c>
      <c r="N13" s="35">
        <f>'League Scoreboard'!E42</f>
        <v>144</v>
      </c>
      <c r="O13" s="35">
        <f>M13-N13</f>
        <v>6</v>
      </c>
      <c r="P13" s="35"/>
      <c r="Q13" s="45" t="s">
        <v>59</v>
      </c>
      <c r="R13" s="45" t="s">
        <v>50</v>
      </c>
      <c r="S13" s="45" t="s">
        <v>51</v>
      </c>
      <c r="T13" s="35">
        <f>'League Scoreboard'!E46</f>
        <v>10</v>
      </c>
      <c r="U13" s="35">
        <f>'League Scoreboard'!E44</f>
        <v>214</v>
      </c>
      <c r="V13" s="35">
        <f>T13-U13</f>
        <v>-204</v>
      </c>
      <c r="W13" s="35"/>
      <c r="X13" s="40"/>
      <c r="Y13" s="35"/>
      <c r="Z13" s="35"/>
      <c r="AA13" s="35"/>
    </row>
    <row r="14">
      <c r="A14" s="40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40"/>
      <c r="Y14" s="35"/>
      <c r="Z14" s="35"/>
      <c r="AA14" s="35"/>
    </row>
    <row r="15">
      <c r="A15" s="40"/>
      <c r="B15" s="35"/>
      <c r="C15" s="45" t="s">
        <v>62</v>
      </c>
      <c r="D15" s="45" t="s">
        <v>63</v>
      </c>
      <c r="E15" s="45" t="s">
        <v>53</v>
      </c>
      <c r="F15" s="35">
        <f>'League Scoreboard'!E50</f>
        <v>36</v>
      </c>
      <c r="G15" s="35">
        <f>'League Scoreboard'!E52</f>
        <v>218</v>
      </c>
      <c r="H15" s="35">
        <f>F15-G15</f>
        <v>-182</v>
      </c>
      <c r="I15" s="35"/>
      <c r="J15" s="45" t="s">
        <v>62</v>
      </c>
      <c r="K15" s="45" t="s">
        <v>64</v>
      </c>
      <c r="L15" s="45" t="s">
        <v>51</v>
      </c>
      <c r="M15" s="35">
        <f>'League Scoreboard'!E56</f>
        <v>56</v>
      </c>
      <c r="N15" s="35">
        <f>'League Scoreboard'!E54</f>
        <v>186</v>
      </c>
      <c r="O15" s="35">
        <f>M15-N15</f>
        <v>-130</v>
      </c>
      <c r="P15" s="35"/>
      <c r="Q15" s="45" t="s">
        <v>62</v>
      </c>
      <c r="R15" s="45" t="s">
        <v>65</v>
      </c>
      <c r="S15" s="45" t="s">
        <v>51</v>
      </c>
      <c r="T15" s="35">
        <f>'League Scoreboard'!E60</f>
        <v>60</v>
      </c>
      <c r="U15" s="35">
        <f>'League Scoreboard'!E58</f>
        <v>134</v>
      </c>
      <c r="V15" s="35">
        <f>T15-U15</f>
        <v>-74</v>
      </c>
      <c r="W15" s="35"/>
      <c r="X15" s="40"/>
      <c r="Y15" s="35"/>
      <c r="Z15" s="35"/>
      <c r="AA15" s="35"/>
    </row>
    <row r="16">
      <c r="A16" s="40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40"/>
      <c r="Y16" s="35"/>
      <c r="Z16" s="35"/>
      <c r="AA16" s="35"/>
    </row>
    <row r="17">
      <c r="A17" s="40"/>
      <c r="B17" s="35"/>
      <c r="C17" s="45" t="s">
        <v>66</v>
      </c>
      <c r="D17" s="45" t="s">
        <v>54</v>
      </c>
      <c r="E17" s="45" t="s">
        <v>51</v>
      </c>
      <c r="F17" s="35">
        <f>'League Scoreboard'!E66</f>
        <v>78</v>
      </c>
      <c r="G17" s="35">
        <f>'League Scoreboard'!E64</f>
        <v>148</v>
      </c>
      <c r="H17" s="35">
        <f>F17-G17</f>
        <v>-70</v>
      </c>
      <c r="I17" s="35"/>
      <c r="J17" s="45" t="s">
        <v>66</v>
      </c>
      <c r="K17" s="45" t="s">
        <v>67</v>
      </c>
      <c r="L17" s="45" t="s">
        <v>51</v>
      </c>
      <c r="M17" s="35">
        <f>'League Scoreboard'!E70</f>
        <v>158</v>
      </c>
      <c r="N17" s="35">
        <f>'League Scoreboard'!E68</f>
        <v>84</v>
      </c>
      <c r="O17" s="35">
        <f>M17-N17</f>
        <v>74</v>
      </c>
      <c r="P17" s="35"/>
      <c r="Q17" s="45" t="s">
        <v>66</v>
      </c>
      <c r="R17" s="45" t="s">
        <v>64</v>
      </c>
      <c r="S17" s="45" t="s">
        <v>53</v>
      </c>
      <c r="T17" s="35">
        <f>'League Scoreboard'!E72</f>
        <v>18</v>
      </c>
      <c r="U17" s="35">
        <f>'League Scoreboard'!E74</f>
        <v>152</v>
      </c>
      <c r="V17" s="35">
        <f>T17-U17</f>
        <v>-134</v>
      </c>
      <c r="W17" s="35"/>
      <c r="X17" s="40"/>
      <c r="Y17" s="35"/>
      <c r="Z17" s="35"/>
      <c r="AA17" s="35"/>
    </row>
    <row r="18">
      <c r="A18" s="40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40"/>
      <c r="Y18" s="35"/>
      <c r="Z18" s="35"/>
      <c r="AA18" s="35"/>
    </row>
    <row r="19">
      <c r="A19" s="40"/>
      <c r="B19" s="35"/>
      <c r="C19" s="45" t="s">
        <v>68</v>
      </c>
      <c r="D19" s="45" t="s">
        <v>69</v>
      </c>
      <c r="E19" s="45" t="s">
        <v>51</v>
      </c>
      <c r="F19" s="35">
        <f>'League Scoreboard'!E80</f>
        <v>126</v>
      </c>
      <c r="G19" s="35">
        <f>'League Scoreboard'!E78</f>
        <v>-4</v>
      </c>
      <c r="H19" s="35">
        <f>F19-G19</f>
        <v>130</v>
      </c>
      <c r="I19" s="35"/>
      <c r="J19" s="45" t="s">
        <v>68</v>
      </c>
      <c r="K19" s="45" t="s">
        <v>54</v>
      </c>
      <c r="L19" s="45" t="s">
        <v>51</v>
      </c>
      <c r="M19" s="35">
        <f>'League Scoreboard'!E84</f>
        <v>88</v>
      </c>
      <c r="N19" s="35">
        <f>'League Scoreboard'!E82</f>
        <v>152</v>
      </c>
      <c r="O19" s="35">
        <f>M19-N19</f>
        <v>-64</v>
      </c>
      <c r="P19" s="35"/>
      <c r="Q19" s="45" t="s">
        <v>68</v>
      </c>
      <c r="R19" s="45" t="s">
        <v>57</v>
      </c>
      <c r="S19" s="45" t="s">
        <v>53</v>
      </c>
      <c r="T19" s="35">
        <f>'League Scoreboard'!E86</f>
        <v>8</v>
      </c>
      <c r="U19" s="35">
        <f>'League Scoreboard'!E88</f>
        <v>200</v>
      </c>
      <c r="V19" s="35">
        <f>T19-U19</f>
        <v>-192</v>
      </c>
      <c r="W19" s="35"/>
      <c r="X19" s="40"/>
      <c r="Y19" s="35"/>
      <c r="Z19" s="35"/>
      <c r="AA19" s="35"/>
    </row>
    <row r="20">
      <c r="A20" s="46"/>
      <c r="B20" s="47"/>
      <c r="C20" s="47"/>
      <c r="D20" s="47"/>
      <c r="E20" s="47"/>
      <c r="F20" s="47">
        <f>countif(H9:H19, "&gt;0")</f>
        <v>1</v>
      </c>
      <c r="G20" s="47">
        <f>countif(H9:H19, "&lt;0")</f>
        <v>5</v>
      </c>
      <c r="H20" s="47">
        <f>countif(H9:H19, "=0")</f>
        <v>0</v>
      </c>
      <c r="I20" s="47"/>
      <c r="J20" s="47"/>
      <c r="K20" s="47"/>
      <c r="L20" s="47"/>
      <c r="M20" s="48">
        <f>countif(O9:O19, "&gt;0")</f>
        <v>4</v>
      </c>
      <c r="N20" s="48">
        <f>countif(O9:O19, "&lt;0")</f>
        <v>2</v>
      </c>
      <c r="O20" s="48">
        <f>countif(O9:O19, "=0")</f>
        <v>0</v>
      </c>
      <c r="P20" s="47"/>
      <c r="Q20" s="47"/>
      <c r="R20" s="47"/>
      <c r="S20" s="47"/>
      <c r="T20" s="48">
        <f>countif(V9:V19, "&gt;0")</f>
        <v>1</v>
      </c>
      <c r="U20" s="48">
        <f>countif(V9:V19, "&lt;0")</f>
        <v>5</v>
      </c>
      <c r="V20" s="48">
        <f>countif(V9:V19, "=0")</f>
        <v>0</v>
      </c>
      <c r="W20" s="47"/>
      <c r="X20" s="46"/>
      <c r="Y20" s="47"/>
      <c r="Z20" s="47"/>
      <c r="AA20" s="47"/>
    </row>
    <row r="21">
      <c r="A21" s="40"/>
      <c r="B21" s="35"/>
      <c r="C21" s="45" t="s">
        <v>70</v>
      </c>
      <c r="D21" s="35"/>
      <c r="E21" s="35">
        <f>3*countifs(H9:H19, "&gt;0")+countifs(H9:H19, "=0")</f>
        <v>3</v>
      </c>
      <c r="F21" s="35">
        <f t="shared" ref="F21:H21" si="1">sum(F9:F19)</f>
        <v>524</v>
      </c>
      <c r="G21" s="35">
        <f t="shared" si="1"/>
        <v>858</v>
      </c>
      <c r="H21" s="35">
        <f t="shared" si="1"/>
        <v>-334</v>
      </c>
      <c r="I21" s="35"/>
      <c r="J21" s="45" t="s">
        <v>70</v>
      </c>
      <c r="K21" s="35"/>
      <c r="L21" s="35">
        <f>3*countifs(O9:O19, "&gt;0")+countifs(O9:O19, "=0")</f>
        <v>12</v>
      </c>
      <c r="M21" s="49">
        <f t="shared" ref="M21:O21" si="2">sum(M9:M19)</f>
        <v>698</v>
      </c>
      <c r="N21" s="49">
        <f t="shared" si="2"/>
        <v>758</v>
      </c>
      <c r="O21" s="49">
        <f t="shared" si="2"/>
        <v>-60</v>
      </c>
      <c r="P21" s="35"/>
      <c r="Q21" s="45" t="s">
        <v>70</v>
      </c>
      <c r="R21" s="35"/>
      <c r="S21" s="35">
        <f>3*countifs(V9:V19, "&gt;0")+countifs(V9:V19, "=0")</f>
        <v>3</v>
      </c>
      <c r="T21" s="49">
        <f t="shared" ref="T21:V21" si="3">sum(T9:T19)</f>
        <v>228</v>
      </c>
      <c r="U21" s="49">
        <f t="shared" si="3"/>
        <v>1044</v>
      </c>
      <c r="V21" s="49">
        <f t="shared" si="3"/>
        <v>-816</v>
      </c>
      <c r="W21" s="35"/>
      <c r="X21" s="40"/>
      <c r="Y21" s="35"/>
      <c r="Z21" s="35"/>
      <c r="AA21" s="35"/>
    </row>
    <row r="22">
      <c r="A22" s="40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8"/>
      <c r="N22" s="8"/>
      <c r="O22" s="27"/>
      <c r="P22" s="35"/>
      <c r="Q22" s="35"/>
      <c r="R22" s="35"/>
      <c r="S22" s="35"/>
      <c r="T22" s="8"/>
      <c r="U22" s="8"/>
      <c r="V22" s="27"/>
      <c r="W22" s="35"/>
      <c r="X22" s="40"/>
      <c r="Y22" s="35"/>
      <c r="Z22" s="35"/>
      <c r="AA22" s="35"/>
    </row>
    <row r="23">
      <c r="A23" s="40"/>
      <c r="B23" s="35"/>
      <c r="C23" s="45" t="s">
        <v>71</v>
      </c>
      <c r="D23" s="45" t="s">
        <v>72</v>
      </c>
      <c r="E23" s="35"/>
      <c r="F23" s="35"/>
      <c r="G23" s="35"/>
      <c r="H23" s="35">
        <f>F23-G23</f>
        <v>0</v>
      </c>
      <c r="I23" s="35"/>
      <c r="J23" s="45" t="s">
        <v>71</v>
      </c>
      <c r="K23" s="45" t="s">
        <v>57</v>
      </c>
      <c r="L23" s="35"/>
      <c r="M23" s="8">
        <f>'Playoff Scoring'!E17</f>
        <v>94</v>
      </c>
      <c r="N23" s="8">
        <f>'Playoff Scoring'!D18</f>
        <v>108</v>
      </c>
      <c r="O23" s="49">
        <f>M23-N23</f>
        <v>-14</v>
      </c>
      <c r="P23" s="35"/>
      <c r="Q23" s="45" t="s">
        <v>71</v>
      </c>
      <c r="R23" s="45" t="s">
        <v>69</v>
      </c>
      <c r="S23" s="35"/>
      <c r="T23" s="8">
        <f>'Playoff Scoring'!L27</f>
        <v>40</v>
      </c>
      <c r="U23" s="8">
        <f>'Playoff Scoring'!M26</f>
        <v>26</v>
      </c>
      <c r="V23" s="49">
        <f>T23-U23</f>
        <v>14</v>
      </c>
      <c r="W23" s="35"/>
      <c r="X23" s="40"/>
      <c r="Y23" s="35"/>
      <c r="Z23" s="35"/>
      <c r="AA23" s="35"/>
    </row>
    <row r="24">
      <c r="A24" s="40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8"/>
      <c r="N24" s="8"/>
      <c r="O24" s="27"/>
      <c r="P24" s="35"/>
      <c r="Q24" s="35"/>
      <c r="R24" s="35"/>
      <c r="S24" s="35"/>
      <c r="T24" s="8"/>
      <c r="U24" s="8"/>
      <c r="V24" s="27"/>
      <c r="W24" s="35"/>
      <c r="X24" s="40"/>
      <c r="Y24" s="35"/>
      <c r="Z24" s="35"/>
      <c r="AA24" s="35"/>
    </row>
    <row r="25">
      <c r="A25" s="40"/>
      <c r="B25" s="35"/>
      <c r="C25" s="45" t="s">
        <v>73</v>
      </c>
      <c r="D25" s="45" t="s">
        <v>74</v>
      </c>
      <c r="E25" s="35"/>
      <c r="F25" s="35">
        <f>'Playoff Scoring'!E30</f>
        <v>102</v>
      </c>
      <c r="G25" s="35">
        <f>'Playoff Scoring'!H27</f>
        <v>36</v>
      </c>
      <c r="H25" s="35">
        <f>F25-G25</f>
        <v>66</v>
      </c>
      <c r="I25" s="35"/>
      <c r="J25" s="45" t="s">
        <v>73</v>
      </c>
      <c r="K25" s="45" t="s">
        <v>75</v>
      </c>
      <c r="L25" s="35"/>
      <c r="M25" s="8">
        <f>'Playoff Scoring'!G17</f>
        <v>58</v>
      </c>
      <c r="N25" s="8">
        <f>'Playoff Scoring'!D20</f>
        <v>130</v>
      </c>
      <c r="O25" s="49">
        <f>M25-N25</f>
        <v>-72</v>
      </c>
      <c r="P25" s="35"/>
      <c r="Q25" s="45" t="s">
        <v>73</v>
      </c>
      <c r="R25" s="45" t="s">
        <v>52</v>
      </c>
      <c r="S25" s="35"/>
      <c r="T25" s="8">
        <f>'Playoff Scoring'!P27</f>
        <v>36</v>
      </c>
      <c r="U25" s="8">
        <f>'Playoff Scoring'!M30</f>
        <v>64</v>
      </c>
      <c r="V25" s="49">
        <f>T25-U25</f>
        <v>-28</v>
      </c>
      <c r="W25" s="35"/>
      <c r="X25" s="40"/>
      <c r="Y25" s="35"/>
      <c r="Z25" s="35"/>
      <c r="AA25" s="35"/>
    </row>
    <row r="26">
      <c r="A26" s="40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8"/>
      <c r="N26" s="8"/>
      <c r="O26" s="27"/>
      <c r="P26" s="35"/>
      <c r="Q26" s="35"/>
      <c r="R26" s="35"/>
      <c r="S26" s="35"/>
      <c r="T26" s="8"/>
      <c r="U26" s="8"/>
      <c r="V26" s="27"/>
      <c r="W26" s="35"/>
      <c r="X26" s="40"/>
      <c r="Y26" s="35"/>
      <c r="Z26" s="35"/>
      <c r="AA26" s="35"/>
    </row>
    <row r="27">
      <c r="A27" s="40"/>
      <c r="B27" s="35"/>
      <c r="C27" s="45" t="s">
        <v>76</v>
      </c>
      <c r="D27" s="45" t="s">
        <v>65</v>
      </c>
      <c r="E27" s="35"/>
      <c r="F27" s="35">
        <f>'Playoff Scoring'!G30</f>
        <v>50</v>
      </c>
      <c r="G27" s="35">
        <f>'Playoff Scoring'!H29</f>
        <v>130</v>
      </c>
      <c r="H27" s="35">
        <f>F27-G27</f>
        <v>-80</v>
      </c>
      <c r="I27" s="35"/>
      <c r="J27" s="45" t="s">
        <v>76</v>
      </c>
      <c r="K27" s="45" t="s">
        <v>56</v>
      </c>
      <c r="L27" s="35"/>
      <c r="M27" s="8">
        <f>'Playoff Scoring'!F17</f>
        <v>58</v>
      </c>
      <c r="N27" s="8">
        <f>'Playoff Scoring'!D19</f>
        <v>78</v>
      </c>
      <c r="O27" s="49">
        <f>M27-N27</f>
        <v>-20</v>
      </c>
      <c r="P27" s="35"/>
      <c r="Q27" s="45" t="s">
        <v>76</v>
      </c>
      <c r="R27" s="45" t="s">
        <v>72</v>
      </c>
      <c r="S27" s="35"/>
      <c r="T27" s="8"/>
      <c r="U27" s="8"/>
      <c r="V27" s="49">
        <f>T27-U27</f>
        <v>0</v>
      </c>
      <c r="W27" s="35"/>
      <c r="X27" s="40"/>
      <c r="Y27" s="35"/>
      <c r="Z27" s="35"/>
      <c r="AA27" s="35"/>
    </row>
    <row r="28">
      <c r="A28" s="40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8"/>
      <c r="N28" s="8"/>
      <c r="O28" s="27"/>
      <c r="P28" s="35"/>
      <c r="Q28" s="35"/>
      <c r="R28" s="35"/>
      <c r="S28" s="35"/>
      <c r="T28" s="8"/>
      <c r="U28" s="8"/>
      <c r="V28" s="27"/>
      <c r="W28" s="35"/>
      <c r="X28" s="40"/>
      <c r="Y28" s="35"/>
      <c r="Z28" s="35"/>
      <c r="AA28" s="35"/>
    </row>
    <row r="29">
      <c r="A29" s="40"/>
      <c r="B29" s="35"/>
      <c r="C29" s="45" t="s">
        <v>77</v>
      </c>
      <c r="D29" s="45" t="s">
        <v>78</v>
      </c>
      <c r="E29" s="35"/>
      <c r="F29" s="35">
        <f>'Playoff Scoring'!F30</f>
        <v>72</v>
      </c>
      <c r="G29" s="35">
        <f>'Playoff Scoring'!H28</f>
        <v>42</v>
      </c>
      <c r="H29" s="35">
        <f>F29-G29</f>
        <v>30</v>
      </c>
      <c r="I29" s="35"/>
      <c r="J29" s="45" t="s">
        <v>77</v>
      </c>
      <c r="K29" s="45" t="s">
        <v>72</v>
      </c>
      <c r="L29" s="35"/>
      <c r="M29" s="8"/>
      <c r="N29" s="8"/>
      <c r="O29" s="49">
        <f>M29-N29</f>
        <v>0</v>
      </c>
      <c r="P29" s="35"/>
      <c r="Q29" s="45" t="s">
        <v>77</v>
      </c>
      <c r="R29" s="45" t="s">
        <v>79</v>
      </c>
      <c r="S29" s="35"/>
      <c r="T29" s="8">
        <f>'Playoff Scoring'!O27</f>
        <v>16</v>
      </c>
      <c r="U29" s="8">
        <f>'Playoff Scoring'!M29</f>
        <v>0</v>
      </c>
      <c r="V29" s="49">
        <f>T29-U29</f>
        <v>16</v>
      </c>
      <c r="W29" s="35"/>
      <c r="X29" s="40"/>
      <c r="Y29" s="35"/>
      <c r="Z29" s="35"/>
      <c r="AA29" s="35"/>
    </row>
    <row r="30">
      <c r="A30" s="40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8"/>
      <c r="N30" s="8"/>
      <c r="O30" s="27"/>
      <c r="P30" s="35"/>
      <c r="Q30" s="35"/>
      <c r="R30" s="35"/>
      <c r="S30" s="35"/>
      <c r="T30" s="8"/>
      <c r="U30" s="8"/>
      <c r="V30" s="27"/>
      <c r="W30" s="35"/>
      <c r="X30" s="40"/>
      <c r="Y30" s="35"/>
      <c r="Z30" s="35"/>
      <c r="AA30" s="35"/>
    </row>
    <row r="31">
      <c r="A31" s="40"/>
      <c r="B31" s="35"/>
      <c r="C31" s="45" t="s">
        <v>80</v>
      </c>
      <c r="D31" s="45" t="s">
        <v>58</v>
      </c>
      <c r="E31" s="35"/>
      <c r="F31" s="35">
        <f>'Playoff Scoring'!D30</f>
        <v>42</v>
      </c>
      <c r="G31" s="35">
        <f>'Playoff Scoring'!H26</f>
        <v>58</v>
      </c>
      <c r="H31" s="35">
        <f>F31-G31</f>
        <v>-16</v>
      </c>
      <c r="I31" s="35"/>
      <c r="J31" s="45" t="s">
        <v>80</v>
      </c>
      <c r="K31" s="45" t="s">
        <v>81</v>
      </c>
      <c r="L31" s="35"/>
      <c r="M31" s="8">
        <f>'Playoff Scoring'!H17</f>
        <v>88</v>
      </c>
      <c r="N31" s="8">
        <f>'Playoff Scoring'!D21</f>
        <v>100</v>
      </c>
      <c r="O31" s="49">
        <f>M31-N31</f>
        <v>-12</v>
      </c>
      <c r="P31" s="35"/>
      <c r="Q31" s="45" t="s">
        <v>80</v>
      </c>
      <c r="R31" s="45" t="s">
        <v>82</v>
      </c>
      <c r="S31" s="35"/>
      <c r="T31" s="8">
        <f>'Playoff Scoring'!N27</f>
        <v>52</v>
      </c>
      <c r="U31" s="8">
        <f>'Playoff Scoring'!M28</f>
        <v>14</v>
      </c>
      <c r="V31" s="49">
        <f>T31-U31</f>
        <v>38</v>
      </c>
      <c r="W31" s="35"/>
      <c r="X31" s="40"/>
      <c r="Y31" s="35"/>
      <c r="Z31" s="35"/>
      <c r="AA31" s="35"/>
    </row>
    <row r="32">
      <c r="A32" s="40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8"/>
      <c r="N32" s="8"/>
      <c r="O32" s="27"/>
      <c r="P32" s="35"/>
      <c r="Q32" s="35"/>
      <c r="R32" s="35"/>
      <c r="S32" s="35"/>
      <c r="T32" s="8"/>
      <c r="U32" s="8"/>
      <c r="V32" s="27"/>
      <c r="W32" s="35"/>
      <c r="X32" s="40"/>
      <c r="Y32" s="35"/>
      <c r="Z32" s="35"/>
      <c r="AA32" s="35"/>
    </row>
    <row r="33">
      <c r="A33" s="40"/>
      <c r="B33" s="35"/>
      <c r="C33" s="45" t="s">
        <v>83</v>
      </c>
      <c r="D33" s="35"/>
      <c r="E33" s="35">
        <f>2*countifs(H23:H31, "&gt;0")+countifs(H23:H31, "=0")</f>
        <v>5</v>
      </c>
      <c r="F33" s="35">
        <f t="shared" ref="F33:H33" si="4">sum(F23:F31)</f>
        <v>266</v>
      </c>
      <c r="G33" s="35">
        <f t="shared" si="4"/>
        <v>266</v>
      </c>
      <c r="H33" s="35">
        <f t="shared" si="4"/>
        <v>0</v>
      </c>
      <c r="I33" s="35"/>
      <c r="J33" s="45" t="s">
        <v>83</v>
      </c>
      <c r="K33" s="35"/>
      <c r="L33" s="35">
        <f>2*countifs(O23:O31, "&gt;0")+countifs(O23:O31, "=0")</f>
        <v>1</v>
      </c>
      <c r="M33" s="49">
        <f t="shared" ref="M33:O33" si="5">sum(M23:M31)</f>
        <v>298</v>
      </c>
      <c r="N33" s="49">
        <f t="shared" si="5"/>
        <v>416</v>
      </c>
      <c r="O33" s="49">
        <f t="shared" si="5"/>
        <v>-118</v>
      </c>
      <c r="P33" s="35"/>
      <c r="Q33" s="45" t="s">
        <v>83</v>
      </c>
      <c r="R33" s="35"/>
      <c r="S33" s="35">
        <f>2*countifs(V23:V31, "&gt;0")+countifs(V23:V31, "=0")</f>
        <v>7</v>
      </c>
      <c r="T33" s="49">
        <f t="shared" ref="T33:V33" si="6">sum(T23:T31)</f>
        <v>144</v>
      </c>
      <c r="U33" s="49">
        <f t="shared" si="6"/>
        <v>104</v>
      </c>
      <c r="V33" s="49">
        <f t="shared" si="6"/>
        <v>40</v>
      </c>
      <c r="W33" s="35"/>
      <c r="X33" s="40"/>
      <c r="Y33" s="35"/>
      <c r="Z33" s="35"/>
      <c r="AA33" s="35"/>
    </row>
    <row r="34">
      <c r="A34" s="46"/>
      <c r="B34" s="47"/>
      <c r="C34" s="50"/>
      <c r="D34" s="47"/>
      <c r="E34" s="47"/>
      <c r="F34" s="47">
        <f>COUNTIF(H9:H19, "&gt;0")+countif(H23:H31, "&gt;0")</f>
        <v>3</v>
      </c>
      <c r="G34" s="47">
        <f>COUNTIF(H9:H19, "&lt;0")+countif(H23:H31, "&lt;0")</f>
        <v>7</v>
      </c>
      <c r="H34" s="47">
        <f>COUNTIF(H9:H19, "=0")+countif(H23:H31, "=0")</f>
        <v>1</v>
      </c>
      <c r="I34" s="47"/>
      <c r="J34" s="50"/>
      <c r="K34" s="47"/>
      <c r="L34" s="47"/>
      <c r="M34" s="48">
        <f>COUNTIF(O9:O19, "&gt;0")+countif(O23:O31, "&gt;0")</f>
        <v>4</v>
      </c>
      <c r="N34" s="48">
        <f>COUNTIF(O9:O19, "&lt;0")+countif(O23:O31, "&lt;0")</f>
        <v>6</v>
      </c>
      <c r="O34" s="48">
        <f>COUNTIF(O9:O19, "=0")+countif(O23:O31, "=0")</f>
        <v>1</v>
      </c>
      <c r="P34" s="47"/>
      <c r="Q34" s="50"/>
      <c r="R34" s="47"/>
      <c r="S34" s="47"/>
      <c r="T34" s="48">
        <f>COUNTIF(V9:V19, "&gt;0")+countif(V23:V31, "&gt;0")</f>
        <v>4</v>
      </c>
      <c r="U34" s="48">
        <f>COUNTIF(V9:V19, "&lt;0")+countif(V23:V31, "&lt;0")</f>
        <v>6</v>
      </c>
      <c r="V34" s="48">
        <f>COUNTIF(V9:V19, "=0")+countif(V23:V31, "=0")</f>
        <v>1</v>
      </c>
      <c r="W34" s="47"/>
      <c r="X34" s="46"/>
      <c r="Y34" s="47"/>
      <c r="Z34" s="47"/>
      <c r="AA34" s="47"/>
    </row>
    <row r="35">
      <c r="A35" s="40"/>
      <c r="B35" s="35"/>
      <c r="C35" s="45" t="s">
        <v>84</v>
      </c>
      <c r="D35" s="35"/>
      <c r="E35" s="35">
        <f t="shared" ref="E35:H35" si="7">sum(E21,E33)</f>
        <v>8</v>
      </c>
      <c r="F35" s="35">
        <f t="shared" si="7"/>
        <v>790</v>
      </c>
      <c r="G35" s="35">
        <f t="shared" si="7"/>
        <v>1124</v>
      </c>
      <c r="H35" s="35">
        <f t="shared" si="7"/>
        <v>-334</v>
      </c>
      <c r="I35" s="35"/>
      <c r="J35" s="45" t="s">
        <v>84</v>
      </c>
      <c r="K35" s="35"/>
      <c r="L35" s="35">
        <f t="shared" ref="L35:O35" si="8">sum(L21,L33)</f>
        <v>13</v>
      </c>
      <c r="M35" s="35">
        <f t="shared" si="8"/>
        <v>996</v>
      </c>
      <c r="N35" s="35">
        <f t="shared" si="8"/>
        <v>1174</v>
      </c>
      <c r="O35" s="35">
        <f t="shared" si="8"/>
        <v>-178</v>
      </c>
      <c r="P35" s="35"/>
      <c r="Q35" s="45" t="s">
        <v>84</v>
      </c>
      <c r="R35" s="35"/>
      <c r="S35" s="35">
        <f t="shared" ref="S35:V35" si="9">sum(S21,S33)</f>
        <v>10</v>
      </c>
      <c r="T35" s="35">
        <f t="shared" si="9"/>
        <v>372</v>
      </c>
      <c r="U35" s="35">
        <f t="shared" si="9"/>
        <v>1148</v>
      </c>
      <c r="V35" s="35">
        <f t="shared" si="9"/>
        <v>-776</v>
      </c>
      <c r="W35" s="35"/>
      <c r="X35" s="40"/>
      <c r="Y35" s="35"/>
      <c r="Z35" s="35"/>
      <c r="AA35" s="35"/>
    </row>
    <row r="36">
      <c r="A36" s="40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40"/>
      <c r="Y36" s="35"/>
      <c r="Z36" s="35"/>
      <c r="AA36" s="35"/>
    </row>
    <row r="37">
      <c r="A37" s="40"/>
      <c r="B37" s="35"/>
      <c r="C37" s="43" t="s">
        <v>85</v>
      </c>
      <c r="D37" s="44" t="s">
        <v>82</v>
      </c>
      <c r="I37" s="42"/>
      <c r="J37" s="43" t="s">
        <v>86</v>
      </c>
      <c r="K37" s="44" t="s">
        <v>54</v>
      </c>
      <c r="P37" s="42"/>
      <c r="Q37" s="43" t="s">
        <v>87</v>
      </c>
      <c r="R37" s="44" t="s">
        <v>79</v>
      </c>
      <c r="W37" s="35"/>
      <c r="X37" s="40"/>
      <c r="Y37" s="35"/>
      <c r="Z37" s="35"/>
      <c r="AA37" s="35"/>
    </row>
    <row r="38">
      <c r="A38" s="40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40"/>
      <c r="Y38" s="35"/>
      <c r="Z38" s="35"/>
      <c r="AA38" s="35"/>
    </row>
    <row r="39">
      <c r="A39" s="40"/>
      <c r="B39" s="35"/>
      <c r="C39" s="45"/>
      <c r="D39" s="45" t="s">
        <v>45</v>
      </c>
      <c r="E39" s="45"/>
      <c r="F39" s="45" t="s">
        <v>46</v>
      </c>
      <c r="G39" s="45" t="s">
        <v>47</v>
      </c>
      <c r="H39" s="45" t="s">
        <v>48</v>
      </c>
      <c r="I39" s="35"/>
      <c r="J39" s="45"/>
      <c r="K39" s="45" t="s">
        <v>45</v>
      </c>
      <c r="L39" s="45"/>
      <c r="M39" s="45" t="s">
        <v>46</v>
      </c>
      <c r="N39" s="45" t="s">
        <v>47</v>
      </c>
      <c r="O39" s="45" t="s">
        <v>48</v>
      </c>
      <c r="P39" s="35"/>
      <c r="Q39" s="45"/>
      <c r="R39" s="45" t="s">
        <v>45</v>
      </c>
      <c r="S39" s="45"/>
      <c r="T39" s="45" t="s">
        <v>46</v>
      </c>
      <c r="U39" s="45" t="s">
        <v>47</v>
      </c>
      <c r="V39" s="45" t="s">
        <v>48</v>
      </c>
      <c r="W39" s="35"/>
      <c r="X39" s="40"/>
      <c r="Y39" s="35"/>
      <c r="Z39" s="35"/>
      <c r="AA39" s="35"/>
    </row>
    <row r="40">
      <c r="A40" s="40"/>
      <c r="B40" s="35"/>
      <c r="C40" s="45" t="s">
        <v>49</v>
      </c>
      <c r="D40" s="45" t="s">
        <v>60</v>
      </c>
      <c r="E40" s="45" t="s">
        <v>53</v>
      </c>
      <c r="F40" s="45">
        <f>'League Scoreboard'!Q8</f>
        <v>78</v>
      </c>
      <c r="G40" s="35">
        <f>'League Scoreboard'!Q10</f>
        <v>112</v>
      </c>
      <c r="H40" s="35">
        <f>F40-G40</f>
        <v>-34</v>
      </c>
      <c r="I40" s="35"/>
      <c r="J40" s="45" t="s">
        <v>49</v>
      </c>
      <c r="K40" s="45" t="s">
        <v>44</v>
      </c>
      <c r="L40" s="45" t="s">
        <v>51</v>
      </c>
      <c r="M40" s="45">
        <f>'League Scoreboard'!M10</f>
        <v>256</v>
      </c>
      <c r="N40" s="35">
        <f>'League Scoreboard'!M8</f>
        <v>4</v>
      </c>
      <c r="O40" s="35">
        <f>M40-N40</f>
        <v>252</v>
      </c>
      <c r="P40" s="35"/>
      <c r="Q40" s="45" t="s">
        <v>49</v>
      </c>
      <c r="R40" s="45" t="s">
        <v>81</v>
      </c>
      <c r="S40" s="45" t="s">
        <v>51</v>
      </c>
      <c r="T40" s="45">
        <f>'League Scoreboard'!U8</f>
        <v>28</v>
      </c>
      <c r="U40" s="35">
        <f>'League Scoreboard'!U10</f>
        <v>224</v>
      </c>
      <c r="V40" s="35">
        <f>T40-U40</f>
        <v>-196</v>
      </c>
      <c r="W40" s="35"/>
      <c r="X40" s="40"/>
      <c r="Y40" s="35"/>
      <c r="Z40" s="35"/>
      <c r="AA40" s="35"/>
    </row>
    <row r="41">
      <c r="A41" s="40"/>
      <c r="B41" s="35"/>
      <c r="C41" s="45"/>
      <c r="D41" s="35"/>
      <c r="E41" s="45"/>
      <c r="F41" s="45"/>
      <c r="G41" s="35"/>
      <c r="H41" s="35"/>
      <c r="I41" s="35"/>
      <c r="J41" s="45"/>
      <c r="K41" s="35"/>
      <c r="L41" s="45"/>
      <c r="M41" s="45"/>
      <c r="N41" s="35"/>
      <c r="O41" s="35"/>
      <c r="P41" s="35"/>
      <c r="Q41" s="45"/>
      <c r="R41" s="35"/>
      <c r="S41" s="45"/>
      <c r="T41" s="45"/>
      <c r="U41" s="35"/>
      <c r="V41" s="35"/>
      <c r="W41" s="35"/>
      <c r="X41" s="40"/>
      <c r="Y41" s="35"/>
      <c r="Z41" s="35"/>
      <c r="AA41" s="35"/>
    </row>
    <row r="42">
      <c r="A42" s="40"/>
      <c r="B42" s="35"/>
      <c r="C42" s="45" t="s">
        <v>55</v>
      </c>
      <c r="D42" s="45" t="s">
        <v>88</v>
      </c>
      <c r="E42" s="45" t="s">
        <v>53</v>
      </c>
      <c r="F42" s="35">
        <f>'League Scoreboard'!I22</f>
        <v>28</v>
      </c>
      <c r="G42" s="35">
        <f>'League Scoreboard'!I24</f>
        <v>172</v>
      </c>
      <c r="H42" s="35">
        <f>F42-G42</f>
        <v>-144</v>
      </c>
      <c r="I42" s="35"/>
      <c r="J42" s="45" t="s">
        <v>55</v>
      </c>
      <c r="K42" s="45" t="s">
        <v>78</v>
      </c>
      <c r="L42" s="45" t="s">
        <v>51</v>
      </c>
      <c r="M42" s="35">
        <f>'League Scoreboard'!I28</f>
        <v>126</v>
      </c>
      <c r="N42" s="35">
        <f>'League Scoreboard'!I26</f>
        <v>110</v>
      </c>
      <c r="O42" s="35">
        <f>M42-N42</f>
        <v>16</v>
      </c>
      <c r="P42" s="35"/>
      <c r="Q42" s="45" t="s">
        <v>55</v>
      </c>
      <c r="R42" s="45" t="s">
        <v>89</v>
      </c>
      <c r="S42" s="45" t="s">
        <v>53</v>
      </c>
      <c r="T42" s="35">
        <f>'League Scoreboard'!I30</f>
        <v>28</v>
      </c>
      <c r="U42" s="35">
        <f>'League Scoreboard'!I32</f>
        <v>238</v>
      </c>
      <c r="V42" s="35">
        <f>T42-U42</f>
        <v>-210</v>
      </c>
      <c r="W42" s="35"/>
      <c r="X42" s="40"/>
      <c r="Y42" s="35"/>
      <c r="Z42" s="35"/>
      <c r="AA42" s="35"/>
    </row>
    <row r="43">
      <c r="A43" s="40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40"/>
      <c r="Y43" s="35"/>
      <c r="Z43" s="35"/>
      <c r="AA43" s="35"/>
    </row>
    <row r="44">
      <c r="A44" s="40"/>
      <c r="B44" s="35"/>
      <c r="C44" s="45" t="s">
        <v>59</v>
      </c>
      <c r="D44" s="45" t="s">
        <v>90</v>
      </c>
      <c r="E44" s="45" t="s">
        <v>53</v>
      </c>
      <c r="F44" s="35">
        <f>'League Scoreboard'!I36</f>
        <v>74</v>
      </c>
      <c r="G44" s="35">
        <f>'League Scoreboard'!I38</f>
        <v>130</v>
      </c>
      <c r="H44" s="35">
        <f>F44-G44</f>
        <v>-56</v>
      </c>
      <c r="I44" s="35"/>
      <c r="J44" s="45" t="s">
        <v>59</v>
      </c>
      <c r="K44" s="45" t="s">
        <v>88</v>
      </c>
      <c r="L44" s="45" t="s">
        <v>51</v>
      </c>
      <c r="M44" s="35">
        <f>'League Scoreboard'!I42</f>
        <v>116</v>
      </c>
      <c r="N44" s="35">
        <f>'League Scoreboard'!I40</f>
        <v>154</v>
      </c>
      <c r="O44" s="35">
        <f>M44-N44</f>
        <v>-38</v>
      </c>
      <c r="P44" s="35"/>
      <c r="Q44" s="45" t="s">
        <v>59</v>
      </c>
      <c r="R44" s="45" t="s">
        <v>69</v>
      </c>
      <c r="S44" s="45" t="s">
        <v>53</v>
      </c>
      <c r="T44" s="35">
        <f>'League Scoreboard'!I44</f>
        <v>68</v>
      </c>
      <c r="U44" s="35">
        <f>'League Scoreboard'!I46</f>
        <v>84</v>
      </c>
      <c r="V44" s="35">
        <f>T44-U44</f>
        <v>-16</v>
      </c>
      <c r="W44" s="35"/>
      <c r="X44" s="40"/>
      <c r="Y44" s="35"/>
      <c r="Z44" s="35"/>
      <c r="AA44" s="35"/>
    </row>
    <row r="45">
      <c r="A45" s="40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0"/>
      <c r="Y45" s="35"/>
      <c r="Z45" s="35"/>
      <c r="AA45" s="35"/>
    </row>
    <row r="46">
      <c r="A46" s="40"/>
      <c r="B46" s="35"/>
      <c r="C46" s="45" t="s">
        <v>62</v>
      </c>
      <c r="D46" s="45" t="s">
        <v>91</v>
      </c>
      <c r="E46" s="45" t="s">
        <v>51</v>
      </c>
      <c r="F46" s="35">
        <f>'League Scoreboard'!I52</f>
        <v>32</v>
      </c>
      <c r="G46" s="35">
        <f>'League Scoreboard'!I50</f>
        <v>148</v>
      </c>
      <c r="H46" s="35">
        <f>F46-G46</f>
        <v>-116</v>
      </c>
      <c r="I46" s="35"/>
      <c r="J46" s="45" t="s">
        <v>62</v>
      </c>
      <c r="K46" s="45" t="s">
        <v>92</v>
      </c>
      <c r="L46" s="45" t="s">
        <v>53</v>
      </c>
      <c r="M46" s="35">
        <f>'League Scoreboard'!I54</f>
        <v>140</v>
      </c>
      <c r="N46" s="35">
        <f>'League Scoreboard'!I56</f>
        <v>126</v>
      </c>
      <c r="O46" s="35">
        <f>M46-N46</f>
        <v>14</v>
      </c>
      <c r="P46" s="35"/>
      <c r="Q46" s="45" t="s">
        <v>62</v>
      </c>
      <c r="R46" s="45" t="s">
        <v>93</v>
      </c>
      <c r="S46" s="45" t="s">
        <v>53</v>
      </c>
      <c r="T46" s="35">
        <f>'League Scoreboard'!I58</f>
        <v>26</v>
      </c>
      <c r="U46" s="35">
        <f>'League Scoreboard'!I60</f>
        <v>196</v>
      </c>
      <c r="V46" s="35">
        <f>T46-U46</f>
        <v>-170</v>
      </c>
      <c r="W46" s="35"/>
      <c r="X46" s="40"/>
      <c r="Y46" s="35"/>
      <c r="Z46" s="35"/>
      <c r="AA46" s="35"/>
    </row>
    <row r="47">
      <c r="A47" s="40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0"/>
      <c r="Y47" s="35"/>
      <c r="Z47" s="35"/>
      <c r="AA47" s="35"/>
    </row>
    <row r="48">
      <c r="A48" s="40"/>
      <c r="B48" s="35"/>
      <c r="C48" s="45" t="s">
        <v>66</v>
      </c>
      <c r="D48" s="45" t="s">
        <v>94</v>
      </c>
      <c r="E48" s="45" t="s">
        <v>51</v>
      </c>
      <c r="F48" s="35">
        <f>'League Scoreboard'!I66</f>
        <v>28</v>
      </c>
      <c r="G48" s="35">
        <f>'League Scoreboard'!I64</f>
        <v>162</v>
      </c>
      <c r="H48" s="35">
        <f>F48-G48</f>
        <v>-134</v>
      </c>
      <c r="I48" s="35"/>
      <c r="J48" s="45" t="s">
        <v>66</v>
      </c>
      <c r="K48" s="45" t="s">
        <v>40</v>
      </c>
      <c r="L48" s="45" t="s">
        <v>53</v>
      </c>
      <c r="M48" s="35">
        <f>'League Scoreboard'!E64</f>
        <v>148</v>
      </c>
      <c r="N48" s="35">
        <f>'League Scoreboard'!E66</f>
        <v>78</v>
      </c>
      <c r="O48" s="35">
        <f>M48-N48</f>
        <v>70</v>
      </c>
      <c r="P48" s="35"/>
      <c r="Q48" s="45" t="s">
        <v>66</v>
      </c>
      <c r="R48" s="45" t="s">
        <v>61</v>
      </c>
      <c r="S48" s="45" t="s">
        <v>51</v>
      </c>
      <c r="T48" s="35">
        <f>'League Scoreboard'!I70</f>
        <v>22</v>
      </c>
      <c r="U48" s="35">
        <f>'League Scoreboard'!I68</f>
        <v>162</v>
      </c>
      <c r="V48" s="35">
        <f>T48-U48</f>
        <v>-140</v>
      </c>
      <c r="W48" s="35"/>
      <c r="X48" s="40"/>
      <c r="Y48" s="35"/>
      <c r="Z48" s="35"/>
      <c r="AA48" s="35"/>
    </row>
    <row r="49">
      <c r="A49" s="40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40"/>
      <c r="Y49" s="35"/>
      <c r="Z49" s="35"/>
      <c r="AA49" s="35"/>
    </row>
    <row r="50">
      <c r="A50" s="40"/>
      <c r="B50" s="35"/>
      <c r="C50" s="45" t="s">
        <v>68</v>
      </c>
      <c r="D50" s="45" t="s">
        <v>92</v>
      </c>
      <c r="E50" s="45" t="s">
        <v>51</v>
      </c>
      <c r="F50" s="35">
        <f>'League Scoreboard'!I80</f>
        <v>58</v>
      </c>
      <c r="G50" s="35">
        <f>'League Scoreboard'!I78</f>
        <v>96</v>
      </c>
      <c r="H50" s="35">
        <f>F50-G50</f>
        <v>-38</v>
      </c>
      <c r="I50" s="35"/>
      <c r="J50" s="45" t="s">
        <v>68</v>
      </c>
      <c r="K50" s="45" t="s">
        <v>42</v>
      </c>
      <c r="L50" s="45" t="s">
        <v>53</v>
      </c>
      <c r="M50" s="35">
        <f>'League Scoreboard'!E82</f>
        <v>152</v>
      </c>
      <c r="N50" s="35">
        <f>'League Scoreboard'!E84</f>
        <v>88</v>
      </c>
      <c r="O50" s="35">
        <f>M50-N50</f>
        <v>64</v>
      </c>
      <c r="P50" s="35"/>
      <c r="Q50" s="45" t="s">
        <v>68</v>
      </c>
      <c r="R50" s="45" t="s">
        <v>91</v>
      </c>
      <c r="S50" s="45" t="s">
        <v>51</v>
      </c>
      <c r="T50" s="35">
        <f>'League Scoreboard'!I84</f>
        <v>26</v>
      </c>
      <c r="U50" s="35">
        <f>'League Scoreboard'!I82</f>
        <v>114</v>
      </c>
      <c r="V50" s="35">
        <f>T50-U50</f>
        <v>-88</v>
      </c>
      <c r="W50" s="35"/>
      <c r="X50" s="40"/>
      <c r="Y50" s="35"/>
      <c r="Z50" s="35"/>
      <c r="AA50" s="35"/>
    </row>
    <row r="51">
      <c r="A51" s="46"/>
      <c r="B51" s="47"/>
      <c r="C51" s="47"/>
      <c r="D51" s="47"/>
      <c r="E51" s="47"/>
      <c r="F51" s="48">
        <f>countif(H40:H50, "&gt;0")</f>
        <v>0</v>
      </c>
      <c r="G51" s="48">
        <f>countif(H40:H50, "&lt;0")</f>
        <v>6</v>
      </c>
      <c r="H51" s="48">
        <f>countif(H40:H50, "=0")</f>
        <v>0</v>
      </c>
      <c r="I51" s="47"/>
      <c r="J51" s="47"/>
      <c r="K51" s="47"/>
      <c r="L51" s="47"/>
      <c r="M51" s="48">
        <f>countif(O40:O50, "&gt;0")</f>
        <v>5</v>
      </c>
      <c r="N51" s="48">
        <f>countif(O40:O50, "&lt;0")</f>
        <v>1</v>
      </c>
      <c r="O51" s="48">
        <f>countif(O40:O50, "=0")</f>
        <v>0</v>
      </c>
      <c r="P51" s="47"/>
      <c r="Q51" s="47"/>
      <c r="R51" s="47"/>
      <c r="S51" s="47"/>
      <c r="T51" s="48">
        <f>countif(V40:V50, "&gt;0")</f>
        <v>0</v>
      </c>
      <c r="U51" s="48">
        <f>countif(V40:V50, "&lt;0")</f>
        <v>6</v>
      </c>
      <c r="V51" s="48">
        <f>countif(V40:V50, "=0")</f>
        <v>0</v>
      </c>
      <c r="W51" s="47"/>
      <c r="X51" s="46"/>
      <c r="Y51" s="47"/>
      <c r="Z51" s="47"/>
      <c r="AA51" s="47"/>
    </row>
    <row r="52">
      <c r="A52" s="40"/>
      <c r="B52" s="35"/>
      <c r="C52" s="45" t="s">
        <v>70</v>
      </c>
      <c r="D52" s="35"/>
      <c r="E52" s="35">
        <f>3*countifs(H40:H50, "&gt;0")+countifs(H40:H50, "=0")</f>
        <v>0</v>
      </c>
      <c r="F52" s="49">
        <f t="shared" ref="F52:H52" si="10">sum(F40:F50)</f>
        <v>298</v>
      </c>
      <c r="G52" s="49">
        <f t="shared" si="10"/>
        <v>820</v>
      </c>
      <c r="H52" s="49">
        <f t="shared" si="10"/>
        <v>-522</v>
      </c>
      <c r="I52" s="35"/>
      <c r="J52" s="45" t="s">
        <v>70</v>
      </c>
      <c r="K52" s="35"/>
      <c r="L52" s="35">
        <f>3*countifs(O40:O50, "&gt;0")+countifs(O40:O50, "=0")</f>
        <v>15</v>
      </c>
      <c r="M52" s="49">
        <f t="shared" ref="M52:O52" si="11">sum(M40:M50)</f>
        <v>938</v>
      </c>
      <c r="N52" s="49">
        <f t="shared" si="11"/>
        <v>560</v>
      </c>
      <c r="O52" s="49">
        <f t="shared" si="11"/>
        <v>378</v>
      </c>
      <c r="P52" s="35"/>
      <c r="Q52" s="45" t="s">
        <v>70</v>
      </c>
      <c r="R52" s="35"/>
      <c r="S52" s="35">
        <f>3*countifs(V40:V50, "&gt;0")+countifs(V40:V50, "=0")</f>
        <v>0</v>
      </c>
      <c r="T52" s="49">
        <f t="shared" ref="T52:V52" si="12">sum(T40:T50)</f>
        <v>198</v>
      </c>
      <c r="U52" s="49">
        <f t="shared" si="12"/>
        <v>1018</v>
      </c>
      <c r="V52" s="49">
        <f t="shared" si="12"/>
        <v>-820</v>
      </c>
      <c r="W52" s="35"/>
      <c r="X52" s="40"/>
      <c r="Y52" s="35"/>
      <c r="Z52" s="35"/>
      <c r="AA52" s="35"/>
    </row>
    <row r="53">
      <c r="A53" s="40"/>
      <c r="B53" s="35"/>
      <c r="C53" s="35"/>
      <c r="D53" s="35"/>
      <c r="E53" s="35"/>
      <c r="F53" s="8"/>
      <c r="G53" s="8"/>
      <c r="H53" s="27"/>
      <c r="I53" s="35"/>
      <c r="J53" s="35"/>
      <c r="K53" s="35"/>
      <c r="L53" s="35"/>
      <c r="M53" s="8"/>
      <c r="N53" s="8"/>
      <c r="O53" s="27"/>
      <c r="P53" s="35"/>
      <c r="Q53" s="35"/>
      <c r="R53" s="35"/>
      <c r="S53" s="35"/>
      <c r="T53" s="8"/>
      <c r="U53" s="8"/>
      <c r="V53" s="27"/>
      <c r="W53" s="35"/>
      <c r="X53" s="40"/>
      <c r="Y53" s="35"/>
      <c r="Z53" s="35"/>
      <c r="AA53" s="35"/>
    </row>
    <row r="54">
      <c r="A54" s="40"/>
      <c r="B54" s="35"/>
      <c r="C54" s="45" t="s">
        <v>71</v>
      </c>
      <c r="D54" s="45" t="s">
        <v>79</v>
      </c>
      <c r="E54" s="35"/>
      <c r="F54" s="8">
        <f>'Playoff Scoring'!O28</f>
        <v>68</v>
      </c>
      <c r="G54" s="8">
        <f>'Playoff Scoring'!N29</f>
        <v>8</v>
      </c>
      <c r="H54" s="49">
        <f>F54-G54</f>
        <v>60</v>
      </c>
      <c r="I54" s="35"/>
      <c r="J54" s="45" t="s">
        <v>71</v>
      </c>
      <c r="K54" s="45" t="s">
        <v>64</v>
      </c>
      <c r="L54" s="35"/>
      <c r="M54" s="8">
        <f>'Playoff Scoring'!M8</f>
        <v>18</v>
      </c>
      <c r="N54" s="8">
        <f>'Playoff Scoring'!L9</f>
        <v>116</v>
      </c>
      <c r="O54" s="49">
        <f>M54-N54</f>
        <v>-98</v>
      </c>
      <c r="P54" s="35"/>
      <c r="Q54" s="45" t="s">
        <v>71</v>
      </c>
      <c r="R54" s="45" t="s">
        <v>82</v>
      </c>
      <c r="S54" s="35"/>
      <c r="T54" s="51">
        <v>8.0</v>
      </c>
      <c r="U54" s="51">
        <v>68.0</v>
      </c>
      <c r="V54" s="49">
        <f>T54-U54</f>
        <v>-60</v>
      </c>
      <c r="W54" s="35"/>
      <c r="X54" s="40"/>
      <c r="Y54" s="35"/>
      <c r="Z54" s="35"/>
      <c r="AA54" s="35"/>
    </row>
    <row r="55">
      <c r="A55" s="40"/>
      <c r="B55" s="35"/>
      <c r="C55" s="35"/>
      <c r="D55" s="35"/>
      <c r="E55" s="35"/>
      <c r="F55" s="8"/>
      <c r="G55" s="8"/>
      <c r="H55" s="27"/>
      <c r="I55" s="35"/>
      <c r="J55" s="35"/>
      <c r="K55" s="35"/>
      <c r="L55" s="35"/>
      <c r="M55" s="8"/>
      <c r="N55" s="8"/>
      <c r="O55" s="27"/>
      <c r="P55" s="35"/>
      <c r="Q55" s="35"/>
      <c r="R55" s="35"/>
      <c r="S55" s="35"/>
      <c r="T55" s="8"/>
      <c r="U55" s="8"/>
      <c r="V55" s="27"/>
      <c r="W55" s="35"/>
      <c r="X55" s="40"/>
      <c r="Y55" s="35"/>
      <c r="Z55" s="35"/>
      <c r="AA55" s="35"/>
    </row>
    <row r="56">
      <c r="A56" s="40"/>
      <c r="B56" s="35"/>
      <c r="C56" s="45" t="s">
        <v>73</v>
      </c>
      <c r="D56" s="45" t="s">
        <v>72</v>
      </c>
      <c r="E56" s="35"/>
      <c r="F56" s="8"/>
      <c r="G56" s="8"/>
      <c r="H56" s="49">
        <f>F56-G56</f>
        <v>0</v>
      </c>
      <c r="I56" s="35"/>
      <c r="J56" s="45" t="s">
        <v>73</v>
      </c>
      <c r="K56" s="45" t="s">
        <v>50</v>
      </c>
      <c r="L56" s="35"/>
      <c r="M56" s="8">
        <f>'Playoff Scoring'!O8</f>
        <v>58</v>
      </c>
      <c r="N56" s="8">
        <f>'Playoff Scoring'!L11</f>
        <v>144</v>
      </c>
      <c r="O56" s="49">
        <f>M56-N56</f>
        <v>-86</v>
      </c>
      <c r="P56" s="35"/>
      <c r="Q56" s="45" t="s">
        <v>73</v>
      </c>
      <c r="R56" s="45" t="s">
        <v>69</v>
      </c>
      <c r="S56" s="35"/>
      <c r="T56" s="51">
        <v>0.0</v>
      </c>
      <c r="U56" s="8">
        <f>'Playoff Scoring'!O26</f>
        <v>0</v>
      </c>
      <c r="V56" s="49">
        <f>T56-U56</f>
        <v>0</v>
      </c>
      <c r="W56" s="35"/>
      <c r="X56" s="40"/>
      <c r="Y56" s="35"/>
      <c r="Z56" s="35"/>
      <c r="AA56" s="35"/>
    </row>
    <row r="57">
      <c r="A57" s="40"/>
      <c r="B57" s="35"/>
      <c r="C57" s="35"/>
      <c r="D57" s="35"/>
      <c r="E57" s="35"/>
      <c r="F57" s="8"/>
      <c r="G57" s="8"/>
      <c r="H57" s="27"/>
      <c r="I57" s="35"/>
      <c r="J57" s="35"/>
      <c r="K57" s="35"/>
      <c r="L57" s="35"/>
      <c r="M57" s="8"/>
      <c r="N57" s="8"/>
      <c r="O57" s="27"/>
      <c r="P57" s="35"/>
      <c r="Q57" s="35"/>
      <c r="R57" s="35"/>
      <c r="S57" s="35"/>
      <c r="T57" s="8"/>
      <c r="U57" s="8"/>
      <c r="V57" s="27"/>
      <c r="W57" s="35"/>
      <c r="X57" s="40"/>
      <c r="Y57" s="35"/>
      <c r="Z57" s="35"/>
      <c r="AA57" s="35"/>
    </row>
    <row r="58">
      <c r="A58" s="40"/>
      <c r="B58" s="35"/>
      <c r="C58" s="45" t="s">
        <v>76</v>
      </c>
      <c r="D58" s="45" t="s">
        <v>69</v>
      </c>
      <c r="E58" s="35"/>
      <c r="F58" s="8">
        <f>'Playoff Scoring'!L28</f>
        <v>40</v>
      </c>
      <c r="G58" s="8">
        <f>'Playoff Scoring'!N26</f>
        <v>30</v>
      </c>
      <c r="H58" s="49">
        <f>F58-G58</f>
        <v>10</v>
      </c>
      <c r="I58" s="35"/>
      <c r="J58" s="45" t="s">
        <v>76</v>
      </c>
      <c r="K58" s="45" t="s">
        <v>91</v>
      </c>
      <c r="L58" s="35"/>
      <c r="M58" s="8">
        <f>'Playoff Scoring'!N8</f>
        <v>110</v>
      </c>
      <c r="N58" s="8">
        <f>'Playoff Scoring'!L10</f>
        <v>80</v>
      </c>
      <c r="O58" s="49">
        <f>M58-N58</f>
        <v>30</v>
      </c>
      <c r="P58" s="35"/>
      <c r="Q58" s="45" t="s">
        <v>76</v>
      </c>
      <c r="R58" s="45" t="s">
        <v>52</v>
      </c>
      <c r="S58" s="35"/>
      <c r="T58" s="51">
        <v>0.0</v>
      </c>
      <c r="U58" s="8">
        <f>'Playoff Scoring'!O30</f>
        <v>32</v>
      </c>
      <c r="V58" s="49">
        <f>T58-U58</f>
        <v>-32</v>
      </c>
      <c r="W58" s="35"/>
      <c r="X58" s="40"/>
      <c r="Y58" s="35"/>
      <c r="Z58" s="35"/>
      <c r="AA58" s="35"/>
    </row>
    <row r="59">
      <c r="A59" s="40"/>
      <c r="B59" s="35"/>
      <c r="C59" s="35"/>
      <c r="D59" s="35"/>
      <c r="E59" s="35"/>
      <c r="F59" s="8"/>
      <c r="G59" s="8"/>
      <c r="H59" s="27"/>
      <c r="I59" s="35"/>
      <c r="J59" s="35"/>
      <c r="K59" s="35"/>
      <c r="L59" s="35"/>
      <c r="M59" s="8"/>
      <c r="N59" s="8"/>
      <c r="O59" s="27"/>
      <c r="P59" s="35"/>
      <c r="Q59" s="35"/>
      <c r="R59" s="35"/>
      <c r="S59" s="35"/>
      <c r="T59" s="8"/>
      <c r="U59" s="8"/>
      <c r="V59" s="27"/>
      <c r="W59" s="35"/>
      <c r="X59" s="40"/>
      <c r="Y59" s="35"/>
      <c r="Z59" s="35"/>
      <c r="AA59" s="35"/>
    </row>
    <row r="60">
      <c r="A60" s="40"/>
      <c r="B60" s="35"/>
      <c r="C60" s="45" t="s">
        <v>77</v>
      </c>
      <c r="D60" s="45" t="s">
        <v>52</v>
      </c>
      <c r="E60" s="35"/>
      <c r="F60" s="8">
        <f>'Playoff Scoring'!P28</f>
        <v>48</v>
      </c>
      <c r="G60" s="8">
        <f>'Playoff Scoring'!N30</f>
        <v>18</v>
      </c>
      <c r="H60" s="49">
        <f>F60-G60</f>
        <v>30</v>
      </c>
      <c r="I60" s="35"/>
      <c r="J60" s="45" t="s">
        <v>77</v>
      </c>
      <c r="K60" s="45" t="s">
        <v>72</v>
      </c>
      <c r="L60" s="35"/>
      <c r="M60" s="8"/>
      <c r="N60" s="8"/>
      <c r="O60" s="49">
        <f>M60-N60</f>
        <v>0</v>
      </c>
      <c r="P60" s="35"/>
      <c r="Q60" s="45" t="s">
        <v>77</v>
      </c>
      <c r="R60" s="45" t="s">
        <v>44</v>
      </c>
      <c r="S60" s="35"/>
      <c r="T60" s="51">
        <v>0.0</v>
      </c>
      <c r="U60" s="8">
        <f>'Playoff Scoring'!O27</f>
        <v>16</v>
      </c>
      <c r="V60" s="49">
        <f>T60-U60</f>
        <v>-16</v>
      </c>
      <c r="W60" s="35"/>
      <c r="X60" s="40"/>
      <c r="Y60" s="35"/>
      <c r="Z60" s="35"/>
      <c r="AA60" s="35"/>
    </row>
    <row r="61">
      <c r="A61" s="40"/>
      <c r="B61" s="35"/>
      <c r="C61" s="35"/>
      <c r="D61" s="35"/>
      <c r="E61" s="35"/>
      <c r="F61" s="8"/>
      <c r="G61" s="8"/>
      <c r="H61" s="27"/>
      <c r="I61" s="35"/>
      <c r="J61" s="35"/>
      <c r="K61" s="35"/>
      <c r="L61" s="35"/>
      <c r="M61" s="8"/>
      <c r="N61" s="8"/>
      <c r="O61" s="27"/>
      <c r="P61" s="35"/>
      <c r="Q61" s="35"/>
      <c r="R61" s="35"/>
      <c r="S61" s="35"/>
      <c r="T61" s="8"/>
      <c r="U61" s="8"/>
      <c r="V61" s="27"/>
      <c r="W61" s="35"/>
      <c r="X61" s="40"/>
      <c r="Y61" s="35"/>
      <c r="Z61" s="35"/>
      <c r="AA61" s="35"/>
    </row>
    <row r="62">
      <c r="A62" s="40"/>
      <c r="B62" s="35"/>
      <c r="C62" s="45" t="s">
        <v>80</v>
      </c>
      <c r="D62" s="45" t="s">
        <v>44</v>
      </c>
      <c r="E62" s="35"/>
      <c r="F62" s="8">
        <f>'Playoff Scoring'!M28</f>
        <v>14</v>
      </c>
      <c r="G62" s="8">
        <f>'Playoff Scoring'!N27</f>
        <v>52</v>
      </c>
      <c r="H62" s="49">
        <f>F62-G62</f>
        <v>-38</v>
      </c>
      <c r="I62" s="35"/>
      <c r="J62" s="45" t="s">
        <v>80</v>
      </c>
      <c r="K62" s="45" t="s">
        <v>95</v>
      </c>
      <c r="L62" s="35"/>
      <c r="M62" s="8">
        <f>'Playoff Scoring'!P8</f>
        <v>92</v>
      </c>
      <c r="N62" s="8">
        <f>'Playoff Scoring'!L12</f>
        <v>86</v>
      </c>
      <c r="O62" s="49">
        <f>M62-N62</f>
        <v>6</v>
      </c>
      <c r="P62" s="35"/>
      <c r="Q62" s="45" t="s">
        <v>80</v>
      </c>
      <c r="R62" s="45" t="s">
        <v>72</v>
      </c>
      <c r="S62" s="35"/>
      <c r="T62" s="8"/>
      <c r="U62" s="8"/>
      <c r="V62" s="49">
        <f>T62-U62</f>
        <v>0</v>
      </c>
      <c r="W62" s="35"/>
      <c r="X62" s="40"/>
      <c r="Y62" s="35"/>
      <c r="Z62" s="35"/>
      <c r="AA62" s="35"/>
    </row>
    <row r="63">
      <c r="A63" s="40"/>
      <c r="B63" s="35"/>
      <c r="C63" s="35"/>
      <c r="D63" s="35"/>
      <c r="E63" s="35"/>
      <c r="F63" s="8"/>
      <c r="G63" s="8"/>
      <c r="H63" s="27"/>
      <c r="I63" s="35"/>
      <c r="J63" s="35"/>
      <c r="K63" s="35"/>
      <c r="L63" s="35"/>
      <c r="M63" s="8"/>
      <c r="N63" s="8"/>
      <c r="O63" s="27"/>
      <c r="P63" s="35"/>
      <c r="Q63" s="35"/>
      <c r="R63" s="35"/>
      <c r="S63" s="35"/>
      <c r="T63" s="8"/>
      <c r="U63" s="8"/>
      <c r="V63" s="27"/>
      <c r="W63" s="35"/>
      <c r="X63" s="40"/>
      <c r="Y63" s="35"/>
      <c r="Z63" s="35"/>
      <c r="AA63" s="35"/>
    </row>
    <row r="64">
      <c r="A64" s="40"/>
      <c r="B64" s="35"/>
      <c r="C64" s="45" t="s">
        <v>83</v>
      </c>
      <c r="D64" s="35"/>
      <c r="E64" s="35">
        <f>2*countifs(H54:H62, "&gt;0")+countifs(H54:H62, "=0")</f>
        <v>7</v>
      </c>
      <c r="F64" s="35">
        <f t="shared" ref="F64:H64" si="13">sum(F54:F62)</f>
        <v>170</v>
      </c>
      <c r="G64" s="35">
        <f t="shared" si="13"/>
        <v>108</v>
      </c>
      <c r="H64" s="35">
        <f t="shared" si="13"/>
        <v>62</v>
      </c>
      <c r="I64" s="35"/>
      <c r="J64" s="45" t="s">
        <v>83</v>
      </c>
      <c r="K64" s="35"/>
      <c r="L64" s="35">
        <f>2*countifs(O54:O62, "&gt;0")+countifs(O54:O62, "=0")</f>
        <v>5</v>
      </c>
      <c r="M64" s="49">
        <f t="shared" ref="M64:O64" si="14">sum(M54:M62)</f>
        <v>278</v>
      </c>
      <c r="N64" s="49">
        <f t="shared" si="14"/>
        <v>426</v>
      </c>
      <c r="O64" s="49">
        <f t="shared" si="14"/>
        <v>-148</v>
      </c>
      <c r="P64" s="35"/>
      <c r="Q64" s="45" t="s">
        <v>83</v>
      </c>
      <c r="R64" s="35"/>
      <c r="S64" s="35">
        <f>2*countifs(V54:V62, "&gt;0")+countifs(V54:V62, "=0")</f>
        <v>2</v>
      </c>
      <c r="T64" s="49">
        <f t="shared" ref="T64:V64" si="15">sum(T54:T62)</f>
        <v>8</v>
      </c>
      <c r="U64" s="49">
        <f t="shared" si="15"/>
        <v>116</v>
      </c>
      <c r="V64" s="49">
        <f t="shared" si="15"/>
        <v>-108</v>
      </c>
      <c r="W64" s="35"/>
      <c r="X64" s="40"/>
      <c r="Y64" s="35"/>
      <c r="Z64" s="35"/>
      <c r="AA64" s="35"/>
    </row>
    <row r="65">
      <c r="A65" s="46"/>
      <c r="B65" s="47"/>
      <c r="C65" s="50"/>
      <c r="D65" s="47"/>
      <c r="E65" s="47"/>
      <c r="F65" s="48">
        <f>COUNTIF(H40:H50, "&gt;0")+countif(H54:H62, "&gt;0")</f>
        <v>3</v>
      </c>
      <c r="G65" s="48">
        <f>COUNTIF(H40:H50, "&lt;0")+countif(H54:H62, "&lt;0")</f>
        <v>7</v>
      </c>
      <c r="H65" s="48">
        <f>COUNTIF(H40:H50, "=0")+countif(H54:H62, "=0")</f>
        <v>1</v>
      </c>
      <c r="I65" s="47"/>
      <c r="J65" s="50"/>
      <c r="K65" s="47"/>
      <c r="L65" s="47"/>
      <c r="M65" s="48">
        <f>COUNTIF(O40:O50, "&gt;0")+countif(O54:O62, "&gt;0")</f>
        <v>7</v>
      </c>
      <c r="N65" s="48">
        <f>COUNTIF(O40:O50, "&lt;0")+countif(O54:O62, "&lt;0")</f>
        <v>3</v>
      </c>
      <c r="O65" s="48">
        <f>COUNTIF(O40:O50, "=0")+countif(O54:O62, "=0")</f>
        <v>1</v>
      </c>
      <c r="P65" s="47"/>
      <c r="Q65" s="50"/>
      <c r="R65" s="47"/>
      <c r="S65" s="47"/>
      <c r="T65" s="48">
        <f>COUNTIF(V40:V50, "&gt;0")+countif(V54:V62, "&gt;0")</f>
        <v>0</v>
      </c>
      <c r="U65" s="48">
        <f>COUNTIF(V40:V50, "&lt;0")+countif(V54:V62, "&lt;0")</f>
        <v>9</v>
      </c>
      <c r="V65" s="48">
        <f>COUNTIF(V40:V50, "=0")+countif(V54:V62, "=0")</f>
        <v>2</v>
      </c>
      <c r="W65" s="47"/>
      <c r="X65" s="46"/>
      <c r="Y65" s="47"/>
      <c r="Z65" s="47"/>
      <c r="AA65" s="47"/>
    </row>
    <row r="66">
      <c r="A66" s="40"/>
      <c r="B66" s="35"/>
      <c r="C66" s="45" t="s">
        <v>84</v>
      </c>
      <c r="D66" s="35"/>
      <c r="E66" s="35">
        <f t="shared" ref="E66:H66" si="16">sum(E52,E64)</f>
        <v>7</v>
      </c>
      <c r="F66" s="35">
        <f t="shared" si="16"/>
        <v>468</v>
      </c>
      <c r="G66" s="35">
        <f t="shared" si="16"/>
        <v>928</v>
      </c>
      <c r="H66" s="35">
        <f t="shared" si="16"/>
        <v>-460</v>
      </c>
      <c r="I66" s="35"/>
      <c r="J66" s="45" t="s">
        <v>84</v>
      </c>
      <c r="K66" s="35"/>
      <c r="L66" s="35">
        <f t="shared" ref="L66:O66" si="17">sum(L52,L64)</f>
        <v>20</v>
      </c>
      <c r="M66" s="35">
        <f t="shared" si="17"/>
        <v>1216</v>
      </c>
      <c r="N66" s="35">
        <f t="shared" si="17"/>
        <v>986</v>
      </c>
      <c r="O66" s="35">
        <f t="shared" si="17"/>
        <v>230</v>
      </c>
      <c r="P66" s="35"/>
      <c r="Q66" s="45" t="s">
        <v>84</v>
      </c>
      <c r="R66" s="35"/>
      <c r="S66" s="35">
        <f t="shared" ref="S66:V66" si="18">sum(S52,S64)</f>
        <v>2</v>
      </c>
      <c r="T66" s="35">
        <f t="shared" si="18"/>
        <v>206</v>
      </c>
      <c r="U66" s="35">
        <f t="shared" si="18"/>
        <v>1134</v>
      </c>
      <c r="V66" s="35">
        <f t="shared" si="18"/>
        <v>-928</v>
      </c>
      <c r="W66" s="35"/>
      <c r="X66" s="40"/>
      <c r="Y66" s="35"/>
      <c r="Z66" s="35"/>
      <c r="AA66" s="35"/>
    </row>
    <row r="67">
      <c r="A67" s="40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40"/>
      <c r="Y67" s="35"/>
      <c r="Z67" s="35"/>
      <c r="AA67" s="35"/>
    </row>
    <row r="68">
      <c r="A68" s="40"/>
      <c r="B68" s="35"/>
      <c r="C68" s="43" t="s">
        <v>96</v>
      </c>
      <c r="D68" s="44" t="s">
        <v>74</v>
      </c>
      <c r="I68" s="42"/>
      <c r="J68" s="43" t="s">
        <v>97</v>
      </c>
      <c r="K68" s="44" t="s">
        <v>94</v>
      </c>
      <c r="P68" s="42"/>
      <c r="Q68" s="43" t="s">
        <v>98</v>
      </c>
      <c r="R68" s="52" t="s">
        <v>99</v>
      </c>
      <c r="W68" s="35"/>
      <c r="X68" s="40"/>
      <c r="Y68" s="35"/>
      <c r="Z68" s="35"/>
      <c r="AA68" s="35"/>
    </row>
    <row r="69">
      <c r="A69" s="40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40"/>
      <c r="Y69" s="35"/>
      <c r="Z69" s="35"/>
      <c r="AA69" s="35"/>
    </row>
    <row r="70">
      <c r="A70" s="40"/>
      <c r="B70" s="35"/>
      <c r="C70" s="45"/>
      <c r="D70" s="45" t="s">
        <v>45</v>
      </c>
      <c r="E70" s="45"/>
      <c r="F70" s="45" t="s">
        <v>46</v>
      </c>
      <c r="G70" s="45" t="s">
        <v>47</v>
      </c>
      <c r="H70" s="45" t="s">
        <v>48</v>
      </c>
      <c r="I70" s="35"/>
      <c r="J70" s="45"/>
      <c r="K70" s="45" t="s">
        <v>45</v>
      </c>
      <c r="L70" s="45"/>
      <c r="M70" s="45" t="s">
        <v>46</v>
      </c>
      <c r="N70" s="45" t="s">
        <v>47</v>
      </c>
      <c r="O70" s="45" t="s">
        <v>48</v>
      </c>
      <c r="P70" s="35"/>
      <c r="Q70" s="45"/>
      <c r="R70" s="45" t="s">
        <v>45</v>
      </c>
      <c r="S70" s="45"/>
      <c r="T70" s="45" t="s">
        <v>46</v>
      </c>
      <c r="U70" s="45" t="s">
        <v>47</v>
      </c>
      <c r="V70" s="45" t="s">
        <v>48</v>
      </c>
      <c r="W70" s="35"/>
      <c r="X70" s="40"/>
      <c r="Y70" s="35"/>
      <c r="Z70" s="35"/>
      <c r="AA70" s="35"/>
    </row>
    <row r="71">
      <c r="A71" s="40"/>
      <c r="B71" s="35"/>
      <c r="C71" s="45" t="s">
        <v>49</v>
      </c>
      <c r="D71" s="45" t="s">
        <v>57</v>
      </c>
      <c r="E71" s="45" t="s">
        <v>51</v>
      </c>
      <c r="F71" s="45">
        <f>'League Scoreboard'!E14</f>
        <v>80</v>
      </c>
      <c r="G71" s="35">
        <f>'League Scoreboard'!E12</f>
        <v>204</v>
      </c>
      <c r="H71" s="35">
        <f>F71-G71</f>
        <v>-124</v>
      </c>
      <c r="I71" s="35"/>
      <c r="J71" s="45" t="s">
        <v>49</v>
      </c>
      <c r="K71" s="45" t="s">
        <v>58</v>
      </c>
      <c r="L71" s="45" t="s">
        <v>53</v>
      </c>
      <c r="M71" s="45">
        <f>'League Scoreboard'!I12</f>
        <v>138</v>
      </c>
      <c r="N71" s="35">
        <f>'League Scoreboard'!I14</f>
        <v>76</v>
      </c>
      <c r="O71" s="35">
        <f>M71-N71</f>
        <v>62</v>
      </c>
      <c r="P71" s="35"/>
      <c r="Q71" s="45" t="s">
        <v>49</v>
      </c>
      <c r="R71" s="45" t="s">
        <v>56</v>
      </c>
      <c r="S71" s="45" t="s">
        <v>51</v>
      </c>
      <c r="T71" s="45">
        <f>'League Scoreboard'!M14</f>
        <v>52</v>
      </c>
      <c r="U71" s="35">
        <f>'League Scoreboard'!M12</f>
        <v>182</v>
      </c>
      <c r="V71" s="35">
        <f>T71-U71</f>
        <v>-130</v>
      </c>
      <c r="W71" s="35"/>
      <c r="X71" s="40"/>
      <c r="Y71" s="35"/>
      <c r="Z71" s="35"/>
      <c r="AA71" s="35"/>
    </row>
    <row r="72">
      <c r="A72" s="40"/>
      <c r="B72" s="35"/>
      <c r="C72" s="45"/>
      <c r="D72" s="35"/>
      <c r="E72" s="45"/>
      <c r="F72" s="45"/>
      <c r="G72" s="35"/>
      <c r="H72" s="35"/>
      <c r="I72" s="35"/>
      <c r="J72" s="45"/>
      <c r="K72" s="35"/>
      <c r="L72" s="45"/>
      <c r="M72" s="45"/>
      <c r="N72" s="35"/>
      <c r="O72" s="35"/>
      <c r="P72" s="35"/>
      <c r="Q72" s="45"/>
      <c r="R72" s="35"/>
      <c r="S72" s="45"/>
      <c r="T72" s="45"/>
      <c r="U72" s="35"/>
      <c r="V72" s="35"/>
      <c r="W72" s="35"/>
      <c r="X72" s="40"/>
      <c r="Y72" s="35"/>
      <c r="Z72" s="35"/>
      <c r="AA72" s="35"/>
    </row>
    <row r="73">
      <c r="A73" s="40"/>
      <c r="B73" s="35"/>
      <c r="C73" s="45" t="s">
        <v>55</v>
      </c>
      <c r="D73" s="45" t="s">
        <v>61</v>
      </c>
      <c r="E73" s="45" t="s">
        <v>53</v>
      </c>
      <c r="F73" s="35">
        <f>'League Scoreboard'!M22</f>
        <v>56</v>
      </c>
      <c r="G73" s="35">
        <f>'League Scoreboard'!M24</f>
        <v>210</v>
      </c>
      <c r="H73" s="35">
        <f>F73-G73</f>
        <v>-154</v>
      </c>
      <c r="I73" s="35"/>
      <c r="J73" s="45" t="s">
        <v>55</v>
      </c>
      <c r="K73" s="45" t="s">
        <v>93</v>
      </c>
      <c r="L73" s="45" t="s">
        <v>51</v>
      </c>
      <c r="M73" s="35">
        <f>'League Scoreboard'!M28</f>
        <v>58</v>
      </c>
      <c r="N73" s="35">
        <f>'League Scoreboard'!M26</f>
        <v>208</v>
      </c>
      <c r="O73" s="35">
        <f>M73-N73</f>
        <v>-150</v>
      </c>
      <c r="P73" s="35"/>
      <c r="Q73" s="45" t="s">
        <v>55</v>
      </c>
      <c r="R73" s="45" t="s">
        <v>52</v>
      </c>
      <c r="S73" s="45" t="s">
        <v>51</v>
      </c>
      <c r="T73" s="35">
        <f>'League Scoreboard'!M32</f>
        <v>148</v>
      </c>
      <c r="U73" s="35">
        <f>'League Scoreboard'!M30</f>
        <v>60</v>
      </c>
      <c r="V73" s="35">
        <f>T73-U73</f>
        <v>88</v>
      </c>
      <c r="W73" s="35"/>
      <c r="X73" s="40"/>
      <c r="Y73" s="35"/>
      <c r="Z73" s="35"/>
      <c r="AA73" s="35"/>
    </row>
    <row r="74">
      <c r="A74" s="40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40"/>
      <c r="Y74" s="35"/>
      <c r="Z74" s="35"/>
      <c r="AA74" s="35"/>
    </row>
    <row r="75">
      <c r="A75" s="40"/>
      <c r="B75" s="35"/>
      <c r="C75" s="45" t="s">
        <v>59</v>
      </c>
      <c r="D75" s="45" t="s">
        <v>64</v>
      </c>
      <c r="E75" s="45" t="s">
        <v>53</v>
      </c>
      <c r="F75" s="35">
        <f>'League Scoreboard'!M36</f>
        <v>108</v>
      </c>
      <c r="G75" s="35">
        <f>'League Scoreboard'!M38</f>
        <v>126</v>
      </c>
      <c r="H75" s="35">
        <f>F75-G75</f>
        <v>-18</v>
      </c>
      <c r="I75" s="35"/>
      <c r="J75" s="45" t="s">
        <v>59</v>
      </c>
      <c r="K75" s="45" t="s">
        <v>56</v>
      </c>
      <c r="L75" s="45" t="s">
        <v>53</v>
      </c>
      <c r="M75" s="35">
        <f>'League Scoreboard'!M40</f>
        <v>134</v>
      </c>
      <c r="N75" s="35">
        <f>'League Scoreboard'!M42</f>
        <v>82</v>
      </c>
      <c r="O75" s="35">
        <f>M75-N75</f>
        <v>52</v>
      </c>
      <c r="P75" s="35"/>
      <c r="Q75" s="45" t="s">
        <v>59</v>
      </c>
      <c r="R75" s="45" t="s">
        <v>57</v>
      </c>
      <c r="S75" s="45" t="s">
        <v>51</v>
      </c>
      <c r="T75" s="35">
        <f>'League Scoreboard'!M46</f>
        <v>132</v>
      </c>
      <c r="U75" s="35">
        <f>'League Scoreboard'!M44</f>
        <v>126</v>
      </c>
      <c r="V75" s="35">
        <f>T75-U75</f>
        <v>6</v>
      </c>
      <c r="W75" s="35"/>
      <c r="X75" s="40"/>
      <c r="Y75" s="35"/>
      <c r="Z75" s="35"/>
      <c r="AA75" s="35"/>
    </row>
    <row r="76">
      <c r="A76" s="40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40"/>
      <c r="Y76" s="35"/>
      <c r="Z76" s="35"/>
      <c r="AA76" s="35"/>
    </row>
    <row r="77">
      <c r="A77" s="40"/>
      <c r="B77" s="35"/>
      <c r="C77" s="45" t="s">
        <v>62</v>
      </c>
      <c r="D77" s="45" t="s">
        <v>67</v>
      </c>
      <c r="E77" s="45" t="s">
        <v>53</v>
      </c>
      <c r="F77" s="35">
        <f>'League Scoreboard'!M50</f>
        <v>40</v>
      </c>
      <c r="G77" s="35">
        <f>'League Scoreboard'!M52</f>
        <v>166</v>
      </c>
      <c r="H77" s="35">
        <f>F77-G77</f>
        <v>-126</v>
      </c>
      <c r="I77" s="35"/>
      <c r="J77" s="45" t="s">
        <v>62</v>
      </c>
      <c r="K77" s="45" t="s">
        <v>52</v>
      </c>
      <c r="L77" s="45" t="s">
        <v>51</v>
      </c>
      <c r="M77" s="35">
        <f>'League Scoreboard'!M56</f>
        <v>274</v>
      </c>
      <c r="N77" s="35">
        <f>'League Scoreboard'!M54</f>
        <v>22</v>
      </c>
      <c r="O77" s="35">
        <f>M77-N77</f>
        <v>252</v>
      </c>
      <c r="P77" s="35"/>
      <c r="Q77" s="45" t="s">
        <v>62</v>
      </c>
      <c r="R77" s="45" t="s">
        <v>89</v>
      </c>
      <c r="S77" s="45" t="s">
        <v>53</v>
      </c>
      <c r="T77" s="35">
        <f>'League Scoreboard'!Q54</f>
        <v>82</v>
      </c>
      <c r="U77" s="35">
        <f>'League Scoreboard'!Q52</f>
        <v>136</v>
      </c>
      <c r="V77" s="35">
        <f>T77-U77</f>
        <v>-54</v>
      </c>
      <c r="W77" s="35"/>
      <c r="X77" s="40"/>
      <c r="Y77" s="35"/>
      <c r="Z77" s="35"/>
      <c r="AA77" s="35"/>
    </row>
    <row r="78">
      <c r="A78" s="40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40"/>
      <c r="Y78" s="35"/>
      <c r="Z78" s="35"/>
      <c r="AA78" s="35"/>
    </row>
    <row r="79">
      <c r="A79" s="40"/>
      <c r="B79" s="35"/>
      <c r="C79" s="45" t="s">
        <v>66</v>
      </c>
      <c r="D79" s="45" t="s">
        <v>65</v>
      </c>
      <c r="E79" s="45" t="s">
        <v>51</v>
      </c>
      <c r="F79" s="35">
        <f>'League Scoreboard'!I74</f>
        <v>110</v>
      </c>
      <c r="G79" s="35">
        <f>'League Scoreboard'!I72</f>
        <v>94</v>
      </c>
      <c r="H79" s="35">
        <f>F79-G79</f>
        <v>16</v>
      </c>
      <c r="I79" s="35"/>
      <c r="J79" s="45" t="s">
        <v>66</v>
      </c>
      <c r="K79" s="45" t="s">
        <v>82</v>
      </c>
      <c r="L79" s="45" t="s">
        <v>53</v>
      </c>
      <c r="M79" s="35">
        <f>'League Scoreboard'!I64</f>
        <v>162</v>
      </c>
      <c r="N79" s="35">
        <f>'League Scoreboard'!I66</f>
        <v>28</v>
      </c>
      <c r="O79" s="35">
        <f>M79-N79</f>
        <v>134</v>
      </c>
      <c r="P79" s="35"/>
      <c r="Q79" s="45" t="s">
        <v>66</v>
      </c>
      <c r="R79" s="45" t="s">
        <v>69</v>
      </c>
      <c r="S79" s="45" t="s">
        <v>53</v>
      </c>
      <c r="T79" s="35">
        <f>'League Scoreboard'!M64</f>
        <v>128</v>
      </c>
      <c r="U79" s="35">
        <f>'League Scoreboard'!M66</f>
        <v>60</v>
      </c>
      <c r="V79" s="35">
        <f>T79-U79</f>
        <v>68</v>
      </c>
      <c r="W79" s="35"/>
      <c r="X79" s="40"/>
      <c r="Y79" s="35"/>
      <c r="Z79" s="35"/>
      <c r="AA79" s="35"/>
    </row>
    <row r="80">
      <c r="A80" s="40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40"/>
      <c r="Y80" s="35"/>
      <c r="Z80" s="35"/>
      <c r="AA80" s="35"/>
    </row>
    <row r="81">
      <c r="A81" s="40"/>
      <c r="B81" s="35"/>
      <c r="C81" s="45" t="s">
        <v>68</v>
      </c>
      <c r="D81" s="45" t="s">
        <v>52</v>
      </c>
      <c r="E81" s="45" t="s">
        <v>51</v>
      </c>
      <c r="F81" s="35">
        <f>'League Scoreboard'!I88</f>
        <v>116</v>
      </c>
      <c r="G81" s="35">
        <f>'League Scoreboard'!I86</f>
        <v>46</v>
      </c>
      <c r="H81" s="35">
        <f>F81-G81</f>
        <v>70</v>
      </c>
      <c r="I81" s="35"/>
      <c r="J81" s="45" t="s">
        <v>68</v>
      </c>
      <c r="K81" s="45" t="s">
        <v>75</v>
      </c>
      <c r="L81" s="45" t="s">
        <v>51</v>
      </c>
      <c r="M81" s="35">
        <f>'League Scoreboard'!U84</f>
        <v>142</v>
      </c>
      <c r="N81" s="35">
        <f>'League Scoreboard'!U82</f>
        <v>64</v>
      </c>
      <c r="O81" s="35">
        <f>M81-N81</f>
        <v>78</v>
      </c>
      <c r="P81" s="35"/>
      <c r="Q81" s="45" t="s">
        <v>68</v>
      </c>
      <c r="R81" s="45" t="s">
        <v>93</v>
      </c>
      <c r="S81" s="45" t="s">
        <v>53</v>
      </c>
      <c r="T81" s="35">
        <f>'League Scoreboard'!M78</f>
        <v>66</v>
      </c>
      <c r="U81" s="35">
        <f>'League Scoreboard'!M80</f>
        <v>180</v>
      </c>
      <c r="V81" s="35">
        <f>T81-U81</f>
        <v>-114</v>
      </c>
      <c r="W81" s="35"/>
      <c r="X81" s="40"/>
      <c r="Y81" s="35"/>
      <c r="Z81" s="35"/>
      <c r="AA81" s="35"/>
    </row>
    <row r="82">
      <c r="A82" s="46"/>
      <c r="B82" s="47"/>
      <c r="C82" s="47"/>
      <c r="D82" s="47"/>
      <c r="E82" s="47"/>
      <c r="F82" s="48">
        <f>countif(H71:H81, "&gt;0")</f>
        <v>2</v>
      </c>
      <c r="G82" s="48">
        <f>countif(H71:H81, "&lt;0")</f>
        <v>4</v>
      </c>
      <c r="H82" s="48">
        <f>countif(H71:H81, "=0")</f>
        <v>0</v>
      </c>
      <c r="I82" s="47"/>
      <c r="J82" s="47"/>
      <c r="K82" s="47"/>
      <c r="L82" s="47"/>
      <c r="M82" s="48">
        <f>countif(O71:O81, "&gt;0")</f>
        <v>5</v>
      </c>
      <c r="N82" s="48">
        <f>countif(O71:O81, "&lt;0")</f>
        <v>1</v>
      </c>
      <c r="O82" s="48">
        <f>countif(O71:O81, "=0")</f>
        <v>0</v>
      </c>
      <c r="P82" s="47"/>
      <c r="Q82" s="47"/>
      <c r="R82" s="47"/>
      <c r="S82" s="47"/>
      <c r="T82" s="48">
        <f>countif(V71:V81, "&gt;0")</f>
        <v>3</v>
      </c>
      <c r="U82" s="48">
        <f>countif(V71:V81, "&lt;0")</f>
        <v>3</v>
      </c>
      <c r="V82" s="48">
        <f>countif(V71:V81, "=0")</f>
        <v>0</v>
      </c>
      <c r="W82" s="47"/>
      <c r="X82" s="46"/>
      <c r="Y82" s="47"/>
      <c r="Z82" s="47"/>
      <c r="AA82" s="47"/>
    </row>
    <row r="83">
      <c r="A83" s="40"/>
      <c r="B83" s="35"/>
      <c r="C83" s="45" t="s">
        <v>70</v>
      </c>
      <c r="D83" s="35"/>
      <c r="E83" s="35">
        <f>3*countifs(H71:H81, "&gt;0")+countifs(H71:H81, "=0")</f>
        <v>6</v>
      </c>
      <c r="F83" s="49">
        <f t="shared" ref="F83:H83" si="19">sum(F71:F81)</f>
        <v>510</v>
      </c>
      <c r="G83" s="49">
        <f t="shared" si="19"/>
        <v>846</v>
      </c>
      <c r="H83" s="49">
        <f t="shared" si="19"/>
        <v>-336</v>
      </c>
      <c r="I83" s="35"/>
      <c r="J83" s="45" t="s">
        <v>70</v>
      </c>
      <c r="K83" s="35"/>
      <c r="L83" s="35">
        <f>3*countifs(O71:O81, "&gt;0")+countifs(O71:O81, "=0")</f>
        <v>15</v>
      </c>
      <c r="M83" s="49">
        <f t="shared" ref="M83:O83" si="20">sum(M71:M81)</f>
        <v>908</v>
      </c>
      <c r="N83" s="49">
        <f t="shared" si="20"/>
        <v>480</v>
      </c>
      <c r="O83" s="49">
        <f t="shared" si="20"/>
        <v>428</v>
      </c>
      <c r="P83" s="35"/>
      <c r="Q83" s="45" t="s">
        <v>70</v>
      </c>
      <c r="R83" s="35"/>
      <c r="S83" s="35">
        <f>3*countifs(V71:V81, "&gt;0")+countifs(V71:V81, "=0")</f>
        <v>9</v>
      </c>
      <c r="T83" s="49">
        <f t="shared" ref="T83:V83" si="21">sum(T71:T81)</f>
        <v>608</v>
      </c>
      <c r="U83" s="49">
        <f t="shared" si="21"/>
        <v>744</v>
      </c>
      <c r="V83" s="49">
        <f t="shared" si="21"/>
        <v>-136</v>
      </c>
      <c r="W83" s="35"/>
      <c r="X83" s="40"/>
      <c r="Y83" s="35"/>
      <c r="Z83" s="35"/>
      <c r="AA83" s="35"/>
    </row>
    <row r="84">
      <c r="A84" s="40"/>
      <c r="B84" s="35"/>
      <c r="C84" s="35"/>
      <c r="D84" s="35"/>
      <c r="E84" s="35"/>
      <c r="F84" s="8"/>
      <c r="G84" s="8"/>
      <c r="H84" s="27"/>
      <c r="I84" s="35"/>
      <c r="J84" s="35"/>
      <c r="K84" s="35"/>
      <c r="L84" s="35"/>
      <c r="M84" s="8"/>
      <c r="N84" s="8"/>
      <c r="O84" s="27"/>
      <c r="P84" s="35"/>
      <c r="Q84" s="35"/>
      <c r="R84" s="35"/>
      <c r="S84" s="35"/>
      <c r="T84" s="8"/>
      <c r="U84" s="8"/>
      <c r="V84" s="27"/>
      <c r="W84" s="35"/>
      <c r="X84" s="40"/>
      <c r="Y84" s="35"/>
      <c r="Z84" s="35"/>
      <c r="AA84" s="35"/>
    </row>
    <row r="85">
      <c r="A85" s="40"/>
      <c r="B85" s="35"/>
      <c r="C85" s="45" t="s">
        <v>71</v>
      </c>
      <c r="D85" s="45" t="s">
        <v>58</v>
      </c>
      <c r="E85" s="35"/>
      <c r="F85" s="8">
        <f>'Playoff Scoring'!D27</f>
        <v>10</v>
      </c>
      <c r="G85" s="8">
        <f>'Playoff Scoring'!E26</f>
        <v>114</v>
      </c>
      <c r="H85" s="49">
        <f>F85-G85</f>
        <v>-104</v>
      </c>
      <c r="I85" s="35"/>
      <c r="J85" s="45" t="s">
        <v>71</v>
      </c>
      <c r="K85" s="45" t="s">
        <v>72</v>
      </c>
      <c r="L85" s="35"/>
      <c r="M85" s="8"/>
      <c r="N85" s="8"/>
      <c r="O85" s="49">
        <f>M85-N85</f>
        <v>0</v>
      </c>
      <c r="P85" s="35"/>
      <c r="Q85" s="45" t="s">
        <v>71</v>
      </c>
      <c r="R85" s="45" t="s">
        <v>89</v>
      </c>
      <c r="S85" s="35"/>
      <c r="T85" s="8">
        <f>'Playoff Scoring'!N20</f>
        <v>80</v>
      </c>
      <c r="U85" s="8">
        <f>'Playoff Scoring'!O19</f>
        <v>92</v>
      </c>
      <c r="V85" s="49">
        <f>T85-U85</f>
        <v>-12</v>
      </c>
      <c r="W85" s="35"/>
      <c r="X85" s="40"/>
      <c r="Y85" s="35"/>
      <c r="Z85" s="35"/>
      <c r="AA85" s="35"/>
    </row>
    <row r="86">
      <c r="A86" s="40"/>
      <c r="B86" s="35"/>
      <c r="C86" s="35"/>
      <c r="D86" s="35"/>
      <c r="E86" s="35"/>
      <c r="F86" s="8"/>
      <c r="G86" s="8"/>
      <c r="H86" s="27"/>
      <c r="I86" s="35"/>
      <c r="J86" s="35"/>
      <c r="K86" s="35"/>
      <c r="L86" s="35"/>
      <c r="M86" s="8"/>
      <c r="N86" s="8"/>
      <c r="O86" s="27"/>
      <c r="P86" s="35"/>
      <c r="Q86" s="35"/>
      <c r="R86" s="35"/>
      <c r="S86" s="35"/>
      <c r="T86" s="8"/>
      <c r="U86" s="8"/>
      <c r="V86" s="27"/>
      <c r="W86" s="35"/>
      <c r="X86" s="40"/>
      <c r="Y86" s="35"/>
      <c r="Z86" s="35"/>
      <c r="AA86" s="35"/>
    </row>
    <row r="87">
      <c r="A87" s="40"/>
      <c r="B87" s="35"/>
      <c r="C87" s="45" t="s">
        <v>73</v>
      </c>
      <c r="D87" s="45" t="s">
        <v>40</v>
      </c>
      <c r="E87" s="35"/>
      <c r="F87" s="8">
        <f>'Playoff Scoring'!H27</f>
        <v>36</v>
      </c>
      <c r="G87" s="8">
        <f>'Playoff Scoring'!E30</f>
        <v>102</v>
      </c>
      <c r="H87" s="49">
        <f>F87-G87</f>
        <v>-66</v>
      </c>
      <c r="I87" s="35"/>
      <c r="J87" s="45" t="s">
        <v>73</v>
      </c>
      <c r="K87" s="45" t="s">
        <v>93</v>
      </c>
      <c r="L87" s="35"/>
      <c r="M87" s="8">
        <f>'Playoff Scoring'!E12</f>
        <v>74</v>
      </c>
      <c r="N87" s="8">
        <f>'Playoff Scoring'!H9</f>
        <v>144</v>
      </c>
      <c r="O87" s="49">
        <f>M87-N87</f>
        <v>-70</v>
      </c>
      <c r="P87" s="35"/>
      <c r="Q87" s="45" t="s">
        <v>73</v>
      </c>
      <c r="R87" s="45" t="s">
        <v>92</v>
      </c>
      <c r="S87" s="35"/>
      <c r="T87" s="8">
        <f>'Playoff Scoring'!L20</f>
        <v>106</v>
      </c>
      <c r="U87" s="8">
        <f>'Playoff Scoring'!O17</f>
        <v>22</v>
      </c>
      <c r="V87" s="49">
        <f>T87-U87</f>
        <v>84</v>
      </c>
      <c r="W87" s="35"/>
      <c r="X87" s="40"/>
      <c r="Y87" s="35"/>
      <c r="Z87" s="35"/>
      <c r="AA87" s="35"/>
    </row>
    <row r="88">
      <c r="A88" s="40"/>
      <c r="B88" s="35"/>
      <c r="C88" s="35"/>
      <c r="D88" s="35"/>
      <c r="E88" s="35"/>
      <c r="F88" s="8"/>
      <c r="G88" s="8"/>
      <c r="H88" s="27"/>
      <c r="I88" s="35"/>
      <c r="J88" s="35"/>
      <c r="K88" s="35"/>
      <c r="L88" s="35"/>
      <c r="M88" s="8"/>
      <c r="N88" s="8"/>
      <c r="O88" s="27"/>
      <c r="P88" s="35"/>
      <c r="Q88" s="35"/>
      <c r="R88" s="35"/>
      <c r="S88" s="35"/>
      <c r="T88" s="8"/>
      <c r="U88" s="8"/>
      <c r="V88" s="27"/>
      <c r="W88" s="35"/>
      <c r="X88" s="40"/>
      <c r="Y88" s="35"/>
      <c r="Z88" s="35"/>
      <c r="AA88" s="35"/>
    </row>
    <row r="89">
      <c r="A89" s="40"/>
      <c r="B89" s="35"/>
      <c r="C89" s="45" t="s">
        <v>76</v>
      </c>
      <c r="D89" s="45" t="s">
        <v>72</v>
      </c>
      <c r="E89" s="35"/>
      <c r="F89" s="8"/>
      <c r="G89" s="8"/>
      <c r="H89" s="49">
        <f>F89-G89</f>
        <v>0</v>
      </c>
      <c r="I89" s="35"/>
      <c r="J89" s="45" t="s">
        <v>76</v>
      </c>
      <c r="K89" s="45" t="s">
        <v>88</v>
      </c>
      <c r="L89" s="35"/>
      <c r="M89" s="8">
        <f>'Playoff Scoring'!G12</f>
        <v>74</v>
      </c>
      <c r="N89" s="8">
        <f>'Playoff Scoring'!H11</f>
        <v>76</v>
      </c>
      <c r="O89" s="49">
        <f>M89-N89</f>
        <v>-2</v>
      </c>
      <c r="P89" s="35"/>
      <c r="Q89" s="45" t="s">
        <v>76</v>
      </c>
      <c r="R89" s="45" t="s">
        <v>60</v>
      </c>
      <c r="S89" s="35"/>
      <c r="T89" s="51">
        <f>'Playoff Scoring'!P20</f>
        <v>102</v>
      </c>
      <c r="U89" s="8">
        <f>'Playoff Scoring'!O21</f>
        <v>48</v>
      </c>
      <c r="V89" s="49">
        <f>T89-U89</f>
        <v>54</v>
      </c>
      <c r="W89" s="35"/>
      <c r="X89" s="40"/>
      <c r="Y89" s="35"/>
      <c r="Z89" s="35"/>
      <c r="AA89" s="35"/>
    </row>
    <row r="90">
      <c r="A90" s="40"/>
      <c r="B90" s="35"/>
      <c r="C90" s="35"/>
      <c r="D90" s="35"/>
      <c r="E90" s="35"/>
      <c r="F90" s="8"/>
      <c r="G90" s="8"/>
      <c r="H90" s="27"/>
      <c r="I90" s="35"/>
      <c r="J90" s="35"/>
      <c r="K90" s="35"/>
      <c r="L90" s="35"/>
      <c r="M90" s="8"/>
      <c r="N90" s="8"/>
      <c r="O90" s="27"/>
      <c r="P90" s="35"/>
      <c r="Q90" s="35"/>
      <c r="R90" s="35"/>
      <c r="S90" s="35"/>
      <c r="T90" s="8"/>
      <c r="U90" s="8"/>
      <c r="V90" s="27"/>
      <c r="W90" s="35"/>
      <c r="X90" s="40"/>
      <c r="Y90" s="35"/>
      <c r="Z90" s="35"/>
      <c r="AA90" s="35"/>
    </row>
    <row r="91">
      <c r="A91" s="40"/>
      <c r="B91" s="35"/>
      <c r="C91" s="45" t="s">
        <v>77</v>
      </c>
      <c r="D91" s="45" t="s">
        <v>65</v>
      </c>
      <c r="E91" s="35"/>
      <c r="F91" s="8">
        <f>'Playoff Scoring'!G27</f>
        <v>58</v>
      </c>
      <c r="G91" s="8">
        <f>'Playoff Scoring'!E29</f>
        <v>34</v>
      </c>
      <c r="H91" s="49">
        <f>F91-G91</f>
        <v>24</v>
      </c>
      <c r="I91" s="35"/>
      <c r="J91" s="45" t="s">
        <v>77</v>
      </c>
      <c r="K91" s="45" t="s">
        <v>61</v>
      </c>
      <c r="L91" s="35"/>
      <c r="M91" s="8">
        <f>'Playoff Scoring'!F12</f>
        <v>78</v>
      </c>
      <c r="N91" s="8">
        <f>'Playoff Scoring'!H10</f>
        <v>96</v>
      </c>
      <c r="O91" s="49">
        <f>M91-N91</f>
        <v>-18</v>
      </c>
      <c r="P91" s="35"/>
      <c r="Q91" s="45" t="s">
        <v>77</v>
      </c>
      <c r="R91" s="45" t="s">
        <v>67</v>
      </c>
      <c r="S91" s="35"/>
      <c r="T91" s="8">
        <f>'Playoff Scoring'!M20</f>
        <v>78</v>
      </c>
      <c r="U91" s="8">
        <f>'Playoff Scoring'!O18</f>
        <v>58</v>
      </c>
      <c r="V91" s="49">
        <f>T91-U91</f>
        <v>20</v>
      </c>
      <c r="W91" s="35"/>
      <c r="X91" s="40"/>
      <c r="Y91" s="35"/>
      <c r="Z91" s="35"/>
      <c r="AA91" s="35"/>
    </row>
    <row r="92">
      <c r="A92" s="40"/>
      <c r="B92" s="35"/>
      <c r="C92" s="35"/>
      <c r="D92" s="35"/>
      <c r="E92" s="35"/>
      <c r="F92" s="8"/>
      <c r="G92" s="8"/>
      <c r="H92" s="27"/>
      <c r="I92" s="35"/>
      <c r="J92" s="35"/>
      <c r="K92" s="35"/>
      <c r="L92" s="35"/>
      <c r="M92" s="8"/>
      <c r="N92" s="8"/>
      <c r="O92" s="27"/>
      <c r="P92" s="35"/>
      <c r="Q92" s="35"/>
      <c r="R92" s="35"/>
      <c r="S92" s="35"/>
      <c r="T92" s="8"/>
      <c r="U92" s="8"/>
      <c r="V92" s="27"/>
      <c r="W92" s="35"/>
      <c r="X92" s="40"/>
      <c r="Y92" s="35"/>
      <c r="Z92" s="35"/>
      <c r="AA92" s="35"/>
    </row>
    <row r="93">
      <c r="A93" s="40"/>
      <c r="B93" s="35"/>
      <c r="C93" s="45" t="s">
        <v>80</v>
      </c>
      <c r="D93" s="45" t="s">
        <v>78</v>
      </c>
      <c r="E93" s="35"/>
      <c r="F93" s="8">
        <f>'Playoff Scoring'!F27</f>
        <v>34</v>
      </c>
      <c r="G93" s="8">
        <f>'Playoff Scoring'!E28</f>
        <v>24</v>
      </c>
      <c r="H93" s="49">
        <f>F93-G93</f>
        <v>10</v>
      </c>
      <c r="I93" s="35"/>
      <c r="J93" s="45" t="s">
        <v>80</v>
      </c>
      <c r="K93" s="45" t="s">
        <v>63</v>
      </c>
      <c r="L93" s="35"/>
      <c r="M93" s="8">
        <f>'Playoff Scoring'!D12</f>
        <v>82</v>
      </c>
      <c r="N93" s="8">
        <f>'Playoff Scoring'!H8</f>
        <v>84</v>
      </c>
      <c r="O93" s="49">
        <f>M93-N93</f>
        <v>-2</v>
      </c>
      <c r="P93" s="35"/>
      <c r="Q93" s="45" t="s">
        <v>80</v>
      </c>
      <c r="R93" s="45" t="s">
        <v>72</v>
      </c>
      <c r="S93" s="35"/>
      <c r="T93" s="8"/>
      <c r="U93" s="8"/>
      <c r="V93" s="49">
        <f>T93-U93</f>
        <v>0</v>
      </c>
      <c r="W93" s="35"/>
      <c r="X93" s="40"/>
      <c r="Y93" s="35"/>
      <c r="Z93" s="35"/>
      <c r="AA93" s="35"/>
    </row>
    <row r="94">
      <c r="A94" s="40"/>
      <c r="B94" s="35"/>
      <c r="C94" s="35"/>
      <c r="D94" s="35"/>
      <c r="E94" s="35"/>
      <c r="F94" s="8"/>
      <c r="G94" s="8"/>
      <c r="H94" s="27"/>
      <c r="I94" s="35"/>
      <c r="J94" s="35"/>
      <c r="K94" s="35"/>
      <c r="L94" s="35"/>
      <c r="M94" s="8"/>
      <c r="N94" s="8"/>
      <c r="O94" s="27"/>
      <c r="P94" s="35"/>
      <c r="Q94" s="35"/>
      <c r="R94" s="35"/>
      <c r="S94" s="35"/>
      <c r="T94" s="8"/>
      <c r="U94" s="8"/>
      <c r="V94" s="27"/>
      <c r="W94" s="35"/>
      <c r="X94" s="40"/>
      <c r="Y94" s="35"/>
      <c r="Z94" s="35"/>
      <c r="AA94" s="35"/>
    </row>
    <row r="95">
      <c r="A95" s="40"/>
      <c r="B95" s="35"/>
      <c r="C95" s="45" t="s">
        <v>83</v>
      </c>
      <c r="D95" s="35"/>
      <c r="E95" s="35">
        <f>2*countifs(H85:H93, "&gt;0")+countifs(H85:H93, "=0")</f>
        <v>5</v>
      </c>
      <c r="F95" s="35">
        <f t="shared" ref="F95:H95" si="22">sum(F85:F93)</f>
        <v>138</v>
      </c>
      <c r="G95" s="35">
        <f t="shared" si="22"/>
        <v>274</v>
      </c>
      <c r="H95" s="35">
        <f t="shared" si="22"/>
        <v>-136</v>
      </c>
      <c r="I95" s="35"/>
      <c r="J95" s="45" t="s">
        <v>83</v>
      </c>
      <c r="K95" s="35"/>
      <c r="L95" s="35">
        <f>2*countifs(O85:O93, "&gt;0")+countifs(O85:O93, "=0")</f>
        <v>1</v>
      </c>
      <c r="M95" s="49">
        <f t="shared" ref="M95:O95" si="23">sum(M85:M93)</f>
        <v>308</v>
      </c>
      <c r="N95" s="49">
        <f t="shared" si="23"/>
        <v>400</v>
      </c>
      <c r="O95" s="49">
        <f t="shared" si="23"/>
        <v>-92</v>
      </c>
      <c r="P95" s="35"/>
      <c r="Q95" s="45" t="s">
        <v>83</v>
      </c>
      <c r="R95" s="35"/>
      <c r="S95" s="35">
        <f>2*countifs(V85:V93, "&gt;0")+countifs(V85:V93, "=0")</f>
        <v>7</v>
      </c>
      <c r="T95" s="49">
        <f t="shared" ref="T95:V95" si="24">sum(T85:T93)</f>
        <v>366</v>
      </c>
      <c r="U95" s="49">
        <f t="shared" si="24"/>
        <v>220</v>
      </c>
      <c r="V95" s="49">
        <f t="shared" si="24"/>
        <v>146</v>
      </c>
      <c r="W95" s="35"/>
      <c r="X95" s="40"/>
      <c r="Y95" s="35"/>
      <c r="Z95" s="35"/>
      <c r="AA95" s="35"/>
    </row>
    <row r="96">
      <c r="A96" s="46"/>
      <c r="B96" s="47"/>
      <c r="C96" s="50"/>
      <c r="D96" s="47"/>
      <c r="E96" s="47"/>
      <c r="F96" s="48">
        <f>COUNTIF(H71:H81, "&gt;0")+countif(H85:H93, "&gt;0")</f>
        <v>4</v>
      </c>
      <c r="G96" s="48">
        <f>COUNTIF(H71:H81, "&lt;0")+countif(H85:H93, "&lt;0")</f>
        <v>6</v>
      </c>
      <c r="H96" s="48">
        <f>COUNTIF(H71:H81, "=0")+countif(H85:H93, "=0")</f>
        <v>1</v>
      </c>
      <c r="I96" s="47"/>
      <c r="J96" s="50"/>
      <c r="K96" s="47"/>
      <c r="L96" s="47"/>
      <c r="M96" s="48">
        <f>COUNTIF(O71:O81, "&gt;0")+countif(O85:O93, "&gt;0")</f>
        <v>5</v>
      </c>
      <c r="N96" s="48">
        <f>COUNTIF(O71:O81, "&lt;0")+countif(O85:O93, "&lt;0")</f>
        <v>5</v>
      </c>
      <c r="O96" s="48">
        <f>COUNTIF(O71:O81, "=0")+countif(O85:O93, "=0")</f>
        <v>1</v>
      </c>
      <c r="P96" s="47"/>
      <c r="Q96" s="50"/>
      <c r="R96" s="47"/>
      <c r="S96" s="47"/>
      <c r="T96" s="48">
        <f>COUNTIF(V71:V81, "&gt;0")+countif(V85:V93, "&gt;0")</f>
        <v>6</v>
      </c>
      <c r="U96" s="48">
        <f>COUNTIF(V71:V81, "&lt;0")+countif(V85:V93, "&lt;0")</f>
        <v>4</v>
      </c>
      <c r="V96" s="48">
        <f>COUNTIF(V71:V81, "=0")+countif(V85:V93, "=0")</f>
        <v>1</v>
      </c>
      <c r="W96" s="47"/>
      <c r="X96" s="46"/>
      <c r="Y96" s="47"/>
      <c r="Z96" s="47"/>
      <c r="AA96" s="47"/>
    </row>
    <row r="97">
      <c r="A97" s="40"/>
      <c r="B97" s="35"/>
      <c r="C97" s="45" t="s">
        <v>84</v>
      </c>
      <c r="D97" s="35"/>
      <c r="E97" s="35">
        <f t="shared" ref="E97:H97" si="25">sum(E83,E95)</f>
        <v>11</v>
      </c>
      <c r="F97" s="35">
        <f t="shared" si="25"/>
        <v>648</v>
      </c>
      <c r="G97" s="35">
        <f t="shared" si="25"/>
        <v>1120</v>
      </c>
      <c r="H97" s="35">
        <f t="shared" si="25"/>
        <v>-472</v>
      </c>
      <c r="I97" s="35"/>
      <c r="J97" s="45" t="s">
        <v>84</v>
      </c>
      <c r="K97" s="35"/>
      <c r="L97" s="35">
        <f t="shared" ref="L97:O97" si="26">sum(L83,L95)</f>
        <v>16</v>
      </c>
      <c r="M97" s="35">
        <f t="shared" si="26"/>
        <v>1216</v>
      </c>
      <c r="N97" s="35">
        <f t="shared" si="26"/>
        <v>880</v>
      </c>
      <c r="O97" s="35">
        <f t="shared" si="26"/>
        <v>336</v>
      </c>
      <c r="P97" s="35"/>
      <c r="Q97" s="45" t="s">
        <v>84</v>
      </c>
      <c r="R97" s="35"/>
      <c r="S97" s="35">
        <f t="shared" ref="S97:V97" si="27">sum(S83,S95)</f>
        <v>16</v>
      </c>
      <c r="T97" s="35">
        <f t="shared" si="27"/>
        <v>974</v>
      </c>
      <c r="U97" s="35">
        <f t="shared" si="27"/>
        <v>964</v>
      </c>
      <c r="V97" s="35">
        <f t="shared" si="27"/>
        <v>10</v>
      </c>
      <c r="W97" s="35"/>
      <c r="X97" s="40"/>
      <c r="Y97" s="35"/>
      <c r="Z97" s="35"/>
      <c r="AA97" s="35"/>
    </row>
    <row r="98">
      <c r="A98" s="40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40"/>
      <c r="Y98" s="35"/>
      <c r="Z98" s="35"/>
      <c r="AA98" s="35"/>
    </row>
    <row r="99">
      <c r="A99" s="40"/>
      <c r="B99" s="35"/>
      <c r="C99" s="43" t="s">
        <v>100</v>
      </c>
      <c r="D99" s="44" t="s">
        <v>89</v>
      </c>
      <c r="I99" s="42"/>
      <c r="J99" s="43" t="s">
        <v>101</v>
      </c>
      <c r="K99" s="44" t="s">
        <v>78</v>
      </c>
      <c r="P99" s="42"/>
      <c r="Q99" s="43" t="s">
        <v>102</v>
      </c>
      <c r="R99" s="44" t="s">
        <v>57</v>
      </c>
      <c r="W99" s="35"/>
      <c r="X99" s="40"/>
      <c r="Y99" s="35"/>
      <c r="Z99" s="35"/>
      <c r="AA99" s="35"/>
    </row>
    <row r="100">
      <c r="A100" s="40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40"/>
      <c r="Y100" s="35"/>
      <c r="Z100" s="35"/>
      <c r="AA100" s="35"/>
    </row>
    <row r="101">
      <c r="A101" s="40"/>
      <c r="B101" s="35"/>
      <c r="C101" s="45"/>
      <c r="D101" s="45" t="s">
        <v>45</v>
      </c>
      <c r="E101" s="45"/>
      <c r="F101" s="45" t="s">
        <v>46</v>
      </c>
      <c r="G101" s="45" t="s">
        <v>47</v>
      </c>
      <c r="H101" s="45" t="s">
        <v>48</v>
      </c>
      <c r="I101" s="35"/>
      <c r="J101" s="45"/>
      <c r="K101" s="45" t="s">
        <v>45</v>
      </c>
      <c r="L101" s="45"/>
      <c r="M101" s="45" t="s">
        <v>46</v>
      </c>
      <c r="N101" s="45" t="s">
        <v>47</v>
      </c>
      <c r="O101" s="45" t="s">
        <v>48</v>
      </c>
      <c r="P101" s="35"/>
      <c r="Q101" s="45"/>
      <c r="R101" s="45" t="s">
        <v>45</v>
      </c>
      <c r="S101" s="45"/>
      <c r="T101" s="45" t="s">
        <v>46</v>
      </c>
      <c r="U101" s="45" t="s">
        <v>47</v>
      </c>
      <c r="V101" s="45" t="s">
        <v>48</v>
      </c>
      <c r="W101" s="35"/>
      <c r="X101" s="40"/>
      <c r="Y101" s="35"/>
      <c r="Z101" s="35"/>
      <c r="AA101" s="35"/>
    </row>
    <row r="102">
      <c r="A102" s="40"/>
      <c r="B102" s="35"/>
      <c r="C102" s="45" t="s">
        <v>49</v>
      </c>
      <c r="D102" s="45" t="s">
        <v>103</v>
      </c>
      <c r="E102" s="45" t="s">
        <v>53</v>
      </c>
      <c r="F102" s="45">
        <f>'League Scoreboard'!Q12</f>
        <v>48</v>
      </c>
      <c r="G102" s="35">
        <f>'League Scoreboard'!Q14</f>
        <v>242</v>
      </c>
      <c r="H102" s="35">
        <f>F102-G102</f>
        <v>-194</v>
      </c>
      <c r="I102" s="35"/>
      <c r="J102" s="45" t="s">
        <v>49</v>
      </c>
      <c r="K102" s="45" t="s">
        <v>88</v>
      </c>
      <c r="L102" s="45" t="s">
        <v>51</v>
      </c>
      <c r="M102" s="45">
        <f>'League Scoreboard'!U14</f>
        <v>66</v>
      </c>
      <c r="N102" s="35">
        <f>'League Scoreboard'!U12</f>
        <v>206</v>
      </c>
      <c r="O102" s="35">
        <f>M102-N102</f>
        <v>-140</v>
      </c>
      <c r="P102" s="35"/>
      <c r="Q102" s="45" t="s">
        <v>49</v>
      </c>
      <c r="R102" s="45" t="s">
        <v>74</v>
      </c>
      <c r="S102" s="45" t="s">
        <v>53</v>
      </c>
      <c r="T102" s="45">
        <f>'League Scoreboard'!E12</f>
        <v>204</v>
      </c>
      <c r="U102" s="35">
        <f>'League Scoreboard'!E14</f>
        <v>80</v>
      </c>
      <c r="V102" s="35">
        <f>T102-U102</f>
        <v>124</v>
      </c>
      <c r="W102" s="35"/>
      <c r="X102" s="40"/>
      <c r="Y102" s="35"/>
      <c r="Z102" s="35"/>
      <c r="AA102" s="35"/>
    </row>
    <row r="103">
      <c r="A103" s="40"/>
      <c r="B103" s="35"/>
      <c r="C103" s="45"/>
      <c r="D103" s="35"/>
      <c r="E103" s="45"/>
      <c r="F103" s="45"/>
      <c r="G103" s="35"/>
      <c r="H103" s="35"/>
      <c r="I103" s="35"/>
      <c r="J103" s="45"/>
      <c r="K103" s="35"/>
      <c r="L103" s="45"/>
      <c r="M103" s="45"/>
      <c r="N103" s="35"/>
      <c r="O103" s="35"/>
      <c r="P103" s="35"/>
      <c r="Q103" s="45"/>
      <c r="R103" s="35"/>
      <c r="S103" s="45"/>
      <c r="T103" s="45"/>
      <c r="U103" s="35"/>
      <c r="V103" s="35"/>
      <c r="W103" s="35"/>
      <c r="X103" s="40"/>
      <c r="Y103" s="35"/>
      <c r="Z103" s="35"/>
      <c r="AA103" s="35"/>
    </row>
    <row r="104">
      <c r="A104" s="40"/>
      <c r="B104" s="35"/>
      <c r="C104" s="45" t="s">
        <v>55</v>
      </c>
      <c r="D104" s="45" t="s">
        <v>79</v>
      </c>
      <c r="E104" s="45" t="s">
        <v>51</v>
      </c>
      <c r="F104" s="35">
        <f>'League Scoreboard'!I32</f>
        <v>238</v>
      </c>
      <c r="G104" s="35">
        <f>'League Scoreboard'!I30</f>
        <v>28</v>
      </c>
      <c r="H104" s="35">
        <f>F104-G104</f>
        <v>210</v>
      </c>
      <c r="I104" s="35"/>
      <c r="J104" s="45" t="s">
        <v>55</v>
      </c>
      <c r="K104" s="45" t="s">
        <v>54</v>
      </c>
      <c r="L104" s="45" t="s">
        <v>53</v>
      </c>
      <c r="M104" s="35">
        <f>'League Scoreboard'!I26</f>
        <v>110</v>
      </c>
      <c r="N104" s="35">
        <f>'League Scoreboard'!I28</f>
        <v>126</v>
      </c>
      <c r="O104" s="35">
        <f>M104-N104</f>
        <v>-16</v>
      </c>
      <c r="P104" s="35"/>
      <c r="Q104" s="45" t="s">
        <v>55</v>
      </c>
      <c r="R104" s="45" t="s">
        <v>42</v>
      </c>
      <c r="S104" s="45" t="s">
        <v>51</v>
      </c>
      <c r="T104" s="35">
        <f>'League Scoreboard'!E28</f>
        <v>102</v>
      </c>
      <c r="U104" s="35">
        <f>'League Scoreboard'!E26</f>
        <v>106</v>
      </c>
      <c r="V104" s="35">
        <f>T104-U104</f>
        <v>-4</v>
      </c>
      <c r="W104" s="35"/>
      <c r="X104" s="40"/>
      <c r="Y104" s="35"/>
      <c r="Z104" s="35"/>
      <c r="AA104" s="35"/>
    </row>
    <row r="105">
      <c r="A105" s="40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40"/>
      <c r="Y105" s="35"/>
      <c r="Z105" s="35"/>
      <c r="AA105" s="35"/>
    </row>
    <row r="106">
      <c r="A106" s="40"/>
      <c r="B106" s="35"/>
      <c r="C106" s="45" t="s">
        <v>59</v>
      </c>
      <c r="D106" s="45" t="s">
        <v>63</v>
      </c>
      <c r="E106" s="45" t="s">
        <v>51</v>
      </c>
      <c r="F106" s="35">
        <f>'League Scoreboard'!Q38</f>
        <v>84</v>
      </c>
      <c r="G106" s="35">
        <f>'League Scoreboard'!Q36</f>
        <v>194</v>
      </c>
      <c r="H106" s="35">
        <f>F106-G106</f>
        <v>-110</v>
      </c>
      <c r="I106" s="35"/>
      <c r="J106" s="45" t="s">
        <v>59</v>
      </c>
      <c r="K106" s="45" t="s">
        <v>52</v>
      </c>
      <c r="L106" s="45" t="s">
        <v>53</v>
      </c>
      <c r="M106" s="35">
        <f>'League Scoreboard'!Q40</f>
        <v>230</v>
      </c>
      <c r="N106" s="35">
        <f>'League Scoreboard'!Q42</f>
        <v>46</v>
      </c>
      <c r="O106" s="35">
        <f>M106-N106</f>
        <v>184</v>
      </c>
      <c r="P106" s="35"/>
      <c r="Q106" s="45" t="s">
        <v>59</v>
      </c>
      <c r="R106" s="45" t="s">
        <v>99</v>
      </c>
      <c r="S106" s="45" t="s">
        <v>53</v>
      </c>
      <c r="T106" s="35">
        <f>'League Scoreboard'!M44</f>
        <v>126</v>
      </c>
      <c r="U106" s="35">
        <f>'League Scoreboard'!M46</f>
        <v>132</v>
      </c>
      <c r="V106" s="35">
        <f>T106-U106</f>
        <v>-6</v>
      </c>
      <c r="W106" s="35"/>
      <c r="X106" s="40"/>
      <c r="Y106" s="35"/>
      <c r="Z106" s="35"/>
      <c r="AA106" s="35"/>
    </row>
    <row r="107">
      <c r="A107" s="40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40"/>
      <c r="Y107" s="35"/>
      <c r="Z107" s="35"/>
      <c r="AA107" s="35"/>
    </row>
    <row r="108">
      <c r="A108" s="40"/>
      <c r="B108" s="35"/>
      <c r="C108" s="45" t="s">
        <v>62</v>
      </c>
      <c r="D108" s="45" t="s">
        <v>99</v>
      </c>
      <c r="E108" s="45" t="s">
        <v>51</v>
      </c>
      <c r="F108" s="35">
        <f>'League Scoreboard'!Q52</f>
        <v>136</v>
      </c>
      <c r="G108" s="35">
        <f>'League Scoreboard'!Q50</f>
        <v>98</v>
      </c>
      <c r="H108" s="35">
        <f>F108-G108</f>
        <v>38</v>
      </c>
      <c r="I108" s="35"/>
      <c r="J108" s="45" t="s">
        <v>62</v>
      </c>
      <c r="K108" s="45" t="s">
        <v>57</v>
      </c>
      <c r="L108" s="45" t="s">
        <v>53</v>
      </c>
      <c r="M108" s="45">
        <f>'League Scoreboard'!Q54</f>
        <v>82</v>
      </c>
      <c r="N108" s="45">
        <f>'League Scoreboard'!Q56</f>
        <v>126</v>
      </c>
      <c r="O108" s="35">
        <f>M108-N108</f>
        <v>-44</v>
      </c>
      <c r="P108" s="35"/>
      <c r="Q108" s="45" t="s">
        <v>62</v>
      </c>
      <c r="R108" s="45" t="s">
        <v>78</v>
      </c>
      <c r="S108" s="45" t="s">
        <v>51</v>
      </c>
      <c r="T108" s="35">
        <f>'League Scoreboard'!Q56</f>
        <v>126</v>
      </c>
      <c r="U108" s="35">
        <f>'League Scoreboard'!Q54</f>
        <v>82</v>
      </c>
      <c r="V108" s="35">
        <f>T108-U108</f>
        <v>44</v>
      </c>
      <c r="W108" s="35"/>
      <c r="X108" s="40"/>
      <c r="Y108" s="35"/>
      <c r="Z108" s="35"/>
      <c r="AA108" s="35"/>
    </row>
    <row r="109">
      <c r="A109" s="40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40"/>
      <c r="Y109" s="35"/>
      <c r="Z109" s="35"/>
      <c r="AA109" s="35"/>
    </row>
    <row r="110">
      <c r="A110" s="40"/>
      <c r="B110" s="35"/>
      <c r="C110" s="45" t="s">
        <v>66</v>
      </c>
      <c r="D110" s="45" t="s">
        <v>60</v>
      </c>
      <c r="E110" s="45" t="s">
        <v>53</v>
      </c>
      <c r="F110" s="35">
        <f>'League Scoreboard'!M68</f>
        <v>174</v>
      </c>
      <c r="G110" s="35">
        <f>'League Scoreboard'!M70</f>
        <v>64</v>
      </c>
      <c r="H110" s="35">
        <f>F110-G110</f>
        <v>110</v>
      </c>
      <c r="I110" s="35"/>
      <c r="J110" s="45" t="s">
        <v>66</v>
      </c>
      <c r="K110" s="45" t="s">
        <v>95</v>
      </c>
      <c r="L110" s="45" t="s">
        <v>51</v>
      </c>
      <c r="M110" s="35">
        <f>'League Scoreboard'!M74</f>
        <v>88</v>
      </c>
      <c r="N110" s="35">
        <f>'League Scoreboard'!M72</f>
        <v>154</v>
      </c>
      <c r="O110" s="35">
        <f>M110-N110</f>
        <v>-66</v>
      </c>
      <c r="P110" s="35"/>
      <c r="Q110" s="45" t="s">
        <v>66</v>
      </c>
      <c r="R110" s="45" t="s">
        <v>50</v>
      </c>
      <c r="S110" s="45" t="s">
        <v>53</v>
      </c>
      <c r="T110" s="35">
        <f>'League Scoreboard'!Q64</f>
        <v>76</v>
      </c>
      <c r="U110" s="35">
        <f>'League Scoreboard'!Q66</f>
        <v>134</v>
      </c>
      <c r="V110" s="35">
        <f>T110-U110</f>
        <v>-58</v>
      </c>
      <c r="W110" s="35"/>
      <c r="X110" s="40"/>
      <c r="Y110" s="35"/>
      <c r="Z110" s="35"/>
      <c r="AA110" s="35"/>
    </row>
    <row r="111">
      <c r="A111" s="40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40"/>
      <c r="Y111" s="35"/>
      <c r="Z111" s="35"/>
      <c r="AA111" s="35"/>
    </row>
    <row r="112">
      <c r="A112" s="40"/>
      <c r="B112" s="35"/>
      <c r="C112" s="45" t="s">
        <v>68</v>
      </c>
      <c r="D112" s="45" t="s">
        <v>88</v>
      </c>
      <c r="E112" s="45" t="s">
        <v>53</v>
      </c>
      <c r="F112" s="35">
        <f>'League Scoreboard'!M82</f>
        <v>72</v>
      </c>
      <c r="G112" s="35">
        <f>'League Scoreboard'!M84</f>
        <v>136</v>
      </c>
      <c r="H112" s="35">
        <f>F112-G112</f>
        <v>-64</v>
      </c>
      <c r="I112" s="35"/>
      <c r="J112" s="45" t="s">
        <v>68</v>
      </c>
      <c r="K112" s="45" t="s">
        <v>64</v>
      </c>
      <c r="L112" s="45" t="s">
        <v>51</v>
      </c>
      <c r="M112" s="35">
        <f>'League Scoreboard'!M88</f>
        <v>68</v>
      </c>
      <c r="N112" s="35">
        <f>'League Scoreboard'!M86</f>
        <v>76</v>
      </c>
      <c r="O112" s="35">
        <f>M112-N112</f>
        <v>-8</v>
      </c>
      <c r="P112" s="35"/>
      <c r="Q112" s="45" t="s">
        <v>68</v>
      </c>
      <c r="R112" s="45" t="s">
        <v>44</v>
      </c>
      <c r="S112" s="45" t="s">
        <v>51</v>
      </c>
      <c r="T112" s="35">
        <f>'League Scoreboard'!E88</f>
        <v>200</v>
      </c>
      <c r="U112" s="35">
        <f>'League Scoreboard'!E86</f>
        <v>8</v>
      </c>
      <c r="V112" s="35">
        <f>T112-U112</f>
        <v>192</v>
      </c>
      <c r="W112" s="35"/>
      <c r="X112" s="40"/>
      <c r="Y112" s="35"/>
      <c r="Z112" s="35"/>
      <c r="AA112" s="35"/>
    </row>
    <row r="113">
      <c r="A113" s="46"/>
      <c r="B113" s="47"/>
      <c r="C113" s="47"/>
      <c r="D113" s="47"/>
      <c r="E113" s="47"/>
      <c r="F113" s="48">
        <f>countif(H102:H112, "&gt;0")</f>
        <v>3</v>
      </c>
      <c r="G113" s="48">
        <f>countif(H102:H112, "&lt;0")</f>
        <v>3</v>
      </c>
      <c r="H113" s="48">
        <f>countif(H102:H112, "=0")</f>
        <v>0</v>
      </c>
      <c r="I113" s="47"/>
      <c r="J113" s="47"/>
      <c r="K113" s="47"/>
      <c r="L113" s="47"/>
      <c r="M113" s="48">
        <f>countif(O102:O112, "&gt;0")</f>
        <v>1</v>
      </c>
      <c r="N113" s="48">
        <f>countif(O102:O112, "&lt;0")</f>
        <v>5</v>
      </c>
      <c r="O113" s="48">
        <f>countif(O102:O112, "=0")</f>
        <v>0</v>
      </c>
      <c r="P113" s="47"/>
      <c r="Q113" s="47"/>
      <c r="R113" s="47"/>
      <c r="S113" s="47"/>
      <c r="T113" s="48">
        <f>countif(V102:V112, "&gt;0")</f>
        <v>3</v>
      </c>
      <c r="U113" s="48">
        <f>countif(V102:V112, "&lt;0")</f>
        <v>3</v>
      </c>
      <c r="V113" s="48">
        <f>countif(V102:V112, "=0")</f>
        <v>0</v>
      </c>
      <c r="W113" s="47"/>
      <c r="X113" s="46"/>
      <c r="Y113" s="47"/>
      <c r="Z113" s="47"/>
      <c r="AA113" s="47"/>
    </row>
    <row r="114">
      <c r="A114" s="40"/>
      <c r="B114" s="35"/>
      <c r="C114" s="45" t="s">
        <v>70</v>
      </c>
      <c r="D114" s="35"/>
      <c r="E114" s="35">
        <f>3*countifs(H102:H112, "&gt;0")+countifs(H102:H112, "=0")</f>
        <v>9</v>
      </c>
      <c r="F114" s="49">
        <f t="shared" ref="F114:H114" si="28">sum(F102:F112)</f>
        <v>752</v>
      </c>
      <c r="G114" s="49">
        <f t="shared" si="28"/>
        <v>762</v>
      </c>
      <c r="H114" s="49">
        <f t="shared" si="28"/>
        <v>-10</v>
      </c>
      <c r="I114" s="35"/>
      <c r="J114" s="45" t="s">
        <v>70</v>
      </c>
      <c r="K114" s="35"/>
      <c r="L114" s="35">
        <f>3*countifs(O102:O112, "&gt;0")+countifs(O102:O112, "=0")</f>
        <v>3</v>
      </c>
      <c r="M114" s="49">
        <f t="shared" ref="M114:O114" si="29">sum(M102:M112)</f>
        <v>644</v>
      </c>
      <c r="N114" s="49">
        <f t="shared" si="29"/>
        <v>734</v>
      </c>
      <c r="O114" s="49">
        <f t="shared" si="29"/>
        <v>-90</v>
      </c>
      <c r="P114" s="35"/>
      <c r="Q114" s="45" t="s">
        <v>70</v>
      </c>
      <c r="R114" s="35"/>
      <c r="S114" s="35">
        <f>3*countifs(V102:V112, "&gt;0")+countifs(V102:V112, "=0")</f>
        <v>9</v>
      </c>
      <c r="T114" s="49">
        <f t="shared" ref="T114:V114" si="30">sum(T102:T112)</f>
        <v>834</v>
      </c>
      <c r="U114" s="49">
        <f t="shared" si="30"/>
        <v>542</v>
      </c>
      <c r="V114" s="49">
        <f t="shared" si="30"/>
        <v>292</v>
      </c>
      <c r="W114" s="35"/>
      <c r="X114" s="40"/>
      <c r="Y114" s="35"/>
      <c r="Z114" s="35"/>
      <c r="AA114" s="35"/>
    </row>
    <row r="115">
      <c r="A115" s="40"/>
      <c r="B115" s="35"/>
      <c r="C115" s="35"/>
      <c r="D115" s="35"/>
      <c r="E115" s="35"/>
      <c r="F115" s="8"/>
      <c r="G115" s="8"/>
      <c r="H115" s="27"/>
      <c r="I115" s="35"/>
      <c r="J115" s="35"/>
      <c r="K115" s="35"/>
      <c r="L115" s="35"/>
      <c r="M115" s="8"/>
      <c r="N115" s="8"/>
      <c r="O115" s="27"/>
      <c r="P115" s="35"/>
      <c r="Q115" s="35"/>
      <c r="R115" s="35"/>
      <c r="S115" s="35"/>
      <c r="T115" s="8"/>
      <c r="U115" s="8"/>
      <c r="V115" s="27"/>
      <c r="W115" s="35"/>
      <c r="X115" s="40"/>
      <c r="Y115" s="35"/>
      <c r="Z115" s="35"/>
      <c r="AA115" s="35"/>
    </row>
    <row r="116">
      <c r="A116" s="40"/>
      <c r="B116" s="35"/>
      <c r="C116" s="45" t="s">
        <v>71</v>
      </c>
      <c r="D116" s="45" t="s">
        <v>99</v>
      </c>
      <c r="E116" s="35"/>
      <c r="F116" s="8">
        <f>'Playoff Scoring'!O19</f>
        <v>92</v>
      </c>
      <c r="G116" s="8"/>
      <c r="H116" s="49">
        <f>F116-G116</f>
        <v>92</v>
      </c>
      <c r="I116" s="35"/>
      <c r="J116" s="45" t="s">
        <v>71</v>
      </c>
      <c r="K116" s="45" t="s">
        <v>65</v>
      </c>
      <c r="L116" s="35"/>
      <c r="M116" s="8">
        <f>'Playoff Scoring'!G28</f>
        <v>56</v>
      </c>
      <c r="N116" s="8">
        <f>'Playoff Scoring'!F29</f>
        <v>78</v>
      </c>
      <c r="O116" s="49">
        <f>M116-N116</f>
        <v>-22</v>
      </c>
      <c r="P116" s="35"/>
      <c r="Q116" s="45" t="s">
        <v>71</v>
      </c>
      <c r="R116" s="45" t="s">
        <v>42</v>
      </c>
      <c r="S116" s="35"/>
      <c r="T116" s="8">
        <f>'Playoff Scoring'!D18</f>
        <v>108</v>
      </c>
      <c r="U116" s="8">
        <f>'Playoff Scoring'!E17</f>
        <v>94</v>
      </c>
      <c r="V116" s="49">
        <f>T116-U116</f>
        <v>14</v>
      </c>
      <c r="W116" s="35"/>
      <c r="X116" s="40"/>
      <c r="Y116" s="35"/>
      <c r="Z116" s="35"/>
      <c r="AA116" s="35"/>
    </row>
    <row r="117">
      <c r="A117" s="40"/>
      <c r="B117" s="35"/>
      <c r="C117" s="35"/>
      <c r="D117" s="35"/>
      <c r="E117" s="35"/>
      <c r="F117" s="8"/>
      <c r="G117" s="8"/>
      <c r="H117" s="27"/>
      <c r="I117" s="35"/>
      <c r="J117" s="35"/>
      <c r="K117" s="35"/>
      <c r="L117" s="35"/>
      <c r="M117" s="8"/>
      <c r="N117" s="8"/>
      <c r="O117" s="27"/>
      <c r="P117" s="35"/>
      <c r="Q117" s="35"/>
      <c r="R117" s="35"/>
      <c r="S117" s="35"/>
      <c r="T117" s="8"/>
      <c r="U117" s="8"/>
      <c r="V117" s="27"/>
      <c r="W117" s="35"/>
      <c r="X117" s="40"/>
      <c r="Y117" s="35"/>
      <c r="Z117" s="35"/>
      <c r="AA117" s="35"/>
    </row>
    <row r="118">
      <c r="A118" s="40"/>
      <c r="B118" s="35"/>
      <c r="C118" s="45" t="s">
        <v>73</v>
      </c>
      <c r="D118" s="45" t="s">
        <v>72</v>
      </c>
      <c r="E118" s="35"/>
      <c r="F118" s="8"/>
      <c r="G118" s="8"/>
      <c r="H118" s="49">
        <f>F118-G118</f>
        <v>0</v>
      </c>
      <c r="I118" s="35"/>
      <c r="J118" s="45" t="s">
        <v>73</v>
      </c>
      <c r="K118" s="45" t="s">
        <v>72</v>
      </c>
      <c r="L118" s="35"/>
      <c r="M118" s="8"/>
      <c r="N118" s="8"/>
      <c r="O118" s="49">
        <f>M118-N118</f>
        <v>0</v>
      </c>
      <c r="P118" s="35"/>
      <c r="Q118" s="45" t="s">
        <v>73</v>
      </c>
      <c r="R118" s="45" t="s">
        <v>81</v>
      </c>
      <c r="S118" s="35"/>
      <c r="T118" s="8">
        <f>'Playoff Scoring'!H18</f>
        <v>96</v>
      </c>
      <c r="U118" s="8">
        <f>'Playoff Scoring'!E21</f>
        <v>24</v>
      </c>
      <c r="V118" s="49">
        <f>T118-U118</f>
        <v>72</v>
      </c>
      <c r="W118" s="35"/>
      <c r="X118" s="40"/>
      <c r="Y118" s="35"/>
      <c r="Z118" s="35"/>
      <c r="AA118" s="35"/>
    </row>
    <row r="119">
      <c r="A119" s="40"/>
      <c r="B119" s="35"/>
      <c r="C119" s="35"/>
      <c r="D119" s="35"/>
      <c r="E119" s="35"/>
      <c r="F119" s="8"/>
      <c r="G119" s="8"/>
      <c r="H119" s="27"/>
      <c r="I119" s="35"/>
      <c r="J119" s="35"/>
      <c r="K119" s="35"/>
      <c r="L119" s="35"/>
      <c r="M119" s="8"/>
      <c r="N119" s="8"/>
      <c r="O119" s="27"/>
      <c r="P119" s="35"/>
      <c r="Q119" s="35"/>
      <c r="R119" s="35"/>
      <c r="S119" s="35"/>
      <c r="T119" s="8"/>
      <c r="U119" s="8"/>
      <c r="V119" s="27"/>
      <c r="W119" s="35"/>
      <c r="X119" s="40"/>
      <c r="Y119" s="35"/>
      <c r="Z119" s="35"/>
      <c r="AA119" s="35"/>
    </row>
    <row r="120">
      <c r="A120" s="40"/>
      <c r="B120" s="35"/>
      <c r="C120" s="45" t="s">
        <v>76</v>
      </c>
      <c r="D120" s="45" t="s">
        <v>92</v>
      </c>
      <c r="E120" s="35"/>
      <c r="F120" s="8">
        <f>'Playoff Scoring'!L19</f>
        <v>88</v>
      </c>
      <c r="G120" s="8">
        <f>'Playoff Scoring'!N17</f>
        <v>64</v>
      </c>
      <c r="H120" s="49">
        <f>F120-G120</f>
        <v>24</v>
      </c>
      <c r="I120" s="35"/>
      <c r="J120" s="45" t="s">
        <v>76</v>
      </c>
      <c r="K120" s="45" t="s">
        <v>58</v>
      </c>
      <c r="L120" s="35"/>
      <c r="M120" s="8">
        <f>'Playoff Scoring'!D28</f>
        <v>78</v>
      </c>
      <c r="N120" s="8">
        <f>'Playoff Scoring'!F26</f>
        <v>94</v>
      </c>
      <c r="O120" s="49">
        <f>M120-N120</f>
        <v>-16</v>
      </c>
      <c r="P120" s="35"/>
      <c r="Q120" s="45" t="s">
        <v>76</v>
      </c>
      <c r="R120" s="45" t="s">
        <v>72</v>
      </c>
      <c r="S120" s="35"/>
      <c r="T120" s="8"/>
      <c r="U120" s="8"/>
      <c r="V120" s="49">
        <f>T120-U120</f>
        <v>0</v>
      </c>
      <c r="W120" s="35"/>
      <c r="X120" s="40"/>
      <c r="Y120" s="35"/>
      <c r="Z120" s="35"/>
      <c r="AA120" s="35"/>
    </row>
    <row r="121">
      <c r="A121" s="40"/>
      <c r="B121" s="35"/>
      <c r="C121" s="35"/>
      <c r="D121" s="35"/>
      <c r="E121" s="35"/>
      <c r="F121" s="8"/>
      <c r="G121" s="8"/>
      <c r="H121" s="27"/>
      <c r="I121" s="35"/>
      <c r="J121" s="35"/>
      <c r="K121" s="35"/>
      <c r="L121" s="35"/>
      <c r="M121" s="8"/>
      <c r="N121" s="8"/>
      <c r="O121" s="27"/>
      <c r="P121" s="35"/>
      <c r="Q121" s="35"/>
      <c r="R121" s="35"/>
      <c r="S121" s="35"/>
      <c r="T121" s="8"/>
      <c r="U121" s="8"/>
      <c r="V121" s="27"/>
      <c r="W121" s="35"/>
      <c r="X121" s="40"/>
      <c r="Y121" s="35"/>
      <c r="Z121" s="35"/>
      <c r="AA121" s="35"/>
    </row>
    <row r="122">
      <c r="A122" s="40"/>
      <c r="B122" s="35"/>
      <c r="C122" s="45" t="s">
        <v>77</v>
      </c>
      <c r="D122" s="45" t="s">
        <v>60</v>
      </c>
      <c r="E122" s="35"/>
      <c r="F122" s="8">
        <f>'Playoff Scoring'!P19</f>
        <v>50</v>
      </c>
      <c r="G122" s="8">
        <f>'Playoff Scoring'!N21</f>
        <v>44</v>
      </c>
      <c r="H122" s="49">
        <f>F122-G122</f>
        <v>6</v>
      </c>
      <c r="I122" s="35"/>
      <c r="J122" s="45" t="s">
        <v>77</v>
      </c>
      <c r="K122" s="45" t="s">
        <v>40</v>
      </c>
      <c r="L122" s="35"/>
      <c r="M122" s="8">
        <f>'Playoff Scoring'!H28</f>
        <v>42</v>
      </c>
      <c r="N122" s="8">
        <f>'Playoff Scoring'!F30</f>
        <v>72</v>
      </c>
      <c r="O122" s="49">
        <f>M122-N122</f>
        <v>-30</v>
      </c>
      <c r="P122" s="35"/>
      <c r="Q122" s="45" t="s">
        <v>77</v>
      </c>
      <c r="R122" s="45" t="s">
        <v>75</v>
      </c>
      <c r="S122" s="35"/>
      <c r="T122" s="8">
        <f>'Playoff Scoring'!G18</f>
        <v>102</v>
      </c>
      <c r="U122" s="8">
        <f>'Playoff Scoring'!E20</f>
        <v>42</v>
      </c>
      <c r="V122" s="49">
        <f>T122-U122</f>
        <v>60</v>
      </c>
      <c r="W122" s="35"/>
      <c r="X122" s="40"/>
      <c r="Y122" s="35"/>
      <c r="Z122" s="35"/>
      <c r="AA122" s="35"/>
    </row>
    <row r="123">
      <c r="A123" s="40"/>
      <c r="B123" s="35"/>
      <c r="C123" s="35"/>
      <c r="D123" s="35"/>
      <c r="E123" s="35"/>
      <c r="F123" s="8"/>
      <c r="G123" s="8"/>
      <c r="H123" s="27"/>
      <c r="I123" s="35"/>
      <c r="J123" s="35"/>
      <c r="K123" s="35"/>
      <c r="L123" s="35"/>
      <c r="M123" s="8"/>
      <c r="N123" s="8"/>
      <c r="O123" s="27"/>
      <c r="P123" s="35"/>
      <c r="Q123" s="35"/>
      <c r="R123" s="35"/>
      <c r="S123" s="35"/>
      <c r="T123" s="8"/>
      <c r="U123" s="8"/>
      <c r="V123" s="27"/>
      <c r="W123" s="35"/>
      <c r="X123" s="40"/>
      <c r="Y123" s="35"/>
      <c r="Z123" s="35"/>
      <c r="AA123" s="35"/>
    </row>
    <row r="124">
      <c r="A124" s="40"/>
      <c r="B124" s="35"/>
      <c r="C124" s="45" t="s">
        <v>80</v>
      </c>
      <c r="D124" s="45" t="s">
        <v>67</v>
      </c>
      <c r="E124" s="35"/>
      <c r="F124" s="8">
        <f>'Playoff Scoring'!M19</f>
        <v>66</v>
      </c>
      <c r="G124" s="8">
        <f>'Playoff Scoring'!N18</f>
        <v>78</v>
      </c>
      <c r="H124" s="49">
        <f>F124-G124</f>
        <v>-12</v>
      </c>
      <c r="I124" s="35"/>
      <c r="J124" s="45" t="s">
        <v>80</v>
      </c>
      <c r="K124" s="45" t="s">
        <v>74</v>
      </c>
      <c r="L124" s="35"/>
      <c r="M124" s="8">
        <f>'Playoff Scoring'!E28</f>
        <v>24</v>
      </c>
      <c r="N124" s="8">
        <f>'Playoff Scoring'!F27</f>
        <v>34</v>
      </c>
      <c r="O124" s="49">
        <f>M124-N124</f>
        <v>-10</v>
      </c>
      <c r="P124" s="35"/>
      <c r="Q124" s="45" t="s">
        <v>80</v>
      </c>
      <c r="R124" s="45" t="s">
        <v>56</v>
      </c>
      <c r="S124" s="35"/>
      <c r="T124" s="8">
        <f>'Playoff Scoring'!F18</f>
        <v>42</v>
      </c>
      <c r="U124" s="8">
        <f>'Playoff Scoring'!E19</f>
        <v>124</v>
      </c>
      <c r="V124" s="49">
        <f>T124-U124</f>
        <v>-82</v>
      </c>
      <c r="W124" s="35"/>
      <c r="X124" s="40"/>
      <c r="Y124" s="35"/>
      <c r="Z124" s="35"/>
      <c r="AA124" s="35"/>
    </row>
    <row r="125">
      <c r="A125" s="40"/>
      <c r="B125" s="35"/>
      <c r="C125" s="35"/>
      <c r="D125" s="35"/>
      <c r="E125" s="35"/>
      <c r="F125" s="8"/>
      <c r="G125" s="8"/>
      <c r="H125" s="27"/>
      <c r="I125" s="35"/>
      <c r="J125" s="35"/>
      <c r="K125" s="35"/>
      <c r="L125" s="35"/>
      <c r="M125" s="8"/>
      <c r="N125" s="8"/>
      <c r="O125" s="27"/>
      <c r="P125" s="35"/>
      <c r="Q125" s="35"/>
      <c r="R125" s="35"/>
      <c r="S125" s="35"/>
      <c r="T125" s="8"/>
      <c r="U125" s="8"/>
      <c r="V125" s="27"/>
      <c r="W125" s="35"/>
      <c r="X125" s="40"/>
      <c r="Y125" s="35"/>
      <c r="Z125" s="35"/>
      <c r="AA125" s="35"/>
    </row>
    <row r="126">
      <c r="A126" s="40"/>
      <c r="B126" s="35"/>
      <c r="C126" s="45" t="s">
        <v>83</v>
      </c>
      <c r="D126" s="35"/>
      <c r="E126" s="35">
        <f>2*countifs(H116:H124, "&gt;0")+countifs(H116:H124, "=0")</f>
        <v>7</v>
      </c>
      <c r="F126" s="35">
        <f t="shared" ref="F126:H126" si="31">sum(F116:F124)</f>
        <v>296</v>
      </c>
      <c r="G126" s="35">
        <f t="shared" si="31"/>
        <v>186</v>
      </c>
      <c r="H126" s="35">
        <f t="shared" si="31"/>
        <v>110</v>
      </c>
      <c r="I126" s="35"/>
      <c r="J126" s="45" t="s">
        <v>83</v>
      </c>
      <c r="K126" s="35"/>
      <c r="L126" s="35">
        <f>2*countifs(O116:O124, "&gt;0")+countifs(O116:O124, "=0")</f>
        <v>1</v>
      </c>
      <c r="M126" s="49">
        <f t="shared" ref="M126:O126" si="32">sum(M116:M124)</f>
        <v>200</v>
      </c>
      <c r="N126" s="49">
        <f t="shared" si="32"/>
        <v>278</v>
      </c>
      <c r="O126" s="49">
        <f t="shared" si="32"/>
        <v>-78</v>
      </c>
      <c r="P126" s="35"/>
      <c r="Q126" s="45" t="s">
        <v>83</v>
      </c>
      <c r="R126" s="35"/>
      <c r="S126" s="35">
        <f>2*countifs(V116:V124, "&gt;0")+countifs(V116:V124, "=0")</f>
        <v>7</v>
      </c>
      <c r="T126" s="49">
        <f t="shared" ref="T126:V126" si="33">sum(T116:T124)</f>
        <v>348</v>
      </c>
      <c r="U126" s="49">
        <f t="shared" si="33"/>
        <v>284</v>
      </c>
      <c r="V126" s="49">
        <f t="shared" si="33"/>
        <v>64</v>
      </c>
      <c r="W126" s="35"/>
      <c r="X126" s="40"/>
      <c r="Y126" s="35"/>
      <c r="Z126" s="35"/>
      <c r="AA126" s="35"/>
    </row>
    <row r="127">
      <c r="A127" s="46"/>
      <c r="B127" s="47"/>
      <c r="C127" s="50"/>
      <c r="D127" s="47"/>
      <c r="E127" s="47"/>
      <c r="F127" s="48">
        <f>COUNTIF(H102:H112, "&gt;0")+countif(H116:H124, "&gt;0")</f>
        <v>6</v>
      </c>
      <c r="G127" s="48">
        <f>COUNTIF(H102:H112, "&lt;0")+countif(H116:H124, "&lt;0")</f>
        <v>4</v>
      </c>
      <c r="H127" s="48">
        <f>COUNTIF(H102:H112, "=0")+countif(H116:H124, "=0")</f>
        <v>1</v>
      </c>
      <c r="I127" s="47"/>
      <c r="J127" s="50"/>
      <c r="K127" s="47"/>
      <c r="L127" s="47"/>
      <c r="M127" s="48">
        <f>COUNTIF(O102:O112, "&gt;0")+countif(O116:O124, "&gt;0")</f>
        <v>1</v>
      </c>
      <c r="N127" s="48">
        <f>COUNTIF(O102:O112, "&lt;0")+countif(O116:O124, "&lt;0")</f>
        <v>9</v>
      </c>
      <c r="O127" s="48">
        <f>COUNTIF(O102:O112, "=0")+countif(O116:O124, "=0")</f>
        <v>1</v>
      </c>
      <c r="P127" s="47"/>
      <c r="Q127" s="50"/>
      <c r="R127" s="47"/>
      <c r="S127" s="47"/>
      <c r="T127" s="48">
        <f>COUNTIF(V102:V112, "&gt;0")+countif(V116:V124, "&gt;0")</f>
        <v>6</v>
      </c>
      <c r="U127" s="48">
        <f>COUNTIF(V102:V112, "&lt;0")+countif(V116:V124, "&lt;0")</f>
        <v>4</v>
      </c>
      <c r="V127" s="48">
        <f>COUNTIF(V102:V112, "=0")+countif(V116:V124, "=0")</f>
        <v>1</v>
      </c>
      <c r="W127" s="47"/>
      <c r="X127" s="46"/>
      <c r="Y127" s="47"/>
      <c r="Z127" s="47"/>
      <c r="AA127" s="47"/>
    </row>
    <row r="128">
      <c r="A128" s="40"/>
      <c r="B128" s="35"/>
      <c r="C128" s="45" t="s">
        <v>84</v>
      </c>
      <c r="D128" s="35"/>
      <c r="E128" s="35">
        <f t="shared" ref="E128:H128" si="34">sum(E114,E126)</f>
        <v>16</v>
      </c>
      <c r="F128" s="35">
        <f t="shared" si="34"/>
        <v>1048</v>
      </c>
      <c r="G128" s="35">
        <f t="shared" si="34"/>
        <v>948</v>
      </c>
      <c r="H128" s="35">
        <f t="shared" si="34"/>
        <v>100</v>
      </c>
      <c r="I128" s="35"/>
      <c r="J128" s="45" t="s">
        <v>84</v>
      </c>
      <c r="K128" s="35"/>
      <c r="L128" s="35">
        <f t="shared" ref="L128:O128" si="35">sum(L114,L126)</f>
        <v>4</v>
      </c>
      <c r="M128" s="35">
        <f t="shared" si="35"/>
        <v>844</v>
      </c>
      <c r="N128" s="35">
        <f t="shared" si="35"/>
        <v>1012</v>
      </c>
      <c r="O128" s="35">
        <f t="shared" si="35"/>
        <v>-168</v>
      </c>
      <c r="P128" s="35"/>
      <c r="Q128" s="45" t="s">
        <v>84</v>
      </c>
      <c r="R128" s="35"/>
      <c r="S128" s="35">
        <f t="shared" ref="S128:V128" si="36">sum(S114,S126)</f>
        <v>16</v>
      </c>
      <c r="T128" s="35">
        <f t="shared" si="36"/>
        <v>1182</v>
      </c>
      <c r="U128" s="35">
        <f t="shared" si="36"/>
        <v>826</v>
      </c>
      <c r="V128" s="35">
        <f t="shared" si="36"/>
        <v>356</v>
      </c>
      <c r="W128" s="35"/>
      <c r="X128" s="40"/>
      <c r="Y128" s="35"/>
      <c r="Z128" s="35"/>
      <c r="AA128" s="35"/>
    </row>
    <row r="129">
      <c r="A129" s="40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40"/>
      <c r="Y129" s="35"/>
      <c r="Z129" s="35"/>
      <c r="AA129" s="35"/>
    </row>
    <row r="130">
      <c r="A130" s="40"/>
      <c r="B130" s="35"/>
      <c r="C130" s="43" t="s">
        <v>104</v>
      </c>
      <c r="D130" s="44" t="s">
        <v>67</v>
      </c>
      <c r="I130" s="42"/>
      <c r="J130" s="43" t="s">
        <v>105</v>
      </c>
      <c r="K130" s="44" t="s">
        <v>106</v>
      </c>
      <c r="P130" s="42"/>
      <c r="Q130" s="43" t="s">
        <v>107</v>
      </c>
      <c r="R130" s="44" t="s">
        <v>58</v>
      </c>
      <c r="W130" s="35"/>
      <c r="X130" s="40"/>
      <c r="Y130" s="35"/>
      <c r="Z130" s="35"/>
      <c r="AA130" s="35"/>
    </row>
    <row r="131">
      <c r="A131" s="40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40"/>
      <c r="Y131" s="35"/>
      <c r="Z131" s="35"/>
      <c r="AA131" s="35"/>
    </row>
    <row r="132">
      <c r="A132" s="40"/>
      <c r="B132" s="35"/>
      <c r="C132" s="45"/>
      <c r="D132" s="45" t="s">
        <v>45</v>
      </c>
      <c r="E132" s="45"/>
      <c r="F132" s="45" t="s">
        <v>46</v>
      </c>
      <c r="G132" s="45" t="s">
        <v>47</v>
      </c>
      <c r="H132" s="45" t="s">
        <v>48</v>
      </c>
      <c r="I132" s="35"/>
      <c r="J132" s="45"/>
      <c r="K132" s="45" t="s">
        <v>45</v>
      </c>
      <c r="L132" s="45"/>
      <c r="M132" s="45" t="s">
        <v>46</v>
      </c>
      <c r="N132" s="45" t="s">
        <v>47</v>
      </c>
      <c r="O132" s="45" t="s">
        <v>48</v>
      </c>
      <c r="P132" s="35"/>
      <c r="Q132" s="45"/>
      <c r="R132" s="45" t="s">
        <v>45</v>
      </c>
      <c r="S132" s="45"/>
      <c r="T132" s="45" t="s">
        <v>46</v>
      </c>
      <c r="U132" s="45" t="s">
        <v>47</v>
      </c>
      <c r="V132" s="45" t="s">
        <v>48</v>
      </c>
      <c r="W132" s="35"/>
      <c r="X132" s="40"/>
      <c r="Y132" s="35"/>
      <c r="Z132" s="35"/>
      <c r="AA132" s="35"/>
    </row>
    <row r="133">
      <c r="A133" s="40"/>
      <c r="B133" s="35"/>
      <c r="C133" s="45" t="s">
        <v>49</v>
      </c>
      <c r="D133" s="45" t="s">
        <v>64</v>
      </c>
      <c r="E133" s="45" t="s">
        <v>53</v>
      </c>
      <c r="F133" s="45">
        <f>'League Scoreboard'!E16</f>
        <v>136</v>
      </c>
      <c r="G133" s="35">
        <f>'League Scoreboard'!E18</f>
        <v>128</v>
      </c>
      <c r="H133" s="35">
        <f>F133-G133</f>
        <v>8</v>
      </c>
      <c r="I133" s="35"/>
      <c r="J133" s="45" t="s">
        <v>49</v>
      </c>
      <c r="K133" s="45" t="s">
        <v>92</v>
      </c>
      <c r="L133" s="45" t="s">
        <v>51</v>
      </c>
      <c r="M133" s="45">
        <f>'League Scoreboard'!I18</f>
        <v>126</v>
      </c>
      <c r="N133" s="35">
        <f>'League Scoreboard'!I16</f>
        <v>134</v>
      </c>
      <c r="O133" s="35">
        <f>M133-N133</f>
        <v>-8</v>
      </c>
      <c r="P133" s="35"/>
      <c r="Q133" s="45" t="s">
        <v>49</v>
      </c>
      <c r="R133" s="45" t="s">
        <v>94</v>
      </c>
      <c r="S133" s="45" t="s">
        <v>51</v>
      </c>
      <c r="T133" s="45">
        <f>'League Scoreboard'!M14</f>
        <v>52</v>
      </c>
      <c r="U133" s="35">
        <f>'League Scoreboard'!M12</f>
        <v>182</v>
      </c>
      <c r="V133" s="35">
        <f>T133-U133</f>
        <v>-130</v>
      </c>
      <c r="W133" s="35"/>
      <c r="X133" s="40"/>
      <c r="Y133" s="35"/>
      <c r="Z133" s="35"/>
      <c r="AA133" s="35"/>
    </row>
    <row r="134">
      <c r="A134" s="40"/>
      <c r="B134" s="35"/>
      <c r="C134" s="45"/>
      <c r="D134" s="35"/>
      <c r="E134" s="45"/>
      <c r="F134" s="45"/>
      <c r="G134" s="35"/>
      <c r="H134" s="35"/>
      <c r="I134" s="35"/>
      <c r="J134" s="45"/>
      <c r="K134" s="35"/>
      <c r="L134" s="35"/>
      <c r="M134" s="45"/>
      <c r="N134" s="35"/>
      <c r="O134" s="35"/>
      <c r="P134" s="35"/>
      <c r="Q134" s="45"/>
      <c r="R134" s="35"/>
      <c r="S134" s="45"/>
      <c r="T134" s="45"/>
      <c r="U134" s="35"/>
      <c r="V134" s="35"/>
      <c r="W134" s="35"/>
      <c r="X134" s="40"/>
      <c r="Y134" s="35"/>
      <c r="Z134" s="35"/>
      <c r="AA134" s="35"/>
    </row>
    <row r="135">
      <c r="A135" s="40"/>
      <c r="B135" s="35"/>
      <c r="C135" s="45" t="s">
        <v>55</v>
      </c>
      <c r="D135" s="45" t="s">
        <v>81</v>
      </c>
      <c r="E135" s="45" t="s">
        <v>51</v>
      </c>
      <c r="F135" s="35">
        <f>'League Scoreboard'!Q24</f>
        <v>102</v>
      </c>
      <c r="G135" s="35">
        <f>'League Scoreboard'!Q22</f>
        <v>154</v>
      </c>
      <c r="H135" s="35">
        <f>F135-G135</f>
        <v>-52</v>
      </c>
      <c r="I135" s="35"/>
      <c r="J135" s="45" t="s">
        <v>55</v>
      </c>
      <c r="K135" s="45" t="s">
        <v>69</v>
      </c>
      <c r="L135" s="45" t="s">
        <v>51</v>
      </c>
      <c r="M135" s="35">
        <f>'League Scoreboard'!Q28</f>
        <v>148</v>
      </c>
      <c r="N135" s="35">
        <f>'League Scoreboard'!Q26</f>
        <v>30</v>
      </c>
      <c r="O135" s="35">
        <f>M135-N135</f>
        <v>118</v>
      </c>
      <c r="P135" s="35"/>
      <c r="Q135" s="45" t="s">
        <v>55</v>
      </c>
      <c r="R135" s="45" t="s">
        <v>44</v>
      </c>
      <c r="S135" s="45" t="s">
        <v>53</v>
      </c>
      <c r="T135" s="35">
        <f>'League Scoreboard'!E30</f>
        <v>88</v>
      </c>
      <c r="U135" s="35">
        <f>'League Scoreboard'!E32</f>
        <v>128</v>
      </c>
      <c r="V135" s="35">
        <f>T135-U135</f>
        <v>-40</v>
      </c>
      <c r="W135" s="35"/>
      <c r="X135" s="40"/>
      <c r="Y135" s="35"/>
      <c r="Z135" s="35"/>
      <c r="AA135" s="35"/>
    </row>
    <row r="136">
      <c r="A136" s="40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40"/>
      <c r="Y136" s="35"/>
      <c r="Z136" s="35"/>
      <c r="AA136" s="35"/>
    </row>
    <row r="137">
      <c r="A137" s="40"/>
      <c r="B137" s="35"/>
      <c r="C137" s="45" t="s">
        <v>59</v>
      </c>
      <c r="D137" s="45" t="s">
        <v>65</v>
      </c>
      <c r="E137" s="45" t="s">
        <v>53</v>
      </c>
      <c r="F137" s="35">
        <f>'League Scoreboard'!Q44</f>
        <v>182</v>
      </c>
      <c r="G137" s="35">
        <f>'League Scoreboard'!Q46</f>
        <v>106</v>
      </c>
      <c r="H137" s="35">
        <f>F137-G137</f>
        <v>76</v>
      </c>
      <c r="I137" s="35"/>
      <c r="J137" s="45" t="s">
        <v>59</v>
      </c>
      <c r="K137" s="45" t="s">
        <v>82</v>
      </c>
      <c r="L137" s="45" t="s">
        <v>51</v>
      </c>
      <c r="M137" s="35">
        <f>'League Scoreboard'!I38</f>
        <v>130</v>
      </c>
      <c r="N137" s="35">
        <f>'League Scoreboard'!I36</f>
        <v>74</v>
      </c>
      <c r="O137" s="35">
        <f>M137-N137</f>
        <v>56</v>
      </c>
      <c r="P137" s="35"/>
      <c r="Q137" s="45" t="s">
        <v>59</v>
      </c>
      <c r="R137" s="45" t="s">
        <v>91</v>
      </c>
      <c r="S137" s="45" t="s">
        <v>53</v>
      </c>
      <c r="T137" s="35">
        <f>'League Scoreboard'!U36</f>
        <v>136</v>
      </c>
      <c r="U137" s="35">
        <f>'League Scoreboard'!U38</f>
        <v>150</v>
      </c>
      <c r="V137" s="35">
        <f>T137-U137</f>
        <v>-14</v>
      </c>
      <c r="W137" s="35"/>
      <c r="X137" s="40"/>
      <c r="Y137" s="35"/>
      <c r="Z137" s="35"/>
      <c r="AA137" s="35"/>
    </row>
    <row r="138">
      <c r="A138" s="40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40"/>
      <c r="Y138" s="35"/>
      <c r="Z138" s="35"/>
      <c r="AA138" s="35"/>
    </row>
    <row r="139">
      <c r="A139" s="40"/>
      <c r="B139" s="35"/>
      <c r="C139" s="45" t="s">
        <v>62</v>
      </c>
      <c r="D139" s="45" t="s">
        <v>74</v>
      </c>
      <c r="E139" s="45" t="s">
        <v>51</v>
      </c>
      <c r="F139" s="35">
        <f>'League Scoreboard'!M52</f>
        <v>166</v>
      </c>
      <c r="G139" s="35">
        <f>'League Scoreboard'!M50</f>
        <v>40</v>
      </c>
      <c r="H139" s="35">
        <f>F139-G139</f>
        <v>126</v>
      </c>
      <c r="I139" s="35"/>
      <c r="J139" s="45" t="s">
        <v>62</v>
      </c>
      <c r="K139" s="45" t="s">
        <v>56</v>
      </c>
      <c r="L139" s="45" t="s">
        <v>53</v>
      </c>
      <c r="M139" s="35">
        <f>'League Scoreboard'!Q58</f>
        <v>40</v>
      </c>
      <c r="N139" s="35">
        <f>'League Scoreboard'!Q60</f>
        <v>162</v>
      </c>
      <c r="O139" s="35">
        <f>M139-N139</f>
        <v>-122</v>
      </c>
      <c r="P139" s="35"/>
      <c r="Q139" s="45" t="s">
        <v>62</v>
      </c>
      <c r="R139" s="45" t="s">
        <v>81</v>
      </c>
      <c r="S139" s="45" t="s">
        <v>53</v>
      </c>
      <c r="T139" s="35">
        <f>'League Scoreboard'!U50</f>
        <v>144</v>
      </c>
      <c r="U139" s="35">
        <f>'League Scoreboard'!U52</f>
        <v>88</v>
      </c>
      <c r="V139" s="35">
        <f>T139-U139</f>
        <v>56</v>
      </c>
      <c r="W139" s="35"/>
      <c r="X139" s="40"/>
      <c r="Y139" s="35"/>
      <c r="Z139" s="35"/>
      <c r="AA139" s="35"/>
    </row>
    <row r="140">
      <c r="A140" s="40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40"/>
      <c r="Y140" s="35"/>
      <c r="Z140" s="35"/>
      <c r="AA140" s="35"/>
    </row>
    <row r="141">
      <c r="A141" s="40"/>
      <c r="B141" s="35"/>
      <c r="C141" s="45" t="s">
        <v>66</v>
      </c>
      <c r="D141" s="45" t="s">
        <v>42</v>
      </c>
      <c r="E141" s="45" t="s">
        <v>53</v>
      </c>
      <c r="F141" s="35">
        <f>'League Scoreboard'!E68</f>
        <v>84</v>
      </c>
      <c r="G141" s="35">
        <f>'League Scoreboard'!E70</f>
        <v>158</v>
      </c>
      <c r="H141" s="35">
        <f>F141-G141</f>
        <v>-74</v>
      </c>
      <c r="I141" s="35"/>
      <c r="J141" s="45" t="s">
        <v>66</v>
      </c>
      <c r="K141" s="45" t="s">
        <v>78</v>
      </c>
      <c r="L141" s="45" t="s">
        <v>53</v>
      </c>
      <c r="M141" s="35">
        <f>'League Scoreboard'!M72</f>
        <v>154</v>
      </c>
      <c r="N141" s="35">
        <f>'League Scoreboard'!M74</f>
        <v>88</v>
      </c>
      <c r="O141" s="35">
        <f>M141-N141</f>
        <v>66</v>
      </c>
      <c r="P141" s="35"/>
      <c r="Q141" s="45" t="s">
        <v>66</v>
      </c>
      <c r="R141" s="45" t="s">
        <v>56</v>
      </c>
      <c r="S141" s="45" t="s">
        <v>51</v>
      </c>
      <c r="T141" s="35">
        <f>'League Scoreboard'!Q70</f>
        <v>102</v>
      </c>
      <c r="U141" s="35">
        <f>'League Scoreboard'!Q68</f>
        <v>58</v>
      </c>
      <c r="V141" s="35">
        <f>T141-U141</f>
        <v>44</v>
      </c>
      <c r="W141" s="35"/>
      <c r="X141" s="40"/>
      <c r="Y141" s="35"/>
      <c r="Z141" s="35"/>
      <c r="AA141" s="35"/>
    </row>
    <row r="142">
      <c r="A142" s="40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40"/>
      <c r="Y142" s="35"/>
      <c r="Z142" s="35"/>
      <c r="AA142" s="35"/>
    </row>
    <row r="143">
      <c r="A143" s="40"/>
      <c r="B143" s="35"/>
      <c r="C143" s="45" t="s">
        <v>68</v>
      </c>
      <c r="D143" s="45" t="s">
        <v>106</v>
      </c>
      <c r="E143" s="45" t="s">
        <v>51</v>
      </c>
      <c r="F143" s="35">
        <f>'League Scoreboard'!Q80</f>
        <v>64</v>
      </c>
      <c r="G143" s="35">
        <f>'League Scoreboard'!Q78</f>
        <v>156</v>
      </c>
      <c r="H143" s="35">
        <f>F143-G143</f>
        <v>-92</v>
      </c>
      <c r="I143" s="35"/>
      <c r="J143" s="45" t="s">
        <v>68</v>
      </c>
      <c r="K143" s="45" t="s">
        <v>67</v>
      </c>
      <c r="L143" s="45" t="s">
        <v>53</v>
      </c>
      <c r="M143" s="35">
        <f>'League Scoreboard'!Q78</f>
        <v>156</v>
      </c>
      <c r="N143" s="35">
        <f>'League Scoreboard'!Q80</f>
        <v>64</v>
      </c>
      <c r="O143" s="35">
        <f>M143-N143</f>
        <v>92</v>
      </c>
      <c r="P143" s="35"/>
      <c r="Q143" s="45" t="s">
        <v>68</v>
      </c>
      <c r="R143" s="45" t="s">
        <v>60</v>
      </c>
      <c r="S143" s="45" t="s">
        <v>51</v>
      </c>
      <c r="T143" s="35">
        <f>'League Scoreboard'!Q84</f>
        <v>56</v>
      </c>
      <c r="U143" s="35">
        <f>'League Scoreboard'!Q82</f>
        <v>94</v>
      </c>
      <c r="V143" s="35">
        <f>T143-U143</f>
        <v>-38</v>
      </c>
      <c r="W143" s="35"/>
      <c r="X143" s="40"/>
      <c r="Y143" s="35"/>
      <c r="Z143" s="35"/>
      <c r="AA143" s="35"/>
    </row>
    <row r="144">
      <c r="A144" s="46"/>
      <c r="B144" s="47"/>
      <c r="C144" s="47"/>
      <c r="D144" s="47"/>
      <c r="E144" s="47"/>
      <c r="F144" s="48">
        <f>countif(H133:H143, "&gt;0")</f>
        <v>3</v>
      </c>
      <c r="G144" s="48">
        <f>countif(H133:H143, "&lt;0")</f>
        <v>3</v>
      </c>
      <c r="H144" s="48">
        <f>countif(H133:H143, "=0")</f>
        <v>0</v>
      </c>
      <c r="I144" s="47"/>
      <c r="J144" s="47"/>
      <c r="K144" s="47"/>
      <c r="L144" s="47"/>
      <c r="M144" s="48">
        <f>countif(O133:O143, "&gt;0")</f>
        <v>4</v>
      </c>
      <c r="N144" s="48">
        <f>countif(O133:O143, "&lt;0")</f>
        <v>2</v>
      </c>
      <c r="O144" s="48">
        <f>countif(O133:O143, "=0")</f>
        <v>0</v>
      </c>
      <c r="P144" s="47"/>
      <c r="Q144" s="47"/>
      <c r="R144" s="47"/>
      <c r="S144" s="47"/>
      <c r="T144" s="48">
        <f>countif(V133:V143, "&gt;0")</f>
        <v>2</v>
      </c>
      <c r="U144" s="48">
        <f>countif(V133:V143, "&lt;0")</f>
        <v>4</v>
      </c>
      <c r="V144" s="48">
        <f>countif(V133:V143, "=0")</f>
        <v>0</v>
      </c>
      <c r="W144" s="47"/>
      <c r="X144" s="46"/>
      <c r="Y144" s="47"/>
      <c r="Z144" s="47"/>
      <c r="AA144" s="47"/>
    </row>
    <row r="145">
      <c r="A145" s="40"/>
      <c r="B145" s="35"/>
      <c r="C145" s="45" t="s">
        <v>70</v>
      </c>
      <c r="D145" s="35"/>
      <c r="E145" s="35">
        <f>3*countifs(H133:H143, "&gt;0")+countifs(H133:H143, "=0")</f>
        <v>9</v>
      </c>
      <c r="F145" s="49">
        <f t="shared" ref="F145:H145" si="37">sum(F133:F143)</f>
        <v>734</v>
      </c>
      <c r="G145" s="49">
        <f t="shared" si="37"/>
        <v>742</v>
      </c>
      <c r="H145" s="49">
        <f t="shared" si="37"/>
        <v>-8</v>
      </c>
      <c r="I145" s="35"/>
      <c r="J145" s="45" t="s">
        <v>70</v>
      </c>
      <c r="K145" s="35"/>
      <c r="L145" s="35">
        <f>3*countifs(O133:O143, "&gt;0")+countifs(O133:O143, "=0")</f>
        <v>12</v>
      </c>
      <c r="M145" s="49">
        <f t="shared" ref="M145:O145" si="38">sum(M133:M143)</f>
        <v>754</v>
      </c>
      <c r="N145" s="49">
        <f t="shared" si="38"/>
        <v>552</v>
      </c>
      <c r="O145" s="49">
        <f t="shared" si="38"/>
        <v>202</v>
      </c>
      <c r="P145" s="35"/>
      <c r="Q145" s="45" t="s">
        <v>70</v>
      </c>
      <c r="R145" s="35"/>
      <c r="S145" s="35">
        <f>3*countifs(V133:V143, "&gt;0")+countifs(V133:V143, "=0")</f>
        <v>6</v>
      </c>
      <c r="T145" s="49">
        <f t="shared" ref="T145:V145" si="39">sum(T133:T143)</f>
        <v>578</v>
      </c>
      <c r="U145" s="49">
        <f t="shared" si="39"/>
        <v>700</v>
      </c>
      <c r="V145" s="49">
        <f t="shared" si="39"/>
        <v>-122</v>
      </c>
      <c r="W145" s="35"/>
      <c r="X145" s="40"/>
      <c r="Y145" s="35"/>
      <c r="Z145" s="35"/>
      <c r="AA145" s="35"/>
    </row>
    <row r="146">
      <c r="A146" s="40"/>
      <c r="B146" s="35"/>
      <c r="C146" s="35"/>
      <c r="D146" s="35"/>
      <c r="E146" s="35"/>
      <c r="F146" s="8"/>
      <c r="G146" s="8"/>
      <c r="H146" s="27"/>
      <c r="I146" s="35"/>
      <c r="J146" s="35"/>
      <c r="K146" s="35"/>
      <c r="L146" s="35"/>
      <c r="M146" s="8"/>
      <c r="N146" s="8"/>
      <c r="O146" s="27"/>
      <c r="P146" s="35"/>
      <c r="Q146" s="35"/>
      <c r="R146" s="35"/>
      <c r="S146" s="35"/>
      <c r="T146" s="8"/>
      <c r="U146" s="8"/>
      <c r="V146" s="27"/>
      <c r="W146" s="35"/>
      <c r="X146" s="40"/>
      <c r="Y146" s="35"/>
      <c r="Z146" s="35"/>
      <c r="AA146" s="35"/>
    </row>
    <row r="147">
      <c r="A147" s="40"/>
      <c r="B147" s="35"/>
      <c r="C147" s="45" t="s">
        <v>71</v>
      </c>
      <c r="D147" s="45" t="s">
        <v>92</v>
      </c>
      <c r="E147" s="35"/>
      <c r="F147" s="8">
        <f>'Playoff Scoring'!L18</f>
        <v>82</v>
      </c>
      <c r="G147" s="8">
        <f>'Playoff Scoring'!M17</f>
        <v>42</v>
      </c>
      <c r="H147" s="49">
        <f>F147-G147</f>
        <v>40</v>
      </c>
      <c r="I147" s="35"/>
      <c r="J147" s="45" t="s">
        <v>71</v>
      </c>
      <c r="K147" s="45" t="s">
        <v>72</v>
      </c>
      <c r="L147" s="35"/>
      <c r="M147" s="8"/>
      <c r="N147" s="8"/>
      <c r="O147" s="49">
        <f>M147-N147</f>
        <v>0</v>
      </c>
      <c r="P147" s="35"/>
      <c r="Q147" s="45" t="s">
        <v>71</v>
      </c>
      <c r="R147" s="45" t="s">
        <v>74</v>
      </c>
      <c r="S147" s="35"/>
      <c r="T147" s="8">
        <f>'Playoff Scoring'!E26</f>
        <v>114</v>
      </c>
      <c r="U147" s="8">
        <f>'Playoff Scoring'!D27</f>
        <v>10</v>
      </c>
      <c r="V147" s="49">
        <f>T147-U147</f>
        <v>104</v>
      </c>
      <c r="W147" s="35"/>
      <c r="X147" s="40"/>
      <c r="Y147" s="35"/>
      <c r="Z147" s="35"/>
      <c r="AA147" s="35"/>
    </row>
    <row r="148">
      <c r="A148" s="40"/>
      <c r="B148" s="35"/>
      <c r="C148" s="35"/>
      <c r="D148" s="35"/>
      <c r="E148" s="35"/>
      <c r="F148" s="8"/>
      <c r="G148" s="8"/>
      <c r="H148" s="27"/>
      <c r="I148" s="35"/>
      <c r="J148" s="35"/>
      <c r="K148" s="35"/>
      <c r="L148" s="35"/>
      <c r="M148" s="8"/>
      <c r="N148" s="8"/>
      <c r="O148" s="27"/>
      <c r="P148" s="35"/>
      <c r="Q148" s="35"/>
      <c r="R148" s="35"/>
      <c r="S148" s="35"/>
      <c r="T148" s="8"/>
      <c r="U148" s="8"/>
      <c r="V148" s="27"/>
      <c r="W148" s="35"/>
      <c r="X148" s="40"/>
      <c r="Y148" s="35"/>
      <c r="Z148" s="35"/>
      <c r="AA148" s="35"/>
    </row>
    <row r="149">
      <c r="A149" s="40"/>
      <c r="B149" s="35"/>
      <c r="C149" s="45" t="s">
        <v>73</v>
      </c>
      <c r="D149" s="45" t="s">
        <v>60</v>
      </c>
      <c r="E149" s="35"/>
      <c r="F149" s="8">
        <f>'Playoff Scoring'!P18</f>
        <v>50</v>
      </c>
      <c r="G149" s="8">
        <f>'Playoff Scoring'!M21</f>
        <v>96</v>
      </c>
      <c r="H149" s="49">
        <f>F149-G149</f>
        <v>-46</v>
      </c>
      <c r="I149" s="35"/>
      <c r="J149" s="45" t="s">
        <v>73</v>
      </c>
      <c r="K149" s="45" t="s">
        <v>64</v>
      </c>
      <c r="L149" s="35"/>
      <c r="M149" s="8">
        <f>'Playoff Scoring'!M12</f>
        <v>82</v>
      </c>
      <c r="N149" s="8">
        <f>'Playoff Scoring'!P9</f>
        <v>54</v>
      </c>
      <c r="O149" s="49">
        <f>M149-N149</f>
        <v>28</v>
      </c>
      <c r="P149" s="35"/>
      <c r="Q149" s="45" t="s">
        <v>73</v>
      </c>
      <c r="R149" s="45" t="s">
        <v>65</v>
      </c>
      <c r="S149" s="35"/>
      <c r="T149" s="8">
        <f>'Playoff Scoring'!G26</f>
        <v>98</v>
      </c>
      <c r="U149" s="8">
        <f>'Playoff Scoring'!D29</f>
        <v>86</v>
      </c>
      <c r="V149" s="49">
        <f>T149-U149</f>
        <v>12</v>
      </c>
      <c r="W149" s="35"/>
      <c r="X149" s="40"/>
      <c r="Y149" s="35"/>
      <c r="Z149" s="35"/>
      <c r="AA149" s="35"/>
    </row>
    <row r="150">
      <c r="A150" s="40"/>
      <c r="B150" s="35"/>
      <c r="C150" s="35"/>
      <c r="D150" s="35"/>
      <c r="E150" s="35"/>
      <c r="F150" s="8"/>
      <c r="G150" s="8"/>
      <c r="H150" s="27"/>
      <c r="I150" s="35"/>
      <c r="J150" s="35"/>
      <c r="K150" s="35"/>
      <c r="L150" s="35"/>
      <c r="M150" s="8"/>
      <c r="N150" s="8"/>
      <c r="O150" s="27"/>
      <c r="P150" s="35"/>
      <c r="Q150" s="35"/>
      <c r="R150" s="35"/>
      <c r="S150" s="35"/>
      <c r="T150" s="8"/>
      <c r="U150" s="8"/>
      <c r="V150" s="27"/>
      <c r="W150" s="35"/>
      <c r="X150" s="40"/>
      <c r="Y150" s="35"/>
      <c r="Z150" s="35"/>
      <c r="AA150" s="35"/>
    </row>
    <row r="151">
      <c r="A151" s="40"/>
      <c r="B151" s="35"/>
      <c r="C151" s="45" t="s">
        <v>76</v>
      </c>
      <c r="D151" s="45" t="s">
        <v>72</v>
      </c>
      <c r="E151" s="35"/>
      <c r="F151" s="8"/>
      <c r="G151" s="8"/>
      <c r="H151" s="49">
        <f>F151-G151</f>
        <v>0</v>
      </c>
      <c r="I151" s="35"/>
      <c r="J151" s="45" t="s">
        <v>76</v>
      </c>
      <c r="K151" s="45" t="s">
        <v>50</v>
      </c>
      <c r="L151" s="35"/>
      <c r="M151" s="8">
        <f>'Playoff Scoring'!O12</f>
        <v>54</v>
      </c>
      <c r="N151" s="8">
        <f>'Playoff Scoring'!P11</f>
        <v>114</v>
      </c>
      <c r="O151" s="49">
        <f>M151-N151</f>
        <v>-60</v>
      </c>
      <c r="P151" s="35"/>
      <c r="Q151" s="45" t="s">
        <v>76</v>
      </c>
      <c r="R151" s="45" t="s">
        <v>78</v>
      </c>
      <c r="S151" s="35"/>
      <c r="T151" s="8">
        <f>'Playoff Scoring'!F26</f>
        <v>94</v>
      </c>
      <c r="U151" s="8">
        <f>'Playoff Scoring'!D28</f>
        <v>78</v>
      </c>
      <c r="V151" s="49">
        <f>T151-U151</f>
        <v>16</v>
      </c>
      <c r="W151" s="35"/>
      <c r="X151" s="40"/>
      <c r="Y151" s="35"/>
      <c r="Z151" s="35"/>
      <c r="AA151" s="35"/>
    </row>
    <row r="152">
      <c r="A152" s="40"/>
      <c r="B152" s="35"/>
      <c r="C152" s="35"/>
      <c r="D152" s="35"/>
      <c r="E152" s="35"/>
      <c r="F152" s="8"/>
      <c r="G152" s="8"/>
      <c r="H152" s="27"/>
      <c r="I152" s="35"/>
      <c r="J152" s="35"/>
      <c r="K152" s="35"/>
      <c r="L152" s="35"/>
      <c r="M152" s="8"/>
      <c r="N152" s="8"/>
      <c r="O152" s="27"/>
      <c r="P152" s="35"/>
      <c r="Q152" s="35"/>
      <c r="R152" s="35"/>
      <c r="S152" s="35"/>
      <c r="T152" s="8"/>
      <c r="U152" s="8"/>
      <c r="V152" s="27"/>
      <c r="W152" s="35"/>
      <c r="X152" s="40"/>
      <c r="Y152" s="35"/>
      <c r="Z152" s="35"/>
      <c r="AA152" s="35"/>
    </row>
    <row r="153">
      <c r="A153" s="40"/>
      <c r="B153" s="35"/>
      <c r="C153" s="45" t="s">
        <v>77</v>
      </c>
      <c r="D153" s="45" t="s">
        <v>99</v>
      </c>
      <c r="E153" s="35"/>
      <c r="F153" s="8">
        <f>'Playoff Scoring'!O18</f>
        <v>58</v>
      </c>
      <c r="G153" s="8">
        <f>'Playoff Scoring'!M20</f>
        <v>78</v>
      </c>
      <c r="H153" s="49">
        <f>F153-G153</f>
        <v>-20</v>
      </c>
      <c r="I153" s="35"/>
      <c r="J153" s="45" t="s">
        <v>77</v>
      </c>
      <c r="K153" s="45" t="s">
        <v>91</v>
      </c>
      <c r="L153" s="35"/>
      <c r="M153" s="8">
        <f>'Playoff Scoring'!N12</f>
        <v>98</v>
      </c>
      <c r="N153" s="8">
        <f>'Playoff Scoring'!P10</f>
        <v>26</v>
      </c>
      <c r="O153" s="49">
        <f>M153-N153</f>
        <v>72</v>
      </c>
      <c r="P153" s="35"/>
      <c r="Q153" s="45" t="s">
        <v>77</v>
      </c>
      <c r="R153" s="45" t="s">
        <v>72</v>
      </c>
      <c r="S153" s="35"/>
      <c r="T153" s="8"/>
      <c r="U153" s="8"/>
      <c r="V153" s="49">
        <f>T153-U153</f>
        <v>0</v>
      </c>
      <c r="W153" s="35"/>
      <c r="X153" s="40"/>
      <c r="Y153" s="35"/>
      <c r="Z153" s="35"/>
      <c r="AA153" s="35"/>
    </row>
    <row r="154">
      <c r="A154" s="40"/>
      <c r="B154" s="35"/>
      <c r="C154" s="35"/>
      <c r="D154" s="35"/>
      <c r="E154" s="35"/>
      <c r="F154" s="8"/>
      <c r="G154" s="8"/>
      <c r="H154" s="27"/>
      <c r="I154" s="35"/>
      <c r="J154" s="35"/>
      <c r="K154" s="35"/>
      <c r="L154" s="35"/>
      <c r="M154" s="8"/>
      <c r="N154" s="8"/>
      <c r="O154" s="27"/>
      <c r="P154" s="35"/>
      <c r="Q154" s="35"/>
      <c r="R154" s="35"/>
      <c r="S154" s="35"/>
      <c r="T154" s="8"/>
      <c r="U154" s="8"/>
      <c r="V154" s="27"/>
      <c r="W154" s="35"/>
      <c r="X154" s="40"/>
      <c r="Y154" s="35"/>
      <c r="Z154" s="35"/>
      <c r="AA154" s="35"/>
    </row>
    <row r="155">
      <c r="A155" s="40"/>
      <c r="B155" s="35"/>
      <c r="C155" s="45" t="s">
        <v>80</v>
      </c>
      <c r="D155" s="45" t="s">
        <v>89</v>
      </c>
      <c r="E155" s="35"/>
      <c r="F155" s="8">
        <f>'Playoff Scoring'!N18</f>
        <v>78</v>
      </c>
      <c r="G155" s="8">
        <f>'Playoff Scoring'!M19</f>
        <v>66</v>
      </c>
      <c r="H155" s="49">
        <f>F155-G155</f>
        <v>12</v>
      </c>
      <c r="I155" s="35"/>
      <c r="J155" s="45" t="s">
        <v>80</v>
      </c>
      <c r="K155" s="45" t="s">
        <v>54</v>
      </c>
      <c r="L155" s="35"/>
      <c r="M155" s="8">
        <f>'Playoff Scoring'!L12</f>
        <v>86</v>
      </c>
      <c r="N155" s="8">
        <f>'Playoff Scoring'!P8</f>
        <v>92</v>
      </c>
      <c r="O155" s="49">
        <f>M155-N155</f>
        <v>-6</v>
      </c>
      <c r="P155" s="35"/>
      <c r="Q155" s="45" t="s">
        <v>80</v>
      </c>
      <c r="R155" s="45" t="s">
        <v>40</v>
      </c>
      <c r="S155" s="35"/>
      <c r="T155" s="8">
        <f>'Playoff Scoring'!H26</f>
        <v>58</v>
      </c>
      <c r="U155" s="8">
        <f>'Playoff Scoring'!D30</f>
        <v>42</v>
      </c>
      <c r="V155" s="49">
        <f>T155-U155</f>
        <v>16</v>
      </c>
      <c r="W155" s="35"/>
      <c r="X155" s="40"/>
      <c r="Y155" s="35"/>
      <c r="Z155" s="35"/>
      <c r="AA155" s="35"/>
    </row>
    <row r="156">
      <c r="A156" s="40"/>
      <c r="B156" s="35"/>
      <c r="C156" s="35"/>
      <c r="D156" s="35"/>
      <c r="E156" s="35"/>
      <c r="F156" s="8"/>
      <c r="G156" s="8"/>
      <c r="H156" s="27"/>
      <c r="I156" s="35"/>
      <c r="J156" s="35"/>
      <c r="K156" s="35"/>
      <c r="L156" s="35"/>
      <c r="M156" s="8"/>
      <c r="N156" s="8"/>
      <c r="O156" s="27"/>
      <c r="P156" s="35"/>
      <c r="Q156" s="35"/>
      <c r="R156" s="35"/>
      <c r="S156" s="35"/>
      <c r="T156" s="8"/>
      <c r="U156" s="8"/>
      <c r="V156" s="27"/>
      <c r="W156" s="35"/>
      <c r="X156" s="40"/>
      <c r="Y156" s="35"/>
      <c r="Z156" s="35"/>
      <c r="AA156" s="35"/>
    </row>
    <row r="157">
      <c r="A157" s="40"/>
      <c r="B157" s="35"/>
      <c r="C157" s="45" t="s">
        <v>83</v>
      </c>
      <c r="D157" s="35"/>
      <c r="E157" s="35">
        <f>2*countifs(H147:H155, "&gt;0")+countifs(H147:H155, "=0")</f>
        <v>5</v>
      </c>
      <c r="F157" s="35">
        <f t="shared" ref="F157:H157" si="40">sum(F147:F155)</f>
        <v>268</v>
      </c>
      <c r="G157" s="35">
        <f t="shared" si="40"/>
        <v>282</v>
      </c>
      <c r="H157" s="35">
        <f t="shared" si="40"/>
        <v>-14</v>
      </c>
      <c r="I157" s="35"/>
      <c r="J157" s="45" t="s">
        <v>83</v>
      </c>
      <c r="K157" s="35"/>
      <c r="L157" s="35">
        <f>2*countifs(O147:O155, "&gt;0")+countifs(O147:O155, "=0")</f>
        <v>5</v>
      </c>
      <c r="M157" s="49">
        <f t="shared" ref="M157:O157" si="41">sum(M147:M155)</f>
        <v>320</v>
      </c>
      <c r="N157" s="49">
        <f t="shared" si="41"/>
        <v>286</v>
      </c>
      <c r="O157" s="49">
        <f t="shared" si="41"/>
        <v>34</v>
      </c>
      <c r="P157" s="35"/>
      <c r="Q157" s="45" t="s">
        <v>83</v>
      </c>
      <c r="R157" s="35"/>
      <c r="S157" s="35">
        <f>2*countifs(V147:V155, "&gt;0")+countifs(V147:V155, "=0")</f>
        <v>9</v>
      </c>
      <c r="T157" s="49">
        <f t="shared" ref="T157:V157" si="42">sum(T147:T155)</f>
        <v>364</v>
      </c>
      <c r="U157" s="49">
        <f t="shared" si="42"/>
        <v>216</v>
      </c>
      <c r="V157" s="49">
        <f t="shared" si="42"/>
        <v>148</v>
      </c>
      <c r="W157" s="35"/>
      <c r="X157" s="40"/>
      <c r="Y157" s="35"/>
      <c r="Z157" s="35"/>
      <c r="AA157" s="35"/>
    </row>
    <row r="158">
      <c r="A158" s="46"/>
      <c r="B158" s="47"/>
      <c r="C158" s="50"/>
      <c r="D158" s="47"/>
      <c r="E158" s="47"/>
      <c r="F158" s="48">
        <f>COUNTIF(H133:H143, "&gt;0")+countif(H147:H155, "&gt;0")</f>
        <v>5</v>
      </c>
      <c r="G158" s="48">
        <f>COUNTIF(H133:H143, "&lt;0")+countif(H147:H155, "&lt;0")</f>
        <v>5</v>
      </c>
      <c r="H158" s="48">
        <f>COUNTIF(H133:H143, "=0")+countif(H147:H155, "=0")</f>
        <v>1</v>
      </c>
      <c r="I158" s="47"/>
      <c r="J158" s="50"/>
      <c r="K158" s="47"/>
      <c r="L158" s="47"/>
      <c r="M158" s="48">
        <f>COUNTIF(O133:O143, "&gt;0")+countif(O147:O155, "&gt;0")</f>
        <v>6</v>
      </c>
      <c r="N158" s="48">
        <f>COUNTIF(O133:O143, "&lt;0")+countif(O147:O155, "&lt;0")</f>
        <v>4</v>
      </c>
      <c r="O158" s="48">
        <f>COUNTIF(O133:O143, "=0")+countif(O147:O155, "=0")</f>
        <v>1</v>
      </c>
      <c r="P158" s="47"/>
      <c r="Q158" s="50"/>
      <c r="R158" s="47"/>
      <c r="S158" s="47"/>
      <c r="T158" s="48">
        <f>COUNTIF(V133:V143, "&gt;0")+countif(V147:V155, "&gt;0")</f>
        <v>6</v>
      </c>
      <c r="U158" s="48">
        <f>COUNTIF(V133:V143, "&lt;0")+countif(V147:V155, "&lt;0")</f>
        <v>4</v>
      </c>
      <c r="V158" s="48">
        <f>COUNTIF(V133:V143, "=0")+countif(V147:V155, "=0")</f>
        <v>1</v>
      </c>
      <c r="W158" s="47"/>
      <c r="X158" s="46"/>
      <c r="Y158" s="47"/>
      <c r="Z158" s="47"/>
      <c r="AA158" s="47"/>
    </row>
    <row r="159">
      <c r="A159" s="40"/>
      <c r="B159" s="35"/>
      <c r="C159" s="45" t="s">
        <v>84</v>
      </c>
      <c r="D159" s="35"/>
      <c r="E159" s="35">
        <f t="shared" ref="E159:H159" si="43">sum(E145,E157)</f>
        <v>14</v>
      </c>
      <c r="F159" s="35">
        <f t="shared" si="43"/>
        <v>1002</v>
      </c>
      <c r="G159" s="35">
        <f t="shared" si="43"/>
        <v>1024</v>
      </c>
      <c r="H159" s="35">
        <f t="shared" si="43"/>
        <v>-22</v>
      </c>
      <c r="I159" s="35"/>
      <c r="J159" s="45" t="s">
        <v>84</v>
      </c>
      <c r="K159" s="35"/>
      <c r="L159" s="35">
        <f t="shared" ref="L159:O159" si="44">sum(L145,L157)</f>
        <v>17</v>
      </c>
      <c r="M159" s="35">
        <f t="shared" si="44"/>
        <v>1074</v>
      </c>
      <c r="N159" s="35">
        <f t="shared" si="44"/>
        <v>838</v>
      </c>
      <c r="O159" s="35">
        <f t="shared" si="44"/>
        <v>236</v>
      </c>
      <c r="P159" s="35"/>
      <c r="Q159" s="45" t="s">
        <v>84</v>
      </c>
      <c r="R159" s="35"/>
      <c r="S159" s="35">
        <f t="shared" ref="S159:V159" si="45">sum(S145,S157)</f>
        <v>15</v>
      </c>
      <c r="T159" s="35">
        <f t="shared" si="45"/>
        <v>942</v>
      </c>
      <c r="U159" s="35">
        <f t="shared" si="45"/>
        <v>916</v>
      </c>
      <c r="V159" s="35">
        <f t="shared" si="45"/>
        <v>26</v>
      </c>
      <c r="W159" s="35"/>
      <c r="X159" s="40"/>
      <c r="Y159" s="35"/>
      <c r="Z159" s="35"/>
      <c r="AA159" s="35"/>
    </row>
    <row r="160">
      <c r="A160" s="40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40"/>
      <c r="Y160" s="35"/>
      <c r="Z160" s="35"/>
      <c r="AA160" s="35"/>
    </row>
    <row r="161">
      <c r="A161" s="40"/>
      <c r="B161" s="35"/>
      <c r="C161" s="43" t="s">
        <v>108</v>
      </c>
      <c r="D161" s="44" t="s">
        <v>63</v>
      </c>
      <c r="I161" s="42"/>
      <c r="J161" s="43" t="s">
        <v>109</v>
      </c>
      <c r="K161" s="44" t="s">
        <v>65</v>
      </c>
      <c r="P161" s="42"/>
      <c r="Q161" s="43" t="s">
        <v>110</v>
      </c>
      <c r="R161" s="44" t="s">
        <v>60</v>
      </c>
      <c r="W161" s="35"/>
      <c r="X161" s="40"/>
      <c r="Y161" s="35"/>
      <c r="Z161" s="35"/>
      <c r="AA161" s="35"/>
    </row>
    <row r="162">
      <c r="A162" s="40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40"/>
      <c r="Y162" s="35"/>
      <c r="Z162" s="35"/>
      <c r="AA162" s="35"/>
    </row>
    <row r="163">
      <c r="A163" s="40"/>
      <c r="B163" s="35"/>
      <c r="C163" s="45"/>
      <c r="D163" s="45" t="s">
        <v>45</v>
      </c>
      <c r="E163" s="45"/>
      <c r="F163" s="45" t="s">
        <v>46</v>
      </c>
      <c r="G163" s="45" t="s">
        <v>47</v>
      </c>
      <c r="H163" s="45" t="s">
        <v>48</v>
      </c>
      <c r="I163" s="35"/>
      <c r="J163" s="45"/>
      <c r="K163" s="45" t="s">
        <v>45</v>
      </c>
      <c r="L163" s="45"/>
      <c r="M163" s="45" t="s">
        <v>46</v>
      </c>
      <c r="N163" s="45" t="s">
        <v>47</v>
      </c>
      <c r="O163" s="45" t="s">
        <v>48</v>
      </c>
      <c r="P163" s="35"/>
      <c r="Q163" s="45"/>
      <c r="R163" s="45" t="s">
        <v>45</v>
      </c>
      <c r="S163" s="45"/>
      <c r="T163" s="45" t="s">
        <v>46</v>
      </c>
      <c r="U163" s="45" t="s">
        <v>47</v>
      </c>
      <c r="V163" s="45" t="s">
        <v>48</v>
      </c>
      <c r="W163" s="35"/>
      <c r="X163" s="40"/>
      <c r="Y163" s="35"/>
      <c r="Z163" s="35"/>
      <c r="AA163" s="35"/>
    </row>
    <row r="164">
      <c r="A164" s="40"/>
      <c r="B164" s="35"/>
      <c r="C164" s="45" t="s">
        <v>49</v>
      </c>
      <c r="D164" s="45" t="s">
        <v>91</v>
      </c>
      <c r="E164" s="45" t="s">
        <v>53</v>
      </c>
      <c r="F164" s="45">
        <f>'League Scoreboard'!M16</f>
        <v>222</v>
      </c>
      <c r="G164" s="35">
        <f>'League Scoreboard'!M18</f>
        <v>80</v>
      </c>
      <c r="H164" s="35">
        <f>F164-G164</f>
        <v>142</v>
      </c>
      <c r="I164" s="35"/>
      <c r="J164" s="45" t="s">
        <v>49</v>
      </c>
      <c r="K164" s="45" t="s">
        <v>75</v>
      </c>
      <c r="L164" s="45" t="s">
        <v>51</v>
      </c>
      <c r="M164" s="45">
        <f>'League Scoreboard'!Q18</f>
        <v>124</v>
      </c>
      <c r="N164" s="35">
        <f>'League Scoreboard'!Q16</f>
        <v>136</v>
      </c>
      <c r="O164" s="35">
        <f>M164-N164</f>
        <v>-12</v>
      </c>
      <c r="P164" s="35"/>
      <c r="Q164" s="45" t="s">
        <v>49</v>
      </c>
      <c r="R164" s="45" t="s">
        <v>82</v>
      </c>
      <c r="S164" s="45" t="s">
        <v>51</v>
      </c>
      <c r="T164" s="45">
        <f>'League Scoreboard'!Q10</f>
        <v>112</v>
      </c>
      <c r="U164" s="35">
        <f>'League Scoreboard'!Q8</f>
        <v>78</v>
      </c>
      <c r="V164" s="35">
        <f>T164-U164</f>
        <v>34</v>
      </c>
      <c r="W164" s="35"/>
      <c r="X164" s="40"/>
      <c r="Y164" s="35"/>
      <c r="Z164" s="35"/>
      <c r="AA164" s="35"/>
    </row>
    <row r="165">
      <c r="A165" s="40"/>
      <c r="B165" s="35"/>
      <c r="C165" s="45"/>
      <c r="D165" s="35"/>
      <c r="E165" s="45"/>
      <c r="F165" s="45"/>
      <c r="G165" s="35"/>
      <c r="H165" s="35"/>
      <c r="I165" s="35"/>
      <c r="J165" s="45"/>
      <c r="K165" s="35"/>
      <c r="L165" s="45"/>
      <c r="M165" s="45"/>
      <c r="N165" s="35"/>
      <c r="O165" s="35"/>
      <c r="P165" s="35"/>
      <c r="Q165" s="45"/>
      <c r="R165" s="35"/>
      <c r="S165" s="45"/>
      <c r="T165" s="45"/>
      <c r="U165" s="35"/>
      <c r="V165" s="35"/>
      <c r="W165" s="35"/>
      <c r="X165" s="40"/>
      <c r="Y165" s="35"/>
      <c r="Z165" s="35"/>
      <c r="AA165" s="35"/>
    </row>
    <row r="166">
      <c r="A166" s="40"/>
      <c r="B166" s="35"/>
      <c r="C166" s="45" t="s">
        <v>55</v>
      </c>
      <c r="D166" s="45" t="s">
        <v>50</v>
      </c>
      <c r="E166" s="45" t="s">
        <v>51</v>
      </c>
      <c r="F166" s="35">
        <f>'League Scoreboard'!Q32</f>
        <v>220</v>
      </c>
      <c r="G166" s="35">
        <f>'League Scoreboard'!Q30</f>
        <v>50</v>
      </c>
      <c r="H166" s="35">
        <f>F166-G166</f>
        <v>170</v>
      </c>
      <c r="I166" s="35"/>
      <c r="J166" s="45" t="s">
        <v>55</v>
      </c>
      <c r="K166" s="45" t="s">
        <v>64</v>
      </c>
      <c r="L166" s="45" t="s">
        <v>51</v>
      </c>
      <c r="M166" s="35">
        <f>'League Scoreboard'!U24</f>
        <v>92</v>
      </c>
      <c r="N166" s="35">
        <f>'League Scoreboard'!U22</f>
        <v>116</v>
      </c>
      <c r="O166" s="35">
        <f>M166-N166</f>
        <v>-24</v>
      </c>
      <c r="P166" s="35"/>
      <c r="Q166" s="45" t="s">
        <v>55</v>
      </c>
      <c r="R166" s="45" t="s">
        <v>92</v>
      </c>
      <c r="S166" s="45" t="s">
        <v>53</v>
      </c>
      <c r="T166" s="35">
        <f>'League Scoreboard'!U26</f>
        <v>40</v>
      </c>
      <c r="U166" s="35">
        <f>'League Scoreboard'!U28</f>
        <v>168</v>
      </c>
      <c r="V166" s="35">
        <f>T166-U166</f>
        <v>-128</v>
      </c>
      <c r="W166" s="35"/>
      <c r="X166" s="40"/>
      <c r="Y166" s="35"/>
      <c r="Z166" s="35"/>
      <c r="AA166" s="35"/>
    </row>
    <row r="167">
      <c r="A167" s="40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40"/>
      <c r="Y167" s="35"/>
      <c r="Z167" s="35"/>
      <c r="AA167" s="35"/>
    </row>
    <row r="168">
      <c r="A168" s="40"/>
      <c r="B168" s="35"/>
      <c r="C168" s="45" t="s">
        <v>59</v>
      </c>
      <c r="D168" s="45" t="s">
        <v>89</v>
      </c>
      <c r="E168" s="45" t="s">
        <v>53</v>
      </c>
      <c r="F168" s="35">
        <f>'League Scoreboard'!Q36</f>
        <v>194</v>
      </c>
      <c r="G168" s="35">
        <f>'League Scoreboard'!Q38</f>
        <v>84</v>
      </c>
      <c r="H168" s="35">
        <f>F168-G168</f>
        <v>110</v>
      </c>
      <c r="I168" s="35"/>
      <c r="J168" s="45" t="s">
        <v>59</v>
      </c>
      <c r="K168" s="45" t="s">
        <v>67</v>
      </c>
      <c r="L168" s="45" t="s">
        <v>51</v>
      </c>
      <c r="M168" s="35">
        <f>'League Scoreboard'!Q46</f>
        <v>106</v>
      </c>
      <c r="N168" s="35">
        <f>'League Scoreboard'!Q44</f>
        <v>182</v>
      </c>
      <c r="O168" s="35">
        <f>M168-N168</f>
        <v>-76</v>
      </c>
      <c r="P168" s="35"/>
      <c r="Q168" s="45" t="s">
        <v>59</v>
      </c>
      <c r="R168" s="45" t="s">
        <v>40</v>
      </c>
      <c r="S168" s="45" t="s">
        <v>51</v>
      </c>
      <c r="T168" s="35">
        <f>'League Scoreboard'!E38</f>
        <v>138</v>
      </c>
      <c r="U168" s="35">
        <f>'League Scoreboard'!E36</f>
        <v>130</v>
      </c>
      <c r="V168" s="35">
        <f>T168-U168</f>
        <v>8</v>
      </c>
      <c r="W168" s="35"/>
      <c r="X168" s="40"/>
      <c r="Y168" s="35"/>
      <c r="Z168" s="35"/>
      <c r="AA168" s="35"/>
    </row>
    <row r="169">
      <c r="A169" s="40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40"/>
      <c r="Y169" s="35"/>
      <c r="Z169" s="35"/>
      <c r="AA169" s="35"/>
    </row>
    <row r="170">
      <c r="A170" s="40"/>
      <c r="B170" s="35"/>
      <c r="C170" s="45" t="s">
        <v>62</v>
      </c>
      <c r="D170" s="45" t="s">
        <v>40</v>
      </c>
      <c r="E170" s="45" t="s">
        <v>51</v>
      </c>
      <c r="F170" s="35">
        <f>'League Scoreboard'!E52</f>
        <v>218</v>
      </c>
      <c r="G170" s="35">
        <f>'League Scoreboard'!E50</f>
        <v>36</v>
      </c>
      <c r="H170" s="35">
        <f>F170-G170</f>
        <v>182</v>
      </c>
      <c r="I170" s="35"/>
      <c r="J170" s="45" t="s">
        <v>62</v>
      </c>
      <c r="K170" s="45" t="s">
        <v>44</v>
      </c>
      <c r="L170" s="45" t="s">
        <v>53</v>
      </c>
      <c r="M170" s="35">
        <f>'League Scoreboard'!E58</f>
        <v>134</v>
      </c>
      <c r="N170" s="35">
        <f>'League Scoreboard'!E60</f>
        <v>60</v>
      </c>
      <c r="O170" s="35">
        <f>M170-N170</f>
        <v>74</v>
      </c>
      <c r="P170" s="35"/>
      <c r="Q170" s="45" t="s">
        <v>62</v>
      </c>
      <c r="R170" s="45" t="s">
        <v>88</v>
      </c>
      <c r="S170" s="45" t="s">
        <v>53</v>
      </c>
      <c r="T170" s="35">
        <f>'League Scoreboard'!U54</f>
        <v>38</v>
      </c>
      <c r="U170" s="35">
        <f>'League Scoreboard'!U56</f>
        <v>232</v>
      </c>
      <c r="V170" s="35">
        <f>T170-U170</f>
        <v>-194</v>
      </c>
      <c r="W170" s="35"/>
      <c r="X170" s="40"/>
      <c r="Y170" s="35"/>
      <c r="Z170" s="35"/>
      <c r="AA170" s="35"/>
    </row>
    <row r="171">
      <c r="A171" s="40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40"/>
      <c r="Y171" s="35"/>
      <c r="Z171" s="35"/>
      <c r="AA171" s="35"/>
    </row>
    <row r="172">
      <c r="A172" s="40"/>
      <c r="B172" s="35"/>
      <c r="C172" s="45" t="s">
        <v>66</v>
      </c>
      <c r="D172" s="45" t="s">
        <v>81</v>
      </c>
      <c r="E172" s="45" t="s">
        <v>53</v>
      </c>
      <c r="F172" s="35">
        <f>'League Scoreboard'!Q72</f>
        <v>148</v>
      </c>
      <c r="G172" s="35">
        <f>'League Scoreboard'!Q74</f>
        <v>102</v>
      </c>
      <c r="H172" s="35">
        <f>F172-G172</f>
        <v>46</v>
      </c>
      <c r="I172" s="35"/>
      <c r="J172" s="45" t="s">
        <v>66</v>
      </c>
      <c r="K172" s="45" t="s">
        <v>74</v>
      </c>
      <c r="L172" s="45" t="s">
        <v>53</v>
      </c>
      <c r="M172" s="35">
        <f>'League Scoreboard'!I72</f>
        <v>94</v>
      </c>
      <c r="N172" s="35">
        <f>'League Scoreboard'!I74</f>
        <v>110</v>
      </c>
      <c r="O172" s="35">
        <f>M172-N172</f>
        <v>-16</v>
      </c>
      <c r="P172" s="35"/>
      <c r="Q172" s="45" t="s">
        <v>66</v>
      </c>
      <c r="R172" s="45" t="s">
        <v>89</v>
      </c>
      <c r="S172" s="45" t="s">
        <v>51</v>
      </c>
      <c r="T172" s="35">
        <f>'League Scoreboard'!M70</f>
        <v>64</v>
      </c>
      <c r="U172" s="35">
        <f>'League Scoreboard'!M68</f>
        <v>174</v>
      </c>
      <c r="V172" s="35">
        <f>T172-U172</f>
        <v>-110</v>
      </c>
      <c r="W172" s="35"/>
      <c r="X172" s="40"/>
      <c r="Y172" s="35"/>
      <c r="Z172" s="35"/>
      <c r="AA172" s="35"/>
    </row>
    <row r="173">
      <c r="A173" s="40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40"/>
      <c r="Y173" s="35"/>
      <c r="Z173" s="35"/>
      <c r="AA173" s="35"/>
    </row>
    <row r="174">
      <c r="A174" s="40"/>
      <c r="B174" s="35"/>
      <c r="C174" s="45" t="s">
        <v>68</v>
      </c>
      <c r="D174" s="45" t="s">
        <v>65</v>
      </c>
      <c r="E174" s="45" t="s">
        <v>51</v>
      </c>
      <c r="F174" s="35">
        <f>'League Scoreboard'!Q88</f>
        <v>204</v>
      </c>
      <c r="G174" s="35">
        <f>'League Scoreboard'!Q86</f>
        <v>42</v>
      </c>
      <c r="H174" s="35">
        <f>F174-G174</f>
        <v>162</v>
      </c>
      <c r="I174" s="35"/>
      <c r="J174" s="45" t="s">
        <v>68</v>
      </c>
      <c r="K174" s="45" t="s">
        <v>63</v>
      </c>
      <c r="L174" s="45" t="s">
        <v>53</v>
      </c>
      <c r="M174" s="35">
        <f>'League Scoreboard'!Q86</f>
        <v>42</v>
      </c>
      <c r="N174" s="35">
        <f>'League Scoreboard'!Q88</f>
        <v>204</v>
      </c>
      <c r="O174" s="35">
        <f>M174-N174</f>
        <v>-162</v>
      </c>
      <c r="P174" s="35"/>
      <c r="Q174" s="45" t="s">
        <v>68</v>
      </c>
      <c r="R174" s="45" t="s">
        <v>58</v>
      </c>
      <c r="S174" s="45" t="s">
        <v>53</v>
      </c>
      <c r="T174" s="35">
        <f>'League Scoreboard'!Q82</f>
        <v>94</v>
      </c>
      <c r="U174" s="35">
        <f>'League Scoreboard'!Q84</f>
        <v>56</v>
      </c>
      <c r="V174" s="35">
        <f>T174-U174</f>
        <v>38</v>
      </c>
      <c r="W174" s="35"/>
      <c r="X174" s="40"/>
      <c r="Y174" s="35"/>
      <c r="Z174" s="35"/>
      <c r="AA174" s="35"/>
    </row>
    <row r="175">
      <c r="A175" s="46"/>
      <c r="B175" s="47"/>
      <c r="C175" s="47"/>
      <c r="D175" s="47"/>
      <c r="E175" s="47"/>
      <c r="F175" s="48">
        <f>countif(H164:H174, "&gt;0")</f>
        <v>6</v>
      </c>
      <c r="G175" s="48">
        <f>countif(H164:H174, "&lt;0")</f>
        <v>0</v>
      </c>
      <c r="H175" s="48">
        <f>countif(H164:H174, "=0")</f>
        <v>0</v>
      </c>
      <c r="I175" s="47"/>
      <c r="J175" s="47"/>
      <c r="K175" s="47"/>
      <c r="L175" s="47"/>
      <c r="M175" s="48">
        <f>countif(O164:O174, "&gt;0")</f>
        <v>1</v>
      </c>
      <c r="N175" s="48">
        <f>countif(O164:O174, "&lt;0")</f>
        <v>5</v>
      </c>
      <c r="O175" s="48">
        <f>countif(O164:O174, "=0")</f>
        <v>0</v>
      </c>
      <c r="P175" s="47"/>
      <c r="Q175" s="47"/>
      <c r="R175" s="47"/>
      <c r="S175" s="47"/>
      <c r="T175" s="48">
        <f>countif(V164:V174, "&gt;0")</f>
        <v>3</v>
      </c>
      <c r="U175" s="48">
        <f>countif(V164:V174, "&lt;0")</f>
        <v>3</v>
      </c>
      <c r="V175" s="48">
        <f>countif(V164:V174, "=0")</f>
        <v>0</v>
      </c>
      <c r="W175" s="47"/>
      <c r="X175" s="46"/>
      <c r="Y175" s="47"/>
      <c r="Z175" s="47"/>
      <c r="AA175" s="47"/>
    </row>
    <row r="176">
      <c r="A176" s="40"/>
      <c r="B176" s="35"/>
      <c r="C176" s="45" t="s">
        <v>70</v>
      </c>
      <c r="D176" s="35"/>
      <c r="E176" s="35">
        <f>3*countifs(H164:H174, "&gt;0")+countifs(H164:H174, "=0")</f>
        <v>18</v>
      </c>
      <c r="F176" s="49">
        <f t="shared" ref="F176:H176" si="46">sum(F164:F174)</f>
        <v>1206</v>
      </c>
      <c r="G176" s="49">
        <f t="shared" si="46"/>
        <v>394</v>
      </c>
      <c r="H176" s="49">
        <f t="shared" si="46"/>
        <v>812</v>
      </c>
      <c r="I176" s="35"/>
      <c r="J176" s="45" t="s">
        <v>70</v>
      </c>
      <c r="K176" s="35"/>
      <c r="L176" s="35">
        <f>3*countifs(O164:O174, "&gt;0")+countifs(O164:O174, "=0")</f>
        <v>3</v>
      </c>
      <c r="M176" s="49">
        <f t="shared" ref="M176:O176" si="47">sum(M164:M174)</f>
        <v>592</v>
      </c>
      <c r="N176" s="49">
        <f t="shared" si="47"/>
        <v>808</v>
      </c>
      <c r="O176" s="49">
        <f t="shared" si="47"/>
        <v>-216</v>
      </c>
      <c r="P176" s="35"/>
      <c r="Q176" s="45" t="s">
        <v>70</v>
      </c>
      <c r="R176" s="35"/>
      <c r="S176" s="35">
        <f>3*countifs(V164:V174, "&gt;0")+countifs(V164:V174, "=0")</f>
        <v>9</v>
      </c>
      <c r="T176" s="49">
        <f t="shared" ref="T176:V176" si="48">sum(T164:T174)</f>
        <v>486</v>
      </c>
      <c r="U176" s="49">
        <f t="shared" si="48"/>
        <v>838</v>
      </c>
      <c r="V176" s="49">
        <f t="shared" si="48"/>
        <v>-352</v>
      </c>
      <c r="W176" s="35"/>
      <c r="X176" s="40"/>
      <c r="Y176" s="35"/>
      <c r="Z176" s="35"/>
      <c r="AA176" s="35"/>
    </row>
    <row r="177">
      <c r="A177" s="40"/>
      <c r="B177" s="35"/>
      <c r="C177" s="35"/>
      <c r="D177" s="35"/>
      <c r="E177" s="35"/>
      <c r="F177" s="8"/>
      <c r="G177" s="8"/>
      <c r="H177" s="27"/>
      <c r="I177" s="35"/>
      <c r="J177" s="35"/>
      <c r="K177" s="35"/>
      <c r="L177" s="35"/>
      <c r="M177" s="8"/>
      <c r="N177" s="8"/>
      <c r="O177" s="27"/>
      <c r="P177" s="35"/>
      <c r="Q177" s="35"/>
      <c r="R177" s="35"/>
      <c r="S177" s="35"/>
      <c r="T177" s="8"/>
      <c r="U177" s="8"/>
      <c r="V177" s="27"/>
      <c r="W177" s="35"/>
      <c r="X177" s="40"/>
      <c r="Y177" s="35"/>
      <c r="Z177" s="35"/>
      <c r="AA177" s="35"/>
    </row>
    <row r="178">
      <c r="A178" s="40"/>
      <c r="B178" s="35"/>
      <c r="C178" s="45" t="s">
        <v>71</v>
      </c>
      <c r="D178" s="45" t="s">
        <v>93</v>
      </c>
      <c r="E178" s="35"/>
      <c r="F178" s="8">
        <f>'Playoff Scoring'!E8</f>
        <v>88</v>
      </c>
      <c r="G178" s="8">
        <f>'Playoff Scoring'!D9</f>
        <v>154</v>
      </c>
      <c r="H178" s="49">
        <f>F178-G178</f>
        <v>-66</v>
      </c>
      <c r="I178" s="35"/>
      <c r="J178" s="45" t="s">
        <v>71</v>
      </c>
      <c r="K178" s="45" t="s">
        <v>78</v>
      </c>
      <c r="L178" s="35"/>
      <c r="M178" s="8">
        <f>'Playoff Scoring'!F29</f>
        <v>78</v>
      </c>
      <c r="N178" s="8">
        <f>'Playoff Scoring'!G28</f>
        <v>56</v>
      </c>
      <c r="O178" s="49">
        <f>M178-N178</f>
        <v>22</v>
      </c>
      <c r="P178" s="35"/>
      <c r="Q178" s="45" t="s">
        <v>71</v>
      </c>
      <c r="R178" s="45" t="s">
        <v>72</v>
      </c>
      <c r="S178" s="35"/>
      <c r="T178" s="8"/>
      <c r="U178" s="8"/>
      <c r="V178" s="49">
        <f>T178-U178</f>
        <v>0</v>
      </c>
      <c r="W178" s="35"/>
      <c r="X178" s="40"/>
      <c r="Y178" s="35"/>
      <c r="Z178" s="35"/>
      <c r="AA178" s="35"/>
    </row>
    <row r="179">
      <c r="A179" s="40"/>
      <c r="B179" s="35"/>
      <c r="C179" s="35"/>
      <c r="D179" s="35"/>
      <c r="E179" s="35"/>
      <c r="F179" s="8"/>
      <c r="G179" s="8"/>
      <c r="H179" s="27"/>
      <c r="I179" s="35"/>
      <c r="J179" s="35"/>
      <c r="K179" s="35"/>
      <c r="L179" s="35"/>
      <c r="M179" s="8"/>
      <c r="N179" s="8"/>
      <c r="O179" s="27"/>
      <c r="P179" s="35"/>
      <c r="Q179" s="35"/>
      <c r="R179" s="35"/>
      <c r="S179" s="35"/>
      <c r="T179" s="8"/>
      <c r="U179" s="8"/>
      <c r="V179" s="27"/>
      <c r="W179" s="35"/>
      <c r="X179" s="40"/>
      <c r="Y179" s="35"/>
      <c r="Z179" s="35"/>
      <c r="AA179" s="35"/>
    </row>
    <row r="180">
      <c r="A180" s="40"/>
      <c r="B180" s="35"/>
      <c r="C180" s="45" t="s">
        <v>73</v>
      </c>
      <c r="D180" s="45" t="s">
        <v>88</v>
      </c>
      <c r="E180" s="35"/>
      <c r="F180" s="8">
        <f>'Playoff Scoring'!G8</f>
        <v>110</v>
      </c>
      <c r="G180" s="8">
        <f>'Playoff Scoring'!D11</f>
        <v>34</v>
      </c>
      <c r="H180" s="49">
        <f>F180-G180</f>
        <v>76</v>
      </c>
      <c r="I180" s="35"/>
      <c r="J180" s="45" t="s">
        <v>73</v>
      </c>
      <c r="K180" s="45" t="s">
        <v>58</v>
      </c>
      <c r="L180" s="35"/>
      <c r="M180" s="8">
        <f>'Playoff Scoring'!D29</f>
        <v>86</v>
      </c>
      <c r="N180" s="8">
        <f>'Playoff Scoring'!G26</f>
        <v>98</v>
      </c>
      <c r="O180" s="49">
        <f>M180-N180</f>
        <v>-12</v>
      </c>
      <c r="P180" s="35"/>
      <c r="Q180" s="45" t="s">
        <v>73</v>
      </c>
      <c r="R180" s="45" t="s">
        <v>67</v>
      </c>
      <c r="S180" s="35"/>
      <c r="T180" s="8">
        <f>'Playoff Scoring'!M21</f>
        <v>96</v>
      </c>
      <c r="U180" s="8">
        <f>'Playoff Scoring'!P18</f>
        <v>50</v>
      </c>
      <c r="V180" s="49">
        <f>T180-U180</f>
        <v>46</v>
      </c>
      <c r="W180" s="35"/>
      <c r="X180" s="40"/>
      <c r="Y180" s="35"/>
      <c r="Z180" s="35"/>
      <c r="AA180" s="35"/>
    </row>
    <row r="181">
      <c r="A181" s="40"/>
      <c r="B181" s="35"/>
      <c r="C181" s="35"/>
      <c r="D181" s="35"/>
      <c r="E181" s="35"/>
      <c r="F181" s="8"/>
      <c r="G181" s="8"/>
      <c r="H181" s="27"/>
      <c r="I181" s="35"/>
      <c r="J181" s="35"/>
      <c r="K181" s="35"/>
      <c r="L181" s="35"/>
      <c r="M181" s="8"/>
      <c r="N181" s="8"/>
      <c r="O181" s="27"/>
      <c r="P181" s="35"/>
      <c r="Q181" s="35"/>
      <c r="R181" s="35"/>
      <c r="S181" s="35"/>
      <c r="T181" s="8"/>
      <c r="U181" s="8"/>
      <c r="V181" s="27"/>
      <c r="W181" s="35"/>
      <c r="X181" s="40"/>
      <c r="Y181" s="35"/>
      <c r="Z181" s="35"/>
      <c r="AA181" s="35"/>
    </row>
    <row r="182">
      <c r="A182" s="40"/>
      <c r="B182" s="35"/>
      <c r="C182" s="45" t="s">
        <v>76</v>
      </c>
      <c r="D182" s="45" t="s">
        <v>61</v>
      </c>
      <c r="E182" s="35"/>
      <c r="F182" s="8">
        <f>'Playoff Scoring'!F8</f>
        <v>124</v>
      </c>
      <c r="G182" s="8">
        <f>'Playoff Scoring'!D10</f>
        <v>130</v>
      </c>
      <c r="H182" s="49">
        <f>F182-G182</f>
        <v>-6</v>
      </c>
      <c r="I182" s="35"/>
      <c r="J182" s="45" t="s">
        <v>76</v>
      </c>
      <c r="K182" s="45" t="s">
        <v>40</v>
      </c>
      <c r="L182" s="35"/>
      <c r="M182" s="8">
        <f>'Playoff Scoring'!H29</f>
        <v>130</v>
      </c>
      <c r="N182" s="8">
        <f>'Playoff Scoring'!G30</f>
        <v>50</v>
      </c>
      <c r="O182" s="49">
        <f>M182-N182</f>
        <v>80</v>
      </c>
      <c r="P182" s="35"/>
      <c r="Q182" s="45" t="s">
        <v>76</v>
      </c>
      <c r="R182" s="45" t="s">
        <v>99</v>
      </c>
      <c r="S182" s="35"/>
      <c r="T182" s="8">
        <f>'Playoff Scoring'!O21</f>
        <v>48</v>
      </c>
      <c r="U182" s="8">
        <f>'Playoff Scoring'!P20</f>
        <v>102</v>
      </c>
      <c r="V182" s="49">
        <f>T182-U182</f>
        <v>-54</v>
      </c>
      <c r="W182" s="35"/>
      <c r="X182" s="40"/>
      <c r="Y182" s="35"/>
      <c r="Z182" s="35"/>
      <c r="AA182" s="35"/>
    </row>
    <row r="183">
      <c r="A183" s="40"/>
      <c r="B183" s="35"/>
      <c r="C183" s="35"/>
      <c r="D183" s="35"/>
      <c r="E183" s="35"/>
      <c r="F183" s="8"/>
      <c r="G183" s="8"/>
      <c r="H183" s="27"/>
      <c r="I183" s="35"/>
      <c r="J183" s="35"/>
      <c r="K183" s="35"/>
      <c r="L183" s="35"/>
      <c r="M183" s="8"/>
      <c r="N183" s="8"/>
      <c r="O183" s="27"/>
      <c r="P183" s="35"/>
      <c r="Q183" s="35"/>
      <c r="R183" s="35"/>
      <c r="S183" s="35"/>
      <c r="T183" s="8"/>
      <c r="U183" s="8"/>
      <c r="V183" s="27"/>
      <c r="W183" s="35"/>
      <c r="X183" s="40"/>
      <c r="Y183" s="35"/>
      <c r="Z183" s="35"/>
      <c r="AA183" s="35"/>
    </row>
    <row r="184">
      <c r="A184" s="40"/>
      <c r="B184" s="35"/>
      <c r="C184" s="45" t="s">
        <v>77</v>
      </c>
      <c r="D184" s="45" t="s">
        <v>72</v>
      </c>
      <c r="E184" s="35"/>
      <c r="F184" s="8"/>
      <c r="G184" s="8"/>
      <c r="H184" s="49">
        <f>F184-G184</f>
        <v>0</v>
      </c>
      <c r="I184" s="35"/>
      <c r="J184" s="45" t="s">
        <v>77</v>
      </c>
      <c r="K184" s="45" t="s">
        <v>74</v>
      </c>
      <c r="L184" s="35"/>
      <c r="M184" s="8">
        <f>'Playoff Scoring'!E29</f>
        <v>34</v>
      </c>
      <c r="N184" s="8">
        <f>'Playoff Scoring'!G27</f>
        <v>58</v>
      </c>
      <c r="O184" s="49">
        <f>M184-N184</f>
        <v>-24</v>
      </c>
      <c r="P184" s="35"/>
      <c r="Q184" s="45" t="s">
        <v>77</v>
      </c>
      <c r="R184" s="45" t="s">
        <v>89</v>
      </c>
      <c r="S184" s="35"/>
      <c r="T184" s="8">
        <f>'Playoff Scoring'!N21</f>
        <v>44</v>
      </c>
      <c r="U184" s="8">
        <f>'Playoff Scoring'!P19</f>
        <v>50</v>
      </c>
      <c r="V184" s="49">
        <f>T184-U184</f>
        <v>-6</v>
      </c>
      <c r="W184" s="35"/>
      <c r="X184" s="40"/>
      <c r="Y184" s="35"/>
      <c r="Z184" s="35"/>
      <c r="AA184" s="35"/>
    </row>
    <row r="185">
      <c r="A185" s="40"/>
      <c r="B185" s="35"/>
      <c r="C185" s="35"/>
      <c r="D185" s="35"/>
      <c r="E185" s="35"/>
      <c r="F185" s="8"/>
      <c r="G185" s="8"/>
      <c r="H185" s="27"/>
      <c r="I185" s="35"/>
      <c r="J185" s="35"/>
      <c r="K185" s="35"/>
      <c r="L185" s="35"/>
      <c r="M185" s="8"/>
      <c r="N185" s="8"/>
      <c r="O185" s="27"/>
      <c r="P185" s="35"/>
      <c r="Q185" s="35"/>
      <c r="R185" s="35"/>
      <c r="S185" s="35"/>
      <c r="T185" s="8"/>
      <c r="U185" s="8"/>
      <c r="V185" s="27"/>
      <c r="W185" s="35"/>
      <c r="X185" s="40"/>
      <c r="Y185" s="35"/>
      <c r="Z185" s="35"/>
      <c r="AA185" s="35"/>
    </row>
    <row r="186">
      <c r="A186" s="40"/>
      <c r="B186" s="35"/>
      <c r="C186" s="45" t="s">
        <v>80</v>
      </c>
      <c r="D186" s="45" t="s">
        <v>94</v>
      </c>
      <c r="E186" s="35"/>
      <c r="F186" s="8">
        <f>'Playoff Scoring'!H8</f>
        <v>84</v>
      </c>
      <c r="G186" s="8">
        <f>'Playoff Scoring'!D12</f>
        <v>82</v>
      </c>
      <c r="H186" s="49">
        <f>F186-G186</f>
        <v>2</v>
      </c>
      <c r="I186" s="35"/>
      <c r="J186" s="45" t="s">
        <v>80</v>
      </c>
      <c r="K186" s="45" t="s">
        <v>72</v>
      </c>
      <c r="L186" s="35"/>
      <c r="M186" s="8"/>
      <c r="N186" s="8"/>
      <c r="O186" s="49">
        <f>M186-N186</f>
        <v>0</v>
      </c>
      <c r="P186" s="35"/>
      <c r="Q186" s="45" t="s">
        <v>80</v>
      </c>
      <c r="R186" s="45" t="s">
        <v>92</v>
      </c>
      <c r="S186" s="35"/>
      <c r="T186" s="8">
        <f>'Playoff Scoring'!L21</f>
        <v>106</v>
      </c>
      <c r="U186" s="8">
        <f>'Playoff Scoring'!P17</f>
        <v>42</v>
      </c>
      <c r="V186" s="49">
        <f>T186-U186</f>
        <v>64</v>
      </c>
      <c r="W186" s="35"/>
      <c r="X186" s="40"/>
      <c r="Y186" s="35"/>
      <c r="Z186" s="35"/>
      <c r="AA186" s="35"/>
    </row>
    <row r="187">
      <c r="A187" s="40"/>
      <c r="B187" s="35"/>
      <c r="C187" s="35"/>
      <c r="D187" s="35"/>
      <c r="E187" s="35"/>
      <c r="F187" s="8"/>
      <c r="G187" s="8"/>
      <c r="H187" s="27"/>
      <c r="I187" s="35"/>
      <c r="J187" s="35"/>
      <c r="K187" s="35"/>
      <c r="L187" s="35"/>
      <c r="M187" s="8"/>
      <c r="N187" s="8"/>
      <c r="O187" s="27"/>
      <c r="P187" s="35"/>
      <c r="Q187" s="35"/>
      <c r="R187" s="35"/>
      <c r="S187" s="35"/>
      <c r="T187" s="8"/>
      <c r="U187" s="8"/>
      <c r="V187" s="27"/>
      <c r="W187" s="35"/>
      <c r="X187" s="40"/>
      <c r="Y187" s="35"/>
      <c r="Z187" s="35"/>
      <c r="AA187" s="35"/>
    </row>
    <row r="188">
      <c r="A188" s="40"/>
      <c r="B188" s="35"/>
      <c r="C188" s="45" t="s">
        <v>83</v>
      </c>
      <c r="D188" s="35"/>
      <c r="E188" s="35">
        <f>2*countifs(H178:H186, "&gt;0")+countifs(H178:H186, "=0")</f>
        <v>5</v>
      </c>
      <c r="F188" s="35">
        <f t="shared" ref="F188:H188" si="49">sum(F178:F186)</f>
        <v>406</v>
      </c>
      <c r="G188" s="35">
        <f t="shared" si="49"/>
        <v>400</v>
      </c>
      <c r="H188" s="35">
        <f t="shared" si="49"/>
        <v>6</v>
      </c>
      <c r="I188" s="35"/>
      <c r="J188" s="45" t="s">
        <v>83</v>
      </c>
      <c r="K188" s="35"/>
      <c r="L188" s="35">
        <f>2*countifs(O178:O186, "&gt;0")+countifs(O178:O186, "=0")</f>
        <v>5</v>
      </c>
      <c r="M188" s="49">
        <f t="shared" ref="M188:O188" si="50">sum(M178:M186)</f>
        <v>328</v>
      </c>
      <c r="N188" s="49">
        <f t="shared" si="50"/>
        <v>262</v>
      </c>
      <c r="O188" s="49">
        <f t="shared" si="50"/>
        <v>66</v>
      </c>
      <c r="P188" s="35"/>
      <c r="Q188" s="45" t="s">
        <v>83</v>
      </c>
      <c r="R188" s="35"/>
      <c r="S188" s="35">
        <f>2*countifs(V178:V186, "&gt;0")+countifs(V178:V186, "=0")</f>
        <v>5</v>
      </c>
      <c r="T188" s="49">
        <f t="shared" ref="T188:V188" si="51">sum(T178:T186)</f>
        <v>294</v>
      </c>
      <c r="U188" s="49">
        <f t="shared" si="51"/>
        <v>244</v>
      </c>
      <c r="V188" s="49">
        <f t="shared" si="51"/>
        <v>50</v>
      </c>
      <c r="W188" s="35"/>
      <c r="X188" s="40"/>
      <c r="Y188" s="35"/>
      <c r="Z188" s="35"/>
      <c r="AA188" s="35"/>
    </row>
    <row r="189">
      <c r="A189" s="46"/>
      <c r="B189" s="47"/>
      <c r="C189" s="50"/>
      <c r="D189" s="47"/>
      <c r="E189" s="47"/>
      <c r="F189" s="48">
        <f>COUNTIF(H164:H174, "&gt;0")+countif(H178:H186, "&gt;0")</f>
        <v>8</v>
      </c>
      <c r="G189" s="48">
        <f>COUNTIF(H164:H174, "&lt;0")+countif(H178:H186, "&lt;0")</f>
        <v>2</v>
      </c>
      <c r="H189" s="48">
        <f>COUNTIF(H164:H174, "=0")+countif(H178:H186, "=0")</f>
        <v>1</v>
      </c>
      <c r="I189" s="47"/>
      <c r="J189" s="50"/>
      <c r="K189" s="47"/>
      <c r="L189" s="47"/>
      <c r="M189" s="48">
        <f>COUNTIF(O164:O174, "&gt;0")+countif(O178:O186, "&gt;0")</f>
        <v>3</v>
      </c>
      <c r="N189" s="48">
        <f>COUNTIF(O164:O174, "&lt;0")+countif(O178:O186, "&lt;0")</f>
        <v>7</v>
      </c>
      <c r="O189" s="48">
        <f>COUNTIF(O164:O174, "=0")+countif(O178:O186, "=0")</f>
        <v>1</v>
      </c>
      <c r="P189" s="47"/>
      <c r="Q189" s="50"/>
      <c r="R189" s="47"/>
      <c r="S189" s="47"/>
      <c r="T189" s="48">
        <f>COUNTIF(V164:V174, "&gt;0")+countif(V178:V186, "&gt;0")</f>
        <v>5</v>
      </c>
      <c r="U189" s="48">
        <f>COUNTIF(V164:V174, "&lt;0")+countif(V178:V186, "&lt;0")</f>
        <v>5</v>
      </c>
      <c r="V189" s="48">
        <f>COUNTIF(V164:V174, "=0")+countif(V178:V186, "=0")</f>
        <v>1</v>
      </c>
      <c r="W189" s="47"/>
      <c r="X189" s="46"/>
      <c r="Y189" s="47"/>
      <c r="Z189" s="47"/>
      <c r="AA189" s="47"/>
    </row>
    <row r="190">
      <c r="A190" s="40"/>
      <c r="B190" s="35"/>
      <c r="C190" s="45" t="s">
        <v>84</v>
      </c>
      <c r="D190" s="35"/>
      <c r="E190" s="35">
        <f t="shared" ref="E190:H190" si="52">sum(E176,E188)</f>
        <v>23</v>
      </c>
      <c r="F190" s="35">
        <f t="shared" si="52"/>
        <v>1612</v>
      </c>
      <c r="G190" s="35">
        <f t="shared" si="52"/>
        <v>794</v>
      </c>
      <c r="H190" s="35">
        <f t="shared" si="52"/>
        <v>818</v>
      </c>
      <c r="I190" s="35"/>
      <c r="J190" s="45" t="s">
        <v>84</v>
      </c>
      <c r="K190" s="45" t="s">
        <v>84</v>
      </c>
      <c r="L190" s="35">
        <f t="shared" ref="L190:O190" si="53">sum(L176,L188)</f>
        <v>8</v>
      </c>
      <c r="M190" s="35">
        <f t="shared" si="53"/>
        <v>920</v>
      </c>
      <c r="N190" s="35">
        <f t="shared" si="53"/>
        <v>1070</v>
      </c>
      <c r="O190" s="35">
        <f t="shared" si="53"/>
        <v>-150</v>
      </c>
      <c r="P190" s="35"/>
      <c r="Q190" s="45" t="s">
        <v>84</v>
      </c>
      <c r="R190" s="35"/>
      <c r="S190" s="35">
        <f t="shared" ref="S190:V190" si="54">sum(S176,S188)</f>
        <v>14</v>
      </c>
      <c r="T190" s="35">
        <f t="shared" si="54"/>
        <v>780</v>
      </c>
      <c r="U190" s="35">
        <f t="shared" si="54"/>
        <v>1082</v>
      </c>
      <c r="V190" s="35">
        <f t="shared" si="54"/>
        <v>-302</v>
      </c>
      <c r="W190" s="35"/>
      <c r="X190" s="40"/>
      <c r="Y190" s="35"/>
      <c r="Z190" s="35"/>
      <c r="AA190" s="35"/>
    </row>
    <row r="191">
      <c r="A191" s="40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40"/>
      <c r="Y191" s="35"/>
      <c r="Z191" s="35"/>
      <c r="AA191" s="35"/>
    </row>
    <row r="192">
      <c r="A192" s="40"/>
      <c r="B192" s="35"/>
      <c r="C192" s="43" t="s">
        <v>111</v>
      </c>
      <c r="D192" s="44" t="s">
        <v>91</v>
      </c>
      <c r="I192" s="42"/>
      <c r="J192" s="43" t="s">
        <v>112</v>
      </c>
      <c r="K192" s="44" t="s">
        <v>81</v>
      </c>
      <c r="P192" s="42"/>
      <c r="Q192" s="43" t="s">
        <v>113</v>
      </c>
      <c r="R192" s="44" t="s">
        <v>92</v>
      </c>
      <c r="W192" s="35"/>
      <c r="X192" s="40"/>
      <c r="Y192" s="35"/>
      <c r="Z192" s="35"/>
      <c r="AA192" s="35"/>
    </row>
    <row r="193">
      <c r="A193" s="40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40"/>
      <c r="Y193" s="35"/>
      <c r="Z193" s="35"/>
      <c r="AA193" s="35"/>
    </row>
    <row r="194">
      <c r="A194" s="40"/>
      <c r="B194" s="35"/>
      <c r="C194" s="45"/>
      <c r="D194" s="45" t="s">
        <v>45</v>
      </c>
      <c r="E194" s="45"/>
      <c r="F194" s="45" t="s">
        <v>46</v>
      </c>
      <c r="G194" s="45" t="s">
        <v>47</v>
      </c>
      <c r="H194" s="45" t="s">
        <v>48</v>
      </c>
      <c r="I194" s="35"/>
      <c r="J194" s="45"/>
      <c r="K194" s="45" t="s">
        <v>45</v>
      </c>
      <c r="L194" s="45"/>
      <c r="M194" s="45" t="s">
        <v>46</v>
      </c>
      <c r="N194" s="45" t="s">
        <v>47</v>
      </c>
      <c r="O194" s="45" t="s">
        <v>48</v>
      </c>
      <c r="P194" s="35"/>
      <c r="Q194" s="45"/>
      <c r="R194" s="45" t="s">
        <v>45</v>
      </c>
      <c r="S194" s="45"/>
      <c r="T194" s="45" t="s">
        <v>46</v>
      </c>
      <c r="U194" s="45" t="s">
        <v>47</v>
      </c>
      <c r="V194" s="45" t="s">
        <v>48</v>
      </c>
      <c r="W194" s="35"/>
      <c r="X194" s="40"/>
      <c r="Y194" s="35"/>
      <c r="Z194" s="35"/>
      <c r="AA194" s="35"/>
    </row>
    <row r="195">
      <c r="A195" s="40"/>
      <c r="B195" s="35"/>
      <c r="C195" s="45" t="s">
        <v>49</v>
      </c>
      <c r="D195" s="45" t="s">
        <v>63</v>
      </c>
      <c r="E195" s="45" t="s">
        <v>51</v>
      </c>
      <c r="F195" s="45">
        <f>'League Scoreboard'!M18</f>
        <v>80</v>
      </c>
      <c r="G195" s="35">
        <f>'League Scoreboard'!M16</f>
        <v>222</v>
      </c>
      <c r="H195" s="35">
        <f>F195-G195</f>
        <v>-142</v>
      </c>
      <c r="I195" s="35"/>
      <c r="J195" s="45" t="s">
        <v>49</v>
      </c>
      <c r="K195" s="45" t="s">
        <v>79</v>
      </c>
      <c r="L195" s="45" t="s">
        <v>53</v>
      </c>
      <c r="M195" s="45">
        <f>'League Scoreboard'!U10</f>
        <v>224</v>
      </c>
      <c r="N195" s="35">
        <f>'League Scoreboard'!U8</f>
        <v>28</v>
      </c>
      <c r="O195" s="35">
        <f>M195-N195</f>
        <v>196</v>
      </c>
      <c r="P195" s="35"/>
      <c r="Q195" s="45" t="s">
        <v>49</v>
      </c>
      <c r="R195" s="45" t="s">
        <v>95</v>
      </c>
      <c r="S195" s="45" t="s">
        <v>53</v>
      </c>
      <c r="T195" s="45">
        <f>'League Scoreboard'!I16</f>
        <v>134</v>
      </c>
      <c r="U195" s="35">
        <f>'League Scoreboard'!I18</f>
        <v>126</v>
      </c>
      <c r="V195" s="35">
        <f>T195-U195</f>
        <v>8</v>
      </c>
      <c r="W195" s="35"/>
      <c r="X195" s="40"/>
      <c r="Y195" s="35"/>
      <c r="Z195" s="35"/>
      <c r="AA195" s="35"/>
    </row>
    <row r="196">
      <c r="A196" s="40"/>
      <c r="B196" s="35"/>
      <c r="C196" s="45"/>
      <c r="D196" s="35"/>
      <c r="E196" s="45"/>
      <c r="F196" s="45"/>
      <c r="G196" s="35"/>
      <c r="H196" s="35"/>
      <c r="I196" s="35"/>
      <c r="J196" s="45"/>
      <c r="K196" s="35"/>
      <c r="L196" s="45"/>
      <c r="M196" s="45"/>
      <c r="N196" s="35"/>
      <c r="O196" s="35"/>
      <c r="P196" s="35"/>
      <c r="Q196" s="45"/>
      <c r="R196" s="35"/>
      <c r="S196" s="45"/>
      <c r="T196" s="45"/>
      <c r="U196" s="35"/>
      <c r="V196" s="35"/>
      <c r="W196" s="35"/>
      <c r="X196" s="40"/>
      <c r="Y196" s="35"/>
      <c r="Z196" s="35"/>
      <c r="AA196" s="35"/>
    </row>
    <row r="197">
      <c r="A197" s="40"/>
      <c r="B197" s="35"/>
      <c r="C197" s="45" t="s">
        <v>55</v>
      </c>
      <c r="D197" s="45" t="s">
        <v>75</v>
      </c>
      <c r="E197" s="45" t="s">
        <v>53</v>
      </c>
      <c r="F197" s="35">
        <f>'League Scoreboard'!U30</f>
        <v>152</v>
      </c>
      <c r="G197" s="35">
        <f>'League Scoreboard'!U32</f>
        <v>76</v>
      </c>
      <c r="H197" s="35">
        <f>F197-G197</f>
        <v>76</v>
      </c>
      <c r="I197" s="35"/>
      <c r="J197" s="45" t="s">
        <v>55</v>
      </c>
      <c r="K197" s="45" t="s">
        <v>67</v>
      </c>
      <c r="L197" s="45" t="s">
        <v>53</v>
      </c>
      <c r="M197" s="35">
        <f>'League Scoreboard'!Q22</f>
        <v>154</v>
      </c>
      <c r="N197" s="35">
        <f>'League Scoreboard'!Q24</f>
        <v>102</v>
      </c>
      <c r="O197" s="35">
        <f>M197-N197</f>
        <v>52</v>
      </c>
      <c r="P197" s="35"/>
      <c r="Q197" s="45" t="s">
        <v>55</v>
      </c>
      <c r="R197" s="45" t="s">
        <v>60</v>
      </c>
      <c r="S197" s="45" t="s">
        <v>51</v>
      </c>
      <c r="T197" s="35">
        <f>'League Scoreboard'!U28</f>
        <v>168</v>
      </c>
      <c r="U197" s="35">
        <f>'League Scoreboard'!U26</f>
        <v>40</v>
      </c>
      <c r="V197" s="35">
        <f>T197-U197</f>
        <v>128</v>
      </c>
      <c r="W197" s="35"/>
      <c r="X197" s="40"/>
      <c r="Y197" s="35"/>
      <c r="Z197" s="35"/>
      <c r="AA197" s="35"/>
    </row>
    <row r="198">
      <c r="A198" s="40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40"/>
      <c r="Y198" s="35"/>
      <c r="Z198" s="35"/>
      <c r="AA198" s="35"/>
    </row>
    <row r="199">
      <c r="A199" s="40"/>
      <c r="B199" s="35"/>
      <c r="C199" s="45" t="s">
        <v>59</v>
      </c>
      <c r="D199" s="45" t="s">
        <v>58</v>
      </c>
      <c r="E199" s="45" t="s">
        <v>51</v>
      </c>
      <c r="F199" s="35">
        <f>'League Scoreboard'!U38</f>
        <v>150</v>
      </c>
      <c r="G199" s="35">
        <f>'League Scoreboard'!U36</f>
        <v>136</v>
      </c>
      <c r="H199" s="35">
        <f>F199-G199</f>
        <v>14</v>
      </c>
      <c r="I199" s="35"/>
      <c r="J199" s="45" t="s">
        <v>59</v>
      </c>
      <c r="K199" s="45" t="s">
        <v>75</v>
      </c>
      <c r="L199" s="45" t="s">
        <v>53</v>
      </c>
      <c r="M199" s="35">
        <f>'League Scoreboard'!U40</f>
        <v>86</v>
      </c>
      <c r="N199" s="35">
        <f>'League Scoreboard'!U42</f>
        <v>192</v>
      </c>
      <c r="O199" s="35">
        <f>M199-N199</f>
        <v>-106</v>
      </c>
      <c r="P199" s="35"/>
      <c r="Q199" s="45" t="s">
        <v>59</v>
      </c>
      <c r="R199" s="45" t="s">
        <v>93</v>
      </c>
      <c r="S199" s="45" t="s">
        <v>51</v>
      </c>
      <c r="T199" s="35">
        <f>'League Scoreboard'!U46</f>
        <v>94</v>
      </c>
      <c r="U199" s="35">
        <f>'League Scoreboard'!U44</f>
        <v>170</v>
      </c>
      <c r="V199" s="35">
        <f>T199-U199</f>
        <v>-76</v>
      </c>
      <c r="W199" s="35"/>
      <c r="X199" s="40"/>
      <c r="Y199" s="35"/>
      <c r="Z199" s="35"/>
      <c r="AA199" s="35"/>
    </row>
    <row r="200">
      <c r="A200" s="40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40"/>
      <c r="Y200" s="35"/>
      <c r="Z200" s="35"/>
      <c r="AA200" s="35"/>
    </row>
    <row r="201">
      <c r="A201" s="40"/>
      <c r="B201" s="35"/>
      <c r="C201" s="45" t="s">
        <v>62</v>
      </c>
      <c r="D201" s="45" t="s">
        <v>82</v>
      </c>
      <c r="E201" s="45" t="s">
        <v>53</v>
      </c>
      <c r="F201" s="35">
        <f>'League Scoreboard'!I50</f>
        <v>148</v>
      </c>
      <c r="G201" s="35">
        <f>'League Scoreboard'!I52</f>
        <v>32</v>
      </c>
      <c r="H201" s="35">
        <f>F201-G201</f>
        <v>116</v>
      </c>
      <c r="I201" s="35"/>
      <c r="J201" s="45" t="s">
        <v>62</v>
      </c>
      <c r="K201" s="45" t="s">
        <v>58</v>
      </c>
      <c r="L201" s="45" t="s">
        <v>51</v>
      </c>
      <c r="M201" s="35">
        <f>'League Scoreboard'!U52</f>
        <v>88</v>
      </c>
      <c r="N201" s="35">
        <f>'League Scoreboard'!U50</f>
        <v>144</v>
      </c>
      <c r="O201" s="35">
        <f>M201-N201</f>
        <v>-56</v>
      </c>
      <c r="P201" s="35"/>
      <c r="Q201" s="45" t="s">
        <v>62</v>
      </c>
      <c r="R201" s="45" t="s">
        <v>54</v>
      </c>
      <c r="S201" s="45" t="s">
        <v>51</v>
      </c>
      <c r="T201" s="35">
        <f>'League Scoreboard'!I56</f>
        <v>126</v>
      </c>
      <c r="U201" s="35">
        <f>'League Scoreboard'!I54</f>
        <v>140</v>
      </c>
      <c r="V201" s="35">
        <f>T201-U201</f>
        <v>-14</v>
      </c>
      <c r="W201" s="35"/>
      <c r="X201" s="40"/>
      <c r="Y201" s="35"/>
      <c r="Z201" s="35"/>
      <c r="AA201" s="35"/>
    </row>
    <row r="202">
      <c r="A202" s="40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40"/>
      <c r="Y202" s="35"/>
      <c r="Z202" s="35"/>
      <c r="AA202" s="35"/>
    </row>
    <row r="203">
      <c r="A203" s="40"/>
      <c r="B203" s="35"/>
      <c r="C203" s="45" t="s">
        <v>66</v>
      </c>
      <c r="D203" s="45" t="s">
        <v>92</v>
      </c>
      <c r="E203" s="45" t="s">
        <v>51</v>
      </c>
      <c r="F203" s="35">
        <f>'League Scoreboard'!U66</f>
        <v>136</v>
      </c>
      <c r="G203" s="35">
        <f>'League Scoreboard'!U64</f>
        <v>66</v>
      </c>
      <c r="H203" s="35">
        <f>F203-G203</f>
        <v>70</v>
      </c>
      <c r="I203" s="35"/>
      <c r="J203" s="45" t="s">
        <v>66</v>
      </c>
      <c r="K203" s="45" t="s">
        <v>63</v>
      </c>
      <c r="L203" s="45" t="s">
        <v>51</v>
      </c>
      <c r="M203" s="35">
        <f>'League Scoreboard'!Q74</f>
        <v>102</v>
      </c>
      <c r="N203" s="35">
        <f>'League Scoreboard'!Q72</f>
        <v>148</v>
      </c>
      <c r="O203" s="35">
        <f>M203-N203</f>
        <v>-46</v>
      </c>
      <c r="P203" s="35"/>
      <c r="Q203" s="45" t="s">
        <v>66</v>
      </c>
      <c r="R203" s="45" t="s">
        <v>91</v>
      </c>
      <c r="S203" s="45" t="s">
        <v>53</v>
      </c>
      <c r="T203" s="35">
        <f>'League Scoreboard'!U64</f>
        <v>66</v>
      </c>
      <c r="U203" s="35">
        <f>'League Scoreboard'!U66</f>
        <v>136</v>
      </c>
      <c r="V203" s="35">
        <f>T203-U203</f>
        <v>-70</v>
      </c>
      <c r="W203" s="35"/>
      <c r="X203" s="40"/>
      <c r="Y203" s="35"/>
      <c r="Z203" s="35"/>
      <c r="AA203" s="35"/>
    </row>
    <row r="204">
      <c r="A204" s="40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40"/>
      <c r="Y204" s="35"/>
      <c r="Z204" s="35"/>
      <c r="AA204" s="35"/>
    </row>
    <row r="205">
      <c r="A205" s="40"/>
      <c r="B205" s="35"/>
      <c r="C205" s="45" t="s">
        <v>68</v>
      </c>
      <c r="D205" s="45" t="s">
        <v>79</v>
      </c>
      <c r="E205" s="45" t="s">
        <v>53</v>
      </c>
      <c r="F205" s="35">
        <f>'League Scoreboard'!I82</f>
        <v>114</v>
      </c>
      <c r="G205" s="35">
        <f>'League Scoreboard'!I84</f>
        <v>26</v>
      </c>
      <c r="H205" s="35">
        <f>F205-G205</f>
        <v>88</v>
      </c>
      <c r="I205" s="35"/>
      <c r="J205" s="45" t="s">
        <v>68</v>
      </c>
      <c r="K205" s="45" t="s">
        <v>56</v>
      </c>
      <c r="L205" s="45" t="s">
        <v>51</v>
      </c>
      <c r="M205" s="35">
        <f>'League Scoreboard'!U80</f>
        <v>126</v>
      </c>
      <c r="N205" s="35">
        <f>'League Scoreboard'!U78</f>
        <v>70</v>
      </c>
      <c r="O205" s="35">
        <f>M205-N205</f>
        <v>56</v>
      </c>
      <c r="P205" s="35"/>
      <c r="Q205" s="45" t="s">
        <v>68</v>
      </c>
      <c r="R205" s="45" t="s">
        <v>82</v>
      </c>
      <c r="S205" s="45" t="s">
        <v>53</v>
      </c>
      <c r="T205" s="35">
        <f>'League Scoreboard'!I78</f>
        <v>96</v>
      </c>
      <c r="U205" s="35">
        <f>'League Scoreboard'!I80</f>
        <v>58</v>
      </c>
      <c r="V205" s="35">
        <f>T205-U205</f>
        <v>38</v>
      </c>
      <c r="W205" s="35"/>
      <c r="X205" s="40"/>
      <c r="Y205" s="35"/>
      <c r="Z205" s="35"/>
      <c r="AA205" s="35"/>
    </row>
    <row r="206">
      <c r="A206" s="46"/>
      <c r="B206" s="47"/>
      <c r="C206" s="47"/>
      <c r="D206" s="47"/>
      <c r="E206" s="47"/>
      <c r="F206" s="48">
        <f>countif(H195:H205, "&gt;0")</f>
        <v>5</v>
      </c>
      <c r="G206" s="48">
        <f>countif(H195:H205, "&lt;0")</f>
        <v>1</v>
      </c>
      <c r="H206" s="48">
        <f>countif(H195:H205, "=0")</f>
        <v>0</v>
      </c>
      <c r="I206" s="47"/>
      <c r="J206" s="47"/>
      <c r="K206" s="47"/>
      <c r="L206" s="47"/>
      <c r="M206" s="48">
        <f>countif(O195:O205, "&gt;0")</f>
        <v>3</v>
      </c>
      <c r="N206" s="48">
        <f>countif(O195:O205, "&lt;0")</f>
        <v>3</v>
      </c>
      <c r="O206" s="48">
        <f>countif(O195:O205, "=0")</f>
        <v>0</v>
      </c>
      <c r="P206" s="47"/>
      <c r="Q206" s="47"/>
      <c r="R206" s="47"/>
      <c r="S206" s="47"/>
      <c r="T206" s="48">
        <f>countif(V195:V205, "&gt;0")</f>
        <v>3</v>
      </c>
      <c r="U206" s="48">
        <f>countif(V195:V205, "&lt;0")</f>
        <v>3</v>
      </c>
      <c r="V206" s="48">
        <f>countif(V195:V205, "=0")</f>
        <v>0</v>
      </c>
      <c r="W206" s="47"/>
      <c r="X206" s="46"/>
      <c r="Y206" s="47"/>
      <c r="Z206" s="47"/>
      <c r="AA206" s="47"/>
    </row>
    <row r="207">
      <c r="A207" s="40"/>
      <c r="B207" s="35"/>
      <c r="C207" s="45" t="s">
        <v>70</v>
      </c>
      <c r="D207" s="35"/>
      <c r="E207" s="35">
        <f>3*countifs(H195:H205, "&gt;0")+countifs(H195:H205, "=0")</f>
        <v>15</v>
      </c>
      <c r="F207" s="49">
        <f t="shared" ref="F207:H207" si="55">sum(F195:F205)</f>
        <v>780</v>
      </c>
      <c r="G207" s="49">
        <f t="shared" si="55"/>
        <v>558</v>
      </c>
      <c r="H207" s="49">
        <f t="shared" si="55"/>
        <v>222</v>
      </c>
      <c r="I207" s="35"/>
      <c r="J207" s="45" t="s">
        <v>70</v>
      </c>
      <c r="K207" s="35"/>
      <c r="L207" s="35">
        <f>3*countifs(O195:O205, "&gt;0")+countifs(O195:O205, "=0")</f>
        <v>9</v>
      </c>
      <c r="M207" s="49">
        <f t="shared" ref="M207:O207" si="56">sum(M195:M205)</f>
        <v>780</v>
      </c>
      <c r="N207" s="49">
        <f t="shared" si="56"/>
        <v>684</v>
      </c>
      <c r="O207" s="49">
        <f t="shared" si="56"/>
        <v>96</v>
      </c>
      <c r="P207" s="35"/>
      <c r="Q207" s="45" t="s">
        <v>70</v>
      </c>
      <c r="R207" s="35"/>
      <c r="S207" s="35">
        <f>3*countifs(V195:V205, "&gt;0")+countifs(V195:V205, "=0")</f>
        <v>9</v>
      </c>
      <c r="T207" s="49">
        <f t="shared" ref="T207:V207" si="57">sum(T195:T205)</f>
        <v>684</v>
      </c>
      <c r="U207" s="49">
        <f t="shared" si="57"/>
        <v>670</v>
      </c>
      <c r="V207" s="49">
        <f t="shared" si="57"/>
        <v>14</v>
      </c>
      <c r="W207" s="35"/>
      <c r="X207" s="40"/>
      <c r="Y207" s="35"/>
      <c r="Z207" s="35"/>
      <c r="AA207" s="35"/>
    </row>
    <row r="208">
      <c r="A208" s="40"/>
      <c r="B208" s="35"/>
      <c r="C208" s="35"/>
      <c r="D208" s="35"/>
      <c r="E208" s="35"/>
      <c r="F208" s="8"/>
      <c r="G208" s="8"/>
      <c r="H208" s="27"/>
      <c r="I208" s="35"/>
      <c r="J208" s="35"/>
      <c r="K208" s="35"/>
      <c r="L208" s="35"/>
      <c r="M208" s="8"/>
      <c r="N208" s="8"/>
      <c r="O208" s="27"/>
      <c r="P208" s="35"/>
      <c r="Q208" s="35"/>
      <c r="R208" s="35"/>
      <c r="S208" s="35"/>
      <c r="T208" s="8"/>
      <c r="U208" s="8"/>
      <c r="V208" s="27"/>
      <c r="W208" s="35"/>
      <c r="X208" s="40"/>
      <c r="Y208" s="35"/>
      <c r="Z208" s="35"/>
      <c r="AA208" s="35"/>
    </row>
    <row r="209">
      <c r="A209" s="40"/>
      <c r="B209" s="35"/>
      <c r="C209" s="45" t="s">
        <v>71</v>
      </c>
      <c r="D209" s="45" t="s">
        <v>50</v>
      </c>
      <c r="E209" s="35"/>
      <c r="F209" s="8">
        <f>'Playoff Scoring'!O10</f>
        <v>-6</v>
      </c>
      <c r="G209" s="8">
        <f>'Playoff Scoring'!N11</f>
        <v>160</v>
      </c>
      <c r="H209" s="49">
        <f>F209-G209</f>
        <v>-166</v>
      </c>
      <c r="I209" s="35"/>
      <c r="J209" s="45" t="s">
        <v>71</v>
      </c>
      <c r="K209" s="45" t="s">
        <v>72</v>
      </c>
      <c r="L209" s="35"/>
      <c r="M209" s="8"/>
      <c r="N209" s="8"/>
      <c r="O209" s="49">
        <f>M209-N209</f>
        <v>0</v>
      </c>
      <c r="P209" s="35"/>
      <c r="Q209" s="45" t="s">
        <v>71</v>
      </c>
      <c r="R209" s="45" t="s">
        <v>67</v>
      </c>
      <c r="S209" s="35"/>
      <c r="T209" s="8">
        <f>'Playoff Scoring'!M17</f>
        <v>42</v>
      </c>
      <c r="U209" s="8">
        <f>'Playoff Scoring'!L18</f>
        <v>82</v>
      </c>
      <c r="V209" s="49">
        <f>T209-U209</f>
        <v>-40</v>
      </c>
      <c r="W209" s="35"/>
      <c r="X209" s="40"/>
      <c r="Y209" s="35"/>
      <c r="Z209" s="35"/>
      <c r="AA209" s="35"/>
    </row>
    <row r="210">
      <c r="A210" s="40"/>
      <c r="B210" s="35"/>
      <c r="C210" s="35"/>
      <c r="D210" s="35"/>
      <c r="E210" s="35"/>
      <c r="F210" s="8"/>
      <c r="G210" s="8"/>
      <c r="H210" s="27"/>
      <c r="I210" s="35"/>
      <c r="J210" s="35"/>
      <c r="K210" s="35"/>
      <c r="L210" s="35"/>
      <c r="M210" s="8"/>
      <c r="N210" s="8"/>
      <c r="O210" s="27"/>
      <c r="P210" s="35"/>
      <c r="Q210" s="35"/>
      <c r="R210" s="35"/>
      <c r="S210" s="35"/>
      <c r="T210" s="8"/>
      <c r="U210" s="8"/>
      <c r="V210" s="27"/>
      <c r="W210" s="35"/>
      <c r="X210" s="40"/>
      <c r="Y210" s="35"/>
      <c r="Z210" s="35"/>
      <c r="AA210" s="35"/>
    </row>
    <row r="211">
      <c r="A211" s="40"/>
      <c r="B211" s="35"/>
      <c r="C211" s="45" t="s">
        <v>73</v>
      </c>
      <c r="D211" s="45" t="s">
        <v>72</v>
      </c>
      <c r="E211" s="35"/>
      <c r="F211" s="8"/>
      <c r="G211" s="8"/>
      <c r="H211" s="49">
        <f>F211-G211</f>
        <v>0</v>
      </c>
      <c r="I211" s="35"/>
      <c r="J211" s="45" t="s">
        <v>73</v>
      </c>
      <c r="K211" s="45" t="s">
        <v>57</v>
      </c>
      <c r="L211" s="35"/>
      <c r="M211" s="8">
        <f>'Playoff Scoring'!E21</f>
        <v>24</v>
      </c>
      <c r="N211" s="8">
        <f>'Playoff Scoring'!H18</f>
        <v>96</v>
      </c>
      <c r="O211" s="49">
        <f>M211-N211</f>
        <v>-72</v>
      </c>
      <c r="P211" s="35"/>
      <c r="Q211" s="45" t="s">
        <v>73</v>
      </c>
      <c r="R211" s="45" t="s">
        <v>99</v>
      </c>
      <c r="S211" s="35"/>
      <c r="T211" s="8">
        <f>'Playoff Scoring'!O17</f>
        <v>22</v>
      </c>
      <c r="U211" s="8">
        <f>'Playoff Scoring'!L20</f>
        <v>106</v>
      </c>
      <c r="V211" s="49">
        <f>T211-U211</f>
        <v>-84</v>
      </c>
      <c r="W211" s="35"/>
      <c r="X211" s="40"/>
      <c r="Y211" s="35"/>
      <c r="Z211" s="35"/>
      <c r="AA211" s="35"/>
    </row>
    <row r="212">
      <c r="A212" s="40"/>
      <c r="B212" s="35"/>
      <c r="C212" s="35"/>
      <c r="D212" s="35"/>
      <c r="E212" s="35"/>
      <c r="F212" s="8"/>
      <c r="G212" s="8"/>
      <c r="H212" s="27"/>
      <c r="I212" s="35"/>
      <c r="J212" s="35"/>
      <c r="K212" s="35"/>
      <c r="L212" s="35"/>
      <c r="M212" s="8"/>
      <c r="N212" s="8"/>
      <c r="O212" s="27"/>
      <c r="P212" s="35"/>
      <c r="Q212" s="35"/>
      <c r="R212" s="35"/>
      <c r="S212" s="35"/>
      <c r="T212" s="8"/>
      <c r="U212" s="8"/>
      <c r="V212" s="27"/>
      <c r="W212" s="35"/>
      <c r="X212" s="40"/>
      <c r="Y212" s="35"/>
      <c r="Z212" s="35"/>
      <c r="AA212" s="35"/>
    </row>
    <row r="213">
      <c r="A213" s="40"/>
      <c r="B213" s="35"/>
      <c r="C213" s="45" t="s">
        <v>76</v>
      </c>
      <c r="D213" s="45" t="s">
        <v>54</v>
      </c>
      <c r="E213" s="35"/>
      <c r="F213" s="8">
        <f>'Playoff Scoring'!L10</f>
        <v>80</v>
      </c>
      <c r="G213" s="8">
        <f>'Playoff Scoring'!N8</f>
        <v>110</v>
      </c>
      <c r="H213" s="49">
        <f>F213-G213</f>
        <v>-30</v>
      </c>
      <c r="I213" s="35"/>
      <c r="J213" s="45" t="s">
        <v>76</v>
      </c>
      <c r="K213" s="45" t="s">
        <v>75</v>
      </c>
      <c r="L213" s="35"/>
      <c r="M213" s="8">
        <f>'Playoff Scoring'!G21</f>
        <v>112</v>
      </c>
      <c r="N213" s="8">
        <f>'Playoff Scoring'!H20</f>
        <v>94</v>
      </c>
      <c r="O213" s="49">
        <f>M213-N213</f>
        <v>18</v>
      </c>
      <c r="P213" s="35"/>
      <c r="Q213" s="45" t="s">
        <v>76</v>
      </c>
      <c r="R213" s="45" t="s">
        <v>89</v>
      </c>
      <c r="S213" s="35"/>
      <c r="T213" s="8">
        <f>'Playoff Scoring'!N17</f>
        <v>64</v>
      </c>
      <c r="U213" s="8">
        <f>'Playoff Scoring'!L19</f>
        <v>88</v>
      </c>
      <c r="V213" s="49">
        <f>T213-U213</f>
        <v>-24</v>
      </c>
      <c r="W213" s="35"/>
      <c r="X213" s="40"/>
      <c r="Y213" s="35"/>
      <c r="Z213" s="35"/>
      <c r="AA213" s="35"/>
    </row>
    <row r="214">
      <c r="A214" s="40"/>
      <c r="B214" s="35"/>
      <c r="C214" s="35"/>
      <c r="D214" s="35"/>
      <c r="E214" s="35"/>
      <c r="F214" s="8"/>
      <c r="G214" s="8"/>
      <c r="H214" s="27"/>
      <c r="I214" s="35"/>
      <c r="J214" s="35"/>
      <c r="K214" s="35"/>
      <c r="L214" s="35"/>
      <c r="M214" s="8"/>
      <c r="N214" s="8"/>
      <c r="O214" s="27"/>
      <c r="P214" s="35"/>
      <c r="Q214" s="35"/>
      <c r="R214" s="35"/>
      <c r="S214" s="35"/>
      <c r="T214" s="8"/>
      <c r="U214" s="8"/>
      <c r="V214" s="27"/>
      <c r="W214" s="35"/>
      <c r="X214" s="40"/>
      <c r="Y214" s="35"/>
      <c r="Z214" s="35"/>
      <c r="AA214" s="35"/>
    </row>
    <row r="215">
      <c r="A215" s="40"/>
      <c r="B215" s="35"/>
      <c r="C215" s="45" t="s">
        <v>77</v>
      </c>
      <c r="D215" s="45" t="s">
        <v>95</v>
      </c>
      <c r="E215" s="35"/>
      <c r="F215" s="8">
        <f>'Playoff Scoring'!P10</f>
        <v>26</v>
      </c>
      <c r="G215" s="8">
        <f>'Playoff Scoring'!N12</f>
        <v>98</v>
      </c>
      <c r="H215" s="49">
        <f>F215-G215</f>
        <v>-72</v>
      </c>
      <c r="I215" s="35"/>
      <c r="J215" s="45" t="s">
        <v>77</v>
      </c>
      <c r="K215" s="45" t="s">
        <v>56</v>
      </c>
      <c r="L215" s="35"/>
      <c r="M215" s="8">
        <f>'Playoff Scoring'!F21</f>
        <v>102</v>
      </c>
      <c r="N215" s="8">
        <f>'Playoff Scoring'!H19</f>
        <v>24</v>
      </c>
      <c r="O215" s="49">
        <f>M215-N215</f>
        <v>78</v>
      </c>
      <c r="P215" s="35"/>
      <c r="Q215" s="45" t="s">
        <v>77</v>
      </c>
      <c r="R215" s="45" t="s">
        <v>72</v>
      </c>
      <c r="S215" s="35"/>
      <c r="T215" s="8"/>
      <c r="U215" s="8"/>
      <c r="V215" s="49">
        <f>T215-U215</f>
        <v>0</v>
      </c>
      <c r="W215" s="35"/>
      <c r="X215" s="40"/>
      <c r="Y215" s="35"/>
      <c r="Z215" s="35"/>
      <c r="AA215" s="35"/>
    </row>
    <row r="216">
      <c r="A216" s="40"/>
      <c r="B216" s="35"/>
      <c r="C216" s="35"/>
      <c r="D216" s="35"/>
      <c r="E216" s="35"/>
      <c r="F216" s="8"/>
      <c r="G216" s="8"/>
      <c r="H216" s="27"/>
      <c r="I216" s="35"/>
      <c r="J216" s="35"/>
      <c r="K216" s="35"/>
      <c r="L216" s="35"/>
      <c r="M216" s="8"/>
      <c r="N216" s="8"/>
      <c r="O216" s="27"/>
      <c r="P216" s="35"/>
      <c r="Q216" s="35"/>
      <c r="R216" s="35"/>
      <c r="S216" s="35"/>
      <c r="T216" s="8"/>
      <c r="U216" s="8"/>
      <c r="V216" s="27"/>
      <c r="W216" s="35"/>
      <c r="X216" s="40"/>
      <c r="Y216" s="35"/>
      <c r="Z216" s="35"/>
      <c r="AA216" s="35"/>
    </row>
    <row r="217">
      <c r="A217" s="40"/>
      <c r="B217" s="35"/>
      <c r="C217" s="45" t="s">
        <v>80</v>
      </c>
      <c r="D217" s="45" t="s">
        <v>64</v>
      </c>
      <c r="E217" s="35"/>
      <c r="F217" s="8">
        <f>'Playoff Scoring'!M10</f>
        <v>34</v>
      </c>
      <c r="G217" s="8">
        <f>'Playoff Scoring'!N9</f>
        <v>32</v>
      </c>
      <c r="H217" s="49">
        <f>F217-G217</f>
        <v>2</v>
      </c>
      <c r="I217" s="35"/>
      <c r="J217" s="45" t="s">
        <v>80</v>
      </c>
      <c r="K217" s="45" t="s">
        <v>42</v>
      </c>
      <c r="L217" s="35"/>
      <c r="M217" s="8">
        <f>'Playoff Scoring'!D21</f>
        <v>100</v>
      </c>
      <c r="N217" s="8">
        <f>'Playoff Scoring'!H17</f>
        <v>88</v>
      </c>
      <c r="O217" s="49">
        <f>M217-N217</f>
        <v>12</v>
      </c>
      <c r="P217" s="35"/>
      <c r="Q217" s="45" t="s">
        <v>80</v>
      </c>
      <c r="R217" s="45" t="s">
        <v>60</v>
      </c>
      <c r="S217" s="35"/>
      <c r="T217" s="8">
        <f>'Playoff Scoring'!P17</f>
        <v>42</v>
      </c>
      <c r="U217" s="8">
        <f>'Playoff Scoring'!L21</f>
        <v>106</v>
      </c>
      <c r="V217" s="49">
        <f>T217-U217</f>
        <v>-64</v>
      </c>
      <c r="W217" s="35"/>
      <c r="X217" s="40"/>
      <c r="Y217" s="35"/>
      <c r="Z217" s="35"/>
      <c r="AA217" s="35"/>
    </row>
    <row r="218">
      <c r="A218" s="40"/>
      <c r="B218" s="35"/>
      <c r="C218" s="35"/>
      <c r="D218" s="35"/>
      <c r="E218" s="35"/>
      <c r="F218" s="8"/>
      <c r="G218" s="8"/>
      <c r="H218" s="27"/>
      <c r="I218" s="35"/>
      <c r="J218" s="35"/>
      <c r="K218" s="35"/>
      <c r="L218" s="35"/>
      <c r="M218" s="8"/>
      <c r="N218" s="8"/>
      <c r="O218" s="27"/>
      <c r="P218" s="35"/>
      <c r="Q218" s="35"/>
      <c r="R218" s="35"/>
      <c r="S218" s="35"/>
      <c r="T218" s="8"/>
      <c r="U218" s="8"/>
      <c r="V218" s="27"/>
      <c r="W218" s="35"/>
      <c r="X218" s="40"/>
      <c r="Y218" s="35"/>
      <c r="Z218" s="35"/>
      <c r="AA218" s="35"/>
    </row>
    <row r="219">
      <c r="A219" s="40"/>
      <c r="B219" s="35"/>
      <c r="C219" s="45" t="s">
        <v>83</v>
      </c>
      <c r="D219" s="35"/>
      <c r="E219" s="35">
        <f>2*countifs(H209:H217, "&gt;0")+countifs(H209:H217, "=0")</f>
        <v>3</v>
      </c>
      <c r="F219" s="35">
        <f t="shared" ref="F219:H219" si="58">sum(F209:F217)</f>
        <v>134</v>
      </c>
      <c r="G219" s="35">
        <f t="shared" si="58"/>
        <v>400</v>
      </c>
      <c r="H219" s="35">
        <f t="shared" si="58"/>
        <v>-266</v>
      </c>
      <c r="I219" s="35"/>
      <c r="J219" s="45" t="s">
        <v>83</v>
      </c>
      <c r="K219" s="35"/>
      <c r="L219" s="35">
        <f>2*countifs(O209:O217, "&gt;0")+countifs(O209:O217, "=0")</f>
        <v>7</v>
      </c>
      <c r="M219" s="49">
        <f t="shared" ref="M219:O219" si="59">sum(M209:M217)</f>
        <v>338</v>
      </c>
      <c r="N219" s="49">
        <f t="shared" si="59"/>
        <v>302</v>
      </c>
      <c r="O219" s="49">
        <f t="shared" si="59"/>
        <v>36</v>
      </c>
      <c r="P219" s="35"/>
      <c r="Q219" s="45" t="s">
        <v>83</v>
      </c>
      <c r="R219" s="35"/>
      <c r="S219" s="35">
        <f>2*countifs(V209:V217, "&gt;0")+countifs(V209:V217, "=0")</f>
        <v>1</v>
      </c>
      <c r="T219" s="49">
        <f t="shared" ref="T219:V219" si="60">sum(T209:T217)</f>
        <v>170</v>
      </c>
      <c r="U219" s="49">
        <f t="shared" si="60"/>
        <v>382</v>
      </c>
      <c r="V219" s="49">
        <f t="shared" si="60"/>
        <v>-212</v>
      </c>
      <c r="W219" s="35"/>
      <c r="X219" s="40"/>
      <c r="Y219" s="35"/>
      <c r="Z219" s="35"/>
      <c r="AA219" s="35"/>
    </row>
    <row r="220">
      <c r="A220" s="46"/>
      <c r="B220" s="47"/>
      <c r="C220" s="50"/>
      <c r="D220" s="47"/>
      <c r="E220" s="47"/>
      <c r="F220" s="48">
        <f>COUNTIF(H195:H205, "&gt;0")+countif(H209:H217, "&gt;0")</f>
        <v>6</v>
      </c>
      <c r="G220" s="48">
        <f>COUNTIF(H195:H205, "&lt;0")+countif(H209:H217, "&lt;0")</f>
        <v>4</v>
      </c>
      <c r="H220" s="48">
        <f>COUNTIF(H195:H205, "=0")+countif(H209:H217, "=0")</f>
        <v>1</v>
      </c>
      <c r="I220" s="47"/>
      <c r="J220" s="50"/>
      <c r="K220" s="47"/>
      <c r="L220" s="47"/>
      <c r="M220" s="48">
        <f>COUNTIF(O195:O205, "&gt;0")+countif(O209:O217, "&gt;0")</f>
        <v>6</v>
      </c>
      <c r="N220" s="48">
        <f>COUNTIF(O195:O205, "&lt;0")+countif(O209:O217, "&lt;0")</f>
        <v>4</v>
      </c>
      <c r="O220" s="48">
        <f>COUNTIF(O195:O205, "=0")+countif(O209:O217, "=0")</f>
        <v>1</v>
      </c>
      <c r="P220" s="47"/>
      <c r="Q220" s="50"/>
      <c r="R220" s="47"/>
      <c r="S220" s="47"/>
      <c r="T220" s="48">
        <f>COUNTIF(V195:V205, "&gt;0")+countif(V209:V217, "&gt;0")</f>
        <v>3</v>
      </c>
      <c r="U220" s="48">
        <f>COUNTIF(V195:V205, "&lt;0")+countif(V209:V217, "&lt;0")</f>
        <v>7</v>
      </c>
      <c r="V220" s="48">
        <f>COUNTIF(V195:V205, "=0")+countif(V209:V217, "=0")</f>
        <v>1</v>
      </c>
      <c r="W220" s="47"/>
      <c r="X220" s="46"/>
      <c r="Y220" s="47"/>
      <c r="Z220" s="47"/>
      <c r="AA220" s="47"/>
    </row>
    <row r="221">
      <c r="A221" s="40"/>
      <c r="B221" s="35"/>
      <c r="C221" s="45" t="s">
        <v>84</v>
      </c>
      <c r="D221" s="35"/>
      <c r="E221" s="35">
        <f t="shared" ref="E221:H221" si="61">sum(E207,E219)</f>
        <v>18</v>
      </c>
      <c r="F221" s="35">
        <f t="shared" si="61"/>
        <v>914</v>
      </c>
      <c r="G221" s="35">
        <f t="shared" si="61"/>
        <v>958</v>
      </c>
      <c r="H221" s="35">
        <f t="shared" si="61"/>
        <v>-44</v>
      </c>
      <c r="I221" s="35"/>
      <c r="J221" s="45" t="s">
        <v>84</v>
      </c>
      <c r="K221" s="35"/>
      <c r="L221" s="35">
        <f t="shared" ref="L221:O221" si="62">sum(L207,L219)</f>
        <v>16</v>
      </c>
      <c r="M221" s="35">
        <f t="shared" si="62"/>
        <v>1118</v>
      </c>
      <c r="N221" s="35">
        <f t="shared" si="62"/>
        <v>986</v>
      </c>
      <c r="O221" s="35">
        <f t="shared" si="62"/>
        <v>132</v>
      </c>
      <c r="P221" s="35"/>
      <c r="Q221" s="45" t="s">
        <v>84</v>
      </c>
      <c r="R221" s="35"/>
      <c r="S221" s="35">
        <f t="shared" ref="S221:V221" si="63">sum(S207,S219)</f>
        <v>10</v>
      </c>
      <c r="T221" s="35">
        <f t="shared" si="63"/>
        <v>854</v>
      </c>
      <c r="U221" s="35">
        <f t="shared" si="63"/>
        <v>1052</v>
      </c>
      <c r="V221" s="35">
        <f t="shared" si="63"/>
        <v>-198</v>
      </c>
      <c r="W221" s="35"/>
      <c r="X221" s="40"/>
      <c r="Y221" s="35"/>
      <c r="Z221" s="35"/>
      <c r="AA221" s="35"/>
    </row>
    <row r="222">
      <c r="A222" s="40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40"/>
      <c r="Y222" s="35"/>
      <c r="Z222" s="35"/>
      <c r="AA222" s="35"/>
    </row>
    <row r="223">
      <c r="A223" s="40"/>
      <c r="B223" s="35"/>
      <c r="C223" s="43" t="s">
        <v>114</v>
      </c>
      <c r="D223" s="44" t="s">
        <v>93</v>
      </c>
      <c r="I223" s="42"/>
      <c r="J223" s="43" t="s">
        <v>115</v>
      </c>
      <c r="K223" s="44" t="s">
        <v>75</v>
      </c>
      <c r="P223" s="42"/>
      <c r="Q223" s="43" t="s">
        <v>116</v>
      </c>
      <c r="R223" s="44" t="s">
        <v>64</v>
      </c>
      <c r="W223" s="35"/>
      <c r="X223" s="40"/>
      <c r="Y223" s="35"/>
      <c r="Z223" s="35"/>
      <c r="AA223" s="35"/>
    </row>
    <row r="224">
      <c r="A224" s="40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40"/>
      <c r="Y224" s="35"/>
      <c r="Z224" s="35"/>
      <c r="AA224" s="35"/>
    </row>
    <row r="225">
      <c r="A225" s="40"/>
      <c r="B225" s="35"/>
      <c r="C225" s="45"/>
      <c r="D225" s="45" t="s">
        <v>45</v>
      </c>
      <c r="E225" s="45"/>
      <c r="F225" s="45" t="s">
        <v>46</v>
      </c>
      <c r="G225" s="45" t="s">
        <v>47</v>
      </c>
      <c r="H225" s="45" t="s">
        <v>48</v>
      </c>
      <c r="I225" s="35"/>
      <c r="J225" s="45"/>
      <c r="K225" s="45" t="s">
        <v>45</v>
      </c>
      <c r="L225" s="45"/>
      <c r="M225" s="45" t="s">
        <v>46</v>
      </c>
      <c r="N225" s="45" t="s">
        <v>47</v>
      </c>
      <c r="O225" s="45" t="s">
        <v>48</v>
      </c>
      <c r="P225" s="35"/>
      <c r="Q225" s="45"/>
      <c r="R225" s="45" t="s">
        <v>45</v>
      </c>
      <c r="S225" s="45"/>
      <c r="T225" s="45" t="s">
        <v>46</v>
      </c>
      <c r="U225" s="45" t="s">
        <v>47</v>
      </c>
      <c r="V225" s="45" t="s">
        <v>48</v>
      </c>
      <c r="W225" s="35"/>
      <c r="X225" s="40"/>
      <c r="Y225" s="35"/>
      <c r="Z225" s="35"/>
      <c r="AA225" s="35"/>
    </row>
    <row r="226">
      <c r="A226" s="40"/>
      <c r="B226" s="35"/>
      <c r="C226" s="45" t="s">
        <v>49</v>
      </c>
      <c r="D226" s="45" t="s">
        <v>69</v>
      </c>
      <c r="E226" s="45" t="s">
        <v>53</v>
      </c>
      <c r="F226" s="45">
        <f>'League Scoreboard'!U16</f>
        <v>246</v>
      </c>
      <c r="G226" s="35">
        <f>'League Scoreboard'!U18</f>
        <v>22</v>
      </c>
      <c r="H226" s="35">
        <f>F226-G226</f>
        <v>224</v>
      </c>
      <c r="I226" s="35"/>
      <c r="J226" s="45" t="s">
        <v>49</v>
      </c>
      <c r="K226" s="45" t="s">
        <v>65</v>
      </c>
      <c r="L226" s="45" t="s">
        <v>53</v>
      </c>
      <c r="M226" s="45">
        <f>'League Scoreboard'!Q16</f>
        <v>136</v>
      </c>
      <c r="N226" s="35">
        <f>'League Scoreboard'!Q18</f>
        <v>124</v>
      </c>
      <c r="O226" s="35">
        <f>M226-N226</f>
        <v>12</v>
      </c>
      <c r="P226" s="35"/>
      <c r="Q226" s="45" t="s">
        <v>49</v>
      </c>
      <c r="R226" s="45" t="s">
        <v>67</v>
      </c>
      <c r="S226" s="45" t="s">
        <v>51</v>
      </c>
      <c r="T226" s="45">
        <f>'League Scoreboard'!E18</f>
        <v>128</v>
      </c>
      <c r="U226" s="35">
        <f>'League Scoreboard'!E16</f>
        <v>136</v>
      </c>
      <c r="V226" s="35">
        <f>T226-U226</f>
        <v>-8</v>
      </c>
      <c r="W226" s="35"/>
      <c r="X226" s="40"/>
      <c r="Y226" s="35"/>
      <c r="Z226" s="35"/>
      <c r="AA226" s="35"/>
    </row>
    <row r="227">
      <c r="A227" s="40"/>
      <c r="B227" s="35"/>
      <c r="C227" s="45"/>
      <c r="D227" s="35"/>
      <c r="E227" s="45"/>
      <c r="F227" s="45"/>
      <c r="G227" s="35"/>
      <c r="H227" s="35"/>
      <c r="I227" s="35"/>
      <c r="J227" s="45"/>
      <c r="K227" s="35"/>
      <c r="L227" s="45"/>
      <c r="M227" s="45"/>
      <c r="N227" s="35"/>
      <c r="O227" s="35"/>
      <c r="P227" s="35"/>
      <c r="Q227" s="45"/>
      <c r="R227" s="35"/>
      <c r="S227" s="45"/>
      <c r="T227" s="45"/>
      <c r="U227" s="35"/>
      <c r="V227" s="35"/>
      <c r="W227" s="35"/>
      <c r="X227" s="40"/>
      <c r="Y227" s="35"/>
      <c r="Z227" s="35"/>
      <c r="AA227" s="35"/>
    </row>
    <row r="228">
      <c r="A228" s="40"/>
      <c r="B228" s="35"/>
      <c r="C228" s="45" t="s">
        <v>55</v>
      </c>
      <c r="D228" s="45" t="s">
        <v>94</v>
      </c>
      <c r="E228" s="45" t="s">
        <v>53</v>
      </c>
      <c r="F228" s="35">
        <f>'League Scoreboard'!M26</f>
        <v>208</v>
      </c>
      <c r="G228" s="35">
        <f>'League Scoreboard'!M28</f>
        <v>58</v>
      </c>
      <c r="H228" s="35">
        <f>F228-G228</f>
        <v>150</v>
      </c>
      <c r="I228" s="35"/>
      <c r="J228" s="45" t="s">
        <v>55</v>
      </c>
      <c r="K228" s="45" t="s">
        <v>91</v>
      </c>
      <c r="L228" s="45" t="s">
        <v>51</v>
      </c>
      <c r="M228" s="35">
        <f>'League Scoreboard'!U32</f>
        <v>76</v>
      </c>
      <c r="N228" s="35">
        <f>'League Scoreboard'!U30</f>
        <v>152</v>
      </c>
      <c r="O228" s="35">
        <f>M228-N228</f>
        <v>-76</v>
      </c>
      <c r="P228" s="35"/>
      <c r="Q228" s="45" t="s">
        <v>55</v>
      </c>
      <c r="R228" s="45" t="s">
        <v>65</v>
      </c>
      <c r="S228" s="45" t="s">
        <v>53</v>
      </c>
      <c r="T228" s="35">
        <f>'League Scoreboard'!U22</f>
        <v>116</v>
      </c>
      <c r="U228" s="35">
        <f>'League Scoreboard'!U24</f>
        <v>92</v>
      </c>
      <c r="V228" s="35">
        <f>T228-U228</f>
        <v>24</v>
      </c>
      <c r="W228" s="35"/>
      <c r="X228" s="40"/>
      <c r="Y228" s="35"/>
      <c r="Z228" s="35"/>
      <c r="AA228" s="35"/>
    </row>
    <row r="229">
      <c r="A229" s="40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40"/>
      <c r="Y229" s="35"/>
      <c r="Z229" s="35"/>
      <c r="AA229" s="35"/>
    </row>
    <row r="230">
      <c r="A230" s="40"/>
      <c r="B230" s="35"/>
      <c r="C230" s="45" t="s">
        <v>59</v>
      </c>
      <c r="D230" s="45" t="s">
        <v>92</v>
      </c>
      <c r="E230" s="45" t="s">
        <v>53</v>
      </c>
      <c r="F230" s="35">
        <f>'League Scoreboard'!U44</f>
        <v>170</v>
      </c>
      <c r="G230" s="35">
        <f>'League Scoreboard'!U46</f>
        <v>94</v>
      </c>
      <c r="H230" s="35">
        <f>F230-G230</f>
        <v>76</v>
      </c>
      <c r="I230" s="35"/>
      <c r="J230" s="45" t="s">
        <v>59</v>
      </c>
      <c r="K230" s="45" t="s">
        <v>81</v>
      </c>
      <c r="L230" s="45" t="s">
        <v>51</v>
      </c>
      <c r="M230" s="35">
        <f>'League Scoreboard'!U42</f>
        <v>192</v>
      </c>
      <c r="N230" s="35">
        <f>'League Scoreboard'!U40</f>
        <v>86</v>
      </c>
      <c r="O230" s="35">
        <f>M230-N230</f>
        <v>106</v>
      </c>
      <c r="P230" s="35"/>
      <c r="Q230" s="45" t="s">
        <v>59</v>
      </c>
      <c r="R230" s="45" t="s">
        <v>74</v>
      </c>
      <c r="S230" s="45" t="s">
        <v>51</v>
      </c>
      <c r="T230" s="35">
        <f>'League Scoreboard'!M38</f>
        <v>126</v>
      </c>
      <c r="U230" s="35">
        <f>'League Scoreboard'!M36</f>
        <v>108</v>
      </c>
      <c r="V230" s="35">
        <f>T230-U230</f>
        <v>18</v>
      </c>
      <c r="W230" s="35"/>
      <c r="X230" s="40"/>
      <c r="Y230" s="35"/>
      <c r="Z230" s="35"/>
      <c r="AA230" s="35"/>
    </row>
    <row r="231">
      <c r="A231" s="40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40"/>
      <c r="Y231" s="35"/>
      <c r="Z231" s="35"/>
      <c r="AA231" s="35"/>
    </row>
    <row r="232">
      <c r="A232" s="40"/>
      <c r="B232" s="35"/>
      <c r="C232" s="45" t="s">
        <v>62</v>
      </c>
      <c r="D232" s="45" t="s">
        <v>79</v>
      </c>
      <c r="E232" s="45" t="s">
        <v>51</v>
      </c>
      <c r="F232" s="35">
        <f>'League Scoreboard'!I60</f>
        <v>196</v>
      </c>
      <c r="G232" s="35">
        <f>'League Scoreboard'!I58</f>
        <v>26</v>
      </c>
      <c r="H232" s="35">
        <f>F232-G232</f>
        <v>170</v>
      </c>
      <c r="I232" s="35"/>
      <c r="J232" s="45" t="s">
        <v>62</v>
      </c>
      <c r="K232" s="45" t="s">
        <v>61</v>
      </c>
      <c r="L232" s="45" t="s">
        <v>51</v>
      </c>
      <c r="M232" s="35">
        <f>'League Scoreboard'!U60</f>
        <v>120</v>
      </c>
      <c r="N232" s="35">
        <f>'League Scoreboard'!U58</f>
        <v>154</v>
      </c>
      <c r="O232" s="35">
        <f>M232-N232</f>
        <v>-34</v>
      </c>
      <c r="P232" s="35"/>
      <c r="Q232" s="45" t="s">
        <v>62</v>
      </c>
      <c r="R232" s="45" t="s">
        <v>42</v>
      </c>
      <c r="S232" s="45" t="s">
        <v>53</v>
      </c>
      <c r="T232" s="35">
        <f>'League Scoreboard'!E54</f>
        <v>186</v>
      </c>
      <c r="U232" s="35">
        <f>'League Scoreboard'!E56</f>
        <v>56</v>
      </c>
      <c r="V232" s="35">
        <f>T232-U232</f>
        <v>130</v>
      </c>
      <c r="W232" s="35"/>
      <c r="X232" s="40"/>
      <c r="Y232" s="35"/>
      <c r="Z232" s="35"/>
      <c r="AA232" s="35"/>
    </row>
    <row r="233">
      <c r="A233" s="40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40"/>
      <c r="Y233" s="35"/>
      <c r="Z233" s="35"/>
      <c r="AA233" s="35"/>
    </row>
    <row r="234">
      <c r="A234" s="40"/>
      <c r="B234" s="35"/>
      <c r="C234" s="45" t="s">
        <v>66</v>
      </c>
      <c r="D234" s="45" t="s">
        <v>88</v>
      </c>
      <c r="E234" s="45" t="s">
        <v>51</v>
      </c>
      <c r="F234" s="35">
        <f>'League Scoreboard'!U70</f>
        <v>122</v>
      </c>
      <c r="G234" s="35">
        <f>'League Scoreboard'!U68</f>
        <v>114</v>
      </c>
      <c r="H234" s="35">
        <f>F234-G234</f>
        <v>8</v>
      </c>
      <c r="I234" s="35"/>
      <c r="J234" s="45" t="s">
        <v>66</v>
      </c>
      <c r="K234" s="45" t="s">
        <v>52</v>
      </c>
      <c r="L234" s="45" t="s">
        <v>53</v>
      </c>
      <c r="M234" s="35">
        <f>'League Scoreboard'!U72</f>
        <v>198</v>
      </c>
      <c r="N234" s="35">
        <f>'League Scoreboard'!U74</f>
        <v>20</v>
      </c>
      <c r="O234" s="35">
        <f>M234-N234</f>
        <v>178</v>
      </c>
      <c r="P234" s="35"/>
      <c r="Q234" s="45" t="s">
        <v>66</v>
      </c>
      <c r="R234" s="45" t="s">
        <v>44</v>
      </c>
      <c r="S234" s="45" t="s">
        <v>51</v>
      </c>
      <c r="T234" s="35">
        <f>'League Scoreboard'!E74</f>
        <v>152</v>
      </c>
      <c r="U234" s="35">
        <f>'League Scoreboard'!E72</f>
        <v>18</v>
      </c>
      <c r="V234" s="35">
        <f>T234-U234</f>
        <v>134</v>
      </c>
      <c r="W234" s="35"/>
      <c r="X234" s="40"/>
      <c r="Y234" s="35"/>
      <c r="Z234" s="35"/>
      <c r="AA234" s="35"/>
    </row>
    <row r="235">
      <c r="A235" s="40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40"/>
      <c r="Y235" s="35"/>
      <c r="Z235" s="35"/>
      <c r="AA235" s="35"/>
    </row>
    <row r="236">
      <c r="A236" s="40"/>
      <c r="B236" s="35"/>
      <c r="C236" s="45" t="s">
        <v>68</v>
      </c>
      <c r="D236" s="45" t="s">
        <v>99</v>
      </c>
      <c r="E236" s="45" t="s">
        <v>51</v>
      </c>
      <c r="F236" s="35">
        <f>'League Scoreboard'!M80</f>
        <v>180</v>
      </c>
      <c r="G236" s="35">
        <f>'League Scoreboard'!M78</f>
        <v>66</v>
      </c>
      <c r="H236" s="35">
        <f>F236-G236</f>
        <v>114</v>
      </c>
      <c r="I236" s="35"/>
      <c r="J236" s="45" t="s">
        <v>68</v>
      </c>
      <c r="K236" s="45" t="s">
        <v>94</v>
      </c>
      <c r="L236" s="45" t="s">
        <v>53</v>
      </c>
      <c r="M236" s="35">
        <f>'League Scoreboard'!U82</f>
        <v>64</v>
      </c>
      <c r="N236" s="35">
        <f>'League Scoreboard'!U84</f>
        <v>142</v>
      </c>
      <c r="O236" s="35">
        <f>M236-N236</f>
        <v>-78</v>
      </c>
      <c r="P236" s="35"/>
      <c r="Q236" s="45" t="s">
        <v>68</v>
      </c>
      <c r="R236" s="45" t="s">
        <v>78</v>
      </c>
      <c r="S236" s="45" t="s">
        <v>53</v>
      </c>
      <c r="T236" s="35">
        <f>'League Scoreboard'!M86</f>
        <v>76</v>
      </c>
      <c r="U236" s="35">
        <f>'League Scoreboard'!M88</f>
        <v>68</v>
      </c>
      <c r="V236" s="35">
        <f>T236-U236</f>
        <v>8</v>
      </c>
      <c r="W236" s="35"/>
      <c r="X236" s="40"/>
      <c r="Y236" s="35"/>
      <c r="Z236" s="35"/>
      <c r="AA236" s="35"/>
    </row>
    <row r="237">
      <c r="A237" s="46"/>
      <c r="B237" s="47"/>
      <c r="C237" s="47"/>
      <c r="D237" s="47"/>
      <c r="E237" s="47"/>
      <c r="F237" s="48">
        <f>countif(H226:H236, "&gt;0")</f>
        <v>6</v>
      </c>
      <c r="G237" s="48">
        <f>countif(H226:H236, "&lt;0")</f>
        <v>0</v>
      </c>
      <c r="H237" s="48">
        <f>countif(H226:H236, "=0")</f>
        <v>0</v>
      </c>
      <c r="I237" s="47"/>
      <c r="J237" s="47"/>
      <c r="K237" s="47"/>
      <c r="L237" s="47"/>
      <c r="M237" s="48">
        <f>countif(O226:O236, "&gt;0")</f>
        <v>3</v>
      </c>
      <c r="N237" s="48">
        <f>countif(O226:O236, "&lt;0")</f>
        <v>3</v>
      </c>
      <c r="O237" s="48">
        <f>countif(O226:O236, "=0")</f>
        <v>0</v>
      </c>
      <c r="P237" s="47"/>
      <c r="Q237" s="47"/>
      <c r="R237" s="47"/>
      <c r="S237" s="47"/>
      <c r="T237" s="48">
        <f>countif(V226:V236, "&gt;0")</f>
        <v>5</v>
      </c>
      <c r="U237" s="48">
        <f>countif(V226:V236, "&lt;0")</f>
        <v>1</v>
      </c>
      <c r="V237" s="48">
        <f>countif(V226:V236, "=0")</f>
        <v>0</v>
      </c>
      <c r="W237" s="47"/>
      <c r="X237" s="46"/>
      <c r="Y237" s="47"/>
      <c r="Z237" s="47"/>
      <c r="AA237" s="47"/>
    </row>
    <row r="238">
      <c r="A238" s="40"/>
      <c r="B238" s="35"/>
      <c r="C238" s="45" t="s">
        <v>70</v>
      </c>
      <c r="D238" s="35"/>
      <c r="E238" s="35">
        <f>3*countifs(H226:H236, "&gt;0")+countifs(H226:H236, "=0")</f>
        <v>18</v>
      </c>
      <c r="F238" s="49">
        <f t="shared" ref="F238:H238" si="64">sum(F226:F236)</f>
        <v>1122</v>
      </c>
      <c r="G238" s="49">
        <f t="shared" si="64"/>
        <v>380</v>
      </c>
      <c r="H238" s="49">
        <f t="shared" si="64"/>
        <v>742</v>
      </c>
      <c r="I238" s="35"/>
      <c r="J238" s="45" t="s">
        <v>70</v>
      </c>
      <c r="K238" s="35"/>
      <c r="L238" s="35">
        <f>3*countifs(O226:O236, "&gt;0")+countifs(O226:O236, "=0")</f>
        <v>9</v>
      </c>
      <c r="M238" s="49">
        <f t="shared" ref="M238:O238" si="65">sum(M226:M236)</f>
        <v>786</v>
      </c>
      <c r="N238" s="49">
        <f t="shared" si="65"/>
        <v>678</v>
      </c>
      <c r="O238" s="49">
        <f t="shared" si="65"/>
        <v>108</v>
      </c>
      <c r="P238" s="35"/>
      <c r="Q238" s="45" t="s">
        <v>70</v>
      </c>
      <c r="R238" s="35"/>
      <c r="S238" s="35">
        <f>3*countifs(V226:V236, "&gt;0")+countifs(V226:V236, "=0")</f>
        <v>15</v>
      </c>
      <c r="T238" s="49">
        <f t="shared" ref="T238:V238" si="66">sum(T226:T236)</f>
        <v>784</v>
      </c>
      <c r="U238" s="49">
        <f t="shared" si="66"/>
        <v>478</v>
      </c>
      <c r="V238" s="49">
        <f t="shared" si="66"/>
        <v>306</v>
      </c>
      <c r="W238" s="35"/>
      <c r="X238" s="40"/>
      <c r="Y238" s="35"/>
      <c r="Z238" s="35"/>
      <c r="AA238" s="35"/>
    </row>
    <row r="239">
      <c r="A239" s="40"/>
      <c r="B239" s="35"/>
      <c r="C239" s="35"/>
      <c r="D239" s="35"/>
      <c r="E239" s="35"/>
      <c r="F239" s="8"/>
      <c r="G239" s="8"/>
      <c r="H239" s="27"/>
      <c r="I239" s="35"/>
      <c r="J239" s="35"/>
      <c r="K239" s="35"/>
      <c r="L239" s="35"/>
      <c r="M239" s="8"/>
      <c r="N239" s="8"/>
      <c r="O239" s="27"/>
      <c r="P239" s="35"/>
      <c r="Q239" s="35"/>
      <c r="R239" s="35"/>
      <c r="S239" s="35"/>
      <c r="T239" s="8"/>
      <c r="U239" s="8"/>
      <c r="V239" s="27"/>
      <c r="W239" s="35"/>
      <c r="X239" s="40"/>
      <c r="Y239" s="35"/>
      <c r="Z239" s="35"/>
      <c r="AA239" s="35"/>
    </row>
    <row r="240">
      <c r="A240" s="40"/>
      <c r="B240" s="35"/>
      <c r="C240" s="45" t="s">
        <v>71</v>
      </c>
      <c r="D240" s="45" t="s">
        <v>63</v>
      </c>
      <c r="E240" s="35"/>
      <c r="F240" s="8">
        <f>'Playoff Scoring'!D9</f>
        <v>154</v>
      </c>
      <c r="G240" s="8">
        <f>'Playoff Scoring'!E8</f>
        <v>88</v>
      </c>
      <c r="H240" s="49">
        <f>F240-G240</f>
        <v>66</v>
      </c>
      <c r="I240" s="35"/>
      <c r="J240" s="45" t="s">
        <v>71</v>
      </c>
      <c r="K240" s="45" t="s">
        <v>56</v>
      </c>
      <c r="L240" s="35"/>
      <c r="M240" s="8">
        <f>'Playoff Scoring'!F20</f>
        <v>102</v>
      </c>
      <c r="N240" s="8">
        <f>'Playoff Scoring'!G19</f>
        <v>70</v>
      </c>
      <c r="O240" s="49">
        <f>M240-N240</f>
        <v>32</v>
      </c>
      <c r="P240" s="35"/>
      <c r="Q240" s="45" t="s">
        <v>71</v>
      </c>
      <c r="R240" s="45" t="s">
        <v>54</v>
      </c>
      <c r="S240" s="35"/>
      <c r="T240" s="8">
        <f>'Playoff Scoring'!L9</f>
        <v>116</v>
      </c>
      <c r="U240" s="8">
        <f>'Playoff Scoring'!M8</f>
        <v>18</v>
      </c>
      <c r="V240" s="49">
        <f>T240-U240</f>
        <v>98</v>
      </c>
      <c r="W240" s="35"/>
      <c r="X240" s="40"/>
      <c r="Y240" s="35"/>
      <c r="Z240" s="35"/>
      <c r="AA240" s="35"/>
    </row>
    <row r="241">
      <c r="A241" s="40"/>
      <c r="B241" s="35"/>
      <c r="C241" s="35"/>
      <c r="D241" s="35"/>
      <c r="E241" s="35"/>
      <c r="F241" s="8"/>
      <c r="G241" s="8"/>
      <c r="H241" s="27"/>
      <c r="I241" s="35"/>
      <c r="J241" s="35"/>
      <c r="K241" s="35"/>
      <c r="L241" s="35"/>
      <c r="M241" s="8"/>
      <c r="N241" s="8"/>
      <c r="O241" s="27"/>
      <c r="P241" s="35"/>
      <c r="Q241" s="35"/>
      <c r="R241" s="35"/>
      <c r="S241" s="35"/>
      <c r="T241" s="8"/>
      <c r="U241" s="8"/>
      <c r="V241" s="27"/>
      <c r="W241" s="35"/>
      <c r="X241" s="40"/>
      <c r="Y241" s="35"/>
      <c r="Z241" s="35"/>
      <c r="AA241" s="35"/>
    </row>
    <row r="242">
      <c r="A242" s="40"/>
      <c r="B242" s="35"/>
      <c r="C242" s="45" t="s">
        <v>73</v>
      </c>
      <c r="D242" s="45" t="s">
        <v>94</v>
      </c>
      <c r="E242" s="35"/>
      <c r="F242" s="8">
        <f>'Playoff Scoring'!H9</f>
        <v>144</v>
      </c>
      <c r="G242" s="8">
        <f>'Playoff Scoring'!E12</f>
        <v>74</v>
      </c>
      <c r="H242" s="49">
        <f>F242-G242</f>
        <v>70</v>
      </c>
      <c r="I242" s="35"/>
      <c r="J242" s="45" t="s">
        <v>73</v>
      </c>
      <c r="K242" s="45" t="s">
        <v>42</v>
      </c>
      <c r="L242" s="35"/>
      <c r="M242" s="8">
        <f>'Playoff Scoring'!D20</f>
        <v>130</v>
      </c>
      <c r="N242" s="8">
        <f>'Playoff Scoring'!G17</f>
        <v>58</v>
      </c>
      <c r="O242" s="49">
        <f>M242-N242</f>
        <v>72</v>
      </c>
      <c r="P242" s="35"/>
      <c r="Q242" s="45" t="s">
        <v>73</v>
      </c>
      <c r="R242" s="45" t="s">
        <v>95</v>
      </c>
      <c r="S242" s="35"/>
      <c r="T242" s="8">
        <f>'Playoff Scoring'!P9</f>
        <v>54</v>
      </c>
      <c r="U242" s="8">
        <f>'Playoff Scoring'!M12</f>
        <v>82</v>
      </c>
      <c r="V242" s="49">
        <f>T242-U242</f>
        <v>-28</v>
      </c>
      <c r="W242" s="35"/>
      <c r="X242" s="40"/>
      <c r="Y242" s="35"/>
      <c r="Z242" s="35"/>
      <c r="AA242" s="35"/>
    </row>
    <row r="243">
      <c r="A243" s="40"/>
      <c r="B243" s="35"/>
      <c r="C243" s="35"/>
      <c r="D243" s="35"/>
      <c r="E243" s="35"/>
      <c r="F243" s="8"/>
      <c r="G243" s="8"/>
      <c r="H243" s="27"/>
      <c r="I243" s="35"/>
      <c r="J243" s="35"/>
      <c r="K243" s="35"/>
      <c r="L243" s="35"/>
      <c r="M243" s="8"/>
      <c r="N243" s="8"/>
      <c r="O243" s="27"/>
      <c r="P243" s="35"/>
      <c r="Q243" s="35"/>
      <c r="R243" s="35"/>
      <c r="S243" s="35"/>
      <c r="T243" s="8"/>
      <c r="U243" s="8"/>
      <c r="V243" s="27"/>
      <c r="W243" s="35"/>
      <c r="X243" s="40"/>
      <c r="Y243" s="35"/>
      <c r="Z243" s="35"/>
      <c r="AA243" s="35"/>
    </row>
    <row r="244">
      <c r="A244" s="40"/>
      <c r="B244" s="35"/>
      <c r="C244" s="45" t="s">
        <v>76</v>
      </c>
      <c r="D244" s="45" t="s">
        <v>72</v>
      </c>
      <c r="E244" s="35"/>
      <c r="F244" s="8"/>
      <c r="G244" s="8"/>
      <c r="H244" s="49">
        <f>F244-G244</f>
        <v>0</v>
      </c>
      <c r="I244" s="35"/>
      <c r="J244" s="45" t="s">
        <v>76</v>
      </c>
      <c r="K244" s="45" t="s">
        <v>81</v>
      </c>
      <c r="L244" s="35"/>
      <c r="M244" s="8">
        <f>'Playoff Scoring'!H20</f>
        <v>94</v>
      </c>
      <c r="N244" s="8">
        <f>'Playoff Scoring'!G21</f>
        <v>112</v>
      </c>
      <c r="O244" s="49">
        <f>M244-N244</f>
        <v>-18</v>
      </c>
      <c r="P244" s="35"/>
      <c r="Q244" s="45" t="s">
        <v>76</v>
      </c>
      <c r="R244" s="45" t="s">
        <v>72</v>
      </c>
      <c r="S244" s="35"/>
      <c r="T244" s="8"/>
      <c r="U244" s="8"/>
      <c r="V244" s="49">
        <f>T244-U244</f>
        <v>0</v>
      </c>
      <c r="W244" s="35"/>
      <c r="X244" s="40"/>
      <c r="Y244" s="35"/>
      <c r="Z244" s="35"/>
      <c r="AA244" s="35"/>
    </row>
    <row r="245">
      <c r="A245" s="40"/>
      <c r="B245" s="35"/>
      <c r="C245" s="35"/>
      <c r="D245" s="35"/>
      <c r="E245" s="35"/>
      <c r="F245" s="8"/>
      <c r="G245" s="8"/>
      <c r="H245" s="27"/>
      <c r="I245" s="35"/>
      <c r="J245" s="35"/>
      <c r="K245" s="35"/>
      <c r="L245" s="35"/>
      <c r="M245" s="8"/>
      <c r="N245" s="8"/>
      <c r="O245" s="27"/>
      <c r="P245" s="35"/>
      <c r="Q245" s="35"/>
      <c r="R245" s="35"/>
      <c r="S245" s="35"/>
      <c r="T245" s="8"/>
      <c r="U245" s="8"/>
      <c r="V245" s="27"/>
      <c r="W245" s="35"/>
      <c r="X245" s="40"/>
      <c r="Y245" s="35"/>
      <c r="Z245" s="35"/>
      <c r="AA245" s="35"/>
    </row>
    <row r="246">
      <c r="A246" s="40"/>
      <c r="B246" s="35"/>
      <c r="C246" s="45" t="s">
        <v>77</v>
      </c>
      <c r="D246" s="45" t="s">
        <v>88</v>
      </c>
      <c r="E246" s="35"/>
      <c r="F246" s="8">
        <f>'Playoff Scoring'!G9</f>
        <v>120</v>
      </c>
      <c r="G246" s="8">
        <f>'Playoff Scoring'!E11</f>
        <v>70</v>
      </c>
      <c r="H246" s="49">
        <f>F246-G246</f>
        <v>50</v>
      </c>
      <c r="I246" s="35"/>
      <c r="J246" s="45" t="s">
        <v>77</v>
      </c>
      <c r="K246" s="45" t="s">
        <v>57</v>
      </c>
      <c r="L246" s="35"/>
      <c r="M246" s="8">
        <f>'Playoff Scoring'!E20</f>
        <v>42</v>
      </c>
      <c r="N246" s="8">
        <f>'Playoff Scoring'!G18</f>
        <v>102</v>
      </c>
      <c r="O246" s="49">
        <f>M246-N246</f>
        <v>-60</v>
      </c>
      <c r="P246" s="35"/>
      <c r="Q246" s="45" t="s">
        <v>77</v>
      </c>
      <c r="R246" s="45" t="s">
        <v>50</v>
      </c>
      <c r="S246" s="35"/>
      <c r="T246" s="8">
        <f>'Playoff Scoring'!O9</f>
        <v>48</v>
      </c>
      <c r="U246" s="8">
        <f>'Playoff Scoring'!M11</f>
        <v>74</v>
      </c>
      <c r="V246" s="49">
        <f>T246-U246</f>
        <v>-26</v>
      </c>
      <c r="W246" s="35"/>
      <c r="X246" s="40"/>
      <c r="Y246" s="35"/>
      <c r="Z246" s="35"/>
      <c r="AA246" s="35"/>
    </row>
    <row r="247">
      <c r="A247" s="40"/>
      <c r="B247" s="35"/>
      <c r="C247" s="35"/>
      <c r="D247" s="35"/>
      <c r="E247" s="35"/>
      <c r="F247" s="8"/>
      <c r="G247" s="8"/>
      <c r="H247" s="27"/>
      <c r="I247" s="35"/>
      <c r="J247" s="35"/>
      <c r="K247" s="35"/>
      <c r="L247" s="35"/>
      <c r="M247" s="8"/>
      <c r="N247" s="8"/>
      <c r="O247" s="27"/>
      <c r="P247" s="35"/>
      <c r="Q247" s="35"/>
      <c r="R247" s="35"/>
      <c r="S247" s="35"/>
      <c r="T247" s="8"/>
      <c r="U247" s="8"/>
      <c r="V247" s="27"/>
      <c r="W247" s="35"/>
      <c r="X247" s="40"/>
      <c r="Y247" s="35"/>
      <c r="Z247" s="35"/>
      <c r="AA247" s="35"/>
    </row>
    <row r="248">
      <c r="A248" s="40"/>
      <c r="B248" s="35"/>
      <c r="C248" s="45" t="s">
        <v>80</v>
      </c>
      <c r="D248" s="45" t="s">
        <v>61</v>
      </c>
      <c r="E248" s="35"/>
      <c r="F248" s="8">
        <f>'Playoff Scoring'!F9</f>
        <v>72</v>
      </c>
      <c r="G248" s="8">
        <f>'Playoff Scoring'!E10</f>
        <v>82</v>
      </c>
      <c r="H248" s="49">
        <f>F248-G248</f>
        <v>-10</v>
      </c>
      <c r="I248" s="35"/>
      <c r="J248" s="45" t="s">
        <v>80</v>
      </c>
      <c r="K248" s="45" t="s">
        <v>72</v>
      </c>
      <c r="L248" s="35"/>
      <c r="M248" s="8"/>
      <c r="N248" s="8"/>
      <c r="O248" s="49">
        <f>M248-N248</f>
        <v>0</v>
      </c>
      <c r="P248" s="35"/>
      <c r="Q248" s="45" t="s">
        <v>80</v>
      </c>
      <c r="R248" s="45" t="s">
        <v>91</v>
      </c>
      <c r="S248" s="35"/>
      <c r="T248" s="8">
        <f>'Playoff Scoring'!N9</f>
        <v>32</v>
      </c>
      <c r="U248" s="8">
        <f>'Playoff Scoring'!M10</f>
        <v>34</v>
      </c>
      <c r="V248" s="49">
        <f>T248-U248</f>
        <v>-2</v>
      </c>
      <c r="W248" s="35"/>
      <c r="X248" s="40"/>
      <c r="Y248" s="35"/>
      <c r="Z248" s="35"/>
      <c r="AA248" s="35"/>
    </row>
    <row r="249">
      <c r="A249" s="40"/>
      <c r="B249" s="35"/>
      <c r="C249" s="35"/>
      <c r="D249" s="35"/>
      <c r="E249" s="35"/>
      <c r="F249" s="8"/>
      <c r="G249" s="8"/>
      <c r="H249" s="27"/>
      <c r="I249" s="35"/>
      <c r="J249" s="35"/>
      <c r="K249" s="35"/>
      <c r="L249" s="35"/>
      <c r="M249" s="8"/>
      <c r="N249" s="8"/>
      <c r="O249" s="27"/>
      <c r="P249" s="35"/>
      <c r="Q249" s="35"/>
      <c r="R249" s="35"/>
      <c r="S249" s="35"/>
      <c r="T249" s="8"/>
      <c r="U249" s="8"/>
      <c r="V249" s="27"/>
      <c r="W249" s="35"/>
      <c r="X249" s="40"/>
      <c r="Y249" s="35"/>
      <c r="Z249" s="35"/>
      <c r="AA249" s="35"/>
    </row>
    <row r="250">
      <c r="A250" s="40"/>
      <c r="B250" s="35"/>
      <c r="C250" s="45" t="s">
        <v>83</v>
      </c>
      <c r="D250" s="35"/>
      <c r="E250" s="35">
        <f>2*countifs(H240:H248, "&gt;0")+countifs(H240:H248, "=0")</f>
        <v>7</v>
      </c>
      <c r="F250" s="35">
        <f t="shared" ref="F250:H250" si="67">sum(F240:F248)</f>
        <v>490</v>
      </c>
      <c r="G250" s="35">
        <f t="shared" si="67"/>
        <v>314</v>
      </c>
      <c r="H250" s="35">
        <f t="shared" si="67"/>
        <v>176</v>
      </c>
      <c r="I250" s="35"/>
      <c r="J250" s="45" t="s">
        <v>83</v>
      </c>
      <c r="K250" s="35"/>
      <c r="L250" s="35">
        <f>2*countifs(O240:O248, "&gt;0")+countifs(O240:O248, "=0")</f>
        <v>5</v>
      </c>
      <c r="M250" s="49">
        <f t="shared" ref="M250:O250" si="68">sum(M240:M248)</f>
        <v>368</v>
      </c>
      <c r="N250" s="49">
        <f t="shared" si="68"/>
        <v>342</v>
      </c>
      <c r="O250" s="49">
        <f t="shared" si="68"/>
        <v>26</v>
      </c>
      <c r="P250" s="35"/>
      <c r="Q250" s="45" t="s">
        <v>83</v>
      </c>
      <c r="R250" s="35"/>
      <c r="S250" s="35">
        <f>2*countifs(V240:V248, "&gt;0")+countifs(V240:V248, "=0")</f>
        <v>3</v>
      </c>
      <c r="T250" s="49">
        <f t="shared" ref="T250:V250" si="69">sum(T240:T248)</f>
        <v>250</v>
      </c>
      <c r="U250" s="49">
        <f t="shared" si="69"/>
        <v>208</v>
      </c>
      <c r="V250" s="49">
        <f t="shared" si="69"/>
        <v>42</v>
      </c>
      <c r="W250" s="35"/>
      <c r="X250" s="40"/>
      <c r="Y250" s="35"/>
      <c r="Z250" s="35"/>
      <c r="AA250" s="35"/>
    </row>
    <row r="251">
      <c r="A251" s="46"/>
      <c r="B251" s="47"/>
      <c r="C251" s="50"/>
      <c r="D251" s="47"/>
      <c r="E251" s="47"/>
      <c r="F251" s="48">
        <f>COUNTIF(H226:H236, "&gt;0")+countif(H240:H248, "&gt;0")</f>
        <v>9</v>
      </c>
      <c r="G251" s="48">
        <f>COUNTIF(H226:H236, "&lt;0")+countif(H240:H248, "&lt;0")</f>
        <v>1</v>
      </c>
      <c r="H251" s="48">
        <f>COUNTIF(H226:H236, "=0")+countif(H240:H248, "=0")</f>
        <v>1</v>
      </c>
      <c r="I251" s="47"/>
      <c r="J251" s="50"/>
      <c r="K251" s="47"/>
      <c r="L251" s="47"/>
      <c r="M251" s="48">
        <f>COUNTIF(O226:O236, "&gt;0")+countif(O240:O248, "&gt;0")</f>
        <v>5</v>
      </c>
      <c r="N251" s="48">
        <f>COUNTIF(O226:O236, "&lt;0")+countif(O240:O248, "&lt;0")</f>
        <v>5</v>
      </c>
      <c r="O251" s="48">
        <f>COUNTIF(O226:O236, "=0")+countif(O240:O248, "=0")</f>
        <v>1</v>
      </c>
      <c r="P251" s="47"/>
      <c r="Q251" s="50"/>
      <c r="R251" s="47"/>
      <c r="S251" s="47"/>
      <c r="T251" s="48">
        <f>COUNTIF(V226:V236, "&gt;0")+countif(V240:V248, "&gt;0")</f>
        <v>6</v>
      </c>
      <c r="U251" s="48">
        <f>COUNTIF(V226:V236, "&lt;0")+countif(V240:V248, "&lt;0")</f>
        <v>4</v>
      </c>
      <c r="V251" s="48">
        <f>COUNTIF(V226:V236, "=0")+countif(V240:V248, "=0")</f>
        <v>1</v>
      </c>
      <c r="W251" s="47"/>
      <c r="X251" s="46"/>
      <c r="Y251" s="47"/>
      <c r="Z251" s="47"/>
      <c r="AA251" s="47"/>
    </row>
    <row r="252">
      <c r="A252" s="40"/>
      <c r="B252" s="35"/>
      <c r="C252" s="45" t="s">
        <v>84</v>
      </c>
      <c r="D252" s="35"/>
      <c r="E252" s="35">
        <f t="shared" ref="E252:H252" si="70">sum(E238,E250)</f>
        <v>25</v>
      </c>
      <c r="F252" s="35">
        <f t="shared" si="70"/>
        <v>1612</v>
      </c>
      <c r="G252" s="35">
        <f t="shared" si="70"/>
        <v>694</v>
      </c>
      <c r="H252" s="35">
        <f t="shared" si="70"/>
        <v>918</v>
      </c>
      <c r="I252" s="35"/>
      <c r="J252" s="45" t="s">
        <v>84</v>
      </c>
      <c r="K252" s="35"/>
      <c r="L252" s="35">
        <f t="shared" ref="L252:O252" si="71">sum(L238,L250)</f>
        <v>14</v>
      </c>
      <c r="M252" s="35">
        <f t="shared" si="71"/>
        <v>1154</v>
      </c>
      <c r="N252" s="35">
        <f t="shared" si="71"/>
        <v>1020</v>
      </c>
      <c r="O252" s="35">
        <f t="shared" si="71"/>
        <v>134</v>
      </c>
      <c r="P252" s="35"/>
      <c r="Q252" s="45" t="s">
        <v>84</v>
      </c>
      <c r="R252" s="35"/>
      <c r="S252" s="35">
        <f t="shared" ref="S252:V252" si="72">sum(S238,S250)</f>
        <v>18</v>
      </c>
      <c r="T252" s="35">
        <f t="shared" si="72"/>
        <v>1034</v>
      </c>
      <c r="U252" s="35">
        <f t="shared" si="72"/>
        <v>686</v>
      </c>
      <c r="V252" s="35">
        <f t="shared" si="72"/>
        <v>348</v>
      </c>
      <c r="W252" s="35"/>
      <c r="X252" s="40"/>
      <c r="Y252" s="35"/>
      <c r="Z252" s="35"/>
      <c r="AA252" s="35"/>
    </row>
    <row r="253">
      <c r="A253" s="40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40"/>
      <c r="Y253" s="35"/>
      <c r="Z253" s="35"/>
      <c r="AA253" s="35"/>
    </row>
    <row r="254">
      <c r="A254" s="40"/>
      <c r="B254" s="35"/>
      <c r="C254" s="43" t="s">
        <v>117</v>
      </c>
      <c r="D254" s="44" t="s">
        <v>61</v>
      </c>
      <c r="I254" s="42"/>
      <c r="J254" s="43" t="s">
        <v>118</v>
      </c>
      <c r="K254" s="44" t="s">
        <v>69</v>
      </c>
      <c r="P254" s="42"/>
      <c r="Q254" s="43" t="s">
        <v>119</v>
      </c>
      <c r="R254" s="44" t="s">
        <v>88</v>
      </c>
      <c r="W254" s="35"/>
      <c r="X254" s="40"/>
      <c r="Y254" s="35"/>
      <c r="Z254" s="35"/>
      <c r="AA254" s="35"/>
    </row>
    <row r="255">
      <c r="A255" s="40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40"/>
      <c r="Y255" s="35"/>
      <c r="Z255" s="35"/>
      <c r="AA255" s="35"/>
    </row>
    <row r="256">
      <c r="A256" s="40"/>
      <c r="B256" s="35"/>
      <c r="C256" s="45"/>
      <c r="D256" s="45" t="s">
        <v>45</v>
      </c>
      <c r="E256" s="45"/>
      <c r="F256" s="45" t="s">
        <v>46</v>
      </c>
      <c r="G256" s="45" t="s">
        <v>47</v>
      </c>
      <c r="H256" s="45" t="s">
        <v>48</v>
      </c>
      <c r="I256" s="35"/>
      <c r="J256" s="45"/>
      <c r="K256" s="45" t="s">
        <v>45</v>
      </c>
      <c r="L256" s="45"/>
      <c r="M256" s="45" t="s">
        <v>46</v>
      </c>
      <c r="N256" s="45" t="s">
        <v>47</v>
      </c>
      <c r="O256" s="45" t="s">
        <v>48</v>
      </c>
      <c r="P256" s="35"/>
      <c r="Q256" s="45"/>
      <c r="R256" s="45" t="s">
        <v>45</v>
      </c>
      <c r="S256" s="45"/>
      <c r="T256" s="45" t="s">
        <v>46</v>
      </c>
      <c r="U256" s="45" t="s">
        <v>47</v>
      </c>
      <c r="V256" s="45" t="s">
        <v>48</v>
      </c>
      <c r="W256" s="35"/>
      <c r="X256" s="40"/>
      <c r="Y256" s="35"/>
      <c r="Z256" s="35"/>
      <c r="AA256" s="35"/>
    </row>
    <row r="257">
      <c r="A257" s="40"/>
      <c r="B257" s="35"/>
      <c r="C257" s="45" t="s">
        <v>49</v>
      </c>
      <c r="D257" s="45" t="s">
        <v>89</v>
      </c>
      <c r="E257" s="45" t="s">
        <v>51</v>
      </c>
      <c r="F257" s="45">
        <f>'League Scoreboard'!Q14</f>
        <v>242</v>
      </c>
      <c r="G257" s="35">
        <f>'League Scoreboard'!Q12</f>
        <v>48</v>
      </c>
      <c r="H257" s="35">
        <f>F257-G257</f>
        <v>194</v>
      </c>
      <c r="I257" s="35"/>
      <c r="J257" s="45" t="s">
        <v>49</v>
      </c>
      <c r="K257" s="45" t="s">
        <v>93</v>
      </c>
      <c r="L257" s="45" t="s">
        <v>51</v>
      </c>
      <c r="M257" s="45">
        <f>'League Scoreboard'!U18</f>
        <v>22</v>
      </c>
      <c r="N257" s="35">
        <f>'League Scoreboard'!U16</f>
        <v>246</v>
      </c>
      <c r="O257" s="35">
        <f>M257-N257</f>
        <v>-224</v>
      </c>
      <c r="P257" s="35"/>
      <c r="Q257" s="45" t="s">
        <v>49</v>
      </c>
      <c r="R257" s="45" t="s">
        <v>78</v>
      </c>
      <c r="S257" s="45" t="s">
        <v>53</v>
      </c>
      <c r="T257" s="45">
        <f>'League Scoreboard'!U12</f>
        <v>206</v>
      </c>
      <c r="U257" s="35">
        <f>'League Scoreboard'!U14</f>
        <v>66</v>
      </c>
      <c r="V257" s="35">
        <f>T257-U257</f>
        <v>140</v>
      </c>
      <c r="W257" s="35"/>
      <c r="X257" s="40"/>
      <c r="Y257" s="35"/>
      <c r="Z257" s="35"/>
      <c r="AA257" s="35"/>
    </row>
    <row r="258">
      <c r="A258" s="40"/>
      <c r="B258" s="35"/>
      <c r="C258" s="45"/>
      <c r="D258" s="35"/>
      <c r="E258" s="45"/>
      <c r="F258" s="45"/>
      <c r="G258" s="35"/>
      <c r="H258" s="35"/>
      <c r="I258" s="35"/>
      <c r="J258" s="45"/>
      <c r="K258" s="35"/>
      <c r="L258" s="45"/>
      <c r="M258" s="45"/>
      <c r="N258" s="35"/>
      <c r="O258" s="35"/>
      <c r="P258" s="35"/>
      <c r="Q258" s="45"/>
      <c r="R258" s="35"/>
      <c r="S258" s="45"/>
      <c r="T258" s="45"/>
      <c r="U258" s="35"/>
      <c r="V258" s="35"/>
      <c r="W258" s="35"/>
      <c r="X258" s="40"/>
      <c r="Y258" s="35"/>
      <c r="Z258" s="35"/>
      <c r="AA258" s="35"/>
    </row>
    <row r="259">
      <c r="A259" s="40"/>
      <c r="B259" s="35"/>
      <c r="C259" s="45" t="s">
        <v>55</v>
      </c>
      <c r="D259" s="45" t="s">
        <v>74</v>
      </c>
      <c r="E259" s="45" t="s">
        <v>51</v>
      </c>
      <c r="F259" s="35">
        <f>'League Scoreboard'!M24</f>
        <v>210</v>
      </c>
      <c r="G259" s="35">
        <f>'League Scoreboard'!M22</f>
        <v>56</v>
      </c>
      <c r="H259" s="35">
        <f>F259-G259</f>
        <v>154</v>
      </c>
      <c r="I259" s="35"/>
      <c r="J259" s="45" t="s">
        <v>55</v>
      </c>
      <c r="K259" s="45" t="s">
        <v>95</v>
      </c>
      <c r="L259" s="45" t="s">
        <v>53</v>
      </c>
      <c r="M259" s="35">
        <f>'League Scoreboard'!Q26</f>
        <v>30</v>
      </c>
      <c r="N259" s="35">
        <f>'League Scoreboard'!Q28</f>
        <v>148</v>
      </c>
      <c r="O259" s="35">
        <f>M259-N259</f>
        <v>-118</v>
      </c>
      <c r="P259" s="35"/>
      <c r="Q259" s="45" t="s">
        <v>55</v>
      </c>
      <c r="R259" s="45" t="s">
        <v>82</v>
      </c>
      <c r="S259" s="45" t="s">
        <v>51</v>
      </c>
      <c r="T259" s="35">
        <f>'League Scoreboard'!I24</f>
        <v>172</v>
      </c>
      <c r="U259" s="35">
        <f>'League Scoreboard'!I22</f>
        <v>28</v>
      </c>
      <c r="V259" s="35">
        <f>T259-U259</f>
        <v>144</v>
      </c>
      <c r="W259" s="35"/>
      <c r="X259" s="40"/>
      <c r="Y259" s="35"/>
      <c r="Z259" s="35"/>
      <c r="AA259" s="35"/>
    </row>
    <row r="260">
      <c r="A260" s="40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40"/>
      <c r="Y260" s="35"/>
      <c r="Z260" s="35"/>
      <c r="AA260" s="35"/>
    </row>
    <row r="261">
      <c r="A261" s="40"/>
      <c r="B261" s="35"/>
      <c r="C261" s="45" t="s">
        <v>59</v>
      </c>
      <c r="D261" s="45" t="s">
        <v>42</v>
      </c>
      <c r="E261" s="45" t="s">
        <v>51</v>
      </c>
      <c r="F261" s="35">
        <f>'League Scoreboard'!E42</f>
        <v>144</v>
      </c>
      <c r="G261" s="35">
        <f>'League Scoreboard'!E40</f>
        <v>150</v>
      </c>
      <c r="H261" s="35">
        <f>F261-G261</f>
        <v>-6</v>
      </c>
      <c r="I261" s="35"/>
      <c r="J261" s="45" t="s">
        <v>59</v>
      </c>
      <c r="K261" s="45" t="s">
        <v>79</v>
      </c>
      <c r="L261" s="45" t="s">
        <v>51</v>
      </c>
      <c r="M261" s="35">
        <f>'League Scoreboard'!I46</f>
        <v>84</v>
      </c>
      <c r="N261" s="35">
        <f>'League Scoreboard'!I44</f>
        <v>68</v>
      </c>
      <c r="O261" s="35">
        <f>M261-N261</f>
        <v>16</v>
      </c>
      <c r="P261" s="35"/>
      <c r="Q261" s="45" t="s">
        <v>59</v>
      </c>
      <c r="R261" s="45" t="s">
        <v>54</v>
      </c>
      <c r="S261" s="45" t="s">
        <v>53</v>
      </c>
      <c r="T261" s="35">
        <f>'League Scoreboard'!I40</f>
        <v>154</v>
      </c>
      <c r="U261" s="35">
        <f>'League Scoreboard'!I42</f>
        <v>116</v>
      </c>
      <c r="V261" s="35">
        <f>T261-U261</f>
        <v>38</v>
      </c>
      <c r="W261" s="35"/>
      <c r="X261" s="40"/>
      <c r="Y261" s="35"/>
      <c r="Z261" s="35"/>
      <c r="AA261" s="35"/>
    </row>
    <row r="262">
      <c r="A262" s="40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40"/>
      <c r="Y262" s="35"/>
      <c r="Z262" s="35"/>
      <c r="AA262" s="35"/>
    </row>
    <row r="263">
      <c r="A263" s="40"/>
      <c r="B263" s="35"/>
      <c r="C263" s="45" t="s">
        <v>62</v>
      </c>
      <c r="D263" s="45" t="s">
        <v>75</v>
      </c>
      <c r="E263" s="45" t="s">
        <v>53</v>
      </c>
      <c r="F263" s="35">
        <f>'League Scoreboard'!U58</f>
        <v>154</v>
      </c>
      <c r="G263" s="35">
        <f>'League Scoreboard'!U60</f>
        <v>120</v>
      </c>
      <c r="H263" s="35">
        <f>F263-G263</f>
        <v>34</v>
      </c>
      <c r="I263" s="35"/>
      <c r="J263" s="45" t="s">
        <v>62</v>
      </c>
      <c r="K263" s="45" t="s">
        <v>50</v>
      </c>
      <c r="L263" s="45" t="s">
        <v>53</v>
      </c>
      <c r="M263" s="35">
        <f>'League Scoreboard'!M58</f>
        <v>16</v>
      </c>
      <c r="N263" s="35">
        <f>'League Scoreboard'!M60</f>
        <v>200</v>
      </c>
      <c r="O263" s="35">
        <f>M263-N263</f>
        <v>-184</v>
      </c>
      <c r="P263" s="35"/>
      <c r="Q263" s="45" t="s">
        <v>62</v>
      </c>
      <c r="R263" s="45" t="s">
        <v>60</v>
      </c>
      <c r="S263" s="45" t="s">
        <v>51</v>
      </c>
      <c r="T263" s="35">
        <f>'League Scoreboard'!U56</f>
        <v>232</v>
      </c>
      <c r="U263" s="35">
        <f>'League Scoreboard'!U54</f>
        <v>38</v>
      </c>
      <c r="V263" s="35">
        <f>T263-U263</f>
        <v>194</v>
      </c>
      <c r="W263" s="35"/>
      <c r="X263" s="40"/>
      <c r="Y263" s="35"/>
      <c r="Z263" s="35"/>
      <c r="AA263" s="35"/>
    </row>
    <row r="264">
      <c r="A264" s="40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40"/>
      <c r="Y264" s="35"/>
      <c r="Z264" s="35"/>
      <c r="AA264" s="35"/>
    </row>
    <row r="265">
      <c r="A265" s="40"/>
      <c r="B265" s="35"/>
      <c r="C265" s="45" t="s">
        <v>66</v>
      </c>
      <c r="D265" s="45" t="s">
        <v>79</v>
      </c>
      <c r="E265" s="45" t="s">
        <v>53</v>
      </c>
      <c r="F265" s="35">
        <f>'League Scoreboard'!I68</f>
        <v>162</v>
      </c>
      <c r="G265" s="35">
        <f>'League Scoreboard'!I70</f>
        <v>22</v>
      </c>
      <c r="H265" s="35">
        <f>F265-G265</f>
        <v>140</v>
      </c>
      <c r="I265" s="35"/>
      <c r="J265" s="45" t="s">
        <v>66</v>
      </c>
      <c r="K265" s="45" t="s">
        <v>99</v>
      </c>
      <c r="L265" s="45" t="s">
        <v>51</v>
      </c>
      <c r="M265" s="35">
        <f>'League Scoreboard'!M66</f>
        <v>60</v>
      </c>
      <c r="N265" s="35">
        <f>'League Scoreboard'!M64</f>
        <v>128</v>
      </c>
      <c r="O265" s="35">
        <f>M265-N265</f>
        <v>-68</v>
      </c>
      <c r="P265" s="35"/>
      <c r="Q265" s="45" t="s">
        <v>66</v>
      </c>
      <c r="R265" s="45" t="s">
        <v>93</v>
      </c>
      <c r="S265" s="45" t="s">
        <v>53</v>
      </c>
      <c r="T265" s="35">
        <f>'League Scoreboard'!U68</f>
        <v>114</v>
      </c>
      <c r="U265" s="35">
        <f>'League Scoreboard'!U70</f>
        <v>122</v>
      </c>
      <c r="V265" s="35">
        <f>T265-U265</f>
        <v>-8</v>
      </c>
      <c r="W265" s="35"/>
      <c r="X265" s="40"/>
      <c r="Y265" s="35"/>
      <c r="Z265" s="35"/>
      <c r="AA265" s="35"/>
    </row>
    <row r="266">
      <c r="A266" s="40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40"/>
      <c r="Y266" s="35"/>
      <c r="Z266" s="35"/>
      <c r="AA266" s="35"/>
    </row>
    <row r="267">
      <c r="A267" s="40"/>
      <c r="B267" s="35"/>
      <c r="C267" s="45" t="s">
        <v>68</v>
      </c>
      <c r="D267" s="45" t="s">
        <v>50</v>
      </c>
      <c r="E267" s="45" t="s">
        <v>53</v>
      </c>
      <c r="F267" s="35">
        <f>'League Scoreboard'!U86</f>
        <v>170</v>
      </c>
      <c r="G267" s="35">
        <f>'League Scoreboard'!U88</f>
        <v>84</v>
      </c>
      <c r="H267" s="35">
        <f>F267-G267</f>
        <v>86</v>
      </c>
      <c r="I267" s="35"/>
      <c r="J267" s="45" t="s">
        <v>68</v>
      </c>
      <c r="K267" s="45" t="s">
        <v>40</v>
      </c>
      <c r="L267" s="45" t="s">
        <v>53</v>
      </c>
      <c r="M267" s="35">
        <f>'League Scoreboard'!E78</f>
        <v>-4</v>
      </c>
      <c r="N267" s="35">
        <f>'League Scoreboard'!E80</f>
        <v>126</v>
      </c>
      <c r="O267" s="35">
        <f>M267-N267</f>
        <v>-130</v>
      </c>
      <c r="P267" s="35"/>
      <c r="Q267" s="45" t="s">
        <v>68</v>
      </c>
      <c r="R267" s="45" t="s">
        <v>89</v>
      </c>
      <c r="S267" s="45" t="s">
        <v>51</v>
      </c>
      <c r="T267" s="35">
        <f>'League Scoreboard'!M84</f>
        <v>136</v>
      </c>
      <c r="U267" s="35">
        <f>'League Scoreboard'!M82</f>
        <v>72</v>
      </c>
      <c r="V267" s="35">
        <f>T267-U267</f>
        <v>64</v>
      </c>
      <c r="W267" s="35"/>
      <c r="X267" s="40"/>
      <c r="Y267" s="35"/>
      <c r="Z267" s="35"/>
      <c r="AA267" s="35"/>
    </row>
    <row r="268">
      <c r="A268" s="46"/>
      <c r="B268" s="47"/>
      <c r="C268" s="47"/>
      <c r="D268" s="47"/>
      <c r="E268" s="47"/>
      <c r="F268" s="48">
        <f>countif(H257:H267, "&gt;0")</f>
        <v>5</v>
      </c>
      <c r="G268" s="48">
        <f>countif(H257:H267, "&lt;0")</f>
        <v>1</v>
      </c>
      <c r="H268" s="48">
        <f>countif(H257:H267, "=0")</f>
        <v>0</v>
      </c>
      <c r="I268" s="47"/>
      <c r="J268" s="47"/>
      <c r="K268" s="47"/>
      <c r="L268" s="47"/>
      <c r="M268" s="48">
        <f>countif(O257:O267, "&gt;0")</f>
        <v>1</v>
      </c>
      <c r="N268" s="48">
        <f>countif(O257:O267, "&lt;0")</f>
        <v>5</v>
      </c>
      <c r="O268" s="48">
        <f>countif(O257:O267, "=0")</f>
        <v>0</v>
      </c>
      <c r="P268" s="47"/>
      <c r="Q268" s="47"/>
      <c r="R268" s="47"/>
      <c r="S268" s="47"/>
      <c r="T268" s="48">
        <f>countif(V257:V267, "&gt;0")</f>
        <v>5</v>
      </c>
      <c r="U268" s="48">
        <f>countif(V257:V267, "&lt;0")</f>
        <v>1</v>
      </c>
      <c r="V268" s="48">
        <f>countif(V257:V267, "=0")</f>
        <v>0</v>
      </c>
      <c r="W268" s="47"/>
      <c r="X268" s="46"/>
      <c r="Y268" s="47"/>
      <c r="Z268" s="47"/>
      <c r="AA268" s="47"/>
    </row>
    <row r="269">
      <c r="A269" s="40"/>
      <c r="B269" s="35"/>
      <c r="C269" s="45" t="s">
        <v>70</v>
      </c>
      <c r="D269" s="35"/>
      <c r="E269" s="35">
        <f>3*countifs(H257:H267, "&gt;0")+countifs(H257:H267, "=0")</f>
        <v>15</v>
      </c>
      <c r="F269" s="49">
        <f t="shared" ref="F269:H269" si="73">sum(F257:F267)</f>
        <v>1082</v>
      </c>
      <c r="G269" s="49">
        <f t="shared" si="73"/>
        <v>480</v>
      </c>
      <c r="H269" s="49">
        <f t="shared" si="73"/>
        <v>602</v>
      </c>
      <c r="I269" s="35"/>
      <c r="J269" s="45" t="s">
        <v>70</v>
      </c>
      <c r="K269" s="35"/>
      <c r="L269" s="35">
        <f>3*countifs(O257:O267, "&gt;0")+countifs(O257:O267, "=0")</f>
        <v>3</v>
      </c>
      <c r="M269" s="49">
        <f t="shared" ref="M269:O269" si="74">sum(M257:M267)</f>
        <v>208</v>
      </c>
      <c r="N269" s="49">
        <f t="shared" si="74"/>
        <v>916</v>
      </c>
      <c r="O269" s="49">
        <f t="shared" si="74"/>
        <v>-708</v>
      </c>
      <c r="P269" s="35"/>
      <c r="Q269" s="45" t="s">
        <v>70</v>
      </c>
      <c r="R269" s="35"/>
      <c r="S269" s="35">
        <f>3*countifs(V257:V267, "&gt;0")+countifs(V257:V267, "=0")</f>
        <v>15</v>
      </c>
      <c r="T269" s="49">
        <f t="shared" ref="T269:V269" si="75">sum(T257:T267)</f>
        <v>1014</v>
      </c>
      <c r="U269" s="49">
        <f t="shared" si="75"/>
        <v>442</v>
      </c>
      <c r="V269" s="49">
        <f t="shared" si="75"/>
        <v>572</v>
      </c>
      <c r="W269" s="35"/>
      <c r="X269" s="40"/>
      <c r="Y269" s="35"/>
      <c r="Z269" s="35"/>
      <c r="AA269" s="35"/>
    </row>
    <row r="270">
      <c r="A270" s="40"/>
      <c r="B270" s="35"/>
      <c r="C270" s="35"/>
      <c r="D270" s="35"/>
      <c r="E270" s="35"/>
      <c r="F270" s="8"/>
      <c r="G270" s="8"/>
      <c r="H270" s="27"/>
      <c r="I270" s="35"/>
      <c r="J270" s="35"/>
      <c r="K270" s="35"/>
      <c r="L270" s="35"/>
      <c r="M270" s="8"/>
      <c r="N270" s="8"/>
      <c r="O270" s="27"/>
      <c r="P270" s="35"/>
      <c r="Q270" s="35"/>
      <c r="R270" s="35"/>
      <c r="S270" s="35"/>
      <c r="T270" s="8"/>
      <c r="U270" s="8"/>
      <c r="V270" s="27"/>
      <c r="W270" s="35"/>
      <c r="X270" s="40"/>
      <c r="Y270" s="35"/>
      <c r="Z270" s="35"/>
      <c r="AA270" s="35"/>
    </row>
    <row r="271">
      <c r="A271" s="40"/>
      <c r="B271" s="35"/>
      <c r="C271" s="45" t="s">
        <v>71</v>
      </c>
      <c r="D271" s="45" t="s">
        <v>88</v>
      </c>
      <c r="E271" s="35"/>
      <c r="F271" s="8">
        <f>'Playoff Scoring'!G10</f>
        <v>98</v>
      </c>
      <c r="G271" s="8">
        <f>'Playoff Scoring'!F11</f>
        <v>106</v>
      </c>
      <c r="H271" s="49">
        <f>F271-G271</f>
        <v>-8</v>
      </c>
      <c r="I271" s="35"/>
      <c r="J271" s="45" t="s">
        <v>71</v>
      </c>
      <c r="K271" s="45" t="s">
        <v>44</v>
      </c>
      <c r="L271" s="35"/>
      <c r="M271" s="8">
        <f>'Playoff Scoring'!M26</f>
        <v>26</v>
      </c>
      <c r="N271" s="8">
        <f>'Playoff Scoring'!L27</f>
        <v>40</v>
      </c>
      <c r="O271" s="49">
        <f>M271-N271</f>
        <v>-14</v>
      </c>
      <c r="P271" s="35"/>
      <c r="Q271" s="45" t="s">
        <v>71</v>
      </c>
      <c r="R271" s="45" t="s">
        <v>61</v>
      </c>
      <c r="S271" s="35"/>
      <c r="T271" s="8">
        <f>'Playoff Scoring'!F11</f>
        <v>106</v>
      </c>
      <c r="U271" s="8">
        <f>'Playoff Scoring'!G10</f>
        <v>98</v>
      </c>
      <c r="V271" s="49">
        <f>T271-U271</f>
        <v>8</v>
      </c>
      <c r="W271" s="35"/>
      <c r="X271" s="40"/>
      <c r="Y271" s="35"/>
      <c r="Z271" s="35"/>
      <c r="AA271" s="35"/>
    </row>
    <row r="272">
      <c r="A272" s="40"/>
      <c r="B272" s="35"/>
      <c r="C272" s="35"/>
      <c r="D272" s="35"/>
      <c r="E272" s="35"/>
      <c r="F272" s="8"/>
      <c r="G272" s="8"/>
      <c r="H272" s="27"/>
      <c r="I272" s="35"/>
      <c r="J272" s="35"/>
      <c r="K272" s="35"/>
      <c r="L272" s="35"/>
      <c r="M272" s="8"/>
      <c r="N272" s="8"/>
      <c r="O272" s="27"/>
      <c r="P272" s="35"/>
      <c r="Q272" s="35"/>
      <c r="R272" s="35"/>
      <c r="S272" s="35"/>
      <c r="T272" s="8"/>
      <c r="U272" s="8"/>
      <c r="V272" s="27"/>
      <c r="W272" s="35"/>
      <c r="X272" s="40"/>
      <c r="Y272" s="35"/>
      <c r="Z272" s="35"/>
      <c r="AA272" s="35"/>
    </row>
    <row r="273">
      <c r="A273" s="40"/>
      <c r="B273" s="35"/>
      <c r="C273" s="45" t="s">
        <v>73</v>
      </c>
      <c r="D273" s="45" t="s">
        <v>72</v>
      </c>
      <c r="E273" s="35"/>
      <c r="F273" s="8"/>
      <c r="G273" s="8"/>
      <c r="H273" s="49">
        <f>F273-G273</f>
        <v>0</v>
      </c>
      <c r="I273" s="35"/>
      <c r="J273" s="45" t="s">
        <v>73</v>
      </c>
      <c r="K273" s="45" t="s">
        <v>79</v>
      </c>
      <c r="L273" s="35"/>
      <c r="M273" s="8">
        <f>'Playoff Scoring'!O26</f>
        <v>0</v>
      </c>
      <c r="N273" s="8">
        <f>'Playoff Scoring'!L29</f>
        <v>0</v>
      </c>
      <c r="O273" s="49">
        <f>M273-N273</f>
        <v>0</v>
      </c>
      <c r="P273" s="35"/>
      <c r="Q273" s="45" t="s">
        <v>73</v>
      </c>
      <c r="R273" s="45" t="s">
        <v>63</v>
      </c>
      <c r="S273" s="35"/>
      <c r="T273" s="8">
        <f>'Playoff Scoring'!D11</f>
        <v>34</v>
      </c>
      <c r="U273" s="8">
        <f>'Playoff Scoring'!G8</f>
        <v>110</v>
      </c>
      <c r="V273" s="49">
        <f>T273-U273</f>
        <v>-76</v>
      </c>
      <c r="W273" s="35"/>
      <c r="X273" s="40"/>
      <c r="Y273" s="35"/>
      <c r="Z273" s="35"/>
      <c r="AA273" s="35"/>
    </row>
    <row r="274">
      <c r="A274" s="40"/>
      <c r="B274" s="35"/>
      <c r="C274" s="35"/>
      <c r="D274" s="35"/>
      <c r="E274" s="35"/>
      <c r="F274" s="8"/>
      <c r="G274" s="8"/>
      <c r="H274" s="27"/>
      <c r="I274" s="35"/>
      <c r="J274" s="35"/>
      <c r="K274" s="35"/>
      <c r="L274" s="35"/>
      <c r="M274" s="8"/>
      <c r="N274" s="8"/>
      <c r="O274" s="27"/>
      <c r="P274" s="35"/>
      <c r="Q274" s="35"/>
      <c r="R274" s="35"/>
      <c r="S274" s="35"/>
      <c r="T274" s="8"/>
      <c r="U274" s="8"/>
      <c r="V274" s="27"/>
      <c r="W274" s="35"/>
      <c r="X274" s="40"/>
      <c r="Y274" s="35"/>
      <c r="Z274" s="35"/>
      <c r="AA274" s="35"/>
    </row>
    <row r="275">
      <c r="A275" s="40"/>
      <c r="B275" s="35"/>
      <c r="C275" s="45" t="s">
        <v>76</v>
      </c>
      <c r="D275" s="45" t="s">
        <v>63</v>
      </c>
      <c r="E275" s="35"/>
      <c r="F275" s="8">
        <f>'Playoff Scoring'!D10</f>
        <v>130</v>
      </c>
      <c r="G275" s="8">
        <f>'Playoff Scoring'!F8</f>
        <v>124</v>
      </c>
      <c r="H275" s="49">
        <f>F275-G275</f>
        <v>6</v>
      </c>
      <c r="I275" s="35"/>
      <c r="J275" s="45" t="s">
        <v>76</v>
      </c>
      <c r="K275" s="45" t="s">
        <v>82</v>
      </c>
      <c r="L275" s="35"/>
      <c r="M275" s="8">
        <f>'Playoff Scoring'!N26</f>
        <v>30</v>
      </c>
      <c r="N275" s="8">
        <f>'Playoff Scoring'!L28</f>
        <v>40</v>
      </c>
      <c r="O275" s="49">
        <f>M275-N275</f>
        <v>-10</v>
      </c>
      <c r="P275" s="35"/>
      <c r="Q275" s="45" t="s">
        <v>76</v>
      </c>
      <c r="R275" s="45" t="s">
        <v>94</v>
      </c>
      <c r="S275" s="35"/>
      <c r="T275" s="8">
        <f>'Playoff Scoring'!H11</f>
        <v>76</v>
      </c>
      <c r="U275" s="8">
        <f>'Playoff Scoring'!G12</f>
        <v>74</v>
      </c>
      <c r="V275" s="49">
        <f>T275-U275</f>
        <v>2</v>
      </c>
      <c r="W275" s="35"/>
      <c r="X275" s="40"/>
      <c r="Y275" s="35"/>
      <c r="Z275" s="35"/>
      <c r="AA275" s="35"/>
    </row>
    <row r="276">
      <c r="A276" s="40"/>
      <c r="B276" s="35"/>
      <c r="C276" s="35"/>
      <c r="D276" s="35"/>
      <c r="E276" s="35"/>
      <c r="F276" s="8"/>
      <c r="G276" s="8"/>
      <c r="H276" s="27"/>
      <c r="I276" s="35"/>
      <c r="J276" s="35"/>
      <c r="K276" s="35"/>
      <c r="L276" s="35"/>
      <c r="M276" s="8"/>
      <c r="N276" s="8"/>
      <c r="O276" s="27"/>
      <c r="P276" s="35"/>
      <c r="Q276" s="35"/>
      <c r="R276" s="35"/>
      <c r="S276" s="35"/>
      <c r="T276" s="8"/>
      <c r="U276" s="8"/>
      <c r="V276" s="27"/>
      <c r="W276" s="35"/>
      <c r="X276" s="40"/>
      <c r="Y276" s="35"/>
      <c r="Z276" s="35"/>
      <c r="AA276" s="35"/>
    </row>
    <row r="277">
      <c r="A277" s="40"/>
      <c r="B277" s="35"/>
      <c r="C277" s="45" t="s">
        <v>77</v>
      </c>
      <c r="D277" s="45" t="s">
        <v>94</v>
      </c>
      <c r="E277" s="35"/>
      <c r="F277" s="8">
        <f>'Playoff Scoring'!H10</f>
        <v>96</v>
      </c>
      <c r="G277" s="8">
        <f>'Playoff Scoring'!F12</f>
        <v>78</v>
      </c>
      <c r="H277" s="49">
        <f>F277-G277</f>
        <v>18</v>
      </c>
      <c r="I277" s="35"/>
      <c r="J277" s="45" t="s">
        <v>77</v>
      </c>
      <c r="K277" s="45" t="s">
        <v>72</v>
      </c>
      <c r="L277" s="35"/>
      <c r="M277" s="8"/>
      <c r="N277" s="8"/>
      <c r="O277" s="49">
        <f>M277-N277</f>
        <v>0</v>
      </c>
      <c r="P277" s="35"/>
      <c r="Q277" s="45" t="s">
        <v>77</v>
      </c>
      <c r="R277" s="45" t="s">
        <v>93</v>
      </c>
      <c r="S277" s="35"/>
      <c r="T277" s="8">
        <f>'Playoff Scoring'!E11</f>
        <v>70</v>
      </c>
      <c r="U277" s="8">
        <f>'Playoff Scoring'!G9</f>
        <v>120</v>
      </c>
      <c r="V277" s="49">
        <f>T277-U277</f>
        <v>-50</v>
      </c>
      <c r="W277" s="35"/>
      <c r="X277" s="40"/>
      <c r="Y277" s="35"/>
      <c r="Z277" s="35"/>
      <c r="AA277" s="35"/>
    </row>
    <row r="278">
      <c r="A278" s="40"/>
      <c r="B278" s="35"/>
      <c r="C278" s="35"/>
      <c r="D278" s="35"/>
      <c r="E278" s="35"/>
      <c r="F278" s="8"/>
      <c r="G278" s="8"/>
      <c r="H278" s="27"/>
      <c r="I278" s="35"/>
      <c r="J278" s="35"/>
      <c r="K278" s="35"/>
      <c r="L278" s="35"/>
      <c r="M278" s="8"/>
      <c r="N278" s="8"/>
      <c r="O278" s="27"/>
      <c r="P278" s="35"/>
      <c r="Q278" s="35"/>
      <c r="R278" s="35"/>
      <c r="S278" s="35"/>
      <c r="T278" s="8"/>
      <c r="U278" s="8"/>
      <c r="V278" s="27"/>
      <c r="W278" s="35"/>
      <c r="X278" s="40"/>
      <c r="Y278" s="35"/>
      <c r="Z278" s="35"/>
      <c r="AA278" s="35"/>
    </row>
    <row r="279">
      <c r="A279" s="40"/>
      <c r="B279" s="35"/>
      <c r="C279" s="45" t="s">
        <v>80</v>
      </c>
      <c r="D279" s="45" t="s">
        <v>93</v>
      </c>
      <c r="E279" s="35"/>
      <c r="F279" s="8">
        <f>'Playoff Scoring'!E10</f>
        <v>82</v>
      </c>
      <c r="G279" s="8">
        <f>'Playoff Scoring'!F9</f>
        <v>72</v>
      </c>
      <c r="H279" s="49">
        <f>F279-G279</f>
        <v>10</v>
      </c>
      <c r="I279" s="35"/>
      <c r="J279" s="45" t="s">
        <v>80</v>
      </c>
      <c r="K279" s="45" t="s">
        <v>52</v>
      </c>
      <c r="L279" s="35"/>
      <c r="M279" s="8">
        <f>'Playoff Scoring'!P26</f>
        <v>36</v>
      </c>
      <c r="N279" s="8">
        <f>'Playoff Scoring'!L30</f>
        <v>30</v>
      </c>
      <c r="O279" s="49">
        <f>M279-N279</f>
        <v>6</v>
      </c>
      <c r="P279" s="35"/>
      <c r="Q279" s="45" t="s">
        <v>80</v>
      </c>
      <c r="R279" s="45" t="s">
        <v>72</v>
      </c>
      <c r="S279" s="35"/>
      <c r="T279" s="8"/>
      <c r="U279" s="8"/>
      <c r="V279" s="49">
        <f>T279-U279</f>
        <v>0</v>
      </c>
      <c r="W279" s="35"/>
      <c r="X279" s="40"/>
      <c r="Y279" s="35"/>
      <c r="Z279" s="35"/>
      <c r="AA279" s="35"/>
    </row>
    <row r="280">
      <c r="A280" s="40"/>
      <c r="B280" s="35"/>
      <c r="C280" s="35"/>
      <c r="D280" s="35"/>
      <c r="E280" s="35"/>
      <c r="F280" s="8"/>
      <c r="G280" s="8"/>
      <c r="H280" s="27"/>
      <c r="I280" s="35"/>
      <c r="J280" s="35"/>
      <c r="K280" s="35"/>
      <c r="L280" s="35"/>
      <c r="M280" s="8"/>
      <c r="N280" s="8"/>
      <c r="O280" s="27"/>
      <c r="P280" s="35"/>
      <c r="Q280" s="35"/>
      <c r="R280" s="35"/>
      <c r="S280" s="35"/>
      <c r="T280" s="8"/>
      <c r="U280" s="8"/>
      <c r="V280" s="27"/>
      <c r="W280" s="35"/>
      <c r="X280" s="40"/>
      <c r="Y280" s="35"/>
      <c r="Z280" s="35"/>
      <c r="AA280" s="35"/>
    </row>
    <row r="281">
      <c r="A281" s="40"/>
      <c r="B281" s="35"/>
      <c r="C281" s="45" t="s">
        <v>83</v>
      </c>
      <c r="D281" s="35"/>
      <c r="E281" s="35">
        <f>2*countifs(H271:H279, "&gt;0")+countifs(H271:H279, "=0")</f>
        <v>7</v>
      </c>
      <c r="F281" s="35">
        <f t="shared" ref="F281:H281" si="76">sum(F271:F279)</f>
        <v>406</v>
      </c>
      <c r="G281" s="35">
        <f t="shared" si="76"/>
        <v>380</v>
      </c>
      <c r="H281" s="35">
        <f t="shared" si="76"/>
        <v>26</v>
      </c>
      <c r="I281" s="35"/>
      <c r="J281" s="45" t="s">
        <v>83</v>
      </c>
      <c r="K281" s="35"/>
      <c r="L281" s="35">
        <f>2*countifs(O271:O279, "&gt;0")+countifs(O271:O279, "=0")</f>
        <v>4</v>
      </c>
      <c r="M281" s="49">
        <f t="shared" ref="M281:O281" si="77">sum(M271:M279)</f>
        <v>92</v>
      </c>
      <c r="N281" s="49">
        <f t="shared" si="77"/>
        <v>110</v>
      </c>
      <c r="O281" s="49">
        <f t="shared" si="77"/>
        <v>-18</v>
      </c>
      <c r="P281" s="35"/>
      <c r="Q281" s="45" t="s">
        <v>83</v>
      </c>
      <c r="R281" s="35"/>
      <c r="S281" s="35">
        <f>2*countifs(V271:V279, "&gt;0")+countifs(V271:V279, "=0")</f>
        <v>5</v>
      </c>
      <c r="T281" s="49">
        <f t="shared" ref="T281:V281" si="78">sum(T271:T279)</f>
        <v>286</v>
      </c>
      <c r="U281" s="49">
        <f t="shared" si="78"/>
        <v>402</v>
      </c>
      <c r="V281" s="49">
        <f t="shared" si="78"/>
        <v>-116</v>
      </c>
      <c r="W281" s="35"/>
      <c r="X281" s="40"/>
      <c r="Y281" s="35"/>
      <c r="Z281" s="35"/>
      <c r="AA281" s="35"/>
    </row>
    <row r="282">
      <c r="A282" s="46"/>
      <c r="B282" s="47"/>
      <c r="C282" s="50"/>
      <c r="D282" s="47"/>
      <c r="E282" s="47"/>
      <c r="F282" s="48">
        <f>COUNTIF(H257:H267, "&gt;0")+countif(H271:H279, "&gt;0")</f>
        <v>8</v>
      </c>
      <c r="G282" s="48">
        <f>COUNTIF(H257:H267, "&lt;0")+countif(H271:H279, "&lt;0")</f>
        <v>2</v>
      </c>
      <c r="H282" s="48">
        <f>COUNTIF(H257:H267, "=0")+countif(H271:H279, "=0")</f>
        <v>1</v>
      </c>
      <c r="I282" s="47"/>
      <c r="J282" s="50"/>
      <c r="K282" s="47"/>
      <c r="L282" s="47"/>
      <c r="M282" s="48">
        <f>COUNTIF(O257:O267, "&gt;0")+countif(O271:O279, "&gt;0")</f>
        <v>2</v>
      </c>
      <c r="N282" s="48">
        <f>COUNTIF(O257:O267, "&lt;0")+countif(O271:O279, "&lt;0")</f>
        <v>7</v>
      </c>
      <c r="O282" s="48">
        <f>COUNTIF(O257:O267, "=0")+countif(O271:O279, "=0")</f>
        <v>2</v>
      </c>
      <c r="P282" s="47"/>
      <c r="Q282" s="50"/>
      <c r="R282" s="47"/>
      <c r="S282" s="47"/>
      <c r="T282" s="48">
        <f>COUNTIF(V257:V267, "&gt;0")+countif(V271:V279, "&gt;0")</f>
        <v>7</v>
      </c>
      <c r="U282" s="48">
        <f>COUNTIF(V257:V267, "&lt;0")+countif(V271:V279, "&lt;0")</f>
        <v>3</v>
      </c>
      <c r="V282" s="48">
        <f>COUNTIF(V257:V267, "=0")+countif(V271:V279, "=0")</f>
        <v>1</v>
      </c>
      <c r="W282" s="47"/>
      <c r="X282" s="46"/>
      <c r="Y282" s="47"/>
      <c r="Z282" s="47"/>
      <c r="AA282" s="47"/>
    </row>
    <row r="283">
      <c r="A283" s="40"/>
      <c r="B283" s="35"/>
      <c r="C283" s="45" t="s">
        <v>84</v>
      </c>
      <c r="D283" s="35"/>
      <c r="E283" s="35">
        <f t="shared" ref="E283:H283" si="79">sum(E269,E281)</f>
        <v>22</v>
      </c>
      <c r="F283" s="35">
        <f t="shared" si="79"/>
        <v>1488</v>
      </c>
      <c r="G283" s="35">
        <f t="shared" si="79"/>
        <v>860</v>
      </c>
      <c r="H283" s="35">
        <f t="shared" si="79"/>
        <v>628</v>
      </c>
      <c r="I283" s="35"/>
      <c r="J283" s="45" t="s">
        <v>84</v>
      </c>
      <c r="K283" s="35"/>
      <c r="L283" s="35">
        <f t="shared" ref="L283:O283" si="80">sum(L269,L281)</f>
        <v>7</v>
      </c>
      <c r="M283" s="35">
        <f t="shared" si="80"/>
        <v>300</v>
      </c>
      <c r="N283" s="35">
        <f t="shared" si="80"/>
        <v>1026</v>
      </c>
      <c r="O283" s="35">
        <f t="shared" si="80"/>
        <v>-726</v>
      </c>
      <c r="P283" s="35"/>
      <c r="Q283" s="45" t="s">
        <v>84</v>
      </c>
      <c r="R283" s="35"/>
      <c r="S283" s="35">
        <f t="shared" ref="S283:V283" si="81">sum(S269,S281)</f>
        <v>20</v>
      </c>
      <c r="T283" s="35">
        <f t="shared" si="81"/>
        <v>1300</v>
      </c>
      <c r="U283" s="35">
        <f t="shared" si="81"/>
        <v>844</v>
      </c>
      <c r="V283" s="35">
        <f t="shared" si="81"/>
        <v>456</v>
      </c>
      <c r="W283" s="35"/>
      <c r="X283" s="40"/>
      <c r="Y283" s="35"/>
      <c r="Z283" s="35"/>
      <c r="AA283" s="35"/>
    </row>
    <row r="284">
      <c r="A284" s="40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40"/>
      <c r="Y284" s="35"/>
      <c r="Z284" s="35"/>
      <c r="AA284" s="35"/>
    </row>
    <row r="285">
      <c r="A285" s="40"/>
      <c r="B285" s="35"/>
      <c r="C285" s="43" t="s">
        <v>120</v>
      </c>
      <c r="D285" s="44" t="s">
        <v>56</v>
      </c>
      <c r="I285" s="42"/>
      <c r="J285" s="43" t="s">
        <v>121</v>
      </c>
      <c r="K285" s="44" t="s">
        <v>52</v>
      </c>
      <c r="P285" s="42"/>
      <c r="Q285" s="43" t="s">
        <v>122</v>
      </c>
      <c r="R285" s="44" t="s">
        <v>50</v>
      </c>
      <c r="W285" s="35"/>
      <c r="X285" s="40"/>
      <c r="Y285" s="35"/>
      <c r="Z285" s="35"/>
      <c r="AA285" s="35"/>
    </row>
    <row r="286">
      <c r="A286" s="40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40"/>
      <c r="Y286" s="35"/>
      <c r="Z286" s="35"/>
      <c r="AA286" s="35"/>
    </row>
    <row r="287">
      <c r="A287" s="40"/>
      <c r="B287" s="35"/>
      <c r="C287" s="45"/>
      <c r="D287" s="45" t="s">
        <v>45</v>
      </c>
      <c r="E287" s="45"/>
      <c r="F287" s="45" t="s">
        <v>46</v>
      </c>
      <c r="G287" s="45" t="s">
        <v>47</v>
      </c>
      <c r="H287" s="45" t="s">
        <v>48</v>
      </c>
      <c r="I287" s="35"/>
      <c r="J287" s="45"/>
      <c r="K287" s="45" t="s">
        <v>45</v>
      </c>
      <c r="L287" s="45"/>
      <c r="M287" s="45" t="s">
        <v>46</v>
      </c>
      <c r="N287" s="45" t="s">
        <v>47</v>
      </c>
      <c r="O287" s="45" t="s">
        <v>48</v>
      </c>
      <c r="P287" s="35"/>
      <c r="Q287" s="45"/>
      <c r="R287" s="45" t="s">
        <v>45</v>
      </c>
      <c r="S287" s="45"/>
      <c r="T287" s="45" t="s">
        <v>46</v>
      </c>
      <c r="U287" s="45" t="s">
        <v>47</v>
      </c>
      <c r="V287" s="45" t="s">
        <v>48</v>
      </c>
      <c r="W287" s="35"/>
      <c r="X287" s="40"/>
      <c r="Y287" s="35"/>
      <c r="Z287" s="35"/>
      <c r="AA287" s="35"/>
    </row>
    <row r="288">
      <c r="A288" s="40"/>
      <c r="B288" s="35"/>
      <c r="C288" s="45" t="s">
        <v>49</v>
      </c>
      <c r="D288" s="45" t="s">
        <v>99</v>
      </c>
      <c r="E288" s="45" t="s">
        <v>53</v>
      </c>
      <c r="F288" s="45">
        <f>'League Scoreboard'!M12</f>
        <v>182</v>
      </c>
      <c r="G288" s="35">
        <f>'League Scoreboard'!M14</f>
        <v>52</v>
      </c>
      <c r="H288" s="35">
        <f>F288-G288</f>
        <v>130</v>
      </c>
      <c r="I288" s="35"/>
      <c r="J288" s="45" t="s">
        <v>49</v>
      </c>
      <c r="K288" s="45" t="s">
        <v>42</v>
      </c>
      <c r="L288" s="45" t="s">
        <v>51</v>
      </c>
      <c r="M288" s="45">
        <f>'League Scoreboard'!I10</f>
        <v>90</v>
      </c>
      <c r="N288" s="35">
        <f>'League Scoreboard'!I8</f>
        <v>140</v>
      </c>
      <c r="O288" s="35">
        <f>M288-N288</f>
        <v>-50</v>
      </c>
      <c r="P288" s="35"/>
      <c r="Q288" s="45" t="s">
        <v>49</v>
      </c>
      <c r="R288" s="45" t="s">
        <v>40</v>
      </c>
      <c r="S288" s="45" t="s">
        <v>53</v>
      </c>
      <c r="T288" s="45">
        <f>'League Scoreboard'!E8</f>
        <v>178</v>
      </c>
      <c r="U288" s="35">
        <f>'League Scoreboard'!E10</f>
        <v>94</v>
      </c>
      <c r="V288" s="35">
        <f>T288-U288</f>
        <v>84</v>
      </c>
      <c r="W288" s="35"/>
      <c r="X288" s="40"/>
      <c r="Y288" s="35"/>
      <c r="Z288" s="35"/>
      <c r="AA288" s="35"/>
    </row>
    <row r="289">
      <c r="A289" s="40"/>
      <c r="B289" s="35"/>
      <c r="C289" s="45"/>
      <c r="D289" s="35"/>
      <c r="E289" s="45"/>
      <c r="F289" s="45"/>
      <c r="G289" s="35"/>
      <c r="H289" s="35"/>
      <c r="I289" s="35"/>
      <c r="J289" s="45"/>
      <c r="K289" s="35"/>
      <c r="L289" s="45"/>
      <c r="M289" s="45"/>
      <c r="N289" s="35"/>
      <c r="O289" s="35"/>
      <c r="P289" s="35"/>
      <c r="Q289" s="45"/>
      <c r="R289" s="35"/>
      <c r="S289" s="45"/>
      <c r="T289" s="45"/>
      <c r="U289" s="35"/>
      <c r="V289" s="35"/>
      <c r="W289" s="35"/>
      <c r="X289" s="40"/>
      <c r="Y289" s="35"/>
      <c r="Z289" s="35"/>
      <c r="AA289" s="35"/>
    </row>
    <row r="290">
      <c r="A290" s="40"/>
      <c r="B290" s="35"/>
      <c r="C290" s="45" t="s">
        <v>55</v>
      </c>
      <c r="D290" s="45" t="s">
        <v>40</v>
      </c>
      <c r="E290" s="45" t="s">
        <v>51</v>
      </c>
      <c r="F290" s="35">
        <f>'League Scoreboard'!E24</f>
        <v>180</v>
      </c>
      <c r="G290" s="35">
        <f>'League Scoreboard'!E22</f>
        <v>60</v>
      </c>
      <c r="H290" s="35">
        <f>F290-G290</f>
        <v>120</v>
      </c>
      <c r="I290" s="35"/>
      <c r="J290" s="45" t="s">
        <v>55</v>
      </c>
      <c r="K290" s="45" t="s">
        <v>99</v>
      </c>
      <c r="L290" s="45" t="s">
        <v>53</v>
      </c>
      <c r="M290" s="35">
        <f>'League Scoreboard'!M30</f>
        <v>60</v>
      </c>
      <c r="N290" s="35">
        <f>'League Scoreboard'!M32</f>
        <v>148</v>
      </c>
      <c r="O290" s="35">
        <f>M290-N290</f>
        <v>-88</v>
      </c>
      <c r="P290" s="35"/>
      <c r="Q290" s="45" t="s">
        <v>55</v>
      </c>
      <c r="R290" s="45" t="s">
        <v>63</v>
      </c>
      <c r="S290" s="45" t="s">
        <v>53</v>
      </c>
      <c r="T290" s="35">
        <f>'League Scoreboard'!Q30</f>
        <v>50</v>
      </c>
      <c r="U290" s="35">
        <f>'League Scoreboard'!Q32</f>
        <v>220</v>
      </c>
      <c r="V290" s="35">
        <f>T290-U290</f>
        <v>-170</v>
      </c>
      <c r="W290" s="35"/>
      <c r="X290" s="40"/>
      <c r="Y290" s="35"/>
      <c r="Z290" s="35"/>
      <c r="AA290" s="35"/>
    </row>
    <row r="291">
      <c r="A291" s="40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40"/>
      <c r="Y291" s="35"/>
      <c r="Z291" s="35"/>
      <c r="AA291" s="35"/>
    </row>
    <row r="292">
      <c r="A292" s="40"/>
      <c r="B292" s="35"/>
      <c r="C292" s="45" t="s">
        <v>59</v>
      </c>
      <c r="D292" s="45" t="s">
        <v>94</v>
      </c>
      <c r="E292" s="45" t="s">
        <v>51</v>
      </c>
      <c r="F292" s="35">
        <f>'League Scoreboard'!M42</f>
        <v>82</v>
      </c>
      <c r="G292" s="35">
        <f>'League Scoreboard'!M40</f>
        <v>134</v>
      </c>
      <c r="H292" s="35">
        <f>F292-G292</f>
        <v>-52</v>
      </c>
      <c r="I292" s="35"/>
      <c r="J292" s="45" t="s">
        <v>59</v>
      </c>
      <c r="K292" s="45" t="s">
        <v>78</v>
      </c>
      <c r="L292" s="45" t="s">
        <v>51</v>
      </c>
      <c r="M292" s="35">
        <f>'League Scoreboard'!Q42</f>
        <v>46</v>
      </c>
      <c r="N292" s="35">
        <f>'League Scoreboard'!Q40</f>
        <v>230</v>
      </c>
      <c r="O292" s="35">
        <f>M292-N292</f>
        <v>-184</v>
      </c>
      <c r="P292" s="35"/>
      <c r="Q292" s="45" t="s">
        <v>59</v>
      </c>
      <c r="R292" s="45" t="s">
        <v>44</v>
      </c>
      <c r="S292" s="45" t="s">
        <v>53</v>
      </c>
      <c r="T292" s="35">
        <f>'League Scoreboard'!E44</f>
        <v>214</v>
      </c>
      <c r="U292" s="35">
        <f>'League Scoreboard'!E46</f>
        <v>10</v>
      </c>
      <c r="V292" s="35">
        <f>T292-U292</f>
        <v>204</v>
      </c>
      <c r="W292" s="35"/>
      <c r="X292" s="40"/>
      <c r="Y292" s="35"/>
      <c r="Z292" s="35"/>
      <c r="AA292" s="35"/>
    </row>
    <row r="293">
      <c r="A293" s="40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40"/>
      <c r="Y293" s="35"/>
      <c r="Z293" s="35"/>
      <c r="AA293" s="35"/>
    </row>
    <row r="294">
      <c r="A294" s="40"/>
      <c r="B294" s="35"/>
      <c r="C294" s="45" t="s">
        <v>62</v>
      </c>
      <c r="D294" s="45" t="s">
        <v>123</v>
      </c>
      <c r="E294" s="45" t="s">
        <v>51</v>
      </c>
      <c r="F294" s="35">
        <f>'League Scoreboard'!Q60</f>
        <v>162</v>
      </c>
      <c r="G294" s="35">
        <f>'League Scoreboard'!Q58</f>
        <v>40</v>
      </c>
      <c r="H294" s="35">
        <f>F294-G294</f>
        <v>122</v>
      </c>
      <c r="I294" s="35"/>
      <c r="J294" s="45" t="s">
        <v>62</v>
      </c>
      <c r="K294" s="45" t="s">
        <v>94</v>
      </c>
      <c r="L294" s="45" t="s">
        <v>53</v>
      </c>
      <c r="M294" s="35">
        <f>'League Scoreboard'!M54</f>
        <v>22</v>
      </c>
      <c r="N294" s="35">
        <f>'League Scoreboard'!M56</f>
        <v>274</v>
      </c>
      <c r="O294" s="35">
        <f>M294-N294</f>
        <v>-252</v>
      </c>
      <c r="P294" s="35"/>
      <c r="Q294" s="45" t="s">
        <v>62</v>
      </c>
      <c r="R294" s="45" t="s">
        <v>69</v>
      </c>
      <c r="S294" s="45" t="s">
        <v>51</v>
      </c>
      <c r="T294" s="35">
        <f>'League Scoreboard'!M60</f>
        <v>200</v>
      </c>
      <c r="U294" s="35">
        <f>'League Scoreboard'!M58</f>
        <v>16</v>
      </c>
      <c r="V294" s="35">
        <f>T294-U294</f>
        <v>184</v>
      </c>
      <c r="W294" s="35"/>
      <c r="X294" s="40"/>
      <c r="Y294" s="35"/>
      <c r="Z294" s="35"/>
      <c r="AA294" s="35"/>
    </row>
    <row r="295">
      <c r="A295" s="40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40"/>
      <c r="Y295" s="35"/>
      <c r="Z295" s="35"/>
      <c r="AA295" s="35"/>
    </row>
    <row r="296">
      <c r="A296" s="40"/>
      <c r="B296" s="35"/>
      <c r="C296" s="45" t="s">
        <v>66</v>
      </c>
      <c r="D296" s="45" t="s">
        <v>58</v>
      </c>
      <c r="E296" s="45" t="s">
        <v>53</v>
      </c>
      <c r="F296" s="35">
        <f>'League Scoreboard'!Q68</f>
        <v>58</v>
      </c>
      <c r="G296" s="35">
        <f>'League Scoreboard'!Q70</f>
        <v>102</v>
      </c>
      <c r="H296" s="35">
        <f>F296-G296</f>
        <v>-44</v>
      </c>
      <c r="I296" s="35"/>
      <c r="J296" s="45" t="s">
        <v>66</v>
      </c>
      <c r="K296" s="45" t="s">
        <v>75</v>
      </c>
      <c r="L296" s="45" t="s">
        <v>51</v>
      </c>
      <c r="M296" s="35">
        <f>'League Scoreboard'!U74</f>
        <v>20</v>
      </c>
      <c r="N296" s="35">
        <f>'League Scoreboard'!U72</f>
        <v>198</v>
      </c>
      <c r="O296" s="35">
        <f>M296-N296</f>
        <v>-178</v>
      </c>
      <c r="P296" s="35"/>
      <c r="Q296" s="45" t="s">
        <v>66</v>
      </c>
      <c r="R296" s="45" t="s">
        <v>57</v>
      </c>
      <c r="S296" s="45" t="s">
        <v>51</v>
      </c>
      <c r="T296" s="35">
        <f>'League Scoreboard'!Q66</f>
        <v>134</v>
      </c>
      <c r="U296" s="35">
        <f>'League Scoreboard'!Q64</f>
        <v>76</v>
      </c>
      <c r="V296" s="35">
        <f>T296-U296</f>
        <v>58</v>
      </c>
      <c r="W296" s="35"/>
      <c r="X296" s="40"/>
      <c r="Y296" s="35"/>
      <c r="Z296" s="35"/>
      <c r="AA296" s="35"/>
    </row>
    <row r="297">
      <c r="A297" s="40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40"/>
      <c r="Y297" s="35"/>
      <c r="Z297" s="35"/>
      <c r="AA297" s="35"/>
    </row>
    <row r="298">
      <c r="A298" s="40"/>
      <c r="B298" s="35"/>
      <c r="C298" s="45" t="s">
        <v>68</v>
      </c>
      <c r="D298" s="45" t="s">
        <v>81</v>
      </c>
      <c r="E298" s="45" t="s">
        <v>53</v>
      </c>
      <c r="F298" s="35">
        <f>'League Scoreboard'!U78</f>
        <v>70</v>
      </c>
      <c r="G298" s="35">
        <f>'League Scoreboard'!U80</f>
        <v>126</v>
      </c>
      <c r="H298" s="35">
        <f>F298-G298</f>
        <v>-56</v>
      </c>
      <c r="I298" s="35"/>
      <c r="J298" s="45" t="s">
        <v>68</v>
      </c>
      <c r="K298" s="45" t="s">
        <v>74</v>
      </c>
      <c r="L298" s="45" t="s">
        <v>53</v>
      </c>
      <c r="M298" s="35">
        <f>'League Scoreboard'!I86</f>
        <v>46</v>
      </c>
      <c r="N298" s="35">
        <f>'League Scoreboard'!I88</f>
        <v>116</v>
      </c>
      <c r="O298" s="35">
        <f>M298-N298</f>
        <v>-70</v>
      </c>
      <c r="P298" s="35"/>
      <c r="Q298" s="45" t="s">
        <v>68</v>
      </c>
      <c r="R298" s="45" t="s">
        <v>61</v>
      </c>
      <c r="S298" s="45" t="s">
        <v>51</v>
      </c>
      <c r="T298" s="35">
        <f>'League Scoreboard'!U88</f>
        <v>84</v>
      </c>
      <c r="U298" s="35">
        <f>'League Scoreboard'!U86</f>
        <v>170</v>
      </c>
      <c r="V298" s="35">
        <f>T298-U298</f>
        <v>-86</v>
      </c>
      <c r="W298" s="35"/>
      <c r="X298" s="40"/>
      <c r="Y298" s="35"/>
      <c r="Z298" s="35"/>
      <c r="AA298" s="35"/>
    </row>
    <row r="299">
      <c r="A299" s="46"/>
      <c r="B299" s="47"/>
      <c r="C299" s="47"/>
      <c r="D299" s="47"/>
      <c r="E299" s="47"/>
      <c r="F299" s="48">
        <f>countif(H288:H298, "&gt;0")</f>
        <v>3</v>
      </c>
      <c r="G299" s="48">
        <f>countif(H288:H298, "&lt;0")</f>
        <v>3</v>
      </c>
      <c r="H299" s="48">
        <f>countif(H288:H298, "=0")</f>
        <v>0</v>
      </c>
      <c r="I299" s="47"/>
      <c r="J299" s="47"/>
      <c r="K299" s="47"/>
      <c r="L299" s="47"/>
      <c r="M299" s="48">
        <f>countif(O288:O298, "&gt;0")</f>
        <v>0</v>
      </c>
      <c r="N299" s="48">
        <f>countif(O288:O298, "&lt;0")</f>
        <v>6</v>
      </c>
      <c r="O299" s="48">
        <f>countif(O288:O298, "=0")</f>
        <v>0</v>
      </c>
      <c r="P299" s="47"/>
      <c r="Q299" s="47"/>
      <c r="R299" s="47"/>
      <c r="S299" s="47"/>
      <c r="T299" s="48">
        <f>countif(V288:V298, "&gt;0")</f>
        <v>4</v>
      </c>
      <c r="U299" s="48">
        <f>countif(V288:V298, "&lt;0")</f>
        <v>2</v>
      </c>
      <c r="V299" s="48">
        <f>countif(V288:V298, "=0")</f>
        <v>0</v>
      </c>
      <c r="W299" s="47"/>
      <c r="X299" s="46"/>
      <c r="Y299" s="47"/>
      <c r="Z299" s="47"/>
      <c r="AA299" s="47"/>
    </row>
    <row r="300">
      <c r="A300" s="40"/>
      <c r="B300" s="35"/>
      <c r="C300" s="45" t="s">
        <v>70</v>
      </c>
      <c r="D300" s="35"/>
      <c r="E300" s="35">
        <f>3*countifs(H288:H298, "&gt;0")+countifs(H288:H298, "=0")</f>
        <v>9</v>
      </c>
      <c r="F300" s="49">
        <f t="shared" ref="F300:H300" si="82">sum(F288:F298)</f>
        <v>734</v>
      </c>
      <c r="G300" s="49">
        <f t="shared" si="82"/>
        <v>514</v>
      </c>
      <c r="H300" s="49">
        <f t="shared" si="82"/>
        <v>220</v>
      </c>
      <c r="I300" s="35"/>
      <c r="J300" s="45" t="s">
        <v>70</v>
      </c>
      <c r="K300" s="35"/>
      <c r="L300" s="35">
        <f>3*countifs(O288:O298, "&gt;0")+countifs(O288:O298, "=0")</f>
        <v>0</v>
      </c>
      <c r="M300" s="49">
        <f t="shared" ref="M300:O300" si="83">sum(M288:M298)</f>
        <v>284</v>
      </c>
      <c r="N300" s="49">
        <f t="shared" si="83"/>
        <v>1106</v>
      </c>
      <c r="O300" s="49">
        <f t="shared" si="83"/>
        <v>-822</v>
      </c>
      <c r="P300" s="35"/>
      <c r="Q300" s="45" t="s">
        <v>70</v>
      </c>
      <c r="R300" s="35"/>
      <c r="S300" s="35">
        <f>3*countifs(V288:V298, "&gt;0")+countifs(V288:V298, "=0")</f>
        <v>12</v>
      </c>
      <c r="T300" s="49">
        <f t="shared" ref="T300:V300" si="84">sum(T288:T298)</f>
        <v>860</v>
      </c>
      <c r="U300" s="49">
        <f t="shared" si="84"/>
        <v>586</v>
      </c>
      <c r="V300" s="49">
        <f t="shared" si="84"/>
        <v>274</v>
      </c>
      <c r="W300" s="35"/>
      <c r="X300" s="40"/>
      <c r="Y300" s="35"/>
      <c r="Z300" s="35"/>
      <c r="AA300" s="35"/>
    </row>
    <row r="301">
      <c r="A301" s="40"/>
      <c r="B301" s="35"/>
      <c r="C301" s="35"/>
      <c r="D301" s="35"/>
      <c r="E301" s="35"/>
      <c r="F301" s="8"/>
      <c r="G301" s="8"/>
      <c r="H301" s="27"/>
      <c r="I301" s="35"/>
      <c r="J301" s="35"/>
      <c r="K301" s="35"/>
      <c r="L301" s="35"/>
      <c r="M301" s="8"/>
      <c r="N301" s="8"/>
      <c r="O301" s="27"/>
      <c r="P301" s="35"/>
      <c r="Q301" s="35"/>
      <c r="R301" s="35"/>
      <c r="S301" s="35"/>
      <c r="T301" s="8"/>
      <c r="U301" s="8"/>
      <c r="V301" s="27"/>
      <c r="W301" s="35"/>
      <c r="X301" s="40"/>
      <c r="Y301" s="35"/>
      <c r="Z301" s="35"/>
      <c r="AA301" s="35"/>
    </row>
    <row r="302">
      <c r="A302" s="40"/>
      <c r="B302" s="35"/>
      <c r="C302" s="45" t="s">
        <v>71</v>
      </c>
      <c r="D302" s="45" t="s">
        <v>75</v>
      </c>
      <c r="E302" s="35"/>
      <c r="F302" s="35">
        <f>'Playoff Scoring'!$G19</f>
        <v>70</v>
      </c>
      <c r="G302" s="8">
        <f>'Playoff Scoring'!F20</f>
        <v>102</v>
      </c>
      <c r="H302" s="49">
        <f>F302-G302</f>
        <v>-32</v>
      </c>
      <c r="I302" s="35"/>
      <c r="J302" s="45" t="s">
        <v>71</v>
      </c>
      <c r="K302" s="45" t="s">
        <v>72</v>
      </c>
      <c r="L302" s="35"/>
      <c r="M302" s="8"/>
      <c r="N302" s="8"/>
      <c r="O302" s="49">
        <f>M302-N302</f>
        <v>0</v>
      </c>
      <c r="P302" s="35"/>
      <c r="Q302" s="45" t="s">
        <v>71</v>
      </c>
      <c r="R302" s="45" t="s">
        <v>91</v>
      </c>
      <c r="S302" s="35"/>
      <c r="T302" s="8">
        <f>'Playoff Scoring'!N11</f>
        <v>160</v>
      </c>
      <c r="U302" s="8">
        <f>'Playoff Scoring'!O10</f>
        <v>-6</v>
      </c>
      <c r="V302" s="49">
        <f>T302-U302</f>
        <v>166</v>
      </c>
      <c r="W302" s="35"/>
      <c r="X302" s="40"/>
      <c r="Y302" s="35"/>
      <c r="Z302" s="35"/>
      <c r="AA302" s="35"/>
    </row>
    <row r="303">
      <c r="A303" s="40"/>
      <c r="B303" s="35"/>
      <c r="C303" s="35"/>
      <c r="D303" s="35"/>
      <c r="E303" s="35"/>
      <c r="F303" s="35"/>
      <c r="G303" s="8"/>
      <c r="H303" s="27"/>
      <c r="I303" s="35"/>
      <c r="J303" s="35"/>
      <c r="K303" s="35"/>
      <c r="L303" s="35"/>
      <c r="M303" s="8"/>
      <c r="N303" s="8"/>
      <c r="O303" s="27"/>
      <c r="P303" s="35"/>
      <c r="Q303" s="35"/>
      <c r="R303" s="35"/>
      <c r="S303" s="35"/>
      <c r="T303" s="8"/>
      <c r="U303" s="8"/>
      <c r="V303" s="27"/>
      <c r="W303" s="35"/>
      <c r="X303" s="40"/>
      <c r="Y303" s="35"/>
      <c r="Z303" s="35"/>
      <c r="AA303" s="35"/>
    </row>
    <row r="304">
      <c r="A304" s="40"/>
      <c r="B304" s="35"/>
      <c r="C304" s="45" t="s">
        <v>73</v>
      </c>
      <c r="D304" s="45" t="s">
        <v>72</v>
      </c>
      <c r="E304" s="35"/>
      <c r="F304" s="35"/>
      <c r="G304" s="8"/>
      <c r="H304" s="49">
        <f>F304-G304</f>
        <v>0</v>
      </c>
      <c r="I304" s="35"/>
      <c r="J304" s="45" t="s">
        <v>73</v>
      </c>
      <c r="K304" s="45" t="s">
        <v>44</v>
      </c>
      <c r="L304" s="35"/>
      <c r="M304" s="8">
        <f>'Playoff Scoring'!M30</f>
        <v>64</v>
      </c>
      <c r="N304" s="8">
        <f>'Playoff Scoring'!P27</f>
        <v>36</v>
      </c>
      <c r="O304" s="49">
        <f>M304-N304</f>
        <v>28</v>
      </c>
      <c r="P304" s="35"/>
      <c r="Q304" s="45" t="s">
        <v>73</v>
      </c>
      <c r="R304" s="45" t="s">
        <v>54</v>
      </c>
      <c r="S304" s="35"/>
      <c r="T304" s="8">
        <f>'Playoff Scoring'!L11</f>
        <v>144</v>
      </c>
      <c r="U304" s="8">
        <f>'Playoff Scoring'!O8</f>
        <v>58</v>
      </c>
      <c r="V304" s="49">
        <f>T304-U304</f>
        <v>86</v>
      </c>
      <c r="W304" s="35"/>
      <c r="X304" s="40"/>
      <c r="Y304" s="35"/>
      <c r="Z304" s="35"/>
      <c r="AA304" s="35"/>
    </row>
    <row r="305">
      <c r="A305" s="40"/>
      <c r="B305" s="35"/>
      <c r="C305" s="35"/>
      <c r="D305" s="35"/>
      <c r="E305" s="35"/>
      <c r="F305" s="35"/>
      <c r="G305" s="8"/>
      <c r="H305" s="27"/>
      <c r="I305" s="35"/>
      <c r="J305" s="35"/>
      <c r="K305" s="35"/>
      <c r="L305" s="35"/>
      <c r="M305" s="8"/>
      <c r="N305" s="8"/>
      <c r="O305" s="27"/>
      <c r="P305" s="35"/>
      <c r="Q305" s="35"/>
      <c r="R305" s="35"/>
      <c r="S305" s="35"/>
      <c r="T305" s="8"/>
      <c r="U305" s="8"/>
      <c r="V305" s="27"/>
      <c r="W305" s="35"/>
      <c r="X305" s="40"/>
      <c r="Y305" s="35"/>
      <c r="Z305" s="35"/>
      <c r="AA305" s="35"/>
    </row>
    <row r="306">
      <c r="A306" s="40"/>
      <c r="B306" s="35"/>
      <c r="C306" s="45" t="s">
        <v>76</v>
      </c>
      <c r="D306" s="45" t="s">
        <v>42</v>
      </c>
      <c r="E306" s="35"/>
      <c r="F306" s="35">
        <f>'Playoff Scoring'!$D19</f>
        <v>78</v>
      </c>
      <c r="G306" s="8">
        <f>'Playoff Scoring'!F17</f>
        <v>58</v>
      </c>
      <c r="H306" s="49">
        <f>F306-G306</f>
        <v>20</v>
      </c>
      <c r="I306" s="35"/>
      <c r="J306" s="45" t="s">
        <v>76</v>
      </c>
      <c r="K306" s="45" t="s">
        <v>79</v>
      </c>
      <c r="L306" s="35"/>
      <c r="M306" s="8">
        <f>'Playoff Scoring'!O30</f>
        <v>32</v>
      </c>
      <c r="N306" s="8">
        <f>'Playoff Scoring'!P29</f>
        <v>0</v>
      </c>
      <c r="O306" s="49">
        <f>M306-N306</f>
        <v>32</v>
      </c>
      <c r="P306" s="35"/>
      <c r="Q306" s="45" t="s">
        <v>76</v>
      </c>
      <c r="R306" s="45" t="s">
        <v>95</v>
      </c>
      <c r="S306" s="35"/>
      <c r="T306" s="8">
        <f>'Playoff Scoring'!P11</f>
        <v>114</v>
      </c>
      <c r="U306" s="8">
        <f>'Playoff Scoring'!O12</f>
        <v>54</v>
      </c>
      <c r="V306" s="49">
        <f>T306-U306</f>
        <v>60</v>
      </c>
      <c r="W306" s="35"/>
      <c r="X306" s="40"/>
      <c r="Y306" s="35"/>
      <c r="Z306" s="35"/>
      <c r="AA306" s="35"/>
    </row>
    <row r="307">
      <c r="A307" s="40"/>
      <c r="B307" s="35"/>
      <c r="C307" s="35"/>
      <c r="D307" s="35"/>
      <c r="E307" s="35"/>
      <c r="F307" s="35"/>
      <c r="G307" s="8"/>
      <c r="H307" s="27"/>
      <c r="I307" s="35"/>
      <c r="J307" s="35"/>
      <c r="K307" s="35"/>
      <c r="L307" s="35"/>
      <c r="M307" s="8"/>
      <c r="N307" s="8"/>
      <c r="O307" s="27"/>
      <c r="P307" s="35"/>
      <c r="Q307" s="35"/>
      <c r="R307" s="35"/>
      <c r="S307" s="35"/>
      <c r="T307" s="8"/>
      <c r="U307" s="8"/>
      <c r="V307" s="27"/>
      <c r="W307" s="35"/>
      <c r="X307" s="40"/>
      <c r="Y307" s="35"/>
      <c r="Z307" s="35"/>
      <c r="AA307" s="35"/>
    </row>
    <row r="308">
      <c r="A308" s="40"/>
      <c r="B308" s="35"/>
      <c r="C308" s="45" t="s">
        <v>77</v>
      </c>
      <c r="D308" s="45" t="s">
        <v>81</v>
      </c>
      <c r="E308" s="35"/>
      <c r="F308" s="35">
        <f>'Playoff Scoring'!$H19</f>
        <v>24</v>
      </c>
      <c r="G308" s="8">
        <f>'Playoff Scoring'!F21</f>
        <v>102</v>
      </c>
      <c r="H308" s="49">
        <f>F308-G308</f>
        <v>-78</v>
      </c>
      <c r="I308" s="35"/>
      <c r="J308" s="45" t="s">
        <v>77</v>
      </c>
      <c r="K308" s="45" t="s">
        <v>82</v>
      </c>
      <c r="L308" s="35"/>
      <c r="M308" s="8">
        <f>'Playoff Scoring'!N30</f>
        <v>18</v>
      </c>
      <c r="N308" s="8">
        <f>'Playoff Scoring'!P28</f>
        <v>48</v>
      </c>
      <c r="O308" s="49">
        <f>M308-N308</f>
        <v>-30</v>
      </c>
      <c r="P308" s="35"/>
      <c r="Q308" s="45" t="s">
        <v>77</v>
      </c>
      <c r="R308" s="45" t="s">
        <v>64</v>
      </c>
      <c r="S308" s="35"/>
      <c r="T308" s="8">
        <f>'Playoff Scoring'!M11</f>
        <v>74</v>
      </c>
      <c r="U308" s="8">
        <f>'Playoff Scoring'!O9</f>
        <v>48</v>
      </c>
      <c r="V308" s="49">
        <f>T308-U308</f>
        <v>26</v>
      </c>
      <c r="W308" s="35"/>
      <c r="X308" s="40"/>
      <c r="Y308" s="35"/>
      <c r="Z308" s="35"/>
      <c r="AA308" s="35"/>
    </row>
    <row r="309">
      <c r="A309" s="40"/>
      <c r="B309" s="35"/>
      <c r="C309" s="35"/>
      <c r="D309" s="35"/>
      <c r="E309" s="35"/>
      <c r="F309" s="35"/>
      <c r="G309" s="8"/>
      <c r="H309" s="27"/>
      <c r="I309" s="35"/>
      <c r="J309" s="35"/>
      <c r="K309" s="35"/>
      <c r="L309" s="35"/>
      <c r="M309" s="8"/>
      <c r="N309" s="8"/>
      <c r="O309" s="27"/>
      <c r="P309" s="35"/>
      <c r="Q309" s="35"/>
      <c r="R309" s="35"/>
      <c r="S309" s="35"/>
      <c r="T309" s="8"/>
      <c r="U309" s="8"/>
      <c r="V309" s="27"/>
      <c r="W309" s="35"/>
      <c r="X309" s="40"/>
      <c r="Y309" s="35"/>
      <c r="Z309" s="35"/>
      <c r="AA309" s="35"/>
    </row>
    <row r="310">
      <c r="A310" s="40"/>
      <c r="B310" s="35"/>
      <c r="C310" s="45" t="s">
        <v>80</v>
      </c>
      <c r="D310" s="45" t="s">
        <v>57</v>
      </c>
      <c r="E310" s="35"/>
      <c r="F310" s="35">
        <f>'Playoff Scoring'!$E19</f>
        <v>124</v>
      </c>
      <c r="G310" s="8">
        <f>'Playoff Scoring'!F18</f>
        <v>42</v>
      </c>
      <c r="H310" s="49">
        <f>F310-G310</f>
        <v>82</v>
      </c>
      <c r="I310" s="35"/>
      <c r="J310" s="45" t="s">
        <v>80</v>
      </c>
      <c r="K310" s="45" t="s">
        <v>69</v>
      </c>
      <c r="L310" s="35"/>
      <c r="M310" s="8">
        <f>'Playoff Scoring'!L30</f>
        <v>30</v>
      </c>
      <c r="N310" s="8">
        <f>'Playoff Scoring'!P26</f>
        <v>36</v>
      </c>
      <c r="O310" s="49">
        <f>M310-N310</f>
        <v>-6</v>
      </c>
      <c r="P310" s="35"/>
      <c r="Q310" s="45" t="s">
        <v>80</v>
      </c>
      <c r="R310" s="45" t="s">
        <v>72</v>
      </c>
      <c r="S310" s="35"/>
      <c r="T310" s="8"/>
      <c r="U310" s="8"/>
      <c r="V310" s="49">
        <f>T310-U310</f>
        <v>0</v>
      </c>
      <c r="W310" s="35"/>
      <c r="X310" s="40"/>
      <c r="Y310" s="35"/>
      <c r="Z310" s="35"/>
      <c r="AA310" s="35"/>
    </row>
    <row r="311">
      <c r="A311" s="40"/>
      <c r="B311" s="35"/>
      <c r="C311" s="35"/>
      <c r="D311" s="35"/>
      <c r="E311" s="35"/>
      <c r="F311" s="8"/>
      <c r="G311" s="8"/>
      <c r="H311" s="27"/>
      <c r="I311" s="35"/>
      <c r="J311" s="35"/>
      <c r="K311" s="35"/>
      <c r="L311" s="35"/>
      <c r="M311" s="8"/>
      <c r="N311" s="8"/>
      <c r="O311" s="27"/>
      <c r="P311" s="35"/>
      <c r="Q311" s="35"/>
      <c r="R311" s="35"/>
      <c r="S311" s="35"/>
      <c r="T311" s="8"/>
      <c r="U311" s="8"/>
      <c r="V311" s="27"/>
      <c r="W311" s="35"/>
      <c r="X311" s="40"/>
      <c r="Y311" s="35"/>
      <c r="Z311" s="35"/>
      <c r="AA311" s="35"/>
    </row>
    <row r="312">
      <c r="A312" s="40"/>
      <c r="B312" s="35"/>
      <c r="C312" s="45" t="s">
        <v>83</v>
      </c>
      <c r="D312" s="35"/>
      <c r="E312" s="35">
        <f>2*countifs(H302:H310, "&gt;0")+countifs(H302:H310, "=0")</f>
        <v>5</v>
      </c>
      <c r="F312" s="35">
        <f t="shared" ref="F312:H312" si="85">sum(F302:F310)</f>
        <v>296</v>
      </c>
      <c r="G312" s="35">
        <f t="shared" si="85"/>
        <v>304</v>
      </c>
      <c r="H312" s="35">
        <f t="shared" si="85"/>
        <v>-8</v>
      </c>
      <c r="I312" s="35"/>
      <c r="J312" s="45" t="s">
        <v>83</v>
      </c>
      <c r="K312" s="35"/>
      <c r="L312" s="35">
        <f>2*countifs(O302:O310, "&gt;0")+countifs(O302:O310, "=0")</f>
        <v>5</v>
      </c>
      <c r="M312" s="49">
        <f t="shared" ref="M312:O312" si="86">sum(M302:M310)</f>
        <v>144</v>
      </c>
      <c r="N312" s="49">
        <f t="shared" si="86"/>
        <v>120</v>
      </c>
      <c r="O312" s="49">
        <f t="shared" si="86"/>
        <v>24</v>
      </c>
      <c r="P312" s="35"/>
      <c r="Q312" s="45" t="s">
        <v>83</v>
      </c>
      <c r="R312" s="35"/>
      <c r="S312" s="35">
        <f>2*countifs(V302:V310, "&gt;0")+countifs(V302:V310, "=0")</f>
        <v>9</v>
      </c>
      <c r="T312" s="49">
        <f t="shared" ref="T312:V312" si="87">sum(T302:T310)</f>
        <v>492</v>
      </c>
      <c r="U312" s="49">
        <f t="shared" si="87"/>
        <v>154</v>
      </c>
      <c r="V312" s="49">
        <f t="shared" si="87"/>
        <v>338</v>
      </c>
      <c r="W312" s="35"/>
      <c r="X312" s="40"/>
      <c r="Y312" s="35"/>
      <c r="Z312" s="35"/>
      <c r="AA312" s="35"/>
    </row>
    <row r="313">
      <c r="A313" s="46"/>
      <c r="B313" s="47"/>
      <c r="C313" s="50"/>
      <c r="D313" s="47"/>
      <c r="E313" s="47"/>
      <c r="F313" s="48">
        <f>COUNTIF(H288:H298, "&gt;0")+countif(H302:H310, "&gt;0")</f>
        <v>5</v>
      </c>
      <c r="G313" s="48">
        <f>COUNTIF(H288:H298, "&lt;0")+countif(H302:H310, "&lt;0")</f>
        <v>5</v>
      </c>
      <c r="H313" s="48">
        <f>COUNTIF(H288:H298, "=0")+countif(H302:H310, "=0")</f>
        <v>1</v>
      </c>
      <c r="I313" s="47"/>
      <c r="J313" s="50"/>
      <c r="K313" s="47"/>
      <c r="L313" s="47"/>
      <c r="M313" s="48">
        <f>COUNTIF(O288:O298, "&gt;0")+countif(O302:O310, "&gt;0")</f>
        <v>2</v>
      </c>
      <c r="N313" s="48">
        <f>COUNTIF(O288:O298, "&lt;0")+countif(O302:O310, "&lt;0")</f>
        <v>8</v>
      </c>
      <c r="O313" s="48">
        <f>COUNTIF(O288:O298, "=0")+countif(O302:O310, "=0")</f>
        <v>1</v>
      </c>
      <c r="P313" s="47"/>
      <c r="Q313" s="50"/>
      <c r="R313" s="47"/>
      <c r="S313" s="47"/>
      <c r="T313" s="48">
        <f>COUNTIF(V288:V298, "&gt;0")+countif(V302:V310, "&gt;0")</f>
        <v>8</v>
      </c>
      <c r="U313" s="48">
        <f>COUNTIF(V288:V298, "&lt;0")+countif(V302:V310, "&lt;0")</f>
        <v>2</v>
      </c>
      <c r="V313" s="48">
        <f>COUNTIF(V288:V298, "=0")+countif(V302:V310, "=0")</f>
        <v>1</v>
      </c>
      <c r="W313" s="47"/>
      <c r="X313" s="46"/>
      <c r="Y313" s="47"/>
      <c r="Z313" s="47"/>
      <c r="AA313" s="47"/>
    </row>
    <row r="314">
      <c r="A314" s="40"/>
      <c r="B314" s="35"/>
      <c r="C314" s="45" t="s">
        <v>84</v>
      </c>
      <c r="D314" s="35"/>
      <c r="E314" s="35">
        <f t="shared" ref="E314:H314" si="88">sum(E300,E312)</f>
        <v>14</v>
      </c>
      <c r="F314" s="35">
        <f t="shared" si="88"/>
        <v>1030</v>
      </c>
      <c r="G314" s="35">
        <f t="shared" si="88"/>
        <v>818</v>
      </c>
      <c r="H314" s="35">
        <f t="shared" si="88"/>
        <v>212</v>
      </c>
      <c r="I314" s="35"/>
      <c r="J314" s="45" t="s">
        <v>84</v>
      </c>
      <c r="K314" s="35"/>
      <c r="L314" s="35">
        <f t="shared" ref="L314:O314" si="89">sum(L300,L312)</f>
        <v>5</v>
      </c>
      <c r="M314" s="35">
        <f t="shared" si="89"/>
        <v>428</v>
      </c>
      <c r="N314" s="35">
        <f t="shared" si="89"/>
        <v>1226</v>
      </c>
      <c r="O314" s="35">
        <f t="shared" si="89"/>
        <v>-798</v>
      </c>
      <c r="P314" s="35"/>
      <c r="Q314" s="45" t="s">
        <v>84</v>
      </c>
      <c r="R314" s="35"/>
      <c r="S314" s="35">
        <f t="shared" ref="S314:V314" si="90">sum(S300,S312)</f>
        <v>21</v>
      </c>
      <c r="T314" s="35">
        <f t="shared" si="90"/>
        <v>1352</v>
      </c>
      <c r="U314" s="35">
        <f t="shared" si="90"/>
        <v>740</v>
      </c>
      <c r="V314" s="35">
        <f t="shared" si="90"/>
        <v>612</v>
      </c>
      <c r="W314" s="35"/>
      <c r="X314" s="40"/>
      <c r="Y314" s="35"/>
      <c r="Z314" s="35"/>
      <c r="AA314" s="35"/>
    </row>
    <row r="315">
      <c r="A315" s="40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40"/>
      <c r="Y315" s="35"/>
      <c r="Z315" s="35"/>
      <c r="AA315" s="35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</sheetData>
  <mergeCells count="32">
    <mergeCell ref="B2:W2"/>
    <mergeCell ref="B3:W3"/>
    <mergeCell ref="D6:H6"/>
    <mergeCell ref="K6:O6"/>
    <mergeCell ref="R6:V6"/>
    <mergeCell ref="K37:O37"/>
    <mergeCell ref="R37:V37"/>
    <mergeCell ref="D37:H37"/>
    <mergeCell ref="D68:H68"/>
    <mergeCell ref="K68:O68"/>
    <mergeCell ref="R68:V68"/>
    <mergeCell ref="D99:H99"/>
    <mergeCell ref="K99:O99"/>
    <mergeCell ref="R99:V99"/>
    <mergeCell ref="K192:O192"/>
    <mergeCell ref="R192:V192"/>
    <mergeCell ref="D130:H130"/>
    <mergeCell ref="K130:O130"/>
    <mergeCell ref="R130:V130"/>
    <mergeCell ref="D161:H161"/>
    <mergeCell ref="K161:O161"/>
    <mergeCell ref="R161:V161"/>
    <mergeCell ref="D192:H192"/>
    <mergeCell ref="K285:O285"/>
    <mergeCell ref="R285:V285"/>
    <mergeCell ref="D223:H223"/>
    <mergeCell ref="K223:O223"/>
    <mergeCell ref="R223:V223"/>
    <mergeCell ref="D254:H254"/>
    <mergeCell ref="K254:O254"/>
    <mergeCell ref="R254:V254"/>
    <mergeCell ref="D285:H285"/>
  </mergeCells>
  <conditionalFormatting sqref="H1:H316 O1:O316 V1:V316 S15">
    <cfRule type="cellIs" dxfId="0" priority="1" operator="greaterThan">
      <formula>0</formula>
    </cfRule>
  </conditionalFormatting>
  <conditionalFormatting sqref="H1:H316 O1:O316 V1:V316 S15">
    <cfRule type="cellIs" dxfId="1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88"/>
  </cols>
  <sheetData>
    <row r="1">
      <c r="A1" s="53" t="s">
        <v>124</v>
      </c>
      <c r="E1" s="53" t="s">
        <v>125</v>
      </c>
    </row>
    <row r="4">
      <c r="A4" s="54" t="s">
        <v>126</v>
      </c>
      <c r="C4" s="54" t="s">
        <v>127</v>
      </c>
      <c r="E4" s="54" t="s">
        <v>128</v>
      </c>
      <c r="G4" s="54" t="s">
        <v>129</v>
      </c>
    </row>
    <row r="6">
      <c r="A6" s="55" t="s">
        <v>130</v>
      </c>
      <c r="C6" s="55" t="s">
        <v>131</v>
      </c>
      <c r="E6" s="55" t="s">
        <v>132</v>
      </c>
      <c r="G6" s="55" t="s">
        <v>133</v>
      </c>
    </row>
    <row r="7">
      <c r="A7" s="55" t="s">
        <v>134</v>
      </c>
      <c r="C7" s="55" t="s">
        <v>135</v>
      </c>
      <c r="E7" s="55" t="s">
        <v>136</v>
      </c>
      <c r="G7" s="55" t="s">
        <v>137</v>
      </c>
    </row>
    <row r="8">
      <c r="A8" s="55" t="s">
        <v>138</v>
      </c>
      <c r="C8" s="55" t="s">
        <v>139</v>
      </c>
      <c r="E8" s="55" t="s">
        <v>140</v>
      </c>
      <c r="G8" s="55" t="s">
        <v>141</v>
      </c>
    </row>
    <row r="9">
      <c r="A9" s="55" t="s">
        <v>142</v>
      </c>
      <c r="C9" s="55" t="s">
        <v>143</v>
      </c>
      <c r="E9" s="55" t="s">
        <v>144</v>
      </c>
      <c r="G9" s="55" t="s">
        <v>145</v>
      </c>
    </row>
    <row r="10">
      <c r="A10" s="55" t="s">
        <v>146</v>
      </c>
      <c r="C10" s="55" t="s">
        <v>147</v>
      </c>
      <c r="E10" s="55" t="s">
        <v>148</v>
      </c>
      <c r="G10" s="55" t="s">
        <v>149</v>
      </c>
    </row>
    <row r="11">
      <c r="A11" s="55" t="s">
        <v>150</v>
      </c>
      <c r="C11" s="55" t="s">
        <v>151</v>
      </c>
      <c r="E11" s="55" t="s">
        <v>152</v>
      </c>
      <c r="G11" s="55" t="s">
        <v>153</v>
      </c>
    </row>
    <row r="15">
      <c r="B15" s="56" t="s">
        <v>154</v>
      </c>
    </row>
  </sheetData>
  <mergeCells count="30">
    <mergeCell ref="C6:D6"/>
    <mergeCell ref="E6:F6"/>
    <mergeCell ref="A1:D3"/>
    <mergeCell ref="E1:H3"/>
    <mergeCell ref="A4:B5"/>
    <mergeCell ref="C4:D5"/>
    <mergeCell ref="E4:F5"/>
    <mergeCell ref="G4:H5"/>
    <mergeCell ref="G6:H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10:B10"/>
    <mergeCell ref="A11:B11"/>
    <mergeCell ref="C11:D11"/>
    <mergeCell ref="E11:F11"/>
    <mergeCell ref="G11:H11"/>
    <mergeCell ref="A9:B9"/>
    <mergeCell ref="C9:D9"/>
    <mergeCell ref="E9:F9"/>
    <mergeCell ref="G9:H9"/>
    <mergeCell ref="C10:D10"/>
    <mergeCell ref="E10:F10"/>
    <mergeCell ref="G10:H10"/>
  </mergeCells>
  <hyperlinks>
    <hyperlink display="League Team Overall" location="'League Phase Team Overall'!A1" ref="A4"/>
    <hyperlink display="League Individual Overall" location="'League Phase Overall Individual'!A1" ref="C4"/>
    <hyperlink display="Playoff Phase Team Overall" location="'Playoff Phase Team Overall'!A1" ref="E4"/>
    <hyperlink display="Playoff Individual Overall" location="'Playoff Phase Overall Individua'!A1" ref="G4"/>
    <hyperlink display="League Team Biology" location="'League Phase Team Biology'!A1" ref="A6"/>
    <hyperlink display="League Individual Biology" location="'League Phase Individual Biology'!A1" ref="C6"/>
    <hyperlink display="Playoff Team Biology" location="'Playoff Phase Team Biology'!A1" ref="E6"/>
    <hyperlink display="Playoff Individual Biology" location="'Playoff Phase Individual Biolog'!A1" ref="G6"/>
    <hyperlink display="League Team Chemistry" location="'League Phase Team Chemistry'!A1" ref="A7"/>
    <hyperlink display="League Individual Chemistry" location="'League Phase Individual Chemist'!A1" ref="C7"/>
    <hyperlink display="Playoff Team Chemistry" location="'Playoff Phase Team Chemistry'!A1" ref="E7"/>
    <hyperlink display="Playoff Individual Chemistry" location="'Playoff Phase Individual Chemis'!A1" ref="G7"/>
    <hyperlink display="League Team Physics" location="'League Phase Team Physics'!A1" ref="A8"/>
    <hyperlink display="League Individual Physics" location="'League Phase Individual Physics'!A1" ref="C8"/>
    <hyperlink display="Playoff Team Physics" location="'Playoff Phase Team Physics'!A1" ref="E8"/>
    <hyperlink display="Playoff Individual Physics" location="'Playoff Phase Individual Physic'!A1" ref="G8"/>
    <hyperlink display="League Team Math" location="'League Phase Team Math'!A1" ref="A9"/>
    <hyperlink display="League Individual Math" location="'League Phase Individual Math'!A1" ref="C9"/>
    <hyperlink display="Playoff Team Math" location="'Playoff Phase Team Math'!A1" ref="E9"/>
    <hyperlink display="Playoff Individual Math" location="'Playoff Phase Individual Math'!A1" ref="G9"/>
    <hyperlink display="League Team ESS" location="'League Phase Team ESS'!A1" ref="A10"/>
    <hyperlink display="League Individual ESS" location="'League Phase Individual ESS'!A1" ref="C10"/>
    <hyperlink display="Playoff Team ESS" location="'Playoff Phase Team ESS'!A1" ref="E10"/>
    <hyperlink display="Playoff Individual ESS" location="'Playoff Phase Individual ESS'!A1" ref="G10"/>
    <hyperlink display="League Team Energy" location="'League Phase Team Energy'!A1" ref="A11"/>
    <hyperlink display="League Individual Energy" location="'League Phase Individual Energy'!A1" ref="C11"/>
    <hyperlink display="Playoff Team Energy" location="'Playoff Phase Team Energy'!A1" ref="E11"/>
    <hyperlink display="Playoff Individual Energy" location="'Playoff Phase Individual Energy'!A1" ref="G11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.75"/>
    <col customWidth="1" min="3" max="3" width="17.75"/>
    <col customWidth="1" min="4" max="4" width="3.5"/>
    <col customWidth="1" min="5" max="5" width="13.75"/>
    <col customWidth="1" min="6" max="6" width="8.13"/>
    <col customWidth="1" min="7" max="7" width="17.75"/>
    <col customWidth="1" min="8" max="8" width="3.5"/>
    <col customWidth="1" min="9" max="9" width="13.63"/>
    <col customWidth="1" min="10" max="10" width="8.13"/>
    <col customWidth="1" min="11" max="11" width="17.75"/>
    <col customWidth="1" min="12" max="12" width="3.5"/>
    <col customWidth="1" min="13" max="13" width="14.13"/>
    <col customWidth="1" min="14" max="14" width="8.13"/>
    <col customWidth="1" min="15" max="15" width="17.75"/>
    <col customWidth="1" min="16" max="16" width="3.5"/>
    <col customWidth="1" min="17" max="17" width="13.75"/>
    <col customWidth="1" min="18" max="18" width="8.13"/>
    <col customWidth="1" min="19" max="19" width="17.75"/>
    <col customWidth="1" min="20" max="20" width="3.5"/>
    <col customWidth="1" min="21" max="21" width="14.0"/>
    <col customWidth="1" min="22" max="22" width="8.13"/>
    <col customWidth="1" min="23" max="23" width="4.5"/>
  </cols>
  <sheetData>
    <row r="1" ht="21.0" customHeight="1">
      <c r="A1" s="57"/>
      <c r="B1" s="57"/>
      <c r="C1" s="58"/>
      <c r="D1" s="58"/>
      <c r="E1" s="58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9"/>
      <c r="V1" s="57"/>
      <c r="W1" s="57"/>
    </row>
    <row r="2" ht="66.0" customHeight="1">
      <c r="A2" s="57"/>
      <c r="B2" s="60" t="s">
        <v>155</v>
      </c>
      <c r="W2" s="57"/>
    </row>
    <row r="3" ht="18.0" customHeight="1">
      <c r="A3" s="57"/>
      <c r="B3" s="61" t="s">
        <v>156</v>
      </c>
      <c r="W3" s="57"/>
    </row>
    <row r="4" ht="18.0" customHeight="1">
      <c r="A4" s="57"/>
      <c r="B4" s="57"/>
      <c r="C4" s="58"/>
      <c r="D4" s="58"/>
      <c r="E4" s="58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9"/>
      <c r="V4" s="57"/>
      <c r="W4" s="57"/>
    </row>
    <row r="5" ht="13.5" customHeight="1">
      <c r="A5" s="57"/>
      <c r="B5" s="62"/>
      <c r="C5" s="63"/>
      <c r="D5" s="63"/>
      <c r="E5" s="63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57"/>
    </row>
    <row r="6" ht="30.75" customHeight="1">
      <c r="A6" s="57"/>
      <c r="B6" s="62"/>
      <c r="C6" s="64" t="s">
        <v>157</v>
      </c>
      <c r="H6" s="64"/>
      <c r="I6" s="65" t="s">
        <v>158</v>
      </c>
      <c r="L6" s="62"/>
      <c r="M6" s="66">
        <f>average(E8,I8,M8,Q8,U8,E12,I12,M12,Q12,U12,E16,I16,M16,Q16,U16)</f>
        <v>138.6666667</v>
      </c>
      <c r="N6" s="62"/>
      <c r="O6" s="65" t="s">
        <v>159</v>
      </c>
      <c r="R6" s="62"/>
      <c r="S6" s="66">
        <f>average(E10,I10,M10,Q10,U10,E14,I14,M14,Q14,U14,E18,I18,M18,Q18,U18)</f>
        <v>118.1333333</v>
      </c>
      <c r="T6" s="62"/>
      <c r="U6" s="62"/>
      <c r="V6" s="62"/>
      <c r="W6" s="57"/>
    </row>
    <row r="7">
      <c r="A7" s="67"/>
      <c r="B7" s="68"/>
      <c r="C7" s="68"/>
      <c r="D7" s="68"/>
      <c r="E7" s="68"/>
      <c r="F7" s="68"/>
      <c r="G7" s="69"/>
      <c r="H7" s="69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68"/>
      <c r="W7" s="67"/>
    </row>
    <row r="8">
      <c r="A8" s="57"/>
      <c r="B8" s="62"/>
      <c r="C8" s="68" t="s">
        <v>50</v>
      </c>
      <c r="D8" s="68"/>
      <c r="E8" s="68">
        <v>178.0</v>
      </c>
      <c r="F8" s="68"/>
      <c r="G8" s="68" t="s">
        <v>42</v>
      </c>
      <c r="H8" s="71"/>
      <c r="I8" s="68">
        <v>140.0</v>
      </c>
      <c r="J8" s="68"/>
      <c r="K8" s="68" t="s">
        <v>44</v>
      </c>
      <c r="L8" s="68"/>
      <c r="M8" s="68">
        <v>4.0</v>
      </c>
      <c r="N8" s="68"/>
      <c r="O8" s="68" t="s">
        <v>82</v>
      </c>
      <c r="P8" s="68"/>
      <c r="Q8" s="68">
        <v>78.0</v>
      </c>
      <c r="R8" s="68"/>
      <c r="S8" s="68" t="s">
        <v>79</v>
      </c>
      <c r="T8" s="68"/>
      <c r="U8" s="68">
        <v>28.0</v>
      </c>
      <c r="V8" s="68"/>
      <c r="W8" s="57"/>
    </row>
    <row r="9">
      <c r="A9" s="57"/>
      <c r="B9" s="62"/>
      <c r="C9" s="68"/>
      <c r="D9" s="68"/>
      <c r="E9" s="68"/>
      <c r="F9" s="68"/>
      <c r="G9" s="69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57"/>
    </row>
    <row r="10">
      <c r="A10" s="57"/>
      <c r="B10" s="62"/>
      <c r="C10" s="68" t="s">
        <v>40</v>
      </c>
      <c r="D10" s="68"/>
      <c r="E10" s="68">
        <v>94.0</v>
      </c>
      <c r="F10" s="68"/>
      <c r="G10" s="68" t="s">
        <v>52</v>
      </c>
      <c r="H10" s="71"/>
      <c r="I10" s="68">
        <v>90.0</v>
      </c>
      <c r="J10" s="68"/>
      <c r="K10" s="68" t="s">
        <v>54</v>
      </c>
      <c r="L10" s="68"/>
      <c r="M10" s="68">
        <v>256.0</v>
      </c>
      <c r="N10" s="68"/>
      <c r="O10" s="68" t="s">
        <v>60</v>
      </c>
      <c r="P10" s="68"/>
      <c r="Q10" s="68">
        <v>112.0</v>
      </c>
      <c r="R10" s="68"/>
      <c r="S10" s="68" t="s">
        <v>81</v>
      </c>
      <c r="T10" s="68"/>
      <c r="U10" s="68">
        <v>224.0</v>
      </c>
      <c r="V10" s="68"/>
      <c r="W10" s="57"/>
    </row>
    <row r="11" ht="25.5" customHeight="1">
      <c r="A11" s="57"/>
      <c r="B11" s="62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57"/>
    </row>
    <row r="12">
      <c r="A12" s="57"/>
      <c r="B12" s="62"/>
      <c r="C12" s="68" t="s">
        <v>57</v>
      </c>
      <c r="D12" s="68"/>
      <c r="E12" s="68">
        <v>204.0</v>
      </c>
      <c r="F12" s="68"/>
      <c r="G12" s="68" t="s">
        <v>94</v>
      </c>
      <c r="H12" s="71"/>
      <c r="I12" s="68">
        <v>138.0</v>
      </c>
      <c r="J12" s="68"/>
      <c r="K12" s="68" t="s">
        <v>56</v>
      </c>
      <c r="L12" s="68"/>
      <c r="M12" s="68">
        <v>182.0</v>
      </c>
      <c r="N12" s="68"/>
      <c r="O12" s="68" t="s">
        <v>89</v>
      </c>
      <c r="P12" s="68"/>
      <c r="Q12" s="68">
        <v>48.0</v>
      </c>
      <c r="R12" s="68"/>
      <c r="S12" s="68" t="s">
        <v>88</v>
      </c>
      <c r="T12" s="68"/>
      <c r="U12" s="68">
        <v>206.0</v>
      </c>
      <c r="V12" s="68"/>
      <c r="W12" s="57"/>
    </row>
    <row r="13" ht="18.75" customHeight="1">
      <c r="A13" s="57"/>
      <c r="B13" s="62"/>
      <c r="C13" s="68"/>
      <c r="D13" s="68"/>
      <c r="E13" s="68"/>
      <c r="F13" s="68"/>
      <c r="G13" s="69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57"/>
    </row>
    <row r="14" ht="22.5" customHeight="1">
      <c r="A14" s="58"/>
      <c r="B14" s="63"/>
      <c r="C14" s="68" t="s">
        <v>74</v>
      </c>
      <c r="D14" s="68"/>
      <c r="E14" s="68">
        <v>80.0</v>
      </c>
      <c r="F14" s="68"/>
      <c r="G14" s="68" t="s">
        <v>58</v>
      </c>
      <c r="H14" s="71"/>
      <c r="I14" s="68">
        <v>76.0</v>
      </c>
      <c r="J14" s="68"/>
      <c r="K14" s="68" t="s">
        <v>99</v>
      </c>
      <c r="L14" s="68"/>
      <c r="M14" s="68">
        <v>52.0</v>
      </c>
      <c r="N14" s="68"/>
      <c r="O14" s="68" t="s">
        <v>61</v>
      </c>
      <c r="P14" s="68"/>
      <c r="Q14" s="68">
        <v>242.0</v>
      </c>
      <c r="R14" s="68"/>
      <c r="S14" s="68" t="s">
        <v>78</v>
      </c>
      <c r="T14" s="68"/>
      <c r="U14" s="68">
        <v>66.0</v>
      </c>
      <c r="V14" s="68"/>
      <c r="W14" s="58"/>
    </row>
    <row r="15" ht="25.5" customHeight="1">
      <c r="A15" s="67"/>
      <c r="B15" s="68"/>
      <c r="C15" s="68"/>
      <c r="D15" s="68"/>
      <c r="E15" s="68"/>
      <c r="F15" s="68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68"/>
      <c r="W15" s="67"/>
    </row>
    <row r="16">
      <c r="A16" s="57"/>
      <c r="B16" s="62"/>
      <c r="C16" s="68" t="s">
        <v>67</v>
      </c>
      <c r="D16" s="68"/>
      <c r="E16" s="68">
        <v>136.0</v>
      </c>
      <c r="F16" s="68"/>
      <c r="G16" s="68" t="s">
        <v>92</v>
      </c>
      <c r="H16" s="71"/>
      <c r="I16" s="68">
        <v>134.0</v>
      </c>
      <c r="J16" s="68"/>
      <c r="K16" s="68" t="s">
        <v>63</v>
      </c>
      <c r="L16" s="68"/>
      <c r="M16" s="68">
        <v>222.0</v>
      </c>
      <c r="N16" s="68"/>
      <c r="O16" s="68" t="s">
        <v>75</v>
      </c>
      <c r="P16" s="68"/>
      <c r="Q16" s="68">
        <v>136.0</v>
      </c>
      <c r="R16" s="68"/>
      <c r="S16" s="68" t="s">
        <v>93</v>
      </c>
      <c r="T16" s="68"/>
      <c r="U16" s="68">
        <v>246.0</v>
      </c>
      <c r="V16" s="68"/>
      <c r="W16" s="57"/>
    </row>
    <row r="17">
      <c r="A17" s="57"/>
      <c r="B17" s="62"/>
      <c r="C17" s="68"/>
      <c r="D17" s="68"/>
      <c r="E17" s="68"/>
      <c r="F17" s="68"/>
      <c r="G17" s="69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57"/>
    </row>
    <row r="18">
      <c r="A18" s="57"/>
      <c r="B18" s="62"/>
      <c r="C18" s="68" t="s">
        <v>64</v>
      </c>
      <c r="D18" s="68"/>
      <c r="E18" s="68">
        <v>128.0</v>
      </c>
      <c r="F18" s="68"/>
      <c r="G18" s="68" t="s">
        <v>106</v>
      </c>
      <c r="H18" s="71"/>
      <c r="I18" s="68">
        <v>126.0</v>
      </c>
      <c r="J18" s="68"/>
      <c r="K18" s="68" t="s">
        <v>91</v>
      </c>
      <c r="L18" s="68"/>
      <c r="M18" s="68">
        <v>80.0</v>
      </c>
      <c r="N18" s="68"/>
      <c r="O18" s="68" t="s">
        <v>65</v>
      </c>
      <c r="P18" s="68"/>
      <c r="Q18" s="68">
        <v>124.0</v>
      </c>
      <c r="R18" s="68"/>
      <c r="S18" s="68" t="s">
        <v>69</v>
      </c>
      <c r="T18" s="68"/>
      <c r="U18" s="68">
        <v>22.0</v>
      </c>
      <c r="V18" s="68"/>
      <c r="W18" s="57"/>
    </row>
    <row r="19" ht="23.25" customHeight="1">
      <c r="A19" s="57"/>
      <c r="B19" s="62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57"/>
    </row>
    <row r="20">
      <c r="A20" s="57"/>
      <c r="B20" s="62"/>
      <c r="C20" s="64" t="s">
        <v>160</v>
      </c>
      <c r="H20" s="64"/>
      <c r="I20" s="65" t="s">
        <v>158</v>
      </c>
      <c r="L20" s="62"/>
      <c r="M20" s="66">
        <f>average(E22,I22,M22,Q22,U22,E26,I26,M26,Q26,U26,E30,I30,M30,Q30,U30)</f>
        <v>85.73333333</v>
      </c>
      <c r="N20" s="62"/>
      <c r="O20" s="65" t="s">
        <v>159</v>
      </c>
      <c r="R20" s="62"/>
      <c r="S20" s="66">
        <f>average(E24,I24,M24,Q24,U24,E28,I28,M28,Q28,U28,E32,I32,M32,Q32,U32)</f>
        <v>144.5333333</v>
      </c>
      <c r="T20" s="68"/>
      <c r="U20" s="68"/>
      <c r="V20" s="68"/>
      <c r="W20" s="57"/>
    </row>
    <row r="21">
      <c r="A21" s="57"/>
      <c r="B21" s="62"/>
      <c r="C21" s="68"/>
      <c r="D21" s="68"/>
      <c r="E21" s="68"/>
      <c r="F21" s="68"/>
      <c r="G21" s="69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68"/>
      <c r="U21" s="68"/>
      <c r="V21" s="68"/>
      <c r="W21" s="57"/>
    </row>
    <row r="22">
      <c r="A22" s="57"/>
      <c r="B22" s="62"/>
      <c r="C22" s="68" t="s">
        <v>40</v>
      </c>
      <c r="D22" s="68"/>
      <c r="E22" s="68">
        <v>60.0</v>
      </c>
      <c r="F22" s="68"/>
      <c r="G22" s="68" t="s">
        <v>82</v>
      </c>
      <c r="H22" s="71"/>
      <c r="I22" s="68">
        <v>28.0</v>
      </c>
      <c r="J22" s="68"/>
      <c r="K22" s="68" t="s">
        <v>74</v>
      </c>
      <c r="L22" s="68"/>
      <c r="M22" s="68">
        <v>56.0</v>
      </c>
      <c r="N22" s="68"/>
      <c r="O22" s="68" t="s">
        <v>81</v>
      </c>
      <c r="P22" s="68"/>
      <c r="Q22" s="68">
        <v>154.0</v>
      </c>
      <c r="R22" s="68"/>
      <c r="S22" s="68" t="s">
        <v>64</v>
      </c>
      <c r="T22" s="68"/>
      <c r="U22" s="68">
        <v>116.0</v>
      </c>
      <c r="V22" s="68"/>
      <c r="W22" s="57"/>
    </row>
    <row r="23">
      <c r="A23" s="57"/>
      <c r="B23" s="62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57"/>
    </row>
    <row r="24">
      <c r="A24" s="57"/>
      <c r="B24" s="62"/>
      <c r="C24" s="68" t="s">
        <v>56</v>
      </c>
      <c r="D24" s="68"/>
      <c r="E24" s="68">
        <v>180.0</v>
      </c>
      <c r="F24" s="68"/>
      <c r="G24" s="68" t="s">
        <v>88</v>
      </c>
      <c r="H24" s="71"/>
      <c r="I24" s="68">
        <v>172.0</v>
      </c>
      <c r="J24" s="68"/>
      <c r="K24" s="68" t="s">
        <v>61</v>
      </c>
      <c r="L24" s="68"/>
      <c r="M24" s="68">
        <v>210.0</v>
      </c>
      <c r="N24" s="68"/>
      <c r="O24" s="68" t="s">
        <v>67</v>
      </c>
      <c r="P24" s="68"/>
      <c r="Q24" s="68">
        <v>102.0</v>
      </c>
      <c r="R24" s="68"/>
      <c r="S24" s="68" t="s">
        <v>65</v>
      </c>
      <c r="T24" s="68"/>
      <c r="U24" s="68">
        <v>92.0</v>
      </c>
      <c r="V24" s="68"/>
      <c r="W24" s="57"/>
    </row>
    <row r="25" ht="21.75" customHeight="1">
      <c r="A25" s="57"/>
      <c r="B25" s="62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57"/>
    </row>
    <row r="26">
      <c r="A26" s="57"/>
      <c r="B26" s="62"/>
      <c r="C26" s="68" t="s">
        <v>42</v>
      </c>
      <c r="D26" s="68"/>
      <c r="E26" s="68">
        <v>106.0</v>
      </c>
      <c r="F26" s="68"/>
      <c r="G26" s="68" t="s">
        <v>78</v>
      </c>
      <c r="H26" s="71"/>
      <c r="I26" s="68">
        <v>110.0</v>
      </c>
      <c r="J26" s="68"/>
      <c r="K26" s="68" t="s">
        <v>93</v>
      </c>
      <c r="L26" s="68"/>
      <c r="M26" s="68">
        <v>208.0</v>
      </c>
      <c r="N26" s="68"/>
      <c r="O26" s="68" t="s">
        <v>69</v>
      </c>
      <c r="P26" s="68"/>
      <c r="Q26" s="68">
        <v>30.0</v>
      </c>
      <c r="R26" s="68"/>
      <c r="S26" s="68" t="s">
        <v>60</v>
      </c>
      <c r="T26" s="68"/>
      <c r="U26" s="68">
        <v>40.0</v>
      </c>
      <c r="V26" s="68"/>
      <c r="W26" s="57"/>
    </row>
    <row r="27" ht="17.25" customHeight="1">
      <c r="A27" s="57"/>
      <c r="B27" s="62"/>
      <c r="C27" s="68"/>
      <c r="D27" s="68"/>
      <c r="E27" s="68"/>
      <c r="F27" s="68"/>
      <c r="G27" s="69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57"/>
    </row>
    <row r="28" ht="17.25" customHeight="1">
      <c r="A28" s="57"/>
      <c r="B28" s="62"/>
      <c r="C28" s="68" t="s">
        <v>57</v>
      </c>
      <c r="D28" s="68"/>
      <c r="E28" s="68">
        <v>102.0</v>
      </c>
      <c r="F28" s="68"/>
      <c r="G28" s="68" t="s">
        <v>54</v>
      </c>
      <c r="H28" s="71"/>
      <c r="I28" s="68">
        <v>126.0</v>
      </c>
      <c r="J28" s="68"/>
      <c r="K28" s="68" t="s">
        <v>94</v>
      </c>
      <c r="L28" s="68"/>
      <c r="M28" s="68">
        <v>58.0</v>
      </c>
      <c r="N28" s="68"/>
      <c r="O28" s="68" t="s">
        <v>106</v>
      </c>
      <c r="P28" s="68"/>
      <c r="Q28" s="68">
        <v>148.0</v>
      </c>
      <c r="R28" s="68"/>
      <c r="S28" s="68" t="s">
        <v>92</v>
      </c>
      <c r="T28" s="68"/>
      <c r="U28" s="68">
        <v>168.0</v>
      </c>
      <c r="V28" s="68"/>
      <c r="W28" s="57"/>
    </row>
    <row r="29" ht="21.75" customHeight="1">
      <c r="A29" s="57"/>
      <c r="B29" s="62"/>
      <c r="C29" s="68"/>
      <c r="D29" s="68"/>
      <c r="E29" s="68"/>
      <c r="F29" s="68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68"/>
      <c r="U29" s="68"/>
      <c r="V29" s="68"/>
      <c r="W29" s="57"/>
    </row>
    <row r="30" ht="21.0" customHeight="1">
      <c r="A30" s="57"/>
      <c r="B30" s="62"/>
      <c r="C30" s="68" t="s">
        <v>58</v>
      </c>
      <c r="D30" s="68"/>
      <c r="E30" s="68">
        <v>88.0</v>
      </c>
      <c r="F30" s="68"/>
      <c r="G30" s="68" t="s">
        <v>79</v>
      </c>
      <c r="H30" s="71"/>
      <c r="I30" s="68">
        <v>28.0</v>
      </c>
      <c r="J30" s="68"/>
      <c r="K30" s="68" t="s">
        <v>52</v>
      </c>
      <c r="L30" s="68"/>
      <c r="M30" s="68">
        <v>60.0</v>
      </c>
      <c r="N30" s="68"/>
      <c r="O30" s="68" t="s">
        <v>50</v>
      </c>
      <c r="P30" s="68"/>
      <c r="Q30" s="68">
        <v>50.0</v>
      </c>
      <c r="R30" s="68"/>
      <c r="S30" s="68" t="s">
        <v>91</v>
      </c>
      <c r="T30" s="68"/>
      <c r="U30" s="68">
        <v>152.0</v>
      </c>
      <c r="V30" s="68"/>
      <c r="W30" s="57"/>
    </row>
    <row r="31" ht="16.5" customHeight="1">
      <c r="A31" s="57"/>
      <c r="B31" s="72"/>
      <c r="C31" s="68"/>
      <c r="D31" s="68"/>
      <c r="E31" s="68"/>
      <c r="F31" s="68"/>
      <c r="G31" s="69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73"/>
      <c r="U31" s="71"/>
      <c r="V31" s="73"/>
      <c r="W31" s="57"/>
    </row>
    <row r="32" ht="22.5" customHeight="1">
      <c r="A32" s="57"/>
      <c r="B32" s="72"/>
      <c r="C32" s="68" t="s">
        <v>44</v>
      </c>
      <c r="D32" s="68"/>
      <c r="E32" s="68">
        <v>128.0</v>
      </c>
      <c r="F32" s="68"/>
      <c r="G32" s="68" t="s">
        <v>89</v>
      </c>
      <c r="H32" s="71"/>
      <c r="I32" s="68">
        <v>238.0</v>
      </c>
      <c r="J32" s="68"/>
      <c r="K32" s="68" t="s">
        <v>99</v>
      </c>
      <c r="L32" s="68"/>
      <c r="M32" s="68">
        <v>148.0</v>
      </c>
      <c r="N32" s="68"/>
      <c r="O32" s="68" t="s">
        <v>63</v>
      </c>
      <c r="P32" s="68"/>
      <c r="Q32" s="68">
        <v>220.0</v>
      </c>
      <c r="R32" s="68"/>
      <c r="S32" s="68" t="s">
        <v>75</v>
      </c>
      <c r="T32" s="73"/>
      <c r="U32" s="68">
        <v>76.0</v>
      </c>
      <c r="V32" s="73"/>
      <c r="W32" s="57"/>
    </row>
    <row r="33" ht="25.5" customHeight="1">
      <c r="A33" s="57"/>
      <c r="B33" s="72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1"/>
      <c r="V33" s="73"/>
      <c r="W33" s="57"/>
    </row>
    <row r="34" ht="39.0" customHeight="1">
      <c r="A34" s="57"/>
      <c r="B34" s="72"/>
      <c r="C34" s="64" t="s">
        <v>161</v>
      </c>
      <c r="H34" s="64"/>
      <c r="I34" s="65" t="s">
        <v>158</v>
      </c>
      <c r="L34" s="62"/>
      <c r="M34" s="66">
        <f>average(E36,I36,M36,Q36,U36,E40,I40,M40,Q40,U40,E44,I44,M44,Q44,U44)</f>
        <v>143.7333333</v>
      </c>
      <c r="N34" s="62"/>
      <c r="O34" s="65" t="s">
        <v>159</v>
      </c>
      <c r="R34" s="62"/>
      <c r="S34" s="66">
        <f>average(E38,I38,M38,Q38,U38,E42,I42,M42,Q42,U42,E46,I46,M46,Q46,U46)</f>
        <v>108.9333333</v>
      </c>
      <c r="T34" s="73"/>
      <c r="U34" s="71"/>
      <c r="V34" s="73"/>
      <c r="W34" s="57"/>
    </row>
    <row r="35" ht="15.0" customHeight="1">
      <c r="A35" s="57"/>
      <c r="B35" s="72"/>
      <c r="C35" s="68"/>
      <c r="D35" s="68"/>
      <c r="E35" s="68"/>
      <c r="F35" s="68"/>
      <c r="G35" s="69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3"/>
      <c r="U35" s="71"/>
      <c r="V35" s="73"/>
      <c r="W35" s="57"/>
    </row>
    <row r="36" ht="22.5" customHeight="1">
      <c r="A36" s="57"/>
      <c r="B36" s="72"/>
      <c r="C36" s="68" t="s">
        <v>40</v>
      </c>
      <c r="D36" s="68"/>
      <c r="E36" s="68">
        <v>130.0</v>
      </c>
      <c r="F36" s="68"/>
      <c r="G36" s="68" t="s">
        <v>82</v>
      </c>
      <c r="H36" s="71"/>
      <c r="I36" s="68">
        <v>74.0</v>
      </c>
      <c r="J36" s="68"/>
      <c r="K36" s="68" t="s">
        <v>74</v>
      </c>
      <c r="L36" s="68"/>
      <c r="M36" s="68">
        <v>108.0</v>
      </c>
      <c r="N36" s="68"/>
      <c r="O36" s="68" t="s">
        <v>63</v>
      </c>
      <c r="P36" s="68"/>
      <c r="Q36" s="68">
        <v>194.0</v>
      </c>
      <c r="R36" s="68"/>
      <c r="S36" s="68" t="s">
        <v>58</v>
      </c>
      <c r="T36" s="73"/>
      <c r="U36" s="68">
        <v>136.0</v>
      </c>
      <c r="V36" s="73"/>
      <c r="W36" s="57"/>
    </row>
    <row r="37" ht="13.5" customHeight="1">
      <c r="A37" s="57"/>
      <c r="B37" s="72"/>
      <c r="C37" s="68"/>
      <c r="D37" s="68"/>
      <c r="E37" s="68"/>
      <c r="F37" s="68"/>
      <c r="G37" s="69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73"/>
      <c r="U37" s="68"/>
      <c r="V37" s="73"/>
      <c r="W37" s="57"/>
    </row>
    <row r="38" ht="22.5" customHeight="1">
      <c r="A38" s="57"/>
      <c r="B38" s="72"/>
      <c r="C38" s="68" t="s">
        <v>60</v>
      </c>
      <c r="D38" s="68"/>
      <c r="E38" s="68">
        <v>138.0</v>
      </c>
      <c r="F38" s="68"/>
      <c r="G38" s="68" t="s">
        <v>106</v>
      </c>
      <c r="H38" s="71"/>
      <c r="I38" s="68">
        <v>130.0</v>
      </c>
      <c r="J38" s="68"/>
      <c r="K38" s="68" t="s">
        <v>64</v>
      </c>
      <c r="L38" s="68"/>
      <c r="M38" s="68">
        <v>126.0</v>
      </c>
      <c r="N38" s="68"/>
      <c r="O38" s="68" t="s">
        <v>89</v>
      </c>
      <c r="P38" s="68"/>
      <c r="Q38" s="68">
        <v>84.0</v>
      </c>
      <c r="R38" s="68"/>
      <c r="S38" s="68" t="s">
        <v>91</v>
      </c>
      <c r="T38" s="73"/>
      <c r="U38" s="68">
        <v>150.0</v>
      </c>
      <c r="V38" s="73"/>
      <c r="W38" s="57"/>
    </row>
    <row r="39" ht="22.5" customHeight="1">
      <c r="A39" s="57"/>
      <c r="B39" s="72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73"/>
      <c r="U39" s="68"/>
      <c r="V39" s="73"/>
      <c r="W39" s="57"/>
    </row>
    <row r="40" ht="22.5" customHeight="1">
      <c r="A40" s="57"/>
      <c r="B40" s="72"/>
      <c r="C40" s="68" t="s">
        <v>42</v>
      </c>
      <c r="D40" s="68"/>
      <c r="E40" s="68">
        <v>150.0</v>
      </c>
      <c r="F40" s="68"/>
      <c r="G40" s="68" t="s">
        <v>88</v>
      </c>
      <c r="H40" s="71"/>
      <c r="I40" s="68">
        <v>154.0</v>
      </c>
      <c r="J40" s="68"/>
      <c r="K40" s="68" t="s">
        <v>94</v>
      </c>
      <c r="L40" s="68"/>
      <c r="M40" s="68">
        <v>134.0</v>
      </c>
      <c r="N40" s="68"/>
      <c r="O40" s="68" t="s">
        <v>78</v>
      </c>
      <c r="P40" s="68"/>
      <c r="Q40" s="68">
        <v>230.0</v>
      </c>
      <c r="R40" s="68"/>
      <c r="S40" s="68" t="s">
        <v>81</v>
      </c>
      <c r="T40" s="73"/>
      <c r="U40" s="68">
        <v>86.0</v>
      </c>
      <c r="V40" s="73"/>
      <c r="W40" s="57"/>
    </row>
    <row r="41" ht="13.5" customHeight="1">
      <c r="A41" s="57"/>
      <c r="B41" s="72"/>
      <c r="C41" s="68"/>
      <c r="D41" s="68"/>
      <c r="E41" s="68"/>
      <c r="F41" s="68"/>
      <c r="G41" s="69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73"/>
      <c r="U41" s="68"/>
      <c r="V41" s="73"/>
      <c r="W41" s="57"/>
    </row>
    <row r="42" ht="22.5" customHeight="1">
      <c r="A42" s="57"/>
      <c r="B42" s="72"/>
      <c r="C42" s="68" t="s">
        <v>61</v>
      </c>
      <c r="D42" s="68"/>
      <c r="E42" s="68">
        <v>144.0</v>
      </c>
      <c r="F42" s="68"/>
      <c r="G42" s="68" t="s">
        <v>54</v>
      </c>
      <c r="H42" s="71"/>
      <c r="I42" s="68">
        <v>116.0</v>
      </c>
      <c r="J42" s="68"/>
      <c r="K42" s="68" t="s">
        <v>56</v>
      </c>
      <c r="L42" s="68"/>
      <c r="M42" s="68">
        <v>82.0</v>
      </c>
      <c r="N42" s="68"/>
      <c r="O42" s="68" t="s">
        <v>52</v>
      </c>
      <c r="P42" s="68"/>
      <c r="Q42" s="68">
        <v>46.0</v>
      </c>
      <c r="R42" s="68"/>
      <c r="S42" s="68" t="s">
        <v>75</v>
      </c>
      <c r="T42" s="73"/>
      <c r="U42" s="68">
        <v>192.0</v>
      </c>
      <c r="V42" s="73"/>
      <c r="W42" s="57"/>
    </row>
    <row r="43" ht="22.5" customHeight="1">
      <c r="A43" s="57"/>
      <c r="B43" s="72"/>
      <c r="C43" s="68"/>
      <c r="D43" s="68"/>
      <c r="E43" s="68"/>
      <c r="F43" s="68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3"/>
      <c r="U43" s="68"/>
      <c r="V43" s="73"/>
      <c r="W43" s="57"/>
    </row>
    <row r="44" ht="22.5" customHeight="1">
      <c r="A44" s="57"/>
      <c r="B44" s="72"/>
      <c r="C44" s="68" t="s">
        <v>50</v>
      </c>
      <c r="D44" s="68"/>
      <c r="E44" s="68">
        <v>214.0</v>
      </c>
      <c r="F44" s="68"/>
      <c r="G44" s="68" t="s">
        <v>79</v>
      </c>
      <c r="H44" s="71"/>
      <c r="I44" s="68">
        <v>68.0</v>
      </c>
      <c r="J44" s="68"/>
      <c r="K44" s="68" t="s">
        <v>57</v>
      </c>
      <c r="L44" s="68"/>
      <c r="M44" s="68">
        <v>126.0</v>
      </c>
      <c r="N44" s="68"/>
      <c r="O44" s="68" t="s">
        <v>67</v>
      </c>
      <c r="P44" s="68"/>
      <c r="Q44" s="68">
        <v>182.0</v>
      </c>
      <c r="R44" s="68"/>
      <c r="S44" s="68" t="s">
        <v>93</v>
      </c>
      <c r="T44" s="73"/>
      <c r="U44" s="68">
        <v>170.0</v>
      </c>
      <c r="V44" s="73"/>
      <c r="W44" s="57"/>
    </row>
    <row r="45" ht="13.5" customHeight="1">
      <c r="A45" s="57"/>
      <c r="B45" s="72"/>
      <c r="C45" s="68"/>
      <c r="D45" s="68"/>
      <c r="E45" s="68"/>
      <c r="F45" s="68"/>
      <c r="G45" s="69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73"/>
      <c r="U45" s="68"/>
      <c r="V45" s="73"/>
      <c r="W45" s="57"/>
    </row>
    <row r="46" ht="22.5" customHeight="1">
      <c r="A46" s="57"/>
      <c r="B46" s="72"/>
      <c r="C46" s="68" t="s">
        <v>44</v>
      </c>
      <c r="D46" s="68"/>
      <c r="E46" s="68">
        <v>10.0</v>
      </c>
      <c r="F46" s="68"/>
      <c r="G46" s="68" t="s">
        <v>69</v>
      </c>
      <c r="H46" s="71"/>
      <c r="I46" s="68">
        <v>84.0</v>
      </c>
      <c r="J46" s="68"/>
      <c r="K46" s="68" t="s">
        <v>99</v>
      </c>
      <c r="L46" s="68"/>
      <c r="M46" s="68">
        <v>132.0</v>
      </c>
      <c r="N46" s="68"/>
      <c r="O46" s="68" t="s">
        <v>65</v>
      </c>
      <c r="P46" s="68"/>
      <c r="Q46" s="68">
        <v>106.0</v>
      </c>
      <c r="R46" s="68"/>
      <c r="S46" s="68" t="s">
        <v>92</v>
      </c>
      <c r="T46" s="73"/>
      <c r="U46" s="68">
        <v>94.0</v>
      </c>
      <c r="V46" s="73"/>
      <c r="W46" s="57"/>
    </row>
    <row r="47" ht="26.25" customHeight="1">
      <c r="A47" s="57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1"/>
      <c r="V47" s="73"/>
      <c r="W47" s="57"/>
    </row>
    <row r="48" ht="36.0" customHeight="1">
      <c r="A48" s="57"/>
      <c r="B48" s="72"/>
      <c r="C48" s="64" t="s">
        <v>162</v>
      </c>
      <c r="H48" s="64"/>
      <c r="I48" s="65" t="s">
        <v>158</v>
      </c>
      <c r="L48" s="62"/>
      <c r="M48" s="66">
        <f>average(E50,I50,M50,Q50,U50,E54,I54,M54,Q54,U54,E58,I58,M58,Q58,U58)</f>
        <v>86.93333333</v>
      </c>
      <c r="N48" s="62"/>
      <c r="O48" s="65" t="s">
        <v>159</v>
      </c>
      <c r="R48" s="62"/>
      <c r="S48" s="66">
        <f>average(E52,I52,M52,Q52,U52,E56,I56,M56,Q56,U56,E60,I60,M60,Q60,U60)</f>
        <v>146.1333333</v>
      </c>
      <c r="T48" s="73"/>
      <c r="U48" s="71"/>
      <c r="V48" s="73"/>
      <c r="W48" s="57"/>
    </row>
    <row r="49" ht="22.5" customHeight="1">
      <c r="A49" s="57"/>
      <c r="B49" s="72"/>
      <c r="C49" s="68"/>
      <c r="D49" s="68"/>
      <c r="E49" s="68"/>
      <c r="F49" s="68"/>
      <c r="G49" s="69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3"/>
      <c r="U49" s="71"/>
      <c r="V49" s="73"/>
      <c r="W49" s="57"/>
    </row>
    <row r="50" ht="22.5" customHeight="1">
      <c r="A50" s="57"/>
      <c r="B50" s="72"/>
      <c r="C50" s="68" t="s">
        <v>40</v>
      </c>
      <c r="D50" s="68"/>
      <c r="E50" s="68">
        <v>36.0</v>
      </c>
      <c r="F50" s="68"/>
      <c r="G50" s="68" t="s">
        <v>91</v>
      </c>
      <c r="H50" s="71"/>
      <c r="I50" s="68">
        <v>148.0</v>
      </c>
      <c r="J50" s="68"/>
      <c r="K50" s="68" t="s">
        <v>74</v>
      </c>
      <c r="L50" s="68"/>
      <c r="M50" s="68">
        <v>40.0</v>
      </c>
      <c r="N50" s="68"/>
      <c r="O50" s="68" t="s">
        <v>99</v>
      </c>
      <c r="P50" s="68"/>
      <c r="Q50" s="68">
        <v>98.0</v>
      </c>
      <c r="R50" s="68"/>
      <c r="S50" s="68" t="s">
        <v>58</v>
      </c>
      <c r="T50" s="73"/>
      <c r="U50" s="68">
        <v>144.0</v>
      </c>
      <c r="V50" s="73"/>
      <c r="W50" s="57"/>
    </row>
    <row r="51" ht="13.5" customHeight="1">
      <c r="A51" s="57"/>
      <c r="B51" s="72"/>
      <c r="C51" s="68"/>
      <c r="D51" s="68"/>
      <c r="E51" s="68"/>
      <c r="F51" s="68"/>
      <c r="G51" s="69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73"/>
      <c r="U51" s="71"/>
      <c r="V51" s="73"/>
      <c r="W51" s="57"/>
    </row>
    <row r="52" ht="22.5" customHeight="1">
      <c r="A52" s="57"/>
      <c r="B52" s="72"/>
      <c r="C52" s="68" t="s">
        <v>63</v>
      </c>
      <c r="D52" s="68"/>
      <c r="E52" s="68">
        <v>218.0</v>
      </c>
      <c r="F52" s="68"/>
      <c r="G52" s="68" t="s">
        <v>82</v>
      </c>
      <c r="H52" s="71"/>
      <c r="I52" s="68">
        <v>32.0</v>
      </c>
      <c r="J52" s="68"/>
      <c r="K52" s="68" t="s">
        <v>67</v>
      </c>
      <c r="L52" s="68"/>
      <c r="M52" s="68">
        <v>166.0</v>
      </c>
      <c r="N52" s="68"/>
      <c r="O52" s="68" t="s">
        <v>89</v>
      </c>
      <c r="P52" s="68"/>
      <c r="Q52" s="68">
        <v>136.0</v>
      </c>
      <c r="R52" s="68"/>
      <c r="S52" s="68" t="s">
        <v>81</v>
      </c>
      <c r="T52" s="73"/>
      <c r="U52" s="68">
        <v>88.0</v>
      </c>
      <c r="V52" s="73"/>
      <c r="W52" s="57"/>
    </row>
    <row r="53" ht="22.5" customHeight="1">
      <c r="A53" s="57"/>
      <c r="B53" s="72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73"/>
      <c r="U53" s="71"/>
      <c r="V53" s="73"/>
      <c r="W53" s="57"/>
    </row>
    <row r="54" ht="22.5" customHeight="1">
      <c r="A54" s="57"/>
      <c r="B54" s="72"/>
      <c r="C54" s="68" t="s">
        <v>64</v>
      </c>
      <c r="D54" s="68"/>
      <c r="E54" s="68">
        <v>186.0</v>
      </c>
      <c r="F54" s="68"/>
      <c r="G54" s="68" t="s">
        <v>54</v>
      </c>
      <c r="H54" s="71"/>
      <c r="I54" s="68">
        <v>140.0</v>
      </c>
      <c r="J54" s="68"/>
      <c r="K54" s="68" t="s">
        <v>52</v>
      </c>
      <c r="L54" s="68"/>
      <c r="M54" s="68">
        <v>22.0</v>
      </c>
      <c r="N54" s="68"/>
      <c r="O54" s="68" t="s">
        <v>78</v>
      </c>
      <c r="P54" s="68"/>
      <c r="Q54" s="68">
        <v>82.0</v>
      </c>
      <c r="R54" s="68"/>
      <c r="S54" s="68" t="s">
        <v>60</v>
      </c>
      <c r="T54" s="73"/>
      <c r="U54" s="68">
        <v>38.0</v>
      </c>
      <c r="V54" s="73"/>
      <c r="W54" s="57"/>
    </row>
    <row r="55" ht="13.5" customHeight="1">
      <c r="A55" s="57"/>
      <c r="B55" s="72"/>
      <c r="C55" s="68"/>
      <c r="D55" s="68"/>
      <c r="E55" s="68"/>
      <c r="F55" s="68"/>
      <c r="G55" s="69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73"/>
      <c r="U55" s="71"/>
      <c r="V55" s="73"/>
      <c r="W55" s="57"/>
    </row>
    <row r="56" ht="22.5" customHeight="1">
      <c r="A56" s="57"/>
      <c r="B56" s="72"/>
      <c r="C56" s="68" t="s">
        <v>42</v>
      </c>
      <c r="D56" s="68"/>
      <c r="E56" s="68">
        <v>56.0</v>
      </c>
      <c r="F56" s="68"/>
      <c r="G56" s="68" t="s">
        <v>92</v>
      </c>
      <c r="H56" s="71"/>
      <c r="I56" s="68">
        <v>126.0</v>
      </c>
      <c r="J56" s="68"/>
      <c r="K56" s="68" t="s">
        <v>94</v>
      </c>
      <c r="L56" s="68"/>
      <c r="M56" s="68">
        <v>274.0</v>
      </c>
      <c r="N56" s="68"/>
      <c r="O56" s="68" t="s">
        <v>57</v>
      </c>
      <c r="P56" s="68"/>
      <c r="Q56" s="68">
        <v>126.0</v>
      </c>
      <c r="R56" s="68"/>
      <c r="S56" s="68" t="s">
        <v>88</v>
      </c>
      <c r="T56" s="73"/>
      <c r="U56" s="68">
        <v>232.0</v>
      </c>
      <c r="V56" s="73"/>
      <c r="W56" s="57"/>
    </row>
    <row r="57" ht="22.5" customHeight="1">
      <c r="A57" s="57"/>
      <c r="B57" s="72"/>
      <c r="C57" s="68"/>
      <c r="D57" s="68"/>
      <c r="E57" s="68"/>
      <c r="F57" s="68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3"/>
      <c r="U57" s="71"/>
      <c r="V57" s="73"/>
      <c r="W57" s="57"/>
    </row>
    <row r="58" ht="22.5" customHeight="1">
      <c r="A58" s="57"/>
      <c r="B58" s="72"/>
      <c r="C58" s="68" t="s">
        <v>65</v>
      </c>
      <c r="D58" s="68"/>
      <c r="E58" s="68">
        <v>134.0</v>
      </c>
      <c r="F58" s="68"/>
      <c r="G58" s="68" t="s">
        <v>79</v>
      </c>
      <c r="H58" s="71"/>
      <c r="I58" s="68">
        <v>26.0</v>
      </c>
      <c r="J58" s="68"/>
      <c r="K58" s="68" t="s">
        <v>69</v>
      </c>
      <c r="L58" s="68"/>
      <c r="M58" s="68">
        <v>16.0</v>
      </c>
      <c r="N58" s="68"/>
      <c r="O58" s="68" t="s">
        <v>106</v>
      </c>
      <c r="P58" s="68"/>
      <c r="Q58" s="68">
        <v>40.0</v>
      </c>
      <c r="R58" s="68"/>
      <c r="S58" s="68" t="s">
        <v>61</v>
      </c>
      <c r="T58" s="73"/>
      <c r="U58" s="68">
        <v>154.0</v>
      </c>
      <c r="V58" s="73"/>
      <c r="W58" s="57"/>
    </row>
    <row r="59" ht="13.5" customHeight="1">
      <c r="A59" s="57"/>
      <c r="B59" s="72"/>
      <c r="C59" s="68"/>
      <c r="D59" s="68"/>
      <c r="E59" s="68"/>
      <c r="F59" s="68"/>
      <c r="G59" s="74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73"/>
      <c r="U59" s="71"/>
      <c r="V59" s="73"/>
      <c r="W59" s="57"/>
    </row>
    <row r="60" ht="22.5" customHeight="1">
      <c r="A60" s="57"/>
      <c r="B60" s="72"/>
      <c r="C60" s="68" t="s">
        <v>44</v>
      </c>
      <c r="D60" s="68"/>
      <c r="E60" s="68">
        <v>60.0</v>
      </c>
      <c r="F60" s="68"/>
      <c r="G60" s="68" t="s">
        <v>93</v>
      </c>
      <c r="H60" s="71"/>
      <c r="I60" s="68">
        <v>196.0</v>
      </c>
      <c r="J60" s="68"/>
      <c r="K60" s="68" t="s">
        <v>50</v>
      </c>
      <c r="L60" s="68"/>
      <c r="M60" s="68">
        <v>200.0</v>
      </c>
      <c r="N60" s="68"/>
      <c r="O60" s="68" t="s">
        <v>56</v>
      </c>
      <c r="P60" s="68"/>
      <c r="Q60" s="68">
        <v>162.0</v>
      </c>
      <c r="R60" s="68"/>
      <c r="S60" s="68" t="s">
        <v>75</v>
      </c>
      <c r="T60" s="73"/>
      <c r="U60" s="68">
        <v>120.0</v>
      </c>
      <c r="V60" s="73"/>
      <c r="W60" s="57"/>
    </row>
    <row r="61" ht="27.75" customHeight="1">
      <c r="A61" s="57"/>
      <c r="B61" s="72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1"/>
      <c r="V61" s="73"/>
      <c r="W61" s="57"/>
    </row>
    <row r="62" ht="34.5" customHeight="1">
      <c r="A62" s="57"/>
      <c r="B62" s="72"/>
      <c r="C62" s="64" t="s">
        <v>163</v>
      </c>
      <c r="H62" s="64"/>
      <c r="I62" s="65" t="s">
        <v>158</v>
      </c>
      <c r="L62" s="62"/>
      <c r="M62" s="66">
        <f>average(E64,I64,M64,Q64,U64,E68,I68,M68,Q68,U68,E72,I72,M72,Q72,U72)</f>
        <v>118.9333333</v>
      </c>
      <c r="N62" s="62"/>
      <c r="O62" s="65" t="s">
        <v>159</v>
      </c>
      <c r="R62" s="62"/>
      <c r="S62" s="66">
        <f>average(E66,I66,M66,Q66,U66,E70,I70,M70,Q70,U70,E74,I74,M74,Q74,U74)</f>
        <v>91.73333333</v>
      </c>
      <c r="T62" s="73"/>
      <c r="U62" s="71"/>
      <c r="V62" s="73"/>
      <c r="W62" s="57"/>
    </row>
    <row r="63" ht="22.5" customHeight="1">
      <c r="A63" s="57"/>
      <c r="B63" s="72"/>
      <c r="C63" s="68"/>
      <c r="D63" s="68"/>
      <c r="E63" s="68"/>
      <c r="F63" s="68"/>
      <c r="G63" s="69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3"/>
      <c r="U63" s="71"/>
      <c r="V63" s="73"/>
      <c r="W63" s="57"/>
    </row>
    <row r="64" ht="22.5" customHeight="1">
      <c r="A64" s="57"/>
      <c r="B64" s="72"/>
      <c r="C64" s="68" t="s">
        <v>54</v>
      </c>
      <c r="D64" s="68"/>
      <c r="E64" s="68">
        <v>148.0</v>
      </c>
      <c r="F64" s="68"/>
      <c r="G64" s="68" t="s">
        <v>94</v>
      </c>
      <c r="H64" s="71"/>
      <c r="I64" s="68">
        <v>162.0</v>
      </c>
      <c r="J64" s="68"/>
      <c r="K64" s="68" t="s">
        <v>99</v>
      </c>
      <c r="L64" s="68"/>
      <c r="M64" s="68">
        <v>128.0</v>
      </c>
      <c r="N64" s="68"/>
      <c r="O64" s="68" t="s">
        <v>57</v>
      </c>
      <c r="P64" s="68"/>
      <c r="Q64" s="68">
        <v>76.0</v>
      </c>
      <c r="R64" s="68"/>
      <c r="S64" s="68" t="s">
        <v>92</v>
      </c>
      <c r="T64" s="73"/>
      <c r="U64" s="68">
        <v>66.0</v>
      </c>
      <c r="V64" s="73"/>
      <c r="W64" s="57"/>
    </row>
    <row r="65" ht="13.5" customHeight="1">
      <c r="A65" s="57"/>
      <c r="B65" s="72"/>
      <c r="C65" s="68"/>
      <c r="D65" s="68"/>
      <c r="E65" s="68"/>
      <c r="F65" s="68"/>
      <c r="G65" s="69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73"/>
      <c r="U65" s="71"/>
      <c r="V65" s="73"/>
      <c r="W65" s="57"/>
    </row>
    <row r="66" ht="22.5" customHeight="1">
      <c r="A66" s="57"/>
      <c r="B66" s="72"/>
      <c r="C66" s="68" t="s">
        <v>40</v>
      </c>
      <c r="D66" s="68"/>
      <c r="E66" s="68">
        <v>78.0</v>
      </c>
      <c r="F66" s="68"/>
      <c r="G66" s="68" t="s">
        <v>82</v>
      </c>
      <c r="H66" s="71"/>
      <c r="I66" s="68">
        <v>28.0</v>
      </c>
      <c r="J66" s="68"/>
      <c r="K66" s="68" t="s">
        <v>69</v>
      </c>
      <c r="L66" s="68"/>
      <c r="M66" s="68">
        <v>60.0</v>
      </c>
      <c r="N66" s="68"/>
      <c r="O66" s="68" t="s">
        <v>50</v>
      </c>
      <c r="P66" s="68"/>
      <c r="Q66" s="68">
        <v>134.0</v>
      </c>
      <c r="R66" s="68"/>
      <c r="S66" s="68" t="s">
        <v>91</v>
      </c>
      <c r="T66" s="73"/>
      <c r="U66" s="68">
        <v>136.0</v>
      </c>
      <c r="V66" s="73"/>
      <c r="W66" s="57"/>
    </row>
    <row r="67" ht="22.5" customHeight="1">
      <c r="A67" s="57"/>
      <c r="B67" s="72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73"/>
      <c r="U67" s="71"/>
      <c r="V67" s="73"/>
      <c r="W67" s="57"/>
    </row>
    <row r="68" ht="22.5" customHeight="1">
      <c r="A68" s="57"/>
      <c r="B68" s="72"/>
      <c r="C68" s="68" t="s">
        <v>67</v>
      </c>
      <c r="D68" s="68"/>
      <c r="E68" s="68">
        <v>84.0</v>
      </c>
      <c r="F68" s="68"/>
      <c r="G68" s="68" t="s">
        <v>61</v>
      </c>
      <c r="H68" s="71"/>
      <c r="I68" s="68">
        <v>162.0</v>
      </c>
      <c r="J68" s="68"/>
      <c r="K68" s="68" t="s">
        <v>89</v>
      </c>
      <c r="L68" s="68"/>
      <c r="M68" s="68">
        <v>174.0</v>
      </c>
      <c r="N68" s="68"/>
      <c r="O68" s="68" t="s">
        <v>56</v>
      </c>
      <c r="P68" s="68"/>
      <c r="Q68" s="68">
        <v>58.0</v>
      </c>
      <c r="R68" s="68"/>
      <c r="S68" s="68" t="s">
        <v>88</v>
      </c>
      <c r="T68" s="73"/>
      <c r="U68" s="68">
        <v>114.0</v>
      </c>
      <c r="V68" s="73"/>
      <c r="W68" s="57"/>
    </row>
    <row r="69" ht="13.5" customHeight="1">
      <c r="A69" s="57"/>
      <c r="B69" s="72"/>
      <c r="C69" s="68"/>
      <c r="D69" s="68"/>
      <c r="E69" s="68"/>
      <c r="F69" s="68"/>
      <c r="G69" s="69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73"/>
      <c r="U69" s="71"/>
      <c r="V69" s="73"/>
      <c r="W69" s="57"/>
    </row>
    <row r="70" ht="22.5" customHeight="1">
      <c r="A70" s="57"/>
      <c r="B70" s="72"/>
      <c r="C70" s="68" t="s">
        <v>42</v>
      </c>
      <c r="D70" s="68"/>
      <c r="E70" s="68">
        <v>158.0</v>
      </c>
      <c r="F70" s="68"/>
      <c r="G70" s="68" t="s">
        <v>79</v>
      </c>
      <c r="H70" s="71"/>
      <c r="I70" s="68">
        <v>22.0</v>
      </c>
      <c r="J70" s="68"/>
      <c r="K70" s="68" t="s">
        <v>60</v>
      </c>
      <c r="L70" s="68"/>
      <c r="M70" s="68">
        <v>64.0</v>
      </c>
      <c r="N70" s="68"/>
      <c r="O70" s="68" t="s">
        <v>58</v>
      </c>
      <c r="P70" s="68"/>
      <c r="Q70" s="68">
        <v>102.0</v>
      </c>
      <c r="R70" s="68"/>
      <c r="S70" s="68" t="s">
        <v>93</v>
      </c>
      <c r="T70" s="73"/>
      <c r="U70" s="68">
        <v>122.0</v>
      </c>
      <c r="V70" s="73"/>
      <c r="W70" s="57"/>
    </row>
    <row r="71" ht="22.5" customHeight="1">
      <c r="A71" s="57"/>
      <c r="B71" s="72"/>
      <c r="C71" s="68"/>
      <c r="D71" s="68"/>
      <c r="E71" s="68"/>
      <c r="F71" s="68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3"/>
      <c r="U71" s="71"/>
      <c r="V71" s="73"/>
      <c r="W71" s="57"/>
    </row>
    <row r="72" ht="22.5" customHeight="1">
      <c r="A72" s="57"/>
      <c r="B72" s="72"/>
      <c r="C72" s="68" t="s">
        <v>44</v>
      </c>
      <c r="D72" s="68"/>
      <c r="E72" s="68">
        <v>18.0</v>
      </c>
      <c r="F72" s="68"/>
      <c r="G72" s="68" t="s">
        <v>65</v>
      </c>
      <c r="H72" s="71"/>
      <c r="I72" s="68">
        <v>94.0</v>
      </c>
      <c r="J72" s="68"/>
      <c r="K72" s="68" t="s">
        <v>106</v>
      </c>
      <c r="L72" s="68"/>
      <c r="M72" s="68">
        <v>154.0</v>
      </c>
      <c r="N72" s="68"/>
      <c r="O72" s="68" t="s">
        <v>63</v>
      </c>
      <c r="P72" s="68"/>
      <c r="Q72" s="68">
        <v>148.0</v>
      </c>
      <c r="R72" s="68"/>
      <c r="S72" s="68" t="s">
        <v>75</v>
      </c>
      <c r="T72" s="73"/>
      <c r="U72" s="68">
        <v>198.0</v>
      </c>
      <c r="V72" s="73"/>
      <c r="W72" s="57"/>
    </row>
    <row r="73" ht="13.5" customHeight="1">
      <c r="A73" s="57"/>
      <c r="B73" s="72"/>
      <c r="C73" s="68"/>
      <c r="D73" s="68"/>
      <c r="E73" s="68"/>
      <c r="F73" s="68"/>
      <c r="G73" s="69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73"/>
      <c r="U73" s="71"/>
      <c r="V73" s="73"/>
      <c r="W73" s="57"/>
    </row>
    <row r="74" ht="22.5" customHeight="1">
      <c r="A74" s="57"/>
      <c r="B74" s="72"/>
      <c r="C74" s="68" t="s">
        <v>64</v>
      </c>
      <c r="D74" s="68"/>
      <c r="E74" s="68">
        <v>152.0</v>
      </c>
      <c r="F74" s="68"/>
      <c r="G74" s="68" t="s">
        <v>74</v>
      </c>
      <c r="H74" s="71"/>
      <c r="I74" s="68">
        <v>110.0</v>
      </c>
      <c r="J74" s="68"/>
      <c r="K74" s="68" t="s">
        <v>78</v>
      </c>
      <c r="L74" s="68"/>
      <c r="M74" s="68">
        <v>88.0</v>
      </c>
      <c r="N74" s="68"/>
      <c r="O74" s="68" t="s">
        <v>81</v>
      </c>
      <c r="P74" s="68"/>
      <c r="Q74" s="68">
        <v>102.0</v>
      </c>
      <c r="R74" s="68"/>
      <c r="S74" s="68" t="s">
        <v>52</v>
      </c>
      <c r="T74" s="73"/>
      <c r="U74" s="68">
        <v>20.0</v>
      </c>
      <c r="V74" s="73"/>
      <c r="W74" s="57"/>
    </row>
    <row r="75" ht="25.5" customHeight="1">
      <c r="A75" s="57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1"/>
      <c r="V75" s="73"/>
      <c r="W75" s="57"/>
    </row>
    <row r="76" ht="39.0" customHeight="1">
      <c r="A76" s="57"/>
      <c r="B76" s="72"/>
      <c r="C76" s="64" t="s">
        <v>164</v>
      </c>
      <c r="H76" s="64"/>
      <c r="I76" s="65" t="s">
        <v>158</v>
      </c>
      <c r="L76" s="62"/>
      <c r="M76" s="66">
        <f>average(E78,I78,M78,Q78,U78,E82,I82,M82,Q82,U82,E86,I86,M86,Q86,U86)</f>
        <v>81.46666667</v>
      </c>
      <c r="N76" s="62"/>
      <c r="O76" s="65" t="s">
        <v>159</v>
      </c>
      <c r="R76" s="62"/>
      <c r="S76" s="66">
        <f>average(E80,I80,M80,Q80,U80,E84,I84,M84,Q84,U84,E88,I88,M88,Q88,U88)</f>
        <v>111.6</v>
      </c>
      <c r="T76" s="73"/>
      <c r="U76" s="71"/>
      <c r="V76" s="73"/>
      <c r="W76" s="57"/>
    </row>
    <row r="77" ht="22.5" customHeight="1">
      <c r="A77" s="57"/>
      <c r="B77" s="72"/>
      <c r="C77" s="68"/>
      <c r="D77" s="68"/>
      <c r="E77" s="68"/>
      <c r="F77" s="68"/>
      <c r="G77" s="69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3"/>
      <c r="U77" s="71"/>
      <c r="V77" s="73"/>
      <c r="W77" s="57"/>
    </row>
    <row r="78" ht="22.5" customHeight="1">
      <c r="A78" s="57"/>
      <c r="B78" s="72"/>
      <c r="C78" s="68" t="s">
        <v>69</v>
      </c>
      <c r="D78" s="68"/>
      <c r="E78" s="68">
        <v>-4.0</v>
      </c>
      <c r="F78" s="68"/>
      <c r="G78" s="68" t="s">
        <v>92</v>
      </c>
      <c r="H78" s="71"/>
      <c r="I78" s="68">
        <v>96.0</v>
      </c>
      <c r="J78" s="68"/>
      <c r="K78" s="68" t="s">
        <v>99</v>
      </c>
      <c r="L78" s="68"/>
      <c r="M78" s="68">
        <v>66.0</v>
      </c>
      <c r="N78" s="68"/>
      <c r="O78" s="68" t="s">
        <v>106</v>
      </c>
      <c r="P78" s="68"/>
      <c r="Q78" s="68">
        <v>156.0</v>
      </c>
      <c r="R78" s="68"/>
      <c r="S78" s="68" t="s">
        <v>56</v>
      </c>
      <c r="T78" s="73"/>
      <c r="U78" s="68">
        <v>70.0</v>
      </c>
      <c r="V78" s="73"/>
      <c r="W78" s="57"/>
    </row>
    <row r="79" ht="12.75" customHeight="1">
      <c r="A79" s="57"/>
      <c r="B79" s="72"/>
      <c r="C79" s="68"/>
      <c r="D79" s="68"/>
      <c r="E79" s="68"/>
      <c r="F79" s="68"/>
      <c r="G79" s="69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73"/>
      <c r="U79" s="71"/>
      <c r="V79" s="73"/>
      <c r="W79" s="57"/>
    </row>
    <row r="80" ht="22.5" customHeight="1">
      <c r="A80" s="57"/>
      <c r="B80" s="72"/>
      <c r="C80" s="68" t="s">
        <v>40</v>
      </c>
      <c r="D80" s="68"/>
      <c r="E80" s="68">
        <v>126.0</v>
      </c>
      <c r="F80" s="68"/>
      <c r="G80" s="68" t="s">
        <v>82</v>
      </c>
      <c r="H80" s="71"/>
      <c r="I80" s="68">
        <v>58.0</v>
      </c>
      <c r="J80" s="68"/>
      <c r="K80" s="68" t="s">
        <v>93</v>
      </c>
      <c r="L80" s="68"/>
      <c r="M80" s="68">
        <v>180.0</v>
      </c>
      <c r="N80" s="68"/>
      <c r="O80" s="68" t="s">
        <v>67</v>
      </c>
      <c r="P80" s="68"/>
      <c r="Q80" s="68">
        <v>64.0</v>
      </c>
      <c r="R80" s="68"/>
      <c r="S80" s="68" t="s">
        <v>81</v>
      </c>
      <c r="T80" s="73"/>
      <c r="U80" s="68">
        <v>126.0</v>
      </c>
      <c r="V80" s="73"/>
      <c r="W80" s="57"/>
    </row>
    <row r="81" ht="22.5" customHeight="1">
      <c r="A81" s="57"/>
      <c r="B81" s="72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73"/>
      <c r="U81" s="71"/>
      <c r="V81" s="73"/>
      <c r="W81" s="57"/>
    </row>
    <row r="82" ht="22.5" customHeight="1">
      <c r="A82" s="57"/>
      <c r="B82" s="72"/>
      <c r="C82" s="68" t="s">
        <v>54</v>
      </c>
      <c r="D82" s="68"/>
      <c r="E82" s="68">
        <v>152.0</v>
      </c>
      <c r="F82" s="68"/>
      <c r="G82" s="68" t="s">
        <v>91</v>
      </c>
      <c r="H82" s="71"/>
      <c r="I82" s="68">
        <v>114.0</v>
      </c>
      <c r="J82" s="68"/>
      <c r="K82" s="68" t="s">
        <v>89</v>
      </c>
      <c r="L82" s="68"/>
      <c r="M82" s="68">
        <v>72.0</v>
      </c>
      <c r="N82" s="68"/>
      <c r="O82" s="68" t="s">
        <v>60</v>
      </c>
      <c r="P82" s="68"/>
      <c r="Q82" s="68">
        <v>94.0</v>
      </c>
      <c r="R82" s="68"/>
      <c r="S82" s="68" t="s">
        <v>75</v>
      </c>
      <c r="T82" s="73"/>
      <c r="U82" s="68">
        <v>64.0</v>
      </c>
      <c r="V82" s="73"/>
      <c r="W82" s="57"/>
    </row>
    <row r="83" ht="12.75" customHeight="1">
      <c r="A83" s="57"/>
      <c r="B83" s="72"/>
      <c r="C83" s="68"/>
      <c r="D83" s="68"/>
      <c r="E83" s="68"/>
      <c r="F83" s="68"/>
      <c r="G83" s="69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73"/>
      <c r="U83" s="71"/>
      <c r="V83" s="73"/>
      <c r="W83" s="57"/>
    </row>
    <row r="84" ht="22.5" customHeight="1">
      <c r="A84" s="57"/>
      <c r="B84" s="72"/>
      <c r="C84" s="68" t="s">
        <v>42</v>
      </c>
      <c r="D84" s="68"/>
      <c r="E84" s="68">
        <v>88.0</v>
      </c>
      <c r="F84" s="68"/>
      <c r="G84" s="68" t="s">
        <v>79</v>
      </c>
      <c r="H84" s="71"/>
      <c r="I84" s="68">
        <v>26.0</v>
      </c>
      <c r="J84" s="68"/>
      <c r="K84" s="68" t="s">
        <v>88</v>
      </c>
      <c r="L84" s="68"/>
      <c r="M84" s="68">
        <v>136.0</v>
      </c>
      <c r="N84" s="68"/>
      <c r="O84" s="68" t="s">
        <v>58</v>
      </c>
      <c r="P84" s="68"/>
      <c r="Q84" s="68">
        <v>56.0</v>
      </c>
      <c r="R84" s="68"/>
      <c r="S84" s="68" t="s">
        <v>94</v>
      </c>
      <c r="T84" s="73"/>
      <c r="U84" s="68">
        <v>142.0</v>
      </c>
      <c r="V84" s="73"/>
      <c r="W84" s="57"/>
    </row>
    <row r="85" ht="22.5" customHeight="1">
      <c r="A85" s="57"/>
      <c r="B85" s="72"/>
      <c r="C85" s="68"/>
      <c r="D85" s="68"/>
      <c r="E85" s="68"/>
      <c r="F85" s="68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3"/>
      <c r="U85" s="71"/>
      <c r="V85" s="73"/>
      <c r="W85" s="57"/>
    </row>
    <row r="86" ht="22.5" customHeight="1">
      <c r="A86" s="57"/>
      <c r="B86" s="72"/>
      <c r="C86" s="68" t="s">
        <v>44</v>
      </c>
      <c r="D86" s="68"/>
      <c r="E86" s="68">
        <v>8.0</v>
      </c>
      <c r="F86" s="68"/>
      <c r="G86" s="68" t="s">
        <v>52</v>
      </c>
      <c r="H86" s="71"/>
      <c r="I86" s="68">
        <v>46.0</v>
      </c>
      <c r="J86" s="68"/>
      <c r="K86" s="68" t="s">
        <v>64</v>
      </c>
      <c r="L86" s="68"/>
      <c r="M86" s="68">
        <v>76.0</v>
      </c>
      <c r="N86" s="68"/>
      <c r="O86" s="68" t="s">
        <v>65</v>
      </c>
      <c r="P86" s="68"/>
      <c r="Q86" s="68">
        <v>42.0</v>
      </c>
      <c r="R86" s="68"/>
      <c r="S86" s="68" t="s">
        <v>61</v>
      </c>
      <c r="T86" s="73"/>
      <c r="U86" s="68">
        <v>170.0</v>
      </c>
      <c r="V86" s="73"/>
      <c r="W86" s="57"/>
    </row>
    <row r="87" ht="12.75" customHeight="1">
      <c r="A87" s="57"/>
      <c r="B87" s="72"/>
      <c r="C87" s="68"/>
      <c r="D87" s="68"/>
      <c r="E87" s="68"/>
      <c r="F87" s="68"/>
      <c r="G87" s="69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73"/>
      <c r="U87" s="71"/>
      <c r="V87" s="73"/>
      <c r="W87" s="57"/>
    </row>
    <row r="88" ht="22.5" customHeight="1">
      <c r="A88" s="57"/>
      <c r="B88" s="72"/>
      <c r="C88" s="68" t="s">
        <v>57</v>
      </c>
      <c r="D88" s="68"/>
      <c r="E88" s="68">
        <v>200.0</v>
      </c>
      <c r="F88" s="68"/>
      <c r="G88" s="68" t="s">
        <v>74</v>
      </c>
      <c r="H88" s="71"/>
      <c r="I88" s="68">
        <v>116.0</v>
      </c>
      <c r="J88" s="68"/>
      <c r="K88" s="68" t="s">
        <v>78</v>
      </c>
      <c r="L88" s="68"/>
      <c r="M88" s="68">
        <v>68.0</v>
      </c>
      <c r="N88" s="68"/>
      <c r="O88" s="68" t="s">
        <v>63</v>
      </c>
      <c r="P88" s="68"/>
      <c r="Q88" s="68">
        <v>204.0</v>
      </c>
      <c r="R88" s="68"/>
      <c r="S88" s="68" t="s">
        <v>50</v>
      </c>
      <c r="T88" s="73"/>
      <c r="U88" s="68">
        <v>84.0</v>
      </c>
      <c r="V88" s="73"/>
      <c r="W88" s="57"/>
    </row>
    <row r="89" ht="18.0" customHeight="1">
      <c r="A89" s="57"/>
      <c r="B89" s="72"/>
      <c r="C89" s="68"/>
      <c r="D89" s="68"/>
      <c r="E89" s="68"/>
      <c r="F89" s="68"/>
      <c r="G89" s="68"/>
      <c r="H89" s="71"/>
      <c r="I89" s="71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73"/>
      <c r="U89" s="71"/>
      <c r="V89" s="73"/>
      <c r="W89" s="57"/>
    </row>
    <row r="90" ht="22.5" customHeight="1">
      <c r="A90" s="57"/>
      <c r="B90" s="57"/>
      <c r="C90" s="75"/>
      <c r="D90" s="75"/>
      <c r="E90" s="75"/>
      <c r="F90" s="75"/>
      <c r="G90" s="75"/>
      <c r="H90" s="76"/>
      <c r="I90" s="76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67"/>
      <c r="U90" s="76"/>
      <c r="V90" s="67"/>
      <c r="W90" s="57"/>
    </row>
  </sheetData>
  <mergeCells count="20">
    <mergeCell ref="B2:V2"/>
    <mergeCell ref="B3:V3"/>
    <mergeCell ref="C6:G6"/>
    <mergeCell ref="I6:K6"/>
    <mergeCell ref="O6:Q6"/>
    <mergeCell ref="I20:K20"/>
    <mergeCell ref="O20:Q20"/>
    <mergeCell ref="C62:G62"/>
    <mergeCell ref="I62:K62"/>
    <mergeCell ref="O62:Q62"/>
    <mergeCell ref="C76:G76"/>
    <mergeCell ref="I76:K76"/>
    <mergeCell ref="O76:Q76"/>
    <mergeCell ref="C20:G20"/>
    <mergeCell ref="C34:G34"/>
    <mergeCell ref="I34:K34"/>
    <mergeCell ref="O34:Q34"/>
    <mergeCell ref="C48:G48"/>
    <mergeCell ref="I48:K48"/>
    <mergeCell ref="O48:Q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min="11" max="11" width="23.13"/>
    <col customWidth="1" min="15" max="15" width="5.0"/>
  </cols>
  <sheetData>
    <row r="1">
      <c r="A1" s="33"/>
      <c r="B1" s="33"/>
      <c r="C1" s="77"/>
      <c r="D1" s="78"/>
      <c r="E1" s="78"/>
      <c r="F1" s="78"/>
      <c r="G1" s="34"/>
      <c r="H1" s="33"/>
      <c r="I1" s="33"/>
      <c r="J1" s="33"/>
      <c r="K1" s="79"/>
      <c r="L1" s="33"/>
      <c r="M1" s="33"/>
      <c r="N1" s="33"/>
      <c r="O1" s="33"/>
    </row>
    <row r="2">
      <c r="A2" s="33"/>
      <c r="B2" s="80" t="s">
        <v>165</v>
      </c>
      <c r="O2" s="33"/>
    </row>
    <row r="3">
      <c r="A3" s="33"/>
      <c r="B3" s="81" t="s">
        <v>166</v>
      </c>
      <c r="O3" s="33"/>
    </row>
    <row r="4">
      <c r="A4" s="33"/>
      <c r="B4" s="33"/>
      <c r="C4" s="82"/>
      <c r="D4" s="83"/>
      <c r="E4" s="83"/>
      <c r="F4" s="83"/>
      <c r="G4" s="38"/>
      <c r="H4" s="39"/>
      <c r="I4" s="39"/>
      <c r="J4" s="40"/>
      <c r="K4" s="84"/>
      <c r="L4" s="40"/>
      <c r="M4" s="85"/>
      <c r="N4" s="33"/>
      <c r="O4" s="33"/>
    </row>
    <row r="5">
      <c r="A5" s="85"/>
      <c r="B5" s="86"/>
      <c r="C5" s="87"/>
      <c r="D5" s="88" t="s">
        <v>167</v>
      </c>
      <c r="G5" s="86"/>
      <c r="H5" s="89" t="s">
        <v>168</v>
      </c>
      <c r="I5" s="89" t="s">
        <v>169</v>
      </c>
      <c r="J5" s="89" t="s">
        <v>170</v>
      </c>
      <c r="K5" s="90" t="s">
        <v>171</v>
      </c>
      <c r="L5" s="91" t="s">
        <v>172</v>
      </c>
      <c r="N5" s="86"/>
      <c r="O5" s="85"/>
    </row>
    <row r="6">
      <c r="A6" s="85"/>
      <c r="B6" s="86"/>
      <c r="C6" s="92" t="s">
        <v>108</v>
      </c>
      <c r="D6" s="93" t="s">
        <v>63</v>
      </c>
      <c r="G6" s="86"/>
      <c r="H6" s="35">
        <f>'Team Hub'!F175</f>
        <v>6</v>
      </c>
      <c r="I6" s="35">
        <f>'Team Hub'!H175</f>
        <v>0</v>
      </c>
      <c r="J6" s="35">
        <f>'Team Hub'!G175</f>
        <v>0</v>
      </c>
      <c r="K6" s="94">
        <f>'Team Hub'!H176</f>
        <v>812</v>
      </c>
      <c r="L6" s="95">
        <f>'Team Hub'!E176</f>
        <v>18</v>
      </c>
      <c r="N6" s="86"/>
      <c r="O6" s="85"/>
    </row>
    <row r="7">
      <c r="A7" s="85"/>
      <c r="B7" s="86"/>
      <c r="C7" s="92" t="s">
        <v>114</v>
      </c>
      <c r="D7" s="93" t="s">
        <v>93</v>
      </c>
      <c r="G7" s="86"/>
      <c r="H7" s="35">
        <f>'Team Hub'!F237</f>
        <v>6</v>
      </c>
      <c r="I7" s="35">
        <f>'Team Hub'!H237</f>
        <v>0</v>
      </c>
      <c r="J7" s="35">
        <f>'Team Hub'!G237</f>
        <v>0</v>
      </c>
      <c r="K7" s="94">
        <f>'Team Hub'!H238</f>
        <v>742</v>
      </c>
      <c r="L7" s="95">
        <f>'Team Hub'!E238</f>
        <v>18</v>
      </c>
      <c r="N7" s="86"/>
      <c r="O7" s="85"/>
    </row>
    <row r="8">
      <c r="A8" s="85"/>
      <c r="B8" s="86"/>
      <c r="C8" s="92" t="s">
        <v>117</v>
      </c>
      <c r="D8" s="93" t="s">
        <v>61</v>
      </c>
      <c r="G8" s="86"/>
      <c r="H8" s="35">
        <f>'Team Hub'!F268</f>
        <v>5</v>
      </c>
      <c r="I8" s="35">
        <f>'Team Hub'!H268</f>
        <v>0</v>
      </c>
      <c r="J8" s="35">
        <f>'Team Hub'!G268</f>
        <v>1</v>
      </c>
      <c r="K8" s="94">
        <f>'Team Hub'!H269</f>
        <v>602</v>
      </c>
      <c r="L8" s="95">
        <f>'Team Hub'!E269</f>
        <v>15</v>
      </c>
      <c r="N8" s="86"/>
      <c r="O8" s="85"/>
    </row>
    <row r="9">
      <c r="A9" s="85"/>
      <c r="B9" s="86"/>
      <c r="C9" s="92" t="s">
        <v>119</v>
      </c>
      <c r="D9" s="93" t="s">
        <v>88</v>
      </c>
      <c r="G9" s="86"/>
      <c r="H9" s="35">
        <f>'Team Hub'!T268</f>
        <v>5</v>
      </c>
      <c r="I9" s="35">
        <f>'Team Hub'!V268</f>
        <v>0</v>
      </c>
      <c r="J9" s="35">
        <f>'Team Hub'!U268</f>
        <v>1</v>
      </c>
      <c r="K9" s="94">
        <f>'Team Hub'!V269</f>
        <v>572</v>
      </c>
      <c r="L9" s="95">
        <f>'Team Hub'!S269</f>
        <v>15</v>
      </c>
      <c r="N9" s="86"/>
      <c r="O9" s="85"/>
    </row>
    <row r="10">
      <c r="A10" s="85"/>
      <c r="B10" s="86"/>
      <c r="C10" s="92" t="s">
        <v>97</v>
      </c>
      <c r="D10" s="93" t="s">
        <v>94</v>
      </c>
      <c r="G10" s="86"/>
      <c r="H10" s="35">
        <f>'Team Hub'!M82</f>
        <v>5</v>
      </c>
      <c r="I10" s="35">
        <f>'Team Hub'!O82</f>
        <v>0</v>
      </c>
      <c r="J10" s="35">
        <f>'Team Hub'!N82</f>
        <v>1</v>
      </c>
      <c r="K10" s="94">
        <f>'Team Hub'!O83</f>
        <v>428</v>
      </c>
      <c r="L10" s="95">
        <f>'Team Hub'!L83</f>
        <v>15</v>
      </c>
      <c r="N10" s="86"/>
      <c r="O10" s="85"/>
    </row>
    <row r="11">
      <c r="A11" s="85"/>
      <c r="B11" s="86"/>
      <c r="C11" s="92" t="s">
        <v>86</v>
      </c>
      <c r="D11" s="93" t="s">
        <v>54</v>
      </c>
      <c r="G11" s="86"/>
      <c r="H11" s="35">
        <f>'Team Hub'!M51</f>
        <v>5</v>
      </c>
      <c r="I11" s="35">
        <f>'Team Hub'!O51</f>
        <v>0</v>
      </c>
      <c r="J11" s="35">
        <f>'Team Hub'!N51</f>
        <v>1</v>
      </c>
      <c r="K11" s="94">
        <f>'Team Hub'!O52</f>
        <v>378</v>
      </c>
      <c r="L11" s="95">
        <f>'Team Hub'!L52</f>
        <v>15</v>
      </c>
      <c r="N11" s="86"/>
      <c r="O11" s="85"/>
    </row>
    <row r="12">
      <c r="A12" s="85"/>
      <c r="B12" s="86"/>
      <c r="C12" s="92" t="s">
        <v>116</v>
      </c>
      <c r="D12" s="93" t="s">
        <v>64</v>
      </c>
      <c r="G12" s="86"/>
      <c r="H12" s="35">
        <f>'Team Hub'!T237</f>
        <v>5</v>
      </c>
      <c r="I12" s="35">
        <f>'Team Hub'!V237</f>
        <v>0</v>
      </c>
      <c r="J12" s="35">
        <f>'Team Hub'!U237</f>
        <v>1</v>
      </c>
      <c r="K12" s="94">
        <f>'Team Hub'!V238</f>
        <v>306</v>
      </c>
      <c r="L12" s="95">
        <f>'Team Hub'!S238</f>
        <v>15</v>
      </c>
      <c r="N12" s="86"/>
      <c r="O12" s="85"/>
    </row>
    <row r="13">
      <c r="A13" s="85"/>
      <c r="B13" s="86"/>
      <c r="C13" s="92" t="s">
        <v>111</v>
      </c>
      <c r="D13" s="93" t="s">
        <v>91</v>
      </c>
      <c r="G13" s="86"/>
      <c r="H13" s="35">
        <f>'Team Hub'!F206</f>
        <v>5</v>
      </c>
      <c r="I13" s="35">
        <f>'Team Hub'!H206</f>
        <v>0</v>
      </c>
      <c r="J13" s="35">
        <f>'Team Hub'!G206</f>
        <v>1</v>
      </c>
      <c r="K13" s="94">
        <f>'Team Hub'!H207</f>
        <v>222</v>
      </c>
      <c r="L13" s="95">
        <f>'Team Hub'!E207</f>
        <v>15</v>
      </c>
      <c r="N13" s="86"/>
      <c r="O13" s="85"/>
    </row>
    <row r="14">
      <c r="A14" s="85"/>
      <c r="B14" s="86"/>
      <c r="C14" s="92" t="s">
        <v>122</v>
      </c>
      <c r="D14" s="93" t="s">
        <v>50</v>
      </c>
      <c r="G14" s="86"/>
      <c r="H14" s="35">
        <f>'Team Hub'!T299</f>
        <v>4</v>
      </c>
      <c r="I14" s="35">
        <f>'Team Hub'!V299</f>
        <v>0</v>
      </c>
      <c r="J14" s="35">
        <f>'Team Hub'!U299</f>
        <v>2</v>
      </c>
      <c r="K14" s="94">
        <f>'Team Hub'!V300</f>
        <v>274</v>
      </c>
      <c r="L14" s="6">
        <f>'Team Hub'!S300</f>
        <v>12</v>
      </c>
      <c r="N14" s="86"/>
      <c r="O14" s="85"/>
    </row>
    <row r="15">
      <c r="A15" s="85"/>
      <c r="B15" s="86"/>
      <c r="C15" s="92" t="s">
        <v>105</v>
      </c>
      <c r="D15" s="93" t="s">
        <v>106</v>
      </c>
      <c r="G15" s="86"/>
      <c r="H15" s="35">
        <f>'Team Hub'!M144</f>
        <v>4</v>
      </c>
      <c r="I15" s="35">
        <f>'Team Hub'!O144</f>
        <v>0</v>
      </c>
      <c r="J15" s="35">
        <f>'Team Hub'!N144</f>
        <v>2</v>
      </c>
      <c r="K15" s="94">
        <f>'Team Hub'!O145</f>
        <v>202</v>
      </c>
      <c r="L15" s="95">
        <f>'Team Hub'!L145</f>
        <v>12</v>
      </c>
      <c r="N15" s="86"/>
      <c r="O15" s="85"/>
    </row>
    <row r="16">
      <c r="A16" s="85"/>
      <c r="B16" s="86"/>
      <c r="C16" s="92" t="s">
        <v>41</v>
      </c>
      <c r="D16" s="93" t="s">
        <v>42</v>
      </c>
      <c r="G16" s="86"/>
      <c r="H16" s="35">
        <f>'Team Hub'!M20</f>
        <v>4</v>
      </c>
      <c r="I16" s="35">
        <f>'Team Hub'!O20</f>
        <v>0</v>
      </c>
      <c r="J16" s="35">
        <f>'Team Hub'!N20</f>
        <v>2</v>
      </c>
      <c r="K16" s="94">
        <f>'Team Hub'!O21</f>
        <v>-60</v>
      </c>
      <c r="L16" s="95">
        <f>'Team Hub'!L21</f>
        <v>12</v>
      </c>
      <c r="N16" s="86"/>
      <c r="O16" s="85"/>
    </row>
    <row r="17">
      <c r="A17" s="85"/>
      <c r="B17" s="86"/>
      <c r="C17" s="92" t="s">
        <v>102</v>
      </c>
      <c r="D17" s="93" t="s">
        <v>57</v>
      </c>
      <c r="G17" s="86"/>
      <c r="H17" s="35">
        <f>'Team Hub'!T113</f>
        <v>3</v>
      </c>
      <c r="I17" s="35">
        <f>'Team Hub'!V113</f>
        <v>0</v>
      </c>
      <c r="J17" s="35">
        <f>'Team Hub'!U113</f>
        <v>3</v>
      </c>
      <c r="K17" s="94">
        <f>'Team Hub'!V114</f>
        <v>292</v>
      </c>
      <c r="L17" s="6">
        <f>'Team Hub'!S114</f>
        <v>9</v>
      </c>
      <c r="N17" s="86"/>
      <c r="O17" s="85"/>
    </row>
    <row r="18">
      <c r="A18" s="85"/>
      <c r="B18" s="86"/>
      <c r="C18" s="92" t="s">
        <v>120</v>
      </c>
      <c r="D18" s="93" t="s">
        <v>56</v>
      </c>
      <c r="G18" s="86"/>
      <c r="H18" s="35">
        <f>'Team Hub'!F299</f>
        <v>3</v>
      </c>
      <c r="I18" s="35">
        <f>'Team Hub'!H299</f>
        <v>0</v>
      </c>
      <c r="J18" s="35">
        <f>'Team Hub'!G299</f>
        <v>3</v>
      </c>
      <c r="K18" s="94">
        <f>'Team Hub'!H300</f>
        <v>220</v>
      </c>
      <c r="L18" s="95">
        <f>'Team Hub'!E300</f>
        <v>9</v>
      </c>
      <c r="N18" s="86"/>
      <c r="O18" s="85"/>
    </row>
    <row r="19">
      <c r="A19" s="85"/>
      <c r="B19" s="86"/>
      <c r="C19" s="92" t="s">
        <v>115</v>
      </c>
      <c r="D19" s="93" t="s">
        <v>75</v>
      </c>
      <c r="G19" s="86"/>
      <c r="H19" s="35">
        <f>'Team Hub'!M237</f>
        <v>3</v>
      </c>
      <c r="I19" s="35">
        <f>'Team Hub'!O237</f>
        <v>0</v>
      </c>
      <c r="J19" s="35">
        <f>'Team Hub'!N237</f>
        <v>3</v>
      </c>
      <c r="K19" s="94">
        <f>'Team Hub'!O238</f>
        <v>108</v>
      </c>
      <c r="L19" s="95">
        <f>'Team Hub'!L238</f>
        <v>9</v>
      </c>
      <c r="N19" s="86"/>
      <c r="O19" s="85"/>
    </row>
    <row r="20">
      <c r="A20" s="85"/>
      <c r="B20" s="86"/>
      <c r="C20" s="92" t="s">
        <v>112</v>
      </c>
      <c r="D20" s="93" t="s">
        <v>81</v>
      </c>
      <c r="G20" s="86"/>
      <c r="H20" s="35">
        <f>'Team Hub'!M206</f>
        <v>3</v>
      </c>
      <c r="I20" s="35">
        <f>'Team Hub'!O206</f>
        <v>0</v>
      </c>
      <c r="J20" s="35">
        <f>'Team Hub'!N206</f>
        <v>3</v>
      </c>
      <c r="K20" s="94">
        <f>'Team Hub'!O207</f>
        <v>96</v>
      </c>
      <c r="L20" s="95">
        <f>'Team Hub'!L207</f>
        <v>9</v>
      </c>
      <c r="N20" s="86"/>
      <c r="O20" s="85"/>
    </row>
    <row r="21">
      <c r="A21" s="85"/>
      <c r="B21" s="86"/>
      <c r="C21" s="92" t="s">
        <v>113</v>
      </c>
      <c r="D21" s="93" t="s">
        <v>92</v>
      </c>
      <c r="G21" s="86"/>
      <c r="H21" s="35">
        <f>'Team Hub'!T206</f>
        <v>3</v>
      </c>
      <c r="I21" s="35">
        <f>'Team Hub'!V206</f>
        <v>0</v>
      </c>
      <c r="J21" s="35">
        <f>'Team Hub'!U206</f>
        <v>3</v>
      </c>
      <c r="K21" s="94">
        <f>'Team Hub'!V207</f>
        <v>14</v>
      </c>
      <c r="L21" s="95">
        <f>'Team Hub'!S207</f>
        <v>9</v>
      </c>
      <c r="N21" s="86"/>
      <c r="O21" s="85"/>
    </row>
    <row r="22">
      <c r="A22" s="85"/>
      <c r="B22" s="86"/>
      <c r="C22" s="92" t="s">
        <v>104</v>
      </c>
      <c r="D22" s="93" t="s">
        <v>67</v>
      </c>
      <c r="G22" s="86"/>
      <c r="H22" s="35">
        <f>'Team Hub'!F144</f>
        <v>3</v>
      </c>
      <c r="I22" s="35">
        <f>'Team Hub'!H144</f>
        <v>0</v>
      </c>
      <c r="J22" s="35">
        <f>'Team Hub'!G144</f>
        <v>3</v>
      </c>
      <c r="K22" s="94">
        <f>'Team Hub'!H145</f>
        <v>-8</v>
      </c>
      <c r="L22" s="95">
        <f>'Team Hub'!E145</f>
        <v>9</v>
      </c>
      <c r="N22" s="86"/>
      <c r="O22" s="85"/>
    </row>
    <row r="23">
      <c r="A23" s="85"/>
      <c r="B23" s="86"/>
      <c r="C23" s="92" t="s">
        <v>100</v>
      </c>
      <c r="D23" s="93" t="s">
        <v>89</v>
      </c>
      <c r="G23" s="86"/>
      <c r="H23" s="35">
        <f>'Team Hub'!F113</f>
        <v>3</v>
      </c>
      <c r="I23" s="35">
        <f>'Team Hub'!H113</f>
        <v>0</v>
      </c>
      <c r="J23" s="35">
        <f>'Team Hub'!G113</f>
        <v>3</v>
      </c>
      <c r="K23" s="94">
        <f>'Team Hub'!H114</f>
        <v>-10</v>
      </c>
      <c r="L23" s="95">
        <f>'Team Hub'!E114</f>
        <v>9</v>
      </c>
      <c r="N23" s="86"/>
      <c r="O23" s="85"/>
    </row>
    <row r="24">
      <c r="A24" s="85"/>
      <c r="B24" s="86"/>
      <c r="C24" s="92" t="s">
        <v>98</v>
      </c>
      <c r="D24" s="93" t="s">
        <v>99</v>
      </c>
      <c r="G24" s="86"/>
      <c r="H24" s="35">
        <f>'Team Hub'!T82</f>
        <v>3</v>
      </c>
      <c r="I24" s="35">
        <f>'Team Hub'!V82</f>
        <v>0</v>
      </c>
      <c r="J24" s="35">
        <f>'Team Hub'!U82</f>
        <v>3</v>
      </c>
      <c r="K24" s="94">
        <f>'Team Hub'!V83</f>
        <v>-136</v>
      </c>
      <c r="L24" s="95">
        <f>'Team Hub'!S83</f>
        <v>9</v>
      </c>
      <c r="N24" s="86"/>
      <c r="O24" s="85"/>
    </row>
    <row r="25">
      <c r="A25" s="85"/>
      <c r="B25" s="86"/>
      <c r="C25" s="92" t="s">
        <v>110</v>
      </c>
      <c r="D25" s="93" t="s">
        <v>60</v>
      </c>
      <c r="G25" s="86"/>
      <c r="H25" s="35">
        <f>'Team Hub'!T175</f>
        <v>3</v>
      </c>
      <c r="I25" s="35">
        <f>'Team Hub'!V175</f>
        <v>0</v>
      </c>
      <c r="J25" s="35">
        <f>'Team Hub'!U175</f>
        <v>3</v>
      </c>
      <c r="K25" s="94">
        <f>'Team Hub'!V176</f>
        <v>-352</v>
      </c>
      <c r="L25" s="95">
        <f>'Team Hub'!S176</f>
        <v>9</v>
      </c>
      <c r="N25" s="86"/>
      <c r="O25" s="85"/>
    </row>
    <row r="26">
      <c r="A26" s="85"/>
      <c r="B26" s="86"/>
      <c r="C26" s="92" t="s">
        <v>107</v>
      </c>
      <c r="D26" s="93" t="s">
        <v>58</v>
      </c>
      <c r="G26" s="86"/>
      <c r="H26" s="35">
        <f>'Team Hub'!T144</f>
        <v>2</v>
      </c>
      <c r="I26" s="35">
        <f>'Team Hub'!V144</f>
        <v>0</v>
      </c>
      <c r="J26" s="35">
        <f>'Team Hub'!U144</f>
        <v>4</v>
      </c>
      <c r="K26" s="94">
        <f>'Team Hub'!V145</f>
        <v>-122</v>
      </c>
      <c r="L26" s="95">
        <f>'Team Hub'!S145</f>
        <v>6</v>
      </c>
      <c r="N26" s="86"/>
      <c r="O26" s="85"/>
    </row>
    <row r="27">
      <c r="A27" s="85"/>
      <c r="B27" s="86"/>
      <c r="C27" s="92" t="s">
        <v>96</v>
      </c>
      <c r="D27" s="93" t="s">
        <v>74</v>
      </c>
      <c r="G27" s="86"/>
      <c r="H27" s="35">
        <f>'Team Hub'!F82</f>
        <v>2</v>
      </c>
      <c r="I27" s="35">
        <f>'Team Hub'!H82</f>
        <v>0</v>
      </c>
      <c r="J27" s="35">
        <f>'Team Hub'!G82</f>
        <v>4</v>
      </c>
      <c r="K27" s="94">
        <f>'Team Hub'!H83</f>
        <v>-336</v>
      </c>
      <c r="L27" s="95">
        <f>'Team Hub'!E83</f>
        <v>6</v>
      </c>
      <c r="N27" s="86"/>
      <c r="O27" s="85"/>
    </row>
    <row r="28">
      <c r="A28" s="85"/>
      <c r="B28" s="86"/>
      <c r="C28" s="92" t="s">
        <v>101</v>
      </c>
      <c r="D28" s="93" t="s">
        <v>78</v>
      </c>
      <c r="G28" s="86"/>
      <c r="H28" s="35">
        <f>'Team Hub'!M113</f>
        <v>1</v>
      </c>
      <c r="I28" s="35">
        <f>'Team Hub'!O113</f>
        <v>0</v>
      </c>
      <c r="J28" s="35">
        <f>'Team Hub'!N113</f>
        <v>5</v>
      </c>
      <c r="K28" s="94">
        <f>'Team Hub'!O114</f>
        <v>-90</v>
      </c>
      <c r="L28" s="95">
        <f>'Team Hub'!L114</f>
        <v>3</v>
      </c>
      <c r="N28" s="86"/>
      <c r="O28" s="85"/>
    </row>
    <row r="29">
      <c r="A29" s="85"/>
      <c r="B29" s="86"/>
      <c r="C29" s="96" t="s">
        <v>109</v>
      </c>
      <c r="D29" s="93" t="s">
        <v>65</v>
      </c>
      <c r="G29" s="86"/>
      <c r="H29" s="35">
        <f>'Team Hub'!M175</f>
        <v>1</v>
      </c>
      <c r="I29" s="35">
        <f>'Team Hub'!O175</f>
        <v>0</v>
      </c>
      <c r="J29" s="35">
        <f>'Team Hub'!N175</f>
        <v>5</v>
      </c>
      <c r="K29" s="94">
        <f>'Team Hub'!O176</f>
        <v>-216</v>
      </c>
      <c r="L29" s="95">
        <f>'Team Hub'!L176</f>
        <v>3</v>
      </c>
      <c r="N29" s="86"/>
      <c r="O29" s="85"/>
    </row>
    <row r="30">
      <c r="A30" s="85"/>
      <c r="B30" s="86"/>
      <c r="C30" s="92" t="s">
        <v>39</v>
      </c>
      <c r="D30" s="93" t="s">
        <v>40</v>
      </c>
      <c r="G30" s="86"/>
      <c r="H30" s="35">
        <f>'Team Hub'!F20</f>
        <v>1</v>
      </c>
      <c r="I30" s="35">
        <f>'Team Hub'!H20</f>
        <v>0</v>
      </c>
      <c r="J30" s="35">
        <f>'Team Hub'!G20</f>
        <v>5</v>
      </c>
      <c r="K30" s="94">
        <f>'Team Hub'!H21</f>
        <v>-334</v>
      </c>
      <c r="L30" s="95">
        <f>'Team Hub'!E21</f>
        <v>3</v>
      </c>
      <c r="N30" s="86"/>
      <c r="O30" s="85"/>
    </row>
    <row r="31">
      <c r="A31" s="85"/>
      <c r="B31" s="86"/>
      <c r="C31" s="92" t="s">
        <v>118</v>
      </c>
      <c r="D31" s="93" t="s">
        <v>69</v>
      </c>
      <c r="G31" s="86"/>
      <c r="H31" s="35">
        <f>'Team Hub'!M268</f>
        <v>1</v>
      </c>
      <c r="I31" s="35">
        <f>'Team Hub'!O268</f>
        <v>0</v>
      </c>
      <c r="J31" s="35">
        <f>'Team Hub'!N268</f>
        <v>5</v>
      </c>
      <c r="K31" s="94">
        <f>'Team Hub'!O269</f>
        <v>-708</v>
      </c>
      <c r="L31" s="95">
        <f>'Team Hub'!L269</f>
        <v>3</v>
      </c>
      <c r="N31" s="86"/>
      <c r="O31" s="85"/>
    </row>
    <row r="32">
      <c r="A32" s="85"/>
      <c r="B32" s="86"/>
      <c r="C32" s="92" t="s">
        <v>43</v>
      </c>
      <c r="D32" s="93" t="s">
        <v>44</v>
      </c>
      <c r="G32" s="86"/>
      <c r="H32" s="35">
        <f>'Team Hub'!T20</f>
        <v>1</v>
      </c>
      <c r="I32" s="35">
        <f>'Team Hub'!V20</f>
        <v>0</v>
      </c>
      <c r="J32" s="35">
        <f>'Team Hub'!U20</f>
        <v>5</v>
      </c>
      <c r="K32" s="94">
        <f>'Team Hub'!V21</f>
        <v>-816</v>
      </c>
      <c r="L32" s="95">
        <f>'Team Hub'!S21</f>
        <v>3</v>
      </c>
      <c r="N32" s="86"/>
      <c r="O32" s="85"/>
    </row>
    <row r="33">
      <c r="A33" s="85"/>
      <c r="B33" s="86"/>
      <c r="C33" s="92" t="s">
        <v>85</v>
      </c>
      <c r="D33" s="93" t="s">
        <v>82</v>
      </c>
      <c r="G33" s="86"/>
      <c r="H33" s="35">
        <f>'Team Hub'!F51</f>
        <v>0</v>
      </c>
      <c r="I33" s="35">
        <f>'Team Hub'!H51</f>
        <v>0</v>
      </c>
      <c r="J33" s="35">
        <f>'Team Hub'!G51</f>
        <v>6</v>
      </c>
      <c r="K33" s="94">
        <f>'Team Hub'!H52</f>
        <v>-522</v>
      </c>
      <c r="L33" s="95">
        <f>'Team Hub'!E52</f>
        <v>0</v>
      </c>
      <c r="N33" s="86"/>
      <c r="O33" s="85"/>
    </row>
    <row r="34">
      <c r="A34" s="85"/>
      <c r="B34" s="86"/>
      <c r="C34" s="92" t="s">
        <v>87</v>
      </c>
      <c r="D34" s="93" t="s">
        <v>79</v>
      </c>
      <c r="G34" s="86"/>
      <c r="H34" s="35">
        <f>'Team Hub'!T51</f>
        <v>0</v>
      </c>
      <c r="I34" s="35">
        <f>'Team Hub'!V51</f>
        <v>0</v>
      </c>
      <c r="J34" s="35">
        <f>'Team Hub'!U51</f>
        <v>6</v>
      </c>
      <c r="K34" s="94">
        <f>'Team Hub'!V52</f>
        <v>-820</v>
      </c>
      <c r="L34" s="95">
        <f>'Team Hub'!S52</f>
        <v>0</v>
      </c>
      <c r="N34" s="86"/>
      <c r="O34" s="85"/>
    </row>
    <row r="35">
      <c r="A35" s="85"/>
      <c r="B35" s="86"/>
      <c r="C35" s="92" t="s">
        <v>121</v>
      </c>
      <c r="D35" s="93" t="s">
        <v>52</v>
      </c>
      <c r="G35" s="86"/>
      <c r="H35" s="35">
        <f>'Team Hub'!M299</f>
        <v>0</v>
      </c>
      <c r="I35" s="35">
        <f>'Team Hub'!O299</f>
        <v>0</v>
      </c>
      <c r="J35" s="35">
        <f>'Team Hub'!N299</f>
        <v>6</v>
      </c>
      <c r="K35" s="94">
        <f>'Team Hub'!O300</f>
        <v>-822</v>
      </c>
      <c r="L35" s="95">
        <f>'Team Hub'!L300</f>
        <v>0</v>
      </c>
      <c r="N35" s="86"/>
      <c r="O35" s="85"/>
    </row>
    <row r="36">
      <c r="A36" s="85"/>
      <c r="B36" s="86"/>
      <c r="C36" s="97"/>
      <c r="D36" s="98"/>
      <c r="E36" s="98"/>
      <c r="F36" s="98"/>
      <c r="G36" s="86"/>
      <c r="H36" s="86"/>
      <c r="I36" s="86"/>
      <c r="J36" s="86"/>
      <c r="K36" s="99"/>
      <c r="L36" s="86"/>
      <c r="M36" s="86"/>
      <c r="N36" s="86"/>
      <c r="O36" s="85"/>
    </row>
    <row r="37">
      <c r="A37" s="85"/>
      <c r="B37" s="86"/>
      <c r="C37" s="97"/>
      <c r="D37" s="98"/>
      <c r="E37" s="98"/>
      <c r="F37" s="98"/>
      <c r="G37" s="86"/>
      <c r="H37" s="86"/>
      <c r="I37" s="86"/>
      <c r="J37" s="86"/>
      <c r="K37" s="99"/>
      <c r="L37" s="86"/>
      <c r="M37" s="86"/>
      <c r="N37" s="86"/>
      <c r="O37" s="85"/>
    </row>
    <row r="38">
      <c r="A38" s="85"/>
      <c r="B38" s="85"/>
      <c r="C38" s="100"/>
      <c r="D38" s="101"/>
      <c r="E38" s="101"/>
      <c r="F38" s="101"/>
      <c r="G38" s="85"/>
      <c r="H38" s="85"/>
      <c r="I38" s="85"/>
      <c r="J38" s="85"/>
      <c r="K38" s="102"/>
      <c r="L38" s="85"/>
      <c r="M38" s="85"/>
      <c r="N38" s="85"/>
      <c r="O38" s="85"/>
    </row>
  </sheetData>
  <mergeCells count="64">
    <mergeCell ref="L29:M29"/>
    <mergeCell ref="L30:M30"/>
    <mergeCell ref="L22:M22"/>
    <mergeCell ref="L23:M23"/>
    <mergeCell ref="L24:M24"/>
    <mergeCell ref="L25:M25"/>
    <mergeCell ref="L26:M26"/>
    <mergeCell ref="L27:M27"/>
    <mergeCell ref="L28:M28"/>
    <mergeCell ref="B2:N2"/>
    <mergeCell ref="B3:N3"/>
    <mergeCell ref="D5:F5"/>
    <mergeCell ref="L5:M5"/>
    <mergeCell ref="D6:F6"/>
    <mergeCell ref="L6:M6"/>
    <mergeCell ref="L7:M7"/>
    <mergeCell ref="D7:F7"/>
    <mergeCell ref="D8:F8"/>
    <mergeCell ref="D9:F9"/>
    <mergeCell ref="D10:F10"/>
    <mergeCell ref="D11:F11"/>
    <mergeCell ref="D12:F12"/>
    <mergeCell ref="D13:F13"/>
    <mergeCell ref="L8:M8"/>
    <mergeCell ref="L9:M9"/>
    <mergeCell ref="L10:M10"/>
    <mergeCell ref="L11:M11"/>
    <mergeCell ref="L12:M12"/>
    <mergeCell ref="L13:M13"/>
    <mergeCell ref="L14:M14"/>
    <mergeCell ref="D14:F14"/>
    <mergeCell ref="D15:F15"/>
    <mergeCell ref="D16:F16"/>
    <mergeCell ref="D17:F17"/>
    <mergeCell ref="D18:F18"/>
    <mergeCell ref="D19:F19"/>
    <mergeCell ref="D20:F20"/>
    <mergeCell ref="D28:F28"/>
    <mergeCell ref="D29:F29"/>
    <mergeCell ref="D30:F30"/>
    <mergeCell ref="D31:F31"/>
    <mergeCell ref="D32:F32"/>
    <mergeCell ref="D33:F33"/>
    <mergeCell ref="D34:F34"/>
    <mergeCell ref="D35:F35"/>
    <mergeCell ref="D21:F21"/>
    <mergeCell ref="D22:F22"/>
    <mergeCell ref="D23:F23"/>
    <mergeCell ref="D24:F24"/>
    <mergeCell ref="D25:F25"/>
    <mergeCell ref="D26:F26"/>
    <mergeCell ref="D27:F27"/>
    <mergeCell ref="L31:M31"/>
    <mergeCell ref="L32:M32"/>
    <mergeCell ref="L33:M33"/>
    <mergeCell ref="L34:M34"/>
    <mergeCell ref="L35:M35"/>
    <mergeCell ref="L15:M15"/>
    <mergeCell ref="L16:M16"/>
    <mergeCell ref="L17:M17"/>
    <mergeCell ref="L18:M18"/>
    <mergeCell ref="L19:M19"/>
    <mergeCell ref="L20:M20"/>
    <mergeCell ref="L21:M21"/>
  </mergeCells>
  <conditionalFormatting sqref="I1 I4">
    <cfRule type="cellIs" dxfId="0" priority="1" operator="greaterThan">
      <formula>0</formula>
    </cfRule>
  </conditionalFormatting>
  <conditionalFormatting sqref="I1 I4">
    <cfRule type="cellIs" dxfId="1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.13"/>
    <col customWidth="1" min="3" max="3" width="5.25"/>
    <col customWidth="1" min="4" max="4" width="36.13"/>
    <col customWidth="1" min="5" max="5" width="8.0"/>
    <col customWidth="1" min="6" max="6" width="5.38"/>
    <col customWidth="1" min="7" max="7" width="36.63"/>
    <col customWidth="1" min="8" max="8" width="8.38"/>
    <col customWidth="1" min="9" max="9" width="6.0"/>
    <col customWidth="1" min="10" max="10" width="37.38"/>
    <col customWidth="1" min="11" max="11" width="3.88"/>
    <col customWidth="1" min="12" max="12" width="4.5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66.0" customHeight="1">
      <c r="A2" s="1"/>
      <c r="B2" s="80" t="s">
        <v>173</v>
      </c>
      <c r="L2" s="1"/>
    </row>
    <row r="3" ht="18.0" customHeight="1">
      <c r="A3" s="1"/>
      <c r="B3" s="103" t="s">
        <v>174</v>
      </c>
      <c r="L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9.5" customHeight="1">
      <c r="A5" s="1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"/>
    </row>
    <row r="6">
      <c r="A6" s="105"/>
      <c r="B6" s="106"/>
      <c r="C6" s="107"/>
      <c r="D6" s="108" t="s">
        <v>175</v>
      </c>
      <c r="E6" s="109"/>
      <c r="F6" s="107"/>
      <c r="G6" s="110" t="s">
        <v>176</v>
      </c>
      <c r="H6" s="109"/>
      <c r="I6" s="107"/>
      <c r="J6" s="111" t="s">
        <v>177</v>
      </c>
      <c r="K6" s="106"/>
      <c r="L6" s="105"/>
    </row>
    <row r="7">
      <c r="A7" s="1"/>
      <c r="B7" s="104"/>
      <c r="C7" s="112">
        <v>1.0</v>
      </c>
      <c r="D7" s="112" t="s">
        <v>63</v>
      </c>
      <c r="E7" s="109"/>
      <c r="F7" s="112">
        <v>1.0</v>
      </c>
      <c r="G7" s="112" t="s">
        <v>54</v>
      </c>
      <c r="H7" s="109"/>
      <c r="I7" s="112">
        <v>1.0</v>
      </c>
      <c r="J7" s="112" t="s">
        <v>42</v>
      </c>
      <c r="K7" s="104"/>
      <c r="L7" s="1"/>
    </row>
    <row r="8">
      <c r="A8" s="1"/>
      <c r="B8" s="104"/>
      <c r="C8" s="112">
        <v>2.0</v>
      </c>
      <c r="D8" s="112" t="s">
        <v>93</v>
      </c>
      <c r="E8" s="109"/>
      <c r="F8" s="112">
        <v>2.0</v>
      </c>
      <c r="G8" s="112" t="s">
        <v>64</v>
      </c>
      <c r="H8" s="109"/>
      <c r="I8" s="112">
        <v>2.0</v>
      </c>
      <c r="J8" s="112" t="s">
        <v>57</v>
      </c>
      <c r="K8" s="104"/>
      <c r="L8" s="1"/>
    </row>
    <row r="9">
      <c r="A9" s="1"/>
      <c r="B9" s="104"/>
      <c r="C9" s="112">
        <v>3.0</v>
      </c>
      <c r="D9" s="113" t="s">
        <v>61</v>
      </c>
      <c r="E9" s="109"/>
      <c r="F9" s="112">
        <v>3.0</v>
      </c>
      <c r="G9" s="112" t="s">
        <v>91</v>
      </c>
      <c r="H9" s="109"/>
      <c r="I9" s="112">
        <v>3.0</v>
      </c>
      <c r="J9" s="112" t="s">
        <v>56</v>
      </c>
      <c r="K9" s="104"/>
      <c r="L9" s="1"/>
    </row>
    <row r="10">
      <c r="A10" s="1"/>
      <c r="B10" s="104"/>
      <c r="C10" s="112">
        <v>4.0</v>
      </c>
      <c r="D10" s="112" t="s">
        <v>88</v>
      </c>
      <c r="E10" s="109"/>
      <c r="F10" s="112">
        <v>4.0</v>
      </c>
      <c r="G10" s="112" t="s">
        <v>50</v>
      </c>
      <c r="H10" s="109"/>
      <c r="I10" s="112">
        <v>4.0</v>
      </c>
      <c r="J10" s="112" t="s">
        <v>75</v>
      </c>
      <c r="K10" s="104"/>
      <c r="L10" s="1"/>
    </row>
    <row r="11">
      <c r="A11" s="1"/>
      <c r="B11" s="104"/>
      <c r="C11" s="112">
        <v>5.0</v>
      </c>
      <c r="D11" s="112" t="s">
        <v>94</v>
      </c>
      <c r="E11" s="109"/>
      <c r="F11" s="112">
        <v>5.0</v>
      </c>
      <c r="G11" s="112" t="s">
        <v>106</v>
      </c>
      <c r="H11" s="109"/>
      <c r="I11" s="112">
        <v>5.0</v>
      </c>
      <c r="J11" s="112" t="s">
        <v>81</v>
      </c>
      <c r="K11" s="104"/>
      <c r="L11" s="1"/>
    </row>
    <row r="12" ht="30.75" customHeight="1">
      <c r="A12" s="1"/>
      <c r="B12" s="104"/>
      <c r="C12" s="109"/>
      <c r="D12" s="109"/>
      <c r="E12" s="109"/>
      <c r="F12" s="109"/>
      <c r="G12" s="109"/>
      <c r="H12" s="109"/>
      <c r="I12" s="109"/>
      <c r="J12" s="109"/>
      <c r="K12" s="104"/>
      <c r="L12" s="1"/>
    </row>
    <row r="13">
      <c r="A13" s="105"/>
      <c r="B13" s="106"/>
      <c r="C13" s="107"/>
      <c r="D13" s="114" t="s">
        <v>178</v>
      </c>
      <c r="E13" s="109"/>
      <c r="F13" s="107"/>
      <c r="G13" s="115" t="s">
        <v>179</v>
      </c>
      <c r="H13" s="109"/>
      <c r="I13" s="107"/>
      <c r="J13" s="116" t="s">
        <v>180</v>
      </c>
      <c r="K13" s="106"/>
      <c r="L13" s="105"/>
    </row>
    <row r="14">
      <c r="A14" s="1"/>
      <c r="B14" s="104"/>
      <c r="C14" s="112">
        <v>1.0</v>
      </c>
      <c r="D14" s="112" t="s">
        <v>92</v>
      </c>
      <c r="E14" s="109"/>
      <c r="F14" s="112">
        <v>1.0</v>
      </c>
      <c r="G14" s="112" t="s">
        <v>58</v>
      </c>
      <c r="H14" s="109"/>
      <c r="I14" s="112">
        <v>1.0</v>
      </c>
      <c r="J14" s="117" t="s">
        <v>181</v>
      </c>
      <c r="K14" s="104"/>
      <c r="L14" s="1"/>
    </row>
    <row r="15">
      <c r="A15" s="1"/>
      <c r="B15" s="104"/>
      <c r="C15" s="112">
        <v>2.0</v>
      </c>
      <c r="D15" s="112" t="s">
        <v>67</v>
      </c>
      <c r="E15" s="109"/>
      <c r="F15" s="112">
        <v>2.0</v>
      </c>
      <c r="G15" s="112" t="s">
        <v>74</v>
      </c>
      <c r="H15" s="109"/>
      <c r="I15" s="112">
        <v>2.0</v>
      </c>
      <c r="J15" s="112" t="s">
        <v>44</v>
      </c>
      <c r="K15" s="104"/>
      <c r="L15" s="1"/>
    </row>
    <row r="16">
      <c r="A16" s="1"/>
      <c r="B16" s="104"/>
      <c r="C16" s="112">
        <v>3.0</v>
      </c>
      <c r="D16" s="112" t="s">
        <v>89</v>
      </c>
      <c r="E16" s="109"/>
      <c r="F16" s="112">
        <v>3.0</v>
      </c>
      <c r="G16" s="112" t="s">
        <v>78</v>
      </c>
      <c r="H16" s="109"/>
      <c r="I16" s="112">
        <v>3.0</v>
      </c>
      <c r="J16" s="112" t="s">
        <v>82</v>
      </c>
      <c r="K16" s="104"/>
      <c r="L16" s="1"/>
    </row>
    <row r="17">
      <c r="A17" s="1"/>
      <c r="B17" s="104"/>
      <c r="C17" s="112">
        <v>4.0</v>
      </c>
      <c r="D17" s="112" t="s">
        <v>99</v>
      </c>
      <c r="E17" s="109"/>
      <c r="F17" s="112">
        <v>4.0</v>
      </c>
      <c r="G17" s="112" t="s">
        <v>65</v>
      </c>
      <c r="H17" s="109"/>
      <c r="I17" s="112">
        <v>4.0</v>
      </c>
      <c r="J17" s="112" t="s">
        <v>79</v>
      </c>
      <c r="K17" s="104"/>
      <c r="L17" s="1"/>
    </row>
    <row r="18">
      <c r="A18" s="1"/>
      <c r="B18" s="104"/>
      <c r="C18" s="112">
        <v>5.0</v>
      </c>
      <c r="D18" s="112" t="s">
        <v>60</v>
      </c>
      <c r="E18" s="109"/>
      <c r="F18" s="112">
        <v>5.0</v>
      </c>
      <c r="G18" s="112" t="s">
        <v>40</v>
      </c>
      <c r="H18" s="109"/>
      <c r="I18" s="112">
        <v>5.0</v>
      </c>
      <c r="J18" s="112" t="s">
        <v>52</v>
      </c>
      <c r="K18" s="104"/>
      <c r="L18" s="1"/>
    </row>
    <row r="19" ht="21.75" customHeight="1">
      <c r="A19" s="1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"/>
    </row>
    <row r="20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2">
    <mergeCell ref="B2:K2"/>
    <mergeCell ref="B3:K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.88"/>
    <col customWidth="1" min="3" max="9" width="13.0"/>
    <col customWidth="1" min="10" max="10" width="3.88"/>
    <col customWidth="1" min="11" max="17" width="13.5"/>
    <col customWidth="1" min="18" max="18" width="4.63"/>
    <col customWidth="1" min="19" max="19" width="4.13"/>
  </cols>
  <sheetData>
    <row r="1" ht="21.0" customHeight="1">
      <c r="A1" s="85"/>
      <c r="B1" s="85"/>
      <c r="C1" s="118"/>
      <c r="D1" s="85"/>
      <c r="E1" s="85"/>
      <c r="F1" s="85"/>
      <c r="G1" s="85"/>
      <c r="H1" s="85"/>
      <c r="I1" s="85"/>
      <c r="J1" s="85"/>
      <c r="K1" s="118"/>
      <c r="L1" s="85"/>
      <c r="M1" s="85"/>
      <c r="N1" s="85"/>
      <c r="O1" s="85"/>
      <c r="P1" s="85"/>
      <c r="Q1" s="85"/>
      <c r="R1" s="85"/>
      <c r="S1" s="85"/>
    </row>
    <row r="2">
      <c r="A2" s="85"/>
      <c r="B2" s="80" t="s">
        <v>182</v>
      </c>
      <c r="S2" s="85"/>
    </row>
    <row r="3" ht="23.25" customHeight="1">
      <c r="A3" s="85"/>
      <c r="B3" s="61" t="s">
        <v>183</v>
      </c>
      <c r="S3" s="85"/>
    </row>
    <row r="4" ht="23.25" customHeight="1">
      <c r="A4" s="85"/>
      <c r="B4" s="85"/>
      <c r="C4" s="118"/>
      <c r="D4" s="85"/>
      <c r="E4" s="85"/>
      <c r="F4" s="85"/>
      <c r="G4" s="85"/>
      <c r="H4" s="85"/>
      <c r="I4" s="85"/>
      <c r="J4" s="85"/>
      <c r="K4" s="118"/>
      <c r="L4" s="85"/>
      <c r="M4" s="85"/>
      <c r="N4" s="85"/>
      <c r="O4" s="85"/>
      <c r="P4" s="85"/>
      <c r="Q4" s="85"/>
      <c r="R4" s="85"/>
      <c r="S4" s="85"/>
    </row>
    <row r="5" ht="17.25" customHeight="1">
      <c r="A5" s="85"/>
      <c r="B5" s="35"/>
      <c r="C5" s="119"/>
      <c r="D5" s="35"/>
      <c r="E5" s="35"/>
      <c r="F5" s="35"/>
      <c r="G5" s="35"/>
      <c r="H5" s="35"/>
      <c r="I5" s="35"/>
      <c r="J5" s="35"/>
      <c r="K5" s="119"/>
      <c r="L5" s="35"/>
      <c r="M5" s="35"/>
      <c r="N5" s="35"/>
      <c r="O5" s="35"/>
      <c r="P5" s="35"/>
      <c r="Q5" s="35"/>
      <c r="R5" s="35"/>
      <c r="S5" s="40"/>
    </row>
    <row r="6">
      <c r="A6" s="120"/>
      <c r="B6" s="35"/>
      <c r="C6" s="121" t="s">
        <v>175</v>
      </c>
      <c r="D6" s="122"/>
      <c r="E6" s="122"/>
      <c r="F6" s="122"/>
      <c r="G6" s="122"/>
      <c r="H6" s="122"/>
      <c r="I6" s="123"/>
      <c r="J6" s="35"/>
      <c r="K6" s="124" t="s">
        <v>176</v>
      </c>
      <c r="L6" s="122"/>
      <c r="M6" s="122"/>
      <c r="N6" s="122"/>
      <c r="O6" s="122"/>
      <c r="P6" s="122"/>
      <c r="Q6" s="123"/>
      <c r="R6" s="35"/>
      <c r="S6" s="40"/>
    </row>
    <row r="7">
      <c r="A7" s="118"/>
      <c r="B7" s="119"/>
      <c r="C7" s="125">
        <f>sum(D8:H12)</f>
        <v>1896</v>
      </c>
      <c r="D7" s="126" t="str">
        <f>C8</f>
        <v>Amador Valley</v>
      </c>
      <c r="E7" s="127" t="str">
        <f>C9</f>
        <v>Lynbrook</v>
      </c>
      <c r="F7" s="127" t="str">
        <f>C10</f>
        <v>Interlake</v>
      </c>
      <c r="G7" s="128" t="str">
        <f>C11</f>
        <v>TJHSST</v>
      </c>
      <c r="H7" s="128" t="str">
        <f>C12</f>
        <v>Canyon Crest</v>
      </c>
      <c r="I7" s="129" t="s">
        <v>184</v>
      </c>
      <c r="J7" s="119"/>
      <c r="K7" s="130">
        <f>sum(L8:P12)</f>
        <v>1474</v>
      </c>
      <c r="L7" s="131" t="str">
        <f>K8</f>
        <v>Ward Melville</v>
      </c>
      <c r="M7" s="131" t="str">
        <f>K9</f>
        <v>Blair</v>
      </c>
      <c r="N7" s="131" t="str">
        <f>K10</f>
        <v>Arcadia</v>
      </c>
      <c r="O7" s="131" t="str">
        <f>K11</f>
        <v>Frazer</v>
      </c>
      <c r="P7" s="131" t="str">
        <f>K12</f>
        <v>MSJ</v>
      </c>
      <c r="Q7" s="132" t="s">
        <v>184</v>
      </c>
      <c r="R7" s="119"/>
      <c r="S7" s="133"/>
    </row>
    <row r="8">
      <c r="A8" s="85"/>
      <c r="B8" s="35"/>
      <c r="C8" s="134" t="str">
        <f>'Playoff Groups'!D7</f>
        <v>Amador Valley</v>
      </c>
      <c r="D8" s="133"/>
      <c r="E8" s="135">
        <v>88.0</v>
      </c>
      <c r="F8" s="135">
        <v>124.0</v>
      </c>
      <c r="G8" s="135">
        <v>110.0</v>
      </c>
      <c r="H8" s="135">
        <v>84.0</v>
      </c>
      <c r="I8" s="136">
        <f t="shared" ref="I8:I12" si="1">sum(D8:H8)</f>
        <v>406</v>
      </c>
      <c r="J8" s="119"/>
      <c r="K8" s="137" t="str">
        <f>'Playoff Groups'!G7</f>
        <v>Ward Melville</v>
      </c>
      <c r="L8" s="133"/>
      <c r="M8" s="135">
        <v>18.0</v>
      </c>
      <c r="N8" s="135">
        <v>110.0</v>
      </c>
      <c r="O8" s="135">
        <v>58.0</v>
      </c>
      <c r="P8" s="135">
        <v>92.0</v>
      </c>
      <c r="Q8" s="136">
        <f t="shared" ref="Q8:Q12" si="2">sum(L8:P8)</f>
        <v>278</v>
      </c>
      <c r="R8" s="35"/>
      <c r="S8" s="40"/>
    </row>
    <row r="9">
      <c r="A9" s="85"/>
      <c r="B9" s="35"/>
      <c r="C9" s="134" t="str">
        <f>'Playoff Groups'!D8</f>
        <v>Lynbrook</v>
      </c>
      <c r="D9" s="135">
        <v>154.0</v>
      </c>
      <c r="E9" s="133"/>
      <c r="F9" s="135">
        <v>72.0</v>
      </c>
      <c r="G9" s="135">
        <v>120.0</v>
      </c>
      <c r="H9" s="135">
        <v>144.0</v>
      </c>
      <c r="I9" s="136">
        <f t="shared" si="1"/>
        <v>490</v>
      </c>
      <c r="J9" s="119"/>
      <c r="K9" s="138" t="str">
        <f>'Playoff Groups'!G8</f>
        <v>Blair</v>
      </c>
      <c r="L9" s="135">
        <v>116.0</v>
      </c>
      <c r="M9" s="133"/>
      <c r="N9" s="135">
        <v>32.0</v>
      </c>
      <c r="O9" s="135">
        <v>48.0</v>
      </c>
      <c r="P9" s="135">
        <v>54.0</v>
      </c>
      <c r="Q9" s="136">
        <f t="shared" si="2"/>
        <v>250</v>
      </c>
      <c r="R9" s="35"/>
      <c r="S9" s="40"/>
    </row>
    <row r="10">
      <c r="A10" s="85"/>
      <c r="B10" s="35"/>
      <c r="C10" s="134" t="str">
        <f>'Playoff Groups'!D9</f>
        <v>Interlake</v>
      </c>
      <c r="D10" s="135">
        <v>130.0</v>
      </c>
      <c r="E10" s="135">
        <v>82.0</v>
      </c>
      <c r="F10" s="133"/>
      <c r="G10" s="135">
        <v>98.0</v>
      </c>
      <c r="H10" s="135">
        <v>96.0</v>
      </c>
      <c r="I10" s="136">
        <f t="shared" si="1"/>
        <v>406</v>
      </c>
      <c r="J10" s="119"/>
      <c r="K10" s="138" t="str">
        <f>'Playoff Groups'!G9</f>
        <v>Arcadia</v>
      </c>
      <c r="L10" s="135">
        <v>80.0</v>
      </c>
      <c r="M10" s="135">
        <v>34.0</v>
      </c>
      <c r="N10" s="133"/>
      <c r="O10" s="135">
        <v>-6.0</v>
      </c>
      <c r="P10" s="135">
        <v>26.0</v>
      </c>
      <c r="Q10" s="136">
        <f t="shared" si="2"/>
        <v>134</v>
      </c>
      <c r="R10" s="35"/>
      <c r="S10" s="40"/>
    </row>
    <row r="11">
      <c r="A11" s="85"/>
      <c r="B11" s="35"/>
      <c r="C11" s="134" t="str">
        <f>'Playoff Groups'!D10</f>
        <v>TJHSST</v>
      </c>
      <c r="D11" s="135">
        <v>34.0</v>
      </c>
      <c r="E11" s="135">
        <v>70.0</v>
      </c>
      <c r="F11" s="135">
        <v>106.0</v>
      </c>
      <c r="G11" s="133"/>
      <c r="H11" s="135">
        <v>76.0</v>
      </c>
      <c r="I11" s="136">
        <f t="shared" si="1"/>
        <v>286</v>
      </c>
      <c r="J11" s="119"/>
      <c r="K11" s="138" t="str">
        <f>'Playoff Groups'!G10</f>
        <v>Frazer</v>
      </c>
      <c r="L11" s="135">
        <v>144.0</v>
      </c>
      <c r="M11" s="135">
        <v>74.0</v>
      </c>
      <c r="N11" s="135">
        <v>160.0</v>
      </c>
      <c r="O11" s="133"/>
      <c r="P11" s="135">
        <v>114.0</v>
      </c>
      <c r="Q11" s="136">
        <f t="shared" si="2"/>
        <v>492</v>
      </c>
      <c r="R11" s="35"/>
      <c r="S11" s="40"/>
    </row>
    <row r="12">
      <c r="A12" s="85"/>
      <c r="B12" s="35"/>
      <c r="C12" s="134" t="str">
        <f>'Playoff Groups'!D11</f>
        <v>Canyon Crest</v>
      </c>
      <c r="D12" s="135">
        <v>82.0</v>
      </c>
      <c r="E12" s="135">
        <v>74.0</v>
      </c>
      <c r="F12" s="135">
        <v>78.0</v>
      </c>
      <c r="G12" s="135">
        <v>74.0</v>
      </c>
      <c r="H12" s="133"/>
      <c r="I12" s="136">
        <f t="shared" si="1"/>
        <v>308</v>
      </c>
      <c r="J12" s="119"/>
      <c r="K12" s="138" t="s">
        <v>95</v>
      </c>
      <c r="L12" s="135">
        <v>86.0</v>
      </c>
      <c r="M12" s="135">
        <v>82.0</v>
      </c>
      <c r="N12" s="135">
        <v>98.0</v>
      </c>
      <c r="O12" s="135">
        <v>54.0</v>
      </c>
      <c r="P12" s="133"/>
      <c r="Q12" s="136">
        <f t="shared" si="2"/>
        <v>320</v>
      </c>
      <c r="R12" s="35"/>
      <c r="S12" s="40"/>
    </row>
    <row r="13">
      <c r="A13" s="85"/>
      <c r="B13" s="35"/>
      <c r="C13" s="139" t="s">
        <v>47</v>
      </c>
      <c r="D13" s="140">
        <f t="shared" ref="D13:H13" si="3">sum(D8:D12)</f>
        <v>400</v>
      </c>
      <c r="E13" s="140">
        <f t="shared" si="3"/>
        <v>314</v>
      </c>
      <c r="F13" s="140">
        <f t="shared" si="3"/>
        <v>380</v>
      </c>
      <c r="G13" s="140">
        <f t="shared" si="3"/>
        <v>402</v>
      </c>
      <c r="H13" s="140">
        <f t="shared" si="3"/>
        <v>400</v>
      </c>
      <c r="I13" s="141"/>
      <c r="J13" s="119"/>
      <c r="K13" s="142" t="s">
        <v>47</v>
      </c>
      <c r="L13" s="140">
        <f t="shared" ref="L13:P13" si="4">sum(L8:L12)</f>
        <v>426</v>
      </c>
      <c r="M13" s="140">
        <f t="shared" si="4"/>
        <v>208</v>
      </c>
      <c r="N13" s="140">
        <f t="shared" si="4"/>
        <v>400</v>
      </c>
      <c r="O13" s="140">
        <f t="shared" si="4"/>
        <v>154</v>
      </c>
      <c r="P13" s="140">
        <f t="shared" si="4"/>
        <v>286</v>
      </c>
      <c r="Q13" s="141"/>
      <c r="R13" s="35"/>
      <c r="S13" s="40"/>
    </row>
    <row r="14" ht="21.75" customHeight="1">
      <c r="A14" s="85"/>
      <c r="B14" s="35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35"/>
      <c r="S14" s="40"/>
    </row>
    <row r="15">
      <c r="A15" s="120"/>
      <c r="B15" s="35"/>
      <c r="C15" s="143" t="s">
        <v>177</v>
      </c>
      <c r="D15" s="122"/>
      <c r="E15" s="122"/>
      <c r="F15" s="122"/>
      <c r="G15" s="122"/>
      <c r="H15" s="122"/>
      <c r="I15" s="123"/>
      <c r="J15" s="119"/>
      <c r="K15" s="144" t="s">
        <v>178</v>
      </c>
      <c r="L15" s="122"/>
      <c r="M15" s="122"/>
      <c r="N15" s="122"/>
      <c r="O15" s="122"/>
      <c r="P15" s="122"/>
      <c r="Q15" s="123"/>
      <c r="R15" s="35"/>
      <c r="S15" s="40"/>
    </row>
    <row r="16">
      <c r="A16" s="118"/>
      <c r="B16" s="119"/>
      <c r="C16" s="145">
        <f>sum(D17:H21)</f>
        <v>1648</v>
      </c>
      <c r="D16" s="128" t="str">
        <f>C17</f>
        <v>Palo Alto</v>
      </c>
      <c r="E16" s="128" t="str">
        <f>C18</f>
        <v>Mira Loma</v>
      </c>
      <c r="F16" s="128" t="str">
        <f>C19</f>
        <v>ASFA</v>
      </c>
      <c r="G16" s="128" t="str">
        <f>C20</f>
        <v>Saratoga</v>
      </c>
      <c r="H16" s="128" t="str">
        <f>C21</f>
        <v>University</v>
      </c>
      <c r="I16" s="129" t="s">
        <v>184</v>
      </c>
      <c r="J16" s="119"/>
      <c r="K16" s="145">
        <f>sum(L17:P21)</f>
        <v>1394</v>
      </c>
      <c r="L16" s="131" t="str">
        <f>K17</f>
        <v>Foothill</v>
      </c>
      <c r="M16" s="131" t="str">
        <f>K18</f>
        <v>Lakeside</v>
      </c>
      <c r="N16" s="131" t="str">
        <f>K19</f>
        <v>Wayzata</v>
      </c>
      <c r="O16" s="131" t="str">
        <f>K20</f>
        <v>WWPS</v>
      </c>
      <c r="P16" s="131" t="str">
        <f>K21</f>
        <v>Stuyvesant</v>
      </c>
      <c r="Q16" s="132" t="s">
        <v>184</v>
      </c>
      <c r="R16" s="119"/>
      <c r="S16" s="133"/>
    </row>
    <row r="17">
      <c r="A17" s="85"/>
      <c r="B17" s="35"/>
      <c r="C17" s="134" t="str">
        <f>'Playoff Groups'!J7</f>
        <v>Palo Alto</v>
      </c>
      <c r="D17" s="133"/>
      <c r="E17" s="135">
        <v>94.0</v>
      </c>
      <c r="F17" s="135">
        <v>58.0</v>
      </c>
      <c r="G17" s="135">
        <v>58.0</v>
      </c>
      <c r="H17" s="135">
        <v>88.0</v>
      </c>
      <c r="I17" s="136">
        <f t="shared" ref="I17:I21" si="5">sum(D17:H17)</f>
        <v>298</v>
      </c>
      <c r="J17" s="119"/>
      <c r="K17" s="138" t="str">
        <f>'Playoff Groups'!D14</f>
        <v>Foothill</v>
      </c>
      <c r="L17" s="133"/>
      <c r="M17" s="135">
        <v>42.0</v>
      </c>
      <c r="N17" s="135">
        <v>64.0</v>
      </c>
      <c r="O17" s="135">
        <v>22.0</v>
      </c>
      <c r="P17" s="135">
        <v>42.0</v>
      </c>
      <c r="Q17" s="136">
        <f t="shared" ref="Q17:Q21" si="6">sum(L17:P17)</f>
        <v>170</v>
      </c>
      <c r="R17" s="35"/>
      <c r="S17" s="40"/>
    </row>
    <row r="18">
      <c r="A18" s="85"/>
      <c r="B18" s="35"/>
      <c r="C18" s="134" t="str">
        <f>'Playoff Groups'!J8</f>
        <v>Mira Loma</v>
      </c>
      <c r="D18" s="135">
        <v>108.0</v>
      </c>
      <c r="E18" s="133"/>
      <c r="F18" s="135">
        <v>42.0</v>
      </c>
      <c r="G18" s="135">
        <v>102.0</v>
      </c>
      <c r="H18" s="135">
        <v>96.0</v>
      </c>
      <c r="I18" s="136">
        <f t="shared" si="5"/>
        <v>348</v>
      </c>
      <c r="J18" s="119"/>
      <c r="K18" s="138" t="str">
        <f>'Playoff Groups'!D15</f>
        <v>Lakeside</v>
      </c>
      <c r="L18" s="135">
        <v>82.0</v>
      </c>
      <c r="M18" s="133"/>
      <c r="N18" s="135">
        <v>78.0</v>
      </c>
      <c r="O18" s="135">
        <v>58.0</v>
      </c>
      <c r="P18" s="135">
        <v>50.0</v>
      </c>
      <c r="Q18" s="136">
        <f t="shared" si="6"/>
        <v>268</v>
      </c>
      <c r="R18" s="35"/>
      <c r="S18" s="40"/>
    </row>
    <row r="19">
      <c r="A19" s="85"/>
      <c r="B19" s="35"/>
      <c r="C19" s="134" t="str">
        <f>'Playoff Groups'!J9</f>
        <v>ASFA</v>
      </c>
      <c r="D19" s="135">
        <v>78.0</v>
      </c>
      <c r="E19" s="135">
        <v>124.0</v>
      </c>
      <c r="F19" s="133"/>
      <c r="G19" s="135">
        <v>70.0</v>
      </c>
      <c r="H19" s="135">
        <v>24.0</v>
      </c>
      <c r="I19" s="136">
        <f t="shared" si="5"/>
        <v>296</v>
      </c>
      <c r="J19" s="119"/>
      <c r="K19" s="138" t="str">
        <f>'Playoff Groups'!D16</f>
        <v>Wayzata</v>
      </c>
      <c r="L19" s="135">
        <v>88.0</v>
      </c>
      <c r="M19" s="135">
        <v>66.0</v>
      </c>
      <c r="N19" s="133"/>
      <c r="O19" s="135">
        <v>92.0</v>
      </c>
      <c r="P19" s="135">
        <v>50.0</v>
      </c>
      <c r="Q19" s="136">
        <f t="shared" si="6"/>
        <v>296</v>
      </c>
      <c r="R19" s="35"/>
      <c r="S19" s="40"/>
    </row>
    <row r="20">
      <c r="A20" s="85"/>
      <c r="B20" s="35"/>
      <c r="C20" s="134" t="str">
        <f>'Playoff Groups'!J10</f>
        <v>Saratoga</v>
      </c>
      <c r="D20" s="135">
        <v>130.0</v>
      </c>
      <c r="E20" s="135">
        <v>42.0</v>
      </c>
      <c r="F20" s="135">
        <v>102.0</v>
      </c>
      <c r="G20" s="133"/>
      <c r="H20" s="135">
        <v>94.0</v>
      </c>
      <c r="I20" s="136">
        <f t="shared" si="5"/>
        <v>368</v>
      </c>
      <c r="J20" s="119"/>
      <c r="K20" s="138" t="str">
        <f>'Playoff Groups'!D17</f>
        <v>WWPS</v>
      </c>
      <c r="L20" s="135">
        <v>106.0</v>
      </c>
      <c r="M20" s="135">
        <v>78.0</v>
      </c>
      <c r="N20" s="135">
        <v>80.0</v>
      </c>
      <c r="O20" s="133"/>
      <c r="P20" s="135">
        <v>102.0</v>
      </c>
      <c r="Q20" s="136">
        <f t="shared" si="6"/>
        <v>366</v>
      </c>
      <c r="R20" s="35"/>
      <c r="S20" s="40"/>
    </row>
    <row r="21">
      <c r="A21" s="85"/>
      <c r="B21" s="35"/>
      <c r="C21" s="134" t="str">
        <f>'Playoff Groups'!J11</f>
        <v>University</v>
      </c>
      <c r="D21" s="135">
        <v>100.0</v>
      </c>
      <c r="E21" s="135">
        <v>24.0</v>
      </c>
      <c r="F21" s="135">
        <v>102.0</v>
      </c>
      <c r="G21" s="135">
        <v>112.0</v>
      </c>
      <c r="H21" s="133"/>
      <c r="I21" s="136">
        <f t="shared" si="5"/>
        <v>338</v>
      </c>
      <c r="J21" s="119"/>
      <c r="K21" s="138" t="str">
        <f>'Playoff Groups'!D18</f>
        <v>Stuyvesant</v>
      </c>
      <c r="L21" s="135">
        <v>106.0</v>
      </c>
      <c r="M21" s="135">
        <v>96.0</v>
      </c>
      <c r="N21" s="135">
        <v>44.0</v>
      </c>
      <c r="O21" s="135">
        <v>48.0</v>
      </c>
      <c r="P21" s="133"/>
      <c r="Q21" s="136">
        <f t="shared" si="6"/>
        <v>294</v>
      </c>
      <c r="R21" s="35"/>
      <c r="S21" s="40"/>
    </row>
    <row r="22">
      <c r="A22" s="85"/>
      <c r="B22" s="35"/>
      <c r="C22" s="139" t="s">
        <v>47</v>
      </c>
      <c r="D22" s="140">
        <f t="shared" ref="D22:H22" si="7">sum(D17:D21)</f>
        <v>416</v>
      </c>
      <c r="E22" s="140">
        <f t="shared" si="7"/>
        <v>284</v>
      </c>
      <c r="F22" s="140">
        <f t="shared" si="7"/>
        <v>304</v>
      </c>
      <c r="G22" s="140">
        <f t="shared" si="7"/>
        <v>342</v>
      </c>
      <c r="H22" s="140">
        <f t="shared" si="7"/>
        <v>302</v>
      </c>
      <c r="I22" s="141"/>
      <c r="J22" s="119"/>
      <c r="K22" s="142" t="s">
        <v>47</v>
      </c>
      <c r="L22" s="140">
        <f t="shared" ref="L22:P22" si="8">sum(L17:L21)</f>
        <v>382</v>
      </c>
      <c r="M22" s="140">
        <f t="shared" si="8"/>
        <v>282</v>
      </c>
      <c r="N22" s="140">
        <f t="shared" si="8"/>
        <v>266</v>
      </c>
      <c r="O22" s="140">
        <f t="shared" si="8"/>
        <v>220</v>
      </c>
      <c r="P22" s="140">
        <f t="shared" si="8"/>
        <v>244</v>
      </c>
      <c r="Q22" s="141"/>
      <c r="R22" s="35"/>
      <c r="S22" s="40"/>
    </row>
    <row r="23" ht="23.25" customHeight="1">
      <c r="A23" s="85"/>
      <c r="B23" s="35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35"/>
      <c r="S23" s="40"/>
    </row>
    <row r="24">
      <c r="A24" s="120"/>
      <c r="B24" s="35"/>
      <c r="C24" s="146" t="s">
        <v>179</v>
      </c>
      <c r="D24" s="122"/>
      <c r="E24" s="122"/>
      <c r="F24" s="122"/>
      <c r="G24" s="122"/>
      <c r="H24" s="122"/>
      <c r="I24" s="123"/>
      <c r="J24" s="119"/>
      <c r="K24" s="147" t="s">
        <v>180</v>
      </c>
      <c r="L24" s="122"/>
      <c r="M24" s="122"/>
      <c r="N24" s="122"/>
      <c r="O24" s="122"/>
      <c r="P24" s="122"/>
      <c r="Q24" s="123"/>
      <c r="R24" s="35"/>
      <c r="S24" s="40"/>
    </row>
    <row r="25">
      <c r="A25" s="118"/>
      <c r="B25" s="119"/>
      <c r="C25" s="145">
        <f>sum(D26:H30)</f>
        <v>1296</v>
      </c>
      <c r="D25" s="128" t="str">
        <f>C26</f>
        <v>PRISMS</v>
      </c>
      <c r="E25" s="128" t="str">
        <f>C27</f>
        <v>OCSA</v>
      </c>
      <c r="F25" s="128" t="str">
        <f>C28</f>
        <v>Dulles</v>
      </c>
      <c r="G25" s="128" t="str">
        <f>C29</f>
        <v>Clements</v>
      </c>
      <c r="H25" s="128" t="str">
        <f>C30</f>
        <v>Hunter</v>
      </c>
      <c r="I25" s="129" t="s">
        <v>184</v>
      </c>
      <c r="J25" s="119"/>
      <c r="K25" s="145">
        <f>sum(L26:P30)</f>
        <v>558</v>
      </c>
      <c r="L25" s="131" t="str">
        <f>K26</f>
        <v>Churchill</v>
      </c>
      <c r="M25" s="131" t="str">
        <f>K27</f>
        <v>Middleton</v>
      </c>
      <c r="N25" s="131" t="str">
        <f>K28</f>
        <v>Lexington</v>
      </c>
      <c r="O25" s="131" t="str">
        <f>K29</f>
        <v>Tokay</v>
      </c>
      <c r="P25" s="131" t="str">
        <f>K30</f>
        <v>JP Stevens</v>
      </c>
      <c r="Q25" s="132" t="s">
        <v>184</v>
      </c>
      <c r="R25" s="119"/>
      <c r="S25" s="133"/>
    </row>
    <row r="26">
      <c r="A26" s="85"/>
      <c r="B26" s="35"/>
      <c r="C26" s="134" t="str">
        <f>'Playoff Groups'!G14</f>
        <v>PRISMS</v>
      </c>
      <c r="D26" s="133"/>
      <c r="E26" s="135">
        <v>114.0</v>
      </c>
      <c r="F26" s="135">
        <v>94.0</v>
      </c>
      <c r="G26" s="135">
        <v>98.0</v>
      </c>
      <c r="H26" s="135">
        <v>58.0</v>
      </c>
      <c r="I26" s="136">
        <f t="shared" ref="I26:I30" si="9">sum(D26:H26)</f>
        <v>364</v>
      </c>
      <c r="J26" s="119"/>
      <c r="K26" s="138" t="str">
        <f>'Playoff Groups'!J14</f>
        <v>Churchill</v>
      </c>
      <c r="L26" s="133"/>
      <c r="M26" s="135">
        <v>26.0</v>
      </c>
      <c r="N26" s="135">
        <v>30.0</v>
      </c>
      <c r="O26" s="135">
        <v>0.0</v>
      </c>
      <c r="P26" s="135">
        <v>36.0</v>
      </c>
      <c r="Q26" s="136">
        <f t="shared" ref="Q26:Q30" si="10">sum(L26:P26)</f>
        <v>92</v>
      </c>
      <c r="R26" s="35"/>
      <c r="S26" s="40"/>
    </row>
    <row r="27">
      <c r="A27" s="85"/>
      <c r="B27" s="35"/>
      <c r="C27" s="134" t="str">
        <f>'Playoff Groups'!G15</f>
        <v>OCSA</v>
      </c>
      <c r="D27" s="135">
        <v>10.0</v>
      </c>
      <c r="E27" s="133"/>
      <c r="F27" s="135">
        <v>34.0</v>
      </c>
      <c r="G27" s="135">
        <v>58.0</v>
      </c>
      <c r="H27" s="135">
        <v>36.0</v>
      </c>
      <c r="I27" s="136">
        <f t="shared" si="9"/>
        <v>138</v>
      </c>
      <c r="J27" s="119"/>
      <c r="K27" s="138" t="str">
        <f>'Playoff Groups'!J15</f>
        <v>Middleton</v>
      </c>
      <c r="L27" s="135">
        <v>40.0</v>
      </c>
      <c r="M27" s="133"/>
      <c r="N27" s="135">
        <v>52.0</v>
      </c>
      <c r="O27" s="135">
        <v>16.0</v>
      </c>
      <c r="P27" s="135">
        <v>36.0</v>
      </c>
      <c r="Q27" s="136">
        <f t="shared" si="10"/>
        <v>144</v>
      </c>
      <c r="R27" s="35"/>
      <c r="S27" s="40"/>
    </row>
    <row r="28">
      <c r="A28" s="85"/>
      <c r="B28" s="35"/>
      <c r="C28" s="134" t="str">
        <f>'Playoff Groups'!G16</f>
        <v>Dulles</v>
      </c>
      <c r="D28" s="135">
        <v>78.0</v>
      </c>
      <c r="E28" s="135">
        <v>24.0</v>
      </c>
      <c r="F28" s="133"/>
      <c r="G28" s="135">
        <v>56.0</v>
      </c>
      <c r="H28" s="135">
        <v>42.0</v>
      </c>
      <c r="I28" s="136">
        <f t="shared" si="9"/>
        <v>200</v>
      </c>
      <c r="J28" s="119"/>
      <c r="K28" s="138" t="str">
        <f>'Playoff Groups'!J16</f>
        <v>Lexington</v>
      </c>
      <c r="L28" s="135">
        <v>40.0</v>
      </c>
      <c r="M28" s="135">
        <v>14.0</v>
      </c>
      <c r="N28" s="133"/>
      <c r="O28" s="135">
        <v>68.0</v>
      </c>
      <c r="P28" s="135">
        <v>48.0</v>
      </c>
      <c r="Q28" s="136">
        <f t="shared" si="10"/>
        <v>170</v>
      </c>
      <c r="R28" s="35"/>
      <c r="S28" s="40"/>
    </row>
    <row r="29">
      <c r="A29" s="85"/>
      <c r="B29" s="35"/>
      <c r="C29" s="134" t="str">
        <f>'Playoff Groups'!G17</f>
        <v>Clements</v>
      </c>
      <c r="D29" s="135">
        <v>86.0</v>
      </c>
      <c r="E29" s="135">
        <v>34.0</v>
      </c>
      <c r="F29" s="135">
        <v>78.0</v>
      </c>
      <c r="G29" s="133"/>
      <c r="H29" s="135">
        <v>130.0</v>
      </c>
      <c r="I29" s="136">
        <f t="shared" si="9"/>
        <v>328</v>
      </c>
      <c r="J29" s="119"/>
      <c r="K29" s="138" t="str">
        <f>'Playoff Groups'!J17</f>
        <v>Tokay</v>
      </c>
      <c r="L29" s="135">
        <v>0.0</v>
      </c>
      <c r="M29" s="135">
        <v>0.0</v>
      </c>
      <c r="N29" s="135">
        <v>8.0</v>
      </c>
      <c r="O29" s="133"/>
      <c r="P29" s="135">
        <v>0.0</v>
      </c>
      <c r="Q29" s="136">
        <f t="shared" si="10"/>
        <v>8</v>
      </c>
      <c r="R29" s="35"/>
      <c r="S29" s="40"/>
    </row>
    <row r="30">
      <c r="A30" s="85"/>
      <c r="B30" s="35"/>
      <c r="C30" s="134" t="str">
        <f>'Playoff Groups'!G18</f>
        <v>Hunter</v>
      </c>
      <c r="D30" s="135">
        <v>42.0</v>
      </c>
      <c r="E30" s="135">
        <v>102.0</v>
      </c>
      <c r="F30" s="135">
        <v>72.0</v>
      </c>
      <c r="G30" s="135">
        <v>50.0</v>
      </c>
      <c r="H30" s="133"/>
      <c r="I30" s="136">
        <f t="shared" si="9"/>
        <v>266</v>
      </c>
      <c r="J30" s="119"/>
      <c r="K30" s="138" t="str">
        <f>'Playoff Groups'!J18</f>
        <v>JP Stevens</v>
      </c>
      <c r="L30" s="135">
        <v>30.0</v>
      </c>
      <c r="M30" s="135">
        <v>64.0</v>
      </c>
      <c r="N30" s="135">
        <v>18.0</v>
      </c>
      <c r="O30" s="135">
        <v>32.0</v>
      </c>
      <c r="P30" s="133"/>
      <c r="Q30" s="136">
        <f t="shared" si="10"/>
        <v>144</v>
      </c>
      <c r="R30" s="35"/>
      <c r="S30" s="40"/>
    </row>
    <row r="31">
      <c r="A31" s="85"/>
      <c r="B31" s="35"/>
      <c r="C31" s="139" t="s">
        <v>47</v>
      </c>
      <c r="D31" s="140">
        <f t="shared" ref="D31:H31" si="11">sum(D26:D30)</f>
        <v>216</v>
      </c>
      <c r="E31" s="140">
        <f t="shared" si="11"/>
        <v>274</v>
      </c>
      <c r="F31" s="140">
        <f t="shared" si="11"/>
        <v>278</v>
      </c>
      <c r="G31" s="140">
        <f t="shared" si="11"/>
        <v>262</v>
      </c>
      <c r="H31" s="140">
        <f t="shared" si="11"/>
        <v>266</v>
      </c>
      <c r="I31" s="141"/>
      <c r="J31" s="119"/>
      <c r="K31" s="142" t="s">
        <v>47</v>
      </c>
      <c r="L31" s="140">
        <f t="shared" ref="L31:P31" si="12">sum(L26:L30)</f>
        <v>110</v>
      </c>
      <c r="M31" s="140">
        <f t="shared" si="12"/>
        <v>104</v>
      </c>
      <c r="N31" s="140">
        <f t="shared" si="12"/>
        <v>108</v>
      </c>
      <c r="O31" s="140">
        <f t="shared" si="12"/>
        <v>116</v>
      </c>
      <c r="P31" s="140">
        <f t="shared" si="12"/>
        <v>120</v>
      </c>
      <c r="Q31" s="141"/>
      <c r="R31" s="35"/>
      <c r="S31" s="40"/>
    </row>
    <row r="32" ht="19.5" customHeight="1">
      <c r="A32" s="85"/>
      <c r="B32" s="35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35"/>
      <c r="S32" s="40"/>
    </row>
    <row r="33" ht="19.5" customHeight="1">
      <c r="A33" s="85"/>
      <c r="B33" s="40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40"/>
      <c r="S33" s="40"/>
    </row>
  </sheetData>
  <mergeCells count="8">
    <mergeCell ref="B2:R2"/>
    <mergeCell ref="B3:R3"/>
    <mergeCell ref="C6:I6"/>
    <mergeCell ref="K6:Q6"/>
    <mergeCell ref="C15:I15"/>
    <mergeCell ref="K15:Q15"/>
    <mergeCell ref="C24:I24"/>
    <mergeCell ref="K24:Q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1" max="11" width="23.13"/>
  </cols>
  <sheetData>
    <row r="1">
      <c r="A1" s="33"/>
      <c r="B1" s="33"/>
      <c r="C1" s="77"/>
      <c r="D1" s="78"/>
      <c r="E1" s="78"/>
      <c r="F1" s="78"/>
      <c r="G1" s="34"/>
      <c r="H1" s="33"/>
      <c r="I1" s="33"/>
      <c r="J1" s="33"/>
      <c r="K1" s="33"/>
      <c r="L1" s="148"/>
      <c r="M1" s="148"/>
      <c r="N1" s="33"/>
      <c r="O1" s="33"/>
    </row>
    <row r="2">
      <c r="A2" s="33"/>
      <c r="B2" s="80" t="s">
        <v>185</v>
      </c>
      <c r="O2" s="33"/>
    </row>
    <row r="3">
      <c r="A3" s="33"/>
      <c r="B3" s="81" t="s">
        <v>166</v>
      </c>
      <c r="O3" s="33"/>
    </row>
    <row r="4">
      <c r="A4" s="33"/>
      <c r="B4" s="33"/>
      <c r="C4" s="82"/>
      <c r="D4" s="83"/>
      <c r="E4" s="83"/>
      <c r="F4" s="83"/>
      <c r="G4" s="38"/>
      <c r="H4" s="39"/>
      <c r="I4" s="39"/>
      <c r="J4" s="40"/>
      <c r="K4" s="40"/>
      <c r="L4" s="149"/>
      <c r="M4" s="150"/>
      <c r="N4" s="33"/>
      <c r="O4" s="33"/>
    </row>
    <row r="5">
      <c r="A5" s="85"/>
      <c r="B5" s="86"/>
      <c r="C5" s="87"/>
      <c r="D5" s="88" t="s">
        <v>167</v>
      </c>
      <c r="G5" s="86"/>
      <c r="H5" s="89" t="s">
        <v>168</v>
      </c>
      <c r="I5" s="89" t="s">
        <v>169</v>
      </c>
      <c r="J5" s="89" t="s">
        <v>170</v>
      </c>
      <c r="K5" s="90" t="s">
        <v>171</v>
      </c>
      <c r="L5" s="91" t="s">
        <v>172</v>
      </c>
      <c r="N5" s="86"/>
      <c r="O5" s="85"/>
    </row>
    <row r="6">
      <c r="A6" s="85"/>
      <c r="B6" s="86"/>
      <c r="C6" s="92" t="s">
        <v>114</v>
      </c>
      <c r="D6" s="151" t="s">
        <v>93</v>
      </c>
      <c r="G6" s="86"/>
      <c r="H6" s="49">
        <f>'Team Hub'!F251</f>
        <v>9</v>
      </c>
      <c r="I6" s="152">
        <v>0.0</v>
      </c>
      <c r="J6" s="49">
        <f>'Team Hub'!G251</f>
        <v>1</v>
      </c>
      <c r="K6" s="86">
        <f>'Team Hub'!H252</f>
        <v>918</v>
      </c>
      <c r="L6" s="153">
        <f>'Team Hub'!E252-1</f>
        <v>24</v>
      </c>
      <c r="N6" s="86"/>
      <c r="O6" s="85"/>
    </row>
    <row r="7">
      <c r="A7" s="85"/>
      <c r="B7" s="86"/>
      <c r="C7" s="92" t="s">
        <v>108</v>
      </c>
      <c r="D7" s="151" t="s">
        <v>63</v>
      </c>
      <c r="G7" s="86"/>
      <c r="H7" s="49">
        <f>'Team Hub'!F189</f>
        <v>8</v>
      </c>
      <c r="I7" s="152">
        <v>0.0</v>
      </c>
      <c r="J7" s="49">
        <f>'Team Hub'!G189</f>
        <v>2</v>
      </c>
      <c r="K7" s="86">
        <f>'Team Hub'!H190</f>
        <v>818</v>
      </c>
      <c r="L7" s="153">
        <f>'Team Hub'!E190-1</f>
        <v>22</v>
      </c>
      <c r="N7" s="86"/>
      <c r="O7" s="85"/>
    </row>
    <row r="8">
      <c r="A8" s="85"/>
      <c r="B8" s="86"/>
      <c r="C8" s="92" t="s">
        <v>117</v>
      </c>
      <c r="D8" s="151" t="s">
        <v>61</v>
      </c>
      <c r="G8" s="86"/>
      <c r="H8" s="49">
        <f>'Team Hub'!F282</f>
        <v>8</v>
      </c>
      <c r="I8" s="152">
        <v>0.0</v>
      </c>
      <c r="J8" s="49">
        <f>'Team Hub'!G282</f>
        <v>2</v>
      </c>
      <c r="K8" s="86">
        <f>'Team Hub'!H283</f>
        <v>628</v>
      </c>
      <c r="L8" s="153">
        <f>'Team Hub'!E283-1</f>
        <v>21</v>
      </c>
      <c r="N8" s="86"/>
      <c r="O8" s="85"/>
    </row>
    <row r="9">
      <c r="A9" s="85"/>
      <c r="B9" s="86"/>
      <c r="C9" s="92" t="s">
        <v>122</v>
      </c>
      <c r="D9" s="151" t="s">
        <v>50</v>
      </c>
      <c r="G9" s="86"/>
      <c r="H9" s="49">
        <f>'Team Hub'!T313</f>
        <v>8</v>
      </c>
      <c r="I9" s="152">
        <v>0.0</v>
      </c>
      <c r="J9" s="49">
        <f>'Team Hub'!U313</f>
        <v>2</v>
      </c>
      <c r="K9" s="86">
        <f>'Team Hub'!V314</f>
        <v>612</v>
      </c>
      <c r="L9" s="154">
        <f>'Team Hub'!S314-1</f>
        <v>20</v>
      </c>
      <c r="N9" s="86"/>
      <c r="O9" s="85"/>
    </row>
    <row r="10">
      <c r="A10" s="85"/>
      <c r="B10" s="86"/>
      <c r="C10" s="92" t="s">
        <v>119</v>
      </c>
      <c r="D10" s="151" t="s">
        <v>88</v>
      </c>
      <c r="G10" s="86"/>
      <c r="H10" s="49">
        <f>'Team Hub'!T282</f>
        <v>7</v>
      </c>
      <c r="I10" s="152">
        <v>0.0</v>
      </c>
      <c r="J10" s="49">
        <f>'Team Hub'!U282</f>
        <v>3</v>
      </c>
      <c r="K10" s="86">
        <f>'Team Hub'!V283</f>
        <v>456</v>
      </c>
      <c r="L10" s="153">
        <f>'Team Hub'!S283-1</f>
        <v>19</v>
      </c>
      <c r="N10" s="86"/>
      <c r="O10" s="85"/>
    </row>
    <row r="11">
      <c r="A11" s="85"/>
      <c r="B11" s="86"/>
      <c r="C11" s="92" t="s">
        <v>86</v>
      </c>
      <c r="D11" s="151" t="s">
        <v>54</v>
      </c>
      <c r="G11" s="86"/>
      <c r="H11" s="49">
        <f>'Team Hub'!M65</f>
        <v>7</v>
      </c>
      <c r="I11" s="152">
        <v>0.0</v>
      </c>
      <c r="J11" s="49">
        <f>'Team Hub'!N65</f>
        <v>3</v>
      </c>
      <c r="K11" s="86">
        <f>'Team Hub'!O66</f>
        <v>230</v>
      </c>
      <c r="L11" s="153">
        <f>'Team Hub'!L66-1</f>
        <v>19</v>
      </c>
      <c r="N11" s="86"/>
      <c r="O11" s="85"/>
    </row>
    <row r="12">
      <c r="A12" s="85"/>
      <c r="B12" s="86"/>
      <c r="C12" s="92" t="s">
        <v>116</v>
      </c>
      <c r="D12" s="151" t="s">
        <v>64</v>
      </c>
      <c r="G12" s="86"/>
      <c r="H12" s="49">
        <f>'Team Hub'!T251</f>
        <v>6</v>
      </c>
      <c r="I12" s="152">
        <v>0.0</v>
      </c>
      <c r="J12" s="49">
        <f>'Team Hub'!U251</f>
        <v>4</v>
      </c>
      <c r="K12" s="86">
        <f>'Team Hub'!V252</f>
        <v>348</v>
      </c>
      <c r="L12" s="153">
        <f>'Team Hub'!S252-1</f>
        <v>17</v>
      </c>
      <c r="N12" s="86"/>
      <c r="O12" s="85"/>
    </row>
    <row r="13">
      <c r="A13" s="85"/>
      <c r="B13" s="86"/>
      <c r="C13" s="92" t="s">
        <v>111</v>
      </c>
      <c r="D13" s="151" t="s">
        <v>91</v>
      </c>
      <c r="G13" s="86"/>
      <c r="H13" s="49">
        <f>'Team Hub'!F220</f>
        <v>6</v>
      </c>
      <c r="I13" s="152">
        <v>0.0</v>
      </c>
      <c r="J13" s="49">
        <f>'Team Hub'!G220</f>
        <v>4</v>
      </c>
      <c r="K13" s="86">
        <f>'Team Hub'!H221</f>
        <v>-44</v>
      </c>
      <c r="L13" s="153">
        <f>'Team Hub'!E221-1</f>
        <v>17</v>
      </c>
      <c r="N13" s="86"/>
      <c r="O13" s="85"/>
    </row>
    <row r="14">
      <c r="A14" s="85"/>
      <c r="B14" s="86"/>
      <c r="C14" s="92" t="s">
        <v>105</v>
      </c>
      <c r="D14" s="93" t="s">
        <v>106</v>
      </c>
      <c r="G14" s="86"/>
      <c r="H14" s="49">
        <f>'Team Hub'!M158</f>
        <v>6</v>
      </c>
      <c r="I14" s="152">
        <v>0.0</v>
      </c>
      <c r="J14" s="49">
        <f>'Team Hub'!N158</f>
        <v>4</v>
      </c>
      <c r="K14" s="86">
        <f>'Team Hub'!O159</f>
        <v>236</v>
      </c>
      <c r="L14" s="153">
        <f>'Team Hub'!L159-1</f>
        <v>16</v>
      </c>
      <c r="N14" s="86"/>
      <c r="O14" s="85"/>
    </row>
    <row r="15">
      <c r="A15" s="85"/>
      <c r="B15" s="86"/>
      <c r="C15" s="92" t="s">
        <v>102</v>
      </c>
      <c r="D15" s="93" t="s">
        <v>57</v>
      </c>
      <c r="G15" s="86"/>
      <c r="H15" s="49">
        <f>'Team Hub'!T127</f>
        <v>6</v>
      </c>
      <c r="I15" s="152">
        <v>0.0</v>
      </c>
      <c r="J15" s="49">
        <f>'Team Hub'!U127</f>
        <v>4</v>
      </c>
      <c r="K15" s="86">
        <f>'Team Hub'!V128</f>
        <v>356</v>
      </c>
      <c r="L15" s="154">
        <f>'Team Hub'!S128-1</f>
        <v>15</v>
      </c>
      <c r="N15" s="86"/>
      <c r="O15" s="85"/>
    </row>
    <row r="16">
      <c r="A16" s="85"/>
      <c r="B16" s="86"/>
      <c r="C16" s="92" t="s">
        <v>97</v>
      </c>
      <c r="D16" s="93" t="s">
        <v>94</v>
      </c>
      <c r="G16" s="86"/>
      <c r="H16" s="49">
        <f>'Team Hub'!M96</f>
        <v>5</v>
      </c>
      <c r="I16" s="152">
        <v>0.0</v>
      </c>
      <c r="J16" s="49">
        <f>'Team Hub'!N96</f>
        <v>5</v>
      </c>
      <c r="K16" s="86">
        <f>'Team Hub'!O97</f>
        <v>336</v>
      </c>
      <c r="L16" s="153">
        <f>'Team Hub'!L97-1</f>
        <v>15</v>
      </c>
      <c r="N16" s="86"/>
      <c r="O16" s="85"/>
    </row>
    <row r="17">
      <c r="A17" s="85"/>
      <c r="B17" s="86"/>
      <c r="C17" s="92" t="s">
        <v>112</v>
      </c>
      <c r="D17" s="93" t="s">
        <v>81</v>
      </c>
      <c r="G17" s="86"/>
      <c r="H17" s="49">
        <f>'Team Hub'!M220</f>
        <v>6</v>
      </c>
      <c r="I17" s="152">
        <v>0.0</v>
      </c>
      <c r="J17" s="49">
        <f>'Team Hub'!N220</f>
        <v>4</v>
      </c>
      <c r="K17" s="86">
        <f>'Team Hub'!O221</f>
        <v>132</v>
      </c>
      <c r="L17" s="153">
        <f>'Team Hub'!L221-1</f>
        <v>15</v>
      </c>
      <c r="N17" s="86"/>
      <c r="O17" s="85"/>
    </row>
    <row r="18">
      <c r="A18" s="85"/>
      <c r="B18" s="86"/>
      <c r="C18" s="92" t="s">
        <v>100</v>
      </c>
      <c r="D18" s="93" t="s">
        <v>89</v>
      </c>
      <c r="G18" s="86"/>
      <c r="H18" s="49">
        <f>'Team Hub'!F127</f>
        <v>6</v>
      </c>
      <c r="I18" s="152">
        <v>0.0</v>
      </c>
      <c r="J18" s="49">
        <f>'Team Hub'!G127</f>
        <v>4</v>
      </c>
      <c r="K18" s="86">
        <f>'Team Hub'!H128</f>
        <v>100</v>
      </c>
      <c r="L18" s="153">
        <f>'Team Hub'!E128-1</f>
        <v>15</v>
      </c>
      <c r="N18" s="86"/>
      <c r="O18" s="85"/>
    </row>
    <row r="19">
      <c r="A19" s="85"/>
      <c r="B19" s="86"/>
      <c r="C19" s="92" t="s">
        <v>98</v>
      </c>
      <c r="D19" s="93" t="s">
        <v>99</v>
      </c>
      <c r="G19" s="86"/>
      <c r="H19" s="49">
        <f>'Team Hub'!T96</f>
        <v>6</v>
      </c>
      <c r="I19" s="152">
        <v>0.0</v>
      </c>
      <c r="J19" s="49">
        <f>'Team Hub'!U96</f>
        <v>4</v>
      </c>
      <c r="K19" s="86">
        <f>'Team Hub'!V97</f>
        <v>10</v>
      </c>
      <c r="L19" s="153">
        <f>'Team Hub'!S97-1</f>
        <v>15</v>
      </c>
      <c r="N19" s="86"/>
      <c r="O19" s="85"/>
    </row>
    <row r="20">
      <c r="A20" s="85"/>
      <c r="B20" s="86"/>
      <c r="C20" s="92" t="s">
        <v>107</v>
      </c>
      <c r="D20" s="93" t="s">
        <v>58</v>
      </c>
      <c r="G20" s="86"/>
      <c r="H20" s="49">
        <f>'Team Hub'!T158</f>
        <v>6</v>
      </c>
      <c r="I20" s="152">
        <v>0.0</v>
      </c>
      <c r="J20" s="49">
        <f>'Team Hub'!U158</f>
        <v>4</v>
      </c>
      <c r="K20" s="86">
        <f>'Team Hub'!V159</f>
        <v>26</v>
      </c>
      <c r="L20" s="153">
        <f>'Team Hub'!S159-1</f>
        <v>14</v>
      </c>
      <c r="N20" s="86"/>
      <c r="O20" s="85"/>
    </row>
    <row r="21">
      <c r="A21" s="85"/>
      <c r="B21" s="86"/>
      <c r="C21" s="92" t="s">
        <v>120</v>
      </c>
      <c r="D21" s="93" t="s">
        <v>56</v>
      </c>
      <c r="G21" s="86"/>
      <c r="H21" s="49">
        <f>'Team Hub'!F313</f>
        <v>5</v>
      </c>
      <c r="I21" s="152">
        <v>0.0</v>
      </c>
      <c r="J21" s="49">
        <f>'Team Hub'!G313</f>
        <v>5</v>
      </c>
      <c r="K21" s="86">
        <f>'Team Hub'!H314</f>
        <v>212</v>
      </c>
      <c r="L21" s="153">
        <f>'Team Hub'!E314-1</f>
        <v>13</v>
      </c>
      <c r="N21" s="86"/>
      <c r="O21" s="85"/>
    </row>
    <row r="22">
      <c r="A22" s="85"/>
      <c r="B22" s="86"/>
      <c r="C22" s="92" t="s">
        <v>115</v>
      </c>
      <c r="D22" s="93" t="s">
        <v>75</v>
      </c>
      <c r="G22" s="86"/>
      <c r="H22" s="49">
        <f>'Team Hub'!M251</f>
        <v>5</v>
      </c>
      <c r="I22" s="152">
        <v>0.0</v>
      </c>
      <c r="J22" s="49">
        <f>'Team Hub'!N251</f>
        <v>5</v>
      </c>
      <c r="K22" s="86">
        <f>'Team Hub'!O252</f>
        <v>134</v>
      </c>
      <c r="L22" s="153">
        <f>'Team Hub'!L252-1</f>
        <v>13</v>
      </c>
      <c r="N22" s="86"/>
      <c r="O22" s="85"/>
    </row>
    <row r="23">
      <c r="A23" s="85"/>
      <c r="B23" s="86"/>
      <c r="C23" s="92" t="s">
        <v>104</v>
      </c>
      <c r="D23" s="93" t="s">
        <v>67</v>
      </c>
      <c r="G23" s="86"/>
      <c r="H23" s="49">
        <f>'Team Hub'!F158</f>
        <v>5</v>
      </c>
      <c r="I23" s="152">
        <v>0.0</v>
      </c>
      <c r="J23" s="49">
        <f>'Team Hub'!G158</f>
        <v>5</v>
      </c>
      <c r="K23" s="86">
        <f>'Team Hub'!H159</f>
        <v>-22</v>
      </c>
      <c r="L23" s="153">
        <f>'Team Hub'!E159-1</f>
        <v>13</v>
      </c>
      <c r="N23" s="86"/>
      <c r="O23" s="85"/>
    </row>
    <row r="24">
      <c r="A24" s="85"/>
      <c r="B24" s="86"/>
      <c r="C24" s="92" t="s">
        <v>110</v>
      </c>
      <c r="D24" s="93" t="s">
        <v>60</v>
      </c>
      <c r="G24" s="86"/>
      <c r="H24" s="49">
        <f>'Team Hub'!T189</f>
        <v>5</v>
      </c>
      <c r="I24" s="152">
        <v>0.0</v>
      </c>
      <c r="J24" s="49">
        <f>'Team Hub'!U189</f>
        <v>5</v>
      </c>
      <c r="K24" s="86">
        <f>'Team Hub'!V190</f>
        <v>-302</v>
      </c>
      <c r="L24" s="153">
        <f>'Team Hub'!S190-1</f>
        <v>13</v>
      </c>
      <c r="N24" s="86"/>
      <c r="O24" s="85"/>
    </row>
    <row r="25">
      <c r="A25" s="85"/>
      <c r="B25" s="86"/>
      <c r="C25" s="92" t="s">
        <v>41</v>
      </c>
      <c r="D25" s="93" t="s">
        <v>42</v>
      </c>
      <c r="G25" s="86"/>
      <c r="H25" s="49">
        <f>'Team Hub'!M34</f>
        <v>4</v>
      </c>
      <c r="I25" s="152">
        <v>0.0</v>
      </c>
      <c r="J25" s="49">
        <f>'Team Hub'!N34</f>
        <v>6</v>
      </c>
      <c r="K25" s="86">
        <f>'Team Hub'!O35</f>
        <v>-178</v>
      </c>
      <c r="L25" s="153">
        <f>'Team Hub'!L35-1</f>
        <v>12</v>
      </c>
      <c r="N25" s="86"/>
      <c r="O25" s="85"/>
    </row>
    <row r="26">
      <c r="A26" s="85"/>
      <c r="B26" s="86"/>
      <c r="C26" s="92" t="s">
        <v>96</v>
      </c>
      <c r="D26" s="93" t="s">
        <v>74</v>
      </c>
      <c r="G26" s="86"/>
      <c r="H26" s="49">
        <f>'Team Hub'!F96</f>
        <v>4</v>
      </c>
      <c r="I26" s="152">
        <v>0.0</v>
      </c>
      <c r="J26" s="49">
        <f>'Team Hub'!G96</f>
        <v>6</v>
      </c>
      <c r="K26" s="86">
        <f>'Team Hub'!H97</f>
        <v>-472</v>
      </c>
      <c r="L26" s="153">
        <f>'Team Hub'!E97-1</f>
        <v>10</v>
      </c>
      <c r="N26" s="86"/>
      <c r="O26" s="85"/>
    </row>
    <row r="27">
      <c r="A27" s="85"/>
      <c r="B27" s="86"/>
      <c r="C27" s="92" t="s">
        <v>113</v>
      </c>
      <c r="D27" s="93" t="s">
        <v>92</v>
      </c>
      <c r="G27" s="86"/>
      <c r="H27" s="49">
        <f>'Team Hub'!T220</f>
        <v>3</v>
      </c>
      <c r="I27" s="152">
        <v>0.0</v>
      </c>
      <c r="J27" s="49">
        <f>'Team Hub'!U220</f>
        <v>7</v>
      </c>
      <c r="K27" s="86">
        <f>'Team Hub'!V221</f>
        <v>-198</v>
      </c>
      <c r="L27" s="153">
        <f>'Team Hub'!S221-1</f>
        <v>9</v>
      </c>
      <c r="N27" s="86"/>
      <c r="O27" s="85"/>
    </row>
    <row r="28">
      <c r="A28" s="85"/>
      <c r="B28" s="86"/>
      <c r="C28" s="92" t="s">
        <v>43</v>
      </c>
      <c r="D28" s="93" t="s">
        <v>44</v>
      </c>
      <c r="G28" s="86"/>
      <c r="H28" s="49">
        <f>'Team Hub'!T34</f>
        <v>4</v>
      </c>
      <c r="I28" s="152">
        <v>0.0</v>
      </c>
      <c r="J28" s="49">
        <f>'Team Hub'!U34</f>
        <v>6</v>
      </c>
      <c r="K28" s="86">
        <f>'Team Hub'!V35</f>
        <v>-776</v>
      </c>
      <c r="L28" s="153">
        <f>'Team Hub'!S35-1</f>
        <v>9</v>
      </c>
      <c r="N28" s="86"/>
      <c r="O28" s="85"/>
    </row>
    <row r="29">
      <c r="A29" s="85"/>
      <c r="B29" s="86"/>
      <c r="C29" s="96" t="s">
        <v>109</v>
      </c>
      <c r="D29" s="93" t="s">
        <v>65</v>
      </c>
      <c r="G29" s="86"/>
      <c r="H29" s="49">
        <f>'Team Hub'!M189</f>
        <v>3</v>
      </c>
      <c r="I29" s="152">
        <v>0.0</v>
      </c>
      <c r="J29" s="49">
        <f>'Team Hub'!N189</f>
        <v>7</v>
      </c>
      <c r="K29" s="86">
        <f>'Team Hub'!O190</f>
        <v>-150</v>
      </c>
      <c r="L29" s="153">
        <f>'Team Hub'!L190-1</f>
        <v>7</v>
      </c>
      <c r="N29" s="86"/>
      <c r="O29" s="85"/>
    </row>
    <row r="30">
      <c r="A30" s="85"/>
      <c r="B30" s="86"/>
      <c r="C30" s="92" t="s">
        <v>39</v>
      </c>
      <c r="D30" s="93" t="s">
        <v>40</v>
      </c>
      <c r="G30" s="86"/>
      <c r="H30" s="49">
        <f>'Team Hub'!F34</f>
        <v>3</v>
      </c>
      <c r="I30" s="152">
        <v>0.0</v>
      </c>
      <c r="J30" s="49">
        <f>'Team Hub'!G34</f>
        <v>7</v>
      </c>
      <c r="K30" s="86">
        <f>'Team Hub'!H35</f>
        <v>-334</v>
      </c>
      <c r="L30" s="153">
        <f>'Team Hub'!E35-1</f>
        <v>7</v>
      </c>
      <c r="N30" s="86"/>
      <c r="O30" s="85"/>
    </row>
    <row r="31">
      <c r="A31" s="85"/>
      <c r="B31" s="86"/>
      <c r="C31" s="92" t="s">
        <v>85</v>
      </c>
      <c r="D31" s="93" t="s">
        <v>82</v>
      </c>
      <c r="G31" s="86"/>
      <c r="H31" s="49">
        <f>'Team Hub'!F65</f>
        <v>3</v>
      </c>
      <c r="I31" s="152">
        <v>0.0</v>
      </c>
      <c r="J31" s="49">
        <f>'Team Hub'!G65</f>
        <v>7</v>
      </c>
      <c r="K31" s="86">
        <f>'Team Hub'!H66</f>
        <v>-460</v>
      </c>
      <c r="L31" s="153">
        <f>'Team Hub'!E66-1</f>
        <v>6</v>
      </c>
      <c r="N31" s="86"/>
      <c r="O31" s="85"/>
    </row>
    <row r="32">
      <c r="A32" s="85"/>
      <c r="B32" s="86"/>
      <c r="C32" s="92" t="s">
        <v>118</v>
      </c>
      <c r="D32" s="93" t="s">
        <v>69</v>
      </c>
      <c r="G32" s="86"/>
      <c r="H32" s="49">
        <f>'Team Hub'!M282</f>
        <v>2</v>
      </c>
      <c r="I32" s="152">
        <v>1.0</v>
      </c>
      <c r="J32" s="49">
        <f>'Team Hub'!N282</f>
        <v>7</v>
      </c>
      <c r="K32" s="86">
        <f>'Team Hub'!O283</f>
        <v>-726</v>
      </c>
      <c r="L32" s="153">
        <f>'Team Hub'!L283-1</f>
        <v>6</v>
      </c>
      <c r="N32" s="86"/>
      <c r="O32" s="85"/>
    </row>
    <row r="33">
      <c r="A33" s="85"/>
      <c r="B33" s="86"/>
      <c r="C33" s="92" t="s">
        <v>121</v>
      </c>
      <c r="D33" s="93" t="s">
        <v>52</v>
      </c>
      <c r="G33" s="86"/>
      <c r="H33" s="49">
        <f>'Team Hub'!M313</f>
        <v>2</v>
      </c>
      <c r="I33" s="152">
        <v>0.0</v>
      </c>
      <c r="J33" s="49">
        <f>'Team Hub'!N313</f>
        <v>8</v>
      </c>
      <c r="K33" s="86">
        <f>'Team Hub'!O314</f>
        <v>-798</v>
      </c>
      <c r="L33" s="153">
        <f>'Team Hub'!L314-1</f>
        <v>4</v>
      </c>
      <c r="N33" s="86"/>
      <c r="O33" s="85"/>
    </row>
    <row r="34">
      <c r="A34" s="85"/>
      <c r="B34" s="86"/>
      <c r="C34" s="92" t="s">
        <v>101</v>
      </c>
      <c r="D34" s="93" t="s">
        <v>78</v>
      </c>
      <c r="G34" s="86"/>
      <c r="H34" s="49">
        <f>'Team Hub'!M127</f>
        <v>1</v>
      </c>
      <c r="I34" s="152">
        <v>0.0</v>
      </c>
      <c r="J34" s="49">
        <f>'Team Hub'!N127</f>
        <v>9</v>
      </c>
      <c r="K34" s="86">
        <f>'Team Hub'!O128</f>
        <v>-168</v>
      </c>
      <c r="L34" s="153">
        <f>'Team Hub'!L128-1</f>
        <v>3</v>
      </c>
      <c r="N34" s="86"/>
      <c r="O34" s="85"/>
    </row>
    <row r="35">
      <c r="A35" s="85"/>
      <c r="B35" s="86"/>
      <c r="C35" s="92" t="s">
        <v>87</v>
      </c>
      <c r="D35" s="93" t="s">
        <v>79</v>
      </c>
      <c r="G35" s="86"/>
      <c r="H35" s="49">
        <f>'Team Hub'!T65</f>
        <v>0</v>
      </c>
      <c r="I35" s="152">
        <v>1.0</v>
      </c>
      <c r="J35" s="49">
        <f>'Team Hub'!U65</f>
        <v>9</v>
      </c>
      <c r="K35" s="86">
        <f>'Team Hub'!V66</f>
        <v>-928</v>
      </c>
      <c r="L35" s="153">
        <f>'Team Hub'!S66-1</f>
        <v>1</v>
      </c>
      <c r="N35" s="86"/>
      <c r="O35" s="85"/>
    </row>
    <row r="36">
      <c r="A36" s="85"/>
      <c r="B36" s="86"/>
      <c r="C36" s="97"/>
      <c r="D36" s="98"/>
      <c r="E36" s="98"/>
      <c r="F36" s="98"/>
      <c r="G36" s="86"/>
      <c r="H36" s="86"/>
      <c r="I36" s="86"/>
      <c r="J36" s="86"/>
      <c r="K36" s="86"/>
      <c r="L36" s="155"/>
      <c r="M36" s="155"/>
      <c r="N36" s="86"/>
      <c r="O36" s="85"/>
    </row>
    <row r="37">
      <c r="A37" s="85"/>
      <c r="B37" s="86"/>
      <c r="C37" s="104"/>
      <c r="D37" s="93"/>
      <c r="E37" s="93"/>
      <c r="F37" s="93"/>
      <c r="G37" s="86"/>
      <c r="H37" s="49"/>
      <c r="I37" s="49"/>
      <c r="J37" s="49"/>
      <c r="K37" s="86"/>
      <c r="L37" s="6"/>
      <c r="M37" s="6"/>
      <c r="N37" s="86"/>
      <c r="O37" s="85"/>
    </row>
    <row r="38">
      <c r="A38" s="85"/>
      <c r="B38" s="85"/>
      <c r="C38" s="156"/>
      <c r="D38" s="157"/>
      <c r="E38" s="157"/>
      <c r="F38" s="157"/>
      <c r="G38" s="85"/>
      <c r="H38" s="158"/>
      <c r="I38" s="158"/>
      <c r="J38" s="158"/>
      <c r="K38" s="85"/>
      <c r="L38" s="159"/>
      <c r="M38" s="159"/>
      <c r="N38" s="85"/>
      <c r="O38" s="85"/>
    </row>
  </sheetData>
  <mergeCells count="64">
    <mergeCell ref="L29:M29"/>
    <mergeCell ref="L30:M30"/>
    <mergeCell ref="L22:M22"/>
    <mergeCell ref="L23:M23"/>
    <mergeCell ref="L24:M24"/>
    <mergeCell ref="L25:M25"/>
    <mergeCell ref="L26:M26"/>
    <mergeCell ref="L27:M27"/>
    <mergeCell ref="L28:M28"/>
    <mergeCell ref="B2:N2"/>
    <mergeCell ref="B3:N3"/>
    <mergeCell ref="D5:F5"/>
    <mergeCell ref="L5:M5"/>
    <mergeCell ref="D6:F6"/>
    <mergeCell ref="L6:M6"/>
    <mergeCell ref="L7:M7"/>
    <mergeCell ref="D7:F7"/>
    <mergeCell ref="D8:F8"/>
    <mergeCell ref="D9:F9"/>
    <mergeCell ref="D10:F10"/>
    <mergeCell ref="D11:F11"/>
    <mergeCell ref="D12:F12"/>
    <mergeCell ref="D13:F13"/>
    <mergeCell ref="L8:M8"/>
    <mergeCell ref="L9:M9"/>
    <mergeCell ref="L10:M10"/>
    <mergeCell ref="L11:M11"/>
    <mergeCell ref="L12:M12"/>
    <mergeCell ref="L13:M13"/>
    <mergeCell ref="L14:M14"/>
    <mergeCell ref="D14:F14"/>
    <mergeCell ref="D15:F15"/>
    <mergeCell ref="D16:F16"/>
    <mergeCell ref="D17:F17"/>
    <mergeCell ref="D18:F18"/>
    <mergeCell ref="D19:F19"/>
    <mergeCell ref="D20:F20"/>
    <mergeCell ref="D28:F28"/>
    <mergeCell ref="D29:F29"/>
    <mergeCell ref="D30:F30"/>
    <mergeCell ref="D31:F31"/>
    <mergeCell ref="D32:F32"/>
    <mergeCell ref="D33:F33"/>
    <mergeCell ref="D34:F34"/>
    <mergeCell ref="D35:F35"/>
    <mergeCell ref="D21:F21"/>
    <mergeCell ref="D22:F22"/>
    <mergeCell ref="D23:F23"/>
    <mergeCell ref="D24:F24"/>
    <mergeCell ref="D25:F25"/>
    <mergeCell ref="D26:F26"/>
    <mergeCell ref="D27:F27"/>
    <mergeCell ref="L31:M31"/>
    <mergeCell ref="L32:M32"/>
    <mergeCell ref="L33:M33"/>
    <mergeCell ref="L34:M34"/>
    <mergeCell ref="L35:M35"/>
    <mergeCell ref="L15:M15"/>
    <mergeCell ref="L16:M16"/>
    <mergeCell ref="L17:M17"/>
    <mergeCell ref="L18:M18"/>
    <mergeCell ref="L19:M19"/>
    <mergeCell ref="L20:M20"/>
    <mergeCell ref="L21:M21"/>
  </mergeCells>
  <conditionalFormatting sqref="I1 I4">
    <cfRule type="cellIs" dxfId="0" priority="1" operator="greaterThan">
      <formula>0</formula>
    </cfRule>
  </conditionalFormatting>
  <conditionalFormatting sqref="I1 I4">
    <cfRule type="cellIs" dxfId="1" priority="2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4" max="4" width="14.13"/>
    <col customWidth="1" min="5" max="5" width="13.88"/>
    <col customWidth="1" min="9" max="9" width="12.25"/>
  </cols>
  <sheetData>
    <row r="1">
      <c r="B1" s="45" t="s">
        <v>186</v>
      </c>
      <c r="C1" s="135" t="s">
        <v>187</v>
      </c>
      <c r="D1" s="45" t="s">
        <v>172</v>
      </c>
      <c r="E1" s="45" t="s">
        <v>188</v>
      </c>
      <c r="F1" s="45"/>
      <c r="G1" s="45" t="s">
        <v>189</v>
      </c>
      <c r="H1" s="45"/>
      <c r="I1" s="45"/>
      <c r="J1" s="45"/>
      <c r="K1" s="45"/>
      <c r="L1" s="45"/>
      <c r="M1" s="4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B2" s="45">
        <v>10.0</v>
      </c>
      <c r="C2" s="160" t="s">
        <v>190</v>
      </c>
      <c r="D2" s="45">
        <v>8.0</v>
      </c>
      <c r="E2" s="35">
        <f t="shared" ref="E2:E49" si="1">sum(G2:M2)</f>
        <v>572</v>
      </c>
      <c r="F2" s="45"/>
      <c r="G2" s="45">
        <f>'Playoff Scoring'!D11</f>
        <v>34</v>
      </c>
      <c r="H2" s="45">
        <f>'Playoff Scoring'!E11</f>
        <v>70</v>
      </c>
      <c r="I2" s="45">
        <f>'Playoff Scoring'!F11</f>
        <v>106</v>
      </c>
      <c r="J2" s="45">
        <f>'Playoff Scoring'!H11</f>
        <v>76</v>
      </c>
      <c r="K2" s="45">
        <f>'Playoff Scoring'!I11</f>
        <v>286</v>
      </c>
      <c r="L2" s="45"/>
      <c r="M2" s="4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B3" s="45">
        <v>15.0</v>
      </c>
      <c r="C3" s="160" t="s">
        <v>42</v>
      </c>
      <c r="D3" s="45">
        <v>6.0</v>
      </c>
      <c r="E3" s="35">
        <f t="shared" si="1"/>
        <v>980</v>
      </c>
      <c r="F3" s="45"/>
      <c r="G3" s="45">
        <f>'Playoff Scoring'!D9</f>
        <v>154</v>
      </c>
      <c r="H3" s="45">
        <f>'Playoff Scoring'!F9</f>
        <v>72</v>
      </c>
      <c r="I3" s="45">
        <f>'Playoff Scoring'!G9</f>
        <v>120</v>
      </c>
      <c r="J3" s="45">
        <f>'Playoff Scoring'!H9</f>
        <v>144</v>
      </c>
      <c r="K3" s="45">
        <f>'Playoff Scoring'!I9</f>
        <v>490</v>
      </c>
      <c r="L3" s="45"/>
      <c r="M3" s="4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B4" s="45">
        <v>18.0</v>
      </c>
      <c r="C4" s="161" t="s">
        <v>75</v>
      </c>
      <c r="D4" s="45">
        <v>6.0</v>
      </c>
      <c r="E4" s="35">
        <f t="shared" si="1"/>
        <v>616</v>
      </c>
      <c r="F4" s="45"/>
      <c r="G4" s="45">
        <f>'Playoff Scoring'!D12</f>
        <v>82</v>
      </c>
      <c r="H4" s="45">
        <f>'Playoff Scoring'!E12</f>
        <v>74</v>
      </c>
      <c r="I4" s="45">
        <f>'Playoff Scoring'!F12</f>
        <v>78</v>
      </c>
      <c r="J4" s="45">
        <f>'Playoff Scoring'!G12</f>
        <v>74</v>
      </c>
      <c r="K4" s="45">
        <f>'Playoff Scoring'!I12</f>
        <v>308</v>
      </c>
      <c r="L4" s="45"/>
      <c r="M4" s="4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B5" s="45">
        <v>21.0</v>
      </c>
      <c r="C5" s="161" t="s">
        <v>191</v>
      </c>
      <c r="D5" s="45">
        <v>6.0</v>
      </c>
      <c r="E5" s="35">
        <f t="shared" si="1"/>
        <v>1896</v>
      </c>
      <c r="F5" s="45"/>
      <c r="G5" s="45">
        <f>'Playoff Scoring'!D13</f>
        <v>400</v>
      </c>
      <c r="H5" s="45">
        <f>'Playoff Scoring'!E13</f>
        <v>314</v>
      </c>
      <c r="I5" s="45">
        <f>'Playoff Scoring'!F13</f>
        <v>380</v>
      </c>
      <c r="J5" s="45">
        <f>'Playoff Scoring'!G13</f>
        <v>402</v>
      </c>
      <c r="K5" s="45">
        <f>'Playoff Scoring'!H13</f>
        <v>400</v>
      </c>
      <c r="L5" s="45"/>
      <c r="M5" s="4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45"/>
      <c r="B6" s="45">
        <v>30.0</v>
      </c>
      <c r="C6" s="162" t="s">
        <v>192</v>
      </c>
      <c r="D6" s="45">
        <v>4.0</v>
      </c>
      <c r="E6" s="35">
        <f t="shared" si="1"/>
        <v>812</v>
      </c>
      <c r="F6" s="45"/>
      <c r="G6" s="45">
        <f>'Playoff Scoring'!$E8</f>
        <v>88</v>
      </c>
      <c r="H6" s="45">
        <f>'Playoff Scoring'!F8</f>
        <v>124</v>
      </c>
      <c r="I6" s="45">
        <f>'Playoff Scoring'!G8</f>
        <v>110</v>
      </c>
      <c r="J6" s="45">
        <f>'Playoff Scoring'!H8</f>
        <v>84</v>
      </c>
      <c r="K6" s="45">
        <f>'Playoff Scoring'!I8</f>
        <v>406</v>
      </c>
      <c r="L6" s="45"/>
      <c r="M6" s="4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B7" s="45">
        <v>44.0</v>
      </c>
      <c r="C7" s="162" t="s">
        <v>79</v>
      </c>
      <c r="D7" s="45">
        <v>0.0</v>
      </c>
      <c r="E7" s="35">
        <f t="shared" si="1"/>
        <v>812</v>
      </c>
      <c r="F7" s="45"/>
      <c r="G7" s="45">
        <f>'Playoff Scoring'!D10</f>
        <v>130</v>
      </c>
      <c r="H7" s="45">
        <f>'Playoff Scoring'!E10</f>
        <v>82</v>
      </c>
      <c r="I7" s="45">
        <f>'Playoff Scoring'!G10</f>
        <v>98</v>
      </c>
      <c r="J7" s="45">
        <f>'Playoff Scoring'!H10</f>
        <v>96</v>
      </c>
      <c r="K7" s="45">
        <f>'Playoff Scoring'!I10</f>
        <v>406</v>
      </c>
      <c r="L7" s="45"/>
      <c r="M7" s="4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45"/>
      <c r="B8" s="45">
        <v>3.0</v>
      </c>
      <c r="C8" s="160" t="s">
        <v>193</v>
      </c>
      <c r="D8" s="45">
        <v>10.0</v>
      </c>
      <c r="E8" s="35">
        <f t="shared" si="1"/>
        <v>268</v>
      </c>
      <c r="F8" s="45"/>
      <c r="G8" s="45">
        <f>'Playoff Scoring'!L10</f>
        <v>80</v>
      </c>
      <c r="H8" s="45">
        <f>'Playoff Scoring'!M10</f>
        <v>34</v>
      </c>
      <c r="I8" s="45">
        <f>'Playoff Scoring'!O10</f>
        <v>-6</v>
      </c>
      <c r="J8" s="45">
        <f>'Playoff Scoring'!P10</f>
        <v>26</v>
      </c>
      <c r="K8" s="45">
        <f>'Playoff Scoring'!Q10</f>
        <v>134</v>
      </c>
      <c r="L8" s="45"/>
      <c r="M8" s="4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>
      <c r="B9" s="45">
        <v>11.0</v>
      </c>
      <c r="C9" s="160" t="s">
        <v>194</v>
      </c>
      <c r="D9" s="45">
        <v>8.0</v>
      </c>
      <c r="E9" s="35">
        <f t="shared" si="1"/>
        <v>640</v>
      </c>
      <c r="F9" s="45"/>
      <c r="G9" s="45">
        <f>'Playoff Scoring'!L12</f>
        <v>86</v>
      </c>
      <c r="H9" s="45">
        <f>'Playoff Scoring'!M12</f>
        <v>82</v>
      </c>
      <c r="I9" s="45">
        <f>'Playoff Scoring'!N12</f>
        <v>98</v>
      </c>
      <c r="J9" s="45">
        <f>'Playoff Scoring'!O12</f>
        <v>54</v>
      </c>
      <c r="K9" s="45">
        <f>'Playoff Scoring'!Q12</f>
        <v>320</v>
      </c>
      <c r="L9" s="45"/>
      <c r="M9" s="4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B10" s="45">
        <v>22.0</v>
      </c>
      <c r="C10" s="161" t="s">
        <v>56</v>
      </c>
      <c r="D10" s="45">
        <v>6.0</v>
      </c>
      <c r="E10" s="35">
        <f t="shared" si="1"/>
        <v>500</v>
      </c>
      <c r="F10" s="45"/>
      <c r="G10" s="45">
        <f>'Playoff Scoring'!L9</f>
        <v>116</v>
      </c>
      <c r="H10" s="45">
        <f>'Playoff Scoring'!N9</f>
        <v>32</v>
      </c>
      <c r="I10" s="45">
        <f>'Playoff Scoring'!O9</f>
        <v>48</v>
      </c>
      <c r="J10" s="45">
        <f>'Playoff Scoring'!P9</f>
        <v>54</v>
      </c>
      <c r="K10" s="45">
        <f>'Playoff Scoring'!Q9</f>
        <v>250</v>
      </c>
      <c r="L10" s="45"/>
      <c r="M10" s="4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B11" s="45">
        <v>34.0</v>
      </c>
      <c r="C11" s="161" t="s">
        <v>195</v>
      </c>
      <c r="D11" s="45">
        <v>4.0</v>
      </c>
      <c r="E11" s="35">
        <f t="shared" si="1"/>
        <v>556</v>
      </c>
      <c r="F11" s="45"/>
      <c r="G11" s="45">
        <f>'Playoff Scoring'!M8</f>
        <v>18</v>
      </c>
      <c r="H11" s="45">
        <f>'Playoff Scoring'!N8</f>
        <v>110</v>
      </c>
      <c r="I11" s="45">
        <f>'Playoff Scoring'!O8</f>
        <v>58</v>
      </c>
      <c r="J11" s="45">
        <f>'Playoff Scoring'!P8</f>
        <v>92</v>
      </c>
      <c r="K11" s="45">
        <f>'Playoff Scoring'!Q8</f>
        <v>278</v>
      </c>
      <c r="L11" s="45"/>
      <c r="M11" s="4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B12" s="45">
        <v>37.0</v>
      </c>
      <c r="C12" s="161" t="s">
        <v>196</v>
      </c>
      <c r="D12" s="45">
        <v>2.0</v>
      </c>
      <c r="E12" s="35">
        <f t="shared" si="1"/>
        <v>984</v>
      </c>
      <c r="F12" s="45"/>
      <c r="G12" s="45">
        <f>'Playoff Scoring'!L11</f>
        <v>144</v>
      </c>
      <c r="H12" s="45">
        <f>'Playoff Scoring'!M11</f>
        <v>74</v>
      </c>
      <c r="I12" s="45">
        <f>'Playoff Scoring'!N11</f>
        <v>160</v>
      </c>
      <c r="J12" s="45">
        <f>'Playoff Scoring'!P11</f>
        <v>114</v>
      </c>
      <c r="K12" s="45">
        <f>'Playoff Scoring'!Q11</f>
        <v>492</v>
      </c>
      <c r="L12" s="45"/>
      <c r="M12" s="4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>
      <c r="B13" s="45">
        <v>46.0</v>
      </c>
      <c r="C13" s="161" t="s">
        <v>197</v>
      </c>
      <c r="D13" s="45">
        <v>0.0</v>
      </c>
      <c r="E13" s="35">
        <f t="shared" si="1"/>
        <v>1474</v>
      </c>
      <c r="F13" s="45"/>
      <c r="G13" s="45">
        <f>'Playoff Scoring'!L13</f>
        <v>426</v>
      </c>
      <c r="H13" s="45">
        <f>'Playoff Scoring'!M13</f>
        <v>208</v>
      </c>
      <c r="I13" s="45">
        <f>'Playoff Scoring'!N13</f>
        <v>400</v>
      </c>
      <c r="J13" s="45">
        <f>'Playoff Scoring'!O13</f>
        <v>154</v>
      </c>
      <c r="K13" s="45">
        <f>'Playoff Scoring'!P13</f>
        <v>286</v>
      </c>
      <c r="L13" s="45"/>
      <c r="M13" s="4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B14" s="45">
        <v>1.0</v>
      </c>
      <c r="C14" s="160" t="s">
        <v>198</v>
      </c>
      <c r="D14" s="45">
        <v>10.0</v>
      </c>
      <c r="E14" s="35">
        <f t="shared" si="1"/>
        <v>1648</v>
      </c>
      <c r="F14" s="45"/>
      <c r="G14" s="45">
        <f>'Playoff Scoring'!D22</f>
        <v>416</v>
      </c>
      <c r="H14" s="45">
        <f>'Playoff Scoring'!E22</f>
        <v>284</v>
      </c>
      <c r="I14" s="45">
        <f>'Playoff Scoring'!F22</f>
        <v>304</v>
      </c>
      <c r="J14" s="45">
        <f>'Playoff Scoring'!G22</f>
        <v>342</v>
      </c>
      <c r="K14" s="45">
        <f>'Playoff Scoring'!H22</f>
        <v>302</v>
      </c>
      <c r="L14" s="45"/>
      <c r="M14" s="4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B15" s="45">
        <v>19.0</v>
      </c>
      <c r="C15" s="161" t="s">
        <v>91</v>
      </c>
      <c r="D15" s="45">
        <v>6.0</v>
      </c>
      <c r="E15" s="35">
        <f t="shared" si="1"/>
        <v>736</v>
      </c>
      <c r="F15" s="45"/>
      <c r="G15" s="45">
        <f>'Playoff Scoring'!D20</f>
        <v>130</v>
      </c>
      <c r="H15" s="45">
        <f>'Playoff Scoring'!E20</f>
        <v>42</v>
      </c>
      <c r="I15" s="45">
        <f>'Playoff Scoring'!F20</f>
        <v>102</v>
      </c>
      <c r="J15" s="45">
        <f>'Playoff Scoring'!H20</f>
        <v>94</v>
      </c>
      <c r="K15" s="45">
        <f>'Playoff Scoring'!I20</f>
        <v>368</v>
      </c>
      <c r="L15" s="45"/>
      <c r="M15" s="4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B16" s="45">
        <v>23.0</v>
      </c>
      <c r="C16" s="163" t="s">
        <v>199</v>
      </c>
      <c r="D16" s="45">
        <v>6.0</v>
      </c>
      <c r="E16" s="35">
        <f t="shared" si="1"/>
        <v>596</v>
      </c>
      <c r="F16" s="45"/>
      <c r="G16" s="45">
        <f>'Playoff Scoring'!$E17</f>
        <v>94</v>
      </c>
      <c r="H16" s="45">
        <f>'Playoff Scoring'!F17</f>
        <v>58</v>
      </c>
      <c r="I16" s="45">
        <f>'Playoff Scoring'!G17</f>
        <v>58</v>
      </c>
      <c r="J16" s="45">
        <f>'Playoff Scoring'!H17</f>
        <v>88</v>
      </c>
      <c r="K16" s="45">
        <f>'Playoff Scoring'!I17</f>
        <v>298</v>
      </c>
      <c r="L16" s="45"/>
      <c r="M16" s="4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45"/>
      <c r="B17" s="45">
        <v>24.0</v>
      </c>
      <c r="C17" s="161" t="s">
        <v>200</v>
      </c>
      <c r="D17" s="45">
        <v>6.0</v>
      </c>
      <c r="E17" s="35">
        <f t="shared" si="1"/>
        <v>676</v>
      </c>
      <c r="F17" s="45"/>
      <c r="G17" s="45">
        <f>'Playoff Scoring'!D21</f>
        <v>100</v>
      </c>
      <c r="H17" s="45">
        <f>'Playoff Scoring'!E21</f>
        <v>24</v>
      </c>
      <c r="I17" s="45">
        <f>'Playoff Scoring'!F21</f>
        <v>102</v>
      </c>
      <c r="J17" s="45">
        <f>'Playoff Scoring'!G21</f>
        <v>112</v>
      </c>
      <c r="K17" s="45">
        <f>'Playoff Scoring'!I21</f>
        <v>338</v>
      </c>
      <c r="L17" s="45"/>
      <c r="M17" s="4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B18" s="45">
        <v>39.0</v>
      </c>
      <c r="C18" s="161" t="s">
        <v>63</v>
      </c>
      <c r="D18" s="45">
        <v>2.0</v>
      </c>
      <c r="E18" s="35">
        <f t="shared" si="1"/>
        <v>592</v>
      </c>
      <c r="F18" s="45"/>
      <c r="G18" s="45">
        <f>'Playoff Scoring'!D19</f>
        <v>78</v>
      </c>
      <c r="H18" s="45">
        <f>'Playoff Scoring'!E19</f>
        <v>124</v>
      </c>
      <c r="I18" s="45">
        <f>'Playoff Scoring'!G19</f>
        <v>70</v>
      </c>
      <c r="J18" s="45">
        <f>'Playoff Scoring'!H19</f>
        <v>24</v>
      </c>
      <c r="K18" s="45">
        <f>'Playoff Scoring'!I19</f>
        <v>296</v>
      </c>
      <c r="L18" s="45"/>
      <c r="M18" s="4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B19" s="45">
        <v>48.0</v>
      </c>
      <c r="C19" s="161" t="s">
        <v>201</v>
      </c>
      <c r="D19" s="45">
        <v>0.0</v>
      </c>
      <c r="E19" s="35">
        <f t="shared" si="1"/>
        <v>696</v>
      </c>
      <c r="F19" s="45"/>
      <c r="G19" s="45">
        <f>'Playoff Scoring'!D18</f>
        <v>108</v>
      </c>
      <c r="H19" s="45">
        <f>'Playoff Scoring'!F18</f>
        <v>42</v>
      </c>
      <c r="I19" s="45">
        <f>'Playoff Scoring'!G18</f>
        <v>102</v>
      </c>
      <c r="J19" s="45">
        <f>'Playoff Scoring'!H18</f>
        <v>96</v>
      </c>
      <c r="K19" s="45">
        <f>'Playoff Scoring'!I18</f>
        <v>348</v>
      </c>
      <c r="L19" s="45"/>
      <c r="M19" s="4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>
      <c r="B20" s="45">
        <v>6.0</v>
      </c>
      <c r="C20" s="160" t="s">
        <v>202</v>
      </c>
      <c r="D20" s="45">
        <v>10.0</v>
      </c>
      <c r="E20" s="35">
        <f t="shared" si="1"/>
        <v>536</v>
      </c>
      <c r="F20" s="45"/>
      <c r="G20" s="45">
        <f>'Playoff Scoring'!L18</f>
        <v>82</v>
      </c>
      <c r="H20" s="45">
        <f>'Playoff Scoring'!N18</f>
        <v>78</v>
      </c>
      <c r="I20" s="45">
        <f>'Playoff Scoring'!O18</f>
        <v>58</v>
      </c>
      <c r="J20" s="45">
        <f>'Playoff Scoring'!P18</f>
        <v>50</v>
      </c>
      <c r="K20" s="45">
        <f>'Playoff Scoring'!Q18</f>
        <v>268</v>
      </c>
      <c r="L20" s="45"/>
      <c r="M20" s="4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>
      <c r="B21" s="45">
        <v>12.0</v>
      </c>
      <c r="C21" s="160" t="s">
        <v>92</v>
      </c>
      <c r="D21" s="45">
        <v>8.0</v>
      </c>
      <c r="E21" s="35">
        <f t="shared" si="1"/>
        <v>1394</v>
      </c>
      <c r="F21" s="45"/>
      <c r="G21" s="45">
        <f>'Playoff Scoring'!L22</f>
        <v>382</v>
      </c>
      <c r="H21" s="45">
        <f>'Playoff Scoring'!M22</f>
        <v>282</v>
      </c>
      <c r="I21" s="45">
        <f>'Playoff Scoring'!N22</f>
        <v>266</v>
      </c>
      <c r="J21" s="45">
        <f>'Playoff Scoring'!O22</f>
        <v>220</v>
      </c>
      <c r="K21" s="45">
        <f>'Playoff Scoring'!P22</f>
        <v>244</v>
      </c>
      <c r="L21" s="45"/>
      <c r="M21" s="4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>
      <c r="B22" s="45">
        <v>25.0</v>
      </c>
      <c r="C22" s="161" t="s">
        <v>203</v>
      </c>
      <c r="D22" s="45">
        <v>6.0</v>
      </c>
      <c r="E22" s="35">
        <f t="shared" si="1"/>
        <v>732</v>
      </c>
      <c r="F22" s="45"/>
      <c r="G22" s="45">
        <f>'Playoff Scoring'!L20</f>
        <v>106</v>
      </c>
      <c r="H22" s="45">
        <f>'Playoff Scoring'!M20</f>
        <v>78</v>
      </c>
      <c r="I22" s="45">
        <f>'Playoff Scoring'!N20</f>
        <v>80</v>
      </c>
      <c r="J22" s="45">
        <f>'Playoff Scoring'!P20</f>
        <v>102</v>
      </c>
      <c r="K22" s="45">
        <f>'Playoff Scoring'!Q20</f>
        <v>366</v>
      </c>
      <c r="L22" s="45"/>
      <c r="M22" s="4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>
      <c r="B23" s="45">
        <v>31.0</v>
      </c>
      <c r="C23" s="161" t="s">
        <v>204</v>
      </c>
      <c r="D23" s="45">
        <v>4.0</v>
      </c>
      <c r="E23" s="35">
        <f t="shared" si="1"/>
        <v>588</v>
      </c>
      <c r="F23" s="45"/>
      <c r="G23" s="45">
        <f>'Playoff Scoring'!L21</f>
        <v>106</v>
      </c>
      <c r="H23" s="45">
        <f>'Playoff Scoring'!M21</f>
        <v>96</v>
      </c>
      <c r="I23" s="45">
        <f>'Playoff Scoring'!N21</f>
        <v>44</v>
      </c>
      <c r="J23" s="45">
        <f>'Playoff Scoring'!O21</f>
        <v>48</v>
      </c>
      <c r="K23" s="45">
        <f>'Playoff Scoring'!Q21</f>
        <v>294</v>
      </c>
      <c r="L23" s="45"/>
      <c r="M23" s="4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B24" s="45">
        <v>38.0</v>
      </c>
      <c r="C24" s="161" t="s">
        <v>205</v>
      </c>
      <c r="D24" s="45">
        <v>2.0</v>
      </c>
      <c r="E24" s="35">
        <f t="shared" si="1"/>
        <v>340</v>
      </c>
      <c r="F24" s="45"/>
      <c r="G24" s="45">
        <f>'Playoff Scoring'!M17</f>
        <v>42</v>
      </c>
      <c r="H24" s="45">
        <f>'Playoff Scoring'!N17</f>
        <v>64</v>
      </c>
      <c r="I24" s="45">
        <f>'Playoff Scoring'!O17</f>
        <v>22</v>
      </c>
      <c r="J24" s="45">
        <f>'Playoff Scoring'!P17</f>
        <v>42</v>
      </c>
      <c r="K24" s="45">
        <f>'Playoff Scoring'!Q17</f>
        <v>170</v>
      </c>
      <c r="L24" s="45"/>
      <c r="M24" s="4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B25" s="45">
        <v>47.0</v>
      </c>
      <c r="C25" s="161" t="s">
        <v>206</v>
      </c>
      <c r="D25" s="45">
        <v>0.0</v>
      </c>
      <c r="E25" s="35">
        <f t="shared" si="1"/>
        <v>592</v>
      </c>
      <c r="F25" s="45"/>
      <c r="G25" s="45">
        <f>'Playoff Scoring'!L19</f>
        <v>88</v>
      </c>
      <c r="H25" s="45">
        <f>'Playoff Scoring'!M19</f>
        <v>66</v>
      </c>
      <c r="I25" s="45">
        <f>'Playoff Scoring'!O19</f>
        <v>92</v>
      </c>
      <c r="J25" s="45">
        <f>'Playoff Scoring'!P19</f>
        <v>50</v>
      </c>
      <c r="K25" s="45">
        <f>'Playoff Scoring'!Q19</f>
        <v>296</v>
      </c>
      <c r="L25" s="45"/>
      <c r="M25" s="4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B26" s="45">
        <v>7.0</v>
      </c>
      <c r="C26" s="160" t="s">
        <v>207</v>
      </c>
      <c r="D26" s="45">
        <v>8.0</v>
      </c>
      <c r="E26" s="35">
        <f t="shared" si="1"/>
        <v>656</v>
      </c>
      <c r="F26" s="45"/>
      <c r="G26" s="45">
        <f>'Playoff Scoring'!D29</f>
        <v>86</v>
      </c>
      <c r="H26" s="45">
        <f>'Playoff Scoring'!E29</f>
        <v>34</v>
      </c>
      <c r="I26" s="45">
        <f>'Playoff Scoring'!F29</f>
        <v>78</v>
      </c>
      <c r="J26" s="45">
        <f>'Playoff Scoring'!H29</f>
        <v>130</v>
      </c>
      <c r="K26" s="45">
        <f>'Playoff Scoring'!I29</f>
        <v>328</v>
      </c>
      <c r="L26" s="45"/>
      <c r="M26" s="4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>
      <c r="B27" s="45">
        <v>14.0</v>
      </c>
      <c r="C27" s="160" t="s">
        <v>208</v>
      </c>
      <c r="D27" s="45">
        <v>8.0</v>
      </c>
      <c r="E27" s="35">
        <f t="shared" si="1"/>
        <v>276</v>
      </c>
      <c r="F27" s="45"/>
      <c r="G27" s="45">
        <f>'Playoff Scoring'!D27</f>
        <v>10</v>
      </c>
      <c r="H27" s="45">
        <f>'Playoff Scoring'!F27</f>
        <v>34</v>
      </c>
      <c r="I27" s="45">
        <f>'Playoff Scoring'!G27</f>
        <v>58</v>
      </c>
      <c r="J27" s="45">
        <f>'Playoff Scoring'!H27</f>
        <v>36</v>
      </c>
      <c r="K27" s="45">
        <f>'Playoff Scoring'!I27</f>
        <v>138</v>
      </c>
      <c r="L27" s="45"/>
      <c r="M27" s="4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>
      <c r="B28" s="45">
        <v>20.0</v>
      </c>
      <c r="C28" s="161" t="s">
        <v>209</v>
      </c>
      <c r="D28" s="45">
        <v>6.0</v>
      </c>
      <c r="E28" s="35">
        <f t="shared" si="1"/>
        <v>532</v>
      </c>
      <c r="F28" s="45"/>
      <c r="G28" s="45">
        <f>'Playoff Scoring'!D30</f>
        <v>42</v>
      </c>
      <c r="H28" s="45">
        <f>'Playoff Scoring'!E30</f>
        <v>102</v>
      </c>
      <c r="I28" s="45">
        <f>'Playoff Scoring'!F30</f>
        <v>72</v>
      </c>
      <c r="J28" s="45">
        <f>'Playoff Scoring'!G30</f>
        <v>50</v>
      </c>
      <c r="K28" s="45">
        <f>'Playoff Scoring'!I30</f>
        <v>266</v>
      </c>
      <c r="L28" s="45"/>
      <c r="M28" s="4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>
      <c r="B29" s="45">
        <v>27.0</v>
      </c>
      <c r="C29" s="161" t="s">
        <v>210</v>
      </c>
      <c r="D29" s="45">
        <v>4.0</v>
      </c>
      <c r="E29" s="35">
        <f t="shared" si="1"/>
        <v>400</v>
      </c>
      <c r="F29" s="45"/>
      <c r="G29" s="45">
        <f>'Playoff Scoring'!D28</f>
        <v>78</v>
      </c>
      <c r="H29" s="45">
        <f>'Playoff Scoring'!E28</f>
        <v>24</v>
      </c>
      <c r="I29" s="45">
        <f>'Playoff Scoring'!G28</f>
        <v>56</v>
      </c>
      <c r="J29" s="45">
        <f>'Playoff Scoring'!H28</f>
        <v>42</v>
      </c>
      <c r="K29" s="45">
        <f>'Playoff Scoring'!I28</f>
        <v>200</v>
      </c>
      <c r="L29" s="45"/>
      <c r="M29" s="4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B30" s="45">
        <v>32.0</v>
      </c>
      <c r="C30" s="161" t="s">
        <v>211</v>
      </c>
      <c r="D30" s="45">
        <v>4.0</v>
      </c>
      <c r="E30" s="35">
        <f t="shared" si="1"/>
        <v>1296</v>
      </c>
      <c r="F30" s="45"/>
      <c r="G30" s="45">
        <f>'Playoff Scoring'!D31</f>
        <v>216</v>
      </c>
      <c r="H30" s="45">
        <f>'Playoff Scoring'!E31</f>
        <v>274</v>
      </c>
      <c r="I30" s="45">
        <f>'Playoff Scoring'!F31</f>
        <v>278</v>
      </c>
      <c r="J30" s="45">
        <f>'Playoff Scoring'!G31</f>
        <v>262</v>
      </c>
      <c r="K30" s="45">
        <f>'Playoff Scoring'!H31</f>
        <v>266</v>
      </c>
      <c r="L30" s="45"/>
      <c r="M30" s="4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B31" s="45">
        <v>42.0</v>
      </c>
      <c r="C31" s="161" t="s">
        <v>60</v>
      </c>
      <c r="D31" s="45">
        <v>0.0</v>
      </c>
      <c r="E31" s="35">
        <f t="shared" si="1"/>
        <v>728</v>
      </c>
      <c r="F31" s="45"/>
      <c r="G31" s="45">
        <f>'Playoff Scoring'!$E26</f>
        <v>114</v>
      </c>
      <c r="H31" s="45">
        <f>'Playoff Scoring'!F26</f>
        <v>94</v>
      </c>
      <c r="I31" s="45">
        <f>'Playoff Scoring'!G26</f>
        <v>98</v>
      </c>
      <c r="J31" s="45">
        <f>'Playoff Scoring'!H26</f>
        <v>58</v>
      </c>
      <c r="K31" s="45">
        <f>'Playoff Scoring'!I26</f>
        <v>364</v>
      </c>
      <c r="L31" s="45"/>
      <c r="M31" s="4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>
      <c r="B32" s="45">
        <v>4.0</v>
      </c>
      <c r="C32" s="160" t="s">
        <v>89</v>
      </c>
      <c r="D32" s="45">
        <v>10.0</v>
      </c>
      <c r="E32" s="35">
        <f t="shared" si="1"/>
        <v>340</v>
      </c>
      <c r="F32" s="45"/>
      <c r="G32" s="45">
        <f>'Playoff Scoring'!L28</f>
        <v>40</v>
      </c>
      <c r="H32" s="45">
        <f>'Playoff Scoring'!M28</f>
        <v>14</v>
      </c>
      <c r="I32" s="45">
        <f>'Playoff Scoring'!O28</f>
        <v>68</v>
      </c>
      <c r="J32" s="45">
        <f>'Playoff Scoring'!P28</f>
        <v>48</v>
      </c>
      <c r="K32" s="45">
        <f>'Playoff Scoring'!Q28</f>
        <v>170</v>
      </c>
      <c r="L32" s="45"/>
      <c r="M32" s="4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>
      <c r="B33" s="45">
        <v>9.0</v>
      </c>
      <c r="C33" s="160" t="s">
        <v>212</v>
      </c>
      <c r="D33" s="45">
        <v>8.0</v>
      </c>
      <c r="E33" s="35">
        <f t="shared" si="1"/>
        <v>184</v>
      </c>
      <c r="F33" s="45"/>
      <c r="G33" s="45">
        <f>'Playoff Scoring'!M26</f>
        <v>26</v>
      </c>
      <c r="H33" s="45">
        <f>'Playoff Scoring'!N26</f>
        <v>30</v>
      </c>
      <c r="I33" s="45">
        <f>'Playoff Scoring'!O26</f>
        <v>0</v>
      </c>
      <c r="J33" s="45">
        <f>'Playoff Scoring'!P26</f>
        <v>36</v>
      </c>
      <c r="K33" s="45">
        <f>'Playoff Scoring'!Q26</f>
        <v>92</v>
      </c>
      <c r="L33" s="45"/>
      <c r="M33" s="4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>
      <c r="B34" s="45">
        <v>28.0</v>
      </c>
      <c r="C34" s="161" t="s">
        <v>213</v>
      </c>
      <c r="D34" s="45">
        <v>4.0</v>
      </c>
      <c r="E34" s="35">
        <f t="shared" si="1"/>
        <v>558</v>
      </c>
      <c r="F34" s="45"/>
      <c r="G34" s="45">
        <f>'Playoff Scoring'!L31</f>
        <v>110</v>
      </c>
      <c r="H34" s="45">
        <f>'Playoff Scoring'!M31</f>
        <v>104</v>
      </c>
      <c r="I34" s="45">
        <f>'Playoff Scoring'!N31</f>
        <v>108</v>
      </c>
      <c r="J34" s="45">
        <f>'Playoff Scoring'!O31</f>
        <v>116</v>
      </c>
      <c r="K34" s="45">
        <f>'Playoff Scoring'!P31</f>
        <v>120</v>
      </c>
      <c r="L34" s="45"/>
      <c r="M34" s="4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B35" s="45">
        <v>29.0</v>
      </c>
      <c r="C35" s="161" t="s">
        <v>214</v>
      </c>
      <c r="D35" s="45">
        <v>4.0</v>
      </c>
      <c r="E35" s="35">
        <f t="shared" si="1"/>
        <v>16</v>
      </c>
      <c r="F35" s="45"/>
      <c r="G35" s="45">
        <f>'Playoff Scoring'!L29</f>
        <v>0</v>
      </c>
      <c r="H35" s="45">
        <f>'Playoff Scoring'!M29</f>
        <v>0</v>
      </c>
      <c r="I35" s="45">
        <f>'Playoff Scoring'!N29</f>
        <v>8</v>
      </c>
      <c r="J35" s="45">
        <f>'Playoff Scoring'!P29</f>
        <v>0</v>
      </c>
      <c r="K35" s="45">
        <f>'Playoff Scoring'!Q29</f>
        <v>8</v>
      </c>
      <c r="L35" s="45"/>
      <c r="M35" s="4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B36" s="45">
        <v>35.0</v>
      </c>
      <c r="C36" s="161" t="s">
        <v>215</v>
      </c>
      <c r="D36" s="45">
        <v>2.0</v>
      </c>
      <c r="E36" s="35">
        <f t="shared" si="1"/>
        <v>288</v>
      </c>
      <c r="F36" s="45"/>
      <c r="G36" s="45">
        <f>'Playoff Scoring'!L27</f>
        <v>40</v>
      </c>
      <c r="H36" s="45">
        <f>'Playoff Scoring'!N27</f>
        <v>52</v>
      </c>
      <c r="I36" s="45">
        <f>'Playoff Scoring'!O27</f>
        <v>16</v>
      </c>
      <c r="J36" s="45">
        <f>'Playoff Scoring'!P27</f>
        <v>36</v>
      </c>
      <c r="K36" s="45">
        <f>'Playoff Scoring'!Q27</f>
        <v>144</v>
      </c>
      <c r="L36" s="45"/>
      <c r="M36" s="4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>
      <c r="B37" s="45">
        <v>40.0</v>
      </c>
      <c r="C37" s="161" t="s">
        <v>216</v>
      </c>
      <c r="D37" s="45">
        <v>2.0</v>
      </c>
      <c r="E37" s="35">
        <f t="shared" si="1"/>
        <v>288</v>
      </c>
      <c r="F37" s="45"/>
      <c r="G37" s="45">
        <f>'Playoff Scoring'!L30</f>
        <v>30</v>
      </c>
      <c r="H37" s="45">
        <f>'Playoff Scoring'!M30</f>
        <v>64</v>
      </c>
      <c r="I37" s="45">
        <f>'Playoff Scoring'!N30</f>
        <v>18</v>
      </c>
      <c r="J37" s="45">
        <f>'Playoff Scoring'!O30</f>
        <v>32</v>
      </c>
      <c r="K37" s="45">
        <f>'Playoff Scoring'!Q30</f>
        <v>144</v>
      </c>
      <c r="L37" s="45"/>
      <c r="M37" s="4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>
      <c r="B38" s="45">
        <v>2.0</v>
      </c>
      <c r="C38" s="160" t="s">
        <v>65</v>
      </c>
      <c r="D38" s="45">
        <v>10.0</v>
      </c>
      <c r="E38" s="35" t="str">
        <f t="shared" si="1"/>
        <v>#REF!</v>
      </c>
      <c r="F38" s="45"/>
      <c r="G38" s="45" t="str">
        <f t="shared" ref="G38:K38" si="2">#REF!</f>
        <v>#REF!</v>
      </c>
      <c r="H38" s="45" t="str">
        <f t="shared" si="2"/>
        <v>#REF!</v>
      </c>
      <c r="I38" s="45" t="str">
        <f t="shared" si="2"/>
        <v>#REF!</v>
      </c>
      <c r="J38" s="45" t="str">
        <f t="shared" si="2"/>
        <v>#REF!</v>
      </c>
      <c r="K38" s="45" t="str">
        <f t="shared" si="2"/>
        <v>#REF!</v>
      </c>
      <c r="L38" s="45"/>
      <c r="M38" s="4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>
      <c r="B39" s="45">
        <v>13.0</v>
      </c>
      <c r="C39" s="160" t="s">
        <v>217</v>
      </c>
      <c r="D39" s="45">
        <v>8.0</v>
      </c>
      <c r="E39" s="35" t="str">
        <f t="shared" si="1"/>
        <v>#REF!</v>
      </c>
      <c r="F39" s="45"/>
      <c r="G39" s="45" t="str">
        <f t="shared" ref="G39:K39" si="3">#REF!</f>
        <v>#REF!</v>
      </c>
      <c r="H39" s="45" t="str">
        <f t="shared" si="3"/>
        <v>#REF!</v>
      </c>
      <c r="I39" s="45" t="str">
        <f t="shared" si="3"/>
        <v>#REF!</v>
      </c>
      <c r="J39" s="45" t="str">
        <f t="shared" si="3"/>
        <v>#REF!</v>
      </c>
      <c r="K39" s="45" t="str">
        <f t="shared" si="3"/>
        <v>#REF!</v>
      </c>
      <c r="L39" s="45"/>
      <c r="M39" s="4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>
      <c r="B40" s="45">
        <v>17.0</v>
      </c>
      <c r="C40" s="161" t="s">
        <v>218</v>
      </c>
      <c r="D40" s="45">
        <v>6.0</v>
      </c>
      <c r="E40" s="35" t="str">
        <f t="shared" si="1"/>
        <v>#REF!</v>
      </c>
      <c r="F40" s="45"/>
      <c r="G40" s="45" t="str">
        <f t="shared" ref="G40:K40" si="4">#REF!</f>
        <v>#REF!</v>
      </c>
      <c r="H40" s="45" t="str">
        <f t="shared" si="4"/>
        <v>#REF!</v>
      </c>
      <c r="I40" s="45" t="str">
        <f t="shared" si="4"/>
        <v>#REF!</v>
      </c>
      <c r="J40" s="45" t="str">
        <f t="shared" si="4"/>
        <v>#REF!</v>
      </c>
      <c r="K40" s="45" t="str">
        <f t="shared" si="4"/>
        <v>#REF!</v>
      </c>
      <c r="L40" s="45"/>
      <c r="M40" s="4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>
      <c r="B41" s="45">
        <v>33.0</v>
      </c>
      <c r="C41" s="161" t="s">
        <v>219</v>
      </c>
      <c r="D41" s="45">
        <v>4.0</v>
      </c>
      <c r="E41" s="35" t="str">
        <f t="shared" si="1"/>
        <v>#REF!</v>
      </c>
      <c r="F41" s="45"/>
      <c r="G41" s="45" t="str">
        <f t="shared" ref="G41:K41" si="5">#REF!</f>
        <v>#REF!</v>
      </c>
      <c r="H41" s="45" t="str">
        <f t="shared" si="5"/>
        <v>#REF!</v>
      </c>
      <c r="I41" s="45" t="str">
        <f t="shared" si="5"/>
        <v>#REF!</v>
      </c>
      <c r="J41" s="45" t="str">
        <f t="shared" si="5"/>
        <v>#REF!</v>
      </c>
      <c r="K41" s="45" t="str">
        <f t="shared" si="5"/>
        <v>#REF!</v>
      </c>
      <c r="L41" s="45"/>
      <c r="M41" s="4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>
      <c r="B42" s="45">
        <v>41.0</v>
      </c>
      <c r="C42" s="161" t="s">
        <v>220</v>
      </c>
      <c r="D42" s="45">
        <v>2.0</v>
      </c>
      <c r="E42" s="35" t="str">
        <f t="shared" si="1"/>
        <v>#REF!</v>
      </c>
      <c r="F42" s="45"/>
      <c r="G42" s="45" t="str">
        <f t="shared" ref="G42:K42" si="6">#REF!</f>
        <v>#REF!</v>
      </c>
      <c r="H42" s="45" t="str">
        <f t="shared" si="6"/>
        <v>#REF!</v>
      </c>
      <c r="I42" s="45" t="str">
        <f t="shared" si="6"/>
        <v>#REF!</v>
      </c>
      <c r="J42" s="45" t="str">
        <f t="shared" si="6"/>
        <v>#REF!</v>
      </c>
      <c r="K42" s="45" t="str">
        <f t="shared" si="6"/>
        <v>#REF!</v>
      </c>
      <c r="L42" s="45"/>
      <c r="M42" s="4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B43" s="45">
        <v>43.0</v>
      </c>
      <c r="C43" s="161" t="s">
        <v>221</v>
      </c>
      <c r="D43" s="45">
        <v>0.0</v>
      </c>
      <c r="E43" s="35" t="str">
        <f t="shared" si="1"/>
        <v>#REF!</v>
      </c>
      <c r="F43" s="45"/>
      <c r="G43" s="45" t="str">
        <f t="shared" ref="G43:K43" si="7">#REF!</f>
        <v>#REF!</v>
      </c>
      <c r="H43" s="45" t="str">
        <f t="shared" si="7"/>
        <v>#REF!</v>
      </c>
      <c r="I43" s="45" t="str">
        <f t="shared" si="7"/>
        <v>#REF!</v>
      </c>
      <c r="J43" s="45" t="str">
        <f t="shared" si="7"/>
        <v>#REF!</v>
      </c>
      <c r="K43" s="45" t="str">
        <f t="shared" si="7"/>
        <v>#REF!</v>
      </c>
      <c r="L43" s="45"/>
      <c r="M43" s="4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B44" s="45">
        <v>5.0</v>
      </c>
      <c r="C44" s="160" t="s">
        <v>222</v>
      </c>
      <c r="D44" s="45">
        <v>10.0</v>
      </c>
      <c r="E44" s="35" t="str">
        <f t="shared" si="1"/>
        <v>#REF!</v>
      </c>
      <c r="F44" s="45"/>
      <c r="G44" s="45" t="str">
        <f t="shared" ref="G44:K44" si="8">#REF!</f>
        <v>#REF!</v>
      </c>
      <c r="H44" s="45" t="str">
        <f t="shared" si="8"/>
        <v>#REF!</v>
      </c>
      <c r="I44" s="45" t="str">
        <f t="shared" si="8"/>
        <v>#REF!</v>
      </c>
      <c r="J44" s="45" t="str">
        <f t="shared" si="8"/>
        <v>#REF!</v>
      </c>
      <c r="K44" s="45" t="str">
        <f t="shared" si="8"/>
        <v>#REF!</v>
      </c>
      <c r="L44" s="45"/>
      <c r="M44" s="4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B45" s="45">
        <v>8.0</v>
      </c>
      <c r="C45" s="160" t="s">
        <v>82</v>
      </c>
      <c r="D45" s="45">
        <v>8.0</v>
      </c>
      <c r="E45" s="35" t="str">
        <f t="shared" si="1"/>
        <v>#REF!</v>
      </c>
      <c r="F45" s="45"/>
      <c r="G45" s="45" t="str">
        <f t="shared" ref="G45:K45" si="9">#REF!</f>
        <v>#REF!</v>
      </c>
      <c r="H45" s="45" t="str">
        <f t="shared" si="9"/>
        <v>#REF!</v>
      </c>
      <c r="I45" s="45" t="str">
        <f t="shared" si="9"/>
        <v>#REF!</v>
      </c>
      <c r="J45" s="45" t="str">
        <f t="shared" si="9"/>
        <v>#REF!</v>
      </c>
      <c r="K45" s="45" t="str">
        <f t="shared" si="9"/>
        <v>#REF!</v>
      </c>
      <c r="L45" s="45"/>
      <c r="M45" s="4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B46" s="45">
        <v>16.0</v>
      </c>
      <c r="C46" s="160" t="s">
        <v>54</v>
      </c>
      <c r="D46" s="45">
        <v>6.0</v>
      </c>
      <c r="E46" s="35" t="str">
        <f t="shared" si="1"/>
        <v>#REF!</v>
      </c>
      <c r="F46" s="45"/>
      <c r="G46" s="45" t="str">
        <f t="shared" ref="G46:K46" si="10">#REF!</f>
        <v>#REF!</v>
      </c>
      <c r="H46" s="45" t="str">
        <f t="shared" si="10"/>
        <v>#REF!</v>
      </c>
      <c r="I46" s="45" t="str">
        <f t="shared" si="10"/>
        <v>#REF!</v>
      </c>
      <c r="J46" s="45" t="str">
        <f t="shared" si="10"/>
        <v>#REF!</v>
      </c>
      <c r="K46" s="45" t="str">
        <f t="shared" si="10"/>
        <v>#REF!</v>
      </c>
      <c r="L46" s="45"/>
      <c r="M46" s="4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B47" s="45">
        <v>26.0</v>
      </c>
      <c r="C47" s="161" t="s">
        <v>223</v>
      </c>
      <c r="D47" s="45">
        <v>4.0</v>
      </c>
      <c r="E47" s="35" t="str">
        <f t="shared" si="1"/>
        <v>#REF!</v>
      </c>
      <c r="F47" s="45"/>
      <c r="G47" s="45" t="str">
        <f t="shared" ref="G47:K47" si="11">#REF!</f>
        <v>#REF!</v>
      </c>
      <c r="H47" s="45" t="str">
        <f t="shared" si="11"/>
        <v>#REF!</v>
      </c>
      <c r="I47" s="45" t="str">
        <f t="shared" si="11"/>
        <v>#REF!</v>
      </c>
      <c r="J47" s="45" t="str">
        <f t="shared" si="11"/>
        <v>#REF!</v>
      </c>
      <c r="K47" s="45" t="str">
        <f t="shared" si="11"/>
        <v>#REF!</v>
      </c>
      <c r="L47" s="45"/>
      <c r="M47" s="4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B48" s="45">
        <v>36.0</v>
      </c>
      <c r="C48" s="161" t="s">
        <v>224</v>
      </c>
      <c r="D48" s="45">
        <v>2.0</v>
      </c>
      <c r="E48" s="35" t="str">
        <f t="shared" si="1"/>
        <v>#REF!</v>
      </c>
      <c r="F48" s="45"/>
      <c r="G48" s="45" t="str">
        <f t="shared" ref="G48:K48" si="12">#REF!</f>
        <v>#REF!</v>
      </c>
      <c r="H48" s="45" t="str">
        <f t="shared" si="12"/>
        <v>#REF!</v>
      </c>
      <c r="I48" s="45" t="str">
        <f t="shared" si="12"/>
        <v>#REF!</v>
      </c>
      <c r="J48" s="45" t="str">
        <f t="shared" si="12"/>
        <v>#REF!</v>
      </c>
      <c r="K48" s="45" t="str">
        <f t="shared" si="12"/>
        <v>#REF!</v>
      </c>
      <c r="L48" s="45"/>
      <c r="M48" s="4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>
      <c r="B49" s="45">
        <v>45.0</v>
      </c>
      <c r="C49" s="161" t="s">
        <v>225</v>
      </c>
      <c r="D49" s="45">
        <v>0.0</v>
      </c>
      <c r="E49" s="35" t="str">
        <f t="shared" si="1"/>
        <v>#REF!</v>
      </c>
      <c r="F49" s="45"/>
      <c r="G49" s="45" t="str">
        <f t="shared" ref="G49:K49" si="13">#REF!</f>
        <v>#REF!</v>
      </c>
      <c r="H49" s="45" t="str">
        <f t="shared" si="13"/>
        <v>#REF!</v>
      </c>
      <c r="I49" s="45" t="str">
        <f t="shared" si="13"/>
        <v>#REF!</v>
      </c>
      <c r="J49" s="45" t="str">
        <f t="shared" si="13"/>
        <v>#REF!</v>
      </c>
      <c r="K49" s="45" t="str">
        <f t="shared" si="13"/>
        <v>#REF!</v>
      </c>
      <c r="L49" s="45"/>
      <c r="M49" s="4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B50" s="45"/>
      <c r="C50" s="161"/>
      <c r="D50" s="45"/>
      <c r="E50" s="35"/>
      <c r="F50" s="45"/>
      <c r="G50" s="45"/>
      <c r="H50" s="45"/>
      <c r="I50" s="45"/>
      <c r="J50" s="45"/>
      <c r="K50" s="45"/>
      <c r="L50" s="45"/>
      <c r="M50" s="4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B51" s="45"/>
      <c r="C51" s="161"/>
      <c r="D51" s="45"/>
      <c r="E51" s="35"/>
      <c r="F51" s="45"/>
      <c r="G51" s="45"/>
      <c r="H51" s="45"/>
      <c r="I51" s="45"/>
      <c r="J51" s="45"/>
      <c r="K51" s="45"/>
      <c r="L51" s="45"/>
      <c r="M51" s="4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>
      <c r="B52" s="45"/>
      <c r="C52" s="161"/>
      <c r="D52" s="45"/>
      <c r="E52" s="35"/>
      <c r="F52" s="45"/>
      <c r="G52" s="45"/>
      <c r="H52" s="45"/>
      <c r="I52" s="45"/>
      <c r="J52" s="45"/>
      <c r="K52" s="45"/>
      <c r="L52" s="45"/>
      <c r="M52" s="4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>
      <c r="B53" s="45"/>
      <c r="C53" s="161"/>
      <c r="D53" s="45"/>
      <c r="E53" s="35"/>
      <c r="F53" s="45"/>
      <c r="G53" s="45"/>
      <c r="H53" s="45"/>
      <c r="I53" s="45"/>
      <c r="J53" s="45"/>
      <c r="K53" s="45"/>
      <c r="L53" s="45"/>
      <c r="M53" s="4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B54" s="45"/>
      <c r="C54" s="161"/>
      <c r="D54" s="45"/>
      <c r="E54" s="35"/>
      <c r="F54" s="45"/>
      <c r="G54" s="45"/>
      <c r="H54" s="45"/>
      <c r="I54" s="45"/>
      <c r="J54" s="45"/>
      <c r="K54" s="45"/>
      <c r="L54" s="45"/>
      <c r="M54" s="4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>
      <c r="B55" s="45"/>
      <c r="C55" s="161"/>
      <c r="D55" s="45"/>
      <c r="E55" s="35"/>
      <c r="F55" s="45"/>
      <c r="G55" s="45"/>
      <c r="H55" s="45"/>
      <c r="I55" s="45"/>
      <c r="J55" s="45"/>
      <c r="K55" s="45"/>
      <c r="L55" s="45"/>
      <c r="M55" s="4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>
      <c r="B56" s="45"/>
      <c r="C56" s="161"/>
      <c r="D56" s="45"/>
      <c r="E56" s="35"/>
      <c r="F56" s="45"/>
      <c r="G56" s="45"/>
      <c r="H56" s="45"/>
      <c r="I56" s="45"/>
      <c r="J56" s="45"/>
      <c r="K56" s="45"/>
      <c r="L56" s="45"/>
      <c r="M56" s="4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B57" s="45"/>
      <c r="C57" s="161"/>
      <c r="D57" s="45"/>
      <c r="E57" s="35"/>
      <c r="F57" s="45"/>
      <c r="G57" s="45"/>
      <c r="H57" s="45"/>
      <c r="I57" s="45"/>
      <c r="J57" s="45"/>
      <c r="K57" s="45"/>
      <c r="L57" s="45"/>
      <c r="M57" s="4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A58" s="35"/>
      <c r="B58" s="35"/>
      <c r="C58" s="119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>
      <c r="A59" s="35"/>
      <c r="B59" s="35"/>
      <c r="C59" s="119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>
      <c r="A60" s="35"/>
      <c r="B60" s="35"/>
      <c r="C60" s="119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>
      <c r="A61" s="35"/>
      <c r="B61" s="35"/>
      <c r="C61" s="119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>
      <c r="A62" s="35"/>
      <c r="B62" s="35"/>
      <c r="C62" s="119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>
      <c r="A63" s="35"/>
      <c r="B63" s="35"/>
      <c r="C63" s="119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>
      <c r="A64" s="35"/>
      <c r="B64" s="35"/>
      <c r="C64" s="119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>
      <c r="A65" s="35"/>
      <c r="B65" s="35"/>
      <c r="C65" s="119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>
      <c r="A66" s="35"/>
      <c r="B66" s="35"/>
      <c r="C66" s="119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>
      <c r="A67" s="35"/>
      <c r="B67" s="35"/>
      <c r="C67" s="119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>
      <c r="A68" s="35"/>
      <c r="B68" s="35"/>
      <c r="C68" s="119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>
      <c r="A69" s="35"/>
      <c r="B69" s="35"/>
      <c r="C69" s="119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>
      <c r="A70" s="35"/>
      <c r="B70" s="35"/>
      <c r="C70" s="119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>
      <c r="A71" s="35"/>
      <c r="B71" s="35"/>
      <c r="C71" s="119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>
      <c r="A72" s="35"/>
      <c r="B72" s="35"/>
      <c r="C72" s="119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>
      <c r="A73" s="35"/>
      <c r="B73" s="35"/>
      <c r="C73" s="119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>
      <c r="A74" s="35"/>
      <c r="B74" s="35"/>
      <c r="C74" s="119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>
      <c r="A75" s="35"/>
      <c r="B75" s="35"/>
      <c r="C75" s="119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>
      <c r="A76" s="35"/>
      <c r="B76" s="35"/>
      <c r="C76" s="119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>
      <c r="A77" s="35"/>
      <c r="B77" s="35"/>
      <c r="C77" s="119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>
      <c r="A78" s="35"/>
      <c r="B78" s="35"/>
      <c r="C78" s="119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>
      <c r="A79" s="35"/>
      <c r="B79" s="35"/>
      <c r="C79" s="119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>
      <c r="A80" s="35"/>
      <c r="B80" s="35"/>
      <c r="C80" s="119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35"/>
      <c r="B81" s="35"/>
      <c r="C81" s="119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>
      <c r="A82" s="35"/>
      <c r="B82" s="35"/>
      <c r="C82" s="119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>
      <c r="A83" s="35"/>
      <c r="B83" s="35"/>
      <c r="C83" s="119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>
      <c r="A84" s="35"/>
      <c r="B84" s="35"/>
      <c r="C84" s="119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>
      <c r="A85" s="35"/>
      <c r="B85" s="35"/>
      <c r="C85" s="119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>
      <c r="A86" s="35"/>
      <c r="B86" s="35"/>
      <c r="C86" s="119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>
      <c r="A87" s="35"/>
      <c r="B87" s="35"/>
      <c r="C87" s="119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>
      <c r="A88" s="35"/>
      <c r="B88" s="35"/>
      <c r="C88" s="119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>
      <c r="A89" s="35"/>
      <c r="B89" s="35"/>
      <c r="C89" s="119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>
      <c r="A90" s="35"/>
      <c r="B90" s="35"/>
      <c r="C90" s="119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>
      <c r="A91" s="35"/>
      <c r="B91" s="35"/>
      <c r="C91" s="119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>
      <c r="A92" s="35"/>
      <c r="B92" s="35"/>
      <c r="C92" s="119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>
      <c r="A93" s="35"/>
      <c r="B93" s="35"/>
      <c r="C93" s="119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>
      <c r="A94" s="35"/>
      <c r="B94" s="35"/>
      <c r="C94" s="119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>
      <c r="A95" s="35"/>
      <c r="B95" s="35"/>
      <c r="C95" s="119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>
      <c r="A96" s="35"/>
      <c r="B96" s="35"/>
      <c r="C96" s="119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>
      <c r="A97" s="35"/>
      <c r="B97" s="35"/>
      <c r="C97" s="119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>
      <c r="A98" s="35"/>
      <c r="B98" s="35"/>
      <c r="C98" s="119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>
      <c r="A99" s="35"/>
      <c r="B99" s="35"/>
      <c r="C99" s="119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>
      <c r="A100" s="35"/>
      <c r="B100" s="35"/>
      <c r="C100" s="119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>
      <c r="A101" s="35"/>
      <c r="B101" s="35"/>
      <c r="C101" s="119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>
      <c r="A102" s="35"/>
      <c r="B102" s="35"/>
      <c r="C102" s="119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>
      <c r="A103" s="35"/>
      <c r="B103" s="35"/>
      <c r="C103" s="119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>
      <c r="A104" s="35"/>
      <c r="B104" s="35"/>
      <c r="C104" s="119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>
      <c r="A105" s="35"/>
      <c r="B105" s="35"/>
      <c r="C105" s="119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>
      <c r="A106" s="35"/>
      <c r="B106" s="35"/>
      <c r="C106" s="119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>
      <c r="A107" s="35"/>
      <c r="B107" s="35"/>
      <c r="C107" s="119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>
      <c r="A108" s="35"/>
      <c r="B108" s="35"/>
      <c r="C108" s="119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>
      <c r="A109" s="35"/>
      <c r="B109" s="35"/>
      <c r="C109" s="119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>
      <c r="A110" s="35"/>
      <c r="B110" s="35"/>
      <c r="C110" s="119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>
      <c r="A111" s="35"/>
      <c r="B111" s="35"/>
      <c r="C111" s="119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>
      <c r="A112" s="35"/>
      <c r="B112" s="35"/>
      <c r="C112" s="119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>
      <c r="A113" s="35"/>
      <c r="B113" s="35"/>
      <c r="C113" s="119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>
      <c r="A114" s="35"/>
      <c r="B114" s="35"/>
      <c r="C114" s="119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>
      <c r="A115" s="35"/>
      <c r="B115" s="35"/>
      <c r="C115" s="119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>
      <c r="A116" s="35"/>
      <c r="B116" s="35"/>
      <c r="C116" s="119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>
      <c r="A117" s="35"/>
      <c r="B117" s="35"/>
      <c r="C117" s="119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>
      <c r="A118" s="35"/>
      <c r="B118" s="35"/>
      <c r="C118" s="119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>
      <c r="A119" s="35"/>
      <c r="B119" s="35"/>
      <c r="C119" s="119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>
      <c r="A120" s="35"/>
      <c r="B120" s="35"/>
      <c r="C120" s="119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>
      <c r="A121" s="35"/>
      <c r="B121" s="35"/>
      <c r="C121" s="119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>
      <c r="A122" s="35"/>
      <c r="B122" s="35"/>
      <c r="C122" s="119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>
      <c r="A123" s="35"/>
      <c r="B123" s="35"/>
      <c r="C123" s="119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>
      <c r="A124" s="35"/>
      <c r="B124" s="35"/>
      <c r="C124" s="119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>
      <c r="A125" s="35"/>
      <c r="B125" s="35"/>
      <c r="C125" s="119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>
      <c r="A126" s="35"/>
      <c r="B126" s="35"/>
      <c r="C126" s="119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35"/>
      <c r="B127" s="35"/>
      <c r="C127" s="119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35"/>
      <c r="B128" s="35"/>
      <c r="C128" s="119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A129" s="35"/>
      <c r="B129" s="35"/>
      <c r="C129" s="119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35"/>
      <c r="B130" s="35"/>
      <c r="C130" s="119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35"/>
      <c r="B131" s="35"/>
      <c r="C131" s="119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35"/>
      <c r="B132" s="35"/>
      <c r="C132" s="119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35"/>
      <c r="B133" s="35"/>
      <c r="C133" s="119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35"/>
      <c r="B134" s="35"/>
      <c r="C134" s="119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A135" s="35"/>
      <c r="B135" s="35"/>
      <c r="C135" s="119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35"/>
      <c r="B136" s="35"/>
      <c r="C136" s="119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35"/>
      <c r="B137" s="35"/>
      <c r="C137" s="119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35"/>
      <c r="B138" s="35"/>
      <c r="C138" s="119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35"/>
      <c r="B139" s="35"/>
      <c r="C139" s="119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A140" s="35"/>
      <c r="B140" s="35"/>
      <c r="C140" s="119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35"/>
      <c r="B141" s="35"/>
      <c r="C141" s="119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35"/>
      <c r="B142" s="35"/>
      <c r="C142" s="119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35"/>
      <c r="B143" s="35"/>
      <c r="C143" s="119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35"/>
      <c r="B144" s="35"/>
      <c r="C144" s="119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35"/>
      <c r="B145" s="35"/>
      <c r="C145" s="119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A146" s="35"/>
      <c r="B146" s="35"/>
      <c r="C146" s="119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A147" s="35"/>
      <c r="B147" s="35"/>
      <c r="C147" s="119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A148" s="35"/>
      <c r="B148" s="35"/>
      <c r="C148" s="119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A149" s="35"/>
      <c r="B149" s="35"/>
      <c r="C149" s="119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A150" s="35"/>
      <c r="B150" s="35"/>
      <c r="C150" s="119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A151" s="35"/>
      <c r="B151" s="35"/>
      <c r="C151" s="119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35"/>
      <c r="B152" s="35"/>
      <c r="C152" s="119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35"/>
      <c r="B153" s="35"/>
      <c r="C153" s="119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35"/>
      <c r="B154" s="35"/>
      <c r="C154" s="119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35"/>
      <c r="B155" s="35"/>
      <c r="C155" s="119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A156" s="35"/>
      <c r="B156" s="35"/>
      <c r="C156" s="119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35"/>
      <c r="B157" s="35"/>
      <c r="C157" s="119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35"/>
      <c r="B158" s="35"/>
      <c r="C158" s="119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35"/>
      <c r="B159" s="35"/>
      <c r="C159" s="119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35"/>
      <c r="B160" s="35"/>
      <c r="C160" s="119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A161" s="35"/>
      <c r="B161" s="35"/>
      <c r="C161" s="119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35"/>
      <c r="B162" s="35"/>
      <c r="C162" s="119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35"/>
      <c r="B163" s="35"/>
      <c r="C163" s="119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35"/>
      <c r="B164" s="35"/>
      <c r="C164" s="119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35"/>
      <c r="B165" s="35"/>
      <c r="C165" s="119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A166" s="35"/>
      <c r="B166" s="35"/>
      <c r="C166" s="119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35"/>
      <c r="B167" s="35"/>
      <c r="C167" s="119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35"/>
      <c r="B168" s="35"/>
      <c r="C168" s="119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35"/>
      <c r="B169" s="35"/>
      <c r="C169" s="119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35"/>
      <c r="B170" s="35"/>
      <c r="C170" s="119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35"/>
      <c r="B171" s="35"/>
      <c r="C171" s="119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35"/>
      <c r="B172" s="35"/>
      <c r="C172" s="119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35"/>
      <c r="B173" s="35"/>
      <c r="C173" s="11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35"/>
      <c r="B174" s="35"/>
      <c r="C174" s="119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35"/>
      <c r="B175" s="35"/>
      <c r="C175" s="119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35"/>
      <c r="B176" s="35"/>
      <c r="C176" s="119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35"/>
      <c r="B177" s="35"/>
      <c r="C177" s="119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A178" s="35"/>
      <c r="B178" s="35"/>
      <c r="C178" s="119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A179" s="35"/>
      <c r="B179" s="35"/>
      <c r="C179" s="119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A180" s="35"/>
      <c r="B180" s="35"/>
      <c r="C180" s="119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A181" s="35"/>
      <c r="B181" s="35"/>
      <c r="C181" s="119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A182" s="35"/>
      <c r="B182" s="35"/>
      <c r="C182" s="119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A183" s="35"/>
      <c r="B183" s="35"/>
      <c r="C183" s="119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A184" s="35"/>
      <c r="B184" s="35"/>
      <c r="C184" s="119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A185" s="35"/>
      <c r="B185" s="35"/>
      <c r="C185" s="119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A186" s="35"/>
      <c r="B186" s="35"/>
      <c r="C186" s="119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35"/>
      <c r="B187" s="35"/>
      <c r="C187" s="119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35"/>
      <c r="B188" s="35"/>
      <c r="C188" s="119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35"/>
      <c r="B189" s="35"/>
      <c r="C189" s="119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A190" s="35"/>
      <c r="B190" s="35"/>
      <c r="C190" s="119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A191" s="35"/>
      <c r="B191" s="35"/>
      <c r="C191" s="119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35"/>
      <c r="B192" s="35"/>
      <c r="C192" s="119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35"/>
      <c r="B193" s="35"/>
      <c r="C193" s="119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35"/>
      <c r="B194" s="35"/>
      <c r="C194" s="119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35"/>
      <c r="B195" s="35"/>
      <c r="C195" s="119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A196" s="35"/>
      <c r="B196" s="35"/>
      <c r="C196" s="119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A197" s="35"/>
      <c r="B197" s="35"/>
      <c r="C197" s="119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35"/>
      <c r="B198" s="35"/>
      <c r="C198" s="119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35"/>
      <c r="B199" s="35"/>
      <c r="C199" s="119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A200" s="35"/>
      <c r="B200" s="35"/>
      <c r="C200" s="119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35"/>
      <c r="B201" s="35"/>
      <c r="C201" s="119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35"/>
      <c r="B202" s="35"/>
      <c r="C202" s="119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35"/>
      <c r="B203" s="35"/>
      <c r="C203" s="119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35"/>
      <c r="B204" s="35"/>
      <c r="C204" s="119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35"/>
      <c r="B205" s="35"/>
      <c r="C205" s="119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A206" s="35"/>
      <c r="B206" s="35"/>
      <c r="C206" s="119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A207" s="35"/>
      <c r="B207" s="35"/>
      <c r="C207" s="119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35"/>
      <c r="B208" s="35"/>
      <c r="C208" s="119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35"/>
      <c r="B209" s="35"/>
      <c r="C209" s="119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35"/>
      <c r="B210" s="35"/>
      <c r="C210" s="119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35"/>
      <c r="B211" s="35"/>
      <c r="C211" s="119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35"/>
      <c r="B212" s="35"/>
      <c r="C212" s="119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35"/>
      <c r="B213" s="35"/>
      <c r="C213" s="119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35"/>
      <c r="B214" s="35"/>
      <c r="C214" s="119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35"/>
      <c r="B215" s="35"/>
      <c r="C215" s="119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35"/>
      <c r="B216" s="35"/>
      <c r="C216" s="119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35"/>
      <c r="B217" s="35"/>
      <c r="C217" s="119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35"/>
      <c r="B218" s="35"/>
      <c r="C218" s="119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35"/>
      <c r="B219" s="35"/>
      <c r="C219" s="119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35"/>
      <c r="B220" s="35"/>
      <c r="C220" s="119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35"/>
      <c r="B221" s="35"/>
      <c r="C221" s="119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35"/>
      <c r="B222" s="35"/>
      <c r="C222" s="119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35"/>
      <c r="B223" s="35"/>
      <c r="C223" s="119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35"/>
      <c r="B224" s="35"/>
      <c r="C224" s="119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35"/>
      <c r="B225" s="35"/>
      <c r="C225" s="119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35"/>
      <c r="B226" s="35"/>
      <c r="C226" s="119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35"/>
      <c r="B227" s="35"/>
      <c r="C227" s="119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35"/>
      <c r="B228" s="35"/>
      <c r="C228" s="119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35"/>
      <c r="B229" s="35"/>
      <c r="C229" s="119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35"/>
      <c r="B230" s="35"/>
      <c r="C230" s="119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35"/>
      <c r="B231" s="35"/>
      <c r="C231" s="119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35"/>
      <c r="B232" s="35"/>
      <c r="C232" s="119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35"/>
      <c r="B233" s="35"/>
      <c r="C233" s="119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35"/>
      <c r="B234" s="35"/>
      <c r="C234" s="119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35"/>
      <c r="B235" s="35"/>
      <c r="C235" s="119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35"/>
      <c r="B236" s="35"/>
      <c r="C236" s="119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35"/>
      <c r="B237" s="35"/>
      <c r="C237" s="119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35"/>
      <c r="B238" s="35"/>
      <c r="C238" s="119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35"/>
      <c r="B239" s="35"/>
      <c r="C239" s="119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35"/>
      <c r="B240" s="35"/>
      <c r="C240" s="119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35"/>
      <c r="B241" s="35"/>
      <c r="C241" s="119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35"/>
      <c r="B242" s="35"/>
      <c r="C242" s="119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35"/>
      <c r="B243" s="35"/>
      <c r="C243" s="119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35"/>
      <c r="B244" s="35"/>
      <c r="C244" s="119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35"/>
      <c r="B245" s="35"/>
      <c r="C245" s="119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35"/>
      <c r="B246" s="35"/>
      <c r="C246" s="119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35"/>
      <c r="B247" s="35"/>
      <c r="C247" s="119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35"/>
      <c r="B248" s="35"/>
      <c r="C248" s="119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35"/>
      <c r="B249" s="35"/>
      <c r="C249" s="119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35"/>
      <c r="B250" s="35"/>
      <c r="C250" s="119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>
      <c r="A251" s="35"/>
      <c r="B251" s="35"/>
      <c r="C251" s="119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>
      <c r="A252" s="35"/>
      <c r="B252" s="35"/>
      <c r="C252" s="119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35"/>
      <c r="B253" s="35"/>
      <c r="C253" s="119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35"/>
      <c r="B254" s="35"/>
      <c r="C254" s="119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35"/>
      <c r="B255" s="35"/>
      <c r="C255" s="119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35"/>
      <c r="B256" s="35"/>
      <c r="C256" s="119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35"/>
      <c r="B257" s="35"/>
      <c r="C257" s="119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35"/>
      <c r="B258" s="35"/>
      <c r="C258" s="119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35"/>
      <c r="B259" s="35"/>
      <c r="C259" s="119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35"/>
      <c r="B260" s="35"/>
      <c r="C260" s="119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35"/>
      <c r="B261" s="35"/>
      <c r="C261" s="119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35"/>
      <c r="B262" s="35"/>
      <c r="C262" s="119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35"/>
      <c r="B263" s="35"/>
      <c r="C263" s="119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35"/>
      <c r="B264" s="35"/>
      <c r="C264" s="119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35"/>
      <c r="B265" s="35"/>
      <c r="C265" s="119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35"/>
      <c r="B266" s="35"/>
      <c r="C266" s="119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35"/>
      <c r="B267" s="35"/>
      <c r="C267" s="119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35"/>
      <c r="B268" s="35"/>
      <c r="C268" s="119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35"/>
      <c r="B269" s="35"/>
      <c r="C269" s="119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35"/>
      <c r="B270" s="35"/>
      <c r="C270" s="119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35"/>
      <c r="B271" s="35"/>
      <c r="C271" s="119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35"/>
      <c r="B272" s="35"/>
      <c r="C272" s="119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35"/>
      <c r="B273" s="35"/>
      <c r="C273" s="119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35"/>
      <c r="B274" s="35"/>
      <c r="C274" s="119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35"/>
      <c r="B275" s="35"/>
      <c r="C275" s="119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35"/>
      <c r="B276" s="35"/>
      <c r="C276" s="119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35"/>
      <c r="B277" s="35"/>
      <c r="C277" s="119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35"/>
      <c r="B278" s="35"/>
      <c r="C278" s="119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35"/>
      <c r="B279" s="35"/>
      <c r="C279" s="119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35"/>
      <c r="B280" s="35"/>
      <c r="C280" s="119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35"/>
      <c r="B281" s="35"/>
      <c r="C281" s="119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35"/>
      <c r="B282" s="35"/>
      <c r="C282" s="119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35"/>
      <c r="B283" s="35"/>
      <c r="C283" s="119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35"/>
      <c r="B284" s="35"/>
      <c r="C284" s="119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35"/>
      <c r="B285" s="35"/>
      <c r="C285" s="119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35"/>
      <c r="B286" s="35"/>
      <c r="C286" s="119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35"/>
      <c r="B287" s="35"/>
      <c r="C287" s="119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35"/>
      <c r="B288" s="35"/>
      <c r="C288" s="119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35"/>
      <c r="B289" s="35"/>
      <c r="C289" s="119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35"/>
      <c r="B290" s="35"/>
      <c r="C290" s="119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35"/>
      <c r="B291" s="35"/>
      <c r="C291" s="119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35"/>
      <c r="B292" s="35"/>
      <c r="C292" s="119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35"/>
      <c r="B293" s="35"/>
      <c r="C293" s="119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35"/>
      <c r="B294" s="35"/>
      <c r="C294" s="119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35"/>
      <c r="B295" s="35"/>
      <c r="C295" s="119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35"/>
      <c r="B296" s="35"/>
      <c r="C296" s="119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35"/>
      <c r="B297" s="35"/>
      <c r="C297" s="119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35"/>
      <c r="B298" s="35"/>
      <c r="C298" s="119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35"/>
      <c r="B299" s="35"/>
      <c r="C299" s="119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35"/>
      <c r="B300" s="35"/>
      <c r="C300" s="119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35"/>
      <c r="B301" s="35"/>
      <c r="C301" s="119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35"/>
      <c r="B302" s="35"/>
      <c r="C302" s="119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35"/>
      <c r="B303" s="35"/>
      <c r="C303" s="119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35"/>
      <c r="B304" s="35"/>
      <c r="C304" s="119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35"/>
      <c r="B305" s="35"/>
      <c r="C305" s="119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35"/>
      <c r="B306" s="35"/>
      <c r="C306" s="119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35"/>
      <c r="B307" s="35"/>
      <c r="C307" s="119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35"/>
      <c r="B308" s="35"/>
      <c r="C308" s="119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35"/>
      <c r="B309" s="35"/>
      <c r="C309" s="119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35"/>
      <c r="B310" s="35"/>
      <c r="C310" s="119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35"/>
      <c r="B311" s="35"/>
      <c r="C311" s="119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35"/>
      <c r="B312" s="35"/>
      <c r="C312" s="119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35"/>
      <c r="B313" s="35"/>
      <c r="C313" s="119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35"/>
      <c r="B314" s="35"/>
      <c r="C314" s="119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35"/>
      <c r="B315" s="35"/>
      <c r="C315" s="119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35"/>
      <c r="B316" s="35"/>
      <c r="C316" s="119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35"/>
      <c r="B317" s="35"/>
      <c r="C317" s="119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35"/>
      <c r="B318" s="35"/>
      <c r="C318" s="119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35"/>
      <c r="B319" s="35"/>
      <c r="C319" s="119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35"/>
      <c r="B320" s="35"/>
      <c r="C320" s="119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35"/>
      <c r="B321" s="35"/>
      <c r="C321" s="119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35"/>
      <c r="B322" s="35"/>
      <c r="C322" s="119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35"/>
      <c r="B323" s="35"/>
      <c r="C323" s="119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35"/>
      <c r="B324" s="35"/>
      <c r="C324" s="119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35"/>
      <c r="B325" s="35"/>
      <c r="C325" s="119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35"/>
      <c r="B326" s="35"/>
      <c r="C326" s="119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35"/>
      <c r="B327" s="35"/>
      <c r="C327" s="119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35"/>
      <c r="B328" s="35"/>
      <c r="C328" s="119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35"/>
      <c r="B329" s="35"/>
      <c r="C329" s="119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35"/>
      <c r="B330" s="35"/>
      <c r="C330" s="119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35"/>
      <c r="B331" s="35"/>
      <c r="C331" s="119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35"/>
      <c r="B332" s="35"/>
      <c r="C332" s="119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35"/>
      <c r="B333" s="35"/>
      <c r="C333" s="119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35"/>
      <c r="B334" s="35"/>
      <c r="C334" s="119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35"/>
      <c r="B335" s="35"/>
      <c r="C335" s="119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35"/>
      <c r="B336" s="35"/>
      <c r="C336" s="119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35"/>
      <c r="B337" s="35"/>
      <c r="C337" s="119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35"/>
      <c r="B338" s="35"/>
      <c r="C338" s="119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35"/>
      <c r="B339" s="35"/>
      <c r="C339" s="119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35"/>
      <c r="B340" s="35"/>
      <c r="C340" s="119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35"/>
      <c r="B341" s="35"/>
      <c r="C341" s="119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35"/>
      <c r="B342" s="35"/>
      <c r="C342" s="119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35"/>
      <c r="B343" s="35"/>
      <c r="C343" s="119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35"/>
      <c r="B344" s="35"/>
      <c r="C344" s="119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35"/>
      <c r="B345" s="35"/>
      <c r="C345" s="119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35"/>
      <c r="B346" s="35"/>
      <c r="C346" s="119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35"/>
      <c r="B347" s="35"/>
      <c r="C347" s="119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35"/>
      <c r="B348" s="35"/>
      <c r="C348" s="119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35"/>
      <c r="B349" s="35"/>
      <c r="C349" s="119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35"/>
      <c r="B350" s="35"/>
      <c r="C350" s="119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35"/>
      <c r="B351" s="35"/>
      <c r="C351" s="119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>
      <c r="A352" s="35"/>
      <c r="B352" s="35"/>
      <c r="C352" s="119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>
      <c r="A353" s="35"/>
      <c r="B353" s="35"/>
      <c r="C353" s="119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>
      <c r="A354" s="35"/>
      <c r="B354" s="35"/>
      <c r="C354" s="119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>
      <c r="A355" s="35"/>
      <c r="B355" s="35"/>
      <c r="C355" s="119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>
      <c r="A356" s="35"/>
      <c r="B356" s="35"/>
      <c r="C356" s="119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>
      <c r="A357" s="35"/>
      <c r="B357" s="35"/>
      <c r="C357" s="119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>
      <c r="A358" s="35"/>
      <c r="B358" s="35"/>
      <c r="C358" s="119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>
      <c r="A359" s="35"/>
      <c r="B359" s="35"/>
      <c r="C359" s="119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>
      <c r="A360" s="35"/>
      <c r="B360" s="35"/>
      <c r="C360" s="119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>
      <c r="A361" s="35"/>
      <c r="B361" s="35"/>
      <c r="C361" s="119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>
      <c r="A362" s="35"/>
      <c r="B362" s="35"/>
      <c r="C362" s="119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>
      <c r="A363" s="35"/>
      <c r="B363" s="35"/>
      <c r="C363" s="119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>
      <c r="A364" s="35"/>
      <c r="B364" s="35"/>
      <c r="C364" s="119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>
      <c r="A365" s="35"/>
      <c r="B365" s="35"/>
      <c r="C365" s="119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>
      <c r="A366" s="35"/>
      <c r="B366" s="35"/>
      <c r="C366" s="119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>
      <c r="A367" s="35"/>
      <c r="B367" s="35"/>
      <c r="C367" s="119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>
      <c r="A368" s="35"/>
      <c r="B368" s="35"/>
      <c r="C368" s="119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>
      <c r="A369" s="35"/>
      <c r="B369" s="35"/>
      <c r="C369" s="119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>
      <c r="A370" s="35"/>
      <c r="B370" s="35"/>
      <c r="C370" s="119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>
      <c r="A371" s="35"/>
      <c r="B371" s="35"/>
      <c r="C371" s="119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>
      <c r="A372" s="35"/>
      <c r="B372" s="35"/>
      <c r="C372" s="119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>
      <c r="A373" s="35"/>
      <c r="B373" s="35"/>
      <c r="C373" s="119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35"/>
      <c r="B374" s="35"/>
      <c r="C374" s="119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35"/>
      <c r="B375" s="35"/>
      <c r="C375" s="119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35"/>
      <c r="B376" s="35"/>
      <c r="C376" s="119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35"/>
      <c r="B377" s="35"/>
      <c r="C377" s="119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35"/>
      <c r="B378" s="35"/>
      <c r="C378" s="119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35"/>
      <c r="B379" s="35"/>
      <c r="C379" s="119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35"/>
      <c r="B380" s="35"/>
      <c r="C380" s="119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35"/>
      <c r="B381" s="35"/>
      <c r="C381" s="119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35"/>
      <c r="B382" s="35"/>
      <c r="C382" s="119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35"/>
      <c r="B383" s="35"/>
      <c r="C383" s="119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35"/>
      <c r="B384" s="35"/>
      <c r="C384" s="119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35"/>
      <c r="B385" s="35"/>
      <c r="C385" s="119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35"/>
      <c r="B386" s="35"/>
      <c r="C386" s="119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35"/>
      <c r="B387" s="35"/>
      <c r="C387" s="119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35"/>
      <c r="B388" s="35"/>
      <c r="C388" s="119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35"/>
      <c r="B389" s="35"/>
      <c r="C389" s="119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35"/>
      <c r="B390" s="35"/>
      <c r="C390" s="119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35"/>
      <c r="B391" s="35"/>
      <c r="C391" s="119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35"/>
      <c r="B392" s="35"/>
      <c r="C392" s="119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A393" s="35"/>
      <c r="B393" s="35"/>
      <c r="C393" s="119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>
      <c r="A394" s="35"/>
      <c r="B394" s="35"/>
      <c r="C394" s="119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>
      <c r="A395" s="35"/>
      <c r="B395" s="35"/>
      <c r="C395" s="119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>
      <c r="A396" s="35"/>
      <c r="B396" s="35"/>
      <c r="C396" s="119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35"/>
      <c r="B397" s="35"/>
      <c r="C397" s="119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35"/>
      <c r="B398" s="35"/>
      <c r="C398" s="119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35"/>
      <c r="B399" s="35"/>
      <c r="C399" s="119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35"/>
      <c r="B400" s="35"/>
      <c r="C400" s="119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35"/>
      <c r="B401" s="35"/>
      <c r="C401" s="119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35"/>
      <c r="B402" s="35"/>
      <c r="C402" s="119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35"/>
      <c r="B403" s="35"/>
      <c r="C403" s="119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35"/>
      <c r="B404" s="35"/>
      <c r="C404" s="119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35"/>
      <c r="B405" s="35"/>
      <c r="C405" s="119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35"/>
      <c r="B406" s="35"/>
      <c r="C406" s="119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35"/>
      <c r="B407" s="35"/>
      <c r="C407" s="119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>
      <c r="A408" s="35"/>
      <c r="B408" s="35"/>
      <c r="C408" s="119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>
      <c r="A409" s="35"/>
      <c r="B409" s="35"/>
      <c r="C409" s="119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>
      <c r="A410" s="35"/>
      <c r="B410" s="35"/>
      <c r="C410" s="119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>
      <c r="A411" s="35"/>
      <c r="B411" s="35"/>
      <c r="C411" s="119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>
      <c r="A412" s="35"/>
      <c r="B412" s="35"/>
      <c r="C412" s="119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>
      <c r="A413" s="35"/>
      <c r="B413" s="35"/>
      <c r="C413" s="119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>
      <c r="A414" s="35"/>
      <c r="B414" s="35"/>
      <c r="C414" s="119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>
      <c r="A415" s="35"/>
      <c r="B415" s="35"/>
      <c r="C415" s="119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>
      <c r="A416" s="35"/>
      <c r="B416" s="35"/>
      <c r="C416" s="119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>
      <c r="A417" s="35"/>
      <c r="B417" s="35"/>
      <c r="C417" s="119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>
      <c r="A418" s="35"/>
      <c r="B418" s="35"/>
      <c r="C418" s="119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>
      <c r="A419" s="35"/>
      <c r="B419" s="35"/>
      <c r="C419" s="119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>
      <c r="A420" s="35"/>
      <c r="B420" s="35"/>
      <c r="C420" s="119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>
      <c r="A421" s="35"/>
      <c r="B421" s="35"/>
      <c r="C421" s="119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>
      <c r="A422" s="35"/>
      <c r="B422" s="35"/>
      <c r="C422" s="119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>
      <c r="A423" s="35"/>
      <c r="B423" s="35"/>
      <c r="C423" s="119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35"/>
      <c r="B424" s="35"/>
      <c r="C424" s="119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35"/>
      <c r="B425" s="35"/>
      <c r="C425" s="119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>
      <c r="A426" s="35"/>
      <c r="B426" s="35"/>
      <c r="C426" s="119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>
      <c r="A427" s="35"/>
      <c r="B427" s="35"/>
      <c r="C427" s="119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>
      <c r="A428" s="35"/>
      <c r="B428" s="35"/>
      <c r="C428" s="119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>
      <c r="A429" s="35"/>
      <c r="B429" s="35"/>
      <c r="C429" s="119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>
      <c r="A430" s="35"/>
      <c r="B430" s="35"/>
      <c r="C430" s="119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>
      <c r="A431" s="35"/>
      <c r="B431" s="35"/>
      <c r="C431" s="119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>
      <c r="A432" s="35"/>
      <c r="B432" s="35"/>
      <c r="C432" s="119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>
      <c r="A433" s="35"/>
      <c r="B433" s="35"/>
      <c r="C433" s="119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>
      <c r="A434" s="35"/>
      <c r="B434" s="35"/>
      <c r="C434" s="119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>
      <c r="A435" s="35"/>
      <c r="B435" s="35"/>
      <c r="C435" s="119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>
      <c r="A436" s="35"/>
      <c r="B436" s="35"/>
      <c r="C436" s="119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>
      <c r="A437" s="35"/>
      <c r="B437" s="35"/>
      <c r="C437" s="119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>
      <c r="A438" s="35"/>
      <c r="B438" s="35"/>
      <c r="C438" s="119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>
      <c r="A439" s="35"/>
      <c r="B439" s="35"/>
      <c r="C439" s="119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>
      <c r="A440" s="35"/>
      <c r="B440" s="35"/>
      <c r="C440" s="119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>
      <c r="A441" s="35"/>
      <c r="B441" s="35"/>
      <c r="C441" s="119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>
      <c r="A442" s="35"/>
      <c r="B442" s="35"/>
      <c r="C442" s="119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>
      <c r="A443" s="35"/>
      <c r="B443" s="35"/>
      <c r="C443" s="119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>
      <c r="A444" s="35"/>
      <c r="B444" s="35"/>
      <c r="C444" s="119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>
      <c r="A445" s="35"/>
      <c r="B445" s="35"/>
      <c r="C445" s="119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>
      <c r="A446" s="35"/>
      <c r="B446" s="35"/>
      <c r="C446" s="119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>
      <c r="A447" s="35"/>
      <c r="B447" s="35"/>
      <c r="C447" s="119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>
      <c r="A448" s="35"/>
      <c r="B448" s="35"/>
      <c r="C448" s="119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>
      <c r="A449" s="35"/>
      <c r="B449" s="35"/>
      <c r="C449" s="119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>
      <c r="A450" s="35"/>
      <c r="B450" s="35"/>
      <c r="C450" s="119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>
      <c r="A451" s="35"/>
      <c r="B451" s="35"/>
      <c r="C451" s="119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>
      <c r="A452" s="35"/>
      <c r="B452" s="35"/>
      <c r="C452" s="119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>
      <c r="A453" s="35"/>
      <c r="B453" s="35"/>
      <c r="C453" s="119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>
      <c r="A454" s="35"/>
      <c r="B454" s="35"/>
      <c r="C454" s="119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>
      <c r="A455" s="35"/>
      <c r="B455" s="35"/>
      <c r="C455" s="119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>
      <c r="A456" s="35"/>
      <c r="B456" s="35"/>
      <c r="C456" s="119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35"/>
      <c r="B457" s="35"/>
      <c r="C457" s="119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35"/>
      <c r="B458" s="35"/>
      <c r="C458" s="119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35"/>
      <c r="B459" s="35"/>
      <c r="C459" s="119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35"/>
      <c r="B460" s="35"/>
      <c r="C460" s="119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35"/>
      <c r="B461" s="35"/>
      <c r="C461" s="119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35"/>
      <c r="B462" s="35"/>
      <c r="C462" s="119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35"/>
      <c r="B463" s="35"/>
      <c r="C463" s="119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35"/>
      <c r="B464" s="35"/>
      <c r="C464" s="119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35"/>
      <c r="B465" s="35"/>
      <c r="C465" s="119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35"/>
      <c r="B466" s="35"/>
      <c r="C466" s="119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35"/>
      <c r="B467" s="35"/>
      <c r="C467" s="119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35"/>
      <c r="B468" s="35"/>
      <c r="C468" s="119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35"/>
      <c r="B469" s="35"/>
      <c r="C469" s="119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35"/>
      <c r="B470" s="35"/>
      <c r="C470" s="119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35"/>
      <c r="B471" s="35"/>
      <c r="C471" s="119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35"/>
      <c r="B472" s="35"/>
      <c r="C472" s="119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35"/>
      <c r="B473" s="35"/>
      <c r="C473" s="119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35"/>
      <c r="B474" s="35"/>
      <c r="C474" s="119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35"/>
      <c r="B475" s="35"/>
      <c r="C475" s="119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35"/>
      <c r="B476" s="35"/>
      <c r="C476" s="119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35"/>
      <c r="B477" s="35"/>
      <c r="C477" s="119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35"/>
      <c r="B478" s="35"/>
      <c r="C478" s="119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35"/>
      <c r="B479" s="35"/>
      <c r="C479" s="119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35"/>
      <c r="B480" s="35"/>
      <c r="C480" s="119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35"/>
      <c r="B481" s="35"/>
      <c r="C481" s="119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35"/>
      <c r="B482" s="35"/>
      <c r="C482" s="119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35"/>
      <c r="B483" s="35"/>
      <c r="C483" s="119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35"/>
      <c r="B484" s="35"/>
      <c r="C484" s="119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35"/>
      <c r="B485" s="35"/>
      <c r="C485" s="119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35"/>
      <c r="B486" s="35"/>
      <c r="C486" s="119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35"/>
      <c r="B487" s="35"/>
      <c r="C487" s="119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35"/>
      <c r="B488" s="35"/>
      <c r="C488" s="119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35"/>
      <c r="B489" s="35"/>
      <c r="C489" s="119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35"/>
      <c r="B490" s="35"/>
      <c r="C490" s="119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35"/>
      <c r="B491" s="35"/>
      <c r="C491" s="119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35"/>
      <c r="B492" s="35"/>
      <c r="C492" s="119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35"/>
      <c r="B493" s="35"/>
      <c r="C493" s="119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35"/>
      <c r="B494" s="35"/>
      <c r="C494" s="119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35"/>
      <c r="B495" s="35"/>
      <c r="C495" s="119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35"/>
      <c r="B496" s="35"/>
      <c r="C496" s="119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35"/>
      <c r="B497" s="35"/>
      <c r="C497" s="119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35"/>
      <c r="B498" s="35"/>
      <c r="C498" s="119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35"/>
      <c r="B499" s="35"/>
      <c r="C499" s="119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35"/>
      <c r="B500" s="35"/>
      <c r="C500" s="119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35"/>
      <c r="B501" s="35"/>
      <c r="C501" s="119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35"/>
      <c r="B502" s="35"/>
      <c r="C502" s="119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35"/>
      <c r="B503" s="35"/>
      <c r="C503" s="119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35"/>
      <c r="B504" s="35"/>
      <c r="C504" s="119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35"/>
      <c r="B505" s="35"/>
      <c r="C505" s="119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35"/>
      <c r="B506" s="35"/>
      <c r="C506" s="119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35"/>
      <c r="B507" s="35"/>
      <c r="C507" s="119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35"/>
      <c r="B508" s="35"/>
      <c r="C508" s="119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35"/>
      <c r="B509" s="35"/>
      <c r="C509" s="119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35"/>
      <c r="B510" s="35"/>
      <c r="C510" s="119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35"/>
      <c r="B511" s="35"/>
      <c r="C511" s="119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35"/>
      <c r="B512" s="35"/>
      <c r="C512" s="119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35"/>
      <c r="B513" s="35"/>
      <c r="C513" s="119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35"/>
      <c r="B514" s="35"/>
      <c r="C514" s="119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35"/>
      <c r="B515" s="35"/>
      <c r="C515" s="119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35"/>
      <c r="B516" s="35"/>
      <c r="C516" s="119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35"/>
      <c r="B517" s="35"/>
      <c r="C517" s="119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35"/>
      <c r="B518" s="35"/>
      <c r="C518" s="119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35"/>
      <c r="B519" s="35"/>
      <c r="C519" s="119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35"/>
      <c r="B520" s="35"/>
      <c r="C520" s="119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35"/>
      <c r="B521" s="35"/>
      <c r="C521" s="119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35"/>
      <c r="B522" s="35"/>
      <c r="C522" s="119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35"/>
      <c r="B523" s="35"/>
      <c r="C523" s="119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35"/>
      <c r="B524" s="35"/>
      <c r="C524" s="119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35"/>
      <c r="B525" s="35"/>
      <c r="C525" s="119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35"/>
      <c r="B526" s="35"/>
      <c r="C526" s="119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35"/>
      <c r="B527" s="35"/>
      <c r="C527" s="119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35"/>
      <c r="B528" s="35"/>
      <c r="C528" s="119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35"/>
      <c r="B529" s="35"/>
      <c r="C529" s="119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35"/>
      <c r="B530" s="35"/>
      <c r="C530" s="119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35"/>
      <c r="B531" s="35"/>
      <c r="C531" s="119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35"/>
      <c r="B532" s="35"/>
      <c r="C532" s="119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35"/>
      <c r="B533" s="35"/>
      <c r="C533" s="119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35"/>
      <c r="B534" s="35"/>
      <c r="C534" s="119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>
      <c r="A535" s="35"/>
      <c r="B535" s="35"/>
      <c r="C535" s="119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35"/>
      <c r="B536" s="35"/>
      <c r="C536" s="119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35"/>
      <c r="B537" s="35"/>
      <c r="C537" s="119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35"/>
      <c r="B538" s="35"/>
      <c r="C538" s="119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35"/>
      <c r="B539" s="35"/>
      <c r="C539" s="119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35"/>
      <c r="B540" s="35"/>
      <c r="C540" s="119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35"/>
      <c r="B541" s="35"/>
      <c r="C541" s="119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35"/>
      <c r="B542" s="35"/>
      <c r="C542" s="119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35"/>
      <c r="B543" s="35"/>
      <c r="C543" s="119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35"/>
      <c r="B544" s="35"/>
      <c r="C544" s="119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35"/>
      <c r="B545" s="35"/>
      <c r="C545" s="119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35"/>
      <c r="B546" s="35"/>
      <c r="C546" s="119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35"/>
      <c r="B547" s="35"/>
      <c r="C547" s="119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35"/>
      <c r="B548" s="35"/>
      <c r="C548" s="119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35"/>
      <c r="B549" s="35"/>
      <c r="C549" s="119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35"/>
      <c r="B550" s="35"/>
      <c r="C550" s="119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35"/>
      <c r="B551" s="35"/>
      <c r="C551" s="119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35"/>
      <c r="B552" s="35"/>
      <c r="C552" s="119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35"/>
      <c r="B553" s="35"/>
      <c r="C553" s="119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35"/>
      <c r="B554" s="35"/>
      <c r="C554" s="119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35"/>
      <c r="B555" s="35"/>
      <c r="C555" s="119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35"/>
      <c r="B556" s="35"/>
      <c r="C556" s="119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35"/>
      <c r="B557" s="35"/>
      <c r="C557" s="119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35"/>
      <c r="B558" s="35"/>
      <c r="C558" s="119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35"/>
      <c r="B559" s="35"/>
      <c r="C559" s="119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35"/>
      <c r="B560" s="35"/>
      <c r="C560" s="119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35"/>
      <c r="B561" s="35"/>
      <c r="C561" s="119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35"/>
      <c r="B562" s="35"/>
      <c r="C562" s="119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35"/>
      <c r="B563" s="35"/>
      <c r="C563" s="119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35"/>
      <c r="B564" s="35"/>
      <c r="C564" s="119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35"/>
      <c r="B565" s="35"/>
      <c r="C565" s="119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35"/>
      <c r="B566" s="35"/>
      <c r="C566" s="119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35"/>
      <c r="B567" s="35"/>
      <c r="C567" s="119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35"/>
      <c r="B568" s="35"/>
      <c r="C568" s="119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35"/>
      <c r="B569" s="35"/>
      <c r="C569" s="119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>
      <c r="A570" s="35"/>
      <c r="B570" s="35"/>
      <c r="C570" s="119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>
      <c r="A571" s="35"/>
      <c r="B571" s="35"/>
      <c r="C571" s="119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>
      <c r="A572" s="35"/>
      <c r="B572" s="35"/>
      <c r="C572" s="119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>
      <c r="A573" s="35"/>
      <c r="B573" s="35"/>
      <c r="C573" s="119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35"/>
      <c r="B574" s="35"/>
      <c r="C574" s="119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35"/>
      <c r="B575" s="35"/>
      <c r="C575" s="119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35"/>
      <c r="B576" s="35"/>
      <c r="C576" s="119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35"/>
      <c r="B577" s="35"/>
      <c r="C577" s="119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35"/>
      <c r="B578" s="35"/>
      <c r="C578" s="119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35"/>
      <c r="B579" s="35"/>
      <c r="C579" s="119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35"/>
      <c r="B580" s="35"/>
      <c r="C580" s="119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35"/>
      <c r="B581" s="35"/>
      <c r="C581" s="119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35"/>
      <c r="B582" s="35"/>
      <c r="C582" s="119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35"/>
      <c r="B583" s="35"/>
      <c r="C583" s="119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35"/>
      <c r="B584" s="35"/>
      <c r="C584" s="119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35"/>
      <c r="B585" s="35"/>
      <c r="C585" s="119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35"/>
      <c r="B586" s="35"/>
      <c r="C586" s="119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35"/>
      <c r="B587" s="35"/>
      <c r="C587" s="119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35"/>
      <c r="B588" s="35"/>
      <c r="C588" s="119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35"/>
      <c r="B589" s="35"/>
      <c r="C589" s="119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35"/>
      <c r="B590" s="35"/>
      <c r="C590" s="119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35"/>
      <c r="B591" s="35"/>
      <c r="C591" s="119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35"/>
      <c r="B592" s="35"/>
      <c r="C592" s="119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35"/>
      <c r="B593" s="35"/>
      <c r="C593" s="119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35"/>
      <c r="B594" s="35"/>
      <c r="C594" s="119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35"/>
      <c r="B595" s="35"/>
      <c r="C595" s="119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35"/>
      <c r="B596" s="35"/>
      <c r="C596" s="119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35"/>
      <c r="B597" s="35"/>
      <c r="C597" s="119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35"/>
      <c r="B598" s="35"/>
      <c r="C598" s="119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35"/>
      <c r="B599" s="35"/>
      <c r="C599" s="119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35"/>
      <c r="B600" s="35"/>
      <c r="C600" s="119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35"/>
      <c r="B601" s="35"/>
      <c r="C601" s="119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35"/>
      <c r="B602" s="35"/>
      <c r="C602" s="119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35"/>
      <c r="B603" s="35"/>
      <c r="C603" s="119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35"/>
      <c r="B604" s="35"/>
      <c r="C604" s="119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35"/>
      <c r="B605" s="35"/>
      <c r="C605" s="119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35"/>
      <c r="B606" s="35"/>
      <c r="C606" s="119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35"/>
      <c r="B607" s="35"/>
      <c r="C607" s="119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35"/>
      <c r="B608" s="35"/>
      <c r="C608" s="119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35"/>
      <c r="B609" s="35"/>
      <c r="C609" s="119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35"/>
      <c r="B610" s="35"/>
      <c r="C610" s="119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35"/>
      <c r="B611" s="35"/>
      <c r="C611" s="119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35"/>
      <c r="B612" s="35"/>
      <c r="C612" s="119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35"/>
      <c r="B613" s="35"/>
      <c r="C613" s="119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35"/>
      <c r="B614" s="35"/>
      <c r="C614" s="119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35"/>
      <c r="B615" s="35"/>
      <c r="C615" s="119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35"/>
      <c r="B616" s="35"/>
      <c r="C616" s="119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35"/>
      <c r="B617" s="35"/>
      <c r="C617" s="119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35"/>
      <c r="B618" s="35"/>
      <c r="C618" s="119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35"/>
      <c r="B619" s="35"/>
      <c r="C619" s="119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35"/>
      <c r="B620" s="35"/>
      <c r="C620" s="119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35"/>
      <c r="B621" s="35"/>
      <c r="C621" s="119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35"/>
      <c r="B622" s="35"/>
      <c r="C622" s="119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35"/>
      <c r="B623" s="35"/>
      <c r="C623" s="119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35"/>
      <c r="B624" s="35"/>
      <c r="C624" s="119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35"/>
      <c r="B625" s="35"/>
      <c r="C625" s="119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35"/>
      <c r="B626" s="35"/>
      <c r="C626" s="119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35"/>
      <c r="B627" s="35"/>
      <c r="C627" s="119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35"/>
      <c r="B628" s="35"/>
      <c r="C628" s="119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35"/>
      <c r="B629" s="35"/>
      <c r="C629" s="119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35"/>
      <c r="B630" s="35"/>
      <c r="C630" s="119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35"/>
      <c r="B631" s="35"/>
      <c r="C631" s="119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35"/>
      <c r="B632" s="35"/>
      <c r="C632" s="119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35"/>
      <c r="B633" s="35"/>
      <c r="C633" s="119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35"/>
      <c r="B634" s="35"/>
      <c r="C634" s="119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35"/>
      <c r="B635" s="35"/>
      <c r="C635" s="119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35"/>
      <c r="B636" s="35"/>
      <c r="C636" s="119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35"/>
      <c r="B637" s="35"/>
      <c r="C637" s="119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35"/>
      <c r="B638" s="35"/>
      <c r="C638" s="119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35"/>
      <c r="B639" s="35"/>
      <c r="C639" s="119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35"/>
      <c r="B640" s="35"/>
      <c r="C640" s="119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35"/>
      <c r="B641" s="35"/>
      <c r="C641" s="119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35"/>
      <c r="B642" s="35"/>
      <c r="C642" s="119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35"/>
      <c r="B643" s="35"/>
      <c r="C643" s="119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35"/>
      <c r="B644" s="35"/>
      <c r="C644" s="119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35"/>
      <c r="B645" s="35"/>
      <c r="C645" s="119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35"/>
      <c r="B646" s="35"/>
      <c r="C646" s="119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35"/>
      <c r="B647" s="35"/>
      <c r="C647" s="119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35"/>
      <c r="B648" s="35"/>
      <c r="C648" s="119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35"/>
      <c r="B649" s="35"/>
      <c r="C649" s="119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35"/>
      <c r="B650" s="35"/>
      <c r="C650" s="119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35"/>
      <c r="B651" s="35"/>
      <c r="C651" s="119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35"/>
      <c r="B652" s="35"/>
      <c r="C652" s="119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35"/>
      <c r="B653" s="35"/>
      <c r="C653" s="119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35"/>
      <c r="B654" s="35"/>
      <c r="C654" s="119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35"/>
      <c r="B655" s="35"/>
      <c r="C655" s="119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35"/>
      <c r="B656" s="35"/>
      <c r="C656" s="119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35"/>
      <c r="B657" s="35"/>
      <c r="C657" s="119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35"/>
      <c r="B658" s="35"/>
      <c r="C658" s="119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35"/>
      <c r="B659" s="35"/>
      <c r="C659" s="119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35"/>
      <c r="B660" s="35"/>
      <c r="C660" s="119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35"/>
      <c r="B661" s="35"/>
      <c r="C661" s="119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35"/>
      <c r="B662" s="35"/>
      <c r="C662" s="119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35"/>
      <c r="B663" s="35"/>
      <c r="C663" s="119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35"/>
      <c r="B664" s="35"/>
      <c r="C664" s="119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35"/>
      <c r="B665" s="35"/>
      <c r="C665" s="119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35"/>
      <c r="B666" s="35"/>
      <c r="C666" s="119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35"/>
      <c r="B667" s="35"/>
      <c r="C667" s="119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35"/>
      <c r="B668" s="35"/>
      <c r="C668" s="119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35"/>
      <c r="B669" s="35"/>
      <c r="C669" s="119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35"/>
      <c r="B670" s="35"/>
      <c r="C670" s="119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35"/>
      <c r="B671" s="35"/>
      <c r="C671" s="119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35"/>
      <c r="B672" s="35"/>
      <c r="C672" s="119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35"/>
      <c r="B673" s="35"/>
      <c r="C673" s="119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35"/>
      <c r="B674" s="35"/>
      <c r="C674" s="119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35"/>
      <c r="B675" s="35"/>
      <c r="C675" s="119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35"/>
      <c r="B676" s="35"/>
      <c r="C676" s="119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35"/>
      <c r="B677" s="35"/>
      <c r="C677" s="119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35"/>
      <c r="B678" s="35"/>
      <c r="C678" s="119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35"/>
      <c r="B679" s="35"/>
      <c r="C679" s="119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35"/>
      <c r="B680" s="35"/>
      <c r="C680" s="119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35"/>
      <c r="B681" s="35"/>
      <c r="C681" s="119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35"/>
      <c r="B682" s="35"/>
      <c r="C682" s="119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35"/>
      <c r="B683" s="35"/>
      <c r="C683" s="119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35"/>
      <c r="B684" s="35"/>
      <c r="C684" s="119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35"/>
      <c r="B685" s="35"/>
      <c r="C685" s="119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35"/>
      <c r="B686" s="35"/>
      <c r="C686" s="119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35"/>
      <c r="B687" s="35"/>
      <c r="C687" s="119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35"/>
      <c r="B688" s="35"/>
      <c r="C688" s="119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35"/>
      <c r="B689" s="35"/>
      <c r="C689" s="119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35"/>
      <c r="B690" s="35"/>
      <c r="C690" s="119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35"/>
      <c r="B691" s="35"/>
      <c r="C691" s="119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35"/>
      <c r="B692" s="35"/>
      <c r="C692" s="119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35"/>
      <c r="B693" s="35"/>
      <c r="C693" s="119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35"/>
      <c r="B694" s="35"/>
      <c r="C694" s="119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35"/>
      <c r="B695" s="35"/>
      <c r="C695" s="119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35"/>
      <c r="B696" s="35"/>
      <c r="C696" s="119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35"/>
      <c r="B697" s="35"/>
      <c r="C697" s="119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35"/>
      <c r="B698" s="35"/>
      <c r="C698" s="119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35"/>
      <c r="B699" s="35"/>
      <c r="C699" s="119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35"/>
      <c r="B700" s="35"/>
      <c r="C700" s="119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35"/>
      <c r="B701" s="35"/>
      <c r="C701" s="119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35"/>
      <c r="B702" s="35"/>
      <c r="C702" s="119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35"/>
      <c r="B703" s="35"/>
      <c r="C703" s="119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35"/>
      <c r="B704" s="35"/>
      <c r="C704" s="119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35"/>
      <c r="B705" s="35"/>
      <c r="C705" s="119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35"/>
      <c r="B706" s="35"/>
      <c r="C706" s="119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35"/>
      <c r="B707" s="35"/>
      <c r="C707" s="119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35"/>
      <c r="B708" s="35"/>
      <c r="C708" s="119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35"/>
      <c r="B709" s="35"/>
      <c r="C709" s="119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35"/>
      <c r="B710" s="35"/>
      <c r="C710" s="119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35"/>
      <c r="B711" s="35"/>
      <c r="C711" s="119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>
      <c r="A712" s="35"/>
      <c r="B712" s="35"/>
      <c r="C712" s="119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>
      <c r="A713" s="35"/>
      <c r="B713" s="35"/>
      <c r="C713" s="119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>
      <c r="A714" s="35"/>
      <c r="B714" s="35"/>
      <c r="C714" s="119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>
      <c r="A715" s="35"/>
      <c r="B715" s="35"/>
      <c r="C715" s="119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>
      <c r="A716" s="35"/>
      <c r="B716" s="35"/>
      <c r="C716" s="119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>
      <c r="A717" s="35"/>
      <c r="B717" s="35"/>
      <c r="C717" s="119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>
      <c r="A718" s="35"/>
      <c r="B718" s="35"/>
      <c r="C718" s="119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>
      <c r="A719" s="35"/>
      <c r="B719" s="35"/>
      <c r="C719" s="119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>
      <c r="A720" s="35"/>
      <c r="B720" s="35"/>
      <c r="C720" s="119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>
      <c r="A721" s="35"/>
      <c r="B721" s="35"/>
      <c r="C721" s="119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>
      <c r="A722" s="35"/>
      <c r="B722" s="35"/>
      <c r="C722" s="119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>
      <c r="A723" s="35"/>
      <c r="B723" s="35"/>
      <c r="C723" s="119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>
      <c r="A724" s="35"/>
      <c r="B724" s="35"/>
      <c r="C724" s="119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>
      <c r="A725" s="35"/>
      <c r="B725" s="35"/>
      <c r="C725" s="119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>
      <c r="A726" s="35"/>
      <c r="B726" s="35"/>
      <c r="C726" s="119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>
      <c r="A727" s="35"/>
      <c r="B727" s="35"/>
      <c r="C727" s="119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>
      <c r="A728" s="35"/>
      <c r="B728" s="35"/>
      <c r="C728" s="119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>
      <c r="A729" s="35"/>
      <c r="B729" s="35"/>
      <c r="C729" s="119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>
      <c r="A730" s="35"/>
      <c r="B730" s="35"/>
      <c r="C730" s="119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>
      <c r="A731" s="35"/>
      <c r="B731" s="35"/>
      <c r="C731" s="119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>
      <c r="A732" s="35"/>
      <c r="B732" s="35"/>
      <c r="C732" s="119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>
      <c r="A733" s="35"/>
      <c r="B733" s="35"/>
      <c r="C733" s="119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>
      <c r="A734" s="35"/>
      <c r="B734" s="35"/>
      <c r="C734" s="119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>
      <c r="A735" s="35"/>
      <c r="B735" s="35"/>
      <c r="C735" s="119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>
      <c r="A736" s="35"/>
      <c r="B736" s="35"/>
      <c r="C736" s="119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>
      <c r="A737" s="35"/>
      <c r="B737" s="35"/>
      <c r="C737" s="119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>
      <c r="A738" s="35"/>
      <c r="B738" s="35"/>
      <c r="C738" s="119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>
      <c r="A739" s="35"/>
      <c r="B739" s="35"/>
      <c r="C739" s="119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>
      <c r="A740" s="35"/>
      <c r="B740" s="35"/>
      <c r="C740" s="119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>
      <c r="A741" s="35"/>
      <c r="B741" s="35"/>
      <c r="C741" s="119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>
      <c r="A742" s="35"/>
      <c r="B742" s="35"/>
      <c r="C742" s="119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>
      <c r="A743" s="35"/>
      <c r="B743" s="35"/>
      <c r="C743" s="119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>
      <c r="A744" s="35"/>
      <c r="B744" s="35"/>
      <c r="C744" s="119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>
      <c r="A745" s="35"/>
      <c r="B745" s="35"/>
      <c r="C745" s="119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>
      <c r="A746" s="35"/>
      <c r="B746" s="35"/>
      <c r="C746" s="119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>
      <c r="A747" s="35"/>
      <c r="B747" s="35"/>
      <c r="C747" s="119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>
      <c r="A748" s="35"/>
      <c r="B748" s="35"/>
      <c r="C748" s="119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>
      <c r="A749" s="35"/>
      <c r="B749" s="35"/>
      <c r="C749" s="119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>
      <c r="A750" s="35"/>
      <c r="B750" s="35"/>
      <c r="C750" s="119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>
      <c r="A751" s="35"/>
      <c r="B751" s="35"/>
      <c r="C751" s="119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>
      <c r="A752" s="35"/>
      <c r="B752" s="35"/>
      <c r="C752" s="119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>
      <c r="A753" s="35"/>
      <c r="B753" s="35"/>
      <c r="C753" s="119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>
      <c r="A754" s="35"/>
      <c r="B754" s="35"/>
      <c r="C754" s="119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>
      <c r="A755" s="35"/>
      <c r="B755" s="35"/>
      <c r="C755" s="119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>
      <c r="A756" s="35"/>
      <c r="B756" s="35"/>
      <c r="C756" s="119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>
      <c r="A757" s="35"/>
      <c r="B757" s="35"/>
      <c r="C757" s="119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>
      <c r="A758" s="35"/>
      <c r="B758" s="35"/>
      <c r="C758" s="119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>
      <c r="A759" s="35"/>
      <c r="B759" s="35"/>
      <c r="C759" s="119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>
      <c r="A760" s="35"/>
      <c r="B760" s="35"/>
      <c r="C760" s="119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>
      <c r="A761" s="35"/>
      <c r="B761" s="35"/>
      <c r="C761" s="119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>
      <c r="A762" s="35"/>
      <c r="B762" s="35"/>
      <c r="C762" s="119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>
      <c r="A763" s="35"/>
      <c r="B763" s="35"/>
      <c r="C763" s="119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>
      <c r="A764" s="35"/>
      <c r="B764" s="35"/>
      <c r="C764" s="119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>
      <c r="A765" s="35"/>
      <c r="B765" s="35"/>
      <c r="C765" s="119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>
      <c r="A766" s="35"/>
      <c r="B766" s="35"/>
      <c r="C766" s="119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>
      <c r="A767" s="35"/>
      <c r="B767" s="35"/>
      <c r="C767" s="119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>
      <c r="A768" s="35"/>
      <c r="B768" s="35"/>
      <c r="C768" s="119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>
      <c r="A769" s="35"/>
      <c r="B769" s="35"/>
      <c r="C769" s="119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>
      <c r="A770" s="35"/>
      <c r="B770" s="35"/>
      <c r="C770" s="119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>
      <c r="A771" s="35"/>
      <c r="B771" s="35"/>
      <c r="C771" s="119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>
      <c r="A772" s="35"/>
      <c r="B772" s="35"/>
      <c r="C772" s="119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>
      <c r="A773" s="35"/>
      <c r="B773" s="35"/>
      <c r="C773" s="119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>
      <c r="A774" s="35"/>
      <c r="B774" s="35"/>
      <c r="C774" s="119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>
      <c r="A775" s="35"/>
      <c r="B775" s="35"/>
      <c r="C775" s="119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>
      <c r="A776" s="35"/>
      <c r="B776" s="35"/>
      <c r="C776" s="119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>
      <c r="A777" s="35"/>
      <c r="B777" s="35"/>
      <c r="C777" s="119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>
      <c r="A778" s="35"/>
      <c r="B778" s="35"/>
      <c r="C778" s="119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>
      <c r="A779" s="35"/>
      <c r="B779" s="35"/>
      <c r="C779" s="119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>
      <c r="A780" s="35"/>
      <c r="B780" s="35"/>
      <c r="C780" s="119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>
      <c r="A781" s="35"/>
      <c r="B781" s="35"/>
      <c r="C781" s="119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>
      <c r="A782" s="35"/>
      <c r="B782" s="35"/>
      <c r="C782" s="119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>
      <c r="A783" s="35"/>
      <c r="B783" s="35"/>
      <c r="C783" s="119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>
      <c r="A784" s="35"/>
      <c r="B784" s="35"/>
      <c r="C784" s="119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>
      <c r="A785" s="35"/>
      <c r="B785" s="35"/>
      <c r="C785" s="119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>
      <c r="A786" s="35"/>
      <c r="B786" s="35"/>
      <c r="C786" s="119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>
      <c r="A787" s="35"/>
      <c r="B787" s="35"/>
      <c r="C787" s="119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>
      <c r="A788" s="35"/>
      <c r="B788" s="35"/>
      <c r="C788" s="119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>
      <c r="A789" s="35"/>
      <c r="B789" s="35"/>
      <c r="C789" s="119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>
      <c r="A790" s="35"/>
      <c r="B790" s="35"/>
      <c r="C790" s="119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>
      <c r="A791" s="35"/>
      <c r="B791" s="35"/>
      <c r="C791" s="119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>
      <c r="A792" s="35"/>
      <c r="B792" s="35"/>
      <c r="C792" s="119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>
      <c r="A793" s="35"/>
      <c r="B793" s="35"/>
      <c r="C793" s="119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>
      <c r="A794" s="35"/>
      <c r="B794" s="35"/>
      <c r="C794" s="119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>
      <c r="A795" s="35"/>
      <c r="B795" s="35"/>
      <c r="C795" s="119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>
      <c r="A796" s="35"/>
      <c r="B796" s="35"/>
      <c r="C796" s="119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>
      <c r="A797" s="35"/>
      <c r="B797" s="35"/>
      <c r="C797" s="119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>
      <c r="A798" s="35"/>
      <c r="B798" s="35"/>
      <c r="C798" s="119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>
      <c r="A799" s="35"/>
      <c r="B799" s="35"/>
      <c r="C799" s="119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>
      <c r="A800" s="35"/>
      <c r="B800" s="35"/>
      <c r="C800" s="119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>
      <c r="A801" s="35"/>
      <c r="B801" s="35"/>
      <c r="C801" s="119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>
      <c r="A802" s="35"/>
      <c r="B802" s="35"/>
      <c r="C802" s="119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>
      <c r="A803" s="35"/>
      <c r="B803" s="35"/>
      <c r="C803" s="119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>
      <c r="A804" s="35"/>
      <c r="B804" s="35"/>
      <c r="C804" s="119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>
      <c r="A805" s="35"/>
      <c r="B805" s="35"/>
      <c r="C805" s="119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>
      <c r="A806" s="35"/>
      <c r="B806" s="35"/>
      <c r="C806" s="119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>
      <c r="A807" s="35"/>
      <c r="B807" s="35"/>
      <c r="C807" s="119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>
      <c r="A808" s="35"/>
      <c r="B808" s="35"/>
      <c r="C808" s="119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>
      <c r="A809" s="35"/>
      <c r="B809" s="35"/>
      <c r="C809" s="119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>
      <c r="A810" s="35"/>
      <c r="B810" s="35"/>
      <c r="C810" s="119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>
      <c r="A811" s="35"/>
      <c r="B811" s="35"/>
      <c r="C811" s="119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>
      <c r="A812" s="35"/>
      <c r="B812" s="35"/>
      <c r="C812" s="119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>
      <c r="A813" s="35"/>
      <c r="B813" s="35"/>
      <c r="C813" s="119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>
      <c r="A814" s="35"/>
      <c r="B814" s="35"/>
      <c r="C814" s="119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>
      <c r="A815" s="35"/>
      <c r="B815" s="35"/>
      <c r="C815" s="119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>
      <c r="A816" s="35"/>
      <c r="B816" s="35"/>
      <c r="C816" s="119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>
      <c r="A817" s="35"/>
      <c r="B817" s="35"/>
      <c r="C817" s="119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>
      <c r="A818" s="35"/>
      <c r="B818" s="35"/>
      <c r="C818" s="119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>
      <c r="A819" s="35"/>
      <c r="B819" s="35"/>
      <c r="C819" s="119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>
      <c r="A820" s="35"/>
      <c r="B820" s="35"/>
      <c r="C820" s="119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>
      <c r="A821" s="35"/>
      <c r="B821" s="35"/>
      <c r="C821" s="119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>
      <c r="A822" s="35"/>
      <c r="B822" s="35"/>
      <c r="C822" s="119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>
      <c r="A823" s="35"/>
      <c r="B823" s="35"/>
      <c r="C823" s="119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>
      <c r="A824" s="35"/>
      <c r="B824" s="35"/>
      <c r="C824" s="119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>
      <c r="A825" s="35"/>
      <c r="B825" s="35"/>
      <c r="C825" s="119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>
      <c r="A826" s="35"/>
      <c r="B826" s="35"/>
      <c r="C826" s="119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>
      <c r="A827" s="35"/>
      <c r="B827" s="35"/>
      <c r="C827" s="119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>
      <c r="A828" s="35"/>
      <c r="B828" s="35"/>
      <c r="C828" s="119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>
      <c r="A829" s="35"/>
      <c r="B829" s="35"/>
      <c r="C829" s="119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>
      <c r="A830" s="35"/>
      <c r="B830" s="35"/>
      <c r="C830" s="119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>
      <c r="A831" s="35"/>
      <c r="B831" s="35"/>
      <c r="C831" s="119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>
      <c r="A832" s="35"/>
      <c r="B832" s="35"/>
      <c r="C832" s="119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>
      <c r="A833" s="35"/>
      <c r="B833" s="35"/>
      <c r="C833" s="119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>
      <c r="A834" s="35"/>
      <c r="B834" s="35"/>
      <c r="C834" s="119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>
      <c r="A835" s="35"/>
      <c r="B835" s="35"/>
      <c r="C835" s="119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>
      <c r="A836" s="35"/>
      <c r="B836" s="35"/>
      <c r="C836" s="119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>
      <c r="A837" s="35"/>
      <c r="B837" s="35"/>
      <c r="C837" s="119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>
      <c r="A838" s="35"/>
      <c r="B838" s="35"/>
      <c r="C838" s="119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>
      <c r="A839" s="35"/>
      <c r="B839" s="35"/>
      <c r="C839" s="119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>
      <c r="A840" s="35"/>
      <c r="B840" s="35"/>
      <c r="C840" s="119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>
      <c r="A841" s="35"/>
      <c r="B841" s="35"/>
      <c r="C841" s="119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>
      <c r="A842" s="35"/>
      <c r="B842" s="35"/>
      <c r="C842" s="119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>
      <c r="A843" s="35"/>
      <c r="B843" s="35"/>
      <c r="C843" s="119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>
      <c r="A844" s="35"/>
      <c r="B844" s="35"/>
      <c r="C844" s="119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>
      <c r="A845" s="35"/>
      <c r="B845" s="35"/>
      <c r="C845" s="119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>
      <c r="A846" s="35"/>
      <c r="B846" s="35"/>
      <c r="C846" s="119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>
      <c r="A847" s="35"/>
      <c r="B847" s="35"/>
      <c r="C847" s="119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>
      <c r="A848" s="35"/>
      <c r="B848" s="35"/>
      <c r="C848" s="119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>
      <c r="A849" s="35"/>
      <c r="B849" s="35"/>
      <c r="C849" s="119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>
      <c r="A850" s="35"/>
      <c r="B850" s="35"/>
      <c r="C850" s="119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>
      <c r="A851" s="35"/>
      <c r="B851" s="35"/>
      <c r="C851" s="119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>
      <c r="A852" s="35"/>
      <c r="B852" s="35"/>
      <c r="C852" s="119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>
      <c r="A853" s="35"/>
      <c r="B853" s="35"/>
      <c r="C853" s="119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>
      <c r="A854" s="35"/>
      <c r="B854" s="35"/>
      <c r="C854" s="119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>
      <c r="A855" s="35"/>
      <c r="B855" s="35"/>
      <c r="C855" s="119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>
      <c r="A856" s="35"/>
      <c r="B856" s="35"/>
      <c r="C856" s="119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>
      <c r="A857" s="35"/>
      <c r="B857" s="35"/>
      <c r="C857" s="119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>
      <c r="A858" s="35"/>
      <c r="B858" s="35"/>
      <c r="C858" s="119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>
      <c r="A859" s="35"/>
      <c r="B859" s="35"/>
      <c r="C859" s="119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>
      <c r="A860" s="35"/>
      <c r="B860" s="35"/>
      <c r="C860" s="119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>
      <c r="A861" s="35"/>
      <c r="B861" s="35"/>
      <c r="C861" s="119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>
      <c r="A862" s="35"/>
      <c r="B862" s="35"/>
      <c r="C862" s="119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>
      <c r="A863" s="35"/>
      <c r="B863" s="35"/>
      <c r="C863" s="119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>
      <c r="A864" s="35"/>
      <c r="B864" s="35"/>
      <c r="C864" s="119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>
      <c r="A865" s="35"/>
      <c r="B865" s="35"/>
      <c r="C865" s="119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>
      <c r="A866" s="35"/>
      <c r="B866" s="35"/>
      <c r="C866" s="119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>
      <c r="A867" s="35"/>
      <c r="B867" s="35"/>
      <c r="C867" s="119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>
      <c r="A868" s="35"/>
      <c r="B868" s="35"/>
      <c r="C868" s="119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>
      <c r="A869" s="35"/>
      <c r="B869" s="35"/>
      <c r="C869" s="119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>
      <c r="A870" s="35"/>
      <c r="B870" s="35"/>
      <c r="C870" s="119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>
      <c r="A871" s="35"/>
      <c r="B871" s="35"/>
      <c r="C871" s="119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>
      <c r="A872" s="35"/>
      <c r="B872" s="35"/>
      <c r="C872" s="119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>
      <c r="A873" s="35"/>
      <c r="B873" s="35"/>
      <c r="C873" s="119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>
      <c r="A874" s="35"/>
      <c r="B874" s="35"/>
      <c r="C874" s="119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>
      <c r="A875" s="35"/>
      <c r="B875" s="35"/>
      <c r="C875" s="119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>
      <c r="A876" s="35"/>
      <c r="B876" s="35"/>
      <c r="C876" s="119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>
      <c r="A877" s="35"/>
      <c r="B877" s="35"/>
      <c r="C877" s="119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>
      <c r="A878" s="35"/>
      <c r="B878" s="35"/>
      <c r="C878" s="119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>
      <c r="A879" s="35"/>
      <c r="B879" s="35"/>
      <c r="C879" s="119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>
      <c r="A880" s="35"/>
      <c r="B880" s="35"/>
      <c r="C880" s="119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>
      <c r="A881" s="35"/>
      <c r="B881" s="35"/>
      <c r="C881" s="119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>
      <c r="A882" s="35"/>
      <c r="B882" s="35"/>
      <c r="C882" s="119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>
      <c r="A883" s="35"/>
      <c r="B883" s="35"/>
      <c r="C883" s="119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>
      <c r="A884" s="35"/>
      <c r="B884" s="35"/>
      <c r="C884" s="119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>
      <c r="A885" s="35"/>
      <c r="B885" s="35"/>
      <c r="C885" s="119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>
      <c r="A886" s="35"/>
      <c r="B886" s="35"/>
      <c r="C886" s="119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>
      <c r="A887" s="35"/>
      <c r="B887" s="35"/>
      <c r="C887" s="119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>
      <c r="A888" s="35"/>
      <c r="B888" s="35"/>
      <c r="C888" s="119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>
      <c r="A889" s="35"/>
      <c r="B889" s="35"/>
      <c r="C889" s="119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>
      <c r="A890" s="35"/>
      <c r="B890" s="35"/>
      <c r="C890" s="119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>
      <c r="A891" s="35"/>
      <c r="B891" s="35"/>
      <c r="C891" s="119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>
      <c r="A892" s="35"/>
      <c r="B892" s="35"/>
      <c r="C892" s="119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>
      <c r="A893" s="35"/>
      <c r="B893" s="35"/>
      <c r="C893" s="119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>
      <c r="A894" s="35"/>
      <c r="B894" s="35"/>
      <c r="C894" s="119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>
      <c r="A895" s="35"/>
      <c r="B895" s="35"/>
      <c r="C895" s="119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>
      <c r="A896" s="35"/>
      <c r="B896" s="35"/>
      <c r="C896" s="119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>
      <c r="A897" s="35"/>
      <c r="B897" s="35"/>
      <c r="C897" s="119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>
      <c r="A898" s="35"/>
      <c r="B898" s="35"/>
      <c r="C898" s="119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>
      <c r="A899" s="35"/>
      <c r="B899" s="35"/>
      <c r="C899" s="119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>
      <c r="A900" s="35"/>
      <c r="B900" s="35"/>
      <c r="C900" s="119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>
      <c r="A901" s="35"/>
      <c r="B901" s="35"/>
      <c r="C901" s="119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>
      <c r="A902" s="35"/>
      <c r="B902" s="35"/>
      <c r="C902" s="119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>
      <c r="A903" s="35"/>
      <c r="B903" s="35"/>
      <c r="C903" s="119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>
      <c r="A904" s="35"/>
      <c r="B904" s="35"/>
      <c r="C904" s="119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>
      <c r="A905" s="35"/>
      <c r="B905" s="35"/>
      <c r="C905" s="119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>
      <c r="A906" s="35"/>
      <c r="B906" s="35"/>
      <c r="C906" s="119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>
      <c r="A907" s="35"/>
      <c r="B907" s="35"/>
      <c r="C907" s="119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>
      <c r="A908" s="35"/>
      <c r="B908" s="35"/>
      <c r="C908" s="119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>
      <c r="A909" s="35"/>
      <c r="B909" s="35"/>
      <c r="C909" s="119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>
      <c r="A910" s="35"/>
      <c r="B910" s="35"/>
      <c r="C910" s="119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>
      <c r="A911" s="35"/>
      <c r="B911" s="35"/>
      <c r="C911" s="119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>
      <c r="A912" s="35"/>
      <c r="B912" s="35"/>
      <c r="C912" s="119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>
      <c r="A913" s="35"/>
      <c r="B913" s="35"/>
      <c r="C913" s="119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>
      <c r="A914" s="35"/>
      <c r="B914" s="35"/>
      <c r="C914" s="119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>
      <c r="A915" s="35"/>
      <c r="B915" s="35"/>
      <c r="C915" s="119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>
      <c r="A916" s="35"/>
      <c r="B916" s="35"/>
      <c r="C916" s="119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>
      <c r="A917" s="35"/>
      <c r="B917" s="35"/>
      <c r="C917" s="119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>
      <c r="A918" s="35"/>
      <c r="B918" s="35"/>
      <c r="C918" s="119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>
      <c r="A919" s="35"/>
      <c r="B919" s="35"/>
      <c r="C919" s="119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>
      <c r="A920" s="35"/>
      <c r="B920" s="35"/>
      <c r="C920" s="119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>
      <c r="A921" s="35"/>
      <c r="B921" s="35"/>
      <c r="C921" s="119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>
      <c r="A922" s="35"/>
      <c r="B922" s="35"/>
      <c r="C922" s="119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>
      <c r="A923" s="35"/>
      <c r="B923" s="35"/>
      <c r="C923" s="119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>
      <c r="A924" s="35"/>
      <c r="B924" s="35"/>
      <c r="C924" s="119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>
      <c r="A925" s="35"/>
      <c r="B925" s="35"/>
      <c r="C925" s="119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>
      <c r="A926" s="35"/>
      <c r="B926" s="35"/>
      <c r="C926" s="119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>
      <c r="A927" s="35"/>
      <c r="B927" s="35"/>
      <c r="C927" s="119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>
      <c r="A928" s="35"/>
      <c r="B928" s="35"/>
      <c r="C928" s="119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>
      <c r="A929" s="35"/>
      <c r="B929" s="35"/>
      <c r="C929" s="119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>
      <c r="A930" s="35"/>
      <c r="B930" s="35"/>
      <c r="C930" s="119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>
      <c r="A931" s="35"/>
      <c r="B931" s="35"/>
      <c r="C931" s="119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>
      <c r="A932" s="35"/>
      <c r="B932" s="35"/>
      <c r="C932" s="119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>
      <c r="A933" s="35"/>
      <c r="B933" s="35"/>
      <c r="C933" s="119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>
      <c r="A934" s="35"/>
      <c r="B934" s="35"/>
      <c r="C934" s="119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>
      <c r="A935" s="35"/>
      <c r="B935" s="35"/>
      <c r="C935" s="119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>
      <c r="A936" s="35"/>
      <c r="B936" s="35"/>
      <c r="C936" s="119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>
      <c r="A937" s="35"/>
      <c r="B937" s="35"/>
      <c r="C937" s="119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>
      <c r="A938" s="35"/>
      <c r="B938" s="35"/>
      <c r="C938" s="119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>
      <c r="A939" s="35"/>
      <c r="B939" s="35"/>
      <c r="C939" s="119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>
      <c r="A940" s="35"/>
      <c r="B940" s="35"/>
      <c r="C940" s="119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>
      <c r="A941" s="35"/>
      <c r="B941" s="35"/>
      <c r="C941" s="119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>
      <c r="A942" s="35"/>
      <c r="B942" s="35"/>
      <c r="C942" s="119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>
      <c r="A943" s="35"/>
      <c r="B943" s="35"/>
      <c r="C943" s="119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>
      <c r="A944" s="35"/>
      <c r="B944" s="35"/>
      <c r="C944" s="119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>
      <c r="A945" s="35"/>
      <c r="B945" s="35"/>
      <c r="C945" s="119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>
      <c r="A946" s="35"/>
      <c r="B946" s="35"/>
      <c r="C946" s="119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>
      <c r="A947" s="35"/>
      <c r="B947" s="35"/>
      <c r="C947" s="119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>
      <c r="A948" s="35"/>
      <c r="B948" s="35"/>
      <c r="C948" s="119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>
      <c r="A949" s="35"/>
      <c r="B949" s="35"/>
      <c r="C949" s="119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>
      <c r="A950" s="35"/>
      <c r="B950" s="35"/>
      <c r="C950" s="119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>
      <c r="A951" s="35"/>
      <c r="B951" s="35"/>
      <c r="C951" s="119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>
      <c r="A952" s="35"/>
      <c r="B952" s="35"/>
      <c r="C952" s="119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>
      <c r="A953" s="35"/>
      <c r="B953" s="35"/>
      <c r="C953" s="119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>
      <c r="A954" s="35"/>
      <c r="B954" s="35"/>
      <c r="C954" s="119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>
      <c r="A955" s="35"/>
      <c r="B955" s="35"/>
      <c r="C955" s="119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>
      <c r="A956" s="35"/>
      <c r="B956" s="35"/>
      <c r="C956" s="119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>
      <c r="A957" s="35"/>
      <c r="B957" s="35"/>
      <c r="C957" s="119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>
      <c r="A958" s="35"/>
      <c r="B958" s="35"/>
      <c r="C958" s="119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>
      <c r="A959" s="35"/>
      <c r="B959" s="35"/>
      <c r="C959" s="119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>
      <c r="A960" s="35"/>
      <c r="B960" s="35"/>
      <c r="C960" s="119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>
      <c r="A961" s="35"/>
      <c r="B961" s="35"/>
      <c r="C961" s="119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>
      <c r="A962" s="35"/>
      <c r="B962" s="35"/>
      <c r="C962" s="119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>
      <c r="A963" s="35"/>
      <c r="B963" s="35"/>
      <c r="C963" s="119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>
      <c r="A964" s="35"/>
      <c r="B964" s="35"/>
      <c r="C964" s="119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>
      <c r="A965" s="35"/>
      <c r="B965" s="35"/>
      <c r="C965" s="119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>
      <c r="A966" s="35"/>
      <c r="B966" s="35"/>
      <c r="C966" s="119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>
      <c r="A967" s="35"/>
      <c r="B967" s="35"/>
      <c r="C967" s="119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>
      <c r="A968" s="35"/>
      <c r="B968" s="35"/>
      <c r="C968" s="119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>
      <c r="A969" s="35"/>
      <c r="B969" s="35"/>
      <c r="C969" s="119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>
      <c r="A970" s="35"/>
      <c r="B970" s="35"/>
      <c r="C970" s="119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>
      <c r="A971" s="35"/>
      <c r="B971" s="35"/>
      <c r="C971" s="119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>
      <c r="A972" s="35"/>
      <c r="B972" s="35"/>
      <c r="C972" s="119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>
      <c r="A973" s="35"/>
      <c r="B973" s="35"/>
      <c r="C973" s="119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>
      <c r="A974" s="35"/>
      <c r="B974" s="35"/>
      <c r="C974" s="119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>
      <c r="A975" s="35"/>
      <c r="B975" s="35"/>
      <c r="C975" s="119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>
      <c r="A976" s="35"/>
      <c r="B976" s="35"/>
      <c r="C976" s="119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>
      <c r="A977" s="35"/>
      <c r="B977" s="35"/>
      <c r="C977" s="119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>
      <c r="A978" s="35"/>
      <c r="B978" s="35"/>
      <c r="C978" s="119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>
      <c r="A979" s="35"/>
      <c r="B979" s="35"/>
      <c r="C979" s="119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>
      <c r="A980" s="35"/>
      <c r="B980" s="35"/>
      <c r="C980" s="119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>
      <c r="A981" s="35"/>
      <c r="B981" s="35"/>
      <c r="C981" s="119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>
      <c r="A982" s="35"/>
      <c r="B982" s="35"/>
      <c r="C982" s="119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>
      <c r="A983" s="35"/>
      <c r="B983" s="35"/>
      <c r="C983" s="119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>
      <c r="A984" s="35"/>
      <c r="B984" s="35"/>
      <c r="C984" s="119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>
      <c r="A985" s="35"/>
      <c r="B985" s="35"/>
      <c r="C985" s="119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>
      <c r="A986" s="35"/>
      <c r="B986" s="35"/>
      <c r="C986" s="119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>
      <c r="A987" s="35"/>
      <c r="B987" s="35"/>
      <c r="C987" s="119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>
      <c r="A988" s="35"/>
      <c r="B988" s="35"/>
      <c r="C988" s="119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>
      <c r="A989" s="35"/>
      <c r="B989" s="35"/>
      <c r="C989" s="119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>
      <c r="A990" s="35"/>
      <c r="B990" s="35"/>
      <c r="C990" s="119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>
      <c r="A991" s="35"/>
      <c r="B991" s="35"/>
      <c r="C991" s="119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>
      <c r="A992" s="35"/>
      <c r="B992" s="35"/>
      <c r="C992" s="119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>
      <c r="A993" s="35"/>
      <c r="B993" s="35"/>
      <c r="C993" s="119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>
      <c r="A994" s="35"/>
      <c r="B994" s="35"/>
      <c r="C994" s="119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>
      <c r="A995" s="35"/>
      <c r="B995" s="35"/>
      <c r="C995" s="119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>
      <c r="A996" s="35"/>
      <c r="B996" s="35"/>
      <c r="C996" s="119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>
      <c r="A997" s="35"/>
      <c r="B997" s="35"/>
      <c r="C997" s="119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>
      <c r="A998" s="35"/>
      <c r="B998" s="35"/>
      <c r="C998" s="119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>
      <c r="A999" s="35"/>
      <c r="B999" s="35"/>
      <c r="C999" s="119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>
      <c r="A1000" s="35"/>
      <c r="B1000" s="35"/>
      <c r="C1000" s="119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0"/>
    <col customWidth="1" min="3" max="3" width="5.63"/>
    <col customWidth="1" min="4" max="4" width="10.38"/>
    <col customWidth="1" min="5" max="5" width="20.38"/>
    <col customWidth="1" min="6" max="6" width="5.38"/>
    <col customWidth="1" min="7" max="7" width="20.25"/>
    <col customWidth="1" min="8" max="8" width="5.38"/>
    <col customWidth="1" min="9" max="9" width="9.75"/>
    <col customWidth="1" min="10" max="10" width="20.0"/>
    <col customWidth="1" min="11" max="11" width="5.88"/>
    <col customWidth="1" min="12" max="12" width="20.25"/>
    <col customWidth="1" min="13" max="13" width="5.63"/>
    <col customWidth="1" min="14" max="14" width="18.63"/>
    <col customWidth="1" min="15" max="15" width="5.75"/>
    <col customWidth="1" min="16" max="16" width="19.75"/>
    <col customWidth="1" min="17" max="19" width="6.0"/>
    <col customWidth="1" min="20" max="20" width="20.5"/>
    <col customWidth="1" min="21" max="21" width="16.75"/>
    <col customWidth="1" min="22" max="22" width="5.13"/>
    <col customWidth="1" min="24" max="24" width="4.63"/>
  </cols>
  <sheetData>
    <row r="1">
      <c r="A1" s="164"/>
      <c r="B1" s="165" t="s">
        <v>226</v>
      </c>
      <c r="C1" s="8"/>
      <c r="D1" s="8"/>
      <c r="E1" s="165" t="s">
        <v>227</v>
      </c>
      <c r="F1" s="8"/>
      <c r="G1" s="166" t="s">
        <v>228</v>
      </c>
      <c r="H1" s="8"/>
      <c r="I1" s="8"/>
      <c r="J1" s="165" t="s">
        <v>229</v>
      </c>
      <c r="K1" s="8"/>
      <c r="L1" s="165" t="s">
        <v>230</v>
      </c>
      <c r="M1" s="8"/>
      <c r="N1" s="165" t="s">
        <v>231</v>
      </c>
      <c r="O1" s="8"/>
      <c r="P1" s="167" t="s">
        <v>232</v>
      </c>
      <c r="Q1" s="8"/>
      <c r="R1" s="8"/>
      <c r="S1" s="8"/>
      <c r="T1" s="8"/>
      <c r="U1" s="8"/>
      <c r="V1" s="8"/>
      <c r="W1" s="8"/>
      <c r="X1" s="8"/>
    </row>
    <row r="2">
      <c r="A2" s="164"/>
      <c r="B2" s="166" t="s">
        <v>233</v>
      </c>
      <c r="C2" s="168"/>
      <c r="D2" s="8"/>
      <c r="E2" s="166" t="s">
        <v>234</v>
      </c>
      <c r="F2" s="168"/>
      <c r="G2" s="166" t="s">
        <v>235</v>
      </c>
      <c r="H2" s="168"/>
      <c r="I2" s="8"/>
      <c r="J2" s="166" t="s">
        <v>236</v>
      </c>
      <c r="K2" s="168"/>
      <c r="L2" s="166" t="s">
        <v>237</v>
      </c>
      <c r="M2" s="168"/>
      <c r="N2" s="166" t="s">
        <v>238</v>
      </c>
      <c r="O2" s="168"/>
      <c r="P2" s="166" t="s">
        <v>239</v>
      </c>
      <c r="Q2" s="168"/>
      <c r="R2" s="168"/>
      <c r="S2" s="51" t="s">
        <v>240</v>
      </c>
      <c r="T2" s="51" t="s">
        <v>198</v>
      </c>
      <c r="U2" s="8"/>
      <c r="V2" s="8"/>
      <c r="W2" s="8"/>
      <c r="X2" s="8"/>
    </row>
    <row r="3">
      <c r="A3" s="164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68"/>
      <c r="O3" s="168"/>
      <c r="P3" s="8"/>
      <c r="Q3" s="8"/>
      <c r="R3" s="8"/>
      <c r="S3" s="51" t="s">
        <v>241</v>
      </c>
      <c r="T3" s="51" t="s">
        <v>207</v>
      </c>
      <c r="U3" s="8"/>
      <c r="V3" s="8"/>
      <c r="W3" s="8"/>
      <c r="X3" s="8"/>
    </row>
    <row r="4">
      <c r="A4" s="49">
        <v>1.0</v>
      </c>
      <c r="B4" s="169" t="s">
        <v>198</v>
      </c>
      <c r="C4" s="170">
        <v>98.0</v>
      </c>
      <c r="D4" s="8"/>
      <c r="E4" s="8"/>
      <c r="F4" s="8"/>
      <c r="G4" s="8"/>
      <c r="H4" s="8"/>
      <c r="I4" s="8"/>
      <c r="J4" s="8"/>
      <c r="K4" s="8"/>
      <c r="L4" s="8"/>
      <c r="M4" s="8"/>
      <c r="N4" s="168"/>
      <c r="O4" s="168"/>
      <c r="P4" s="8"/>
      <c r="Q4" s="8"/>
      <c r="R4" s="8"/>
      <c r="S4" s="51" t="s">
        <v>242</v>
      </c>
      <c r="T4" s="51" t="s">
        <v>222</v>
      </c>
      <c r="U4" s="8"/>
      <c r="V4" s="8"/>
      <c r="W4" s="8"/>
      <c r="X4" s="8"/>
    </row>
    <row r="5">
      <c r="A5" s="171" t="s">
        <v>243</v>
      </c>
      <c r="B5" s="8"/>
      <c r="C5" s="172"/>
      <c r="D5" s="173"/>
      <c r="E5" s="173"/>
      <c r="F5" s="173"/>
      <c r="G5" s="169" t="s">
        <v>82</v>
      </c>
      <c r="H5" s="170">
        <v>10.0</v>
      </c>
      <c r="I5" s="8"/>
      <c r="J5" s="8"/>
      <c r="K5" s="8"/>
      <c r="L5" s="8"/>
      <c r="M5" s="8"/>
      <c r="N5" s="168"/>
      <c r="O5" s="168"/>
      <c r="P5" s="8"/>
      <c r="Q5" s="8"/>
      <c r="R5" s="8"/>
      <c r="S5" s="51" t="s">
        <v>244</v>
      </c>
      <c r="T5" s="51" t="s">
        <v>82</v>
      </c>
      <c r="U5" s="8"/>
      <c r="V5" s="8"/>
      <c r="W5" s="8"/>
      <c r="X5" s="8"/>
    </row>
    <row r="6">
      <c r="A6" s="49">
        <v>8.0</v>
      </c>
      <c r="B6" s="169" t="s">
        <v>82</v>
      </c>
      <c r="C6" s="174">
        <v>110.0</v>
      </c>
      <c r="D6" s="8"/>
      <c r="E6" s="8"/>
      <c r="F6" s="8"/>
      <c r="G6" s="8"/>
      <c r="H6" s="172"/>
      <c r="I6" s="8"/>
      <c r="J6" s="8"/>
      <c r="K6" s="8"/>
      <c r="L6" s="8"/>
      <c r="M6" s="8"/>
      <c r="N6" s="168"/>
      <c r="O6" s="168"/>
      <c r="P6" s="8"/>
      <c r="Q6" s="8"/>
      <c r="R6" s="8"/>
      <c r="S6" s="51" t="s">
        <v>245</v>
      </c>
      <c r="T6" s="51" t="s">
        <v>246</v>
      </c>
      <c r="U6" s="8"/>
      <c r="V6" s="8"/>
      <c r="W6" s="8"/>
      <c r="X6" s="8"/>
    </row>
    <row r="7">
      <c r="A7" s="8"/>
      <c r="B7" s="8"/>
      <c r="C7" s="8"/>
      <c r="D7" s="8"/>
      <c r="E7" s="8"/>
      <c r="F7" s="8"/>
      <c r="G7" s="175" t="s">
        <v>243</v>
      </c>
      <c r="H7" s="172"/>
      <c r="I7" s="173"/>
      <c r="J7" s="170"/>
      <c r="K7" s="173"/>
      <c r="L7" s="176" t="s">
        <v>222</v>
      </c>
      <c r="M7" s="170">
        <v>40.0</v>
      </c>
      <c r="N7" s="168"/>
      <c r="O7" s="168"/>
      <c r="P7" s="8"/>
      <c r="Q7" s="8"/>
      <c r="R7" s="8"/>
      <c r="S7" s="8"/>
      <c r="T7" s="8"/>
      <c r="U7" s="8"/>
      <c r="V7" s="8"/>
      <c r="W7" s="8"/>
      <c r="X7" s="8"/>
    </row>
    <row r="8">
      <c r="A8" s="49">
        <v>4.0</v>
      </c>
      <c r="B8" s="169" t="s">
        <v>89</v>
      </c>
      <c r="C8" s="170">
        <v>46.0</v>
      </c>
      <c r="D8" s="8"/>
      <c r="E8" s="8"/>
      <c r="F8" s="8"/>
      <c r="G8" s="8"/>
      <c r="H8" s="172"/>
      <c r="I8" s="8"/>
      <c r="J8" s="8"/>
      <c r="K8" s="8"/>
      <c r="L8" s="8"/>
      <c r="M8" s="172"/>
      <c r="N8" s="168"/>
      <c r="O8" s="168"/>
      <c r="P8" s="8"/>
      <c r="Q8" s="8"/>
      <c r="R8" s="8"/>
      <c r="S8" s="8"/>
      <c r="T8" s="8"/>
      <c r="U8" s="8"/>
      <c r="V8" s="8"/>
      <c r="W8" s="8"/>
      <c r="X8" s="8"/>
    </row>
    <row r="9">
      <c r="A9" s="171" t="s">
        <v>247</v>
      </c>
      <c r="B9" s="8"/>
      <c r="C9" s="172"/>
      <c r="D9" s="173"/>
      <c r="E9" s="173"/>
      <c r="F9" s="173"/>
      <c r="G9" s="169" t="s">
        <v>222</v>
      </c>
      <c r="H9" s="174">
        <v>44.0</v>
      </c>
      <c r="I9" s="8"/>
      <c r="J9" s="8"/>
      <c r="K9" s="8"/>
      <c r="L9" s="8"/>
      <c r="M9" s="172"/>
      <c r="N9" s="168"/>
      <c r="O9" s="168"/>
      <c r="P9" s="8"/>
      <c r="Q9" s="8"/>
      <c r="R9" s="8"/>
      <c r="S9" s="8"/>
      <c r="T9" s="8"/>
      <c r="U9" s="8"/>
      <c r="V9" s="8"/>
      <c r="W9" s="8"/>
      <c r="X9" s="8"/>
    </row>
    <row r="10">
      <c r="A10" s="49">
        <v>5.0</v>
      </c>
      <c r="B10" s="169" t="s">
        <v>222</v>
      </c>
      <c r="C10" s="174">
        <v>100.0</v>
      </c>
      <c r="D10" s="8"/>
      <c r="E10" s="177"/>
      <c r="F10" s="177"/>
      <c r="G10" s="8"/>
      <c r="H10" s="8"/>
      <c r="I10" s="8"/>
      <c r="J10" s="177"/>
      <c r="K10" s="177"/>
      <c r="L10" s="8"/>
      <c r="M10" s="17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/>
      <c r="B11" s="8"/>
      <c r="C11" s="8"/>
      <c r="D11" s="8"/>
      <c r="E11" s="177"/>
      <c r="F11" s="177"/>
      <c r="G11" s="8"/>
      <c r="H11" s="8"/>
      <c r="I11" s="8"/>
      <c r="J11" s="177"/>
      <c r="K11" s="177"/>
      <c r="L11" s="178" t="s">
        <v>248</v>
      </c>
      <c r="M11" s="172"/>
      <c r="N11" s="173"/>
      <c r="O11" s="173"/>
      <c r="P11" s="179" t="s">
        <v>207</v>
      </c>
      <c r="Q11" s="170">
        <v>6.0</v>
      </c>
      <c r="R11" s="170">
        <v>-8.0</v>
      </c>
      <c r="S11" s="180"/>
      <c r="T11" s="8"/>
      <c r="U11" s="8"/>
      <c r="V11" s="8"/>
      <c r="W11" s="8"/>
      <c r="X11" s="8"/>
    </row>
    <row r="12">
      <c r="A12" s="49">
        <v>2.0</v>
      </c>
      <c r="B12" s="169" t="s">
        <v>65</v>
      </c>
      <c r="C12" s="170">
        <v>48.0</v>
      </c>
      <c r="D12" s="8"/>
      <c r="E12" s="177"/>
      <c r="F12" s="177"/>
      <c r="G12" s="8"/>
      <c r="H12" s="8"/>
      <c r="I12" s="8"/>
      <c r="J12" s="177"/>
      <c r="K12" s="177"/>
      <c r="L12" s="8"/>
      <c r="M12" s="172"/>
      <c r="N12" s="8"/>
      <c r="O12" s="8"/>
      <c r="P12" s="8"/>
      <c r="Q12" s="8"/>
      <c r="R12" s="8"/>
      <c r="S12" s="172"/>
      <c r="T12" s="8"/>
      <c r="U12" s="181" t="s">
        <v>249</v>
      </c>
      <c r="V12" s="181">
        <v>52.81</v>
      </c>
      <c r="W12" s="8"/>
      <c r="X12" s="8"/>
    </row>
    <row r="13">
      <c r="A13" s="171" t="s">
        <v>250</v>
      </c>
      <c r="B13" s="8"/>
      <c r="C13" s="172"/>
      <c r="D13" s="173"/>
      <c r="E13" s="173"/>
      <c r="F13" s="173"/>
      <c r="G13" s="169" t="s">
        <v>207</v>
      </c>
      <c r="H13" s="170">
        <v>102.0</v>
      </c>
      <c r="I13" s="8"/>
      <c r="J13" s="177"/>
      <c r="K13" s="177"/>
      <c r="L13" s="8"/>
      <c r="M13" s="172"/>
      <c r="N13" s="8"/>
      <c r="O13" s="8"/>
      <c r="P13" s="8"/>
      <c r="Q13" s="8"/>
      <c r="R13" s="8"/>
      <c r="S13" s="172"/>
      <c r="T13" s="8"/>
      <c r="U13" s="8"/>
      <c r="V13" s="182"/>
      <c r="W13" s="8"/>
      <c r="X13" s="8"/>
    </row>
    <row r="14">
      <c r="A14" s="49">
        <v>7.0</v>
      </c>
      <c r="B14" s="169" t="s">
        <v>207</v>
      </c>
      <c r="C14" s="174">
        <v>122.0</v>
      </c>
      <c r="D14" s="8"/>
      <c r="E14" s="8"/>
      <c r="F14" s="8"/>
      <c r="G14" s="8"/>
      <c r="H14" s="172"/>
      <c r="I14" s="8"/>
      <c r="J14" s="8"/>
      <c r="K14" s="8"/>
      <c r="L14" s="8"/>
      <c r="M14" s="172"/>
      <c r="N14" s="8"/>
      <c r="O14" s="8"/>
      <c r="P14" s="8"/>
      <c r="Q14" s="8"/>
      <c r="R14" s="8"/>
      <c r="S14" s="172"/>
      <c r="T14" s="8"/>
      <c r="U14" s="8"/>
      <c r="V14" s="182"/>
      <c r="W14" s="170" t="s">
        <v>251</v>
      </c>
      <c r="X14" s="8"/>
    </row>
    <row r="15">
      <c r="A15" s="8"/>
      <c r="B15" s="8"/>
      <c r="C15" s="8"/>
      <c r="D15" s="8"/>
      <c r="E15" s="8"/>
      <c r="F15" s="8"/>
      <c r="G15" s="175" t="s">
        <v>247</v>
      </c>
      <c r="H15" s="172"/>
      <c r="I15" s="173"/>
      <c r="J15" s="173"/>
      <c r="K15" s="173"/>
      <c r="L15" s="183" t="s">
        <v>207</v>
      </c>
      <c r="M15" s="174">
        <v>104.0</v>
      </c>
      <c r="N15" s="8"/>
      <c r="O15" s="8"/>
      <c r="P15" s="8"/>
      <c r="Q15" s="8"/>
      <c r="R15" s="8"/>
      <c r="S15" s="172"/>
      <c r="T15" s="8"/>
      <c r="U15" s="8"/>
      <c r="V15" s="182"/>
      <c r="W15" s="8"/>
      <c r="X15" s="8"/>
    </row>
    <row r="16">
      <c r="A16" s="49">
        <v>3.0</v>
      </c>
      <c r="B16" s="169" t="s">
        <v>193</v>
      </c>
      <c r="C16" s="170">
        <v>128.0</v>
      </c>
      <c r="D16" s="8"/>
      <c r="E16" s="8"/>
      <c r="F16" s="8"/>
      <c r="G16" s="8"/>
      <c r="H16" s="172"/>
      <c r="I16" s="8"/>
      <c r="J16" s="8"/>
      <c r="K16" s="8"/>
      <c r="L16" s="8"/>
      <c r="M16" s="8"/>
      <c r="N16" s="8"/>
      <c r="O16" s="8"/>
      <c r="P16" s="178" t="s">
        <v>248</v>
      </c>
      <c r="Q16" s="184"/>
      <c r="R16" s="184"/>
      <c r="S16" s="184"/>
      <c r="T16" s="185" t="s">
        <v>198</v>
      </c>
      <c r="U16" s="186"/>
      <c r="V16" s="187">
        <v>31.0</v>
      </c>
      <c r="W16" s="8"/>
      <c r="X16" s="8"/>
    </row>
    <row r="17">
      <c r="A17" s="171" t="s">
        <v>252</v>
      </c>
      <c r="B17" s="8"/>
      <c r="C17" s="172"/>
      <c r="D17" s="173"/>
      <c r="E17" s="173"/>
      <c r="F17" s="173"/>
      <c r="G17" s="169" t="s">
        <v>193</v>
      </c>
      <c r="H17" s="174">
        <v>24.0</v>
      </c>
      <c r="I17" s="8"/>
      <c r="J17" s="8"/>
      <c r="K17" s="8"/>
      <c r="L17" s="8"/>
      <c r="M17" s="51" t="s">
        <v>253</v>
      </c>
      <c r="N17" s="188" t="s">
        <v>222</v>
      </c>
      <c r="O17" s="170">
        <v>26.0</v>
      </c>
      <c r="P17" s="8"/>
      <c r="Q17" s="8"/>
      <c r="R17" s="8"/>
      <c r="S17" s="172"/>
      <c r="T17" s="8"/>
      <c r="U17" s="8"/>
      <c r="V17" s="8"/>
      <c r="W17" s="8"/>
      <c r="X17" s="8"/>
    </row>
    <row r="18">
      <c r="A18" s="49">
        <v>6.0</v>
      </c>
      <c r="B18" s="169" t="s">
        <v>202</v>
      </c>
      <c r="C18" s="174">
        <v>62.0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72"/>
      <c r="P18" s="8"/>
      <c r="Q18" s="8"/>
      <c r="R18" s="8"/>
      <c r="S18" s="172"/>
      <c r="T18" s="8"/>
      <c r="U18" s="8"/>
      <c r="V18" s="8"/>
      <c r="W18" s="8"/>
      <c r="X18" s="8"/>
    </row>
    <row r="19">
      <c r="A19" s="8"/>
      <c r="B19" s="8"/>
      <c r="C19" s="8"/>
      <c r="D19" s="8"/>
      <c r="E19" s="8"/>
      <c r="F19" s="8"/>
      <c r="G19" s="8"/>
      <c r="H19" s="8"/>
      <c r="I19" s="168" t="s">
        <v>254</v>
      </c>
      <c r="J19" s="183" t="s">
        <v>82</v>
      </c>
      <c r="K19" s="170">
        <v>96.0</v>
      </c>
      <c r="L19" s="8"/>
      <c r="M19" s="8"/>
      <c r="N19" s="8"/>
      <c r="O19" s="172"/>
      <c r="P19" s="8"/>
      <c r="Q19" s="8"/>
      <c r="R19" s="8"/>
      <c r="S19" s="172"/>
      <c r="T19" s="8"/>
      <c r="U19" s="8"/>
      <c r="V19" s="8"/>
      <c r="W19" s="8"/>
      <c r="X19" s="8"/>
    </row>
    <row r="20">
      <c r="A20" s="8"/>
      <c r="B20" s="8"/>
      <c r="C20" s="8"/>
      <c r="D20" s="168" t="s">
        <v>255</v>
      </c>
      <c r="E20" s="169" t="s">
        <v>202</v>
      </c>
      <c r="F20" s="170">
        <v>98.0</v>
      </c>
      <c r="G20" s="8"/>
      <c r="H20" s="8"/>
      <c r="I20" s="8"/>
      <c r="J20" s="8"/>
      <c r="K20" s="172"/>
      <c r="L20" s="8"/>
      <c r="M20" s="8"/>
      <c r="N20" s="8"/>
      <c r="O20" s="172"/>
      <c r="P20" s="8"/>
      <c r="Q20" s="8"/>
      <c r="R20" s="8"/>
      <c r="S20" s="172"/>
      <c r="T20" s="8"/>
      <c r="U20" s="8"/>
      <c r="V20" s="8"/>
      <c r="W20" s="8"/>
      <c r="X20" s="8"/>
    </row>
    <row r="21">
      <c r="A21" s="49">
        <v>9.0</v>
      </c>
      <c r="B21" s="169" t="s">
        <v>212</v>
      </c>
      <c r="C21" s="170">
        <v>78.0</v>
      </c>
      <c r="D21" s="8"/>
      <c r="E21" s="175" t="s">
        <v>250</v>
      </c>
      <c r="F21" s="172"/>
      <c r="G21" s="183" t="s">
        <v>202</v>
      </c>
      <c r="H21" s="170">
        <v>60.0</v>
      </c>
      <c r="I21" s="168"/>
      <c r="J21" s="178" t="s">
        <v>248</v>
      </c>
      <c r="K21" s="172"/>
      <c r="L21" s="183" t="s">
        <v>82</v>
      </c>
      <c r="M21" s="170">
        <v>54.0</v>
      </c>
      <c r="N21" s="178" t="s">
        <v>248</v>
      </c>
      <c r="O21" s="189"/>
      <c r="P21" s="183" t="s">
        <v>198</v>
      </c>
      <c r="Q21" s="190">
        <v>18.0</v>
      </c>
      <c r="R21" s="190">
        <v>22.0</v>
      </c>
      <c r="S21" s="191"/>
      <c r="T21" s="8"/>
      <c r="U21" s="8"/>
      <c r="V21" s="8"/>
      <c r="W21" s="8"/>
      <c r="X21" s="8"/>
    </row>
    <row r="22">
      <c r="A22" s="171" t="s">
        <v>256</v>
      </c>
      <c r="B22" s="8"/>
      <c r="C22" s="172"/>
      <c r="D22" s="173"/>
      <c r="E22" s="183" t="s">
        <v>54</v>
      </c>
      <c r="F22" s="174">
        <v>34.0</v>
      </c>
      <c r="G22" s="8"/>
      <c r="H22" s="172"/>
      <c r="I22" s="8"/>
      <c r="J22" s="8"/>
      <c r="K22" s="172"/>
      <c r="L22" s="8"/>
      <c r="M22" s="172"/>
      <c r="N22" s="8"/>
      <c r="O22" s="172"/>
      <c r="P22" s="8"/>
      <c r="Q22" s="8"/>
      <c r="R22" s="8"/>
      <c r="S22" s="8"/>
      <c r="T22" s="8"/>
      <c r="U22" s="8"/>
      <c r="V22" s="8"/>
      <c r="W22" s="8"/>
      <c r="X22" s="8"/>
    </row>
    <row r="23">
      <c r="A23" s="49">
        <v>16.0</v>
      </c>
      <c r="B23" s="169" t="s">
        <v>54</v>
      </c>
      <c r="C23" s="174">
        <v>102.0</v>
      </c>
      <c r="D23" s="8"/>
      <c r="E23" s="8"/>
      <c r="F23" s="8"/>
      <c r="G23" s="175" t="s">
        <v>256</v>
      </c>
      <c r="H23" s="172"/>
      <c r="I23" s="173"/>
      <c r="J23" s="183" t="s">
        <v>65</v>
      </c>
      <c r="K23" s="174">
        <v>62.0</v>
      </c>
      <c r="L23" s="8"/>
      <c r="M23" s="172"/>
      <c r="N23" s="8"/>
      <c r="O23" s="172"/>
      <c r="P23" s="8"/>
      <c r="Q23" s="8"/>
      <c r="R23" s="8"/>
      <c r="S23" s="8"/>
      <c r="T23" s="8"/>
      <c r="U23" s="8"/>
      <c r="V23" s="8"/>
      <c r="W23" s="8"/>
      <c r="X23" s="8"/>
    </row>
    <row r="24">
      <c r="A24" s="8"/>
      <c r="B24" s="8"/>
      <c r="C24" s="8"/>
      <c r="D24" s="168" t="s">
        <v>257</v>
      </c>
      <c r="E24" s="169" t="s">
        <v>65</v>
      </c>
      <c r="F24" s="170">
        <v>74.0</v>
      </c>
      <c r="G24" s="8"/>
      <c r="H24" s="172"/>
      <c r="I24" s="8"/>
      <c r="J24" s="8"/>
      <c r="K24" s="8"/>
      <c r="L24" s="8"/>
      <c r="M24" s="172"/>
      <c r="N24" s="8"/>
      <c r="O24" s="172"/>
      <c r="P24" s="8"/>
      <c r="Q24" s="8"/>
      <c r="R24" s="8"/>
      <c r="S24" s="8"/>
      <c r="T24" s="8"/>
      <c r="U24" s="8"/>
      <c r="V24" s="8"/>
      <c r="W24" s="8"/>
      <c r="X24" s="8"/>
    </row>
    <row r="25">
      <c r="A25" s="49">
        <v>12.0</v>
      </c>
      <c r="B25" s="169" t="s">
        <v>92</v>
      </c>
      <c r="C25" s="170">
        <v>18.0</v>
      </c>
      <c r="D25" s="8"/>
      <c r="E25" s="175" t="s">
        <v>252</v>
      </c>
      <c r="F25" s="172"/>
      <c r="G25" s="183" t="s">
        <v>65</v>
      </c>
      <c r="H25" s="174">
        <v>68.0</v>
      </c>
      <c r="I25" s="168"/>
      <c r="J25" s="8"/>
      <c r="K25" s="8"/>
      <c r="L25" s="178" t="s">
        <v>258</v>
      </c>
      <c r="M25" s="172"/>
      <c r="N25" s="183" t="s">
        <v>198</v>
      </c>
      <c r="O25" s="174">
        <v>98.0</v>
      </c>
      <c r="P25" s="8"/>
      <c r="Q25" s="8"/>
      <c r="R25" s="8"/>
      <c r="S25" s="8"/>
      <c r="T25" s="8"/>
      <c r="U25" s="8"/>
      <c r="V25" s="8"/>
      <c r="W25" s="8"/>
      <c r="X25" s="8"/>
    </row>
    <row r="26">
      <c r="A26" s="171" t="s">
        <v>259</v>
      </c>
      <c r="B26" s="8"/>
      <c r="C26" s="172"/>
      <c r="D26" s="173"/>
      <c r="E26" s="169" t="s">
        <v>217</v>
      </c>
      <c r="F26" s="174">
        <v>28.0</v>
      </c>
      <c r="G26" s="8"/>
      <c r="H26" s="8"/>
      <c r="I26" s="8"/>
      <c r="J26" s="8"/>
      <c r="K26" s="8"/>
      <c r="L26" s="8"/>
      <c r="M26" s="17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49">
        <v>13.0</v>
      </c>
      <c r="B27" s="169" t="s">
        <v>217</v>
      </c>
      <c r="C27" s="174">
        <v>50.0</v>
      </c>
      <c r="D27" s="8"/>
      <c r="E27" s="8"/>
      <c r="F27" s="8"/>
      <c r="G27" s="8"/>
      <c r="H27" s="8"/>
      <c r="I27" s="168" t="s">
        <v>260</v>
      </c>
      <c r="J27" s="183" t="s">
        <v>193</v>
      </c>
      <c r="K27" s="170">
        <v>66.0</v>
      </c>
      <c r="L27" s="8"/>
      <c r="M27" s="17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8"/>
      <c r="B28" s="8"/>
      <c r="C28" s="8"/>
      <c r="D28" s="168" t="s">
        <v>260</v>
      </c>
      <c r="E28" s="183" t="s">
        <v>89</v>
      </c>
      <c r="F28" s="170">
        <v>52.0</v>
      </c>
      <c r="G28" s="8"/>
      <c r="H28" s="8"/>
      <c r="I28" s="8"/>
      <c r="J28" s="8"/>
      <c r="K28" s="172"/>
      <c r="L28" s="8"/>
      <c r="M28" s="17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49">
        <v>10.0</v>
      </c>
      <c r="B29" s="169" t="s">
        <v>190</v>
      </c>
      <c r="C29" s="170">
        <v>60.0</v>
      </c>
      <c r="D29" s="8"/>
      <c r="E29" s="175" t="s">
        <v>256</v>
      </c>
      <c r="F29" s="172"/>
      <c r="G29" s="183" t="s">
        <v>42</v>
      </c>
      <c r="H29" s="170">
        <v>26.0</v>
      </c>
      <c r="I29" s="8"/>
      <c r="J29" s="178" t="s">
        <v>258</v>
      </c>
      <c r="K29" s="172"/>
      <c r="L29" s="183" t="s">
        <v>198</v>
      </c>
      <c r="M29" s="174">
        <v>94.0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192" t="s">
        <v>261</v>
      </c>
      <c r="B30" s="8"/>
      <c r="C30" s="172"/>
      <c r="D30" s="173"/>
      <c r="E30" s="169" t="s">
        <v>42</v>
      </c>
      <c r="F30" s="174">
        <v>136.0</v>
      </c>
      <c r="G30" s="8"/>
      <c r="H30" s="172"/>
      <c r="I30" s="8"/>
      <c r="J30" s="8"/>
      <c r="K30" s="17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49">
        <v>15.0</v>
      </c>
      <c r="B31" s="169" t="s">
        <v>42</v>
      </c>
      <c r="C31" s="174">
        <v>86.0</v>
      </c>
      <c r="D31" s="8"/>
      <c r="E31" s="168"/>
      <c r="F31" s="8"/>
      <c r="G31" s="175" t="s">
        <v>259</v>
      </c>
      <c r="H31" s="172"/>
      <c r="I31" s="173"/>
      <c r="J31" s="183" t="s">
        <v>198</v>
      </c>
      <c r="K31" s="174">
        <v>96.0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8"/>
      <c r="B32" s="8"/>
      <c r="C32" s="8"/>
      <c r="D32" s="168" t="s">
        <v>254</v>
      </c>
      <c r="E32" s="169" t="s">
        <v>198</v>
      </c>
      <c r="F32" s="170">
        <v>150.0</v>
      </c>
      <c r="G32" s="8"/>
      <c r="H32" s="172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49">
        <v>11.0</v>
      </c>
      <c r="B33" s="169" t="s">
        <v>194</v>
      </c>
      <c r="C33" s="170">
        <v>50.0</v>
      </c>
      <c r="D33" s="8"/>
      <c r="E33" s="175" t="s">
        <v>259</v>
      </c>
      <c r="F33" s="172"/>
      <c r="G33" s="183" t="s">
        <v>198</v>
      </c>
      <c r="H33" s="174">
        <v>90.0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192" t="s">
        <v>262</v>
      </c>
      <c r="B34" s="8"/>
      <c r="C34" s="172"/>
      <c r="D34" s="173"/>
      <c r="E34" s="169" t="s">
        <v>208</v>
      </c>
      <c r="F34" s="174">
        <v>10.0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49">
        <v>14.0</v>
      </c>
      <c r="B35" s="169" t="s">
        <v>208</v>
      </c>
      <c r="C35" s="174">
        <v>80.0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8"/>
      <c r="B36" s="8"/>
      <c r="C36" s="8"/>
      <c r="D36" s="8"/>
      <c r="E36" s="8"/>
      <c r="F36" s="8"/>
      <c r="G36" s="5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193" t="s">
        <v>263</v>
      </c>
      <c r="B1" s="194" t="s">
        <v>264</v>
      </c>
      <c r="C1" s="195" t="s">
        <v>265</v>
      </c>
      <c r="D1" s="194" t="s">
        <v>266</v>
      </c>
      <c r="E1" s="195" t="s">
        <v>267</v>
      </c>
      <c r="F1" s="196" t="s">
        <v>268</v>
      </c>
      <c r="G1" s="195" t="s">
        <v>269</v>
      </c>
      <c r="H1" s="197" t="s">
        <v>270</v>
      </c>
      <c r="I1" s="198" t="s">
        <v>271</v>
      </c>
    </row>
    <row r="2">
      <c r="A2" s="51" t="s">
        <v>272</v>
      </c>
      <c r="B2" s="199">
        <v>6.0</v>
      </c>
      <c r="C2" s="200">
        <v>138.0</v>
      </c>
      <c r="D2" s="199">
        <v>72.0</v>
      </c>
      <c r="E2" s="200">
        <v>28.0</v>
      </c>
      <c r="F2" s="201">
        <f t="shared" ref="F2:F132" si="1">E2*B2*23/C2</f>
        <v>28</v>
      </c>
      <c r="G2" s="200">
        <v>2.33</v>
      </c>
      <c r="H2" s="202">
        <f t="shared" ref="H2:H132" si="2">G2*B2</f>
        <v>13.98</v>
      </c>
      <c r="I2" s="203">
        <v>0.778</v>
      </c>
    </row>
    <row r="3">
      <c r="A3" s="51" t="s">
        <v>273</v>
      </c>
      <c r="B3" s="199">
        <v>6.0</v>
      </c>
      <c r="C3" s="200">
        <v>138.0</v>
      </c>
      <c r="D3" s="199">
        <v>54.0</v>
      </c>
      <c r="E3" s="200">
        <v>27.33</v>
      </c>
      <c r="F3" s="201">
        <f t="shared" si="1"/>
        <v>27.33</v>
      </c>
      <c r="G3" s="200">
        <v>0.5</v>
      </c>
      <c r="H3" s="202">
        <f t="shared" si="2"/>
        <v>3</v>
      </c>
      <c r="I3" s="203">
        <v>0.815</v>
      </c>
    </row>
    <row r="4">
      <c r="A4" s="51" t="s">
        <v>274</v>
      </c>
      <c r="B4" s="199">
        <v>6.0</v>
      </c>
      <c r="C4" s="200">
        <v>135.0</v>
      </c>
      <c r="D4" s="199">
        <v>45.0</v>
      </c>
      <c r="E4" s="200">
        <v>25.33</v>
      </c>
      <c r="F4" s="201">
        <f t="shared" si="1"/>
        <v>25.89288889</v>
      </c>
      <c r="G4" s="200">
        <v>0.33</v>
      </c>
      <c r="H4" s="202">
        <f t="shared" si="2"/>
        <v>1.98</v>
      </c>
      <c r="I4" s="203">
        <v>0.889</v>
      </c>
    </row>
    <row r="5">
      <c r="A5" s="51" t="s">
        <v>275</v>
      </c>
      <c r="B5" s="199">
        <v>6.0</v>
      </c>
      <c r="C5" s="200">
        <v>138.0</v>
      </c>
      <c r="D5" s="199">
        <v>51.0</v>
      </c>
      <c r="E5" s="200">
        <v>24.67</v>
      </c>
      <c r="F5" s="201">
        <f t="shared" si="1"/>
        <v>24.67</v>
      </c>
      <c r="G5" s="200">
        <v>1.0</v>
      </c>
      <c r="H5" s="202">
        <f t="shared" si="2"/>
        <v>6</v>
      </c>
      <c r="I5" s="203">
        <v>0.843</v>
      </c>
    </row>
    <row r="6">
      <c r="A6" s="51" t="s">
        <v>276</v>
      </c>
      <c r="B6" s="199">
        <v>6.0</v>
      </c>
      <c r="C6" s="200">
        <v>135.0</v>
      </c>
      <c r="D6" s="199">
        <v>54.0</v>
      </c>
      <c r="E6" s="200">
        <v>22.67</v>
      </c>
      <c r="F6" s="201">
        <f t="shared" si="1"/>
        <v>23.17377778</v>
      </c>
      <c r="G6" s="200">
        <v>1.17</v>
      </c>
      <c r="H6" s="202">
        <f t="shared" si="2"/>
        <v>7.02</v>
      </c>
      <c r="I6" s="203">
        <v>0.759</v>
      </c>
    </row>
    <row r="7">
      <c r="A7" s="51" t="s">
        <v>277</v>
      </c>
      <c r="B7" s="199">
        <v>6.0</v>
      </c>
      <c r="C7" s="200">
        <v>136.0</v>
      </c>
      <c r="D7" s="199">
        <v>38.0</v>
      </c>
      <c r="E7" s="200">
        <v>22.0</v>
      </c>
      <c r="F7" s="201">
        <f t="shared" si="1"/>
        <v>22.32352941</v>
      </c>
      <c r="G7" s="200">
        <v>0.33</v>
      </c>
      <c r="H7" s="202">
        <f t="shared" si="2"/>
        <v>1.98</v>
      </c>
      <c r="I7" s="203">
        <v>0.921</v>
      </c>
    </row>
    <row r="8">
      <c r="A8" s="51" t="s">
        <v>278</v>
      </c>
      <c r="B8" s="199">
        <v>3.0</v>
      </c>
      <c r="C8" s="200">
        <v>69.0</v>
      </c>
      <c r="D8" s="199">
        <v>26.0</v>
      </c>
      <c r="E8" s="200">
        <v>21.33</v>
      </c>
      <c r="F8" s="201">
        <f t="shared" si="1"/>
        <v>21.33</v>
      </c>
      <c r="G8" s="200">
        <v>1.33</v>
      </c>
      <c r="H8" s="202">
        <f t="shared" si="2"/>
        <v>3.99</v>
      </c>
      <c r="I8" s="203">
        <v>0.769</v>
      </c>
    </row>
    <row r="9">
      <c r="A9" s="51" t="s">
        <v>279</v>
      </c>
      <c r="B9" s="199">
        <v>6.0</v>
      </c>
      <c r="C9" s="200">
        <v>138.0</v>
      </c>
      <c r="D9" s="199">
        <v>77.0</v>
      </c>
      <c r="E9" s="200">
        <v>20.67</v>
      </c>
      <c r="F9" s="201">
        <f t="shared" si="1"/>
        <v>20.67</v>
      </c>
      <c r="G9" s="200">
        <v>2.67</v>
      </c>
      <c r="H9" s="202">
        <f t="shared" si="2"/>
        <v>16.02</v>
      </c>
      <c r="I9" s="203">
        <v>0.61</v>
      </c>
    </row>
    <row r="10">
      <c r="A10" s="51" t="s">
        <v>280</v>
      </c>
      <c r="B10" s="199">
        <v>6.0</v>
      </c>
      <c r="C10" s="200">
        <v>138.0</v>
      </c>
      <c r="D10" s="199">
        <v>46.0</v>
      </c>
      <c r="E10" s="200">
        <v>20.67</v>
      </c>
      <c r="F10" s="201">
        <f t="shared" si="1"/>
        <v>20.67</v>
      </c>
      <c r="G10" s="200">
        <v>1.17</v>
      </c>
      <c r="H10" s="202">
        <f t="shared" si="2"/>
        <v>7.02</v>
      </c>
      <c r="I10" s="203">
        <v>0.826</v>
      </c>
    </row>
    <row r="11">
      <c r="A11" s="51" t="s">
        <v>281</v>
      </c>
      <c r="B11" s="199">
        <v>6.0</v>
      </c>
      <c r="C11" s="200">
        <v>138.0</v>
      </c>
      <c r="D11" s="199">
        <v>50.0</v>
      </c>
      <c r="E11" s="200">
        <v>20.67</v>
      </c>
      <c r="F11" s="201">
        <f t="shared" si="1"/>
        <v>20.67</v>
      </c>
      <c r="G11" s="200">
        <v>1.0</v>
      </c>
      <c r="H11" s="202">
        <f t="shared" si="2"/>
        <v>6</v>
      </c>
      <c r="I11" s="203">
        <v>0.74</v>
      </c>
    </row>
    <row r="12">
      <c r="A12" s="51" t="s">
        <v>282</v>
      </c>
      <c r="B12" s="199">
        <v>6.0</v>
      </c>
      <c r="C12" s="200">
        <v>138.0</v>
      </c>
      <c r="D12" s="199">
        <v>41.0</v>
      </c>
      <c r="E12" s="200">
        <v>20.67</v>
      </c>
      <c r="F12" s="201">
        <f t="shared" si="1"/>
        <v>20.67</v>
      </c>
      <c r="G12" s="200">
        <v>0.67</v>
      </c>
      <c r="H12" s="202">
        <f t="shared" si="2"/>
        <v>4.02</v>
      </c>
      <c r="I12" s="203">
        <v>0.854</v>
      </c>
    </row>
    <row r="13">
      <c r="A13" s="51" t="s">
        <v>283</v>
      </c>
      <c r="B13" s="199">
        <v>6.0</v>
      </c>
      <c r="C13" s="200">
        <v>138.0</v>
      </c>
      <c r="D13" s="199">
        <v>53.0</v>
      </c>
      <c r="E13" s="200">
        <v>19.33</v>
      </c>
      <c r="F13" s="201">
        <f t="shared" si="1"/>
        <v>19.33</v>
      </c>
      <c r="G13" s="200">
        <v>1.67</v>
      </c>
      <c r="H13" s="202">
        <f t="shared" si="2"/>
        <v>10.02</v>
      </c>
      <c r="I13" s="203">
        <v>0.736</v>
      </c>
    </row>
    <row r="14">
      <c r="A14" s="51" t="s">
        <v>284</v>
      </c>
      <c r="B14" s="199">
        <v>6.0</v>
      </c>
      <c r="C14" s="200">
        <v>138.0</v>
      </c>
      <c r="D14" s="199">
        <v>41.0</v>
      </c>
      <c r="E14" s="200">
        <v>18.67</v>
      </c>
      <c r="F14" s="201">
        <f t="shared" si="1"/>
        <v>18.67</v>
      </c>
      <c r="G14" s="200">
        <v>0.83</v>
      </c>
      <c r="H14" s="202">
        <f t="shared" si="2"/>
        <v>4.98</v>
      </c>
      <c r="I14" s="203">
        <v>0.805</v>
      </c>
    </row>
    <row r="15">
      <c r="A15" s="51" t="s">
        <v>285</v>
      </c>
      <c r="B15" s="199">
        <v>6.0</v>
      </c>
      <c r="C15" s="200">
        <v>138.0</v>
      </c>
      <c r="D15" s="199">
        <v>34.0</v>
      </c>
      <c r="E15" s="200">
        <v>18.67</v>
      </c>
      <c r="F15" s="201">
        <f t="shared" si="1"/>
        <v>18.67</v>
      </c>
      <c r="G15" s="200">
        <v>0.33</v>
      </c>
      <c r="H15" s="202">
        <f t="shared" si="2"/>
        <v>1.98</v>
      </c>
      <c r="I15" s="203">
        <v>0.882</v>
      </c>
    </row>
    <row r="16">
      <c r="A16" s="51" t="s">
        <v>286</v>
      </c>
      <c r="B16" s="199">
        <v>6.0</v>
      </c>
      <c r="C16" s="200">
        <v>138.0</v>
      </c>
      <c r="D16" s="199">
        <v>29.0</v>
      </c>
      <c r="E16" s="200">
        <v>18.0</v>
      </c>
      <c r="F16" s="201">
        <f t="shared" si="1"/>
        <v>18</v>
      </c>
      <c r="G16" s="200">
        <v>0.0</v>
      </c>
      <c r="H16" s="202">
        <f t="shared" si="2"/>
        <v>0</v>
      </c>
      <c r="I16" s="203">
        <v>0.931</v>
      </c>
    </row>
    <row r="17">
      <c r="A17" s="51" t="s">
        <v>287</v>
      </c>
      <c r="B17" s="199">
        <v>5.0</v>
      </c>
      <c r="C17" s="200">
        <v>115.0</v>
      </c>
      <c r="D17" s="199">
        <v>28.0</v>
      </c>
      <c r="E17" s="200">
        <v>17.6</v>
      </c>
      <c r="F17" s="201">
        <f t="shared" si="1"/>
        <v>17.6</v>
      </c>
      <c r="G17" s="200">
        <v>0.2</v>
      </c>
      <c r="H17" s="202">
        <f t="shared" si="2"/>
        <v>1</v>
      </c>
      <c r="I17" s="203">
        <v>0.821</v>
      </c>
    </row>
    <row r="18">
      <c r="A18" s="51" t="s">
        <v>288</v>
      </c>
      <c r="B18" s="199">
        <v>6.0</v>
      </c>
      <c r="C18" s="200">
        <v>138.0</v>
      </c>
      <c r="D18" s="199">
        <v>34.0</v>
      </c>
      <c r="E18" s="200">
        <v>17.33</v>
      </c>
      <c r="F18" s="201">
        <f t="shared" si="1"/>
        <v>17.33</v>
      </c>
      <c r="G18" s="200">
        <v>0.5</v>
      </c>
      <c r="H18" s="202">
        <f t="shared" si="2"/>
        <v>3</v>
      </c>
      <c r="I18" s="203">
        <v>0.853</v>
      </c>
    </row>
    <row r="19">
      <c r="A19" s="51" t="s">
        <v>289</v>
      </c>
      <c r="B19" s="199">
        <v>3.0</v>
      </c>
      <c r="C19" s="200">
        <v>69.0</v>
      </c>
      <c r="D19" s="199">
        <v>18.0</v>
      </c>
      <c r="E19" s="200">
        <v>17.33</v>
      </c>
      <c r="F19" s="201">
        <f t="shared" si="1"/>
        <v>17.33</v>
      </c>
      <c r="G19" s="200">
        <v>0.67</v>
      </c>
      <c r="H19" s="202">
        <f t="shared" si="2"/>
        <v>2.01</v>
      </c>
      <c r="I19" s="203">
        <v>0.833</v>
      </c>
    </row>
    <row r="20">
      <c r="A20" s="51" t="s">
        <v>290</v>
      </c>
      <c r="B20" s="199">
        <v>6.0</v>
      </c>
      <c r="C20" s="200">
        <v>138.0</v>
      </c>
      <c r="D20" s="199">
        <v>30.0</v>
      </c>
      <c r="E20" s="200">
        <v>17.33</v>
      </c>
      <c r="F20" s="201">
        <f t="shared" si="1"/>
        <v>17.33</v>
      </c>
      <c r="G20" s="200">
        <v>0.0</v>
      </c>
      <c r="H20" s="202">
        <f t="shared" si="2"/>
        <v>0</v>
      </c>
      <c r="I20" s="203">
        <v>0.867</v>
      </c>
    </row>
    <row r="21">
      <c r="A21" s="51" t="s">
        <v>291</v>
      </c>
      <c r="B21" s="199">
        <v>6.0</v>
      </c>
      <c r="C21" s="200">
        <v>137.0</v>
      </c>
      <c r="D21" s="199">
        <v>51.0</v>
      </c>
      <c r="E21" s="200">
        <v>16.67</v>
      </c>
      <c r="F21" s="201">
        <f t="shared" si="1"/>
        <v>16.79167883</v>
      </c>
      <c r="G21" s="200">
        <v>1.17</v>
      </c>
      <c r="H21" s="202">
        <f t="shared" si="2"/>
        <v>7.02</v>
      </c>
      <c r="I21" s="203">
        <v>0.627</v>
      </c>
    </row>
    <row r="22">
      <c r="A22" s="51" t="s">
        <v>292</v>
      </c>
      <c r="B22" s="199">
        <v>6.0</v>
      </c>
      <c r="C22" s="200">
        <v>138.0</v>
      </c>
      <c r="D22" s="199">
        <v>30.0</v>
      </c>
      <c r="E22" s="200">
        <v>16.67</v>
      </c>
      <c r="F22" s="201">
        <f t="shared" si="1"/>
        <v>16.67</v>
      </c>
      <c r="G22" s="200">
        <v>0.33</v>
      </c>
      <c r="H22" s="202">
        <f t="shared" si="2"/>
        <v>1.98</v>
      </c>
      <c r="I22" s="203">
        <v>0.9</v>
      </c>
    </row>
    <row r="23">
      <c r="A23" s="51" t="s">
        <v>293</v>
      </c>
      <c r="B23" s="199">
        <v>6.0</v>
      </c>
      <c r="C23" s="200">
        <v>138.0</v>
      </c>
      <c r="D23" s="199">
        <v>41.0</v>
      </c>
      <c r="E23" s="200">
        <v>16.0</v>
      </c>
      <c r="F23" s="201">
        <f t="shared" si="1"/>
        <v>16</v>
      </c>
      <c r="G23" s="200">
        <v>1.33</v>
      </c>
      <c r="H23" s="202">
        <f t="shared" si="2"/>
        <v>7.98</v>
      </c>
      <c r="I23" s="203">
        <v>0.78</v>
      </c>
    </row>
    <row r="24">
      <c r="A24" s="51" t="s">
        <v>294</v>
      </c>
      <c r="B24" s="199">
        <v>6.0</v>
      </c>
      <c r="C24" s="200">
        <v>138.0</v>
      </c>
      <c r="D24" s="199">
        <v>35.0</v>
      </c>
      <c r="E24" s="200">
        <v>16.0</v>
      </c>
      <c r="F24" s="201">
        <f t="shared" si="1"/>
        <v>16</v>
      </c>
      <c r="G24" s="200">
        <v>0.33</v>
      </c>
      <c r="H24" s="202">
        <f t="shared" si="2"/>
        <v>1.98</v>
      </c>
      <c r="I24" s="203">
        <v>0.743</v>
      </c>
    </row>
    <row r="25">
      <c r="A25" s="51" t="s">
        <v>295</v>
      </c>
      <c r="B25" s="199">
        <v>1.0</v>
      </c>
      <c r="C25" s="200">
        <v>23.0</v>
      </c>
      <c r="D25" s="199">
        <v>6.0</v>
      </c>
      <c r="E25" s="200">
        <v>16.0</v>
      </c>
      <c r="F25" s="201">
        <f t="shared" si="1"/>
        <v>16</v>
      </c>
      <c r="G25" s="200">
        <v>0.0</v>
      </c>
      <c r="H25" s="202">
        <f t="shared" si="2"/>
        <v>0</v>
      </c>
      <c r="I25" s="203">
        <v>0.667</v>
      </c>
    </row>
    <row r="26">
      <c r="A26" s="51" t="s">
        <v>296</v>
      </c>
      <c r="B26" s="199">
        <v>6.0</v>
      </c>
      <c r="C26" s="200">
        <v>138.0</v>
      </c>
      <c r="D26" s="199">
        <v>31.0</v>
      </c>
      <c r="E26" s="200">
        <v>15.33</v>
      </c>
      <c r="F26" s="201">
        <f t="shared" si="1"/>
        <v>15.33</v>
      </c>
      <c r="G26" s="200">
        <v>0.5</v>
      </c>
      <c r="H26" s="202">
        <f t="shared" si="2"/>
        <v>3</v>
      </c>
      <c r="I26" s="203">
        <v>0.839</v>
      </c>
    </row>
    <row r="27">
      <c r="A27" s="51" t="s">
        <v>297</v>
      </c>
      <c r="B27" s="199">
        <v>5.0</v>
      </c>
      <c r="C27" s="200">
        <v>115.0</v>
      </c>
      <c r="D27" s="199">
        <v>23.0</v>
      </c>
      <c r="E27" s="200">
        <v>13.6</v>
      </c>
      <c r="F27" s="201">
        <f t="shared" si="1"/>
        <v>13.6</v>
      </c>
      <c r="G27" s="200">
        <v>0.4</v>
      </c>
      <c r="H27" s="202">
        <f t="shared" si="2"/>
        <v>2</v>
      </c>
      <c r="I27" s="203">
        <v>0.826</v>
      </c>
    </row>
    <row r="28">
      <c r="A28" s="51" t="s">
        <v>298</v>
      </c>
      <c r="B28" s="199">
        <v>6.0</v>
      </c>
      <c r="C28" s="200">
        <v>137.0</v>
      </c>
      <c r="D28" s="199">
        <v>37.0</v>
      </c>
      <c r="E28" s="200">
        <v>13.33</v>
      </c>
      <c r="F28" s="201">
        <f t="shared" si="1"/>
        <v>13.42729927</v>
      </c>
      <c r="G28" s="200">
        <v>0.33</v>
      </c>
      <c r="H28" s="202">
        <f t="shared" si="2"/>
        <v>1.98</v>
      </c>
      <c r="I28" s="203">
        <v>0.595</v>
      </c>
    </row>
    <row r="29">
      <c r="A29" s="51" t="s">
        <v>299</v>
      </c>
      <c r="B29" s="199">
        <v>6.0</v>
      </c>
      <c r="C29" s="200">
        <v>138.0</v>
      </c>
      <c r="D29" s="199">
        <v>52.0</v>
      </c>
      <c r="E29" s="200">
        <v>13.33</v>
      </c>
      <c r="F29" s="201">
        <f t="shared" si="1"/>
        <v>13.33</v>
      </c>
      <c r="G29" s="200">
        <v>2.0</v>
      </c>
      <c r="H29" s="202">
        <f t="shared" si="2"/>
        <v>12</v>
      </c>
      <c r="I29" s="203">
        <v>0.615</v>
      </c>
    </row>
    <row r="30">
      <c r="A30" s="51" t="s">
        <v>300</v>
      </c>
      <c r="B30" s="199">
        <v>6.0</v>
      </c>
      <c r="C30" s="200">
        <v>138.0</v>
      </c>
      <c r="D30" s="199">
        <v>34.0</v>
      </c>
      <c r="E30" s="200">
        <v>13.33</v>
      </c>
      <c r="F30" s="201">
        <f t="shared" si="1"/>
        <v>13.33</v>
      </c>
      <c r="G30" s="200">
        <v>0.83</v>
      </c>
      <c r="H30" s="202">
        <f t="shared" si="2"/>
        <v>4.98</v>
      </c>
      <c r="I30" s="203">
        <v>0.735</v>
      </c>
    </row>
    <row r="31">
      <c r="A31" s="51" t="s">
        <v>301</v>
      </c>
      <c r="B31" s="199">
        <v>6.0</v>
      </c>
      <c r="C31" s="200">
        <v>138.0</v>
      </c>
      <c r="D31" s="199">
        <v>28.0</v>
      </c>
      <c r="E31" s="200">
        <v>13.33</v>
      </c>
      <c r="F31" s="201">
        <f t="shared" si="1"/>
        <v>13.33</v>
      </c>
      <c r="G31" s="200">
        <v>0.5</v>
      </c>
      <c r="H31" s="202">
        <f t="shared" si="2"/>
        <v>3</v>
      </c>
      <c r="I31" s="203">
        <v>0.821</v>
      </c>
    </row>
    <row r="32">
      <c r="A32" s="51" t="s">
        <v>302</v>
      </c>
      <c r="B32" s="199">
        <v>6.0</v>
      </c>
      <c r="C32" s="200">
        <v>138.0</v>
      </c>
      <c r="D32" s="199">
        <v>28.0</v>
      </c>
      <c r="E32" s="200">
        <v>13.33</v>
      </c>
      <c r="F32" s="201">
        <f t="shared" si="1"/>
        <v>13.33</v>
      </c>
      <c r="G32" s="200">
        <v>0.5</v>
      </c>
      <c r="H32" s="202">
        <f t="shared" si="2"/>
        <v>3</v>
      </c>
      <c r="I32" s="203">
        <v>0.821</v>
      </c>
    </row>
    <row r="33">
      <c r="A33" s="51" t="s">
        <v>303</v>
      </c>
      <c r="B33" s="199">
        <v>6.0</v>
      </c>
      <c r="C33" s="200">
        <v>138.0</v>
      </c>
      <c r="D33" s="199">
        <v>26.0</v>
      </c>
      <c r="E33" s="200">
        <v>13.33</v>
      </c>
      <c r="F33" s="201">
        <f t="shared" si="1"/>
        <v>13.33</v>
      </c>
      <c r="G33" s="200">
        <v>0.33</v>
      </c>
      <c r="H33" s="202">
        <f t="shared" si="2"/>
        <v>1.98</v>
      </c>
      <c r="I33" s="203">
        <v>0.846</v>
      </c>
    </row>
    <row r="34">
      <c r="A34" s="51" t="s">
        <v>304</v>
      </c>
      <c r="B34" s="199">
        <v>6.0</v>
      </c>
      <c r="C34" s="200">
        <v>138.0</v>
      </c>
      <c r="D34" s="199">
        <v>24.0</v>
      </c>
      <c r="E34" s="200">
        <v>13.33</v>
      </c>
      <c r="F34" s="201">
        <f t="shared" si="1"/>
        <v>13.33</v>
      </c>
      <c r="G34" s="200">
        <v>0.33</v>
      </c>
      <c r="H34" s="202">
        <f t="shared" si="2"/>
        <v>1.98</v>
      </c>
      <c r="I34" s="203">
        <v>0.917</v>
      </c>
    </row>
    <row r="35">
      <c r="A35" s="51" t="s">
        <v>305</v>
      </c>
      <c r="B35" s="199">
        <v>1.0</v>
      </c>
      <c r="C35" s="200">
        <v>22.0</v>
      </c>
      <c r="D35" s="199">
        <v>3.0</v>
      </c>
      <c r="E35" s="200">
        <v>12.0</v>
      </c>
      <c r="F35" s="201">
        <f t="shared" si="1"/>
        <v>12.54545455</v>
      </c>
      <c r="G35" s="200">
        <v>0.0</v>
      </c>
      <c r="H35" s="202">
        <f t="shared" si="2"/>
        <v>0</v>
      </c>
      <c r="I35" s="203">
        <v>1.0</v>
      </c>
    </row>
    <row r="36">
      <c r="A36" s="51" t="s">
        <v>306</v>
      </c>
      <c r="B36" s="199">
        <v>6.0</v>
      </c>
      <c r="C36" s="200">
        <v>138.0</v>
      </c>
      <c r="D36" s="199">
        <v>30.0</v>
      </c>
      <c r="E36" s="200">
        <v>12.0</v>
      </c>
      <c r="F36" s="201">
        <f t="shared" si="1"/>
        <v>12</v>
      </c>
      <c r="G36" s="200">
        <v>0.5</v>
      </c>
      <c r="H36" s="202">
        <f t="shared" si="2"/>
        <v>3</v>
      </c>
      <c r="I36" s="203">
        <v>0.7</v>
      </c>
    </row>
    <row r="37">
      <c r="A37" s="51" t="s">
        <v>307</v>
      </c>
      <c r="B37" s="199">
        <v>6.0</v>
      </c>
      <c r="C37" s="200">
        <v>138.0</v>
      </c>
      <c r="D37" s="199">
        <v>21.0</v>
      </c>
      <c r="E37" s="200">
        <v>12.0</v>
      </c>
      <c r="F37" s="201">
        <f t="shared" si="1"/>
        <v>12</v>
      </c>
      <c r="G37" s="200">
        <v>0.17</v>
      </c>
      <c r="H37" s="202">
        <f t="shared" si="2"/>
        <v>1.02</v>
      </c>
      <c r="I37" s="203">
        <v>0.905</v>
      </c>
    </row>
    <row r="38">
      <c r="A38" s="51" t="s">
        <v>308</v>
      </c>
      <c r="B38" s="199">
        <v>5.0</v>
      </c>
      <c r="C38" s="200">
        <v>115.0</v>
      </c>
      <c r="D38" s="199">
        <v>18.0</v>
      </c>
      <c r="E38" s="200">
        <v>12.0</v>
      </c>
      <c r="F38" s="201">
        <f t="shared" si="1"/>
        <v>12</v>
      </c>
      <c r="G38" s="200">
        <v>0.2</v>
      </c>
      <c r="H38" s="202">
        <f t="shared" si="2"/>
        <v>1</v>
      </c>
      <c r="I38" s="203">
        <v>0.889</v>
      </c>
    </row>
    <row r="39">
      <c r="A39" s="51" t="s">
        <v>309</v>
      </c>
      <c r="B39" s="199">
        <v>2.0</v>
      </c>
      <c r="C39" s="200">
        <v>46.0</v>
      </c>
      <c r="D39" s="199">
        <v>9.0</v>
      </c>
      <c r="E39" s="200">
        <v>12.0</v>
      </c>
      <c r="F39" s="201">
        <f t="shared" si="1"/>
        <v>12</v>
      </c>
      <c r="G39" s="200">
        <v>0.5</v>
      </c>
      <c r="H39" s="202">
        <f t="shared" si="2"/>
        <v>1</v>
      </c>
      <c r="I39" s="203">
        <v>0.778</v>
      </c>
    </row>
    <row r="40">
      <c r="A40" s="51" t="s">
        <v>310</v>
      </c>
      <c r="B40" s="199">
        <v>6.0</v>
      </c>
      <c r="C40" s="200">
        <v>137.0</v>
      </c>
      <c r="D40" s="199">
        <v>21.0</v>
      </c>
      <c r="E40" s="200">
        <v>11.33</v>
      </c>
      <c r="F40" s="201">
        <f t="shared" si="1"/>
        <v>11.41270073</v>
      </c>
      <c r="G40" s="200">
        <v>0.33</v>
      </c>
      <c r="H40" s="202">
        <f t="shared" si="2"/>
        <v>1.98</v>
      </c>
      <c r="I40" s="203">
        <v>0.905</v>
      </c>
    </row>
    <row r="41">
      <c r="A41" s="51" t="s">
        <v>311</v>
      </c>
      <c r="B41" s="199">
        <v>6.0</v>
      </c>
      <c r="C41" s="200">
        <v>138.0</v>
      </c>
      <c r="D41" s="199">
        <v>20.0</v>
      </c>
      <c r="E41" s="200">
        <v>11.33</v>
      </c>
      <c r="F41" s="201">
        <f t="shared" si="1"/>
        <v>11.33</v>
      </c>
      <c r="G41" s="200">
        <v>0.17</v>
      </c>
      <c r="H41" s="202">
        <f t="shared" si="2"/>
        <v>1.02</v>
      </c>
      <c r="I41" s="203">
        <v>0.9</v>
      </c>
    </row>
    <row r="42">
      <c r="A42" s="51" t="s">
        <v>312</v>
      </c>
      <c r="B42" s="199">
        <v>6.0</v>
      </c>
      <c r="C42" s="200">
        <v>138.0</v>
      </c>
      <c r="D42" s="199">
        <v>27.0</v>
      </c>
      <c r="E42" s="200">
        <v>10.67</v>
      </c>
      <c r="F42" s="201">
        <f t="shared" si="1"/>
        <v>10.67</v>
      </c>
      <c r="G42" s="200">
        <v>0.67</v>
      </c>
      <c r="H42" s="202">
        <f t="shared" si="2"/>
        <v>4.02</v>
      </c>
      <c r="I42" s="203">
        <v>0.741</v>
      </c>
    </row>
    <row r="43">
      <c r="A43" s="51" t="s">
        <v>313</v>
      </c>
      <c r="B43" s="199">
        <v>6.0</v>
      </c>
      <c r="C43" s="200">
        <v>138.0</v>
      </c>
      <c r="D43" s="199">
        <v>20.0</v>
      </c>
      <c r="E43" s="200">
        <v>10.67</v>
      </c>
      <c r="F43" s="201">
        <f t="shared" si="1"/>
        <v>10.67</v>
      </c>
      <c r="G43" s="200">
        <v>0.33</v>
      </c>
      <c r="H43" s="202">
        <f t="shared" si="2"/>
        <v>1.98</v>
      </c>
      <c r="I43" s="203">
        <v>0.9</v>
      </c>
    </row>
    <row r="44">
      <c r="A44" s="51" t="s">
        <v>314</v>
      </c>
      <c r="B44" s="199">
        <v>3.0</v>
      </c>
      <c r="C44" s="200">
        <v>69.0</v>
      </c>
      <c r="D44" s="199">
        <v>8.0</v>
      </c>
      <c r="E44" s="200">
        <v>10.67</v>
      </c>
      <c r="F44" s="201">
        <f t="shared" si="1"/>
        <v>10.67</v>
      </c>
      <c r="G44" s="200">
        <v>0.0</v>
      </c>
      <c r="H44" s="202">
        <f t="shared" si="2"/>
        <v>0</v>
      </c>
      <c r="I44" s="203">
        <v>1.0</v>
      </c>
    </row>
    <row r="45">
      <c r="A45" s="51" t="s">
        <v>315</v>
      </c>
      <c r="B45" s="199">
        <v>6.0</v>
      </c>
      <c r="C45" s="200">
        <v>138.0</v>
      </c>
      <c r="D45" s="199">
        <v>18.0</v>
      </c>
      <c r="E45" s="200">
        <v>10.67</v>
      </c>
      <c r="F45" s="201">
        <f t="shared" si="1"/>
        <v>10.67</v>
      </c>
      <c r="G45" s="200">
        <v>0.0</v>
      </c>
      <c r="H45" s="202">
        <f t="shared" si="2"/>
        <v>0</v>
      </c>
      <c r="I45" s="203">
        <v>0.889</v>
      </c>
    </row>
    <row r="46">
      <c r="A46" s="51" t="s">
        <v>316</v>
      </c>
      <c r="B46" s="199">
        <v>5.0</v>
      </c>
      <c r="C46" s="200">
        <v>115.0</v>
      </c>
      <c r="D46" s="199">
        <v>18.0</v>
      </c>
      <c r="E46" s="200">
        <v>10.4</v>
      </c>
      <c r="F46" s="201">
        <f t="shared" si="1"/>
        <v>10.4</v>
      </c>
      <c r="G46" s="200">
        <v>0.4</v>
      </c>
      <c r="H46" s="202">
        <f t="shared" si="2"/>
        <v>2</v>
      </c>
      <c r="I46" s="203">
        <v>0.833</v>
      </c>
    </row>
    <row r="47">
      <c r="A47" s="51" t="s">
        <v>317</v>
      </c>
      <c r="B47" s="199">
        <v>5.0</v>
      </c>
      <c r="C47" s="200">
        <v>115.0</v>
      </c>
      <c r="D47" s="199">
        <v>14.0</v>
      </c>
      <c r="E47" s="200">
        <v>10.4</v>
      </c>
      <c r="F47" s="201">
        <f t="shared" si="1"/>
        <v>10.4</v>
      </c>
      <c r="G47" s="200">
        <v>0.0</v>
      </c>
      <c r="H47" s="202">
        <f t="shared" si="2"/>
        <v>0</v>
      </c>
      <c r="I47" s="203">
        <v>0.929</v>
      </c>
    </row>
    <row r="48">
      <c r="A48" s="51" t="s">
        <v>318</v>
      </c>
      <c r="B48" s="199">
        <v>6.0</v>
      </c>
      <c r="C48" s="200">
        <v>138.0</v>
      </c>
      <c r="D48" s="199">
        <v>21.0</v>
      </c>
      <c r="E48" s="200">
        <v>10.0</v>
      </c>
      <c r="F48" s="201">
        <f t="shared" si="1"/>
        <v>10</v>
      </c>
      <c r="G48" s="200">
        <v>0.33</v>
      </c>
      <c r="H48" s="202">
        <f t="shared" si="2"/>
        <v>1.98</v>
      </c>
      <c r="I48" s="203">
        <v>0.81</v>
      </c>
    </row>
    <row r="49">
      <c r="A49" s="51" t="s">
        <v>319</v>
      </c>
      <c r="B49" s="199">
        <v>5.0</v>
      </c>
      <c r="C49" s="200">
        <v>112.0</v>
      </c>
      <c r="D49" s="199">
        <v>13.0</v>
      </c>
      <c r="E49" s="200">
        <v>9.6</v>
      </c>
      <c r="F49" s="201">
        <f t="shared" si="1"/>
        <v>9.857142857</v>
      </c>
      <c r="G49" s="200">
        <v>0.0</v>
      </c>
      <c r="H49" s="202">
        <f t="shared" si="2"/>
        <v>0</v>
      </c>
      <c r="I49" s="203">
        <v>0.923</v>
      </c>
    </row>
    <row r="50">
      <c r="A50" s="51" t="s">
        <v>320</v>
      </c>
      <c r="B50" s="199">
        <v>5.0</v>
      </c>
      <c r="C50" s="200">
        <v>115.0</v>
      </c>
      <c r="D50" s="199">
        <v>26.0</v>
      </c>
      <c r="E50" s="200">
        <v>9.6</v>
      </c>
      <c r="F50" s="201">
        <f t="shared" si="1"/>
        <v>9.6</v>
      </c>
      <c r="G50" s="200">
        <v>1.0</v>
      </c>
      <c r="H50" s="202">
        <f t="shared" si="2"/>
        <v>5</v>
      </c>
      <c r="I50" s="203">
        <v>0.654</v>
      </c>
    </row>
    <row r="51">
      <c r="A51" s="51" t="s">
        <v>321</v>
      </c>
      <c r="B51" s="199">
        <v>5.0</v>
      </c>
      <c r="C51" s="200">
        <v>115.0</v>
      </c>
      <c r="D51" s="199">
        <v>18.0</v>
      </c>
      <c r="E51" s="200">
        <v>9.6</v>
      </c>
      <c r="F51" s="201">
        <f t="shared" si="1"/>
        <v>9.6</v>
      </c>
      <c r="G51" s="200">
        <v>0.4</v>
      </c>
      <c r="H51" s="202">
        <f t="shared" si="2"/>
        <v>2</v>
      </c>
      <c r="I51" s="203">
        <v>0.778</v>
      </c>
    </row>
    <row r="52">
      <c r="A52" s="51" t="s">
        <v>322</v>
      </c>
      <c r="B52" s="199">
        <v>5.0</v>
      </c>
      <c r="C52" s="200">
        <v>115.0</v>
      </c>
      <c r="D52" s="199">
        <v>12.0</v>
      </c>
      <c r="E52" s="200">
        <v>9.6</v>
      </c>
      <c r="F52" s="201">
        <f t="shared" si="1"/>
        <v>9.6</v>
      </c>
      <c r="G52" s="200">
        <v>0.0</v>
      </c>
      <c r="H52" s="202">
        <f t="shared" si="2"/>
        <v>0</v>
      </c>
      <c r="I52" s="203">
        <v>1.0</v>
      </c>
    </row>
    <row r="53">
      <c r="A53" s="51" t="s">
        <v>323</v>
      </c>
      <c r="B53" s="199">
        <v>6.0</v>
      </c>
      <c r="C53" s="200">
        <v>137.0</v>
      </c>
      <c r="D53" s="199">
        <v>18.0</v>
      </c>
      <c r="E53" s="200">
        <v>9.33</v>
      </c>
      <c r="F53" s="201">
        <f t="shared" si="1"/>
        <v>9.39810219</v>
      </c>
      <c r="G53" s="200">
        <v>0.17</v>
      </c>
      <c r="H53" s="202">
        <f t="shared" si="2"/>
        <v>1.02</v>
      </c>
      <c r="I53" s="203">
        <v>0.833</v>
      </c>
    </row>
    <row r="54">
      <c r="A54" s="51" t="s">
        <v>324</v>
      </c>
      <c r="B54" s="199">
        <v>6.0</v>
      </c>
      <c r="C54" s="200">
        <v>138.0</v>
      </c>
      <c r="D54" s="199">
        <v>28.0</v>
      </c>
      <c r="E54" s="200">
        <v>9.33</v>
      </c>
      <c r="F54" s="201">
        <f t="shared" si="1"/>
        <v>9.33</v>
      </c>
      <c r="G54" s="200">
        <v>1.0</v>
      </c>
      <c r="H54" s="202">
        <f t="shared" si="2"/>
        <v>6</v>
      </c>
      <c r="I54" s="203">
        <v>0.714</v>
      </c>
    </row>
    <row r="55">
      <c r="A55" s="51" t="s">
        <v>325</v>
      </c>
      <c r="B55" s="199">
        <v>6.0</v>
      </c>
      <c r="C55" s="200">
        <v>138.0</v>
      </c>
      <c r="D55" s="199">
        <v>22.0</v>
      </c>
      <c r="E55" s="200">
        <v>9.33</v>
      </c>
      <c r="F55" s="201">
        <f t="shared" si="1"/>
        <v>9.33</v>
      </c>
      <c r="G55" s="200">
        <v>0.5</v>
      </c>
      <c r="H55" s="202">
        <f t="shared" si="2"/>
        <v>3</v>
      </c>
      <c r="I55" s="203">
        <v>0.773</v>
      </c>
    </row>
    <row r="56">
      <c r="A56" s="51" t="s">
        <v>326</v>
      </c>
      <c r="B56" s="199">
        <v>6.0</v>
      </c>
      <c r="C56" s="200">
        <v>138.0</v>
      </c>
      <c r="D56" s="199">
        <v>20.0</v>
      </c>
      <c r="E56" s="200">
        <v>9.33</v>
      </c>
      <c r="F56" s="201">
        <f t="shared" si="1"/>
        <v>9.33</v>
      </c>
      <c r="G56" s="200">
        <v>0.5</v>
      </c>
      <c r="H56" s="202">
        <f t="shared" si="2"/>
        <v>3</v>
      </c>
      <c r="I56" s="203">
        <v>0.85</v>
      </c>
    </row>
    <row r="57">
      <c r="A57" s="51" t="s">
        <v>327</v>
      </c>
      <c r="B57" s="199">
        <v>6.0</v>
      </c>
      <c r="C57" s="200">
        <v>138.0</v>
      </c>
      <c r="D57" s="199">
        <v>21.0</v>
      </c>
      <c r="E57" s="200">
        <v>9.33</v>
      </c>
      <c r="F57" s="201">
        <f t="shared" si="1"/>
        <v>9.33</v>
      </c>
      <c r="G57" s="200">
        <v>0.5</v>
      </c>
      <c r="H57" s="202">
        <f t="shared" si="2"/>
        <v>3</v>
      </c>
      <c r="I57" s="203">
        <v>0.81</v>
      </c>
    </row>
    <row r="58">
      <c r="A58" s="51" t="s">
        <v>328</v>
      </c>
      <c r="B58" s="199">
        <v>6.0</v>
      </c>
      <c r="C58" s="200">
        <v>138.0</v>
      </c>
      <c r="D58" s="199">
        <v>16.0</v>
      </c>
      <c r="E58" s="200">
        <v>9.33</v>
      </c>
      <c r="F58" s="201">
        <f t="shared" si="1"/>
        <v>9.33</v>
      </c>
      <c r="G58" s="200">
        <v>0.0</v>
      </c>
      <c r="H58" s="202">
        <f t="shared" si="2"/>
        <v>0</v>
      </c>
      <c r="I58" s="203">
        <v>0.875</v>
      </c>
    </row>
    <row r="59">
      <c r="A59" s="51" t="s">
        <v>329</v>
      </c>
      <c r="B59" s="199">
        <v>5.0</v>
      </c>
      <c r="C59" s="200">
        <v>114.0</v>
      </c>
      <c r="D59" s="199">
        <v>19.0</v>
      </c>
      <c r="E59" s="200">
        <v>8.8</v>
      </c>
      <c r="F59" s="201">
        <f t="shared" si="1"/>
        <v>8.877192982</v>
      </c>
      <c r="G59" s="200">
        <v>0.2</v>
      </c>
      <c r="H59" s="202">
        <f t="shared" si="2"/>
        <v>1</v>
      </c>
      <c r="I59" s="203">
        <v>0.632</v>
      </c>
    </row>
    <row r="60">
      <c r="A60" s="51" t="s">
        <v>330</v>
      </c>
      <c r="B60" s="199">
        <v>5.0</v>
      </c>
      <c r="C60" s="200">
        <v>115.0</v>
      </c>
      <c r="D60" s="199">
        <v>16.0</v>
      </c>
      <c r="E60" s="200">
        <v>8.8</v>
      </c>
      <c r="F60" s="201">
        <f t="shared" si="1"/>
        <v>8.8</v>
      </c>
      <c r="G60" s="200">
        <v>0.2</v>
      </c>
      <c r="H60" s="202">
        <f t="shared" si="2"/>
        <v>1</v>
      </c>
      <c r="I60" s="203">
        <v>0.75</v>
      </c>
    </row>
    <row r="61">
      <c r="A61" s="51" t="s">
        <v>331</v>
      </c>
      <c r="B61" s="199">
        <v>5.0</v>
      </c>
      <c r="C61" s="200">
        <v>115.0</v>
      </c>
      <c r="D61" s="199">
        <v>15.0</v>
      </c>
      <c r="E61" s="200">
        <v>8.8</v>
      </c>
      <c r="F61" s="201">
        <f t="shared" si="1"/>
        <v>8.8</v>
      </c>
      <c r="G61" s="200">
        <v>0.2</v>
      </c>
      <c r="H61" s="202">
        <f t="shared" si="2"/>
        <v>1</v>
      </c>
      <c r="I61" s="203">
        <v>0.8</v>
      </c>
    </row>
    <row r="62">
      <c r="A62" s="51" t="s">
        <v>332</v>
      </c>
      <c r="B62" s="199">
        <v>6.0</v>
      </c>
      <c r="C62" s="200">
        <v>138.0</v>
      </c>
      <c r="D62" s="199">
        <v>33.0</v>
      </c>
      <c r="E62" s="200">
        <v>8.67</v>
      </c>
      <c r="F62" s="201">
        <f t="shared" si="1"/>
        <v>8.67</v>
      </c>
      <c r="G62" s="200">
        <v>0.83</v>
      </c>
      <c r="H62" s="202">
        <f t="shared" si="2"/>
        <v>4.98</v>
      </c>
      <c r="I62" s="203">
        <v>0.545</v>
      </c>
    </row>
    <row r="63">
      <c r="A63" s="51" t="s">
        <v>333</v>
      </c>
      <c r="B63" s="199">
        <v>2.0</v>
      </c>
      <c r="C63" s="200">
        <v>45.0</v>
      </c>
      <c r="D63" s="199">
        <v>4.0</v>
      </c>
      <c r="E63" s="200">
        <v>8.0</v>
      </c>
      <c r="F63" s="201">
        <f t="shared" si="1"/>
        <v>8.177777778</v>
      </c>
      <c r="G63" s="200">
        <v>0.0</v>
      </c>
      <c r="H63" s="202">
        <f t="shared" si="2"/>
        <v>0</v>
      </c>
      <c r="I63" s="203">
        <v>1.0</v>
      </c>
    </row>
    <row r="64">
      <c r="A64" s="51" t="s">
        <v>334</v>
      </c>
      <c r="B64" s="199">
        <v>6.0</v>
      </c>
      <c r="C64" s="200">
        <v>138.0</v>
      </c>
      <c r="D64" s="199">
        <v>30.0</v>
      </c>
      <c r="E64" s="200">
        <v>8.0</v>
      </c>
      <c r="F64" s="201">
        <f t="shared" si="1"/>
        <v>8</v>
      </c>
      <c r="G64" s="200">
        <v>1.0</v>
      </c>
      <c r="H64" s="202">
        <f t="shared" si="2"/>
        <v>6</v>
      </c>
      <c r="I64" s="203">
        <v>0.6</v>
      </c>
    </row>
    <row r="65">
      <c r="A65" s="51" t="s">
        <v>335</v>
      </c>
      <c r="B65" s="199">
        <v>3.0</v>
      </c>
      <c r="C65" s="200">
        <v>69.0</v>
      </c>
      <c r="D65" s="199">
        <v>16.0</v>
      </c>
      <c r="E65" s="200">
        <v>8.0</v>
      </c>
      <c r="F65" s="201">
        <f t="shared" si="1"/>
        <v>8</v>
      </c>
      <c r="G65" s="200">
        <v>1.67</v>
      </c>
      <c r="H65" s="202">
        <f t="shared" si="2"/>
        <v>5.01</v>
      </c>
      <c r="I65" s="203">
        <v>0.688</v>
      </c>
    </row>
    <row r="66">
      <c r="A66" s="51" t="s">
        <v>336</v>
      </c>
      <c r="B66" s="199">
        <v>3.0</v>
      </c>
      <c r="C66" s="200">
        <v>69.0</v>
      </c>
      <c r="D66" s="199">
        <v>10.0</v>
      </c>
      <c r="E66" s="200">
        <v>8.0</v>
      </c>
      <c r="F66" s="201">
        <f t="shared" si="1"/>
        <v>8</v>
      </c>
      <c r="G66" s="200">
        <v>0.33</v>
      </c>
      <c r="H66" s="202">
        <f t="shared" si="2"/>
        <v>0.99</v>
      </c>
      <c r="I66" s="203">
        <v>0.7</v>
      </c>
    </row>
    <row r="67">
      <c r="A67" s="51" t="s">
        <v>337</v>
      </c>
      <c r="B67" s="199">
        <v>3.0</v>
      </c>
      <c r="C67" s="200">
        <v>69.0</v>
      </c>
      <c r="D67" s="199">
        <v>8.0</v>
      </c>
      <c r="E67" s="200">
        <v>8.0</v>
      </c>
      <c r="F67" s="201">
        <f t="shared" si="1"/>
        <v>8</v>
      </c>
      <c r="G67" s="200">
        <v>0.33</v>
      </c>
      <c r="H67" s="202">
        <f t="shared" si="2"/>
        <v>0.99</v>
      </c>
      <c r="I67" s="203">
        <v>0.875</v>
      </c>
    </row>
    <row r="68">
      <c r="A68" s="51" t="s">
        <v>338</v>
      </c>
      <c r="B68" s="199">
        <v>1.0</v>
      </c>
      <c r="C68" s="200">
        <v>23.0</v>
      </c>
      <c r="D68" s="199">
        <v>2.0</v>
      </c>
      <c r="E68" s="200">
        <v>8.0</v>
      </c>
      <c r="F68" s="201">
        <f t="shared" si="1"/>
        <v>8</v>
      </c>
      <c r="G68" s="200">
        <v>0.0</v>
      </c>
      <c r="H68" s="202">
        <f t="shared" si="2"/>
        <v>0</v>
      </c>
      <c r="I68" s="203">
        <v>1.0</v>
      </c>
    </row>
    <row r="69">
      <c r="A69" s="51" t="s">
        <v>339</v>
      </c>
      <c r="B69" s="199">
        <v>5.0</v>
      </c>
      <c r="C69" s="200">
        <v>115.0</v>
      </c>
      <c r="D69" s="199">
        <v>10.0</v>
      </c>
      <c r="E69" s="200">
        <v>8.0</v>
      </c>
      <c r="F69" s="201">
        <f t="shared" si="1"/>
        <v>8</v>
      </c>
      <c r="G69" s="200">
        <v>0.0</v>
      </c>
      <c r="H69" s="202">
        <f t="shared" si="2"/>
        <v>0</v>
      </c>
      <c r="I69" s="203">
        <v>1.0</v>
      </c>
    </row>
    <row r="70">
      <c r="A70" s="51" t="s">
        <v>340</v>
      </c>
      <c r="B70" s="199">
        <v>1.0</v>
      </c>
      <c r="C70" s="200">
        <v>23.0</v>
      </c>
      <c r="D70" s="199">
        <v>2.0</v>
      </c>
      <c r="E70" s="200">
        <v>8.0</v>
      </c>
      <c r="F70" s="201">
        <f t="shared" si="1"/>
        <v>8</v>
      </c>
      <c r="G70" s="200">
        <v>0.0</v>
      </c>
      <c r="H70" s="202">
        <f t="shared" si="2"/>
        <v>0</v>
      </c>
      <c r="I70" s="203">
        <v>1.0</v>
      </c>
    </row>
    <row r="71">
      <c r="A71" s="51" t="s">
        <v>341</v>
      </c>
      <c r="B71" s="199">
        <v>5.0</v>
      </c>
      <c r="C71" s="200">
        <v>112.0</v>
      </c>
      <c r="D71" s="199">
        <v>18.0</v>
      </c>
      <c r="E71" s="200">
        <v>7.2</v>
      </c>
      <c r="F71" s="201">
        <f t="shared" si="1"/>
        <v>7.392857143</v>
      </c>
      <c r="G71" s="200">
        <v>0.6</v>
      </c>
      <c r="H71" s="202">
        <f t="shared" si="2"/>
        <v>3</v>
      </c>
      <c r="I71" s="203">
        <v>0.667</v>
      </c>
    </row>
    <row r="72">
      <c r="A72" s="51" t="s">
        <v>342</v>
      </c>
      <c r="B72" s="199">
        <v>6.0</v>
      </c>
      <c r="C72" s="200">
        <v>138.0</v>
      </c>
      <c r="D72" s="199">
        <v>13.0</v>
      </c>
      <c r="E72" s="200">
        <v>7.33</v>
      </c>
      <c r="F72" s="201">
        <f t="shared" si="1"/>
        <v>7.33</v>
      </c>
      <c r="G72" s="200">
        <v>0.0</v>
      </c>
      <c r="H72" s="202">
        <f t="shared" si="2"/>
        <v>0</v>
      </c>
      <c r="I72" s="203">
        <v>0.846</v>
      </c>
    </row>
    <row r="73">
      <c r="A73" s="51" t="s">
        <v>343</v>
      </c>
      <c r="B73" s="199">
        <v>5.0</v>
      </c>
      <c r="C73" s="200">
        <v>114.0</v>
      </c>
      <c r="D73" s="199">
        <v>16.0</v>
      </c>
      <c r="E73" s="200">
        <v>7.2</v>
      </c>
      <c r="F73" s="201">
        <f t="shared" si="1"/>
        <v>7.263157895</v>
      </c>
      <c r="G73" s="200">
        <v>0.4</v>
      </c>
      <c r="H73" s="202">
        <f t="shared" si="2"/>
        <v>2</v>
      </c>
      <c r="I73" s="203">
        <v>0.688</v>
      </c>
    </row>
    <row r="74">
      <c r="A74" s="51" t="s">
        <v>344</v>
      </c>
      <c r="B74" s="199">
        <v>5.0</v>
      </c>
      <c r="C74" s="200">
        <v>115.0</v>
      </c>
      <c r="D74" s="199">
        <v>13.0</v>
      </c>
      <c r="E74" s="200">
        <v>7.2</v>
      </c>
      <c r="F74" s="201">
        <f t="shared" si="1"/>
        <v>7.2</v>
      </c>
      <c r="G74" s="200">
        <v>0.2</v>
      </c>
      <c r="H74" s="202">
        <f t="shared" si="2"/>
        <v>1</v>
      </c>
      <c r="I74" s="203">
        <v>0.769</v>
      </c>
    </row>
    <row r="75">
      <c r="A75" s="51" t="s">
        <v>345</v>
      </c>
      <c r="B75" s="199">
        <v>5.0</v>
      </c>
      <c r="C75" s="200">
        <v>115.0</v>
      </c>
      <c r="D75" s="199">
        <v>14.0</v>
      </c>
      <c r="E75" s="200">
        <v>7.2</v>
      </c>
      <c r="F75" s="201">
        <f t="shared" si="1"/>
        <v>7.2</v>
      </c>
      <c r="G75" s="200">
        <v>0.2</v>
      </c>
      <c r="H75" s="202">
        <f t="shared" si="2"/>
        <v>1</v>
      </c>
      <c r="I75" s="203">
        <v>0.714</v>
      </c>
    </row>
    <row r="76">
      <c r="A76" s="51" t="s">
        <v>346</v>
      </c>
      <c r="B76" s="199">
        <v>5.0</v>
      </c>
      <c r="C76" s="200">
        <v>115.0</v>
      </c>
      <c r="D76" s="199">
        <v>12.0</v>
      </c>
      <c r="E76" s="200">
        <v>7.2</v>
      </c>
      <c r="F76" s="201">
        <f t="shared" si="1"/>
        <v>7.2</v>
      </c>
      <c r="G76" s="200">
        <v>0.2</v>
      </c>
      <c r="H76" s="202">
        <f t="shared" si="2"/>
        <v>1</v>
      </c>
      <c r="I76" s="203">
        <v>0.833</v>
      </c>
    </row>
    <row r="77">
      <c r="A77" s="51" t="s">
        <v>347</v>
      </c>
      <c r="B77" s="199">
        <v>5.0</v>
      </c>
      <c r="C77" s="200">
        <v>115.0</v>
      </c>
      <c r="D77" s="199">
        <v>9.0</v>
      </c>
      <c r="E77" s="200">
        <v>7.2</v>
      </c>
      <c r="F77" s="201">
        <f t="shared" si="1"/>
        <v>7.2</v>
      </c>
      <c r="G77" s="200">
        <v>0.0</v>
      </c>
      <c r="H77" s="202">
        <f t="shared" si="2"/>
        <v>0</v>
      </c>
      <c r="I77" s="203">
        <v>1.0</v>
      </c>
    </row>
    <row r="78">
      <c r="A78" s="51" t="s">
        <v>348</v>
      </c>
      <c r="B78" s="199">
        <v>4.0</v>
      </c>
      <c r="C78" s="200">
        <v>91.0</v>
      </c>
      <c r="D78" s="199">
        <v>7.0</v>
      </c>
      <c r="E78" s="200">
        <v>7.0</v>
      </c>
      <c r="F78" s="201">
        <f t="shared" si="1"/>
        <v>7.076923077</v>
      </c>
      <c r="G78" s="200">
        <v>0.0</v>
      </c>
      <c r="H78" s="202">
        <f t="shared" si="2"/>
        <v>0</v>
      </c>
      <c r="I78" s="203">
        <v>1.0</v>
      </c>
    </row>
    <row r="79">
      <c r="A79" s="51" t="s">
        <v>349</v>
      </c>
      <c r="B79" s="199">
        <v>3.0</v>
      </c>
      <c r="C79" s="200">
        <v>66.0</v>
      </c>
      <c r="D79" s="199">
        <v>20.0</v>
      </c>
      <c r="E79" s="200">
        <v>6.67</v>
      </c>
      <c r="F79" s="201">
        <f t="shared" si="1"/>
        <v>6.973181818</v>
      </c>
      <c r="G79" s="200">
        <v>1.33</v>
      </c>
      <c r="H79" s="202">
        <f t="shared" si="2"/>
        <v>3.99</v>
      </c>
      <c r="I79" s="203">
        <v>0.45</v>
      </c>
    </row>
    <row r="80">
      <c r="A80" s="51" t="s">
        <v>350</v>
      </c>
      <c r="B80" s="199">
        <v>6.0</v>
      </c>
      <c r="C80" s="200">
        <v>138.0</v>
      </c>
      <c r="D80" s="199">
        <v>18.0</v>
      </c>
      <c r="E80" s="200">
        <v>6.67</v>
      </c>
      <c r="F80" s="201">
        <f t="shared" si="1"/>
        <v>6.67</v>
      </c>
      <c r="G80" s="200">
        <v>0.33</v>
      </c>
      <c r="H80" s="202">
        <f t="shared" si="2"/>
        <v>1.98</v>
      </c>
      <c r="I80" s="203">
        <v>0.667</v>
      </c>
    </row>
    <row r="81">
      <c r="A81" s="51" t="s">
        <v>351</v>
      </c>
      <c r="B81" s="199">
        <v>6.0</v>
      </c>
      <c r="C81" s="200">
        <v>138.0</v>
      </c>
      <c r="D81" s="199">
        <v>15.0</v>
      </c>
      <c r="E81" s="200">
        <v>6.67</v>
      </c>
      <c r="F81" s="201">
        <f t="shared" si="1"/>
        <v>6.67</v>
      </c>
      <c r="G81" s="200">
        <v>0.17</v>
      </c>
      <c r="H81" s="202">
        <f t="shared" si="2"/>
        <v>1.02</v>
      </c>
      <c r="I81" s="203">
        <v>0.733</v>
      </c>
    </row>
    <row r="82">
      <c r="A82" s="51" t="s">
        <v>352</v>
      </c>
      <c r="B82" s="199">
        <v>3.0</v>
      </c>
      <c r="C82" s="200">
        <v>69.0</v>
      </c>
      <c r="D82" s="199">
        <v>6.0</v>
      </c>
      <c r="E82" s="200">
        <v>6.67</v>
      </c>
      <c r="F82" s="201">
        <f t="shared" si="1"/>
        <v>6.67</v>
      </c>
      <c r="G82" s="200">
        <v>0.0</v>
      </c>
      <c r="H82" s="202">
        <f t="shared" si="2"/>
        <v>0</v>
      </c>
      <c r="I82" s="203">
        <v>0.833</v>
      </c>
    </row>
    <row r="83">
      <c r="A83" s="51" t="s">
        <v>353</v>
      </c>
      <c r="B83" s="199">
        <v>5.0</v>
      </c>
      <c r="C83" s="200">
        <v>115.0</v>
      </c>
      <c r="D83" s="199">
        <v>10.0</v>
      </c>
      <c r="E83" s="200">
        <v>6.4</v>
      </c>
      <c r="F83" s="201">
        <f t="shared" si="1"/>
        <v>6.4</v>
      </c>
      <c r="G83" s="200">
        <v>0.2</v>
      </c>
      <c r="H83" s="202">
        <f t="shared" si="2"/>
        <v>1</v>
      </c>
      <c r="I83" s="203">
        <v>0.9</v>
      </c>
    </row>
    <row r="84">
      <c r="A84" s="51" t="s">
        <v>354</v>
      </c>
      <c r="B84" s="199">
        <v>4.0</v>
      </c>
      <c r="C84" s="200">
        <v>90.0</v>
      </c>
      <c r="D84" s="199">
        <v>11.0</v>
      </c>
      <c r="E84" s="200">
        <v>6.0</v>
      </c>
      <c r="F84" s="201">
        <f t="shared" si="1"/>
        <v>6.133333333</v>
      </c>
      <c r="G84" s="200">
        <v>0.25</v>
      </c>
      <c r="H84" s="202">
        <f t="shared" si="2"/>
        <v>1</v>
      </c>
      <c r="I84" s="203">
        <v>0.636</v>
      </c>
    </row>
    <row r="85">
      <c r="A85" s="51" t="s">
        <v>355</v>
      </c>
      <c r="B85" s="199">
        <v>6.0</v>
      </c>
      <c r="C85" s="200">
        <v>138.0</v>
      </c>
      <c r="D85" s="199">
        <v>20.0</v>
      </c>
      <c r="E85" s="200">
        <v>6.0</v>
      </c>
      <c r="F85" s="201">
        <f t="shared" si="1"/>
        <v>6</v>
      </c>
      <c r="G85" s="200">
        <v>0.67</v>
      </c>
      <c r="H85" s="202">
        <f t="shared" si="2"/>
        <v>4.02</v>
      </c>
      <c r="I85" s="203">
        <v>0.65</v>
      </c>
    </row>
    <row r="86">
      <c r="A86" s="51" t="s">
        <v>356</v>
      </c>
      <c r="B86" s="199">
        <v>6.0</v>
      </c>
      <c r="C86" s="200">
        <v>138.0</v>
      </c>
      <c r="D86" s="199">
        <v>17.0</v>
      </c>
      <c r="E86" s="200">
        <v>6.0</v>
      </c>
      <c r="F86" s="201">
        <f t="shared" si="1"/>
        <v>6</v>
      </c>
      <c r="G86" s="200">
        <v>0.67</v>
      </c>
      <c r="H86" s="202">
        <f t="shared" si="2"/>
        <v>4.02</v>
      </c>
      <c r="I86" s="203">
        <v>0.765</v>
      </c>
    </row>
    <row r="87">
      <c r="A87" s="51" t="s">
        <v>357</v>
      </c>
      <c r="B87" s="199">
        <v>6.0</v>
      </c>
      <c r="C87" s="200">
        <v>138.0</v>
      </c>
      <c r="D87" s="199">
        <v>17.0</v>
      </c>
      <c r="E87" s="200">
        <v>6.0</v>
      </c>
      <c r="F87" s="201">
        <f t="shared" si="1"/>
        <v>6</v>
      </c>
      <c r="G87" s="200">
        <v>0.33</v>
      </c>
      <c r="H87" s="202">
        <f t="shared" si="2"/>
        <v>1.98</v>
      </c>
      <c r="I87" s="203">
        <v>0.647</v>
      </c>
    </row>
    <row r="88">
      <c r="A88" s="51" t="s">
        <v>358</v>
      </c>
      <c r="B88" s="199">
        <v>6.0</v>
      </c>
      <c r="C88" s="200">
        <v>138.0</v>
      </c>
      <c r="D88" s="199">
        <v>13.0</v>
      </c>
      <c r="E88" s="200">
        <v>6.0</v>
      </c>
      <c r="F88" s="201">
        <f t="shared" si="1"/>
        <v>6</v>
      </c>
      <c r="G88" s="200">
        <v>0.33</v>
      </c>
      <c r="H88" s="202">
        <f t="shared" si="2"/>
        <v>1.98</v>
      </c>
      <c r="I88" s="203">
        <v>0.846</v>
      </c>
    </row>
    <row r="89">
      <c r="A89" s="51" t="s">
        <v>359</v>
      </c>
      <c r="B89" s="199">
        <v>6.0</v>
      </c>
      <c r="C89" s="200">
        <v>138.0</v>
      </c>
      <c r="D89" s="199">
        <v>15.0</v>
      </c>
      <c r="E89" s="200">
        <v>6.0</v>
      </c>
      <c r="F89" s="201">
        <f t="shared" si="1"/>
        <v>6</v>
      </c>
      <c r="G89" s="200">
        <v>0.17</v>
      </c>
      <c r="H89" s="202">
        <f t="shared" si="2"/>
        <v>1.02</v>
      </c>
      <c r="I89" s="203">
        <v>0.667</v>
      </c>
    </row>
    <row r="90">
      <c r="A90" s="51" t="s">
        <v>360</v>
      </c>
      <c r="B90" s="199">
        <v>2.0</v>
      </c>
      <c r="C90" s="200">
        <v>46.0</v>
      </c>
      <c r="D90" s="199">
        <v>3.0</v>
      </c>
      <c r="E90" s="200">
        <v>6.0</v>
      </c>
      <c r="F90" s="201">
        <f t="shared" si="1"/>
        <v>6</v>
      </c>
      <c r="G90" s="200">
        <v>0.0</v>
      </c>
      <c r="H90" s="202">
        <f t="shared" si="2"/>
        <v>0</v>
      </c>
      <c r="I90" s="203">
        <v>1.0</v>
      </c>
    </row>
    <row r="91">
      <c r="A91" s="51" t="s">
        <v>361</v>
      </c>
      <c r="B91" s="199">
        <v>5.0</v>
      </c>
      <c r="C91" s="200">
        <v>114.0</v>
      </c>
      <c r="D91" s="199">
        <v>15.0</v>
      </c>
      <c r="E91" s="200">
        <v>5.6</v>
      </c>
      <c r="F91" s="201">
        <f t="shared" si="1"/>
        <v>5.649122807</v>
      </c>
      <c r="G91" s="200">
        <v>0.2</v>
      </c>
      <c r="H91" s="202">
        <f t="shared" si="2"/>
        <v>1</v>
      </c>
      <c r="I91" s="203">
        <v>0.533</v>
      </c>
    </row>
    <row r="92">
      <c r="A92" s="51" t="s">
        <v>362</v>
      </c>
      <c r="B92" s="199">
        <v>5.0</v>
      </c>
      <c r="C92" s="200">
        <v>115.0</v>
      </c>
      <c r="D92" s="199">
        <v>12.0</v>
      </c>
      <c r="E92" s="200">
        <v>5.6</v>
      </c>
      <c r="F92" s="201">
        <f t="shared" si="1"/>
        <v>5.6</v>
      </c>
      <c r="G92" s="200">
        <v>0.4</v>
      </c>
      <c r="H92" s="202">
        <f t="shared" si="2"/>
        <v>2</v>
      </c>
      <c r="I92" s="203">
        <v>0.75</v>
      </c>
    </row>
    <row r="93">
      <c r="A93" s="51" t="s">
        <v>363</v>
      </c>
      <c r="B93" s="199">
        <v>5.0</v>
      </c>
      <c r="C93" s="200">
        <v>115.0</v>
      </c>
      <c r="D93" s="199">
        <v>9.0</v>
      </c>
      <c r="E93" s="200">
        <v>5.6</v>
      </c>
      <c r="F93" s="201">
        <f t="shared" si="1"/>
        <v>5.6</v>
      </c>
      <c r="G93" s="200">
        <v>0.2</v>
      </c>
      <c r="H93" s="202">
        <f t="shared" si="2"/>
        <v>1</v>
      </c>
      <c r="I93" s="203">
        <v>0.889</v>
      </c>
    </row>
    <row r="94">
      <c r="A94" s="51" t="s">
        <v>364</v>
      </c>
      <c r="B94" s="199">
        <v>6.0</v>
      </c>
      <c r="C94" s="200">
        <v>136.0</v>
      </c>
      <c r="D94" s="199">
        <v>18.0</v>
      </c>
      <c r="E94" s="200">
        <v>5.33</v>
      </c>
      <c r="F94" s="201">
        <f t="shared" si="1"/>
        <v>5.408382353</v>
      </c>
      <c r="G94" s="200">
        <v>0.0</v>
      </c>
      <c r="H94" s="202">
        <f t="shared" si="2"/>
        <v>0</v>
      </c>
      <c r="I94" s="203">
        <v>0.444</v>
      </c>
    </row>
    <row r="95">
      <c r="A95" s="51" t="s">
        <v>365</v>
      </c>
      <c r="B95" s="199">
        <v>6.0</v>
      </c>
      <c r="C95" s="200">
        <v>137.0</v>
      </c>
      <c r="D95" s="199">
        <v>15.0</v>
      </c>
      <c r="E95" s="200">
        <v>5.33</v>
      </c>
      <c r="F95" s="201">
        <f t="shared" si="1"/>
        <v>5.368905109</v>
      </c>
      <c r="G95" s="200">
        <v>0.33</v>
      </c>
      <c r="H95" s="202">
        <f t="shared" si="2"/>
        <v>1.98</v>
      </c>
      <c r="I95" s="203">
        <v>0.667</v>
      </c>
    </row>
    <row r="96">
      <c r="A96" s="51" t="s">
        <v>366</v>
      </c>
      <c r="B96" s="199">
        <v>6.0</v>
      </c>
      <c r="C96" s="200">
        <v>138.0</v>
      </c>
      <c r="D96" s="199">
        <v>27.0</v>
      </c>
      <c r="E96" s="200">
        <v>5.33</v>
      </c>
      <c r="F96" s="201">
        <f t="shared" si="1"/>
        <v>5.33</v>
      </c>
      <c r="G96" s="200">
        <v>1.0</v>
      </c>
      <c r="H96" s="202">
        <f t="shared" si="2"/>
        <v>6</v>
      </c>
      <c r="I96" s="203">
        <v>0.519</v>
      </c>
    </row>
    <row r="97">
      <c r="A97" s="51" t="s">
        <v>367</v>
      </c>
      <c r="B97" s="199">
        <v>4.0</v>
      </c>
      <c r="C97" s="200">
        <v>92.0</v>
      </c>
      <c r="D97" s="199">
        <v>10.0</v>
      </c>
      <c r="E97" s="200">
        <v>5.0</v>
      </c>
      <c r="F97" s="201">
        <f t="shared" si="1"/>
        <v>5</v>
      </c>
      <c r="G97" s="200">
        <v>0.5</v>
      </c>
      <c r="H97" s="202">
        <f t="shared" si="2"/>
        <v>2</v>
      </c>
      <c r="I97" s="203">
        <v>0.7</v>
      </c>
    </row>
    <row r="98">
      <c r="A98" s="51" t="s">
        <v>368</v>
      </c>
      <c r="B98" s="199">
        <v>4.0</v>
      </c>
      <c r="C98" s="200">
        <v>92.0</v>
      </c>
      <c r="D98" s="199">
        <v>11.0</v>
      </c>
      <c r="E98" s="200">
        <v>5.0</v>
      </c>
      <c r="F98" s="201">
        <f t="shared" si="1"/>
        <v>5</v>
      </c>
      <c r="G98" s="200">
        <v>0.25</v>
      </c>
      <c r="H98" s="202">
        <f t="shared" si="2"/>
        <v>1</v>
      </c>
      <c r="I98" s="203">
        <v>0.545</v>
      </c>
    </row>
    <row r="99">
      <c r="A99" s="51" t="s">
        <v>369</v>
      </c>
      <c r="B99" s="199">
        <v>6.0</v>
      </c>
      <c r="C99" s="200">
        <v>138.0</v>
      </c>
      <c r="D99" s="199">
        <v>25.0</v>
      </c>
      <c r="E99" s="200">
        <v>4.67</v>
      </c>
      <c r="F99" s="201">
        <f t="shared" si="1"/>
        <v>4.67</v>
      </c>
      <c r="G99" s="200">
        <v>1.33</v>
      </c>
      <c r="H99" s="202">
        <f t="shared" si="2"/>
        <v>7.98</v>
      </c>
      <c r="I99" s="203">
        <v>0.6</v>
      </c>
    </row>
    <row r="100">
      <c r="A100" s="51" t="s">
        <v>370</v>
      </c>
      <c r="B100" s="199">
        <v>6.0</v>
      </c>
      <c r="C100" s="200">
        <v>138.0</v>
      </c>
      <c r="D100" s="199">
        <v>25.0</v>
      </c>
      <c r="E100" s="200">
        <v>4.67</v>
      </c>
      <c r="F100" s="201">
        <f t="shared" si="1"/>
        <v>4.67</v>
      </c>
      <c r="G100" s="200">
        <v>1.0</v>
      </c>
      <c r="H100" s="202">
        <f t="shared" si="2"/>
        <v>6</v>
      </c>
      <c r="I100" s="203">
        <v>0.52</v>
      </c>
    </row>
    <row r="101">
      <c r="A101" s="51" t="s">
        <v>371</v>
      </c>
      <c r="B101" s="199">
        <v>4.0</v>
      </c>
      <c r="C101" s="200">
        <v>89.0</v>
      </c>
      <c r="D101" s="199">
        <v>9.0</v>
      </c>
      <c r="E101" s="200">
        <v>4.0</v>
      </c>
      <c r="F101" s="201">
        <f t="shared" si="1"/>
        <v>4.134831461</v>
      </c>
      <c r="G101" s="200">
        <v>0.0</v>
      </c>
      <c r="H101" s="202">
        <f t="shared" si="2"/>
        <v>0</v>
      </c>
      <c r="I101" s="203">
        <v>0.444</v>
      </c>
    </row>
    <row r="102">
      <c r="A102" s="51" t="s">
        <v>372</v>
      </c>
      <c r="B102" s="199">
        <v>3.0</v>
      </c>
      <c r="C102" s="200">
        <v>67.0</v>
      </c>
      <c r="D102" s="199">
        <v>4.0</v>
      </c>
      <c r="E102" s="200">
        <v>4.0</v>
      </c>
      <c r="F102" s="201">
        <f t="shared" si="1"/>
        <v>4.119402985</v>
      </c>
      <c r="G102" s="200">
        <v>0.0</v>
      </c>
      <c r="H102" s="202">
        <f t="shared" si="2"/>
        <v>0</v>
      </c>
      <c r="I102" s="203">
        <v>0.75</v>
      </c>
    </row>
    <row r="103">
      <c r="A103" s="51" t="s">
        <v>373</v>
      </c>
      <c r="B103" s="199">
        <v>5.0</v>
      </c>
      <c r="C103" s="200">
        <v>115.0</v>
      </c>
      <c r="D103" s="199">
        <v>9.0</v>
      </c>
      <c r="E103" s="200">
        <v>4.0</v>
      </c>
      <c r="F103" s="201">
        <f t="shared" si="1"/>
        <v>4</v>
      </c>
      <c r="G103" s="200">
        <v>0.2</v>
      </c>
      <c r="H103" s="202">
        <f t="shared" si="2"/>
        <v>1</v>
      </c>
      <c r="I103" s="203">
        <v>0.667</v>
      </c>
    </row>
    <row r="104">
      <c r="A104" s="51" t="s">
        <v>374</v>
      </c>
      <c r="B104" s="199">
        <v>1.0</v>
      </c>
      <c r="C104" s="200">
        <v>23.0</v>
      </c>
      <c r="D104" s="199">
        <v>1.0</v>
      </c>
      <c r="E104" s="200">
        <v>4.0</v>
      </c>
      <c r="F104" s="201">
        <f t="shared" si="1"/>
        <v>4</v>
      </c>
      <c r="G104" s="200">
        <v>0.0</v>
      </c>
      <c r="H104" s="202">
        <f t="shared" si="2"/>
        <v>0</v>
      </c>
      <c r="I104" s="203">
        <v>1.0</v>
      </c>
    </row>
    <row r="105">
      <c r="A105" s="51" t="s">
        <v>375</v>
      </c>
      <c r="B105" s="199">
        <v>6.0</v>
      </c>
      <c r="C105" s="200">
        <v>138.0</v>
      </c>
      <c r="D105" s="199">
        <v>11.0</v>
      </c>
      <c r="E105" s="200">
        <v>4.0</v>
      </c>
      <c r="F105" s="201">
        <f t="shared" si="1"/>
        <v>4</v>
      </c>
      <c r="G105" s="200">
        <v>0.0</v>
      </c>
      <c r="H105" s="202">
        <f t="shared" si="2"/>
        <v>0</v>
      </c>
      <c r="I105" s="203">
        <v>0.545</v>
      </c>
    </row>
    <row r="106">
      <c r="A106" s="51" t="s">
        <v>376</v>
      </c>
      <c r="B106" s="199">
        <v>2.0</v>
      </c>
      <c r="C106" s="200">
        <v>46.0</v>
      </c>
      <c r="D106" s="199">
        <v>2.0</v>
      </c>
      <c r="E106" s="200">
        <v>4.0</v>
      </c>
      <c r="F106" s="201">
        <f t="shared" si="1"/>
        <v>4</v>
      </c>
      <c r="G106" s="200">
        <v>0.0</v>
      </c>
      <c r="H106" s="202">
        <f t="shared" si="2"/>
        <v>0</v>
      </c>
      <c r="I106" s="203">
        <v>1.0</v>
      </c>
    </row>
    <row r="107">
      <c r="A107" s="51" t="s">
        <v>377</v>
      </c>
      <c r="B107" s="199">
        <v>1.0</v>
      </c>
      <c r="C107" s="200">
        <v>23.0</v>
      </c>
      <c r="D107" s="199">
        <v>1.0</v>
      </c>
      <c r="E107" s="200">
        <v>4.0</v>
      </c>
      <c r="F107" s="201">
        <f t="shared" si="1"/>
        <v>4</v>
      </c>
      <c r="G107" s="200">
        <v>0.0</v>
      </c>
      <c r="H107" s="202">
        <f t="shared" si="2"/>
        <v>0</v>
      </c>
      <c r="I107" s="203">
        <v>1.0</v>
      </c>
    </row>
    <row r="108">
      <c r="A108" s="51" t="s">
        <v>378</v>
      </c>
      <c r="B108" s="199">
        <v>3.0</v>
      </c>
      <c r="C108" s="200">
        <v>69.0</v>
      </c>
      <c r="D108" s="199">
        <v>3.0</v>
      </c>
      <c r="E108" s="200">
        <v>4.0</v>
      </c>
      <c r="F108" s="201">
        <f t="shared" si="1"/>
        <v>4</v>
      </c>
      <c r="G108" s="200">
        <v>0.0</v>
      </c>
      <c r="H108" s="202">
        <f t="shared" si="2"/>
        <v>0</v>
      </c>
      <c r="I108" s="203">
        <v>1.0</v>
      </c>
    </row>
    <row r="109">
      <c r="A109" s="51" t="s">
        <v>379</v>
      </c>
      <c r="B109" s="199">
        <v>6.0</v>
      </c>
      <c r="C109" s="200">
        <v>135.0</v>
      </c>
      <c r="D109" s="199">
        <v>9.0</v>
      </c>
      <c r="E109" s="200">
        <v>3.33</v>
      </c>
      <c r="F109" s="201">
        <f t="shared" si="1"/>
        <v>3.404</v>
      </c>
      <c r="G109" s="200">
        <v>0.33</v>
      </c>
      <c r="H109" s="202">
        <f t="shared" si="2"/>
        <v>1.98</v>
      </c>
      <c r="I109" s="203">
        <v>0.778</v>
      </c>
    </row>
    <row r="110">
      <c r="A110" s="51" t="s">
        <v>380</v>
      </c>
      <c r="B110" s="199">
        <v>4.0</v>
      </c>
      <c r="C110" s="200">
        <v>92.0</v>
      </c>
      <c r="D110" s="199">
        <v>6.0</v>
      </c>
      <c r="E110" s="200">
        <v>3.0</v>
      </c>
      <c r="F110" s="201">
        <f t="shared" si="1"/>
        <v>3</v>
      </c>
      <c r="G110" s="200">
        <v>0.25</v>
      </c>
      <c r="H110" s="202">
        <f t="shared" si="2"/>
        <v>1</v>
      </c>
      <c r="I110" s="203">
        <v>0.667</v>
      </c>
    </row>
    <row r="111">
      <c r="A111" s="51" t="s">
        <v>381</v>
      </c>
      <c r="B111" s="199">
        <v>3.0</v>
      </c>
      <c r="C111" s="200">
        <v>68.0</v>
      </c>
      <c r="D111" s="199">
        <v>5.0</v>
      </c>
      <c r="E111" s="200">
        <v>2.67</v>
      </c>
      <c r="F111" s="201">
        <f t="shared" si="1"/>
        <v>2.709264706</v>
      </c>
      <c r="G111" s="200">
        <v>0.33</v>
      </c>
      <c r="H111" s="202">
        <f t="shared" si="2"/>
        <v>0.99</v>
      </c>
      <c r="I111" s="203">
        <v>0.6</v>
      </c>
    </row>
    <row r="112">
      <c r="A112" s="51" t="s">
        <v>382</v>
      </c>
      <c r="B112" s="199">
        <v>6.0</v>
      </c>
      <c r="C112" s="200">
        <v>138.0</v>
      </c>
      <c r="D112" s="199">
        <v>25.0</v>
      </c>
      <c r="E112" s="200">
        <v>2.67</v>
      </c>
      <c r="F112" s="201">
        <f t="shared" si="1"/>
        <v>2.67</v>
      </c>
      <c r="G112" s="200">
        <v>1.5</v>
      </c>
      <c r="H112" s="202">
        <f t="shared" si="2"/>
        <v>9</v>
      </c>
      <c r="I112" s="203">
        <v>0.52</v>
      </c>
    </row>
    <row r="113">
      <c r="A113" s="51" t="s">
        <v>383</v>
      </c>
      <c r="B113" s="199">
        <v>6.0</v>
      </c>
      <c r="C113" s="200">
        <v>138.0</v>
      </c>
      <c r="D113" s="199">
        <v>18.0</v>
      </c>
      <c r="E113" s="200">
        <v>2.67</v>
      </c>
      <c r="F113" s="201">
        <f t="shared" si="1"/>
        <v>2.67</v>
      </c>
      <c r="G113" s="200">
        <v>0.83</v>
      </c>
      <c r="H113" s="202">
        <f t="shared" si="2"/>
        <v>4.98</v>
      </c>
      <c r="I113" s="203">
        <v>0.5</v>
      </c>
    </row>
    <row r="114">
      <c r="A114" s="51" t="s">
        <v>384</v>
      </c>
      <c r="B114" s="199">
        <v>3.0</v>
      </c>
      <c r="C114" s="200">
        <v>69.0</v>
      </c>
      <c r="D114" s="199">
        <v>7.0</v>
      </c>
      <c r="E114" s="200">
        <v>2.67</v>
      </c>
      <c r="F114" s="201">
        <f t="shared" si="1"/>
        <v>2.67</v>
      </c>
      <c r="G114" s="200">
        <v>0.33</v>
      </c>
      <c r="H114" s="202">
        <f t="shared" si="2"/>
        <v>0.99</v>
      </c>
      <c r="I114" s="203">
        <v>0.429</v>
      </c>
    </row>
    <row r="115">
      <c r="A115" s="51" t="s">
        <v>385</v>
      </c>
      <c r="B115" s="199">
        <v>5.0</v>
      </c>
      <c r="C115" s="200">
        <v>115.0</v>
      </c>
      <c r="D115" s="199">
        <v>6.0</v>
      </c>
      <c r="E115" s="200">
        <v>2.4</v>
      </c>
      <c r="F115" s="201">
        <f t="shared" si="1"/>
        <v>2.4</v>
      </c>
      <c r="G115" s="200">
        <v>0.2</v>
      </c>
      <c r="H115" s="202">
        <f t="shared" si="2"/>
        <v>1</v>
      </c>
      <c r="I115" s="203">
        <v>0.667</v>
      </c>
    </row>
    <row r="116">
      <c r="A116" s="51" t="s">
        <v>386</v>
      </c>
      <c r="B116" s="199">
        <v>4.0</v>
      </c>
      <c r="C116" s="200">
        <v>90.0</v>
      </c>
      <c r="D116" s="199">
        <v>9.0</v>
      </c>
      <c r="E116" s="200">
        <v>2.0</v>
      </c>
      <c r="F116" s="201">
        <f t="shared" si="1"/>
        <v>2.044444444</v>
      </c>
      <c r="G116" s="200">
        <v>0.25</v>
      </c>
      <c r="H116" s="202">
        <f t="shared" si="2"/>
        <v>1</v>
      </c>
      <c r="I116" s="203">
        <v>0.333</v>
      </c>
    </row>
    <row r="117">
      <c r="A117" s="51" t="s">
        <v>387</v>
      </c>
      <c r="B117" s="199">
        <v>4.0</v>
      </c>
      <c r="C117" s="200">
        <v>91.0</v>
      </c>
      <c r="D117" s="199">
        <v>4.0</v>
      </c>
      <c r="E117" s="200">
        <v>2.0</v>
      </c>
      <c r="F117" s="201">
        <f t="shared" si="1"/>
        <v>2.021978022</v>
      </c>
      <c r="G117" s="200">
        <v>0.0</v>
      </c>
      <c r="H117" s="202">
        <f t="shared" si="2"/>
        <v>0</v>
      </c>
      <c r="I117" s="203">
        <v>0.5</v>
      </c>
    </row>
    <row r="118">
      <c r="A118" s="51" t="s">
        <v>388</v>
      </c>
      <c r="B118" s="199">
        <v>4.0</v>
      </c>
      <c r="C118" s="200">
        <v>92.0</v>
      </c>
      <c r="D118" s="199">
        <v>10.0</v>
      </c>
      <c r="E118" s="200">
        <v>2.0</v>
      </c>
      <c r="F118" s="201">
        <f t="shared" si="1"/>
        <v>2</v>
      </c>
      <c r="G118" s="200">
        <v>0.75</v>
      </c>
      <c r="H118" s="202">
        <f t="shared" si="2"/>
        <v>3</v>
      </c>
      <c r="I118" s="203">
        <v>0.5</v>
      </c>
    </row>
    <row r="119">
      <c r="A119" s="51" t="s">
        <v>389</v>
      </c>
      <c r="B119" s="199">
        <v>4.0</v>
      </c>
      <c r="C119" s="200">
        <v>92.0</v>
      </c>
      <c r="D119" s="199">
        <v>5.0</v>
      </c>
      <c r="E119" s="200">
        <v>2.0</v>
      </c>
      <c r="F119" s="201">
        <f t="shared" si="1"/>
        <v>2</v>
      </c>
      <c r="G119" s="200">
        <v>0.25</v>
      </c>
      <c r="H119" s="202">
        <f t="shared" si="2"/>
        <v>1</v>
      </c>
      <c r="I119" s="203">
        <v>0.6</v>
      </c>
    </row>
    <row r="120">
      <c r="A120" s="51" t="s">
        <v>390</v>
      </c>
      <c r="B120" s="199">
        <v>4.0</v>
      </c>
      <c r="C120" s="200">
        <v>92.0</v>
      </c>
      <c r="D120" s="199">
        <v>4.0</v>
      </c>
      <c r="E120" s="200">
        <v>2.0</v>
      </c>
      <c r="F120" s="201">
        <f t="shared" si="1"/>
        <v>2</v>
      </c>
      <c r="G120" s="200">
        <v>0.0</v>
      </c>
      <c r="H120" s="202">
        <f t="shared" si="2"/>
        <v>0</v>
      </c>
      <c r="I120" s="203">
        <v>0.5</v>
      </c>
    </row>
    <row r="121">
      <c r="A121" s="51" t="s">
        <v>391</v>
      </c>
      <c r="B121" s="199">
        <v>6.0</v>
      </c>
      <c r="C121" s="200">
        <v>138.0</v>
      </c>
      <c r="D121" s="199">
        <v>19.0</v>
      </c>
      <c r="E121" s="200">
        <v>1.33</v>
      </c>
      <c r="F121" s="201">
        <f t="shared" si="1"/>
        <v>1.33</v>
      </c>
      <c r="G121" s="200">
        <v>1.17</v>
      </c>
      <c r="H121" s="202">
        <f t="shared" si="2"/>
        <v>7.02</v>
      </c>
      <c r="I121" s="203">
        <v>0.474</v>
      </c>
    </row>
    <row r="122">
      <c r="A122" s="51" t="s">
        <v>392</v>
      </c>
      <c r="B122" s="199">
        <v>3.0</v>
      </c>
      <c r="C122" s="200">
        <v>69.0</v>
      </c>
      <c r="D122" s="199">
        <v>4.0</v>
      </c>
      <c r="E122" s="200">
        <v>1.33</v>
      </c>
      <c r="F122" s="201">
        <f t="shared" si="1"/>
        <v>1.33</v>
      </c>
      <c r="G122" s="200">
        <v>0.33</v>
      </c>
      <c r="H122" s="202">
        <f t="shared" si="2"/>
        <v>0.99</v>
      </c>
      <c r="I122" s="203">
        <v>0.5</v>
      </c>
    </row>
    <row r="123">
      <c r="A123" s="51" t="s">
        <v>393</v>
      </c>
      <c r="B123" s="199">
        <v>4.0</v>
      </c>
      <c r="C123" s="200">
        <v>92.0</v>
      </c>
      <c r="D123" s="199">
        <v>10.0</v>
      </c>
      <c r="E123" s="200">
        <v>1.0</v>
      </c>
      <c r="F123" s="201">
        <f t="shared" si="1"/>
        <v>1</v>
      </c>
      <c r="G123" s="200">
        <v>0.75</v>
      </c>
      <c r="H123" s="202">
        <f t="shared" si="2"/>
        <v>3</v>
      </c>
      <c r="I123" s="203">
        <v>0.4</v>
      </c>
    </row>
    <row r="124">
      <c r="A124" s="51" t="s">
        <v>394</v>
      </c>
      <c r="B124" s="199">
        <v>5.0</v>
      </c>
      <c r="C124" s="200">
        <v>115.0</v>
      </c>
      <c r="D124" s="199">
        <v>7.0</v>
      </c>
      <c r="E124" s="200">
        <v>0.8</v>
      </c>
      <c r="F124" s="201">
        <f t="shared" si="1"/>
        <v>0.8</v>
      </c>
      <c r="G124" s="200">
        <v>0.0</v>
      </c>
      <c r="H124" s="202">
        <f t="shared" si="2"/>
        <v>0</v>
      </c>
      <c r="I124" s="203">
        <v>0.143</v>
      </c>
    </row>
    <row r="125">
      <c r="A125" s="51" t="s">
        <v>395</v>
      </c>
      <c r="B125" s="199">
        <v>5.0</v>
      </c>
      <c r="C125" s="200">
        <v>115.0</v>
      </c>
      <c r="D125" s="199">
        <v>16.0</v>
      </c>
      <c r="E125" s="200">
        <v>0.0</v>
      </c>
      <c r="F125" s="201">
        <f t="shared" si="1"/>
        <v>0</v>
      </c>
      <c r="G125" s="200">
        <v>1.6</v>
      </c>
      <c r="H125" s="202">
        <f t="shared" si="2"/>
        <v>8</v>
      </c>
      <c r="I125" s="203">
        <v>0.5</v>
      </c>
    </row>
    <row r="126">
      <c r="A126" s="51" t="s">
        <v>396</v>
      </c>
      <c r="B126" s="199">
        <v>4.0</v>
      </c>
      <c r="C126" s="200">
        <v>92.0</v>
      </c>
      <c r="D126" s="199">
        <v>10.0</v>
      </c>
      <c r="E126" s="200">
        <v>0.0</v>
      </c>
      <c r="F126" s="201">
        <f t="shared" si="1"/>
        <v>0</v>
      </c>
      <c r="G126" s="200">
        <v>1.0</v>
      </c>
      <c r="H126" s="202">
        <f t="shared" si="2"/>
        <v>4</v>
      </c>
      <c r="I126" s="203">
        <v>0.4</v>
      </c>
    </row>
    <row r="127">
      <c r="A127" s="51" t="s">
        <v>397</v>
      </c>
      <c r="B127" s="199">
        <v>2.0</v>
      </c>
      <c r="C127" s="200">
        <v>46.0</v>
      </c>
      <c r="D127" s="199">
        <v>3.0</v>
      </c>
      <c r="E127" s="200">
        <v>0.0</v>
      </c>
      <c r="F127" s="201">
        <f t="shared" si="1"/>
        <v>0</v>
      </c>
      <c r="G127" s="200">
        <v>0.5</v>
      </c>
      <c r="H127" s="202">
        <f t="shared" si="2"/>
        <v>1</v>
      </c>
      <c r="I127" s="203">
        <v>0.333</v>
      </c>
    </row>
    <row r="128">
      <c r="A128" s="51" t="s">
        <v>398</v>
      </c>
      <c r="B128" s="199">
        <v>3.0</v>
      </c>
      <c r="C128" s="200">
        <v>69.0</v>
      </c>
      <c r="D128" s="199">
        <v>3.0</v>
      </c>
      <c r="E128" s="200">
        <v>0.0</v>
      </c>
      <c r="F128" s="201">
        <f t="shared" si="1"/>
        <v>0</v>
      </c>
      <c r="G128" s="200">
        <v>0.33</v>
      </c>
      <c r="H128" s="202">
        <f t="shared" si="2"/>
        <v>0.99</v>
      </c>
      <c r="I128" s="203">
        <v>0.333</v>
      </c>
    </row>
    <row r="129">
      <c r="A129" s="51" t="s">
        <v>399</v>
      </c>
      <c r="B129" s="199">
        <v>2.0</v>
      </c>
      <c r="C129" s="200">
        <v>46.0</v>
      </c>
      <c r="D129" s="199">
        <v>2.0</v>
      </c>
      <c r="E129" s="200">
        <v>-2.0</v>
      </c>
      <c r="F129" s="201">
        <f t="shared" si="1"/>
        <v>-2</v>
      </c>
      <c r="G129" s="200">
        <v>0.5</v>
      </c>
      <c r="H129" s="202">
        <f t="shared" si="2"/>
        <v>1</v>
      </c>
      <c r="I129" s="203">
        <v>0.0</v>
      </c>
    </row>
    <row r="130">
      <c r="A130" s="51" t="s">
        <v>400</v>
      </c>
      <c r="B130" s="199">
        <v>2.0</v>
      </c>
      <c r="C130" s="200">
        <v>46.0</v>
      </c>
      <c r="D130" s="199">
        <v>3.0</v>
      </c>
      <c r="E130" s="200">
        <v>-4.0</v>
      </c>
      <c r="F130" s="201">
        <f t="shared" si="1"/>
        <v>-4</v>
      </c>
      <c r="G130" s="200">
        <v>1.0</v>
      </c>
      <c r="H130" s="202">
        <f t="shared" si="2"/>
        <v>2</v>
      </c>
      <c r="I130" s="203">
        <v>0.0</v>
      </c>
    </row>
    <row r="131">
      <c r="A131" s="51" t="s">
        <v>401</v>
      </c>
      <c r="B131" s="199">
        <v>1.0</v>
      </c>
      <c r="C131" s="200">
        <v>23.0</v>
      </c>
      <c r="D131" s="199">
        <v>1.0</v>
      </c>
      <c r="E131" s="200">
        <v>-4.0</v>
      </c>
      <c r="F131" s="201">
        <f t="shared" si="1"/>
        <v>-4</v>
      </c>
      <c r="G131" s="200">
        <v>1.0</v>
      </c>
      <c r="H131" s="202">
        <f t="shared" si="2"/>
        <v>1</v>
      </c>
      <c r="I131" s="203">
        <v>0.0</v>
      </c>
    </row>
    <row r="132">
      <c r="A132" s="51" t="s">
        <v>402</v>
      </c>
      <c r="B132" s="199">
        <v>1.0</v>
      </c>
      <c r="C132" s="200">
        <v>23.0</v>
      </c>
      <c r="D132" s="199">
        <v>2.0</v>
      </c>
      <c r="E132" s="200">
        <v>-4.0</v>
      </c>
      <c r="F132" s="201">
        <f t="shared" si="1"/>
        <v>-4</v>
      </c>
      <c r="G132" s="200">
        <v>1.0</v>
      </c>
      <c r="H132" s="202">
        <f t="shared" si="2"/>
        <v>1</v>
      </c>
      <c r="I132" s="203">
        <v>0.0</v>
      </c>
    </row>
    <row r="133">
      <c r="A133" s="204"/>
      <c r="B133" s="204"/>
      <c r="C133" s="205"/>
      <c r="D133" s="204"/>
      <c r="E133" s="205"/>
      <c r="F133" s="201"/>
      <c r="G133" s="205"/>
      <c r="H133" s="202"/>
      <c r="I133" s="204"/>
    </row>
    <row r="134">
      <c r="A134" s="204"/>
      <c r="B134" s="204"/>
      <c r="C134" s="205"/>
      <c r="D134" s="204"/>
      <c r="E134" s="205"/>
      <c r="F134" s="201"/>
      <c r="G134" s="205"/>
      <c r="H134" s="202"/>
      <c r="I134" s="204"/>
    </row>
    <row r="135">
      <c r="A135" s="204"/>
      <c r="B135" s="204"/>
      <c r="C135" s="205"/>
      <c r="D135" s="204"/>
      <c r="E135" s="205"/>
      <c r="F135" s="201"/>
      <c r="G135" s="205"/>
      <c r="H135" s="202"/>
      <c r="I135" s="204"/>
    </row>
    <row r="136">
      <c r="A136" s="204"/>
      <c r="B136" s="204"/>
      <c r="C136" s="205"/>
      <c r="D136" s="204"/>
      <c r="E136" s="205"/>
      <c r="F136" s="201"/>
      <c r="G136" s="205"/>
      <c r="H136" s="202"/>
      <c r="I136" s="204"/>
    </row>
    <row r="137">
      <c r="A137" s="204"/>
      <c r="B137" s="204"/>
      <c r="C137" s="205"/>
      <c r="D137" s="204"/>
      <c r="E137" s="205"/>
      <c r="F137" s="201"/>
      <c r="G137" s="205"/>
      <c r="H137" s="202"/>
      <c r="I137" s="204"/>
    </row>
    <row r="138">
      <c r="A138" s="204"/>
      <c r="B138" s="204"/>
      <c r="C138" s="205"/>
      <c r="D138" s="204"/>
      <c r="E138" s="205"/>
      <c r="F138" s="201"/>
      <c r="G138" s="205"/>
      <c r="H138" s="202"/>
      <c r="I138" s="204"/>
    </row>
    <row r="139">
      <c r="A139" s="204"/>
      <c r="B139" s="204"/>
      <c r="C139" s="205"/>
      <c r="D139" s="204"/>
      <c r="E139" s="205"/>
      <c r="F139" s="201"/>
      <c r="G139" s="205"/>
      <c r="H139" s="202"/>
      <c r="I139" s="204"/>
    </row>
  </sheetData>
  <hyperlinks>
    <hyperlink display="Catstats Hub" location="'Catstats Hub'!A1" ref="A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88"/>
    <col customWidth="1" min="2" max="2" width="15.63"/>
    <col customWidth="1" min="3" max="3" width="14.13"/>
  </cols>
  <sheetData>
    <row r="1">
      <c r="A1" s="193" t="s">
        <v>263</v>
      </c>
      <c r="B1" s="206" t="s">
        <v>264</v>
      </c>
      <c r="C1" s="207" t="s">
        <v>265</v>
      </c>
      <c r="D1" s="208" t="s">
        <v>266</v>
      </c>
      <c r="E1" s="207" t="s">
        <v>267</v>
      </c>
      <c r="F1" s="196" t="s">
        <v>268</v>
      </c>
      <c r="G1" s="207" t="s">
        <v>269</v>
      </c>
      <c r="H1" s="197" t="s">
        <v>270</v>
      </c>
      <c r="I1" s="209" t="s">
        <v>271</v>
      </c>
    </row>
    <row r="2">
      <c r="A2" s="210" t="s">
        <v>274</v>
      </c>
      <c r="B2" s="211">
        <v>6.0</v>
      </c>
      <c r="C2" s="212">
        <v>23.0</v>
      </c>
      <c r="D2" s="213">
        <v>16.0</v>
      </c>
      <c r="E2" s="212">
        <v>10.67</v>
      </c>
      <c r="F2" s="201">
        <f t="shared" ref="F2:F132" si="1">E2*B2*4/C2</f>
        <v>11.13391304</v>
      </c>
      <c r="G2" s="212">
        <v>0.0</v>
      </c>
      <c r="H2" s="202">
        <f t="shared" ref="H2:H132" si="2">G2*B2</f>
        <v>0</v>
      </c>
      <c r="I2" s="214">
        <v>1.0</v>
      </c>
    </row>
    <row r="3">
      <c r="A3" s="210" t="s">
        <v>290</v>
      </c>
      <c r="B3" s="211">
        <v>6.0</v>
      </c>
      <c r="C3" s="212">
        <v>23.0</v>
      </c>
      <c r="D3" s="213">
        <v>18.0</v>
      </c>
      <c r="E3" s="212">
        <v>10.0</v>
      </c>
      <c r="F3" s="201">
        <f t="shared" si="1"/>
        <v>10.43478261</v>
      </c>
      <c r="G3" s="212">
        <v>0.0</v>
      </c>
      <c r="H3" s="202">
        <f t="shared" si="2"/>
        <v>0</v>
      </c>
      <c r="I3" s="214">
        <v>0.833</v>
      </c>
    </row>
    <row r="4">
      <c r="A4" s="210" t="s">
        <v>304</v>
      </c>
      <c r="B4" s="211">
        <v>6.0</v>
      </c>
      <c r="C4" s="212">
        <v>24.0</v>
      </c>
      <c r="D4" s="213">
        <v>19.0</v>
      </c>
      <c r="E4" s="212">
        <v>10.0</v>
      </c>
      <c r="F4" s="201">
        <f t="shared" si="1"/>
        <v>10</v>
      </c>
      <c r="G4" s="212">
        <v>0.33</v>
      </c>
      <c r="H4" s="202">
        <f t="shared" si="2"/>
        <v>1.98</v>
      </c>
      <c r="I4" s="214">
        <v>0.895</v>
      </c>
    </row>
    <row r="5">
      <c r="A5" s="210" t="s">
        <v>300</v>
      </c>
      <c r="B5" s="211">
        <v>6.0</v>
      </c>
      <c r="C5" s="212">
        <v>24.0</v>
      </c>
      <c r="D5" s="213">
        <v>17.0</v>
      </c>
      <c r="E5" s="212">
        <v>8.67</v>
      </c>
      <c r="F5" s="201">
        <f t="shared" si="1"/>
        <v>8.67</v>
      </c>
      <c r="G5" s="212">
        <v>0.17</v>
      </c>
      <c r="H5" s="202">
        <f t="shared" si="2"/>
        <v>1.02</v>
      </c>
      <c r="I5" s="214">
        <v>0.824</v>
      </c>
    </row>
    <row r="6">
      <c r="A6" s="210" t="s">
        <v>310</v>
      </c>
      <c r="B6" s="211">
        <v>6.0</v>
      </c>
      <c r="C6" s="212">
        <v>24.0</v>
      </c>
      <c r="D6" s="213">
        <v>14.0</v>
      </c>
      <c r="E6" s="212">
        <v>8.0</v>
      </c>
      <c r="F6" s="201">
        <f t="shared" si="1"/>
        <v>8</v>
      </c>
      <c r="G6" s="212">
        <v>0.17</v>
      </c>
      <c r="H6" s="202">
        <f t="shared" si="2"/>
        <v>1.02</v>
      </c>
      <c r="I6" s="214">
        <v>0.929</v>
      </c>
    </row>
    <row r="7">
      <c r="A7" s="210" t="s">
        <v>297</v>
      </c>
      <c r="B7" s="211">
        <v>5.0</v>
      </c>
      <c r="C7" s="212">
        <v>21.0</v>
      </c>
      <c r="D7" s="213">
        <v>10.0</v>
      </c>
      <c r="E7" s="212">
        <v>6.4</v>
      </c>
      <c r="F7" s="201">
        <f t="shared" si="1"/>
        <v>6.095238095</v>
      </c>
      <c r="G7" s="212">
        <v>0.0</v>
      </c>
      <c r="H7" s="202">
        <f t="shared" si="2"/>
        <v>0</v>
      </c>
      <c r="I7" s="214">
        <v>0.8</v>
      </c>
    </row>
    <row r="8">
      <c r="A8" s="210" t="s">
        <v>306</v>
      </c>
      <c r="B8" s="211">
        <v>6.0</v>
      </c>
      <c r="C8" s="212">
        <v>24.0</v>
      </c>
      <c r="D8" s="213">
        <v>13.0</v>
      </c>
      <c r="E8" s="212">
        <v>6.0</v>
      </c>
      <c r="F8" s="201">
        <f t="shared" si="1"/>
        <v>6</v>
      </c>
      <c r="G8" s="212">
        <v>0.33</v>
      </c>
      <c r="H8" s="202">
        <f t="shared" si="2"/>
        <v>1.98</v>
      </c>
      <c r="I8" s="214">
        <v>0.846</v>
      </c>
    </row>
    <row r="9">
      <c r="A9" s="210" t="s">
        <v>318</v>
      </c>
      <c r="B9" s="211">
        <v>6.0</v>
      </c>
      <c r="C9" s="212">
        <v>24.0</v>
      </c>
      <c r="D9" s="213">
        <v>14.0</v>
      </c>
      <c r="E9" s="212">
        <v>6.0</v>
      </c>
      <c r="F9" s="201">
        <f t="shared" si="1"/>
        <v>6</v>
      </c>
      <c r="G9" s="212">
        <v>0.33</v>
      </c>
      <c r="H9" s="202">
        <f t="shared" si="2"/>
        <v>1.98</v>
      </c>
      <c r="I9" s="214">
        <v>0.786</v>
      </c>
    </row>
    <row r="10">
      <c r="A10" s="210" t="s">
        <v>358</v>
      </c>
      <c r="B10" s="211">
        <v>6.0</v>
      </c>
      <c r="C10" s="212">
        <v>24.0</v>
      </c>
      <c r="D10" s="213">
        <v>12.0</v>
      </c>
      <c r="E10" s="212">
        <v>5.33</v>
      </c>
      <c r="F10" s="201">
        <f t="shared" si="1"/>
        <v>5.33</v>
      </c>
      <c r="G10" s="212">
        <v>0.33</v>
      </c>
      <c r="H10" s="202">
        <f t="shared" si="2"/>
        <v>1.98</v>
      </c>
      <c r="I10" s="214">
        <v>0.833</v>
      </c>
    </row>
    <row r="11">
      <c r="A11" s="210" t="s">
        <v>354</v>
      </c>
      <c r="B11" s="211">
        <v>4.0</v>
      </c>
      <c r="C11" s="212">
        <v>16.0</v>
      </c>
      <c r="D11" s="213">
        <v>9.0</v>
      </c>
      <c r="E11" s="212">
        <v>5.0</v>
      </c>
      <c r="F11" s="201">
        <f t="shared" si="1"/>
        <v>5</v>
      </c>
      <c r="G11" s="212">
        <v>0.25</v>
      </c>
      <c r="H11" s="202">
        <f t="shared" si="2"/>
        <v>1</v>
      </c>
      <c r="I11" s="214">
        <v>0.667</v>
      </c>
    </row>
    <row r="12">
      <c r="A12" s="210" t="s">
        <v>281</v>
      </c>
      <c r="B12" s="211">
        <v>6.0</v>
      </c>
      <c r="C12" s="212">
        <v>23.0</v>
      </c>
      <c r="D12" s="213">
        <v>11.0</v>
      </c>
      <c r="E12" s="212">
        <v>4.67</v>
      </c>
      <c r="F12" s="201">
        <f t="shared" si="1"/>
        <v>4.873043478</v>
      </c>
      <c r="G12" s="212">
        <v>0.17</v>
      </c>
      <c r="H12" s="202">
        <f t="shared" si="2"/>
        <v>1.02</v>
      </c>
      <c r="I12" s="214">
        <v>0.727</v>
      </c>
    </row>
    <row r="13">
      <c r="A13" s="210" t="s">
        <v>312</v>
      </c>
      <c r="B13" s="211">
        <v>6.0</v>
      </c>
      <c r="C13" s="212">
        <v>24.0</v>
      </c>
      <c r="D13" s="213">
        <v>11.0</v>
      </c>
      <c r="E13" s="212">
        <v>4.67</v>
      </c>
      <c r="F13" s="201">
        <f t="shared" si="1"/>
        <v>4.67</v>
      </c>
      <c r="G13" s="212">
        <v>0.33</v>
      </c>
      <c r="H13" s="202">
        <f t="shared" si="2"/>
        <v>1.98</v>
      </c>
      <c r="I13" s="214">
        <v>0.818</v>
      </c>
    </row>
    <row r="14">
      <c r="A14" s="210" t="s">
        <v>321</v>
      </c>
      <c r="B14" s="211">
        <v>5.0</v>
      </c>
      <c r="C14" s="212">
        <v>19.0</v>
      </c>
      <c r="D14" s="213">
        <v>7.0</v>
      </c>
      <c r="E14" s="212">
        <v>4.0</v>
      </c>
      <c r="F14" s="201">
        <f t="shared" si="1"/>
        <v>4.210526316</v>
      </c>
      <c r="G14" s="212">
        <v>0.2</v>
      </c>
      <c r="H14" s="202">
        <f t="shared" si="2"/>
        <v>1</v>
      </c>
      <c r="I14" s="214">
        <v>0.857</v>
      </c>
    </row>
    <row r="15">
      <c r="A15" s="210" t="s">
        <v>356</v>
      </c>
      <c r="B15" s="211">
        <v>6.0</v>
      </c>
      <c r="C15" s="212">
        <v>24.0</v>
      </c>
      <c r="D15" s="213">
        <v>10.0</v>
      </c>
      <c r="E15" s="212">
        <v>4.0</v>
      </c>
      <c r="F15" s="201">
        <f t="shared" si="1"/>
        <v>4</v>
      </c>
      <c r="G15" s="212">
        <v>0.33</v>
      </c>
      <c r="H15" s="202">
        <f t="shared" si="2"/>
        <v>1.98</v>
      </c>
      <c r="I15" s="214">
        <v>0.8</v>
      </c>
    </row>
    <row r="16">
      <c r="A16" s="210" t="s">
        <v>379</v>
      </c>
      <c r="B16" s="211">
        <v>6.0</v>
      </c>
      <c r="C16" s="212">
        <v>24.0</v>
      </c>
      <c r="D16" s="213">
        <v>8.0</v>
      </c>
      <c r="E16" s="212">
        <v>4.0</v>
      </c>
      <c r="F16" s="201">
        <f t="shared" si="1"/>
        <v>4</v>
      </c>
      <c r="G16" s="212">
        <v>0.17</v>
      </c>
      <c r="H16" s="202">
        <f t="shared" si="2"/>
        <v>1.02</v>
      </c>
      <c r="I16" s="214">
        <v>0.875</v>
      </c>
    </row>
    <row r="17">
      <c r="A17" s="210" t="s">
        <v>362</v>
      </c>
      <c r="B17" s="211">
        <v>5.0</v>
      </c>
      <c r="C17" s="212">
        <v>20.0</v>
      </c>
      <c r="D17" s="213">
        <v>7.0</v>
      </c>
      <c r="E17" s="212">
        <v>4.0</v>
      </c>
      <c r="F17" s="201">
        <f t="shared" si="1"/>
        <v>4</v>
      </c>
      <c r="G17" s="212">
        <v>0.2</v>
      </c>
      <c r="H17" s="202">
        <f t="shared" si="2"/>
        <v>1</v>
      </c>
      <c r="I17" s="214">
        <v>0.857</v>
      </c>
    </row>
    <row r="18">
      <c r="A18" s="210" t="s">
        <v>336</v>
      </c>
      <c r="B18" s="211">
        <v>3.0</v>
      </c>
      <c r="C18" s="212">
        <v>12.0</v>
      </c>
      <c r="D18" s="213">
        <v>7.0</v>
      </c>
      <c r="E18" s="212">
        <v>4.0</v>
      </c>
      <c r="F18" s="201">
        <f t="shared" si="1"/>
        <v>4</v>
      </c>
      <c r="G18" s="212">
        <v>0.33</v>
      </c>
      <c r="H18" s="202">
        <f t="shared" si="2"/>
        <v>0.99</v>
      </c>
      <c r="I18" s="214">
        <v>0.571</v>
      </c>
    </row>
    <row r="19">
      <c r="A19" s="210" t="s">
        <v>298</v>
      </c>
      <c r="B19" s="211">
        <v>6.0</v>
      </c>
      <c r="C19" s="212">
        <v>24.0</v>
      </c>
      <c r="D19" s="213">
        <v>6.0</v>
      </c>
      <c r="E19" s="212">
        <v>4.0</v>
      </c>
      <c r="F19" s="201">
        <f t="shared" si="1"/>
        <v>4</v>
      </c>
      <c r="G19" s="212">
        <v>0.0</v>
      </c>
      <c r="H19" s="202">
        <f t="shared" si="2"/>
        <v>0</v>
      </c>
      <c r="I19" s="214">
        <v>1.0</v>
      </c>
    </row>
    <row r="20">
      <c r="A20" s="210" t="s">
        <v>364</v>
      </c>
      <c r="B20" s="211">
        <v>6.0</v>
      </c>
      <c r="C20" s="212">
        <v>24.0</v>
      </c>
      <c r="D20" s="213">
        <v>10.0</v>
      </c>
      <c r="E20" s="212">
        <v>4.0</v>
      </c>
      <c r="F20" s="201">
        <f t="shared" si="1"/>
        <v>4</v>
      </c>
      <c r="G20" s="212">
        <v>0.0</v>
      </c>
      <c r="H20" s="202">
        <f t="shared" si="2"/>
        <v>0</v>
      </c>
      <c r="I20" s="214">
        <v>0.6</v>
      </c>
    </row>
    <row r="21">
      <c r="A21" s="210" t="s">
        <v>272</v>
      </c>
      <c r="B21" s="211">
        <v>6.0</v>
      </c>
      <c r="C21" s="212">
        <v>24.0</v>
      </c>
      <c r="D21" s="213">
        <v>7.0</v>
      </c>
      <c r="E21" s="212">
        <v>4.0</v>
      </c>
      <c r="F21" s="201">
        <f t="shared" si="1"/>
        <v>4</v>
      </c>
      <c r="G21" s="212">
        <v>0.0</v>
      </c>
      <c r="H21" s="202">
        <f t="shared" si="2"/>
        <v>0</v>
      </c>
      <c r="I21" s="214">
        <v>0.857</v>
      </c>
    </row>
    <row r="22">
      <c r="A22" s="210" t="s">
        <v>377</v>
      </c>
      <c r="B22" s="211">
        <v>1.0</v>
      </c>
      <c r="C22" s="212">
        <v>4.0</v>
      </c>
      <c r="D22" s="213">
        <v>1.0</v>
      </c>
      <c r="E22" s="212">
        <v>4.0</v>
      </c>
      <c r="F22" s="201">
        <f t="shared" si="1"/>
        <v>4</v>
      </c>
      <c r="G22" s="212">
        <v>0.0</v>
      </c>
      <c r="H22" s="202">
        <f t="shared" si="2"/>
        <v>0</v>
      </c>
      <c r="I22" s="214">
        <v>1.0</v>
      </c>
    </row>
    <row r="23">
      <c r="A23" s="210" t="s">
        <v>333</v>
      </c>
      <c r="B23" s="211">
        <v>2.0</v>
      </c>
      <c r="C23" s="212">
        <v>8.0</v>
      </c>
      <c r="D23" s="213">
        <v>2.0</v>
      </c>
      <c r="E23" s="212">
        <v>4.0</v>
      </c>
      <c r="F23" s="201">
        <f t="shared" si="1"/>
        <v>4</v>
      </c>
      <c r="G23" s="212">
        <v>0.0</v>
      </c>
      <c r="H23" s="202">
        <f t="shared" si="2"/>
        <v>0</v>
      </c>
      <c r="I23" s="214">
        <v>1.0</v>
      </c>
    </row>
    <row r="24">
      <c r="A24" s="210" t="s">
        <v>273</v>
      </c>
      <c r="B24" s="211">
        <v>6.0</v>
      </c>
      <c r="C24" s="212">
        <v>25.0</v>
      </c>
      <c r="D24" s="213">
        <v>6.0</v>
      </c>
      <c r="E24" s="212">
        <v>4.0</v>
      </c>
      <c r="F24" s="201">
        <f t="shared" si="1"/>
        <v>3.84</v>
      </c>
      <c r="G24" s="212">
        <v>0.0</v>
      </c>
      <c r="H24" s="202">
        <f t="shared" si="2"/>
        <v>0</v>
      </c>
      <c r="I24" s="214">
        <v>1.0</v>
      </c>
    </row>
    <row r="25">
      <c r="A25" s="210" t="s">
        <v>359</v>
      </c>
      <c r="B25" s="211">
        <v>6.0</v>
      </c>
      <c r="C25" s="212">
        <v>24.0</v>
      </c>
      <c r="D25" s="213">
        <v>10.0</v>
      </c>
      <c r="E25" s="212">
        <v>3.33</v>
      </c>
      <c r="F25" s="201">
        <f t="shared" si="1"/>
        <v>3.33</v>
      </c>
      <c r="G25" s="212">
        <v>0.17</v>
      </c>
      <c r="H25" s="202">
        <f t="shared" si="2"/>
        <v>1.02</v>
      </c>
      <c r="I25" s="214">
        <v>0.6</v>
      </c>
    </row>
    <row r="26">
      <c r="A26" s="210" t="s">
        <v>302</v>
      </c>
      <c r="B26" s="211">
        <v>6.0</v>
      </c>
      <c r="C26" s="212">
        <v>24.0</v>
      </c>
      <c r="D26" s="213">
        <v>7.0</v>
      </c>
      <c r="E26" s="212">
        <v>3.33</v>
      </c>
      <c r="F26" s="201">
        <f t="shared" si="1"/>
        <v>3.33</v>
      </c>
      <c r="G26" s="212">
        <v>0.17</v>
      </c>
      <c r="H26" s="202">
        <f t="shared" si="2"/>
        <v>1.02</v>
      </c>
      <c r="I26" s="214">
        <v>0.857</v>
      </c>
    </row>
    <row r="27">
      <c r="A27" s="210" t="s">
        <v>277</v>
      </c>
      <c r="B27" s="211">
        <v>6.0</v>
      </c>
      <c r="C27" s="212">
        <v>24.0</v>
      </c>
      <c r="D27" s="213">
        <v>5.0</v>
      </c>
      <c r="E27" s="212">
        <v>3.33</v>
      </c>
      <c r="F27" s="201">
        <f t="shared" si="1"/>
        <v>3.33</v>
      </c>
      <c r="G27" s="212">
        <v>0.0</v>
      </c>
      <c r="H27" s="202">
        <f t="shared" si="2"/>
        <v>0</v>
      </c>
      <c r="I27" s="214">
        <v>1.0</v>
      </c>
    </row>
    <row r="28">
      <c r="A28" s="210" t="s">
        <v>385</v>
      </c>
      <c r="B28" s="211">
        <v>5.0</v>
      </c>
      <c r="C28" s="212">
        <v>20.0</v>
      </c>
      <c r="D28" s="213">
        <v>5.0</v>
      </c>
      <c r="E28" s="212">
        <v>3.2</v>
      </c>
      <c r="F28" s="201">
        <f t="shared" si="1"/>
        <v>3.2</v>
      </c>
      <c r="G28" s="212">
        <v>0.0</v>
      </c>
      <c r="H28" s="202">
        <f t="shared" si="2"/>
        <v>0</v>
      </c>
      <c r="I28" s="214">
        <v>0.8</v>
      </c>
    </row>
    <row r="29">
      <c r="A29" s="210" t="s">
        <v>369</v>
      </c>
      <c r="B29" s="211">
        <v>6.0</v>
      </c>
      <c r="C29" s="212">
        <v>23.0</v>
      </c>
      <c r="D29" s="213">
        <v>15.0</v>
      </c>
      <c r="E29" s="212">
        <v>2.67</v>
      </c>
      <c r="F29" s="201">
        <f t="shared" si="1"/>
        <v>2.786086957</v>
      </c>
      <c r="G29" s="212">
        <v>0.83</v>
      </c>
      <c r="H29" s="202">
        <f t="shared" si="2"/>
        <v>4.98</v>
      </c>
      <c r="I29" s="214">
        <v>0.6</v>
      </c>
    </row>
    <row r="30">
      <c r="A30" s="210" t="s">
        <v>279</v>
      </c>
      <c r="B30" s="211">
        <v>6.0</v>
      </c>
      <c r="C30" s="212">
        <v>24.0</v>
      </c>
      <c r="D30" s="213">
        <v>14.0</v>
      </c>
      <c r="E30" s="212">
        <v>2.67</v>
      </c>
      <c r="F30" s="201">
        <f t="shared" si="1"/>
        <v>2.67</v>
      </c>
      <c r="G30" s="212">
        <v>0.5</v>
      </c>
      <c r="H30" s="202">
        <f t="shared" si="2"/>
        <v>3</v>
      </c>
      <c r="I30" s="214">
        <v>0.5</v>
      </c>
    </row>
    <row r="31">
      <c r="A31" s="210" t="s">
        <v>326</v>
      </c>
      <c r="B31" s="211">
        <v>6.0</v>
      </c>
      <c r="C31" s="212">
        <v>24.0</v>
      </c>
      <c r="D31" s="213">
        <v>8.0</v>
      </c>
      <c r="E31" s="212">
        <v>2.67</v>
      </c>
      <c r="F31" s="201">
        <f t="shared" si="1"/>
        <v>2.67</v>
      </c>
      <c r="G31" s="212">
        <v>0.33</v>
      </c>
      <c r="H31" s="202">
        <f t="shared" si="2"/>
        <v>1.98</v>
      </c>
      <c r="I31" s="214">
        <v>0.75</v>
      </c>
    </row>
    <row r="32">
      <c r="A32" s="210" t="s">
        <v>282</v>
      </c>
      <c r="B32" s="211">
        <v>6.0</v>
      </c>
      <c r="C32" s="212">
        <v>24.0</v>
      </c>
      <c r="D32" s="213">
        <v>4.0</v>
      </c>
      <c r="E32" s="212">
        <v>2.67</v>
      </c>
      <c r="F32" s="201">
        <f t="shared" si="1"/>
        <v>2.67</v>
      </c>
      <c r="G32" s="212">
        <v>0.0</v>
      </c>
      <c r="H32" s="202">
        <f t="shared" si="2"/>
        <v>0</v>
      </c>
      <c r="I32" s="214">
        <v>1.0</v>
      </c>
    </row>
    <row r="33">
      <c r="A33" s="210" t="s">
        <v>287</v>
      </c>
      <c r="B33" s="211">
        <v>5.0</v>
      </c>
      <c r="C33" s="212">
        <v>20.0</v>
      </c>
      <c r="D33" s="213">
        <v>3.0</v>
      </c>
      <c r="E33" s="212">
        <v>2.4</v>
      </c>
      <c r="F33" s="201">
        <f t="shared" si="1"/>
        <v>2.4</v>
      </c>
      <c r="G33" s="212">
        <v>0.0</v>
      </c>
      <c r="H33" s="202">
        <f t="shared" si="2"/>
        <v>0</v>
      </c>
      <c r="I33" s="214">
        <v>1.0</v>
      </c>
    </row>
    <row r="34">
      <c r="A34" s="210" t="s">
        <v>368</v>
      </c>
      <c r="B34" s="211">
        <v>4.0</v>
      </c>
      <c r="C34" s="212">
        <v>16.0</v>
      </c>
      <c r="D34" s="213">
        <v>6.0</v>
      </c>
      <c r="E34" s="212">
        <v>2.0</v>
      </c>
      <c r="F34" s="201">
        <f t="shared" si="1"/>
        <v>2</v>
      </c>
      <c r="G34" s="212">
        <v>0.25</v>
      </c>
      <c r="H34" s="202">
        <f t="shared" si="2"/>
        <v>1</v>
      </c>
      <c r="I34" s="214">
        <v>0.5</v>
      </c>
    </row>
    <row r="35">
      <c r="A35" s="210" t="s">
        <v>360</v>
      </c>
      <c r="B35" s="211">
        <v>2.0</v>
      </c>
      <c r="C35" s="212">
        <v>8.0</v>
      </c>
      <c r="D35" s="213">
        <v>1.0</v>
      </c>
      <c r="E35" s="212">
        <v>2.0</v>
      </c>
      <c r="F35" s="201">
        <f t="shared" si="1"/>
        <v>2</v>
      </c>
      <c r="G35" s="212">
        <v>0.0</v>
      </c>
      <c r="H35" s="202">
        <f t="shared" si="2"/>
        <v>0</v>
      </c>
      <c r="I35" s="214">
        <v>1.0</v>
      </c>
    </row>
    <row r="36">
      <c r="A36" s="210" t="s">
        <v>376</v>
      </c>
      <c r="B36" s="211">
        <v>2.0</v>
      </c>
      <c r="C36" s="212">
        <v>8.0</v>
      </c>
      <c r="D36" s="213">
        <v>1.0</v>
      </c>
      <c r="E36" s="212">
        <v>2.0</v>
      </c>
      <c r="F36" s="201">
        <f t="shared" si="1"/>
        <v>2</v>
      </c>
      <c r="G36" s="212">
        <v>0.0</v>
      </c>
      <c r="H36" s="202">
        <f t="shared" si="2"/>
        <v>0</v>
      </c>
      <c r="I36" s="214">
        <v>1.0</v>
      </c>
    </row>
    <row r="37">
      <c r="A37" s="210" t="s">
        <v>283</v>
      </c>
      <c r="B37" s="211">
        <v>6.0</v>
      </c>
      <c r="C37" s="212">
        <v>25.0</v>
      </c>
      <c r="D37" s="213">
        <v>12.0</v>
      </c>
      <c r="E37" s="212">
        <v>2.0</v>
      </c>
      <c r="F37" s="201">
        <f t="shared" si="1"/>
        <v>1.92</v>
      </c>
      <c r="G37" s="212">
        <v>0.67</v>
      </c>
      <c r="H37" s="202">
        <f t="shared" si="2"/>
        <v>4.02</v>
      </c>
      <c r="I37" s="214">
        <v>0.583</v>
      </c>
    </row>
    <row r="38">
      <c r="A38" s="210" t="s">
        <v>373</v>
      </c>
      <c r="B38" s="211">
        <v>5.0</v>
      </c>
      <c r="C38" s="212">
        <v>21.0</v>
      </c>
      <c r="D38" s="213">
        <v>4.0</v>
      </c>
      <c r="E38" s="212">
        <v>1.6</v>
      </c>
      <c r="F38" s="201">
        <f t="shared" si="1"/>
        <v>1.523809524</v>
      </c>
      <c r="G38" s="212">
        <v>0.2</v>
      </c>
      <c r="H38" s="202">
        <f t="shared" si="2"/>
        <v>1</v>
      </c>
      <c r="I38" s="214">
        <v>0.75</v>
      </c>
    </row>
    <row r="39">
      <c r="A39" s="210" t="s">
        <v>322</v>
      </c>
      <c r="B39" s="211">
        <v>5.0</v>
      </c>
      <c r="C39" s="212">
        <v>21.0</v>
      </c>
      <c r="D39" s="213">
        <v>2.0</v>
      </c>
      <c r="E39" s="212">
        <v>1.6</v>
      </c>
      <c r="F39" s="201">
        <f t="shared" si="1"/>
        <v>1.523809524</v>
      </c>
      <c r="G39" s="212">
        <v>0.0</v>
      </c>
      <c r="H39" s="202">
        <f t="shared" si="2"/>
        <v>0</v>
      </c>
      <c r="I39" s="214">
        <v>1.0</v>
      </c>
    </row>
    <row r="40">
      <c r="A40" s="210" t="s">
        <v>330</v>
      </c>
      <c r="B40" s="211">
        <v>5.0</v>
      </c>
      <c r="C40" s="212">
        <v>21.0</v>
      </c>
      <c r="D40" s="213">
        <v>2.0</v>
      </c>
      <c r="E40" s="212">
        <v>1.6</v>
      </c>
      <c r="F40" s="201">
        <f t="shared" si="1"/>
        <v>1.523809524</v>
      </c>
      <c r="G40" s="212">
        <v>0.0</v>
      </c>
      <c r="H40" s="202">
        <f t="shared" si="2"/>
        <v>0</v>
      </c>
      <c r="I40" s="214">
        <v>1.0</v>
      </c>
    </row>
    <row r="41">
      <c r="A41" s="210" t="s">
        <v>382</v>
      </c>
      <c r="B41" s="211">
        <v>6.0</v>
      </c>
      <c r="C41" s="212">
        <v>24.0</v>
      </c>
      <c r="D41" s="213">
        <v>17.0</v>
      </c>
      <c r="E41" s="212">
        <v>1.33</v>
      </c>
      <c r="F41" s="201">
        <f t="shared" si="1"/>
        <v>1.33</v>
      </c>
      <c r="G41" s="212">
        <v>1.17</v>
      </c>
      <c r="H41" s="202">
        <f t="shared" si="2"/>
        <v>7.02</v>
      </c>
      <c r="I41" s="214">
        <v>0.529</v>
      </c>
    </row>
    <row r="42">
      <c r="A42" s="210" t="s">
        <v>391</v>
      </c>
      <c r="B42" s="211">
        <v>6.0</v>
      </c>
      <c r="C42" s="212">
        <v>24.0</v>
      </c>
      <c r="D42" s="213">
        <v>15.0</v>
      </c>
      <c r="E42" s="212">
        <v>1.33</v>
      </c>
      <c r="F42" s="201">
        <f t="shared" si="1"/>
        <v>1.33</v>
      </c>
      <c r="G42" s="212">
        <v>0.83</v>
      </c>
      <c r="H42" s="202">
        <f t="shared" si="2"/>
        <v>4.98</v>
      </c>
      <c r="I42" s="214">
        <v>0.467</v>
      </c>
    </row>
    <row r="43">
      <c r="A43" s="210" t="s">
        <v>332</v>
      </c>
      <c r="B43" s="211">
        <v>6.0</v>
      </c>
      <c r="C43" s="212">
        <v>24.0</v>
      </c>
      <c r="D43" s="213">
        <v>11.0</v>
      </c>
      <c r="E43" s="212">
        <v>1.33</v>
      </c>
      <c r="F43" s="201">
        <f t="shared" si="1"/>
        <v>1.33</v>
      </c>
      <c r="G43" s="212">
        <v>0.5</v>
      </c>
      <c r="H43" s="202">
        <f t="shared" si="2"/>
        <v>3</v>
      </c>
      <c r="I43" s="214">
        <v>0.455</v>
      </c>
    </row>
    <row r="44">
      <c r="A44" s="210" t="s">
        <v>335</v>
      </c>
      <c r="B44" s="211">
        <v>3.0</v>
      </c>
      <c r="C44" s="212">
        <v>12.0</v>
      </c>
      <c r="D44" s="213">
        <v>5.0</v>
      </c>
      <c r="E44" s="212">
        <v>1.33</v>
      </c>
      <c r="F44" s="201">
        <f t="shared" si="1"/>
        <v>1.33</v>
      </c>
      <c r="G44" s="212">
        <v>0.67</v>
      </c>
      <c r="H44" s="202">
        <f t="shared" si="2"/>
        <v>2.01</v>
      </c>
      <c r="I44" s="214">
        <v>0.6</v>
      </c>
    </row>
    <row r="45">
      <c r="A45" s="210" t="s">
        <v>293</v>
      </c>
      <c r="B45" s="211">
        <v>6.0</v>
      </c>
      <c r="C45" s="212">
        <v>24.0</v>
      </c>
      <c r="D45" s="213">
        <v>4.0</v>
      </c>
      <c r="E45" s="212">
        <v>1.33</v>
      </c>
      <c r="F45" s="201">
        <f t="shared" si="1"/>
        <v>1.33</v>
      </c>
      <c r="G45" s="212">
        <v>0.17</v>
      </c>
      <c r="H45" s="202">
        <f t="shared" si="2"/>
        <v>1.02</v>
      </c>
      <c r="I45" s="214">
        <v>0.75</v>
      </c>
    </row>
    <row r="46">
      <c r="A46" s="210" t="s">
        <v>313</v>
      </c>
      <c r="B46" s="211">
        <v>6.0</v>
      </c>
      <c r="C46" s="212">
        <v>24.0</v>
      </c>
      <c r="D46" s="213">
        <v>2.0</v>
      </c>
      <c r="E46" s="212">
        <v>1.33</v>
      </c>
      <c r="F46" s="201">
        <f t="shared" si="1"/>
        <v>1.33</v>
      </c>
      <c r="G46" s="212">
        <v>0.0</v>
      </c>
      <c r="H46" s="202">
        <f t="shared" si="2"/>
        <v>0</v>
      </c>
      <c r="I46" s="214">
        <v>1.0</v>
      </c>
    </row>
    <row r="47">
      <c r="A47" s="210" t="s">
        <v>352</v>
      </c>
      <c r="B47" s="211">
        <v>3.0</v>
      </c>
      <c r="C47" s="212">
        <v>12.0</v>
      </c>
      <c r="D47" s="213">
        <v>2.0</v>
      </c>
      <c r="E47" s="212">
        <v>1.33</v>
      </c>
      <c r="F47" s="201">
        <f t="shared" si="1"/>
        <v>1.33</v>
      </c>
      <c r="G47" s="212">
        <v>0.0</v>
      </c>
      <c r="H47" s="202">
        <f t="shared" si="2"/>
        <v>0</v>
      </c>
      <c r="I47" s="214">
        <v>0.5</v>
      </c>
    </row>
    <row r="48">
      <c r="A48" s="210" t="s">
        <v>323</v>
      </c>
      <c r="B48" s="211">
        <v>6.0</v>
      </c>
      <c r="C48" s="212">
        <v>24.0</v>
      </c>
      <c r="D48" s="213">
        <v>3.0</v>
      </c>
      <c r="E48" s="212">
        <v>1.33</v>
      </c>
      <c r="F48" s="201">
        <f t="shared" si="1"/>
        <v>1.33</v>
      </c>
      <c r="G48" s="212">
        <v>0.0</v>
      </c>
      <c r="H48" s="202">
        <f t="shared" si="2"/>
        <v>0</v>
      </c>
      <c r="I48" s="214">
        <v>0.667</v>
      </c>
    </row>
    <row r="49">
      <c r="A49" s="210" t="s">
        <v>328</v>
      </c>
      <c r="B49" s="211">
        <v>6.0</v>
      </c>
      <c r="C49" s="212">
        <v>24.0</v>
      </c>
      <c r="D49" s="213">
        <v>4.0</v>
      </c>
      <c r="E49" s="212">
        <v>1.33</v>
      </c>
      <c r="F49" s="201">
        <f t="shared" si="1"/>
        <v>1.33</v>
      </c>
      <c r="G49" s="212">
        <v>0.0</v>
      </c>
      <c r="H49" s="202">
        <f t="shared" si="2"/>
        <v>0</v>
      </c>
      <c r="I49" s="214">
        <v>0.5</v>
      </c>
    </row>
    <row r="50">
      <c r="A50" s="210" t="s">
        <v>381</v>
      </c>
      <c r="B50" s="211">
        <v>3.0</v>
      </c>
      <c r="C50" s="212">
        <v>12.0</v>
      </c>
      <c r="D50" s="213">
        <v>1.0</v>
      </c>
      <c r="E50" s="212">
        <v>1.33</v>
      </c>
      <c r="F50" s="201">
        <f t="shared" si="1"/>
        <v>1.33</v>
      </c>
      <c r="G50" s="212">
        <v>0.0</v>
      </c>
      <c r="H50" s="202">
        <f t="shared" si="2"/>
        <v>0</v>
      </c>
      <c r="I50" s="214">
        <v>1.0</v>
      </c>
    </row>
    <row r="51">
      <c r="A51" s="210" t="s">
        <v>378</v>
      </c>
      <c r="B51" s="211">
        <v>3.0</v>
      </c>
      <c r="C51" s="212">
        <v>12.0</v>
      </c>
      <c r="D51" s="213">
        <v>1.0</v>
      </c>
      <c r="E51" s="212">
        <v>1.33</v>
      </c>
      <c r="F51" s="201">
        <f t="shared" si="1"/>
        <v>1.33</v>
      </c>
      <c r="G51" s="212">
        <v>0.0</v>
      </c>
      <c r="H51" s="202">
        <f t="shared" si="2"/>
        <v>0</v>
      </c>
      <c r="I51" s="214">
        <v>1.0</v>
      </c>
    </row>
    <row r="52">
      <c r="A52" s="210" t="s">
        <v>348</v>
      </c>
      <c r="B52" s="211">
        <v>4.0</v>
      </c>
      <c r="C52" s="212">
        <v>16.0</v>
      </c>
      <c r="D52" s="213">
        <v>1.0</v>
      </c>
      <c r="E52" s="212">
        <v>1.0</v>
      </c>
      <c r="F52" s="201">
        <f t="shared" si="1"/>
        <v>1</v>
      </c>
      <c r="G52" s="212">
        <v>0.0</v>
      </c>
      <c r="H52" s="202">
        <f t="shared" si="2"/>
        <v>0</v>
      </c>
      <c r="I52" s="214">
        <v>1.0</v>
      </c>
    </row>
    <row r="53">
      <c r="A53" s="210" t="s">
        <v>319</v>
      </c>
      <c r="B53" s="211">
        <v>5.0</v>
      </c>
      <c r="C53" s="212">
        <v>19.0</v>
      </c>
      <c r="D53" s="213">
        <v>1.0</v>
      </c>
      <c r="E53" s="212">
        <v>0.8</v>
      </c>
      <c r="F53" s="201">
        <f t="shared" si="1"/>
        <v>0.8421052632</v>
      </c>
      <c r="G53" s="212">
        <v>0.0</v>
      </c>
      <c r="H53" s="202">
        <f t="shared" si="2"/>
        <v>0</v>
      </c>
      <c r="I53" s="214">
        <v>1.0</v>
      </c>
    </row>
    <row r="54">
      <c r="A54" s="210" t="s">
        <v>394</v>
      </c>
      <c r="B54" s="211">
        <v>5.0</v>
      </c>
      <c r="C54" s="212">
        <v>20.0</v>
      </c>
      <c r="D54" s="213">
        <v>4.0</v>
      </c>
      <c r="E54" s="212">
        <v>0.8</v>
      </c>
      <c r="F54" s="201">
        <f t="shared" si="1"/>
        <v>0.8</v>
      </c>
      <c r="G54" s="212">
        <v>0.0</v>
      </c>
      <c r="H54" s="202">
        <f t="shared" si="2"/>
        <v>0</v>
      </c>
      <c r="I54" s="214">
        <v>0.25</v>
      </c>
    </row>
    <row r="55">
      <c r="A55" s="210" t="s">
        <v>346</v>
      </c>
      <c r="B55" s="211">
        <v>5.0</v>
      </c>
      <c r="C55" s="212">
        <v>20.0</v>
      </c>
      <c r="D55" s="213">
        <v>1.0</v>
      </c>
      <c r="E55" s="212">
        <v>0.8</v>
      </c>
      <c r="F55" s="201">
        <f t="shared" si="1"/>
        <v>0.8</v>
      </c>
      <c r="G55" s="212">
        <v>0.0</v>
      </c>
      <c r="H55" s="202">
        <f t="shared" si="2"/>
        <v>0</v>
      </c>
      <c r="I55" s="214">
        <v>1.0</v>
      </c>
    </row>
    <row r="56">
      <c r="A56" s="210" t="s">
        <v>303</v>
      </c>
      <c r="B56" s="211">
        <v>6.0</v>
      </c>
      <c r="C56" s="212">
        <v>23.0</v>
      </c>
      <c r="D56" s="213">
        <v>1.0</v>
      </c>
      <c r="E56" s="212">
        <v>0.67</v>
      </c>
      <c r="F56" s="201">
        <f t="shared" si="1"/>
        <v>0.6991304348</v>
      </c>
      <c r="G56" s="212">
        <v>0.0</v>
      </c>
      <c r="H56" s="202">
        <f t="shared" si="2"/>
        <v>0</v>
      </c>
      <c r="I56" s="214">
        <v>1.0</v>
      </c>
    </row>
    <row r="57">
      <c r="A57" s="210" t="s">
        <v>275</v>
      </c>
      <c r="B57" s="211">
        <v>6.0</v>
      </c>
      <c r="C57" s="212">
        <v>23.0</v>
      </c>
      <c r="D57" s="213">
        <v>1.0</v>
      </c>
      <c r="E57" s="212">
        <v>0.67</v>
      </c>
      <c r="F57" s="201">
        <f t="shared" si="1"/>
        <v>0.6991304348</v>
      </c>
      <c r="G57" s="212">
        <v>0.0</v>
      </c>
      <c r="H57" s="202">
        <f t="shared" si="2"/>
        <v>0</v>
      </c>
      <c r="I57" s="214">
        <v>1.0</v>
      </c>
    </row>
    <row r="58">
      <c r="A58" s="210" t="s">
        <v>285</v>
      </c>
      <c r="B58" s="211">
        <v>6.0</v>
      </c>
      <c r="C58" s="212">
        <v>23.0</v>
      </c>
      <c r="D58" s="213">
        <v>1.0</v>
      </c>
      <c r="E58" s="212">
        <v>0.67</v>
      </c>
      <c r="F58" s="201">
        <f t="shared" si="1"/>
        <v>0.6991304348</v>
      </c>
      <c r="G58" s="212">
        <v>0.0</v>
      </c>
      <c r="H58" s="202">
        <f t="shared" si="2"/>
        <v>0</v>
      </c>
      <c r="I58" s="214">
        <v>1.0</v>
      </c>
    </row>
    <row r="59">
      <c r="A59" s="210" t="s">
        <v>299</v>
      </c>
      <c r="B59" s="211">
        <v>6.0</v>
      </c>
      <c r="C59" s="212">
        <v>24.0</v>
      </c>
      <c r="D59" s="213">
        <v>6.0</v>
      </c>
      <c r="E59" s="212">
        <v>0.67</v>
      </c>
      <c r="F59" s="201">
        <f t="shared" si="1"/>
        <v>0.67</v>
      </c>
      <c r="G59" s="212">
        <v>0.17</v>
      </c>
      <c r="H59" s="202">
        <f t="shared" si="2"/>
        <v>1.02</v>
      </c>
      <c r="I59" s="214">
        <v>0.333</v>
      </c>
    </row>
    <row r="60">
      <c r="A60" s="210" t="s">
        <v>342</v>
      </c>
      <c r="B60" s="211">
        <v>6.0</v>
      </c>
      <c r="C60" s="212">
        <v>24.0</v>
      </c>
      <c r="D60" s="213">
        <v>1.0</v>
      </c>
      <c r="E60" s="212">
        <v>0.67</v>
      </c>
      <c r="F60" s="201">
        <f t="shared" si="1"/>
        <v>0.67</v>
      </c>
      <c r="G60" s="212">
        <v>0.0</v>
      </c>
      <c r="H60" s="202">
        <f t="shared" si="2"/>
        <v>0</v>
      </c>
      <c r="I60" s="214">
        <v>1.0</v>
      </c>
    </row>
    <row r="61">
      <c r="A61" s="210" t="s">
        <v>350</v>
      </c>
      <c r="B61" s="211">
        <v>6.0</v>
      </c>
      <c r="C61" s="212">
        <v>24.0</v>
      </c>
      <c r="D61" s="213">
        <v>1.0</v>
      </c>
      <c r="E61" s="212">
        <v>0.67</v>
      </c>
      <c r="F61" s="201">
        <f t="shared" si="1"/>
        <v>0.67</v>
      </c>
      <c r="G61" s="212">
        <v>0.0</v>
      </c>
      <c r="H61" s="202">
        <f t="shared" si="2"/>
        <v>0</v>
      </c>
      <c r="I61" s="214">
        <v>1.0</v>
      </c>
    </row>
    <row r="62">
      <c r="A62" s="210" t="s">
        <v>291</v>
      </c>
      <c r="B62" s="211">
        <v>6.0</v>
      </c>
      <c r="C62" s="212">
        <v>24.0</v>
      </c>
      <c r="D62" s="213">
        <v>1.0</v>
      </c>
      <c r="E62" s="212">
        <v>0.67</v>
      </c>
      <c r="F62" s="201">
        <f t="shared" si="1"/>
        <v>0.67</v>
      </c>
      <c r="G62" s="212">
        <v>0.0</v>
      </c>
      <c r="H62" s="202">
        <f t="shared" si="2"/>
        <v>0</v>
      </c>
      <c r="I62" s="214">
        <v>1.0</v>
      </c>
    </row>
    <row r="63">
      <c r="A63" s="210" t="s">
        <v>327</v>
      </c>
      <c r="B63" s="211">
        <v>6.0</v>
      </c>
      <c r="C63" s="212">
        <v>24.0</v>
      </c>
      <c r="D63" s="213">
        <v>1.0</v>
      </c>
      <c r="E63" s="212">
        <v>0.67</v>
      </c>
      <c r="F63" s="201">
        <f t="shared" si="1"/>
        <v>0.67</v>
      </c>
      <c r="G63" s="212">
        <v>0.0</v>
      </c>
      <c r="H63" s="202">
        <f t="shared" si="2"/>
        <v>0</v>
      </c>
      <c r="I63" s="214">
        <v>1.0</v>
      </c>
    </row>
    <row r="64">
      <c r="A64" s="210" t="s">
        <v>315</v>
      </c>
      <c r="B64" s="211">
        <v>6.0</v>
      </c>
      <c r="C64" s="212">
        <v>24.0</v>
      </c>
      <c r="D64" s="213">
        <v>1.0</v>
      </c>
      <c r="E64" s="212">
        <v>0.67</v>
      </c>
      <c r="F64" s="201">
        <f t="shared" si="1"/>
        <v>0.67</v>
      </c>
      <c r="G64" s="212">
        <v>0.0</v>
      </c>
      <c r="H64" s="202">
        <f t="shared" si="2"/>
        <v>0</v>
      </c>
      <c r="I64" s="214">
        <v>1.0</v>
      </c>
    </row>
    <row r="65">
      <c r="A65" s="210" t="s">
        <v>286</v>
      </c>
      <c r="B65" s="211">
        <v>6.0</v>
      </c>
      <c r="C65" s="212">
        <v>25.0</v>
      </c>
      <c r="D65" s="213">
        <v>1.0</v>
      </c>
      <c r="E65" s="212">
        <v>0.67</v>
      </c>
      <c r="F65" s="201">
        <f t="shared" si="1"/>
        <v>0.6432</v>
      </c>
      <c r="G65" s="212">
        <v>0.0</v>
      </c>
      <c r="H65" s="202">
        <f t="shared" si="2"/>
        <v>0</v>
      </c>
      <c r="I65" s="214">
        <v>1.0</v>
      </c>
    </row>
    <row r="66">
      <c r="A66" s="210" t="s">
        <v>276</v>
      </c>
      <c r="B66" s="211">
        <v>6.0</v>
      </c>
      <c r="C66" s="212">
        <v>24.0</v>
      </c>
      <c r="D66" s="213">
        <v>2.0</v>
      </c>
      <c r="E66" s="212">
        <v>0.0</v>
      </c>
      <c r="F66" s="201">
        <f t="shared" si="1"/>
        <v>0</v>
      </c>
      <c r="G66" s="212">
        <v>0.17</v>
      </c>
      <c r="H66" s="202">
        <f t="shared" si="2"/>
        <v>1.02</v>
      </c>
      <c r="I66" s="214">
        <v>0.5</v>
      </c>
    </row>
    <row r="67">
      <c r="A67" s="210" t="s">
        <v>301</v>
      </c>
      <c r="B67" s="211">
        <v>6.0</v>
      </c>
      <c r="C67" s="212">
        <v>23.0</v>
      </c>
      <c r="D67" s="213">
        <v>2.0</v>
      </c>
      <c r="E67" s="212">
        <v>0.0</v>
      </c>
      <c r="F67" s="201">
        <f t="shared" si="1"/>
        <v>0</v>
      </c>
      <c r="G67" s="212">
        <v>0.17</v>
      </c>
      <c r="H67" s="202">
        <f t="shared" si="2"/>
        <v>1.02</v>
      </c>
      <c r="I67" s="214">
        <v>0.5</v>
      </c>
    </row>
    <row r="68">
      <c r="A68" s="210" t="s">
        <v>361</v>
      </c>
      <c r="B68" s="211">
        <v>5.0</v>
      </c>
      <c r="C68" s="212">
        <v>20.0</v>
      </c>
      <c r="D68" s="213">
        <v>4.0</v>
      </c>
      <c r="E68" s="212">
        <v>0.0</v>
      </c>
      <c r="F68" s="201">
        <f t="shared" si="1"/>
        <v>0</v>
      </c>
      <c r="G68" s="212">
        <v>0.2</v>
      </c>
      <c r="H68" s="202">
        <f t="shared" si="2"/>
        <v>1</v>
      </c>
      <c r="I68" s="214">
        <v>0.25</v>
      </c>
    </row>
    <row r="69">
      <c r="A69" s="210" t="s">
        <v>388</v>
      </c>
      <c r="B69" s="211">
        <v>4.0</v>
      </c>
      <c r="C69" s="212">
        <v>17.0</v>
      </c>
      <c r="D69" s="213">
        <v>2.0</v>
      </c>
      <c r="E69" s="212">
        <v>0.0</v>
      </c>
      <c r="F69" s="201">
        <f t="shared" si="1"/>
        <v>0</v>
      </c>
      <c r="G69" s="212">
        <v>0.25</v>
      </c>
      <c r="H69" s="202">
        <f t="shared" si="2"/>
        <v>1</v>
      </c>
      <c r="I69" s="214">
        <v>0.5</v>
      </c>
    </row>
    <row r="70">
      <c r="A70" s="210" t="s">
        <v>349</v>
      </c>
      <c r="B70" s="211">
        <v>3.0</v>
      </c>
      <c r="C70" s="212">
        <v>11.0</v>
      </c>
      <c r="D70" s="213">
        <v>4.0</v>
      </c>
      <c r="E70" s="212">
        <v>0.0</v>
      </c>
      <c r="F70" s="201">
        <f t="shared" si="1"/>
        <v>0</v>
      </c>
      <c r="G70" s="212">
        <v>0.33</v>
      </c>
      <c r="H70" s="202">
        <f t="shared" si="2"/>
        <v>0.99</v>
      </c>
      <c r="I70" s="214">
        <v>0.25</v>
      </c>
    </row>
    <row r="71">
      <c r="A71" s="210" t="s">
        <v>278</v>
      </c>
      <c r="B71" s="211">
        <v>3.0</v>
      </c>
      <c r="C71" s="212">
        <v>12.0</v>
      </c>
      <c r="D71" s="213">
        <v>2.0</v>
      </c>
      <c r="E71" s="212">
        <v>0.0</v>
      </c>
      <c r="F71" s="201">
        <f t="shared" si="1"/>
        <v>0</v>
      </c>
      <c r="G71" s="212">
        <v>0.33</v>
      </c>
      <c r="H71" s="202">
        <f t="shared" si="2"/>
        <v>0.99</v>
      </c>
      <c r="I71" s="214">
        <v>0.5</v>
      </c>
    </row>
    <row r="72">
      <c r="A72" s="210" t="s">
        <v>347</v>
      </c>
      <c r="B72" s="211">
        <v>5.0</v>
      </c>
      <c r="C72" s="212">
        <v>19.0</v>
      </c>
      <c r="D72" s="213">
        <v>0.0</v>
      </c>
      <c r="E72" s="212">
        <v>0.0</v>
      </c>
      <c r="F72" s="201">
        <f t="shared" si="1"/>
        <v>0</v>
      </c>
      <c r="G72" s="212">
        <v>0.0</v>
      </c>
      <c r="H72" s="202">
        <f t="shared" si="2"/>
        <v>0</v>
      </c>
      <c r="I72" s="214">
        <v>0.0</v>
      </c>
    </row>
    <row r="73">
      <c r="A73" s="210" t="s">
        <v>334</v>
      </c>
      <c r="B73" s="211">
        <v>6.0</v>
      </c>
      <c r="C73" s="212">
        <v>24.0</v>
      </c>
      <c r="D73" s="213">
        <v>1.0</v>
      </c>
      <c r="E73" s="212">
        <v>0.0</v>
      </c>
      <c r="F73" s="201">
        <f t="shared" si="1"/>
        <v>0</v>
      </c>
      <c r="G73" s="212">
        <v>0.0</v>
      </c>
      <c r="H73" s="202">
        <f t="shared" si="2"/>
        <v>0</v>
      </c>
      <c r="I73" s="214">
        <v>0.0</v>
      </c>
    </row>
    <row r="74">
      <c r="A74" s="210" t="s">
        <v>325</v>
      </c>
      <c r="B74" s="211">
        <v>6.0</v>
      </c>
      <c r="C74" s="212">
        <v>24.0</v>
      </c>
      <c r="D74" s="213">
        <v>0.0</v>
      </c>
      <c r="E74" s="212">
        <v>0.0</v>
      </c>
      <c r="F74" s="201">
        <f t="shared" si="1"/>
        <v>0</v>
      </c>
      <c r="G74" s="212">
        <v>0.0</v>
      </c>
      <c r="H74" s="202">
        <f t="shared" si="2"/>
        <v>0</v>
      </c>
      <c r="I74" s="214">
        <v>0.0</v>
      </c>
    </row>
    <row r="75">
      <c r="A75" s="210" t="s">
        <v>383</v>
      </c>
      <c r="B75" s="211">
        <v>6.0</v>
      </c>
      <c r="C75" s="212">
        <v>24.0</v>
      </c>
      <c r="D75" s="213">
        <v>0.0</v>
      </c>
      <c r="E75" s="212">
        <v>0.0</v>
      </c>
      <c r="F75" s="201">
        <f t="shared" si="1"/>
        <v>0</v>
      </c>
      <c r="G75" s="212">
        <v>0.0</v>
      </c>
      <c r="H75" s="202">
        <f t="shared" si="2"/>
        <v>0</v>
      </c>
      <c r="I75" s="214">
        <v>0.0</v>
      </c>
    </row>
    <row r="76">
      <c r="A76" s="210" t="s">
        <v>294</v>
      </c>
      <c r="B76" s="211">
        <v>6.0</v>
      </c>
      <c r="C76" s="212">
        <v>24.0</v>
      </c>
      <c r="D76" s="213">
        <v>0.0</v>
      </c>
      <c r="E76" s="212">
        <v>0.0</v>
      </c>
      <c r="F76" s="201">
        <f t="shared" si="1"/>
        <v>0</v>
      </c>
      <c r="G76" s="212">
        <v>0.0</v>
      </c>
      <c r="H76" s="202">
        <f t="shared" si="2"/>
        <v>0</v>
      </c>
      <c r="I76" s="214">
        <v>0.0</v>
      </c>
    </row>
    <row r="77">
      <c r="A77" s="210" t="s">
        <v>384</v>
      </c>
      <c r="B77" s="211">
        <v>3.0</v>
      </c>
      <c r="C77" s="212">
        <v>12.0</v>
      </c>
      <c r="D77" s="213">
        <v>0.0</v>
      </c>
      <c r="E77" s="212">
        <v>0.0</v>
      </c>
      <c r="F77" s="201">
        <f t="shared" si="1"/>
        <v>0</v>
      </c>
      <c r="G77" s="212">
        <v>0.0</v>
      </c>
      <c r="H77" s="202">
        <f t="shared" si="2"/>
        <v>0</v>
      </c>
      <c r="I77" s="214">
        <v>0.0</v>
      </c>
    </row>
    <row r="78">
      <c r="A78" s="210" t="s">
        <v>390</v>
      </c>
      <c r="B78" s="211">
        <v>4.0</v>
      </c>
      <c r="C78" s="212">
        <v>16.0</v>
      </c>
      <c r="D78" s="213">
        <v>0.0</v>
      </c>
      <c r="E78" s="212">
        <v>0.0</v>
      </c>
      <c r="F78" s="201">
        <f t="shared" si="1"/>
        <v>0</v>
      </c>
      <c r="G78" s="212">
        <v>0.0</v>
      </c>
      <c r="H78" s="202">
        <f t="shared" si="2"/>
        <v>0</v>
      </c>
      <c r="I78" s="214">
        <v>0.0</v>
      </c>
    </row>
    <row r="79">
      <c r="A79" s="210" t="s">
        <v>351</v>
      </c>
      <c r="B79" s="211">
        <v>6.0</v>
      </c>
      <c r="C79" s="212">
        <v>24.0</v>
      </c>
      <c r="D79" s="213">
        <v>0.0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14">
        <v>0.0</v>
      </c>
    </row>
    <row r="80">
      <c r="A80" s="210" t="s">
        <v>393</v>
      </c>
      <c r="B80" s="211">
        <v>4.0</v>
      </c>
      <c r="C80" s="212">
        <v>16.0</v>
      </c>
      <c r="D80" s="213">
        <v>0.0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14">
        <v>0.0</v>
      </c>
    </row>
    <row r="81">
      <c r="A81" s="210" t="s">
        <v>370</v>
      </c>
      <c r="B81" s="211">
        <v>6.0</v>
      </c>
      <c r="C81" s="212">
        <v>24.0</v>
      </c>
      <c r="D81" s="213">
        <v>0.0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14">
        <v>0.0</v>
      </c>
    </row>
    <row r="82">
      <c r="A82" s="210" t="s">
        <v>288</v>
      </c>
      <c r="B82" s="211">
        <v>6.0</v>
      </c>
      <c r="C82" s="212">
        <v>24.0</v>
      </c>
      <c r="D82" s="213">
        <v>0.0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14">
        <v>0.0</v>
      </c>
    </row>
    <row r="83">
      <c r="A83" s="210" t="s">
        <v>355</v>
      </c>
      <c r="B83" s="211">
        <v>6.0</v>
      </c>
      <c r="C83" s="212">
        <v>24.0</v>
      </c>
      <c r="D83" s="213">
        <v>0.0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14">
        <v>0.0</v>
      </c>
    </row>
    <row r="84">
      <c r="A84" s="210" t="s">
        <v>374</v>
      </c>
      <c r="B84" s="211">
        <v>1.0</v>
      </c>
      <c r="C84" s="212">
        <v>4.0</v>
      </c>
      <c r="D84" s="213">
        <v>0.0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14">
        <v>0.0</v>
      </c>
    </row>
    <row r="85">
      <c r="A85" s="210" t="s">
        <v>337</v>
      </c>
      <c r="B85" s="211">
        <v>3.0</v>
      </c>
      <c r="C85" s="212">
        <v>13.0</v>
      </c>
      <c r="D85" s="213">
        <v>0.0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14">
        <v>0.0</v>
      </c>
    </row>
    <row r="86">
      <c r="A86" s="210" t="s">
        <v>338</v>
      </c>
      <c r="B86" s="211">
        <v>1.0</v>
      </c>
      <c r="C86" s="212">
        <v>4.0</v>
      </c>
      <c r="D86" s="213">
        <v>0.0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14">
        <v>0.0</v>
      </c>
    </row>
    <row r="87">
      <c r="A87" s="210" t="s">
        <v>307</v>
      </c>
      <c r="B87" s="211">
        <v>6.0</v>
      </c>
      <c r="C87" s="212">
        <v>24.0</v>
      </c>
      <c r="D87" s="213">
        <v>0.0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14">
        <v>0.0</v>
      </c>
    </row>
    <row r="88">
      <c r="A88" s="210" t="s">
        <v>280</v>
      </c>
      <c r="B88" s="211">
        <v>6.0</v>
      </c>
      <c r="C88" s="212">
        <v>24.0</v>
      </c>
      <c r="D88" s="213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14">
        <v>0.0</v>
      </c>
    </row>
    <row r="89">
      <c r="A89" s="210" t="s">
        <v>357</v>
      </c>
      <c r="B89" s="211">
        <v>6.0</v>
      </c>
      <c r="C89" s="212">
        <v>24.0</v>
      </c>
      <c r="D89" s="213">
        <v>0.0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14">
        <v>0.0</v>
      </c>
    </row>
    <row r="90">
      <c r="A90" s="210" t="s">
        <v>314</v>
      </c>
      <c r="B90" s="211">
        <v>3.0</v>
      </c>
      <c r="C90" s="212">
        <v>12.0</v>
      </c>
      <c r="D90" s="213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14">
        <v>0.0</v>
      </c>
    </row>
    <row r="91">
      <c r="A91" s="210" t="s">
        <v>324</v>
      </c>
      <c r="B91" s="211">
        <v>6.0</v>
      </c>
      <c r="C91" s="212">
        <v>24.0</v>
      </c>
      <c r="D91" s="213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14">
        <v>0.0</v>
      </c>
    </row>
    <row r="92">
      <c r="A92" s="210" t="s">
        <v>289</v>
      </c>
      <c r="B92" s="211">
        <v>3.0</v>
      </c>
      <c r="C92" s="212">
        <v>12.0</v>
      </c>
      <c r="D92" s="213">
        <v>0.0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14">
        <v>0.0</v>
      </c>
    </row>
    <row r="93">
      <c r="A93" s="210" t="s">
        <v>344</v>
      </c>
      <c r="B93" s="211">
        <v>5.0</v>
      </c>
      <c r="C93" s="212">
        <v>20.0</v>
      </c>
      <c r="D93" s="213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14">
        <v>0.0</v>
      </c>
    </row>
    <row r="94">
      <c r="A94" s="210" t="s">
        <v>284</v>
      </c>
      <c r="B94" s="211">
        <v>6.0</v>
      </c>
      <c r="C94" s="212">
        <v>24.0</v>
      </c>
      <c r="D94" s="213">
        <v>0.0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14">
        <v>0.0</v>
      </c>
    </row>
    <row r="95">
      <c r="A95" s="210" t="s">
        <v>380</v>
      </c>
      <c r="B95" s="211">
        <v>4.0</v>
      </c>
      <c r="C95" s="212">
        <v>16.0</v>
      </c>
      <c r="D95" s="213">
        <v>0.0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14">
        <v>0.0</v>
      </c>
    </row>
    <row r="96">
      <c r="A96" s="210" t="s">
        <v>363</v>
      </c>
      <c r="B96" s="211">
        <v>5.0</v>
      </c>
      <c r="C96" s="212">
        <v>19.0</v>
      </c>
      <c r="D96" s="213">
        <v>0.0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14">
        <v>0.0</v>
      </c>
    </row>
    <row r="97">
      <c r="A97" s="210" t="s">
        <v>292</v>
      </c>
      <c r="B97" s="211">
        <v>6.0</v>
      </c>
      <c r="C97" s="212">
        <v>24.0</v>
      </c>
      <c r="D97" s="213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14">
        <v>0.0</v>
      </c>
    </row>
    <row r="98">
      <c r="A98" s="210" t="s">
        <v>375</v>
      </c>
      <c r="B98" s="211">
        <v>6.0</v>
      </c>
      <c r="C98" s="212">
        <v>24.0</v>
      </c>
      <c r="D98" s="213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14">
        <v>0.0</v>
      </c>
    </row>
    <row r="99">
      <c r="A99" s="210" t="s">
        <v>311</v>
      </c>
      <c r="B99" s="211">
        <v>6.0</v>
      </c>
      <c r="C99" s="212">
        <v>23.0</v>
      </c>
      <c r="D99" s="213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14">
        <v>0.0</v>
      </c>
    </row>
    <row r="100">
      <c r="A100" s="210" t="s">
        <v>320</v>
      </c>
      <c r="B100" s="211">
        <v>5.0</v>
      </c>
      <c r="C100" s="212">
        <v>19.0</v>
      </c>
      <c r="D100" s="213">
        <v>0.0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14">
        <v>0.0</v>
      </c>
    </row>
    <row r="101">
      <c r="A101" s="210" t="s">
        <v>343</v>
      </c>
      <c r="B101" s="211">
        <v>5.0</v>
      </c>
      <c r="C101" s="212">
        <v>20.0</v>
      </c>
      <c r="D101" s="213">
        <v>0.0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14">
        <v>0.0</v>
      </c>
    </row>
    <row r="102">
      <c r="A102" s="210" t="s">
        <v>339</v>
      </c>
      <c r="B102" s="211">
        <v>5.0</v>
      </c>
      <c r="C102" s="212">
        <v>20.0</v>
      </c>
      <c r="D102" s="213">
        <v>0.0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14">
        <v>0.0</v>
      </c>
    </row>
    <row r="103">
      <c r="A103" s="210" t="s">
        <v>387</v>
      </c>
      <c r="B103" s="211">
        <v>4.0</v>
      </c>
      <c r="C103" s="212">
        <v>16.0</v>
      </c>
      <c r="D103" s="213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14">
        <v>0.0</v>
      </c>
    </row>
    <row r="104">
      <c r="A104" s="210" t="s">
        <v>371</v>
      </c>
      <c r="B104" s="211">
        <v>4.0</v>
      </c>
      <c r="C104" s="212">
        <v>15.0</v>
      </c>
      <c r="D104" s="213">
        <v>0.0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14">
        <v>0.0</v>
      </c>
    </row>
    <row r="105">
      <c r="A105" s="210" t="s">
        <v>341</v>
      </c>
      <c r="B105" s="211">
        <v>5.0</v>
      </c>
      <c r="C105" s="212">
        <v>19.0</v>
      </c>
      <c r="D105" s="213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14">
        <v>0.0</v>
      </c>
    </row>
    <row r="106">
      <c r="A106" s="210" t="s">
        <v>308</v>
      </c>
      <c r="B106" s="211">
        <v>5.0</v>
      </c>
      <c r="C106" s="212">
        <v>20.0</v>
      </c>
      <c r="D106" s="213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14">
        <v>0.0</v>
      </c>
    </row>
    <row r="107">
      <c r="A107" s="210" t="s">
        <v>345</v>
      </c>
      <c r="B107" s="211">
        <v>5.0</v>
      </c>
      <c r="C107" s="212">
        <v>20.0</v>
      </c>
      <c r="D107" s="213">
        <v>0.0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14">
        <v>0.0</v>
      </c>
    </row>
    <row r="108">
      <c r="A108" s="210" t="s">
        <v>331</v>
      </c>
      <c r="B108" s="211">
        <v>5.0</v>
      </c>
      <c r="C108" s="212">
        <v>20.0</v>
      </c>
      <c r="D108" s="213">
        <v>0.0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14">
        <v>0.0</v>
      </c>
    </row>
    <row r="109">
      <c r="A109" s="210" t="s">
        <v>353</v>
      </c>
      <c r="B109" s="211">
        <v>5.0</v>
      </c>
      <c r="C109" s="212">
        <v>20.0</v>
      </c>
      <c r="D109" s="213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14">
        <v>0.0</v>
      </c>
    </row>
    <row r="110">
      <c r="A110" s="210" t="s">
        <v>316</v>
      </c>
      <c r="B110" s="211">
        <v>5.0</v>
      </c>
      <c r="C110" s="212">
        <v>20.0</v>
      </c>
      <c r="D110" s="213">
        <v>0.0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14">
        <v>0.0</v>
      </c>
    </row>
    <row r="111">
      <c r="A111" s="210" t="s">
        <v>401</v>
      </c>
      <c r="B111" s="211">
        <v>1.0</v>
      </c>
      <c r="C111" s="212">
        <v>4.0</v>
      </c>
      <c r="D111" s="213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14">
        <v>0.0</v>
      </c>
    </row>
    <row r="112">
      <c r="A112" s="210" t="s">
        <v>317</v>
      </c>
      <c r="B112" s="211">
        <v>5.0</v>
      </c>
      <c r="C112" s="212">
        <v>20.0</v>
      </c>
      <c r="D112" s="213">
        <v>0.0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14">
        <v>0.0</v>
      </c>
    </row>
    <row r="113">
      <c r="A113" s="210" t="s">
        <v>392</v>
      </c>
      <c r="B113" s="211">
        <v>3.0</v>
      </c>
      <c r="C113" s="212">
        <v>12.0</v>
      </c>
      <c r="D113" s="213">
        <v>0.0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14">
        <v>0.0</v>
      </c>
    </row>
    <row r="114">
      <c r="A114" s="210" t="s">
        <v>396</v>
      </c>
      <c r="B114" s="211">
        <v>4.0</v>
      </c>
      <c r="C114" s="212">
        <v>17.0</v>
      </c>
      <c r="D114" s="213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14">
        <v>0.0</v>
      </c>
    </row>
    <row r="115">
      <c r="A115" s="210" t="s">
        <v>398</v>
      </c>
      <c r="B115" s="211">
        <v>3.0</v>
      </c>
      <c r="C115" s="212">
        <v>12.0</v>
      </c>
      <c r="D115" s="213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14">
        <v>0.0</v>
      </c>
    </row>
    <row r="116">
      <c r="A116" s="210" t="s">
        <v>329</v>
      </c>
      <c r="B116" s="211">
        <v>5.0</v>
      </c>
      <c r="C116" s="212">
        <v>20.0</v>
      </c>
      <c r="D116" s="213">
        <v>0.0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14">
        <v>0.0</v>
      </c>
    </row>
    <row r="117">
      <c r="A117" s="210" t="s">
        <v>399</v>
      </c>
      <c r="B117" s="211">
        <v>2.0</v>
      </c>
      <c r="C117" s="212">
        <v>8.0</v>
      </c>
      <c r="D117" s="213">
        <v>0.0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14">
        <v>0.0</v>
      </c>
    </row>
    <row r="118">
      <c r="A118" s="210" t="s">
        <v>372</v>
      </c>
      <c r="B118" s="211">
        <v>3.0</v>
      </c>
      <c r="C118" s="212">
        <v>12.0</v>
      </c>
      <c r="D118" s="213">
        <v>0.0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14">
        <v>0.0</v>
      </c>
    </row>
    <row r="119">
      <c r="A119" s="210" t="s">
        <v>386</v>
      </c>
      <c r="B119" s="211">
        <v>4.0</v>
      </c>
      <c r="C119" s="212">
        <v>16.0</v>
      </c>
      <c r="D119" s="213">
        <v>0.0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14">
        <v>0.0</v>
      </c>
    </row>
    <row r="120">
      <c r="A120" s="210" t="s">
        <v>400</v>
      </c>
      <c r="B120" s="211">
        <v>2.0</v>
      </c>
      <c r="C120" s="212">
        <v>8.0</v>
      </c>
      <c r="D120" s="213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14">
        <v>0.0</v>
      </c>
    </row>
    <row r="121">
      <c r="A121" s="210" t="s">
        <v>340</v>
      </c>
      <c r="B121" s="211">
        <v>1.0</v>
      </c>
      <c r="C121" s="212">
        <v>4.0</v>
      </c>
      <c r="D121" s="213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14">
        <v>0.0</v>
      </c>
    </row>
    <row r="122">
      <c r="A122" s="210" t="s">
        <v>305</v>
      </c>
      <c r="B122" s="211">
        <v>1.0</v>
      </c>
      <c r="C122" s="212">
        <v>4.0</v>
      </c>
      <c r="D122" s="213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14">
        <v>0.0</v>
      </c>
    </row>
    <row r="123">
      <c r="A123" s="210" t="s">
        <v>295</v>
      </c>
      <c r="B123" s="211">
        <v>1.0</v>
      </c>
      <c r="C123" s="212">
        <v>4.0</v>
      </c>
      <c r="D123" s="213">
        <v>0.0</v>
      </c>
      <c r="E123" s="212">
        <v>0.0</v>
      </c>
      <c r="F123" s="201">
        <f t="shared" si="1"/>
        <v>0</v>
      </c>
      <c r="G123" s="212">
        <v>0.0</v>
      </c>
      <c r="H123" s="202">
        <f t="shared" si="2"/>
        <v>0</v>
      </c>
      <c r="I123" s="214">
        <v>0.0</v>
      </c>
    </row>
    <row r="124">
      <c r="A124" s="210" t="s">
        <v>366</v>
      </c>
      <c r="B124" s="211">
        <v>6.0</v>
      </c>
      <c r="C124" s="212">
        <v>24.0</v>
      </c>
      <c r="D124" s="213">
        <v>1.0</v>
      </c>
      <c r="E124" s="212">
        <v>-0.67</v>
      </c>
      <c r="F124" s="201">
        <f t="shared" si="1"/>
        <v>-0.67</v>
      </c>
      <c r="G124" s="212">
        <v>0.17</v>
      </c>
      <c r="H124" s="202">
        <f t="shared" si="2"/>
        <v>1.02</v>
      </c>
      <c r="I124" s="214">
        <v>0.0</v>
      </c>
    </row>
    <row r="125">
      <c r="A125" s="210" t="s">
        <v>296</v>
      </c>
      <c r="B125" s="211">
        <v>6.0</v>
      </c>
      <c r="C125" s="212">
        <v>24.0</v>
      </c>
      <c r="D125" s="213">
        <v>1.0</v>
      </c>
      <c r="E125" s="212">
        <v>-0.67</v>
      </c>
      <c r="F125" s="201">
        <f t="shared" si="1"/>
        <v>-0.67</v>
      </c>
      <c r="G125" s="212">
        <v>0.17</v>
      </c>
      <c r="H125" s="202">
        <f t="shared" si="2"/>
        <v>1.02</v>
      </c>
      <c r="I125" s="214">
        <v>0.0</v>
      </c>
    </row>
    <row r="126">
      <c r="A126" s="210" t="s">
        <v>365</v>
      </c>
      <c r="B126" s="211">
        <v>6.0</v>
      </c>
      <c r="C126" s="212">
        <v>24.0</v>
      </c>
      <c r="D126" s="213">
        <v>1.0</v>
      </c>
      <c r="E126" s="212">
        <v>-0.67</v>
      </c>
      <c r="F126" s="201">
        <f t="shared" si="1"/>
        <v>-0.67</v>
      </c>
      <c r="G126" s="212">
        <v>0.17</v>
      </c>
      <c r="H126" s="202">
        <f t="shared" si="2"/>
        <v>1.02</v>
      </c>
      <c r="I126" s="214">
        <v>0.0</v>
      </c>
    </row>
    <row r="127">
      <c r="A127" s="210" t="s">
        <v>367</v>
      </c>
      <c r="B127" s="211">
        <v>4.0</v>
      </c>
      <c r="C127" s="212">
        <v>16.0</v>
      </c>
      <c r="D127" s="213">
        <v>1.0</v>
      </c>
      <c r="E127" s="212">
        <v>-1.0</v>
      </c>
      <c r="F127" s="201">
        <f t="shared" si="1"/>
        <v>-1</v>
      </c>
      <c r="G127" s="212">
        <v>0.25</v>
      </c>
      <c r="H127" s="202">
        <f t="shared" si="2"/>
        <v>1</v>
      </c>
      <c r="I127" s="214">
        <v>0.0</v>
      </c>
    </row>
    <row r="128">
      <c r="A128" s="210" t="s">
        <v>389</v>
      </c>
      <c r="B128" s="211">
        <v>4.0</v>
      </c>
      <c r="C128" s="212">
        <v>16.0</v>
      </c>
      <c r="D128" s="213">
        <v>1.0</v>
      </c>
      <c r="E128" s="212">
        <v>-1.0</v>
      </c>
      <c r="F128" s="201">
        <f t="shared" si="1"/>
        <v>-1</v>
      </c>
      <c r="G128" s="212">
        <v>0.25</v>
      </c>
      <c r="H128" s="202">
        <f t="shared" si="2"/>
        <v>1</v>
      </c>
      <c r="I128" s="214">
        <v>0.0</v>
      </c>
    </row>
    <row r="129">
      <c r="A129" s="210" t="s">
        <v>309</v>
      </c>
      <c r="B129" s="211">
        <v>2.0</v>
      </c>
      <c r="C129" s="212">
        <v>8.0</v>
      </c>
      <c r="D129" s="213">
        <v>1.0</v>
      </c>
      <c r="E129" s="212">
        <v>-2.0</v>
      </c>
      <c r="F129" s="201">
        <f t="shared" si="1"/>
        <v>-2</v>
      </c>
      <c r="G129" s="212">
        <v>0.5</v>
      </c>
      <c r="H129" s="202">
        <f t="shared" si="2"/>
        <v>1</v>
      </c>
      <c r="I129" s="214">
        <v>0.0</v>
      </c>
    </row>
    <row r="130">
      <c r="A130" s="210" t="s">
        <v>397</v>
      </c>
      <c r="B130" s="211">
        <v>2.0</v>
      </c>
      <c r="C130" s="212">
        <v>8.0</v>
      </c>
      <c r="D130" s="213">
        <v>1.0</v>
      </c>
      <c r="E130" s="212">
        <v>-2.0</v>
      </c>
      <c r="F130" s="201">
        <f t="shared" si="1"/>
        <v>-2</v>
      </c>
      <c r="G130" s="212">
        <v>0.5</v>
      </c>
      <c r="H130" s="202">
        <f t="shared" si="2"/>
        <v>1</v>
      </c>
      <c r="I130" s="214">
        <v>0.0</v>
      </c>
    </row>
    <row r="131">
      <c r="A131" s="210" t="s">
        <v>395</v>
      </c>
      <c r="B131" s="211">
        <v>5.0</v>
      </c>
      <c r="C131" s="212">
        <v>20.0</v>
      </c>
      <c r="D131" s="213">
        <v>9.0</v>
      </c>
      <c r="E131" s="212">
        <v>-4.0</v>
      </c>
      <c r="F131" s="201">
        <f t="shared" si="1"/>
        <v>-4</v>
      </c>
      <c r="G131" s="212">
        <v>1.4</v>
      </c>
      <c r="H131" s="202">
        <f t="shared" si="2"/>
        <v>7</v>
      </c>
      <c r="I131" s="214">
        <v>0.222</v>
      </c>
    </row>
    <row r="132">
      <c r="A132" s="210" t="s">
        <v>402</v>
      </c>
      <c r="B132" s="211">
        <v>1.0</v>
      </c>
      <c r="C132" s="212">
        <v>4.0</v>
      </c>
      <c r="D132" s="213">
        <v>1.0</v>
      </c>
      <c r="E132" s="212">
        <v>-4.0</v>
      </c>
      <c r="F132" s="201">
        <f t="shared" si="1"/>
        <v>-4</v>
      </c>
      <c r="G132" s="212">
        <v>1.0</v>
      </c>
      <c r="H132" s="202">
        <f t="shared" si="2"/>
        <v>1</v>
      </c>
      <c r="I132" s="214">
        <v>0.0</v>
      </c>
    </row>
    <row r="133">
      <c r="A133" s="210"/>
      <c r="B133" s="211"/>
      <c r="C133" s="212"/>
      <c r="D133" s="213"/>
      <c r="E133" s="212"/>
      <c r="F133" s="201"/>
      <c r="G133" s="212"/>
      <c r="H133" s="202"/>
      <c r="I133" s="214"/>
    </row>
    <row r="134">
      <c r="A134" s="210"/>
      <c r="B134" s="211"/>
      <c r="C134" s="212"/>
      <c r="D134" s="213"/>
      <c r="E134" s="212"/>
      <c r="F134" s="201"/>
      <c r="G134" s="212"/>
      <c r="H134" s="202"/>
      <c r="I134" s="214"/>
    </row>
    <row r="135">
      <c r="A135" s="210"/>
      <c r="B135" s="211"/>
      <c r="C135" s="212"/>
      <c r="D135" s="213"/>
      <c r="E135" s="212"/>
      <c r="F135" s="201"/>
      <c r="G135" s="212"/>
      <c r="H135" s="202"/>
      <c r="I135" s="214"/>
    </row>
    <row r="136">
      <c r="A136" s="210"/>
      <c r="B136" s="211"/>
      <c r="C136" s="212"/>
      <c r="D136" s="213"/>
      <c r="E136" s="212"/>
      <c r="F136" s="201"/>
      <c r="G136" s="212"/>
      <c r="H136" s="202"/>
      <c r="I136" s="214"/>
    </row>
    <row r="137">
      <c r="A137" s="210"/>
      <c r="B137" s="211"/>
      <c r="C137" s="212"/>
      <c r="D137" s="213"/>
      <c r="E137" s="212"/>
      <c r="F137" s="201"/>
      <c r="G137" s="212"/>
      <c r="H137" s="202"/>
      <c r="I137" s="214"/>
    </row>
    <row r="138">
      <c r="A138" s="210"/>
      <c r="B138" s="211"/>
      <c r="C138" s="212"/>
      <c r="D138" s="213"/>
      <c r="E138" s="212"/>
      <c r="F138" s="201"/>
      <c r="G138" s="212"/>
      <c r="H138" s="202"/>
      <c r="I138" s="214"/>
    </row>
    <row r="139">
      <c r="A139" s="210"/>
      <c r="B139" s="211"/>
      <c r="C139" s="212"/>
      <c r="D139" s="213"/>
      <c r="E139" s="212"/>
      <c r="F139" s="201"/>
      <c r="G139" s="212"/>
      <c r="H139" s="202"/>
      <c r="I139" s="214"/>
    </row>
  </sheetData>
  <hyperlinks>
    <hyperlink display="Catstats Hub" location="'Catstats Hub'!A1" ref="A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63"/>
    <col customWidth="1" min="2" max="2" width="15.63"/>
    <col customWidth="1" min="4" max="4" width="14.38"/>
  </cols>
  <sheetData>
    <row r="1">
      <c r="A1" s="193" t="s">
        <v>263</v>
      </c>
      <c r="B1" s="215" t="s">
        <v>264</v>
      </c>
      <c r="C1" s="207" t="s">
        <v>265</v>
      </c>
      <c r="D1" s="215" t="s">
        <v>266</v>
      </c>
      <c r="E1" s="207" t="s">
        <v>267</v>
      </c>
      <c r="F1" s="196" t="s">
        <v>268</v>
      </c>
      <c r="G1" s="207" t="s">
        <v>269</v>
      </c>
      <c r="H1" s="216" t="s">
        <v>270</v>
      </c>
      <c r="I1" s="217" t="s">
        <v>271</v>
      </c>
    </row>
    <row r="2">
      <c r="A2" s="210" t="s">
        <v>294</v>
      </c>
      <c r="B2" s="211">
        <v>6.0</v>
      </c>
      <c r="C2" s="212">
        <v>24.0</v>
      </c>
      <c r="D2" s="211">
        <v>17.0</v>
      </c>
      <c r="E2" s="212">
        <v>11.33</v>
      </c>
      <c r="F2" s="201">
        <f t="shared" ref="F2:F132" si="1">E2*B2*4/C2</f>
        <v>11.33</v>
      </c>
      <c r="G2" s="212">
        <v>0.0</v>
      </c>
      <c r="H2" s="202">
        <f t="shared" ref="H2:H132" si="2">G2*B2</f>
        <v>0</v>
      </c>
      <c r="I2" s="214">
        <v>1.0</v>
      </c>
    </row>
    <row r="3">
      <c r="A3" s="210" t="s">
        <v>277</v>
      </c>
      <c r="B3" s="211">
        <v>6.0</v>
      </c>
      <c r="C3" s="212">
        <v>24.0</v>
      </c>
      <c r="D3" s="211">
        <v>16.0</v>
      </c>
      <c r="E3" s="212">
        <v>8.0</v>
      </c>
      <c r="F3" s="201">
        <f t="shared" si="1"/>
        <v>8</v>
      </c>
      <c r="G3" s="212">
        <v>0.33</v>
      </c>
      <c r="H3" s="202">
        <f t="shared" si="2"/>
        <v>1.98</v>
      </c>
      <c r="I3" s="214">
        <v>0.875</v>
      </c>
    </row>
    <row r="4">
      <c r="A4" s="210" t="s">
        <v>313</v>
      </c>
      <c r="B4" s="211">
        <v>6.0</v>
      </c>
      <c r="C4" s="212">
        <v>24.0</v>
      </c>
      <c r="D4" s="211">
        <v>14.0</v>
      </c>
      <c r="E4" s="212">
        <v>8.0</v>
      </c>
      <c r="F4" s="201">
        <f t="shared" si="1"/>
        <v>8</v>
      </c>
      <c r="G4" s="212">
        <v>0.17</v>
      </c>
      <c r="H4" s="202">
        <f t="shared" si="2"/>
        <v>1.02</v>
      </c>
      <c r="I4" s="214">
        <v>0.929</v>
      </c>
    </row>
    <row r="5">
      <c r="A5" s="210" t="s">
        <v>275</v>
      </c>
      <c r="B5" s="211">
        <v>6.0</v>
      </c>
      <c r="C5" s="212">
        <v>24.0</v>
      </c>
      <c r="D5" s="211">
        <v>18.0</v>
      </c>
      <c r="E5" s="212">
        <v>7.33</v>
      </c>
      <c r="F5" s="201">
        <f t="shared" si="1"/>
        <v>7.33</v>
      </c>
      <c r="G5" s="212">
        <v>0.5</v>
      </c>
      <c r="H5" s="202">
        <f t="shared" si="2"/>
        <v>3</v>
      </c>
      <c r="I5" s="214">
        <v>0.778</v>
      </c>
    </row>
    <row r="6">
      <c r="A6" s="210" t="s">
        <v>311</v>
      </c>
      <c r="B6" s="211">
        <v>6.0</v>
      </c>
      <c r="C6" s="212">
        <v>24.0</v>
      </c>
      <c r="D6" s="211">
        <v>11.0</v>
      </c>
      <c r="E6" s="212">
        <v>7.33</v>
      </c>
      <c r="F6" s="201">
        <f t="shared" si="1"/>
        <v>7.33</v>
      </c>
      <c r="G6" s="212">
        <v>0.0</v>
      </c>
      <c r="H6" s="202">
        <f t="shared" si="2"/>
        <v>0</v>
      </c>
      <c r="I6" s="214">
        <v>1.0</v>
      </c>
    </row>
    <row r="7">
      <c r="A7" s="210" t="s">
        <v>291</v>
      </c>
      <c r="B7" s="211">
        <v>6.0</v>
      </c>
      <c r="C7" s="212">
        <v>24.0</v>
      </c>
      <c r="D7" s="211">
        <v>15.0</v>
      </c>
      <c r="E7" s="212">
        <v>6.67</v>
      </c>
      <c r="F7" s="201">
        <f t="shared" si="1"/>
        <v>6.67</v>
      </c>
      <c r="G7" s="212">
        <v>0.33</v>
      </c>
      <c r="H7" s="202">
        <f t="shared" si="2"/>
        <v>1.98</v>
      </c>
      <c r="I7" s="214">
        <v>0.8</v>
      </c>
    </row>
    <row r="8">
      <c r="A8" s="210" t="s">
        <v>276</v>
      </c>
      <c r="B8" s="211">
        <v>6.0</v>
      </c>
      <c r="C8" s="212">
        <v>24.0</v>
      </c>
      <c r="D8" s="211">
        <v>13.0</v>
      </c>
      <c r="E8" s="212">
        <v>6.67</v>
      </c>
      <c r="F8" s="201">
        <f t="shared" si="1"/>
        <v>6.67</v>
      </c>
      <c r="G8" s="212">
        <v>0.17</v>
      </c>
      <c r="H8" s="202">
        <f t="shared" si="2"/>
        <v>1.02</v>
      </c>
      <c r="I8" s="214">
        <v>0.846</v>
      </c>
    </row>
    <row r="9">
      <c r="A9" s="210" t="s">
        <v>302</v>
      </c>
      <c r="B9" s="211">
        <v>6.0</v>
      </c>
      <c r="C9" s="212">
        <v>24.0</v>
      </c>
      <c r="D9" s="211">
        <v>11.0</v>
      </c>
      <c r="E9" s="212">
        <v>6.67</v>
      </c>
      <c r="F9" s="201">
        <f t="shared" si="1"/>
        <v>6.67</v>
      </c>
      <c r="G9" s="212">
        <v>0.0</v>
      </c>
      <c r="H9" s="202">
        <f t="shared" si="2"/>
        <v>0</v>
      </c>
      <c r="I9" s="214">
        <v>0.909</v>
      </c>
    </row>
    <row r="10">
      <c r="A10" s="210" t="s">
        <v>279</v>
      </c>
      <c r="B10" s="211">
        <v>6.0</v>
      </c>
      <c r="C10" s="212">
        <v>24.0</v>
      </c>
      <c r="D10" s="211">
        <v>18.0</v>
      </c>
      <c r="E10" s="212">
        <v>6.0</v>
      </c>
      <c r="F10" s="201">
        <f t="shared" si="1"/>
        <v>6</v>
      </c>
      <c r="G10" s="212">
        <v>0.5</v>
      </c>
      <c r="H10" s="202">
        <f t="shared" si="2"/>
        <v>3</v>
      </c>
      <c r="I10" s="214">
        <v>0.667</v>
      </c>
    </row>
    <row r="11">
      <c r="A11" s="210" t="s">
        <v>309</v>
      </c>
      <c r="B11" s="211">
        <v>2.0</v>
      </c>
      <c r="C11" s="212">
        <v>8.0</v>
      </c>
      <c r="D11" s="211">
        <v>4.0</v>
      </c>
      <c r="E11" s="212">
        <v>6.0</v>
      </c>
      <c r="F11" s="201">
        <f t="shared" si="1"/>
        <v>6</v>
      </c>
      <c r="G11" s="212">
        <v>0.0</v>
      </c>
      <c r="H11" s="202">
        <f t="shared" si="2"/>
        <v>0</v>
      </c>
      <c r="I11" s="214">
        <v>0.75</v>
      </c>
    </row>
    <row r="12">
      <c r="A12" s="210" t="s">
        <v>297</v>
      </c>
      <c r="B12" s="211">
        <v>5.0</v>
      </c>
      <c r="C12" s="212">
        <v>20.0</v>
      </c>
      <c r="D12" s="211">
        <v>11.0</v>
      </c>
      <c r="E12" s="212">
        <v>5.6</v>
      </c>
      <c r="F12" s="201">
        <f t="shared" si="1"/>
        <v>5.6</v>
      </c>
      <c r="G12" s="212">
        <v>0.4</v>
      </c>
      <c r="H12" s="202">
        <f t="shared" si="2"/>
        <v>2</v>
      </c>
      <c r="I12" s="214">
        <v>0.818</v>
      </c>
    </row>
    <row r="13">
      <c r="A13" s="210" t="s">
        <v>341</v>
      </c>
      <c r="B13" s="211">
        <v>5.0</v>
      </c>
      <c r="C13" s="212">
        <v>20.0</v>
      </c>
      <c r="D13" s="211">
        <v>10.0</v>
      </c>
      <c r="E13" s="212">
        <v>5.6</v>
      </c>
      <c r="F13" s="201">
        <f t="shared" si="1"/>
        <v>5.6</v>
      </c>
      <c r="G13" s="212">
        <v>0.2</v>
      </c>
      <c r="H13" s="202">
        <f t="shared" si="2"/>
        <v>1</v>
      </c>
      <c r="I13" s="214">
        <v>0.8</v>
      </c>
    </row>
    <row r="14">
      <c r="A14" s="210" t="s">
        <v>278</v>
      </c>
      <c r="B14" s="211">
        <v>3.0</v>
      </c>
      <c r="C14" s="212">
        <v>12.0</v>
      </c>
      <c r="D14" s="211">
        <v>6.0</v>
      </c>
      <c r="E14" s="212">
        <v>5.33</v>
      </c>
      <c r="F14" s="201">
        <f t="shared" si="1"/>
        <v>5.33</v>
      </c>
      <c r="G14" s="212">
        <v>0.33</v>
      </c>
      <c r="H14" s="202">
        <f t="shared" si="2"/>
        <v>0.99</v>
      </c>
      <c r="I14" s="214">
        <v>0.833</v>
      </c>
    </row>
    <row r="15">
      <c r="A15" s="210" t="s">
        <v>342</v>
      </c>
      <c r="B15" s="211">
        <v>6.0</v>
      </c>
      <c r="C15" s="212">
        <v>24.0</v>
      </c>
      <c r="D15" s="211">
        <v>10.0</v>
      </c>
      <c r="E15" s="212">
        <v>5.33</v>
      </c>
      <c r="F15" s="201">
        <f t="shared" si="1"/>
        <v>5.33</v>
      </c>
      <c r="G15" s="212">
        <v>0.0</v>
      </c>
      <c r="H15" s="202">
        <f t="shared" si="2"/>
        <v>0</v>
      </c>
      <c r="I15" s="214">
        <v>0.8</v>
      </c>
    </row>
    <row r="16">
      <c r="A16" s="210" t="s">
        <v>286</v>
      </c>
      <c r="B16" s="211">
        <v>6.0</v>
      </c>
      <c r="C16" s="212">
        <v>24.0</v>
      </c>
      <c r="D16" s="211">
        <v>8.0</v>
      </c>
      <c r="E16" s="212">
        <v>5.33</v>
      </c>
      <c r="F16" s="201">
        <f t="shared" si="1"/>
        <v>5.33</v>
      </c>
      <c r="G16" s="212">
        <v>0.0</v>
      </c>
      <c r="H16" s="202">
        <f t="shared" si="2"/>
        <v>0</v>
      </c>
      <c r="I16" s="214">
        <v>1.0</v>
      </c>
    </row>
    <row r="17">
      <c r="A17" s="210" t="s">
        <v>337</v>
      </c>
      <c r="B17" s="211">
        <v>3.0</v>
      </c>
      <c r="C17" s="212">
        <v>12.0</v>
      </c>
      <c r="D17" s="211">
        <v>4.0</v>
      </c>
      <c r="E17" s="212">
        <v>5.33</v>
      </c>
      <c r="F17" s="201">
        <f t="shared" si="1"/>
        <v>5.33</v>
      </c>
      <c r="G17" s="212">
        <v>0.0</v>
      </c>
      <c r="H17" s="202">
        <f t="shared" si="2"/>
        <v>0</v>
      </c>
      <c r="I17" s="214">
        <v>1.0</v>
      </c>
    </row>
    <row r="18">
      <c r="A18" s="210" t="s">
        <v>314</v>
      </c>
      <c r="B18" s="211">
        <v>3.0</v>
      </c>
      <c r="C18" s="212">
        <v>12.0</v>
      </c>
      <c r="D18" s="211">
        <v>4.0</v>
      </c>
      <c r="E18" s="212">
        <v>5.33</v>
      </c>
      <c r="F18" s="201">
        <f t="shared" si="1"/>
        <v>5.33</v>
      </c>
      <c r="G18" s="212">
        <v>0.0</v>
      </c>
      <c r="H18" s="202">
        <f t="shared" si="2"/>
        <v>0</v>
      </c>
      <c r="I18" s="214">
        <v>1.0</v>
      </c>
    </row>
    <row r="19">
      <c r="A19" s="210" t="s">
        <v>350</v>
      </c>
      <c r="B19" s="211">
        <v>6.0</v>
      </c>
      <c r="C19" s="212">
        <v>24.0</v>
      </c>
      <c r="D19" s="211">
        <v>10.0</v>
      </c>
      <c r="E19" s="212">
        <v>4.67</v>
      </c>
      <c r="F19" s="201">
        <f t="shared" si="1"/>
        <v>4.67</v>
      </c>
      <c r="G19" s="212">
        <v>0.0</v>
      </c>
      <c r="H19" s="202">
        <f t="shared" si="2"/>
        <v>0</v>
      </c>
      <c r="I19" s="214">
        <v>0.7</v>
      </c>
    </row>
    <row r="20">
      <c r="A20" s="210" t="s">
        <v>293</v>
      </c>
      <c r="B20" s="211">
        <v>6.0</v>
      </c>
      <c r="C20" s="212">
        <v>24.0</v>
      </c>
      <c r="D20" s="211">
        <v>12.0</v>
      </c>
      <c r="E20" s="212">
        <v>4.0</v>
      </c>
      <c r="F20" s="201">
        <f t="shared" si="1"/>
        <v>4</v>
      </c>
      <c r="G20" s="212">
        <v>0.5</v>
      </c>
      <c r="H20" s="202">
        <f t="shared" si="2"/>
        <v>3</v>
      </c>
      <c r="I20" s="214">
        <v>0.75</v>
      </c>
    </row>
    <row r="21">
      <c r="A21" s="210" t="s">
        <v>347</v>
      </c>
      <c r="B21" s="211">
        <v>5.0</v>
      </c>
      <c r="C21" s="212">
        <v>20.0</v>
      </c>
      <c r="D21" s="211">
        <v>5.0</v>
      </c>
      <c r="E21" s="212">
        <v>4.0</v>
      </c>
      <c r="F21" s="201">
        <f t="shared" si="1"/>
        <v>4</v>
      </c>
      <c r="G21" s="212">
        <v>0.0</v>
      </c>
      <c r="H21" s="202">
        <f t="shared" si="2"/>
        <v>0</v>
      </c>
      <c r="I21" s="214">
        <v>1.0</v>
      </c>
    </row>
    <row r="22">
      <c r="A22" s="210" t="s">
        <v>331</v>
      </c>
      <c r="B22" s="211">
        <v>5.0</v>
      </c>
      <c r="C22" s="212">
        <v>20.0</v>
      </c>
      <c r="D22" s="211">
        <v>5.0</v>
      </c>
      <c r="E22" s="212">
        <v>4.0</v>
      </c>
      <c r="F22" s="201">
        <f t="shared" si="1"/>
        <v>4</v>
      </c>
      <c r="G22" s="212">
        <v>0.0</v>
      </c>
      <c r="H22" s="202">
        <f t="shared" si="2"/>
        <v>0</v>
      </c>
      <c r="I22" s="214">
        <v>1.0</v>
      </c>
    </row>
    <row r="23">
      <c r="A23" s="210" t="s">
        <v>305</v>
      </c>
      <c r="B23" s="211">
        <v>1.0</v>
      </c>
      <c r="C23" s="212">
        <v>4.0</v>
      </c>
      <c r="D23" s="211">
        <v>1.0</v>
      </c>
      <c r="E23" s="212">
        <v>4.0</v>
      </c>
      <c r="F23" s="201">
        <f t="shared" si="1"/>
        <v>4</v>
      </c>
      <c r="G23" s="212">
        <v>0.0</v>
      </c>
      <c r="H23" s="202">
        <f t="shared" si="2"/>
        <v>0</v>
      </c>
      <c r="I23" s="214">
        <v>1.0</v>
      </c>
    </row>
    <row r="24">
      <c r="A24" s="210" t="s">
        <v>295</v>
      </c>
      <c r="B24" s="211">
        <v>1.0</v>
      </c>
      <c r="C24" s="212">
        <v>4.0</v>
      </c>
      <c r="D24" s="211">
        <v>1.0</v>
      </c>
      <c r="E24" s="212">
        <v>4.0</v>
      </c>
      <c r="F24" s="201">
        <f t="shared" si="1"/>
        <v>4</v>
      </c>
      <c r="G24" s="212">
        <v>0.0</v>
      </c>
      <c r="H24" s="202">
        <f t="shared" si="2"/>
        <v>0</v>
      </c>
      <c r="I24" s="214">
        <v>1.0</v>
      </c>
    </row>
    <row r="25">
      <c r="A25" s="210" t="s">
        <v>357</v>
      </c>
      <c r="B25" s="211">
        <v>6.0</v>
      </c>
      <c r="C25" s="212">
        <v>24.0</v>
      </c>
      <c r="D25" s="211">
        <v>12.0</v>
      </c>
      <c r="E25" s="212">
        <v>3.33</v>
      </c>
      <c r="F25" s="201">
        <f t="shared" si="1"/>
        <v>3.33</v>
      </c>
      <c r="G25" s="212">
        <v>0.33</v>
      </c>
      <c r="H25" s="202">
        <f t="shared" si="2"/>
        <v>1.98</v>
      </c>
      <c r="I25" s="214">
        <v>0.583</v>
      </c>
    </row>
    <row r="26">
      <c r="A26" s="210" t="s">
        <v>375</v>
      </c>
      <c r="B26" s="211">
        <v>6.0</v>
      </c>
      <c r="C26" s="212">
        <v>24.0</v>
      </c>
      <c r="D26" s="211">
        <v>9.0</v>
      </c>
      <c r="E26" s="212">
        <v>3.33</v>
      </c>
      <c r="F26" s="201">
        <f t="shared" si="1"/>
        <v>3.33</v>
      </c>
      <c r="G26" s="212">
        <v>0.0</v>
      </c>
      <c r="H26" s="202">
        <f t="shared" si="2"/>
        <v>0</v>
      </c>
      <c r="I26" s="214">
        <v>0.556</v>
      </c>
    </row>
    <row r="27">
      <c r="A27" s="210" t="s">
        <v>285</v>
      </c>
      <c r="B27" s="211">
        <v>6.0</v>
      </c>
      <c r="C27" s="212">
        <v>24.0</v>
      </c>
      <c r="D27" s="211">
        <v>5.0</v>
      </c>
      <c r="E27" s="212">
        <v>3.33</v>
      </c>
      <c r="F27" s="201">
        <f t="shared" si="1"/>
        <v>3.33</v>
      </c>
      <c r="G27" s="212">
        <v>0.0</v>
      </c>
      <c r="H27" s="202">
        <f t="shared" si="2"/>
        <v>0</v>
      </c>
      <c r="I27" s="214">
        <v>1.0</v>
      </c>
    </row>
    <row r="28">
      <c r="A28" s="210" t="s">
        <v>287</v>
      </c>
      <c r="B28" s="211">
        <v>5.0</v>
      </c>
      <c r="C28" s="212">
        <v>20.0</v>
      </c>
      <c r="D28" s="211">
        <v>6.0</v>
      </c>
      <c r="E28" s="212">
        <v>3.2</v>
      </c>
      <c r="F28" s="201">
        <f t="shared" si="1"/>
        <v>3.2</v>
      </c>
      <c r="G28" s="212">
        <v>0.0</v>
      </c>
      <c r="H28" s="202">
        <f t="shared" si="2"/>
        <v>0</v>
      </c>
      <c r="I28" s="214">
        <v>0.667</v>
      </c>
    </row>
    <row r="29">
      <c r="A29" s="210" t="s">
        <v>321</v>
      </c>
      <c r="B29" s="211">
        <v>5.0</v>
      </c>
      <c r="C29" s="212">
        <v>20.0</v>
      </c>
      <c r="D29" s="211">
        <v>4.0</v>
      </c>
      <c r="E29" s="212">
        <v>3.2</v>
      </c>
      <c r="F29" s="201">
        <f t="shared" si="1"/>
        <v>3.2</v>
      </c>
      <c r="G29" s="212">
        <v>0.0</v>
      </c>
      <c r="H29" s="202">
        <f t="shared" si="2"/>
        <v>0</v>
      </c>
      <c r="I29" s="214">
        <v>1.0</v>
      </c>
    </row>
    <row r="30">
      <c r="A30" s="210" t="s">
        <v>393</v>
      </c>
      <c r="B30" s="211">
        <v>4.0</v>
      </c>
      <c r="C30" s="212">
        <v>16.0</v>
      </c>
      <c r="D30" s="211">
        <v>8.0</v>
      </c>
      <c r="E30" s="212">
        <v>3.0</v>
      </c>
      <c r="F30" s="201">
        <f t="shared" si="1"/>
        <v>3</v>
      </c>
      <c r="G30" s="212">
        <v>0.25</v>
      </c>
      <c r="H30" s="202">
        <f t="shared" si="2"/>
        <v>1</v>
      </c>
      <c r="I30" s="214">
        <v>0.5</v>
      </c>
    </row>
    <row r="31">
      <c r="A31" s="210" t="s">
        <v>299</v>
      </c>
      <c r="B31" s="211">
        <v>6.0</v>
      </c>
      <c r="C31" s="212">
        <v>24.0</v>
      </c>
      <c r="D31" s="211">
        <v>11.0</v>
      </c>
      <c r="E31" s="212">
        <v>2.67</v>
      </c>
      <c r="F31" s="201">
        <f t="shared" si="1"/>
        <v>2.67</v>
      </c>
      <c r="G31" s="212">
        <v>0.5</v>
      </c>
      <c r="H31" s="202">
        <f t="shared" si="2"/>
        <v>3</v>
      </c>
      <c r="I31" s="214">
        <v>0.636</v>
      </c>
    </row>
    <row r="32">
      <c r="A32" s="210" t="s">
        <v>272</v>
      </c>
      <c r="B32" s="211">
        <v>6.0</v>
      </c>
      <c r="C32" s="212">
        <v>24.0</v>
      </c>
      <c r="D32" s="211">
        <v>10.0</v>
      </c>
      <c r="E32" s="212">
        <v>2.67</v>
      </c>
      <c r="F32" s="201">
        <f t="shared" si="1"/>
        <v>2.67</v>
      </c>
      <c r="G32" s="212">
        <v>0.5</v>
      </c>
      <c r="H32" s="202">
        <f t="shared" si="2"/>
        <v>3</v>
      </c>
      <c r="I32" s="214">
        <v>0.7</v>
      </c>
    </row>
    <row r="33">
      <c r="A33" s="210" t="s">
        <v>274</v>
      </c>
      <c r="B33" s="211">
        <v>6.0</v>
      </c>
      <c r="C33" s="212">
        <v>24.0</v>
      </c>
      <c r="D33" s="211">
        <v>7.0</v>
      </c>
      <c r="E33" s="212">
        <v>2.67</v>
      </c>
      <c r="F33" s="201">
        <f t="shared" si="1"/>
        <v>2.67</v>
      </c>
      <c r="G33" s="212">
        <v>0.17</v>
      </c>
      <c r="H33" s="202">
        <f t="shared" si="2"/>
        <v>1.02</v>
      </c>
      <c r="I33" s="214">
        <v>0.714</v>
      </c>
    </row>
    <row r="34">
      <c r="A34" s="210" t="s">
        <v>292</v>
      </c>
      <c r="B34" s="211">
        <v>6.0</v>
      </c>
      <c r="C34" s="212">
        <v>24.0</v>
      </c>
      <c r="D34" s="211">
        <v>5.0</v>
      </c>
      <c r="E34" s="212">
        <v>2.67</v>
      </c>
      <c r="F34" s="201">
        <f t="shared" si="1"/>
        <v>2.67</v>
      </c>
      <c r="G34" s="212">
        <v>0.0</v>
      </c>
      <c r="H34" s="202">
        <f t="shared" si="2"/>
        <v>0</v>
      </c>
      <c r="I34" s="214">
        <v>0.8</v>
      </c>
    </row>
    <row r="35">
      <c r="A35" s="210" t="s">
        <v>327</v>
      </c>
      <c r="B35" s="211">
        <v>6.0</v>
      </c>
      <c r="C35" s="212">
        <v>24.0</v>
      </c>
      <c r="D35" s="211">
        <v>4.0</v>
      </c>
      <c r="E35" s="212">
        <v>2.67</v>
      </c>
      <c r="F35" s="201">
        <f t="shared" si="1"/>
        <v>2.67</v>
      </c>
      <c r="G35" s="212">
        <v>0.0</v>
      </c>
      <c r="H35" s="202">
        <f t="shared" si="2"/>
        <v>0</v>
      </c>
      <c r="I35" s="214">
        <v>1.0</v>
      </c>
    </row>
    <row r="36">
      <c r="A36" s="210" t="s">
        <v>328</v>
      </c>
      <c r="B36" s="211">
        <v>6.0</v>
      </c>
      <c r="C36" s="212">
        <v>25.0</v>
      </c>
      <c r="D36" s="211">
        <v>4.0</v>
      </c>
      <c r="E36" s="212">
        <v>2.67</v>
      </c>
      <c r="F36" s="201">
        <f t="shared" si="1"/>
        <v>2.5632</v>
      </c>
      <c r="G36" s="212">
        <v>0.0</v>
      </c>
      <c r="H36" s="202">
        <f t="shared" si="2"/>
        <v>0</v>
      </c>
      <c r="I36" s="214">
        <v>1.0</v>
      </c>
    </row>
    <row r="37">
      <c r="A37" s="210" t="s">
        <v>308</v>
      </c>
      <c r="B37" s="211">
        <v>5.0</v>
      </c>
      <c r="C37" s="212">
        <v>20.0</v>
      </c>
      <c r="D37" s="211">
        <v>3.0</v>
      </c>
      <c r="E37" s="212">
        <v>2.4</v>
      </c>
      <c r="F37" s="201">
        <f t="shared" si="1"/>
        <v>2.4</v>
      </c>
      <c r="G37" s="212">
        <v>0.0</v>
      </c>
      <c r="H37" s="202">
        <f t="shared" si="2"/>
        <v>0</v>
      </c>
      <c r="I37" s="214">
        <v>1.0</v>
      </c>
    </row>
    <row r="38">
      <c r="A38" s="210" t="s">
        <v>281</v>
      </c>
      <c r="B38" s="211">
        <v>6.0</v>
      </c>
      <c r="C38" s="212">
        <v>24.0</v>
      </c>
      <c r="D38" s="211">
        <v>6.0</v>
      </c>
      <c r="E38" s="212">
        <v>2.0</v>
      </c>
      <c r="F38" s="201">
        <f t="shared" si="1"/>
        <v>2</v>
      </c>
      <c r="G38" s="212">
        <v>0.17</v>
      </c>
      <c r="H38" s="202">
        <f t="shared" si="2"/>
        <v>1.02</v>
      </c>
      <c r="I38" s="214">
        <v>0.667</v>
      </c>
    </row>
    <row r="39">
      <c r="A39" s="210" t="s">
        <v>284</v>
      </c>
      <c r="B39" s="211">
        <v>6.0</v>
      </c>
      <c r="C39" s="212">
        <v>24.0</v>
      </c>
      <c r="D39" s="211">
        <v>4.0</v>
      </c>
      <c r="E39" s="212">
        <v>2.0</v>
      </c>
      <c r="F39" s="201">
        <f t="shared" si="1"/>
        <v>2</v>
      </c>
      <c r="G39" s="212">
        <v>0.0</v>
      </c>
      <c r="H39" s="202">
        <f t="shared" si="2"/>
        <v>0</v>
      </c>
      <c r="I39" s="214">
        <v>0.75</v>
      </c>
    </row>
    <row r="40">
      <c r="A40" s="210" t="s">
        <v>298</v>
      </c>
      <c r="B40" s="211">
        <v>6.0</v>
      </c>
      <c r="C40" s="212">
        <v>24.0</v>
      </c>
      <c r="D40" s="211">
        <v>7.0</v>
      </c>
      <c r="E40" s="212">
        <v>2.0</v>
      </c>
      <c r="F40" s="201">
        <f t="shared" si="1"/>
        <v>2</v>
      </c>
      <c r="G40" s="212">
        <v>0.0</v>
      </c>
      <c r="H40" s="202">
        <f t="shared" si="2"/>
        <v>0</v>
      </c>
      <c r="I40" s="214">
        <v>0.429</v>
      </c>
    </row>
    <row r="41">
      <c r="A41" s="210" t="s">
        <v>301</v>
      </c>
      <c r="B41" s="211">
        <v>6.0</v>
      </c>
      <c r="C41" s="212">
        <v>24.0</v>
      </c>
      <c r="D41" s="211">
        <v>3.0</v>
      </c>
      <c r="E41" s="212">
        <v>2.0</v>
      </c>
      <c r="F41" s="201">
        <f t="shared" si="1"/>
        <v>2</v>
      </c>
      <c r="G41" s="212">
        <v>0.0</v>
      </c>
      <c r="H41" s="202">
        <f t="shared" si="2"/>
        <v>0</v>
      </c>
      <c r="I41" s="214">
        <v>1.0</v>
      </c>
    </row>
    <row r="42">
      <c r="A42" s="210" t="s">
        <v>332</v>
      </c>
      <c r="B42" s="211">
        <v>6.0</v>
      </c>
      <c r="C42" s="212">
        <v>24.0</v>
      </c>
      <c r="D42" s="211">
        <v>5.0</v>
      </c>
      <c r="E42" s="212">
        <v>2.0</v>
      </c>
      <c r="F42" s="201">
        <f t="shared" si="1"/>
        <v>2</v>
      </c>
      <c r="G42" s="212">
        <v>0.0</v>
      </c>
      <c r="H42" s="202">
        <f t="shared" si="2"/>
        <v>0</v>
      </c>
      <c r="I42" s="214">
        <v>0.6</v>
      </c>
    </row>
    <row r="43">
      <c r="A43" s="210" t="s">
        <v>386</v>
      </c>
      <c r="B43" s="211">
        <v>4.0</v>
      </c>
      <c r="C43" s="212">
        <v>16.0</v>
      </c>
      <c r="D43" s="211">
        <v>4.0</v>
      </c>
      <c r="E43" s="212">
        <v>2.0</v>
      </c>
      <c r="F43" s="201">
        <f t="shared" si="1"/>
        <v>2</v>
      </c>
      <c r="G43" s="212">
        <v>0.0</v>
      </c>
      <c r="H43" s="202">
        <f t="shared" si="2"/>
        <v>0</v>
      </c>
      <c r="I43" s="214">
        <v>0.5</v>
      </c>
    </row>
    <row r="44">
      <c r="A44" s="210" t="s">
        <v>362</v>
      </c>
      <c r="B44" s="211">
        <v>5.0</v>
      </c>
      <c r="C44" s="212">
        <v>20.0</v>
      </c>
      <c r="D44" s="211">
        <v>3.0</v>
      </c>
      <c r="E44" s="212">
        <v>1.6</v>
      </c>
      <c r="F44" s="201">
        <f t="shared" si="1"/>
        <v>1.6</v>
      </c>
      <c r="G44" s="212">
        <v>0.0</v>
      </c>
      <c r="H44" s="202">
        <f t="shared" si="2"/>
        <v>0</v>
      </c>
      <c r="I44" s="214">
        <v>0.667</v>
      </c>
    </row>
    <row r="45">
      <c r="A45" s="210" t="s">
        <v>317</v>
      </c>
      <c r="B45" s="211">
        <v>5.0</v>
      </c>
      <c r="C45" s="212">
        <v>20.0</v>
      </c>
      <c r="D45" s="211">
        <v>3.0</v>
      </c>
      <c r="E45" s="212">
        <v>1.6</v>
      </c>
      <c r="F45" s="201">
        <f t="shared" si="1"/>
        <v>1.6</v>
      </c>
      <c r="G45" s="212">
        <v>0.0</v>
      </c>
      <c r="H45" s="202">
        <f t="shared" si="2"/>
        <v>0</v>
      </c>
      <c r="I45" s="214">
        <v>0.667</v>
      </c>
    </row>
    <row r="46">
      <c r="A46" s="210" t="s">
        <v>329</v>
      </c>
      <c r="B46" s="211">
        <v>5.0</v>
      </c>
      <c r="C46" s="212">
        <v>20.0</v>
      </c>
      <c r="D46" s="211">
        <v>4.0</v>
      </c>
      <c r="E46" s="212">
        <v>1.6</v>
      </c>
      <c r="F46" s="201">
        <f t="shared" si="1"/>
        <v>1.6</v>
      </c>
      <c r="G46" s="212">
        <v>0.0</v>
      </c>
      <c r="H46" s="202">
        <f t="shared" si="2"/>
        <v>0</v>
      </c>
      <c r="I46" s="214">
        <v>0.5</v>
      </c>
    </row>
    <row r="47">
      <c r="A47" s="210" t="s">
        <v>282</v>
      </c>
      <c r="B47" s="211">
        <v>6.0</v>
      </c>
      <c r="C47" s="212">
        <v>24.0</v>
      </c>
      <c r="D47" s="211">
        <v>6.0</v>
      </c>
      <c r="E47" s="212">
        <v>1.33</v>
      </c>
      <c r="F47" s="201">
        <f t="shared" si="1"/>
        <v>1.33</v>
      </c>
      <c r="G47" s="212">
        <v>0.33</v>
      </c>
      <c r="H47" s="202">
        <f t="shared" si="2"/>
        <v>1.98</v>
      </c>
      <c r="I47" s="214">
        <v>0.667</v>
      </c>
    </row>
    <row r="48">
      <c r="A48" s="210" t="s">
        <v>334</v>
      </c>
      <c r="B48" s="211">
        <v>6.0</v>
      </c>
      <c r="C48" s="212">
        <v>24.0</v>
      </c>
      <c r="D48" s="211">
        <v>7.0</v>
      </c>
      <c r="E48" s="212">
        <v>1.33</v>
      </c>
      <c r="F48" s="201">
        <f t="shared" si="1"/>
        <v>1.33</v>
      </c>
      <c r="G48" s="212">
        <v>0.17</v>
      </c>
      <c r="H48" s="202">
        <f t="shared" si="2"/>
        <v>1.02</v>
      </c>
      <c r="I48" s="214">
        <v>0.429</v>
      </c>
    </row>
    <row r="49">
      <c r="A49" s="210" t="s">
        <v>312</v>
      </c>
      <c r="B49" s="211">
        <v>6.0</v>
      </c>
      <c r="C49" s="212">
        <v>24.0</v>
      </c>
      <c r="D49" s="211">
        <v>5.0</v>
      </c>
      <c r="E49" s="212">
        <v>1.33</v>
      </c>
      <c r="F49" s="201">
        <f t="shared" si="1"/>
        <v>1.33</v>
      </c>
      <c r="G49" s="212">
        <v>0.17</v>
      </c>
      <c r="H49" s="202">
        <f t="shared" si="2"/>
        <v>1.02</v>
      </c>
      <c r="I49" s="214">
        <v>0.6</v>
      </c>
    </row>
    <row r="50">
      <c r="A50" s="210" t="s">
        <v>303</v>
      </c>
      <c r="B50" s="211">
        <v>6.0</v>
      </c>
      <c r="C50" s="212">
        <v>24.0</v>
      </c>
      <c r="D50" s="211">
        <v>2.0</v>
      </c>
      <c r="E50" s="212">
        <v>1.33</v>
      </c>
      <c r="F50" s="201">
        <f t="shared" si="1"/>
        <v>1.33</v>
      </c>
      <c r="G50" s="212">
        <v>0.0</v>
      </c>
      <c r="H50" s="202">
        <f t="shared" si="2"/>
        <v>0</v>
      </c>
      <c r="I50" s="214">
        <v>1.0</v>
      </c>
    </row>
    <row r="51">
      <c r="A51" s="210" t="s">
        <v>306</v>
      </c>
      <c r="B51" s="211">
        <v>6.0</v>
      </c>
      <c r="C51" s="212">
        <v>24.0</v>
      </c>
      <c r="D51" s="211">
        <v>3.0</v>
      </c>
      <c r="E51" s="212">
        <v>1.33</v>
      </c>
      <c r="F51" s="201">
        <f t="shared" si="1"/>
        <v>1.33</v>
      </c>
      <c r="G51" s="212">
        <v>0.0</v>
      </c>
      <c r="H51" s="202">
        <f t="shared" si="2"/>
        <v>0</v>
      </c>
      <c r="I51" s="214">
        <v>0.667</v>
      </c>
    </row>
    <row r="52">
      <c r="A52" s="210" t="s">
        <v>384</v>
      </c>
      <c r="B52" s="211">
        <v>3.0</v>
      </c>
      <c r="C52" s="212">
        <v>12.0</v>
      </c>
      <c r="D52" s="211">
        <v>3.0</v>
      </c>
      <c r="E52" s="212">
        <v>1.33</v>
      </c>
      <c r="F52" s="201">
        <f t="shared" si="1"/>
        <v>1.33</v>
      </c>
      <c r="G52" s="212">
        <v>0.0</v>
      </c>
      <c r="H52" s="202">
        <f t="shared" si="2"/>
        <v>0</v>
      </c>
      <c r="I52" s="214">
        <v>0.333</v>
      </c>
    </row>
    <row r="53">
      <c r="A53" s="210" t="s">
        <v>273</v>
      </c>
      <c r="B53" s="211">
        <v>6.0</v>
      </c>
      <c r="C53" s="212">
        <v>24.0</v>
      </c>
      <c r="D53" s="211">
        <v>4.0</v>
      </c>
      <c r="E53" s="212">
        <v>1.33</v>
      </c>
      <c r="F53" s="201">
        <f t="shared" si="1"/>
        <v>1.33</v>
      </c>
      <c r="G53" s="212">
        <v>0.0</v>
      </c>
      <c r="H53" s="202">
        <f t="shared" si="2"/>
        <v>0</v>
      </c>
      <c r="I53" s="214">
        <v>0.5</v>
      </c>
    </row>
    <row r="54">
      <c r="A54" s="210" t="s">
        <v>280</v>
      </c>
      <c r="B54" s="211">
        <v>6.0</v>
      </c>
      <c r="C54" s="212">
        <v>24.0</v>
      </c>
      <c r="D54" s="211">
        <v>2.0</v>
      </c>
      <c r="E54" s="212">
        <v>1.33</v>
      </c>
      <c r="F54" s="201">
        <f t="shared" si="1"/>
        <v>1.33</v>
      </c>
      <c r="G54" s="212">
        <v>0.0</v>
      </c>
      <c r="H54" s="202">
        <f t="shared" si="2"/>
        <v>0</v>
      </c>
      <c r="I54" s="214">
        <v>1.0</v>
      </c>
    </row>
    <row r="55">
      <c r="A55" s="210" t="s">
        <v>296</v>
      </c>
      <c r="B55" s="211">
        <v>6.0</v>
      </c>
      <c r="C55" s="212">
        <v>24.0</v>
      </c>
      <c r="D55" s="211">
        <v>2.0</v>
      </c>
      <c r="E55" s="212">
        <v>1.33</v>
      </c>
      <c r="F55" s="201">
        <f t="shared" si="1"/>
        <v>1.33</v>
      </c>
      <c r="G55" s="212">
        <v>0.0</v>
      </c>
      <c r="H55" s="202">
        <f t="shared" si="2"/>
        <v>0</v>
      </c>
      <c r="I55" s="214">
        <v>1.0</v>
      </c>
    </row>
    <row r="56">
      <c r="A56" s="210" t="s">
        <v>352</v>
      </c>
      <c r="B56" s="211">
        <v>3.0</v>
      </c>
      <c r="C56" s="212">
        <v>12.0</v>
      </c>
      <c r="D56" s="211">
        <v>1.0</v>
      </c>
      <c r="E56" s="212">
        <v>1.33</v>
      </c>
      <c r="F56" s="201">
        <f t="shared" si="1"/>
        <v>1.33</v>
      </c>
      <c r="G56" s="212">
        <v>0.0</v>
      </c>
      <c r="H56" s="202">
        <f t="shared" si="2"/>
        <v>0</v>
      </c>
      <c r="I56" s="214">
        <v>1.0</v>
      </c>
    </row>
    <row r="57">
      <c r="A57" s="210" t="s">
        <v>388</v>
      </c>
      <c r="B57" s="211">
        <v>4.0</v>
      </c>
      <c r="C57" s="212">
        <v>16.0</v>
      </c>
      <c r="D57" s="211">
        <v>5.0</v>
      </c>
      <c r="E57" s="212">
        <v>1.0</v>
      </c>
      <c r="F57" s="201">
        <f t="shared" si="1"/>
        <v>1</v>
      </c>
      <c r="G57" s="212">
        <v>0.25</v>
      </c>
      <c r="H57" s="202">
        <f t="shared" si="2"/>
        <v>1</v>
      </c>
      <c r="I57" s="214">
        <v>0.4</v>
      </c>
    </row>
    <row r="58">
      <c r="A58" s="210" t="s">
        <v>367</v>
      </c>
      <c r="B58" s="211">
        <v>4.0</v>
      </c>
      <c r="C58" s="212">
        <v>16.0</v>
      </c>
      <c r="D58" s="211">
        <v>1.0</v>
      </c>
      <c r="E58" s="212">
        <v>1.0</v>
      </c>
      <c r="F58" s="201">
        <f t="shared" si="1"/>
        <v>1</v>
      </c>
      <c r="G58" s="212">
        <v>0.0</v>
      </c>
      <c r="H58" s="202">
        <f t="shared" si="2"/>
        <v>0</v>
      </c>
      <c r="I58" s="214">
        <v>1.0</v>
      </c>
    </row>
    <row r="59">
      <c r="A59" s="210" t="s">
        <v>368</v>
      </c>
      <c r="B59" s="211">
        <v>4.0</v>
      </c>
      <c r="C59" s="212">
        <v>17.0</v>
      </c>
      <c r="D59" s="211">
        <v>2.0</v>
      </c>
      <c r="E59" s="212">
        <v>1.0</v>
      </c>
      <c r="F59" s="201">
        <f t="shared" si="1"/>
        <v>0.9411764706</v>
      </c>
      <c r="G59" s="212">
        <v>0.0</v>
      </c>
      <c r="H59" s="202">
        <f t="shared" si="2"/>
        <v>0</v>
      </c>
      <c r="I59" s="214">
        <v>0.5</v>
      </c>
    </row>
    <row r="60">
      <c r="A60" s="210" t="s">
        <v>322</v>
      </c>
      <c r="B60" s="211">
        <v>5.0</v>
      </c>
      <c r="C60" s="212">
        <v>20.0</v>
      </c>
      <c r="D60" s="211">
        <v>1.0</v>
      </c>
      <c r="E60" s="212">
        <v>0.8</v>
      </c>
      <c r="F60" s="201">
        <f t="shared" si="1"/>
        <v>0.8</v>
      </c>
      <c r="G60" s="212">
        <v>0.0</v>
      </c>
      <c r="H60" s="202">
        <f t="shared" si="2"/>
        <v>0</v>
      </c>
      <c r="I60" s="214">
        <v>1.0</v>
      </c>
    </row>
    <row r="61">
      <c r="A61" s="210" t="s">
        <v>361</v>
      </c>
      <c r="B61" s="211">
        <v>5.0</v>
      </c>
      <c r="C61" s="212">
        <v>20.0</v>
      </c>
      <c r="D61" s="211">
        <v>3.0</v>
      </c>
      <c r="E61" s="212">
        <v>0.8</v>
      </c>
      <c r="F61" s="201">
        <f t="shared" si="1"/>
        <v>0.8</v>
      </c>
      <c r="G61" s="212">
        <v>0.0</v>
      </c>
      <c r="H61" s="202">
        <f t="shared" si="2"/>
        <v>0</v>
      </c>
      <c r="I61" s="214">
        <v>0.333</v>
      </c>
    </row>
    <row r="62">
      <c r="A62" s="210" t="s">
        <v>353</v>
      </c>
      <c r="B62" s="211">
        <v>5.0</v>
      </c>
      <c r="C62" s="212">
        <v>20.0</v>
      </c>
      <c r="D62" s="211">
        <v>1.0</v>
      </c>
      <c r="E62" s="212">
        <v>0.8</v>
      </c>
      <c r="F62" s="201">
        <f t="shared" si="1"/>
        <v>0.8</v>
      </c>
      <c r="G62" s="212">
        <v>0.0</v>
      </c>
      <c r="H62" s="202">
        <f t="shared" si="2"/>
        <v>0</v>
      </c>
      <c r="I62" s="214">
        <v>1.0</v>
      </c>
    </row>
    <row r="63">
      <c r="A63" s="210" t="s">
        <v>316</v>
      </c>
      <c r="B63" s="211">
        <v>5.0</v>
      </c>
      <c r="C63" s="212">
        <v>20.0</v>
      </c>
      <c r="D63" s="211">
        <v>1.0</v>
      </c>
      <c r="E63" s="212">
        <v>0.8</v>
      </c>
      <c r="F63" s="201">
        <f t="shared" si="1"/>
        <v>0.8</v>
      </c>
      <c r="G63" s="212">
        <v>0.0</v>
      </c>
      <c r="H63" s="202">
        <f t="shared" si="2"/>
        <v>0</v>
      </c>
      <c r="I63" s="214">
        <v>1.0</v>
      </c>
    </row>
    <row r="64">
      <c r="A64" s="210" t="s">
        <v>395</v>
      </c>
      <c r="B64" s="211">
        <v>5.0</v>
      </c>
      <c r="C64" s="212">
        <v>20.0</v>
      </c>
      <c r="D64" s="211">
        <v>1.0</v>
      </c>
      <c r="E64" s="212">
        <v>0.8</v>
      </c>
      <c r="F64" s="201">
        <f t="shared" si="1"/>
        <v>0.8</v>
      </c>
      <c r="G64" s="212">
        <v>0.0</v>
      </c>
      <c r="H64" s="202">
        <f t="shared" si="2"/>
        <v>0</v>
      </c>
      <c r="I64" s="214">
        <v>1.0</v>
      </c>
    </row>
    <row r="65">
      <c r="A65" s="210" t="s">
        <v>391</v>
      </c>
      <c r="B65" s="211">
        <v>6.0</v>
      </c>
      <c r="C65" s="212">
        <v>24.0</v>
      </c>
      <c r="D65" s="211">
        <v>3.0</v>
      </c>
      <c r="E65" s="212">
        <v>0.67</v>
      </c>
      <c r="F65" s="201">
        <f t="shared" si="1"/>
        <v>0.67</v>
      </c>
      <c r="G65" s="212">
        <v>0.17</v>
      </c>
      <c r="H65" s="202">
        <f t="shared" si="2"/>
        <v>1.02</v>
      </c>
      <c r="I65" s="214">
        <v>0.667</v>
      </c>
    </row>
    <row r="66">
      <c r="A66" s="210" t="s">
        <v>325</v>
      </c>
      <c r="B66" s="211">
        <v>6.0</v>
      </c>
      <c r="C66" s="212">
        <v>24.0</v>
      </c>
      <c r="D66" s="211">
        <v>1.0</v>
      </c>
      <c r="E66" s="212">
        <v>0.67</v>
      </c>
      <c r="F66" s="201">
        <f t="shared" si="1"/>
        <v>0.67</v>
      </c>
      <c r="G66" s="212">
        <v>0.0</v>
      </c>
      <c r="H66" s="202">
        <f t="shared" si="2"/>
        <v>0</v>
      </c>
      <c r="I66" s="214">
        <v>1.0</v>
      </c>
    </row>
    <row r="67">
      <c r="A67" s="210" t="s">
        <v>351</v>
      </c>
      <c r="B67" s="211">
        <v>6.0</v>
      </c>
      <c r="C67" s="212">
        <v>24.0</v>
      </c>
      <c r="D67" s="211">
        <v>1.0</v>
      </c>
      <c r="E67" s="212">
        <v>0.67</v>
      </c>
      <c r="F67" s="201">
        <f t="shared" si="1"/>
        <v>0.67</v>
      </c>
      <c r="G67" s="212">
        <v>0.0</v>
      </c>
      <c r="H67" s="202">
        <f t="shared" si="2"/>
        <v>0</v>
      </c>
      <c r="I67" s="214">
        <v>1.0</v>
      </c>
    </row>
    <row r="68">
      <c r="A68" s="210" t="s">
        <v>359</v>
      </c>
      <c r="B68" s="211">
        <v>6.0</v>
      </c>
      <c r="C68" s="212">
        <v>24.0</v>
      </c>
      <c r="D68" s="211">
        <v>1.0</v>
      </c>
      <c r="E68" s="212">
        <v>0.67</v>
      </c>
      <c r="F68" s="201">
        <f t="shared" si="1"/>
        <v>0.67</v>
      </c>
      <c r="G68" s="212">
        <v>0.0</v>
      </c>
      <c r="H68" s="202">
        <f t="shared" si="2"/>
        <v>0</v>
      </c>
      <c r="I68" s="214">
        <v>1.0</v>
      </c>
    </row>
    <row r="69">
      <c r="A69" s="210" t="s">
        <v>304</v>
      </c>
      <c r="B69" s="211">
        <v>6.0</v>
      </c>
      <c r="C69" s="212">
        <v>24.0</v>
      </c>
      <c r="D69" s="211">
        <v>1.0</v>
      </c>
      <c r="E69" s="212">
        <v>0.67</v>
      </c>
      <c r="F69" s="201">
        <f t="shared" si="1"/>
        <v>0.67</v>
      </c>
      <c r="G69" s="212">
        <v>0.0</v>
      </c>
      <c r="H69" s="202">
        <f t="shared" si="2"/>
        <v>0</v>
      </c>
      <c r="I69" s="214">
        <v>1.0</v>
      </c>
    </row>
    <row r="70">
      <c r="A70" s="210" t="s">
        <v>324</v>
      </c>
      <c r="B70" s="211">
        <v>6.0</v>
      </c>
      <c r="C70" s="212">
        <v>24.0</v>
      </c>
      <c r="D70" s="211">
        <v>1.0</v>
      </c>
      <c r="E70" s="212">
        <v>0.67</v>
      </c>
      <c r="F70" s="201">
        <f t="shared" si="1"/>
        <v>0.67</v>
      </c>
      <c r="G70" s="212">
        <v>0.0</v>
      </c>
      <c r="H70" s="202">
        <f t="shared" si="2"/>
        <v>0</v>
      </c>
      <c r="I70" s="214">
        <v>1.0</v>
      </c>
    </row>
    <row r="71">
      <c r="A71" s="210" t="s">
        <v>300</v>
      </c>
      <c r="B71" s="211">
        <v>6.0</v>
      </c>
      <c r="C71" s="212">
        <v>24.0</v>
      </c>
      <c r="D71" s="211">
        <v>1.0</v>
      </c>
      <c r="E71" s="212">
        <v>0.67</v>
      </c>
      <c r="F71" s="201">
        <f t="shared" si="1"/>
        <v>0.67</v>
      </c>
      <c r="G71" s="212">
        <v>0.0</v>
      </c>
      <c r="H71" s="202">
        <f t="shared" si="2"/>
        <v>0</v>
      </c>
      <c r="I71" s="214">
        <v>1.0</v>
      </c>
    </row>
    <row r="72">
      <c r="A72" s="210" t="s">
        <v>326</v>
      </c>
      <c r="B72" s="211">
        <v>6.0</v>
      </c>
      <c r="C72" s="212">
        <v>24.0</v>
      </c>
      <c r="D72" s="211">
        <v>1.0</v>
      </c>
      <c r="E72" s="212">
        <v>0.67</v>
      </c>
      <c r="F72" s="201">
        <f t="shared" si="1"/>
        <v>0.67</v>
      </c>
      <c r="G72" s="212">
        <v>0.0</v>
      </c>
      <c r="H72" s="202">
        <f t="shared" si="2"/>
        <v>0</v>
      </c>
      <c r="I72" s="214">
        <v>1.0</v>
      </c>
    </row>
    <row r="73">
      <c r="A73" s="210" t="s">
        <v>310</v>
      </c>
      <c r="B73" s="211">
        <v>6.0</v>
      </c>
      <c r="C73" s="212">
        <v>24.0</v>
      </c>
      <c r="D73" s="211">
        <v>1.0</v>
      </c>
      <c r="E73" s="212">
        <v>0.67</v>
      </c>
      <c r="F73" s="201">
        <f t="shared" si="1"/>
        <v>0.67</v>
      </c>
      <c r="G73" s="212">
        <v>0.0</v>
      </c>
      <c r="H73" s="202">
        <f t="shared" si="2"/>
        <v>0</v>
      </c>
      <c r="I73" s="214">
        <v>1.0</v>
      </c>
    </row>
    <row r="74">
      <c r="A74" s="210" t="s">
        <v>315</v>
      </c>
      <c r="B74" s="211">
        <v>6.0</v>
      </c>
      <c r="C74" s="212">
        <v>25.0</v>
      </c>
      <c r="D74" s="211">
        <v>1.0</v>
      </c>
      <c r="E74" s="212">
        <v>0.67</v>
      </c>
      <c r="F74" s="201">
        <f t="shared" si="1"/>
        <v>0.6432</v>
      </c>
      <c r="G74" s="212">
        <v>0.0</v>
      </c>
      <c r="H74" s="202">
        <f t="shared" si="2"/>
        <v>0</v>
      </c>
      <c r="I74" s="214">
        <v>1.0</v>
      </c>
    </row>
    <row r="75">
      <c r="A75" s="210" t="s">
        <v>335</v>
      </c>
      <c r="B75" s="211">
        <v>3.0</v>
      </c>
      <c r="C75" s="212">
        <v>12.0</v>
      </c>
      <c r="D75" s="211">
        <v>2.0</v>
      </c>
      <c r="E75" s="212">
        <v>0.0</v>
      </c>
      <c r="F75" s="201">
        <f t="shared" si="1"/>
        <v>0</v>
      </c>
      <c r="G75" s="212">
        <v>0.33</v>
      </c>
      <c r="H75" s="202">
        <f t="shared" si="2"/>
        <v>0.99</v>
      </c>
      <c r="I75" s="214">
        <v>0.5</v>
      </c>
    </row>
    <row r="76">
      <c r="A76" s="210" t="s">
        <v>349</v>
      </c>
      <c r="B76" s="211">
        <v>3.0</v>
      </c>
      <c r="C76" s="212">
        <v>11.0</v>
      </c>
      <c r="D76" s="211">
        <v>4.0</v>
      </c>
      <c r="E76" s="212">
        <v>0.0</v>
      </c>
      <c r="F76" s="201">
        <f t="shared" si="1"/>
        <v>0</v>
      </c>
      <c r="G76" s="212">
        <v>0.33</v>
      </c>
      <c r="H76" s="202">
        <f t="shared" si="2"/>
        <v>0.99</v>
      </c>
      <c r="I76" s="214">
        <v>0.25</v>
      </c>
    </row>
    <row r="77">
      <c r="A77" s="210" t="s">
        <v>336</v>
      </c>
      <c r="B77" s="211">
        <v>3.0</v>
      </c>
      <c r="C77" s="212">
        <v>12.0</v>
      </c>
      <c r="D77" s="211">
        <v>0.0</v>
      </c>
      <c r="E77" s="212">
        <v>0.0</v>
      </c>
      <c r="F77" s="201">
        <f t="shared" si="1"/>
        <v>0</v>
      </c>
      <c r="G77" s="212">
        <v>0.0</v>
      </c>
      <c r="H77" s="202">
        <f t="shared" si="2"/>
        <v>0</v>
      </c>
      <c r="I77" s="214">
        <v>0.0</v>
      </c>
    </row>
    <row r="78">
      <c r="A78" s="210" t="s">
        <v>382</v>
      </c>
      <c r="B78" s="211">
        <v>6.0</v>
      </c>
      <c r="C78" s="212">
        <v>24.0</v>
      </c>
      <c r="D78" s="211">
        <v>0.0</v>
      </c>
      <c r="E78" s="212">
        <v>0.0</v>
      </c>
      <c r="F78" s="201">
        <f t="shared" si="1"/>
        <v>0</v>
      </c>
      <c r="G78" s="212">
        <v>0.0</v>
      </c>
      <c r="H78" s="202">
        <f t="shared" si="2"/>
        <v>0</v>
      </c>
      <c r="I78" s="214">
        <v>0.0</v>
      </c>
    </row>
    <row r="79">
      <c r="A79" s="210" t="s">
        <v>383</v>
      </c>
      <c r="B79" s="211">
        <v>6.0</v>
      </c>
      <c r="C79" s="212">
        <v>24.0</v>
      </c>
      <c r="D79" s="211">
        <v>0.0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14">
        <v>0.0</v>
      </c>
    </row>
    <row r="80">
      <c r="A80" s="210" t="s">
        <v>390</v>
      </c>
      <c r="B80" s="211">
        <v>4.0</v>
      </c>
      <c r="C80" s="212">
        <v>16.0</v>
      </c>
      <c r="D80" s="211">
        <v>0.0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14">
        <v>0.0</v>
      </c>
    </row>
    <row r="81">
      <c r="A81" s="210" t="s">
        <v>370</v>
      </c>
      <c r="B81" s="211">
        <v>6.0</v>
      </c>
      <c r="C81" s="212">
        <v>24.0</v>
      </c>
      <c r="D81" s="211">
        <v>0.0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14">
        <v>0.0</v>
      </c>
    </row>
    <row r="82">
      <c r="A82" s="210" t="s">
        <v>385</v>
      </c>
      <c r="B82" s="211">
        <v>5.0</v>
      </c>
      <c r="C82" s="212">
        <v>20.0</v>
      </c>
      <c r="D82" s="211">
        <v>0.0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14">
        <v>0.0</v>
      </c>
    </row>
    <row r="83">
      <c r="A83" s="210" t="s">
        <v>366</v>
      </c>
      <c r="B83" s="211">
        <v>6.0</v>
      </c>
      <c r="C83" s="212">
        <v>24.0</v>
      </c>
      <c r="D83" s="211">
        <v>0.0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14">
        <v>0.0</v>
      </c>
    </row>
    <row r="84">
      <c r="A84" s="210" t="s">
        <v>288</v>
      </c>
      <c r="B84" s="211">
        <v>6.0</v>
      </c>
      <c r="C84" s="212">
        <v>24.0</v>
      </c>
      <c r="D84" s="211">
        <v>0.0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14">
        <v>0.0</v>
      </c>
    </row>
    <row r="85">
      <c r="A85" s="210" t="s">
        <v>355</v>
      </c>
      <c r="B85" s="211">
        <v>6.0</v>
      </c>
      <c r="C85" s="212">
        <v>24.0</v>
      </c>
      <c r="D85" s="211">
        <v>0.0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14">
        <v>0.0</v>
      </c>
    </row>
    <row r="86">
      <c r="A86" s="210" t="s">
        <v>373</v>
      </c>
      <c r="B86" s="211">
        <v>5.0</v>
      </c>
      <c r="C86" s="212">
        <v>20.0</v>
      </c>
      <c r="D86" s="211">
        <v>0.0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14">
        <v>0.0</v>
      </c>
    </row>
    <row r="87">
      <c r="A87" s="210" t="s">
        <v>374</v>
      </c>
      <c r="B87" s="211">
        <v>1.0</v>
      </c>
      <c r="C87" s="212">
        <v>4.0</v>
      </c>
      <c r="D87" s="211">
        <v>0.0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14">
        <v>0.0</v>
      </c>
    </row>
    <row r="88">
      <c r="A88" s="210" t="s">
        <v>379</v>
      </c>
      <c r="B88" s="211">
        <v>6.0</v>
      </c>
      <c r="C88" s="212">
        <v>24.0</v>
      </c>
      <c r="D88" s="211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14">
        <v>0.0</v>
      </c>
    </row>
    <row r="89">
      <c r="A89" s="210" t="s">
        <v>338</v>
      </c>
      <c r="B89" s="211">
        <v>1.0</v>
      </c>
      <c r="C89" s="212">
        <v>4.0</v>
      </c>
      <c r="D89" s="211">
        <v>0.0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14">
        <v>0.0</v>
      </c>
    </row>
    <row r="90">
      <c r="A90" s="210" t="s">
        <v>330</v>
      </c>
      <c r="B90" s="211">
        <v>5.0</v>
      </c>
      <c r="C90" s="212">
        <v>20.0</v>
      </c>
      <c r="D90" s="211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14">
        <v>0.0</v>
      </c>
    </row>
    <row r="91">
      <c r="A91" s="210" t="s">
        <v>307</v>
      </c>
      <c r="B91" s="211">
        <v>6.0</v>
      </c>
      <c r="C91" s="212">
        <v>24.0</v>
      </c>
      <c r="D91" s="211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14">
        <v>0.0</v>
      </c>
    </row>
    <row r="92">
      <c r="A92" s="210" t="s">
        <v>358</v>
      </c>
      <c r="B92" s="211">
        <v>6.0</v>
      </c>
      <c r="C92" s="212">
        <v>24.0</v>
      </c>
      <c r="D92" s="211">
        <v>0.0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14">
        <v>0.0</v>
      </c>
    </row>
    <row r="93">
      <c r="A93" s="210" t="s">
        <v>289</v>
      </c>
      <c r="B93" s="211">
        <v>3.0</v>
      </c>
      <c r="C93" s="212">
        <v>12.0</v>
      </c>
      <c r="D93" s="211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14">
        <v>0.0</v>
      </c>
    </row>
    <row r="94">
      <c r="A94" s="210" t="s">
        <v>354</v>
      </c>
      <c r="B94" s="211">
        <v>4.0</v>
      </c>
      <c r="C94" s="212">
        <v>16.0</v>
      </c>
      <c r="D94" s="211">
        <v>0.0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14">
        <v>0.0</v>
      </c>
    </row>
    <row r="95">
      <c r="A95" s="210" t="s">
        <v>344</v>
      </c>
      <c r="B95" s="211">
        <v>5.0</v>
      </c>
      <c r="C95" s="212">
        <v>20.0</v>
      </c>
      <c r="D95" s="211">
        <v>0.0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14">
        <v>0.0</v>
      </c>
    </row>
    <row r="96">
      <c r="A96" s="210" t="s">
        <v>360</v>
      </c>
      <c r="B96" s="211">
        <v>2.0</v>
      </c>
      <c r="C96" s="212">
        <v>8.0</v>
      </c>
      <c r="D96" s="211">
        <v>0.0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14">
        <v>0.0</v>
      </c>
    </row>
    <row r="97">
      <c r="A97" s="210" t="s">
        <v>380</v>
      </c>
      <c r="B97" s="211">
        <v>4.0</v>
      </c>
      <c r="C97" s="212">
        <v>16.0</v>
      </c>
      <c r="D97" s="211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14">
        <v>0.0</v>
      </c>
    </row>
    <row r="98">
      <c r="A98" s="210" t="s">
        <v>369</v>
      </c>
      <c r="B98" s="211">
        <v>6.0</v>
      </c>
      <c r="C98" s="212">
        <v>24.0</v>
      </c>
      <c r="D98" s="211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14">
        <v>0.0</v>
      </c>
    </row>
    <row r="99">
      <c r="A99" s="210" t="s">
        <v>363</v>
      </c>
      <c r="B99" s="211">
        <v>5.0</v>
      </c>
      <c r="C99" s="212">
        <v>20.0</v>
      </c>
      <c r="D99" s="211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14">
        <v>0.0</v>
      </c>
    </row>
    <row r="100">
      <c r="A100" s="210" t="s">
        <v>318</v>
      </c>
      <c r="B100" s="211">
        <v>6.0</v>
      </c>
      <c r="C100" s="212">
        <v>24.0</v>
      </c>
      <c r="D100" s="211">
        <v>0.0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14">
        <v>0.0</v>
      </c>
    </row>
    <row r="101">
      <c r="A101" s="210" t="s">
        <v>290</v>
      </c>
      <c r="B101" s="211">
        <v>6.0</v>
      </c>
      <c r="C101" s="212">
        <v>24.0</v>
      </c>
      <c r="D101" s="211">
        <v>0.0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14">
        <v>0.0</v>
      </c>
    </row>
    <row r="102">
      <c r="A102" s="210" t="s">
        <v>364</v>
      </c>
      <c r="B102" s="211">
        <v>6.0</v>
      </c>
      <c r="C102" s="212">
        <v>24.0</v>
      </c>
      <c r="D102" s="211">
        <v>4.0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14">
        <v>0.0</v>
      </c>
    </row>
    <row r="103">
      <c r="A103" s="210" t="s">
        <v>343</v>
      </c>
      <c r="B103" s="211">
        <v>5.0</v>
      </c>
      <c r="C103" s="212">
        <v>20.0</v>
      </c>
      <c r="D103" s="211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14">
        <v>0.0</v>
      </c>
    </row>
    <row r="104">
      <c r="A104" s="210" t="s">
        <v>339</v>
      </c>
      <c r="B104" s="211">
        <v>5.0</v>
      </c>
      <c r="C104" s="212">
        <v>20.0</v>
      </c>
      <c r="D104" s="211">
        <v>0.0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14">
        <v>0.0</v>
      </c>
    </row>
    <row r="105">
      <c r="A105" s="210" t="s">
        <v>356</v>
      </c>
      <c r="B105" s="211">
        <v>6.0</v>
      </c>
      <c r="C105" s="212">
        <v>24.0</v>
      </c>
      <c r="D105" s="211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14">
        <v>0.0</v>
      </c>
    </row>
    <row r="106">
      <c r="A106" s="210" t="s">
        <v>389</v>
      </c>
      <c r="B106" s="211">
        <v>4.0</v>
      </c>
      <c r="C106" s="212">
        <v>16.0</v>
      </c>
      <c r="D106" s="211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14">
        <v>0.0</v>
      </c>
    </row>
    <row r="107">
      <c r="A107" s="210" t="s">
        <v>365</v>
      </c>
      <c r="B107" s="211">
        <v>6.0</v>
      </c>
      <c r="C107" s="212">
        <v>24.0</v>
      </c>
      <c r="D107" s="211">
        <v>0.0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14">
        <v>0.0</v>
      </c>
    </row>
    <row r="108">
      <c r="A108" s="210" t="s">
        <v>394</v>
      </c>
      <c r="B108" s="211">
        <v>5.0</v>
      </c>
      <c r="C108" s="212">
        <v>20.0</v>
      </c>
      <c r="D108" s="211">
        <v>2.0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14">
        <v>0.0</v>
      </c>
    </row>
    <row r="109">
      <c r="A109" s="210" t="s">
        <v>323</v>
      </c>
      <c r="B109" s="211">
        <v>6.0</v>
      </c>
      <c r="C109" s="212">
        <v>24.0</v>
      </c>
      <c r="D109" s="211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14">
        <v>0.0</v>
      </c>
    </row>
    <row r="110">
      <c r="A110" s="210" t="s">
        <v>387</v>
      </c>
      <c r="B110" s="211">
        <v>4.0</v>
      </c>
      <c r="C110" s="212">
        <v>16.0</v>
      </c>
      <c r="D110" s="211">
        <v>1.0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14">
        <v>0.0</v>
      </c>
    </row>
    <row r="111">
      <c r="A111" s="210" t="s">
        <v>371</v>
      </c>
      <c r="B111" s="211">
        <v>4.0</v>
      </c>
      <c r="C111" s="212">
        <v>16.0</v>
      </c>
      <c r="D111" s="211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14">
        <v>0.0</v>
      </c>
    </row>
    <row r="112">
      <c r="A112" s="210" t="s">
        <v>319</v>
      </c>
      <c r="B112" s="211">
        <v>5.0</v>
      </c>
      <c r="C112" s="212">
        <v>20.0</v>
      </c>
      <c r="D112" s="211">
        <v>0.0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14">
        <v>0.0</v>
      </c>
    </row>
    <row r="113">
      <c r="A113" s="210" t="s">
        <v>345</v>
      </c>
      <c r="B113" s="211">
        <v>5.0</v>
      </c>
      <c r="C113" s="212">
        <v>20.0</v>
      </c>
      <c r="D113" s="211">
        <v>1.0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14">
        <v>0.0</v>
      </c>
    </row>
    <row r="114">
      <c r="A114" s="210" t="s">
        <v>348</v>
      </c>
      <c r="B114" s="211">
        <v>4.0</v>
      </c>
      <c r="C114" s="212">
        <v>16.0</v>
      </c>
      <c r="D114" s="211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14">
        <v>0.0</v>
      </c>
    </row>
    <row r="115">
      <c r="A115" s="210" t="s">
        <v>346</v>
      </c>
      <c r="B115" s="211">
        <v>5.0</v>
      </c>
      <c r="C115" s="212">
        <v>20.0</v>
      </c>
      <c r="D115" s="211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14">
        <v>0.0</v>
      </c>
    </row>
    <row r="116">
      <c r="A116" s="210" t="s">
        <v>392</v>
      </c>
      <c r="B116" s="211">
        <v>3.0</v>
      </c>
      <c r="C116" s="212">
        <v>12.0</v>
      </c>
      <c r="D116" s="211">
        <v>0.0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14">
        <v>0.0</v>
      </c>
    </row>
    <row r="117">
      <c r="A117" s="210" t="s">
        <v>381</v>
      </c>
      <c r="B117" s="211">
        <v>3.0</v>
      </c>
      <c r="C117" s="212">
        <v>12.0</v>
      </c>
      <c r="D117" s="211">
        <v>0.0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14">
        <v>0.0</v>
      </c>
    </row>
    <row r="118">
      <c r="A118" s="210" t="s">
        <v>396</v>
      </c>
      <c r="B118" s="211">
        <v>4.0</v>
      </c>
      <c r="C118" s="212">
        <v>16.0</v>
      </c>
      <c r="D118" s="211">
        <v>0.0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14">
        <v>0.0</v>
      </c>
    </row>
    <row r="119">
      <c r="A119" s="210" t="s">
        <v>376</v>
      </c>
      <c r="B119" s="211">
        <v>2.0</v>
      </c>
      <c r="C119" s="212">
        <v>8.0</v>
      </c>
      <c r="D119" s="211">
        <v>0.0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14">
        <v>0.0</v>
      </c>
    </row>
    <row r="120">
      <c r="A120" s="210" t="s">
        <v>398</v>
      </c>
      <c r="B120" s="211">
        <v>3.0</v>
      </c>
      <c r="C120" s="212">
        <v>12.0</v>
      </c>
      <c r="D120" s="211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14">
        <v>0.0</v>
      </c>
    </row>
    <row r="121">
      <c r="A121" s="210" t="s">
        <v>377</v>
      </c>
      <c r="B121" s="211">
        <v>1.0</v>
      </c>
      <c r="C121" s="212">
        <v>4.0</v>
      </c>
      <c r="D121" s="211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14">
        <v>0.0</v>
      </c>
    </row>
    <row r="122">
      <c r="A122" s="210" t="s">
        <v>378</v>
      </c>
      <c r="B122" s="211">
        <v>3.0</v>
      </c>
      <c r="C122" s="212">
        <v>12.0</v>
      </c>
      <c r="D122" s="211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14">
        <v>0.0</v>
      </c>
    </row>
    <row r="123">
      <c r="A123" s="210" t="s">
        <v>397</v>
      </c>
      <c r="B123" s="211">
        <v>2.0</v>
      </c>
      <c r="C123" s="212">
        <v>8.0</v>
      </c>
      <c r="D123" s="211">
        <v>1.0</v>
      </c>
      <c r="E123" s="212">
        <v>0.0</v>
      </c>
      <c r="F123" s="201">
        <f t="shared" si="1"/>
        <v>0</v>
      </c>
      <c r="G123" s="212">
        <v>0.0</v>
      </c>
      <c r="H123" s="202">
        <f t="shared" si="2"/>
        <v>0</v>
      </c>
      <c r="I123" s="214">
        <v>0.0</v>
      </c>
    </row>
    <row r="124">
      <c r="A124" s="210" t="s">
        <v>402</v>
      </c>
      <c r="B124" s="211">
        <v>1.0</v>
      </c>
      <c r="C124" s="212">
        <v>4.0</v>
      </c>
      <c r="D124" s="211">
        <v>1.0</v>
      </c>
      <c r="E124" s="212">
        <v>0.0</v>
      </c>
      <c r="F124" s="201">
        <f t="shared" si="1"/>
        <v>0</v>
      </c>
      <c r="G124" s="212">
        <v>0.0</v>
      </c>
      <c r="H124" s="202">
        <f t="shared" si="2"/>
        <v>0</v>
      </c>
      <c r="I124" s="214">
        <v>0.0</v>
      </c>
    </row>
    <row r="125">
      <c r="A125" s="210" t="s">
        <v>399</v>
      </c>
      <c r="B125" s="211">
        <v>2.0</v>
      </c>
      <c r="C125" s="212">
        <v>8.0</v>
      </c>
      <c r="D125" s="211">
        <v>1.0</v>
      </c>
      <c r="E125" s="212">
        <v>0.0</v>
      </c>
      <c r="F125" s="201">
        <f t="shared" si="1"/>
        <v>0</v>
      </c>
      <c r="G125" s="212">
        <v>0.0</v>
      </c>
      <c r="H125" s="202">
        <f t="shared" si="2"/>
        <v>0</v>
      </c>
      <c r="I125" s="214">
        <v>0.0</v>
      </c>
    </row>
    <row r="126">
      <c r="A126" s="210" t="s">
        <v>372</v>
      </c>
      <c r="B126" s="211">
        <v>3.0</v>
      </c>
      <c r="C126" s="212">
        <v>12.0</v>
      </c>
      <c r="D126" s="211">
        <v>0.0</v>
      </c>
      <c r="E126" s="212">
        <v>0.0</v>
      </c>
      <c r="F126" s="201">
        <f t="shared" si="1"/>
        <v>0</v>
      </c>
      <c r="G126" s="212">
        <v>0.0</v>
      </c>
      <c r="H126" s="202">
        <f t="shared" si="2"/>
        <v>0</v>
      </c>
      <c r="I126" s="214">
        <v>0.0</v>
      </c>
    </row>
    <row r="127">
      <c r="A127" s="210" t="s">
        <v>333</v>
      </c>
      <c r="B127" s="211">
        <v>2.0</v>
      </c>
      <c r="C127" s="212">
        <v>8.0</v>
      </c>
      <c r="D127" s="211">
        <v>0.0</v>
      </c>
      <c r="E127" s="212">
        <v>0.0</v>
      </c>
      <c r="F127" s="201">
        <f t="shared" si="1"/>
        <v>0</v>
      </c>
      <c r="G127" s="212">
        <v>0.0</v>
      </c>
      <c r="H127" s="202">
        <f t="shared" si="2"/>
        <v>0</v>
      </c>
      <c r="I127" s="214">
        <v>0.0</v>
      </c>
    </row>
    <row r="128">
      <c r="A128" s="210" t="s">
        <v>340</v>
      </c>
      <c r="B128" s="211">
        <v>1.0</v>
      </c>
      <c r="C128" s="212">
        <v>4.0</v>
      </c>
      <c r="D128" s="211">
        <v>0.0</v>
      </c>
      <c r="E128" s="212">
        <v>0.0</v>
      </c>
      <c r="F128" s="201">
        <f t="shared" si="1"/>
        <v>0</v>
      </c>
      <c r="G128" s="212">
        <v>0.0</v>
      </c>
      <c r="H128" s="202">
        <f t="shared" si="2"/>
        <v>0</v>
      </c>
      <c r="I128" s="214">
        <v>0.0</v>
      </c>
    </row>
    <row r="129">
      <c r="A129" s="210" t="s">
        <v>283</v>
      </c>
      <c r="B129" s="211">
        <v>6.0</v>
      </c>
      <c r="C129" s="212">
        <v>24.0</v>
      </c>
      <c r="D129" s="211">
        <v>2.0</v>
      </c>
      <c r="E129" s="212">
        <v>-0.67</v>
      </c>
      <c r="F129" s="201">
        <f t="shared" si="1"/>
        <v>-0.67</v>
      </c>
      <c r="G129" s="212">
        <v>0.17</v>
      </c>
      <c r="H129" s="202">
        <f t="shared" si="2"/>
        <v>1.02</v>
      </c>
      <c r="I129" s="214">
        <v>0.0</v>
      </c>
    </row>
    <row r="130">
      <c r="A130" s="210" t="s">
        <v>320</v>
      </c>
      <c r="B130" s="211">
        <v>5.0</v>
      </c>
      <c r="C130" s="212">
        <v>20.0</v>
      </c>
      <c r="D130" s="211">
        <v>1.0</v>
      </c>
      <c r="E130" s="212">
        <v>-0.8</v>
      </c>
      <c r="F130" s="201">
        <f t="shared" si="1"/>
        <v>-0.8</v>
      </c>
      <c r="G130" s="212">
        <v>0.2</v>
      </c>
      <c r="H130" s="202">
        <f t="shared" si="2"/>
        <v>1</v>
      </c>
      <c r="I130" s="214">
        <v>0.0</v>
      </c>
    </row>
    <row r="131">
      <c r="A131" s="210" t="s">
        <v>400</v>
      </c>
      <c r="B131" s="211">
        <v>2.0</v>
      </c>
      <c r="C131" s="212">
        <v>8.0</v>
      </c>
      <c r="D131" s="211">
        <v>1.0</v>
      </c>
      <c r="E131" s="212">
        <v>-2.0</v>
      </c>
      <c r="F131" s="201">
        <f t="shared" si="1"/>
        <v>-2</v>
      </c>
      <c r="G131" s="212">
        <v>0.5</v>
      </c>
      <c r="H131" s="202">
        <f t="shared" si="2"/>
        <v>1</v>
      </c>
      <c r="I131" s="214">
        <v>0.0</v>
      </c>
    </row>
    <row r="132">
      <c r="A132" s="210" t="s">
        <v>401</v>
      </c>
      <c r="B132" s="211">
        <v>1.0</v>
      </c>
      <c r="C132" s="212">
        <v>4.0</v>
      </c>
      <c r="D132" s="211">
        <v>1.0</v>
      </c>
      <c r="E132" s="212">
        <v>-4.0</v>
      </c>
      <c r="F132" s="201">
        <f t="shared" si="1"/>
        <v>-4</v>
      </c>
      <c r="G132" s="212">
        <v>1.0</v>
      </c>
      <c r="H132" s="202">
        <f t="shared" si="2"/>
        <v>1</v>
      </c>
      <c r="I132" s="214">
        <v>0.0</v>
      </c>
    </row>
    <row r="133">
      <c r="A133" s="210"/>
      <c r="B133" s="211"/>
      <c r="C133" s="212"/>
      <c r="D133" s="211"/>
      <c r="E133" s="212"/>
      <c r="F133" s="201"/>
      <c r="G133" s="212"/>
      <c r="H133" s="202"/>
      <c r="I133" s="214"/>
    </row>
    <row r="134">
      <c r="A134" s="210"/>
      <c r="B134" s="211"/>
      <c r="C134" s="212"/>
      <c r="D134" s="211"/>
      <c r="E134" s="212"/>
      <c r="F134" s="201"/>
      <c r="G134" s="212"/>
      <c r="H134" s="202"/>
      <c r="I134" s="214"/>
    </row>
    <row r="135">
      <c r="A135" s="210"/>
      <c r="B135" s="211"/>
      <c r="C135" s="212"/>
      <c r="D135" s="211"/>
      <c r="E135" s="212"/>
      <c r="F135" s="201"/>
      <c r="G135" s="212"/>
      <c r="H135" s="202"/>
      <c r="I135" s="214"/>
    </row>
    <row r="136">
      <c r="A136" s="210"/>
      <c r="B136" s="211"/>
      <c r="C136" s="212"/>
      <c r="D136" s="211"/>
      <c r="E136" s="212"/>
      <c r="F136" s="201"/>
      <c r="G136" s="212"/>
      <c r="H136" s="202"/>
      <c r="I136" s="214"/>
    </row>
    <row r="137">
      <c r="A137" s="210"/>
      <c r="B137" s="211"/>
      <c r="C137" s="212"/>
      <c r="D137" s="211"/>
      <c r="E137" s="212"/>
      <c r="F137" s="201"/>
      <c r="G137" s="212"/>
      <c r="H137" s="202"/>
      <c r="I137" s="214"/>
    </row>
    <row r="138">
      <c r="A138" s="210"/>
      <c r="B138" s="211"/>
      <c r="C138" s="212"/>
      <c r="D138" s="211"/>
      <c r="E138" s="212"/>
      <c r="F138" s="201"/>
      <c r="G138" s="212"/>
      <c r="H138" s="202"/>
      <c r="I138" s="214"/>
    </row>
    <row r="139">
      <c r="A139" s="210"/>
      <c r="B139" s="211"/>
      <c r="C139" s="212"/>
      <c r="D139" s="211"/>
      <c r="E139" s="212"/>
      <c r="F139" s="201"/>
      <c r="G139" s="212"/>
      <c r="H139" s="202"/>
      <c r="I139" s="214"/>
    </row>
  </sheetData>
  <hyperlinks>
    <hyperlink display="Catstats Hub" location="'Catstats Hub'!A1" ref="A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25"/>
    <col customWidth="1" min="2" max="2" width="15.63"/>
    <col customWidth="1" min="3" max="3" width="14.13"/>
  </cols>
  <sheetData>
    <row r="1">
      <c r="A1" s="193" t="s">
        <v>263</v>
      </c>
      <c r="B1" s="196" t="s">
        <v>264</v>
      </c>
      <c r="C1" s="218" t="s">
        <v>265</v>
      </c>
      <c r="D1" s="196" t="s">
        <v>266</v>
      </c>
      <c r="E1" s="218" t="s">
        <v>267</v>
      </c>
      <c r="F1" s="196" t="s">
        <v>403</v>
      </c>
      <c r="G1" s="218" t="s">
        <v>269</v>
      </c>
      <c r="H1" s="197" t="s">
        <v>270</v>
      </c>
      <c r="I1" s="209" t="s">
        <v>271</v>
      </c>
    </row>
    <row r="2">
      <c r="A2" s="51" t="s">
        <v>290</v>
      </c>
      <c r="B2" s="201">
        <v>6.0</v>
      </c>
      <c r="C2" s="219">
        <v>19.0</v>
      </c>
      <c r="D2" s="201">
        <v>8.0</v>
      </c>
      <c r="E2" s="219">
        <v>5.33</v>
      </c>
      <c r="F2" s="201">
        <f t="shared" ref="F2:F132" si="1">E2*B2*3/C2</f>
        <v>5.049473684</v>
      </c>
      <c r="G2" s="219">
        <v>0.0</v>
      </c>
      <c r="H2" s="202">
        <f t="shared" ref="H2:H132" si="2">G2*B2</f>
        <v>0</v>
      </c>
      <c r="I2" s="214">
        <v>1.0</v>
      </c>
    </row>
    <row r="3">
      <c r="A3" s="51" t="s">
        <v>273</v>
      </c>
      <c r="B3" s="201">
        <v>6.0</v>
      </c>
      <c r="C3" s="219">
        <v>17.0</v>
      </c>
      <c r="D3" s="201">
        <v>7.0</v>
      </c>
      <c r="E3" s="219">
        <v>4.67</v>
      </c>
      <c r="F3" s="201">
        <f t="shared" si="1"/>
        <v>4.944705882</v>
      </c>
      <c r="G3" s="219">
        <v>0.0</v>
      </c>
      <c r="H3" s="202">
        <f t="shared" si="2"/>
        <v>0</v>
      </c>
      <c r="I3" s="214">
        <v>1.0</v>
      </c>
    </row>
    <row r="4">
      <c r="A4" s="51" t="s">
        <v>274</v>
      </c>
      <c r="B4" s="201">
        <v>6.0</v>
      </c>
      <c r="C4" s="219">
        <v>18.0</v>
      </c>
      <c r="D4" s="201">
        <v>7.0</v>
      </c>
      <c r="E4" s="219">
        <v>4.67</v>
      </c>
      <c r="F4" s="201">
        <f t="shared" si="1"/>
        <v>4.67</v>
      </c>
      <c r="G4" s="219">
        <v>0.0</v>
      </c>
      <c r="H4" s="202">
        <f t="shared" si="2"/>
        <v>0</v>
      </c>
      <c r="I4" s="214">
        <v>1.0</v>
      </c>
    </row>
    <row r="5">
      <c r="A5" s="51" t="s">
        <v>287</v>
      </c>
      <c r="B5" s="201">
        <v>5.0</v>
      </c>
      <c r="C5" s="219">
        <v>14.0</v>
      </c>
      <c r="D5" s="201">
        <v>5.0</v>
      </c>
      <c r="E5" s="219">
        <v>4.0</v>
      </c>
      <c r="F5" s="201">
        <f t="shared" si="1"/>
        <v>4.285714286</v>
      </c>
      <c r="G5" s="219">
        <v>0.0</v>
      </c>
      <c r="H5" s="202">
        <f t="shared" si="2"/>
        <v>0</v>
      </c>
      <c r="I5" s="214">
        <v>1.0</v>
      </c>
    </row>
    <row r="6">
      <c r="A6" s="51" t="s">
        <v>283</v>
      </c>
      <c r="B6" s="201">
        <v>6.0</v>
      </c>
      <c r="C6" s="219">
        <v>18.0</v>
      </c>
      <c r="D6" s="201">
        <v>8.0</v>
      </c>
      <c r="E6" s="219">
        <v>4.0</v>
      </c>
      <c r="F6" s="201">
        <f t="shared" si="1"/>
        <v>4</v>
      </c>
      <c r="G6" s="219">
        <v>0.17</v>
      </c>
      <c r="H6" s="202">
        <f t="shared" si="2"/>
        <v>1.02</v>
      </c>
      <c r="I6" s="214">
        <v>0.875</v>
      </c>
    </row>
    <row r="7">
      <c r="A7" s="51" t="s">
        <v>312</v>
      </c>
      <c r="B7" s="201">
        <v>6.0</v>
      </c>
      <c r="C7" s="219">
        <v>18.0</v>
      </c>
      <c r="D7" s="201">
        <v>6.0</v>
      </c>
      <c r="E7" s="219">
        <v>4.0</v>
      </c>
      <c r="F7" s="201">
        <f t="shared" si="1"/>
        <v>4</v>
      </c>
      <c r="G7" s="219">
        <v>0.0</v>
      </c>
      <c r="H7" s="202">
        <f t="shared" si="2"/>
        <v>0</v>
      </c>
      <c r="I7" s="214">
        <v>1.0</v>
      </c>
    </row>
    <row r="8">
      <c r="A8" s="51" t="s">
        <v>338</v>
      </c>
      <c r="B8" s="201">
        <v>1.0</v>
      </c>
      <c r="C8" s="219">
        <v>3.0</v>
      </c>
      <c r="D8" s="201">
        <v>1.0</v>
      </c>
      <c r="E8" s="219">
        <v>4.0</v>
      </c>
      <c r="F8" s="201">
        <f t="shared" si="1"/>
        <v>4</v>
      </c>
      <c r="G8" s="219">
        <v>0.0</v>
      </c>
      <c r="H8" s="202">
        <f t="shared" si="2"/>
        <v>0</v>
      </c>
      <c r="I8" s="214">
        <v>1.0</v>
      </c>
    </row>
    <row r="9">
      <c r="A9" s="51" t="s">
        <v>277</v>
      </c>
      <c r="B9" s="201">
        <v>6.0</v>
      </c>
      <c r="C9" s="219">
        <v>18.0</v>
      </c>
      <c r="D9" s="201">
        <v>7.0</v>
      </c>
      <c r="E9" s="219">
        <v>4.0</v>
      </c>
      <c r="F9" s="201">
        <f t="shared" si="1"/>
        <v>4</v>
      </c>
      <c r="G9" s="219">
        <v>0.0</v>
      </c>
      <c r="H9" s="202">
        <f t="shared" si="2"/>
        <v>0</v>
      </c>
      <c r="I9" s="214">
        <v>0.857</v>
      </c>
    </row>
    <row r="10">
      <c r="A10" s="51" t="s">
        <v>284</v>
      </c>
      <c r="B10" s="201">
        <v>6.0</v>
      </c>
      <c r="C10" s="219">
        <v>18.0</v>
      </c>
      <c r="D10" s="201">
        <v>7.0</v>
      </c>
      <c r="E10" s="219">
        <v>4.0</v>
      </c>
      <c r="F10" s="201">
        <f t="shared" si="1"/>
        <v>4</v>
      </c>
      <c r="G10" s="219">
        <v>0.0</v>
      </c>
      <c r="H10" s="202">
        <f t="shared" si="2"/>
        <v>0</v>
      </c>
      <c r="I10" s="214">
        <v>0.857</v>
      </c>
    </row>
    <row r="11">
      <c r="A11" s="51" t="s">
        <v>275</v>
      </c>
      <c r="B11" s="201">
        <v>6.0</v>
      </c>
      <c r="C11" s="219">
        <v>18.0</v>
      </c>
      <c r="D11" s="201">
        <v>6.0</v>
      </c>
      <c r="E11" s="219">
        <v>4.0</v>
      </c>
      <c r="F11" s="201">
        <f t="shared" si="1"/>
        <v>4</v>
      </c>
      <c r="G11" s="219">
        <v>0.0</v>
      </c>
      <c r="H11" s="202">
        <f t="shared" si="2"/>
        <v>0</v>
      </c>
      <c r="I11" s="214">
        <v>1.0</v>
      </c>
    </row>
    <row r="12">
      <c r="A12" s="51" t="s">
        <v>309</v>
      </c>
      <c r="B12" s="201">
        <v>2.0</v>
      </c>
      <c r="C12" s="219">
        <v>6.0</v>
      </c>
      <c r="D12" s="201">
        <v>2.0</v>
      </c>
      <c r="E12" s="219">
        <v>4.0</v>
      </c>
      <c r="F12" s="201">
        <f t="shared" si="1"/>
        <v>4</v>
      </c>
      <c r="G12" s="219">
        <v>0.0</v>
      </c>
      <c r="H12" s="202">
        <f t="shared" si="2"/>
        <v>0</v>
      </c>
      <c r="I12" s="214">
        <v>1.0</v>
      </c>
    </row>
    <row r="13">
      <c r="A13" s="51" t="s">
        <v>278</v>
      </c>
      <c r="B13" s="201">
        <v>3.0</v>
      </c>
      <c r="C13" s="219">
        <v>9.0</v>
      </c>
      <c r="D13" s="201">
        <v>4.0</v>
      </c>
      <c r="E13" s="219">
        <v>4.0</v>
      </c>
      <c r="F13" s="201">
        <f t="shared" si="1"/>
        <v>4</v>
      </c>
      <c r="G13" s="219">
        <v>0.0</v>
      </c>
      <c r="H13" s="202">
        <f t="shared" si="2"/>
        <v>0</v>
      </c>
      <c r="I13" s="214">
        <v>0.75</v>
      </c>
    </row>
    <row r="14">
      <c r="A14" s="51" t="s">
        <v>286</v>
      </c>
      <c r="B14" s="201">
        <v>6.0</v>
      </c>
      <c r="C14" s="219">
        <v>18.0</v>
      </c>
      <c r="D14" s="201">
        <v>5.0</v>
      </c>
      <c r="E14" s="219">
        <v>3.33</v>
      </c>
      <c r="F14" s="201">
        <f t="shared" si="1"/>
        <v>3.33</v>
      </c>
      <c r="G14" s="219">
        <v>0.0</v>
      </c>
      <c r="H14" s="202">
        <f t="shared" si="2"/>
        <v>0</v>
      </c>
      <c r="I14" s="214">
        <v>1.0</v>
      </c>
    </row>
    <row r="15">
      <c r="A15" s="51" t="s">
        <v>318</v>
      </c>
      <c r="B15" s="201">
        <v>6.0</v>
      </c>
      <c r="C15" s="219">
        <v>18.0</v>
      </c>
      <c r="D15" s="201">
        <v>5.0</v>
      </c>
      <c r="E15" s="219">
        <v>3.33</v>
      </c>
      <c r="F15" s="201">
        <f t="shared" si="1"/>
        <v>3.33</v>
      </c>
      <c r="G15" s="219">
        <v>0.0</v>
      </c>
      <c r="H15" s="202">
        <f t="shared" si="2"/>
        <v>0</v>
      </c>
      <c r="I15" s="214">
        <v>1.0</v>
      </c>
    </row>
    <row r="16">
      <c r="A16" s="51" t="s">
        <v>327</v>
      </c>
      <c r="B16" s="201">
        <v>6.0</v>
      </c>
      <c r="C16" s="219">
        <v>18.0</v>
      </c>
      <c r="D16" s="201">
        <v>5.0</v>
      </c>
      <c r="E16" s="219">
        <v>3.33</v>
      </c>
      <c r="F16" s="201">
        <f t="shared" si="1"/>
        <v>3.33</v>
      </c>
      <c r="G16" s="219">
        <v>0.0</v>
      </c>
      <c r="H16" s="202">
        <f t="shared" si="2"/>
        <v>0</v>
      </c>
      <c r="I16" s="214">
        <v>1.0</v>
      </c>
    </row>
    <row r="17">
      <c r="A17" s="51" t="s">
        <v>311</v>
      </c>
      <c r="B17" s="201">
        <v>6.0</v>
      </c>
      <c r="C17" s="219">
        <v>19.0</v>
      </c>
      <c r="D17" s="201">
        <v>5.0</v>
      </c>
      <c r="E17" s="219">
        <v>3.33</v>
      </c>
      <c r="F17" s="201">
        <f t="shared" si="1"/>
        <v>3.154736842</v>
      </c>
      <c r="G17" s="219">
        <v>0.0</v>
      </c>
      <c r="H17" s="202">
        <f t="shared" si="2"/>
        <v>0</v>
      </c>
      <c r="I17" s="214">
        <v>1.0</v>
      </c>
    </row>
    <row r="18">
      <c r="A18" s="51" t="s">
        <v>306</v>
      </c>
      <c r="B18" s="201">
        <v>6.0</v>
      </c>
      <c r="C18" s="219">
        <v>17.0</v>
      </c>
      <c r="D18" s="201">
        <v>4.0</v>
      </c>
      <c r="E18" s="219">
        <v>2.67</v>
      </c>
      <c r="F18" s="201">
        <f t="shared" si="1"/>
        <v>2.827058824</v>
      </c>
      <c r="G18" s="219">
        <v>0.0</v>
      </c>
      <c r="H18" s="202">
        <f t="shared" si="2"/>
        <v>0</v>
      </c>
      <c r="I18" s="214">
        <v>1.0</v>
      </c>
    </row>
    <row r="19">
      <c r="A19" s="51" t="s">
        <v>323</v>
      </c>
      <c r="B19" s="201">
        <v>6.0</v>
      </c>
      <c r="C19" s="219">
        <v>17.0</v>
      </c>
      <c r="D19" s="201">
        <v>4.0</v>
      </c>
      <c r="E19" s="219">
        <v>2.67</v>
      </c>
      <c r="F19" s="201">
        <f t="shared" si="1"/>
        <v>2.827058824</v>
      </c>
      <c r="G19" s="219">
        <v>0.0</v>
      </c>
      <c r="H19" s="202">
        <f t="shared" si="2"/>
        <v>0</v>
      </c>
      <c r="I19" s="214">
        <v>1.0</v>
      </c>
    </row>
    <row r="20">
      <c r="A20" s="51" t="s">
        <v>279</v>
      </c>
      <c r="B20" s="201">
        <v>6.0</v>
      </c>
      <c r="C20" s="219">
        <v>18.0</v>
      </c>
      <c r="D20" s="201">
        <v>11.0</v>
      </c>
      <c r="E20" s="219">
        <v>2.67</v>
      </c>
      <c r="F20" s="201">
        <f t="shared" si="1"/>
        <v>2.67</v>
      </c>
      <c r="G20" s="219">
        <v>0.5</v>
      </c>
      <c r="H20" s="202">
        <f t="shared" si="2"/>
        <v>3</v>
      </c>
      <c r="I20" s="214">
        <v>0.636</v>
      </c>
    </row>
    <row r="21">
      <c r="A21" s="51" t="s">
        <v>276</v>
      </c>
      <c r="B21" s="201">
        <v>6.0</v>
      </c>
      <c r="C21" s="219">
        <v>18.0</v>
      </c>
      <c r="D21" s="201">
        <v>9.0</v>
      </c>
      <c r="E21" s="219">
        <v>2.67</v>
      </c>
      <c r="F21" s="201">
        <f t="shared" si="1"/>
        <v>2.67</v>
      </c>
      <c r="G21" s="219">
        <v>0.33</v>
      </c>
      <c r="H21" s="202">
        <f t="shared" si="2"/>
        <v>1.98</v>
      </c>
      <c r="I21" s="214">
        <v>0.667</v>
      </c>
    </row>
    <row r="22">
      <c r="A22" s="51" t="s">
        <v>280</v>
      </c>
      <c r="B22" s="201">
        <v>6.0</v>
      </c>
      <c r="C22" s="219">
        <v>18.0</v>
      </c>
      <c r="D22" s="201">
        <v>6.0</v>
      </c>
      <c r="E22" s="219">
        <v>2.67</v>
      </c>
      <c r="F22" s="201">
        <f t="shared" si="1"/>
        <v>2.67</v>
      </c>
      <c r="G22" s="219">
        <v>0.17</v>
      </c>
      <c r="H22" s="202">
        <f t="shared" si="2"/>
        <v>1.02</v>
      </c>
      <c r="I22" s="214">
        <v>0.833</v>
      </c>
    </row>
    <row r="23">
      <c r="A23" s="51" t="s">
        <v>289</v>
      </c>
      <c r="B23" s="201">
        <v>3.0</v>
      </c>
      <c r="C23" s="219">
        <v>9.0</v>
      </c>
      <c r="D23" s="201">
        <v>4.0</v>
      </c>
      <c r="E23" s="219">
        <v>2.67</v>
      </c>
      <c r="F23" s="201">
        <f t="shared" si="1"/>
        <v>2.67</v>
      </c>
      <c r="G23" s="219">
        <v>0.33</v>
      </c>
      <c r="H23" s="202">
        <f t="shared" si="2"/>
        <v>0.99</v>
      </c>
      <c r="I23" s="214">
        <v>0.75</v>
      </c>
    </row>
    <row r="24">
      <c r="A24" s="51" t="s">
        <v>335</v>
      </c>
      <c r="B24" s="201">
        <v>3.0</v>
      </c>
      <c r="C24" s="219">
        <v>9.0</v>
      </c>
      <c r="D24" s="201">
        <v>2.0</v>
      </c>
      <c r="E24" s="219">
        <v>2.67</v>
      </c>
      <c r="F24" s="201">
        <f t="shared" si="1"/>
        <v>2.67</v>
      </c>
      <c r="G24" s="219">
        <v>0.0</v>
      </c>
      <c r="H24" s="202">
        <f t="shared" si="2"/>
        <v>0</v>
      </c>
      <c r="I24" s="214">
        <v>1.0</v>
      </c>
    </row>
    <row r="25">
      <c r="A25" s="51" t="s">
        <v>304</v>
      </c>
      <c r="B25" s="201">
        <v>6.0</v>
      </c>
      <c r="C25" s="219">
        <v>18.0</v>
      </c>
      <c r="D25" s="201">
        <v>4.0</v>
      </c>
      <c r="E25" s="219">
        <v>2.67</v>
      </c>
      <c r="F25" s="201">
        <f t="shared" si="1"/>
        <v>2.67</v>
      </c>
      <c r="G25" s="219">
        <v>0.0</v>
      </c>
      <c r="H25" s="202">
        <f t="shared" si="2"/>
        <v>0</v>
      </c>
      <c r="I25" s="214">
        <v>1.0</v>
      </c>
    </row>
    <row r="26">
      <c r="A26" s="51" t="s">
        <v>326</v>
      </c>
      <c r="B26" s="201">
        <v>6.0</v>
      </c>
      <c r="C26" s="219">
        <v>18.0</v>
      </c>
      <c r="D26" s="201">
        <v>4.0</v>
      </c>
      <c r="E26" s="219">
        <v>2.67</v>
      </c>
      <c r="F26" s="201">
        <f t="shared" si="1"/>
        <v>2.67</v>
      </c>
      <c r="G26" s="219">
        <v>0.0</v>
      </c>
      <c r="H26" s="202">
        <f t="shared" si="2"/>
        <v>0</v>
      </c>
      <c r="I26" s="214">
        <v>1.0</v>
      </c>
    </row>
    <row r="27">
      <c r="A27" s="51" t="s">
        <v>272</v>
      </c>
      <c r="B27" s="201">
        <v>6.0</v>
      </c>
      <c r="C27" s="219">
        <v>18.0</v>
      </c>
      <c r="D27" s="201">
        <v>4.0</v>
      </c>
      <c r="E27" s="219">
        <v>2.67</v>
      </c>
      <c r="F27" s="201">
        <f t="shared" si="1"/>
        <v>2.67</v>
      </c>
      <c r="G27" s="219">
        <v>0.0</v>
      </c>
      <c r="H27" s="202">
        <f t="shared" si="2"/>
        <v>0</v>
      </c>
      <c r="I27" s="214">
        <v>1.0</v>
      </c>
    </row>
    <row r="28">
      <c r="A28" s="51" t="s">
        <v>365</v>
      </c>
      <c r="B28" s="201">
        <v>6.0</v>
      </c>
      <c r="C28" s="219">
        <v>18.0</v>
      </c>
      <c r="D28" s="201">
        <v>4.0</v>
      </c>
      <c r="E28" s="219">
        <v>2.67</v>
      </c>
      <c r="F28" s="201">
        <f t="shared" si="1"/>
        <v>2.67</v>
      </c>
      <c r="G28" s="219">
        <v>0.0</v>
      </c>
      <c r="H28" s="202">
        <f t="shared" si="2"/>
        <v>0</v>
      </c>
      <c r="I28" s="214">
        <v>1.0</v>
      </c>
    </row>
    <row r="29">
      <c r="A29" s="51" t="s">
        <v>352</v>
      </c>
      <c r="B29" s="201">
        <v>3.0</v>
      </c>
      <c r="C29" s="219">
        <v>9.0</v>
      </c>
      <c r="D29" s="201">
        <v>2.0</v>
      </c>
      <c r="E29" s="219">
        <v>2.67</v>
      </c>
      <c r="F29" s="201">
        <f t="shared" si="1"/>
        <v>2.67</v>
      </c>
      <c r="G29" s="219">
        <v>0.0</v>
      </c>
      <c r="H29" s="202">
        <f t="shared" si="2"/>
        <v>0</v>
      </c>
      <c r="I29" s="214">
        <v>1.0</v>
      </c>
    </row>
    <row r="30">
      <c r="A30" s="51" t="s">
        <v>285</v>
      </c>
      <c r="B30" s="201">
        <v>6.0</v>
      </c>
      <c r="C30" s="219">
        <v>19.0</v>
      </c>
      <c r="D30" s="201">
        <v>4.0</v>
      </c>
      <c r="E30" s="219">
        <v>2.67</v>
      </c>
      <c r="F30" s="201">
        <f t="shared" si="1"/>
        <v>2.529473684</v>
      </c>
      <c r="G30" s="219">
        <v>0.0</v>
      </c>
      <c r="H30" s="202">
        <f t="shared" si="2"/>
        <v>0</v>
      </c>
      <c r="I30" s="214">
        <v>1.0</v>
      </c>
    </row>
    <row r="31">
      <c r="A31" s="51" t="s">
        <v>344</v>
      </c>
      <c r="B31" s="201">
        <v>5.0</v>
      </c>
      <c r="C31" s="219">
        <v>15.0</v>
      </c>
      <c r="D31" s="201">
        <v>4.0</v>
      </c>
      <c r="E31" s="219">
        <v>2.4</v>
      </c>
      <c r="F31" s="201">
        <f t="shared" si="1"/>
        <v>2.4</v>
      </c>
      <c r="G31" s="219">
        <v>0.0</v>
      </c>
      <c r="H31" s="202">
        <f t="shared" si="2"/>
        <v>0</v>
      </c>
      <c r="I31" s="214">
        <v>0.75</v>
      </c>
    </row>
    <row r="32">
      <c r="A32" s="51" t="s">
        <v>390</v>
      </c>
      <c r="B32" s="201">
        <v>4.0</v>
      </c>
      <c r="C32" s="219">
        <v>11.0</v>
      </c>
      <c r="D32" s="201">
        <v>2.0</v>
      </c>
      <c r="E32" s="219">
        <v>2.0</v>
      </c>
      <c r="F32" s="201">
        <f t="shared" si="1"/>
        <v>2.181818182</v>
      </c>
      <c r="G32" s="219">
        <v>0.0</v>
      </c>
      <c r="H32" s="202">
        <f t="shared" si="2"/>
        <v>0</v>
      </c>
      <c r="I32" s="214">
        <v>1.0</v>
      </c>
    </row>
    <row r="33">
      <c r="A33" s="51" t="s">
        <v>293</v>
      </c>
      <c r="B33" s="201">
        <v>6.0</v>
      </c>
      <c r="C33" s="219">
        <v>18.0</v>
      </c>
      <c r="D33" s="201">
        <v>5.0</v>
      </c>
      <c r="E33" s="219">
        <v>2.0</v>
      </c>
      <c r="F33" s="201">
        <f t="shared" si="1"/>
        <v>2</v>
      </c>
      <c r="G33" s="219">
        <v>0.17</v>
      </c>
      <c r="H33" s="202">
        <f t="shared" si="2"/>
        <v>1.02</v>
      </c>
      <c r="I33" s="214">
        <v>0.8</v>
      </c>
    </row>
    <row r="34">
      <c r="A34" s="51" t="s">
        <v>356</v>
      </c>
      <c r="B34" s="201">
        <v>6.0</v>
      </c>
      <c r="C34" s="219">
        <v>18.0</v>
      </c>
      <c r="D34" s="201">
        <v>5.0</v>
      </c>
      <c r="E34" s="219">
        <v>2.0</v>
      </c>
      <c r="F34" s="201">
        <f t="shared" si="1"/>
        <v>2</v>
      </c>
      <c r="G34" s="219">
        <v>0.17</v>
      </c>
      <c r="H34" s="202">
        <f t="shared" si="2"/>
        <v>1.02</v>
      </c>
      <c r="I34" s="214">
        <v>0.8</v>
      </c>
    </row>
    <row r="35">
      <c r="A35" s="51" t="s">
        <v>332</v>
      </c>
      <c r="B35" s="201">
        <v>6.0</v>
      </c>
      <c r="C35" s="219">
        <v>18.0</v>
      </c>
      <c r="D35" s="201">
        <v>6.0</v>
      </c>
      <c r="E35" s="219">
        <v>2.0</v>
      </c>
      <c r="F35" s="201">
        <f t="shared" si="1"/>
        <v>2</v>
      </c>
      <c r="G35" s="219">
        <v>0.17</v>
      </c>
      <c r="H35" s="202">
        <f t="shared" si="2"/>
        <v>1.02</v>
      </c>
      <c r="I35" s="214">
        <v>0.667</v>
      </c>
    </row>
    <row r="36">
      <c r="A36" s="51" t="s">
        <v>307</v>
      </c>
      <c r="B36" s="201">
        <v>6.0</v>
      </c>
      <c r="C36" s="219">
        <v>18.0</v>
      </c>
      <c r="D36" s="201">
        <v>3.0</v>
      </c>
      <c r="E36" s="219">
        <v>2.0</v>
      </c>
      <c r="F36" s="201">
        <f t="shared" si="1"/>
        <v>2</v>
      </c>
      <c r="G36" s="219">
        <v>0.0</v>
      </c>
      <c r="H36" s="202">
        <f t="shared" si="2"/>
        <v>0</v>
      </c>
      <c r="I36" s="214">
        <v>1.0</v>
      </c>
    </row>
    <row r="37">
      <c r="A37" s="51" t="s">
        <v>296</v>
      </c>
      <c r="B37" s="201">
        <v>6.0</v>
      </c>
      <c r="C37" s="219">
        <v>18.0</v>
      </c>
      <c r="D37" s="201">
        <v>3.0</v>
      </c>
      <c r="E37" s="219">
        <v>2.0</v>
      </c>
      <c r="F37" s="201">
        <f t="shared" si="1"/>
        <v>2</v>
      </c>
      <c r="G37" s="219">
        <v>0.0</v>
      </c>
      <c r="H37" s="202">
        <f t="shared" si="2"/>
        <v>0</v>
      </c>
      <c r="I37" s="214">
        <v>1.0</v>
      </c>
    </row>
    <row r="38">
      <c r="A38" s="51" t="s">
        <v>360</v>
      </c>
      <c r="B38" s="201">
        <v>2.0</v>
      </c>
      <c r="C38" s="219">
        <v>6.0</v>
      </c>
      <c r="D38" s="201">
        <v>1.0</v>
      </c>
      <c r="E38" s="219">
        <v>2.0</v>
      </c>
      <c r="F38" s="201">
        <f t="shared" si="1"/>
        <v>2</v>
      </c>
      <c r="G38" s="219">
        <v>0.0</v>
      </c>
      <c r="H38" s="202">
        <f t="shared" si="2"/>
        <v>0</v>
      </c>
      <c r="I38" s="214">
        <v>1.0</v>
      </c>
    </row>
    <row r="39">
      <c r="A39" s="51" t="s">
        <v>303</v>
      </c>
      <c r="B39" s="201">
        <v>6.0</v>
      </c>
      <c r="C39" s="219">
        <v>19.0</v>
      </c>
      <c r="D39" s="201">
        <v>4.0</v>
      </c>
      <c r="E39" s="219">
        <v>2.0</v>
      </c>
      <c r="F39" s="201">
        <f t="shared" si="1"/>
        <v>1.894736842</v>
      </c>
      <c r="G39" s="219">
        <v>0.0</v>
      </c>
      <c r="H39" s="202">
        <f t="shared" si="2"/>
        <v>0</v>
      </c>
      <c r="I39" s="214">
        <v>0.75</v>
      </c>
    </row>
    <row r="40">
      <c r="A40" s="51" t="s">
        <v>322</v>
      </c>
      <c r="B40" s="201">
        <v>5.0</v>
      </c>
      <c r="C40" s="219">
        <v>14.0</v>
      </c>
      <c r="D40" s="201">
        <v>2.0</v>
      </c>
      <c r="E40" s="219">
        <v>1.6</v>
      </c>
      <c r="F40" s="201">
        <f t="shared" si="1"/>
        <v>1.714285714</v>
      </c>
      <c r="G40" s="219">
        <v>0.0</v>
      </c>
      <c r="H40" s="202">
        <f t="shared" si="2"/>
        <v>0</v>
      </c>
      <c r="I40" s="214">
        <v>1.0</v>
      </c>
    </row>
    <row r="41">
      <c r="A41" s="51" t="s">
        <v>297</v>
      </c>
      <c r="B41" s="201">
        <v>5.0</v>
      </c>
      <c r="C41" s="219">
        <v>14.0</v>
      </c>
      <c r="D41" s="201">
        <v>2.0</v>
      </c>
      <c r="E41" s="219">
        <v>1.6</v>
      </c>
      <c r="F41" s="201">
        <f t="shared" si="1"/>
        <v>1.714285714</v>
      </c>
      <c r="G41" s="219">
        <v>0.0</v>
      </c>
      <c r="H41" s="202">
        <f t="shared" si="2"/>
        <v>0</v>
      </c>
      <c r="I41" s="214">
        <v>1.0</v>
      </c>
    </row>
    <row r="42">
      <c r="A42" s="51" t="s">
        <v>343</v>
      </c>
      <c r="B42" s="201">
        <v>5.0</v>
      </c>
      <c r="C42" s="219">
        <v>15.0</v>
      </c>
      <c r="D42" s="201">
        <v>2.0</v>
      </c>
      <c r="E42" s="219">
        <v>1.6</v>
      </c>
      <c r="F42" s="201">
        <f t="shared" si="1"/>
        <v>1.6</v>
      </c>
      <c r="G42" s="219">
        <v>0.0</v>
      </c>
      <c r="H42" s="202">
        <f t="shared" si="2"/>
        <v>0</v>
      </c>
      <c r="I42" s="214">
        <v>1.0</v>
      </c>
    </row>
    <row r="43">
      <c r="A43" s="51" t="s">
        <v>339</v>
      </c>
      <c r="B43" s="201">
        <v>5.0</v>
      </c>
      <c r="C43" s="219">
        <v>15.0</v>
      </c>
      <c r="D43" s="201">
        <v>2.0</v>
      </c>
      <c r="E43" s="219">
        <v>1.6</v>
      </c>
      <c r="F43" s="201">
        <f t="shared" si="1"/>
        <v>1.6</v>
      </c>
      <c r="G43" s="219">
        <v>0.0</v>
      </c>
      <c r="H43" s="202">
        <f t="shared" si="2"/>
        <v>0</v>
      </c>
      <c r="I43" s="214">
        <v>1.0</v>
      </c>
    </row>
    <row r="44">
      <c r="A44" s="51" t="s">
        <v>308</v>
      </c>
      <c r="B44" s="201">
        <v>5.0</v>
      </c>
      <c r="C44" s="219">
        <v>15.0</v>
      </c>
      <c r="D44" s="201">
        <v>2.0</v>
      </c>
      <c r="E44" s="219">
        <v>1.6</v>
      </c>
      <c r="F44" s="201">
        <f t="shared" si="1"/>
        <v>1.6</v>
      </c>
      <c r="G44" s="219">
        <v>0.0</v>
      </c>
      <c r="H44" s="202">
        <f t="shared" si="2"/>
        <v>0</v>
      </c>
      <c r="I44" s="214">
        <v>1.0</v>
      </c>
    </row>
    <row r="45">
      <c r="A45" s="51" t="s">
        <v>345</v>
      </c>
      <c r="B45" s="201">
        <v>5.0</v>
      </c>
      <c r="C45" s="219">
        <v>15.0</v>
      </c>
      <c r="D45" s="201">
        <v>2.0</v>
      </c>
      <c r="E45" s="219">
        <v>1.6</v>
      </c>
      <c r="F45" s="201">
        <f t="shared" si="1"/>
        <v>1.6</v>
      </c>
      <c r="G45" s="219">
        <v>0.0</v>
      </c>
      <c r="H45" s="202">
        <f t="shared" si="2"/>
        <v>0</v>
      </c>
      <c r="I45" s="214">
        <v>1.0</v>
      </c>
    </row>
    <row r="46">
      <c r="A46" s="51" t="s">
        <v>359</v>
      </c>
      <c r="B46" s="201">
        <v>6.0</v>
      </c>
      <c r="C46" s="219">
        <v>17.0</v>
      </c>
      <c r="D46" s="201">
        <v>3.0</v>
      </c>
      <c r="E46" s="219">
        <v>1.33</v>
      </c>
      <c r="F46" s="201">
        <f t="shared" si="1"/>
        <v>1.408235294</v>
      </c>
      <c r="G46" s="219">
        <v>0.0</v>
      </c>
      <c r="H46" s="202">
        <f t="shared" si="2"/>
        <v>0</v>
      </c>
      <c r="I46" s="214">
        <v>0.667</v>
      </c>
    </row>
    <row r="47">
      <c r="A47" s="51" t="s">
        <v>382</v>
      </c>
      <c r="B47" s="201">
        <v>6.0</v>
      </c>
      <c r="C47" s="219">
        <v>18.0</v>
      </c>
      <c r="D47" s="201">
        <v>5.0</v>
      </c>
      <c r="E47" s="219">
        <v>1.33</v>
      </c>
      <c r="F47" s="201">
        <f t="shared" si="1"/>
        <v>1.33</v>
      </c>
      <c r="G47" s="219">
        <v>0.17</v>
      </c>
      <c r="H47" s="202">
        <f t="shared" si="2"/>
        <v>1.02</v>
      </c>
      <c r="I47" s="214">
        <v>0.6</v>
      </c>
    </row>
    <row r="48">
      <c r="A48" s="51" t="s">
        <v>298</v>
      </c>
      <c r="B48" s="201">
        <v>6.0</v>
      </c>
      <c r="C48" s="219">
        <v>18.0</v>
      </c>
      <c r="D48" s="201">
        <v>7.0</v>
      </c>
      <c r="E48" s="219">
        <v>1.33</v>
      </c>
      <c r="F48" s="201">
        <f t="shared" si="1"/>
        <v>1.33</v>
      </c>
      <c r="G48" s="219">
        <v>0.17</v>
      </c>
      <c r="H48" s="202">
        <f t="shared" si="2"/>
        <v>1.02</v>
      </c>
      <c r="I48" s="214">
        <v>0.429</v>
      </c>
    </row>
    <row r="49">
      <c r="A49" s="51" t="s">
        <v>369</v>
      </c>
      <c r="B49" s="201">
        <v>6.0</v>
      </c>
      <c r="C49" s="219">
        <v>18.0</v>
      </c>
      <c r="D49" s="201">
        <v>4.0</v>
      </c>
      <c r="E49" s="219">
        <v>1.33</v>
      </c>
      <c r="F49" s="201">
        <f t="shared" si="1"/>
        <v>1.33</v>
      </c>
      <c r="G49" s="219">
        <v>0.17</v>
      </c>
      <c r="H49" s="202">
        <f t="shared" si="2"/>
        <v>1.02</v>
      </c>
      <c r="I49" s="214">
        <v>0.75</v>
      </c>
    </row>
    <row r="50">
      <c r="A50" s="51" t="s">
        <v>310</v>
      </c>
      <c r="B50" s="201">
        <v>6.0</v>
      </c>
      <c r="C50" s="219">
        <v>18.0</v>
      </c>
      <c r="D50" s="201">
        <v>4.0</v>
      </c>
      <c r="E50" s="219">
        <v>1.33</v>
      </c>
      <c r="F50" s="201">
        <f t="shared" si="1"/>
        <v>1.33</v>
      </c>
      <c r="G50" s="219">
        <v>0.17</v>
      </c>
      <c r="H50" s="202">
        <f t="shared" si="2"/>
        <v>1.02</v>
      </c>
      <c r="I50" s="214">
        <v>0.75</v>
      </c>
    </row>
    <row r="51">
      <c r="A51" s="51" t="s">
        <v>291</v>
      </c>
      <c r="B51" s="201">
        <v>6.0</v>
      </c>
      <c r="C51" s="219">
        <v>18.0</v>
      </c>
      <c r="D51" s="201">
        <v>6.0</v>
      </c>
      <c r="E51" s="219">
        <v>1.33</v>
      </c>
      <c r="F51" s="201">
        <f t="shared" si="1"/>
        <v>1.33</v>
      </c>
      <c r="G51" s="219">
        <v>0.17</v>
      </c>
      <c r="H51" s="202">
        <f t="shared" si="2"/>
        <v>1.02</v>
      </c>
      <c r="I51" s="214">
        <v>0.5</v>
      </c>
    </row>
    <row r="52">
      <c r="A52" s="51" t="s">
        <v>336</v>
      </c>
      <c r="B52" s="201">
        <v>3.0</v>
      </c>
      <c r="C52" s="219">
        <v>9.0</v>
      </c>
      <c r="D52" s="201">
        <v>1.0</v>
      </c>
      <c r="E52" s="219">
        <v>1.33</v>
      </c>
      <c r="F52" s="201">
        <f t="shared" si="1"/>
        <v>1.33</v>
      </c>
      <c r="G52" s="219">
        <v>0.0</v>
      </c>
      <c r="H52" s="202">
        <f t="shared" si="2"/>
        <v>0</v>
      </c>
      <c r="I52" s="214">
        <v>1.0</v>
      </c>
    </row>
    <row r="53">
      <c r="A53" s="51" t="s">
        <v>325</v>
      </c>
      <c r="B53" s="201">
        <v>6.0</v>
      </c>
      <c r="C53" s="219">
        <v>18.0</v>
      </c>
      <c r="D53" s="201">
        <v>2.0</v>
      </c>
      <c r="E53" s="219">
        <v>1.33</v>
      </c>
      <c r="F53" s="201">
        <f t="shared" si="1"/>
        <v>1.33</v>
      </c>
      <c r="G53" s="219">
        <v>0.0</v>
      </c>
      <c r="H53" s="202">
        <f t="shared" si="2"/>
        <v>0</v>
      </c>
      <c r="I53" s="214">
        <v>1.0</v>
      </c>
    </row>
    <row r="54">
      <c r="A54" s="51" t="s">
        <v>294</v>
      </c>
      <c r="B54" s="201">
        <v>6.0</v>
      </c>
      <c r="C54" s="219">
        <v>18.0</v>
      </c>
      <c r="D54" s="201">
        <v>3.0</v>
      </c>
      <c r="E54" s="219">
        <v>1.33</v>
      </c>
      <c r="F54" s="201">
        <f t="shared" si="1"/>
        <v>1.33</v>
      </c>
      <c r="G54" s="219">
        <v>0.0</v>
      </c>
      <c r="H54" s="202">
        <f t="shared" si="2"/>
        <v>0</v>
      </c>
      <c r="I54" s="214">
        <v>0.667</v>
      </c>
    </row>
    <row r="55">
      <c r="A55" s="51" t="s">
        <v>357</v>
      </c>
      <c r="B55" s="201">
        <v>6.0</v>
      </c>
      <c r="C55" s="219">
        <v>18.0</v>
      </c>
      <c r="D55" s="201">
        <v>3.0</v>
      </c>
      <c r="E55" s="219">
        <v>1.33</v>
      </c>
      <c r="F55" s="201">
        <f t="shared" si="1"/>
        <v>1.33</v>
      </c>
      <c r="G55" s="219">
        <v>0.0</v>
      </c>
      <c r="H55" s="202">
        <f t="shared" si="2"/>
        <v>0</v>
      </c>
      <c r="I55" s="214">
        <v>0.667</v>
      </c>
    </row>
    <row r="56">
      <c r="A56" s="51" t="s">
        <v>315</v>
      </c>
      <c r="B56" s="201">
        <v>6.0</v>
      </c>
      <c r="C56" s="219">
        <v>18.0</v>
      </c>
      <c r="D56" s="201">
        <v>2.0</v>
      </c>
      <c r="E56" s="219">
        <v>1.33</v>
      </c>
      <c r="F56" s="201">
        <f t="shared" si="1"/>
        <v>1.33</v>
      </c>
      <c r="G56" s="219">
        <v>0.0</v>
      </c>
      <c r="H56" s="202">
        <f t="shared" si="2"/>
        <v>0</v>
      </c>
      <c r="I56" s="214">
        <v>1.0</v>
      </c>
    </row>
    <row r="57">
      <c r="A57" s="51" t="s">
        <v>328</v>
      </c>
      <c r="B57" s="201">
        <v>6.0</v>
      </c>
      <c r="C57" s="219">
        <v>18.0</v>
      </c>
      <c r="D57" s="201">
        <v>2.0</v>
      </c>
      <c r="E57" s="219">
        <v>1.33</v>
      </c>
      <c r="F57" s="201">
        <f t="shared" si="1"/>
        <v>1.33</v>
      </c>
      <c r="G57" s="219">
        <v>0.0</v>
      </c>
      <c r="H57" s="202">
        <f t="shared" si="2"/>
        <v>0</v>
      </c>
      <c r="I57" s="214">
        <v>1.0</v>
      </c>
    </row>
    <row r="58">
      <c r="A58" s="51" t="s">
        <v>381</v>
      </c>
      <c r="B58" s="201">
        <v>3.0</v>
      </c>
      <c r="C58" s="219">
        <v>9.0</v>
      </c>
      <c r="D58" s="201">
        <v>1.0</v>
      </c>
      <c r="E58" s="219">
        <v>1.33</v>
      </c>
      <c r="F58" s="201">
        <f t="shared" si="1"/>
        <v>1.33</v>
      </c>
      <c r="G58" s="219">
        <v>0.0</v>
      </c>
      <c r="H58" s="202">
        <f t="shared" si="2"/>
        <v>0</v>
      </c>
      <c r="I58" s="214">
        <v>1.0</v>
      </c>
    </row>
    <row r="59">
      <c r="A59" s="51" t="s">
        <v>398</v>
      </c>
      <c r="B59" s="201">
        <v>3.0</v>
      </c>
      <c r="C59" s="219">
        <v>9.0</v>
      </c>
      <c r="D59" s="201">
        <v>1.0</v>
      </c>
      <c r="E59" s="219">
        <v>1.33</v>
      </c>
      <c r="F59" s="201">
        <f t="shared" si="1"/>
        <v>1.33</v>
      </c>
      <c r="G59" s="219">
        <v>0.0</v>
      </c>
      <c r="H59" s="202">
        <f t="shared" si="2"/>
        <v>0</v>
      </c>
      <c r="I59" s="214">
        <v>1.0</v>
      </c>
    </row>
    <row r="60">
      <c r="A60" s="51" t="s">
        <v>372</v>
      </c>
      <c r="B60" s="201">
        <v>3.0</v>
      </c>
      <c r="C60" s="219">
        <v>9.0</v>
      </c>
      <c r="D60" s="201">
        <v>1.0</v>
      </c>
      <c r="E60" s="219">
        <v>1.33</v>
      </c>
      <c r="F60" s="201">
        <f t="shared" si="1"/>
        <v>1.33</v>
      </c>
      <c r="G60" s="219">
        <v>0.0</v>
      </c>
      <c r="H60" s="202">
        <f t="shared" si="2"/>
        <v>0</v>
      </c>
      <c r="I60" s="214">
        <v>1.0</v>
      </c>
    </row>
    <row r="61">
      <c r="A61" s="51" t="s">
        <v>396</v>
      </c>
      <c r="B61" s="201">
        <v>4.0</v>
      </c>
      <c r="C61" s="219">
        <v>11.0</v>
      </c>
      <c r="D61" s="201">
        <v>1.0</v>
      </c>
      <c r="E61" s="219">
        <v>1.0</v>
      </c>
      <c r="F61" s="201">
        <f t="shared" si="1"/>
        <v>1.090909091</v>
      </c>
      <c r="G61" s="219">
        <v>0.0</v>
      </c>
      <c r="H61" s="202">
        <f t="shared" si="2"/>
        <v>0</v>
      </c>
      <c r="I61" s="214">
        <v>1.0</v>
      </c>
    </row>
    <row r="62">
      <c r="A62" s="51" t="s">
        <v>389</v>
      </c>
      <c r="B62" s="201">
        <v>4.0</v>
      </c>
      <c r="C62" s="219">
        <v>12.0</v>
      </c>
      <c r="D62" s="201">
        <v>1.0</v>
      </c>
      <c r="E62" s="219">
        <v>1.0</v>
      </c>
      <c r="F62" s="201">
        <f t="shared" si="1"/>
        <v>1</v>
      </c>
      <c r="G62" s="219">
        <v>0.0</v>
      </c>
      <c r="H62" s="202">
        <f t="shared" si="2"/>
        <v>0</v>
      </c>
      <c r="I62" s="214">
        <v>1.0</v>
      </c>
    </row>
    <row r="63">
      <c r="A63" s="51" t="s">
        <v>371</v>
      </c>
      <c r="B63" s="201">
        <v>4.0</v>
      </c>
      <c r="C63" s="219">
        <v>12.0</v>
      </c>
      <c r="D63" s="201">
        <v>1.0</v>
      </c>
      <c r="E63" s="219">
        <v>1.0</v>
      </c>
      <c r="F63" s="201">
        <f t="shared" si="1"/>
        <v>1</v>
      </c>
      <c r="G63" s="219">
        <v>0.0</v>
      </c>
      <c r="H63" s="202">
        <f t="shared" si="2"/>
        <v>0</v>
      </c>
      <c r="I63" s="214">
        <v>1.0</v>
      </c>
    </row>
    <row r="64">
      <c r="A64" s="51" t="s">
        <v>368</v>
      </c>
      <c r="B64" s="201">
        <v>4.0</v>
      </c>
      <c r="C64" s="219">
        <v>12.0</v>
      </c>
      <c r="D64" s="201">
        <v>1.0</v>
      </c>
      <c r="E64" s="219">
        <v>1.0</v>
      </c>
      <c r="F64" s="201">
        <f t="shared" si="1"/>
        <v>1</v>
      </c>
      <c r="G64" s="219">
        <v>0.0</v>
      </c>
      <c r="H64" s="202">
        <f t="shared" si="2"/>
        <v>0</v>
      </c>
      <c r="I64" s="214">
        <v>1.0</v>
      </c>
    </row>
    <row r="65">
      <c r="A65" s="51" t="s">
        <v>348</v>
      </c>
      <c r="B65" s="201">
        <v>4.0</v>
      </c>
      <c r="C65" s="219">
        <v>12.0</v>
      </c>
      <c r="D65" s="201">
        <v>1.0</v>
      </c>
      <c r="E65" s="219">
        <v>1.0</v>
      </c>
      <c r="F65" s="201">
        <f t="shared" si="1"/>
        <v>1</v>
      </c>
      <c r="G65" s="219">
        <v>0.0</v>
      </c>
      <c r="H65" s="202">
        <f t="shared" si="2"/>
        <v>0</v>
      </c>
      <c r="I65" s="214">
        <v>1.0</v>
      </c>
    </row>
    <row r="66">
      <c r="A66" s="51" t="s">
        <v>388</v>
      </c>
      <c r="B66" s="201">
        <v>4.0</v>
      </c>
      <c r="C66" s="219">
        <v>12.0</v>
      </c>
      <c r="D66" s="201">
        <v>1.0</v>
      </c>
      <c r="E66" s="219">
        <v>1.0</v>
      </c>
      <c r="F66" s="201">
        <f t="shared" si="1"/>
        <v>1</v>
      </c>
      <c r="G66" s="219">
        <v>0.0</v>
      </c>
      <c r="H66" s="202">
        <f t="shared" si="2"/>
        <v>0</v>
      </c>
      <c r="I66" s="214">
        <v>1.0</v>
      </c>
    </row>
    <row r="67">
      <c r="A67" s="51" t="s">
        <v>361</v>
      </c>
      <c r="B67" s="201">
        <v>5.0</v>
      </c>
      <c r="C67" s="219">
        <v>14.0</v>
      </c>
      <c r="D67" s="201">
        <v>1.0</v>
      </c>
      <c r="E67" s="219">
        <v>0.8</v>
      </c>
      <c r="F67" s="201">
        <f t="shared" si="1"/>
        <v>0.8571428571</v>
      </c>
      <c r="G67" s="219">
        <v>0.0</v>
      </c>
      <c r="H67" s="202">
        <f t="shared" si="2"/>
        <v>0</v>
      </c>
      <c r="I67" s="214">
        <v>1.0</v>
      </c>
    </row>
    <row r="68">
      <c r="A68" s="51" t="s">
        <v>395</v>
      </c>
      <c r="B68" s="201">
        <v>5.0</v>
      </c>
      <c r="C68" s="219">
        <v>15.0</v>
      </c>
      <c r="D68" s="201">
        <v>3.0</v>
      </c>
      <c r="E68" s="219">
        <v>0.8</v>
      </c>
      <c r="F68" s="201">
        <f t="shared" si="1"/>
        <v>0.8</v>
      </c>
      <c r="G68" s="219">
        <v>0.2</v>
      </c>
      <c r="H68" s="202">
        <f t="shared" si="2"/>
        <v>1</v>
      </c>
      <c r="I68" s="214">
        <v>0.667</v>
      </c>
    </row>
    <row r="69">
      <c r="A69" s="51" t="s">
        <v>330</v>
      </c>
      <c r="B69" s="201">
        <v>5.0</v>
      </c>
      <c r="C69" s="219">
        <v>15.0</v>
      </c>
      <c r="D69" s="201">
        <v>2.0</v>
      </c>
      <c r="E69" s="219">
        <v>0.8</v>
      </c>
      <c r="F69" s="201">
        <f t="shared" si="1"/>
        <v>0.8</v>
      </c>
      <c r="G69" s="219">
        <v>0.0</v>
      </c>
      <c r="H69" s="202">
        <f t="shared" si="2"/>
        <v>0</v>
      </c>
      <c r="I69" s="214">
        <v>0.5</v>
      </c>
    </row>
    <row r="70">
      <c r="A70" s="51" t="s">
        <v>319</v>
      </c>
      <c r="B70" s="201">
        <v>5.0</v>
      </c>
      <c r="C70" s="219">
        <v>15.0</v>
      </c>
      <c r="D70" s="201">
        <v>1.0</v>
      </c>
      <c r="E70" s="219">
        <v>0.8</v>
      </c>
      <c r="F70" s="201">
        <f t="shared" si="1"/>
        <v>0.8</v>
      </c>
      <c r="G70" s="219">
        <v>0.0</v>
      </c>
      <c r="H70" s="202">
        <f t="shared" si="2"/>
        <v>0</v>
      </c>
      <c r="I70" s="214">
        <v>1.0</v>
      </c>
    </row>
    <row r="71">
      <c r="A71" s="51" t="s">
        <v>331</v>
      </c>
      <c r="B71" s="201">
        <v>5.0</v>
      </c>
      <c r="C71" s="219">
        <v>15.0</v>
      </c>
      <c r="D71" s="201">
        <v>1.0</v>
      </c>
      <c r="E71" s="219">
        <v>0.8</v>
      </c>
      <c r="F71" s="201">
        <f t="shared" si="1"/>
        <v>0.8</v>
      </c>
      <c r="G71" s="219">
        <v>0.0</v>
      </c>
      <c r="H71" s="202">
        <f t="shared" si="2"/>
        <v>0</v>
      </c>
      <c r="I71" s="214">
        <v>1.0</v>
      </c>
    </row>
    <row r="72">
      <c r="A72" s="51" t="s">
        <v>317</v>
      </c>
      <c r="B72" s="201">
        <v>5.0</v>
      </c>
      <c r="C72" s="219">
        <v>15.0</v>
      </c>
      <c r="D72" s="201">
        <v>1.0</v>
      </c>
      <c r="E72" s="219">
        <v>0.8</v>
      </c>
      <c r="F72" s="201">
        <f t="shared" si="1"/>
        <v>0.8</v>
      </c>
      <c r="G72" s="219">
        <v>0.0</v>
      </c>
      <c r="H72" s="202">
        <f t="shared" si="2"/>
        <v>0</v>
      </c>
      <c r="I72" s="214">
        <v>1.0</v>
      </c>
    </row>
    <row r="73">
      <c r="A73" s="51" t="s">
        <v>346</v>
      </c>
      <c r="B73" s="201">
        <v>5.0</v>
      </c>
      <c r="C73" s="219">
        <v>15.0</v>
      </c>
      <c r="D73" s="201">
        <v>1.0</v>
      </c>
      <c r="E73" s="219">
        <v>0.8</v>
      </c>
      <c r="F73" s="201">
        <f t="shared" si="1"/>
        <v>0.8</v>
      </c>
      <c r="G73" s="219">
        <v>0.0</v>
      </c>
      <c r="H73" s="202">
        <f t="shared" si="2"/>
        <v>0</v>
      </c>
      <c r="I73" s="214">
        <v>1.0</v>
      </c>
    </row>
    <row r="74">
      <c r="A74" s="51" t="s">
        <v>329</v>
      </c>
      <c r="B74" s="201">
        <v>5.0</v>
      </c>
      <c r="C74" s="219">
        <v>15.0</v>
      </c>
      <c r="D74" s="201">
        <v>2.0</v>
      </c>
      <c r="E74" s="219">
        <v>0.8</v>
      </c>
      <c r="F74" s="201">
        <f t="shared" si="1"/>
        <v>0.8</v>
      </c>
      <c r="G74" s="219">
        <v>0.0</v>
      </c>
      <c r="H74" s="202">
        <f t="shared" si="2"/>
        <v>0</v>
      </c>
      <c r="I74" s="214">
        <v>0.5</v>
      </c>
    </row>
    <row r="75">
      <c r="A75" s="51" t="s">
        <v>321</v>
      </c>
      <c r="B75" s="201">
        <v>5.0</v>
      </c>
      <c r="C75" s="219">
        <v>16.0</v>
      </c>
      <c r="D75" s="201">
        <v>4.0</v>
      </c>
      <c r="E75" s="219">
        <v>0.8</v>
      </c>
      <c r="F75" s="201">
        <f t="shared" si="1"/>
        <v>0.75</v>
      </c>
      <c r="G75" s="219">
        <v>0.2</v>
      </c>
      <c r="H75" s="202">
        <f t="shared" si="2"/>
        <v>1</v>
      </c>
      <c r="I75" s="214">
        <v>0.5</v>
      </c>
    </row>
    <row r="76">
      <c r="A76" s="51" t="s">
        <v>370</v>
      </c>
      <c r="B76" s="201">
        <v>6.0</v>
      </c>
      <c r="C76" s="219">
        <v>17.0</v>
      </c>
      <c r="D76" s="201">
        <v>4.0</v>
      </c>
      <c r="E76" s="219">
        <v>0.67</v>
      </c>
      <c r="F76" s="201">
        <f t="shared" si="1"/>
        <v>0.7094117647</v>
      </c>
      <c r="G76" s="219">
        <v>0.17</v>
      </c>
      <c r="H76" s="202">
        <f t="shared" si="2"/>
        <v>1.02</v>
      </c>
      <c r="I76" s="214">
        <v>0.5</v>
      </c>
    </row>
    <row r="77">
      <c r="A77" s="51" t="s">
        <v>351</v>
      </c>
      <c r="B77" s="201">
        <v>6.0</v>
      </c>
      <c r="C77" s="219">
        <v>17.0</v>
      </c>
      <c r="D77" s="201">
        <v>1.0</v>
      </c>
      <c r="E77" s="219">
        <v>0.67</v>
      </c>
      <c r="F77" s="201">
        <f t="shared" si="1"/>
        <v>0.7094117647</v>
      </c>
      <c r="G77" s="219">
        <v>0.0</v>
      </c>
      <c r="H77" s="202">
        <f t="shared" si="2"/>
        <v>0</v>
      </c>
      <c r="I77" s="214">
        <v>1.0</v>
      </c>
    </row>
    <row r="78">
      <c r="A78" s="51" t="s">
        <v>301</v>
      </c>
      <c r="B78" s="201">
        <v>6.0</v>
      </c>
      <c r="C78" s="219">
        <v>18.0</v>
      </c>
      <c r="D78" s="201">
        <v>4.0</v>
      </c>
      <c r="E78" s="219">
        <v>0.67</v>
      </c>
      <c r="F78" s="201">
        <f t="shared" si="1"/>
        <v>0.67</v>
      </c>
      <c r="G78" s="219">
        <v>0.17</v>
      </c>
      <c r="H78" s="202">
        <f t="shared" si="2"/>
        <v>1.02</v>
      </c>
      <c r="I78" s="214">
        <v>0.5</v>
      </c>
    </row>
    <row r="79">
      <c r="A79" s="51" t="s">
        <v>313</v>
      </c>
      <c r="B79" s="201">
        <v>6.0</v>
      </c>
      <c r="C79" s="219">
        <v>18.0</v>
      </c>
      <c r="D79" s="201">
        <v>3.0</v>
      </c>
      <c r="E79" s="219">
        <v>0.67</v>
      </c>
      <c r="F79" s="201">
        <f t="shared" si="1"/>
        <v>0.67</v>
      </c>
      <c r="G79" s="219">
        <v>0.17</v>
      </c>
      <c r="H79" s="202">
        <f t="shared" si="2"/>
        <v>1.02</v>
      </c>
      <c r="I79" s="214">
        <v>0.667</v>
      </c>
    </row>
    <row r="80">
      <c r="A80" s="51" t="s">
        <v>302</v>
      </c>
      <c r="B80" s="201">
        <v>6.0</v>
      </c>
      <c r="C80" s="219">
        <v>18.0</v>
      </c>
      <c r="D80" s="201">
        <v>3.0</v>
      </c>
      <c r="E80" s="219">
        <v>0.67</v>
      </c>
      <c r="F80" s="201">
        <f t="shared" si="1"/>
        <v>0.67</v>
      </c>
      <c r="G80" s="219">
        <v>0.17</v>
      </c>
      <c r="H80" s="202">
        <f t="shared" si="2"/>
        <v>1.02</v>
      </c>
      <c r="I80" s="214">
        <v>0.667</v>
      </c>
    </row>
    <row r="81">
      <c r="A81" s="51" t="s">
        <v>366</v>
      </c>
      <c r="B81" s="201">
        <v>6.0</v>
      </c>
      <c r="C81" s="219">
        <v>18.0</v>
      </c>
      <c r="D81" s="201">
        <v>1.0</v>
      </c>
      <c r="E81" s="219">
        <v>0.67</v>
      </c>
      <c r="F81" s="201">
        <f t="shared" si="1"/>
        <v>0.67</v>
      </c>
      <c r="G81" s="219">
        <v>0.0</v>
      </c>
      <c r="H81" s="202">
        <f t="shared" si="2"/>
        <v>0</v>
      </c>
      <c r="I81" s="214">
        <v>1.0</v>
      </c>
    </row>
    <row r="82">
      <c r="A82" s="51" t="s">
        <v>288</v>
      </c>
      <c r="B82" s="201">
        <v>6.0</v>
      </c>
      <c r="C82" s="219">
        <v>18.0</v>
      </c>
      <c r="D82" s="201">
        <v>1.0</v>
      </c>
      <c r="E82" s="219">
        <v>0.67</v>
      </c>
      <c r="F82" s="201">
        <f t="shared" si="1"/>
        <v>0.67</v>
      </c>
      <c r="G82" s="219">
        <v>0.0</v>
      </c>
      <c r="H82" s="202">
        <f t="shared" si="2"/>
        <v>0</v>
      </c>
      <c r="I82" s="214">
        <v>1.0</v>
      </c>
    </row>
    <row r="83">
      <c r="A83" s="51" t="s">
        <v>342</v>
      </c>
      <c r="B83" s="201">
        <v>6.0</v>
      </c>
      <c r="C83" s="219">
        <v>18.0</v>
      </c>
      <c r="D83" s="201">
        <v>1.0</v>
      </c>
      <c r="E83" s="219">
        <v>0.67</v>
      </c>
      <c r="F83" s="201">
        <f t="shared" si="1"/>
        <v>0.67</v>
      </c>
      <c r="G83" s="219">
        <v>0.0</v>
      </c>
      <c r="H83" s="202">
        <f t="shared" si="2"/>
        <v>0</v>
      </c>
      <c r="I83" s="214">
        <v>1.0</v>
      </c>
    </row>
    <row r="84">
      <c r="A84" s="51" t="s">
        <v>358</v>
      </c>
      <c r="B84" s="201">
        <v>6.0</v>
      </c>
      <c r="C84" s="219">
        <v>18.0</v>
      </c>
      <c r="D84" s="201">
        <v>1.0</v>
      </c>
      <c r="E84" s="219">
        <v>0.67</v>
      </c>
      <c r="F84" s="201">
        <f t="shared" si="1"/>
        <v>0.67</v>
      </c>
      <c r="G84" s="219">
        <v>0.0</v>
      </c>
      <c r="H84" s="202">
        <f t="shared" si="2"/>
        <v>0</v>
      </c>
      <c r="I84" s="214">
        <v>1.0</v>
      </c>
    </row>
    <row r="85">
      <c r="A85" s="51" t="s">
        <v>281</v>
      </c>
      <c r="B85" s="201">
        <v>6.0</v>
      </c>
      <c r="C85" s="219">
        <v>19.0</v>
      </c>
      <c r="D85" s="201">
        <v>4.0</v>
      </c>
      <c r="E85" s="219">
        <v>0.67</v>
      </c>
      <c r="F85" s="201">
        <f t="shared" si="1"/>
        <v>0.6347368421</v>
      </c>
      <c r="G85" s="219">
        <v>0.17</v>
      </c>
      <c r="H85" s="202">
        <f t="shared" si="2"/>
        <v>1.02</v>
      </c>
      <c r="I85" s="214">
        <v>0.5</v>
      </c>
    </row>
    <row r="86">
      <c r="A86" s="51" t="s">
        <v>300</v>
      </c>
      <c r="B86" s="201">
        <v>6.0</v>
      </c>
      <c r="C86" s="219">
        <v>18.0</v>
      </c>
      <c r="D86" s="201">
        <v>5.0</v>
      </c>
      <c r="E86" s="219">
        <v>0.0</v>
      </c>
      <c r="F86" s="201">
        <f t="shared" si="1"/>
        <v>0</v>
      </c>
      <c r="G86" s="219">
        <v>0.33</v>
      </c>
      <c r="H86" s="202">
        <f t="shared" si="2"/>
        <v>1.98</v>
      </c>
      <c r="I86" s="214">
        <v>0.4</v>
      </c>
    </row>
    <row r="87">
      <c r="A87" s="51" t="s">
        <v>334</v>
      </c>
      <c r="B87" s="201">
        <v>6.0</v>
      </c>
      <c r="C87" s="219">
        <v>18.0</v>
      </c>
      <c r="D87" s="201">
        <v>3.0</v>
      </c>
      <c r="E87" s="219">
        <v>0.0</v>
      </c>
      <c r="F87" s="201">
        <f t="shared" si="1"/>
        <v>0</v>
      </c>
      <c r="G87" s="219">
        <v>0.17</v>
      </c>
      <c r="H87" s="202">
        <f t="shared" si="2"/>
        <v>1.02</v>
      </c>
      <c r="I87" s="214">
        <v>0.333</v>
      </c>
    </row>
    <row r="88">
      <c r="A88" s="51" t="s">
        <v>383</v>
      </c>
      <c r="B88" s="201">
        <v>6.0</v>
      </c>
      <c r="C88" s="219">
        <v>18.0</v>
      </c>
      <c r="D88" s="201">
        <v>3.0</v>
      </c>
      <c r="E88" s="219">
        <v>0.0</v>
      </c>
      <c r="F88" s="201">
        <f t="shared" si="1"/>
        <v>0</v>
      </c>
      <c r="G88" s="219">
        <v>0.17</v>
      </c>
      <c r="H88" s="202">
        <f t="shared" si="2"/>
        <v>1.02</v>
      </c>
      <c r="I88" s="214">
        <v>0.333</v>
      </c>
    </row>
    <row r="89">
      <c r="A89" s="51" t="s">
        <v>324</v>
      </c>
      <c r="B89" s="201">
        <v>6.0</v>
      </c>
      <c r="C89" s="219">
        <v>18.0</v>
      </c>
      <c r="D89" s="201">
        <v>2.0</v>
      </c>
      <c r="E89" s="219">
        <v>0.0</v>
      </c>
      <c r="F89" s="201">
        <f t="shared" si="1"/>
        <v>0</v>
      </c>
      <c r="G89" s="219">
        <v>0.17</v>
      </c>
      <c r="H89" s="202">
        <f t="shared" si="2"/>
        <v>1.02</v>
      </c>
      <c r="I89" s="214">
        <v>0.5</v>
      </c>
    </row>
    <row r="90">
      <c r="A90" s="51" t="s">
        <v>282</v>
      </c>
      <c r="B90" s="201">
        <v>6.0</v>
      </c>
      <c r="C90" s="219">
        <v>18.0</v>
      </c>
      <c r="D90" s="201">
        <v>2.0</v>
      </c>
      <c r="E90" s="219">
        <v>0.0</v>
      </c>
      <c r="F90" s="201">
        <f t="shared" si="1"/>
        <v>0</v>
      </c>
      <c r="G90" s="219">
        <v>0.17</v>
      </c>
      <c r="H90" s="202">
        <f t="shared" si="2"/>
        <v>1.02</v>
      </c>
      <c r="I90" s="214">
        <v>0.5</v>
      </c>
    </row>
    <row r="91">
      <c r="A91" s="51" t="s">
        <v>362</v>
      </c>
      <c r="B91" s="201">
        <v>5.0</v>
      </c>
      <c r="C91" s="219">
        <v>15.0</v>
      </c>
      <c r="D91" s="201">
        <v>2.0</v>
      </c>
      <c r="E91" s="219">
        <v>0.0</v>
      </c>
      <c r="F91" s="201">
        <f t="shared" si="1"/>
        <v>0</v>
      </c>
      <c r="G91" s="219">
        <v>0.2</v>
      </c>
      <c r="H91" s="202">
        <f t="shared" si="2"/>
        <v>1</v>
      </c>
      <c r="I91" s="214">
        <v>0.5</v>
      </c>
    </row>
    <row r="92">
      <c r="A92" s="51" t="s">
        <v>341</v>
      </c>
      <c r="B92" s="201">
        <v>5.0</v>
      </c>
      <c r="C92" s="219">
        <v>15.0</v>
      </c>
      <c r="D92" s="201">
        <v>2.0</v>
      </c>
      <c r="E92" s="219">
        <v>0.0</v>
      </c>
      <c r="F92" s="201">
        <f t="shared" si="1"/>
        <v>0</v>
      </c>
      <c r="G92" s="219">
        <v>0.2</v>
      </c>
      <c r="H92" s="202">
        <f t="shared" si="2"/>
        <v>1</v>
      </c>
      <c r="I92" s="214">
        <v>0.5</v>
      </c>
    </row>
    <row r="93">
      <c r="A93" s="51" t="s">
        <v>316</v>
      </c>
      <c r="B93" s="201">
        <v>5.0</v>
      </c>
      <c r="C93" s="219">
        <v>15.0</v>
      </c>
      <c r="D93" s="201">
        <v>2.0</v>
      </c>
      <c r="E93" s="219">
        <v>0.0</v>
      </c>
      <c r="F93" s="201">
        <f t="shared" si="1"/>
        <v>0</v>
      </c>
      <c r="G93" s="219">
        <v>0.2</v>
      </c>
      <c r="H93" s="202">
        <f t="shared" si="2"/>
        <v>1</v>
      </c>
      <c r="I93" s="214">
        <v>0.5</v>
      </c>
    </row>
    <row r="94">
      <c r="A94" s="51" t="s">
        <v>347</v>
      </c>
      <c r="B94" s="201">
        <v>5.0</v>
      </c>
      <c r="C94" s="219">
        <v>16.0</v>
      </c>
      <c r="D94" s="201">
        <v>0.0</v>
      </c>
      <c r="E94" s="219">
        <v>0.0</v>
      </c>
      <c r="F94" s="201">
        <f t="shared" si="1"/>
        <v>0</v>
      </c>
      <c r="G94" s="219">
        <v>0.0</v>
      </c>
      <c r="H94" s="202">
        <f t="shared" si="2"/>
        <v>0</v>
      </c>
      <c r="I94" s="214">
        <v>0.0</v>
      </c>
    </row>
    <row r="95">
      <c r="A95" s="51" t="s">
        <v>391</v>
      </c>
      <c r="B95" s="201">
        <v>6.0</v>
      </c>
      <c r="C95" s="219">
        <v>18.0</v>
      </c>
      <c r="D95" s="201">
        <v>0.0</v>
      </c>
      <c r="E95" s="219">
        <v>0.0</v>
      </c>
      <c r="F95" s="201">
        <f t="shared" si="1"/>
        <v>0</v>
      </c>
      <c r="G95" s="219">
        <v>0.0</v>
      </c>
      <c r="H95" s="202">
        <f t="shared" si="2"/>
        <v>0</v>
      </c>
      <c r="I95" s="214">
        <v>0.0</v>
      </c>
    </row>
    <row r="96">
      <c r="A96" s="51" t="s">
        <v>373</v>
      </c>
      <c r="B96" s="201">
        <v>5.0</v>
      </c>
      <c r="C96" s="219">
        <v>15.0</v>
      </c>
      <c r="D96" s="201">
        <v>0.0</v>
      </c>
      <c r="E96" s="219">
        <v>0.0</v>
      </c>
      <c r="F96" s="201">
        <f t="shared" si="1"/>
        <v>0</v>
      </c>
      <c r="G96" s="219">
        <v>0.0</v>
      </c>
      <c r="H96" s="202">
        <f t="shared" si="2"/>
        <v>0</v>
      </c>
      <c r="I96" s="214">
        <v>0.0</v>
      </c>
    </row>
    <row r="97">
      <c r="A97" s="51" t="s">
        <v>374</v>
      </c>
      <c r="B97" s="201">
        <v>1.0</v>
      </c>
      <c r="C97" s="219">
        <v>3.0</v>
      </c>
      <c r="D97" s="201">
        <v>0.0</v>
      </c>
      <c r="E97" s="219">
        <v>0.0</v>
      </c>
      <c r="F97" s="201">
        <f t="shared" si="1"/>
        <v>0</v>
      </c>
      <c r="G97" s="219">
        <v>0.0</v>
      </c>
      <c r="H97" s="202">
        <f t="shared" si="2"/>
        <v>0</v>
      </c>
      <c r="I97" s="214">
        <v>0.0</v>
      </c>
    </row>
    <row r="98">
      <c r="A98" s="51" t="s">
        <v>314</v>
      </c>
      <c r="B98" s="201">
        <v>3.0</v>
      </c>
      <c r="C98" s="219">
        <v>9.0</v>
      </c>
      <c r="D98" s="201">
        <v>0.0</v>
      </c>
      <c r="E98" s="219">
        <v>0.0</v>
      </c>
      <c r="F98" s="201">
        <f t="shared" si="1"/>
        <v>0</v>
      </c>
      <c r="G98" s="219">
        <v>0.0</v>
      </c>
      <c r="H98" s="202">
        <f t="shared" si="2"/>
        <v>0</v>
      </c>
      <c r="I98" s="214">
        <v>0.0</v>
      </c>
    </row>
    <row r="99">
      <c r="A99" s="51" t="s">
        <v>354</v>
      </c>
      <c r="B99" s="201">
        <v>4.0</v>
      </c>
      <c r="C99" s="219">
        <v>12.0</v>
      </c>
      <c r="D99" s="201">
        <v>0.0</v>
      </c>
      <c r="E99" s="219">
        <v>0.0</v>
      </c>
      <c r="F99" s="201">
        <f t="shared" si="1"/>
        <v>0</v>
      </c>
      <c r="G99" s="219">
        <v>0.0</v>
      </c>
      <c r="H99" s="202">
        <f t="shared" si="2"/>
        <v>0</v>
      </c>
      <c r="I99" s="214">
        <v>0.0</v>
      </c>
    </row>
    <row r="100">
      <c r="A100" s="51" t="s">
        <v>350</v>
      </c>
      <c r="B100" s="201">
        <v>6.0</v>
      </c>
      <c r="C100" s="219">
        <v>18.0</v>
      </c>
      <c r="D100" s="201">
        <v>1.0</v>
      </c>
      <c r="E100" s="219">
        <v>0.0</v>
      </c>
      <c r="F100" s="201">
        <f t="shared" si="1"/>
        <v>0</v>
      </c>
      <c r="G100" s="219">
        <v>0.0</v>
      </c>
      <c r="H100" s="202">
        <f t="shared" si="2"/>
        <v>0</v>
      </c>
      <c r="I100" s="214">
        <v>0.0</v>
      </c>
    </row>
    <row r="101">
      <c r="A101" s="51" t="s">
        <v>380</v>
      </c>
      <c r="B101" s="201">
        <v>4.0</v>
      </c>
      <c r="C101" s="219">
        <v>12.0</v>
      </c>
      <c r="D101" s="201">
        <v>0.0</v>
      </c>
      <c r="E101" s="219">
        <v>0.0</v>
      </c>
      <c r="F101" s="201">
        <f t="shared" si="1"/>
        <v>0</v>
      </c>
      <c r="G101" s="219">
        <v>0.0</v>
      </c>
      <c r="H101" s="202">
        <f t="shared" si="2"/>
        <v>0</v>
      </c>
      <c r="I101" s="214">
        <v>0.0</v>
      </c>
    </row>
    <row r="102">
      <c r="A102" s="51" t="s">
        <v>363</v>
      </c>
      <c r="B102" s="201">
        <v>5.0</v>
      </c>
      <c r="C102" s="219">
        <v>15.0</v>
      </c>
      <c r="D102" s="201">
        <v>0.0</v>
      </c>
      <c r="E102" s="219">
        <v>0.0</v>
      </c>
      <c r="F102" s="201">
        <f t="shared" si="1"/>
        <v>0</v>
      </c>
      <c r="G102" s="219">
        <v>0.0</v>
      </c>
      <c r="H102" s="202">
        <f t="shared" si="2"/>
        <v>0</v>
      </c>
      <c r="I102" s="214">
        <v>0.0</v>
      </c>
    </row>
    <row r="103">
      <c r="A103" s="51" t="s">
        <v>292</v>
      </c>
      <c r="B103" s="201">
        <v>6.0</v>
      </c>
      <c r="C103" s="219">
        <v>18.0</v>
      </c>
      <c r="D103" s="201">
        <v>0.0</v>
      </c>
      <c r="E103" s="219">
        <v>0.0</v>
      </c>
      <c r="F103" s="201">
        <f t="shared" si="1"/>
        <v>0</v>
      </c>
      <c r="G103" s="219">
        <v>0.0</v>
      </c>
      <c r="H103" s="202">
        <f t="shared" si="2"/>
        <v>0</v>
      </c>
      <c r="I103" s="214">
        <v>0.0</v>
      </c>
    </row>
    <row r="104">
      <c r="A104" s="51" t="s">
        <v>367</v>
      </c>
      <c r="B104" s="201">
        <v>4.0</v>
      </c>
      <c r="C104" s="219">
        <v>12.0</v>
      </c>
      <c r="D104" s="201">
        <v>1.0</v>
      </c>
      <c r="E104" s="219">
        <v>0.0</v>
      </c>
      <c r="F104" s="201">
        <f t="shared" si="1"/>
        <v>0</v>
      </c>
      <c r="G104" s="219">
        <v>0.0</v>
      </c>
      <c r="H104" s="202">
        <f t="shared" si="2"/>
        <v>0</v>
      </c>
      <c r="I104" s="214">
        <v>0.0</v>
      </c>
    </row>
    <row r="105">
      <c r="A105" s="51" t="s">
        <v>375</v>
      </c>
      <c r="B105" s="201">
        <v>6.0</v>
      </c>
      <c r="C105" s="219">
        <v>18.0</v>
      </c>
      <c r="D105" s="201">
        <v>1.0</v>
      </c>
      <c r="E105" s="219">
        <v>0.0</v>
      </c>
      <c r="F105" s="201">
        <f t="shared" si="1"/>
        <v>0</v>
      </c>
      <c r="G105" s="219">
        <v>0.0</v>
      </c>
      <c r="H105" s="202">
        <f t="shared" si="2"/>
        <v>0</v>
      </c>
      <c r="I105" s="214">
        <v>0.0</v>
      </c>
    </row>
    <row r="106">
      <c r="A106" s="51" t="s">
        <v>364</v>
      </c>
      <c r="B106" s="201">
        <v>6.0</v>
      </c>
      <c r="C106" s="219">
        <v>18.0</v>
      </c>
      <c r="D106" s="201">
        <v>1.0</v>
      </c>
      <c r="E106" s="219">
        <v>0.0</v>
      </c>
      <c r="F106" s="201">
        <f t="shared" si="1"/>
        <v>0</v>
      </c>
      <c r="G106" s="219">
        <v>0.0</v>
      </c>
      <c r="H106" s="202">
        <f t="shared" si="2"/>
        <v>0</v>
      </c>
      <c r="I106" s="214">
        <v>0.0</v>
      </c>
    </row>
    <row r="107">
      <c r="A107" s="51" t="s">
        <v>394</v>
      </c>
      <c r="B107" s="201">
        <v>5.0</v>
      </c>
      <c r="C107" s="219">
        <v>15.0</v>
      </c>
      <c r="D107" s="201">
        <v>1.0</v>
      </c>
      <c r="E107" s="219">
        <v>0.0</v>
      </c>
      <c r="F107" s="201">
        <f t="shared" si="1"/>
        <v>0</v>
      </c>
      <c r="G107" s="219">
        <v>0.0</v>
      </c>
      <c r="H107" s="202">
        <f t="shared" si="2"/>
        <v>0</v>
      </c>
      <c r="I107" s="214">
        <v>0.0</v>
      </c>
    </row>
    <row r="108">
      <c r="A108" s="51" t="s">
        <v>387</v>
      </c>
      <c r="B108" s="201">
        <v>4.0</v>
      </c>
      <c r="C108" s="219">
        <v>12.0</v>
      </c>
      <c r="D108" s="201">
        <v>0.0</v>
      </c>
      <c r="E108" s="219">
        <v>0.0</v>
      </c>
      <c r="F108" s="201">
        <f t="shared" si="1"/>
        <v>0</v>
      </c>
      <c r="G108" s="219">
        <v>0.0</v>
      </c>
      <c r="H108" s="202">
        <f t="shared" si="2"/>
        <v>0</v>
      </c>
      <c r="I108" s="214">
        <v>0.0</v>
      </c>
    </row>
    <row r="109">
      <c r="A109" s="51" t="s">
        <v>353</v>
      </c>
      <c r="B109" s="201">
        <v>5.0</v>
      </c>
      <c r="C109" s="219">
        <v>15.0</v>
      </c>
      <c r="D109" s="201">
        <v>0.0</v>
      </c>
      <c r="E109" s="219">
        <v>0.0</v>
      </c>
      <c r="F109" s="201">
        <f t="shared" si="1"/>
        <v>0</v>
      </c>
      <c r="G109" s="219">
        <v>0.0</v>
      </c>
      <c r="H109" s="202">
        <f t="shared" si="2"/>
        <v>0</v>
      </c>
      <c r="I109" s="214">
        <v>0.0</v>
      </c>
    </row>
    <row r="110">
      <c r="A110" s="51" t="s">
        <v>401</v>
      </c>
      <c r="B110" s="201">
        <v>1.0</v>
      </c>
      <c r="C110" s="219">
        <v>3.0</v>
      </c>
      <c r="D110" s="201">
        <v>0.0</v>
      </c>
      <c r="E110" s="219">
        <v>0.0</v>
      </c>
      <c r="F110" s="201">
        <f t="shared" si="1"/>
        <v>0</v>
      </c>
      <c r="G110" s="219">
        <v>0.0</v>
      </c>
      <c r="H110" s="202">
        <f t="shared" si="2"/>
        <v>0</v>
      </c>
      <c r="I110" s="214">
        <v>0.0</v>
      </c>
    </row>
    <row r="111">
      <c r="A111" s="51" t="s">
        <v>392</v>
      </c>
      <c r="B111" s="201">
        <v>3.0</v>
      </c>
      <c r="C111" s="219">
        <v>8.0</v>
      </c>
      <c r="D111" s="201">
        <v>0.0</v>
      </c>
      <c r="E111" s="219">
        <v>0.0</v>
      </c>
      <c r="F111" s="201">
        <f t="shared" si="1"/>
        <v>0</v>
      </c>
      <c r="G111" s="219">
        <v>0.0</v>
      </c>
      <c r="H111" s="202">
        <f t="shared" si="2"/>
        <v>0</v>
      </c>
      <c r="I111" s="214">
        <v>0.0</v>
      </c>
    </row>
    <row r="112">
      <c r="A112" s="51" t="s">
        <v>376</v>
      </c>
      <c r="B112" s="201">
        <v>2.0</v>
      </c>
      <c r="C112" s="219">
        <v>6.0</v>
      </c>
      <c r="D112" s="201">
        <v>0.0</v>
      </c>
      <c r="E112" s="219">
        <v>0.0</v>
      </c>
      <c r="F112" s="201">
        <f t="shared" si="1"/>
        <v>0</v>
      </c>
      <c r="G112" s="219">
        <v>0.0</v>
      </c>
      <c r="H112" s="202">
        <f t="shared" si="2"/>
        <v>0</v>
      </c>
      <c r="I112" s="214">
        <v>0.0</v>
      </c>
    </row>
    <row r="113">
      <c r="A113" s="51" t="s">
        <v>377</v>
      </c>
      <c r="B113" s="201">
        <v>1.0</v>
      </c>
      <c r="C113" s="219">
        <v>3.0</v>
      </c>
      <c r="D113" s="201">
        <v>0.0</v>
      </c>
      <c r="E113" s="219">
        <v>0.0</v>
      </c>
      <c r="F113" s="201">
        <f t="shared" si="1"/>
        <v>0</v>
      </c>
      <c r="G113" s="219">
        <v>0.0</v>
      </c>
      <c r="H113" s="202">
        <f t="shared" si="2"/>
        <v>0</v>
      </c>
      <c r="I113" s="214">
        <v>0.0</v>
      </c>
    </row>
    <row r="114">
      <c r="A114" s="51" t="s">
        <v>378</v>
      </c>
      <c r="B114" s="201">
        <v>3.0</v>
      </c>
      <c r="C114" s="219">
        <v>9.0</v>
      </c>
      <c r="D114" s="201">
        <v>0.0</v>
      </c>
      <c r="E114" s="219">
        <v>0.0</v>
      </c>
      <c r="F114" s="201">
        <f t="shared" si="1"/>
        <v>0</v>
      </c>
      <c r="G114" s="219">
        <v>0.0</v>
      </c>
      <c r="H114" s="202">
        <f t="shared" si="2"/>
        <v>0</v>
      </c>
      <c r="I114" s="214">
        <v>0.0</v>
      </c>
    </row>
    <row r="115">
      <c r="A115" s="51" t="s">
        <v>397</v>
      </c>
      <c r="B115" s="201">
        <v>2.0</v>
      </c>
      <c r="C115" s="219">
        <v>6.0</v>
      </c>
      <c r="D115" s="201">
        <v>0.0</v>
      </c>
      <c r="E115" s="219">
        <v>0.0</v>
      </c>
      <c r="F115" s="201">
        <f t="shared" si="1"/>
        <v>0</v>
      </c>
      <c r="G115" s="219">
        <v>0.0</v>
      </c>
      <c r="H115" s="202">
        <f t="shared" si="2"/>
        <v>0</v>
      </c>
      <c r="I115" s="214">
        <v>0.0</v>
      </c>
    </row>
    <row r="116">
      <c r="A116" s="51" t="s">
        <v>402</v>
      </c>
      <c r="B116" s="201">
        <v>1.0</v>
      </c>
      <c r="C116" s="219">
        <v>3.0</v>
      </c>
      <c r="D116" s="201">
        <v>0.0</v>
      </c>
      <c r="E116" s="219">
        <v>0.0</v>
      </c>
      <c r="F116" s="201">
        <f t="shared" si="1"/>
        <v>0</v>
      </c>
      <c r="G116" s="219">
        <v>0.0</v>
      </c>
      <c r="H116" s="202">
        <f t="shared" si="2"/>
        <v>0</v>
      </c>
      <c r="I116" s="214">
        <v>0.0</v>
      </c>
    </row>
    <row r="117">
      <c r="A117" s="51" t="s">
        <v>399</v>
      </c>
      <c r="B117" s="201">
        <v>2.0</v>
      </c>
      <c r="C117" s="219">
        <v>6.0</v>
      </c>
      <c r="D117" s="201">
        <v>0.0</v>
      </c>
      <c r="E117" s="219">
        <v>0.0</v>
      </c>
      <c r="F117" s="201">
        <f t="shared" si="1"/>
        <v>0</v>
      </c>
      <c r="G117" s="219">
        <v>0.0</v>
      </c>
      <c r="H117" s="202">
        <f t="shared" si="2"/>
        <v>0</v>
      </c>
      <c r="I117" s="214">
        <v>0.0</v>
      </c>
    </row>
    <row r="118">
      <c r="A118" s="51" t="s">
        <v>400</v>
      </c>
      <c r="B118" s="201">
        <v>2.0</v>
      </c>
      <c r="C118" s="219">
        <v>6.0</v>
      </c>
      <c r="D118" s="201">
        <v>0.0</v>
      </c>
      <c r="E118" s="219">
        <v>0.0</v>
      </c>
      <c r="F118" s="201">
        <f t="shared" si="1"/>
        <v>0</v>
      </c>
      <c r="G118" s="219">
        <v>0.0</v>
      </c>
      <c r="H118" s="202">
        <f t="shared" si="2"/>
        <v>0</v>
      </c>
      <c r="I118" s="214">
        <v>0.0</v>
      </c>
    </row>
    <row r="119">
      <c r="A119" s="51" t="s">
        <v>333</v>
      </c>
      <c r="B119" s="201">
        <v>2.0</v>
      </c>
      <c r="C119" s="219">
        <v>6.0</v>
      </c>
      <c r="D119" s="201">
        <v>0.0</v>
      </c>
      <c r="E119" s="219">
        <v>0.0</v>
      </c>
      <c r="F119" s="201">
        <f t="shared" si="1"/>
        <v>0</v>
      </c>
      <c r="G119" s="219">
        <v>0.0</v>
      </c>
      <c r="H119" s="202">
        <f t="shared" si="2"/>
        <v>0</v>
      </c>
      <c r="I119" s="214">
        <v>0.0</v>
      </c>
    </row>
    <row r="120">
      <c r="A120" s="51" t="s">
        <v>340</v>
      </c>
      <c r="B120" s="201">
        <v>1.0</v>
      </c>
      <c r="C120" s="219">
        <v>3.0</v>
      </c>
      <c r="D120" s="201">
        <v>0.0</v>
      </c>
      <c r="E120" s="219">
        <v>0.0</v>
      </c>
      <c r="F120" s="201">
        <f t="shared" si="1"/>
        <v>0</v>
      </c>
      <c r="G120" s="219">
        <v>0.0</v>
      </c>
      <c r="H120" s="202">
        <f t="shared" si="2"/>
        <v>0</v>
      </c>
      <c r="I120" s="214">
        <v>0.0</v>
      </c>
    </row>
    <row r="121">
      <c r="A121" s="51" t="s">
        <v>305</v>
      </c>
      <c r="B121" s="201">
        <v>1.0</v>
      </c>
      <c r="C121" s="219">
        <v>3.0</v>
      </c>
      <c r="D121" s="201">
        <v>0.0</v>
      </c>
      <c r="E121" s="219">
        <v>0.0</v>
      </c>
      <c r="F121" s="201">
        <f t="shared" si="1"/>
        <v>0</v>
      </c>
      <c r="G121" s="219">
        <v>0.0</v>
      </c>
      <c r="H121" s="202">
        <f t="shared" si="2"/>
        <v>0</v>
      </c>
      <c r="I121" s="214">
        <v>0.0</v>
      </c>
    </row>
    <row r="122">
      <c r="A122" s="51" t="s">
        <v>295</v>
      </c>
      <c r="B122" s="201">
        <v>1.0</v>
      </c>
      <c r="C122" s="219">
        <v>3.0</v>
      </c>
      <c r="D122" s="201">
        <v>0.0</v>
      </c>
      <c r="E122" s="219">
        <v>0.0</v>
      </c>
      <c r="F122" s="201">
        <f t="shared" si="1"/>
        <v>0</v>
      </c>
      <c r="G122" s="219">
        <v>0.0</v>
      </c>
      <c r="H122" s="202">
        <f t="shared" si="2"/>
        <v>0</v>
      </c>
      <c r="I122" s="214">
        <v>0.0</v>
      </c>
    </row>
    <row r="123">
      <c r="A123" s="51" t="s">
        <v>299</v>
      </c>
      <c r="B123" s="201">
        <v>6.0</v>
      </c>
      <c r="C123" s="219">
        <v>18.0</v>
      </c>
      <c r="D123" s="201">
        <v>5.0</v>
      </c>
      <c r="E123" s="219">
        <v>-0.67</v>
      </c>
      <c r="F123" s="201">
        <f t="shared" si="1"/>
        <v>-0.67</v>
      </c>
      <c r="G123" s="219">
        <v>0.5</v>
      </c>
      <c r="H123" s="202">
        <f t="shared" si="2"/>
        <v>3</v>
      </c>
      <c r="I123" s="214">
        <v>0.4</v>
      </c>
    </row>
    <row r="124">
      <c r="A124" s="51" t="s">
        <v>379</v>
      </c>
      <c r="B124" s="201">
        <v>6.0</v>
      </c>
      <c r="C124" s="219">
        <v>18.0</v>
      </c>
      <c r="D124" s="201">
        <v>1.0</v>
      </c>
      <c r="E124" s="219">
        <v>-0.67</v>
      </c>
      <c r="F124" s="201">
        <f t="shared" si="1"/>
        <v>-0.67</v>
      </c>
      <c r="G124" s="219">
        <v>0.17</v>
      </c>
      <c r="H124" s="202">
        <f t="shared" si="2"/>
        <v>1.02</v>
      </c>
      <c r="I124" s="214">
        <v>0.0</v>
      </c>
    </row>
    <row r="125">
      <c r="A125" s="51" t="s">
        <v>320</v>
      </c>
      <c r="B125" s="201">
        <v>5.0</v>
      </c>
      <c r="C125" s="219">
        <v>16.0</v>
      </c>
      <c r="D125" s="201">
        <v>1.0</v>
      </c>
      <c r="E125" s="219">
        <v>-0.8</v>
      </c>
      <c r="F125" s="201">
        <f t="shared" si="1"/>
        <v>-0.75</v>
      </c>
      <c r="G125" s="219">
        <v>0.2</v>
      </c>
      <c r="H125" s="202">
        <f t="shared" si="2"/>
        <v>1</v>
      </c>
      <c r="I125" s="214">
        <v>0.0</v>
      </c>
    </row>
    <row r="126">
      <c r="A126" s="51" t="s">
        <v>385</v>
      </c>
      <c r="B126" s="201">
        <v>5.0</v>
      </c>
      <c r="C126" s="219">
        <v>15.0</v>
      </c>
      <c r="D126" s="201">
        <v>1.0</v>
      </c>
      <c r="E126" s="219">
        <v>-0.8</v>
      </c>
      <c r="F126" s="201">
        <f t="shared" si="1"/>
        <v>-0.8</v>
      </c>
      <c r="G126" s="219">
        <v>0.2</v>
      </c>
      <c r="H126" s="202">
        <f t="shared" si="2"/>
        <v>1</v>
      </c>
      <c r="I126" s="214">
        <v>0.0</v>
      </c>
    </row>
    <row r="127">
      <c r="A127" s="51" t="s">
        <v>386</v>
      </c>
      <c r="B127" s="201">
        <v>4.0</v>
      </c>
      <c r="C127" s="219">
        <v>12.0</v>
      </c>
      <c r="D127" s="201">
        <v>1.0</v>
      </c>
      <c r="E127" s="219">
        <v>-1.0</v>
      </c>
      <c r="F127" s="201">
        <f t="shared" si="1"/>
        <v>-1</v>
      </c>
      <c r="G127" s="219">
        <v>0.25</v>
      </c>
      <c r="H127" s="202">
        <f t="shared" si="2"/>
        <v>1</v>
      </c>
      <c r="I127" s="214">
        <v>0.0</v>
      </c>
    </row>
    <row r="128">
      <c r="A128" s="51" t="s">
        <v>393</v>
      </c>
      <c r="B128" s="201">
        <v>4.0</v>
      </c>
      <c r="C128" s="219">
        <v>11.0</v>
      </c>
      <c r="D128" s="201">
        <v>1.0</v>
      </c>
      <c r="E128" s="219">
        <v>-1.0</v>
      </c>
      <c r="F128" s="201">
        <f t="shared" si="1"/>
        <v>-1.090909091</v>
      </c>
      <c r="G128" s="219">
        <v>0.25</v>
      </c>
      <c r="H128" s="202">
        <f t="shared" si="2"/>
        <v>1</v>
      </c>
      <c r="I128" s="214">
        <v>0.0</v>
      </c>
    </row>
    <row r="129">
      <c r="A129" s="51" t="s">
        <v>349</v>
      </c>
      <c r="B129" s="201">
        <v>3.0</v>
      </c>
      <c r="C129" s="219">
        <v>9.0</v>
      </c>
      <c r="D129" s="201">
        <v>4.0</v>
      </c>
      <c r="E129" s="219">
        <v>-1.33</v>
      </c>
      <c r="F129" s="201">
        <f t="shared" si="1"/>
        <v>-1.33</v>
      </c>
      <c r="G129" s="219">
        <v>0.67</v>
      </c>
      <c r="H129" s="202">
        <f t="shared" si="2"/>
        <v>2.01</v>
      </c>
      <c r="I129" s="214">
        <v>0.25</v>
      </c>
    </row>
    <row r="130">
      <c r="A130" s="51" t="s">
        <v>355</v>
      </c>
      <c r="B130" s="201">
        <v>6.0</v>
      </c>
      <c r="C130" s="219">
        <v>18.0</v>
      </c>
      <c r="D130" s="201">
        <v>3.0</v>
      </c>
      <c r="E130" s="219">
        <v>-1.33</v>
      </c>
      <c r="F130" s="201">
        <f t="shared" si="1"/>
        <v>-1.33</v>
      </c>
      <c r="G130" s="219">
        <v>0.33</v>
      </c>
      <c r="H130" s="202">
        <f t="shared" si="2"/>
        <v>1.98</v>
      </c>
      <c r="I130" s="214">
        <v>0.0</v>
      </c>
    </row>
    <row r="131">
      <c r="A131" s="51" t="s">
        <v>337</v>
      </c>
      <c r="B131" s="201">
        <v>3.0</v>
      </c>
      <c r="C131" s="219">
        <v>9.0</v>
      </c>
      <c r="D131" s="201">
        <v>1.0</v>
      </c>
      <c r="E131" s="219">
        <v>-1.33</v>
      </c>
      <c r="F131" s="201">
        <f t="shared" si="1"/>
        <v>-1.33</v>
      </c>
      <c r="G131" s="219">
        <v>0.33</v>
      </c>
      <c r="H131" s="202">
        <f t="shared" si="2"/>
        <v>0.99</v>
      </c>
      <c r="I131" s="214">
        <v>0.0</v>
      </c>
    </row>
    <row r="132">
      <c r="A132" s="51" t="s">
        <v>384</v>
      </c>
      <c r="B132" s="201">
        <v>3.0</v>
      </c>
      <c r="C132" s="219">
        <v>8.0</v>
      </c>
      <c r="D132" s="201">
        <v>1.0</v>
      </c>
      <c r="E132" s="219">
        <v>-1.33</v>
      </c>
      <c r="F132" s="201">
        <f t="shared" si="1"/>
        <v>-1.49625</v>
      </c>
      <c r="G132" s="219">
        <v>0.33</v>
      </c>
      <c r="H132" s="202">
        <f t="shared" si="2"/>
        <v>0.99</v>
      </c>
      <c r="I132" s="214">
        <v>0.0</v>
      </c>
    </row>
    <row r="133">
      <c r="A133" s="109"/>
      <c r="B133" s="201"/>
      <c r="C133" s="220"/>
      <c r="D133" s="201"/>
      <c r="E133" s="220"/>
      <c r="F133" s="201"/>
      <c r="G133" s="220"/>
      <c r="H133" s="202"/>
      <c r="I133" s="214"/>
    </row>
    <row r="134">
      <c r="A134" s="109"/>
      <c r="B134" s="201"/>
      <c r="C134" s="220"/>
      <c r="D134" s="201"/>
      <c r="E134" s="220"/>
      <c r="F134" s="201"/>
      <c r="G134" s="220"/>
      <c r="H134" s="202"/>
      <c r="I134" s="214"/>
    </row>
    <row r="135">
      <c r="A135" s="109"/>
      <c r="B135" s="201"/>
      <c r="C135" s="220"/>
      <c r="D135" s="201"/>
      <c r="E135" s="220"/>
      <c r="F135" s="201"/>
      <c r="G135" s="220"/>
      <c r="H135" s="202"/>
      <c r="I135" s="214"/>
    </row>
    <row r="136">
      <c r="A136" s="109"/>
      <c r="B136" s="201"/>
      <c r="C136" s="220"/>
      <c r="D136" s="201"/>
      <c r="E136" s="220"/>
      <c r="F136" s="201"/>
      <c r="G136" s="220"/>
      <c r="H136" s="202"/>
      <c r="I136" s="214"/>
    </row>
    <row r="137">
      <c r="A137" s="109"/>
      <c r="B137" s="201"/>
      <c r="C137" s="220"/>
      <c r="D137" s="201"/>
      <c r="E137" s="220"/>
      <c r="F137" s="201"/>
      <c r="G137" s="220"/>
      <c r="H137" s="202"/>
      <c r="I137" s="214"/>
    </row>
    <row r="138">
      <c r="A138" s="109"/>
      <c r="B138" s="201"/>
      <c r="C138" s="220"/>
      <c r="D138" s="201"/>
      <c r="E138" s="220"/>
      <c r="F138" s="201"/>
      <c r="G138" s="220"/>
      <c r="H138" s="202"/>
      <c r="I138" s="214"/>
    </row>
    <row r="139">
      <c r="A139" s="109"/>
      <c r="B139" s="201"/>
      <c r="C139" s="220"/>
      <c r="D139" s="201"/>
      <c r="E139" s="220"/>
      <c r="F139" s="201"/>
      <c r="G139" s="220"/>
      <c r="H139" s="202"/>
      <c r="I139" s="214"/>
    </row>
  </sheetData>
  <hyperlinks>
    <hyperlink display="Catstats Hub" location="'Catstats Hub'!A1" ref="A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88"/>
  </cols>
  <sheetData>
    <row r="1">
      <c r="A1" s="193" t="s">
        <v>263</v>
      </c>
      <c r="B1" s="221" t="s">
        <v>264</v>
      </c>
      <c r="C1" s="222" t="s">
        <v>265</v>
      </c>
      <c r="D1" s="197" t="s">
        <v>266</v>
      </c>
      <c r="E1" s="218" t="s">
        <v>267</v>
      </c>
      <c r="F1" s="196" t="s">
        <v>268</v>
      </c>
      <c r="G1" s="218" t="s">
        <v>269</v>
      </c>
      <c r="H1" s="197" t="s">
        <v>270</v>
      </c>
      <c r="I1" s="209" t="s">
        <v>271</v>
      </c>
    </row>
    <row r="2">
      <c r="A2" s="210" t="s">
        <v>280</v>
      </c>
      <c r="B2" s="211">
        <v>6.0</v>
      </c>
      <c r="C2" s="212">
        <v>24.0</v>
      </c>
      <c r="D2" s="202">
        <v>22.0</v>
      </c>
      <c r="E2" s="219">
        <v>10.0</v>
      </c>
      <c r="F2" s="201">
        <f t="shared" ref="F2:F132" si="1">E2*B2*4/C2</f>
        <v>10</v>
      </c>
      <c r="G2" s="219">
        <v>0.5</v>
      </c>
      <c r="H2" s="202">
        <f t="shared" ref="H2:H132" si="2">G2*B2</f>
        <v>3</v>
      </c>
      <c r="I2" s="214">
        <v>0.818</v>
      </c>
    </row>
    <row r="3">
      <c r="A3" s="210" t="s">
        <v>303</v>
      </c>
      <c r="B3" s="211">
        <v>6.0</v>
      </c>
      <c r="C3" s="212">
        <v>24.0</v>
      </c>
      <c r="D3" s="202">
        <v>19.0</v>
      </c>
      <c r="E3" s="219">
        <v>9.33</v>
      </c>
      <c r="F3" s="201">
        <f t="shared" si="1"/>
        <v>9.33</v>
      </c>
      <c r="G3" s="219">
        <v>0.33</v>
      </c>
      <c r="H3" s="202">
        <f t="shared" si="2"/>
        <v>1.98</v>
      </c>
      <c r="I3" s="214">
        <v>0.842</v>
      </c>
    </row>
    <row r="4">
      <c r="A4" s="210" t="s">
        <v>293</v>
      </c>
      <c r="B4" s="211">
        <v>6.0</v>
      </c>
      <c r="C4" s="212">
        <v>24.0</v>
      </c>
      <c r="D4" s="202">
        <v>17.0</v>
      </c>
      <c r="E4" s="219">
        <v>8.67</v>
      </c>
      <c r="F4" s="201">
        <f t="shared" si="1"/>
        <v>8.67</v>
      </c>
      <c r="G4" s="219">
        <v>0.33</v>
      </c>
      <c r="H4" s="202">
        <f t="shared" si="2"/>
        <v>1.98</v>
      </c>
      <c r="I4" s="214">
        <v>0.882</v>
      </c>
    </row>
    <row r="5">
      <c r="A5" s="210" t="s">
        <v>315</v>
      </c>
      <c r="B5" s="211">
        <v>6.0</v>
      </c>
      <c r="C5" s="212">
        <v>24.0</v>
      </c>
      <c r="D5" s="202">
        <v>14.0</v>
      </c>
      <c r="E5" s="219">
        <v>8.0</v>
      </c>
      <c r="F5" s="201">
        <f t="shared" si="1"/>
        <v>8</v>
      </c>
      <c r="G5" s="219">
        <v>0.0</v>
      </c>
      <c r="H5" s="202">
        <f t="shared" si="2"/>
        <v>0</v>
      </c>
      <c r="I5" s="214">
        <v>0.857</v>
      </c>
    </row>
    <row r="6">
      <c r="A6" s="210" t="s">
        <v>355</v>
      </c>
      <c r="B6" s="211">
        <v>6.0</v>
      </c>
      <c r="C6" s="212">
        <v>24.0</v>
      </c>
      <c r="D6" s="202">
        <v>16.0</v>
      </c>
      <c r="E6" s="219">
        <v>6.67</v>
      </c>
      <c r="F6" s="201">
        <f t="shared" si="1"/>
        <v>6.67</v>
      </c>
      <c r="G6" s="219">
        <v>0.33</v>
      </c>
      <c r="H6" s="202">
        <f t="shared" si="2"/>
        <v>1.98</v>
      </c>
      <c r="I6" s="214">
        <v>0.75</v>
      </c>
    </row>
    <row r="7">
      <c r="A7" s="210" t="s">
        <v>339</v>
      </c>
      <c r="B7" s="211">
        <v>5.0</v>
      </c>
      <c r="C7" s="212">
        <v>20.0</v>
      </c>
      <c r="D7" s="202">
        <v>8.0</v>
      </c>
      <c r="E7" s="219">
        <v>6.4</v>
      </c>
      <c r="F7" s="201">
        <f t="shared" si="1"/>
        <v>6.4</v>
      </c>
      <c r="G7" s="219">
        <v>0.0</v>
      </c>
      <c r="H7" s="202">
        <f t="shared" si="2"/>
        <v>0</v>
      </c>
      <c r="I7" s="214">
        <v>1.0</v>
      </c>
    </row>
    <row r="8">
      <c r="A8" s="210" t="s">
        <v>275</v>
      </c>
      <c r="B8" s="211">
        <v>6.0</v>
      </c>
      <c r="C8" s="212">
        <v>24.0</v>
      </c>
      <c r="D8" s="202">
        <v>13.0</v>
      </c>
      <c r="E8" s="219">
        <v>6.0</v>
      </c>
      <c r="F8" s="201">
        <f t="shared" si="1"/>
        <v>6</v>
      </c>
      <c r="G8" s="219">
        <v>0.33</v>
      </c>
      <c r="H8" s="202">
        <f t="shared" si="2"/>
        <v>1.98</v>
      </c>
      <c r="I8" s="214">
        <v>0.846</v>
      </c>
    </row>
    <row r="9">
      <c r="A9" s="210" t="s">
        <v>322</v>
      </c>
      <c r="B9" s="211">
        <v>5.0</v>
      </c>
      <c r="C9" s="212">
        <v>19.0</v>
      </c>
      <c r="D9" s="202">
        <v>7.0</v>
      </c>
      <c r="E9" s="219">
        <v>5.6</v>
      </c>
      <c r="F9" s="201">
        <f t="shared" si="1"/>
        <v>5.894736842</v>
      </c>
      <c r="G9" s="219">
        <v>0.0</v>
      </c>
      <c r="H9" s="202">
        <f t="shared" si="2"/>
        <v>0</v>
      </c>
      <c r="I9" s="214">
        <v>1.0</v>
      </c>
    </row>
    <row r="10">
      <c r="A10" s="210" t="s">
        <v>346</v>
      </c>
      <c r="B10" s="211">
        <v>5.0</v>
      </c>
      <c r="C10" s="212">
        <v>20.0</v>
      </c>
      <c r="D10" s="202">
        <v>10.0</v>
      </c>
      <c r="E10" s="219">
        <v>5.6</v>
      </c>
      <c r="F10" s="201">
        <f t="shared" si="1"/>
        <v>5.6</v>
      </c>
      <c r="G10" s="219">
        <v>0.2</v>
      </c>
      <c r="H10" s="202">
        <f t="shared" si="2"/>
        <v>1</v>
      </c>
      <c r="I10" s="214">
        <v>0.8</v>
      </c>
    </row>
    <row r="11">
      <c r="A11" s="210" t="s">
        <v>367</v>
      </c>
      <c r="B11" s="211">
        <v>4.0</v>
      </c>
      <c r="C11" s="212">
        <v>15.0</v>
      </c>
      <c r="D11" s="202">
        <v>7.0</v>
      </c>
      <c r="E11" s="219">
        <v>5.0</v>
      </c>
      <c r="F11" s="201">
        <f t="shared" si="1"/>
        <v>5.333333333</v>
      </c>
      <c r="G11" s="219">
        <v>0.25</v>
      </c>
      <c r="H11" s="202">
        <f t="shared" si="2"/>
        <v>1</v>
      </c>
      <c r="I11" s="214">
        <v>0.857</v>
      </c>
    </row>
    <row r="12">
      <c r="A12" s="210" t="s">
        <v>279</v>
      </c>
      <c r="B12" s="211">
        <v>6.0</v>
      </c>
      <c r="C12" s="212">
        <v>24.0</v>
      </c>
      <c r="D12" s="202">
        <v>21.0</v>
      </c>
      <c r="E12" s="219">
        <v>5.33</v>
      </c>
      <c r="F12" s="201">
        <f t="shared" si="1"/>
        <v>5.33</v>
      </c>
      <c r="G12" s="219">
        <v>0.83</v>
      </c>
      <c r="H12" s="202">
        <f t="shared" si="2"/>
        <v>4.98</v>
      </c>
      <c r="I12" s="214">
        <v>0.619</v>
      </c>
    </row>
    <row r="13">
      <c r="A13" s="210" t="s">
        <v>283</v>
      </c>
      <c r="B13" s="211">
        <v>6.0</v>
      </c>
      <c r="C13" s="212">
        <v>24.0</v>
      </c>
      <c r="D13" s="202">
        <v>10.0</v>
      </c>
      <c r="E13" s="219">
        <v>5.33</v>
      </c>
      <c r="F13" s="201">
        <f t="shared" si="1"/>
        <v>5.33</v>
      </c>
      <c r="G13" s="219">
        <v>0.17</v>
      </c>
      <c r="H13" s="202">
        <f t="shared" si="2"/>
        <v>1.02</v>
      </c>
      <c r="I13" s="214">
        <v>0.9</v>
      </c>
    </row>
    <row r="14">
      <c r="A14" s="210" t="s">
        <v>289</v>
      </c>
      <c r="B14" s="211">
        <v>3.0</v>
      </c>
      <c r="C14" s="212">
        <v>12.0</v>
      </c>
      <c r="D14" s="202">
        <v>6.0</v>
      </c>
      <c r="E14" s="219">
        <v>5.33</v>
      </c>
      <c r="F14" s="201">
        <f t="shared" si="1"/>
        <v>5.33</v>
      </c>
      <c r="G14" s="219">
        <v>0.33</v>
      </c>
      <c r="H14" s="202">
        <f t="shared" si="2"/>
        <v>0.99</v>
      </c>
      <c r="I14" s="214">
        <v>0.833</v>
      </c>
    </row>
    <row r="15">
      <c r="A15" s="210" t="s">
        <v>324</v>
      </c>
      <c r="B15" s="211">
        <v>6.0</v>
      </c>
      <c r="C15" s="212">
        <v>24.0</v>
      </c>
      <c r="D15" s="202">
        <v>18.0</v>
      </c>
      <c r="E15" s="219">
        <v>4.67</v>
      </c>
      <c r="F15" s="201">
        <f t="shared" si="1"/>
        <v>4.67</v>
      </c>
      <c r="G15" s="219">
        <v>0.83</v>
      </c>
      <c r="H15" s="202">
        <f t="shared" si="2"/>
        <v>4.98</v>
      </c>
      <c r="I15" s="214">
        <v>0.667</v>
      </c>
    </row>
    <row r="16">
      <c r="A16" s="210" t="s">
        <v>298</v>
      </c>
      <c r="B16" s="211">
        <v>6.0</v>
      </c>
      <c r="C16" s="212">
        <v>24.0</v>
      </c>
      <c r="D16" s="202">
        <v>11.0</v>
      </c>
      <c r="E16" s="219">
        <v>4.67</v>
      </c>
      <c r="F16" s="201">
        <f t="shared" si="1"/>
        <v>4.67</v>
      </c>
      <c r="G16" s="219">
        <v>0.17</v>
      </c>
      <c r="H16" s="202">
        <f t="shared" si="2"/>
        <v>1.02</v>
      </c>
      <c r="I16" s="214">
        <v>0.727</v>
      </c>
    </row>
    <row r="17">
      <c r="A17" s="210" t="s">
        <v>320</v>
      </c>
      <c r="B17" s="211">
        <v>5.0</v>
      </c>
      <c r="C17" s="212">
        <v>21.0</v>
      </c>
      <c r="D17" s="202">
        <v>12.0</v>
      </c>
      <c r="E17" s="219">
        <v>4.8</v>
      </c>
      <c r="F17" s="201">
        <f t="shared" si="1"/>
        <v>4.571428571</v>
      </c>
      <c r="G17" s="219">
        <v>0.2</v>
      </c>
      <c r="H17" s="202">
        <f t="shared" si="2"/>
        <v>1</v>
      </c>
      <c r="I17" s="214">
        <v>0.583</v>
      </c>
    </row>
    <row r="18">
      <c r="A18" s="210" t="s">
        <v>287</v>
      </c>
      <c r="B18" s="211">
        <v>5.0</v>
      </c>
      <c r="C18" s="212">
        <v>20.0</v>
      </c>
      <c r="D18" s="202">
        <v>5.0</v>
      </c>
      <c r="E18" s="219">
        <v>4.0</v>
      </c>
      <c r="F18" s="201">
        <f t="shared" si="1"/>
        <v>4</v>
      </c>
      <c r="G18" s="219">
        <v>0.0</v>
      </c>
      <c r="H18" s="202">
        <f t="shared" si="2"/>
        <v>0</v>
      </c>
      <c r="I18" s="214">
        <v>1.0</v>
      </c>
    </row>
    <row r="19">
      <c r="A19" s="210" t="s">
        <v>344</v>
      </c>
      <c r="B19" s="211">
        <v>5.0</v>
      </c>
      <c r="C19" s="212">
        <v>20.0</v>
      </c>
      <c r="D19" s="202">
        <v>6.0</v>
      </c>
      <c r="E19" s="219">
        <v>4.0</v>
      </c>
      <c r="F19" s="201">
        <f t="shared" si="1"/>
        <v>4</v>
      </c>
      <c r="G19" s="219">
        <v>0.0</v>
      </c>
      <c r="H19" s="202">
        <f t="shared" si="2"/>
        <v>0</v>
      </c>
      <c r="I19" s="214">
        <v>0.833</v>
      </c>
    </row>
    <row r="20">
      <c r="A20" s="210" t="s">
        <v>333</v>
      </c>
      <c r="B20" s="211">
        <v>2.0</v>
      </c>
      <c r="C20" s="212">
        <v>8.0</v>
      </c>
      <c r="D20" s="202">
        <v>2.0</v>
      </c>
      <c r="E20" s="219">
        <v>4.0</v>
      </c>
      <c r="F20" s="201">
        <f t="shared" si="1"/>
        <v>4</v>
      </c>
      <c r="G20" s="219">
        <v>0.0</v>
      </c>
      <c r="H20" s="202">
        <f t="shared" si="2"/>
        <v>0</v>
      </c>
      <c r="I20" s="214">
        <v>1.0</v>
      </c>
    </row>
    <row r="21">
      <c r="A21" s="210" t="s">
        <v>276</v>
      </c>
      <c r="B21" s="211">
        <v>6.0</v>
      </c>
      <c r="C21" s="212">
        <v>23.0</v>
      </c>
      <c r="D21" s="202">
        <v>5.0</v>
      </c>
      <c r="E21" s="219">
        <v>3.33</v>
      </c>
      <c r="F21" s="201">
        <f t="shared" si="1"/>
        <v>3.474782609</v>
      </c>
      <c r="G21" s="219">
        <v>0.0</v>
      </c>
      <c r="H21" s="202">
        <f t="shared" si="2"/>
        <v>0</v>
      </c>
      <c r="I21" s="214">
        <v>1.0</v>
      </c>
    </row>
    <row r="22">
      <c r="A22" s="210" t="s">
        <v>299</v>
      </c>
      <c r="B22" s="211">
        <v>6.0</v>
      </c>
      <c r="C22" s="212">
        <v>24.0</v>
      </c>
      <c r="D22" s="202">
        <v>11.0</v>
      </c>
      <c r="E22" s="219">
        <v>3.33</v>
      </c>
      <c r="F22" s="201">
        <f t="shared" si="1"/>
        <v>3.33</v>
      </c>
      <c r="G22" s="219">
        <v>0.5</v>
      </c>
      <c r="H22" s="202">
        <f t="shared" si="2"/>
        <v>3</v>
      </c>
      <c r="I22" s="214">
        <v>0.727</v>
      </c>
    </row>
    <row r="23">
      <c r="A23" s="210" t="s">
        <v>300</v>
      </c>
      <c r="B23" s="211">
        <v>6.0</v>
      </c>
      <c r="C23" s="212">
        <v>24.0</v>
      </c>
      <c r="D23" s="202">
        <v>10.0</v>
      </c>
      <c r="E23" s="219">
        <v>3.33</v>
      </c>
      <c r="F23" s="201">
        <f t="shared" si="1"/>
        <v>3.33</v>
      </c>
      <c r="G23" s="219">
        <v>0.33</v>
      </c>
      <c r="H23" s="202">
        <f t="shared" si="2"/>
        <v>1.98</v>
      </c>
      <c r="I23" s="214">
        <v>0.7</v>
      </c>
    </row>
    <row r="24">
      <c r="A24" s="210" t="s">
        <v>365</v>
      </c>
      <c r="B24" s="211">
        <v>6.0</v>
      </c>
      <c r="C24" s="212">
        <v>24.0</v>
      </c>
      <c r="D24" s="202">
        <v>10.0</v>
      </c>
      <c r="E24" s="219">
        <v>3.33</v>
      </c>
      <c r="F24" s="201">
        <f t="shared" si="1"/>
        <v>3.33</v>
      </c>
      <c r="G24" s="219">
        <v>0.17</v>
      </c>
      <c r="H24" s="202">
        <f t="shared" si="2"/>
        <v>1.02</v>
      </c>
      <c r="I24" s="214">
        <v>0.6</v>
      </c>
    </row>
    <row r="25">
      <c r="A25" s="210" t="s">
        <v>380</v>
      </c>
      <c r="B25" s="211">
        <v>4.0</v>
      </c>
      <c r="C25" s="212">
        <v>16.0</v>
      </c>
      <c r="D25" s="202">
        <v>5.0</v>
      </c>
      <c r="E25" s="219">
        <v>3.0</v>
      </c>
      <c r="F25" s="201">
        <f t="shared" si="1"/>
        <v>3</v>
      </c>
      <c r="G25" s="219">
        <v>0.25</v>
      </c>
      <c r="H25" s="202">
        <f t="shared" si="2"/>
        <v>1</v>
      </c>
      <c r="I25" s="214">
        <v>0.8</v>
      </c>
    </row>
    <row r="26">
      <c r="A26" s="210" t="s">
        <v>371</v>
      </c>
      <c r="B26" s="211">
        <v>4.0</v>
      </c>
      <c r="C26" s="212">
        <v>16.0</v>
      </c>
      <c r="D26" s="202">
        <v>8.0</v>
      </c>
      <c r="E26" s="219">
        <v>3.0</v>
      </c>
      <c r="F26" s="201">
        <f t="shared" si="1"/>
        <v>3</v>
      </c>
      <c r="G26" s="219">
        <v>0.0</v>
      </c>
      <c r="H26" s="202">
        <f t="shared" si="2"/>
        <v>0</v>
      </c>
      <c r="I26" s="214">
        <v>0.375</v>
      </c>
    </row>
    <row r="27">
      <c r="A27" s="210" t="s">
        <v>372</v>
      </c>
      <c r="B27" s="211">
        <v>3.0</v>
      </c>
      <c r="C27" s="212">
        <v>11.0</v>
      </c>
      <c r="D27" s="202">
        <v>3.0</v>
      </c>
      <c r="E27" s="219">
        <v>2.67</v>
      </c>
      <c r="F27" s="201">
        <f t="shared" si="1"/>
        <v>2.912727273</v>
      </c>
      <c r="G27" s="219">
        <v>0.0</v>
      </c>
      <c r="H27" s="202">
        <f t="shared" si="2"/>
        <v>0</v>
      </c>
      <c r="I27" s="214">
        <v>0.667</v>
      </c>
    </row>
    <row r="28">
      <c r="A28" s="210" t="s">
        <v>277</v>
      </c>
      <c r="B28" s="211">
        <v>6.0</v>
      </c>
      <c r="C28" s="212">
        <v>23.0</v>
      </c>
      <c r="D28" s="202">
        <v>4.0</v>
      </c>
      <c r="E28" s="219">
        <v>2.67</v>
      </c>
      <c r="F28" s="201">
        <f t="shared" si="1"/>
        <v>2.786086957</v>
      </c>
      <c r="G28" s="219">
        <v>0.0</v>
      </c>
      <c r="H28" s="202">
        <f t="shared" si="2"/>
        <v>0</v>
      </c>
      <c r="I28" s="214">
        <v>1.0</v>
      </c>
    </row>
    <row r="29">
      <c r="A29" s="210" t="s">
        <v>327</v>
      </c>
      <c r="B29" s="211">
        <v>6.0</v>
      </c>
      <c r="C29" s="212">
        <v>24.0</v>
      </c>
      <c r="D29" s="202">
        <v>11.0</v>
      </c>
      <c r="E29" s="219">
        <v>2.67</v>
      </c>
      <c r="F29" s="201">
        <f t="shared" si="1"/>
        <v>2.67</v>
      </c>
      <c r="G29" s="219">
        <v>0.5</v>
      </c>
      <c r="H29" s="202">
        <f t="shared" si="2"/>
        <v>3</v>
      </c>
      <c r="I29" s="214">
        <v>0.636</v>
      </c>
    </row>
    <row r="30">
      <c r="A30" s="210" t="s">
        <v>326</v>
      </c>
      <c r="B30" s="211">
        <v>6.0</v>
      </c>
      <c r="C30" s="212">
        <v>24.0</v>
      </c>
      <c r="D30" s="202">
        <v>6.0</v>
      </c>
      <c r="E30" s="219">
        <v>2.67</v>
      </c>
      <c r="F30" s="201">
        <f t="shared" si="1"/>
        <v>2.67</v>
      </c>
      <c r="G30" s="219">
        <v>0.17</v>
      </c>
      <c r="H30" s="202">
        <f t="shared" si="2"/>
        <v>1.02</v>
      </c>
      <c r="I30" s="214">
        <v>0.833</v>
      </c>
    </row>
    <row r="31">
      <c r="A31" s="210" t="s">
        <v>332</v>
      </c>
      <c r="B31" s="211">
        <v>6.0</v>
      </c>
      <c r="C31" s="212">
        <v>24.0</v>
      </c>
      <c r="D31" s="202">
        <v>10.0</v>
      </c>
      <c r="E31" s="219">
        <v>2.67</v>
      </c>
      <c r="F31" s="201">
        <f t="shared" si="1"/>
        <v>2.67</v>
      </c>
      <c r="G31" s="219">
        <v>0.17</v>
      </c>
      <c r="H31" s="202">
        <f t="shared" si="2"/>
        <v>1.02</v>
      </c>
      <c r="I31" s="214">
        <v>0.5</v>
      </c>
    </row>
    <row r="32">
      <c r="A32" s="210" t="s">
        <v>286</v>
      </c>
      <c r="B32" s="211">
        <v>6.0</v>
      </c>
      <c r="C32" s="212">
        <v>24.0</v>
      </c>
      <c r="D32" s="202">
        <v>6.0</v>
      </c>
      <c r="E32" s="219">
        <v>2.67</v>
      </c>
      <c r="F32" s="201">
        <f t="shared" si="1"/>
        <v>2.67</v>
      </c>
      <c r="G32" s="219">
        <v>0.0</v>
      </c>
      <c r="H32" s="202">
        <f t="shared" si="2"/>
        <v>0</v>
      </c>
      <c r="I32" s="214">
        <v>0.667</v>
      </c>
    </row>
    <row r="33">
      <c r="A33" s="210" t="s">
        <v>337</v>
      </c>
      <c r="B33" s="211">
        <v>3.0</v>
      </c>
      <c r="C33" s="212">
        <v>12.0</v>
      </c>
      <c r="D33" s="202">
        <v>2.0</v>
      </c>
      <c r="E33" s="219">
        <v>2.67</v>
      </c>
      <c r="F33" s="201">
        <f t="shared" si="1"/>
        <v>2.67</v>
      </c>
      <c r="G33" s="219">
        <v>0.0</v>
      </c>
      <c r="H33" s="202">
        <f t="shared" si="2"/>
        <v>0</v>
      </c>
      <c r="I33" s="214">
        <v>1.0</v>
      </c>
    </row>
    <row r="34">
      <c r="A34" s="210" t="s">
        <v>395</v>
      </c>
      <c r="B34" s="211">
        <v>5.0</v>
      </c>
      <c r="C34" s="212">
        <v>20.0</v>
      </c>
      <c r="D34" s="202">
        <v>3.0</v>
      </c>
      <c r="E34" s="219">
        <v>2.4</v>
      </c>
      <c r="F34" s="201">
        <f t="shared" si="1"/>
        <v>2.4</v>
      </c>
      <c r="G34" s="219">
        <v>0.0</v>
      </c>
      <c r="H34" s="202">
        <f t="shared" si="2"/>
        <v>0</v>
      </c>
      <c r="I34" s="214">
        <v>1.0</v>
      </c>
    </row>
    <row r="35">
      <c r="A35" s="210" t="s">
        <v>291</v>
      </c>
      <c r="B35" s="211">
        <v>6.0</v>
      </c>
      <c r="C35" s="212">
        <v>24.0</v>
      </c>
      <c r="D35" s="202">
        <v>6.0</v>
      </c>
      <c r="E35" s="219">
        <v>2.0</v>
      </c>
      <c r="F35" s="201">
        <f t="shared" si="1"/>
        <v>2</v>
      </c>
      <c r="G35" s="219">
        <v>0.17</v>
      </c>
      <c r="H35" s="202">
        <f t="shared" si="2"/>
        <v>1.02</v>
      </c>
      <c r="I35" s="214">
        <v>0.667</v>
      </c>
    </row>
    <row r="36">
      <c r="A36" s="210" t="s">
        <v>302</v>
      </c>
      <c r="B36" s="211">
        <v>6.0</v>
      </c>
      <c r="C36" s="212">
        <v>24.0</v>
      </c>
      <c r="D36" s="202">
        <v>6.0</v>
      </c>
      <c r="E36" s="219">
        <v>2.0</v>
      </c>
      <c r="F36" s="201">
        <f t="shared" si="1"/>
        <v>2</v>
      </c>
      <c r="G36" s="219">
        <v>0.17</v>
      </c>
      <c r="H36" s="202">
        <f t="shared" si="2"/>
        <v>1.02</v>
      </c>
      <c r="I36" s="214">
        <v>0.667</v>
      </c>
    </row>
    <row r="37">
      <c r="A37" s="210" t="s">
        <v>301</v>
      </c>
      <c r="B37" s="211">
        <v>6.0</v>
      </c>
      <c r="C37" s="212">
        <v>24.0</v>
      </c>
      <c r="D37" s="202">
        <v>4.0</v>
      </c>
      <c r="E37" s="219">
        <v>2.0</v>
      </c>
      <c r="F37" s="201">
        <f t="shared" si="1"/>
        <v>2</v>
      </c>
      <c r="G37" s="219">
        <v>0.0</v>
      </c>
      <c r="H37" s="202">
        <f t="shared" si="2"/>
        <v>0</v>
      </c>
      <c r="I37" s="214">
        <v>0.75</v>
      </c>
    </row>
    <row r="38">
      <c r="A38" s="210" t="s">
        <v>282</v>
      </c>
      <c r="B38" s="211">
        <v>6.0</v>
      </c>
      <c r="C38" s="212">
        <v>24.0</v>
      </c>
      <c r="D38" s="202">
        <v>3.0</v>
      </c>
      <c r="E38" s="219">
        <v>2.0</v>
      </c>
      <c r="F38" s="201">
        <f t="shared" si="1"/>
        <v>2</v>
      </c>
      <c r="G38" s="219">
        <v>0.0</v>
      </c>
      <c r="H38" s="202">
        <f t="shared" si="2"/>
        <v>0</v>
      </c>
      <c r="I38" s="214">
        <v>1.0</v>
      </c>
    </row>
    <row r="39">
      <c r="A39" s="210" t="s">
        <v>397</v>
      </c>
      <c r="B39" s="211">
        <v>2.0</v>
      </c>
      <c r="C39" s="212">
        <v>8.0</v>
      </c>
      <c r="D39" s="202">
        <v>1.0</v>
      </c>
      <c r="E39" s="219">
        <v>2.0</v>
      </c>
      <c r="F39" s="201">
        <f t="shared" si="1"/>
        <v>2</v>
      </c>
      <c r="G39" s="219">
        <v>0.0</v>
      </c>
      <c r="H39" s="202">
        <f t="shared" si="2"/>
        <v>0</v>
      </c>
      <c r="I39" s="214">
        <v>1.0</v>
      </c>
    </row>
    <row r="40">
      <c r="A40" s="210" t="s">
        <v>361</v>
      </c>
      <c r="B40" s="211">
        <v>5.0</v>
      </c>
      <c r="C40" s="212">
        <v>20.0</v>
      </c>
      <c r="D40" s="202">
        <v>3.0</v>
      </c>
      <c r="E40" s="219">
        <v>1.6</v>
      </c>
      <c r="F40" s="201">
        <f t="shared" si="1"/>
        <v>1.6</v>
      </c>
      <c r="G40" s="219">
        <v>0.0</v>
      </c>
      <c r="H40" s="202">
        <f t="shared" si="2"/>
        <v>0</v>
      </c>
      <c r="I40" s="214">
        <v>0.667</v>
      </c>
    </row>
    <row r="41">
      <c r="A41" s="210" t="s">
        <v>319</v>
      </c>
      <c r="B41" s="211">
        <v>5.0</v>
      </c>
      <c r="C41" s="212">
        <v>20.0</v>
      </c>
      <c r="D41" s="202">
        <v>2.0</v>
      </c>
      <c r="E41" s="219">
        <v>1.6</v>
      </c>
      <c r="F41" s="201">
        <f t="shared" si="1"/>
        <v>1.6</v>
      </c>
      <c r="G41" s="219">
        <v>0.0</v>
      </c>
      <c r="H41" s="202">
        <f t="shared" si="2"/>
        <v>0</v>
      </c>
      <c r="I41" s="214">
        <v>1.0</v>
      </c>
    </row>
    <row r="42">
      <c r="A42" s="210" t="s">
        <v>345</v>
      </c>
      <c r="B42" s="211">
        <v>5.0</v>
      </c>
      <c r="C42" s="212">
        <v>20.0</v>
      </c>
      <c r="D42" s="202">
        <v>2.0</v>
      </c>
      <c r="E42" s="219">
        <v>1.6</v>
      </c>
      <c r="F42" s="201">
        <f t="shared" si="1"/>
        <v>1.6</v>
      </c>
      <c r="G42" s="219">
        <v>0.0</v>
      </c>
      <c r="H42" s="202">
        <f t="shared" si="2"/>
        <v>0</v>
      </c>
      <c r="I42" s="214">
        <v>1.0</v>
      </c>
    </row>
    <row r="43">
      <c r="A43" s="210" t="s">
        <v>331</v>
      </c>
      <c r="B43" s="211">
        <v>5.0</v>
      </c>
      <c r="C43" s="212">
        <v>20.0</v>
      </c>
      <c r="D43" s="202">
        <v>4.0</v>
      </c>
      <c r="E43" s="219">
        <v>1.6</v>
      </c>
      <c r="F43" s="201">
        <f t="shared" si="1"/>
        <v>1.6</v>
      </c>
      <c r="G43" s="219">
        <v>0.0</v>
      </c>
      <c r="H43" s="202">
        <f t="shared" si="2"/>
        <v>0</v>
      </c>
      <c r="I43" s="214">
        <v>0.5</v>
      </c>
    </row>
    <row r="44">
      <c r="A44" s="210" t="s">
        <v>353</v>
      </c>
      <c r="B44" s="211">
        <v>5.0</v>
      </c>
      <c r="C44" s="212">
        <v>20.0</v>
      </c>
      <c r="D44" s="202">
        <v>2.0</v>
      </c>
      <c r="E44" s="219">
        <v>1.6</v>
      </c>
      <c r="F44" s="201">
        <f t="shared" si="1"/>
        <v>1.6</v>
      </c>
      <c r="G44" s="219">
        <v>0.0</v>
      </c>
      <c r="H44" s="202">
        <f t="shared" si="2"/>
        <v>0</v>
      </c>
      <c r="I44" s="214">
        <v>1.0</v>
      </c>
    </row>
    <row r="45">
      <c r="A45" s="210" t="s">
        <v>334</v>
      </c>
      <c r="B45" s="211">
        <v>6.0</v>
      </c>
      <c r="C45" s="212">
        <v>24.0</v>
      </c>
      <c r="D45" s="202">
        <v>9.0</v>
      </c>
      <c r="E45" s="219">
        <v>1.33</v>
      </c>
      <c r="F45" s="201">
        <f t="shared" si="1"/>
        <v>1.33</v>
      </c>
      <c r="G45" s="219">
        <v>0.5</v>
      </c>
      <c r="H45" s="202">
        <f t="shared" si="2"/>
        <v>3</v>
      </c>
      <c r="I45" s="214">
        <v>0.556</v>
      </c>
    </row>
    <row r="46">
      <c r="A46" s="210" t="s">
        <v>336</v>
      </c>
      <c r="B46" s="211">
        <v>3.0</v>
      </c>
      <c r="C46" s="212">
        <v>12.0</v>
      </c>
      <c r="D46" s="202">
        <v>1.0</v>
      </c>
      <c r="E46" s="219">
        <v>1.33</v>
      </c>
      <c r="F46" s="201">
        <f t="shared" si="1"/>
        <v>1.33</v>
      </c>
      <c r="G46" s="219">
        <v>0.0</v>
      </c>
      <c r="H46" s="202">
        <f t="shared" si="2"/>
        <v>0</v>
      </c>
      <c r="I46" s="214">
        <v>1.0</v>
      </c>
    </row>
    <row r="47">
      <c r="A47" s="210" t="s">
        <v>284</v>
      </c>
      <c r="B47" s="211">
        <v>6.0</v>
      </c>
      <c r="C47" s="212">
        <v>24.0</v>
      </c>
      <c r="D47" s="202">
        <v>2.0</v>
      </c>
      <c r="E47" s="219">
        <v>1.33</v>
      </c>
      <c r="F47" s="201">
        <f t="shared" si="1"/>
        <v>1.33</v>
      </c>
      <c r="G47" s="219">
        <v>0.0</v>
      </c>
      <c r="H47" s="202">
        <f t="shared" si="2"/>
        <v>0</v>
      </c>
      <c r="I47" s="214">
        <v>1.0</v>
      </c>
    </row>
    <row r="48">
      <c r="A48" s="210" t="s">
        <v>274</v>
      </c>
      <c r="B48" s="211">
        <v>6.0</v>
      </c>
      <c r="C48" s="212">
        <v>24.0</v>
      </c>
      <c r="D48" s="202">
        <v>2.0</v>
      </c>
      <c r="E48" s="219">
        <v>1.33</v>
      </c>
      <c r="F48" s="201">
        <f t="shared" si="1"/>
        <v>1.33</v>
      </c>
      <c r="G48" s="219">
        <v>0.0</v>
      </c>
      <c r="H48" s="202">
        <f t="shared" si="2"/>
        <v>0</v>
      </c>
      <c r="I48" s="214">
        <v>1.0</v>
      </c>
    </row>
    <row r="49">
      <c r="A49" s="210" t="s">
        <v>290</v>
      </c>
      <c r="B49" s="211">
        <v>6.0</v>
      </c>
      <c r="C49" s="212">
        <v>25.0</v>
      </c>
      <c r="D49" s="202">
        <v>3.0</v>
      </c>
      <c r="E49" s="219">
        <v>1.33</v>
      </c>
      <c r="F49" s="201">
        <f t="shared" si="1"/>
        <v>1.2768</v>
      </c>
      <c r="G49" s="219">
        <v>0.0</v>
      </c>
      <c r="H49" s="202">
        <f t="shared" si="2"/>
        <v>0</v>
      </c>
      <c r="I49" s="214">
        <v>0.667</v>
      </c>
    </row>
    <row r="50">
      <c r="A50" s="210" t="s">
        <v>285</v>
      </c>
      <c r="B50" s="211">
        <v>6.0</v>
      </c>
      <c r="C50" s="212">
        <v>25.0</v>
      </c>
      <c r="D50" s="202">
        <v>3.0</v>
      </c>
      <c r="E50" s="219">
        <v>1.33</v>
      </c>
      <c r="F50" s="201">
        <f t="shared" si="1"/>
        <v>1.2768</v>
      </c>
      <c r="G50" s="219">
        <v>0.0</v>
      </c>
      <c r="H50" s="202">
        <f t="shared" si="2"/>
        <v>0</v>
      </c>
      <c r="I50" s="214">
        <v>0.667</v>
      </c>
    </row>
    <row r="51">
      <c r="A51" s="210" t="s">
        <v>364</v>
      </c>
      <c r="B51" s="211">
        <v>6.0</v>
      </c>
      <c r="C51" s="212">
        <v>25.0</v>
      </c>
      <c r="D51" s="202">
        <v>3.0</v>
      </c>
      <c r="E51" s="219">
        <v>1.33</v>
      </c>
      <c r="F51" s="201">
        <f t="shared" si="1"/>
        <v>1.2768</v>
      </c>
      <c r="G51" s="219">
        <v>0.0</v>
      </c>
      <c r="H51" s="202">
        <f t="shared" si="2"/>
        <v>0</v>
      </c>
      <c r="I51" s="214">
        <v>0.667</v>
      </c>
    </row>
    <row r="52">
      <c r="A52" s="210" t="s">
        <v>354</v>
      </c>
      <c r="B52" s="211">
        <v>4.0</v>
      </c>
      <c r="C52" s="212">
        <v>15.0</v>
      </c>
      <c r="D52" s="202">
        <v>1.0</v>
      </c>
      <c r="E52" s="219">
        <v>1.0</v>
      </c>
      <c r="F52" s="201">
        <f t="shared" si="1"/>
        <v>1.066666667</v>
      </c>
      <c r="G52" s="219">
        <v>0.0</v>
      </c>
      <c r="H52" s="202">
        <f t="shared" si="2"/>
        <v>0</v>
      </c>
      <c r="I52" s="214">
        <v>1.0</v>
      </c>
    </row>
    <row r="53">
      <c r="A53" s="210" t="s">
        <v>389</v>
      </c>
      <c r="B53" s="211">
        <v>4.0</v>
      </c>
      <c r="C53" s="212">
        <v>16.0</v>
      </c>
      <c r="D53" s="202">
        <v>2.0</v>
      </c>
      <c r="E53" s="219">
        <v>1.0</v>
      </c>
      <c r="F53" s="201">
        <f t="shared" si="1"/>
        <v>1</v>
      </c>
      <c r="G53" s="219">
        <v>0.0</v>
      </c>
      <c r="H53" s="202">
        <f t="shared" si="2"/>
        <v>0</v>
      </c>
      <c r="I53" s="214">
        <v>0.5</v>
      </c>
    </row>
    <row r="54">
      <c r="A54" s="210" t="s">
        <v>373</v>
      </c>
      <c r="B54" s="211">
        <v>5.0</v>
      </c>
      <c r="C54" s="212">
        <v>20.0</v>
      </c>
      <c r="D54" s="202">
        <v>2.0</v>
      </c>
      <c r="E54" s="219">
        <v>0.8</v>
      </c>
      <c r="F54" s="201">
        <f t="shared" si="1"/>
        <v>0.8</v>
      </c>
      <c r="G54" s="219">
        <v>0.0</v>
      </c>
      <c r="H54" s="202">
        <f t="shared" si="2"/>
        <v>0</v>
      </c>
      <c r="I54" s="214">
        <v>0.5</v>
      </c>
    </row>
    <row r="55">
      <c r="A55" s="210" t="s">
        <v>330</v>
      </c>
      <c r="B55" s="211">
        <v>5.0</v>
      </c>
      <c r="C55" s="212">
        <v>20.0</v>
      </c>
      <c r="D55" s="202">
        <v>1.0</v>
      </c>
      <c r="E55" s="219">
        <v>0.8</v>
      </c>
      <c r="F55" s="201">
        <f t="shared" si="1"/>
        <v>0.8</v>
      </c>
      <c r="G55" s="219">
        <v>0.0</v>
      </c>
      <c r="H55" s="202">
        <f t="shared" si="2"/>
        <v>0</v>
      </c>
      <c r="I55" s="214">
        <v>1.0</v>
      </c>
    </row>
    <row r="56">
      <c r="A56" s="210" t="s">
        <v>363</v>
      </c>
      <c r="B56" s="211">
        <v>5.0</v>
      </c>
      <c r="C56" s="212">
        <v>20.0</v>
      </c>
      <c r="D56" s="202">
        <v>1.0</v>
      </c>
      <c r="E56" s="219">
        <v>0.8</v>
      </c>
      <c r="F56" s="201">
        <f t="shared" si="1"/>
        <v>0.8</v>
      </c>
      <c r="G56" s="219">
        <v>0.0</v>
      </c>
      <c r="H56" s="202">
        <f t="shared" si="2"/>
        <v>0</v>
      </c>
      <c r="I56" s="214">
        <v>1.0</v>
      </c>
    </row>
    <row r="57">
      <c r="A57" s="210" t="s">
        <v>341</v>
      </c>
      <c r="B57" s="211">
        <v>5.0</v>
      </c>
      <c r="C57" s="212">
        <v>20.0</v>
      </c>
      <c r="D57" s="202">
        <v>2.0</v>
      </c>
      <c r="E57" s="219">
        <v>0.8</v>
      </c>
      <c r="F57" s="201">
        <f t="shared" si="1"/>
        <v>0.8</v>
      </c>
      <c r="G57" s="219">
        <v>0.0</v>
      </c>
      <c r="H57" s="202">
        <f t="shared" si="2"/>
        <v>0</v>
      </c>
      <c r="I57" s="214">
        <v>0.5</v>
      </c>
    </row>
    <row r="58">
      <c r="A58" s="210" t="s">
        <v>273</v>
      </c>
      <c r="B58" s="211">
        <v>6.0</v>
      </c>
      <c r="C58" s="212">
        <v>23.0</v>
      </c>
      <c r="D58" s="202">
        <v>8.0</v>
      </c>
      <c r="E58" s="219">
        <v>0.67</v>
      </c>
      <c r="F58" s="201">
        <f t="shared" si="1"/>
        <v>0.6991304348</v>
      </c>
      <c r="G58" s="219">
        <v>0.33</v>
      </c>
      <c r="H58" s="202">
        <f t="shared" si="2"/>
        <v>1.98</v>
      </c>
      <c r="I58" s="214">
        <v>0.375</v>
      </c>
    </row>
    <row r="59">
      <c r="A59" s="210" t="s">
        <v>375</v>
      </c>
      <c r="B59" s="211">
        <v>6.0</v>
      </c>
      <c r="C59" s="212">
        <v>23.0</v>
      </c>
      <c r="D59" s="202">
        <v>1.0</v>
      </c>
      <c r="E59" s="219">
        <v>0.67</v>
      </c>
      <c r="F59" s="201">
        <f t="shared" si="1"/>
        <v>0.6991304348</v>
      </c>
      <c r="G59" s="219">
        <v>0.0</v>
      </c>
      <c r="H59" s="202">
        <f t="shared" si="2"/>
        <v>0</v>
      </c>
      <c r="I59" s="214">
        <v>1.0</v>
      </c>
    </row>
    <row r="60">
      <c r="A60" s="210" t="s">
        <v>366</v>
      </c>
      <c r="B60" s="211">
        <v>6.0</v>
      </c>
      <c r="C60" s="212">
        <v>24.0</v>
      </c>
      <c r="D60" s="202">
        <v>3.0</v>
      </c>
      <c r="E60" s="219">
        <v>0.67</v>
      </c>
      <c r="F60" s="201">
        <f t="shared" si="1"/>
        <v>0.67</v>
      </c>
      <c r="G60" s="219">
        <v>0.17</v>
      </c>
      <c r="H60" s="202">
        <f t="shared" si="2"/>
        <v>1.02</v>
      </c>
      <c r="I60" s="214">
        <v>0.667</v>
      </c>
    </row>
    <row r="61">
      <c r="A61" s="210" t="s">
        <v>294</v>
      </c>
      <c r="B61" s="211">
        <v>6.0</v>
      </c>
      <c r="C61" s="212">
        <v>24.0</v>
      </c>
      <c r="D61" s="202">
        <v>6.0</v>
      </c>
      <c r="E61" s="219">
        <v>0.67</v>
      </c>
      <c r="F61" s="201">
        <f t="shared" si="1"/>
        <v>0.67</v>
      </c>
      <c r="G61" s="219">
        <v>0.0</v>
      </c>
      <c r="H61" s="202">
        <f t="shared" si="2"/>
        <v>0</v>
      </c>
      <c r="I61" s="214">
        <v>0.167</v>
      </c>
    </row>
    <row r="62">
      <c r="A62" s="210" t="s">
        <v>312</v>
      </c>
      <c r="B62" s="211">
        <v>6.0</v>
      </c>
      <c r="C62" s="212">
        <v>24.0</v>
      </c>
      <c r="D62" s="202">
        <v>1.0</v>
      </c>
      <c r="E62" s="219">
        <v>0.67</v>
      </c>
      <c r="F62" s="201">
        <f t="shared" si="1"/>
        <v>0.67</v>
      </c>
      <c r="G62" s="219">
        <v>0.0</v>
      </c>
      <c r="H62" s="202">
        <f t="shared" si="2"/>
        <v>0</v>
      </c>
      <c r="I62" s="214">
        <v>1.0</v>
      </c>
    </row>
    <row r="63">
      <c r="A63" s="210" t="s">
        <v>342</v>
      </c>
      <c r="B63" s="211">
        <v>6.0</v>
      </c>
      <c r="C63" s="212">
        <v>24.0</v>
      </c>
      <c r="D63" s="202">
        <v>1.0</v>
      </c>
      <c r="E63" s="219">
        <v>0.67</v>
      </c>
      <c r="F63" s="201">
        <f t="shared" si="1"/>
        <v>0.67</v>
      </c>
      <c r="G63" s="219">
        <v>0.0</v>
      </c>
      <c r="H63" s="202">
        <f t="shared" si="2"/>
        <v>0</v>
      </c>
      <c r="I63" s="214">
        <v>1.0</v>
      </c>
    </row>
    <row r="64">
      <c r="A64" s="210" t="s">
        <v>296</v>
      </c>
      <c r="B64" s="211">
        <v>6.0</v>
      </c>
      <c r="C64" s="212">
        <v>24.0</v>
      </c>
      <c r="D64" s="202">
        <v>1.0</v>
      </c>
      <c r="E64" s="219">
        <v>0.67</v>
      </c>
      <c r="F64" s="201">
        <f t="shared" si="1"/>
        <v>0.67</v>
      </c>
      <c r="G64" s="219">
        <v>0.0</v>
      </c>
      <c r="H64" s="202">
        <f t="shared" si="2"/>
        <v>0</v>
      </c>
      <c r="I64" s="214">
        <v>1.0</v>
      </c>
    </row>
    <row r="65">
      <c r="A65" s="210" t="s">
        <v>323</v>
      </c>
      <c r="B65" s="211">
        <v>6.0</v>
      </c>
      <c r="C65" s="212">
        <v>24.0</v>
      </c>
      <c r="D65" s="202">
        <v>1.0</v>
      </c>
      <c r="E65" s="219">
        <v>0.67</v>
      </c>
      <c r="F65" s="201">
        <f t="shared" si="1"/>
        <v>0.67</v>
      </c>
      <c r="G65" s="219">
        <v>0.0</v>
      </c>
      <c r="H65" s="202">
        <f t="shared" si="2"/>
        <v>0</v>
      </c>
      <c r="I65" s="214">
        <v>1.0</v>
      </c>
    </row>
    <row r="66">
      <c r="A66" s="210" t="s">
        <v>328</v>
      </c>
      <c r="B66" s="211">
        <v>6.0</v>
      </c>
      <c r="C66" s="212">
        <v>24.0</v>
      </c>
      <c r="D66" s="202">
        <v>1.0</v>
      </c>
      <c r="E66" s="219">
        <v>0.67</v>
      </c>
      <c r="F66" s="201">
        <f t="shared" si="1"/>
        <v>0.67</v>
      </c>
      <c r="G66" s="219">
        <v>0.0</v>
      </c>
      <c r="H66" s="202">
        <f t="shared" si="2"/>
        <v>0</v>
      </c>
      <c r="I66" s="214">
        <v>1.0</v>
      </c>
    </row>
    <row r="67">
      <c r="A67" s="210" t="s">
        <v>356</v>
      </c>
      <c r="B67" s="211">
        <v>6.0</v>
      </c>
      <c r="C67" s="212">
        <v>24.0</v>
      </c>
      <c r="D67" s="202">
        <v>2.0</v>
      </c>
      <c r="E67" s="219">
        <v>0.0</v>
      </c>
      <c r="F67" s="201">
        <f t="shared" si="1"/>
        <v>0</v>
      </c>
      <c r="G67" s="219">
        <v>0.17</v>
      </c>
      <c r="H67" s="202">
        <f t="shared" si="2"/>
        <v>1.02</v>
      </c>
      <c r="I67" s="214">
        <v>0.5</v>
      </c>
    </row>
    <row r="68">
      <c r="A68" s="210" t="s">
        <v>316</v>
      </c>
      <c r="B68" s="211">
        <v>5.0</v>
      </c>
      <c r="C68" s="212">
        <v>20.0</v>
      </c>
      <c r="D68" s="202">
        <v>2.0</v>
      </c>
      <c r="E68" s="219">
        <v>0.0</v>
      </c>
      <c r="F68" s="201">
        <f t="shared" si="1"/>
        <v>0</v>
      </c>
      <c r="G68" s="219">
        <v>0.2</v>
      </c>
      <c r="H68" s="202">
        <f t="shared" si="2"/>
        <v>1</v>
      </c>
      <c r="I68" s="214">
        <v>0.5</v>
      </c>
    </row>
    <row r="69">
      <c r="A69" s="210" t="s">
        <v>396</v>
      </c>
      <c r="B69" s="211">
        <v>4.0</v>
      </c>
      <c r="C69" s="212">
        <v>15.0</v>
      </c>
      <c r="D69" s="202">
        <v>4.0</v>
      </c>
      <c r="E69" s="219">
        <v>0.0</v>
      </c>
      <c r="F69" s="201">
        <f t="shared" si="1"/>
        <v>0</v>
      </c>
      <c r="G69" s="219">
        <v>0.25</v>
      </c>
      <c r="H69" s="202">
        <f t="shared" si="2"/>
        <v>1</v>
      </c>
      <c r="I69" s="214">
        <v>0.25</v>
      </c>
    </row>
    <row r="70">
      <c r="A70" s="210" t="s">
        <v>388</v>
      </c>
      <c r="B70" s="211">
        <v>4.0</v>
      </c>
      <c r="C70" s="212">
        <v>16.0</v>
      </c>
      <c r="D70" s="202">
        <v>2.0</v>
      </c>
      <c r="E70" s="219">
        <v>0.0</v>
      </c>
      <c r="F70" s="201">
        <f t="shared" si="1"/>
        <v>0</v>
      </c>
      <c r="G70" s="219">
        <v>0.25</v>
      </c>
      <c r="H70" s="202">
        <f t="shared" si="2"/>
        <v>1</v>
      </c>
      <c r="I70" s="214">
        <v>0.5</v>
      </c>
    </row>
    <row r="71">
      <c r="A71" s="210" t="s">
        <v>281</v>
      </c>
      <c r="B71" s="211">
        <v>6.0</v>
      </c>
      <c r="C71" s="212">
        <v>24.0</v>
      </c>
      <c r="D71" s="202">
        <v>0.0</v>
      </c>
      <c r="E71" s="219">
        <v>0.0</v>
      </c>
      <c r="F71" s="201">
        <f t="shared" si="1"/>
        <v>0</v>
      </c>
      <c r="G71" s="219">
        <v>0.0</v>
      </c>
      <c r="H71" s="202">
        <f t="shared" si="2"/>
        <v>0</v>
      </c>
      <c r="I71" s="214">
        <v>0.0</v>
      </c>
    </row>
    <row r="72">
      <c r="A72" s="210" t="s">
        <v>347</v>
      </c>
      <c r="B72" s="211">
        <v>5.0</v>
      </c>
      <c r="C72" s="212">
        <v>20.0</v>
      </c>
      <c r="D72" s="202">
        <v>0.0</v>
      </c>
      <c r="E72" s="219">
        <v>0.0</v>
      </c>
      <c r="F72" s="201">
        <f t="shared" si="1"/>
        <v>0</v>
      </c>
      <c r="G72" s="219">
        <v>0.0</v>
      </c>
      <c r="H72" s="202">
        <f t="shared" si="2"/>
        <v>0</v>
      </c>
      <c r="I72" s="214">
        <v>0.0</v>
      </c>
    </row>
    <row r="73">
      <c r="A73" s="210" t="s">
        <v>325</v>
      </c>
      <c r="B73" s="211">
        <v>6.0</v>
      </c>
      <c r="C73" s="212">
        <v>24.0</v>
      </c>
      <c r="D73" s="202">
        <v>0.0</v>
      </c>
      <c r="E73" s="219">
        <v>0.0</v>
      </c>
      <c r="F73" s="201">
        <f t="shared" si="1"/>
        <v>0</v>
      </c>
      <c r="G73" s="219">
        <v>0.0</v>
      </c>
      <c r="H73" s="202">
        <f t="shared" si="2"/>
        <v>0</v>
      </c>
      <c r="I73" s="214">
        <v>0.0</v>
      </c>
    </row>
    <row r="74">
      <c r="A74" s="210" t="s">
        <v>335</v>
      </c>
      <c r="B74" s="211">
        <v>3.0</v>
      </c>
      <c r="C74" s="212">
        <v>12.0</v>
      </c>
      <c r="D74" s="202">
        <v>0.0</v>
      </c>
      <c r="E74" s="219">
        <v>0.0</v>
      </c>
      <c r="F74" s="201">
        <f t="shared" si="1"/>
        <v>0</v>
      </c>
      <c r="G74" s="219">
        <v>0.0</v>
      </c>
      <c r="H74" s="202">
        <f t="shared" si="2"/>
        <v>0</v>
      </c>
      <c r="I74" s="214">
        <v>0.0</v>
      </c>
    </row>
    <row r="75">
      <c r="A75" s="210" t="s">
        <v>382</v>
      </c>
      <c r="B75" s="211">
        <v>6.0</v>
      </c>
      <c r="C75" s="212">
        <v>24.0</v>
      </c>
      <c r="D75" s="202">
        <v>1.0</v>
      </c>
      <c r="E75" s="219">
        <v>0.0</v>
      </c>
      <c r="F75" s="201">
        <f t="shared" si="1"/>
        <v>0</v>
      </c>
      <c r="G75" s="219">
        <v>0.0</v>
      </c>
      <c r="H75" s="202">
        <f t="shared" si="2"/>
        <v>0</v>
      </c>
      <c r="I75" s="214">
        <v>0.0</v>
      </c>
    </row>
    <row r="76">
      <c r="A76" s="210" t="s">
        <v>383</v>
      </c>
      <c r="B76" s="211">
        <v>6.0</v>
      </c>
      <c r="C76" s="212">
        <v>24.0</v>
      </c>
      <c r="D76" s="202">
        <v>0.0</v>
      </c>
      <c r="E76" s="219">
        <v>0.0</v>
      </c>
      <c r="F76" s="201">
        <f t="shared" si="1"/>
        <v>0</v>
      </c>
      <c r="G76" s="219">
        <v>0.0</v>
      </c>
      <c r="H76" s="202">
        <f t="shared" si="2"/>
        <v>0</v>
      </c>
      <c r="I76" s="214">
        <v>0.0</v>
      </c>
    </row>
    <row r="77">
      <c r="A77" s="210" t="s">
        <v>306</v>
      </c>
      <c r="B77" s="211">
        <v>6.0</v>
      </c>
      <c r="C77" s="212">
        <v>24.0</v>
      </c>
      <c r="D77" s="202">
        <v>1.0</v>
      </c>
      <c r="E77" s="219">
        <v>0.0</v>
      </c>
      <c r="F77" s="201">
        <f t="shared" si="1"/>
        <v>0</v>
      </c>
      <c r="G77" s="219">
        <v>0.0</v>
      </c>
      <c r="H77" s="202">
        <f t="shared" si="2"/>
        <v>0</v>
      </c>
      <c r="I77" s="214">
        <v>0.0</v>
      </c>
    </row>
    <row r="78">
      <c r="A78" s="210" t="s">
        <v>384</v>
      </c>
      <c r="B78" s="211">
        <v>3.0</v>
      </c>
      <c r="C78" s="212">
        <v>12.0</v>
      </c>
      <c r="D78" s="202">
        <v>0.0</v>
      </c>
      <c r="E78" s="219">
        <v>0.0</v>
      </c>
      <c r="F78" s="201">
        <f t="shared" si="1"/>
        <v>0</v>
      </c>
      <c r="G78" s="219">
        <v>0.0</v>
      </c>
      <c r="H78" s="202">
        <f t="shared" si="2"/>
        <v>0</v>
      </c>
      <c r="I78" s="214">
        <v>0.0</v>
      </c>
    </row>
    <row r="79">
      <c r="A79" s="210" t="s">
        <v>390</v>
      </c>
      <c r="B79" s="211">
        <v>4.0</v>
      </c>
      <c r="C79" s="212">
        <v>16.0</v>
      </c>
      <c r="D79" s="202">
        <v>2.0</v>
      </c>
      <c r="E79" s="219">
        <v>0.0</v>
      </c>
      <c r="F79" s="201">
        <f t="shared" si="1"/>
        <v>0</v>
      </c>
      <c r="G79" s="219">
        <v>0.0</v>
      </c>
      <c r="H79" s="202">
        <f t="shared" si="2"/>
        <v>0</v>
      </c>
      <c r="I79" s="214">
        <v>0.0</v>
      </c>
    </row>
    <row r="80">
      <c r="A80" s="210" t="s">
        <v>351</v>
      </c>
      <c r="B80" s="211">
        <v>6.0</v>
      </c>
      <c r="C80" s="212">
        <v>24.0</v>
      </c>
      <c r="D80" s="202">
        <v>0.0</v>
      </c>
      <c r="E80" s="219">
        <v>0.0</v>
      </c>
      <c r="F80" s="201">
        <f t="shared" si="1"/>
        <v>0</v>
      </c>
      <c r="G80" s="219">
        <v>0.0</v>
      </c>
      <c r="H80" s="202">
        <f t="shared" si="2"/>
        <v>0</v>
      </c>
      <c r="I80" s="214">
        <v>0.0</v>
      </c>
    </row>
    <row r="81">
      <c r="A81" s="210" t="s">
        <v>393</v>
      </c>
      <c r="B81" s="211">
        <v>4.0</v>
      </c>
      <c r="C81" s="212">
        <v>16.0</v>
      </c>
      <c r="D81" s="202">
        <v>0.0</v>
      </c>
      <c r="E81" s="219">
        <v>0.0</v>
      </c>
      <c r="F81" s="201">
        <f t="shared" si="1"/>
        <v>0</v>
      </c>
      <c r="G81" s="219">
        <v>0.0</v>
      </c>
      <c r="H81" s="202">
        <f t="shared" si="2"/>
        <v>0</v>
      </c>
      <c r="I81" s="214">
        <v>0.0</v>
      </c>
    </row>
    <row r="82">
      <c r="A82" s="210" t="s">
        <v>359</v>
      </c>
      <c r="B82" s="211">
        <v>6.0</v>
      </c>
      <c r="C82" s="212">
        <v>24.0</v>
      </c>
      <c r="D82" s="202">
        <v>0.0</v>
      </c>
      <c r="E82" s="219">
        <v>0.0</v>
      </c>
      <c r="F82" s="201">
        <f t="shared" si="1"/>
        <v>0</v>
      </c>
      <c r="G82" s="219">
        <v>0.0</v>
      </c>
      <c r="H82" s="202">
        <f t="shared" si="2"/>
        <v>0</v>
      </c>
      <c r="I82" s="214">
        <v>0.0</v>
      </c>
    </row>
    <row r="83">
      <c r="A83" s="210" t="s">
        <v>385</v>
      </c>
      <c r="B83" s="211">
        <v>5.0</v>
      </c>
      <c r="C83" s="212">
        <v>20.0</v>
      </c>
      <c r="D83" s="202">
        <v>0.0</v>
      </c>
      <c r="E83" s="219">
        <v>0.0</v>
      </c>
      <c r="F83" s="201">
        <f t="shared" si="1"/>
        <v>0</v>
      </c>
      <c r="G83" s="219">
        <v>0.0</v>
      </c>
      <c r="H83" s="202">
        <f t="shared" si="2"/>
        <v>0</v>
      </c>
      <c r="I83" s="214">
        <v>0.0</v>
      </c>
    </row>
    <row r="84">
      <c r="A84" s="210" t="s">
        <v>288</v>
      </c>
      <c r="B84" s="211">
        <v>6.0</v>
      </c>
      <c r="C84" s="212">
        <v>24.0</v>
      </c>
      <c r="D84" s="202">
        <v>0.0</v>
      </c>
      <c r="E84" s="219">
        <v>0.0</v>
      </c>
      <c r="F84" s="201">
        <f t="shared" si="1"/>
        <v>0</v>
      </c>
      <c r="G84" s="219">
        <v>0.0</v>
      </c>
      <c r="H84" s="202">
        <f t="shared" si="2"/>
        <v>0</v>
      </c>
      <c r="I84" s="214">
        <v>0.0</v>
      </c>
    </row>
    <row r="85">
      <c r="A85" s="210" t="s">
        <v>374</v>
      </c>
      <c r="B85" s="211">
        <v>1.0</v>
      </c>
      <c r="C85" s="212">
        <v>4.0</v>
      </c>
      <c r="D85" s="202">
        <v>0.0</v>
      </c>
      <c r="E85" s="219">
        <v>0.0</v>
      </c>
      <c r="F85" s="201">
        <f t="shared" si="1"/>
        <v>0</v>
      </c>
      <c r="G85" s="219">
        <v>0.0</v>
      </c>
      <c r="H85" s="202">
        <f t="shared" si="2"/>
        <v>0</v>
      </c>
      <c r="I85" s="214">
        <v>0.0</v>
      </c>
    </row>
    <row r="86">
      <c r="A86" s="210" t="s">
        <v>379</v>
      </c>
      <c r="B86" s="211">
        <v>6.0</v>
      </c>
      <c r="C86" s="212">
        <v>23.0</v>
      </c>
      <c r="D86" s="202">
        <v>0.0</v>
      </c>
      <c r="E86" s="219">
        <v>0.0</v>
      </c>
      <c r="F86" s="201">
        <f t="shared" si="1"/>
        <v>0</v>
      </c>
      <c r="G86" s="219">
        <v>0.0</v>
      </c>
      <c r="H86" s="202">
        <f t="shared" si="2"/>
        <v>0</v>
      </c>
      <c r="I86" s="214">
        <v>0.0</v>
      </c>
    </row>
    <row r="87">
      <c r="A87" s="210" t="s">
        <v>338</v>
      </c>
      <c r="B87" s="211">
        <v>1.0</v>
      </c>
      <c r="C87" s="212">
        <v>4.0</v>
      </c>
      <c r="D87" s="202">
        <v>0.0</v>
      </c>
      <c r="E87" s="219">
        <v>0.0</v>
      </c>
      <c r="F87" s="201">
        <f t="shared" si="1"/>
        <v>0</v>
      </c>
      <c r="G87" s="219">
        <v>0.0</v>
      </c>
      <c r="H87" s="202">
        <f t="shared" si="2"/>
        <v>0</v>
      </c>
      <c r="I87" s="214">
        <v>0.0</v>
      </c>
    </row>
    <row r="88">
      <c r="A88" s="210" t="s">
        <v>304</v>
      </c>
      <c r="B88" s="211">
        <v>6.0</v>
      </c>
      <c r="C88" s="212">
        <v>24.0</v>
      </c>
      <c r="D88" s="202">
        <v>0.0</v>
      </c>
      <c r="E88" s="219">
        <v>0.0</v>
      </c>
      <c r="F88" s="201">
        <f t="shared" si="1"/>
        <v>0</v>
      </c>
      <c r="G88" s="219">
        <v>0.0</v>
      </c>
      <c r="H88" s="202">
        <f t="shared" si="2"/>
        <v>0</v>
      </c>
      <c r="I88" s="214">
        <v>0.0</v>
      </c>
    </row>
    <row r="89">
      <c r="A89" s="210" t="s">
        <v>307</v>
      </c>
      <c r="B89" s="211">
        <v>6.0</v>
      </c>
      <c r="C89" s="212">
        <v>24.0</v>
      </c>
      <c r="D89" s="202">
        <v>0.0</v>
      </c>
      <c r="E89" s="219">
        <v>0.0</v>
      </c>
      <c r="F89" s="201">
        <f t="shared" si="1"/>
        <v>0</v>
      </c>
      <c r="G89" s="219">
        <v>0.0</v>
      </c>
      <c r="H89" s="202">
        <f t="shared" si="2"/>
        <v>0</v>
      </c>
      <c r="I89" s="214">
        <v>0.0</v>
      </c>
    </row>
    <row r="90">
      <c r="A90" s="210" t="s">
        <v>357</v>
      </c>
      <c r="B90" s="211">
        <v>6.0</v>
      </c>
      <c r="C90" s="212">
        <v>24.0</v>
      </c>
      <c r="D90" s="202">
        <v>0.0</v>
      </c>
      <c r="E90" s="219">
        <v>0.0</v>
      </c>
      <c r="F90" s="201">
        <f t="shared" si="1"/>
        <v>0</v>
      </c>
      <c r="G90" s="219">
        <v>0.0</v>
      </c>
      <c r="H90" s="202">
        <f t="shared" si="2"/>
        <v>0</v>
      </c>
      <c r="I90" s="214">
        <v>0.0</v>
      </c>
    </row>
    <row r="91">
      <c r="A91" s="210" t="s">
        <v>314</v>
      </c>
      <c r="B91" s="211">
        <v>3.0</v>
      </c>
      <c r="C91" s="212">
        <v>12.0</v>
      </c>
      <c r="D91" s="202">
        <v>0.0</v>
      </c>
      <c r="E91" s="219">
        <v>0.0</v>
      </c>
      <c r="F91" s="201">
        <f t="shared" si="1"/>
        <v>0</v>
      </c>
      <c r="G91" s="219">
        <v>0.0</v>
      </c>
      <c r="H91" s="202">
        <f t="shared" si="2"/>
        <v>0</v>
      </c>
      <c r="I91" s="214">
        <v>0.0</v>
      </c>
    </row>
    <row r="92">
      <c r="A92" s="210" t="s">
        <v>358</v>
      </c>
      <c r="B92" s="211">
        <v>6.0</v>
      </c>
      <c r="C92" s="212">
        <v>24.0</v>
      </c>
      <c r="D92" s="202">
        <v>0.0</v>
      </c>
      <c r="E92" s="219">
        <v>0.0</v>
      </c>
      <c r="F92" s="201">
        <f t="shared" si="1"/>
        <v>0</v>
      </c>
      <c r="G92" s="219">
        <v>0.0</v>
      </c>
      <c r="H92" s="202">
        <f t="shared" si="2"/>
        <v>0</v>
      </c>
      <c r="I92" s="214">
        <v>0.0</v>
      </c>
    </row>
    <row r="93">
      <c r="A93" s="210" t="s">
        <v>350</v>
      </c>
      <c r="B93" s="211">
        <v>6.0</v>
      </c>
      <c r="C93" s="212">
        <v>24.0</v>
      </c>
      <c r="D93" s="202">
        <v>0.0</v>
      </c>
      <c r="E93" s="219">
        <v>0.0</v>
      </c>
      <c r="F93" s="201">
        <f t="shared" si="1"/>
        <v>0</v>
      </c>
      <c r="G93" s="219">
        <v>0.0</v>
      </c>
      <c r="H93" s="202">
        <f t="shared" si="2"/>
        <v>0</v>
      </c>
      <c r="I93" s="214">
        <v>0.0</v>
      </c>
    </row>
    <row r="94">
      <c r="A94" s="210" t="s">
        <v>362</v>
      </c>
      <c r="B94" s="211">
        <v>5.0</v>
      </c>
      <c r="C94" s="212">
        <v>20.0</v>
      </c>
      <c r="D94" s="202">
        <v>0.0</v>
      </c>
      <c r="E94" s="219">
        <v>0.0</v>
      </c>
      <c r="F94" s="201">
        <f t="shared" si="1"/>
        <v>0</v>
      </c>
      <c r="G94" s="219">
        <v>0.0</v>
      </c>
      <c r="H94" s="202">
        <f t="shared" si="2"/>
        <v>0</v>
      </c>
      <c r="I94" s="214">
        <v>0.0</v>
      </c>
    </row>
    <row r="95">
      <c r="A95" s="210" t="s">
        <v>360</v>
      </c>
      <c r="B95" s="211">
        <v>2.0</v>
      </c>
      <c r="C95" s="212">
        <v>8.0</v>
      </c>
      <c r="D95" s="202">
        <v>0.0</v>
      </c>
      <c r="E95" s="219">
        <v>0.0</v>
      </c>
      <c r="F95" s="201">
        <f t="shared" si="1"/>
        <v>0</v>
      </c>
      <c r="G95" s="219">
        <v>0.0</v>
      </c>
      <c r="H95" s="202">
        <f t="shared" si="2"/>
        <v>0</v>
      </c>
      <c r="I95" s="214">
        <v>0.0</v>
      </c>
    </row>
    <row r="96">
      <c r="A96" s="210" t="s">
        <v>292</v>
      </c>
      <c r="B96" s="211">
        <v>6.0</v>
      </c>
      <c r="C96" s="212">
        <v>23.0</v>
      </c>
      <c r="D96" s="202">
        <v>0.0</v>
      </c>
      <c r="E96" s="219">
        <v>0.0</v>
      </c>
      <c r="F96" s="201">
        <f t="shared" si="1"/>
        <v>0</v>
      </c>
      <c r="G96" s="219">
        <v>0.0</v>
      </c>
      <c r="H96" s="202">
        <f t="shared" si="2"/>
        <v>0</v>
      </c>
      <c r="I96" s="214">
        <v>0.0</v>
      </c>
    </row>
    <row r="97">
      <c r="A97" s="210" t="s">
        <v>318</v>
      </c>
      <c r="B97" s="211">
        <v>6.0</v>
      </c>
      <c r="C97" s="212">
        <v>23.0</v>
      </c>
      <c r="D97" s="202">
        <v>1.0</v>
      </c>
      <c r="E97" s="219">
        <v>0.0</v>
      </c>
      <c r="F97" s="201">
        <f t="shared" si="1"/>
        <v>0</v>
      </c>
      <c r="G97" s="219">
        <v>0.0</v>
      </c>
      <c r="H97" s="202">
        <f t="shared" si="2"/>
        <v>0</v>
      </c>
      <c r="I97" s="214">
        <v>0.0</v>
      </c>
    </row>
    <row r="98">
      <c r="A98" s="210" t="s">
        <v>343</v>
      </c>
      <c r="B98" s="211">
        <v>5.0</v>
      </c>
      <c r="C98" s="212">
        <v>21.0</v>
      </c>
      <c r="D98" s="202">
        <v>1.0</v>
      </c>
      <c r="E98" s="219">
        <v>0.0</v>
      </c>
      <c r="F98" s="201">
        <f t="shared" si="1"/>
        <v>0</v>
      </c>
      <c r="G98" s="219">
        <v>0.0</v>
      </c>
      <c r="H98" s="202">
        <f t="shared" si="2"/>
        <v>0</v>
      </c>
      <c r="I98" s="214">
        <v>0.0</v>
      </c>
    </row>
    <row r="99">
      <c r="A99" s="210" t="s">
        <v>313</v>
      </c>
      <c r="B99" s="211">
        <v>6.0</v>
      </c>
      <c r="C99" s="212">
        <v>24.0</v>
      </c>
      <c r="D99" s="202">
        <v>0.0</v>
      </c>
      <c r="E99" s="219">
        <v>0.0</v>
      </c>
      <c r="F99" s="201">
        <f t="shared" si="1"/>
        <v>0</v>
      </c>
      <c r="G99" s="219">
        <v>0.0</v>
      </c>
      <c r="H99" s="202">
        <f t="shared" si="2"/>
        <v>0</v>
      </c>
      <c r="I99" s="214">
        <v>0.0</v>
      </c>
    </row>
    <row r="100">
      <c r="A100" s="210" t="s">
        <v>310</v>
      </c>
      <c r="B100" s="211">
        <v>6.0</v>
      </c>
      <c r="C100" s="212">
        <v>24.0</v>
      </c>
      <c r="D100" s="202">
        <v>0.0</v>
      </c>
      <c r="E100" s="219">
        <v>0.0</v>
      </c>
      <c r="F100" s="201">
        <f t="shared" si="1"/>
        <v>0</v>
      </c>
      <c r="G100" s="219">
        <v>0.0</v>
      </c>
      <c r="H100" s="202">
        <f t="shared" si="2"/>
        <v>0</v>
      </c>
      <c r="I100" s="214">
        <v>0.0</v>
      </c>
    </row>
    <row r="101">
      <c r="A101" s="210" t="s">
        <v>394</v>
      </c>
      <c r="B101" s="211">
        <v>5.0</v>
      </c>
      <c r="C101" s="212">
        <v>20.0</v>
      </c>
      <c r="D101" s="202">
        <v>0.0</v>
      </c>
      <c r="E101" s="219">
        <v>0.0</v>
      </c>
      <c r="F101" s="201">
        <f t="shared" si="1"/>
        <v>0</v>
      </c>
      <c r="G101" s="219">
        <v>0.0</v>
      </c>
      <c r="H101" s="202">
        <f t="shared" si="2"/>
        <v>0</v>
      </c>
      <c r="I101" s="214">
        <v>0.0</v>
      </c>
    </row>
    <row r="102">
      <c r="A102" s="210" t="s">
        <v>352</v>
      </c>
      <c r="B102" s="211">
        <v>3.0</v>
      </c>
      <c r="C102" s="212">
        <v>12.0</v>
      </c>
      <c r="D102" s="202">
        <v>0.0</v>
      </c>
      <c r="E102" s="219">
        <v>0.0</v>
      </c>
      <c r="F102" s="201">
        <f t="shared" si="1"/>
        <v>0</v>
      </c>
      <c r="G102" s="219">
        <v>0.0</v>
      </c>
      <c r="H102" s="202">
        <f t="shared" si="2"/>
        <v>0</v>
      </c>
      <c r="I102" s="214">
        <v>0.0</v>
      </c>
    </row>
    <row r="103">
      <c r="A103" s="210" t="s">
        <v>387</v>
      </c>
      <c r="B103" s="211">
        <v>4.0</v>
      </c>
      <c r="C103" s="212">
        <v>16.0</v>
      </c>
      <c r="D103" s="202">
        <v>1.0</v>
      </c>
      <c r="E103" s="219">
        <v>0.0</v>
      </c>
      <c r="F103" s="201">
        <f t="shared" si="1"/>
        <v>0</v>
      </c>
      <c r="G103" s="219">
        <v>0.0</v>
      </c>
      <c r="H103" s="202">
        <f t="shared" si="2"/>
        <v>0</v>
      </c>
      <c r="I103" s="214">
        <v>0.0</v>
      </c>
    </row>
    <row r="104">
      <c r="A104" s="210" t="s">
        <v>368</v>
      </c>
      <c r="B104" s="211">
        <v>4.0</v>
      </c>
      <c r="C104" s="212">
        <v>16.0</v>
      </c>
      <c r="D104" s="202">
        <v>0.0</v>
      </c>
      <c r="E104" s="219">
        <v>0.0</v>
      </c>
      <c r="F104" s="201">
        <f t="shared" si="1"/>
        <v>0</v>
      </c>
      <c r="G104" s="219">
        <v>0.0</v>
      </c>
      <c r="H104" s="202">
        <f t="shared" si="2"/>
        <v>0</v>
      </c>
      <c r="I104" s="214">
        <v>0.0</v>
      </c>
    </row>
    <row r="105">
      <c r="A105" s="210" t="s">
        <v>308</v>
      </c>
      <c r="B105" s="211">
        <v>5.0</v>
      </c>
      <c r="C105" s="212">
        <v>20.0</v>
      </c>
      <c r="D105" s="202">
        <v>0.0</v>
      </c>
      <c r="E105" s="219">
        <v>0.0</v>
      </c>
      <c r="F105" s="201">
        <f t="shared" si="1"/>
        <v>0</v>
      </c>
      <c r="G105" s="219">
        <v>0.0</v>
      </c>
      <c r="H105" s="202">
        <f t="shared" si="2"/>
        <v>0</v>
      </c>
      <c r="I105" s="214">
        <v>0.0</v>
      </c>
    </row>
    <row r="106">
      <c r="A106" s="210" t="s">
        <v>401</v>
      </c>
      <c r="B106" s="211">
        <v>1.0</v>
      </c>
      <c r="C106" s="212">
        <v>4.0</v>
      </c>
      <c r="D106" s="202">
        <v>0.0</v>
      </c>
      <c r="E106" s="219">
        <v>0.0</v>
      </c>
      <c r="F106" s="201">
        <f t="shared" si="1"/>
        <v>0</v>
      </c>
      <c r="G106" s="219">
        <v>0.0</v>
      </c>
      <c r="H106" s="202">
        <f t="shared" si="2"/>
        <v>0</v>
      </c>
      <c r="I106" s="214">
        <v>0.0</v>
      </c>
    </row>
    <row r="107">
      <c r="A107" s="210" t="s">
        <v>317</v>
      </c>
      <c r="B107" s="211">
        <v>5.0</v>
      </c>
      <c r="C107" s="212">
        <v>20.0</v>
      </c>
      <c r="D107" s="202">
        <v>0.0</v>
      </c>
      <c r="E107" s="219">
        <v>0.0</v>
      </c>
      <c r="F107" s="201">
        <f t="shared" si="1"/>
        <v>0</v>
      </c>
      <c r="G107" s="219">
        <v>0.0</v>
      </c>
      <c r="H107" s="202">
        <f t="shared" si="2"/>
        <v>0</v>
      </c>
      <c r="I107" s="214">
        <v>0.0</v>
      </c>
    </row>
    <row r="108">
      <c r="A108" s="210" t="s">
        <v>348</v>
      </c>
      <c r="B108" s="211">
        <v>4.0</v>
      </c>
      <c r="C108" s="212">
        <v>16.0</v>
      </c>
      <c r="D108" s="202">
        <v>0.0</v>
      </c>
      <c r="E108" s="219">
        <v>0.0</v>
      </c>
      <c r="F108" s="201">
        <f t="shared" si="1"/>
        <v>0</v>
      </c>
      <c r="G108" s="219">
        <v>0.0</v>
      </c>
      <c r="H108" s="202">
        <f t="shared" si="2"/>
        <v>0</v>
      </c>
      <c r="I108" s="214">
        <v>0.0</v>
      </c>
    </row>
    <row r="109">
      <c r="A109" s="210" t="s">
        <v>392</v>
      </c>
      <c r="B109" s="211">
        <v>3.0</v>
      </c>
      <c r="C109" s="212">
        <v>12.0</v>
      </c>
      <c r="D109" s="202">
        <v>0.0</v>
      </c>
      <c r="E109" s="219">
        <v>0.0</v>
      </c>
      <c r="F109" s="201">
        <f t="shared" si="1"/>
        <v>0</v>
      </c>
      <c r="G109" s="219">
        <v>0.0</v>
      </c>
      <c r="H109" s="202">
        <f t="shared" si="2"/>
        <v>0</v>
      </c>
      <c r="I109" s="214">
        <v>0.0</v>
      </c>
    </row>
    <row r="110">
      <c r="A110" s="210" t="s">
        <v>297</v>
      </c>
      <c r="B110" s="211">
        <v>5.0</v>
      </c>
      <c r="C110" s="212">
        <v>19.0</v>
      </c>
      <c r="D110" s="202">
        <v>0.0</v>
      </c>
      <c r="E110" s="219">
        <v>0.0</v>
      </c>
      <c r="F110" s="201">
        <f t="shared" si="1"/>
        <v>0</v>
      </c>
      <c r="G110" s="219">
        <v>0.0</v>
      </c>
      <c r="H110" s="202">
        <f t="shared" si="2"/>
        <v>0</v>
      </c>
      <c r="I110" s="214">
        <v>0.0</v>
      </c>
    </row>
    <row r="111">
      <c r="A111" s="210" t="s">
        <v>309</v>
      </c>
      <c r="B111" s="211">
        <v>2.0</v>
      </c>
      <c r="C111" s="212">
        <v>8.0</v>
      </c>
      <c r="D111" s="202">
        <v>0.0</v>
      </c>
      <c r="E111" s="219">
        <v>0.0</v>
      </c>
      <c r="F111" s="201">
        <f t="shared" si="1"/>
        <v>0</v>
      </c>
      <c r="G111" s="219">
        <v>0.0</v>
      </c>
      <c r="H111" s="202">
        <f t="shared" si="2"/>
        <v>0</v>
      </c>
      <c r="I111" s="214">
        <v>0.0</v>
      </c>
    </row>
    <row r="112">
      <c r="A112" s="210" t="s">
        <v>376</v>
      </c>
      <c r="B112" s="211">
        <v>2.0</v>
      </c>
      <c r="C112" s="212">
        <v>8.0</v>
      </c>
      <c r="D112" s="202">
        <v>0.0</v>
      </c>
      <c r="E112" s="219">
        <v>0.0</v>
      </c>
      <c r="F112" s="201">
        <f t="shared" si="1"/>
        <v>0</v>
      </c>
      <c r="G112" s="219">
        <v>0.0</v>
      </c>
      <c r="H112" s="202">
        <f t="shared" si="2"/>
        <v>0</v>
      </c>
      <c r="I112" s="214">
        <v>0.0</v>
      </c>
    </row>
    <row r="113">
      <c r="A113" s="210" t="s">
        <v>329</v>
      </c>
      <c r="B113" s="211">
        <v>5.0</v>
      </c>
      <c r="C113" s="212">
        <v>20.0</v>
      </c>
      <c r="D113" s="202">
        <v>0.0</v>
      </c>
      <c r="E113" s="219">
        <v>0.0</v>
      </c>
      <c r="F113" s="201">
        <f t="shared" si="1"/>
        <v>0</v>
      </c>
      <c r="G113" s="219">
        <v>0.0</v>
      </c>
      <c r="H113" s="202">
        <f t="shared" si="2"/>
        <v>0</v>
      </c>
      <c r="I113" s="214">
        <v>0.0</v>
      </c>
    </row>
    <row r="114">
      <c r="A114" s="210" t="s">
        <v>377</v>
      </c>
      <c r="B114" s="211">
        <v>1.0</v>
      </c>
      <c r="C114" s="212">
        <v>4.0</v>
      </c>
      <c r="D114" s="202">
        <v>0.0</v>
      </c>
      <c r="E114" s="219">
        <v>0.0</v>
      </c>
      <c r="F114" s="201">
        <f t="shared" si="1"/>
        <v>0</v>
      </c>
      <c r="G114" s="219">
        <v>0.0</v>
      </c>
      <c r="H114" s="202">
        <f t="shared" si="2"/>
        <v>0</v>
      </c>
      <c r="I114" s="214">
        <v>0.0</v>
      </c>
    </row>
    <row r="115">
      <c r="A115" s="210" t="s">
        <v>378</v>
      </c>
      <c r="B115" s="211">
        <v>3.0</v>
      </c>
      <c r="C115" s="212">
        <v>12.0</v>
      </c>
      <c r="D115" s="202">
        <v>0.0</v>
      </c>
      <c r="E115" s="219">
        <v>0.0</v>
      </c>
      <c r="F115" s="201">
        <f t="shared" si="1"/>
        <v>0</v>
      </c>
      <c r="G115" s="219">
        <v>0.0</v>
      </c>
      <c r="H115" s="202">
        <f t="shared" si="2"/>
        <v>0</v>
      </c>
      <c r="I115" s="214">
        <v>0.0</v>
      </c>
    </row>
    <row r="116">
      <c r="A116" s="210" t="s">
        <v>402</v>
      </c>
      <c r="B116" s="211">
        <v>1.0</v>
      </c>
      <c r="C116" s="212">
        <v>4.0</v>
      </c>
      <c r="D116" s="202">
        <v>0.0</v>
      </c>
      <c r="E116" s="219">
        <v>0.0</v>
      </c>
      <c r="F116" s="201">
        <f t="shared" si="1"/>
        <v>0</v>
      </c>
      <c r="G116" s="219">
        <v>0.0</v>
      </c>
      <c r="H116" s="202">
        <f t="shared" si="2"/>
        <v>0</v>
      </c>
      <c r="I116" s="214">
        <v>0.0</v>
      </c>
    </row>
    <row r="117">
      <c r="A117" s="210" t="s">
        <v>321</v>
      </c>
      <c r="B117" s="211">
        <v>5.0</v>
      </c>
      <c r="C117" s="212">
        <v>20.0</v>
      </c>
      <c r="D117" s="202">
        <v>1.0</v>
      </c>
      <c r="E117" s="219">
        <v>0.0</v>
      </c>
      <c r="F117" s="201">
        <f t="shared" si="1"/>
        <v>0</v>
      </c>
      <c r="G117" s="219">
        <v>0.0</v>
      </c>
      <c r="H117" s="202">
        <f t="shared" si="2"/>
        <v>0</v>
      </c>
      <c r="I117" s="214">
        <v>0.0</v>
      </c>
    </row>
    <row r="118">
      <c r="A118" s="210" t="s">
        <v>399</v>
      </c>
      <c r="B118" s="211">
        <v>2.0</v>
      </c>
      <c r="C118" s="212">
        <v>8.0</v>
      </c>
      <c r="D118" s="202">
        <v>0.0</v>
      </c>
      <c r="E118" s="219">
        <v>0.0</v>
      </c>
      <c r="F118" s="201">
        <f t="shared" si="1"/>
        <v>0</v>
      </c>
      <c r="G118" s="219">
        <v>0.0</v>
      </c>
      <c r="H118" s="202">
        <f t="shared" si="2"/>
        <v>0</v>
      </c>
      <c r="I118" s="214">
        <v>0.0</v>
      </c>
    </row>
    <row r="119">
      <c r="A119" s="210" t="s">
        <v>349</v>
      </c>
      <c r="B119" s="211">
        <v>3.0</v>
      </c>
      <c r="C119" s="212">
        <v>12.0</v>
      </c>
      <c r="D119" s="202">
        <v>0.0</v>
      </c>
      <c r="E119" s="219">
        <v>0.0</v>
      </c>
      <c r="F119" s="201">
        <f t="shared" si="1"/>
        <v>0</v>
      </c>
      <c r="G119" s="219">
        <v>0.0</v>
      </c>
      <c r="H119" s="202">
        <f t="shared" si="2"/>
        <v>0</v>
      </c>
      <c r="I119" s="214">
        <v>0.0</v>
      </c>
    </row>
    <row r="120">
      <c r="A120" s="210" t="s">
        <v>386</v>
      </c>
      <c r="B120" s="211">
        <v>4.0</v>
      </c>
      <c r="C120" s="212">
        <v>16.0</v>
      </c>
      <c r="D120" s="202">
        <v>2.0</v>
      </c>
      <c r="E120" s="219">
        <v>0.0</v>
      </c>
      <c r="F120" s="201">
        <f t="shared" si="1"/>
        <v>0</v>
      </c>
      <c r="G120" s="219">
        <v>0.0</v>
      </c>
      <c r="H120" s="202">
        <f t="shared" si="2"/>
        <v>0</v>
      </c>
      <c r="I120" s="214">
        <v>0.0</v>
      </c>
    </row>
    <row r="121">
      <c r="A121" s="210" t="s">
        <v>278</v>
      </c>
      <c r="B121" s="211">
        <v>3.0</v>
      </c>
      <c r="C121" s="212">
        <v>12.0</v>
      </c>
      <c r="D121" s="202">
        <v>0.0</v>
      </c>
      <c r="E121" s="219">
        <v>0.0</v>
      </c>
      <c r="F121" s="201">
        <f t="shared" si="1"/>
        <v>0</v>
      </c>
      <c r="G121" s="219">
        <v>0.0</v>
      </c>
      <c r="H121" s="202">
        <f t="shared" si="2"/>
        <v>0</v>
      </c>
      <c r="I121" s="214">
        <v>0.0</v>
      </c>
    </row>
    <row r="122">
      <c r="A122" s="210" t="s">
        <v>340</v>
      </c>
      <c r="B122" s="211">
        <v>1.0</v>
      </c>
      <c r="C122" s="212">
        <v>4.0</v>
      </c>
      <c r="D122" s="202">
        <v>0.0</v>
      </c>
      <c r="E122" s="219">
        <v>0.0</v>
      </c>
      <c r="F122" s="201">
        <f t="shared" si="1"/>
        <v>0</v>
      </c>
      <c r="G122" s="219">
        <v>0.0</v>
      </c>
      <c r="H122" s="202">
        <f t="shared" si="2"/>
        <v>0</v>
      </c>
      <c r="I122" s="214">
        <v>0.0</v>
      </c>
    </row>
    <row r="123">
      <c r="A123" s="210" t="s">
        <v>305</v>
      </c>
      <c r="B123" s="211">
        <v>1.0</v>
      </c>
      <c r="C123" s="212">
        <v>4.0</v>
      </c>
      <c r="D123" s="202">
        <v>0.0</v>
      </c>
      <c r="E123" s="219">
        <v>0.0</v>
      </c>
      <c r="F123" s="201">
        <f t="shared" si="1"/>
        <v>0</v>
      </c>
      <c r="G123" s="219">
        <v>0.0</v>
      </c>
      <c r="H123" s="202">
        <f t="shared" si="2"/>
        <v>0</v>
      </c>
      <c r="I123" s="214">
        <v>0.0</v>
      </c>
    </row>
    <row r="124">
      <c r="A124" s="210" t="s">
        <v>295</v>
      </c>
      <c r="B124" s="211">
        <v>1.0</v>
      </c>
      <c r="C124" s="212">
        <v>4.0</v>
      </c>
      <c r="D124" s="202">
        <v>0.0</v>
      </c>
      <c r="E124" s="219">
        <v>0.0</v>
      </c>
      <c r="F124" s="201">
        <f t="shared" si="1"/>
        <v>0</v>
      </c>
      <c r="G124" s="219">
        <v>0.0</v>
      </c>
      <c r="H124" s="202">
        <f t="shared" si="2"/>
        <v>0</v>
      </c>
      <c r="I124" s="214">
        <v>0.0</v>
      </c>
    </row>
    <row r="125">
      <c r="A125" s="210" t="s">
        <v>311</v>
      </c>
      <c r="B125" s="211">
        <v>6.0</v>
      </c>
      <c r="C125" s="212">
        <v>25.0</v>
      </c>
      <c r="D125" s="202">
        <v>2.0</v>
      </c>
      <c r="E125" s="219">
        <v>-0.67</v>
      </c>
      <c r="F125" s="201">
        <f t="shared" si="1"/>
        <v>-0.6432</v>
      </c>
      <c r="G125" s="219">
        <v>0.17</v>
      </c>
      <c r="H125" s="202">
        <f t="shared" si="2"/>
        <v>1.02</v>
      </c>
      <c r="I125" s="214">
        <v>0.0</v>
      </c>
    </row>
    <row r="126">
      <c r="A126" s="210" t="s">
        <v>370</v>
      </c>
      <c r="B126" s="211">
        <v>6.0</v>
      </c>
      <c r="C126" s="212">
        <v>24.0</v>
      </c>
      <c r="D126" s="202">
        <v>13.0</v>
      </c>
      <c r="E126" s="219">
        <v>-0.67</v>
      </c>
      <c r="F126" s="201">
        <f t="shared" si="1"/>
        <v>-0.67</v>
      </c>
      <c r="G126" s="219">
        <v>0.83</v>
      </c>
      <c r="H126" s="202">
        <f t="shared" si="2"/>
        <v>4.98</v>
      </c>
      <c r="I126" s="214">
        <v>0.308</v>
      </c>
    </row>
    <row r="127">
      <c r="A127" s="210" t="s">
        <v>369</v>
      </c>
      <c r="B127" s="211">
        <v>6.0</v>
      </c>
      <c r="C127" s="212">
        <v>24.0</v>
      </c>
      <c r="D127" s="202">
        <v>4.0</v>
      </c>
      <c r="E127" s="219">
        <v>-0.67</v>
      </c>
      <c r="F127" s="201">
        <f t="shared" si="1"/>
        <v>-0.67</v>
      </c>
      <c r="G127" s="219">
        <v>0.33</v>
      </c>
      <c r="H127" s="202">
        <f t="shared" si="2"/>
        <v>1.98</v>
      </c>
      <c r="I127" s="214">
        <v>0.25</v>
      </c>
    </row>
    <row r="128">
      <c r="A128" s="210" t="s">
        <v>391</v>
      </c>
      <c r="B128" s="211">
        <v>6.0</v>
      </c>
      <c r="C128" s="212">
        <v>24.0</v>
      </c>
      <c r="D128" s="202">
        <v>1.0</v>
      </c>
      <c r="E128" s="219">
        <v>-0.67</v>
      </c>
      <c r="F128" s="201">
        <f t="shared" si="1"/>
        <v>-0.67</v>
      </c>
      <c r="G128" s="219">
        <v>0.17</v>
      </c>
      <c r="H128" s="202">
        <f t="shared" si="2"/>
        <v>1.02</v>
      </c>
      <c r="I128" s="214">
        <v>0.0</v>
      </c>
    </row>
    <row r="129">
      <c r="A129" s="210" t="s">
        <v>272</v>
      </c>
      <c r="B129" s="211">
        <v>6.0</v>
      </c>
      <c r="C129" s="212">
        <v>24.0</v>
      </c>
      <c r="D129" s="202">
        <v>10.0</v>
      </c>
      <c r="E129" s="219">
        <v>-1.33</v>
      </c>
      <c r="F129" s="201">
        <f t="shared" si="1"/>
        <v>-1.33</v>
      </c>
      <c r="G129" s="219">
        <v>1.0</v>
      </c>
      <c r="H129" s="202">
        <f t="shared" si="2"/>
        <v>6</v>
      </c>
      <c r="I129" s="214">
        <v>0.4</v>
      </c>
    </row>
    <row r="130">
      <c r="A130" s="210" t="s">
        <v>381</v>
      </c>
      <c r="B130" s="211">
        <v>3.0</v>
      </c>
      <c r="C130" s="212">
        <v>12.0</v>
      </c>
      <c r="D130" s="202">
        <v>2.0</v>
      </c>
      <c r="E130" s="219">
        <v>-1.33</v>
      </c>
      <c r="F130" s="201">
        <f t="shared" si="1"/>
        <v>-1.33</v>
      </c>
      <c r="G130" s="219">
        <v>0.33</v>
      </c>
      <c r="H130" s="202">
        <f t="shared" si="2"/>
        <v>0.99</v>
      </c>
      <c r="I130" s="214">
        <v>0.0</v>
      </c>
    </row>
    <row r="131">
      <c r="A131" s="210" t="s">
        <v>398</v>
      </c>
      <c r="B131" s="211">
        <v>3.0</v>
      </c>
      <c r="C131" s="212">
        <v>12.0</v>
      </c>
      <c r="D131" s="202">
        <v>1.0</v>
      </c>
      <c r="E131" s="219">
        <v>-1.33</v>
      </c>
      <c r="F131" s="201">
        <f t="shared" si="1"/>
        <v>-1.33</v>
      </c>
      <c r="G131" s="219">
        <v>0.33</v>
      </c>
      <c r="H131" s="202">
        <f t="shared" si="2"/>
        <v>0.99</v>
      </c>
      <c r="I131" s="214">
        <v>0.0</v>
      </c>
    </row>
    <row r="132">
      <c r="A132" s="210" t="s">
        <v>400</v>
      </c>
      <c r="B132" s="211">
        <v>2.0</v>
      </c>
      <c r="C132" s="212">
        <v>8.0</v>
      </c>
      <c r="D132" s="202">
        <v>1.0</v>
      </c>
      <c r="E132" s="219">
        <v>-2.0</v>
      </c>
      <c r="F132" s="201">
        <f t="shared" si="1"/>
        <v>-2</v>
      </c>
      <c r="G132" s="219">
        <v>0.5</v>
      </c>
      <c r="H132" s="202">
        <f t="shared" si="2"/>
        <v>1</v>
      </c>
      <c r="I132" s="214">
        <v>0.0</v>
      </c>
    </row>
    <row r="133">
      <c r="A133" s="210"/>
      <c r="B133" s="35"/>
      <c r="C133" s="223"/>
      <c r="D133" s="202"/>
      <c r="E133" s="220"/>
      <c r="F133" s="201"/>
      <c r="G133" s="220"/>
      <c r="H133" s="202"/>
      <c r="I133" s="214"/>
    </row>
    <row r="134">
      <c r="A134" s="210"/>
      <c r="B134" s="35"/>
      <c r="C134" s="223"/>
      <c r="D134" s="202"/>
      <c r="E134" s="220"/>
      <c r="F134" s="201"/>
      <c r="G134" s="220"/>
      <c r="H134" s="202"/>
      <c r="I134" s="214"/>
    </row>
    <row r="135">
      <c r="A135" s="210"/>
      <c r="B135" s="35"/>
      <c r="C135" s="223"/>
      <c r="D135" s="202"/>
      <c r="E135" s="220"/>
      <c r="F135" s="201"/>
      <c r="G135" s="220"/>
      <c r="H135" s="202"/>
      <c r="I135" s="214"/>
    </row>
    <row r="136">
      <c r="A136" s="210"/>
      <c r="B136" s="35"/>
      <c r="C136" s="223"/>
      <c r="D136" s="202"/>
      <c r="E136" s="220"/>
      <c r="F136" s="201"/>
      <c r="G136" s="220"/>
      <c r="H136" s="202"/>
      <c r="I136" s="214"/>
    </row>
    <row r="137">
      <c r="A137" s="210"/>
      <c r="B137" s="35"/>
      <c r="C137" s="223"/>
      <c r="D137" s="202"/>
      <c r="E137" s="220"/>
      <c r="F137" s="201"/>
      <c r="G137" s="220"/>
      <c r="H137" s="202"/>
      <c r="I137" s="214"/>
    </row>
    <row r="138">
      <c r="A138" s="210"/>
      <c r="B138" s="35"/>
      <c r="C138" s="223"/>
      <c r="D138" s="202"/>
      <c r="E138" s="220"/>
      <c r="F138" s="201"/>
      <c r="G138" s="220"/>
      <c r="H138" s="202"/>
      <c r="I138" s="214"/>
    </row>
    <row r="139">
      <c r="A139" s="210"/>
      <c r="B139" s="35"/>
      <c r="C139" s="223"/>
      <c r="D139" s="202"/>
      <c r="E139" s="220"/>
      <c r="F139" s="201"/>
      <c r="G139" s="220"/>
      <c r="H139" s="202"/>
      <c r="I139" s="214"/>
    </row>
  </sheetData>
  <hyperlinks>
    <hyperlink display="Catstats Hub" location="'Catstats Hub'!A1" ref="A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196" t="s">
        <v>268</v>
      </c>
      <c r="G1" s="207" t="s">
        <v>269</v>
      </c>
      <c r="H1" s="216" t="s">
        <v>270</v>
      </c>
      <c r="I1" s="225" t="s">
        <v>271</v>
      </c>
    </row>
    <row r="2">
      <c r="A2" s="45" t="s">
        <v>272</v>
      </c>
      <c r="B2" s="211">
        <v>6.0</v>
      </c>
      <c r="C2" s="212">
        <v>24.0</v>
      </c>
      <c r="D2" s="45">
        <v>22.0</v>
      </c>
      <c r="E2" s="212">
        <v>10.67</v>
      </c>
      <c r="F2" s="201">
        <f t="shared" ref="F2:F132" si="1">E2*B2*4/C2</f>
        <v>10.67</v>
      </c>
      <c r="G2" s="212">
        <v>0.5</v>
      </c>
      <c r="H2" s="202">
        <f t="shared" ref="H2:H132" si="2">G2*B2</f>
        <v>3</v>
      </c>
      <c r="I2" s="226">
        <v>0.864</v>
      </c>
    </row>
    <row r="3">
      <c r="A3" s="45" t="s">
        <v>307</v>
      </c>
      <c r="B3" s="211">
        <v>6.0</v>
      </c>
      <c r="C3" s="212">
        <v>24.0</v>
      </c>
      <c r="D3" s="45">
        <v>16.0</v>
      </c>
      <c r="E3" s="212">
        <v>8.67</v>
      </c>
      <c r="F3" s="201">
        <f t="shared" si="1"/>
        <v>8.67</v>
      </c>
      <c r="G3" s="212">
        <v>0.17</v>
      </c>
      <c r="H3" s="202">
        <f t="shared" si="2"/>
        <v>1.02</v>
      </c>
      <c r="I3" s="226">
        <v>0.875</v>
      </c>
    </row>
    <row r="4">
      <c r="A4" s="45" t="s">
        <v>273</v>
      </c>
      <c r="B4" s="211">
        <v>6.0</v>
      </c>
      <c r="C4" s="212">
        <v>24.0</v>
      </c>
      <c r="D4" s="45">
        <v>14.0</v>
      </c>
      <c r="E4" s="212">
        <v>8.67</v>
      </c>
      <c r="F4" s="201">
        <f t="shared" si="1"/>
        <v>8.67</v>
      </c>
      <c r="G4" s="212">
        <v>0.0</v>
      </c>
      <c r="H4" s="202">
        <f t="shared" si="2"/>
        <v>0</v>
      </c>
      <c r="I4" s="226">
        <v>0.929</v>
      </c>
    </row>
    <row r="5">
      <c r="A5" s="45" t="s">
        <v>282</v>
      </c>
      <c r="B5" s="211">
        <v>6.0</v>
      </c>
      <c r="C5" s="212">
        <v>24.0</v>
      </c>
      <c r="D5" s="45">
        <v>15.0</v>
      </c>
      <c r="E5" s="212">
        <v>8.67</v>
      </c>
      <c r="F5" s="201">
        <f t="shared" si="1"/>
        <v>8.67</v>
      </c>
      <c r="G5" s="212">
        <v>0.0</v>
      </c>
      <c r="H5" s="202">
        <f t="shared" si="2"/>
        <v>0</v>
      </c>
      <c r="I5" s="226">
        <v>0.867</v>
      </c>
    </row>
    <row r="6">
      <c r="A6" s="45" t="s">
        <v>308</v>
      </c>
      <c r="B6" s="211">
        <v>5.0</v>
      </c>
      <c r="C6" s="212">
        <v>20.0</v>
      </c>
      <c r="D6" s="45">
        <v>13.0</v>
      </c>
      <c r="E6" s="212">
        <v>8.0</v>
      </c>
      <c r="F6" s="201">
        <f t="shared" si="1"/>
        <v>8</v>
      </c>
      <c r="G6" s="212">
        <v>0.2</v>
      </c>
      <c r="H6" s="202">
        <f t="shared" si="2"/>
        <v>1</v>
      </c>
      <c r="I6" s="226">
        <v>0.846</v>
      </c>
    </row>
    <row r="7">
      <c r="A7" s="45" t="s">
        <v>285</v>
      </c>
      <c r="B7" s="211">
        <v>6.0</v>
      </c>
      <c r="C7" s="212">
        <v>24.0</v>
      </c>
      <c r="D7" s="45">
        <v>12.0</v>
      </c>
      <c r="E7" s="212">
        <v>8.0</v>
      </c>
      <c r="F7" s="201">
        <f t="shared" si="1"/>
        <v>8</v>
      </c>
      <c r="G7" s="212">
        <v>0.0</v>
      </c>
      <c r="H7" s="202">
        <f t="shared" si="2"/>
        <v>0</v>
      </c>
      <c r="I7" s="226">
        <v>1.0</v>
      </c>
    </row>
    <row r="8">
      <c r="A8" s="45" t="s">
        <v>340</v>
      </c>
      <c r="B8" s="211">
        <v>1.0</v>
      </c>
      <c r="C8" s="212">
        <v>4.0</v>
      </c>
      <c r="D8" s="45">
        <v>2.0</v>
      </c>
      <c r="E8" s="212">
        <v>8.0</v>
      </c>
      <c r="F8" s="201">
        <f t="shared" si="1"/>
        <v>8</v>
      </c>
      <c r="G8" s="212">
        <v>0.0</v>
      </c>
      <c r="H8" s="202">
        <f t="shared" si="2"/>
        <v>0</v>
      </c>
      <c r="I8" s="226">
        <v>1.0</v>
      </c>
    </row>
    <row r="9">
      <c r="A9" s="45" t="s">
        <v>288</v>
      </c>
      <c r="B9" s="211">
        <v>6.0</v>
      </c>
      <c r="C9" s="212">
        <v>24.0</v>
      </c>
      <c r="D9" s="45">
        <v>18.0</v>
      </c>
      <c r="E9" s="212">
        <v>7.33</v>
      </c>
      <c r="F9" s="201">
        <f t="shared" si="1"/>
        <v>7.33</v>
      </c>
      <c r="G9" s="212">
        <v>0.5</v>
      </c>
      <c r="H9" s="202">
        <f t="shared" si="2"/>
        <v>3</v>
      </c>
      <c r="I9" s="226">
        <v>0.778</v>
      </c>
    </row>
    <row r="10">
      <c r="A10" s="45" t="s">
        <v>284</v>
      </c>
      <c r="B10" s="211">
        <v>6.0</v>
      </c>
      <c r="C10" s="212">
        <v>24.0</v>
      </c>
      <c r="D10" s="45">
        <v>17.0</v>
      </c>
      <c r="E10" s="212">
        <v>7.33</v>
      </c>
      <c r="F10" s="201">
        <f t="shared" si="1"/>
        <v>7.33</v>
      </c>
      <c r="G10" s="212">
        <v>0.5</v>
      </c>
      <c r="H10" s="202">
        <f t="shared" si="2"/>
        <v>3</v>
      </c>
      <c r="I10" s="226">
        <v>0.824</v>
      </c>
    </row>
    <row r="11">
      <c r="A11" s="45" t="s">
        <v>283</v>
      </c>
      <c r="B11" s="211">
        <v>6.0</v>
      </c>
      <c r="C11" s="212">
        <v>23.0</v>
      </c>
      <c r="D11" s="45">
        <v>17.0</v>
      </c>
      <c r="E11" s="212">
        <v>6.67</v>
      </c>
      <c r="F11" s="201">
        <f t="shared" si="1"/>
        <v>6.96</v>
      </c>
      <c r="G11" s="212">
        <v>0.5</v>
      </c>
      <c r="H11" s="202">
        <f t="shared" si="2"/>
        <v>3</v>
      </c>
      <c r="I11" s="226">
        <v>0.765</v>
      </c>
    </row>
    <row r="12">
      <c r="A12" s="45" t="s">
        <v>292</v>
      </c>
      <c r="B12" s="211">
        <v>6.0</v>
      </c>
      <c r="C12" s="212">
        <v>24.0</v>
      </c>
      <c r="D12" s="45">
        <v>12.0</v>
      </c>
      <c r="E12" s="212">
        <v>6.67</v>
      </c>
      <c r="F12" s="201">
        <f t="shared" si="1"/>
        <v>6.67</v>
      </c>
      <c r="G12" s="212">
        <v>0.17</v>
      </c>
      <c r="H12" s="202">
        <f t="shared" si="2"/>
        <v>1.02</v>
      </c>
      <c r="I12" s="226">
        <v>0.917</v>
      </c>
    </row>
    <row r="13">
      <c r="A13" s="45" t="s">
        <v>296</v>
      </c>
      <c r="B13" s="211">
        <v>6.0</v>
      </c>
      <c r="C13" s="212">
        <v>24.0</v>
      </c>
      <c r="D13" s="45">
        <v>11.0</v>
      </c>
      <c r="E13" s="212">
        <v>6.67</v>
      </c>
      <c r="F13" s="201">
        <f t="shared" si="1"/>
        <v>6.67</v>
      </c>
      <c r="G13" s="212">
        <v>0.0</v>
      </c>
      <c r="H13" s="202">
        <f t="shared" si="2"/>
        <v>0</v>
      </c>
      <c r="I13" s="226">
        <v>0.909</v>
      </c>
    </row>
    <row r="14">
      <c r="A14" s="45" t="s">
        <v>325</v>
      </c>
      <c r="B14" s="211">
        <v>6.0</v>
      </c>
      <c r="C14" s="212">
        <v>24.0</v>
      </c>
      <c r="D14" s="45">
        <v>17.0</v>
      </c>
      <c r="E14" s="212">
        <v>6.0</v>
      </c>
      <c r="F14" s="201">
        <f t="shared" si="1"/>
        <v>6</v>
      </c>
      <c r="G14" s="212">
        <v>0.5</v>
      </c>
      <c r="H14" s="202">
        <f t="shared" si="2"/>
        <v>3</v>
      </c>
      <c r="I14" s="226">
        <v>0.706</v>
      </c>
    </row>
    <row r="15">
      <c r="A15" s="45" t="s">
        <v>301</v>
      </c>
      <c r="B15" s="211">
        <v>6.0</v>
      </c>
      <c r="C15" s="212">
        <v>24.0</v>
      </c>
      <c r="D15" s="45">
        <v>11.0</v>
      </c>
      <c r="E15" s="212">
        <v>6.0</v>
      </c>
      <c r="F15" s="201">
        <f t="shared" si="1"/>
        <v>6</v>
      </c>
      <c r="G15" s="212">
        <v>0.17</v>
      </c>
      <c r="H15" s="202">
        <f t="shared" si="2"/>
        <v>1.02</v>
      </c>
      <c r="I15" s="226">
        <v>0.909</v>
      </c>
    </row>
    <row r="16">
      <c r="A16" s="45" t="s">
        <v>281</v>
      </c>
      <c r="B16" s="211">
        <v>6.0</v>
      </c>
      <c r="C16" s="212">
        <v>24.0</v>
      </c>
      <c r="D16" s="45">
        <v>15.0</v>
      </c>
      <c r="E16" s="212">
        <v>5.33</v>
      </c>
      <c r="F16" s="201">
        <f t="shared" si="1"/>
        <v>5.33</v>
      </c>
      <c r="G16" s="212">
        <v>0.33</v>
      </c>
      <c r="H16" s="202">
        <f t="shared" si="2"/>
        <v>1.98</v>
      </c>
      <c r="I16" s="226">
        <v>0.667</v>
      </c>
    </row>
    <row r="17">
      <c r="A17" s="45" t="s">
        <v>330</v>
      </c>
      <c r="B17" s="211">
        <v>5.0</v>
      </c>
      <c r="C17" s="212">
        <v>19.0</v>
      </c>
      <c r="D17" s="45">
        <v>8.0</v>
      </c>
      <c r="E17" s="212">
        <v>4.8</v>
      </c>
      <c r="F17" s="201">
        <f t="shared" si="1"/>
        <v>5.052631579</v>
      </c>
      <c r="G17" s="212">
        <v>0.2</v>
      </c>
      <c r="H17" s="202">
        <f t="shared" si="2"/>
        <v>1</v>
      </c>
      <c r="I17" s="226">
        <v>0.875</v>
      </c>
    </row>
    <row r="18">
      <c r="A18" s="45" t="s">
        <v>348</v>
      </c>
      <c r="B18" s="211">
        <v>4.0</v>
      </c>
      <c r="C18" s="212">
        <v>16.0</v>
      </c>
      <c r="D18" s="45">
        <v>5.0</v>
      </c>
      <c r="E18" s="212">
        <v>5.0</v>
      </c>
      <c r="F18" s="201">
        <f t="shared" si="1"/>
        <v>5</v>
      </c>
      <c r="G18" s="212">
        <v>0.0</v>
      </c>
      <c r="H18" s="202">
        <f t="shared" si="2"/>
        <v>0</v>
      </c>
      <c r="I18" s="226">
        <v>1.0</v>
      </c>
    </row>
    <row r="19">
      <c r="A19" s="45" t="s">
        <v>323</v>
      </c>
      <c r="B19" s="211">
        <v>6.0</v>
      </c>
      <c r="C19" s="212">
        <v>23.0</v>
      </c>
      <c r="D19" s="45">
        <v>9.0</v>
      </c>
      <c r="E19" s="212">
        <v>4.67</v>
      </c>
      <c r="F19" s="201">
        <f t="shared" si="1"/>
        <v>4.873043478</v>
      </c>
      <c r="G19" s="212">
        <v>0.17</v>
      </c>
      <c r="H19" s="202">
        <f t="shared" si="2"/>
        <v>1.02</v>
      </c>
      <c r="I19" s="226">
        <v>0.889</v>
      </c>
    </row>
    <row r="20">
      <c r="A20" s="45" t="s">
        <v>329</v>
      </c>
      <c r="B20" s="211">
        <v>5.0</v>
      </c>
      <c r="C20" s="212">
        <v>20.0</v>
      </c>
      <c r="D20" s="45">
        <v>10.0</v>
      </c>
      <c r="E20" s="212">
        <v>4.8</v>
      </c>
      <c r="F20" s="201">
        <f t="shared" si="1"/>
        <v>4.8</v>
      </c>
      <c r="G20" s="212">
        <v>0.2</v>
      </c>
      <c r="H20" s="202">
        <f t="shared" si="2"/>
        <v>1</v>
      </c>
      <c r="I20" s="226">
        <v>0.7</v>
      </c>
    </row>
    <row r="21">
      <c r="A21" s="45" t="s">
        <v>317</v>
      </c>
      <c r="B21" s="211">
        <v>5.0</v>
      </c>
      <c r="C21" s="212">
        <v>20.0</v>
      </c>
      <c r="D21" s="45">
        <v>6.0</v>
      </c>
      <c r="E21" s="212">
        <v>4.8</v>
      </c>
      <c r="F21" s="201">
        <f t="shared" si="1"/>
        <v>4.8</v>
      </c>
      <c r="G21" s="212">
        <v>0.0</v>
      </c>
      <c r="H21" s="202">
        <f t="shared" si="2"/>
        <v>0</v>
      </c>
      <c r="I21" s="226">
        <v>1.0</v>
      </c>
    </row>
    <row r="22">
      <c r="A22" s="45" t="s">
        <v>366</v>
      </c>
      <c r="B22" s="211">
        <v>6.0</v>
      </c>
      <c r="C22" s="212">
        <v>24.0</v>
      </c>
      <c r="D22" s="45">
        <v>15.0</v>
      </c>
      <c r="E22" s="212">
        <v>4.67</v>
      </c>
      <c r="F22" s="201">
        <f t="shared" si="1"/>
        <v>4.67</v>
      </c>
      <c r="G22" s="212">
        <v>0.33</v>
      </c>
      <c r="H22" s="202">
        <f t="shared" si="2"/>
        <v>1.98</v>
      </c>
      <c r="I22" s="226">
        <v>0.6</v>
      </c>
    </row>
    <row r="23">
      <c r="A23" s="45" t="s">
        <v>349</v>
      </c>
      <c r="B23" s="211">
        <v>3.0</v>
      </c>
      <c r="C23" s="212">
        <v>11.0</v>
      </c>
      <c r="D23" s="45">
        <v>4.0</v>
      </c>
      <c r="E23" s="212">
        <v>4.0</v>
      </c>
      <c r="F23" s="201">
        <f t="shared" si="1"/>
        <v>4.363636364</v>
      </c>
      <c r="G23" s="212">
        <v>0.0</v>
      </c>
      <c r="H23" s="202">
        <f t="shared" si="2"/>
        <v>0</v>
      </c>
      <c r="I23" s="226">
        <v>0.75</v>
      </c>
    </row>
    <row r="24">
      <c r="A24" s="45" t="s">
        <v>363</v>
      </c>
      <c r="B24" s="211">
        <v>5.0</v>
      </c>
      <c r="C24" s="212">
        <v>20.0</v>
      </c>
      <c r="D24" s="45">
        <v>7.0</v>
      </c>
      <c r="E24" s="212">
        <v>4.0</v>
      </c>
      <c r="F24" s="201">
        <f t="shared" si="1"/>
        <v>4</v>
      </c>
      <c r="G24" s="212">
        <v>0.2</v>
      </c>
      <c r="H24" s="202">
        <f t="shared" si="2"/>
        <v>1</v>
      </c>
      <c r="I24" s="226">
        <v>0.857</v>
      </c>
    </row>
    <row r="25">
      <c r="A25" s="45" t="s">
        <v>338</v>
      </c>
      <c r="B25" s="211">
        <v>1.0</v>
      </c>
      <c r="C25" s="212">
        <v>4.0</v>
      </c>
      <c r="D25" s="45">
        <v>1.0</v>
      </c>
      <c r="E25" s="212">
        <v>4.0</v>
      </c>
      <c r="F25" s="201">
        <f t="shared" si="1"/>
        <v>4</v>
      </c>
      <c r="G25" s="212">
        <v>0.0</v>
      </c>
      <c r="H25" s="202">
        <f t="shared" si="2"/>
        <v>0</v>
      </c>
      <c r="I25" s="226">
        <v>1.0</v>
      </c>
    </row>
    <row r="26">
      <c r="A26" s="45" t="s">
        <v>314</v>
      </c>
      <c r="B26" s="211">
        <v>3.0</v>
      </c>
      <c r="C26" s="212">
        <v>12.0</v>
      </c>
      <c r="D26" s="45">
        <v>3.0</v>
      </c>
      <c r="E26" s="212">
        <v>4.0</v>
      </c>
      <c r="F26" s="201">
        <f t="shared" si="1"/>
        <v>4</v>
      </c>
      <c r="G26" s="212">
        <v>0.0</v>
      </c>
      <c r="H26" s="202">
        <f t="shared" si="2"/>
        <v>0</v>
      </c>
      <c r="I26" s="226">
        <v>1.0</v>
      </c>
    </row>
    <row r="27">
      <c r="A27" s="45" t="s">
        <v>289</v>
      </c>
      <c r="B27" s="211">
        <v>3.0</v>
      </c>
      <c r="C27" s="212">
        <v>12.0</v>
      </c>
      <c r="D27" s="45">
        <v>3.0</v>
      </c>
      <c r="E27" s="212">
        <v>4.0</v>
      </c>
      <c r="F27" s="201">
        <f t="shared" si="1"/>
        <v>4</v>
      </c>
      <c r="G27" s="212">
        <v>0.0</v>
      </c>
      <c r="H27" s="202">
        <f t="shared" si="2"/>
        <v>0</v>
      </c>
      <c r="I27" s="226">
        <v>1.0</v>
      </c>
    </row>
    <row r="28">
      <c r="A28" s="45" t="s">
        <v>295</v>
      </c>
      <c r="B28" s="211">
        <v>1.0</v>
      </c>
      <c r="C28" s="212">
        <v>4.0</v>
      </c>
      <c r="D28" s="45">
        <v>2.0</v>
      </c>
      <c r="E28" s="212">
        <v>4.0</v>
      </c>
      <c r="F28" s="201">
        <f t="shared" si="1"/>
        <v>4</v>
      </c>
      <c r="G28" s="212">
        <v>0.0</v>
      </c>
      <c r="H28" s="202">
        <f t="shared" si="2"/>
        <v>0</v>
      </c>
      <c r="I28" s="226">
        <v>0.5</v>
      </c>
    </row>
    <row r="29">
      <c r="A29" s="45" t="s">
        <v>383</v>
      </c>
      <c r="B29" s="211">
        <v>6.0</v>
      </c>
      <c r="C29" s="212">
        <v>24.0</v>
      </c>
      <c r="D29" s="45">
        <v>13.0</v>
      </c>
      <c r="E29" s="212">
        <v>2.67</v>
      </c>
      <c r="F29" s="201">
        <f t="shared" si="1"/>
        <v>2.67</v>
      </c>
      <c r="G29" s="212">
        <v>0.67</v>
      </c>
      <c r="H29" s="202">
        <f t="shared" si="2"/>
        <v>4.02</v>
      </c>
      <c r="I29" s="226">
        <v>0.615</v>
      </c>
    </row>
    <row r="30">
      <c r="A30" s="45" t="s">
        <v>278</v>
      </c>
      <c r="B30" s="211">
        <v>3.0</v>
      </c>
      <c r="C30" s="212">
        <v>12.0</v>
      </c>
      <c r="D30" s="45">
        <v>6.0</v>
      </c>
      <c r="E30" s="212">
        <v>2.67</v>
      </c>
      <c r="F30" s="201">
        <f t="shared" si="1"/>
        <v>2.67</v>
      </c>
      <c r="G30" s="212">
        <v>0.67</v>
      </c>
      <c r="H30" s="202">
        <f t="shared" si="2"/>
        <v>2.01</v>
      </c>
      <c r="I30" s="226">
        <v>0.667</v>
      </c>
    </row>
    <row r="31">
      <c r="A31" s="45" t="s">
        <v>306</v>
      </c>
      <c r="B31" s="211">
        <v>6.0</v>
      </c>
      <c r="C31" s="212">
        <v>24.0</v>
      </c>
      <c r="D31" s="45">
        <v>8.0</v>
      </c>
      <c r="E31" s="212">
        <v>2.67</v>
      </c>
      <c r="F31" s="201">
        <f t="shared" si="1"/>
        <v>2.67</v>
      </c>
      <c r="G31" s="212">
        <v>0.0</v>
      </c>
      <c r="H31" s="202">
        <f t="shared" si="2"/>
        <v>0</v>
      </c>
      <c r="I31" s="226">
        <v>0.5</v>
      </c>
    </row>
    <row r="32">
      <c r="A32" s="45" t="s">
        <v>319</v>
      </c>
      <c r="B32" s="211">
        <v>5.0</v>
      </c>
      <c r="C32" s="212">
        <v>18.0</v>
      </c>
      <c r="D32" s="45">
        <v>4.0</v>
      </c>
      <c r="E32" s="212">
        <v>2.4</v>
      </c>
      <c r="F32" s="201">
        <f t="shared" si="1"/>
        <v>2.666666667</v>
      </c>
      <c r="G32" s="212">
        <v>0.0</v>
      </c>
      <c r="H32" s="202">
        <f t="shared" si="2"/>
        <v>0</v>
      </c>
      <c r="I32" s="226">
        <v>0.75</v>
      </c>
    </row>
    <row r="33">
      <c r="A33" s="45" t="s">
        <v>343</v>
      </c>
      <c r="B33" s="211">
        <v>5.0</v>
      </c>
      <c r="C33" s="212">
        <v>19.0</v>
      </c>
      <c r="D33" s="45">
        <v>5.0</v>
      </c>
      <c r="E33" s="212">
        <v>2.4</v>
      </c>
      <c r="F33" s="201">
        <f t="shared" si="1"/>
        <v>2.526315789</v>
      </c>
      <c r="G33" s="212">
        <v>0.2</v>
      </c>
      <c r="H33" s="202">
        <f t="shared" si="2"/>
        <v>1</v>
      </c>
      <c r="I33" s="226">
        <v>0.8</v>
      </c>
    </row>
    <row r="34">
      <c r="A34" s="45" t="s">
        <v>347</v>
      </c>
      <c r="B34" s="211">
        <v>5.0</v>
      </c>
      <c r="C34" s="212">
        <v>20.0</v>
      </c>
      <c r="D34" s="45">
        <v>3.0</v>
      </c>
      <c r="E34" s="212">
        <v>2.4</v>
      </c>
      <c r="F34" s="201">
        <f t="shared" si="1"/>
        <v>2.4</v>
      </c>
      <c r="G34" s="212">
        <v>0.0</v>
      </c>
      <c r="H34" s="202">
        <f t="shared" si="2"/>
        <v>0</v>
      </c>
      <c r="I34" s="226">
        <v>1.0</v>
      </c>
    </row>
    <row r="35">
      <c r="A35" s="45" t="s">
        <v>274</v>
      </c>
      <c r="B35" s="211">
        <v>6.0</v>
      </c>
      <c r="C35" s="212">
        <v>22.0</v>
      </c>
      <c r="D35" s="45">
        <v>4.0</v>
      </c>
      <c r="E35" s="212">
        <v>2.0</v>
      </c>
      <c r="F35" s="201">
        <f t="shared" si="1"/>
        <v>2.181818182</v>
      </c>
      <c r="G35" s="212">
        <v>0.0</v>
      </c>
      <c r="H35" s="202">
        <f t="shared" si="2"/>
        <v>0</v>
      </c>
      <c r="I35" s="226">
        <v>0.75</v>
      </c>
    </row>
    <row r="36">
      <c r="A36" s="45" t="s">
        <v>276</v>
      </c>
      <c r="B36" s="211">
        <v>6.0</v>
      </c>
      <c r="C36" s="212">
        <v>23.0</v>
      </c>
      <c r="D36" s="45">
        <v>11.0</v>
      </c>
      <c r="E36" s="212">
        <v>2.0</v>
      </c>
      <c r="F36" s="201">
        <f t="shared" si="1"/>
        <v>2.086956522</v>
      </c>
      <c r="G36" s="212">
        <v>0.33</v>
      </c>
      <c r="H36" s="202">
        <f t="shared" si="2"/>
        <v>1.98</v>
      </c>
      <c r="I36" s="226">
        <v>0.455</v>
      </c>
    </row>
    <row r="37">
      <c r="A37" s="45" t="s">
        <v>351</v>
      </c>
      <c r="B37" s="211">
        <v>6.0</v>
      </c>
      <c r="C37" s="212">
        <v>24.0</v>
      </c>
      <c r="D37" s="45">
        <v>7.0</v>
      </c>
      <c r="E37" s="212">
        <v>2.0</v>
      </c>
      <c r="F37" s="201">
        <f t="shared" si="1"/>
        <v>2</v>
      </c>
      <c r="G37" s="212">
        <v>0.17</v>
      </c>
      <c r="H37" s="202">
        <f t="shared" si="2"/>
        <v>1.02</v>
      </c>
      <c r="I37" s="226">
        <v>0.571</v>
      </c>
    </row>
    <row r="38">
      <c r="A38" s="45" t="s">
        <v>279</v>
      </c>
      <c r="B38" s="211">
        <v>6.0</v>
      </c>
      <c r="C38" s="212">
        <v>24.0</v>
      </c>
      <c r="D38" s="45">
        <v>3.0</v>
      </c>
      <c r="E38" s="212">
        <v>2.0</v>
      </c>
      <c r="F38" s="201">
        <f t="shared" si="1"/>
        <v>2</v>
      </c>
      <c r="G38" s="212">
        <v>0.0</v>
      </c>
      <c r="H38" s="202">
        <f t="shared" si="2"/>
        <v>0</v>
      </c>
      <c r="I38" s="226">
        <v>1.0</v>
      </c>
    </row>
    <row r="39">
      <c r="A39" s="45" t="s">
        <v>370</v>
      </c>
      <c r="B39" s="211">
        <v>6.0</v>
      </c>
      <c r="C39" s="212">
        <v>24.0</v>
      </c>
      <c r="D39" s="45">
        <v>3.0</v>
      </c>
      <c r="E39" s="212">
        <v>2.0</v>
      </c>
      <c r="F39" s="201">
        <f t="shared" si="1"/>
        <v>2</v>
      </c>
      <c r="G39" s="212">
        <v>0.0</v>
      </c>
      <c r="H39" s="202">
        <f t="shared" si="2"/>
        <v>0</v>
      </c>
      <c r="I39" s="226">
        <v>1.0</v>
      </c>
    </row>
    <row r="40">
      <c r="A40" s="45" t="s">
        <v>277</v>
      </c>
      <c r="B40" s="211">
        <v>6.0</v>
      </c>
      <c r="C40" s="212">
        <v>24.0</v>
      </c>
      <c r="D40" s="45">
        <v>3.0</v>
      </c>
      <c r="E40" s="212">
        <v>2.0</v>
      </c>
      <c r="F40" s="201">
        <f t="shared" si="1"/>
        <v>2</v>
      </c>
      <c r="G40" s="212">
        <v>0.0</v>
      </c>
      <c r="H40" s="202">
        <f t="shared" si="2"/>
        <v>0</v>
      </c>
      <c r="I40" s="226">
        <v>1.0</v>
      </c>
    </row>
    <row r="41">
      <c r="A41" s="45" t="s">
        <v>360</v>
      </c>
      <c r="B41" s="211">
        <v>2.0</v>
      </c>
      <c r="C41" s="212">
        <v>8.0</v>
      </c>
      <c r="D41" s="45">
        <v>1.0</v>
      </c>
      <c r="E41" s="212">
        <v>2.0</v>
      </c>
      <c r="F41" s="201">
        <f t="shared" si="1"/>
        <v>2</v>
      </c>
      <c r="G41" s="212">
        <v>0.0</v>
      </c>
      <c r="H41" s="202">
        <f t="shared" si="2"/>
        <v>0</v>
      </c>
      <c r="I41" s="226">
        <v>1.0</v>
      </c>
    </row>
    <row r="42">
      <c r="A42" s="45" t="s">
        <v>376</v>
      </c>
      <c r="B42" s="211">
        <v>2.0</v>
      </c>
      <c r="C42" s="212">
        <v>8.0</v>
      </c>
      <c r="D42" s="45">
        <v>1.0</v>
      </c>
      <c r="E42" s="212">
        <v>2.0</v>
      </c>
      <c r="F42" s="201">
        <f t="shared" si="1"/>
        <v>2</v>
      </c>
      <c r="G42" s="212">
        <v>0.0</v>
      </c>
      <c r="H42" s="202">
        <f t="shared" si="2"/>
        <v>0</v>
      </c>
      <c r="I42" s="226">
        <v>1.0</v>
      </c>
    </row>
    <row r="43">
      <c r="A43" s="45" t="s">
        <v>320</v>
      </c>
      <c r="B43" s="211">
        <v>5.0</v>
      </c>
      <c r="C43" s="212">
        <v>20.0</v>
      </c>
      <c r="D43" s="45">
        <v>6.0</v>
      </c>
      <c r="E43" s="212">
        <v>1.6</v>
      </c>
      <c r="F43" s="201">
        <f t="shared" si="1"/>
        <v>1.6</v>
      </c>
      <c r="G43" s="212">
        <v>0.4</v>
      </c>
      <c r="H43" s="202">
        <f t="shared" si="2"/>
        <v>2</v>
      </c>
      <c r="I43" s="226">
        <v>0.667</v>
      </c>
    </row>
    <row r="44">
      <c r="A44" s="45" t="s">
        <v>353</v>
      </c>
      <c r="B44" s="211">
        <v>5.0</v>
      </c>
      <c r="C44" s="212">
        <v>20.0</v>
      </c>
      <c r="D44" s="45">
        <v>4.0</v>
      </c>
      <c r="E44" s="212">
        <v>1.6</v>
      </c>
      <c r="F44" s="201">
        <f t="shared" si="1"/>
        <v>1.6</v>
      </c>
      <c r="G44" s="212">
        <v>0.2</v>
      </c>
      <c r="H44" s="202">
        <f t="shared" si="2"/>
        <v>1</v>
      </c>
      <c r="I44" s="226">
        <v>0.75</v>
      </c>
    </row>
    <row r="45">
      <c r="A45" s="45" t="s">
        <v>381</v>
      </c>
      <c r="B45" s="211">
        <v>3.0</v>
      </c>
      <c r="C45" s="212">
        <v>11.0</v>
      </c>
      <c r="D45" s="45">
        <v>1.0</v>
      </c>
      <c r="E45" s="212">
        <v>1.33</v>
      </c>
      <c r="F45" s="201">
        <f t="shared" si="1"/>
        <v>1.450909091</v>
      </c>
      <c r="G45" s="212">
        <v>0.0</v>
      </c>
      <c r="H45" s="202">
        <f t="shared" si="2"/>
        <v>0</v>
      </c>
      <c r="I45" s="226">
        <v>1.0</v>
      </c>
    </row>
    <row r="46">
      <c r="A46" s="45" t="s">
        <v>334</v>
      </c>
      <c r="B46" s="211">
        <v>6.0</v>
      </c>
      <c r="C46" s="212">
        <v>24.0</v>
      </c>
      <c r="D46" s="45">
        <v>4.0</v>
      </c>
      <c r="E46" s="212">
        <v>1.33</v>
      </c>
      <c r="F46" s="201">
        <f t="shared" si="1"/>
        <v>1.33</v>
      </c>
      <c r="G46" s="212">
        <v>0.17</v>
      </c>
      <c r="H46" s="202">
        <f t="shared" si="2"/>
        <v>1.02</v>
      </c>
      <c r="I46" s="226">
        <v>0.75</v>
      </c>
    </row>
    <row r="47">
      <c r="A47" s="45" t="s">
        <v>336</v>
      </c>
      <c r="B47" s="211">
        <v>3.0</v>
      </c>
      <c r="C47" s="212">
        <v>12.0</v>
      </c>
      <c r="D47" s="45">
        <v>1.0</v>
      </c>
      <c r="E47" s="212">
        <v>1.33</v>
      </c>
      <c r="F47" s="201">
        <f t="shared" si="1"/>
        <v>1.33</v>
      </c>
      <c r="G47" s="212">
        <v>0.0</v>
      </c>
      <c r="H47" s="202">
        <f t="shared" si="2"/>
        <v>0</v>
      </c>
      <c r="I47" s="226">
        <v>1.0</v>
      </c>
    </row>
    <row r="48">
      <c r="A48" s="45" t="s">
        <v>280</v>
      </c>
      <c r="B48" s="211">
        <v>6.0</v>
      </c>
      <c r="C48" s="212">
        <v>24.0</v>
      </c>
      <c r="D48" s="45">
        <v>2.0</v>
      </c>
      <c r="E48" s="212">
        <v>1.33</v>
      </c>
      <c r="F48" s="201">
        <f t="shared" si="1"/>
        <v>1.33</v>
      </c>
      <c r="G48" s="212">
        <v>0.0</v>
      </c>
      <c r="H48" s="202">
        <f t="shared" si="2"/>
        <v>0</v>
      </c>
      <c r="I48" s="226">
        <v>1.0</v>
      </c>
    </row>
    <row r="49">
      <c r="A49" s="45" t="s">
        <v>310</v>
      </c>
      <c r="B49" s="211">
        <v>6.0</v>
      </c>
      <c r="C49" s="212">
        <v>24.0</v>
      </c>
      <c r="D49" s="45">
        <v>2.0</v>
      </c>
      <c r="E49" s="212">
        <v>1.33</v>
      </c>
      <c r="F49" s="201">
        <f t="shared" si="1"/>
        <v>1.33</v>
      </c>
      <c r="G49" s="212">
        <v>0.0</v>
      </c>
      <c r="H49" s="202">
        <f t="shared" si="2"/>
        <v>0</v>
      </c>
      <c r="I49" s="226">
        <v>1.0</v>
      </c>
    </row>
    <row r="50">
      <c r="A50" s="45" t="s">
        <v>392</v>
      </c>
      <c r="B50" s="211">
        <v>3.0</v>
      </c>
      <c r="C50" s="212">
        <v>12.0</v>
      </c>
      <c r="D50" s="45">
        <v>1.0</v>
      </c>
      <c r="E50" s="212">
        <v>1.33</v>
      </c>
      <c r="F50" s="201">
        <f t="shared" si="1"/>
        <v>1.33</v>
      </c>
      <c r="G50" s="212">
        <v>0.0</v>
      </c>
      <c r="H50" s="202">
        <f t="shared" si="2"/>
        <v>0</v>
      </c>
      <c r="I50" s="226">
        <v>1.0</v>
      </c>
    </row>
    <row r="51">
      <c r="A51" s="45" t="s">
        <v>386</v>
      </c>
      <c r="B51" s="211">
        <v>4.0</v>
      </c>
      <c r="C51" s="212">
        <v>15.0</v>
      </c>
      <c r="D51" s="45">
        <v>2.0</v>
      </c>
      <c r="E51" s="212">
        <v>1.0</v>
      </c>
      <c r="F51" s="201">
        <f t="shared" si="1"/>
        <v>1.066666667</v>
      </c>
      <c r="G51" s="212">
        <v>0.0</v>
      </c>
      <c r="H51" s="202">
        <f t="shared" si="2"/>
        <v>0</v>
      </c>
      <c r="I51" s="226">
        <v>0.5</v>
      </c>
    </row>
    <row r="52">
      <c r="A52" s="45" t="s">
        <v>368</v>
      </c>
      <c r="B52" s="211">
        <v>4.0</v>
      </c>
      <c r="C52" s="212">
        <v>16.0</v>
      </c>
      <c r="D52" s="45">
        <v>2.0</v>
      </c>
      <c r="E52" s="212">
        <v>1.0</v>
      </c>
      <c r="F52" s="201">
        <f t="shared" si="1"/>
        <v>1</v>
      </c>
      <c r="G52" s="212">
        <v>0.0</v>
      </c>
      <c r="H52" s="202">
        <f t="shared" si="2"/>
        <v>0</v>
      </c>
      <c r="I52" s="226">
        <v>0.5</v>
      </c>
    </row>
    <row r="53">
      <c r="A53" s="45" t="s">
        <v>341</v>
      </c>
      <c r="B53" s="211">
        <v>5.0</v>
      </c>
      <c r="C53" s="212">
        <v>18.0</v>
      </c>
      <c r="D53" s="45">
        <v>4.0</v>
      </c>
      <c r="E53" s="212">
        <v>0.8</v>
      </c>
      <c r="F53" s="201">
        <f t="shared" si="1"/>
        <v>0.8888888889</v>
      </c>
      <c r="G53" s="212">
        <v>0.2</v>
      </c>
      <c r="H53" s="202">
        <f t="shared" si="2"/>
        <v>1</v>
      </c>
      <c r="I53" s="226">
        <v>0.5</v>
      </c>
    </row>
    <row r="54">
      <c r="A54" s="45" t="s">
        <v>344</v>
      </c>
      <c r="B54" s="211">
        <v>5.0</v>
      </c>
      <c r="C54" s="212">
        <v>20.0</v>
      </c>
      <c r="D54" s="45">
        <v>3.0</v>
      </c>
      <c r="E54" s="212">
        <v>0.8</v>
      </c>
      <c r="F54" s="201">
        <f t="shared" si="1"/>
        <v>0.8</v>
      </c>
      <c r="G54" s="212">
        <v>0.2</v>
      </c>
      <c r="H54" s="202">
        <f t="shared" si="2"/>
        <v>1</v>
      </c>
      <c r="I54" s="226">
        <v>0.667</v>
      </c>
    </row>
    <row r="55">
      <c r="A55" s="45" t="s">
        <v>331</v>
      </c>
      <c r="B55" s="211">
        <v>5.0</v>
      </c>
      <c r="C55" s="212">
        <v>20.0</v>
      </c>
      <c r="D55" s="45">
        <v>3.0</v>
      </c>
      <c r="E55" s="212">
        <v>0.8</v>
      </c>
      <c r="F55" s="201">
        <f t="shared" si="1"/>
        <v>0.8</v>
      </c>
      <c r="G55" s="212">
        <v>0.2</v>
      </c>
      <c r="H55" s="202">
        <f t="shared" si="2"/>
        <v>1</v>
      </c>
      <c r="I55" s="226">
        <v>0.667</v>
      </c>
    </row>
    <row r="56">
      <c r="A56" s="45" t="s">
        <v>316</v>
      </c>
      <c r="B56" s="211">
        <v>5.0</v>
      </c>
      <c r="C56" s="212">
        <v>20.0</v>
      </c>
      <c r="D56" s="45">
        <v>2.0</v>
      </c>
      <c r="E56" s="212">
        <v>0.8</v>
      </c>
      <c r="F56" s="201">
        <f t="shared" si="1"/>
        <v>0.8</v>
      </c>
      <c r="G56" s="212">
        <v>0.0</v>
      </c>
      <c r="H56" s="202">
        <f t="shared" si="2"/>
        <v>0</v>
      </c>
      <c r="I56" s="226">
        <v>0.5</v>
      </c>
    </row>
    <row r="57">
      <c r="A57" s="45" t="s">
        <v>286</v>
      </c>
      <c r="B57" s="211">
        <v>6.0</v>
      </c>
      <c r="C57" s="212">
        <v>23.0</v>
      </c>
      <c r="D57" s="45">
        <v>1.0</v>
      </c>
      <c r="E57" s="212">
        <v>0.67</v>
      </c>
      <c r="F57" s="201">
        <f t="shared" si="1"/>
        <v>0.6991304348</v>
      </c>
      <c r="G57" s="212">
        <v>0.0</v>
      </c>
      <c r="H57" s="202">
        <f t="shared" si="2"/>
        <v>0</v>
      </c>
      <c r="I57" s="226">
        <v>1.0</v>
      </c>
    </row>
    <row r="58">
      <c r="A58" s="45" t="s">
        <v>291</v>
      </c>
      <c r="B58" s="211">
        <v>6.0</v>
      </c>
      <c r="C58" s="212">
        <v>24.0</v>
      </c>
      <c r="D58" s="45">
        <v>12.0</v>
      </c>
      <c r="E58" s="212">
        <v>0.67</v>
      </c>
      <c r="F58" s="201">
        <f t="shared" si="1"/>
        <v>0.67</v>
      </c>
      <c r="G58" s="212">
        <v>0.5</v>
      </c>
      <c r="H58" s="202">
        <f t="shared" si="2"/>
        <v>3</v>
      </c>
      <c r="I58" s="226">
        <v>0.333</v>
      </c>
    </row>
    <row r="59">
      <c r="A59" s="45" t="s">
        <v>299</v>
      </c>
      <c r="B59" s="211">
        <v>6.0</v>
      </c>
      <c r="C59" s="212">
        <v>24.0</v>
      </c>
      <c r="D59" s="45">
        <v>6.0</v>
      </c>
      <c r="E59" s="212">
        <v>0.67</v>
      </c>
      <c r="F59" s="201">
        <f t="shared" si="1"/>
        <v>0.67</v>
      </c>
      <c r="G59" s="212">
        <v>0.17</v>
      </c>
      <c r="H59" s="202">
        <f t="shared" si="2"/>
        <v>1.02</v>
      </c>
      <c r="I59" s="226">
        <v>0.333</v>
      </c>
    </row>
    <row r="60">
      <c r="A60" s="45" t="s">
        <v>294</v>
      </c>
      <c r="B60" s="211">
        <v>6.0</v>
      </c>
      <c r="C60" s="212">
        <v>24.0</v>
      </c>
      <c r="D60" s="45">
        <v>1.0</v>
      </c>
      <c r="E60" s="212">
        <v>0.67</v>
      </c>
      <c r="F60" s="201">
        <f t="shared" si="1"/>
        <v>0.67</v>
      </c>
      <c r="G60" s="212">
        <v>0.0</v>
      </c>
      <c r="H60" s="202">
        <f t="shared" si="2"/>
        <v>0</v>
      </c>
      <c r="I60" s="226">
        <v>1.0</v>
      </c>
    </row>
    <row r="61">
      <c r="A61" s="45" t="s">
        <v>298</v>
      </c>
      <c r="B61" s="211">
        <v>6.0</v>
      </c>
      <c r="C61" s="212">
        <v>24.0</v>
      </c>
      <c r="D61" s="45">
        <v>4.0</v>
      </c>
      <c r="E61" s="212">
        <v>0.67</v>
      </c>
      <c r="F61" s="201">
        <f t="shared" si="1"/>
        <v>0.67</v>
      </c>
      <c r="G61" s="212">
        <v>0.0</v>
      </c>
      <c r="H61" s="202">
        <f t="shared" si="2"/>
        <v>0</v>
      </c>
      <c r="I61" s="226">
        <v>0.25</v>
      </c>
    </row>
    <row r="62">
      <c r="A62" s="45" t="s">
        <v>290</v>
      </c>
      <c r="B62" s="211">
        <v>6.0</v>
      </c>
      <c r="C62" s="212">
        <v>24.0</v>
      </c>
      <c r="D62" s="45">
        <v>1.0</v>
      </c>
      <c r="E62" s="212">
        <v>0.67</v>
      </c>
      <c r="F62" s="201">
        <f t="shared" si="1"/>
        <v>0.67</v>
      </c>
      <c r="G62" s="212">
        <v>0.0</v>
      </c>
      <c r="H62" s="202">
        <f t="shared" si="2"/>
        <v>0</v>
      </c>
      <c r="I62" s="226">
        <v>1.0</v>
      </c>
    </row>
    <row r="63">
      <c r="A63" s="45" t="s">
        <v>328</v>
      </c>
      <c r="B63" s="211">
        <v>6.0</v>
      </c>
      <c r="C63" s="212">
        <v>24.0</v>
      </c>
      <c r="D63" s="45">
        <v>1.0</v>
      </c>
      <c r="E63" s="212">
        <v>0.67</v>
      </c>
      <c r="F63" s="201">
        <f t="shared" si="1"/>
        <v>0.67</v>
      </c>
      <c r="G63" s="212">
        <v>0.0</v>
      </c>
      <c r="H63" s="202">
        <f t="shared" si="2"/>
        <v>0</v>
      </c>
      <c r="I63" s="226">
        <v>1.0</v>
      </c>
    </row>
    <row r="64">
      <c r="A64" s="45" t="s">
        <v>302</v>
      </c>
      <c r="B64" s="211">
        <v>6.0</v>
      </c>
      <c r="C64" s="212">
        <v>24.0</v>
      </c>
      <c r="D64" s="45">
        <v>1.0</v>
      </c>
      <c r="E64" s="212">
        <v>0.67</v>
      </c>
      <c r="F64" s="201">
        <f t="shared" si="1"/>
        <v>0.67</v>
      </c>
      <c r="G64" s="212">
        <v>0.0</v>
      </c>
      <c r="H64" s="202">
        <f t="shared" si="2"/>
        <v>0</v>
      </c>
      <c r="I64" s="226">
        <v>1.0</v>
      </c>
    </row>
    <row r="65">
      <c r="A65" s="45" t="s">
        <v>350</v>
      </c>
      <c r="B65" s="211">
        <v>6.0</v>
      </c>
      <c r="C65" s="212">
        <v>24.0</v>
      </c>
      <c r="D65" s="45">
        <v>4.0</v>
      </c>
      <c r="E65" s="212">
        <v>0.0</v>
      </c>
      <c r="F65" s="201">
        <f t="shared" si="1"/>
        <v>0</v>
      </c>
      <c r="G65" s="212">
        <v>0.33</v>
      </c>
      <c r="H65" s="202">
        <f t="shared" si="2"/>
        <v>1.98</v>
      </c>
      <c r="I65" s="226">
        <v>0.5</v>
      </c>
    </row>
    <row r="66">
      <c r="A66" s="45" t="s">
        <v>303</v>
      </c>
      <c r="B66" s="211">
        <v>6.0</v>
      </c>
      <c r="C66" s="212">
        <v>24.0</v>
      </c>
      <c r="D66" s="45">
        <v>0.0</v>
      </c>
      <c r="E66" s="212">
        <v>0.0</v>
      </c>
      <c r="F66" s="201">
        <f t="shared" si="1"/>
        <v>0</v>
      </c>
      <c r="G66" s="212">
        <v>0.0</v>
      </c>
      <c r="H66" s="202">
        <f t="shared" si="2"/>
        <v>0</v>
      </c>
      <c r="I66" s="226">
        <v>0.0</v>
      </c>
    </row>
    <row r="67">
      <c r="A67" s="45" t="s">
        <v>382</v>
      </c>
      <c r="B67" s="211">
        <v>6.0</v>
      </c>
      <c r="C67" s="212">
        <v>24.0</v>
      </c>
      <c r="D67" s="45">
        <v>0.0</v>
      </c>
      <c r="E67" s="212">
        <v>0.0</v>
      </c>
      <c r="F67" s="201">
        <f t="shared" si="1"/>
        <v>0</v>
      </c>
      <c r="G67" s="212">
        <v>0.0</v>
      </c>
      <c r="H67" s="202">
        <f t="shared" si="2"/>
        <v>0</v>
      </c>
      <c r="I67" s="226">
        <v>0.0</v>
      </c>
    </row>
    <row r="68">
      <c r="A68" s="45" t="s">
        <v>384</v>
      </c>
      <c r="B68" s="211">
        <v>3.0</v>
      </c>
      <c r="C68" s="212">
        <v>12.0</v>
      </c>
      <c r="D68" s="45">
        <v>1.0</v>
      </c>
      <c r="E68" s="212">
        <v>0.0</v>
      </c>
      <c r="F68" s="201">
        <f t="shared" si="1"/>
        <v>0</v>
      </c>
      <c r="G68" s="212">
        <v>0.0</v>
      </c>
      <c r="H68" s="202">
        <f t="shared" si="2"/>
        <v>0</v>
      </c>
      <c r="I68" s="226">
        <v>0.0</v>
      </c>
    </row>
    <row r="69">
      <c r="A69" s="45" t="s">
        <v>390</v>
      </c>
      <c r="B69" s="211">
        <v>4.0</v>
      </c>
      <c r="C69" s="212">
        <v>16.0</v>
      </c>
      <c r="D69" s="45">
        <v>0.0</v>
      </c>
      <c r="E69" s="212">
        <v>0.0</v>
      </c>
      <c r="F69" s="201">
        <f t="shared" si="1"/>
        <v>0</v>
      </c>
      <c r="G69" s="212">
        <v>0.0</v>
      </c>
      <c r="H69" s="202">
        <f t="shared" si="2"/>
        <v>0</v>
      </c>
      <c r="I69" s="226">
        <v>0.0</v>
      </c>
    </row>
    <row r="70">
      <c r="A70" s="45" t="s">
        <v>359</v>
      </c>
      <c r="B70" s="211">
        <v>6.0</v>
      </c>
      <c r="C70" s="212">
        <v>24.0</v>
      </c>
      <c r="D70" s="45">
        <v>0.0</v>
      </c>
      <c r="E70" s="212">
        <v>0.0</v>
      </c>
      <c r="F70" s="201">
        <f t="shared" si="1"/>
        <v>0</v>
      </c>
      <c r="G70" s="212">
        <v>0.0</v>
      </c>
      <c r="H70" s="202">
        <f t="shared" si="2"/>
        <v>0</v>
      </c>
      <c r="I70" s="226">
        <v>0.0</v>
      </c>
    </row>
    <row r="71">
      <c r="A71" s="45" t="s">
        <v>385</v>
      </c>
      <c r="B71" s="211">
        <v>5.0</v>
      </c>
      <c r="C71" s="212">
        <v>20.0</v>
      </c>
      <c r="D71" s="45">
        <v>0.0</v>
      </c>
      <c r="E71" s="212">
        <v>0.0</v>
      </c>
      <c r="F71" s="201">
        <f t="shared" si="1"/>
        <v>0</v>
      </c>
      <c r="G71" s="212">
        <v>0.0</v>
      </c>
      <c r="H71" s="202">
        <f t="shared" si="2"/>
        <v>0</v>
      </c>
      <c r="I71" s="226">
        <v>0.0</v>
      </c>
    </row>
    <row r="72">
      <c r="A72" s="45" t="s">
        <v>293</v>
      </c>
      <c r="B72" s="211">
        <v>6.0</v>
      </c>
      <c r="C72" s="212">
        <v>24.0</v>
      </c>
      <c r="D72" s="45">
        <v>0.0</v>
      </c>
      <c r="E72" s="212">
        <v>0.0</v>
      </c>
      <c r="F72" s="201">
        <f t="shared" si="1"/>
        <v>0</v>
      </c>
      <c r="G72" s="212">
        <v>0.0</v>
      </c>
      <c r="H72" s="202">
        <f t="shared" si="2"/>
        <v>0</v>
      </c>
      <c r="I72" s="226">
        <v>0.0</v>
      </c>
    </row>
    <row r="73">
      <c r="A73" s="45" t="s">
        <v>312</v>
      </c>
      <c r="B73" s="211">
        <v>6.0</v>
      </c>
      <c r="C73" s="212">
        <v>24.0</v>
      </c>
      <c r="D73" s="45">
        <v>0.0</v>
      </c>
      <c r="E73" s="212">
        <v>0.0</v>
      </c>
      <c r="F73" s="201">
        <f t="shared" si="1"/>
        <v>0</v>
      </c>
      <c r="G73" s="212">
        <v>0.0</v>
      </c>
      <c r="H73" s="202">
        <f t="shared" si="2"/>
        <v>0</v>
      </c>
      <c r="I73" s="226">
        <v>0.0</v>
      </c>
    </row>
    <row r="74">
      <c r="A74" s="45" t="s">
        <v>391</v>
      </c>
      <c r="B74" s="211">
        <v>6.0</v>
      </c>
      <c r="C74" s="212">
        <v>24.0</v>
      </c>
      <c r="D74" s="45">
        <v>0.0</v>
      </c>
      <c r="E74" s="212">
        <v>0.0</v>
      </c>
      <c r="F74" s="201">
        <f t="shared" si="1"/>
        <v>0</v>
      </c>
      <c r="G74" s="212">
        <v>0.0</v>
      </c>
      <c r="H74" s="202">
        <f t="shared" si="2"/>
        <v>0</v>
      </c>
      <c r="I74" s="226">
        <v>0.0</v>
      </c>
    </row>
    <row r="75">
      <c r="A75" s="45" t="s">
        <v>355</v>
      </c>
      <c r="B75" s="211">
        <v>6.0</v>
      </c>
      <c r="C75" s="212">
        <v>24.0</v>
      </c>
      <c r="D75" s="45">
        <v>0.0</v>
      </c>
      <c r="E75" s="212">
        <v>0.0</v>
      </c>
      <c r="F75" s="201">
        <f t="shared" si="1"/>
        <v>0</v>
      </c>
      <c r="G75" s="212">
        <v>0.0</v>
      </c>
      <c r="H75" s="202">
        <f t="shared" si="2"/>
        <v>0</v>
      </c>
      <c r="I75" s="226">
        <v>0.0</v>
      </c>
    </row>
    <row r="76">
      <c r="A76" s="45" t="s">
        <v>342</v>
      </c>
      <c r="B76" s="211">
        <v>6.0</v>
      </c>
      <c r="C76" s="212">
        <v>24.0</v>
      </c>
      <c r="D76" s="45">
        <v>0.0</v>
      </c>
      <c r="E76" s="212">
        <v>0.0</v>
      </c>
      <c r="F76" s="201">
        <f t="shared" si="1"/>
        <v>0</v>
      </c>
      <c r="G76" s="212">
        <v>0.0</v>
      </c>
      <c r="H76" s="202">
        <f t="shared" si="2"/>
        <v>0</v>
      </c>
      <c r="I76" s="226">
        <v>0.0</v>
      </c>
    </row>
    <row r="77">
      <c r="A77" s="45" t="s">
        <v>373</v>
      </c>
      <c r="B77" s="211">
        <v>5.0</v>
      </c>
      <c r="C77" s="212">
        <v>19.0</v>
      </c>
      <c r="D77" s="45">
        <v>0.0</v>
      </c>
      <c r="E77" s="212">
        <v>0.0</v>
      </c>
      <c r="F77" s="201">
        <f t="shared" si="1"/>
        <v>0</v>
      </c>
      <c r="G77" s="212">
        <v>0.0</v>
      </c>
      <c r="H77" s="202">
        <f t="shared" si="2"/>
        <v>0</v>
      </c>
      <c r="I77" s="226">
        <v>0.0</v>
      </c>
    </row>
    <row r="78">
      <c r="A78" s="45" t="s">
        <v>374</v>
      </c>
      <c r="B78" s="211">
        <v>1.0</v>
      </c>
      <c r="C78" s="212">
        <v>4.0</v>
      </c>
      <c r="D78" s="45">
        <v>0.0</v>
      </c>
      <c r="E78" s="212">
        <v>0.0</v>
      </c>
      <c r="F78" s="201">
        <f t="shared" si="1"/>
        <v>0</v>
      </c>
      <c r="G78" s="212">
        <v>0.0</v>
      </c>
      <c r="H78" s="202">
        <f t="shared" si="2"/>
        <v>0</v>
      </c>
      <c r="I78" s="226">
        <v>0.0</v>
      </c>
    </row>
    <row r="79">
      <c r="A79" s="45" t="s">
        <v>337</v>
      </c>
      <c r="B79" s="211">
        <v>3.0</v>
      </c>
      <c r="C79" s="212">
        <v>11.0</v>
      </c>
      <c r="D79" s="45">
        <v>0.0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26">
        <v>0.0</v>
      </c>
    </row>
    <row r="80">
      <c r="A80" s="45" t="s">
        <v>379</v>
      </c>
      <c r="B80" s="211">
        <v>6.0</v>
      </c>
      <c r="C80" s="212">
        <v>23.0</v>
      </c>
      <c r="D80" s="45">
        <v>0.0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26">
        <v>0.0</v>
      </c>
    </row>
    <row r="81">
      <c r="A81" s="45" t="s">
        <v>322</v>
      </c>
      <c r="B81" s="211">
        <v>5.0</v>
      </c>
      <c r="C81" s="212">
        <v>20.0</v>
      </c>
      <c r="D81" s="45">
        <v>0.0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26">
        <v>0.0</v>
      </c>
    </row>
    <row r="82">
      <c r="A82" s="45" t="s">
        <v>304</v>
      </c>
      <c r="B82" s="211">
        <v>6.0</v>
      </c>
      <c r="C82" s="212">
        <v>24.0</v>
      </c>
      <c r="D82" s="45">
        <v>0.0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26">
        <v>0.0</v>
      </c>
    </row>
    <row r="83">
      <c r="A83" s="45" t="s">
        <v>357</v>
      </c>
      <c r="B83" s="211">
        <v>6.0</v>
      </c>
      <c r="C83" s="212">
        <v>24.0</v>
      </c>
      <c r="D83" s="45">
        <v>0.0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26">
        <v>0.0</v>
      </c>
    </row>
    <row r="84">
      <c r="A84" s="45" t="s">
        <v>324</v>
      </c>
      <c r="B84" s="211">
        <v>6.0</v>
      </c>
      <c r="C84" s="212">
        <v>24.0</v>
      </c>
      <c r="D84" s="45">
        <v>1.0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26">
        <v>0.0</v>
      </c>
    </row>
    <row r="85">
      <c r="A85" s="45" t="s">
        <v>358</v>
      </c>
      <c r="B85" s="211">
        <v>6.0</v>
      </c>
      <c r="C85" s="212">
        <v>24.0</v>
      </c>
      <c r="D85" s="45">
        <v>0.0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26">
        <v>0.0</v>
      </c>
    </row>
    <row r="86">
      <c r="A86" s="45" t="s">
        <v>354</v>
      </c>
      <c r="B86" s="211">
        <v>4.0</v>
      </c>
      <c r="C86" s="212">
        <v>16.0</v>
      </c>
      <c r="D86" s="45">
        <v>1.0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26">
        <v>0.0</v>
      </c>
    </row>
    <row r="87">
      <c r="A87" s="45" t="s">
        <v>300</v>
      </c>
      <c r="B87" s="211">
        <v>6.0</v>
      </c>
      <c r="C87" s="212">
        <v>24.0</v>
      </c>
      <c r="D87" s="45">
        <v>0.0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26">
        <v>0.0</v>
      </c>
    </row>
    <row r="88">
      <c r="A88" s="45" t="s">
        <v>362</v>
      </c>
      <c r="B88" s="211">
        <v>5.0</v>
      </c>
      <c r="C88" s="212">
        <v>20.0</v>
      </c>
      <c r="D88" s="45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26">
        <v>0.0</v>
      </c>
    </row>
    <row r="89">
      <c r="A89" s="45" t="s">
        <v>326</v>
      </c>
      <c r="B89" s="211">
        <v>6.0</v>
      </c>
      <c r="C89" s="212">
        <v>24.0</v>
      </c>
      <c r="D89" s="45">
        <v>0.0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26">
        <v>0.0</v>
      </c>
    </row>
    <row r="90">
      <c r="A90" s="45" t="s">
        <v>380</v>
      </c>
      <c r="B90" s="211">
        <v>4.0</v>
      </c>
      <c r="C90" s="212">
        <v>16.0</v>
      </c>
      <c r="D90" s="45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26">
        <v>0.0</v>
      </c>
    </row>
    <row r="91">
      <c r="A91" s="45" t="s">
        <v>275</v>
      </c>
      <c r="B91" s="211">
        <v>6.0</v>
      </c>
      <c r="C91" s="212">
        <v>24.0</v>
      </c>
      <c r="D91" s="45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26">
        <v>0.0</v>
      </c>
    </row>
    <row r="92">
      <c r="A92" s="45" t="s">
        <v>369</v>
      </c>
      <c r="B92" s="211">
        <v>6.0</v>
      </c>
      <c r="C92" s="212">
        <v>24.0</v>
      </c>
      <c r="D92" s="45">
        <v>0.0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26">
        <v>0.0</v>
      </c>
    </row>
    <row r="93">
      <c r="A93" s="45" t="s">
        <v>318</v>
      </c>
      <c r="B93" s="211">
        <v>6.0</v>
      </c>
      <c r="C93" s="212">
        <v>24.0</v>
      </c>
      <c r="D93" s="45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26">
        <v>0.0</v>
      </c>
    </row>
    <row r="94">
      <c r="A94" s="45" t="s">
        <v>367</v>
      </c>
      <c r="B94" s="211">
        <v>4.0</v>
      </c>
      <c r="C94" s="212">
        <v>16.0</v>
      </c>
      <c r="D94" s="45">
        <v>0.0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26">
        <v>0.0</v>
      </c>
    </row>
    <row r="95">
      <c r="A95" s="45" t="s">
        <v>375</v>
      </c>
      <c r="B95" s="211">
        <v>6.0</v>
      </c>
      <c r="C95" s="212">
        <v>24.0</v>
      </c>
      <c r="D95" s="45">
        <v>0.0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26">
        <v>0.0</v>
      </c>
    </row>
    <row r="96">
      <c r="A96" s="45" t="s">
        <v>311</v>
      </c>
      <c r="B96" s="211">
        <v>6.0</v>
      </c>
      <c r="C96" s="212">
        <v>24.0</v>
      </c>
      <c r="D96" s="45">
        <v>0.0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26">
        <v>0.0</v>
      </c>
    </row>
    <row r="97">
      <c r="A97" s="45" t="s">
        <v>364</v>
      </c>
      <c r="B97" s="211">
        <v>6.0</v>
      </c>
      <c r="C97" s="212">
        <v>23.0</v>
      </c>
      <c r="D97" s="45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26">
        <v>0.0</v>
      </c>
    </row>
    <row r="98">
      <c r="A98" s="45" t="s">
        <v>339</v>
      </c>
      <c r="B98" s="211">
        <v>5.0</v>
      </c>
      <c r="C98" s="212">
        <v>20.0</v>
      </c>
      <c r="D98" s="45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26">
        <v>0.0</v>
      </c>
    </row>
    <row r="99">
      <c r="A99" s="45" t="s">
        <v>356</v>
      </c>
      <c r="B99" s="211">
        <v>6.0</v>
      </c>
      <c r="C99" s="212">
        <v>24.0</v>
      </c>
      <c r="D99" s="45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26">
        <v>0.0</v>
      </c>
    </row>
    <row r="100">
      <c r="A100" s="45" t="s">
        <v>313</v>
      </c>
      <c r="B100" s="211">
        <v>6.0</v>
      </c>
      <c r="C100" s="212">
        <v>24.0</v>
      </c>
      <c r="D100" s="45">
        <v>0.0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26">
        <v>0.0</v>
      </c>
    </row>
    <row r="101">
      <c r="A101" s="45" t="s">
        <v>389</v>
      </c>
      <c r="B101" s="211">
        <v>4.0</v>
      </c>
      <c r="C101" s="212">
        <v>16.0</v>
      </c>
      <c r="D101" s="45">
        <v>0.0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26">
        <v>0.0</v>
      </c>
    </row>
    <row r="102">
      <c r="A102" s="45" t="s">
        <v>365</v>
      </c>
      <c r="B102" s="211">
        <v>6.0</v>
      </c>
      <c r="C102" s="212">
        <v>24.0</v>
      </c>
      <c r="D102" s="45">
        <v>0.0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26">
        <v>0.0</v>
      </c>
    </row>
    <row r="103">
      <c r="A103" s="45" t="s">
        <v>394</v>
      </c>
      <c r="B103" s="211">
        <v>5.0</v>
      </c>
      <c r="C103" s="212">
        <v>20.0</v>
      </c>
      <c r="D103" s="45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26">
        <v>0.0</v>
      </c>
    </row>
    <row r="104">
      <c r="A104" s="45" t="s">
        <v>327</v>
      </c>
      <c r="B104" s="211">
        <v>6.0</v>
      </c>
      <c r="C104" s="212">
        <v>24.0</v>
      </c>
      <c r="D104" s="45">
        <v>0.0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26">
        <v>0.0</v>
      </c>
    </row>
    <row r="105">
      <c r="A105" s="45" t="s">
        <v>352</v>
      </c>
      <c r="B105" s="211">
        <v>3.0</v>
      </c>
      <c r="C105" s="212">
        <v>12.0</v>
      </c>
      <c r="D105" s="45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26">
        <v>0.0</v>
      </c>
    </row>
    <row r="106">
      <c r="A106" s="45" t="s">
        <v>387</v>
      </c>
      <c r="B106" s="211">
        <v>4.0</v>
      </c>
      <c r="C106" s="212">
        <v>15.0</v>
      </c>
      <c r="D106" s="45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26">
        <v>0.0</v>
      </c>
    </row>
    <row r="107">
      <c r="A107" s="45" t="s">
        <v>361</v>
      </c>
      <c r="B107" s="211">
        <v>5.0</v>
      </c>
      <c r="C107" s="212">
        <v>19.0</v>
      </c>
      <c r="D107" s="45">
        <v>1.0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26">
        <v>0.0</v>
      </c>
    </row>
    <row r="108">
      <c r="A108" s="45" t="s">
        <v>371</v>
      </c>
      <c r="B108" s="211">
        <v>4.0</v>
      </c>
      <c r="C108" s="212">
        <v>14.0</v>
      </c>
      <c r="D108" s="45">
        <v>0.0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26">
        <v>0.0</v>
      </c>
    </row>
    <row r="109">
      <c r="A109" s="45" t="s">
        <v>315</v>
      </c>
      <c r="B109" s="211">
        <v>6.0</v>
      </c>
      <c r="C109" s="212">
        <v>24.0</v>
      </c>
      <c r="D109" s="45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26">
        <v>0.0</v>
      </c>
    </row>
    <row r="110">
      <c r="A110" s="45" t="s">
        <v>332</v>
      </c>
      <c r="B110" s="211">
        <v>6.0</v>
      </c>
      <c r="C110" s="212">
        <v>24.0</v>
      </c>
      <c r="D110" s="45">
        <v>0.0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26">
        <v>0.0</v>
      </c>
    </row>
    <row r="111">
      <c r="A111" s="45" t="s">
        <v>345</v>
      </c>
      <c r="B111" s="211">
        <v>5.0</v>
      </c>
      <c r="C111" s="212">
        <v>20.0</v>
      </c>
      <c r="D111" s="45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26">
        <v>0.0</v>
      </c>
    </row>
    <row r="112">
      <c r="A112" s="45" t="s">
        <v>395</v>
      </c>
      <c r="B112" s="211">
        <v>5.0</v>
      </c>
      <c r="C112" s="212">
        <v>20.0</v>
      </c>
      <c r="D112" s="45">
        <v>0.0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26">
        <v>0.0</v>
      </c>
    </row>
    <row r="113">
      <c r="A113" s="45" t="s">
        <v>401</v>
      </c>
      <c r="B113" s="211">
        <v>1.0</v>
      </c>
      <c r="C113" s="212">
        <v>4.0</v>
      </c>
      <c r="D113" s="45">
        <v>0.0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26">
        <v>0.0</v>
      </c>
    </row>
    <row r="114">
      <c r="A114" s="45" t="s">
        <v>346</v>
      </c>
      <c r="B114" s="211">
        <v>5.0</v>
      </c>
      <c r="C114" s="212">
        <v>20.0</v>
      </c>
      <c r="D114" s="45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26">
        <v>0.0</v>
      </c>
    </row>
    <row r="115">
      <c r="A115" s="45" t="s">
        <v>297</v>
      </c>
      <c r="B115" s="211">
        <v>5.0</v>
      </c>
      <c r="C115" s="212">
        <v>20.0</v>
      </c>
      <c r="D115" s="45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26">
        <v>0.0</v>
      </c>
    </row>
    <row r="116">
      <c r="A116" s="45" t="s">
        <v>309</v>
      </c>
      <c r="B116" s="211">
        <v>2.0</v>
      </c>
      <c r="C116" s="212">
        <v>8.0</v>
      </c>
      <c r="D116" s="45">
        <v>0.0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26">
        <v>0.0</v>
      </c>
    </row>
    <row r="117">
      <c r="A117" s="45" t="s">
        <v>398</v>
      </c>
      <c r="B117" s="211">
        <v>3.0</v>
      </c>
      <c r="C117" s="212">
        <v>12.0</v>
      </c>
      <c r="D117" s="45">
        <v>1.0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26">
        <v>0.0</v>
      </c>
    </row>
    <row r="118">
      <c r="A118" s="45" t="s">
        <v>377</v>
      </c>
      <c r="B118" s="211">
        <v>1.0</v>
      </c>
      <c r="C118" s="212">
        <v>4.0</v>
      </c>
      <c r="D118" s="45">
        <v>0.0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26">
        <v>0.0</v>
      </c>
    </row>
    <row r="119">
      <c r="A119" s="45" t="s">
        <v>378</v>
      </c>
      <c r="B119" s="211">
        <v>3.0</v>
      </c>
      <c r="C119" s="212">
        <v>12.0</v>
      </c>
      <c r="D119" s="45">
        <v>0.0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26">
        <v>0.0</v>
      </c>
    </row>
    <row r="120">
      <c r="A120" s="45" t="s">
        <v>397</v>
      </c>
      <c r="B120" s="211">
        <v>2.0</v>
      </c>
      <c r="C120" s="212">
        <v>8.0</v>
      </c>
      <c r="D120" s="45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26">
        <v>0.0</v>
      </c>
    </row>
    <row r="121">
      <c r="A121" s="45" t="s">
        <v>388</v>
      </c>
      <c r="B121" s="211">
        <v>4.0</v>
      </c>
      <c r="C121" s="212">
        <v>15.0</v>
      </c>
      <c r="D121" s="45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26">
        <v>0.0</v>
      </c>
    </row>
    <row r="122">
      <c r="A122" s="45" t="s">
        <v>402</v>
      </c>
      <c r="B122" s="211">
        <v>1.0</v>
      </c>
      <c r="C122" s="212">
        <v>4.0</v>
      </c>
      <c r="D122" s="45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26">
        <v>0.0</v>
      </c>
    </row>
    <row r="123">
      <c r="A123" s="45" t="s">
        <v>321</v>
      </c>
      <c r="B123" s="211">
        <v>5.0</v>
      </c>
      <c r="C123" s="212">
        <v>20.0</v>
      </c>
      <c r="D123" s="45">
        <v>0.0</v>
      </c>
      <c r="E123" s="212">
        <v>0.0</v>
      </c>
      <c r="F123" s="201">
        <f t="shared" si="1"/>
        <v>0</v>
      </c>
      <c r="G123" s="212">
        <v>0.0</v>
      </c>
      <c r="H123" s="202">
        <f t="shared" si="2"/>
        <v>0</v>
      </c>
      <c r="I123" s="226">
        <v>0.0</v>
      </c>
    </row>
    <row r="124">
      <c r="A124" s="45" t="s">
        <v>399</v>
      </c>
      <c r="B124" s="211">
        <v>2.0</v>
      </c>
      <c r="C124" s="212">
        <v>8.0</v>
      </c>
      <c r="D124" s="45">
        <v>0.0</v>
      </c>
      <c r="E124" s="212">
        <v>0.0</v>
      </c>
      <c r="F124" s="201">
        <f t="shared" si="1"/>
        <v>0</v>
      </c>
      <c r="G124" s="212">
        <v>0.0</v>
      </c>
      <c r="H124" s="202">
        <f t="shared" si="2"/>
        <v>0</v>
      </c>
      <c r="I124" s="226">
        <v>0.0</v>
      </c>
    </row>
    <row r="125">
      <c r="A125" s="45" t="s">
        <v>372</v>
      </c>
      <c r="B125" s="211">
        <v>3.0</v>
      </c>
      <c r="C125" s="212">
        <v>12.0</v>
      </c>
      <c r="D125" s="45">
        <v>0.0</v>
      </c>
      <c r="E125" s="212">
        <v>0.0</v>
      </c>
      <c r="F125" s="201">
        <f t="shared" si="1"/>
        <v>0</v>
      </c>
      <c r="G125" s="212">
        <v>0.0</v>
      </c>
      <c r="H125" s="202">
        <f t="shared" si="2"/>
        <v>0</v>
      </c>
      <c r="I125" s="226">
        <v>0.0</v>
      </c>
    </row>
    <row r="126">
      <c r="A126" s="45" t="s">
        <v>400</v>
      </c>
      <c r="B126" s="211">
        <v>2.0</v>
      </c>
      <c r="C126" s="212">
        <v>8.0</v>
      </c>
      <c r="D126" s="45">
        <v>1.0</v>
      </c>
      <c r="E126" s="212">
        <v>0.0</v>
      </c>
      <c r="F126" s="201">
        <f t="shared" si="1"/>
        <v>0</v>
      </c>
      <c r="G126" s="212">
        <v>0.0</v>
      </c>
      <c r="H126" s="202">
        <f t="shared" si="2"/>
        <v>0</v>
      </c>
      <c r="I126" s="226">
        <v>0.0</v>
      </c>
    </row>
    <row r="127">
      <c r="A127" s="45" t="s">
        <v>333</v>
      </c>
      <c r="B127" s="211">
        <v>2.0</v>
      </c>
      <c r="C127" s="212">
        <v>7.0</v>
      </c>
      <c r="D127" s="45">
        <v>0.0</v>
      </c>
      <c r="E127" s="212">
        <v>0.0</v>
      </c>
      <c r="F127" s="201">
        <f t="shared" si="1"/>
        <v>0</v>
      </c>
      <c r="G127" s="212">
        <v>0.0</v>
      </c>
      <c r="H127" s="202">
        <f t="shared" si="2"/>
        <v>0</v>
      </c>
      <c r="I127" s="226">
        <v>0.0</v>
      </c>
    </row>
    <row r="128">
      <c r="A128" s="45" t="s">
        <v>305</v>
      </c>
      <c r="B128" s="211">
        <v>1.0</v>
      </c>
      <c r="C128" s="212">
        <v>4.0</v>
      </c>
      <c r="D128" s="45">
        <v>0.0</v>
      </c>
      <c r="E128" s="212">
        <v>0.0</v>
      </c>
      <c r="F128" s="201">
        <f t="shared" si="1"/>
        <v>0</v>
      </c>
      <c r="G128" s="212">
        <v>0.0</v>
      </c>
      <c r="H128" s="202">
        <f t="shared" si="2"/>
        <v>0</v>
      </c>
      <c r="I128" s="226">
        <v>0.0</v>
      </c>
    </row>
    <row r="129">
      <c r="A129" s="45" t="s">
        <v>287</v>
      </c>
      <c r="B129" s="211">
        <v>5.0</v>
      </c>
      <c r="C129" s="212">
        <v>20.0</v>
      </c>
      <c r="D129" s="45">
        <v>2.0</v>
      </c>
      <c r="E129" s="212">
        <v>-0.8</v>
      </c>
      <c r="F129" s="201">
        <f t="shared" si="1"/>
        <v>-0.8</v>
      </c>
      <c r="G129" s="212">
        <v>0.2</v>
      </c>
      <c r="H129" s="202">
        <f t="shared" si="2"/>
        <v>1</v>
      </c>
      <c r="I129" s="226">
        <v>0.0</v>
      </c>
    </row>
    <row r="130">
      <c r="A130" s="45" t="s">
        <v>393</v>
      </c>
      <c r="B130" s="211">
        <v>4.0</v>
      </c>
      <c r="C130" s="212">
        <v>16.0</v>
      </c>
      <c r="D130" s="45">
        <v>1.0</v>
      </c>
      <c r="E130" s="212">
        <v>-1.0</v>
      </c>
      <c r="F130" s="201">
        <f t="shared" si="1"/>
        <v>-1</v>
      </c>
      <c r="G130" s="212">
        <v>0.25</v>
      </c>
      <c r="H130" s="202">
        <f t="shared" si="2"/>
        <v>1</v>
      </c>
      <c r="I130" s="226">
        <v>0.0</v>
      </c>
    </row>
    <row r="131">
      <c r="A131" s="45" t="s">
        <v>335</v>
      </c>
      <c r="B131" s="211">
        <v>3.0</v>
      </c>
      <c r="C131" s="212">
        <v>12.0</v>
      </c>
      <c r="D131" s="45">
        <v>1.0</v>
      </c>
      <c r="E131" s="212">
        <v>-1.33</v>
      </c>
      <c r="F131" s="201">
        <f t="shared" si="1"/>
        <v>-1.33</v>
      </c>
      <c r="G131" s="212">
        <v>0.33</v>
      </c>
      <c r="H131" s="202">
        <f t="shared" si="2"/>
        <v>0.99</v>
      </c>
      <c r="I131" s="226">
        <v>0.0</v>
      </c>
    </row>
    <row r="132">
      <c r="A132" s="45" t="s">
        <v>396</v>
      </c>
      <c r="B132" s="211">
        <v>4.0</v>
      </c>
      <c r="C132" s="212">
        <v>16.0</v>
      </c>
      <c r="D132" s="45">
        <v>3.0</v>
      </c>
      <c r="E132" s="212">
        <v>-3.0</v>
      </c>
      <c r="F132" s="201">
        <f t="shared" si="1"/>
        <v>-3</v>
      </c>
      <c r="G132" s="212">
        <v>0.75</v>
      </c>
      <c r="H132" s="202">
        <f t="shared" si="2"/>
        <v>3</v>
      </c>
      <c r="I132" s="226">
        <v>0.0</v>
      </c>
    </row>
    <row r="133">
      <c r="A133" s="35"/>
      <c r="B133" s="211"/>
      <c r="C133" s="212"/>
      <c r="D133" s="35"/>
      <c r="E133" s="212"/>
      <c r="F133" s="201"/>
      <c r="G133" s="212"/>
      <c r="H133" s="202"/>
      <c r="I133" s="227"/>
    </row>
    <row r="134">
      <c r="A134" s="35"/>
      <c r="B134" s="211"/>
      <c r="C134" s="212"/>
      <c r="D134" s="35"/>
      <c r="E134" s="212"/>
      <c r="F134" s="201"/>
      <c r="G134" s="212"/>
      <c r="H134" s="202"/>
      <c r="I134" s="227"/>
    </row>
    <row r="135">
      <c r="A135" s="35"/>
      <c r="B135" s="211"/>
      <c r="C135" s="212"/>
      <c r="D135" s="35"/>
      <c r="E135" s="212"/>
      <c r="F135" s="201"/>
      <c r="G135" s="212"/>
      <c r="H135" s="202"/>
      <c r="I135" s="227"/>
    </row>
    <row r="136">
      <c r="A136" s="35"/>
      <c r="B136" s="211"/>
      <c r="C136" s="212"/>
      <c r="D136" s="35"/>
      <c r="E136" s="212"/>
      <c r="F136" s="201"/>
      <c r="G136" s="212"/>
      <c r="H136" s="202"/>
      <c r="I136" s="227"/>
    </row>
    <row r="137">
      <c r="A137" s="35"/>
      <c r="B137" s="211"/>
      <c r="C137" s="212"/>
      <c r="D137" s="35"/>
      <c r="E137" s="212"/>
      <c r="F137" s="201"/>
      <c r="G137" s="212"/>
      <c r="H137" s="202"/>
      <c r="I137" s="227"/>
    </row>
    <row r="138">
      <c r="A138" s="35"/>
      <c r="B138" s="211"/>
      <c r="C138" s="212"/>
      <c r="D138" s="35"/>
      <c r="E138" s="212"/>
      <c r="F138" s="201"/>
      <c r="G138" s="212"/>
      <c r="H138" s="202"/>
      <c r="I138" s="227"/>
    </row>
    <row r="139">
      <c r="A139" s="35"/>
      <c r="B139" s="211"/>
      <c r="C139" s="212"/>
      <c r="D139" s="35"/>
      <c r="E139" s="212"/>
      <c r="F139" s="201"/>
      <c r="G139" s="212"/>
      <c r="H139" s="202"/>
      <c r="I139" s="227"/>
    </row>
  </sheetData>
  <hyperlinks>
    <hyperlink display="Catstats Hub" location="'Catstats Hub'!A1" ref="A1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25"/>
    <col customWidth="1" min="2" max="2" width="15.63"/>
    <col customWidth="1" min="3" max="3" width="14.13"/>
    <col customWidth="1" min="4" max="4" width="14.38"/>
  </cols>
  <sheetData>
    <row r="1">
      <c r="A1" s="193" t="s">
        <v>263</v>
      </c>
      <c r="B1" s="215" t="s">
        <v>264</v>
      </c>
      <c r="C1" s="207" t="s">
        <v>265</v>
      </c>
      <c r="D1" s="215" t="s">
        <v>266</v>
      </c>
      <c r="E1" s="207" t="s">
        <v>267</v>
      </c>
      <c r="F1" s="196" t="s">
        <v>268</v>
      </c>
      <c r="G1" s="207" t="s">
        <v>269</v>
      </c>
      <c r="H1" s="216" t="s">
        <v>270</v>
      </c>
      <c r="I1" s="217" t="s">
        <v>271</v>
      </c>
    </row>
    <row r="2">
      <c r="A2" s="210" t="s">
        <v>305</v>
      </c>
      <c r="B2" s="211">
        <v>1.0</v>
      </c>
      <c r="C2" s="212">
        <v>3.0</v>
      </c>
      <c r="D2" s="211">
        <v>2.0</v>
      </c>
      <c r="E2" s="212">
        <v>8.0</v>
      </c>
      <c r="F2" s="201">
        <f t="shared" ref="F2:F132" si="1">E2*B2*4/C2</f>
        <v>10.66666667</v>
      </c>
      <c r="G2" s="212">
        <v>0.0</v>
      </c>
      <c r="H2" s="202">
        <f t="shared" ref="H2:H132" si="2">G2*B2</f>
        <v>0</v>
      </c>
      <c r="I2" s="214">
        <v>1.0</v>
      </c>
    </row>
    <row r="3">
      <c r="A3" s="210" t="s">
        <v>272</v>
      </c>
      <c r="B3" s="211">
        <v>6.0</v>
      </c>
      <c r="C3" s="212">
        <v>24.0</v>
      </c>
      <c r="D3" s="211">
        <v>19.0</v>
      </c>
      <c r="E3" s="212">
        <v>9.33</v>
      </c>
      <c r="F3" s="201">
        <f t="shared" si="1"/>
        <v>9.33</v>
      </c>
      <c r="G3" s="212">
        <v>0.33</v>
      </c>
      <c r="H3" s="202">
        <f t="shared" si="2"/>
        <v>1.98</v>
      </c>
      <c r="I3" s="214">
        <v>0.842</v>
      </c>
    </row>
    <row r="4">
      <c r="A4" s="210" t="s">
        <v>288</v>
      </c>
      <c r="B4" s="211">
        <v>6.0</v>
      </c>
      <c r="C4" s="212">
        <v>24.0</v>
      </c>
      <c r="D4" s="211">
        <v>15.0</v>
      </c>
      <c r="E4" s="212">
        <v>9.33</v>
      </c>
      <c r="F4" s="201">
        <f t="shared" si="1"/>
        <v>9.33</v>
      </c>
      <c r="G4" s="212">
        <v>0.0</v>
      </c>
      <c r="H4" s="202">
        <f t="shared" si="2"/>
        <v>0</v>
      </c>
      <c r="I4" s="214">
        <v>0.933</v>
      </c>
    </row>
    <row r="5">
      <c r="A5" s="210" t="s">
        <v>278</v>
      </c>
      <c r="B5" s="211">
        <v>3.0</v>
      </c>
      <c r="C5" s="212">
        <v>12.0</v>
      </c>
      <c r="D5" s="211">
        <v>8.0</v>
      </c>
      <c r="E5" s="212">
        <v>9.33</v>
      </c>
      <c r="F5" s="201">
        <f t="shared" si="1"/>
        <v>9.33</v>
      </c>
      <c r="G5" s="212">
        <v>0.0</v>
      </c>
      <c r="H5" s="202">
        <f t="shared" si="2"/>
        <v>0</v>
      </c>
      <c r="I5" s="214">
        <v>0.875</v>
      </c>
    </row>
    <row r="6">
      <c r="A6" s="210" t="s">
        <v>316</v>
      </c>
      <c r="B6" s="211">
        <v>5.0</v>
      </c>
      <c r="C6" s="212">
        <v>20.0</v>
      </c>
      <c r="D6" s="211">
        <v>11.0</v>
      </c>
      <c r="E6" s="212">
        <v>8.8</v>
      </c>
      <c r="F6" s="201">
        <f t="shared" si="1"/>
        <v>8.8</v>
      </c>
      <c r="G6" s="212">
        <v>0.0</v>
      </c>
      <c r="H6" s="202">
        <f t="shared" si="2"/>
        <v>0</v>
      </c>
      <c r="I6" s="214">
        <v>1.0</v>
      </c>
    </row>
    <row r="7">
      <c r="A7" s="210" t="s">
        <v>276</v>
      </c>
      <c r="B7" s="211">
        <v>6.0</v>
      </c>
      <c r="C7" s="212">
        <v>23.0</v>
      </c>
      <c r="D7" s="211">
        <v>14.0</v>
      </c>
      <c r="E7" s="212">
        <v>8.0</v>
      </c>
      <c r="F7" s="201">
        <f t="shared" si="1"/>
        <v>8.347826087</v>
      </c>
      <c r="G7" s="212">
        <v>0.17</v>
      </c>
      <c r="H7" s="202">
        <f t="shared" si="2"/>
        <v>1.02</v>
      </c>
      <c r="I7" s="214">
        <v>0.929</v>
      </c>
    </row>
    <row r="8">
      <c r="A8" s="210" t="s">
        <v>281</v>
      </c>
      <c r="B8" s="211">
        <v>6.0</v>
      </c>
      <c r="C8" s="212">
        <v>24.0</v>
      </c>
      <c r="D8" s="211">
        <v>14.0</v>
      </c>
      <c r="E8" s="212">
        <v>8.0</v>
      </c>
      <c r="F8" s="201">
        <f t="shared" si="1"/>
        <v>8</v>
      </c>
      <c r="G8" s="212">
        <v>0.17</v>
      </c>
      <c r="H8" s="202">
        <f t="shared" si="2"/>
        <v>1.02</v>
      </c>
      <c r="I8" s="214">
        <v>0.929</v>
      </c>
    </row>
    <row r="9">
      <c r="A9" s="210" t="s">
        <v>295</v>
      </c>
      <c r="B9" s="211">
        <v>1.0</v>
      </c>
      <c r="C9" s="212">
        <v>4.0</v>
      </c>
      <c r="D9" s="211">
        <v>3.0</v>
      </c>
      <c r="E9" s="212">
        <v>8.0</v>
      </c>
      <c r="F9" s="201">
        <f t="shared" si="1"/>
        <v>8</v>
      </c>
      <c r="G9" s="212">
        <v>0.0</v>
      </c>
      <c r="H9" s="202">
        <f t="shared" si="2"/>
        <v>0</v>
      </c>
      <c r="I9" s="214">
        <v>0.667</v>
      </c>
    </row>
    <row r="10">
      <c r="A10" s="210" t="s">
        <v>273</v>
      </c>
      <c r="B10" s="211">
        <v>6.0</v>
      </c>
      <c r="C10" s="212">
        <v>25.0</v>
      </c>
      <c r="D10" s="211">
        <v>15.0</v>
      </c>
      <c r="E10" s="212">
        <v>8.0</v>
      </c>
      <c r="F10" s="201">
        <f t="shared" si="1"/>
        <v>7.68</v>
      </c>
      <c r="G10" s="212">
        <v>0.17</v>
      </c>
      <c r="H10" s="202">
        <f t="shared" si="2"/>
        <v>1.02</v>
      </c>
      <c r="I10" s="214">
        <v>0.867</v>
      </c>
    </row>
    <row r="11">
      <c r="A11" s="210" t="s">
        <v>292</v>
      </c>
      <c r="B11" s="211">
        <v>6.0</v>
      </c>
      <c r="C11" s="212">
        <v>25.0</v>
      </c>
      <c r="D11" s="211">
        <v>13.0</v>
      </c>
      <c r="E11" s="212">
        <v>7.33</v>
      </c>
      <c r="F11" s="201">
        <f t="shared" si="1"/>
        <v>7.0368</v>
      </c>
      <c r="G11" s="212">
        <v>0.17</v>
      </c>
      <c r="H11" s="202">
        <f t="shared" si="2"/>
        <v>1.02</v>
      </c>
      <c r="I11" s="214">
        <v>0.923</v>
      </c>
    </row>
    <row r="12">
      <c r="A12" s="210" t="s">
        <v>299</v>
      </c>
      <c r="B12" s="211">
        <v>6.0</v>
      </c>
      <c r="C12" s="212">
        <v>24.0</v>
      </c>
      <c r="D12" s="211">
        <v>13.0</v>
      </c>
      <c r="E12" s="212">
        <v>6.67</v>
      </c>
      <c r="F12" s="201">
        <f t="shared" si="1"/>
        <v>6.67</v>
      </c>
      <c r="G12" s="212">
        <v>0.17</v>
      </c>
      <c r="H12" s="202">
        <f t="shared" si="2"/>
        <v>1.02</v>
      </c>
      <c r="I12" s="214">
        <v>0.846</v>
      </c>
    </row>
    <row r="13">
      <c r="A13" s="210" t="s">
        <v>275</v>
      </c>
      <c r="B13" s="211">
        <v>6.0</v>
      </c>
      <c r="C13" s="212">
        <v>25.0</v>
      </c>
      <c r="D13" s="211">
        <v>13.0</v>
      </c>
      <c r="E13" s="212">
        <v>6.67</v>
      </c>
      <c r="F13" s="201">
        <f t="shared" si="1"/>
        <v>6.4032</v>
      </c>
      <c r="G13" s="212">
        <v>0.17</v>
      </c>
      <c r="H13" s="202">
        <f t="shared" si="2"/>
        <v>1.02</v>
      </c>
      <c r="I13" s="214">
        <v>0.846</v>
      </c>
    </row>
    <row r="14">
      <c r="A14" s="210" t="s">
        <v>282</v>
      </c>
      <c r="B14" s="211">
        <v>6.0</v>
      </c>
      <c r="C14" s="212">
        <v>24.0</v>
      </c>
      <c r="D14" s="211">
        <v>11.0</v>
      </c>
      <c r="E14" s="212">
        <v>6.0</v>
      </c>
      <c r="F14" s="201">
        <f t="shared" si="1"/>
        <v>6</v>
      </c>
      <c r="G14" s="212">
        <v>0.17</v>
      </c>
      <c r="H14" s="202">
        <f t="shared" si="2"/>
        <v>1.02</v>
      </c>
      <c r="I14" s="214">
        <v>0.909</v>
      </c>
    </row>
    <row r="15">
      <c r="A15" s="210" t="s">
        <v>291</v>
      </c>
      <c r="B15" s="211">
        <v>6.0</v>
      </c>
      <c r="C15" s="212">
        <v>23.0</v>
      </c>
      <c r="D15" s="211">
        <v>11.0</v>
      </c>
      <c r="E15" s="212">
        <v>5.33</v>
      </c>
      <c r="F15" s="201">
        <f t="shared" si="1"/>
        <v>5.56173913</v>
      </c>
      <c r="G15" s="212">
        <v>0.0</v>
      </c>
      <c r="H15" s="202">
        <f t="shared" si="2"/>
        <v>0</v>
      </c>
      <c r="I15" s="214">
        <v>0.727</v>
      </c>
    </row>
    <row r="16">
      <c r="A16" s="210" t="s">
        <v>280</v>
      </c>
      <c r="B16" s="211">
        <v>6.0</v>
      </c>
      <c r="C16" s="212">
        <v>24.0</v>
      </c>
      <c r="D16" s="211">
        <v>14.0</v>
      </c>
      <c r="E16" s="212">
        <v>5.33</v>
      </c>
      <c r="F16" s="201">
        <f t="shared" si="1"/>
        <v>5.33</v>
      </c>
      <c r="G16" s="212">
        <v>0.5</v>
      </c>
      <c r="H16" s="202">
        <f t="shared" si="2"/>
        <v>3</v>
      </c>
      <c r="I16" s="214">
        <v>0.786</v>
      </c>
    </row>
    <row r="17">
      <c r="A17" s="210" t="s">
        <v>296</v>
      </c>
      <c r="B17" s="211">
        <v>6.0</v>
      </c>
      <c r="C17" s="212">
        <v>24.0</v>
      </c>
      <c r="D17" s="211">
        <v>13.0</v>
      </c>
      <c r="E17" s="212">
        <v>5.33</v>
      </c>
      <c r="F17" s="201">
        <f t="shared" si="1"/>
        <v>5.33</v>
      </c>
      <c r="G17" s="212">
        <v>0.33</v>
      </c>
      <c r="H17" s="202">
        <f t="shared" si="2"/>
        <v>1.98</v>
      </c>
      <c r="I17" s="214">
        <v>0.769</v>
      </c>
    </row>
    <row r="18">
      <c r="A18" s="210" t="s">
        <v>335</v>
      </c>
      <c r="B18" s="211">
        <v>3.0</v>
      </c>
      <c r="C18" s="212">
        <v>12.0</v>
      </c>
      <c r="D18" s="211">
        <v>6.0</v>
      </c>
      <c r="E18" s="212">
        <v>5.33</v>
      </c>
      <c r="F18" s="201">
        <f t="shared" si="1"/>
        <v>5.33</v>
      </c>
      <c r="G18" s="212">
        <v>0.33</v>
      </c>
      <c r="H18" s="202">
        <f t="shared" si="2"/>
        <v>0.99</v>
      </c>
      <c r="I18" s="214">
        <v>0.833</v>
      </c>
    </row>
    <row r="19">
      <c r="A19" s="210" t="s">
        <v>286</v>
      </c>
      <c r="B19" s="211">
        <v>6.0</v>
      </c>
      <c r="C19" s="212">
        <v>24.0</v>
      </c>
      <c r="D19" s="211">
        <v>8.0</v>
      </c>
      <c r="E19" s="212">
        <v>5.33</v>
      </c>
      <c r="F19" s="201">
        <f t="shared" si="1"/>
        <v>5.33</v>
      </c>
      <c r="G19" s="212">
        <v>0.0</v>
      </c>
      <c r="H19" s="202">
        <f t="shared" si="2"/>
        <v>0</v>
      </c>
      <c r="I19" s="214">
        <v>1.0</v>
      </c>
    </row>
    <row r="20">
      <c r="A20" s="210" t="s">
        <v>289</v>
      </c>
      <c r="B20" s="211">
        <v>3.0</v>
      </c>
      <c r="C20" s="212">
        <v>12.0</v>
      </c>
      <c r="D20" s="211">
        <v>5.0</v>
      </c>
      <c r="E20" s="212">
        <v>5.33</v>
      </c>
      <c r="F20" s="201">
        <f t="shared" si="1"/>
        <v>5.33</v>
      </c>
      <c r="G20" s="212">
        <v>0.0</v>
      </c>
      <c r="H20" s="202">
        <f t="shared" si="2"/>
        <v>0</v>
      </c>
      <c r="I20" s="214">
        <v>0.8</v>
      </c>
    </row>
    <row r="21">
      <c r="A21" s="210" t="s">
        <v>320</v>
      </c>
      <c r="B21" s="211">
        <v>5.0</v>
      </c>
      <c r="C21" s="212">
        <v>19.0</v>
      </c>
      <c r="D21" s="211">
        <v>6.0</v>
      </c>
      <c r="E21" s="212">
        <v>4.8</v>
      </c>
      <c r="F21" s="201">
        <f t="shared" si="1"/>
        <v>5.052631579</v>
      </c>
      <c r="G21" s="212">
        <v>0.0</v>
      </c>
      <c r="H21" s="202">
        <f t="shared" si="2"/>
        <v>0</v>
      </c>
      <c r="I21" s="214">
        <v>1.0</v>
      </c>
    </row>
    <row r="22">
      <c r="A22" s="210" t="s">
        <v>287</v>
      </c>
      <c r="B22" s="211">
        <v>5.0</v>
      </c>
      <c r="C22" s="212">
        <v>21.0</v>
      </c>
      <c r="D22" s="211">
        <v>7.0</v>
      </c>
      <c r="E22" s="212">
        <v>4.8</v>
      </c>
      <c r="F22" s="201">
        <f t="shared" si="1"/>
        <v>4.571428571</v>
      </c>
      <c r="G22" s="212">
        <v>0.0</v>
      </c>
      <c r="H22" s="202">
        <f t="shared" si="2"/>
        <v>0</v>
      </c>
      <c r="I22" s="214">
        <v>0.857</v>
      </c>
    </row>
    <row r="23">
      <c r="A23" s="210" t="s">
        <v>284</v>
      </c>
      <c r="B23" s="211">
        <v>6.0</v>
      </c>
      <c r="C23" s="212">
        <v>24.0</v>
      </c>
      <c r="D23" s="211">
        <v>11.0</v>
      </c>
      <c r="E23" s="212">
        <v>4.0</v>
      </c>
      <c r="F23" s="201">
        <f t="shared" si="1"/>
        <v>4</v>
      </c>
      <c r="G23" s="212">
        <v>0.33</v>
      </c>
      <c r="H23" s="202">
        <f t="shared" si="2"/>
        <v>1.98</v>
      </c>
      <c r="I23" s="214">
        <v>0.727</v>
      </c>
    </row>
    <row r="24">
      <c r="A24" s="210" t="s">
        <v>274</v>
      </c>
      <c r="B24" s="211">
        <v>6.0</v>
      </c>
      <c r="C24" s="212">
        <v>24.0</v>
      </c>
      <c r="D24" s="211">
        <v>9.0</v>
      </c>
      <c r="E24" s="212">
        <v>4.0</v>
      </c>
      <c r="F24" s="201">
        <f t="shared" si="1"/>
        <v>4</v>
      </c>
      <c r="G24" s="212">
        <v>0.17</v>
      </c>
      <c r="H24" s="202">
        <f t="shared" si="2"/>
        <v>1.02</v>
      </c>
      <c r="I24" s="214">
        <v>0.778</v>
      </c>
    </row>
    <row r="25">
      <c r="A25" s="210" t="s">
        <v>345</v>
      </c>
      <c r="B25" s="211">
        <v>5.0</v>
      </c>
      <c r="C25" s="212">
        <v>20.0</v>
      </c>
      <c r="D25" s="211">
        <v>9.0</v>
      </c>
      <c r="E25" s="212">
        <v>4.0</v>
      </c>
      <c r="F25" s="201">
        <f t="shared" si="1"/>
        <v>4</v>
      </c>
      <c r="G25" s="212">
        <v>0.2</v>
      </c>
      <c r="H25" s="202">
        <f t="shared" si="2"/>
        <v>1</v>
      </c>
      <c r="I25" s="214">
        <v>0.667</v>
      </c>
    </row>
    <row r="26">
      <c r="A26" s="210" t="s">
        <v>334</v>
      </c>
      <c r="B26" s="211">
        <v>6.0</v>
      </c>
      <c r="C26" s="212">
        <v>24.0</v>
      </c>
      <c r="D26" s="211">
        <v>6.0</v>
      </c>
      <c r="E26" s="212">
        <v>4.0</v>
      </c>
      <c r="F26" s="201">
        <f t="shared" si="1"/>
        <v>4</v>
      </c>
      <c r="G26" s="212">
        <v>0.0</v>
      </c>
      <c r="H26" s="202">
        <f t="shared" si="2"/>
        <v>0</v>
      </c>
      <c r="I26" s="214">
        <v>1.0</v>
      </c>
    </row>
    <row r="27">
      <c r="A27" s="210" t="s">
        <v>374</v>
      </c>
      <c r="B27" s="211">
        <v>1.0</v>
      </c>
      <c r="C27" s="212">
        <v>4.0</v>
      </c>
      <c r="D27" s="211">
        <v>1.0</v>
      </c>
      <c r="E27" s="212">
        <v>4.0</v>
      </c>
      <c r="F27" s="201">
        <f t="shared" si="1"/>
        <v>4</v>
      </c>
      <c r="G27" s="212">
        <v>0.0</v>
      </c>
      <c r="H27" s="202">
        <f t="shared" si="2"/>
        <v>0</v>
      </c>
      <c r="I27" s="214">
        <v>1.0</v>
      </c>
    </row>
    <row r="28">
      <c r="A28" s="210" t="s">
        <v>324</v>
      </c>
      <c r="B28" s="211">
        <v>6.0</v>
      </c>
      <c r="C28" s="212">
        <v>24.0</v>
      </c>
      <c r="D28" s="211">
        <v>6.0</v>
      </c>
      <c r="E28" s="212">
        <v>4.0</v>
      </c>
      <c r="F28" s="201">
        <f t="shared" si="1"/>
        <v>4</v>
      </c>
      <c r="G28" s="212">
        <v>0.0</v>
      </c>
      <c r="H28" s="202">
        <f t="shared" si="2"/>
        <v>0</v>
      </c>
      <c r="I28" s="214">
        <v>1.0</v>
      </c>
    </row>
    <row r="29">
      <c r="A29" s="210" t="s">
        <v>319</v>
      </c>
      <c r="B29" s="211">
        <v>5.0</v>
      </c>
      <c r="C29" s="212">
        <v>20.0</v>
      </c>
      <c r="D29" s="211">
        <v>5.0</v>
      </c>
      <c r="E29" s="212">
        <v>4.0</v>
      </c>
      <c r="F29" s="201">
        <f t="shared" si="1"/>
        <v>4</v>
      </c>
      <c r="G29" s="212">
        <v>0.0</v>
      </c>
      <c r="H29" s="202">
        <f t="shared" si="2"/>
        <v>0</v>
      </c>
      <c r="I29" s="214">
        <v>1.0</v>
      </c>
    </row>
    <row r="30">
      <c r="A30" s="210" t="s">
        <v>309</v>
      </c>
      <c r="B30" s="211">
        <v>2.0</v>
      </c>
      <c r="C30" s="212">
        <v>8.0</v>
      </c>
      <c r="D30" s="211">
        <v>2.0</v>
      </c>
      <c r="E30" s="212">
        <v>4.0</v>
      </c>
      <c r="F30" s="201">
        <f t="shared" si="1"/>
        <v>4</v>
      </c>
      <c r="G30" s="212">
        <v>0.0</v>
      </c>
      <c r="H30" s="202">
        <f t="shared" si="2"/>
        <v>0</v>
      </c>
      <c r="I30" s="214">
        <v>1.0</v>
      </c>
    </row>
    <row r="31">
      <c r="A31" s="210" t="s">
        <v>349</v>
      </c>
      <c r="B31" s="211">
        <v>3.0</v>
      </c>
      <c r="C31" s="212">
        <v>12.0</v>
      </c>
      <c r="D31" s="211">
        <v>4.0</v>
      </c>
      <c r="E31" s="212">
        <v>4.0</v>
      </c>
      <c r="F31" s="201">
        <f t="shared" si="1"/>
        <v>4</v>
      </c>
      <c r="G31" s="212">
        <v>0.0</v>
      </c>
      <c r="H31" s="202">
        <f t="shared" si="2"/>
        <v>0</v>
      </c>
      <c r="I31" s="214">
        <v>0.75</v>
      </c>
    </row>
    <row r="32">
      <c r="A32" s="210" t="s">
        <v>343</v>
      </c>
      <c r="B32" s="211">
        <v>5.0</v>
      </c>
      <c r="C32" s="212">
        <v>19.0</v>
      </c>
      <c r="D32" s="211">
        <v>8.0</v>
      </c>
      <c r="E32" s="212">
        <v>3.2</v>
      </c>
      <c r="F32" s="201">
        <f t="shared" si="1"/>
        <v>3.368421053</v>
      </c>
      <c r="G32" s="212">
        <v>0.2</v>
      </c>
      <c r="H32" s="202">
        <f t="shared" si="2"/>
        <v>1</v>
      </c>
      <c r="I32" s="214">
        <v>0.625</v>
      </c>
    </row>
    <row r="33">
      <c r="A33" s="210" t="s">
        <v>317</v>
      </c>
      <c r="B33" s="211">
        <v>5.0</v>
      </c>
      <c r="C33" s="212">
        <v>20.0</v>
      </c>
      <c r="D33" s="211">
        <v>4.0</v>
      </c>
      <c r="E33" s="212">
        <v>3.2</v>
      </c>
      <c r="F33" s="201">
        <f t="shared" si="1"/>
        <v>3.2</v>
      </c>
      <c r="G33" s="212">
        <v>0.0</v>
      </c>
      <c r="H33" s="202">
        <f t="shared" si="2"/>
        <v>0</v>
      </c>
      <c r="I33" s="214">
        <v>1.0</v>
      </c>
    </row>
    <row r="34">
      <c r="A34" s="210" t="s">
        <v>351</v>
      </c>
      <c r="B34" s="211">
        <v>6.0</v>
      </c>
      <c r="C34" s="212">
        <v>25.0</v>
      </c>
      <c r="D34" s="211">
        <v>6.0</v>
      </c>
      <c r="E34" s="212">
        <v>3.33</v>
      </c>
      <c r="F34" s="201">
        <f t="shared" si="1"/>
        <v>3.1968</v>
      </c>
      <c r="G34" s="212">
        <v>0.0</v>
      </c>
      <c r="H34" s="202">
        <f t="shared" si="2"/>
        <v>0</v>
      </c>
      <c r="I34" s="214">
        <v>0.833</v>
      </c>
    </row>
    <row r="35">
      <c r="A35" s="210" t="s">
        <v>285</v>
      </c>
      <c r="B35" s="211">
        <v>6.0</v>
      </c>
      <c r="C35" s="212">
        <v>23.0</v>
      </c>
      <c r="D35" s="211">
        <v>9.0</v>
      </c>
      <c r="E35" s="212">
        <v>2.67</v>
      </c>
      <c r="F35" s="201">
        <f t="shared" si="1"/>
        <v>2.786086957</v>
      </c>
      <c r="G35" s="212">
        <v>0.33</v>
      </c>
      <c r="H35" s="202">
        <f t="shared" si="2"/>
        <v>1.98</v>
      </c>
      <c r="I35" s="214">
        <v>0.667</v>
      </c>
    </row>
    <row r="36">
      <c r="A36" s="210" t="s">
        <v>328</v>
      </c>
      <c r="B36" s="211">
        <v>6.0</v>
      </c>
      <c r="C36" s="212">
        <v>23.0</v>
      </c>
      <c r="D36" s="211">
        <v>4.0</v>
      </c>
      <c r="E36" s="212">
        <v>2.67</v>
      </c>
      <c r="F36" s="201">
        <f t="shared" si="1"/>
        <v>2.786086957</v>
      </c>
      <c r="G36" s="212">
        <v>0.0</v>
      </c>
      <c r="H36" s="202">
        <f t="shared" si="2"/>
        <v>0</v>
      </c>
      <c r="I36" s="214">
        <v>1.0</v>
      </c>
    </row>
    <row r="37">
      <c r="A37" s="210" t="s">
        <v>378</v>
      </c>
      <c r="B37" s="211">
        <v>3.0</v>
      </c>
      <c r="C37" s="212">
        <v>12.0</v>
      </c>
      <c r="D37" s="211">
        <v>2.0</v>
      </c>
      <c r="E37" s="212">
        <v>2.67</v>
      </c>
      <c r="F37" s="201">
        <f t="shared" si="1"/>
        <v>2.67</v>
      </c>
      <c r="G37" s="212">
        <v>0.0</v>
      </c>
      <c r="H37" s="202">
        <f t="shared" si="2"/>
        <v>0</v>
      </c>
      <c r="I37" s="214">
        <v>1.0</v>
      </c>
    </row>
    <row r="38">
      <c r="A38" s="210" t="s">
        <v>370</v>
      </c>
      <c r="B38" s="211">
        <v>6.0</v>
      </c>
      <c r="C38" s="212">
        <v>25.0</v>
      </c>
      <c r="D38" s="211">
        <v>5.0</v>
      </c>
      <c r="E38" s="212">
        <v>2.67</v>
      </c>
      <c r="F38" s="201">
        <f t="shared" si="1"/>
        <v>2.5632</v>
      </c>
      <c r="G38" s="212">
        <v>0.0</v>
      </c>
      <c r="H38" s="202">
        <f t="shared" si="2"/>
        <v>0</v>
      </c>
      <c r="I38" s="214">
        <v>0.8</v>
      </c>
    </row>
    <row r="39">
      <c r="A39" s="210" t="s">
        <v>301</v>
      </c>
      <c r="B39" s="211">
        <v>6.0</v>
      </c>
      <c r="C39" s="212">
        <v>25.0</v>
      </c>
      <c r="D39" s="211">
        <v>4.0</v>
      </c>
      <c r="E39" s="212">
        <v>2.67</v>
      </c>
      <c r="F39" s="201">
        <f t="shared" si="1"/>
        <v>2.5632</v>
      </c>
      <c r="G39" s="212">
        <v>0.0</v>
      </c>
      <c r="H39" s="202">
        <f t="shared" si="2"/>
        <v>0</v>
      </c>
      <c r="I39" s="214">
        <v>1.0</v>
      </c>
    </row>
    <row r="40">
      <c r="A40" s="210" t="s">
        <v>384</v>
      </c>
      <c r="B40" s="211">
        <v>3.0</v>
      </c>
      <c r="C40" s="212">
        <v>13.0</v>
      </c>
      <c r="D40" s="211">
        <v>2.0</v>
      </c>
      <c r="E40" s="212">
        <v>2.67</v>
      </c>
      <c r="F40" s="201">
        <f t="shared" si="1"/>
        <v>2.464615385</v>
      </c>
      <c r="G40" s="212">
        <v>0.0</v>
      </c>
      <c r="H40" s="202">
        <f t="shared" si="2"/>
        <v>0</v>
      </c>
      <c r="I40" s="214">
        <v>1.0</v>
      </c>
    </row>
    <row r="41">
      <c r="A41" s="210" t="s">
        <v>353</v>
      </c>
      <c r="B41" s="211">
        <v>5.0</v>
      </c>
      <c r="C41" s="212">
        <v>20.0</v>
      </c>
      <c r="D41" s="211">
        <v>3.0</v>
      </c>
      <c r="E41" s="212">
        <v>2.4</v>
      </c>
      <c r="F41" s="201">
        <f t="shared" si="1"/>
        <v>2.4</v>
      </c>
      <c r="G41" s="212">
        <v>0.0</v>
      </c>
      <c r="H41" s="202">
        <f t="shared" si="2"/>
        <v>0</v>
      </c>
      <c r="I41" s="214">
        <v>1.0</v>
      </c>
    </row>
    <row r="42">
      <c r="A42" s="210" t="s">
        <v>361</v>
      </c>
      <c r="B42" s="211">
        <v>5.0</v>
      </c>
      <c r="C42" s="212">
        <v>21.0</v>
      </c>
      <c r="D42" s="211">
        <v>3.0</v>
      </c>
      <c r="E42" s="212">
        <v>2.4</v>
      </c>
      <c r="F42" s="201">
        <f t="shared" si="1"/>
        <v>2.285714286</v>
      </c>
      <c r="G42" s="212">
        <v>0.0</v>
      </c>
      <c r="H42" s="202">
        <f t="shared" si="2"/>
        <v>0</v>
      </c>
      <c r="I42" s="214">
        <v>1.0</v>
      </c>
    </row>
    <row r="43">
      <c r="A43" s="210" t="s">
        <v>277</v>
      </c>
      <c r="B43" s="211">
        <v>6.0</v>
      </c>
      <c r="C43" s="212">
        <v>23.0</v>
      </c>
      <c r="D43" s="211">
        <v>3.0</v>
      </c>
      <c r="E43" s="212">
        <v>2.0</v>
      </c>
      <c r="F43" s="201">
        <f t="shared" si="1"/>
        <v>2.086956522</v>
      </c>
      <c r="G43" s="212">
        <v>0.0</v>
      </c>
      <c r="H43" s="202">
        <f t="shared" si="2"/>
        <v>0</v>
      </c>
      <c r="I43" s="214">
        <v>1.0</v>
      </c>
    </row>
    <row r="44">
      <c r="A44" s="210" t="s">
        <v>279</v>
      </c>
      <c r="B44" s="211">
        <v>6.0</v>
      </c>
      <c r="C44" s="212">
        <v>24.0</v>
      </c>
      <c r="D44" s="211">
        <v>10.0</v>
      </c>
      <c r="E44" s="212">
        <v>2.0</v>
      </c>
      <c r="F44" s="201">
        <f t="shared" si="1"/>
        <v>2</v>
      </c>
      <c r="G44" s="212">
        <v>0.33</v>
      </c>
      <c r="H44" s="202">
        <f t="shared" si="2"/>
        <v>1.98</v>
      </c>
      <c r="I44" s="214">
        <v>0.5</v>
      </c>
    </row>
    <row r="45">
      <c r="A45" s="210" t="s">
        <v>294</v>
      </c>
      <c r="B45" s="211">
        <v>6.0</v>
      </c>
      <c r="C45" s="212">
        <v>24.0</v>
      </c>
      <c r="D45" s="211">
        <v>8.0</v>
      </c>
      <c r="E45" s="212">
        <v>2.0</v>
      </c>
      <c r="F45" s="201">
        <f t="shared" si="1"/>
        <v>2</v>
      </c>
      <c r="G45" s="212">
        <v>0.33</v>
      </c>
      <c r="H45" s="202">
        <f t="shared" si="2"/>
        <v>1.98</v>
      </c>
      <c r="I45" s="214">
        <v>0.625</v>
      </c>
    </row>
    <row r="46">
      <c r="A46" s="210" t="s">
        <v>283</v>
      </c>
      <c r="B46" s="211">
        <v>6.0</v>
      </c>
      <c r="C46" s="212">
        <v>24.0</v>
      </c>
      <c r="D46" s="211">
        <v>4.0</v>
      </c>
      <c r="E46" s="212">
        <v>2.0</v>
      </c>
      <c r="F46" s="201">
        <f t="shared" si="1"/>
        <v>2</v>
      </c>
      <c r="G46" s="212">
        <v>0.0</v>
      </c>
      <c r="H46" s="202">
        <f t="shared" si="2"/>
        <v>0</v>
      </c>
      <c r="I46" s="214">
        <v>0.75</v>
      </c>
    </row>
    <row r="47">
      <c r="A47" s="210" t="s">
        <v>387</v>
      </c>
      <c r="B47" s="211">
        <v>4.0</v>
      </c>
      <c r="C47" s="212">
        <v>16.0</v>
      </c>
      <c r="D47" s="211">
        <v>2.0</v>
      </c>
      <c r="E47" s="212">
        <v>2.0</v>
      </c>
      <c r="F47" s="201">
        <f t="shared" si="1"/>
        <v>2</v>
      </c>
      <c r="G47" s="212">
        <v>0.0</v>
      </c>
      <c r="H47" s="202">
        <f t="shared" si="2"/>
        <v>0</v>
      </c>
      <c r="I47" s="214">
        <v>1.0</v>
      </c>
    </row>
    <row r="48">
      <c r="A48" s="210" t="s">
        <v>396</v>
      </c>
      <c r="B48" s="211">
        <v>4.0</v>
      </c>
      <c r="C48" s="212">
        <v>17.0</v>
      </c>
      <c r="D48" s="211">
        <v>2.0</v>
      </c>
      <c r="E48" s="212">
        <v>2.0</v>
      </c>
      <c r="F48" s="201">
        <f t="shared" si="1"/>
        <v>1.882352941</v>
      </c>
      <c r="G48" s="212">
        <v>0.0</v>
      </c>
      <c r="H48" s="202">
        <f t="shared" si="2"/>
        <v>0</v>
      </c>
      <c r="I48" s="214">
        <v>1.0</v>
      </c>
    </row>
    <row r="49">
      <c r="A49" s="210" t="s">
        <v>329</v>
      </c>
      <c r="B49" s="211">
        <v>5.0</v>
      </c>
      <c r="C49" s="212">
        <v>19.0</v>
      </c>
      <c r="D49" s="211">
        <v>3.0</v>
      </c>
      <c r="E49" s="212">
        <v>1.6</v>
      </c>
      <c r="F49" s="201">
        <f t="shared" si="1"/>
        <v>1.684210526</v>
      </c>
      <c r="G49" s="212">
        <v>0.0</v>
      </c>
      <c r="H49" s="202">
        <f t="shared" si="2"/>
        <v>0</v>
      </c>
      <c r="I49" s="214">
        <v>0.667</v>
      </c>
    </row>
    <row r="50">
      <c r="A50" s="210" t="s">
        <v>373</v>
      </c>
      <c r="B50" s="211">
        <v>5.0</v>
      </c>
      <c r="C50" s="212">
        <v>20.0</v>
      </c>
      <c r="D50" s="211">
        <v>3.0</v>
      </c>
      <c r="E50" s="212">
        <v>1.6</v>
      </c>
      <c r="F50" s="201">
        <f t="shared" si="1"/>
        <v>1.6</v>
      </c>
      <c r="G50" s="212">
        <v>0.0</v>
      </c>
      <c r="H50" s="202">
        <f t="shared" si="2"/>
        <v>0</v>
      </c>
      <c r="I50" s="214">
        <v>0.667</v>
      </c>
    </row>
    <row r="51">
      <c r="A51" s="210" t="s">
        <v>331</v>
      </c>
      <c r="B51" s="211">
        <v>5.0</v>
      </c>
      <c r="C51" s="212">
        <v>20.0</v>
      </c>
      <c r="D51" s="211">
        <v>2.0</v>
      </c>
      <c r="E51" s="212">
        <v>1.6</v>
      </c>
      <c r="F51" s="201">
        <f t="shared" si="1"/>
        <v>1.6</v>
      </c>
      <c r="G51" s="212">
        <v>0.0</v>
      </c>
      <c r="H51" s="202">
        <f t="shared" si="2"/>
        <v>0</v>
      </c>
      <c r="I51" s="214">
        <v>1.0</v>
      </c>
    </row>
    <row r="52">
      <c r="A52" s="210" t="s">
        <v>321</v>
      </c>
      <c r="B52" s="211">
        <v>5.0</v>
      </c>
      <c r="C52" s="212">
        <v>20.0</v>
      </c>
      <c r="D52" s="211">
        <v>2.0</v>
      </c>
      <c r="E52" s="212">
        <v>1.6</v>
      </c>
      <c r="F52" s="201">
        <f t="shared" si="1"/>
        <v>1.6</v>
      </c>
      <c r="G52" s="212">
        <v>0.0</v>
      </c>
      <c r="H52" s="202">
        <f t="shared" si="2"/>
        <v>0</v>
      </c>
      <c r="I52" s="214">
        <v>1.0</v>
      </c>
    </row>
    <row r="53">
      <c r="A53" s="210" t="s">
        <v>311</v>
      </c>
      <c r="B53" s="211">
        <v>6.0</v>
      </c>
      <c r="C53" s="212">
        <v>23.0</v>
      </c>
      <c r="D53" s="211">
        <v>2.0</v>
      </c>
      <c r="E53" s="212">
        <v>1.33</v>
      </c>
      <c r="F53" s="201">
        <f t="shared" si="1"/>
        <v>1.387826087</v>
      </c>
      <c r="G53" s="212">
        <v>0.0</v>
      </c>
      <c r="H53" s="202">
        <f t="shared" si="2"/>
        <v>0</v>
      </c>
      <c r="I53" s="214">
        <v>1.0</v>
      </c>
    </row>
    <row r="54">
      <c r="A54" s="210" t="s">
        <v>325</v>
      </c>
      <c r="B54" s="211">
        <v>6.0</v>
      </c>
      <c r="C54" s="212">
        <v>24.0</v>
      </c>
      <c r="D54" s="211">
        <v>2.0</v>
      </c>
      <c r="E54" s="212">
        <v>1.33</v>
      </c>
      <c r="F54" s="201">
        <f t="shared" si="1"/>
        <v>1.33</v>
      </c>
      <c r="G54" s="212">
        <v>0.0</v>
      </c>
      <c r="H54" s="202">
        <f t="shared" si="2"/>
        <v>0</v>
      </c>
      <c r="I54" s="214">
        <v>1.0</v>
      </c>
    </row>
    <row r="55">
      <c r="A55" s="210" t="s">
        <v>337</v>
      </c>
      <c r="B55" s="211">
        <v>3.0</v>
      </c>
      <c r="C55" s="212">
        <v>12.0</v>
      </c>
      <c r="D55" s="211">
        <v>1.0</v>
      </c>
      <c r="E55" s="212">
        <v>1.33</v>
      </c>
      <c r="F55" s="201">
        <f t="shared" si="1"/>
        <v>1.33</v>
      </c>
      <c r="G55" s="212">
        <v>0.0</v>
      </c>
      <c r="H55" s="202">
        <f t="shared" si="2"/>
        <v>0</v>
      </c>
      <c r="I55" s="214">
        <v>1.0</v>
      </c>
    </row>
    <row r="56">
      <c r="A56" s="210" t="s">
        <v>307</v>
      </c>
      <c r="B56" s="211">
        <v>6.0</v>
      </c>
      <c r="C56" s="212">
        <v>24.0</v>
      </c>
      <c r="D56" s="211">
        <v>2.0</v>
      </c>
      <c r="E56" s="212">
        <v>1.33</v>
      </c>
      <c r="F56" s="201">
        <f t="shared" si="1"/>
        <v>1.33</v>
      </c>
      <c r="G56" s="212">
        <v>0.0</v>
      </c>
      <c r="H56" s="202">
        <f t="shared" si="2"/>
        <v>0</v>
      </c>
      <c r="I56" s="214">
        <v>1.0</v>
      </c>
    </row>
    <row r="57">
      <c r="A57" s="210" t="s">
        <v>357</v>
      </c>
      <c r="B57" s="211">
        <v>6.0</v>
      </c>
      <c r="C57" s="212">
        <v>24.0</v>
      </c>
      <c r="D57" s="211">
        <v>2.0</v>
      </c>
      <c r="E57" s="212">
        <v>1.33</v>
      </c>
      <c r="F57" s="201">
        <f t="shared" si="1"/>
        <v>1.33</v>
      </c>
      <c r="G57" s="212">
        <v>0.0</v>
      </c>
      <c r="H57" s="202">
        <f t="shared" si="2"/>
        <v>0</v>
      </c>
      <c r="I57" s="214">
        <v>1.0</v>
      </c>
    </row>
    <row r="58">
      <c r="A58" s="210" t="s">
        <v>314</v>
      </c>
      <c r="B58" s="211">
        <v>3.0</v>
      </c>
      <c r="C58" s="212">
        <v>12.0</v>
      </c>
      <c r="D58" s="211">
        <v>1.0</v>
      </c>
      <c r="E58" s="212">
        <v>1.33</v>
      </c>
      <c r="F58" s="201">
        <f t="shared" si="1"/>
        <v>1.33</v>
      </c>
      <c r="G58" s="212">
        <v>0.0</v>
      </c>
      <c r="H58" s="202">
        <f t="shared" si="2"/>
        <v>0</v>
      </c>
      <c r="I58" s="214">
        <v>1.0</v>
      </c>
    </row>
    <row r="59">
      <c r="A59" s="210" t="s">
        <v>350</v>
      </c>
      <c r="B59" s="211">
        <v>6.0</v>
      </c>
      <c r="C59" s="212">
        <v>24.0</v>
      </c>
      <c r="D59" s="211">
        <v>2.0</v>
      </c>
      <c r="E59" s="212">
        <v>1.33</v>
      </c>
      <c r="F59" s="201">
        <f t="shared" si="1"/>
        <v>1.33</v>
      </c>
      <c r="G59" s="212">
        <v>0.0</v>
      </c>
      <c r="H59" s="202">
        <f t="shared" si="2"/>
        <v>0</v>
      </c>
      <c r="I59" s="214">
        <v>1.0</v>
      </c>
    </row>
    <row r="60">
      <c r="A60" s="210" t="s">
        <v>352</v>
      </c>
      <c r="B60" s="211">
        <v>3.0</v>
      </c>
      <c r="C60" s="212">
        <v>12.0</v>
      </c>
      <c r="D60" s="211">
        <v>1.0</v>
      </c>
      <c r="E60" s="212">
        <v>1.33</v>
      </c>
      <c r="F60" s="201">
        <f t="shared" si="1"/>
        <v>1.33</v>
      </c>
      <c r="G60" s="212">
        <v>0.0</v>
      </c>
      <c r="H60" s="202">
        <f t="shared" si="2"/>
        <v>0</v>
      </c>
      <c r="I60" s="214">
        <v>1.0</v>
      </c>
    </row>
    <row r="61">
      <c r="A61" s="210" t="s">
        <v>369</v>
      </c>
      <c r="B61" s="211">
        <v>6.0</v>
      </c>
      <c r="C61" s="212">
        <v>25.0</v>
      </c>
      <c r="D61" s="211">
        <v>2.0</v>
      </c>
      <c r="E61" s="212">
        <v>1.33</v>
      </c>
      <c r="F61" s="201">
        <f t="shared" si="1"/>
        <v>1.2768</v>
      </c>
      <c r="G61" s="212">
        <v>0.0</v>
      </c>
      <c r="H61" s="202">
        <f t="shared" si="2"/>
        <v>0</v>
      </c>
      <c r="I61" s="214">
        <v>1.0</v>
      </c>
    </row>
    <row r="62">
      <c r="A62" s="210" t="s">
        <v>389</v>
      </c>
      <c r="B62" s="211">
        <v>4.0</v>
      </c>
      <c r="C62" s="212">
        <v>16.0</v>
      </c>
      <c r="D62" s="211">
        <v>1.0</v>
      </c>
      <c r="E62" s="212">
        <v>1.0</v>
      </c>
      <c r="F62" s="201">
        <f t="shared" si="1"/>
        <v>1</v>
      </c>
      <c r="G62" s="212">
        <v>0.0</v>
      </c>
      <c r="H62" s="202">
        <f t="shared" si="2"/>
        <v>0</v>
      </c>
      <c r="I62" s="214">
        <v>1.0</v>
      </c>
    </row>
    <row r="63">
      <c r="A63" s="210" t="s">
        <v>347</v>
      </c>
      <c r="B63" s="211">
        <v>5.0</v>
      </c>
      <c r="C63" s="212">
        <v>20.0</v>
      </c>
      <c r="D63" s="211">
        <v>1.0</v>
      </c>
      <c r="E63" s="212">
        <v>0.8</v>
      </c>
      <c r="F63" s="201">
        <f t="shared" si="1"/>
        <v>0.8</v>
      </c>
      <c r="G63" s="212">
        <v>0.0</v>
      </c>
      <c r="H63" s="202">
        <f t="shared" si="2"/>
        <v>0</v>
      </c>
      <c r="I63" s="214">
        <v>1.0</v>
      </c>
    </row>
    <row r="64">
      <c r="A64" s="210" t="s">
        <v>330</v>
      </c>
      <c r="B64" s="211">
        <v>5.0</v>
      </c>
      <c r="C64" s="212">
        <v>20.0</v>
      </c>
      <c r="D64" s="211">
        <v>3.0</v>
      </c>
      <c r="E64" s="212">
        <v>0.8</v>
      </c>
      <c r="F64" s="201">
        <f t="shared" si="1"/>
        <v>0.8</v>
      </c>
      <c r="G64" s="212">
        <v>0.0</v>
      </c>
      <c r="H64" s="202">
        <f t="shared" si="2"/>
        <v>0</v>
      </c>
      <c r="I64" s="214">
        <v>0.333</v>
      </c>
    </row>
    <row r="65">
      <c r="A65" s="210" t="s">
        <v>363</v>
      </c>
      <c r="B65" s="211">
        <v>5.0</v>
      </c>
      <c r="C65" s="212">
        <v>21.0</v>
      </c>
      <c r="D65" s="211">
        <v>1.0</v>
      </c>
      <c r="E65" s="212">
        <v>0.8</v>
      </c>
      <c r="F65" s="201">
        <f t="shared" si="1"/>
        <v>0.7619047619</v>
      </c>
      <c r="G65" s="212">
        <v>0.0</v>
      </c>
      <c r="H65" s="202">
        <f t="shared" si="2"/>
        <v>0</v>
      </c>
      <c r="I65" s="214">
        <v>1.0</v>
      </c>
    </row>
    <row r="66">
      <c r="A66" s="210" t="s">
        <v>298</v>
      </c>
      <c r="B66" s="211">
        <v>6.0</v>
      </c>
      <c r="C66" s="212">
        <v>23.0</v>
      </c>
      <c r="D66" s="211">
        <v>2.0</v>
      </c>
      <c r="E66" s="212">
        <v>0.67</v>
      </c>
      <c r="F66" s="201">
        <f t="shared" si="1"/>
        <v>0.6991304348</v>
      </c>
      <c r="G66" s="212">
        <v>0.0</v>
      </c>
      <c r="H66" s="202">
        <f t="shared" si="2"/>
        <v>0</v>
      </c>
      <c r="I66" s="214">
        <v>0.5</v>
      </c>
    </row>
    <row r="67">
      <c r="A67" s="210" t="s">
        <v>355</v>
      </c>
      <c r="B67" s="211">
        <v>6.0</v>
      </c>
      <c r="C67" s="212">
        <v>24.0</v>
      </c>
      <c r="D67" s="211">
        <v>1.0</v>
      </c>
      <c r="E67" s="212">
        <v>0.67</v>
      </c>
      <c r="F67" s="201">
        <f t="shared" si="1"/>
        <v>0.67</v>
      </c>
      <c r="G67" s="212">
        <v>0.0</v>
      </c>
      <c r="H67" s="202">
        <f t="shared" si="2"/>
        <v>0</v>
      </c>
      <c r="I67" s="214">
        <v>1.0</v>
      </c>
    </row>
    <row r="68">
      <c r="A68" s="210" t="s">
        <v>300</v>
      </c>
      <c r="B68" s="211">
        <v>6.0</v>
      </c>
      <c r="C68" s="212">
        <v>24.0</v>
      </c>
      <c r="D68" s="211">
        <v>1.0</v>
      </c>
      <c r="E68" s="212">
        <v>0.67</v>
      </c>
      <c r="F68" s="201">
        <f t="shared" si="1"/>
        <v>0.67</v>
      </c>
      <c r="G68" s="212">
        <v>0.0</v>
      </c>
      <c r="H68" s="202">
        <f t="shared" si="2"/>
        <v>0</v>
      </c>
      <c r="I68" s="214">
        <v>1.0</v>
      </c>
    </row>
    <row r="69">
      <c r="A69" s="210" t="s">
        <v>326</v>
      </c>
      <c r="B69" s="211">
        <v>6.0</v>
      </c>
      <c r="C69" s="212">
        <v>24.0</v>
      </c>
      <c r="D69" s="211">
        <v>1.0</v>
      </c>
      <c r="E69" s="212">
        <v>0.67</v>
      </c>
      <c r="F69" s="201">
        <f t="shared" si="1"/>
        <v>0.67</v>
      </c>
      <c r="G69" s="212">
        <v>0.0</v>
      </c>
      <c r="H69" s="202">
        <f t="shared" si="2"/>
        <v>0</v>
      </c>
      <c r="I69" s="214">
        <v>1.0</v>
      </c>
    </row>
    <row r="70">
      <c r="A70" s="210" t="s">
        <v>313</v>
      </c>
      <c r="B70" s="211">
        <v>6.0</v>
      </c>
      <c r="C70" s="212">
        <v>24.0</v>
      </c>
      <c r="D70" s="211">
        <v>1.0</v>
      </c>
      <c r="E70" s="212">
        <v>0.67</v>
      </c>
      <c r="F70" s="201">
        <f t="shared" si="1"/>
        <v>0.67</v>
      </c>
      <c r="G70" s="212">
        <v>0.0</v>
      </c>
      <c r="H70" s="202">
        <f t="shared" si="2"/>
        <v>0</v>
      </c>
      <c r="I70" s="214">
        <v>1.0</v>
      </c>
    </row>
    <row r="71">
      <c r="A71" s="210" t="s">
        <v>332</v>
      </c>
      <c r="B71" s="211">
        <v>6.0</v>
      </c>
      <c r="C71" s="212">
        <v>24.0</v>
      </c>
      <c r="D71" s="211">
        <v>1.0</v>
      </c>
      <c r="E71" s="212">
        <v>0.67</v>
      </c>
      <c r="F71" s="201">
        <f t="shared" si="1"/>
        <v>0.67</v>
      </c>
      <c r="G71" s="212">
        <v>0.0</v>
      </c>
      <c r="H71" s="202">
        <f t="shared" si="2"/>
        <v>0</v>
      </c>
      <c r="I71" s="214">
        <v>1.0</v>
      </c>
    </row>
    <row r="72">
      <c r="A72" s="210" t="s">
        <v>359</v>
      </c>
      <c r="B72" s="211">
        <v>6.0</v>
      </c>
      <c r="C72" s="212">
        <v>25.0</v>
      </c>
      <c r="D72" s="211">
        <v>1.0</v>
      </c>
      <c r="E72" s="212">
        <v>0.67</v>
      </c>
      <c r="F72" s="201">
        <f t="shared" si="1"/>
        <v>0.6432</v>
      </c>
      <c r="G72" s="212">
        <v>0.0</v>
      </c>
      <c r="H72" s="202">
        <f t="shared" si="2"/>
        <v>0</v>
      </c>
      <c r="I72" s="214">
        <v>1.0</v>
      </c>
    </row>
    <row r="73">
      <c r="A73" s="210" t="s">
        <v>318</v>
      </c>
      <c r="B73" s="211">
        <v>6.0</v>
      </c>
      <c r="C73" s="212">
        <v>25.0</v>
      </c>
      <c r="D73" s="211">
        <v>1.0</v>
      </c>
      <c r="E73" s="212">
        <v>0.67</v>
      </c>
      <c r="F73" s="201">
        <f t="shared" si="1"/>
        <v>0.6432</v>
      </c>
      <c r="G73" s="212">
        <v>0.0</v>
      </c>
      <c r="H73" s="202">
        <f t="shared" si="2"/>
        <v>0</v>
      </c>
      <c r="I73" s="214">
        <v>1.0</v>
      </c>
    </row>
    <row r="74">
      <c r="A74" s="210" t="s">
        <v>366</v>
      </c>
      <c r="B74" s="211">
        <v>6.0</v>
      </c>
      <c r="C74" s="212">
        <v>24.0</v>
      </c>
      <c r="D74" s="211">
        <v>7.0</v>
      </c>
      <c r="E74" s="212">
        <v>0.0</v>
      </c>
      <c r="F74" s="201">
        <f t="shared" si="1"/>
        <v>0</v>
      </c>
      <c r="G74" s="212">
        <v>0.33</v>
      </c>
      <c r="H74" s="202">
        <f t="shared" si="2"/>
        <v>1.98</v>
      </c>
      <c r="I74" s="214">
        <v>0.286</v>
      </c>
    </row>
    <row r="75">
      <c r="A75" s="210" t="s">
        <v>382</v>
      </c>
      <c r="B75" s="211">
        <v>6.0</v>
      </c>
      <c r="C75" s="212">
        <v>24.0</v>
      </c>
      <c r="D75" s="211">
        <v>2.0</v>
      </c>
      <c r="E75" s="212">
        <v>0.0</v>
      </c>
      <c r="F75" s="201">
        <f t="shared" si="1"/>
        <v>0</v>
      </c>
      <c r="G75" s="212">
        <v>0.17</v>
      </c>
      <c r="H75" s="202">
        <f t="shared" si="2"/>
        <v>1.02</v>
      </c>
      <c r="I75" s="214">
        <v>0.5</v>
      </c>
    </row>
    <row r="76">
      <c r="A76" s="210" t="s">
        <v>293</v>
      </c>
      <c r="B76" s="211">
        <v>6.0</v>
      </c>
      <c r="C76" s="212">
        <v>24.0</v>
      </c>
      <c r="D76" s="211">
        <v>3.0</v>
      </c>
      <c r="E76" s="212">
        <v>0.0</v>
      </c>
      <c r="F76" s="201">
        <f t="shared" si="1"/>
        <v>0</v>
      </c>
      <c r="G76" s="212">
        <v>0.17</v>
      </c>
      <c r="H76" s="202">
        <f t="shared" si="2"/>
        <v>1.02</v>
      </c>
      <c r="I76" s="214">
        <v>0.333</v>
      </c>
    </row>
    <row r="77">
      <c r="A77" s="210" t="s">
        <v>312</v>
      </c>
      <c r="B77" s="211">
        <v>6.0</v>
      </c>
      <c r="C77" s="212">
        <v>24.0</v>
      </c>
      <c r="D77" s="211">
        <v>4.0</v>
      </c>
      <c r="E77" s="212">
        <v>0.0</v>
      </c>
      <c r="F77" s="201">
        <f t="shared" si="1"/>
        <v>0</v>
      </c>
      <c r="G77" s="212">
        <v>0.17</v>
      </c>
      <c r="H77" s="202">
        <f t="shared" si="2"/>
        <v>1.02</v>
      </c>
      <c r="I77" s="214">
        <v>0.25</v>
      </c>
    </row>
    <row r="78">
      <c r="A78" s="210" t="s">
        <v>392</v>
      </c>
      <c r="B78" s="211">
        <v>3.0</v>
      </c>
      <c r="C78" s="212">
        <v>13.0</v>
      </c>
      <c r="D78" s="211">
        <v>3.0</v>
      </c>
      <c r="E78" s="212">
        <v>0.0</v>
      </c>
      <c r="F78" s="201">
        <f t="shared" si="1"/>
        <v>0</v>
      </c>
      <c r="G78" s="212">
        <v>0.33</v>
      </c>
      <c r="H78" s="202">
        <f t="shared" si="2"/>
        <v>0.99</v>
      </c>
      <c r="I78" s="214">
        <v>0.333</v>
      </c>
    </row>
    <row r="79">
      <c r="A79" s="210" t="s">
        <v>303</v>
      </c>
      <c r="B79" s="211">
        <v>6.0</v>
      </c>
      <c r="C79" s="212">
        <v>24.0</v>
      </c>
      <c r="D79" s="211">
        <v>0.0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14">
        <v>0.0</v>
      </c>
    </row>
    <row r="80">
      <c r="A80" s="210" t="s">
        <v>336</v>
      </c>
      <c r="B80" s="211">
        <v>3.0</v>
      </c>
      <c r="C80" s="212">
        <v>12.0</v>
      </c>
      <c r="D80" s="211">
        <v>0.0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14">
        <v>0.0</v>
      </c>
    </row>
    <row r="81">
      <c r="A81" s="210" t="s">
        <v>383</v>
      </c>
      <c r="B81" s="211">
        <v>6.0</v>
      </c>
      <c r="C81" s="212">
        <v>24.0</v>
      </c>
      <c r="D81" s="211">
        <v>2.0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14">
        <v>0.0</v>
      </c>
    </row>
    <row r="82">
      <c r="A82" s="210" t="s">
        <v>390</v>
      </c>
      <c r="B82" s="211">
        <v>4.0</v>
      </c>
      <c r="C82" s="212">
        <v>17.0</v>
      </c>
      <c r="D82" s="211">
        <v>0.0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14">
        <v>0.0</v>
      </c>
    </row>
    <row r="83">
      <c r="A83" s="210" t="s">
        <v>393</v>
      </c>
      <c r="B83" s="211">
        <v>4.0</v>
      </c>
      <c r="C83" s="212">
        <v>17.0</v>
      </c>
      <c r="D83" s="211">
        <v>0.0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14">
        <v>0.0</v>
      </c>
    </row>
    <row r="84">
      <c r="A84" s="210" t="s">
        <v>385</v>
      </c>
      <c r="B84" s="211">
        <v>5.0</v>
      </c>
      <c r="C84" s="212">
        <v>20.0</v>
      </c>
      <c r="D84" s="211">
        <v>0.0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14">
        <v>0.0</v>
      </c>
    </row>
    <row r="85">
      <c r="A85" s="210" t="s">
        <v>391</v>
      </c>
      <c r="B85" s="211">
        <v>6.0</v>
      </c>
      <c r="C85" s="212">
        <v>24.0</v>
      </c>
      <c r="D85" s="211">
        <v>0.0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14">
        <v>0.0</v>
      </c>
    </row>
    <row r="86">
      <c r="A86" s="210" t="s">
        <v>342</v>
      </c>
      <c r="B86" s="211">
        <v>6.0</v>
      </c>
      <c r="C86" s="212">
        <v>24.0</v>
      </c>
      <c r="D86" s="211">
        <v>0.0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14">
        <v>0.0</v>
      </c>
    </row>
    <row r="87">
      <c r="A87" s="210" t="s">
        <v>379</v>
      </c>
      <c r="B87" s="211">
        <v>6.0</v>
      </c>
      <c r="C87" s="212">
        <v>23.0</v>
      </c>
      <c r="D87" s="211">
        <v>0.0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14">
        <v>0.0</v>
      </c>
    </row>
    <row r="88">
      <c r="A88" s="210" t="s">
        <v>322</v>
      </c>
      <c r="B88" s="211">
        <v>5.0</v>
      </c>
      <c r="C88" s="212">
        <v>21.0</v>
      </c>
      <c r="D88" s="211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14">
        <v>0.0</v>
      </c>
    </row>
    <row r="89">
      <c r="A89" s="210" t="s">
        <v>338</v>
      </c>
      <c r="B89" s="211">
        <v>1.0</v>
      </c>
      <c r="C89" s="212">
        <v>4.0</v>
      </c>
      <c r="D89" s="211">
        <v>0.0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14">
        <v>0.0</v>
      </c>
    </row>
    <row r="90">
      <c r="A90" s="210" t="s">
        <v>304</v>
      </c>
      <c r="B90" s="211">
        <v>6.0</v>
      </c>
      <c r="C90" s="212">
        <v>24.0</v>
      </c>
      <c r="D90" s="211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14">
        <v>0.0</v>
      </c>
    </row>
    <row r="91">
      <c r="A91" s="210" t="s">
        <v>358</v>
      </c>
      <c r="B91" s="211">
        <v>6.0</v>
      </c>
      <c r="C91" s="212">
        <v>24.0</v>
      </c>
      <c r="D91" s="211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14">
        <v>0.0</v>
      </c>
    </row>
    <row r="92">
      <c r="A92" s="210" t="s">
        <v>354</v>
      </c>
      <c r="B92" s="211">
        <v>4.0</v>
      </c>
      <c r="C92" s="212">
        <v>15.0</v>
      </c>
      <c r="D92" s="211">
        <v>0.0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14">
        <v>0.0</v>
      </c>
    </row>
    <row r="93">
      <c r="A93" s="210" t="s">
        <v>344</v>
      </c>
      <c r="B93" s="211">
        <v>5.0</v>
      </c>
      <c r="C93" s="212">
        <v>20.0</v>
      </c>
      <c r="D93" s="211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14">
        <v>0.0</v>
      </c>
    </row>
    <row r="94">
      <c r="A94" s="210" t="s">
        <v>362</v>
      </c>
      <c r="B94" s="211">
        <v>5.0</v>
      </c>
      <c r="C94" s="212">
        <v>20.0</v>
      </c>
      <c r="D94" s="211">
        <v>0.0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14">
        <v>0.0</v>
      </c>
    </row>
    <row r="95">
      <c r="A95" s="210" t="s">
        <v>360</v>
      </c>
      <c r="B95" s="211">
        <v>2.0</v>
      </c>
      <c r="C95" s="212">
        <v>8.0</v>
      </c>
      <c r="D95" s="211">
        <v>0.0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14">
        <v>0.0</v>
      </c>
    </row>
    <row r="96">
      <c r="A96" s="210" t="s">
        <v>380</v>
      </c>
      <c r="B96" s="211">
        <v>4.0</v>
      </c>
      <c r="C96" s="212">
        <v>16.0</v>
      </c>
      <c r="D96" s="211">
        <v>1.0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14">
        <v>0.0</v>
      </c>
    </row>
    <row r="97">
      <c r="A97" s="210" t="s">
        <v>367</v>
      </c>
      <c r="B97" s="211">
        <v>4.0</v>
      </c>
      <c r="C97" s="212">
        <v>17.0</v>
      </c>
      <c r="D97" s="211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14">
        <v>0.0</v>
      </c>
    </row>
    <row r="98">
      <c r="A98" s="210" t="s">
        <v>375</v>
      </c>
      <c r="B98" s="211">
        <v>6.0</v>
      </c>
      <c r="C98" s="212">
        <v>25.0</v>
      </c>
      <c r="D98" s="211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14">
        <v>0.0</v>
      </c>
    </row>
    <row r="99">
      <c r="A99" s="210" t="s">
        <v>290</v>
      </c>
      <c r="B99" s="211">
        <v>6.0</v>
      </c>
      <c r="C99" s="212">
        <v>23.0</v>
      </c>
      <c r="D99" s="211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14">
        <v>0.0</v>
      </c>
    </row>
    <row r="100">
      <c r="A100" s="210" t="s">
        <v>364</v>
      </c>
      <c r="B100" s="211">
        <v>6.0</v>
      </c>
      <c r="C100" s="212">
        <v>22.0</v>
      </c>
      <c r="D100" s="211">
        <v>0.0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14">
        <v>0.0</v>
      </c>
    </row>
    <row r="101">
      <c r="A101" s="210" t="s">
        <v>339</v>
      </c>
      <c r="B101" s="211">
        <v>5.0</v>
      </c>
      <c r="C101" s="212">
        <v>20.0</v>
      </c>
      <c r="D101" s="211">
        <v>0.0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14">
        <v>0.0</v>
      </c>
    </row>
    <row r="102">
      <c r="A102" s="210" t="s">
        <v>356</v>
      </c>
      <c r="B102" s="211">
        <v>6.0</v>
      </c>
      <c r="C102" s="212">
        <v>24.0</v>
      </c>
      <c r="D102" s="211">
        <v>0.0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14">
        <v>0.0</v>
      </c>
    </row>
    <row r="103">
      <c r="A103" s="210" t="s">
        <v>310</v>
      </c>
      <c r="B103" s="211">
        <v>6.0</v>
      </c>
      <c r="C103" s="212">
        <v>23.0</v>
      </c>
      <c r="D103" s="211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14">
        <v>0.0</v>
      </c>
    </row>
    <row r="104">
      <c r="A104" s="210" t="s">
        <v>365</v>
      </c>
      <c r="B104" s="211">
        <v>6.0</v>
      </c>
      <c r="C104" s="212">
        <v>23.0</v>
      </c>
      <c r="D104" s="211">
        <v>0.0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14">
        <v>0.0</v>
      </c>
    </row>
    <row r="105">
      <c r="A105" s="210" t="s">
        <v>394</v>
      </c>
      <c r="B105" s="211">
        <v>5.0</v>
      </c>
      <c r="C105" s="212">
        <v>20.0</v>
      </c>
      <c r="D105" s="211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14">
        <v>0.0</v>
      </c>
    </row>
    <row r="106">
      <c r="A106" s="210" t="s">
        <v>327</v>
      </c>
      <c r="B106" s="211">
        <v>6.0</v>
      </c>
      <c r="C106" s="212">
        <v>24.0</v>
      </c>
      <c r="D106" s="211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14">
        <v>0.0</v>
      </c>
    </row>
    <row r="107">
      <c r="A107" s="210" t="s">
        <v>323</v>
      </c>
      <c r="B107" s="211">
        <v>6.0</v>
      </c>
      <c r="C107" s="212">
        <v>25.0</v>
      </c>
      <c r="D107" s="211">
        <v>1.0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14">
        <v>0.0</v>
      </c>
    </row>
    <row r="108">
      <c r="A108" s="210" t="s">
        <v>371</v>
      </c>
      <c r="B108" s="211">
        <v>4.0</v>
      </c>
      <c r="C108" s="212">
        <v>16.0</v>
      </c>
      <c r="D108" s="211">
        <v>0.0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14">
        <v>0.0</v>
      </c>
    </row>
    <row r="109">
      <c r="A109" s="210" t="s">
        <v>341</v>
      </c>
      <c r="B109" s="211">
        <v>5.0</v>
      </c>
      <c r="C109" s="212">
        <v>20.0</v>
      </c>
      <c r="D109" s="211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14">
        <v>0.0</v>
      </c>
    </row>
    <row r="110">
      <c r="A110" s="210" t="s">
        <v>315</v>
      </c>
      <c r="B110" s="211">
        <v>6.0</v>
      </c>
      <c r="C110" s="212">
        <v>23.0</v>
      </c>
      <c r="D110" s="211">
        <v>0.0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14">
        <v>0.0</v>
      </c>
    </row>
    <row r="111">
      <c r="A111" s="210" t="s">
        <v>368</v>
      </c>
      <c r="B111" s="211">
        <v>4.0</v>
      </c>
      <c r="C111" s="212">
        <v>15.0</v>
      </c>
      <c r="D111" s="211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14">
        <v>0.0</v>
      </c>
    </row>
    <row r="112">
      <c r="A112" s="210" t="s">
        <v>308</v>
      </c>
      <c r="B112" s="211">
        <v>5.0</v>
      </c>
      <c r="C112" s="212">
        <v>20.0</v>
      </c>
      <c r="D112" s="211">
        <v>0.0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14">
        <v>0.0</v>
      </c>
    </row>
    <row r="113">
      <c r="A113" s="210" t="s">
        <v>302</v>
      </c>
      <c r="B113" s="211">
        <v>6.0</v>
      </c>
      <c r="C113" s="212">
        <v>24.0</v>
      </c>
      <c r="D113" s="211">
        <v>0.0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14">
        <v>0.0</v>
      </c>
    </row>
    <row r="114">
      <c r="A114" s="210" t="s">
        <v>395</v>
      </c>
      <c r="B114" s="211">
        <v>5.0</v>
      </c>
      <c r="C114" s="212">
        <v>20.0</v>
      </c>
      <c r="D114" s="211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14">
        <v>0.0</v>
      </c>
    </row>
    <row r="115">
      <c r="A115" s="210" t="s">
        <v>401</v>
      </c>
      <c r="B115" s="211">
        <v>1.0</v>
      </c>
      <c r="C115" s="212">
        <v>4.0</v>
      </c>
      <c r="D115" s="211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14">
        <v>0.0</v>
      </c>
    </row>
    <row r="116">
      <c r="A116" s="210" t="s">
        <v>348</v>
      </c>
      <c r="B116" s="211">
        <v>4.0</v>
      </c>
      <c r="C116" s="212">
        <v>15.0</v>
      </c>
      <c r="D116" s="211">
        <v>0.0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14">
        <v>0.0</v>
      </c>
    </row>
    <row r="117">
      <c r="A117" s="210" t="s">
        <v>346</v>
      </c>
      <c r="B117" s="211">
        <v>5.0</v>
      </c>
      <c r="C117" s="212">
        <v>20.0</v>
      </c>
      <c r="D117" s="211">
        <v>0.0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14">
        <v>0.0</v>
      </c>
    </row>
    <row r="118">
      <c r="A118" s="210" t="s">
        <v>381</v>
      </c>
      <c r="B118" s="211">
        <v>3.0</v>
      </c>
      <c r="C118" s="212">
        <v>12.0</v>
      </c>
      <c r="D118" s="211">
        <v>0.0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14">
        <v>0.0</v>
      </c>
    </row>
    <row r="119">
      <c r="A119" s="210" t="s">
        <v>297</v>
      </c>
      <c r="B119" s="211">
        <v>5.0</v>
      </c>
      <c r="C119" s="212">
        <v>21.0</v>
      </c>
      <c r="D119" s="211">
        <v>0.0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14">
        <v>0.0</v>
      </c>
    </row>
    <row r="120">
      <c r="A120" s="210" t="s">
        <v>376</v>
      </c>
      <c r="B120" s="211">
        <v>2.0</v>
      </c>
      <c r="C120" s="212">
        <v>8.0</v>
      </c>
      <c r="D120" s="211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14">
        <v>0.0</v>
      </c>
    </row>
    <row r="121">
      <c r="A121" s="210" t="s">
        <v>398</v>
      </c>
      <c r="B121" s="211">
        <v>3.0</v>
      </c>
      <c r="C121" s="212">
        <v>12.0</v>
      </c>
      <c r="D121" s="211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14">
        <v>0.0</v>
      </c>
    </row>
    <row r="122">
      <c r="A122" s="210" t="s">
        <v>377</v>
      </c>
      <c r="B122" s="211">
        <v>1.0</v>
      </c>
      <c r="C122" s="212">
        <v>4.0</v>
      </c>
      <c r="D122" s="211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14">
        <v>0.0</v>
      </c>
    </row>
    <row r="123">
      <c r="A123" s="210" t="s">
        <v>397</v>
      </c>
      <c r="B123" s="211">
        <v>2.0</v>
      </c>
      <c r="C123" s="212">
        <v>8.0</v>
      </c>
      <c r="D123" s="211">
        <v>0.0</v>
      </c>
      <c r="E123" s="212">
        <v>0.0</v>
      </c>
      <c r="F123" s="201">
        <f t="shared" si="1"/>
        <v>0</v>
      </c>
      <c r="G123" s="212">
        <v>0.0</v>
      </c>
      <c r="H123" s="202">
        <f t="shared" si="2"/>
        <v>0</v>
      </c>
      <c r="I123" s="214">
        <v>0.0</v>
      </c>
    </row>
    <row r="124">
      <c r="A124" s="210" t="s">
        <v>388</v>
      </c>
      <c r="B124" s="211">
        <v>4.0</v>
      </c>
      <c r="C124" s="212">
        <v>16.0</v>
      </c>
      <c r="D124" s="211">
        <v>0.0</v>
      </c>
      <c r="E124" s="212">
        <v>0.0</v>
      </c>
      <c r="F124" s="201">
        <f t="shared" si="1"/>
        <v>0</v>
      </c>
      <c r="G124" s="212">
        <v>0.0</v>
      </c>
      <c r="H124" s="202">
        <f t="shared" si="2"/>
        <v>0</v>
      </c>
      <c r="I124" s="214">
        <v>0.0</v>
      </c>
    </row>
    <row r="125">
      <c r="A125" s="210" t="s">
        <v>402</v>
      </c>
      <c r="B125" s="211">
        <v>1.0</v>
      </c>
      <c r="C125" s="212">
        <v>4.0</v>
      </c>
      <c r="D125" s="211">
        <v>0.0</v>
      </c>
      <c r="E125" s="212">
        <v>0.0</v>
      </c>
      <c r="F125" s="201">
        <f t="shared" si="1"/>
        <v>0</v>
      </c>
      <c r="G125" s="212">
        <v>0.0</v>
      </c>
      <c r="H125" s="202">
        <f t="shared" si="2"/>
        <v>0</v>
      </c>
      <c r="I125" s="214">
        <v>0.0</v>
      </c>
    </row>
    <row r="126">
      <c r="A126" s="210" t="s">
        <v>372</v>
      </c>
      <c r="B126" s="211">
        <v>3.0</v>
      </c>
      <c r="C126" s="212">
        <v>11.0</v>
      </c>
      <c r="D126" s="211">
        <v>0.0</v>
      </c>
      <c r="E126" s="212">
        <v>0.0</v>
      </c>
      <c r="F126" s="201">
        <f t="shared" si="1"/>
        <v>0</v>
      </c>
      <c r="G126" s="212">
        <v>0.0</v>
      </c>
      <c r="H126" s="202">
        <f t="shared" si="2"/>
        <v>0</v>
      </c>
      <c r="I126" s="214">
        <v>0.0</v>
      </c>
    </row>
    <row r="127">
      <c r="A127" s="210" t="s">
        <v>386</v>
      </c>
      <c r="B127" s="211">
        <v>4.0</v>
      </c>
      <c r="C127" s="212">
        <v>15.0</v>
      </c>
      <c r="D127" s="211">
        <v>0.0</v>
      </c>
      <c r="E127" s="212">
        <v>0.0</v>
      </c>
      <c r="F127" s="201">
        <f t="shared" si="1"/>
        <v>0</v>
      </c>
      <c r="G127" s="212">
        <v>0.0</v>
      </c>
      <c r="H127" s="202">
        <f t="shared" si="2"/>
        <v>0</v>
      </c>
      <c r="I127" s="214">
        <v>0.0</v>
      </c>
    </row>
    <row r="128">
      <c r="A128" s="210" t="s">
        <v>400</v>
      </c>
      <c r="B128" s="211">
        <v>2.0</v>
      </c>
      <c r="C128" s="212">
        <v>8.0</v>
      </c>
      <c r="D128" s="211">
        <v>0.0</v>
      </c>
      <c r="E128" s="212">
        <v>0.0</v>
      </c>
      <c r="F128" s="201">
        <f t="shared" si="1"/>
        <v>0</v>
      </c>
      <c r="G128" s="212">
        <v>0.0</v>
      </c>
      <c r="H128" s="202">
        <f t="shared" si="2"/>
        <v>0</v>
      </c>
      <c r="I128" s="214">
        <v>0.0</v>
      </c>
    </row>
    <row r="129">
      <c r="A129" s="210" t="s">
        <v>333</v>
      </c>
      <c r="B129" s="211">
        <v>2.0</v>
      </c>
      <c r="C129" s="212">
        <v>8.0</v>
      </c>
      <c r="D129" s="211">
        <v>0.0</v>
      </c>
      <c r="E129" s="212">
        <v>0.0</v>
      </c>
      <c r="F129" s="201">
        <f t="shared" si="1"/>
        <v>0</v>
      </c>
      <c r="G129" s="212">
        <v>0.0</v>
      </c>
      <c r="H129" s="202">
        <f t="shared" si="2"/>
        <v>0</v>
      </c>
      <c r="I129" s="214">
        <v>0.0</v>
      </c>
    </row>
    <row r="130">
      <c r="A130" s="210" t="s">
        <v>340</v>
      </c>
      <c r="B130" s="211">
        <v>1.0</v>
      </c>
      <c r="C130" s="212">
        <v>4.0</v>
      </c>
      <c r="D130" s="211">
        <v>0.0</v>
      </c>
      <c r="E130" s="212">
        <v>0.0</v>
      </c>
      <c r="F130" s="201">
        <f t="shared" si="1"/>
        <v>0</v>
      </c>
      <c r="G130" s="212">
        <v>0.0</v>
      </c>
      <c r="H130" s="202">
        <f t="shared" si="2"/>
        <v>0</v>
      </c>
      <c r="I130" s="214">
        <v>0.0</v>
      </c>
    </row>
    <row r="131">
      <c r="A131" s="210" t="s">
        <v>306</v>
      </c>
      <c r="B131" s="211">
        <v>6.0</v>
      </c>
      <c r="C131" s="212">
        <v>25.0</v>
      </c>
      <c r="D131" s="211">
        <v>1.0</v>
      </c>
      <c r="E131" s="212">
        <v>-0.67</v>
      </c>
      <c r="F131" s="201">
        <f t="shared" si="1"/>
        <v>-0.6432</v>
      </c>
      <c r="G131" s="212">
        <v>0.17</v>
      </c>
      <c r="H131" s="202">
        <f t="shared" si="2"/>
        <v>1.02</v>
      </c>
      <c r="I131" s="214">
        <v>0.0</v>
      </c>
    </row>
    <row r="132">
      <c r="A132" s="210" t="s">
        <v>399</v>
      </c>
      <c r="B132" s="211">
        <v>2.0</v>
      </c>
      <c r="C132" s="212">
        <v>8.0</v>
      </c>
      <c r="D132" s="211">
        <v>1.0</v>
      </c>
      <c r="E132" s="212">
        <v>-2.0</v>
      </c>
      <c r="F132" s="201">
        <f t="shared" si="1"/>
        <v>-2</v>
      </c>
      <c r="G132" s="212">
        <v>0.5</v>
      </c>
      <c r="H132" s="202">
        <f t="shared" si="2"/>
        <v>1</v>
      </c>
      <c r="I132" s="214">
        <v>0.0</v>
      </c>
    </row>
    <row r="133">
      <c r="A133" s="210"/>
      <c r="B133" s="211"/>
      <c r="C133" s="212"/>
      <c r="D133" s="211"/>
      <c r="E133" s="212"/>
      <c r="F133" s="201"/>
      <c r="G133" s="212"/>
      <c r="H133" s="202"/>
      <c r="I133" s="214"/>
    </row>
    <row r="134">
      <c r="A134" s="210"/>
      <c r="B134" s="211"/>
      <c r="C134" s="212"/>
      <c r="D134" s="211"/>
      <c r="E134" s="212"/>
      <c r="F134" s="201"/>
      <c r="G134" s="212"/>
      <c r="H134" s="202"/>
      <c r="I134" s="214"/>
    </row>
    <row r="135">
      <c r="A135" s="210"/>
      <c r="B135" s="211"/>
      <c r="C135" s="212"/>
      <c r="D135" s="211"/>
      <c r="E135" s="212"/>
      <c r="F135" s="201"/>
      <c r="G135" s="212"/>
      <c r="H135" s="202"/>
      <c r="I135" s="214"/>
    </row>
    <row r="136">
      <c r="A136" s="210"/>
      <c r="B136" s="211"/>
      <c r="C136" s="212"/>
      <c r="D136" s="211"/>
      <c r="E136" s="212"/>
      <c r="F136" s="201"/>
      <c r="G136" s="212"/>
      <c r="H136" s="202"/>
      <c r="I136" s="214"/>
    </row>
    <row r="137">
      <c r="A137" s="210"/>
      <c r="B137" s="211"/>
      <c r="C137" s="212"/>
      <c r="D137" s="211"/>
      <c r="E137" s="212"/>
      <c r="F137" s="201"/>
      <c r="G137" s="212"/>
      <c r="H137" s="202"/>
      <c r="I137" s="214"/>
    </row>
    <row r="138">
      <c r="A138" s="210"/>
      <c r="B138" s="211"/>
      <c r="C138" s="212"/>
      <c r="D138" s="211"/>
      <c r="E138" s="212"/>
      <c r="F138" s="201"/>
      <c r="G138" s="212"/>
      <c r="H138" s="202"/>
      <c r="I138" s="214"/>
    </row>
    <row r="139">
      <c r="A139" s="210"/>
      <c r="B139" s="211"/>
      <c r="C139" s="212"/>
      <c r="D139" s="211"/>
      <c r="E139" s="212"/>
      <c r="F139" s="201"/>
      <c r="G139" s="212"/>
      <c r="H139" s="202"/>
      <c r="I139" s="214"/>
    </row>
  </sheetData>
  <hyperlinks>
    <hyperlink display="Catstats Hub" location="'Catstats Hub'!A1" ref="A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193" t="s">
        <v>263</v>
      </c>
      <c r="B1" s="194" t="s">
        <v>264</v>
      </c>
      <c r="C1" s="195" t="s">
        <v>265</v>
      </c>
      <c r="D1" s="194" t="s">
        <v>266</v>
      </c>
      <c r="E1" s="195" t="s">
        <v>267</v>
      </c>
      <c r="F1" s="196" t="s">
        <v>268</v>
      </c>
      <c r="G1" s="195" t="s">
        <v>269</v>
      </c>
      <c r="H1" s="197" t="s">
        <v>270</v>
      </c>
      <c r="I1" s="198" t="s">
        <v>271</v>
      </c>
    </row>
    <row r="2">
      <c r="A2" s="51" t="s">
        <v>274</v>
      </c>
      <c r="B2" s="199">
        <v>4.0</v>
      </c>
      <c r="C2" s="200">
        <v>92.0</v>
      </c>
      <c r="D2" s="199">
        <v>40.0</v>
      </c>
      <c r="E2" s="200">
        <v>28.0</v>
      </c>
      <c r="F2" s="201">
        <f t="shared" ref="F2:F127" si="1">E2*B2*20/C2</f>
        <v>24.34782609</v>
      </c>
      <c r="G2" s="200">
        <v>0.75</v>
      </c>
      <c r="H2" s="202">
        <f t="shared" ref="H2:H127" si="2">G2*B2</f>
        <v>3</v>
      </c>
      <c r="I2" s="203">
        <v>0.775</v>
      </c>
    </row>
    <row r="3">
      <c r="A3" s="51" t="s">
        <v>299</v>
      </c>
      <c r="B3" s="199">
        <v>4.0</v>
      </c>
      <c r="C3" s="200">
        <v>91.0</v>
      </c>
      <c r="D3" s="199">
        <v>42.0</v>
      </c>
      <c r="E3" s="200">
        <v>22.0</v>
      </c>
      <c r="F3" s="201">
        <f t="shared" si="1"/>
        <v>19.34065934</v>
      </c>
      <c r="G3" s="200">
        <v>1.25</v>
      </c>
      <c r="H3" s="202">
        <f t="shared" si="2"/>
        <v>5</v>
      </c>
      <c r="I3" s="203">
        <v>0.643</v>
      </c>
    </row>
    <row r="4">
      <c r="A4" s="51" t="s">
        <v>335</v>
      </c>
      <c r="B4" s="199">
        <v>1.0</v>
      </c>
      <c r="C4" s="200">
        <v>23.0</v>
      </c>
      <c r="D4" s="199">
        <v>7.0</v>
      </c>
      <c r="E4" s="200">
        <v>20.0</v>
      </c>
      <c r="F4" s="201">
        <f t="shared" si="1"/>
        <v>17.39130435</v>
      </c>
      <c r="G4" s="200">
        <v>1.0</v>
      </c>
      <c r="H4" s="202">
        <f t="shared" si="2"/>
        <v>1</v>
      </c>
      <c r="I4" s="203">
        <v>0.857</v>
      </c>
    </row>
    <row r="5">
      <c r="A5" s="51" t="s">
        <v>278</v>
      </c>
      <c r="B5" s="199">
        <v>3.0</v>
      </c>
      <c r="C5" s="200">
        <v>69.0</v>
      </c>
      <c r="D5" s="199">
        <v>35.0</v>
      </c>
      <c r="E5" s="200">
        <v>18.67</v>
      </c>
      <c r="F5" s="201">
        <f t="shared" si="1"/>
        <v>16.23478261</v>
      </c>
      <c r="G5" s="200">
        <v>1.33</v>
      </c>
      <c r="H5" s="202">
        <f t="shared" si="2"/>
        <v>3.99</v>
      </c>
      <c r="I5" s="203">
        <v>0.514</v>
      </c>
    </row>
    <row r="6">
      <c r="A6" s="51" t="s">
        <v>277</v>
      </c>
      <c r="B6" s="199">
        <v>3.0</v>
      </c>
      <c r="C6" s="200">
        <v>54.0</v>
      </c>
      <c r="D6" s="199">
        <v>20.0</v>
      </c>
      <c r="E6" s="200">
        <v>13.33</v>
      </c>
      <c r="F6" s="201">
        <f t="shared" si="1"/>
        <v>14.81111111</v>
      </c>
      <c r="G6" s="200">
        <v>0.33</v>
      </c>
      <c r="H6" s="202">
        <f t="shared" si="2"/>
        <v>0.99</v>
      </c>
      <c r="I6" s="203">
        <v>0.55</v>
      </c>
    </row>
    <row r="7">
      <c r="A7" s="51" t="s">
        <v>282</v>
      </c>
      <c r="B7" s="199">
        <v>4.0</v>
      </c>
      <c r="C7" s="200">
        <v>92.0</v>
      </c>
      <c r="D7" s="199">
        <v>26.0</v>
      </c>
      <c r="E7" s="200">
        <v>17.0</v>
      </c>
      <c r="F7" s="201">
        <f t="shared" si="1"/>
        <v>14.7826087</v>
      </c>
      <c r="G7" s="200">
        <v>0.25</v>
      </c>
      <c r="H7" s="202">
        <f t="shared" si="2"/>
        <v>1</v>
      </c>
      <c r="I7" s="203">
        <v>0.692</v>
      </c>
    </row>
    <row r="8">
      <c r="A8" s="51" t="s">
        <v>293</v>
      </c>
      <c r="B8" s="199">
        <v>4.0</v>
      </c>
      <c r="C8" s="200">
        <v>92.0</v>
      </c>
      <c r="D8" s="199">
        <v>35.0</v>
      </c>
      <c r="E8" s="200">
        <v>16.0</v>
      </c>
      <c r="F8" s="201">
        <f t="shared" si="1"/>
        <v>13.91304348</v>
      </c>
      <c r="G8" s="200">
        <v>1.5</v>
      </c>
      <c r="H8" s="202">
        <f t="shared" si="2"/>
        <v>6</v>
      </c>
      <c r="I8" s="203">
        <v>0.629</v>
      </c>
    </row>
    <row r="9">
      <c r="A9" s="51" t="s">
        <v>286</v>
      </c>
      <c r="B9" s="199">
        <v>4.0</v>
      </c>
      <c r="C9" s="200">
        <v>92.0</v>
      </c>
      <c r="D9" s="199">
        <v>22.0</v>
      </c>
      <c r="E9" s="200">
        <v>16.0</v>
      </c>
      <c r="F9" s="201">
        <f t="shared" si="1"/>
        <v>13.91304348</v>
      </c>
      <c r="G9" s="200">
        <v>0.0</v>
      </c>
      <c r="H9" s="202">
        <f t="shared" si="2"/>
        <v>0</v>
      </c>
      <c r="I9" s="203">
        <v>0.727</v>
      </c>
    </row>
    <row r="10">
      <c r="A10" s="51" t="s">
        <v>292</v>
      </c>
      <c r="B10" s="199">
        <v>1.0</v>
      </c>
      <c r="C10" s="200">
        <v>23.0</v>
      </c>
      <c r="D10" s="199">
        <v>4.0</v>
      </c>
      <c r="E10" s="200">
        <v>16.0</v>
      </c>
      <c r="F10" s="201">
        <f t="shared" si="1"/>
        <v>13.91304348</v>
      </c>
      <c r="G10" s="200">
        <v>0.0</v>
      </c>
      <c r="H10" s="202">
        <f t="shared" si="2"/>
        <v>0</v>
      </c>
      <c r="I10" s="203">
        <v>1.0</v>
      </c>
    </row>
    <row r="11">
      <c r="A11" s="51" t="s">
        <v>290</v>
      </c>
      <c r="B11" s="199">
        <v>4.0</v>
      </c>
      <c r="C11" s="200">
        <v>92.0</v>
      </c>
      <c r="D11" s="199">
        <v>26.0</v>
      </c>
      <c r="E11" s="200">
        <v>15.0</v>
      </c>
      <c r="F11" s="201">
        <f t="shared" si="1"/>
        <v>13.04347826</v>
      </c>
      <c r="G11" s="200">
        <v>0.75</v>
      </c>
      <c r="H11" s="202">
        <f t="shared" si="2"/>
        <v>3</v>
      </c>
      <c r="I11" s="203">
        <v>0.692</v>
      </c>
    </row>
    <row r="12">
      <c r="A12" s="51" t="s">
        <v>285</v>
      </c>
      <c r="B12" s="199">
        <v>4.0</v>
      </c>
      <c r="C12" s="200">
        <v>92.0</v>
      </c>
      <c r="D12" s="199">
        <v>24.0</v>
      </c>
      <c r="E12" s="200">
        <v>15.0</v>
      </c>
      <c r="F12" s="201">
        <f t="shared" si="1"/>
        <v>13.04347826</v>
      </c>
      <c r="G12" s="200">
        <v>0.5</v>
      </c>
      <c r="H12" s="202">
        <f t="shared" si="2"/>
        <v>2</v>
      </c>
      <c r="I12" s="203">
        <v>0.708</v>
      </c>
    </row>
    <row r="13">
      <c r="A13" s="51" t="s">
        <v>303</v>
      </c>
      <c r="B13" s="199">
        <v>4.0</v>
      </c>
      <c r="C13" s="200">
        <v>92.0</v>
      </c>
      <c r="D13" s="199">
        <v>19.0</v>
      </c>
      <c r="E13" s="200">
        <v>15.0</v>
      </c>
      <c r="F13" s="201">
        <f t="shared" si="1"/>
        <v>13.04347826</v>
      </c>
      <c r="G13" s="200">
        <v>0.25</v>
      </c>
      <c r="H13" s="202">
        <f t="shared" si="2"/>
        <v>1</v>
      </c>
      <c r="I13" s="203">
        <v>0.842</v>
      </c>
    </row>
    <row r="14">
      <c r="A14" s="51" t="s">
        <v>306</v>
      </c>
      <c r="B14" s="199">
        <v>4.0</v>
      </c>
      <c r="C14" s="200">
        <v>77.0</v>
      </c>
      <c r="D14" s="199">
        <v>20.0</v>
      </c>
      <c r="E14" s="200">
        <v>12.0</v>
      </c>
      <c r="F14" s="201">
        <f t="shared" si="1"/>
        <v>12.46753247</v>
      </c>
      <c r="G14" s="200">
        <v>0.25</v>
      </c>
      <c r="H14" s="202">
        <f t="shared" si="2"/>
        <v>1</v>
      </c>
      <c r="I14" s="203">
        <v>0.65</v>
      </c>
    </row>
    <row r="15">
      <c r="A15" s="51" t="s">
        <v>334</v>
      </c>
      <c r="B15" s="199">
        <v>4.0</v>
      </c>
      <c r="C15" s="200">
        <v>91.0</v>
      </c>
      <c r="D15" s="199">
        <v>34.0</v>
      </c>
      <c r="E15" s="200">
        <v>14.0</v>
      </c>
      <c r="F15" s="201">
        <f t="shared" si="1"/>
        <v>12.30769231</v>
      </c>
      <c r="G15" s="200">
        <v>0.75</v>
      </c>
      <c r="H15" s="202">
        <f t="shared" si="2"/>
        <v>3</v>
      </c>
      <c r="I15" s="203">
        <v>0.5</v>
      </c>
    </row>
    <row r="16">
      <c r="A16" s="51" t="s">
        <v>404</v>
      </c>
      <c r="B16" s="199">
        <v>3.0</v>
      </c>
      <c r="C16" s="200">
        <v>68.0</v>
      </c>
      <c r="D16" s="199">
        <v>21.0</v>
      </c>
      <c r="E16" s="200">
        <v>13.33</v>
      </c>
      <c r="F16" s="201">
        <f t="shared" si="1"/>
        <v>11.76176471</v>
      </c>
      <c r="G16" s="200">
        <v>1.67</v>
      </c>
      <c r="H16" s="202">
        <f t="shared" si="2"/>
        <v>5.01</v>
      </c>
      <c r="I16" s="203">
        <v>0.714</v>
      </c>
    </row>
    <row r="17">
      <c r="A17" s="51" t="s">
        <v>326</v>
      </c>
      <c r="B17" s="199">
        <v>4.0</v>
      </c>
      <c r="C17" s="200">
        <v>92.0</v>
      </c>
      <c r="D17" s="199">
        <v>22.0</v>
      </c>
      <c r="E17" s="200">
        <v>13.0</v>
      </c>
      <c r="F17" s="201">
        <f t="shared" si="1"/>
        <v>11.30434783</v>
      </c>
      <c r="G17" s="200">
        <v>0.5</v>
      </c>
      <c r="H17" s="202">
        <f t="shared" si="2"/>
        <v>2</v>
      </c>
      <c r="I17" s="203">
        <v>0.682</v>
      </c>
    </row>
    <row r="18">
      <c r="A18" s="51" t="s">
        <v>329</v>
      </c>
      <c r="B18" s="199">
        <v>4.0</v>
      </c>
      <c r="C18" s="200">
        <v>92.0</v>
      </c>
      <c r="D18" s="199">
        <v>24.0</v>
      </c>
      <c r="E18" s="200">
        <v>13.0</v>
      </c>
      <c r="F18" s="201">
        <f t="shared" si="1"/>
        <v>11.30434783</v>
      </c>
      <c r="G18" s="200">
        <v>0.25</v>
      </c>
      <c r="H18" s="202">
        <f t="shared" si="2"/>
        <v>1</v>
      </c>
      <c r="I18" s="203">
        <v>0.583</v>
      </c>
    </row>
    <row r="19">
      <c r="A19" s="51" t="s">
        <v>273</v>
      </c>
      <c r="B19" s="199">
        <v>4.0</v>
      </c>
      <c r="C19" s="200">
        <v>92.0</v>
      </c>
      <c r="D19" s="199">
        <v>38.0</v>
      </c>
      <c r="E19" s="200">
        <v>12.0</v>
      </c>
      <c r="F19" s="201">
        <f t="shared" si="1"/>
        <v>10.43478261</v>
      </c>
      <c r="G19" s="200">
        <v>1.75</v>
      </c>
      <c r="H19" s="202">
        <f t="shared" si="2"/>
        <v>7</v>
      </c>
      <c r="I19" s="203">
        <v>0.5</v>
      </c>
    </row>
    <row r="20">
      <c r="A20" s="51" t="s">
        <v>302</v>
      </c>
      <c r="B20" s="199">
        <v>4.0</v>
      </c>
      <c r="C20" s="200">
        <v>92.0</v>
      </c>
      <c r="D20" s="199">
        <v>28.0</v>
      </c>
      <c r="E20" s="200">
        <v>12.0</v>
      </c>
      <c r="F20" s="201">
        <f t="shared" si="1"/>
        <v>10.43478261</v>
      </c>
      <c r="G20" s="200">
        <v>1.0</v>
      </c>
      <c r="H20" s="202">
        <f t="shared" si="2"/>
        <v>4</v>
      </c>
      <c r="I20" s="203">
        <v>0.571</v>
      </c>
    </row>
    <row r="21">
      <c r="A21" s="51" t="s">
        <v>294</v>
      </c>
      <c r="B21" s="199">
        <v>4.0</v>
      </c>
      <c r="C21" s="200">
        <v>92.0</v>
      </c>
      <c r="D21" s="199">
        <v>32.0</v>
      </c>
      <c r="E21" s="200">
        <v>12.0</v>
      </c>
      <c r="F21" s="201">
        <f t="shared" si="1"/>
        <v>10.43478261</v>
      </c>
      <c r="G21" s="200">
        <v>1.0</v>
      </c>
      <c r="H21" s="202">
        <f t="shared" si="2"/>
        <v>4</v>
      </c>
      <c r="I21" s="203">
        <v>0.5</v>
      </c>
    </row>
    <row r="22">
      <c r="A22" s="51" t="s">
        <v>307</v>
      </c>
      <c r="B22" s="199">
        <v>4.0</v>
      </c>
      <c r="C22" s="200">
        <v>92.0</v>
      </c>
      <c r="D22" s="199">
        <v>15.0</v>
      </c>
      <c r="E22" s="200">
        <v>12.0</v>
      </c>
      <c r="F22" s="201">
        <f t="shared" si="1"/>
        <v>10.43478261</v>
      </c>
      <c r="G22" s="200">
        <v>0.0</v>
      </c>
      <c r="H22" s="202">
        <f t="shared" si="2"/>
        <v>0</v>
      </c>
      <c r="I22" s="203">
        <v>0.8</v>
      </c>
    </row>
    <row r="23">
      <c r="A23" s="51" t="s">
        <v>295</v>
      </c>
      <c r="B23" s="199">
        <v>1.0</v>
      </c>
      <c r="C23" s="200">
        <v>8.0</v>
      </c>
      <c r="D23" s="199">
        <v>3.0</v>
      </c>
      <c r="E23" s="200">
        <v>4.0</v>
      </c>
      <c r="F23" s="201">
        <f t="shared" si="1"/>
        <v>10</v>
      </c>
      <c r="G23" s="200">
        <v>0.0</v>
      </c>
      <c r="H23" s="202">
        <f t="shared" si="2"/>
        <v>0</v>
      </c>
      <c r="I23" s="203">
        <v>0.333</v>
      </c>
    </row>
    <row r="24">
      <c r="A24" s="51" t="s">
        <v>308</v>
      </c>
      <c r="B24" s="199">
        <v>4.0</v>
      </c>
      <c r="C24" s="200">
        <v>91.0</v>
      </c>
      <c r="D24" s="199">
        <v>16.0</v>
      </c>
      <c r="E24" s="200">
        <v>11.0</v>
      </c>
      <c r="F24" s="201">
        <f t="shared" si="1"/>
        <v>9.67032967</v>
      </c>
      <c r="G24" s="200">
        <v>0.0</v>
      </c>
      <c r="H24" s="202">
        <f t="shared" si="2"/>
        <v>0</v>
      </c>
      <c r="I24" s="203">
        <v>0.688</v>
      </c>
    </row>
    <row r="25">
      <c r="A25" s="51" t="s">
        <v>283</v>
      </c>
      <c r="B25" s="199">
        <v>4.0</v>
      </c>
      <c r="C25" s="200">
        <v>92.0</v>
      </c>
      <c r="D25" s="199">
        <v>40.0</v>
      </c>
      <c r="E25" s="200">
        <v>11.0</v>
      </c>
      <c r="F25" s="201">
        <f t="shared" si="1"/>
        <v>9.565217391</v>
      </c>
      <c r="G25" s="200">
        <v>2.0</v>
      </c>
      <c r="H25" s="202">
        <f t="shared" si="2"/>
        <v>8</v>
      </c>
      <c r="I25" s="203">
        <v>0.475</v>
      </c>
    </row>
    <row r="26">
      <c r="A26" s="51" t="s">
        <v>275</v>
      </c>
      <c r="B26" s="199">
        <v>4.0</v>
      </c>
      <c r="C26" s="200">
        <v>92.0</v>
      </c>
      <c r="D26" s="199">
        <v>30.0</v>
      </c>
      <c r="E26" s="200">
        <v>11.0</v>
      </c>
      <c r="F26" s="201">
        <f t="shared" si="1"/>
        <v>9.565217391</v>
      </c>
      <c r="G26" s="200">
        <v>1.75</v>
      </c>
      <c r="H26" s="202">
        <f t="shared" si="2"/>
        <v>7</v>
      </c>
      <c r="I26" s="203">
        <v>0.6</v>
      </c>
    </row>
    <row r="27">
      <c r="A27" s="51" t="s">
        <v>312</v>
      </c>
      <c r="B27" s="199">
        <v>4.0</v>
      </c>
      <c r="C27" s="200">
        <v>92.0</v>
      </c>
      <c r="D27" s="199">
        <v>18.0</v>
      </c>
      <c r="E27" s="200">
        <v>11.0</v>
      </c>
      <c r="F27" s="201">
        <f t="shared" si="1"/>
        <v>9.565217391</v>
      </c>
      <c r="G27" s="200">
        <v>0.75</v>
      </c>
      <c r="H27" s="202">
        <f t="shared" si="2"/>
        <v>3</v>
      </c>
      <c r="I27" s="203">
        <v>0.778</v>
      </c>
    </row>
    <row r="28">
      <c r="A28" s="51" t="s">
        <v>315</v>
      </c>
      <c r="B28" s="199">
        <v>4.0</v>
      </c>
      <c r="C28" s="200">
        <v>92.0</v>
      </c>
      <c r="D28" s="199">
        <v>15.0</v>
      </c>
      <c r="E28" s="200">
        <v>11.0</v>
      </c>
      <c r="F28" s="201">
        <f t="shared" si="1"/>
        <v>9.565217391</v>
      </c>
      <c r="G28" s="200">
        <v>0.0</v>
      </c>
      <c r="H28" s="202">
        <f t="shared" si="2"/>
        <v>0</v>
      </c>
      <c r="I28" s="203">
        <v>0.733</v>
      </c>
    </row>
    <row r="29">
      <c r="A29" s="51" t="s">
        <v>330</v>
      </c>
      <c r="B29" s="199">
        <v>4.0</v>
      </c>
      <c r="C29" s="200">
        <v>91.0</v>
      </c>
      <c r="D29" s="199">
        <v>27.0</v>
      </c>
      <c r="E29" s="200">
        <v>10.0</v>
      </c>
      <c r="F29" s="201">
        <f t="shared" si="1"/>
        <v>8.791208791</v>
      </c>
      <c r="G29" s="200">
        <v>0.0</v>
      </c>
      <c r="H29" s="202">
        <f t="shared" si="2"/>
        <v>0</v>
      </c>
      <c r="I29" s="203">
        <v>0.37</v>
      </c>
    </row>
    <row r="30">
      <c r="A30" s="51" t="s">
        <v>272</v>
      </c>
      <c r="B30" s="199">
        <v>4.0</v>
      </c>
      <c r="C30" s="200">
        <v>92.0</v>
      </c>
      <c r="D30" s="199">
        <v>41.0</v>
      </c>
      <c r="E30" s="200">
        <v>10.0</v>
      </c>
      <c r="F30" s="201">
        <f t="shared" si="1"/>
        <v>8.695652174</v>
      </c>
      <c r="G30" s="200">
        <v>3.25</v>
      </c>
      <c r="H30" s="202">
        <f t="shared" si="2"/>
        <v>13</v>
      </c>
      <c r="I30" s="203">
        <v>0.561</v>
      </c>
    </row>
    <row r="31">
      <c r="A31" s="51" t="s">
        <v>279</v>
      </c>
      <c r="B31" s="199">
        <v>4.0</v>
      </c>
      <c r="C31" s="200">
        <v>92.0</v>
      </c>
      <c r="D31" s="199">
        <v>45.0</v>
      </c>
      <c r="E31" s="200">
        <v>10.0</v>
      </c>
      <c r="F31" s="201">
        <f t="shared" si="1"/>
        <v>8.695652174</v>
      </c>
      <c r="G31" s="200">
        <v>2.25</v>
      </c>
      <c r="H31" s="202">
        <f t="shared" si="2"/>
        <v>9</v>
      </c>
      <c r="I31" s="203">
        <v>0.422</v>
      </c>
    </row>
    <row r="32">
      <c r="A32" s="51" t="s">
        <v>382</v>
      </c>
      <c r="B32" s="199">
        <v>4.0</v>
      </c>
      <c r="C32" s="200">
        <v>92.0</v>
      </c>
      <c r="D32" s="199">
        <v>17.0</v>
      </c>
      <c r="E32" s="200">
        <v>10.0</v>
      </c>
      <c r="F32" s="201">
        <f t="shared" si="1"/>
        <v>8.695652174</v>
      </c>
      <c r="G32" s="200">
        <v>0.75</v>
      </c>
      <c r="H32" s="202">
        <f t="shared" si="2"/>
        <v>3</v>
      </c>
      <c r="I32" s="203">
        <v>0.765</v>
      </c>
    </row>
    <row r="33">
      <c r="A33" s="51" t="s">
        <v>304</v>
      </c>
      <c r="B33" s="199">
        <v>4.0</v>
      </c>
      <c r="C33" s="200">
        <v>92.0</v>
      </c>
      <c r="D33" s="199">
        <v>14.0</v>
      </c>
      <c r="E33" s="200">
        <v>10.0</v>
      </c>
      <c r="F33" s="201">
        <f t="shared" si="1"/>
        <v>8.695652174</v>
      </c>
      <c r="G33" s="200">
        <v>0.25</v>
      </c>
      <c r="H33" s="202">
        <f t="shared" si="2"/>
        <v>1</v>
      </c>
      <c r="I33" s="203">
        <v>0.786</v>
      </c>
    </row>
    <row r="34">
      <c r="A34" s="51" t="s">
        <v>354</v>
      </c>
      <c r="B34" s="199">
        <v>2.0</v>
      </c>
      <c r="C34" s="200">
        <v>46.0</v>
      </c>
      <c r="D34" s="199">
        <v>6.0</v>
      </c>
      <c r="E34" s="200">
        <v>10.0</v>
      </c>
      <c r="F34" s="201">
        <f t="shared" si="1"/>
        <v>8.695652174</v>
      </c>
      <c r="G34" s="200">
        <v>0.0</v>
      </c>
      <c r="H34" s="202">
        <f t="shared" si="2"/>
        <v>0</v>
      </c>
      <c r="I34" s="203">
        <v>0.833</v>
      </c>
    </row>
    <row r="35">
      <c r="A35" s="51" t="s">
        <v>323</v>
      </c>
      <c r="B35" s="199">
        <v>4.0</v>
      </c>
      <c r="C35" s="200">
        <v>96.0</v>
      </c>
      <c r="D35" s="199">
        <v>34.0</v>
      </c>
      <c r="E35" s="200">
        <v>10.0</v>
      </c>
      <c r="F35" s="201">
        <f t="shared" si="1"/>
        <v>8.333333333</v>
      </c>
      <c r="G35" s="200">
        <v>0.5</v>
      </c>
      <c r="H35" s="202">
        <f t="shared" si="2"/>
        <v>2</v>
      </c>
      <c r="I35" s="203">
        <v>0.353</v>
      </c>
    </row>
    <row r="36">
      <c r="A36" s="51" t="s">
        <v>287</v>
      </c>
      <c r="B36" s="199">
        <v>4.0</v>
      </c>
      <c r="C36" s="200">
        <v>77.0</v>
      </c>
      <c r="D36" s="199">
        <v>20.0</v>
      </c>
      <c r="E36" s="200">
        <v>8.0</v>
      </c>
      <c r="F36" s="201">
        <f t="shared" si="1"/>
        <v>8.311688312</v>
      </c>
      <c r="G36" s="200">
        <v>1.25</v>
      </c>
      <c r="H36" s="202">
        <f t="shared" si="2"/>
        <v>5</v>
      </c>
      <c r="I36" s="203">
        <v>0.65</v>
      </c>
    </row>
    <row r="37">
      <c r="A37" s="51" t="s">
        <v>276</v>
      </c>
      <c r="B37" s="199">
        <v>4.0</v>
      </c>
      <c r="C37" s="200">
        <v>89.0</v>
      </c>
      <c r="D37" s="199">
        <v>39.0</v>
      </c>
      <c r="E37" s="200">
        <v>9.0</v>
      </c>
      <c r="F37" s="201">
        <f t="shared" si="1"/>
        <v>8.08988764</v>
      </c>
      <c r="G37" s="200">
        <v>1.5</v>
      </c>
      <c r="H37" s="202">
        <f t="shared" si="2"/>
        <v>6</v>
      </c>
      <c r="I37" s="203">
        <v>0.385</v>
      </c>
    </row>
    <row r="38">
      <c r="A38" s="51" t="s">
        <v>318</v>
      </c>
      <c r="B38" s="199">
        <v>4.0</v>
      </c>
      <c r="C38" s="200">
        <v>89.0</v>
      </c>
      <c r="D38" s="199">
        <v>25.0</v>
      </c>
      <c r="E38" s="200">
        <v>9.0</v>
      </c>
      <c r="F38" s="201">
        <f t="shared" si="1"/>
        <v>8.08988764</v>
      </c>
      <c r="G38" s="200">
        <v>1.25</v>
      </c>
      <c r="H38" s="202">
        <f t="shared" si="2"/>
        <v>5</v>
      </c>
      <c r="I38" s="203">
        <v>0.56</v>
      </c>
    </row>
    <row r="39">
      <c r="A39" s="51" t="s">
        <v>319</v>
      </c>
      <c r="B39" s="199">
        <v>4.0</v>
      </c>
      <c r="C39" s="200">
        <v>92.0</v>
      </c>
      <c r="D39" s="199">
        <v>14.0</v>
      </c>
      <c r="E39" s="200">
        <v>9.0</v>
      </c>
      <c r="F39" s="201">
        <f t="shared" si="1"/>
        <v>7.826086957</v>
      </c>
      <c r="G39" s="200">
        <v>0.5</v>
      </c>
      <c r="H39" s="202">
        <f t="shared" si="2"/>
        <v>2</v>
      </c>
      <c r="I39" s="203">
        <v>0.786</v>
      </c>
    </row>
    <row r="40">
      <c r="A40" s="51" t="s">
        <v>387</v>
      </c>
      <c r="B40" s="199">
        <v>3.0</v>
      </c>
      <c r="C40" s="200">
        <v>73.0</v>
      </c>
      <c r="D40" s="199">
        <v>13.0</v>
      </c>
      <c r="E40" s="200">
        <v>9.33</v>
      </c>
      <c r="F40" s="201">
        <f t="shared" si="1"/>
        <v>7.668493151</v>
      </c>
      <c r="G40" s="200">
        <v>0.0</v>
      </c>
      <c r="H40" s="202">
        <f t="shared" si="2"/>
        <v>0</v>
      </c>
      <c r="I40" s="203">
        <v>0.538</v>
      </c>
    </row>
    <row r="41">
      <c r="A41" s="51" t="s">
        <v>388</v>
      </c>
      <c r="B41" s="199">
        <v>2.0</v>
      </c>
      <c r="C41" s="200">
        <v>45.0</v>
      </c>
      <c r="D41" s="199">
        <v>14.0</v>
      </c>
      <c r="E41" s="200">
        <v>8.0</v>
      </c>
      <c r="F41" s="201">
        <f t="shared" si="1"/>
        <v>7.111111111</v>
      </c>
      <c r="G41" s="200">
        <v>0.0</v>
      </c>
      <c r="H41" s="202">
        <f t="shared" si="2"/>
        <v>0</v>
      </c>
      <c r="I41" s="203">
        <v>0.286</v>
      </c>
    </row>
    <row r="42">
      <c r="A42" s="51" t="s">
        <v>364</v>
      </c>
      <c r="B42" s="199">
        <v>3.0</v>
      </c>
      <c r="C42" s="200">
        <v>68.0</v>
      </c>
      <c r="D42" s="199">
        <v>21.0</v>
      </c>
      <c r="E42" s="200">
        <v>8.0</v>
      </c>
      <c r="F42" s="201">
        <f t="shared" si="1"/>
        <v>7.058823529</v>
      </c>
      <c r="G42" s="200">
        <v>0.33</v>
      </c>
      <c r="H42" s="202">
        <f t="shared" si="2"/>
        <v>0.99</v>
      </c>
      <c r="I42" s="203">
        <v>0.333</v>
      </c>
    </row>
    <row r="43">
      <c r="A43" s="51" t="s">
        <v>343</v>
      </c>
      <c r="B43" s="199">
        <v>3.0</v>
      </c>
      <c r="C43" s="200">
        <v>68.0</v>
      </c>
      <c r="D43" s="199">
        <v>14.0</v>
      </c>
      <c r="E43" s="200">
        <v>8.0</v>
      </c>
      <c r="F43" s="201">
        <f t="shared" si="1"/>
        <v>7.058823529</v>
      </c>
      <c r="G43" s="200">
        <v>0.33</v>
      </c>
      <c r="H43" s="202">
        <f t="shared" si="2"/>
        <v>0.99</v>
      </c>
      <c r="I43" s="203">
        <v>0.5</v>
      </c>
    </row>
    <row r="44">
      <c r="A44" s="51" t="s">
        <v>300</v>
      </c>
      <c r="B44" s="199">
        <v>4.0</v>
      </c>
      <c r="C44" s="200">
        <v>92.0</v>
      </c>
      <c r="D44" s="199">
        <v>24.0</v>
      </c>
      <c r="E44" s="200">
        <v>8.0</v>
      </c>
      <c r="F44" s="201">
        <f t="shared" si="1"/>
        <v>6.956521739</v>
      </c>
      <c r="G44" s="200">
        <v>1.25</v>
      </c>
      <c r="H44" s="202">
        <f t="shared" si="2"/>
        <v>5</v>
      </c>
      <c r="I44" s="203">
        <v>0.542</v>
      </c>
    </row>
    <row r="45">
      <c r="A45" s="51" t="s">
        <v>325</v>
      </c>
      <c r="B45" s="199">
        <v>4.0</v>
      </c>
      <c r="C45" s="200">
        <v>92.0</v>
      </c>
      <c r="D45" s="199">
        <v>16.0</v>
      </c>
      <c r="E45" s="200">
        <v>8.0</v>
      </c>
      <c r="F45" s="201">
        <f t="shared" si="1"/>
        <v>6.956521739</v>
      </c>
      <c r="G45" s="200">
        <v>0.75</v>
      </c>
      <c r="H45" s="202">
        <f t="shared" si="2"/>
        <v>3</v>
      </c>
      <c r="I45" s="203">
        <v>0.688</v>
      </c>
    </row>
    <row r="46">
      <c r="A46" s="51" t="s">
        <v>313</v>
      </c>
      <c r="B46" s="199">
        <v>4.0</v>
      </c>
      <c r="C46" s="200">
        <v>92.0</v>
      </c>
      <c r="D46" s="199">
        <v>13.0</v>
      </c>
      <c r="E46" s="200">
        <v>8.0</v>
      </c>
      <c r="F46" s="201">
        <f t="shared" si="1"/>
        <v>6.956521739</v>
      </c>
      <c r="G46" s="200">
        <v>0.5</v>
      </c>
      <c r="H46" s="202">
        <f t="shared" si="2"/>
        <v>2</v>
      </c>
      <c r="I46" s="203">
        <v>0.769</v>
      </c>
    </row>
    <row r="47">
      <c r="A47" s="51" t="s">
        <v>357</v>
      </c>
      <c r="B47" s="199">
        <v>3.0</v>
      </c>
      <c r="C47" s="200">
        <v>69.0</v>
      </c>
      <c r="D47" s="199">
        <v>6.0</v>
      </c>
      <c r="E47" s="200">
        <v>8.0</v>
      </c>
      <c r="F47" s="201">
        <f t="shared" si="1"/>
        <v>6.956521739</v>
      </c>
      <c r="G47" s="200">
        <v>0.0</v>
      </c>
      <c r="H47" s="202">
        <f t="shared" si="2"/>
        <v>0</v>
      </c>
      <c r="I47" s="203">
        <v>1.0</v>
      </c>
    </row>
    <row r="48">
      <c r="A48" s="51" t="s">
        <v>359</v>
      </c>
      <c r="B48" s="199">
        <v>4.0</v>
      </c>
      <c r="C48" s="200">
        <v>92.0</v>
      </c>
      <c r="D48" s="199">
        <v>16.0</v>
      </c>
      <c r="E48" s="200">
        <v>8.0</v>
      </c>
      <c r="F48" s="201">
        <f t="shared" si="1"/>
        <v>6.956521739</v>
      </c>
      <c r="G48" s="200">
        <v>0.0</v>
      </c>
      <c r="H48" s="202">
        <f t="shared" si="2"/>
        <v>0</v>
      </c>
      <c r="I48" s="203">
        <v>0.5</v>
      </c>
    </row>
    <row r="49">
      <c r="A49" s="51" t="s">
        <v>398</v>
      </c>
      <c r="B49" s="199">
        <v>1.0</v>
      </c>
      <c r="C49" s="200">
        <v>23.0</v>
      </c>
      <c r="D49" s="199">
        <v>5.0</v>
      </c>
      <c r="E49" s="200">
        <v>8.0</v>
      </c>
      <c r="F49" s="201">
        <f t="shared" si="1"/>
        <v>6.956521739</v>
      </c>
      <c r="G49" s="200">
        <v>0.0</v>
      </c>
      <c r="H49" s="202">
        <f t="shared" si="2"/>
        <v>0</v>
      </c>
      <c r="I49" s="203">
        <v>0.4</v>
      </c>
    </row>
    <row r="50">
      <c r="A50" s="51" t="s">
        <v>378</v>
      </c>
      <c r="B50" s="199">
        <v>2.0</v>
      </c>
      <c r="C50" s="200">
        <v>46.0</v>
      </c>
      <c r="D50" s="199">
        <v>4.0</v>
      </c>
      <c r="E50" s="200">
        <v>8.0</v>
      </c>
      <c r="F50" s="201">
        <f t="shared" si="1"/>
        <v>6.956521739</v>
      </c>
      <c r="G50" s="200">
        <v>0.0</v>
      </c>
      <c r="H50" s="202">
        <f t="shared" si="2"/>
        <v>0</v>
      </c>
      <c r="I50" s="203">
        <v>1.0</v>
      </c>
    </row>
    <row r="51">
      <c r="A51" s="51" t="s">
        <v>353</v>
      </c>
      <c r="B51" s="199">
        <v>2.0</v>
      </c>
      <c r="C51" s="200">
        <v>46.0</v>
      </c>
      <c r="D51" s="199">
        <v>4.0</v>
      </c>
      <c r="E51" s="200">
        <v>8.0</v>
      </c>
      <c r="F51" s="201">
        <f t="shared" si="1"/>
        <v>6.956521739</v>
      </c>
      <c r="G51" s="200">
        <v>0.0</v>
      </c>
      <c r="H51" s="202">
        <f t="shared" si="2"/>
        <v>0</v>
      </c>
      <c r="I51" s="203">
        <v>1.0</v>
      </c>
    </row>
    <row r="52">
      <c r="A52" s="51" t="s">
        <v>402</v>
      </c>
      <c r="B52" s="199">
        <v>4.0</v>
      </c>
      <c r="C52" s="200">
        <v>91.0</v>
      </c>
      <c r="D52" s="199">
        <v>14.0</v>
      </c>
      <c r="E52" s="200">
        <v>7.0</v>
      </c>
      <c r="F52" s="201">
        <f t="shared" si="1"/>
        <v>6.153846154</v>
      </c>
      <c r="G52" s="200">
        <v>0.0</v>
      </c>
      <c r="H52" s="202">
        <f t="shared" si="2"/>
        <v>0</v>
      </c>
      <c r="I52" s="203">
        <v>0.5</v>
      </c>
    </row>
    <row r="53">
      <c r="A53" s="51" t="s">
        <v>316</v>
      </c>
      <c r="B53" s="199">
        <v>4.0</v>
      </c>
      <c r="C53" s="200">
        <v>92.0</v>
      </c>
      <c r="D53" s="199">
        <v>19.0</v>
      </c>
      <c r="E53" s="200">
        <v>7.0</v>
      </c>
      <c r="F53" s="201">
        <f t="shared" si="1"/>
        <v>6.086956522</v>
      </c>
      <c r="G53" s="200">
        <v>1.0</v>
      </c>
      <c r="H53" s="202">
        <f t="shared" si="2"/>
        <v>4</v>
      </c>
      <c r="I53" s="203">
        <v>0.579</v>
      </c>
    </row>
    <row r="54">
      <c r="A54" s="51" t="s">
        <v>324</v>
      </c>
      <c r="B54" s="199">
        <v>4.0</v>
      </c>
      <c r="C54" s="200">
        <v>92.0</v>
      </c>
      <c r="D54" s="199">
        <v>21.0</v>
      </c>
      <c r="E54" s="200">
        <v>7.0</v>
      </c>
      <c r="F54" s="201">
        <f t="shared" si="1"/>
        <v>6.086956522</v>
      </c>
      <c r="G54" s="200">
        <v>0.25</v>
      </c>
      <c r="H54" s="202">
        <f t="shared" si="2"/>
        <v>1</v>
      </c>
      <c r="I54" s="203">
        <v>0.381</v>
      </c>
    </row>
    <row r="55">
      <c r="A55" s="51" t="s">
        <v>370</v>
      </c>
      <c r="B55" s="199">
        <v>4.0</v>
      </c>
      <c r="C55" s="200">
        <v>92.0</v>
      </c>
      <c r="D55" s="199">
        <v>18.0</v>
      </c>
      <c r="E55" s="200">
        <v>7.0</v>
      </c>
      <c r="F55" s="201">
        <f t="shared" si="1"/>
        <v>6.086956522</v>
      </c>
      <c r="G55" s="200">
        <v>0.25</v>
      </c>
      <c r="H55" s="202">
        <f t="shared" si="2"/>
        <v>1</v>
      </c>
      <c r="I55" s="203">
        <v>0.444</v>
      </c>
    </row>
    <row r="56">
      <c r="A56" s="51" t="s">
        <v>322</v>
      </c>
      <c r="B56" s="199">
        <v>4.0</v>
      </c>
      <c r="C56" s="200">
        <v>92.0</v>
      </c>
      <c r="D56" s="199">
        <v>8.0</v>
      </c>
      <c r="E56" s="200">
        <v>7.0</v>
      </c>
      <c r="F56" s="201">
        <f t="shared" si="1"/>
        <v>6.086956522</v>
      </c>
      <c r="G56" s="200">
        <v>0.0</v>
      </c>
      <c r="H56" s="202">
        <f t="shared" si="2"/>
        <v>0</v>
      </c>
      <c r="I56" s="203">
        <v>0.875</v>
      </c>
    </row>
    <row r="57">
      <c r="A57" s="51" t="s">
        <v>345</v>
      </c>
      <c r="B57" s="199">
        <v>3.0</v>
      </c>
      <c r="C57" s="200">
        <v>68.0</v>
      </c>
      <c r="D57" s="199">
        <v>8.0</v>
      </c>
      <c r="E57" s="200">
        <v>6.67</v>
      </c>
      <c r="F57" s="201">
        <f t="shared" si="1"/>
        <v>5.885294118</v>
      </c>
      <c r="G57" s="200">
        <v>0.33</v>
      </c>
      <c r="H57" s="202">
        <f t="shared" si="2"/>
        <v>0.99</v>
      </c>
      <c r="I57" s="203">
        <v>0.75</v>
      </c>
    </row>
    <row r="58">
      <c r="A58" s="51" t="s">
        <v>371</v>
      </c>
      <c r="B58" s="199">
        <v>3.0</v>
      </c>
      <c r="C58" s="200">
        <v>69.0</v>
      </c>
      <c r="D58" s="199">
        <v>6.0</v>
      </c>
      <c r="E58" s="200">
        <v>6.67</v>
      </c>
      <c r="F58" s="201">
        <f t="shared" si="1"/>
        <v>5.8</v>
      </c>
      <c r="G58" s="200">
        <v>0.0</v>
      </c>
      <c r="H58" s="202">
        <f t="shared" si="2"/>
        <v>0</v>
      </c>
      <c r="I58" s="203">
        <v>0.833</v>
      </c>
    </row>
    <row r="59">
      <c r="A59" s="51" t="s">
        <v>284</v>
      </c>
      <c r="B59" s="199">
        <v>4.0</v>
      </c>
      <c r="C59" s="200">
        <v>92.0</v>
      </c>
      <c r="D59" s="199">
        <v>34.0</v>
      </c>
      <c r="E59" s="200">
        <v>6.0</v>
      </c>
      <c r="F59" s="201">
        <f t="shared" si="1"/>
        <v>5.217391304</v>
      </c>
      <c r="G59" s="200">
        <v>2.0</v>
      </c>
      <c r="H59" s="202">
        <f t="shared" si="2"/>
        <v>8</v>
      </c>
      <c r="I59" s="203">
        <v>0.412</v>
      </c>
    </row>
    <row r="60">
      <c r="A60" s="51" t="s">
        <v>280</v>
      </c>
      <c r="B60" s="199">
        <v>4.0</v>
      </c>
      <c r="C60" s="200">
        <v>92.0</v>
      </c>
      <c r="D60" s="199">
        <v>22.0</v>
      </c>
      <c r="E60" s="200">
        <v>6.0</v>
      </c>
      <c r="F60" s="201">
        <f t="shared" si="1"/>
        <v>5.217391304</v>
      </c>
      <c r="G60" s="200">
        <v>1.5</v>
      </c>
      <c r="H60" s="202">
        <f t="shared" si="2"/>
        <v>6</v>
      </c>
      <c r="I60" s="203">
        <v>0.545</v>
      </c>
    </row>
    <row r="61">
      <c r="A61" s="51" t="s">
        <v>321</v>
      </c>
      <c r="B61" s="199">
        <v>4.0</v>
      </c>
      <c r="C61" s="200">
        <v>92.0</v>
      </c>
      <c r="D61" s="199">
        <v>12.0</v>
      </c>
      <c r="E61" s="200">
        <v>6.0</v>
      </c>
      <c r="F61" s="201">
        <f t="shared" si="1"/>
        <v>5.217391304</v>
      </c>
      <c r="G61" s="200">
        <v>0.5</v>
      </c>
      <c r="H61" s="202">
        <f t="shared" si="2"/>
        <v>2</v>
      </c>
      <c r="I61" s="203">
        <v>0.667</v>
      </c>
    </row>
    <row r="62">
      <c r="A62" s="51" t="s">
        <v>309</v>
      </c>
      <c r="B62" s="199">
        <v>2.0</v>
      </c>
      <c r="C62" s="200">
        <v>46.0</v>
      </c>
      <c r="D62" s="199">
        <v>5.0</v>
      </c>
      <c r="E62" s="200">
        <v>6.0</v>
      </c>
      <c r="F62" s="201">
        <f t="shared" si="1"/>
        <v>5.217391304</v>
      </c>
      <c r="G62" s="200">
        <v>0.0</v>
      </c>
      <c r="H62" s="202">
        <f t="shared" si="2"/>
        <v>0</v>
      </c>
      <c r="I62" s="203">
        <v>0.6</v>
      </c>
    </row>
    <row r="63">
      <c r="A63" s="51" t="s">
        <v>314</v>
      </c>
      <c r="B63" s="199">
        <v>2.0</v>
      </c>
      <c r="C63" s="200">
        <v>46.0</v>
      </c>
      <c r="D63" s="199">
        <v>4.0</v>
      </c>
      <c r="E63" s="200">
        <v>6.0</v>
      </c>
      <c r="F63" s="201">
        <f t="shared" si="1"/>
        <v>5.217391304</v>
      </c>
      <c r="G63" s="200">
        <v>0.0</v>
      </c>
      <c r="H63" s="202">
        <f t="shared" si="2"/>
        <v>0</v>
      </c>
      <c r="I63" s="203">
        <v>0.75</v>
      </c>
    </row>
    <row r="64">
      <c r="A64" s="51" t="s">
        <v>384</v>
      </c>
      <c r="B64" s="199">
        <v>2.0</v>
      </c>
      <c r="C64" s="200">
        <v>46.0</v>
      </c>
      <c r="D64" s="199">
        <v>6.0</v>
      </c>
      <c r="E64" s="200">
        <v>6.0</v>
      </c>
      <c r="F64" s="201">
        <f t="shared" si="1"/>
        <v>5.217391304</v>
      </c>
      <c r="G64" s="200">
        <v>0.0</v>
      </c>
      <c r="H64" s="202">
        <f t="shared" si="2"/>
        <v>0</v>
      </c>
      <c r="I64" s="203">
        <v>0.5</v>
      </c>
    </row>
    <row r="65">
      <c r="A65" s="51" t="s">
        <v>288</v>
      </c>
      <c r="B65" s="199">
        <v>3.0</v>
      </c>
      <c r="C65" s="200">
        <v>69.0</v>
      </c>
      <c r="D65" s="199">
        <v>15.0</v>
      </c>
      <c r="E65" s="200">
        <v>5.33</v>
      </c>
      <c r="F65" s="201">
        <f t="shared" si="1"/>
        <v>4.634782609</v>
      </c>
      <c r="G65" s="200">
        <v>1.33</v>
      </c>
      <c r="H65" s="202">
        <f t="shared" si="2"/>
        <v>3.99</v>
      </c>
      <c r="I65" s="203">
        <v>0.533</v>
      </c>
    </row>
    <row r="66">
      <c r="A66" s="51" t="s">
        <v>352</v>
      </c>
      <c r="B66" s="199">
        <v>3.0</v>
      </c>
      <c r="C66" s="200">
        <v>69.0</v>
      </c>
      <c r="D66" s="199">
        <v>4.0</v>
      </c>
      <c r="E66" s="200">
        <v>5.33</v>
      </c>
      <c r="F66" s="201">
        <f t="shared" si="1"/>
        <v>4.634782609</v>
      </c>
      <c r="G66" s="200">
        <v>0.0</v>
      </c>
      <c r="H66" s="202">
        <f t="shared" si="2"/>
        <v>0</v>
      </c>
      <c r="I66" s="203">
        <v>1.0</v>
      </c>
    </row>
    <row r="67">
      <c r="A67" s="51" t="s">
        <v>369</v>
      </c>
      <c r="B67" s="199">
        <v>4.0</v>
      </c>
      <c r="C67" s="200">
        <v>92.0</v>
      </c>
      <c r="D67" s="199">
        <v>20.0</v>
      </c>
      <c r="E67" s="200">
        <v>5.0</v>
      </c>
      <c r="F67" s="201">
        <f t="shared" si="1"/>
        <v>4.347826087</v>
      </c>
      <c r="G67" s="200">
        <v>1.25</v>
      </c>
      <c r="H67" s="202">
        <f t="shared" si="2"/>
        <v>5</v>
      </c>
      <c r="I67" s="203">
        <v>0.5</v>
      </c>
    </row>
    <row r="68">
      <c r="A68" s="51" t="s">
        <v>327</v>
      </c>
      <c r="B68" s="199">
        <v>4.0</v>
      </c>
      <c r="C68" s="200">
        <v>92.0</v>
      </c>
      <c r="D68" s="199">
        <v>15.0</v>
      </c>
      <c r="E68" s="200">
        <v>5.0</v>
      </c>
      <c r="F68" s="201">
        <f t="shared" si="1"/>
        <v>4.347826087</v>
      </c>
      <c r="G68" s="200">
        <v>0.5</v>
      </c>
      <c r="H68" s="202">
        <f t="shared" si="2"/>
        <v>2</v>
      </c>
      <c r="I68" s="203">
        <v>0.467</v>
      </c>
    </row>
    <row r="69">
      <c r="A69" s="51" t="s">
        <v>305</v>
      </c>
      <c r="B69" s="199">
        <v>4.0</v>
      </c>
      <c r="C69" s="200">
        <v>92.0</v>
      </c>
      <c r="D69" s="199">
        <v>10.0</v>
      </c>
      <c r="E69" s="200">
        <v>5.0</v>
      </c>
      <c r="F69" s="201">
        <f t="shared" si="1"/>
        <v>4.347826087</v>
      </c>
      <c r="G69" s="200">
        <v>0.25</v>
      </c>
      <c r="H69" s="202">
        <f t="shared" si="2"/>
        <v>1</v>
      </c>
      <c r="I69" s="203">
        <v>0.6</v>
      </c>
    </row>
    <row r="70">
      <c r="A70" s="51" t="s">
        <v>383</v>
      </c>
      <c r="B70" s="199">
        <v>4.0</v>
      </c>
      <c r="C70" s="200">
        <v>92.0</v>
      </c>
      <c r="D70" s="199">
        <v>19.0</v>
      </c>
      <c r="E70" s="200">
        <v>5.0</v>
      </c>
      <c r="F70" s="201">
        <f t="shared" si="1"/>
        <v>4.347826087</v>
      </c>
      <c r="G70" s="200">
        <v>0.25</v>
      </c>
      <c r="H70" s="202">
        <f t="shared" si="2"/>
        <v>1</v>
      </c>
      <c r="I70" s="203">
        <v>0.316</v>
      </c>
    </row>
    <row r="71">
      <c r="A71" s="51" t="s">
        <v>311</v>
      </c>
      <c r="B71" s="199">
        <v>4.0</v>
      </c>
      <c r="C71" s="200">
        <v>92.0</v>
      </c>
      <c r="D71" s="199">
        <v>13.0</v>
      </c>
      <c r="E71" s="200">
        <v>5.0</v>
      </c>
      <c r="F71" s="201">
        <f t="shared" si="1"/>
        <v>4.347826087</v>
      </c>
      <c r="G71" s="200">
        <v>0.25</v>
      </c>
      <c r="H71" s="202">
        <f t="shared" si="2"/>
        <v>1</v>
      </c>
      <c r="I71" s="203">
        <v>0.462</v>
      </c>
    </row>
    <row r="72">
      <c r="A72" s="51" t="s">
        <v>405</v>
      </c>
      <c r="B72" s="199">
        <v>4.0</v>
      </c>
      <c r="C72" s="200">
        <v>92.0</v>
      </c>
      <c r="D72" s="199">
        <v>9.0</v>
      </c>
      <c r="E72" s="200">
        <v>5.0</v>
      </c>
      <c r="F72" s="201">
        <f t="shared" si="1"/>
        <v>4.347826087</v>
      </c>
      <c r="G72" s="200">
        <v>0.25</v>
      </c>
      <c r="H72" s="202">
        <f t="shared" si="2"/>
        <v>1</v>
      </c>
      <c r="I72" s="203">
        <v>0.667</v>
      </c>
    </row>
    <row r="73">
      <c r="A73" s="51" t="s">
        <v>328</v>
      </c>
      <c r="B73" s="199">
        <v>4.0</v>
      </c>
      <c r="C73" s="200">
        <v>92.0</v>
      </c>
      <c r="D73" s="199">
        <v>17.0</v>
      </c>
      <c r="E73" s="200">
        <v>5.0</v>
      </c>
      <c r="F73" s="201">
        <f t="shared" si="1"/>
        <v>4.347826087</v>
      </c>
      <c r="G73" s="200">
        <v>0.25</v>
      </c>
      <c r="H73" s="202">
        <f t="shared" si="2"/>
        <v>1</v>
      </c>
      <c r="I73" s="203">
        <v>0.353</v>
      </c>
    </row>
    <row r="74">
      <c r="A74" s="51" t="s">
        <v>394</v>
      </c>
      <c r="B74" s="199">
        <v>4.0</v>
      </c>
      <c r="C74" s="200">
        <v>92.0</v>
      </c>
      <c r="D74" s="199">
        <v>6.0</v>
      </c>
      <c r="E74" s="200">
        <v>5.0</v>
      </c>
      <c r="F74" s="201">
        <f t="shared" si="1"/>
        <v>4.347826087</v>
      </c>
      <c r="G74" s="200">
        <v>0.0</v>
      </c>
      <c r="H74" s="202">
        <f t="shared" si="2"/>
        <v>0</v>
      </c>
      <c r="I74" s="203">
        <v>0.833</v>
      </c>
    </row>
    <row r="75">
      <c r="A75" s="51" t="s">
        <v>344</v>
      </c>
      <c r="B75" s="199">
        <v>4.0</v>
      </c>
      <c r="C75" s="200">
        <v>92.0</v>
      </c>
      <c r="D75" s="199">
        <v>6.0</v>
      </c>
      <c r="E75" s="200">
        <v>5.0</v>
      </c>
      <c r="F75" s="201">
        <f t="shared" si="1"/>
        <v>4.347826087</v>
      </c>
      <c r="G75" s="200">
        <v>0.0</v>
      </c>
      <c r="H75" s="202">
        <f t="shared" si="2"/>
        <v>0</v>
      </c>
      <c r="I75" s="203">
        <v>0.833</v>
      </c>
    </row>
    <row r="76">
      <c r="A76" s="51" t="s">
        <v>351</v>
      </c>
      <c r="B76" s="199">
        <v>4.0</v>
      </c>
      <c r="C76" s="200">
        <v>92.0</v>
      </c>
      <c r="D76" s="199">
        <v>15.0</v>
      </c>
      <c r="E76" s="200">
        <v>5.0</v>
      </c>
      <c r="F76" s="201">
        <f t="shared" si="1"/>
        <v>4.347826087</v>
      </c>
      <c r="G76" s="200">
        <v>0.0</v>
      </c>
      <c r="H76" s="202">
        <f t="shared" si="2"/>
        <v>0</v>
      </c>
      <c r="I76" s="203">
        <v>0.333</v>
      </c>
    </row>
    <row r="77">
      <c r="A77" s="51" t="s">
        <v>368</v>
      </c>
      <c r="B77" s="199">
        <v>4.0</v>
      </c>
      <c r="C77" s="200">
        <v>92.0</v>
      </c>
      <c r="D77" s="199">
        <v>7.0</v>
      </c>
      <c r="E77" s="200">
        <v>5.0</v>
      </c>
      <c r="F77" s="201">
        <f t="shared" si="1"/>
        <v>4.347826087</v>
      </c>
      <c r="G77" s="200">
        <v>0.0</v>
      </c>
      <c r="H77" s="202">
        <f t="shared" si="2"/>
        <v>0</v>
      </c>
      <c r="I77" s="203">
        <v>0.714</v>
      </c>
    </row>
    <row r="78">
      <c r="A78" s="51" t="s">
        <v>379</v>
      </c>
      <c r="B78" s="199">
        <v>4.0</v>
      </c>
      <c r="C78" s="200">
        <v>89.0</v>
      </c>
      <c r="D78" s="199">
        <v>9.0</v>
      </c>
      <c r="E78" s="200">
        <v>4.0</v>
      </c>
      <c r="F78" s="201">
        <f t="shared" si="1"/>
        <v>3.595505618</v>
      </c>
      <c r="G78" s="200">
        <v>0.0</v>
      </c>
      <c r="H78" s="202">
        <f t="shared" si="2"/>
        <v>0</v>
      </c>
      <c r="I78" s="203">
        <v>0.444</v>
      </c>
    </row>
    <row r="79">
      <c r="A79" s="51" t="s">
        <v>356</v>
      </c>
      <c r="B79" s="199">
        <v>4.0</v>
      </c>
      <c r="C79" s="200">
        <v>92.0</v>
      </c>
      <c r="D79" s="199">
        <v>13.0</v>
      </c>
      <c r="E79" s="200">
        <v>4.0</v>
      </c>
      <c r="F79" s="201">
        <f t="shared" si="1"/>
        <v>3.47826087</v>
      </c>
      <c r="G79" s="200">
        <v>0.75</v>
      </c>
      <c r="H79" s="202">
        <f t="shared" si="2"/>
        <v>3</v>
      </c>
      <c r="I79" s="203">
        <v>0.538</v>
      </c>
    </row>
    <row r="80">
      <c r="A80" s="51" t="s">
        <v>341</v>
      </c>
      <c r="B80" s="199">
        <v>4.0</v>
      </c>
      <c r="C80" s="200">
        <v>92.0</v>
      </c>
      <c r="D80" s="199">
        <v>9.0</v>
      </c>
      <c r="E80" s="200">
        <v>4.0</v>
      </c>
      <c r="F80" s="201">
        <f t="shared" si="1"/>
        <v>3.47826087</v>
      </c>
      <c r="G80" s="200">
        <v>0.5</v>
      </c>
      <c r="H80" s="202">
        <f t="shared" si="2"/>
        <v>2</v>
      </c>
      <c r="I80" s="203">
        <v>0.667</v>
      </c>
    </row>
    <row r="81">
      <c r="A81" s="51" t="s">
        <v>310</v>
      </c>
      <c r="B81" s="199">
        <v>4.0</v>
      </c>
      <c r="C81" s="200">
        <v>92.0</v>
      </c>
      <c r="D81" s="199">
        <v>16.0</v>
      </c>
      <c r="E81" s="200">
        <v>4.0</v>
      </c>
      <c r="F81" s="201">
        <f t="shared" si="1"/>
        <v>3.47826087</v>
      </c>
      <c r="G81" s="200">
        <v>0.5</v>
      </c>
      <c r="H81" s="202">
        <f t="shared" si="2"/>
        <v>2</v>
      </c>
      <c r="I81" s="203">
        <v>0.375</v>
      </c>
    </row>
    <row r="82">
      <c r="A82" s="51" t="s">
        <v>395</v>
      </c>
      <c r="B82" s="199">
        <v>4.0</v>
      </c>
      <c r="C82" s="200">
        <v>92.0</v>
      </c>
      <c r="D82" s="199">
        <v>15.0</v>
      </c>
      <c r="E82" s="200">
        <v>4.0</v>
      </c>
      <c r="F82" s="201">
        <f t="shared" si="1"/>
        <v>3.47826087</v>
      </c>
      <c r="G82" s="200">
        <v>0.5</v>
      </c>
      <c r="H82" s="202">
        <f t="shared" si="2"/>
        <v>2</v>
      </c>
      <c r="I82" s="203">
        <v>0.4</v>
      </c>
    </row>
    <row r="83">
      <c r="A83" s="51" t="s">
        <v>363</v>
      </c>
      <c r="B83" s="199">
        <v>4.0</v>
      </c>
      <c r="C83" s="200">
        <v>92.0</v>
      </c>
      <c r="D83" s="199">
        <v>7.0</v>
      </c>
      <c r="E83" s="200">
        <v>4.0</v>
      </c>
      <c r="F83" s="201">
        <f t="shared" si="1"/>
        <v>3.47826087</v>
      </c>
      <c r="G83" s="200">
        <v>0.25</v>
      </c>
      <c r="H83" s="202">
        <f t="shared" si="2"/>
        <v>1</v>
      </c>
      <c r="I83" s="203">
        <v>0.714</v>
      </c>
    </row>
    <row r="84">
      <c r="A84" s="51" t="s">
        <v>391</v>
      </c>
      <c r="B84" s="199">
        <v>3.0</v>
      </c>
      <c r="C84" s="200">
        <v>69.0</v>
      </c>
      <c r="D84" s="199">
        <v>12.0</v>
      </c>
      <c r="E84" s="200">
        <v>4.0</v>
      </c>
      <c r="F84" s="201">
        <f t="shared" si="1"/>
        <v>3.47826087</v>
      </c>
      <c r="G84" s="200">
        <v>0.33</v>
      </c>
      <c r="H84" s="202">
        <f t="shared" si="2"/>
        <v>0.99</v>
      </c>
      <c r="I84" s="203">
        <v>0.333</v>
      </c>
    </row>
    <row r="85">
      <c r="A85" s="51" t="s">
        <v>355</v>
      </c>
      <c r="B85" s="199">
        <v>3.0</v>
      </c>
      <c r="C85" s="200">
        <v>69.0</v>
      </c>
      <c r="D85" s="199">
        <v>11.0</v>
      </c>
      <c r="E85" s="200">
        <v>4.0</v>
      </c>
      <c r="F85" s="201">
        <f t="shared" si="1"/>
        <v>3.47826087</v>
      </c>
      <c r="G85" s="200">
        <v>0.33</v>
      </c>
      <c r="H85" s="202">
        <f t="shared" si="2"/>
        <v>0.99</v>
      </c>
      <c r="I85" s="203">
        <v>0.364</v>
      </c>
    </row>
    <row r="86">
      <c r="A86" s="51" t="s">
        <v>291</v>
      </c>
      <c r="B86" s="199">
        <v>4.0</v>
      </c>
      <c r="C86" s="200">
        <v>92.0</v>
      </c>
      <c r="D86" s="199">
        <v>19.0</v>
      </c>
      <c r="E86" s="200">
        <v>4.0</v>
      </c>
      <c r="F86" s="201">
        <f t="shared" si="1"/>
        <v>3.47826087</v>
      </c>
      <c r="G86" s="200">
        <v>0.0</v>
      </c>
      <c r="H86" s="202">
        <f t="shared" si="2"/>
        <v>0</v>
      </c>
      <c r="I86" s="203">
        <v>0.211</v>
      </c>
    </row>
    <row r="87">
      <c r="A87" s="51" t="s">
        <v>385</v>
      </c>
      <c r="B87" s="199">
        <v>2.0</v>
      </c>
      <c r="C87" s="200">
        <v>46.0</v>
      </c>
      <c r="D87" s="199">
        <v>2.0</v>
      </c>
      <c r="E87" s="200">
        <v>4.0</v>
      </c>
      <c r="F87" s="201">
        <f t="shared" si="1"/>
        <v>3.47826087</v>
      </c>
      <c r="G87" s="200">
        <v>0.0</v>
      </c>
      <c r="H87" s="202">
        <f t="shared" si="2"/>
        <v>0</v>
      </c>
      <c r="I87" s="203">
        <v>1.0</v>
      </c>
    </row>
    <row r="88">
      <c r="A88" s="51" t="s">
        <v>377</v>
      </c>
      <c r="B88" s="199">
        <v>1.0</v>
      </c>
      <c r="C88" s="200">
        <v>23.0</v>
      </c>
      <c r="D88" s="199">
        <v>1.0</v>
      </c>
      <c r="E88" s="200">
        <v>4.0</v>
      </c>
      <c r="F88" s="201">
        <f t="shared" si="1"/>
        <v>3.47826087</v>
      </c>
      <c r="G88" s="200">
        <v>0.0</v>
      </c>
      <c r="H88" s="202">
        <f t="shared" si="2"/>
        <v>0</v>
      </c>
      <c r="I88" s="203">
        <v>1.0</v>
      </c>
    </row>
    <row r="89">
      <c r="A89" s="51" t="s">
        <v>406</v>
      </c>
      <c r="B89" s="199">
        <v>1.0</v>
      </c>
      <c r="C89" s="200">
        <v>23.0</v>
      </c>
      <c r="D89" s="199">
        <v>3.0</v>
      </c>
      <c r="E89" s="200">
        <v>4.0</v>
      </c>
      <c r="F89" s="201">
        <f t="shared" si="1"/>
        <v>3.47826087</v>
      </c>
      <c r="G89" s="200">
        <v>0.0</v>
      </c>
      <c r="H89" s="202">
        <f t="shared" si="2"/>
        <v>0</v>
      </c>
      <c r="I89" s="203">
        <v>0.333</v>
      </c>
    </row>
    <row r="90">
      <c r="A90" s="51" t="s">
        <v>360</v>
      </c>
      <c r="B90" s="199">
        <v>1.0</v>
      </c>
      <c r="C90" s="200">
        <v>23.0</v>
      </c>
      <c r="D90" s="199">
        <v>1.0</v>
      </c>
      <c r="E90" s="200">
        <v>4.0</v>
      </c>
      <c r="F90" s="201">
        <f t="shared" si="1"/>
        <v>3.47826087</v>
      </c>
      <c r="G90" s="200">
        <v>0.0</v>
      </c>
      <c r="H90" s="202">
        <f t="shared" si="2"/>
        <v>0</v>
      </c>
      <c r="I90" s="203">
        <v>1.0</v>
      </c>
    </row>
    <row r="91">
      <c r="A91" s="51" t="s">
        <v>361</v>
      </c>
      <c r="B91" s="199">
        <v>4.0</v>
      </c>
      <c r="C91" s="200">
        <v>96.0</v>
      </c>
      <c r="D91" s="199">
        <v>13.0</v>
      </c>
      <c r="E91" s="200">
        <v>4.0</v>
      </c>
      <c r="F91" s="201">
        <f t="shared" si="1"/>
        <v>3.333333333</v>
      </c>
      <c r="G91" s="200">
        <v>0.0</v>
      </c>
      <c r="H91" s="202">
        <f t="shared" si="2"/>
        <v>0</v>
      </c>
      <c r="I91" s="203">
        <v>0.308</v>
      </c>
    </row>
    <row r="92">
      <c r="A92" s="51" t="s">
        <v>381</v>
      </c>
      <c r="B92" s="199">
        <v>4.0</v>
      </c>
      <c r="C92" s="200">
        <v>96.0</v>
      </c>
      <c r="D92" s="199">
        <v>10.0</v>
      </c>
      <c r="E92" s="200">
        <v>4.0</v>
      </c>
      <c r="F92" s="201">
        <f t="shared" si="1"/>
        <v>3.333333333</v>
      </c>
      <c r="G92" s="200">
        <v>0.0</v>
      </c>
      <c r="H92" s="202">
        <f t="shared" si="2"/>
        <v>0</v>
      </c>
      <c r="I92" s="203">
        <v>0.4</v>
      </c>
    </row>
    <row r="93">
      <c r="A93" s="51" t="s">
        <v>372</v>
      </c>
      <c r="B93" s="199">
        <v>4.0</v>
      </c>
      <c r="C93" s="200">
        <v>89.0</v>
      </c>
      <c r="D93" s="199">
        <v>5.0</v>
      </c>
      <c r="E93" s="200">
        <v>3.0</v>
      </c>
      <c r="F93" s="201">
        <f t="shared" si="1"/>
        <v>2.696629213</v>
      </c>
      <c r="G93" s="200">
        <v>0.0</v>
      </c>
      <c r="H93" s="202">
        <f t="shared" si="2"/>
        <v>0</v>
      </c>
      <c r="I93" s="203">
        <v>0.6</v>
      </c>
    </row>
    <row r="94">
      <c r="A94" s="51" t="s">
        <v>407</v>
      </c>
      <c r="B94" s="199">
        <v>4.0</v>
      </c>
      <c r="C94" s="200">
        <v>92.0</v>
      </c>
      <c r="D94" s="199">
        <v>11.0</v>
      </c>
      <c r="E94" s="200">
        <v>3.0</v>
      </c>
      <c r="F94" s="201">
        <f t="shared" si="1"/>
        <v>2.608695652</v>
      </c>
      <c r="G94" s="200">
        <v>0.25</v>
      </c>
      <c r="H94" s="202">
        <f t="shared" si="2"/>
        <v>1</v>
      </c>
      <c r="I94" s="203">
        <v>0.364</v>
      </c>
    </row>
    <row r="95">
      <c r="A95" s="51" t="s">
        <v>396</v>
      </c>
      <c r="B95" s="199">
        <v>3.0</v>
      </c>
      <c r="C95" s="200">
        <v>69.0</v>
      </c>
      <c r="D95" s="199">
        <v>18.0</v>
      </c>
      <c r="E95" s="200">
        <v>2.67</v>
      </c>
      <c r="F95" s="201">
        <f t="shared" si="1"/>
        <v>2.32173913</v>
      </c>
      <c r="G95" s="200">
        <v>1.0</v>
      </c>
      <c r="H95" s="202">
        <f t="shared" si="2"/>
        <v>3</v>
      </c>
      <c r="I95" s="203">
        <v>0.278</v>
      </c>
    </row>
    <row r="96">
      <c r="A96" s="51" t="s">
        <v>358</v>
      </c>
      <c r="B96" s="199">
        <v>3.0</v>
      </c>
      <c r="C96" s="200">
        <v>69.0</v>
      </c>
      <c r="D96" s="199">
        <v>6.0</v>
      </c>
      <c r="E96" s="200">
        <v>2.67</v>
      </c>
      <c r="F96" s="201">
        <f t="shared" si="1"/>
        <v>2.32173913</v>
      </c>
      <c r="G96" s="200">
        <v>0.67</v>
      </c>
      <c r="H96" s="202">
        <f t="shared" si="2"/>
        <v>2.01</v>
      </c>
      <c r="I96" s="203">
        <v>0.667</v>
      </c>
    </row>
    <row r="97">
      <c r="A97" s="51" t="s">
        <v>346</v>
      </c>
      <c r="B97" s="199">
        <v>3.0</v>
      </c>
      <c r="C97" s="200">
        <v>69.0</v>
      </c>
      <c r="D97" s="199">
        <v>6.0</v>
      </c>
      <c r="E97" s="200">
        <v>2.67</v>
      </c>
      <c r="F97" s="201">
        <f t="shared" si="1"/>
        <v>2.32173913</v>
      </c>
      <c r="G97" s="200">
        <v>0.33</v>
      </c>
      <c r="H97" s="202">
        <f t="shared" si="2"/>
        <v>0.99</v>
      </c>
      <c r="I97" s="203">
        <v>0.5</v>
      </c>
    </row>
    <row r="98">
      <c r="A98" s="51" t="s">
        <v>389</v>
      </c>
      <c r="B98" s="199">
        <v>3.0</v>
      </c>
      <c r="C98" s="200">
        <v>69.0</v>
      </c>
      <c r="D98" s="199">
        <v>3.0</v>
      </c>
      <c r="E98" s="200">
        <v>2.67</v>
      </c>
      <c r="F98" s="201">
        <f t="shared" si="1"/>
        <v>2.32173913</v>
      </c>
      <c r="G98" s="200">
        <v>0.0</v>
      </c>
      <c r="H98" s="202">
        <f t="shared" si="2"/>
        <v>0</v>
      </c>
      <c r="I98" s="203">
        <v>0.667</v>
      </c>
    </row>
    <row r="99">
      <c r="A99" s="51" t="s">
        <v>331</v>
      </c>
      <c r="B99" s="199">
        <v>2.0</v>
      </c>
      <c r="C99" s="200">
        <v>45.0</v>
      </c>
      <c r="D99" s="199">
        <v>7.0</v>
      </c>
      <c r="E99" s="200">
        <v>2.0</v>
      </c>
      <c r="F99" s="201">
        <f t="shared" si="1"/>
        <v>1.777777778</v>
      </c>
      <c r="G99" s="200">
        <v>1.0</v>
      </c>
      <c r="H99" s="202">
        <f t="shared" si="2"/>
        <v>2</v>
      </c>
      <c r="I99" s="203">
        <v>0.429</v>
      </c>
    </row>
    <row r="100">
      <c r="A100" s="51" t="s">
        <v>296</v>
      </c>
      <c r="B100" s="199">
        <v>4.0</v>
      </c>
      <c r="C100" s="200">
        <v>92.0</v>
      </c>
      <c r="D100" s="199">
        <v>21.0</v>
      </c>
      <c r="E100" s="200">
        <v>2.0</v>
      </c>
      <c r="F100" s="201">
        <f t="shared" si="1"/>
        <v>1.739130435</v>
      </c>
      <c r="G100" s="200">
        <v>1.75</v>
      </c>
      <c r="H100" s="202">
        <f t="shared" si="2"/>
        <v>7</v>
      </c>
      <c r="I100" s="203">
        <v>0.429</v>
      </c>
    </row>
    <row r="101">
      <c r="A101" s="51" t="s">
        <v>340</v>
      </c>
      <c r="B101" s="199">
        <v>4.0</v>
      </c>
      <c r="C101" s="200">
        <v>92.0</v>
      </c>
      <c r="D101" s="199">
        <v>7.0</v>
      </c>
      <c r="E101" s="200">
        <v>2.0</v>
      </c>
      <c r="F101" s="201">
        <f t="shared" si="1"/>
        <v>1.739130435</v>
      </c>
      <c r="G101" s="200">
        <v>0.25</v>
      </c>
      <c r="H101" s="202">
        <f t="shared" si="2"/>
        <v>1</v>
      </c>
      <c r="I101" s="203">
        <v>0.429</v>
      </c>
    </row>
    <row r="102">
      <c r="A102" s="51" t="s">
        <v>333</v>
      </c>
      <c r="B102" s="199">
        <v>2.0</v>
      </c>
      <c r="C102" s="200">
        <v>46.0</v>
      </c>
      <c r="D102" s="199">
        <v>3.0</v>
      </c>
      <c r="E102" s="200">
        <v>2.0</v>
      </c>
      <c r="F102" s="201">
        <f t="shared" si="1"/>
        <v>1.739130435</v>
      </c>
      <c r="G102" s="200">
        <v>0.5</v>
      </c>
      <c r="H102" s="202">
        <f t="shared" si="2"/>
        <v>1</v>
      </c>
      <c r="I102" s="203">
        <v>0.667</v>
      </c>
    </row>
    <row r="103">
      <c r="A103" s="51" t="s">
        <v>362</v>
      </c>
      <c r="B103" s="199">
        <v>2.0</v>
      </c>
      <c r="C103" s="200">
        <v>46.0</v>
      </c>
      <c r="D103" s="199">
        <v>3.0</v>
      </c>
      <c r="E103" s="200">
        <v>2.0</v>
      </c>
      <c r="F103" s="201">
        <f t="shared" si="1"/>
        <v>1.739130435</v>
      </c>
      <c r="G103" s="200">
        <v>0.5</v>
      </c>
      <c r="H103" s="202">
        <f t="shared" si="2"/>
        <v>1</v>
      </c>
      <c r="I103" s="203">
        <v>0.667</v>
      </c>
    </row>
    <row r="104">
      <c r="A104" s="51" t="s">
        <v>375</v>
      </c>
      <c r="B104" s="199">
        <v>2.0</v>
      </c>
      <c r="C104" s="200">
        <v>46.0</v>
      </c>
      <c r="D104" s="199">
        <v>3.0</v>
      </c>
      <c r="E104" s="200">
        <v>2.0</v>
      </c>
      <c r="F104" s="201">
        <f t="shared" si="1"/>
        <v>1.739130435</v>
      </c>
      <c r="G104" s="200">
        <v>0.0</v>
      </c>
      <c r="H104" s="202">
        <f t="shared" si="2"/>
        <v>0</v>
      </c>
      <c r="I104" s="203">
        <v>0.333</v>
      </c>
    </row>
    <row r="105">
      <c r="A105" s="51" t="s">
        <v>348</v>
      </c>
      <c r="B105" s="199">
        <v>2.0</v>
      </c>
      <c r="C105" s="200">
        <v>46.0</v>
      </c>
      <c r="D105" s="199">
        <v>2.0</v>
      </c>
      <c r="E105" s="200">
        <v>2.0</v>
      </c>
      <c r="F105" s="201">
        <f t="shared" si="1"/>
        <v>1.739130435</v>
      </c>
      <c r="G105" s="200">
        <v>0.0</v>
      </c>
      <c r="H105" s="202">
        <f t="shared" si="2"/>
        <v>0</v>
      </c>
      <c r="I105" s="203">
        <v>0.5</v>
      </c>
    </row>
    <row r="106">
      <c r="A106" s="51" t="s">
        <v>397</v>
      </c>
      <c r="B106" s="199">
        <v>2.0</v>
      </c>
      <c r="C106" s="200">
        <v>46.0</v>
      </c>
      <c r="D106" s="199">
        <v>2.0</v>
      </c>
      <c r="E106" s="200">
        <v>2.0</v>
      </c>
      <c r="F106" s="201">
        <f t="shared" si="1"/>
        <v>1.739130435</v>
      </c>
      <c r="G106" s="200">
        <v>0.0</v>
      </c>
      <c r="H106" s="202">
        <f t="shared" si="2"/>
        <v>0</v>
      </c>
      <c r="I106" s="203">
        <v>0.5</v>
      </c>
    </row>
    <row r="107">
      <c r="A107" s="51" t="s">
        <v>347</v>
      </c>
      <c r="B107" s="199">
        <v>3.0</v>
      </c>
      <c r="C107" s="200">
        <v>69.0</v>
      </c>
      <c r="D107" s="199">
        <v>6.0</v>
      </c>
      <c r="E107" s="200">
        <v>1.33</v>
      </c>
      <c r="F107" s="201">
        <f t="shared" si="1"/>
        <v>1.156521739</v>
      </c>
      <c r="G107" s="200">
        <v>0.67</v>
      </c>
      <c r="H107" s="202">
        <f t="shared" si="2"/>
        <v>2.01</v>
      </c>
      <c r="I107" s="203">
        <v>0.5</v>
      </c>
    </row>
    <row r="108">
      <c r="A108" s="51" t="s">
        <v>408</v>
      </c>
      <c r="B108" s="199">
        <v>3.0</v>
      </c>
      <c r="C108" s="200">
        <v>69.0</v>
      </c>
      <c r="D108" s="199">
        <v>6.0</v>
      </c>
      <c r="E108" s="200">
        <v>1.33</v>
      </c>
      <c r="F108" s="201">
        <f t="shared" si="1"/>
        <v>1.156521739</v>
      </c>
      <c r="G108" s="200">
        <v>0.33</v>
      </c>
      <c r="H108" s="202">
        <f t="shared" si="2"/>
        <v>0.99</v>
      </c>
      <c r="I108" s="203">
        <v>0.333</v>
      </c>
    </row>
    <row r="109">
      <c r="A109" s="51" t="s">
        <v>390</v>
      </c>
      <c r="B109" s="199">
        <v>4.0</v>
      </c>
      <c r="C109" s="200">
        <v>77.0</v>
      </c>
      <c r="D109" s="199">
        <v>6.0</v>
      </c>
      <c r="E109" s="200">
        <v>1.0</v>
      </c>
      <c r="F109" s="201">
        <f t="shared" si="1"/>
        <v>1.038961039</v>
      </c>
      <c r="G109" s="200">
        <v>0.0</v>
      </c>
      <c r="H109" s="202">
        <f t="shared" si="2"/>
        <v>0</v>
      </c>
      <c r="I109" s="203">
        <v>0.167</v>
      </c>
    </row>
    <row r="110">
      <c r="A110" s="51" t="s">
        <v>366</v>
      </c>
      <c r="B110" s="199">
        <v>4.0</v>
      </c>
      <c r="C110" s="200">
        <v>92.0</v>
      </c>
      <c r="D110" s="199">
        <v>14.0</v>
      </c>
      <c r="E110" s="200">
        <v>1.0</v>
      </c>
      <c r="F110" s="201">
        <f t="shared" si="1"/>
        <v>0.8695652174</v>
      </c>
      <c r="G110" s="200">
        <v>0.5</v>
      </c>
      <c r="H110" s="202">
        <f t="shared" si="2"/>
        <v>2</v>
      </c>
      <c r="I110" s="203">
        <v>0.214</v>
      </c>
    </row>
    <row r="111">
      <c r="A111" s="51" t="s">
        <v>380</v>
      </c>
      <c r="B111" s="199">
        <v>4.0</v>
      </c>
      <c r="C111" s="200">
        <v>92.0</v>
      </c>
      <c r="D111" s="199">
        <v>8.0</v>
      </c>
      <c r="E111" s="200">
        <v>1.0</v>
      </c>
      <c r="F111" s="201">
        <f t="shared" si="1"/>
        <v>0.8695652174</v>
      </c>
      <c r="G111" s="200">
        <v>0.25</v>
      </c>
      <c r="H111" s="202">
        <f t="shared" si="2"/>
        <v>1</v>
      </c>
      <c r="I111" s="203">
        <v>0.25</v>
      </c>
    </row>
    <row r="112">
      <c r="A112" s="51" t="s">
        <v>392</v>
      </c>
      <c r="B112" s="199">
        <v>4.0</v>
      </c>
      <c r="C112" s="200">
        <v>96.0</v>
      </c>
      <c r="D112" s="199">
        <v>5.0</v>
      </c>
      <c r="E112" s="200">
        <v>1.0</v>
      </c>
      <c r="F112" s="201">
        <f t="shared" si="1"/>
        <v>0.8333333333</v>
      </c>
      <c r="G112" s="200">
        <v>0.0</v>
      </c>
      <c r="H112" s="202">
        <f t="shared" si="2"/>
        <v>0</v>
      </c>
      <c r="I112" s="203">
        <v>0.2</v>
      </c>
    </row>
    <row r="113">
      <c r="A113" s="51" t="s">
        <v>332</v>
      </c>
      <c r="B113" s="199">
        <v>4.0</v>
      </c>
      <c r="C113" s="200">
        <v>91.0</v>
      </c>
      <c r="D113" s="199">
        <v>23.0</v>
      </c>
      <c r="E113" s="200">
        <v>0.0</v>
      </c>
      <c r="F113" s="201">
        <f t="shared" si="1"/>
        <v>0</v>
      </c>
      <c r="G113" s="200">
        <v>1.0</v>
      </c>
      <c r="H113" s="202">
        <f t="shared" si="2"/>
        <v>4</v>
      </c>
      <c r="I113" s="203">
        <v>0.174</v>
      </c>
    </row>
    <row r="114">
      <c r="A114" s="51" t="s">
        <v>281</v>
      </c>
      <c r="B114" s="199">
        <v>4.0</v>
      </c>
      <c r="C114" s="200">
        <v>92.0</v>
      </c>
      <c r="D114" s="199">
        <v>13.0</v>
      </c>
      <c r="E114" s="200">
        <v>0.0</v>
      </c>
      <c r="F114" s="201">
        <f t="shared" si="1"/>
        <v>0</v>
      </c>
      <c r="G114" s="200">
        <v>1.0</v>
      </c>
      <c r="H114" s="202">
        <f t="shared" si="2"/>
        <v>4</v>
      </c>
      <c r="I114" s="203">
        <v>0.308</v>
      </c>
    </row>
    <row r="115">
      <c r="A115" s="51" t="s">
        <v>320</v>
      </c>
      <c r="B115" s="199">
        <v>4.0</v>
      </c>
      <c r="C115" s="200">
        <v>92.0</v>
      </c>
      <c r="D115" s="199">
        <v>7.0</v>
      </c>
      <c r="E115" s="200">
        <v>0.0</v>
      </c>
      <c r="F115" s="201">
        <f t="shared" si="1"/>
        <v>0</v>
      </c>
      <c r="G115" s="200">
        <v>0.75</v>
      </c>
      <c r="H115" s="202">
        <f t="shared" si="2"/>
        <v>3</v>
      </c>
      <c r="I115" s="203">
        <v>0.429</v>
      </c>
    </row>
    <row r="116">
      <c r="A116" s="51" t="s">
        <v>393</v>
      </c>
      <c r="B116" s="199">
        <v>4.0</v>
      </c>
      <c r="C116" s="200">
        <v>92.0</v>
      </c>
      <c r="D116" s="199">
        <v>24.0</v>
      </c>
      <c r="E116" s="200">
        <v>0.0</v>
      </c>
      <c r="F116" s="201">
        <f t="shared" si="1"/>
        <v>0</v>
      </c>
      <c r="G116" s="200">
        <v>0.75</v>
      </c>
      <c r="H116" s="202">
        <f t="shared" si="2"/>
        <v>3</v>
      </c>
      <c r="I116" s="203">
        <v>0.125</v>
      </c>
    </row>
    <row r="117">
      <c r="A117" s="51" t="s">
        <v>374</v>
      </c>
      <c r="B117" s="199">
        <v>1.0</v>
      </c>
      <c r="C117" s="200">
        <v>23.0</v>
      </c>
      <c r="D117" s="199">
        <v>2.0</v>
      </c>
      <c r="E117" s="200">
        <v>0.0</v>
      </c>
      <c r="F117" s="201">
        <f t="shared" si="1"/>
        <v>0</v>
      </c>
      <c r="G117" s="200">
        <v>1.0</v>
      </c>
      <c r="H117" s="202">
        <f t="shared" si="2"/>
        <v>1</v>
      </c>
      <c r="I117" s="203">
        <v>0.5</v>
      </c>
    </row>
    <row r="118">
      <c r="A118" s="51" t="s">
        <v>350</v>
      </c>
      <c r="B118" s="199">
        <v>4.0</v>
      </c>
      <c r="C118" s="200">
        <v>92.0</v>
      </c>
      <c r="D118" s="199">
        <v>14.0</v>
      </c>
      <c r="E118" s="200">
        <v>0.0</v>
      </c>
      <c r="F118" s="201">
        <f t="shared" si="1"/>
        <v>0</v>
      </c>
      <c r="G118" s="200">
        <v>0.25</v>
      </c>
      <c r="H118" s="202">
        <f t="shared" si="2"/>
        <v>1</v>
      </c>
      <c r="I118" s="203">
        <v>0.071</v>
      </c>
    </row>
    <row r="119">
      <c r="A119" s="51" t="s">
        <v>386</v>
      </c>
      <c r="B119" s="199">
        <v>3.0</v>
      </c>
      <c r="C119" s="200">
        <v>68.0</v>
      </c>
      <c r="D119" s="199">
        <v>10.0</v>
      </c>
      <c r="E119" s="200">
        <v>0.0</v>
      </c>
      <c r="F119" s="201">
        <f t="shared" si="1"/>
        <v>0</v>
      </c>
      <c r="G119" s="200">
        <v>0.33</v>
      </c>
      <c r="H119" s="202">
        <f t="shared" si="2"/>
        <v>0.99</v>
      </c>
      <c r="I119" s="203">
        <v>0.1</v>
      </c>
    </row>
    <row r="120">
      <c r="A120" s="51" t="s">
        <v>317</v>
      </c>
      <c r="B120" s="199">
        <v>3.0</v>
      </c>
      <c r="C120" s="200">
        <v>69.0</v>
      </c>
      <c r="D120" s="199">
        <v>3.0</v>
      </c>
      <c r="E120" s="200">
        <v>0.0</v>
      </c>
      <c r="F120" s="201">
        <f t="shared" si="1"/>
        <v>0</v>
      </c>
      <c r="G120" s="200">
        <v>0.0</v>
      </c>
      <c r="H120" s="202">
        <f t="shared" si="2"/>
        <v>0</v>
      </c>
      <c r="I120" s="203">
        <v>0.0</v>
      </c>
    </row>
    <row r="121">
      <c r="A121" s="51" t="s">
        <v>376</v>
      </c>
      <c r="B121" s="199">
        <v>1.0</v>
      </c>
      <c r="C121" s="200">
        <v>23.0</v>
      </c>
      <c r="D121" s="199">
        <v>3.0</v>
      </c>
      <c r="E121" s="200">
        <v>0.0</v>
      </c>
      <c r="F121" s="201">
        <f t="shared" si="1"/>
        <v>0</v>
      </c>
      <c r="G121" s="200">
        <v>0.0</v>
      </c>
      <c r="H121" s="202">
        <f t="shared" si="2"/>
        <v>0</v>
      </c>
      <c r="I121" s="203">
        <v>0.0</v>
      </c>
    </row>
    <row r="122">
      <c r="A122" s="51" t="s">
        <v>339</v>
      </c>
      <c r="B122" s="199">
        <v>1.0</v>
      </c>
      <c r="C122" s="200">
        <v>23.0</v>
      </c>
      <c r="D122" s="199">
        <v>1.0</v>
      </c>
      <c r="E122" s="200">
        <v>0.0</v>
      </c>
      <c r="F122" s="201">
        <f t="shared" si="1"/>
        <v>0</v>
      </c>
      <c r="G122" s="200">
        <v>0.0</v>
      </c>
      <c r="H122" s="202">
        <f t="shared" si="2"/>
        <v>0</v>
      </c>
      <c r="I122" s="203">
        <v>0.0</v>
      </c>
    </row>
    <row r="123">
      <c r="A123" s="51" t="s">
        <v>399</v>
      </c>
      <c r="B123" s="199">
        <v>1.0</v>
      </c>
      <c r="C123" s="200">
        <v>23.0</v>
      </c>
      <c r="D123" s="199">
        <v>1.0</v>
      </c>
      <c r="E123" s="200">
        <v>0.0</v>
      </c>
      <c r="F123" s="201">
        <f t="shared" si="1"/>
        <v>0</v>
      </c>
      <c r="G123" s="200">
        <v>0.0</v>
      </c>
      <c r="H123" s="202">
        <f t="shared" si="2"/>
        <v>0</v>
      </c>
      <c r="I123" s="203">
        <v>0.0</v>
      </c>
    </row>
    <row r="124">
      <c r="A124" s="51" t="s">
        <v>301</v>
      </c>
      <c r="B124" s="199">
        <v>4.0</v>
      </c>
      <c r="C124" s="200">
        <v>92.0</v>
      </c>
      <c r="D124" s="199">
        <v>11.0</v>
      </c>
      <c r="E124" s="200">
        <v>-1.0</v>
      </c>
      <c r="F124" s="201">
        <f t="shared" si="1"/>
        <v>-0.8695652174</v>
      </c>
      <c r="G124" s="200">
        <v>1.25</v>
      </c>
      <c r="H124" s="202">
        <f t="shared" si="2"/>
        <v>5</v>
      </c>
      <c r="I124" s="203">
        <v>0.364</v>
      </c>
    </row>
    <row r="125">
      <c r="A125" s="51" t="s">
        <v>342</v>
      </c>
      <c r="B125" s="199">
        <v>3.0</v>
      </c>
      <c r="C125" s="200">
        <v>69.0</v>
      </c>
      <c r="D125" s="199">
        <v>11.0</v>
      </c>
      <c r="E125" s="200">
        <v>-2.67</v>
      </c>
      <c r="F125" s="201">
        <f t="shared" si="1"/>
        <v>-2.32173913</v>
      </c>
      <c r="G125" s="200">
        <v>1.67</v>
      </c>
      <c r="H125" s="202">
        <f t="shared" si="2"/>
        <v>5.01</v>
      </c>
      <c r="I125" s="203">
        <v>0.273</v>
      </c>
    </row>
    <row r="126">
      <c r="A126" s="51" t="s">
        <v>365</v>
      </c>
      <c r="B126" s="199">
        <v>4.0</v>
      </c>
      <c r="C126" s="200">
        <v>92.0</v>
      </c>
      <c r="D126" s="199">
        <v>13.0</v>
      </c>
      <c r="E126" s="200">
        <v>-3.0</v>
      </c>
      <c r="F126" s="201">
        <f t="shared" si="1"/>
        <v>-2.608695652</v>
      </c>
      <c r="G126" s="200">
        <v>1.5</v>
      </c>
      <c r="H126" s="202">
        <f t="shared" si="2"/>
        <v>6</v>
      </c>
      <c r="I126" s="203">
        <v>0.231</v>
      </c>
    </row>
    <row r="127">
      <c r="A127" s="51" t="s">
        <v>367</v>
      </c>
      <c r="B127" s="199">
        <v>1.0</v>
      </c>
      <c r="C127" s="200">
        <v>23.0</v>
      </c>
      <c r="D127" s="199">
        <v>1.0</v>
      </c>
      <c r="E127" s="200">
        <v>-4.0</v>
      </c>
      <c r="F127" s="201">
        <f t="shared" si="1"/>
        <v>-3.47826087</v>
      </c>
      <c r="G127" s="200">
        <v>1.0</v>
      </c>
      <c r="H127" s="202">
        <f t="shared" si="2"/>
        <v>1</v>
      </c>
      <c r="I127" s="203">
        <v>0.0</v>
      </c>
    </row>
    <row r="128">
      <c r="A128" s="204"/>
      <c r="B128" s="204"/>
      <c r="C128" s="205"/>
      <c r="D128" s="204"/>
      <c r="E128" s="205"/>
      <c r="F128" s="201"/>
      <c r="G128" s="205"/>
      <c r="H128" s="202"/>
      <c r="I128" s="204"/>
    </row>
    <row r="129">
      <c r="A129" s="204"/>
      <c r="B129" s="204"/>
      <c r="C129" s="205"/>
      <c r="D129" s="204"/>
      <c r="E129" s="205"/>
      <c r="F129" s="201"/>
      <c r="G129" s="205"/>
      <c r="H129" s="202"/>
      <c r="I129" s="204"/>
    </row>
    <row r="130">
      <c r="A130" s="204"/>
      <c r="B130" s="204"/>
      <c r="C130" s="205"/>
      <c r="D130" s="204"/>
      <c r="E130" s="205"/>
      <c r="F130" s="201"/>
      <c r="G130" s="205"/>
      <c r="H130" s="202"/>
      <c r="I130" s="204"/>
    </row>
    <row r="131">
      <c r="A131" s="204"/>
      <c r="B131" s="204"/>
      <c r="C131" s="205"/>
      <c r="D131" s="204"/>
      <c r="E131" s="205"/>
      <c r="F131" s="201"/>
      <c r="G131" s="205"/>
      <c r="H131" s="202"/>
      <c r="I131" s="204"/>
    </row>
    <row r="132">
      <c r="A132" s="204"/>
      <c r="B132" s="204"/>
      <c r="C132" s="205"/>
      <c r="D132" s="204"/>
      <c r="E132" s="205"/>
      <c r="F132" s="201"/>
      <c r="G132" s="205"/>
      <c r="H132" s="202"/>
      <c r="I132" s="204"/>
    </row>
    <row r="133">
      <c r="A133" s="204"/>
      <c r="B133" s="204"/>
      <c r="C133" s="205"/>
      <c r="D133" s="204"/>
      <c r="E133" s="205"/>
      <c r="F133" s="201"/>
      <c r="G133" s="205"/>
      <c r="H133" s="202"/>
      <c r="I133" s="204"/>
    </row>
    <row r="134">
      <c r="A134" s="204"/>
      <c r="B134" s="204"/>
      <c r="C134" s="205"/>
      <c r="D134" s="204"/>
      <c r="E134" s="205"/>
      <c r="F134" s="201"/>
      <c r="G134" s="205"/>
      <c r="H134" s="202"/>
      <c r="I134" s="204"/>
    </row>
    <row r="135">
      <c r="A135" s="204"/>
      <c r="B135" s="204"/>
      <c r="C135" s="205"/>
      <c r="D135" s="204"/>
      <c r="E135" s="205"/>
      <c r="F135" s="201"/>
      <c r="G135" s="205"/>
      <c r="H135" s="202"/>
      <c r="I135" s="204"/>
    </row>
    <row r="136">
      <c r="A136" s="204"/>
      <c r="B136" s="204"/>
      <c r="C136" s="205"/>
      <c r="D136" s="204"/>
      <c r="E136" s="205"/>
      <c r="F136" s="201"/>
      <c r="G136" s="205"/>
      <c r="H136" s="202"/>
      <c r="I136" s="204"/>
    </row>
    <row r="137">
      <c r="A137" s="204"/>
      <c r="B137" s="204"/>
      <c r="C137" s="205"/>
      <c r="D137" s="204"/>
      <c r="E137" s="205"/>
      <c r="F137" s="201"/>
      <c r="G137" s="205"/>
      <c r="H137" s="202"/>
      <c r="I137" s="204"/>
    </row>
    <row r="138">
      <c r="A138" s="204"/>
      <c r="B138" s="204"/>
      <c r="C138" s="205"/>
      <c r="D138" s="204"/>
      <c r="E138" s="205"/>
      <c r="F138" s="201"/>
      <c r="G138" s="205"/>
      <c r="H138" s="202"/>
      <c r="I138" s="204"/>
    </row>
    <row r="139">
      <c r="A139" s="204"/>
      <c r="B139" s="204"/>
      <c r="C139" s="205"/>
      <c r="D139" s="204"/>
      <c r="E139" s="205"/>
      <c r="F139" s="201"/>
      <c r="G139" s="205"/>
      <c r="H139" s="202"/>
      <c r="I139" s="204"/>
    </row>
  </sheetData>
  <hyperlinks>
    <hyperlink display="Catstats Hub" location="'Catstats Hub'!A1" ref="A1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88"/>
    <col customWidth="1" min="2" max="2" width="15.63"/>
    <col customWidth="1" min="3" max="3" width="14.13"/>
  </cols>
  <sheetData>
    <row r="1">
      <c r="A1" s="193" t="s">
        <v>263</v>
      </c>
      <c r="B1" s="194" t="s">
        <v>264</v>
      </c>
      <c r="C1" s="195" t="s">
        <v>265</v>
      </c>
      <c r="D1" s="228" t="s">
        <v>266</v>
      </c>
      <c r="E1" s="195" t="s">
        <v>267</v>
      </c>
      <c r="F1" s="196" t="s">
        <v>268</v>
      </c>
      <c r="G1" s="195" t="s">
        <v>269</v>
      </c>
      <c r="H1" s="197" t="s">
        <v>270</v>
      </c>
      <c r="I1" s="198" t="s">
        <v>271</v>
      </c>
    </row>
    <row r="2">
      <c r="A2" s="229" t="s">
        <v>274</v>
      </c>
      <c r="B2" s="199">
        <v>4.0</v>
      </c>
      <c r="C2" s="200">
        <v>16.0</v>
      </c>
      <c r="D2" s="230">
        <v>12.0</v>
      </c>
      <c r="E2" s="200">
        <v>11.0</v>
      </c>
      <c r="F2" s="201">
        <f t="shared" ref="F2:F127" si="1">E2*B2*4/C2</f>
        <v>11</v>
      </c>
      <c r="G2" s="200">
        <v>0.0</v>
      </c>
      <c r="H2" s="202">
        <f t="shared" ref="H2:H127" si="2">G2*B2</f>
        <v>0</v>
      </c>
      <c r="I2" s="203">
        <v>0.917</v>
      </c>
    </row>
    <row r="3">
      <c r="A3" s="229" t="s">
        <v>382</v>
      </c>
      <c r="B3" s="199">
        <v>4.0</v>
      </c>
      <c r="C3" s="200">
        <v>16.0</v>
      </c>
      <c r="D3" s="230">
        <v>12.0</v>
      </c>
      <c r="E3" s="200">
        <v>9.0</v>
      </c>
      <c r="F3" s="201">
        <f t="shared" si="1"/>
        <v>9</v>
      </c>
      <c r="G3" s="200">
        <v>0.25</v>
      </c>
      <c r="H3" s="202">
        <f t="shared" si="2"/>
        <v>1</v>
      </c>
      <c r="I3" s="203">
        <v>0.833</v>
      </c>
    </row>
    <row r="4">
      <c r="A4" s="229" t="s">
        <v>290</v>
      </c>
      <c r="B4" s="199">
        <v>4.0</v>
      </c>
      <c r="C4" s="200">
        <v>16.0</v>
      </c>
      <c r="D4" s="230">
        <v>13.0</v>
      </c>
      <c r="E4" s="200">
        <v>9.0</v>
      </c>
      <c r="F4" s="201">
        <f t="shared" si="1"/>
        <v>9</v>
      </c>
      <c r="G4" s="200">
        <v>0.25</v>
      </c>
      <c r="H4" s="202">
        <f t="shared" si="2"/>
        <v>1</v>
      </c>
      <c r="I4" s="203">
        <v>0.769</v>
      </c>
    </row>
    <row r="5">
      <c r="A5" s="229" t="s">
        <v>304</v>
      </c>
      <c r="B5" s="199">
        <v>4.0</v>
      </c>
      <c r="C5" s="200">
        <v>16.0</v>
      </c>
      <c r="D5" s="230">
        <v>11.0</v>
      </c>
      <c r="E5" s="200">
        <v>8.0</v>
      </c>
      <c r="F5" s="201">
        <f t="shared" si="1"/>
        <v>8</v>
      </c>
      <c r="G5" s="200">
        <v>0.25</v>
      </c>
      <c r="H5" s="202">
        <f t="shared" si="2"/>
        <v>1</v>
      </c>
      <c r="I5" s="203">
        <v>0.818</v>
      </c>
    </row>
    <row r="6">
      <c r="A6" s="229" t="s">
        <v>318</v>
      </c>
      <c r="B6" s="199">
        <v>4.0</v>
      </c>
      <c r="C6" s="200">
        <v>16.0</v>
      </c>
      <c r="D6" s="230">
        <v>13.0</v>
      </c>
      <c r="E6" s="200">
        <v>7.0</v>
      </c>
      <c r="F6" s="201">
        <f t="shared" si="1"/>
        <v>7</v>
      </c>
      <c r="G6" s="200">
        <v>0.5</v>
      </c>
      <c r="H6" s="202">
        <f t="shared" si="2"/>
        <v>2</v>
      </c>
      <c r="I6" s="203">
        <v>0.692</v>
      </c>
    </row>
    <row r="7">
      <c r="A7" s="229" t="s">
        <v>312</v>
      </c>
      <c r="B7" s="199">
        <v>4.0</v>
      </c>
      <c r="C7" s="200">
        <v>16.0</v>
      </c>
      <c r="D7" s="230">
        <v>10.0</v>
      </c>
      <c r="E7" s="200">
        <v>7.0</v>
      </c>
      <c r="F7" s="201">
        <f t="shared" si="1"/>
        <v>7</v>
      </c>
      <c r="G7" s="200">
        <v>0.25</v>
      </c>
      <c r="H7" s="202">
        <f t="shared" si="2"/>
        <v>1</v>
      </c>
      <c r="I7" s="203">
        <v>0.8</v>
      </c>
    </row>
    <row r="8">
      <c r="A8" s="229" t="s">
        <v>306</v>
      </c>
      <c r="B8" s="199">
        <v>4.0</v>
      </c>
      <c r="C8" s="200">
        <v>13.0</v>
      </c>
      <c r="D8" s="230">
        <v>8.0</v>
      </c>
      <c r="E8" s="200">
        <v>5.0</v>
      </c>
      <c r="F8" s="201">
        <f t="shared" si="1"/>
        <v>6.153846154</v>
      </c>
      <c r="G8" s="200">
        <v>0.25</v>
      </c>
      <c r="H8" s="202">
        <f t="shared" si="2"/>
        <v>1</v>
      </c>
      <c r="I8" s="203">
        <v>0.75</v>
      </c>
    </row>
    <row r="9">
      <c r="A9" s="229" t="s">
        <v>326</v>
      </c>
      <c r="B9" s="199">
        <v>4.0</v>
      </c>
      <c r="C9" s="200">
        <v>16.0</v>
      </c>
      <c r="D9" s="230">
        <v>9.0</v>
      </c>
      <c r="E9" s="200">
        <v>6.0</v>
      </c>
      <c r="F9" s="201">
        <f t="shared" si="1"/>
        <v>6</v>
      </c>
      <c r="G9" s="200">
        <v>0.25</v>
      </c>
      <c r="H9" s="202">
        <f t="shared" si="2"/>
        <v>1</v>
      </c>
      <c r="I9" s="203">
        <v>0.778</v>
      </c>
    </row>
    <row r="10">
      <c r="A10" s="229" t="s">
        <v>394</v>
      </c>
      <c r="B10" s="199">
        <v>4.0</v>
      </c>
      <c r="C10" s="200">
        <v>16.0</v>
      </c>
      <c r="D10" s="230">
        <v>5.0</v>
      </c>
      <c r="E10" s="200">
        <v>4.0</v>
      </c>
      <c r="F10" s="201">
        <f t="shared" si="1"/>
        <v>4</v>
      </c>
      <c r="G10" s="200">
        <v>0.0</v>
      </c>
      <c r="H10" s="202">
        <f t="shared" si="2"/>
        <v>0</v>
      </c>
      <c r="I10" s="203">
        <v>0.8</v>
      </c>
    </row>
    <row r="11">
      <c r="A11" s="229" t="s">
        <v>352</v>
      </c>
      <c r="B11" s="199">
        <v>3.0</v>
      </c>
      <c r="C11" s="200">
        <v>12.0</v>
      </c>
      <c r="D11" s="230">
        <v>3.0</v>
      </c>
      <c r="E11" s="200">
        <v>4.0</v>
      </c>
      <c r="F11" s="201">
        <f t="shared" si="1"/>
        <v>4</v>
      </c>
      <c r="G11" s="200">
        <v>0.0</v>
      </c>
      <c r="H11" s="202">
        <f t="shared" si="2"/>
        <v>0</v>
      </c>
      <c r="I11" s="203">
        <v>1.0</v>
      </c>
    </row>
    <row r="12">
      <c r="A12" s="229" t="s">
        <v>300</v>
      </c>
      <c r="B12" s="199">
        <v>4.0</v>
      </c>
      <c r="C12" s="200">
        <v>16.0</v>
      </c>
      <c r="D12" s="230">
        <v>11.0</v>
      </c>
      <c r="E12" s="200">
        <v>4.0</v>
      </c>
      <c r="F12" s="201">
        <f t="shared" si="1"/>
        <v>4</v>
      </c>
      <c r="G12" s="200">
        <v>0.75</v>
      </c>
      <c r="H12" s="202">
        <f t="shared" si="2"/>
        <v>3</v>
      </c>
      <c r="I12" s="203">
        <v>0.636</v>
      </c>
    </row>
    <row r="13">
      <c r="A13" s="229" t="s">
        <v>364</v>
      </c>
      <c r="B13" s="199">
        <v>3.0</v>
      </c>
      <c r="C13" s="200">
        <v>12.0</v>
      </c>
      <c r="D13" s="230">
        <v>10.0</v>
      </c>
      <c r="E13" s="200">
        <v>4.0</v>
      </c>
      <c r="F13" s="201">
        <f t="shared" si="1"/>
        <v>4</v>
      </c>
      <c r="G13" s="200">
        <v>0.0</v>
      </c>
      <c r="H13" s="202">
        <f t="shared" si="2"/>
        <v>0</v>
      </c>
      <c r="I13" s="203">
        <v>0.3</v>
      </c>
    </row>
    <row r="14">
      <c r="A14" s="229" t="s">
        <v>398</v>
      </c>
      <c r="B14" s="199">
        <v>1.0</v>
      </c>
      <c r="C14" s="200">
        <v>4.0</v>
      </c>
      <c r="D14" s="230">
        <v>2.0</v>
      </c>
      <c r="E14" s="200">
        <v>4.0</v>
      </c>
      <c r="F14" s="201">
        <f t="shared" si="1"/>
        <v>4</v>
      </c>
      <c r="G14" s="200">
        <v>0.0</v>
      </c>
      <c r="H14" s="202">
        <f t="shared" si="2"/>
        <v>0</v>
      </c>
      <c r="I14" s="203">
        <v>0.5</v>
      </c>
    </row>
    <row r="15">
      <c r="A15" s="229" t="s">
        <v>299</v>
      </c>
      <c r="B15" s="199">
        <v>4.0</v>
      </c>
      <c r="C15" s="200">
        <v>16.0</v>
      </c>
      <c r="D15" s="230">
        <v>9.0</v>
      </c>
      <c r="E15" s="200">
        <v>4.0</v>
      </c>
      <c r="F15" s="201">
        <f t="shared" si="1"/>
        <v>4</v>
      </c>
      <c r="G15" s="200">
        <v>0.0</v>
      </c>
      <c r="H15" s="202">
        <f t="shared" si="2"/>
        <v>0</v>
      </c>
      <c r="I15" s="203">
        <v>0.444</v>
      </c>
    </row>
    <row r="16">
      <c r="A16" s="229" t="s">
        <v>362</v>
      </c>
      <c r="B16" s="199">
        <v>2.0</v>
      </c>
      <c r="C16" s="200">
        <v>8.0</v>
      </c>
      <c r="D16" s="230">
        <v>2.0</v>
      </c>
      <c r="E16" s="200">
        <v>4.0</v>
      </c>
      <c r="F16" s="201">
        <f t="shared" si="1"/>
        <v>4</v>
      </c>
      <c r="G16" s="200">
        <v>0.0</v>
      </c>
      <c r="H16" s="202">
        <f t="shared" si="2"/>
        <v>0</v>
      </c>
      <c r="I16" s="203">
        <v>1.0</v>
      </c>
    </row>
    <row r="17">
      <c r="A17" s="229" t="s">
        <v>385</v>
      </c>
      <c r="B17" s="199">
        <v>2.0</v>
      </c>
      <c r="C17" s="200">
        <v>8.0</v>
      </c>
      <c r="D17" s="230">
        <v>2.0</v>
      </c>
      <c r="E17" s="200">
        <v>4.0</v>
      </c>
      <c r="F17" s="201">
        <f t="shared" si="1"/>
        <v>4</v>
      </c>
      <c r="G17" s="200">
        <v>0.0</v>
      </c>
      <c r="H17" s="202">
        <f t="shared" si="2"/>
        <v>0</v>
      </c>
      <c r="I17" s="203">
        <v>1.0</v>
      </c>
    </row>
    <row r="18">
      <c r="A18" s="229" t="s">
        <v>377</v>
      </c>
      <c r="B18" s="199">
        <v>1.0</v>
      </c>
      <c r="C18" s="200">
        <v>4.0</v>
      </c>
      <c r="D18" s="230">
        <v>1.0</v>
      </c>
      <c r="E18" s="200">
        <v>4.0</v>
      </c>
      <c r="F18" s="201">
        <f t="shared" si="1"/>
        <v>4</v>
      </c>
      <c r="G18" s="200">
        <v>0.0</v>
      </c>
      <c r="H18" s="202">
        <f t="shared" si="2"/>
        <v>0</v>
      </c>
      <c r="I18" s="203">
        <v>1.0</v>
      </c>
    </row>
    <row r="19">
      <c r="A19" s="229" t="s">
        <v>354</v>
      </c>
      <c r="B19" s="199">
        <v>2.0</v>
      </c>
      <c r="C19" s="200">
        <v>8.0</v>
      </c>
      <c r="D19" s="230">
        <v>2.0</v>
      </c>
      <c r="E19" s="200">
        <v>4.0</v>
      </c>
      <c r="F19" s="201">
        <f t="shared" si="1"/>
        <v>4</v>
      </c>
      <c r="G19" s="200">
        <v>0.0</v>
      </c>
      <c r="H19" s="202">
        <f t="shared" si="2"/>
        <v>0</v>
      </c>
      <c r="I19" s="203">
        <v>1.0</v>
      </c>
    </row>
    <row r="20">
      <c r="A20" s="229" t="s">
        <v>360</v>
      </c>
      <c r="B20" s="199">
        <v>1.0</v>
      </c>
      <c r="C20" s="200">
        <v>4.0</v>
      </c>
      <c r="D20" s="230">
        <v>1.0</v>
      </c>
      <c r="E20" s="200">
        <v>4.0</v>
      </c>
      <c r="F20" s="201">
        <f t="shared" si="1"/>
        <v>4</v>
      </c>
      <c r="G20" s="200">
        <v>0.0</v>
      </c>
      <c r="H20" s="202">
        <f t="shared" si="2"/>
        <v>0</v>
      </c>
      <c r="I20" s="203">
        <v>1.0</v>
      </c>
    </row>
    <row r="21">
      <c r="A21" s="229" t="s">
        <v>283</v>
      </c>
      <c r="B21" s="199">
        <v>4.0</v>
      </c>
      <c r="C21" s="200">
        <v>16.0</v>
      </c>
      <c r="D21" s="230">
        <v>11.0</v>
      </c>
      <c r="E21" s="200">
        <v>3.0</v>
      </c>
      <c r="F21" s="201">
        <f t="shared" si="1"/>
        <v>3</v>
      </c>
      <c r="G21" s="200">
        <v>0.75</v>
      </c>
      <c r="H21" s="202">
        <f t="shared" si="2"/>
        <v>3</v>
      </c>
      <c r="I21" s="203">
        <v>0.545</v>
      </c>
    </row>
    <row r="22">
      <c r="A22" s="229" t="s">
        <v>369</v>
      </c>
      <c r="B22" s="199">
        <v>4.0</v>
      </c>
      <c r="C22" s="200">
        <v>16.0</v>
      </c>
      <c r="D22" s="230">
        <v>11.0</v>
      </c>
      <c r="E22" s="200">
        <v>3.0</v>
      </c>
      <c r="F22" s="201">
        <f t="shared" si="1"/>
        <v>3</v>
      </c>
      <c r="G22" s="200">
        <v>0.75</v>
      </c>
      <c r="H22" s="202">
        <f t="shared" si="2"/>
        <v>3</v>
      </c>
      <c r="I22" s="203">
        <v>0.545</v>
      </c>
    </row>
    <row r="23">
      <c r="A23" s="229" t="s">
        <v>332</v>
      </c>
      <c r="B23" s="199">
        <v>4.0</v>
      </c>
      <c r="C23" s="200">
        <v>16.0</v>
      </c>
      <c r="D23" s="230">
        <v>11.0</v>
      </c>
      <c r="E23" s="200">
        <v>3.0</v>
      </c>
      <c r="F23" s="201">
        <f t="shared" si="1"/>
        <v>3</v>
      </c>
      <c r="G23" s="200">
        <v>0.0</v>
      </c>
      <c r="H23" s="202">
        <f t="shared" si="2"/>
        <v>0</v>
      </c>
      <c r="I23" s="203">
        <v>0.273</v>
      </c>
    </row>
    <row r="24">
      <c r="A24" s="229" t="s">
        <v>330</v>
      </c>
      <c r="B24" s="199">
        <v>4.0</v>
      </c>
      <c r="C24" s="200">
        <v>16.0</v>
      </c>
      <c r="D24" s="230">
        <v>6.0</v>
      </c>
      <c r="E24" s="200">
        <v>3.0</v>
      </c>
      <c r="F24" s="201">
        <f t="shared" si="1"/>
        <v>3</v>
      </c>
      <c r="G24" s="200">
        <v>0.0</v>
      </c>
      <c r="H24" s="202">
        <f t="shared" si="2"/>
        <v>0</v>
      </c>
      <c r="I24" s="203">
        <v>0.5</v>
      </c>
    </row>
    <row r="25">
      <c r="A25" s="229" t="s">
        <v>356</v>
      </c>
      <c r="B25" s="199">
        <v>4.0</v>
      </c>
      <c r="C25" s="200">
        <v>16.0</v>
      </c>
      <c r="D25" s="230">
        <v>8.0</v>
      </c>
      <c r="E25" s="200">
        <v>3.0</v>
      </c>
      <c r="F25" s="201">
        <f t="shared" si="1"/>
        <v>3</v>
      </c>
      <c r="G25" s="200">
        <v>0.25</v>
      </c>
      <c r="H25" s="202">
        <f t="shared" si="2"/>
        <v>1</v>
      </c>
      <c r="I25" s="203">
        <v>0.5</v>
      </c>
    </row>
    <row r="26">
      <c r="A26" s="229" t="s">
        <v>359</v>
      </c>
      <c r="B26" s="199">
        <v>4.0</v>
      </c>
      <c r="C26" s="200">
        <v>16.0</v>
      </c>
      <c r="D26" s="230">
        <v>8.0</v>
      </c>
      <c r="E26" s="200">
        <v>3.0</v>
      </c>
      <c r="F26" s="201">
        <f t="shared" si="1"/>
        <v>3</v>
      </c>
      <c r="G26" s="200">
        <v>0.0</v>
      </c>
      <c r="H26" s="202">
        <f t="shared" si="2"/>
        <v>0</v>
      </c>
      <c r="I26" s="203">
        <v>0.375</v>
      </c>
    </row>
    <row r="27">
      <c r="A27" s="229" t="s">
        <v>379</v>
      </c>
      <c r="B27" s="199">
        <v>4.0</v>
      </c>
      <c r="C27" s="200">
        <v>16.0</v>
      </c>
      <c r="D27" s="230">
        <v>7.0</v>
      </c>
      <c r="E27" s="200">
        <v>3.0</v>
      </c>
      <c r="F27" s="201">
        <f t="shared" si="1"/>
        <v>3</v>
      </c>
      <c r="G27" s="200">
        <v>0.0</v>
      </c>
      <c r="H27" s="202">
        <f t="shared" si="2"/>
        <v>0</v>
      </c>
      <c r="I27" s="203">
        <v>0.429</v>
      </c>
    </row>
    <row r="28">
      <c r="A28" s="229" t="s">
        <v>321</v>
      </c>
      <c r="B28" s="199">
        <v>4.0</v>
      </c>
      <c r="C28" s="200">
        <v>16.0</v>
      </c>
      <c r="D28" s="230">
        <v>5.0</v>
      </c>
      <c r="E28" s="200">
        <v>3.0</v>
      </c>
      <c r="F28" s="201">
        <f t="shared" si="1"/>
        <v>3</v>
      </c>
      <c r="G28" s="200">
        <v>0.25</v>
      </c>
      <c r="H28" s="202">
        <f t="shared" si="2"/>
        <v>1</v>
      </c>
      <c r="I28" s="203">
        <v>0.8</v>
      </c>
    </row>
    <row r="29">
      <c r="A29" s="229" t="s">
        <v>368</v>
      </c>
      <c r="B29" s="199">
        <v>4.0</v>
      </c>
      <c r="C29" s="200">
        <v>16.0</v>
      </c>
      <c r="D29" s="230">
        <v>4.0</v>
      </c>
      <c r="E29" s="200">
        <v>3.0</v>
      </c>
      <c r="F29" s="201">
        <f t="shared" si="1"/>
        <v>3</v>
      </c>
      <c r="G29" s="200">
        <v>0.0</v>
      </c>
      <c r="H29" s="202">
        <f t="shared" si="2"/>
        <v>0</v>
      </c>
      <c r="I29" s="203">
        <v>0.75</v>
      </c>
    </row>
    <row r="30">
      <c r="A30" s="229" t="s">
        <v>404</v>
      </c>
      <c r="B30" s="199">
        <v>3.0</v>
      </c>
      <c r="C30" s="200">
        <v>12.0</v>
      </c>
      <c r="D30" s="230">
        <v>3.0</v>
      </c>
      <c r="E30" s="200">
        <v>2.67</v>
      </c>
      <c r="F30" s="201">
        <f t="shared" si="1"/>
        <v>2.67</v>
      </c>
      <c r="G30" s="200">
        <v>0.0</v>
      </c>
      <c r="H30" s="202">
        <f t="shared" si="2"/>
        <v>0</v>
      </c>
      <c r="I30" s="203">
        <v>0.667</v>
      </c>
    </row>
    <row r="31">
      <c r="A31" s="229" t="s">
        <v>391</v>
      </c>
      <c r="B31" s="199">
        <v>3.0</v>
      </c>
      <c r="C31" s="200">
        <v>12.0</v>
      </c>
      <c r="D31" s="230">
        <v>8.0</v>
      </c>
      <c r="E31" s="200">
        <v>2.67</v>
      </c>
      <c r="F31" s="201">
        <f t="shared" si="1"/>
        <v>2.67</v>
      </c>
      <c r="G31" s="200">
        <v>0.33</v>
      </c>
      <c r="H31" s="202">
        <f t="shared" si="2"/>
        <v>0.99</v>
      </c>
      <c r="I31" s="203">
        <v>0.375</v>
      </c>
    </row>
    <row r="32">
      <c r="A32" s="229" t="s">
        <v>395</v>
      </c>
      <c r="B32" s="199">
        <v>4.0</v>
      </c>
      <c r="C32" s="200">
        <v>16.0</v>
      </c>
      <c r="D32" s="230">
        <v>8.0</v>
      </c>
      <c r="E32" s="200">
        <v>2.0</v>
      </c>
      <c r="F32" s="201">
        <f t="shared" si="1"/>
        <v>2</v>
      </c>
      <c r="G32" s="200">
        <v>0.25</v>
      </c>
      <c r="H32" s="202">
        <f t="shared" si="2"/>
        <v>1</v>
      </c>
      <c r="I32" s="203">
        <v>0.375</v>
      </c>
    </row>
    <row r="33">
      <c r="A33" s="229" t="s">
        <v>302</v>
      </c>
      <c r="B33" s="199">
        <v>4.0</v>
      </c>
      <c r="C33" s="200">
        <v>16.0</v>
      </c>
      <c r="D33" s="230">
        <v>2.0</v>
      </c>
      <c r="E33" s="200">
        <v>2.0</v>
      </c>
      <c r="F33" s="201">
        <f t="shared" si="1"/>
        <v>2</v>
      </c>
      <c r="G33" s="200">
        <v>0.0</v>
      </c>
      <c r="H33" s="202">
        <f t="shared" si="2"/>
        <v>0</v>
      </c>
      <c r="I33" s="203">
        <v>1.0</v>
      </c>
    </row>
    <row r="34">
      <c r="A34" s="229" t="s">
        <v>402</v>
      </c>
      <c r="B34" s="199">
        <v>4.0</v>
      </c>
      <c r="C34" s="200">
        <v>16.0</v>
      </c>
      <c r="D34" s="230">
        <v>3.0</v>
      </c>
      <c r="E34" s="200">
        <v>2.0</v>
      </c>
      <c r="F34" s="201">
        <f t="shared" si="1"/>
        <v>2</v>
      </c>
      <c r="G34" s="200">
        <v>0.0</v>
      </c>
      <c r="H34" s="202">
        <f t="shared" si="2"/>
        <v>0</v>
      </c>
      <c r="I34" s="203">
        <v>0.667</v>
      </c>
    </row>
    <row r="35">
      <c r="A35" s="229" t="s">
        <v>294</v>
      </c>
      <c r="B35" s="199">
        <v>4.0</v>
      </c>
      <c r="C35" s="200">
        <v>16.0</v>
      </c>
      <c r="D35" s="230">
        <v>2.0</v>
      </c>
      <c r="E35" s="200">
        <v>2.0</v>
      </c>
      <c r="F35" s="201">
        <f t="shared" si="1"/>
        <v>2</v>
      </c>
      <c r="G35" s="200">
        <v>0.0</v>
      </c>
      <c r="H35" s="202">
        <f t="shared" si="2"/>
        <v>0</v>
      </c>
      <c r="I35" s="203">
        <v>1.0</v>
      </c>
    </row>
    <row r="36">
      <c r="A36" s="229" t="s">
        <v>333</v>
      </c>
      <c r="B36" s="199">
        <v>2.0</v>
      </c>
      <c r="C36" s="200">
        <v>8.0</v>
      </c>
      <c r="D36" s="230">
        <v>3.0</v>
      </c>
      <c r="E36" s="200">
        <v>2.0</v>
      </c>
      <c r="F36" s="201">
        <f t="shared" si="1"/>
        <v>2</v>
      </c>
      <c r="G36" s="200">
        <v>0.5</v>
      </c>
      <c r="H36" s="202">
        <f t="shared" si="2"/>
        <v>1</v>
      </c>
      <c r="I36" s="203">
        <v>0.667</v>
      </c>
    </row>
    <row r="37">
      <c r="A37" s="229" t="s">
        <v>277</v>
      </c>
      <c r="B37" s="199">
        <v>3.0</v>
      </c>
      <c r="C37" s="200">
        <v>9.0</v>
      </c>
      <c r="D37" s="230">
        <v>1.0</v>
      </c>
      <c r="E37" s="200">
        <v>1.33</v>
      </c>
      <c r="F37" s="201">
        <f t="shared" si="1"/>
        <v>1.773333333</v>
      </c>
      <c r="G37" s="200">
        <v>0.0</v>
      </c>
      <c r="H37" s="202">
        <f t="shared" si="2"/>
        <v>0</v>
      </c>
      <c r="I37" s="203">
        <v>1.0</v>
      </c>
    </row>
    <row r="38">
      <c r="A38" s="229" t="s">
        <v>389</v>
      </c>
      <c r="B38" s="199">
        <v>3.0</v>
      </c>
      <c r="C38" s="200">
        <v>12.0</v>
      </c>
      <c r="D38" s="230">
        <v>1.0</v>
      </c>
      <c r="E38" s="200">
        <v>1.33</v>
      </c>
      <c r="F38" s="201">
        <f t="shared" si="1"/>
        <v>1.33</v>
      </c>
      <c r="G38" s="200">
        <v>0.0</v>
      </c>
      <c r="H38" s="202">
        <f t="shared" si="2"/>
        <v>0</v>
      </c>
      <c r="I38" s="203">
        <v>1.0</v>
      </c>
    </row>
    <row r="39">
      <c r="A39" s="229" t="s">
        <v>342</v>
      </c>
      <c r="B39" s="199">
        <v>3.0</v>
      </c>
      <c r="C39" s="200">
        <v>12.0</v>
      </c>
      <c r="D39" s="230">
        <v>1.0</v>
      </c>
      <c r="E39" s="200">
        <v>1.33</v>
      </c>
      <c r="F39" s="201">
        <f t="shared" si="1"/>
        <v>1.33</v>
      </c>
      <c r="G39" s="200">
        <v>0.0</v>
      </c>
      <c r="H39" s="202">
        <f t="shared" si="2"/>
        <v>0</v>
      </c>
      <c r="I39" s="203">
        <v>1.0</v>
      </c>
    </row>
    <row r="40">
      <c r="A40" s="229" t="s">
        <v>355</v>
      </c>
      <c r="B40" s="199">
        <v>3.0</v>
      </c>
      <c r="C40" s="200">
        <v>12.0</v>
      </c>
      <c r="D40" s="230">
        <v>1.0</v>
      </c>
      <c r="E40" s="200">
        <v>1.33</v>
      </c>
      <c r="F40" s="201">
        <f t="shared" si="1"/>
        <v>1.33</v>
      </c>
      <c r="G40" s="200">
        <v>0.0</v>
      </c>
      <c r="H40" s="202">
        <f t="shared" si="2"/>
        <v>0</v>
      </c>
      <c r="I40" s="203">
        <v>1.0</v>
      </c>
    </row>
    <row r="41">
      <c r="A41" s="229" t="s">
        <v>287</v>
      </c>
      <c r="B41" s="199">
        <v>4.0</v>
      </c>
      <c r="C41" s="200">
        <v>13.0</v>
      </c>
      <c r="D41" s="230">
        <v>1.0</v>
      </c>
      <c r="E41" s="200">
        <v>1.0</v>
      </c>
      <c r="F41" s="201">
        <f t="shared" si="1"/>
        <v>1.230769231</v>
      </c>
      <c r="G41" s="200">
        <v>0.0</v>
      </c>
      <c r="H41" s="202">
        <f t="shared" si="2"/>
        <v>0</v>
      </c>
      <c r="I41" s="203">
        <v>1.0</v>
      </c>
    </row>
    <row r="42">
      <c r="A42" s="229" t="s">
        <v>310</v>
      </c>
      <c r="B42" s="199">
        <v>4.0</v>
      </c>
      <c r="C42" s="200">
        <v>16.0</v>
      </c>
      <c r="D42" s="230">
        <v>9.0</v>
      </c>
      <c r="E42" s="200">
        <v>1.0</v>
      </c>
      <c r="F42" s="201">
        <f t="shared" si="1"/>
        <v>1</v>
      </c>
      <c r="G42" s="200">
        <v>0.5</v>
      </c>
      <c r="H42" s="202">
        <f t="shared" si="2"/>
        <v>2</v>
      </c>
      <c r="I42" s="203">
        <v>0.333</v>
      </c>
    </row>
    <row r="43">
      <c r="A43" s="229" t="s">
        <v>286</v>
      </c>
      <c r="B43" s="199">
        <v>4.0</v>
      </c>
      <c r="C43" s="200">
        <v>16.0</v>
      </c>
      <c r="D43" s="230">
        <v>1.0</v>
      </c>
      <c r="E43" s="200">
        <v>1.0</v>
      </c>
      <c r="F43" s="201">
        <f t="shared" si="1"/>
        <v>1</v>
      </c>
      <c r="G43" s="200">
        <v>0.0</v>
      </c>
      <c r="H43" s="202">
        <f t="shared" si="2"/>
        <v>0</v>
      </c>
      <c r="I43" s="203">
        <v>1.0</v>
      </c>
    </row>
    <row r="44">
      <c r="A44" s="229" t="s">
        <v>407</v>
      </c>
      <c r="B44" s="199">
        <v>4.0</v>
      </c>
      <c r="C44" s="200">
        <v>16.0</v>
      </c>
      <c r="D44" s="230">
        <v>5.0</v>
      </c>
      <c r="E44" s="200">
        <v>1.0</v>
      </c>
      <c r="F44" s="201">
        <f t="shared" si="1"/>
        <v>1</v>
      </c>
      <c r="G44" s="200">
        <v>0.0</v>
      </c>
      <c r="H44" s="202">
        <f t="shared" si="2"/>
        <v>0</v>
      </c>
      <c r="I44" s="203">
        <v>0.2</v>
      </c>
    </row>
    <row r="45">
      <c r="A45" s="229" t="s">
        <v>308</v>
      </c>
      <c r="B45" s="199">
        <v>4.0</v>
      </c>
      <c r="C45" s="200">
        <v>16.0</v>
      </c>
      <c r="D45" s="230">
        <v>1.0</v>
      </c>
      <c r="E45" s="200">
        <v>1.0</v>
      </c>
      <c r="F45" s="201">
        <f t="shared" si="1"/>
        <v>1</v>
      </c>
      <c r="G45" s="200">
        <v>0.0</v>
      </c>
      <c r="H45" s="202">
        <f t="shared" si="2"/>
        <v>0</v>
      </c>
      <c r="I45" s="203">
        <v>1.0</v>
      </c>
    </row>
    <row r="46">
      <c r="A46" s="229" t="s">
        <v>279</v>
      </c>
      <c r="B46" s="199">
        <v>4.0</v>
      </c>
      <c r="C46" s="200">
        <v>16.0</v>
      </c>
      <c r="D46" s="230">
        <v>4.0</v>
      </c>
      <c r="E46" s="200">
        <v>1.0</v>
      </c>
      <c r="F46" s="201">
        <f t="shared" si="1"/>
        <v>1</v>
      </c>
      <c r="G46" s="200">
        <v>0.25</v>
      </c>
      <c r="H46" s="202">
        <f t="shared" si="2"/>
        <v>1</v>
      </c>
      <c r="I46" s="203">
        <v>0.5</v>
      </c>
    </row>
    <row r="47">
      <c r="A47" s="229" t="s">
        <v>334</v>
      </c>
      <c r="B47" s="199">
        <v>4.0</v>
      </c>
      <c r="C47" s="200">
        <v>16.0</v>
      </c>
      <c r="D47" s="230">
        <v>3.0</v>
      </c>
      <c r="E47" s="200">
        <v>1.0</v>
      </c>
      <c r="F47" s="201">
        <f t="shared" si="1"/>
        <v>1</v>
      </c>
      <c r="G47" s="200">
        <v>0.0</v>
      </c>
      <c r="H47" s="202">
        <f t="shared" si="2"/>
        <v>0</v>
      </c>
      <c r="I47" s="203">
        <v>0.333</v>
      </c>
    </row>
    <row r="48">
      <c r="A48" s="229" t="s">
        <v>276</v>
      </c>
      <c r="B48" s="199">
        <v>4.0</v>
      </c>
      <c r="C48" s="200">
        <v>16.0</v>
      </c>
      <c r="D48" s="230">
        <v>1.0</v>
      </c>
      <c r="E48" s="200">
        <v>1.0</v>
      </c>
      <c r="F48" s="201">
        <f t="shared" si="1"/>
        <v>1</v>
      </c>
      <c r="G48" s="200">
        <v>0.0</v>
      </c>
      <c r="H48" s="202">
        <f t="shared" si="2"/>
        <v>0</v>
      </c>
      <c r="I48" s="203">
        <v>1.0</v>
      </c>
    </row>
    <row r="49">
      <c r="A49" s="229" t="s">
        <v>323</v>
      </c>
      <c r="B49" s="199">
        <v>4.0</v>
      </c>
      <c r="C49" s="200">
        <v>16.0</v>
      </c>
      <c r="D49" s="230">
        <v>8.0</v>
      </c>
      <c r="E49" s="200">
        <v>1.0</v>
      </c>
      <c r="F49" s="201">
        <f t="shared" si="1"/>
        <v>1</v>
      </c>
      <c r="G49" s="200">
        <v>0.0</v>
      </c>
      <c r="H49" s="202">
        <f t="shared" si="2"/>
        <v>0</v>
      </c>
      <c r="I49" s="203">
        <v>0.125</v>
      </c>
    </row>
    <row r="50">
      <c r="A50" s="229" t="s">
        <v>381</v>
      </c>
      <c r="B50" s="199">
        <v>4.0</v>
      </c>
      <c r="C50" s="200">
        <v>16.0</v>
      </c>
      <c r="D50" s="230">
        <v>4.0</v>
      </c>
      <c r="E50" s="200">
        <v>1.0</v>
      </c>
      <c r="F50" s="201">
        <f t="shared" si="1"/>
        <v>1</v>
      </c>
      <c r="G50" s="200">
        <v>0.0</v>
      </c>
      <c r="H50" s="202">
        <f t="shared" si="2"/>
        <v>0</v>
      </c>
      <c r="I50" s="203">
        <v>0.25</v>
      </c>
    </row>
    <row r="51">
      <c r="A51" s="229" t="s">
        <v>366</v>
      </c>
      <c r="B51" s="199">
        <v>4.0</v>
      </c>
      <c r="C51" s="200">
        <v>16.0</v>
      </c>
      <c r="D51" s="230">
        <v>1.0</v>
      </c>
      <c r="E51" s="200">
        <v>1.0</v>
      </c>
      <c r="F51" s="201">
        <f t="shared" si="1"/>
        <v>1</v>
      </c>
      <c r="G51" s="200">
        <v>0.0</v>
      </c>
      <c r="H51" s="202">
        <f t="shared" si="2"/>
        <v>0</v>
      </c>
      <c r="I51" s="203">
        <v>1.0</v>
      </c>
    </row>
    <row r="52">
      <c r="A52" s="229" t="s">
        <v>281</v>
      </c>
      <c r="B52" s="199">
        <v>4.0</v>
      </c>
      <c r="C52" s="200">
        <v>16.0</v>
      </c>
      <c r="D52" s="230">
        <v>2.0</v>
      </c>
      <c r="E52" s="200">
        <v>1.0</v>
      </c>
      <c r="F52" s="201">
        <f t="shared" si="1"/>
        <v>1</v>
      </c>
      <c r="G52" s="200">
        <v>0.0</v>
      </c>
      <c r="H52" s="202">
        <f t="shared" si="2"/>
        <v>0</v>
      </c>
      <c r="I52" s="203">
        <v>0.5</v>
      </c>
    </row>
    <row r="53">
      <c r="A53" s="229" t="s">
        <v>315</v>
      </c>
      <c r="B53" s="199">
        <v>4.0</v>
      </c>
      <c r="C53" s="200">
        <v>16.0</v>
      </c>
      <c r="D53" s="230">
        <v>2.0</v>
      </c>
      <c r="E53" s="200">
        <v>1.0</v>
      </c>
      <c r="F53" s="201">
        <f t="shared" si="1"/>
        <v>1</v>
      </c>
      <c r="G53" s="200">
        <v>0.0</v>
      </c>
      <c r="H53" s="202">
        <f t="shared" si="2"/>
        <v>0</v>
      </c>
      <c r="I53" s="203">
        <v>0.5</v>
      </c>
    </row>
    <row r="54">
      <c r="A54" s="229" t="s">
        <v>340</v>
      </c>
      <c r="B54" s="199">
        <v>4.0</v>
      </c>
      <c r="C54" s="200">
        <v>16.0</v>
      </c>
      <c r="D54" s="230">
        <v>0.0</v>
      </c>
      <c r="E54" s="200">
        <v>0.0</v>
      </c>
      <c r="F54" s="201">
        <f t="shared" si="1"/>
        <v>0</v>
      </c>
      <c r="G54" s="200">
        <v>0.0</v>
      </c>
      <c r="H54" s="202">
        <f t="shared" si="2"/>
        <v>0</v>
      </c>
      <c r="I54" s="203">
        <v>0.0</v>
      </c>
    </row>
    <row r="55">
      <c r="A55" s="229" t="s">
        <v>319</v>
      </c>
      <c r="B55" s="199">
        <v>4.0</v>
      </c>
      <c r="C55" s="200">
        <v>16.0</v>
      </c>
      <c r="D55" s="230">
        <v>0.0</v>
      </c>
      <c r="E55" s="200">
        <v>0.0</v>
      </c>
      <c r="F55" s="201">
        <f t="shared" si="1"/>
        <v>0</v>
      </c>
      <c r="G55" s="200">
        <v>0.0</v>
      </c>
      <c r="H55" s="202">
        <f t="shared" si="2"/>
        <v>0</v>
      </c>
      <c r="I55" s="203">
        <v>0.0</v>
      </c>
    </row>
    <row r="56">
      <c r="A56" s="229" t="s">
        <v>341</v>
      </c>
      <c r="B56" s="199">
        <v>4.0</v>
      </c>
      <c r="C56" s="200">
        <v>16.0</v>
      </c>
      <c r="D56" s="230">
        <v>0.0</v>
      </c>
      <c r="E56" s="200">
        <v>0.0</v>
      </c>
      <c r="F56" s="201">
        <f t="shared" si="1"/>
        <v>0</v>
      </c>
      <c r="G56" s="200">
        <v>0.0</v>
      </c>
      <c r="H56" s="202">
        <f t="shared" si="2"/>
        <v>0</v>
      </c>
      <c r="I56" s="203">
        <v>0.0</v>
      </c>
    </row>
    <row r="57">
      <c r="A57" s="229" t="s">
        <v>291</v>
      </c>
      <c r="B57" s="199">
        <v>4.0</v>
      </c>
      <c r="C57" s="200">
        <v>16.0</v>
      </c>
      <c r="D57" s="230">
        <v>1.0</v>
      </c>
      <c r="E57" s="200">
        <v>0.0</v>
      </c>
      <c r="F57" s="201">
        <f t="shared" si="1"/>
        <v>0</v>
      </c>
      <c r="G57" s="200">
        <v>0.0</v>
      </c>
      <c r="H57" s="202">
        <f t="shared" si="2"/>
        <v>0</v>
      </c>
      <c r="I57" s="203">
        <v>0.0</v>
      </c>
    </row>
    <row r="58">
      <c r="A58" s="229" t="s">
        <v>365</v>
      </c>
      <c r="B58" s="199">
        <v>4.0</v>
      </c>
      <c r="C58" s="200">
        <v>16.0</v>
      </c>
      <c r="D58" s="230">
        <v>0.0</v>
      </c>
      <c r="E58" s="200">
        <v>0.0</v>
      </c>
      <c r="F58" s="201">
        <f t="shared" si="1"/>
        <v>0</v>
      </c>
      <c r="G58" s="200">
        <v>0.0</v>
      </c>
      <c r="H58" s="202">
        <f t="shared" si="2"/>
        <v>0</v>
      </c>
      <c r="I58" s="203">
        <v>0.0</v>
      </c>
    </row>
    <row r="59">
      <c r="A59" s="229" t="s">
        <v>374</v>
      </c>
      <c r="B59" s="199">
        <v>1.0</v>
      </c>
      <c r="C59" s="200">
        <v>4.0</v>
      </c>
      <c r="D59" s="230">
        <v>0.0</v>
      </c>
      <c r="E59" s="200">
        <v>0.0</v>
      </c>
      <c r="F59" s="201">
        <f t="shared" si="1"/>
        <v>0</v>
      </c>
      <c r="G59" s="200">
        <v>0.0</v>
      </c>
      <c r="H59" s="202">
        <f t="shared" si="2"/>
        <v>0</v>
      </c>
      <c r="I59" s="203">
        <v>0.0</v>
      </c>
    </row>
    <row r="60">
      <c r="A60" s="229" t="s">
        <v>282</v>
      </c>
      <c r="B60" s="199">
        <v>4.0</v>
      </c>
      <c r="C60" s="200">
        <v>16.0</v>
      </c>
      <c r="D60" s="230">
        <v>0.0</v>
      </c>
      <c r="E60" s="200">
        <v>0.0</v>
      </c>
      <c r="F60" s="201">
        <f t="shared" si="1"/>
        <v>0</v>
      </c>
      <c r="G60" s="200">
        <v>0.0</v>
      </c>
      <c r="H60" s="202">
        <f t="shared" si="2"/>
        <v>0</v>
      </c>
      <c r="I60" s="203">
        <v>0.0</v>
      </c>
    </row>
    <row r="61">
      <c r="A61" s="229" t="s">
        <v>327</v>
      </c>
      <c r="B61" s="199">
        <v>4.0</v>
      </c>
      <c r="C61" s="200">
        <v>16.0</v>
      </c>
      <c r="D61" s="230">
        <v>0.0</v>
      </c>
      <c r="E61" s="200">
        <v>0.0</v>
      </c>
      <c r="F61" s="201">
        <f t="shared" si="1"/>
        <v>0</v>
      </c>
      <c r="G61" s="200">
        <v>0.0</v>
      </c>
      <c r="H61" s="202">
        <f t="shared" si="2"/>
        <v>0</v>
      </c>
      <c r="I61" s="203">
        <v>0.0</v>
      </c>
    </row>
    <row r="62">
      <c r="A62" s="229" t="s">
        <v>350</v>
      </c>
      <c r="B62" s="199">
        <v>4.0</v>
      </c>
      <c r="C62" s="200">
        <v>16.0</v>
      </c>
      <c r="D62" s="230">
        <v>0.0</v>
      </c>
      <c r="E62" s="200">
        <v>0.0</v>
      </c>
      <c r="F62" s="201">
        <f t="shared" si="1"/>
        <v>0</v>
      </c>
      <c r="G62" s="200">
        <v>0.0</v>
      </c>
      <c r="H62" s="202">
        <f t="shared" si="2"/>
        <v>0</v>
      </c>
      <c r="I62" s="203">
        <v>0.0</v>
      </c>
    </row>
    <row r="63">
      <c r="A63" s="229" t="s">
        <v>344</v>
      </c>
      <c r="B63" s="199">
        <v>4.0</v>
      </c>
      <c r="C63" s="200">
        <v>16.0</v>
      </c>
      <c r="D63" s="230">
        <v>0.0</v>
      </c>
      <c r="E63" s="200">
        <v>0.0</v>
      </c>
      <c r="F63" s="201">
        <f t="shared" si="1"/>
        <v>0</v>
      </c>
      <c r="G63" s="200">
        <v>0.0</v>
      </c>
      <c r="H63" s="202">
        <f t="shared" si="2"/>
        <v>0</v>
      </c>
      <c r="I63" s="203">
        <v>0.0</v>
      </c>
    </row>
    <row r="64">
      <c r="A64" s="229" t="s">
        <v>273</v>
      </c>
      <c r="B64" s="199">
        <v>4.0</v>
      </c>
      <c r="C64" s="200">
        <v>16.0</v>
      </c>
      <c r="D64" s="230">
        <v>2.0</v>
      </c>
      <c r="E64" s="200">
        <v>0.0</v>
      </c>
      <c r="F64" s="201">
        <f t="shared" si="1"/>
        <v>0</v>
      </c>
      <c r="G64" s="200">
        <v>0.0</v>
      </c>
      <c r="H64" s="202">
        <f t="shared" si="2"/>
        <v>0</v>
      </c>
      <c r="I64" s="203">
        <v>0.0</v>
      </c>
    </row>
    <row r="65">
      <c r="A65" s="229" t="s">
        <v>322</v>
      </c>
      <c r="B65" s="199">
        <v>4.0</v>
      </c>
      <c r="C65" s="200">
        <v>16.0</v>
      </c>
      <c r="D65" s="230">
        <v>0.0</v>
      </c>
      <c r="E65" s="200">
        <v>0.0</v>
      </c>
      <c r="F65" s="201">
        <f t="shared" si="1"/>
        <v>0</v>
      </c>
      <c r="G65" s="200">
        <v>0.0</v>
      </c>
      <c r="H65" s="202">
        <f t="shared" si="2"/>
        <v>0</v>
      </c>
      <c r="I65" s="203">
        <v>0.0</v>
      </c>
    </row>
    <row r="66">
      <c r="A66" s="229" t="s">
        <v>307</v>
      </c>
      <c r="B66" s="199">
        <v>4.0</v>
      </c>
      <c r="C66" s="200">
        <v>16.0</v>
      </c>
      <c r="D66" s="230">
        <v>0.0</v>
      </c>
      <c r="E66" s="200">
        <v>0.0</v>
      </c>
      <c r="F66" s="201">
        <f t="shared" si="1"/>
        <v>0</v>
      </c>
      <c r="G66" s="200">
        <v>0.0</v>
      </c>
      <c r="H66" s="202">
        <f t="shared" si="2"/>
        <v>0</v>
      </c>
      <c r="I66" s="203">
        <v>0.0</v>
      </c>
    </row>
    <row r="67">
      <c r="A67" s="229" t="s">
        <v>280</v>
      </c>
      <c r="B67" s="199">
        <v>4.0</v>
      </c>
      <c r="C67" s="200">
        <v>16.0</v>
      </c>
      <c r="D67" s="230">
        <v>0.0</v>
      </c>
      <c r="E67" s="200">
        <v>0.0</v>
      </c>
      <c r="F67" s="201">
        <f t="shared" si="1"/>
        <v>0</v>
      </c>
      <c r="G67" s="200">
        <v>0.0</v>
      </c>
      <c r="H67" s="202">
        <f t="shared" si="2"/>
        <v>0</v>
      </c>
      <c r="I67" s="203">
        <v>0.0</v>
      </c>
    </row>
    <row r="68">
      <c r="A68" s="229" t="s">
        <v>357</v>
      </c>
      <c r="B68" s="199">
        <v>3.0</v>
      </c>
      <c r="C68" s="200">
        <v>12.0</v>
      </c>
      <c r="D68" s="230">
        <v>0.0</v>
      </c>
      <c r="E68" s="200">
        <v>0.0</v>
      </c>
      <c r="F68" s="201">
        <f t="shared" si="1"/>
        <v>0</v>
      </c>
      <c r="G68" s="200">
        <v>0.0</v>
      </c>
      <c r="H68" s="202">
        <f t="shared" si="2"/>
        <v>0</v>
      </c>
      <c r="I68" s="203">
        <v>0.0</v>
      </c>
    </row>
    <row r="69">
      <c r="A69" s="229" t="s">
        <v>275</v>
      </c>
      <c r="B69" s="199">
        <v>4.0</v>
      </c>
      <c r="C69" s="200">
        <v>16.0</v>
      </c>
      <c r="D69" s="230">
        <v>0.0</v>
      </c>
      <c r="E69" s="200">
        <v>0.0</v>
      </c>
      <c r="F69" s="201">
        <f t="shared" si="1"/>
        <v>0</v>
      </c>
      <c r="G69" s="200">
        <v>0.0</v>
      </c>
      <c r="H69" s="202">
        <f t="shared" si="2"/>
        <v>0</v>
      </c>
      <c r="I69" s="203">
        <v>0.0</v>
      </c>
    </row>
    <row r="70">
      <c r="A70" s="229" t="s">
        <v>363</v>
      </c>
      <c r="B70" s="199">
        <v>4.0</v>
      </c>
      <c r="C70" s="200">
        <v>16.0</v>
      </c>
      <c r="D70" s="230">
        <v>0.0</v>
      </c>
      <c r="E70" s="200">
        <v>0.0</v>
      </c>
      <c r="F70" s="201">
        <f t="shared" si="1"/>
        <v>0</v>
      </c>
      <c r="G70" s="200">
        <v>0.0</v>
      </c>
      <c r="H70" s="202">
        <f t="shared" si="2"/>
        <v>0</v>
      </c>
      <c r="I70" s="203">
        <v>0.0</v>
      </c>
    </row>
    <row r="71">
      <c r="A71" s="229" t="s">
        <v>301</v>
      </c>
      <c r="B71" s="199">
        <v>4.0</v>
      </c>
      <c r="C71" s="200">
        <v>16.0</v>
      </c>
      <c r="D71" s="230">
        <v>0.0</v>
      </c>
      <c r="E71" s="200">
        <v>0.0</v>
      </c>
      <c r="F71" s="201">
        <f t="shared" si="1"/>
        <v>0</v>
      </c>
      <c r="G71" s="200">
        <v>0.0</v>
      </c>
      <c r="H71" s="202">
        <f t="shared" si="2"/>
        <v>0</v>
      </c>
      <c r="I71" s="203">
        <v>0.0</v>
      </c>
    </row>
    <row r="72">
      <c r="A72" s="229" t="s">
        <v>375</v>
      </c>
      <c r="B72" s="199">
        <v>2.0</v>
      </c>
      <c r="C72" s="200">
        <v>8.0</v>
      </c>
      <c r="D72" s="230">
        <v>0.0</v>
      </c>
      <c r="E72" s="200">
        <v>0.0</v>
      </c>
      <c r="F72" s="201">
        <f t="shared" si="1"/>
        <v>0</v>
      </c>
      <c r="G72" s="200">
        <v>0.0</v>
      </c>
      <c r="H72" s="202">
        <f t="shared" si="2"/>
        <v>0</v>
      </c>
      <c r="I72" s="203">
        <v>0.0</v>
      </c>
    </row>
    <row r="73">
      <c r="A73" s="229" t="s">
        <v>292</v>
      </c>
      <c r="B73" s="199">
        <v>1.0</v>
      </c>
      <c r="C73" s="200">
        <v>4.0</v>
      </c>
      <c r="D73" s="230">
        <v>0.0</v>
      </c>
      <c r="E73" s="200">
        <v>0.0</v>
      </c>
      <c r="F73" s="201">
        <f t="shared" si="1"/>
        <v>0</v>
      </c>
      <c r="G73" s="200">
        <v>0.0</v>
      </c>
      <c r="H73" s="202">
        <f t="shared" si="2"/>
        <v>0</v>
      </c>
      <c r="I73" s="203">
        <v>0.0</v>
      </c>
    </row>
    <row r="74">
      <c r="A74" s="229" t="s">
        <v>396</v>
      </c>
      <c r="B74" s="199">
        <v>3.0</v>
      </c>
      <c r="C74" s="200">
        <v>12.0</v>
      </c>
      <c r="D74" s="230">
        <v>1.0</v>
      </c>
      <c r="E74" s="200">
        <v>0.0</v>
      </c>
      <c r="F74" s="201">
        <f t="shared" si="1"/>
        <v>0</v>
      </c>
      <c r="G74" s="200">
        <v>0.0</v>
      </c>
      <c r="H74" s="202">
        <f t="shared" si="2"/>
        <v>0</v>
      </c>
      <c r="I74" s="203">
        <v>0.0</v>
      </c>
    </row>
    <row r="75">
      <c r="A75" s="229" t="s">
        <v>345</v>
      </c>
      <c r="B75" s="199">
        <v>3.0</v>
      </c>
      <c r="C75" s="200">
        <v>12.0</v>
      </c>
      <c r="D75" s="230">
        <v>0.0</v>
      </c>
      <c r="E75" s="200">
        <v>0.0</v>
      </c>
      <c r="F75" s="201">
        <f t="shared" si="1"/>
        <v>0</v>
      </c>
      <c r="G75" s="200">
        <v>0.0</v>
      </c>
      <c r="H75" s="202">
        <f t="shared" si="2"/>
        <v>0</v>
      </c>
      <c r="I75" s="203">
        <v>0.0</v>
      </c>
    </row>
    <row r="76">
      <c r="A76" s="229" t="s">
        <v>317</v>
      </c>
      <c r="B76" s="199">
        <v>3.0</v>
      </c>
      <c r="C76" s="200">
        <v>12.0</v>
      </c>
      <c r="D76" s="230">
        <v>1.0</v>
      </c>
      <c r="E76" s="200">
        <v>0.0</v>
      </c>
      <c r="F76" s="201">
        <f t="shared" si="1"/>
        <v>0</v>
      </c>
      <c r="G76" s="200">
        <v>0.0</v>
      </c>
      <c r="H76" s="202">
        <f t="shared" si="2"/>
        <v>0</v>
      </c>
      <c r="I76" s="203">
        <v>0.0</v>
      </c>
    </row>
    <row r="77">
      <c r="A77" s="229" t="s">
        <v>316</v>
      </c>
      <c r="B77" s="199">
        <v>4.0</v>
      </c>
      <c r="C77" s="200">
        <v>16.0</v>
      </c>
      <c r="D77" s="230">
        <v>0.0</v>
      </c>
      <c r="E77" s="200">
        <v>0.0</v>
      </c>
      <c r="F77" s="201">
        <f t="shared" si="1"/>
        <v>0</v>
      </c>
      <c r="G77" s="200">
        <v>0.0</v>
      </c>
      <c r="H77" s="202">
        <f t="shared" si="2"/>
        <v>0</v>
      </c>
      <c r="I77" s="203">
        <v>0.0</v>
      </c>
    </row>
    <row r="78">
      <c r="A78" s="229" t="s">
        <v>343</v>
      </c>
      <c r="B78" s="199">
        <v>3.0</v>
      </c>
      <c r="C78" s="200">
        <v>12.0</v>
      </c>
      <c r="D78" s="230">
        <v>0.0</v>
      </c>
      <c r="E78" s="200">
        <v>0.0</v>
      </c>
      <c r="F78" s="201">
        <f t="shared" si="1"/>
        <v>0</v>
      </c>
      <c r="G78" s="200">
        <v>0.0</v>
      </c>
      <c r="H78" s="202">
        <f t="shared" si="2"/>
        <v>0</v>
      </c>
      <c r="I78" s="203">
        <v>0.0</v>
      </c>
    </row>
    <row r="79">
      <c r="A79" s="229" t="s">
        <v>386</v>
      </c>
      <c r="B79" s="199">
        <v>3.0</v>
      </c>
      <c r="C79" s="200">
        <v>12.0</v>
      </c>
      <c r="D79" s="230">
        <v>0.0</v>
      </c>
      <c r="E79" s="200">
        <v>0.0</v>
      </c>
      <c r="F79" s="201">
        <f t="shared" si="1"/>
        <v>0</v>
      </c>
      <c r="G79" s="200">
        <v>0.0</v>
      </c>
      <c r="H79" s="202">
        <f t="shared" si="2"/>
        <v>0</v>
      </c>
      <c r="I79" s="203">
        <v>0.0</v>
      </c>
    </row>
    <row r="80">
      <c r="A80" s="229" t="s">
        <v>388</v>
      </c>
      <c r="B80" s="199">
        <v>2.0</v>
      </c>
      <c r="C80" s="200">
        <v>8.0</v>
      </c>
      <c r="D80" s="230">
        <v>2.0</v>
      </c>
      <c r="E80" s="200">
        <v>0.0</v>
      </c>
      <c r="F80" s="201">
        <f t="shared" si="1"/>
        <v>0</v>
      </c>
      <c r="G80" s="200">
        <v>0.0</v>
      </c>
      <c r="H80" s="202">
        <f t="shared" si="2"/>
        <v>0</v>
      </c>
      <c r="I80" s="203">
        <v>0.0</v>
      </c>
    </row>
    <row r="81">
      <c r="A81" s="229" t="s">
        <v>358</v>
      </c>
      <c r="B81" s="199">
        <v>3.0</v>
      </c>
      <c r="C81" s="200">
        <v>12.0</v>
      </c>
      <c r="D81" s="230">
        <v>4.0</v>
      </c>
      <c r="E81" s="200">
        <v>0.0</v>
      </c>
      <c r="F81" s="201">
        <f t="shared" si="1"/>
        <v>0</v>
      </c>
      <c r="G81" s="200">
        <v>0.67</v>
      </c>
      <c r="H81" s="202">
        <f t="shared" si="2"/>
        <v>2.01</v>
      </c>
      <c r="I81" s="203">
        <v>0.5</v>
      </c>
    </row>
    <row r="82">
      <c r="A82" s="229" t="s">
        <v>324</v>
      </c>
      <c r="B82" s="199">
        <v>4.0</v>
      </c>
      <c r="C82" s="200">
        <v>16.0</v>
      </c>
      <c r="D82" s="230">
        <v>2.0</v>
      </c>
      <c r="E82" s="200">
        <v>0.0</v>
      </c>
      <c r="F82" s="201">
        <f t="shared" si="1"/>
        <v>0</v>
      </c>
      <c r="G82" s="200">
        <v>0.0</v>
      </c>
      <c r="H82" s="202">
        <f t="shared" si="2"/>
        <v>0</v>
      </c>
      <c r="I82" s="203">
        <v>0.0</v>
      </c>
    </row>
    <row r="83">
      <c r="A83" s="229" t="s">
        <v>383</v>
      </c>
      <c r="B83" s="199">
        <v>4.0</v>
      </c>
      <c r="C83" s="200">
        <v>16.0</v>
      </c>
      <c r="D83" s="230">
        <v>0.0</v>
      </c>
      <c r="E83" s="200">
        <v>0.0</v>
      </c>
      <c r="F83" s="201">
        <f t="shared" si="1"/>
        <v>0</v>
      </c>
      <c r="G83" s="200">
        <v>0.0</v>
      </c>
      <c r="H83" s="202">
        <f t="shared" si="2"/>
        <v>0</v>
      </c>
      <c r="I83" s="203">
        <v>0.0</v>
      </c>
    </row>
    <row r="84">
      <c r="A84" s="229" t="s">
        <v>320</v>
      </c>
      <c r="B84" s="199">
        <v>4.0</v>
      </c>
      <c r="C84" s="200">
        <v>16.0</v>
      </c>
      <c r="D84" s="230">
        <v>0.0</v>
      </c>
      <c r="E84" s="200">
        <v>0.0</v>
      </c>
      <c r="F84" s="201">
        <f t="shared" si="1"/>
        <v>0</v>
      </c>
      <c r="G84" s="200">
        <v>0.0</v>
      </c>
      <c r="H84" s="202">
        <f t="shared" si="2"/>
        <v>0</v>
      </c>
      <c r="I84" s="203">
        <v>0.0</v>
      </c>
    </row>
    <row r="85">
      <c r="A85" s="229" t="s">
        <v>311</v>
      </c>
      <c r="B85" s="199">
        <v>4.0</v>
      </c>
      <c r="C85" s="200">
        <v>16.0</v>
      </c>
      <c r="D85" s="230">
        <v>0.0</v>
      </c>
      <c r="E85" s="200">
        <v>0.0</v>
      </c>
      <c r="F85" s="201">
        <f t="shared" si="1"/>
        <v>0</v>
      </c>
      <c r="G85" s="200">
        <v>0.0</v>
      </c>
      <c r="H85" s="202">
        <f t="shared" si="2"/>
        <v>0</v>
      </c>
      <c r="I85" s="203">
        <v>0.0</v>
      </c>
    </row>
    <row r="86">
      <c r="A86" s="229" t="s">
        <v>285</v>
      </c>
      <c r="B86" s="199">
        <v>4.0</v>
      </c>
      <c r="C86" s="200">
        <v>16.0</v>
      </c>
      <c r="D86" s="230">
        <v>1.0</v>
      </c>
      <c r="E86" s="200">
        <v>0.0</v>
      </c>
      <c r="F86" s="201">
        <f t="shared" si="1"/>
        <v>0</v>
      </c>
      <c r="G86" s="200">
        <v>0.0</v>
      </c>
      <c r="H86" s="202">
        <f t="shared" si="2"/>
        <v>0</v>
      </c>
      <c r="I86" s="203">
        <v>0.0</v>
      </c>
    </row>
    <row r="87">
      <c r="A87" s="229" t="s">
        <v>272</v>
      </c>
      <c r="B87" s="199">
        <v>4.0</v>
      </c>
      <c r="C87" s="200">
        <v>16.0</v>
      </c>
      <c r="D87" s="230">
        <v>2.0</v>
      </c>
      <c r="E87" s="200">
        <v>0.0</v>
      </c>
      <c r="F87" s="201">
        <f t="shared" si="1"/>
        <v>0</v>
      </c>
      <c r="G87" s="200">
        <v>0.25</v>
      </c>
      <c r="H87" s="202">
        <f t="shared" si="2"/>
        <v>1</v>
      </c>
      <c r="I87" s="203">
        <v>0.5</v>
      </c>
    </row>
    <row r="88">
      <c r="A88" s="229" t="s">
        <v>313</v>
      </c>
      <c r="B88" s="199">
        <v>4.0</v>
      </c>
      <c r="C88" s="200">
        <v>16.0</v>
      </c>
      <c r="D88" s="230">
        <v>0.0</v>
      </c>
      <c r="E88" s="200">
        <v>0.0</v>
      </c>
      <c r="F88" s="201">
        <f t="shared" si="1"/>
        <v>0</v>
      </c>
      <c r="G88" s="200">
        <v>0.0</v>
      </c>
      <c r="H88" s="202">
        <f t="shared" si="2"/>
        <v>0</v>
      </c>
      <c r="I88" s="203">
        <v>0.0</v>
      </c>
    </row>
    <row r="89">
      <c r="A89" s="229" t="s">
        <v>351</v>
      </c>
      <c r="B89" s="199">
        <v>4.0</v>
      </c>
      <c r="C89" s="200">
        <v>16.0</v>
      </c>
      <c r="D89" s="230">
        <v>0.0</v>
      </c>
      <c r="E89" s="200">
        <v>0.0</v>
      </c>
      <c r="F89" s="201">
        <f t="shared" si="1"/>
        <v>0</v>
      </c>
      <c r="G89" s="200">
        <v>0.0</v>
      </c>
      <c r="H89" s="202">
        <f t="shared" si="2"/>
        <v>0</v>
      </c>
      <c r="I89" s="203">
        <v>0.0</v>
      </c>
    </row>
    <row r="90">
      <c r="A90" s="229" t="s">
        <v>370</v>
      </c>
      <c r="B90" s="199">
        <v>4.0</v>
      </c>
      <c r="C90" s="200">
        <v>16.0</v>
      </c>
      <c r="D90" s="230">
        <v>0.0</v>
      </c>
      <c r="E90" s="200">
        <v>0.0</v>
      </c>
      <c r="F90" s="201">
        <f t="shared" si="1"/>
        <v>0</v>
      </c>
      <c r="G90" s="200">
        <v>0.0</v>
      </c>
      <c r="H90" s="202">
        <f t="shared" si="2"/>
        <v>0</v>
      </c>
      <c r="I90" s="203">
        <v>0.0</v>
      </c>
    </row>
    <row r="91">
      <c r="A91" s="229" t="s">
        <v>376</v>
      </c>
      <c r="B91" s="199">
        <v>1.0</v>
      </c>
      <c r="C91" s="200">
        <v>4.0</v>
      </c>
      <c r="D91" s="230">
        <v>1.0</v>
      </c>
      <c r="E91" s="200">
        <v>0.0</v>
      </c>
      <c r="F91" s="201">
        <f t="shared" si="1"/>
        <v>0</v>
      </c>
      <c r="G91" s="200">
        <v>0.0</v>
      </c>
      <c r="H91" s="202">
        <f t="shared" si="2"/>
        <v>0</v>
      </c>
      <c r="I91" s="203">
        <v>0.0</v>
      </c>
    </row>
    <row r="92">
      <c r="A92" s="229" t="s">
        <v>372</v>
      </c>
      <c r="B92" s="199">
        <v>4.0</v>
      </c>
      <c r="C92" s="200">
        <v>16.0</v>
      </c>
      <c r="D92" s="230">
        <v>0.0</v>
      </c>
      <c r="E92" s="200">
        <v>0.0</v>
      </c>
      <c r="F92" s="201">
        <f t="shared" si="1"/>
        <v>0</v>
      </c>
      <c r="G92" s="200">
        <v>0.0</v>
      </c>
      <c r="H92" s="202">
        <f t="shared" si="2"/>
        <v>0</v>
      </c>
      <c r="I92" s="203">
        <v>0.0</v>
      </c>
    </row>
    <row r="93">
      <c r="A93" s="229" t="s">
        <v>371</v>
      </c>
      <c r="B93" s="199">
        <v>3.0</v>
      </c>
      <c r="C93" s="200">
        <v>12.0</v>
      </c>
      <c r="D93" s="230">
        <v>0.0</v>
      </c>
      <c r="E93" s="200">
        <v>0.0</v>
      </c>
      <c r="F93" s="201">
        <f t="shared" si="1"/>
        <v>0</v>
      </c>
      <c r="G93" s="200">
        <v>0.0</v>
      </c>
      <c r="H93" s="202">
        <f t="shared" si="2"/>
        <v>0</v>
      </c>
      <c r="I93" s="203">
        <v>0.0</v>
      </c>
    </row>
    <row r="94">
      <c r="A94" s="229" t="s">
        <v>361</v>
      </c>
      <c r="B94" s="199">
        <v>4.0</v>
      </c>
      <c r="C94" s="200">
        <v>16.0</v>
      </c>
      <c r="D94" s="230">
        <v>2.0</v>
      </c>
      <c r="E94" s="200">
        <v>0.0</v>
      </c>
      <c r="F94" s="201">
        <f t="shared" si="1"/>
        <v>0</v>
      </c>
      <c r="G94" s="200">
        <v>0.0</v>
      </c>
      <c r="H94" s="202">
        <f t="shared" si="2"/>
        <v>0</v>
      </c>
      <c r="I94" s="203">
        <v>0.0</v>
      </c>
    </row>
    <row r="95">
      <c r="A95" s="229" t="s">
        <v>387</v>
      </c>
      <c r="B95" s="199">
        <v>3.0</v>
      </c>
      <c r="C95" s="200">
        <v>12.0</v>
      </c>
      <c r="D95" s="230">
        <v>1.0</v>
      </c>
      <c r="E95" s="200">
        <v>0.0</v>
      </c>
      <c r="F95" s="201">
        <f t="shared" si="1"/>
        <v>0</v>
      </c>
      <c r="G95" s="200">
        <v>0.0</v>
      </c>
      <c r="H95" s="202">
        <f t="shared" si="2"/>
        <v>0</v>
      </c>
      <c r="I95" s="203">
        <v>0.0</v>
      </c>
    </row>
    <row r="96">
      <c r="A96" s="229" t="s">
        <v>392</v>
      </c>
      <c r="B96" s="199">
        <v>4.0</v>
      </c>
      <c r="C96" s="200">
        <v>16.0</v>
      </c>
      <c r="D96" s="230">
        <v>0.0</v>
      </c>
      <c r="E96" s="200">
        <v>0.0</v>
      </c>
      <c r="F96" s="201">
        <f t="shared" si="1"/>
        <v>0</v>
      </c>
      <c r="G96" s="200">
        <v>0.0</v>
      </c>
      <c r="H96" s="202">
        <f t="shared" si="2"/>
        <v>0</v>
      </c>
      <c r="I96" s="203">
        <v>0.0</v>
      </c>
    </row>
    <row r="97">
      <c r="A97" s="229" t="s">
        <v>380</v>
      </c>
      <c r="B97" s="199">
        <v>4.0</v>
      </c>
      <c r="C97" s="200">
        <v>16.0</v>
      </c>
      <c r="D97" s="230">
        <v>0.0</v>
      </c>
      <c r="E97" s="200">
        <v>0.0</v>
      </c>
      <c r="F97" s="201">
        <f t="shared" si="1"/>
        <v>0</v>
      </c>
      <c r="G97" s="200">
        <v>0.0</v>
      </c>
      <c r="H97" s="202">
        <f t="shared" si="2"/>
        <v>0</v>
      </c>
      <c r="I97" s="203">
        <v>0.0</v>
      </c>
    </row>
    <row r="98">
      <c r="A98" s="229" t="s">
        <v>339</v>
      </c>
      <c r="B98" s="199">
        <v>1.0</v>
      </c>
      <c r="C98" s="200">
        <v>4.0</v>
      </c>
      <c r="D98" s="230">
        <v>0.0</v>
      </c>
      <c r="E98" s="200">
        <v>0.0</v>
      </c>
      <c r="F98" s="201">
        <f t="shared" si="1"/>
        <v>0</v>
      </c>
      <c r="G98" s="200">
        <v>0.0</v>
      </c>
      <c r="H98" s="202">
        <f t="shared" si="2"/>
        <v>0</v>
      </c>
      <c r="I98" s="203">
        <v>0.0</v>
      </c>
    </row>
    <row r="99">
      <c r="A99" s="229" t="s">
        <v>293</v>
      </c>
      <c r="B99" s="199">
        <v>4.0</v>
      </c>
      <c r="C99" s="200">
        <v>16.0</v>
      </c>
      <c r="D99" s="230">
        <v>0.0</v>
      </c>
      <c r="E99" s="200">
        <v>0.0</v>
      </c>
      <c r="F99" s="201">
        <f t="shared" si="1"/>
        <v>0</v>
      </c>
      <c r="G99" s="200">
        <v>0.0</v>
      </c>
      <c r="H99" s="202">
        <f t="shared" si="2"/>
        <v>0</v>
      </c>
      <c r="I99" s="203">
        <v>0.0</v>
      </c>
    </row>
    <row r="100">
      <c r="A100" s="229" t="s">
        <v>331</v>
      </c>
      <c r="B100" s="199">
        <v>2.0</v>
      </c>
      <c r="C100" s="200">
        <v>8.0</v>
      </c>
      <c r="D100" s="230">
        <v>0.0</v>
      </c>
      <c r="E100" s="200">
        <v>0.0</v>
      </c>
      <c r="F100" s="201">
        <f t="shared" si="1"/>
        <v>0</v>
      </c>
      <c r="G100" s="200">
        <v>0.0</v>
      </c>
      <c r="H100" s="202">
        <f t="shared" si="2"/>
        <v>0</v>
      </c>
      <c r="I100" s="203">
        <v>0.0</v>
      </c>
    </row>
    <row r="101">
      <c r="A101" s="229" t="s">
        <v>405</v>
      </c>
      <c r="B101" s="199">
        <v>4.0</v>
      </c>
      <c r="C101" s="200">
        <v>16.0</v>
      </c>
      <c r="D101" s="230">
        <v>0.0</v>
      </c>
      <c r="E101" s="200">
        <v>0.0</v>
      </c>
      <c r="F101" s="201">
        <f t="shared" si="1"/>
        <v>0</v>
      </c>
      <c r="G101" s="200">
        <v>0.0</v>
      </c>
      <c r="H101" s="202">
        <f t="shared" si="2"/>
        <v>0</v>
      </c>
      <c r="I101" s="203">
        <v>0.0</v>
      </c>
    </row>
    <row r="102">
      <c r="A102" s="229" t="s">
        <v>303</v>
      </c>
      <c r="B102" s="199">
        <v>4.0</v>
      </c>
      <c r="C102" s="200">
        <v>16.0</v>
      </c>
      <c r="D102" s="230">
        <v>0.0</v>
      </c>
      <c r="E102" s="200">
        <v>0.0</v>
      </c>
      <c r="F102" s="201">
        <f t="shared" si="1"/>
        <v>0</v>
      </c>
      <c r="G102" s="200">
        <v>0.0</v>
      </c>
      <c r="H102" s="202">
        <f t="shared" si="2"/>
        <v>0</v>
      </c>
      <c r="I102" s="203">
        <v>0.0</v>
      </c>
    </row>
    <row r="103">
      <c r="A103" s="229" t="s">
        <v>347</v>
      </c>
      <c r="B103" s="199">
        <v>3.0</v>
      </c>
      <c r="C103" s="200">
        <v>12.0</v>
      </c>
      <c r="D103" s="230">
        <v>0.0</v>
      </c>
      <c r="E103" s="200">
        <v>0.0</v>
      </c>
      <c r="F103" s="201">
        <f t="shared" si="1"/>
        <v>0</v>
      </c>
      <c r="G103" s="200">
        <v>0.0</v>
      </c>
      <c r="H103" s="202">
        <f t="shared" si="2"/>
        <v>0</v>
      </c>
      <c r="I103" s="203">
        <v>0.0</v>
      </c>
    </row>
    <row r="104">
      <c r="A104" s="229" t="s">
        <v>329</v>
      </c>
      <c r="B104" s="199">
        <v>4.0</v>
      </c>
      <c r="C104" s="200">
        <v>16.0</v>
      </c>
      <c r="D104" s="230">
        <v>0.0</v>
      </c>
      <c r="E104" s="200">
        <v>0.0</v>
      </c>
      <c r="F104" s="201">
        <f t="shared" si="1"/>
        <v>0</v>
      </c>
      <c r="G104" s="200">
        <v>0.0</v>
      </c>
      <c r="H104" s="202">
        <f t="shared" si="2"/>
        <v>0</v>
      </c>
      <c r="I104" s="203">
        <v>0.0</v>
      </c>
    </row>
    <row r="105">
      <c r="A105" s="229" t="s">
        <v>328</v>
      </c>
      <c r="B105" s="199">
        <v>4.0</v>
      </c>
      <c r="C105" s="200">
        <v>16.0</v>
      </c>
      <c r="D105" s="230">
        <v>3.0</v>
      </c>
      <c r="E105" s="200">
        <v>0.0</v>
      </c>
      <c r="F105" s="201">
        <f t="shared" si="1"/>
        <v>0</v>
      </c>
      <c r="G105" s="200">
        <v>0.0</v>
      </c>
      <c r="H105" s="202">
        <f t="shared" si="2"/>
        <v>0</v>
      </c>
      <c r="I105" s="203">
        <v>0.0</v>
      </c>
    </row>
    <row r="106">
      <c r="A106" s="229" t="s">
        <v>346</v>
      </c>
      <c r="B106" s="199">
        <v>3.0</v>
      </c>
      <c r="C106" s="200">
        <v>12.0</v>
      </c>
      <c r="D106" s="230">
        <v>0.0</v>
      </c>
      <c r="E106" s="200">
        <v>0.0</v>
      </c>
      <c r="F106" s="201">
        <f t="shared" si="1"/>
        <v>0</v>
      </c>
      <c r="G106" s="200">
        <v>0.0</v>
      </c>
      <c r="H106" s="202">
        <f t="shared" si="2"/>
        <v>0</v>
      </c>
      <c r="I106" s="203">
        <v>0.0</v>
      </c>
    </row>
    <row r="107">
      <c r="A107" s="229" t="s">
        <v>288</v>
      </c>
      <c r="B107" s="199">
        <v>3.0</v>
      </c>
      <c r="C107" s="200">
        <v>12.0</v>
      </c>
      <c r="D107" s="230">
        <v>0.0</v>
      </c>
      <c r="E107" s="200">
        <v>0.0</v>
      </c>
      <c r="F107" s="201">
        <f t="shared" si="1"/>
        <v>0</v>
      </c>
      <c r="G107" s="200">
        <v>0.0</v>
      </c>
      <c r="H107" s="202">
        <f t="shared" si="2"/>
        <v>0</v>
      </c>
      <c r="I107" s="203">
        <v>0.0</v>
      </c>
    </row>
    <row r="108">
      <c r="A108" s="229" t="s">
        <v>378</v>
      </c>
      <c r="B108" s="199">
        <v>2.0</v>
      </c>
      <c r="C108" s="200">
        <v>8.0</v>
      </c>
      <c r="D108" s="230">
        <v>0.0</v>
      </c>
      <c r="E108" s="200">
        <v>0.0</v>
      </c>
      <c r="F108" s="201">
        <f t="shared" si="1"/>
        <v>0</v>
      </c>
      <c r="G108" s="200">
        <v>0.0</v>
      </c>
      <c r="H108" s="202">
        <f t="shared" si="2"/>
        <v>0</v>
      </c>
      <c r="I108" s="203">
        <v>0.0</v>
      </c>
    </row>
    <row r="109">
      <c r="A109" s="229" t="s">
        <v>295</v>
      </c>
      <c r="B109" s="199">
        <v>1.0</v>
      </c>
      <c r="C109" s="200">
        <v>1.0</v>
      </c>
      <c r="D109" s="230">
        <v>0.0</v>
      </c>
      <c r="E109" s="200">
        <v>0.0</v>
      </c>
      <c r="F109" s="201">
        <f t="shared" si="1"/>
        <v>0</v>
      </c>
      <c r="G109" s="200">
        <v>0.0</v>
      </c>
      <c r="H109" s="202">
        <f t="shared" si="2"/>
        <v>0</v>
      </c>
      <c r="I109" s="203">
        <v>0.0</v>
      </c>
    </row>
    <row r="110">
      <c r="A110" s="229" t="s">
        <v>390</v>
      </c>
      <c r="B110" s="199">
        <v>4.0</v>
      </c>
      <c r="C110" s="200">
        <v>13.0</v>
      </c>
      <c r="D110" s="230">
        <v>0.0</v>
      </c>
      <c r="E110" s="200">
        <v>0.0</v>
      </c>
      <c r="F110" s="201">
        <f t="shared" si="1"/>
        <v>0</v>
      </c>
      <c r="G110" s="200">
        <v>0.0</v>
      </c>
      <c r="H110" s="202">
        <f t="shared" si="2"/>
        <v>0</v>
      </c>
      <c r="I110" s="203">
        <v>0.0</v>
      </c>
    </row>
    <row r="111">
      <c r="A111" s="229" t="s">
        <v>353</v>
      </c>
      <c r="B111" s="199">
        <v>2.0</v>
      </c>
      <c r="C111" s="200">
        <v>8.0</v>
      </c>
      <c r="D111" s="230">
        <v>0.0</v>
      </c>
      <c r="E111" s="200">
        <v>0.0</v>
      </c>
      <c r="F111" s="201">
        <f t="shared" si="1"/>
        <v>0</v>
      </c>
      <c r="G111" s="200">
        <v>0.0</v>
      </c>
      <c r="H111" s="202">
        <f t="shared" si="2"/>
        <v>0</v>
      </c>
      <c r="I111" s="203">
        <v>0.0</v>
      </c>
    </row>
    <row r="112">
      <c r="A112" s="229" t="s">
        <v>406</v>
      </c>
      <c r="B112" s="199">
        <v>1.0</v>
      </c>
      <c r="C112" s="200">
        <v>4.0</v>
      </c>
      <c r="D112" s="230">
        <v>1.0</v>
      </c>
      <c r="E112" s="200">
        <v>0.0</v>
      </c>
      <c r="F112" s="201">
        <f t="shared" si="1"/>
        <v>0</v>
      </c>
      <c r="G112" s="200">
        <v>0.0</v>
      </c>
      <c r="H112" s="202">
        <f t="shared" si="2"/>
        <v>0</v>
      </c>
      <c r="I112" s="203">
        <v>0.0</v>
      </c>
    </row>
    <row r="113">
      <c r="A113" s="229" t="s">
        <v>309</v>
      </c>
      <c r="B113" s="199">
        <v>2.0</v>
      </c>
      <c r="C113" s="200">
        <v>8.0</v>
      </c>
      <c r="D113" s="230">
        <v>1.0</v>
      </c>
      <c r="E113" s="200">
        <v>0.0</v>
      </c>
      <c r="F113" s="201">
        <f t="shared" si="1"/>
        <v>0</v>
      </c>
      <c r="G113" s="200">
        <v>0.0</v>
      </c>
      <c r="H113" s="202">
        <f t="shared" si="2"/>
        <v>0</v>
      </c>
      <c r="I113" s="203">
        <v>0.0</v>
      </c>
    </row>
    <row r="114">
      <c r="A114" s="229" t="s">
        <v>348</v>
      </c>
      <c r="B114" s="199">
        <v>2.0</v>
      </c>
      <c r="C114" s="200">
        <v>8.0</v>
      </c>
      <c r="D114" s="230">
        <v>0.0</v>
      </c>
      <c r="E114" s="200">
        <v>0.0</v>
      </c>
      <c r="F114" s="201">
        <f t="shared" si="1"/>
        <v>0</v>
      </c>
      <c r="G114" s="200">
        <v>0.0</v>
      </c>
      <c r="H114" s="202">
        <f t="shared" si="2"/>
        <v>0</v>
      </c>
      <c r="I114" s="203">
        <v>0.0</v>
      </c>
    </row>
    <row r="115">
      <c r="A115" s="229" t="s">
        <v>314</v>
      </c>
      <c r="B115" s="199">
        <v>2.0</v>
      </c>
      <c r="C115" s="200">
        <v>8.0</v>
      </c>
      <c r="D115" s="230">
        <v>0.0</v>
      </c>
      <c r="E115" s="200">
        <v>0.0</v>
      </c>
      <c r="F115" s="201">
        <f t="shared" si="1"/>
        <v>0</v>
      </c>
      <c r="G115" s="200">
        <v>0.0</v>
      </c>
      <c r="H115" s="202">
        <f t="shared" si="2"/>
        <v>0</v>
      </c>
      <c r="I115" s="203">
        <v>0.0</v>
      </c>
    </row>
    <row r="116">
      <c r="A116" s="229" t="s">
        <v>384</v>
      </c>
      <c r="B116" s="199">
        <v>2.0</v>
      </c>
      <c r="C116" s="200">
        <v>8.0</v>
      </c>
      <c r="D116" s="230">
        <v>0.0</v>
      </c>
      <c r="E116" s="200">
        <v>0.0</v>
      </c>
      <c r="F116" s="201">
        <f t="shared" si="1"/>
        <v>0</v>
      </c>
      <c r="G116" s="200">
        <v>0.0</v>
      </c>
      <c r="H116" s="202">
        <f t="shared" si="2"/>
        <v>0</v>
      </c>
      <c r="I116" s="203">
        <v>0.0</v>
      </c>
    </row>
    <row r="117">
      <c r="A117" s="229" t="s">
        <v>397</v>
      </c>
      <c r="B117" s="199">
        <v>2.0</v>
      </c>
      <c r="C117" s="200">
        <v>8.0</v>
      </c>
      <c r="D117" s="230">
        <v>0.0</v>
      </c>
      <c r="E117" s="200">
        <v>0.0</v>
      </c>
      <c r="F117" s="201">
        <f t="shared" si="1"/>
        <v>0</v>
      </c>
      <c r="G117" s="200">
        <v>0.0</v>
      </c>
      <c r="H117" s="202">
        <f t="shared" si="2"/>
        <v>0</v>
      </c>
      <c r="I117" s="203">
        <v>0.0</v>
      </c>
    </row>
    <row r="118">
      <c r="A118" s="229" t="s">
        <v>399</v>
      </c>
      <c r="B118" s="199">
        <v>1.0</v>
      </c>
      <c r="C118" s="200">
        <v>4.0</v>
      </c>
      <c r="D118" s="230">
        <v>0.0</v>
      </c>
      <c r="E118" s="200">
        <v>0.0</v>
      </c>
      <c r="F118" s="201">
        <f t="shared" si="1"/>
        <v>0</v>
      </c>
      <c r="G118" s="200">
        <v>0.0</v>
      </c>
      <c r="H118" s="202">
        <f t="shared" si="2"/>
        <v>0</v>
      </c>
      <c r="I118" s="203">
        <v>0.0</v>
      </c>
    </row>
    <row r="119">
      <c r="A119" s="229" t="s">
        <v>335</v>
      </c>
      <c r="B119" s="199">
        <v>1.0</v>
      </c>
      <c r="C119" s="200">
        <v>4.0</v>
      </c>
      <c r="D119" s="230">
        <v>2.0</v>
      </c>
      <c r="E119" s="200">
        <v>0.0</v>
      </c>
      <c r="F119" s="201">
        <f t="shared" si="1"/>
        <v>0</v>
      </c>
      <c r="G119" s="200">
        <v>1.0</v>
      </c>
      <c r="H119" s="202">
        <f t="shared" si="2"/>
        <v>1</v>
      </c>
      <c r="I119" s="203">
        <v>0.5</v>
      </c>
    </row>
    <row r="120">
      <c r="A120" s="229" t="s">
        <v>305</v>
      </c>
      <c r="B120" s="199">
        <v>4.0</v>
      </c>
      <c r="C120" s="200">
        <v>16.0</v>
      </c>
      <c r="D120" s="230">
        <v>1.0</v>
      </c>
      <c r="E120" s="200">
        <v>-1.0</v>
      </c>
      <c r="F120" s="201">
        <f t="shared" si="1"/>
        <v>-1</v>
      </c>
      <c r="G120" s="200">
        <v>0.25</v>
      </c>
      <c r="H120" s="202">
        <f t="shared" si="2"/>
        <v>1</v>
      </c>
      <c r="I120" s="203">
        <v>0.0</v>
      </c>
    </row>
    <row r="121">
      <c r="A121" s="229" t="s">
        <v>296</v>
      </c>
      <c r="B121" s="199">
        <v>4.0</v>
      </c>
      <c r="C121" s="200">
        <v>16.0</v>
      </c>
      <c r="D121" s="230">
        <v>1.0</v>
      </c>
      <c r="E121" s="200">
        <v>-1.0</v>
      </c>
      <c r="F121" s="201">
        <f t="shared" si="1"/>
        <v>-1</v>
      </c>
      <c r="G121" s="200">
        <v>0.25</v>
      </c>
      <c r="H121" s="202">
        <f t="shared" si="2"/>
        <v>1</v>
      </c>
      <c r="I121" s="203">
        <v>0.0</v>
      </c>
    </row>
    <row r="122">
      <c r="A122" s="229" t="s">
        <v>325</v>
      </c>
      <c r="B122" s="199">
        <v>4.0</v>
      </c>
      <c r="C122" s="200">
        <v>16.0</v>
      </c>
      <c r="D122" s="230">
        <v>1.0</v>
      </c>
      <c r="E122" s="200">
        <v>-1.0</v>
      </c>
      <c r="F122" s="201">
        <f t="shared" si="1"/>
        <v>-1</v>
      </c>
      <c r="G122" s="200">
        <v>0.25</v>
      </c>
      <c r="H122" s="202">
        <f t="shared" si="2"/>
        <v>1</v>
      </c>
      <c r="I122" s="203">
        <v>0.0</v>
      </c>
    </row>
    <row r="123">
      <c r="A123" s="229" t="s">
        <v>284</v>
      </c>
      <c r="B123" s="199">
        <v>4.0</v>
      </c>
      <c r="C123" s="200">
        <v>16.0</v>
      </c>
      <c r="D123" s="230">
        <v>1.0</v>
      </c>
      <c r="E123" s="200">
        <v>-1.0</v>
      </c>
      <c r="F123" s="201">
        <f t="shared" si="1"/>
        <v>-1</v>
      </c>
      <c r="G123" s="200">
        <v>0.25</v>
      </c>
      <c r="H123" s="202">
        <f t="shared" si="2"/>
        <v>1</v>
      </c>
      <c r="I123" s="203">
        <v>0.0</v>
      </c>
    </row>
    <row r="124">
      <c r="A124" s="229" t="s">
        <v>408</v>
      </c>
      <c r="B124" s="199">
        <v>3.0</v>
      </c>
      <c r="C124" s="200">
        <v>12.0</v>
      </c>
      <c r="D124" s="230">
        <v>3.0</v>
      </c>
      <c r="E124" s="200">
        <v>-1.33</v>
      </c>
      <c r="F124" s="201">
        <f t="shared" si="1"/>
        <v>-1.33</v>
      </c>
      <c r="G124" s="200">
        <v>0.33</v>
      </c>
      <c r="H124" s="202">
        <f t="shared" si="2"/>
        <v>0.99</v>
      </c>
      <c r="I124" s="203">
        <v>0.0</v>
      </c>
    </row>
    <row r="125">
      <c r="A125" s="229" t="s">
        <v>278</v>
      </c>
      <c r="B125" s="199">
        <v>3.0</v>
      </c>
      <c r="C125" s="200">
        <v>12.0</v>
      </c>
      <c r="D125" s="230">
        <v>2.0</v>
      </c>
      <c r="E125" s="200">
        <v>-1.33</v>
      </c>
      <c r="F125" s="201">
        <f t="shared" si="1"/>
        <v>-1.33</v>
      </c>
      <c r="G125" s="200">
        <v>0.33</v>
      </c>
      <c r="H125" s="202">
        <f t="shared" si="2"/>
        <v>0.99</v>
      </c>
      <c r="I125" s="203">
        <v>0.0</v>
      </c>
    </row>
    <row r="126">
      <c r="A126" s="229" t="s">
        <v>393</v>
      </c>
      <c r="B126" s="199">
        <v>4.0</v>
      </c>
      <c r="C126" s="200">
        <v>16.0</v>
      </c>
      <c r="D126" s="230">
        <v>5.0</v>
      </c>
      <c r="E126" s="200">
        <v>-2.0</v>
      </c>
      <c r="F126" s="201">
        <f t="shared" si="1"/>
        <v>-2</v>
      </c>
      <c r="G126" s="200">
        <v>0.5</v>
      </c>
      <c r="H126" s="202">
        <f t="shared" si="2"/>
        <v>2</v>
      </c>
      <c r="I126" s="203">
        <v>0.0</v>
      </c>
    </row>
    <row r="127">
      <c r="A127" s="229" t="s">
        <v>367</v>
      </c>
      <c r="B127" s="199">
        <v>1.0</v>
      </c>
      <c r="C127" s="200">
        <v>4.0</v>
      </c>
      <c r="D127" s="230">
        <v>1.0</v>
      </c>
      <c r="E127" s="200">
        <v>-4.0</v>
      </c>
      <c r="F127" s="201">
        <f t="shared" si="1"/>
        <v>-4</v>
      </c>
      <c r="G127" s="200">
        <v>1.0</v>
      </c>
      <c r="H127" s="202">
        <f t="shared" si="2"/>
        <v>1</v>
      </c>
      <c r="I127" s="203">
        <v>0.0</v>
      </c>
    </row>
    <row r="128">
      <c r="A128" s="231"/>
      <c r="B128" s="204"/>
      <c r="C128" s="205"/>
      <c r="D128" s="204"/>
      <c r="E128" s="205"/>
      <c r="F128" s="201"/>
      <c r="G128" s="205"/>
      <c r="H128" s="202"/>
      <c r="I128" s="204"/>
    </row>
    <row r="129">
      <c r="A129" s="231"/>
      <c r="B129" s="204"/>
      <c r="C129" s="205"/>
      <c r="D129" s="204"/>
      <c r="E129" s="205"/>
      <c r="F129" s="201"/>
      <c r="G129" s="205"/>
      <c r="H129" s="202"/>
      <c r="I129" s="204"/>
    </row>
    <row r="130">
      <c r="A130" s="231"/>
      <c r="B130" s="204"/>
      <c r="C130" s="205"/>
      <c r="D130" s="204"/>
      <c r="E130" s="205"/>
      <c r="F130" s="201"/>
      <c r="G130" s="205"/>
      <c r="H130" s="202"/>
      <c r="I130" s="204"/>
    </row>
    <row r="131">
      <c r="A131" s="231"/>
      <c r="B131" s="204"/>
      <c r="C131" s="205"/>
      <c r="D131" s="204"/>
      <c r="E131" s="205"/>
      <c r="F131" s="201"/>
      <c r="G131" s="205"/>
      <c r="H131" s="202"/>
      <c r="I131" s="204"/>
    </row>
    <row r="132">
      <c r="A132" s="231"/>
      <c r="B132" s="204"/>
      <c r="C132" s="205"/>
      <c r="D132" s="204"/>
      <c r="E132" s="205"/>
      <c r="F132" s="201"/>
      <c r="G132" s="205"/>
      <c r="H132" s="202"/>
      <c r="I132" s="204"/>
    </row>
    <row r="133">
      <c r="A133" s="231"/>
      <c r="B133" s="204"/>
      <c r="C133" s="205"/>
      <c r="D133" s="204"/>
      <c r="E133" s="205"/>
      <c r="F133" s="201"/>
      <c r="G133" s="205"/>
      <c r="H133" s="202"/>
      <c r="I133" s="204"/>
    </row>
    <row r="134">
      <c r="A134" s="231"/>
      <c r="B134" s="204"/>
      <c r="C134" s="205"/>
      <c r="D134" s="204"/>
      <c r="E134" s="205"/>
      <c r="F134" s="201"/>
      <c r="G134" s="205"/>
      <c r="H134" s="202"/>
      <c r="I134" s="204"/>
    </row>
    <row r="135">
      <c r="A135" s="231"/>
      <c r="B135" s="204"/>
      <c r="C135" s="205"/>
      <c r="D135" s="204"/>
      <c r="E135" s="205"/>
      <c r="F135" s="201"/>
      <c r="G135" s="205"/>
      <c r="H135" s="202"/>
      <c r="I135" s="204"/>
    </row>
    <row r="136">
      <c r="A136" s="231"/>
      <c r="B136" s="204"/>
      <c r="C136" s="205"/>
      <c r="D136" s="204"/>
      <c r="E136" s="205"/>
      <c r="F136" s="201"/>
      <c r="G136" s="205"/>
      <c r="H136" s="202"/>
      <c r="I136" s="204"/>
    </row>
    <row r="137">
      <c r="A137" s="231"/>
      <c r="B137" s="204"/>
      <c r="C137" s="205"/>
      <c r="D137" s="204"/>
      <c r="E137" s="205"/>
      <c r="F137" s="201"/>
      <c r="G137" s="205"/>
      <c r="H137" s="202"/>
      <c r="I137" s="204"/>
    </row>
    <row r="138">
      <c r="A138" s="231"/>
      <c r="B138" s="204"/>
      <c r="C138" s="205"/>
      <c r="D138" s="204"/>
      <c r="E138" s="205"/>
      <c r="F138" s="201"/>
      <c r="G138" s="205"/>
      <c r="H138" s="202"/>
      <c r="I138" s="204"/>
    </row>
    <row r="139">
      <c r="A139" s="231"/>
      <c r="B139" s="204"/>
      <c r="C139" s="205"/>
      <c r="D139" s="204"/>
      <c r="E139" s="205"/>
      <c r="F139" s="201"/>
      <c r="G139" s="205"/>
      <c r="H139" s="202"/>
      <c r="I139" s="204"/>
    </row>
  </sheetData>
  <hyperlinks>
    <hyperlink display="Catstats Hub" location="'Catstats Hub'!A1" ref="A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63"/>
    <col customWidth="1" min="2" max="9" width="14.75"/>
  </cols>
  <sheetData>
    <row r="1">
      <c r="A1" s="193" t="s">
        <v>263</v>
      </c>
      <c r="B1" s="215" t="s">
        <v>264</v>
      </c>
      <c r="C1" s="207" t="s">
        <v>265</v>
      </c>
      <c r="D1" s="215" t="s">
        <v>266</v>
      </c>
      <c r="E1" s="207" t="s">
        <v>267</v>
      </c>
      <c r="F1" s="196" t="s">
        <v>268</v>
      </c>
      <c r="G1" s="207" t="s">
        <v>269</v>
      </c>
      <c r="H1" s="216" t="s">
        <v>270</v>
      </c>
      <c r="I1" s="215" t="s">
        <v>271</v>
      </c>
    </row>
    <row r="2">
      <c r="A2" s="210" t="s">
        <v>286</v>
      </c>
      <c r="B2" s="211">
        <v>4.0</v>
      </c>
      <c r="C2" s="212">
        <v>16.0</v>
      </c>
      <c r="D2" s="211">
        <v>12.0</v>
      </c>
      <c r="E2" s="212">
        <v>9.0</v>
      </c>
      <c r="F2" s="201">
        <f t="shared" ref="F2:F132" si="1">E2*B2*4/C2</f>
        <v>9</v>
      </c>
      <c r="G2" s="212">
        <v>0.0</v>
      </c>
      <c r="H2" s="202">
        <f t="shared" ref="H2:H132" si="2">G2*B2</f>
        <v>0</v>
      </c>
      <c r="I2" s="214">
        <v>0.75</v>
      </c>
    </row>
    <row r="3">
      <c r="A3" s="210" t="s">
        <v>404</v>
      </c>
      <c r="B3" s="211">
        <v>3.0</v>
      </c>
      <c r="C3" s="212">
        <v>11.0</v>
      </c>
      <c r="D3" s="211">
        <v>7.0</v>
      </c>
      <c r="E3" s="212">
        <v>6.67</v>
      </c>
      <c r="F3" s="201">
        <f t="shared" si="1"/>
        <v>7.276363636</v>
      </c>
      <c r="G3" s="212">
        <v>0.33</v>
      </c>
      <c r="H3" s="202">
        <f t="shared" si="2"/>
        <v>0.99</v>
      </c>
      <c r="I3" s="214">
        <v>0.857</v>
      </c>
    </row>
    <row r="4">
      <c r="A4" s="210" t="s">
        <v>302</v>
      </c>
      <c r="B4" s="211">
        <v>4.0</v>
      </c>
      <c r="C4" s="212">
        <v>16.0</v>
      </c>
      <c r="D4" s="211">
        <v>12.0</v>
      </c>
      <c r="E4" s="212">
        <v>7.0</v>
      </c>
      <c r="F4" s="201">
        <f t="shared" si="1"/>
        <v>7</v>
      </c>
      <c r="G4" s="212">
        <v>0.25</v>
      </c>
      <c r="H4" s="202">
        <f t="shared" si="2"/>
        <v>1</v>
      </c>
      <c r="I4" s="214">
        <v>0.667</v>
      </c>
    </row>
    <row r="5">
      <c r="A5" s="210" t="s">
        <v>299</v>
      </c>
      <c r="B5" s="211">
        <v>4.0</v>
      </c>
      <c r="C5" s="212">
        <v>16.0</v>
      </c>
      <c r="D5" s="211">
        <v>7.0</v>
      </c>
      <c r="E5" s="212">
        <v>7.0</v>
      </c>
      <c r="F5" s="201">
        <f t="shared" si="1"/>
        <v>7</v>
      </c>
      <c r="G5" s="212">
        <v>0.0</v>
      </c>
      <c r="H5" s="202">
        <f t="shared" si="2"/>
        <v>0</v>
      </c>
      <c r="I5" s="214">
        <v>1.0</v>
      </c>
    </row>
    <row r="6">
      <c r="A6" s="210" t="s">
        <v>357</v>
      </c>
      <c r="B6" s="211">
        <v>3.0</v>
      </c>
      <c r="C6" s="212">
        <v>12.0</v>
      </c>
      <c r="D6" s="211">
        <v>5.0</v>
      </c>
      <c r="E6" s="212">
        <v>6.67</v>
      </c>
      <c r="F6" s="201">
        <f t="shared" si="1"/>
        <v>6.67</v>
      </c>
      <c r="G6" s="212">
        <v>0.0</v>
      </c>
      <c r="H6" s="202">
        <f t="shared" si="2"/>
        <v>0</v>
      </c>
      <c r="I6" s="214">
        <v>1.0</v>
      </c>
    </row>
    <row r="7">
      <c r="A7" s="210" t="s">
        <v>294</v>
      </c>
      <c r="B7" s="211">
        <v>4.0</v>
      </c>
      <c r="C7" s="212">
        <v>16.0</v>
      </c>
      <c r="D7" s="211">
        <v>13.0</v>
      </c>
      <c r="E7" s="212">
        <v>6.0</v>
      </c>
      <c r="F7" s="201">
        <f t="shared" si="1"/>
        <v>6</v>
      </c>
      <c r="G7" s="212">
        <v>0.5</v>
      </c>
      <c r="H7" s="202">
        <f t="shared" si="2"/>
        <v>2</v>
      </c>
      <c r="I7" s="214">
        <v>0.615</v>
      </c>
    </row>
    <row r="8">
      <c r="A8" s="210" t="s">
        <v>313</v>
      </c>
      <c r="B8" s="211">
        <v>4.0</v>
      </c>
      <c r="C8" s="212">
        <v>16.0</v>
      </c>
      <c r="D8" s="211">
        <v>11.0</v>
      </c>
      <c r="E8" s="212">
        <v>6.0</v>
      </c>
      <c r="F8" s="201">
        <f t="shared" si="1"/>
        <v>6</v>
      </c>
      <c r="G8" s="212">
        <v>0.5</v>
      </c>
      <c r="H8" s="202">
        <f t="shared" si="2"/>
        <v>2</v>
      </c>
      <c r="I8" s="214">
        <v>0.727</v>
      </c>
    </row>
    <row r="9">
      <c r="A9" s="210" t="s">
        <v>309</v>
      </c>
      <c r="B9" s="211">
        <v>2.0</v>
      </c>
      <c r="C9" s="212">
        <v>8.0</v>
      </c>
      <c r="D9" s="211">
        <v>4.0</v>
      </c>
      <c r="E9" s="212">
        <v>6.0</v>
      </c>
      <c r="F9" s="201">
        <f t="shared" si="1"/>
        <v>6</v>
      </c>
      <c r="G9" s="212">
        <v>0.0</v>
      </c>
      <c r="H9" s="202">
        <f t="shared" si="2"/>
        <v>0</v>
      </c>
      <c r="I9" s="214">
        <v>0.75</v>
      </c>
    </row>
    <row r="10">
      <c r="A10" s="210" t="s">
        <v>277</v>
      </c>
      <c r="B10" s="211">
        <v>3.0</v>
      </c>
      <c r="C10" s="212">
        <v>12.0</v>
      </c>
      <c r="D10" s="211">
        <v>8.0</v>
      </c>
      <c r="E10" s="212">
        <v>5.33</v>
      </c>
      <c r="F10" s="201">
        <f t="shared" si="1"/>
        <v>5.33</v>
      </c>
      <c r="G10" s="212">
        <v>0.33</v>
      </c>
      <c r="H10" s="202">
        <f t="shared" si="2"/>
        <v>0.99</v>
      </c>
      <c r="I10" s="214">
        <v>0.571</v>
      </c>
    </row>
    <row r="11">
      <c r="A11" s="210" t="s">
        <v>305</v>
      </c>
      <c r="B11" s="211">
        <v>4.0</v>
      </c>
      <c r="C11" s="212">
        <v>16.0</v>
      </c>
      <c r="D11" s="211">
        <v>6.0</v>
      </c>
      <c r="E11" s="212">
        <v>5.0</v>
      </c>
      <c r="F11" s="201">
        <f t="shared" si="1"/>
        <v>5</v>
      </c>
      <c r="G11" s="212">
        <v>0.0</v>
      </c>
      <c r="H11" s="202">
        <f t="shared" si="2"/>
        <v>0</v>
      </c>
      <c r="I11" s="214">
        <v>0.833</v>
      </c>
    </row>
    <row r="12">
      <c r="A12" s="210" t="s">
        <v>276</v>
      </c>
      <c r="B12" s="211">
        <v>4.0</v>
      </c>
      <c r="C12" s="212">
        <v>15.0</v>
      </c>
      <c r="D12" s="211">
        <v>10.0</v>
      </c>
      <c r="E12" s="212">
        <v>4.0</v>
      </c>
      <c r="F12" s="201">
        <f t="shared" si="1"/>
        <v>4.266666667</v>
      </c>
      <c r="G12" s="212">
        <v>0.0</v>
      </c>
      <c r="H12" s="202">
        <f t="shared" si="2"/>
        <v>0</v>
      </c>
      <c r="I12" s="214">
        <v>0.4</v>
      </c>
    </row>
    <row r="13">
      <c r="A13" s="210" t="s">
        <v>274</v>
      </c>
      <c r="B13" s="211">
        <v>4.0</v>
      </c>
      <c r="C13" s="212">
        <v>16.0</v>
      </c>
      <c r="D13" s="211">
        <v>8.0</v>
      </c>
      <c r="E13" s="212">
        <v>4.0</v>
      </c>
      <c r="F13" s="201">
        <f t="shared" si="1"/>
        <v>4</v>
      </c>
      <c r="G13" s="212">
        <v>0.25</v>
      </c>
      <c r="H13" s="202">
        <f t="shared" si="2"/>
        <v>1</v>
      </c>
      <c r="I13" s="214">
        <v>0.625</v>
      </c>
    </row>
    <row r="14">
      <c r="A14" s="210" t="s">
        <v>341</v>
      </c>
      <c r="B14" s="211">
        <v>4.0</v>
      </c>
      <c r="C14" s="212">
        <v>16.0</v>
      </c>
      <c r="D14" s="211">
        <v>7.0</v>
      </c>
      <c r="E14" s="212">
        <v>4.0</v>
      </c>
      <c r="F14" s="201">
        <f t="shared" si="1"/>
        <v>4</v>
      </c>
      <c r="G14" s="212">
        <v>0.25</v>
      </c>
      <c r="H14" s="202">
        <f t="shared" si="2"/>
        <v>1</v>
      </c>
      <c r="I14" s="214">
        <v>0.714</v>
      </c>
    </row>
    <row r="15">
      <c r="A15" s="210" t="s">
        <v>311</v>
      </c>
      <c r="B15" s="211">
        <v>4.0</v>
      </c>
      <c r="C15" s="212">
        <v>16.0</v>
      </c>
      <c r="D15" s="211">
        <v>10.0</v>
      </c>
      <c r="E15" s="212">
        <v>4.0</v>
      </c>
      <c r="F15" s="201">
        <f t="shared" si="1"/>
        <v>4</v>
      </c>
      <c r="G15" s="212">
        <v>0.25</v>
      </c>
      <c r="H15" s="202">
        <f t="shared" si="2"/>
        <v>1</v>
      </c>
      <c r="I15" s="214">
        <v>0.5</v>
      </c>
    </row>
    <row r="16">
      <c r="A16" s="210" t="s">
        <v>388</v>
      </c>
      <c r="B16" s="211">
        <v>2.0</v>
      </c>
      <c r="C16" s="212">
        <v>8.0</v>
      </c>
      <c r="D16" s="211">
        <v>4.0</v>
      </c>
      <c r="E16" s="212">
        <v>4.0</v>
      </c>
      <c r="F16" s="201">
        <f t="shared" si="1"/>
        <v>4</v>
      </c>
      <c r="G16" s="212">
        <v>0.0</v>
      </c>
      <c r="H16" s="202">
        <f t="shared" si="2"/>
        <v>0</v>
      </c>
      <c r="I16" s="214">
        <v>0.5</v>
      </c>
    </row>
    <row r="17">
      <c r="A17" s="210" t="s">
        <v>278</v>
      </c>
      <c r="B17" s="211">
        <v>3.0</v>
      </c>
      <c r="C17" s="212">
        <v>12.0</v>
      </c>
      <c r="D17" s="211">
        <v>7.0</v>
      </c>
      <c r="E17" s="212">
        <v>4.0</v>
      </c>
      <c r="F17" s="201">
        <f t="shared" si="1"/>
        <v>4</v>
      </c>
      <c r="G17" s="212">
        <v>0.0</v>
      </c>
      <c r="H17" s="202">
        <f t="shared" si="2"/>
        <v>0</v>
      </c>
      <c r="I17" s="214">
        <v>0.429</v>
      </c>
    </row>
    <row r="18">
      <c r="A18" s="210" t="s">
        <v>398</v>
      </c>
      <c r="B18" s="211">
        <v>1.0</v>
      </c>
      <c r="C18" s="212">
        <v>4.0</v>
      </c>
      <c r="D18" s="211">
        <v>2.0</v>
      </c>
      <c r="E18" s="212">
        <v>4.0</v>
      </c>
      <c r="F18" s="201">
        <f t="shared" si="1"/>
        <v>4</v>
      </c>
      <c r="G18" s="212">
        <v>0.0</v>
      </c>
      <c r="H18" s="202">
        <f t="shared" si="2"/>
        <v>0</v>
      </c>
      <c r="I18" s="214">
        <v>0.5</v>
      </c>
    </row>
    <row r="19">
      <c r="A19" s="210" t="s">
        <v>378</v>
      </c>
      <c r="B19" s="211">
        <v>2.0</v>
      </c>
      <c r="C19" s="212">
        <v>8.0</v>
      </c>
      <c r="D19" s="211">
        <v>2.0</v>
      </c>
      <c r="E19" s="212">
        <v>4.0</v>
      </c>
      <c r="F19" s="201">
        <f t="shared" si="1"/>
        <v>4</v>
      </c>
      <c r="G19" s="212">
        <v>0.0</v>
      </c>
      <c r="H19" s="202">
        <f t="shared" si="2"/>
        <v>0</v>
      </c>
      <c r="I19" s="214">
        <v>1.0</v>
      </c>
    </row>
    <row r="20">
      <c r="A20" s="210" t="s">
        <v>406</v>
      </c>
      <c r="B20" s="211">
        <v>1.0</v>
      </c>
      <c r="C20" s="212">
        <v>4.0</v>
      </c>
      <c r="D20" s="211">
        <v>1.0</v>
      </c>
      <c r="E20" s="212">
        <v>4.0</v>
      </c>
      <c r="F20" s="201">
        <f t="shared" si="1"/>
        <v>4</v>
      </c>
      <c r="G20" s="212">
        <v>0.0</v>
      </c>
      <c r="H20" s="202">
        <f t="shared" si="2"/>
        <v>0</v>
      </c>
      <c r="I20" s="214">
        <v>1.0</v>
      </c>
    </row>
    <row r="21">
      <c r="A21" s="210" t="s">
        <v>384</v>
      </c>
      <c r="B21" s="211">
        <v>2.0</v>
      </c>
      <c r="C21" s="212">
        <v>8.0</v>
      </c>
      <c r="D21" s="211">
        <v>2.0</v>
      </c>
      <c r="E21" s="212">
        <v>4.0</v>
      </c>
      <c r="F21" s="201">
        <f t="shared" si="1"/>
        <v>4</v>
      </c>
      <c r="G21" s="212">
        <v>0.0</v>
      </c>
      <c r="H21" s="202">
        <f t="shared" si="2"/>
        <v>0</v>
      </c>
      <c r="I21" s="214">
        <v>1.0</v>
      </c>
    </row>
    <row r="22">
      <c r="A22" s="210" t="s">
        <v>335</v>
      </c>
      <c r="B22" s="211">
        <v>1.0</v>
      </c>
      <c r="C22" s="212">
        <v>4.0</v>
      </c>
      <c r="D22" s="211">
        <v>1.0</v>
      </c>
      <c r="E22" s="212">
        <v>4.0</v>
      </c>
      <c r="F22" s="201">
        <f t="shared" si="1"/>
        <v>4</v>
      </c>
      <c r="G22" s="212">
        <v>0.0</v>
      </c>
      <c r="H22" s="202">
        <f t="shared" si="2"/>
        <v>0</v>
      </c>
      <c r="I22" s="214">
        <v>1.0</v>
      </c>
    </row>
    <row r="23">
      <c r="A23" s="210" t="s">
        <v>287</v>
      </c>
      <c r="B23" s="211">
        <v>4.0</v>
      </c>
      <c r="C23" s="212">
        <v>14.0</v>
      </c>
      <c r="D23" s="211">
        <v>4.0</v>
      </c>
      <c r="E23" s="212">
        <v>3.0</v>
      </c>
      <c r="F23" s="201">
        <f t="shared" si="1"/>
        <v>3.428571429</v>
      </c>
      <c r="G23" s="212">
        <v>0.0</v>
      </c>
      <c r="H23" s="202">
        <f t="shared" si="2"/>
        <v>0</v>
      </c>
      <c r="I23" s="214">
        <v>0.75</v>
      </c>
    </row>
    <row r="24">
      <c r="A24" s="210" t="s">
        <v>328</v>
      </c>
      <c r="B24" s="211">
        <v>4.0</v>
      </c>
      <c r="C24" s="212">
        <v>15.0</v>
      </c>
      <c r="D24" s="211">
        <v>8.0</v>
      </c>
      <c r="E24" s="212">
        <v>3.0</v>
      </c>
      <c r="F24" s="201">
        <f t="shared" si="1"/>
        <v>3.2</v>
      </c>
      <c r="G24" s="212">
        <v>0.0</v>
      </c>
      <c r="H24" s="202">
        <f t="shared" si="2"/>
        <v>0</v>
      </c>
      <c r="I24" s="214">
        <v>0.375</v>
      </c>
    </row>
    <row r="25">
      <c r="A25" s="210" t="s">
        <v>275</v>
      </c>
      <c r="B25" s="211">
        <v>4.0</v>
      </c>
      <c r="C25" s="212">
        <v>16.0</v>
      </c>
      <c r="D25" s="211">
        <v>11.0</v>
      </c>
      <c r="E25" s="212">
        <v>3.0</v>
      </c>
      <c r="F25" s="201">
        <f t="shared" si="1"/>
        <v>3</v>
      </c>
      <c r="G25" s="212">
        <v>0.75</v>
      </c>
      <c r="H25" s="202">
        <f t="shared" si="2"/>
        <v>3</v>
      </c>
      <c r="I25" s="214">
        <v>0.545</v>
      </c>
    </row>
    <row r="26">
      <c r="A26" s="210" t="s">
        <v>272</v>
      </c>
      <c r="B26" s="211">
        <v>4.0</v>
      </c>
      <c r="C26" s="212">
        <v>16.0</v>
      </c>
      <c r="D26" s="211">
        <v>3.0</v>
      </c>
      <c r="E26" s="212">
        <v>3.0</v>
      </c>
      <c r="F26" s="201">
        <f t="shared" si="1"/>
        <v>3</v>
      </c>
      <c r="G26" s="212">
        <v>0.0</v>
      </c>
      <c r="H26" s="202">
        <f t="shared" si="2"/>
        <v>0</v>
      </c>
      <c r="I26" s="214">
        <v>1.0</v>
      </c>
    </row>
    <row r="27">
      <c r="A27" s="210" t="s">
        <v>364</v>
      </c>
      <c r="B27" s="211">
        <v>3.0</v>
      </c>
      <c r="C27" s="212">
        <v>12.0</v>
      </c>
      <c r="D27" s="211">
        <v>2.0</v>
      </c>
      <c r="E27" s="212">
        <v>2.67</v>
      </c>
      <c r="F27" s="201">
        <f t="shared" si="1"/>
        <v>2.67</v>
      </c>
      <c r="G27" s="212">
        <v>0.0</v>
      </c>
      <c r="H27" s="202">
        <f t="shared" si="2"/>
        <v>0</v>
      </c>
      <c r="I27" s="214">
        <v>1.0</v>
      </c>
    </row>
    <row r="28">
      <c r="A28" s="210" t="s">
        <v>387</v>
      </c>
      <c r="B28" s="211">
        <v>3.0</v>
      </c>
      <c r="C28" s="212">
        <v>12.0</v>
      </c>
      <c r="D28" s="211">
        <v>3.0</v>
      </c>
      <c r="E28" s="212">
        <v>2.67</v>
      </c>
      <c r="F28" s="201">
        <f t="shared" si="1"/>
        <v>2.67</v>
      </c>
      <c r="G28" s="212">
        <v>0.0</v>
      </c>
      <c r="H28" s="202">
        <f t="shared" si="2"/>
        <v>0</v>
      </c>
      <c r="I28" s="214">
        <v>0.667</v>
      </c>
    </row>
    <row r="29">
      <c r="A29" s="210" t="s">
        <v>347</v>
      </c>
      <c r="B29" s="211">
        <v>3.0</v>
      </c>
      <c r="C29" s="212">
        <v>12.0</v>
      </c>
      <c r="D29" s="211">
        <v>3.0</v>
      </c>
      <c r="E29" s="212">
        <v>2.67</v>
      </c>
      <c r="F29" s="201">
        <f t="shared" si="1"/>
        <v>2.67</v>
      </c>
      <c r="G29" s="212">
        <v>0.0</v>
      </c>
      <c r="H29" s="202">
        <f t="shared" si="2"/>
        <v>0</v>
      </c>
      <c r="I29" s="214">
        <v>0.667</v>
      </c>
    </row>
    <row r="30">
      <c r="A30" s="210" t="s">
        <v>329</v>
      </c>
      <c r="B30" s="211">
        <v>4.0</v>
      </c>
      <c r="C30" s="212">
        <v>15.0</v>
      </c>
      <c r="D30" s="211">
        <v>4.0</v>
      </c>
      <c r="E30" s="212">
        <v>2.0</v>
      </c>
      <c r="F30" s="201">
        <f t="shared" si="1"/>
        <v>2.133333333</v>
      </c>
      <c r="G30" s="212">
        <v>0.0</v>
      </c>
      <c r="H30" s="202">
        <f t="shared" si="2"/>
        <v>0</v>
      </c>
      <c r="I30" s="214">
        <v>0.5</v>
      </c>
    </row>
    <row r="31">
      <c r="A31" s="210" t="s">
        <v>393</v>
      </c>
      <c r="B31" s="211">
        <v>4.0</v>
      </c>
      <c r="C31" s="212">
        <v>16.0</v>
      </c>
      <c r="D31" s="211">
        <v>12.0</v>
      </c>
      <c r="E31" s="212">
        <v>2.0</v>
      </c>
      <c r="F31" s="201">
        <f t="shared" si="1"/>
        <v>2</v>
      </c>
      <c r="G31" s="212">
        <v>0.25</v>
      </c>
      <c r="H31" s="202">
        <f t="shared" si="2"/>
        <v>1</v>
      </c>
      <c r="I31" s="214">
        <v>0.25</v>
      </c>
    </row>
    <row r="32">
      <c r="A32" s="210" t="s">
        <v>291</v>
      </c>
      <c r="B32" s="211">
        <v>4.0</v>
      </c>
      <c r="C32" s="212">
        <v>16.0</v>
      </c>
      <c r="D32" s="211">
        <v>6.0</v>
      </c>
      <c r="E32" s="212">
        <v>2.0</v>
      </c>
      <c r="F32" s="201">
        <f t="shared" si="1"/>
        <v>2</v>
      </c>
      <c r="G32" s="212">
        <v>0.0</v>
      </c>
      <c r="H32" s="202">
        <f t="shared" si="2"/>
        <v>0</v>
      </c>
      <c r="I32" s="214">
        <v>0.333</v>
      </c>
    </row>
    <row r="33">
      <c r="A33" s="210" t="s">
        <v>327</v>
      </c>
      <c r="B33" s="211">
        <v>4.0</v>
      </c>
      <c r="C33" s="212">
        <v>16.0</v>
      </c>
      <c r="D33" s="211">
        <v>7.0</v>
      </c>
      <c r="E33" s="212">
        <v>2.0</v>
      </c>
      <c r="F33" s="201">
        <f t="shared" si="1"/>
        <v>2</v>
      </c>
      <c r="G33" s="212">
        <v>0.0</v>
      </c>
      <c r="H33" s="202">
        <f t="shared" si="2"/>
        <v>0</v>
      </c>
      <c r="I33" s="214">
        <v>0.286</v>
      </c>
    </row>
    <row r="34">
      <c r="A34" s="210" t="s">
        <v>375</v>
      </c>
      <c r="B34" s="211">
        <v>2.0</v>
      </c>
      <c r="C34" s="212">
        <v>8.0</v>
      </c>
      <c r="D34" s="211">
        <v>3.0</v>
      </c>
      <c r="E34" s="212">
        <v>2.0</v>
      </c>
      <c r="F34" s="201">
        <f t="shared" si="1"/>
        <v>2</v>
      </c>
      <c r="G34" s="212">
        <v>0.0</v>
      </c>
      <c r="H34" s="202">
        <f t="shared" si="2"/>
        <v>0</v>
      </c>
      <c r="I34" s="214">
        <v>0.333</v>
      </c>
    </row>
    <row r="35">
      <c r="A35" s="210" t="s">
        <v>285</v>
      </c>
      <c r="B35" s="211">
        <v>4.0</v>
      </c>
      <c r="C35" s="212">
        <v>16.0</v>
      </c>
      <c r="D35" s="211">
        <v>2.0</v>
      </c>
      <c r="E35" s="212">
        <v>2.0</v>
      </c>
      <c r="F35" s="201">
        <f t="shared" si="1"/>
        <v>2</v>
      </c>
      <c r="G35" s="212">
        <v>0.0</v>
      </c>
      <c r="H35" s="202">
        <f t="shared" si="2"/>
        <v>0</v>
      </c>
      <c r="I35" s="214">
        <v>1.0</v>
      </c>
    </row>
    <row r="36">
      <c r="A36" s="210" t="s">
        <v>361</v>
      </c>
      <c r="B36" s="211">
        <v>4.0</v>
      </c>
      <c r="C36" s="212">
        <v>16.0</v>
      </c>
      <c r="D36" s="211">
        <v>5.0</v>
      </c>
      <c r="E36" s="212">
        <v>2.0</v>
      </c>
      <c r="F36" s="201">
        <f t="shared" si="1"/>
        <v>2</v>
      </c>
      <c r="G36" s="212">
        <v>0.0</v>
      </c>
      <c r="H36" s="202">
        <f t="shared" si="2"/>
        <v>0</v>
      </c>
      <c r="I36" s="214">
        <v>0.4</v>
      </c>
    </row>
    <row r="37">
      <c r="A37" s="210" t="s">
        <v>284</v>
      </c>
      <c r="B37" s="211">
        <v>4.0</v>
      </c>
      <c r="C37" s="212">
        <v>16.0</v>
      </c>
      <c r="D37" s="211">
        <v>3.0</v>
      </c>
      <c r="E37" s="212">
        <v>2.0</v>
      </c>
      <c r="F37" s="201">
        <f t="shared" si="1"/>
        <v>2</v>
      </c>
      <c r="G37" s="212">
        <v>0.0</v>
      </c>
      <c r="H37" s="202">
        <f t="shared" si="2"/>
        <v>0</v>
      </c>
      <c r="I37" s="214">
        <v>0.667</v>
      </c>
    </row>
    <row r="38">
      <c r="A38" s="210" t="s">
        <v>405</v>
      </c>
      <c r="B38" s="211">
        <v>4.0</v>
      </c>
      <c r="C38" s="212">
        <v>16.0</v>
      </c>
      <c r="D38" s="211">
        <v>3.0</v>
      </c>
      <c r="E38" s="212">
        <v>2.0</v>
      </c>
      <c r="F38" s="201">
        <f t="shared" si="1"/>
        <v>2</v>
      </c>
      <c r="G38" s="212">
        <v>0.0</v>
      </c>
      <c r="H38" s="202">
        <f t="shared" si="2"/>
        <v>0</v>
      </c>
      <c r="I38" s="214">
        <v>0.667</v>
      </c>
    </row>
    <row r="39">
      <c r="A39" s="210" t="s">
        <v>321</v>
      </c>
      <c r="B39" s="211">
        <v>4.0</v>
      </c>
      <c r="C39" s="212">
        <v>16.0</v>
      </c>
      <c r="D39" s="211">
        <v>3.0</v>
      </c>
      <c r="E39" s="212">
        <v>2.0</v>
      </c>
      <c r="F39" s="201">
        <f t="shared" si="1"/>
        <v>2</v>
      </c>
      <c r="G39" s="212">
        <v>0.0</v>
      </c>
      <c r="H39" s="202">
        <f t="shared" si="2"/>
        <v>0</v>
      </c>
      <c r="I39" s="214">
        <v>0.667</v>
      </c>
    </row>
    <row r="40">
      <c r="A40" s="210" t="s">
        <v>314</v>
      </c>
      <c r="B40" s="211">
        <v>2.0</v>
      </c>
      <c r="C40" s="212">
        <v>8.0</v>
      </c>
      <c r="D40" s="211">
        <v>1.0</v>
      </c>
      <c r="E40" s="212">
        <v>2.0</v>
      </c>
      <c r="F40" s="201">
        <f t="shared" si="1"/>
        <v>2</v>
      </c>
      <c r="G40" s="212">
        <v>0.0</v>
      </c>
      <c r="H40" s="202">
        <f t="shared" si="2"/>
        <v>0</v>
      </c>
      <c r="I40" s="214">
        <v>1.0</v>
      </c>
    </row>
    <row r="41">
      <c r="A41" s="210" t="s">
        <v>386</v>
      </c>
      <c r="B41" s="211">
        <v>3.0</v>
      </c>
      <c r="C41" s="212">
        <v>12.0</v>
      </c>
      <c r="D41" s="211">
        <v>4.0</v>
      </c>
      <c r="E41" s="212">
        <v>1.33</v>
      </c>
      <c r="F41" s="201">
        <f t="shared" si="1"/>
        <v>1.33</v>
      </c>
      <c r="G41" s="212">
        <v>0.0</v>
      </c>
      <c r="H41" s="202">
        <f t="shared" si="2"/>
        <v>0</v>
      </c>
      <c r="I41" s="214">
        <v>0.25</v>
      </c>
    </row>
    <row r="42">
      <c r="A42" s="210" t="s">
        <v>306</v>
      </c>
      <c r="B42" s="211">
        <v>4.0</v>
      </c>
      <c r="C42" s="212">
        <v>14.0</v>
      </c>
      <c r="D42" s="211">
        <v>2.0</v>
      </c>
      <c r="E42" s="212">
        <v>1.0</v>
      </c>
      <c r="F42" s="201">
        <f t="shared" si="1"/>
        <v>1.142857143</v>
      </c>
      <c r="G42" s="212">
        <v>0.0</v>
      </c>
      <c r="H42" s="202">
        <f t="shared" si="2"/>
        <v>0</v>
      </c>
      <c r="I42" s="214">
        <v>0.5</v>
      </c>
    </row>
    <row r="43">
      <c r="A43" s="210" t="s">
        <v>318</v>
      </c>
      <c r="B43" s="211">
        <v>4.0</v>
      </c>
      <c r="C43" s="212">
        <v>15.0</v>
      </c>
      <c r="D43" s="211">
        <v>2.0</v>
      </c>
      <c r="E43" s="212">
        <v>1.0</v>
      </c>
      <c r="F43" s="201">
        <f t="shared" si="1"/>
        <v>1.066666667</v>
      </c>
      <c r="G43" s="212">
        <v>0.0</v>
      </c>
      <c r="H43" s="202">
        <f t="shared" si="2"/>
        <v>0</v>
      </c>
      <c r="I43" s="214">
        <v>0.5</v>
      </c>
    </row>
    <row r="44">
      <c r="A44" s="210" t="s">
        <v>293</v>
      </c>
      <c r="B44" s="211">
        <v>4.0</v>
      </c>
      <c r="C44" s="212">
        <v>16.0</v>
      </c>
      <c r="D44" s="211">
        <v>11.0</v>
      </c>
      <c r="E44" s="212">
        <v>1.0</v>
      </c>
      <c r="F44" s="201">
        <f t="shared" si="1"/>
        <v>1</v>
      </c>
      <c r="G44" s="212">
        <v>1.0</v>
      </c>
      <c r="H44" s="202">
        <f t="shared" si="2"/>
        <v>4</v>
      </c>
      <c r="I44" s="214">
        <v>0.455</v>
      </c>
    </row>
    <row r="45">
      <c r="A45" s="210" t="s">
        <v>334</v>
      </c>
      <c r="B45" s="211">
        <v>4.0</v>
      </c>
      <c r="C45" s="212">
        <v>16.0</v>
      </c>
      <c r="D45" s="211">
        <v>7.0</v>
      </c>
      <c r="E45" s="212">
        <v>1.0</v>
      </c>
      <c r="F45" s="201">
        <f t="shared" si="1"/>
        <v>1</v>
      </c>
      <c r="G45" s="212">
        <v>0.25</v>
      </c>
      <c r="H45" s="202">
        <f t="shared" si="2"/>
        <v>1</v>
      </c>
      <c r="I45" s="214">
        <v>0.286</v>
      </c>
    </row>
    <row r="46">
      <c r="A46" s="210" t="s">
        <v>282</v>
      </c>
      <c r="B46" s="211">
        <v>4.0</v>
      </c>
      <c r="C46" s="212">
        <v>16.0</v>
      </c>
      <c r="D46" s="211">
        <v>1.0</v>
      </c>
      <c r="E46" s="212">
        <v>1.0</v>
      </c>
      <c r="F46" s="201">
        <f t="shared" si="1"/>
        <v>1</v>
      </c>
      <c r="G46" s="212">
        <v>0.0</v>
      </c>
      <c r="H46" s="202">
        <f t="shared" si="2"/>
        <v>0</v>
      </c>
      <c r="I46" s="214">
        <v>1.0</v>
      </c>
    </row>
    <row r="47">
      <c r="A47" s="210" t="s">
        <v>350</v>
      </c>
      <c r="B47" s="211">
        <v>4.0</v>
      </c>
      <c r="C47" s="212">
        <v>16.0</v>
      </c>
      <c r="D47" s="211">
        <v>11.0</v>
      </c>
      <c r="E47" s="212">
        <v>1.0</v>
      </c>
      <c r="F47" s="201">
        <f t="shared" si="1"/>
        <v>1</v>
      </c>
      <c r="G47" s="212">
        <v>0.0</v>
      </c>
      <c r="H47" s="202">
        <f t="shared" si="2"/>
        <v>0</v>
      </c>
      <c r="I47" s="214">
        <v>0.091</v>
      </c>
    </row>
    <row r="48">
      <c r="A48" s="210" t="s">
        <v>322</v>
      </c>
      <c r="B48" s="211">
        <v>4.0</v>
      </c>
      <c r="C48" s="212">
        <v>16.0</v>
      </c>
      <c r="D48" s="211">
        <v>1.0</v>
      </c>
      <c r="E48" s="212">
        <v>1.0</v>
      </c>
      <c r="F48" s="201">
        <f t="shared" si="1"/>
        <v>1</v>
      </c>
      <c r="G48" s="212">
        <v>0.0</v>
      </c>
      <c r="H48" s="202">
        <f t="shared" si="2"/>
        <v>0</v>
      </c>
      <c r="I48" s="214">
        <v>1.0</v>
      </c>
    </row>
    <row r="49">
      <c r="A49" s="210" t="s">
        <v>407</v>
      </c>
      <c r="B49" s="211">
        <v>4.0</v>
      </c>
      <c r="C49" s="212">
        <v>16.0</v>
      </c>
      <c r="D49" s="211">
        <v>3.0</v>
      </c>
      <c r="E49" s="212">
        <v>1.0</v>
      </c>
      <c r="F49" s="201">
        <f t="shared" si="1"/>
        <v>1</v>
      </c>
      <c r="G49" s="212">
        <v>0.0</v>
      </c>
      <c r="H49" s="202">
        <f t="shared" si="2"/>
        <v>0</v>
      </c>
      <c r="I49" s="214">
        <v>0.333</v>
      </c>
    </row>
    <row r="50">
      <c r="A50" s="210" t="s">
        <v>359</v>
      </c>
      <c r="B50" s="211">
        <v>4.0</v>
      </c>
      <c r="C50" s="212">
        <v>16.0</v>
      </c>
      <c r="D50" s="211">
        <v>1.0</v>
      </c>
      <c r="E50" s="212">
        <v>1.0</v>
      </c>
      <c r="F50" s="201">
        <f t="shared" si="1"/>
        <v>1</v>
      </c>
      <c r="G50" s="212">
        <v>0.0</v>
      </c>
      <c r="H50" s="202">
        <f t="shared" si="2"/>
        <v>0</v>
      </c>
      <c r="I50" s="214">
        <v>1.0</v>
      </c>
    </row>
    <row r="51">
      <c r="A51" s="210" t="s">
        <v>326</v>
      </c>
      <c r="B51" s="211">
        <v>4.0</v>
      </c>
      <c r="C51" s="212">
        <v>16.0</v>
      </c>
      <c r="D51" s="211">
        <v>2.0</v>
      </c>
      <c r="E51" s="212">
        <v>1.0</v>
      </c>
      <c r="F51" s="201">
        <f t="shared" si="1"/>
        <v>1</v>
      </c>
      <c r="G51" s="212">
        <v>0.0</v>
      </c>
      <c r="H51" s="202">
        <f t="shared" si="2"/>
        <v>0</v>
      </c>
      <c r="I51" s="214">
        <v>0.5</v>
      </c>
    </row>
    <row r="52">
      <c r="A52" s="210" t="s">
        <v>380</v>
      </c>
      <c r="B52" s="211">
        <v>4.0</v>
      </c>
      <c r="C52" s="212">
        <v>16.0</v>
      </c>
      <c r="D52" s="211">
        <v>4.0</v>
      </c>
      <c r="E52" s="212">
        <v>1.0</v>
      </c>
      <c r="F52" s="201">
        <f t="shared" si="1"/>
        <v>1</v>
      </c>
      <c r="G52" s="212">
        <v>0.0</v>
      </c>
      <c r="H52" s="202">
        <f t="shared" si="2"/>
        <v>0</v>
      </c>
      <c r="I52" s="214">
        <v>0.25</v>
      </c>
    </row>
    <row r="53">
      <c r="A53" s="210" t="s">
        <v>312</v>
      </c>
      <c r="B53" s="211">
        <v>4.0</v>
      </c>
      <c r="C53" s="212">
        <v>16.0</v>
      </c>
      <c r="D53" s="211">
        <v>1.0</v>
      </c>
      <c r="E53" s="212">
        <v>1.0</v>
      </c>
      <c r="F53" s="201">
        <f t="shared" si="1"/>
        <v>1</v>
      </c>
      <c r="G53" s="212">
        <v>0.0</v>
      </c>
      <c r="H53" s="202">
        <f t="shared" si="2"/>
        <v>0</v>
      </c>
      <c r="I53" s="214">
        <v>1.0</v>
      </c>
    </row>
    <row r="54">
      <c r="A54" s="210" t="s">
        <v>303</v>
      </c>
      <c r="B54" s="211">
        <v>4.0</v>
      </c>
      <c r="C54" s="212">
        <v>16.0</v>
      </c>
      <c r="D54" s="211">
        <v>1.0</v>
      </c>
      <c r="E54" s="212">
        <v>1.0</v>
      </c>
      <c r="F54" s="201">
        <f t="shared" si="1"/>
        <v>1</v>
      </c>
      <c r="G54" s="212">
        <v>0.0</v>
      </c>
      <c r="H54" s="202">
        <f t="shared" si="2"/>
        <v>0</v>
      </c>
      <c r="I54" s="214">
        <v>1.0</v>
      </c>
    </row>
    <row r="55">
      <c r="A55" s="210" t="s">
        <v>342</v>
      </c>
      <c r="B55" s="211">
        <v>3.0</v>
      </c>
      <c r="C55" s="212">
        <v>12.0</v>
      </c>
      <c r="D55" s="211">
        <v>7.0</v>
      </c>
      <c r="E55" s="212">
        <v>0.0</v>
      </c>
      <c r="F55" s="201">
        <f t="shared" si="1"/>
        <v>0</v>
      </c>
      <c r="G55" s="212">
        <v>0.67</v>
      </c>
      <c r="H55" s="202">
        <f t="shared" si="2"/>
        <v>2.01</v>
      </c>
      <c r="I55" s="214">
        <v>0.286</v>
      </c>
    </row>
    <row r="56">
      <c r="A56" s="210" t="s">
        <v>340</v>
      </c>
      <c r="B56" s="211">
        <v>4.0</v>
      </c>
      <c r="C56" s="212">
        <v>16.0</v>
      </c>
      <c r="D56" s="211">
        <v>0.0</v>
      </c>
      <c r="E56" s="212">
        <v>0.0</v>
      </c>
      <c r="F56" s="201">
        <f t="shared" si="1"/>
        <v>0</v>
      </c>
      <c r="G56" s="212">
        <v>0.0</v>
      </c>
      <c r="H56" s="202">
        <f t="shared" si="2"/>
        <v>0</v>
      </c>
      <c r="I56" s="214">
        <v>0.0</v>
      </c>
    </row>
    <row r="57">
      <c r="A57" s="210" t="s">
        <v>319</v>
      </c>
      <c r="B57" s="211">
        <v>4.0</v>
      </c>
      <c r="C57" s="212">
        <v>16.0</v>
      </c>
      <c r="D57" s="211">
        <v>0.0</v>
      </c>
      <c r="E57" s="212">
        <v>0.0</v>
      </c>
      <c r="F57" s="201">
        <f t="shared" si="1"/>
        <v>0</v>
      </c>
      <c r="G57" s="212">
        <v>0.0</v>
      </c>
      <c r="H57" s="202">
        <f t="shared" si="2"/>
        <v>0</v>
      </c>
      <c r="I57" s="214">
        <v>0.0</v>
      </c>
    </row>
    <row r="58">
      <c r="A58" s="210" t="s">
        <v>365</v>
      </c>
      <c r="B58" s="211">
        <v>4.0</v>
      </c>
      <c r="C58" s="212">
        <v>16.0</v>
      </c>
      <c r="D58" s="211">
        <v>0.0</v>
      </c>
      <c r="E58" s="212">
        <v>0.0</v>
      </c>
      <c r="F58" s="201">
        <f t="shared" si="1"/>
        <v>0</v>
      </c>
      <c r="G58" s="212">
        <v>0.0</v>
      </c>
      <c r="H58" s="202">
        <f t="shared" si="2"/>
        <v>0</v>
      </c>
      <c r="I58" s="214">
        <v>0.0</v>
      </c>
    </row>
    <row r="59">
      <c r="A59" s="210" t="s">
        <v>310</v>
      </c>
      <c r="B59" s="211">
        <v>4.0</v>
      </c>
      <c r="C59" s="212">
        <v>16.0</v>
      </c>
      <c r="D59" s="211">
        <v>0.0</v>
      </c>
      <c r="E59" s="212">
        <v>0.0</v>
      </c>
      <c r="F59" s="201">
        <f t="shared" si="1"/>
        <v>0</v>
      </c>
      <c r="G59" s="212">
        <v>0.0</v>
      </c>
      <c r="H59" s="202">
        <f t="shared" si="2"/>
        <v>0</v>
      </c>
      <c r="I59" s="214">
        <v>0.0</v>
      </c>
    </row>
    <row r="60">
      <c r="A60" s="210" t="s">
        <v>283</v>
      </c>
      <c r="B60" s="211">
        <v>4.0</v>
      </c>
      <c r="C60" s="212">
        <v>16.0</v>
      </c>
      <c r="D60" s="211">
        <v>0.0</v>
      </c>
      <c r="E60" s="212">
        <v>0.0</v>
      </c>
      <c r="F60" s="201">
        <f t="shared" si="1"/>
        <v>0</v>
      </c>
      <c r="G60" s="212">
        <v>0.0</v>
      </c>
      <c r="H60" s="202">
        <f t="shared" si="2"/>
        <v>0</v>
      </c>
      <c r="I60" s="214">
        <v>0.0</v>
      </c>
    </row>
    <row r="61">
      <c r="A61" s="210" t="s">
        <v>394</v>
      </c>
      <c r="B61" s="211">
        <v>4.0</v>
      </c>
      <c r="C61" s="212">
        <v>16.0</v>
      </c>
      <c r="D61" s="211">
        <v>0.0</v>
      </c>
      <c r="E61" s="212">
        <v>0.0</v>
      </c>
      <c r="F61" s="201">
        <f t="shared" si="1"/>
        <v>0</v>
      </c>
      <c r="G61" s="212">
        <v>0.0</v>
      </c>
      <c r="H61" s="202">
        <f t="shared" si="2"/>
        <v>0</v>
      </c>
      <c r="I61" s="214">
        <v>0.0</v>
      </c>
    </row>
    <row r="62">
      <c r="A62" s="210" t="s">
        <v>352</v>
      </c>
      <c r="B62" s="211">
        <v>3.0</v>
      </c>
      <c r="C62" s="212">
        <v>12.0</v>
      </c>
      <c r="D62" s="211">
        <v>0.0</v>
      </c>
      <c r="E62" s="212">
        <v>0.0</v>
      </c>
      <c r="F62" s="201">
        <f t="shared" si="1"/>
        <v>0</v>
      </c>
      <c r="G62" s="212">
        <v>0.0</v>
      </c>
      <c r="H62" s="202">
        <f t="shared" si="2"/>
        <v>0</v>
      </c>
      <c r="I62" s="214">
        <v>0.0</v>
      </c>
    </row>
    <row r="63">
      <c r="A63" s="210" t="s">
        <v>300</v>
      </c>
      <c r="B63" s="211">
        <v>4.0</v>
      </c>
      <c r="C63" s="212">
        <v>16.0</v>
      </c>
      <c r="D63" s="211">
        <v>0.0</v>
      </c>
      <c r="E63" s="212">
        <v>0.0</v>
      </c>
      <c r="F63" s="201">
        <f t="shared" si="1"/>
        <v>0</v>
      </c>
      <c r="G63" s="212">
        <v>0.0</v>
      </c>
      <c r="H63" s="202">
        <f t="shared" si="2"/>
        <v>0</v>
      </c>
      <c r="I63" s="214">
        <v>0.0</v>
      </c>
    </row>
    <row r="64">
      <c r="A64" s="210" t="s">
        <v>344</v>
      </c>
      <c r="B64" s="211">
        <v>4.0</v>
      </c>
      <c r="C64" s="212">
        <v>16.0</v>
      </c>
      <c r="D64" s="211">
        <v>0.0</v>
      </c>
      <c r="E64" s="212">
        <v>0.0</v>
      </c>
      <c r="F64" s="201">
        <f t="shared" si="1"/>
        <v>0</v>
      </c>
      <c r="G64" s="212">
        <v>0.0</v>
      </c>
      <c r="H64" s="202">
        <f t="shared" si="2"/>
        <v>0</v>
      </c>
      <c r="I64" s="214">
        <v>0.0</v>
      </c>
    </row>
    <row r="65">
      <c r="A65" s="210" t="s">
        <v>273</v>
      </c>
      <c r="B65" s="211">
        <v>4.0</v>
      </c>
      <c r="C65" s="212">
        <v>16.0</v>
      </c>
      <c r="D65" s="211">
        <v>3.0</v>
      </c>
      <c r="E65" s="212">
        <v>0.0</v>
      </c>
      <c r="F65" s="201">
        <f t="shared" si="1"/>
        <v>0</v>
      </c>
      <c r="G65" s="212">
        <v>0.0</v>
      </c>
      <c r="H65" s="202">
        <f t="shared" si="2"/>
        <v>0</v>
      </c>
      <c r="I65" s="214">
        <v>0.0</v>
      </c>
    </row>
    <row r="66">
      <c r="A66" s="210" t="s">
        <v>304</v>
      </c>
      <c r="B66" s="211">
        <v>4.0</v>
      </c>
      <c r="C66" s="212">
        <v>16.0</v>
      </c>
      <c r="D66" s="211">
        <v>0.0</v>
      </c>
      <c r="E66" s="212">
        <v>0.0</v>
      </c>
      <c r="F66" s="201">
        <f t="shared" si="1"/>
        <v>0</v>
      </c>
      <c r="G66" s="212">
        <v>0.0</v>
      </c>
      <c r="H66" s="202">
        <f t="shared" si="2"/>
        <v>0</v>
      </c>
      <c r="I66" s="214">
        <v>0.0</v>
      </c>
    </row>
    <row r="67">
      <c r="A67" s="210" t="s">
        <v>307</v>
      </c>
      <c r="B67" s="211">
        <v>4.0</v>
      </c>
      <c r="C67" s="212">
        <v>16.0</v>
      </c>
      <c r="D67" s="211">
        <v>0.0</v>
      </c>
      <c r="E67" s="212">
        <v>0.0</v>
      </c>
      <c r="F67" s="201">
        <f t="shared" si="1"/>
        <v>0</v>
      </c>
      <c r="G67" s="212">
        <v>0.0</v>
      </c>
      <c r="H67" s="202">
        <f t="shared" si="2"/>
        <v>0</v>
      </c>
      <c r="I67" s="214">
        <v>0.0</v>
      </c>
    </row>
    <row r="68">
      <c r="A68" s="210" t="s">
        <v>280</v>
      </c>
      <c r="B68" s="211">
        <v>4.0</v>
      </c>
      <c r="C68" s="212">
        <v>16.0</v>
      </c>
      <c r="D68" s="211">
        <v>1.0</v>
      </c>
      <c r="E68" s="212">
        <v>0.0</v>
      </c>
      <c r="F68" s="201">
        <f t="shared" si="1"/>
        <v>0</v>
      </c>
      <c r="G68" s="212">
        <v>0.0</v>
      </c>
      <c r="H68" s="202">
        <f t="shared" si="2"/>
        <v>0</v>
      </c>
      <c r="I68" s="214">
        <v>0.0</v>
      </c>
    </row>
    <row r="69">
      <c r="A69" s="210" t="s">
        <v>363</v>
      </c>
      <c r="B69" s="211">
        <v>4.0</v>
      </c>
      <c r="C69" s="212">
        <v>16.0</v>
      </c>
      <c r="D69" s="211">
        <v>0.0</v>
      </c>
      <c r="E69" s="212">
        <v>0.0</v>
      </c>
      <c r="F69" s="201">
        <f t="shared" si="1"/>
        <v>0</v>
      </c>
      <c r="G69" s="212">
        <v>0.0</v>
      </c>
      <c r="H69" s="202">
        <f t="shared" si="2"/>
        <v>0</v>
      </c>
      <c r="I69" s="214">
        <v>0.0</v>
      </c>
    </row>
    <row r="70">
      <c r="A70" s="210" t="s">
        <v>369</v>
      </c>
      <c r="B70" s="211">
        <v>4.0</v>
      </c>
      <c r="C70" s="212">
        <v>16.0</v>
      </c>
      <c r="D70" s="211">
        <v>0.0</v>
      </c>
      <c r="E70" s="212">
        <v>0.0</v>
      </c>
      <c r="F70" s="201">
        <f t="shared" si="1"/>
        <v>0</v>
      </c>
      <c r="G70" s="212">
        <v>0.0</v>
      </c>
      <c r="H70" s="202">
        <f t="shared" si="2"/>
        <v>0</v>
      </c>
      <c r="I70" s="214">
        <v>0.0</v>
      </c>
    </row>
    <row r="71">
      <c r="A71" s="210" t="s">
        <v>301</v>
      </c>
      <c r="B71" s="211">
        <v>4.0</v>
      </c>
      <c r="C71" s="212">
        <v>16.0</v>
      </c>
      <c r="D71" s="211">
        <v>0.0</v>
      </c>
      <c r="E71" s="212">
        <v>0.0</v>
      </c>
      <c r="F71" s="201">
        <f t="shared" si="1"/>
        <v>0</v>
      </c>
      <c r="G71" s="212">
        <v>0.0</v>
      </c>
      <c r="H71" s="202">
        <f t="shared" si="2"/>
        <v>0</v>
      </c>
      <c r="I71" s="214">
        <v>0.0</v>
      </c>
    </row>
    <row r="72">
      <c r="A72" s="210" t="s">
        <v>367</v>
      </c>
      <c r="B72" s="211">
        <v>1.0</v>
      </c>
      <c r="C72" s="212">
        <v>4.0</v>
      </c>
      <c r="D72" s="211">
        <v>0.0</v>
      </c>
      <c r="E72" s="212">
        <v>0.0</v>
      </c>
      <c r="F72" s="201">
        <f t="shared" si="1"/>
        <v>0</v>
      </c>
      <c r="G72" s="212">
        <v>0.0</v>
      </c>
      <c r="H72" s="202">
        <f t="shared" si="2"/>
        <v>0</v>
      </c>
      <c r="I72" s="214">
        <v>0.0</v>
      </c>
    </row>
    <row r="73">
      <c r="A73" s="210" t="s">
        <v>292</v>
      </c>
      <c r="B73" s="211">
        <v>1.0</v>
      </c>
      <c r="C73" s="212">
        <v>4.0</v>
      </c>
      <c r="D73" s="211">
        <v>0.0</v>
      </c>
      <c r="E73" s="212">
        <v>0.0</v>
      </c>
      <c r="F73" s="201">
        <f t="shared" si="1"/>
        <v>0</v>
      </c>
      <c r="G73" s="212">
        <v>0.0</v>
      </c>
      <c r="H73" s="202">
        <f t="shared" si="2"/>
        <v>0</v>
      </c>
      <c r="I73" s="214">
        <v>0.0</v>
      </c>
    </row>
    <row r="74">
      <c r="A74" s="210" t="s">
        <v>396</v>
      </c>
      <c r="B74" s="211">
        <v>3.0</v>
      </c>
      <c r="C74" s="212">
        <v>12.0</v>
      </c>
      <c r="D74" s="211">
        <v>3.0</v>
      </c>
      <c r="E74" s="212">
        <v>0.0</v>
      </c>
      <c r="F74" s="201">
        <f t="shared" si="1"/>
        <v>0</v>
      </c>
      <c r="G74" s="212">
        <v>0.0</v>
      </c>
      <c r="H74" s="202">
        <f t="shared" si="2"/>
        <v>0</v>
      </c>
      <c r="I74" s="214">
        <v>0.0</v>
      </c>
    </row>
    <row r="75">
      <c r="A75" s="210" t="s">
        <v>308</v>
      </c>
      <c r="B75" s="211">
        <v>4.0</v>
      </c>
      <c r="C75" s="212">
        <v>15.0</v>
      </c>
      <c r="D75" s="211">
        <v>0.0</v>
      </c>
      <c r="E75" s="212">
        <v>0.0</v>
      </c>
      <c r="F75" s="201">
        <f t="shared" si="1"/>
        <v>0</v>
      </c>
      <c r="G75" s="212">
        <v>0.0</v>
      </c>
      <c r="H75" s="202">
        <f t="shared" si="2"/>
        <v>0</v>
      </c>
      <c r="I75" s="214">
        <v>0.0</v>
      </c>
    </row>
    <row r="76">
      <c r="A76" s="210" t="s">
        <v>345</v>
      </c>
      <c r="B76" s="211">
        <v>3.0</v>
      </c>
      <c r="C76" s="212">
        <v>11.0</v>
      </c>
      <c r="D76" s="211">
        <v>0.0</v>
      </c>
      <c r="E76" s="212">
        <v>0.0</v>
      </c>
      <c r="F76" s="201">
        <f t="shared" si="1"/>
        <v>0</v>
      </c>
      <c r="G76" s="212">
        <v>0.0</v>
      </c>
      <c r="H76" s="202">
        <f t="shared" si="2"/>
        <v>0</v>
      </c>
      <c r="I76" s="214">
        <v>0.0</v>
      </c>
    </row>
    <row r="77">
      <c r="A77" s="210" t="s">
        <v>408</v>
      </c>
      <c r="B77" s="211">
        <v>3.0</v>
      </c>
      <c r="C77" s="212">
        <v>12.0</v>
      </c>
      <c r="D77" s="211">
        <v>0.0</v>
      </c>
      <c r="E77" s="212">
        <v>0.0</v>
      </c>
      <c r="F77" s="201">
        <f t="shared" si="1"/>
        <v>0</v>
      </c>
      <c r="G77" s="212">
        <v>0.0</v>
      </c>
      <c r="H77" s="202">
        <f t="shared" si="2"/>
        <v>0</v>
      </c>
      <c r="I77" s="214">
        <v>0.0</v>
      </c>
    </row>
    <row r="78">
      <c r="A78" s="210" t="s">
        <v>325</v>
      </c>
      <c r="B78" s="211">
        <v>4.0</v>
      </c>
      <c r="C78" s="212">
        <v>16.0</v>
      </c>
      <c r="D78" s="211">
        <v>0.0</v>
      </c>
      <c r="E78" s="212">
        <v>0.0</v>
      </c>
      <c r="F78" s="201">
        <f t="shared" si="1"/>
        <v>0</v>
      </c>
      <c r="G78" s="212">
        <v>0.0</v>
      </c>
      <c r="H78" s="202">
        <f t="shared" si="2"/>
        <v>0</v>
      </c>
      <c r="I78" s="214">
        <v>0.0</v>
      </c>
    </row>
    <row r="79">
      <c r="A79" s="210" t="s">
        <v>395</v>
      </c>
      <c r="B79" s="211">
        <v>4.0</v>
      </c>
      <c r="C79" s="212">
        <v>16.0</v>
      </c>
      <c r="D79" s="211">
        <v>1.0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14">
        <v>0.0</v>
      </c>
    </row>
    <row r="80">
      <c r="A80" s="210" t="s">
        <v>317</v>
      </c>
      <c r="B80" s="211">
        <v>3.0</v>
      </c>
      <c r="C80" s="212">
        <v>12.0</v>
      </c>
      <c r="D80" s="211">
        <v>1.0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14">
        <v>0.0</v>
      </c>
    </row>
    <row r="81">
      <c r="A81" s="210" t="s">
        <v>316</v>
      </c>
      <c r="B81" s="211">
        <v>4.0</v>
      </c>
      <c r="C81" s="212">
        <v>16.0</v>
      </c>
      <c r="D81" s="211">
        <v>0.0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14">
        <v>0.0</v>
      </c>
    </row>
    <row r="82">
      <c r="A82" s="210" t="s">
        <v>343</v>
      </c>
      <c r="B82" s="211">
        <v>3.0</v>
      </c>
      <c r="C82" s="212">
        <v>12.0</v>
      </c>
      <c r="D82" s="211">
        <v>2.0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14">
        <v>0.0</v>
      </c>
    </row>
    <row r="83">
      <c r="A83" s="210" t="s">
        <v>330</v>
      </c>
      <c r="B83" s="211">
        <v>4.0</v>
      </c>
      <c r="C83" s="212">
        <v>16.0</v>
      </c>
      <c r="D83" s="211">
        <v>1.0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14">
        <v>0.0</v>
      </c>
    </row>
    <row r="84">
      <c r="A84" s="210" t="s">
        <v>402</v>
      </c>
      <c r="B84" s="211">
        <v>4.0</v>
      </c>
      <c r="C84" s="212">
        <v>16.0</v>
      </c>
      <c r="D84" s="211">
        <v>3.0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14">
        <v>0.0</v>
      </c>
    </row>
    <row r="85">
      <c r="A85" s="210" t="s">
        <v>358</v>
      </c>
      <c r="B85" s="211">
        <v>3.0</v>
      </c>
      <c r="C85" s="212">
        <v>12.0</v>
      </c>
      <c r="D85" s="211">
        <v>0.0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14">
        <v>0.0</v>
      </c>
    </row>
    <row r="86">
      <c r="A86" s="210" t="s">
        <v>324</v>
      </c>
      <c r="B86" s="211">
        <v>4.0</v>
      </c>
      <c r="C86" s="212">
        <v>16.0</v>
      </c>
      <c r="D86" s="211">
        <v>0.0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14">
        <v>0.0</v>
      </c>
    </row>
    <row r="87">
      <c r="A87" s="210" t="s">
        <v>382</v>
      </c>
      <c r="B87" s="211">
        <v>4.0</v>
      </c>
      <c r="C87" s="212">
        <v>16.0</v>
      </c>
      <c r="D87" s="211">
        <v>0.0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14">
        <v>0.0</v>
      </c>
    </row>
    <row r="88">
      <c r="A88" s="210" t="s">
        <v>383</v>
      </c>
      <c r="B88" s="211">
        <v>4.0</v>
      </c>
      <c r="C88" s="212">
        <v>16.0</v>
      </c>
      <c r="D88" s="211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14">
        <v>0.0</v>
      </c>
    </row>
    <row r="89">
      <c r="A89" s="210" t="s">
        <v>290</v>
      </c>
      <c r="B89" s="211">
        <v>4.0</v>
      </c>
      <c r="C89" s="212">
        <v>16.0</v>
      </c>
      <c r="D89" s="211">
        <v>0.0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14">
        <v>0.0</v>
      </c>
    </row>
    <row r="90">
      <c r="A90" s="210" t="s">
        <v>320</v>
      </c>
      <c r="B90" s="211">
        <v>4.0</v>
      </c>
      <c r="C90" s="212">
        <v>16.0</v>
      </c>
      <c r="D90" s="211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14">
        <v>0.0</v>
      </c>
    </row>
    <row r="91">
      <c r="A91" s="210" t="s">
        <v>356</v>
      </c>
      <c r="B91" s="211">
        <v>4.0</v>
      </c>
      <c r="C91" s="212">
        <v>16.0</v>
      </c>
      <c r="D91" s="211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14">
        <v>0.0</v>
      </c>
    </row>
    <row r="92">
      <c r="A92" s="210" t="s">
        <v>389</v>
      </c>
      <c r="B92" s="211">
        <v>3.0</v>
      </c>
      <c r="C92" s="212">
        <v>12.0</v>
      </c>
      <c r="D92" s="211">
        <v>0.0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14">
        <v>0.0</v>
      </c>
    </row>
    <row r="93">
      <c r="A93" s="210" t="s">
        <v>351</v>
      </c>
      <c r="B93" s="211">
        <v>4.0</v>
      </c>
      <c r="C93" s="212">
        <v>16.0</v>
      </c>
      <c r="D93" s="211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14">
        <v>0.0</v>
      </c>
    </row>
    <row r="94">
      <c r="A94" s="210" t="s">
        <v>370</v>
      </c>
      <c r="B94" s="211">
        <v>4.0</v>
      </c>
      <c r="C94" s="212">
        <v>16.0</v>
      </c>
      <c r="D94" s="211">
        <v>2.0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14">
        <v>0.0</v>
      </c>
    </row>
    <row r="95">
      <c r="A95" s="210" t="s">
        <v>376</v>
      </c>
      <c r="B95" s="211">
        <v>1.0</v>
      </c>
      <c r="C95" s="212">
        <v>4.0</v>
      </c>
      <c r="D95" s="211">
        <v>0.0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14">
        <v>0.0</v>
      </c>
    </row>
    <row r="96">
      <c r="A96" s="210" t="s">
        <v>379</v>
      </c>
      <c r="B96" s="211">
        <v>4.0</v>
      </c>
      <c r="C96" s="212">
        <v>15.0</v>
      </c>
      <c r="D96" s="211">
        <v>0.0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14">
        <v>0.0</v>
      </c>
    </row>
    <row r="97">
      <c r="A97" s="210" t="s">
        <v>372</v>
      </c>
      <c r="B97" s="211">
        <v>4.0</v>
      </c>
      <c r="C97" s="212">
        <v>15.0</v>
      </c>
      <c r="D97" s="211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14">
        <v>0.0</v>
      </c>
    </row>
    <row r="98">
      <c r="A98" s="210" t="s">
        <v>333</v>
      </c>
      <c r="B98" s="211">
        <v>2.0</v>
      </c>
      <c r="C98" s="212">
        <v>8.0</v>
      </c>
      <c r="D98" s="211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14">
        <v>0.0</v>
      </c>
    </row>
    <row r="99">
      <c r="A99" s="210" t="s">
        <v>371</v>
      </c>
      <c r="B99" s="211">
        <v>3.0</v>
      </c>
      <c r="C99" s="212">
        <v>12.0</v>
      </c>
      <c r="D99" s="211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14">
        <v>0.0</v>
      </c>
    </row>
    <row r="100">
      <c r="A100" s="210" t="s">
        <v>323</v>
      </c>
      <c r="B100" s="211">
        <v>4.0</v>
      </c>
      <c r="C100" s="212">
        <v>16.0</v>
      </c>
      <c r="D100" s="211">
        <v>1.0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14">
        <v>0.0</v>
      </c>
    </row>
    <row r="101">
      <c r="A101" s="210" t="s">
        <v>381</v>
      </c>
      <c r="B101" s="211">
        <v>4.0</v>
      </c>
      <c r="C101" s="212">
        <v>16.0</v>
      </c>
      <c r="D101" s="211">
        <v>1.0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14">
        <v>0.0</v>
      </c>
    </row>
    <row r="102">
      <c r="A102" s="210" t="s">
        <v>392</v>
      </c>
      <c r="B102" s="211">
        <v>4.0</v>
      </c>
      <c r="C102" s="212">
        <v>16.0</v>
      </c>
      <c r="D102" s="211">
        <v>1.0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14">
        <v>0.0</v>
      </c>
    </row>
    <row r="103">
      <c r="A103" s="210" t="s">
        <v>362</v>
      </c>
      <c r="B103" s="211">
        <v>2.0</v>
      </c>
      <c r="C103" s="212">
        <v>8.0</v>
      </c>
      <c r="D103" s="211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14">
        <v>0.0</v>
      </c>
    </row>
    <row r="104">
      <c r="A104" s="210" t="s">
        <v>339</v>
      </c>
      <c r="B104" s="211">
        <v>1.0</v>
      </c>
      <c r="C104" s="212">
        <v>4.0</v>
      </c>
      <c r="D104" s="211">
        <v>0.0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14">
        <v>0.0</v>
      </c>
    </row>
    <row r="105">
      <c r="A105" s="210" t="s">
        <v>385</v>
      </c>
      <c r="B105" s="211">
        <v>2.0</v>
      </c>
      <c r="C105" s="212">
        <v>8.0</v>
      </c>
      <c r="D105" s="211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14">
        <v>0.0</v>
      </c>
    </row>
    <row r="106">
      <c r="A106" s="210" t="s">
        <v>366</v>
      </c>
      <c r="B106" s="211">
        <v>4.0</v>
      </c>
      <c r="C106" s="212">
        <v>16.0</v>
      </c>
      <c r="D106" s="211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14">
        <v>0.0</v>
      </c>
    </row>
    <row r="107">
      <c r="A107" s="210" t="s">
        <v>281</v>
      </c>
      <c r="B107" s="211">
        <v>4.0</v>
      </c>
      <c r="C107" s="212">
        <v>16.0</v>
      </c>
      <c r="D107" s="211">
        <v>0.0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14">
        <v>0.0</v>
      </c>
    </row>
    <row r="108">
      <c r="A108" s="210" t="s">
        <v>315</v>
      </c>
      <c r="B108" s="211">
        <v>4.0</v>
      </c>
      <c r="C108" s="212">
        <v>15.0</v>
      </c>
      <c r="D108" s="211">
        <v>0.0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14">
        <v>0.0</v>
      </c>
    </row>
    <row r="109">
      <c r="A109" s="210" t="s">
        <v>368</v>
      </c>
      <c r="B109" s="211">
        <v>4.0</v>
      </c>
      <c r="C109" s="212">
        <v>15.0</v>
      </c>
      <c r="D109" s="211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14">
        <v>0.0</v>
      </c>
    </row>
    <row r="110">
      <c r="A110" s="210" t="s">
        <v>346</v>
      </c>
      <c r="B110" s="211">
        <v>3.0</v>
      </c>
      <c r="C110" s="212">
        <v>12.0</v>
      </c>
      <c r="D110" s="211">
        <v>0.0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14">
        <v>0.0</v>
      </c>
    </row>
    <row r="111">
      <c r="A111" s="210" t="s">
        <v>288</v>
      </c>
      <c r="B111" s="211">
        <v>3.0</v>
      </c>
      <c r="C111" s="212">
        <v>12.0</v>
      </c>
      <c r="D111" s="211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14">
        <v>0.0</v>
      </c>
    </row>
    <row r="112">
      <c r="A112" s="210" t="s">
        <v>391</v>
      </c>
      <c r="B112" s="211">
        <v>3.0</v>
      </c>
      <c r="C112" s="212">
        <v>12.0</v>
      </c>
      <c r="D112" s="211">
        <v>1.0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14">
        <v>0.0</v>
      </c>
    </row>
    <row r="113">
      <c r="A113" s="210" t="s">
        <v>355</v>
      </c>
      <c r="B113" s="211">
        <v>3.0</v>
      </c>
      <c r="C113" s="212">
        <v>12.0</v>
      </c>
      <c r="D113" s="211">
        <v>0.0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14">
        <v>0.0</v>
      </c>
    </row>
    <row r="114">
      <c r="A114" s="210" t="s">
        <v>295</v>
      </c>
      <c r="B114" s="211">
        <v>1.0</v>
      </c>
      <c r="C114" s="212">
        <v>2.0</v>
      </c>
      <c r="D114" s="211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14">
        <v>0.0</v>
      </c>
    </row>
    <row r="115">
      <c r="A115" s="210" t="s">
        <v>390</v>
      </c>
      <c r="B115" s="211">
        <v>4.0</v>
      </c>
      <c r="C115" s="212">
        <v>14.0</v>
      </c>
      <c r="D115" s="211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14">
        <v>0.0</v>
      </c>
    </row>
    <row r="116">
      <c r="A116" s="210" t="s">
        <v>377</v>
      </c>
      <c r="B116" s="211">
        <v>1.0</v>
      </c>
      <c r="C116" s="212">
        <v>4.0</v>
      </c>
      <c r="D116" s="211">
        <v>0.0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14">
        <v>0.0</v>
      </c>
    </row>
    <row r="117">
      <c r="A117" s="210" t="s">
        <v>353</v>
      </c>
      <c r="B117" s="211">
        <v>2.0</v>
      </c>
      <c r="C117" s="212">
        <v>8.0</v>
      </c>
      <c r="D117" s="211">
        <v>0.0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14">
        <v>0.0</v>
      </c>
    </row>
    <row r="118">
      <c r="A118" s="210" t="s">
        <v>348</v>
      </c>
      <c r="B118" s="211">
        <v>2.0</v>
      </c>
      <c r="C118" s="212">
        <v>8.0</v>
      </c>
      <c r="D118" s="211">
        <v>0.0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14">
        <v>0.0</v>
      </c>
    </row>
    <row r="119">
      <c r="A119" s="210" t="s">
        <v>397</v>
      </c>
      <c r="B119" s="211">
        <v>2.0</v>
      </c>
      <c r="C119" s="212">
        <v>8.0</v>
      </c>
      <c r="D119" s="211">
        <v>0.0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14">
        <v>0.0</v>
      </c>
    </row>
    <row r="120">
      <c r="A120" s="210" t="s">
        <v>354</v>
      </c>
      <c r="B120" s="211">
        <v>2.0</v>
      </c>
      <c r="C120" s="212">
        <v>8.0</v>
      </c>
      <c r="D120" s="211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14">
        <v>0.0</v>
      </c>
    </row>
    <row r="121">
      <c r="A121" s="210" t="s">
        <v>399</v>
      </c>
      <c r="B121" s="211">
        <v>1.0</v>
      </c>
      <c r="C121" s="212">
        <v>4.0</v>
      </c>
      <c r="D121" s="211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14">
        <v>0.0</v>
      </c>
    </row>
    <row r="122">
      <c r="A122" s="210" t="s">
        <v>360</v>
      </c>
      <c r="B122" s="211">
        <v>1.0</v>
      </c>
      <c r="C122" s="212">
        <v>4.0</v>
      </c>
      <c r="D122" s="211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14">
        <v>0.0</v>
      </c>
    </row>
    <row r="123">
      <c r="A123" s="210" t="s">
        <v>340</v>
      </c>
      <c r="B123" s="211">
        <v>1.0</v>
      </c>
      <c r="C123" s="212">
        <v>4.0</v>
      </c>
      <c r="D123" s="211">
        <v>0.0</v>
      </c>
      <c r="E123" s="212">
        <v>0.0</v>
      </c>
      <c r="F123" s="201">
        <f t="shared" si="1"/>
        <v>0</v>
      </c>
      <c r="G123" s="212">
        <v>0.0</v>
      </c>
      <c r="H123" s="202">
        <f t="shared" si="2"/>
        <v>0</v>
      </c>
      <c r="I123" s="214">
        <v>0.0</v>
      </c>
    </row>
    <row r="124">
      <c r="A124" s="210" t="s">
        <v>283</v>
      </c>
      <c r="B124" s="211">
        <v>6.0</v>
      </c>
      <c r="C124" s="212">
        <v>24.0</v>
      </c>
      <c r="D124" s="211">
        <v>2.0</v>
      </c>
      <c r="E124" s="212">
        <v>-0.67</v>
      </c>
      <c r="F124" s="201">
        <f t="shared" si="1"/>
        <v>-0.67</v>
      </c>
      <c r="G124" s="212">
        <v>0.17</v>
      </c>
      <c r="H124" s="202">
        <f t="shared" si="2"/>
        <v>1.02</v>
      </c>
      <c r="I124" s="214">
        <v>0.0</v>
      </c>
    </row>
    <row r="125">
      <c r="A125" s="210" t="s">
        <v>320</v>
      </c>
      <c r="B125" s="211">
        <v>5.0</v>
      </c>
      <c r="C125" s="212">
        <v>20.0</v>
      </c>
      <c r="D125" s="211">
        <v>1.0</v>
      </c>
      <c r="E125" s="212">
        <v>-0.8</v>
      </c>
      <c r="F125" s="201">
        <f t="shared" si="1"/>
        <v>-0.8</v>
      </c>
      <c r="G125" s="212">
        <v>0.2</v>
      </c>
      <c r="H125" s="202">
        <f t="shared" si="2"/>
        <v>1</v>
      </c>
      <c r="I125" s="214">
        <v>0.0</v>
      </c>
    </row>
    <row r="126">
      <c r="A126" s="210" t="s">
        <v>279</v>
      </c>
      <c r="B126" s="211">
        <v>4.0</v>
      </c>
      <c r="C126" s="212">
        <v>16.0</v>
      </c>
      <c r="D126" s="211">
        <v>12.0</v>
      </c>
      <c r="E126" s="212">
        <v>-1.0</v>
      </c>
      <c r="F126" s="201">
        <f t="shared" si="1"/>
        <v>-1</v>
      </c>
      <c r="G126" s="212">
        <v>0.5</v>
      </c>
      <c r="H126" s="202">
        <f t="shared" si="2"/>
        <v>2</v>
      </c>
      <c r="I126" s="214">
        <v>0.083</v>
      </c>
    </row>
    <row r="127">
      <c r="A127" s="210" t="s">
        <v>296</v>
      </c>
      <c r="B127" s="211">
        <v>4.0</v>
      </c>
      <c r="C127" s="212">
        <v>16.0</v>
      </c>
      <c r="D127" s="211">
        <v>1.0</v>
      </c>
      <c r="E127" s="212">
        <v>-1.0</v>
      </c>
      <c r="F127" s="201">
        <f t="shared" si="1"/>
        <v>-1</v>
      </c>
      <c r="G127" s="212">
        <v>0.25</v>
      </c>
      <c r="H127" s="202">
        <f t="shared" si="2"/>
        <v>1</v>
      </c>
      <c r="I127" s="214">
        <v>0.0</v>
      </c>
    </row>
    <row r="128">
      <c r="A128" s="210" t="s">
        <v>332</v>
      </c>
      <c r="B128" s="211">
        <v>4.0</v>
      </c>
      <c r="C128" s="212">
        <v>15.0</v>
      </c>
      <c r="D128" s="211">
        <v>3.0</v>
      </c>
      <c r="E128" s="212">
        <v>-1.0</v>
      </c>
      <c r="F128" s="201">
        <f t="shared" si="1"/>
        <v>-1.066666667</v>
      </c>
      <c r="G128" s="212">
        <v>0.25</v>
      </c>
      <c r="H128" s="202">
        <f t="shared" si="2"/>
        <v>1</v>
      </c>
      <c r="I128" s="214">
        <v>0.0</v>
      </c>
    </row>
    <row r="129">
      <c r="A129" s="210" t="s">
        <v>331</v>
      </c>
      <c r="B129" s="211">
        <v>2.0</v>
      </c>
      <c r="C129" s="212">
        <v>8.0</v>
      </c>
      <c r="D129" s="211">
        <v>2.0</v>
      </c>
      <c r="E129" s="212">
        <v>-2.0</v>
      </c>
      <c r="F129" s="201">
        <f t="shared" si="1"/>
        <v>-2</v>
      </c>
      <c r="G129" s="212">
        <v>0.5</v>
      </c>
      <c r="H129" s="202">
        <f t="shared" si="2"/>
        <v>1</v>
      </c>
      <c r="I129" s="214">
        <v>0.0</v>
      </c>
    </row>
    <row r="130">
      <c r="A130" s="210" t="s">
        <v>400</v>
      </c>
      <c r="B130" s="211">
        <v>2.0</v>
      </c>
      <c r="C130" s="212">
        <v>8.0</v>
      </c>
      <c r="D130" s="211">
        <v>1.0</v>
      </c>
      <c r="E130" s="212">
        <v>-2.0</v>
      </c>
      <c r="F130" s="201">
        <f t="shared" si="1"/>
        <v>-2</v>
      </c>
      <c r="G130" s="212">
        <v>0.5</v>
      </c>
      <c r="H130" s="202">
        <f t="shared" si="2"/>
        <v>1</v>
      </c>
      <c r="I130" s="214">
        <v>0.0</v>
      </c>
    </row>
    <row r="131">
      <c r="A131" s="210" t="s">
        <v>374</v>
      </c>
      <c r="B131" s="211">
        <v>1.0</v>
      </c>
      <c r="C131" s="212">
        <v>4.0</v>
      </c>
      <c r="D131" s="211">
        <v>1.0</v>
      </c>
      <c r="E131" s="212">
        <v>-4.0</v>
      </c>
      <c r="F131" s="201">
        <f t="shared" si="1"/>
        <v>-4</v>
      </c>
      <c r="G131" s="212">
        <v>1.0</v>
      </c>
      <c r="H131" s="202">
        <f t="shared" si="2"/>
        <v>1</v>
      </c>
      <c r="I131" s="214">
        <v>0.0</v>
      </c>
    </row>
    <row r="132">
      <c r="A132" s="210" t="s">
        <v>401</v>
      </c>
      <c r="B132" s="211">
        <v>1.0</v>
      </c>
      <c r="C132" s="212">
        <v>4.0</v>
      </c>
      <c r="D132" s="211">
        <v>1.0</v>
      </c>
      <c r="E132" s="212">
        <v>-4.0</v>
      </c>
      <c r="F132" s="201">
        <f t="shared" si="1"/>
        <v>-4</v>
      </c>
      <c r="G132" s="212">
        <v>1.0</v>
      </c>
      <c r="H132" s="202">
        <f t="shared" si="2"/>
        <v>1</v>
      </c>
      <c r="I132" s="214">
        <v>0.0</v>
      </c>
    </row>
    <row r="133">
      <c r="A133" s="210"/>
      <c r="B133" s="211"/>
      <c r="C133" s="212"/>
      <c r="D133" s="211"/>
      <c r="E133" s="212"/>
      <c r="F133" s="201"/>
      <c r="G133" s="212"/>
      <c r="H133" s="202"/>
      <c r="I133" s="214"/>
    </row>
    <row r="134">
      <c r="A134" s="210"/>
      <c r="B134" s="211"/>
      <c r="C134" s="212"/>
      <c r="D134" s="211"/>
      <c r="E134" s="212"/>
      <c r="F134" s="201"/>
      <c r="G134" s="212"/>
      <c r="H134" s="202"/>
      <c r="I134" s="214"/>
    </row>
    <row r="135">
      <c r="A135" s="210"/>
      <c r="B135" s="211"/>
      <c r="C135" s="212"/>
      <c r="D135" s="211"/>
      <c r="E135" s="212"/>
      <c r="F135" s="201"/>
      <c r="G135" s="212"/>
      <c r="H135" s="202"/>
      <c r="I135" s="214"/>
    </row>
    <row r="136">
      <c r="A136" s="210"/>
      <c r="B136" s="211"/>
      <c r="C136" s="212"/>
      <c r="D136" s="211"/>
      <c r="E136" s="212"/>
      <c r="F136" s="201"/>
      <c r="G136" s="212"/>
      <c r="H136" s="202"/>
      <c r="I136" s="214"/>
    </row>
    <row r="137">
      <c r="A137" s="210"/>
      <c r="B137" s="211"/>
      <c r="C137" s="212"/>
      <c r="D137" s="211"/>
      <c r="E137" s="212"/>
      <c r="F137" s="201"/>
      <c r="G137" s="212"/>
      <c r="H137" s="202"/>
      <c r="I137" s="214"/>
    </row>
    <row r="138">
      <c r="A138" s="210"/>
      <c r="B138" s="211"/>
      <c r="C138" s="212"/>
      <c r="D138" s="211"/>
      <c r="E138" s="212"/>
      <c r="F138" s="201"/>
      <c r="G138" s="212"/>
      <c r="H138" s="202"/>
      <c r="I138" s="214"/>
    </row>
    <row r="139">
      <c r="A139" s="210"/>
      <c r="B139" s="211"/>
      <c r="C139" s="212"/>
      <c r="D139" s="211"/>
      <c r="E139" s="212"/>
      <c r="F139" s="201"/>
      <c r="G139" s="212"/>
      <c r="H139" s="202"/>
      <c r="I139" s="214"/>
    </row>
  </sheetData>
  <hyperlinks>
    <hyperlink display="Catstats Hub" location="'Catstats Hub'!A1" ref="A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13"/>
    <col customWidth="1" min="2" max="9" width="14.0"/>
  </cols>
  <sheetData>
    <row r="1">
      <c r="A1" s="193" t="s">
        <v>263</v>
      </c>
      <c r="B1" s="206" t="s">
        <v>264</v>
      </c>
      <c r="C1" s="232" t="s">
        <v>265</v>
      </c>
      <c r="D1" s="206" t="s">
        <v>266</v>
      </c>
      <c r="E1" s="232" t="s">
        <v>267</v>
      </c>
      <c r="F1" s="196" t="s">
        <v>403</v>
      </c>
      <c r="G1" s="232" t="s">
        <v>269</v>
      </c>
      <c r="H1" s="197" t="s">
        <v>270</v>
      </c>
      <c r="I1" s="206" t="s">
        <v>271</v>
      </c>
    </row>
    <row r="2">
      <c r="A2" s="51" t="s">
        <v>274</v>
      </c>
      <c r="B2" s="211">
        <v>4.0</v>
      </c>
      <c r="C2" s="233">
        <v>12.0</v>
      </c>
      <c r="D2" s="211">
        <v>6.0</v>
      </c>
      <c r="E2" s="233">
        <v>6.0</v>
      </c>
      <c r="F2" s="201">
        <f t="shared" ref="F2:F127" si="1">E2*B2*3/C2</f>
        <v>6</v>
      </c>
      <c r="G2" s="233">
        <v>0.0</v>
      </c>
      <c r="H2" s="202">
        <f t="shared" ref="H2:H127" si="2">G2*B2</f>
        <v>0</v>
      </c>
      <c r="I2" s="214">
        <v>1.0</v>
      </c>
    </row>
    <row r="3">
      <c r="A3" s="51" t="s">
        <v>306</v>
      </c>
      <c r="B3" s="211">
        <v>4.0</v>
      </c>
      <c r="C3" s="233">
        <v>10.0</v>
      </c>
      <c r="D3" s="211">
        <v>4.0</v>
      </c>
      <c r="E3" s="233">
        <v>4.0</v>
      </c>
      <c r="F3" s="201">
        <f t="shared" si="1"/>
        <v>4.8</v>
      </c>
      <c r="G3" s="233">
        <v>0.0</v>
      </c>
      <c r="H3" s="202">
        <f t="shared" si="2"/>
        <v>0</v>
      </c>
      <c r="I3" s="214">
        <v>1.0</v>
      </c>
    </row>
    <row r="4">
      <c r="A4" s="51" t="s">
        <v>323</v>
      </c>
      <c r="B4" s="211">
        <v>4.0</v>
      </c>
      <c r="C4" s="233">
        <v>11.0</v>
      </c>
      <c r="D4" s="211">
        <v>4.0</v>
      </c>
      <c r="E4" s="233">
        <v>4.0</v>
      </c>
      <c r="F4" s="201">
        <f t="shared" si="1"/>
        <v>4.363636364</v>
      </c>
      <c r="G4" s="233">
        <v>0.0</v>
      </c>
      <c r="H4" s="202">
        <f t="shared" si="2"/>
        <v>0</v>
      </c>
      <c r="I4" s="214">
        <v>1.0</v>
      </c>
    </row>
    <row r="5">
      <c r="A5" s="51" t="s">
        <v>290</v>
      </c>
      <c r="B5" s="211">
        <v>4.0</v>
      </c>
      <c r="C5" s="233">
        <v>12.0</v>
      </c>
      <c r="D5" s="211">
        <v>8.0</v>
      </c>
      <c r="E5" s="233">
        <v>4.0</v>
      </c>
      <c r="F5" s="201">
        <f t="shared" si="1"/>
        <v>4</v>
      </c>
      <c r="G5" s="233">
        <v>0.25</v>
      </c>
      <c r="H5" s="202">
        <f t="shared" si="2"/>
        <v>1</v>
      </c>
      <c r="I5" s="214">
        <v>0.625</v>
      </c>
    </row>
    <row r="6">
      <c r="A6" s="51" t="s">
        <v>334</v>
      </c>
      <c r="B6" s="211">
        <v>4.0</v>
      </c>
      <c r="C6" s="233">
        <v>12.0</v>
      </c>
      <c r="D6" s="211">
        <v>6.0</v>
      </c>
      <c r="E6" s="233">
        <v>4.0</v>
      </c>
      <c r="F6" s="201">
        <f t="shared" si="1"/>
        <v>4</v>
      </c>
      <c r="G6" s="233">
        <v>0.0</v>
      </c>
      <c r="H6" s="202">
        <f t="shared" si="2"/>
        <v>0</v>
      </c>
      <c r="I6" s="214">
        <v>0.667</v>
      </c>
    </row>
    <row r="7">
      <c r="A7" s="51" t="s">
        <v>326</v>
      </c>
      <c r="B7" s="211">
        <v>4.0</v>
      </c>
      <c r="C7" s="233">
        <v>12.0</v>
      </c>
      <c r="D7" s="211">
        <v>4.0</v>
      </c>
      <c r="E7" s="233">
        <v>4.0</v>
      </c>
      <c r="F7" s="201">
        <f t="shared" si="1"/>
        <v>4</v>
      </c>
      <c r="G7" s="233">
        <v>0.0</v>
      </c>
      <c r="H7" s="202">
        <f t="shared" si="2"/>
        <v>0</v>
      </c>
      <c r="I7" s="214">
        <v>1.0</v>
      </c>
    </row>
    <row r="8">
      <c r="A8" s="51" t="s">
        <v>312</v>
      </c>
      <c r="B8" s="211">
        <v>4.0</v>
      </c>
      <c r="C8" s="233">
        <v>12.0</v>
      </c>
      <c r="D8" s="211">
        <v>4.0</v>
      </c>
      <c r="E8" s="233">
        <v>4.0</v>
      </c>
      <c r="F8" s="201">
        <f t="shared" si="1"/>
        <v>4</v>
      </c>
      <c r="G8" s="233">
        <v>0.0</v>
      </c>
      <c r="H8" s="202">
        <f t="shared" si="2"/>
        <v>0</v>
      </c>
      <c r="I8" s="214">
        <v>1.0</v>
      </c>
    </row>
    <row r="9">
      <c r="A9" s="51" t="s">
        <v>315</v>
      </c>
      <c r="B9" s="211">
        <v>4.0</v>
      </c>
      <c r="C9" s="233">
        <v>12.0</v>
      </c>
      <c r="D9" s="211">
        <v>5.0</v>
      </c>
      <c r="E9" s="233">
        <v>4.0</v>
      </c>
      <c r="F9" s="201">
        <f t="shared" si="1"/>
        <v>4</v>
      </c>
      <c r="G9" s="233">
        <v>0.0</v>
      </c>
      <c r="H9" s="202">
        <f t="shared" si="2"/>
        <v>0</v>
      </c>
      <c r="I9" s="214">
        <v>0.8</v>
      </c>
    </row>
    <row r="10">
      <c r="A10" s="51" t="s">
        <v>335</v>
      </c>
      <c r="B10" s="211">
        <v>1.0</v>
      </c>
      <c r="C10" s="233">
        <v>3.0</v>
      </c>
      <c r="D10" s="211">
        <v>1.0</v>
      </c>
      <c r="E10" s="233">
        <v>4.0</v>
      </c>
      <c r="F10" s="201">
        <f t="shared" si="1"/>
        <v>4</v>
      </c>
      <c r="G10" s="233">
        <v>0.0</v>
      </c>
      <c r="H10" s="202">
        <f t="shared" si="2"/>
        <v>0</v>
      </c>
      <c r="I10" s="214">
        <v>1.0</v>
      </c>
    </row>
    <row r="11">
      <c r="A11" s="51" t="s">
        <v>283</v>
      </c>
      <c r="B11" s="211">
        <v>4.0</v>
      </c>
      <c r="C11" s="233">
        <v>12.0</v>
      </c>
      <c r="D11" s="211">
        <v>5.0</v>
      </c>
      <c r="E11" s="233">
        <v>3.0</v>
      </c>
      <c r="F11" s="201">
        <f t="shared" si="1"/>
        <v>3</v>
      </c>
      <c r="G11" s="233">
        <v>0.25</v>
      </c>
      <c r="H11" s="202">
        <f t="shared" si="2"/>
        <v>1</v>
      </c>
      <c r="I11" s="214">
        <v>0.8</v>
      </c>
    </row>
    <row r="12">
      <c r="A12" s="51" t="s">
        <v>293</v>
      </c>
      <c r="B12" s="211">
        <v>4.0</v>
      </c>
      <c r="C12" s="233">
        <v>12.0</v>
      </c>
      <c r="D12" s="211">
        <v>6.0</v>
      </c>
      <c r="E12" s="233">
        <v>3.0</v>
      </c>
      <c r="F12" s="201">
        <f t="shared" si="1"/>
        <v>3</v>
      </c>
      <c r="G12" s="233">
        <v>0.25</v>
      </c>
      <c r="H12" s="202">
        <f t="shared" si="2"/>
        <v>1</v>
      </c>
      <c r="I12" s="214">
        <v>0.667</v>
      </c>
    </row>
    <row r="13">
      <c r="A13" s="51" t="s">
        <v>369</v>
      </c>
      <c r="B13" s="211">
        <v>4.0</v>
      </c>
      <c r="C13" s="233">
        <v>12.0</v>
      </c>
      <c r="D13" s="211">
        <v>4.0</v>
      </c>
      <c r="E13" s="233">
        <v>3.0</v>
      </c>
      <c r="F13" s="201">
        <f t="shared" si="1"/>
        <v>3</v>
      </c>
      <c r="G13" s="233">
        <v>0.0</v>
      </c>
      <c r="H13" s="202">
        <f t="shared" si="2"/>
        <v>0</v>
      </c>
      <c r="I13" s="214">
        <v>0.75</v>
      </c>
    </row>
    <row r="14">
      <c r="A14" s="51" t="s">
        <v>302</v>
      </c>
      <c r="B14" s="211">
        <v>4.0</v>
      </c>
      <c r="C14" s="233">
        <v>12.0</v>
      </c>
      <c r="D14" s="211">
        <v>4.0</v>
      </c>
      <c r="E14" s="233">
        <v>3.0</v>
      </c>
      <c r="F14" s="201">
        <f t="shared" si="1"/>
        <v>3</v>
      </c>
      <c r="G14" s="233">
        <v>0.0</v>
      </c>
      <c r="H14" s="202">
        <f t="shared" si="2"/>
        <v>0</v>
      </c>
      <c r="I14" s="214">
        <v>0.75</v>
      </c>
    </row>
    <row r="15">
      <c r="A15" s="51" t="s">
        <v>330</v>
      </c>
      <c r="B15" s="211">
        <v>4.0</v>
      </c>
      <c r="C15" s="233">
        <v>12.0</v>
      </c>
      <c r="D15" s="211">
        <v>5.0</v>
      </c>
      <c r="E15" s="233">
        <v>3.0</v>
      </c>
      <c r="F15" s="201">
        <f t="shared" si="1"/>
        <v>3</v>
      </c>
      <c r="G15" s="233">
        <v>0.0</v>
      </c>
      <c r="H15" s="202">
        <f t="shared" si="2"/>
        <v>0</v>
      </c>
      <c r="I15" s="214">
        <v>0.6</v>
      </c>
    </row>
    <row r="16">
      <c r="A16" s="51" t="s">
        <v>359</v>
      </c>
      <c r="B16" s="211">
        <v>4.0</v>
      </c>
      <c r="C16" s="233">
        <v>12.0</v>
      </c>
      <c r="D16" s="211">
        <v>4.0</v>
      </c>
      <c r="E16" s="233">
        <v>3.0</v>
      </c>
      <c r="F16" s="201">
        <f t="shared" si="1"/>
        <v>3</v>
      </c>
      <c r="G16" s="233">
        <v>0.0</v>
      </c>
      <c r="H16" s="202">
        <f t="shared" si="2"/>
        <v>0</v>
      </c>
      <c r="I16" s="214">
        <v>0.75</v>
      </c>
    </row>
    <row r="17">
      <c r="A17" s="51" t="s">
        <v>310</v>
      </c>
      <c r="B17" s="211">
        <v>4.0</v>
      </c>
      <c r="C17" s="233">
        <v>13.0</v>
      </c>
      <c r="D17" s="211">
        <v>4.0</v>
      </c>
      <c r="E17" s="233">
        <v>3.0</v>
      </c>
      <c r="F17" s="201">
        <f t="shared" si="1"/>
        <v>2.769230769</v>
      </c>
      <c r="G17" s="233">
        <v>0.0</v>
      </c>
      <c r="H17" s="202">
        <f t="shared" si="2"/>
        <v>0</v>
      </c>
      <c r="I17" s="214">
        <v>0.75</v>
      </c>
    </row>
    <row r="18">
      <c r="A18" s="51" t="s">
        <v>278</v>
      </c>
      <c r="B18" s="211">
        <v>3.0</v>
      </c>
      <c r="C18" s="233">
        <v>9.0</v>
      </c>
      <c r="D18" s="211">
        <v>4.0</v>
      </c>
      <c r="E18" s="233">
        <v>2.67</v>
      </c>
      <c r="F18" s="201">
        <f t="shared" si="1"/>
        <v>2.67</v>
      </c>
      <c r="G18" s="233">
        <v>0.33</v>
      </c>
      <c r="H18" s="202">
        <f t="shared" si="2"/>
        <v>0.99</v>
      </c>
      <c r="I18" s="214">
        <v>0.75</v>
      </c>
    </row>
    <row r="19">
      <c r="A19" s="51" t="s">
        <v>404</v>
      </c>
      <c r="B19" s="211">
        <v>3.0</v>
      </c>
      <c r="C19" s="233">
        <v>9.0</v>
      </c>
      <c r="D19" s="211">
        <v>2.0</v>
      </c>
      <c r="E19" s="233">
        <v>2.67</v>
      </c>
      <c r="F19" s="201">
        <f t="shared" si="1"/>
        <v>2.67</v>
      </c>
      <c r="G19" s="233">
        <v>0.0</v>
      </c>
      <c r="H19" s="202">
        <f t="shared" si="2"/>
        <v>0</v>
      </c>
      <c r="I19" s="214">
        <v>1.0</v>
      </c>
    </row>
    <row r="20">
      <c r="A20" s="51" t="s">
        <v>408</v>
      </c>
      <c r="B20" s="211">
        <v>3.0</v>
      </c>
      <c r="C20" s="233">
        <v>9.0</v>
      </c>
      <c r="D20" s="211">
        <v>2.0</v>
      </c>
      <c r="E20" s="233">
        <v>2.67</v>
      </c>
      <c r="F20" s="201">
        <f t="shared" si="1"/>
        <v>2.67</v>
      </c>
      <c r="G20" s="233">
        <v>0.0</v>
      </c>
      <c r="H20" s="202">
        <f t="shared" si="2"/>
        <v>0</v>
      </c>
      <c r="I20" s="214">
        <v>1.0</v>
      </c>
    </row>
    <row r="21">
      <c r="A21" s="51" t="s">
        <v>358</v>
      </c>
      <c r="B21" s="211">
        <v>3.0</v>
      </c>
      <c r="C21" s="233">
        <v>9.0</v>
      </c>
      <c r="D21" s="211">
        <v>2.0</v>
      </c>
      <c r="E21" s="233">
        <v>2.67</v>
      </c>
      <c r="F21" s="201">
        <f t="shared" si="1"/>
        <v>2.67</v>
      </c>
      <c r="G21" s="233">
        <v>0.0</v>
      </c>
      <c r="H21" s="202">
        <f t="shared" si="2"/>
        <v>0</v>
      </c>
      <c r="I21" s="214">
        <v>1.0</v>
      </c>
    </row>
    <row r="22">
      <c r="A22" s="51" t="s">
        <v>277</v>
      </c>
      <c r="B22" s="211">
        <v>3.0</v>
      </c>
      <c r="C22" s="233">
        <v>9.0</v>
      </c>
      <c r="D22" s="211">
        <v>4.0</v>
      </c>
      <c r="E22" s="233">
        <v>2.67</v>
      </c>
      <c r="F22" s="201">
        <f t="shared" si="1"/>
        <v>2.67</v>
      </c>
      <c r="G22" s="233">
        <v>0.0</v>
      </c>
      <c r="H22" s="202">
        <f t="shared" si="2"/>
        <v>0</v>
      </c>
      <c r="I22" s="214">
        <v>0.333</v>
      </c>
    </row>
    <row r="23">
      <c r="A23" s="51" t="s">
        <v>275</v>
      </c>
      <c r="B23" s="211">
        <v>4.0</v>
      </c>
      <c r="C23" s="233">
        <v>12.0</v>
      </c>
      <c r="D23" s="211">
        <v>6.0</v>
      </c>
      <c r="E23" s="233">
        <v>2.0</v>
      </c>
      <c r="F23" s="201">
        <f t="shared" si="1"/>
        <v>2</v>
      </c>
      <c r="G23" s="233">
        <v>0.25</v>
      </c>
      <c r="H23" s="202">
        <f t="shared" si="2"/>
        <v>1</v>
      </c>
      <c r="I23" s="214">
        <v>0.5</v>
      </c>
    </row>
    <row r="24">
      <c r="A24" s="51" t="s">
        <v>279</v>
      </c>
      <c r="B24" s="211">
        <v>4.0</v>
      </c>
      <c r="C24" s="233">
        <v>12.0</v>
      </c>
      <c r="D24" s="211">
        <v>5.0</v>
      </c>
      <c r="E24" s="233">
        <v>2.0</v>
      </c>
      <c r="F24" s="201">
        <f t="shared" si="1"/>
        <v>2</v>
      </c>
      <c r="G24" s="233">
        <v>0.25</v>
      </c>
      <c r="H24" s="202">
        <f t="shared" si="2"/>
        <v>1</v>
      </c>
      <c r="I24" s="214">
        <v>0.6</v>
      </c>
    </row>
    <row r="25">
      <c r="A25" s="51" t="s">
        <v>395</v>
      </c>
      <c r="B25" s="211">
        <v>4.0</v>
      </c>
      <c r="C25" s="233">
        <v>12.0</v>
      </c>
      <c r="D25" s="211">
        <v>4.0</v>
      </c>
      <c r="E25" s="233">
        <v>2.0</v>
      </c>
      <c r="F25" s="201">
        <f t="shared" si="1"/>
        <v>2</v>
      </c>
      <c r="G25" s="233">
        <v>0.25</v>
      </c>
      <c r="H25" s="202">
        <f t="shared" si="2"/>
        <v>1</v>
      </c>
      <c r="I25" s="214">
        <v>0.75</v>
      </c>
    </row>
    <row r="26">
      <c r="A26" s="51" t="s">
        <v>382</v>
      </c>
      <c r="B26" s="211">
        <v>4.0</v>
      </c>
      <c r="C26" s="233">
        <v>12.0</v>
      </c>
      <c r="D26" s="211">
        <v>4.0</v>
      </c>
      <c r="E26" s="233">
        <v>2.0</v>
      </c>
      <c r="F26" s="201">
        <f t="shared" si="1"/>
        <v>2</v>
      </c>
      <c r="G26" s="233">
        <v>0.25</v>
      </c>
      <c r="H26" s="202">
        <f t="shared" si="2"/>
        <v>1</v>
      </c>
      <c r="I26" s="214">
        <v>0.75</v>
      </c>
    </row>
    <row r="27">
      <c r="A27" s="51" t="s">
        <v>286</v>
      </c>
      <c r="B27" s="211">
        <v>4.0</v>
      </c>
      <c r="C27" s="233">
        <v>12.0</v>
      </c>
      <c r="D27" s="211">
        <v>2.0</v>
      </c>
      <c r="E27" s="233">
        <v>2.0</v>
      </c>
      <c r="F27" s="201">
        <f t="shared" si="1"/>
        <v>2</v>
      </c>
      <c r="G27" s="233">
        <v>0.0</v>
      </c>
      <c r="H27" s="202">
        <f t="shared" si="2"/>
        <v>0</v>
      </c>
      <c r="I27" s="214">
        <v>1.0</v>
      </c>
    </row>
    <row r="28">
      <c r="A28" s="51" t="s">
        <v>273</v>
      </c>
      <c r="B28" s="211">
        <v>4.0</v>
      </c>
      <c r="C28" s="233">
        <v>12.0</v>
      </c>
      <c r="D28" s="211">
        <v>2.0</v>
      </c>
      <c r="E28" s="233">
        <v>2.0</v>
      </c>
      <c r="F28" s="201">
        <f t="shared" si="1"/>
        <v>2</v>
      </c>
      <c r="G28" s="233">
        <v>0.0</v>
      </c>
      <c r="H28" s="202">
        <f t="shared" si="2"/>
        <v>0</v>
      </c>
      <c r="I28" s="214">
        <v>1.0</v>
      </c>
    </row>
    <row r="29">
      <c r="A29" s="51" t="s">
        <v>304</v>
      </c>
      <c r="B29" s="211">
        <v>4.0</v>
      </c>
      <c r="C29" s="233">
        <v>12.0</v>
      </c>
      <c r="D29" s="211">
        <v>2.0</v>
      </c>
      <c r="E29" s="233">
        <v>2.0</v>
      </c>
      <c r="F29" s="201">
        <f t="shared" si="1"/>
        <v>2</v>
      </c>
      <c r="G29" s="233">
        <v>0.0</v>
      </c>
      <c r="H29" s="202">
        <f t="shared" si="2"/>
        <v>0</v>
      </c>
      <c r="I29" s="214">
        <v>1.0</v>
      </c>
    </row>
    <row r="30">
      <c r="A30" s="51" t="s">
        <v>307</v>
      </c>
      <c r="B30" s="211">
        <v>4.0</v>
      </c>
      <c r="C30" s="233">
        <v>12.0</v>
      </c>
      <c r="D30" s="211">
        <v>2.0</v>
      </c>
      <c r="E30" s="233">
        <v>2.0</v>
      </c>
      <c r="F30" s="201">
        <f t="shared" si="1"/>
        <v>2</v>
      </c>
      <c r="G30" s="233">
        <v>0.0</v>
      </c>
      <c r="H30" s="202">
        <f t="shared" si="2"/>
        <v>0</v>
      </c>
      <c r="I30" s="214">
        <v>1.0</v>
      </c>
    </row>
    <row r="31">
      <c r="A31" s="51" t="s">
        <v>325</v>
      </c>
      <c r="B31" s="211">
        <v>4.0</v>
      </c>
      <c r="C31" s="233">
        <v>12.0</v>
      </c>
      <c r="D31" s="211">
        <v>2.0</v>
      </c>
      <c r="E31" s="233">
        <v>2.0</v>
      </c>
      <c r="F31" s="201">
        <f t="shared" si="1"/>
        <v>2</v>
      </c>
      <c r="G31" s="233">
        <v>0.0</v>
      </c>
      <c r="H31" s="202">
        <f t="shared" si="2"/>
        <v>0</v>
      </c>
      <c r="I31" s="214">
        <v>1.0</v>
      </c>
    </row>
    <row r="32">
      <c r="A32" s="51" t="s">
        <v>294</v>
      </c>
      <c r="B32" s="211">
        <v>4.0</v>
      </c>
      <c r="C32" s="233">
        <v>12.0</v>
      </c>
      <c r="D32" s="211">
        <v>3.0</v>
      </c>
      <c r="E32" s="233">
        <v>2.0</v>
      </c>
      <c r="F32" s="201">
        <f t="shared" si="1"/>
        <v>2</v>
      </c>
      <c r="G32" s="233">
        <v>0.0</v>
      </c>
      <c r="H32" s="202">
        <f t="shared" si="2"/>
        <v>0</v>
      </c>
      <c r="I32" s="214">
        <v>0.667</v>
      </c>
    </row>
    <row r="33">
      <c r="A33" s="51" t="s">
        <v>370</v>
      </c>
      <c r="B33" s="211">
        <v>4.0</v>
      </c>
      <c r="C33" s="233">
        <v>12.0</v>
      </c>
      <c r="D33" s="211">
        <v>2.0</v>
      </c>
      <c r="E33" s="233">
        <v>2.0</v>
      </c>
      <c r="F33" s="201">
        <f t="shared" si="1"/>
        <v>2</v>
      </c>
      <c r="G33" s="233">
        <v>0.0</v>
      </c>
      <c r="H33" s="202">
        <f t="shared" si="2"/>
        <v>0</v>
      </c>
      <c r="I33" s="214">
        <v>1.0</v>
      </c>
    </row>
    <row r="34">
      <c r="A34" s="51" t="s">
        <v>405</v>
      </c>
      <c r="B34" s="211">
        <v>4.0</v>
      </c>
      <c r="C34" s="233">
        <v>12.0</v>
      </c>
      <c r="D34" s="211">
        <v>2.0</v>
      </c>
      <c r="E34" s="233">
        <v>2.0</v>
      </c>
      <c r="F34" s="201">
        <f t="shared" si="1"/>
        <v>2</v>
      </c>
      <c r="G34" s="233">
        <v>0.0</v>
      </c>
      <c r="H34" s="202">
        <f t="shared" si="2"/>
        <v>0</v>
      </c>
      <c r="I34" s="214">
        <v>1.0</v>
      </c>
    </row>
    <row r="35">
      <c r="A35" s="51" t="s">
        <v>303</v>
      </c>
      <c r="B35" s="211">
        <v>4.0</v>
      </c>
      <c r="C35" s="233">
        <v>12.0</v>
      </c>
      <c r="D35" s="211">
        <v>2.0</v>
      </c>
      <c r="E35" s="233">
        <v>2.0</v>
      </c>
      <c r="F35" s="201">
        <f t="shared" si="1"/>
        <v>2</v>
      </c>
      <c r="G35" s="233">
        <v>0.0</v>
      </c>
      <c r="H35" s="202">
        <f t="shared" si="2"/>
        <v>0</v>
      </c>
      <c r="I35" s="214">
        <v>1.0</v>
      </c>
    </row>
    <row r="36">
      <c r="A36" s="51" t="s">
        <v>329</v>
      </c>
      <c r="B36" s="211">
        <v>4.0</v>
      </c>
      <c r="C36" s="233">
        <v>12.0</v>
      </c>
      <c r="D36" s="211">
        <v>2.0</v>
      </c>
      <c r="E36" s="233">
        <v>2.0</v>
      </c>
      <c r="F36" s="201">
        <f t="shared" si="1"/>
        <v>2</v>
      </c>
      <c r="G36" s="233">
        <v>0.0</v>
      </c>
      <c r="H36" s="202">
        <f t="shared" si="2"/>
        <v>0</v>
      </c>
      <c r="I36" s="214">
        <v>1.0</v>
      </c>
    </row>
    <row r="37">
      <c r="A37" s="51" t="s">
        <v>368</v>
      </c>
      <c r="B37" s="211">
        <v>4.0</v>
      </c>
      <c r="C37" s="233">
        <v>12.0</v>
      </c>
      <c r="D37" s="211">
        <v>2.0</v>
      </c>
      <c r="E37" s="233">
        <v>2.0</v>
      </c>
      <c r="F37" s="201">
        <f t="shared" si="1"/>
        <v>2</v>
      </c>
      <c r="G37" s="233">
        <v>0.0</v>
      </c>
      <c r="H37" s="202">
        <f t="shared" si="2"/>
        <v>0</v>
      </c>
      <c r="I37" s="214">
        <v>1.0</v>
      </c>
    </row>
    <row r="38">
      <c r="A38" s="51" t="s">
        <v>378</v>
      </c>
      <c r="B38" s="211">
        <v>2.0</v>
      </c>
      <c r="C38" s="233">
        <v>6.0</v>
      </c>
      <c r="D38" s="211">
        <v>1.0</v>
      </c>
      <c r="E38" s="233">
        <v>2.0</v>
      </c>
      <c r="F38" s="201">
        <f t="shared" si="1"/>
        <v>2</v>
      </c>
      <c r="G38" s="233">
        <v>0.0</v>
      </c>
      <c r="H38" s="202">
        <f t="shared" si="2"/>
        <v>0</v>
      </c>
      <c r="I38" s="214">
        <v>1.0</v>
      </c>
    </row>
    <row r="39">
      <c r="A39" s="51" t="s">
        <v>384</v>
      </c>
      <c r="B39" s="211">
        <v>2.0</v>
      </c>
      <c r="C39" s="233">
        <v>6.0</v>
      </c>
      <c r="D39" s="211">
        <v>1.0</v>
      </c>
      <c r="E39" s="233">
        <v>2.0</v>
      </c>
      <c r="F39" s="201">
        <f t="shared" si="1"/>
        <v>2</v>
      </c>
      <c r="G39" s="233">
        <v>0.0</v>
      </c>
      <c r="H39" s="202">
        <f t="shared" si="2"/>
        <v>0</v>
      </c>
      <c r="I39" s="214">
        <v>1.0</v>
      </c>
    </row>
    <row r="40">
      <c r="A40" s="51" t="s">
        <v>354</v>
      </c>
      <c r="B40" s="211">
        <v>2.0</v>
      </c>
      <c r="C40" s="233">
        <v>6.0</v>
      </c>
      <c r="D40" s="211">
        <v>1.0</v>
      </c>
      <c r="E40" s="233">
        <v>2.0</v>
      </c>
      <c r="F40" s="201">
        <f t="shared" si="1"/>
        <v>2</v>
      </c>
      <c r="G40" s="233">
        <v>0.0</v>
      </c>
      <c r="H40" s="202">
        <f t="shared" si="2"/>
        <v>0</v>
      </c>
      <c r="I40" s="214">
        <v>1.0</v>
      </c>
    </row>
    <row r="41">
      <c r="A41" s="51" t="s">
        <v>291</v>
      </c>
      <c r="B41" s="211">
        <v>4.0</v>
      </c>
      <c r="C41" s="233">
        <v>13.0</v>
      </c>
      <c r="D41" s="211">
        <v>2.0</v>
      </c>
      <c r="E41" s="233">
        <v>2.0</v>
      </c>
      <c r="F41" s="201">
        <f t="shared" si="1"/>
        <v>1.846153846</v>
      </c>
      <c r="G41" s="233">
        <v>0.0</v>
      </c>
      <c r="H41" s="202">
        <f t="shared" si="2"/>
        <v>0</v>
      </c>
      <c r="I41" s="214">
        <v>1.0</v>
      </c>
    </row>
    <row r="42">
      <c r="A42" s="51" t="s">
        <v>352</v>
      </c>
      <c r="B42" s="211">
        <v>3.0</v>
      </c>
      <c r="C42" s="233">
        <v>9.0</v>
      </c>
      <c r="D42" s="211">
        <v>1.0</v>
      </c>
      <c r="E42" s="233">
        <v>1.33</v>
      </c>
      <c r="F42" s="201">
        <f t="shared" si="1"/>
        <v>1.33</v>
      </c>
      <c r="G42" s="233">
        <v>0.0</v>
      </c>
      <c r="H42" s="202">
        <f t="shared" si="2"/>
        <v>0</v>
      </c>
      <c r="I42" s="214">
        <v>1.0</v>
      </c>
    </row>
    <row r="43">
      <c r="A43" s="51" t="s">
        <v>343</v>
      </c>
      <c r="B43" s="211">
        <v>3.0</v>
      </c>
      <c r="C43" s="233">
        <v>9.0</v>
      </c>
      <c r="D43" s="211">
        <v>1.0</v>
      </c>
      <c r="E43" s="233">
        <v>1.33</v>
      </c>
      <c r="F43" s="201">
        <f t="shared" si="1"/>
        <v>1.33</v>
      </c>
      <c r="G43" s="233">
        <v>0.0</v>
      </c>
      <c r="H43" s="202">
        <f t="shared" si="2"/>
        <v>0</v>
      </c>
      <c r="I43" s="214">
        <v>1.0</v>
      </c>
    </row>
    <row r="44">
      <c r="A44" s="51" t="s">
        <v>371</v>
      </c>
      <c r="B44" s="211">
        <v>3.0</v>
      </c>
      <c r="C44" s="233">
        <v>9.0</v>
      </c>
      <c r="D44" s="211">
        <v>1.0</v>
      </c>
      <c r="E44" s="233">
        <v>1.33</v>
      </c>
      <c r="F44" s="201">
        <f t="shared" si="1"/>
        <v>1.33</v>
      </c>
      <c r="G44" s="233">
        <v>0.0</v>
      </c>
      <c r="H44" s="202">
        <f t="shared" si="2"/>
        <v>0</v>
      </c>
      <c r="I44" s="214">
        <v>1.0</v>
      </c>
    </row>
    <row r="45">
      <c r="A45" s="51" t="s">
        <v>391</v>
      </c>
      <c r="B45" s="211">
        <v>3.0</v>
      </c>
      <c r="C45" s="233">
        <v>9.0</v>
      </c>
      <c r="D45" s="211">
        <v>1.0</v>
      </c>
      <c r="E45" s="233">
        <v>1.33</v>
      </c>
      <c r="F45" s="201">
        <f t="shared" si="1"/>
        <v>1.33</v>
      </c>
      <c r="G45" s="233">
        <v>0.0</v>
      </c>
      <c r="H45" s="202">
        <f t="shared" si="2"/>
        <v>0</v>
      </c>
      <c r="I45" s="214">
        <v>1.0</v>
      </c>
    </row>
    <row r="46">
      <c r="A46" s="51" t="s">
        <v>355</v>
      </c>
      <c r="B46" s="211">
        <v>3.0</v>
      </c>
      <c r="C46" s="233">
        <v>9.0</v>
      </c>
      <c r="D46" s="211">
        <v>1.0</v>
      </c>
      <c r="E46" s="233">
        <v>1.33</v>
      </c>
      <c r="F46" s="201">
        <f t="shared" si="1"/>
        <v>1.33</v>
      </c>
      <c r="G46" s="233">
        <v>0.0</v>
      </c>
      <c r="H46" s="202">
        <f t="shared" si="2"/>
        <v>0</v>
      </c>
      <c r="I46" s="214">
        <v>1.0</v>
      </c>
    </row>
    <row r="47">
      <c r="A47" s="51" t="s">
        <v>287</v>
      </c>
      <c r="B47" s="211">
        <v>4.0</v>
      </c>
      <c r="C47" s="233">
        <v>10.0</v>
      </c>
      <c r="D47" s="211">
        <v>1.0</v>
      </c>
      <c r="E47" s="233">
        <v>1.0</v>
      </c>
      <c r="F47" s="201">
        <f t="shared" si="1"/>
        <v>1.2</v>
      </c>
      <c r="G47" s="233">
        <v>0.0</v>
      </c>
      <c r="H47" s="202">
        <f t="shared" si="2"/>
        <v>0</v>
      </c>
      <c r="I47" s="214">
        <v>1.0</v>
      </c>
    </row>
    <row r="48">
      <c r="A48" s="51" t="s">
        <v>361</v>
      </c>
      <c r="B48" s="211">
        <v>4.0</v>
      </c>
      <c r="C48" s="233">
        <v>11.0</v>
      </c>
      <c r="D48" s="211">
        <v>2.0</v>
      </c>
      <c r="E48" s="233">
        <v>1.0</v>
      </c>
      <c r="F48" s="201">
        <f t="shared" si="1"/>
        <v>1.090909091</v>
      </c>
      <c r="G48" s="233">
        <v>0.0</v>
      </c>
      <c r="H48" s="202">
        <f t="shared" si="2"/>
        <v>0</v>
      </c>
      <c r="I48" s="214">
        <v>0.5</v>
      </c>
    </row>
    <row r="49">
      <c r="A49" s="51" t="s">
        <v>381</v>
      </c>
      <c r="B49" s="211">
        <v>4.0</v>
      </c>
      <c r="C49" s="233">
        <v>11.0</v>
      </c>
      <c r="D49" s="211">
        <v>1.0</v>
      </c>
      <c r="E49" s="233">
        <v>1.0</v>
      </c>
      <c r="F49" s="201">
        <f t="shared" si="1"/>
        <v>1.090909091</v>
      </c>
      <c r="G49" s="233">
        <v>0.0</v>
      </c>
      <c r="H49" s="202">
        <f t="shared" si="2"/>
        <v>0</v>
      </c>
      <c r="I49" s="214">
        <v>1.0</v>
      </c>
    </row>
    <row r="50">
      <c r="A50" s="51" t="s">
        <v>392</v>
      </c>
      <c r="B50" s="211">
        <v>4.0</v>
      </c>
      <c r="C50" s="233">
        <v>11.0</v>
      </c>
      <c r="D50" s="211">
        <v>1.0</v>
      </c>
      <c r="E50" s="233">
        <v>1.0</v>
      </c>
      <c r="F50" s="201">
        <f t="shared" si="1"/>
        <v>1.090909091</v>
      </c>
      <c r="G50" s="233">
        <v>0.0</v>
      </c>
      <c r="H50" s="202">
        <f t="shared" si="2"/>
        <v>0</v>
      </c>
      <c r="I50" s="214">
        <v>1.0</v>
      </c>
    </row>
    <row r="51">
      <c r="A51" s="51" t="s">
        <v>318</v>
      </c>
      <c r="B51" s="211">
        <v>4.0</v>
      </c>
      <c r="C51" s="233">
        <v>12.0</v>
      </c>
      <c r="D51" s="211">
        <v>8.0</v>
      </c>
      <c r="E51" s="233">
        <v>1.0</v>
      </c>
      <c r="F51" s="201">
        <f t="shared" si="1"/>
        <v>1</v>
      </c>
      <c r="G51" s="233">
        <v>0.75</v>
      </c>
      <c r="H51" s="202">
        <f t="shared" si="2"/>
        <v>3</v>
      </c>
      <c r="I51" s="214">
        <v>0.5</v>
      </c>
    </row>
    <row r="52">
      <c r="A52" s="51" t="s">
        <v>280</v>
      </c>
      <c r="B52" s="211">
        <v>4.0</v>
      </c>
      <c r="C52" s="233">
        <v>12.0</v>
      </c>
      <c r="D52" s="211">
        <v>5.0</v>
      </c>
      <c r="E52" s="233">
        <v>1.0</v>
      </c>
      <c r="F52" s="201">
        <f t="shared" si="1"/>
        <v>1</v>
      </c>
      <c r="G52" s="233">
        <v>0.5</v>
      </c>
      <c r="H52" s="202">
        <f t="shared" si="2"/>
        <v>2</v>
      </c>
      <c r="I52" s="214">
        <v>0.6</v>
      </c>
    </row>
    <row r="53">
      <c r="A53" s="51" t="s">
        <v>276</v>
      </c>
      <c r="B53" s="211">
        <v>4.0</v>
      </c>
      <c r="C53" s="233">
        <v>12.0</v>
      </c>
      <c r="D53" s="211">
        <v>3.0</v>
      </c>
      <c r="E53" s="233">
        <v>1.0</v>
      </c>
      <c r="F53" s="201">
        <f t="shared" si="1"/>
        <v>1</v>
      </c>
      <c r="G53" s="233">
        <v>0.25</v>
      </c>
      <c r="H53" s="202">
        <f t="shared" si="2"/>
        <v>1</v>
      </c>
      <c r="I53" s="214">
        <v>0.667</v>
      </c>
    </row>
    <row r="54">
      <c r="A54" s="51" t="s">
        <v>328</v>
      </c>
      <c r="B54" s="211">
        <v>4.0</v>
      </c>
      <c r="C54" s="233">
        <v>12.0</v>
      </c>
      <c r="D54" s="211">
        <v>3.0</v>
      </c>
      <c r="E54" s="233">
        <v>1.0</v>
      </c>
      <c r="F54" s="201">
        <f t="shared" si="1"/>
        <v>1</v>
      </c>
      <c r="G54" s="233">
        <v>0.25</v>
      </c>
      <c r="H54" s="202">
        <f t="shared" si="2"/>
        <v>1</v>
      </c>
      <c r="I54" s="214">
        <v>0.667</v>
      </c>
    </row>
    <row r="55">
      <c r="A55" s="51" t="s">
        <v>394</v>
      </c>
      <c r="B55" s="211">
        <v>4.0</v>
      </c>
      <c r="C55" s="233">
        <v>12.0</v>
      </c>
      <c r="D55" s="211">
        <v>1.0</v>
      </c>
      <c r="E55" s="233">
        <v>1.0</v>
      </c>
      <c r="F55" s="201">
        <f t="shared" si="1"/>
        <v>1</v>
      </c>
      <c r="G55" s="233">
        <v>0.0</v>
      </c>
      <c r="H55" s="202">
        <f t="shared" si="2"/>
        <v>0</v>
      </c>
      <c r="I55" s="214">
        <v>1.0</v>
      </c>
    </row>
    <row r="56">
      <c r="A56" s="51" t="s">
        <v>327</v>
      </c>
      <c r="B56" s="211">
        <v>4.0</v>
      </c>
      <c r="C56" s="233">
        <v>12.0</v>
      </c>
      <c r="D56" s="211">
        <v>1.0</v>
      </c>
      <c r="E56" s="233">
        <v>1.0</v>
      </c>
      <c r="F56" s="201">
        <f t="shared" si="1"/>
        <v>1</v>
      </c>
      <c r="G56" s="233">
        <v>0.0</v>
      </c>
      <c r="H56" s="202">
        <f t="shared" si="2"/>
        <v>0</v>
      </c>
      <c r="I56" s="214">
        <v>1.0</v>
      </c>
    </row>
    <row r="57">
      <c r="A57" s="51" t="s">
        <v>322</v>
      </c>
      <c r="B57" s="211">
        <v>4.0</v>
      </c>
      <c r="C57" s="233">
        <v>12.0</v>
      </c>
      <c r="D57" s="211">
        <v>1.0</v>
      </c>
      <c r="E57" s="233">
        <v>1.0</v>
      </c>
      <c r="F57" s="201">
        <f t="shared" si="1"/>
        <v>1</v>
      </c>
      <c r="G57" s="233">
        <v>0.0</v>
      </c>
      <c r="H57" s="202">
        <f t="shared" si="2"/>
        <v>0</v>
      </c>
      <c r="I57" s="214">
        <v>1.0</v>
      </c>
    </row>
    <row r="58">
      <c r="A58" s="51" t="s">
        <v>308</v>
      </c>
      <c r="B58" s="211">
        <v>4.0</v>
      </c>
      <c r="C58" s="233">
        <v>12.0</v>
      </c>
      <c r="D58" s="211">
        <v>1.0</v>
      </c>
      <c r="E58" s="233">
        <v>1.0</v>
      </c>
      <c r="F58" s="201">
        <f t="shared" si="1"/>
        <v>1</v>
      </c>
      <c r="G58" s="233">
        <v>0.0</v>
      </c>
      <c r="H58" s="202">
        <f t="shared" si="2"/>
        <v>0</v>
      </c>
      <c r="I58" s="214">
        <v>1.0</v>
      </c>
    </row>
    <row r="59">
      <c r="A59" s="51" t="s">
        <v>316</v>
      </c>
      <c r="B59" s="211">
        <v>4.0</v>
      </c>
      <c r="C59" s="233">
        <v>12.0</v>
      </c>
      <c r="D59" s="211">
        <v>1.0</v>
      </c>
      <c r="E59" s="233">
        <v>1.0</v>
      </c>
      <c r="F59" s="201">
        <f t="shared" si="1"/>
        <v>1</v>
      </c>
      <c r="G59" s="233">
        <v>0.0</v>
      </c>
      <c r="H59" s="202">
        <f t="shared" si="2"/>
        <v>0</v>
      </c>
      <c r="I59" s="214">
        <v>1.0</v>
      </c>
    </row>
    <row r="60">
      <c r="A60" s="51" t="s">
        <v>324</v>
      </c>
      <c r="B60" s="211">
        <v>4.0</v>
      </c>
      <c r="C60" s="233">
        <v>12.0</v>
      </c>
      <c r="D60" s="211">
        <v>2.0</v>
      </c>
      <c r="E60" s="233">
        <v>1.0</v>
      </c>
      <c r="F60" s="201">
        <f t="shared" si="1"/>
        <v>1</v>
      </c>
      <c r="G60" s="233">
        <v>0.0</v>
      </c>
      <c r="H60" s="202">
        <f t="shared" si="2"/>
        <v>0</v>
      </c>
      <c r="I60" s="214">
        <v>0.5</v>
      </c>
    </row>
    <row r="61">
      <c r="A61" s="51" t="s">
        <v>383</v>
      </c>
      <c r="B61" s="211">
        <v>4.0</v>
      </c>
      <c r="C61" s="233">
        <v>12.0</v>
      </c>
      <c r="D61" s="211">
        <v>2.0</v>
      </c>
      <c r="E61" s="233">
        <v>1.0</v>
      </c>
      <c r="F61" s="201">
        <f t="shared" si="1"/>
        <v>1</v>
      </c>
      <c r="G61" s="233">
        <v>0.0</v>
      </c>
      <c r="H61" s="202">
        <f t="shared" si="2"/>
        <v>0</v>
      </c>
      <c r="I61" s="214">
        <v>0.5</v>
      </c>
    </row>
    <row r="62">
      <c r="A62" s="51" t="s">
        <v>311</v>
      </c>
      <c r="B62" s="211">
        <v>4.0</v>
      </c>
      <c r="C62" s="233">
        <v>12.0</v>
      </c>
      <c r="D62" s="211">
        <v>1.0</v>
      </c>
      <c r="E62" s="233">
        <v>1.0</v>
      </c>
      <c r="F62" s="201">
        <f t="shared" si="1"/>
        <v>1</v>
      </c>
      <c r="G62" s="233">
        <v>0.0</v>
      </c>
      <c r="H62" s="202">
        <f t="shared" si="2"/>
        <v>0</v>
      </c>
      <c r="I62" s="214">
        <v>1.0</v>
      </c>
    </row>
    <row r="63">
      <c r="A63" s="51" t="s">
        <v>313</v>
      </c>
      <c r="B63" s="211">
        <v>4.0</v>
      </c>
      <c r="C63" s="233">
        <v>12.0</v>
      </c>
      <c r="D63" s="211">
        <v>1.0</v>
      </c>
      <c r="E63" s="233">
        <v>1.0</v>
      </c>
      <c r="F63" s="201">
        <f t="shared" si="1"/>
        <v>1</v>
      </c>
      <c r="G63" s="233">
        <v>0.0</v>
      </c>
      <c r="H63" s="202">
        <f t="shared" si="2"/>
        <v>0</v>
      </c>
      <c r="I63" s="214">
        <v>1.0</v>
      </c>
    </row>
    <row r="64">
      <c r="A64" s="51" t="s">
        <v>379</v>
      </c>
      <c r="B64" s="211">
        <v>4.0</v>
      </c>
      <c r="C64" s="233">
        <v>12.0</v>
      </c>
      <c r="D64" s="211">
        <v>2.0</v>
      </c>
      <c r="E64" s="233">
        <v>1.0</v>
      </c>
      <c r="F64" s="201">
        <f t="shared" si="1"/>
        <v>1</v>
      </c>
      <c r="G64" s="233">
        <v>0.0</v>
      </c>
      <c r="H64" s="202">
        <f t="shared" si="2"/>
        <v>0</v>
      </c>
      <c r="I64" s="214">
        <v>0.5</v>
      </c>
    </row>
    <row r="65">
      <c r="A65" s="51" t="s">
        <v>284</v>
      </c>
      <c r="B65" s="211">
        <v>4.0</v>
      </c>
      <c r="C65" s="233">
        <v>12.0</v>
      </c>
      <c r="D65" s="211">
        <v>1.0</v>
      </c>
      <c r="E65" s="233">
        <v>1.0</v>
      </c>
      <c r="F65" s="201">
        <f t="shared" si="1"/>
        <v>1</v>
      </c>
      <c r="G65" s="233">
        <v>0.0</v>
      </c>
      <c r="H65" s="202">
        <f t="shared" si="2"/>
        <v>0</v>
      </c>
      <c r="I65" s="214">
        <v>1.0</v>
      </c>
    </row>
    <row r="66">
      <c r="A66" s="51" t="s">
        <v>380</v>
      </c>
      <c r="B66" s="211">
        <v>4.0</v>
      </c>
      <c r="C66" s="233">
        <v>12.0</v>
      </c>
      <c r="D66" s="211">
        <v>1.0</v>
      </c>
      <c r="E66" s="233">
        <v>1.0</v>
      </c>
      <c r="F66" s="201">
        <f t="shared" si="1"/>
        <v>1</v>
      </c>
      <c r="G66" s="233">
        <v>0.0</v>
      </c>
      <c r="H66" s="202">
        <f t="shared" si="2"/>
        <v>0</v>
      </c>
      <c r="I66" s="214">
        <v>1.0</v>
      </c>
    </row>
    <row r="67">
      <c r="A67" s="51" t="s">
        <v>300</v>
      </c>
      <c r="B67" s="211">
        <v>4.0</v>
      </c>
      <c r="C67" s="233">
        <v>13.0</v>
      </c>
      <c r="D67" s="211">
        <v>8.0</v>
      </c>
      <c r="E67" s="233">
        <v>1.0</v>
      </c>
      <c r="F67" s="201">
        <f t="shared" si="1"/>
        <v>0.9230769231</v>
      </c>
      <c r="G67" s="233">
        <v>0.5</v>
      </c>
      <c r="H67" s="202">
        <f t="shared" si="2"/>
        <v>2</v>
      </c>
      <c r="I67" s="214">
        <v>0.375</v>
      </c>
    </row>
    <row r="68">
      <c r="A68" s="51" t="s">
        <v>344</v>
      </c>
      <c r="B68" s="211">
        <v>4.0</v>
      </c>
      <c r="C68" s="233">
        <v>13.0</v>
      </c>
      <c r="D68" s="211">
        <v>1.0</v>
      </c>
      <c r="E68" s="233">
        <v>1.0</v>
      </c>
      <c r="F68" s="201">
        <f t="shared" si="1"/>
        <v>0.9230769231</v>
      </c>
      <c r="G68" s="233">
        <v>0.0</v>
      </c>
      <c r="H68" s="202">
        <f t="shared" si="2"/>
        <v>0</v>
      </c>
      <c r="I68" s="214">
        <v>1.0</v>
      </c>
    </row>
    <row r="69">
      <c r="A69" s="51" t="s">
        <v>332</v>
      </c>
      <c r="B69" s="211">
        <v>4.0</v>
      </c>
      <c r="C69" s="233">
        <v>12.0</v>
      </c>
      <c r="D69" s="211">
        <v>5.0</v>
      </c>
      <c r="E69" s="233">
        <v>0.0</v>
      </c>
      <c r="F69" s="201">
        <f t="shared" si="1"/>
        <v>0</v>
      </c>
      <c r="G69" s="233">
        <v>0.25</v>
      </c>
      <c r="H69" s="202">
        <f t="shared" si="2"/>
        <v>1</v>
      </c>
      <c r="I69" s="214">
        <v>0.2</v>
      </c>
    </row>
    <row r="70">
      <c r="A70" s="51" t="s">
        <v>321</v>
      </c>
      <c r="B70" s="211">
        <v>4.0</v>
      </c>
      <c r="C70" s="233">
        <v>12.0</v>
      </c>
      <c r="D70" s="211">
        <v>2.0</v>
      </c>
      <c r="E70" s="233">
        <v>0.0</v>
      </c>
      <c r="F70" s="201">
        <f t="shared" si="1"/>
        <v>0</v>
      </c>
      <c r="G70" s="233">
        <v>0.25</v>
      </c>
      <c r="H70" s="202">
        <f t="shared" si="2"/>
        <v>1</v>
      </c>
      <c r="I70" s="214">
        <v>0.5</v>
      </c>
    </row>
    <row r="71">
      <c r="A71" s="51" t="s">
        <v>281</v>
      </c>
      <c r="B71" s="211">
        <v>4.0</v>
      </c>
      <c r="C71" s="233">
        <v>12.0</v>
      </c>
      <c r="D71" s="211">
        <v>2.0</v>
      </c>
      <c r="E71" s="233">
        <v>0.0</v>
      </c>
      <c r="F71" s="201">
        <f t="shared" si="1"/>
        <v>0</v>
      </c>
      <c r="G71" s="233">
        <v>0.25</v>
      </c>
      <c r="H71" s="202">
        <f t="shared" si="2"/>
        <v>1</v>
      </c>
      <c r="I71" s="214">
        <v>0.5</v>
      </c>
    </row>
    <row r="72">
      <c r="A72" s="51" t="s">
        <v>364</v>
      </c>
      <c r="B72" s="211">
        <v>3.0</v>
      </c>
      <c r="C72" s="233">
        <v>9.0</v>
      </c>
      <c r="D72" s="211">
        <v>4.0</v>
      </c>
      <c r="E72" s="233">
        <v>0.0</v>
      </c>
      <c r="F72" s="201">
        <f t="shared" si="1"/>
        <v>0</v>
      </c>
      <c r="G72" s="233">
        <v>0.33</v>
      </c>
      <c r="H72" s="202">
        <f t="shared" si="2"/>
        <v>0.99</v>
      </c>
      <c r="I72" s="214">
        <v>0.25</v>
      </c>
    </row>
    <row r="73">
      <c r="A73" s="51" t="s">
        <v>340</v>
      </c>
      <c r="B73" s="211">
        <v>4.0</v>
      </c>
      <c r="C73" s="233">
        <v>12.0</v>
      </c>
      <c r="D73" s="211">
        <v>0.0</v>
      </c>
      <c r="E73" s="233">
        <v>0.0</v>
      </c>
      <c r="F73" s="201">
        <f t="shared" si="1"/>
        <v>0</v>
      </c>
      <c r="G73" s="233">
        <v>0.0</v>
      </c>
      <c r="H73" s="202">
        <f t="shared" si="2"/>
        <v>0</v>
      </c>
      <c r="I73" s="214">
        <v>0.0</v>
      </c>
    </row>
    <row r="74">
      <c r="A74" s="51" t="s">
        <v>319</v>
      </c>
      <c r="B74" s="211">
        <v>4.0</v>
      </c>
      <c r="C74" s="233">
        <v>12.0</v>
      </c>
      <c r="D74" s="211">
        <v>0.0</v>
      </c>
      <c r="E74" s="233">
        <v>0.0</v>
      </c>
      <c r="F74" s="201">
        <f t="shared" si="1"/>
        <v>0</v>
      </c>
      <c r="G74" s="233">
        <v>0.0</v>
      </c>
      <c r="H74" s="202">
        <f t="shared" si="2"/>
        <v>0</v>
      </c>
      <c r="I74" s="214">
        <v>0.0</v>
      </c>
    </row>
    <row r="75">
      <c r="A75" s="51" t="s">
        <v>341</v>
      </c>
      <c r="B75" s="211">
        <v>4.0</v>
      </c>
      <c r="C75" s="233">
        <v>12.0</v>
      </c>
      <c r="D75" s="211">
        <v>0.0</v>
      </c>
      <c r="E75" s="233">
        <v>0.0</v>
      </c>
      <c r="F75" s="201">
        <f t="shared" si="1"/>
        <v>0</v>
      </c>
      <c r="G75" s="233">
        <v>0.0</v>
      </c>
      <c r="H75" s="202">
        <f t="shared" si="2"/>
        <v>0</v>
      </c>
      <c r="I75" s="214">
        <v>0.0</v>
      </c>
    </row>
    <row r="76">
      <c r="A76" s="51" t="s">
        <v>305</v>
      </c>
      <c r="B76" s="211">
        <v>4.0</v>
      </c>
      <c r="C76" s="233">
        <v>13.0</v>
      </c>
      <c r="D76" s="211">
        <v>0.0</v>
      </c>
      <c r="E76" s="233">
        <v>0.0</v>
      </c>
      <c r="F76" s="201">
        <f t="shared" si="1"/>
        <v>0</v>
      </c>
      <c r="G76" s="233">
        <v>0.0</v>
      </c>
      <c r="H76" s="202">
        <f t="shared" si="2"/>
        <v>0</v>
      </c>
      <c r="I76" s="214">
        <v>0.0</v>
      </c>
    </row>
    <row r="77">
      <c r="A77" s="51" t="s">
        <v>374</v>
      </c>
      <c r="B77" s="211">
        <v>1.0</v>
      </c>
      <c r="C77" s="233">
        <v>3.0</v>
      </c>
      <c r="D77" s="211">
        <v>0.0</v>
      </c>
      <c r="E77" s="233">
        <v>0.0</v>
      </c>
      <c r="F77" s="201">
        <f t="shared" si="1"/>
        <v>0</v>
      </c>
      <c r="G77" s="233">
        <v>0.0</v>
      </c>
      <c r="H77" s="202">
        <f t="shared" si="2"/>
        <v>0</v>
      </c>
      <c r="I77" s="214">
        <v>0.0</v>
      </c>
    </row>
    <row r="78">
      <c r="A78" s="51" t="s">
        <v>350</v>
      </c>
      <c r="B78" s="211">
        <v>4.0</v>
      </c>
      <c r="C78" s="233">
        <v>13.0</v>
      </c>
      <c r="D78" s="211">
        <v>0.0</v>
      </c>
      <c r="E78" s="233">
        <v>0.0</v>
      </c>
      <c r="F78" s="201">
        <f t="shared" si="1"/>
        <v>0</v>
      </c>
      <c r="G78" s="233">
        <v>0.0</v>
      </c>
      <c r="H78" s="202">
        <f t="shared" si="2"/>
        <v>0</v>
      </c>
      <c r="I78" s="214">
        <v>0.0</v>
      </c>
    </row>
    <row r="79">
      <c r="A79" s="51" t="s">
        <v>407</v>
      </c>
      <c r="B79" s="211">
        <v>4.0</v>
      </c>
      <c r="C79" s="233">
        <v>12.0</v>
      </c>
      <c r="D79" s="211">
        <v>0.0</v>
      </c>
      <c r="E79" s="233">
        <v>0.0</v>
      </c>
      <c r="F79" s="201">
        <f t="shared" si="1"/>
        <v>0</v>
      </c>
      <c r="G79" s="233">
        <v>0.0</v>
      </c>
      <c r="H79" s="202">
        <f t="shared" si="2"/>
        <v>0</v>
      </c>
      <c r="I79" s="214">
        <v>0.0</v>
      </c>
    </row>
    <row r="80">
      <c r="A80" s="51" t="s">
        <v>357</v>
      </c>
      <c r="B80" s="211">
        <v>3.0</v>
      </c>
      <c r="C80" s="233">
        <v>9.0</v>
      </c>
      <c r="D80" s="211">
        <v>0.0</v>
      </c>
      <c r="E80" s="233">
        <v>0.0</v>
      </c>
      <c r="F80" s="201">
        <f t="shared" si="1"/>
        <v>0</v>
      </c>
      <c r="G80" s="233">
        <v>0.0</v>
      </c>
      <c r="H80" s="202">
        <f t="shared" si="2"/>
        <v>0</v>
      </c>
      <c r="I80" s="214">
        <v>0.0</v>
      </c>
    </row>
    <row r="81">
      <c r="A81" s="51" t="s">
        <v>301</v>
      </c>
      <c r="B81" s="211">
        <v>4.0</v>
      </c>
      <c r="C81" s="233">
        <v>12.0</v>
      </c>
      <c r="D81" s="211">
        <v>0.0</v>
      </c>
      <c r="E81" s="233">
        <v>0.0</v>
      </c>
      <c r="F81" s="201">
        <f t="shared" si="1"/>
        <v>0</v>
      </c>
      <c r="G81" s="233">
        <v>0.0</v>
      </c>
      <c r="H81" s="202">
        <f t="shared" si="2"/>
        <v>0</v>
      </c>
      <c r="I81" s="214">
        <v>0.0</v>
      </c>
    </row>
    <row r="82">
      <c r="A82" s="51" t="s">
        <v>367</v>
      </c>
      <c r="B82" s="211">
        <v>1.0</v>
      </c>
      <c r="C82" s="233">
        <v>3.0</v>
      </c>
      <c r="D82" s="211">
        <v>0.0</v>
      </c>
      <c r="E82" s="233">
        <v>0.0</v>
      </c>
      <c r="F82" s="201">
        <f t="shared" si="1"/>
        <v>0</v>
      </c>
      <c r="G82" s="233">
        <v>0.0</v>
      </c>
      <c r="H82" s="202">
        <f t="shared" si="2"/>
        <v>0</v>
      </c>
      <c r="I82" s="214">
        <v>0.0</v>
      </c>
    </row>
    <row r="83">
      <c r="A83" s="51" t="s">
        <v>375</v>
      </c>
      <c r="B83" s="211">
        <v>2.0</v>
      </c>
      <c r="C83" s="233">
        <v>6.0</v>
      </c>
      <c r="D83" s="211">
        <v>0.0</v>
      </c>
      <c r="E83" s="233">
        <v>0.0</v>
      </c>
      <c r="F83" s="201">
        <f t="shared" si="1"/>
        <v>0</v>
      </c>
      <c r="G83" s="233">
        <v>0.0</v>
      </c>
      <c r="H83" s="202">
        <f t="shared" si="2"/>
        <v>0</v>
      </c>
      <c r="I83" s="214">
        <v>0.0</v>
      </c>
    </row>
    <row r="84">
      <c r="A84" s="51" t="s">
        <v>292</v>
      </c>
      <c r="B84" s="211">
        <v>1.0</v>
      </c>
      <c r="C84" s="233">
        <v>3.0</v>
      </c>
      <c r="D84" s="211">
        <v>0.0</v>
      </c>
      <c r="E84" s="233">
        <v>0.0</v>
      </c>
      <c r="F84" s="201">
        <f t="shared" si="1"/>
        <v>0</v>
      </c>
      <c r="G84" s="233">
        <v>0.0</v>
      </c>
      <c r="H84" s="202">
        <f t="shared" si="2"/>
        <v>0</v>
      </c>
      <c r="I84" s="214">
        <v>0.0</v>
      </c>
    </row>
    <row r="85">
      <c r="A85" s="51" t="s">
        <v>396</v>
      </c>
      <c r="B85" s="211">
        <v>3.0</v>
      </c>
      <c r="C85" s="233">
        <v>9.0</v>
      </c>
      <c r="D85" s="211">
        <v>0.0</v>
      </c>
      <c r="E85" s="233">
        <v>0.0</v>
      </c>
      <c r="F85" s="201">
        <f t="shared" si="1"/>
        <v>0</v>
      </c>
      <c r="G85" s="233">
        <v>0.0</v>
      </c>
      <c r="H85" s="202">
        <f t="shared" si="2"/>
        <v>0</v>
      </c>
      <c r="I85" s="214">
        <v>0.0</v>
      </c>
    </row>
    <row r="86">
      <c r="A86" s="51" t="s">
        <v>345</v>
      </c>
      <c r="B86" s="211">
        <v>3.0</v>
      </c>
      <c r="C86" s="233">
        <v>9.0</v>
      </c>
      <c r="D86" s="211">
        <v>0.0</v>
      </c>
      <c r="E86" s="233">
        <v>0.0</v>
      </c>
      <c r="F86" s="201">
        <f t="shared" si="1"/>
        <v>0</v>
      </c>
      <c r="G86" s="233">
        <v>0.0</v>
      </c>
      <c r="H86" s="202">
        <f t="shared" si="2"/>
        <v>0</v>
      </c>
      <c r="I86" s="214">
        <v>0.0</v>
      </c>
    </row>
    <row r="87">
      <c r="A87" s="51" t="s">
        <v>317</v>
      </c>
      <c r="B87" s="211">
        <v>3.0</v>
      </c>
      <c r="C87" s="233">
        <v>9.0</v>
      </c>
      <c r="D87" s="211">
        <v>0.0</v>
      </c>
      <c r="E87" s="233">
        <v>0.0</v>
      </c>
      <c r="F87" s="201">
        <f t="shared" si="1"/>
        <v>0</v>
      </c>
      <c r="G87" s="233">
        <v>0.0</v>
      </c>
      <c r="H87" s="202">
        <f t="shared" si="2"/>
        <v>0</v>
      </c>
      <c r="I87" s="214">
        <v>0.0</v>
      </c>
    </row>
    <row r="88">
      <c r="A88" s="51" t="s">
        <v>386</v>
      </c>
      <c r="B88" s="211">
        <v>3.0</v>
      </c>
      <c r="C88" s="233">
        <v>9.0</v>
      </c>
      <c r="D88" s="211">
        <v>0.0</v>
      </c>
      <c r="E88" s="233">
        <v>0.0</v>
      </c>
      <c r="F88" s="201">
        <f t="shared" si="1"/>
        <v>0</v>
      </c>
      <c r="G88" s="233">
        <v>0.0</v>
      </c>
      <c r="H88" s="202">
        <f t="shared" si="2"/>
        <v>0</v>
      </c>
      <c r="I88" s="214">
        <v>0.0</v>
      </c>
    </row>
    <row r="89">
      <c r="A89" s="51" t="s">
        <v>388</v>
      </c>
      <c r="B89" s="211">
        <v>2.0</v>
      </c>
      <c r="C89" s="233">
        <v>6.0</v>
      </c>
      <c r="D89" s="211">
        <v>0.0</v>
      </c>
      <c r="E89" s="233">
        <v>0.0</v>
      </c>
      <c r="F89" s="201">
        <f t="shared" si="1"/>
        <v>0</v>
      </c>
      <c r="G89" s="233">
        <v>0.0</v>
      </c>
      <c r="H89" s="202">
        <f t="shared" si="2"/>
        <v>0</v>
      </c>
      <c r="I89" s="214">
        <v>0.0</v>
      </c>
    </row>
    <row r="90">
      <c r="A90" s="51" t="s">
        <v>402</v>
      </c>
      <c r="B90" s="211">
        <v>4.0</v>
      </c>
      <c r="C90" s="233">
        <v>12.0</v>
      </c>
      <c r="D90" s="211">
        <v>2.0</v>
      </c>
      <c r="E90" s="233">
        <v>0.0</v>
      </c>
      <c r="F90" s="201">
        <f t="shared" si="1"/>
        <v>0</v>
      </c>
      <c r="G90" s="233">
        <v>0.0</v>
      </c>
      <c r="H90" s="202">
        <f t="shared" si="2"/>
        <v>0</v>
      </c>
      <c r="I90" s="214">
        <v>0.0</v>
      </c>
    </row>
    <row r="91">
      <c r="A91" s="51" t="s">
        <v>320</v>
      </c>
      <c r="B91" s="211">
        <v>4.0</v>
      </c>
      <c r="C91" s="233">
        <v>12.0</v>
      </c>
      <c r="D91" s="211">
        <v>0.0</v>
      </c>
      <c r="E91" s="233">
        <v>0.0</v>
      </c>
      <c r="F91" s="201">
        <f t="shared" si="1"/>
        <v>0</v>
      </c>
      <c r="G91" s="233">
        <v>0.0</v>
      </c>
      <c r="H91" s="202">
        <f t="shared" si="2"/>
        <v>0</v>
      </c>
      <c r="I91" s="214">
        <v>0.0</v>
      </c>
    </row>
    <row r="92">
      <c r="A92" s="51" t="s">
        <v>285</v>
      </c>
      <c r="B92" s="211">
        <v>4.0</v>
      </c>
      <c r="C92" s="233">
        <v>12.0</v>
      </c>
      <c r="D92" s="211">
        <v>0.0</v>
      </c>
      <c r="E92" s="233">
        <v>0.0</v>
      </c>
      <c r="F92" s="201">
        <f t="shared" si="1"/>
        <v>0</v>
      </c>
      <c r="G92" s="233">
        <v>0.0</v>
      </c>
      <c r="H92" s="202">
        <f t="shared" si="2"/>
        <v>0</v>
      </c>
      <c r="I92" s="214">
        <v>0.0</v>
      </c>
    </row>
    <row r="93">
      <c r="A93" s="51" t="s">
        <v>389</v>
      </c>
      <c r="B93" s="211">
        <v>3.0</v>
      </c>
      <c r="C93" s="233">
        <v>9.0</v>
      </c>
      <c r="D93" s="211">
        <v>0.0</v>
      </c>
      <c r="E93" s="233">
        <v>0.0</v>
      </c>
      <c r="F93" s="201">
        <f t="shared" si="1"/>
        <v>0</v>
      </c>
      <c r="G93" s="233">
        <v>0.0</v>
      </c>
      <c r="H93" s="202">
        <f t="shared" si="2"/>
        <v>0</v>
      </c>
      <c r="I93" s="214">
        <v>0.0</v>
      </c>
    </row>
    <row r="94">
      <c r="A94" s="51" t="s">
        <v>351</v>
      </c>
      <c r="B94" s="211">
        <v>4.0</v>
      </c>
      <c r="C94" s="233">
        <v>12.0</v>
      </c>
      <c r="D94" s="211">
        <v>0.0</v>
      </c>
      <c r="E94" s="233">
        <v>0.0</v>
      </c>
      <c r="F94" s="201">
        <f t="shared" si="1"/>
        <v>0</v>
      </c>
      <c r="G94" s="233">
        <v>0.0</v>
      </c>
      <c r="H94" s="202">
        <f t="shared" si="2"/>
        <v>0</v>
      </c>
      <c r="I94" s="214">
        <v>0.0</v>
      </c>
    </row>
    <row r="95">
      <c r="A95" s="51" t="s">
        <v>393</v>
      </c>
      <c r="B95" s="211">
        <v>4.0</v>
      </c>
      <c r="C95" s="233">
        <v>12.0</v>
      </c>
      <c r="D95" s="211">
        <v>3.0</v>
      </c>
      <c r="E95" s="233">
        <v>0.0</v>
      </c>
      <c r="F95" s="201">
        <f t="shared" si="1"/>
        <v>0</v>
      </c>
      <c r="G95" s="233">
        <v>0.0</v>
      </c>
      <c r="H95" s="202">
        <f t="shared" si="2"/>
        <v>0</v>
      </c>
      <c r="I95" s="214">
        <v>0.0</v>
      </c>
    </row>
    <row r="96">
      <c r="A96" s="51" t="s">
        <v>398</v>
      </c>
      <c r="B96" s="211">
        <v>1.0</v>
      </c>
      <c r="C96" s="233">
        <v>3.0</v>
      </c>
      <c r="D96" s="211">
        <v>0.0</v>
      </c>
      <c r="E96" s="233">
        <v>0.0</v>
      </c>
      <c r="F96" s="201">
        <f t="shared" si="1"/>
        <v>0</v>
      </c>
      <c r="G96" s="233">
        <v>0.0</v>
      </c>
      <c r="H96" s="202">
        <f t="shared" si="2"/>
        <v>0</v>
      </c>
      <c r="I96" s="214">
        <v>0.0</v>
      </c>
    </row>
    <row r="97">
      <c r="A97" s="51" t="s">
        <v>376</v>
      </c>
      <c r="B97" s="211">
        <v>1.0</v>
      </c>
      <c r="C97" s="233">
        <v>3.0</v>
      </c>
      <c r="D97" s="211">
        <v>0.0</v>
      </c>
      <c r="E97" s="233">
        <v>0.0</v>
      </c>
      <c r="F97" s="201">
        <f t="shared" si="1"/>
        <v>0</v>
      </c>
      <c r="G97" s="233">
        <v>0.0</v>
      </c>
      <c r="H97" s="202">
        <f t="shared" si="2"/>
        <v>0</v>
      </c>
      <c r="I97" s="214">
        <v>0.0</v>
      </c>
    </row>
    <row r="98">
      <c r="A98" s="51" t="s">
        <v>299</v>
      </c>
      <c r="B98" s="211">
        <v>4.0</v>
      </c>
      <c r="C98" s="233">
        <v>12.0</v>
      </c>
      <c r="D98" s="211">
        <v>1.0</v>
      </c>
      <c r="E98" s="233">
        <v>0.0</v>
      </c>
      <c r="F98" s="201">
        <f t="shared" si="1"/>
        <v>0</v>
      </c>
      <c r="G98" s="233">
        <v>0.0</v>
      </c>
      <c r="H98" s="202">
        <f t="shared" si="2"/>
        <v>0</v>
      </c>
      <c r="I98" s="214">
        <v>0.0</v>
      </c>
    </row>
    <row r="99">
      <c r="A99" s="51" t="s">
        <v>372</v>
      </c>
      <c r="B99" s="211">
        <v>4.0</v>
      </c>
      <c r="C99" s="233">
        <v>12.0</v>
      </c>
      <c r="D99" s="211">
        <v>0.0</v>
      </c>
      <c r="E99" s="233">
        <v>0.0</v>
      </c>
      <c r="F99" s="201">
        <f t="shared" si="1"/>
        <v>0</v>
      </c>
      <c r="G99" s="233">
        <v>0.0</v>
      </c>
      <c r="H99" s="202">
        <f t="shared" si="2"/>
        <v>0</v>
      </c>
      <c r="I99" s="214">
        <v>0.0</v>
      </c>
    </row>
    <row r="100">
      <c r="A100" s="51" t="s">
        <v>333</v>
      </c>
      <c r="B100" s="211">
        <v>2.0</v>
      </c>
      <c r="C100" s="233">
        <v>6.0</v>
      </c>
      <c r="D100" s="211">
        <v>0.0</v>
      </c>
      <c r="E100" s="233">
        <v>0.0</v>
      </c>
      <c r="F100" s="201">
        <f t="shared" si="1"/>
        <v>0</v>
      </c>
      <c r="G100" s="233">
        <v>0.0</v>
      </c>
      <c r="H100" s="202">
        <f t="shared" si="2"/>
        <v>0</v>
      </c>
      <c r="I100" s="214">
        <v>0.0</v>
      </c>
    </row>
    <row r="101">
      <c r="A101" s="51" t="s">
        <v>387</v>
      </c>
      <c r="B101" s="211">
        <v>3.0</v>
      </c>
      <c r="C101" s="233">
        <v>8.0</v>
      </c>
      <c r="D101" s="211">
        <v>0.0</v>
      </c>
      <c r="E101" s="233">
        <v>0.0</v>
      </c>
      <c r="F101" s="201">
        <f t="shared" si="1"/>
        <v>0</v>
      </c>
      <c r="G101" s="233">
        <v>0.0</v>
      </c>
      <c r="H101" s="202">
        <f t="shared" si="2"/>
        <v>0</v>
      </c>
      <c r="I101" s="214">
        <v>0.0</v>
      </c>
    </row>
    <row r="102">
      <c r="A102" s="51" t="s">
        <v>339</v>
      </c>
      <c r="B102" s="211">
        <v>1.0</v>
      </c>
      <c r="C102" s="233">
        <v>3.0</v>
      </c>
      <c r="D102" s="211">
        <v>0.0</v>
      </c>
      <c r="E102" s="233">
        <v>0.0</v>
      </c>
      <c r="F102" s="201">
        <f t="shared" si="1"/>
        <v>0</v>
      </c>
      <c r="G102" s="233">
        <v>0.0</v>
      </c>
      <c r="H102" s="202">
        <f t="shared" si="2"/>
        <v>0</v>
      </c>
      <c r="I102" s="214">
        <v>0.0</v>
      </c>
    </row>
    <row r="103">
      <c r="A103" s="51" t="s">
        <v>385</v>
      </c>
      <c r="B103" s="211">
        <v>2.0</v>
      </c>
      <c r="C103" s="233">
        <v>6.0</v>
      </c>
      <c r="D103" s="211">
        <v>0.0</v>
      </c>
      <c r="E103" s="233">
        <v>0.0</v>
      </c>
      <c r="F103" s="201">
        <f t="shared" si="1"/>
        <v>0</v>
      </c>
      <c r="G103" s="233">
        <v>0.0</v>
      </c>
      <c r="H103" s="202">
        <f t="shared" si="2"/>
        <v>0</v>
      </c>
      <c r="I103" s="214">
        <v>0.0</v>
      </c>
    </row>
    <row r="104">
      <c r="A104" s="51" t="s">
        <v>366</v>
      </c>
      <c r="B104" s="211">
        <v>4.0</v>
      </c>
      <c r="C104" s="233">
        <v>12.0</v>
      </c>
      <c r="D104" s="211">
        <v>0.0</v>
      </c>
      <c r="E104" s="233">
        <v>0.0</v>
      </c>
      <c r="F104" s="201">
        <f t="shared" si="1"/>
        <v>0</v>
      </c>
      <c r="G104" s="233">
        <v>0.0</v>
      </c>
      <c r="H104" s="202">
        <f t="shared" si="2"/>
        <v>0</v>
      </c>
      <c r="I104" s="214">
        <v>0.0</v>
      </c>
    </row>
    <row r="105">
      <c r="A105" s="51" t="s">
        <v>331</v>
      </c>
      <c r="B105" s="211">
        <v>2.0</v>
      </c>
      <c r="C105" s="233">
        <v>6.0</v>
      </c>
      <c r="D105" s="211">
        <v>0.0</v>
      </c>
      <c r="E105" s="233">
        <v>0.0</v>
      </c>
      <c r="F105" s="201">
        <f t="shared" si="1"/>
        <v>0</v>
      </c>
      <c r="G105" s="233">
        <v>0.0</v>
      </c>
      <c r="H105" s="202">
        <f t="shared" si="2"/>
        <v>0</v>
      </c>
      <c r="I105" s="214">
        <v>0.0</v>
      </c>
    </row>
    <row r="106">
      <c r="A106" s="51" t="s">
        <v>347</v>
      </c>
      <c r="B106" s="211">
        <v>3.0</v>
      </c>
      <c r="C106" s="233">
        <v>9.0</v>
      </c>
      <c r="D106" s="211">
        <v>0.0</v>
      </c>
      <c r="E106" s="233">
        <v>0.0</v>
      </c>
      <c r="F106" s="201">
        <f t="shared" si="1"/>
        <v>0</v>
      </c>
      <c r="G106" s="233">
        <v>0.0</v>
      </c>
      <c r="H106" s="202">
        <f t="shared" si="2"/>
        <v>0</v>
      </c>
      <c r="I106" s="214">
        <v>0.0</v>
      </c>
    </row>
    <row r="107">
      <c r="A107" s="51" t="s">
        <v>346</v>
      </c>
      <c r="B107" s="211">
        <v>3.0</v>
      </c>
      <c r="C107" s="233">
        <v>9.0</v>
      </c>
      <c r="D107" s="211">
        <v>0.0</v>
      </c>
      <c r="E107" s="233">
        <v>0.0</v>
      </c>
      <c r="F107" s="201">
        <f t="shared" si="1"/>
        <v>0</v>
      </c>
      <c r="G107" s="233">
        <v>0.0</v>
      </c>
      <c r="H107" s="202">
        <f t="shared" si="2"/>
        <v>0</v>
      </c>
      <c r="I107" s="214">
        <v>0.0</v>
      </c>
    </row>
    <row r="108">
      <c r="A108" s="51" t="s">
        <v>295</v>
      </c>
      <c r="B108" s="211">
        <v>1.0</v>
      </c>
      <c r="C108" s="233">
        <v>1.0</v>
      </c>
      <c r="D108" s="211">
        <v>0.0</v>
      </c>
      <c r="E108" s="233">
        <v>0.0</v>
      </c>
      <c r="F108" s="201">
        <f t="shared" si="1"/>
        <v>0</v>
      </c>
      <c r="G108" s="233">
        <v>0.0</v>
      </c>
      <c r="H108" s="202">
        <f t="shared" si="2"/>
        <v>0</v>
      </c>
      <c r="I108" s="214">
        <v>0.0</v>
      </c>
    </row>
    <row r="109">
      <c r="A109" s="51" t="s">
        <v>390</v>
      </c>
      <c r="B109" s="211">
        <v>4.0</v>
      </c>
      <c r="C109" s="233">
        <v>10.0</v>
      </c>
      <c r="D109" s="211">
        <v>0.0</v>
      </c>
      <c r="E109" s="233">
        <v>0.0</v>
      </c>
      <c r="F109" s="201">
        <f t="shared" si="1"/>
        <v>0</v>
      </c>
      <c r="G109" s="233">
        <v>0.0</v>
      </c>
      <c r="H109" s="202">
        <f t="shared" si="2"/>
        <v>0</v>
      </c>
      <c r="I109" s="214">
        <v>0.0</v>
      </c>
    </row>
    <row r="110">
      <c r="A110" s="51" t="s">
        <v>377</v>
      </c>
      <c r="B110" s="211">
        <v>1.0</v>
      </c>
      <c r="C110" s="233">
        <v>3.0</v>
      </c>
      <c r="D110" s="211">
        <v>0.0</v>
      </c>
      <c r="E110" s="233">
        <v>0.0</v>
      </c>
      <c r="F110" s="201">
        <f t="shared" si="1"/>
        <v>0</v>
      </c>
      <c r="G110" s="233">
        <v>0.0</v>
      </c>
      <c r="H110" s="202">
        <f t="shared" si="2"/>
        <v>0</v>
      </c>
      <c r="I110" s="214">
        <v>0.0</v>
      </c>
    </row>
    <row r="111">
      <c r="A111" s="51" t="s">
        <v>353</v>
      </c>
      <c r="B111" s="211">
        <v>2.0</v>
      </c>
      <c r="C111" s="233">
        <v>6.0</v>
      </c>
      <c r="D111" s="211">
        <v>0.0</v>
      </c>
      <c r="E111" s="233">
        <v>0.0</v>
      </c>
      <c r="F111" s="201">
        <f t="shared" si="1"/>
        <v>0</v>
      </c>
      <c r="G111" s="233">
        <v>0.0</v>
      </c>
      <c r="H111" s="202">
        <f t="shared" si="2"/>
        <v>0</v>
      </c>
      <c r="I111" s="214">
        <v>0.0</v>
      </c>
    </row>
    <row r="112">
      <c r="A112" s="51" t="s">
        <v>406</v>
      </c>
      <c r="B112" s="211">
        <v>1.0</v>
      </c>
      <c r="C112" s="233">
        <v>3.0</v>
      </c>
      <c r="D112" s="211">
        <v>0.0</v>
      </c>
      <c r="E112" s="233">
        <v>0.0</v>
      </c>
      <c r="F112" s="201">
        <f t="shared" si="1"/>
        <v>0</v>
      </c>
      <c r="G112" s="233">
        <v>0.0</v>
      </c>
      <c r="H112" s="202">
        <f t="shared" si="2"/>
        <v>0</v>
      </c>
      <c r="I112" s="214">
        <v>0.0</v>
      </c>
    </row>
    <row r="113">
      <c r="A113" s="51" t="s">
        <v>309</v>
      </c>
      <c r="B113" s="211">
        <v>2.0</v>
      </c>
      <c r="C113" s="233">
        <v>6.0</v>
      </c>
      <c r="D113" s="211">
        <v>0.0</v>
      </c>
      <c r="E113" s="233">
        <v>0.0</v>
      </c>
      <c r="F113" s="201">
        <f t="shared" si="1"/>
        <v>0</v>
      </c>
      <c r="G113" s="233">
        <v>0.0</v>
      </c>
      <c r="H113" s="202">
        <f t="shared" si="2"/>
        <v>0</v>
      </c>
      <c r="I113" s="214">
        <v>0.0</v>
      </c>
    </row>
    <row r="114">
      <c r="A114" s="51" t="s">
        <v>348</v>
      </c>
      <c r="B114" s="211">
        <v>2.0</v>
      </c>
      <c r="C114" s="233">
        <v>7.0</v>
      </c>
      <c r="D114" s="211">
        <v>0.0</v>
      </c>
      <c r="E114" s="233">
        <v>0.0</v>
      </c>
      <c r="F114" s="201">
        <f t="shared" si="1"/>
        <v>0</v>
      </c>
      <c r="G114" s="233">
        <v>0.0</v>
      </c>
      <c r="H114" s="202">
        <f t="shared" si="2"/>
        <v>0</v>
      </c>
      <c r="I114" s="214">
        <v>0.0</v>
      </c>
    </row>
    <row r="115">
      <c r="A115" s="51" t="s">
        <v>314</v>
      </c>
      <c r="B115" s="211">
        <v>2.0</v>
      </c>
      <c r="C115" s="233">
        <v>6.0</v>
      </c>
      <c r="D115" s="211">
        <v>0.0</v>
      </c>
      <c r="E115" s="233">
        <v>0.0</v>
      </c>
      <c r="F115" s="201">
        <f t="shared" si="1"/>
        <v>0</v>
      </c>
      <c r="G115" s="233">
        <v>0.0</v>
      </c>
      <c r="H115" s="202">
        <f t="shared" si="2"/>
        <v>0</v>
      </c>
      <c r="I115" s="214">
        <v>0.0</v>
      </c>
    </row>
    <row r="116">
      <c r="A116" s="51" t="s">
        <v>397</v>
      </c>
      <c r="B116" s="211">
        <v>2.0</v>
      </c>
      <c r="C116" s="233">
        <v>6.0</v>
      </c>
      <c r="D116" s="211">
        <v>0.0</v>
      </c>
      <c r="E116" s="233">
        <v>0.0</v>
      </c>
      <c r="F116" s="201">
        <f t="shared" si="1"/>
        <v>0</v>
      </c>
      <c r="G116" s="233">
        <v>0.0</v>
      </c>
      <c r="H116" s="202">
        <f t="shared" si="2"/>
        <v>0</v>
      </c>
      <c r="I116" s="214">
        <v>0.0</v>
      </c>
    </row>
    <row r="117">
      <c r="A117" s="51" t="s">
        <v>399</v>
      </c>
      <c r="B117" s="211">
        <v>1.0</v>
      </c>
      <c r="C117" s="233">
        <v>4.0</v>
      </c>
      <c r="D117" s="211">
        <v>0.0</v>
      </c>
      <c r="E117" s="233">
        <v>0.0</v>
      </c>
      <c r="F117" s="201">
        <f t="shared" si="1"/>
        <v>0</v>
      </c>
      <c r="G117" s="233">
        <v>0.0</v>
      </c>
      <c r="H117" s="202">
        <f t="shared" si="2"/>
        <v>0</v>
      </c>
      <c r="I117" s="214">
        <v>0.0</v>
      </c>
    </row>
    <row r="118">
      <c r="A118" s="51" t="s">
        <v>360</v>
      </c>
      <c r="B118" s="211">
        <v>1.0</v>
      </c>
      <c r="C118" s="233">
        <v>3.0</v>
      </c>
      <c r="D118" s="211">
        <v>0.0</v>
      </c>
      <c r="E118" s="233">
        <v>0.0</v>
      </c>
      <c r="F118" s="201">
        <f t="shared" si="1"/>
        <v>0</v>
      </c>
      <c r="G118" s="233">
        <v>0.0</v>
      </c>
      <c r="H118" s="202">
        <f t="shared" si="2"/>
        <v>0</v>
      </c>
      <c r="I118" s="214">
        <v>0.0</v>
      </c>
    </row>
    <row r="119">
      <c r="A119" s="51" t="s">
        <v>365</v>
      </c>
      <c r="B119" s="211">
        <v>4.0</v>
      </c>
      <c r="C119" s="233">
        <v>13.0</v>
      </c>
      <c r="D119" s="211">
        <v>4.0</v>
      </c>
      <c r="E119" s="233">
        <v>-1.0</v>
      </c>
      <c r="F119" s="201">
        <f t="shared" si="1"/>
        <v>-0.9230769231</v>
      </c>
      <c r="G119" s="233">
        <v>0.5</v>
      </c>
      <c r="H119" s="202">
        <f t="shared" si="2"/>
        <v>2</v>
      </c>
      <c r="I119" s="214">
        <v>0.25</v>
      </c>
    </row>
    <row r="120">
      <c r="A120" s="51" t="s">
        <v>296</v>
      </c>
      <c r="B120" s="211">
        <v>4.0</v>
      </c>
      <c r="C120" s="233">
        <v>13.0</v>
      </c>
      <c r="D120" s="211">
        <v>1.0</v>
      </c>
      <c r="E120" s="233">
        <v>-1.0</v>
      </c>
      <c r="F120" s="201">
        <f t="shared" si="1"/>
        <v>-0.9230769231</v>
      </c>
      <c r="G120" s="233">
        <v>0.25</v>
      </c>
      <c r="H120" s="202">
        <f t="shared" si="2"/>
        <v>1</v>
      </c>
      <c r="I120" s="214">
        <v>0.0</v>
      </c>
    </row>
    <row r="121">
      <c r="A121" s="51" t="s">
        <v>356</v>
      </c>
      <c r="B121" s="211">
        <v>4.0</v>
      </c>
      <c r="C121" s="233">
        <v>12.0</v>
      </c>
      <c r="D121" s="211">
        <v>3.0</v>
      </c>
      <c r="E121" s="233">
        <v>-1.0</v>
      </c>
      <c r="F121" s="201">
        <f t="shared" si="1"/>
        <v>-1</v>
      </c>
      <c r="G121" s="233">
        <v>0.5</v>
      </c>
      <c r="H121" s="202">
        <f t="shared" si="2"/>
        <v>2</v>
      </c>
      <c r="I121" s="214">
        <v>0.333</v>
      </c>
    </row>
    <row r="122">
      <c r="A122" s="51" t="s">
        <v>282</v>
      </c>
      <c r="B122" s="211">
        <v>4.0</v>
      </c>
      <c r="C122" s="233">
        <v>12.0</v>
      </c>
      <c r="D122" s="211">
        <v>1.0</v>
      </c>
      <c r="E122" s="233">
        <v>-1.0</v>
      </c>
      <c r="F122" s="201">
        <f t="shared" si="1"/>
        <v>-1</v>
      </c>
      <c r="G122" s="233">
        <v>0.25</v>
      </c>
      <c r="H122" s="202">
        <f t="shared" si="2"/>
        <v>1</v>
      </c>
      <c r="I122" s="214">
        <v>0.0</v>
      </c>
    </row>
    <row r="123">
      <c r="A123" s="51" t="s">
        <v>363</v>
      </c>
      <c r="B123" s="211">
        <v>4.0</v>
      </c>
      <c r="C123" s="233">
        <v>12.0</v>
      </c>
      <c r="D123" s="211">
        <v>1.0</v>
      </c>
      <c r="E123" s="233">
        <v>-1.0</v>
      </c>
      <c r="F123" s="201">
        <f t="shared" si="1"/>
        <v>-1</v>
      </c>
      <c r="G123" s="233">
        <v>0.25</v>
      </c>
      <c r="H123" s="202">
        <f t="shared" si="2"/>
        <v>1</v>
      </c>
      <c r="I123" s="214">
        <v>0.0</v>
      </c>
    </row>
    <row r="124">
      <c r="A124" s="51" t="s">
        <v>288</v>
      </c>
      <c r="B124" s="211">
        <v>3.0</v>
      </c>
      <c r="C124" s="233">
        <v>9.0</v>
      </c>
      <c r="D124" s="211">
        <v>1.0</v>
      </c>
      <c r="E124" s="233">
        <v>-1.33</v>
      </c>
      <c r="F124" s="201">
        <f t="shared" si="1"/>
        <v>-1.33</v>
      </c>
      <c r="G124" s="233">
        <v>0.33</v>
      </c>
      <c r="H124" s="202">
        <f t="shared" si="2"/>
        <v>0.99</v>
      </c>
      <c r="I124" s="214">
        <v>0.0</v>
      </c>
    </row>
    <row r="125">
      <c r="A125" s="51" t="s">
        <v>342</v>
      </c>
      <c r="B125" s="211">
        <v>3.0</v>
      </c>
      <c r="C125" s="233">
        <v>9.0</v>
      </c>
      <c r="D125" s="211">
        <v>1.0</v>
      </c>
      <c r="E125" s="233">
        <v>-1.33</v>
      </c>
      <c r="F125" s="201">
        <f t="shared" si="1"/>
        <v>-1.33</v>
      </c>
      <c r="G125" s="233">
        <v>0.33</v>
      </c>
      <c r="H125" s="202">
        <f t="shared" si="2"/>
        <v>0.99</v>
      </c>
      <c r="I125" s="214">
        <v>0.0</v>
      </c>
    </row>
    <row r="126">
      <c r="A126" s="51" t="s">
        <v>272</v>
      </c>
      <c r="B126" s="211">
        <v>4.0</v>
      </c>
      <c r="C126" s="233">
        <v>12.0</v>
      </c>
      <c r="D126" s="211">
        <v>3.0</v>
      </c>
      <c r="E126" s="233">
        <v>-2.0</v>
      </c>
      <c r="F126" s="201">
        <f t="shared" si="1"/>
        <v>-2</v>
      </c>
      <c r="G126" s="233">
        <v>0.5</v>
      </c>
      <c r="H126" s="202">
        <f t="shared" si="2"/>
        <v>2</v>
      </c>
      <c r="I126" s="214">
        <v>0.0</v>
      </c>
    </row>
    <row r="127">
      <c r="A127" s="51" t="s">
        <v>362</v>
      </c>
      <c r="B127" s="211">
        <v>2.0</v>
      </c>
      <c r="C127" s="233">
        <v>6.0</v>
      </c>
      <c r="D127" s="211">
        <v>1.0</v>
      </c>
      <c r="E127" s="233">
        <v>-2.0</v>
      </c>
      <c r="F127" s="201">
        <f t="shared" si="1"/>
        <v>-2</v>
      </c>
      <c r="G127" s="233">
        <v>0.5</v>
      </c>
      <c r="H127" s="202">
        <f t="shared" si="2"/>
        <v>1</v>
      </c>
      <c r="I127" s="214">
        <v>0.0</v>
      </c>
    </row>
    <row r="128">
      <c r="A128" s="234"/>
      <c r="B128" s="214"/>
      <c r="C128" s="235"/>
      <c r="D128" s="214"/>
      <c r="E128" s="235"/>
      <c r="F128" s="201"/>
      <c r="G128" s="235"/>
      <c r="H128" s="202"/>
      <c r="I128" s="214"/>
    </row>
    <row r="129">
      <c r="A129" s="234"/>
      <c r="B129" s="214"/>
      <c r="C129" s="235"/>
      <c r="D129" s="214"/>
      <c r="E129" s="235"/>
      <c r="F129" s="201"/>
      <c r="G129" s="235"/>
      <c r="H129" s="202"/>
      <c r="I129" s="214"/>
    </row>
    <row r="130">
      <c r="A130" s="234"/>
      <c r="B130" s="214"/>
      <c r="C130" s="235"/>
      <c r="D130" s="214"/>
      <c r="E130" s="235"/>
      <c r="F130" s="201"/>
      <c r="G130" s="235"/>
      <c r="H130" s="202"/>
      <c r="I130" s="214"/>
    </row>
    <row r="131">
      <c r="A131" s="234"/>
      <c r="B131" s="214"/>
      <c r="C131" s="235"/>
      <c r="D131" s="214"/>
      <c r="E131" s="235"/>
      <c r="F131" s="201"/>
      <c r="G131" s="235"/>
      <c r="H131" s="202"/>
      <c r="I131" s="214"/>
    </row>
    <row r="132">
      <c r="A132" s="234"/>
      <c r="B132" s="214"/>
      <c r="C132" s="235"/>
      <c r="D132" s="214"/>
      <c r="E132" s="235"/>
      <c r="F132" s="201"/>
      <c r="G132" s="235"/>
      <c r="H132" s="202"/>
      <c r="I132" s="214"/>
    </row>
    <row r="133">
      <c r="A133" s="236"/>
      <c r="B133" s="214"/>
      <c r="C133" s="237"/>
      <c r="D133" s="214"/>
      <c r="E133" s="237"/>
      <c r="F133" s="201"/>
      <c r="G133" s="237"/>
      <c r="H133" s="202"/>
      <c r="I133" s="214"/>
    </row>
    <row r="134">
      <c r="A134" s="236"/>
      <c r="B134" s="214"/>
      <c r="C134" s="237"/>
      <c r="D134" s="214"/>
      <c r="E134" s="237"/>
      <c r="F134" s="201"/>
      <c r="G134" s="237"/>
      <c r="H134" s="202"/>
      <c r="I134" s="214"/>
    </row>
    <row r="135">
      <c r="A135" s="236"/>
      <c r="B135" s="214"/>
      <c r="C135" s="237"/>
      <c r="D135" s="214"/>
      <c r="E135" s="237"/>
      <c r="F135" s="201"/>
      <c r="G135" s="237"/>
      <c r="H135" s="202"/>
      <c r="I135" s="214"/>
    </row>
    <row r="136">
      <c r="A136" s="236"/>
      <c r="B136" s="214"/>
      <c r="C136" s="237"/>
      <c r="D136" s="214"/>
      <c r="E136" s="237"/>
      <c r="F136" s="201"/>
      <c r="G136" s="237"/>
      <c r="H136" s="202"/>
      <c r="I136" s="214"/>
    </row>
    <row r="137">
      <c r="A137" s="236"/>
      <c r="B137" s="214"/>
      <c r="C137" s="237"/>
      <c r="D137" s="214"/>
      <c r="E137" s="237"/>
      <c r="F137" s="201"/>
      <c r="G137" s="237"/>
      <c r="H137" s="202"/>
      <c r="I137" s="214"/>
    </row>
    <row r="138">
      <c r="A138" s="236"/>
      <c r="B138" s="214"/>
      <c r="C138" s="237"/>
      <c r="D138" s="214"/>
      <c r="E138" s="237"/>
      <c r="F138" s="201"/>
      <c r="G138" s="237"/>
      <c r="H138" s="202"/>
      <c r="I138" s="214"/>
    </row>
    <row r="139">
      <c r="A139" s="236"/>
      <c r="B139" s="214"/>
      <c r="C139" s="237"/>
      <c r="D139" s="214"/>
      <c r="E139" s="237"/>
      <c r="F139" s="201"/>
      <c r="G139" s="237"/>
      <c r="H139" s="202"/>
      <c r="I139" s="214"/>
    </row>
  </sheetData>
  <hyperlinks>
    <hyperlink display="Catstats Hub" location="'Catstats Hub'!A1" ref="A1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88"/>
  </cols>
  <sheetData>
    <row r="1">
      <c r="A1" s="193" t="s">
        <v>263</v>
      </c>
      <c r="B1" s="194" t="s">
        <v>264</v>
      </c>
      <c r="C1" s="195" t="s">
        <v>265</v>
      </c>
      <c r="D1" s="238" t="s">
        <v>266</v>
      </c>
      <c r="E1" s="195" t="s">
        <v>267</v>
      </c>
      <c r="F1" s="196" t="s">
        <v>268</v>
      </c>
      <c r="G1" s="195" t="s">
        <v>269</v>
      </c>
      <c r="H1" s="197" t="s">
        <v>270</v>
      </c>
      <c r="I1" s="198" t="s">
        <v>271</v>
      </c>
    </row>
    <row r="2">
      <c r="A2" s="51" t="s">
        <v>303</v>
      </c>
      <c r="B2" s="199">
        <v>4.0</v>
      </c>
      <c r="C2" s="200">
        <v>16.0</v>
      </c>
      <c r="D2" s="239">
        <v>14.0</v>
      </c>
      <c r="E2" s="200">
        <v>11.0</v>
      </c>
      <c r="F2" s="201">
        <f t="shared" ref="F2:F127" si="1">E2*B2*4/C2</f>
        <v>11</v>
      </c>
      <c r="G2" s="200">
        <v>0.25</v>
      </c>
      <c r="H2" s="202">
        <f t="shared" ref="H2:H127" si="2">G2*B2</f>
        <v>1</v>
      </c>
      <c r="I2" s="203">
        <v>0.857</v>
      </c>
    </row>
    <row r="3">
      <c r="A3" s="51" t="s">
        <v>293</v>
      </c>
      <c r="B3" s="199">
        <v>4.0</v>
      </c>
      <c r="C3" s="200">
        <v>16.0</v>
      </c>
      <c r="D3" s="239">
        <v>13.0</v>
      </c>
      <c r="E3" s="200">
        <v>9.0</v>
      </c>
      <c r="F3" s="201">
        <f t="shared" si="1"/>
        <v>9</v>
      </c>
      <c r="G3" s="200">
        <v>0.25</v>
      </c>
      <c r="H3" s="202">
        <f t="shared" si="2"/>
        <v>1</v>
      </c>
      <c r="I3" s="203">
        <v>0.769</v>
      </c>
    </row>
    <row r="4">
      <c r="A4" s="51" t="s">
        <v>334</v>
      </c>
      <c r="B4" s="199">
        <v>4.0</v>
      </c>
      <c r="C4" s="200">
        <v>16.0</v>
      </c>
      <c r="D4" s="239">
        <v>11.0</v>
      </c>
      <c r="E4" s="200">
        <v>7.0</v>
      </c>
      <c r="F4" s="201">
        <f t="shared" si="1"/>
        <v>7</v>
      </c>
      <c r="G4" s="200">
        <v>0.25</v>
      </c>
      <c r="H4" s="202">
        <f t="shared" si="2"/>
        <v>1</v>
      </c>
      <c r="I4" s="203">
        <v>0.727</v>
      </c>
    </row>
    <row r="5">
      <c r="A5" s="51" t="s">
        <v>315</v>
      </c>
      <c r="B5" s="199">
        <v>4.0</v>
      </c>
      <c r="C5" s="200">
        <v>16.0</v>
      </c>
      <c r="D5" s="239">
        <v>8.0</v>
      </c>
      <c r="E5" s="200">
        <v>6.0</v>
      </c>
      <c r="F5" s="201">
        <f t="shared" si="1"/>
        <v>6</v>
      </c>
      <c r="G5" s="200">
        <v>0.0</v>
      </c>
      <c r="H5" s="202">
        <f t="shared" si="2"/>
        <v>0</v>
      </c>
      <c r="I5" s="203">
        <v>0.75</v>
      </c>
    </row>
    <row r="6">
      <c r="A6" s="51" t="s">
        <v>371</v>
      </c>
      <c r="B6" s="199">
        <v>3.0</v>
      </c>
      <c r="C6" s="200">
        <v>12.0</v>
      </c>
      <c r="D6" s="239">
        <v>5.0</v>
      </c>
      <c r="E6" s="200">
        <v>5.33</v>
      </c>
      <c r="F6" s="201">
        <f t="shared" si="1"/>
        <v>5.33</v>
      </c>
      <c r="G6" s="200">
        <v>0.0</v>
      </c>
      <c r="H6" s="202">
        <f t="shared" si="2"/>
        <v>0</v>
      </c>
      <c r="I6" s="203">
        <v>0.8</v>
      </c>
    </row>
    <row r="7">
      <c r="A7" s="51" t="s">
        <v>274</v>
      </c>
      <c r="B7" s="199">
        <v>4.0</v>
      </c>
      <c r="C7" s="200">
        <v>16.0</v>
      </c>
      <c r="D7" s="239">
        <v>8.0</v>
      </c>
      <c r="E7" s="200">
        <v>5.0</v>
      </c>
      <c r="F7" s="201">
        <f t="shared" si="1"/>
        <v>5</v>
      </c>
      <c r="G7" s="200">
        <v>0.25</v>
      </c>
      <c r="H7" s="202">
        <f t="shared" si="2"/>
        <v>1</v>
      </c>
      <c r="I7" s="203">
        <v>0.75</v>
      </c>
    </row>
    <row r="8">
      <c r="A8" s="51" t="s">
        <v>322</v>
      </c>
      <c r="B8" s="199">
        <v>4.0</v>
      </c>
      <c r="C8" s="200">
        <v>16.0</v>
      </c>
      <c r="D8" s="239">
        <v>6.0</v>
      </c>
      <c r="E8" s="200">
        <v>5.0</v>
      </c>
      <c r="F8" s="201">
        <f t="shared" si="1"/>
        <v>5</v>
      </c>
      <c r="G8" s="200">
        <v>0.0</v>
      </c>
      <c r="H8" s="202">
        <f t="shared" si="2"/>
        <v>0</v>
      </c>
      <c r="I8" s="203">
        <v>0.833</v>
      </c>
    </row>
    <row r="9">
      <c r="A9" s="51" t="s">
        <v>275</v>
      </c>
      <c r="B9" s="199">
        <v>4.0</v>
      </c>
      <c r="C9" s="200">
        <v>16.0</v>
      </c>
      <c r="D9" s="239">
        <v>6.0</v>
      </c>
      <c r="E9" s="200">
        <v>5.0</v>
      </c>
      <c r="F9" s="201">
        <f t="shared" si="1"/>
        <v>5</v>
      </c>
      <c r="G9" s="200">
        <v>0.0</v>
      </c>
      <c r="H9" s="202">
        <f t="shared" si="2"/>
        <v>0</v>
      </c>
      <c r="I9" s="203">
        <v>0.833</v>
      </c>
    </row>
    <row r="10">
      <c r="A10" s="51" t="s">
        <v>299</v>
      </c>
      <c r="B10" s="199">
        <v>4.0</v>
      </c>
      <c r="C10" s="200">
        <v>16.0</v>
      </c>
      <c r="D10" s="239">
        <v>5.0</v>
      </c>
      <c r="E10" s="200">
        <v>5.0</v>
      </c>
      <c r="F10" s="201">
        <f t="shared" si="1"/>
        <v>5</v>
      </c>
      <c r="G10" s="200">
        <v>0.0</v>
      </c>
      <c r="H10" s="202">
        <f t="shared" si="2"/>
        <v>0</v>
      </c>
      <c r="I10" s="203">
        <v>1.0</v>
      </c>
    </row>
    <row r="11">
      <c r="A11" s="51" t="s">
        <v>280</v>
      </c>
      <c r="B11" s="199">
        <v>4.0</v>
      </c>
      <c r="C11" s="200">
        <v>16.0</v>
      </c>
      <c r="D11" s="239">
        <v>12.0</v>
      </c>
      <c r="E11" s="200">
        <v>4.0</v>
      </c>
      <c r="F11" s="201">
        <f t="shared" si="1"/>
        <v>4</v>
      </c>
      <c r="G11" s="200">
        <v>0.75</v>
      </c>
      <c r="H11" s="202">
        <f t="shared" si="2"/>
        <v>3</v>
      </c>
      <c r="I11" s="203">
        <v>0.583</v>
      </c>
    </row>
    <row r="12">
      <c r="A12" s="51" t="s">
        <v>372</v>
      </c>
      <c r="B12" s="199">
        <v>4.0</v>
      </c>
      <c r="C12" s="200">
        <v>15.0</v>
      </c>
      <c r="D12" s="239">
        <v>5.0</v>
      </c>
      <c r="E12" s="200">
        <v>3.0</v>
      </c>
      <c r="F12" s="201">
        <f t="shared" si="1"/>
        <v>3.2</v>
      </c>
      <c r="G12" s="200">
        <v>0.0</v>
      </c>
      <c r="H12" s="202">
        <f t="shared" si="2"/>
        <v>0</v>
      </c>
      <c r="I12" s="203">
        <v>0.6</v>
      </c>
    </row>
    <row r="13">
      <c r="A13" s="51" t="s">
        <v>283</v>
      </c>
      <c r="B13" s="199">
        <v>4.0</v>
      </c>
      <c r="C13" s="200">
        <v>16.0</v>
      </c>
      <c r="D13" s="239">
        <v>9.0</v>
      </c>
      <c r="E13" s="200">
        <v>3.0</v>
      </c>
      <c r="F13" s="201">
        <f t="shared" si="1"/>
        <v>3</v>
      </c>
      <c r="G13" s="200">
        <v>0.25</v>
      </c>
      <c r="H13" s="202">
        <f t="shared" si="2"/>
        <v>1</v>
      </c>
      <c r="I13" s="203">
        <v>0.444</v>
      </c>
    </row>
    <row r="14">
      <c r="A14" s="51" t="s">
        <v>300</v>
      </c>
      <c r="B14" s="199">
        <v>4.0</v>
      </c>
      <c r="C14" s="200">
        <v>16.0</v>
      </c>
      <c r="D14" s="239">
        <v>5.0</v>
      </c>
      <c r="E14" s="200">
        <v>3.0</v>
      </c>
      <c r="F14" s="201">
        <f t="shared" si="1"/>
        <v>3</v>
      </c>
      <c r="G14" s="200">
        <v>0.0</v>
      </c>
      <c r="H14" s="202">
        <f t="shared" si="2"/>
        <v>0</v>
      </c>
      <c r="I14" s="203">
        <v>0.6</v>
      </c>
    </row>
    <row r="15">
      <c r="A15" s="51" t="s">
        <v>344</v>
      </c>
      <c r="B15" s="199">
        <v>4.0</v>
      </c>
      <c r="C15" s="200">
        <v>16.0</v>
      </c>
      <c r="D15" s="239">
        <v>4.0</v>
      </c>
      <c r="E15" s="200">
        <v>3.0</v>
      </c>
      <c r="F15" s="201">
        <f t="shared" si="1"/>
        <v>3</v>
      </c>
      <c r="G15" s="200">
        <v>0.0</v>
      </c>
      <c r="H15" s="202">
        <f t="shared" si="2"/>
        <v>0</v>
      </c>
      <c r="I15" s="203">
        <v>0.75</v>
      </c>
    </row>
    <row r="16">
      <c r="A16" s="51" t="s">
        <v>324</v>
      </c>
      <c r="B16" s="199">
        <v>4.0</v>
      </c>
      <c r="C16" s="200">
        <v>16.0</v>
      </c>
      <c r="D16" s="239">
        <v>12.0</v>
      </c>
      <c r="E16" s="200">
        <v>3.0</v>
      </c>
      <c r="F16" s="201">
        <f t="shared" si="1"/>
        <v>3</v>
      </c>
      <c r="G16" s="200">
        <v>0.25</v>
      </c>
      <c r="H16" s="202">
        <f t="shared" si="2"/>
        <v>1</v>
      </c>
      <c r="I16" s="203">
        <v>0.333</v>
      </c>
    </row>
    <row r="17">
      <c r="A17" s="51" t="s">
        <v>290</v>
      </c>
      <c r="B17" s="199">
        <v>4.0</v>
      </c>
      <c r="C17" s="200">
        <v>16.0</v>
      </c>
      <c r="D17" s="239">
        <v>4.0</v>
      </c>
      <c r="E17" s="200">
        <v>3.0</v>
      </c>
      <c r="F17" s="201">
        <f t="shared" si="1"/>
        <v>3</v>
      </c>
      <c r="G17" s="200">
        <v>0.0</v>
      </c>
      <c r="H17" s="202">
        <f t="shared" si="2"/>
        <v>0</v>
      </c>
      <c r="I17" s="203">
        <v>0.75</v>
      </c>
    </row>
    <row r="18">
      <c r="A18" s="51" t="s">
        <v>370</v>
      </c>
      <c r="B18" s="199">
        <v>4.0</v>
      </c>
      <c r="C18" s="200">
        <v>16.0</v>
      </c>
      <c r="D18" s="239">
        <v>9.0</v>
      </c>
      <c r="E18" s="200">
        <v>3.0</v>
      </c>
      <c r="F18" s="201">
        <f t="shared" si="1"/>
        <v>3</v>
      </c>
      <c r="G18" s="200">
        <v>0.25</v>
      </c>
      <c r="H18" s="202">
        <f t="shared" si="2"/>
        <v>1</v>
      </c>
      <c r="I18" s="203">
        <v>0.444</v>
      </c>
    </row>
    <row r="19">
      <c r="A19" s="51" t="s">
        <v>404</v>
      </c>
      <c r="B19" s="199">
        <v>3.0</v>
      </c>
      <c r="C19" s="200">
        <v>12.0</v>
      </c>
      <c r="D19" s="239">
        <v>8.0</v>
      </c>
      <c r="E19" s="200">
        <v>2.67</v>
      </c>
      <c r="F19" s="201">
        <f t="shared" si="1"/>
        <v>2.67</v>
      </c>
      <c r="G19" s="200">
        <v>1.0</v>
      </c>
      <c r="H19" s="202">
        <f t="shared" si="2"/>
        <v>3</v>
      </c>
      <c r="I19" s="203">
        <v>0.625</v>
      </c>
    </row>
    <row r="20">
      <c r="A20" s="51" t="s">
        <v>278</v>
      </c>
      <c r="B20" s="199">
        <v>3.0</v>
      </c>
      <c r="C20" s="200">
        <v>12.0</v>
      </c>
      <c r="D20" s="239">
        <v>4.0</v>
      </c>
      <c r="E20" s="200">
        <v>2.67</v>
      </c>
      <c r="F20" s="201">
        <f t="shared" si="1"/>
        <v>2.67</v>
      </c>
      <c r="G20" s="200">
        <v>0.0</v>
      </c>
      <c r="H20" s="202">
        <f t="shared" si="2"/>
        <v>0</v>
      </c>
      <c r="I20" s="203">
        <v>0.5</v>
      </c>
    </row>
    <row r="21">
      <c r="A21" s="51" t="s">
        <v>346</v>
      </c>
      <c r="B21" s="199">
        <v>3.0</v>
      </c>
      <c r="C21" s="200">
        <v>12.0</v>
      </c>
      <c r="D21" s="239">
        <v>6.0</v>
      </c>
      <c r="E21" s="200">
        <v>2.67</v>
      </c>
      <c r="F21" s="201">
        <f t="shared" si="1"/>
        <v>2.67</v>
      </c>
      <c r="G21" s="200">
        <v>0.33</v>
      </c>
      <c r="H21" s="202">
        <f t="shared" si="2"/>
        <v>0.99</v>
      </c>
      <c r="I21" s="203">
        <v>0.5</v>
      </c>
    </row>
    <row r="22">
      <c r="A22" s="51" t="s">
        <v>286</v>
      </c>
      <c r="B22" s="199">
        <v>4.0</v>
      </c>
      <c r="C22" s="200">
        <v>16.0</v>
      </c>
      <c r="D22" s="239">
        <v>3.0</v>
      </c>
      <c r="E22" s="200">
        <v>2.0</v>
      </c>
      <c r="F22" s="201">
        <f t="shared" si="1"/>
        <v>2</v>
      </c>
      <c r="G22" s="200">
        <v>0.0</v>
      </c>
      <c r="H22" s="202">
        <f t="shared" si="2"/>
        <v>0</v>
      </c>
      <c r="I22" s="203">
        <v>0.667</v>
      </c>
    </row>
    <row r="23">
      <c r="A23" s="51" t="s">
        <v>282</v>
      </c>
      <c r="B23" s="199">
        <v>4.0</v>
      </c>
      <c r="C23" s="200">
        <v>16.0</v>
      </c>
      <c r="D23" s="239">
        <v>2.0</v>
      </c>
      <c r="E23" s="200">
        <v>2.0</v>
      </c>
      <c r="F23" s="201">
        <f t="shared" si="1"/>
        <v>2</v>
      </c>
      <c r="G23" s="200">
        <v>0.0</v>
      </c>
      <c r="H23" s="202">
        <f t="shared" si="2"/>
        <v>0</v>
      </c>
      <c r="I23" s="203">
        <v>1.0</v>
      </c>
    </row>
    <row r="24">
      <c r="A24" s="51" t="s">
        <v>327</v>
      </c>
      <c r="B24" s="199">
        <v>4.0</v>
      </c>
      <c r="C24" s="200">
        <v>16.0</v>
      </c>
      <c r="D24" s="239">
        <v>7.0</v>
      </c>
      <c r="E24" s="200">
        <v>2.0</v>
      </c>
      <c r="F24" s="201">
        <f t="shared" si="1"/>
        <v>2</v>
      </c>
      <c r="G24" s="200">
        <v>0.5</v>
      </c>
      <c r="H24" s="202">
        <f t="shared" si="2"/>
        <v>2</v>
      </c>
      <c r="I24" s="203">
        <v>0.571</v>
      </c>
    </row>
    <row r="25">
      <c r="A25" s="51" t="s">
        <v>279</v>
      </c>
      <c r="B25" s="199">
        <v>4.0</v>
      </c>
      <c r="C25" s="200">
        <v>16.0</v>
      </c>
      <c r="D25" s="239">
        <v>13.0</v>
      </c>
      <c r="E25" s="200">
        <v>2.0</v>
      </c>
      <c r="F25" s="201">
        <f t="shared" si="1"/>
        <v>2</v>
      </c>
      <c r="G25" s="200">
        <v>1.25</v>
      </c>
      <c r="H25" s="202">
        <f t="shared" si="2"/>
        <v>5</v>
      </c>
      <c r="I25" s="203">
        <v>0.538</v>
      </c>
    </row>
    <row r="26">
      <c r="A26" s="51" t="s">
        <v>316</v>
      </c>
      <c r="B26" s="199">
        <v>4.0</v>
      </c>
      <c r="C26" s="200">
        <v>16.0</v>
      </c>
      <c r="D26" s="239">
        <v>5.0</v>
      </c>
      <c r="E26" s="200">
        <v>2.0</v>
      </c>
      <c r="F26" s="201">
        <f t="shared" si="1"/>
        <v>2</v>
      </c>
      <c r="G26" s="200">
        <v>0.25</v>
      </c>
      <c r="H26" s="202">
        <f t="shared" si="2"/>
        <v>1</v>
      </c>
      <c r="I26" s="203">
        <v>0.6</v>
      </c>
    </row>
    <row r="27">
      <c r="A27" s="51" t="s">
        <v>356</v>
      </c>
      <c r="B27" s="199">
        <v>4.0</v>
      </c>
      <c r="C27" s="200">
        <v>16.0</v>
      </c>
      <c r="D27" s="239">
        <v>2.0</v>
      </c>
      <c r="E27" s="200">
        <v>2.0</v>
      </c>
      <c r="F27" s="201">
        <f t="shared" si="1"/>
        <v>2</v>
      </c>
      <c r="G27" s="200">
        <v>0.0</v>
      </c>
      <c r="H27" s="202">
        <f t="shared" si="2"/>
        <v>0</v>
      </c>
      <c r="I27" s="203">
        <v>1.0</v>
      </c>
    </row>
    <row r="28">
      <c r="A28" s="51" t="s">
        <v>326</v>
      </c>
      <c r="B28" s="199">
        <v>4.0</v>
      </c>
      <c r="C28" s="200">
        <v>16.0</v>
      </c>
      <c r="D28" s="239">
        <v>7.0</v>
      </c>
      <c r="E28" s="200">
        <v>2.0</v>
      </c>
      <c r="F28" s="201">
        <f t="shared" si="1"/>
        <v>2</v>
      </c>
      <c r="G28" s="200">
        <v>0.25</v>
      </c>
      <c r="H28" s="202">
        <f t="shared" si="2"/>
        <v>1</v>
      </c>
      <c r="I28" s="203">
        <v>0.429</v>
      </c>
    </row>
    <row r="29">
      <c r="A29" s="51" t="s">
        <v>284</v>
      </c>
      <c r="B29" s="199">
        <v>4.0</v>
      </c>
      <c r="C29" s="200">
        <v>16.0</v>
      </c>
      <c r="D29" s="239">
        <v>4.0</v>
      </c>
      <c r="E29" s="200">
        <v>2.0</v>
      </c>
      <c r="F29" s="201">
        <f t="shared" si="1"/>
        <v>2</v>
      </c>
      <c r="G29" s="200">
        <v>0.25</v>
      </c>
      <c r="H29" s="202">
        <f t="shared" si="2"/>
        <v>1</v>
      </c>
      <c r="I29" s="203">
        <v>0.75</v>
      </c>
    </row>
    <row r="30">
      <c r="A30" s="51" t="s">
        <v>354</v>
      </c>
      <c r="B30" s="199">
        <v>2.0</v>
      </c>
      <c r="C30" s="200">
        <v>8.0</v>
      </c>
      <c r="D30" s="239">
        <v>2.0</v>
      </c>
      <c r="E30" s="200">
        <v>2.0</v>
      </c>
      <c r="F30" s="201">
        <f t="shared" si="1"/>
        <v>2</v>
      </c>
      <c r="G30" s="200">
        <v>0.0</v>
      </c>
      <c r="H30" s="202">
        <f t="shared" si="2"/>
        <v>0</v>
      </c>
      <c r="I30" s="203">
        <v>0.5</v>
      </c>
    </row>
    <row r="31">
      <c r="A31" s="51" t="s">
        <v>387</v>
      </c>
      <c r="B31" s="199">
        <v>3.0</v>
      </c>
      <c r="C31" s="200">
        <v>19.0</v>
      </c>
      <c r="D31" s="239">
        <v>3.0</v>
      </c>
      <c r="E31" s="200">
        <v>2.67</v>
      </c>
      <c r="F31" s="201">
        <f t="shared" si="1"/>
        <v>1.686315789</v>
      </c>
      <c r="G31" s="200">
        <v>0.0</v>
      </c>
      <c r="H31" s="202">
        <f t="shared" si="2"/>
        <v>0</v>
      </c>
      <c r="I31" s="203">
        <v>0.667</v>
      </c>
    </row>
    <row r="32">
      <c r="A32" s="51" t="s">
        <v>277</v>
      </c>
      <c r="B32" s="199">
        <v>3.0</v>
      </c>
      <c r="C32" s="200">
        <v>10.0</v>
      </c>
      <c r="D32" s="239">
        <v>2.0</v>
      </c>
      <c r="E32" s="200">
        <v>1.33</v>
      </c>
      <c r="F32" s="201">
        <f t="shared" si="1"/>
        <v>1.596</v>
      </c>
      <c r="G32" s="200">
        <v>0.0</v>
      </c>
      <c r="H32" s="202">
        <f t="shared" si="2"/>
        <v>0</v>
      </c>
      <c r="I32" s="203">
        <v>0.5</v>
      </c>
    </row>
    <row r="33">
      <c r="A33" s="51" t="s">
        <v>323</v>
      </c>
      <c r="B33" s="199">
        <v>4.0</v>
      </c>
      <c r="C33" s="200">
        <v>23.0</v>
      </c>
      <c r="D33" s="239">
        <v>10.0</v>
      </c>
      <c r="E33" s="200">
        <v>2.0</v>
      </c>
      <c r="F33" s="201">
        <f t="shared" si="1"/>
        <v>1.391304348</v>
      </c>
      <c r="G33" s="200">
        <v>0.0</v>
      </c>
      <c r="H33" s="202">
        <f t="shared" si="2"/>
        <v>0</v>
      </c>
      <c r="I33" s="203">
        <v>0.2</v>
      </c>
    </row>
    <row r="34">
      <c r="A34" s="51" t="s">
        <v>381</v>
      </c>
      <c r="B34" s="199">
        <v>4.0</v>
      </c>
      <c r="C34" s="200">
        <v>23.0</v>
      </c>
      <c r="D34" s="239">
        <v>2.0</v>
      </c>
      <c r="E34" s="200">
        <v>2.0</v>
      </c>
      <c r="F34" s="201">
        <f t="shared" si="1"/>
        <v>1.391304348</v>
      </c>
      <c r="G34" s="200">
        <v>0.0</v>
      </c>
      <c r="H34" s="202">
        <f t="shared" si="2"/>
        <v>0</v>
      </c>
      <c r="I34" s="203">
        <v>1.0</v>
      </c>
    </row>
    <row r="35">
      <c r="A35" s="51" t="s">
        <v>343</v>
      </c>
      <c r="B35" s="199">
        <v>3.0</v>
      </c>
      <c r="C35" s="200">
        <v>12.0</v>
      </c>
      <c r="D35" s="239">
        <v>3.0</v>
      </c>
      <c r="E35" s="200">
        <v>1.33</v>
      </c>
      <c r="F35" s="201">
        <f t="shared" si="1"/>
        <v>1.33</v>
      </c>
      <c r="G35" s="200">
        <v>0.0</v>
      </c>
      <c r="H35" s="202">
        <f t="shared" si="2"/>
        <v>0</v>
      </c>
      <c r="I35" s="203">
        <v>0.333</v>
      </c>
    </row>
    <row r="36">
      <c r="A36" s="51" t="s">
        <v>389</v>
      </c>
      <c r="B36" s="199">
        <v>3.0</v>
      </c>
      <c r="C36" s="200">
        <v>12.0</v>
      </c>
      <c r="D36" s="239">
        <v>1.0</v>
      </c>
      <c r="E36" s="200">
        <v>1.33</v>
      </c>
      <c r="F36" s="201">
        <f t="shared" si="1"/>
        <v>1.33</v>
      </c>
      <c r="G36" s="200">
        <v>0.0</v>
      </c>
      <c r="H36" s="202">
        <f t="shared" si="2"/>
        <v>0</v>
      </c>
      <c r="I36" s="203">
        <v>1.0</v>
      </c>
    </row>
    <row r="37">
      <c r="A37" s="51" t="s">
        <v>390</v>
      </c>
      <c r="B37" s="199">
        <v>4.0</v>
      </c>
      <c r="C37" s="200">
        <v>14.0</v>
      </c>
      <c r="D37" s="239">
        <v>6.0</v>
      </c>
      <c r="E37" s="200">
        <v>1.0</v>
      </c>
      <c r="F37" s="201">
        <f t="shared" si="1"/>
        <v>1.142857143</v>
      </c>
      <c r="G37" s="200">
        <v>0.0</v>
      </c>
      <c r="H37" s="202">
        <f t="shared" si="2"/>
        <v>0</v>
      </c>
      <c r="I37" s="203">
        <v>0.167</v>
      </c>
    </row>
    <row r="38">
      <c r="A38" s="51" t="s">
        <v>287</v>
      </c>
      <c r="B38" s="199">
        <v>4.0</v>
      </c>
      <c r="C38" s="200">
        <v>14.0</v>
      </c>
      <c r="D38" s="239">
        <v>3.0</v>
      </c>
      <c r="E38" s="200">
        <v>1.0</v>
      </c>
      <c r="F38" s="201">
        <f t="shared" si="1"/>
        <v>1.142857143</v>
      </c>
      <c r="G38" s="200">
        <v>0.25</v>
      </c>
      <c r="H38" s="202">
        <f t="shared" si="2"/>
        <v>1</v>
      </c>
      <c r="I38" s="203">
        <v>0.667</v>
      </c>
    </row>
    <row r="39">
      <c r="A39" s="51" t="s">
        <v>402</v>
      </c>
      <c r="B39" s="199">
        <v>4.0</v>
      </c>
      <c r="C39" s="200">
        <v>16.0</v>
      </c>
      <c r="D39" s="239">
        <v>1.0</v>
      </c>
      <c r="E39" s="200">
        <v>1.0</v>
      </c>
      <c r="F39" s="201">
        <f t="shared" si="1"/>
        <v>1</v>
      </c>
      <c r="G39" s="200">
        <v>0.0</v>
      </c>
      <c r="H39" s="202">
        <f t="shared" si="2"/>
        <v>0</v>
      </c>
      <c r="I39" s="203">
        <v>1.0</v>
      </c>
    </row>
    <row r="40">
      <c r="A40" s="51" t="s">
        <v>294</v>
      </c>
      <c r="B40" s="199">
        <v>4.0</v>
      </c>
      <c r="C40" s="200">
        <v>16.0</v>
      </c>
      <c r="D40" s="239">
        <v>5.0</v>
      </c>
      <c r="E40" s="200">
        <v>1.0</v>
      </c>
      <c r="F40" s="201">
        <f t="shared" si="1"/>
        <v>1</v>
      </c>
      <c r="G40" s="200">
        <v>0.0</v>
      </c>
      <c r="H40" s="202">
        <f t="shared" si="2"/>
        <v>0</v>
      </c>
      <c r="I40" s="203">
        <v>0.2</v>
      </c>
    </row>
    <row r="41">
      <c r="A41" s="51" t="s">
        <v>351</v>
      </c>
      <c r="B41" s="199">
        <v>4.0</v>
      </c>
      <c r="C41" s="200">
        <v>16.0</v>
      </c>
      <c r="D41" s="239">
        <v>2.0</v>
      </c>
      <c r="E41" s="200">
        <v>1.0</v>
      </c>
      <c r="F41" s="201">
        <f t="shared" si="1"/>
        <v>1</v>
      </c>
      <c r="G41" s="200">
        <v>0.0</v>
      </c>
      <c r="H41" s="202">
        <f t="shared" si="2"/>
        <v>0</v>
      </c>
      <c r="I41" s="203">
        <v>0.5</v>
      </c>
    </row>
    <row r="42">
      <c r="A42" s="51" t="s">
        <v>366</v>
      </c>
      <c r="B42" s="199">
        <v>4.0</v>
      </c>
      <c r="C42" s="200">
        <v>16.0</v>
      </c>
      <c r="D42" s="239">
        <v>1.0</v>
      </c>
      <c r="E42" s="200">
        <v>1.0</v>
      </c>
      <c r="F42" s="201">
        <f t="shared" si="1"/>
        <v>1</v>
      </c>
      <c r="G42" s="200">
        <v>0.0</v>
      </c>
      <c r="H42" s="202">
        <f t="shared" si="2"/>
        <v>0</v>
      </c>
      <c r="I42" s="203">
        <v>1.0</v>
      </c>
    </row>
    <row r="43">
      <c r="A43" s="51" t="s">
        <v>340</v>
      </c>
      <c r="B43" s="199">
        <v>4.0</v>
      </c>
      <c r="C43" s="200">
        <v>16.0</v>
      </c>
      <c r="D43" s="239">
        <v>0.0</v>
      </c>
      <c r="E43" s="200">
        <v>0.0</v>
      </c>
      <c r="F43" s="201">
        <f t="shared" si="1"/>
        <v>0</v>
      </c>
      <c r="G43" s="200">
        <v>0.0</v>
      </c>
      <c r="H43" s="202">
        <f t="shared" si="2"/>
        <v>0</v>
      </c>
      <c r="I43" s="203">
        <v>0.0</v>
      </c>
    </row>
    <row r="44">
      <c r="A44" s="51" t="s">
        <v>319</v>
      </c>
      <c r="B44" s="199">
        <v>4.0</v>
      </c>
      <c r="C44" s="200">
        <v>16.0</v>
      </c>
      <c r="D44" s="239">
        <v>0.0</v>
      </c>
      <c r="E44" s="200">
        <v>0.0</v>
      </c>
      <c r="F44" s="201">
        <f t="shared" si="1"/>
        <v>0</v>
      </c>
      <c r="G44" s="200">
        <v>0.0</v>
      </c>
      <c r="H44" s="202">
        <f t="shared" si="2"/>
        <v>0</v>
      </c>
      <c r="I44" s="203">
        <v>0.0</v>
      </c>
    </row>
    <row r="45">
      <c r="A45" s="51" t="s">
        <v>341</v>
      </c>
      <c r="B45" s="199">
        <v>4.0</v>
      </c>
      <c r="C45" s="200">
        <v>16.0</v>
      </c>
      <c r="D45" s="239">
        <v>0.0</v>
      </c>
      <c r="E45" s="200">
        <v>0.0</v>
      </c>
      <c r="F45" s="201">
        <f t="shared" si="1"/>
        <v>0</v>
      </c>
      <c r="G45" s="200">
        <v>0.0</v>
      </c>
      <c r="H45" s="202">
        <f t="shared" si="2"/>
        <v>0</v>
      </c>
      <c r="I45" s="203">
        <v>0.0</v>
      </c>
    </row>
    <row r="46">
      <c r="A46" s="51" t="s">
        <v>291</v>
      </c>
      <c r="B46" s="199">
        <v>4.0</v>
      </c>
      <c r="C46" s="200">
        <v>16.0</v>
      </c>
      <c r="D46" s="239">
        <v>0.0</v>
      </c>
      <c r="E46" s="200">
        <v>0.0</v>
      </c>
      <c r="F46" s="201">
        <f t="shared" si="1"/>
        <v>0</v>
      </c>
      <c r="G46" s="200">
        <v>0.0</v>
      </c>
      <c r="H46" s="202">
        <f t="shared" si="2"/>
        <v>0</v>
      </c>
      <c r="I46" s="203">
        <v>0.0</v>
      </c>
    </row>
    <row r="47">
      <c r="A47" s="51" t="s">
        <v>310</v>
      </c>
      <c r="B47" s="199">
        <v>4.0</v>
      </c>
      <c r="C47" s="200">
        <v>16.0</v>
      </c>
      <c r="D47" s="239">
        <v>0.0</v>
      </c>
      <c r="E47" s="200">
        <v>0.0</v>
      </c>
      <c r="F47" s="201">
        <f t="shared" si="1"/>
        <v>0</v>
      </c>
      <c r="G47" s="200">
        <v>0.0</v>
      </c>
      <c r="H47" s="202">
        <f t="shared" si="2"/>
        <v>0</v>
      </c>
      <c r="I47" s="203">
        <v>0.0</v>
      </c>
    </row>
    <row r="48">
      <c r="A48" s="51" t="s">
        <v>305</v>
      </c>
      <c r="B48" s="199">
        <v>4.0</v>
      </c>
      <c r="C48" s="200">
        <v>16.0</v>
      </c>
      <c r="D48" s="239">
        <v>0.0</v>
      </c>
      <c r="E48" s="200">
        <v>0.0</v>
      </c>
      <c r="F48" s="201">
        <f t="shared" si="1"/>
        <v>0</v>
      </c>
      <c r="G48" s="200">
        <v>0.0</v>
      </c>
      <c r="H48" s="202">
        <f t="shared" si="2"/>
        <v>0</v>
      </c>
      <c r="I48" s="203">
        <v>0.0</v>
      </c>
    </row>
    <row r="49">
      <c r="A49" s="51" t="s">
        <v>374</v>
      </c>
      <c r="B49" s="199">
        <v>1.0</v>
      </c>
      <c r="C49" s="200">
        <v>4.0</v>
      </c>
      <c r="D49" s="239">
        <v>0.0</v>
      </c>
      <c r="E49" s="200">
        <v>0.0</v>
      </c>
      <c r="F49" s="201">
        <f t="shared" si="1"/>
        <v>0</v>
      </c>
      <c r="G49" s="200">
        <v>0.0</v>
      </c>
      <c r="H49" s="202">
        <f t="shared" si="2"/>
        <v>0</v>
      </c>
      <c r="I49" s="203">
        <v>0.0</v>
      </c>
    </row>
    <row r="50">
      <c r="A50" s="51" t="s">
        <v>394</v>
      </c>
      <c r="B50" s="199">
        <v>4.0</v>
      </c>
      <c r="C50" s="200">
        <v>16.0</v>
      </c>
      <c r="D50" s="239">
        <v>0.0</v>
      </c>
      <c r="E50" s="200">
        <v>0.0</v>
      </c>
      <c r="F50" s="201">
        <f t="shared" si="1"/>
        <v>0</v>
      </c>
      <c r="G50" s="200">
        <v>0.0</v>
      </c>
      <c r="H50" s="202">
        <f t="shared" si="2"/>
        <v>0</v>
      </c>
      <c r="I50" s="203">
        <v>0.0</v>
      </c>
    </row>
    <row r="51">
      <c r="A51" s="51" t="s">
        <v>352</v>
      </c>
      <c r="B51" s="199">
        <v>3.0</v>
      </c>
      <c r="C51" s="200">
        <v>12.0</v>
      </c>
      <c r="D51" s="239">
        <v>0.0</v>
      </c>
      <c r="E51" s="200">
        <v>0.0</v>
      </c>
      <c r="F51" s="201">
        <f t="shared" si="1"/>
        <v>0</v>
      </c>
      <c r="G51" s="200">
        <v>0.0</v>
      </c>
      <c r="H51" s="202">
        <f t="shared" si="2"/>
        <v>0</v>
      </c>
      <c r="I51" s="203">
        <v>0.0</v>
      </c>
    </row>
    <row r="52">
      <c r="A52" s="51" t="s">
        <v>296</v>
      </c>
      <c r="B52" s="199">
        <v>4.0</v>
      </c>
      <c r="C52" s="200">
        <v>16.0</v>
      </c>
      <c r="D52" s="239">
        <v>0.0</v>
      </c>
      <c r="E52" s="200">
        <v>0.0</v>
      </c>
      <c r="F52" s="201">
        <f t="shared" si="1"/>
        <v>0</v>
      </c>
      <c r="G52" s="200">
        <v>0.0</v>
      </c>
      <c r="H52" s="202">
        <f t="shared" si="2"/>
        <v>0</v>
      </c>
      <c r="I52" s="203">
        <v>0.0</v>
      </c>
    </row>
    <row r="53">
      <c r="A53" s="51" t="s">
        <v>350</v>
      </c>
      <c r="B53" s="199">
        <v>4.0</v>
      </c>
      <c r="C53" s="200">
        <v>16.0</v>
      </c>
      <c r="D53" s="239">
        <v>0.0</v>
      </c>
      <c r="E53" s="200">
        <v>0.0</v>
      </c>
      <c r="F53" s="201">
        <f t="shared" si="1"/>
        <v>0</v>
      </c>
      <c r="G53" s="200">
        <v>0.0</v>
      </c>
      <c r="H53" s="202">
        <f t="shared" si="2"/>
        <v>0</v>
      </c>
      <c r="I53" s="203">
        <v>0.0</v>
      </c>
    </row>
    <row r="54">
      <c r="A54" s="51" t="s">
        <v>407</v>
      </c>
      <c r="B54" s="199">
        <v>4.0</v>
      </c>
      <c r="C54" s="200">
        <v>16.0</v>
      </c>
      <c r="D54" s="239">
        <v>0.0</v>
      </c>
      <c r="E54" s="200">
        <v>0.0</v>
      </c>
      <c r="F54" s="201">
        <f t="shared" si="1"/>
        <v>0</v>
      </c>
      <c r="G54" s="200">
        <v>0.0</v>
      </c>
      <c r="H54" s="202">
        <f t="shared" si="2"/>
        <v>0</v>
      </c>
      <c r="I54" s="203">
        <v>0.0</v>
      </c>
    </row>
    <row r="55">
      <c r="A55" s="51" t="s">
        <v>304</v>
      </c>
      <c r="B55" s="199">
        <v>4.0</v>
      </c>
      <c r="C55" s="200">
        <v>16.0</v>
      </c>
      <c r="D55" s="239">
        <v>0.0</v>
      </c>
      <c r="E55" s="200">
        <v>0.0</v>
      </c>
      <c r="F55" s="201">
        <f t="shared" si="1"/>
        <v>0</v>
      </c>
      <c r="G55" s="200">
        <v>0.0</v>
      </c>
      <c r="H55" s="202">
        <f t="shared" si="2"/>
        <v>0</v>
      </c>
      <c r="I55" s="203">
        <v>0.0</v>
      </c>
    </row>
    <row r="56">
      <c r="A56" s="51" t="s">
        <v>307</v>
      </c>
      <c r="B56" s="199">
        <v>4.0</v>
      </c>
      <c r="C56" s="200">
        <v>16.0</v>
      </c>
      <c r="D56" s="239">
        <v>0.0</v>
      </c>
      <c r="E56" s="200">
        <v>0.0</v>
      </c>
      <c r="F56" s="201">
        <f t="shared" si="1"/>
        <v>0</v>
      </c>
      <c r="G56" s="200">
        <v>0.0</v>
      </c>
      <c r="H56" s="202">
        <f t="shared" si="2"/>
        <v>0</v>
      </c>
      <c r="I56" s="203">
        <v>0.0</v>
      </c>
    </row>
    <row r="57">
      <c r="A57" s="51" t="s">
        <v>357</v>
      </c>
      <c r="B57" s="199">
        <v>3.0</v>
      </c>
      <c r="C57" s="200">
        <v>12.0</v>
      </c>
      <c r="D57" s="239">
        <v>0.0</v>
      </c>
      <c r="E57" s="200">
        <v>0.0</v>
      </c>
      <c r="F57" s="201">
        <f t="shared" si="1"/>
        <v>0</v>
      </c>
      <c r="G57" s="200">
        <v>0.0</v>
      </c>
      <c r="H57" s="202">
        <f t="shared" si="2"/>
        <v>0</v>
      </c>
      <c r="I57" s="203">
        <v>0.0</v>
      </c>
    </row>
    <row r="58">
      <c r="A58" s="51" t="s">
        <v>363</v>
      </c>
      <c r="B58" s="199">
        <v>4.0</v>
      </c>
      <c r="C58" s="200">
        <v>16.0</v>
      </c>
      <c r="D58" s="239">
        <v>0.0</v>
      </c>
      <c r="E58" s="200">
        <v>0.0</v>
      </c>
      <c r="F58" s="201">
        <f t="shared" si="1"/>
        <v>0</v>
      </c>
      <c r="G58" s="200">
        <v>0.0</v>
      </c>
      <c r="H58" s="202">
        <f t="shared" si="2"/>
        <v>0</v>
      </c>
      <c r="I58" s="203">
        <v>0.0</v>
      </c>
    </row>
    <row r="59">
      <c r="A59" s="51" t="s">
        <v>367</v>
      </c>
      <c r="B59" s="199">
        <v>1.0</v>
      </c>
      <c r="C59" s="200">
        <v>4.0</v>
      </c>
      <c r="D59" s="239">
        <v>0.0</v>
      </c>
      <c r="E59" s="200">
        <v>0.0</v>
      </c>
      <c r="F59" s="201">
        <f t="shared" si="1"/>
        <v>0</v>
      </c>
      <c r="G59" s="200">
        <v>0.0</v>
      </c>
      <c r="H59" s="202">
        <f t="shared" si="2"/>
        <v>0</v>
      </c>
      <c r="I59" s="203">
        <v>0.0</v>
      </c>
    </row>
    <row r="60">
      <c r="A60" s="51" t="s">
        <v>375</v>
      </c>
      <c r="B60" s="199">
        <v>2.0</v>
      </c>
      <c r="C60" s="200">
        <v>8.0</v>
      </c>
      <c r="D60" s="239">
        <v>0.0</v>
      </c>
      <c r="E60" s="200">
        <v>0.0</v>
      </c>
      <c r="F60" s="201">
        <f t="shared" si="1"/>
        <v>0</v>
      </c>
      <c r="G60" s="200">
        <v>0.0</v>
      </c>
      <c r="H60" s="202">
        <f t="shared" si="2"/>
        <v>0</v>
      </c>
      <c r="I60" s="203">
        <v>0.0</v>
      </c>
    </row>
    <row r="61">
      <c r="A61" s="51" t="s">
        <v>292</v>
      </c>
      <c r="B61" s="199">
        <v>1.0</v>
      </c>
      <c r="C61" s="200">
        <v>4.0</v>
      </c>
      <c r="D61" s="239">
        <v>0.0</v>
      </c>
      <c r="E61" s="200">
        <v>0.0</v>
      </c>
      <c r="F61" s="201">
        <f t="shared" si="1"/>
        <v>0</v>
      </c>
      <c r="G61" s="200">
        <v>0.0</v>
      </c>
      <c r="H61" s="202">
        <f t="shared" si="2"/>
        <v>0</v>
      </c>
      <c r="I61" s="203">
        <v>0.0</v>
      </c>
    </row>
    <row r="62">
      <c r="A62" s="51" t="s">
        <v>318</v>
      </c>
      <c r="B62" s="199">
        <v>4.0</v>
      </c>
      <c r="C62" s="200">
        <v>15.0</v>
      </c>
      <c r="D62" s="239">
        <v>1.0</v>
      </c>
      <c r="E62" s="200">
        <v>0.0</v>
      </c>
      <c r="F62" s="201">
        <f t="shared" si="1"/>
        <v>0</v>
      </c>
      <c r="G62" s="200">
        <v>0.0</v>
      </c>
      <c r="H62" s="202">
        <f t="shared" si="2"/>
        <v>0</v>
      </c>
      <c r="I62" s="203">
        <v>0.0</v>
      </c>
    </row>
    <row r="63">
      <c r="A63" s="51" t="s">
        <v>396</v>
      </c>
      <c r="B63" s="199">
        <v>3.0</v>
      </c>
      <c r="C63" s="200">
        <v>12.0</v>
      </c>
      <c r="D63" s="239">
        <v>7.0</v>
      </c>
      <c r="E63" s="200">
        <v>0.0</v>
      </c>
      <c r="F63" s="201">
        <f t="shared" si="1"/>
        <v>0</v>
      </c>
      <c r="G63" s="200">
        <v>0.67</v>
      </c>
      <c r="H63" s="202">
        <f t="shared" si="2"/>
        <v>2.01</v>
      </c>
      <c r="I63" s="203">
        <v>0.286</v>
      </c>
    </row>
    <row r="64">
      <c r="A64" s="51" t="s">
        <v>308</v>
      </c>
      <c r="B64" s="199">
        <v>4.0</v>
      </c>
      <c r="C64" s="200">
        <v>16.0</v>
      </c>
      <c r="D64" s="239">
        <v>0.0</v>
      </c>
      <c r="E64" s="200">
        <v>0.0</v>
      </c>
      <c r="F64" s="201">
        <f t="shared" si="1"/>
        <v>0</v>
      </c>
      <c r="G64" s="200">
        <v>0.0</v>
      </c>
      <c r="H64" s="202">
        <f t="shared" si="2"/>
        <v>0</v>
      </c>
      <c r="I64" s="203">
        <v>0.0</v>
      </c>
    </row>
    <row r="65">
      <c r="A65" s="51" t="s">
        <v>345</v>
      </c>
      <c r="B65" s="199">
        <v>3.0</v>
      </c>
      <c r="C65" s="200">
        <v>12.0</v>
      </c>
      <c r="D65" s="239">
        <v>0.0</v>
      </c>
      <c r="E65" s="200">
        <v>0.0</v>
      </c>
      <c r="F65" s="201">
        <f t="shared" si="1"/>
        <v>0</v>
      </c>
      <c r="G65" s="200">
        <v>0.0</v>
      </c>
      <c r="H65" s="202">
        <f t="shared" si="2"/>
        <v>0</v>
      </c>
      <c r="I65" s="203">
        <v>0.0</v>
      </c>
    </row>
    <row r="66">
      <c r="A66" s="51" t="s">
        <v>408</v>
      </c>
      <c r="B66" s="199">
        <v>3.0</v>
      </c>
      <c r="C66" s="200">
        <v>12.0</v>
      </c>
      <c r="D66" s="239">
        <v>0.0</v>
      </c>
      <c r="E66" s="200">
        <v>0.0</v>
      </c>
      <c r="F66" s="201">
        <f t="shared" si="1"/>
        <v>0</v>
      </c>
      <c r="G66" s="200">
        <v>0.0</v>
      </c>
      <c r="H66" s="202">
        <f t="shared" si="2"/>
        <v>0</v>
      </c>
      <c r="I66" s="203">
        <v>0.0</v>
      </c>
    </row>
    <row r="67">
      <c r="A67" s="51" t="s">
        <v>325</v>
      </c>
      <c r="B67" s="199">
        <v>4.0</v>
      </c>
      <c r="C67" s="200">
        <v>16.0</v>
      </c>
      <c r="D67" s="239">
        <v>0.0</v>
      </c>
      <c r="E67" s="200">
        <v>0.0</v>
      </c>
      <c r="F67" s="201">
        <f t="shared" si="1"/>
        <v>0</v>
      </c>
      <c r="G67" s="200">
        <v>0.0</v>
      </c>
      <c r="H67" s="202">
        <f t="shared" si="2"/>
        <v>0</v>
      </c>
      <c r="I67" s="203">
        <v>0.0</v>
      </c>
    </row>
    <row r="68">
      <c r="A68" s="51" t="s">
        <v>395</v>
      </c>
      <c r="B68" s="199">
        <v>4.0</v>
      </c>
      <c r="C68" s="200">
        <v>16.0</v>
      </c>
      <c r="D68" s="239">
        <v>1.0</v>
      </c>
      <c r="E68" s="200">
        <v>0.0</v>
      </c>
      <c r="F68" s="201">
        <f t="shared" si="1"/>
        <v>0</v>
      </c>
      <c r="G68" s="200">
        <v>0.0</v>
      </c>
      <c r="H68" s="202">
        <f t="shared" si="2"/>
        <v>0</v>
      </c>
      <c r="I68" s="203">
        <v>0.0</v>
      </c>
    </row>
    <row r="69">
      <c r="A69" s="51" t="s">
        <v>317</v>
      </c>
      <c r="B69" s="199">
        <v>3.0</v>
      </c>
      <c r="C69" s="200">
        <v>12.0</v>
      </c>
      <c r="D69" s="239">
        <v>0.0</v>
      </c>
      <c r="E69" s="200">
        <v>0.0</v>
      </c>
      <c r="F69" s="201">
        <f t="shared" si="1"/>
        <v>0</v>
      </c>
      <c r="G69" s="200">
        <v>0.0</v>
      </c>
      <c r="H69" s="202">
        <f t="shared" si="2"/>
        <v>0</v>
      </c>
      <c r="I69" s="203">
        <v>0.0</v>
      </c>
    </row>
    <row r="70">
      <c r="A70" s="51" t="s">
        <v>364</v>
      </c>
      <c r="B70" s="199">
        <v>3.0</v>
      </c>
      <c r="C70" s="200">
        <v>12.0</v>
      </c>
      <c r="D70" s="239">
        <v>3.0</v>
      </c>
      <c r="E70" s="200">
        <v>0.0</v>
      </c>
      <c r="F70" s="201">
        <f t="shared" si="1"/>
        <v>0</v>
      </c>
      <c r="G70" s="200">
        <v>0.0</v>
      </c>
      <c r="H70" s="202">
        <f t="shared" si="2"/>
        <v>0</v>
      </c>
      <c r="I70" s="203">
        <v>0.0</v>
      </c>
    </row>
    <row r="71">
      <c r="A71" s="51" t="s">
        <v>386</v>
      </c>
      <c r="B71" s="199">
        <v>3.0</v>
      </c>
      <c r="C71" s="200">
        <v>12.0</v>
      </c>
      <c r="D71" s="239">
        <v>2.0</v>
      </c>
      <c r="E71" s="200">
        <v>0.0</v>
      </c>
      <c r="F71" s="201">
        <f t="shared" si="1"/>
        <v>0</v>
      </c>
      <c r="G71" s="200">
        <v>0.0</v>
      </c>
      <c r="H71" s="202">
        <f t="shared" si="2"/>
        <v>0</v>
      </c>
      <c r="I71" s="203">
        <v>0.0</v>
      </c>
    </row>
    <row r="72">
      <c r="A72" s="51" t="s">
        <v>330</v>
      </c>
      <c r="B72" s="199">
        <v>4.0</v>
      </c>
      <c r="C72" s="200">
        <v>16.0</v>
      </c>
      <c r="D72" s="239">
        <v>5.0</v>
      </c>
      <c r="E72" s="200">
        <v>0.0</v>
      </c>
      <c r="F72" s="201">
        <f t="shared" si="1"/>
        <v>0</v>
      </c>
      <c r="G72" s="200">
        <v>0.0</v>
      </c>
      <c r="H72" s="202">
        <f t="shared" si="2"/>
        <v>0</v>
      </c>
      <c r="I72" s="203">
        <v>0.0</v>
      </c>
    </row>
    <row r="73">
      <c r="A73" s="51" t="s">
        <v>388</v>
      </c>
      <c r="B73" s="199">
        <v>2.0</v>
      </c>
      <c r="C73" s="200">
        <v>8.0</v>
      </c>
      <c r="D73" s="239">
        <v>4.0</v>
      </c>
      <c r="E73" s="200">
        <v>0.0</v>
      </c>
      <c r="F73" s="201">
        <f t="shared" si="1"/>
        <v>0</v>
      </c>
      <c r="G73" s="200">
        <v>0.0</v>
      </c>
      <c r="H73" s="202">
        <f t="shared" si="2"/>
        <v>0</v>
      </c>
      <c r="I73" s="203">
        <v>0.0</v>
      </c>
    </row>
    <row r="74">
      <c r="A74" s="51" t="s">
        <v>358</v>
      </c>
      <c r="B74" s="199">
        <v>3.0</v>
      </c>
      <c r="C74" s="200">
        <v>12.0</v>
      </c>
      <c r="D74" s="239">
        <v>0.0</v>
      </c>
      <c r="E74" s="200">
        <v>0.0</v>
      </c>
      <c r="F74" s="201">
        <f t="shared" si="1"/>
        <v>0</v>
      </c>
      <c r="G74" s="200">
        <v>0.0</v>
      </c>
      <c r="H74" s="202">
        <f t="shared" si="2"/>
        <v>0</v>
      </c>
      <c r="I74" s="203">
        <v>0.0</v>
      </c>
    </row>
    <row r="75">
      <c r="A75" s="51" t="s">
        <v>382</v>
      </c>
      <c r="B75" s="199">
        <v>4.0</v>
      </c>
      <c r="C75" s="200">
        <v>16.0</v>
      </c>
      <c r="D75" s="239">
        <v>0.0</v>
      </c>
      <c r="E75" s="200">
        <v>0.0</v>
      </c>
      <c r="F75" s="201">
        <f t="shared" si="1"/>
        <v>0</v>
      </c>
      <c r="G75" s="200">
        <v>0.0</v>
      </c>
      <c r="H75" s="202">
        <f t="shared" si="2"/>
        <v>0</v>
      </c>
      <c r="I75" s="203">
        <v>0.0</v>
      </c>
    </row>
    <row r="76">
      <c r="A76" s="51" t="s">
        <v>383</v>
      </c>
      <c r="B76" s="199">
        <v>4.0</v>
      </c>
      <c r="C76" s="200">
        <v>16.0</v>
      </c>
      <c r="D76" s="239">
        <v>0.0</v>
      </c>
      <c r="E76" s="200">
        <v>0.0</v>
      </c>
      <c r="F76" s="201">
        <f t="shared" si="1"/>
        <v>0</v>
      </c>
      <c r="G76" s="200">
        <v>0.0</v>
      </c>
      <c r="H76" s="202">
        <f t="shared" si="2"/>
        <v>0</v>
      </c>
      <c r="I76" s="203">
        <v>0.0</v>
      </c>
    </row>
    <row r="77">
      <c r="A77" s="51" t="s">
        <v>311</v>
      </c>
      <c r="B77" s="199">
        <v>4.0</v>
      </c>
      <c r="C77" s="200">
        <v>16.0</v>
      </c>
      <c r="D77" s="239">
        <v>2.0</v>
      </c>
      <c r="E77" s="200">
        <v>0.0</v>
      </c>
      <c r="F77" s="201">
        <f t="shared" si="1"/>
        <v>0</v>
      </c>
      <c r="G77" s="200">
        <v>0.0</v>
      </c>
      <c r="H77" s="202">
        <f t="shared" si="2"/>
        <v>0</v>
      </c>
      <c r="I77" s="203">
        <v>0.0</v>
      </c>
    </row>
    <row r="78">
      <c r="A78" s="51" t="s">
        <v>285</v>
      </c>
      <c r="B78" s="199">
        <v>4.0</v>
      </c>
      <c r="C78" s="200">
        <v>16.0</v>
      </c>
      <c r="D78" s="239">
        <v>0.0</v>
      </c>
      <c r="E78" s="200">
        <v>0.0</v>
      </c>
      <c r="F78" s="201">
        <f t="shared" si="1"/>
        <v>0</v>
      </c>
      <c r="G78" s="200">
        <v>0.0</v>
      </c>
      <c r="H78" s="202">
        <f t="shared" si="2"/>
        <v>0</v>
      </c>
      <c r="I78" s="203">
        <v>0.0</v>
      </c>
    </row>
    <row r="79">
      <c r="A79" s="51" t="s">
        <v>313</v>
      </c>
      <c r="B79" s="199">
        <v>4.0</v>
      </c>
      <c r="C79" s="200">
        <v>16.0</v>
      </c>
      <c r="D79" s="239">
        <v>0.0</v>
      </c>
      <c r="E79" s="200">
        <v>0.0</v>
      </c>
      <c r="F79" s="201">
        <f t="shared" si="1"/>
        <v>0</v>
      </c>
      <c r="G79" s="200">
        <v>0.0</v>
      </c>
      <c r="H79" s="202">
        <f t="shared" si="2"/>
        <v>0</v>
      </c>
      <c r="I79" s="203">
        <v>0.0</v>
      </c>
    </row>
    <row r="80">
      <c r="A80" s="51" t="s">
        <v>359</v>
      </c>
      <c r="B80" s="199">
        <v>4.0</v>
      </c>
      <c r="C80" s="200">
        <v>16.0</v>
      </c>
      <c r="D80" s="239">
        <v>1.0</v>
      </c>
      <c r="E80" s="200">
        <v>0.0</v>
      </c>
      <c r="F80" s="201">
        <f t="shared" si="1"/>
        <v>0</v>
      </c>
      <c r="G80" s="200">
        <v>0.0</v>
      </c>
      <c r="H80" s="202">
        <f t="shared" si="2"/>
        <v>0</v>
      </c>
      <c r="I80" s="203">
        <v>0.0</v>
      </c>
    </row>
    <row r="81">
      <c r="A81" s="51" t="s">
        <v>393</v>
      </c>
      <c r="B81" s="199">
        <v>4.0</v>
      </c>
      <c r="C81" s="200">
        <v>16.0</v>
      </c>
      <c r="D81" s="239">
        <v>1.0</v>
      </c>
      <c r="E81" s="200">
        <v>0.0</v>
      </c>
      <c r="F81" s="201">
        <f t="shared" si="1"/>
        <v>0</v>
      </c>
      <c r="G81" s="200">
        <v>0.0</v>
      </c>
      <c r="H81" s="202">
        <f t="shared" si="2"/>
        <v>0</v>
      </c>
      <c r="I81" s="203">
        <v>0.0</v>
      </c>
    </row>
    <row r="82">
      <c r="A82" s="51" t="s">
        <v>398</v>
      </c>
      <c r="B82" s="199">
        <v>1.0</v>
      </c>
      <c r="C82" s="200">
        <v>4.0</v>
      </c>
      <c r="D82" s="239">
        <v>1.0</v>
      </c>
      <c r="E82" s="200">
        <v>0.0</v>
      </c>
      <c r="F82" s="201">
        <f t="shared" si="1"/>
        <v>0</v>
      </c>
      <c r="G82" s="200">
        <v>0.0</v>
      </c>
      <c r="H82" s="202">
        <f t="shared" si="2"/>
        <v>0</v>
      </c>
      <c r="I82" s="203">
        <v>0.0</v>
      </c>
    </row>
    <row r="83">
      <c r="A83" s="51" t="s">
        <v>376</v>
      </c>
      <c r="B83" s="199">
        <v>1.0</v>
      </c>
      <c r="C83" s="200">
        <v>4.0</v>
      </c>
      <c r="D83" s="239">
        <v>1.0</v>
      </c>
      <c r="E83" s="200">
        <v>0.0</v>
      </c>
      <c r="F83" s="201">
        <f t="shared" si="1"/>
        <v>0</v>
      </c>
      <c r="G83" s="200">
        <v>0.0</v>
      </c>
      <c r="H83" s="202">
        <f t="shared" si="2"/>
        <v>0</v>
      </c>
      <c r="I83" s="203">
        <v>0.0</v>
      </c>
    </row>
    <row r="84">
      <c r="A84" s="51" t="s">
        <v>379</v>
      </c>
      <c r="B84" s="199">
        <v>4.0</v>
      </c>
      <c r="C84" s="200">
        <v>15.0</v>
      </c>
      <c r="D84" s="239">
        <v>0.0</v>
      </c>
      <c r="E84" s="200">
        <v>0.0</v>
      </c>
      <c r="F84" s="201">
        <f t="shared" si="1"/>
        <v>0</v>
      </c>
      <c r="G84" s="200">
        <v>0.0</v>
      </c>
      <c r="H84" s="202">
        <f t="shared" si="2"/>
        <v>0</v>
      </c>
      <c r="I84" s="203">
        <v>0.0</v>
      </c>
    </row>
    <row r="85">
      <c r="A85" s="51" t="s">
        <v>276</v>
      </c>
      <c r="B85" s="199">
        <v>4.0</v>
      </c>
      <c r="C85" s="200">
        <v>15.0</v>
      </c>
      <c r="D85" s="239">
        <v>4.0</v>
      </c>
      <c r="E85" s="200">
        <v>0.0</v>
      </c>
      <c r="F85" s="201">
        <f t="shared" si="1"/>
        <v>0</v>
      </c>
      <c r="G85" s="200">
        <v>0.25</v>
      </c>
      <c r="H85" s="202">
        <f t="shared" si="2"/>
        <v>1</v>
      </c>
      <c r="I85" s="203">
        <v>0.25</v>
      </c>
    </row>
    <row r="86">
      <c r="A86" s="51" t="s">
        <v>333</v>
      </c>
      <c r="B86" s="199">
        <v>2.0</v>
      </c>
      <c r="C86" s="200">
        <v>8.0</v>
      </c>
      <c r="D86" s="239">
        <v>0.0</v>
      </c>
      <c r="E86" s="200">
        <v>0.0</v>
      </c>
      <c r="F86" s="201">
        <f t="shared" si="1"/>
        <v>0</v>
      </c>
      <c r="G86" s="200">
        <v>0.0</v>
      </c>
      <c r="H86" s="202">
        <f t="shared" si="2"/>
        <v>0</v>
      </c>
      <c r="I86" s="203">
        <v>0.0</v>
      </c>
    </row>
    <row r="87">
      <c r="A87" s="51" t="s">
        <v>361</v>
      </c>
      <c r="B87" s="199">
        <v>4.0</v>
      </c>
      <c r="C87" s="200">
        <v>23.0</v>
      </c>
      <c r="D87" s="239">
        <v>1.0</v>
      </c>
      <c r="E87" s="200">
        <v>0.0</v>
      </c>
      <c r="F87" s="201">
        <f t="shared" si="1"/>
        <v>0</v>
      </c>
      <c r="G87" s="200">
        <v>0.0</v>
      </c>
      <c r="H87" s="202">
        <f t="shared" si="2"/>
        <v>0</v>
      </c>
      <c r="I87" s="203">
        <v>0.0</v>
      </c>
    </row>
    <row r="88">
      <c r="A88" s="51" t="s">
        <v>392</v>
      </c>
      <c r="B88" s="199">
        <v>4.0</v>
      </c>
      <c r="C88" s="200">
        <v>23.0</v>
      </c>
      <c r="D88" s="239">
        <v>2.0</v>
      </c>
      <c r="E88" s="200">
        <v>0.0</v>
      </c>
      <c r="F88" s="201">
        <f t="shared" si="1"/>
        <v>0</v>
      </c>
      <c r="G88" s="200">
        <v>0.0</v>
      </c>
      <c r="H88" s="202">
        <f t="shared" si="2"/>
        <v>0</v>
      </c>
      <c r="I88" s="203">
        <v>0.0</v>
      </c>
    </row>
    <row r="89">
      <c r="A89" s="51" t="s">
        <v>362</v>
      </c>
      <c r="B89" s="199">
        <v>2.0</v>
      </c>
      <c r="C89" s="200">
        <v>8.0</v>
      </c>
      <c r="D89" s="239">
        <v>0.0</v>
      </c>
      <c r="E89" s="200">
        <v>0.0</v>
      </c>
      <c r="F89" s="201">
        <f t="shared" si="1"/>
        <v>0</v>
      </c>
      <c r="G89" s="200">
        <v>0.0</v>
      </c>
      <c r="H89" s="202">
        <f t="shared" si="2"/>
        <v>0</v>
      </c>
      <c r="I89" s="203">
        <v>0.0</v>
      </c>
    </row>
    <row r="90">
      <c r="A90" s="51" t="s">
        <v>339</v>
      </c>
      <c r="B90" s="199">
        <v>1.0</v>
      </c>
      <c r="C90" s="200">
        <v>4.0</v>
      </c>
      <c r="D90" s="239">
        <v>1.0</v>
      </c>
      <c r="E90" s="200">
        <v>0.0</v>
      </c>
      <c r="F90" s="201">
        <f t="shared" si="1"/>
        <v>0</v>
      </c>
      <c r="G90" s="200">
        <v>0.0</v>
      </c>
      <c r="H90" s="202">
        <f t="shared" si="2"/>
        <v>0</v>
      </c>
      <c r="I90" s="203">
        <v>0.0</v>
      </c>
    </row>
    <row r="91">
      <c r="A91" s="51" t="s">
        <v>385</v>
      </c>
      <c r="B91" s="199">
        <v>2.0</v>
      </c>
      <c r="C91" s="200">
        <v>8.0</v>
      </c>
      <c r="D91" s="239">
        <v>0.0</v>
      </c>
      <c r="E91" s="200">
        <v>0.0</v>
      </c>
      <c r="F91" s="201">
        <f t="shared" si="1"/>
        <v>0</v>
      </c>
      <c r="G91" s="200">
        <v>0.0</v>
      </c>
      <c r="H91" s="202">
        <f t="shared" si="2"/>
        <v>0</v>
      </c>
      <c r="I91" s="203">
        <v>0.0</v>
      </c>
    </row>
    <row r="92">
      <c r="A92" s="51" t="s">
        <v>312</v>
      </c>
      <c r="B92" s="199">
        <v>4.0</v>
      </c>
      <c r="C92" s="200">
        <v>16.0</v>
      </c>
      <c r="D92" s="239">
        <v>0.0</v>
      </c>
      <c r="E92" s="200">
        <v>0.0</v>
      </c>
      <c r="F92" s="201">
        <f t="shared" si="1"/>
        <v>0</v>
      </c>
      <c r="G92" s="200">
        <v>0.0</v>
      </c>
      <c r="H92" s="202">
        <f t="shared" si="2"/>
        <v>0</v>
      </c>
      <c r="I92" s="203">
        <v>0.0</v>
      </c>
    </row>
    <row r="93">
      <c r="A93" s="51" t="s">
        <v>331</v>
      </c>
      <c r="B93" s="199">
        <v>2.0</v>
      </c>
      <c r="C93" s="200">
        <v>8.0</v>
      </c>
      <c r="D93" s="239">
        <v>0.0</v>
      </c>
      <c r="E93" s="200">
        <v>0.0</v>
      </c>
      <c r="F93" s="201">
        <f t="shared" si="1"/>
        <v>0</v>
      </c>
      <c r="G93" s="200">
        <v>0.0</v>
      </c>
      <c r="H93" s="202">
        <f t="shared" si="2"/>
        <v>0</v>
      </c>
      <c r="I93" s="203">
        <v>0.0</v>
      </c>
    </row>
    <row r="94">
      <c r="A94" s="51" t="s">
        <v>405</v>
      </c>
      <c r="B94" s="199">
        <v>4.0</v>
      </c>
      <c r="C94" s="200">
        <v>16.0</v>
      </c>
      <c r="D94" s="239">
        <v>0.0</v>
      </c>
      <c r="E94" s="200">
        <v>0.0</v>
      </c>
      <c r="F94" s="201">
        <f t="shared" si="1"/>
        <v>0</v>
      </c>
      <c r="G94" s="200">
        <v>0.0</v>
      </c>
      <c r="H94" s="202">
        <f t="shared" si="2"/>
        <v>0</v>
      </c>
      <c r="I94" s="203">
        <v>0.0</v>
      </c>
    </row>
    <row r="95">
      <c r="A95" s="51" t="s">
        <v>347</v>
      </c>
      <c r="B95" s="199">
        <v>3.0</v>
      </c>
      <c r="C95" s="200">
        <v>12.0</v>
      </c>
      <c r="D95" s="239">
        <v>0.0</v>
      </c>
      <c r="E95" s="200">
        <v>0.0</v>
      </c>
      <c r="F95" s="201">
        <f t="shared" si="1"/>
        <v>0</v>
      </c>
      <c r="G95" s="200">
        <v>0.0</v>
      </c>
      <c r="H95" s="202">
        <f t="shared" si="2"/>
        <v>0</v>
      </c>
      <c r="I95" s="203">
        <v>0.0</v>
      </c>
    </row>
    <row r="96">
      <c r="A96" s="51" t="s">
        <v>321</v>
      </c>
      <c r="B96" s="199">
        <v>4.0</v>
      </c>
      <c r="C96" s="200">
        <v>16.0</v>
      </c>
      <c r="D96" s="239">
        <v>0.0</v>
      </c>
      <c r="E96" s="200">
        <v>0.0</v>
      </c>
      <c r="F96" s="201">
        <f t="shared" si="1"/>
        <v>0</v>
      </c>
      <c r="G96" s="200">
        <v>0.0</v>
      </c>
      <c r="H96" s="202">
        <f t="shared" si="2"/>
        <v>0</v>
      </c>
      <c r="I96" s="203">
        <v>0.0</v>
      </c>
    </row>
    <row r="97">
      <c r="A97" s="51" t="s">
        <v>281</v>
      </c>
      <c r="B97" s="199">
        <v>4.0</v>
      </c>
      <c r="C97" s="200">
        <v>16.0</v>
      </c>
      <c r="D97" s="239">
        <v>0.0</v>
      </c>
      <c r="E97" s="200">
        <v>0.0</v>
      </c>
      <c r="F97" s="201">
        <f t="shared" si="1"/>
        <v>0</v>
      </c>
      <c r="G97" s="200">
        <v>0.0</v>
      </c>
      <c r="H97" s="202">
        <f t="shared" si="2"/>
        <v>0</v>
      </c>
      <c r="I97" s="203">
        <v>0.0</v>
      </c>
    </row>
    <row r="98">
      <c r="A98" s="51" t="s">
        <v>329</v>
      </c>
      <c r="B98" s="199">
        <v>4.0</v>
      </c>
      <c r="C98" s="200">
        <v>16.0</v>
      </c>
      <c r="D98" s="239">
        <v>0.0</v>
      </c>
      <c r="E98" s="200">
        <v>0.0</v>
      </c>
      <c r="F98" s="201">
        <f t="shared" si="1"/>
        <v>0</v>
      </c>
      <c r="G98" s="200">
        <v>0.0</v>
      </c>
      <c r="H98" s="202">
        <f t="shared" si="2"/>
        <v>0</v>
      </c>
      <c r="I98" s="203">
        <v>0.0</v>
      </c>
    </row>
    <row r="99">
      <c r="A99" s="51" t="s">
        <v>328</v>
      </c>
      <c r="B99" s="199">
        <v>4.0</v>
      </c>
      <c r="C99" s="200">
        <v>16.0</v>
      </c>
      <c r="D99" s="239">
        <v>1.0</v>
      </c>
      <c r="E99" s="200">
        <v>0.0</v>
      </c>
      <c r="F99" s="201">
        <f t="shared" si="1"/>
        <v>0</v>
      </c>
      <c r="G99" s="200">
        <v>0.0</v>
      </c>
      <c r="H99" s="202">
        <f t="shared" si="2"/>
        <v>0</v>
      </c>
      <c r="I99" s="203">
        <v>0.0</v>
      </c>
    </row>
    <row r="100">
      <c r="A100" s="51" t="s">
        <v>368</v>
      </c>
      <c r="B100" s="199">
        <v>4.0</v>
      </c>
      <c r="C100" s="200">
        <v>16.0</v>
      </c>
      <c r="D100" s="239">
        <v>0.0</v>
      </c>
      <c r="E100" s="200">
        <v>0.0</v>
      </c>
      <c r="F100" s="201">
        <f t="shared" si="1"/>
        <v>0</v>
      </c>
      <c r="G100" s="200">
        <v>0.0</v>
      </c>
      <c r="H100" s="202">
        <f t="shared" si="2"/>
        <v>0</v>
      </c>
      <c r="I100" s="203">
        <v>0.0</v>
      </c>
    </row>
    <row r="101">
      <c r="A101" s="51" t="s">
        <v>288</v>
      </c>
      <c r="B101" s="199">
        <v>3.0</v>
      </c>
      <c r="C101" s="200">
        <v>12.0</v>
      </c>
      <c r="D101" s="239">
        <v>0.0</v>
      </c>
      <c r="E101" s="200">
        <v>0.0</v>
      </c>
      <c r="F101" s="201">
        <f t="shared" si="1"/>
        <v>0</v>
      </c>
      <c r="G101" s="200">
        <v>0.0</v>
      </c>
      <c r="H101" s="202">
        <f t="shared" si="2"/>
        <v>0</v>
      </c>
      <c r="I101" s="203">
        <v>0.0</v>
      </c>
    </row>
    <row r="102">
      <c r="A102" s="51" t="s">
        <v>378</v>
      </c>
      <c r="B102" s="199">
        <v>2.0</v>
      </c>
      <c r="C102" s="200">
        <v>8.0</v>
      </c>
      <c r="D102" s="239">
        <v>0.0</v>
      </c>
      <c r="E102" s="200">
        <v>0.0</v>
      </c>
      <c r="F102" s="201">
        <f t="shared" si="1"/>
        <v>0</v>
      </c>
      <c r="G102" s="200">
        <v>0.0</v>
      </c>
      <c r="H102" s="202">
        <f t="shared" si="2"/>
        <v>0</v>
      </c>
      <c r="I102" s="203">
        <v>0.0</v>
      </c>
    </row>
    <row r="103">
      <c r="A103" s="51" t="s">
        <v>391</v>
      </c>
      <c r="B103" s="199">
        <v>3.0</v>
      </c>
      <c r="C103" s="200">
        <v>12.0</v>
      </c>
      <c r="D103" s="239">
        <v>1.0</v>
      </c>
      <c r="E103" s="200">
        <v>0.0</v>
      </c>
      <c r="F103" s="201">
        <f t="shared" si="1"/>
        <v>0</v>
      </c>
      <c r="G103" s="200">
        <v>0.0</v>
      </c>
      <c r="H103" s="202">
        <f t="shared" si="2"/>
        <v>0</v>
      </c>
      <c r="I103" s="203">
        <v>0.0</v>
      </c>
    </row>
    <row r="104">
      <c r="A104" s="51" t="s">
        <v>355</v>
      </c>
      <c r="B104" s="199">
        <v>3.0</v>
      </c>
      <c r="C104" s="200">
        <v>12.0</v>
      </c>
      <c r="D104" s="239">
        <v>7.0</v>
      </c>
      <c r="E104" s="200">
        <v>0.0</v>
      </c>
      <c r="F104" s="201">
        <f t="shared" si="1"/>
        <v>0</v>
      </c>
      <c r="G104" s="200">
        <v>0.33</v>
      </c>
      <c r="H104" s="202">
        <f t="shared" si="2"/>
        <v>0.99</v>
      </c>
      <c r="I104" s="203">
        <v>0.143</v>
      </c>
    </row>
    <row r="105">
      <c r="A105" s="51" t="s">
        <v>295</v>
      </c>
      <c r="B105" s="199">
        <v>1.0</v>
      </c>
      <c r="C105" s="200">
        <v>2.0</v>
      </c>
      <c r="D105" s="239">
        <v>2.0</v>
      </c>
      <c r="E105" s="200">
        <v>0.0</v>
      </c>
      <c r="F105" s="201">
        <f t="shared" si="1"/>
        <v>0</v>
      </c>
      <c r="G105" s="200">
        <v>0.0</v>
      </c>
      <c r="H105" s="202">
        <f t="shared" si="2"/>
        <v>0</v>
      </c>
      <c r="I105" s="203">
        <v>0.0</v>
      </c>
    </row>
    <row r="106">
      <c r="A106" s="51" t="s">
        <v>306</v>
      </c>
      <c r="B106" s="199">
        <v>4.0</v>
      </c>
      <c r="C106" s="200">
        <v>14.0</v>
      </c>
      <c r="D106" s="239">
        <v>1.0</v>
      </c>
      <c r="E106" s="200">
        <v>0.0</v>
      </c>
      <c r="F106" s="201">
        <f t="shared" si="1"/>
        <v>0</v>
      </c>
      <c r="G106" s="200">
        <v>0.0</v>
      </c>
      <c r="H106" s="202">
        <f t="shared" si="2"/>
        <v>0</v>
      </c>
      <c r="I106" s="203">
        <v>0.0</v>
      </c>
    </row>
    <row r="107">
      <c r="A107" s="51" t="s">
        <v>377</v>
      </c>
      <c r="B107" s="199">
        <v>1.0</v>
      </c>
      <c r="C107" s="200">
        <v>4.0</v>
      </c>
      <c r="D107" s="239">
        <v>0.0</v>
      </c>
      <c r="E107" s="200">
        <v>0.0</v>
      </c>
      <c r="F107" s="201">
        <f t="shared" si="1"/>
        <v>0</v>
      </c>
      <c r="G107" s="200">
        <v>0.0</v>
      </c>
      <c r="H107" s="202">
        <f t="shared" si="2"/>
        <v>0</v>
      </c>
      <c r="I107" s="203">
        <v>0.0</v>
      </c>
    </row>
    <row r="108">
      <c r="A108" s="51" t="s">
        <v>353</v>
      </c>
      <c r="B108" s="199">
        <v>2.0</v>
      </c>
      <c r="C108" s="200">
        <v>8.0</v>
      </c>
      <c r="D108" s="239">
        <v>0.0</v>
      </c>
      <c r="E108" s="200">
        <v>0.0</v>
      </c>
      <c r="F108" s="201">
        <f t="shared" si="1"/>
        <v>0</v>
      </c>
      <c r="G108" s="200">
        <v>0.0</v>
      </c>
      <c r="H108" s="202">
        <f t="shared" si="2"/>
        <v>0</v>
      </c>
      <c r="I108" s="203">
        <v>0.0</v>
      </c>
    </row>
    <row r="109">
      <c r="A109" s="51" t="s">
        <v>406</v>
      </c>
      <c r="B109" s="199">
        <v>1.0</v>
      </c>
      <c r="C109" s="200">
        <v>4.0</v>
      </c>
      <c r="D109" s="239">
        <v>0.0</v>
      </c>
      <c r="E109" s="200">
        <v>0.0</v>
      </c>
      <c r="F109" s="201">
        <f t="shared" si="1"/>
        <v>0</v>
      </c>
      <c r="G109" s="200">
        <v>0.0</v>
      </c>
      <c r="H109" s="202">
        <f t="shared" si="2"/>
        <v>0</v>
      </c>
      <c r="I109" s="203">
        <v>0.0</v>
      </c>
    </row>
    <row r="110">
      <c r="A110" s="51" t="s">
        <v>309</v>
      </c>
      <c r="B110" s="199">
        <v>2.0</v>
      </c>
      <c r="C110" s="200">
        <v>8.0</v>
      </c>
      <c r="D110" s="239">
        <v>0.0</v>
      </c>
      <c r="E110" s="200">
        <v>0.0</v>
      </c>
      <c r="F110" s="201">
        <f t="shared" si="1"/>
        <v>0</v>
      </c>
      <c r="G110" s="200">
        <v>0.0</v>
      </c>
      <c r="H110" s="202">
        <f t="shared" si="2"/>
        <v>0</v>
      </c>
      <c r="I110" s="203">
        <v>0.0</v>
      </c>
    </row>
    <row r="111">
      <c r="A111" s="51" t="s">
        <v>348</v>
      </c>
      <c r="B111" s="199">
        <v>2.0</v>
      </c>
      <c r="C111" s="200">
        <v>8.0</v>
      </c>
      <c r="D111" s="239">
        <v>0.0</v>
      </c>
      <c r="E111" s="200">
        <v>0.0</v>
      </c>
      <c r="F111" s="201">
        <f t="shared" si="1"/>
        <v>0</v>
      </c>
      <c r="G111" s="200">
        <v>0.0</v>
      </c>
      <c r="H111" s="202">
        <f t="shared" si="2"/>
        <v>0</v>
      </c>
      <c r="I111" s="203">
        <v>0.0</v>
      </c>
    </row>
    <row r="112">
      <c r="A112" s="51" t="s">
        <v>314</v>
      </c>
      <c r="B112" s="199">
        <v>2.0</v>
      </c>
      <c r="C112" s="200">
        <v>8.0</v>
      </c>
      <c r="D112" s="239">
        <v>0.0</v>
      </c>
      <c r="E112" s="200">
        <v>0.0</v>
      </c>
      <c r="F112" s="201">
        <f t="shared" si="1"/>
        <v>0</v>
      </c>
      <c r="G112" s="200">
        <v>0.0</v>
      </c>
      <c r="H112" s="202">
        <f t="shared" si="2"/>
        <v>0</v>
      </c>
      <c r="I112" s="203">
        <v>0.0</v>
      </c>
    </row>
    <row r="113">
      <c r="A113" s="51" t="s">
        <v>384</v>
      </c>
      <c r="B113" s="199">
        <v>2.0</v>
      </c>
      <c r="C113" s="200">
        <v>8.0</v>
      </c>
      <c r="D113" s="239">
        <v>0.0</v>
      </c>
      <c r="E113" s="200">
        <v>0.0</v>
      </c>
      <c r="F113" s="201">
        <f t="shared" si="1"/>
        <v>0</v>
      </c>
      <c r="G113" s="200">
        <v>0.0</v>
      </c>
      <c r="H113" s="202">
        <f t="shared" si="2"/>
        <v>0</v>
      </c>
      <c r="I113" s="203">
        <v>0.0</v>
      </c>
    </row>
    <row r="114">
      <c r="A114" s="51" t="s">
        <v>397</v>
      </c>
      <c r="B114" s="199">
        <v>2.0</v>
      </c>
      <c r="C114" s="200">
        <v>8.0</v>
      </c>
      <c r="D114" s="239">
        <v>1.0</v>
      </c>
      <c r="E114" s="200">
        <v>0.0</v>
      </c>
      <c r="F114" s="201">
        <f t="shared" si="1"/>
        <v>0</v>
      </c>
      <c r="G114" s="200">
        <v>0.0</v>
      </c>
      <c r="H114" s="202">
        <f t="shared" si="2"/>
        <v>0</v>
      </c>
      <c r="I114" s="203">
        <v>0.0</v>
      </c>
    </row>
    <row r="115">
      <c r="A115" s="51" t="s">
        <v>399</v>
      </c>
      <c r="B115" s="199">
        <v>1.0</v>
      </c>
      <c r="C115" s="200">
        <v>4.0</v>
      </c>
      <c r="D115" s="239">
        <v>0.0</v>
      </c>
      <c r="E115" s="200">
        <v>0.0</v>
      </c>
      <c r="F115" s="201">
        <f t="shared" si="1"/>
        <v>0</v>
      </c>
      <c r="G115" s="200">
        <v>0.0</v>
      </c>
      <c r="H115" s="202">
        <f t="shared" si="2"/>
        <v>0</v>
      </c>
      <c r="I115" s="203">
        <v>0.0</v>
      </c>
    </row>
    <row r="116">
      <c r="A116" s="51" t="s">
        <v>360</v>
      </c>
      <c r="B116" s="199">
        <v>1.0</v>
      </c>
      <c r="C116" s="200">
        <v>4.0</v>
      </c>
      <c r="D116" s="239">
        <v>0.0</v>
      </c>
      <c r="E116" s="200">
        <v>0.0</v>
      </c>
      <c r="F116" s="201">
        <f t="shared" si="1"/>
        <v>0</v>
      </c>
      <c r="G116" s="200">
        <v>0.0</v>
      </c>
      <c r="H116" s="202">
        <f t="shared" si="2"/>
        <v>0</v>
      </c>
      <c r="I116" s="203">
        <v>0.0</v>
      </c>
    </row>
    <row r="117">
      <c r="A117" s="51" t="s">
        <v>335</v>
      </c>
      <c r="B117" s="199">
        <v>1.0</v>
      </c>
      <c r="C117" s="200">
        <v>4.0</v>
      </c>
      <c r="D117" s="239">
        <v>0.0</v>
      </c>
      <c r="E117" s="200">
        <v>0.0</v>
      </c>
      <c r="F117" s="201">
        <f t="shared" si="1"/>
        <v>0</v>
      </c>
      <c r="G117" s="200">
        <v>0.0</v>
      </c>
      <c r="H117" s="202">
        <f t="shared" si="2"/>
        <v>0</v>
      </c>
      <c r="I117" s="203">
        <v>0.0</v>
      </c>
    </row>
    <row r="118">
      <c r="A118" s="51" t="s">
        <v>365</v>
      </c>
      <c r="B118" s="199">
        <v>4.0</v>
      </c>
      <c r="C118" s="200">
        <v>16.0</v>
      </c>
      <c r="D118" s="239">
        <v>8.0</v>
      </c>
      <c r="E118" s="200">
        <v>-1.0</v>
      </c>
      <c r="F118" s="201">
        <f t="shared" si="1"/>
        <v>-1</v>
      </c>
      <c r="G118" s="200">
        <v>0.75</v>
      </c>
      <c r="H118" s="202">
        <f t="shared" si="2"/>
        <v>3</v>
      </c>
      <c r="I118" s="203">
        <v>0.25</v>
      </c>
    </row>
    <row r="119">
      <c r="A119" s="51" t="s">
        <v>273</v>
      </c>
      <c r="B119" s="199">
        <v>4.0</v>
      </c>
      <c r="C119" s="200">
        <v>16.0</v>
      </c>
      <c r="D119" s="239">
        <v>4.0</v>
      </c>
      <c r="E119" s="200">
        <v>-1.0</v>
      </c>
      <c r="F119" s="201">
        <f t="shared" si="1"/>
        <v>-1</v>
      </c>
      <c r="G119" s="200">
        <v>0.5</v>
      </c>
      <c r="H119" s="202">
        <f t="shared" si="2"/>
        <v>2</v>
      </c>
      <c r="I119" s="203">
        <v>0.25</v>
      </c>
    </row>
    <row r="120">
      <c r="A120" s="51" t="s">
        <v>369</v>
      </c>
      <c r="B120" s="199">
        <v>4.0</v>
      </c>
      <c r="C120" s="200">
        <v>16.0</v>
      </c>
      <c r="D120" s="239">
        <v>5.0</v>
      </c>
      <c r="E120" s="200">
        <v>-1.0</v>
      </c>
      <c r="F120" s="201">
        <f t="shared" si="1"/>
        <v>-1</v>
      </c>
      <c r="G120" s="200">
        <v>0.5</v>
      </c>
      <c r="H120" s="202">
        <f t="shared" si="2"/>
        <v>2</v>
      </c>
      <c r="I120" s="203">
        <v>0.2</v>
      </c>
    </row>
    <row r="121">
      <c r="A121" s="51" t="s">
        <v>301</v>
      </c>
      <c r="B121" s="199">
        <v>4.0</v>
      </c>
      <c r="C121" s="200">
        <v>16.0</v>
      </c>
      <c r="D121" s="239">
        <v>1.0</v>
      </c>
      <c r="E121" s="200">
        <v>-1.0</v>
      </c>
      <c r="F121" s="201">
        <f t="shared" si="1"/>
        <v>-1</v>
      </c>
      <c r="G121" s="200">
        <v>0.25</v>
      </c>
      <c r="H121" s="202">
        <f t="shared" si="2"/>
        <v>1</v>
      </c>
      <c r="I121" s="203">
        <v>0.0</v>
      </c>
    </row>
    <row r="122">
      <c r="A122" s="51" t="s">
        <v>302</v>
      </c>
      <c r="B122" s="199">
        <v>4.0</v>
      </c>
      <c r="C122" s="200">
        <v>16.0</v>
      </c>
      <c r="D122" s="239">
        <v>8.0</v>
      </c>
      <c r="E122" s="200">
        <v>-1.0</v>
      </c>
      <c r="F122" s="201">
        <f t="shared" si="1"/>
        <v>-1</v>
      </c>
      <c r="G122" s="200">
        <v>0.75</v>
      </c>
      <c r="H122" s="202">
        <f t="shared" si="2"/>
        <v>3</v>
      </c>
      <c r="I122" s="203">
        <v>0.25</v>
      </c>
    </row>
    <row r="123">
      <c r="A123" s="51" t="s">
        <v>320</v>
      </c>
      <c r="B123" s="199">
        <v>4.0</v>
      </c>
      <c r="C123" s="200">
        <v>16.0</v>
      </c>
      <c r="D123" s="239">
        <v>2.0</v>
      </c>
      <c r="E123" s="200">
        <v>-1.0</v>
      </c>
      <c r="F123" s="201">
        <f t="shared" si="1"/>
        <v>-1</v>
      </c>
      <c r="G123" s="200">
        <v>0.25</v>
      </c>
      <c r="H123" s="202">
        <f t="shared" si="2"/>
        <v>1</v>
      </c>
      <c r="I123" s="203">
        <v>0.0</v>
      </c>
    </row>
    <row r="124">
      <c r="A124" s="51" t="s">
        <v>380</v>
      </c>
      <c r="B124" s="199">
        <v>4.0</v>
      </c>
      <c r="C124" s="200">
        <v>16.0</v>
      </c>
      <c r="D124" s="239">
        <v>3.0</v>
      </c>
      <c r="E124" s="200">
        <v>-1.0</v>
      </c>
      <c r="F124" s="201">
        <f t="shared" si="1"/>
        <v>-1</v>
      </c>
      <c r="G124" s="200">
        <v>0.25</v>
      </c>
      <c r="H124" s="202">
        <f t="shared" si="2"/>
        <v>1</v>
      </c>
      <c r="I124" s="203">
        <v>0.0</v>
      </c>
    </row>
    <row r="125">
      <c r="A125" s="51" t="s">
        <v>342</v>
      </c>
      <c r="B125" s="199">
        <v>3.0</v>
      </c>
      <c r="C125" s="200">
        <v>12.0</v>
      </c>
      <c r="D125" s="239">
        <v>1.0</v>
      </c>
      <c r="E125" s="200">
        <v>-1.33</v>
      </c>
      <c r="F125" s="201">
        <f t="shared" si="1"/>
        <v>-1.33</v>
      </c>
      <c r="G125" s="200">
        <v>0.33</v>
      </c>
      <c r="H125" s="202">
        <f t="shared" si="2"/>
        <v>0.99</v>
      </c>
      <c r="I125" s="203">
        <v>0.0</v>
      </c>
    </row>
    <row r="126">
      <c r="A126" s="51" t="s">
        <v>332</v>
      </c>
      <c r="B126" s="199">
        <v>4.0</v>
      </c>
      <c r="C126" s="200">
        <v>16.0</v>
      </c>
      <c r="D126" s="239">
        <v>4.0</v>
      </c>
      <c r="E126" s="200">
        <v>-2.0</v>
      </c>
      <c r="F126" s="201">
        <f t="shared" si="1"/>
        <v>-2</v>
      </c>
      <c r="G126" s="200">
        <v>0.5</v>
      </c>
      <c r="H126" s="202">
        <f t="shared" si="2"/>
        <v>2</v>
      </c>
      <c r="I126" s="203">
        <v>0.0</v>
      </c>
    </row>
    <row r="127">
      <c r="A127" s="51" t="s">
        <v>272</v>
      </c>
      <c r="B127" s="199">
        <v>4.0</v>
      </c>
      <c r="C127" s="200">
        <v>16.0</v>
      </c>
      <c r="D127" s="239">
        <v>7.0</v>
      </c>
      <c r="E127" s="200">
        <v>-2.0</v>
      </c>
      <c r="F127" s="201">
        <f t="shared" si="1"/>
        <v>-2</v>
      </c>
      <c r="G127" s="200">
        <v>1.0</v>
      </c>
      <c r="H127" s="202">
        <f t="shared" si="2"/>
        <v>4</v>
      </c>
      <c r="I127" s="203">
        <v>0.286</v>
      </c>
    </row>
    <row r="128">
      <c r="A128" s="204"/>
      <c r="B128" s="204"/>
      <c r="C128" s="205"/>
      <c r="D128" s="204"/>
      <c r="E128" s="205"/>
      <c r="F128" s="201"/>
      <c r="G128" s="205"/>
      <c r="H128" s="202"/>
      <c r="I128" s="204"/>
    </row>
    <row r="129">
      <c r="A129" s="204"/>
      <c r="B129" s="204"/>
      <c r="C129" s="205"/>
      <c r="D129" s="204"/>
      <c r="E129" s="205"/>
      <c r="F129" s="201"/>
      <c r="G129" s="205"/>
      <c r="H129" s="202"/>
      <c r="I129" s="204"/>
    </row>
    <row r="130">
      <c r="A130" s="204"/>
      <c r="B130" s="204"/>
      <c r="C130" s="205"/>
      <c r="D130" s="204"/>
      <c r="E130" s="205"/>
      <c r="F130" s="201"/>
      <c r="G130" s="205"/>
      <c r="H130" s="202"/>
      <c r="I130" s="204"/>
    </row>
    <row r="131">
      <c r="A131" s="204"/>
      <c r="B131" s="204"/>
      <c r="C131" s="205"/>
      <c r="D131" s="204"/>
      <c r="E131" s="205"/>
      <c r="F131" s="201"/>
      <c r="G131" s="205"/>
      <c r="H131" s="202"/>
      <c r="I131" s="204"/>
    </row>
    <row r="132">
      <c r="A132" s="204"/>
      <c r="B132" s="204"/>
      <c r="C132" s="205"/>
      <c r="D132" s="204"/>
      <c r="E132" s="205"/>
      <c r="F132" s="201"/>
      <c r="G132" s="205"/>
      <c r="H132" s="202"/>
      <c r="I132" s="204"/>
    </row>
    <row r="133">
      <c r="A133" s="204"/>
      <c r="B133" s="204"/>
      <c r="C133" s="205"/>
      <c r="D133" s="204"/>
      <c r="E133" s="205"/>
      <c r="F133" s="201"/>
      <c r="G133" s="205"/>
      <c r="H133" s="202"/>
      <c r="I133" s="204"/>
    </row>
    <row r="134">
      <c r="A134" s="204"/>
      <c r="B134" s="204"/>
      <c r="C134" s="205"/>
      <c r="D134" s="204"/>
      <c r="E134" s="205"/>
      <c r="F134" s="201"/>
      <c r="G134" s="205"/>
      <c r="H134" s="202"/>
      <c r="I134" s="204"/>
    </row>
    <row r="135">
      <c r="A135" s="204"/>
      <c r="B135" s="204"/>
      <c r="C135" s="205"/>
      <c r="D135" s="204"/>
      <c r="E135" s="205"/>
      <c r="F135" s="201"/>
      <c r="G135" s="205"/>
      <c r="H135" s="202"/>
      <c r="I135" s="204"/>
    </row>
    <row r="136">
      <c r="A136" s="204"/>
      <c r="B136" s="204"/>
      <c r="C136" s="205"/>
      <c r="D136" s="204"/>
      <c r="E136" s="205"/>
      <c r="F136" s="201"/>
      <c r="G136" s="205"/>
      <c r="H136" s="202"/>
      <c r="I136" s="204"/>
    </row>
    <row r="137">
      <c r="A137" s="204"/>
      <c r="B137" s="204"/>
      <c r="C137" s="205"/>
      <c r="D137" s="204"/>
      <c r="E137" s="205"/>
      <c r="F137" s="201"/>
      <c r="G137" s="205"/>
      <c r="H137" s="202"/>
      <c r="I137" s="204"/>
    </row>
    <row r="138">
      <c r="A138" s="204"/>
      <c r="B138" s="204"/>
      <c r="C138" s="205"/>
      <c r="D138" s="204"/>
      <c r="E138" s="205"/>
      <c r="F138" s="201"/>
      <c r="G138" s="205"/>
      <c r="H138" s="202"/>
      <c r="I138" s="204"/>
    </row>
    <row r="139">
      <c r="A139" s="204"/>
      <c r="B139" s="204"/>
      <c r="C139" s="205"/>
      <c r="D139" s="204"/>
      <c r="E139" s="205"/>
      <c r="F139" s="201"/>
      <c r="G139" s="205"/>
      <c r="H139" s="202"/>
      <c r="I139" s="204"/>
    </row>
  </sheetData>
  <hyperlinks>
    <hyperlink display="Catstats Hub" location="'Catstats Hub'!A1" ref="A1"/>
  </hyperlin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196" t="s">
        <v>268</v>
      </c>
      <c r="G1" s="207" t="s">
        <v>269</v>
      </c>
      <c r="H1" s="216" t="s">
        <v>270</v>
      </c>
      <c r="I1" s="224" t="s">
        <v>271</v>
      </c>
    </row>
    <row r="2">
      <c r="A2" s="45" t="s">
        <v>295</v>
      </c>
      <c r="B2" s="211">
        <v>1.0</v>
      </c>
      <c r="C2" s="212">
        <v>4.0</v>
      </c>
      <c r="D2" s="45">
        <v>3.0</v>
      </c>
      <c r="E2" s="212">
        <v>12.0</v>
      </c>
      <c r="F2" s="201">
        <f t="shared" ref="F2:F132" si="1">E2*B2*4/C2</f>
        <v>12</v>
      </c>
      <c r="G2" s="212">
        <v>0.0</v>
      </c>
      <c r="H2" s="202">
        <f t="shared" ref="H2:H132" si="2">G2*B2</f>
        <v>0</v>
      </c>
      <c r="I2" s="226">
        <v>1.0</v>
      </c>
    </row>
    <row r="3">
      <c r="A3" s="45" t="s">
        <v>282</v>
      </c>
      <c r="B3" s="211">
        <v>4.0</v>
      </c>
      <c r="C3" s="212">
        <v>16.0</v>
      </c>
      <c r="D3" s="45">
        <v>14.0</v>
      </c>
      <c r="E3" s="212">
        <v>11.0</v>
      </c>
      <c r="F3" s="201">
        <f t="shared" si="1"/>
        <v>11</v>
      </c>
      <c r="G3" s="212">
        <v>0.0</v>
      </c>
      <c r="H3" s="202">
        <f t="shared" si="2"/>
        <v>0</v>
      </c>
      <c r="I3" s="226">
        <v>0.786</v>
      </c>
    </row>
    <row r="4">
      <c r="A4" s="45" t="s">
        <v>307</v>
      </c>
      <c r="B4" s="211">
        <v>4.0</v>
      </c>
      <c r="C4" s="212">
        <v>16.0</v>
      </c>
      <c r="D4" s="45">
        <v>11.0</v>
      </c>
      <c r="E4" s="212">
        <v>9.0</v>
      </c>
      <c r="F4" s="201">
        <f t="shared" si="1"/>
        <v>9</v>
      </c>
      <c r="G4" s="212">
        <v>0.0</v>
      </c>
      <c r="H4" s="202">
        <f t="shared" si="2"/>
        <v>0</v>
      </c>
      <c r="I4" s="226">
        <v>0.818</v>
      </c>
    </row>
    <row r="5">
      <c r="A5" s="45" t="s">
        <v>308</v>
      </c>
      <c r="B5" s="211">
        <v>4.0</v>
      </c>
      <c r="C5" s="212">
        <v>16.0</v>
      </c>
      <c r="D5" s="45">
        <v>12.0</v>
      </c>
      <c r="E5" s="212">
        <v>8.0</v>
      </c>
      <c r="F5" s="201">
        <f t="shared" si="1"/>
        <v>8</v>
      </c>
      <c r="G5" s="212">
        <v>0.0</v>
      </c>
      <c r="H5" s="202">
        <f t="shared" si="2"/>
        <v>0</v>
      </c>
      <c r="I5" s="226">
        <v>0.667</v>
      </c>
    </row>
    <row r="6">
      <c r="A6" s="45" t="s">
        <v>353</v>
      </c>
      <c r="B6" s="211">
        <v>2.0</v>
      </c>
      <c r="C6" s="212">
        <v>8.0</v>
      </c>
      <c r="D6" s="45">
        <v>4.0</v>
      </c>
      <c r="E6" s="212">
        <v>8.0</v>
      </c>
      <c r="F6" s="201">
        <f t="shared" si="1"/>
        <v>8</v>
      </c>
      <c r="G6" s="212">
        <v>0.0</v>
      </c>
      <c r="H6" s="202">
        <f t="shared" si="2"/>
        <v>0</v>
      </c>
      <c r="I6" s="226">
        <v>1.0</v>
      </c>
    </row>
    <row r="7">
      <c r="A7" s="45" t="s">
        <v>273</v>
      </c>
      <c r="B7" s="211">
        <v>4.0</v>
      </c>
      <c r="C7" s="212">
        <v>16.0</v>
      </c>
      <c r="D7" s="45">
        <v>16.0</v>
      </c>
      <c r="E7" s="212">
        <v>5.0</v>
      </c>
      <c r="F7" s="201">
        <f t="shared" si="1"/>
        <v>5</v>
      </c>
      <c r="G7" s="212">
        <v>0.75</v>
      </c>
      <c r="H7" s="202">
        <f t="shared" si="2"/>
        <v>3</v>
      </c>
      <c r="I7" s="226">
        <v>0.5</v>
      </c>
    </row>
    <row r="8">
      <c r="A8" s="45" t="s">
        <v>272</v>
      </c>
      <c r="B8" s="211">
        <v>4.0</v>
      </c>
      <c r="C8" s="212">
        <v>16.0</v>
      </c>
      <c r="D8" s="45">
        <v>13.0</v>
      </c>
      <c r="E8" s="212">
        <v>5.0</v>
      </c>
      <c r="F8" s="201">
        <f t="shared" si="1"/>
        <v>5</v>
      </c>
      <c r="G8" s="212">
        <v>0.75</v>
      </c>
      <c r="H8" s="202">
        <f t="shared" si="2"/>
        <v>3</v>
      </c>
      <c r="I8" s="226">
        <v>0.615</v>
      </c>
    </row>
    <row r="9">
      <c r="A9" s="45" t="s">
        <v>325</v>
      </c>
      <c r="B9" s="211">
        <v>4.0</v>
      </c>
      <c r="C9" s="212">
        <v>16.0</v>
      </c>
      <c r="D9" s="45">
        <v>11.0</v>
      </c>
      <c r="E9" s="212">
        <v>5.0</v>
      </c>
      <c r="F9" s="201">
        <f t="shared" si="1"/>
        <v>5</v>
      </c>
      <c r="G9" s="212">
        <v>0.5</v>
      </c>
      <c r="H9" s="202">
        <f t="shared" si="2"/>
        <v>2</v>
      </c>
      <c r="I9" s="226">
        <v>0.636</v>
      </c>
    </row>
    <row r="10">
      <c r="A10" s="45" t="s">
        <v>285</v>
      </c>
      <c r="B10" s="211">
        <v>4.0</v>
      </c>
      <c r="C10" s="212">
        <v>16.0</v>
      </c>
      <c r="D10" s="45">
        <v>8.0</v>
      </c>
      <c r="E10" s="212">
        <v>5.0</v>
      </c>
      <c r="F10" s="201">
        <f t="shared" si="1"/>
        <v>5</v>
      </c>
      <c r="G10" s="212">
        <v>0.25</v>
      </c>
      <c r="H10" s="202">
        <f t="shared" si="2"/>
        <v>1</v>
      </c>
      <c r="I10" s="226">
        <v>0.75</v>
      </c>
    </row>
    <row r="11">
      <c r="A11" s="45" t="s">
        <v>330</v>
      </c>
      <c r="B11" s="211">
        <v>4.0</v>
      </c>
      <c r="C11" s="212">
        <v>15.0</v>
      </c>
      <c r="D11" s="45">
        <v>6.0</v>
      </c>
      <c r="E11" s="212">
        <v>4.0</v>
      </c>
      <c r="F11" s="201">
        <f t="shared" si="1"/>
        <v>4.266666667</v>
      </c>
      <c r="G11" s="212">
        <v>0.0</v>
      </c>
      <c r="H11" s="202">
        <f t="shared" si="2"/>
        <v>0</v>
      </c>
      <c r="I11" s="226">
        <v>0.667</v>
      </c>
    </row>
    <row r="12">
      <c r="A12" s="45" t="s">
        <v>288</v>
      </c>
      <c r="B12" s="211">
        <v>3.0</v>
      </c>
      <c r="C12" s="212">
        <v>12.0</v>
      </c>
      <c r="D12" s="45">
        <v>10.0</v>
      </c>
      <c r="E12" s="212">
        <v>4.0</v>
      </c>
      <c r="F12" s="201">
        <f t="shared" si="1"/>
        <v>4</v>
      </c>
      <c r="G12" s="212">
        <v>1.0</v>
      </c>
      <c r="H12" s="202">
        <f t="shared" si="2"/>
        <v>3</v>
      </c>
      <c r="I12" s="226">
        <v>0.6</v>
      </c>
    </row>
    <row r="13">
      <c r="A13" s="45" t="s">
        <v>292</v>
      </c>
      <c r="B13" s="211">
        <v>1.0</v>
      </c>
      <c r="C13" s="212">
        <v>4.0</v>
      </c>
      <c r="D13" s="45">
        <v>1.0</v>
      </c>
      <c r="E13" s="212">
        <v>4.0</v>
      </c>
      <c r="F13" s="201">
        <f t="shared" si="1"/>
        <v>4</v>
      </c>
      <c r="G13" s="212">
        <v>0.0</v>
      </c>
      <c r="H13" s="202">
        <f t="shared" si="2"/>
        <v>0</v>
      </c>
      <c r="I13" s="226">
        <v>1.0</v>
      </c>
    </row>
    <row r="14">
      <c r="A14" s="45" t="s">
        <v>278</v>
      </c>
      <c r="B14" s="211">
        <v>3.0</v>
      </c>
      <c r="C14" s="212">
        <v>12.0</v>
      </c>
      <c r="D14" s="45">
        <v>7.0</v>
      </c>
      <c r="E14" s="212">
        <v>4.0</v>
      </c>
      <c r="F14" s="201">
        <f t="shared" si="1"/>
        <v>4</v>
      </c>
      <c r="G14" s="212">
        <v>0.0</v>
      </c>
      <c r="H14" s="202">
        <f t="shared" si="2"/>
        <v>0</v>
      </c>
      <c r="I14" s="226">
        <v>0.429</v>
      </c>
    </row>
    <row r="15">
      <c r="A15" s="45" t="s">
        <v>335</v>
      </c>
      <c r="B15" s="211">
        <v>1.0</v>
      </c>
      <c r="C15" s="212">
        <v>4.0</v>
      </c>
      <c r="D15" s="45">
        <v>1.0</v>
      </c>
      <c r="E15" s="212">
        <v>4.0</v>
      </c>
      <c r="F15" s="201">
        <f t="shared" si="1"/>
        <v>4</v>
      </c>
      <c r="G15" s="212">
        <v>0.0</v>
      </c>
      <c r="H15" s="202">
        <f t="shared" si="2"/>
        <v>0</v>
      </c>
      <c r="I15" s="226">
        <v>1.0</v>
      </c>
    </row>
    <row r="16">
      <c r="A16" s="45" t="s">
        <v>329</v>
      </c>
      <c r="B16" s="211">
        <v>4.0</v>
      </c>
      <c r="C16" s="212">
        <v>17.0</v>
      </c>
      <c r="D16" s="45">
        <v>11.0</v>
      </c>
      <c r="E16" s="212">
        <v>4.0</v>
      </c>
      <c r="F16" s="201">
        <f t="shared" si="1"/>
        <v>3.764705882</v>
      </c>
      <c r="G16" s="212">
        <v>0.25</v>
      </c>
      <c r="H16" s="202">
        <f t="shared" si="2"/>
        <v>1</v>
      </c>
      <c r="I16" s="226">
        <v>0.455</v>
      </c>
    </row>
    <row r="17">
      <c r="A17" s="45" t="s">
        <v>278</v>
      </c>
      <c r="B17" s="211">
        <v>3.0</v>
      </c>
      <c r="C17" s="212">
        <v>69.0</v>
      </c>
      <c r="D17" s="45">
        <v>26.0</v>
      </c>
      <c r="E17" s="212">
        <v>21.33</v>
      </c>
      <c r="F17" s="201">
        <f t="shared" si="1"/>
        <v>3.709565217</v>
      </c>
      <c r="G17" s="212">
        <v>1.33</v>
      </c>
      <c r="H17" s="202">
        <f t="shared" si="2"/>
        <v>3.99</v>
      </c>
      <c r="I17" s="226">
        <v>0.769</v>
      </c>
    </row>
    <row r="18">
      <c r="A18" s="45" t="s">
        <v>287</v>
      </c>
      <c r="B18" s="211">
        <v>4.0</v>
      </c>
      <c r="C18" s="212">
        <v>13.0</v>
      </c>
      <c r="D18" s="45">
        <v>5.0</v>
      </c>
      <c r="E18" s="212">
        <v>3.0</v>
      </c>
      <c r="F18" s="201">
        <f t="shared" si="1"/>
        <v>3.692307692</v>
      </c>
      <c r="G18" s="212">
        <v>0.25</v>
      </c>
      <c r="H18" s="202">
        <f t="shared" si="2"/>
        <v>1</v>
      </c>
      <c r="I18" s="226">
        <v>0.8</v>
      </c>
    </row>
    <row r="19">
      <c r="A19" s="45" t="s">
        <v>277</v>
      </c>
      <c r="B19" s="211">
        <v>3.0</v>
      </c>
      <c r="C19" s="212">
        <v>9.0</v>
      </c>
      <c r="D19" s="45">
        <v>3.0</v>
      </c>
      <c r="E19" s="212">
        <v>2.67</v>
      </c>
      <c r="F19" s="201">
        <f t="shared" si="1"/>
        <v>3.56</v>
      </c>
      <c r="G19" s="212">
        <v>0.0</v>
      </c>
      <c r="H19" s="202">
        <f t="shared" si="2"/>
        <v>0</v>
      </c>
      <c r="I19" s="226">
        <v>0.667</v>
      </c>
    </row>
    <row r="20">
      <c r="A20" s="45" t="s">
        <v>323</v>
      </c>
      <c r="B20" s="211">
        <v>4.0</v>
      </c>
      <c r="C20" s="212">
        <v>16.0</v>
      </c>
      <c r="D20" s="45">
        <v>10.0</v>
      </c>
      <c r="E20" s="212">
        <v>3.0</v>
      </c>
      <c r="F20" s="201">
        <f t="shared" si="1"/>
        <v>3</v>
      </c>
      <c r="G20" s="212">
        <v>0.5</v>
      </c>
      <c r="H20" s="202">
        <f t="shared" si="2"/>
        <v>2</v>
      </c>
      <c r="I20" s="226">
        <v>0.5</v>
      </c>
    </row>
    <row r="21">
      <c r="A21" s="45" t="s">
        <v>319</v>
      </c>
      <c r="B21" s="211">
        <v>4.0</v>
      </c>
      <c r="C21" s="212">
        <v>16.0</v>
      </c>
      <c r="D21" s="45">
        <v>6.0</v>
      </c>
      <c r="E21" s="212">
        <v>3.0</v>
      </c>
      <c r="F21" s="201">
        <f t="shared" si="1"/>
        <v>3</v>
      </c>
      <c r="G21" s="212">
        <v>0.25</v>
      </c>
      <c r="H21" s="202">
        <f t="shared" si="2"/>
        <v>1</v>
      </c>
      <c r="I21" s="226">
        <v>0.667</v>
      </c>
    </row>
    <row r="22">
      <c r="A22" s="45" t="s">
        <v>295</v>
      </c>
      <c r="B22" s="211">
        <v>1.0</v>
      </c>
      <c r="C22" s="212">
        <v>23.0</v>
      </c>
      <c r="D22" s="45">
        <v>6.0</v>
      </c>
      <c r="E22" s="212">
        <v>16.0</v>
      </c>
      <c r="F22" s="201">
        <f t="shared" si="1"/>
        <v>2.782608696</v>
      </c>
      <c r="G22" s="212">
        <v>0.0</v>
      </c>
      <c r="H22" s="202">
        <f t="shared" si="2"/>
        <v>0</v>
      </c>
      <c r="I22" s="226">
        <v>0.667</v>
      </c>
    </row>
    <row r="23">
      <c r="A23" s="45" t="s">
        <v>306</v>
      </c>
      <c r="B23" s="211">
        <v>4.0</v>
      </c>
      <c r="C23" s="212">
        <v>13.0</v>
      </c>
      <c r="D23" s="45">
        <v>4.0</v>
      </c>
      <c r="E23" s="212">
        <v>2.0</v>
      </c>
      <c r="F23" s="201">
        <f t="shared" si="1"/>
        <v>2.461538462</v>
      </c>
      <c r="G23" s="212">
        <v>0.0</v>
      </c>
      <c r="H23" s="202">
        <f t="shared" si="2"/>
        <v>0</v>
      </c>
      <c r="I23" s="226">
        <v>0.5</v>
      </c>
    </row>
    <row r="24">
      <c r="A24" s="45" t="s">
        <v>305</v>
      </c>
      <c r="B24" s="211">
        <v>1.0</v>
      </c>
      <c r="C24" s="212">
        <v>22.0</v>
      </c>
      <c r="D24" s="45">
        <v>3.0</v>
      </c>
      <c r="E24" s="212">
        <v>12.0</v>
      </c>
      <c r="F24" s="201">
        <f t="shared" si="1"/>
        <v>2.181818182</v>
      </c>
      <c r="G24" s="212">
        <v>0.0</v>
      </c>
      <c r="H24" s="202">
        <f t="shared" si="2"/>
        <v>0</v>
      </c>
      <c r="I24" s="226">
        <v>1.0</v>
      </c>
    </row>
    <row r="25">
      <c r="A25" s="45" t="s">
        <v>276</v>
      </c>
      <c r="B25" s="211">
        <v>4.0</v>
      </c>
      <c r="C25" s="212">
        <v>15.0</v>
      </c>
      <c r="D25" s="45">
        <v>12.0</v>
      </c>
      <c r="E25" s="212">
        <v>2.0</v>
      </c>
      <c r="F25" s="201">
        <f t="shared" si="1"/>
        <v>2.133333333</v>
      </c>
      <c r="G25" s="212">
        <v>0.5</v>
      </c>
      <c r="H25" s="202">
        <f t="shared" si="2"/>
        <v>2</v>
      </c>
      <c r="I25" s="226">
        <v>0.333</v>
      </c>
    </row>
    <row r="26">
      <c r="A26" s="45" t="s">
        <v>402</v>
      </c>
      <c r="B26" s="211">
        <v>4.0</v>
      </c>
      <c r="C26" s="212">
        <v>15.0</v>
      </c>
      <c r="D26" s="45">
        <v>2.0</v>
      </c>
      <c r="E26" s="212">
        <v>2.0</v>
      </c>
      <c r="F26" s="201">
        <f t="shared" si="1"/>
        <v>2.133333333</v>
      </c>
      <c r="G26" s="212">
        <v>0.0</v>
      </c>
      <c r="H26" s="202">
        <f t="shared" si="2"/>
        <v>0</v>
      </c>
      <c r="I26" s="226">
        <v>1.0</v>
      </c>
    </row>
    <row r="27">
      <c r="A27" s="45" t="s">
        <v>296</v>
      </c>
      <c r="B27" s="211">
        <v>4.0</v>
      </c>
      <c r="C27" s="212">
        <v>16.0</v>
      </c>
      <c r="D27" s="45">
        <v>10.0</v>
      </c>
      <c r="E27" s="212">
        <v>2.0</v>
      </c>
      <c r="F27" s="201">
        <f t="shared" si="1"/>
        <v>2</v>
      </c>
      <c r="G27" s="212">
        <v>0.75</v>
      </c>
      <c r="H27" s="202">
        <f t="shared" si="2"/>
        <v>3</v>
      </c>
      <c r="I27" s="226">
        <v>0.5</v>
      </c>
    </row>
    <row r="28">
      <c r="A28" s="45" t="s">
        <v>284</v>
      </c>
      <c r="B28" s="211">
        <v>4.0</v>
      </c>
      <c r="C28" s="212">
        <v>16.0</v>
      </c>
      <c r="D28" s="45">
        <v>13.0</v>
      </c>
      <c r="E28" s="212">
        <v>2.0</v>
      </c>
      <c r="F28" s="201">
        <f t="shared" si="1"/>
        <v>2</v>
      </c>
      <c r="G28" s="212">
        <v>0.5</v>
      </c>
      <c r="H28" s="202">
        <f t="shared" si="2"/>
        <v>2</v>
      </c>
      <c r="I28" s="226">
        <v>0.308</v>
      </c>
    </row>
    <row r="29">
      <c r="A29" s="45" t="s">
        <v>340</v>
      </c>
      <c r="B29" s="211">
        <v>4.0</v>
      </c>
      <c r="C29" s="212">
        <v>16.0</v>
      </c>
      <c r="D29" s="45">
        <v>7.0</v>
      </c>
      <c r="E29" s="212">
        <v>2.0</v>
      </c>
      <c r="F29" s="201">
        <f t="shared" si="1"/>
        <v>2</v>
      </c>
      <c r="G29" s="212">
        <v>0.25</v>
      </c>
      <c r="H29" s="202">
        <f t="shared" si="2"/>
        <v>1</v>
      </c>
      <c r="I29" s="226">
        <v>0.429</v>
      </c>
    </row>
    <row r="30">
      <c r="A30" s="45" t="s">
        <v>301</v>
      </c>
      <c r="B30" s="211">
        <v>4.0</v>
      </c>
      <c r="C30" s="212">
        <v>16.0</v>
      </c>
      <c r="D30" s="45">
        <v>6.0</v>
      </c>
      <c r="E30" s="212">
        <v>2.0</v>
      </c>
      <c r="F30" s="201">
        <f t="shared" si="1"/>
        <v>2</v>
      </c>
      <c r="G30" s="212">
        <v>0.25</v>
      </c>
      <c r="H30" s="202">
        <f t="shared" si="2"/>
        <v>1</v>
      </c>
      <c r="I30" s="226">
        <v>0.5</v>
      </c>
    </row>
    <row r="31">
      <c r="A31" s="45" t="s">
        <v>363</v>
      </c>
      <c r="B31" s="211">
        <v>4.0</v>
      </c>
      <c r="C31" s="212">
        <v>16.0</v>
      </c>
      <c r="D31" s="45">
        <v>3.0</v>
      </c>
      <c r="E31" s="212">
        <v>2.0</v>
      </c>
      <c r="F31" s="201">
        <f t="shared" si="1"/>
        <v>2</v>
      </c>
      <c r="G31" s="212">
        <v>0.0</v>
      </c>
      <c r="H31" s="202">
        <f t="shared" si="2"/>
        <v>0</v>
      </c>
      <c r="I31" s="226">
        <v>0.667</v>
      </c>
    </row>
    <row r="32">
      <c r="A32" s="45" t="s">
        <v>348</v>
      </c>
      <c r="B32" s="211">
        <v>2.0</v>
      </c>
      <c r="C32" s="212">
        <v>8.0</v>
      </c>
      <c r="D32" s="45">
        <v>2.0</v>
      </c>
      <c r="E32" s="212">
        <v>2.0</v>
      </c>
      <c r="F32" s="201">
        <f t="shared" si="1"/>
        <v>2</v>
      </c>
      <c r="G32" s="212">
        <v>0.0</v>
      </c>
      <c r="H32" s="202">
        <f t="shared" si="2"/>
        <v>0</v>
      </c>
      <c r="I32" s="226">
        <v>0.5</v>
      </c>
    </row>
    <row r="33">
      <c r="A33" s="45" t="s">
        <v>314</v>
      </c>
      <c r="B33" s="211">
        <v>2.0</v>
      </c>
      <c r="C33" s="212">
        <v>8.0</v>
      </c>
      <c r="D33" s="45">
        <v>1.0</v>
      </c>
      <c r="E33" s="212">
        <v>2.0</v>
      </c>
      <c r="F33" s="201">
        <f t="shared" si="1"/>
        <v>2</v>
      </c>
      <c r="G33" s="212">
        <v>0.0</v>
      </c>
      <c r="H33" s="202">
        <f t="shared" si="2"/>
        <v>0</v>
      </c>
      <c r="I33" s="226">
        <v>1.0</v>
      </c>
    </row>
    <row r="34">
      <c r="A34" s="45" t="s">
        <v>354</v>
      </c>
      <c r="B34" s="211">
        <v>2.0</v>
      </c>
      <c r="C34" s="212">
        <v>8.0</v>
      </c>
      <c r="D34" s="45">
        <v>1.0</v>
      </c>
      <c r="E34" s="212">
        <v>2.0</v>
      </c>
      <c r="F34" s="201">
        <f t="shared" si="1"/>
        <v>2</v>
      </c>
      <c r="G34" s="212">
        <v>0.0</v>
      </c>
      <c r="H34" s="202">
        <f t="shared" si="2"/>
        <v>0</v>
      </c>
      <c r="I34" s="226">
        <v>1.0</v>
      </c>
    </row>
    <row r="35">
      <c r="A35" s="45" t="s">
        <v>343</v>
      </c>
      <c r="B35" s="211">
        <v>3.0</v>
      </c>
      <c r="C35" s="212">
        <v>11.0</v>
      </c>
      <c r="D35" s="45">
        <v>1.0</v>
      </c>
      <c r="E35" s="212">
        <v>1.33</v>
      </c>
      <c r="F35" s="201">
        <f t="shared" si="1"/>
        <v>1.450909091</v>
      </c>
      <c r="G35" s="212">
        <v>0.0</v>
      </c>
      <c r="H35" s="202">
        <f t="shared" si="2"/>
        <v>0</v>
      </c>
      <c r="I35" s="226">
        <v>1.0</v>
      </c>
    </row>
    <row r="36">
      <c r="A36" s="45" t="s">
        <v>333</v>
      </c>
      <c r="B36" s="211">
        <v>2.0</v>
      </c>
      <c r="C36" s="212">
        <v>45.0</v>
      </c>
      <c r="D36" s="45">
        <v>4.0</v>
      </c>
      <c r="E36" s="212">
        <v>8.0</v>
      </c>
      <c r="F36" s="201">
        <f t="shared" si="1"/>
        <v>1.422222222</v>
      </c>
      <c r="G36" s="212">
        <v>0.0</v>
      </c>
      <c r="H36" s="202">
        <f t="shared" si="2"/>
        <v>0</v>
      </c>
      <c r="I36" s="226">
        <v>1.0</v>
      </c>
    </row>
    <row r="37">
      <c r="A37" s="45" t="s">
        <v>340</v>
      </c>
      <c r="B37" s="211">
        <v>1.0</v>
      </c>
      <c r="C37" s="212">
        <v>23.0</v>
      </c>
      <c r="D37" s="45">
        <v>2.0</v>
      </c>
      <c r="E37" s="212">
        <v>8.0</v>
      </c>
      <c r="F37" s="201">
        <f t="shared" si="1"/>
        <v>1.391304348</v>
      </c>
      <c r="G37" s="212">
        <v>0.0</v>
      </c>
      <c r="H37" s="202">
        <f t="shared" si="2"/>
        <v>0</v>
      </c>
      <c r="I37" s="226">
        <v>1.0</v>
      </c>
    </row>
    <row r="38">
      <c r="A38" s="45" t="s">
        <v>347</v>
      </c>
      <c r="B38" s="211">
        <v>3.0</v>
      </c>
      <c r="C38" s="212">
        <v>12.0</v>
      </c>
      <c r="D38" s="45">
        <v>1.0</v>
      </c>
      <c r="E38" s="212">
        <v>1.33</v>
      </c>
      <c r="F38" s="201">
        <f t="shared" si="1"/>
        <v>1.33</v>
      </c>
      <c r="G38" s="212">
        <v>0.0</v>
      </c>
      <c r="H38" s="202">
        <f t="shared" si="2"/>
        <v>0</v>
      </c>
      <c r="I38" s="226">
        <v>1.0</v>
      </c>
    </row>
    <row r="39">
      <c r="A39" s="45" t="s">
        <v>355</v>
      </c>
      <c r="B39" s="211">
        <v>3.0</v>
      </c>
      <c r="C39" s="212">
        <v>12.0</v>
      </c>
      <c r="D39" s="45">
        <v>1.0</v>
      </c>
      <c r="E39" s="212">
        <v>1.33</v>
      </c>
      <c r="F39" s="201">
        <f t="shared" si="1"/>
        <v>1.33</v>
      </c>
      <c r="G39" s="212">
        <v>0.0</v>
      </c>
      <c r="H39" s="202">
        <f t="shared" si="2"/>
        <v>0</v>
      </c>
      <c r="I39" s="226">
        <v>1.0</v>
      </c>
    </row>
    <row r="40">
      <c r="A40" s="45" t="s">
        <v>299</v>
      </c>
      <c r="B40" s="211">
        <v>4.0</v>
      </c>
      <c r="C40" s="212">
        <v>15.0</v>
      </c>
      <c r="D40" s="45">
        <v>9.0</v>
      </c>
      <c r="E40" s="212">
        <v>1.0</v>
      </c>
      <c r="F40" s="201">
        <f t="shared" si="1"/>
        <v>1.066666667</v>
      </c>
      <c r="G40" s="212">
        <v>0.5</v>
      </c>
      <c r="H40" s="202">
        <f t="shared" si="2"/>
        <v>2</v>
      </c>
      <c r="I40" s="226">
        <v>0.333</v>
      </c>
    </row>
    <row r="41">
      <c r="A41" s="45" t="s">
        <v>334</v>
      </c>
      <c r="B41" s="211">
        <v>4.0</v>
      </c>
      <c r="C41" s="212">
        <v>15.0</v>
      </c>
      <c r="D41" s="45">
        <v>3.0</v>
      </c>
      <c r="E41" s="212">
        <v>1.0</v>
      </c>
      <c r="F41" s="201">
        <f t="shared" si="1"/>
        <v>1.066666667</v>
      </c>
      <c r="G41" s="212">
        <v>0.0</v>
      </c>
      <c r="H41" s="202">
        <f t="shared" si="2"/>
        <v>0</v>
      </c>
      <c r="I41" s="226">
        <v>0.333</v>
      </c>
    </row>
    <row r="42">
      <c r="A42" s="45" t="s">
        <v>283</v>
      </c>
      <c r="B42" s="211">
        <v>4.0</v>
      </c>
      <c r="C42" s="212">
        <v>16.0</v>
      </c>
      <c r="D42" s="45">
        <v>11.0</v>
      </c>
      <c r="E42" s="212">
        <v>1.0</v>
      </c>
      <c r="F42" s="201">
        <f t="shared" si="1"/>
        <v>1</v>
      </c>
      <c r="G42" s="212">
        <v>0.5</v>
      </c>
      <c r="H42" s="202">
        <f t="shared" si="2"/>
        <v>2</v>
      </c>
      <c r="I42" s="226">
        <v>0.273</v>
      </c>
    </row>
    <row r="43">
      <c r="A43" s="45" t="s">
        <v>320</v>
      </c>
      <c r="B43" s="211">
        <v>4.0</v>
      </c>
      <c r="C43" s="212">
        <v>16.0</v>
      </c>
      <c r="D43" s="45">
        <v>5.0</v>
      </c>
      <c r="E43" s="212">
        <v>1.0</v>
      </c>
      <c r="F43" s="201">
        <f t="shared" si="1"/>
        <v>1</v>
      </c>
      <c r="G43" s="212">
        <v>0.5</v>
      </c>
      <c r="H43" s="202">
        <f t="shared" si="2"/>
        <v>2</v>
      </c>
      <c r="I43" s="226">
        <v>0.6</v>
      </c>
    </row>
    <row r="44">
      <c r="A44" s="45" t="s">
        <v>274</v>
      </c>
      <c r="B44" s="211">
        <v>4.0</v>
      </c>
      <c r="C44" s="212">
        <v>16.0</v>
      </c>
      <c r="D44" s="45">
        <v>1.0</v>
      </c>
      <c r="E44" s="212">
        <v>1.0</v>
      </c>
      <c r="F44" s="201">
        <f t="shared" si="1"/>
        <v>1</v>
      </c>
      <c r="G44" s="212">
        <v>0.0</v>
      </c>
      <c r="H44" s="202">
        <f t="shared" si="2"/>
        <v>0</v>
      </c>
      <c r="I44" s="226">
        <v>1.0</v>
      </c>
    </row>
    <row r="45">
      <c r="A45" s="45" t="s">
        <v>341</v>
      </c>
      <c r="B45" s="211">
        <v>4.0</v>
      </c>
      <c r="C45" s="212">
        <v>16.0</v>
      </c>
      <c r="D45" s="45">
        <v>1.0</v>
      </c>
      <c r="E45" s="212">
        <v>1.0</v>
      </c>
      <c r="F45" s="201">
        <f t="shared" si="1"/>
        <v>1</v>
      </c>
      <c r="G45" s="212">
        <v>0.0</v>
      </c>
      <c r="H45" s="202">
        <f t="shared" si="2"/>
        <v>0</v>
      </c>
      <c r="I45" s="226">
        <v>1.0</v>
      </c>
    </row>
    <row r="46">
      <c r="A46" s="45" t="s">
        <v>344</v>
      </c>
      <c r="B46" s="211">
        <v>4.0</v>
      </c>
      <c r="C46" s="212">
        <v>16.0</v>
      </c>
      <c r="D46" s="45">
        <v>1.0</v>
      </c>
      <c r="E46" s="212">
        <v>1.0</v>
      </c>
      <c r="F46" s="201">
        <f t="shared" si="1"/>
        <v>1</v>
      </c>
      <c r="G46" s="212">
        <v>0.0</v>
      </c>
      <c r="H46" s="202">
        <f t="shared" si="2"/>
        <v>0</v>
      </c>
      <c r="I46" s="226">
        <v>1.0</v>
      </c>
    </row>
    <row r="47">
      <c r="A47" s="45" t="s">
        <v>280</v>
      </c>
      <c r="B47" s="211">
        <v>4.0</v>
      </c>
      <c r="C47" s="212">
        <v>16.0</v>
      </c>
      <c r="D47" s="45">
        <v>1.0</v>
      </c>
      <c r="E47" s="212">
        <v>1.0</v>
      </c>
      <c r="F47" s="201">
        <f t="shared" si="1"/>
        <v>1</v>
      </c>
      <c r="G47" s="212">
        <v>0.0</v>
      </c>
      <c r="H47" s="202">
        <f t="shared" si="2"/>
        <v>0</v>
      </c>
      <c r="I47" s="226">
        <v>1.0</v>
      </c>
    </row>
    <row r="48">
      <c r="A48" s="45" t="s">
        <v>275</v>
      </c>
      <c r="B48" s="211">
        <v>4.0</v>
      </c>
      <c r="C48" s="212">
        <v>16.0</v>
      </c>
      <c r="D48" s="45">
        <v>1.0</v>
      </c>
      <c r="E48" s="212">
        <v>1.0</v>
      </c>
      <c r="F48" s="201">
        <f t="shared" si="1"/>
        <v>1</v>
      </c>
      <c r="G48" s="212">
        <v>0.0</v>
      </c>
      <c r="H48" s="202">
        <f t="shared" si="2"/>
        <v>0</v>
      </c>
      <c r="I48" s="226">
        <v>1.0</v>
      </c>
    </row>
    <row r="49">
      <c r="A49" s="45" t="s">
        <v>324</v>
      </c>
      <c r="B49" s="211">
        <v>4.0</v>
      </c>
      <c r="C49" s="212">
        <v>16.0</v>
      </c>
      <c r="D49" s="45">
        <v>3.0</v>
      </c>
      <c r="E49" s="212">
        <v>1.0</v>
      </c>
      <c r="F49" s="201">
        <f t="shared" si="1"/>
        <v>1</v>
      </c>
      <c r="G49" s="212">
        <v>0.0</v>
      </c>
      <c r="H49" s="202">
        <f t="shared" si="2"/>
        <v>0</v>
      </c>
      <c r="I49" s="226">
        <v>0.333</v>
      </c>
    </row>
    <row r="50">
      <c r="A50" s="45" t="s">
        <v>359</v>
      </c>
      <c r="B50" s="211">
        <v>4.0</v>
      </c>
      <c r="C50" s="212">
        <v>16.0</v>
      </c>
      <c r="D50" s="45">
        <v>2.0</v>
      </c>
      <c r="E50" s="212">
        <v>1.0</v>
      </c>
      <c r="F50" s="201">
        <f t="shared" si="1"/>
        <v>1</v>
      </c>
      <c r="G50" s="212">
        <v>0.0</v>
      </c>
      <c r="H50" s="202">
        <f t="shared" si="2"/>
        <v>0</v>
      </c>
      <c r="I50" s="226">
        <v>0.5</v>
      </c>
    </row>
    <row r="51">
      <c r="A51" s="45" t="s">
        <v>351</v>
      </c>
      <c r="B51" s="211">
        <v>4.0</v>
      </c>
      <c r="C51" s="212">
        <v>16.0</v>
      </c>
      <c r="D51" s="45">
        <v>4.0</v>
      </c>
      <c r="E51" s="212">
        <v>1.0</v>
      </c>
      <c r="F51" s="201">
        <f t="shared" si="1"/>
        <v>1</v>
      </c>
      <c r="G51" s="212">
        <v>0.0</v>
      </c>
      <c r="H51" s="202">
        <f t="shared" si="2"/>
        <v>0</v>
      </c>
      <c r="I51" s="226">
        <v>0.25</v>
      </c>
    </row>
    <row r="52">
      <c r="A52" s="45" t="s">
        <v>370</v>
      </c>
      <c r="B52" s="211">
        <v>4.0</v>
      </c>
      <c r="C52" s="212">
        <v>16.0</v>
      </c>
      <c r="D52" s="45">
        <v>2.0</v>
      </c>
      <c r="E52" s="212">
        <v>1.0</v>
      </c>
      <c r="F52" s="201">
        <f t="shared" si="1"/>
        <v>1</v>
      </c>
      <c r="G52" s="212">
        <v>0.0</v>
      </c>
      <c r="H52" s="202">
        <f t="shared" si="2"/>
        <v>0</v>
      </c>
      <c r="I52" s="226">
        <v>0.5</v>
      </c>
    </row>
    <row r="53">
      <c r="A53" s="45" t="s">
        <v>405</v>
      </c>
      <c r="B53" s="211">
        <v>4.0</v>
      </c>
      <c r="C53" s="212">
        <v>16.0</v>
      </c>
      <c r="D53" s="45">
        <v>1.0</v>
      </c>
      <c r="E53" s="212">
        <v>1.0</v>
      </c>
      <c r="F53" s="201">
        <f t="shared" si="1"/>
        <v>1</v>
      </c>
      <c r="G53" s="212">
        <v>0.0</v>
      </c>
      <c r="H53" s="202">
        <f t="shared" si="2"/>
        <v>0</v>
      </c>
      <c r="I53" s="226">
        <v>1.0</v>
      </c>
    </row>
    <row r="54">
      <c r="A54" s="45" t="s">
        <v>316</v>
      </c>
      <c r="B54" s="211">
        <v>4.0</v>
      </c>
      <c r="C54" s="212">
        <v>16.0</v>
      </c>
      <c r="D54" s="45">
        <v>2.0</v>
      </c>
      <c r="E54" s="212">
        <v>0.0</v>
      </c>
      <c r="F54" s="201">
        <f t="shared" si="1"/>
        <v>0</v>
      </c>
      <c r="G54" s="212">
        <v>0.25</v>
      </c>
      <c r="H54" s="202">
        <f t="shared" si="2"/>
        <v>1</v>
      </c>
      <c r="I54" s="226">
        <v>0.5</v>
      </c>
    </row>
    <row r="55">
      <c r="A55" s="45" t="s">
        <v>383</v>
      </c>
      <c r="B55" s="211">
        <v>4.0</v>
      </c>
      <c r="C55" s="212">
        <v>16.0</v>
      </c>
      <c r="D55" s="45">
        <v>12.0</v>
      </c>
      <c r="E55" s="212">
        <v>0.0</v>
      </c>
      <c r="F55" s="201">
        <f t="shared" si="1"/>
        <v>0</v>
      </c>
      <c r="G55" s="212">
        <v>0.25</v>
      </c>
      <c r="H55" s="202">
        <f t="shared" si="2"/>
        <v>1</v>
      </c>
      <c r="I55" s="226">
        <v>0.083</v>
      </c>
    </row>
    <row r="56">
      <c r="A56" s="45" t="s">
        <v>331</v>
      </c>
      <c r="B56" s="211">
        <v>2.0</v>
      </c>
      <c r="C56" s="212">
        <v>7.0</v>
      </c>
      <c r="D56" s="45">
        <v>2.0</v>
      </c>
      <c r="E56" s="212">
        <v>0.0</v>
      </c>
      <c r="F56" s="201">
        <f t="shared" si="1"/>
        <v>0</v>
      </c>
      <c r="G56" s="212">
        <v>0.5</v>
      </c>
      <c r="H56" s="202">
        <f t="shared" si="2"/>
        <v>1</v>
      </c>
      <c r="I56" s="226">
        <v>0.5</v>
      </c>
    </row>
    <row r="57">
      <c r="A57" s="45" t="s">
        <v>281</v>
      </c>
      <c r="B57" s="211">
        <v>4.0</v>
      </c>
      <c r="C57" s="212">
        <v>16.0</v>
      </c>
      <c r="D57" s="45">
        <v>6.0</v>
      </c>
      <c r="E57" s="212">
        <v>0.0</v>
      </c>
      <c r="F57" s="201">
        <f t="shared" si="1"/>
        <v>0</v>
      </c>
      <c r="G57" s="212">
        <v>0.25</v>
      </c>
      <c r="H57" s="202">
        <f t="shared" si="2"/>
        <v>1</v>
      </c>
      <c r="I57" s="226">
        <v>0.167</v>
      </c>
    </row>
    <row r="58">
      <c r="A58" s="45" t="s">
        <v>291</v>
      </c>
      <c r="B58" s="211">
        <v>4.0</v>
      </c>
      <c r="C58" s="212">
        <v>16.0</v>
      </c>
      <c r="D58" s="45">
        <v>8.0</v>
      </c>
      <c r="E58" s="212">
        <v>0.0</v>
      </c>
      <c r="F58" s="201">
        <f t="shared" si="1"/>
        <v>0</v>
      </c>
      <c r="G58" s="212">
        <v>0.0</v>
      </c>
      <c r="H58" s="202">
        <f t="shared" si="2"/>
        <v>0</v>
      </c>
      <c r="I58" s="226">
        <v>0.0</v>
      </c>
    </row>
    <row r="59">
      <c r="A59" s="45" t="s">
        <v>365</v>
      </c>
      <c r="B59" s="211">
        <v>4.0</v>
      </c>
      <c r="C59" s="212">
        <v>16.0</v>
      </c>
      <c r="D59" s="45">
        <v>0.0</v>
      </c>
      <c r="E59" s="212">
        <v>0.0</v>
      </c>
      <c r="F59" s="201">
        <f t="shared" si="1"/>
        <v>0</v>
      </c>
      <c r="G59" s="212">
        <v>0.0</v>
      </c>
      <c r="H59" s="202">
        <f t="shared" si="2"/>
        <v>0</v>
      </c>
      <c r="I59" s="226">
        <v>0.0</v>
      </c>
    </row>
    <row r="60">
      <c r="A60" s="45" t="s">
        <v>310</v>
      </c>
      <c r="B60" s="211">
        <v>4.0</v>
      </c>
      <c r="C60" s="212">
        <v>16.0</v>
      </c>
      <c r="D60" s="45">
        <v>0.0</v>
      </c>
      <c r="E60" s="212">
        <v>0.0</v>
      </c>
      <c r="F60" s="201">
        <f t="shared" si="1"/>
        <v>0</v>
      </c>
      <c r="G60" s="212">
        <v>0.0</v>
      </c>
      <c r="H60" s="202">
        <f t="shared" si="2"/>
        <v>0</v>
      </c>
      <c r="I60" s="226">
        <v>0.0</v>
      </c>
    </row>
    <row r="61">
      <c r="A61" s="45" t="s">
        <v>305</v>
      </c>
      <c r="B61" s="211">
        <v>4.0</v>
      </c>
      <c r="C61" s="212">
        <v>16.0</v>
      </c>
      <c r="D61" s="45">
        <v>0.0</v>
      </c>
      <c r="E61" s="212">
        <v>0.0</v>
      </c>
      <c r="F61" s="201">
        <f t="shared" si="1"/>
        <v>0</v>
      </c>
      <c r="G61" s="212">
        <v>0.0</v>
      </c>
      <c r="H61" s="202">
        <f t="shared" si="2"/>
        <v>0</v>
      </c>
      <c r="I61" s="226">
        <v>0.0</v>
      </c>
    </row>
    <row r="62">
      <c r="A62" s="45" t="s">
        <v>374</v>
      </c>
      <c r="B62" s="211">
        <v>1.0</v>
      </c>
      <c r="C62" s="212">
        <v>4.0</v>
      </c>
      <c r="D62" s="45">
        <v>0.0</v>
      </c>
      <c r="E62" s="212">
        <v>0.0</v>
      </c>
      <c r="F62" s="201">
        <f t="shared" si="1"/>
        <v>0</v>
      </c>
      <c r="G62" s="212">
        <v>0.0</v>
      </c>
      <c r="H62" s="202">
        <f t="shared" si="2"/>
        <v>0</v>
      </c>
      <c r="I62" s="226">
        <v>0.0</v>
      </c>
    </row>
    <row r="63">
      <c r="A63" s="45" t="s">
        <v>286</v>
      </c>
      <c r="B63" s="211">
        <v>4.0</v>
      </c>
      <c r="C63" s="212">
        <v>16.0</v>
      </c>
      <c r="D63" s="45">
        <v>0.0</v>
      </c>
      <c r="E63" s="212">
        <v>0.0</v>
      </c>
      <c r="F63" s="201">
        <f t="shared" si="1"/>
        <v>0</v>
      </c>
      <c r="G63" s="212">
        <v>0.0</v>
      </c>
      <c r="H63" s="202">
        <f t="shared" si="2"/>
        <v>0</v>
      </c>
      <c r="I63" s="226">
        <v>0.0</v>
      </c>
    </row>
    <row r="64">
      <c r="A64" s="45" t="s">
        <v>394</v>
      </c>
      <c r="B64" s="211">
        <v>4.0</v>
      </c>
      <c r="C64" s="212">
        <v>16.0</v>
      </c>
      <c r="D64" s="45">
        <v>0.0</v>
      </c>
      <c r="E64" s="212">
        <v>0.0</v>
      </c>
      <c r="F64" s="201">
        <f t="shared" si="1"/>
        <v>0</v>
      </c>
      <c r="G64" s="212">
        <v>0.0</v>
      </c>
      <c r="H64" s="202">
        <f t="shared" si="2"/>
        <v>0</v>
      </c>
      <c r="I64" s="226">
        <v>0.0</v>
      </c>
    </row>
    <row r="65">
      <c r="A65" s="45" t="s">
        <v>327</v>
      </c>
      <c r="B65" s="211">
        <v>4.0</v>
      </c>
      <c r="C65" s="212">
        <v>16.0</v>
      </c>
      <c r="D65" s="45">
        <v>0.0</v>
      </c>
      <c r="E65" s="212">
        <v>0.0</v>
      </c>
      <c r="F65" s="201">
        <f t="shared" si="1"/>
        <v>0</v>
      </c>
      <c r="G65" s="212">
        <v>0.0</v>
      </c>
      <c r="H65" s="202">
        <f t="shared" si="2"/>
        <v>0</v>
      </c>
      <c r="I65" s="226">
        <v>0.0</v>
      </c>
    </row>
    <row r="66">
      <c r="A66" s="45" t="s">
        <v>352</v>
      </c>
      <c r="B66" s="211">
        <v>3.0</v>
      </c>
      <c r="C66" s="212">
        <v>12.0</v>
      </c>
      <c r="D66" s="45">
        <v>0.0</v>
      </c>
      <c r="E66" s="212">
        <v>0.0</v>
      </c>
      <c r="F66" s="201">
        <f t="shared" si="1"/>
        <v>0</v>
      </c>
      <c r="G66" s="212">
        <v>0.0</v>
      </c>
      <c r="H66" s="202">
        <f t="shared" si="2"/>
        <v>0</v>
      </c>
      <c r="I66" s="226">
        <v>0.0</v>
      </c>
    </row>
    <row r="67">
      <c r="A67" s="45" t="s">
        <v>300</v>
      </c>
      <c r="B67" s="211">
        <v>4.0</v>
      </c>
      <c r="C67" s="212">
        <v>16.0</v>
      </c>
      <c r="D67" s="45">
        <v>0.0</v>
      </c>
      <c r="E67" s="212">
        <v>0.0</v>
      </c>
      <c r="F67" s="201">
        <f t="shared" si="1"/>
        <v>0</v>
      </c>
      <c r="G67" s="212">
        <v>0.0</v>
      </c>
      <c r="H67" s="202">
        <f t="shared" si="2"/>
        <v>0</v>
      </c>
      <c r="I67" s="226">
        <v>0.0</v>
      </c>
    </row>
    <row r="68">
      <c r="A68" s="45" t="s">
        <v>322</v>
      </c>
      <c r="B68" s="211">
        <v>4.0</v>
      </c>
      <c r="C68" s="212">
        <v>16.0</v>
      </c>
      <c r="D68" s="45">
        <v>0.0</v>
      </c>
      <c r="E68" s="212">
        <v>0.0</v>
      </c>
      <c r="F68" s="201">
        <f t="shared" si="1"/>
        <v>0</v>
      </c>
      <c r="G68" s="212">
        <v>0.0</v>
      </c>
      <c r="H68" s="202">
        <f t="shared" si="2"/>
        <v>0</v>
      </c>
      <c r="I68" s="226">
        <v>0.0</v>
      </c>
    </row>
    <row r="69">
      <c r="A69" s="45" t="s">
        <v>407</v>
      </c>
      <c r="B69" s="211">
        <v>4.0</v>
      </c>
      <c r="C69" s="212">
        <v>16.0</v>
      </c>
      <c r="D69" s="45">
        <v>0.0</v>
      </c>
      <c r="E69" s="212">
        <v>0.0</v>
      </c>
      <c r="F69" s="201">
        <f t="shared" si="1"/>
        <v>0</v>
      </c>
      <c r="G69" s="212">
        <v>0.0</v>
      </c>
      <c r="H69" s="202">
        <f t="shared" si="2"/>
        <v>0</v>
      </c>
      <c r="I69" s="226">
        <v>0.0</v>
      </c>
    </row>
    <row r="70">
      <c r="A70" s="45" t="s">
        <v>304</v>
      </c>
      <c r="B70" s="211">
        <v>4.0</v>
      </c>
      <c r="C70" s="212">
        <v>16.0</v>
      </c>
      <c r="D70" s="45">
        <v>0.0</v>
      </c>
      <c r="E70" s="212">
        <v>0.0</v>
      </c>
      <c r="F70" s="201">
        <f t="shared" si="1"/>
        <v>0</v>
      </c>
      <c r="G70" s="212">
        <v>0.0</v>
      </c>
      <c r="H70" s="202">
        <f t="shared" si="2"/>
        <v>0</v>
      </c>
      <c r="I70" s="226">
        <v>0.0</v>
      </c>
    </row>
    <row r="71">
      <c r="A71" s="45" t="s">
        <v>357</v>
      </c>
      <c r="B71" s="211">
        <v>3.0</v>
      </c>
      <c r="C71" s="212">
        <v>12.0</v>
      </c>
      <c r="D71" s="45">
        <v>0.0</v>
      </c>
      <c r="E71" s="212">
        <v>0.0</v>
      </c>
      <c r="F71" s="201">
        <f t="shared" si="1"/>
        <v>0</v>
      </c>
      <c r="G71" s="212">
        <v>0.0</v>
      </c>
      <c r="H71" s="202">
        <f t="shared" si="2"/>
        <v>0</v>
      </c>
      <c r="I71" s="226">
        <v>0.0</v>
      </c>
    </row>
    <row r="72">
      <c r="A72" s="45" t="s">
        <v>369</v>
      </c>
      <c r="B72" s="211">
        <v>4.0</v>
      </c>
      <c r="C72" s="212">
        <v>16.0</v>
      </c>
      <c r="D72" s="45">
        <v>0.0</v>
      </c>
      <c r="E72" s="212">
        <v>0.0</v>
      </c>
      <c r="F72" s="201">
        <f t="shared" si="1"/>
        <v>0</v>
      </c>
      <c r="G72" s="212">
        <v>0.0</v>
      </c>
      <c r="H72" s="202">
        <f t="shared" si="2"/>
        <v>0</v>
      </c>
      <c r="I72" s="226">
        <v>0.0</v>
      </c>
    </row>
    <row r="73">
      <c r="A73" s="45" t="s">
        <v>367</v>
      </c>
      <c r="B73" s="211">
        <v>1.0</v>
      </c>
      <c r="C73" s="212">
        <v>4.0</v>
      </c>
      <c r="D73" s="45">
        <v>0.0</v>
      </c>
      <c r="E73" s="212">
        <v>0.0</v>
      </c>
      <c r="F73" s="201">
        <f t="shared" si="1"/>
        <v>0</v>
      </c>
      <c r="G73" s="212">
        <v>0.0</v>
      </c>
      <c r="H73" s="202">
        <f t="shared" si="2"/>
        <v>0</v>
      </c>
      <c r="I73" s="226">
        <v>0.0</v>
      </c>
    </row>
    <row r="74">
      <c r="A74" s="45" t="s">
        <v>375</v>
      </c>
      <c r="B74" s="211">
        <v>2.0</v>
      </c>
      <c r="C74" s="212">
        <v>8.0</v>
      </c>
      <c r="D74" s="45">
        <v>0.0</v>
      </c>
      <c r="E74" s="212">
        <v>0.0</v>
      </c>
      <c r="F74" s="201">
        <f t="shared" si="1"/>
        <v>0</v>
      </c>
      <c r="G74" s="212">
        <v>0.0</v>
      </c>
      <c r="H74" s="202">
        <f t="shared" si="2"/>
        <v>0</v>
      </c>
      <c r="I74" s="226">
        <v>0.0</v>
      </c>
    </row>
    <row r="75">
      <c r="A75" s="45" t="s">
        <v>318</v>
      </c>
      <c r="B75" s="211">
        <v>4.0</v>
      </c>
      <c r="C75" s="212">
        <v>15.0</v>
      </c>
      <c r="D75" s="45">
        <v>0.0</v>
      </c>
      <c r="E75" s="212">
        <v>0.0</v>
      </c>
      <c r="F75" s="201">
        <f t="shared" si="1"/>
        <v>0</v>
      </c>
      <c r="G75" s="212">
        <v>0.0</v>
      </c>
      <c r="H75" s="202">
        <f t="shared" si="2"/>
        <v>0</v>
      </c>
      <c r="I75" s="226">
        <v>0.0</v>
      </c>
    </row>
    <row r="76">
      <c r="A76" s="45" t="s">
        <v>396</v>
      </c>
      <c r="B76" s="211">
        <v>3.0</v>
      </c>
      <c r="C76" s="212">
        <v>12.0</v>
      </c>
      <c r="D76" s="45">
        <v>1.0</v>
      </c>
      <c r="E76" s="212">
        <v>0.0</v>
      </c>
      <c r="F76" s="201">
        <f t="shared" si="1"/>
        <v>0</v>
      </c>
      <c r="G76" s="212">
        <v>0.0</v>
      </c>
      <c r="H76" s="202">
        <f t="shared" si="2"/>
        <v>0</v>
      </c>
      <c r="I76" s="226">
        <v>0.0</v>
      </c>
    </row>
    <row r="77">
      <c r="A77" s="45" t="s">
        <v>332</v>
      </c>
      <c r="B77" s="211">
        <v>4.0</v>
      </c>
      <c r="C77" s="212">
        <v>16.0</v>
      </c>
      <c r="D77" s="45">
        <v>0.0</v>
      </c>
      <c r="E77" s="212">
        <v>0.0</v>
      </c>
      <c r="F77" s="201">
        <f t="shared" si="1"/>
        <v>0</v>
      </c>
      <c r="G77" s="212">
        <v>0.0</v>
      </c>
      <c r="H77" s="202">
        <f t="shared" si="2"/>
        <v>0</v>
      </c>
      <c r="I77" s="226">
        <v>0.0</v>
      </c>
    </row>
    <row r="78">
      <c r="A78" s="45" t="s">
        <v>345</v>
      </c>
      <c r="B78" s="211">
        <v>3.0</v>
      </c>
      <c r="C78" s="212">
        <v>12.0</v>
      </c>
      <c r="D78" s="45">
        <v>0.0</v>
      </c>
      <c r="E78" s="212">
        <v>0.0</v>
      </c>
      <c r="F78" s="201">
        <f t="shared" si="1"/>
        <v>0</v>
      </c>
      <c r="G78" s="212">
        <v>0.0</v>
      </c>
      <c r="H78" s="202">
        <f t="shared" si="2"/>
        <v>0</v>
      </c>
      <c r="I78" s="226">
        <v>0.0</v>
      </c>
    </row>
    <row r="79">
      <c r="A79" s="45" t="s">
        <v>408</v>
      </c>
      <c r="B79" s="211">
        <v>3.0</v>
      </c>
      <c r="C79" s="212">
        <v>12.0</v>
      </c>
      <c r="D79" s="45">
        <v>0.0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26">
        <v>0.0</v>
      </c>
    </row>
    <row r="80">
      <c r="A80" s="45" t="s">
        <v>279</v>
      </c>
      <c r="B80" s="211">
        <v>4.0</v>
      </c>
      <c r="C80" s="212">
        <v>16.0</v>
      </c>
      <c r="D80" s="45">
        <v>2.0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26">
        <v>0.0</v>
      </c>
    </row>
    <row r="81">
      <c r="A81" s="45" t="s">
        <v>395</v>
      </c>
      <c r="B81" s="211">
        <v>4.0</v>
      </c>
      <c r="C81" s="212">
        <v>16.0</v>
      </c>
      <c r="D81" s="45">
        <v>0.0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26">
        <v>0.0</v>
      </c>
    </row>
    <row r="82">
      <c r="A82" s="45" t="s">
        <v>302</v>
      </c>
      <c r="B82" s="211">
        <v>4.0</v>
      </c>
      <c r="C82" s="212">
        <v>16.0</v>
      </c>
      <c r="D82" s="45">
        <v>1.0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26">
        <v>0.0</v>
      </c>
    </row>
    <row r="83">
      <c r="A83" s="45" t="s">
        <v>317</v>
      </c>
      <c r="B83" s="211">
        <v>3.0</v>
      </c>
      <c r="C83" s="212">
        <v>12.0</v>
      </c>
      <c r="D83" s="45">
        <v>1.0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26">
        <v>0.0</v>
      </c>
    </row>
    <row r="84">
      <c r="A84" s="45" t="s">
        <v>364</v>
      </c>
      <c r="B84" s="211">
        <v>3.0</v>
      </c>
      <c r="C84" s="212">
        <v>11.0</v>
      </c>
      <c r="D84" s="45">
        <v>1.0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26">
        <v>0.0</v>
      </c>
    </row>
    <row r="85">
      <c r="A85" s="45" t="s">
        <v>388</v>
      </c>
      <c r="B85" s="211">
        <v>2.0</v>
      </c>
      <c r="C85" s="212">
        <v>7.0</v>
      </c>
      <c r="D85" s="45">
        <v>0.0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26">
        <v>0.0</v>
      </c>
    </row>
    <row r="86">
      <c r="A86" s="45" t="s">
        <v>358</v>
      </c>
      <c r="B86" s="211">
        <v>3.0</v>
      </c>
      <c r="C86" s="212">
        <v>12.0</v>
      </c>
      <c r="D86" s="45">
        <v>0.0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26">
        <v>0.0</v>
      </c>
    </row>
    <row r="87">
      <c r="A87" s="45" t="s">
        <v>382</v>
      </c>
      <c r="B87" s="211">
        <v>4.0</v>
      </c>
      <c r="C87" s="212">
        <v>16.0</v>
      </c>
      <c r="D87" s="45">
        <v>0.0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26">
        <v>0.0</v>
      </c>
    </row>
    <row r="88">
      <c r="A88" s="45" t="s">
        <v>311</v>
      </c>
      <c r="B88" s="211">
        <v>4.0</v>
      </c>
      <c r="C88" s="212">
        <v>16.0</v>
      </c>
      <c r="D88" s="45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26">
        <v>0.0</v>
      </c>
    </row>
    <row r="89">
      <c r="A89" s="45" t="s">
        <v>313</v>
      </c>
      <c r="B89" s="211">
        <v>4.0</v>
      </c>
      <c r="C89" s="212">
        <v>16.0</v>
      </c>
      <c r="D89" s="45">
        <v>0.0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26">
        <v>0.0</v>
      </c>
    </row>
    <row r="90">
      <c r="A90" s="45" t="s">
        <v>356</v>
      </c>
      <c r="B90" s="211">
        <v>4.0</v>
      </c>
      <c r="C90" s="212">
        <v>16.0</v>
      </c>
      <c r="D90" s="45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26">
        <v>0.0</v>
      </c>
    </row>
    <row r="91">
      <c r="A91" s="45" t="s">
        <v>389</v>
      </c>
      <c r="B91" s="211">
        <v>3.0</v>
      </c>
      <c r="C91" s="212">
        <v>12.0</v>
      </c>
      <c r="D91" s="45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26">
        <v>0.0</v>
      </c>
    </row>
    <row r="92">
      <c r="A92" s="45" t="s">
        <v>393</v>
      </c>
      <c r="B92" s="211">
        <v>4.0</v>
      </c>
      <c r="C92" s="212">
        <v>16.0</v>
      </c>
      <c r="D92" s="45">
        <v>1.0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26">
        <v>0.0</v>
      </c>
    </row>
    <row r="93">
      <c r="A93" s="45" t="s">
        <v>398</v>
      </c>
      <c r="B93" s="211">
        <v>1.0</v>
      </c>
      <c r="C93" s="212">
        <v>4.0</v>
      </c>
      <c r="D93" s="45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26">
        <v>0.0</v>
      </c>
    </row>
    <row r="94">
      <c r="A94" s="45" t="s">
        <v>376</v>
      </c>
      <c r="B94" s="211">
        <v>1.0</v>
      </c>
      <c r="C94" s="212">
        <v>4.0</v>
      </c>
      <c r="D94" s="45">
        <v>0.0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26">
        <v>0.0</v>
      </c>
    </row>
    <row r="95">
      <c r="A95" s="45" t="s">
        <v>379</v>
      </c>
      <c r="B95" s="211">
        <v>4.0</v>
      </c>
      <c r="C95" s="212">
        <v>15.0</v>
      </c>
      <c r="D95" s="45">
        <v>0.0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26">
        <v>0.0</v>
      </c>
    </row>
    <row r="96">
      <c r="A96" s="45" t="s">
        <v>372</v>
      </c>
      <c r="B96" s="211">
        <v>4.0</v>
      </c>
      <c r="C96" s="212">
        <v>15.0</v>
      </c>
      <c r="D96" s="45">
        <v>0.0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26">
        <v>0.0</v>
      </c>
    </row>
    <row r="97">
      <c r="A97" s="45" t="s">
        <v>333</v>
      </c>
      <c r="B97" s="211">
        <v>2.0</v>
      </c>
      <c r="C97" s="212">
        <v>8.0</v>
      </c>
      <c r="D97" s="45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26">
        <v>0.0</v>
      </c>
    </row>
    <row r="98">
      <c r="A98" s="45" t="s">
        <v>371</v>
      </c>
      <c r="B98" s="211">
        <v>3.0</v>
      </c>
      <c r="C98" s="212">
        <v>12.0</v>
      </c>
      <c r="D98" s="45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26">
        <v>0.0</v>
      </c>
    </row>
    <row r="99">
      <c r="A99" s="45" t="s">
        <v>361</v>
      </c>
      <c r="B99" s="211">
        <v>4.0</v>
      </c>
      <c r="C99" s="212">
        <v>16.0</v>
      </c>
      <c r="D99" s="45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26">
        <v>0.0</v>
      </c>
    </row>
    <row r="100">
      <c r="A100" s="45" t="s">
        <v>387</v>
      </c>
      <c r="B100" s="211">
        <v>3.0</v>
      </c>
      <c r="C100" s="212">
        <v>12.0</v>
      </c>
      <c r="D100" s="45">
        <v>0.0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26">
        <v>0.0</v>
      </c>
    </row>
    <row r="101">
      <c r="A101" s="45" t="s">
        <v>381</v>
      </c>
      <c r="B101" s="211">
        <v>4.0</v>
      </c>
      <c r="C101" s="212">
        <v>16.0</v>
      </c>
      <c r="D101" s="45">
        <v>1.0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26">
        <v>0.0</v>
      </c>
    </row>
    <row r="102">
      <c r="A102" s="45" t="s">
        <v>392</v>
      </c>
      <c r="B102" s="211">
        <v>4.0</v>
      </c>
      <c r="C102" s="212">
        <v>16.0</v>
      </c>
      <c r="D102" s="45">
        <v>0.0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26">
        <v>0.0</v>
      </c>
    </row>
    <row r="103">
      <c r="A103" s="45" t="s">
        <v>326</v>
      </c>
      <c r="B103" s="211">
        <v>4.0</v>
      </c>
      <c r="C103" s="212">
        <v>16.0</v>
      </c>
      <c r="D103" s="45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26">
        <v>0.0</v>
      </c>
    </row>
    <row r="104">
      <c r="A104" s="45" t="s">
        <v>380</v>
      </c>
      <c r="B104" s="211">
        <v>4.0</v>
      </c>
      <c r="C104" s="212">
        <v>16.0</v>
      </c>
      <c r="D104" s="45">
        <v>0.0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26">
        <v>0.0</v>
      </c>
    </row>
    <row r="105">
      <c r="A105" s="45" t="s">
        <v>362</v>
      </c>
      <c r="B105" s="211">
        <v>2.0</v>
      </c>
      <c r="C105" s="212">
        <v>8.0</v>
      </c>
      <c r="D105" s="45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26">
        <v>0.0</v>
      </c>
    </row>
    <row r="106">
      <c r="A106" s="45" t="s">
        <v>339</v>
      </c>
      <c r="B106" s="211">
        <v>1.0</v>
      </c>
      <c r="C106" s="212">
        <v>4.0</v>
      </c>
      <c r="D106" s="45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26">
        <v>0.0</v>
      </c>
    </row>
    <row r="107">
      <c r="A107" s="45" t="s">
        <v>385</v>
      </c>
      <c r="B107" s="211">
        <v>2.0</v>
      </c>
      <c r="C107" s="212">
        <v>8.0</v>
      </c>
      <c r="D107" s="45">
        <v>0.0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26">
        <v>0.0</v>
      </c>
    </row>
    <row r="108">
      <c r="A108" s="45" t="s">
        <v>293</v>
      </c>
      <c r="B108" s="211">
        <v>4.0</v>
      </c>
      <c r="C108" s="212">
        <v>16.0</v>
      </c>
      <c r="D108" s="45">
        <v>1.0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26">
        <v>0.0</v>
      </c>
    </row>
    <row r="109">
      <c r="A109" s="45" t="s">
        <v>303</v>
      </c>
      <c r="B109" s="211">
        <v>4.0</v>
      </c>
      <c r="C109" s="212">
        <v>16.0</v>
      </c>
      <c r="D109" s="45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26">
        <v>0.0</v>
      </c>
    </row>
    <row r="110">
      <c r="A110" s="45" t="s">
        <v>321</v>
      </c>
      <c r="B110" s="211">
        <v>4.0</v>
      </c>
      <c r="C110" s="212">
        <v>16.0</v>
      </c>
      <c r="D110" s="45">
        <v>0.0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26">
        <v>0.0</v>
      </c>
    </row>
    <row r="111">
      <c r="A111" s="45" t="s">
        <v>328</v>
      </c>
      <c r="B111" s="211">
        <v>4.0</v>
      </c>
      <c r="C111" s="212">
        <v>17.0</v>
      </c>
      <c r="D111" s="45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26">
        <v>0.0</v>
      </c>
    </row>
    <row r="112">
      <c r="A112" s="45" t="s">
        <v>315</v>
      </c>
      <c r="B112" s="211">
        <v>4.0</v>
      </c>
      <c r="C112" s="212">
        <v>17.0</v>
      </c>
      <c r="D112" s="45">
        <v>0.0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26">
        <v>0.0</v>
      </c>
    </row>
    <row r="113">
      <c r="A113" s="45" t="s">
        <v>368</v>
      </c>
      <c r="B113" s="211">
        <v>4.0</v>
      </c>
      <c r="C113" s="212">
        <v>17.0</v>
      </c>
      <c r="D113" s="45">
        <v>0.0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26">
        <v>0.0</v>
      </c>
    </row>
    <row r="114">
      <c r="A114" s="45" t="s">
        <v>346</v>
      </c>
      <c r="B114" s="211">
        <v>3.0</v>
      </c>
      <c r="C114" s="212">
        <v>12.0</v>
      </c>
      <c r="D114" s="45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26">
        <v>0.0</v>
      </c>
    </row>
    <row r="115">
      <c r="A115" s="45" t="s">
        <v>378</v>
      </c>
      <c r="B115" s="211">
        <v>2.0</v>
      </c>
      <c r="C115" s="212">
        <v>8.0</v>
      </c>
      <c r="D115" s="45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26">
        <v>0.0</v>
      </c>
    </row>
    <row r="116">
      <c r="A116" s="45" t="s">
        <v>391</v>
      </c>
      <c r="B116" s="211">
        <v>3.0</v>
      </c>
      <c r="C116" s="212">
        <v>12.0</v>
      </c>
      <c r="D116" s="45">
        <v>0.0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26">
        <v>0.0</v>
      </c>
    </row>
    <row r="117">
      <c r="A117" s="45" t="s">
        <v>390</v>
      </c>
      <c r="B117" s="211">
        <v>4.0</v>
      </c>
      <c r="C117" s="212">
        <v>13.0</v>
      </c>
      <c r="D117" s="45">
        <v>0.0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26">
        <v>0.0</v>
      </c>
    </row>
    <row r="118">
      <c r="A118" s="45" t="s">
        <v>377</v>
      </c>
      <c r="B118" s="211">
        <v>1.0</v>
      </c>
      <c r="C118" s="212">
        <v>4.0</v>
      </c>
      <c r="D118" s="45">
        <v>0.0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26">
        <v>0.0</v>
      </c>
    </row>
    <row r="119">
      <c r="A119" s="45" t="s">
        <v>406</v>
      </c>
      <c r="B119" s="211">
        <v>1.0</v>
      </c>
      <c r="C119" s="212">
        <v>4.0</v>
      </c>
      <c r="D119" s="45">
        <v>1.0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26">
        <v>0.0</v>
      </c>
    </row>
    <row r="120">
      <c r="A120" s="45" t="s">
        <v>309</v>
      </c>
      <c r="B120" s="211">
        <v>2.0</v>
      </c>
      <c r="C120" s="212">
        <v>8.0</v>
      </c>
      <c r="D120" s="45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26">
        <v>0.0</v>
      </c>
    </row>
    <row r="121">
      <c r="A121" s="45" t="s">
        <v>384</v>
      </c>
      <c r="B121" s="211">
        <v>2.0</v>
      </c>
      <c r="C121" s="212">
        <v>8.0</v>
      </c>
      <c r="D121" s="45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26">
        <v>0.0</v>
      </c>
    </row>
    <row r="122">
      <c r="A122" s="45" t="s">
        <v>397</v>
      </c>
      <c r="B122" s="211">
        <v>2.0</v>
      </c>
      <c r="C122" s="212">
        <v>8.0</v>
      </c>
      <c r="D122" s="45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26">
        <v>0.0</v>
      </c>
    </row>
    <row r="123">
      <c r="A123" s="45" t="s">
        <v>399</v>
      </c>
      <c r="B123" s="211">
        <v>1.0</v>
      </c>
      <c r="C123" s="212">
        <v>4.0</v>
      </c>
      <c r="D123" s="45">
        <v>0.0</v>
      </c>
      <c r="E123" s="212">
        <v>0.0</v>
      </c>
      <c r="F123" s="201">
        <f t="shared" si="1"/>
        <v>0</v>
      </c>
      <c r="G123" s="212">
        <v>0.0</v>
      </c>
      <c r="H123" s="202">
        <f t="shared" si="2"/>
        <v>0</v>
      </c>
      <c r="I123" s="226">
        <v>0.0</v>
      </c>
    </row>
    <row r="124">
      <c r="A124" s="45" t="s">
        <v>360</v>
      </c>
      <c r="B124" s="211">
        <v>1.0</v>
      </c>
      <c r="C124" s="212">
        <v>4.0</v>
      </c>
      <c r="D124" s="45">
        <v>0.0</v>
      </c>
      <c r="E124" s="212">
        <v>0.0</v>
      </c>
      <c r="F124" s="201">
        <f t="shared" si="1"/>
        <v>0</v>
      </c>
      <c r="G124" s="212">
        <v>0.0</v>
      </c>
      <c r="H124" s="202">
        <f t="shared" si="2"/>
        <v>0</v>
      </c>
      <c r="I124" s="226">
        <v>0.0</v>
      </c>
    </row>
    <row r="125">
      <c r="A125" s="45" t="s">
        <v>312</v>
      </c>
      <c r="B125" s="211">
        <v>4.0</v>
      </c>
      <c r="C125" s="212">
        <v>16.0</v>
      </c>
      <c r="D125" s="45">
        <v>3.0</v>
      </c>
      <c r="E125" s="212">
        <v>-1.0</v>
      </c>
      <c r="F125" s="201">
        <f t="shared" si="1"/>
        <v>-1</v>
      </c>
      <c r="G125" s="212">
        <v>0.5</v>
      </c>
      <c r="H125" s="202">
        <f t="shared" si="2"/>
        <v>2</v>
      </c>
      <c r="I125" s="226">
        <v>0.333</v>
      </c>
    </row>
    <row r="126">
      <c r="A126" s="45" t="s">
        <v>350</v>
      </c>
      <c r="B126" s="211">
        <v>4.0</v>
      </c>
      <c r="C126" s="212">
        <v>16.0</v>
      </c>
      <c r="D126" s="45">
        <v>2.0</v>
      </c>
      <c r="E126" s="212">
        <v>-1.0</v>
      </c>
      <c r="F126" s="201">
        <f t="shared" si="1"/>
        <v>-1</v>
      </c>
      <c r="G126" s="212">
        <v>0.25</v>
      </c>
      <c r="H126" s="202">
        <f t="shared" si="2"/>
        <v>1</v>
      </c>
      <c r="I126" s="226">
        <v>0.0</v>
      </c>
    </row>
    <row r="127">
      <c r="A127" s="45" t="s">
        <v>294</v>
      </c>
      <c r="B127" s="211">
        <v>4.0</v>
      </c>
      <c r="C127" s="212">
        <v>16.0</v>
      </c>
      <c r="D127" s="45">
        <v>2.0</v>
      </c>
      <c r="E127" s="212">
        <v>-1.0</v>
      </c>
      <c r="F127" s="201">
        <f t="shared" si="1"/>
        <v>-1</v>
      </c>
      <c r="G127" s="212">
        <v>0.25</v>
      </c>
      <c r="H127" s="202">
        <f t="shared" si="2"/>
        <v>1</v>
      </c>
      <c r="I127" s="226">
        <v>0.0</v>
      </c>
    </row>
    <row r="128">
      <c r="A128" s="45" t="s">
        <v>290</v>
      </c>
      <c r="B128" s="211">
        <v>4.0</v>
      </c>
      <c r="C128" s="212">
        <v>16.0</v>
      </c>
      <c r="D128" s="45">
        <v>1.0</v>
      </c>
      <c r="E128" s="212">
        <v>-1.0</v>
      </c>
      <c r="F128" s="201">
        <f t="shared" si="1"/>
        <v>-1</v>
      </c>
      <c r="G128" s="212">
        <v>0.25</v>
      </c>
      <c r="H128" s="202">
        <f t="shared" si="2"/>
        <v>1</v>
      </c>
      <c r="I128" s="226">
        <v>0.0</v>
      </c>
    </row>
    <row r="129">
      <c r="A129" s="45" t="s">
        <v>366</v>
      </c>
      <c r="B129" s="211">
        <v>4.0</v>
      </c>
      <c r="C129" s="212">
        <v>16.0</v>
      </c>
      <c r="D129" s="45">
        <v>7.0</v>
      </c>
      <c r="E129" s="212">
        <v>-1.0</v>
      </c>
      <c r="F129" s="201">
        <f t="shared" si="1"/>
        <v>-1</v>
      </c>
      <c r="G129" s="212">
        <v>0.25</v>
      </c>
      <c r="H129" s="202">
        <f t="shared" si="2"/>
        <v>1</v>
      </c>
      <c r="I129" s="226">
        <v>0.0</v>
      </c>
    </row>
    <row r="130">
      <c r="A130" s="45" t="s">
        <v>404</v>
      </c>
      <c r="B130" s="211">
        <v>3.0</v>
      </c>
      <c r="C130" s="212">
        <v>12.0</v>
      </c>
      <c r="D130" s="45">
        <v>1.0</v>
      </c>
      <c r="E130" s="212">
        <v>-1.33</v>
      </c>
      <c r="F130" s="201">
        <f t="shared" si="1"/>
        <v>-1.33</v>
      </c>
      <c r="G130" s="212">
        <v>0.33</v>
      </c>
      <c r="H130" s="202">
        <f t="shared" si="2"/>
        <v>0.99</v>
      </c>
      <c r="I130" s="226">
        <v>0.0</v>
      </c>
    </row>
    <row r="131">
      <c r="A131" s="45" t="s">
        <v>342</v>
      </c>
      <c r="B131" s="211">
        <v>3.0</v>
      </c>
      <c r="C131" s="212">
        <v>12.0</v>
      </c>
      <c r="D131" s="45">
        <v>1.0</v>
      </c>
      <c r="E131" s="212">
        <v>-1.33</v>
      </c>
      <c r="F131" s="201">
        <f t="shared" si="1"/>
        <v>-1.33</v>
      </c>
      <c r="G131" s="212">
        <v>0.33</v>
      </c>
      <c r="H131" s="202">
        <f t="shared" si="2"/>
        <v>0.99</v>
      </c>
      <c r="I131" s="226">
        <v>0.0</v>
      </c>
    </row>
    <row r="132">
      <c r="A132" s="45" t="s">
        <v>386</v>
      </c>
      <c r="B132" s="211">
        <v>3.0</v>
      </c>
      <c r="C132" s="212">
        <v>11.0</v>
      </c>
      <c r="D132" s="45">
        <v>3.0</v>
      </c>
      <c r="E132" s="212">
        <v>-1.33</v>
      </c>
      <c r="F132" s="201">
        <f t="shared" si="1"/>
        <v>-1.450909091</v>
      </c>
      <c r="G132" s="212">
        <v>0.33</v>
      </c>
      <c r="H132" s="202">
        <f t="shared" si="2"/>
        <v>0.99</v>
      </c>
      <c r="I132" s="226">
        <v>0.0</v>
      </c>
    </row>
    <row r="133">
      <c r="A133" s="227"/>
      <c r="B133" s="240"/>
      <c r="C133" s="241"/>
      <c r="D133" s="227"/>
      <c r="E133" s="241"/>
      <c r="F133" s="201"/>
      <c r="G133" s="241"/>
      <c r="H133" s="202"/>
      <c r="I133" s="227"/>
    </row>
    <row r="134">
      <c r="A134" s="227"/>
      <c r="B134" s="240"/>
      <c r="C134" s="241"/>
      <c r="D134" s="227"/>
      <c r="E134" s="241"/>
      <c r="F134" s="201"/>
      <c r="G134" s="241"/>
      <c r="H134" s="202"/>
      <c r="I134" s="227"/>
    </row>
    <row r="135">
      <c r="A135" s="227"/>
      <c r="B135" s="240"/>
      <c r="C135" s="241"/>
      <c r="D135" s="227"/>
      <c r="E135" s="241"/>
      <c r="F135" s="201"/>
      <c r="G135" s="241"/>
      <c r="H135" s="202"/>
      <c r="I135" s="227"/>
    </row>
    <row r="136">
      <c r="A136" s="227"/>
      <c r="B136" s="240"/>
      <c r="C136" s="241"/>
      <c r="D136" s="227"/>
      <c r="E136" s="241"/>
      <c r="F136" s="201"/>
      <c r="G136" s="241"/>
      <c r="H136" s="202"/>
      <c r="I136" s="227"/>
    </row>
    <row r="137">
      <c r="A137" s="227"/>
      <c r="B137" s="240"/>
      <c r="C137" s="241"/>
      <c r="D137" s="227"/>
      <c r="E137" s="241"/>
      <c r="F137" s="201"/>
      <c r="G137" s="241"/>
      <c r="H137" s="202"/>
      <c r="I137" s="227"/>
    </row>
    <row r="138">
      <c r="A138" s="227"/>
      <c r="B138" s="240"/>
      <c r="C138" s="241"/>
      <c r="D138" s="227"/>
      <c r="E138" s="241"/>
      <c r="F138" s="201"/>
      <c r="G138" s="241"/>
      <c r="H138" s="202"/>
      <c r="I138" s="227"/>
    </row>
    <row r="139">
      <c r="A139" s="227"/>
      <c r="B139" s="240"/>
      <c r="C139" s="241"/>
      <c r="D139" s="227"/>
      <c r="E139" s="241"/>
      <c r="F139" s="201"/>
      <c r="G139" s="241"/>
      <c r="H139" s="202"/>
      <c r="I139" s="227"/>
    </row>
  </sheetData>
  <hyperlinks>
    <hyperlink display="Catstats Hub" location="'Catstats Hub'!A1" ref="A1"/>
  </hyperlin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9" width="14.25"/>
  </cols>
  <sheetData>
    <row r="1">
      <c r="A1" s="193" t="s">
        <v>263</v>
      </c>
      <c r="B1" s="215" t="s">
        <v>264</v>
      </c>
      <c r="C1" s="207" t="s">
        <v>265</v>
      </c>
      <c r="D1" s="215" t="s">
        <v>266</v>
      </c>
      <c r="E1" s="207" t="s">
        <v>267</v>
      </c>
      <c r="F1" s="196" t="s">
        <v>268</v>
      </c>
      <c r="G1" s="207" t="s">
        <v>269</v>
      </c>
      <c r="H1" s="216" t="s">
        <v>270</v>
      </c>
      <c r="I1" s="215" t="s">
        <v>271</v>
      </c>
    </row>
    <row r="2">
      <c r="A2" s="210" t="s">
        <v>292</v>
      </c>
      <c r="B2" s="211">
        <v>1.0</v>
      </c>
      <c r="C2" s="212">
        <v>4.0</v>
      </c>
      <c r="D2" s="211">
        <v>3.0</v>
      </c>
      <c r="E2" s="212">
        <v>12.0</v>
      </c>
      <c r="F2" s="201">
        <f t="shared" ref="F2:F132" si="1">E2*B2*4/C2</f>
        <v>12</v>
      </c>
      <c r="G2" s="212">
        <v>0.0</v>
      </c>
      <c r="H2" s="202">
        <f t="shared" ref="H2:H132" si="2">G2*B2</f>
        <v>0</v>
      </c>
      <c r="I2" s="214">
        <v>1.0</v>
      </c>
    </row>
    <row r="3">
      <c r="A3" s="210" t="s">
        <v>285</v>
      </c>
      <c r="B3" s="211">
        <v>4.0</v>
      </c>
      <c r="C3" s="212">
        <v>16.0</v>
      </c>
      <c r="D3" s="211">
        <v>13.0</v>
      </c>
      <c r="E3" s="212">
        <v>8.0</v>
      </c>
      <c r="F3" s="201">
        <f t="shared" si="1"/>
        <v>8</v>
      </c>
      <c r="G3" s="212">
        <v>0.25</v>
      </c>
      <c r="H3" s="202">
        <f t="shared" si="2"/>
        <v>1</v>
      </c>
      <c r="I3" s="214">
        <v>0.692</v>
      </c>
    </row>
    <row r="4">
      <c r="A4" s="210" t="s">
        <v>335</v>
      </c>
      <c r="B4" s="211">
        <v>1.0</v>
      </c>
      <c r="C4" s="212">
        <v>4.0</v>
      </c>
      <c r="D4" s="211">
        <v>2.0</v>
      </c>
      <c r="E4" s="212">
        <v>8.0</v>
      </c>
      <c r="F4" s="201">
        <f t="shared" si="1"/>
        <v>8</v>
      </c>
      <c r="G4" s="212">
        <v>0.0</v>
      </c>
      <c r="H4" s="202">
        <f t="shared" si="2"/>
        <v>0</v>
      </c>
      <c r="I4" s="214">
        <v>1.0</v>
      </c>
    </row>
    <row r="5">
      <c r="A5" s="210" t="s">
        <v>278</v>
      </c>
      <c r="B5" s="211">
        <v>3.0</v>
      </c>
      <c r="C5" s="212">
        <v>12.0</v>
      </c>
      <c r="D5" s="211">
        <v>11.0</v>
      </c>
      <c r="E5" s="212">
        <v>6.67</v>
      </c>
      <c r="F5" s="201">
        <f t="shared" si="1"/>
        <v>6.67</v>
      </c>
      <c r="G5" s="212">
        <v>0.67</v>
      </c>
      <c r="H5" s="202">
        <f t="shared" si="2"/>
        <v>2.01</v>
      </c>
      <c r="I5" s="214">
        <v>0.636</v>
      </c>
    </row>
    <row r="6">
      <c r="A6" s="210" t="s">
        <v>345</v>
      </c>
      <c r="B6" s="211">
        <v>3.0</v>
      </c>
      <c r="C6" s="212">
        <v>12.0</v>
      </c>
      <c r="D6" s="211">
        <v>8.0</v>
      </c>
      <c r="E6" s="212">
        <v>6.67</v>
      </c>
      <c r="F6" s="201">
        <f t="shared" si="1"/>
        <v>6.67</v>
      </c>
      <c r="G6" s="212">
        <v>0.33</v>
      </c>
      <c r="H6" s="202">
        <f t="shared" si="2"/>
        <v>0.99</v>
      </c>
      <c r="I6" s="214">
        <v>0.75</v>
      </c>
    </row>
    <row r="7">
      <c r="A7" s="210" t="s">
        <v>272</v>
      </c>
      <c r="B7" s="211">
        <v>4.0</v>
      </c>
      <c r="C7" s="212">
        <v>16.0</v>
      </c>
      <c r="D7" s="211">
        <v>13.0</v>
      </c>
      <c r="E7" s="212">
        <v>6.0</v>
      </c>
      <c r="F7" s="201">
        <f t="shared" si="1"/>
        <v>6</v>
      </c>
      <c r="G7" s="212">
        <v>0.75</v>
      </c>
      <c r="H7" s="202">
        <f t="shared" si="2"/>
        <v>3</v>
      </c>
      <c r="I7" s="214">
        <v>0.692</v>
      </c>
    </row>
    <row r="8">
      <c r="A8" s="210" t="s">
        <v>273</v>
      </c>
      <c r="B8" s="211">
        <v>4.0</v>
      </c>
      <c r="C8" s="212">
        <v>16.0</v>
      </c>
      <c r="D8" s="211">
        <v>11.0</v>
      </c>
      <c r="E8" s="212">
        <v>6.0</v>
      </c>
      <c r="F8" s="201">
        <f t="shared" si="1"/>
        <v>6</v>
      </c>
      <c r="G8" s="212">
        <v>0.5</v>
      </c>
      <c r="H8" s="202">
        <f t="shared" si="2"/>
        <v>2</v>
      </c>
      <c r="I8" s="214">
        <v>0.727</v>
      </c>
    </row>
    <row r="9">
      <c r="A9" s="210" t="s">
        <v>319</v>
      </c>
      <c r="B9" s="211">
        <v>4.0</v>
      </c>
      <c r="C9" s="212">
        <v>16.0</v>
      </c>
      <c r="D9" s="211">
        <v>8.0</v>
      </c>
      <c r="E9" s="212">
        <v>6.0</v>
      </c>
      <c r="F9" s="201">
        <f t="shared" si="1"/>
        <v>6</v>
      </c>
      <c r="G9" s="212">
        <v>0.25</v>
      </c>
      <c r="H9" s="202">
        <f t="shared" si="2"/>
        <v>1</v>
      </c>
      <c r="I9" s="214">
        <v>0.875</v>
      </c>
    </row>
    <row r="10">
      <c r="A10" s="210" t="s">
        <v>279</v>
      </c>
      <c r="B10" s="211">
        <v>4.0</v>
      </c>
      <c r="C10" s="212">
        <v>16.0</v>
      </c>
      <c r="D10" s="211">
        <v>9.0</v>
      </c>
      <c r="E10" s="212">
        <v>6.0</v>
      </c>
      <c r="F10" s="201">
        <f t="shared" si="1"/>
        <v>6</v>
      </c>
      <c r="G10" s="212">
        <v>0.0</v>
      </c>
      <c r="H10" s="202">
        <f t="shared" si="2"/>
        <v>0</v>
      </c>
      <c r="I10" s="214">
        <v>0.667</v>
      </c>
    </row>
    <row r="11">
      <c r="A11" s="210" t="s">
        <v>299</v>
      </c>
      <c r="B11" s="211">
        <v>4.0</v>
      </c>
      <c r="C11" s="212">
        <v>16.0</v>
      </c>
      <c r="D11" s="211">
        <v>11.0</v>
      </c>
      <c r="E11" s="212">
        <v>5.0</v>
      </c>
      <c r="F11" s="201">
        <f t="shared" si="1"/>
        <v>5</v>
      </c>
      <c r="G11" s="212">
        <v>0.75</v>
      </c>
      <c r="H11" s="202">
        <f t="shared" si="2"/>
        <v>3</v>
      </c>
      <c r="I11" s="214">
        <v>0.727</v>
      </c>
    </row>
    <row r="12">
      <c r="A12" s="210" t="s">
        <v>329</v>
      </c>
      <c r="B12" s="211">
        <v>4.0</v>
      </c>
      <c r="C12" s="212">
        <v>16.0</v>
      </c>
      <c r="D12" s="211">
        <v>7.0</v>
      </c>
      <c r="E12" s="212">
        <v>5.0</v>
      </c>
      <c r="F12" s="201">
        <f t="shared" si="1"/>
        <v>5</v>
      </c>
      <c r="G12" s="212">
        <v>0.0</v>
      </c>
      <c r="H12" s="202">
        <f t="shared" si="2"/>
        <v>0</v>
      </c>
      <c r="I12" s="214">
        <v>0.714</v>
      </c>
    </row>
    <row r="13">
      <c r="A13" s="210" t="s">
        <v>387</v>
      </c>
      <c r="B13" s="211">
        <v>3.0</v>
      </c>
      <c r="C13" s="212">
        <v>10.0</v>
      </c>
      <c r="D13" s="211">
        <v>6.0</v>
      </c>
      <c r="E13" s="212">
        <v>4.0</v>
      </c>
      <c r="F13" s="201">
        <f t="shared" si="1"/>
        <v>4.8</v>
      </c>
      <c r="G13" s="212">
        <v>0.0</v>
      </c>
      <c r="H13" s="202">
        <f t="shared" si="2"/>
        <v>0</v>
      </c>
      <c r="I13" s="214">
        <v>0.5</v>
      </c>
    </row>
    <row r="14">
      <c r="A14" s="210" t="s">
        <v>316</v>
      </c>
      <c r="B14" s="211">
        <v>4.0</v>
      </c>
      <c r="C14" s="212">
        <v>16.0</v>
      </c>
      <c r="D14" s="211">
        <v>11.0</v>
      </c>
      <c r="E14" s="212">
        <v>4.0</v>
      </c>
      <c r="F14" s="201">
        <f t="shared" si="1"/>
        <v>4</v>
      </c>
      <c r="G14" s="212">
        <v>0.5</v>
      </c>
      <c r="H14" s="202">
        <f t="shared" si="2"/>
        <v>2</v>
      </c>
      <c r="I14" s="214">
        <v>0.545</v>
      </c>
    </row>
    <row r="15">
      <c r="A15" s="210" t="s">
        <v>343</v>
      </c>
      <c r="B15" s="211">
        <v>3.0</v>
      </c>
      <c r="C15" s="212">
        <v>12.0</v>
      </c>
      <c r="D15" s="211">
        <v>7.0</v>
      </c>
      <c r="E15" s="212">
        <v>4.0</v>
      </c>
      <c r="F15" s="201">
        <f t="shared" si="1"/>
        <v>4</v>
      </c>
      <c r="G15" s="212">
        <v>0.33</v>
      </c>
      <c r="H15" s="202">
        <f t="shared" si="2"/>
        <v>0.99</v>
      </c>
      <c r="I15" s="214">
        <v>0.571</v>
      </c>
    </row>
    <row r="16">
      <c r="A16" s="210" t="s">
        <v>374</v>
      </c>
      <c r="B16" s="211">
        <v>1.0</v>
      </c>
      <c r="C16" s="212">
        <v>4.0</v>
      </c>
      <c r="D16" s="211">
        <v>1.0</v>
      </c>
      <c r="E16" s="212">
        <v>4.0</v>
      </c>
      <c r="F16" s="201">
        <f t="shared" si="1"/>
        <v>4</v>
      </c>
      <c r="G16" s="212">
        <v>0.0</v>
      </c>
      <c r="H16" s="202">
        <f t="shared" si="2"/>
        <v>0</v>
      </c>
      <c r="I16" s="214">
        <v>1.0</v>
      </c>
    </row>
    <row r="17">
      <c r="A17" s="210" t="s">
        <v>282</v>
      </c>
      <c r="B17" s="211">
        <v>4.0</v>
      </c>
      <c r="C17" s="212">
        <v>16.0</v>
      </c>
      <c r="D17" s="211">
        <v>8.0</v>
      </c>
      <c r="E17" s="212">
        <v>4.0</v>
      </c>
      <c r="F17" s="201">
        <f t="shared" si="1"/>
        <v>4</v>
      </c>
      <c r="G17" s="212">
        <v>0.0</v>
      </c>
      <c r="H17" s="202">
        <f t="shared" si="2"/>
        <v>0</v>
      </c>
      <c r="I17" s="214">
        <v>0.5</v>
      </c>
    </row>
    <row r="18">
      <c r="A18" s="210" t="s">
        <v>388</v>
      </c>
      <c r="B18" s="211">
        <v>2.0</v>
      </c>
      <c r="C18" s="212">
        <v>8.0</v>
      </c>
      <c r="D18" s="211">
        <v>4.0</v>
      </c>
      <c r="E18" s="212">
        <v>4.0</v>
      </c>
      <c r="F18" s="201">
        <f t="shared" si="1"/>
        <v>4</v>
      </c>
      <c r="G18" s="212">
        <v>0.0</v>
      </c>
      <c r="H18" s="202">
        <f t="shared" si="2"/>
        <v>0</v>
      </c>
      <c r="I18" s="214">
        <v>0.5</v>
      </c>
    </row>
    <row r="19">
      <c r="A19" s="210" t="s">
        <v>383</v>
      </c>
      <c r="B19" s="211">
        <v>4.0</v>
      </c>
      <c r="C19" s="212">
        <v>16.0</v>
      </c>
      <c r="D19" s="211">
        <v>5.0</v>
      </c>
      <c r="E19" s="212">
        <v>4.0</v>
      </c>
      <c r="F19" s="201">
        <f t="shared" si="1"/>
        <v>4</v>
      </c>
      <c r="G19" s="212">
        <v>0.0</v>
      </c>
      <c r="H19" s="202">
        <f t="shared" si="2"/>
        <v>0</v>
      </c>
      <c r="I19" s="214">
        <v>0.8</v>
      </c>
    </row>
    <row r="20">
      <c r="A20" s="210" t="s">
        <v>331</v>
      </c>
      <c r="B20" s="211">
        <v>2.0</v>
      </c>
      <c r="C20" s="212">
        <v>8.0</v>
      </c>
      <c r="D20" s="211">
        <v>3.0</v>
      </c>
      <c r="E20" s="212">
        <v>4.0</v>
      </c>
      <c r="F20" s="201">
        <f t="shared" si="1"/>
        <v>4</v>
      </c>
      <c r="G20" s="212">
        <v>0.0</v>
      </c>
      <c r="H20" s="202">
        <f t="shared" si="2"/>
        <v>0</v>
      </c>
      <c r="I20" s="214">
        <v>0.667</v>
      </c>
    </row>
    <row r="21">
      <c r="A21" s="210" t="s">
        <v>277</v>
      </c>
      <c r="B21" s="211">
        <v>3.0</v>
      </c>
      <c r="C21" s="212">
        <v>9.0</v>
      </c>
      <c r="D21" s="211">
        <v>4.0</v>
      </c>
      <c r="E21" s="212">
        <v>2.67</v>
      </c>
      <c r="F21" s="201">
        <f t="shared" si="1"/>
        <v>3.56</v>
      </c>
      <c r="G21" s="212">
        <v>0.0</v>
      </c>
      <c r="H21" s="202">
        <f t="shared" si="2"/>
        <v>0</v>
      </c>
      <c r="I21" s="214">
        <v>0.5</v>
      </c>
    </row>
    <row r="22">
      <c r="A22" s="210" t="s">
        <v>296</v>
      </c>
      <c r="B22" s="211">
        <v>4.0</v>
      </c>
      <c r="C22" s="212">
        <v>15.0</v>
      </c>
      <c r="D22" s="211">
        <v>8.0</v>
      </c>
      <c r="E22" s="212">
        <v>3.0</v>
      </c>
      <c r="F22" s="201">
        <f t="shared" si="1"/>
        <v>3.2</v>
      </c>
      <c r="G22" s="212">
        <v>0.25</v>
      </c>
      <c r="H22" s="202">
        <f t="shared" si="2"/>
        <v>1</v>
      </c>
      <c r="I22" s="214">
        <v>0.5</v>
      </c>
    </row>
    <row r="23">
      <c r="A23" s="210" t="s">
        <v>363</v>
      </c>
      <c r="B23" s="211">
        <v>4.0</v>
      </c>
      <c r="C23" s="212">
        <v>16.0</v>
      </c>
      <c r="D23" s="211">
        <v>3.0</v>
      </c>
      <c r="E23" s="212">
        <v>3.0</v>
      </c>
      <c r="F23" s="201">
        <f t="shared" si="1"/>
        <v>3</v>
      </c>
      <c r="G23" s="212">
        <v>0.0</v>
      </c>
      <c r="H23" s="202">
        <f t="shared" si="2"/>
        <v>0</v>
      </c>
      <c r="I23" s="214">
        <v>1.0</v>
      </c>
    </row>
    <row r="24">
      <c r="A24" s="210" t="s">
        <v>351</v>
      </c>
      <c r="B24" s="211">
        <v>4.0</v>
      </c>
      <c r="C24" s="212">
        <v>16.0</v>
      </c>
      <c r="D24" s="211">
        <v>9.0</v>
      </c>
      <c r="E24" s="212">
        <v>3.0</v>
      </c>
      <c r="F24" s="201">
        <f t="shared" si="1"/>
        <v>3</v>
      </c>
      <c r="G24" s="212">
        <v>0.0</v>
      </c>
      <c r="H24" s="202">
        <f t="shared" si="2"/>
        <v>0</v>
      </c>
      <c r="I24" s="214">
        <v>0.333</v>
      </c>
    </row>
    <row r="25">
      <c r="A25" s="210" t="s">
        <v>293</v>
      </c>
      <c r="B25" s="211">
        <v>4.0</v>
      </c>
      <c r="C25" s="212">
        <v>16.0</v>
      </c>
      <c r="D25" s="211">
        <v>4.0</v>
      </c>
      <c r="E25" s="212">
        <v>3.0</v>
      </c>
      <c r="F25" s="201">
        <f t="shared" si="1"/>
        <v>3</v>
      </c>
      <c r="G25" s="212">
        <v>0.0</v>
      </c>
      <c r="H25" s="202">
        <f t="shared" si="2"/>
        <v>0</v>
      </c>
      <c r="I25" s="214">
        <v>0.75</v>
      </c>
    </row>
    <row r="26">
      <c r="A26" s="210" t="s">
        <v>396</v>
      </c>
      <c r="B26" s="211">
        <v>3.0</v>
      </c>
      <c r="C26" s="212">
        <v>12.0</v>
      </c>
      <c r="D26" s="211">
        <v>6.0</v>
      </c>
      <c r="E26" s="212">
        <v>2.67</v>
      </c>
      <c r="F26" s="201">
        <f t="shared" si="1"/>
        <v>2.67</v>
      </c>
      <c r="G26" s="212">
        <v>0.33</v>
      </c>
      <c r="H26" s="202">
        <f t="shared" si="2"/>
        <v>0.99</v>
      </c>
      <c r="I26" s="214">
        <v>0.5</v>
      </c>
    </row>
    <row r="27">
      <c r="A27" s="210" t="s">
        <v>288</v>
      </c>
      <c r="B27" s="211">
        <v>3.0</v>
      </c>
      <c r="C27" s="212">
        <v>12.0</v>
      </c>
      <c r="D27" s="211">
        <v>4.0</v>
      </c>
      <c r="E27" s="212">
        <v>2.67</v>
      </c>
      <c r="F27" s="201">
        <f t="shared" si="1"/>
        <v>2.67</v>
      </c>
      <c r="G27" s="212">
        <v>0.0</v>
      </c>
      <c r="H27" s="202">
        <f t="shared" si="2"/>
        <v>0</v>
      </c>
      <c r="I27" s="214">
        <v>0.5</v>
      </c>
    </row>
    <row r="28">
      <c r="A28" s="210" t="s">
        <v>294</v>
      </c>
      <c r="B28" s="211">
        <v>4.0</v>
      </c>
      <c r="C28" s="212">
        <v>16.0</v>
      </c>
      <c r="D28" s="211">
        <v>7.0</v>
      </c>
      <c r="E28" s="212">
        <v>2.0</v>
      </c>
      <c r="F28" s="201">
        <f t="shared" si="1"/>
        <v>2</v>
      </c>
      <c r="G28" s="212">
        <v>0.25</v>
      </c>
      <c r="H28" s="202">
        <f t="shared" si="2"/>
        <v>1</v>
      </c>
      <c r="I28" s="214">
        <v>0.429</v>
      </c>
    </row>
    <row r="29">
      <c r="A29" s="210" t="s">
        <v>286</v>
      </c>
      <c r="B29" s="211">
        <v>4.0</v>
      </c>
      <c r="C29" s="212">
        <v>16.0</v>
      </c>
      <c r="D29" s="211">
        <v>4.0</v>
      </c>
      <c r="E29" s="212">
        <v>2.0</v>
      </c>
      <c r="F29" s="201">
        <f t="shared" si="1"/>
        <v>2</v>
      </c>
      <c r="G29" s="212">
        <v>0.0</v>
      </c>
      <c r="H29" s="202">
        <f t="shared" si="2"/>
        <v>0</v>
      </c>
      <c r="I29" s="214">
        <v>0.5</v>
      </c>
    </row>
    <row r="30">
      <c r="A30" s="210" t="s">
        <v>325</v>
      </c>
      <c r="B30" s="211">
        <v>4.0</v>
      </c>
      <c r="C30" s="212">
        <v>16.0</v>
      </c>
      <c r="D30" s="211">
        <v>2.0</v>
      </c>
      <c r="E30" s="212">
        <v>2.0</v>
      </c>
      <c r="F30" s="201">
        <f t="shared" si="1"/>
        <v>2</v>
      </c>
      <c r="G30" s="212">
        <v>0.0</v>
      </c>
      <c r="H30" s="202">
        <f t="shared" si="2"/>
        <v>0</v>
      </c>
      <c r="I30" s="214">
        <v>1.0</v>
      </c>
    </row>
    <row r="31">
      <c r="A31" s="210" t="s">
        <v>402</v>
      </c>
      <c r="B31" s="211">
        <v>4.0</v>
      </c>
      <c r="C31" s="212">
        <v>16.0</v>
      </c>
      <c r="D31" s="211">
        <v>3.0</v>
      </c>
      <c r="E31" s="212">
        <v>2.0</v>
      </c>
      <c r="F31" s="201">
        <f t="shared" si="1"/>
        <v>2</v>
      </c>
      <c r="G31" s="212">
        <v>0.0</v>
      </c>
      <c r="H31" s="202">
        <f t="shared" si="2"/>
        <v>0</v>
      </c>
      <c r="I31" s="214">
        <v>0.667</v>
      </c>
    </row>
    <row r="32">
      <c r="A32" s="210" t="s">
        <v>324</v>
      </c>
      <c r="B32" s="211">
        <v>4.0</v>
      </c>
      <c r="C32" s="212">
        <v>16.0</v>
      </c>
      <c r="D32" s="211">
        <v>2.0</v>
      </c>
      <c r="E32" s="212">
        <v>2.0</v>
      </c>
      <c r="F32" s="201">
        <f t="shared" si="1"/>
        <v>2</v>
      </c>
      <c r="G32" s="212">
        <v>0.0</v>
      </c>
      <c r="H32" s="202">
        <f t="shared" si="2"/>
        <v>0</v>
      </c>
      <c r="I32" s="214">
        <v>1.0</v>
      </c>
    </row>
    <row r="33">
      <c r="A33" s="210" t="s">
        <v>378</v>
      </c>
      <c r="B33" s="211">
        <v>2.0</v>
      </c>
      <c r="C33" s="212">
        <v>8.0</v>
      </c>
      <c r="D33" s="211">
        <v>1.0</v>
      </c>
      <c r="E33" s="212">
        <v>2.0</v>
      </c>
      <c r="F33" s="201">
        <f t="shared" si="1"/>
        <v>2</v>
      </c>
      <c r="G33" s="212">
        <v>0.0</v>
      </c>
      <c r="H33" s="202">
        <f t="shared" si="2"/>
        <v>0</v>
      </c>
      <c r="I33" s="214">
        <v>1.0</v>
      </c>
    </row>
    <row r="34">
      <c r="A34" s="210" t="s">
        <v>314</v>
      </c>
      <c r="B34" s="211">
        <v>2.0</v>
      </c>
      <c r="C34" s="212">
        <v>8.0</v>
      </c>
      <c r="D34" s="211">
        <v>2.0</v>
      </c>
      <c r="E34" s="212">
        <v>2.0</v>
      </c>
      <c r="F34" s="201">
        <f t="shared" si="1"/>
        <v>2</v>
      </c>
      <c r="G34" s="212">
        <v>0.0</v>
      </c>
      <c r="H34" s="202">
        <f t="shared" si="2"/>
        <v>0</v>
      </c>
      <c r="I34" s="214">
        <v>0.5</v>
      </c>
    </row>
    <row r="35">
      <c r="A35" s="210" t="s">
        <v>397</v>
      </c>
      <c r="B35" s="211">
        <v>2.0</v>
      </c>
      <c r="C35" s="212">
        <v>8.0</v>
      </c>
      <c r="D35" s="211">
        <v>1.0</v>
      </c>
      <c r="E35" s="212">
        <v>2.0</v>
      </c>
      <c r="F35" s="201">
        <f t="shared" si="1"/>
        <v>2</v>
      </c>
      <c r="G35" s="212">
        <v>0.0</v>
      </c>
      <c r="H35" s="202">
        <f t="shared" si="2"/>
        <v>0</v>
      </c>
      <c r="I35" s="214">
        <v>1.0</v>
      </c>
    </row>
    <row r="36">
      <c r="A36" s="210" t="s">
        <v>357</v>
      </c>
      <c r="B36" s="211">
        <v>3.0</v>
      </c>
      <c r="C36" s="212">
        <v>12.0</v>
      </c>
      <c r="D36" s="211">
        <v>1.0</v>
      </c>
      <c r="E36" s="212">
        <v>1.33</v>
      </c>
      <c r="F36" s="201">
        <f t="shared" si="1"/>
        <v>1.33</v>
      </c>
      <c r="G36" s="212">
        <v>0.0</v>
      </c>
      <c r="H36" s="202">
        <f t="shared" si="2"/>
        <v>0</v>
      </c>
      <c r="I36" s="214">
        <v>1.0</v>
      </c>
    </row>
    <row r="37">
      <c r="A37" s="210" t="s">
        <v>364</v>
      </c>
      <c r="B37" s="211">
        <v>3.0</v>
      </c>
      <c r="C37" s="212">
        <v>12.0</v>
      </c>
      <c r="D37" s="211">
        <v>1.0</v>
      </c>
      <c r="E37" s="212">
        <v>1.33</v>
      </c>
      <c r="F37" s="201">
        <f t="shared" si="1"/>
        <v>1.33</v>
      </c>
      <c r="G37" s="212">
        <v>0.0</v>
      </c>
      <c r="H37" s="202">
        <f t="shared" si="2"/>
        <v>0</v>
      </c>
      <c r="I37" s="214">
        <v>1.0</v>
      </c>
    </row>
    <row r="38">
      <c r="A38" s="210" t="s">
        <v>361</v>
      </c>
      <c r="B38" s="211">
        <v>4.0</v>
      </c>
      <c r="C38" s="212">
        <v>14.0</v>
      </c>
      <c r="D38" s="211">
        <v>3.0</v>
      </c>
      <c r="E38" s="212">
        <v>1.0</v>
      </c>
      <c r="F38" s="201">
        <f t="shared" si="1"/>
        <v>1.142857143</v>
      </c>
      <c r="G38" s="212">
        <v>0.0</v>
      </c>
      <c r="H38" s="202">
        <f t="shared" si="2"/>
        <v>0</v>
      </c>
      <c r="I38" s="214">
        <v>0.333</v>
      </c>
    </row>
    <row r="39">
      <c r="A39" s="210" t="s">
        <v>305</v>
      </c>
      <c r="B39" s="211">
        <v>4.0</v>
      </c>
      <c r="C39" s="212">
        <v>15.0</v>
      </c>
      <c r="D39" s="211">
        <v>3.0</v>
      </c>
      <c r="E39" s="212">
        <v>1.0</v>
      </c>
      <c r="F39" s="201">
        <f t="shared" si="1"/>
        <v>1.066666667</v>
      </c>
      <c r="G39" s="212">
        <v>0.0</v>
      </c>
      <c r="H39" s="202">
        <f t="shared" si="2"/>
        <v>0</v>
      </c>
      <c r="I39" s="214">
        <v>0.333</v>
      </c>
    </row>
    <row r="40">
      <c r="A40" s="210" t="s">
        <v>276</v>
      </c>
      <c r="B40" s="211">
        <v>4.0</v>
      </c>
      <c r="C40" s="212">
        <v>16.0</v>
      </c>
      <c r="D40" s="211">
        <v>9.0</v>
      </c>
      <c r="E40" s="212">
        <v>1.0</v>
      </c>
      <c r="F40" s="201">
        <f t="shared" si="1"/>
        <v>1</v>
      </c>
      <c r="G40" s="212">
        <v>0.5</v>
      </c>
      <c r="H40" s="202">
        <f t="shared" si="2"/>
        <v>2</v>
      </c>
      <c r="I40" s="214">
        <v>0.333</v>
      </c>
    </row>
    <row r="41">
      <c r="A41" s="210" t="s">
        <v>274</v>
      </c>
      <c r="B41" s="211">
        <v>4.0</v>
      </c>
      <c r="C41" s="212">
        <v>16.0</v>
      </c>
      <c r="D41" s="211">
        <v>5.0</v>
      </c>
      <c r="E41" s="212">
        <v>1.0</v>
      </c>
      <c r="F41" s="201">
        <f t="shared" si="1"/>
        <v>1</v>
      </c>
      <c r="G41" s="212">
        <v>0.25</v>
      </c>
      <c r="H41" s="202">
        <f t="shared" si="2"/>
        <v>1</v>
      </c>
      <c r="I41" s="214">
        <v>0.4</v>
      </c>
    </row>
    <row r="42">
      <c r="A42" s="210" t="s">
        <v>283</v>
      </c>
      <c r="B42" s="211">
        <v>4.0</v>
      </c>
      <c r="C42" s="212">
        <v>16.0</v>
      </c>
      <c r="D42" s="211">
        <v>4.0</v>
      </c>
      <c r="E42" s="212">
        <v>1.0</v>
      </c>
      <c r="F42" s="201">
        <f t="shared" si="1"/>
        <v>1</v>
      </c>
      <c r="G42" s="212">
        <v>0.25</v>
      </c>
      <c r="H42" s="202">
        <f t="shared" si="2"/>
        <v>1</v>
      </c>
      <c r="I42" s="214">
        <v>0.5</v>
      </c>
    </row>
    <row r="43">
      <c r="A43" s="210" t="s">
        <v>407</v>
      </c>
      <c r="B43" s="211">
        <v>4.0</v>
      </c>
      <c r="C43" s="212">
        <v>16.0</v>
      </c>
      <c r="D43" s="211">
        <v>3.0</v>
      </c>
      <c r="E43" s="212">
        <v>1.0</v>
      </c>
      <c r="F43" s="201">
        <f t="shared" si="1"/>
        <v>1</v>
      </c>
      <c r="G43" s="212">
        <v>0.25</v>
      </c>
      <c r="H43" s="202">
        <f t="shared" si="2"/>
        <v>1</v>
      </c>
      <c r="I43" s="214">
        <v>0.667</v>
      </c>
    </row>
    <row r="44">
      <c r="A44" s="210" t="s">
        <v>307</v>
      </c>
      <c r="B44" s="211">
        <v>4.0</v>
      </c>
      <c r="C44" s="212">
        <v>16.0</v>
      </c>
      <c r="D44" s="211">
        <v>2.0</v>
      </c>
      <c r="E44" s="212">
        <v>1.0</v>
      </c>
      <c r="F44" s="201">
        <f t="shared" si="1"/>
        <v>1</v>
      </c>
      <c r="G44" s="212">
        <v>0.0</v>
      </c>
      <c r="H44" s="202">
        <f t="shared" si="2"/>
        <v>0</v>
      </c>
      <c r="I44" s="214">
        <v>0.5</v>
      </c>
    </row>
    <row r="45">
      <c r="A45" s="210" t="s">
        <v>308</v>
      </c>
      <c r="B45" s="211">
        <v>4.0</v>
      </c>
      <c r="C45" s="212">
        <v>16.0</v>
      </c>
      <c r="D45" s="211">
        <v>2.0</v>
      </c>
      <c r="E45" s="212">
        <v>1.0</v>
      </c>
      <c r="F45" s="201">
        <f t="shared" si="1"/>
        <v>1</v>
      </c>
      <c r="G45" s="212">
        <v>0.0</v>
      </c>
      <c r="H45" s="202">
        <f t="shared" si="2"/>
        <v>0</v>
      </c>
      <c r="I45" s="214">
        <v>0.5</v>
      </c>
    </row>
    <row r="46">
      <c r="A46" s="210" t="s">
        <v>302</v>
      </c>
      <c r="B46" s="211">
        <v>4.0</v>
      </c>
      <c r="C46" s="212">
        <v>16.0</v>
      </c>
      <c r="D46" s="211">
        <v>1.0</v>
      </c>
      <c r="E46" s="212">
        <v>1.0</v>
      </c>
      <c r="F46" s="201">
        <f t="shared" si="1"/>
        <v>1</v>
      </c>
      <c r="G46" s="212">
        <v>0.0</v>
      </c>
      <c r="H46" s="202">
        <f t="shared" si="2"/>
        <v>0</v>
      </c>
      <c r="I46" s="214">
        <v>1.0</v>
      </c>
    </row>
    <row r="47">
      <c r="A47" s="210" t="s">
        <v>313</v>
      </c>
      <c r="B47" s="211">
        <v>4.0</v>
      </c>
      <c r="C47" s="212">
        <v>16.0</v>
      </c>
      <c r="D47" s="211">
        <v>1.0</v>
      </c>
      <c r="E47" s="212">
        <v>1.0</v>
      </c>
      <c r="F47" s="201">
        <f t="shared" si="1"/>
        <v>1</v>
      </c>
      <c r="G47" s="212">
        <v>0.0</v>
      </c>
      <c r="H47" s="202">
        <f t="shared" si="2"/>
        <v>0</v>
      </c>
      <c r="I47" s="214">
        <v>1.0</v>
      </c>
    </row>
    <row r="48">
      <c r="A48" s="210" t="s">
        <v>370</v>
      </c>
      <c r="B48" s="211">
        <v>4.0</v>
      </c>
      <c r="C48" s="212">
        <v>16.0</v>
      </c>
      <c r="D48" s="211">
        <v>3.0</v>
      </c>
      <c r="E48" s="212">
        <v>1.0</v>
      </c>
      <c r="F48" s="201">
        <f t="shared" si="1"/>
        <v>1</v>
      </c>
      <c r="G48" s="212">
        <v>0.0</v>
      </c>
      <c r="H48" s="202">
        <f t="shared" si="2"/>
        <v>0</v>
      </c>
      <c r="I48" s="214">
        <v>0.333</v>
      </c>
    </row>
    <row r="49">
      <c r="A49" s="210" t="s">
        <v>303</v>
      </c>
      <c r="B49" s="211">
        <v>4.0</v>
      </c>
      <c r="C49" s="212">
        <v>16.0</v>
      </c>
      <c r="D49" s="211">
        <v>2.0</v>
      </c>
      <c r="E49" s="212">
        <v>1.0</v>
      </c>
      <c r="F49" s="201">
        <f t="shared" si="1"/>
        <v>1</v>
      </c>
      <c r="G49" s="212">
        <v>0.0</v>
      </c>
      <c r="H49" s="202">
        <f t="shared" si="2"/>
        <v>0</v>
      </c>
      <c r="I49" s="214">
        <v>0.5</v>
      </c>
    </row>
    <row r="50">
      <c r="A50" s="210" t="s">
        <v>321</v>
      </c>
      <c r="B50" s="211">
        <v>4.0</v>
      </c>
      <c r="C50" s="212">
        <v>16.0</v>
      </c>
      <c r="D50" s="211">
        <v>2.0</v>
      </c>
      <c r="E50" s="212">
        <v>1.0</v>
      </c>
      <c r="F50" s="201">
        <f t="shared" si="1"/>
        <v>1</v>
      </c>
      <c r="G50" s="212">
        <v>0.0</v>
      </c>
      <c r="H50" s="202">
        <f t="shared" si="2"/>
        <v>0</v>
      </c>
      <c r="I50" s="214">
        <v>0.5</v>
      </c>
    </row>
    <row r="51">
      <c r="A51" s="210" t="s">
        <v>328</v>
      </c>
      <c r="B51" s="211">
        <v>4.0</v>
      </c>
      <c r="C51" s="212">
        <v>16.0</v>
      </c>
      <c r="D51" s="211">
        <v>2.0</v>
      </c>
      <c r="E51" s="212">
        <v>1.0</v>
      </c>
      <c r="F51" s="201">
        <f t="shared" si="1"/>
        <v>1</v>
      </c>
      <c r="G51" s="212">
        <v>0.0</v>
      </c>
      <c r="H51" s="202">
        <f t="shared" si="2"/>
        <v>0</v>
      </c>
      <c r="I51" s="214">
        <v>0.5</v>
      </c>
    </row>
    <row r="52">
      <c r="A52" s="210" t="s">
        <v>284</v>
      </c>
      <c r="B52" s="211">
        <v>4.0</v>
      </c>
      <c r="C52" s="212">
        <v>16.0</v>
      </c>
      <c r="D52" s="211">
        <v>12.0</v>
      </c>
      <c r="E52" s="212">
        <v>0.0</v>
      </c>
      <c r="F52" s="201">
        <f t="shared" si="1"/>
        <v>0</v>
      </c>
      <c r="G52" s="212">
        <v>1.0</v>
      </c>
      <c r="H52" s="202">
        <f t="shared" si="2"/>
        <v>4</v>
      </c>
      <c r="I52" s="214">
        <v>0.333</v>
      </c>
    </row>
    <row r="53">
      <c r="A53" s="210" t="s">
        <v>275</v>
      </c>
      <c r="B53" s="211">
        <v>4.0</v>
      </c>
      <c r="C53" s="212">
        <v>16.0</v>
      </c>
      <c r="D53" s="211">
        <v>6.0</v>
      </c>
      <c r="E53" s="212">
        <v>0.0</v>
      </c>
      <c r="F53" s="201">
        <f t="shared" si="1"/>
        <v>0</v>
      </c>
      <c r="G53" s="212">
        <v>0.75</v>
      </c>
      <c r="H53" s="202">
        <f t="shared" si="2"/>
        <v>3</v>
      </c>
      <c r="I53" s="214">
        <v>0.5</v>
      </c>
    </row>
    <row r="54">
      <c r="A54" s="210" t="s">
        <v>280</v>
      </c>
      <c r="B54" s="211">
        <v>4.0</v>
      </c>
      <c r="C54" s="212">
        <v>16.0</v>
      </c>
      <c r="D54" s="211">
        <v>3.0</v>
      </c>
      <c r="E54" s="212">
        <v>0.0</v>
      </c>
      <c r="F54" s="201">
        <f t="shared" si="1"/>
        <v>0</v>
      </c>
      <c r="G54" s="212">
        <v>0.25</v>
      </c>
      <c r="H54" s="202">
        <f t="shared" si="2"/>
        <v>1</v>
      </c>
      <c r="I54" s="214">
        <v>0.333</v>
      </c>
    </row>
    <row r="55">
      <c r="A55" s="210" t="s">
        <v>334</v>
      </c>
      <c r="B55" s="211">
        <v>4.0</v>
      </c>
      <c r="C55" s="212">
        <v>16.0</v>
      </c>
      <c r="D55" s="211">
        <v>4.0</v>
      </c>
      <c r="E55" s="212">
        <v>0.0</v>
      </c>
      <c r="F55" s="201">
        <f t="shared" si="1"/>
        <v>0</v>
      </c>
      <c r="G55" s="212">
        <v>0.25</v>
      </c>
      <c r="H55" s="202">
        <f t="shared" si="2"/>
        <v>1</v>
      </c>
      <c r="I55" s="214">
        <v>0.25</v>
      </c>
    </row>
    <row r="56">
      <c r="A56" s="210" t="s">
        <v>366</v>
      </c>
      <c r="B56" s="211">
        <v>4.0</v>
      </c>
      <c r="C56" s="212">
        <v>16.0</v>
      </c>
      <c r="D56" s="211">
        <v>5.0</v>
      </c>
      <c r="E56" s="212">
        <v>0.0</v>
      </c>
      <c r="F56" s="201">
        <f t="shared" si="1"/>
        <v>0</v>
      </c>
      <c r="G56" s="212">
        <v>0.25</v>
      </c>
      <c r="H56" s="202">
        <f t="shared" si="2"/>
        <v>1</v>
      </c>
      <c r="I56" s="214">
        <v>0.2</v>
      </c>
    </row>
    <row r="57">
      <c r="A57" s="210" t="s">
        <v>405</v>
      </c>
      <c r="B57" s="211">
        <v>4.0</v>
      </c>
      <c r="C57" s="212">
        <v>16.0</v>
      </c>
      <c r="D57" s="211">
        <v>3.0</v>
      </c>
      <c r="E57" s="212">
        <v>0.0</v>
      </c>
      <c r="F57" s="201">
        <f t="shared" si="1"/>
        <v>0</v>
      </c>
      <c r="G57" s="212">
        <v>0.25</v>
      </c>
      <c r="H57" s="202">
        <f t="shared" si="2"/>
        <v>1</v>
      </c>
      <c r="I57" s="214">
        <v>0.333</v>
      </c>
    </row>
    <row r="58">
      <c r="A58" s="210" t="s">
        <v>340</v>
      </c>
      <c r="B58" s="211">
        <v>4.0</v>
      </c>
      <c r="C58" s="212">
        <v>16.0</v>
      </c>
      <c r="D58" s="211">
        <v>0.0</v>
      </c>
      <c r="E58" s="212">
        <v>0.0</v>
      </c>
      <c r="F58" s="201">
        <f t="shared" si="1"/>
        <v>0</v>
      </c>
      <c r="G58" s="212">
        <v>0.0</v>
      </c>
      <c r="H58" s="202">
        <f t="shared" si="2"/>
        <v>0</v>
      </c>
      <c r="I58" s="214">
        <v>0.0</v>
      </c>
    </row>
    <row r="59">
      <c r="A59" s="210" t="s">
        <v>291</v>
      </c>
      <c r="B59" s="211">
        <v>4.0</v>
      </c>
      <c r="C59" s="212">
        <v>15.0</v>
      </c>
      <c r="D59" s="211">
        <v>2.0</v>
      </c>
      <c r="E59" s="212">
        <v>0.0</v>
      </c>
      <c r="F59" s="201">
        <f t="shared" si="1"/>
        <v>0</v>
      </c>
      <c r="G59" s="212">
        <v>0.0</v>
      </c>
      <c r="H59" s="202">
        <f t="shared" si="2"/>
        <v>0</v>
      </c>
      <c r="I59" s="214">
        <v>0.0</v>
      </c>
    </row>
    <row r="60">
      <c r="A60" s="210" t="s">
        <v>310</v>
      </c>
      <c r="B60" s="211">
        <v>4.0</v>
      </c>
      <c r="C60" s="212">
        <v>15.0</v>
      </c>
      <c r="D60" s="211">
        <v>3.0</v>
      </c>
      <c r="E60" s="212">
        <v>0.0</v>
      </c>
      <c r="F60" s="201">
        <f t="shared" si="1"/>
        <v>0</v>
      </c>
      <c r="G60" s="212">
        <v>0.0</v>
      </c>
      <c r="H60" s="202">
        <f t="shared" si="2"/>
        <v>0</v>
      </c>
      <c r="I60" s="214">
        <v>0.0</v>
      </c>
    </row>
    <row r="61">
      <c r="A61" s="210" t="s">
        <v>394</v>
      </c>
      <c r="B61" s="211">
        <v>4.0</v>
      </c>
      <c r="C61" s="212">
        <v>16.0</v>
      </c>
      <c r="D61" s="211">
        <v>0.0</v>
      </c>
      <c r="E61" s="212">
        <v>0.0</v>
      </c>
      <c r="F61" s="201">
        <f t="shared" si="1"/>
        <v>0</v>
      </c>
      <c r="G61" s="212">
        <v>0.0</v>
      </c>
      <c r="H61" s="202">
        <f t="shared" si="2"/>
        <v>0</v>
      </c>
      <c r="I61" s="214">
        <v>0.0</v>
      </c>
    </row>
    <row r="62">
      <c r="A62" s="210" t="s">
        <v>327</v>
      </c>
      <c r="B62" s="211">
        <v>4.0</v>
      </c>
      <c r="C62" s="212">
        <v>16.0</v>
      </c>
      <c r="D62" s="211">
        <v>0.0</v>
      </c>
      <c r="E62" s="212">
        <v>0.0</v>
      </c>
      <c r="F62" s="201">
        <f t="shared" si="1"/>
        <v>0</v>
      </c>
      <c r="G62" s="212">
        <v>0.0</v>
      </c>
      <c r="H62" s="202">
        <f t="shared" si="2"/>
        <v>0</v>
      </c>
      <c r="I62" s="214">
        <v>0.0</v>
      </c>
    </row>
    <row r="63">
      <c r="A63" s="210" t="s">
        <v>352</v>
      </c>
      <c r="B63" s="211">
        <v>3.0</v>
      </c>
      <c r="C63" s="212">
        <v>12.0</v>
      </c>
      <c r="D63" s="211">
        <v>0.0</v>
      </c>
      <c r="E63" s="212">
        <v>0.0</v>
      </c>
      <c r="F63" s="201">
        <f t="shared" si="1"/>
        <v>0</v>
      </c>
      <c r="G63" s="212">
        <v>0.0</v>
      </c>
      <c r="H63" s="202">
        <f t="shared" si="2"/>
        <v>0</v>
      </c>
      <c r="I63" s="214">
        <v>0.0</v>
      </c>
    </row>
    <row r="64">
      <c r="A64" s="210" t="s">
        <v>300</v>
      </c>
      <c r="B64" s="211">
        <v>4.0</v>
      </c>
      <c r="C64" s="212">
        <v>15.0</v>
      </c>
      <c r="D64" s="211">
        <v>0.0</v>
      </c>
      <c r="E64" s="212">
        <v>0.0</v>
      </c>
      <c r="F64" s="201">
        <f t="shared" si="1"/>
        <v>0</v>
      </c>
      <c r="G64" s="212">
        <v>0.0</v>
      </c>
      <c r="H64" s="202">
        <f t="shared" si="2"/>
        <v>0</v>
      </c>
      <c r="I64" s="214">
        <v>0.0</v>
      </c>
    </row>
    <row r="65">
      <c r="A65" s="210" t="s">
        <v>350</v>
      </c>
      <c r="B65" s="211">
        <v>4.0</v>
      </c>
      <c r="C65" s="212">
        <v>15.0</v>
      </c>
      <c r="D65" s="211">
        <v>1.0</v>
      </c>
      <c r="E65" s="212">
        <v>0.0</v>
      </c>
      <c r="F65" s="201">
        <f t="shared" si="1"/>
        <v>0</v>
      </c>
      <c r="G65" s="212">
        <v>0.0</v>
      </c>
      <c r="H65" s="202">
        <f t="shared" si="2"/>
        <v>0</v>
      </c>
      <c r="I65" s="214">
        <v>0.0</v>
      </c>
    </row>
    <row r="66">
      <c r="A66" s="210" t="s">
        <v>344</v>
      </c>
      <c r="B66" s="211">
        <v>4.0</v>
      </c>
      <c r="C66" s="212">
        <v>15.0</v>
      </c>
      <c r="D66" s="211">
        <v>0.0</v>
      </c>
      <c r="E66" s="212">
        <v>0.0</v>
      </c>
      <c r="F66" s="201">
        <f t="shared" si="1"/>
        <v>0</v>
      </c>
      <c r="G66" s="212">
        <v>0.0</v>
      </c>
      <c r="H66" s="202">
        <f t="shared" si="2"/>
        <v>0</v>
      </c>
      <c r="I66" s="214">
        <v>0.0</v>
      </c>
    </row>
    <row r="67">
      <c r="A67" s="210" t="s">
        <v>322</v>
      </c>
      <c r="B67" s="211">
        <v>4.0</v>
      </c>
      <c r="C67" s="212">
        <v>16.0</v>
      </c>
      <c r="D67" s="211">
        <v>0.0</v>
      </c>
      <c r="E67" s="212">
        <v>0.0</v>
      </c>
      <c r="F67" s="201">
        <f t="shared" si="1"/>
        <v>0</v>
      </c>
      <c r="G67" s="212">
        <v>0.0</v>
      </c>
      <c r="H67" s="202">
        <f t="shared" si="2"/>
        <v>0</v>
      </c>
      <c r="I67" s="214">
        <v>0.0</v>
      </c>
    </row>
    <row r="68">
      <c r="A68" s="210" t="s">
        <v>304</v>
      </c>
      <c r="B68" s="211">
        <v>4.0</v>
      </c>
      <c r="C68" s="212">
        <v>16.0</v>
      </c>
      <c r="D68" s="211">
        <v>1.0</v>
      </c>
      <c r="E68" s="212">
        <v>0.0</v>
      </c>
      <c r="F68" s="201">
        <f t="shared" si="1"/>
        <v>0</v>
      </c>
      <c r="G68" s="212">
        <v>0.0</v>
      </c>
      <c r="H68" s="202">
        <f t="shared" si="2"/>
        <v>0</v>
      </c>
      <c r="I68" s="214">
        <v>0.0</v>
      </c>
    </row>
    <row r="69">
      <c r="A69" s="210" t="s">
        <v>369</v>
      </c>
      <c r="B69" s="211">
        <v>4.0</v>
      </c>
      <c r="C69" s="212">
        <v>16.0</v>
      </c>
      <c r="D69" s="211">
        <v>0.0</v>
      </c>
      <c r="E69" s="212">
        <v>0.0</v>
      </c>
      <c r="F69" s="201">
        <f t="shared" si="1"/>
        <v>0</v>
      </c>
      <c r="G69" s="212">
        <v>0.0</v>
      </c>
      <c r="H69" s="202">
        <f t="shared" si="2"/>
        <v>0</v>
      </c>
      <c r="I69" s="214">
        <v>0.0</v>
      </c>
    </row>
    <row r="70">
      <c r="A70" s="210" t="s">
        <v>367</v>
      </c>
      <c r="B70" s="211">
        <v>1.0</v>
      </c>
      <c r="C70" s="212">
        <v>4.0</v>
      </c>
      <c r="D70" s="211">
        <v>0.0</v>
      </c>
      <c r="E70" s="212">
        <v>0.0</v>
      </c>
      <c r="F70" s="201">
        <f t="shared" si="1"/>
        <v>0</v>
      </c>
      <c r="G70" s="212">
        <v>0.0</v>
      </c>
      <c r="H70" s="202">
        <f t="shared" si="2"/>
        <v>0</v>
      </c>
      <c r="I70" s="214">
        <v>0.0</v>
      </c>
    </row>
    <row r="71">
      <c r="A71" s="210" t="s">
        <v>375</v>
      </c>
      <c r="B71" s="211">
        <v>2.0</v>
      </c>
      <c r="C71" s="212">
        <v>8.0</v>
      </c>
      <c r="D71" s="211">
        <v>0.0</v>
      </c>
      <c r="E71" s="212">
        <v>0.0</v>
      </c>
      <c r="F71" s="201">
        <f t="shared" si="1"/>
        <v>0</v>
      </c>
      <c r="G71" s="212">
        <v>0.0</v>
      </c>
      <c r="H71" s="202">
        <f t="shared" si="2"/>
        <v>0</v>
      </c>
      <c r="I71" s="214">
        <v>0.0</v>
      </c>
    </row>
    <row r="72">
      <c r="A72" s="210" t="s">
        <v>318</v>
      </c>
      <c r="B72" s="211">
        <v>4.0</v>
      </c>
      <c r="C72" s="212">
        <v>16.0</v>
      </c>
      <c r="D72" s="211">
        <v>1.0</v>
      </c>
      <c r="E72" s="212">
        <v>0.0</v>
      </c>
      <c r="F72" s="201">
        <f t="shared" si="1"/>
        <v>0</v>
      </c>
      <c r="G72" s="212">
        <v>0.0</v>
      </c>
      <c r="H72" s="202">
        <f t="shared" si="2"/>
        <v>0</v>
      </c>
      <c r="I72" s="214">
        <v>0.0</v>
      </c>
    </row>
    <row r="73">
      <c r="A73" s="210" t="s">
        <v>332</v>
      </c>
      <c r="B73" s="211">
        <v>4.0</v>
      </c>
      <c r="C73" s="212">
        <v>16.0</v>
      </c>
      <c r="D73" s="211">
        <v>0.0</v>
      </c>
      <c r="E73" s="212">
        <v>0.0</v>
      </c>
      <c r="F73" s="201">
        <f t="shared" si="1"/>
        <v>0</v>
      </c>
      <c r="G73" s="212">
        <v>0.0</v>
      </c>
      <c r="H73" s="202">
        <f t="shared" si="2"/>
        <v>0</v>
      </c>
      <c r="I73" s="214">
        <v>0.0</v>
      </c>
    </row>
    <row r="74">
      <c r="A74" s="210" t="s">
        <v>404</v>
      </c>
      <c r="B74" s="211">
        <v>3.0</v>
      </c>
      <c r="C74" s="212">
        <v>12.0</v>
      </c>
      <c r="D74" s="211">
        <v>0.0</v>
      </c>
      <c r="E74" s="212">
        <v>0.0</v>
      </c>
      <c r="F74" s="201">
        <f t="shared" si="1"/>
        <v>0</v>
      </c>
      <c r="G74" s="212">
        <v>0.0</v>
      </c>
      <c r="H74" s="202">
        <f t="shared" si="2"/>
        <v>0</v>
      </c>
      <c r="I74" s="214">
        <v>0.0</v>
      </c>
    </row>
    <row r="75">
      <c r="A75" s="210" t="s">
        <v>408</v>
      </c>
      <c r="B75" s="211">
        <v>3.0</v>
      </c>
      <c r="C75" s="212">
        <v>12.0</v>
      </c>
      <c r="D75" s="211">
        <v>1.0</v>
      </c>
      <c r="E75" s="212">
        <v>0.0</v>
      </c>
      <c r="F75" s="201">
        <f t="shared" si="1"/>
        <v>0</v>
      </c>
      <c r="G75" s="212">
        <v>0.0</v>
      </c>
      <c r="H75" s="202">
        <f t="shared" si="2"/>
        <v>0</v>
      </c>
      <c r="I75" s="214">
        <v>0.0</v>
      </c>
    </row>
    <row r="76">
      <c r="A76" s="210" t="s">
        <v>395</v>
      </c>
      <c r="B76" s="211">
        <v>4.0</v>
      </c>
      <c r="C76" s="212">
        <v>16.0</v>
      </c>
      <c r="D76" s="211">
        <v>1.0</v>
      </c>
      <c r="E76" s="212">
        <v>0.0</v>
      </c>
      <c r="F76" s="201">
        <f t="shared" si="1"/>
        <v>0</v>
      </c>
      <c r="G76" s="212">
        <v>0.0</v>
      </c>
      <c r="H76" s="202">
        <f t="shared" si="2"/>
        <v>0</v>
      </c>
      <c r="I76" s="214">
        <v>0.0</v>
      </c>
    </row>
    <row r="77">
      <c r="A77" s="210" t="s">
        <v>317</v>
      </c>
      <c r="B77" s="211">
        <v>3.0</v>
      </c>
      <c r="C77" s="212">
        <v>12.0</v>
      </c>
      <c r="D77" s="211">
        <v>0.0</v>
      </c>
      <c r="E77" s="212">
        <v>0.0</v>
      </c>
      <c r="F77" s="201">
        <f t="shared" si="1"/>
        <v>0</v>
      </c>
      <c r="G77" s="212">
        <v>0.0</v>
      </c>
      <c r="H77" s="202">
        <f t="shared" si="2"/>
        <v>0</v>
      </c>
      <c r="I77" s="214">
        <v>0.0</v>
      </c>
    </row>
    <row r="78">
      <c r="A78" s="210" t="s">
        <v>386</v>
      </c>
      <c r="B78" s="211">
        <v>3.0</v>
      </c>
      <c r="C78" s="212">
        <v>12.0</v>
      </c>
      <c r="D78" s="211">
        <v>1.0</v>
      </c>
      <c r="E78" s="212">
        <v>0.0</v>
      </c>
      <c r="F78" s="201">
        <f t="shared" si="1"/>
        <v>0</v>
      </c>
      <c r="G78" s="212">
        <v>0.0</v>
      </c>
      <c r="H78" s="202">
        <f t="shared" si="2"/>
        <v>0</v>
      </c>
      <c r="I78" s="214">
        <v>0.0</v>
      </c>
    </row>
    <row r="79">
      <c r="A79" s="210" t="s">
        <v>330</v>
      </c>
      <c r="B79" s="211">
        <v>4.0</v>
      </c>
      <c r="C79" s="212">
        <v>16.0</v>
      </c>
      <c r="D79" s="211">
        <v>4.0</v>
      </c>
      <c r="E79" s="212">
        <v>0.0</v>
      </c>
      <c r="F79" s="201">
        <f t="shared" si="1"/>
        <v>0</v>
      </c>
      <c r="G79" s="212">
        <v>0.0</v>
      </c>
      <c r="H79" s="202">
        <f t="shared" si="2"/>
        <v>0</v>
      </c>
      <c r="I79" s="214">
        <v>0.0</v>
      </c>
    </row>
    <row r="80">
      <c r="A80" s="210" t="s">
        <v>358</v>
      </c>
      <c r="B80" s="211">
        <v>3.0</v>
      </c>
      <c r="C80" s="212">
        <v>12.0</v>
      </c>
      <c r="D80" s="211">
        <v>0.0</v>
      </c>
      <c r="E80" s="212">
        <v>0.0</v>
      </c>
      <c r="F80" s="201">
        <f t="shared" si="1"/>
        <v>0</v>
      </c>
      <c r="G80" s="212">
        <v>0.0</v>
      </c>
      <c r="H80" s="202">
        <f t="shared" si="2"/>
        <v>0</v>
      </c>
      <c r="I80" s="214">
        <v>0.0</v>
      </c>
    </row>
    <row r="81">
      <c r="A81" s="210" t="s">
        <v>290</v>
      </c>
      <c r="B81" s="211">
        <v>4.0</v>
      </c>
      <c r="C81" s="212">
        <v>16.0</v>
      </c>
      <c r="D81" s="211">
        <v>0.0</v>
      </c>
      <c r="E81" s="212">
        <v>0.0</v>
      </c>
      <c r="F81" s="201">
        <f t="shared" si="1"/>
        <v>0</v>
      </c>
      <c r="G81" s="212">
        <v>0.0</v>
      </c>
      <c r="H81" s="202">
        <f t="shared" si="2"/>
        <v>0</v>
      </c>
      <c r="I81" s="214">
        <v>0.0</v>
      </c>
    </row>
    <row r="82">
      <c r="A82" s="210" t="s">
        <v>320</v>
      </c>
      <c r="B82" s="211">
        <v>4.0</v>
      </c>
      <c r="C82" s="212">
        <v>16.0</v>
      </c>
      <c r="D82" s="211">
        <v>0.0</v>
      </c>
      <c r="E82" s="212">
        <v>0.0</v>
      </c>
      <c r="F82" s="201">
        <f t="shared" si="1"/>
        <v>0</v>
      </c>
      <c r="G82" s="212">
        <v>0.0</v>
      </c>
      <c r="H82" s="202">
        <f t="shared" si="2"/>
        <v>0</v>
      </c>
      <c r="I82" s="214">
        <v>0.0</v>
      </c>
    </row>
    <row r="83">
      <c r="A83" s="210" t="s">
        <v>311</v>
      </c>
      <c r="B83" s="211">
        <v>4.0</v>
      </c>
      <c r="C83" s="212">
        <v>16.0</v>
      </c>
      <c r="D83" s="211">
        <v>0.0</v>
      </c>
      <c r="E83" s="212">
        <v>0.0</v>
      </c>
      <c r="F83" s="201">
        <f t="shared" si="1"/>
        <v>0</v>
      </c>
      <c r="G83" s="212">
        <v>0.0</v>
      </c>
      <c r="H83" s="202">
        <f t="shared" si="2"/>
        <v>0</v>
      </c>
      <c r="I83" s="214">
        <v>0.0</v>
      </c>
    </row>
    <row r="84">
      <c r="A84" s="210" t="s">
        <v>356</v>
      </c>
      <c r="B84" s="211">
        <v>4.0</v>
      </c>
      <c r="C84" s="212">
        <v>16.0</v>
      </c>
      <c r="D84" s="211">
        <v>0.0</v>
      </c>
      <c r="E84" s="212">
        <v>0.0</v>
      </c>
      <c r="F84" s="201">
        <f t="shared" si="1"/>
        <v>0</v>
      </c>
      <c r="G84" s="212">
        <v>0.0</v>
      </c>
      <c r="H84" s="202">
        <f t="shared" si="2"/>
        <v>0</v>
      </c>
      <c r="I84" s="214">
        <v>0.0</v>
      </c>
    </row>
    <row r="85">
      <c r="A85" s="210" t="s">
        <v>389</v>
      </c>
      <c r="B85" s="211">
        <v>3.0</v>
      </c>
      <c r="C85" s="212">
        <v>12.0</v>
      </c>
      <c r="D85" s="211">
        <v>1.0</v>
      </c>
      <c r="E85" s="212">
        <v>0.0</v>
      </c>
      <c r="F85" s="201">
        <f t="shared" si="1"/>
        <v>0</v>
      </c>
      <c r="G85" s="212">
        <v>0.0</v>
      </c>
      <c r="H85" s="202">
        <f t="shared" si="2"/>
        <v>0</v>
      </c>
      <c r="I85" s="214">
        <v>0.0</v>
      </c>
    </row>
    <row r="86">
      <c r="A86" s="210" t="s">
        <v>359</v>
      </c>
      <c r="B86" s="211">
        <v>4.0</v>
      </c>
      <c r="C86" s="212">
        <v>16.0</v>
      </c>
      <c r="D86" s="211">
        <v>0.0</v>
      </c>
      <c r="E86" s="212">
        <v>0.0</v>
      </c>
      <c r="F86" s="201">
        <f t="shared" si="1"/>
        <v>0</v>
      </c>
      <c r="G86" s="212">
        <v>0.0</v>
      </c>
      <c r="H86" s="202">
        <f t="shared" si="2"/>
        <v>0</v>
      </c>
      <c r="I86" s="214">
        <v>0.0</v>
      </c>
    </row>
    <row r="87">
      <c r="A87" s="210" t="s">
        <v>393</v>
      </c>
      <c r="B87" s="211">
        <v>4.0</v>
      </c>
      <c r="C87" s="212">
        <v>16.0</v>
      </c>
      <c r="D87" s="211">
        <v>2.0</v>
      </c>
      <c r="E87" s="212">
        <v>0.0</v>
      </c>
      <c r="F87" s="201">
        <f t="shared" si="1"/>
        <v>0</v>
      </c>
      <c r="G87" s="212">
        <v>0.0</v>
      </c>
      <c r="H87" s="202">
        <f t="shared" si="2"/>
        <v>0</v>
      </c>
      <c r="I87" s="214">
        <v>0.0</v>
      </c>
    </row>
    <row r="88">
      <c r="A88" s="210" t="s">
        <v>398</v>
      </c>
      <c r="B88" s="211">
        <v>1.0</v>
      </c>
      <c r="C88" s="212">
        <v>4.0</v>
      </c>
      <c r="D88" s="211">
        <v>0.0</v>
      </c>
      <c r="E88" s="212">
        <v>0.0</v>
      </c>
      <c r="F88" s="201">
        <f t="shared" si="1"/>
        <v>0</v>
      </c>
      <c r="G88" s="212">
        <v>0.0</v>
      </c>
      <c r="H88" s="202">
        <f t="shared" si="2"/>
        <v>0</v>
      </c>
      <c r="I88" s="214">
        <v>0.0</v>
      </c>
    </row>
    <row r="89">
      <c r="A89" s="210" t="s">
        <v>376</v>
      </c>
      <c r="B89" s="211">
        <v>1.0</v>
      </c>
      <c r="C89" s="212">
        <v>4.0</v>
      </c>
      <c r="D89" s="211">
        <v>1.0</v>
      </c>
      <c r="E89" s="212">
        <v>0.0</v>
      </c>
      <c r="F89" s="201">
        <f t="shared" si="1"/>
        <v>0</v>
      </c>
      <c r="G89" s="212">
        <v>0.0</v>
      </c>
      <c r="H89" s="202">
        <f t="shared" si="2"/>
        <v>0</v>
      </c>
      <c r="I89" s="214">
        <v>0.0</v>
      </c>
    </row>
    <row r="90">
      <c r="A90" s="210" t="s">
        <v>379</v>
      </c>
      <c r="B90" s="211">
        <v>4.0</v>
      </c>
      <c r="C90" s="212">
        <v>16.0</v>
      </c>
      <c r="D90" s="211">
        <v>0.0</v>
      </c>
      <c r="E90" s="212">
        <v>0.0</v>
      </c>
      <c r="F90" s="201">
        <f t="shared" si="1"/>
        <v>0</v>
      </c>
      <c r="G90" s="212">
        <v>0.0</v>
      </c>
      <c r="H90" s="202">
        <f t="shared" si="2"/>
        <v>0</v>
      </c>
      <c r="I90" s="214">
        <v>0.0</v>
      </c>
    </row>
    <row r="91">
      <c r="A91" s="210" t="s">
        <v>372</v>
      </c>
      <c r="B91" s="211">
        <v>4.0</v>
      </c>
      <c r="C91" s="212">
        <v>16.0</v>
      </c>
      <c r="D91" s="211">
        <v>0.0</v>
      </c>
      <c r="E91" s="212">
        <v>0.0</v>
      </c>
      <c r="F91" s="201">
        <f t="shared" si="1"/>
        <v>0</v>
      </c>
      <c r="G91" s="212">
        <v>0.0</v>
      </c>
      <c r="H91" s="202">
        <f t="shared" si="2"/>
        <v>0</v>
      </c>
      <c r="I91" s="214">
        <v>0.0</v>
      </c>
    </row>
    <row r="92">
      <c r="A92" s="210" t="s">
        <v>333</v>
      </c>
      <c r="B92" s="211">
        <v>2.0</v>
      </c>
      <c r="C92" s="212">
        <v>8.0</v>
      </c>
      <c r="D92" s="211">
        <v>0.0</v>
      </c>
      <c r="E92" s="212">
        <v>0.0</v>
      </c>
      <c r="F92" s="201">
        <f t="shared" si="1"/>
        <v>0</v>
      </c>
      <c r="G92" s="212">
        <v>0.0</v>
      </c>
      <c r="H92" s="202">
        <f t="shared" si="2"/>
        <v>0</v>
      </c>
      <c r="I92" s="214">
        <v>0.0</v>
      </c>
    </row>
    <row r="93">
      <c r="A93" s="210" t="s">
        <v>371</v>
      </c>
      <c r="B93" s="211">
        <v>3.0</v>
      </c>
      <c r="C93" s="212">
        <v>12.0</v>
      </c>
      <c r="D93" s="211">
        <v>0.0</v>
      </c>
      <c r="E93" s="212">
        <v>0.0</v>
      </c>
      <c r="F93" s="201">
        <f t="shared" si="1"/>
        <v>0</v>
      </c>
      <c r="G93" s="212">
        <v>0.0</v>
      </c>
      <c r="H93" s="202">
        <f t="shared" si="2"/>
        <v>0</v>
      </c>
      <c r="I93" s="214">
        <v>0.0</v>
      </c>
    </row>
    <row r="94">
      <c r="A94" s="210" t="s">
        <v>323</v>
      </c>
      <c r="B94" s="211">
        <v>4.0</v>
      </c>
      <c r="C94" s="212">
        <v>14.0</v>
      </c>
      <c r="D94" s="211">
        <v>1.0</v>
      </c>
      <c r="E94" s="212">
        <v>0.0</v>
      </c>
      <c r="F94" s="201">
        <f t="shared" si="1"/>
        <v>0</v>
      </c>
      <c r="G94" s="212">
        <v>0.0</v>
      </c>
      <c r="H94" s="202">
        <f t="shared" si="2"/>
        <v>0</v>
      </c>
      <c r="I94" s="214">
        <v>0.0</v>
      </c>
    </row>
    <row r="95">
      <c r="A95" s="210" t="s">
        <v>381</v>
      </c>
      <c r="B95" s="211">
        <v>4.0</v>
      </c>
      <c r="C95" s="212">
        <v>14.0</v>
      </c>
      <c r="D95" s="211">
        <v>1.0</v>
      </c>
      <c r="E95" s="212">
        <v>0.0</v>
      </c>
      <c r="F95" s="201">
        <f t="shared" si="1"/>
        <v>0</v>
      </c>
      <c r="G95" s="212">
        <v>0.0</v>
      </c>
      <c r="H95" s="202">
        <f t="shared" si="2"/>
        <v>0</v>
      </c>
      <c r="I95" s="214">
        <v>0.0</v>
      </c>
    </row>
    <row r="96">
      <c r="A96" s="210" t="s">
        <v>392</v>
      </c>
      <c r="B96" s="211">
        <v>4.0</v>
      </c>
      <c r="C96" s="212">
        <v>14.0</v>
      </c>
      <c r="D96" s="211">
        <v>1.0</v>
      </c>
      <c r="E96" s="212">
        <v>0.0</v>
      </c>
      <c r="F96" s="201">
        <f t="shared" si="1"/>
        <v>0</v>
      </c>
      <c r="G96" s="212">
        <v>0.0</v>
      </c>
      <c r="H96" s="202">
        <f t="shared" si="2"/>
        <v>0</v>
      </c>
      <c r="I96" s="214">
        <v>0.0</v>
      </c>
    </row>
    <row r="97">
      <c r="A97" s="210" t="s">
        <v>326</v>
      </c>
      <c r="B97" s="211">
        <v>4.0</v>
      </c>
      <c r="C97" s="212">
        <v>16.0</v>
      </c>
      <c r="D97" s="211">
        <v>0.0</v>
      </c>
      <c r="E97" s="212">
        <v>0.0</v>
      </c>
      <c r="F97" s="201">
        <f t="shared" si="1"/>
        <v>0</v>
      </c>
      <c r="G97" s="212">
        <v>0.0</v>
      </c>
      <c r="H97" s="202">
        <f t="shared" si="2"/>
        <v>0</v>
      </c>
      <c r="I97" s="214">
        <v>0.0</v>
      </c>
    </row>
    <row r="98">
      <c r="A98" s="210" t="s">
        <v>380</v>
      </c>
      <c r="B98" s="211">
        <v>4.0</v>
      </c>
      <c r="C98" s="212">
        <v>16.0</v>
      </c>
      <c r="D98" s="211">
        <v>0.0</v>
      </c>
      <c r="E98" s="212">
        <v>0.0</v>
      </c>
      <c r="F98" s="201">
        <f t="shared" si="1"/>
        <v>0</v>
      </c>
      <c r="G98" s="212">
        <v>0.0</v>
      </c>
      <c r="H98" s="202">
        <f t="shared" si="2"/>
        <v>0</v>
      </c>
      <c r="I98" s="214">
        <v>0.0</v>
      </c>
    </row>
    <row r="99">
      <c r="A99" s="210" t="s">
        <v>362</v>
      </c>
      <c r="B99" s="211">
        <v>2.0</v>
      </c>
      <c r="C99" s="212">
        <v>8.0</v>
      </c>
      <c r="D99" s="211">
        <v>0.0</v>
      </c>
      <c r="E99" s="212">
        <v>0.0</v>
      </c>
      <c r="F99" s="201">
        <f t="shared" si="1"/>
        <v>0</v>
      </c>
      <c r="G99" s="212">
        <v>0.0</v>
      </c>
      <c r="H99" s="202">
        <f t="shared" si="2"/>
        <v>0</v>
      </c>
      <c r="I99" s="214">
        <v>0.0</v>
      </c>
    </row>
    <row r="100">
      <c r="A100" s="210" t="s">
        <v>339</v>
      </c>
      <c r="B100" s="211">
        <v>1.0</v>
      </c>
      <c r="C100" s="212">
        <v>4.0</v>
      </c>
      <c r="D100" s="211">
        <v>0.0</v>
      </c>
      <c r="E100" s="212">
        <v>0.0</v>
      </c>
      <c r="F100" s="201">
        <f t="shared" si="1"/>
        <v>0</v>
      </c>
      <c r="G100" s="212">
        <v>0.0</v>
      </c>
      <c r="H100" s="202">
        <f t="shared" si="2"/>
        <v>0</v>
      </c>
      <c r="I100" s="214">
        <v>0.0</v>
      </c>
    </row>
    <row r="101">
      <c r="A101" s="210" t="s">
        <v>385</v>
      </c>
      <c r="B101" s="211">
        <v>2.0</v>
      </c>
      <c r="C101" s="212">
        <v>8.0</v>
      </c>
      <c r="D101" s="211">
        <v>0.0</v>
      </c>
      <c r="E101" s="212">
        <v>0.0</v>
      </c>
      <c r="F101" s="201">
        <f t="shared" si="1"/>
        <v>0</v>
      </c>
      <c r="G101" s="212">
        <v>0.0</v>
      </c>
      <c r="H101" s="202">
        <f t="shared" si="2"/>
        <v>0</v>
      </c>
      <c r="I101" s="214">
        <v>0.0</v>
      </c>
    </row>
    <row r="102">
      <c r="A102" s="210" t="s">
        <v>312</v>
      </c>
      <c r="B102" s="211">
        <v>4.0</v>
      </c>
      <c r="C102" s="212">
        <v>16.0</v>
      </c>
      <c r="D102" s="211">
        <v>0.0</v>
      </c>
      <c r="E102" s="212">
        <v>0.0</v>
      </c>
      <c r="F102" s="201">
        <f t="shared" si="1"/>
        <v>0</v>
      </c>
      <c r="G102" s="212">
        <v>0.0</v>
      </c>
      <c r="H102" s="202">
        <f t="shared" si="2"/>
        <v>0</v>
      </c>
      <c r="I102" s="214">
        <v>0.0</v>
      </c>
    </row>
    <row r="103">
      <c r="A103" s="210" t="s">
        <v>315</v>
      </c>
      <c r="B103" s="211">
        <v>4.0</v>
      </c>
      <c r="C103" s="212">
        <v>16.0</v>
      </c>
      <c r="D103" s="211">
        <v>0.0</v>
      </c>
      <c r="E103" s="212">
        <v>0.0</v>
      </c>
      <c r="F103" s="201">
        <f t="shared" si="1"/>
        <v>0</v>
      </c>
      <c r="G103" s="212">
        <v>0.0</v>
      </c>
      <c r="H103" s="202">
        <f t="shared" si="2"/>
        <v>0</v>
      </c>
      <c r="I103" s="214">
        <v>0.0</v>
      </c>
    </row>
    <row r="104">
      <c r="A104" s="210" t="s">
        <v>368</v>
      </c>
      <c r="B104" s="211">
        <v>4.0</v>
      </c>
      <c r="C104" s="212">
        <v>16.0</v>
      </c>
      <c r="D104" s="211">
        <v>1.0</v>
      </c>
      <c r="E104" s="212">
        <v>0.0</v>
      </c>
      <c r="F104" s="201">
        <f t="shared" si="1"/>
        <v>0</v>
      </c>
      <c r="G104" s="212">
        <v>0.0</v>
      </c>
      <c r="H104" s="202">
        <f t="shared" si="2"/>
        <v>0</v>
      </c>
      <c r="I104" s="214">
        <v>0.0</v>
      </c>
    </row>
    <row r="105">
      <c r="A105" s="210" t="s">
        <v>346</v>
      </c>
      <c r="B105" s="211">
        <v>3.0</v>
      </c>
      <c r="C105" s="212">
        <v>12.0</v>
      </c>
      <c r="D105" s="211">
        <v>0.0</v>
      </c>
      <c r="E105" s="212">
        <v>0.0</v>
      </c>
      <c r="F105" s="201">
        <f t="shared" si="1"/>
        <v>0</v>
      </c>
      <c r="G105" s="212">
        <v>0.0</v>
      </c>
      <c r="H105" s="202">
        <f t="shared" si="2"/>
        <v>0</v>
      </c>
      <c r="I105" s="214">
        <v>0.0</v>
      </c>
    </row>
    <row r="106">
      <c r="A106" s="210" t="s">
        <v>342</v>
      </c>
      <c r="B106" s="211">
        <v>3.0</v>
      </c>
      <c r="C106" s="212">
        <v>12.0</v>
      </c>
      <c r="D106" s="211">
        <v>0.0</v>
      </c>
      <c r="E106" s="212">
        <v>0.0</v>
      </c>
      <c r="F106" s="201">
        <f t="shared" si="1"/>
        <v>0</v>
      </c>
      <c r="G106" s="212">
        <v>0.0</v>
      </c>
      <c r="H106" s="202">
        <f t="shared" si="2"/>
        <v>0</v>
      </c>
      <c r="I106" s="214">
        <v>0.0</v>
      </c>
    </row>
    <row r="107">
      <c r="A107" s="210" t="s">
        <v>391</v>
      </c>
      <c r="B107" s="211">
        <v>3.0</v>
      </c>
      <c r="C107" s="212">
        <v>12.0</v>
      </c>
      <c r="D107" s="211">
        <v>1.0</v>
      </c>
      <c r="E107" s="212">
        <v>0.0</v>
      </c>
      <c r="F107" s="201">
        <f t="shared" si="1"/>
        <v>0</v>
      </c>
      <c r="G107" s="212">
        <v>0.0</v>
      </c>
      <c r="H107" s="202">
        <f t="shared" si="2"/>
        <v>0</v>
      </c>
      <c r="I107" s="214">
        <v>0.0</v>
      </c>
    </row>
    <row r="108">
      <c r="A108" s="210" t="s">
        <v>355</v>
      </c>
      <c r="B108" s="211">
        <v>3.0</v>
      </c>
      <c r="C108" s="212">
        <v>12.0</v>
      </c>
      <c r="D108" s="211">
        <v>1.0</v>
      </c>
      <c r="E108" s="212">
        <v>0.0</v>
      </c>
      <c r="F108" s="201">
        <f t="shared" si="1"/>
        <v>0</v>
      </c>
      <c r="G108" s="212">
        <v>0.0</v>
      </c>
      <c r="H108" s="202">
        <f t="shared" si="2"/>
        <v>0</v>
      </c>
      <c r="I108" s="214">
        <v>0.0</v>
      </c>
    </row>
    <row r="109">
      <c r="A109" s="210" t="s">
        <v>390</v>
      </c>
      <c r="B109" s="211">
        <v>4.0</v>
      </c>
      <c r="C109" s="212">
        <v>13.0</v>
      </c>
      <c r="D109" s="211">
        <v>0.0</v>
      </c>
      <c r="E109" s="212">
        <v>0.0</v>
      </c>
      <c r="F109" s="201">
        <f t="shared" si="1"/>
        <v>0</v>
      </c>
      <c r="G109" s="212">
        <v>0.0</v>
      </c>
      <c r="H109" s="202">
        <f t="shared" si="2"/>
        <v>0</v>
      </c>
      <c r="I109" s="214">
        <v>0.0</v>
      </c>
    </row>
    <row r="110">
      <c r="A110" s="210" t="s">
        <v>306</v>
      </c>
      <c r="B110" s="211">
        <v>4.0</v>
      </c>
      <c r="C110" s="212">
        <v>13.0</v>
      </c>
      <c r="D110" s="211">
        <v>1.0</v>
      </c>
      <c r="E110" s="212">
        <v>0.0</v>
      </c>
      <c r="F110" s="201">
        <f t="shared" si="1"/>
        <v>0</v>
      </c>
      <c r="G110" s="212">
        <v>0.0</v>
      </c>
      <c r="H110" s="202">
        <f t="shared" si="2"/>
        <v>0</v>
      </c>
      <c r="I110" s="214">
        <v>0.0</v>
      </c>
    </row>
    <row r="111">
      <c r="A111" s="210" t="s">
        <v>377</v>
      </c>
      <c r="B111" s="211">
        <v>1.0</v>
      </c>
      <c r="C111" s="212">
        <v>4.0</v>
      </c>
      <c r="D111" s="211">
        <v>0.0</v>
      </c>
      <c r="E111" s="212">
        <v>0.0</v>
      </c>
      <c r="F111" s="201">
        <f t="shared" si="1"/>
        <v>0</v>
      </c>
      <c r="G111" s="212">
        <v>0.0</v>
      </c>
      <c r="H111" s="202">
        <f t="shared" si="2"/>
        <v>0</v>
      </c>
      <c r="I111" s="214">
        <v>0.0</v>
      </c>
    </row>
    <row r="112">
      <c r="A112" s="210" t="s">
        <v>353</v>
      </c>
      <c r="B112" s="211">
        <v>2.0</v>
      </c>
      <c r="C112" s="212">
        <v>8.0</v>
      </c>
      <c r="D112" s="211">
        <v>0.0</v>
      </c>
      <c r="E112" s="212">
        <v>0.0</v>
      </c>
      <c r="F112" s="201">
        <f t="shared" si="1"/>
        <v>0</v>
      </c>
      <c r="G112" s="212">
        <v>0.0</v>
      </c>
      <c r="H112" s="202">
        <f t="shared" si="2"/>
        <v>0</v>
      </c>
      <c r="I112" s="214">
        <v>0.0</v>
      </c>
    </row>
    <row r="113">
      <c r="A113" s="210" t="s">
        <v>406</v>
      </c>
      <c r="B113" s="211">
        <v>1.0</v>
      </c>
      <c r="C113" s="212">
        <v>4.0</v>
      </c>
      <c r="D113" s="211">
        <v>0.0</v>
      </c>
      <c r="E113" s="212">
        <v>0.0</v>
      </c>
      <c r="F113" s="201">
        <f t="shared" si="1"/>
        <v>0</v>
      </c>
      <c r="G113" s="212">
        <v>0.0</v>
      </c>
      <c r="H113" s="202">
        <f t="shared" si="2"/>
        <v>0</v>
      </c>
      <c r="I113" s="214">
        <v>0.0</v>
      </c>
    </row>
    <row r="114">
      <c r="A114" s="210" t="s">
        <v>309</v>
      </c>
      <c r="B114" s="211">
        <v>2.0</v>
      </c>
      <c r="C114" s="212">
        <v>8.0</v>
      </c>
      <c r="D114" s="211">
        <v>0.0</v>
      </c>
      <c r="E114" s="212">
        <v>0.0</v>
      </c>
      <c r="F114" s="201">
        <f t="shared" si="1"/>
        <v>0</v>
      </c>
      <c r="G114" s="212">
        <v>0.0</v>
      </c>
      <c r="H114" s="202">
        <f t="shared" si="2"/>
        <v>0</v>
      </c>
      <c r="I114" s="214">
        <v>0.0</v>
      </c>
    </row>
    <row r="115">
      <c r="A115" s="210" t="s">
        <v>348</v>
      </c>
      <c r="B115" s="211">
        <v>2.0</v>
      </c>
      <c r="C115" s="212">
        <v>7.0</v>
      </c>
      <c r="D115" s="211">
        <v>0.0</v>
      </c>
      <c r="E115" s="212">
        <v>0.0</v>
      </c>
      <c r="F115" s="201">
        <f t="shared" si="1"/>
        <v>0</v>
      </c>
      <c r="G115" s="212">
        <v>0.0</v>
      </c>
      <c r="H115" s="202">
        <f t="shared" si="2"/>
        <v>0</v>
      </c>
      <c r="I115" s="214">
        <v>0.0</v>
      </c>
    </row>
    <row r="116">
      <c r="A116" s="210" t="s">
        <v>384</v>
      </c>
      <c r="B116" s="211">
        <v>2.0</v>
      </c>
      <c r="C116" s="212">
        <v>8.0</v>
      </c>
      <c r="D116" s="211">
        <v>3.0</v>
      </c>
      <c r="E116" s="212">
        <v>0.0</v>
      </c>
      <c r="F116" s="201">
        <f t="shared" si="1"/>
        <v>0</v>
      </c>
      <c r="G116" s="212">
        <v>0.0</v>
      </c>
      <c r="H116" s="202">
        <f t="shared" si="2"/>
        <v>0</v>
      </c>
      <c r="I116" s="214">
        <v>0.0</v>
      </c>
    </row>
    <row r="117">
      <c r="A117" s="210" t="s">
        <v>354</v>
      </c>
      <c r="B117" s="211">
        <v>2.0</v>
      </c>
      <c r="C117" s="212">
        <v>8.0</v>
      </c>
      <c r="D117" s="211">
        <v>0.0</v>
      </c>
      <c r="E117" s="212">
        <v>0.0</v>
      </c>
      <c r="F117" s="201">
        <f t="shared" si="1"/>
        <v>0</v>
      </c>
      <c r="G117" s="212">
        <v>0.0</v>
      </c>
      <c r="H117" s="202">
        <f t="shared" si="2"/>
        <v>0</v>
      </c>
      <c r="I117" s="214">
        <v>0.0</v>
      </c>
    </row>
    <row r="118">
      <c r="A118" s="210" t="s">
        <v>399</v>
      </c>
      <c r="B118" s="211">
        <v>1.0</v>
      </c>
      <c r="C118" s="212">
        <v>3.0</v>
      </c>
      <c r="D118" s="211">
        <v>1.0</v>
      </c>
      <c r="E118" s="212">
        <v>0.0</v>
      </c>
      <c r="F118" s="201">
        <f t="shared" si="1"/>
        <v>0</v>
      </c>
      <c r="G118" s="212">
        <v>0.0</v>
      </c>
      <c r="H118" s="202">
        <f t="shared" si="2"/>
        <v>0</v>
      </c>
      <c r="I118" s="214">
        <v>0.0</v>
      </c>
    </row>
    <row r="119">
      <c r="A119" s="210" t="s">
        <v>360</v>
      </c>
      <c r="B119" s="211">
        <v>1.0</v>
      </c>
      <c r="C119" s="212">
        <v>4.0</v>
      </c>
      <c r="D119" s="211">
        <v>0.0</v>
      </c>
      <c r="E119" s="212">
        <v>0.0</v>
      </c>
      <c r="F119" s="201">
        <f t="shared" si="1"/>
        <v>0</v>
      </c>
      <c r="G119" s="212">
        <v>0.0</v>
      </c>
      <c r="H119" s="202">
        <f t="shared" si="2"/>
        <v>0</v>
      </c>
      <c r="I119" s="214">
        <v>0.0</v>
      </c>
    </row>
    <row r="120">
      <c r="A120" s="210" t="s">
        <v>400</v>
      </c>
      <c r="B120" s="211">
        <v>2.0</v>
      </c>
      <c r="C120" s="212">
        <v>8.0</v>
      </c>
      <c r="D120" s="211">
        <v>0.0</v>
      </c>
      <c r="E120" s="212">
        <v>0.0</v>
      </c>
      <c r="F120" s="201">
        <f t="shared" si="1"/>
        <v>0</v>
      </c>
      <c r="G120" s="212">
        <v>0.0</v>
      </c>
      <c r="H120" s="202">
        <f t="shared" si="2"/>
        <v>0</v>
      </c>
      <c r="I120" s="214">
        <v>0.0</v>
      </c>
    </row>
    <row r="121">
      <c r="A121" s="210" t="s">
        <v>333</v>
      </c>
      <c r="B121" s="211">
        <v>2.0</v>
      </c>
      <c r="C121" s="212">
        <v>8.0</v>
      </c>
      <c r="D121" s="211">
        <v>0.0</v>
      </c>
      <c r="E121" s="212">
        <v>0.0</v>
      </c>
      <c r="F121" s="201">
        <f t="shared" si="1"/>
        <v>0</v>
      </c>
      <c r="G121" s="212">
        <v>0.0</v>
      </c>
      <c r="H121" s="202">
        <f t="shared" si="2"/>
        <v>0</v>
      </c>
      <c r="I121" s="214">
        <v>0.0</v>
      </c>
    </row>
    <row r="122">
      <c r="A122" s="210" t="s">
        <v>340</v>
      </c>
      <c r="B122" s="211">
        <v>1.0</v>
      </c>
      <c r="C122" s="212">
        <v>4.0</v>
      </c>
      <c r="D122" s="211">
        <v>0.0</v>
      </c>
      <c r="E122" s="212">
        <v>0.0</v>
      </c>
      <c r="F122" s="201">
        <f t="shared" si="1"/>
        <v>0</v>
      </c>
      <c r="G122" s="212">
        <v>0.0</v>
      </c>
      <c r="H122" s="202">
        <f t="shared" si="2"/>
        <v>0</v>
      </c>
      <c r="I122" s="214">
        <v>0.0</v>
      </c>
    </row>
    <row r="123">
      <c r="A123" s="210" t="s">
        <v>306</v>
      </c>
      <c r="B123" s="211">
        <v>6.0</v>
      </c>
      <c r="C123" s="212">
        <v>25.0</v>
      </c>
      <c r="D123" s="211">
        <v>1.0</v>
      </c>
      <c r="E123" s="212">
        <v>-0.67</v>
      </c>
      <c r="F123" s="201">
        <f t="shared" si="1"/>
        <v>-0.6432</v>
      </c>
      <c r="G123" s="212">
        <v>0.17</v>
      </c>
      <c r="H123" s="202">
        <f t="shared" si="2"/>
        <v>1.02</v>
      </c>
      <c r="I123" s="214">
        <v>0.0</v>
      </c>
    </row>
    <row r="124">
      <c r="A124" s="210" t="s">
        <v>281</v>
      </c>
      <c r="B124" s="211">
        <v>4.0</v>
      </c>
      <c r="C124" s="212">
        <v>16.0</v>
      </c>
      <c r="D124" s="211">
        <v>3.0</v>
      </c>
      <c r="E124" s="212">
        <v>-1.0</v>
      </c>
      <c r="F124" s="201">
        <f t="shared" si="1"/>
        <v>-1</v>
      </c>
      <c r="G124" s="212">
        <v>0.5</v>
      </c>
      <c r="H124" s="202">
        <f t="shared" si="2"/>
        <v>2</v>
      </c>
      <c r="I124" s="214">
        <v>0.333</v>
      </c>
    </row>
    <row r="125">
      <c r="A125" s="210" t="s">
        <v>341</v>
      </c>
      <c r="B125" s="211">
        <v>4.0</v>
      </c>
      <c r="C125" s="212">
        <v>16.0</v>
      </c>
      <c r="D125" s="211">
        <v>1.0</v>
      </c>
      <c r="E125" s="212">
        <v>-1.0</v>
      </c>
      <c r="F125" s="201">
        <f t="shared" si="1"/>
        <v>-1</v>
      </c>
      <c r="G125" s="212">
        <v>0.25</v>
      </c>
      <c r="H125" s="202">
        <f t="shared" si="2"/>
        <v>1</v>
      </c>
      <c r="I125" s="214">
        <v>0.0</v>
      </c>
    </row>
    <row r="126">
      <c r="A126" s="210" t="s">
        <v>382</v>
      </c>
      <c r="B126" s="211">
        <v>4.0</v>
      </c>
      <c r="C126" s="212">
        <v>16.0</v>
      </c>
      <c r="D126" s="211">
        <v>1.0</v>
      </c>
      <c r="E126" s="212">
        <v>-1.0</v>
      </c>
      <c r="F126" s="201">
        <f t="shared" si="1"/>
        <v>-1</v>
      </c>
      <c r="G126" s="212">
        <v>0.25</v>
      </c>
      <c r="H126" s="202">
        <f t="shared" si="2"/>
        <v>1</v>
      </c>
      <c r="I126" s="214">
        <v>0.0</v>
      </c>
    </row>
    <row r="127">
      <c r="A127" s="210" t="s">
        <v>365</v>
      </c>
      <c r="B127" s="211">
        <v>4.0</v>
      </c>
      <c r="C127" s="212">
        <v>15.0</v>
      </c>
      <c r="D127" s="211">
        <v>1.0</v>
      </c>
      <c r="E127" s="212">
        <v>-1.0</v>
      </c>
      <c r="F127" s="201">
        <f t="shared" si="1"/>
        <v>-1.066666667</v>
      </c>
      <c r="G127" s="212">
        <v>0.25</v>
      </c>
      <c r="H127" s="202">
        <f t="shared" si="2"/>
        <v>1</v>
      </c>
      <c r="I127" s="214">
        <v>0.0</v>
      </c>
    </row>
    <row r="128">
      <c r="A128" s="210" t="s">
        <v>287</v>
      </c>
      <c r="B128" s="211">
        <v>4.0</v>
      </c>
      <c r="C128" s="212">
        <v>13.0</v>
      </c>
      <c r="D128" s="211">
        <v>6.0</v>
      </c>
      <c r="E128" s="212">
        <v>-1.0</v>
      </c>
      <c r="F128" s="201">
        <f t="shared" si="1"/>
        <v>-1.230769231</v>
      </c>
      <c r="G128" s="212">
        <v>0.75</v>
      </c>
      <c r="H128" s="202">
        <f t="shared" si="2"/>
        <v>3</v>
      </c>
      <c r="I128" s="214">
        <v>0.333</v>
      </c>
    </row>
    <row r="129">
      <c r="A129" s="210" t="s">
        <v>301</v>
      </c>
      <c r="B129" s="211">
        <v>4.0</v>
      </c>
      <c r="C129" s="212">
        <v>16.0</v>
      </c>
      <c r="D129" s="211">
        <v>4.0</v>
      </c>
      <c r="E129" s="212">
        <v>-2.0</v>
      </c>
      <c r="F129" s="201">
        <f t="shared" si="1"/>
        <v>-2</v>
      </c>
      <c r="G129" s="212">
        <v>0.75</v>
      </c>
      <c r="H129" s="202">
        <f t="shared" si="2"/>
        <v>3</v>
      </c>
      <c r="I129" s="214">
        <v>0.25</v>
      </c>
    </row>
    <row r="130">
      <c r="A130" s="210" t="s">
        <v>399</v>
      </c>
      <c r="B130" s="211">
        <v>2.0</v>
      </c>
      <c r="C130" s="212">
        <v>8.0</v>
      </c>
      <c r="D130" s="211">
        <v>1.0</v>
      </c>
      <c r="E130" s="212">
        <v>-2.0</v>
      </c>
      <c r="F130" s="201">
        <f t="shared" si="1"/>
        <v>-2</v>
      </c>
      <c r="G130" s="212">
        <v>0.5</v>
      </c>
      <c r="H130" s="202">
        <f t="shared" si="2"/>
        <v>1</v>
      </c>
      <c r="I130" s="214">
        <v>0.0</v>
      </c>
    </row>
    <row r="131">
      <c r="A131" s="210" t="s">
        <v>347</v>
      </c>
      <c r="B131" s="211">
        <v>3.0</v>
      </c>
      <c r="C131" s="212">
        <v>12.0</v>
      </c>
      <c r="D131" s="211">
        <v>2.0</v>
      </c>
      <c r="E131" s="212">
        <v>-2.67</v>
      </c>
      <c r="F131" s="201">
        <f t="shared" si="1"/>
        <v>-2.67</v>
      </c>
      <c r="G131" s="212">
        <v>0.67</v>
      </c>
      <c r="H131" s="202">
        <f t="shared" si="2"/>
        <v>2.01</v>
      </c>
      <c r="I131" s="214">
        <v>0.0</v>
      </c>
    </row>
    <row r="132">
      <c r="A132" s="210" t="s">
        <v>295</v>
      </c>
      <c r="B132" s="211">
        <v>1.0</v>
      </c>
      <c r="C132" s="212">
        <v>4.0</v>
      </c>
      <c r="D132" s="211">
        <v>1.0</v>
      </c>
      <c r="E132" s="212">
        <v>-4.0</v>
      </c>
      <c r="F132" s="201">
        <f t="shared" si="1"/>
        <v>-4</v>
      </c>
      <c r="G132" s="212">
        <v>1.0</v>
      </c>
      <c r="H132" s="202">
        <f t="shared" si="2"/>
        <v>1</v>
      </c>
      <c r="I132" s="214">
        <v>0.0</v>
      </c>
    </row>
    <row r="133">
      <c r="A133" s="210"/>
      <c r="B133" s="211"/>
      <c r="C133" s="212"/>
      <c r="D133" s="211"/>
      <c r="E133" s="212"/>
      <c r="F133" s="201"/>
      <c r="G133" s="212"/>
      <c r="H133" s="202"/>
      <c r="I133" s="214"/>
    </row>
    <row r="134">
      <c r="A134" s="210"/>
      <c r="B134" s="211"/>
      <c r="C134" s="212"/>
      <c r="D134" s="211"/>
      <c r="E134" s="212"/>
      <c r="F134" s="201"/>
      <c r="G134" s="212"/>
      <c r="H134" s="202"/>
      <c r="I134" s="214"/>
    </row>
    <row r="135">
      <c r="A135" s="210"/>
      <c r="B135" s="211"/>
      <c r="C135" s="212"/>
      <c r="D135" s="211"/>
      <c r="E135" s="212"/>
      <c r="F135" s="201"/>
      <c r="G135" s="212"/>
      <c r="H135" s="202"/>
      <c r="I135" s="214"/>
    </row>
    <row r="136">
      <c r="A136" s="210"/>
      <c r="B136" s="211"/>
      <c r="C136" s="212"/>
      <c r="D136" s="211"/>
      <c r="E136" s="212"/>
      <c r="F136" s="201"/>
      <c r="G136" s="212"/>
      <c r="H136" s="202"/>
      <c r="I136" s="214"/>
    </row>
    <row r="137">
      <c r="A137" s="210"/>
      <c r="B137" s="211"/>
      <c r="C137" s="212"/>
      <c r="D137" s="211"/>
      <c r="E137" s="212"/>
      <c r="F137" s="201"/>
      <c r="G137" s="212"/>
      <c r="H137" s="202"/>
      <c r="I137" s="214"/>
    </row>
    <row r="138">
      <c r="A138" s="210"/>
      <c r="B138" s="211"/>
      <c r="C138" s="212"/>
      <c r="D138" s="211"/>
      <c r="E138" s="212"/>
      <c r="F138" s="201"/>
      <c r="G138" s="212"/>
      <c r="H138" s="202"/>
      <c r="I138" s="214"/>
    </row>
    <row r="139">
      <c r="A139" s="210"/>
      <c r="B139" s="211"/>
      <c r="C139" s="212"/>
      <c r="D139" s="211"/>
      <c r="E139" s="212"/>
      <c r="F139" s="201"/>
      <c r="G139" s="212"/>
      <c r="H139" s="202"/>
      <c r="I139" s="214"/>
    </row>
  </sheetData>
  <hyperlinks>
    <hyperlink display="Catstats Hub" location="'Catstats Hub'!A1" ref="A1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63</v>
      </c>
      <c r="B2" s="211">
        <v>6.0</v>
      </c>
      <c r="C2" s="212">
        <v>138.0</v>
      </c>
      <c r="D2" s="45">
        <v>124.0</v>
      </c>
      <c r="E2" s="212">
        <v>201.0</v>
      </c>
      <c r="F2" s="213">
        <f t="shared" ref="F2:F31" si="1">E2*B2</f>
        <v>1206</v>
      </c>
      <c r="G2" s="212">
        <v>3.5</v>
      </c>
      <c r="H2" s="202">
        <f t="shared" ref="H2:H31" si="2">G2*B2</f>
        <v>21</v>
      </c>
      <c r="I2" s="212">
        <v>14.83</v>
      </c>
      <c r="J2" s="243">
        <f t="shared" ref="J2:J31" si="3">I2*B2</f>
        <v>88.98</v>
      </c>
      <c r="K2" s="226">
        <v>0.806</v>
      </c>
    </row>
    <row r="3">
      <c r="A3" s="106" t="s">
        <v>93</v>
      </c>
      <c r="B3" s="211">
        <v>6.0</v>
      </c>
      <c r="C3" s="212">
        <v>138.0</v>
      </c>
      <c r="D3" s="45">
        <v>110.0</v>
      </c>
      <c r="E3" s="212">
        <v>187.0</v>
      </c>
      <c r="F3" s="213">
        <f t="shared" si="1"/>
        <v>1122</v>
      </c>
      <c r="G3" s="212">
        <v>1.33</v>
      </c>
      <c r="H3" s="202">
        <f t="shared" si="2"/>
        <v>7.98</v>
      </c>
      <c r="I3" s="212">
        <v>13.17</v>
      </c>
      <c r="J3" s="243">
        <f t="shared" si="3"/>
        <v>79.02</v>
      </c>
      <c r="K3" s="226">
        <v>0.827</v>
      </c>
    </row>
    <row r="4">
      <c r="A4" s="106" t="s">
        <v>61</v>
      </c>
      <c r="B4" s="211">
        <v>6.0</v>
      </c>
      <c r="C4" s="212">
        <v>138.0</v>
      </c>
      <c r="D4" s="45">
        <v>108.0</v>
      </c>
      <c r="E4" s="212">
        <v>180.33</v>
      </c>
      <c r="F4" s="213">
        <f t="shared" si="1"/>
        <v>1081.98</v>
      </c>
      <c r="G4" s="212">
        <v>2.0</v>
      </c>
      <c r="H4" s="202">
        <f t="shared" si="2"/>
        <v>12</v>
      </c>
      <c r="I4" s="212">
        <v>12.83</v>
      </c>
      <c r="J4" s="243">
        <f t="shared" si="3"/>
        <v>76.98</v>
      </c>
      <c r="K4" s="226">
        <v>0.833</v>
      </c>
    </row>
    <row r="5">
      <c r="A5" s="106" t="s">
        <v>88</v>
      </c>
      <c r="B5" s="211">
        <v>6.0</v>
      </c>
      <c r="C5" s="212">
        <v>138.0</v>
      </c>
      <c r="D5" s="45">
        <v>113.0</v>
      </c>
      <c r="E5" s="212">
        <v>169.0</v>
      </c>
      <c r="F5" s="213">
        <f t="shared" si="1"/>
        <v>1014</v>
      </c>
      <c r="G5" s="212">
        <v>3.0</v>
      </c>
      <c r="H5" s="202">
        <f t="shared" si="2"/>
        <v>18</v>
      </c>
      <c r="I5" s="212">
        <v>12.17</v>
      </c>
      <c r="J5" s="243">
        <f t="shared" si="3"/>
        <v>73.02</v>
      </c>
      <c r="K5" s="226">
        <v>0.788</v>
      </c>
    </row>
    <row r="6">
      <c r="A6" s="106" t="s">
        <v>54</v>
      </c>
      <c r="B6" s="211">
        <v>6.0</v>
      </c>
      <c r="C6" s="212">
        <v>138.0</v>
      </c>
      <c r="D6" s="45">
        <v>91.0</v>
      </c>
      <c r="E6" s="212">
        <v>158.0</v>
      </c>
      <c r="F6" s="213">
        <f t="shared" si="1"/>
        <v>948</v>
      </c>
      <c r="G6" s="212">
        <v>0.83</v>
      </c>
      <c r="H6" s="202">
        <f t="shared" si="2"/>
        <v>4.98</v>
      </c>
      <c r="I6" s="212">
        <v>11.0</v>
      </c>
      <c r="J6" s="243">
        <f t="shared" si="3"/>
        <v>66</v>
      </c>
      <c r="K6" s="226">
        <v>0.846</v>
      </c>
    </row>
    <row r="7">
      <c r="A7" s="106" t="s">
        <v>94</v>
      </c>
      <c r="B7" s="211">
        <v>6.0</v>
      </c>
      <c r="C7" s="212">
        <v>138.0</v>
      </c>
      <c r="D7" s="45">
        <v>103.0</v>
      </c>
      <c r="E7" s="212">
        <v>151.33</v>
      </c>
      <c r="F7" s="213">
        <f t="shared" si="1"/>
        <v>907.98</v>
      </c>
      <c r="G7" s="212">
        <v>1.67</v>
      </c>
      <c r="H7" s="202">
        <f t="shared" si="2"/>
        <v>10.02</v>
      </c>
      <c r="I7" s="212">
        <v>10.33</v>
      </c>
      <c r="J7" s="243">
        <f t="shared" si="3"/>
        <v>61.98</v>
      </c>
      <c r="K7" s="226">
        <v>0.796</v>
      </c>
    </row>
    <row r="8">
      <c r="A8" s="106" t="s">
        <v>50</v>
      </c>
      <c r="B8" s="211">
        <v>6.0</v>
      </c>
      <c r="C8" s="212">
        <v>135.0</v>
      </c>
      <c r="D8" s="45">
        <v>87.0</v>
      </c>
      <c r="E8" s="212">
        <v>143.33</v>
      </c>
      <c r="F8" s="213">
        <f t="shared" si="1"/>
        <v>859.98</v>
      </c>
      <c r="G8" s="212">
        <v>0.83</v>
      </c>
      <c r="H8" s="202">
        <f t="shared" si="2"/>
        <v>4.98</v>
      </c>
      <c r="I8" s="212">
        <v>10.0</v>
      </c>
      <c r="J8" s="243">
        <f t="shared" si="3"/>
        <v>60</v>
      </c>
      <c r="K8" s="226">
        <v>0.805</v>
      </c>
    </row>
    <row r="9">
      <c r="A9" s="106" t="s">
        <v>57</v>
      </c>
      <c r="B9" s="211">
        <v>6.0</v>
      </c>
      <c r="C9" s="212">
        <v>138.0</v>
      </c>
      <c r="D9" s="45">
        <v>103.0</v>
      </c>
      <c r="E9" s="212">
        <v>139.0</v>
      </c>
      <c r="F9" s="213">
        <f t="shared" si="1"/>
        <v>834</v>
      </c>
      <c r="G9" s="212">
        <v>2.33</v>
      </c>
      <c r="H9" s="202">
        <f t="shared" si="2"/>
        <v>13.98</v>
      </c>
      <c r="I9" s="212">
        <v>9.5</v>
      </c>
      <c r="J9" s="243">
        <f t="shared" si="3"/>
        <v>57</v>
      </c>
      <c r="K9" s="226">
        <v>0.777</v>
      </c>
    </row>
    <row r="10">
      <c r="A10" s="106" t="s">
        <v>75</v>
      </c>
      <c r="B10" s="211">
        <v>6.0</v>
      </c>
      <c r="C10" s="212">
        <v>138.0</v>
      </c>
      <c r="D10" s="45">
        <v>86.0</v>
      </c>
      <c r="E10" s="212">
        <v>131.0</v>
      </c>
      <c r="F10" s="213">
        <f t="shared" si="1"/>
        <v>786</v>
      </c>
      <c r="G10" s="212">
        <v>2.33</v>
      </c>
      <c r="H10" s="202">
        <f t="shared" si="2"/>
        <v>13.98</v>
      </c>
      <c r="I10" s="212">
        <v>9.5</v>
      </c>
      <c r="J10" s="243">
        <f t="shared" si="3"/>
        <v>57</v>
      </c>
      <c r="K10" s="226">
        <v>0.791</v>
      </c>
    </row>
    <row r="11">
      <c r="A11" s="106" t="s">
        <v>64</v>
      </c>
      <c r="B11" s="211">
        <v>6.0</v>
      </c>
      <c r="C11" s="212">
        <v>138.0</v>
      </c>
      <c r="D11" s="45">
        <v>98.0</v>
      </c>
      <c r="E11" s="212">
        <v>130.67</v>
      </c>
      <c r="F11" s="213">
        <f t="shared" si="1"/>
        <v>784.02</v>
      </c>
      <c r="G11" s="212">
        <v>2.0</v>
      </c>
      <c r="H11" s="202">
        <f t="shared" si="2"/>
        <v>12</v>
      </c>
      <c r="I11" s="212">
        <v>9.0</v>
      </c>
      <c r="J11" s="243">
        <f t="shared" si="3"/>
        <v>54</v>
      </c>
      <c r="K11" s="226">
        <v>0.745</v>
      </c>
    </row>
    <row r="12">
      <c r="A12" s="106" t="s">
        <v>81</v>
      </c>
      <c r="B12" s="211">
        <v>6.0</v>
      </c>
      <c r="C12" s="212">
        <v>138.0</v>
      </c>
      <c r="D12" s="45">
        <v>82.0</v>
      </c>
      <c r="E12" s="212">
        <v>130.0</v>
      </c>
      <c r="F12" s="213">
        <f t="shared" si="1"/>
        <v>780</v>
      </c>
      <c r="G12" s="212">
        <v>1.83</v>
      </c>
      <c r="H12" s="202">
        <f t="shared" si="2"/>
        <v>10.98</v>
      </c>
      <c r="I12" s="212">
        <v>9.33</v>
      </c>
      <c r="J12" s="243">
        <f t="shared" si="3"/>
        <v>55.98</v>
      </c>
      <c r="K12" s="226">
        <v>0.805</v>
      </c>
    </row>
    <row r="13">
      <c r="A13" s="106" t="s">
        <v>91</v>
      </c>
      <c r="B13" s="211">
        <v>6.0</v>
      </c>
      <c r="C13" s="212">
        <v>137.0</v>
      </c>
      <c r="D13" s="45">
        <v>97.0</v>
      </c>
      <c r="E13" s="212">
        <v>130.0</v>
      </c>
      <c r="F13" s="213">
        <f t="shared" si="1"/>
        <v>780</v>
      </c>
      <c r="G13" s="212">
        <v>1.83</v>
      </c>
      <c r="H13" s="202">
        <f t="shared" si="2"/>
        <v>10.98</v>
      </c>
      <c r="I13" s="212">
        <v>9.0</v>
      </c>
      <c r="J13" s="243">
        <f t="shared" si="3"/>
        <v>54</v>
      </c>
      <c r="K13" s="226">
        <v>0.732</v>
      </c>
    </row>
    <row r="14">
      <c r="A14" s="106" t="s">
        <v>106</v>
      </c>
      <c r="B14" s="211">
        <v>6.0</v>
      </c>
      <c r="C14" s="212">
        <v>138.0</v>
      </c>
      <c r="D14" s="45">
        <v>101.0</v>
      </c>
      <c r="E14" s="212">
        <v>125.67</v>
      </c>
      <c r="F14" s="213">
        <f t="shared" si="1"/>
        <v>754.02</v>
      </c>
      <c r="G14" s="212">
        <v>3.17</v>
      </c>
      <c r="H14" s="202">
        <f t="shared" si="2"/>
        <v>19.02</v>
      </c>
      <c r="I14" s="212">
        <v>9.17</v>
      </c>
      <c r="J14" s="243">
        <f t="shared" si="3"/>
        <v>55.02</v>
      </c>
      <c r="K14" s="226">
        <v>0.693</v>
      </c>
    </row>
    <row r="15">
      <c r="A15" s="106" t="s">
        <v>89</v>
      </c>
      <c r="B15" s="211">
        <v>6.0</v>
      </c>
      <c r="C15" s="212">
        <v>138.0</v>
      </c>
      <c r="D15" s="45">
        <v>84.0</v>
      </c>
      <c r="E15" s="212">
        <v>125.33</v>
      </c>
      <c r="F15" s="213">
        <f t="shared" si="1"/>
        <v>751.98</v>
      </c>
      <c r="G15" s="212">
        <v>2.17</v>
      </c>
      <c r="H15" s="202">
        <f t="shared" si="2"/>
        <v>13.02</v>
      </c>
      <c r="I15" s="212">
        <v>9.0</v>
      </c>
      <c r="J15" s="243">
        <f t="shared" si="3"/>
        <v>54</v>
      </c>
      <c r="K15" s="226">
        <v>0.786</v>
      </c>
    </row>
    <row r="16">
      <c r="A16" s="106" t="s">
        <v>56</v>
      </c>
      <c r="B16" s="211">
        <v>6.0</v>
      </c>
      <c r="C16" s="212">
        <v>138.0</v>
      </c>
      <c r="D16" s="45">
        <v>115.0</v>
      </c>
      <c r="E16" s="212">
        <v>122.33</v>
      </c>
      <c r="F16" s="213">
        <f t="shared" si="1"/>
        <v>733.98</v>
      </c>
      <c r="G16" s="212">
        <v>4.0</v>
      </c>
      <c r="H16" s="202">
        <f t="shared" si="2"/>
        <v>24</v>
      </c>
      <c r="I16" s="212">
        <v>8.83</v>
      </c>
      <c r="J16" s="243">
        <f t="shared" si="3"/>
        <v>52.98</v>
      </c>
      <c r="K16" s="226">
        <v>0.652</v>
      </c>
    </row>
    <row r="17">
      <c r="A17" s="106" t="s">
        <v>67</v>
      </c>
      <c r="B17" s="211">
        <v>6.0</v>
      </c>
      <c r="C17" s="212">
        <v>136.0</v>
      </c>
      <c r="D17" s="45">
        <v>73.0</v>
      </c>
      <c r="E17" s="212">
        <v>122.33</v>
      </c>
      <c r="F17" s="213">
        <f t="shared" si="1"/>
        <v>733.98</v>
      </c>
      <c r="G17" s="212">
        <v>0.83</v>
      </c>
      <c r="H17" s="202">
        <f t="shared" si="2"/>
        <v>4.98</v>
      </c>
      <c r="I17" s="212">
        <v>8.5</v>
      </c>
      <c r="J17" s="243">
        <f t="shared" si="3"/>
        <v>51</v>
      </c>
      <c r="K17" s="226">
        <v>0.836</v>
      </c>
    </row>
    <row r="18">
      <c r="A18" s="106" t="s">
        <v>42</v>
      </c>
      <c r="B18" s="211">
        <v>6.0</v>
      </c>
      <c r="C18" s="212">
        <v>138.0</v>
      </c>
      <c r="D18" s="45">
        <v>76.0</v>
      </c>
      <c r="E18" s="212">
        <v>116.33</v>
      </c>
      <c r="F18" s="213">
        <f t="shared" si="1"/>
        <v>697.98</v>
      </c>
      <c r="G18" s="212">
        <v>1.17</v>
      </c>
      <c r="H18" s="202">
        <f t="shared" si="2"/>
        <v>7.02</v>
      </c>
      <c r="I18" s="212">
        <v>8.17</v>
      </c>
      <c r="J18" s="243">
        <f t="shared" si="3"/>
        <v>49.02</v>
      </c>
      <c r="K18" s="226">
        <v>0.776</v>
      </c>
    </row>
    <row r="19">
      <c r="A19" s="106" t="s">
        <v>92</v>
      </c>
      <c r="B19" s="211">
        <v>6.0</v>
      </c>
      <c r="C19" s="212">
        <v>138.0</v>
      </c>
      <c r="D19" s="45">
        <v>89.0</v>
      </c>
      <c r="E19" s="212">
        <v>114.0</v>
      </c>
      <c r="F19" s="213">
        <f t="shared" si="1"/>
        <v>684</v>
      </c>
      <c r="G19" s="212">
        <v>2.33</v>
      </c>
      <c r="H19" s="202">
        <f t="shared" si="2"/>
        <v>13.98</v>
      </c>
      <c r="I19" s="212">
        <v>8.0</v>
      </c>
      <c r="J19" s="243">
        <f t="shared" si="3"/>
        <v>48</v>
      </c>
      <c r="K19" s="226">
        <v>0.73</v>
      </c>
    </row>
    <row r="20">
      <c r="A20" s="106" t="s">
        <v>78</v>
      </c>
      <c r="B20" s="211">
        <v>6.0</v>
      </c>
      <c r="C20" s="212">
        <v>138.0</v>
      </c>
      <c r="D20" s="45">
        <v>82.0</v>
      </c>
      <c r="E20" s="212">
        <v>107.33</v>
      </c>
      <c r="F20" s="213">
        <f t="shared" si="1"/>
        <v>643.98</v>
      </c>
      <c r="G20" s="212">
        <v>1.67</v>
      </c>
      <c r="H20" s="202">
        <f t="shared" si="2"/>
        <v>10.02</v>
      </c>
      <c r="I20" s="212">
        <v>7.33</v>
      </c>
      <c r="J20" s="243">
        <f t="shared" si="3"/>
        <v>43.98</v>
      </c>
      <c r="K20" s="226">
        <v>0.744</v>
      </c>
    </row>
    <row r="21">
      <c r="A21" s="106" t="s">
        <v>99</v>
      </c>
      <c r="B21" s="211">
        <v>6.0</v>
      </c>
      <c r="C21" s="212">
        <v>138.0</v>
      </c>
      <c r="D21" s="45">
        <v>90.0</v>
      </c>
      <c r="E21" s="212">
        <v>104.0</v>
      </c>
      <c r="F21" s="213">
        <f t="shared" si="1"/>
        <v>624</v>
      </c>
      <c r="G21" s="212">
        <v>2.83</v>
      </c>
      <c r="H21" s="202">
        <f t="shared" si="2"/>
        <v>16.98</v>
      </c>
      <c r="I21" s="212">
        <v>7.67</v>
      </c>
      <c r="J21" s="243">
        <f t="shared" si="3"/>
        <v>46.02</v>
      </c>
      <c r="K21" s="226">
        <v>0.644</v>
      </c>
    </row>
    <row r="22">
      <c r="A22" s="106" t="s">
        <v>58</v>
      </c>
      <c r="B22" s="211">
        <v>6.0</v>
      </c>
      <c r="C22" s="212">
        <v>138.0</v>
      </c>
      <c r="D22" s="45">
        <v>92.0</v>
      </c>
      <c r="E22" s="212">
        <v>100.33</v>
      </c>
      <c r="F22" s="213">
        <f t="shared" si="1"/>
        <v>601.98</v>
      </c>
      <c r="G22" s="212">
        <v>3.17</v>
      </c>
      <c r="H22" s="202">
        <f t="shared" si="2"/>
        <v>19.02</v>
      </c>
      <c r="I22" s="212">
        <v>7.5</v>
      </c>
      <c r="J22" s="243">
        <f t="shared" si="3"/>
        <v>45</v>
      </c>
      <c r="K22" s="226">
        <v>0.62</v>
      </c>
    </row>
    <row r="23">
      <c r="A23" s="106" t="s">
        <v>65</v>
      </c>
      <c r="B23" s="211">
        <v>6.0</v>
      </c>
      <c r="C23" s="212">
        <v>138.0</v>
      </c>
      <c r="D23" s="45">
        <v>80.0</v>
      </c>
      <c r="E23" s="212">
        <v>98.67</v>
      </c>
      <c r="F23" s="213">
        <f t="shared" si="1"/>
        <v>592.02</v>
      </c>
      <c r="G23" s="212">
        <v>1.33</v>
      </c>
      <c r="H23" s="202">
        <f t="shared" si="2"/>
        <v>7.98</v>
      </c>
      <c r="I23" s="212">
        <v>6.67</v>
      </c>
      <c r="J23" s="243">
        <f t="shared" si="3"/>
        <v>40.02</v>
      </c>
      <c r="K23" s="226">
        <v>0.7</v>
      </c>
    </row>
    <row r="24">
      <c r="A24" s="106" t="s">
        <v>40</v>
      </c>
      <c r="B24" s="211">
        <v>6.0</v>
      </c>
      <c r="C24" s="212">
        <v>138.0</v>
      </c>
      <c r="D24" s="45">
        <v>64.0</v>
      </c>
      <c r="E24" s="212">
        <v>87.33</v>
      </c>
      <c r="F24" s="213">
        <f t="shared" si="1"/>
        <v>523.98</v>
      </c>
      <c r="G24" s="212">
        <v>0.33</v>
      </c>
      <c r="H24" s="202">
        <f t="shared" si="2"/>
        <v>1.98</v>
      </c>
      <c r="I24" s="212">
        <v>5.67</v>
      </c>
      <c r="J24" s="243">
        <f t="shared" si="3"/>
        <v>34.02</v>
      </c>
      <c r="K24" s="226">
        <v>0.75</v>
      </c>
    </row>
    <row r="25">
      <c r="A25" s="106" t="s">
        <v>74</v>
      </c>
      <c r="B25" s="211">
        <v>6.0</v>
      </c>
      <c r="C25" s="212">
        <v>135.0</v>
      </c>
      <c r="D25" s="45">
        <v>72.0</v>
      </c>
      <c r="E25" s="212">
        <v>85.0</v>
      </c>
      <c r="F25" s="213">
        <f t="shared" si="1"/>
        <v>510</v>
      </c>
      <c r="G25" s="212">
        <v>1.67</v>
      </c>
      <c r="H25" s="202">
        <f t="shared" si="2"/>
        <v>10.02</v>
      </c>
      <c r="I25" s="212">
        <v>5.5</v>
      </c>
      <c r="J25" s="243">
        <f t="shared" si="3"/>
        <v>33</v>
      </c>
      <c r="K25" s="226">
        <v>0.764</v>
      </c>
    </row>
    <row r="26">
      <c r="A26" s="106" t="s">
        <v>60</v>
      </c>
      <c r="B26" s="211">
        <v>6.0</v>
      </c>
      <c r="C26" s="212">
        <v>138.0</v>
      </c>
      <c r="D26" s="45">
        <v>72.0</v>
      </c>
      <c r="E26" s="212">
        <v>81.0</v>
      </c>
      <c r="F26" s="213">
        <f t="shared" si="1"/>
        <v>486</v>
      </c>
      <c r="G26" s="212">
        <v>1.0</v>
      </c>
      <c r="H26" s="202">
        <f t="shared" si="2"/>
        <v>6</v>
      </c>
      <c r="I26" s="212">
        <v>5.17</v>
      </c>
      <c r="J26" s="243">
        <f t="shared" si="3"/>
        <v>31.02</v>
      </c>
      <c r="K26" s="226">
        <v>0.694</v>
      </c>
    </row>
    <row r="27">
      <c r="A27" s="106" t="s">
        <v>82</v>
      </c>
      <c r="B27" s="211">
        <v>6.0</v>
      </c>
      <c r="C27" s="212">
        <v>138.0</v>
      </c>
      <c r="D27" s="45">
        <v>65.0</v>
      </c>
      <c r="E27" s="212">
        <v>49.67</v>
      </c>
      <c r="F27" s="213">
        <f t="shared" si="1"/>
        <v>298.02</v>
      </c>
      <c r="G27" s="212">
        <v>1.83</v>
      </c>
      <c r="H27" s="202">
        <f t="shared" si="2"/>
        <v>10.98</v>
      </c>
      <c r="I27" s="212">
        <v>3.17</v>
      </c>
      <c r="J27" s="243">
        <f t="shared" si="3"/>
        <v>19.02</v>
      </c>
      <c r="K27" s="226">
        <v>0.585</v>
      </c>
    </row>
    <row r="28">
      <c r="A28" s="106" t="s">
        <v>52</v>
      </c>
      <c r="B28" s="211">
        <v>6.0</v>
      </c>
      <c r="C28" s="212">
        <v>137.0</v>
      </c>
      <c r="D28" s="45">
        <v>46.0</v>
      </c>
      <c r="E28" s="212">
        <v>47.33</v>
      </c>
      <c r="F28" s="213">
        <f t="shared" si="1"/>
        <v>283.98</v>
      </c>
      <c r="G28" s="212">
        <v>0.67</v>
      </c>
      <c r="H28" s="202">
        <f t="shared" si="2"/>
        <v>4.02</v>
      </c>
      <c r="I28" s="212">
        <v>3.0</v>
      </c>
      <c r="J28" s="243">
        <f t="shared" si="3"/>
        <v>18</v>
      </c>
      <c r="K28" s="226">
        <v>0.652</v>
      </c>
    </row>
    <row r="29">
      <c r="A29" s="106" t="s">
        <v>44</v>
      </c>
      <c r="B29" s="211">
        <v>6.0</v>
      </c>
      <c r="C29" s="212">
        <v>135.0</v>
      </c>
      <c r="D29" s="45">
        <v>48.0</v>
      </c>
      <c r="E29" s="212">
        <v>38.0</v>
      </c>
      <c r="F29" s="213">
        <f t="shared" si="1"/>
        <v>228</v>
      </c>
      <c r="G29" s="212">
        <v>1.5</v>
      </c>
      <c r="H29" s="202">
        <f t="shared" si="2"/>
        <v>9</v>
      </c>
      <c r="I29" s="212">
        <v>2.67</v>
      </c>
      <c r="J29" s="243">
        <f t="shared" si="3"/>
        <v>16.02</v>
      </c>
      <c r="K29" s="226">
        <v>0.542</v>
      </c>
    </row>
    <row r="30">
      <c r="A30" s="106" t="s">
        <v>69</v>
      </c>
      <c r="B30" s="211">
        <v>6.0</v>
      </c>
      <c r="C30" s="212">
        <v>136.0</v>
      </c>
      <c r="D30" s="45">
        <v>43.0</v>
      </c>
      <c r="E30" s="212">
        <v>34.33</v>
      </c>
      <c r="F30" s="213">
        <f t="shared" si="1"/>
        <v>205.98</v>
      </c>
      <c r="G30" s="212">
        <v>0.5</v>
      </c>
      <c r="H30" s="202">
        <f t="shared" si="2"/>
        <v>3</v>
      </c>
      <c r="I30" s="212">
        <v>2.17</v>
      </c>
      <c r="J30" s="243">
        <f t="shared" si="3"/>
        <v>13.02</v>
      </c>
      <c r="K30" s="226">
        <v>0.512</v>
      </c>
    </row>
    <row r="31">
      <c r="A31" s="106" t="s">
        <v>79</v>
      </c>
      <c r="B31" s="211">
        <v>6.0</v>
      </c>
      <c r="C31" s="212">
        <v>137.0</v>
      </c>
      <c r="D31" s="45">
        <v>42.0</v>
      </c>
      <c r="E31" s="212">
        <v>33.0</v>
      </c>
      <c r="F31" s="213">
        <f t="shared" si="1"/>
        <v>198</v>
      </c>
      <c r="G31" s="212">
        <v>0.5</v>
      </c>
      <c r="H31" s="202">
        <f t="shared" si="2"/>
        <v>3</v>
      </c>
      <c r="I31" s="212">
        <v>1.83</v>
      </c>
      <c r="J31" s="243">
        <f t="shared" si="3"/>
        <v>10.98</v>
      </c>
      <c r="K31" s="226">
        <v>0.595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50</v>
      </c>
      <c r="B2" s="211">
        <v>6.0</v>
      </c>
      <c r="C2" s="212">
        <v>23.0</v>
      </c>
      <c r="D2" s="45">
        <v>17.0</v>
      </c>
      <c r="E2" s="212">
        <v>36.33</v>
      </c>
      <c r="F2" s="213">
        <f t="shared" ref="F2:F31" si="1">E2*B2</f>
        <v>217.98</v>
      </c>
      <c r="G2" s="212">
        <v>0.0</v>
      </c>
      <c r="H2" s="202">
        <f t="shared" ref="H2:H31" si="2">G2*B2</f>
        <v>0</v>
      </c>
      <c r="I2" s="212">
        <v>2.5</v>
      </c>
      <c r="J2" s="243">
        <f t="shared" ref="J2:J31" si="3">I2*B2</f>
        <v>15</v>
      </c>
      <c r="K2" s="226">
        <v>1.0</v>
      </c>
    </row>
    <row r="3">
      <c r="A3" s="106" t="s">
        <v>93</v>
      </c>
      <c r="B3" s="211">
        <v>6.0</v>
      </c>
      <c r="C3" s="212">
        <v>23.0</v>
      </c>
      <c r="D3" s="45">
        <v>19.0</v>
      </c>
      <c r="E3" s="212">
        <v>34.0</v>
      </c>
      <c r="F3" s="213">
        <f t="shared" si="1"/>
        <v>204</v>
      </c>
      <c r="G3" s="212">
        <v>0.0</v>
      </c>
      <c r="H3" s="202">
        <f t="shared" si="2"/>
        <v>0</v>
      </c>
      <c r="I3" s="212">
        <v>2.33</v>
      </c>
      <c r="J3" s="243">
        <f t="shared" si="3"/>
        <v>13.98</v>
      </c>
      <c r="K3" s="226">
        <v>0.842</v>
      </c>
    </row>
    <row r="4">
      <c r="A4" s="106" t="s">
        <v>61</v>
      </c>
      <c r="B4" s="211">
        <v>6.0</v>
      </c>
      <c r="C4" s="212">
        <v>24.0</v>
      </c>
      <c r="D4" s="45">
        <v>19.0</v>
      </c>
      <c r="E4" s="212">
        <v>33.33</v>
      </c>
      <c r="F4" s="213">
        <f t="shared" si="1"/>
        <v>199.98</v>
      </c>
      <c r="G4" s="212">
        <v>0.33</v>
      </c>
      <c r="H4" s="202">
        <f t="shared" si="2"/>
        <v>1.98</v>
      </c>
      <c r="I4" s="212">
        <v>2.33</v>
      </c>
      <c r="J4" s="243">
        <f t="shared" si="3"/>
        <v>13.98</v>
      </c>
      <c r="K4" s="226">
        <v>0.895</v>
      </c>
    </row>
    <row r="5">
      <c r="A5" s="106" t="s">
        <v>106</v>
      </c>
      <c r="B5" s="211">
        <v>6.0</v>
      </c>
      <c r="C5" s="212">
        <v>24.0</v>
      </c>
      <c r="D5" s="45">
        <v>21.0</v>
      </c>
      <c r="E5" s="212">
        <v>33.0</v>
      </c>
      <c r="F5" s="213">
        <f t="shared" si="1"/>
        <v>198</v>
      </c>
      <c r="G5" s="212">
        <v>0.67</v>
      </c>
      <c r="H5" s="202">
        <f t="shared" si="2"/>
        <v>4.02</v>
      </c>
      <c r="I5" s="212">
        <v>2.5</v>
      </c>
      <c r="J5" s="243">
        <f t="shared" si="3"/>
        <v>15</v>
      </c>
      <c r="K5" s="226">
        <v>0.762</v>
      </c>
    </row>
    <row r="6">
      <c r="A6" s="106" t="s">
        <v>54</v>
      </c>
      <c r="B6" s="211">
        <v>6.0</v>
      </c>
      <c r="C6" s="212">
        <v>25.0</v>
      </c>
      <c r="D6" s="45">
        <v>18.0</v>
      </c>
      <c r="E6" s="212">
        <v>29.0</v>
      </c>
      <c r="F6" s="213">
        <f t="shared" si="1"/>
        <v>174</v>
      </c>
      <c r="G6" s="212">
        <v>0.0</v>
      </c>
      <c r="H6" s="202">
        <f t="shared" si="2"/>
        <v>0</v>
      </c>
      <c r="I6" s="212">
        <v>1.83</v>
      </c>
      <c r="J6" s="243">
        <f t="shared" si="3"/>
        <v>10.98</v>
      </c>
      <c r="K6" s="226">
        <v>0.889</v>
      </c>
    </row>
    <row r="7">
      <c r="A7" s="106" t="s">
        <v>91</v>
      </c>
      <c r="B7" s="211">
        <v>6.0</v>
      </c>
      <c r="C7" s="212">
        <v>24.0</v>
      </c>
      <c r="D7" s="45">
        <v>17.0</v>
      </c>
      <c r="E7" s="212">
        <v>28.67</v>
      </c>
      <c r="F7" s="213">
        <f t="shared" si="1"/>
        <v>172.02</v>
      </c>
      <c r="G7" s="212">
        <v>0.33</v>
      </c>
      <c r="H7" s="202">
        <f t="shared" si="2"/>
        <v>1.98</v>
      </c>
      <c r="I7" s="212">
        <v>2.0</v>
      </c>
      <c r="J7" s="243">
        <f t="shared" si="3"/>
        <v>12</v>
      </c>
      <c r="K7" s="226">
        <v>0.882</v>
      </c>
    </row>
    <row r="8">
      <c r="A8" s="106" t="s">
        <v>63</v>
      </c>
      <c r="B8" s="211">
        <v>6.0</v>
      </c>
      <c r="C8" s="212">
        <v>24.0</v>
      </c>
      <c r="D8" s="45">
        <v>20.0</v>
      </c>
      <c r="E8" s="212">
        <v>27.0</v>
      </c>
      <c r="F8" s="213">
        <f t="shared" si="1"/>
        <v>162</v>
      </c>
      <c r="G8" s="212">
        <v>0.5</v>
      </c>
      <c r="H8" s="202">
        <f t="shared" si="2"/>
        <v>3</v>
      </c>
      <c r="I8" s="212">
        <v>1.83</v>
      </c>
      <c r="J8" s="243">
        <f t="shared" si="3"/>
        <v>10.98</v>
      </c>
      <c r="K8" s="226">
        <v>0.8</v>
      </c>
    </row>
    <row r="9">
      <c r="A9" s="106" t="s">
        <v>94</v>
      </c>
      <c r="B9" s="211">
        <v>6.0</v>
      </c>
      <c r="C9" s="212">
        <v>23.0</v>
      </c>
      <c r="D9" s="45">
        <v>19.0</v>
      </c>
      <c r="E9" s="212">
        <v>27.0</v>
      </c>
      <c r="F9" s="213">
        <f t="shared" si="1"/>
        <v>162</v>
      </c>
      <c r="G9" s="212">
        <v>0.33</v>
      </c>
      <c r="H9" s="202">
        <f t="shared" si="2"/>
        <v>1.98</v>
      </c>
      <c r="I9" s="212">
        <v>1.83</v>
      </c>
      <c r="J9" s="243">
        <f t="shared" si="3"/>
        <v>10.98</v>
      </c>
      <c r="K9" s="226">
        <v>0.789</v>
      </c>
    </row>
    <row r="10">
      <c r="A10" s="106" t="s">
        <v>64</v>
      </c>
      <c r="B10" s="211">
        <v>6.0</v>
      </c>
      <c r="C10" s="212">
        <v>24.0</v>
      </c>
      <c r="D10" s="45">
        <v>19.0</v>
      </c>
      <c r="E10" s="212">
        <v>27.0</v>
      </c>
      <c r="F10" s="213">
        <f t="shared" si="1"/>
        <v>162</v>
      </c>
      <c r="G10" s="212">
        <v>0.33</v>
      </c>
      <c r="H10" s="202">
        <f t="shared" si="2"/>
        <v>1.98</v>
      </c>
      <c r="I10" s="212">
        <v>1.83</v>
      </c>
      <c r="J10" s="243">
        <f t="shared" si="3"/>
        <v>10.98</v>
      </c>
      <c r="K10" s="226">
        <v>0.789</v>
      </c>
    </row>
    <row r="11">
      <c r="A11" s="106" t="s">
        <v>81</v>
      </c>
      <c r="B11" s="211">
        <v>6.0</v>
      </c>
      <c r="C11" s="212">
        <v>24.0</v>
      </c>
      <c r="D11" s="45">
        <v>16.0</v>
      </c>
      <c r="E11" s="212">
        <v>26.67</v>
      </c>
      <c r="F11" s="213">
        <f t="shared" si="1"/>
        <v>160.02</v>
      </c>
      <c r="G11" s="212">
        <v>0.5</v>
      </c>
      <c r="H11" s="202">
        <f t="shared" si="2"/>
        <v>3</v>
      </c>
      <c r="I11" s="212">
        <v>2.0</v>
      </c>
      <c r="J11" s="243">
        <f t="shared" si="3"/>
        <v>12</v>
      </c>
      <c r="K11" s="226">
        <v>0.813</v>
      </c>
    </row>
    <row r="12">
      <c r="A12" s="106" t="s">
        <v>60</v>
      </c>
      <c r="B12" s="211">
        <v>6.0</v>
      </c>
      <c r="C12" s="212">
        <v>24.0</v>
      </c>
      <c r="D12" s="45">
        <v>17.0</v>
      </c>
      <c r="E12" s="212">
        <v>25.67</v>
      </c>
      <c r="F12" s="213">
        <f t="shared" si="1"/>
        <v>154.02</v>
      </c>
      <c r="G12" s="212">
        <v>0.5</v>
      </c>
      <c r="H12" s="202">
        <f t="shared" si="2"/>
        <v>3</v>
      </c>
      <c r="I12" s="212">
        <v>1.83</v>
      </c>
      <c r="J12" s="243">
        <f t="shared" si="3"/>
        <v>10.98</v>
      </c>
      <c r="K12" s="226">
        <v>0.824</v>
      </c>
    </row>
    <row r="13">
      <c r="A13" s="106" t="s">
        <v>67</v>
      </c>
      <c r="B13" s="211">
        <v>6.0</v>
      </c>
      <c r="C13" s="212">
        <v>24.0</v>
      </c>
      <c r="D13" s="45">
        <v>14.0</v>
      </c>
      <c r="E13" s="212">
        <v>21.67</v>
      </c>
      <c r="F13" s="213">
        <f t="shared" si="1"/>
        <v>130.02</v>
      </c>
      <c r="G13" s="212">
        <v>0.17</v>
      </c>
      <c r="H13" s="202">
        <f t="shared" si="2"/>
        <v>1.02</v>
      </c>
      <c r="I13" s="212">
        <v>1.5</v>
      </c>
      <c r="J13" s="243">
        <f t="shared" si="3"/>
        <v>9</v>
      </c>
      <c r="K13" s="226">
        <v>0.786</v>
      </c>
    </row>
    <row r="14">
      <c r="A14" s="106" t="s">
        <v>89</v>
      </c>
      <c r="B14" s="211">
        <v>6.0</v>
      </c>
      <c r="C14" s="212">
        <v>24.0</v>
      </c>
      <c r="D14" s="45">
        <v>15.0</v>
      </c>
      <c r="E14" s="212">
        <v>21.33</v>
      </c>
      <c r="F14" s="213">
        <f t="shared" si="1"/>
        <v>127.98</v>
      </c>
      <c r="G14" s="212">
        <v>0.67</v>
      </c>
      <c r="H14" s="202">
        <f t="shared" si="2"/>
        <v>4.02</v>
      </c>
      <c r="I14" s="212">
        <v>1.67</v>
      </c>
      <c r="J14" s="243">
        <f t="shared" si="3"/>
        <v>10.02</v>
      </c>
      <c r="K14" s="226">
        <v>0.733</v>
      </c>
    </row>
    <row r="15">
      <c r="A15" s="106" t="s">
        <v>74</v>
      </c>
      <c r="B15" s="211">
        <v>6.0</v>
      </c>
      <c r="C15" s="212">
        <v>24.0</v>
      </c>
      <c r="D15" s="45">
        <v>12.0</v>
      </c>
      <c r="E15" s="212">
        <v>20.33</v>
      </c>
      <c r="F15" s="213">
        <f t="shared" si="1"/>
        <v>121.98</v>
      </c>
      <c r="G15" s="212">
        <v>0.33</v>
      </c>
      <c r="H15" s="202">
        <f t="shared" si="2"/>
        <v>1.98</v>
      </c>
      <c r="I15" s="212">
        <v>1.5</v>
      </c>
      <c r="J15" s="243">
        <f t="shared" si="3"/>
        <v>9</v>
      </c>
      <c r="K15" s="226">
        <v>0.833</v>
      </c>
    </row>
    <row r="16">
      <c r="A16" s="106" t="s">
        <v>88</v>
      </c>
      <c r="B16" s="211">
        <v>6.0</v>
      </c>
      <c r="C16" s="212">
        <v>23.0</v>
      </c>
      <c r="D16" s="45">
        <v>18.0</v>
      </c>
      <c r="E16" s="212">
        <v>20.0</v>
      </c>
      <c r="F16" s="213">
        <f t="shared" si="1"/>
        <v>120</v>
      </c>
      <c r="G16" s="212">
        <v>1.0</v>
      </c>
      <c r="H16" s="202">
        <f t="shared" si="2"/>
        <v>6</v>
      </c>
      <c r="I16" s="212">
        <v>1.67</v>
      </c>
      <c r="J16" s="243">
        <f t="shared" si="3"/>
        <v>10.02</v>
      </c>
      <c r="K16" s="226">
        <v>0.611</v>
      </c>
    </row>
    <row r="17">
      <c r="A17" s="106" t="s">
        <v>78</v>
      </c>
      <c r="B17" s="211">
        <v>6.0</v>
      </c>
      <c r="C17" s="212">
        <v>24.0</v>
      </c>
      <c r="D17" s="45">
        <v>15.0</v>
      </c>
      <c r="E17" s="212">
        <v>18.67</v>
      </c>
      <c r="F17" s="213">
        <f t="shared" si="1"/>
        <v>112.02</v>
      </c>
      <c r="G17" s="212">
        <v>0.5</v>
      </c>
      <c r="H17" s="202">
        <f t="shared" si="2"/>
        <v>3</v>
      </c>
      <c r="I17" s="212">
        <v>1.33</v>
      </c>
      <c r="J17" s="243">
        <f t="shared" si="3"/>
        <v>7.98</v>
      </c>
      <c r="K17" s="226">
        <v>0.733</v>
      </c>
    </row>
    <row r="18">
      <c r="A18" s="106" t="s">
        <v>57</v>
      </c>
      <c r="B18" s="211">
        <v>6.0</v>
      </c>
      <c r="C18" s="212">
        <v>25.0</v>
      </c>
      <c r="D18" s="45">
        <v>17.0</v>
      </c>
      <c r="E18" s="212">
        <v>17.33</v>
      </c>
      <c r="F18" s="213">
        <f t="shared" si="1"/>
        <v>103.98</v>
      </c>
      <c r="G18" s="212">
        <v>0.83</v>
      </c>
      <c r="H18" s="202">
        <f t="shared" si="2"/>
        <v>4.98</v>
      </c>
      <c r="I18" s="212">
        <v>1.33</v>
      </c>
      <c r="J18" s="243">
        <f t="shared" si="3"/>
        <v>7.98</v>
      </c>
      <c r="K18" s="226">
        <v>0.647</v>
      </c>
    </row>
    <row r="19">
      <c r="A19" s="106" t="s">
        <v>99</v>
      </c>
      <c r="B19" s="211">
        <v>6.0</v>
      </c>
      <c r="C19" s="212">
        <v>24.0</v>
      </c>
      <c r="D19" s="45">
        <v>18.0</v>
      </c>
      <c r="E19" s="212">
        <v>17.0</v>
      </c>
      <c r="F19" s="213">
        <f t="shared" si="1"/>
        <v>102</v>
      </c>
      <c r="G19" s="212">
        <v>1.17</v>
      </c>
      <c r="H19" s="202">
        <f t="shared" si="2"/>
        <v>7.02</v>
      </c>
      <c r="I19" s="212">
        <v>1.5</v>
      </c>
      <c r="J19" s="243">
        <f t="shared" si="3"/>
        <v>9</v>
      </c>
      <c r="K19" s="226">
        <v>0.556</v>
      </c>
    </row>
    <row r="20">
      <c r="A20" s="106" t="s">
        <v>42</v>
      </c>
      <c r="B20" s="211">
        <v>6.0</v>
      </c>
      <c r="C20" s="212">
        <v>24.0</v>
      </c>
      <c r="D20" s="45">
        <v>12.0</v>
      </c>
      <c r="E20" s="212">
        <v>15.33</v>
      </c>
      <c r="F20" s="213">
        <f t="shared" si="1"/>
        <v>91.98</v>
      </c>
      <c r="G20" s="212">
        <v>0.0</v>
      </c>
      <c r="H20" s="202">
        <f t="shared" si="2"/>
        <v>0</v>
      </c>
      <c r="I20" s="212">
        <v>1.0</v>
      </c>
      <c r="J20" s="243">
        <f t="shared" si="3"/>
        <v>6</v>
      </c>
      <c r="K20" s="226">
        <v>0.667</v>
      </c>
    </row>
    <row r="21">
      <c r="A21" s="106" t="s">
        <v>56</v>
      </c>
      <c r="B21" s="211">
        <v>6.0</v>
      </c>
      <c r="C21" s="212">
        <v>24.0</v>
      </c>
      <c r="D21" s="45">
        <v>19.0</v>
      </c>
      <c r="E21" s="212">
        <v>15.0</v>
      </c>
      <c r="F21" s="213">
        <f t="shared" si="1"/>
        <v>90</v>
      </c>
      <c r="G21" s="212">
        <v>0.83</v>
      </c>
      <c r="H21" s="202">
        <f t="shared" si="2"/>
        <v>4.98</v>
      </c>
      <c r="I21" s="212">
        <v>1.17</v>
      </c>
      <c r="J21" s="243">
        <f t="shared" si="3"/>
        <v>7.02</v>
      </c>
      <c r="K21" s="226">
        <v>0.526</v>
      </c>
    </row>
    <row r="22">
      <c r="A22" s="106" t="s">
        <v>92</v>
      </c>
      <c r="B22" s="211">
        <v>6.0</v>
      </c>
      <c r="C22" s="212">
        <v>24.0</v>
      </c>
      <c r="D22" s="45">
        <v>17.0</v>
      </c>
      <c r="E22" s="212">
        <v>14.33</v>
      </c>
      <c r="F22" s="213">
        <f t="shared" si="1"/>
        <v>85.98</v>
      </c>
      <c r="G22" s="212">
        <v>0.83</v>
      </c>
      <c r="H22" s="202">
        <f t="shared" si="2"/>
        <v>4.98</v>
      </c>
      <c r="I22" s="212">
        <v>1.17</v>
      </c>
      <c r="J22" s="243">
        <f t="shared" si="3"/>
        <v>7.02</v>
      </c>
      <c r="K22" s="226">
        <v>0.529</v>
      </c>
    </row>
    <row r="23">
      <c r="A23" s="106" t="s">
        <v>79</v>
      </c>
      <c r="B23" s="211">
        <v>6.0</v>
      </c>
      <c r="C23" s="212">
        <v>24.0</v>
      </c>
      <c r="D23" s="45">
        <v>7.0</v>
      </c>
      <c r="E23" s="212">
        <v>13.0</v>
      </c>
      <c r="F23" s="213">
        <f t="shared" si="1"/>
        <v>78</v>
      </c>
      <c r="G23" s="212">
        <v>0.0</v>
      </c>
      <c r="H23" s="202">
        <f t="shared" si="2"/>
        <v>0</v>
      </c>
      <c r="I23" s="212">
        <v>0.83</v>
      </c>
      <c r="J23" s="243">
        <f t="shared" si="3"/>
        <v>4.98</v>
      </c>
      <c r="K23" s="226">
        <v>1.0</v>
      </c>
    </row>
    <row r="24">
      <c r="A24" s="106" t="s">
        <v>75</v>
      </c>
      <c r="B24" s="211">
        <v>6.0</v>
      </c>
      <c r="C24" s="212">
        <v>24.0</v>
      </c>
      <c r="D24" s="45">
        <v>16.0</v>
      </c>
      <c r="E24" s="212">
        <v>11.67</v>
      </c>
      <c r="F24" s="213">
        <f t="shared" si="1"/>
        <v>70.02</v>
      </c>
      <c r="G24" s="212">
        <v>1.33</v>
      </c>
      <c r="H24" s="202">
        <f t="shared" si="2"/>
        <v>7.98</v>
      </c>
      <c r="I24" s="212">
        <v>1.17</v>
      </c>
      <c r="J24" s="243">
        <f t="shared" si="3"/>
        <v>7.02</v>
      </c>
      <c r="K24" s="226">
        <v>0.5</v>
      </c>
    </row>
    <row r="25">
      <c r="A25" s="106" t="s">
        <v>40</v>
      </c>
      <c r="B25" s="211">
        <v>6.0</v>
      </c>
      <c r="C25" s="212">
        <v>24.0</v>
      </c>
      <c r="D25" s="45">
        <v>11.0</v>
      </c>
      <c r="E25" s="212">
        <v>11.67</v>
      </c>
      <c r="F25" s="213">
        <f t="shared" si="1"/>
        <v>70.02</v>
      </c>
      <c r="G25" s="212">
        <v>0.17</v>
      </c>
      <c r="H25" s="202">
        <f t="shared" si="2"/>
        <v>1.02</v>
      </c>
      <c r="I25" s="212">
        <v>0.83</v>
      </c>
      <c r="J25" s="243">
        <f t="shared" si="3"/>
        <v>4.98</v>
      </c>
      <c r="K25" s="226">
        <v>0.545</v>
      </c>
    </row>
    <row r="26">
      <c r="A26" s="106" t="s">
        <v>69</v>
      </c>
      <c r="B26" s="211">
        <v>6.0</v>
      </c>
      <c r="C26" s="212">
        <v>24.0</v>
      </c>
      <c r="D26" s="45">
        <v>10.0</v>
      </c>
      <c r="E26" s="212">
        <v>10.67</v>
      </c>
      <c r="F26" s="213">
        <f t="shared" si="1"/>
        <v>64.02</v>
      </c>
      <c r="G26" s="212">
        <v>0.0</v>
      </c>
      <c r="H26" s="202">
        <f t="shared" si="2"/>
        <v>0</v>
      </c>
      <c r="I26" s="212">
        <v>0.67</v>
      </c>
      <c r="J26" s="243">
        <f t="shared" si="3"/>
        <v>4.02</v>
      </c>
      <c r="K26" s="226">
        <v>0.6</v>
      </c>
    </row>
    <row r="27">
      <c r="A27" s="106" t="s">
        <v>82</v>
      </c>
      <c r="B27" s="211">
        <v>6.0</v>
      </c>
      <c r="C27" s="212">
        <v>24.0</v>
      </c>
      <c r="D27" s="45">
        <v>10.0</v>
      </c>
      <c r="E27" s="212">
        <v>10.0</v>
      </c>
      <c r="F27" s="213">
        <f t="shared" si="1"/>
        <v>60</v>
      </c>
      <c r="G27" s="212">
        <v>0.17</v>
      </c>
      <c r="H27" s="202">
        <f t="shared" si="2"/>
        <v>1.02</v>
      </c>
      <c r="I27" s="212">
        <v>0.67</v>
      </c>
      <c r="J27" s="243">
        <f t="shared" si="3"/>
        <v>4.02</v>
      </c>
      <c r="K27" s="226">
        <v>0.6</v>
      </c>
    </row>
    <row r="28">
      <c r="A28" s="106" t="s">
        <v>58</v>
      </c>
      <c r="B28" s="211">
        <v>6.0</v>
      </c>
      <c r="C28" s="212">
        <v>24.0</v>
      </c>
      <c r="D28" s="45">
        <v>14.0</v>
      </c>
      <c r="E28" s="212">
        <v>9.33</v>
      </c>
      <c r="F28" s="213">
        <f t="shared" si="1"/>
        <v>55.98</v>
      </c>
      <c r="G28" s="212">
        <v>0.33</v>
      </c>
      <c r="H28" s="202">
        <f t="shared" si="2"/>
        <v>1.98</v>
      </c>
      <c r="I28" s="212">
        <v>0.67</v>
      </c>
      <c r="J28" s="243">
        <f t="shared" si="3"/>
        <v>4.02</v>
      </c>
      <c r="K28" s="226">
        <v>0.429</v>
      </c>
    </row>
    <row r="29">
      <c r="A29" s="106" t="s">
        <v>52</v>
      </c>
      <c r="B29" s="211">
        <v>6.0</v>
      </c>
      <c r="C29" s="212">
        <v>24.0</v>
      </c>
      <c r="D29" s="45">
        <v>8.0</v>
      </c>
      <c r="E29" s="212">
        <v>5.33</v>
      </c>
      <c r="F29" s="213">
        <f t="shared" si="1"/>
        <v>31.98</v>
      </c>
      <c r="G29" s="212">
        <v>0.17</v>
      </c>
      <c r="H29" s="202">
        <f t="shared" si="2"/>
        <v>1.02</v>
      </c>
      <c r="I29" s="212">
        <v>0.33</v>
      </c>
      <c r="J29" s="243">
        <f t="shared" si="3"/>
        <v>1.98</v>
      </c>
      <c r="K29" s="226">
        <v>0.5</v>
      </c>
    </row>
    <row r="30">
      <c r="A30" s="106" t="s">
        <v>44</v>
      </c>
      <c r="B30" s="211">
        <v>6.0</v>
      </c>
      <c r="C30" s="212">
        <v>24.0</v>
      </c>
      <c r="D30" s="45">
        <v>9.0</v>
      </c>
      <c r="E30" s="212">
        <v>4.0</v>
      </c>
      <c r="F30" s="213">
        <f t="shared" si="1"/>
        <v>24</v>
      </c>
      <c r="G30" s="212">
        <v>0.5</v>
      </c>
      <c r="H30" s="202">
        <f t="shared" si="2"/>
        <v>3</v>
      </c>
      <c r="I30" s="212">
        <v>0.33</v>
      </c>
      <c r="J30" s="243">
        <f t="shared" si="3"/>
        <v>1.98</v>
      </c>
      <c r="K30" s="226">
        <v>0.444</v>
      </c>
    </row>
    <row r="31">
      <c r="A31" s="106" t="s">
        <v>65</v>
      </c>
      <c r="B31" s="211">
        <v>6.0</v>
      </c>
      <c r="C31" s="212">
        <v>24.0</v>
      </c>
      <c r="D31" s="45">
        <v>11.0</v>
      </c>
      <c r="E31" s="212">
        <v>3.0</v>
      </c>
      <c r="F31" s="213">
        <f t="shared" si="1"/>
        <v>18</v>
      </c>
      <c r="G31" s="212">
        <v>0.5</v>
      </c>
      <c r="H31" s="202">
        <f t="shared" si="2"/>
        <v>3</v>
      </c>
      <c r="I31" s="212">
        <v>0.17</v>
      </c>
      <c r="J31" s="243">
        <f t="shared" si="3"/>
        <v>1.02</v>
      </c>
      <c r="K31" s="226">
        <v>0.455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63</v>
      </c>
      <c r="B2" s="211">
        <v>6.0</v>
      </c>
      <c r="C2" s="212">
        <v>24.0</v>
      </c>
      <c r="D2" s="45">
        <v>24.0</v>
      </c>
      <c r="E2" s="212">
        <v>42.33</v>
      </c>
      <c r="F2" s="213">
        <f t="shared" ref="F2:F31" si="1">E2*B2</f>
        <v>253.98</v>
      </c>
      <c r="G2" s="212">
        <v>0.67</v>
      </c>
      <c r="H2" s="202">
        <f t="shared" ref="H2:H31" si="2">G2*B2</f>
        <v>4.02</v>
      </c>
      <c r="I2" s="212">
        <v>3.17</v>
      </c>
      <c r="J2" s="243">
        <f t="shared" ref="J2:J31" si="3">I2*B2</f>
        <v>19.02</v>
      </c>
      <c r="K2" s="226">
        <v>0.833</v>
      </c>
    </row>
    <row r="3">
      <c r="A3" s="106" t="s">
        <v>99</v>
      </c>
      <c r="B3" s="211">
        <v>6.0</v>
      </c>
      <c r="C3" s="212">
        <v>24.0</v>
      </c>
      <c r="D3" s="45">
        <v>17.0</v>
      </c>
      <c r="E3" s="212">
        <v>36.33</v>
      </c>
      <c r="F3" s="213">
        <f t="shared" si="1"/>
        <v>217.98</v>
      </c>
      <c r="G3" s="212">
        <v>0.0</v>
      </c>
      <c r="H3" s="202">
        <f t="shared" si="2"/>
        <v>0</v>
      </c>
      <c r="I3" s="212">
        <v>2.5</v>
      </c>
      <c r="J3" s="243">
        <f t="shared" si="3"/>
        <v>15</v>
      </c>
      <c r="K3" s="226">
        <v>1.0</v>
      </c>
    </row>
    <row r="4">
      <c r="A4" s="106" t="s">
        <v>67</v>
      </c>
      <c r="B4" s="211">
        <v>6.0</v>
      </c>
      <c r="C4" s="212">
        <v>24.0</v>
      </c>
      <c r="D4" s="45">
        <v>17.0</v>
      </c>
      <c r="E4" s="212">
        <v>33.67</v>
      </c>
      <c r="F4" s="213">
        <f t="shared" si="1"/>
        <v>202.02</v>
      </c>
      <c r="G4" s="212">
        <v>0.33</v>
      </c>
      <c r="H4" s="202">
        <f t="shared" si="2"/>
        <v>1.98</v>
      </c>
      <c r="I4" s="212">
        <v>2.5</v>
      </c>
      <c r="J4" s="243">
        <f t="shared" si="3"/>
        <v>15</v>
      </c>
      <c r="K4" s="226">
        <v>0.882</v>
      </c>
    </row>
    <row r="5">
      <c r="A5" s="106" t="s">
        <v>88</v>
      </c>
      <c r="B5" s="211">
        <v>6.0</v>
      </c>
      <c r="C5" s="212">
        <v>24.0</v>
      </c>
      <c r="D5" s="45">
        <v>21.0</v>
      </c>
      <c r="E5" s="212">
        <v>31.0</v>
      </c>
      <c r="F5" s="213">
        <f t="shared" si="1"/>
        <v>186</v>
      </c>
      <c r="G5" s="212">
        <v>0.5</v>
      </c>
      <c r="H5" s="202">
        <f t="shared" si="2"/>
        <v>3</v>
      </c>
      <c r="I5" s="212">
        <v>2.17</v>
      </c>
      <c r="J5" s="243">
        <f t="shared" si="3"/>
        <v>13.02</v>
      </c>
      <c r="K5" s="226">
        <v>0.81</v>
      </c>
    </row>
    <row r="6">
      <c r="A6" s="106" t="s">
        <v>75</v>
      </c>
      <c r="B6" s="211">
        <v>6.0</v>
      </c>
      <c r="C6" s="212">
        <v>24.0</v>
      </c>
      <c r="D6" s="45">
        <v>17.0</v>
      </c>
      <c r="E6" s="212">
        <v>30.0</v>
      </c>
      <c r="F6" s="213">
        <f t="shared" si="1"/>
        <v>180</v>
      </c>
      <c r="G6" s="212">
        <v>0.0</v>
      </c>
      <c r="H6" s="202">
        <f t="shared" si="2"/>
        <v>0</v>
      </c>
      <c r="I6" s="212">
        <v>2.0</v>
      </c>
      <c r="J6" s="243">
        <f t="shared" si="3"/>
        <v>12</v>
      </c>
      <c r="K6" s="226">
        <v>0.882</v>
      </c>
    </row>
    <row r="7">
      <c r="A7" s="106" t="s">
        <v>93</v>
      </c>
      <c r="B7" s="211">
        <v>6.0</v>
      </c>
      <c r="C7" s="212">
        <v>24.0</v>
      </c>
      <c r="D7" s="45">
        <v>17.0</v>
      </c>
      <c r="E7" s="212">
        <v>28.33</v>
      </c>
      <c r="F7" s="213">
        <f t="shared" si="1"/>
        <v>169.98</v>
      </c>
      <c r="G7" s="212">
        <v>0.17</v>
      </c>
      <c r="H7" s="202">
        <f t="shared" si="2"/>
        <v>1.02</v>
      </c>
      <c r="I7" s="212">
        <v>1.83</v>
      </c>
      <c r="J7" s="243">
        <f t="shared" si="3"/>
        <v>10.98</v>
      </c>
      <c r="K7" s="226">
        <v>0.941</v>
      </c>
    </row>
    <row r="8">
      <c r="A8" s="106" t="s">
        <v>50</v>
      </c>
      <c r="B8" s="211">
        <v>6.0</v>
      </c>
      <c r="C8" s="212">
        <v>24.0</v>
      </c>
      <c r="D8" s="45">
        <v>17.0</v>
      </c>
      <c r="E8" s="212">
        <v>27.33</v>
      </c>
      <c r="F8" s="213">
        <f t="shared" si="1"/>
        <v>163.98</v>
      </c>
      <c r="G8" s="212">
        <v>0.33</v>
      </c>
      <c r="H8" s="202">
        <f t="shared" si="2"/>
        <v>1.98</v>
      </c>
      <c r="I8" s="212">
        <v>2.0</v>
      </c>
      <c r="J8" s="243">
        <f t="shared" si="3"/>
        <v>12</v>
      </c>
      <c r="K8" s="226">
        <v>0.765</v>
      </c>
    </row>
    <row r="9">
      <c r="A9" s="106" t="s">
        <v>91</v>
      </c>
      <c r="B9" s="211">
        <v>6.0</v>
      </c>
      <c r="C9" s="212">
        <v>24.0</v>
      </c>
      <c r="D9" s="45">
        <v>17.0</v>
      </c>
      <c r="E9" s="212">
        <v>24.67</v>
      </c>
      <c r="F9" s="213">
        <f t="shared" si="1"/>
        <v>148.02</v>
      </c>
      <c r="G9" s="212">
        <v>0.33</v>
      </c>
      <c r="H9" s="202">
        <f t="shared" si="2"/>
        <v>1.98</v>
      </c>
      <c r="I9" s="212">
        <v>1.67</v>
      </c>
      <c r="J9" s="243">
        <f t="shared" si="3"/>
        <v>10.02</v>
      </c>
      <c r="K9" s="226">
        <v>0.824</v>
      </c>
    </row>
    <row r="10">
      <c r="A10" s="106" t="s">
        <v>94</v>
      </c>
      <c r="B10" s="211">
        <v>6.0</v>
      </c>
      <c r="C10" s="212">
        <v>24.0</v>
      </c>
      <c r="D10" s="45">
        <v>17.0</v>
      </c>
      <c r="E10" s="212">
        <v>24.33</v>
      </c>
      <c r="F10" s="213">
        <f t="shared" si="1"/>
        <v>145.98</v>
      </c>
      <c r="G10" s="212">
        <v>0.17</v>
      </c>
      <c r="H10" s="202">
        <f t="shared" si="2"/>
        <v>1.02</v>
      </c>
      <c r="I10" s="212">
        <v>1.5</v>
      </c>
      <c r="J10" s="243">
        <f t="shared" si="3"/>
        <v>9</v>
      </c>
      <c r="K10" s="226">
        <v>0.882</v>
      </c>
    </row>
    <row r="11">
      <c r="A11" s="106" t="s">
        <v>89</v>
      </c>
      <c r="B11" s="211">
        <v>6.0</v>
      </c>
      <c r="C11" s="212">
        <v>24.0</v>
      </c>
      <c r="D11" s="45">
        <v>15.0</v>
      </c>
      <c r="E11" s="212">
        <v>23.0</v>
      </c>
      <c r="F11" s="213">
        <f t="shared" si="1"/>
        <v>138</v>
      </c>
      <c r="G11" s="212">
        <v>0.17</v>
      </c>
      <c r="H11" s="202">
        <f t="shared" si="2"/>
        <v>1.02</v>
      </c>
      <c r="I11" s="212">
        <v>1.5</v>
      </c>
      <c r="J11" s="243">
        <f t="shared" si="3"/>
        <v>9</v>
      </c>
      <c r="K11" s="226">
        <v>0.867</v>
      </c>
    </row>
    <row r="12">
      <c r="A12" s="106" t="s">
        <v>57</v>
      </c>
      <c r="B12" s="211">
        <v>6.0</v>
      </c>
      <c r="C12" s="212">
        <v>24.0</v>
      </c>
      <c r="D12" s="45">
        <v>15.0</v>
      </c>
      <c r="E12" s="212">
        <v>21.67</v>
      </c>
      <c r="F12" s="213">
        <f t="shared" si="1"/>
        <v>130.02</v>
      </c>
      <c r="G12" s="212">
        <v>0.33</v>
      </c>
      <c r="H12" s="202">
        <f t="shared" si="2"/>
        <v>1.98</v>
      </c>
      <c r="I12" s="212">
        <v>1.5</v>
      </c>
      <c r="J12" s="243">
        <f t="shared" si="3"/>
        <v>9</v>
      </c>
      <c r="K12" s="226">
        <v>0.8</v>
      </c>
    </row>
    <row r="13">
      <c r="A13" s="106" t="s">
        <v>54</v>
      </c>
      <c r="B13" s="211">
        <v>6.0</v>
      </c>
      <c r="C13" s="212">
        <v>24.0</v>
      </c>
      <c r="D13" s="45">
        <v>16.0</v>
      </c>
      <c r="E13" s="212">
        <v>21.67</v>
      </c>
      <c r="F13" s="213">
        <f t="shared" si="1"/>
        <v>130.02</v>
      </c>
      <c r="G13" s="212">
        <v>0.33</v>
      </c>
      <c r="H13" s="202">
        <f t="shared" si="2"/>
        <v>1.98</v>
      </c>
      <c r="I13" s="212">
        <v>1.5</v>
      </c>
      <c r="J13" s="243">
        <f t="shared" si="3"/>
        <v>9</v>
      </c>
      <c r="K13" s="226">
        <v>0.75</v>
      </c>
    </row>
    <row r="14">
      <c r="A14" s="106" t="s">
        <v>56</v>
      </c>
      <c r="B14" s="211">
        <v>6.0</v>
      </c>
      <c r="C14" s="212">
        <v>24.0</v>
      </c>
      <c r="D14" s="45">
        <v>21.0</v>
      </c>
      <c r="E14" s="212">
        <v>18.33</v>
      </c>
      <c r="F14" s="213">
        <f t="shared" si="1"/>
        <v>109.98</v>
      </c>
      <c r="G14" s="212">
        <v>0.67</v>
      </c>
      <c r="H14" s="202">
        <f t="shared" si="2"/>
        <v>4.02</v>
      </c>
      <c r="I14" s="212">
        <v>1.17</v>
      </c>
      <c r="J14" s="243">
        <f t="shared" si="3"/>
        <v>7.02</v>
      </c>
      <c r="K14" s="226">
        <v>0.667</v>
      </c>
    </row>
    <row r="15">
      <c r="A15" s="106" t="s">
        <v>42</v>
      </c>
      <c r="B15" s="211">
        <v>6.0</v>
      </c>
      <c r="C15" s="212">
        <v>24.0</v>
      </c>
      <c r="D15" s="45">
        <v>13.0</v>
      </c>
      <c r="E15" s="212">
        <v>18.0</v>
      </c>
      <c r="F15" s="213">
        <f t="shared" si="1"/>
        <v>108</v>
      </c>
      <c r="G15" s="212">
        <v>0.33</v>
      </c>
      <c r="H15" s="202">
        <f t="shared" si="2"/>
        <v>1.98</v>
      </c>
      <c r="I15" s="212">
        <v>1.33</v>
      </c>
      <c r="J15" s="243">
        <f t="shared" si="3"/>
        <v>7.98</v>
      </c>
      <c r="K15" s="226">
        <v>0.692</v>
      </c>
    </row>
    <row r="16">
      <c r="A16" s="106" t="s">
        <v>74</v>
      </c>
      <c r="B16" s="211">
        <v>6.0</v>
      </c>
      <c r="C16" s="212">
        <v>24.0</v>
      </c>
      <c r="D16" s="45">
        <v>14.0</v>
      </c>
      <c r="E16" s="212">
        <v>17.67</v>
      </c>
      <c r="F16" s="213">
        <f t="shared" si="1"/>
        <v>106.02</v>
      </c>
      <c r="G16" s="212">
        <v>0.33</v>
      </c>
      <c r="H16" s="202">
        <f t="shared" si="2"/>
        <v>1.98</v>
      </c>
      <c r="I16" s="212">
        <v>1.17</v>
      </c>
      <c r="J16" s="243">
        <f t="shared" si="3"/>
        <v>7.02</v>
      </c>
      <c r="K16" s="226">
        <v>0.786</v>
      </c>
    </row>
    <row r="17">
      <c r="A17" s="106" t="s">
        <v>92</v>
      </c>
      <c r="B17" s="211">
        <v>6.0</v>
      </c>
      <c r="C17" s="212">
        <v>24.0</v>
      </c>
      <c r="D17" s="45">
        <v>13.0</v>
      </c>
      <c r="E17" s="212">
        <v>17.67</v>
      </c>
      <c r="F17" s="213">
        <f t="shared" si="1"/>
        <v>106.02</v>
      </c>
      <c r="G17" s="212">
        <v>0.17</v>
      </c>
      <c r="H17" s="202">
        <f t="shared" si="2"/>
        <v>1.02</v>
      </c>
      <c r="I17" s="212">
        <v>1.17</v>
      </c>
      <c r="J17" s="243">
        <f t="shared" si="3"/>
        <v>7.02</v>
      </c>
      <c r="K17" s="226">
        <v>0.769</v>
      </c>
    </row>
    <row r="18">
      <c r="A18" s="106" t="s">
        <v>65</v>
      </c>
      <c r="B18" s="211">
        <v>6.0</v>
      </c>
      <c r="C18" s="212">
        <v>24.0</v>
      </c>
      <c r="D18" s="45">
        <v>14.0</v>
      </c>
      <c r="E18" s="212">
        <v>17.33</v>
      </c>
      <c r="F18" s="213">
        <f t="shared" si="1"/>
        <v>103.98</v>
      </c>
      <c r="G18" s="212">
        <v>0.0</v>
      </c>
      <c r="H18" s="202">
        <f t="shared" si="2"/>
        <v>0</v>
      </c>
      <c r="I18" s="212">
        <v>1.0</v>
      </c>
      <c r="J18" s="243">
        <f t="shared" si="3"/>
        <v>6</v>
      </c>
      <c r="K18" s="226">
        <v>0.786</v>
      </c>
    </row>
    <row r="19">
      <c r="A19" s="106" t="s">
        <v>61</v>
      </c>
      <c r="B19" s="211">
        <v>6.0</v>
      </c>
      <c r="C19" s="212">
        <v>24.0</v>
      </c>
      <c r="D19" s="45">
        <v>15.0</v>
      </c>
      <c r="E19" s="212">
        <v>17.0</v>
      </c>
      <c r="F19" s="213">
        <f t="shared" si="1"/>
        <v>102</v>
      </c>
      <c r="G19" s="212">
        <v>0.33</v>
      </c>
      <c r="H19" s="202">
        <f t="shared" si="2"/>
        <v>1.98</v>
      </c>
      <c r="I19" s="212">
        <v>1.17</v>
      </c>
      <c r="J19" s="243">
        <f t="shared" si="3"/>
        <v>7.02</v>
      </c>
      <c r="K19" s="226">
        <v>0.667</v>
      </c>
    </row>
    <row r="20">
      <c r="A20" s="106" t="s">
        <v>78</v>
      </c>
      <c r="B20" s="211">
        <v>6.0</v>
      </c>
      <c r="C20" s="212">
        <v>24.0</v>
      </c>
      <c r="D20" s="45">
        <v>15.0</v>
      </c>
      <c r="E20" s="212">
        <v>16.67</v>
      </c>
      <c r="F20" s="213">
        <f t="shared" si="1"/>
        <v>100.02</v>
      </c>
      <c r="G20" s="212">
        <v>0.0</v>
      </c>
      <c r="H20" s="202">
        <f t="shared" si="2"/>
        <v>0</v>
      </c>
      <c r="I20" s="212">
        <v>1.0</v>
      </c>
      <c r="J20" s="243">
        <f t="shared" si="3"/>
        <v>6</v>
      </c>
      <c r="K20" s="226">
        <v>0.667</v>
      </c>
    </row>
    <row r="21">
      <c r="A21" s="106" t="s">
        <v>58</v>
      </c>
      <c r="B21" s="211">
        <v>6.0</v>
      </c>
      <c r="C21" s="212">
        <v>24.0</v>
      </c>
      <c r="D21" s="45">
        <v>18.0</v>
      </c>
      <c r="E21" s="212">
        <v>15.67</v>
      </c>
      <c r="F21" s="213">
        <f t="shared" si="1"/>
        <v>94.02</v>
      </c>
      <c r="G21" s="212">
        <v>0.67</v>
      </c>
      <c r="H21" s="202">
        <f t="shared" si="2"/>
        <v>4.02</v>
      </c>
      <c r="I21" s="212">
        <v>1.17</v>
      </c>
      <c r="J21" s="243">
        <f t="shared" si="3"/>
        <v>7.02</v>
      </c>
      <c r="K21" s="226">
        <v>0.556</v>
      </c>
    </row>
    <row r="22">
      <c r="A22" s="106" t="s">
        <v>64</v>
      </c>
      <c r="B22" s="211">
        <v>6.0</v>
      </c>
      <c r="C22" s="212">
        <v>24.0</v>
      </c>
      <c r="D22" s="45">
        <v>14.0</v>
      </c>
      <c r="E22" s="212">
        <v>15.0</v>
      </c>
      <c r="F22" s="213">
        <f t="shared" si="1"/>
        <v>90</v>
      </c>
      <c r="G22" s="212">
        <v>0.0</v>
      </c>
      <c r="H22" s="202">
        <f t="shared" si="2"/>
        <v>0</v>
      </c>
      <c r="I22" s="212">
        <v>0.83</v>
      </c>
      <c r="J22" s="243">
        <f t="shared" si="3"/>
        <v>4.98</v>
      </c>
      <c r="K22" s="226">
        <v>0.714</v>
      </c>
    </row>
    <row r="23">
      <c r="A23" s="106" t="s">
        <v>40</v>
      </c>
      <c r="B23" s="211">
        <v>6.0</v>
      </c>
      <c r="C23" s="212">
        <v>25.0</v>
      </c>
      <c r="D23" s="45">
        <v>11.0</v>
      </c>
      <c r="E23" s="212">
        <v>13.67</v>
      </c>
      <c r="F23" s="213">
        <f t="shared" si="1"/>
        <v>82.02</v>
      </c>
      <c r="G23" s="212">
        <v>0.0</v>
      </c>
      <c r="H23" s="202">
        <f t="shared" si="2"/>
        <v>0</v>
      </c>
      <c r="I23" s="212">
        <v>0.83</v>
      </c>
      <c r="J23" s="243">
        <f t="shared" si="3"/>
        <v>4.98</v>
      </c>
      <c r="K23" s="226">
        <v>0.727</v>
      </c>
    </row>
    <row r="24">
      <c r="A24" s="106" t="s">
        <v>81</v>
      </c>
      <c r="B24" s="211">
        <v>6.0</v>
      </c>
      <c r="C24" s="212">
        <v>24.0</v>
      </c>
      <c r="D24" s="45">
        <v>8.0</v>
      </c>
      <c r="E24" s="212">
        <v>12.33</v>
      </c>
      <c r="F24" s="213">
        <f t="shared" si="1"/>
        <v>73.98</v>
      </c>
      <c r="G24" s="212">
        <v>0.0</v>
      </c>
      <c r="H24" s="202">
        <f t="shared" si="2"/>
        <v>0</v>
      </c>
      <c r="I24" s="212">
        <v>0.83</v>
      </c>
      <c r="J24" s="243">
        <f t="shared" si="3"/>
        <v>4.98</v>
      </c>
      <c r="K24" s="226">
        <v>0.75</v>
      </c>
    </row>
    <row r="25">
      <c r="A25" s="106" t="s">
        <v>106</v>
      </c>
      <c r="B25" s="211">
        <v>6.0</v>
      </c>
      <c r="C25" s="212">
        <v>24.0</v>
      </c>
      <c r="D25" s="45">
        <v>17.0</v>
      </c>
      <c r="E25" s="212">
        <v>12.0</v>
      </c>
      <c r="F25" s="213">
        <f t="shared" si="1"/>
        <v>72</v>
      </c>
      <c r="G25" s="212">
        <v>0.67</v>
      </c>
      <c r="H25" s="202">
        <f t="shared" si="2"/>
        <v>4.02</v>
      </c>
      <c r="I25" s="212">
        <v>0.67</v>
      </c>
      <c r="J25" s="243">
        <f t="shared" si="3"/>
        <v>4.02</v>
      </c>
      <c r="K25" s="226">
        <v>0.706</v>
      </c>
    </row>
    <row r="26">
      <c r="A26" s="106" t="s">
        <v>60</v>
      </c>
      <c r="B26" s="211">
        <v>6.0</v>
      </c>
      <c r="C26" s="212">
        <v>24.0</v>
      </c>
      <c r="D26" s="45">
        <v>13.0</v>
      </c>
      <c r="E26" s="212">
        <v>8.0</v>
      </c>
      <c r="F26" s="213">
        <f t="shared" si="1"/>
        <v>48</v>
      </c>
      <c r="G26" s="212">
        <v>0.0</v>
      </c>
      <c r="H26" s="202">
        <f t="shared" si="2"/>
        <v>0</v>
      </c>
      <c r="I26" s="212">
        <v>0.33</v>
      </c>
      <c r="J26" s="243">
        <f t="shared" si="3"/>
        <v>1.98</v>
      </c>
      <c r="K26" s="226">
        <v>0.538</v>
      </c>
    </row>
    <row r="27">
      <c r="A27" s="106" t="s">
        <v>82</v>
      </c>
      <c r="B27" s="211">
        <v>6.0</v>
      </c>
      <c r="C27" s="212">
        <v>24.0</v>
      </c>
      <c r="D27" s="45">
        <v>10.0</v>
      </c>
      <c r="E27" s="212">
        <v>6.67</v>
      </c>
      <c r="F27" s="213">
        <f t="shared" si="1"/>
        <v>40.02</v>
      </c>
      <c r="G27" s="212">
        <v>0.17</v>
      </c>
      <c r="H27" s="202">
        <f t="shared" si="2"/>
        <v>1.02</v>
      </c>
      <c r="I27" s="212">
        <v>0.33</v>
      </c>
      <c r="J27" s="243">
        <f t="shared" si="3"/>
        <v>1.98</v>
      </c>
      <c r="K27" s="226">
        <v>0.6</v>
      </c>
    </row>
    <row r="28">
      <c r="A28" s="106" t="s">
        <v>69</v>
      </c>
      <c r="B28" s="211">
        <v>6.0</v>
      </c>
      <c r="C28" s="212">
        <v>24.0</v>
      </c>
      <c r="D28" s="45">
        <v>8.0</v>
      </c>
      <c r="E28" s="212">
        <v>4.67</v>
      </c>
      <c r="F28" s="213">
        <f t="shared" si="1"/>
        <v>28.02</v>
      </c>
      <c r="G28" s="212">
        <v>0.0</v>
      </c>
      <c r="H28" s="202">
        <f t="shared" si="2"/>
        <v>0</v>
      </c>
      <c r="I28" s="212">
        <v>0.33</v>
      </c>
      <c r="J28" s="243">
        <f t="shared" si="3"/>
        <v>1.98</v>
      </c>
      <c r="K28" s="226">
        <v>0.25</v>
      </c>
    </row>
    <row r="29">
      <c r="A29" s="106" t="s">
        <v>44</v>
      </c>
      <c r="B29" s="211">
        <v>6.0</v>
      </c>
      <c r="C29" s="212">
        <v>23.0</v>
      </c>
      <c r="D29" s="45">
        <v>10.0</v>
      </c>
      <c r="E29" s="212">
        <v>2.33</v>
      </c>
      <c r="F29" s="213">
        <f t="shared" si="1"/>
        <v>13.98</v>
      </c>
      <c r="G29" s="212">
        <v>0.33</v>
      </c>
      <c r="H29" s="202">
        <f t="shared" si="2"/>
        <v>1.98</v>
      </c>
      <c r="I29" s="212">
        <v>0.17</v>
      </c>
      <c r="J29" s="243">
        <f t="shared" si="3"/>
        <v>1.02</v>
      </c>
      <c r="K29" s="226">
        <v>0.3</v>
      </c>
    </row>
    <row r="30">
      <c r="A30" s="106" t="s">
        <v>79</v>
      </c>
      <c r="B30" s="211">
        <v>6.0</v>
      </c>
      <c r="C30" s="212">
        <v>24.0</v>
      </c>
      <c r="D30" s="45">
        <v>7.0</v>
      </c>
      <c r="E30" s="212">
        <v>2.0</v>
      </c>
      <c r="F30" s="213">
        <f t="shared" si="1"/>
        <v>12</v>
      </c>
      <c r="G30" s="212">
        <v>0.0</v>
      </c>
      <c r="H30" s="202">
        <f t="shared" si="2"/>
        <v>0</v>
      </c>
      <c r="I30" s="212">
        <v>0.0</v>
      </c>
      <c r="J30" s="243">
        <f t="shared" si="3"/>
        <v>0</v>
      </c>
      <c r="K30" s="226">
        <v>0.429</v>
      </c>
    </row>
    <row r="31">
      <c r="A31" s="106" t="s">
        <v>52</v>
      </c>
      <c r="B31" s="211">
        <v>6.0</v>
      </c>
      <c r="C31" s="212">
        <v>24.0</v>
      </c>
      <c r="D31" s="45">
        <v>4.0</v>
      </c>
      <c r="E31" s="212">
        <v>0.67</v>
      </c>
      <c r="F31" s="213">
        <f t="shared" si="1"/>
        <v>4.02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0.25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93</v>
      </c>
      <c r="B2" s="211">
        <v>6.0</v>
      </c>
      <c r="C2" s="212">
        <v>19.0</v>
      </c>
      <c r="D2" s="45">
        <v>18.0</v>
      </c>
      <c r="E2" s="212">
        <v>34.0</v>
      </c>
      <c r="F2" s="213">
        <f t="shared" ref="F2:F31" si="1">E2*B2</f>
        <v>204</v>
      </c>
      <c r="G2" s="212">
        <v>0.17</v>
      </c>
      <c r="H2" s="202">
        <f t="shared" ref="H2:H31" si="2">G2*B2</f>
        <v>1.02</v>
      </c>
      <c r="I2" s="212">
        <v>2.33</v>
      </c>
      <c r="J2" s="243">
        <f t="shared" ref="J2:J31" si="3">I2*B2</f>
        <v>13.98</v>
      </c>
      <c r="K2" s="226">
        <v>0.944</v>
      </c>
    </row>
    <row r="3">
      <c r="A3" s="106" t="s">
        <v>61</v>
      </c>
      <c r="B3" s="211">
        <v>6.0</v>
      </c>
      <c r="C3" s="212">
        <v>18.0</v>
      </c>
      <c r="D3" s="45">
        <v>16.0</v>
      </c>
      <c r="E3" s="212">
        <v>30.33</v>
      </c>
      <c r="F3" s="213">
        <f t="shared" si="1"/>
        <v>181.98</v>
      </c>
      <c r="G3" s="212">
        <v>0.17</v>
      </c>
      <c r="H3" s="202">
        <f t="shared" si="2"/>
        <v>1.02</v>
      </c>
      <c r="I3" s="212">
        <v>2.17</v>
      </c>
      <c r="J3" s="243">
        <f t="shared" si="3"/>
        <v>13.02</v>
      </c>
      <c r="K3" s="226">
        <v>0.875</v>
      </c>
    </row>
    <row r="4">
      <c r="A4" s="106" t="s">
        <v>54</v>
      </c>
      <c r="B4" s="211">
        <v>6.0</v>
      </c>
      <c r="C4" s="212">
        <v>17.0</v>
      </c>
      <c r="D4" s="45">
        <v>12.0</v>
      </c>
      <c r="E4" s="212">
        <v>28.0</v>
      </c>
      <c r="F4" s="213">
        <f t="shared" si="1"/>
        <v>168</v>
      </c>
      <c r="G4" s="212">
        <v>0.0</v>
      </c>
      <c r="H4" s="202">
        <f t="shared" si="2"/>
        <v>0</v>
      </c>
      <c r="I4" s="212">
        <v>2.0</v>
      </c>
      <c r="J4" s="243">
        <f t="shared" si="3"/>
        <v>12</v>
      </c>
      <c r="K4" s="226">
        <v>1.0</v>
      </c>
    </row>
    <row r="5">
      <c r="A5" s="106" t="s">
        <v>81</v>
      </c>
      <c r="B5" s="211">
        <v>6.0</v>
      </c>
      <c r="C5" s="212">
        <v>18.0</v>
      </c>
      <c r="D5" s="45">
        <v>14.0</v>
      </c>
      <c r="E5" s="212">
        <v>27.33</v>
      </c>
      <c r="F5" s="213">
        <f t="shared" si="1"/>
        <v>163.98</v>
      </c>
      <c r="G5" s="212">
        <v>0.17</v>
      </c>
      <c r="H5" s="202">
        <f t="shared" si="2"/>
        <v>1.02</v>
      </c>
      <c r="I5" s="212">
        <v>2.0</v>
      </c>
      <c r="J5" s="243">
        <f t="shared" si="3"/>
        <v>12</v>
      </c>
      <c r="K5" s="226">
        <v>0.857</v>
      </c>
    </row>
    <row r="6">
      <c r="A6" s="106" t="s">
        <v>63</v>
      </c>
      <c r="B6" s="211">
        <v>6.0</v>
      </c>
      <c r="C6" s="212">
        <v>18.0</v>
      </c>
      <c r="D6" s="45">
        <v>15.0</v>
      </c>
      <c r="E6" s="212">
        <v>24.0</v>
      </c>
      <c r="F6" s="213">
        <f t="shared" si="1"/>
        <v>144</v>
      </c>
      <c r="G6" s="212">
        <v>0.33</v>
      </c>
      <c r="H6" s="202">
        <f t="shared" si="2"/>
        <v>1.98</v>
      </c>
      <c r="I6" s="212">
        <v>1.67</v>
      </c>
      <c r="J6" s="243">
        <f t="shared" si="3"/>
        <v>10.02</v>
      </c>
      <c r="K6" s="226">
        <v>0.867</v>
      </c>
    </row>
    <row r="7">
      <c r="A7" s="106" t="s">
        <v>88</v>
      </c>
      <c r="B7" s="211">
        <v>6.0</v>
      </c>
      <c r="C7" s="212">
        <v>18.0</v>
      </c>
      <c r="D7" s="45">
        <v>14.0</v>
      </c>
      <c r="E7" s="212">
        <v>22.67</v>
      </c>
      <c r="F7" s="213">
        <f t="shared" si="1"/>
        <v>136.02</v>
      </c>
      <c r="G7" s="212">
        <v>0.33</v>
      </c>
      <c r="H7" s="202">
        <f t="shared" si="2"/>
        <v>1.98</v>
      </c>
      <c r="I7" s="212">
        <v>1.67</v>
      </c>
      <c r="J7" s="243">
        <f t="shared" si="3"/>
        <v>10.02</v>
      </c>
      <c r="K7" s="226">
        <v>0.786</v>
      </c>
    </row>
    <row r="8">
      <c r="A8" s="106" t="s">
        <v>91</v>
      </c>
      <c r="B8" s="211">
        <v>6.0</v>
      </c>
      <c r="C8" s="212">
        <v>18.0</v>
      </c>
      <c r="D8" s="45">
        <v>15.0</v>
      </c>
      <c r="E8" s="212">
        <v>22.67</v>
      </c>
      <c r="F8" s="213">
        <f t="shared" si="1"/>
        <v>136.02</v>
      </c>
      <c r="G8" s="212">
        <v>0.33</v>
      </c>
      <c r="H8" s="202">
        <f t="shared" si="2"/>
        <v>1.98</v>
      </c>
      <c r="I8" s="212">
        <v>1.67</v>
      </c>
      <c r="J8" s="243">
        <f t="shared" si="3"/>
        <v>10.02</v>
      </c>
      <c r="K8" s="226">
        <v>0.733</v>
      </c>
    </row>
    <row r="9">
      <c r="A9" s="106" t="s">
        <v>50</v>
      </c>
      <c r="B9" s="211">
        <v>6.0</v>
      </c>
      <c r="C9" s="212">
        <v>18.0</v>
      </c>
      <c r="D9" s="45">
        <v>11.0</v>
      </c>
      <c r="E9" s="212">
        <v>21.0</v>
      </c>
      <c r="F9" s="213">
        <f t="shared" si="1"/>
        <v>126</v>
      </c>
      <c r="G9" s="212">
        <v>0.17</v>
      </c>
      <c r="H9" s="202">
        <f t="shared" si="2"/>
        <v>1.02</v>
      </c>
      <c r="I9" s="212">
        <v>1.5</v>
      </c>
      <c r="J9" s="243">
        <f t="shared" si="3"/>
        <v>9</v>
      </c>
      <c r="K9" s="226">
        <v>0.909</v>
      </c>
    </row>
    <row r="10">
      <c r="A10" s="106" t="s">
        <v>106</v>
      </c>
      <c r="B10" s="211">
        <v>6.0</v>
      </c>
      <c r="C10" s="212">
        <v>18.0</v>
      </c>
      <c r="D10" s="45">
        <v>13.0</v>
      </c>
      <c r="E10" s="212">
        <v>21.0</v>
      </c>
      <c r="F10" s="213">
        <f t="shared" si="1"/>
        <v>126</v>
      </c>
      <c r="G10" s="212">
        <v>0.33</v>
      </c>
      <c r="H10" s="202">
        <f t="shared" si="2"/>
        <v>1.98</v>
      </c>
      <c r="I10" s="212">
        <v>1.5</v>
      </c>
      <c r="J10" s="243">
        <f t="shared" si="3"/>
        <v>9</v>
      </c>
      <c r="K10" s="226">
        <v>0.846</v>
      </c>
    </row>
    <row r="11">
      <c r="A11" s="106" t="s">
        <v>56</v>
      </c>
      <c r="B11" s="211">
        <v>6.0</v>
      </c>
      <c r="C11" s="212">
        <v>18.0</v>
      </c>
      <c r="D11" s="45">
        <v>15.0</v>
      </c>
      <c r="E11" s="212">
        <v>20.33</v>
      </c>
      <c r="F11" s="213">
        <f t="shared" si="1"/>
        <v>121.98</v>
      </c>
      <c r="G11" s="212">
        <v>0.5</v>
      </c>
      <c r="H11" s="202">
        <f t="shared" si="2"/>
        <v>3</v>
      </c>
      <c r="I11" s="212">
        <v>1.5</v>
      </c>
      <c r="J11" s="243">
        <f t="shared" si="3"/>
        <v>9</v>
      </c>
      <c r="K11" s="226">
        <v>0.733</v>
      </c>
    </row>
    <row r="12">
      <c r="A12" s="106" t="s">
        <v>57</v>
      </c>
      <c r="B12" s="211">
        <v>6.0</v>
      </c>
      <c r="C12" s="212">
        <v>18.0</v>
      </c>
      <c r="D12" s="45">
        <v>14.0</v>
      </c>
      <c r="E12" s="212">
        <v>20.0</v>
      </c>
      <c r="F12" s="213">
        <f t="shared" si="1"/>
        <v>120</v>
      </c>
      <c r="G12" s="212">
        <v>0.33</v>
      </c>
      <c r="H12" s="202">
        <f t="shared" si="2"/>
        <v>1.98</v>
      </c>
      <c r="I12" s="212">
        <v>1.33</v>
      </c>
      <c r="J12" s="243">
        <f t="shared" si="3"/>
        <v>7.98</v>
      </c>
      <c r="K12" s="226">
        <v>0.857</v>
      </c>
    </row>
    <row r="13">
      <c r="A13" s="106" t="s">
        <v>65</v>
      </c>
      <c r="B13" s="211">
        <v>6.0</v>
      </c>
      <c r="C13" s="212">
        <v>18.0</v>
      </c>
      <c r="D13" s="45">
        <v>11.0</v>
      </c>
      <c r="E13" s="212">
        <v>18.67</v>
      </c>
      <c r="F13" s="213">
        <f t="shared" si="1"/>
        <v>112.02</v>
      </c>
      <c r="G13" s="212">
        <v>0.17</v>
      </c>
      <c r="H13" s="202">
        <f t="shared" si="2"/>
        <v>1.02</v>
      </c>
      <c r="I13" s="212">
        <v>1.33</v>
      </c>
      <c r="J13" s="243">
        <f t="shared" si="3"/>
        <v>7.98</v>
      </c>
      <c r="K13" s="226">
        <v>0.818</v>
      </c>
    </row>
    <row r="14">
      <c r="A14" s="106" t="s">
        <v>60</v>
      </c>
      <c r="B14" s="211">
        <v>6.0</v>
      </c>
      <c r="C14" s="212">
        <v>17.0</v>
      </c>
      <c r="D14" s="45">
        <v>12.0</v>
      </c>
      <c r="E14" s="212">
        <v>18.33</v>
      </c>
      <c r="F14" s="213">
        <f t="shared" si="1"/>
        <v>109.98</v>
      </c>
      <c r="G14" s="212">
        <v>0.17</v>
      </c>
      <c r="H14" s="202">
        <f t="shared" si="2"/>
        <v>1.02</v>
      </c>
      <c r="I14" s="212">
        <v>1.17</v>
      </c>
      <c r="J14" s="243">
        <f t="shared" si="3"/>
        <v>7.02</v>
      </c>
      <c r="K14" s="226">
        <v>0.917</v>
      </c>
    </row>
    <row r="15">
      <c r="A15" s="106" t="s">
        <v>64</v>
      </c>
      <c r="B15" s="211">
        <v>6.0</v>
      </c>
      <c r="C15" s="212">
        <v>18.0</v>
      </c>
      <c r="D15" s="45">
        <v>13.0</v>
      </c>
      <c r="E15" s="212">
        <v>17.33</v>
      </c>
      <c r="F15" s="213">
        <f t="shared" si="1"/>
        <v>103.98</v>
      </c>
      <c r="G15" s="212">
        <v>0.33</v>
      </c>
      <c r="H15" s="202">
        <f t="shared" si="2"/>
        <v>1.98</v>
      </c>
      <c r="I15" s="212">
        <v>1.33</v>
      </c>
      <c r="J15" s="243">
        <f t="shared" si="3"/>
        <v>7.98</v>
      </c>
      <c r="K15" s="226">
        <v>0.615</v>
      </c>
    </row>
    <row r="16">
      <c r="A16" s="106" t="s">
        <v>67</v>
      </c>
      <c r="B16" s="211">
        <v>6.0</v>
      </c>
      <c r="C16" s="212">
        <v>18.0</v>
      </c>
      <c r="D16" s="45">
        <v>11.0</v>
      </c>
      <c r="E16" s="212">
        <v>17.0</v>
      </c>
      <c r="F16" s="213">
        <f t="shared" si="1"/>
        <v>102</v>
      </c>
      <c r="G16" s="212">
        <v>0.17</v>
      </c>
      <c r="H16" s="202">
        <f t="shared" si="2"/>
        <v>1.02</v>
      </c>
      <c r="I16" s="212">
        <v>1.17</v>
      </c>
      <c r="J16" s="243">
        <f t="shared" si="3"/>
        <v>7.02</v>
      </c>
      <c r="K16" s="226">
        <v>0.818</v>
      </c>
    </row>
    <row r="17">
      <c r="A17" s="106" t="s">
        <v>94</v>
      </c>
      <c r="B17" s="211">
        <v>6.0</v>
      </c>
      <c r="C17" s="212">
        <v>19.0</v>
      </c>
      <c r="D17" s="45">
        <v>12.0</v>
      </c>
      <c r="E17" s="212">
        <v>15.0</v>
      </c>
      <c r="F17" s="213">
        <f t="shared" si="1"/>
        <v>90</v>
      </c>
      <c r="G17" s="212">
        <v>0.33</v>
      </c>
      <c r="H17" s="202">
        <f t="shared" si="2"/>
        <v>1.98</v>
      </c>
      <c r="I17" s="212">
        <v>1.17</v>
      </c>
      <c r="J17" s="243">
        <f t="shared" si="3"/>
        <v>7.02</v>
      </c>
      <c r="K17" s="226">
        <v>0.583</v>
      </c>
    </row>
    <row r="18">
      <c r="A18" s="106" t="s">
        <v>99</v>
      </c>
      <c r="B18" s="211">
        <v>6.0</v>
      </c>
      <c r="C18" s="212">
        <v>18.0</v>
      </c>
      <c r="D18" s="45">
        <v>12.0</v>
      </c>
      <c r="E18" s="212">
        <v>15.0</v>
      </c>
      <c r="F18" s="213">
        <f t="shared" si="1"/>
        <v>90</v>
      </c>
      <c r="G18" s="212">
        <v>0.33</v>
      </c>
      <c r="H18" s="202">
        <f t="shared" si="2"/>
        <v>1.98</v>
      </c>
      <c r="I18" s="212">
        <v>1.17</v>
      </c>
      <c r="J18" s="243">
        <f t="shared" si="3"/>
        <v>7.02</v>
      </c>
      <c r="K18" s="226">
        <v>0.583</v>
      </c>
    </row>
    <row r="19">
      <c r="A19" s="106" t="s">
        <v>42</v>
      </c>
      <c r="B19" s="211">
        <v>6.0</v>
      </c>
      <c r="C19" s="212">
        <v>18.0</v>
      </c>
      <c r="D19" s="45">
        <v>10.0</v>
      </c>
      <c r="E19" s="212">
        <v>14.67</v>
      </c>
      <c r="F19" s="213">
        <f t="shared" si="1"/>
        <v>88.02</v>
      </c>
      <c r="G19" s="212">
        <v>0.17</v>
      </c>
      <c r="H19" s="202">
        <f t="shared" si="2"/>
        <v>1.02</v>
      </c>
      <c r="I19" s="212">
        <v>1.0</v>
      </c>
      <c r="J19" s="243">
        <f t="shared" si="3"/>
        <v>6</v>
      </c>
      <c r="K19" s="226">
        <v>0.8</v>
      </c>
    </row>
    <row r="20">
      <c r="A20" s="106" t="s">
        <v>40</v>
      </c>
      <c r="B20" s="211">
        <v>6.0</v>
      </c>
      <c r="C20" s="212">
        <v>18.0</v>
      </c>
      <c r="D20" s="45">
        <v>7.0</v>
      </c>
      <c r="E20" s="212">
        <v>12.33</v>
      </c>
      <c r="F20" s="213">
        <f t="shared" si="1"/>
        <v>73.98</v>
      </c>
      <c r="G20" s="212">
        <v>0.0</v>
      </c>
      <c r="H20" s="202">
        <f t="shared" si="2"/>
        <v>0</v>
      </c>
      <c r="I20" s="212">
        <v>0.83</v>
      </c>
      <c r="J20" s="243">
        <f t="shared" si="3"/>
        <v>4.98</v>
      </c>
      <c r="K20" s="226">
        <v>0.857</v>
      </c>
    </row>
    <row r="21">
      <c r="A21" s="106" t="s">
        <v>89</v>
      </c>
      <c r="B21" s="211">
        <v>6.0</v>
      </c>
      <c r="C21" s="212">
        <v>18.0</v>
      </c>
      <c r="D21" s="45">
        <v>9.0</v>
      </c>
      <c r="E21" s="212">
        <v>12.33</v>
      </c>
      <c r="F21" s="213">
        <f t="shared" si="1"/>
        <v>73.98</v>
      </c>
      <c r="G21" s="212">
        <v>0.17</v>
      </c>
      <c r="H21" s="202">
        <f t="shared" si="2"/>
        <v>1.02</v>
      </c>
      <c r="I21" s="212">
        <v>0.83</v>
      </c>
      <c r="J21" s="243">
        <f t="shared" si="3"/>
        <v>4.98</v>
      </c>
      <c r="K21" s="226">
        <v>0.778</v>
      </c>
    </row>
    <row r="22">
      <c r="A22" s="106" t="s">
        <v>78</v>
      </c>
      <c r="B22" s="211">
        <v>6.0</v>
      </c>
      <c r="C22" s="212">
        <v>18.0</v>
      </c>
      <c r="D22" s="45">
        <v>8.0</v>
      </c>
      <c r="E22" s="212">
        <v>10.67</v>
      </c>
      <c r="F22" s="213">
        <f t="shared" si="1"/>
        <v>64.02</v>
      </c>
      <c r="G22" s="212">
        <v>0.0</v>
      </c>
      <c r="H22" s="202">
        <f t="shared" si="2"/>
        <v>0</v>
      </c>
      <c r="I22" s="212">
        <v>0.67</v>
      </c>
      <c r="J22" s="243">
        <f t="shared" si="3"/>
        <v>4.02</v>
      </c>
      <c r="K22" s="226">
        <v>0.75</v>
      </c>
    </row>
    <row r="23">
      <c r="A23" s="106" t="s">
        <v>75</v>
      </c>
      <c r="B23" s="211">
        <v>6.0</v>
      </c>
      <c r="C23" s="212">
        <v>18.0</v>
      </c>
      <c r="D23" s="45">
        <v>9.0</v>
      </c>
      <c r="E23" s="212">
        <v>10.33</v>
      </c>
      <c r="F23" s="213">
        <f t="shared" si="1"/>
        <v>61.98</v>
      </c>
      <c r="G23" s="212">
        <v>0.5</v>
      </c>
      <c r="H23" s="202">
        <f t="shared" si="2"/>
        <v>3</v>
      </c>
      <c r="I23" s="212">
        <v>0.83</v>
      </c>
      <c r="J23" s="243">
        <f t="shared" si="3"/>
        <v>4.98</v>
      </c>
      <c r="K23" s="226">
        <v>0.667</v>
      </c>
    </row>
    <row r="24">
      <c r="A24" s="106" t="s">
        <v>74</v>
      </c>
      <c r="B24" s="211">
        <v>6.0</v>
      </c>
      <c r="C24" s="212">
        <v>18.0</v>
      </c>
      <c r="D24" s="45">
        <v>11.0</v>
      </c>
      <c r="E24" s="212">
        <v>9.33</v>
      </c>
      <c r="F24" s="213">
        <f t="shared" si="1"/>
        <v>55.98</v>
      </c>
      <c r="G24" s="212">
        <v>0.5</v>
      </c>
      <c r="H24" s="202">
        <f t="shared" si="2"/>
        <v>3</v>
      </c>
      <c r="I24" s="212">
        <v>0.67</v>
      </c>
      <c r="J24" s="243">
        <f t="shared" si="3"/>
        <v>4.02</v>
      </c>
      <c r="K24" s="226">
        <v>0.636</v>
      </c>
    </row>
    <row r="25">
      <c r="A25" s="106" t="s">
        <v>52</v>
      </c>
      <c r="B25" s="211">
        <v>6.0</v>
      </c>
      <c r="C25" s="212">
        <v>17.0</v>
      </c>
      <c r="D25" s="45">
        <v>6.0</v>
      </c>
      <c r="E25" s="212">
        <v>9.0</v>
      </c>
      <c r="F25" s="213">
        <f t="shared" si="1"/>
        <v>54</v>
      </c>
      <c r="G25" s="212">
        <v>0.0</v>
      </c>
      <c r="H25" s="202">
        <f t="shared" si="2"/>
        <v>0</v>
      </c>
      <c r="I25" s="212">
        <v>0.5</v>
      </c>
      <c r="J25" s="243">
        <f t="shared" si="3"/>
        <v>3</v>
      </c>
      <c r="K25" s="226">
        <v>1.0</v>
      </c>
    </row>
    <row r="26">
      <c r="A26" s="106" t="s">
        <v>82</v>
      </c>
      <c r="B26" s="211">
        <v>6.0</v>
      </c>
      <c r="C26" s="212">
        <v>17.0</v>
      </c>
      <c r="D26" s="45">
        <v>9.0</v>
      </c>
      <c r="E26" s="212">
        <v>7.0</v>
      </c>
      <c r="F26" s="213">
        <f t="shared" si="1"/>
        <v>42</v>
      </c>
      <c r="G26" s="212">
        <v>0.33</v>
      </c>
      <c r="H26" s="202">
        <f t="shared" si="2"/>
        <v>1.98</v>
      </c>
      <c r="I26" s="212">
        <v>0.5</v>
      </c>
      <c r="J26" s="243">
        <f t="shared" si="3"/>
        <v>3</v>
      </c>
      <c r="K26" s="226">
        <v>0.556</v>
      </c>
    </row>
    <row r="27">
      <c r="A27" s="106" t="s">
        <v>58</v>
      </c>
      <c r="B27" s="211">
        <v>6.0</v>
      </c>
      <c r="C27" s="212">
        <v>18.0</v>
      </c>
      <c r="D27" s="45">
        <v>9.0</v>
      </c>
      <c r="E27" s="212">
        <v>6.67</v>
      </c>
      <c r="F27" s="213">
        <f t="shared" si="1"/>
        <v>40.02</v>
      </c>
      <c r="G27" s="212">
        <v>0.67</v>
      </c>
      <c r="H27" s="202">
        <f t="shared" si="2"/>
        <v>4.02</v>
      </c>
      <c r="I27" s="212">
        <v>0.67</v>
      </c>
      <c r="J27" s="243">
        <f t="shared" si="3"/>
        <v>4.02</v>
      </c>
      <c r="K27" s="226">
        <v>0.444</v>
      </c>
    </row>
    <row r="28">
      <c r="A28" s="106" t="s">
        <v>44</v>
      </c>
      <c r="B28" s="211">
        <v>6.0</v>
      </c>
      <c r="C28" s="212">
        <v>18.0</v>
      </c>
      <c r="D28" s="45">
        <v>7.0</v>
      </c>
      <c r="E28" s="212">
        <v>4.0</v>
      </c>
      <c r="F28" s="213">
        <f t="shared" si="1"/>
        <v>24</v>
      </c>
      <c r="G28" s="212">
        <v>0.33</v>
      </c>
      <c r="H28" s="202">
        <f t="shared" si="2"/>
        <v>1.98</v>
      </c>
      <c r="I28" s="212">
        <v>0.33</v>
      </c>
      <c r="J28" s="243">
        <f t="shared" si="3"/>
        <v>1.98</v>
      </c>
      <c r="K28" s="226">
        <v>0.429</v>
      </c>
    </row>
    <row r="29">
      <c r="A29" s="106" t="s">
        <v>79</v>
      </c>
      <c r="B29" s="211">
        <v>6.0</v>
      </c>
      <c r="C29" s="212">
        <v>18.0</v>
      </c>
      <c r="D29" s="45">
        <v>8.0</v>
      </c>
      <c r="E29" s="212">
        <v>3.67</v>
      </c>
      <c r="F29" s="213">
        <f t="shared" si="1"/>
        <v>22.02</v>
      </c>
      <c r="G29" s="212">
        <v>0.17</v>
      </c>
      <c r="H29" s="202">
        <f t="shared" si="2"/>
        <v>1.02</v>
      </c>
      <c r="I29" s="212">
        <v>0.17</v>
      </c>
      <c r="J29" s="243">
        <f t="shared" si="3"/>
        <v>1.02</v>
      </c>
      <c r="K29" s="226">
        <v>0.5</v>
      </c>
    </row>
    <row r="30">
      <c r="A30" s="106" t="s">
        <v>92</v>
      </c>
      <c r="B30" s="211">
        <v>6.0</v>
      </c>
      <c r="C30" s="212">
        <v>18.0</v>
      </c>
      <c r="D30" s="45">
        <v>5.0</v>
      </c>
      <c r="E30" s="212">
        <v>3.33</v>
      </c>
      <c r="F30" s="213">
        <f t="shared" si="1"/>
        <v>19.98</v>
      </c>
      <c r="G30" s="212">
        <v>0.33</v>
      </c>
      <c r="H30" s="202">
        <f t="shared" si="2"/>
        <v>1.98</v>
      </c>
      <c r="I30" s="212">
        <v>0.33</v>
      </c>
      <c r="J30" s="243">
        <f t="shared" si="3"/>
        <v>1.98</v>
      </c>
      <c r="K30" s="226">
        <v>0.4</v>
      </c>
    </row>
    <row r="31">
      <c r="A31" s="106" t="s">
        <v>69</v>
      </c>
      <c r="B31" s="211">
        <v>6.0</v>
      </c>
      <c r="C31" s="212">
        <v>18.0</v>
      </c>
      <c r="D31" s="45">
        <v>4.0</v>
      </c>
      <c r="E31" s="212">
        <v>2.33</v>
      </c>
      <c r="F31" s="213">
        <f t="shared" si="1"/>
        <v>13.98</v>
      </c>
      <c r="G31" s="212">
        <v>0.17</v>
      </c>
      <c r="H31" s="202">
        <f t="shared" si="2"/>
        <v>1.02</v>
      </c>
      <c r="I31" s="212">
        <v>0.17</v>
      </c>
      <c r="J31" s="243">
        <f t="shared" si="3"/>
        <v>1.02</v>
      </c>
      <c r="K31" s="226">
        <v>0.5</v>
      </c>
    </row>
    <row r="32">
      <c r="A32" s="246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6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6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61</v>
      </c>
      <c r="B2" s="211">
        <v>6.0</v>
      </c>
      <c r="C2" s="212">
        <v>24.0</v>
      </c>
      <c r="D2" s="45">
        <v>22.0</v>
      </c>
      <c r="E2" s="212">
        <v>40.0</v>
      </c>
      <c r="F2" s="213">
        <f t="shared" ref="F2:F31" si="1">E2*B2</f>
        <v>240</v>
      </c>
      <c r="G2" s="212">
        <v>0.5</v>
      </c>
      <c r="H2" s="202">
        <f t="shared" ref="H2:H31" si="2">G2*B2</f>
        <v>3</v>
      </c>
      <c r="I2" s="212">
        <v>3.0</v>
      </c>
      <c r="J2" s="243">
        <f t="shared" ref="J2:J31" si="3">I2*B2</f>
        <v>18</v>
      </c>
      <c r="K2" s="226">
        <v>0.818</v>
      </c>
    </row>
    <row r="3">
      <c r="A3" s="106" t="s">
        <v>106</v>
      </c>
      <c r="B3" s="211">
        <v>6.0</v>
      </c>
      <c r="C3" s="212">
        <v>24.0</v>
      </c>
      <c r="D3" s="45">
        <v>21.0</v>
      </c>
      <c r="E3" s="212">
        <v>38.33</v>
      </c>
      <c r="F3" s="213">
        <f t="shared" si="1"/>
        <v>229.98</v>
      </c>
      <c r="G3" s="212">
        <v>0.5</v>
      </c>
      <c r="H3" s="202">
        <f t="shared" si="2"/>
        <v>3</v>
      </c>
      <c r="I3" s="212">
        <v>2.83</v>
      </c>
      <c r="J3" s="243">
        <f t="shared" si="3"/>
        <v>16.98</v>
      </c>
      <c r="K3" s="226">
        <v>0.857</v>
      </c>
    </row>
    <row r="4">
      <c r="A4" s="106" t="s">
        <v>88</v>
      </c>
      <c r="B4" s="211">
        <v>6.0</v>
      </c>
      <c r="C4" s="212">
        <v>24.0</v>
      </c>
      <c r="D4" s="45">
        <v>22.0</v>
      </c>
      <c r="E4" s="212">
        <v>33.0</v>
      </c>
      <c r="F4" s="213">
        <f t="shared" si="1"/>
        <v>198</v>
      </c>
      <c r="G4" s="212">
        <v>0.67</v>
      </c>
      <c r="H4" s="202">
        <f t="shared" si="2"/>
        <v>4.02</v>
      </c>
      <c r="I4" s="212">
        <v>2.5</v>
      </c>
      <c r="J4" s="243">
        <f t="shared" si="3"/>
        <v>15</v>
      </c>
      <c r="K4" s="226">
        <v>0.727</v>
      </c>
    </row>
    <row r="5">
      <c r="A5" s="106" t="s">
        <v>94</v>
      </c>
      <c r="B5" s="211">
        <v>6.0</v>
      </c>
      <c r="C5" s="212">
        <v>24.0</v>
      </c>
      <c r="D5" s="45">
        <v>20.0</v>
      </c>
      <c r="E5" s="212">
        <v>32.67</v>
      </c>
      <c r="F5" s="213">
        <f t="shared" si="1"/>
        <v>196.02</v>
      </c>
      <c r="G5" s="212">
        <v>0.33</v>
      </c>
      <c r="H5" s="202">
        <f t="shared" si="2"/>
        <v>1.98</v>
      </c>
      <c r="I5" s="212">
        <v>2.33</v>
      </c>
      <c r="J5" s="243">
        <f t="shared" si="3"/>
        <v>13.98</v>
      </c>
      <c r="K5" s="226">
        <v>0.8</v>
      </c>
    </row>
    <row r="6">
      <c r="A6" s="106" t="s">
        <v>57</v>
      </c>
      <c r="B6" s="211">
        <v>6.0</v>
      </c>
      <c r="C6" s="212">
        <v>24.0</v>
      </c>
      <c r="D6" s="45">
        <v>21.0</v>
      </c>
      <c r="E6" s="212">
        <v>31.0</v>
      </c>
      <c r="F6" s="213">
        <f t="shared" si="1"/>
        <v>186</v>
      </c>
      <c r="G6" s="212">
        <v>0.33</v>
      </c>
      <c r="H6" s="202">
        <f t="shared" si="2"/>
        <v>1.98</v>
      </c>
      <c r="I6" s="212">
        <v>2.17</v>
      </c>
      <c r="J6" s="243">
        <f t="shared" si="3"/>
        <v>13.02</v>
      </c>
      <c r="K6" s="226">
        <v>0.762</v>
      </c>
    </row>
    <row r="7">
      <c r="A7" s="106" t="s">
        <v>58</v>
      </c>
      <c r="B7" s="211">
        <v>6.0</v>
      </c>
      <c r="C7" s="212">
        <v>24.0</v>
      </c>
      <c r="D7" s="45">
        <v>21.0</v>
      </c>
      <c r="E7" s="212">
        <v>28.67</v>
      </c>
      <c r="F7" s="213">
        <f t="shared" si="1"/>
        <v>172.02</v>
      </c>
      <c r="G7" s="212">
        <v>1.0</v>
      </c>
      <c r="H7" s="202">
        <f t="shared" si="2"/>
        <v>6</v>
      </c>
      <c r="I7" s="212">
        <v>2.33</v>
      </c>
      <c r="J7" s="243">
        <f t="shared" si="3"/>
        <v>13.98</v>
      </c>
      <c r="K7" s="226">
        <v>0.667</v>
      </c>
    </row>
    <row r="8">
      <c r="A8" s="106" t="s">
        <v>63</v>
      </c>
      <c r="B8" s="211">
        <v>6.0</v>
      </c>
      <c r="C8" s="212">
        <v>24.0</v>
      </c>
      <c r="D8" s="45">
        <v>22.0</v>
      </c>
      <c r="E8" s="212">
        <v>26.33</v>
      </c>
      <c r="F8" s="213">
        <f t="shared" si="1"/>
        <v>157.98</v>
      </c>
      <c r="G8" s="212">
        <v>1.17</v>
      </c>
      <c r="H8" s="202">
        <f t="shared" si="2"/>
        <v>7.02</v>
      </c>
      <c r="I8" s="212">
        <v>2.17</v>
      </c>
      <c r="J8" s="243">
        <f t="shared" si="3"/>
        <v>13.02</v>
      </c>
      <c r="K8" s="226">
        <v>0.636</v>
      </c>
    </row>
    <row r="9">
      <c r="A9" s="106" t="s">
        <v>40</v>
      </c>
      <c r="B9" s="211">
        <v>6.0</v>
      </c>
      <c r="C9" s="212">
        <v>24.0</v>
      </c>
      <c r="D9" s="45">
        <v>15.0</v>
      </c>
      <c r="E9" s="212">
        <v>23.67</v>
      </c>
      <c r="F9" s="213">
        <f t="shared" si="1"/>
        <v>142.02</v>
      </c>
      <c r="G9" s="212">
        <v>0.0</v>
      </c>
      <c r="H9" s="202">
        <f t="shared" si="2"/>
        <v>0</v>
      </c>
      <c r="I9" s="212">
        <v>1.5</v>
      </c>
      <c r="J9" s="243">
        <f t="shared" si="3"/>
        <v>9</v>
      </c>
      <c r="K9" s="226">
        <v>0.867</v>
      </c>
    </row>
    <row r="10">
      <c r="A10" s="106" t="s">
        <v>92</v>
      </c>
      <c r="B10" s="211">
        <v>6.0</v>
      </c>
      <c r="C10" s="212">
        <v>24.0</v>
      </c>
      <c r="D10" s="45">
        <v>18.0</v>
      </c>
      <c r="E10" s="212">
        <v>23.33</v>
      </c>
      <c r="F10" s="213">
        <f t="shared" si="1"/>
        <v>139.98</v>
      </c>
      <c r="G10" s="212">
        <v>0.5</v>
      </c>
      <c r="H10" s="202">
        <f t="shared" si="2"/>
        <v>3</v>
      </c>
      <c r="I10" s="212">
        <v>1.67</v>
      </c>
      <c r="J10" s="243">
        <f t="shared" si="3"/>
        <v>10.02</v>
      </c>
      <c r="K10" s="226">
        <v>0.722</v>
      </c>
    </row>
    <row r="11">
      <c r="A11" s="106" t="s">
        <v>93</v>
      </c>
      <c r="B11" s="211">
        <v>6.0</v>
      </c>
      <c r="C11" s="212">
        <v>25.0</v>
      </c>
      <c r="D11" s="45">
        <v>20.0</v>
      </c>
      <c r="E11" s="212">
        <v>22.67</v>
      </c>
      <c r="F11" s="213">
        <f t="shared" si="1"/>
        <v>136.02</v>
      </c>
      <c r="G11" s="212">
        <v>0.33</v>
      </c>
      <c r="H11" s="202">
        <f t="shared" si="2"/>
        <v>1.98</v>
      </c>
      <c r="I11" s="212">
        <v>1.67</v>
      </c>
      <c r="J11" s="243">
        <f t="shared" si="3"/>
        <v>10.02</v>
      </c>
      <c r="K11" s="226">
        <v>0.55</v>
      </c>
    </row>
    <row r="12">
      <c r="A12" s="106" t="s">
        <v>56</v>
      </c>
      <c r="B12" s="211">
        <v>6.0</v>
      </c>
      <c r="C12" s="212">
        <v>24.0</v>
      </c>
      <c r="D12" s="45">
        <v>21.0</v>
      </c>
      <c r="E12" s="212">
        <v>22.0</v>
      </c>
      <c r="F12" s="213">
        <f t="shared" si="1"/>
        <v>132</v>
      </c>
      <c r="G12" s="212">
        <v>0.83</v>
      </c>
      <c r="H12" s="202">
        <f t="shared" si="2"/>
        <v>4.98</v>
      </c>
      <c r="I12" s="212">
        <v>1.67</v>
      </c>
      <c r="J12" s="243">
        <f t="shared" si="3"/>
        <v>10.02</v>
      </c>
      <c r="K12" s="226">
        <v>0.619</v>
      </c>
    </row>
    <row r="13">
      <c r="A13" s="106" t="s">
        <v>54</v>
      </c>
      <c r="B13" s="211">
        <v>6.0</v>
      </c>
      <c r="C13" s="212">
        <v>23.0</v>
      </c>
      <c r="D13" s="45">
        <v>15.0</v>
      </c>
      <c r="E13" s="212">
        <v>22.0</v>
      </c>
      <c r="F13" s="213">
        <f t="shared" si="1"/>
        <v>132</v>
      </c>
      <c r="G13" s="212">
        <v>0.33</v>
      </c>
      <c r="H13" s="202">
        <f t="shared" si="2"/>
        <v>1.98</v>
      </c>
      <c r="I13" s="212">
        <v>1.67</v>
      </c>
      <c r="J13" s="243">
        <f t="shared" si="3"/>
        <v>10.02</v>
      </c>
      <c r="K13" s="226">
        <v>0.667</v>
      </c>
    </row>
    <row r="14">
      <c r="A14" s="106" t="s">
        <v>89</v>
      </c>
      <c r="B14" s="211">
        <v>6.0</v>
      </c>
      <c r="C14" s="212">
        <v>24.0</v>
      </c>
      <c r="D14" s="45">
        <v>18.0</v>
      </c>
      <c r="E14" s="212">
        <v>21.33</v>
      </c>
      <c r="F14" s="213">
        <f t="shared" si="1"/>
        <v>127.98</v>
      </c>
      <c r="G14" s="212">
        <v>0.83</v>
      </c>
      <c r="H14" s="202">
        <f t="shared" si="2"/>
        <v>4.98</v>
      </c>
      <c r="I14" s="212">
        <v>1.67</v>
      </c>
      <c r="J14" s="243">
        <f t="shared" si="3"/>
        <v>10.02</v>
      </c>
      <c r="K14" s="226">
        <v>0.667</v>
      </c>
    </row>
    <row r="15">
      <c r="A15" s="106" t="s">
        <v>81</v>
      </c>
      <c r="B15" s="211">
        <v>6.0</v>
      </c>
      <c r="C15" s="212">
        <v>24.0</v>
      </c>
      <c r="D15" s="45">
        <v>13.0</v>
      </c>
      <c r="E15" s="212">
        <v>21.0</v>
      </c>
      <c r="F15" s="213">
        <f t="shared" si="1"/>
        <v>126</v>
      </c>
      <c r="G15" s="212">
        <v>0.33</v>
      </c>
      <c r="H15" s="202">
        <f t="shared" si="2"/>
        <v>1.98</v>
      </c>
      <c r="I15" s="212">
        <v>1.5</v>
      </c>
      <c r="J15" s="243">
        <f t="shared" si="3"/>
        <v>9</v>
      </c>
      <c r="K15" s="226">
        <v>0.846</v>
      </c>
    </row>
    <row r="16">
      <c r="A16" s="106" t="s">
        <v>64</v>
      </c>
      <c r="B16" s="211">
        <v>6.0</v>
      </c>
      <c r="C16" s="212">
        <v>24.0</v>
      </c>
      <c r="D16" s="45">
        <v>17.0</v>
      </c>
      <c r="E16" s="212">
        <v>19.0</v>
      </c>
      <c r="F16" s="213">
        <f t="shared" si="1"/>
        <v>114</v>
      </c>
      <c r="G16" s="212">
        <v>0.33</v>
      </c>
      <c r="H16" s="202">
        <f t="shared" si="2"/>
        <v>1.98</v>
      </c>
      <c r="I16" s="212">
        <v>1.17</v>
      </c>
      <c r="J16" s="243">
        <f t="shared" si="3"/>
        <v>7.02</v>
      </c>
      <c r="K16" s="226">
        <v>0.765</v>
      </c>
    </row>
    <row r="17">
      <c r="A17" s="106" t="s">
        <v>91</v>
      </c>
      <c r="B17" s="211">
        <v>6.0</v>
      </c>
      <c r="C17" s="212">
        <v>24.0</v>
      </c>
      <c r="D17" s="45">
        <v>16.0</v>
      </c>
      <c r="E17" s="212">
        <v>18.67</v>
      </c>
      <c r="F17" s="213">
        <f t="shared" si="1"/>
        <v>112.02</v>
      </c>
      <c r="G17" s="212">
        <v>0.33</v>
      </c>
      <c r="H17" s="202">
        <f t="shared" si="2"/>
        <v>1.98</v>
      </c>
      <c r="I17" s="212">
        <v>1.33</v>
      </c>
      <c r="J17" s="243">
        <f t="shared" si="3"/>
        <v>7.98</v>
      </c>
      <c r="K17" s="226">
        <v>0.625</v>
      </c>
    </row>
    <row r="18">
      <c r="A18" s="106" t="s">
        <v>75</v>
      </c>
      <c r="B18" s="211">
        <v>6.0</v>
      </c>
      <c r="C18" s="212">
        <v>24.0</v>
      </c>
      <c r="D18" s="45">
        <v>13.0</v>
      </c>
      <c r="E18" s="212">
        <v>18.67</v>
      </c>
      <c r="F18" s="213">
        <f t="shared" si="1"/>
        <v>112.02</v>
      </c>
      <c r="G18" s="212">
        <v>0.33</v>
      </c>
      <c r="H18" s="202">
        <f t="shared" si="2"/>
        <v>1.98</v>
      </c>
      <c r="I18" s="212">
        <v>1.33</v>
      </c>
      <c r="J18" s="243">
        <f t="shared" si="3"/>
        <v>7.98</v>
      </c>
      <c r="K18" s="226">
        <v>0.769</v>
      </c>
    </row>
    <row r="19">
      <c r="A19" s="106" t="s">
        <v>67</v>
      </c>
      <c r="B19" s="211">
        <v>6.0</v>
      </c>
      <c r="C19" s="212">
        <v>23.0</v>
      </c>
      <c r="D19" s="45">
        <v>11.0</v>
      </c>
      <c r="E19" s="212">
        <v>17.67</v>
      </c>
      <c r="F19" s="213">
        <f t="shared" si="1"/>
        <v>106.02</v>
      </c>
      <c r="G19" s="212">
        <v>0.17</v>
      </c>
      <c r="H19" s="202">
        <f t="shared" si="2"/>
        <v>1.02</v>
      </c>
      <c r="I19" s="212">
        <v>1.17</v>
      </c>
      <c r="J19" s="243">
        <f t="shared" si="3"/>
        <v>7.02</v>
      </c>
      <c r="K19" s="226">
        <v>0.909</v>
      </c>
    </row>
    <row r="20">
      <c r="A20" s="106" t="s">
        <v>50</v>
      </c>
      <c r="B20" s="211">
        <v>6.0</v>
      </c>
      <c r="C20" s="212">
        <v>24.0</v>
      </c>
      <c r="D20" s="45">
        <v>14.0</v>
      </c>
      <c r="E20" s="212">
        <v>17.0</v>
      </c>
      <c r="F20" s="213">
        <f t="shared" si="1"/>
        <v>102</v>
      </c>
      <c r="G20" s="212">
        <v>0.0</v>
      </c>
      <c r="H20" s="202">
        <f t="shared" si="2"/>
        <v>0</v>
      </c>
      <c r="I20" s="212">
        <v>1.17</v>
      </c>
      <c r="J20" s="243">
        <f t="shared" si="3"/>
        <v>7.02</v>
      </c>
      <c r="K20" s="226">
        <v>0.571</v>
      </c>
    </row>
    <row r="21">
      <c r="A21" s="106" t="s">
        <v>42</v>
      </c>
      <c r="B21" s="211">
        <v>6.0</v>
      </c>
      <c r="C21" s="212">
        <v>24.0</v>
      </c>
      <c r="D21" s="45">
        <v>14.0</v>
      </c>
      <c r="E21" s="212">
        <v>16.33</v>
      </c>
      <c r="F21" s="213">
        <f t="shared" si="1"/>
        <v>97.98</v>
      </c>
      <c r="G21" s="212">
        <v>0.5</v>
      </c>
      <c r="H21" s="202">
        <f t="shared" si="2"/>
        <v>3</v>
      </c>
      <c r="I21" s="212">
        <v>1.17</v>
      </c>
      <c r="J21" s="243">
        <f t="shared" si="3"/>
        <v>7.02</v>
      </c>
      <c r="K21" s="226">
        <v>0.714</v>
      </c>
    </row>
    <row r="22">
      <c r="A22" s="106" t="s">
        <v>78</v>
      </c>
      <c r="B22" s="211">
        <v>6.0</v>
      </c>
      <c r="C22" s="212">
        <v>23.0</v>
      </c>
      <c r="D22" s="45">
        <v>13.0</v>
      </c>
      <c r="E22" s="212">
        <v>14.0</v>
      </c>
      <c r="F22" s="213">
        <f t="shared" si="1"/>
        <v>84</v>
      </c>
      <c r="G22" s="212">
        <v>0.33</v>
      </c>
      <c r="H22" s="202">
        <f t="shared" si="2"/>
        <v>1.98</v>
      </c>
      <c r="I22" s="212">
        <v>1.0</v>
      </c>
      <c r="J22" s="243">
        <f t="shared" si="3"/>
        <v>6</v>
      </c>
      <c r="K22" s="226">
        <v>0.615</v>
      </c>
    </row>
    <row r="23">
      <c r="A23" s="106" t="s">
        <v>99</v>
      </c>
      <c r="B23" s="211">
        <v>6.0</v>
      </c>
      <c r="C23" s="212">
        <v>24.0</v>
      </c>
      <c r="D23" s="45">
        <v>17.0</v>
      </c>
      <c r="E23" s="212">
        <v>13.67</v>
      </c>
      <c r="F23" s="213">
        <f t="shared" si="1"/>
        <v>82.02</v>
      </c>
      <c r="G23" s="212">
        <v>0.17</v>
      </c>
      <c r="H23" s="202">
        <f t="shared" si="2"/>
        <v>1.02</v>
      </c>
      <c r="I23" s="212">
        <v>0.83</v>
      </c>
      <c r="J23" s="243">
        <f t="shared" si="3"/>
        <v>4.98</v>
      </c>
      <c r="K23" s="226">
        <v>0.529</v>
      </c>
    </row>
    <row r="24">
      <c r="A24" s="106" t="s">
        <v>65</v>
      </c>
      <c r="B24" s="211">
        <v>6.0</v>
      </c>
      <c r="C24" s="212">
        <v>24.0</v>
      </c>
      <c r="D24" s="45">
        <v>16.0</v>
      </c>
      <c r="E24" s="212">
        <v>13.67</v>
      </c>
      <c r="F24" s="213">
        <f t="shared" si="1"/>
        <v>82.02</v>
      </c>
      <c r="G24" s="212">
        <v>0.17</v>
      </c>
      <c r="H24" s="202">
        <f t="shared" si="2"/>
        <v>1.02</v>
      </c>
      <c r="I24" s="212">
        <v>0.83</v>
      </c>
      <c r="J24" s="243">
        <f t="shared" si="3"/>
        <v>4.98</v>
      </c>
      <c r="K24" s="226">
        <v>0.563</v>
      </c>
    </row>
    <row r="25">
      <c r="A25" s="106" t="s">
        <v>74</v>
      </c>
      <c r="B25" s="211">
        <v>6.0</v>
      </c>
      <c r="C25" s="212">
        <v>23.0</v>
      </c>
      <c r="D25" s="45">
        <v>10.0</v>
      </c>
      <c r="E25" s="212">
        <v>12.67</v>
      </c>
      <c r="F25" s="213">
        <f t="shared" si="1"/>
        <v>76.02</v>
      </c>
      <c r="G25" s="212">
        <v>0.0</v>
      </c>
      <c r="H25" s="202">
        <f t="shared" si="2"/>
        <v>0</v>
      </c>
      <c r="I25" s="212">
        <v>0.67</v>
      </c>
      <c r="J25" s="243">
        <f t="shared" si="3"/>
        <v>4.02</v>
      </c>
      <c r="K25" s="226">
        <v>0.9</v>
      </c>
    </row>
    <row r="26">
      <c r="A26" s="106" t="s">
        <v>79</v>
      </c>
      <c r="B26" s="211">
        <v>6.0</v>
      </c>
      <c r="C26" s="212">
        <v>24.0</v>
      </c>
      <c r="D26" s="45">
        <v>12.0</v>
      </c>
      <c r="E26" s="212">
        <v>12.33</v>
      </c>
      <c r="F26" s="213">
        <f t="shared" si="1"/>
        <v>73.98</v>
      </c>
      <c r="G26" s="212">
        <v>0.33</v>
      </c>
      <c r="H26" s="202">
        <f t="shared" si="2"/>
        <v>1.98</v>
      </c>
      <c r="I26" s="212">
        <v>0.83</v>
      </c>
      <c r="J26" s="243">
        <f t="shared" si="3"/>
        <v>4.98</v>
      </c>
      <c r="K26" s="226">
        <v>0.667</v>
      </c>
    </row>
    <row r="27">
      <c r="A27" s="106" t="s">
        <v>60</v>
      </c>
      <c r="B27" s="211">
        <v>6.0</v>
      </c>
      <c r="C27" s="212">
        <v>24.0</v>
      </c>
      <c r="D27" s="45">
        <v>9.0</v>
      </c>
      <c r="E27" s="212">
        <v>10.67</v>
      </c>
      <c r="F27" s="213">
        <f t="shared" si="1"/>
        <v>64.02</v>
      </c>
      <c r="G27" s="212">
        <v>0.0</v>
      </c>
      <c r="H27" s="202">
        <f t="shared" si="2"/>
        <v>0</v>
      </c>
      <c r="I27" s="212">
        <v>0.67</v>
      </c>
      <c r="J27" s="243">
        <f t="shared" si="3"/>
        <v>4.02</v>
      </c>
      <c r="K27" s="226">
        <v>0.667</v>
      </c>
    </row>
    <row r="28">
      <c r="A28" s="106" t="s">
        <v>52</v>
      </c>
      <c r="B28" s="211">
        <v>6.0</v>
      </c>
      <c r="C28" s="212">
        <v>24.0</v>
      </c>
      <c r="D28" s="45">
        <v>7.0</v>
      </c>
      <c r="E28" s="212">
        <v>4.67</v>
      </c>
      <c r="F28" s="213">
        <f t="shared" si="1"/>
        <v>28.02</v>
      </c>
      <c r="G28" s="212">
        <v>0.17</v>
      </c>
      <c r="H28" s="202">
        <f t="shared" si="2"/>
        <v>1.02</v>
      </c>
      <c r="I28" s="212">
        <v>0.33</v>
      </c>
      <c r="J28" s="243">
        <f t="shared" si="3"/>
        <v>1.98</v>
      </c>
      <c r="K28" s="226">
        <v>0.429</v>
      </c>
    </row>
    <row r="29">
      <c r="A29" s="106" t="s">
        <v>82</v>
      </c>
      <c r="B29" s="211">
        <v>6.0</v>
      </c>
      <c r="C29" s="212">
        <v>24.0</v>
      </c>
      <c r="D29" s="45">
        <v>13.0</v>
      </c>
      <c r="E29" s="212">
        <v>4.33</v>
      </c>
      <c r="F29" s="213">
        <f t="shared" si="1"/>
        <v>25.98</v>
      </c>
      <c r="G29" s="212">
        <v>0.83</v>
      </c>
      <c r="H29" s="202">
        <f t="shared" si="2"/>
        <v>4.98</v>
      </c>
      <c r="I29" s="212">
        <v>0.5</v>
      </c>
      <c r="J29" s="243">
        <f t="shared" si="3"/>
        <v>3</v>
      </c>
      <c r="K29" s="226">
        <v>0.308</v>
      </c>
    </row>
    <row r="30">
      <c r="A30" s="106" t="s">
        <v>44</v>
      </c>
      <c r="B30" s="211">
        <v>6.0</v>
      </c>
      <c r="C30" s="212">
        <v>24.0</v>
      </c>
      <c r="D30" s="45">
        <v>3.0</v>
      </c>
      <c r="E30" s="212">
        <v>4.0</v>
      </c>
      <c r="F30" s="213">
        <f t="shared" si="1"/>
        <v>24</v>
      </c>
      <c r="G30" s="212">
        <v>0.17</v>
      </c>
      <c r="H30" s="202">
        <f t="shared" si="2"/>
        <v>1.02</v>
      </c>
      <c r="I30" s="212">
        <v>0.33</v>
      </c>
      <c r="J30" s="243">
        <f t="shared" si="3"/>
        <v>1.98</v>
      </c>
      <c r="K30" s="226">
        <v>0.667</v>
      </c>
    </row>
    <row r="31">
      <c r="A31" s="106" t="s">
        <v>69</v>
      </c>
      <c r="B31" s="211">
        <v>6.0</v>
      </c>
      <c r="C31" s="212">
        <v>25.0</v>
      </c>
      <c r="D31" s="45">
        <v>6.0</v>
      </c>
      <c r="E31" s="212">
        <v>3.0</v>
      </c>
      <c r="F31" s="213">
        <f t="shared" si="1"/>
        <v>18</v>
      </c>
      <c r="G31" s="212">
        <v>0.0</v>
      </c>
      <c r="H31" s="202">
        <f t="shared" si="2"/>
        <v>0</v>
      </c>
      <c r="I31" s="212">
        <v>0.17</v>
      </c>
      <c r="J31" s="243">
        <f t="shared" si="3"/>
        <v>1.02</v>
      </c>
      <c r="K31" s="226">
        <v>0.333</v>
      </c>
    </row>
    <row r="32">
      <c r="A32" s="246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6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6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63</v>
      </c>
      <c r="B2" s="211">
        <v>6.0</v>
      </c>
      <c r="C2" s="212">
        <v>24.0</v>
      </c>
      <c r="D2" s="45">
        <v>22.0</v>
      </c>
      <c r="E2" s="212">
        <v>42.33</v>
      </c>
      <c r="F2" s="213">
        <f t="shared" ref="F2:F31" si="1">E2*B2</f>
        <v>253.98</v>
      </c>
      <c r="G2" s="212">
        <v>0.5</v>
      </c>
      <c r="H2" s="202">
        <f t="shared" ref="H2:H31" si="2">G2*B2</f>
        <v>3</v>
      </c>
      <c r="I2" s="212">
        <v>3.17</v>
      </c>
      <c r="J2" s="243">
        <f t="shared" ref="J2:J31" si="3">I2*B2</f>
        <v>19.02</v>
      </c>
      <c r="K2" s="226">
        <v>0.864</v>
      </c>
    </row>
    <row r="3">
      <c r="A3" s="106" t="s">
        <v>93</v>
      </c>
      <c r="B3" s="211">
        <v>6.0</v>
      </c>
      <c r="C3" s="212">
        <v>24.0</v>
      </c>
      <c r="D3" s="45">
        <v>19.0</v>
      </c>
      <c r="E3" s="212">
        <v>38.33</v>
      </c>
      <c r="F3" s="213">
        <f t="shared" si="1"/>
        <v>229.98</v>
      </c>
      <c r="G3" s="212">
        <v>0.33</v>
      </c>
      <c r="H3" s="202">
        <f t="shared" si="2"/>
        <v>1.98</v>
      </c>
      <c r="I3" s="212">
        <v>2.83</v>
      </c>
      <c r="J3" s="243">
        <f t="shared" si="3"/>
        <v>16.98</v>
      </c>
      <c r="K3" s="226">
        <v>0.895</v>
      </c>
    </row>
    <row r="4">
      <c r="A4" s="106" t="s">
        <v>61</v>
      </c>
      <c r="B4" s="211">
        <v>6.0</v>
      </c>
      <c r="C4" s="212">
        <v>24.0</v>
      </c>
      <c r="D4" s="45">
        <v>18.0</v>
      </c>
      <c r="E4" s="212">
        <v>36.67</v>
      </c>
      <c r="F4" s="213">
        <f t="shared" si="1"/>
        <v>220.02</v>
      </c>
      <c r="G4" s="212">
        <v>0.17</v>
      </c>
      <c r="H4" s="202">
        <f t="shared" si="2"/>
        <v>1.02</v>
      </c>
      <c r="I4" s="212">
        <v>2.67</v>
      </c>
      <c r="J4" s="243">
        <f t="shared" si="3"/>
        <v>16.02</v>
      </c>
      <c r="K4" s="226">
        <v>0.889</v>
      </c>
    </row>
    <row r="5">
      <c r="A5" s="106" t="s">
        <v>54</v>
      </c>
      <c r="B5" s="211">
        <v>6.0</v>
      </c>
      <c r="C5" s="212">
        <v>24.0</v>
      </c>
      <c r="D5" s="45">
        <v>15.0</v>
      </c>
      <c r="E5" s="212">
        <v>31.0</v>
      </c>
      <c r="F5" s="213">
        <f t="shared" si="1"/>
        <v>186</v>
      </c>
      <c r="G5" s="212">
        <v>0.0</v>
      </c>
      <c r="H5" s="202">
        <f t="shared" si="2"/>
        <v>0</v>
      </c>
      <c r="I5" s="212">
        <v>2.17</v>
      </c>
      <c r="J5" s="243">
        <f t="shared" si="3"/>
        <v>13.02</v>
      </c>
      <c r="K5" s="226">
        <v>0.933</v>
      </c>
    </row>
    <row r="6">
      <c r="A6" s="106" t="s">
        <v>64</v>
      </c>
      <c r="B6" s="211">
        <v>6.0</v>
      </c>
      <c r="C6" s="212">
        <v>24.0</v>
      </c>
      <c r="D6" s="45">
        <v>18.0</v>
      </c>
      <c r="E6" s="212">
        <v>29.0</v>
      </c>
      <c r="F6" s="213">
        <f t="shared" si="1"/>
        <v>174</v>
      </c>
      <c r="G6" s="212">
        <v>0.5</v>
      </c>
      <c r="H6" s="202">
        <f t="shared" si="2"/>
        <v>3</v>
      </c>
      <c r="I6" s="212">
        <v>2.17</v>
      </c>
      <c r="J6" s="243">
        <f t="shared" si="3"/>
        <v>13.02</v>
      </c>
      <c r="K6" s="226">
        <v>0.778</v>
      </c>
    </row>
    <row r="7">
      <c r="A7" s="106" t="s">
        <v>42</v>
      </c>
      <c r="B7" s="211">
        <v>6.0</v>
      </c>
      <c r="C7" s="212">
        <v>24.0</v>
      </c>
      <c r="D7" s="45">
        <v>15.0</v>
      </c>
      <c r="E7" s="212">
        <v>28.67</v>
      </c>
      <c r="F7" s="213">
        <f t="shared" si="1"/>
        <v>172.02</v>
      </c>
      <c r="G7" s="212">
        <v>0.0</v>
      </c>
      <c r="H7" s="202">
        <f t="shared" si="2"/>
        <v>0</v>
      </c>
      <c r="I7" s="212">
        <v>2.0</v>
      </c>
      <c r="J7" s="243">
        <f t="shared" si="3"/>
        <v>12</v>
      </c>
      <c r="K7" s="226">
        <v>0.867</v>
      </c>
    </row>
    <row r="8">
      <c r="A8" s="106" t="s">
        <v>81</v>
      </c>
      <c r="B8" s="211">
        <v>6.0</v>
      </c>
      <c r="C8" s="212">
        <v>24.0</v>
      </c>
      <c r="D8" s="45">
        <v>18.0</v>
      </c>
      <c r="E8" s="212">
        <v>28.0</v>
      </c>
      <c r="F8" s="213">
        <f t="shared" si="1"/>
        <v>168</v>
      </c>
      <c r="G8" s="212">
        <v>0.5</v>
      </c>
      <c r="H8" s="202">
        <f t="shared" si="2"/>
        <v>3</v>
      </c>
      <c r="I8" s="212">
        <v>2.0</v>
      </c>
      <c r="J8" s="243">
        <f t="shared" si="3"/>
        <v>12</v>
      </c>
      <c r="K8" s="226">
        <v>0.833</v>
      </c>
    </row>
    <row r="9">
      <c r="A9" s="106" t="s">
        <v>88</v>
      </c>
      <c r="B9" s="211">
        <v>6.0</v>
      </c>
      <c r="C9" s="212">
        <v>24.0</v>
      </c>
      <c r="D9" s="45">
        <v>18.0</v>
      </c>
      <c r="E9" s="212">
        <v>27.67</v>
      </c>
      <c r="F9" s="213">
        <f t="shared" si="1"/>
        <v>166.02</v>
      </c>
      <c r="G9" s="212">
        <v>0.33</v>
      </c>
      <c r="H9" s="202">
        <f t="shared" si="2"/>
        <v>1.98</v>
      </c>
      <c r="I9" s="212">
        <v>1.83</v>
      </c>
      <c r="J9" s="243">
        <f t="shared" si="3"/>
        <v>10.98</v>
      </c>
      <c r="K9" s="226">
        <v>0.889</v>
      </c>
    </row>
    <row r="10">
      <c r="A10" s="106" t="s">
        <v>65</v>
      </c>
      <c r="B10" s="211">
        <v>6.0</v>
      </c>
      <c r="C10" s="212">
        <v>24.0</v>
      </c>
      <c r="D10" s="45">
        <v>16.0</v>
      </c>
      <c r="E10" s="212">
        <v>27.33</v>
      </c>
      <c r="F10" s="213">
        <f t="shared" si="1"/>
        <v>163.98</v>
      </c>
      <c r="G10" s="212">
        <v>0.33</v>
      </c>
      <c r="H10" s="202">
        <f t="shared" si="2"/>
        <v>1.98</v>
      </c>
      <c r="I10" s="212">
        <v>2.0</v>
      </c>
      <c r="J10" s="243">
        <f t="shared" si="3"/>
        <v>12</v>
      </c>
      <c r="K10" s="226">
        <v>0.813</v>
      </c>
    </row>
    <row r="11">
      <c r="A11" s="106" t="s">
        <v>56</v>
      </c>
      <c r="B11" s="211">
        <v>6.0</v>
      </c>
      <c r="C11" s="212">
        <v>24.0</v>
      </c>
      <c r="D11" s="45">
        <v>21.0</v>
      </c>
      <c r="E11" s="212">
        <v>25.67</v>
      </c>
      <c r="F11" s="213">
        <f t="shared" si="1"/>
        <v>154.02</v>
      </c>
      <c r="G11" s="212">
        <v>0.67</v>
      </c>
      <c r="H11" s="202">
        <f t="shared" si="2"/>
        <v>4.02</v>
      </c>
      <c r="I11" s="212">
        <v>1.83</v>
      </c>
      <c r="J11" s="243">
        <f t="shared" si="3"/>
        <v>10.98</v>
      </c>
      <c r="K11" s="226">
        <v>0.714</v>
      </c>
    </row>
    <row r="12">
      <c r="A12" s="106" t="s">
        <v>57</v>
      </c>
      <c r="B12" s="211">
        <v>6.0</v>
      </c>
      <c r="C12" s="212">
        <v>23.0</v>
      </c>
      <c r="D12" s="45">
        <v>19.0</v>
      </c>
      <c r="E12" s="212">
        <v>24.0</v>
      </c>
      <c r="F12" s="213">
        <f t="shared" si="1"/>
        <v>144</v>
      </c>
      <c r="G12" s="212">
        <v>0.5</v>
      </c>
      <c r="H12" s="202">
        <f t="shared" si="2"/>
        <v>3</v>
      </c>
      <c r="I12" s="212">
        <v>1.67</v>
      </c>
      <c r="J12" s="243">
        <f t="shared" si="3"/>
        <v>10.02</v>
      </c>
      <c r="K12" s="226">
        <v>0.737</v>
      </c>
    </row>
    <row r="13">
      <c r="A13" s="106" t="s">
        <v>75</v>
      </c>
      <c r="B13" s="211">
        <v>6.0</v>
      </c>
      <c r="C13" s="212">
        <v>24.0</v>
      </c>
      <c r="D13" s="45">
        <v>13.0</v>
      </c>
      <c r="E13" s="212">
        <v>23.33</v>
      </c>
      <c r="F13" s="213">
        <f t="shared" si="1"/>
        <v>139.98</v>
      </c>
      <c r="G13" s="212">
        <v>0.17</v>
      </c>
      <c r="H13" s="202">
        <f t="shared" si="2"/>
        <v>1.02</v>
      </c>
      <c r="I13" s="212">
        <v>1.67</v>
      </c>
      <c r="J13" s="243">
        <f t="shared" si="3"/>
        <v>10.02</v>
      </c>
      <c r="K13" s="226">
        <v>0.846</v>
      </c>
    </row>
    <row r="14">
      <c r="A14" s="106" t="s">
        <v>92</v>
      </c>
      <c r="B14" s="211">
        <v>6.0</v>
      </c>
      <c r="C14" s="212">
        <v>24.0</v>
      </c>
      <c r="D14" s="45">
        <v>18.0</v>
      </c>
      <c r="E14" s="212">
        <v>22.33</v>
      </c>
      <c r="F14" s="213">
        <f t="shared" si="1"/>
        <v>133.98</v>
      </c>
      <c r="G14" s="212">
        <v>0.5</v>
      </c>
      <c r="H14" s="202">
        <f t="shared" si="2"/>
        <v>3</v>
      </c>
      <c r="I14" s="212">
        <v>1.5</v>
      </c>
      <c r="J14" s="243">
        <f t="shared" si="3"/>
        <v>9</v>
      </c>
      <c r="K14" s="226">
        <v>0.778</v>
      </c>
    </row>
    <row r="15">
      <c r="A15" s="106" t="s">
        <v>94</v>
      </c>
      <c r="B15" s="211">
        <v>6.0</v>
      </c>
      <c r="C15" s="212">
        <v>24.0</v>
      </c>
      <c r="D15" s="45">
        <v>18.0</v>
      </c>
      <c r="E15" s="212">
        <v>22.33</v>
      </c>
      <c r="F15" s="213">
        <f t="shared" si="1"/>
        <v>133.98</v>
      </c>
      <c r="G15" s="212">
        <v>0.33</v>
      </c>
      <c r="H15" s="202">
        <f t="shared" si="2"/>
        <v>1.98</v>
      </c>
      <c r="I15" s="212">
        <v>1.5</v>
      </c>
      <c r="J15" s="243">
        <f t="shared" si="3"/>
        <v>9</v>
      </c>
      <c r="K15" s="226">
        <v>0.722</v>
      </c>
    </row>
    <row r="16">
      <c r="A16" s="106" t="s">
        <v>78</v>
      </c>
      <c r="B16" s="211">
        <v>6.0</v>
      </c>
      <c r="C16" s="212">
        <v>24.0</v>
      </c>
      <c r="D16" s="45">
        <v>15.0</v>
      </c>
      <c r="E16" s="212">
        <v>18.0</v>
      </c>
      <c r="F16" s="213">
        <f t="shared" si="1"/>
        <v>108</v>
      </c>
      <c r="G16" s="212">
        <v>0.67</v>
      </c>
      <c r="H16" s="202">
        <f t="shared" si="2"/>
        <v>4.02</v>
      </c>
      <c r="I16" s="212">
        <v>1.33</v>
      </c>
      <c r="J16" s="243">
        <f t="shared" si="3"/>
        <v>7.98</v>
      </c>
      <c r="K16" s="226">
        <v>0.733</v>
      </c>
    </row>
    <row r="17">
      <c r="A17" s="106" t="s">
        <v>44</v>
      </c>
      <c r="B17" s="211">
        <v>6.0</v>
      </c>
      <c r="C17" s="212">
        <v>22.0</v>
      </c>
      <c r="D17" s="45">
        <v>12.0</v>
      </c>
      <c r="E17" s="212">
        <v>17.67</v>
      </c>
      <c r="F17" s="213">
        <f t="shared" si="1"/>
        <v>106.02</v>
      </c>
      <c r="G17" s="212">
        <v>0.17</v>
      </c>
      <c r="H17" s="202">
        <f t="shared" si="2"/>
        <v>1.02</v>
      </c>
      <c r="I17" s="212">
        <v>1.17</v>
      </c>
      <c r="J17" s="243">
        <f t="shared" si="3"/>
        <v>7.02</v>
      </c>
      <c r="K17" s="226">
        <v>0.833</v>
      </c>
    </row>
    <row r="18">
      <c r="A18" s="106" t="s">
        <v>52</v>
      </c>
      <c r="B18" s="211">
        <v>6.0</v>
      </c>
      <c r="C18" s="212">
        <v>23.0</v>
      </c>
      <c r="D18" s="45">
        <v>12.0</v>
      </c>
      <c r="E18" s="212">
        <v>17.67</v>
      </c>
      <c r="F18" s="213">
        <f t="shared" si="1"/>
        <v>106.02</v>
      </c>
      <c r="G18" s="212">
        <v>0.17</v>
      </c>
      <c r="H18" s="202">
        <f t="shared" si="2"/>
        <v>1.02</v>
      </c>
      <c r="I18" s="212">
        <v>1.17</v>
      </c>
      <c r="J18" s="243">
        <f t="shared" si="3"/>
        <v>7.02</v>
      </c>
      <c r="K18" s="226">
        <v>0.833</v>
      </c>
    </row>
    <row r="19">
      <c r="A19" s="106" t="s">
        <v>50</v>
      </c>
      <c r="B19" s="211">
        <v>6.0</v>
      </c>
      <c r="C19" s="212">
        <v>22.0</v>
      </c>
      <c r="D19" s="45">
        <v>14.0</v>
      </c>
      <c r="E19" s="212">
        <v>17.67</v>
      </c>
      <c r="F19" s="213">
        <f t="shared" si="1"/>
        <v>106.02</v>
      </c>
      <c r="G19" s="212">
        <v>0.17</v>
      </c>
      <c r="H19" s="202">
        <f t="shared" si="2"/>
        <v>1.02</v>
      </c>
      <c r="I19" s="212">
        <v>1.17</v>
      </c>
      <c r="J19" s="243">
        <f t="shared" si="3"/>
        <v>7.02</v>
      </c>
      <c r="K19" s="226">
        <v>0.714</v>
      </c>
    </row>
    <row r="20">
      <c r="A20" s="106" t="s">
        <v>40</v>
      </c>
      <c r="B20" s="211">
        <v>6.0</v>
      </c>
      <c r="C20" s="212">
        <v>24.0</v>
      </c>
      <c r="D20" s="45">
        <v>13.0</v>
      </c>
      <c r="E20" s="212">
        <v>17.0</v>
      </c>
      <c r="F20" s="213">
        <f t="shared" si="1"/>
        <v>102</v>
      </c>
      <c r="G20" s="212">
        <v>0.17</v>
      </c>
      <c r="H20" s="202">
        <f t="shared" si="2"/>
        <v>1.02</v>
      </c>
      <c r="I20" s="212">
        <v>1.17</v>
      </c>
      <c r="J20" s="243">
        <f t="shared" si="3"/>
        <v>7.02</v>
      </c>
      <c r="K20" s="226">
        <v>0.692</v>
      </c>
    </row>
    <row r="21">
      <c r="A21" s="106" t="s">
        <v>91</v>
      </c>
      <c r="B21" s="211">
        <v>6.0</v>
      </c>
      <c r="C21" s="212">
        <v>24.0</v>
      </c>
      <c r="D21" s="45">
        <v>19.0</v>
      </c>
      <c r="E21" s="212">
        <v>17.0</v>
      </c>
      <c r="F21" s="213">
        <f t="shared" si="1"/>
        <v>102</v>
      </c>
      <c r="G21" s="212">
        <v>0.5</v>
      </c>
      <c r="H21" s="202">
        <f t="shared" si="2"/>
        <v>3</v>
      </c>
      <c r="I21" s="212">
        <v>1.17</v>
      </c>
      <c r="J21" s="243">
        <f t="shared" si="3"/>
        <v>7.02</v>
      </c>
      <c r="K21" s="226">
        <v>0.579</v>
      </c>
    </row>
    <row r="22">
      <c r="A22" s="106" t="s">
        <v>106</v>
      </c>
      <c r="B22" s="211">
        <v>6.0</v>
      </c>
      <c r="C22" s="212">
        <v>24.0</v>
      </c>
      <c r="D22" s="45">
        <v>15.0</v>
      </c>
      <c r="E22" s="212">
        <v>16.33</v>
      </c>
      <c r="F22" s="213">
        <f t="shared" si="1"/>
        <v>97.98</v>
      </c>
      <c r="G22" s="212">
        <v>0.33</v>
      </c>
      <c r="H22" s="202">
        <f t="shared" si="2"/>
        <v>1.98</v>
      </c>
      <c r="I22" s="212">
        <v>1.17</v>
      </c>
      <c r="J22" s="243">
        <f t="shared" si="3"/>
        <v>7.02</v>
      </c>
      <c r="K22" s="226">
        <v>0.6</v>
      </c>
    </row>
    <row r="23">
      <c r="A23" s="106" t="s">
        <v>67</v>
      </c>
      <c r="B23" s="211">
        <v>6.0</v>
      </c>
      <c r="C23" s="212">
        <v>24.0</v>
      </c>
      <c r="D23" s="45">
        <v>9.0</v>
      </c>
      <c r="E23" s="212">
        <v>13.0</v>
      </c>
      <c r="F23" s="213">
        <f t="shared" si="1"/>
        <v>78</v>
      </c>
      <c r="G23" s="212">
        <v>0.0</v>
      </c>
      <c r="H23" s="202">
        <f t="shared" si="2"/>
        <v>0</v>
      </c>
      <c r="I23" s="212">
        <v>0.83</v>
      </c>
      <c r="J23" s="243">
        <f t="shared" si="3"/>
        <v>4.98</v>
      </c>
      <c r="K23" s="226">
        <v>0.778</v>
      </c>
    </row>
    <row r="24">
      <c r="A24" s="106" t="s">
        <v>89</v>
      </c>
      <c r="B24" s="211">
        <v>6.0</v>
      </c>
      <c r="C24" s="212">
        <v>24.0</v>
      </c>
      <c r="D24" s="45">
        <v>10.0</v>
      </c>
      <c r="E24" s="212">
        <v>11.67</v>
      </c>
      <c r="F24" s="213">
        <f t="shared" si="1"/>
        <v>70.02</v>
      </c>
      <c r="G24" s="212">
        <v>0.33</v>
      </c>
      <c r="H24" s="202">
        <f t="shared" si="2"/>
        <v>1.98</v>
      </c>
      <c r="I24" s="212">
        <v>0.83</v>
      </c>
      <c r="J24" s="243">
        <f t="shared" si="3"/>
        <v>4.98</v>
      </c>
      <c r="K24" s="226">
        <v>0.7</v>
      </c>
    </row>
    <row r="25">
      <c r="A25" s="106" t="s">
        <v>99</v>
      </c>
      <c r="B25" s="211">
        <v>6.0</v>
      </c>
      <c r="C25" s="212">
        <v>24.0</v>
      </c>
      <c r="D25" s="45">
        <v>14.0</v>
      </c>
      <c r="E25" s="212">
        <v>11.67</v>
      </c>
      <c r="F25" s="213">
        <f t="shared" si="1"/>
        <v>70.02</v>
      </c>
      <c r="G25" s="212">
        <v>0.67</v>
      </c>
      <c r="H25" s="202">
        <f t="shared" si="2"/>
        <v>4.02</v>
      </c>
      <c r="I25" s="212">
        <v>0.83</v>
      </c>
      <c r="J25" s="243">
        <f t="shared" si="3"/>
        <v>4.98</v>
      </c>
      <c r="K25" s="226">
        <v>0.643</v>
      </c>
    </row>
    <row r="26">
      <c r="A26" s="106" t="s">
        <v>82</v>
      </c>
      <c r="B26" s="211">
        <v>6.0</v>
      </c>
      <c r="C26" s="212">
        <v>24.0</v>
      </c>
      <c r="D26" s="45">
        <v>11.0</v>
      </c>
      <c r="E26" s="212">
        <v>10.0</v>
      </c>
      <c r="F26" s="213">
        <f t="shared" si="1"/>
        <v>60</v>
      </c>
      <c r="G26" s="212">
        <v>0.33</v>
      </c>
      <c r="H26" s="202">
        <f t="shared" si="2"/>
        <v>1.98</v>
      </c>
      <c r="I26" s="212">
        <v>0.67</v>
      </c>
      <c r="J26" s="243">
        <f t="shared" si="3"/>
        <v>4.02</v>
      </c>
      <c r="K26" s="226">
        <v>0.636</v>
      </c>
    </row>
    <row r="27">
      <c r="A27" s="106" t="s">
        <v>69</v>
      </c>
      <c r="B27" s="211">
        <v>6.0</v>
      </c>
      <c r="C27" s="212">
        <v>23.0</v>
      </c>
      <c r="D27" s="45">
        <v>7.0</v>
      </c>
      <c r="E27" s="212">
        <v>7.67</v>
      </c>
      <c r="F27" s="213">
        <f t="shared" si="1"/>
        <v>46.02</v>
      </c>
      <c r="G27" s="212">
        <v>0.17</v>
      </c>
      <c r="H27" s="202">
        <f t="shared" si="2"/>
        <v>1.02</v>
      </c>
      <c r="I27" s="212">
        <v>0.5</v>
      </c>
      <c r="J27" s="243">
        <f t="shared" si="3"/>
        <v>3</v>
      </c>
      <c r="K27" s="226">
        <v>0.714</v>
      </c>
    </row>
    <row r="28">
      <c r="A28" s="106" t="s">
        <v>58</v>
      </c>
      <c r="B28" s="211">
        <v>6.0</v>
      </c>
      <c r="C28" s="212">
        <v>24.0</v>
      </c>
      <c r="D28" s="45">
        <v>11.0</v>
      </c>
      <c r="E28" s="212">
        <v>7.67</v>
      </c>
      <c r="F28" s="213">
        <f t="shared" si="1"/>
        <v>46.02</v>
      </c>
      <c r="G28" s="212">
        <v>0.33</v>
      </c>
      <c r="H28" s="202">
        <f t="shared" si="2"/>
        <v>1.98</v>
      </c>
      <c r="I28" s="212">
        <v>0.5</v>
      </c>
      <c r="J28" s="243">
        <f t="shared" si="3"/>
        <v>3</v>
      </c>
      <c r="K28" s="226">
        <v>0.545</v>
      </c>
    </row>
    <row r="29">
      <c r="A29" s="106" t="s">
        <v>74</v>
      </c>
      <c r="B29" s="211">
        <v>6.0</v>
      </c>
      <c r="C29" s="212">
        <v>23.0</v>
      </c>
      <c r="D29" s="45">
        <v>11.0</v>
      </c>
      <c r="E29" s="212">
        <v>5.33</v>
      </c>
      <c r="F29" s="213">
        <f t="shared" si="1"/>
        <v>31.98</v>
      </c>
      <c r="G29" s="212">
        <v>0.33</v>
      </c>
      <c r="H29" s="202">
        <f t="shared" si="2"/>
        <v>1.98</v>
      </c>
      <c r="I29" s="212">
        <v>0.33</v>
      </c>
      <c r="J29" s="243">
        <f t="shared" si="3"/>
        <v>1.98</v>
      </c>
      <c r="K29" s="226">
        <v>0.455</v>
      </c>
    </row>
    <row r="30">
      <c r="A30" s="106" t="s">
        <v>60</v>
      </c>
      <c r="B30" s="211">
        <v>6.0</v>
      </c>
      <c r="C30" s="212">
        <v>24.0</v>
      </c>
      <c r="D30" s="45">
        <v>11.0</v>
      </c>
      <c r="E30" s="212">
        <v>5.33</v>
      </c>
      <c r="F30" s="213">
        <f t="shared" si="1"/>
        <v>31.98</v>
      </c>
      <c r="G30" s="212">
        <v>0.17</v>
      </c>
      <c r="H30" s="202">
        <f t="shared" si="2"/>
        <v>1.02</v>
      </c>
      <c r="I30" s="212">
        <v>0.33</v>
      </c>
      <c r="J30" s="243">
        <f t="shared" si="3"/>
        <v>1.98</v>
      </c>
      <c r="K30" s="226">
        <v>0.364</v>
      </c>
    </row>
    <row r="31">
      <c r="A31" s="106" t="s">
        <v>79</v>
      </c>
      <c r="B31" s="211">
        <v>6.0</v>
      </c>
      <c r="C31" s="212">
        <v>24.0</v>
      </c>
      <c r="D31" s="45">
        <v>6.0</v>
      </c>
      <c r="E31" s="212">
        <v>1.33</v>
      </c>
      <c r="F31" s="213">
        <f t="shared" si="1"/>
        <v>7.98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0.333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63</v>
      </c>
      <c r="B2" s="211">
        <v>6.0</v>
      </c>
      <c r="C2" s="212">
        <v>24.0</v>
      </c>
      <c r="D2" s="45">
        <v>21.0</v>
      </c>
      <c r="E2" s="212">
        <v>39.0</v>
      </c>
      <c r="F2" s="213">
        <f t="shared" ref="F2:F31" si="1">E2*B2</f>
        <v>234</v>
      </c>
      <c r="G2" s="212">
        <v>0.33</v>
      </c>
      <c r="H2" s="202">
        <f t="shared" ref="H2:H31" si="2">G2*B2</f>
        <v>1.98</v>
      </c>
      <c r="I2" s="212">
        <v>2.83</v>
      </c>
      <c r="J2" s="243">
        <f t="shared" ref="J2:J31" si="3">I2*B2</f>
        <v>16.98</v>
      </c>
      <c r="K2" s="226">
        <v>0.857</v>
      </c>
    </row>
    <row r="3">
      <c r="A3" s="106" t="s">
        <v>75</v>
      </c>
      <c r="B3" s="211">
        <v>6.0</v>
      </c>
      <c r="C3" s="212">
        <v>24.0</v>
      </c>
      <c r="D3" s="45">
        <v>18.0</v>
      </c>
      <c r="E3" s="212">
        <v>37.0</v>
      </c>
      <c r="F3" s="213">
        <f t="shared" si="1"/>
        <v>222</v>
      </c>
      <c r="G3" s="212">
        <v>0.0</v>
      </c>
      <c r="H3" s="202">
        <f t="shared" si="2"/>
        <v>0</v>
      </c>
      <c r="I3" s="212">
        <v>2.5</v>
      </c>
      <c r="J3" s="243">
        <f t="shared" si="3"/>
        <v>15</v>
      </c>
      <c r="K3" s="226">
        <v>1.0</v>
      </c>
    </row>
    <row r="4">
      <c r="A4" s="106" t="s">
        <v>89</v>
      </c>
      <c r="B4" s="211">
        <v>6.0</v>
      </c>
      <c r="C4" s="212">
        <v>24.0</v>
      </c>
      <c r="D4" s="45">
        <v>17.0</v>
      </c>
      <c r="E4" s="212">
        <v>35.67</v>
      </c>
      <c r="F4" s="213">
        <f t="shared" si="1"/>
        <v>214.02</v>
      </c>
      <c r="G4" s="212">
        <v>0.0</v>
      </c>
      <c r="H4" s="202">
        <f t="shared" si="2"/>
        <v>0</v>
      </c>
      <c r="I4" s="212">
        <v>2.5</v>
      </c>
      <c r="J4" s="243">
        <f t="shared" si="3"/>
        <v>15</v>
      </c>
      <c r="K4" s="226">
        <v>0.941</v>
      </c>
    </row>
    <row r="5">
      <c r="A5" s="106" t="s">
        <v>88</v>
      </c>
      <c r="B5" s="211">
        <v>6.0</v>
      </c>
      <c r="C5" s="212">
        <v>25.0</v>
      </c>
      <c r="D5" s="45">
        <v>20.0</v>
      </c>
      <c r="E5" s="212">
        <v>34.67</v>
      </c>
      <c r="F5" s="213">
        <f t="shared" si="1"/>
        <v>208.02</v>
      </c>
      <c r="G5" s="212">
        <v>0.17</v>
      </c>
      <c r="H5" s="202">
        <f t="shared" si="2"/>
        <v>1.02</v>
      </c>
      <c r="I5" s="212">
        <v>2.33</v>
      </c>
      <c r="J5" s="243">
        <f t="shared" si="3"/>
        <v>13.98</v>
      </c>
      <c r="K5" s="226">
        <v>0.9</v>
      </c>
    </row>
    <row r="6">
      <c r="A6" s="106" t="s">
        <v>92</v>
      </c>
      <c r="B6" s="211">
        <v>6.0</v>
      </c>
      <c r="C6" s="212">
        <v>24.0</v>
      </c>
      <c r="D6" s="45">
        <v>18.0</v>
      </c>
      <c r="E6" s="212">
        <v>33.0</v>
      </c>
      <c r="F6" s="213">
        <f t="shared" si="1"/>
        <v>198</v>
      </c>
      <c r="G6" s="212">
        <v>0.0</v>
      </c>
      <c r="H6" s="202">
        <f t="shared" si="2"/>
        <v>0</v>
      </c>
      <c r="I6" s="212">
        <v>2.17</v>
      </c>
      <c r="J6" s="243">
        <f t="shared" si="3"/>
        <v>13.02</v>
      </c>
      <c r="K6" s="226">
        <v>0.944</v>
      </c>
    </row>
    <row r="7">
      <c r="A7" s="106" t="s">
        <v>58</v>
      </c>
      <c r="B7" s="211">
        <v>6.0</v>
      </c>
      <c r="C7" s="212">
        <v>24.0</v>
      </c>
      <c r="D7" s="45">
        <v>19.0</v>
      </c>
      <c r="E7" s="212">
        <v>32.33</v>
      </c>
      <c r="F7" s="213">
        <f t="shared" si="1"/>
        <v>193.98</v>
      </c>
      <c r="G7" s="212">
        <v>0.17</v>
      </c>
      <c r="H7" s="202">
        <f t="shared" si="2"/>
        <v>1.02</v>
      </c>
      <c r="I7" s="212">
        <v>2.17</v>
      </c>
      <c r="J7" s="243">
        <f t="shared" si="3"/>
        <v>13.02</v>
      </c>
      <c r="K7" s="226">
        <v>0.895</v>
      </c>
    </row>
    <row r="8">
      <c r="A8" s="106" t="s">
        <v>94</v>
      </c>
      <c r="B8" s="211">
        <v>6.0</v>
      </c>
      <c r="C8" s="212">
        <v>24.0</v>
      </c>
      <c r="D8" s="45">
        <v>17.0</v>
      </c>
      <c r="E8" s="212">
        <v>30.0</v>
      </c>
      <c r="F8" s="213">
        <f t="shared" si="1"/>
        <v>180</v>
      </c>
      <c r="G8" s="212">
        <v>0.17</v>
      </c>
      <c r="H8" s="202">
        <f t="shared" si="2"/>
        <v>1.02</v>
      </c>
      <c r="I8" s="212">
        <v>2.0</v>
      </c>
      <c r="J8" s="243">
        <f t="shared" si="3"/>
        <v>12</v>
      </c>
      <c r="K8" s="226">
        <v>0.941</v>
      </c>
    </row>
    <row r="9">
      <c r="A9" s="106" t="s">
        <v>93</v>
      </c>
      <c r="B9" s="211">
        <v>6.0</v>
      </c>
      <c r="C9" s="212">
        <v>23.0</v>
      </c>
      <c r="D9" s="45">
        <v>17.0</v>
      </c>
      <c r="E9" s="212">
        <v>29.67</v>
      </c>
      <c r="F9" s="213">
        <f t="shared" si="1"/>
        <v>178.02</v>
      </c>
      <c r="G9" s="212">
        <v>0.33</v>
      </c>
      <c r="H9" s="202">
        <f t="shared" si="2"/>
        <v>1.98</v>
      </c>
      <c r="I9" s="212">
        <v>2.17</v>
      </c>
      <c r="J9" s="243">
        <f t="shared" si="3"/>
        <v>13.02</v>
      </c>
      <c r="K9" s="226">
        <v>0.824</v>
      </c>
    </row>
    <row r="10">
      <c r="A10" s="106" t="s">
        <v>78</v>
      </c>
      <c r="B10" s="211">
        <v>6.0</v>
      </c>
      <c r="C10" s="212">
        <v>25.0</v>
      </c>
      <c r="D10" s="45">
        <v>16.0</v>
      </c>
      <c r="E10" s="212">
        <v>29.33</v>
      </c>
      <c r="F10" s="213">
        <f t="shared" si="1"/>
        <v>175.98</v>
      </c>
      <c r="G10" s="212">
        <v>0.17</v>
      </c>
      <c r="H10" s="202">
        <f t="shared" si="2"/>
        <v>1.02</v>
      </c>
      <c r="I10" s="212">
        <v>2.0</v>
      </c>
      <c r="J10" s="243">
        <f t="shared" si="3"/>
        <v>12</v>
      </c>
      <c r="K10" s="226">
        <v>0.938</v>
      </c>
    </row>
    <row r="11">
      <c r="A11" s="106" t="s">
        <v>54</v>
      </c>
      <c r="B11" s="211">
        <v>6.0</v>
      </c>
      <c r="C11" s="212">
        <v>25.0</v>
      </c>
      <c r="D11" s="45">
        <v>15.0</v>
      </c>
      <c r="E11" s="212">
        <v>26.33</v>
      </c>
      <c r="F11" s="213">
        <f t="shared" si="1"/>
        <v>157.98</v>
      </c>
      <c r="G11" s="212">
        <v>0.17</v>
      </c>
      <c r="H11" s="202">
        <f t="shared" si="2"/>
        <v>1.02</v>
      </c>
      <c r="I11" s="212">
        <v>1.83</v>
      </c>
      <c r="J11" s="243">
        <f t="shared" si="3"/>
        <v>10.98</v>
      </c>
      <c r="K11" s="226">
        <v>0.867</v>
      </c>
    </row>
    <row r="12">
      <c r="A12" s="106" t="s">
        <v>57</v>
      </c>
      <c r="B12" s="211">
        <v>6.0</v>
      </c>
      <c r="C12" s="212">
        <v>24.0</v>
      </c>
      <c r="D12" s="45">
        <v>17.0</v>
      </c>
      <c r="E12" s="212">
        <v>25.0</v>
      </c>
      <c r="F12" s="213">
        <f t="shared" si="1"/>
        <v>150</v>
      </c>
      <c r="G12" s="212">
        <v>0.0</v>
      </c>
      <c r="H12" s="202">
        <f t="shared" si="2"/>
        <v>0</v>
      </c>
      <c r="I12" s="212">
        <v>1.5</v>
      </c>
      <c r="J12" s="243">
        <f t="shared" si="3"/>
        <v>9</v>
      </c>
      <c r="K12" s="226">
        <v>0.882</v>
      </c>
    </row>
    <row r="13">
      <c r="A13" s="106" t="s">
        <v>50</v>
      </c>
      <c r="B13" s="211">
        <v>6.0</v>
      </c>
      <c r="C13" s="212">
        <v>24.0</v>
      </c>
      <c r="D13" s="45">
        <v>14.0</v>
      </c>
      <c r="E13" s="212">
        <v>24.0</v>
      </c>
      <c r="F13" s="213">
        <f t="shared" si="1"/>
        <v>144</v>
      </c>
      <c r="G13" s="212">
        <v>0.17</v>
      </c>
      <c r="H13" s="202">
        <f t="shared" si="2"/>
        <v>1.02</v>
      </c>
      <c r="I13" s="212">
        <v>1.67</v>
      </c>
      <c r="J13" s="243">
        <f t="shared" si="3"/>
        <v>10.02</v>
      </c>
      <c r="K13" s="226">
        <v>0.857</v>
      </c>
    </row>
    <row r="14">
      <c r="A14" s="106" t="s">
        <v>42</v>
      </c>
      <c r="B14" s="211">
        <v>6.0</v>
      </c>
      <c r="C14" s="212">
        <v>24.0</v>
      </c>
      <c r="D14" s="45">
        <v>12.0</v>
      </c>
      <c r="E14" s="212">
        <v>23.33</v>
      </c>
      <c r="F14" s="213">
        <f t="shared" si="1"/>
        <v>139.98</v>
      </c>
      <c r="G14" s="212">
        <v>0.17</v>
      </c>
      <c r="H14" s="202">
        <f t="shared" si="2"/>
        <v>1.02</v>
      </c>
      <c r="I14" s="212">
        <v>1.67</v>
      </c>
      <c r="J14" s="243">
        <f t="shared" si="3"/>
        <v>10.02</v>
      </c>
      <c r="K14" s="226">
        <v>0.917</v>
      </c>
    </row>
    <row r="15">
      <c r="A15" s="106" t="s">
        <v>64</v>
      </c>
      <c r="B15" s="211">
        <v>6.0</v>
      </c>
      <c r="C15" s="212">
        <v>24.0</v>
      </c>
      <c r="D15" s="45">
        <v>17.0</v>
      </c>
      <c r="E15" s="212">
        <v>23.33</v>
      </c>
      <c r="F15" s="213">
        <f t="shared" si="1"/>
        <v>139.98</v>
      </c>
      <c r="G15" s="212">
        <v>0.5</v>
      </c>
      <c r="H15" s="202">
        <f t="shared" si="2"/>
        <v>3</v>
      </c>
      <c r="I15" s="212">
        <v>1.67</v>
      </c>
      <c r="J15" s="243">
        <f t="shared" si="3"/>
        <v>10.02</v>
      </c>
      <c r="K15" s="226">
        <v>0.765</v>
      </c>
    </row>
    <row r="16">
      <c r="A16" s="106" t="s">
        <v>61</v>
      </c>
      <c r="B16" s="211">
        <v>6.0</v>
      </c>
      <c r="C16" s="212">
        <v>24.0</v>
      </c>
      <c r="D16" s="45">
        <v>18.0</v>
      </c>
      <c r="E16" s="212">
        <v>23.0</v>
      </c>
      <c r="F16" s="213">
        <f t="shared" si="1"/>
        <v>138</v>
      </c>
      <c r="G16" s="212">
        <v>0.5</v>
      </c>
      <c r="H16" s="202">
        <f t="shared" si="2"/>
        <v>3</v>
      </c>
      <c r="I16" s="212">
        <v>1.5</v>
      </c>
      <c r="J16" s="243">
        <f t="shared" si="3"/>
        <v>9</v>
      </c>
      <c r="K16" s="226">
        <v>0.833</v>
      </c>
    </row>
    <row r="17">
      <c r="A17" s="106" t="s">
        <v>56</v>
      </c>
      <c r="B17" s="211">
        <v>6.0</v>
      </c>
      <c r="C17" s="212">
        <v>24.0</v>
      </c>
      <c r="D17" s="45">
        <v>18.0</v>
      </c>
      <c r="E17" s="212">
        <v>21.0</v>
      </c>
      <c r="F17" s="213">
        <f t="shared" si="1"/>
        <v>126</v>
      </c>
      <c r="G17" s="212">
        <v>0.5</v>
      </c>
      <c r="H17" s="202">
        <f t="shared" si="2"/>
        <v>3</v>
      </c>
      <c r="I17" s="212">
        <v>1.5</v>
      </c>
      <c r="J17" s="243">
        <f t="shared" si="3"/>
        <v>9</v>
      </c>
      <c r="K17" s="226">
        <v>0.667</v>
      </c>
    </row>
    <row r="18">
      <c r="A18" s="106" t="s">
        <v>74</v>
      </c>
      <c r="B18" s="211">
        <v>6.0</v>
      </c>
      <c r="C18" s="212">
        <v>23.0</v>
      </c>
      <c r="D18" s="45">
        <v>14.0</v>
      </c>
      <c r="E18" s="212">
        <v>19.67</v>
      </c>
      <c r="F18" s="213">
        <f t="shared" si="1"/>
        <v>118.02</v>
      </c>
      <c r="G18" s="212">
        <v>0.17</v>
      </c>
      <c r="H18" s="202">
        <f t="shared" si="2"/>
        <v>1.02</v>
      </c>
      <c r="I18" s="212">
        <v>1.17</v>
      </c>
      <c r="J18" s="243">
        <f t="shared" si="3"/>
        <v>7.02</v>
      </c>
      <c r="K18" s="226">
        <v>0.929</v>
      </c>
    </row>
    <row r="19">
      <c r="A19" s="106" t="s">
        <v>67</v>
      </c>
      <c r="B19" s="211">
        <v>6.0</v>
      </c>
      <c r="C19" s="212">
        <v>23.0</v>
      </c>
      <c r="D19" s="45">
        <v>11.0</v>
      </c>
      <c r="E19" s="212">
        <v>19.33</v>
      </c>
      <c r="F19" s="213">
        <f t="shared" si="1"/>
        <v>115.98</v>
      </c>
      <c r="G19" s="212">
        <v>0.0</v>
      </c>
      <c r="H19" s="202">
        <f t="shared" si="2"/>
        <v>0</v>
      </c>
      <c r="I19" s="212">
        <v>1.33</v>
      </c>
      <c r="J19" s="243">
        <f t="shared" si="3"/>
        <v>7.98</v>
      </c>
      <c r="K19" s="226">
        <v>0.818</v>
      </c>
    </row>
    <row r="20">
      <c r="A20" s="106" t="s">
        <v>65</v>
      </c>
      <c r="B20" s="211">
        <v>6.0</v>
      </c>
      <c r="C20" s="212">
        <v>24.0</v>
      </c>
      <c r="D20" s="45">
        <v>12.0</v>
      </c>
      <c r="E20" s="212">
        <v>18.67</v>
      </c>
      <c r="F20" s="213">
        <f t="shared" si="1"/>
        <v>112.02</v>
      </c>
      <c r="G20" s="212">
        <v>0.17</v>
      </c>
      <c r="H20" s="202">
        <f t="shared" si="2"/>
        <v>1.02</v>
      </c>
      <c r="I20" s="212">
        <v>1.33</v>
      </c>
      <c r="J20" s="243">
        <f t="shared" si="3"/>
        <v>7.98</v>
      </c>
      <c r="K20" s="226">
        <v>0.75</v>
      </c>
    </row>
    <row r="21">
      <c r="A21" s="106" t="s">
        <v>91</v>
      </c>
      <c r="B21" s="211">
        <v>6.0</v>
      </c>
      <c r="C21" s="212">
        <v>23.0</v>
      </c>
      <c r="D21" s="45">
        <v>13.0</v>
      </c>
      <c r="E21" s="212">
        <v>18.33</v>
      </c>
      <c r="F21" s="213">
        <f t="shared" si="1"/>
        <v>109.98</v>
      </c>
      <c r="G21" s="212">
        <v>0.0</v>
      </c>
      <c r="H21" s="202">
        <f t="shared" si="2"/>
        <v>0</v>
      </c>
      <c r="I21" s="212">
        <v>1.17</v>
      </c>
      <c r="J21" s="243">
        <f t="shared" si="3"/>
        <v>7.02</v>
      </c>
      <c r="K21" s="226">
        <v>0.769</v>
      </c>
    </row>
    <row r="22">
      <c r="A22" s="106" t="s">
        <v>81</v>
      </c>
      <c r="B22" s="211">
        <v>6.0</v>
      </c>
      <c r="C22" s="212">
        <v>24.0</v>
      </c>
      <c r="D22" s="45">
        <v>13.0</v>
      </c>
      <c r="E22" s="212">
        <v>14.67</v>
      </c>
      <c r="F22" s="213">
        <f t="shared" si="1"/>
        <v>88.02</v>
      </c>
      <c r="G22" s="212">
        <v>0.33</v>
      </c>
      <c r="H22" s="202">
        <f t="shared" si="2"/>
        <v>1.98</v>
      </c>
      <c r="I22" s="212">
        <v>1.0</v>
      </c>
      <c r="J22" s="243">
        <f t="shared" si="3"/>
        <v>6</v>
      </c>
      <c r="K22" s="226">
        <v>0.692</v>
      </c>
    </row>
    <row r="23">
      <c r="A23" s="106" t="s">
        <v>60</v>
      </c>
      <c r="B23" s="211">
        <v>6.0</v>
      </c>
      <c r="C23" s="212">
        <v>25.0</v>
      </c>
      <c r="D23" s="45">
        <v>10.0</v>
      </c>
      <c r="E23" s="212">
        <v>13.0</v>
      </c>
      <c r="F23" s="213">
        <f t="shared" si="1"/>
        <v>78</v>
      </c>
      <c r="G23" s="212">
        <v>0.17</v>
      </c>
      <c r="H23" s="202">
        <f t="shared" si="2"/>
        <v>1.02</v>
      </c>
      <c r="I23" s="212">
        <v>0.83</v>
      </c>
      <c r="J23" s="243">
        <f t="shared" si="3"/>
        <v>4.98</v>
      </c>
      <c r="K23" s="226">
        <v>0.8</v>
      </c>
    </row>
    <row r="24">
      <c r="A24" s="106" t="s">
        <v>82</v>
      </c>
      <c r="B24" s="211">
        <v>6.0</v>
      </c>
      <c r="C24" s="212">
        <v>25.0</v>
      </c>
      <c r="D24" s="45">
        <v>12.0</v>
      </c>
      <c r="E24" s="212">
        <v>11.67</v>
      </c>
      <c r="F24" s="213">
        <f t="shared" si="1"/>
        <v>70.02</v>
      </c>
      <c r="G24" s="212">
        <v>0.0</v>
      </c>
      <c r="H24" s="202">
        <f t="shared" si="2"/>
        <v>0</v>
      </c>
      <c r="I24" s="212">
        <v>0.5</v>
      </c>
      <c r="J24" s="243">
        <f t="shared" si="3"/>
        <v>3</v>
      </c>
      <c r="K24" s="226">
        <v>0.833</v>
      </c>
    </row>
    <row r="25">
      <c r="A25" s="106" t="s">
        <v>99</v>
      </c>
      <c r="B25" s="211">
        <v>6.0</v>
      </c>
      <c r="C25" s="212">
        <v>24.0</v>
      </c>
      <c r="D25" s="45">
        <v>12.0</v>
      </c>
      <c r="E25" s="212">
        <v>10.33</v>
      </c>
      <c r="F25" s="213">
        <f t="shared" si="1"/>
        <v>61.98</v>
      </c>
      <c r="G25" s="212">
        <v>0.5</v>
      </c>
      <c r="H25" s="202">
        <f t="shared" si="2"/>
        <v>3</v>
      </c>
      <c r="I25" s="212">
        <v>0.83</v>
      </c>
      <c r="J25" s="243">
        <f t="shared" si="3"/>
        <v>4.98</v>
      </c>
      <c r="K25" s="226">
        <v>0.5</v>
      </c>
    </row>
    <row r="26">
      <c r="A26" s="106" t="s">
        <v>52</v>
      </c>
      <c r="B26" s="211">
        <v>6.0</v>
      </c>
      <c r="C26" s="212">
        <v>25.0</v>
      </c>
      <c r="D26" s="45">
        <v>9.0</v>
      </c>
      <c r="E26" s="212">
        <v>10.0</v>
      </c>
      <c r="F26" s="213">
        <f t="shared" si="1"/>
        <v>60</v>
      </c>
      <c r="G26" s="212">
        <v>0.17</v>
      </c>
      <c r="H26" s="202">
        <f t="shared" si="2"/>
        <v>1.02</v>
      </c>
      <c r="I26" s="212">
        <v>0.67</v>
      </c>
      <c r="J26" s="243">
        <f t="shared" si="3"/>
        <v>4.02</v>
      </c>
      <c r="K26" s="226">
        <v>0.667</v>
      </c>
    </row>
    <row r="27">
      <c r="A27" s="106" t="s">
        <v>40</v>
      </c>
      <c r="B27" s="211">
        <v>6.0</v>
      </c>
      <c r="C27" s="212">
        <v>23.0</v>
      </c>
      <c r="D27" s="45">
        <v>7.0</v>
      </c>
      <c r="E27" s="212">
        <v>9.0</v>
      </c>
      <c r="F27" s="213">
        <f t="shared" si="1"/>
        <v>54</v>
      </c>
      <c r="G27" s="212">
        <v>0.0</v>
      </c>
      <c r="H27" s="202">
        <f t="shared" si="2"/>
        <v>0</v>
      </c>
      <c r="I27" s="212">
        <v>0.5</v>
      </c>
      <c r="J27" s="243">
        <f t="shared" si="3"/>
        <v>3</v>
      </c>
      <c r="K27" s="226">
        <v>0.857</v>
      </c>
    </row>
    <row r="28">
      <c r="A28" s="106" t="s">
        <v>69</v>
      </c>
      <c r="B28" s="211">
        <v>6.0</v>
      </c>
      <c r="C28" s="212">
        <v>22.0</v>
      </c>
      <c r="D28" s="45">
        <v>8.0</v>
      </c>
      <c r="E28" s="212">
        <v>6.0</v>
      </c>
      <c r="F28" s="213">
        <f t="shared" si="1"/>
        <v>36</v>
      </c>
      <c r="G28" s="212">
        <v>0.17</v>
      </c>
      <c r="H28" s="202">
        <f t="shared" si="2"/>
        <v>1.02</v>
      </c>
      <c r="I28" s="212">
        <v>0.33</v>
      </c>
      <c r="J28" s="243">
        <f t="shared" si="3"/>
        <v>1.98</v>
      </c>
      <c r="K28" s="226">
        <v>0.625</v>
      </c>
    </row>
    <row r="29">
      <c r="A29" s="106" t="s">
        <v>44</v>
      </c>
      <c r="B29" s="211">
        <v>6.0</v>
      </c>
      <c r="C29" s="212">
        <v>24.0</v>
      </c>
      <c r="D29" s="45">
        <v>7.0</v>
      </c>
      <c r="E29" s="212">
        <v>6.0</v>
      </c>
      <c r="F29" s="213">
        <f t="shared" si="1"/>
        <v>36</v>
      </c>
      <c r="G29" s="212">
        <v>0.0</v>
      </c>
      <c r="H29" s="202">
        <f t="shared" si="2"/>
        <v>0</v>
      </c>
      <c r="I29" s="212">
        <v>0.33</v>
      </c>
      <c r="J29" s="243">
        <f t="shared" si="3"/>
        <v>1.98</v>
      </c>
      <c r="K29" s="226">
        <v>0.571</v>
      </c>
    </row>
    <row r="30">
      <c r="A30" s="106" t="s">
        <v>106</v>
      </c>
      <c r="B30" s="211">
        <v>6.0</v>
      </c>
      <c r="C30" s="212">
        <v>24.0</v>
      </c>
      <c r="D30" s="45">
        <v>14.0</v>
      </c>
      <c r="E30" s="212">
        <v>5.0</v>
      </c>
      <c r="F30" s="213">
        <f t="shared" si="1"/>
        <v>30</v>
      </c>
      <c r="G30" s="212">
        <v>0.67</v>
      </c>
      <c r="H30" s="202">
        <f t="shared" si="2"/>
        <v>4.02</v>
      </c>
      <c r="I30" s="212">
        <v>0.5</v>
      </c>
      <c r="J30" s="243">
        <f t="shared" si="3"/>
        <v>3</v>
      </c>
      <c r="K30" s="226">
        <v>0.286</v>
      </c>
    </row>
    <row r="31">
      <c r="A31" s="106" t="s">
        <v>79</v>
      </c>
      <c r="B31" s="211">
        <v>6.0</v>
      </c>
      <c r="C31" s="212">
        <v>23.0</v>
      </c>
      <c r="D31" s="45">
        <v>2.0</v>
      </c>
      <c r="E31" s="212">
        <v>0.67</v>
      </c>
      <c r="F31" s="213">
        <f t="shared" si="1"/>
        <v>4.02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0.5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50</v>
      </c>
      <c r="B2" s="211">
        <v>4.0</v>
      </c>
      <c r="C2" s="212">
        <v>92.0</v>
      </c>
      <c r="D2" s="45">
        <v>76.0</v>
      </c>
      <c r="E2" s="212">
        <v>123.0</v>
      </c>
      <c r="F2" s="213">
        <f t="shared" ref="F2:F31" si="1">E2*B2</f>
        <v>492</v>
      </c>
      <c r="G2" s="212">
        <v>2.0</v>
      </c>
      <c r="H2" s="202">
        <f t="shared" ref="H2:H31" si="2">G2*B2</f>
        <v>8</v>
      </c>
      <c r="I2" s="212">
        <v>7.5</v>
      </c>
      <c r="J2" s="243">
        <f t="shared" ref="J2:J31" si="3">I2*B2</f>
        <v>30</v>
      </c>
      <c r="K2" s="226">
        <v>0.737</v>
      </c>
    </row>
    <row r="3">
      <c r="A3" s="106" t="s">
        <v>93</v>
      </c>
      <c r="B3" s="211">
        <v>4.0</v>
      </c>
      <c r="C3" s="212">
        <v>92.0</v>
      </c>
      <c r="D3" s="45">
        <v>70.0</v>
      </c>
      <c r="E3" s="212">
        <v>122.5</v>
      </c>
      <c r="F3" s="213">
        <f t="shared" si="1"/>
        <v>490</v>
      </c>
      <c r="G3" s="212">
        <v>2.25</v>
      </c>
      <c r="H3" s="202">
        <f t="shared" si="2"/>
        <v>9</v>
      </c>
      <c r="I3" s="212">
        <v>8.75</v>
      </c>
      <c r="J3" s="243">
        <f t="shared" si="3"/>
        <v>35</v>
      </c>
      <c r="K3" s="226">
        <v>0.629</v>
      </c>
    </row>
    <row r="4">
      <c r="A4" s="106" t="s">
        <v>63</v>
      </c>
      <c r="B4" s="211">
        <v>4.0</v>
      </c>
      <c r="C4" s="212">
        <v>92.0</v>
      </c>
      <c r="D4" s="45">
        <v>71.0</v>
      </c>
      <c r="E4" s="212">
        <v>101.5</v>
      </c>
      <c r="F4" s="213">
        <f t="shared" si="1"/>
        <v>406</v>
      </c>
      <c r="G4" s="212">
        <v>4.5</v>
      </c>
      <c r="H4" s="202">
        <f t="shared" si="2"/>
        <v>18</v>
      </c>
      <c r="I4" s="212">
        <v>7.75</v>
      </c>
      <c r="J4" s="243">
        <f t="shared" si="3"/>
        <v>31</v>
      </c>
      <c r="K4" s="226">
        <v>0.592</v>
      </c>
    </row>
    <row r="5">
      <c r="A5" s="106" t="s">
        <v>61</v>
      </c>
      <c r="B5" s="211">
        <v>4.0</v>
      </c>
      <c r="C5" s="212">
        <v>92.0</v>
      </c>
      <c r="D5" s="45">
        <v>57.0</v>
      </c>
      <c r="E5" s="212">
        <v>101.5</v>
      </c>
      <c r="F5" s="213">
        <f t="shared" si="1"/>
        <v>406</v>
      </c>
      <c r="G5" s="212">
        <v>1.75</v>
      </c>
      <c r="H5" s="202">
        <f t="shared" si="2"/>
        <v>7</v>
      </c>
      <c r="I5" s="212">
        <v>6.75</v>
      </c>
      <c r="J5" s="243">
        <f t="shared" si="3"/>
        <v>27</v>
      </c>
      <c r="K5" s="226">
        <v>0.719</v>
      </c>
    </row>
    <row r="6">
      <c r="A6" s="106" t="s">
        <v>75</v>
      </c>
      <c r="B6" s="211">
        <v>4.0</v>
      </c>
      <c r="C6" s="212">
        <v>92.0</v>
      </c>
      <c r="D6" s="45">
        <v>69.0</v>
      </c>
      <c r="E6" s="212">
        <v>92.0</v>
      </c>
      <c r="F6" s="213">
        <f t="shared" si="1"/>
        <v>368</v>
      </c>
      <c r="G6" s="212">
        <v>2.5</v>
      </c>
      <c r="H6" s="202">
        <f t="shared" si="2"/>
        <v>10</v>
      </c>
      <c r="I6" s="212">
        <v>6.5</v>
      </c>
      <c r="J6" s="243">
        <f t="shared" si="3"/>
        <v>26</v>
      </c>
      <c r="K6" s="226">
        <v>0.536</v>
      </c>
    </row>
    <row r="7">
      <c r="A7" s="106" t="s">
        <v>99</v>
      </c>
      <c r="B7" s="211">
        <v>4.0</v>
      </c>
      <c r="C7" s="212">
        <v>92.0</v>
      </c>
      <c r="D7" s="45">
        <v>74.0</v>
      </c>
      <c r="E7" s="212">
        <v>91.5</v>
      </c>
      <c r="F7" s="213">
        <f t="shared" si="1"/>
        <v>366</v>
      </c>
      <c r="G7" s="212">
        <v>2.25</v>
      </c>
      <c r="H7" s="202">
        <f t="shared" si="2"/>
        <v>9</v>
      </c>
      <c r="I7" s="212">
        <v>6.25</v>
      </c>
      <c r="J7" s="243">
        <f t="shared" si="3"/>
        <v>25</v>
      </c>
      <c r="K7" s="226">
        <v>0.514</v>
      </c>
    </row>
    <row r="8">
      <c r="A8" s="106" t="s">
        <v>58</v>
      </c>
      <c r="B8" s="211">
        <v>4.0</v>
      </c>
      <c r="C8" s="212">
        <v>91.0</v>
      </c>
      <c r="D8" s="45">
        <v>76.0</v>
      </c>
      <c r="E8" s="212">
        <v>91.0</v>
      </c>
      <c r="F8" s="213">
        <f t="shared" si="1"/>
        <v>364</v>
      </c>
      <c r="G8" s="212">
        <v>2.0</v>
      </c>
      <c r="H8" s="202">
        <f t="shared" si="2"/>
        <v>8</v>
      </c>
      <c r="I8" s="212">
        <v>5.5</v>
      </c>
      <c r="J8" s="243">
        <f t="shared" si="3"/>
        <v>22</v>
      </c>
      <c r="K8" s="226">
        <v>0.579</v>
      </c>
    </row>
    <row r="9">
      <c r="A9" s="106" t="s">
        <v>57</v>
      </c>
      <c r="B9" s="211">
        <v>4.0</v>
      </c>
      <c r="C9" s="212">
        <v>92.0</v>
      </c>
      <c r="D9" s="45">
        <v>64.0</v>
      </c>
      <c r="E9" s="212">
        <v>87.0</v>
      </c>
      <c r="F9" s="213">
        <f t="shared" si="1"/>
        <v>348</v>
      </c>
      <c r="G9" s="212">
        <v>2.25</v>
      </c>
      <c r="H9" s="202">
        <f t="shared" si="2"/>
        <v>9</v>
      </c>
      <c r="I9" s="212">
        <v>6.0</v>
      </c>
      <c r="J9" s="243">
        <f t="shared" si="3"/>
        <v>24</v>
      </c>
      <c r="K9" s="226">
        <v>0.563</v>
      </c>
    </row>
    <row r="10">
      <c r="A10" s="106" t="s">
        <v>81</v>
      </c>
      <c r="B10" s="211">
        <v>4.0</v>
      </c>
      <c r="C10" s="212">
        <v>92.0</v>
      </c>
      <c r="D10" s="45">
        <v>68.0</v>
      </c>
      <c r="E10" s="212">
        <v>84.5</v>
      </c>
      <c r="F10" s="213">
        <f t="shared" si="1"/>
        <v>338</v>
      </c>
      <c r="G10" s="212">
        <v>3.0</v>
      </c>
      <c r="H10" s="202">
        <f t="shared" si="2"/>
        <v>12</v>
      </c>
      <c r="I10" s="212">
        <v>6.25</v>
      </c>
      <c r="J10" s="243">
        <f t="shared" si="3"/>
        <v>25</v>
      </c>
      <c r="K10" s="226">
        <v>0.5</v>
      </c>
    </row>
    <row r="11">
      <c r="A11" s="106" t="s">
        <v>65</v>
      </c>
      <c r="B11" s="211">
        <v>4.0</v>
      </c>
      <c r="C11" s="212">
        <v>91.0</v>
      </c>
      <c r="D11" s="45">
        <v>75.0</v>
      </c>
      <c r="E11" s="212">
        <v>82.0</v>
      </c>
      <c r="F11" s="213">
        <f t="shared" si="1"/>
        <v>328</v>
      </c>
      <c r="G11" s="212">
        <v>3.0</v>
      </c>
      <c r="H11" s="202">
        <f t="shared" si="2"/>
        <v>12</v>
      </c>
      <c r="I11" s="212">
        <v>5.5</v>
      </c>
      <c r="J11" s="243">
        <f t="shared" si="3"/>
        <v>22</v>
      </c>
      <c r="K11" s="226">
        <v>0.52</v>
      </c>
    </row>
    <row r="12">
      <c r="A12" s="106" t="s">
        <v>106</v>
      </c>
      <c r="B12" s="211">
        <v>4.0</v>
      </c>
      <c r="C12" s="212">
        <v>92.0</v>
      </c>
      <c r="D12" s="45">
        <v>69.0</v>
      </c>
      <c r="E12" s="212">
        <v>80.0</v>
      </c>
      <c r="F12" s="213">
        <f t="shared" si="1"/>
        <v>320</v>
      </c>
      <c r="G12" s="212">
        <v>2.75</v>
      </c>
      <c r="H12" s="202">
        <f t="shared" si="2"/>
        <v>11</v>
      </c>
      <c r="I12" s="212">
        <v>5.0</v>
      </c>
      <c r="J12" s="243">
        <f t="shared" si="3"/>
        <v>20</v>
      </c>
      <c r="K12" s="226">
        <v>0.594</v>
      </c>
    </row>
    <row r="13">
      <c r="A13" s="106" t="s">
        <v>94</v>
      </c>
      <c r="B13" s="211">
        <v>4.0</v>
      </c>
      <c r="C13" s="212">
        <v>92.0</v>
      </c>
      <c r="D13" s="45">
        <v>59.0</v>
      </c>
      <c r="E13" s="212">
        <v>77.0</v>
      </c>
      <c r="F13" s="213">
        <f t="shared" si="1"/>
        <v>308</v>
      </c>
      <c r="G13" s="212">
        <v>2.5</v>
      </c>
      <c r="H13" s="202">
        <f t="shared" si="2"/>
        <v>10</v>
      </c>
      <c r="I13" s="212">
        <v>5.0</v>
      </c>
      <c r="J13" s="243">
        <f t="shared" si="3"/>
        <v>20</v>
      </c>
      <c r="K13" s="226">
        <v>0.627</v>
      </c>
    </row>
    <row r="14">
      <c r="A14" s="106" t="s">
        <v>42</v>
      </c>
      <c r="B14" s="211">
        <v>4.0</v>
      </c>
      <c r="C14" s="212">
        <v>92.0</v>
      </c>
      <c r="D14" s="45">
        <v>52.0</v>
      </c>
      <c r="E14" s="212">
        <v>74.5</v>
      </c>
      <c r="F14" s="213">
        <f t="shared" si="1"/>
        <v>298</v>
      </c>
      <c r="G14" s="212">
        <v>0.75</v>
      </c>
      <c r="H14" s="202">
        <f t="shared" si="2"/>
        <v>3</v>
      </c>
      <c r="I14" s="212">
        <v>4.25</v>
      </c>
      <c r="J14" s="243">
        <f t="shared" si="3"/>
        <v>17</v>
      </c>
      <c r="K14" s="226">
        <v>0.673</v>
      </c>
    </row>
    <row r="15">
      <c r="A15" s="106" t="s">
        <v>56</v>
      </c>
      <c r="B15" s="211">
        <v>4.0</v>
      </c>
      <c r="C15" s="212">
        <v>92.0</v>
      </c>
      <c r="D15" s="45">
        <v>74.0</v>
      </c>
      <c r="E15" s="212">
        <v>74.0</v>
      </c>
      <c r="F15" s="213">
        <f t="shared" si="1"/>
        <v>296</v>
      </c>
      <c r="G15" s="212">
        <v>3.5</v>
      </c>
      <c r="H15" s="202">
        <f t="shared" si="2"/>
        <v>14</v>
      </c>
      <c r="I15" s="212">
        <v>5.0</v>
      </c>
      <c r="J15" s="243">
        <f t="shared" si="3"/>
        <v>20</v>
      </c>
      <c r="K15" s="226">
        <v>0.514</v>
      </c>
    </row>
    <row r="16">
      <c r="A16" s="106" t="s">
        <v>89</v>
      </c>
      <c r="B16" s="211">
        <v>4.0</v>
      </c>
      <c r="C16" s="212">
        <v>92.0</v>
      </c>
      <c r="D16" s="45">
        <v>71.0</v>
      </c>
      <c r="E16" s="212">
        <v>74.0</v>
      </c>
      <c r="F16" s="213">
        <f t="shared" si="1"/>
        <v>296</v>
      </c>
      <c r="G16" s="212">
        <v>1.75</v>
      </c>
      <c r="H16" s="202">
        <f t="shared" si="2"/>
        <v>7</v>
      </c>
      <c r="I16" s="212">
        <v>4.5</v>
      </c>
      <c r="J16" s="243">
        <f t="shared" si="3"/>
        <v>18</v>
      </c>
      <c r="K16" s="226">
        <v>0.507</v>
      </c>
    </row>
    <row r="17">
      <c r="A17" s="106" t="s">
        <v>88</v>
      </c>
      <c r="B17" s="211">
        <v>4.0</v>
      </c>
      <c r="C17" s="212">
        <v>92.0</v>
      </c>
      <c r="D17" s="45">
        <v>68.0</v>
      </c>
      <c r="E17" s="212">
        <v>71.5</v>
      </c>
      <c r="F17" s="213">
        <f t="shared" si="1"/>
        <v>286</v>
      </c>
      <c r="G17" s="212">
        <v>4.5</v>
      </c>
      <c r="H17" s="202">
        <f t="shared" si="2"/>
        <v>18</v>
      </c>
      <c r="I17" s="212">
        <v>5.25</v>
      </c>
      <c r="J17" s="243">
        <f t="shared" si="3"/>
        <v>21</v>
      </c>
      <c r="K17" s="226">
        <v>0.544</v>
      </c>
    </row>
    <row r="18">
      <c r="A18" s="106" t="s">
        <v>54</v>
      </c>
      <c r="B18" s="211">
        <v>4.0</v>
      </c>
      <c r="C18" s="212">
        <v>92.0</v>
      </c>
      <c r="D18" s="45">
        <v>57.0</v>
      </c>
      <c r="E18" s="212">
        <v>69.5</v>
      </c>
      <c r="F18" s="213">
        <f t="shared" si="1"/>
        <v>278</v>
      </c>
      <c r="G18" s="212">
        <v>2.0</v>
      </c>
      <c r="H18" s="202">
        <f t="shared" si="2"/>
        <v>8</v>
      </c>
      <c r="I18" s="212">
        <v>4.75</v>
      </c>
      <c r="J18" s="243">
        <f t="shared" si="3"/>
        <v>19</v>
      </c>
      <c r="K18" s="226">
        <v>0.526</v>
      </c>
    </row>
    <row r="19">
      <c r="A19" s="106" t="s">
        <v>40</v>
      </c>
      <c r="B19" s="211">
        <v>4.0</v>
      </c>
      <c r="C19" s="212">
        <v>92.0</v>
      </c>
      <c r="D19" s="45">
        <v>63.0</v>
      </c>
      <c r="E19" s="212">
        <v>66.5</v>
      </c>
      <c r="F19" s="213">
        <f t="shared" si="1"/>
        <v>266</v>
      </c>
      <c r="G19" s="212">
        <v>0.5</v>
      </c>
      <c r="H19" s="202">
        <f t="shared" si="2"/>
        <v>2</v>
      </c>
      <c r="I19" s="212">
        <v>3.25</v>
      </c>
      <c r="J19" s="243">
        <f t="shared" si="3"/>
        <v>13</v>
      </c>
      <c r="K19" s="226">
        <v>0.571</v>
      </c>
    </row>
    <row r="20">
      <c r="A20" s="106" t="s">
        <v>64</v>
      </c>
      <c r="B20" s="211">
        <v>4.0</v>
      </c>
      <c r="C20" s="212">
        <v>92.0</v>
      </c>
      <c r="D20" s="45">
        <v>66.0</v>
      </c>
      <c r="E20" s="212">
        <v>62.5</v>
      </c>
      <c r="F20" s="213">
        <f t="shared" si="1"/>
        <v>250</v>
      </c>
      <c r="G20" s="212">
        <v>3.25</v>
      </c>
      <c r="H20" s="202">
        <f t="shared" si="2"/>
        <v>13</v>
      </c>
      <c r="I20" s="212">
        <v>4.75</v>
      </c>
      <c r="J20" s="243">
        <f t="shared" si="3"/>
        <v>19</v>
      </c>
      <c r="K20" s="226">
        <v>0.424</v>
      </c>
    </row>
    <row r="21">
      <c r="A21" s="106" t="s">
        <v>60</v>
      </c>
      <c r="B21" s="211">
        <v>4.0</v>
      </c>
      <c r="C21" s="212">
        <v>77.0</v>
      </c>
      <c r="D21" s="45">
        <v>54.0</v>
      </c>
      <c r="E21" s="212">
        <v>55.0</v>
      </c>
      <c r="F21" s="213">
        <f t="shared" si="1"/>
        <v>220</v>
      </c>
      <c r="G21" s="212">
        <v>1.5</v>
      </c>
      <c r="H21" s="202">
        <f t="shared" si="2"/>
        <v>6</v>
      </c>
      <c r="I21" s="212">
        <v>3.0</v>
      </c>
      <c r="J21" s="243">
        <f t="shared" si="3"/>
        <v>12</v>
      </c>
      <c r="K21" s="226">
        <v>0.574</v>
      </c>
    </row>
    <row r="22">
      <c r="A22" s="106" t="s">
        <v>78</v>
      </c>
      <c r="B22" s="211">
        <v>4.0</v>
      </c>
      <c r="C22" s="212">
        <v>89.0</v>
      </c>
      <c r="D22" s="45">
        <v>51.0</v>
      </c>
      <c r="E22" s="212">
        <v>50.0</v>
      </c>
      <c r="F22" s="213">
        <f t="shared" si="1"/>
        <v>200</v>
      </c>
      <c r="G22" s="212">
        <v>2.25</v>
      </c>
      <c r="H22" s="202">
        <f t="shared" si="2"/>
        <v>9</v>
      </c>
      <c r="I22" s="212">
        <v>3.5</v>
      </c>
      <c r="J22" s="243">
        <f t="shared" si="3"/>
        <v>14</v>
      </c>
      <c r="K22" s="226">
        <v>0.471</v>
      </c>
    </row>
    <row r="23">
      <c r="A23" s="106" t="s">
        <v>82</v>
      </c>
      <c r="B23" s="211">
        <v>4.0</v>
      </c>
      <c r="C23" s="212">
        <v>92.0</v>
      </c>
      <c r="D23" s="45">
        <v>73.0</v>
      </c>
      <c r="E23" s="212">
        <v>42.5</v>
      </c>
      <c r="F23" s="213">
        <f t="shared" si="1"/>
        <v>170</v>
      </c>
      <c r="G23" s="212">
        <v>1.0</v>
      </c>
      <c r="H23" s="202">
        <f t="shared" si="2"/>
        <v>4</v>
      </c>
      <c r="I23" s="212">
        <v>2.25</v>
      </c>
      <c r="J23" s="243">
        <f t="shared" si="3"/>
        <v>9</v>
      </c>
      <c r="K23" s="226">
        <v>0.329</v>
      </c>
    </row>
    <row r="24">
      <c r="A24" s="106" t="s">
        <v>67</v>
      </c>
      <c r="B24" s="211">
        <v>3.0</v>
      </c>
      <c r="C24" s="212">
        <v>54.0</v>
      </c>
      <c r="D24" s="45">
        <v>29.0</v>
      </c>
      <c r="E24" s="212">
        <v>54.67</v>
      </c>
      <c r="F24" s="213">
        <f t="shared" si="1"/>
        <v>164.01</v>
      </c>
      <c r="G24" s="212">
        <v>0.33</v>
      </c>
      <c r="H24" s="202">
        <f t="shared" si="2"/>
        <v>0.99</v>
      </c>
      <c r="I24" s="212">
        <v>3.33</v>
      </c>
      <c r="J24" s="243">
        <f t="shared" si="3"/>
        <v>9.99</v>
      </c>
      <c r="K24" s="226">
        <v>0.586</v>
      </c>
    </row>
    <row r="25">
      <c r="A25" s="106" t="s">
        <v>44</v>
      </c>
      <c r="B25" s="211">
        <v>4.0</v>
      </c>
      <c r="C25" s="212">
        <v>91.0</v>
      </c>
      <c r="D25" s="45">
        <v>55.0</v>
      </c>
      <c r="E25" s="212">
        <v>36.0</v>
      </c>
      <c r="F25" s="213">
        <f t="shared" si="1"/>
        <v>144</v>
      </c>
      <c r="G25" s="212">
        <v>0.0</v>
      </c>
      <c r="H25" s="202">
        <f t="shared" si="2"/>
        <v>0</v>
      </c>
      <c r="I25" s="212">
        <v>1.5</v>
      </c>
      <c r="J25" s="243">
        <f t="shared" si="3"/>
        <v>6</v>
      </c>
      <c r="K25" s="226">
        <v>0.382</v>
      </c>
    </row>
    <row r="26">
      <c r="A26" s="106" t="s">
        <v>52</v>
      </c>
      <c r="B26" s="211">
        <v>4.0</v>
      </c>
      <c r="C26" s="212">
        <v>96.0</v>
      </c>
      <c r="D26" s="45">
        <v>75.0</v>
      </c>
      <c r="E26" s="212">
        <v>36.0</v>
      </c>
      <c r="F26" s="213">
        <f t="shared" si="1"/>
        <v>144</v>
      </c>
      <c r="G26" s="212">
        <v>0.5</v>
      </c>
      <c r="H26" s="202">
        <f t="shared" si="2"/>
        <v>2</v>
      </c>
      <c r="I26" s="212">
        <v>1.0</v>
      </c>
      <c r="J26" s="243">
        <f t="shared" si="3"/>
        <v>4</v>
      </c>
      <c r="K26" s="226">
        <v>0.373</v>
      </c>
    </row>
    <row r="27">
      <c r="A27" s="106" t="s">
        <v>74</v>
      </c>
      <c r="B27" s="211">
        <v>4.0</v>
      </c>
      <c r="C27" s="212">
        <v>89.0</v>
      </c>
      <c r="D27" s="45">
        <v>56.0</v>
      </c>
      <c r="E27" s="212">
        <v>34.5</v>
      </c>
      <c r="F27" s="213">
        <f t="shared" si="1"/>
        <v>138</v>
      </c>
      <c r="G27" s="212">
        <v>1.75</v>
      </c>
      <c r="H27" s="202">
        <f t="shared" si="2"/>
        <v>7</v>
      </c>
      <c r="I27" s="212">
        <v>1.75</v>
      </c>
      <c r="J27" s="243">
        <f t="shared" si="3"/>
        <v>7</v>
      </c>
      <c r="K27" s="226">
        <v>0.429</v>
      </c>
    </row>
    <row r="28">
      <c r="A28" s="106" t="s">
        <v>91</v>
      </c>
      <c r="B28" s="211">
        <v>4.0</v>
      </c>
      <c r="C28" s="212">
        <v>92.0</v>
      </c>
      <c r="D28" s="45">
        <v>60.0</v>
      </c>
      <c r="E28" s="212">
        <v>33.5</v>
      </c>
      <c r="F28" s="213">
        <f t="shared" si="1"/>
        <v>134</v>
      </c>
      <c r="G28" s="212">
        <v>2.25</v>
      </c>
      <c r="H28" s="202">
        <f t="shared" si="2"/>
        <v>9</v>
      </c>
      <c r="I28" s="212">
        <v>2.25</v>
      </c>
      <c r="J28" s="243">
        <f t="shared" si="3"/>
        <v>9</v>
      </c>
      <c r="K28" s="226">
        <v>0.333</v>
      </c>
    </row>
    <row r="29">
      <c r="A29" s="106" t="s">
        <v>92</v>
      </c>
      <c r="B29" s="211">
        <v>3.0</v>
      </c>
      <c r="C29" s="212">
        <v>69.0</v>
      </c>
      <c r="D29" s="45">
        <v>53.0</v>
      </c>
      <c r="E29" s="212">
        <v>42.67</v>
      </c>
      <c r="F29" s="213">
        <f t="shared" si="1"/>
        <v>128.01</v>
      </c>
      <c r="G29" s="212">
        <v>3.67</v>
      </c>
      <c r="H29" s="202">
        <f t="shared" si="2"/>
        <v>11.01</v>
      </c>
      <c r="I29" s="212">
        <v>2.67</v>
      </c>
      <c r="J29" s="243">
        <f t="shared" si="3"/>
        <v>8.01</v>
      </c>
      <c r="K29" s="226">
        <v>0.434</v>
      </c>
    </row>
    <row r="30">
      <c r="A30" s="106" t="s">
        <v>69</v>
      </c>
      <c r="B30" s="211">
        <v>3.0</v>
      </c>
      <c r="C30" s="212">
        <v>68.0</v>
      </c>
      <c r="D30" s="45">
        <v>48.0</v>
      </c>
      <c r="E30" s="212">
        <v>30.67</v>
      </c>
      <c r="F30" s="213">
        <f t="shared" si="1"/>
        <v>92.01</v>
      </c>
      <c r="G30" s="212">
        <v>1.0</v>
      </c>
      <c r="H30" s="202">
        <f t="shared" si="2"/>
        <v>3</v>
      </c>
      <c r="I30" s="212">
        <v>1.33</v>
      </c>
      <c r="J30" s="243">
        <f t="shared" si="3"/>
        <v>3.99</v>
      </c>
      <c r="K30" s="226">
        <v>0.333</v>
      </c>
    </row>
    <row r="31">
      <c r="A31" s="106" t="s">
        <v>79</v>
      </c>
      <c r="B31" s="211">
        <v>1.0</v>
      </c>
      <c r="C31" s="212">
        <v>23.0</v>
      </c>
      <c r="D31" s="45">
        <v>8.0</v>
      </c>
      <c r="E31" s="212">
        <v>8.0</v>
      </c>
      <c r="F31" s="213">
        <f t="shared" si="1"/>
        <v>8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0.25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48" t="s">
        <v>264</v>
      </c>
      <c r="C1" s="249" t="s">
        <v>265</v>
      </c>
      <c r="D1" s="250" t="s">
        <v>266</v>
      </c>
      <c r="E1" s="249" t="s">
        <v>267</v>
      </c>
      <c r="F1" s="208" t="s">
        <v>409</v>
      </c>
      <c r="G1" s="249" t="s">
        <v>269</v>
      </c>
      <c r="H1" s="216" t="s">
        <v>270</v>
      </c>
      <c r="I1" s="249" t="s">
        <v>410</v>
      </c>
      <c r="J1" s="242" t="s">
        <v>411</v>
      </c>
      <c r="K1" s="250" t="s">
        <v>271</v>
      </c>
    </row>
    <row r="2">
      <c r="A2" s="106" t="s">
        <v>93</v>
      </c>
      <c r="B2" s="251">
        <v>4.0</v>
      </c>
      <c r="C2" s="252">
        <v>16.0</v>
      </c>
      <c r="D2" s="253">
        <v>14.0</v>
      </c>
      <c r="E2" s="252">
        <v>34.0</v>
      </c>
      <c r="F2" s="213">
        <f t="shared" ref="F2:F31" si="1">E2*B2</f>
        <v>136</v>
      </c>
      <c r="G2" s="252">
        <v>0.25</v>
      </c>
      <c r="H2" s="202">
        <f t="shared" ref="H2:H31" si="2">G2*B2</f>
        <v>1</v>
      </c>
      <c r="I2" s="252">
        <v>2.5</v>
      </c>
      <c r="J2" s="243">
        <f t="shared" ref="J2:J31" si="3">I2*B2</f>
        <v>10</v>
      </c>
      <c r="K2" s="227">
        <v>0.714</v>
      </c>
    </row>
    <row r="3">
      <c r="A3" s="106" t="s">
        <v>99</v>
      </c>
      <c r="B3" s="251">
        <v>4.0</v>
      </c>
      <c r="C3" s="252">
        <v>16.0</v>
      </c>
      <c r="D3" s="253">
        <v>14.0</v>
      </c>
      <c r="E3" s="252">
        <v>33.5</v>
      </c>
      <c r="F3" s="213">
        <f t="shared" si="1"/>
        <v>134</v>
      </c>
      <c r="G3" s="252">
        <v>0.25</v>
      </c>
      <c r="H3" s="202">
        <f t="shared" si="2"/>
        <v>1</v>
      </c>
      <c r="I3" s="252">
        <v>2.25</v>
      </c>
      <c r="J3" s="243">
        <f t="shared" si="3"/>
        <v>9</v>
      </c>
      <c r="K3" s="227">
        <v>0.857</v>
      </c>
    </row>
    <row r="4">
      <c r="A4" s="106" t="s">
        <v>81</v>
      </c>
      <c r="B4" s="251">
        <v>4.0</v>
      </c>
      <c r="C4" s="252">
        <v>16.0</v>
      </c>
      <c r="D4" s="253">
        <v>13.0</v>
      </c>
      <c r="E4" s="252">
        <v>30.5</v>
      </c>
      <c r="F4" s="213">
        <f t="shared" si="1"/>
        <v>122</v>
      </c>
      <c r="G4" s="252">
        <v>0.5</v>
      </c>
      <c r="H4" s="202">
        <f t="shared" si="2"/>
        <v>2</v>
      </c>
      <c r="I4" s="252">
        <v>2.25</v>
      </c>
      <c r="J4" s="243">
        <f t="shared" si="3"/>
        <v>9</v>
      </c>
      <c r="K4" s="227">
        <v>0.769</v>
      </c>
    </row>
    <row r="5">
      <c r="A5" s="106" t="s">
        <v>106</v>
      </c>
      <c r="B5" s="251">
        <v>4.0</v>
      </c>
      <c r="C5" s="252">
        <v>16.0</v>
      </c>
      <c r="D5" s="253">
        <v>13.0</v>
      </c>
      <c r="E5" s="252">
        <v>30.0</v>
      </c>
      <c r="F5" s="213">
        <f t="shared" si="1"/>
        <v>120</v>
      </c>
      <c r="G5" s="252">
        <v>0.25</v>
      </c>
      <c r="H5" s="202">
        <f t="shared" si="2"/>
        <v>1</v>
      </c>
      <c r="I5" s="252">
        <v>2.0</v>
      </c>
      <c r="J5" s="243">
        <f t="shared" si="3"/>
        <v>8</v>
      </c>
      <c r="K5" s="227">
        <v>0.846</v>
      </c>
    </row>
    <row r="6">
      <c r="A6" s="106" t="s">
        <v>78</v>
      </c>
      <c r="B6" s="251">
        <v>4.0</v>
      </c>
      <c r="C6" s="252">
        <v>16.0</v>
      </c>
      <c r="D6" s="253">
        <v>15.0</v>
      </c>
      <c r="E6" s="252">
        <v>26.0</v>
      </c>
      <c r="F6" s="213">
        <f t="shared" si="1"/>
        <v>104</v>
      </c>
      <c r="G6" s="252">
        <v>0.75</v>
      </c>
      <c r="H6" s="202">
        <f t="shared" si="2"/>
        <v>3</v>
      </c>
      <c r="I6" s="252">
        <v>2.0</v>
      </c>
      <c r="J6" s="243">
        <f t="shared" si="3"/>
        <v>8</v>
      </c>
      <c r="K6" s="227">
        <v>0.6</v>
      </c>
    </row>
    <row r="7">
      <c r="A7" s="106" t="s">
        <v>50</v>
      </c>
      <c r="B7" s="251">
        <v>4.0</v>
      </c>
      <c r="C7" s="252">
        <v>16.0</v>
      </c>
      <c r="D7" s="253">
        <v>12.0</v>
      </c>
      <c r="E7" s="252">
        <v>26.0</v>
      </c>
      <c r="F7" s="213">
        <f t="shared" si="1"/>
        <v>104</v>
      </c>
      <c r="G7" s="252">
        <v>0.0</v>
      </c>
      <c r="H7" s="202">
        <f t="shared" si="2"/>
        <v>0</v>
      </c>
      <c r="I7" s="252">
        <v>1.5</v>
      </c>
      <c r="J7" s="243">
        <f t="shared" si="3"/>
        <v>6</v>
      </c>
      <c r="K7" s="227">
        <v>0.917</v>
      </c>
    </row>
    <row r="8">
      <c r="A8" s="106" t="s">
        <v>61</v>
      </c>
      <c r="B8" s="251">
        <v>4.0</v>
      </c>
      <c r="C8" s="252">
        <v>16.0</v>
      </c>
      <c r="D8" s="253">
        <v>11.0</v>
      </c>
      <c r="E8" s="252">
        <v>23.0</v>
      </c>
      <c r="F8" s="213">
        <f t="shared" si="1"/>
        <v>92</v>
      </c>
      <c r="G8" s="252">
        <v>0.25</v>
      </c>
      <c r="H8" s="202">
        <f t="shared" si="2"/>
        <v>1</v>
      </c>
      <c r="I8" s="252">
        <v>1.5</v>
      </c>
      <c r="J8" s="243">
        <f t="shared" si="3"/>
        <v>6</v>
      </c>
      <c r="K8" s="227">
        <v>0.818</v>
      </c>
    </row>
    <row r="9">
      <c r="A9" s="106" t="s">
        <v>42</v>
      </c>
      <c r="B9" s="251">
        <v>4.0</v>
      </c>
      <c r="C9" s="252">
        <v>16.0</v>
      </c>
      <c r="D9" s="253">
        <v>9.0</v>
      </c>
      <c r="E9" s="252">
        <v>18.0</v>
      </c>
      <c r="F9" s="213">
        <f t="shared" si="1"/>
        <v>72</v>
      </c>
      <c r="G9" s="252">
        <v>0.0</v>
      </c>
      <c r="H9" s="202">
        <f t="shared" si="2"/>
        <v>0</v>
      </c>
      <c r="I9" s="252">
        <v>1.0</v>
      </c>
      <c r="J9" s="243">
        <f t="shared" si="3"/>
        <v>4</v>
      </c>
      <c r="K9" s="227">
        <v>0.889</v>
      </c>
    </row>
    <row r="10">
      <c r="A10" s="106" t="s">
        <v>57</v>
      </c>
      <c r="B10" s="251">
        <v>4.0</v>
      </c>
      <c r="C10" s="252">
        <v>16.0</v>
      </c>
      <c r="D10" s="253">
        <v>12.0</v>
      </c>
      <c r="E10" s="252">
        <v>16.5</v>
      </c>
      <c r="F10" s="213">
        <f t="shared" si="1"/>
        <v>66</v>
      </c>
      <c r="G10" s="252">
        <v>0.75</v>
      </c>
      <c r="H10" s="202">
        <f t="shared" si="2"/>
        <v>3</v>
      </c>
      <c r="I10" s="252">
        <v>1.25</v>
      </c>
      <c r="J10" s="243">
        <f t="shared" si="3"/>
        <v>5</v>
      </c>
      <c r="K10" s="227">
        <v>0.583</v>
      </c>
    </row>
    <row r="11">
      <c r="A11" s="106" t="s">
        <v>63</v>
      </c>
      <c r="B11" s="251">
        <v>4.0</v>
      </c>
      <c r="C11" s="252">
        <v>16.0</v>
      </c>
      <c r="D11" s="253">
        <v>11.0</v>
      </c>
      <c r="E11" s="252">
        <v>16.5</v>
      </c>
      <c r="F11" s="213">
        <f t="shared" si="1"/>
        <v>66</v>
      </c>
      <c r="G11" s="252">
        <v>0.5</v>
      </c>
      <c r="H11" s="202">
        <f t="shared" si="2"/>
        <v>2</v>
      </c>
      <c r="I11" s="252">
        <v>1.25</v>
      </c>
      <c r="J11" s="243">
        <f t="shared" si="3"/>
        <v>5</v>
      </c>
      <c r="K11" s="227">
        <v>0.545</v>
      </c>
    </row>
    <row r="12">
      <c r="A12" s="106" t="s">
        <v>60</v>
      </c>
      <c r="B12" s="251">
        <v>4.0</v>
      </c>
      <c r="C12" s="252">
        <v>13.0</v>
      </c>
      <c r="D12" s="253">
        <v>9.0</v>
      </c>
      <c r="E12" s="252">
        <v>16.0</v>
      </c>
      <c r="F12" s="213">
        <f t="shared" si="1"/>
        <v>64</v>
      </c>
      <c r="G12" s="252">
        <v>0.25</v>
      </c>
      <c r="H12" s="202">
        <f t="shared" si="2"/>
        <v>1</v>
      </c>
      <c r="I12" s="252">
        <v>1.0</v>
      </c>
      <c r="J12" s="243">
        <f t="shared" si="3"/>
        <v>4</v>
      </c>
      <c r="K12" s="227">
        <v>0.778</v>
      </c>
    </row>
    <row r="13">
      <c r="A13" s="106" t="s">
        <v>64</v>
      </c>
      <c r="B13" s="251">
        <v>4.0</v>
      </c>
      <c r="C13" s="252">
        <v>16.0</v>
      </c>
      <c r="D13" s="253">
        <v>12.0</v>
      </c>
      <c r="E13" s="252">
        <v>15.5</v>
      </c>
      <c r="F13" s="213">
        <f t="shared" si="1"/>
        <v>62</v>
      </c>
      <c r="G13" s="252">
        <v>1.0</v>
      </c>
      <c r="H13" s="202">
        <f t="shared" si="2"/>
        <v>4</v>
      </c>
      <c r="I13" s="252">
        <v>1.25</v>
      </c>
      <c r="J13" s="243">
        <f t="shared" si="3"/>
        <v>5</v>
      </c>
      <c r="K13" s="227">
        <v>0.583</v>
      </c>
    </row>
    <row r="14">
      <c r="A14" s="106" t="s">
        <v>88</v>
      </c>
      <c r="B14" s="251">
        <v>4.0</v>
      </c>
      <c r="C14" s="252">
        <v>16.0</v>
      </c>
      <c r="D14" s="253">
        <v>11.0</v>
      </c>
      <c r="E14" s="252">
        <v>15.5</v>
      </c>
      <c r="F14" s="213">
        <f t="shared" si="1"/>
        <v>62</v>
      </c>
      <c r="G14" s="252">
        <v>0.75</v>
      </c>
      <c r="H14" s="202">
        <f t="shared" si="2"/>
        <v>3</v>
      </c>
      <c r="I14" s="252">
        <v>1.25</v>
      </c>
      <c r="J14" s="243">
        <f t="shared" si="3"/>
        <v>5</v>
      </c>
      <c r="K14" s="227">
        <v>0.545</v>
      </c>
    </row>
    <row r="15">
      <c r="A15" s="106" t="s">
        <v>94</v>
      </c>
      <c r="B15" s="251">
        <v>4.0</v>
      </c>
      <c r="C15" s="252">
        <v>16.0</v>
      </c>
      <c r="D15" s="253">
        <v>7.0</v>
      </c>
      <c r="E15" s="252">
        <v>14.0</v>
      </c>
      <c r="F15" s="213">
        <f t="shared" si="1"/>
        <v>56</v>
      </c>
      <c r="G15" s="252">
        <v>0.25</v>
      </c>
      <c r="H15" s="202">
        <f t="shared" si="2"/>
        <v>1</v>
      </c>
      <c r="I15" s="252">
        <v>1.0</v>
      </c>
      <c r="J15" s="243">
        <f t="shared" si="3"/>
        <v>4</v>
      </c>
      <c r="K15" s="227">
        <v>0.714</v>
      </c>
    </row>
    <row r="16">
      <c r="A16" s="106" t="s">
        <v>44</v>
      </c>
      <c r="B16" s="251">
        <v>4.0</v>
      </c>
      <c r="C16" s="252">
        <v>16.0</v>
      </c>
      <c r="D16" s="253">
        <v>11.0</v>
      </c>
      <c r="E16" s="252">
        <v>12.5</v>
      </c>
      <c r="F16" s="213">
        <f t="shared" si="1"/>
        <v>50</v>
      </c>
      <c r="G16" s="252">
        <v>0.0</v>
      </c>
      <c r="H16" s="202">
        <f t="shared" si="2"/>
        <v>0</v>
      </c>
      <c r="I16" s="252">
        <v>0.75</v>
      </c>
      <c r="J16" s="243">
        <f t="shared" si="3"/>
        <v>3</v>
      </c>
      <c r="K16" s="227">
        <v>0.455</v>
      </c>
    </row>
    <row r="17">
      <c r="A17" s="106" t="s">
        <v>75</v>
      </c>
      <c r="B17" s="251">
        <v>4.0</v>
      </c>
      <c r="C17" s="252">
        <v>16.0</v>
      </c>
      <c r="D17" s="253">
        <v>11.0</v>
      </c>
      <c r="E17" s="252">
        <v>11.5</v>
      </c>
      <c r="F17" s="213">
        <f t="shared" si="1"/>
        <v>46</v>
      </c>
      <c r="G17" s="252">
        <v>0.25</v>
      </c>
      <c r="H17" s="202">
        <f t="shared" si="2"/>
        <v>1</v>
      </c>
      <c r="I17" s="252">
        <v>0.75</v>
      </c>
      <c r="J17" s="243">
        <f t="shared" si="3"/>
        <v>3</v>
      </c>
      <c r="K17" s="227">
        <v>0.455</v>
      </c>
    </row>
    <row r="18">
      <c r="A18" s="106" t="s">
        <v>40</v>
      </c>
      <c r="B18" s="251">
        <v>4.0</v>
      </c>
      <c r="C18" s="252">
        <v>16.0</v>
      </c>
      <c r="D18" s="253">
        <v>9.0</v>
      </c>
      <c r="E18" s="252">
        <v>11.5</v>
      </c>
      <c r="F18" s="213">
        <f t="shared" si="1"/>
        <v>46</v>
      </c>
      <c r="G18" s="252">
        <v>0.0</v>
      </c>
      <c r="H18" s="202">
        <f t="shared" si="2"/>
        <v>0</v>
      </c>
      <c r="I18" s="252">
        <v>0.75</v>
      </c>
      <c r="J18" s="243">
        <f t="shared" si="3"/>
        <v>3</v>
      </c>
      <c r="K18" s="227">
        <v>0.444</v>
      </c>
    </row>
    <row r="19">
      <c r="A19" s="106" t="s">
        <v>74</v>
      </c>
      <c r="B19" s="251">
        <v>4.0</v>
      </c>
      <c r="C19" s="252">
        <v>16.0</v>
      </c>
      <c r="D19" s="253">
        <v>11.0</v>
      </c>
      <c r="E19" s="252">
        <v>10.0</v>
      </c>
      <c r="F19" s="213">
        <f t="shared" si="1"/>
        <v>40</v>
      </c>
      <c r="G19" s="252">
        <v>0.25</v>
      </c>
      <c r="H19" s="202">
        <f t="shared" si="2"/>
        <v>1</v>
      </c>
      <c r="I19" s="252">
        <v>0.5</v>
      </c>
      <c r="J19" s="243">
        <f t="shared" si="3"/>
        <v>2</v>
      </c>
      <c r="K19" s="227">
        <v>0.545</v>
      </c>
    </row>
    <row r="20">
      <c r="A20" s="106" t="s">
        <v>65</v>
      </c>
      <c r="B20" s="251">
        <v>4.0</v>
      </c>
      <c r="C20" s="252">
        <v>16.0</v>
      </c>
      <c r="D20" s="253">
        <v>15.0</v>
      </c>
      <c r="E20" s="252">
        <v>8.5</v>
      </c>
      <c r="F20" s="213">
        <f t="shared" si="1"/>
        <v>34</v>
      </c>
      <c r="G20" s="252">
        <v>0.0</v>
      </c>
      <c r="H20" s="202">
        <f t="shared" si="2"/>
        <v>0</v>
      </c>
      <c r="I20" s="252">
        <v>0.25</v>
      </c>
      <c r="J20" s="243">
        <f t="shared" si="3"/>
        <v>1</v>
      </c>
      <c r="K20" s="227">
        <v>0.4</v>
      </c>
    </row>
    <row r="21">
      <c r="A21" s="106" t="s">
        <v>67</v>
      </c>
      <c r="B21" s="251">
        <v>3.0</v>
      </c>
      <c r="C21" s="252">
        <v>9.0</v>
      </c>
      <c r="D21" s="253">
        <v>3.0</v>
      </c>
      <c r="E21" s="252">
        <v>10.67</v>
      </c>
      <c r="F21" s="213">
        <f t="shared" si="1"/>
        <v>32.01</v>
      </c>
      <c r="G21" s="252">
        <v>0.0</v>
      </c>
      <c r="H21" s="202">
        <f t="shared" si="2"/>
        <v>0</v>
      </c>
      <c r="I21" s="252">
        <v>0.67</v>
      </c>
      <c r="J21" s="243">
        <f t="shared" si="3"/>
        <v>2.01</v>
      </c>
      <c r="K21" s="227">
        <v>1.0</v>
      </c>
    </row>
    <row r="22">
      <c r="A22" s="106" t="s">
        <v>58</v>
      </c>
      <c r="B22" s="251">
        <v>4.0</v>
      </c>
      <c r="C22" s="252">
        <v>16.0</v>
      </c>
      <c r="D22" s="253">
        <v>12.0</v>
      </c>
      <c r="E22" s="252">
        <v>7.5</v>
      </c>
      <c r="F22" s="213">
        <f t="shared" si="1"/>
        <v>30</v>
      </c>
      <c r="G22" s="252">
        <v>0.0</v>
      </c>
      <c r="H22" s="202">
        <f t="shared" si="2"/>
        <v>0</v>
      </c>
      <c r="I22" s="252">
        <v>0.25</v>
      </c>
      <c r="J22" s="243">
        <f t="shared" si="3"/>
        <v>1</v>
      </c>
      <c r="K22" s="227">
        <v>0.417</v>
      </c>
    </row>
    <row r="23">
      <c r="A23" s="106" t="s">
        <v>56</v>
      </c>
      <c r="B23" s="251">
        <v>4.0</v>
      </c>
      <c r="C23" s="252">
        <v>16.0</v>
      </c>
      <c r="D23" s="253">
        <v>10.0</v>
      </c>
      <c r="E23" s="252">
        <v>6.5</v>
      </c>
      <c r="F23" s="213">
        <f t="shared" si="1"/>
        <v>26</v>
      </c>
      <c r="G23" s="252">
        <v>1.0</v>
      </c>
      <c r="H23" s="202">
        <f t="shared" si="2"/>
        <v>4</v>
      </c>
      <c r="I23" s="252">
        <v>0.75</v>
      </c>
      <c r="J23" s="243">
        <f t="shared" si="3"/>
        <v>3</v>
      </c>
      <c r="K23" s="227">
        <v>0.3</v>
      </c>
    </row>
    <row r="24">
      <c r="A24" s="106" t="s">
        <v>69</v>
      </c>
      <c r="B24" s="251">
        <v>3.0</v>
      </c>
      <c r="C24" s="252">
        <v>12.0</v>
      </c>
      <c r="D24" s="253">
        <v>11.0</v>
      </c>
      <c r="E24" s="252">
        <v>7.33</v>
      </c>
      <c r="F24" s="213">
        <f t="shared" si="1"/>
        <v>21.99</v>
      </c>
      <c r="G24" s="252">
        <v>0.0</v>
      </c>
      <c r="H24" s="202">
        <f t="shared" si="2"/>
        <v>0</v>
      </c>
      <c r="I24" s="252">
        <v>0.33</v>
      </c>
      <c r="J24" s="243">
        <f t="shared" si="3"/>
        <v>0.99</v>
      </c>
      <c r="K24" s="227">
        <v>0.273</v>
      </c>
    </row>
    <row r="25">
      <c r="A25" s="106" t="s">
        <v>92</v>
      </c>
      <c r="B25" s="251">
        <v>3.0</v>
      </c>
      <c r="C25" s="252">
        <v>12.0</v>
      </c>
      <c r="D25" s="253">
        <v>10.0</v>
      </c>
      <c r="E25" s="252">
        <v>5.33</v>
      </c>
      <c r="F25" s="213">
        <f t="shared" si="1"/>
        <v>15.99</v>
      </c>
      <c r="G25" s="252">
        <v>0.33</v>
      </c>
      <c r="H25" s="202">
        <f t="shared" si="2"/>
        <v>0.99</v>
      </c>
      <c r="I25" s="252">
        <v>0.0</v>
      </c>
      <c r="J25" s="243">
        <f t="shared" si="3"/>
        <v>0</v>
      </c>
      <c r="K25" s="227">
        <v>0.5</v>
      </c>
    </row>
    <row r="26">
      <c r="A26" s="106" t="s">
        <v>82</v>
      </c>
      <c r="B26" s="251">
        <v>4.0</v>
      </c>
      <c r="C26" s="252">
        <v>16.0</v>
      </c>
      <c r="D26" s="253">
        <v>13.0</v>
      </c>
      <c r="E26" s="252">
        <v>3.5</v>
      </c>
      <c r="F26" s="213">
        <f t="shared" si="1"/>
        <v>14</v>
      </c>
      <c r="G26" s="252">
        <v>0.5</v>
      </c>
      <c r="H26" s="202">
        <f t="shared" si="2"/>
        <v>2</v>
      </c>
      <c r="I26" s="252">
        <v>0.25</v>
      </c>
      <c r="J26" s="243">
        <f t="shared" si="3"/>
        <v>1</v>
      </c>
      <c r="K26" s="227">
        <v>0.231</v>
      </c>
    </row>
    <row r="27">
      <c r="A27" s="106" t="s">
        <v>52</v>
      </c>
      <c r="B27" s="251">
        <v>4.0</v>
      </c>
      <c r="C27" s="252">
        <v>16.0</v>
      </c>
      <c r="D27" s="253">
        <v>15.0</v>
      </c>
      <c r="E27" s="252">
        <v>2.0</v>
      </c>
      <c r="F27" s="213">
        <f t="shared" si="1"/>
        <v>8</v>
      </c>
      <c r="G27" s="252">
        <v>0.0</v>
      </c>
      <c r="H27" s="202">
        <f t="shared" si="2"/>
        <v>0</v>
      </c>
      <c r="I27" s="252">
        <v>0.0</v>
      </c>
      <c r="J27" s="243">
        <f t="shared" si="3"/>
        <v>0</v>
      </c>
      <c r="K27" s="227">
        <v>0.133</v>
      </c>
    </row>
    <row r="28">
      <c r="A28" s="106" t="s">
        <v>89</v>
      </c>
      <c r="B28" s="251">
        <v>4.0</v>
      </c>
      <c r="C28" s="252">
        <v>16.0</v>
      </c>
      <c r="D28" s="253">
        <v>9.0</v>
      </c>
      <c r="E28" s="252">
        <v>1.5</v>
      </c>
      <c r="F28" s="213">
        <f t="shared" si="1"/>
        <v>6</v>
      </c>
      <c r="G28" s="252">
        <v>0.75</v>
      </c>
      <c r="H28" s="202">
        <f t="shared" si="2"/>
        <v>3</v>
      </c>
      <c r="I28" s="252">
        <v>0.25</v>
      </c>
      <c r="J28" s="243">
        <f t="shared" si="3"/>
        <v>1</v>
      </c>
      <c r="K28" s="227">
        <v>0.222</v>
      </c>
    </row>
    <row r="29">
      <c r="A29" s="106" t="s">
        <v>79</v>
      </c>
      <c r="B29" s="251">
        <v>1.0</v>
      </c>
      <c r="C29" s="252">
        <v>4.0</v>
      </c>
      <c r="D29" s="253">
        <v>3.0</v>
      </c>
      <c r="E29" s="252">
        <v>4.0</v>
      </c>
      <c r="F29" s="213">
        <f t="shared" si="1"/>
        <v>4</v>
      </c>
      <c r="G29" s="252">
        <v>0.0</v>
      </c>
      <c r="H29" s="202">
        <f t="shared" si="2"/>
        <v>0</v>
      </c>
      <c r="I29" s="252">
        <v>0.0</v>
      </c>
      <c r="J29" s="243">
        <f t="shared" si="3"/>
        <v>0</v>
      </c>
      <c r="K29" s="227">
        <v>0.333</v>
      </c>
    </row>
    <row r="30">
      <c r="A30" s="106" t="s">
        <v>54</v>
      </c>
      <c r="B30" s="251">
        <v>4.0</v>
      </c>
      <c r="C30" s="252">
        <v>16.0</v>
      </c>
      <c r="D30" s="253">
        <v>7.0</v>
      </c>
      <c r="E30" s="252">
        <v>1.0</v>
      </c>
      <c r="F30" s="213">
        <f t="shared" si="1"/>
        <v>4</v>
      </c>
      <c r="G30" s="252">
        <v>0.0</v>
      </c>
      <c r="H30" s="202">
        <f t="shared" si="2"/>
        <v>0</v>
      </c>
      <c r="I30" s="252">
        <v>0.0</v>
      </c>
      <c r="J30" s="243">
        <f t="shared" si="3"/>
        <v>0</v>
      </c>
      <c r="K30" s="227">
        <v>0.143</v>
      </c>
    </row>
    <row r="31">
      <c r="A31" s="106" t="s">
        <v>91</v>
      </c>
      <c r="B31" s="251">
        <v>4.0</v>
      </c>
      <c r="C31" s="252">
        <v>16.0</v>
      </c>
      <c r="D31" s="253">
        <v>11.0</v>
      </c>
      <c r="E31" s="252">
        <v>0.0</v>
      </c>
      <c r="F31" s="213">
        <f t="shared" si="1"/>
        <v>0</v>
      </c>
      <c r="G31" s="252">
        <v>0.75</v>
      </c>
      <c r="H31" s="202">
        <f t="shared" si="2"/>
        <v>3</v>
      </c>
      <c r="I31" s="252">
        <v>0.0</v>
      </c>
      <c r="J31" s="243">
        <f t="shared" si="3"/>
        <v>0</v>
      </c>
      <c r="K31" s="227">
        <v>0.273</v>
      </c>
    </row>
    <row r="32">
      <c r="A32" s="246"/>
      <c r="B32" s="240"/>
      <c r="C32" s="241"/>
      <c r="D32" s="227"/>
      <c r="E32" s="241"/>
      <c r="F32" s="213"/>
      <c r="G32" s="241"/>
      <c r="H32" s="202"/>
      <c r="I32" s="241"/>
      <c r="J32" s="243"/>
      <c r="K32" s="227"/>
    </row>
    <row r="33">
      <c r="A33" s="246"/>
      <c r="B33" s="240"/>
      <c r="C33" s="241"/>
      <c r="D33" s="227"/>
      <c r="E33" s="241"/>
      <c r="F33" s="213"/>
      <c r="G33" s="241"/>
      <c r="H33" s="202"/>
      <c r="I33" s="241"/>
      <c r="J33" s="243"/>
      <c r="K33" s="227"/>
    </row>
    <row r="34">
      <c r="A34" s="246"/>
      <c r="B34" s="240"/>
      <c r="C34" s="241"/>
      <c r="D34" s="227"/>
      <c r="E34" s="241"/>
      <c r="F34" s="213"/>
      <c r="G34" s="241"/>
      <c r="H34" s="202"/>
      <c r="I34" s="241"/>
      <c r="J34" s="243"/>
      <c r="K34" s="227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50</v>
      </c>
      <c r="B2" s="211">
        <v>4.0</v>
      </c>
      <c r="C2" s="212">
        <v>16.0</v>
      </c>
      <c r="D2" s="45">
        <v>15.0</v>
      </c>
      <c r="E2" s="212">
        <v>33.0</v>
      </c>
      <c r="F2" s="213">
        <f t="shared" ref="F2:F31" si="1">E2*B2</f>
        <v>132</v>
      </c>
      <c r="G2" s="212">
        <v>0.5</v>
      </c>
      <c r="H2" s="202">
        <f t="shared" ref="H2:H31" si="2">G2*B2</f>
        <v>2</v>
      </c>
      <c r="I2" s="212">
        <v>2.5</v>
      </c>
      <c r="J2" s="243">
        <f t="shared" ref="J2:J31" si="3">I2*B2</f>
        <v>10</v>
      </c>
      <c r="K2" s="226">
        <v>0.667</v>
      </c>
    </row>
    <row r="3">
      <c r="A3" s="106" t="s">
        <v>63</v>
      </c>
      <c r="B3" s="211">
        <v>4.0</v>
      </c>
      <c r="C3" s="212">
        <v>16.0</v>
      </c>
      <c r="D3" s="45">
        <v>14.0</v>
      </c>
      <c r="E3" s="212">
        <v>26.5</v>
      </c>
      <c r="F3" s="213">
        <f t="shared" si="1"/>
        <v>106</v>
      </c>
      <c r="G3" s="212">
        <v>0.5</v>
      </c>
      <c r="H3" s="202">
        <f t="shared" si="2"/>
        <v>2</v>
      </c>
      <c r="I3" s="212">
        <v>1.75</v>
      </c>
      <c r="J3" s="243">
        <f t="shared" si="3"/>
        <v>7</v>
      </c>
      <c r="K3" s="226">
        <v>0.786</v>
      </c>
    </row>
    <row r="4">
      <c r="A4" s="106" t="s">
        <v>75</v>
      </c>
      <c r="B4" s="211">
        <v>4.0</v>
      </c>
      <c r="C4" s="212">
        <v>16.0</v>
      </c>
      <c r="D4" s="45">
        <v>14.0</v>
      </c>
      <c r="E4" s="212">
        <v>24.5</v>
      </c>
      <c r="F4" s="213">
        <f t="shared" si="1"/>
        <v>98</v>
      </c>
      <c r="G4" s="212">
        <v>0.25</v>
      </c>
      <c r="H4" s="202">
        <f t="shared" si="2"/>
        <v>1</v>
      </c>
      <c r="I4" s="212">
        <v>1.75</v>
      </c>
      <c r="J4" s="243">
        <f t="shared" si="3"/>
        <v>7</v>
      </c>
      <c r="K4" s="226">
        <v>0.571</v>
      </c>
    </row>
    <row r="5">
      <c r="A5" s="106" t="s">
        <v>99</v>
      </c>
      <c r="B5" s="211">
        <v>4.0</v>
      </c>
      <c r="C5" s="212">
        <v>16.0</v>
      </c>
      <c r="D5" s="45">
        <v>13.0</v>
      </c>
      <c r="E5" s="212">
        <v>23.5</v>
      </c>
      <c r="F5" s="213">
        <f t="shared" si="1"/>
        <v>94</v>
      </c>
      <c r="G5" s="212">
        <v>0.5</v>
      </c>
      <c r="H5" s="202">
        <f t="shared" si="2"/>
        <v>2</v>
      </c>
      <c r="I5" s="212">
        <v>1.75</v>
      </c>
      <c r="J5" s="243">
        <f t="shared" si="3"/>
        <v>7</v>
      </c>
      <c r="K5" s="226">
        <v>0.615</v>
      </c>
    </row>
    <row r="6">
      <c r="A6" s="106" t="s">
        <v>57</v>
      </c>
      <c r="B6" s="211">
        <v>4.0</v>
      </c>
      <c r="C6" s="212">
        <v>16.0</v>
      </c>
      <c r="D6" s="45">
        <v>13.0</v>
      </c>
      <c r="E6" s="212">
        <v>23.0</v>
      </c>
      <c r="F6" s="213">
        <f t="shared" si="1"/>
        <v>92</v>
      </c>
      <c r="G6" s="212">
        <v>0.25</v>
      </c>
      <c r="H6" s="202">
        <f t="shared" si="2"/>
        <v>1</v>
      </c>
      <c r="I6" s="212">
        <v>1.5</v>
      </c>
      <c r="J6" s="243">
        <f t="shared" si="3"/>
        <v>6</v>
      </c>
      <c r="K6" s="226">
        <v>0.692</v>
      </c>
    </row>
    <row r="7">
      <c r="A7" s="106" t="s">
        <v>58</v>
      </c>
      <c r="B7" s="211">
        <v>4.0</v>
      </c>
      <c r="C7" s="212">
        <v>16.0</v>
      </c>
      <c r="D7" s="45">
        <v>14.0</v>
      </c>
      <c r="E7" s="212">
        <v>23.0</v>
      </c>
      <c r="F7" s="213">
        <f t="shared" si="1"/>
        <v>92</v>
      </c>
      <c r="G7" s="212">
        <v>0.25</v>
      </c>
      <c r="H7" s="202">
        <f t="shared" si="2"/>
        <v>1</v>
      </c>
      <c r="I7" s="212">
        <v>1.5</v>
      </c>
      <c r="J7" s="243">
        <f t="shared" si="3"/>
        <v>6</v>
      </c>
      <c r="K7" s="226">
        <v>0.643</v>
      </c>
    </row>
    <row r="8">
      <c r="A8" s="106" t="s">
        <v>93</v>
      </c>
      <c r="B8" s="211">
        <v>4.0</v>
      </c>
      <c r="C8" s="212">
        <v>16.0</v>
      </c>
      <c r="D8" s="45">
        <v>12.0</v>
      </c>
      <c r="E8" s="212">
        <v>18.5</v>
      </c>
      <c r="F8" s="213">
        <f t="shared" si="1"/>
        <v>74</v>
      </c>
      <c r="G8" s="212">
        <v>0.25</v>
      </c>
      <c r="H8" s="202">
        <f t="shared" si="2"/>
        <v>1</v>
      </c>
      <c r="I8" s="212">
        <v>1.25</v>
      </c>
      <c r="J8" s="243">
        <f t="shared" si="3"/>
        <v>5</v>
      </c>
      <c r="K8" s="226">
        <v>0.583</v>
      </c>
    </row>
    <row r="9">
      <c r="A9" s="106" t="s">
        <v>91</v>
      </c>
      <c r="B9" s="211">
        <v>4.0</v>
      </c>
      <c r="C9" s="212">
        <v>16.0</v>
      </c>
      <c r="D9" s="45">
        <v>12.0</v>
      </c>
      <c r="E9" s="212">
        <v>14.5</v>
      </c>
      <c r="F9" s="213">
        <f t="shared" si="1"/>
        <v>58</v>
      </c>
      <c r="G9" s="212">
        <v>0.0</v>
      </c>
      <c r="H9" s="202">
        <f t="shared" si="2"/>
        <v>0</v>
      </c>
      <c r="I9" s="212">
        <v>0.75</v>
      </c>
      <c r="J9" s="243">
        <f t="shared" si="3"/>
        <v>3</v>
      </c>
      <c r="K9" s="226">
        <v>0.583</v>
      </c>
    </row>
    <row r="10">
      <c r="A10" s="106" t="s">
        <v>60</v>
      </c>
      <c r="B10" s="211">
        <v>4.0</v>
      </c>
      <c r="C10" s="212">
        <v>14.0</v>
      </c>
      <c r="D10" s="45">
        <v>8.0</v>
      </c>
      <c r="E10" s="212">
        <v>13.5</v>
      </c>
      <c r="F10" s="213">
        <f t="shared" si="1"/>
        <v>54</v>
      </c>
      <c r="G10" s="212">
        <v>0.0</v>
      </c>
      <c r="H10" s="202">
        <f t="shared" si="2"/>
        <v>0</v>
      </c>
      <c r="I10" s="212">
        <v>0.75</v>
      </c>
      <c r="J10" s="243">
        <f t="shared" si="3"/>
        <v>3</v>
      </c>
      <c r="K10" s="226">
        <v>0.75</v>
      </c>
    </row>
    <row r="11">
      <c r="A11" s="106" t="s">
        <v>65</v>
      </c>
      <c r="B11" s="211">
        <v>4.0</v>
      </c>
      <c r="C11" s="212">
        <v>15.0</v>
      </c>
      <c r="D11" s="45">
        <v>12.0</v>
      </c>
      <c r="E11" s="212">
        <v>13.0</v>
      </c>
      <c r="F11" s="213">
        <f t="shared" si="1"/>
        <v>52</v>
      </c>
      <c r="G11" s="212">
        <v>0.75</v>
      </c>
      <c r="H11" s="202">
        <f t="shared" si="2"/>
        <v>3</v>
      </c>
      <c r="I11" s="212">
        <v>1.0</v>
      </c>
      <c r="J11" s="243">
        <f t="shared" si="3"/>
        <v>4</v>
      </c>
      <c r="K11" s="226">
        <v>0.5</v>
      </c>
    </row>
    <row r="12">
      <c r="A12" s="106" t="s">
        <v>67</v>
      </c>
      <c r="B12" s="211">
        <v>3.0</v>
      </c>
      <c r="C12" s="212">
        <v>10.0</v>
      </c>
      <c r="D12" s="45">
        <v>7.0</v>
      </c>
      <c r="E12" s="212">
        <v>17.33</v>
      </c>
      <c r="F12" s="213">
        <f t="shared" si="1"/>
        <v>51.99</v>
      </c>
      <c r="G12" s="212">
        <v>0.33</v>
      </c>
      <c r="H12" s="202">
        <f t="shared" si="2"/>
        <v>0.99</v>
      </c>
      <c r="I12" s="212">
        <v>1.33</v>
      </c>
      <c r="J12" s="243">
        <f t="shared" si="3"/>
        <v>3.99</v>
      </c>
      <c r="K12" s="226">
        <v>0.571</v>
      </c>
    </row>
    <row r="13">
      <c r="A13" s="106" t="s">
        <v>94</v>
      </c>
      <c r="B13" s="211">
        <v>4.0</v>
      </c>
      <c r="C13" s="212">
        <v>16.0</v>
      </c>
      <c r="D13" s="45">
        <v>10.0</v>
      </c>
      <c r="E13" s="212">
        <v>12.0</v>
      </c>
      <c r="F13" s="213">
        <f t="shared" si="1"/>
        <v>48</v>
      </c>
      <c r="G13" s="212">
        <v>0.0</v>
      </c>
      <c r="H13" s="202">
        <f t="shared" si="2"/>
        <v>0</v>
      </c>
      <c r="I13" s="212">
        <v>0.5</v>
      </c>
      <c r="J13" s="243">
        <f t="shared" si="3"/>
        <v>2</v>
      </c>
      <c r="K13" s="226">
        <v>0.7</v>
      </c>
    </row>
    <row r="14">
      <c r="A14" s="106" t="s">
        <v>89</v>
      </c>
      <c r="B14" s="211">
        <v>4.0</v>
      </c>
      <c r="C14" s="212">
        <v>16.0</v>
      </c>
      <c r="D14" s="45">
        <v>12.0</v>
      </c>
      <c r="E14" s="212">
        <v>12.0</v>
      </c>
      <c r="F14" s="213">
        <f t="shared" si="1"/>
        <v>48</v>
      </c>
      <c r="G14" s="212">
        <v>0.0</v>
      </c>
      <c r="H14" s="202">
        <f t="shared" si="2"/>
        <v>0</v>
      </c>
      <c r="I14" s="212">
        <v>0.5</v>
      </c>
      <c r="J14" s="243">
        <f t="shared" si="3"/>
        <v>2</v>
      </c>
      <c r="K14" s="226">
        <v>0.583</v>
      </c>
    </row>
    <row r="15">
      <c r="A15" s="106" t="s">
        <v>81</v>
      </c>
      <c r="B15" s="211">
        <v>4.0</v>
      </c>
      <c r="C15" s="212">
        <v>16.0</v>
      </c>
      <c r="D15" s="45">
        <v>9.0</v>
      </c>
      <c r="E15" s="212">
        <v>11.5</v>
      </c>
      <c r="F15" s="213">
        <f t="shared" si="1"/>
        <v>46</v>
      </c>
      <c r="G15" s="212">
        <v>0.0</v>
      </c>
      <c r="H15" s="202">
        <f t="shared" si="2"/>
        <v>0</v>
      </c>
      <c r="I15" s="212">
        <v>0.75</v>
      </c>
      <c r="J15" s="243">
        <f t="shared" si="3"/>
        <v>3</v>
      </c>
      <c r="K15" s="226">
        <v>0.444</v>
      </c>
    </row>
    <row r="16">
      <c r="A16" s="106" t="s">
        <v>61</v>
      </c>
      <c r="B16" s="211">
        <v>4.0</v>
      </c>
      <c r="C16" s="212">
        <v>16.0</v>
      </c>
      <c r="D16" s="45">
        <v>6.0</v>
      </c>
      <c r="E16" s="212">
        <v>10.0</v>
      </c>
      <c r="F16" s="213">
        <f t="shared" si="1"/>
        <v>40</v>
      </c>
      <c r="G16" s="212">
        <v>0.0</v>
      </c>
      <c r="H16" s="202">
        <f t="shared" si="2"/>
        <v>0</v>
      </c>
      <c r="I16" s="212">
        <v>0.5</v>
      </c>
      <c r="J16" s="243">
        <f t="shared" si="3"/>
        <v>2</v>
      </c>
      <c r="K16" s="226">
        <v>0.833</v>
      </c>
    </row>
    <row r="17">
      <c r="A17" s="106" t="s">
        <v>88</v>
      </c>
      <c r="B17" s="211">
        <v>4.0</v>
      </c>
      <c r="C17" s="212">
        <v>16.0</v>
      </c>
      <c r="D17" s="45">
        <v>11.0</v>
      </c>
      <c r="E17" s="212">
        <v>8.0</v>
      </c>
      <c r="F17" s="213">
        <f t="shared" si="1"/>
        <v>32</v>
      </c>
      <c r="G17" s="212">
        <v>0.75</v>
      </c>
      <c r="H17" s="202">
        <f t="shared" si="2"/>
        <v>3</v>
      </c>
      <c r="I17" s="212">
        <v>0.5</v>
      </c>
      <c r="J17" s="243">
        <f t="shared" si="3"/>
        <v>2</v>
      </c>
      <c r="K17" s="226">
        <v>0.545</v>
      </c>
    </row>
    <row r="18">
      <c r="A18" s="106" t="s">
        <v>42</v>
      </c>
      <c r="B18" s="211">
        <v>4.0</v>
      </c>
      <c r="C18" s="212">
        <v>16.0</v>
      </c>
      <c r="D18" s="45">
        <v>8.0</v>
      </c>
      <c r="E18" s="212">
        <v>8.0</v>
      </c>
      <c r="F18" s="213">
        <f t="shared" si="1"/>
        <v>32</v>
      </c>
      <c r="G18" s="212">
        <v>0.0</v>
      </c>
      <c r="H18" s="202">
        <f t="shared" si="2"/>
        <v>0</v>
      </c>
      <c r="I18" s="212">
        <v>0.5</v>
      </c>
      <c r="J18" s="243">
        <f t="shared" si="3"/>
        <v>2</v>
      </c>
      <c r="K18" s="226">
        <v>0.375</v>
      </c>
    </row>
    <row r="19">
      <c r="A19" s="106" t="s">
        <v>40</v>
      </c>
      <c r="B19" s="211">
        <v>4.0</v>
      </c>
      <c r="C19" s="212">
        <v>15.0</v>
      </c>
      <c r="D19" s="45">
        <v>12.0</v>
      </c>
      <c r="E19" s="212">
        <v>7.5</v>
      </c>
      <c r="F19" s="213">
        <f t="shared" si="1"/>
        <v>30</v>
      </c>
      <c r="G19" s="212">
        <v>0.0</v>
      </c>
      <c r="H19" s="202">
        <f t="shared" si="2"/>
        <v>0</v>
      </c>
      <c r="I19" s="212">
        <v>0.25</v>
      </c>
      <c r="J19" s="243">
        <f t="shared" si="3"/>
        <v>1</v>
      </c>
      <c r="K19" s="226">
        <v>0.417</v>
      </c>
    </row>
    <row r="20">
      <c r="A20" s="106" t="s">
        <v>92</v>
      </c>
      <c r="B20" s="211">
        <v>3.0</v>
      </c>
      <c r="C20" s="212">
        <v>12.0</v>
      </c>
      <c r="D20" s="45">
        <v>10.0</v>
      </c>
      <c r="E20" s="212">
        <v>9.33</v>
      </c>
      <c r="F20" s="213">
        <f t="shared" si="1"/>
        <v>27.99</v>
      </c>
      <c r="G20" s="212">
        <v>0.67</v>
      </c>
      <c r="H20" s="202">
        <f t="shared" si="2"/>
        <v>2.01</v>
      </c>
      <c r="I20" s="212">
        <v>0.67</v>
      </c>
      <c r="J20" s="243">
        <f t="shared" si="3"/>
        <v>2.01</v>
      </c>
      <c r="K20" s="226">
        <v>0.4</v>
      </c>
    </row>
    <row r="21">
      <c r="A21" s="106" t="s">
        <v>69</v>
      </c>
      <c r="B21" s="211">
        <v>3.0</v>
      </c>
      <c r="C21" s="212">
        <v>12.0</v>
      </c>
      <c r="D21" s="45">
        <v>9.0</v>
      </c>
      <c r="E21" s="212">
        <v>8.67</v>
      </c>
      <c r="F21" s="213">
        <f t="shared" si="1"/>
        <v>26.01</v>
      </c>
      <c r="G21" s="212">
        <v>0.0</v>
      </c>
      <c r="H21" s="202">
        <f t="shared" si="2"/>
        <v>0</v>
      </c>
      <c r="I21" s="212">
        <v>0.33</v>
      </c>
      <c r="J21" s="243">
        <f t="shared" si="3"/>
        <v>0.99</v>
      </c>
      <c r="K21" s="226">
        <v>0.444</v>
      </c>
    </row>
    <row r="22">
      <c r="A22" s="106" t="s">
        <v>74</v>
      </c>
      <c r="B22" s="211">
        <v>4.0</v>
      </c>
      <c r="C22" s="212">
        <v>15.0</v>
      </c>
      <c r="D22" s="45">
        <v>10.0</v>
      </c>
      <c r="E22" s="212">
        <v>6.5</v>
      </c>
      <c r="F22" s="213">
        <f t="shared" si="1"/>
        <v>26</v>
      </c>
      <c r="G22" s="212">
        <v>0.0</v>
      </c>
      <c r="H22" s="202">
        <f t="shared" si="2"/>
        <v>0</v>
      </c>
      <c r="I22" s="212">
        <v>0.25</v>
      </c>
      <c r="J22" s="243">
        <f t="shared" si="3"/>
        <v>1</v>
      </c>
      <c r="K22" s="226">
        <v>0.4</v>
      </c>
    </row>
    <row r="23">
      <c r="A23" s="106" t="s">
        <v>82</v>
      </c>
      <c r="B23" s="211">
        <v>4.0</v>
      </c>
      <c r="C23" s="212">
        <v>16.0</v>
      </c>
      <c r="D23" s="45">
        <v>15.0</v>
      </c>
      <c r="E23" s="212">
        <v>5.5</v>
      </c>
      <c r="F23" s="213">
        <f t="shared" si="1"/>
        <v>22</v>
      </c>
      <c r="G23" s="212">
        <v>0.25</v>
      </c>
      <c r="H23" s="202">
        <f t="shared" si="2"/>
        <v>1</v>
      </c>
      <c r="I23" s="212">
        <v>0.25</v>
      </c>
      <c r="J23" s="243">
        <f t="shared" si="3"/>
        <v>1</v>
      </c>
      <c r="K23" s="226">
        <v>0.267</v>
      </c>
    </row>
    <row r="24">
      <c r="A24" s="106" t="s">
        <v>106</v>
      </c>
      <c r="B24" s="211">
        <v>4.0</v>
      </c>
      <c r="C24" s="212">
        <v>16.0</v>
      </c>
      <c r="D24" s="45">
        <v>12.0</v>
      </c>
      <c r="E24" s="212">
        <v>4.5</v>
      </c>
      <c r="F24" s="213">
        <f t="shared" si="1"/>
        <v>18</v>
      </c>
      <c r="G24" s="212">
        <v>1.0</v>
      </c>
      <c r="H24" s="202">
        <f t="shared" si="2"/>
        <v>4</v>
      </c>
      <c r="I24" s="212">
        <v>0.25</v>
      </c>
      <c r="J24" s="243">
        <f t="shared" si="3"/>
        <v>1</v>
      </c>
      <c r="K24" s="226">
        <v>0.5</v>
      </c>
    </row>
    <row r="25">
      <c r="A25" s="106" t="s">
        <v>54</v>
      </c>
      <c r="B25" s="211">
        <v>4.0</v>
      </c>
      <c r="C25" s="212">
        <v>16.0</v>
      </c>
      <c r="D25" s="45">
        <v>7.0</v>
      </c>
      <c r="E25" s="212">
        <v>4.5</v>
      </c>
      <c r="F25" s="213">
        <f t="shared" si="1"/>
        <v>18</v>
      </c>
      <c r="G25" s="212">
        <v>0.0</v>
      </c>
      <c r="H25" s="202">
        <f t="shared" si="2"/>
        <v>0</v>
      </c>
      <c r="I25" s="212">
        <v>0.25</v>
      </c>
      <c r="J25" s="243">
        <f t="shared" si="3"/>
        <v>1</v>
      </c>
      <c r="K25" s="226">
        <v>0.286</v>
      </c>
    </row>
    <row r="26">
      <c r="A26" s="106" t="s">
        <v>78</v>
      </c>
      <c r="B26" s="211">
        <v>4.0</v>
      </c>
      <c r="C26" s="212">
        <v>15.0</v>
      </c>
      <c r="D26" s="45">
        <v>8.0</v>
      </c>
      <c r="E26" s="212">
        <v>4.5</v>
      </c>
      <c r="F26" s="213">
        <f t="shared" si="1"/>
        <v>18</v>
      </c>
      <c r="G26" s="212">
        <v>0.0</v>
      </c>
      <c r="H26" s="202">
        <f t="shared" si="2"/>
        <v>0</v>
      </c>
      <c r="I26" s="212">
        <v>0.25</v>
      </c>
      <c r="J26" s="243">
        <f t="shared" si="3"/>
        <v>1</v>
      </c>
      <c r="K26" s="226">
        <v>0.25</v>
      </c>
    </row>
    <row r="27">
      <c r="A27" s="106" t="s">
        <v>44</v>
      </c>
      <c r="B27" s="211">
        <v>4.0</v>
      </c>
      <c r="C27" s="212">
        <v>16.0</v>
      </c>
      <c r="D27" s="45">
        <v>8.0</v>
      </c>
      <c r="E27" s="212">
        <v>4.5</v>
      </c>
      <c r="F27" s="213">
        <f t="shared" si="1"/>
        <v>18</v>
      </c>
      <c r="G27" s="212">
        <v>0.0</v>
      </c>
      <c r="H27" s="202">
        <f t="shared" si="2"/>
        <v>0</v>
      </c>
      <c r="I27" s="212">
        <v>0.25</v>
      </c>
      <c r="J27" s="243">
        <f t="shared" si="3"/>
        <v>1</v>
      </c>
      <c r="K27" s="226">
        <v>0.25</v>
      </c>
    </row>
    <row r="28">
      <c r="A28" s="106" t="s">
        <v>52</v>
      </c>
      <c r="B28" s="211">
        <v>4.0</v>
      </c>
      <c r="C28" s="212">
        <v>16.0</v>
      </c>
      <c r="D28" s="45">
        <v>11.0</v>
      </c>
      <c r="E28" s="212">
        <v>4.0</v>
      </c>
      <c r="F28" s="213">
        <f t="shared" si="1"/>
        <v>16</v>
      </c>
      <c r="G28" s="212">
        <v>0.0</v>
      </c>
      <c r="H28" s="202">
        <f t="shared" si="2"/>
        <v>0</v>
      </c>
      <c r="I28" s="212">
        <v>0.0</v>
      </c>
      <c r="J28" s="243">
        <f t="shared" si="3"/>
        <v>0</v>
      </c>
      <c r="K28" s="226">
        <v>0.364</v>
      </c>
    </row>
    <row r="29">
      <c r="A29" s="106" t="s">
        <v>79</v>
      </c>
      <c r="B29" s="211">
        <v>1.0</v>
      </c>
      <c r="C29" s="212">
        <v>4.0</v>
      </c>
      <c r="D29" s="45">
        <v>2.0</v>
      </c>
      <c r="E29" s="212">
        <v>4.0</v>
      </c>
      <c r="F29" s="213">
        <f t="shared" si="1"/>
        <v>4</v>
      </c>
      <c r="G29" s="212">
        <v>0.0</v>
      </c>
      <c r="H29" s="202">
        <f t="shared" si="2"/>
        <v>0</v>
      </c>
      <c r="I29" s="212">
        <v>0.0</v>
      </c>
      <c r="J29" s="243">
        <f t="shared" si="3"/>
        <v>0</v>
      </c>
      <c r="K29" s="226">
        <v>0.5</v>
      </c>
    </row>
    <row r="30">
      <c r="A30" s="106" t="s">
        <v>56</v>
      </c>
      <c r="B30" s="211">
        <v>4.0</v>
      </c>
      <c r="C30" s="212">
        <v>16.0</v>
      </c>
      <c r="D30" s="45">
        <v>13.0</v>
      </c>
      <c r="E30" s="212">
        <v>0.0</v>
      </c>
      <c r="F30" s="213">
        <f t="shared" si="1"/>
        <v>0</v>
      </c>
      <c r="G30" s="212">
        <v>0.5</v>
      </c>
      <c r="H30" s="202">
        <f t="shared" si="2"/>
        <v>2</v>
      </c>
      <c r="I30" s="212">
        <v>0.0</v>
      </c>
      <c r="J30" s="243">
        <f t="shared" si="3"/>
        <v>0</v>
      </c>
      <c r="K30" s="226">
        <v>0.154</v>
      </c>
    </row>
    <row r="31">
      <c r="A31" s="106" t="s">
        <v>64</v>
      </c>
      <c r="B31" s="211">
        <v>4.0</v>
      </c>
      <c r="C31" s="212">
        <v>16.0</v>
      </c>
      <c r="D31" s="45">
        <v>12.0</v>
      </c>
      <c r="E31" s="212">
        <v>0.0</v>
      </c>
      <c r="F31" s="213">
        <f t="shared" si="1"/>
        <v>0</v>
      </c>
      <c r="G31" s="212">
        <v>0.25</v>
      </c>
      <c r="H31" s="202">
        <f t="shared" si="2"/>
        <v>1</v>
      </c>
      <c r="I31" s="212">
        <v>0.0</v>
      </c>
      <c r="J31" s="243">
        <f t="shared" si="3"/>
        <v>0</v>
      </c>
      <c r="K31" s="226">
        <v>0.083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75</v>
      </c>
      <c r="B2" s="211">
        <v>4.0</v>
      </c>
      <c r="C2" s="212">
        <v>12.0</v>
      </c>
      <c r="D2" s="45">
        <v>9.0</v>
      </c>
      <c r="E2" s="212">
        <v>23.5</v>
      </c>
      <c r="F2" s="213">
        <f t="shared" ref="F2:F31" si="1">E2*B2</f>
        <v>94</v>
      </c>
      <c r="G2" s="212">
        <v>0.25</v>
      </c>
      <c r="H2" s="202">
        <f t="shared" ref="H2:H31" si="2">G2*B2</f>
        <v>1</v>
      </c>
      <c r="I2" s="212">
        <v>1.75</v>
      </c>
      <c r="J2" s="243">
        <f t="shared" ref="J2:J31" si="3">I2*B2</f>
        <v>7</v>
      </c>
      <c r="K2" s="226">
        <v>0.778</v>
      </c>
    </row>
    <row r="3">
      <c r="A3" s="106" t="s">
        <v>61</v>
      </c>
      <c r="B3" s="211">
        <v>4.0</v>
      </c>
      <c r="C3" s="212">
        <v>12.0</v>
      </c>
      <c r="D3" s="45">
        <v>9.0</v>
      </c>
      <c r="E3" s="212">
        <v>22.5</v>
      </c>
      <c r="F3" s="213">
        <f t="shared" si="1"/>
        <v>90</v>
      </c>
      <c r="G3" s="212">
        <v>0.5</v>
      </c>
      <c r="H3" s="202">
        <f t="shared" si="2"/>
        <v>2</v>
      </c>
      <c r="I3" s="212">
        <v>1.75</v>
      </c>
      <c r="J3" s="243">
        <f t="shared" si="3"/>
        <v>7</v>
      </c>
      <c r="K3" s="226">
        <v>0.778</v>
      </c>
    </row>
    <row r="4">
      <c r="A4" s="106" t="s">
        <v>40</v>
      </c>
      <c r="B4" s="211">
        <v>4.0</v>
      </c>
      <c r="C4" s="212">
        <v>12.0</v>
      </c>
      <c r="D4" s="45">
        <v>12.0</v>
      </c>
      <c r="E4" s="212">
        <v>19.0</v>
      </c>
      <c r="F4" s="213">
        <f t="shared" si="1"/>
        <v>76</v>
      </c>
      <c r="G4" s="212">
        <v>0.25</v>
      </c>
      <c r="H4" s="202">
        <f t="shared" si="2"/>
        <v>1</v>
      </c>
      <c r="I4" s="212">
        <v>1.0</v>
      </c>
      <c r="J4" s="243">
        <f t="shared" si="3"/>
        <v>4</v>
      </c>
      <c r="K4" s="226">
        <v>0.833</v>
      </c>
    </row>
    <row r="5">
      <c r="A5" s="106" t="s">
        <v>89</v>
      </c>
      <c r="B5" s="211">
        <v>4.0</v>
      </c>
      <c r="C5" s="212">
        <v>12.0</v>
      </c>
      <c r="D5" s="45">
        <v>8.0</v>
      </c>
      <c r="E5" s="212">
        <v>17.5</v>
      </c>
      <c r="F5" s="213">
        <f t="shared" si="1"/>
        <v>70</v>
      </c>
      <c r="G5" s="212">
        <v>0.25</v>
      </c>
      <c r="H5" s="202">
        <f t="shared" si="2"/>
        <v>1</v>
      </c>
      <c r="I5" s="212">
        <v>1.25</v>
      </c>
      <c r="J5" s="243">
        <f t="shared" si="3"/>
        <v>5</v>
      </c>
      <c r="K5" s="226">
        <v>0.75</v>
      </c>
    </row>
    <row r="6">
      <c r="A6" s="106" t="s">
        <v>99</v>
      </c>
      <c r="B6" s="211">
        <v>4.0</v>
      </c>
      <c r="C6" s="212">
        <v>12.0</v>
      </c>
      <c r="D6" s="45">
        <v>9.0</v>
      </c>
      <c r="E6" s="212">
        <v>17.5</v>
      </c>
      <c r="F6" s="213">
        <f t="shared" si="1"/>
        <v>70</v>
      </c>
      <c r="G6" s="212">
        <v>0.25</v>
      </c>
      <c r="H6" s="202">
        <f t="shared" si="2"/>
        <v>1</v>
      </c>
      <c r="I6" s="212">
        <v>1.25</v>
      </c>
      <c r="J6" s="243">
        <f t="shared" si="3"/>
        <v>5</v>
      </c>
      <c r="K6" s="226">
        <v>0.667</v>
      </c>
    </row>
    <row r="7">
      <c r="A7" s="106" t="s">
        <v>93</v>
      </c>
      <c r="B7" s="211">
        <v>4.0</v>
      </c>
      <c r="C7" s="212">
        <v>12.0</v>
      </c>
      <c r="D7" s="45">
        <v>9.0</v>
      </c>
      <c r="E7" s="212">
        <v>17.5</v>
      </c>
      <c r="F7" s="213">
        <f t="shared" si="1"/>
        <v>70</v>
      </c>
      <c r="G7" s="212">
        <v>0.25</v>
      </c>
      <c r="H7" s="202">
        <f t="shared" si="2"/>
        <v>1</v>
      </c>
      <c r="I7" s="212">
        <v>1.25</v>
      </c>
      <c r="J7" s="243">
        <f t="shared" si="3"/>
        <v>5</v>
      </c>
      <c r="K7" s="226">
        <v>0.667</v>
      </c>
    </row>
    <row r="8">
      <c r="A8" s="106" t="s">
        <v>56</v>
      </c>
      <c r="B8" s="211">
        <v>4.0</v>
      </c>
      <c r="C8" s="212">
        <v>12.0</v>
      </c>
      <c r="D8" s="45">
        <v>10.0</v>
      </c>
      <c r="E8" s="212">
        <v>17.0</v>
      </c>
      <c r="F8" s="213">
        <f t="shared" si="1"/>
        <v>68</v>
      </c>
      <c r="G8" s="212">
        <v>0.25</v>
      </c>
      <c r="H8" s="202">
        <f t="shared" si="2"/>
        <v>1</v>
      </c>
      <c r="I8" s="212">
        <v>1.0</v>
      </c>
      <c r="J8" s="243">
        <f t="shared" si="3"/>
        <v>4</v>
      </c>
      <c r="K8" s="226">
        <v>0.8</v>
      </c>
    </row>
    <row r="9">
      <c r="A9" s="106" t="s">
        <v>94</v>
      </c>
      <c r="B9" s="211">
        <v>4.0</v>
      </c>
      <c r="C9" s="212">
        <v>12.0</v>
      </c>
      <c r="D9" s="45">
        <v>8.0</v>
      </c>
      <c r="E9" s="212">
        <v>16.5</v>
      </c>
      <c r="F9" s="213">
        <f t="shared" si="1"/>
        <v>66</v>
      </c>
      <c r="G9" s="212">
        <v>0.5</v>
      </c>
      <c r="H9" s="202">
        <f t="shared" si="2"/>
        <v>2</v>
      </c>
      <c r="I9" s="212">
        <v>1.25</v>
      </c>
      <c r="J9" s="243">
        <f t="shared" si="3"/>
        <v>5</v>
      </c>
      <c r="K9" s="226">
        <v>0.75</v>
      </c>
    </row>
    <row r="10">
      <c r="A10" s="106" t="s">
        <v>57</v>
      </c>
      <c r="B10" s="211">
        <v>4.0</v>
      </c>
      <c r="C10" s="212">
        <v>12.0</v>
      </c>
      <c r="D10" s="45">
        <v>7.0</v>
      </c>
      <c r="E10" s="212">
        <v>15.0</v>
      </c>
      <c r="F10" s="213">
        <f t="shared" si="1"/>
        <v>60</v>
      </c>
      <c r="G10" s="212">
        <v>0.25</v>
      </c>
      <c r="H10" s="202">
        <f t="shared" si="2"/>
        <v>1</v>
      </c>
      <c r="I10" s="212">
        <v>1.0</v>
      </c>
      <c r="J10" s="243">
        <f t="shared" si="3"/>
        <v>4</v>
      </c>
      <c r="K10" s="226">
        <v>0.857</v>
      </c>
    </row>
    <row r="11">
      <c r="A11" s="106" t="s">
        <v>50</v>
      </c>
      <c r="B11" s="211">
        <v>4.0</v>
      </c>
      <c r="C11" s="212">
        <v>12.0</v>
      </c>
      <c r="D11" s="45">
        <v>7.0</v>
      </c>
      <c r="E11" s="212">
        <v>14.5</v>
      </c>
      <c r="F11" s="213">
        <f t="shared" si="1"/>
        <v>58</v>
      </c>
      <c r="G11" s="212">
        <v>0.0</v>
      </c>
      <c r="H11" s="202">
        <f t="shared" si="2"/>
        <v>0</v>
      </c>
      <c r="I11" s="212">
        <v>0.75</v>
      </c>
      <c r="J11" s="243">
        <f t="shared" si="3"/>
        <v>3</v>
      </c>
      <c r="K11" s="226">
        <v>1.0</v>
      </c>
    </row>
    <row r="12">
      <c r="A12" s="106" t="s">
        <v>106</v>
      </c>
      <c r="B12" s="211">
        <v>4.0</v>
      </c>
      <c r="C12" s="212">
        <v>12.0</v>
      </c>
      <c r="D12" s="45">
        <v>10.0</v>
      </c>
      <c r="E12" s="212">
        <v>14.5</v>
      </c>
      <c r="F12" s="213">
        <f t="shared" si="1"/>
        <v>58</v>
      </c>
      <c r="G12" s="212">
        <v>0.25</v>
      </c>
      <c r="H12" s="202">
        <f t="shared" si="2"/>
        <v>1</v>
      </c>
      <c r="I12" s="212">
        <v>0.75</v>
      </c>
      <c r="J12" s="243">
        <f t="shared" si="3"/>
        <v>3</v>
      </c>
      <c r="K12" s="226">
        <v>0.8</v>
      </c>
    </row>
    <row r="13">
      <c r="A13" s="106" t="s">
        <v>91</v>
      </c>
      <c r="B13" s="211">
        <v>4.0</v>
      </c>
      <c r="C13" s="212">
        <v>13.0</v>
      </c>
      <c r="D13" s="45">
        <v>10.0</v>
      </c>
      <c r="E13" s="212">
        <v>14.0</v>
      </c>
      <c r="F13" s="213">
        <f t="shared" si="1"/>
        <v>56</v>
      </c>
      <c r="G13" s="212">
        <v>0.5</v>
      </c>
      <c r="H13" s="202">
        <f t="shared" si="2"/>
        <v>2</v>
      </c>
      <c r="I13" s="212">
        <v>1.0</v>
      </c>
      <c r="J13" s="243">
        <f t="shared" si="3"/>
        <v>4</v>
      </c>
      <c r="K13" s="226">
        <v>0.6</v>
      </c>
    </row>
    <row r="14">
      <c r="A14" s="106" t="s">
        <v>88</v>
      </c>
      <c r="B14" s="211">
        <v>4.0</v>
      </c>
      <c r="C14" s="212">
        <v>12.0</v>
      </c>
      <c r="D14" s="45">
        <v>11.0</v>
      </c>
      <c r="E14" s="212">
        <v>14.0</v>
      </c>
      <c r="F14" s="213">
        <f t="shared" si="1"/>
        <v>56</v>
      </c>
      <c r="G14" s="212">
        <v>0.5</v>
      </c>
      <c r="H14" s="202">
        <f t="shared" si="2"/>
        <v>2</v>
      </c>
      <c r="I14" s="212">
        <v>1.0</v>
      </c>
      <c r="J14" s="243">
        <f t="shared" si="3"/>
        <v>4</v>
      </c>
      <c r="K14" s="226">
        <v>0.545</v>
      </c>
    </row>
    <row r="15">
      <c r="A15" s="106" t="s">
        <v>52</v>
      </c>
      <c r="B15" s="211">
        <v>4.0</v>
      </c>
      <c r="C15" s="212">
        <v>11.0</v>
      </c>
      <c r="D15" s="45">
        <v>8.0</v>
      </c>
      <c r="E15" s="212">
        <v>12.0</v>
      </c>
      <c r="F15" s="213">
        <f t="shared" si="1"/>
        <v>48</v>
      </c>
      <c r="G15" s="212">
        <v>0.0</v>
      </c>
      <c r="H15" s="202">
        <f t="shared" si="2"/>
        <v>0</v>
      </c>
      <c r="I15" s="212">
        <v>0.5</v>
      </c>
      <c r="J15" s="243">
        <f t="shared" si="3"/>
        <v>2</v>
      </c>
      <c r="K15" s="226">
        <v>0.875</v>
      </c>
    </row>
    <row r="16">
      <c r="A16" s="106" t="s">
        <v>60</v>
      </c>
      <c r="B16" s="211">
        <v>4.0</v>
      </c>
      <c r="C16" s="212">
        <v>10.0</v>
      </c>
      <c r="D16" s="45">
        <v>6.0</v>
      </c>
      <c r="E16" s="212">
        <v>11.0</v>
      </c>
      <c r="F16" s="213">
        <f t="shared" si="1"/>
        <v>44</v>
      </c>
      <c r="G16" s="212">
        <v>0.0</v>
      </c>
      <c r="H16" s="202">
        <f t="shared" si="2"/>
        <v>0</v>
      </c>
      <c r="I16" s="212">
        <v>0.5</v>
      </c>
      <c r="J16" s="243">
        <f t="shared" si="3"/>
        <v>2</v>
      </c>
      <c r="K16" s="226">
        <v>1.0</v>
      </c>
    </row>
    <row r="17">
      <c r="A17" s="106" t="s">
        <v>54</v>
      </c>
      <c r="B17" s="211">
        <v>4.0</v>
      </c>
      <c r="C17" s="212">
        <v>12.0</v>
      </c>
      <c r="D17" s="45">
        <v>3.0</v>
      </c>
      <c r="E17" s="212">
        <v>10.5</v>
      </c>
      <c r="F17" s="213">
        <f t="shared" si="1"/>
        <v>42</v>
      </c>
      <c r="G17" s="212">
        <v>0.0</v>
      </c>
      <c r="H17" s="202">
        <f t="shared" si="2"/>
        <v>0</v>
      </c>
      <c r="I17" s="212">
        <v>0.75</v>
      </c>
      <c r="J17" s="243">
        <f t="shared" si="3"/>
        <v>3</v>
      </c>
      <c r="K17" s="226">
        <v>1.0</v>
      </c>
    </row>
    <row r="18">
      <c r="A18" s="106" t="s">
        <v>65</v>
      </c>
      <c r="B18" s="211">
        <v>4.0</v>
      </c>
      <c r="C18" s="212">
        <v>12.0</v>
      </c>
      <c r="D18" s="45">
        <v>8.0</v>
      </c>
      <c r="E18" s="212">
        <v>10.5</v>
      </c>
      <c r="F18" s="213">
        <f t="shared" si="1"/>
        <v>42</v>
      </c>
      <c r="G18" s="212">
        <v>0.25</v>
      </c>
      <c r="H18" s="202">
        <f t="shared" si="2"/>
        <v>1</v>
      </c>
      <c r="I18" s="212">
        <v>0.75</v>
      </c>
      <c r="J18" s="243">
        <f t="shared" si="3"/>
        <v>3</v>
      </c>
      <c r="K18" s="226">
        <v>0.5</v>
      </c>
    </row>
    <row r="19">
      <c r="A19" s="106" t="s">
        <v>81</v>
      </c>
      <c r="B19" s="211">
        <v>4.0</v>
      </c>
      <c r="C19" s="212">
        <v>12.0</v>
      </c>
      <c r="D19" s="45">
        <v>7.0</v>
      </c>
      <c r="E19" s="212">
        <v>10.0</v>
      </c>
      <c r="F19" s="213">
        <f t="shared" si="1"/>
        <v>40</v>
      </c>
      <c r="G19" s="212">
        <v>0.25</v>
      </c>
      <c r="H19" s="202">
        <f t="shared" si="2"/>
        <v>1</v>
      </c>
      <c r="I19" s="212">
        <v>0.5</v>
      </c>
      <c r="J19" s="243">
        <f t="shared" si="3"/>
        <v>2</v>
      </c>
      <c r="K19" s="226">
        <v>0.857</v>
      </c>
    </row>
    <row r="20">
      <c r="A20" s="106" t="s">
        <v>82</v>
      </c>
      <c r="B20" s="211">
        <v>4.0</v>
      </c>
      <c r="C20" s="212">
        <v>12.0</v>
      </c>
      <c r="D20" s="45">
        <v>9.0</v>
      </c>
      <c r="E20" s="212">
        <v>10.0</v>
      </c>
      <c r="F20" s="213">
        <f t="shared" si="1"/>
        <v>40</v>
      </c>
      <c r="G20" s="212">
        <v>0.0</v>
      </c>
      <c r="H20" s="202">
        <f t="shared" si="2"/>
        <v>0</v>
      </c>
      <c r="I20" s="212">
        <v>0.5</v>
      </c>
      <c r="J20" s="243">
        <f t="shared" si="3"/>
        <v>2</v>
      </c>
      <c r="K20" s="226">
        <v>0.556</v>
      </c>
    </row>
    <row r="21">
      <c r="A21" s="106" t="s">
        <v>58</v>
      </c>
      <c r="B21" s="211">
        <v>4.0</v>
      </c>
      <c r="C21" s="212">
        <v>12.0</v>
      </c>
      <c r="D21" s="45">
        <v>7.0</v>
      </c>
      <c r="E21" s="212">
        <v>9.0</v>
      </c>
      <c r="F21" s="213">
        <f t="shared" si="1"/>
        <v>36</v>
      </c>
      <c r="G21" s="212">
        <v>0.0</v>
      </c>
      <c r="H21" s="202">
        <f t="shared" si="2"/>
        <v>0</v>
      </c>
      <c r="I21" s="212">
        <v>0.5</v>
      </c>
      <c r="J21" s="243">
        <f t="shared" si="3"/>
        <v>2</v>
      </c>
      <c r="K21" s="226">
        <v>0.571</v>
      </c>
    </row>
    <row r="22">
      <c r="A22" s="106" t="s">
        <v>64</v>
      </c>
      <c r="B22" s="211">
        <v>4.0</v>
      </c>
      <c r="C22" s="212">
        <v>13.0</v>
      </c>
      <c r="D22" s="45">
        <v>10.0</v>
      </c>
      <c r="E22" s="212">
        <v>8.5</v>
      </c>
      <c r="F22" s="213">
        <f t="shared" si="1"/>
        <v>34</v>
      </c>
      <c r="G22" s="212">
        <v>0.75</v>
      </c>
      <c r="H22" s="202">
        <f t="shared" si="2"/>
        <v>3</v>
      </c>
      <c r="I22" s="212">
        <v>0.75</v>
      </c>
      <c r="J22" s="243">
        <f t="shared" si="3"/>
        <v>3</v>
      </c>
      <c r="K22" s="226">
        <v>0.4</v>
      </c>
    </row>
    <row r="23">
      <c r="A23" s="106" t="s">
        <v>42</v>
      </c>
      <c r="B23" s="211">
        <v>4.0</v>
      </c>
      <c r="C23" s="212">
        <v>12.0</v>
      </c>
      <c r="D23" s="45">
        <v>4.0</v>
      </c>
      <c r="E23" s="212">
        <v>7.0</v>
      </c>
      <c r="F23" s="213">
        <f t="shared" si="1"/>
        <v>28</v>
      </c>
      <c r="G23" s="212">
        <v>0.25</v>
      </c>
      <c r="H23" s="202">
        <f t="shared" si="2"/>
        <v>1</v>
      </c>
      <c r="I23" s="212">
        <v>0.5</v>
      </c>
      <c r="J23" s="243">
        <f t="shared" si="3"/>
        <v>2</v>
      </c>
      <c r="K23" s="226">
        <v>0.75</v>
      </c>
    </row>
    <row r="24">
      <c r="A24" s="106" t="s">
        <v>74</v>
      </c>
      <c r="B24" s="211">
        <v>4.0</v>
      </c>
      <c r="C24" s="212">
        <v>12.0</v>
      </c>
      <c r="D24" s="45">
        <v>5.0</v>
      </c>
      <c r="E24" s="212">
        <v>7.0</v>
      </c>
      <c r="F24" s="213">
        <f t="shared" si="1"/>
        <v>28</v>
      </c>
      <c r="G24" s="212">
        <v>0.25</v>
      </c>
      <c r="H24" s="202">
        <f t="shared" si="2"/>
        <v>1</v>
      </c>
      <c r="I24" s="212">
        <v>0.5</v>
      </c>
      <c r="J24" s="243">
        <f t="shared" si="3"/>
        <v>2</v>
      </c>
      <c r="K24" s="226">
        <v>0.6</v>
      </c>
    </row>
    <row r="25">
      <c r="A25" s="106" t="s">
        <v>78</v>
      </c>
      <c r="B25" s="211">
        <v>4.0</v>
      </c>
      <c r="C25" s="212">
        <v>12.0</v>
      </c>
      <c r="D25" s="45">
        <v>8.0</v>
      </c>
      <c r="E25" s="212">
        <v>6.0</v>
      </c>
      <c r="F25" s="213">
        <f t="shared" si="1"/>
        <v>24</v>
      </c>
      <c r="G25" s="212">
        <v>0.75</v>
      </c>
      <c r="H25" s="202">
        <f t="shared" si="2"/>
        <v>3</v>
      </c>
      <c r="I25" s="212">
        <v>0.5</v>
      </c>
      <c r="J25" s="243">
        <f t="shared" si="3"/>
        <v>2</v>
      </c>
      <c r="K25" s="226">
        <v>0.5</v>
      </c>
    </row>
    <row r="26">
      <c r="A26" s="106" t="s">
        <v>44</v>
      </c>
      <c r="B26" s="211">
        <v>4.0</v>
      </c>
      <c r="C26" s="212">
        <v>12.0</v>
      </c>
      <c r="D26" s="45">
        <v>7.0</v>
      </c>
      <c r="E26" s="212">
        <v>5.5</v>
      </c>
      <c r="F26" s="213">
        <f t="shared" si="1"/>
        <v>22</v>
      </c>
      <c r="G26" s="212">
        <v>0.0</v>
      </c>
      <c r="H26" s="202">
        <f t="shared" si="2"/>
        <v>0</v>
      </c>
      <c r="I26" s="212">
        <v>0.25</v>
      </c>
      <c r="J26" s="243">
        <f t="shared" si="3"/>
        <v>1</v>
      </c>
      <c r="K26" s="226">
        <v>0.429</v>
      </c>
    </row>
    <row r="27">
      <c r="A27" s="106" t="s">
        <v>67</v>
      </c>
      <c r="B27" s="211">
        <v>3.0</v>
      </c>
      <c r="C27" s="212">
        <v>7.0</v>
      </c>
      <c r="D27" s="45">
        <v>4.0</v>
      </c>
      <c r="E27" s="212">
        <v>6.0</v>
      </c>
      <c r="F27" s="213">
        <f t="shared" si="1"/>
        <v>18</v>
      </c>
      <c r="G27" s="212">
        <v>0.0</v>
      </c>
      <c r="H27" s="202">
        <f t="shared" si="2"/>
        <v>0</v>
      </c>
      <c r="I27" s="212">
        <v>0.33</v>
      </c>
      <c r="J27" s="243">
        <f t="shared" si="3"/>
        <v>0.99</v>
      </c>
      <c r="K27" s="226">
        <v>0.5</v>
      </c>
    </row>
    <row r="28">
      <c r="A28" s="106" t="s">
        <v>92</v>
      </c>
      <c r="B28" s="211">
        <v>3.0</v>
      </c>
      <c r="C28" s="212">
        <v>9.0</v>
      </c>
      <c r="D28" s="45">
        <v>5.0</v>
      </c>
      <c r="E28" s="212">
        <v>4.67</v>
      </c>
      <c r="F28" s="213">
        <f t="shared" si="1"/>
        <v>14.01</v>
      </c>
      <c r="G28" s="212">
        <v>0.67</v>
      </c>
      <c r="H28" s="202">
        <f t="shared" si="2"/>
        <v>2.01</v>
      </c>
      <c r="I28" s="212">
        <v>0.33</v>
      </c>
      <c r="J28" s="243">
        <f t="shared" si="3"/>
        <v>0.99</v>
      </c>
      <c r="K28" s="226">
        <v>0.6</v>
      </c>
    </row>
    <row r="29">
      <c r="A29" s="106" t="s">
        <v>63</v>
      </c>
      <c r="B29" s="211">
        <v>4.0</v>
      </c>
      <c r="C29" s="212">
        <v>12.0</v>
      </c>
      <c r="D29" s="45">
        <v>7.0</v>
      </c>
      <c r="E29" s="212">
        <v>3.0</v>
      </c>
      <c r="F29" s="213">
        <f t="shared" si="1"/>
        <v>12</v>
      </c>
      <c r="G29" s="212">
        <v>1.0</v>
      </c>
      <c r="H29" s="202">
        <f t="shared" si="2"/>
        <v>4</v>
      </c>
      <c r="I29" s="212">
        <v>0.5</v>
      </c>
      <c r="J29" s="243">
        <f t="shared" si="3"/>
        <v>2</v>
      </c>
      <c r="K29" s="226">
        <v>0.286</v>
      </c>
    </row>
    <row r="30">
      <c r="A30" s="106" t="s">
        <v>69</v>
      </c>
      <c r="B30" s="211">
        <v>3.0</v>
      </c>
      <c r="C30" s="212">
        <v>9.0</v>
      </c>
      <c r="D30" s="45">
        <v>5.0</v>
      </c>
      <c r="E30" s="212">
        <v>1.33</v>
      </c>
      <c r="F30" s="213">
        <f t="shared" si="1"/>
        <v>3.99</v>
      </c>
      <c r="G30" s="212">
        <v>0.33</v>
      </c>
      <c r="H30" s="202">
        <f t="shared" si="2"/>
        <v>0.99</v>
      </c>
      <c r="I30" s="212">
        <v>0.0</v>
      </c>
      <c r="J30" s="243">
        <f t="shared" si="3"/>
        <v>0</v>
      </c>
      <c r="K30" s="226">
        <v>0.4</v>
      </c>
    </row>
    <row r="31">
      <c r="A31" s="106" t="s">
        <v>79</v>
      </c>
      <c r="B31" s="211">
        <v>1.0</v>
      </c>
      <c r="C31" s="212">
        <v>3.0</v>
      </c>
      <c r="D31" s="45">
        <v>0.0</v>
      </c>
      <c r="E31" s="212">
        <v>0.0</v>
      </c>
      <c r="F31" s="213">
        <f t="shared" si="1"/>
        <v>0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0.0</v>
      </c>
    </row>
    <row r="32">
      <c r="A32" s="246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6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6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94</v>
      </c>
      <c r="B2" s="211">
        <v>4.0</v>
      </c>
      <c r="C2" s="212">
        <v>16.0</v>
      </c>
      <c r="D2" s="45">
        <v>14.0</v>
      </c>
      <c r="E2" s="212">
        <v>28.5</v>
      </c>
      <c r="F2" s="213">
        <f t="shared" ref="F2:F31" si="1">E2*B2</f>
        <v>114</v>
      </c>
      <c r="G2" s="212">
        <v>0.25</v>
      </c>
      <c r="H2" s="202">
        <f t="shared" ref="H2:H31" si="2">G2*B2</f>
        <v>1</v>
      </c>
      <c r="I2" s="212">
        <v>1.75</v>
      </c>
      <c r="J2" s="243">
        <f t="shared" ref="J2:J31" si="3">I2*B2</f>
        <v>7</v>
      </c>
      <c r="K2" s="226">
        <v>0.857</v>
      </c>
    </row>
    <row r="3">
      <c r="A3" s="106" t="s">
        <v>106</v>
      </c>
      <c r="B3" s="211">
        <v>4.0</v>
      </c>
      <c r="C3" s="212">
        <v>16.0</v>
      </c>
      <c r="D3" s="45">
        <v>14.0</v>
      </c>
      <c r="E3" s="212">
        <v>27.5</v>
      </c>
      <c r="F3" s="213">
        <f t="shared" si="1"/>
        <v>110</v>
      </c>
      <c r="G3" s="212">
        <v>0.25</v>
      </c>
      <c r="H3" s="202">
        <f t="shared" si="2"/>
        <v>1</v>
      </c>
      <c r="I3" s="212">
        <v>1.75</v>
      </c>
      <c r="J3" s="243">
        <f t="shared" si="3"/>
        <v>7</v>
      </c>
      <c r="K3" s="226">
        <v>0.786</v>
      </c>
    </row>
    <row r="4">
      <c r="A4" s="106" t="s">
        <v>58</v>
      </c>
      <c r="B4" s="211">
        <v>4.0</v>
      </c>
      <c r="C4" s="212">
        <v>16.0</v>
      </c>
      <c r="D4" s="45">
        <v>16.0</v>
      </c>
      <c r="E4" s="212">
        <v>27.0</v>
      </c>
      <c r="F4" s="213">
        <f t="shared" si="1"/>
        <v>108</v>
      </c>
      <c r="G4" s="212">
        <v>0.25</v>
      </c>
      <c r="H4" s="202">
        <f t="shared" si="2"/>
        <v>1</v>
      </c>
      <c r="I4" s="212">
        <v>1.5</v>
      </c>
      <c r="J4" s="243">
        <f t="shared" si="3"/>
        <v>6</v>
      </c>
      <c r="K4" s="226">
        <v>0.813</v>
      </c>
    </row>
    <row r="5">
      <c r="A5" s="106" t="s">
        <v>61</v>
      </c>
      <c r="B5" s="211">
        <v>4.0</v>
      </c>
      <c r="C5" s="212">
        <v>16.0</v>
      </c>
      <c r="D5" s="45">
        <v>12.0</v>
      </c>
      <c r="E5" s="212">
        <v>19.0</v>
      </c>
      <c r="F5" s="213">
        <f t="shared" si="1"/>
        <v>76</v>
      </c>
      <c r="G5" s="212">
        <v>0.75</v>
      </c>
      <c r="H5" s="202">
        <f t="shared" si="2"/>
        <v>3</v>
      </c>
      <c r="I5" s="212">
        <v>1.5</v>
      </c>
      <c r="J5" s="243">
        <f t="shared" si="3"/>
        <v>6</v>
      </c>
      <c r="K5" s="226">
        <v>0.583</v>
      </c>
    </row>
    <row r="6">
      <c r="A6" s="106" t="s">
        <v>64</v>
      </c>
      <c r="B6" s="211">
        <v>4.0</v>
      </c>
      <c r="C6" s="212">
        <v>16.0</v>
      </c>
      <c r="D6" s="45">
        <v>9.0</v>
      </c>
      <c r="E6" s="212">
        <v>18.5</v>
      </c>
      <c r="F6" s="213">
        <f t="shared" si="1"/>
        <v>74</v>
      </c>
      <c r="G6" s="212">
        <v>0.0</v>
      </c>
      <c r="H6" s="202">
        <f t="shared" si="2"/>
        <v>0</v>
      </c>
      <c r="I6" s="212">
        <v>1.25</v>
      </c>
      <c r="J6" s="243">
        <f t="shared" si="3"/>
        <v>5</v>
      </c>
      <c r="K6" s="226">
        <v>0.667</v>
      </c>
    </row>
    <row r="7">
      <c r="A7" s="106" t="s">
        <v>88</v>
      </c>
      <c r="B7" s="211">
        <v>4.0</v>
      </c>
      <c r="C7" s="212">
        <v>16.0</v>
      </c>
      <c r="D7" s="45">
        <v>12.0</v>
      </c>
      <c r="E7" s="212">
        <v>18.0</v>
      </c>
      <c r="F7" s="213">
        <f t="shared" si="1"/>
        <v>72</v>
      </c>
      <c r="G7" s="212">
        <v>0.75</v>
      </c>
      <c r="H7" s="202">
        <f t="shared" si="2"/>
        <v>3</v>
      </c>
      <c r="I7" s="212">
        <v>1.5</v>
      </c>
      <c r="J7" s="243">
        <f t="shared" si="3"/>
        <v>6</v>
      </c>
      <c r="K7" s="226">
        <v>0.5</v>
      </c>
    </row>
    <row r="8">
      <c r="A8" s="106" t="s">
        <v>81</v>
      </c>
      <c r="B8" s="211">
        <v>4.0</v>
      </c>
      <c r="C8" s="212">
        <v>16.0</v>
      </c>
      <c r="D8" s="45">
        <v>14.0</v>
      </c>
      <c r="E8" s="212">
        <v>15.5</v>
      </c>
      <c r="F8" s="213">
        <f t="shared" si="1"/>
        <v>62</v>
      </c>
      <c r="G8" s="212">
        <v>0.75</v>
      </c>
      <c r="H8" s="202">
        <f t="shared" si="2"/>
        <v>3</v>
      </c>
      <c r="I8" s="212">
        <v>1.25</v>
      </c>
      <c r="J8" s="243">
        <f t="shared" si="3"/>
        <v>5</v>
      </c>
      <c r="K8" s="226">
        <v>0.429</v>
      </c>
    </row>
    <row r="9">
      <c r="A9" s="106" t="s">
        <v>57</v>
      </c>
      <c r="B9" s="211">
        <v>4.0</v>
      </c>
      <c r="C9" s="212">
        <v>16.0</v>
      </c>
      <c r="D9" s="45">
        <v>12.0</v>
      </c>
      <c r="E9" s="212">
        <v>15.0</v>
      </c>
      <c r="F9" s="213">
        <f t="shared" si="1"/>
        <v>60</v>
      </c>
      <c r="G9" s="212">
        <v>0.25</v>
      </c>
      <c r="H9" s="202">
        <f t="shared" si="2"/>
        <v>1</v>
      </c>
      <c r="I9" s="212">
        <v>1.0</v>
      </c>
      <c r="J9" s="243">
        <f t="shared" si="3"/>
        <v>4</v>
      </c>
      <c r="K9" s="226">
        <v>0.5</v>
      </c>
    </row>
    <row r="10">
      <c r="A10" s="106" t="s">
        <v>56</v>
      </c>
      <c r="B10" s="211">
        <v>4.0</v>
      </c>
      <c r="C10" s="212">
        <v>16.0</v>
      </c>
      <c r="D10" s="45">
        <v>13.0</v>
      </c>
      <c r="E10" s="212">
        <v>14.5</v>
      </c>
      <c r="F10" s="213">
        <f t="shared" si="1"/>
        <v>58</v>
      </c>
      <c r="G10" s="212">
        <v>1.25</v>
      </c>
      <c r="H10" s="202">
        <f t="shared" si="2"/>
        <v>5</v>
      </c>
      <c r="I10" s="212">
        <v>1.25</v>
      </c>
      <c r="J10" s="243">
        <f t="shared" si="3"/>
        <v>5</v>
      </c>
      <c r="K10" s="226">
        <v>0.538</v>
      </c>
    </row>
    <row r="11">
      <c r="A11" s="106" t="s">
        <v>54</v>
      </c>
      <c r="B11" s="211">
        <v>4.0</v>
      </c>
      <c r="C11" s="212">
        <v>16.0</v>
      </c>
      <c r="D11" s="45">
        <v>10.0</v>
      </c>
      <c r="E11" s="212">
        <v>14.0</v>
      </c>
      <c r="F11" s="213">
        <f t="shared" si="1"/>
        <v>56</v>
      </c>
      <c r="G11" s="212">
        <v>0.5</v>
      </c>
      <c r="H11" s="202">
        <f t="shared" si="2"/>
        <v>2</v>
      </c>
      <c r="I11" s="212">
        <v>1.0</v>
      </c>
      <c r="J11" s="243">
        <f t="shared" si="3"/>
        <v>4</v>
      </c>
      <c r="K11" s="226">
        <v>0.6</v>
      </c>
    </row>
    <row r="12">
      <c r="A12" s="106" t="s">
        <v>40</v>
      </c>
      <c r="B12" s="211">
        <v>4.0</v>
      </c>
      <c r="C12" s="212">
        <v>16.0</v>
      </c>
      <c r="D12" s="45">
        <v>9.0</v>
      </c>
      <c r="E12" s="212">
        <v>13.5</v>
      </c>
      <c r="F12" s="213">
        <f t="shared" si="1"/>
        <v>54</v>
      </c>
      <c r="G12" s="212">
        <v>0.0</v>
      </c>
      <c r="H12" s="202">
        <f t="shared" si="2"/>
        <v>0</v>
      </c>
      <c r="I12" s="212">
        <v>0.75</v>
      </c>
      <c r="J12" s="243">
        <f t="shared" si="3"/>
        <v>3</v>
      </c>
      <c r="K12" s="226">
        <v>0.667</v>
      </c>
    </row>
    <row r="13">
      <c r="A13" s="106" t="s">
        <v>82</v>
      </c>
      <c r="B13" s="211">
        <v>4.0</v>
      </c>
      <c r="C13" s="212">
        <v>16.0</v>
      </c>
      <c r="D13" s="45">
        <v>13.0</v>
      </c>
      <c r="E13" s="212">
        <v>11.5</v>
      </c>
      <c r="F13" s="213">
        <f t="shared" si="1"/>
        <v>46</v>
      </c>
      <c r="G13" s="212">
        <v>0.25</v>
      </c>
      <c r="H13" s="202">
        <f t="shared" si="2"/>
        <v>1</v>
      </c>
      <c r="I13" s="212">
        <v>0.75</v>
      </c>
      <c r="J13" s="243">
        <f t="shared" si="3"/>
        <v>3</v>
      </c>
      <c r="K13" s="226">
        <v>0.385</v>
      </c>
    </row>
    <row r="14">
      <c r="A14" s="106" t="s">
        <v>50</v>
      </c>
      <c r="B14" s="211">
        <v>4.0</v>
      </c>
      <c r="C14" s="212">
        <v>16.0</v>
      </c>
      <c r="D14" s="45">
        <v>13.0</v>
      </c>
      <c r="E14" s="212">
        <v>11.5</v>
      </c>
      <c r="F14" s="213">
        <f t="shared" si="1"/>
        <v>46</v>
      </c>
      <c r="G14" s="212">
        <v>0.25</v>
      </c>
      <c r="H14" s="202">
        <f t="shared" si="2"/>
        <v>1</v>
      </c>
      <c r="I14" s="212">
        <v>0.25</v>
      </c>
      <c r="J14" s="243">
        <f t="shared" si="3"/>
        <v>1</v>
      </c>
      <c r="K14" s="226">
        <v>0.769</v>
      </c>
    </row>
    <row r="15">
      <c r="A15" s="106" t="s">
        <v>42</v>
      </c>
      <c r="B15" s="211">
        <v>4.0</v>
      </c>
      <c r="C15" s="212">
        <v>16.0</v>
      </c>
      <c r="D15" s="45">
        <v>9.0</v>
      </c>
      <c r="E15" s="212">
        <v>9.0</v>
      </c>
      <c r="F15" s="213">
        <f t="shared" si="1"/>
        <v>36</v>
      </c>
      <c r="G15" s="212">
        <v>0.5</v>
      </c>
      <c r="H15" s="202">
        <f t="shared" si="2"/>
        <v>2</v>
      </c>
      <c r="I15" s="212">
        <v>0.5</v>
      </c>
      <c r="J15" s="243">
        <f t="shared" si="3"/>
        <v>2</v>
      </c>
      <c r="K15" s="226">
        <v>0.667</v>
      </c>
    </row>
    <row r="16">
      <c r="A16" s="106" t="s">
        <v>63</v>
      </c>
      <c r="B16" s="211">
        <v>4.0</v>
      </c>
      <c r="C16" s="212">
        <v>16.0</v>
      </c>
      <c r="D16" s="45">
        <v>11.0</v>
      </c>
      <c r="E16" s="212">
        <v>8.5</v>
      </c>
      <c r="F16" s="213">
        <f t="shared" si="1"/>
        <v>34</v>
      </c>
      <c r="G16" s="212">
        <v>1.0</v>
      </c>
      <c r="H16" s="202">
        <f t="shared" si="2"/>
        <v>4</v>
      </c>
      <c r="I16" s="212">
        <v>0.75</v>
      </c>
      <c r="J16" s="243">
        <f t="shared" si="3"/>
        <v>3</v>
      </c>
      <c r="K16" s="226">
        <v>0.455</v>
      </c>
    </row>
    <row r="17">
      <c r="A17" s="106" t="s">
        <v>74</v>
      </c>
      <c r="B17" s="211">
        <v>4.0</v>
      </c>
      <c r="C17" s="212">
        <v>15.0</v>
      </c>
      <c r="D17" s="45">
        <v>9.0</v>
      </c>
      <c r="E17" s="212">
        <v>8.0</v>
      </c>
      <c r="F17" s="213">
        <f t="shared" si="1"/>
        <v>32</v>
      </c>
      <c r="G17" s="212">
        <v>0.25</v>
      </c>
      <c r="H17" s="202">
        <f t="shared" si="2"/>
        <v>1</v>
      </c>
      <c r="I17" s="212">
        <v>0.5</v>
      </c>
      <c r="J17" s="243">
        <f t="shared" si="3"/>
        <v>2</v>
      </c>
      <c r="K17" s="226">
        <v>0.444</v>
      </c>
    </row>
    <row r="18">
      <c r="A18" s="106" t="s">
        <v>65</v>
      </c>
      <c r="B18" s="211">
        <v>4.0</v>
      </c>
      <c r="C18" s="212">
        <v>16.0</v>
      </c>
      <c r="D18" s="45">
        <v>12.0</v>
      </c>
      <c r="E18" s="212">
        <v>7.5</v>
      </c>
      <c r="F18" s="213">
        <f t="shared" si="1"/>
        <v>30</v>
      </c>
      <c r="G18" s="212">
        <v>1.25</v>
      </c>
      <c r="H18" s="202">
        <f t="shared" si="2"/>
        <v>5</v>
      </c>
      <c r="I18" s="212">
        <v>0.75</v>
      </c>
      <c r="J18" s="243">
        <f t="shared" si="3"/>
        <v>3</v>
      </c>
      <c r="K18" s="226">
        <v>0.417</v>
      </c>
    </row>
    <row r="19">
      <c r="A19" s="106" t="s">
        <v>89</v>
      </c>
      <c r="B19" s="211">
        <v>4.0</v>
      </c>
      <c r="C19" s="212">
        <v>16.0</v>
      </c>
      <c r="D19" s="45">
        <v>16.0</v>
      </c>
      <c r="E19" s="212">
        <v>7.5</v>
      </c>
      <c r="F19" s="213">
        <f t="shared" si="1"/>
        <v>30</v>
      </c>
      <c r="G19" s="212">
        <v>0.25</v>
      </c>
      <c r="H19" s="202">
        <f t="shared" si="2"/>
        <v>1</v>
      </c>
      <c r="I19" s="212">
        <v>0.25</v>
      </c>
      <c r="J19" s="243">
        <f t="shared" si="3"/>
        <v>1</v>
      </c>
      <c r="K19" s="226">
        <v>0.375</v>
      </c>
    </row>
    <row r="20">
      <c r="A20" s="106" t="s">
        <v>93</v>
      </c>
      <c r="B20" s="211">
        <v>4.0</v>
      </c>
      <c r="C20" s="212">
        <v>16.0</v>
      </c>
      <c r="D20" s="45">
        <v>8.0</v>
      </c>
      <c r="E20" s="212">
        <v>7.0</v>
      </c>
      <c r="F20" s="213">
        <f t="shared" si="1"/>
        <v>28</v>
      </c>
      <c r="G20" s="212">
        <v>0.25</v>
      </c>
      <c r="H20" s="202">
        <f t="shared" si="2"/>
        <v>1</v>
      </c>
      <c r="I20" s="212">
        <v>0.5</v>
      </c>
      <c r="J20" s="243">
        <f t="shared" si="3"/>
        <v>2</v>
      </c>
      <c r="K20" s="226">
        <v>0.375</v>
      </c>
    </row>
    <row r="21">
      <c r="A21" s="106" t="s">
        <v>52</v>
      </c>
      <c r="B21" s="211">
        <v>4.0</v>
      </c>
      <c r="C21" s="212">
        <v>23.0</v>
      </c>
      <c r="D21" s="45">
        <v>18.0</v>
      </c>
      <c r="E21" s="212">
        <v>6.0</v>
      </c>
      <c r="F21" s="213">
        <f t="shared" si="1"/>
        <v>24</v>
      </c>
      <c r="G21" s="212">
        <v>0.0</v>
      </c>
      <c r="H21" s="202">
        <f t="shared" si="2"/>
        <v>0</v>
      </c>
      <c r="I21" s="212">
        <v>0.0</v>
      </c>
      <c r="J21" s="243">
        <f t="shared" si="3"/>
        <v>0</v>
      </c>
      <c r="K21" s="226">
        <v>0.333</v>
      </c>
    </row>
    <row r="22">
      <c r="A22" s="106" t="s">
        <v>60</v>
      </c>
      <c r="B22" s="211">
        <v>4.0</v>
      </c>
      <c r="C22" s="212">
        <v>14.0</v>
      </c>
      <c r="D22" s="45">
        <v>11.0</v>
      </c>
      <c r="E22" s="212">
        <v>4.5</v>
      </c>
      <c r="F22" s="213">
        <f t="shared" si="1"/>
        <v>18</v>
      </c>
      <c r="G22" s="212">
        <v>0.25</v>
      </c>
      <c r="H22" s="202">
        <f t="shared" si="2"/>
        <v>1</v>
      </c>
      <c r="I22" s="212">
        <v>0.25</v>
      </c>
      <c r="J22" s="243">
        <f t="shared" si="3"/>
        <v>1</v>
      </c>
      <c r="K22" s="226">
        <v>0.273</v>
      </c>
    </row>
    <row r="23">
      <c r="A23" s="106" t="s">
        <v>67</v>
      </c>
      <c r="B23" s="211">
        <v>3.0</v>
      </c>
      <c r="C23" s="212">
        <v>10.0</v>
      </c>
      <c r="D23" s="45">
        <v>6.0</v>
      </c>
      <c r="E23" s="212">
        <v>6.0</v>
      </c>
      <c r="F23" s="213">
        <f t="shared" si="1"/>
        <v>18</v>
      </c>
      <c r="G23" s="212">
        <v>0.0</v>
      </c>
      <c r="H23" s="202">
        <f t="shared" si="2"/>
        <v>0</v>
      </c>
      <c r="I23" s="212">
        <v>0.33</v>
      </c>
      <c r="J23" s="243">
        <f t="shared" si="3"/>
        <v>0.99</v>
      </c>
      <c r="K23" s="226">
        <v>0.333</v>
      </c>
    </row>
    <row r="24">
      <c r="A24" s="106" t="s">
        <v>75</v>
      </c>
      <c r="B24" s="211">
        <v>4.0</v>
      </c>
      <c r="C24" s="212">
        <v>16.0</v>
      </c>
      <c r="D24" s="45">
        <v>14.0</v>
      </c>
      <c r="E24" s="212">
        <v>3.5</v>
      </c>
      <c r="F24" s="213">
        <f t="shared" si="1"/>
        <v>14</v>
      </c>
      <c r="G24" s="212">
        <v>1.0</v>
      </c>
      <c r="H24" s="202">
        <f t="shared" si="2"/>
        <v>4</v>
      </c>
      <c r="I24" s="212">
        <v>0.25</v>
      </c>
      <c r="J24" s="243">
        <f t="shared" si="3"/>
        <v>1</v>
      </c>
      <c r="K24" s="226">
        <v>0.357</v>
      </c>
    </row>
    <row r="25">
      <c r="A25" s="106" t="s">
        <v>44</v>
      </c>
      <c r="B25" s="211">
        <v>4.0</v>
      </c>
      <c r="C25" s="212">
        <v>16.0</v>
      </c>
      <c r="D25" s="45">
        <v>10.0</v>
      </c>
      <c r="E25" s="212">
        <v>3.5</v>
      </c>
      <c r="F25" s="213">
        <f t="shared" si="1"/>
        <v>14</v>
      </c>
      <c r="G25" s="212">
        <v>0.0</v>
      </c>
      <c r="H25" s="202">
        <f t="shared" si="2"/>
        <v>0</v>
      </c>
      <c r="I25" s="212">
        <v>0.25</v>
      </c>
      <c r="J25" s="243">
        <f t="shared" si="3"/>
        <v>1</v>
      </c>
      <c r="K25" s="226">
        <v>0.1</v>
      </c>
    </row>
    <row r="26">
      <c r="A26" s="106" t="s">
        <v>99</v>
      </c>
      <c r="B26" s="211">
        <v>4.0</v>
      </c>
      <c r="C26" s="212">
        <v>16.0</v>
      </c>
      <c r="D26" s="45">
        <v>11.0</v>
      </c>
      <c r="E26" s="212">
        <v>3.0</v>
      </c>
      <c r="F26" s="213">
        <f t="shared" si="1"/>
        <v>12</v>
      </c>
      <c r="G26" s="212">
        <v>0.25</v>
      </c>
      <c r="H26" s="202">
        <f t="shared" si="2"/>
        <v>1</v>
      </c>
      <c r="I26" s="212">
        <v>0.0</v>
      </c>
      <c r="J26" s="243">
        <f t="shared" si="3"/>
        <v>0</v>
      </c>
      <c r="K26" s="226">
        <v>0.364</v>
      </c>
    </row>
    <row r="27">
      <c r="A27" s="106" t="s">
        <v>78</v>
      </c>
      <c r="B27" s="211">
        <v>4.0</v>
      </c>
      <c r="C27" s="212">
        <v>15.0</v>
      </c>
      <c r="D27" s="45">
        <v>8.0</v>
      </c>
      <c r="E27" s="212">
        <v>2.5</v>
      </c>
      <c r="F27" s="213">
        <f t="shared" si="1"/>
        <v>10</v>
      </c>
      <c r="G27" s="212">
        <v>0.5</v>
      </c>
      <c r="H27" s="202">
        <f t="shared" si="2"/>
        <v>2</v>
      </c>
      <c r="I27" s="212">
        <v>0.25</v>
      </c>
      <c r="J27" s="243">
        <f t="shared" si="3"/>
        <v>1</v>
      </c>
      <c r="K27" s="226">
        <v>0.25</v>
      </c>
    </row>
    <row r="28">
      <c r="A28" s="106" t="s">
        <v>91</v>
      </c>
      <c r="B28" s="211">
        <v>4.0</v>
      </c>
      <c r="C28" s="212">
        <v>16.0</v>
      </c>
      <c r="D28" s="45">
        <v>8.0</v>
      </c>
      <c r="E28" s="212">
        <v>1.5</v>
      </c>
      <c r="F28" s="213">
        <f t="shared" si="1"/>
        <v>6</v>
      </c>
      <c r="G28" s="212">
        <v>0.75</v>
      </c>
      <c r="H28" s="202">
        <f t="shared" si="2"/>
        <v>3</v>
      </c>
      <c r="I28" s="212">
        <v>0.25</v>
      </c>
      <c r="J28" s="243">
        <f t="shared" si="3"/>
        <v>1</v>
      </c>
      <c r="K28" s="226">
        <v>0.25</v>
      </c>
    </row>
    <row r="29">
      <c r="A29" s="106" t="s">
        <v>92</v>
      </c>
      <c r="B29" s="211">
        <v>3.0</v>
      </c>
      <c r="C29" s="212">
        <v>12.0</v>
      </c>
      <c r="D29" s="45">
        <v>9.0</v>
      </c>
      <c r="E29" s="212">
        <v>2.0</v>
      </c>
      <c r="F29" s="213">
        <f t="shared" si="1"/>
        <v>6</v>
      </c>
      <c r="G29" s="212">
        <v>0.67</v>
      </c>
      <c r="H29" s="202">
        <f t="shared" si="2"/>
        <v>2.01</v>
      </c>
      <c r="I29" s="212">
        <v>0.33</v>
      </c>
      <c r="J29" s="243">
        <f t="shared" si="3"/>
        <v>0.99</v>
      </c>
      <c r="K29" s="226">
        <v>0.111</v>
      </c>
    </row>
    <row r="30">
      <c r="A30" s="106" t="s">
        <v>69</v>
      </c>
      <c r="B30" s="211">
        <v>3.0</v>
      </c>
      <c r="C30" s="212">
        <v>12.0</v>
      </c>
      <c r="D30" s="45">
        <v>8.0</v>
      </c>
      <c r="E30" s="212">
        <v>1.33</v>
      </c>
      <c r="F30" s="213">
        <f t="shared" si="1"/>
        <v>3.99</v>
      </c>
      <c r="G30" s="212">
        <v>0.0</v>
      </c>
      <c r="H30" s="202">
        <f t="shared" si="2"/>
        <v>0</v>
      </c>
      <c r="I30" s="212">
        <v>0.0</v>
      </c>
      <c r="J30" s="243">
        <f t="shared" si="3"/>
        <v>0</v>
      </c>
      <c r="K30" s="226">
        <v>0.125</v>
      </c>
    </row>
    <row r="31">
      <c r="A31" s="106" t="s">
        <v>79</v>
      </c>
      <c r="B31" s="211">
        <v>1.0</v>
      </c>
      <c r="C31" s="212">
        <v>4.0</v>
      </c>
      <c r="D31" s="45">
        <v>2.0</v>
      </c>
      <c r="E31" s="212">
        <v>0.0</v>
      </c>
      <c r="F31" s="213">
        <f t="shared" si="1"/>
        <v>0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0.0</v>
      </c>
    </row>
    <row r="32">
      <c r="A32" s="246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6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6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61</v>
      </c>
      <c r="B2" s="211">
        <v>4.0</v>
      </c>
      <c r="C2" s="212">
        <v>16.0</v>
      </c>
      <c r="D2" s="45">
        <v>12.0</v>
      </c>
      <c r="E2" s="212">
        <v>25.0</v>
      </c>
      <c r="F2" s="213">
        <f t="shared" ref="F2:F31" si="1">E2*B2</f>
        <v>100</v>
      </c>
      <c r="G2" s="212">
        <v>0.0</v>
      </c>
      <c r="H2" s="202">
        <f t="shared" ref="H2:H31" si="2">G2*B2</f>
        <v>0</v>
      </c>
      <c r="I2" s="212">
        <v>1.5</v>
      </c>
      <c r="J2" s="243">
        <f t="shared" ref="J2:J31" si="3">I2*B2</f>
        <v>6</v>
      </c>
      <c r="K2" s="226">
        <v>0.833</v>
      </c>
    </row>
    <row r="3">
      <c r="A3" s="106" t="s">
        <v>93</v>
      </c>
      <c r="B3" s="211">
        <v>4.0</v>
      </c>
      <c r="C3" s="212">
        <v>16.0</v>
      </c>
      <c r="D3" s="45">
        <v>14.0</v>
      </c>
      <c r="E3" s="212">
        <v>22.5</v>
      </c>
      <c r="F3" s="213">
        <f t="shared" si="1"/>
        <v>90</v>
      </c>
      <c r="G3" s="212">
        <v>1.0</v>
      </c>
      <c r="H3" s="202">
        <f t="shared" si="2"/>
        <v>4</v>
      </c>
      <c r="I3" s="212">
        <v>1.75</v>
      </c>
      <c r="J3" s="243">
        <f t="shared" si="3"/>
        <v>7</v>
      </c>
      <c r="K3" s="226">
        <v>0.643</v>
      </c>
    </row>
    <row r="4">
      <c r="A4" s="106" t="s">
        <v>42</v>
      </c>
      <c r="B4" s="211">
        <v>4.0</v>
      </c>
      <c r="C4" s="212">
        <v>16.0</v>
      </c>
      <c r="D4" s="45">
        <v>14.0</v>
      </c>
      <c r="E4" s="212">
        <v>21.0</v>
      </c>
      <c r="F4" s="213">
        <f t="shared" si="1"/>
        <v>84</v>
      </c>
      <c r="G4" s="212">
        <v>0.0</v>
      </c>
      <c r="H4" s="202">
        <f t="shared" si="2"/>
        <v>0</v>
      </c>
      <c r="I4" s="212">
        <v>1.0</v>
      </c>
      <c r="J4" s="243">
        <f t="shared" si="3"/>
        <v>4</v>
      </c>
      <c r="K4" s="226">
        <v>0.786</v>
      </c>
    </row>
    <row r="5">
      <c r="A5" s="106" t="s">
        <v>65</v>
      </c>
      <c r="B5" s="211">
        <v>4.0</v>
      </c>
      <c r="C5" s="212">
        <v>16.0</v>
      </c>
      <c r="D5" s="45">
        <v>15.0</v>
      </c>
      <c r="E5" s="212">
        <v>19.5</v>
      </c>
      <c r="F5" s="213">
        <f t="shared" si="1"/>
        <v>78</v>
      </c>
      <c r="G5" s="212">
        <v>0.5</v>
      </c>
      <c r="H5" s="202">
        <f t="shared" si="2"/>
        <v>2</v>
      </c>
      <c r="I5" s="212">
        <v>1.25</v>
      </c>
      <c r="J5" s="243">
        <f t="shared" si="3"/>
        <v>5</v>
      </c>
      <c r="K5" s="226">
        <v>0.6</v>
      </c>
    </row>
    <row r="6">
      <c r="A6" s="106" t="s">
        <v>63</v>
      </c>
      <c r="B6" s="211">
        <v>4.0</v>
      </c>
      <c r="C6" s="212">
        <v>16.0</v>
      </c>
      <c r="D6" s="45">
        <v>13.0</v>
      </c>
      <c r="E6" s="212">
        <v>17.5</v>
      </c>
      <c r="F6" s="213">
        <f t="shared" si="1"/>
        <v>70</v>
      </c>
      <c r="G6" s="212">
        <v>0.75</v>
      </c>
      <c r="H6" s="202">
        <f t="shared" si="2"/>
        <v>3</v>
      </c>
      <c r="I6" s="212">
        <v>1.25</v>
      </c>
      <c r="J6" s="243">
        <f t="shared" si="3"/>
        <v>5</v>
      </c>
      <c r="K6" s="226">
        <v>0.615</v>
      </c>
    </row>
    <row r="7">
      <c r="A7" s="106" t="s">
        <v>56</v>
      </c>
      <c r="B7" s="211">
        <v>4.0</v>
      </c>
      <c r="C7" s="212">
        <v>16.0</v>
      </c>
      <c r="D7" s="45">
        <v>14.0</v>
      </c>
      <c r="E7" s="212">
        <v>16.0</v>
      </c>
      <c r="F7" s="213">
        <f t="shared" si="1"/>
        <v>64</v>
      </c>
      <c r="G7" s="212">
        <v>0.5</v>
      </c>
      <c r="H7" s="202">
        <f t="shared" si="2"/>
        <v>2</v>
      </c>
      <c r="I7" s="212">
        <v>1.0</v>
      </c>
      <c r="J7" s="243">
        <f t="shared" si="3"/>
        <v>4</v>
      </c>
      <c r="K7" s="226">
        <v>0.571</v>
      </c>
    </row>
    <row r="8">
      <c r="A8" s="106" t="s">
        <v>50</v>
      </c>
      <c r="B8" s="211">
        <v>4.0</v>
      </c>
      <c r="C8" s="212">
        <v>16.0</v>
      </c>
      <c r="D8" s="45">
        <v>15.0</v>
      </c>
      <c r="E8" s="212">
        <v>14.5</v>
      </c>
      <c r="F8" s="213">
        <f t="shared" si="1"/>
        <v>58</v>
      </c>
      <c r="G8" s="212">
        <v>0.5</v>
      </c>
      <c r="H8" s="202">
        <f t="shared" si="2"/>
        <v>2</v>
      </c>
      <c r="I8" s="212">
        <v>0.75</v>
      </c>
      <c r="J8" s="243">
        <f t="shared" si="3"/>
        <v>3</v>
      </c>
      <c r="K8" s="226">
        <v>0.6</v>
      </c>
    </row>
    <row r="9">
      <c r="A9" s="106" t="s">
        <v>54</v>
      </c>
      <c r="B9" s="211">
        <v>4.0</v>
      </c>
      <c r="C9" s="212">
        <v>16.0</v>
      </c>
      <c r="D9" s="45">
        <v>16.0</v>
      </c>
      <c r="E9" s="212">
        <v>12.5</v>
      </c>
      <c r="F9" s="213">
        <f t="shared" si="1"/>
        <v>50</v>
      </c>
      <c r="G9" s="212">
        <v>0.75</v>
      </c>
      <c r="H9" s="202">
        <f t="shared" si="2"/>
        <v>3</v>
      </c>
      <c r="I9" s="212">
        <v>0.75</v>
      </c>
      <c r="J9" s="243">
        <f t="shared" si="3"/>
        <v>3</v>
      </c>
      <c r="K9" s="226">
        <v>0.5</v>
      </c>
    </row>
    <row r="10">
      <c r="A10" s="106" t="s">
        <v>81</v>
      </c>
      <c r="B10" s="211">
        <v>4.0</v>
      </c>
      <c r="C10" s="212">
        <v>16.0</v>
      </c>
      <c r="D10" s="45">
        <v>13.0</v>
      </c>
      <c r="E10" s="212">
        <v>12.0</v>
      </c>
      <c r="F10" s="213">
        <f t="shared" si="1"/>
        <v>48</v>
      </c>
      <c r="G10" s="212">
        <v>0.5</v>
      </c>
      <c r="H10" s="202">
        <f t="shared" si="2"/>
        <v>2</v>
      </c>
      <c r="I10" s="212">
        <v>1.0</v>
      </c>
      <c r="J10" s="243">
        <f t="shared" si="3"/>
        <v>4</v>
      </c>
      <c r="K10" s="226">
        <v>0.308</v>
      </c>
    </row>
    <row r="11">
      <c r="A11" s="106" t="s">
        <v>75</v>
      </c>
      <c r="B11" s="211">
        <v>4.0</v>
      </c>
      <c r="C11" s="212">
        <v>16.0</v>
      </c>
      <c r="D11" s="45">
        <v>8.0</v>
      </c>
      <c r="E11" s="212">
        <v>9.0</v>
      </c>
      <c r="F11" s="213">
        <f t="shared" si="1"/>
        <v>36</v>
      </c>
      <c r="G11" s="212">
        <v>0.25</v>
      </c>
      <c r="H11" s="202">
        <f t="shared" si="2"/>
        <v>1</v>
      </c>
      <c r="I11" s="212">
        <v>0.5</v>
      </c>
      <c r="J11" s="243">
        <f t="shared" si="3"/>
        <v>2</v>
      </c>
      <c r="K11" s="226">
        <v>0.625</v>
      </c>
    </row>
    <row r="12">
      <c r="A12" s="106" t="s">
        <v>40</v>
      </c>
      <c r="B12" s="211">
        <v>4.0</v>
      </c>
      <c r="C12" s="212">
        <v>17.0</v>
      </c>
      <c r="D12" s="45">
        <v>11.0</v>
      </c>
      <c r="E12" s="212">
        <v>9.0</v>
      </c>
      <c r="F12" s="213">
        <f t="shared" si="1"/>
        <v>36</v>
      </c>
      <c r="G12" s="212">
        <v>0.25</v>
      </c>
      <c r="H12" s="202">
        <f t="shared" si="2"/>
        <v>1</v>
      </c>
      <c r="I12" s="212">
        <v>0.5</v>
      </c>
      <c r="J12" s="243">
        <f t="shared" si="3"/>
        <v>2</v>
      </c>
      <c r="K12" s="226">
        <v>0.455</v>
      </c>
    </row>
    <row r="13">
      <c r="A13" s="106" t="s">
        <v>92</v>
      </c>
      <c r="B13" s="211">
        <v>3.0</v>
      </c>
      <c r="C13" s="212">
        <v>12.0</v>
      </c>
      <c r="D13" s="45">
        <v>12.0</v>
      </c>
      <c r="E13" s="212">
        <v>10.67</v>
      </c>
      <c r="F13" s="213">
        <f t="shared" si="1"/>
        <v>32.01</v>
      </c>
      <c r="G13" s="212">
        <v>1.33</v>
      </c>
      <c r="H13" s="202">
        <f t="shared" si="2"/>
        <v>3.99</v>
      </c>
      <c r="I13" s="212">
        <v>0.67</v>
      </c>
      <c r="J13" s="243">
        <f t="shared" si="3"/>
        <v>2.01</v>
      </c>
      <c r="K13" s="226">
        <v>0.583</v>
      </c>
    </row>
    <row r="14">
      <c r="A14" s="106" t="s">
        <v>52</v>
      </c>
      <c r="B14" s="211">
        <v>4.0</v>
      </c>
      <c r="C14" s="212">
        <v>16.0</v>
      </c>
      <c r="D14" s="45">
        <v>11.0</v>
      </c>
      <c r="E14" s="212">
        <v>8.0</v>
      </c>
      <c r="F14" s="213">
        <f t="shared" si="1"/>
        <v>32</v>
      </c>
      <c r="G14" s="212">
        <v>0.5</v>
      </c>
      <c r="H14" s="202">
        <f t="shared" si="2"/>
        <v>2</v>
      </c>
      <c r="I14" s="212">
        <v>0.5</v>
      </c>
      <c r="J14" s="243">
        <f t="shared" si="3"/>
        <v>2</v>
      </c>
      <c r="K14" s="226">
        <v>0.455</v>
      </c>
    </row>
    <row r="15">
      <c r="A15" s="106" t="s">
        <v>60</v>
      </c>
      <c r="B15" s="211">
        <v>4.0</v>
      </c>
      <c r="C15" s="212">
        <v>13.0</v>
      </c>
      <c r="D15" s="45">
        <v>9.0</v>
      </c>
      <c r="E15" s="212">
        <v>7.5</v>
      </c>
      <c r="F15" s="213">
        <f t="shared" si="1"/>
        <v>30</v>
      </c>
      <c r="G15" s="212">
        <v>0.25</v>
      </c>
      <c r="H15" s="202">
        <f t="shared" si="2"/>
        <v>1</v>
      </c>
      <c r="I15" s="212">
        <v>0.25</v>
      </c>
      <c r="J15" s="243">
        <f t="shared" si="3"/>
        <v>1</v>
      </c>
      <c r="K15" s="226">
        <v>0.667</v>
      </c>
    </row>
    <row r="16">
      <c r="A16" s="106" t="s">
        <v>88</v>
      </c>
      <c r="B16" s="211">
        <v>4.0</v>
      </c>
      <c r="C16" s="212">
        <v>16.0</v>
      </c>
      <c r="D16" s="45">
        <v>10.0</v>
      </c>
      <c r="E16" s="212">
        <v>7.5</v>
      </c>
      <c r="F16" s="213">
        <f t="shared" si="1"/>
        <v>30</v>
      </c>
      <c r="G16" s="212">
        <v>0.25</v>
      </c>
      <c r="H16" s="202">
        <f t="shared" si="2"/>
        <v>1</v>
      </c>
      <c r="I16" s="212">
        <v>0.25</v>
      </c>
      <c r="J16" s="243">
        <f t="shared" si="3"/>
        <v>1</v>
      </c>
      <c r="K16" s="226">
        <v>0.6</v>
      </c>
    </row>
    <row r="17">
      <c r="A17" s="106" t="s">
        <v>64</v>
      </c>
      <c r="B17" s="211">
        <v>4.0</v>
      </c>
      <c r="C17" s="212">
        <v>16.0</v>
      </c>
      <c r="D17" s="45">
        <v>13.0</v>
      </c>
      <c r="E17" s="212">
        <v>7.0</v>
      </c>
      <c r="F17" s="213">
        <f t="shared" si="1"/>
        <v>28</v>
      </c>
      <c r="G17" s="212">
        <v>1.0</v>
      </c>
      <c r="H17" s="202">
        <f t="shared" si="2"/>
        <v>4</v>
      </c>
      <c r="I17" s="212">
        <v>0.5</v>
      </c>
      <c r="J17" s="243">
        <f t="shared" si="3"/>
        <v>2</v>
      </c>
      <c r="K17" s="226">
        <v>0.462</v>
      </c>
    </row>
    <row r="18">
      <c r="A18" s="106" t="s">
        <v>67</v>
      </c>
      <c r="B18" s="211">
        <v>3.0</v>
      </c>
      <c r="C18" s="212">
        <v>9.0</v>
      </c>
      <c r="D18" s="45">
        <v>5.0</v>
      </c>
      <c r="E18" s="212">
        <v>8.67</v>
      </c>
      <c r="F18" s="213">
        <f t="shared" si="1"/>
        <v>26.01</v>
      </c>
      <c r="G18" s="212">
        <v>0.0</v>
      </c>
      <c r="H18" s="202">
        <f t="shared" si="2"/>
        <v>0</v>
      </c>
      <c r="I18" s="212">
        <v>0.33</v>
      </c>
      <c r="J18" s="243">
        <f t="shared" si="3"/>
        <v>0.99</v>
      </c>
      <c r="K18" s="226">
        <v>0.8</v>
      </c>
    </row>
    <row r="19">
      <c r="A19" s="106" t="s">
        <v>44</v>
      </c>
      <c r="B19" s="211">
        <v>4.0</v>
      </c>
      <c r="C19" s="212">
        <v>15.0</v>
      </c>
      <c r="D19" s="45">
        <v>8.0</v>
      </c>
      <c r="E19" s="212">
        <v>6.0</v>
      </c>
      <c r="F19" s="213">
        <f t="shared" si="1"/>
        <v>24</v>
      </c>
      <c r="G19" s="212">
        <v>0.0</v>
      </c>
      <c r="H19" s="202">
        <f t="shared" si="2"/>
        <v>0</v>
      </c>
      <c r="I19" s="212">
        <v>0.0</v>
      </c>
      <c r="J19" s="243">
        <f t="shared" si="3"/>
        <v>0</v>
      </c>
      <c r="K19" s="226">
        <v>0.75</v>
      </c>
    </row>
    <row r="20">
      <c r="A20" s="106" t="s">
        <v>82</v>
      </c>
      <c r="B20" s="211">
        <v>4.0</v>
      </c>
      <c r="C20" s="212">
        <v>16.0</v>
      </c>
      <c r="D20" s="45">
        <v>9.0</v>
      </c>
      <c r="E20" s="212">
        <v>5.5</v>
      </c>
      <c r="F20" s="213">
        <f t="shared" si="1"/>
        <v>22</v>
      </c>
      <c r="G20" s="212">
        <v>0.0</v>
      </c>
      <c r="H20" s="202">
        <f t="shared" si="2"/>
        <v>0</v>
      </c>
      <c r="I20" s="212">
        <v>0.25</v>
      </c>
      <c r="J20" s="243">
        <f t="shared" si="3"/>
        <v>1</v>
      </c>
      <c r="K20" s="226">
        <v>0.333</v>
      </c>
    </row>
    <row r="21">
      <c r="A21" s="106" t="s">
        <v>89</v>
      </c>
      <c r="B21" s="211">
        <v>4.0</v>
      </c>
      <c r="C21" s="212">
        <v>16.0</v>
      </c>
      <c r="D21" s="45">
        <v>11.0</v>
      </c>
      <c r="E21" s="212">
        <v>5.0</v>
      </c>
      <c r="F21" s="213">
        <f t="shared" si="1"/>
        <v>20</v>
      </c>
      <c r="G21" s="212">
        <v>0.0</v>
      </c>
      <c r="H21" s="202">
        <f t="shared" si="2"/>
        <v>0</v>
      </c>
      <c r="I21" s="212">
        <v>0.0</v>
      </c>
      <c r="J21" s="243">
        <f t="shared" si="3"/>
        <v>0</v>
      </c>
      <c r="K21" s="226">
        <v>0.455</v>
      </c>
    </row>
    <row r="22">
      <c r="A22" s="106" t="s">
        <v>94</v>
      </c>
      <c r="B22" s="211">
        <v>4.0</v>
      </c>
      <c r="C22" s="212">
        <v>16.0</v>
      </c>
      <c r="D22" s="45">
        <v>8.0</v>
      </c>
      <c r="E22" s="212">
        <v>4.5</v>
      </c>
      <c r="F22" s="213">
        <f t="shared" si="1"/>
        <v>18</v>
      </c>
      <c r="G22" s="212">
        <v>0.25</v>
      </c>
      <c r="H22" s="202">
        <f t="shared" si="2"/>
        <v>1</v>
      </c>
      <c r="I22" s="212">
        <v>0.25</v>
      </c>
      <c r="J22" s="243">
        <f t="shared" si="3"/>
        <v>1</v>
      </c>
      <c r="K22" s="226">
        <v>0.375</v>
      </c>
    </row>
    <row r="23">
      <c r="A23" s="106" t="s">
        <v>58</v>
      </c>
      <c r="B23" s="211">
        <v>4.0</v>
      </c>
      <c r="C23" s="212">
        <v>15.0</v>
      </c>
      <c r="D23" s="45">
        <v>12.0</v>
      </c>
      <c r="E23" s="212">
        <v>4.5</v>
      </c>
      <c r="F23" s="213">
        <f t="shared" si="1"/>
        <v>18</v>
      </c>
      <c r="G23" s="212">
        <v>0.5</v>
      </c>
      <c r="H23" s="202">
        <f t="shared" si="2"/>
        <v>2</v>
      </c>
      <c r="I23" s="212">
        <v>0.25</v>
      </c>
      <c r="J23" s="243">
        <f t="shared" si="3"/>
        <v>1</v>
      </c>
      <c r="K23" s="226">
        <v>0.333</v>
      </c>
    </row>
    <row r="24">
      <c r="A24" s="106" t="s">
        <v>57</v>
      </c>
      <c r="B24" s="211">
        <v>4.0</v>
      </c>
      <c r="C24" s="212">
        <v>16.0</v>
      </c>
      <c r="D24" s="45">
        <v>11.0</v>
      </c>
      <c r="E24" s="212">
        <v>3.5</v>
      </c>
      <c r="F24" s="213">
        <f t="shared" si="1"/>
        <v>14</v>
      </c>
      <c r="G24" s="212">
        <v>0.5</v>
      </c>
      <c r="H24" s="202">
        <f t="shared" si="2"/>
        <v>2</v>
      </c>
      <c r="I24" s="212">
        <v>0.25</v>
      </c>
      <c r="J24" s="243">
        <f t="shared" si="3"/>
        <v>1</v>
      </c>
      <c r="K24" s="226">
        <v>0.273</v>
      </c>
    </row>
    <row r="25">
      <c r="A25" s="106" t="s">
        <v>74</v>
      </c>
      <c r="B25" s="211">
        <v>4.0</v>
      </c>
      <c r="C25" s="212">
        <v>15.0</v>
      </c>
      <c r="D25" s="45">
        <v>12.0</v>
      </c>
      <c r="E25" s="212">
        <v>2.0</v>
      </c>
      <c r="F25" s="213">
        <f t="shared" si="1"/>
        <v>8</v>
      </c>
      <c r="G25" s="212">
        <v>0.5</v>
      </c>
      <c r="H25" s="202">
        <f t="shared" si="2"/>
        <v>2</v>
      </c>
      <c r="I25" s="212">
        <v>0.0</v>
      </c>
      <c r="J25" s="243">
        <f t="shared" si="3"/>
        <v>0</v>
      </c>
      <c r="K25" s="226">
        <v>0.333</v>
      </c>
    </row>
    <row r="26">
      <c r="A26" s="106" t="s">
        <v>78</v>
      </c>
      <c r="B26" s="211">
        <v>4.0</v>
      </c>
      <c r="C26" s="212">
        <v>15.0</v>
      </c>
      <c r="D26" s="45">
        <v>2.0</v>
      </c>
      <c r="E26" s="212">
        <v>1.0</v>
      </c>
      <c r="F26" s="213">
        <f t="shared" si="1"/>
        <v>4</v>
      </c>
      <c r="G26" s="212">
        <v>0.0</v>
      </c>
      <c r="H26" s="202">
        <f t="shared" si="2"/>
        <v>0</v>
      </c>
      <c r="I26" s="212">
        <v>0.0</v>
      </c>
      <c r="J26" s="243">
        <f t="shared" si="3"/>
        <v>0</v>
      </c>
      <c r="K26" s="226">
        <v>0.5</v>
      </c>
    </row>
    <row r="27">
      <c r="A27" s="106" t="s">
        <v>91</v>
      </c>
      <c r="B27" s="211">
        <v>4.0</v>
      </c>
      <c r="C27" s="212">
        <v>16.0</v>
      </c>
      <c r="D27" s="45">
        <v>10.0</v>
      </c>
      <c r="E27" s="212">
        <v>1.0</v>
      </c>
      <c r="F27" s="213">
        <f t="shared" si="1"/>
        <v>4</v>
      </c>
      <c r="G27" s="212">
        <v>0.0</v>
      </c>
      <c r="H27" s="202">
        <f t="shared" si="2"/>
        <v>0</v>
      </c>
      <c r="I27" s="212">
        <v>0.0</v>
      </c>
      <c r="J27" s="243">
        <f t="shared" si="3"/>
        <v>0</v>
      </c>
      <c r="K27" s="226">
        <v>0.1</v>
      </c>
    </row>
    <row r="28">
      <c r="A28" s="106" t="s">
        <v>106</v>
      </c>
      <c r="B28" s="211">
        <v>4.0</v>
      </c>
      <c r="C28" s="212">
        <v>16.0</v>
      </c>
      <c r="D28" s="45">
        <v>11.0</v>
      </c>
      <c r="E28" s="212">
        <v>0.5</v>
      </c>
      <c r="F28" s="213">
        <f t="shared" si="1"/>
        <v>2</v>
      </c>
      <c r="G28" s="212">
        <v>0.75</v>
      </c>
      <c r="H28" s="202">
        <f t="shared" si="2"/>
        <v>3</v>
      </c>
      <c r="I28" s="212">
        <v>0.25</v>
      </c>
      <c r="J28" s="243">
        <f t="shared" si="3"/>
        <v>1</v>
      </c>
      <c r="K28" s="226">
        <v>0.091</v>
      </c>
    </row>
    <row r="29">
      <c r="A29" s="106" t="s">
        <v>69</v>
      </c>
      <c r="B29" s="211">
        <v>3.0</v>
      </c>
      <c r="C29" s="212">
        <v>11.0</v>
      </c>
      <c r="D29" s="45">
        <v>6.0</v>
      </c>
      <c r="E29" s="212">
        <v>0.0</v>
      </c>
      <c r="F29" s="213">
        <f t="shared" si="1"/>
        <v>0</v>
      </c>
      <c r="G29" s="212">
        <v>0.33</v>
      </c>
      <c r="H29" s="202">
        <f t="shared" si="2"/>
        <v>0.99</v>
      </c>
      <c r="I29" s="212">
        <v>0.0</v>
      </c>
      <c r="J29" s="243">
        <f t="shared" si="3"/>
        <v>0</v>
      </c>
      <c r="K29" s="226">
        <v>0.167</v>
      </c>
    </row>
    <row r="30">
      <c r="A30" s="106" t="s">
        <v>79</v>
      </c>
      <c r="B30" s="211">
        <v>1.0</v>
      </c>
      <c r="C30" s="212">
        <v>4.0</v>
      </c>
      <c r="D30" s="45">
        <v>0.0</v>
      </c>
      <c r="E30" s="212">
        <v>0.0</v>
      </c>
      <c r="F30" s="213">
        <f t="shared" si="1"/>
        <v>0</v>
      </c>
      <c r="G30" s="212">
        <v>0.0</v>
      </c>
      <c r="H30" s="202">
        <f t="shared" si="2"/>
        <v>0</v>
      </c>
      <c r="I30" s="212">
        <v>0.0</v>
      </c>
      <c r="J30" s="243">
        <f t="shared" si="3"/>
        <v>0</v>
      </c>
      <c r="K30" s="226">
        <v>0.0</v>
      </c>
    </row>
    <row r="31">
      <c r="A31" s="106" t="s">
        <v>99</v>
      </c>
      <c r="B31" s="211">
        <v>4.0</v>
      </c>
      <c r="C31" s="212">
        <v>16.0</v>
      </c>
      <c r="D31" s="45">
        <v>14.0</v>
      </c>
      <c r="E31" s="212">
        <v>-1.0</v>
      </c>
      <c r="F31" s="213">
        <f t="shared" si="1"/>
        <v>-4</v>
      </c>
      <c r="G31" s="212">
        <v>0.5</v>
      </c>
      <c r="H31" s="202">
        <f t="shared" si="2"/>
        <v>2</v>
      </c>
      <c r="I31" s="212">
        <v>0.0</v>
      </c>
      <c r="J31" s="243">
        <f t="shared" si="3"/>
        <v>0</v>
      </c>
      <c r="K31" s="226">
        <v>0.071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193" t="s">
        <v>263</v>
      </c>
      <c r="B1" s="215" t="s">
        <v>264</v>
      </c>
      <c r="C1" s="207" t="s">
        <v>265</v>
      </c>
      <c r="D1" s="224" t="s">
        <v>266</v>
      </c>
      <c r="E1" s="207" t="s">
        <v>267</v>
      </c>
      <c r="F1" s="208" t="s">
        <v>409</v>
      </c>
      <c r="G1" s="207" t="s">
        <v>269</v>
      </c>
      <c r="H1" s="216" t="s">
        <v>270</v>
      </c>
      <c r="I1" s="207" t="s">
        <v>410</v>
      </c>
      <c r="J1" s="242" t="s">
        <v>411</v>
      </c>
      <c r="K1" s="224" t="s">
        <v>271</v>
      </c>
    </row>
    <row r="2">
      <c r="A2" s="106" t="s">
        <v>89</v>
      </c>
      <c r="B2" s="211">
        <v>4.0</v>
      </c>
      <c r="C2" s="212">
        <v>16.0</v>
      </c>
      <c r="D2" s="45">
        <v>15.0</v>
      </c>
      <c r="E2" s="212">
        <v>30.5</v>
      </c>
      <c r="F2" s="213">
        <f t="shared" ref="F2:F31" si="1">E2*B2</f>
        <v>122</v>
      </c>
      <c r="G2" s="212">
        <v>0.5</v>
      </c>
      <c r="H2" s="202">
        <f t="shared" ref="H2:H31" si="2">G2*B2</f>
        <v>2</v>
      </c>
      <c r="I2" s="212">
        <v>2.25</v>
      </c>
      <c r="J2" s="243">
        <f t="shared" ref="J2:J31" si="3">I2*B2</f>
        <v>9</v>
      </c>
      <c r="K2" s="226">
        <v>0.667</v>
      </c>
    </row>
    <row r="3">
      <c r="A3" s="106" t="s">
        <v>63</v>
      </c>
      <c r="B3" s="211">
        <v>4.0</v>
      </c>
      <c r="C3" s="212">
        <v>16.0</v>
      </c>
      <c r="D3" s="45">
        <v>15.0</v>
      </c>
      <c r="E3" s="212">
        <v>29.5</v>
      </c>
      <c r="F3" s="213">
        <f t="shared" si="1"/>
        <v>118</v>
      </c>
      <c r="G3" s="212">
        <v>0.75</v>
      </c>
      <c r="H3" s="202">
        <f t="shared" si="2"/>
        <v>3</v>
      </c>
      <c r="I3" s="212">
        <v>2.25</v>
      </c>
      <c r="J3" s="243">
        <f t="shared" si="3"/>
        <v>9</v>
      </c>
      <c r="K3" s="226">
        <v>0.667</v>
      </c>
    </row>
    <row r="4">
      <c r="A4" s="106" t="s">
        <v>54</v>
      </c>
      <c r="B4" s="211">
        <v>4.0</v>
      </c>
      <c r="C4" s="212">
        <v>16.0</v>
      </c>
      <c r="D4" s="45">
        <v>14.0</v>
      </c>
      <c r="E4" s="212">
        <v>27.0</v>
      </c>
      <c r="F4" s="213">
        <f t="shared" si="1"/>
        <v>108</v>
      </c>
      <c r="G4" s="212">
        <v>0.75</v>
      </c>
      <c r="H4" s="202">
        <f t="shared" si="2"/>
        <v>3</v>
      </c>
      <c r="I4" s="212">
        <v>2.0</v>
      </c>
      <c r="J4" s="243">
        <f t="shared" si="3"/>
        <v>8</v>
      </c>
      <c r="K4" s="226">
        <v>0.714</v>
      </c>
    </row>
    <row r="5">
      <c r="A5" s="106" t="s">
        <v>50</v>
      </c>
      <c r="B5" s="211">
        <v>4.0</v>
      </c>
      <c r="C5" s="212">
        <v>16.0</v>
      </c>
      <c r="D5" s="45">
        <v>14.0</v>
      </c>
      <c r="E5" s="212">
        <v>23.5</v>
      </c>
      <c r="F5" s="213">
        <f t="shared" si="1"/>
        <v>94</v>
      </c>
      <c r="G5" s="212">
        <v>0.75</v>
      </c>
      <c r="H5" s="202">
        <f t="shared" si="2"/>
        <v>3</v>
      </c>
      <c r="I5" s="212">
        <v>1.75</v>
      </c>
      <c r="J5" s="243">
        <f t="shared" si="3"/>
        <v>7</v>
      </c>
      <c r="K5" s="226">
        <v>0.643</v>
      </c>
    </row>
    <row r="6">
      <c r="A6" s="106" t="s">
        <v>65</v>
      </c>
      <c r="B6" s="211">
        <v>4.0</v>
      </c>
      <c r="C6" s="212">
        <v>16.0</v>
      </c>
      <c r="D6" s="45">
        <v>13.0</v>
      </c>
      <c r="E6" s="212">
        <v>23.0</v>
      </c>
      <c r="F6" s="213">
        <f t="shared" si="1"/>
        <v>92</v>
      </c>
      <c r="G6" s="212">
        <v>0.25</v>
      </c>
      <c r="H6" s="202">
        <f t="shared" si="2"/>
        <v>1</v>
      </c>
      <c r="I6" s="212">
        <v>1.5</v>
      </c>
      <c r="J6" s="243">
        <f t="shared" si="3"/>
        <v>6</v>
      </c>
      <c r="K6" s="226">
        <v>0.692</v>
      </c>
    </row>
    <row r="7">
      <c r="A7" s="106" t="s">
        <v>93</v>
      </c>
      <c r="B7" s="211">
        <v>4.0</v>
      </c>
      <c r="C7" s="212">
        <v>16.0</v>
      </c>
      <c r="D7" s="45">
        <v>13.0</v>
      </c>
      <c r="E7" s="212">
        <v>23.0</v>
      </c>
      <c r="F7" s="213">
        <f t="shared" si="1"/>
        <v>92</v>
      </c>
      <c r="G7" s="212">
        <v>0.25</v>
      </c>
      <c r="H7" s="202">
        <f t="shared" si="2"/>
        <v>1</v>
      </c>
      <c r="I7" s="212">
        <v>1.5</v>
      </c>
      <c r="J7" s="243">
        <f t="shared" si="3"/>
        <v>6</v>
      </c>
      <c r="K7" s="226">
        <v>0.692</v>
      </c>
    </row>
    <row r="8">
      <c r="A8" s="106" t="s">
        <v>58</v>
      </c>
      <c r="B8" s="211">
        <v>4.0</v>
      </c>
      <c r="C8" s="212">
        <v>16.0</v>
      </c>
      <c r="D8" s="45">
        <v>15.0</v>
      </c>
      <c r="E8" s="212">
        <v>20.0</v>
      </c>
      <c r="F8" s="213">
        <f t="shared" si="1"/>
        <v>80</v>
      </c>
      <c r="G8" s="212">
        <v>1.0</v>
      </c>
      <c r="H8" s="202">
        <f t="shared" si="2"/>
        <v>4</v>
      </c>
      <c r="I8" s="212">
        <v>1.5</v>
      </c>
      <c r="J8" s="243">
        <f t="shared" si="3"/>
        <v>6</v>
      </c>
      <c r="K8" s="226">
        <v>0.6</v>
      </c>
    </row>
    <row r="9">
      <c r="A9" s="106" t="s">
        <v>75</v>
      </c>
      <c r="B9" s="211">
        <v>4.0</v>
      </c>
      <c r="C9" s="212">
        <v>16.0</v>
      </c>
      <c r="D9" s="45">
        <v>13.0</v>
      </c>
      <c r="E9" s="212">
        <v>20.0</v>
      </c>
      <c r="F9" s="213">
        <f t="shared" si="1"/>
        <v>80</v>
      </c>
      <c r="G9" s="212">
        <v>0.5</v>
      </c>
      <c r="H9" s="202">
        <f t="shared" si="2"/>
        <v>2</v>
      </c>
      <c r="I9" s="212">
        <v>1.5</v>
      </c>
      <c r="J9" s="243">
        <f t="shared" si="3"/>
        <v>6</v>
      </c>
      <c r="K9" s="226">
        <v>0.538</v>
      </c>
    </row>
    <row r="10">
      <c r="A10" s="106" t="s">
        <v>56</v>
      </c>
      <c r="B10" s="211">
        <v>4.0</v>
      </c>
      <c r="C10" s="212">
        <v>16.0</v>
      </c>
      <c r="D10" s="45">
        <v>14.0</v>
      </c>
      <c r="E10" s="212">
        <v>20.0</v>
      </c>
      <c r="F10" s="213">
        <f t="shared" si="1"/>
        <v>80</v>
      </c>
      <c r="G10" s="212">
        <v>0.0</v>
      </c>
      <c r="H10" s="202">
        <f t="shared" si="2"/>
        <v>0</v>
      </c>
      <c r="I10" s="212">
        <v>1.0</v>
      </c>
      <c r="J10" s="243">
        <f t="shared" si="3"/>
        <v>4</v>
      </c>
      <c r="K10" s="226">
        <v>0.714</v>
      </c>
    </row>
    <row r="11">
      <c r="A11" s="106" t="s">
        <v>99</v>
      </c>
      <c r="B11" s="211">
        <v>4.0</v>
      </c>
      <c r="C11" s="212">
        <v>16.0</v>
      </c>
      <c r="D11" s="45">
        <v>13.0</v>
      </c>
      <c r="E11" s="212">
        <v>15.0</v>
      </c>
      <c r="F11" s="213">
        <f t="shared" si="1"/>
        <v>60</v>
      </c>
      <c r="G11" s="212">
        <v>0.5</v>
      </c>
      <c r="H11" s="202">
        <f t="shared" si="2"/>
        <v>2</v>
      </c>
      <c r="I11" s="212">
        <v>1.0</v>
      </c>
      <c r="J11" s="243">
        <f t="shared" si="3"/>
        <v>4</v>
      </c>
      <c r="K11" s="226">
        <v>0.538</v>
      </c>
    </row>
    <row r="12">
      <c r="A12" s="106" t="s">
        <v>57</v>
      </c>
      <c r="B12" s="211">
        <v>4.0</v>
      </c>
      <c r="C12" s="212">
        <v>16.0</v>
      </c>
      <c r="D12" s="45">
        <v>9.0</v>
      </c>
      <c r="E12" s="212">
        <v>14.0</v>
      </c>
      <c r="F12" s="213">
        <f t="shared" si="1"/>
        <v>56</v>
      </c>
      <c r="G12" s="212">
        <v>0.25</v>
      </c>
      <c r="H12" s="202">
        <f t="shared" si="2"/>
        <v>1</v>
      </c>
      <c r="I12" s="212">
        <v>1.0</v>
      </c>
      <c r="J12" s="243">
        <f t="shared" si="3"/>
        <v>4</v>
      </c>
      <c r="K12" s="226">
        <v>0.556</v>
      </c>
    </row>
    <row r="13">
      <c r="A13" s="106" t="s">
        <v>64</v>
      </c>
      <c r="B13" s="211">
        <v>4.0</v>
      </c>
      <c r="C13" s="212">
        <v>15.0</v>
      </c>
      <c r="D13" s="45">
        <v>10.0</v>
      </c>
      <c r="E13" s="212">
        <v>13.0</v>
      </c>
      <c r="F13" s="213">
        <f t="shared" si="1"/>
        <v>52</v>
      </c>
      <c r="G13" s="212">
        <v>0.25</v>
      </c>
      <c r="H13" s="202">
        <f t="shared" si="2"/>
        <v>1</v>
      </c>
      <c r="I13" s="212">
        <v>1.0</v>
      </c>
      <c r="J13" s="243">
        <f t="shared" si="3"/>
        <v>4</v>
      </c>
      <c r="K13" s="226">
        <v>0.4</v>
      </c>
    </row>
    <row r="14">
      <c r="A14" s="106" t="s">
        <v>42</v>
      </c>
      <c r="B14" s="211">
        <v>4.0</v>
      </c>
      <c r="C14" s="212">
        <v>16.0</v>
      </c>
      <c r="D14" s="45">
        <v>8.0</v>
      </c>
      <c r="E14" s="212">
        <v>11.5</v>
      </c>
      <c r="F14" s="213">
        <f t="shared" si="1"/>
        <v>46</v>
      </c>
      <c r="G14" s="212">
        <v>0.0</v>
      </c>
      <c r="H14" s="202">
        <f t="shared" si="2"/>
        <v>0</v>
      </c>
      <c r="I14" s="212">
        <v>0.75</v>
      </c>
      <c r="J14" s="243">
        <f t="shared" si="3"/>
        <v>3</v>
      </c>
      <c r="K14" s="226">
        <v>0.5</v>
      </c>
    </row>
    <row r="15">
      <c r="A15" s="106" t="s">
        <v>78</v>
      </c>
      <c r="B15" s="211">
        <v>4.0</v>
      </c>
      <c r="C15" s="212">
        <v>16.0</v>
      </c>
      <c r="D15" s="45">
        <v>10.0</v>
      </c>
      <c r="E15" s="212">
        <v>10.0</v>
      </c>
      <c r="F15" s="213">
        <f t="shared" si="1"/>
        <v>40</v>
      </c>
      <c r="G15" s="212">
        <v>0.25</v>
      </c>
      <c r="H15" s="202">
        <f t="shared" si="2"/>
        <v>1</v>
      </c>
      <c r="I15" s="212">
        <v>0.5</v>
      </c>
      <c r="J15" s="243">
        <f t="shared" si="3"/>
        <v>2</v>
      </c>
      <c r="K15" s="226">
        <v>0.6</v>
      </c>
    </row>
    <row r="16">
      <c r="A16" s="106" t="s">
        <v>69</v>
      </c>
      <c r="B16" s="211">
        <v>3.0</v>
      </c>
      <c r="C16" s="212">
        <v>12.0</v>
      </c>
      <c r="D16" s="45">
        <v>9.0</v>
      </c>
      <c r="E16" s="212">
        <v>12.0</v>
      </c>
      <c r="F16" s="213">
        <f t="shared" si="1"/>
        <v>36</v>
      </c>
      <c r="G16" s="212">
        <v>0.33</v>
      </c>
      <c r="H16" s="202">
        <f t="shared" si="2"/>
        <v>0.99</v>
      </c>
      <c r="I16" s="212">
        <v>0.67</v>
      </c>
      <c r="J16" s="243">
        <f t="shared" si="3"/>
        <v>2.01</v>
      </c>
      <c r="K16" s="226">
        <v>0.556</v>
      </c>
    </row>
    <row r="17">
      <c r="A17" s="106" t="s">
        <v>88</v>
      </c>
      <c r="B17" s="211">
        <v>4.0</v>
      </c>
      <c r="C17" s="212">
        <v>16.0</v>
      </c>
      <c r="D17" s="45">
        <v>13.0</v>
      </c>
      <c r="E17" s="212">
        <v>8.5</v>
      </c>
      <c r="F17" s="213">
        <f t="shared" si="1"/>
        <v>34</v>
      </c>
      <c r="G17" s="212">
        <v>1.5</v>
      </c>
      <c r="H17" s="202">
        <f t="shared" si="2"/>
        <v>6</v>
      </c>
      <c r="I17" s="212">
        <v>0.75</v>
      </c>
      <c r="J17" s="243">
        <f t="shared" si="3"/>
        <v>3</v>
      </c>
      <c r="K17" s="226">
        <v>0.538</v>
      </c>
    </row>
    <row r="18">
      <c r="A18" s="106" t="s">
        <v>92</v>
      </c>
      <c r="B18" s="211">
        <v>3.0</v>
      </c>
      <c r="C18" s="212">
        <v>12.0</v>
      </c>
      <c r="D18" s="45">
        <v>7.0</v>
      </c>
      <c r="E18" s="212">
        <v>10.67</v>
      </c>
      <c r="F18" s="213">
        <f t="shared" si="1"/>
        <v>32.01</v>
      </c>
      <c r="G18" s="212">
        <v>0.0</v>
      </c>
      <c r="H18" s="202">
        <f t="shared" si="2"/>
        <v>0</v>
      </c>
      <c r="I18" s="212">
        <v>0.67</v>
      </c>
      <c r="J18" s="243">
        <f t="shared" si="3"/>
        <v>2.01</v>
      </c>
      <c r="K18" s="226">
        <v>0.429</v>
      </c>
    </row>
    <row r="19">
      <c r="A19" s="106" t="s">
        <v>82</v>
      </c>
      <c r="B19" s="211">
        <v>4.0</v>
      </c>
      <c r="C19" s="212">
        <v>16.0</v>
      </c>
      <c r="D19" s="45">
        <v>14.0</v>
      </c>
      <c r="E19" s="212">
        <v>6.5</v>
      </c>
      <c r="F19" s="213">
        <f t="shared" si="1"/>
        <v>26</v>
      </c>
      <c r="G19" s="212">
        <v>0.0</v>
      </c>
      <c r="H19" s="202">
        <f t="shared" si="2"/>
        <v>0</v>
      </c>
      <c r="I19" s="212">
        <v>0.25</v>
      </c>
      <c r="J19" s="243">
        <f t="shared" si="3"/>
        <v>1</v>
      </c>
      <c r="K19" s="226">
        <v>0.286</v>
      </c>
    </row>
    <row r="20">
      <c r="A20" s="106" t="s">
        <v>40</v>
      </c>
      <c r="B20" s="211">
        <v>4.0</v>
      </c>
      <c r="C20" s="212">
        <v>16.0</v>
      </c>
      <c r="D20" s="45">
        <v>10.0</v>
      </c>
      <c r="E20" s="212">
        <v>6.0</v>
      </c>
      <c r="F20" s="213">
        <f t="shared" si="1"/>
        <v>24</v>
      </c>
      <c r="G20" s="212">
        <v>0.0</v>
      </c>
      <c r="H20" s="202">
        <f t="shared" si="2"/>
        <v>0</v>
      </c>
      <c r="I20" s="212">
        <v>0.0</v>
      </c>
      <c r="J20" s="243">
        <f t="shared" si="3"/>
        <v>0</v>
      </c>
      <c r="K20" s="226">
        <v>0.6</v>
      </c>
    </row>
    <row r="21">
      <c r="A21" s="106" t="s">
        <v>81</v>
      </c>
      <c r="B21" s="211">
        <v>4.0</v>
      </c>
      <c r="C21" s="212">
        <v>16.0</v>
      </c>
      <c r="D21" s="45">
        <v>12.0</v>
      </c>
      <c r="E21" s="212">
        <v>5.0</v>
      </c>
      <c r="F21" s="213">
        <f t="shared" si="1"/>
        <v>20</v>
      </c>
      <c r="G21" s="212">
        <v>1.0</v>
      </c>
      <c r="H21" s="202">
        <f t="shared" si="2"/>
        <v>4</v>
      </c>
      <c r="I21" s="212">
        <v>0.5</v>
      </c>
      <c r="J21" s="243">
        <f t="shared" si="3"/>
        <v>2</v>
      </c>
      <c r="K21" s="226">
        <v>0.333</v>
      </c>
    </row>
    <row r="22">
      <c r="A22" s="106" t="s">
        <v>67</v>
      </c>
      <c r="B22" s="211">
        <v>3.0</v>
      </c>
      <c r="C22" s="212">
        <v>9.0</v>
      </c>
      <c r="D22" s="45">
        <v>4.0</v>
      </c>
      <c r="E22" s="212">
        <v>6.0</v>
      </c>
      <c r="F22" s="213">
        <f t="shared" si="1"/>
        <v>18</v>
      </c>
      <c r="G22" s="212">
        <v>0.0</v>
      </c>
      <c r="H22" s="202">
        <f t="shared" si="2"/>
        <v>0</v>
      </c>
      <c r="I22" s="212">
        <v>0.33</v>
      </c>
      <c r="J22" s="243">
        <f t="shared" si="3"/>
        <v>0.99</v>
      </c>
      <c r="K22" s="226">
        <v>0.5</v>
      </c>
    </row>
    <row r="23">
      <c r="A23" s="106" t="s">
        <v>44</v>
      </c>
      <c r="B23" s="211">
        <v>4.0</v>
      </c>
      <c r="C23" s="212">
        <v>16.0</v>
      </c>
      <c r="D23" s="45">
        <v>11.0</v>
      </c>
      <c r="E23" s="212">
        <v>4.0</v>
      </c>
      <c r="F23" s="213">
        <f t="shared" si="1"/>
        <v>16</v>
      </c>
      <c r="G23" s="212">
        <v>0.0</v>
      </c>
      <c r="H23" s="202">
        <f t="shared" si="2"/>
        <v>0</v>
      </c>
      <c r="I23" s="212">
        <v>0.0</v>
      </c>
      <c r="J23" s="243">
        <f t="shared" si="3"/>
        <v>0</v>
      </c>
      <c r="K23" s="226">
        <v>0.364</v>
      </c>
    </row>
    <row r="24">
      <c r="A24" s="106" t="s">
        <v>52</v>
      </c>
      <c r="B24" s="211">
        <v>4.0</v>
      </c>
      <c r="C24" s="212">
        <v>14.0</v>
      </c>
      <c r="D24" s="45">
        <v>12.0</v>
      </c>
      <c r="E24" s="212">
        <v>4.0</v>
      </c>
      <c r="F24" s="213">
        <f t="shared" si="1"/>
        <v>16</v>
      </c>
      <c r="G24" s="212">
        <v>0.0</v>
      </c>
      <c r="H24" s="202">
        <f t="shared" si="2"/>
        <v>0</v>
      </c>
      <c r="I24" s="212">
        <v>0.0</v>
      </c>
      <c r="J24" s="243">
        <f t="shared" si="3"/>
        <v>0</v>
      </c>
      <c r="K24" s="226">
        <v>0.333</v>
      </c>
    </row>
    <row r="25">
      <c r="A25" s="106" t="s">
        <v>106</v>
      </c>
      <c r="B25" s="211">
        <v>4.0</v>
      </c>
      <c r="C25" s="212">
        <v>16.0</v>
      </c>
      <c r="D25" s="45">
        <v>9.0</v>
      </c>
      <c r="E25" s="212">
        <v>3.0</v>
      </c>
      <c r="F25" s="213">
        <f t="shared" si="1"/>
        <v>12</v>
      </c>
      <c r="G25" s="212">
        <v>0.25</v>
      </c>
      <c r="H25" s="202">
        <f t="shared" si="2"/>
        <v>1</v>
      </c>
      <c r="I25" s="212">
        <v>0.0</v>
      </c>
      <c r="J25" s="243">
        <f t="shared" si="3"/>
        <v>0</v>
      </c>
      <c r="K25" s="226">
        <v>0.444</v>
      </c>
    </row>
    <row r="26">
      <c r="A26" s="106" t="s">
        <v>60</v>
      </c>
      <c r="B26" s="211">
        <v>4.0</v>
      </c>
      <c r="C26" s="212">
        <v>13.0</v>
      </c>
      <c r="D26" s="45">
        <v>11.0</v>
      </c>
      <c r="E26" s="212">
        <v>2.5</v>
      </c>
      <c r="F26" s="213">
        <f t="shared" si="1"/>
        <v>10</v>
      </c>
      <c r="G26" s="212">
        <v>0.75</v>
      </c>
      <c r="H26" s="202">
        <f t="shared" si="2"/>
        <v>3</v>
      </c>
      <c r="I26" s="212">
        <v>0.25</v>
      </c>
      <c r="J26" s="243">
        <f t="shared" si="3"/>
        <v>1</v>
      </c>
      <c r="K26" s="226">
        <v>0.273</v>
      </c>
    </row>
    <row r="27">
      <c r="A27" s="106" t="s">
        <v>91</v>
      </c>
      <c r="B27" s="211">
        <v>4.0</v>
      </c>
      <c r="C27" s="212">
        <v>15.0</v>
      </c>
      <c r="D27" s="45">
        <v>9.0</v>
      </c>
      <c r="E27" s="212">
        <v>2.5</v>
      </c>
      <c r="F27" s="213">
        <f t="shared" si="1"/>
        <v>10</v>
      </c>
      <c r="G27" s="212">
        <v>0.25</v>
      </c>
      <c r="H27" s="202">
        <f t="shared" si="2"/>
        <v>1</v>
      </c>
      <c r="I27" s="212">
        <v>0.25</v>
      </c>
      <c r="J27" s="243">
        <f t="shared" si="3"/>
        <v>1</v>
      </c>
      <c r="K27" s="226">
        <v>0.111</v>
      </c>
    </row>
    <row r="28">
      <c r="A28" s="106" t="s">
        <v>61</v>
      </c>
      <c r="B28" s="211">
        <v>4.0</v>
      </c>
      <c r="C28" s="212">
        <v>16.0</v>
      </c>
      <c r="D28" s="45">
        <v>7.0</v>
      </c>
      <c r="E28" s="212">
        <v>2.0</v>
      </c>
      <c r="F28" s="213">
        <f t="shared" si="1"/>
        <v>8</v>
      </c>
      <c r="G28" s="212">
        <v>0.25</v>
      </c>
      <c r="H28" s="202">
        <f t="shared" si="2"/>
        <v>1</v>
      </c>
      <c r="I28" s="212">
        <v>0.0</v>
      </c>
      <c r="J28" s="243">
        <f t="shared" si="3"/>
        <v>0</v>
      </c>
      <c r="K28" s="226">
        <v>0.429</v>
      </c>
    </row>
    <row r="29">
      <c r="A29" s="106" t="s">
        <v>94</v>
      </c>
      <c r="B29" s="211">
        <v>4.0</v>
      </c>
      <c r="C29" s="212">
        <v>16.0</v>
      </c>
      <c r="D29" s="45">
        <v>12.0</v>
      </c>
      <c r="E29" s="212">
        <v>1.5</v>
      </c>
      <c r="F29" s="213">
        <f t="shared" si="1"/>
        <v>6</v>
      </c>
      <c r="G29" s="212">
        <v>1.25</v>
      </c>
      <c r="H29" s="202">
        <f t="shared" si="2"/>
        <v>5</v>
      </c>
      <c r="I29" s="212">
        <v>0.25</v>
      </c>
      <c r="J29" s="243">
        <f t="shared" si="3"/>
        <v>1</v>
      </c>
      <c r="K29" s="226">
        <v>0.333</v>
      </c>
    </row>
    <row r="30">
      <c r="A30" s="106" t="s">
        <v>74</v>
      </c>
      <c r="B30" s="211">
        <v>4.0</v>
      </c>
      <c r="C30" s="212">
        <v>16.0</v>
      </c>
      <c r="D30" s="45">
        <v>9.0</v>
      </c>
      <c r="E30" s="212">
        <v>1.0</v>
      </c>
      <c r="F30" s="213">
        <f t="shared" si="1"/>
        <v>4</v>
      </c>
      <c r="G30" s="212">
        <v>0.5</v>
      </c>
      <c r="H30" s="202">
        <f t="shared" si="2"/>
        <v>2</v>
      </c>
      <c r="I30" s="212">
        <v>0.0</v>
      </c>
      <c r="J30" s="243">
        <f t="shared" si="3"/>
        <v>0</v>
      </c>
      <c r="K30" s="226">
        <v>0.333</v>
      </c>
    </row>
    <row r="31">
      <c r="A31" s="106" t="s">
        <v>79</v>
      </c>
      <c r="B31" s="211">
        <v>1.0</v>
      </c>
      <c r="C31" s="212">
        <v>4.0</v>
      </c>
      <c r="D31" s="45">
        <v>1.0</v>
      </c>
      <c r="E31" s="212">
        <v>0.0</v>
      </c>
      <c r="F31" s="213">
        <f t="shared" si="1"/>
        <v>0</v>
      </c>
      <c r="G31" s="212">
        <v>0.0</v>
      </c>
      <c r="H31" s="202">
        <f t="shared" si="2"/>
        <v>0</v>
      </c>
      <c r="I31" s="212">
        <v>0.0</v>
      </c>
      <c r="J31" s="243">
        <f t="shared" si="3"/>
        <v>0</v>
      </c>
      <c r="K31" s="226">
        <v>0.0</v>
      </c>
    </row>
    <row r="32">
      <c r="A32" s="244"/>
      <c r="B32" s="214"/>
      <c r="C32" s="245"/>
      <c r="D32" s="226"/>
      <c r="E32" s="245"/>
      <c r="F32" s="213"/>
      <c r="G32" s="245"/>
      <c r="H32" s="202"/>
      <c r="I32" s="245"/>
      <c r="J32" s="243"/>
      <c r="K32" s="226"/>
    </row>
    <row r="33">
      <c r="A33" s="244"/>
      <c r="B33" s="214"/>
      <c r="C33" s="245"/>
      <c r="D33" s="226"/>
      <c r="E33" s="245"/>
      <c r="F33" s="213"/>
      <c r="G33" s="245"/>
      <c r="H33" s="202"/>
      <c r="I33" s="245"/>
      <c r="J33" s="243"/>
      <c r="K33" s="226"/>
    </row>
    <row r="34">
      <c r="A34" s="244"/>
      <c r="B34" s="214"/>
      <c r="C34" s="245"/>
      <c r="D34" s="226"/>
      <c r="E34" s="245"/>
      <c r="F34" s="213"/>
      <c r="G34" s="245"/>
      <c r="H34" s="202"/>
      <c r="I34" s="245"/>
      <c r="J34" s="243"/>
      <c r="K34" s="226"/>
    </row>
    <row r="35">
      <c r="A35" s="246"/>
      <c r="B35" s="240"/>
      <c r="C35" s="241"/>
      <c r="D35" s="227"/>
      <c r="E35" s="241"/>
      <c r="F35" s="213"/>
      <c r="G35" s="241"/>
      <c r="H35" s="202"/>
      <c r="I35" s="241"/>
      <c r="J35" s="247"/>
      <c r="K35" s="227"/>
    </row>
    <row r="36">
      <c r="A36" s="246"/>
      <c r="B36" s="240"/>
      <c r="C36" s="241"/>
      <c r="D36" s="227"/>
      <c r="E36" s="241"/>
      <c r="F36" s="213"/>
      <c r="G36" s="241"/>
      <c r="H36" s="202"/>
      <c r="I36" s="241"/>
      <c r="J36" s="247"/>
      <c r="K36" s="227"/>
    </row>
    <row r="37">
      <c r="A37" s="246"/>
      <c r="B37" s="240"/>
      <c r="C37" s="241"/>
      <c r="D37" s="227"/>
      <c r="E37" s="241"/>
      <c r="F37" s="213"/>
      <c r="G37" s="241"/>
      <c r="H37" s="202"/>
      <c r="I37" s="241"/>
      <c r="J37" s="247"/>
      <c r="K37" s="227"/>
    </row>
    <row r="38">
      <c r="A38" s="246"/>
      <c r="B38" s="240"/>
      <c r="C38" s="241"/>
      <c r="D38" s="227"/>
      <c r="E38" s="241"/>
      <c r="F38" s="213"/>
      <c r="G38" s="241"/>
      <c r="H38" s="202"/>
      <c r="I38" s="241"/>
      <c r="J38" s="247"/>
      <c r="K38" s="227"/>
    </row>
    <row r="39">
      <c r="A39" s="246"/>
      <c r="B39" s="240"/>
      <c r="C39" s="241"/>
      <c r="D39" s="227"/>
      <c r="E39" s="241"/>
      <c r="F39" s="213"/>
      <c r="G39" s="241"/>
      <c r="H39" s="202"/>
      <c r="I39" s="241"/>
      <c r="J39" s="247"/>
      <c r="K39" s="227"/>
    </row>
    <row r="40">
      <c r="A40" s="246"/>
      <c r="B40" s="240"/>
      <c r="C40" s="241"/>
      <c r="D40" s="227"/>
      <c r="E40" s="241"/>
      <c r="F40" s="213"/>
      <c r="G40" s="241"/>
      <c r="H40" s="202"/>
      <c r="I40" s="241"/>
      <c r="J40" s="247"/>
      <c r="K40" s="227"/>
    </row>
    <row r="41">
      <c r="A41" s="246"/>
      <c r="B41" s="240"/>
      <c r="C41" s="241"/>
      <c r="D41" s="227"/>
      <c r="E41" s="241"/>
      <c r="F41" s="213"/>
      <c r="G41" s="241"/>
      <c r="H41" s="202"/>
      <c r="I41" s="241"/>
      <c r="J41" s="247"/>
      <c r="K41" s="227"/>
    </row>
  </sheetData>
  <hyperlinks>
    <hyperlink display="Catstats Hub" location="'Catstats Hub'!A1" ref="A1"/>
  </hyperlin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75"/>
  </cols>
  <sheetData>
    <row r="1">
      <c r="A1" s="254" t="s">
        <v>412</v>
      </c>
      <c r="B1" s="255" t="s">
        <v>264</v>
      </c>
      <c r="C1" s="255" t="s">
        <v>413</v>
      </c>
      <c r="D1" s="254" t="s">
        <v>414</v>
      </c>
      <c r="E1" s="254" t="s">
        <v>415</v>
      </c>
      <c r="F1" s="256" t="s">
        <v>416</v>
      </c>
      <c r="G1" s="254" t="s">
        <v>417</v>
      </c>
      <c r="H1" s="256" t="s">
        <v>418</v>
      </c>
      <c r="I1" s="254" t="s">
        <v>419</v>
      </c>
      <c r="J1" s="254" t="s">
        <v>420</v>
      </c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</row>
    <row r="2">
      <c r="A2" s="45" t="s">
        <v>421</v>
      </c>
      <c r="B2" s="258">
        <v>5.0</v>
      </c>
      <c r="C2" s="258">
        <v>20.0</v>
      </c>
      <c r="D2" s="45">
        <v>18.0</v>
      </c>
      <c r="E2" s="45">
        <f t="shared" ref="E2:E8" si="1">F2/4*C2</f>
        <v>234</v>
      </c>
      <c r="F2" s="259">
        <v>46.8</v>
      </c>
      <c r="G2" s="45">
        <f t="shared" ref="G2:G49" si="2">H2/4*C2</f>
        <v>1</v>
      </c>
      <c r="H2" s="259">
        <v>0.2</v>
      </c>
      <c r="I2" s="45">
        <v>3.4</v>
      </c>
      <c r="J2" s="260">
        <v>0.944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45" t="s">
        <v>422</v>
      </c>
      <c r="B3" s="258">
        <v>5.0</v>
      </c>
      <c r="C3" s="258">
        <v>20.0</v>
      </c>
      <c r="D3" s="45">
        <v>16.0</v>
      </c>
      <c r="E3" s="45">
        <f t="shared" si="1"/>
        <v>200</v>
      </c>
      <c r="F3" s="259">
        <v>40.0</v>
      </c>
      <c r="G3" s="45">
        <f t="shared" si="2"/>
        <v>0</v>
      </c>
      <c r="H3" s="259">
        <v>0.0</v>
      </c>
      <c r="I3" s="45">
        <v>2.8</v>
      </c>
      <c r="J3" s="260">
        <v>0.938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45" t="s">
        <v>423</v>
      </c>
      <c r="B4" s="258">
        <v>5.0</v>
      </c>
      <c r="C4" s="258">
        <v>20.0</v>
      </c>
      <c r="D4" s="45">
        <v>18.0</v>
      </c>
      <c r="E4" s="45">
        <f t="shared" si="1"/>
        <v>176</v>
      </c>
      <c r="F4" s="259">
        <v>35.2</v>
      </c>
      <c r="G4" s="45">
        <f t="shared" si="2"/>
        <v>2</v>
      </c>
      <c r="H4" s="259">
        <v>0.4</v>
      </c>
      <c r="I4" s="45">
        <v>2.4</v>
      </c>
      <c r="J4" s="260">
        <v>0.889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45" t="s">
        <v>424</v>
      </c>
      <c r="B5" s="258">
        <v>5.0</v>
      </c>
      <c r="C5" s="258">
        <v>20.0</v>
      </c>
      <c r="D5" s="45">
        <v>19.0</v>
      </c>
      <c r="E5" s="45">
        <f t="shared" si="1"/>
        <v>168</v>
      </c>
      <c r="F5" s="259">
        <v>33.6</v>
      </c>
      <c r="G5" s="45">
        <f t="shared" si="2"/>
        <v>3</v>
      </c>
      <c r="H5" s="259">
        <v>0.6</v>
      </c>
      <c r="I5" s="45">
        <v>2.4</v>
      </c>
      <c r="J5" s="261">
        <v>0.789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45" t="s">
        <v>425</v>
      </c>
      <c r="B6" s="258">
        <v>5.0</v>
      </c>
      <c r="C6" s="258">
        <v>20.0</v>
      </c>
      <c r="D6" s="45">
        <v>14.0</v>
      </c>
      <c r="E6" s="45">
        <f t="shared" si="1"/>
        <v>168</v>
      </c>
      <c r="F6" s="259">
        <v>33.6</v>
      </c>
      <c r="G6" s="45">
        <f t="shared" si="2"/>
        <v>1</v>
      </c>
      <c r="H6" s="259">
        <v>0.2</v>
      </c>
      <c r="I6" s="45">
        <v>2.4</v>
      </c>
      <c r="J6" s="261">
        <v>0.929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45" t="s">
        <v>426</v>
      </c>
      <c r="B7" s="258">
        <v>5.0</v>
      </c>
      <c r="C7" s="258">
        <v>20.0</v>
      </c>
      <c r="D7" s="45">
        <v>18.0</v>
      </c>
      <c r="E7" s="45">
        <f t="shared" si="1"/>
        <v>168</v>
      </c>
      <c r="F7" s="259">
        <v>33.6</v>
      </c>
      <c r="G7" s="45">
        <f t="shared" si="2"/>
        <v>2</v>
      </c>
      <c r="H7" s="259">
        <v>0.4</v>
      </c>
      <c r="I7" s="45">
        <v>2.4</v>
      </c>
      <c r="J7" s="260">
        <v>0.778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45" t="s">
        <v>427</v>
      </c>
      <c r="B8" s="258">
        <v>5.0</v>
      </c>
      <c r="C8" s="258">
        <v>20.0</v>
      </c>
      <c r="D8" s="45">
        <v>17.0</v>
      </c>
      <c r="E8" s="45">
        <f t="shared" si="1"/>
        <v>152</v>
      </c>
      <c r="F8" s="259">
        <v>30.4</v>
      </c>
      <c r="G8" s="45">
        <f t="shared" si="2"/>
        <v>1</v>
      </c>
      <c r="H8" s="259">
        <v>0.2</v>
      </c>
      <c r="I8" s="45">
        <v>2.0</v>
      </c>
      <c r="J8" s="261">
        <v>0.824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45" t="s">
        <v>428</v>
      </c>
      <c r="B9" s="258">
        <v>5.0</v>
      </c>
      <c r="C9" s="258">
        <v>20.0</v>
      </c>
      <c r="D9" s="45">
        <v>14.0</v>
      </c>
      <c r="E9" s="45">
        <v>150.0</v>
      </c>
      <c r="F9" s="259">
        <f>E9/C9*4</f>
        <v>30</v>
      </c>
      <c r="G9" s="45">
        <f t="shared" si="2"/>
        <v>2</v>
      </c>
      <c r="H9" s="259">
        <v>0.4</v>
      </c>
      <c r="I9" s="45">
        <v>2.2</v>
      </c>
      <c r="J9" s="261">
        <v>0.643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45" t="s">
        <v>429</v>
      </c>
      <c r="B10" s="258">
        <v>5.0</v>
      </c>
      <c r="C10" s="258">
        <v>20.0</v>
      </c>
      <c r="D10" s="45">
        <v>19.0</v>
      </c>
      <c r="E10" s="45">
        <f t="shared" ref="E10:E47" si="3">F10/4*C10</f>
        <v>146</v>
      </c>
      <c r="F10" s="259">
        <v>29.2</v>
      </c>
      <c r="G10" s="45">
        <f t="shared" si="2"/>
        <v>0</v>
      </c>
      <c r="H10" s="259">
        <v>0.0</v>
      </c>
      <c r="I10" s="45">
        <v>1.8</v>
      </c>
      <c r="J10" s="260">
        <v>0.737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45" t="s">
        <v>430</v>
      </c>
      <c r="B11" s="258">
        <v>5.0</v>
      </c>
      <c r="C11" s="258">
        <v>20.0</v>
      </c>
      <c r="D11" s="45">
        <v>14.0</v>
      </c>
      <c r="E11" s="45">
        <f t="shared" si="3"/>
        <v>116</v>
      </c>
      <c r="F11" s="259">
        <v>23.2</v>
      </c>
      <c r="G11" s="45">
        <f t="shared" si="2"/>
        <v>1</v>
      </c>
      <c r="H11" s="259">
        <v>0.2</v>
      </c>
      <c r="I11" s="45">
        <v>1.6</v>
      </c>
      <c r="J11" s="260">
        <v>0.714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45" t="s">
        <v>431</v>
      </c>
      <c r="B12" s="258">
        <v>5.0</v>
      </c>
      <c r="C12" s="258">
        <v>20.0</v>
      </c>
      <c r="D12" s="45">
        <v>17.0</v>
      </c>
      <c r="E12" s="45">
        <f t="shared" si="3"/>
        <v>116</v>
      </c>
      <c r="F12" s="259">
        <v>23.2</v>
      </c>
      <c r="G12" s="45">
        <f t="shared" si="2"/>
        <v>3</v>
      </c>
      <c r="H12" s="259">
        <v>0.6</v>
      </c>
      <c r="I12" s="45">
        <v>1.6</v>
      </c>
      <c r="J12" s="261">
        <v>0.706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45" t="s">
        <v>432</v>
      </c>
      <c r="B13" s="258">
        <v>5.0</v>
      </c>
      <c r="C13" s="258">
        <v>20.0</v>
      </c>
      <c r="D13" s="45">
        <v>15.0</v>
      </c>
      <c r="E13" s="45">
        <f t="shared" si="3"/>
        <v>116</v>
      </c>
      <c r="F13" s="259">
        <v>23.2</v>
      </c>
      <c r="G13" s="45">
        <f t="shared" si="2"/>
        <v>1</v>
      </c>
      <c r="H13" s="259">
        <v>0.2</v>
      </c>
      <c r="I13" s="45">
        <v>1.6</v>
      </c>
      <c r="J13" s="261">
        <v>0.667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45" t="s">
        <v>433</v>
      </c>
      <c r="B14" s="258">
        <v>5.0</v>
      </c>
      <c r="C14" s="258">
        <v>20.0</v>
      </c>
      <c r="D14" s="45">
        <v>17.0</v>
      </c>
      <c r="E14" s="45">
        <f t="shared" si="3"/>
        <v>116</v>
      </c>
      <c r="F14" s="259">
        <v>23.2</v>
      </c>
      <c r="G14" s="45">
        <f t="shared" si="2"/>
        <v>3</v>
      </c>
      <c r="H14" s="259">
        <v>0.6</v>
      </c>
      <c r="I14" s="45">
        <v>1.6</v>
      </c>
      <c r="J14" s="260">
        <v>0.706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45" t="s">
        <v>434</v>
      </c>
      <c r="B15" s="258">
        <v>5.0</v>
      </c>
      <c r="C15" s="258">
        <v>20.0</v>
      </c>
      <c r="D15" s="45">
        <v>14.0</v>
      </c>
      <c r="E15" s="45">
        <f t="shared" si="3"/>
        <v>114</v>
      </c>
      <c r="F15" s="259">
        <v>22.8</v>
      </c>
      <c r="G15" s="45">
        <f t="shared" si="2"/>
        <v>1</v>
      </c>
      <c r="H15" s="259">
        <v>0.2</v>
      </c>
      <c r="I15" s="45">
        <v>1.4</v>
      </c>
      <c r="J15" s="260">
        <v>0.857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45" t="s">
        <v>435</v>
      </c>
      <c r="B16" s="258">
        <v>5.0</v>
      </c>
      <c r="C16" s="258">
        <v>20.0</v>
      </c>
      <c r="D16" s="45">
        <v>17.0</v>
      </c>
      <c r="E16" s="45">
        <f t="shared" si="3"/>
        <v>108</v>
      </c>
      <c r="F16" s="259">
        <v>21.6</v>
      </c>
      <c r="G16" s="45">
        <f t="shared" si="2"/>
        <v>3</v>
      </c>
      <c r="H16" s="259">
        <v>0.6</v>
      </c>
      <c r="I16" s="45">
        <v>1.6</v>
      </c>
      <c r="J16" s="261">
        <v>0.588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45" t="s">
        <v>436</v>
      </c>
      <c r="B17" s="258">
        <v>5.0</v>
      </c>
      <c r="C17" s="258">
        <v>20.0</v>
      </c>
      <c r="D17" s="45">
        <v>12.0</v>
      </c>
      <c r="E17" s="45">
        <f t="shared" si="3"/>
        <v>106</v>
      </c>
      <c r="F17" s="259">
        <v>21.2</v>
      </c>
      <c r="G17" s="45">
        <f t="shared" si="2"/>
        <v>1</v>
      </c>
      <c r="H17" s="259">
        <v>0.2</v>
      </c>
      <c r="I17" s="45">
        <v>1.4</v>
      </c>
      <c r="J17" s="261">
        <v>0.833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45" t="s">
        <v>437</v>
      </c>
      <c r="B18" s="258">
        <v>5.0</v>
      </c>
      <c r="C18" s="258">
        <v>20.0</v>
      </c>
      <c r="D18" s="45">
        <v>14.0</v>
      </c>
      <c r="E18" s="45">
        <f t="shared" si="3"/>
        <v>104</v>
      </c>
      <c r="F18" s="259">
        <v>20.8</v>
      </c>
      <c r="G18" s="45">
        <f t="shared" si="2"/>
        <v>3</v>
      </c>
      <c r="H18" s="259">
        <v>0.6</v>
      </c>
      <c r="I18" s="45">
        <v>1.6</v>
      </c>
      <c r="J18" s="260">
        <v>0.643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45" t="s">
        <v>438</v>
      </c>
      <c r="B19" s="258">
        <v>5.0</v>
      </c>
      <c r="C19" s="258">
        <v>20.0</v>
      </c>
      <c r="D19" s="45">
        <v>12.0</v>
      </c>
      <c r="E19" s="45">
        <f t="shared" si="3"/>
        <v>102</v>
      </c>
      <c r="F19" s="259">
        <v>20.4</v>
      </c>
      <c r="G19" s="45">
        <f t="shared" si="2"/>
        <v>1</v>
      </c>
      <c r="H19" s="259">
        <v>0.2</v>
      </c>
      <c r="I19" s="45">
        <v>1.4</v>
      </c>
      <c r="J19" s="260">
        <v>0.75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45" t="s">
        <v>439</v>
      </c>
      <c r="B20" s="258">
        <v>5.0</v>
      </c>
      <c r="C20" s="258">
        <v>20.0</v>
      </c>
      <c r="D20" s="45">
        <v>13.0</v>
      </c>
      <c r="E20" s="45">
        <f t="shared" si="3"/>
        <v>96</v>
      </c>
      <c r="F20" s="259">
        <v>19.2</v>
      </c>
      <c r="G20" s="45">
        <f t="shared" si="2"/>
        <v>2</v>
      </c>
      <c r="H20" s="259">
        <v>0.4</v>
      </c>
      <c r="I20" s="45">
        <v>1.2</v>
      </c>
      <c r="J20" s="260">
        <v>0.846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45" t="s">
        <v>440</v>
      </c>
      <c r="B21" s="258">
        <v>5.0</v>
      </c>
      <c r="C21" s="258">
        <v>20.0</v>
      </c>
      <c r="D21" s="45">
        <v>17.0</v>
      </c>
      <c r="E21" s="45">
        <f t="shared" si="3"/>
        <v>90</v>
      </c>
      <c r="F21" s="259">
        <v>18.0</v>
      </c>
      <c r="G21" s="45">
        <f t="shared" si="2"/>
        <v>1</v>
      </c>
      <c r="H21" s="259">
        <v>0.2</v>
      </c>
      <c r="I21" s="45">
        <v>1.0</v>
      </c>
      <c r="J21" s="260">
        <v>0.647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45" t="s">
        <v>441</v>
      </c>
      <c r="B22" s="258">
        <v>5.0</v>
      </c>
      <c r="C22" s="258">
        <v>20.0</v>
      </c>
      <c r="D22" s="45">
        <v>12.0</v>
      </c>
      <c r="E22" s="45">
        <f t="shared" si="3"/>
        <v>88</v>
      </c>
      <c r="F22" s="259">
        <v>17.6</v>
      </c>
      <c r="G22" s="45">
        <f t="shared" si="2"/>
        <v>1</v>
      </c>
      <c r="H22" s="259">
        <v>0.2</v>
      </c>
      <c r="I22" s="45">
        <v>1.2</v>
      </c>
      <c r="J22" s="261">
        <v>0.667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45" t="s">
        <v>442</v>
      </c>
      <c r="B23" s="258">
        <v>5.0</v>
      </c>
      <c r="C23" s="258">
        <v>20.0</v>
      </c>
      <c r="D23" s="45">
        <v>15.0</v>
      </c>
      <c r="E23" s="45">
        <f t="shared" si="3"/>
        <v>82</v>
      </c>
      <c r="F23" s="259">
        <v>16.4</v>
      </c>
      <c r="G23" s="45">
        <f t="shared" si="2"/>
        <v>0</v>
      </c>
      <c r="H23" s="259">
        <v>0.0</v>
      </c>
      <c r="I23" s="45">
        <v>1.0</v>
      </c>
      <c r="J23" s="260">
        <v>0.533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45" t="s">
        <v>443</v>
      </c>
      <c r="B24" s="258">
        <v>5.0</v>
      </c>
      <c r="C24" s="258">
        <v>20.0</v>
      </c>
      <c r="D24" s="45">
        <v>15.0</v>
      </c>
      <c r="E24" s="45">
        <f t="shared" si="3"/>
        <v>80</v>
      </c>
      <c r="F24" s="259">
        <v>16.0</v>
      </c>
      <c r="G24" s="45">
        <f t="shared" si="2"/>
        <v>1</v>
      </c>
      <c r="H24" s="259">
        <v>0.2</v>
      </c>
      <c r="I24" s="45">
        <v>0.8</v>
      </c>
      <c r="J24" s="260">
        <v>0.733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45" t="s">
        <v>444</v>
      </c>
      <c r="B25" s="258">
        <v>5.0</v>
      </c>
      <c r="C25" s="258">
        <v>20.0</v>
      </c>
      <c r="D25" s="45">
        <v>15.0</v>
      </c>
      <c r="E25" s="45">
        <f t="shared" si="3"/>
        <v>78</v>
      </c>
      <c r="F25" s="259">
        <v>15.6</v>
      </c>
      <c r="G25" s="45">
        <f t="shared" si="2"/>
        <v>4</v>
      </c>
      <c r="H25" s="259">
        <v>0.8</v>
      </c>
      <c r="I25" s="45">
        <v>1.0</v>
      </c>
      <c r="J25" s="260">
        <v>0.733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45" t="s">
        <v>445</v>
      </c>
      <c r="B26" s="258">
        <v>5.0</v>
      </c>
      <c r="C26" s="258">
        <v>20.0</v>
      </c>
      <c r="D26" s="45">
        <v>16.0</v>
      </c>
      <c r="E26" s="45">
        <f t="shared" si="3"/>
        <v>76</v>
      </c>
      <c r="F26" s="259">
        <v>15.2</v>
      </c>
      <c r="G26" s="45">
        <f t="shared" si="2"/>
        <v>3</v>
      </c>
      <c r="H26" s="259">
        <v>0.6</v>
      </c>
      <c r="I26" s="45">
        <v>0.8</v>
      </c>
      <c r="J26" s="261">
        <v>0.75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45" t="s">
        <v>446</v>
      </c>
      <c r="B27" s="258">
        <v>5.0</v>
      </c>
      <c r="C27" s="258">
        <v>20.0</v>
      </c>
      <c r="D27" s="45">
        <v>10.0</v>
      </c>
      <c r="E27" s="45">
        <f t="shared" si="3"/>
        <v>62</v>
      </c>
      <c r="F27" s="259">
        <v>12.4</v>
      </c>
      <c r="G27" s="45">
        <f t="shared" si="2"/>
        <v>0</v>
      </c>
      <c r="H27" s="259">
        <v>0.0</v>
      </c>
      <c r="I27" s="45">
        <v>0.6</v>
      </c>
      <c r="J27" s="261">
        <v>0.8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45" t="s">
        <v>447</v>
      </c>
      <c r="B28" s="258">
        <v>5.0</v>
      </c>
      <c r="C28" s="258">
        <v>20.0</v>
      </c>
      <c r="D28" s="45">
        <v>15.0</v>
      </c>
      <c r="E28" s="45">
        <f t="shared" si="3"/>
        <v>60</v>
      </c>
      <c r="F28" s="259">
        <v>12.0</v>
      </c>
      <c r="G28" s="45">
        <f t="shared" si="2"/>
        <v>4</v>
      </c>
      <c r="H28" s="259">
        <v>0.8</v>
      </c>
      <c r="I28" s="45">
        <v>0.8</v>
      </c>
      <c r="J28" s="261">
        <v>0.6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45" t="s">
        <v>448</v>
      </c>
      <c r="B29" s="258">
        <v>5.0</v>
      </c>
      <c r="C29" s="258">
        <v>20.0</v>
      </c>
      <c r="D29" s="45">
        <v>11.0</v>
      </c>
      <c r="E29" s="45">
        <f t="shared" si="3"/>
        <v>58</v>
      </c>
      <c r="F29" s="259">
        <v>11.6</v>
      </c>
      <c r="G29" s="45">
        <f t="shared" si="2"/>
        <v>0</v>
      </c>
      <c r="H29" s="259">
        <v>0.0</v>
      </c>
      <c r="I29" s="45">
        <v>0.6</v>
      </c>
      <c r="J29" s="260">
        <v>0.636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45" t="s">
        <v>449</v>
      </c>
      <c r="B30" s="258">
        <v>5.0</v>
      </c>
      <c r="C30" s="258">
        <v>20.0</v>
      </c>
      <c r="D30" s="45">
        <v>12.0</v>
      </c>
      <c r="E30" s="45">
        <f t="shared" si="3"/>
        <v>54</v>
      </c>
      <c r="F30" s="259">
        <v>10.8</v>
      </c>
      <c r="G30" s="45">
        <f t="shared" si="2"/>
        <v>1</v>
      </c>
      <c r="H30" s="259">
        <v>0.2</v>
      </c>
      <c r="I30" s="45">
        <v>0.6</v>
      </c>
      <c r="J30" s="261">
        <v>0.583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45" t="s">
        <v>450</v>
      </c>
      <c r="B31" s="258">
        <v>5.0</v>
      </c>
      <c r="C31" s="258">
        <v>20.0</v>
      </c>
      <c r="D31" s="45">
        <v>20.0</v>
      </c>
      <c r="E31" s="45">
        <f t="shared" si="3"/>
        <v>52</v>
      </c>
      <c r="F31" s="259">
        <v>10.4</v>
      </c>
      <c r="G31" s="45">
        <f t="shared" si="2"/>
        <v>4</v>
      </c>
      <c r="H31" s="259">
        <v>0.8</v>
      </c>
      <c r="I31" s="45">
        <v>0.4</v>
      </c>
      <c r="J31" s="260">
        <v>0.6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45" t="s">
        <v>451</v>
      </c>
      <c r="B32" s="258">
        <v>5.0</v>
      </c>
      <c r="C32" s="258">
        <v>20.0</v>
      </c>
      <c r="D32" s="45">
        <v>13.0</v>
      </c>
      <c r="E32" s="45">
        <f t="shared" si="3"/>
        <v>44</v>
      </c>
      <c r="F32" s="259">
        <v>8.8</v>
      </c>
      <c r="G32" s="45">
        <f t="shared" si="2"/>
        <v>0</v>
      </c>
      <c r="H32" s="259">
        <v>0.0</v>
      </c>
      <c r="I32" s="45">
        <v>0.4</v>
      </c>
      <c r="J32" s="260">
        <v>0.462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45" t="s">
        <v>452</v>
      </c>
      <c r="B33" s="258">
        <v>5.0</v>
      </c>
      <c r="C33" s="258">
        <v>20.0</v>
      </c>
      <c r="D33" s="45">
        <v>15.0</v>
      </c>
      <c r="E33" s="45">
        <f t="shared" si="3"/>
        <v>42</v>
      </c>
      <c r="F33" s="259">
        <v>8.4</v>
      </c>
      <c r="G33" s="45">
        <f t="shared" si="2"/>
        <v>4</v>
      </c>
      <c r="H33" s="259">
        <v>0.8</v>
      </c>
      <c r="I33" s="45">
        <v>0.6</v>
      </c>
      <c r="J33" s="260">
        <v>0.467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45" t="s">
        <v>453</v>
      </c>
      <c r="B34" s="258">
        <v>5.0</v>
      </c>
      <c r="C34" s="258">
        <v>20.0</v>
      </c>
      <c r="D34" s="45">
        <v>19.0</v>
      </c>
      <c r="E34" s="45">
        <f t="shared" si="3"/>
        <v>40</v>
      </c>
      <c r="F34" s="259">
        <v>8.0</v>
      </c>
      <c r="G34" s="45">
        <f t="shared" si="2"/>
        <v>2</v>
      </c>
      <c r="H34" s="259">
        <v>0.4</v>
      </c>
      <c r="I34" s="45">
        <v>0.4</v>
      </c>
      <c r="J34" s="260">
        <v>0.368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45" t="s">
        <v>454</v>
      </c>
      <c r="B35" s="258">
        <v>5.0</v>
      </c>
      <c r="C35" s="258">
        <v>20.0</v>
      </c>
      <c r="D35" s="45">
        <v>9.0</v>
      </c>
      <c r="E35" s="45">
        <f t="shared" si="3"/>
        <v>36</v>
      </c>
      <c r="F35" s="259">
        <v>7.2</v>
      </c>
      <c r="G35" s="45">
        <f t="shared" si="2"/>
        <v>0</v>
      </c>
      <c r="H35" s="259">
        <v>0.0</v>
      </c>
      <c r="I35" s="45">
        <v>0.4</v>
      </c>
      <c r="J35" s="260">
        <v>0.444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45" t="s">
        <v>455</v>
      </c>
      <c r="B36" s="258">
        <v>5.0</v>
      </c>
      <c r="C36" s="258">
        <v>20.0</v>
      </c>
      <c r="D36" s="45">
        <v>7.0</v>
      </c>
      <c r="E36" s="45">
        <f t="shared" si="3"/>
        <v>36</v>
      </c>
      <c r="F36" s="259">
        <v>7.2</v>
      </c>
      <c r="G36" s="45">
        <f t="shared" si="2"/>
        <v>0</v>
      </c>
      <c r="H36" s="259">
        <v>0.0</v>
      </c>
      <c r="I36" s="45">
        <v>0.4</v>
      </c>
      <c r="J36" s="260">
        <v>0.571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45" t="s">
        <v>456</v>
      </c>
      <c r="B37" s="258">
        <v>5.0</v>
      </c>
      <c r="C37" s="258">
        <v>20.0</v>
      </c>
      <c r="D37" s="45">
        <v>9.0</v>
      </c>
      <c r="E37" s="45">
        <f t="shared" si="3"/>
        <v>32</v>
      </c>
      <c r="F37" s="259">
        <v>6.4</v>
      </c>
      <c r="G37" s="45">
        <f t="shared" si="2"/>
        <v>1</v>
      </c>
      <c r="H37" s="259">
        <v>0.2</v>
      </c>
      <c r="I37" s="45">
        <v>0.4</v>
      </c>
      <c r="J37" s="260">
        <v>0.444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45" t="s">
        <v>457</v>
      </c>
      <c r="B38" s="258">
        <v>5.0</v>
      </c>
      <c r="C38" s="258">
        <v>20.0</v>
      </c>
      <c r="D38" s="45">
        <v>10.0</v>
      </c>
      <c r="E38" s="45">
        <f t="shared" si="3"/>
        <v>26</v>
      </c>
      <c r="F38" s="259">
        <v>5.2</v>
      </c>
      <c r="G38" s="45">
        <f t="shared" si="2"/>
        <v>0</v>
      </c>
      <c r="H38" s="259">
        <v>0.0</v>
      </c>
      <c r="I38" s="45">
        <v>0.2</v>
      </c>
      <c r="J38" s="260">
        <v>0.4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45" t="s">
        <v>458</v>
      </c>
      <c r="B39" s="258">
        <v>5.0</v>
      </c>
      <c r="C39" s="258">
        <v>20.0</v>
      </c>
      <c r="D39" s="45">
        <v>8.0</v>
      </c>
      <c r="E39" s="45">
        <f t="shared" si="3"/>
        <v>26</v>
      </c>
      <c r="F39" s="259">
        <v>5.2</v>
      </c>
      <c r="G39" s="45">
        <f t="shared" si="2"/>
        <v>1</v>
      </c>
      <c r="H39" s="259">
        <v>0.2</v>
      </c>
      <c r="I39" s="45">
        <v>0.2</v>
      </c>
      <c r="J39" s="260">
        <v>0.625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45" t="s">
        <v>459</v>
      </c>
      <c r="B40" s="258">
        <v>5.0</v>
      </c>
      <c r="C40" s="258">
        <v>20.0</v>
      </c>
      <c r="D40" s="45">
        <v>8.0</v>
      </c>
      <c r="E40" s="45">
        <f t="shared" si="3"/>
        <v>26</v>
      </c>
      <c r="F40" s="259">
        <v>5.2</v>
      </c>
      <c r="G40" s="45">
        <f t="shared" si="2"/>
        <v>0</v>
      </c>
      <c r="H40" s="259">
        <v>0.0</v>
      </c>
      <c r="I40" s="45">
        <v>0.2</v>
      </c>
      <c r="J40" s="260">
        <v>0.5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45" t="s">
        <v>460</v>
      </c>
      <c r="B41" s="258">
        <v>5.0</v>
      </c>
      <c r="C41" s="258">
        <v>20.0</v>
      </c>
      <c r="D41" s="45">
        <v>9.0</v>
      </c>
      <c r="E41" s="45">
        <f t="shared" si="3"/>
        <v>24</v>
      </c>
      <c r="F41" s="259">
        <v>4.8</v>
      </c>
      <c r="G41" s="45">
        <f t="shared" si="2"/>
        <v>2</v>
      </c>
      <c r="H41" s="259">
        <v>0.4</v>
      </c>
      <c r="I41" s="45">
        <v>0.4</v>
      </c>
      <c r="J41" s="260">
        <v>0.333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45" t="s">
        <v>461</v>
      </c>
      <c r="B42" s="258">
        <v>5.0</v>
      </c>
      <c r="C42" s="258">
        <v>20.0</v>
      </c>
      <c r="D42" s="45">
        <v>10.0</v>
      </c>
      <c r="E42" s="45">
        <f t="shared" si="3"/>
        <v>22</v>
      </c>
      <c r="F42" s="259">
        <v>4.4</v>
      </c>
      <c r="G42" s="45">
        <f t="shared" si="2"/>
        <v>2</v>
      </c>
      <c r="H42" s="259">
        <v>0.4</v>
      </c>
      <c r="I42" s="45">
        <v>0.2</v>
      </c>
      <c r="J42" s="260">
        <v>0.5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45" t="s">
        <v>462</v>
      </c>
      <c r="B43" s="258">
        <v>5.0</v>
      </c>
      <c r="C43" s="258">
        <v>20.0</v>
      </c>
      <c r="D43" s="45">
        <v>15.0</v>
      </c>
      <c r="E43" s="45">
        <f t="shared" si="3"/>
        <v>18</v>
      </c>
      <c r="F43" s="259">
        <v>3.6</v>
      </c>
      <c r="G43" s="45">
        <f t="shared" si="2"/>
        <v>1</v>
      </c>
      <c r="H43" s="259">
        <v>0.2</v>
      </c>
      <c r="I43" s="45">
        <v>0.2</v>
      </c>
      <c r="J43" s="261">
        <v>0.2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45" t="s">
        <v>463</v>
      </c>
      <c r="B44" s="258">
        <v>5.0</v>
      </c>
      <c r="C44" s="258">
        <v>20.0</v>
      </c>
      <c r="D44" s="45">
        <v>5.0</v>
      </c>
      <c r="E44" s="45">
        <f t="shared" si="3"/>
        <v>14</v>
      </c>
      <c r="F44" s="259">
        <v>2.8</v>
      </c>
      <c r="G44" s="45">
        <f t="shared" si="2"/>
        <v>1</v>
      </c>
      <c r="H44" s="259">
        <v>0.2</v>
      </c>
      <c r="I44" s="45">
        <v>0.2</v>
      </c>
      <c r="J44" s="260">
        <v>0.4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45" t="s">
        <v>464</v>
      </c>
      <c r="B45" s="258">
        <v>5.0</v>
      </c>
      <c r="C45" s="258">
        <v>20.0</v>
      </c>
      <c r="D45" s="45">
        <v>6.0</v>
      </c>
      <c r="E45" s="45">
        <f t="shared" si="3"/>
        <v>14</v>
      </c>
      <c r="F45" s="259">
        <v>2.8</v>
      </c>
      <c r="G45" s="45">
        <f t="shared" si="2"/>
        <v>1</v>
      </c>
      <c r="H45" s="259">
        <v>0.2</v>
      </c>
      <c r="I45" s="45">
        <v>0.2</v>
      </c>
      <c r="J45" s="260">
        <v>0.333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45" t="s">
        <v>465</v>
      </c>
      <c r="B46" s="258">
        <v>5.0</v>
      </c>
      <c r="C46" s="258">
        <v>20.0</v>
      </c>
      <c r="D46" s="45">
        <v>8.0</v>
      </c>
      <c r="E46" s="45">
        <f t="shared" si="3"/>
        <v>12</v>
      </c>
      <c r="F46" s="259">
        <v>2.4</v>
      </c>
      <c r="G46" s="45">
        <f t="shared" si="2"/>
        <v>0</v>
      </c>
      <c r="H46" s="259">
        <v>0.0</v>
      </c>
      <c r="I46" s="45">
        <v>0.0</v>
      </c>
      <c r="J46" s="261">
        <v>0.375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45" t="s">
        <v>466</v>
      </c>
      <c r="B47" s="258">
        <v>5.0</v>
      </c>
      <c r="C47" s="258">
        <v>20.0</v>
      </c>
      <c r="D47" s="45">
        <v>9.0</v>
      </c>
      <c r="E47" s="45">
        <f t="shared" si="3"/>
        <v>10</v>
      </c>
      <c r="F47" s="259">
        <v>2.0</v>
      </c>
      <c r="G47" s="45">
        <f t="shared" si="2"/>
        <v>2</v>
      </c>
      <c r="H47" s="259">
        <v>0.4</v>
      </c>
      <c r="I47" s="45">
        <v>0.2</v>
      </c>
      <c r="J47" s="260">
        <v>0.222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45" t="s">
        <v>467</v>
      </c>
      <c r="B48" s="258">
        <v>5.0</v>
      </c>
      <c r="C48" s="258">
        <v>20.0</v>
      </c>
      <c r="D48" s="45">
        <v>10.0</v>
      </c>
      <c r="E48" s="45">
        <v>8.0</v>
      </c>
      <c r="F48" s="259">
        <f>E48/C48*4</f>
        <v>1.6</v>
      </c>
      <c r="G48" s="45">
        <f t="shared" si="2"/>
        <v>2</v>
      </c>
      <c r="H48" s="259">
        <v>0.4</v>
      </c>
      <c r="I48" s="45">
        <v>0.0</v>
      </c>
      <c r="J48" s="260">
        <f>4/10</f>
        <v>0.4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45" t="s">
        <v>468</v>
      </c>
      <c r="B49" s="258">
        <v>5.0</v>
      </c>
      <c r="C49" s="258">
        <v>20.0</v>
      </c>
      <c r="D49" s="45">
        <v>6.0</v>
      </c>
      <c r="E49" s="45">
        <f>F49/4*C49</f>
        <v>4</v>
      </c>
      <c r="F49" s="259">
        <v>0.8</v>
      </c>
      <c r="G49" s="45">
        <f t="shared" si="2"/>
        <v>0</v>
      </c>
      <c r="H49" s="259">
        <v>0.0</v>
      </c>
      <c r="I49" s="45">
        <v>0.0</v>
      </c>
      <c r="J49" s="260">
        <v>0.167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</row>
  </sheetData>
  <drawing r:id="rId1"/>
</worksheet>
</file>